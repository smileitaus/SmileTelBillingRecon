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smileitau.sharepoint.com/sites/SmileTel/Shared Documents/Supplier Service Tracking/Customer Master Docs/"/>
    </mc:Choice>
  </mc:AlternateContent>
  <xr:revisionPtr revIDLastSave="0" documentId="8_{91C0907C-3736-43A0-ABA2-DB706F365081}" xr6:coauthVersionLast="47" xr6:coauthVersionMax="47" xr10:uidLastSave="{00000000-0000-0000-0000-000000000000}"/>
  <bookViews>
    <workbookView xWindow="240" yWindow="-37920" windowWidth="29040" windowHeight="15720" tabRatio="790" xr2:uid="{00000000-000D-0000-FFFF-FFFF00000000}"/>
  </bookViews>
  <sheets>
    <sheet name="Data Worksheet" sheetId="23" r:id="rId1"/>
    <sheet name="Data Feed" sheetId="20" r:id="rId2"/>
    <sheet name="AAPT ExDa" sheetId="7" r:id="rId3"/>
    <sheet name="ABB ExDa" sheetId="9" r:id="rId4"/>
    <sheet name="Vocus RVC ExDa" sheetId="11" r:id="rId5"/>
    <sheet name="Vocus SIT ExDa" sheetId="12" r:id="rId6"/>
    <sheet name="Telstra ExDa" sheetId="10" r:id="rId7"/>
    <sheet name="Fusion ExDa" sheetId="13" r:id="rId8"/>
    <sheet name="Exetel ExDa" sheetId="14" r:id="rId9"/>
    <sheet name="Infinet ExDa" sheetId="15" r:id="rId10"/>
    <sheet name="Datagate" sheetId="2" r:id="rId11"/>
    <sheet name="ECN" sheetId="3" r:id="rId12"/>
    <sheet name="OB" sheetId="4" r:id="rId13"/>
    <sheet name="Sasboss" sheetId="5" r:id="rId14"/>
    <sheet name="Customers" sheetId="1" r:id="rId15"/>
    <sheet name="Sheet2" sheetId="19" r:id="rId16"/>
    <sheet name="Sheet1" sheetId="8" r:id="rId17"/>
  </sheets>
  <definedNames>
    <definedName name="_xlnm._FilterDatabase" localSheetId="2" hidden="1">'AAPT ExDa'!$A$1:$T$99</definedName>
    <definedName name="_xlnm._FilterDatabase" localSheetId="14" hidden="1">Customers!$A$1:$N$408</definedName>
    <definedName name="_xlnm._FilterDatabase" localSheetId="13" hidden="1">Sasboss!$A$1:$C$1</definedName>
    <definedName name="_xlnm._FilterDatabase" localSheetId="16" hidden="1">Sheet1!$A$1:$C$55</definedName>
    <definedName name="_xlnm._FilterDatabase" localSheetId="4">'Vocus RVC ExDa'!$A$1:$R$1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0" l="1" a="1"/>
  <c r="O11" i="7"/>
  <c r="O66" i="7"/>
  <c r="O65" i="7"/>
  <c r="O64" i="7"/>
  <c r="O63" i="7"/>
  <c r="O62" i="7"/>
  <c r="O71" i="7"/>
  <c r="O96" i="7"/>
  <c r="O89" i="7"/>
  <c r="O12" i="7"/>
  <c r="O72" i="7"/>
  <c r="O25" i="7"/>
  <c r="O5" i="7"/>
  <c r="O42" i="7"/>
  <c r="O68" i="7"/>
  <c r="O19" i="7"/>
  <c r="O3" i="7"/>
  <c r="O78" i="7"/>
  <c r="O84" i="7"/>
  <c r="O32" i="7"/>
  <c r="O18" i="7"/>
  <c r="O91" i="7"/>
  <c r="O17" i="7"/>
  <c r="O41" i="7"/>
  <c r="O4" i="7"/>
  <c r="O44" i="7"/>
  <c r="O61" i="7"/>
  <c r="O34" i="7"/>
  <c r="O31" i="7"/>
  <c r="O30" i="7"/>
  <c r="O29" i="7"/>
  <c r="O60" i="7"/>
  <c r="O40" i="7"/>
  <c r="O39" i="7"/>
  <c r="O38" i="7"/>
  <c r="O83" i="7"/>
  <c r="O82" i="7"/>
  <c r="O81" i="7"/>
  <c r="O79" i="7"/>
  <c r="O56" i="7"/>
  <c r="O55" i="7"/>
  <c r="O54" i="7"/>
  <c r="O67" i="7"/>
  <c r="O69" i="7"/>
  <c r="O24" i="7"/>
  <c r="O16" i="7"/>
  <c r="O70" i="7"/>
  <c r="O97" i="7"/>
  <c r="O90" i="7"/>
  <c r="O98" i="7"/>
  <c r="O99" i="7"/>
  <c r="O47" i="7"/>
  <c r="O46" i="7"/>
  <c r="O45" i="7"/>
  <c r="O33" i="7"/>
  <c r="O92" i="7"/>
  <c r="O93" i="7"/>
  <c r="O50" i="7"/>
  <c r="O49" i="7"/>
  <c r="O48" i="7"/>
  <c r="O95" i="7"/>
  <c r="O28" i="7"/>
  <c r="O80" i="7"/>
  <c r="O26" i="7"/>
  <c r="O2" i="7"/>
  <c r="O23" i="7"/>
  <c r="O43" i="7"/>
  <c r="O37" i="7"/>
  <c r="O36" i="7"/>
  <c r="O35" i="7"/>
  <c r="O88" i="7"/>
  <c r="O27" i="7"/>
  <c r="O94" i="7"/>
  <c r="O77" i="7"/>
  <c r="O76" i="7"/>
  <c r="O59" i="7"/>
  <c r="O58" i="7"/>
  <c r="O57" i="7"/>
  <c r="O85" i="7"/>
  <c r="O6" i="7"/>
  <c r="O20" i="7"/>
  <c r="O51" i="7"/>
  <c r="M20" i="20" l="1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N767" i="20"/>
  <c r="N768" i="20"/>
  <c r="N769" i="20"/>
  <c r="N770" i="20"/>
  <c r="N771" i="20"/>
  <c r="N772" i="20"/>
  <c r="N773" i="20"/>
  <c r="N774" i="20"/>
  <c r="N775" i="20"/>
  <c r="N776" i="20"/>
  <c r="N777" i="20"/>
  <c r="N778" i="20"/>
  <c r="N779" i="20"/>
  <c r="N780" i="20"/>
  <c r="N781" i="20"/>
  <c r="N782" i="20"/>
  <c r="N783" i="20"/>
  <c r="N784" i="20"/>
  <c r="N785" i="20"/>
  <c r="N786" i="20"/>
  <c r="N787" i="20"/>
  <c r="N788" i="20"/>
  <c r="N789" i="20"/>
  <c r="N790" i="20"/>
  <c r="N791" i="20"/>
  <c r="N792" i="20"/>
  <c r="N793" i="20"/>
  <c r="N794" i="20"/>
  <c r="N795" i="20"/>
  <c r="N796" i="20"/>
  <c r="N797" i="20"/>
  <c r="N798" i="20"/>
  <c r="N799" i="20"/>
  <c r="N800" i="20"/>
  <c r="N801" i="20"/>
  <c r="N802" i="20"/>
  <c r="N803" i="20"/>
  <c r="N804" i="20"/>
  <c r="N805" i="20"/>
  <c r="N806" i="20"/>
  <c r="N807" i="20"/>
  <c r="N808" i="20"/>
  <c r="N809" i="20"/>
  <c r="N810" i="20"/>
  <c r="N811" i="20"/>
  <c r="N812" i="20"/>
  <c r="N813" i="20"/>
  <c r="N814" i="20"/>
  <c r="N815" i="20"/>
  <c r="N816" i="20"/>
  <c r="N817" i="20"/>
  <c r="N818" i="20"/>
  <c r="N819" i="20"/>
  <c r="N820" i="20"/>
  <c r="N821" i="20"/>
  <c r="N822" i="20"/>
  <c r="N823" i="20"/>
  <c r="N824" i="20"/>
  <c r="N825" i="20"/>
  <c r="N826" i="20"/>
  <c r="N827" i="20"/>
  <c r="N828" i="20"/>
  <c r="N829" i="20"/>
  <c r="N830" i="20"/>
  <c r="N831" i="20"/>
  <c r="N832" i="20"/>
  <c r="N833" i="20"/>
  <c r="N834" i="20"/>
  <c r="N835" i="20"/>
  <c r="N836" i="20"/>
  <c r="N837" i="20"/>
  <c r="N838" i="20"/>
  <c r="N839" i="20"/>
  <c r="N840" i="20"/>
  <c r="N841" i="20"/>
  <c r="N842" i="20"/>
  <c r="N843" i="20"/>
  <c r="N844" i="20"/>
  <c r="N845" i="20"/>
  <c r="N846" i="20"/>
  <c r="N847" i="20"/>
  <c r="N848" i="20"/>
  <c r="N849" i="20"/>
  <c r="N850" i="20"/>
  <c r="N851" i="20"/>
  <c r="N852" i="20"/>
  <c r="N853" i="20"/>
  <c r="N854" i="20"/>
  <c r="N855" i="20"/>
  <c r="N856" i="20"/>
  <c r="N857" i="20"/>
  <c r="N858" i="20"/>
  <c r="N859" i="20"/>
  <c r="N860" i="20"/>
  <c r="N861" i="20"/>
  <c r="N862" i="20"/>
  <c r="N863" i="20"/>
  <c r="N864" i="20"/>
  <c r="N865" i="20"/>
  <c r="N866" i="20"/>
  <c r="N867" i="20"/>
  <c r="N868" i="20"/>
  <c r="N869" i="20"/>
  <c r="N870" i="20"/>
  <c r="N871" i="20"/>
  <c r="N872" i="20"/>
  <c r="N873" i="20"/>
  <c r="N874" i="20"/>
  <c r="N875" i="20"/>
  <c r="N876" i="20"/>
  <c r="N877" i="20"/>
  <c r="N878" i="20"/>
  <c r="N879" i="20"/>
  <c r="N880" i="20"/>
  <c r="N881" i="20"/>
  <c r="N882" i="20"/>
  <c r="N883" i="20"/>
  <c r="N884" i="20"/>
  <c r="N885" i="20"/>
  <c r="N886" i="20"/>
  <c r="N887" i="20"/>
  <c r="N888" i="20"/>
  <c r="N889" i="20"/>
  <c r="N890" i="20"/>
  <c r="N891" i="20"/>
  <c r="N892" i="20"/>
  <c r="N893" i="20"/>
  <c r="N894" i="20"/>
  <c r="N895" i="20"/>
  <c r="N896" i="20"/>
  <c r="N897" i="20"/>
  <c r="N898" i="20"/>
  <c r="N899" i="20"/>
  <c r="N900" i="20"/>
  <c r="N901" i="20"/>
  <c r="N902" i="20"/>
  <c r="N903" i="20"/>
  <c r="N904" i="20"/>
  <c r="N905" i="20"/>
  <c r="N906" i="20"/>
  <c r="N907" i="20"/>
  <c r="N908" i="20"/>
  <c r="N909" i="20"/>
  <c r="N910" i="20"/>
  <c r="N911" i="20"/>
  <c r="N912" i="20"/>
  <c r="N913" i="20"/>
  <c r="N914" i="20"/>
  <c r="N915" i="20"/>
  <c r="N916" i="20"/>
  <c r="N917" i="20"/>
  <c r="N918" i="20"/>
  <c r="N919" i="20"/>
  <c r="N920" i="20"/>
  <c r="N921" i="20"/>
  <c r="N922" i="20"/>
  <c r="N923" i="20"/>
  <c r="N924" i="20"/>
  <c r="N925" i="20"/>
  <c r="N926" i="20"/>
  <c r="N927" i="20"/>
  <c r="N928" i="20"/>
  <c r="N929" i="20"/>
  <c r="N930" i="20"/>
  <c r="N931" i="20"/>
  <c r="N932" i="20"/>
  <c r="N933" i="20"/>
  <c r="N934" i="20"/>
  <c r="N935" i="20"/>
  <c r="N936" i="20"/>
  <c r="N937" i="20"/>
  <c r="N938" i="20"/>
  <c r="N939" i="20"/>
  <c r="N940" i="20"/>
  <c r="N941" i="20"/>
  <c r="N942" i="20"/>
  <c r="N943" i="20"/>
  <c r="N944" i="20"/>
  <c r="N945" i="20"/>
  <c r="N946" i="20"/>
  <c r="N947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M58" i="20"/>
  <c r="M60" i="20"/>
  <c r="M62" i="20"/>
  <c r="M63" i="20"/>
  <c r="M65" i="20"/>
  <c r="M67" i="20"/>
  <c r="M69" i="20"/>
  <c r="M71" i="20"/>
  <c r="M72" i="20"/>
  <c r="M73" i="20"/>
  <c r="M75" i="20"/>
  <c r="M76" i="20"/>
  <c r="M77" i="20"/>
  <c r="M78" i="20"/>
  <c r="M80" i="20"/>
  <c r="M82" i="20"/>
  <c r="M83" i="20"/>
  <c r="M86" i="20"/>
  <c r="M88" i="20"/>
  <c r="M90" i="20"/>
  <c r="M91" i="20"/>
  <c r="M93" i="20"/>
  <c r="M94" i="20"/>
  <c r="M96" i="20"/>
  <c r="M98" i="20"/>
  <c r="M101" i="20"/>
  <c r="M102" i="20"/>
  <c r="M105" i="20"/>
  <c r="M106" i="20"/>
  <c r="M107" i="20"/>
  <c r="M109" i="20"/>
  <c r="M111" i="20"/>
  <c r="M113" i="20"/>
  <c r="M114" i="20"/>
  <c r="M115" i="20"/>
  <c r="M117" i="20"/>
  <c r="M119" i="20"/>
  <c r="M121" i="20"/>
  <c r="M122" i="20"/>
  <c r="M124" i="20"/>
  <c r="M126" i="20"/>
  <c r="M128" i="20"/>
  <c r="M129" i="20"/>
  <c r="M131" i="20"/>
  <c r="M132" i="20"/>
  <c r="M133" i="20"/>
  <c r="M136" i="20"/>
  <c r="M137" i="20"/>
  <c r="M138" i="20"/>
  <c r="M140" i="20"/>
  <c r="M141" i="20"/>
  <c r="M142" i="20"/>
  <c r="M144" i="20"/>
  <c r="M145" i="20"/>
  <c r="M147" i="20"/>
  <c r="M148" i="20"/>
  <c r="M150" i="20"/>
  <c r="M151" i="20"/>
  <c r="M152" i="20"/>
  <c r="M153" i="20"/>
  <c r="M155" i="20"/>
  <c r="M156" i="20"/>
  <c r="M157" i="20"/>
  <c r="M159" i="20"/>
  <c r="M160" i="20"/>
  <c r="M161" i="20"/>
  <c r="M162" i="20"/>
  <c r="M164" i="20"/>
  <c r="M166" i="20"/>
  <c r="M167" i="20"/>
  <c r="M169" i="20"/>
  <c r="M171" i="20"/>
  <c r="M173" i="20"/>
  <c r="M176" i="20"/>
  <c r="M178" i="20"/>
  <c r="M180" i="20"/>
  <c r="M182" i="20"/>
  <c r="M183" i="20"/>
  <c r="M185" i="20"/>
  <c r="M186" i="20"/>
  <c r="M187" i="20"/>
  <c r="M188" i="20"/>
  <c r="M190" i="20"/>
  <c r="M192" i="20"/>
  <c r="M193" i="20"/>
  <c r="M195" i="20"/>
  <c r="M196" i="20"/>
  <c r="M197" i="20"/>
  <c r="M199" i="20"/>
  <c r="M200" i="20"/>
  <c r="M202" i="20"/>
  <c r="M204" i="20"/>
  <c r="M206" i="20"/>
  <c r="M208" i="20"/>
  <c r="M209" i="20"/>
  <c r="M210" i="20"/>
  <c r="M213" i="20"/>
  <c r="M215" i="20"/>
  <c r="M217" i="20"/>
  <c r="M218" i="20"/>
  <c r="M220" i="20"/>
  <c r="M222" i="20"/>
  <c r="M224" i="20"/>
  <c r="M226" i="20"/>
  <c r="M228" i="20"/>
  <c r="M230" i="20"/>
  <c r="M232" i="20"/>
  <c r="M233" i="20"/>
  <c r="M235" i="20"/>
  <c r="M237" i="20"/>
  <c r="M239" i="20"/>
  <c r="M240" i="20"/>
  <c r="M243" i="20"/>
  <c r="M245" i="20"/>
  <c r="M247" i="20"/>
  <c r="M250" i="20"/>
  <c r="M251" i="20"/>
  <c r="M253" i="20"/>
  <c r="M254" i="20"/>
  <c r="M255" i="20"/>
  <c r="M258" i="20"/>
  <c r="M260" i="20"/>
  <c r="M261" i="20"/>
  <c r="M263" i="20"/>
  <c r="M266" i="20"/>
  <c r="M268" i="20"/>
  <c r="M270" i="20"/>
  <c r="M271" i="20"/>
  <c r="M273" i="20"/>
  <c r="M275" i="20"/>
  <c r="M277" i="20"/>
  <c r="M278" i="20"/>
  <c r="M280" i="20"/>
  <c r="M282" i="20"/>
  <c r="M284" i="20"/>
  <c r="M286" i="20"/>
  <c r="M288" i="20"/>
  <c r="M289" i="20"/>
  <c r="M291" i="20"/>
  <c r="M293" i="20"/>
  <c r="M295" i="20"/>
  <c r="M297" i="20"/>
  <c r="M298" i="20"/>
  <c r="M300" i="20"/>
  <c r="M301" i="20"/>
  <c r="M303" i="20"/>
  <c r="M304" i="20"/>
  <c r="M305" i="20"/>
  <c r="M307" i="20"/>
  <c r="M308" i="20"/>
  <c r="M310" i="20"/>
  <c r="M311" i="20"/>
  <c r="M313" i="20"/>
  <c r="M315" i="20"/>
  <c r="M317" i="20"/>
  <c r="M318" i="20"/>
  <c r="M320" i="20"/>
  <c r="M322" i="20"/>
  <c r="M323" i="20"/>
  <c r="M325" i="20"/>
  <c r="M327" i="20"/>
  <c r="M328" i="20"/>
  <c r="M330" i="20"/>
  <c r="M331" i="20"/>
  <c r="M333" i="20"/>
  <c r="M334" i="20"/>
  <c r="M336" i="20"/>
  <c r="M337" i="20"/>
  <c r="M338" i="20"/>
  <c r="M340" i="20"/>
  <c r="M341" i="20"/>
  <c r="M342" i="20"/>
  <c r="M344" i="20"/>
  <c r="M345" i="20"/>
  <c r="M347" i="20"/>
  <c r="M348" i="20"/>
  <c r="M349" i="20"/>
  <c r="M351" i="20"/>
  <c r="M352" i="20"/>
  <c r="M354" i="20"/>
  <c r="M355" i="20"/>
  <c r="M356" i="20"/>
  <c r="M358" i="20"/>
  <c r="M359" i="20"/>
  <c r="M361" i="20"/>
  <c r="M362" i="20"/>
  <c r="M363" i="20"/>
  <c r="M364" i="20"/>
  <c r="M366" i="20"/>
  <c r="M368" i="20"/>
  <c r="M369" i="20"/>
  <c r="M371" i="20"/>
  <c r="M372" i="20"/>
  <c r="M374" i="20"/>
  <c r="M375" i="20"/>
  <c r="M377" i="20"/>
  <c r="M378" i="20"/>
  <c r="M380" i="20"/>
  <c r="M382" i="20"/>
  <c r="M383" i="20"/>
  <c r="M386" i="20"/>
  <c r="M387" i="20"/>
  <c r="M389" i="20"/>
  <c r="M390" i="20"/>
  <c r="M392" i="20"/>
  <c r="M394" i="20"/>
  <c r="M396" i="20"/>
  <c r="M398" i="20"/>
  <c r="M400" i="20"/>
  <c r="M401" i="20"/>
  <c r="M403" i="20"/>
  <c r="M404" i="20"/>
  <c r="M405" i="20"/>
  <c r="M407" i="20"/>
  <c r="M408" i="20"/>
  <c r="M410" i="20"/>
  <c r="M411" i="20"/>
  <c r="M413" i="20"/>
  <c r="M414" i="20"/>
  <c r="M416" i="20"/>
  <c r="M417" i="20"/>
  <c r="M419" i="20"/>
  <c r="M420" i="20"/>
  <c r="M422" i="20"/>
  <c r="M424" i="20"/>
  <c r="M425" i="20"/>
  <c r="M426" i="20"/>
  <c r="M428" i="20"/>
  <c r="M430" i="20"/>
  <c r="M431" i="20"/>
  <c r="M433" i="20"/>
  <c r="M434" i="20"/>
  <c r="M436" i="20"/>
  <c r="M437" i="20"/>
  <c r="M439" i="20"/>
  <c r="M440" i="20"/>
  <c r="M441" i="20"/>
  <c r="M443" i="20"/>
  <c r="M445" i="20"/>
  <c r="M446" i="20"/>
  <c r="M448" i="20"/>
  <c r="M449" i="20"/>
  <c r="M451" i="20"/>
  <c r="M452" i="20"/>
  <c r="M454" i="20"/>
  <c r="M455" i="20"/>
  <c r="M457" i="20"/>
  <c r="M458" i="20"/>
  <c r="M460" i="20"/>
  <c r="M461" i="20"/>
  <c r="M463" i="20"/>
  <c r="M465" i="20"/>
  <c r="M466" i="20"/>
  <c r="M468" i="20"/>
  <c r="M469" i="20"/>
  <c r="M471" i="20"/>
  <c r="M472" i="20"/>
  <c r="M473" i="20"/>
  <c r="M475" i="20"/>
  <c r="M477" i="20"/>
  <c r="M479" i="20"/>
  <c r="M481" i="20"/>
  <c r="M483" i="20"/>
  <c r="M484" i="20"/>
  <c r="M485" i="20"/>
  <c r="M487" i="20"/>
  <c r="M489" i="20"/>
  <c r="M490" i="20"/>
  <c r="M492" i="20"/>
  <c r="M494" i="20"/>
  <c r="M496" i="20"/>
  <c r="M497" i="20"/>
  <c r="M499" i="20"/>
  <c r="M501" i="20"/>
  <c r="M502" i="20"/>
  <c r="M503" i="20"/>
  <c r="M505" i="20"/>
  <c r="M506" i="20"/>
  <c r="M507" i="20"/>
  <c r="M509" i="20"/>
  <c r="M511" i="20"/>
  <c r="M512" i="20"/>
  <c r="M514" i="20"/>
  <c r="M515" i="20"/>
  <c r="M517" i="20"/>
  <c r="M518" i="20"/>
  <c r="M520" i="20"/>
  <c r="M521" i="20"/>
  <c r="M523" i="20"/>
  <c r="M524" i="20"/>
  <c r="M526" i="20"/>
  <c r="M527" i="20"/>
  <c r="M528" i="20"/>
  <c r="M530" i="20"/>
  <c r="M531" i="20"/>
  <c r="M533" i="20"/>
  <c r="M534" i="20"/>
  <c r="M535" i="20"/>
  <c r="M537" i="20"/>
  <c r="M538" i="20"/>
  <c r="M540" i="20"/>
  <c r="M542" i="20"/>
  <c r="M543" i="20"/>
  <c r="M545" i="20"/>
  <c r="M546" i="20"/>
  <c r="M548" i="20"/>
  <c r="M550" i="20"/>
  <c r="M551" i="20"/>
  <c r="M553" i="20"/>
  <c r="M554" i="20"/>
  <c r="M555" i="20"/>
  <c r="M556" i="20"/>
  <c r="M558" i="20"/>
  <c r="M559" i="20"/>
  <c r="M560" i="20"/>
  <c r="M561" i="20"/>
  <c r="M563" i="20"/>
  <c r="M564" i="20"/>
  <c r="M566" i="20"/>
  <c r="M567" i="20"/>
  <c r="M569" i="20"/>
  <c r="M570" i="20"/>
  <c r="M572" i="20"/>
  <c r="M573" i="20"/>
  <c r="M575" i="20"/>
  <c r="M576" i="20"/>
  <c r="M578" i="20"/>
  <c r="M579" i="20"/>
  <c r="M581" i="20"/>
  <c r="M582" i="20"/>
  <c r="M584" i="20"/>
  <c r="M585" i="20"/>
  <c r="M586" i="20"/>
  <c r="M588" i="20"/>
  <c r="M589" i="20"/>
  <c r="M660" i="20"/>
  <c r="M662" i="20"/>
  <c r="M663" i="20"/>
  <c r="M664" i="20"/>
  <c r="M666" i="20"/>
  <c r="M668" i="20"/>
  <c r="M670" i="20"/>
  <c r="M671" i="20"/>
  <c r="M673" i="20"/>
  <c r="M674" i="20"/>
  <c r="M676" i="20"/>
  <c r="M677" i="20"/>
  <c r="M679" i="20"/>
  <c r="M680" i="20"/>
  <c r="M681" i="20"/>
  <c r="M683" i="20"/>
  <c r="M685" i="20"/>
  <c r="M686" i="20"/>
  <c r="M688" i="20"/>
  <c r="M689" i="20"/>
  <c r="M690" i="20"/>
  <c r="M692" i="20"/>
  <c r="M693" i="20"/>
  <c r="M694" i="20"/>
  <c r="M696" i="20"/>
  <c r="M698" i="20"/>
  <c r="M699" i="20"/>
  <c r="M701" i="20"/>
  <c r="M703" i="20"/>
  <c r="M705" i="20"/>
  <c r="M706" i="20"/>
  <c r="M708" i="20"/>
  <c r="M709" i="20"/>
  <c r="M710" i="20"/>
  <c r="M712" i="20"/>
  <c r="M713" i="20"/>
  <c r="M715" i="20"/>
  <c r="M716" i="20"/>
  <c r="M718" i="20"/>
  <c r="M719" i="20"/>
  <c r="M721" i="20"/>
  <c r="M723" i="20"/>
  <c r="M726" i="20"/>
  <c r="M728" i="20"/>
  <c r="M729" i="20"/>
  <c r="M731" i="20"/>
  <c r="M732" i="20"/>
  <c r="M734" i="20"/>
  <c r="M735" i="20"/>
  <c r="M737" i="20"/>
  <c r="M738" i="20"/>
  <c r="M740" i="20"/>
  <c r="M742" i="20"/>
  <c r="M744" i="20"/>
  <c r="M745" i="20"/>
  <c r="M747" i="20"/>
  <c r="M748" i="20"/>
  <c r="M749" i="20"/>
  <c r="M751" i="20"/>
  <c r="M752" i="20"/>
  <c r="M754" i="20"/>
  <c r="M755" i="20"/>
  <c r="M757" i="20"/>
  <c r="M758" i="20"/>
  <c r="M760" i="20"/>
  <c r="M762" i="20"/>
  <c r="M763" i="20"/>
  <c r="M765" i="20"/>
  <c r="M767" i="20"/>
  <c r="M768" i="20"/>
  <c r="M770" i="20"/>
  <c r="M771" i="20"/>
  <c r="M773" i="20"/>
  <c r="M774" i="20"/>
  <c r="M776" i="20"/>
  <c r="M777" i="20"/>
  <c r="M779" i="20"/>
  <c r="M780" i="20"/>
  <c r="M781" i="20"/>
  <c r="M783" i="20"/>
  <c r="M784" i="20"/>
  <c r="M785" i="20"/>
  <c r="M787" i="20"/>
  <c r="M788" i="20"/>
  <c r="M790" i="20"/>
  <c r="M791" i="20"/>
  <c r="M792" i="20"/>
  <c r="M794" i="20"/>
  <c r="M795" i="20"/>
  <c r="M796" i="20"/>
  <c r="M798" i="20"/>
  <c r="M800" i="20"/>
  <c r="M801" i="20"/>
  <c r="M803" i="20"/>
  <c r="M804" i="20"/>
  <c r="M806" i="20"/>
  <c r="M808" i="20"/>
  <c r="M809" i="20"/>
  <c r="M811" i="20"/>
  <c r="M812" i="20"/>
  <c r="M815" i="20"/>
  <c r="M816" i="20"/>
  <c r="M818" i="20"/>
  <c r="M819" i="20"/>
  <c r="M820" i="20"/>
  <c r="M821" i="20"/>
  <c r="M822" i="20"/>
  <c r="M824" i="20"/>
  <c r="M826" i="20"/>
  <c r="M827" i="20"/>
  <c r="M828" i="20"/>
  <c r="M830" i="20"/>
  <c r="M832" i="20"/>
  <c r="M833" i="20"/>
  <c r="M835" i="20"/>
  <c r="M837" i="20"/>
  <c r="M839" i="20"/>
  <c r="M841" i="20"/>
  <c r="M842" i="20"/>
  <c r="M844" i="20"/>
  <c r="M845" i="20"/>
  <c r="M847" i="20"/>
  <c r="M849" i="20"/>
  <c r="M850" i="20"/>
  <c r="M852" i="20"/>
  <c r="M853" i="20"/>
  <c r="M854" i="20"/>
  <c r="M856" i="20"/>
  <c r="M858" i="20"/>
  <c r="M859" i="20"/>
  <c r="M861" i="20"/>
  <c r="M862" i="20"/>
  <c r="M864" i="20"/>
  <c r="M865" i="20"/>
  <c r="M868" i="20"/>
  <c r="M870" i="20"/>
  <c r="M871" i="20"/>
  <c r="M873" i="20"/>
  <c r="M875" i="20"/>
  <c r="M876" i="20"/>
  <c r="M878" i="20"/>
  <c r="M879" i="20"/>
  <c r="M881" i="20"/>
  <c r="M883" i="20"/>
  <c r="M887" i="20"/>
  <c r="M889" i="20"/>
  <c r="M891" i="20"/>
  <c r="M892" i="20"/>
  <c r="M894" i="20"/>
  <c r="M895" i="20"/>
  <c r="M897" i="20"/>
  <c r="M899" i="20"/>
  <c r="M928" i="20"/>
  <c r="M930" i="20"/>
  <c r="M932" i="20"/>
  <c r="M934" i="20"/>
  <c r="M936" i="20"/>
  <c r="M937" i="20"/>
  <c r="M939" i="20"/>
  <c r="M941" i="20"/>
  <c r="M942" i="20"/>
  <c r="M944" i="20"/>
  <c r="M946" i="20"/>
  <c r="M947" i="20"/>
  <c r="L4" i="20"/>
  <c r="L7" i="20"/>
  <c r="L9" i="20"/>
  <c r="L11" i="20"/>
  <c r="L12" i="20"/>
  <c r="L14" i="20"/>
  <c r="L15" i="20"/>
  <c r="L17" i="20"/>
  <c r="L19" i="20"/>
  <c r="L20" i="20"/>
  <c r="L22" i="20"/>
  <c r="L24" i="20"/>
  <c r="L25" i="20"/>
  <c r="L27" i="20"/>
  <c r="L29" i="20"/>
  <c r="L30" i="20"/>
  <c r="L32" i="20"/>
  <c r="L34" i="20"/>
  <c r="L35" i="20"/>
  <c r="L37" i="20"/>
  <c r="L38" i="20"/>
  <c r="L40" i="20"/>
  <c r="L41" i="20"/>
  <c r="L43" i="20"/>
  <c r="L44" i="20"/>
  <c r="L46" i="20"/>
  <c r="L47" i="20"/>
  <c r="L48" i="20"/>
  <c r="L50" i="20"/>
  <c r="L52" i="20"/>
  <c r="L54" i="20"/>
  <c r="L55" i="20"/>
  <c r="L57" i="20"/>
  <c r="L58" i="20"/>
  <c r="L60" i="20"/>
  <c r="L61" i="20"/>
  <c r="L63" i="20"/>
  <c r="L64" i="20"/>
  <c r="L66" i="20"/>
  <c r="L68" i="20"/>
  <c r="L70" i="20"/>
  <c r="L72" i="20"/>
  <c r="L73" i="20"/>
  <c r="L75" i="20"/>
  <c r="L77" i="20"/>
  <c r="L79" i="20"/>
  <c r="L81" i="20"/>
  <c r="L82" i="20"/>
  <c r="L83" i="20"/>
  <c r="L85" i="20"/>
  <c r="L86" i="20"/>
  <c r="L88" i="20"/>
  <c r="L89" i="20"/>
  <c r="L90" i="20"/>
  <c r="L91" i="20"/>
  <c r="L93" i="20"/>
  <c r="L94" i="20"/>
  <c r="L95" i="20"/>
  <c r="L97" i="20"/>
  <c r="L99" i="20"/>
  <c r="L101" i="20"/>
  <c r="L102" i="20"/>
  <c r="L104" i="20"/>
  <c r="L105" i="20"/>
  <c r="L107" i="20"/>
  <c r="L109" i="20"/>
  <c r="L111" i="20"/>
  <c r="L112" i="20"/>
  <c r="L114" i="20"/>
  <c r="L116" i="20"/>
  <c r="L117" i="20"/>
  <c r="L119" i="20"/>
  <c r="L120" i="20"/>
  <c r="L122" i="20"/>
  <c r="L123" i="20"/>
  <c r="L124" i="20"/>
  <c r="L126" i="20"/>
  <c r="L128" i="20"/>
  <c r="L130" i="20"/>
  <c r="L132" i="20"/>
  <c r="L134" i="20"/>
  <c r="L136" i="20"/>
  <c r="L137" i="20"/>
  <c r="L139" i="20"/>
  <c r="L141" i="20"/>
  <c r="L142" i="20"/>
  <c r="L144" i="20"/>
  <c r="L146" i="20"/>
  <c r="L148" i="20"/>
  <c r="L150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2" i="20"/>
  <c r="L193" i="20"/>
  <c r="L194" i="20"/>
  <c r="L195" i="20"/>
  <c r="L196" i="20"/>
  <c r="L197" i="20"/>
  <c r="L198" i="20"/>
  <c r="L199" i="20"/>
  <c r="L200" i="20"/>
  <c r="L201" i="20"/>
  <c r="L202" i="20"/>
  <c r="L203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5" i="20"/>
  <c r="L247" i="20"/>
  <c r="L248" i="20"/>
  <c r="L250" i="20"/>
  <c r="L251" i="20"/>
  <c r="L253" i="20"/>
  <c r="L255" i="20"/>
  <c r="L256" i="20"/>
  <c r="L258" i="20"/>
  <c r="L259" i="20"/>
  <c r="E22" i="20"/>
  <c r="G22" i="20"/>
  <c r="H22" i="20"/>
  <c r="I22" i="20"/>
  <c r="F23" i="20"/>
  <c r="G23" i="20"/>
  <c r="I23" i="20"/>
  <c r="F24" i="20"/>
  <c r="H24" i="20"/>
  <c r="E25" i="20"/>
  <c r="G25" i="20"/>
  <c r="I25" i="20"/>
  <c r="E26" i="20"/>
  <c r="H26" i="20"/>
  <c r="E27" i="20"/>
  <c r="G27" i="20"/>
  <c r="H27" i="20"/>
  <c r="E28" i="20"/>
  <c r="G28" i="20"/>
  <c r="F29" i="20"/>
  <c r="I29" i="20"/>
  <c r="F30" i="20"/>
  <c r="H30" i="20"/>
  <c r="I30" i="20"/>
  <c r="E31" i="20"/>
  <c r="F31" i="20"/>
  <c r="H31" i="20"/>
  <c r="F32" i="20"/>
  <c r="I32" i="20"/>
  <c r="E33" i="20"/>
  <c r="G33" i="20"/>
  <c r="I33" i="20"/>
  <c r="E34" i="20"/>
  <c r="G34" i="20"/>
  <c r="I34" i="20"/>
  <c r="E35" i="20"/>
  <c r="F35" i="20"/>
  <c r="H35" i="20"/>
  <c r="I35" i="20"/>
  <c r="F36" i="20"/>
  <c r="H36" i="20"/>
  <c r="E37" i="20"/>
  <c r="G37" i="20"/>
  <c r="I37" i="20"/>
  <c r="F38" i="20"/>
  <c r="G38" i="20"/>
  <c r="E39" i="20"/>
  <c r="G39" i="20"/>
  <c r="I39" i="20"/>
  <c r="G40" i="20"/>
  <c r="H40" i="20"/>
  <c r="E41" i="20"/>
  <c r="F41" i="20"/>
  <c r="H41" i="20"/>
  <c r="I41" i="20"/>
  <c r="E42" i="20"/>
  <c r="G42" i="20"/>
  <c r="H42" i="20"/>
  <c r="E43" i="20"/>
  <c r="G43" i="20"/>
  <c r="H43" i="20"/>
  <c r="E44" i="20"/>
  <c r="F44" i="20"/>
  <c r="G44" i="20"/>
  <c r="I44" i="20"/>
  <c r="E45" i="20"/>
  <c r="G45" i="20"/>
  <c r="H45" i="20"/>
  <c r="E46" i="20"/>
  <c r="F46" i="20"/>
  <c r="H46" i="20"/>
  <c r="I46" i="20"/>
  <c r="F47" i="20"/>
  <c r="G47" i="20"/>
  <c r="I47" i="20"/>
  <c r="F48" i="20"/>
  <c r="G48" i="20"/>
  <c r="I48" i="20"/>
  <c r="E49" i="20"/>
  <c r="F49" i="20"/>
  <c r="H49" i="20"/>
  <c r="E50" i="20"/>
  <c r="G50" i="20"/>
  <c r="H50" i="20"/>
  <c r="E51" i="20"/>
  <c r="G51" i="20"/>
  <c r="H51" i="20"/>
  <c r="E52" i="20"/>
  <c r="F52" i="20"/>
  <c r="G52" i="20"/>
  <c r="I52" i="20"/>
  <c r="E53" i="20"/>
  <c r="G53" i="20"/>
  <c r="H53" i="20"/>
  <c r="E54" i="20"/>
  <c r="F54" i="20"/>
  <c r="G54" i="20"/>
  <c r="I54" i="20"/>
  <c r="E55" i="20"/>
  <c r="G55" i="20"/>
  <c r="I55" i="20"/>
  <c r="E56" i="20"/>
  <c r="G56" i="20"/>
  <c r="H56" i="20"/>
  <c r="I56" i="20"/>
  <c r="F57" i="20"/>
  <c r="H57" i="20"/>
  <c r="E58" i="20"/>
  <c r="G58" i="20"/>
  <c r="H58" i="20"/>
  <c r="E59" i="20"/>
  <c r="G59" i="20"/>
  <c r="I59" i="20"/>
  <c r="G60" i="20"/>
  <c r="F61" i="20"/>
  <c r="H61" i="20"/>
  <c r="F62" i="20"/>
  <c r="I62" i="20"/>
  <c r="F63" i="20"/>
  <c r="H63" i="20"/>
  <c r="E64" i="20"/>
  <c r="G64" i="20"/>
  <c r="I64" i="20"/>
  <c r="F65" i="20"/>
  <c r="G65" i="20"/>
  <c r="I65" i="20"/>
  <c r="E66" i="20"/>
  <c r="G66" i="20"/>
  <c r="E67" i="20"/>
  <c r="E69" i="20"/>
  <c r="G69" i="20"/>
  <c r="E70" i="20"/>
  <c r="G70" i="20"/>
  <c r="I70" i="20"/>
  <c r="F71" i="20"/>
  <c r="H71" i="20"/>
  <c r="F72" i="20"/>
  <c r="H72" i="20"/>
  <c r="E73" i="20"/>
  <c r="G73" i="20"/>
  <c r="E74" i="20"/>
  <c r="G74" i="20"/>
  <c r="E75" i="20"/>
  <c r="G75" i="20"/>
  <c r="I75" i="20"/>
  <c r="F76" i="20"/>
  <c r="E77" i="20"/>
  <c r="G77" i="20"/>
  <c r="I77" i="20"/>
  <c r="F78" i="20"/>
  <c r="G78" i="20"/>
  <c r="F79" i="20"/>
  <c r="H79" i="20"/>
  <c r="G80" i="20"/>
  <c r="H80" i="20"/>
  <c r="E81" i="20"/>
  <c r="G81" i="20"/>
  <c r="F82" i="20"/>
  <c r="H82" i="20"/>
  <c r="E83" i="20"/>
  <c r="G83" i="20"/>
  <c r="I83" i="20"/>
  <c r="E84" i="20"/>
  <c r="G84" i="20"/>
  <c r="I84" i="20"/>
  <c r="F85" i="20"/>
  <c r="H85" i="20"/>
  <c r="F86" i="20"/>
  <c r="H86" i="20"/>
  <c r="E87" i="20"/>
  <c r="G87" i="20"/>
  <c r="H87" i="20"/>
  <c r="E88" i="20"/>
  <c r="F88" i="20"/>
  <c r="G88" i="20"/>
  <c r="I88" i="20"/>
  <c r="F89" i="20"/>
  <c r="G89" i="20"/>
  <c r="I89" i="20"/>
  <c r="F90" i="20"/>
  <c r="G90" i="20"/>
  <c r="I90" i="20"/>
  <c r="E91" i="20"/>
  <c r="G91" i="20"/>
  <c r="I91" i="20"/>
  <c r="F92" i="20"/>
  <c r="H92" i="20"/>
  <c r="F93" i="20"/>
  <c r="H93" i="20"/>
  <c r="E94" i="20"/>
  <c r="G94" i="20"/>
  <c r="H94" i="20"/>
  <c r="E95" i="20"/>
  <c r="H95" i="20"/>
  <c r="F96" i="20"/>
  <c r="H96" i="20"/>
  <c r="E97" i="20"/>
  <c r="G97" i="20"/>
  <c r="I97" i="20"/>
  <c r="D3" i="20"/>
  <c r="D6" i="20"/>
  <c r="D7" i="20"/>
  <c r="D9" i="20"/>
  <c r="D11" i="20"/>
  <c r="D14" i="20"/>
  <c r="D15" i="20"/>
  <c r="D17" i="20"/>
  <c r="D18" i="20"/>
  <c r="D19" i="20"/>
  <c r="D20" i="20"/>
  <c r="D22" i="20"/>
  <c r="D24" i="20"/>
  <c r="D26" i="20"/>
  <c r="D27" i="20"/>
  <c r="D28" i="20"/>
  <c r="D30" i="20"/>
  <c r="D32" i="20"/>
  <c r="D34" i="20"/>
  <c r="D35" i="20"/>
  <c r="D38" i="20"/>
  <c r="D41" i="20"/>
  <c r="D42" i="20"/>
  <c r="D44" i="20"/>
  <c r="D46" i="20"/>
  <c r="D48" i="20"/>
  <c r="D50" i="20"/>
  <c r="D51" i="20"/>
  <c r="D53" i="20"/>
  <c r="D55" i="20"/>
  <c r="D58" i="20"/>
  <c r="D60" i="20"/>
  <c r="D62" i="20"/>
  <c r="D63" i="20"/>
  <c r="D67" i="20"/>
  <c r="D70" i="20"/>
  <c r="D72" i="20"/>
  <c r="D74" i="20"/>
  <c r="D76" i="20"/>
  <c r="D79" i="20"/>
  <c r="D81" i="20"/>
  <c r="D83" i="20"/>
  <c r="D85" i="20"/>
  <c r="D87" i="20"/>
  <c r="D89" i="20"/>
  <c r="D91" i="20"/>
  <c r="D93" i="20"/>
  <c r="D95" i="20"/>
  <c r="D97" i="20"/>
  <c r="D99" i="20"/>
  <c r="D102" i="20"/>
  <c r="D104" i="20"/>
  <c r="D106" i="20"/>
  <c r="D109" i="20"/>
  <c r="D111" i="20"/>
  <c r="D113" i="20"/>
  <c r="D115" i="20"/>
  <c r="D117" i="20"/>
  <c r="D119" i="20"/>
  <c r="D121" i="20"/>
  <c r="D123" i="20"/>
  <c r="D126" i="20"/>
  <c r="D129" i="20"/>
  <c r="D131" i="20"/>
  <c r="D133" i="20"/>
  <c r="D136" i="20"/>
  <c r="D138" i="20"/>
  <c r="D141" i="20"/>
  <c r="D145" i="20"/>
  <c r="D147" i="20"/>
  <c r="D149" i="20"/>
  <c r="D152" i="20"/>
  <c r="D154" i="20"/>
  <c r="D156" i="20"/>
  <c r="D159" i="20"/>
  <c r="D161" i="20"/>
  <c r="D163" i="20"/>
  <c r="D165" i="20"/>
  <c r="D167" i="20"/>
  <c r="D169" i="20"/>
  <c r="D171" i="20"/>
  <c r="D173" i="20"/>
  <c r="D175" i="20"/>
  <c r="D177" i="20"/>
  <c r="D179" i="20"/>
  <c r="D182" i="20"/>
  <c r="D184" i="20"/>
  <c r="D186" i="20"/>
  <c r="D190" i="20"/>
  <c r="D192" i="20"/>
  <c r="D194" i="20"/>
  <c r="D195" i="20"/>
  <c r="D198" i="20"/>
  <c r="D199" i="20"/>
  <c r="D202" i="20"/>
  <c r="D204" i="20"/>
  <c r="D205" i="20"/>
  <c r="D207" i="20"/>
  <c r="D209" i="20"/>
  <c r="D212" i="20"/>
  <c r="D214" i="20"/>
  <c r="D223" i="20"/>
  <c r="D225" i="20"/>
  <c r="D227" i="20"/>
  <c r="D229" i="20"/>
  <c r="D231" i="20"/>
  <c r="D233" i="20"/>
  <c r="D235" i="20"/>
  <c r="D238" i="20"/>
  <c r="D241" i="20"/>
  <c r="D245" i="20"/>
  <c r="D248" i="20"/>
  <c r="D251" i="20"/>
  <c r="D253" i="20"/>
  <c r="D255" i="20"/>
  <c r="D257" i="20"/>
  <c r="D259" i="20"/>
  <c r="D261" i="20"/>
  <c r="D263" i="20"/>
  <c r="D265" i="20"/>
  <c r="D267" i="20"/>
  <c r="D269" i="20"/>
  <c r="D272" i="20"/>
  <c r="D274" i="20"/>
  <c r="D276" i="20"/>
  <c r="D277" i="20"/>
  <c r="D279" i="20"/>
  <c r="D282" i="20"/>
  <c r="D283" i="20"/>
  <c r="D285" i="20"/>
  <c r="D288" i="20"/>
  <c r="D290" i="20"/>
  <c r="D292" i="20"/>
  <c r="D294" i="20"/>
  <c r="D296" i="20"/>
  <c r="D298" i="20"/>
  <c r="D300" i="20"/>
  <c r="D302" i="20"/>
  <c r="D304" i="20"/>
  <c r="D305" i="20"/>
  <c r="D307" i="20"/>
  <c r="D309" i="20"/>
  <c r="D311" i="20"/>
  <c r="D313" i="20"/>
  <c r="D314" i="20"/>
  <c r="D316" i="20"/>
  <c r="D318" i="20"/>
  <c r="D320" i="20"/>
  <c r="D321" i="20"/>
  <c r="D324" i="20"/>
  <c r="D327" i="20"/>
  <c r="D329" i="20"/>
  <c r="D333" i="20"/>
  <c r="D335" i="20"/>
  <c r="D337" i="20"/>
  <c r="D340" i="20"/>
  <c r="D342" i="20"/>
  <c r="D344" i="20"/>
  <c r="D346" i="20"/>
  <c r="D348" i="20"/>
  <c r="D351" i="20"/>
  <c r="D353" i="20"/>
  <c r="D355" i="20"/>
  <c r="D358" i="20"/>
  <c r="D360" i="20"/>
  <c r="D362" i="20"/>
  <c r="D364" i="20"/>
  <c r="D369" i="20"/>
  <c r="D372" i="20"/>
  <c r="D375" i="20"/>
  <c r="D377" i="20"/>
  <c r="D378" i="20"/>
  <c r="D379" i="20"/>
  <c r="D381" i="20"/>
  <c r="D383" i="20"/>
  <c r="D385" i="20"/>
  <c r="D387" i="20"/>
  <c r="D388" i="20"/>
  <c r="D390" i="20"/>
  <c r="D392" i="20"/>
  <c r="D394" i="20"/>
  <c r="D396" i="20"/>
  <c r="D400" i="20"/>
  <c r="D402" i="20"/>
  <c r="D403" i="20"/>
  <c r="D405" i="20"/>
  <c r="D407" i="20"/>
  <c r="D410" i="20"/>
  <c r="D413" i="20"/>
  <c r="D415" i="20"/>
  <c r="D417" i="20"/>
  <c r="D422" i="20"/>
  <c r="D423" i="20"/>
  <c r="D425" i="20"/>
  <c r="D427" i="20"/>
  <c r="D430" i="20"/>
  <c r="D432" i="20"/>
  <c r="D434" i="20"/>
  <c r="D437" i="20"/>
  <c r="D439" i="20"/>
  <c r="D442" i="20"/>
  <c r="D445" i="20"/>
  <c r="D447" i="20"/>
  <c r="D449" i="20"/>
  <c r="D451" i="20"/>
  <c r="D453" i="20"/>
  <c r="D454" i="20"/>
  <c r="D456" i="20"/>
  <c r="D458" i="20"/>
  <c r="D460" i="20"/>
  <c r="D463" i="20"/>
  <c r="D465" i="20"/>
  <c r="D467" i="20"/>
  <c r="D469" i="20"/>
  <c r="D471" i="20"/>
  <c r="D474" i="20"/>
  <c r="D476" i="20"/>
  <c r="D479" i="20"/>
  <c r="D482" i="20"/>
  <c r="D484" i="20"/>
  <c r="D486" i="20"/>
  <c r="D489" i="20"/>
  <c r="D490" i="20"/>
  <c r="D492" i="20"/>
  <c r="D495" i="20"/>
  <c r="D498" i="20"/>
  <c r="D500" i="20"/>
  <c r="D502" i="20"/>
  <c r="D504" i="20"/>
  <c r="D506" i="20"/>
  <c r="D507" i="20"/>
  <c r="D509" i="20"/>
  <c r="D511" i="20"/>
  <c r="D513" i="20"/>
  <c r="D515" i="20"/>
  <c r="D517" i="20"/>
  <c r="D519" i="20"/>
  <c r="D522" i="20"/>
  <c r="D524" i="20"/>
  <c r="D527" i="20"/>
  <c r="D529" i="20"/>
  <c r="D531" i="20"/>
  <c r="D533" i="20"/>
  <c r="D535" i="20"/>
  <c r="D538" i="20"/>
  <c r="D540" i="20"/>
  <c r="D543" i="20"/>
  <c r="D544" i="20"/>
  <c r="D546" i="20"/>
  <c r="D548" i="20"/>
  <c r="D549" i="20"/>
  <c r="D551" i="20"/>
  <c r="D554" i="20"/>
  <c r="D557" i="20"/>
  <c r="D559" i="20"/>
  <c r="D560" i="20"/>
  <c r="D562" i="20"/>
  <c r="D564" i="20"/>
  <c r="D567" i="20"/>
  <c r="D568" i="20"/>
  <c r="D571" i="20"/>
  <c r="D574" i="20"/>
  <c r="D576" i="20"/>
  <c r="D579" i="20"/>
  <c r="D582" i="20"/>
  <c r="D584" i="20"/>
  <c r="D586" i="20"/>
  <c r="D587" i="20"/>
  <c r="D589" i="20"/>
  <c r="D592" i="20"/>
  <c r="D594" i="20"/>
  <c r="D595" i="20"/>
  <c r="D604" i="20"/>
  <c r="D605" i="20"/>
  <c r="D607" i="20"/>
  <c r="D608" i="20"/>
  <c r="D610" i="20"/>
  <c r="D611" i="20"/>
  <c r="D613" i="20"/>
  <c r="D615" i="20"/>
  <c r="D616" i="20"/>
  <c r="D619" i="20"/>
  <c r="D621" i="20"/>
  <c r="D622" i="20"/>
  <c r="D623" i="20"/>
  <c r="D626" i="20"/>
  <c r="D627" i="20"/>
  <c r="D628" i="20"/>
  <c r="D630" i="20"/>
  <c r="D632" i="20"/>
  <c r="D634" i="20"/>
  <c r="D636" i="20"/>
  <c r="D638" i="20"/>
  <c r="D639" i="20"/>
  <c r="D640" i="20"/>
  <c r="D642" i="20"/>
  <c r="D645" i="20"/>
  <c r="D646" i="20"/>
  <c r="D648" i="20"/>
  <c r="D649" i="20"/>
  <c r="D651" i="20"/>
  <c r="D652" i="20"/>
  <c r="D654" i="20"/>
  <c r="D655" i="20"/>
  <c r="D656" i="20"/>
  <c r="D658" i="20"/>
  <c r="D659" i="20"/>
  <c r="D660" i="20"/>
  <c r="D662" i="20"/>
  <c r="D663" i="20"/>
  <c r="D664" i="20"/>
  <c r="D666" i="20"/>
  <c r="D667" i="20"/>
  <c r="D669" i="20"/>
  <c r="D670" i="20"/>
  <c r="D671" i="20"/>
  <c r="D673" i="20"/>
  <c r="D675" i="20"/>
  <c r="D676" i="20"/>
  <c r="D679" i="20"/>
  <c r="D681" i="20"/>
  <c r="D683" i="20"/>
  <c r="D685" i="20"/>
  <c r="D686" i="20"/>
  <c r="D687" i="20"/>
  <c r="D688" i="20"/>
  <c r="D690" i="20"/>
  <c r="D691" i="20"/>
  <c r="D692" i="20"/>
  <c r="D694" i="20"/>
  <c r="D696" i="20"/>
  <c r="D699" i="20"/>
  <c r="D701" i="20"/>
  <c r="D704" i="20"/>
  <c r="D706" i="20"/>
  <c r="D708" i="20"/>
  <c r="D709" i="20"/>
  <c r="D711" i="20"/>
  <c r="D712" i="20"/>
  <c r="D716" i="20"/>
  <c r="D718" i="20"/>
  <c r="D719" i="20"/>
  <c r="D720" i="20"/>
  <c r="D722" i="20"/>
  <c r="D723" i="20"/>
  <c r="D724" i="20"/>
  <c r="D726" i="20"/>
  <c r="D727" i="20"/>
  <c r="D729" i="20"/>
  <c r="D731" i="20"/>
  <c r="D732" i="20"/>
  <c r="D734" i="20"/>
  <c r="D736" i="20"/>
  <c r="D737" i="20"/>
  <c r="D738" i="20"/>
  <c r="D739" i="20"/>
  <c r="D740" i="20"/>
  <c r="D742" i="20"/>
  <c r="D744" i="20"/>
  <c r="D745" i="20"/>
  <c r="D747" i="20"/>
  <c r="D750" i="20"/>
  <c r="D752" i="20"/>
  <c r="D754" i="20"/>
  <c r="D756" i="20"/>
  <c r="D757" i="20"/>
  <c r="D758" i="20"/>
  <c r="D759" i="20"/>
  <c r="D760" i="20"/>
  <c r="D763" i="20"/>
  <c r="D765" i="20"/>
  <c r="D766" i="20"/>
  <c r="D767" i="20"/>
  <c r="D768" i="20"/>
  <c r="D770" i="20"/>
  <c r="D771" i="20"/>
  <c r="D772" i="20"/>
  <c r="D774" i="20"/>
  <c r="D776" i="20"/>
  <c r="D778" i="20"/>
  <c r="D780" i="20"/>
  <c r="D781" i="20"/>
  <c r="D784" i="20"/>
  <c r="D785" i="20"/>
  <c r="D787" i="20"/>
  <c r="D788" i="20"/>
  <c r="D791" i="20"/>
  <c r="D793" i="20"/>
  <c r="D795" i="20"/>
  <c r="D798" i="20"/>
  <c r="D801" i="20"/>
  <c r="D803" i="20"/>
  <c r="D805" i="20"/>
  <c r="D806" i="20"/>
  <c r="D808" i="20"/>
  <c r="D812" i="20"/>
  <c r="D815" i="20"/>
  <c r="D817" i="20"/>
  <c r="D821" i="20"/>
  <c r="D823" i="20"/>
  <c r="D824" i="20"/>
  <c r="D825" i="20"/>
  <c r="D826" i="20"/>
  <c r="D828" i="20"/>
  <c r="D830" i="20"/>
  <c r="D831" i="20"/>
  <c r="D832" i="20"/>
  <c r="D834" i="20"/>
  <c r="D835" i="20"/>
  <c r="D836" i="20"/>
  <c r="D837" i="20"/>
  <c r="D838" i="20"/>
  <c r="D839" i="20"/>
  <c r="D841" i="20"/>
  <c r="D842" i="20"/>
  <c r="D843" i="20"/>
  <c r="D845" i="20"/>
  <c r="D846" i="20"/>
  <c r="D847" i="20"/>
  <c r="D850" i="20"/>
  <c r="D851" i="20"/>
  <c r="D852" i="20"/>
  <c r="D853" i="20"/>
  <c r="D854" i="20"/>
  <c r="D856" i="20"/>
  <c r="D859" i="20"/>
  <c r="D860" i="20"/>
  <c r="D862" i="20"/>
  <c r="D864" i="20"/>
  <c r="D865" i="20"/>
  <c r="D866" i="20"/>
  <c r="D868" i="20"/>
  <c r="D871" i="20"/>
  <c r="D873" i="20"/>
  <c r="D875" i="20"/>
  <c r="D877" i="20"/>
  <c r="D879" i="20"/>
  <c r="D881" i="20"/>
  <c r="D882" i="20"/>
  <c r="D883" i="20"/>
  <c r="D884" i="20"/>
  <c r="D886" i="20"/>
  <c r="D895" i="20"/>
  <c r="D896" i="20"/>
  <c r="D898" i="20"/>
  <c r="D903" i="20"/>
  <c r="D905" i="20"/>
  <c r="D907" i="20"/>
  <c r="D908" i="20"/>
  <c r="D910" i="20"/>
  <c r="D911" i="20"/>
  <c r="D912" i="20"/>
  <c r="D914" i="20"/>
  <c r="D915" i="20"/>
  <c r="D916" i="20"/>
  <c r="D919" i="20"/>
  <c r="D921" i="20"/>
  <c r="D923" i="20"/>
  <c r="D924" i="20"/>
  <c r="D926" i="20"/>
  <c r="D927" i="20"/>
  <c r="D928" i="20"/>
  <c r="D930" i="20"/>
  <c r="D931" i="20"/>
  <c r="D933" i="20"/>
  <c r="D934" i="20"/>
  <c r="D935" i="20"/>
  <c r="D936" i="20"/>
  <c r="D938" i="20"/>
  <c r="D939" i="20"/>
  <c r="D940" i="20"/>
  <c r="D942" i="20"/>
  <c r="D944" i="20"/>
  <c r="D946" i="20"/>
  <c r="A2" i="20"/>
  <c r="H98" i="20"/>
  <c r="I98" i="20"/>
  <c r="E99" i="20"/>
  <c r="F99" i="20"/>
  <c r="G99" i="20"/>
  <c r="E100" i="20"/>
  <c r="F100" i="20"/>
  <c r="H100" i="20"/>
  <c r="I100" i="20"/>
  <c r="G101" i="20"/>
  <c r="I101" i="20"/>
  <c r="H102" i="20"/>
  <c r="E103" i="20"/>
  <c r="G103" i="20"/>
  <c r="E104" i="20"/>
  <c r="G104" i="20"/>
  <c r="I104" i="20"/>
  <c r="H105" i="20"/>
  <c r="F106" i="20"/>
  <c r="I106" i="20"/>
  <c r="F107" i="20"/>
  <c r="H107" i="20"/>
  <c r="E108" i="20"/>
  <c r="H108" i="20"/>
  <c r="E109" i="20"/>
  <c r="I109" i="20"/>
  <c r="G110" i="20"/>
  <c r="E111" i="20"/>
  <c r="H111" i="20"/>
  <c r="E112" i="20"/>
  <c r="G112" i="20"/>
  <c r="E113" i="20"/>
  <c r="I113" i="20"/>
  <c r="F114" i="20"/>
  <c r="I114" i="20"/>
  <c r="E115" i="20"/>
  <c r="G115" i="20"/>
  <c r="I115" i="20"/>
  <c r="F116" i="20"/>
  <c r="G116" i="20"/>
  <c r="E117" i="20"/>
  <c r="G117" i="20"/>
  <c r="I117" i="20"/>
  <c r="E118" i="20"/>
  <c r="G118" i="20"/>
  <c r="I118" i="20"/>
  <c r="F119" i="20"/>
  <c r="I119" i="20"/>
  <c r="F120" i="20"/>
  <c r="H120" i="20"/>
  <c r="I120" i="20"/>
  <c r="F121" i="20"/>
  <c r="G122" i="20"/>
  <c r="I122" i="20"/>
  <c r="G123" i="20"/>
  <c r="I123" i="20"/>
  <c r="H124" i="20"/>
  <c r="E125" i="20"/>
  <c r="H125" i="20"/>
  <c r="I125" i="20"/>
  <c r="F126" i="20"/>
  <c r="H126" i="20"/>
  <c r="E127" i="20"/>
  <c r="I127" i="20"/>
  <c r="F128" i="20"/>
  <c r="H128" i="20"/>
  <c r="I128" i="20"/>
  <c r="F129" i="20"/>
  <c r="H129" i="20"/>
  <c r="I129" i="20"/>
  <c r="F130" i="20"/>
  <c r="H130" i="20"/>
  <c r="E131" i="20"/>
  <c r="G131" i="20"/>
  <c r="E132" i="20"/>
  <c r="G132" i="20"/>
  <c r="I132" i="20"/>
  <c r="F133" i="20"/>
  <c r="G134" i="20"/>
  <c r="I134" i="20"/>
  <c r="F135" i="20"/>
  <c r="H135" i="20"/>
  <c r="E136" i="20"/>
  <c r="F136" i="20"/>
  <c r="H136" i="20"/>
  <c r="E137" i="20"/>
  <c r="G137" i="20"/>
  <c r="I137" i="20"/>
  <c r="F138" i="20"/>
  <c r="H138" i="20"/>
  <c r="E139" i="20"/>
  <c r="G139" i="20"/>
  <c r="H139" i="20"/>
  <c r="E140" i="20"/>
  <c r="G140" i="20"/>
  <c r="I140" i="20"/>
  <c r="E141" i="20"/>
  <c r="G141" i="20"/>
  <c r="I141" i="20"/>
  <c r="G142" i="20"/>
  <c r="I142" i="20"/>
  <c r="E143" i="20"/>
  <c r="G143" i="20"/>
  <c r="I143" i="20"/>
  <c r="F144" i="20"/>
  <c r="H144" i="20"/>
  <c r="E145" i="20"/>
  <c r="G145" i="20"/>
  <c r="I145" i="20"/>
  <c r="F146" i="20"/>
  <c r="H146" i="20"/>
  <c r="E147" i="20"/>
  <c r="G147" i="20"/>
  <c r="I147" i="20"/>
  <c r="F148" i="20"/>
  <c r="H148" i="20"/>
  <c r="E149" i="20"/>
  <c r="G149" i="20"/>
  <c r="H149" i="20"/>
  <c r="E150" i="20"/>
  <c r="H150" i="20"/>
  <c r="F151" i="20"/>
  <c r="H151" i="20"/>
  <c r="E152" i="20"/>
  <c r="G152" i="20"/>
  <c r="I152" i="20"/>
  <c r="E153" i="20"/>
  <c r="G153" i="20"/>
  <c r="H153" i="20"/>
  <c r="H154" i="20"/>
  <c r="E155" i="20"/>
  <c r="G155" i="20"/>
  <c r="I155" i="20"/>
  <c r="F156" i="20"/>
  <c r="I156" i="20"/>
  <c r="E157" i="20"/>
  <c r="G157" i="20"/>
  <c r="I157" i="20"/>
  <c r="G159" i="20"/>
  <c r="F160" i="20"/>
  <c r="H160" i="20"/>
  <c r="F161" i="20"/>
  <c r="H161" i="20"/>
  <c r="E162" i="20"/>
  <c r="H162" i="20"/>
  <c r="E163" i="20"/>
  <c r="G163" i="20"/>
  <c r="I163" i="20"/>
  <c r="G164" i="20"/>
  <c r="H164" i="20"/>
  <c r="I164" i="20"/>
  <c r="F165" i="20"/>
  <c r="H165" i="20"/>
  <c r="E166" i="20"/>
  <c r="H166" i="20"/>
  <c r="E167" i="20"/>
  <c r="G167" i="20"/>
  <c r="E168" i="20"/>
  <c r="G168" i="20"/>
  <c r="I168" i="20"/>
  <c r="E169" i="20"/>
  <c r="H169" i="20"/>
  <c r="G170" i="20"/>
  <c r="I170" i="20"/>
  <c r="E171" i="20"/>
  <c r="H171" i="20"/>
  <c r="E172" i="20"/>
  <c r="G172" i="20"/>
  <c r="I172" i="20"/>
  <c r="E173" i="20"/>
  <c r="F173" i="20"/>
  <c r="H173" i="20"/>
  <c r="E174" i="20"/>
  <c r="G174" i="20"/>
  <c r="E175" i="20"/>
  <c r="G175" i="20"/>
  <c r="I175" i="20"/>
  <c r="F176" i="20"/>
  <c r="H176" i="20"/>
  <c r="E177" i="20"/>
  <c r="G177" i="20"/>
  <c r="I177" i="20"/>
  <c r="F178" i="20"/>
  <c r="E179" i="20"/>
  <c r="G179" i="20"/>
  <c r="I179" i="20"/>
  <c r="F180" i="20"/>
  <c r="G180" i="20"/>
  <c r="I180" i="20"/>
  <c r="H181" i="20"/>
  <c r="F182" i="20"/>
  <c r="I182" i="20"/>
  <c r="G183" i="20"/>
  <c r="I183" i="20"/>
  <c r="F184" i="20"/>
  <c r="H184" i="20"/>
  <c r="F185" i="20"/>
  <c r="H185" i="20"/>
  <c r="F186" i="20"/>
  <c r="H186" i="20"/>
  <c r="E187" i="20"/>
  <c r="F187" i="20"/>
  <c r="F188" i="20"/>
  <c r="H188" i="20"/>
  <c r="I188" i="20"/>
  <c r="F189" i="20"/>
  <c r="H189" i="20"/>
  <c r="E190" i="20"/>
  <c r="G190" i="20"/>
  <c r="I190" i="20"/>
  <c r="F191" i="20"/>
  <c r="H191" i="20"/>
  <c r="E192" i="20"/>
  <c r="G192" i="20"/>
  <c r="I192" i="20"/>
  <c r="G193" i="20"/>
  <c r="I193" i="20"/>
  <c r="F194" i="20"/>
  <c r="F662" i="20"/>
  <c r="I663" i="20"/>
  <c r="H665" i="20"/>
  <c r="I672" i="20"/>
  <c r="I935" i="20"/>
  <c r="I937" i="20"/>
  <c r="E940" i="20"/>
  <c r="H943" i="20"/>
  <c r="E947" i="20"/>
  <c r="I947" i="20"/>
  <c r="H194" i="20"/>
  <c r="F195" i="20"/>
  <c r="E196" i="20"/>
  <c r="F196" i="20"/>
  <c r="I196" i="20"/>
  <c r="F197" i="20"/>
  <c r="G197" i="20"/>
  <c r="I197" i="20"/>
  <c r="G198" i="20"/>
  <c r="I198" i="20"/>
  <c r="F199" i="20"/>
  <c r="H199" i="20"/>
  <c r="F200" i="20"/>
  <c r="H200" i="20"/>
  <c r="E201" i="20"/>
  <c r="F201" i="20"/>
  <c r="I201" i="20"/>
  <c r="F202" i="20"/>
  <c r="H202" i="20"/>
  <c r="E203" i="20"/>
  <c r="I203" i="20"/>
  <c r="F204" i="20"/>
  <c r="H204" i="20"/>
  <c r="E205" i="20"/>
  <c r="H205" i="20"/>
  <c r="E206" i="20"/>
  <c r="G206" i="20"/>
  <c r="E207" i="20"/>
  <c r="G207" i="20"/>
  <c r="I207" i="20"/>
  <c r="F208" i="20"/>
  <c r="H208" i="20"/>
  <c r="E209" i="20"/>
  <c r="G209" i="20"/>
  <c r="I209" i="20"/>
  <c r="F210" i="20"/>
  <c r="H210" i="20"/>
  <c r="E211" i="20"/>
  <c r="G211" i="20"/>
  <c r="E212" i="20"/>
  <c r="G212" i="20"/>
  <c r="H212" i="20"/>
  <c r="E213" i="20"/>
  <c r="G213" i="20"/>
  <c r="H213" i="20"/>
  <c r="E214" i="20"/>
  <c r="H214" i="20"/>
  <c r="I214" i="20"/>
  <c r="F215" i="20"/>
  <c r="H215" i="20"/>
  <c r="E216" i="20"/>
  <c r="G216" i="20"/>
  <c r="I216" i="20"/>
  <c r="F217" i="20"/>
  <c r="I217" i="20"/>
  <c r="F218" i="20"/>
  <c r="H218" i="20"/>
  <c r="E219" i="20"/>
  <c r="G219" i="20"/>
  <c r="I219" i="20"/>
  <c r="F220" i="20"/>
  <c r="H220" i="20"/>
  <c r="F221" i="20"/>
  <c r="H221" i="20"/>
  <c r="E222" i="20"/>
  <c r="I222" i="20"/>
  <c r="F223" i="20"/>
  <c r="G223" i="20"/>
  <c r="I223" i="20"/>
  <c r="F224" i="20"/>
  <c r="G224" i="20"/>
  <c r="I224" i="20"/>
  <c r="F225" i="20"/>
  <c r="G225" i="20"/>
  <c r="I225" i="20"/>
  <c r="G226" i="20"/>
  <c r="I226" i="20"/>
  <c r="F227" i="20"/>
  <c r="H227" i="20"/>
  <c r="E228" i="20"/>
  <c r="G228" i="20"/>
  <c r="I228" i="20"/>
  <c r="F229" i="20"/>
  <c r="G229" i="20"/>
  <c r="F230" i="20"/>
  <c r="H230" i="20"/>
  <c r="E231" i="20"/>
  <c r="G231" i="20"/>
  <c r="E232" i="20"/>
  <c r="H232" i="20"/>
  <c r="E233" i="20"/>
  <c r="G233" i="20"/>
  <c r="I233" i="20"/>
  <c r="G234" i="20"/>
  <c r="F235" i="20"/>
  <c r="I235" i="20"/>
  <c r="G236" i="20"/>
  <c r="I236" i="20"/>
  <c r="F237" i="20"/>
  <c r="H237" i="20"/>
  <c r="F238" i="20"/>
  <c r="H238" i="20"/>
  <c r="F239" i="20"/>
  <c r="H239" i="20"/>
  <c r="E240" i="20"/>
  <c r="G240" i="20"/>
  <c r="E241" i="20"/>
  <c r="G270" i="20"/>
  <c r="I270" i="20"/>
  <c r="G271" i="20"/>
  <c r="H271" i="20"/>
  <c r="E272" i="20"/>
  <c r="G272" i="20"/>
  <c r="I272" i="20"/>
  <c r="F273" i="20"/>
  <c r="H273" i="20"/>
  <c r="E274" i="20"/>
  <c r="G274" i="20"/>
  <c r="I274" i="20"/>
  <c r="F275" i="20"/>
  <c r="H275" i="20"/>
  <c r="F276" i="20"/>
  <c r="H276" i="20"/>
  <c r="E277" i="20"/>
  <c r="F277" i="20"/>
  <c r="I277" i="20"/>
  <c r="F278" i="20"/>
  <c r="H278" i="20"/>
  <c r="E279" i="20"/>
  <c r="G279" i="20"/>
  <c r="E280" i="20"/>
  <c r="G280" i="20"/>
  <c r="E281" i="20"/>
  <c r="F281" i="20"/>
  <c r="I281" i="20"/>
  <c r="G282" i="20"/>
  <c r="H282" i="20"/>
  <c r="E283" i="20"/>
  <c r="G283" i="20"/>
  <c r="E284" i="20"/>
  <c r="G284" i="20"/>
  <c r="I284" i="20"/>
  <c r="F285" i="20"/>
  <c r="H285" i="20"/>
  <c r="E286" i="20"/>
  <c r="G286" i="20"/>
  <c r="F287" i="20"/>
  <c r="H287" i="20"/>
  <c r="E288" i="20"/>
  <c r="F288" i="20"/>
  <c r="H288" i="20"/>
  <c r="E289" i="20"/>
  <c r="G289" i="20"/>
  <c r="F382" i="20"/>
  <c r="F383" i="20"/>
  <c r="E384" i="20"/>
  <c r="E385" i="20"/>
  <c r="I385" i="20"/>
  <c r="F448" i="20"/>
  <c r="F450" i="20"/>
  <c r="I451" i="20"/>
  <c r="E453" i="20"/>
  <c r="F454" i="20"/>
  <c r="H455" i="20"/>
  <c r="G457" i="20"/>
  <c r="I458" i="20"/>
  <c r="I461" i="20"/>
  <c r="G464" i="20"/>
  <c r="F465" i="20"/>
  <c r="E466" i="20"/>
  <c r="E468" i="20"/>
  <c r="G469" i="20"/>
  <c r="H470" i="20"/>
  <c r="G472" i="20"/>
  <c r="F473" i="20"/>
  <c r="G474" i="20"/>
  <c r="I475" i="20"/>
  <c r="E477" i="20"/>
  <c r="E478" i="20"/>
  <c r="I478" i="20"/>
  <c r="E480" i="20"/>
  <c r="F571" i="20"/>
  <c r="F572" i="20"/>
  <c r="G576" i="20"/>
  <c r="H663" i="20"/>
  <c r="E670" i="20"/>
  <c r="F944" i="20"/>
  <c r="F290" i="20"/>
  <c r="E291" i="20"/>
  <c r="G291" i="20"/>
  <c r="I291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254" i="20"/>
  <c r="B255" i="20"/>
  <c r="B256" i="20"/>
  <c r="B257" i="20"/>
  <c r="B258" i="20"/>
  <c r="B259" i="20"/>
  <c r="B260" i="20"/>
  <c r="B261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78" i="20"/>
  <c r="B279" i="20"/>
  <c r="B280" i="20"/>
  <c r="B281" i="20"/>
  <c r="B282" i="20"/>
  <c r="B283" i="20"/>
  <c r="B284" i="20"/>
  <c r="B285" i="20"/>
  <c r="B286" i="20"/>
  <c r="B287" i="20"/>
  <c r="B288" i="20"/>
  <c r="B289" i="20"/>
  <c r="B290" i="20"/>
  <c r="B291" i="20"/>
  <c r="B292" i="20"/>
  <c r="B293" i="20"/>
  <c r="B294" i="20"/>
  <c r="B295" i="20"/>
  <c r="B296" i="20"/>
  <c r="B297" i="20"/>
  <c r="B298" i="20"/>
  <c r="B299" i="20"/>
  <c r="B300" i="20"/>
  <c r="B301" i="20"/>
  <c r="B302" i="20"/>
  <c r="B303" i="20"/>
  <c r="B304" i="20"/>
  <c r="B305" i="20"/>
  <c r="B306" i="20"/>
  <c r="B307" i="20"/>
  <c r="B308" i="20"/>
  <c r="B309" i="20"/>
  <c r="B310" i="20"/>
  <c r="B311" i="20"/>
  <c r="B312" i="20"/>
  <c r="B313" i="20"/>
  <c r="B314" i="20"/>
  <c r="B315" i="20"/>
  <c r="B316" i="20"/>
  <c r="B317" i="20"/>
  <c r="B318" i="20"/>
  <c r="B319" i="20"/>
  <c r="B320" i="20"/>
  <c r="B321" i="20"/>
  <c r="B322" i="20"/>
  <c r="B323" i="20"/>
  <c r="B324" i="20"/>
  <c r="B325" i="20"/>
  <c r="B326" i="20"/>
  <c r="B327" i="20"/>
  <c r="B328" i="20"/>
  <c r="B329" i="20"/>
  <c r="B330" i="20"/>
  <c r="B331" i="20"/>
  <c r="B332" i="20"/>
  <c r="B333" i="20"/>
  <c r="B334" i="20"/>
  <c r="B335" i="20"/>
  <c r="B336" i="20"/>
  <c r="B337" i="20"/>
  <c r="B338" i="20"/>
  <c r="B339" i="20"/>
  <c r="B340" i="20"/>
  <c r="B341" i="20"/>
  <c r="B342" i="20"/>
  <c r="B343" i="20"/>
  <c r="B344" i="20"/>
  <c r="B345" i="20"/>
  <c r="B346" i="20"/>
  <c r="B347" i="20"/>
  <c r="B348" i="20"/>
  <c r="B349" i="20"/>
  <c r="B350" i="20"/>
  <c r="B351" i="20"/>
  <c r="B352" i="20"/>
  <c r="B353" i="20"/>
  <c r="B354" i="20"/>
  <c r="B355" i="20"/>
  <c r="B356" i="20"/>
  <c r="B357" i="20"/>
  <c r="B358" i="20"/>
  <c r="B359" i="20"/>
  <c r="B360" i="20"/>
  <c r="B361" i="20"/>
  <c r="B362" i="20"/>
  <c r="B363" i="20"/>
  <c r="B364" i="20"/>
  <c r="B365" i="20"/>
  <c r="B366" i="20"/>
  <c r="B367" i="20"/>
  <c r="B368" i="20"/>
  <c r="B369" i="20"/>
  <c r="B370" i="20"/>
  <c r="B371" i="20"/>
  <c r="B372" i="20"/>
  <c r="B373" i="20"/>
  <c r="B374" i="20"/>
  <c r="B375" i="20"/>
  <c r="B376" i="20"/>
  <c r="B377" i="20"/>
  <c r="B378" i="20"/>
  <c r="B379" i="20"/>
  <c r="B380" i="20"/>
  <c r="B381" i="20"/>
  <c r="B382" i="20"/>
  <c r="B383" i="20"/>
  <c r="B384" i="20"/>
  <c r="B385" i="20"/>
  <c r="B386" i="20"/>
  <c r="B387" i="20"/>
  <c r="B388" i="20"/>
  <c r="B389" i="20"/>
  <c r="B390" i="20"/>
  <c r="B391" i="20"/>
  <c r="B392" i="20"/>
  <c r="B393" i="20"/>
  <c r="B394" i="20"/>
  <c r="B395" i="20"/>
  <c r="B396" i="20"/>
  <c r="B397" i="20"/>
  <c r="B398" i="20"/>
  <c r="B399" i="20"/>
  <c r="B400" i="20"/>
  <c r="B401" i="20"/>
  <c r="B402" i="20"/>
  <c r="B403" i="20"/>
  <c r="B404" i="20"/>
  <c r="B405" i="20"/>
  <c r="B406" i="20"/>
  <c r="B407" i="20"/>
  <c r="B408" i="20"/>
  <c r="B409" i="20"/>
  <c r="B410" i="20"/>
  <c r="B411" i="20"/>
  <c r="B412" i="20"/>
  <c r="B413" i="20"/>
  <c r="B414" i="20"/>
  <c r="B415" i="20"/>
  <c r="B416" i="20"/>
  <c r="B417" i="20"/>
  <c r="B418" i="20"/>
  <c r="B419" i="20"/>
  <c r="B420" i="20"/>
  <c r="B421" i="20"/>
  <c r="B422" i="20"/>
  <c r="B423" i="20"/>
  <c r="B424" i="20"/>
  <c r="B425" i="20"/>
  <c r="B426" i="20"/>
  <c r="B427" i="20"/>
  <c r="B428" i="20"/>
  <c r="B429" i="20"/>
  <c r="B430" i="20"/>
  <c r="B431" i="20"/>
  <c r="B432" i="20"/>
  <c r="B433" i="20"/>
  <c r="B434" i="20"/>
  <c r="B435" i="20"/>
  <c r="B436" i="20"/>
  <c r="B437" i="20"/>
  <c r="B438" i="20"/>
  <c r="B439" i="20"/>
  <c r="B440" i="20"/>
  <c r="B441" i="20"/>
  <c r="B442" i="20"/>
  <c r="B443" i="20"/>
  <c r="B444" i="20"/>
  <c r="B445" i="20"/>
  <c r="B446" i="20"/>
  <c r="B447" i="20"/>
  <c r="B448" i="20"/>
  <c r="B449" i="20"/>
  <c r="B450" i="20"/>
  <c r="B451" i="20"/>
  <c r="B452" i="20"/>
  <c r="B453" i="20"/>
  <c r="B454" i="20"/>
  <c r="B455" i="20"/>
  <c r="B456" i="20"/>
  <c r="B457" i="20"/>
  <c r="B458" i="20"/>
  <c r="B459" i="20"/>
  <c r="B460" i="20"/>
  <c r="B461" i="20"/>
  <c r="B462" i="20"/>
  <c r="B463" i="20"/>
  <c r="B464" i="20"/>
  <c r="B465" i="20"/>
  <c r="B466" i="20"/>
  <c r="B467" i="20"/>
  <c r="B468" i="20"/>
  <c r="B469" i="20"/>
  <c r="B470" i="20"/>
  <c r="B471" i="20"/>
  <c r="B472" i="20"/>
  <c r="B473" i="20"/>
  <c r="B474" i="20"/>
  <c r="B475" i="20"/>
  <c r="B476" i="20"/>
  <c r="B477" i="20"/>
  <c r="B478" i="20"/>
  <c r="B479" i="20"/>
  <c r="B480" i="20"/>
  <c r="B481" i="20"/>
  <c r="B482" i="20"/>
  <c r="B483" i="20"/>
  <c r="B484" i="20"/>
  <c r="B485" i="20"/>
  <c r="B486" i="20"/>
  <c r="B487" i="20"/>
  <c r="B488" i="20"/>
  <c r="B489" i="20"/>
  <c r="B490" i="20"/>
  <c r="B491" i="20"/>
  <c r="B492" i="20"/>
  <c r="B493" i="20"/>
  <c r="B494" i="20"/>
  <c r="B495" i="20"/>
  <c r="B496" i="20"/>
  <c r="B497" i="20"/>
  <c r="B498" i="20"/>
  <c r="B499" i="20"/>
  <c r="B500" i="20"/>
  <c r="B501" i="20"/>
  <c r="B502" i="20"/>
  <c r="B503" i="20"/>
  <c r="B504" i="20"/>
  <c r="B505" i="20"/>
  <c r="B506" i="20"/>
  <c r="B507" i="20"/>
  <c r="B508" i="20"/>
  <c r="B509" i="20"/>
  <c r="B510" i="20"/>
  <c r="B511" i="20"/>
  <c r="B512" i="20"/>
  <c r="B513" i="20"/>
  <c r="B514" i="20"/>
  <c r="B515" i="20"/>
  <c r="B516" i="20"/>
  <c r="B517" i="20"/>
  <c r="B518" i="20"/>
  <c r="B519" i="20"/>
  <c r="B520" i="20"/>
  <c r="B521" i="20"/>
  <c r="B522" i="20"/>
  <c r="B523" i="20"/>
  <c r="B524" i="20"/>
  <c r="B525" i="20"/>
  <c r="B526" i="20"/>
  <c r="B527" i="20"/>
  <c r="B528" i="20"/>
  <c r="B529" i="20"/>
  <c r="B530" i="20"/>
  <c r="B531" i="20"/>
  <c r="B532" i="20"/>
  <c r="B533" i="20"/>
  <c r="B534" i="20"/>
  <c r="B535" i="20"/>
  <c r="B536" i="20"/>
  <c r="B537" i="20"/>
  <c r="B538" i="20"/>
  <c r="B539" i="20"/>
  <c r="B540" i="20"/>
  <c r="B541" i="20"/>
  <c r="B542" i="20"/>
  <c r="B543" i="20"/>
  <c r="B544" i="20"/>
  <c r="B545" i="20"/>
  <c r="B546" i="20"/>
  <c r="B547" i="20"/>
  <c r="B548" i="20"/>
  <c r="B549" i="20"/>
  <c r="B550" i="20"/>
  <c r="B551" i="20"/>
  <c r="B552" i="20"/>
  <c r="B553" i="20"/>
  <c r="B554" i="20"/>
  <c r="B555" i="20"/>
  <c r="B556" i="20"/>
  <c r="B557" i="20"/>
  <c r="B558" i="20"/>
  <c r="B559" i="20"/>
  <c r="B560" i="20"/>
  <c r="B561" i="20"/>
  <c r="B562" i="20"/>
  <c r="B563" i="20"/>
  <c r="B564" i="20"/>
  <c r="B565" i="20"/>
  <c r="B566" i="20"/>
  <c r="B567" i="20"/>
  <c r="B568" i="20"/>
  <c r="B569" i="20"/>
  <c r="B570" i="20"/>
  <c r="B571" i="20"/>
  <c r="B572" i="20"/>
  <c r="B573" i="20"/>
  <c r="B574" i="20"/>
  <c r="B575" i="20"/>
  <c r="B576" i="20"/>
  <c r="B577" i="20"/>
  <c r="B578" i="20"/>
  <c r="B579" i="20"/>
  <c r="B580" i="20"/>
  <c r="B581" i="20"/>
  <c r="B582" i="20"/>
  <c r="B583" i="20"/>
  <c r="B584" i="20"/>
  <c r="B585" i="20"/>
  <c r="B586" i="20"/>
  <c r="B587" i="20"/>
  <c r="B588" i="20"/>
  <c r="B589" i="20"/>
  <c r="B590" i="20"/>
  <c r="B591" i="20"/>
  <c r="B592" i="20"/>
  <c r="B593" i="20"/>
  <c r="B594" i="20"/>
  <c r="B595" i="20"/>
  <c r="B596" i="20"/>
  <c r="B597" i="20"/>
  <c r="B598" i="20"/>
  <c r="B599" i="20"/>
  <c r="B600" i="20"/>
  <c r="B601" i="20"/>
  <c r="B602" i="20"/>
  <c r="B603" i="20"/>
  <c r="B604" i="20"/>
  <c r="B605" i="20"/>
  <c r="B606" i="20"/>
  <c r="B607" i="20"/>
  <c r="B608" i="20"/>
  <c r="B609" i="20"/>
  <c r="B610" i="20"/>
  <c r="B611" i="20"/>
  <c r="B612" i="20"/>
  <c r="B613" i="20"/>
  <c r="B614" i="20"/>
  <c r="B615" i="20"/>
  <c r="B616" i="20"/>
  <c r="B617" i="20"/>
  <c r="B618" i="20"/>
  <c r="B619" i="20"/>
  <c r="B620" i="20"/>
  <c r="B621" i="20"/>
  <c r="B622" i="20"/>
  <c r="B623" i="20"/>
  <c r="B624" i="20"/>
  <c r="B625" i="20"/>
  <c r="B626" i="20"/>
  <c r="B627" i="20"/>
  <c r="B628" i="20"/>
  <c r="B629" i="20"/>
  <c r="B630" i="20"/>
  <c r="B631" i="20"/>
  <c r="B632" i="20"/>
  <c r="B633" i="20"/>
  <c r="B634" i="20"/>
  <c r="B635" i="20"/>
  <c r="B636" i="20"/>
  <c r="B637" i="20"/>
  <c r="B638" i="20"/>
  <c r="B639" i="20"/>
  <c r="B640" i="20"/>
  <c r="B641" i="20"/>
  <c r="B642" i="20"/>
  <c r="B643" i="20"/>
  <c r="B644" i="20"/>
  <c r="B645" i="20"/>
  <c r="B646" i="20"/>
  <c r="B647" i="20"/>
  <c r="B648" i="20"/>
  <c r="B649" i="20"/>
  <c r="B650" i="20"/>
  <c r="B651" i="20"/>
  <c r="B652" i="20"/>
  <c r="B653" i="20"/>
  <c r="B654" i="20"/>
  <c r="B655" i="20"/>
  <c r="B656" i="20"/>
  <c r="B657" i="20"/>
  <c r="B658" i="20"/>
  <c r="B659" i="20"/>
  <c r="B660" i="20"/>
  <c r="B661" i="20"/>
  <c r="B662" i="20"/>
  <c r="B663" i="20"/>
  <c r="B664" i="20"/>
  <c r="B665" i="20"/>
  <c r="B666" i="20"/>
  <c r="B667" i="20"/>
  <c r="B668" i="20"/>
  <c r="B669" i="20"/>
  <c r="B670" i="20"/>
  <c r="B671" i="20"/>
  <c r="B672" i="20"/>
  <c r="B673" i="20"/>
  <c r="B674" i="20"/>
  <c r="B675" i="20"/>
  <c r="B676" i="20"/>
  <c r="B677" i="20"/>
  <c r="B678" i="20"/>
  <c r="B679" i="20"/>
  <c r="B680" i="20"/>
  <c r="B681" i="20"/>
  <c r="B682" i="20"/>
  <c r="B683" i="20"/>
  <c r="B684" i="20"/>
  <c r="B685" i="20"/>
  <c r="B686" i="20"/>
  <c r="B687" i="20"/>
  <c r="B688" i="20"/>
  <c r="B689" i="20"/>
  <c r="B690" i="20"/>
  <c r="B691" i="20"/>
  <c r="B692" i="20"/>
  <c r="B693" i="20"/>
  <c r="B694" i="20"/>
  <c r="B695" i="20"/>
  <c r="B696" i="20"/>
  <c r="B697" i="20"/>
  <c r="B698" i="20"/>
  <c r="B699" i="20"/>
  <c r="B700" i="20"/>
  <c r="B701" i="20"/>
  <c r="B702" i="20"/>
  <c r="B703" i="20"/>
  <c r="B704" i="20"/>
  <c r="B705" i="20"/>
  <c r="B706" i="20"/>
  <c r="B707" i="20"/>
  <c r="B708" i="20"/>
  <c r="B709" i="20"/>
  <c r="B710" i="20"/>
  <c r="B711" i="20"/>
  <c r="B712" i="20"/>
  <c r="B713" i="20"/>
  <c r="B714" i="20"/>
  <c r="B715" i="20"/>
  <c r="B716" i="20"/>
  <c r="B717" i="20"/>
  <c r="B718" i="20"/>
  <c r="B719" i="20"/>
  <c r="B720" i="20"/>
  <c r="B721" i="20"/>
  <c r="B722" i="20"/>
  <c r="B723" i="20"/>
  <c r="B724" i="20"/>
  <c r="B725" i="20"/>
  <c r="B726" i="20"/>
  <c r="B727" i="20"/>
  <c r="B728" i="20"/>
  <c r="B729" i="20"/>
  <c r="B730" i="20"/>
  <c r="B731" i="20"/>
  <c r="B732" i="20"/>
  <c r="B733" i="20"/>
  <c r="B734" i="20"/>
  <c r="B735" i="20"/>
  <c r="B736" i="20"/>
  <c r="B737" i="20"/>
  <c r="B738" i="20"/>
  <c r="B739" i="20"/>
  <c r="B740" i="20"/>
  <c r="B741" i="20"/>
  <c r="B742" i="20"/>
  <c r="B743" i="20"/>
  <c r="B744" i="20"/>
  <c r="B745" i="20"/>
  <c r="B746" i="20"/>
  <c r="B747" i="20"/>
  <c r="B748" i="20"/>
  <c r="B749" i="20"/>
  <c r="B750" i="20"/>
  <c r="B751" i="20"/>
  <c r="B752" i="20"/>
  <c r="B753" i="20"/>
  <c r="B754" i="20"/>
  <c r="B755" i="20"/>
  <c r="B756" i="20"/>
  <c r="B757" i="20"/>
  <c r="B758" i="20"/>
  <c r="B759" i="20"/>
  <c r="B760" i="20"/>
  <c r="B761" i="20"/>
  <c r="B762" i="20"/>
  <c r="B763" i="20"/>
  <c r="B764" i="20"/>
  <c r="B765" i="20"/>
  <c r="B766" i="20"/>
  <c r="B767" i="20"/>
  <c r="B768" i="20"/>
  <c r="B769" i="20"/>
  <c r="B770" i="20"/>
  <c r="B771" i="20"/>
  <c r="B772" i="20"/>
  <c r="B773" i="20"/>
  <c r="B774" i="20"/>
  <c r="B775" i="20"/>
  <c r="B776" i="20"/>
  <c r="B777" i="20"/>
  <c r="B778" i="20"/>
  <c r="B779" i="20"/>
  <c r="B780" i="20"/>
  <c r="B781" i="20"/>
  <c r="B782" i="20"/>
  <c r="B783" i="20"/>
  <c r="B784" i="20"/>
  <c r="B785" i="20"/>
  <c r="B786" i="20"/>
  <c r="B787" i="20"/>
  <c r="B788" i="20"/>
  <c r="B789" i="20"/>
  <c r="B790" i="20"/>
  <c r="B791" i="20"/>
  <c r="B792" i="20"/>
  <c r="B793" i="20"/>
  <c r="B794" i="20"/>
  <c r="B795" i="20"/>
  <c r="B796" i="20"/>
  <c r="B797" i="20"/>
  <c r="B798" i="20"/>
  <c r="B799" i="20"/>
  <c r="B800" i="20"/>
  <c r="B801" i="20"/>
  <c r="B802" i="20"/>
  <c r="B803" i="20"/>
  <c r="B804" i="20"/>
  <c r="B805" i="20"/>
  <c r="B806" i="20"/>
  <c r="B807" i="20"/>
  <c r="B808" i="20"/>
  <c r="B809" i="20"/>
  <c r="B810" i="20"/>
  <c r="B811" i="20"/>
  <c r="B812" i="20"/>
  <c r="B813" i="20"/>
  <c r="B814" i="20"/>
  <c r="B815" i="20"/>
  <c r="B816" i="20"/>
  <c r="B817" i="20"/>
  <c r="B818" i="20"/>
  <c r="B819" i="20"/>
  <c r="B820" i="20"/>
  <c r="B821" i="20"/>
  <c r="B822" i="20"/>
  <c r="B823" i="20"/>
  <c r="B824" i="20"/>
  <c r="B825" i="20"/>
  <c r="B826" i="20"/>
  <c r="B827" i="20"/>
  <c r="B828" i="20"/>
  <c r="B829" i="20"/>
  <c r="B830" i="20"/>
  <c r="B831" i="20"/>
  <c r="B832" i="20"/>
  <c r="B833" i="20"/>
  <c r="B834" i="20"/>
  <c r="B835" i="20"/>
  <c r="B836" i="20"/>
  <c r="B837" i="20"/>
  <c r="B838" i="20"/>
  <c r="B839" i="20"/>
  <c r="B840" i="20"/>
  <c r="B841" i="20"/>
  <c r="B842" i="20"/>
  <c r="B843" i="20"/>
  <c r="B844" i="20"/>
  <c r="B845" i="20"/>
  <c r="B846" i="20"/>
  <c r="B847" i="20"/>
  <c r="B848" i="20"/>
  <c r="B849" i="20"/>
  <c r="B850" i="20"/>
  <c r="B851" i="20"/>
  <c r="B852" i="20"/>
  <c r="B853" i="20"/>
  <c r="B854" i="20"/>
  <c r="B855" i="20"/>
  <c r="B856" i="20"/>
  <c r="B857" i="20"/>
  <c r="B858" i="20"/>
  <c r="B859" i="20"/>
  <c r="B860" i="20"/>
  <c r="B861" i="20"/>
  <c r="B862" i="20"/>
  <c r="B863" i="20"/>
  <c r="B864" i="20"/>
  <c r="B865" i="20"/>
  <c r="B866" i="20"/>
  <c r="B867" i="20"/>
  <c r="B868" i="20"/>
  <c r="B869" i="20"/>
  <c r="B870" i="20"/>
  <c r="B871" i="20"/>
  <c r="B872" i="20"/>
  <c r="B873" i="20"/>
  <c r="B874" i="20"/>
  <c r="B875" i="20"/>
  <c r="B876" i="20"/>
  <c r="B877" i="20"/>
  <c r="B878" i="20"/>
  <c r="B879" i="20"/>
  <c r="B880" i="20"/>
  <c r="B881" i="20"/>
  <c r="B882" i="20"/>
  <c r="B883" i="20"/>
  <c r="B884" i="20"/>
  <c r="B885" i="20"/>
  <c r="B886" i="20"/>
  <c r="B887" i="20"/>
  <c r="B888" i="20"/>
  <c r="B889" i="20"/>
  <c r="B890" i="20"/>
  <c r="B891" i="20"/>
  <c r="B892" i="20"/>
  <c r="B893" i="20"/>
  <c r="B894" i="20"/>
  <c r="B895" i="20"/>
  <c r="B896" i="20"/>
  <c r="B897" i="20"/>
  <c r="B898" i="20"/>
  <c r="B899" i="20"/>
  <c r="B900" i="20"/>
  <c r="B901" i="20"/>
  <c r="B902" i="20"/>
  <c r="B903" i="20"/>
  <c r="B904" i="20"/>
  <c r="B905" i="20"/>
  <c r="B906" i="20"/>
  <c r="B907" i="20"/>
  <c r="B908" i="20"/>
  <c r="B909" i="20"/>
  <c r="B910" i="20"/>
  <c r="B911" i="20"/>
  <c r="B912" i="20"/>
  <c r="B913" i="20"/>
  <c r="B914" i="20"/>
  <c r="B915" i="20"/>
  <c r="B916" i="20"/>
  <c r="B917" i="20"/>
  <c r="B918" i="20"/>
  <c r="B919" i="20"/>
  <c r="B920" i="20"/>
  <c r="B921" i="20"/>
  <c r="B922" i="20"/>
  <c r="B923" i="20"/>
  <c r="B924" i="20"/>
  <c r="B925" i="20"/>
  <c r="B926" i="20"/>
  <c r="B927" i="20"/>
  <c r="B928" i="20"/>
  <c r="B929" i="20"/>
  <c r="B930" i="20"/>
  <c r="B931" i="20"/>
  <c r="B932" i="20"/>
  <c r="B933" i="20"/>
  <c r="B934" i="20"/>
  <c r="B935" i="20"/>
  <c r="B936" i="20"/>
  <c r="B937" i="20"/>
  <c r="B938" i="20"/>
  <c r="B939" i="20"/>
  <c r="B940" i="20"/>
  <c r="B941" i="20"/>
  <c r="B942" i="20"/>
  <c r="B943" i="20"/>
  <c r="B944" i="20"/>
  <c r="B945" i="20"/>
  <c r="B946" i="20"/>
  <c r="B947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9" i="20"/>
  <c r="M61" i="20"/>
  <c r="M64" i="20"/>
  <c r="M66" i="20"/>
  <c r="M68" i="20"/>
  <c r="M70" i="20"/>
  <c r="M74" i="20"/>
  <c r="M79" i="20"/>
  <c r="M81" i="20"/>
  <c r="M84" i="20"/>
  <c r="M85" i="20"/>
  <c r="M87" i="20"/>
  <c r="M89" i="20"/>
  <c r="M92" i="20"/>
  <c r="M95" i="20"/>
  <c r="M97" i="20"/>
  <c r="M99" i="20"/>
  <c r="M100" i="20"/>
  <c r="M103" i="20"/>
  <c r="M104" i="20"/>
  <c r="M108" i="20"/>
  <c r="M110" i="20"/>
  <c r="M112" i="20"/>
  <c r="M116" i="20"/>
  <c r="M118" i="20"/>
  <c r="M120" i="20"/>
  <c r="M123" i="20"/>
  <c r="M125" i="20"/>
  <c r="M127" i="20"/>
  <c r="M130" i="20"/>
  <c r="M134" i="20"/>
  <c r="M135" i="20"/>
  <c r="M139" i="20"/>
  <c r="M143" i="20"/>
  <c r="M146" i="20"/>
  <c r="M149" i="20"/>
  <c r="M154" i="20"/>
  <c r="M158" i="20"/>
  <c r="M163" i="20"/>
  <c r="M165" i="20"/>
  <c r="M168" i="20"/>
  <c r="M170" i="20"/>
  <c r="M172" i="20"/>
  <c r="M175" i="20"/>
  <c r="M177" i="20"/>
  <c r="M179" i="20"/>
  <c r="M181" i="20"/>
  <c r="M184" i="20"/>
  <c r="M189" i="20"/>
  <c r="M191" i="20"/>
  <c r="M194" i="20"/>
  <c r="M198" i="20"/>
  <c r="M201" i="20"/>
  <c r="M203" i="20"/>
  <c r="M205" i="20"/>
  <c r="M207" i="20"/>
  <c r="M211" i="20"/>
  <c r="M212" i="20"/>
  <c r="M214" i="20"/>
  <c r="M216" i="20"/>
  <c r="M219" i="20"/>
  <c r="M221" i="20"/>
  <c r="M223" i="20"/>
  <c r="M225" i="20"/>
  <c r="M227" i="20"/>
  <c r="M229" i="20"/>
  <c r="M231" i="20"/>
  <c r="M234" i="20"/>
  <c r="M236" i="20"/>
  <c r="M238" i="20"/>
  <c r="M241" i="20"/>
  <c r="M242" i="20"/>
  <c r="M244" i="20"/>
  <c r="M246" i="20"/>
  <c r="M248" i="20"/>
  <c r="M249" i="20"/>
  <c r="M252" i="20"/>
  <c r="M256" i="20"/>
  <c r="M257" i="20"/>
  <c r="M259" i="20"/>
  <c r="M262" i="20"/>
  <c r="M264" i="20"/>
  <c r="M265" i="20"/>
  <c r="M267" i="20"/>
  <c r="M269" i="20"/>
  <c r="M272" i="20"/>
  <c r="M274" i="20"/>
  <c r="M276" i="20"/>
  <c r="M279" i="20"/>
  <c r="M281" i="20"/>
  <c r="M283" i="20"/>
  <c r="M285" i="20"/>
  <c r="M287" i="20"/>
  <c r="M290" i="20"/>
  <c r="M292" i="20"/>
  <c r="M294" i="20"/>
  <c r="M296" i="20"/>
  <c r="M299" i="20"/>
  <c r="M302" i="20"/>
  <c r="M306" i="20"/>
  <c r="M309" i="20"/>
  <c r="M312" i="20"/>
  <c r="M314" i="20"/>
  <c r="M316" i="20"/>
  <c r="M319" i="20"/>
  <c r="M321" i="20"/>
  <c r="M324" i="20"/>
  <c r="M326" i="20"/>
  <c r="M329" i="20"/>
  <c r="M332" i="20"/>
  <c r="M335" i="20"/>
  <c r="M339" i="20"/>
  <c r="M343" i="20"/>
  <c r="M346" i="20"/>
  <c r="M350" i="20"/>
  <c r="M353" i="20"/>
  <c r="M357" i="20"/>
  <c r="M360" i="20"/>
  <c r="M365" i="20"/>
  <c r="M367" i="20"/>
  <c r="M370" i="20"/>
  <c r="M373" i="20"/>
  <c r="M376" i="20"/>
  <c r="M379" i="20"/>
  <c r="M381" i="20"/>
  <c r="M384" i="20"/>
  <c r="M385" i="20"/>
  <c r="M388" i="20"/>
  <c r="M391" i="20"/>
  <c r="M393" i="20"/>
  <c r="M395" i="20"/>
  <c r="M397" i="20"/>
  <c r="M399" i="20"/>
  <c r="M402" i="20"/>
  <c r="M406" i="20"/>
  <c r="M409" i="20"/>
  <c r="M412" i="20"/>
  <c r="M415" i="20"/>
  <c r="M418" i="20"/>
  <c r="M421" i="20"/>
  <c r="M423" i="20"/>
  <c r="M427" i="20"/>
  <c r="M429" i="20"/>
  <c r="M432" i="20"/>
  <c r="M435" i="20"/>
  <c r="M438" i="20"/>
  <c r="M442" i="20"/>
  <c r="M444" i="20"/>
  <c r="M447" i="20"/>
  <c r="M450" i="20"/>
  <c r="M453" i="20"/>
  <c r="M456" i="20"/>
  <c r="M459" i="20"/>
  <c r="M462" i="20"/>
  <c r="M464" i="20"/>
  <c r="M467" i="20"/>
  <c r="M470" i="20"/>
  <c r="M474" i="20"/>
  <c r="M476" i="20"/>
  <c r="M478" i="20"/>
  <c r="M480" i="20"/>
  <c r="M482" i="20"/>
  <c r="M486" i="20"/>
  <c r="M488" i="20"/>
  <c r="M491" i="20"/>
  <c r="M493" i="20"/>
  <c r="M495" i="20"/>
  <c r="M498" i="20"/>
  <c r="M500" i="20"/>
  <c r="M504" i="20"/>
  <c r="M508" i="20"/>
  <c r="M510" i="20"/>
  <c r="M513" i="20"/>
  <c r="M516" i="20"/>
  <c r="M519" i="20"/>
  <c r="M522" i="20"/>
  <c r="M525" i="20"/>
  <c r="M529" i="20"/>
  <c r="M532" i="20"/>
  <c r="M536" i="20"/>
  <c r="M539" i="20"/>
  <c r="M541" i="20"/>
  <c r="M544" i="20"/>
  <c r="M547" i="20"/>
  <c r="M549" i="20"/>
  <c r="M552" i="20"/>
  <c r="M557" i="20"/>
  <c r="M562" i="20"/>
  <c r="M565" i="20"/>
  <c r="M568" i="20"/>
  <c r="M571" i="20"/>
  <c r="M574" i="20"/>
  <c r="M577" i="20"/>
  <c r="M580" i="20"/>
  <c r="M583" i="20"/>
  <c r="M587" i="20"/>
  <c r="M590" i="20"/>
  <c r="M591" i="20"/>
  <c r="M592" i="20"/>
  <c r="M593" i="20"/>
  <c r="M594" i="20"/>
  <c r="M595" i="20"/>
  <c r="M596" i="20"/>
  <c r="M597" i="20"/>
  <c r="M598" i="20"/>
  <c r="M599" i="20"/>
  <c r="M600" i="20"/>
  <c r="M601" i="20"/>
  <c r="M602" i="20"/>
  <c r="M603" i="20"/>
  <c r="M604" i="20"/>
  <c r="M605" i="20"/>
  <c r="M606" i="20"/>
  <c r="M607" i="20"/>
  <c r="M608" i="20"/>
  <c r="M609" i="20"/>
  <c r="M610" i="20"/>
  <c r="M611" i="20"/>
  <c r="M612" i="20"/>
  <c r="M613" i="20"/>
  <c r="M614" i="20"/>
  <c r="M615" i="20"/>
  <c r="M616" i="20"/>
  <c r="M617" i="20"/>
  <c r="M618" i="20"/>
  <c r="M619" i="20"/>
  <c r="M620" i="20"/>
  <c r="M621" i="20"/>
  <c r="M622" i="20"/>
  <c r="M623" i="20"/>
  <c r="M624" i="20"/>
  <c r="M625" i="20"/>
  <c r="M626" i="20"/>
  <c r="M627" i="20"/>
  <c r="M628" i="20"/>
  <c r="M629" i="20"/>
  <c r="M630" i="20"/>
  <c r="M631" i="20"/>
  <c r="M632" i="20"/>
  <c r="M633" i="20"/>
  <c r="M634" i="20"/>
  <c r="M635" i="20"/>
  <c r="M636" i="20"/>
  <c r="M637" i="20"/>
  <c r="M638" i="20"/>
  <c r="M639" i="20"/>
  <c r="M640" i="20"/>
  <c r="M641" i="20"/>
  <c r="M642" i="20"/>
  <c r="M643" i="20"/>
  <c r="M644" i="20"/>
  <c r="M645" i="20"/>
  <c r="M646" i="20"/>
  <c r="M647" i="20"/>
  <c r="M648" i="20"/>
  <c r="M649" i="20"/>
  <c r="M650" i="20"/>
  <c r="M651" i="20"/>
  <c r="M652" i="20"/>
  <c r="M653" i="20"/>
  <c r="M654" i="20"/>
  <c r="M655" i="20"/>
  <c r="M656" i="20"/>
  <c r="M657" i="20"/>
  <c r="M658" i="20"/>
  <c r="M659" i="20"/>
  <c r="M661" i="20"/>
  <c r="M665" i="20"/>
  <c r="M667" i="20"/>
  <c r="M669" i="20"/>
  <c r="M672" i="20"/>
  <c r="M675" i="20"/>
  <c r="M678" i="20"/>
  <c r="M682" i="20"/>
  <c r="M684" i="20"/>
  <c r="M687" i="20"/>
  <c r="M691" i="20"/>
  <c r="M695" i="20"/>
  <c r="M697" i="20"/>
  <c r="M700" i="20"/>
  <c r="M702" i="20"/>
  <c r="M704" i="20"/>
  <c r="M707" i="20"/>
  <c r="M711" i="20"/>
  <c r="M714" i="20"/>
  <c r="M717" i="20"/>
  <c r="M720" i="20"/>
  <c r="M722" i="20"/>
  <c r="M724" i="20"/>
  <c r="M725" i="20"/>
  <c r="M727" i="20"/>
  <c r="M730" i="20"/>
  <c r="M733" i="20"/>
  <c r="M736" i="20"/>
  <c r="M739" i="20"/>
  <c r="M741" i="20"/>
  <c r="M743" i="20"/>
  <c r="M746" i="20"/>
  <c r="M750" i="20"/>
  <c r="M753" i="20"/>
  <c r="M756" i="20"/>
  <c r="M759" i="20"/>
  <c r="M761" i="20"/>
  <c r="M764" i="20"/>
  <c r="M766" i="20"/>
  <c r="M769" i="20"/>
  <c r="M772" i="20"/>
  <c r="M775" i="20"/>
  <c r="M778" i="20"/>
  <c r="M782" i="20"/>
  <c r="M786" i="20"/>
  <c r="M789" i="20"/>
  <c r="M793" i="20"/>
  <c r="M797" i="20"/>
  <c r="M799" i="20"/>
  <c r="M802" i="20"/>
  <c r="M805" i="20"/>
  <c r="M807" i="20"/>
  <c r="M810" i="20"/>
  <c r="M813" i="20"/>
  <c r="M814" i="20"/>
  <c r="M817" i="20"/>
  <c r="M823" i="20"/>
  <c r="M825" i="20"/>
  <c r="M829" i="20"/>
  <c r="M831" i="20"/>
  <c r="M834" i="20"/>
  <c r="M836" i="20"/>
  <c r="M838" i="20"/>
  <c r="M840" i="20"/>
  <c r="M843" i="20"/>
  <c r="M846" i="20"/>
  <c r="M848" i="20"/>
  <c r="M851" i="20"/>
  <c r="M855" i="20"/>
  <c r="M857" i="20"/>
  <c r="M860" i="20"/>
  <c r="M863" i="20"/>
  <c r="M866" i="20"/>
  <c r="M867" i="20"/>
  <c r="M869" i="20"/>
  <c r="M872" i="20"/>
  <c r="M874" i="20"/>
  <c r="M877" i="20"/>
  <c r="M880" i="20"/>
  <c r="M882" i="20"/>
  <c r="M884" i="20"/>
  <c r="M885" i="20"/>
  <c r="M886" i="20"/>
  <c r="M888" i="20"/>
  <c r="M890" i="20"/>
  <c r="M893" i="20"/>
  <c r="M896" i="20"/>
  <c r="M898" i="20"/>
  <c r="M900" i="20"/>
  <c r="M901" i="20"/>
  <c r="M902" i="20"/>
  <c r="M903" i="20"/>
  <c r="M904" i="20"/>
  <c r="M905" i="20"/>
  <c r="M906" i="20"/>
  <c r="M907" i="20"/>
  <c r="M908" i="20"/>
  <c r="M909" i="20"/>
  <c r="M910" i="20"/>
  <c r="M911" i="20"/>
  <c r="M912" i="20"/>
  <c r="M913" i="20"/>
  <c r="M914" i="20"/>
  <c r="M915" i="20"/>
  <c r="M916" i="20"/>
  <c r="M917" i="20"/>
  <c r="M918" i="20"/>
  <c r="M919" i="20"/>
  <c r="M920" i="20"/>
  <c r="M921" i="20"/>
  <c r="M922" i="20"/>
  <c r="M923" i="20"/>
  <c r="M924" i="20"/>
  <c r="M925" i="20"/>
  <c r="M926" i="20"/>
  <c r="M927" i="20"/>
  <c r="M929" i="20"/>
  <c r="M931" i="20"/>
  <c r="M933" i="20"/>
  <c r="M935" i="20"/>
  <c r="M938" i="20"/>
  <c r="M940" i="20"/>
  <c r="M943" i="20"/>
  <c r="M945" i="20"/>
  <c r="L3" i="20"/>
  <c r="L5" i="20"/>
  <c r="L6" i="20"/>
  <c r="L8" i="20"/>
  <c r="L10" i="20"/>
  <c r="L13" i="20"/>
  <c r="L16" i="20"/>
  <c r="L18" i="20"/>
  <c r="L21" i="20"/>
  <c r="L23" i="20"/>
  <c r="L26" i="20"/>
  <c r="L28" i="20"/>
  <c r="L31" i="20"/>
  <c r="L33" i="20"/>
  <c r="L36" i="20"/>
  <c r="L39" i="20"/>
  <c r="L42" i="20"/>
  <c r="L45" i="20"/>
  <c r="L49" i="20"/>
  <c r="L51" i="20"/>
  <c r="L53" i="20"/>
  <c r="L56" i="20"/>
  <c r="L59" i="20"/>
  <c r="L62" i="20"/>
  <c r="L65" i="20"/>
  <c r="L67" i="20"/>
  <c r="L69" i="20"/>
  <c r="L71" i="20"/>
  <c r="L74" i="20"/>
  <c r="L76" i="20"/>
  <c r="L78" i="20"/>
  <c r="L80" i="20"/>
  <c r="L84" i="20"/>
  <c r="L87" i="20"/>
  <c r="L92" i="20"/>
  <c r="L96" i="20"/>
  <c r="L98" i="20"/>
  <c r="L100" i="20"/>
  <c r="L103" i="20"/>
  <c r="L106" i="20"/>
  <c r="L108" i="20"/>
  <c r="L110" i="20"/>
  <c r="L113" i="20"/>
  <c r="L115" i="20"/>
  <c r="L118" i="20"/>
  <c r="L121" i="20"/>
  <c r="L125" i="20"/>
  <c r="L127" i="20"/>
  <c r="L129" i="20"/>
  <c r="L131" i="20"/>
  <c r="L133" i="20"/>
  <c r="L135" i="20"/>
  <c r="L138" i="20"/>
  <c r="L140" i="20"/>
  <c r="L143" i="20"/>
  <c r="L145" i="20"/>
  <c r="L147" i="20"/>
  <c r="L149" i="20"/>
  <c r="L151" i="20"/>
  <c r="L244" i="20"/>
  <c r="L246" i="20"/>
  <c r="L249" i="20"/>
  <c r="L252" i="20"/>
  <c r="L254" i="20"/>
  <c r="L257" i="20"/>
  <c r="F27" i="20"/>
  <c r="F28" i="20"/>
  <c r="I28" i="20"/>
  <c r="G29" i="20"/>
  <c r="E30" i="20"/>
  <c r="I31" i="20"/>
  <c r="G32" i="20"/>
  <c r="F33" i="20"/>
  <c r="H34" i="20"/>
  <c r="G35" i="20"/>
  <c r="G36" i="20"/>
  <c r="I36" i="20"/>
  <c r="E38" i="20"/>
  <c r="I38" i="20"/>
  <c r="H39" i="20"/>
  <c r="F40" i="20"/>
  <c r="I40" i="20"/>
  <c r="G41" i="20"/>
  <c r="F42" i="20"/>
  <c r="I42" i="20"/>
  <c r="F43" i="20"/>
  <c r="I43" i="20"/>
  <c r="H44" i="20"/>
  <c r="F45" i="20"/>
  <c r="I45" i="20"/>
  <c r="G46" i="20"/>
  <c r="E47" i="20"/>
  <c r="H47" i="20"/>
  <c r="E48" i="20"/>
  <c r="H48" i="20"/>
  <c r="G49" i="20"/>
  <c r="I49" i="20"/>
  <c r="F50" i="20"/>
  <c r="I50" i="20"/>
  <c r="F51" i="20"/>
  <c r="I51" i="20"/>
  <c r="H52" i="20"/>
  <c r="F53" i="20"/>
  <c r="I53" i="20"/>
  <c r="H54" i="20"/>
  <c r="F55" i="20"/>
  <c r="H55" i="20"/>
  <c r="F56" i="20"/>
  <c r="E57" i="20"/>
  <c r="G57" i="20"/>
  <c r="I57" i="20"/>
  <c r="F58" i="20"/>
  <c r="I58" i="20"/>
  <c r="F59" i="20"/>
  <c r="E60" i="20"/>
  <c r="H60" i="20"/>
  <c r="E61" i="20"/>
  <c r="I61" i="20"/>
  <c r="G62" i="20"/>
  <c r="E63" i="20"/>
  <c r="I63" i="20"/>
  <c r="H64" i="20"/>
  <c r="H65" i="20"/>
  <c r="F66" i="20"/>
  <c r="I66" i="20"/>
  <c r="G67" i="20"/>
  <c r="I67" i="20"/>
  <c r="F68" i="20"/>
  <c r="G68" i="20"/>
  <c r="I68" i="20"/>
  <c r="H69" i="20"/>
  <c r="E80" i="20"/>
  <c r="I87" i="20"/>
  <c r="H88" i="20"/>
  <c r="H89" i="20"/>
  <c r="H90" i="20"/>
  <c r="H91" i="20"/>
  <c r="E93" i="20"/>
  <c r="I93" i="20"/>
  <c r="F95" i="20"/>
  <c r="G96" i="20"/>
  <c r="H97" i="20"/>
  <c r="D4" i="20"/>
  <c r="D10" i="20"/>
  <c r="D16" i="20"/>
  <c r="D23" i="20"/>
  <c r="D36" i="20"/>
  <c r="D47" i="20"/>
  <c r="D56" i="20"/>
  <c r="D61" i="20"/>
  <c r="D66" i="20"/>
  <c r="D105" i="20"/>
  <c r="D137" i="20"/>
  <c r="D143" i="20"/>
  <c r="D151" i="20"/>
  <c r="D201" i="20"/>
  <c r="D217" i="20"/>
  <c r="D262" i="20"/>
  <c r="D268" i="20"/>
  <c r="D328" i="20"/>
  <c r="D368" i="20"/>
  <c r="D406" i="20"/>
  <c r="D446" i="20"/>
  <c r="D473" i="20"/>
  <c r="D477" i="20"/>
  <c r="D497" i="20"/>
  <c r="D537" i="20"/>
  <c r="D563" i="20"/>
  <c r="D569" i="20"/>
  <c r="D573" i="20"/>
  <c r="D577" i="20"/>
  <c r="D581" i="20"/>
  <c r="D588" i="20"/>
  <c r="D593" i="20"/>
  <c r="D598" i="20"/>
  <c r="D601" i="20"/>
  <c r="D609" i="20"/>
  <c r="D617" i="20"/>
  <c r="D624" i="20"/>
  <c r="D631" i="20"/>
  <c r="D637" i="20"/>
  <c r="D641" i="20"/>
  <c r="D661" i="20"/>
  <c r="D674" i="20"/>
  <c r="D682" i="20"/>
  <c r="D689" i="20"/>
  <c r="D697" i="20"/>
  <c r="D702" i="20"/>
  <c r="D707" i="20"/>
  <c r="D713" i="20"/>
  <c r="D741" i="20"/>
  <c r="D743" i="20"/>
  <c r="D751" i="20"/>
  <c r="D762" i="20"/>
  <c r="D773" i="20"/>
  <c r="D777" i="20"/>
  <c r="D782" i="20"/>
  <c r="D790" i="20"/>
  <c r="D799" i="20"/>
  <c r="D807" i="20"/>
  <c r="D816" i="20"/>
  <c r="D822" i="20"/>
  <c r="D840" i="20"/>
  <c r="D857" i="20"/>
  <c r="D863" i="20"/>
  <c r="D870" i="20"/>
  <c r="D874" i="20"/>
  <c r="D878" i="20"/>
  <c r="D888" i="20"/>
  <c r="D892" i="20"/>
  <c r="D897" i="20"/>
  <c r="D904" i="20"/>
  <c r="D913" i="20"/>
  <c r="D917" i="20"/>
  <c r="D925" i="20"/>
  <c r="D929" i="20"/>
  <c r="D943" i="20"/>
  <c r="G98" i="20"/>
  <c r="H103" i="20"/>
  <c r="F108" i="20"/>
  <c r="G109" i="20"/>
  <c r="I110" i="20"/>
  <c r="G114" i="20"/>
  <c r="I116" i="20"/>
  <c r="E123" i="20"/>
  <c r="F124" i="20"/>
  <c r="F142" i="20"/>
  <c r="G148" i="20"/>
  <c r="I150" i="20"/>
  <c r="I158" i="20"/>
  <c r="E170" i="20"/>
  <c r="H182" i="20"/>
  <c r="I186" i="20"/>
  <c r="F193" i="20"/>
  <c r="G669" i="20"/>
  <c r="I195" i="20"/>
  <c r="G201" i="20"/>
  <c r="F214" i="20"/>
  <c r="H217" i="20"/>
  <c r="G222" i="20"/>
  <c r="F226" i="20"/>
  <c r="H228" i="20"/>
  <c r="I229" i="20"/>
  <c r="E236" i="20"/>
  <c r="F242" i="20"/>
  <c r="F246" i="20"/>
  <c r="F247" i="20"/>
  <c r="E248" i="20"/>
  <c r="I248" i="20"/>
  <c r="G249" i="20"/>
  <c r="F250" i="20"/>
  <c r="E251" i="20"/>
  <c r="H251" i="20"/>
  <c r="F252" i="20"/>
  <c r="G253" i="20"/>
  <c r="F254" i="20"/>
  <c r="I254" i="20"/>
  <c r="F255" i="20"/>
  <c r="I255" i="20"/>
  <c r="G256" i="20"/>
  <c r="F257" i="20"/>
  <c r="H257" i="20"/>
  <c r="F258" i="20"/>
  <c r="E259" i="20"/>
  <c r="E260" i="20"/>
  <c r="E261" i="20"/>
  <c r="H261" i="20"/>
  <c r="H262" i="20"/>
  <c r="F263" i="20"/>
  <c r="I263" i="20"/>
  <c r="H264" i="20"/>
  <c r="F265" i="20"/>
  <c r="F266" i="20"/>
  <c r="E267" i="20"/>
  <c r="I267" i="20"/>
  <c r="G268" i="20"/>
  <c r="H269" i="20"/>
  <c r="F271" i="20"/>
  <c r="F272" i="20"/>
  <c r="E273" i="20"/>
  <c r="F274" i="20"/>
  <c r="E276" i="20"/>
  <c r="G277" i="20"/>
  <c r="H280" i="20"/>
  <c r="I286" i="20"/>
  <c r="M174" i="20"/>
  <c r="L260" i="20"/>
  <c r="L261" i="20"/>
  <c r="L262" i="20"/>
  <c r="L263" i="20"/>
  <c r="L264" i="20"/>
  <c r="L265" i="20"/>
  <c r="L266" i="20"/>
  <c r="L267" i="20"/>
  <c r="L268" i="20"/>
  <c r="L269" i="20"/>
  <c r="L270" i="20"/>
  <c r="L271" i="20"/>
  <c r="L272" i="20"/>
  <c r="L273" i="20"/>
  <c r="L274" i="20"/>
  <c r="L275" i="20"/>
  <c r="L276" i="20"/>
  <c r="L277" i="20"/>
  <c r="L278" i="20"/>
  <c r="L279" i="20"/>
  <c r="L280" i="20"/>
  <c r="L281" i="20"/>
  <c r="L282" i="20"/>
  <c r="L283" i="20"/>
  <c r="L284" i="20"/>
  <c r="L285" i="20"/>
  <c r="L286" i="20"/>
  <c r="L287" i="20"/>
  <c r="L288" i="20"/>
  <c r="L289" i="20"/>
  <c r="L290" i="20"/>
  <c r="L291" i="20"/>
  <c r="L292" i="20"/>
  <c r="L293" i="20"/>
  <c r="L294" i="20"/>
  <c r="L295" i="20"/>
  <c r="L296" i="20"/>
  <c r="L297" i="20"/>
  <c r="L298" i="20"/>
  <c r="L299" i="20"/>
  <c r="L300" i="20"/>
  <c r="L301" i="20"/>
  <c r="L302" i="20"/>
  <c r="L303" i="20"/>
  <c r="L304" i="20"/>
  <c r="L305" i="20"/>
  <c r="L306" i="20"/>
  <c r="L307" i="20"/>
  <c r="L308" i="20"/>
  <c r="L309" i="20"/>
  <c r="L310" i="20"/>
  <c r="L311" i="20"/>
  <c r="L312" i="20"/>
  <c r="L313" i="20"/>
  <c r="L314" i="20"/>
  <c r="L315" i="20"/>
  <c r="L316" i="20"/>
  <c r="L317" i="20"/>
  <c r="L318" i="20"/>
  <c r="L319" i="20"/>
  <c r="L320" i="20"/>
  <c r="L321" i="20"/>
  <c r="L322" i="20"/>
  <c r="L323" i="20"/>
  <c r="L324" i="20"/>
  <c r="L325" i="20"/>
  <c r="L326" i="20"/>
  <c r="L327" i="20"/>
  <c r="L328" i="20"/>
  <c r="L329" i="20"/>
  <c r="L330" i="20"/>
  <c r="L331" i="20"/>
  <c r="L332" i="20"/>
  <c r="L333" i="20"/>
  <c r="L334" i="20"/>
  <c r="L335" i="20"/>
  <c r="L336" i="20"/>
  <c r="L337" i="20"/>
  <c r="L338" i="20"/>
  <c r="L339" i="20"/>
  <c r="L340" i="20"/>
  <c r="L341" i="20"/>
  <c r="L342" i="20"/>
  <c r="L343" i="20"/>
  <c r="L344" i="20"/>
  <c r="L345" i="20"/>
  <c r="L346" i="20"/>
  <c r="L347" i="20"/>
  <c r="L348" i="20"/>
  <c r="L349" i="20"/>
  <c r="L350" i="20"/>
  <c r="L351" i="20"/>
  <c r="L352" i="20"/>
  <c r="L353" i="20"/>
  <c r="L354" i="20"/>
  <c r="L355" i="20"/>
  <c r="L356" i="20"/>
  <c r="L357" i="20"/>
  <c r="L358" i="20"/>
  <c r="L359" i="20"/>
  <c r="L360" i="20"/>
  <c r="L361" i="20"/>
  <c r="L362" i="20"/>
  <c r="L363" i="20"/>
  <c r="L364" i="20"/>
  <c r="L365" i="20"/>
  <c r="L366" i="20"/>
  <c r="L367" i="20"/>
  <c r="L368" i="20"/>
  <c r="L369" i="20"/>
  <c r="L370" i="20"/>
  <c r="L371" i="20"/>
  <c r="L372" i="20"/>
  <c r="L373" i="20"/>
  <c r="L374" i="20"/>
  <c r="L375" i="20"/>
  <c r="L376" i="20"/>
  <c r="L377" i="20"/>
  <c r="L378" i="20"/>
  <c r="L379" i="20"/>
  <c r="L380" i="20"/>
  <c r="L381" i="20"/>
  <c r="L382" i="20"/>
  <c r="L383" i="20"/>
  <c r="L384" i="20"/>
  <c r="L385" i="20"/>
  <c r="L386" i="20"/>
  <c r="L387" i="20"/>
  <c r="L388" i="20"/>
  <c r="L389" i="20"/>
  <c r="L390" i="20"/>
  <c r="L391" i="20"/>
  <c r="L392" i="20"/>
  <c r="L393" i="20"/>
  <c r="L394" i="20"/>
  <c r="L395" i="20"/>
  <c r="L396" i="20"/>
  <c r="L397" i="20"/>
  <c r="L398" i="20"/>
  <c r="L399" i="20"/>
  <c r="L400" i="20"/>
  <c r="L401" i="20"/>
  <c r="L402" i="20"/>
  <c r="L403" i="20"/>
  <c r="L404" i="20"/>
  <c r="L405" i="20"/>
  <c r="L406" i="20"/>
  <c r="L407" i="20"/>
  <c r="L408" i="20"/>
  <c r="L409" i="20"/>
  <c r="L410" i="20"/>
  <c r="L411" i="20"/>
  <c r="L412" i="20"/>
  <c r="L413" i="20"/>
  <c r="L414" i="20"/>
  <c r="L415" i="20"/>
  <c r="L416" i="20"/>
  <c r="L417" i="20"/>
  <c r="L418" i="20"/>
  <c r="L419" i="20"/>
  <c r="L420" i="20"/>
  <c r="L421" i="20"/>
  <c r="L422" i="20"/>
  <c r="L423" i="20"/>
  <c r="L424" i="20"/>
  <c r="L425" i="20"/>
  <c r="L426" i="20"/>
  <c r="L427" i="20"/>
  <c r="L428" i="20"/>
  <c r="L429" i="20"/>
  <c r="L430" i="20"/>
  <c r="L431" i="20"/>
  <c r="L432" i="20"/>
  <c r="L433" i="20"/>
  <c r="L434" i="20"/>
  <c r="L435" i="20"/>
  <c r="L436" i="20"/>
  <c r="L437" i="20"/>
  <c r="L438" i="20"/>
  <c r="L439" i="20"/>
  <c r="L440" i="20"/>
  <c r="L441" i="20"/>
  <c r="L442" i="20"/>
  <c r="L443" i="20"/>
  <c r="L444" i="20"/>
  <c r="L445" i="20"/>
  <c r="L446" i="20"/>
  <c r="L447" i="20"/>
  <c r="L448" i="20"/>
  <c r="L449" i="20"/>
  <c r="L450" i="20"/>
  <c r="L451" i="20"/>
  <c r="L452" i="20"/>
  <c r="L453" i="20"/>
  <c r="L454" i="20"/>
  <c r="L455" i="20"/>
  <c r="L456" i="20"/>
  <c r="L457" i="20"/>
  <c r="L458" i="20"/>
  <c r="L459" i="20"/>
  <c r="L460" i="20"/>
  <c r="L461" i="20"/>
  <c r="L462" i="20"/>
  <c r="L463" i="20"/>
  <c r="L464" i="20"/>
  <c r="L465" i="20"/>
  <c r="L466" i="20"/>
  <c r="L467" i="20"/>
  <c r="L468" i="20"/>
  <c r="L469" i="20"/>
  <c r="L470" i="20"/>
  <c r="L471" i="20"/>
  <c r="L472" i="20"/>
  <c r="L473" i="20"/>
  <c r="L474" i="20"/>
  <c r="L475" i="20"/>
  <c r="L476" i="20"/>
  <c r="L477" i="20"/>
  <c r="L478" i="20"/>
  <c r="L479" i="20"/>
  <c r="L480" i="20"/>
  <c r="L481" i="20"/>
  <c r="L482" i="20"/>
  <c r="L483" i="20"/>
  <c r="L484" i="20"/>
  <c r="L485" i="20"/>
  <c r="L486" i="20"/>
  <c r="L487" i="20"/>
  <c r="L488" i="20"/>
  <c r="L489" i="20"/>
  <c r="L490" i="20"/>
  <c r="L491" i="20"/>
  <c r="L492" i="20"/>
  <c r="L493" i="20"/>
  <c r="L494" i="20"/>
  <c r="L495" i="20"/>
  <c r="L496" i="20"/>
  <c r="L497" i="20"/>
  <c r="L498" i="20"/>
  <c r="L499" i="20"/>
  <c r="L500" i="20"/>
  <c r="L501" i="20"/>
  <c r="L502" i="20"/>
  <c r="L503" i="20"/>
  <c r="L504" i="20"/>
  <c r="L505" i="20"/>
  <c r="L506" i="20"/>
  <c r="L507" i="20"/>
  <c r="L508" i="20"/>
  <c r="L509" i="20"/>
  <c r="L510" i="20"/>
  <c r="L511" i="20"/>
  <c r="L512" i="20"/>
  <c r="L513" i="20"/>
  <c r="L514" i="20"/>
  <c r="L515" i="20"/>
  <c r="L516" i="20"/>
  <c r="L517" i="20"/>
  <c r="L518" i="20"/>
  <c r="L519" i="20"/>
  <c r="L520" i="20"/>
  <c r="L521" i="20"/>
  <c r="L522" i="20"/>
  <c r="L523" i="20"/>
  <c r="L524" i="20"/>
  <c r="L525" i="20"/>
  <c r="L526" i="20"/>
  <c r="L527" i="20"/>
  <c r="L528" i="20"/>
  <c r="L529" i="20"/>
  <c r="L530" i="20"/>
  <c r="L531" i="20"/>
  <c r="L532" i="20"/>
  <c r="L533" i="20"/>
  <c r="L534" i="20"/>
  <c r="L535" i="20"/>
  <c r="L536" i="20"/>
  <c r="L537" i="20"/>
  <c r="L538" i="20"/>
  <c r="L539" i="20"/>
  <c r="L540" i="20"/>
  <c r="L541" i="20"/>
  <c r="L542" i="20"/>
  <c r="L543" i="20"/>
  <c r="L544" i="20"/>
  <c r="L545" i="20"/>
  <c r="L546" i="20"/>
  <c r="L547" i="20"/>
  <c r="L548" i="20"/>
  <c r="L549" i="20"/>
  <c r="L550" i="20"/>
  <c r="L551" i="20"/>
  <c r="L552" i="20"/>
  <c r="L553" i="20"/>
  <c r="L554" i="20"/>
  <c r="L555" i="20"/>
  <c r="L556" i="20"/>
  <c r="L557" i="20"/>
  <c r="L558" i="20"/>
  <c r="L559" i="20"/>
  <c r="L560" i="20"/>
  <c r="L561" i="20"/>
  <c r="L562" i="20"/>
  <c r="L563" i="20"/>
  <c r="L564" i="20"/>
  <c r="L565" i="20"/>
  <c r="L566" i="20"/>
  <c r="L567" i="20"/>
  <c r="L568" i="20"/>
  <c r="L569" i="20"/>
  <c r="L570" i="20"/>
  <c r="L571" i="20"/>
  <c r="L572" i="20"/>
  <c r="L573" i="20"/>
  <c r="L574" i="20"/>
  <c r="L575" i="20"/>
  <c r="L576" i="20"/>
  <c r="L577" i="20"/>
  <c r="L578" i="20"/>
  <c r="L579" i="20"/>
  <c r="L580" i="20"/>
  <c r="L581" i="20"/>
  <c r="L582" i="20"/>
  <c r="L583" i="20"/>
  <c r="L584" i="20"/>
  <c r="L585" i="20"/>
  <c r="L586" i="20"/>
  <c r="L587" i="20"/>
  <c r="L588" i="20"/>
  <c r="L589" i="20"/>
  <c r="L590" i="20"/>
  <c r="L591" i="20"/>
  <c r="L592" i="20"/>
  <c r="L593" i="20"/>
  <c r="L594" i="20"/>
  <c r="L595" i="20"/>
  <c r="L596" i="20"/>
  <c r="L597" i="20"/>
  <c r="L598" i="20"/>
  <c r="L599" i="20"/>
  <c r="L600" i="20"/>
  <c r="L601" i="20"/>
  <c r="L602" i="20"/>
  <c r="L603" i="20"/>
  <c r="L604" i="20"/>
  <c r="L605" i="20"/>
  <c r="L606" i="20"/>
  <c r="L607" i="20"/>
  <c r="L608" i="20"/>
  <c r="L609" i="20"/>
  <c r="L610" i="20"/>
  <c r="L611" i="20"/>
  <c r="L612" i="20"/>
  <c r="L613" i="20"/>
  <c r="L614" i="20"/>
  <c r="L615" i="20"/>
  <c r="L616" i="20"/>
  <c r="L617" i="20"/>
  <c r="L618" i="20"/>
  <c r="L619" i="20"/>
  <c r="L620" i="20"/>
  <c r="L621" i="20"/>
  <c r="L622" i="20"/>
  <c r="L623" i="20"/>
  <c r="L624" i="20"/>
  <c r="L625" i="20"/>
  <c r="L626" i="20"/>
  <c r="L627" i="20"/>
  <c r="L628" i="20"/>
  <c r="L629" i="20"/>
  <c r="L630" i="20"/>
  <c r="L631" i="20"/>
  <c r="L632" i="20"/>
  <c r="L633" i="20"/>
  <c r="L634" i="20"/>
  <c r="L635" i="20"/>
  <c r="L636" i="20"/>
  <c r="L637" i="20"/>
  <c r="L638" i="20"/>
  <c r="L639" i="20"/>
  <c r="L640" i="20"/>
  <c r="L641" i="20"/>
  <c r="L642" i="20"/>
  <c r="L643" i="20"/>
  <c r="L644" i="20"/>
  <c r="L645" i="20"/>
  <c r="L646" i="20"/>
  <c r="L647" i="20"/>
  <c r="L648" i="20"/>
  <c r="L649" i="20"/>
  <c r="L650" i="20"/>
  <c r="L651" i="20"/>
  <c r="L652" i="20"/>
  <c r="L653" i="20"/>
  <c r="L654" i="20"/>
  <c r="L655" i="20"/>
  <c r="L656" i="20"/>
  <c r="L657" i="20"/>
  <c r="L658" i="20"/>
  <c r="L659" i="20"/>
  <c r="L660" i="20"/>
  <c r="L661" i="20"/>
  <c r="L662" i="20"/>
  <c r="L663" i="20"/>
  <c r="L664" i="20"/>
  <c r="L665" i="20"/>
  <c r="L666" i="20"/>
  <c r="L667" i="20"/>
  <c r="L668" i="20"/>
  <c r="L669" i="20"/>
  <c r="L670" i="20"/>
  <c r="L671" i="20"/>
  <c r="L672" i="20"/>
  <c r="L673" i="20"/>
  <c r="L674" i="20"/>
  <c r="L675" i="20"/>
  <c r="L676" i="20"/>
  <c r="L677" i="20"/>
  <c r="L678" i="20"/>
  <c r="L679" i="20"/>
  <c r="L680" i="20"/>
  <c r="L681" i="20"/>
  <c r="L682" i="20"/>
  <c r="L683" i="20"/>
  <c r="L684" i="20"/>
  <c r="L685" i="20"/>
  <c r="L686" i="20"/>
  <c r="L687" i="20"/>
  <c r="L688" i="20"/>
  <c r="L689" i="20"/>
  <c r="L690" i="20"/>
  <c r="L691" i="20"/>
  <c r="L692" i="20"/>
  <c r="L693" i="20"/>
  <c r="L694" i="20"/>
  <c r="L695" i="20"/>
  <c r="L696" i="20"/>
  <c r="L697" i="20"/>
  <c r="L698" i="20"/>
  <c r="L699" i="20"/>
  <c r="L700" i="20"/>
  <c r="L701" i="20"/>
  <c r="L702" i="20"/>
  <c r="L703" i="20"/>
  <c r="L704" i="20"/>
  <c r="L705" i="20"/>
  <c r="L706" i="20"/>
  <c r="L707" i="20"/>
  <c r="L708" i="20"/>
  <c r="L709" i="20"/>
  <c r="L710" i="20"/>
  <c r="L711" i="20"/>
  <c r="L712" i="20"/>
  <c r="L713" i="20"/>
  <c r="L714" i="20"/>
  <c r="L715" i="20"/>
  <c r="L716" i="20"/>
  <c r="L717" i="20"/>
  <c r="L718" i="20"/>
  <c r="L719" i="20"/>
  <c r="L720" i="20"/>
  <c r="L721" i="20"/>
  <c r="L722" i="20"/>
  <c r="L723" i="20"/>
  <c r="L724" i="20"/>
  <c r="L725" i="20"/>
  <c r="L726" i="20"/>
  <c r="L727" i="20"/>
  <c r="L728" i="20"/>
  <c r="L729" i="20"/>
  <c r="L730" i="20"/>
  <c r="L731" i="20"/>
  <c r="L732" i="20"/>
  <c r="L733" i="20"/>
  <c r="L734" i="20"/>
  <c r="L735" i="20"/>
  <c r="L736" i="20"/>
  <c r="L737" i="20"/>
  <c r="L738" i="20"/>
  <c r="L739" i="20"/>
  <c r="L740" i="20"/>
  <c r="L741" i="20"/>
  <c r="L742" i="20"/>
  <c r="L743" i="20"/>
  <c r="L744" i="20"/>
  <c r="L745" i="20"/>
  <c r="L746" i="20"/>
  <c r="L747" i="20"/>
  <c r="L748" i="20"/>
  <c r="L749" i="20"/>
  <c r="L750" i="20"/>
  <c r="L751" i="20"/>
  <c r="L752" i="20"/>
  <c r="L753" i="20"/>
  <c r="L754" i="20"/>
  <c r="L755" i="20"/>
  <c r="L756" i="20"/>
  <c r="L757" i="20"/>
  <c r="L758" i="20"/>
  <c r="L759" i="20"/>
  <c r="L760" i="20"/>
  <c r="L761" i="20"/>
  <c r="L762" i="20"/>
  <c r="L763" i="20"/>
  <c r="L764" i="20"/>
  <c r="L765" i="20"/>
  <c r="L766" i="20"/>
  <c r="L767" i="20"/>
  <c r="L768" i="20"/>
  <c r="L769" i="20"/>
  <c r="L770" i="20"/>
  <c r="L771" i="20"/>
  <c r="L772" i="20"/>
  <c r="L773" i="20"/>
  <c r="L774" i="20"/>
  <c r="L775" i="20"/>
  <c r="L776" i="20"/>
  <c r="L777" i="20"/>
  <c r="L778" i="20"/>
  <c r="L779" i="20"/>
  <c r="L780" i="20"/>
  <c r="L781" i="20"/>
  <c r="L782" i="20"/>
  <c r="L783" i="20"/>
  <c r="L784" i="20"/>
  <c r="L785" i="20"/>
  <c r="L786" i="20"/>
  <c r="L787" i="20"/>
  <c r="L788" i="20"/>
  <c r="L789" i="20"/>
  <c r="L790" i="20"/>
  <c r="L791" i="20"/>
  <c r="L792" i="20"/>
  <c r="L793" i="20"/>
  <c r="L794" i="20"/>
  <c r="L795" i="20"/>
  <c r="L796" i="20"/>
  <c r="L797" i="20"/>
  <c r="L798" i="20"/>
  <c r="L799" i="20"/>
  <c r="L800" i="20"/>
  <c r="L801" i="20"/>
  <c r="L802" i="20"/>
  <c r="L803" i="20"/>
  <c r="L804" i="20"/>
  <c r="L805" i="20"/>
  <c r="L806" i="20"/>
  <c r="L807" i="20"/>
  <c r="L808" i="20"/>
  <c r="L809" i="20"/>
  <c r="L810" i="20"/>
  <c r="L811" i="20"/>
  <c r="L812" i="20"/>
  <c r="L813" i="20"/>
  <c r="L814" i="20"/>
  <c r="L815" i="20"/>
  <c r="L816" i="20"/>
  <c r="L817" i="20"/>
  <c r="L818" i="20"/>
  <c r="L819" i="20"/>
  <c r="L820" i="20"/>
  <c r="L821" i="20"/>
  <c r="L822" i="20"/>
  <c r="L823" i="20"/>
  <c r="L824" i="20"/>
  <c r="L825" i="20"/>
  <c r="L826" i="20"/>
  <c r="L827" i="20"/>
  <c r="L828" i="20"/>
  <c r="L829" i="20"/>
  <c r="L830" i="20"/>
  <c r="L831" i="20"/>
  <c r="L832" i="20"/>
  <c r="L833" i="20"/>
  <c r="L834" i="20"/>
  <c r="L835" i="20"/>
  <c r="L836" i="20"/>
  <c r="L837" i="20"/>
  <c r="L838" i="20"/>
  <c r="L839" i="20"/>
  <c r="L840" i="20"/>
  <c r="L841" i="20"/>
  <c r="L842" i="20"/>
  <c r="L843" i="20"/>
  <c r="L844" i="20"/>
  <c r="L845" i="20"/>
  <c r="L846" i="20"/>
  <c r="L847" i="20"/>
  <c r="L848" i="20"/>
  <c r="L849" i="20"/>
  <c r="L850" i="20"/>
  <c r="L851" i="20"/>
  <c r="L852" i="20"/>
  <c r="L853" i="20"/>
  <c r="L854" i="20"/>
  <c r="L855" i="20"/>
  <c r="L856" i="20"/>
  <c r="L857" i="20"/>
  <c r="L858" i="20"/>
  <c r="L859" i="20"/>
  <c r="L860" i="20"/>
  <c r="L861" i="20"/>
  <c r="L862" i="20"/>
  <c r="L863" i="20"/>
  <c r="L864" i="20"/>
  <c r="L865" i="20"/>
  <c r="L866" i="20"/>
  <c r="L867" i="20"/>
  <c r="L868" i="20"/>
  <c r="L869" i="20"/>
  <c r="L870" i="20"/>
  <c r="L871" i="20"/>
  <c r="L872" i="20"/>
  <c r="L873" i="20"/>
  <c r="L874" i="20"/>
  <c r="L875" i="20"/>
  <c r="L876" i="20"/>
  <c r="L877" i="20"/>
  <c r="L878" i="20"/>
  <c r="L879" i="20"/>
  <c r="L880" i="20"/>
  <c r="L881" i="20"/>
  <c r="L882" i="20"/>
  <c r="L883" i="20"/>
  <c r="L884" i="20"/>
  <c r="L885" i="20"/>
  <c r="L886" i="20"/>
  <c r="L887" i="20"/>
  <c r="L888" i="20"/>
  <c r="L889" i="20"/>
  <c r="L890" i="20"/>
  <c r="L891" i="20"/>
  <c r="L892" i="20"/>
  <c r="L893" i="20"/>
  <c r="L894" i="20"/>
  <c r="L895" i="20"/>
  <c r="L896" i="20"/>
  <c r="L897" i="20"/>
  <c r="L898" i="20"/>
  <c r="L899" i="20"/>
  <c r="L900" i="20"/>
  <c r="L901" i="20"/>
  <c r="L902" i="20"/>
  <c r="L903" i="20"/>
  <c r="L904" i="20"/>
  <c r="L905" i="20"/>
  <c r="L906" i="20"/>
  <c r="L907" i="20"/>
  <c r="L908" i="20"/>
  <c r="L909" i="20"/>
  <c r="L910" i="20"/>
  <c r="L911" i="20"/>
  <c r="L912" i="20"/>
  <c r="L913" i="20"/>
  <c r="L914" i="20"/>
  <c r="L915" i="20"/>
  <c r="L916" i="20"/>
  <c r="L917" i="20"/>
  <c r="L918" i="20"/>
  <c r="L919" i="20"/>
  <c r="L920" i="20"/>
  <c r="L921" i="20"/>
  <c r="L922" i="20"/>
  <c r="L923" i="20"/>
  <c r="L924" i="20"/>
  <c r="L925" i="20"/>
  <c r="L926" i="20"/>
  <c r="L927" i="20"/>
  <c r="L928" i="20"/>
  <c r="L929" i="20"/>
  <c r="L930" i="20"/>
  <c r="L931" i="20"/>
  <c r="L932" i="20"/>
  <c r="L933" i="20"/>
  <c r="L934" i="20"/>
  <c r="L935" i="20"/>
  <c r="L936" i="20"/>
  <c r="L937" i="20"/>
  <c r="L938" i="20"/>
  <c r="L939" i="20"/>
  <c r="L940" i="20"/>
  <c r="L941" i="20"/>
  <c r="L942" i="20"/>
  <c r="L943" i="20"/>
  <c r="L944" i="20"/>
  <c r="L945" i="20"/>
  <c r="L946" i="20"/>
  <c r="L947" i="20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K160" i="20"/>
  <c r="K161" i="20"/>
  <c r="K162" i="20"/>
  <c r="K163" i="20"/>
  <c r="K164" i="20"/>
  <c r="K165" i="20"/>
  <c r="K166" i="20"/>
  <c r="K167" i="20"/>
  <c r="K168" i="20"/>
  <c r="K169" i="20"/>
  <c r="K170" i="20"/>
  <c r="K171" i="20"/>
  <c r="K172" i="20"/>
  <c r="K173" i="20"/>
  <c r="K174" i="20"/>
  <c r="K175" i="20"/>
  <c r="K176" i="20"/>
  <c r="K177" i="20"/>
  <c r="K178" i="20"/>
  <c r="K179" i="20"/>
  <c r="K180" i="20"/>
  <c r="K181" i="20"/>
  <c r="K182" i="20"/>
  <c r="K183" i="20"/>
  <c r="K184" i="20"/>
  <c r="K185" i="20"/>
  <c r="K186" i="20"/>
  <c r="K187" i="20"/>
  <c r="K188" i="20"/>
  <c r="K189" i="20"/>
  <c r="K190" i="20"/>
  <c r="K191" i="20"/>
  <c r="K192" i="20"/>
  <c r="K193" i="20"/>
  <c r="K194" i="20"/>
  <c r="K195" i="20"/>
  <c r="K196" i="20"/>
  <c r="K197" i="20"/>
  <c r="K198" i="20"/>
  <c r="K199" i="20"/>
  <c r="K200" i="20"/>
  <c r="K201" i="20"/>
  <c r="K202" i="20"/>
  <c r="K203" i="20"/>
  <c r="K204" i="20"/>
  <c r="K205" i="20"/>
  <c r="K206" i="20"/>
  <c r="K207" i="20"/>
  <c r="K208" i="20"/>
  <c r="K209" i="20"/>
  <c r="K210" i="20"/>
  <c r="K211" i="20"/>
  <c r="K212" i="20"/>
  <c r="K213" i="20"/>
  <c r="K214" i="20"/>
  <c r="K215" i="20"/>
  <c r="K216" i="20"/>
  <c r="K217" i="20"/>
  <c r="K218" i="20"/>
  <c r="K219" i="20"/>
  <c r="K220" i="20"/>
  <c r="K221" i="20"/>
  <c r="K222" i="20"/>
  <c r="K223" i="20"/>
  <c r="K224" i="20"/>
  <c r="K225" i="20"/>
  <c r="K226" i="20"/>
  <c r="K227" i="20"/>
  <c r="K228" i="20"/>
  <c r="K229" i="20"/>
  <c r="K230" i="20"/>
  <c r="K231" i="20"/>
  <c r="K232" i="20"/>
  <c r="K233" i="20"/>
  <c r="K234" i="20"/>
  <c r="K235" i="20"/>
  <c r="K236" i="20"/>
  <c r="K237" i="20"/>
  <c r="K238" i="20"/>
  <c r="K239" i="20"/>
  <c r="K240" i="20"/>
  <c r="K241" i="20"/>
  <c r="K242" i="20"/>
  <c r="K243" i="20"/>
  <c r="K244" i="20"/>
  <c r="K245" i="20"/>
  <c r="K246" i="20"/>
  <c r="K247" i="20"/>
  <c r="K248" i="20"/>
  <c r="K249" i="20"/>
  <c r="K250" i="20"/>
  <c r="K251" i="20"/>
  <c r="K252" i="20"/>
  <c r="K253" i="20"/>
  <c r="K254" i="20"/>
  <c r="K255" i="20"/>
  <c r="K256" i="20"/>
  <c r="K257" i="20"/>
  <c r="K258" i="20"/>
  <c r="K259" i="20"/>
  <c r="K260" i="20"/>
  <c r="K261" i="20"/>
  <c r="K262" i="20"/>
  <c r="K263" i="20"/>
  <c r="K264" i="20"/>
  <c r="K265" i="20"/>
  <c r="K266" i="20"/>
  <c r="K267" i="20"/>
  <c r="K268" i="20"/>
  <c r="K269" i="20"/>
  <c r="K270" i="20"/>
  <c r="K271" i="20"/>
  <c r="K272" i="20"/>
  <c r="K273" i="20"/>
  <c r="K274" i="20"/>
  <c r="K275" i="20"/>
  <c r="K276" i="20"/>
  <c r="K277" i="20"/>
  <c r="K278" i="20"/>
  <c r="K279" i="20"/>
  <c r="K280" i="20"/>
  <c r="K281" i="20"/>
  <c r="K282" i="20"/>
  <c r="K283" i="20"/>
  <c r="K284" i="20"/>
  <c r="K285" i="20"/>
  <c r="K286" i="20"/>
  <c r="K287" i="20"/>
  <c r="K288" i="20"/>
  <c r="K289" i="20"/>
  <c r="K290" i="20"/>
  <c r="K291" i="20"/>
  <c r="K292" i="20"/>
  <c r="K293" i="20"/>
  <c r="K294" i="20"/>
  <c r="K295" i="20"/>
  <c r="K296" i="20"/>
  <c r="K297" i="20"/>
  <c r="K298" i="20"/>
  <c r="K299" i="20"/>
  <c r="K300" i="20"/>
  <c r="K301" i="20"/>
  <c r="K302" i="20"/>
  <c r="K303" i="20"/>
  <c r="K304" i="20"/>
  <c r="K305" i="20"/>
  <c r="K306" i="20"/>
  <c r="K307" i="20"/>
  <c r="K308" i="20"/>
  <c r="K309" i="20"/>
  <c r="K310" i="20"/>
  <c r="K311" i="20"/>
  <c r="K312" i="20"/>
  <c r="K313" i="20"/>
  <c r="K314" i="20"/>
  <c r="K315" i="20"/>
  <c r="K316" i="20"/>
  <c r="K317" i="20"/>
  <c r="K318" i="20"/>
  <c r="K319" i="20"/>
  <c r="K320" i="20"/>
  <c r="K321" i="20"/>
  <c r="K322" i="20"/>
  <c r="K323" i="20"/>
  <c r="K324" i="20"/>
  <c r="K325" i="20"/>
  <c r="K326" i="20"/>
  <c r="K327" i="20"/>
  <c r="K328" i="20"/>
  <c r="K329" i="20"/>
  <c r="K330" i="20"/>
  <c r="K331" i="20"/>
  <c r="K332" i="20"/>
  <c r="K333" i="20"/>
  <c r="K334" i="20"/>
  <c r="K335" i="20"/>
  <c r="K336" i="20"/>
  <c r="K337" i="20"/>
  <c r="K338" i="20"/>
  <c r="K339" i="20"/>
  <c r="K340" i="20"/>
  <c r="K341" i="20"/>
  <c r="K342" i="20"/>
  <c r="K343" i="20"/>
  <c r="K344" i="20"/>
  <c r="K345" i="20"/>
  <c r="J350" i="20"/>
  <c r="J354" i="20"/>
  <c r="J356" i="20"/>
  <c r="J358" i="20"/>
  <c r="J360" i="20"/>
  <c r="J362" i="20"/>
  <c r="J364" i="20"/>
  <c r="J366" i="20"/>
  <c r="J368" i="20"/>
  <c r="J370" i="20"/>
  <c r="J372" i="20"/>
  <c r="J374" i="20"/>
  <c r="J376" i="20"/>
  <c r="J378" i="20"/>
  <c r="J380" i="20"/>
  <c r="J382" i="20"/>
  <c r="J384" i="20"/>
  <c r="J386" i="20"/>
  <c r="J388" i="20"/>
  <c r="J390" i="20"/>
  <c r="J393" i="20"/>
  <c r="J395" i="20"/>
  <c r="J397" i="20"/>
  <c r="J399" i="20"/>
  <c r="J401" i="20"/>
  <c r="J403" i="20"/>
  <c r="J405" i="20"/>
  <c r="J407" i="20"/>
  <c r="J409" i="20"/>
  <c r="J411" i="20"/>
  <c r="J413" i="20"/>
  <c r="J415" i="20"/>
  <c r="J417" i="20"/>
  <c r="J419" i="20"/>
  <c r="J420" i="20"/>
  <c r="J422" i="20"/>
  <c r="J424" i="20"/>
  <c r="J425" i="20"/>
  <c r="J427" i="20"/>
  <c r="J429" i="20"/>
  <c r="J431" i="20"/>
  <c r="J434" i="20"/>
  <c r="J436" i="20"/>
  <c r="J438" i="20"/>
  <c r="J440" i="20"/>
  <c r="J442" i="20"/>
  <c r="J444" i="20"/>
  <c r="J446" i="20"/>
  <c r="J448" i="20"/>
  <c r="J450" i="20"/>
  <c r="J452" i="20"/>
  <c r="J454" i="20"/>
  <c r="J456" i="20"/>
  <c r="J458" i="20"/>
  <c r="J460" i="20"/>
  <c r="J462" i="20"/>
  <c r="J464" i="20"/>
  <c r="J466" i="20"/>
  <c r="J468" i="20"/>
  <c r="J470" i="20"/>
  <c r="J472" i="20"/>
  <c r="J474" i="20"/>
  <c r="J476" i="20"/>
  <c r="J478" i="20"/>
  <c r="J480" i="20"/>
  <c r="J482" i="20"/>
  <c r="J484" i="20"/>
  <c r="J485" i="20"/>
  <c r="J487" i="20"/>
  <c r="J489" i="20"/>
  <c r="J491" i="20"/>
  <c r="J493" i="20"/>
  <c r="J495" i="20"/>
  <c r="J497" i="20"/>
  <c r="J499" i="20"/>
  <c r="J501" i="20"/>
  <c r="J503" i="20"/>
  <c r="J505" i="20"/>
  <c r="J507" i="20"/>
  <c r="J509" i="20"/>
  <c r="J511" i="20"/>
  <c r="J513" i="20"/>
  <c r="J515" i="20"/>
  <c r="J517" i="20"/>
  <c r="J519" i="20"/>
  <c r="J521" i="20"/>
  <c r="J523" i="20"/>
  <c r="J525" i="20"/>
  <c r="J527" i="20"/>
  <c r="J529" i="20"/>
  <c r="J531" i="20"/>
  <c r="J533" i="20"/>
  <c r="J535" i="20"/>
  <c r="J537" i="20"/>
  <c r="J538" i="20"/>
  <c r="J540" i="20"/>
  <c r="J542" i="20"/>
  <c r="J544" i="20"/>
  <c r="J546" i="20"/>
  <c r="J548" i="20"/>
  <c r="J550" i="20"/>
  <c r="J552" i="20"/>
  <c r="J554" i="20"/>
  <c r="J556" i="20"/>
  <c r="J558" i="20"/>
  <c r="J560" i="20"/>
  <c r="J562" i="20"/>
  <c r="J564" i="20"/>
  <c r="J566" i="20"/>
  <c r="J568" i="20"/>
  <c r="J570" i="20"/>
  <c r="J572" i="20"/>
  <c r="J574" i="20"/>
  <c r="J576" i="20"/>
  <c r="J578" i="20"/>
  <c r="J580" i="20"/>
  <c r="J581" i="20"/>
  <c r="J583" i="20"/>
  <c r="J585" i="20"/>
  <c r="J587" i="20"/>
  <c r="J589" i="20"/>
  <c r="J591" i="20"/>
  <c r="J593" i="20"/>
  <c r="J595" i="20"/>
  <c r="J597" i="20"/>
  <c r="J599" i="20"/>
  <c r="J601" i="20"/>
  <c r="J603" i="20"/>
  <c r="J605" i="20"/>
  <c r="J606" i="20"/>
  <c r="J608" i="20"/>
  <c r="J610" i="20"/>
  <c r="J612" i="20"/>
  <c r="J613" i="20"/>
  <c r="J615" i="20"/>
  <c r="J617" i="20"/>
  <c r="J619" i="20"/>
  <c r="J620" i="20"/>
  <c r="J623" i="20"/>
  <c r="J625" i="20"/>
  <c r="J627" i="20"/>
  <c r="J628" i="20"/>
  <c r="J629" i="20"/>
  <c r="J631" i="20"/>
  <c r="J634" i="20"/>
  <c r="J636" i="20"/>
  <c r="J638" i="20"/>
  <c r="J640" i="20"/>
  <c r="J642" i="20"/>
  <c r="J644" i="20"/>
  <c r="J646" i="20"/>
  <c r="J648" i="20"/>
  <c r="J650" i="20"/>
  <c r="J652" i="20"/>
  <c r="J653" i="20"/>
  <c r="J655" i="20"/>
  <c r="J657" i="20"/>
  <c r="J659" i="20"/>
  <c r="J661" i="20"/>
  <c r="J663" i="20"/>
  <c r="J665" i="20"/>
  <c r="J667" i="20"/>
  <c r="J670" i="20"/>
  <c r="J672" i="20"/>
  <c r="J674" i="20"/>
  <c r="J676" i="20"/>
  <c r="J678" i="20"/>
  <c r="J679" i="20"/>
  <c r="J681" i="20"/>
  <c r="J682" i="20"/>
  <c r="J684" i="20"/>
  <c r="J686" i="20"/>
  <c r="J688" i="20"/>
  <c r="J690" i="20"/>
  <c r="J692" i="20"/>
  <c r="J694" i="20"/>
  <c r="J696" i="20"/>
  <c r="J698" i="20"/>
  <c r="J700" i="20"/>
  <c r="J702" i="20"/>
  <c r="J704" i="20"/>
  <c r="J706" i="20"/>
  <c r="J710" i="20"/>
  <c r="J712" i="20"/>
  <c r="J714" i="20"/>
  <c r="J716" i="20"/>
  <c r="J717" i="20"/>
  <c r="J719" i="20"/>
  <c r="J721" i="20"/>
  <c r="J723" i="20"/>
  <c r="J725" i="20"/>
  <c r="J727" i="20"/>
  <c r="J728" i="20"/>
  <c r="J730" i="20"/>
  <c r="J732" i="20"/>
  <c r="J734" i="20"/>
  <c r="J736" i="20"/>
  <c r="J738" i="20"/>
  <c r="J740" i="20"/>
  <c r="J741" i="20"/>
  <c r="J742" i="20"/>
  <c r="J744" i="20"/>
  <c r="J746" i="20"/>
  <c r="J748" i="20"/>
  <c r="J750" i="20"/>
  <c r="J752" i="20"/>
  <c r="J754" i="20"/>
  <c r="J756" i="20"/>
  <c r="J757" i="20"/>
  <c r="J759" i="20"/>
  <c r="J761" i="20"/>
  <c r="J763" i="20"/>
  <c r="J765" i="20"/>
  <c r="J767" i="20"/>
  <c r="J770" i="20"/>
  <c r="J772" i="20"/>
  <c r="J774" i="20"/>
  <c r="J776" i="20"/>
  <c r="J778" i="20"/>
  <c r="J780" i="20"/>
  <c r="J782" i="20"/>
  <c r="J784" i="20"/>
  <c r="J786" i="20"/>
  <c r="J787" i="20"/>
  <c r="J789" i="20"/>
  <c r="J790" i="20"/>
  <c r="J792" i="20"/>
  <c r="J794" i="20"/>
  <c r="J796" i="20"/>
  <c r="J798" i="20"/>
  <c r="J800" i="20"/>
  <c r="J802" i="20"/>
  <c r="J804" i="20"/>
  <c r="J806" i="20"/>
  <c r="J808" i="20"/>
  <c r="J810" i="20"/>
  <c r="J811" i="20"/>
  <c r="J813" i="20"/>
  <c r="J815" i="20"/>
  <c r="J817" i="20"/>
  <c r="J819" i="20"/>
  <c r="J821" i="20"/>
  <c r="J823" i="20"/>
  <c r="J826" i="20"/>
  <c r="J828" i="20"/>
  <c r="J830" i="20"/>
  <c r="J832" i="20"/>
  <c r="J834" i="20"/>
  <c r="J836" i="20"/>
  <c r="J838" i="20"/>
  <c r="J840" i="20"/>
  <c r="J842" i="20"/>
  <c r="J844" i="20"/>
  <c r="J846" i="20"/>
  <c r="J848" i="20"/>
  <c r="J850" i="20"/>
  <c r="J852" i="20"/>
  <c r="J856" i="20"/>
  <c r="J858" i="20"/>
  <c r="J860" i="20"/>
  <c r="J862" i="20"/>
  <c r="J864" i="20"/>
  <c r="J866" i="20"/>
  <c r="J867" i="20"/>
  <c r="J869" i="20"/>
  <c r="J871" i="20"/>
  <c r="J873" i="20"/>
  <c r="J875" i="20"/>
  <c r="J877" i="20"/>
  <c r="J879" i="20"/>
  <c r="J881" i="20"/>
  <c r="J883" i="20"/>
  <c r="J885" i="20"/>
  <c r="J887" i="20"/>
  <c r="J888" i="20"/>
  <c r="J890" i="20"/>
  <c r="J892" i="20"/>
  <c r="J894" i="20"/>
  <c r="J896" i="20"/>
  <c r="J899" i="20"/>
  <c r="J901" i="20"/>
  <c r="J903" i="20"/>
  <c r="J905" i="20"/>
  <c r="J908" i="20"/>
  <c r="J910" i="20"/>
  <c r="J912" i="20"/>
  <c r="J914" i="20"/>
  <c r="J916" i="20"/>
  <c r="J918" i="20"/>
  <c r="J920" i="20"/>
  <c r="J923" i="20"/>
  <c r="J925" i="20"/>
  <c r="J927" i="20"/>
  <c r="J929" i="20"/>
  <c r="J931" i="20"/>
  <c r="J932" i="20"/>
  <c r="J934" i="20"/>
  <c r="J936" i="20"/>
  <c r="J938" i="20"/>
  <c r="J939" i="20"/>
  <c r="J941" i="20"/>
  <c r="J943" i="20"/>
  <c r="J945" i="20"/>
  <c r="J947" i="20"/>
  <c r="K346" i="20"/>
  <c r="K347" i="20"/>
  <c r="K348" i="20"/>
  <c r="K349" i="20"/>
  <c r="K350" i="20"/>
  <c r="K351" i="20"/>
  <c r="K352" i="20"/>
  <c r="K353" i="20"/>
  <c r="K354" i="20"/>
  <c r="K355" i="20"/>
  <c r="K356" i="20"/>
  <c r="K357" i="20"/>
  <c r="K358" i="20"/>
  <c r="K359" i="20"/>
  <c r="K360" i="20"/>
  <c r="K361" i="20"/>
  <c r="K362" i="20"/>
  <c r="K363" i="20"/>
  <c r="K364" i="20"/>
  <c r="K365" i="20"/>
  <c r="K366" i="20"/>
  <c r="K367" i="20"/>
  <c r="K368" i="20"/>
  <c r="K369" i="20"/>
  <c r="K370" i="20"/>
  <c r="K371" i="20"/>
  <c r="K372" i="20"/>
  <c r="K373" i="20"/>
  <c r="K374" i="20"/>
  <c r="K375" i="20"/>
  <c r="K376" i="20"/>
  <c r="K377" i="20"/>
  <c r="K378" i="20"/>
  <c r="K379" i="20"/>
  <c r="K380" i="20"/>
  <c r="K381" i="20"/>
  <c r="K382" i="20"/>
  <c r="K383" i="20"/>
  <c r="K384" i="20"/>
  <c r="K385" i="20"/>
  <c r="K386" i="20"/>
  <c r="K387" i="20"/>
  <c r="K388" i="20"/>
  <c r="K389" i="20"/>
  <c r="K390" i="20"/>
  <c r="K391" i="20"/>
  <c r="K392" i="20"/>
  <c r="K393" i="20"/>
  <c r="K394" i="20"/>
  <c r="K395" i="20"/>
  <c r="K396" i="20"/>
  <c r="K397" i="20"/>
  <c r="K398" i="20"/>
  <c r="K399" i="20"/>
  <c r="K400" i="20"/>
  <c r="K401" i="20"/>
  <c r="K402" i="20"/>
  <c r="K403" i="20"/>
  <c r="K404" i="20"/>
  <c r="K405" i="20"/>
  <c r="K406" i="20"/>
  <c r="K407" i="20"/>
  <c r="K408" i="20"/>
  <c r="K409" i="20"/>
  <c r="K410" i="20"/>
  <c r="K411" i="20"/>
  <c r="K412" i="20"/>
  <c r="K413" i="20"/>
  <c r="K414" i="20"/>
  <c r="K415" i="20"/>
  <c r="K416" i="20"/>
  <c r="K417" i="20"/>
  <c r="K418" i="20"/>
  <c r="K419" i="20"/>
  <c r="K420" i="20"/>
  <c r="K421" i="20"/>
  <c r="K422" i="20"/>
  <c r="K423" i="20"/>
  <c r="K424" i="20"/>
  <c r="K425" i="20"/>
  <c r="K426" i="20"/>
  <c r="K427" i="20"/>
  <c r="K428" i="20"/>
  <c r="K429" i="20"/>
  <c r="K430" i="20"/>
  <c r="K431" i="20"/>
  <c r="K432" i="20"/>
  <c r="K433" i="20"/>
  <c r="K434" i="20"/>
  <c r="K435" i="20"/>
  <c r="K436" i="20"/>
  <c r="K437" i="20"/>
  <c r="K438" i="20"/>
  <c r="K439" i="20"/>
  <c r="K440" i="20"/>
  <c r="K441" i="20"/>
  <c r="K442" i="20"/>
  <c r="K443" i="20"/>
  <c r="K444" i="20"/>
  <c r="K445" i="20"/>
  <c r="K446" i="20"/>
  <c r="K447" i="20"/>
  <c r="K448" i="20"/>
  <c r="K449" i="20"/>
  <c r="K450" i="20"/>
  <c r="K451" i="20"/>
  <c r="K452" i="20"/>
  <c r="K453" i="20"/>
  <c r="K454" i="20"/>
  <c r="K455" i="20"/>
  <c r="K456" i="20"/>
  <c r="K457" i="20"/>
  <c r="K458" i="20"/>
  <c r="K459" i="20"/>
  <c r="K460" i="20"/>
  <c r="K461" i="20"/>
  <c r="K462" i="20"/>
  <c r="K463" i="20"/>
  <c r="K464" i="20"/>
  <c r="K465" i="20"/>
  <c r="K466" i="20"/>
  <c r="K467" i="20"/>
  <c r="K468" i="20"/>
  <c r="K469" i="20"/>
  <c r="K470" i="20"/>
  <c r="K471" i="20"/>
  <c r="K472" i="20"/>
  <c r="K473" i="20"/>
  <c r="K474" i="20"/>
  <c r="K475" i="20"/>
  <c r="K476" i="20"/>
  <c r="K477" i="20"/>
  <c r="K478" i="20"/>
  <c r="K479" i="20"/>
  <c r="K480" i="20"/>
  <c r="K481" i="20"/>
  <c r="K482" i="20"/>
  <c r="K483" i="20"/>
  <c r="K484" i="20"/>
  <c r="K485" i="20"/>
  <c r="K486" i="20"/>
  <c r="K487" i="20"/>
  <c r="K488" i="20"/>
  <c r="K489" i="20"/>
  <c r="K490" i="20"/>
  <c r="K491" i="20"/>
  <c r="K492" i="20"/>
  <c r="K493" i="20"/>
  <c r="K494" i="20"/>
  <c r="K495" i="20"/>
  <c r="K496" i="20"/>
  <c r="K497" i="20"/>
  <c r="K498" i="20"/>
  <c r="K499" i="20"/>
  <c r="K500" i="20"/>
  <c r="K501" i="20"/>
  <c r="K502" i="20"/>
  <c r="K503" i="20"/>
  <c r="K504" i="20"/>
  <c r="K505" i="20"/>
  <c r="K506" i="20"/>
  <c r="K507" i="20"/>
  <c r="K508" i="20"/>
  <c r="K509" i="20"/>
  <c r="K510" i="20"/>
  <c r="K511" i="20"/>
  <c r="K512" i="20"/>
  <c r="K513" i="20"/>
  <c r="K514" i="20"/>
  <c r="K515" i="20"/>
  <c r="K516" i="20"/>
  <c r="K517" i="20"/>
  <c r="K518" i="20"/>
  <c r="K519" i="20"/>
  <c r="K520" i="20"/>
  <c r="K521" i="20"/>
  <c r="K522" i="20"/>
  <c r="K523" i="20"/>
  <c r="K524" i="20"/>
  <c r="K525" i="20"/>
  <c r="K526" i="20"/>
  <c r="K527" i="20"/>
  <c r="K528" i="20"/>
  <c r="K529" i="20"/>
  <c r="K530" i="20"/>
  <c r="K531" i="20"/>
  <c r="K532" i="20"/>
  <c r="K533" i="20"/>
  <c r="K534" i="20"/>
  <c r="K535" i="20"/>
  <c r="K536" i="20"/>
  <c r="K537" i="20"/>
  <c r="K538" i="20"/>
  <c r="K539" i="20"/>
  <c r="K540" i="20"/>
  <c r="K541" i="20"/>
  <c r="K542" i="20"/>
  <c r="K543" i="20"/>
  <c r="K544" i="20"/>
  <c r="K545" i="20"/>
  <c r="K546" i="20"/>
  <c r="K547" i="20"/>
  <c r="K548" i="20"/>
  <c r="K549" i="20"/>
  <c r="K550" i="20"/>
  <c r="K551" i="20"/>
  <c r="K552" i="20"/>
  <c r="K553" i="20"/>
  <c r="K554" i="20"/>
  <c r="K555" i="20"/>
  <c r="K556" i="20"/>
  <c r="K557" i="20"/>
  <c r="K558" i="20"/>
  <c r="K559" i="20"/>
  <c r="K560" i="20"/>
  <c r="K561" i="20"/>
  <c r="K562" i="20"/>
  <c r="K563" i="20"/>
  <c r="K564" i="20"/>
  <c r="K565" i="20"/>
  <c r="K566" i="20"/>
  <c r="K567" i="20"/>
  <c r="K568" i="20"/>
  <c r="K569" i="20"/>
  <c r="K570" i="20"/>
  <c r="K571" i="20"/>
  <c r="K572" i="20"/>
  <c r="K573" i="20"/>
  <c r="K574" i="20"/>
  <c r="K575" i="20"/>
  <c r="K576" i="20"/>
  <c r="K577" i="20"/>
  <c r="K578" i="20"/>
  <c r="K579" i="20"/>
  <c r="K580" i="20"/>
  <c r="K581" i="20"/>
  <c r="K582" i="20"/>
  <c r="K583" i="20"/>
  <c r="K584" i="20"/>
  <c r="K585" i="20"/>
  <c r="K586" i="20"/>
  <c r="K587" i="20"/>
  <c r="K588" i="20"/>
  <c r="K589" i="20"/>
  <c r="K590" i="20"/>
  <c r="K591" i="20"/>
  <c r="K592" i="20"/>
  <c r="K593" i="20"/>
  <c r="K594" i="20"/>
  <c r="K595" i="20"/>
  <c r="K596" i="20"/>
  <c r="K597" i="20"/>
  <c r="K598" i="20"/>
  <c r="K599" i="20"/>
  <c r="K600" i="20"/>
  <c r="K601" i="20"/>
  <c r="K602" i="20"/>
  <c r="K603" i="20"/>
  <c r="K604" i="20"/>
  <c r="K605" i="20"/>
  <c r="K606" i="20"/>
  <c r="K607" i="20"/>
  <c r="K608" i="20"/>
  <c r="K609" i="20"/>
  <c r="K610" i="20"/>
  <c r="K611" i="20"/>
  <c r="K612" i="20"/>
  <c r="K613" i="20"/>
  <c r="K614" i="20"/>
  <c r="K615" i="20"/>
  <c r="K616" i="20"/>
  <c r="K617" i="20"/>
  <c r="K618" i="20"/>
  <c r="K619" i="20"/>
  <c r="K620" i="20"/>
  <c r="K621" i="20"/>
  <c r="K622" i="20"/>
  <c r="K623" i="20"/>
  <c r="K624" i="20"/>
  <c r="K625" i="20"/>
  <c r="K626" i="20"/>
  <c r="K627" i="20"/>
  <c r="K628" i="20"/>
  <c r="K629" i="20"/>
  <c r="K630" i="20"/>
  <c r="K631" i="20"/>
  <c r="K632" i="20"/>
  <c r="K633" i="20"/>
  <c r="K634" i="20"/>
  <c r="K635" i="20"/>
  <c r="K636" i="20"/>
  <c r="K637" i="20"/>
  <c r="K638" i="20"/>
  <c r="K639" i="20"/>
  <c r="K640" i="20"/>
  <c r="K641" i="20"/>
  <c r="K642" i="20"/>
  <c r="K643" i="20"/>
  <c r="K644" i="20"/>
  <c r="K645" i="20"/>
  <c r="K646" i="20"/>
  <c r="K647" i="20"/>
  <c r="K648" i="20"/>
  <c r="K649" i="20"/>
  <c r="K650" i="20"/>
  <c r="K651" i="20"/>
  <c r="K652" i="20"/>
  <c r="K653" i="20"/>
  <c r="K654" i="20"/>
  <c r="K655" i="20"/>
  <c r="K656" i="20"/>
  <c r="K657" i="20"/>
  <c r="K658" i="20"/>
  <c r="K659" i="20"/>
  <c r="K660" i="20"/>
  <c r="K661" i="20"/>
  <c r="K662" i="20"/>
  <c r="K663" i="20"/>
  <c r="K664" i="20"/>
  <c r="K665" i="20"/>
  <c r="K666" i="20"/>
  <c r="K667" i="20"/>
  <c r="K668" i="20"/>
  <c r="K669" i="20"/>
  <c r="K670" i="20"/>
  <c r="K671" i="20"/>
  <c r="K672" i="20"/>
  <c r="K673" i="20"/>
  <c r="K674" i="20"/>
  <c r="K675" i="20"/>
  <c r="K676" i="20"/>
  <c r="K677" i="20"/>
  <c r="K678" i="20"/>
  <c r="K679" i="20"/>
  <c r="K680" i="20"/>
  <c r="K681" i="20"/>
  <c r="K682" i="20"/>
  <c r="K683" i="20"/>
  <c r="K684" i="20"/>
  <c r="K685" i="20"/>
  <c r="K686" i="20"/>
  <c r="K687" i="20"/>
  <c r="K688" i="20"/>
  <c r="K689" i="20"/>
  <c r="K690" i="20"/>
  <c r="K691" i="20"/>
  <c r="K692" i="20"/>
  <c r="K693" i="20"/>
  <c r="K694" i="20"/>
  <c r="K695" i="20"/>
  <c r="K696" i="20"/>
  <c r="K697" i="20"/>
  <c r="K698" i="20"/>
  <c r="K699" i="20"/>
  <c r="K700" i="20"/>
  <c r="K701" i="20"/>
  <c r="K702" i="20"/>
  <c r="K703" i="20"/>
  <c r="K704" i="20"/>
  <c r="K705" i="20"/>
  <c r="K706" i="20"/>
  <c r="K707" i="20"/>
  <c r="K708" i="20"/>
  <c r="K709" i="20"/>
  <c r="K710" i="20"/>
  <c r="K711" i="20"/>
  <c r="K712" i="20"/>
  <c r="K713" i="20"/>
  <c r="K714" i="20"/>
  <c r="K715" i="20"/>
  <c r="K716" i="20"/>
  <c r="K717" i="20"/>
  <c r="K718" i="20"/>
  <c r="K719" i="20"/>
  <c r="K720" i="20"/>
  <c r="K721" i="20"/>
  <c r="K722" i="20"/>
  <c r="K723" i="20"/>
  <c r="K724" i="20"/>
  <c r="K725" i="20"/>
  <c r="K726" i="20"/>
  <c r="K727" i="20"/>
  <c r="K728" i="20"/>
  <c r="K729" i="20"/>
  <c r="K730" i="20"/>
  <c r="K731" i="20"/>
  <c r="K732" i="20"/>
  <c r="K733" i="20"/>
  <c r="K734" i="20"/>
  <c r="K735" i="20"/>
  <c r="K736" i="20"/>
  <c r="K737" i="20"/>
  <c r="K738" i="20"/>
  <c r="K739" i="20"/>
  <c r="K740" i="20"/>
  <c r="K741" i="20"/>
  <c r="K742" i="20"/>
  <c r="K743" i="20"/>
  <c r="K744" i="20"/>
  <c r="K745" i="20"/>
  <c r="K746" i="20"/>
  <c r="K747" i="20"/>
  <c r="K748" i="20"/>
  <c r="K749" i="20"/>
  <c r="K750" i="20"/>
  <c r="K751" i="20"/>
  <c r="K752" i="20"/>
  <c r="K753" i="20"/>
  <c r="K754" i="20"/>
  <c r="K755" i="20"/>
  <c r="K756" i="20"/>
  <c r="K757" i="20"/>
  <c r="K758" i="20"/>
  <c r="K759" i="20"/>
  <c r="K760" i="20"/>
  <c r="K761" i="20"/>
  <c r="K762" i="20"/>
  <c r="K763" i="20"/>
  <c r="K764" i="20"/>
  <c r="K765" i="20"/>
  <c r="K766" i="20"/>
  <c r="K767" i="20"/>
  <c r="K768" i="20"/>
  <c r="K769" i="20"/>
  <c r="K770" i="20"/>
  <c r="K771" i="20"/>
  <c r="K772" i="20"/>
  <c r="K773" i="20"/>
  <c r="K774" i="20"/>
  <c r="K775" i="20"/>
  <c r="K776" i="20"/>
  <c r="K777" i="20"/>
  <c r="K778" i="20"/>
  <c r="K779" i="20"/>
  <c r="K780" i="20"/>
  <c r="K781" i="20"/>
  <c r="K782" i="20"/>
  <c r="K783" i="20"/>
  <c r="K784" i="20"/>
  <c r="K785" i="20"/>
  <c r="K786" i="20"/>
  <c r="K787" i="20"/>
  <c r="K788" i="20"/>
  <c r="K789" i="20"/>
  <c r="K790" i="20"/>
  <c r="K791" i="20"/>
  <c r="K792" i="20"/>
  <c r="K793" i="20"/>
  <c r="K794" i="20"/>
  <c r="K795" i="20"/>
  <c r="K796" i="20"/>
  <c r="K797" i="20"/>
  <c r="K798" i="20"/>
  <c r="K799" i="20"/>
  <c r="K800" i="20"/>
  <c r="K801" i="20"/>
  <c r="K802" i="20"/>
  <c r="K803" i="20"/>
  <c r="K804" i="20"/>
  <c r="K805" i="20"/>
  <c r="K806" i="20"/>
  <c r="K807" i="20"/>
  <c r="K808" i="20"/>
  <c r="K809" i="20"/>
  <c r="K810" i="20"/>
  <c r="K811" i="20"/>
  <c r="K812" i="20"/>
  <c r="K813" i="20"/>
  <c r="K814" i="20"/>
  <c r="K815" i="20"/>
  <c r="K816" i="20"/>
  <c r="K817" i="20"/>
  <c r="K818" i="20"/>
  <c r="K819" i="20"/>
  <c r="K820" i="20"/>
  <c r="K821" i="20"/>
  <c r="K822" i="20"/>
  <c r="K823" i="20"/>
  <c r="K824" i="20"/>
  <c r="K825" i="20"/>
  <c r="K826" i="20"/>
  <c r="K827" i="20"/>
  <c r="K828" i="20"/>
  <c r="K829" i="20"/>
  <c r="K830" i="20"/>
  <c r="K831" i="20"/>
  <c r="K832" i="20"/>
  <c r="K833" i="20"/>
  <c r="K834" i="20"/>
  <c r="K835" i="20"/>
  <c r="K836" i="20"/>
  <c r="K837" i="20"/>
  <c r="K838" i="20"/>
  <c r="K839" i="20"/>
  <c r="K840" i="20"/>
  <c r="K841" i="20"/>
  <c r="K842" i="20"/>
  <c r="K843" i="20"/>
  <c r="K844" i="20"/>
  <c r="K845" i="20"/>
  <c r="K846" i="20"/>
  <c r="K847" i="20"/>
  <c r="K848" i="20"/>
  <c r="K849" i="20"/>
  <c r="K850" i="20"/>
  <c r="K851" i="20"/>
  <c r="K852" i="20"/>
  <c r="K853" i="20"/>
  <c r="K854" i="20"/>
  <c r="K855" i="20"/>
  <c r="K856" i="20"/>
  <c r="K857" i="20"/>
  <c r="K858" i="20"/>
  <c r="K859" i="20"/>
  <c r="K860" i="20"/>
  <c r="K861" i="20"/>
  <c r="K862" i="20"/>
  <c r="K863" i="20"/>
  <c r="K864" i="20"/>
  <c r="K865" i="20"/>
  <c r="K866" i="20"/>
  <c r="K867" i="20"/>
  <c r="K868" i="20"/>
  <c r="K869" i="20"/>
  <c r="K870" i="20"/>
  <c r="K871" i="20"/>
  <c r="K872" i="20"/>
  <c r="K873" i="20"/>
  <c r="K874" i="20"/>
  <c r="K875" i="20"/>
  <c r="K876" i="20"/>
  <c r="K877" i="20"/>
  <c r="K878" i="20"/>
  <c r="K879" i="20"/>
  <c r="K880" i="20"/>
  <c r="K881" i="20"/>
  <c r="K882" i="20"/>
  <c r="K883" i="20"/>
  <c r="K884" i="20"/>
  <c r="K885" i="20"/>
  <c r="K886" i="20"/>
  <c r="K887" i="20"/>
  <c r="K888" i="20"/>
  <c r="K889" i="20"/>
  <c r="K890" i="20"/>
  <c r="K891" i="20"/>
  <c r="K892" i="20"/>
  <c r="K893" i="20"/>
  <c r="K894" i="20"/>
  <c r="K895" i="20"/>
  <c r="K896" i="20"/>
  <c r="K897" i="20"/>
  <c r="K898" i="20"/>
  <c r="K899" i="20"/>
  <c r="K900" i="20"/>
  <c r="K901" i="20"/>
  <c r="K902" i="20"/>
  <c r="K903" i="20"/>
  <c r="K904" i="20"/>
  <c r="K905" i="20"/>
  <c r="K906" i="20"/>
  <c r="K907" i="20"/>
  <c r="K908" i="20"/>
  <c r="K909" i="20"/>
  <c r="K910" i="20"/>
  <c r="K911" i="20"/>
  <c r="K912" i="20"/>
  <c r="K913" i="20"/>
  <c r="K914" i="20"/>
  <c r="K915" i="20"/>
  <c r="K916" i="20"/>
  <c r="K917" i="20"/>
  <c r="K918" i="20"/>
  <c r="K919" i="20"/>
  <c r="K920" i="20"/>
  <c r="K921" i="20"/>
  <c r="K922" i="20"/>
  <c r="K923" i="20"/>
  <c r="K924" i="20"/>
  <c r="K925" i="20"/>
  <c r="K926" i="20"/>
  <c r="K927" i="20"/>
  <c r="K928" i="20"/>
  <c r="K929" i="20"/>
  <c r="K930" i="20"/>
  <c r="K931" i="20"/>
  <c r="K932" i="20"/>
  <c r="K933" i="20"/>
  <c r="K934" i="20"/>
  <c r="K935" i="20"/>
  <c r="K936" i="20"/>
  <c r="K937" i="20"/>
  <c r="K938" i="20"/>
  <c r="K939" i="20"/>
  <c r="K940" i="20"/>
  <c r="K941" i="20"/>
  <c r="K942" i="20"/>
  <c r="K943" i="20"/>
  <c r="K944" i="20"/>
  <c r="K945" i="20"/>
  <c r="K946" i="20"/>
  <c r="K947" i="20"/>
  <c r="J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6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7" i="20"/>
  <c r="J198" i="20"/>
  <c r="J199" i="20"/>
  <c r="J200" i="20"/>
  <c r="J201" i="20"/>
  <c r="J202" i="20"/>
  <c r="J203" i="20"/>
  <c r="J204" i="20"/>
  <c r="J205" i="20"/>
  <c r="J206" i="20"/>
  <c r="J207" i="20"/>
  <c r="J208" i="20"/>
  <c r="J209" i="20"/>
  <c r="J210" i="20"/>
  <c r="J211" i="20"/>
  <c r="J212" i="20"/>
  <c r="J213" i="20"/>
  <c r="J214" i="20"/>
  <c r="J215" i="20"/>
  <c r="J216" i="20"/>
  <c r="J217" i="20"/>
  <c r="J218" i="20"/>
  <c r="J219" i="20"/>
  <c r="J220" i="20"/>
  <c r="J221" i="20"/>
  <c r="J222" i="20"/>
  <c r="J223" i="20"/>
  <c r="J224" i="20"/>
  <c r="J225" i="20"/>
  <c r="J226" i="20"/>
  <c r="J227" i="20"/>
  <c r="J228" i="20"/>
  <c r="J229" i="20"/>
  <c r="J230" i="20"/>
  <c r="J231" i="20"/>
  <c r="J232" i="20"/>
  <c r="J233" i="20"/>
  <c r="J234" i="20"/>
  <c r="J235" i="20"/>
  <c r="J236" i="20"/>
  <c r="J237" i="20"/>
  <c r="J238" i="20"/>
  <c r="J239" i="20"/>
  <c r="J240" i="20"/>
  <c r="J241" i="20"/>
  <c r="J242" i="20"/>
  <c r="J243" i="20"/>
  <c r="J244" i="20"/>
  <c r="J245" i="20"/>
  <c r="J246" i="20"/>
  <c r="J247" i="20"/>
  <c r="J248" i="20"/>
  <c r="J249" i="20"/>
  <c r="J250" i="20"/>
  <c r="J251" i="20"/>
  <c r="J252" i="20"/>
  <c r="J253" i="20"/>
  <c r="J254" i="20"/>
  <c r="J255" i="20"/>
  <c r="J256" i="20"/>
  <c r="J257" i="20"/>
  <c r="J258" i="20"/>
  <c r="J259" i="20"/>
  <c r="J260" i="20"/>
  <c r="J261" i="20"/>
  <c r="J262" i="20"/>
  <c r="J263" i="20"/>
  <c r="J264" i="20"/>
  <c r="J265" i="20"/>
  <c r="J266" i="20"/>
  <c r="J267" i="20"/>
  <c r="J268" i="20"/>
  <c r="J269" i="20"/>
  <c r="J270" i="20"/>
  <c r="J271" i="20"/>
  <c r="J272" i="20"/>
  <c r="J273" i="20"/>
  <c r="J274" i="20"/>
  <c r="J275" i="20"/>
  <c r="J276" i="20"/>
  <c r="J277" i="20"/>
  <c r="J278" i="20"/>
  <c r="J279" i="20"/>
  <c r="J280" i="20"/>
  <c r="J281" i="20"/>
  <c r="J282" i="20"/>
  <c r="J283" i="20"/>
  <c r="J284" i="20"/>
  <c r="J285" i="20"/>
  <c r="J286" i="20"/>
  <c r="J287" i="20"/>
  <c r="J288" i="20"/>
  <c r="J289" i="20"/>
  <c r="J290" i="20"/>
  <c r="J291" i="20"/>
  <c r="J292" i="20"/>
  <c r="J293" i="20"/>
  <c r="J294" i="20"/>
  <c r="J295" i="20"/>
  <c r="J296" i="20"/>
  <c r="J297" i="20"/>
  <c r="J298" i="20"/>
  <c r="J299" i="20"/>
  <c r="J300" i="20"/>
  <c r="J301" i="20"/>
  <c r="J302" i="20"/>
  <c r="J303" i="20"/>
  <c r="J304" i="20"/>
  <c r="J305" i="20"/>
  <c r="J306" i="20"/>
  <c r="J307" i="20"/>
  <c r="J308" i="20"/>
  <c r="J309" i="20"/>
  <c r="J310" i="20"/>
  <c r="J311" i="20"/>
  <c r="J312" i="20"/>
  <c r="J313" i="20"/>
  <c r="J314" i="20"/>
  <c r="J315" i="20"/>
  <c r="J316" i="20"/>
  <c r="J317" i="20"/>
  <c r="J318" i="20"/>
  <c r="J319" i="20"/>
  <c r="J320" i="20"/>
  <c r="J321" i="20"/>
  <c r="J322" i="20"/>
  <c r="J323" i="20"/>
  <c r="J324" i="20"/>
  <c r="J325" i="20"/>
  <c r="J326" i="20"/>
  <c r="J327" i="20"/>
  <c r="J328" i="20"/>
  <c r="J329" i="20"/>
  <c r="J330" i="20"/>
  <c r="J331" i="20"/>
  <c r="J332" i="20"/>
  <c r="J333" i="20"/>
  <c r="J334" i="20"/>
  <c r="J335" i="20"/>
  <c r="J336" i="20"/>
  <c r="J337" i="20"/>
  <c r="J338" i="20"/>
  <c r="J339" i="20"/>
  <c r="J340" i="20"/>
  <c r="J341" i="20"/>
  <c r="J342" i="20"/>
  <c r="J343" i="20"/>
  <c r="J344" i="20"/>
  <c r="J345" i="20"/>
  <c r="J346" i="20"/>
  <c r="J347" i="20"/>
  <c r="J348" i="20"/>
  <c r="J349" i="20"/>
  <c r="J351" i="20"/>
  <c r="J352" i="20"/>
  <c r="J353" i="20"/>
  <c r="J355" i="20"/>
  <c r="J357" i="20"/>
  <c r="J359" i="20"/>
  <c r="J361" i="20"/>
  <c r="J363" i="20"/>
  <c r="J365" i="20"/>
  <c r="J367" i="20"/>
  <c r="J369" i="20"/>
  <c r="J371" i="20"/>
  <c r="J373" i="20"/>
  <c r="J375" i="20"/>
  <c r="J377" i="20"/>
  <c r="J379" i="20"/>
  <c r="J381" i="20"/>
  <c r="J383" i="20"/>
  <c r="J385" i="20"/>
  <c r="J387" i="20"/>
  <c r="J389" i="20"/>
  <c r="J391" i="20"/>
  <c r="J392" i="20"/>
  <c r="J394" i="20"/>
  <c r="J396" i="20"/>
  <c r="J398" i="20"/>
  <c r="J400" i="20"/>
  <c r="J402" i="20"/>
  <c r="J404" i="20"/>
  <c r="J406" i="20"/>
  <c r="J408" i="20"/>
  <c r="J410" i="20"/>
  <c r="J412" i="20"/>
  <c r="J414" i="20"/>
  <c r="J416" i="20"/>
  <c r="J418" i="20"/>
  <c r="J421" i="20"/>
  <c r="J423" i="20"/>
  <c r="J426" i="20"/>
  <c r="J428" i="20"/>
  <c r="J430" i="20"/>
  <c r="J433" i="20"/>
  <c r="J435" i="20"/>
  <c r="J437" i="20"/>
  <c r="J439" i="20"/>
  <c r="J441" i="20"/>
  <c r="J443" i="20"/>
  <c r="J445" i="20"/>
  <c r="J447" i="20"/>
  <c r="J449" i="20"/>
  <c r="J451" i="20"/>
  <c r="J453" i="20"/>
  <c r="J455" i="20"/>
  <c r="J457" i="20"/>
  <c r="J459" i="20"/>
  <c r="J461" i="20"/>
  <c r="J463" i="20"/>
  <c r="J465" i="20"/>
  <c r="J467" i="20"/>
  <c r="J469" i="20"/>
  <c r="J471" i="20"/>
  <c r="J473" i="20"/>
  <c r="J475" i="20"/>
  <c r="J477" i="20"/>
  <c r="J479" i="20"/>
  <c r="J481" i="20"/>
  <c r="J483" i="20"/>
  <c r="J486" i="20"/>
  <c r="J488" i="20"/>
  <c r="J490" i="20"/>
  <c r="J492" i="20"/>
  <c r="J494" i="20"/>
  <c r="J496" i="20"/>
  <c r="J498" i="20"/>
  <c r="J500" i="20"/>
  <c r="J502" i="20"/>
  <c r="J504" i="20"/>
  <c r="J506" i="20"/>
  <c r="J508" i="20"/>
  <c r="J510" i="20"/>
  <c r="J512" i="20"/>
  <c r="J514" i="20"/>
  <c r="J516" i="20"/>
  <c r="J518" i="20"/>
  <c r="J520" i="20"/>
  <c r="J522" i="20"/>
  <c r="J524" i="20"/>
  <c r="J526" i="20"/>
  <c r="J528" i="20"/>
  <c r="J530" i="20"/>
  <c r="J532" i="20"/>
  <c r="J534" i="20"/>
  <c r="J536" i="20"/>
  <c r="J539" i="20"/>
  <c r="J541" i="20"/>
  <c r="J543" i="20"/>
  <c r="J545" i="20"/>
  <c r="J547" i="20"/>
  <c r="J549" i="20"/>
  <c r="J551" i="20"/>
  <c r="J553" i="20"/>
  <c r="J555" i="20"/>
  <c r="J557" i="20"/>
  <c r="J559" i="20"/>
  <c r="J561" i="20"/>
  <c r="J563" i="20"/>
  <c r="J565" i="20"/>
  <c r="J567" i="20"/>
  <c r="J569" i="20"/>
  <c r="J571" i="20"/>
  <c r="J573" i="20"/>
  <c r="J575" i="20"/>
  <c r="J577" i="20"/>
  <c r="J579" i="20"/>
  <c r="J582" i="20"/>
  <c r="J584" i="20"/>
  <c r="J586" i="20"/>
  <c r="J588" i="20"/>
  <c r="J590" i="20"/>
  <c r="J592" i="20"/>
  <c r="J594" i="20"/>
  <c r="J596" i="20"/>
  <c r="J598" i="20"/>
  <c r="J600" i="20"/>
  <c r="J602" i="20"/>
  <c r="J604" i="20"/>
  <c r="J607" i="20"/>
  <c r="J609" i="20"/>
  <c r="J611" i="20"/>
  <c r="J614" i="20"/>
  <c r="J616" i="20"/>
  <c r="J618" i="20"/>
  <c r="J621" i="20"/>
  <c r="J622" i="20"/>
  <c r="J624" i="20"/>
  <c r="J626" i="20"/>
  <c r="J630" i="20"/>
  <c r="J632" i="20"/>
  <c r="J633" i="20"/>
  <c r="J635" i="20"/>
  <c r="J637" i="20"/>
  <c r="J639" i="20"/>
  <c r="J641" i="20"/>
  <c r="J643" i="20"/>
  <c r="J645" i="20"/>
  <c r="J647" i="20"/>
  <c r="J649" i="20"/>
  <c r="J651" i="20"/>
  <c r="J654" i="20"/>
  <c r="J656" i="20"/>
  <c r="J658" i="20"/>
  <c r="J660" i="20"/>
  <c r="J662" i="20"/>
  <c r="J664" i="20"/>
  <c r="J666" i="20"/>
  <c r="J668" i="20"/>
  <c r="J669" i="20"/>
  <c r="J671" i="20"/>
  <c r="J673" i="20"/>
  <c r="J675" i="20"/>
  <c r="J677" i="20"/>
  <c r="J680" i="20"/>
  <c r="J683" i="20"/>
  <c r="J685" i="20"/>
  <c r="J687" i="20"/>
  <c r="J689" i="20"/>
  <c r="J691" i="20"/>
  <c r="J693" i="20"/>
  <c r="J695" i="20"/>
  <c r="J697" i="20"/>
  <c r="J699" i="20"/>
  <c r="J701" i="20"/>
  <c r="J703" i="20"/>
  <c r="J705" i="20"/>
  <c r="J707" i="20"/>
  <c r="J708" i="20"/>
  <c r="J709" i="20"/>
  <c r="J711" i="20"/>
  <c r="J713" i="20"/>
  <c r="J715" i="20"/>
  <c r="J718" i="20"/>
  <c r="J720" i="20"/>
  <c r="J722" i="20"/>
  <c r="J724" i="20"/>
  <c r="J726" i="20"/>
  <c r="J729" i="20"/>
  <c r="J731" i="20"/>
  <c r="J733" i="20"/>
  <c r="J735" i="20"/>
  <c r="J737" i="20"/>
  <c r="J739" i="20"/>
  <c r="J743" i="20"/>
  <c r="J745" i="20"/>
  <c r="J747" i="20"/>
  <c r="J749" i="20"/>
  <c r="J751" i="20"/>
  <c r="J753" i="20"/>
  <c r="J755" i="20"/>
  <c r="J758" i="20"/>
  <c r="J760" i="20"/>
  <c r="J762" i="20"/>
  <c r="J764" i="20"/>
  <c r="J766" i="20"/>
  <c r="J768" i="20"/>
  <c r="J769" i="20"/>
  <c r="J771" i="20"/>
  <c r="J773" i="20"/>
  <c r="J775" i="20"/>
  <c r="J777" i="20"/>
  <c r="J779" i="20"/>
  <c r="J781" i="20"/>
  <c r="J783" i="20"/>
  <c r="J785" i="20"/>
  <c r="J788" i="20"/>
  <c r="J791" i="20"/>
  <c r="J793" i="20"/>
  <c r="J795" i="20"/>
  <c r="J797" i="20"/>
  <c r="J799" i="20"/>
  <c r="J801" i="20"/>
  <c r="J803" i="20"/>
  <c r="J805" i="20"/>
  <c r="J807" i="20"/>
  <c r="J809" i="20"/>
  <c r="J812" i="20"/>
  <c r="J814" i="20"/>
  <c r="J816" i="20"/>
  <c r="J818" i="20"/>
  <c r="J820" i="20"/>
  <c r="J822" i="20"/>
  <c r="J824" i="20"/>
  <c r="J825" i="20"/>
  <c r="J827" i="20"/>
  <c r="J829" i="20"/>
  <c r="J831" i="20"/>
  <c r="J833" i="20"/>
  <c r="J835" i="20"/>
  <c r="J837" i="20"/>
  <c r="J839" i="20"/>
  <c r="J841" i="20"/>
  <c r="J843" i="20"/>
  <c r="J845" i="20"/>
  <c r="J847" i="20"/>
  <c r="J849" i="20"/>
  <c r="J851" i="20"/>
  <c r="J853" i="20"/>
  <c r="J854" i="20"/>
  <c r="J855" i="20"/>
  <c r="J857" i="20"/>
  <c r="J859" i="20"/>
  <c r="J861" i="20"/>
  <c r="J863" i="20"/>
  <c r="J865" i="20"/>
  <c r="J868" i="20"/>
  <c r="J870" i="20"/>
  <c r="J872" i="20"/>
  <c r="J874" i="20"/>
  <c r="J876" i="20"/>
  <c r="J878" i="20"/>
  <c r="J880" i="20"/>
  <c r="J882" i="20"/>
  <c r="J884" i="20"/>
  <c r="J886" i="20"/>
  <c r="J889" i="20"/>
  <c r="J891" i="20"/>
  <c r="J893" i="20"/>
  <c r="J895" i="20"/>
  <c r="J897" i="20"/>
  <c r="J898" i="20"/>
  <c r="J900" i="20"/>
  <c r="J902" i="20"/>
  <c r="J904" i="20"/>
  <c r="J906" i="20"/>
  <c r="J907" i="20"/>
  <c r="J909" i="20"/>
  <c r="J911" i="20"/>
  <c r="J913" i="20"/>
  <c r="J915" i="20"/>
  <c r="J917" i="20"/>
  <c r="J919" i="20"/>
  <c r="J921" i="20"/>
  <c r="J922" i="20"/>
  <c r="J924" i="20"/>
  <c r="J926" i="20"/>
  <c r="J928" i="20"/>
  <c r="J930" i="20"/>
  <c r="J933" i="20"/>
  <c r="J935" i="20"/>
  <c r="J937" i="20"/>
  <c r="J940" i="20"/>
  <c r="J942" i="20"/>
  <c r="J944" i="20"/>
  <c r="J946" i="20"/>
  <c r="E3" i="20"/>
  <c r="F3" i="20"/>
  <c r="G3" i="20"/>
  <c r="H3" i="20"/>
  <c r="I3" i="20"/>
  <c r="E4" i="20"/>
  <c r="F4" i="20"/>
  <c r="G4" i="20"/>
  <c r="H4" i="20"/>
  <c r="I4" i="20"/>
  <c r="E5" i="20"/>
  <c r="F5" i="20"/>
  <c r="G5" i="20"/>
  <c r="H5" i="20"/>
  <c r="I5" i="20"/>
  <c r="E6" i="20"/>
  <c r="F6" i="20"/>
  <c r="G6" i="20"/>
  <c r="H6" i="20"/>
  <c r="I6" i="20"/>
  <c r="E7" i="20"/>
  <c r="F7" i="20"/>
  <c r="G7" i="20"/>
  <c r="H7" i="20"/>
  <c r="I7" i="20"/>
  <c r="E8" i="20"/>
  <c r="F8" i="20"/>
  <c r="G8" i="20"/>
  <c r="H8" i="20"/>
  <c r="I8" i="20"/>
  <c r="E9" i="20"/>
  <c r="F9" i="20"/>
  <c r="G9" i="20"/>
  <c r="H9" i="20"/>
  <c r="I9" i="20"/>
  <c r="E10" i="20"/>
  <c r="F10" i="20"/>
  <c r="G10" i="20"/>
  <c r="H10" i="20"/>
  <c r="I10" i="20"/>
  <c r="E11" i="20"/>
  <c r="F11" i="20"/>
  <c r="G11" i="20"/>
  <c r="H11" i="20"/>
  <c r="I11" i="20"/>
  <c r="E12" i="20"/>
  <c r="F12" i="20"/>
  <c r="G12" i="20"/>
  <c r="H12" i="20"/>
  <c r="I12" i="20"/>
  <c r="E13" i="20"/>
  <c r="F13" i="20"/>
  <c r="G13" i="20"/>
  <c r="H13" i="20"/>
  <c r="I13" i="20"/>
  <c r="E14" i="20"/>
  <c r="F14" i="20"/>
  <c r="G14" i="20"/>
  <c r="H14" i="20"/>
  <c r="I14" i="20"/>
  <c r="E15" i="20"/>
  <c r="F15" i="20"/>
  <c r="G15" i="20"/>
  <c r="H15" i="20"/>
  <c r="I15" i="20"/>
  <c r="E16" i="20"/>
  <c r="F16" i="20"/>
  <c r="G16" i="20"/>
  <c r="H16" i="20"/>
  <c r="I16" i="20"/>
  <c r="E17" i="20"/>
  <c r="F17" i="20"/>
  <c r="G17" i="20"/>
  <c r="H17" i="20"/>
  <c r="I17" i="20"/>
  <c r="E18" i="20"/>
  <c r="F18" i="20"/>
  <c r="G18" i="20"/>
  <c r="H18" i="20"/>
  <c r="I18" i="20"/>
  <c r="E19" i="20"/>
  <c r="F19" i="20"/>
  <c r="G19" i="20"/>
  <c r="H19" i="20"/>
  <c r="I19" i="20"/>
  <c r="E20" i="20"/>
  <c r="F20" i="20"/>
  <c r="G20" i="20"/>
  <c r="H20" i="20"/>
  <c r="I20" i="20"/>
  <c r="E21" i="20"/>
  <c r="F21" i="20"/>
  <c r="G21" i="20"/>
  <c r="H21" i="20"/>
  <c r="I21" i="20"/>
  <c r="F22" i="20"/>
  <c r="E23" i="20"/>
  <c r="H23" i="20"/>
  <c r="E24" i="20"/>
  <c r="G24" i="20"/>
  <c r="I24" i="20"/>
  <c r="F25" i="20"/>
  <c r="H25" i="20"/>
  <c r="F26" i="20"/>
  <c r="G26" i="20"/>
  <c r="I26" i="20"/>
  <c r="I27" i="20"/>
  <c r="H28" i="20"/>
  <c r="E29" i="20"/>
  <c r="H29" i="20"/>
  <c r="G30" i="20"/>
  <c r="G31" i="20"/>
  <c r="E32" i="20"/>
  <c r="H32" i="20"/>
  <c r="H33" i="20"/>
  <c r="F34" i="20"/>
  <c r="E36" i="20"/>
  <c r="F37" i="20"/>
  <c r="H37" i="20"/>
  <c r="H38" i="20"/>
  <c r="F39" i="20"/>
  <c r="E40" i="20"/>
  <c r="H59" i="20"/>
  <c r="F60" i="20"/>
  <c r="I60" i="20"/>
  <c r="G61" i="20"/>
  <c r="E62" i="20"/>
  <c r="H62" i="20"/>
  <c r="G63" i="20"/>
  <c r="F64" i="20"/>
  <c r="E65" i="20"/>
  <c r="H66" i="20"/>
  <c r="F67" i="20"/>
  <c r="H67" i="20"/>
  <c r="E68" i="20"/>
  <c r="H68" i="20"/>
  <c r="F69" i="20"/>
  <c r="I69" i="20"/>
  <c r="I71" i="20"/>
  <c r="F74" i="20"/>
  <c r="H76" i="20"/>
  <c r="I86" i="20"/>
  <c r="F87" i="20"/>
  <c r="E89" i="20"/>
  <c r="I92" i="20"/>
  <c r="I94" i="20"/>
  <c r="G95" i="20"/>
  <c r="E96" i="20"/>
  <c r="I96" i="20"/>
  <c r="D5" i="20"/>
  <c r="D12" i="20"/>
  <c r="D21" i="20"/>
  <c r="D31" i="20"/>
  <c r="D52" i="20"/>
  <c r="D57" i="20"/>
  <c r="D77" i="20"/>
  <c r="D101" i="20"/>
  <c r="D125" i="20"/>
  <c r="D180" i="20"/>
  <c r="D210" i="20"/>
  <c r="D219" i="20"/>
  <c r="D242" i="20"/>
  <c r="D301" i="20"/>
  <c r="D331" i="20"/>
  <c r="D397" i="20"/>
  <c r="D409" i="20"/>
  <c r="D428" i="20"/>
  <c r="D441" i="20"/>
  <c r="D493" i="20"/>
  <c r="D541" i="20"/>
  <c r="D558" i="20"/>
  <c r="D566" i="20"/>
  <c r="D570" i="20"/>
  <c r="D575" i="20"/>
  <c r="D580" i="20"/>
  <c r="D585" i="20"/>
  <c r="D590" i="20"/>
  <c r="D596" i="20"/>
  <c r="D600" i="20"/>
  <c r="D603" i="20"/>
  <c r="D612" i="20"/>
  <c r="D618" i="20"/>
  <c r="D633" i="20"/>
  <c r="D644" i="20"/>
  <c r="D650" i="20"/>
  <c r="D657" i="20"/>
  <c r="D668" i="20"/>
  <c r="D678" i="20"/>
  <c r="D695" i="20"/>
  <c r="D715" i="20"/>
  <c r="D730" i="20"/>
  <c r="D749" i="20"/>
  <c r="D761" i="20"/>
  <c r="D769" i="20"/>
  <c r="D789" i="20"/>
  <c r="D794" i="20"/>
  <c r="D800" i="20"/>
  <c r="D809" i="20"/>
  <c r="D813" i="20"/>
  <c r="D820" i="20"/>
  <c r="D833" i="20"/>
  <c r="D848" i="20"/>
  <c r="D858" i="20"/>
  <c r="D887" i="20"/>
  <c r="D891" i="20"/>
  <c r="D901" i="20"/>
  <c r="D920" i="20"/>
  <c r="D932" i="20"/>
  <c r="G100" i="20"/>
  <c r="E106" i="20"/>
  <c r="I108" i="20"/>
  <c r="G113" i="20"/>
  <c r="E122" i="20"/>
  <c r="G127" i="20"/>
  <c r="H133" i="20"/>
  <c r="G158" i="20"/>
  <c r="F163" i="20"/>
  <c r="F177" i="20"/>
  <c r="E181" i="20"/>
  <c r="I670" i="20"/>
  <c r="E217" i="20"/>
  <c r="G237" i="20"/>
  <c r="G244" i="20"/>
  <c r="E246" i="20"/>
  <c r="E247" i="20"/>
  <c r="I247" i="20"/>
  <c r="H248" i="20"/>
  <c r="F249" i="20"/>
  <c r="E250" i="20"/>
  <c r="I250" i="20"/>
  <c r="I251" i="20"/>
  <c r="H252" i="20"/>
  <c r="E253" i="20"/>
  <c r="I253" i="20"/>
  <c r="H254" i="20"/>
  <c r="G255" i="20"/>
  <c r="F256" i="20"/>
  <c r="I256" i="20"/>
  <c r="I257" i="20"/>
  <c r="I258" i="20"/>
  <c r="H259" i="20"/>
  <c r="G260" i="20"/>
  <c r="F261" i="20"/>
  <c r="E262" i="20"/>
  <c r="H263" i="20"/>
  <c r="G264" i="20"/>
  <c r="I265" i="20"/>
  <c r="H266" i="20"/>
  <c r="G267" i="20"/>
  <c r="I268" i="20"/>
  <c r="G269" i="20"/>
  <c r="I269" i="20"/>
  <c r="E271" i="20"/>
  <c r="I271" i="20"/>
  <c r="E275" i="20"/>
  <c r="I275" i="20"/>
  <c r="I276" i="20"/>
  <c r="I279" i="20"/>
  <c r="F282" i="20"/>
  <c r="H462" i="20"/>
  <c r="E575" i="20"/>
  <c r="J432" i="20"/>
  <c r="D40" i="20"/>
  <c r="G106" i="20"/>
  <c r="G292" i="20"/>
  <c r="H292" i="20"/>
  <c r="I292" i="20"/>
  <c r="E293" i="20"/>
  <c r="F293" i="20"/>
  <c r="G293" i="20"/>
  <c r="H293" i="20"/>
  <c r="I293" i="20"/>
  <c r="E294" i="20"/>
  <c r="F294" i="20"/>
  <c r="G294" i="20"/>
  <c r="H294" i="20"/>
  <c r="I294" i="20"/>
  <c r="E295" i="20"/>
  <c r="F295" i="20"/>
  <c r="G295" i="20"/>
  <c r="H295" i="20"/>
  <c r="I295" i="20"/>
  <c r="E296" i="20"/>
  <c r="F296" i="20"/>
  <c r="G296" i="20"/>
  <c r="H296" i="20"/>
  <c r="I296" i="20"/>
  <c r="E297" i="20"/>
  <c r="F297" i="20"/>
  <c r="G297" i="20"/>
  <c r="H297" i="20"/>
  <c r="I297" i="20"/>
  <c r="E298" i="20"/>
  <c r="F298" i="20"/>
  <c r="G298" i="20"/>
  <c r="H298" i="20"/>
  <c r="I298" i="20"/>
  <c r="E299" i="20"/>
  <c r="F299" i="20"/>
  <c r="G299" i="20"/>
  <c r="H299" i="20"/>
  <c r="I299" i="20"/>
  <c r="E300" i="20"/>
  <c r="F300" i="20"/>
  <c r="G300" i="20"/>
  <c r="H300" i="20"/>
  <c r="I300" i="20"/>
  <c r="E301" i="20"/>
  <c r="F301" i="20"/>
  <c r="G301" i="20"/>
  <c r="H301" i="20"/>
  <c r="I301" i="20"/>
  <c r="E302" i="20"/>
  <c r="F302" i="20"/>
  <c r="G302" i="20"/>
  <c r="H302" i="20"/>
  <c r="I302" i="20"/>
  <c r="E303" i="20"/>
  <c r="F303" i="20"/>
  <c r="G303" i="20"/>
  <c r="H303" i="20"/>
  <c r="I303" i="20"/>
  <c r="E304" i="20"/>
  <c r="F304" i="20"/>
  <c r="G304" i="20"/>
  <c r="H304" i="20"/>
  <c r="I304" i="20"/>
  <c r="E305" i="20"/>
  <c r="F305" i="20"/>
  <c r="G305" i="20"/>
  <c r="H305" i="20"/>
  <c r="I305" i="20"/>
  <c r="E306" i="20"/>
  <c r="F306" i="20"/>
  <c r="G306" i="20"/>
  <c r="H306" i="20"/>
  <c r="I306" i="20"/>
  <c r="E307" i="20"/>
  <c r="F307" i="20"/>
  <c r="G307" i="20"/>
  <c r="H307" i="20"/>
  <c r="I307" i="20"/>
  <c r="E308" i="20"/>
  <c r="F308" i="20"/>
  <c r="G308" i="20"/>
  <c r="H308" i="20"/>
  <c r="I308" i="20"/>
  <c r="E309" i="20"/>
  <c r="F309" i="20"/>
  <c r="G309" i="20"/>
  <c r="H309" i="20"/>
  <c r="I309" i="20"/>
  <c r="E310" i="20"/>
  <c r="F310" i="20"/>
  <c r="G310" i="20"/>
  <c r="H310" i="20"/>
  <c r="I310" i="20"/>
  <c r="E311" i="20"/>
  <c r="F311" i="20"/>
  <c r="G311" i="20"/>
  <c r="H311" i="20"/>
  <c r="I311" i="20"/>
  <c r="E312" i="20"/>
  <c r="F312" i="20"/>
  <c r="G312" i="20"/>
  <c r="H312" i="20"/>
  <c r="I312" i="20"/>
  <c r="E313" i="20"/>
  <c r="F313" i="20"/>
  <c r="G313" i="20"/>
  <c r="H313" i="20"/>
  <c r="I313" i="20"/>
  <c r="E314" i="20"/>
  <c r="F314" i="20"/>
  <c r="G314" i="20"/>
  <c r="H314" i="20"/>
  <c r="I314" i="20"/>
  <c r="E315" i="20"/>
  <c r="F315" i="20"/>
  <c r="G315" i="20"/>
  <c r="H315" i="20"/>
  <c r="I315" i="20"/>
  <c r="E316" i="20"/>
  <c r="F316" i="20"/>
  <c r="G316" i="20"/>
  <c r="H316" i="20"/>
  <c r="I316" i="20"/>
  <c r="E317" i="20"/>
  <c r="F317" i="20"/>
  <c r="G317" i="20"/>
  <c r="H317" i="20"/>
  <c r="I317" i="20"/>
  <c r="E318" i="20"/>
  <c r="F318" i="20"/>
  <c r="G318" i="20"/>
  <c r="H318" i="20"/>
  <c r="I318" i="20"/>
  <c r="E319" i="20"/>
  <c r="F319" i="20"/>
  <c r="G319" i="20"/>
  <c r="H319" i="20"/>
  <c r="I319" i="20"/>
  <c r="E320" i="20"/>
  <c r="F320" i="20"/>
  <c r="G320" i="20"/>
  <c r="H320" i="20"/>
  <c r="I320" i="20"/>
  <c r="E321" i="20"/>
  <c r="F321" i="20"/>
  <c r="G321" i="20"/>
  <c r="H321" i="20"/>
  <c r="I321" i="20"/>
  <c r="E322" i="20"/>
  <c r="F322" i="20"/>
  <c r="G322" i="20"/>
  <c r="H322" i="20"/>
  <c r="I322" i="20"/>
  <c r="E323" i="20"/>
  <c r="F323" i="20"/>
  <c r="G323" i="20"/>
  <c r="H323" i="20"/>
  <c r="I323" i="20"/>
  <c r="E324" i="20"/>
  <c r="F324" i="20"/>
  <c r="G324" i="20"/>
  <c r="H324" i="20"/>
  <c r="I324" i="20"/>
  <c r="E325" i="20"/>
  <c r="F325" i="20"/>
  <c r="G325" i="20"/>
  <c r="H325" i="20"/>
  <c r="I325" i="20"/>
  <c r="E326" i="20"/>
  <c r="F326" i="20"/>
  <c r="G326" i="20"/>
  <c r="H326" i="20"/>
  <c r="I326" i="20"/>
  <c r="E327" i="20"/>
  <c r="F327" i="20"/>
  <c r="G327" i="20"/>
  <c r="H327" i="20"/>
  <c r="I327" i="20"/>
  <c r="E328" i="20"/>
  <c r="F328" i="20"/>
  <c r="G328" i="20"/>
  <c r="H328" i="20"/>
  <c r="I328" i="20"/>
  <c r="E329" i="20"/>
  <c r="F329" i="20"/>
  <c r="G329" i="20"/>
  <c r="H329" i="20"/>
  <c r="I329" i="20"/>
  <c r="E330" i="20"/>
  <c r="F330" i="20"/>
  <c r="G330" i="20"/>
  <c r="H330" i="20"/>
  <c r="I330" i="20"/>
  <c r="E331" i="20"/>
  <c r="F331" i="20"/>
  <c r="G331" i="20"/>
  <c r="H331" i="20"/>
  <c r="I331" i="20"/>
  <c r="E332" i="20"/>
  <c r="F332" i="20"/>
  <c r="G332" i="20"/>
  <c r="H332" i="20"/>
  <c r="I332" i="20"/>
  <c r="E333" i="20"/>
  <c r="F333" i="20"/>
  <c r="G333" i="20"/>
  <c r="H333" i="20"/>
  <c r="I333" i="20"/>
  <c r="E334" i="20"/>
  <c r="F334" i="20"/>
  <c r="G334" i="20"/>
  <c r="H334" i="20"/>
  <c r="I334" i="20"/>
  <c r="E335" i="20"/>
  <c r="F335" i="20"/>
  <c r="G335" i="20"/>
  <c r="H335" i="20"/>
  <c r="I335" i="20"/>
  <c r="E336" i="20"/>
  <c r="F336" i="20"/>
  <c r="G336" i="20"/>
  <c r="H336" i="20"/>
  <c r="I336" i="20"/>
  <c r="E337" i="20"/>
  <c r="F337" i="20"/>
  <c r="G337" i="20"/>
  <c r="H337" i="20"/>
  <c r="I337" i="20"/>
  <c r="E338" i="20"/>
  <c r="F338" i="20"/>
  <c r="G338" i="20"/>
  <c r="H338" i="20"/>
  <c r="I338" i="20"/>
  <c r="E339" i="20"/>
  <c r="F339" i="20"/>
  <c r="G339" i="20"/>
  <c r="H339" i="20"/>
  <c r="I339" i="20"/>
  <c r="E340" i="20"/>
  <c r="F340" i="20"/>
  <c r="G340" i="20"/>
  <c r="H340" i="20"/>
  <c r="I340" i="20"/>
  <c r="E341" i="20"/>
  <c r="F341" i="20"/>
  <c r="G341" i="20"/>
  <c r="H341" i="20"/>
  <c r="I341" i="20"/>
  <c r="E342" i="20"/>
  <c r="F342" i="20"/>
  <c r="G342" i="20"/>
  <c r="H342" i="20"/>
  <c r="I342" i="20"/>
  <c r="E343" i="20"/>
  <c r="F343" i="20"/>
  <c r="G343" i="20"/>
  <c r="H343" i="20"/>
  <c r="I343" i="20"/>
  <c r="E344" i="20"/>
  <c r="F344" i="20"/>
  <c r="G344" i="20"/>
  <c r="H344" i="20"/>
  <c r="I344" i="20"/>
  <c r="E345" i="20"/>
  <c r="F345" i="20"/>
  <c r="G345" i="20"/>
  <c r="H345" i="20"/>
  <c r="I345" i="20"/>
  <c r="E346" i="20"/>
  <c r="F346" i="20"/>
  <c r="G346" i="20"/>
  <c r="H346" i="20"/>
  <c r="I346" i="20"/>
  <c r="E347" i="20"/>
  <c r="F347" i="20"/>
  <c r="G347" i="20"/>
  <c r="H347" i="20"/>
  <c r="I347" i="20"/>
  <c r="E348" i="20"/>
  <c r="F348" i="20"/>
  <c r="G348" i="20"/>
  <c r="H348" i="20"/>
  <c r="I348" i="20"/>
  <c r="E349" i="20"/>
  <c r="F349" i="20"/>
  <c r="G349" i="20"/>
  <c r="H349" i="20"/>
  <c r="I349" i="20"/>
  <c r="E350" i="20"/>
  <c r="F350" i="20"/>
  <c r="G350" i="20"/>
  <c r="H350" i="20"/>
  <c r="I350" i="20"/>
  <c r="E351" i="20"/>
  <c r="F351" i="20"/>
  <c r="G351" i="20"/>
  <c r="H351" i="20"/>
  <c r="I351" i="20"/>
  <c r="E352" i="20"/>
  <c r="F352" i="20"/>
  <c r="G352" i="20"/>
  <c r="H352" i="20"/>
  <c r="I352" i="20"/>
  <c r="E353" i="20"/>
  <c r="F353" i="20"/>
  <c r="G353" i="20"/>
  <c r="H353" i="20"/>
  <c r="I353" i="20"/>
  <c r="E354" i="20"/>
  <c r="F354" i="20"/>
  <c r="G354" i="20"/>
  <c r="H354" i="20"/>
  <c r="I354" i="20"/>
  <c r="E355" i="20"/>
  <c r="F355" i="20"/>
  <c r="G355" i="20"/>
  <c r="H355" i="20"/>
  <c r="I355" i="20"/>
  <c r="E356" i="20"/>
  <c r="F356" i="20"/>
  <c r="G356" i="20"/>
  <c r="H356" i="20"/>
  <c r="I356" i="20"/>
  <c r="E357" i="20"/>
  <c r="F357" i="20"/>
  <c r="G357" i="20"/>
  <c r="H357" i="20"/>
  <c r="I357" i="20"/>
  <c r="E358" i="20"/>
  <c r="F358" i="20"/>
  <c r="G358" i="20"/>
  <c r="H358" i="20"/>
  <c r="I358" i="20"/>
  <c r="E359" i="20"/>
  <c r="F359" i="20"/>
  <c r="G359" i="20"/>
  <c r="H359" i="20"/>
  <c r="I359" i="20"/>
  <c r="E360" i="20"/>
  <c r="F360" i="20"/>
  <c r="G360" i="20"/>
  <c r="H360" i="20"/>
  <c r="I360" i="20"/>
  <c r="E361" i="20"/>
  <c r="F361" i="20"/>
  <c r="G361" i="20"/>
  <c r="H361" i="20"/>
  <c r="I361" i="20"/>
  <c r="E362" i="20"/>
  <c r="F362" i="20"/>
  <c r="G362" i="20"/>
  <c r="H362" i="20"/>
  <c r="I362" i="20"/>
  <c r="E363" i="20"/>
  <c r="F363" i="20"/>
  <c r="G363" i="20"/>
  <c r="H363" i="20"/>
  <c r="I363" i="20"/>
  <c r="E364" i="20"/>
  <c r="F364" i="20"/>
  <c r="G364" i="20"/>
  <c r="H364" i="20"/>
  <c r="I364" i="20"/>
  <c r="E365" i="20"/>
  <c r="F365" i="20"/>
  <c r="G365" i="20"/>
  <c r="H365" i="20"/>
  <c r="I365" i="20"/>
  <c r="E366" i="20"/>
  <c r="F366" i="20"/>
  <c r="G366" i="20"/>
  <c r="H366" i="20"/>
  <c r="I366" i="20"/>
  <c r="E367" i="20"/>
  <c r="F367" i="20"/>
  <c r="G367" i="20"/>
  <c r="H367" i="20"/>
  <c r="I367" i="20"/>
  <c r="E368" i="20"/>
  <c r="F368" i="20"/>
  <c r="G368" i="20"/>
  <c r="H368" i="20"/>
  <c r="I368" i="20"/>
  <c r="E369" i="20"/>
  <c r="F369" i="20"/>
  <c r="G369" i="20"/>
  <c r="H369" i="20"/>
  <c r="I369" i="20"/>
  <c r="E370" i="20"/>
  <c r="F370" i="20"/>
  <c r="G370" i="20"/>
  <c r="H370" i="20"/>
  <c r="I370" i="20"/>
  <c r="E371" i="20"/>
  <c r="F371" i="20"/>
  <c r="G371" i="20"/>
  <c r="H371" i="20"/>
  <c r="I371" i="20"/>
  <c r="E372" i="20"/>
  <c r="F372" i="20"/>
  <c r="G372" i="20"/>
  <c r="H372" i="20"/>
  <c r="I372" i="20"/>
  <c r="E373" i="20"/>
  <c r="F373" i="20"/>
  <c r="G373" i="20"/>
  <c r="H373" i="20"/>
  <c r="I373" i="20"/>
  <c r="E374" i="20"/>
  <c r="F374" i="20"/>
  <c r="G374" i="20"/>
  <c r="H374" i="20"/>
  <c r="I374" i="20"/>
  <c r="E375" i="20"/>
  <c r="F375" i="20"/>
  <c r="G375" i="20"/>
  <c r="H375" i="20"/>
  <c r="I375" i="20"/>
  <c r="E376" i="20"/>
  <c r="F376" i="20"/>
  <c r="G376" i="20"/>
  <c r="H376" i="20"/>
  <c r="I376" i="20"/>
  <c r="E377" i="20"/>
  <c r="F377" i="20"/>
  <c r="G377" i="20"/>
  <c r="H377" i="20"/>
  <c r="I377" i="20"/>
  <c r="E378" i="20"/>
  <c r="F378" i="20"/>
  <c r="G378" i="20"/>
  <c r="H378" i="20"/>
  <c r="I378" i="20"/>
  <c r="E379" i="20"/>
  <c r="F379" i="20"/>
  <c r="G379" i="20"/>
  <c r="H379" i="20"/>
  <c r="I379" i="20"/>
  <c r="E380" i="20"/>
  <c r="F380" i="20"/>
  <c r="G380" i="20"/>
  <c r="H380" i="20"/>
  <c r="I380" i="20"/>
  <c r="E381" i="20"/>
  <c r="F381" i="20"/>
  <c r="G381" i="20"/>
  <c r="H381" i="20"/>
  <c r="I381" i="20"/>
  <c r="E382" i="20"/>
  <c r="G382" i="20"/>
  <c r="H382" i="20"/>
  <c r="E383" i="20"/>
  <c r="G383" i="20"/>
  <c r="I383" i="20"/>
  <c r="F384" i="20"/>
  <c r="G384" i="20"/>
  <c r="I384" i="20"/>
  <c r="F385" i="20"/>
  <c r="H385" i="20"/>
  <c r="E386" i="20"/>
  <c r="E447" i="20"/>
  <c r="I447" i="20"/>
  <c r="G448" i="20"/>
  <c r="I448" i="20"/>
  <c r="G449" i="20"/>
  <c r="E450" i="20"/>
  <c r="H450" i="20"/>
  <c r="H451" i="20"/>
  <c r="F452" i="20"/>
  <c r="I452" i="20"/>
  <c r="I453" i="20"/>
  <c r="G454" i="20"/>
  <c r="G455" i="20"/>
  <c r="E456" i="20"/>
  <c r="H456" i="20"/>
  <c r="E457" i="20"/>
  <c r="H457" i="20"/>
  <c r="G458" i="20"/>
  <c r="H459" i="20"/>
  <c r="E460" i="20"/>
  <c r="I460" i="20"/>
  <c r="F462" i="20"/>
  <c r="E463" i="20"/>
  <c r="H463" i="20"/>
  <c r="I463" i="20"/>
  <c r="E464" i="20"/>
  <c r="H464" i="20"/>
  <c r="E465" i="20"/>
  <c r="H465" i="20"/>
  <c r="I465" i="20"/>
  <c r="F466" i="20"/>
  <c r="E467" i="20"/>
  <c r="G467" i="20"/>
  <c r="H467" i="20"/>
  <c r="F468" i="20"/>
  <c r="H468" i="20"/>
  <c r="F469" i="20"/>
  <c r="G470" i="20"/>
  <c r="E471" i="20"/>
  <c r="H471" i="20"/>
  <c r="E472" i="20"/>
  <c r="H472" i="20"/>
  <c r="G473" i="20"/>
  <c r="E474" i="20"/>
  <c r="H474" i="20"/>
  <c r="I474" i="20"/>
  <c r="G475" i="20"/>
  <c r="E476" i="20"/>
  <c r="G476" i="20"/>
  <c r="I476" i="20"/>
  <c r="G477" i="20"/>
  <c r="I477" i="20"/>
  <c r="F478" i="20"/>
  <c r="E479" i="20"/>
  <c r="I479" i="20"/>
  <c r="H480" i="20"/>
  <c r="E481" i="20"/>
  <c r="I481" i="20"/>
  <c r="I571" i="20"/>
  <c r="H572" i="20"/>
  <c r="F573" i="20"/>
  <c r="E574" i="20"/>
  <c r="H574" i="20"/>
  <c r="H575" i="20"/>
  <c r="E577" i="20"/>
  <c r="F664" i="20"/>
  <c r="I665" i="20"/>
  <c r="F666" i="20"/>
  <c r="G668" i="20"/>
  <c r="F669" i="20"/>
  <c r="H941" i="20"/>
  <c r="H946" i="20"/>
  <c r="F386" i="20"/>
  <c r="G386" i="20"/>
  <c r="H386" i="20"/>
  <c r="I386" i="20"/>
  <c r="E387" i="20"/>
  <c r="F387" i="20"/>
  <c r="G387" i="20"/>
  <c r="H387" i="20"/>
  <c r="I387" i="20"/>
  <c r="E388" i="20"/>
  <c r="F388" i="20"/>
  <c r="G388" i="20"/>
  <c r="H388" i="20"/>
  <c r="I388" i="20"/>
  <c r="E389" i="20"/>
  <c r="F389" i="20"/>
  <c r="G389" i="20"/>
  <c r="H389" i="20"/>
  <c r="I389" i="20"/>
  <c r="E390" i="20"/>
  <c r="F390" i="20"/>
  <c r="G390" i="20"/>
  <c r="H390" i="20"/>
  <c r="I390" i="20"/>
  <c r="E391" i="20"/>
  <c r="F391" i="20"/>
  <c r="G391" i="20"/>
  <c r="H391" i="20"/>
  <c r="I391" i="20"/>
  <c r="E392" i="20"/>
  <c r="F392" i="20"/>
  <c r="G392" i="20"/>
  <c r="H392" i="20"/>
  <c r="I392" i="20"/>
  <c r="E393" i="20"/>
  <c r="F393" i="20"/>
  <c r="G393" i="20"/>
  <c r="H393" i="20"/>
  <c r="I393" i="20"/>
  <c r="E394" i="20"/>
  <c r="F394" i="20"/>
  <c r="G394" i="20"/>
  <c r="H394" i="20"/>
  <c r="I394" i="20"/>
  <c r="E395" i="20"/>
  <c r="F395" i="20"/>
  <c r="G395" i="20"/>
  <c r="H395" i="20"/>
  <c r="I395" i="20"/>
  <c r="E396" i="20"/>
  <c r="F396" i="20"/>
  <c r="G396" i="20"/>
  <c r="H396" i="20"/>
  <c r="I396" i="20"/>
  <c r="E397" i="20"/>
  <c r="F397" i="20"/>
  <c r="G397" i="20"/>
  <c r="H397" i="20"/>
  <c r="I397" i="20"/>
  <c r="E398" i="20"/>
  <c r="F398" i="20"/>
  <c r="G398" i="20"/>
  <c r="H398" i="20"/>
  <c r="I398" i="20"/>
  <c r="E399" i="20"/>
  <c r="F399" i="20"/>
  <c r="G399" i="20"/>
  <c r="H399" i="20"/>
  <c r="I399" i="20"/>
  <c r="E400" i="20"/>
  <c r="F400" i="20"/>
  <c r="G400" i="20"/>
  <c r="H400" i="20"/>
  <c r="I400" i="20"/>
  <c r="E401" i="20"/>
  <c r="F401" i="20"/>
  <c r="G401" i="20"/>
  <c r="H401" i="20"/>
  <c r="I401" i="20"/>
  <c r="E402" i="20"/>
  <c r="F402" i="20"/>
  <c r="G402" i="20"/>
  <c r="H402" i="20"/>
  <c r="I402" i="20"/>
  <c r="E403" i="20"/>
  <c r="F403" i="20"/>
  <c r="G403" i="20"/>
  <c r="H403" i="20"/>
  <c r="I403" i="20"/>
  <c r="E404" i="20"/>
  <c r="F404" i="20"/>
  <c r="G404" i="20"/>
  <c r="H404" i="20"/>
  <c r="I404" i="20"/>
  <c r="E405" i="20"/>
  <c r="F405" i="20"/>
  <c r="G405" i="20"/>
  <c r="H405" i="20"/>
  <c r="I405" i="20"/>
  <c r="E406" i="20"/>
  <c r="F406" i="20"/>
  <c r="G406" i="20"/>
  <c r="H406" i="20"/>
  <c r="I406" i="20"/>
  <c r="E407" i="20"/>
  <c r="F407" i="20"/>
  <c r="G407" i="20"/>
  <c r="H407" i="20"/>
  <c r="I407" i="20"/>
  <c r="E408" i="20"/>
  <c r="F408" i="20"/>
  <c r="G408" i="20"/>
  <c r="H408" i="20"/>
  <c r="I408" i="20"/>
  <c r="E409" i="20"/>
  <c r="F409" i="20"/>
  <c r="G409" i="20"/>
  <c r="H409" i="20"/>
  <c r="I409" i="20"/>
  <c r="E410" i="20"/>
  <c r="F410" i="20"/>
  <c r="G410" i="20"/>
  <c r="H410" i="20"/>
  <c r="I410" i="20"/>
  <c r="E411" i="20"/>
  <c r="F411" i="20"/>
  <c r="G411" i="20"/>
  <c r="H411" i="20"/>
  <c r="I411" i="20"/>
  <c r="E412" i="20"/>
  <c r="F412" i="20"/>
  <c r="G412" i="20"/>
  <c r="H412" i="20"/>
  <c r="I412" i="20"/>
  <c r="E413" i="20"/>
  <c r="F413" i="20"/>
  <c r="G413" i="20"/>
  <c r="H413" i="20"/>
  <c r="I413" i="20"/>
  <c r="E414" i="20"/>
  <c r="F414" i="20"/>
  <c r="G414" i="20"/>
  <c r="H414" i="20"/>
  <c r="I414" i="20"/>
  <c r="E415" i="20"/>
  <c r="F415" i="20"/>
  <c r="G415" i="20"/>
  <c r="H415" i="20"/>
  <c r="I415" i="20"/>
  <c r="E416" i="20"/>
  <c r="F416" i="20"/>
  <c r="G416" i="20"/>
  <c r="H416" i="20"/>
  <c r="I416" i="20"/>
  <c r="E417" i="20"/>
  <c r="F417" i="20"/>
  <c r="G417" i="20"/>
  <c r="H417" i="20"/>
  <c r="I417" i="20"/>
  <c r="E418" i="20"/>
  <c r="F418" i="20"/>
  <c r="G418" i="20"/>
  <c r="H418" i="20"/>
  <c r="I418" i="20"/>
  <c r="E419" i="20"/>
  <c r="F419" i="20"/>
  <c r="G419" i="20"/>
  <c r="H419" i="20"/>
  <c r="I419" i="20"/>
  <c r="E420" i="20"/>
  <c r="F420" i="20"/>
  <c r="G420" i="20"/>
  <c r="H420" i="20"/>
  <c r="I420" i="20"/>
  <c r="E421" i="20"/>
  <c r="F421" i="20"/>
  <c r="G421" i="20"/>
  <c r="H421" i="20"/>
  <c r="I421" i="20"/>
  <c r="E422" i="20"/>
  <c r="F422" i="20"/>
  <c r="G422" i="20"/>
  <c r="H422" i="20"/>
  <c r="I422" i="20"/>
  <c r="E423" i="20"/>
  <c r="F423" i="20"/>
  <c r="G423" i="20"/>
  <c r="H423" i="20"/>
  <c r="I423" i="20"/>
  <c r="E424" i="20"/>
  <c r="F424" i="20"/>
  <c r="G424" i="20"/>
  <c r="H424" i="20"/>
  <c r="I424" i="20"/>
  <c r="E425" i="20"/>
  <c r="F425" i="20"/>
  <c r="G425" i="20"/>
  <c r="H425" i="20"/>
  <c r="I425" i="20"/>
  <c r="E426" i="20"/>
  <c r="F426" i="20"/>
  <c r="G426" i="20"/>
  <c r="H426" i="20"/>
  <c r="I426" i="20"/>
  <c r="E427" i="20"/>
  <c r="F427" i="20"/>
  <c r="G427" i="20"/>
  <c r="H427" i="20"/>
  <c r="I427" i="20"/>
  <c r="E428" i="20"/>
  <c r="F428" i="20"/>
  <c r="G428" i="20"/>
  <c r="H428" i="20"/>
  <c r="I428" i="20"/>
  <c r="E429" i="20"/>
  <c r="F429" i="20"/>
  <c r="G429" i="20"/>
  <c r="H429" i="20"/>
  <c r="I429" i="20"/>
  <c r="E430" i="20"/>
  <c r="F430" i="20"/>
  <c r="G430" i="20"/>
  <c r="H430" i="20"/>
  <c r="I430" i="20"/>
  <c r="E431" i="20"/>
  <c r="F431" i="20"/>
  <c r="G431" i="20"/>
  <c r="H431" i="20"/>
  <c r="I431" i="20"/>
  <c r="E432" i="20"/>
  <c r="F432" i="20"/>
  <c r="G432" i="20"/>
  <c r="H432" i="20"/>
  <c r="I432" i="20"/>
  <c r="E433" i="20"/>
  <c r="F433" i="20"/>
  <c r="G433" i="20"/>
  <c r="H433" i="20"/>
  <c r="I433" i="20"/>
  <c r="E434" i="20"/>
  <c r="F434" i="20"/>
  <c r="G434" i="20"/>
  <c r="H434" i="20"/>
  <c r="I434" i="20"/>
  <c r="E435" i="20"/>
  <c r="F435" i="20"/>
  <c r="G435" i="20"/>
  <c r="H435" i="20"/>
  <c r="I435" i="20"/>
  <c r="E436" i="20"/>
  <c r="F436" i="20"/>
  <c r="G436" i="20"/>
  <c r="H436" i="20"/>
  <c r="I436" i="20"/>
  <c r="E437" i="20"/>
  <c r="F437" i="20"/>
  <c r="G437" i="20"/>
  <c r="H437" i="20"/>
  <c r="I437" i="20"/>
  <c r="E438" i="20"/>
  <c r="F438" i="20"/>
  <c r="G438" i="20"/>
  <c r="H438" i="20"/>
  <c r="I438" i="20"/>
  <c r="E439" i="20"/>
  <c r="F439" i="20"/>
  <c r="G439" i="20"/>
  <c r="H439" i="20"/>
  <c r="I439" i="20"/>
  <c r="E440" i="20"/>
  <c r="F440" i="20"/>
  <c r="G440" i="20"/>
  <c r="H440" i="20"/>
  <c r="I440" i="20"/>
  <c r="E441" i="20"/>
  <c r="F441" i="20"/>
  <c r="G441" i="20"/>
  <c r="H441" i="20"/>
  <c r="I441" i="20"/>
  <c r="E442" i="20"/>
  <c r="F442" i="20"/>
  <c r="G442" i="20"/>
  <c r="H442" i="20"/>
  <c r="I442" i="20"/>
  <c r="E443" i="20"/>
  <c r="F443" i="20"/>
  <c r="G443" i="20"/>
  <c r="H443" i="20"/>
  <c r="I443" i="20"/>
  <c r="E444" i="20"/>
  <c r="F444" i="20"/>
  <c r="G444" i="20"/>
  <c r="H444" i="20"/>
  <c r="I444" i="20"/>
  <c r="E445" i="20"/>
  <c r="F445" i="20"/>
  <c r="G445" i="20"/>
  <c r="H445" i="20"/>
  <c r="I445" i="20"/>
  <c r="E446" i="20"/>
  <c r="F446" i="20"/>
  <c r="G446" i="20"/>
  <c r="H446" i="20"/>
  <c r="I446" i="20"/>
  <c r="F447" i="20"/>
  <c r="H447" i="20"/>
  <c r="E448" i="20"/>
  <c r="H448" i="20"/>
  <c r="E449" i="20"/>
  <c r="H449" i="20"/>
  <c r="I449" i="20"/>
  <c r="G450" i="20"/>
  <c r="I450" i="20"/>
  <c r="E451" i="20"/>
  <c r="G451" i="20"/>
  <c r="E452" i="20"/>
  <c r="H452" i="20"/>
  <c r="F453" i="20"/>
  <c r="H453" i="20"/>
  <c r="E454" i="20"/>
  <c r="H454" i="20"/>
  <c r="I454" i="20"/>
  <c r="F455" i="20"/>
  <c r="I455" i="20"/>
  <c r="F456" i="20"/>
  <c r="I456" i="20"/>
  <c r="F457" i="20"/>
  <c r="I457" i="20"/>
  <c r="F458" i="20"/>
  <c r="H458" i="20"/>
  <c r="E459" i="20"/>
  <c r="F459" i="20"/>
  <c r="I459" i="20"/>
  <c r="F460" i="20"/>
  <c r="H460" i="20"/>
  <c r="F461" i="20"/>
  <c r="G461" i="20"/>
  <c r="H461" i="20"/>
  <c r="E462" i="20"/>
  <c r="G462" i="20"/>
  <c r="I462" i="20"/>
  <c r="F463" i="20"/>
  <c r="G466" i="20"/>
  <c r="H466" i="20"/>
  <c r="F467" i="20"/>
  <c r="I467" i="20"/>
  <c r="G468" i="20"/>
  <c r="E469" i="20"/>
  <c r="H469" i="20"/>
  <c r="I469" i="20"/>
  <c r="F470" i="20"/>
  <c r="I470" i="20"/>
  <c r="F471" i="20"/>
  <c r="I471" i="20"/>
  <c r="F472" i="20"/>
  <c r="I472" i="20"/>
  <c r="I473" i="20"/>
  <c r="F474" i="20"/>
  <c r="F475" i="20"/>
  <c r="H475" i="20"/>
  <c r="H476" i="20"/>
  <c r="F477" i="20"/>
  <c r="H478" i="20"/>
  <c r="F479" i="20"/>
  <c r="H479" i="20"/>
  <c r="F480" i="20"/>
  <c r="G480" i="20"/>
  <c r="F481" i="20"/>
  <c r="H481" i="20"/>
  <c r="H569" i="20"/>
  <c r="E570" i="20"/>
  <c r="G570" i="20"/>
  <c r="I570" i="20"/>
  <c r="H571" i="20"/>
  <c r="G572" i="20"/>
  <c r="E573" i="20"/>
  <c r="I573" i="20"/>
  <c r="G574" i="20"/>
  <c r="F575" i="20"/>
  <c r="E576" i="20"/>
  <c r="H576" i="20"/>
  <c r="H577" i="20"/>
  <c r="G662" i="20"/>
  <c r="F663" i="20"/>
  <c r="E664" i="20"/>
  <c r="E665" i="20"/>
  <c r="G665" i="20"/>
  <c r="I666" i="20"/>
  <c r="G667" i="20"/>
  <c r="E668" i="20"/>
  <c r="E669" i="20"/>
  <c r="I669" i="20"/>
  <c r="F671" i="20"/>
  <c r="G671" i="20"/>
  <c r="H672" i="20"/>
  <c r="H934" i="20"/>
  <c r="G935" i="20"/>
  <c r="F937" i="20"/>
  <c r="G938" i="20"/>
  <c r="H939" i="20"/>
  <c r="G940" i="20"/>
  <c r="G941" i="20"/>
  <c r="G942" i="20"/>
  <c r="F943" i="20"/>
  <c r="G943" i="20"/>
  <c r="E944" i="20"/>
  <c r="I944" i="20"/>
  <c r="I945" i="20"/>
  <c r="I946" i="20"/>
  <c r="H947" i="20"/>
  <c r="E482" i="20"/>
  <c r="F482" i="20"/>
  <c r="G482" i="20"/>
  <c r="H482" i="20"/>
  <c r="I482" i="20"/>
  <c r="E483" i="20"/>
  <c r="F483" i="20"/>
  <c r="G483" i="20"/>
  <c r="H483" i="20"/>
  <c r="I483" i="20"/>
  <c r="E484" i="20"/>
  <c r="F484" i="20"/>
  <c r="G484" i="20"/>
  <c r="H484" i="20"/>
  <c r="I484" i="20"/>
  <c r="E485" i="20"/>
  <c r="F485" i="20"/>
  <c r="G485" i="20"/>
  <c r="H485" i="20"/>
  <c r="I485" i="20"/>
  <c r="E486" i="20"/>
  <c r="F486" i="20"/>
  <c r="G486" i="20"/>
  <c r="H486" i="20"/>
  <c r="I486" i="20"/>
  <c r="E487" i="20"/>
  <c r="F487" i="20"/>
  <c r="G487" i="20"/>
  <c r="H487" i="20"/>
  <c r="I487" i="20"/>
  <c r="E488" i="20"/>
  <c r="F488" i="20"/>
  <c r="G488" i="20"/>
  <c r="H488" i="20"/>
  <c r="I488" i="20"/>
  <c r="E489" i="20"/>
  <c r="F489" i="20"/>
  <c r="G489" i="20"/>
  <c r="H489" i="20"/>
  <c r="I489" i="20"/>
  <c r="E490" i="20"/>
  <c r="F490" i="20"/>
  <c r="G490" i="20"/>
  <c r="H490" i="20"/>
  <c r="I490" i="20"/>
  <c r="E491" i="20"/>
  <c r="F491" i="20"/>
  <c r="G491" i="20"/>
  <c r="H491" i="20"/>
  <c r="I491" i="20"/>
  <c r="E492" i="20"/>
  <c r="F492" i="20"/>
  <c r="G492" i="20"/>
  <c r="H492" i="20"/>
  <c r="I492" i="20"/>
  <c r="E493" i="20"/>
  <c r="F493" i="20"/>
  <c r="G493" i="20"/>
  <c r="H493" i="20"/>
  <c r="I493" i="20"/>
  <c r="E494" i="20"/>
  <c r="F494" i="20"/>
  <c r="G494" i="20"/>
  <c r="H494" i="20"/>
  <c r="I494" i="20"/>
  <c r="E495" i="20"/>
  <c r="F495" i="20"/>
  <c r="G495" i="20"/>
  <c r="H495" i="20"/>
  <c r="I495" i="20"/>
  <c r="E496" i="20"/>
  <c r="F496" i="20"/>
  <c r="G496" i="20"/>
  <c r="H496" i="20"/>
  <c r="I496" i="20"/>
  <c r="E497" i="20"/>
  <c r="F497" i="20"/>
  <c r="G497" i="20"/>
  <c r="H497" i="20"/>
  <c r="I497" i="20"/>
  <c r="E498" i="20"/>
  <c r="F498" i="20"/>
  <c r="G498" i="20"/>
  <c r="H498" i="20"/>
  <c r="I498" i="20"/>
  <c r="E499" i="20"/>
  <c r="F499" i="20"/>
  <c r="G499" i="20"/>
  <c r="H499" i="20"/>
  <c r="I499" i="20"/>
  <c r="I865" i="20"/>
  <c r="H866" i="20"/>
  <c r="F867" i="20"/>
  <c r="H867" i="20"/>
  <c r="F868" i="20"/>
  <c r="H868" i="20"/>
  <c r="E869" i="20"/>
  <c r="H869" i="20"/>
  <c r="F870" i="20"/>
  <c r="I870" i="20"/>
  <c r="H871" i="20"/>
  <c r="E872" i="20"/>
  <c r="H872" i="20"/>
  <c r="F873" i="20"/>
  <c r="E874" i="20"/>
  <c r="I874" i="20"/>
  <c r="F875" i="20"/>
  <c r="I875" i="20"/>
  <c r="H876" i="20"/>
  <c r="F877" i="20"/>
  <c r="H877" i="20"/>
  <c r="I877" i="20"/>
  <c r="G878" i="20"/>
  <c r="F879" i="20"/>
  <c r="H879" i="20"/>
  <c r="G880" i="20"/>
  <c r="E881" i="20"/>
  <c r="G881" i="20"/>
  <c r="E882" i="20"/>
  <c r="H882" i="20"/>
  <c r="F883" i="20"/>
  <c r="I883" i="20"/>
  <c r="G884" i="20"/>
  <c r="F885" i="20"/>
  <c r="H885" i="20"/>
  <c r="E886" i="20"/>
  <c r="I886" i="20"/>
  <c r="H887" i="20"/>
  <c r="F888" i="20"/>
  <c r="I888" i="20"/>
  <c r="G889" i="20"/>
  <c r="F890" i="20"/>
  <c r="H890" i="20"/>
  <c r="E891" i="20"/>
  <c r="H891" i="20"/>
  <c r="F892" i="20"/>
  <c r="I892" i="20"/>
  <c r="G893" i="20"/>
  <c r="I893" i="20"/>
  <c r="H894" i="20"/>
  <c r="E895" i="20"/>
  <c r="H895" i="20"/>
  <c r="E896" i="20"/>
  <c r="H896" i="20"/>
  <c r="F897" i="20"/>
  <c r="I897" i="20"/>
  <c r="G898" i="20"/>
  <c r="E899" i="20"/>
  <c r="H899" i="20"/>
  <c r="F900" i="20"/>
  <c r="I900" i="20"/>
  <c r="G901" i="20"/>
  <c r="F902" i="20"/>
  <c r="H902" i="20"/>
  <c r="E903" i="20"/>
  <c r="H903" i="20"/>
  <c r="F904" i="20"/>
  <c r="F905" i="20"/>
  <c r="I905" i="20"/>
  <c r="I906" i="20"/>
  <c r="F907" i="20"/>
  <c r="I907" i="20"/>
  <c r="G908" i="20"/>
  <c r="E909" i="20"/>
  <c r="E910" i="20"/>
  <c r="G910" i="20"/>
  <c r="E911" i="20"/>
  <c r="H911" i="20"/>
  <c r="E912" i="20"/>
  <c r="E913" i="20"/>
  <c r="F914" i="20"/>
  <c r="I916" i="20"/>
  <c r="F918" i="20"/>
  <c r="E920" i="20"/>
  <c r="I920" i="20"/>
  <c r="G923" i="20"/>
  <c r="H924" i="20"/>
  <c r="E926" i="20"/>
  <c r="F927" i="20"/>
  <c r="I928" i="20"/>
  <c r="F930" i="20"/>
  <c r="E932" i="20"/>
  <c r="F934" i="20"/>
  <c r="H938" i="20"/>
  <c r="C168" i="20"/>
  <c r="C500" i="20"/>
  <c r="C503" i="20"/>
  <c r="C506" i="20"/>
  <c r="C509" i="20"/>
  <c r="C513" i="20"/>
  <c r="C516" i="20"/>
  <c r="C519" i="20"/>
  <c r="C522" i="20"/>
  <c r="C524" i="20"/>
  <c r="C526" i="20"/>
  <c r="C529" i="20"/>
  <c r="C534" i="20"/>
  <c r="C537" i="20"/>
  <c r="C540" i="20"/>
  <c r="C543" i="20"/>
  <c r="C546" i="20"/>
  <c r="C548" i="20"/>
  <c r="C550" i="20"/>
  <c r="C553" i="20"/>
  <c r="C556" i="20"/>
  <c r="C558" i="20"/>
  <c r="C562" i="20"/>
  <c r="C564" i="20"/>
  <c r="C568" i="20"/>
  <c r="C570" i="20"/>
  <c r="C573" i="20"/>
  <c r="C576" i="20"/>
  <c r="C579" i="20"/>
  <c r="C582" i="20"/>
  <c r="C586" i="20"/>
  <c r="C588" i="20"/>
  <c r="C589" i="20"/>
  <c r="C591" i="20"/>
  <c r="C594" i="20"/>
  <c r="C598" i="20"/>
  <c r="C601" i="20"/>
  <c r="C604" i="20"/>
  <c r="C607" i="20"/>
  <c r="C610" i="20"/>
  <c r="C613" i="20"/>
  <c r="C616" i="20"/>
  <c r="C619" i="20"/>
  <c r="C621" i="20"/>
  <c r="C624" i="20"/>
  <c r="C626" i="20"/>
  <c r="C629" i="20"/>
  <c r="C633" i="20"/>
  <c r="C634" i="20"/>
  <c r="C637" i="20"/>
  <c r="C641" i="20"/>
  <c r="C644" i="20"/>
  <c r="C647" i="20"/>
  <c r="C651" i="20"/>
  <c r="C654" i="20"/>
  <c r="C656" i="20"/>
  <c r="C659" i="20"/>
  <c r="C662" i="20"/>
  <c r="C664" i="20"/>
  <c r="C94" i="20"/>
  <c r="C100" i="20"/>
  <c r="C107" i="20"/>
  <c r="C111" i="20"/>
  <c r="C113" i="20"/>
  <c r="C120" i="20"/>
  <c r="C125" i="20"/>
  <c r="C129" i="20"/>
  <c r="C135" i="20"/>
  <c r="C140" i="20"/>
  <c r="C146" i="20"/>
  <c r="C149" i="20"/>
  <c r="C152" i="20"/>
  <c r="C158" i="20"/>
  <c r="C164" i="20"/>
  <c r="C170" i="20"/>
  <c r="C177" i="20"/>
  <c r="C182" i="20"/>
  <c r="C187" i="20"/>
  <c r="C189" i="20"/>
  <c r="C193" i="20"/>
  <c r="C197" i="20"/>
  <c r="C199" i="20"/>
  <c r="C201" i="20"/>
  <c r="C206" i="20"/>
  <c r="C212" i="20"/>
  <c r="C216" i="20"/>
  <c r="C220" i="20"/>
  <c r="C223" i="20"/>
  <c r="C228" i="20"/>
  <c r="C234" i="20"/>
  <c r="C239" i="20"/>
  <c r="C242" i="20"/>
  <c r="C249" i="20"/>
  <c r="C254" i="20"/>
  <c r="C256" i="20"/>
  <c r="C258" i="20"/>
  <c r="C264" i="20"/>
  <c r="C273" i="20"/>
  <c r="C281" i="20"/>
  <c r="C285" i="20"/>
  <c r="C289" i="20"/>
  <c r="C296" i="20"/>
  <c r="C300" i="20"/>
  <c r="C305" i="20"/>
  <c r="C308" i="20"/>
  <c r="C310" i="20"/>
  <c r="C314" i="20"/>
  <c r="C317" i="20"/>
  <c r="C324" i="20"/>
  <c r="C326" i="20"/>
  <c r="C329" i="20"/>
  <c r="C333" i="20"/>
  <c r="C336" i="20"/>
  <c r="C339" i="20"/>
  <c r="C346" i="20"/>
  <c r="C350" i="20"/>
  <c r="C355" i="20"/>
  <c r="C358" i="20"/>
  <c r="C363" i="20"/>
  <c r="C369" i="20"/>
  <c r="C373" i="20"/>
  <c r="C380" i="20"/>
  <c r="C407" i="20"/>
  <c r="C410" i="20"/>
  <c r="C415" i="20"/>
  <c r="C420" i="20"/>
  <c r="C425" i="20"/>
  <c r="C430" i="20"/>
  <c r="C435" i="20"/>
  <c r="C439" i="20"/>
  <c r="C444" i="20"/>
  <c r="C452" i="20"/>
  <c r="C459" i="20"/>
  <c r="C461" i="20"/>
  <c r="C463" i="20"/>
  <c r="C468" i="20"/>
  <c r="C471" i="20"/>
  <c r="C476" i="20"/>
  <c r="C480" i="20"/>
  <c r="C482" i="20"/>
  <c r="C486" i="20"/>
  <c r="C489" i="20"/>
  <c r="C492" i="20"/>
  <c r="C497" i="20"/>
  <c r="C668" i="20"/>
  <c r="C671" i="20"/>
  <c r="C674" i="20"/>
  <c r="C676" i="20"/>
  <c r="C679" i="20"/>
  <c r="C683" i="20"/>
  <c r="C686" i="20"/>
  <c r="C688" i="20"/>
  <c r="C691" i="20"/>
  <c r="C693" i="20"/>
  <c r="C696" i="20"/>
  <c r="C699" i="20"/>
  <c r="C701" i="20"/>
  <c r="C705" i="20"/>
  <c r="C708" i="20"/>
  <c r="C710" i="20"/>
  <c r="C713" i="20"/>
  <c r="C716" i="20"/>
  <c r="C719" i="20"/>
  <c r="C721" i="20"/>
  <c r="C726" i="20"/>
  <c r="C729" i="20"/>
  <c r="C732" i="20"/>
  <c r="C734" i="20"/>
  <c r="C737" i="20"/>
  <c r="C740" i="20"/>
  <c r="C743" i="20"/>
  <c r="C746" i="20"/>
  <c r="C749" i="20"/>
  <c r="C752" i="20"/>
  <c r="C755" i="20"/>
  <c r="C758" i="20"/>
  <c r="C761" i="20"/>
  <c r="C764" i="20"/>
  <c r="C768" i="20"/>
  <c r="C769" i="20"/>
  <c r="C772" i="20"/>
  <c r="C774" i="20"/>
  <c r="C776" i="20"/>
  <c r="C780" i="20"/>
  <c r="C783" i="20"/>
  <c r="C785" i="20"/>
  <c r="C788" i="20"/>
  <c r="C791" i="20"/>
  <c r="C793" i="20"/>
  <c r="C796" i="20"/>
  <c r="C798" i="20"/>
  <c r="C801" i="20"/>
  <c r="C804" i="20"/>
  <c r="C806" i="20"/>
  <c r="C809" i="20"/>
  <c r="C811" i="20"/>
  <c r="C813" i="20"/>
  <c r="C816" i="20"/>
  <c r="C819" i="20"/>
  <c r="C822" i="20"/>
  <c r="C824" i="20"/>
  <c r="C826" i="20"/>
  <c r="C828" i="20"/>
  <c r="C97" i="20"/>
  <c r="C173" i="20"/>
  <c r="C244" i="20"/>
  <c r="C255" i="20"/>
  <c r="C266" i="20"/>
  <c r="C278" i="20"/>
  <c r="C343" i="20"/>
  <c r="C391" i="20"/>
  <c r="C414" i="20"/>
  <c r="C441" i="20"/>
  <c r="C483" i="20"/>
  <c r="C833" i="20"/>
  <c r="C836" i="20"/>
  <c r="C839" i="20"/>
  <c r="C842" i="20"/>
  <c r="C845" i="20"/>
  <c r="C846" i="20"/>
  <c r="C849" i="20"/>
  <c r="C852" i="20"/>
  <c r="C855" i="20"/>
  <c r="C859" i="20"/>
  <c r="C862" i="20"/>
  <c r="C866" i="20"/>
  <c r="C868" i="20"/>
  <c r="C871" i="20"/>
  <c r="C873" i="20"/>
  <c r="C875" i="20"/>
  <c r="C878" i="20"/>
  <c r="C880" i="20"/>
  <c r="C882" i="20"/>
  <c r="C885" i="20"/>
  <c r="C889" i="20"/>
  <c r="C892" i="20"/>
  <c r="C895" i="20"/>
  <c r="C25" i="20"/>
  <c r="C33" i="20"/>
  <c r="C40" i="20"/>
  <c r="C43" i="20"/>
  <c r="C48" i="20"/>
  <c r="C52" i="20"/>
  <c r="C58" i="20"/>
  <c r="C65" i="20"/>
  <c r="C70" i="20"/>
  <c r="C76" i="20"/>
  <c r="C79" i="20"/>
  <c r="C82" i="20"/>
  <c r="C86" i="20"/>
  <c r="C108" i="20"/>
  <c r="C139" i="20"/>
  <c r="C157" i="20"/>
  <c r="C179" i="20"/>
  <c r="C198" i="20"/>
  <c r="C231" i="20"/>
  <c r="C277" i="20"/>
  <c r="C342" i="20"/>
  <c r="C381" i="20"/>
  <c r="C389" i="20"/>
  <c r="C396" i="20"/>
  <c r="C412" i="20"/>
  <c r="C426" i="20"/>
  <c r="C440" i="20"/>
  <c r="C451" i="20"/>
  <c r="C465" i="20"/>
  <c r="C477" i="20"/>
  <c r="C9" i="20"/>
  <c r="C16" i="20"/>
  <c r="C20" i="20"/>
  <c r="C24" i="20"/>
  <c r="C30" i="20"/>
  <c r="C36" i="20"/>
  <c r="C44" i="20"/>
  <c r="C49" i="20"/>
  <c r="C55" i="20"/>
  <c r="C62" i="20"/>
  <c r="C67" i="20"/>
  <c r="C73" i="20"/>
  <c r="C81" i="20"/>
  <c r="C88" i="20"/>
  <c r="C101" i="20"/>
  <c r="C128" i="20"/>
  <c r="C137" i="20"/>
  <c r="C162" i="20"/>
  <c r="C180" i="20"/>
  <c r="C209" i="20"/>
  <c r="C237" i="20"/>
  <c r="C270" i="20"/>
  <c r="C290" i="20"/>
  <c r="C354" i="20"/>
  <c r="C374" i="20"/>
  <c r="C386" i="20"/>
  <c r="C395" i="20"/>
  <c r="C405" i="20"/>
  <c r="C424" i="20"/>
  <c r="C437" i="20"/>
  <c r="C450" i="20"/>
  <c r="C464" i="20"/>
  <c r="C484" i="20"/>
  <c r="G71" i="20"/>
  <c r="G72" i="20"/>
  <c r="H74" i="20"/>
  <c r="G79" i="20"/>
  <c r="I80" i="20"/>
  <c r="E90" i="20"/>
  <c r="E92" i="20"/>
  <c r="F94" i="20"/>
  <c r="F98" i="20"/>
  <c r="D13" i="20"/>
  <c r="D29" i="20"/>
  <c r="D33" i="20"/>
  <c r="D39" i="20"/>
  <c r="D45" i="20"/>
  <c r="D59" i="20"/>
  <c r="D68" i="20"/>
  <c r="D270" i="20"/>
  <c r="D280" i="20"/>
  <c r="D325" i="20"/>
  <c r="D349" i="20"/>
  <c r="D365" i="20"/>
  <c r="D389" i="20"/>
  <c r="D429" i="20"/>
  <c r="D461" i="20"/>
  <c r="D494" i="20"/>
  <c r="D552" i="20"/>
  <c r="D561" i="20"/>
  <c r="D565" i="20"/>
  <c r="D572" i="20"/>
  <c r="D578" i="20"/>
  <c r="D583" i="20"/>
  <c r="D591" i="20"/>
  <c r="D599" i="20"/>
  <c r="D602" i="20"/>
  <c r="D614" i="20"/>
  <c r="D635" i="20"/>
  <c r="D643" i="20"/>
  <c r="D653" i="20"/>
  <c r="D665" i="20"/>
  <c r="D672" i="20"/>
  <c r="D680" i="20"/>
  <c r="D684" i="20"/>
  <c r="D700" i="20"/>
  <c r="D705" i="20"/>
  <c r="D710" i="20"/>
  <c r="D717" i="20"/>
  <c r="D721" i="20"/>
  <c r="D725" i="20"/>
  <c r="D735" i="20"/>
  <c r="D748" i="20"/>
  <c r="D753" i="20"/>
  <c r="D764" i="20"/>
  <c r="D786" i="20"/>
  <c r="D797" i="20"/>
  <c r="D804" i="20"/>
  <c r="D811" i="20"/>
  <c r="D819" i="20"/>
  <c r="D827" i="20"/>
  <c r="D849" i="20"/>
  <c r="D855" i="20"/>
  <c r="D869" i="20"/>
  <c r="D880" i="20"/>
  <c r="D889" i="20"/>
  <c r="D893" i="20"/>
  <c r="D899" i="20"/>
  <c r="D906" i="20"/>
  <c r="D918" i="20"/>
  <c r="D937" i="20"/>
  <c r="D947" i="20"/>
  <c r="I99" i="20"/>
  <c r="F105" i="20"/>
  <c r="F110" i="20"/>
  <c r="H131" i="20"/>
  <c r="E133" i="20"/>
  <c r="F159" i="20"/>
  <c r="F171" i="20"/>
  <c r="I174" i="20"/>
  <c r="H178" i="20"/>
  <c r="G182" i="20"/>
  <c r="I185" i="20"/>
  <c r="I667" i="20"/>
  <c r="I671" i="20"/>
  <c r="F203" i="20"/>
  <c r="I210" i="20"/>
  <c r="F234" i="20"/>
  <c r="I234" i="20"/>
  <c r="I238" i="20"/>
  <c r="G241" i="20"/>
  <c r="H242" i="20"/>
  <c r="I243" i="20"/>
  <c r="H246" i="20"/>
  <c r="G247" i="20"/>
  <c r="F248" i="20"/>
  <c r="E249" i="20"/>
  <c r="I249" i="20"/>
  <c r="G250" i="20"/>
  <c r="F251" i="20"/>
  <c r="E252" i="20"/>
  <c r="I252" i="20"/>
  <c r="H253" i="20"/>
  <c r="G254" i="20"/>
  <c r="E255" i="20"/>
  <c r="H255" i="20"/>
  <c r="H256" i="20"/>
  <c r="G257" i="20"/>
  <c r="E258" i="20"/>
  <c r="H258" i="20"/>
  <c r="G259" i="20"/>
  <c r="F260" i="20"/>
  <c r="I260" i="20"/>
  <c r="I261" i="20"/>
  <c r="G262" i="20"/>
  <c r="E263" i="20"/>
  <c r="G263" i="20"/>
  <c r="E264" i="20"/>
  <c r="I264" i="20"/>
  <c r="G265" i="20"/>
  <c r="E266" i="20"/>
  <c r="F267" i="20"/>
  <c r="E268" i="20"/>
  <c r="H268" i="20"/>
  <c r="F269" i="20"/>
  <c r="F270" i="20"/>
  <c r="H272" i="20"/>
  <c r="I273" i="20"/>
  <c r="G275" i="20"/>
  <c r="E278" i="20"/>
  <c r="F286" i="20"/>
  <c r="G463" i="20"/>
  <c r="H290" i="20"/>
  <c r="E500" i="20"/>
  <c r="F500" i="20"/>
  <c r="G500" i="20"/>
  <c r="H500" i="20"/>
  <c r="I500" i="20"/>
  <c r="E501" i="20"/>
  <c r="F501" i="20"/>
  <c r="G501" i="20"/>
  <c r="H501" i="20"/>
  <c r="I501" i="20"/>
  <c r="E502" i="20"/>
  <c r="F502" i="20"/>
  <c r="G502" i="20"/>
  <c r="H502" i="20"/>
  <c r="I502" i="20"/>
  <c r="E503" i="20"/>
  <c r="F503" i="20"/>
  <c r="G503" i="20"/>
  <c r="H503" i="20"/>
  <c r="I503" i="20"/>
  <c r="E504" i="20"/>
  <c r="F504" i="20"/>
  <c r="G504" i="20"/>
  <c r="H504" i="20"/>
  <c r="I504" i="20"/>
  <c r="E505" i="20"/>
  <c r="F505" i="20"/>
  <c r="G505" i="20"/>
  <c r="H505" i="20"/>
  <c r="I505" i="20"/>
  <c r="E506" i="20"/>
  <c r="F506" i="20"/>
  <c r="G506" i="20"/>
  <c r="H506" i="20"/>
  <c r="I506" i="20"/>
  <c r="E507" i="20"/>
  <c r="F507" i="20"/>
  <c r="G507" i="20"/>
  <c r="H507" i="20"/>
  <c r="I507" i="20"/>
  <c r="E508" i="20"/>
  <c r="F508" i="20"/>
  <c r="G508" i="20"/>
  <c r="H508" i="20"/>
  <c r="I508" i="20"/>
  <c r="E509" i="20"/>
  <c r="F509" i="20"/>
  <c r="G509" i="20"/>
  <c r="H509" i="20"/>
  <c r="I509" i="20"/>
  <c r="E510" i="20"/>
  <c r="F510" i="20"/>
  <c r="G510" i="20"/>
  <c r="H510" i="20"/>
  <c r="I510" i="20"/>
  <c r="E511" i="20"/>
  <c r="F511" i="20"/>
  <c r="G511" i="20"/>
  <c r="H511" i="20"/>
  <c r="I511" i="20"/>
  <c r="E512" i="20"/>
  <c r="F512" i="20"/>
  <c r="G512" i="20"/>
  <c r="H512" i="20"/>
  <c r="I512" i="20"/>
  <c r="E513" i="20"/>
  <c r="F513" i="20"/>
  <c r="G513" i="20"/>
  <c r="H513" i="20"/>
  <c r="I513" i="20"/>
  <c r="E514" i="20"/>
  <c r="F514" i="20"/>
  <c r="G514" i="20"/>
  <c r="H514" i="20"/>
  <c r="I514" i="20"/>
  <c r="E515" i="20"/>
  <c r="F515" i="20"/>
  <c r="G515" i="20"/>
  <c r="H515" i="20"/>
  <c r="I515" i="20"/>
  <c r="E516" i="20"/>
  <c r="F516" i="20"/>
  <c r="G516" i="20"/>
  <c r="H516" i="20"/>
  <c r="I516" i="20"/>
  <c r="E517" i="20"/>
  <c r="F517" i="20"/>
  <c r="G517" i="20"/>
  <c r="H517" i="20"/>
  <c r="I517" i="20"/>
  <c r="E518" i="20"/>
  <c r="F518" i="20"/>
  <c r="G518" i="20"/>
  <c r="H518" i="20"/>
  <c r="I518" i="20"/>
  <c r="E519" i="20"/>
  <c r="F519" i="20"/>
  <c r="G519" i="20"/>
  <c r="H519" i="20"/>
  <c r="I519" i="20"/>
  <c r="E520" i="20"/>
  <c r="F520" i="20"/>
  <c r="G520" i="20"/>
  <c r="H520" i="20"/>
  <c r="I520" i="20"/>
  <c r="E521" i="20"/>
  <c r="F521" i="20"/>
  <c r="G521" i="20"/>
  <c r="H521" i="20"/>
  <c r="I521" i="20"/>
  <c r="E522" i="20"/>
  <c r="F522" i="20"/>
  <c r="G522" i="20"/>
  <c r="H522" i="20"/>
  <c r="I522" i="20"/>
  <c r="E523" i="20"/>
  <c r="F523" i="20"/>
  <c r="G523" i="20"/>
  <c r="H523" i="20"/>
  <c r="I523" i="20"/>
  <c r="E524" i="20"/>
  <c r="F524" i="20"/>
  <c r="G524" i="20"/>
  <c r="H524" i="20"/>
  <c r="I524" i="20"/>
  <c r="E525" i="20"/>
  <c r="F525" i="20"/>
  <c r="G525" i="20"/>
  <c r="H525" i="20"/>
  <c r="I525" i="20"/>
  <c r="E526" i="20"/>
  <c r="F526" i="20"/>
  <c r="G526" i="20"/>
  <c r="H526" i="20"/>
  <c r="I526" i="20"/>
  <c r="E527" i="20"/>
  <c r="F527" i="20"/>
  <c r="G527" i="20"/>
  <c r="H527" i="20"/>
  <c r="I527" i="20"/>
  <c r="E528" i="20"/>
  <c r="F528" i="20"/>
  <c r="G528" i="20"/>
  <c r="H528" i="20"/>
  <c r="I528" i="20"/>
  <c r="E529" i="20"/>
  <c r="F529" i="20"/>
  <c r="G529" i="20"/>
  <c r="H529" i="20"/>
  <c r="I529" i="20"/>
  <c r="E530" i="20"/>
  <c r="F530" i="20"/>
  <c r="G530" i="20"/>
  <c r="H530" i="20"/>
  <c r="I530" i="20"/>
  <c r="E531" i="20"/>
  <c r="F531" i="20"/>
  <c r="G531" i="20"/>
  <c r="H531" i="20"/>
  <c r="I531" i="20"/>
  <c r="E532" i="20"/>
  <c r="F532" i="20"/>
  <c r="G532" i="20"/>
  <c r="H532" i="20"/>
  <c r="I532" i="20"/>
  <c r="E533" i="20"/>
  <c r="F533" i="20"/>
  <c r="G533" i="20"/>
  <c r="H533" i="20"/>
  <c r="I533" i="20"/>
  <c r="E534" i="20"/>
  <c r="F534" i="20"/>
  <c r="G534" i="20"/>
  <c r="H534" i="20"/>
  <c r="I534" i="20"/>
  <c r="E535" i="20"/>
  <c r="F535" i="20"/>
  <c r="G535" i="20"/>
  <c r="H535" i="20"/>
  <c r="I535" i="20"/>
  <c r="E536" i="20"/>
  <c r="F536" i="20"/>
  <c r="G536" i="20"/>
  <c r="H536" i="20"/>
  <c r="I536" i="20"/>
  <c r="E537" i="20"/>
  <c r="F537" i="20"/>
  <c r="G537" i="20"/>
  <c r="H537" i="20"/>
  <c r="I537" i="20"/>
  <c r="E538" i="20"/>
  <c r="F538" i="20"/>
  <c r="G538" i="20"/>
  <c r="H538" i="20"/>
  <c r="I538" i="20"/>
  <c r="E539" i="20"/>
  <c r="F539" i="20"/>
  <c r="G539" i="20"/>
  <c r="H539" i="20"/>
  <c r="I539" i="20"/>
  <c r="E540" i="20"/>
  <c r="F540" i="20"/>
  <c r="G540" i="20"/>
  <c r="H540" i="20"/>
  <c r="I540" i="20"/>
  <c r="E541" i="20"/>
  <c r="F541" i="20"/>
  <c r="G541" i="20"/>
  <c r="H541" i="20"/>
  <c r="I541" i="20"/>
  <c r="E542" i="20"/>
  <c r="F542" i="20"/>
  <c r="G542" i="20"/>
  <c r="H542" i="20"/>
  <c r="I542" i="20"/>
  <c r="E543" i="20"/>
  <c r="F543" i="20"/>
  <c r="G543" i="20"/>
  <c r="H543" i="20"/>
  <c r="I543" i="20"/>
  <c r="E544" i="20"/>
  <c r="F544" i="20"/>
  <c r="G544" i="20"/>
  <c r="H544" i="20"/>
  <c r="I544" i="20"/>
  <c r="E545" i="20"/>
  <c r="F545" i="20"/>
  <c r="G545" i="20"/>
  <c r="H545" i="20"/>
  <c r="I545" i="20"/>
  <c r="E546" i="20"/>
  <c r="F546" i="20"/>
  <c r="G546" i="20"/>
  <c r="H546" i="20"/>
  <c r="I546" i="20"/>
  <c r="E547" i="20"/>
  <c r="F547" i="20"/>
  <c r="G547" i="20"/>
  <c r="H547" i="20"/>
  <c r="I547" i="20"/>
  <c r="E548" i="20"/>
  <c r="F548" i="20"/>
  <c r="G548" i="20"/>
  <c r="H548" i="20"/>
  <c r="I548" i="20"/>
  <c r="E549" i="20"/>
  <c r="F549" i="20"/>
  <c r="G549" i="20"/>
  <c r="H549" i="20"/>
  <c r="I549" i="20"/>
  <c r="E550" i="20"/>
  <c r="F550" i="20"/>
  <c r="G550" i="20"/>
  <c r="H550" i="20"/>
  <c r="I550" i="20"/>
  <c r="E551" i="20"/>
  <c r="F551" i="20"/>
  <c r="G551" i="20"/>
  <c r="H551" i="20"/>
  <c r="I551" i="20"/>
  <c r="E552" i="20"/>
  <c r="F552" i="20"/>
  <c r="G552" i="20"/>
  <c r="H552" i="20"/>
  <c r="I552" i="20"/>
  <c r="E553" i="20"/>
  <c r="F553" i="20"/>
  <c r="G553" i="20"/>
  <c r="H553" i="20"/>
  <c r="I553" i="20"/>
  <c r="E554" i="20"/>
  <c r="F554" i="20"/>
  <c r="G554" i="20"/>
  <c r="H554" i="20"/>
  <c r="I554" i="20"/>
  <c r="E555" i="20"/>
  <c r="F555" i="20"/>
  <c r="G555" i="20"/>
  <c r="H555" i="20"/>
  <c r="I555" i="20"/>
  <c r="E556" i="20"/>
  <c r="F556" i="20"/>
  <c r="G556" i="20"/>
  <c r="H556" i="20"/>
  <c r="I556" i="20"/>
  <c r="E557" i="20"/>
  <c r="F557" i="20"/>
  <c r="G557" i="20"/>
  <c r="H557" i="20"/>
  <c r="I557" i="20"/>
  <c r="E558" i="20"/>
  <c r="F558" i="20"/>
  <c r="G558" i="20"/>
  <c r="H558" i="20"/>
  <c r="I558" i="20"/>
  <c r="E559" i="20"/>
  <c r="F559" i="20"/>
  <c r="G559" i="20"/>
  <c r="H559" i="20"/>
  <c r="I559" i="20"/>
  <c r="E560" i="20"/>
  <c r="F560" i="20"/>
  <c r="G560" i="20"/>
  <c r="H560" i="20"/>
  <c r="I560" i="20"/>
  <c r="E561" i="20"/>
  <c r="F561" i="20"/>
  <c r="G561" i="20"/>
  <c r="H561" i="20"/>
  <c r="I561" i="20"/>
  <c r="E562" i="20"/>
  <c r="F562" i="20"/>
  <c r="G562" i="20"/>
  <c r="H562" i="20"/>
  <c r="I562" i="20"/>
  <c r="E563" i="20"/>
  <c r="F563" i="20"/>
  <c r="G563" i="20"/>
  <c r="H563" i="20"/>
  <c r="I563" i="20"/>
  <c r="E564" i="20"/>
  <c r="F564" i="20"/>
  <c r="G564" i="20"/>
  <c r="H564" i="20"/>
  <c r="I564" i="20"/>
  <c r="E565" i="20"/>
  <c r="F565" i="20"/>
  <c r="G565" i="20"/>
  <c r="H565" i="20"/>
  <c r="I565" i="20"/>
  <c r="E566" i="20"/>
  <c r="F566" i="20"/>
  <c r="G566" i="20"/>
  <c r="H566" i="20"/>
  <c r="I566" i="20"/>
  <c r="E567" i="20"/>
  <c r="F567" i="20"/>
  <c r="G567" i="20"/>
  <c r="H567" i="20"/>
  <c r="I567" i="20"/>
  <c r="E568" i="20"/>
  <c r="F568" i="20"/>
  <c r="G568" i="20"/>
  <c r="H568" i="20"/>
  <c r="I568" i="20"/>
  <c r="E569" i="20"/>
  <c r="F569" i="20"/>
  <c r="G569" i="20"/>
  <c r="I569" i="20"/>
  <c r="F570" i="20"/>
  <c r="H570" i="20"/>
  <c r="E571" i="20"/>
  <c r="G571" i="20"/>
  <c r="E572" i="20"/>
  <c r="I572" i="20"/>
  <c r="H573" i="20"/>
  <c r="F574" i="20"/>
  <c r="I574" i="20"/>
  <c r="G575" i="20"/>
  <c r="F576" i="20"/>
  <c r="I576" i="20"/>
  <c r="I577" i="20"/>
  <c r="I662" i="20"/>
  <c r="I664" i="20"/>
  <c r="G666" i="20"/>
  <c r="H667" i="20"/>
  <c r="I668" i="20"/>
  <c r="G670" i="20"/>
  <c r="H671" i="20"/>
  <c r="F672" i="20"/>
  <c r="E673" i="20"/>
  <c r="G673" i="20"/>
  <c r="I934" i="20"/>
  <c r="F936" i="20"/>
  <c r="I936" i="20"/>
  <c r="E938" i="20"/>
  <c r="F939" i="20"/>
  <c r="I939" i="20"/>
  <c r="F942" i="20"/>
  <c r="E943" i="20"/>
  <c r="I943" i="20"/>
  <c r="H944" i="20"/>
  <c r="G945" i="20"/>
  <c r="F947" i="20"/>
  <c r="E578" i="20"/>
  <c r="F578" i="20"/>
  <c r="G578" i="20"/>
  <c r="H578" i="20"/>
  <c r="I578" i="20"/>
  <c r="E579" i="20"/>
  <c r="F579" i="20"/>
  <c r="G579" i="20"/>
  <c r="H579" i="20"/>
  <c r="I579" i="20"/>
  <c r="E580" i="20"/>
  <c r="F580" i="20"/>
  <c r="G580" i="20"/>
  <c r="H580" i="20"/>
  <c r="I580" i="20"/>
  <c r="E581" i="20"/>
  <c r="F581" i="20"/>
  <c r="G581" i="20"/>
  <c r="H581" i="20"/>
  <c r="I581" i="20"/>
  <c r="E582" i="20"/>
  <c r="F582" i="20"/>
  <c r="G582" i="20"/>
  <c r="H582" i="20"/>
  <c r="I582" i="20"/>
  <c r="E583" i="20"/>
  <c r="F583" i="20"/>
  <c r="G583" i="20"/>
  <c r="H583" i="20"/>
  <c r="I583" i="20"/>
  <c r="E584" i="20"/>
  <c r="F584" i="20"/>
  <c r="G584" i="20"/>
  <c r="H584" i="20"/>
  <c r="I584" i="20"/>
  <c r="E585" i="20"/>
  <c r="F585" i="20"/>
  <c r="G585" i="20"/>
  <c r="H585" i="20"/>
  <c r="I585" i="20"/>
  <c r="E586" i="20"/>
  <c r="F586" i="20"/>
  <c r="G586" i="20"/>
  <c r="H586" i="20"/>
  <c r="I586" i="20"/>
  <c r="E587" i="20"/>
  <c r="F587" i="20"/>
  <c r="G587" i="20"/>
  <c r="H587" i="20"/>
  <c r="I587" i="20"/>
  <c r="E588" i="20"/>
  <c r="F588" i="20"/>
  <c r="G588" i="20"/>
  <c r="H588" i="20"/>
  <c r="I588" i="20"/>
  <c r="E589" i="20"/>
  <c r="F589" i="20"/>
  <c r="G589" i="20"/>
  <c r="H589" i="20"/>
  <c r="I589" i="20"/>
  <c r="E590" i="20"/>
  <c r="F590" i="20"/>
  <c r="G590" i="20"/>
  <c r="H590" i="20"/>
  <c r="I590" i="20"/>
  <c r="E591" i="20"/>
  <c r="F591" i="20"/>
  <c r="G591" i="20"/>
  <c r="H591" i="20"/>
  <c r="I591" i="20"/>
  <c r="E592" i="20"/>
  <c r="F592" i="20"/>
  <c r="G592" i="20"/>
  <c r="H592" i="20"/>
  <c r="I592" i="20"/>
  <c r="E593" i="20"/>
  <c r="F593" i="20"/>
  <c r="G593" i="20"/>
  <c r="H593" i="20"/>
  <c r="I593" i="20"/>
  <c r="E594" i="20"/>
  <c r="F594" i="20"/>
  <c r="G594" i="20"/>
  <c r="H594" i="20"/>
  <c r="I594" i="20"/>
  <c r="E595" i="20"/>
  <c r="F595" i="20"/>
  <c r="G595" i="20"/>
  <c r="H595" i="20"/>
  <c r="I595" i="20"/>
  <c r="E596" i="20"/>
  <c r="F596" i="20"/>
  <c r="G596" i="20"/>
  <c r="H596" i="20"/>
  <c r="I596" i="20"/>
  <c r="E597" i="20"/>
  <c r="F597" i="20"/>
  <c r="G597" i="20"/>
  <c r="H597" i="20"/>
  <c r="I597" i="20"/>
  <c r="E598" i="20"/>
  <c r="F598" i="20"/>
  <c r="G598" i="20"/>
  <c r="H598" i="20"/>
  <c r="I598" i="20"/>
  <c r="E599" i="20"/>
  <c r="F599" i="20"/>
  <c r="G599" i="20"/>
  <c r="H599" i="20"/>
  <c r="I599" i="20"/>
  <c r="E600" i="20"/>
  <c r="F600" i="20"/>
  <c r="G600" i="20"/>
  <c r="H600" i="20"/>
  <c r="I600" i="20"/>
  <c r="E601" i="20"/>
  <c r="F601" i="20"/>
  <c r="G601" i="20"/>
  <c r="H601" i="20"/>
  <c r="I601" i="20"/>
  <c r="E602" i="20"/>
  <c r="F602" i="20"/>
  <c r="G602" i="20"/>
  <c r="H602" i="20"/>
  <c r="I602" i="20"/>
  <c r="E603" i="20"/>
  <c r="F603" i="20"/>
  <c r="G603" i="20"/>
  <c r="H603" i="20"/>
  <c r="I603" i="20"/>
  <c r="E604" i="20"/>
  <c r="F604" i="20"/>
  <c r="G604" i="20"/>
  <c r="H604" i="20"/>
  <c r="I604" i="20"/>
  <c r="E605" i="20"/>
  <c r="F605" i="20"/>
  <c r="G605" i="20"/>
  <c r="H605" i="20"/>
  <c r="I605" i="20"/>
  <c r="E606" i="20"/>
  <c r="F606" i="20"/>
  <c r="G606" i="20"/>
  <c r="H606" i="20"/>
  <c r="I606" i="20"/>
  <c r="E607" i="20"/>
  <c r="F607" i="20"/>
  <c r="G607" i="20"/>
  <c r="H607" i="20"/>
  <c r="I607" i="20"/>
  <c r="E608" i="20"/>
  <c r="F608" i="20"/>
  <c r="G608" i="20"/>
  <c r="H608" i="20"/>
  <c r="I608" i="20"/>
  <c r="E609" i="20"/>
  <c r="F609" i="20"/>
  <c r="G609" i="20"/>
  <c r="H609" i="20"/>
  <c r="I609" i="20"/>
  <c r="E610" i="20"/>
  <c r="F610" i="20"/>
  <c r="G610" i="20"/>
  <c r="H610" i="20"/>
  <c r="I610" i="20"/>
  <c r="E611" i="20"/>
  <c r="F611" i="20"/>
  <c r="G611" i="20"/>
  <c r="H611" i="20"/>
  <c r="I611" i="20"/>
  <c r="E612" i="20"/>
  <c r="F612" i="20"/>
  <c r="G612" i="20"/>
  <c r="H612" i="20"/>
  <c r="I612" i="20"/>
  <c r="E613" i="20"/>
  <c r="F613" i="20"/>
  <c r="G613" i="20"/>
  <c r="H613" i="20"/>
  <c r="I613" i="20"/>
  <c r="E614" i="20"/>
  <c r="F614" i="20"/>
  <c r="G614" i="20"/>
  <c r="H614" i="20"/>
  <c r="I614" i="20"/>
  <c r="E615" i="20"/>
  <c r="F615" i="20"/>
  <c r="G615" i="20"/>
  <c r="H615" i="20"/>
  <c r="I615" i="20"/>
  <c r="E616" i="20"/>
  <c r="F616" i="20"/>
  <c r="G616" i="20"/>
  <c r="H616" i="20"/>
  <c r="I616" i="20"/>
  <c r="E617" i="20"/>
  <c r="F617" i="20"/>
  <c r="G617" i="20"/>
  <c r="H617" i="20"/>
  <c r="I617" i="20"/>
  <c r="E618" i="20"/>
  <c r="F618" i="20"/>
  <c r="G618" i="20"/>
  <c r="H618" i="20"/>
  <c r="I618" i="20"/>
  <c r="E619" i="20"/>
  <c r="F619" i="20"/>
  <c r="G619" i="20"/>
  <c r="H619" i="20"/>
  <c r="I619" i="20"/>
  <c r="E620" i="20"/>
  <c r="F620" i="20"/>
  <c r="G620" i="20"/>
  <c r="H620" i="20"/>
  <c r="I620" i="20"/>
  <c r="E621" i="20"/>
  <c r="F621" i="20"/>
  <c r="G621" i="20"/>
  <c r="H621" i="20"/>
  <c r="I621" i="20"/>
  <c r="E622" i="20"/>
  <c r="F622" i="20"/>
  <c r="G622" i="20"/>
  <c r="H622" i="20"/>
  <c r="I622" i="20"/>
  <c r="E623" i="20"/>
  <c r="F623" i="20"/>
  <c r="G623" i="20"/>
  <c r="H623" i="20"/>
  <c r="I623" i="20"/>
  <c r="E624" i="20"/>
  <c r="F624" i="20"/>
  <c r="G624" i="20"/>
  <c r="H624" i="20"/>
  <c r="I624" i="20"/>
  <c r="E625" i="20"/>
  <c r="F625" i="20"/>
  <c r="G625" i="20"/>
  <c r="H625" i="20"/>
  <c r="I625" i="20"/>
  <c r="E626" i="20"/>
  <c r="F626" i="20"/>
  <c r="G626" i="20"/>
  <c r="H626" i="20"/>
  <c r="I626" i="20"/>
  <c r="E627" i="20"/>
  <c r="F627" i="20"/>
  <c r="G627" i="20"/>
  <c r="H627" i="20"/>
  <c r="I627" i="20"/>
  <c r="E628" i="20"/>
  <c r="F628" i="20"/>
  <c r="G628" i="20"/>
  <c r="H628" i="20"/>
  <c r="I628" i="20"/>
  <c r="E629" i="20"/>
  <c r="F629" i="20"/>
  <c r="G629" i="20"/>
  <c r="H629" i="20"/>
  <c r="I629" i="20"/>
  <c r="E630" i="20"/>
  <c r="F630" i="20"/>
  <c r="G630" i="20"/>
  <c r="H630" i="20"/>
  <c r="I630" i="20"/>
  <c r="E631" i="20"/>
  <c r="F631" i="20"/>
  <c r="G631" i="20"/>
  <c r="H631" i="20"/>
  <c r="I631" i="20"/>
  <c r="E632" i="20"/>
  <c r="F632" i="20"/>
  <c r="G632" i="20"/>
  <c r="H632" i="20"/>
  <c r="I632" i="20"/>
  <c r="E633" i="20"/>
  <c r="F633" i="20"/>
  <c r="G633" i="20"/>
  <c r="H633" i="20"/>
  <c r="I633" i="20"/>
  <c r="E634" i="20"/>
  <c r="F634" i="20"/>
  <c r="G634" i="20"/>
  <c r="H634" i="20"/>
  <c r="I634" i="20"/>
  <c r="E635" i="20"/>
  <c r="F635" i="20"/>
  <c r="G635" i="20"/>
  <c r="H635" i="20"/>
  <c r="I635" i="20"/>
  <c r="E636" i="20"/>
  <c r="F636" i="20"/>
  <c r="G636" i="20"/>
  <c r="H636" i="20"/>
  <c r="I636" i="20"/>
  <c r="E637" i="20"/>
  <c r="F637" i="20"/>
  <c r="G637" i="20"/>
  <c r="H637" i="20"/>
  <c r="I637" i="20"/>
  <c r="E638" i="20"/>
  <c r="F638" i="20"/>
  <c r="G638" i="20"/>
  <c r="H638" i="20"/>
  <c r="I638" i="20"/>
  <c r="E639" i="20"/>
  <c r="F639" i="20"/>
  <c r="G639" i="20"/>
  <c r="H639" i="20"/>
  <c r="I639" i="20"/>
  <c r="E640" i="20"/>
  <c r="F640" i="20"/>
  <c r="G640" i="20"/>
  <c r="H640" i="20"/>
  <c r="I640" i="20"/>
  <c r="E641" i="20"/>
  <c r="F641" i="20"/>
  <c r="G641" i="20"/>
  <c r="H641" i="20"/>
  <c r="I641" i="20"/>
  <c r="E642" i="20"/>
  <c r="F642" i="20"/>
  <c r="G642" i="20"/>
  <c r="H642" i="20"/>
  <c r="I642" i="20"/>
  <c r="E643" i="20"/>
  <c r="F643" i="20"/>
  <c r="G643" i="20"/>
  <c r="H643" i="20"/>
  <c r="I643" i="20"/>
  <c r="E644" i="20"/>
  <c r="F644" i="20"/>
  <c r="G644" i="20"/>
  <c r="H644" i="20"/>
  <c r="I644" i="20"/>
  <c r="E645" i="20"/>
  <c r="F645" i="20"/>
  <c r="G645" i="20"/>
  <c r="H645" i="20"/>
  <c r="I645" i="20"/>
  <c r="E646" i="20"/>
  <c r="F646" i="20"/>
  <c r="G646" i="20"/>
  <c r="H646" i="20"/>
  <c r="I646" i="20"/>
  <c r="E647" i="20"/>
  <c r="F647" i="20"/>
  <c r="G647" i="20"/>
  <c r="H647" i="20"/>
  <c r="I647" i="20"/>
  <c r="E648" i="20"/>
  <c r="F648" i="20"/>
  <c r="G648" i="20"/>
  <c r="H648" i="20"/>
  <c r="I648" i="20"/>
  <c r="E649" i="20"/>
  <c r="F649" i="20"/>
  <c r="G649" i="20"/>
  <c r="H649" i="20"/>
  <c r="I649" i="20"/>
  <c r="E650" i="20"/>
  <c r="F650" i="20"/>
  <c r="G650" i="20"/>
  <c r="H650" i="20"/>
  <c r="I650" i="20"/>
  <c r="E651" i="20"/>
  <c r="F651" i="20"/>
  <c r="G651" i="20"/>
  <c r="H651" i="20"/>
  <c r="I651" i="20"/>
  <c r="E652" i="20"/>
  <c r="F652" i="20"/>
  <c r="G652" i="20"/>
  <c r="H652" i="20"/>
  <c r="I652" i="20"/>
  <c r="E653" i="20"/>
  <c r="F653" i="20"/>
  <c r="G653" i="20"/>
  <c r="H653" i="20"/>
  <c r="I653" i="20"/>
  <c r="E654" i="20"/>
  <c r="F654" i="20"/>
  <c r="G654" i="20"/>
  <c r="H654" i="20"/>
  <c r="I654" i="20"/>
  <c r="E655" i="20"/>
  <c r="F655" i="20"/>
  <c r="G655" i="20"/>
  <c r="H655" i="20"/>
  <c r="I655" i="20"/>
  <c r="E656" i="20"/>
  <c r="F656" i="20"/>
  <c r="G656" i="20"/>
  <c r="H656" i="20"/>
  <c r="I656" i="20"/>
  <c r="E657" i="20"/>
  <c r="F657" i="20"/>
  <c r="G657" i="20"/>
  <c r="H657" i="20"/>
  <c r="I657" i="20"/>
  <c r="E658" i="20"/>
  <c r="F658" i="20"/>
  <c r="G658" i="20"/>
  <c r="H658" i="20"/>
  <c r="I658" i="20"/>
  <c r="E659" i="20"/>
  <c r="F659" i="20"/>
  <c r="G659" i="20"/>
  <c r="H659" i="20"/>
  <c r="I659" i="20"/>
  <c r="E660" i="20"/>
  <c r="F660" i="20"/>
  <c r="G660" i="20"/>
  <c r="H660" i="20"/>
  <c r="I660" i="20"/>
  <c r="E661" i="20"/>
  <c r="F661" i="20"/>
  <c r="G661" i="20"/>
  <c r="H661" i="20"/>
  <c r="I661" i="20"/>
  <c r="E662" i="20"/>
  <c r="H662" i="20"/>
  <c r="G663" i="20"/>
  <c r="G664" i="20"/>
  <c r="F665" i="20"/>
  <c r="E666" i="20"/>
  <c r="H666" i="20"/>
  <c r="E667" i="20"/>
  <c r="F668" i="20"/>
  <c r="H669" i="20"/>
  <c r="E671" i="20"/>
  <c r="E672" i="20"/>
  <c r="H673" i="20"/>
  <c r="F938" i="20"/>
  <c r="G939" i="20"/>
  <c r="F940" i="20"/>
  <c r="I940" i="20"/>
  <c r="I941" i="20"/>
  <c r="E946" i="20"/>
  <c r="I673" i="20"/>
  <c r="E674" i="20"/>
  <c r="F674" i="20"/>
  <c r="G674" i="20"/>
  <c r="H674" i="20"/>
  <c r="I674" i="20"/>
  <c r="E675" i="20"/>
  <c r="F675" i="20"/>
  <c r="G675" i="20"/>
  <c r="H675" i="20"/>
  <c r="I675" i="20"/>
  <c r="E676" i="20"/>
  <c r="F676" i="20"/>
  <c r="G676" i="20"/>
  <c r="H676" i="20"/>
  <c r="I676" i="20"/>
  <c r="E677" i="20"/>
  <c r="F677" i="20"/>
  <c r="G677" i="20"/>
  <c r="H677" i="20"/>
  <c r="I677" i="20"/>
  <c r="E678" i="20"/>
  <c r="F678" i="20"/>
  <c r="G678" i="20"/>
  <c r="H678" i="20"/>
  <c r="I678" i="20"/>
  <c r="E679" i="20"/>
  <c r="F679" i="20"/>
  <c r="G679" i="20"/>
  <c r="H679" i="20"/>
  <c r="I679" i="20"/>
  <c r="E680" i="20"/>
  <c r="F680" i="20"/>
  <c r="G680" i="20"/>
  <c r="H680" i="20"/>
  <c r="I680" i="20"/>
  <c r="E681" i="20"/>
  <c r="F681" i="20"/>
  <c r="G681" i="20"/>
  <c r="H681" i="20"/>
  <c r="I681" i="20"/>
  <c r="E682" i="20"/>
  <c r="F682" i="20"/>
  <c r="G682" i="20"/>
  <c r="H682" i="20"/>
  <c r="I682" i="20"/>
  <c r="E683" i="20"/>
  <c r="F683" i="20"/>
  <c r="G683" i="20"/>
  <c r="H683" i="20"/>
  <c r="I683" i="20"/>
  <c r="E684" i="20"/>
  <c r="F684" i="20"/>
  <c r="G684" i="20"/>
  <c r="H684" i="20"/>
  <c r="I684" i="20"/>
  <c r="E685" i="20"/>
  <c r="F685" i="20"/>
  <c r="G685" i="20"/>
  <c r="H685" i="20"/>
  <c r="I685" i="20"/>
  <c r="E686" i="20"/>
  <c r="F686" i="20"/>
  <c r="G686" i="20"/>
  <c r="H686" i="20"/>
  <c r="I686" i="20"/>
  <c r="E687" i="20"/>
  <c r="F687" i="20"/>
  <c r="G687" i="20"/>
  <c r="H687" i="20"/>
  <c r="I687" i="20"/>
  <c r="E688" i="20"/>
  <c r="F688" i="20"/>
  <c r="G688" i="20"/>
  <c r="H688" i="20"/>
  <c r="I688" i="20"/>
  <c r="E689" i="20"/>
  <c r="F689" i="20"/>
  <c r="G689" i="20"/>
  <c r="H689" i="20"/>
  <c r="I689" i="20"/>
  <c r="E690" i="20"/>
  <c r="F690" i="20"/>
  <c r="G690" i="20"/>
  <c r="H690" i="20"/>
  <c r="I690" i="20"/>
  <c r="E691" i="20"/>
  <c r="F691" i="20"/>
  <c r="G691" i="20"/>
  <c r="H691" i="20"/>
  <c r="I691" i="20"/>
  <c r="E692" i="20"/>
  <c r="F692" i="20"/>
  <c r="G692" i="20"/>
  <c r="H692" i="20"/>
  <c r="I692" i="20"/>
  <c r="E693" i="20"/>
  <c r="F693" i="20"/>
  <c r="G693" i="20"/>
  <c r="H693" i="20"/>
  <c r="I693" i="20"/>
  <c r="E694" i="20"/>
  <c r="F694" i="20"/>
  <c r="G694" i="20"/>
  <c r="H694" i="20"/>
  <c r="I694" i="20"/>
  <c r="E695" i="20"/>
  <c r="F695" i="20"/>
  <c r="G695" i="20"/>
  <c r="H695" i="20"/>
  <c r="I695" i="20"/>
  <c r="E696" i="20"/>
  <c r="F696" i="20"/>
  <c r="G696" i="20"/>
  <c r="H696" i="20"/>
  <c r="I696" i="20"/>
  <c r="E697" i="20"/>
  <c r="F697" i="20"/>
  <c r="G697" i="20"/>
  <c r="H697" i="20"/>
  <c r="I697" i="20"/>
  <c r="E698" i="20"/>
  <c r="F698" i="20"/>
  <c r="G698" i="20"/>
  <c r="H698" i="20"/>
  <c r="I698" i="20"/>
  <c r="E699" i="20"/>
  <c r="F699" i="20"/>
  <c r="G699" i="20"/>
  <c r="H699" i="20"/>
  <c r="I699" i="20"/>
  <c r="E700" i="20"/>
  <c r="F700" i="20"/>
  <c r="G700" i="20"/>
  <c r="H700" i="20"/>
  <c r="I700" i="20"/>
  <c r="E701" i="20"/>
  <c r="F701" i="20"/>
  <c r="G701" i="20"/>
  <c r="H701" i="20"/>
  <c r="I701" i="20"/>
  <c r="E702" i="20"/>
  <c r="F702" i="20"/>
  <c r="G702" i="20"/>
  <c r="H702" i="20"/>
  <c r="I702" i="20"/>
  <c r="E703" i="20"/>
  <c r="F703" i="20"/>
  <c r="G703" i="20"/>
  <c r="H703" i="20"/>
  <c r="I703" i="20"/>
  <c r="E704" i="20"/>
  <c r="F704" i="20"/>
  <c r="G704" i="20"/>
  <c r="H704" i="20"/>
  <c r="I704" i="20"/>
  <c r="E705" i="20"/>
  <c r="F705" i="20"/>
  <c r="G705" i="20"/>
  <c r="H705" i="20"/>
  <c r="I705" i="20"/>
  <c r="E706" i="20"/>
  <c r="F706" i="20"/>
  <c r="G706" i="20"/>
  <c r="H706" i="20"/>
  <c r="I706" i="20"/>
  <c r="E707" i="20"/>
  <c r="F707" i="20"/>
  <c r="G707" i="20"/>
  <c r="H707" i="20"/>
  <c r="I707" i="20"/>
  <c r="E708" i="20"/>
  <c r="F708" i="20"/>
  <c r="G708" i="20"/>
  <c r="H708" i="20"/>
  <c r="I708" i="20"/>
  <c r="E709" i="20"/>
  <c r="F709" i="20"/>
  <c r="G709" i="20"/>
  <c r="H709" i="20"/>
  <c r="I709" i="20"/>
  <c r="E710" i="20"/>
  <c r="F710" i="20"/>
  <c r="G710" i="20"/>
  <c r="H710" i="20"/>
  <c r="I710" i="20"/>
  <c r="E711" i="20"/>
  <c r="F711" i="20"/>
  <c r="G711" i="20"/>
  <c r="H711" i="20"/>
  <c r="I711" i="20"/>
  <c r="E712" i="20"/>
  <c r="F712" i="20"/>
  <c r="G712" i="20"/>
  <c r="H712" i="20"/>
  <c r="I712" i="20"/>
  <c r="E713" i="20"/>
  <c r="F713" i="20"/>
  <c r="G713" i="20"/>
  <c r="H713" i="20"/>
  <c r="I713" i="20"/>
  <c r="E714" i="20"/>
  <c r="F714" i="20"/>
  <c r="G714" i="20"/>
  <c r="H714" i="20"/>
  <c r="I714" i="20"/>
  <c r="E715" i="20"/>
  <c r="F715" i="20"/>
  <c r="G715" i="20"/>
  <c r="I715" i="20"/>
  <c r="E716" i="20"/>
  <c r="F716" i="20"/>
  <c r="G716" i="20"/>
  <c r="H716" i="20"/>
  <c r="I716" i="20"/>
  <c r="E717" i="20"/>
  <c r="F717" i="20"/>
  <c r="G717" i="20"/>
  <c r="H717" i="20"/>
  <c r="I717" i="20"/>
  <c r="E718" i="20"/>
  <c r="F718" i="20"/>
  <c r="G718" i="20"/>
  <c r="H718" i="20"/>
  <c r="I718" i="20"/>
  <c r="E719" i="20"/>
  <c r="F719" i="20"/>
  <c r="G719" i="20"/>
  <c r="H719" i="20"/>
  <c r="I719" i="20"/>
  <c r="E720" i="20"/>
  <c r="F720" i="20"/>
  <c r="G720" i="20"/>
  <c r="H720" i="20"/>
  <c r="I720" i="20"/>
  <c r="E721" i="20"/>
  <c r="F721" i="20"/>
  <c r="G721" i="20"/>
  <c r="H721" i="20"/>
  <c r="I721" i="20"/>
  <c r="E722" i="20"/>
  <c r="F722" i="20"/>
  <c r="G722" i="20"/>
  <c r="H722" i="20"/>
  <c r="I722" i="20"/>
  <c r="E723" i="20"/>
  <c r="F723" i="20"/>
  <c r="G723" i="20"/>
  <c r="H723" i="20"/>
  <c r="I723" i="20"/>
  <c r="E724" i="20"/>
  <c r="F724" i="20"/>
  <c r="G724" i="20"/>
  <c r="H724" i="20"/>
  <c r="I724" i="20"/>
  <c r="E725" i="20"/>
  <c r="F725" i="20"/>
  <c r="G725" i="20"/>
  <c r="H725" i="20"/>
  <c r="I725" i="20"/>
  <c r="E726" i="20"/>
  <c r="F726" i="20"/>
  <c r="G726" i="20"/>
  <c r="H726" i="20"/>
  <c r="I726" i="20"/>
  <c r="E727" i="20"/>
  <c r="F727" i="20"/>
  <c r="G727" i="20"/>
  <c r="H727" i="20"/>
  <c r="I727" i="20"/>
  <c r="E728" i="20"/>
  <c r="F728" i="20"/>
  <c r="G728" i="20"/>
  <c r="H728" i="20"/>
  <c r="I728" i="20"/>
  <c r="E729" i="20"/>
  <c r="F729" i="20"/>
  <c r="G729" i="20"/>
  <c r="H729" i="20"/>
  <c r="I729" i="20"/>
  <c r="E730" i="20"/>
  <c r="F730" i="20"/>
  <c r="G730" i="20"/>
  <c r="H730" i="20"/>
  <c r="I730" i="20"/>
  <c r="E731" i="20"/>
  <c r="F731" i="20"/>
  <c r="G731" i="20"/>
  <c r="H731" i="20"/>
  <c r="I731" i="20"/>
  <c r="E732" i="20"/>
  <c r="F732" i="20"/>
  <c r="G732" i="20"/>
  <c r="H732" i="20"/>
  <c r="I732" i="20"/>
  <c r="E733" i="20"/>
  <c r="F733" i="20"/>
  <c r="G733" i="20"/>
  <c r="H733" i="20"/>
  <c r="I733" i="20"/>
  <c r="E734" i="20"/>
  <c r="F734" i="20"/>
  <c r="G734" i="20"/>
  <c r="H734" i="20"/>
  <c r="I734" i="20"/>
  <c r="E735" i="20"/>
  <c r="F735" i="20"/>
  <c r="G735" i="20"/>
  <c r="H735" i="20"/>
  <c r="I735" i="20"/>
  <c r="E736" i="20"/>
  <c r="F736" i="20"/>
  <c r="G736" i="20"/>
  <c r="H736" i="20"/>
  <c r="I736" i="20"/>
  <c r="E737" i="20"/>
  <c r="F737" i="20"/>
  <c r="G737" i="20"/>
  <c r="H737" i="20"/>
  <c r="I737" i="20"/>
  <c r="E738" i="20"/>
  <c r="F738" i="20"/>
  <c r="G738" i="20"/>
  <c r="H738" i="20"/>
  <c r="I738" i="20"/>
  <c r="E739" i="20"/>
  <c r="F739" i="20"/>
  <c r="G739" i="20"/>
  <c r="H739" i="20"/>
  <c r="I739" i="20"/>
  <c r="E740" i="20"/>
  <c r="F740" i="20"/>
  <c r="G740" i="20"/>
  <c r="H740" i="20"/>
  <c r="I740" i="20"/>
  <c r="E741" i="20"/>
  <c r="F741" i="20"/>
  <c r="G741" i="20"/>
  <c r="H741" i="20"/>
  <c r="I741" i="20"/>
  <c r="E742" i="20"/>
  <c r="F742" i="20"/>
  <c r="G742" i="20"/>
  <c r="H742" i="20"/>
  <c r="I742" i="20"/>
  <c r="E743" i="20"/>
  <c r="F743" i="20"/>
  <c r="G743" i="20"/>
  <c r="H743" i="20"/>
  <c r="I743" i="20"/>
  <c r="E744" i="20"/>
  <c r="F744" i="20"/>
  <c r="G744" i="20"/>
  <c r="H744" i="20"/>
  <c r="I744" i="20"/>
  <c r="E745" i="20"/>
  <c r="F745" i="20"/>
  <c r="G745" i="20"/>
  <c r="H745" i="20"/>
  <c r="I745" i="20"/>
  <c r="E746" i="20"/>
  <c r="F746" i="20"/>
  <c r="G746" i="20"/>
  <c r="H746" i="20"/>
  <c r="I746" i="20"/>
  <c r="E747" i="20"/>
  <c r="F747" i="20"/>
  <c r="G747" i="20"/>
  <c r="H747" i="20"/>
  <c r="I747" i="20"/>
  <c r="E748" i="20"/>
  <c r="F748" i="20"/>
  <c r="G748" i="20"/>
  <c r="H748" i="20"/>
  <c r="I748" i="20"/>
  <c r="E749" i="20"/>
  <c r="F749" i="20"/>
  <c r="G749" i="20"/>
  <c r="H749" i="20"/>
  <c r="I749" i="20"/>
  <c r="E750" i="20"/>
  <c r="F750" i="20"/>
  <c r="G750" i="20"/>
  <c r="H750" i="20"/>
  <c r="I750" i="20"/>
  <c r="E751" i="20"/>
  <c r="F751" i="20"/>
  <c r="G751" i="20"/>
  <c r="H751" i="20"/>
  <c r="I751" i="20"/>
  <c r="E752" i="20"/>
  <c r="F752" i="20"/>
  <c r="G752" i="20"/>
  <c r="H752" i="20"/>
  <c r="I752" i="20"/>
  <c r="E753" i="20"/>
  <c r="F753" i="20"/>
  <c r="G753" i="20"/>
  <c r="H753" i="20"/>
  <c r="I753" i="20"/>
  <c r="E754" i="20"/>
  <c r="F754" i="20"/>
  <c r="G754" i="20"/>
  <c r="H754" i="20"/>
  <c r="I754" i="20"/>
  <c r="E755" i="20"/>
  <c r="F755" i="20"/>
  <c r="G755" i="20"/>
  <c r="H755" i="20"/>
  <c r="I755" i="20"/>
  <c r="E756" i="20"/>
  <c r="F756" i="20"/>
  <c r="G756" i="20"/>
  <c r="H756" i="20"/>
  <c r="I756" i="20"/>
  <c r="E757" i="20"/>
  <c r="F757" i="20"/>
  <c r="G757" i="20"/>
  <c r="H757" i="20"/>
  <c r="I757" i="20"/>
  <c r="E758" i="20"/>
  <c r="F758" i="20"/>
  <c r="G758" i="20"/>
  <c r="H758" i="20"/>
  <c r="I758" i="20"/>
  <c r="E759" i="20"/>
  <c r="F759" i="20"/>
  <c r="G759" i="20"/>
  <c r="H759" i="20"/>
  <c r="I759" i="20"/>
  <c r="E760" i="20"/>
  <c r="F760" i="20"/>
  <c r="G760" i="20"/>
  <c r="H760" i="20"/>
  <c r="I760" i="20"/>
  <c r="E761" i="20"/>
  <c r="F761" i="20"/>
  <c r="G761" i="20"/>
  <c r="H761" i="20"/>
  <c r="I761" i="20"/>
  <c r="E762" i="20"/>
  <c r="F762" i="20"/>
  <c r="G762" i="20"/>
  <c r="H762" i="20"/>
  <c r="I762" i="20"/>
  <c r="E763" i="20"/>
  <c r="F763" i="20"/>
  <c r="G763" i="20"/>
  <c r="H763" i="20"/>
  <c r="I763" i="20"/>
  <c r="E764" i="20"/>
  <c r="F764" i="20"/>
  <c r="G764" i="20"/>
  <c r="H764" i="20"/>
  <c r="I764" i="20"/>
  <c r="E765" i="20"/>
  <c r="F765" i="20"/>
  <c r="G765" i="20"/>
  <c r="H765" i="20"/>
  <c r="I765" i="20"/>
  <c r="E766" i="20"/>
  <c r="F766" i="20"/>
  <c r="G766" i="20"/>
  <c r="H766" i="20"/>
  <c r="I766" i="20"/>
  <c r="E767" i="20"/>
  <c r="F767" i="20"/>
  <c r="G767" i="20"/>
  <c r="H767" i="20"/>
  <c r="I767" i="20"/>
  <c r="E768" i="20"/>
  <c r="F768" i="20"/>
  <c r="G768" i="20"/>
  <c r="H768" i="20"/>
  <c r="I768" i="20"/>
  <c r="E769" i="20"/>
  <c r="F769" i="20"/>
  <c r="G769" i="20"/>
  <c r="H769" i="20"/>
  <c r="G837" i="20"/>
  <c r="F838" i="20"/>
  <c r="H838" i="20"/>
  <c r="I838" i="20"/>
  <c r="E839" i="20"/>
  <c r="F839" i="20"/>
  <c r="G839" i="20"/>
  <c r="H839" i="20"/>
  <c r="I839" i="20"/>
  <c r="E840" i="20"/>
  <c r="F840" i="20"/>
  <c r="G840" i="20"/>
  <c r="H840" i="20"/>
  <c r="I840" i="20"/>
  <c r="E841" i="20"/>
  <c r="F841" i="20"/>
  <c r="G841" i="20"/>
  <c r="H841" i="20"/>
  <c r="I841" i="20"/>
  <c r="E842" i="20"/>
  <c r="F842" i="20"/>
  <c r="G842" i="20"/>
  <c r="H842" i="20"/>
  <c r="I842" i="20"/>
  <c r="E843" i="20"/>
  <c r="F843" i="20"/>
  <c r="G843" i="20"/>
  <c r="H843" i="20"/>
  <c r="I843" i="20"/>
  <c r="E844" i="20"/>
  <c r="F844" i="20"/>
  <c r="G844" i="20"/>
  <c r="H844" i="20"/>
  <c r="E845" i="20"/>
  <c r="F845" i="20"/>
  <c r="H845" i="20"/>
  <c r="I845" i="20"/>
  <c r="F846" i="20"/>
  <c r="H846" i="20"/>
  <c r="E847" i="20"/>
  <c r="G847" i="20"/>
  <c r="I847" i="20"/>
  <c r="G848" i="20"/>
  <c r="I848" i="20"/>
  <c r="F849" i="20"/>
  <c r="H849" i="20"/>
  <c r="E850" i="20"/>
  <c r="G850" i="20"/>
  <c r="E851" i="20"/>
  <c r="G851" i="20"/>
  <c r="F852" i="20"/>
  <c r="H852" i="20"/>
  <c r="E853" i="20"/>
  <c r="G853" i="20"/>
  <c r="E854" i="20"/>
  <c r="G854" i="20"/>
  <c r="E855" i="20"/>
  <c r="F855" i="20"/>
  <c r="G855" i="20"/>
  <c r="I855" i="20"/>
  <c r="F856" i="20"/>
  <c r="H856" i="20"/>
  <c r="I856" i="20"/>
  <c r="E857" i="20"/>
  <c r="H857" i="20"/>
  <c r="I857" i="20"/>
  <c r="F858" i="20"/>
  <c r="I858" i="20"/>
  <c r="F859" i="20"/>
  <c r="G859" i="20"/>
  <c r="I859" i="20"/>
  <c r="G860" i="20"/>
  <c r="I860" i="20"/>
  <c r="F861" i="20"/>
  <c r="H861" i="20"/>
  <c r="F862" i="20"/>
  <c r="H862" i="20"/>
  <c r="E863" i="20"/>
  <c r="F863" i="20"/>
  <c r="I863" i="20"/>
  <c r="G864" i="20"/>
  <c r="I864" i="20"/>
  <c r="F865" i="20"/>
  <c r="G865" i="20"/>
  <c r="I912" i="20"/>
  <c r="G913" i="20"/>
  <c r="E914" i="20"/>
  <c r="H914" i="20"/>
  <c r="F915" i="20"/>
  <c r="I915" i="20"/>
  <c r="G916" i="20"/>
  <c r="E917" i="20"/>
  <c r="H917" i="20"/>
  <c r="E918" i="20"/>
  <c r="G918" i="20"/>
  <c r="F919" i="20"/>
  <c r="I919" i="20"/>
  <c r="H920" i="20"/>
  <c r="F921" i="20"/>
  <c r="H921" i="20"/>
  <c r="E922" i="20"/>
  <c r="G922" i="20"/>
  <c r="E923" i="20"/>
  <c r="H923" i="20"/>
  <c r="F924" i="20"/>
  <c r="I924" i="20"/>
  <c r="I925" i="20"/>
  <c r="G926" i="20"/>
  <c r="E927" i="20"/>
  <c r="H927" i="20"/>
  <c r="E928" i="20"/>
  <c r="H928" i="20"/>
  <c r="F929" i="20"/>
  <c r="E930" i="20"/>
  <c r="H930" i="20"/>
  <c r="F931" i="20"/>
  <c r="H931" i="20"/>
  <c r="F932" i="20"/>
  <c r="I932" i="20"/>
  <c r="E933" i="20"/>
  <c r="F933" i="20"/>
  <c r="G934" i="20"/>
  <c r="E936" i="20"/>
  <c r="E937" i="20"/>
  <c r="E941" i="20"/>
  <c r="E942" i="20"/>
  <c r="G946" i="20"/>
  <c r="I769" i="20"/>
  <c r="E770" i="20"/>
  <c r="F770" i="20"/>
  <c r="G770" i="20"/>
  <c r="H770" i="20"/>
  <c r="I770" i="20"/>
  <c r="E771" i="20"/>
  <c r="F771" i="20"/>
  <c r="G771" i="20"/>
  <c r="H771" i="20"/>
  <c r="I771" i="20"/>
  <c r="E772" i="20"/>
  <c r="F772" i="20"/>
  <c r="G772" i="20"/>
  <c r="H772" i="20"/>
  <c r="I772" i="20"/>
  <c r="E773" i="20"/>
  <c r="F773" i="20"/>
  <c r="G773" i="20"/>
  <c r="H773" i="20"/>
  <c r="I773" i="20"/>
  <c r="E774" i="20"/>
  <c r="F774" i="20"/>
  <c r="G774" i="20"/>
  <c r="H774" i="20"/>
  <c r="I774" i="20"/>
  <c r="E775" i="20"/>
  <c r="F775" i="20"/>
  <c r="G775" i="20"/>
  <c r="H775" i="20"/>
  <c r="I775" i="20"/>
  <c r="E776" i="20"/>
  <c r="F776" i="20"/>
  <c r="G776" i="20"/>
  <c r="H776" i="20"/>
  <c r="I776" i="20"/>
  <c r="E777" i="20"/>
  <c r="F777" i="20"/>
  <c r="G777" i="20"/>
  <c r="H777" i="20"/>
  <c r="I777" i="20"/>
  <c r="E778" i="20"/>
  <c r="F778" i="20"/>
  <c r="G778" i="20"/>
  <c r="H778" i="20"/>
  <c r="I778" i="20"/>
  <c r="E779" i="20"/>
  <c r="F779" i="20"/>
  <c r="G779" i="20"/>
  <c r="H779" i="20"/>
  <c r="I779" i="20"/>
  <c r="E780" i="20"/>
  <c r="F780" i="20"/>
  <c r="G780" i="20"/>
  <c r="H780" i="20"/>
  <c r="I780" i="20"/>
  <c r="E781" i="20"/>
  <c r="F781" i="20"/>
  <c r="G781" i="20"/>
  <c r="H781" i="20"/>
  <c r="I781" i="20"/>
  <c r="E782" i="20"/>
  <c r="F782" i="20"/>
  <c r="G782" i="20"/>
  <c r="H782" i="20"/>
  <c r="I782" i="20"/>
  <c r="E783" i="20"/>
  <c r="F783" i="20"/>
  <c r="G783" i="20"/>
  <c r="H783" i="20"/>
  <c r="I783" i="20"/>
  <c r="E784" i="20"/>
  <c r="F784" i="20"/>
  <c r="G784" i="20"/>
  <c r="H784" i="20"/>
  <c r="I784" i="20"/>
  <c r="E785" i="20"/>
  <c r="F785" i="20"/>
  <c r="G785" i="20"/>
  <c r="H785" i="20"/>
  <c r="I785" i="20"/>
  <c r="E786" i="20"/>
  <c r="F786" i="20"/>
  <c r="G786" i="20"/>
  <c r="H786" i="20"/>
  <c r="I786" i="20"/>
  <c r="E787" i="20"/>
  <c r="F787" i="20"/>
  <c r="G787" i="20"/>
  <c r="H787" i="20"/>
  <c r="I787" i="20"/>
  <c r="E788" i="20"/>
  <c r="F788" i="20"/>
  <c r="G788" i="20"/>
  <c r="H788" i="20"/>
  <c r="I788" i="20"/>
  <c r="E789" i="20"/>
  <c r="F789" i="20"/>
  <c r="G789" i="20"/>
  <c r="H789" i="20"/>
  <c r="I789" i="20"/>
  <c r="E790" i="20"/>
  <c r="F790" i="20"/>
  <c r="G790" i="20"/>
  <c r="H790" i="20"/>
  <c r="I790" i="20"/>
  <c r="E791" i="20"/>
  <c r="F791" i="20"/>
  <c r="G791" i="20"/>
  <c r="H791" i="20"/>
  <c r="I791" i="20"/>
  <c r="E792" i="20"/>
  <c r="F792" i="20"/>
  <c r="G792" i="20"/>
  <c r="H792" i="20"/>
  <c r="I792" i="20"/>
  <c r="E793" i="20"/>
  <c r="F793" i="20"/>
  <c r="G793" i="20"/>
  <c r="H793" i="20"/>
  <c r="I793" i="20"/>
  <c r="E794" i="20"/>
  <c r="F794" i="20"/>
  <c r="G794" i="20"/>
  <c r="H794" i="20"/>
  <c r="I794" i="20"/>
  <c r="E795" i="20"/>
  <c r="F795" i="20"/>
  <c r="G795" i="20"/>
  <c r="H795" i="20"/>
  <c r="I795" i="20"/>
  <c r="E796" i="20"/>
  <c r="F796" i="20"/>
  <c r="G796" i="20"/>
  <c r="H796" i="20"/>
  <c r="I796" i="20"/>
  <c r="E797" i="20"/>
  <c r="F797" i="20"/>
  <c r="G797" i="20"/>
  <c r="H797" i="20"/>
  <c r="I797" i="20"/>
  <c r="E798" i="20"/>
  <c r="F798" i="20"/>
  <c r="G798" i="20"/>
  <c r="H798" i="20"/>
  <c r="I798" i="20"/>
  <c r="E799" i="20"/>
  <c r="F799" i="20"/>
  <c r="G799" i="20"/>
  <c r="H799" i="20"/>
  <c r="I799" i="20"/>
  <c r="E800" i="20"/>
  <c r="F800" i="20"/>
  <c r="G800" i="20"/>
  <c r="H800" i="20"/>
  <c r="I800" i="20"/>
  <c r="E801" i="20"/>
  <c r="F801" i="20"/>
  <c r="G801" i="20"/>
  <c r="H801" i="20"/>
  <c r="I801" i="20"/>
  <c r="E802" i="20"/>
  <c r="F802" i="20"/>
  <c r="G802" i="20"/>
  <c r="H802" i="20"/>
  <c r="I802" i="20"/>
  <c r="E803" i="20"/>
  <c r="F803" i="20"/>
  <c r="G803" i="20"/>
  <c r="H803" i="20"/>
  <c r="I803" i="20"/>
  <c r="E804" i="20"/>
  <c r="F804" i="20"/>
  <c r="G804" i="20"/>
  <c r="H804" i="20"/>
  <c r="I804" i="20"/>
  <c r="E805" i="20"/>
  <c r="F805" i="20"/>
  <c r="G805" i="20"/>
  <c r="H805" i="20"/>
  <c r="I805" i="20"/>
  <c r="E806" i="20"/>
  <c r="F806" i="20"/>
  <c r="G806" i="20"/>
  <c r="H806" i="20"/>
  <c r="I806" i="20"/>
  <c r="E807" i="20"/>
  <c r="F807" i="20"/>
  <c r="G807" i="20"/>
  <c r="H807" i="20"/>
  <c r="I807" i="20"/>
  <c r="E808" i="20"/>
  <c r="F808" i="20"/>
  <c r="G808" i="20"/>
  <c r="H808" i="20"/>
  <c r="I808" i="20"/>
  <c r="E809" i="20"/>
  <c r="F809" i="20"/>
  <c r="G809" i="20"/>
  <c r="H809" i="20"/>
  <c r="I809" i="20"/>
  <c r="E810" i="20"/>
  <c r="F810" i="20"/>
  <c r="G810" i="20"/>
  <c r="H810" i="20"/>
  <c r="I810" i="20"/>
  <c r="E811" i="20"/>
  <c r="F811" i="20"/>
  <c r="G811" i="20"/>
  <c r="H811" i="20"/>
  <c r="I811" i="20"/>
  <c r="E812" i="20"/>
  <c r="F812" i="20"/>
  <c r="G812" i="20"/>
  <c r="H812" i="20"/>
  <c r="I812" i="20"/>
  <c r="E813" i="20"/>
  <c r="F813" i="20"/>
  <c r="G813" i="20"/>
  <c r="H813" i="20"/>
  <c r="I813" i="20"/>
  <c r="E814" i="20"/>
  <c r="F814" i="20"/>
  <c r="G814" i="20"/>
  <c r="H814" i="20"/>
  <c r="I814" i="20"/>
  <c r="E815" i="20"/>
  <c r="F815" i="20"/>
  <c r="G815" i="20"/>
  <c r="H815" i="20"/>
  <c r="I815" i="20"/>
  <c r="E816" i="20"/>
  <c r="F816" i="20"/>
  <c r="G816" i="20"/>
  <c r="H816" i="20"/>
  <c r="I816" i="20"/>
  <c r="E817" i="20"/>
  <c r="F817" i="20"/>
  <c r="G817" i="20"/>
  <c r="H817" i="20"/>
  <c r="I817" i="20"/>
  <c r="E818" i="20"/>
  <c r="F818" i="20"/>
  <c r="G818" i="20"/>
  <c r="H818" i="20"/>
  <c r="I818" i="20"/>
  <c r="E819" i="20"/>
  <c r="F819" i="20"/>
  <c r="G819" i="20"/>
  <c r="H819" i="20"/>
  <c r="I819" i="20"/>
  <c r="E820" i="20"/>
  <c r="F820" i="20"/>
  <c r="G820" i="20"/>
  <c r="H820" i="20"/>
  <c r="I820" i="20"/>
  <c r="E821" i="20"/>
  <c r="F821" i="20"/>
  <c r="G821" i="20"/>
  <c r="H821" i="20"/>
  <c r="I821" i="20"/>
  <c r="E822" i="20"/>
  <c r="F822" i="20"/>
  <c r="G822" i="20"/>
  <c r="H822" i="20"/>
  <c r="I822" i="20"/>
  <c r="E823" i="20"/>
  <c r="F823" i="20"/>
  <c r="G823" i="20"/>
  <c r="H823" i="20"/>
  <c r="I823" i="20"/>
  <c r="E824" i="20"/>
  <c r="F824" i="20"/>
  <c r="G824" i="20"/>
  <c r="H824" i="20"/>
  <c r="I824" i="20"/>
  <c r="E825" i="20"/>
  <c r="F825" i="20"/>
  <c r="G825" i="20"/>
  <c r="H825" i="20"/>
  <c r="I825" i="20"/>
  <c r="E826" i="20"/>
  <c r="F826" i="20"/>
  <c r="G826" i="20"/>
  <c r="H826" i="20"/>
  <c r="I826" i="20"/>
  <c r="E827" i="20"/>
  <c r="F827" i="20"/>
  <c r="G827" i="20"/>
  <c r="H827" i="20"/>
  <c r="I827" i="20"/>
  <c r="E828" i="20"/>
  <c r="F828" i="20"/>
  <c r="G828" i="20"/>
  <c r="H828" i="20"/>
  <c r="I828" i="20"/>
  <c r="E829" i="20"/>
  <c r="F829" i="20"/>
  <c r="G829" i="20"/>
  <c r="H829" i="20"/>
  <c r="I829" i="20"/>
  <c r="E830" i="20"/>
  <c r="F830" i="20"/>
  <c r="G830" i="20"/>
  <c r="H830" i="20"/>
  <c r="I830" i="20"/>
  <c r="E831" i="20"/>
  <c r="F831" i="20"/>
  <c r="G831" i="20"/>
  <c r="H831" i="20"/>
  <c r="I831" i="20"/>
  <c r="E832" i="20"/>
  <c r="F832" i="20"/>
  <c r="G832" i="20"/>
  <c r="H832" i="20"/>
  <c r="I832" i="20"/>
  <c r="E833" i="20"/>
  <c r="F833" i="20"/>
  <c r="G833" i="20"/>
  <c r="H833" i="20"/>
  <c r="I833" i="20"/>
  <c r="E834" i="20"/>
  <c r="F834" i="20"/>
  <c r="G834" i="20"/>
  <c r="H834" i="20"/>
  <c r="I834" i="20"/>
  <c r="E835" i="20"/>
  <c r="F835" i="20"/>
  <c r="G835" i="20"/>
  <c r="H835" i="20"/>
  <c r="I835" i="20"/>
  <c r="E836" i="20"/>
  <c r="F836" i="20"/>
  <c r="G836" i="20"/>
  <c r="H836" i="20"/>
  <c r="I836" i="20"/>
  <c r="E837" i="20"/>
  <c r="F837" i="20"/>
  <c r="H837" i="20"/>
  <c r="I837" i="20"/>
  <c r="E838" i="20"/>
  <c r="G838" i="20"/>
  <c r="I844" i="20"/>
  <c r="G845" i="20"/>
  <c r="E846" i="20"/>
  <c r="G846" i="20"/>
  <c r="I846" i="20"/>
  <c r="F847" i="20"/>
  <c r="H847" i="20"/>
  <c r="E848" i="20"/>
  <c r="F848" i="20"/>
  <c r="H848" i="20"/>
  <c r="E849" i="20"/>
  <c r="G849" i="20"/>
  <c r="I849" i="20"/>
  <c r="F850" i="20"/>
  <c r="H850" i="20"/>
  <c r="I850" i="20"/>
  <c r="F851" i="20"/>
  <c r="H851" i="20"/>
  <c r="I851" i="20"/>
  <c r="E852" i="20"/>
  <c r="G852" i="20"/>
  <c r="I852" i="20"/>
  <c r="F853" i="20"/>
  <c r="H853" i="20"/>
  <c r="I853" i="20"/>
  <c r="F854" i="20"/>
  <c r="H854" i="20"/>
  <c r="I854" i="20"/>
  <c r="H855" i="20"/>
  <c r="E856" i="20"/>
  <c r="G856" i="20"/>
  <c r="F857" i="20"/>
  <c r="G857" i="20"/>
  <c r="E858" i="20"/>
  <c r="G858" i="20"/>
  <c r="H858" i="20"/>
  <c r="E859" i="20"/>
  <c r="H859" i="20"/>
  <c r="E860" i="20"/>
  <c r="F860" i="20"/>
  <c r="H860" i="20"/>
  <c r="E861" i="20"/>
  <c r="G861" i="20"/>
  <c r="I861" i="20"/>
  <c r="E862" i="20"/>
  <c r="G862" i="20"/>
  <c r="I862" i="20"/>
  <c r="G863" i="20"/>
  <c r="H863" i="20"/>
  <c r="E864" i="20"/>
  <c r="F864" i="20"/>
  <c r="H864" i="20"/>
  <c r="E865" i="20"/>
  <c r="G912" i="20"/>
  <c r="F913" i="20"/>
  <c r="I913" i="20"/>
  <c r="G914" i="20"/>
  <c r="I914" i="20"/>
  <c r="G915" i="20"/>
  <c r="E916" i="20"/>
  <c r="H916" i="20"/>
  <c r="F917" i="20"/>
  <c r="I917" i="20"/>
  <c r="H918" i="20"/>
  <c r="E919" i="20"/>
  <c r="H919" i="20"/>
  <c r="G920" i="20"/>
  <c r="E921" i="20"/>
  <c r="G921" i="20"/>
  <c r="F922" i="20"/>
  <c r="I922" i="20"/>
  <c r="F923" i="20"/>
  <c r="E924" i="20"/>
  <c r="G924" i="20"/>
  <c r="F925" i="20"/>
  <c r="G925" i="20"/>
  <c r="F926" i="20"/>
  <c r="I926" i="20"/>
  <c r="G927" i="20"/>
  <c r="G928" i="20"/>
  <c r="E929" i="20"/>
  <c r="H929" i="20"/>
  <c r="G930" i="20"/>
  <c r="E931" i="20"/>
  <c r="I931" i="20"/>
  <c r="G932" i="20"/>
  <c r="G933" i="20"/>
  <c r="E934" i="20"/>
  <c r="H935" i="20"/>
  <c r="H936" i="20"/>
  <c r="H937" i="20"/>
  <c r="E939" i="20"/>
  <c r="H940" i="20"/>
  <c r="I942" i="20"/>
  <c r="H945" i="20"/>
  <c r="G947" i="20"/>
  <c r="H865" i="20"/>
  <c r="E866" i="20"/>
  <c r="F866" i="20"/>
  <c r="G866" i="20"/>
  <c r="I866" i="20"/>
  <c r="E867" i="20"/>
  <c r="G867" i="20"/>
  <c r="I867" i="20"/>
  <c r="E868" i="20"/>
  <c r="G868" i="20"/>
  <c r="I868" i="20"/>
  <c r="F869" i="20"/>
  <c r="G869" i="20"/>
  <c r="I869" i="20"/>
  <c r="E870" i="20"/>
  <c r="G870" i="20"/>
  <c r="H870" i="20"/>
  <c r="E871" i="20"/>
  <c r="F871" i="20"/>
  <c r="G871" i="20"/>
  <c r="I871" i="20"/>
  <c r="F872" i="20"/>
  <c r="G872" i="20"/>
  <c r="I872" i="20"/>
  <c r="E873" i="20"/>
  <c r="G873" i="20"/>
  <c r="H873" i="20"/>
  <c r="I873" i="20"/>
  <c r="F874" i="20"/>
  <c r="G874" i="20"/>
  <c r="H874" i="20"/>
  <c r="E875" i="20"/>
  <c r="G875" i="20"/>
  <c r="H875" i="20"/>
  <c r="E876" i="20"/>
  <c r="F876" i="20"/>
  <c r="G876" i="20"/>
  <c r="I876" i="20"/>
  <c r="E877" i="20"/>
  <c r="G877" i="20"/>
  <c r="E878" i="20"/>
  <c r="F878" i="20"/>
  <c r="H878" i="20"/>
  <c r="I878" i="20"/>
  <c r="E879" i="20"/>
  <c r="G879" i="20"/>
  <c r="I879" i="20"/>
  <c r="E880" i="20"/>
  <c r="F880" i="20"/>
  <c r="H880" i="20"/>
  <c r="I880" i="20"/>
  <c r="F881" i="20"/>
  <c r="H881" i="20"/>
  <c r="I881" i="20"/>
  <c r="F882" i="20"/>
  <c r="G882" i="20"/>
  <c r="I882" i="20"/>
  <c r="E883" i="20"/>
  <c r="G883" i="20"/>
  <c r="H883" i="20"/>
  <c r="E884" i="20"/>
  <c r="F884" i="20"/>
  <c r="H884" i="20"/>
  <c r="I884" i="20"/>
  <c r="E885" i="20"/>
  <c r="G885" i="20"/>
  <c r="I885" i="20"/>
  <c r="F886" i="20"/>
  <c r="G886" i="20"/>
  <c r="H886" i="20"/>
  <c r="E887" i="20"/>
  <c r="F887" i="20"/>
  <c r="G887" i="20"/>
  <c r="I887" i="20"/>
  <c r="E888" i="20"/>
  <c r="G888" i="20"/>
  <c r="H888" i="20"/>
  <c r="E889" i="20"/>
  <c r="F889" i="20"/>
  <c r="H889" i="20"/>
  <c r="I889" i="20"/>
  <c r="E890" i="20"/>
  <c r="G890" i="20"/>
  <c r="I890" i="20"/>
  <c r="F891" i="20"/>
  <c r="G891" i="20"/>
  <c r="I891" i="20"/>
  <c r="E892" i="20"/>
  <c r="G892" i="20"/>
  <c r="H892" i="20"/>
  <c r="E893" i="20"/>
  <c r="F893" i="20"/>
  <c r="H893" i="20"/>
  <c r="E894" i="20"/>
  <c r="F894" i="20"/>
  <c r="G894" i="20"/>
  <c r="I894" i="20"/>
  <c r="F895" i="20"/>
  <c r="G895" i="20"/>
  <c r="I895" i="20"/>
  <c r="F896" i="20"/>
  <c r="G896" i="20"/>
  <c r="I896" i="20"/>
  <c r="E897" i="20"/>
  <c r="G897" i="20"/>
  <c r="H897" i="20"/>
  <c r="E898" i="20"/>
  <c r="F898" i="20"/>
  <c r="H898" i="20"/>
  <c r="I898" i="20"/>
  <c r="F899" i="20"/>
  <c r="G899" i="20"/>
  <c r="I899" i="20"/>
  <c r="E900" i="20"/>
  <c r="G900" i="20"/>
  <c r="H900" i="20"/>
  <c r="E901" i="20"/>
  <c r="F901" i="20"/>
  <c r="H901" i="20"/>
  <c r="I901" i="20"/>
  <c r="E902" i="20"/>
  <c r="G902" i="20"/>
  <c r="I902" i="20"/>
  <c r="F903" i="20"/>
  <c r="G903" i="20"/>
  <c r="I903" i="20"/>
  <c r="E904" i="20"/>
  <c r="G904" i="20"/>
  <c r="H904" i="20"/>
  <c r="E905" i="20"/>
  <c r="G905" i="20"/>
  <c r="H905" i="20"/>
  <c r="E906" i="20"/>
  <c r="F906" i="20"/>
  <c r="G906" i="20"/>
  <c r="H906" i="20"/>
  <c r="E907" i="20"/>
  <c r="G907" i="20"/>
  <c r="H907" i="20"/>
  <c r="E908" i="20"/>
  <c r="F908" i="20"/>
  <c r="H908" i="20"/>
  <c r="I908" i="20"/>
  <c r="F909" i="20"/>
  <c r="G909" i="20"/>
  <c r="H909" i="20"/>
  <c r="I909" i="20"/>
  <c r="F910" i="20"/>
  <c r="H910" i="20"/>
  <c r="I910" i="20"/>
  <c r="F911" i="20"/>
  <c r="G911" i="20"/>
  <c r="I911" i="20"/>
  <c r="F912" i="20"/>
  <c r="H912" i="20"/>
  <c r="H913" i="20"/>
  <c r="E915" i="20"/>
  <c r="H915" i="20"/>
  <c r="F916" i="20"/>
  <c r="G917" i="20"/>
  <c r="I918" i="20"/>
  <c r="G919" i="20"/>
  <c r="F920" i="20"/>
  <c r="I921" i="20"/>
  <c r="H922" i="20"/>
  <c r="I923" i="20"/>
  <c r="E925" i="20"/>
  <c r="H925" i="20"/>
  <c r="H926" i="20"/>
  <c r="I927" i="20"/>
  <c r="F928" i="20"/>
  <c r="G929" i="20"/>
  <c r="I929" i="20"/>
  <c r="I930" i="20"/>
  <c r="G931" i="20"/>
  <c r="H932" i="20"/>
  <c r="H933" i="20"/>
  <c r="E935" i="20"/>
  <c r="G936" i="20"/>
  <c r="G944" i="20"/>
  <c r="F946" i="20"/>
  <c r="C334" i="20"/>
  <c r="C501" i="20"/>
  <c r="C502" i="20"/>
  <c r="C504" i="20"/>
  <c r="C505" i="20"/>
  <c r="C507" i="20"/>
  <c r="C508" i="20"/>
  <c r="C510" i="20"/>
  <c r="C511" i="20"/>
  <c r="C512" i="20"/>
  <c r="C514" i="20"/>
  <c r="C515" i="20"/>
  <c r="C517" i="20"/>
  <c r="C518" i="20"/>
  <c r="C520" i="20"/>
  <c r="C521" i="20"/>
  <c r="C523" i="20"/>
  <c r="C525" i="20"/>
  <c r="C527" i="20"/>
  <c r="C528" i="20"/>
  <c r="C530" i="20"/>
  <c r="C531" i="20"/>
  <c r="C532" i="20"/>
  <c r="C533" i="20"/>
  <c r="C535" i="20"/>
  <c r="C536" i="20"/>
  <c r="C538" i="20"/>
  <c r="C539" i="20"/>
  <c r="C541" i="20"/>
  <c r="C542" i="20"/>
  <c r="C544" i="20"/>
  <c r="C545" i="20"/>
  <c r="C547" i="20"/>
  <c r="C549" i="20"/>
  <c r="C551" i="20"/>
  <c r="C552" i="20"/>
  <c r="C554" i="20"/>
  <c r="C555" i="20"/>
  <c r="C557" i="20"/>
  <c r="C559" i="20"/>
  <c r="C560" i="20"/>
  <c r="C561" i="20"/>
  <c r="C563" i="20"/>
  <c r="C565" i="20"/>
  <c r="C566" i="20"/>
  <c r="C567" i="20"/>
  <c r="C569" i="20"/>
  <c r="C571" i="20"/>
  <c r="C572" i="20"/>
  <c r="C574" i="20"/>
  <c r="C575" i="20"/>
  <c r="C577" i="20"/>
  <c r="C578" i="20"/>
  <c r="C580" i="20"/>
  <c r="C581" i="20"/>
  <c r="C583" i="20"/>
  <c r="C584" i="20"/>
  <c r="C585" i="20"/>
  <c r="C587" i="20"/>
  <c r="C590" i="20"/>
  <c r="C592" i="20"/>
  <c r="C593" i="20"/>
  <c r="C595" i="20"/>
  <c r="C596" i="20"/>
  <c r="C597" i="20"/>
  <c r="C599" i="20"/>
  <c r="C600" i="20"/>
  <c r="C602" i="20"/>
  <c r="C603" i="20"/>
  <c r="C605" i="20"/>
  <c r="C606" i="20"/>
  <c r="C608" i="20"/>
  <c r="C609" i="20"/>
  <c r="C611" i="20"/>
  <c r="C612" i="20"/>
  <c r="C614" i="20"/>
  <c r="C615" i="20"/>
  <c r="C617" i="20"/>
  <c r="C618" i="20"/>
  <c r="C620" i="20"/>
  <c r="C622" i="20"/>
  <c r="C623" i="20"/>
  <c r="C625" i="20"/>
  <c r="C627" i="20"/>
  <c r="C628" i="20"/>
  <c r="C630" i="20"/>
  <c r="C631" i="20"/>
  <c r="C632" i="20"/>
  <c r="C635" i="20"/>
  <c r="C636" i="20"/>
  <c r="C638" i="20"/>
  <c r="C639" i="20"/>
  <c r="C640" i="20"/>
  <c r="C642" i="20"/>
  <c r="C643" i="20"/>
  <c r="C645" i="20"/>
  <c r="C646" i="20"/>
  <c r="C648" i="20"/>
  <c r="C649" i="20"/>
  <c r="C650" i="20"/>
  <c r="C652" i="20"/>
  <c r="C653" i="20"/>
  <c r="C655" i="20"/>
  <c r="C657" i="20"/>
  <c r="C658" i="20"/>
  <c r="C660" i="20"/>
  <c r="C661" i="20"/>
  <c r="C663" i="20"/>
  <c r="C665" i="20"/>
  <c r="C92" i="20"/>
  <c r="C96" i="20"/>
  <c r="C98" i="20"/>
  <c r="C105" i="20"/>
  <c r="C109" i="20"/>
  <c r="C110" i="20"/>
  <c r="C112" i="20"/>
  <c r="C116" i="20"/>
  <c r="C118" i="20"/>
  <c r="C121" i="20"/>
  <c r="C124" i="20"/>
  <c r="C126" i="20"/>
  <c r="C127" i="20"/>
  <c r="C131" i="20"/>
  <c r="C132" i="20"/>
  <c r="C133" i="20"/>
  <c r="C136" i="20"/>
  <c r="C142" i="20"/>
  <c r="C144" i="20"/>
  <c r="C147" i="20"/>
  <c r="C148" i="20"/>
  <c r="C150" i="20"/>
  <c r="C151" i="20"/>
  <c r="C155" i="20"/>
  <c r="C156" i="20"/>
  <c r="C161" i="20"/>
  <c r="C165" i="20"/>
  <c r="C172" i="20"/>
  <c r="C174" i="20"/>
  <c r="C175" i="20"/>
  <c r="C178" i="20"/>
  <c r="C181" i="20"/>
  <c r="C184" i="20"/>
  <c r="C185" i="20"/>
  <c r="C186" i="20"/>
  <c r="C188" i="20"/>
  <c r="C191" i="20"/>
  <c r="C195" i="20"/>
  <c r="C196" i="20"/>
  <c r="C200" i="20"/>
  <c r="C203" i="20"/>
  <c r="C205" i="20"/>
  <c r="C210" i="20"/>
  <c r="C211" i="20"/>
  <c r="C213" i="20"/>
  <c r="C214" i="20"/>
  <c r="C215" i="20"/>
  <c r="C217" i="20"/>
  <c r="C219" i="20"/>
  <c r="C221" i="20"/>
  <c r="C224" i="20"/>
  <c r="C225" i="20"/>
  <c r="C230" i="20"/>
  <c r="C232" i="20"/>
  <c r="C233" i="20"/>
  <c r="C236" i="20"/>
  <c r="C238" i="20"/>
  <c r="C240" i="20"/>
  <c r="C241" i="20"/>
  <c r="C246" i="20"/>
  <c r="C248" i="20"/>
  <c r="C251" i="20"/>
  <c r="C252" i="20"/>
  <c r="C257" i="20"/>
  <c r="C260" i="20"/>
  <c r="C263" i="20"/>
  <c r="C265" i="20"/>
  <c r="C268" i="20"/>
  <c r="C271" i="20"/>
  <c r="C276" i="20"/>
  <c r="C279" i="20"/>
  <c r="C283" i="20"/>
  <c r="C284" i="20"/>
  <c r="C287" i="20"/>
  <c r="C288" i="20"/>
  <c r="C292" i="20"/>
  <c r="C293" i="20"/>
  <c r="C295" i="20"/>
  <c r="C297" i="20"/>
  <c r="C299" i="20"/>
  <c r="C303" i="20"/>
  <c r="C307" i="20"/>
  <c r="C309" i="20"/>
  <c r="C313" i="20"/>
  <c r="C315" i="20"/>
  <c r="C316" i="20"/>
  <c r="C319" i="20"/>
  <c r="C321" i="20"/>
  <c r="C325" i="20"/>
  <c r="C327" i="20"/>
  <c r="C331" i="20"/>
  <c r="C332" i="20"/>
  <c r="C335" i="20"/>
  <c r="C338" i="20"/>
  <c r="C341" i="20"/>
  <c r="C344" i="20"/>
  <c r="C347" i="20"/>
  <c r="C348" i="20"/>
  <c r="C349" i="20"/>
  <c r="C351" i="20"/>
  <c r="C356" i="20"/>
  <c r="C360" i="20"/>
  <c r="C361" i="20"/>
  <c r="C365" i="20"/>
  <c r="C367" i="20"/>
  <c r="C371" i="20"/>
  <c r="C372" i="20"/>
  <c r="C375" i="20"/>
  <c r="C376" i="20"/>
  <c r="C377" i="20"/>
  <c r="C378" i="20"/>
  <c r="C379" i="20"/>
  <c r="C382" i="20"/>
  <c r="C406" i="20"/>
  <c r="C408" i="20"/>
  <c r="C409" i="20"/>
  <c r="C411" i="20"/>
  <c r="C413" i="20"/>
  <c r="C416" i="20"/>
  <c r="C418" i="20"/>
  <c r="C421" i="20"/>
  <c r="C423" i="20"/>
  <c r="C428" i="20"/>
  <c r="C429" i="20"/>
  <c r="C431" i="20"/>
  <c r="C438" i="20"/>
  <c r="C442" i="20"/>
  <c r="C445" i="20"/>
  <c r="C449" i="20"/>
  <c r="C456" i="20"/>
  <c r="C458" i="20"/>
  <c r="C460" i="20"/>
  <c r="C462" i="20"/>
  <c r="C466" i="20"/>
  <c r="C467" i="20"/>
  <c r="C470" i="20"/>
  <c r="C473" i="20"/>
  <c r="C478" i="20"/>
  <c r="C481" i="20"/>
  <c r="C485" i="20"/>
  <c r="C487" i="20"/>
  <c r="C488" i="20"/>
  <c r="C490" i="20"/>
  <c r="C495" i="20"/>
  <c r="C496" i="20"/>
  <c r="C498" i="20"/>
  <c r="C666" i="20"/>
  <c r="C667" i="20"/>
  <c r="C669" i="20"/>
  <c r="C670" i="20"/>
  <c r="C672" i="20"/>
  <c r="C673" i="20"/>
  <c r="C675" i="20"/>
  <c r="C677" i="20"/>
  <c r="C678" i="20"/>
  <c r="C680" i="20"/>
  <c r="C681" i="20"/>
  <c r="C682" i="20"/>
  <c r="C684" i="20"/>
  <c r="C685" i="20"/>
  <c r="C687" i="20"/>
  <c r="C689" i="20"/>
  <c r="C690" i="20"/>
  <c r="C692" i="20"/>
  <c r="C694" i="20"/>
  <c r="C695" i="20"/>
  <c r="C697" i="20"/>
  <c r="C698" i="20"/>
  <c r="C700" i="20"/>
  <c r="C702" i="20"/>
  <c r="C703" i="20"/>
  <c r="C704" i="20"/>
  <c r="C706" i="20"/>
  <c r="C707" i="20"/>
  <c r="C709" i="20"/>
  <c r="C711" i="20"/>
  <c r="C712" i="20"/>
  <c r="C714" i="20"/>
  <c r="C715" i="20"/>
  <c r="C717" i="20"/>
  <c r="C718" i="20"/>
  <c r="C720" i="20"/>
  <c r="C722" i="20"/>
  <c r="C723" i="20"/>
  <c r="C724" i="20"/>
  <c r="C725" i="20"/>
  <c r="C727" i="20"/>
  <c r="C728" i="20"/>
  <c r="C730" i="20"/>
  <c r="C731" i="20"/>
  <c r="C733" i="20"/>
  <c r="C735" i="20"/>
  <c r="C736" i="20"/>
  <c r="C738" i="20"/>
  <c r="C739" i="20"/>
  <c r="C741" i="20"/>
  <c r="C742" i="20"/>
  <c r="C744" i="20"/>
  <c r="C745" i="20"/>
  <c r="C747" i="20"/>
  <c r="C748" i="20"/>
  <c r="C750" i="20"/>
  <c r="C751" i="20"/>
  <c r="C753" i="20"/>
  <c r="C754" i="20"/>
  <c r="C756" i="20"/>
  <c r="C757" i="20"/>
  <c r="C759" i="20"/>
  <c r="C760" i="20"/>
  <c r="C762" i="20"/>
  <c r="C763" i="20"/>
  <c r="C765" i="20"/>
  <c r="C766" i="20"/>
  <c r="C767" i="20"/>
  <c r="C770" i="20"/>
  <c r="C771" i="20"/>
  <c r="C773" i="20"/>
  <c r="C775" i="20"/>
  <c r="C777" i="20"/>
  <c r="C778" i="20"/>
  <c r="C779" i="20"/>
  <c r="C781" i="20"/>
  <c r="C782" i="20"/>
  <c r="C784" i="20"/>
  <c r="C786" i="20"/>
  <c r="C787" i="20"/>
  <c r="C789" i="20"/>
  <c r="C790" i="20"/>
  <c r="C792" i="20"/>
  <c r="C794" i="20"/>
  <c r="C795" i="20"/>
  <c r="C797" i="20"/>
  <c r="C799" i="20"/>
  <c r="C800" i="20"/>
  <c r="C802" i="20"/>
  <c r="C803" i="20"/>
  <c r="C805" i="20"/>
  <c r="C807" i="20"/>
  <c r="C808" i="20"/>
  <c r="C810" i="20"/>
  <c r="C812" i="20"/>
  <c r="C814" i="20"/>
  <c r="C815" i="20"/>
  <c r="C817" i="20"/>
  <c r="C818" i="20"/>
  <c r="C820" i="20"/>
  <c r="C821" i="20"/>
  <c r="C823" i="20"/>
  <c r="C825" i="20"/>
  <c r="C827" i="20"/>
  <c r="C829" i="20"/>
  <c r="C830" i="20"/>
  <c r="C831" i="20"/>
  <c r="C104" i="20"/>
  <c r="C114" i="20"/>
  <c r="C202" i="20"/>
  <c r="C208" i="20"/>
  <c r="C229" i="20"/>
  <c r="C250" i="20"/>
  <c r="C269" i="20"/>
  <c r="C306" i="20"/>
  <c r="C312" i="20"/>
  <c r="C359" i="20"/>
  <c r="C368" i="20"/>
  <c r="C383" i="20"/>
  <c r="C400" i="20"/>
  <c r="C433" i="20"/>
  <c r="C447" i="20"/>
  <c r="C454" i="20"/>
  <c r="C493" i="20"/>
  <c r="C832" i="20"/>
  <c r="C834" i="20"/>
  <c r="C835" i="20"/>
  <c r="C837" i="20"/>
  <c r="C838" i="20"/>
  <c r="C840" i="20"/>
  <c r="C841" i="20"/>
  <c r="C843" i="20"/>
  <c r="C844" i="20"/>
  <c r="C847" i="20"/>
  <c r="C848" i="20"/>
  <c r="C850" i="20"/>
  <c r="C851" i="20"/>
  <c r="C853" i="20"/>
  <c r="C854" i="20"/>
  <c r="C856" i="20"/>
  <c r="C857" i="20"/>
  <c r="C858" i="20"/>
  <c r="C860" i="20"/>
  <c r="C861" i="20"/>
  <c r="C863" i="20"/>
  <c r="C864" i="20"/>
  <c r="C865" i="20"/>
  <c r="C867" i="20"/>
  <c r="C869" i="20"/>
  <c r="C870" i="20"/>
  <c r="C872" i="20"/>
  <c r="C874" i="20"/>
  <c r="C876" i="20"/>
  <c r="C877" i="20"/>
  <c r="C879" i="20"/>
  <c r="C881" i="20"/>
  <c r="C883" i="20"/>
  <c r="C884" i="20"/>
  <c r="C886" i="20"/>
  <c r="C887" i="20"/>
  <c r="C888" i="20"/>
  <c r="C890" i="20"/>
  <c r="C891" i="20"/>
  <c r="C893" i="20"/>
  <c r="C894" i="20"/>
  <c r="C896" i="20"/>
  <c r="C897" i="20"/>
  <c r="C898" i="20"/>
  <c r="C899" i="20"/>
  <c r="C900" i="20"/>
  <c r="C901" i="20"/>
  <c r="C902" i="20"/>
  <c r="C903" i="20"/>
  <c r="C904" i="20"/>
  <c r="C905" i="20"/>
  <c r="C906" i="20"/>
  <c r="C907" i="20"/>
  <c r="C908" i="20"/>
  <c r="C909" i="20"/>
  <c r="C910" i="20"/>
  <c r="C911" i="20"/>
  <c r="C912" i="20"/>
  <c r="C913" i="20"/>
  <c r="C914" i="20"/>
  <c r="C915" i="20"/>
  <c r="C916" i="20"/>
  <c r="C917" i="20"/>
  <c r="C918" i="20"/>
  <c r="C919" i="20"/>
  <c r="C920" i="20"/>
  <c r="C921" i="20"/>
  <c r="C922" i="20"/>
  <c r="C923" i="20"/>
  <c r="C924" i="20"/>
  <c r="C925" i="20"/>
  <c r="C926" i="20"/>
  <c r="C927" i="20"/>
  <c r="C928" i="20"/>
  <c r="C929" i="20"/>
  <c r="C930" i="20"/>
  <c r="C931" i="20"/>
  <c r="C932" i="20"/>
  <c r="C933" i="20"/>
  <c r="C934" i="20"/>
  <c r="C935" i="20"/>
  <c r="C936" i="20"/>
  <c r="C937" i="20"/>
  <c r="C938" i="20"/>
  <c r="C939" i="20"/>
  <c r="C940" i="20"/>
  <c r="C941" i="20"/>
  <c r="C942" i="20"/>
  <c r="C943" i="20"/>
  <c r="C944" i="20"/>
  <c r="C945" i="20"/>
  <c r="C946" i="20"/>
  <c r="C947" i="20"/>
  <c r="C91" i="20"/>
  <c r="C122" i="20"/>
  <c r="C141" i="20"/>
  <c r="C169" i="20"/>
  <c r="C218" i="20"/>
  <c r="C245" i="20"/>
  <c r="C262" i="20"/>
  <c r="C275" i="20"/>
  <c r="C286" i="20"/>
  <c r="C294" i="20"/>
  <c r="C298" i="20"/>
  <c r="C322" i="20"/>
  <c r="C328" i="20"/>
  <c r="C337" i="20"/>
  <c r="C362" i="20"/>
  <c r="C398" i="20"/>
  <c r="C417" i="20"/>
  <c r="C479" i="20"/>
  <c r="C494" i="20"/>
  <c r="C89" i="20"/>
  <c r="C95" i="20"/>
  <c r="C99" i="20"/>
  <c r="C102" i="20"/>
  <c r="C123" i="20"/>
  <c r="C138" i="20"/>
  <c r="C143" i="20"/>
  <c r="C171" i="20"/>
  <c r="C194" i="20"/>
  <c r="C247" i="20"/>
  <c r="C253" i="20"/>
  <c r="C267" i="20"/>
  <c r="C280" i="20"/>
  <c r="C291" i="20"/>
  <c r="C302" i="20"/>
  <c r="C311" i="20"/>
  <c r="C320" i="20"/>
  <c r="C330" i="20"/>
  <c r="C340" i="20"/>
  <c r="C345" i="20"/>
  <c r="C357" i="20"/>
  <c r="C390" i="20"/>
  <c r="C403" i="20"/>
  <c r="C3" i="20"/>
  <c r="C5" i="20"/>
  <c r="C6" i="20"/>
  <c r="C8" i="20"/>
  <c r="C10" i="20"/>
  <c r="C12" i="20"/>
  <c r="C15" i="20"/>
  <c r="C17" i="20"/>
  <c r="C19" i="20"/>
  <c r="C21" i="20"/>
  <c r="C23" i="20"/>
  <c r="C27" i="20"/>
  <c r="C29" i="20"/>
  <c r="C31" i="20"/>
  <c r="C35" i="20"/>
  <c r="C37" i="20"/>
  <c r="C39" i="20"/>
  <c r="C42" i="20"/>
  <c r="C46" i="20"/>
  <c r="C50" i="20"/>
  <c r="C54" i="20"/>
  <c r="C56" i="20"/>
  <c r="C59" i="20"/>
  <c r="C61" i="20"/>
  <c r="C63" i="20"/>
  <c r="C68" i="20"/>
  <c r="C72" i="20"/>
  <c r="C74" i="20"/>
  <c r="C77" i="20"/>
  <c r="C80" i="20"/>
  <c r="C84" i="20"/>
  <c r="C87" i="20"/>
  <c r="C103" i="20"/>
  <c r="C115" i="20"/>
  <c r="C117" i="20"/>
  <c r="C130" i="20"/>
  <c r="C145" i="20"/>
  <c r="C154" i="20"/>
  <c r="C160" i="20"/>
  <c r="C163" i="20"/>
  <c r="C176" i="20"/>
  <c r="C183" i="20"/>
  <c r="C190" i="20"/>
  <c r="C207" i="20"/>
  <c r="C227" i="20"/>
  <c r="C259" i="20"/>
  <c r="C272" i="20"/>
  <c r="C301" i="20"/>
  <c r="C323" i="20"/>
  <c r="C353" i="20"/>
  <c r="C366" i="20"/>
  <c r="C385" i="20"/>
  <c r="C387" i="20"/>
  <c r="C392" i="20"/>
  <c r="C394" i="20"/>
  <c r="C399" i="20"/>
  <c r="C401" i="20"/>
  <c r="C404" i="20"/>
  <c r="C422" i="20"/>
  <c r="C432" i="20"/>
  <c r="C436" i="20"/>
  <c r="C446" i="20"/>
  <c r="C448" i="20"/>
  <c r="C455" i="20"/>
  <c r="C457" i="20"/>
  <c r="C469" i="20"/>
  <c r="C474" i="20"/>
  <c r="C491" i="20"/>
  <c r="C499" i="20"/>
  <c r="C4" i="20"/>
  <c r="C7" i="20"/>
  <c r="C11" i="20"/>
  <c r="C13" i="20"/>
  <c r="C14" i="20"/>
  <c r="C18" i="20"/>
  <c r="C22" i="20"/>
  <c r="C26" i="20"/>
  <c r="C28" i="20"/>
  <c r="C32" i="20"/>
  <c r="C34" i="20"/>
  <c r="C38" i="20"/>
  <c r="C41" i="20"/>
  <c r="C45" i="20"/>
  <c r="C47" i="20"/>
  <c r="C51" i="20"/>
  <c r="C53" i="20"/>
  <c r="C57" i="20"/>
  <c r="C60" i="20"/>
  <c r="C64" i="20"/>
  <c r="C66" i="20"/>
  <c r="C69" i="20"/>
  <c r="C71" i="20"/>
  <c r="C75" i="20"/>
  <c r="C78" i="20"/>
  <c r="C83" i="20"/>
  <c r="C85" i="20"/>
  <c r="C90" i="20"/>
  <c r="C93" i="20"/>
  <c r="C106" i="20"/>
  <c r="C119" i="20"/>
  <c r="C134" i="20"/>
  <c r="C153" i="20"/>
  <c r="C159" i="20"/>
  <c r="C166" i="20"/>
  <c r="C167" i="20"/>
  <c r="C192" i="20"/>
  <c r="C204" i="20"/>
  <c r="C222" i="20"/>
  <c r="C226" i="20"/>
  <c r="C235" i="20"/>
  <c r="C243" i="20"/>
  <c r="C261" i="20"/>
  <c r="C274" i="20"/>
  <c r="C282" i="20"/>
  <c r="C304" i="20"/>
  <c r="C318" i="20"/>
  <c r="C352" i="20"/>
  <c r="C364" i="20"/>
  <c r="C370" i="20"/>
  <c r="C384" i="20"/>
  <c r="C388" i="20"/>
  <c r="C393" i="20"/>
  <c r="C397" i="20"/>
  <c r="C402" i="20"/>
  <c r="C419" i="20"/>
  <c r="C427" i="20"/>
  <c r="C434" i="20"/>
  <c r="C443" i="20"/>
  <c r="C453" i="20"/>
  <c r="C472" i="20"/>
  <c r="C475" i="20"/>
  <c r="F70" i="20"/>
  <c r="H70" i="20"/>
  <c r="E71" i="20"/>
  <c r="E72" i="20"/>
  <c r="I72" i="20"/>
  <c r="F73" i="20"/>
  <c r="H73" i="20"/>
  <c r="I73" i="20"/>
  <c r="I74" i="20"/>
  <c r="F75" i="20"/>
  <c r="H75" i="20"/>
  <c r="E76" i="20"/>
  <c r="G76" i="20"/>
  <c r="I76" i="20"/>
  <c r="F77" i="20"/>
  <c r="H77" i="20"/>
  <c r="E78" i="20"/>
  <c r="H78" i="20"/>
  <c r="E79" i="20"/>
  <c r="I79" i="20"/>
  <c r="F80" i="20"/>
  <c r="F81" i="20"/>
  <c r="H81" i="20"/>
  <c r="E82" i="20"/>
  <c r="G82" i="20"/>
  <c r="I82" i="20"/>
  <c r="F83" i="20"/>
  <c r="H83" i="20"/>
  <c r="F84" i="20"/>
  <c r="H84" i="20"/>
  <c r="E85" i="20"/>
  <c r="G85" i="20"/>
  <c r="E86" i="20"/>
  <c r="G86" i="20"/>
  <c r="D65" i="20"/>
  <c r="D69" i="20"/>
  <c r="D71" i="20"/>
  <c r="D73" i="20"/>
  <c r="D75" i="20"/>
  <c r="D78" i="20"/>
  <c r="D80" i="20"/>
  <c r="D82" i="20"/>
  <c r="D84" i="20"/>
  <c r="D86" i="20"/>
  <c r="D88" i="20"/>
  <c r="D90" i="20"/>
  <c r="D92" i="20"/>
  <c r="D94" i="20"/>
  <c r="D96" i="20"/>
  <c r="D98" i="20"/>
  <c r="D100" i="20"/>
  <c r="D103" i="20"/>
  <c r="D107" i="20"/>
  <c r="D110" i="20"/>
  <c r="D112" i="20"/>
  <c r="D114" i="20"/>
  <c r="D116" i="20"/>
  <c r="D118" i="20"/>
  <c r="D120" i="20"/>
  <c r="D122" i="20"/>
  <c r="D124" i="20"/>
  <c r="D127" i="20"/>
  <c r="D128" i="20"/>
  <c r="D130" i="20"/>
  <c r="D132" i="20"/>
  <c r="D134" i="20"/>
  <c r="D135" i="20"/>
  <c r="D139" i="20"/>
  <c r="D142" i="20"/>
  <c r="D144" i="20"/>
  <c r="D146" i="20"/>
  <c r="D148" i="20"/>
  <c r="D150" i="20"/>
  <c r="D153" i="20"/>
  <c r="D155" i="20"/>
  <c r="D157" i="20"/>
  <c r="D158" i="20"/>
  <c r="D160" i="20"/>
  <c r="D162" i="20"/>
  <c r="D164" i="20"/>
  <c r="D166" i="20"/>
  <c r="D168" i="20"/>
  <c r="D170" i="20"/>
  <c r="D172" i="20"/>
  <c r="D174" i="20"/>
  <c r="D176" i="20"/>
  <c r="D178" i="20"/>
  <c r="D181" i="20"/>
  <c r="D183" i="20"/>
  <c r="D185" i="20"/>
  <c r="D187" i="20"/>
  <c r="D189" i="20"/>
  <c r="D191" i="20"/>
  <c r="D193" i="20"/>
  <c r="D196" i="20"/>
  <c r="D200" i="20"/>
  <c r="D203" i="20"/>
  <c r="D206" i="20"/>
  <c r="D208" i="20"/>
  <c r="D211" i="20"/>
  <c r="D213" i="20"/>
  <c r="D215" i="20"/>
  <c r="D216" i="20"/>
  <c r="D218" i="20"/>
  <c r="D220" i="20"/>
  <c r="D221" i="20"/>
  <c r="D222" i="20"/>
  <c r="D224" i="20"/>
  <c r="D226" i="20"/>
  <c r="D228" i="20"/>
  <c r="D230" i="20"/>
  <c r="D232" i="20"/>
  <c r="D234" i="20"/>
  <c r="D236" i="20"/>
  <c r="D237" i="20"/>
  <c r="D239" i="20"/>
  <c r="D240" i="20"/>
  <c r="D243" i="20"/>
  <c r="D246" i="20"/>
  <c r="D247" i="20"/>
  <c r="D249" i="20"/>
  <c r="D250" i="20"/>
  <c r="D252" i="20"/>
  <c r="D254" i="20"/>
  <c r="D256" i="20"/>
  <c r="D258" i="20"/>
  <c r="D260" i="20"/>
  <c r="D264" i="20"/>
  <c r="D266" i="20"/>
  <c r="D271" i="20"/>
  <c r="D273" i="20"/>
  <c r="D275" i="20"/>
  <c r="D278" i="20"/>
  <c r="D281" i="20"/>
  <c r="D284" i="20"/>
  <c r="D286" i="20"/>
  <c r="D287" i="20"/>
  <c r="D289" i="20"/>
  <c r="D291" i="20"/>
  <c r="D293" i="20"/>
  <c r="D295" i="20"/>
  <c r="D297" i="20"/>
  <c r="D299" i="20"/>
  <c r="D303" i="20"/>
  <c r="D306" i="20"/>
  <c r="D308" i="20"/>
  <c r="D310" i="20"/>
  <c r="D312" i="20"/>
  <c r="D315" i="20"/>
  <c r="D317" i="20"/>
  <c r="D319" i="20"/>
  <c r="D322" i="20"/>
  <c r="D323" i="20"/>
  <c r="D326" i="20"/>
  <c r="D330" i="20"/>
  <c r="D332" i="20"/>
  <c r="D334" i="20"/>
  <c r="D336" i="20"/>
  <c r="D338" i="20"/>
  <c r="D339" i="20"/>
  <c r="D341" i="20"/>
  <c r="D343" i="20"/>
  <c r="D345" i="20"/>
  <c r="D347" i="20"/>
  <c r="D350" i="20"/>
  <c r="D352" i="20"/>
  <c r="D354" i="20"/>
  <c r="D356" i="20"/>
  <c r="D357" i="20"/>
  <c r="D359" i="20"/>
  <c r="D361" i="20"/>
  <c r="D363" i="20"/>
  <c r="D366" i="20"/>
  <c r="D367" i="20"/>
  <c r="D370" i="20"/>
  <c r="D373" i="20"/>
  <c r="D374" i="20"/>
  <c r="D376" i="20"/>
  <c r="D380" i="20"/>
  <c r="D382" i="20"/>
  <c r="D384" i="20"/>
  <c r="D386" i="20"/>
  <c r="D391" i="20"/>
  <c r="D393" i="20"/>
  <c r="D395" i="20"/>
  <c r="D398" i="20"/>
  <c r="D401" i="20"/>
  <c r="D404" i="20"/>
  <c r="D408" i="20"/>
  <c r="D411" i="20"/>
  <c r="D412" i="20"/>
  <c r="D414" i="20"/>
  <c r="D416" i="20"/>
  <c r="D418" i="20"/>
  <c r="D419" i="20"/>
  <c r="D420" i="20"/>
  <c r="D421" i="20"/>
  <c r="D424" i="20"/>
  <c r="D426" i="20"/>
  <c r="D431" i="20"/>
  <c r="D433" i="20"/>
  <c r="D435" i="20"/>
  <c r="D436" i="20"/>
  <c r="D438" i="20"/>
  <c r="D440" i="20"/>
  <c r="D443" i="20"/>
  <c r="D444" i="20"/>
  <c r="D448" i="20"/>
  <c r="D450" i="20"/>
  <c r="D452" i="20"/>
  <c r="D455" i="20"/>
  <c r="D457" i="20"/>
  <c r="D459" i="20"/>
  <c r="D462" i="20"/>
  <c r="D464" i="20"/>
  <c r="D466" i="20"/>
  <c r="D468" i="20"/>
  <c r="D470" i="20"/>
  <c r="D472" i="20"/>
  <c r="D475" i="20"/>
  <c r="D478" i="20"/>
  <c r="D480" i="20"/>
  <c r="D481" i="20"/>
  <c r="D483" i="20"/>
  <c r="D485" i="20"/>
  <c r="D487" i="20"/>
  <c r="D488" i="20"/>
  <c r="D491" i="20"/>
  <c r="D496" i="20"/>
  <c r="D499" i="20"/>
  <c r="D501" i="20"/>
  <c r="D503" i="20"/>
  <c r="D505" i="20"/>
  <c r="D508" i="20"/>
  <c r="D510" i="20"/>
  <c r="D512" i="20"/>
  <c r="D514" i="20"/>
  <c r="D516" i="20"/>
  <c r="D518" i="20"/>
  <c r="D520" i="20"/>
  <c r="D521" i="20"/>
  <c r="D523" i="20"/>
  <c r="D525" i="20"/>
  <c r="D526" i="20"/>
  <c r="D528" i="20"/>
  <c r="D530" i="20"/>
  <c r="D532" i="20"/>
  <c r="D534" i="20"/>
  <c r="D536" i="20"/>
  <c r="D539" i="20"/>
  <c r="D542" i="20"/>
  <c r="D545" i="20"/>
  <c r="D547" i="20"/>
  <c r="D550" i="20"/>
  <c r="D553" i="20"/>
  <c r="D555" i="20"/>
  <c r="D556" i="20"/>
  <c r="E101" i="20"/>
  <c r="H101" i="20"/>
  <c r="F102" i="20"/>
  <c r="G102" i="20"/>
  <c r="I102" i="20"/>
  <c r="F103" i="20"/>
  <c r="I103" i="20"/>
  <c r="F104" i="20"/>
  <c r="E105" i="20"/>
  <c r="G105" i="20"/>
  <c r="I105" i="20"/>
  <c r="H106" i="20"/>
  <c r="E107" i="20"/>
  <c r="G107" i="20"/>
  <c r="I107" i="20"/>
  <c r="G108" i="20"/>
  <c r="F109" i="20"/>
  <c r="H109" i="20"/>
  <c r="E110" i="20"/>
  <c r="H110" i="20"/>
  <c r="F111" i="20"/>
  <c r="G111" i="20"/>
  <c r="I111" i="20"/>
  <c r="F112" i="20"/>
  <c r="H112" i="20"/>
  <c r="I112" i="20"/>
  <c r="F113" i="20"/>
  <c r="H113" i="20"/>
  <c r="E114" i="20"/>
  <c r="H114" i="20"/>
  <c r="F115" i="20"/>
  <c r="H115" i="20"/>
  <c r="E116" i="20"/>
  <c r="H116" i="20"/>
  <c r="F117" i="20"/>
  <c r="H117" i="20"/>
  <c r="F118" i="20"/>
  <c r="E119" i="20"/>
  <c r="G119" i="20"/>
  <c r="E120" i="20"/>
  <c r="G120" i="20"/>
  <c r="E121" i="20"/>
  <c r="G121" i="20"/>
  <c r="I121" i="20"/>
  <c r="F122" i="20"/>
  <c r="H122" i="20"/>
  <c r="F123" i="20"/>
  <c r="H123" i="20"/>
  <c r="E124" i="20"/>
  <c r="G124" i="20"/>
  <c r="I124" i="20"/>
  <c r="F125" i="20"/>
  <c r="G125" i="20"/>
  <c r="E126" i="20"/>
  <c r="G126" i="20"/>
  <c r="I126" i="20"/>
  <c r="F127" i="20"/>
  <c r="H127" i="20"/>
  <c r="E128" i="20"/>
  <c r="G128" i="20"/>
  <c r="E129" i="20"/>
  <c r="G129" i="20"/>
  <c r="E130" i="20"/>
  <c r="G130" i="20"/>
  <c r="I130" i="20"/>
  <c r="F131" i="20"/>
  <c r="I131" i="20"/>
  <c r="F132" i="20"/>
  <c r="H132" i="20"/>
  <c r="G133" i="20"/>
  <c r="I133" i="20"/>
  <c r="F134" i="20"/>
  <c r="H134" i="20"/>
  <c r="E135" i="20"/>
  <c r="G135" i="20"/>
  <c r="I135" i="20"/>
  <c r="G136" i="20"/>
  <c r="I136" i="20"/>
  <c r="F137" i="20"/>
  <c r="H137" i="20"/>
  <c r="E138" i="20"/>
  <c r="G138" i="20"/>
  <c r="I138" i="20"/>
  <c r="F139" i="20"/>
  <c r="I139" i="20"/>
  <c r="F140" i="20"/>
  <c r="H140" i="20"/>
  <c r="F141" i="20"/>
  <c r="H141" i="20"/>
  <c r="E142" i="20"/>
  <c r="H142" i="20"/>
  <c r="F143" i="20"/>
  <c r="H143" i="20"/>
  <c r="E144" i="20"/>
  <c r="G144" i="20"/>
  <c r="I144" i="20"/>
  <c r="F145" i="20"/>
  <c r="H145" i="20"/>
  <c r="E146" i="20"/>
  <c r="G146" i="20"/>
  <c r="I146" i="20"/>
  <c r="F147" i="20"/>
  <c r="H147" i="20"/>
  <c r="I148" i="20"/>
  <c r="F149" i="20"/>
  <c r="I149" i="20"/>
  <c r="F150" i="20"/>
  <c r="G150" i="20"/>
  <c r="E151" i="20"/>
  <c r="G151" i="20"/>
  <c r="I151" i="20"/>
  <c r="F152" i="20"/>
  <c r="H152" i="20"/>
  <c r="F153" i="20"/>
  <c r="I153" i="20"/>
  <c r="F154" i="20"/>
  <c r="G154" i="20"/>
  <c r="I154" i="20"/>
  <c r="F155" i="20"/>
  <c r="H155" i="20"/>
  <c r="E156" i="20"/>
  <c r="G156" i="20"/>
  <c r="H156" i="20"/>
  <c r="F157" i="20"/>
  <c r="H157" i="20"/>
  <c r="E158" i="20"/>
  <c r="F158" i="20"/>
  <c r="H158" i="20"/>
  <c r="E159" i="20"/>
  <c r="H159" i="20"/>
  <c r="E160" i="20"/>
  <c r="G160" i="20"/>
  <c r="I160" i="20"/>
  <c r="E161" i="20"/>
  <c r="G161" i="20"/>
  <c r="I161" i="20"/>
  <c r="F162" i="20"/>
  <c r="G162" i="20"/>
  <c r="I162" i="20"/>
  <c r="H163" i="20"/>
  <c r="E164" i="20"/>
  <c r="E165" i="20"/>
  <c r="G165" i="20"/>
  <c r="F166" i="20"/>
  <c r="G166" i="20"/>
  <c r="I166" i="20"/>
  <c r="F167" i="20"/>
  <c r="H167" i="20"/>
  <c r="I167" i="20"/>
  <c r="F168" i="20"/>
  <c r="H168" i="20"/>
  <c r="G169" i="20"/>
  <c r="I169" i="20"/>
  <c r="F170" i="20"/>
  <c r="H170" i="20"/>
  <c r="G171" i="20"/>
  <c r="F172" i="20"/>
  <c r="H172" i="20"/>
  <c r="G173" i="20"/>
  <c r="I173" i="20"/>
  <c r="F174" i="20"/>
  <c r="H174" i="20"/>
  <c r="F175" i="20"/>
  <c r="H175" i="20"/>
  <c r="E176" i="20"/>
  <c r="G176" i="20"/>
  <c r="I176" i="20"/>
  <c r="H177" i="20"/>
  <c r="E178" i="20"/>
  <c r="G178" i="20"/>
  <c r="I178" i="20"/>
  <c r="F179" i="20"/>
  <c r="H179" i="20"/>
  <c r="E180" i="20"/>
  <c r="F181" i="20"/>
  <c r="G181" i="20"/>
  <c r="I181" i="20"/>
  <c r="E182" i="20"/>
  <c r="E183" i="20"/>
  <c r="F183" i="20"/>
  <c r="H183" i="20"/>
  <c r="E184" i="20"/>
  <c r="G184" i="20"/>
  <c r="I184" i="20"/>
  <c r="E185" i="20"/>
  <c r="G185" i="20"/>
  <c r="E186" i="20"/>
  <c r="G186" i="20"/>
  <c r="G187" i="20"/>
  <c r="I187" i="20"/>
  <c r="E188" i="20"/>
  <c r="G188" i="20"/>
  <c r="E189" i="20"/>
  <c r="G189" i="20"/>
  <c r="I189" i="20"/>
  <c r="F190" i="20"/>
  <c r="H190" i="20"/>
  <c r="E191" i="20"/>
  <c r="G191" i="20"/>
  <c r="I191" i="20"/>
  <c r="F192" i="20"/>
  <c r="H192" i="20"/>
  <c r="E193" i="20"/>
  <c r="H193" i="20"/>
  <c r="E194" i="20"/>
  <c r="F577" i="20"/>
  <c r="E663" i="20"/>
  <c r="H664" i="20"/>
  <c r="F667" i="20"/>
  <c r="F673" i="20"/>
  <c r="F935" i="20"/>
  <c r="G937" i="20"/>
  <c r="I938" i="20"/>
  <c r="F941" i="20"/>
  <c r="H942" i="20"/>
  <c r="E945" i="20"/>
  <c r="G194" i="20"/>
  <c r="I194" i="20"/>
  <c r="E195" i="20"/>
  <c r="H195" i="20"/>
  <c r="G196" i="20"/>
  <c r="H196" i="20"/>
  <c r="E197" i="20"/>
  <c r="H197" i="20"/>
  <c r="E198" i="20"/>
  <c r="F198" i="20"/>
  <c r="H198" i="20"/>
  <c r="E199" i="20"/>
  <c r="G199" i="20"/>
  <c r="I199" i="20"/>
  <c r="E200" i="20"/>
  <c r="G200" i="20"/>
  <c r="I200" i="20"/>
  <c r="H201" i="20"/>
  <c r="E202" i="20"/>
  <c r="G202" i="20"/>
  <c r="I202" i="20"/>
  <c r="G203" i="20"/>
  <c r="H203" i="20"/>
  <c r="E204" i="20"/>
  <c r="G204" i="20"/>
  <c r="I204" i="20"/>
  <c r="F205" i="20"/>
  <c r="G205" i="20"/>
  <c r="I205" i="20"/>
  <c r="F206" i="20"/>
  <c r="I206" i="20"/>
  <c r="F207" i="20"/>
  <c r="H207" i="20"/>
  <c r="E208" i="20"/>
  <c r="G208" i="20"/>
  <c r="I208" i="20"/>
  <c r="F209" i="20"/>
  <c r="H209" i="20"/>
  <c r="E210" i="20"/>
  <c r="G210" i="20"/>
  <c r="F211" i="20"/>
  <c r="H211" i="20"/>
  <c r="I211" i="20"/>
  <c r="F212" i="20"/>
  <c r="I212" i="20"/>
  <c r="F213" i="20"/>
  <c r="I213" i="20"/>
  <c r="G214" i="20"/>
  <c r="E215" i="20"/>
  <c r="G215" i="20"/>
  <c r="I215" i="20"/>
  <c r="F216" i="20"/>
  <c r="H216" i="20"/>
  <c r="G217" i="20"/>
  <c r="E218" i="20"/>
  <c r="G218" i="20"/>
  <c r="I218" i="20"/>
  <c r="F219" i="20"/>
  <c r="H219" i="20"/>
  <c r="E220" i="20"/>
  <c r="G220" i="20"/>
  <c r="I220" i="20"/>
  <c r="E221" i="20"/>
  <c r="G221" i="20"/>
  <c r="I221" i="20"/>
  <c r="H222" i="20"/>
  <c r="E223" i="20"/>
  <c r="H223" i="20"/>
  <c r="E224" i="20"/>
  <c r="H224" i="20"/>
  <c r="E225" i="20"/>
  <c r="H225" i="20"/>
  <c r="E226" i="20"/>
  <c r="H226" i="20"/>
  <c r="E227" i="20"/>
  <c r="G227" i="20"/>
  <c r="I227" i="20"/>
  <c r="F228" i="20"/>
  <c r="E229" i="20"/>
  <c r="H229" i="20"/>
  <c r="E230" i="20"/>
  <c r="G230" i="20"/>
  <c r="I230" i="20"/>
  <c r="F231" i="20"/>
  <c r="H231" i="20"/>
  <c r="I231" i="20"/>
  <c r="F232" i="20"/>
  <c r="G232" i="20"/>
  <c r="I232" i="20"/>
  <c r="F233" i="20"/>
  <c r="H233" i="20"/>
  <c r="E234" i="20"/>
  <c r="H234" i="20"/>
  <c r="E235" i="20"/>
  <c r="H235" i="20"/>
  <c r="F236" i="20"/>
  <c r="H236" i="20"/>
  <c r="E237" i="20"/>
  <c r="I237" i="20"/>
  <c r="E238" i="20"/>
  <c r="G238" i="20"/>
  <c r="E239" i="20"/>
  <c r="G239" i="20"/>
  <c r="I239" i="20"/>
  <c r="F240" i="20"/>
  <c r="I240" i="20"/>
  <c r="F241" i="20"/>
  <c r="H241" i="20"/>
  <c r="E242" i="20"/>
  <c r="G242" i="20"/>
  <c r="I242" i="20"/>
  <c r="F243" i="20"/>
  <c r="G243" i="20"/>
  <c r="H243" i="20"/>
  <c r="E244" i="20"/>
  <c r="F244" i="20"/>
  <c r="H244" i="20"/>
  <c r="I244" i="20"/>
  <c r="E245" i="20"/>
  <c r="F245" i="20"/>
  <c r="H245" i="20"/>
  <c r="I245" i="20"/>
  <c r="G246" i="20"/>
  <c r="I246" i="20"/>
  <c r="H277" i="20"/>
  <c r="G278" i="20"/>
  <c r="I278" i="20"/>
  <c r="F279" i="20"/>
  <c r="H279" i="20"/>
  <c r="F280" i="20"/>
  <c r="I280" i="20"/>
  <c r="H281" i="20"/>
  <c r="E282" i="20"/>
  <c r="I282" i="20"/>
  <c r="F283" i="20"/>
  <c r="H283" i="20"/>
  <c r="I283" i="20"/>
  <c r="F284" i="20"/>
  <c r="H284" i="20"/>
  <c r="E285" i="20"/>
  <c r="G285" i="20"/>
  <c r="I285" i="20"/>
  <c r="H286" i="20"/>
  <c r="G287" i="20"/>
  <c r="I287" i="20"/>
  <c r="G288" i="20"/>
  <c r="I288" i="20"/>
  <c r="F289" i="20"/>
  <c r="H289" i="20"/>
  <c r="E290" i="20"/>
  <c r="I382" i="20"/>
  <c r="H383" i="20"/>
  <c r="H384" i="20"/>
  <c r="G385" i="20"/>
  <c r="G447" i="20"/>
  <c r="F449" i="20"/>
  <c r="F451" i="20"/>
  <c r="G452" i="20"/>
  <c r="G453" i="20"/>
  <c r="E455" i="20"/>
  <c r="G456" i="20"/>
  <c r="E458" i="20"/>
  <c r="G459" i="20"/>
  <c r="E461" i="20"/>
  <c r="F464" i="20"/>
  <c r="I464" i="20"/>
  <c r="G465" i="20"/>
  <c r="I466" i="20"/>
  <c r="I468" i="20"/>
  <c r="E470" i="20"/>
  <c r="G471" i="20"/>
  <c r="E473" i="20"/>
  <c r="H473" i="20"/>
  <c r="E475" i="20"/>
  <c r="F476" i="20"/>
  <c r="H477" i="20"/>
  <c r="G478" i="20"/>
  <c r="G479" i="20"/>
  <c r="I480" i="20"/>
  <c r="G481" i="20"/>
  <c r="G573" i="20"/>
  <c r="I575" i="20"/>
  <c r="G577" i="20"/>
  <c r="H668" i="20"/>
  <c r="H670" i="20"/>
  <c r="G672" i="20"/>
  <c r="F945" i="20"/>
  <c r="G290" i="20"/>
  <c r="F291" i="20"/>
  <c r="H291" i="20"/>
  <c r="E292" i="20"/>
  <c r="F292" i="20"/>
  <c r="H715" i="20"/>
  <c r="I904" i="20"/>
  <c r="I78" i="20"/>
  <c r="I81" i="20"/>
  <c r="I85" i="20"/>
  <c r="F91" i="20"/>
  <c r="G92" i="20"/>
  <c r="G93" i="20"/>
  <c r="I95" i="20"/>
  <c r="F97" i="20"/>
  <c r="E98" i="20"/>
  <c r="D8" i="20"/>
  <c r="D25" i="20"/>
  <c r="D37" i="20"/>
  <c r="D43" i="20"/>
  <c r="D49" i="20"/>
  <c r="D54" i="20"/>
  <c r="D64" i="20"/>
  <c r="D108" i="20"/>
  <c r="D140" i="20"/>
  <c r="D188" i="20"/>
  <c r="D197" i="20"/>
  <c r="D244" i="20"/>
  <c r="D371" i="20"/>
  <c r="D399" i="20"/>
  <c r="D597" i="20"/>
  <c r="D606" i="20"/>
  <c r="D620" i="20"/>
  <c r="D625" i="20"/>
  <c r="D629" i="20"/>
  <c r="D647" i="20"/>
  <c r="D677" i="20"/>
  <c r="D693" i="20"/>
  <c r="D698" i="20"/>
  <c r="D703" i="20"/>
  <c r="D714" i="20"/>
  <c r="D728" i="20"/>
  <c r="D733" i="20"/>
  <c r="D746" i="20"/>
  <c r="D755" i="20"/>
  <c r="D775" i="20"/>
  <c r="D779" i="20"/>
  <c r="D783" i="20"/>
  <c r="D792" i="20"/>
  <c r="D796" i="20"/>
  <c r="D802" i="20"/>
  <c r="D810" i="20"/>
  <c r="D814" i="20"/>
  <c r="D818" i="20"/>
  <c r="D829" i="20"/>
  <c r="D844" i="20"/>
  <c r="D861" i="20"/>
  <c r="D867" i="20"/>
  <c r="D872" i="20"/>
  <c r="D876" i="20"/>
  <c r="D885" i="20"/>
  <c r="D890" i="20"/>
  <c r="D894" i="20"/>
  <c r="D900" i="20"/>
  <c r="D902" i="20"/>
  <c r="D909" i="20"/>
  <c r="D922" i="20"/>
  <c r="D941" i="20"/>
  <c r="D945" i="20"/>
  <c r="H99" i="20"/>
  <c r="F101" i="20"/>
  <c r="E102" i="20"/>
  <c r="H104" i="20"/>
  <c r="H118" i="20"/>
  <c r="H119" i="20"/>
  <c r="H121" i="20"/>
  <c r="E134" i="20"/>
  <c r="E148" i="20"/>
  <c r="E154" i="20"/>
  <c r="I159" i="20"/>
  <c r="F164" i="20"/>
  <c r="I165" i="20"/>
  <c r="F169" i="20"/>
  <c r="I171" i="20"/>
  <c r="H180" i="20"/>
  <c r="H187" i="20"/>
  <c r="F670" i="20"/>
  <c r="I933" i="20"/>
  <c r="G195" i="20"/>
  <c r="H206" i="20"/>
  <c r="F222" i="20"/>
  <c r="G235" i="20"/>
  <c r="H240" i="20"/>
  <c r="I241" i="20"/>
  <c r="E243" i="20"/>
  <c r="G245" i="20"/>
  <c r="H247" i="20"/>
  <c r="G248" i="20"/>
  <c r="H249" i="20"/>
  <c r="H250" i="20"/>
  <c r="G251" i="20"/>
  <c r="G252" i="20"/>
  <c r="F253" i="20"/>
  <c r="E254" i="20"/>
  <c r="E256" i="20"/>
  <c r="E257" i="20"/>
  <c r="G258" i="20"/>
  <c r="F259" i="20"/>
  <c r="I259" i="20"/>
  <c r="H260" i="20"/>
  <c r="G261" i="20"/>
  <c r="F262" i="20"/>
  <c r="I262" i="20"/>
  <c r="F264" i="20"/>
  <c r="E265" i="20"/>
  <c r="H265" i="20"/>
  <c r="G266" i="20"/>
  <c r="I266" i="20"/>
  <c r="H267" i="20"/>
  <c r="F268" i="20"/>
  <c r="E269" i="20"/>
  <c r="E270" i="20"/>
  <c r="H270" i="20"/>
  <c r="G273" i="20"/>
  <c r="H274" i="20"/>
  <c r="G276" i="20"/>
  <c r="G281" i="20"/>
  <c r="E287" i="20"/>
  <c r="I289" i="20"/>
  <c r="G460" i="20"/>
  <c r="I290" i="20"/>
  <c r="N2" i="20" l="1"/>
  <c r="C2" i="20"/>
  <c r="H2" i="20"/>
  <c r="F2" i="20"/>
  <c r="E2" i="20"/>
  <c r="D2" i="20"/>
  <c r="I2" i="20"/>
  <c r="G2" i="20"/>
  <c r="J2" i="20"/>
  <c r="K2" i="20"/>
  <c r="L2" i="20"/>
  <c r="M2" i="20"/>
  <c r="B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tc={0CA8C265-CEA2-4D81-80B9-3494348983B8}</author>
    <author>tc={D368C975-0AA5-47D8-A91C-E7A47D88E7E5}</author>
    <author>tc={4A909A9E-642B-4B69-8E64-D9E66FC250A6}</author>
    <author>tc={26EF1E1B-B303-4F21-80B2-817D4CDF0779}</author>
    <author>tc={F09739BA-D915-4E10-A28D-27C000927B27}</author>
  </authors>
  <commentList>
    <comment ref="A18" authorId="0" shapeId="0" xr:uid="{0CA8C265-CEA2-4D81-80B9-3494348983B8}">
      <text>
        <t>[Threaded comment]
Your version of Excel allows you to read this threaded comment; however, any edits to it will get removed if the file is opened in a newer version of Excel. Learn more: https://go.microsoft.com/fwlink/?linkid=870924
Comment:
    Emergency Medicine Foundation</t>
      </text>
    </comment>
    <comment ref="A19" authorId="1" shapeId="0" xr:uid="{D368C975-0AA5-47D8-A91C-E7A47D88E7E5}">
      <text>
        <t>[Threaded comment]
Your version of Excel allows you to read this threaded comment; however, any edits to it will get removed if the file is opened in a newer version of Excel. Learn more: https://go.microsoft.com/fwlink/?linkid=870924
Comment:
    Energy Pro Electrical</t>
      </text>
    </comment>
    <comment ref="A21" authorId="2" shapeId="0" xr:uid="{4A909A9E-642B-4B69-8E64-D9E66FC250A6}">
      <text>
        <t>[Threaded comment]
Your version of Excel allows you to read this threaded comment; however, any edits to it will get removed if the file is opened in a newer version of Excel. Learn more: https://go.microsoft.com/fwlink/?linkid=870924
Comment:
    Fast Cut Qld Pty Ltd</t>
      </text>
    </comment>
    <comment ref="A22" authorId="3" shapeId="0" xr:uid="{26EF1E1B-B303-4F21-80B2-817D4CDF0779}">
      <text>
        <t>[Threaded comment]
Your version of Excel allows you to read this threaded comment; however, any edits to it will get removed if the file is opened in a newer version of Excel. Learn more: https://go.microsoft.com/fwlink/?linkid=870924
Comment:
    GBA Consulting Engineers</t>
      </text>
    </comment>
    <comment ref="A23" authorId="4" shapeId="0" xr:uid="{F09739BA-D915-4E10-A28D-27C000927B27}">
      <text>
        <t>[Threaded comment]
Your version of Excel allows you to read this threaded comment; however, any edits to it will get removed if the file is opened in a newer version of Excel. Learn more: https://go.microsoft.com/fwlink/?linkid=870924
Comment:
    GBA Consulting Engineers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<sst xmlns="http://schemas.openxmlformats.org/spreadsheetml/2006/main" count="23997" uniqueCount="4192">
  <si>
    <t>Client Contact</t>
  </si>
  <si>
    <t>Client Site</t>
  </si>
  <si>
    <t>Service Provider</t>
  </si>
  <si>
    <t>Service Type 1</t>
  </si>
  <si>
    <t>Service Type 2</t>
  </si>
  <si>
    <t>Service Type 3</t>
  </si>
  <si>
    <t>Service Type 4</t>
  </si>
  <si>
    <t>Service Type 5</t>
  </si>
  <si>
    <t>Connection ID</t>
  </si>
  <si>
    <t>Contract Term</t>
  </si>
  <si>
    <t>Contract Start Date</t>
  </si>
  <si>
    <t>Contract End Date</t>
  </si>
  <si>
    <t>Billing Gateway</t>
  </si>
  <si>
    <t>Not Found</t>
  </si>
  <si>
    <t>Salter Bros Balfour Hotel</t>
  </si>
  <si>
    <t>New Farm</t>
  </si>
  <si>
    <t>AAPT</t>
  </si>
  <si>
    <t>Voice Number Inventory</t>
  </si>
  <si>
    <t>Number Range</t>
  </si>
  <si>
    <t>37 BALFOUR ST NEW FARM QLD 4005</t>
  </si>
  <si>
    <t>Solahart Brisbane</t>
  </si>
  <si>
    <t>Darra</t>
  </si>
  <si>
    <t>Emergency Medicine Foundation</t>
  </si>
  <si>
    <t>Level 1D, 60 Enterprise Place , TINGALPA QLD 4174</t>
  </si>
  <si>
    <t>Vocus SIT</t>
  </si>
  <si>
    <t>Voice Service</t>
  </si>
  <si>
    <t>0731128668</t>
  </si>
  <si>
    <t>IP Tel Order - Smile Tel - 05/07/2024
Voice (5 Mbps) - Level 1D, 60 Enterprise Place , TINGALPA QLD 4173</t>
  </si>
  <si>
    <t>Red Roo Australia</t>
  </si>
  <si>
    <t>Level 1D, 60 Enterprise Place, Tingalpa QLD 4174</t>
  </si>
  <si>
    <t>0732558755
0731534563
0736330230
0731534561</t>
  </si>
  <si>
    <t>IP Tel Order - Smile Tel - 18/04/2024
Voice (5 Mbps) - Level 1D, 60 Enterprise Place, Tingalpa QLD 4173</t>
  </si>
  <si>
    <t>13/06/2024</t>
  </si>
  <si>
    <t>Swara</t>
  </si>
  <si>
    <t>0733914119
0733910900
0733910922</t>
  </si>
  <si>
    <t>IP Tel Order - Smile Tel - 03/04/2024 - 591822  - SWARA porting
Voice (5 Mbps) - Level 1D, 60 Enterprise Place, Tingalpa QLD 4173</t>
  </si>
  <si>
    <t>Salter (exact site needed)</t>
  </si>
  <si>
    <t>n/a</t>
  </si>
  <si>
    <t>IP Tel Order - Smile Tel - 03/04/2024 - 592190 Salter
IP Tel with Webex Basic (Reseller)
Voice (5 Mbps) - Level 1D, 60 Enterprise Place, Tingalpa QLD 4173</t>
  </si>
  <si>
    <t>CPM Squirrel Energy</t>
  </si>
  <si>
    <t>Smile Tel (TINGALPA, QLD) - Vocus IP Tel [CPM Squirrel Energy]
Voice (5 Mbps) - Level 1D, 60 Enterprise Place , TINGALPA QLD 4173</t>
  </si>
  <si>
    <t>19/12/2023</t>
  </si>
  <si>
    <t>ASG Newcastle</t>
  </si>
  <si>
    <t>Smile Tel (Tingalpa , QLD) - Vocus IP Tel [ASG Newcastle]
4 IP Tel Standard (Reseller)
Voice (5 Mbps) - Level 1D, 60 Enterprise Place, Tingalpa QLD 4173</t>
  </si>
  <si>
    <t>21/09/2023</t>
  </si>
  <si>
    <t>ASG Adelaide</t>
  </si>
  <si>
    <t>Smile Tel (Tingalpa , QLD) - Vocus IP Tel [ASG Adelaide]
9 IP Tel Standard (Reseller)
Voice (5 Mbps) - Level 1D, 60 Enterprise Place, Tingalpa QLD 4173</t>
  </si>
  <si>
    <t>Spicers (check exact site)</t>
  </si>
  <si>
    <t>Smile Tel (Tingalpa , QLD) - Vocus IP Tel [Spicers]
IP Tel with Webex Basic (Reseller)
Voice (5 Mbps) - Level 1D, 60 Enterprise Place, Tingalpa QLD 4173</t>
  </si>
  <si>
    <t>31/08/2023</t>
  </si>
  <si>
    <t>Action Smart Group</t>
  </si>
  <si>
    <t>37 access avenue, YATALA QLD 4208</t>
  </si>
  <si>
    <t>Smile Tel (YATALA, QLD) - Vocus IP Tel [Action Smart Group]
Voice (5 Mbps) - 37 access avenue, YATALA QLD 4207</t>
  </si>
  <si>
    <t>25/07/2023</t>
  </si>
  <si>
    <t>Queensland Children's Gastroenterology</t>
  </si>
  <si>
    <t>537 stanley street, SOUTH BRISBANE QLD 4102</t>
  </si>
  <si>
    <t>Smile Tel (SOUTH BRISBANE, QLD) - Vocus IP Tel [Queensland Children's Gastroenterology]
Voice (5 Mbps) - 537 stanley street, SOUTH BRISBANE QLD 4101</t>
  </si>
  <si>
    <t>20/07/2023</t>
  </si>
  <si>
    <t>Caravan Fix</t>
  </si>
  <si>
    <t>9 SOMERSET ROAD, GRACEMERE QLD 4703</t>
  </si>
  <si>
    <t>Smile Tel (GRACEMERE, QLD) - Vocus IP Tel
Voice (5 Mbps) - -9 SOMERSET ROAD, GRACEMERE QLD 4702</t>
  </si>
  <si>
    <t>17/07/2023</t>
  </si>
  <si>
    <t>Rockwell Technology/Specialist Hail Repairs</t>
  </si>
  <si>
    <t>Smile Tel (YATALA, QLD) - Vocus IP Tel
Voice (5 Mbps) - 37 access avenue, YATALA QLD 4207</t>
  </si>
  <si>
    <t>Branyan Early Learning Centre</t>
  </si>
  <si>
    <t>7 penny lane, BRANYAN QLD 4671</t>
  </si>
  <si>
    <t>Smile Tel (BRANYAN, QLD) - Vocus IP Tel [Branyan Early Learning Centre]
	Voice (5 Mbps) - 7 penny lane, BRANYAN QLD 4670</t>
  </si>
  <si>
    <t>18/05/2023</t>
  </si>
  <si>
    <t>Wattlestone</t>
  </si>
  <si>
    <t>16 MARIE STREET, MILTON QLD 4065</t>
  </si>
  <si>
    <t>Smile Tel (MILTON, QLD) - Vocus IP Tel [Wattlestone]
IP Tel Standard (Reseller)
Voice (5 Mbps) - 16 MARIE STREET, MILTON QLD 4064</t>
  </si>
  <si>
    <t>13/04/2023</t>
  </si>
  <si>
    <t>Energy Pro Electrical</t>
  </si>
  <si>
    <t>60 enterprise place, TINGALPA QLD 4174</t>
  </si>
  <si>
    <t>Smile Tel (TINGALPA, QLD) - Vocus IP Tel [Energy Pro Electrical]
3 IP Tel Premium (Reseller)
Voice (5 Mbps) - 60 enterprise place, TINGALPA QLD 4173</t>
  </si>
  <si>
    <t>21/03/2023</t>
  </si>
  <si>
    <t>Spicers Sangoma</t>
  </si>
  <si>
    <t>Smile Tel (TINGALPA, QLD) - Vocus IP Tel [Spicers Sangoma]
8 IP Tel Basic (Reseller)
Voice (5 Mbps) - Level 1D, 60 Enterprise Place, TINGALPA QLD 4173</t>
  </si>
  <si>
    <t>14/03/2023</t>
  </si>
  <si>
    <t>The Empowering Hive</t>
  </si>
  <si>
    <t>Smile Tel (Tingalpa , QLD) - Vocus IP Tel [The Empowering Hive]
IP Tel Voicemail
Voice (5 Mbps) - Level 1D, 60 Enterprise Place, Tingalpa QLD 4173</t>
  </si>
  <si>
    <t xml:space="preserve"> Stafford Dental Studio</t>
  </si>
  <si>
    <t>3/285 Stafford Road, Stafford QLD 4053</t>
  </si>
  <si>
    <t>AVC000111679247</t>
  </si>
  <si>
    <t xml:space="preserve">	Air Restore</t>
  </si>
  <si>
    <t>32 DIVIDEND STREET, MANSFIELD, QLD, 4122</t>
  </si>
  <si>
    <t>Exetel</t>
  </si>
  <si>
    <t>NBNEE100 CBD Unlimited 350</t>
  </si>
  <si>
    <t>100/100Mbps</t>
  </si>
  <si>
    <t>Fibre</t>
  </si>
  <si>
    <t>220.233.220.51</t>
  </si>
  <si>
    <t>36 Months</t>
  </si>
  <si>
    <t>10 May 2021</t>
  </si>
  <si>
    <t>10 May 2024</t>
  </si>
  <si>
    <t>Lead Institute</t>
  </si>
  <si>
    <t>0756767766</t>
  </si>
  <si>
    <t>IP Tel Order - Smile Tel - 03/02/2023
Voice (5 Mbps) - Level 1D, 60 Enterprise Place , Tingalpa QLD 4173</t>
  </si>
  <si>
    <t>Action Smart</t>
  </si>
  <si>
    <t>0734627617
0734627618
0734627619
0748862250</t>
  </si>
  <si>
    <t>14/02/2023</t>
  </si>
  <si>
    <t xml:space="preserve">	The Yiros Shop Southbank</t>
  </si>
  <si>
    <t xml:space="preserve">	00 189 Grey ST </t>
  </si>
  <si>
    <t>4G Backup service</t>
  </si>
  <si>
    <t xml:space="preserve">	Zambrero Kings Cross</t>
  </si>
  <si>
    <t xml:space="preserve">	4 111 Darlinghurst RD </t>
  </si>
  <si>
    <t>A M Emerick &amp; T J Morrice</t>
  </si>
  <si>
    <t xml:space="preserve">Lot: 2 136 Tarrants Rd </t>
  </si>
  <si>
    <t>150Mbps/30Mbps</t>
  </si>
  <si>
    <t xml:space="preserve">NBN Reseller G4 WLS </t>
  </si>
  <si>
    <t>122.151.165.26</t>
  </si>
  <si>
    <t>PPPoE</t>
  </si>
  <si>
    <t>AVC000131593506</t>
  </si>
  <si>
    <t>Hanwha (Aus)</t>
  </si>
  <si>
    <t>Unit 1, 49 Miller Street, Murarrie QLD 4173</t>
  </si>
  <si>
    <t>0734617350</t>
  </si>
  <si>
    <t>IP Tel Order - Smile Tel - 13/12/2022
Voice (5 Mbps) - Unit 1, 49 Miller Street, Murarrie QLD 4172</t>
  </si>
  <si>
    <t>21/12/2022</t>
  </si>
  <si>
    <t>CPM Advisory and Project Management</t>
  </si>
  <si>
    <t>0730735250
0731851340
0732811004
0732811006
0732817591
0732829076
0738102527
0738102528
0738190261
0738190262
0738190264
0738190485</t>
  </si>
  <si>
    <t>IP Tel Order - Smile Tel - 05/09/2022
Voice (5 Mbps) - Unit 1, 49 Miller Street, Murarrie QLD 4172</t>
  </si>
  <si>
    <t>20/03/2025</t>
  </si>
  <si>
    <t>A&amp;K Ashgrove</t>
  </si>
  <si>
    <t>39 MOULTON ST, ASHGROVE QLD</t>
  </si>
  <si>
    <t>ABB</t>
  </si>
  <si>
    <t>NBN 250/25</t>
  </si>
  <si>
    <t>HFC</t>
  </si>
  <si>
    <t>180.181.209.84</t>
  </si>
  <si>
    <t>30 May 2025</t>
  </si>
  <si>
    <t>Sasboss</t>
  </si>
  <si>
    <t>Active Living</t>
  </si>
  <si>
    <t>UN 3, 81 SIXTH AV, MAROOCHYDORE QLD</t>
  </si>
  <si>
    <t>NBN 50/20</t>
  </si>
  <si>
    <t>FTTN</t>
  </si>
  <si>
    <t>144.6.103.243</t>
  </si>
  <si>
    <t>6 Dec 2024</t>
  </si>
  <si>
    <t>Agnes Water Beauty Hub</t>
  </si>
  <si>
    <t xml:space="preserve">Tncy 14 2875 Round Hill Rd </t>
  </si>
  <si>
    <t>50Mbps/20Mbps</t>
  </si>
  <si>
    <t xml:space="preserve">NBN Reseller G4 </t>
  </si>
  <si>
    <t>122.151.163.33</t>
  </si>
  <si>
    <t xml:space="preserve">	AVC000183920492</t>
  </si>
  <si>
    <t>Agnes Water Doctors</t>
  </si>
  <si>
    <t xml:space="preserve">Tncy 15 2875 Round Hill Rd </t>
  </si>
  <si>
    <t>100Mbps/40Mbps</t>
  </si>
  <si>
    <t>AVC000180125510</t>
  </si>
  <si>
    <t>Albany Family Doctors</t>
  </si>
  <si>
    <t xml:space="preserve">Shop 3 715 Albany Creek Rd </t>
  </si>
  <si>
    <t>NBN Reseller G4 HFC</t>
  </si>
  <si>
    <t>202.62.138.107</t>
  </si>
  <si>
    <t xml:space="preserve">	AVC400045677083</t>
  </si>
  <si>
    <t>All Crops</t>
  </si>
  <si>
    <t xml:space="preserve">Lot 7 28672 Bruce Hwy </t>
  </si>
  <si>
    <t>NBN Reseller G4 FTTC</t>
  </si>
  <si>
    <t>125.168.88.232</t>
  </si>
  <si>
    <t xml:space="preserve">	AVC000123456625</t>
  </si>
  <si>
    <t>Allegra Property Management</t>
  </si>
  <si>
    <t>Unit 408/468 Esplanade, Torquay Qld 4655, Australia</t>
  </si>
  <si>
    <t>Vocus Business Unlimited (AUD)</t>
  </si>
  <si>
    <t>Vocus Business Unlimited 200 Mbps
Unit 408/Unit 408/468 Esplanade, Torquay Qld 4655, Australia</t>
  </si>
  <si>
    <t>15/03/2023</t>
  </si>
  <si>
    <t>Armani Tobacconist</t>
  </si>
  <si>
    <t xml:space="preserve">Tncy 9 2875 Round Hill Rd </t>
  </si>
  <si>
    <t>AVC000181744365</t>
  </si>
  <si>
    <t>Aromas Noosa</t>
  </si>
  <si>
    <t>LAGUNA ON HASTINGS SHOP 7, 32 HASTINGS ST, NOOSA HEADS QLD</t>
  </si>
  <si>
    <t>144.6.114.214</t>
  </si>
  <si>
    <t>Aromas Noosa Heads</t>
  </si>
  <si>
    <t>ASG</t>
  </si>
  <si>
    <t>ASG Pinkenba</t>
  </si>
  <si>
    <t>IP-Line</t>
  </si>
  <si>
    <t>IP-Line Link</t>
  </si>
  <si>
    <t>Connecting IP-Line 6023265 to Access 100827488</t>
  </si>
  <si>
    <t>Up to 100/40Mbps; AVC ID:AVC000161725867</t>
  </si>
  <si>
    <t>AVC000161725867</t>
  </si>
  <si>
    <t>24 Months</t>
  </si>
  <si>
    <t>ASG Adam's House</t>
  </si>
  <si>
    <t>13 WINFIELD RD, ORMEAU QLD</t>
  </si>
  <si>
    <t>NBN 100/40</t>
  </si>
  <si>
    <t xml:space="preserve">FTTN </t>
  </si>
  <si>
    <t>159.196.40.63</t>
  </si>
  <si>
    <t>29 Mar 2023</t>
  </si>
  <si>
    <t>Datagate</t>
  </si>
  <si>
    <t>ASG Tomago</t>
  </si>
  <si>
    <t>15 KILCOY DRIVE, TOMAGO, NSW, 2322</t>
  </si>
  <si>
    <t>Plan TFS100R1 AM PROMO 374</t>
  </si>
  <si>
    <t>58.96.25.119</t>
  </si>
  <si>
    <t>16 Nov 2017</t>
  </si>
  <si>
    <t>13 Dec 2025</t>
  </si>
  <si>
    <t>Atlantis Pool Shop</t>
  </si>
  <si>
    <t>UN 4, 14 BURKE CR, NORTH LAKES QLD</t>
  </si>
  <si>
    <t>119.18.33.212</t>
  </si>
  <si>
    <t>5 Dec 2024</t>
  </si>
  <si>
    <t>Audem Electrical</t>
  </si>
  <si>
    <t>UN 3, 44 LEONARD ST, WOOLLOONGABBA QLD</t>
  </si>
  <si>
    <t xml:space="preserve">NBN 100/40 </t>
  </si>
  <si>
    <t>FTTC</t>
  </si>
  <si>
    <t>159.196.7.189</t>
  </si>
  <si>
    <t>01 Sept 2022</t>
  </si>
  <si>
    <t>TBA</t>
  </si>
  <si>
    <t>Talisman Partners</t>
  </si>
  <si>
    <t>0731127230</t>
  </si>
  <si>
    <t>IP Tel Order - Smile Tel - 07/12/2021</t>
  </si>
  <si>
    <t>13/12/2021</t>
  </si>
  <si>
    <t>Auriga Group</t>
  </si>
  <si>
    <t>Albion</t>
  </si>
  <si>
    <t>FAST Fibre</t>
  </si>
  <si>
    <t>FAST Fibre (NTU)</t>
  </si>
  <si>
    <t>400 Mbps; 36 Months</t>
  </si>
  <si>
    <t>15/04/2022</t>
  </si>
  <si>
    <t>Ausdocs Carindale Pty Ltd</t>
  </si>
  <si>
    <t xml:space="preserve">Shop 2066 1151 Creek Rd Carindale (level 1 Westfield </t>
  </si>
  <si>
    <t>NBN Reseller G4 FTTB</t>
  </si>
  <si>
    <t>202.62.138.91</t>
  </si>
  <si>
    <t xml:space="preserve">	AVC000170137637</t>
  </si>
  <si>
    <t>Aussie Traveller Clontarf</t>
  </si>
  <si>
    <t>11 OASIS CT, CLONTARF QLD</t>
  </si>
  <si>
    <t>250Mbps Low CoS</t>
  </si>
  <si>
    <t>167.179.170.168</t>
  </si>
  <si>
    <t>17 Nov 2025</t>
  </si>
  <si>
    <t>LFF</t>
  </si>
  <si>
    <t>IP Tel Order - Smile Tel - 16/09/2021 - LFF</t>
  </si>
  <si>
    <t>17/09/2021</t>
  </si>
  <si>
    <t>Aussie Traveller Melbourne</t>
  </si>
  <si>
    <t>233 235 BARRY RD, CAMPBELLFIELD VIC</t>
  </si>
  <si>
    <t>159.196.71.208</t>
  </si>
  <si>
    <t>07 Nov 2025</t>
  </si>
  <si>
    <t>The Sycamore School</t>
  </si>
  <si>
    <t>0734627580</t>
  </si>
  <si>
    <t>IP Tel Order - Smile Tel - 25/08/2021</t>
  </si>
  <si>
    <t>30/08/2021</t>
  </si>
  <si>
    <t>Banyo Village Medical Centre</t>
  </si>
  <si>
    <t>Shop 1, 299 St Vincents Road Banyo, QLD 4500</t>
  </si>
  <si>
    <t>AVC000088571579</t>
  </si>
  <si>
    <t>Bar Alto</t>
  </si>
  <si>
    <t>8 AUSTIN ST, NEWSTEAD QLD</t>
  </si>
  <si>
    <t>144.6.104.3</t>
  </si>
  <si>
    <t>19 Sept 2023</t>
  </si>
  <si>
    <t>Barracks Pharmacy</t>
  </si>
  <si>
    <t xml:space="preserve">Shop 16 Lot 0 61 Petrie Tce </t>
  </si>
  <si>
    <t>202.62.138.94</t>
  </si>
  <si>
    <t xml:space="preserve">	AVC000184132374</t>
  </si>
  <si>
    <t>BBA</t>
  </si>
  <si>
    <t>Connecting IP-Line 6023265 to Access 1491923</t>
  </si>
  <si>
    <t>Up to 100/40Mbps; AVC ID:AVC000043186325</t>
  </si>
  <si>
    <t>AVC000043186325</t>
  </si>
  <si>
    <t xml:space="preserve">Australian Computer Traders </t>
  </si>
  <si>
    <t>0733910000
0733913696
0733913981
0738912868
0738912942
0738913139
0738913140
0738913179
0738913291
0738916498
0738958475</t>
  </si>
  <si>
    <t>IP Tel Order - Smile Tel - 27/05/2021</t>
  </si>
  <si>
    <t>Bell Criminal Lawyers</t>
  </si>
  <si>
    <t xml:space="preserve">	BP HOUSE OFFC 10C, 193 NORTH QY, BRISBANE CITY QLD</t>
  </si>
  <si>
    <t>144.6.112.116</t>
  </si>
  <si>
    <t>22 May 2028</t>
  </si>
  <si>
    <t>BGC Engineering</t>
  </si>
  <si>
    <t>LEVEL 3 31 MERIVALE STREET, SOUTH BRISBANE, QLD, 4101</t>
  </si>
  <si>
    <t>Plan TFS1000R1 Unlimited 805</t>
  </si>
  <si>
    <t>1000/1000Mbps</t>
  </si>
  <si>
    <t>220.233.219.13</t>
  </si>
  <si>
    <t>14 Nov 2023</t>
  </si>
  <si>
    <t>14 Nov 2026</t>
  </si>
  <si>
    <t>Turrisi Property</t>
  </si>
  <si>
    <t>0738912461</t>
  </si>
  <si>
    <t>IP Tel Order - Smile Tel - 07/05/2021</t>
  </si>
  <si>
    <t>Young Guns Container Crew</t>
  </si>
  <si>
    <t>0733932610</t>
  </si>
  <si>
    <t>IP Tel Order - Smile Tel - 06/05/2021</t>
  </si>
  <si>
    <t>21/05/2021</t>
  </si>
  <si>
    <t>BGC Engineering - 4G Backup site</t>
  </si>
  <si>
    <t>Plan TWBackup40 - $0.00</t>
  </si>
  <si>
    <t>N/A</t>
  </si>
  <si>
    <t>Wireless</t>
  </si>
  <si>
    <t>Body Corporate for Osprey Mooloolaba</t>
  </si>
  <si>
    <t xml:space="preserve">Unit 1 Lot 1 1-3 Buderim Av </t>
  </si>
  <si>
    <t>NBN Reseller G4 FTTN</t>
  </si>
  <si>
    <t>125.168.244.174</t>
  </si>
  <si>
    <t>AVC000182740718</t>
  </si>
  <si>
    <t>Makris Group</t>
  </si>
  <si>
    <t>0884152800 to 0884152899</t>
  </si>
  <si>
    <t>IP Tel Order - Smile Tel - 18/12/2020</t>
  </si>
  <si>
    <t>Body Corporate Systems</t>
  </si>
  <si>
    <t>Morningside</t>
  </si>
  <si>
    <t>box</t>
  </si>
  <si>
    <t>NBN-EE</t>
  </si>
  <si>
    <t>18/09/2022</t>
  </si>
  <si>
    <t>Boyd Legal</t>
  </si>
  <si>
    <t>SE 1, 200 MARY ST, BRISBANE CITY QLD</t>
  </si>
  <si>
    <t>FTTB</t>
  </si>
  <si>
    <t>120.88.117.77</t>
  </si>
  <si>
    <t>25 Feb 2025</t>
  </si>
  <si>
    <t>Onebill</t>
  </si>
  <si>
    <t>Brands Pharmacy Spring Hill</t>
  </si>
  <si>
    <t xml:space="preserve">Shop 6 448 Boundary St </t>
  </si>
  <si>
    <t>202.62.138.92</t>
  </si>
  <si>
    <t xml:space="preserve">	AVC000183229482</t>
  </si>
  <si>
    <t xml:space="preserve">Lead Institute </t>
  </si>
  <si>
    <t>0749696764
0733489099
0746333674
0756301992
0745662411
0731391628
0741608907
0741608908
0753141019
0731391629
0731391651
0731391678
0749142476
0731391820
0731391821
0731391822
0731391823
0731391824
0731391825
0731391826
0731391827
0731391828
0746338711
0746421059
0746421135
0749549643
0754994640
0746341020
0746334008
0746334455</t>
  </si>
  <si>
    <t>IP Tel Order - Smile Tel - 16/11/2020</t>
  </si>
  <si>
    <t>24/09/2024</t>
  </si>
  <si>
    <t>Brewdog New Office</t>
  </si>
  <si>
    <t>235 BRUNSWICK ST, FORTITUDE VALLEY QLD</t>
  </si>
  <si>
    <t>1000Mbps Low CoS</t>
  </si>
  <si>
    <t>159.196.7.167</t>
  </si>
  <si>
    <t>20 Dec 2025</t>
  </si>
  <si>
    <t>Buderim Gardens</t>
  </si>
  <si>
    <t>BUDERIM GARDENS RETIREMENT VILLAGE UN 206, 405 MOOLOOLABA RD, BUDERIM QLD</t>
  </si>
  <si>
    <t>144.6.122.237</t>
  </si>
  <si>
    <t>2 Dec 2024</t>
  </si>
  <si>
    <t>Not found</t>
  </si>
  <si>
    <t>Bundy Homes</t>
  </si>
  <si>
    <t xml:space="preserve">Offc 1 53 Perry St </t>
  </si>
  <si>
    <t>111.220.28.24</t>
  </si>
  <si>
    <t xml:space="preserve">	AVC000180229260</t>
  </si>
  <si>
    <t>Bush to beach</t>
  </si>
  <si>
    <t>UN 4, 50 OWEN CREEK RD, FOREST GLEN QLD</t>
  </si>
  <si>
    <t>167.179.173.26</t>
  </si>
  <si>
    <t>10 Oct 2025</t>
  </si>
  <si>
    <t>Buys Court</t>
  </si>
  <si>
    <t>Connecting IP-Line 6023265 to Access 100772049</t>
  </si>
  <si>
    <t>Up to 100/40Mbps; AVC ID:AVC400035803900</t>
  </si>
  <si>
    <t>AVC400035803900</t>
  </si>
  <si>
    <t>18/10/2021</t>
  </si>
  <si>
    <t>Caneland Engineering</t>
  </si>
  <si>
    <t>25 PRODUCTION ST, SVENSSON HEIGHTS QLD</t>
  </si>
  <si>
    <t>144.6.255.211</t>
  </si>
  <si>
    <t>12 May 2025</t>
  </si>
  <si>
    <t>Canossa Medical Centre Pharmacy</t>
  </si>
  <si>
    <t xml:space="preserve">Se 5 169 Seventeen Mile Rocks Rd </t>
  </si>
  <si>
    <t>202.62.138.105</t>
  </si>
  <si>
    <t xml:space="preserve">	AVC000183261130</t>
  </si>
  <si>
    <t>Caravan &amp; RV Works</t>
  </si>
  <si>
    <t>Connecting IP-Line 6023265 to Access 1818765</t>
  </si>
  <si>
    <t>Up to 100/40Mbps; AVC ID:AVC000107543920</t>
  </si>
  <si>
    <t>AVC000107543920</t>
  </si>
  <si>
    <t>20/05/2020</t>
  </si>
  <si>
    <t>Gateway Containers (Finnegan House)</t>
  </si>
  <si>
    <t>0732063643</t>
  </si>
  <si>
    <t>IP Tel Order - Smile Tel - 29/09/2020
Voice (5 Mbps) - Unit 1, 49 Miller Street, Murarrie QLD 4172</t>
  </si>
  <si>
    <t>23/10/2020</t>
  </si>
  <si>
    <t>Caravan Fix Coffs Harbour</t>
  </si>
  <si>
    <t>Connecting IP-Line 6023265 to Access 1814007</t>
  </si>
  <si>
    <t>Up to 100/40Mbps; AVC ID:AVC000101436766</t>
  </si>
  <si>
    <t>AVC000101436766</t>
  </si>
  <si>
    <t>Lead Institute (882)</t>
  </si>
  <si>
    <t>0731127882
0730932699</t>
  </si>
  <si>
    <t>IP Tel Order - Smile Tel - 22/06/2020
Voice (5 Mbps) - Unit 1, 49 Miller Street, Murarrie QLD 4172</t>
  </si>
  <si>
    <t>Spicers Clovelly</t>
  </si>
  <si>
    <t>0754521100 to 0754521199</t>
  </si>
  <si>
    <t>IP Tel Order - Smile Tel - 23/03/2020 - Spicers Clovelly
Voice (5 Mbps) - Unit 1, 49 Miller Street, Murarrie QLD 4172</t>
  </si>
  <si>
    <t>20/07/2020</t>
  </si>
  <si>
    <t>CMC Property Management (511)
Australian Computer Traders (122)</t>
  </si>
  <si>
    <t>0732055511
0732055122</t>
  </si>
  <si>
    <t>IP Tel Order - Smile Tel - 30/01/2020
Voice (5 Mbps) - Unit 1, 49 Miller Street, Murarrie QLD 4172</t>
  </si>
  <si>
    <t>Legrand AV Australia</t>
  </si>
  <si>
    <t>Unit 5, 28 Metroplex Avenue, MURARRIE QLD 4173</t>
  </si>
  <si>
    <t>0732997000
0732997999</t>
  </si>
  <si>
    <t>IP Tel Order - Smile Tel - 25/11/2019 - Milestone/Legrand
Voice (5 Mbps) - Unit 5, 28 Metroplex Avenue, MURARRIE QLD 4172</t>
  </si>
  <si>
    <t>Nurturing Brain Potential</t>
  </si>
  <si>
    <t>0731127588</t>
  </si>
  <si>
    <t>IP Tel Order - Smile Tel - 07/06/2019 [Nurturing Brain Potential]
Voice (5 Mbps) - Unit 5, 28 Metroplex Avenue, MURARRIE QLD 4172</t>
  </si>
  <si>
    <t>13/06/2019</t>
  </si>
  <si>
    <t>Catolin Pty Ltd T/As Helloworld Strathpine</t>
  </si>
  <si>
    <t xml:space="preserve">Shop 58 295 Gympie Rd </t>
  </si>
  <si>
    <t>202.62.138.82</t>
  </si>
  <si>
    <t>AVC000098846268</t>
  </si>
  <si>
    <t>Cirque Apartments</t>
  </si>
  <si>
    <t>ROOM COMMS FCTY, 776 BRUNSWICK ST, NEW FARM QLD</t>
  </si>
  <si>
    <t>500Mbps Low CoS</t>
  </si>
  <si>
    <t>144.6.249.90</t>
  </si>
  <si>
    <t>25 Nov 2027</t>
  </si>
  <si>
    <t>City Care Doctors Wintergarden</t>
  </si>
  <si>
    <t>LOT 1 SHOP G02 L G 171-209 QUEEN ST BRISBANE CITY QLD 4000</t>
  </si>
  <si>
    <t>AVC000111672697</t>
  </si>
  <si>
    <t>Clear Insurance</t>
  </si>
  <si>
    <t>OTHER 3, 116 RACECOURSE RD, ASCOT QLD</t>
  </si>
  <si>
    <t>NBN 250/100</t>
  </si>
  <si>
    <t>180.181.209.186</t>
  </si>
  <si>
    <t>CMC</t>
  </si>
  <si>
    <t>Connecting IP-Line 6023265 to Access 1743807</t>
  </si>
  <si>
    <t>Up to 50/20Mbps; AVC ID:AVC400015156041</t>
  </si>
  <si>
    <t>AVC400015156041</t>
  </si>
  <si>
    <t>24/07/2019</t>
  </si>
  <si>
    <t>Coastal Dental Specialists</t>
  </si>
  <si>
    <t xml:space="preserve">Shop 203 67 Regatta Bvd </t>
  </si>
  <si>
    <t>NBN Reseller G4  FTTP</t>
  </si>
  <si>
    <t>122.151.188.4</t>
  </si>
  <si>
    <t xml:space="preserve">	AVC000147565979</t>
  </si>
  <si>
    <t>Coastal Financial Advisors</t>
  </si>
  <si>
    <t>SHOP 16, 72 WISES RD, BUDERIM QLD</t>
  </si>
  <si>
    <t>144.6.250.187</t>
  </si>
  <si>
    <t>3 Dec 2024</t>
  </si>
  <si>
    <t>Coolum at the Beach</t>
  </si>
  <si>
    <t>2 Margaret Street, Coolum Beach Qld 4573 Australia</t>
  </si>
  <si>
    <t>1000 mbps Vocus Business Unlimited
2 Margaret Street, Coolum Beach Qld 4573 Australia</t>
  </si>
  <si>
    <t>25/05/2023</t>
  </si>
  <si>
    <t>Core Glass &amp; Aluminium</t>
  </si>
  <si>
    <t xml:space="preserve">Unit 1 Lot 1 56 Eagleview Pl </t>
  </si>
  <si>
    <t>202.62.138.84</t>
  </si>
  <si>
    <t>AVC000141161835</t>
  </si>
  <si>
    <t>Vineyards</t>
  </si>
  <si>
    <t>0265747029
0265747057
0265747229</t>
  </si>
  <si>
    <t>IP Tel Order - Smile Tel - 08/03/2019 - Vineyards
	Voice (5 Mbps) - 28 Metroplex Avenue, Murarrie QLD 4172</t>
  </si>
  <si>
    <t>30/08/2019</t>
  </si>
  <si>
    <t>ASG Call Centre</t>
  </si>
  <si>
    <t>IP Tel Order - Smile Tel - 06/02/2019 - ASG call centre
5 IP Tel Premium (Reseller)
Voice (5 Mbps) - Unit 5, 28 Metroplex Avenue, MURARRIE QLD 4172</t>
  </si>
  <si>
    <t>Tamarind</t>
  </si>
  <si>
    <t>0754205400</t>
  </si>
  <si>
    <t>IP Tel Order - Smile Tel - 05/12/2018 - Tamarind
Voice (5 Mbps) - Unit 5, 28 Metroplex Avenue, MURARRIE QLD 4172</t>
  </si>
  <si>
    <t>Cornwalls</t>
  </si>
  <si>
    <t>Brisbane City</t>
  </si>
  <si>
    <t>1000 Mbps; 48 Months</t>
  </si>
  <si>
    <t>48 Months</t>
  </si>
  <si>
    <t>SPL</t>
  </si>
  <si>
    <t>0746661078
0746661083
0746661084</t>
  </si>
  <si>
    <t>IP Tel Order - Smile Tel - 22/10/2018 - SPL
Voice (5 Mbps) - 28 Metroplex Avenue, Murarrie QLD 4172</t>
  </si>
  <si>
    <t>27/11/2018</t>
  </si>
  <si>
    <t>SBH</t>
  </si>
  <si>
    <t>IP Tel Order - Smile Tel - 17/10/2018 - SBH
15 IP Tel Standard
Voice (5 Mbps) - Unit 1, 49 Miller Street, Murarrie QLD 4172</t>
  </si>
  <si>
    <t>SGH</t>
  </si>
  <si>
    <t>IP Tel Order - Smile Tel - 26/09/2018 - Licenses SGH
15 IP Tel Standard
Voice (5 Mbps) - Unit 1, 49 Miller Street, Murarrie QLD 4172</t>
  </si>
  <si>
    <t>Dr. Julie Beak (Paedicare Pty Ltd)</t>
  </si>
  <si>
    <t>0733588890 to 0733588899</t>
  </si>
  <si>
    <t>IP Tel Order - Smile Tel - 24/08/2018 -  Julie Beak Paedicare
Voice (5 Mbps) - 28 Metroplex Avenue, Murarrie QLD 4172</t>
  </si>
  <si>
    <t>CPM</t>
  </si>
  <si>
    <t>Connecting IP-Line 6023265 to Access 100831192</t>
  </si>
  <si>
    <t>Up to 50/20Mbps; AVC ID:AVC000163185354</t>
  </si>
  <si>
    <t>AVC000163185354</t>
  </si>
  <si>
    <t>Back2Health</t>
  </si>
  <si>
    <t>0730141120 to 0730141129
0732550671
0738440226</t>
  </si>
  <si>
    <t>IP Tel Order - Smile Tel - 13/07/2018 - Back 2 Health
Voice (5 Mbps) - 28 Metroplex Avenue, Murarrie QLD 4172</t>
  </si>
  <si>
    <t>CPM Brisbane Office</t>
  </si>
  <si>
    <t>STE 2, LEVEL 8, 100 Creek ST Brisbane QLD 4000 Brisbane</t>
  </si>
  <si>
    <t>0Mbps/0Mbps</t>
  </si>
  <si>
    <t>159.196.39.124/31</t>
  </si>
  <si>
    <t>36 months</t>
  </si>
  <si>
    <t>05 Feb 2027</t>
  </si>
  <si>
    <t>Creek St Pharmacy</t>
  </si>
  <si>
    <t xml:space="preserve">Shop 1 40 Creek St </t>
  </si>
  <si>
    <t>202.62.138.110</t>
  </si>
  <si>
    <t xml:space="preserve">	AVC000174052602</t>
  </si>
  <si>
    <t>Air Restore</t>
  </si>
  <si>
    <t>0734334111
0734145514
0731521052</t>
  </si>
  <si>
    <t>IP Tel Order - Smile Tel - 28/03/2018 - [Air Restore]
Voice (5 Mbps) - 28 Metroplex Avenue, Murarrie QLD 4172</t>
  </si>
  <si>
    <t>22/05/2018</t>
  </si>
  <si>
    <t>SRHL</t>
  </si>
  <si>
    <t>IP Tel Order - Smile Tel - 26/03/2018 [SRHL]
IP Tel Call Centre Premium Supervisor
Voice (5 Mbps) - 28 Metroplex Avenue, Murarrie QLD 4172</t>
  </si>
  <si>
    <t>Balanced Business Accounting</t>
  </si>
  <si>
    <t>0733955444</t>
  </si>
  <si>
    <t>IP Tel Order - Smile Tel - 23/03/2018 - [Balanced Business Accounting]
Voice (5 Mbps) - 28 Metroplex Avenue, Murarrie QLD 4172</t>
  </si>
  <si>
    <t>CU@N8S</t>
  </si>
  <si>
    <t>TNCY D11.1, 88 LIMESTONE ST, IPSWICH QLD</t>
  </si>
  <si>
    <t>144.6.105.128</t>
  </si>
  <si>
    <t>28 April 2025</t>
  </si>
  <si>
    <t>DJ Steel</t>
  </si>
  <si>
    <t>DJ Steel - Lyndarr Constructions Pty Ltd</t>
  </si>
  <si>
    <t xml:space="preserve">Lot 1 16 Mill Rd </t>
  </si>
  <si>
    <t>122.148.134.162</t>
  </si>
  <si>
    <t>AVC000102465668</t>
  </si>
  <si>
    <t>DJ Steel Biloela</t>
  </si>
  <si>
    <t>49 DAWSON HWY, BILOELA QLD</t>
  </si>
  <si>
    <t xml:space="preserve">Fibre </t>
  </si>
  <si>
    <t>144.6.124.137</t>
  </si>
  <si>
    <t>15 Jan 2025</t>
  </si>
  <si>
    <t>DJ Steel Eidsvold</t>
  </si>
  <si>
    <t xml:space="preserve">Lot 1 32 Moreton St </t>
  </si>
  <si>
    <t>139.218.209.51</t>
  </si>
  <si>
    <t xml:space="preserve">	AVC000181597024</t>
  </si>
  <si>
    <t>Doctors at Samford Valley</t>
  </si>
  <si>
    <t xml:space="preserve">Unit 4 Lot 4 39 Main St </t>
  </si>
  <si>
    <t>202.62.138.98</t>
  </si>
  <si>
    <t xml:space="preserve">	AVC000173412783</t>
  </si>
  <si>
    <t>Done</t>
  </si>
  <si>
    <t>Connecting IP-Line 6023265 to Access 100770108</t>
  </si>
  <si>
    <t>Up to 100/40Mbps; AVC ID:AVC000139523366</t>
  </si>
  <si>
    <t>AVC000139523366</t>
  </si>
  <si>
    <t>12 Months</t>
  </si>
  <si>
    <t>30/09/2021</t>
  </si>
  <si>
    <t>Doyles Trade Center</t>
  </si>
  <si>
    <t>30 KEDRON AV, MITCHELTON QLD</t>
  </si>
  <si>
    <t>159.196.4.165</t>
  </si>
  <si>
    <t>10 May 2023</t>
  </si>
  <si>
    <t>Sasboss/Datagate</t>
  </si>
  <si>
    <t>Drummond House</t>
  </si>
  <si>
    <t>Connecting IP-Line 6023265 to Access 1675725</t>
  </si>
  <si>
    <t>Up to 100/40Mbps; AVC ID:AVC000067038082</t>
  </si>
  <si>
    <t>AVC000067038082</t>
  </si>
  <si>
    <t>23/08/2018</t>
  </si>
  <si>
    <t>EcoLife Solutions</t>
  </si>
  <si>
    <t>Unit 1 23 Terrence Road, Brendale Qld 4500 Australia</t>
  </si>
  <si>
    <t>Vocus Business unlimited 100 Mbps
Unit 1 23 Terrence Road, Brendale Qld 4500 Australia</t>
  </si>
  <si>
    <t>EcoLife Solutions Canberra</t>
  </si>
  <si>
    <t xml:space="preserve">Unit 3 33 Lorn Rd </t>
  </si>
  <si>
    <t>125.168.126.128</t>
  </si>
  <si>
    <t xml:space="preserve">	AVC000189527266</t>
  </si>
  <si>
    <t>Edens Landing Doctors</t>
  </si>
  <si>
    <t>Shop 10 125-127 Castile Cr Edens Landing (</t>
  </si>
  <si>
    <t>203.91.240.231</t>
  </si>
  <si>
    <t xml:space="preserve">	AVC400041787008</t>
  </si>
  <si>
    <t>Elanora Heights Medical Practice</t>
  </si>
  <si>
    <t xml:space="preserve">Shop 3 69 Kalang Rd </t>
  </si>
  <si>
    <t>202.62.155.211</t>
  </si>
  <si>
    <t xml:space="preserve">	AVC000182527035</t>
  </si>
  <si>
    <t>Elizabeth Hodge - Empire Accountants</t>
  </si>
  <si>
    <t>5B 57 MILLER STREET, MURARRIE, QLD, 4172</t>
  </si>
  <si>
    <t>Plan TFS200R1 Unlimited 387</t>
  </si>
  <si>
    <t>200/200Mbps</t>
  </si>
  <si>
    <t>58.96.61.138</t>
  </si>
  <si>
    <t>1 Dec 2022</t>
  </si>
  <si>
    <t>5 Jun 2027</t>
  </si>
  <si>
    <t>Elm Wurgler</t>
  </si>
  <si>
    <t xml:space="preserve">Lot 2 316 Dr Mays Crossing Rd </t>
  </si>
  <si>
    <t>125.168.84.8</t>
  </si>
  <si>
    <t xml:space="preserve">	AVC000166734915</t>
  </si>
  <si>
    <t>Emergency Medical Foundation</t>
  </si>
  <si>
    <t>UN 1, 34 SHERWOOD RD, TOOWONG QLD</t>
  </si>
  <si>
    <t>144.6.126.18</t>
  </si>
  <si>
    <t>16 July 2024</t>
  </si>
  <si>
    <t>Empowering Hive</t>
  </si>
  <si>
    <t>Connecting IP-Line 6023265 to Access 100828900</t>
  </si>
  <si>
    <t>Up to 100/40Mbps; AVC ID:AVC000162253542</t>
  </si>
  <si>
    <t>AVC000162253542</t>
  </si>
  <si>
    <t xml:space="preserve">Energy Pro </t>
  </si>
  <si>
    <t>ROOM CCTV, 95 NORTH QY, BRISBANE CITY QLD</t>
  </si>
  <si>
    <t>144.6.115.206</t>
  </si>
  <si>
    <t>20 Mar 2024</t>
  </si>
  <si>
    <t>Exceed Laser</t>
  </si>
  <si>
    <t>43 BERNOULLI ST, DARRA QLD</t>
  </si>
  <si>
    <t>159.196.211.35</t>
  </si>
  <si>
    <t>28 Nov 2023</t>
  </si>
  <si>
    <t>Expert Electrical Aus Pty Ltd</t>
  </si>
  <si>
    <t xml:space="preserve">Lot: 6 Unit 6 20 Kenworth Pl </t>
  </si>
  <si>
    <t>122.151.161.248</t>
  </si>
  <si>
    <t>AVC000139819908</t>
  </si>
  <si>
    <t>Fast Cut Pty Ltd</t>
  </si>
  <si>
    <t>UN 2, 46 MATHESON ST, VIRGINIA QLD</t>
  </si>
  <si>
    <t>180.150.104.231</t>
  </si>
  <si>
    <t>28 Feb 2025</t>
  </si>
  <si>
    <t>First National Childers</t>
  </si>
  <si>
    <t xml:space="preserve">86 Churchill St </t>
  </si>
  <si>
    <t>125.168.61.226</t>
  </si>
  <si>
    <t>AVC000122982203</t>
  </si>
  <si>
    <t>Firstcare Doctors Pty Ltd</t>
  </si>
  <si>
    <t xml:space="preserve">Unit A 181 Elizabeth St </t>
  </si>
  <si>
    <t>202.62.138.96</t>
  </si>
  <si>
    <t>AVC000145427184</t>
  </si>
  <si>
    <t>Flutterbys Childcare</t>
  </si>
  <si>
    <t xml:space="preserve">Other Childcare 234 Albany Creek Rd </t>
  </si>
  <si>
    <t>211.27.129.138</t>
  </si>
  <si>
    <t xml:space="preserve">	AVC000129588747</t>
  </si>
  <si>
    <t>Fox and Thomas Business Lawyers</t>
  </si>
  <si>
    <t>36 MARSHALL ST, GOONDIWINDI QLD</t>
  </si>
  <si>
    <t>144.6.100.231</t>
  </si>
  <si>
    <t>28 Aug 2026</t>
  </si>
  <si>
    <t>GBA Barcaldine</t>
  </si>
  <si>
    <t>73 ELM ST, BARCALDINE QLD</t>
  </si>
  <si>
    <t>144.6.127.34</t>
  </si>
  <si>
    <t>05 Aug 2024</t>
  </si>
  <si>
    <t>GBA Emerald</t>
  </si>
  <si>
    <t>5 CHURCH LANE, EMERALD QLD</t>
  </si>
  <si>
    <t>180.181.210.204</t>
  </si>
  <si>
    <t>13 June 2026</t>
  </si>
  <si>
    <t>GBA Rockhampton</t>
  </si>
  <si>
    <t>SE 2, 74 VICTORIA PDE, ROCKHAMPTON CITY QLD</t>
  </si>
  <si>
    <t>144.6.127.36</t>
  </si>
  <si>
    <t>26 July 2024</t>
  </si>
  <si>
    <t>Geebung Medical Clinic</t>
  </si>
  <si>
    <t>Unit 2, 328 Newman Road Geebung, QLD 4034</t>
  </si>
  <si>
    <t>AVC000100016749</t>
  </si>
  <si>
    <t>Gladstone GP Super Clinic</t>
  </si>
  <si>
    <t xml:space="preserve">Lot 1 206 Philip St </t>
  </si>
  <si>
    <t>122.151.98.146</t>
  </si>
  <si>
    <t>AVC000175051541</t>
  </si>
  <si>
    <t>GMG</t>
  </si>
  <si>
    <t>Murarrie</t>
  </si>
  <si>
    <t>Connecting IP-Line 6023265 to Access 100864855</t>
  </si>
  <si>
    <t>Up to 100/40Mbps; AVC ID:AVC000179199407</t>
  </si>
  <si>
    <t>AVC000179199407</t>
  </si>
  <si>
    <t>27/09/2023</t>
  </si>
  <si>
    <t>Gordon Orchards Pty Ltd</t>
  </si>
  <si>
    <t xml:space="preserve">Lot 1 165 Langbeckers Rd </t>
  </si>
  <si>
    <t>211.27.182.160</t>
  </si>
  <si>
    <t>AVC000141252438</t>
  </si>
  <si>
    <t>Graphene</t>
  </si>
  <si>
    <t>Connecting IP-Line 6023265 to Access 100819551</t>
  </si>
  <si>
    <t>Up to 100/40Mbps; AVC ID:AVC000159020807</t>
  </si>
  <si>
    <t>AVC000159020807</t>
  </si>
  <si>
    <t>14/09/2022</t>
  </si>
  <si>
    <t>Greg &amp; Jan Taylor</t>
  </si>
  <si>
    <t xml:space="preserve">Lot 28 44 Mary St </t>
  </si>
  <si>
    <t>122.151.191.50</t>
  </si>
  <si>
    <t>AVC000168987260</t>
  </si>
  <si>
    <t>Grunskes By the River</t>
  </si>
  <si>
    <t>11E PETERSEN ST, BUNDABERG EAST QLD</t>
  </si>
  <si>
    <t>167.179.175.113</t>
  </si>
  <si>
    <t>07 Aug 2024</t>
  </si>
  <si>
    <t>Gumdale Dentists</t>
  </si>
  <si>
    <t xml:space="preserve">Shop 22 Lot 0 696 New Cleveland Rd </t>
  </si>
  <si>
    <t>122.148.147.47</t>
  </si>
  <si>
    <t>AVC000123456625</t>
  </si>
  <si>
    <t>Gumdale Medical Centre</t>
  </si>
  <si>
    <t>Lot: 0 Shop 21 696 New Cleveland Rd GUMDALE QLD 4154 SHOP 21 696 NEW CLEVELAND ROAD GUMDALE QLD</t>
  </si>
  <si>
    <t>AVC000104837161</t>
  </si>
  <si>
    <t>Haig St Cafe</t>
  </si>
  <si>
    <t>BG 1, G, SHOP 4, 28 - 30 MUSGRAVE ST, COOLANGATTA QLD 4225</t>
  </si>
  <si>
    <t>Telstra</t>
  </si>
  <si>
    <t>Fast Speed NBN / Static IP</t>
  </si>
  <si>
    <t>Premium Internet, Static IP</t>
  </si>
  <si>
    <t>Hanwha Mining Services</t>
  </si>
  <si>
    <t>Perth</t>
  </si>
  <si>
    <t>28/07/2020</t>
  </si>
  <si>
    <t xml:space="preserve">Healthy Dynamics </t>
  </si>
  <si>
    <t>Unit 1, 304 MONTAGUE ROAD, WEST END QLD</t>
  </si>
  <si>
    <t>Opticomm 100/40</t>
  </si>
  <si>
    <t>167.179.181.116</t>
  </si>
  <si>
    <t>Hemmingway Financial</t>
  </si>
  <si>
    <t>140 GEORGE ST, BUNDABERG WEST QLD</t>
  </si>
  <si>
    <t>159.196.41.82</t>
  </si>
  <si>
    <t>10 March 2025</t>
  </si>
  <si>
    <t>Hervey Bay Garden Centre</t>
  </si>
  <si>
    <t>7 BARNSTAPLE ST, TORQUAY QLD</t>
  </si>
  <si>
    <t>144.6.255.200</t>
  </si>
  <si>
    <t>19 June 2025</t>
  </si>
  <si>
    <t>ECN/Sasboss</t>
  </si>
  <si>
    <t>Hip Pocket</t>
  </si>
  <si>
    <t>Connecting IP-Line 6023265 to Access 100781041</t>
  </si>
  <si>
    <t>Up to 100/40Mbps; AVC ID:AVC000144535230</t>
  </si>
  <si>
    <t>AVC000144535230</t>
  </si>
  <si>
    <t>20/04/2022</t>
  </si>
  <si>
    <t>HKS Financial Planning</t>
  </si>
  <si>
    <t>SHOP 3, 416 LOGAN RD, STONES CORNER QLD</t>
  </si>
  <si>
    <t>120.88.119.217</t>
  </si>
  <si>
    <t>03 March 2025</t>
  </si>
  <si>
    <t>Holy Shot</t>
  </si>
  <si>
    <t>Shop 2, 938 Brunswick Street, New Farm, QLD 4005</t>
  </si>
  <si>
    <t>Internet and Data 3499568680</t>
  </si>
  <si>
    <t>AVC000121449559</t>
  </si>
  <si>
    <t>IHCA</t>
  </si>
  <si>
    <t>Toowong</t>
  </si>
  <si>
    <t>1000 Mbps; 36 Months</t>
  </si>
  <si>
    <t>Integrated Oral and Maxillofacial Surgery</t>
  </si>
  <si>
    <t>THE BOULEVARD CENTRE SE 5, 68 JESSICA BVD, MINYAMA QLD</t>
  </si>
  <si>
    <t>144.6.96.178</t>
  </si>
  <si>
    <t>25 March 2025</t>
  </si>
  <si>
    <t>Onebill/ Sasboss</t>
  </si>
  <si>
    <t>Jack Green</t>
  </si>
  <si>
    <t xml:space="preserve">Lot 20 30 Claremont Dr </t>
  </si>
  <si>
    <t xml:space="preserve">	AVC000166229424</t>
  </si>
  <si>
    <t>Jayden Adams</t>
  </si>
  <si>
    <t xml:space="preserve">Lot 56 25 Halyard Dr </t>
  </si>
  <si>
    <t>122.148.147.141</t>
  </si>
  <si>
    <t xml:space="preserve">	AVC000140655586</t>
  </si>
  <si>
    <t>Just Better Care</t>
  </si>
  <si>
    <t>UN 11, 621 GYMPIE RD, CHERMSIDE QLD</t>
  </si>
  <si>
    <t>120.88.114.41</t>
  </si>
  <si>
    <t>17 Sept 2024</t>
  </si>
  <si>
    <t>Kaleidoscope Australasia Pty Ltd</t>
  </si>
  <si>
    <t xml:space="preserve">Lot 148 11 Enterprise St </t>
  </si>
  <si>
    <t xml:space="preserve">	AVC000188300054</t>
  </si>
  <si>
    <t>Lead Education</t>
  </si>
  <si>
    <t>Fortitude Valley</t>
  </si>
  <si>
    <t>Ethernet Access</t>
  </si>
  <si>
    <t>Ethernet Multi-Service Access</t>
  </si>
  <si>
    <t>Fibre400 - 400 Mbps</t>
  </si>
  <si>
    <t>LFF HENDRA</t>
  </si>
  <si>
    <t>400 NUDGEE RD, HENDRA QLD</t>
  </si>
  <si>
    <t>250Mbps High CoS</t>
  </si>
  <si>
    <t>120.88.113.199</t>
  </si>
  <si>
    <t>29 Oct 2027</t>
  </si>
  <si>
    <t>Lifestyle WC</t>
  </si>
  <si>
    <t>Connecting IP-Line 6023265 to Access 1820051</t>
  </si>
  <si>
    <t>Up to 100/40Mbps; AVC ID:AVC000107434836</t>
  </si>
  <si>
    <t>AVC000107434836</t>
  </si>
  <si>
    <t>29/05/2020</t>
  </si>
  <si>
    <t>Link Trading</t>
  </si>
  <si>
    <t>Connecting IP-Line 6023265 to Access 1735005</t>
  </si>
  <si>
    <t>Up to 100/40Mbps; AVC ID:AVC000084139783</t>
  </si>
  <si>
    <t>AVC000084139783</t>
  </si>
  <si>
    <t>Little Cha Bateau Bay</t>
  </si>
  <si>
    <t>BATEAU BAY SQUARE, BG 1, G, SHOP 8, BATEAU BAY NSW 2261</t>
  </si>
  <si>
    <t>Standard Speed NBN 25Mbps</t>
  </si>
  <si>
    <t>Upfront Internet Plan Basic</t>
  </si>
  <si>
    <t>AVC000139404256</t>
  </si>
  <si>
    <t>Little Cha Charlestown Kiosk K803
Charlestown Square, Pearson Street, Charlestown, 2290</t>
  </si>
  <si>
    <t>Little Cha Erina Fair</t>
  </si>
  <si>
    <t>ERINA FAIR SHOPPING CENTRE, BG 1, G, SHOP R05, ERINA NSW 2250</t>
  </si>
  <si>
    <t>Core Internet</t>
  </si>
  <si>
    <t>Little Cha Green Hills</t>
  </si>
  <si>
    <t>Shop K123, Stockland Green Hills, 1 Molly Morgan Drive, East Maitland NSW 2323</t>
  </si>
  <si>
    <t>Internet and Data 3459679090</t>
  </si>
  <si>
    <t>green.hills.lil.cha@bigpond.com</t>
  </si>
  <si>
    <t>Little Cha Lake Haven</t>
  </si>
  <si>
    <t>Shop K10, Lake Haven centre, Lake Haven Drive and Goobarabah Avenue, NSW 2263</t>
  </si>
  <si>
    <t>Internet and Data 5610688880</t>
  </si>
  <si>
    <t>littlechalakehaven1@bigpond.com</t>
  </si>
  <si>
    <t>Little Cha Mt Druitt</t>
  </si>
  <si>
    <t>K29A Carlisle Ave &amp;, Luxford Rd, Mount Druitt NSW 2770, Australia</t>
  </si>
  <si>
    <t>Internet and Data 3538267980</t>
  </si>
  <si>
    <t>littlechamtdruitt@bigpond.com</t>
  </si>
  <si>
    <t>Little Cha St. Ives</t>
  </si>
  <si>
    <t>Shop 145, St Ives Shopping Village, 166 Mona Vale Road, St Ives NSW 2075</t>
  </si>
  <si>
    <t>Internet and Data 9257690190</t>
  </si>
  <si>
    <t>st.ives.lilcha@bigpond.com</t>
  </si>
  <si>
    <t>Little Cha Tuggerah</t>
  </si>
  <si>
    <t>Shop K133, Westfield Tuggerah, 50 Wyong Rd, Tuggerah NSW 2259</t>
  </si>
  <si>
    <t>Internet and Data 5338638090</t>
  </si>
  <si>
    <t>littlechatuggerah@bigpond.com</t>
  </si>
  <si>
    <t>Livingstone Low Electrical Pty Ltd</t>
  </si>
  <si>
    <t xml:space="preserve">Unit 4 Lot 4 6 Phoebe Cr </t>
  </si>
  <si>
    <t>AVC000173412783</t>
  </si>
  <si>
    <t>Locanda Pty Ltd</t>
  </si>
  <si>
    <t xml:space="preserve">Shop 7 62 Hastings St </t>
  </si>
  <si>
    <t>139.218.116.193</t>
  </si>
  <si>
    <t xml:space="preserve">	AVC000132307172</t>
  </si>
  <si>
    <t>London Fire and Safe</t>
  </si>
  <si>
    <t>UN 5, 40 CONTAINER ST, TINGALPA QLD</t>
  </si>
  <si>
    <t>119.18.38.48</t>
  </si>
  <si>
    <t>17 Feb 2025</t>
  </si>
  <si>
    <t>Lune Co- Sydney CBD</t>
  </si>
  <si>
    <t>SHOP RETAIL 14, 8 CASTLEREAGH ST, SYDNEY NSW</t>
  </si>
  <si>
    <t>144.6.228.143</t>
  </si>
  <si>
    <t>26 Sept 2024</t>
  </si>
  <si>
    <t>Datagate/OneBill</t>
  </si>
  <si>
    <t>Makris Group | Broadbeach</t>
  </si>
  <si>
    <t>SUITE 221 17 ELIZABETH AVENUE, BROADBEACH, QLD, 4218</t>
  </si>
  <si>
    <t>58.96.61.181</t>
  </si>
  <si>
    <t>20 Oct 2021</t>
  </si>
  <si>
    <t>20 Oct 2024</t>
  </si>
  <si>
    <t>Maroochydore Doctors at Sunshine Plaza</t>
  </si>
  <si>
    <t xml:space="preserve">Shop 300 154-164 Horton Pde </t>
  </si>
  <si>
    <t>202.62.138.88</t>
  </si>
  <si>
    <t>AVC000147594569</t>
  </si>
  <si>
    <t>Medpods Medical Centre - Yeppoon</t>
  </si>
  <si>
    <t xml:space="preserve">Offc 20b-b 10 Mulwala Dr </t>
  </si>
  <si>
    <t>202.62.147.185</t>
  </si>
  <si>
    <t xml:space="preserve">	AVC000156863063</t>
  </si>
  <si>
    <t>Mega Electrics</t>
  </si>
  <si>
    <t>Connecting IP-Line 6023265 to Access 100846479</t>
  </si>
  <si>
    <t>Up to 100/40Mbps; AVC ID:AVC000170800287</t>
  </si>
  <si>
    <t>AVC000170800287</t>
  </si>
  <si>
    <t>19/04/2023</t>
  </si>
  <si>
    <t>Mega Electrics NSW</t>
  </si>
  <si>
    <t>UN 20, 19 DURIAN PL, WETHERILL PARK NSW</t>
  </si>
  <si>
    <t>144.6.199.151</t>
  </si>
  <si>
    <t>11 April 2024</t>
  </si>
  <si>
    <t>Datagate/Onebill/Sasboss</t>
  </si>
  <si>
    <t>Mega Victoria</t>
  </si>
  <si>
    <t>290 DAREBIN RD, FAIRFIELD VIC</t>
  </si>
  <si>
    <t>144.6.214.253</t>
  </si>
  <si>
    <t>12 Sept 2024</t>
  </si>
  <si>
    <t xml:space="preserve">Michael McNamara </t>
  </si>
  <si>
    <t>133 WOONGARRA SCENIC DR, BARGARA QLD</t>
  </si>
  <si>
    <t>120.88.123.54</t>
  </si>
  <si>
    <t>02 May 2025</t>
  </si>
  <si>
    <t>Middlemount Coal Mine</t>
  </si>
  <si>
    <t>5961 DYSART-MIDDLEMOUNT ROAD, MIDDLEMOUNT, QLD, 4746</t>
  </si>
  <si>
    <t>Plan TFS500R1 Unlimited 1300</t>
  </si>
  <si>
    <t>500/500Mbps</t>
  </si>
  <si>
    <t>115.70.172.197</t>
  </si>
  <si>
    <t>6 Dec 2018</t>
  </si>
  <si>
    <t>24 Mar 2025</t>
  </si>
  <si>
    <t>MONTVILLE (Spicers Clovelly)</t>
  </si>
  <si>
    <t>38-68 BALMORAL ROAD, MONTVILLE, QLD, 4560</t>
  </si>
  <si>
    <t>Plan TMLL100 R1 Unlimited 800</t>
  </si>
  <si>
    <t>220.233.219.233</t>
  </si>
  <si>
    <t>23 Aug 2021</t>
  </si>
  <si>
    <t>23 Aug 2024</t>
  </si>
  <si>
    <t>Mooloolaba Osteopathy and Massage</t>
  </si>
  <si>
    <t xml:space="preserve">Shop 1d Lot 1 77 Mooloolaba Esp </t>
  </si>
  <si>
    <t>122.151.202.186</t>
  </si>
  <si>
    <t xml:space="preserve">	AVC000173495822</t>
  </si>
  <si>
    <t>Mother Duck Bellbowrie</t>
  </si>
  <si>
    <t xml:space="preserve">38 Sugarwood Street </t>
  </si>
  <si>
    <t>111.220.129.19</t>
  </si>
  <si>
    <t>AVC000191546910</t>
  </si>
  <si>
    <t>Mother Duck Bridge</t>
  </si>
  <si>
    <t xml:space="preserve">Lot 141 96 Barrett St </t>
  </si>
  <si>
    <t>203.91.243.33</t>
  </si>
  <si>
    <t xml:space="preserve">	AVC000179635205</t>
  </si>
  <si>
    <t>Mother Duck Eatons Hill</t>
  </si>
  <si>
    <t>SHOP 1, 6 BUNYA PARK DR, EATONS HILL QLD</t>
  </si>
  <si>
    <t>144.6.251.218</t>
  </si>
  <si>
    <t>02 June 2025</t>
  </si>
  <si>
    <t>Mother Duck Enoggera Pty Ltd</t>
  </si>
  <si>
    <t xml:space="preserve">Lot 0 36 Glenalva Tce </t>
  </si>
  <si>
    <t>125.168.82.142</t>
  </si>
  <si>
    <t>AVC400039229676</t>
  </si>
  <si>
    <t>Mount Gravatt NBN</t>
  </si>
  <si>
    <t>Shop 111 55 Creek Rd MOUNT GRAVATT EAST QLD 4122</t>
  </si>
  <si>
    <t>AVC000106130456</t>
  </si>
  <si>
    <t>Niecon</t>
  </si>
  <si>
    <t>Broadbeach</t>
  </si>
  <si>
    <t>21/02/2022</t>
  </si>
  <si>
    <t>Nodo Camp Hill</t>
  </si>
  <si>
    <t>CAMP HILL MARKETPLACE, BG 1, G, SHOP 18, CAMP HILL QLD 4152</t>
  </si>
  <si>
    <t xml:space="preserve">Standard Plus Speed NBN </t>
  </si>
  <si>
    <t>Unlimited Internet</t>
  </si>
  <si>
    <t>Nodo Everton Park</t>
  </si>
  <si>
    <t>TENANCY 28, EVERTON PLAZA , 791 STAFFORD RD, EVERTON PARK QLD</t>
  </si>
  <si>
    <t>NBN 25/10</t>
  </si>
  <si>
    <t>159.196.61.249</t>
  </si>
  <si>
    <t>30 June 2025</t>
  </si>
  <si>
    <t>Nodo Newstead</t>
  </si>
  <si>
    <t>SHOP 3, 1 ELLA ST, NEWSTEAD QLD</t>
  </si>
  <si>
    <t>28 Aug 2025</t>
  </si>
  <si>
    <t>Nodo Newstead/1 Ella St, Newstead, 4006</t>
  </si>
  <si>
    <t>Nodo Southbank</t>
  </si>
  <si>
    <t xml:space="preserve">Shop 65, 114 GREY STREET, SOUTH BRISBANE QLD </t>
  </si>
  <si>
    <t>Opticomm 25/10</t>
  </si>
  <si>
    <t>167.179.183.221</t>
  </si>
  <si>
    <t>no usage yet</t>
  </si>
  <si>
    <t>Nodo Westfield Carindale</t>
  </si>
  <si>
    <t>KSK K108, 1151 CREEK RD, CARINDALE QLD</t>
  </si>
  <si>
    <t>144.6.243.89</t>
  </si>
  <si>
    <t>18 Sept 2024</t>
  </si>
  <si>
    <t>Noma Kensington</t>
  </si>
  <si>
    <t>31 BLACKBEAUTY CT, KENSINGTON QLD</t>
  </si>
  <si>
    <t>NBN 100/20</t>
  </si>
  <si>
    <t>Fixed Wireless</t>
  </si>
  <si>
    <t>159.196.30.85</t>
  </si>
  <si>
    <t>28 Jan 2025</t>
  </si>
  <si>
    <t>North Coast Mower Centre/North Coast Mower Centre</t>
  </si>
  <si>
    <t>36 CORONATION AV, NAMBOUR QLD</t>
  </si>
  <si>
    <t>FIbre</t>
  </si>
  <si>
    <t>180.181.218.156</t>
  </si>
  <si>
    <t>4 Sept 2025</t>
  </si>
  <si>
    <t>Northshore Dental and Oral Health</t>
  </si>
  <si>
    <t xml:space="preserve">Lot 1 710 David Low Way </t>
  </si>
  <si>
    <t>250Mbps/100Mbps</t>
  </si>
  <si>
    <t xml:space="preserve">NBN Reseller  G4 </t>
  </si>
  <si>
    <t>122.151.185.7</t>
  </si>
  <si>
    <t>AVC000168127184</t>
  </si>
  <si>
    <t>Norwest Strata Management</t>
  </si>
  <si>
    <t>BROOKHOLLOW UNIT 5, 40 BROOKHOLLOW AV, NORWEST NSW</t>
  </si>
  <si>
    <t>144.6.47.44</t>
  </si>
  <si>
    <t>27 Sept 2026</t>
  </si>
  <si>
    <t>Oakhurst Gun Works</t>
  </si>
  <si>
    <t xml:space="preserve">67 Woocoo Dr </t>
  </si>
  <si>
    <t>25Mbps/5Mbps</t>
  </si>
  <si>
    <t>125.168.87.239</t>
  </si>
  <si>
    <t xml:space="preserve">	AVC000125914480</t>
  </si>
  <si>
    <t>OceanMed Enterprises Pty Ltd</t>
  </si>
  <si>
    <t xml:space="preserve">Lot 27 74 Helensvale Rd </t>
  </si>
  <si>
    <t>202.62.138.111</t>
  </si>
  <si>
    <t>AVC000175248441</t>
  </si>
  <si>
    <t>Osprey</t>
  </si>
  <si>
    <t>Pacific Flooring</t>
  </si>
  <si>
    <t>SHOP 1A, 25 MICHLIN ST, MOOROOKA QLD</t>
  </si>
  <si>
    <t>159.196.5.59</t>
  </si>
  <si>
    <t>22 Feb 2023</t>
  </si>
  <si>
    <t>PD Capital</t>
  </si>
  <si>
    <t>SE 7C, 307 QUEEN ST, BRISBANE CITY QLD</t>
  </si>
  <si>
    <t>144.6.245.67</t>
  </si>
  <si>
    <t>23 May 2025</t>
  </si>
  <si>
    <t>Pip Theatre</t>
  </si>
  <si>
    <t>Milton</t>
  </si>
  <si>
    <t>250 Mbps; 36 Months</t>
  </si>
  <si>
    <t>Pokolbin | TMLL50 (Spicers Vineyards)</t>
  </si>
  <si>
    <t>555 HERMITAGE ROAD, POKOLBIN, NSW, 2320</t>
  </si>
  <si>
    <t>Plan TMLL50 R1 Unlimited 825</t>
  </si>
  <si>
    <t>50/50Mbps</t>
  </si>
  <si>
    <t>220.233.145.19</t>
  </si>
  <si>
    <t>24 Feb 2022</t>
  </si>
  <si>
    <t>24 Feb 2025</t>
  </si>
  <si>
    <t>Poppy G's Burgers</t>
  </si>
  <si>
    <t>Unit B 2/16A Lloyd St,, Midland, WA 6056</t>
  </si>
  <si>
    <t>Internet and Data 7890661680</t>
  </si>
  <si>
    <t>poppygsburgers@bigpond.com</t>
  </si>
  <si>
    <t xml:space="preserve">Premier Strata Management </t>
  </si>
  <si>
    <t>Northmead</t>
  </si>
  <si>
    <t>28/06/2021</t>
  </si>
  <si>
    <t>Promogear</t>
  </si>
  <si>
    <t>15/06/2021</t>
  </si>
  <si>
    <t>QCOS Orthopaedic</t>
  </si>
  <si>
    <t>NoCthedad</t>
  </si>
  <si>
    <t>19/08/2024</t>
  </si>
  <si>
    <t>Red Ridge Produce</t>
  </si>
  <si>
    <t xml:space="preserve">Lot 3 4387 Goodwood Rd </t>
  </si>
  <si>
    <t>122.151.247.20</t>
  </si>
  <si>
    <t xml:space="preserve">	AVC000164293884</t>
  </si>
  <si>
    <t>Reezo Kebab</t>
  </si>
  <si>
    <t>UN 3, 8 DWYER TURN, JOONDALUP WA</t>
  </si>
  <si>
    <t>144.6.128.61</t>
  </si>
  <si>
    <t>14 Nov 2024</t>
  </si>
  <si>
    <t>Renovo Solutions</t>
  </si>
  <si>
    <t>42 MANNING ST, SOUTH BRISBANE QLD</t>
  </si>
  <si>
    <t>180.181.211.122</t>
  </si>
  <si>
    <t>ResCom</t>
  </si>
  <si>
    <t>Connecting IP-Line 6023265 to Access 1824421</t>
  </si>
  <si>
    <t>Up to 50/20Mbps; AVC ID:AVC000111829058</t>
  </si>
  <si>
    <t>AVC000111829058</t>
  </si>
  <si>
    <t>29/07/2020</t>
  </si>
  <si>
    <t>Richard Livingstone-Blevins</t>
  </si>
  <si>
    <t>91 AIRLIE RD, PULLENVALE QLD</t>
  </si>
  <si>
    <t>144.6.252.69</t>
  </si>
  <si>
    <t>17 Jan 2025</t>
  </si>
  <si>
    <t>Rio Capurso</t>
  </si>
  <si>
    <t xml:space="preserve">Lot 1 34 Whyandra Cl </t>
  </si>
  <si>
    <t>122.151.204.1</t>
  </si>
  <si>
    <t>AVC000182095955</t>
  </si>
  <si>
    <t>River City Maintenance</t>
  </si>
  <si>
    <t>Connecting IP-Line 6023265 to Access 1822685</t>
  </si>
  <si>
    <t>Up to 100/40Mbps; AVC ID:AVC000109675882</t>
  </si>
  <si>
    <t>AVC000109675882</t>
  </si>
  <si>
    <t>RND Pilates</t>
  </si>
  <si>
    <t>UN T4, 51 ROSS ST, NEWSTEAD QLD</t>
  </si>
  <si>
    <t>180.181.211.2</t>
  </si>
  <si>
    <t>Roberts Roofing and Plumbing</t>
  </si>
  <si>
    <t>SHOP 1, 23 MCLEAN ST, BUNDABERG CENTRAL QLD</t>
  </si>
  <si>
    <t>159.196.7.147</t>
  </si>
  <si>
    <t>5 March 2025</t>
  </si>
  <si>
    <t>Rochedale Doctors</t>
  </si>
  <si>
    <t xml:space="preserve">Tncy 10 21 Lorisch Way Rochedale (the Village </t>
  </si>
  <si>
    <t>202.62.138.85</t>
  </si>
  <si>
    <t xml:space="preserve">	AVC000142166382</t>
  </si>
  <si>
    <t>Rochedale Village Doctors</t>
  </si>
  <si>
    <t xml:space="preserve">Shop T03 Lot 2 448 Miles Platting Rd </t>
  </si>
  <si>
    <t>202.62.138.86</t>
  </si>
  <si>
    <t>AVC000142167023</t>
  </si>
  <si>
    <t>ROCKWELL TECHNOLOGY PTY LTD</t>
  </si>
  <si>
    <t>37 ACCESS AV, YATALA QLD</t>
  </si>
  <si>
    <t>144.6.250.159</t>
  </si>
  <si>
    <t>Rode Medical Clinic</t>
  </si>
  <si>
    <t>Unit 17-19, 734 Rode Road Stafford Heights QLD 4053 (Lot: 2 Shop 17 734 Rode Rd STAFFORD HEIGHTS QLD 4053)</t>
  </si>
  <si>
    <t>AVC000105258581</t>
  </si>
  <si>
    <t>Rumi Persian Restaurant</t>
  </si>
  <si>
    <t xml:space="preserve">UNIT, BROADBEACH WATERS, QLD 4218 </t>
  </si>
  <si>
    <t>AVC400038259684</t>
  </si>
  <si>
    <t>RVC Home</t>
  </si>
  <si>
    <t xml:space="preserve">Lot 518 14 Page St </t>
  </si>
  <si>
    <t>202.62.138.79</t>
  </si>
  <si>
    <t xml:space="preserve">	AVC000186915715</t>
  </si>
  <si>
    <t>Salter Bros Clovelly</t>
  </si>
  <si>
    <t>Connecting IP-Line 6333325 to Access 1996677</t>
  </si>
  <si>
    <t>Business Internet - Up to 100Mbps/Up to 20Mbps; AVC ID:AVC000133078964</t>
  </si>
  <si>
    <t>AVC000133078964</t>
  </si>
  <si>
    <t>Salter Bros Potts Point</t>
  </si>
  <si>
    <t>Connecting IP-Line 6023265 to Access 1704132</t>
  </si>
  <si>
    <t>Up to 100/40Mbps; AVC ID:AVC400013955783</t>
  </si>
  <si>
    <t>AVC400013955783</t>
  </si>
  <si>
    <t>Salter Brothers</t>
  </si>
  <si>
    <t>Smile IT</t>
  </si>
  <si>
    <t>Connecting IP-Line 6023265 to Access 100773541</t>
  </si>
  <si>
    <t>Up to 100/40Mbps; AVC ID:AVC000141025780</t>
  </si>
  <si>
    <t>AVC000141025780</t>
  </si>
  <si>
    <t>Smile IT; Stephen D Home internet</t>
  </si>
  <si>
    <t>34 TOWNLEY DR, NORTH LAKES QLD</t>
  </si>
  <si>
    <t>144.6.242.176</t>
  </si>
  <si>
    <t>06 Sept 2024</t>
  </si>
  <si>
    <t>stephen d home internet</t>
  </si>
  <si>
    <t>Solar Centre Brisbane</t>
  </si>
  <si>
    <t>Connecting IP-Line 6023265 to Access 1628046</t>
  </si>
  <si>
    <t>Up to 100/40Mbps; AVC ID:AVC000052706330</t>
  </si>
  <si>
    <t>AVC000052706330</t>
  </si>
  <si>
    <t>Southside Specialist Medical and Geriatric Centre</t>
  </si>
  <si>
    <t xml:space="preserve">Offc Suite 4-04 2 Wellness Way </t>
  </si>
  <si>
    <t>122.148.128.143</t>
  </si>
  <si>
    <t xml:space="preserve">	AVC000150450293</t>
  </si>
  <si>
    <t>Sparrow Early Learning Alkimos</t>
  </si>
  <si>
    <t xml:space="preserve"> Unit 3, 3 BULWARK AVENUE, ALKIMOS WA </t>
  </si>
  <si>
    <t>Opticomm 100/20</t>
  </si>
  <si>
    <t>159.196.138.252</t>
  </si>
  <si>
    <t xml:space="preserve">Sparrow Early Learning Coolamon </t>
  </si>
  <si>
    <t>136 COOLAMON BVD, ELLENBROOK WA</t>
  </si>
  <si>
    <t>157.211.4.130</t>
  </si>
  <si>
    <t>23 Oct 2025</t>
  </si>
  <si>
    <t>Sparrow Group Management</t>
  </si>
  <si>
    <t>18/12/2024</t>
  </si>
  <si>
    <t>Spicers BH</t>
  </si>
  <si>
    <t>Connecting IP-Line 6023265 to Access 1790203</t>
  </si>
  <si>
    <t>Up to 100/40Mbps; AVC ID:AVC400019914534</t>
  </si>
  <si>
    <t>AVC400019914534</t>
  </si>
  <si>
    <t>Spicers Guest House</t>
  </si>
  <si>
    <t>Connecting IP-Line 6023265 to Access 1989132</t>
  </si>
  <si>
    <t>Up to 100/40Mbps; AVC ID:AVC000124232826</t>
  </si>
  <si>
    <t>AVC000124232826</t>
  </si>
  <si>
    <t>Spicers Hiddenvale</t>
  </si>
  <si>
    <t>22 CREEDY ST, ROSEWOOD QLD</t>
  </si>
  <si>
    <t>180.150.104.60</t>
  </si>
  <si>
    <t>04 Jan 2024</t>
  </si>
  <si>
    <t>Spicers HO</t>
  </si>
  <si>
    <t>168 KNAPP STREET, FORTITUDE VALLEY, QLD, 4006</t>
  </si>
  <si>
    <t>Plan TFS100 R1 Unlimited 675</t>
  </si>
  <si>
    <t>115.70.172.81</t>
  </si>
  <si>
    <t>23 Jan 2018</t>
  </si>
  <si>
    <t>15 Feb 2024</t>
  </si>
  <si>
    <t>Spicers Peak Lodge</t>
  </si>
  <si>
    <t>1 WILKINSON RD, MARYVALE QLD</t>
  </si>
  <si>
    <t>159.196.43.67</t>
  </si>
  <si>
    <t>27 May 2022</t>
  </si>
  <si>
    <t>Spring Projects</t>
  </si>
  <si>
    <t xml:space="preserve">Connecting IP-Line 6023265 to Access 100825446
28 CHURCH STREET LOWER Fortitude Valley QLD 4006
</t>
  </si>
  <si>
    <t>Up to 100/40Mbps; AVC ID:AVC000161182476</t>
  </si>
  <si>
    <t>AVC000161182476</t>
  </si>
  <si>
    <t>STA Consulting Engineers</t>
  </si>
  <si>
    <t xml:space="preserve"> oTtherie</t>
  </si>
  <si>
    <t>Stafford City Doctors</t>
  </si>
  <si>
    <t>Shop 93 400 Stafford Rd Stafford (</t>
  </si>
  <si>
    <t>202.62.138.90</t>
  </si>
  <si>
    <t xml:space="preserve">	AVC000104836836</t>
  </si>
  <si>
    <t>Steve Hunt Electrical</t>
  </si>
  <si>
    <t>13 BROADWATER CL, BARGARA QLD</t>
  </si>
  <si>
    <t>144.6.249.149</t>
  </si>
  <si>
    <t>22 Nov 2024</t>
  </si>
  <si>
    <t>Stony Creek Brewing</t>
  </si>
  <si>
    <t>TNCY C11.1, 88 LIMESTONE ST, IPSWICH QLD</t>
  </si>
  <si>
    <t>144.6.248.86</t>
  </si>
  <si>
    <t>11 Nov 2024</t>
  </si>
  <si>
    <t>Strata Dynamics</t>
  </si>
  <si>
    <t>Southport</t>
  </si>
  <si>
    <t>STRFW</t>
  </si>
  <si>
    <t>Connecting IP-Line 6023265 to Access 100843422</t>
  </si>
  <si>
    <t>Up to 50/20Mbps; AVC ID:AVC000169359560</t>
  </si>
  <si>
    <t>AVC000169359560</t>
  </si>
  <si>
    <t>Sub Pest</t>
  </si>
  <si>
    <t>Connecting IP-Line 6023265 to Access 1441473</t>
  </si>
  <si>
    <t>Up to 100/40Mbps; AVC ID:AVC000033948748</t>
  </si>
  <si>
    <t>AVC000033948748</t>
  </si>
  <si>
    <t>21/03/2017</t>
  </si>
  <si>
    <t>Suncoast Building Approvals</t>
  </si>
  <si>
    <t xml:space="preserve">Unit 3 63 The Esplanade </t>
  </si>
  <si>
    <t>122.151.108.112</t>
  </si>
  <si>
    <t>AVC000178598979</t>
  </si>
  <si>
    <t>Sunnybank NBN</t>
  </si>
  <si>
    <t>Lot: 2 Shop 1 565 Beenleigh Rd SUNNYBANK HILLS QLD 4109</t>
  </si>
  <si>
    <t>AVC400024813694</t>
  </si>
  <si>
    <t>Sunshine Coast</t>
  </si>
  <si>
    <t xml:space="preserve">Lot: 432 6 Cala Luna Pde </t>
  </si>
  <si>
    <t>250Mbps/25Mbps Home SuperFast</t>
  </si>
  <si>
    <t>122.148.151.59</t>
  </si>
  <si>
    <t>AVC000047946345</t>
  </si>
  <si>
    <t>Swag Motel</t>
  </si>
  <si>
    <t>Connecting IP-Line 6023265 to Access 100775642</t>
  </si>
  <si>
    <t>Up to 100/40Mbps; AVC ID:AVC000142252277</t>
  </si>
  <si>
    <t>AVC000142252277</t>
  </si>
  <si>
    <t>16/11/2021</t>
  </si>
  <si>
    <t>T2 Electrical</t>
  </si>
  <si>
    <t>Connecting IP-Line 6023265 to Access 1814827</t>
  </si>
  <si>
    <t>Up to 100/40Mbps; AVC ID:AVC400024089343</t>
  </si>
  <si>
    <t>AVC400024089343</t>
  </si>
  <si>
    <t>19/03/2020</t>
  </si>
  <si>
    <t>T2 Head Office</t>
  </si>
  <si>
    <t>62 BEAL ST, MEADOWBROOK QLD</t>
  </si>
  <si>
    <t>NBN 1000/400</t>
  </si>
  <si>
    <t>159.196.211.153</t>
  </si>
  <si>
    <t>04 Oct 2023</t>
  </si>
  <si>
    <t>T2 Randall Street</t>
  </si>
  <si>
    <t>43 RANDALL ST, SLACKS CREEK QLD</t>
  </si>
  <si>
    <t>144.6.100.60</t>
  </si>
  <si>
    <t>08 Sept 2023</t>
  </si>
  <si>
    <t>Talisman</t>
  </si>
  <si>
    <t>UN 301, 10 MARKET ST, BRISBANE CITY QLD</t>
  </si>
  <si>
    <t>120.88.117.3</t>
  </si>
  <si>
    <t>10 Oct 2024</t>
  </si>
  <si>
    <t>Talisman Group</t>
  </si>
  <si>
    <t>Connecting IP-Line 6023265 to Access 100805284</t>
  </si>
  <si>
    <t>Up to 100/40Mbps; AVC ID:AVC000153828911</t>
  </si>
  <si>
    <t>AVC000153828911</t>
  </si>
  <si>
    <t>19/06/2022</t>
  </si>
  <si>
    <t>Tennis Direct</t>
  </si>
  <si>
    <t>Connecting IP-Line 6023265 to Access 100809903</t>
  </si>
  <si>
    <t>Up to 100/40Mbps; AVC ID:AVC000155724359</t>
  </si>
  <si>
    <t>AVC000155724359</t>
  </si>
  <si>
    <t>22/07/2022</t>
  </si>
  <si>
    <t>TerryWhite Chemmart Caboolture North</t>
  </si>
  <si>
    <t xml:space="preserve">Shop 11 1-21 Pettigrew St </t>
  </si>
  <si>
    <t>202.62.138.99</t>
  </si>
  <si>
    <t xml:space="preserve">	AVC000142493653</t>
  </si>
  <si>
    <t>TerryWhite Chemmart Oxenford</t>
  </si>
  <si>
    <t xml:space="preserve">Shop 7 5 Michigan Dr </t>
  </si>
  <si>
    <t>202.62.138.106</t>
  </si>
  <si>
    <t>AVC400036477257</t>
  </si>
  <si>
    <t>Tewantin Noosa Golf</t>
  </si>
  <si>
    <t>46A Cooroy Noosa Rd, Tewantin QLD 4565, Australia</t>
  </si>
  <si>
    <t>Vocus Business Unlimited 100Mbps
46A Cooroy Noosa Rd, Tewantin QLD 4565, Australia</t>
  </si>
  <si>
    <t>The Bay Apartments</t>
  </si>
  <si>
    <t>THE BAY , 371 CHARLTON ESP, SCARNESS QLD</t>
  </si>
  <si>
    <t>1000Mbps High CoS</t>
  </si>
  <si>
    <t>159.196.60.197</t>
  </si>
  <si>
    <t>Month to month</t>
  </si>
  <si>
    <t>-</t>
  </si>
  <si>
    <t>The Cheesecake Shop</t>
  </si>
  <si>
    <t>500 TORQUAY RD, ARMSTRONG CREEK VIC</t>
  </si>
  <si>
    <t>159.196.75.65</t>
  </si>
  <si>
    <t>05 Nov 2024</t>
  </si>
  <si>
    <t>The Lune Co</t>
  </si>
  <si>
    <t>Connecting IP-Line 6023265 to Access 100888557</t>
  </si>
  <si>
    <t>Up to 100/40Mbps; AVC ID:AVC000193692125</t>
  </si>
  <si>
    <t>AVC000193692125</t>
  </si>
  <si>
    <t>14/06/2024</t>
  </si>
  <si>
    <t xml:space="preserve">The Lune Co - Sydney Rosebery	</t>
  </si>
  <si>
    <t xml:space="preserve">OFFC T103, 115 DUNNING AV, ROSEBERY NSW	</t>
  </si>
  <si>
    <t>159.196.214.205</t>
  </si>
  <si>
    <t>18 Nov 2024</t>
  </si>
  <si>
    <t>The Packaging Place</t>
  </si>
  <si>
    <t>Connecting IP-Line 6023265 to Access 100814814</t>
  </si>
  <si>
    <t>Up to 100/40Mbps; AVC ID:AVC000157520435</t>
  </si>
  <si>
    <t>AVC000157520435</t>
  </si>
  <si>
    <t>13/08/2022</t>
  </si>
  <si>
    <t>The Yiros Marketplace</t>
  </si>
  <si>
    <t>Internet and Data 8856262090</t>
  </si>
  <si>
    <t>yiros.marketplace@bigpond.com</t>
  </si>
  <si>
    <t>The Yiros Shop Albion</t>
  </si>
  <si>
    <t>TNCY 6, 6 CROSBY RD, ALBION QLD</t>
  </si>
  <si>
    <t>180.181.215.213</t>
  </si>
  <si>
    <t>02 Aug 2025</t>
  </si>
  <si>
    <t>The Yiros Shop Beenleigh</t>
  </si>
  <si>
    <t>149 GEORGE ST, BEENLEIGH QLD</t>
  </si>
  <si>
    <t>180.150.104.142</t>
  </si>
  <si>
    <t>20 Feb 2025</t>
  </si>
  <si>
    <t>The Yiros Shop Berrinba</t>
  </si>
  <si>
    <t>SHOP 2, 188 WAYNE GOSS DR, BERRINBA QLD</t>
  </si>
  <si>
    <t>144.6.110.28</t>
  </si>
  <si>
    <t>18 Dec 2023</t>
  </si>
  <si>
    <t>The Yiros Shop Burleigh</t>
  </si>
  <si>
    <t>UN 5, 27 CONNOR ST, BURLEIGH HEADS QLD</t>
  </si>
  <si>
    <t>180.181.218.3</t>
  </si>
  <si>
    <t>1 Sept 2025</t>
  </si>
  <si>
    <t>The Yiros Shop Cannon Hill</t>
  </si>
  <si>
    <t>UN 8A, 29 SOUTHGATE AV, CANNON HILL QLD</t>
  </si>
  <si>
    <t>180.181.212.2</t>
  </si>
  <si>
    <t>20 June 2025</t>
  </si>
  <si>
    <t>The Yiros Shop Capalaba</t>
  </si>
  <si>
    <t>SHOP IDF-3B, 108 OLD CLEVELAND RD, CAPALABA QLD</t>
  </si>
  <si>
    <t>180.181.214.54</t>
  </si>
  <si>
    <t>22 July 2025</t>
  </si>
  <si>
    <t>The Yiros Shop Chermside</t>
  </si>
  <si>
    <t>CHERMSIDE SHOPPING CENTRE SHOP R2A, 395 HAMILTON RD, CHERMSIDE QLD</t>
  </si>
  <si>
    <t>144.6.250.2</t>
  </si>
  <si>
    <t>04 June 2025</t>
  </si>
  <si>
    <t>The Yiros Shop Factory Unit</t>
  </si>
  <si>
    <t>SHOP 4, 166 ABBOTSFORD RD, BOWEN HILLS QLD</t>
  </si>
  <si>
    <t>159.196.1.15</t>
  </si>
  <si>
    <t>Unopened</t>
  </si>
  <si>
    <t>The Yiros Shop Head Office</t>
  </si>
  <si>
    <t>SHOP 2.1, 74 TRIBUNE ST, SOUTH BRISBANE QLD</t>
  </si>
  <si>
    <t>4G Broadband Backup</t>
  </si>
  <si>
    <t>25 Oct 2023</t>
  </si>
  <si>
    <t>The Yiros Shop Jindalee</t>
  </si>
  <si>
    <t>SHOP 47, 16 AMAZONS PL, JINDALEE QLD</t>
  </si>
  <si>
    <t>180.181.208.243</t>
  </si>
  <si>
    <t>20 May2025</t>
  </si>
  <si>
    <t>The Yiros Shop Molendinar</t>
  </si>
  <si>
    <t>SHOP FAST FOOD, 383 SOUTHPORT NERANG RD, MOLENDINAR QLD</t>
  </si>
  <si>
    <t>157.211.2.255</t>
  </si>
  <si>
    <t>27 Oct 2025</t>
  </si>
  <si>
    <t>The Yiros Shop Morayfield</t>
  </si>
  <si>
    <t>SHOP 1, 369 MORAYFIELD RD, MORAYFIELD QLD</t>
  </si>
  <si>
    <t>144.6.255.236</t>
  </si>
  <si>
    <t>05 Feb 2025</t>
  </si>
  <si>
    <t>The Yiros Shop Newmarket</t>
  </si>
  <si>
    <t>SHOP 131, 400 NEWMARKET RD, NEWMARKET QLD</t>
  </si>
  <si>
    <t>180.181.219.27</t>
  </si>
  <si>
    <t>9 Sept 2025</t>
  </si>
  <si>
    <t>The Yiros Shop North Lakes</t>
  </si>
  <si>
    <t>SHOP 2, 2 MASON ST, NORTH LAKES QLD</t>
  </si>
  <si>
    <t>159.196.31.236</t>
  </si>
  <si>
    <t>26 March 2025</t>
  </si>
  <si>
    <t>The Yiros Shop Office</t>
  </si>
  <si>
    <t>144.6.107.103</t>
  </si>
  <si>
    <t>26 Oct 2023</t>
  </si>
  <si>
    <t>The Yiros Shop Southport</t>
  </si>
  <si>
    <t>TNCY T06, 115 QUEEN ST, SOUTHPORT QLD</t>
  </si>
  <si>
    <t>144.6.248.117</t>
  </si>
  <si>
    <t>12 Nov 2024</t>
  </si>
  <si>
    <t>The Yiros Shop Stafford</t>
  </si>
  <si>
    <t>Shop 8, 240 Stafford Rd, Stafford QLD</t>
  </si>
  <si>
    <t>144.6.123.91</t>
  </si>
  <si>
    <t>18 Sept 2025</t>
  </si>
  <si>
    <t>The Yiros Shop Valley Metro</t>
  </si>
  <si>
    <t>Valley Centre Plaza Shop 8, 230 Brunswick St, Fortitude Valley QLD</t>
  </si>
  <si>
    <t>180.181.211.244</t>
  </si>
  <si>
    <t>Tingalpa | NBNEE500</t>
  </si>
  <si>
    <t>UNIT 1A 60 ENTERPRISE PLACE, TINGALPA, QLD, 4173</t>
  </si>
  <si>
    <t>Plan NBNEE1000 CBD Unlimited 935</t>
  </si>
  <si>
    <t>115.70.173.239</t>
  </si>
  <si>
    <t>14 Feb 2022</t>
  </si>
  <si>
    <t>22 Feb 2026</t>
  </si>
  <si>
    <t>Touring Solutions Australia</t>
  </si>
  <si>
    <t xml:space="preserve">Lot 9 31 Jones St </t>
  </si>
  <si>
    <t>125.168.95.165</t>
  </si>
  <si>
    <t xml:space="preserve">	AVC000191016024</t>
  </si>
  <si>
    <t>TPG Rural</t>
  </si>
  <si>
    <t>Connecting IP-Line 6023265 to Access 1378914</t>
  </si>
  <si>
    <t>Up to 50/20Mbps; AVC ID:AVC000019834186</t>
  </si>
  <si>
    <t>AVC000019834186</t>
  </si>
  <si>
    <t>16/06/2016</t>
  </si>
  <si>
    <t>Travellers Group</t>
  </si>
  <si>
    <t>21 BOLSOVER ST, ROCKHAMPTON CITY QLD</t>
  </si>
  <si>
    <t>NBN 500/200</t>
  </si>
  <si>
    <t>167.179.168.126</t>
  </si>
  <si>
    <t>02 Oct 2025</t>
  </si>
  <si>
    <t>Travellers Motels Office</t>
  </si>
  <si>
    <t>OFFC 14A, 100 EDWARD ST, BRISBANE CITY QLD</t>
  </si>
  <si>
    <t>144.6.121.6</t>
  </si>
  <si>
    <t>18 April 2024</t>
  </si>
  <si>
    <t>Troocoo</t>
  </si>
  <si>
    <t>OFFC 17 123 EAGLE ST BRISBANE CITY QLD 4000 BRISBANE CITY</t>
  </si>
  <si>
    <t>500Mbps/500Mbps</t>
  </si>
  <si>
    <t>144.6.119.250/31</t>
  </si>
  <si>
    <t>24 Sept 2028</t>
  </si>
  <si>
    <t>True Metal Solutions</t>
  </si>
  <si>
    <t xml:space="preserve">Unit 2 594 Old Gympie Rd </t>
  </si>
  <si>
    <t>202.62.138.103</t>
  </si>
  <si>
    <t xml:space="preserve">	AVC000161817610</t>
  </si>
  <si>
    <t>Turner Childe Street Byron Bay</t>
  </si>
  <si>
    <t>Connecting IP-Line 6023265 to Access 100775640</t>
  </si>
  <si>
    <t>Up to 50/20Mbps; AVC ID:AVC000141728546</t>
  </si>
  <si>
    <t>AVC000141728546</t>
  </si>
  <si>
    <t>Turner First Point Noosa</t>
  </si>
  <si>
    <t>Connecting IP-Line 6023265 to Access 100785513</t>
  </si>
  <si>
    <t>Up to 50/20Mbps; AVC ID:AVC000146482523</t>
  </si>
  <si>
    <t>AVC000146482523</t>
  </si>
  <si>
    <t>Turner Noosa Parade</t>
  </si>
  <si>
    <t>Connecting IP-Line 6023265 to Access 100785493</t>
  </si>
  <si>
    <t>Up to 50/20Mbps; AVC ID:AVC000146203088</t>
  </si>
  <si>
    <t>AVC000146203088</t>
  </si>
  <si>
    <t>UMC Caboolture</t>
  </si>
  <si>
    <t>SHOP 14 1-21 PETTIGREW ST CABOOLTURE QLD 4510 Australia</t>
  </si>
  <si>
    <t>AVC000109984866</t>
  </si>
  <si>
    <t>UMC North Lakes</t>
  </si>
  <si>
    <t xml:space="preserve">Offc 1 26 Torres Cr </t>
  </si>
  <si>
    <t>202.62.138.80</t>
  </si>
  <si>
    <t>AVC000157763345</t>
  </si>
  <si>
    <t xml:space="preserve">Urban Garden </t>
  </si>
  <si>
    <t>SE 1, 4 FIRST AV, MAROOCHYDORE QLD</t>
  </si>
  <si>
    <t>144.6.124.5</t>
  </si>
  <si>
    <t>05 June 2024</t>
  </si>
  <si>
    <t>Varsity Apartments</t>
  </si>
  <si>
    <t>Unit 34 8 Varsityview Court, Sippy Downs Qld 4556 Australia</t>
  </si>
  <si>
    <t>1000 mbps Vocus Business Unlimited 
Unit 34 8 Varsityview Court, Sippy Downs Qld 4556 Australia</t>
  </si>
  <si>
    <t>W&amp;T Parcel &amp; Freight</t>
  </si>
  <si>
    <t xml:space="preserve">Shed 7 17 Kingston Dr </t>
  </si>
  <si>
    <t>125.168.90.21</t>
  </si>
  <si>
    <t>AVC000132016238</t>
  </si>
  <si>
    <t>Waterford Medical</t>
  </si>
  <si>
    <t>AVC400021251022</t>
  </si>
  <si>
    <t>Wattle Court Homes</t>
  </si>
  <si>
    <t>ELOUERA TOWERS UN 1, 81 SIXTH AV, MAROOCHYDORE QLD</t>
  </si>
  <si>
    <t>144.6.125.131</t>
  </si>
  <si>
    <t>02 July 2024</t>
  </si>
  <si>
    <t>Wineology</t>
  </si>
  <si>
    <t>UN 3, 471 ADELAIDE ST, BRISBANE CITY QLD</t>
  </si>
  <si>
    <t>167.179.170.141</t>
  </si>
  <si>
    <t>06 Oct 2022</t>
  </si>
  <si>
    <t>Woodland</t>
  </si>
  <si>
    <t>Woodlands</t>
  </si>
  <si>
    <t>2814 OLD GYMPIE RD, BEERWAH QLD</t>
  </si>
  <si>
    <t>NBN 250/20</t>
  </si>
  <si>
    <t>144.6.241.224</t>
  </si>
  <si>
    <t>16 May 2025</t>
  </si>
  <si>
    <t>Woodlands Enterprise</t>
  </si>
  <si>
    <t>180.150.107.31</t>
  </si>
  <si>
    <t>22 Feb 2025</t>
  </si>
  <si>
    <t>WorkFit Medical Australia</t>
  </si>
  <si>
    <t>202.62.138.97</t>
  </si>
  <si>
    <t xml:space="preserve">	AVC000145741930</t>
  </si>
  <si>
    <t>Xtend Outdoors (Aussie Traveler)</t>
  </si>
  <si>
    <t>LOT 19 PALMETTO ST, CHEVALLUM QLD</t>
  </si>
  <si>
    <t>144.6.96.219</t>
  </si>
  <si>
    <t>15 May 2023</t>
  </si>
  <si>
    <t>Yallungah Boutique Hotel</t>
  </si>
  <si>
    <t>62 BYNG ST, ORANGE NSW</t>
  </si>
  <si>
    <t>180.181.233.48</t>
  </si>
  <si>
    <t>16 Oct 2025</t>
  </si>
  <si>
    <t>Zambrero Albury</t>
  </si>
  <si>
    <t>461B Dean St, Albury NSW</t>
  </si>
  <si>
    <t xml:space="preserve">NBN 25/10 </t>
  </si>
  <si>
    <t>144.6.224.43</t>
  </si>
  <si>
    <t>Zambrero Ascot</t>
  </si>
  <si>
    <t>714 182 GREAT EASTERN HWY ASCOT  </t>
  </si>
  <si>
    <t>Main Business Number</t>
  </si>
  <si>
    <t>AVC000093503337</t>
  </si>
  <si>
    <t>Zambrero Balaclava</t>
  </si>
  <si>
    <t>254 CARLISLE ST, BALACLAVA VIC</t>
  </si>
  <si>
    <t>159.196.221.125</t>
  </si>
  <si>
    <t>31 March 2025</t>
  </si>
  <si>
    <t>Zambrero Baldivis</t>
  </si>
  <si>
    <t xml:space="preserve"> STOCKLAND BALDIVIS, BG 1, G, SHOP EX001, BALDIVIS WA 6171</t>
  </si>
  <si>
    <t>Zambrero Balnarring</t>
  </si>
  <si>
    <t>SHOP 8, 3050 FRANKSTON-FLINDERS RD, BALNARRING VIC</t>
  </si>
  <si>
    <t>144.6.84.176</t>
  </si>
  <si>
    <t>05 Dec 2023</t>
  </si>
  <si>
    <t>Zambrero Banksia Grove</t>
  </si>
  <si>
    <t>BANKSIA GROVE VILLAGE TNCY 11, 1001 JOONDALUP DR, BANKSIA GROVE WA</t>
  </si>
  <si>
    <t>144.6.157.252</t>
  </si>
  <si>
    <t>Zambrero Bassendean</t>
  </si>
  <si>
    <t>HAWAIIAN'S BASSENDEAN SHOPPING CENTRE, BG 1, G, SHOP 8A, BASSENDEAN WA 6054</t>
  </si>
  <si>
    <t>aattard542@bigpond.com</t>
  </si>
  <si>
    <t>Zambrero Batemans Bay</t>
  </si>
  <si>
    <t>SHOP 2, 8 NORTH ST, BATEMANS BAY NSW 2536</t>
  </si>
  <si>
    <t>AVC000157988192</t>
  </si>
  <si>
    <t>Zambrero Beldon</t>
  </si>
  <si>
    <t>BELRIDGE SHOPPING CENTRE UN 4, 36 GWENDOLINE DR, BELDON WA</t>
  </si>
  <si>
    <t>61.245.132.106</t>
  </si>
  <si>
    <t>17 July 2025</t>
  </si>
  <si>
    <t>Zambrero Bentleigh</t>
  </si>
  <si>
    <t>476 CENTRE RD, BENTLEIGH VIC</t>
  </si>
  <si>
    <t>180.181.192.46</t>
  </si>
  <si>
    <t>Zambrero Biggera Waters</t>
  </si>
  <si>
    <t>Shop 11, Treasure Cove Shopping Centre , 2 Treasure Island Dr, Biggera Waters QLD 4216</t>
  </si>
  <si>
    <t>Internet and Data 3975865580</t>
  </si>
  <si>
    <t>zambiggerawaters@bigpond.com</t>
  </si>
  <si>
    <t>Zambrero Bondi Beach</t>
  </si>
  <si>
    <t>BG 1, G, Shop 1, 112-116 Campbell Pde,Bondi Beach , NSW 2026</t>
  </si>
  <si>
    <t xml:space="preserve">Fast Speed NBN </t>
  </si>
  <si>
    <t>Zambrero Box Hill</t>
  </si>
  <si>
    <t>CARMEL VILLAGE SHOPPING CENTRE, SHOP 8, BOX HILL NSW 2765</t>
  </si>
  <si>
    <t>Zambrero Brabham</t>
  </si>
  <si>
    <t>BG 1, G, SHOP TNCY8, 100 EVERGLADES AVE, BRABHAM WA 6055</t>
  </si>
  <si>
    <t xml:space="preserve">Zambrero Brabham	</t>
  </si>
  <si>
    <t>TNCY 8, 100 EVERGLADES AV, BRABHAM WA</t>
  </si>
  <si>
    <t>144.6.136.50</t>
  </si>
  <si>
    <t>28 Oct 2025</t>
  </si>
  <si>
    <t>Zambrero Broadbeach</t>
  </si>
  <si>
    <t>SHOP 11, 90 SURF PDE, BROADBEACH QLD</t>
  </si>
  <si>
    <t>180.181.209.156</t>
  </si>
  <si>
    <t>23 June 2025</t>
  </si>
  <si>
    <t>Zambrero Buranda</t>
  </si>
  <si>
    <t>SHOP 22, 248 IPSWICH RD, WOOLLOONGABBA QLD</t>
  </si>
  <si>
    <t>180.181.218.5</t>
  </si>
  <si>
    <t>Zambrero Burleigh Heads</t>
  </si>
  <si>
    <t>3 CONNOR ST, BURLEIGH HEADS QLD</t>
  </si>
  <si>
    <t>144.6.240.144</t>
  </si>
  <si>
    <t>19 Dec 2024</t>
  </si>
  <si>
    <t>Zambrero Busselton</t>
  </si>
  <si>
    <t>SHOP T3, 3 ALBERT ST, BUSSELTON WA</t>
  </si>
  <si>
    <t>180.150.87.146</t>
  </si>
  <si>
    <t>28 Dec 2024</t>
  </si>
  <si>
    <t>Zambrero Byford</t>
  </si>
  <si>
    <t xml:space="preserve">
BYFORD SHOPPING CENTRE, SHOP 1, 837 SOUTH WESTERN HWY, BYFORD, WA 6122</t>
  </si>
  <si>
    <t>Internet and Data 5298791580</t>
  </si>
  <si>
    <t>zam.byford@bigpond.com</t>
  </si>
  <si>
    <t>Zambrero Canning Vale</t>
  </si>
  <si>
    <t>KFC, 96 RANFORD RD, CANNING VALE WA 6155</t>
  </si>
  <si>
    <t>Internet and Data 5254603190</t>
  </si>
  <si>
    <t>zambrerocanningvale@bigpond.com</t>
  </si>
  <si>
    <t>Zambrero Capalaba</t>
  </si>
  <si>
    <t>CAPALABA CENTRAL, BG 1, G, SHOP 84, CAPALABA QLD 4157</t>
  </si>
  <si>
    <t>Zambrero Caroline Springs</t>
  </si>
  <si>
    <t>SHOP 11, 13 LAKE ST, CAROLINE SPRINGS VIC</t>
  </si>
  <si>
    <t>144.6.185.112</t>
  </si>
  <si>
    <t>29 Nov 2024</t>
  </si>
  <si>
    <t>Zambrero Casey Central</t>
  </si>
  <si>
    <t>SHOP F116A, 400 CRANBOURNE RD, NARRE WARREN SOUTH VIC</t>
  </si>
  <si>
    <t>180.181.200.214</t>
  </si>
  <si>
    <t>05 Aug 2025</t>
  </si>
  <si>
    <t>Zambrero Cloverdale</t>
  </si>
  <si>
    <t>327 ABERNETHY RD, CLOVERDALE WA 6105</t>
  </si>
  <si>
    <t>Zambrero Coffs Harbour</t>
  </si>
  <si>
    <t>SHOP 2 399 PACIFIC HWY, COFFS HARBOUR, NSW 2450</t>
  </si>
  <si>
    <t>Internet and Data 3976086580</t>
  </si>
  <si>
    <t>zamcoffsharbour@bigpond.com</t>
  </si>
  <si>
    <t>Zambrero Coolangatta</t>
  </si>
  <si>
    <t>Unit 1, 56 Griffith St, Coolangatta, QLD</t>
  </si>
  <si>
    <t xml:space="preserve">AVC000037209743 </t>
  </si>
  <si>
    <t>Zambrero Coolum</t>
  </si>
  <si>
    <t>SEA COOLUM SHOP 2, 1796 DAVID LOW WAY, COOLUM BEACH QLD</t>
  </si>
  <si>
    <t>159.196.4.248</t>
  </si>
  <si>
    <t>14 Dec 2023</t>
  </si>
  <si>
    <t>Zambrero Coomera Square</t>
  </si>
  <si>
    <t>SHOP 1C, 2 CITY CENTRE DR, UPPER COOMERA QLD</t>
  </si>
  <si>
    <t>144.6.123.138</t>
  </si>
  <si>
    <t>Zambrero Coopers Plains</t>
  </si>
  <si>
    <t>SHOP 2, 19 KESSELS RD, SALISBURY QLD 4107</t>
  </si>
  <si>
    <t>Internet and Data 7455483190</t>
  </si>
  <si>
    <t>zambrerocoopers@bigpond.com</t>
  </si>
  <si>
    <t>Zambrero Cronulla</t>
  </si>
  <si>
    <t>93 CRONULLA ST, CRONULLA NSW</t>
  </si>
  <si>
    <t>144.6.15.170</t>
  </si>
  <si>
    <t>08 May 2025</t>
  </si>
  <si>
    <t>Zambrero Crowsnest</t>
  </si>
  <si>
    <t>84 Willoughby Rd, Crows Nest NSW 2065</t>
  </si>
  <si>
    <t>Internet and Data 8410605580</t>
  </si>
  <si>
    <t>zamcrowsnest1@bigpond.com</t>
  </si>
  <si>
    <t>Zambrero Currambine</t>
  </si>
  <si>
    <t>CURRAMBINE CENTRAL SHOP SP110, 1244 MARMION AV, CURRAMBINE WA</t>
  </si>
  <si>
    <t>103.94.50.85</t>
  </si>
  <si>
    <t>15 July 2024</t>
  </si>
  <si>
    <t>Zambrero Currumbin</t>
  </si>
  <si>
    <t>HAYTER COURT SHOP 1B, 1 STEWART RD, CURRUMBIN WATERS QLD</t>
  </si>
  <si>
    <t>144.6.107.124</t>
  </si>
  <si>
    <t>27 Oct 2023</t>
  </si>
  <si>
    <t>Zambrero Deception Bay</t>
  </si>
  <si>
    <t>378 DECEPTION BAY RD, DECEPTION BAY QLD</t>
  </si>
  <si>
    <t>180.181.211.206</t>
  </si>
  <si>
    <t>03 Aug 2025</t>
  </si>
  <si>
    <t>Zambrero East Perth</t>
  </si>
  <si>
    <t>HYATT COMPLEX UN L3-07, 99 ADELAIDE TCE, EAST PERTH WA</t>
  </si>
  <si>
    <t>144.6.148.123</t>
  </si>
  <si>
    <t>04 Nov 2024</t>
  </si>
  <si>
    <t>Zambrero Eaton Fair</t>
  </si>
  <si>
    <t>Shop T62 Eaton Fair Shopping Centre, 2 
Recreation Drive, Eaton WA 6232</t>
  </si>
  <si>
    <t>Internet and Data 8372161780</t>
  </si>
  <si>
    <t>zambreroeaton@bigpond.com</t>
  </si>
  <si>
    <t>Zambrero Echuca Tenancy 3/456 High Street,
Echuca, 3564</t>
  </si>
  <si>
    <t>Zambrero Elizabeth St</t>
  </si>
  <si>
    <t>SHOP 2, 97 ELIZABETH ST, MELBOURNE VIC</t>
  </si>
  <si>
    <t>144.6.90.91</t>
  </si>
  <si>
    <t>15 Mar 2024</t>
  </si>
  <si>
    <t>Zambrero Essendon</t>
  </si>
  <si>
    <t>1120 MT ALEXANDER RD, ESSENDON VIC 3040</t>
  </si>
  <si>
    <t>dhskjdhds@bigpond.com</t>
  </si>
  <si>
    <t>Zambrero Everton Park</t>
  </si>
  <si>
    <t>SHOP T3-4, 768 STAFFORD RD, EVERTON PARK QLD</t>
  </si>
  <si>
    <t>144.6.100.204</t>
  </si>
  <si>
    <t>Zambrero Fairfield</t>
  </si>
  <si>
    <t>134A STATION ST, FAIRFIELD VIC</t>
  </si>
  <si>
    <t>119.18.30.244</t>
  </si>
  <si>
    <t>Zambrero Forrestfield</t>
  </si>
  <si>
    <t>FORRESTFIELD FORUM SHOP 23M, 20 STRELITZIA AV, FORRESTFIELD WA</t>
  </si>
  <si>
    <t>103.94.48.227</t>
  </si>
  <si>
    <t>30 Sept 2025</t>
  </si>
  <si>
    <t>Zambrero Forrestfield Shop 23M/20 Strelitzia
Avenue, Forrestfield, 6058</t>
  </si>
  <si>
    <t>Zambrero Fremantle</t>
  </si>
  <si>
    <t>4 South Terrace, Fremantle, WA 6160</t>
  </si>
  <si>
    <t>Unlimited Business Internet,Business International Calling pack</t>
  </si>
  <si>
    <t>AVC000109603423</t>
  </si>
  <si>
    <t>Zambrero Geelong West</t>
  </si>
  <si>
    <t>Shop 8, 95-103 Pakington Street, Geelong West, VIC 3218</t>
  </si>
  <si>
    <t>Unlimited Business Internet</t>
  </si>
  <si>
    <t xml:space="preserve">AVC000129630844 </t>
  </si>
  <si>
    <t>Zambrero Geraldton</t>
  </si>
  <si>
    <t>SHOP 26 GROUND / GROUND FLOOR BUILDING 1 
NORTHGATE SHOPPING CENTRE 110 CHAPMAN ROAD , 
GERALDTON , WA 6530 Australia</t>
  </si>
  <si>
    <t>Internet and Data 7457621880</t>
  </si>
  <si>
    <t>amageraldton@bigpond.com</t>
  </si>
  <si>
    <t>Zambrero Gold Coast University Hospital</t>
  </si>
  <si>
    <t>TNCY 8A, 1 HOSPITAL BVD, SOUTHPORT QLD</t>
  </si>
  <si>
    <t>144.6.251.121</t>
  </si>
  <si>
    <t>17 Dec 2024</t>
  </si>
  <si>
    <t>Zambrero Griffith</t>
  </si>
  <si>
    <t>46 192 BANNA AVE GRIFFITH   </t>
  </si>
  <si>
    <t>AVC000037231418</t>
  </si>
  <si>
    <t>Zambrero Hawthorn</t>
  </si>
  <si>
    <t>UN 1, 672 GLENFERRIE RD, HAWTHORN VIC</t>
  </si>
  <si>
    <t>121.200.28.216</t>
  </si>
  <si>
    <t>10 Sept 2024</t>
  </si>
  <si>
    <t>Zambrero Inglewood Shop 2/900-902
Beaufort Street, Inglewood, 6052</t>
  </si>
  <si>
    <t>Zambrero Innaloo</t>
  </si>
  <si>
    <t>SHOP 5, 377 SCARBOROUGH BEACH RD, INNALOO WA 6018</t>
  </si>
  <si>
    <t>Internet and Data 7453795190</t>
  </si>
  <si>
    <t>zambreroinnaloo@bigpond.com</t>
  </si>
  <si>
    <t>Zambrero Jindalee</t>
  </si>
  <si>
    <t>BG 4, G, U 12B, 6 JINDALEE BVD, JINDALEE WA 6036</t>
  </si>
  <si>
    <t>Internet and Data 3457388090</t>
  </si>
  <si>
    <t>Zambrero Joondalup</t>
  </si>
  <si>
    <t>Unit 1, 8 Dwyer Turn, Joondalup, WA 6027</t>
  </si>
  <si>
    <t>AVC000071924218</t>
  </si>
  <si>
    <t>Zambrero Kalgoorlie</t>
  </si>
  <si>
    <t>15 - 17 BOULDER RD, KALGOORLIE WA 6430</t>
  </si>
  <si>
    <t>Internet and Data 5617808880</t>
  </si>
  <si>
    <t>zambrerokalgoorlie@bigpond.com</t>
  </si>
  <si>
    <t>Zambrero Karratha</t>
  </si>
  <si>
    <t>KARRATHA CITY SHOPPING CENTRE SHOP 1, 16 SHARPE AV, KARRATHA WA</t>
  </si>
  <si>
    <t>144.6.158.89</t>
  </si>
  <si>
    <t>15 Sept 2025</t>
  </si>
  <si>
    <t>Zambrero Keilor Downs</t>
  </si>
  <si>
    <t>SHOP G-038, 80 TAYLORS RD, KEILOR DOWNS VIC</t>
  </si>
  <si>
    <t>144.6.190.31</t>
  </si>
  <si>
    <t>05 May 2025</t>
  </si>
  <si>
    <t>Zambrero Kelmscott</t>
  </si>
  <si>
    <t>SHOP 1 4 CHURCH ST, KELMSCOTT, WA 6111</t>
  </si>
  <si>
    <t>Standard Speed NBN 25Mbps &amp; Static IP</t>
  </si>
  <si>
    <t>AVC000114665989</t>
  </si>
  <si>
    <t>Zambrero Kwinana</t>
  </si>
  <si>
    <t>SHOP 104, G, BG 1 KWINANA MARKETPLACE, KWINANA TOWN CENTRE WA 6167</t>
  </si>
  <si>
    <t>accountm016@bigpond.com</t>
  </si>
  <si>
    <t>Zambrero Lithgow</t>
  </si>
  <si>
    <t>1129 GREAT WESTERN HWY, BOWENFELS NSW 2790</t>
  </si>
  <si>
    <t>Internet and Data 3935572690</t>
  </si>
  <si>
    <t>zambrerolithgow@bigpond.com</t>
  </si>
  <si>
    <t>Zambrero Mackay</t>
  </si>
  <si>
    <t>SHOP 1, 37 - 43 ARANA DR, RURAL VIEW QLD 4740</t>
  </si>
  <si>
    <t xml:space="preserve">	Zambrero Wodonga</t>
  </si>
  <si>
    <t>154 High Street ST</t>
  </si>
  <si>
    <t>Mobile Service</t>
  </si>
  <si>
    <t>Zambrero Majura Park</t>
  </si>
  <si>
    <t>Shop 33, 18-26 Spitfire Avenue, Canberra Airport, ACT 2609 (MAJURA PARK SHOPPING CENTRE)</t>
  </si>
  <si>
    <t xml:space="preserve">AVC000126102023 </t>
  </si>
  <si>
    <t>Zambrero Malvern</t>
  </si>
  <si>
    <t>206 GLENFERRIE RD, MALVERN VIC</t>
  </si>
  <si>
    <t>144.6.66.78</t>
  </si>
  <si>
    <t>24 May 2024</t>
  </si>
  <si>
    <t>T103 115 Dunning AV</t>
  </si>
  <si>
    <t xml:space="preserve">	Zam Torquay LOAN</t>
  </si>
  <si>
    <t>85 Surf Coast  HWY</t>
  </si>
  <si>
    <t xml:space="preserve">	Red Roo Backup</t>
  </si>
  <si>
    <t>3 45 Kingtel  PL</t>
  </si>
  <si>
    <t>Signs ETC</t>
  </si>
  <si>
    <t>12 Horizon DR</t>
  </si>
  <si>
    <t xml:space="preserve">	Zambrero Caroline Springs</t>
  </si>
  <si>
    <t>11 13 Lake ST</t>
  </si>
  <si>
    <t>Nodo Fortitude Valley</t>
  </si>
  <si>
    <t>2 26 Wandoo  ST</t>
  </si>
  <si>
    <t xml:space="preserve">	Zambrero Gold Coast University Hospital</t>
  </si>
  <si>
    <t>3 1 Hospital  BVD</t>
  </si>
  <si>
    <t xml:space="preserve">	Zambrero Sanctuary Lakes</t>
  </si>
  <si>
    <t>39 300 Point Cook RD</t>
  </si>
  <si>
    <t xml:space="preserve">	Zambrero Burleigh Heads</t>
  </si>
  <si>
    <t>3 Connor  ST</t>
  </si>
  <si>
    <t>Nodo Elizabeth St</t>
  </si>
  <si>
    <t>300 Elizabeth  ST</t>
  </si>
  <si>
    <t xml:space="preserve">	Zambrero Wyoming</t>
  </si>
  <si>
    <t>459 Pacific  HWY</t>
  </si>
  <si>
    <t xml:space="preserve">	The Yiros Shop Southport</t>
  </si>
  <si>
    <t>T9A 129 Queen ST</t>
  </si>
  <si>
    <t xml:space="preserve">	Zambrero Coolangatta</t>
  </si>
  <si>
    <t>56 Griffith St ST</t>
  </si>
  <si>
    <t>Prov for Nodo Grey For Verify</t>
  </si>
  <si>
    <t>65 114 Grey ST</t>
  </si>
  <si>
    <t>Zambrero Malvern 2</t>
  </si>
  <si>
    <t>29 Feb 2024</t>
  </si>
  <si>
    <t xml:space="preserve">	Troocoo</t>
  </si>
  <si>
    <t>17 123 Eagle ST</t>
  </si>
  <si>
    <t xml:space="preserve">	Fast Cut QLD Pty Ltd</t>
  </si>
  <si>
    <t>1 46 Matheson ST</t>
  </si>
  <si>
    <t>Zambrero Mater</t>
  </si>
  <si>
    <t>Unit 126, 50 Marshall STREET, Burnett Heads QLD</t>
  </si>
  <si>
    <t>Opticomm 50/20</t>
  </si>
  <si>
    <t>167.179.164.35</t>
  </si>
  <si>
    <t>Zambrero Midland</t>
  </si>
  <si>
    <t>16A LLOYD ST, MIDLAND WA</t>
  </si>
  <si>
    <t>159.196.80.166</t>
  </si>
  <si>
    <t>04 April 2024</t>
  </si>
  <si>
    <t xml:space="preserve">	Zambrero Richmond</t>
  </si>
  <si>
    <t>166 Swan St ST</t>
  </si>
  <si>
    <t xml:space="preserve">	Zambrero Marrickville</t>
  </si>
  <si>
    <t>038 80 Taylors Rd RD</t>
  </si>
  <si>
    <t>Zambrero MINCHINBURY</t>
  </si>
  <si>
    <t>OFFC T17, 11 JOHN HINES AV, MINCHINBURY NSW</t>
  </si>
  <si>
    <t>144.6.202.189</t>
  </si>
  <si>
    <t>30 May 2024</t>
  </si>
  <si>
    <t>Zambrero Minchinbury</t>
  </si>
  <si>
    <t>Zambrero Mindarie</t>
  </si>
  <si>
    <t>SHOP 2, 3 BERGEN WAY, MINDARIE WA</t>
  </si>
  <si>
    <t>144.6.137.54</t>
  </si>
  <si>
    <t>Zambrero Mooloolaba</t>
  </si>
  <si>
    <t>SHOP 5, 87 MOOLOOLABA ESP, MOOLOOLABA QLD</t>
  </si>
  <si>
    <t>159.196.208.225</t>
  </si>
  <si>
    <t>14 March 2025</t>
  </si>
  <si>
    <t>QCOS Orthopaedic Pty Ltd</t>
  </si>
  <si>
    <t>14 24 Chasely Street ST</t>
  </si>
  <si>
    <t xml:space="preserve">	Strata Dynamics</t>
  </si>
  <si>
    <t>15 300 Adelaide  ST</t>
  </si>
  <si>
    <t>Graphene Manufacturing Australia</t>
  </si>
  <si>
    <t>5 28 Metroplex AV</t>
  </si>
  <si>
    <t xml:space="preserve">	Zambrero Cronulla</t>
  </si>
  <si>
    <t>93 Cronulla St ST</t>
  </si>
  <si>
    <t>Zambrero Morayfield</t>
  </si>
  <si>
    <t>SHOP 4E, 171 MORAYFIELD RD, MORAYFIELD QLD</t>
  </si>
  <si>
    <t>159.196.5.173</t>
  </si>
  <si>
    <t>25 Sept 2025</t>
  </si>
  <si>
    <t xml:space="preserve">	Zambrero Albury</t>
  </si>
  <si>
    <t>461 Dean St ST</t>
  </si>
  <si>
    <t>Zambrero Morley</t>
  </si>
  <si>
    <t>SHOP FS003, 266 - 282 WALTER RD W, MORLEY WA 6062</t>
  </si>
  <si>
    <t>Internet and Data 5330119090</t>
  </si>
  <si>
    <t>zambreromorley@bigpond.com</t>
  </si>
  <si>
    <t xml:space="preserve">	Zambrero ST Albans</t>
  </si>
  <si>
    <t>53 Sunshine Avenue AV</t>
  </si>
  <si>
    <t>Zambrero Mornington (Yullies RD)</t>
  </si>
  <si>
    <t>FY 1 72 YUILLES RD, MORNINGTON VIC 3931</t>
  </si>
  <si>
    <t>Standard Speed NBN 25Mbps/Static IP</t>
  </si>
  <si>
    <t>Core Internet, Static IP</t>
  </si>
  <si>
    <t xml:space="preserve">	Zambrero Buranda</t>
  </si>
  <si>
    <t>22 250 Ipswich RD</t>
  </si>
  <si>
    <t>Zambrero Mornington Main St</t>
  </si>
  <si>
    <t>BG 1, G, SHOP 2, 45 MAIN ST, MORNINGTON VIC 3931</t>
  </si>
  <si>
    <t>Core Internet ,Static IP</t>
  </si>
  <si>
    <t>Zambrero Murdoch</t>
  </si>
  <si>
    <t>SHOP 9, 48 BARRY MARSHALL PDE, MURDOCH WA</t>
  </si>
  <si>
    <t>144.6.146.99</t>
  </si>
  <si>
    <t xml:space="preserve">	The Yiros Shop Chermside</t>
  </si>
  <si>
    <t>R2A 395 Hamilton RDS</t>
  </si>
  <si>
    <t>The Yiros Shop Canon Hill</t>
  </si>
  <si>
    <t>8A 27 Southgate  AV</t>
  </si>
  <si>
    <t xml:space="preserve">	Zambrero Cranbourne North</t>
  </si>
  <si>
    <t>2 1585 Thompsons RD</t>
  </si>
  <si>
    <t>Zambrero Nedlands</t>
  </si>
  <si>
    <t>11 BROADWAY , NEDLANDS WA</t>
  </si>
  <si>
    <t>144.6.136.42</t>
  </si>
  <si>
    <t>18 Mar 2024</t>
  </si>
  <si>
    <t>Zambrero Nerang</t>
  </si>
  <si>
    <t>Unit 3, Lot 0, 2-10 Riverview Road, Nerang, QLD 4211</t>
  </si>
  <si>
    <t>AVC400032011362</t>
  </si>
  <si>
    <t xml:space="preserve">	Zambrero Broadbeach</t>
  </si>
  <si>
    <t>11 90 Surf PDE</t>
  </si>
  <si>
    <t xml:space="preserve">	Cory Johnston</t>
  </si>
  <si>
    <t>25 8 Metroplex AV</t>
  </si>
  <si>
    <t>Zambrero Newtown</t>
  </si>
  <si>
    <t>281 King Street, Newtown, NSW 2042</t>
  </si>
  <si>
    <t>AVC000125042715</t>
  </si>
  <si>
    <t>Nodo West Village</t>
  </si>
  <si>
    <t>Kiosk 97 Boundary  ST</t>
  </si>
  <si>
    <t>Nodo Grey St (Southbank)</t>
  </si>
  <si>
    <t>Zambrero North Perth</t>
  </si>
  <si>
    <t>UNIT 1, 7 SCARBOROUGH BEACH RD, NORTH PERTH WA</t>
  </si>
  <si>
    <t>16 Apr 2024</t>
  </si>
  <si>
    <t>Zambrero NORTH PERTH WA</t>
  </si>
  <si>
    <t>UN 1, 7 SCARBOROUGH BEACH RD, NORTH PERTH WA</t>
  </si>
  <si>
    <t>144.6.137.143</t>
  </si>
  <si>
    <t>17 April 2024</t>
  </si>
  <si>
    <t>Zambrero Northpoint</t>
  </si>
  <si>
    <t xml:space="preserve">
NORTHPOINT SHOPPING CENTRE, BG 1, LG 1, SHOP 14, HARLAXTON QLD 4350</t>
  </si>
  <si>
    <t>NBN 25Mbps/10Mbps speed</t>
  </si>
  <si>
    <t xml:space="preserve">	The Yiros Shop Factory Unit 4</t>
  </si>
  <si>
    <t>4 166 Abbotsford RD</t>
  </si>
  <si>
    <t>Zambrero Nundah</t>
  </si>
  <si>
    <t>CIRCA NUNDAH VILLAGE, BG 1, G, SHOP 2E, NUNDAH QLD 4012</t>
  </si>
  <si>
    <t>Internet and Data 5333159090</t>
  </si>
  <si>
    <t>zambreronundah2@bigpond.com</t>
  </si>
  <si>
    <t>Zambrero Ocean Grove</t>
  </si>
  <si>
    <t>UN 24, 12 COASTAL BVD, OCEAN GROVE VIC</t>
  </si>
  <si>
    <t>NBN25/10</t>
  </si>
  <si>
    <t>144.6.184.36</t>
  </si>
  <si>
    <t>Zambrero Ocean Grove Tenancy 24/12-22
Coastal Boulevard, Ocean Grove, 3226</t>
  </si>
  <si>
    <t>Zambrero Orange</t>
  </si>
  <si>
    <t>ORANGE CENTRAL SHOP 43, 227 SUMMER ST, ORANGE NSW</t>
  </si>
  <si>
    <t>Zambrero Port Pirie</t>
  </si>
  <si>
    <t>200 ELLEN ST, PORT PIRIE SA</t>
  </si>
  <si>
    <t>144.6.21.182</t>
  </si>
  <si>
    <t>02 April 2024</t>
  </si>
  <si>
    <t>Zambrero Richmond</t>
  </si>
  <si>
    <t>166 SWAN ST, CREMORNE VIC</t>
  </si>
  <si>
    <t>144.6.84.18</t>
  </si>
  <si>
    <t>Zambrero Rockingham</t>
  </si>
  <si>
    <t xml:space="preserve"> SHOP 5 2 SEPIA CT, ROCKINGHAM WA 6168</t>
  </si>
  <si>
    <t>zambrerorockingham@bigpond.com</t>
  </si>
  <si>
    <t>Zambrero Sanctuary Lakes</t>
  </si>
  <si>
    <t>SHOP 39, 300 POINT COOK RD, POINT COOK VIC</t>
  </si>
  <si>
    <t>159.196.217.224</t>
  </si>
  <si>
    <t>Zambrero Scarborough</t>
  </si>
  <si>
    <t>SHOP 10, 148 THE ESPLANADE , SCARBOROUGH WA</t>
  </si>
  <si>
    <t>144.6.149.196</t>
  </si>
  <si>
    <t>27 Nov 2024</t>
  </si>
  <si>
    <t>Zambrero Shop 4E/171 Morayfield Road,
Morayfield, 4506</t>
  </si>
  <si>
    <t>Zambrero Shoreline</t>
  </si>
  <si>
    <t>SHOP 11, 6 SHORELINE DR, HOWRAH TAS</t>
  </si>
  <si>
    <t>167.179.135.228</t>
  </si>
  <si>
    <t>01 Mar 2024</t>
  </si>
  <si>
    <t>Zambrero Sippy Downs</t>
  </si>
  <si>
    <t>TNCY 6, 123 SIPPY DOWNS DR, SIPPY DOWNS QLD</t>
  </si>
  <si>
    <t>144.6.248.118</t>
  </si>
  <si>
    <t>Zambrero South Hedland</t>
  </si>
  <si>
    <t>SOUTH HEDLAND SHOPPING CENTRE, BG 1, G, SHOP E6A, SOUTH HEDLAND WA 6722</t>
  </si>
  <si>
    <t>Zambrero South Yarra</t>
  </si>
  <si>
    <t>374 CHAPEL ST, SOUTH YARRA VIC 3141</t>
  </si>
  <si>
    <t>Unlimited Internet_x000D_</t>
  </si>
  <si>
    <t>Gateway Containers</t>
  </si>
  <si>
    <t>0733482107
0733486129
0733485468</t>
  </si>
  <si>
    <t>Gateway number porting [BN-002035 V2]
Voice (5 Mbps) - Unit 1, 49 Miller Street, Murarrie QLD 4172</t>
  </si>
  <si>
    <t>58.96.63.19</t>
  </si>
  <si>
    <t xml:space="preserve">2 June 2026 </t>
  </si>
  <si>
    <t>Zambrero ST Albans DT</t>
  </si>
  <si>
    <t>UN 3, 53 SUNSHINE AV, ST ALBANS VIC</t>
  </si>
  <si>
    <t>180.181.193.212</t>
  </si>
  <si>
    <t>24 June 2025</t>
  </si>
  <si>
    <t>Zambrero Subiaco</t>
  </si>
  <si>
    <t>SHOP 3, 50 SUBIACO SQUARE RD, SUBIACO WA</t>
  </si>
  <si>
    <t>144.6.134.87</t>
  </si>
  <si>
    <t>10 April 2025</t>
  </si>
  <si>
    <t>Zambrero Sunbury</t>
  </si>
  <si>
    <t>SHOP 6, 40 EVANS ST, SUNBURY VIC</t>
  </si>
  <si>
    <t>144.6.85.141</t>
  </si>
  <si>
    <t>27 June 2024</t>
  </si>
  <si>
    <t>Zambrero Sunshine Plaza</t>
  </si>
  <si>
    <t>SUNSHINE PLAZA SHOP 91A, 154 HORTON PDE, MAROOCHYDORE QLD</t>
  </si>
  <si>
    <t>144.6.121.167</t>
  </si>
  <si>
    <t>14 May 2024</t>
  </si>
  <si>
    <t>Zambrero Sutherland</t>
  </si>
  <si>
    <t>778 OLD PRINCES HWY, SUTHERLAND NSW</t>
  </si>
  <si>
    <t>180.181.236.118</t>
  </si>
  <si>
    <t>Zambrero Swan View</t>
  </si>
  <si>
    <t>DARLING RIDGE SHOPPING CENTRE UN 9, 309 MORRISON RD, SWAN VIEW WA</t>
  </si>
  <si>
    <t>144.6.144.19</t>
  </si>
  <si>
    <t>17 July 2024</t>
  </si>
  <si>
    <t>Zambrero Townsville</t>
  </si>
  <si>
    <t>U 3, 217 - 219 INGHAM RD, WEST END QLD 4810</t>
  </si>
  <si>
    <t>Zambrero Trinity</t>
  </si>
  <si>
    <t>Trinity Arcade, 72 St Georges Terrace, Perth WA 6000</t>
  </si>
  <si>
    <t>Internet and Data 7853745780</t>
  </si>
  <si>
    <t>zambrerotrinity@bigpond.com</t>
  </si>
  <si>
    <t>Zambrero Tuart Hill</t>
  </si>
  <si>
    <t>Unit 4, 207 Wanneroo Rd, Tuart Hill, WA</t>
  </si>
  <si>
    <t xml:space="preserve">AVC000060105588 </t>
  </si>
  <si>
    <t>Zambrero Ulladulla</t>
  </si>
  <si>
    <t>SHOP 2, 169 PRINCES HWY, ULLADULLA NSW 2539</t>
  </si>
  <si>
    <t>Zambrero Vermont South</t>
  </si>
  <si>
    <t>Shop 1, 475 Burwood Highway Vermont South VIC 3133</t>
  </si>
  <si>
    <t>Internet and Data 9372598090</t>
  </si>
  <si>
    <t>burwood.zambrero@bigpond.com</t>
  </si>
  <si>
    <t>Zambrero Warragul</t>
  </si>
  <si>
    <t>22 VICTORIA ST, WARRAGUL VIC 3820</t>
  </si>
  <si>
    <t>Zambrero Warwick</t>
  </si>
  <si>
    <t>WARWICK ENTERTAINMENT CENTRE UN 14, 639 BEACH RD, WARWICK WA</t>
  </si>
  <si>
    <t>159.196.89.49</t>
  </si>
  <si>
    <t>30 Oct 2023</t>
  </si>
  <si>
    <t>Zambrero Waterloo</t>
  </si>
  <si>
    <t>SHOP CR6, 3 ARCHIBALD AV, WATERLOO NSW</t>
  </si>
  <si>
    <t>144.6.239.144</t>
  </si>
  <si>
    <t>26 Feb 2025</t>
  </si>
  <si>
    <t>Zambrero West End Unit 3/217-219 Ingham
Road, West End, 4810</t>
  </si>
  <si>
    <t>Zambrero West Pinjarra Southbound</t>
  </si>
  <si>
    <t>SHOP 2, L 602, PLAN DP62481, WEST PINJARRA WA 6208</t>
  </si>
  <si>
    <t>Zambrero Willetton</t>
  </si>
  <si>
    <t>BURRENDAH TAVERN , 47 BURRENDAH BVD, WILLETTON WA</t>
  </si>
  <si>
    <t>144.6.156.5</t>
  </si>
  <si>
    <t>16 Sept 2025</t>
  </si>
  <si>
    <t>Zambrero Wodonga</t>
  </si>
  <si>
    <t>154 HIGH ST, WODONGA VIC</t>
  </si>
  <si>
    <t>144.6.207.42</t>
  </si>
  <si>
    <t>Zambrero Wodonga East</t>
  </si>
  <si>
    <t>TNCY 3, 4353 ANZAC PDE, WODONGA VIC</t>
  </si>
  <si>
    <t>144.6.203.105</t>
  </si>
  <si>
    <t>24 June 2024</t>
  </si>
  <si>
    <t>Zambrero Woodvale</t>
  </si>
  <si>
    <t>WOODVALE BOULEVARD SHOPPING CENTER, SHOP 5, WOODVALE WA 6026</t>
  </si>
  <si>
    <t>zambrerowoodvale@bigpond.com</t>
  </si>
  <si>
    <t>Zambrero Wyoming</t>
  </si>
  <si>
    <t>459 PACIFIC HWY, WYOMING NSW</t>
  </si>
  <si>
    <t>144.6.237.123</t>
  </si>
  <si>
    <t>20 Dec 2024</t>
  </si>
  <si>
    <t>Zambrero Yamanto</t>
  </si>
  <si>
    <t>SHOP 3 YAMANTO VILLAGE SQUARE, 422 - 436 WARWICK RD, 
YAMANTO, QLD 4305</t>
  </si>
  <si>
    <t>Internet and Data 3978936580</t>
  </si>
  <si>
    <t>zamyamanto7@bigpond.com</t>
  </si>
  <si>
    <t>Zambrero Yanchep</t>
  </si>
  <si>
    <t>TNCY 02, 2 PEONY BVD, YANCHEP WA</t>
  </si>
  <si>
    <t>144.6.129.100</t>
  </si>
  <si>
    <t>10 Jan 2024</t>
  </si>
  <si>
    <t>Zambrero Yarraville</t>
  </si>
  <si>
    <t>27A ANDERSON ST, YARRAVILLE VIC</t>
  </si>
  <si>
    <t>144.6.216.156</t>
  </si>
  <si>
    <t>05 Sept 2024</t>
  </si>
  <si>
    <t>Client Name</t>
  </si>
  <si>
    <t>Account #</t>
  </si>
  <si>
    <t>Customer Service Reference Id</t>
  </si>
  <si>
    <t>Active Date</t>
  </si>
  <si>
    <t>Inactive Date</t>
  </si>
  <si>
    <t>Contract Length</t>
  </si>
  <si>
    <t>SIT Acct Number</t>
  </si>
  <si>
    <t>Site A Address</t>
  </si>
  <si>
    <t>Site A Suburb</t>
  </si>
  <si>
    <t>Site A State</t>
  </si>
  <si>
    <t>Site A Postcode</t>
  </si>
  <si>
    <t>ASG Dandenong</t>
  </si>
  <si>
    <t>Connecting IP-Line 6023265 to Access 1770731</t>
  </si>
  <si>
    <t>Up to 100/40Mbps; AVC ID:AVC000091123477</t>
  </si>
  <si>
    <t>AVC000091123477</t>
  </si>
  <si>
    <t>23/09/2019</t>
  </si>
  <si>
    <t>ASGRocky</t>
  </si>
  <si>
    <t>Connecting IP-Line 6023265 to Access 1819339</t>
  </si>
  <si>
    <t>Up to 50/20Mbps; AVC ID:AVC000106664528</t>
  </si>
  <si>
    <t>AVC000106664528</t>
  </si>
  <si>
    <t>ASG Yatala</t>
  </si>
  <si>
    <t>Connecting IP-Line 6023265 to Access 1683221</t>
  </si>
  <si>
    <t>Up to 100/40Mbps; AVC ID:AVC000069322589</t>
  </si>
  <si>
    <t>AVC000069322589</t>
  </si>
  <si>
    <t>18/10/2018</t>
  </si>
  <si>
    <t>FAST Fibre400 14 Argyle Street Albion</t>
  </si>
  <si>
    <t>SUITE 2, 14 ARGYLE STREET</t>
  </si>
  <si>
    <t>ALBION</t>
  </si>
  <si>
    <t>QLD</t>
  </si>
  <si>
    <t>13/04/2022</t>
  </si>
  <si>
    <t>LEVEL 14, 24 CHASELY STREET</t>
  </si>
  <si>
    <t>AUCHENFLOWER</t>
  </si>
  <si>
    <t>Queenscliff</t>
  </si>
  <si>
    <t>NBN EE Queenscliff</t>
  </si>
  <si>
    <t>Connecting IP-Line 6347779 to FAST Fibre (NTU) 100790595</t>
  </si>
  <si>
    <t>Connecting IP-Line 6384216 to NBN-EE 100879002</t>
  </si>
  <si>
    <t>W/S IP-Line Link</t>
  </si>
  <si>
    <t>Southropf</t>
  </si>
  <si>
    <t>SHOP 1A, 4 WHARF STREET EAST</t>
  </si>
  <si>
    <t>QUEENSCLIFF</t>
  </si>
  <si>
    <t>VIC</t>
  </si>
  <si>
    <t>BBA NBN</t>
  </si>
  <si>
    <t>Body Corporate Systems Pty Ltd</t>
  </si>
  <si>
    <t>Connecting IP-Line 6354007 to NBN-EE 100806882</t>
  </si>
  <si>
    <t>UNIT 106, 621 WYNNUM ROAD</t>
  </si>
  <si>
    <t>MORNINGSIDE</t>
  </si>
  <si>
    <t>Buys Court Nick PFD</t>
  </si>
  <si>
    <t>19/10/2021</t>
  </si>
  <si>
    <t>Caravan and RV Works</t>
  </si>
  <si>
    <t>21/05/2020</t>
  </si>
  <si>
    <t>Cornwalls (QLD)</t>
  </si>
  <si>
    <t>300 QUEEN STREET</t>
  </si>
  <si>
    <t>BRISBANE CITY</t>
  </si>
  <si>
    <t>Connecting IP-Line 6330744 to FAST Fibre (NTU) 100750081</t>
  </si>
  <si>
    <t>CPM James House</t>
  </si>
  <si>
    <t>Relocation of PSI 5683790/1983992</t>
  </si>
  <si>
    <t>DrummondHouse</t>
  </si>
  <si>
    <t>ASD Learning</t>
  </si>
  <si>
    <t>GMG U6</t>
  </si>
  <si>
    <t>44 BORTHWICK AVENUE</t>
  </si>
  <si>
    <t>MURARRIE</t>
  </si>
  <si>
    <t>Graphene New Warehouse</t>
  </si>
  <si>
    <t>Hanwha Fibre</t>
  </si>
  <si>
    <t>LEVEL 12, 256 ADELAIDE TERRACE</t>
  </si>
  <si>
    <t>PERTH</t>
  </si>
  <si>
    <t>WA</t>
  </si>
  <si>
    <t>27/07/2020</t>
  </si>
  <si>
    <t>Connecting IP-Line 6309915 to FAST Fibre (NTU) 100551024</t>
  </si>
  <si>
    <t>Connecting IP-Line 6023265 to Access 1805425</t>
  </si>
  <si>
    <t>Up to 100/40Mbps; AVC ID:AVC000096566008</t>
  </si>
  <si>
    <t>AVC000096566008</t>
  </si>
  <si>
    <t>Hanwha Bris</t>
  </si>
  <si>
    <t>18/12/2019</t>
  </si>
  <si>
    <t>HipPocket Richlands NBN</t>
  </si>
  <si>
    <t>Connecting IP-Line 6023265 to Access 1824412</t>
  </si>
  <si>
    <t>Up to 100/40Mbps; AVC ID:AVC400027217967</t>
  </si>
  <si>
    <t>AVC400027217967</t>
  </si>
  <si>
    <t>HipPocket- NBN</t>
  </si>
  <si>
    <t>24/07/2020</t>
  </si>
  <si>
    <t>IHCA FF New Office</t>
  </si>
  <si>
    <t>SUITE 9A, 39 SHERWOOD ROAD</t>
  </si>
  <si>
    <t>TOOWONG</t>
  </si>
  <si>
    <t>Institute for Healthy Communities Australia</t>
  </si>
  <si>
    <t>Connecting IP-Line 6368648 to FAST Fibre (NTU) 100845801</t>
  </si>
  <si>
    <t>120 Brunswick F400</t>
  </si>
  <si>
    <t>120 BRUNSWICK STREET</t>
  </si>
  <si>
    <t>Lead FV F400</t>
  </si>
  <si>
    <t>Connecting IP-Line 6311389 to Access 1824269</t>
  </si>
  <si>
    <t>Link Trading NBN</t>
  </si>
  <si>
    <t>MEGA NEW OFFICE</t>
  </si>
  <si>
    <t>Connecting IP-Line 6023265 to Access 1823246</t>
  </si>
  <si>
    <t>Up to 50/20Mbps; AVC ID:AVC000110303334</t>
  </si>
  <si>
    <t>AVC000110303334</t>
  </si>
  <si>
    <t>Mega NBN</t>
  </si>
  <si>
    <t>NieconFF400</t>
  </si>
  <si>
    <t>22/02/2022</t>
  </si>
  <si>
    <t>SUITE 4, 17 ELIZABETH AVENUE</t>
  </si>
  <si>
    <t>BROADBEACH</t>
  </si>
  <si>
    <t>Connecting IP-Line 6341260 to FAST Fibre (NTU) 100773118</t>
  </si>
  <si>
    <t>Pip Theatre Fibre</t>
  </si>
  <si>
    <t>UNIT 32, 20 PARK ROAD</t>
  </si>
  <si>
    <t>MILTON</t>
  </si>
  <si>
    <t>PIP Theatre</t>
  </si>
  <si>
    <t>Connecting IP-Line 6353735 to FAST Fibre (NTU) 100805666</t>
  </si>
  <si>
    <t>Premier Strata Management Pty Ltd</t>
  </si>
  <si>
    <t>175 BRIENS ROAD</t>
  </si>
  <si>
    <t>NORTHMEAD</t>
  </si>
  <si>
    <t>NSW</t>
  </si>
  <si>
    <t>Connecting IP-Line 6325238 to FAST Fibre (NTU) 100716020</t>
  </si>
  <si>
    <t>Resubmission - CA16649064 - Promogear NBN</t>
  </si>
  <si>
    <t>16/06/2021</t>
  </si>
  <si>
    <t>Connecting IP-Line 6330916 to NBN-FTTC 100751347</t>
  </si>
  <si>
    <t>Woolloongabba</t>
  </si>
  <si>
    <t>NBN-FTTC</t>
  </si>
  <si>
    <t>TC4 - 100Mbps/40Mbps Mbps; 12 Months; AVC ID:AVC000131846990</t>
  </si>
  <si>
    <t>AVC000131846990</t>
  </si>
  <si>
    <t>LOT 51, 779 STANLEY STREET</t>
  </si>
  <si>
    <t>WOOLLOONGABBA</t>
  </si>
  <si>
    <t>Auchenflower</t>
  </si>
  <si>
    <t>18/08/2024</t>
  </si>
  <si>
    <t>Connecting IP-Line 6392080 to FAST Fibre (NTU) 100896987</t>
  </si>
  <si>
    <t>inactive</t>
  </si>
  <si>
    <t>ResCom- NBN</t>
  </si>
  <si>
    <t>15000GB - Prepaid Internet Data Plan</t>
  </si>
  <si>
    <t>15/01/2016</t>
  </si>
  <si>
    <t>0733588800-0733588899</t>
  </si>
  <si>
    <t>Spicers Balfour</t>
  </si>
  <si>
    <t>24/11/2015</t>
  </si>
  <si>
    <t>37 BALFOUR STREET</t>
  </si>
  <si>
    <t>NEW FARM</t>
  </si>
  <si>
    <t>0243929425-0243929425</t>
  </si>
  <si>
    <t>0754780253-0754780253</t>
  </si>
  <si>
    <t>16/03/2015</t>
  </si>
  <si>
    <t>0731731991-0731731991</t>
  </si>
  <si>
    <t>18/08/2014</t>
  </si>
  <si>
    <t>FW-Clovelly</t>
  </si>
  <si>
    <t>Salter Brothers Management Company Pty Ltd t/a Spicers Potts Point</t>
  </si>
  <si>
    <t>Salter Brothers (Clovelly) Pty Ltd</t>
  </si>
  <si>
    <t>Smile IT Tingalpa</t>
  </si>
  <si>
    <t>0737158569-0737158569</t>
  </si>
  <si>
    <t>Solahart</t>
  </si>
  <si>
    <t>22/04/2016</t>
  </si>
  <si>
    <t>UNIT 2, 6 GRAVEL PIT ROAD</t>
  </si>
  <si>
    <t>DARRA</t>
  </si>
  <si>
    <t>Sparrow Group Management Pty Ltd</t>
  </si>
  <si>
    <t>Connecting IP-Line 6398061 to Access 100907680</t>
  </si>
  <si>
    <t>Fixed Wireless 4G</t>
  </si>
  <si>
    <t>19/12/2024</t>
  </si>
  <si>
    <t>Service not in contract</t>
  </si>
  <si>
    <t>Connecting IP-Line 6398061 to Telstra-EA 100907679</t>
  </si>
  <si>
    <t>20/12/2024</t>
  </si>
  <si>
    <t>Telstra-EA</t>
  </si>
  <si>
    <t>Wireless Access</t>
  </si>
  <si>
    <t>Spring Projects Pty Ltd</t>
  </si>
  <si>
    <t>25 Church Street, Lower Fortitude Valley QLD 4206</t>
  </si>
  <si>
    <t>2728 Logan Road Fast Fibre</t>
  </si>
  <si>
    <t>BUILDING 3, 2728 LOGAN ROAD</t>
  </si>
  <si>
    <t>EIGHT MILE PLAINS</t>
  </si>
  <si>
    <t>Connecting IP-Line 6309908 to FAST Fibre (NTU) 100550968</t>
  </si>
  <si>
    <t>STA Consulting</t>
  </si>
  <si>
    <t>Connecting IP-Line 6023265 to Access 1789965</t>
  </si>
  <si>
    <t>Up to 100/40Mbps; AVC ID:AVC000093966941</t>
  </si>
  <si>
    <t>AVC000093966941</t>
  </si>
  <si>
    <t>STA Justin Home</t>
  </si>
  <si>
    <t xml:space="preserve">Strata Dynamics Pty Ltd </t>
  </si>
  <si>
    <t>56 SCARBOROUGH STREET</t>
  </si>
  <si>
    <t>SOUTHPORT</t>
  </si>
  <si>
    <t>Strata Dynamics Pty Ltd</t>
  </si>
  <si>
    <t>Connecting IP-Line 6384100 to FAST Fibre (NTU) 100878697</t>
  </si>
  <si>
    <t>Suite 1706, 56 Scarborough Street SOUTHPORT QLD 4215 AUSTRALIA</t>
  </si>
  <si>
    <t>STR FW NBN (NEW)</t>
  </si>
  <si>
    <t>Sub Pest NBN</t>
  </si>
  <si>
    <t>Swag Motel NBN</t>
  </si>
  <si>
    <t>17/11/2021</t>
  </si>
  <si>
    <t>T2- NBN</t>
  </si>
  <si>
    <t>10 Eagle NBN relo 5727720</t>
  </si>
  <si>
    <t>20/06/2022</t>
  </si>
  <si>
    <t>Tennis Direct NBN</t>
  </si>
  <si>
    <t>The Lune Co NBN</t>
  </si>
  <si>
    <t>Packaging Place (New Office)</t>
  </si>
  <si>
    <t>Connection ID 1</t>
  </si>
  <si>
    <t>Connection ID 2</t>
  </si>
  <si>
    <t>Notes</t>
  </si>
  <si>
    <t>Buy (ex gst)</t>
  </si>
  <si>
    <t>Sell  (ex gst)</t>
  </si>
  <si>
    <t>Double Buy(Pricing)</t>
  </si>
  <si>
    <t>AVC400055760715</t>
  </si>
  <si>
    <t>NTD400021247054</t>
  </si>
  <si>
    <t>AVC000209940492</t>
  </si>
  <si>
    <t>CPI300002658438</t>
  </si>
  <si>
    <t>AVC000209940561</t>
  </si>
  <si>
    <t>CPI300009796641</t>
  </si>
  <si>
    <t>AVC000168548212</t>
  </si>
  <si>
    <t>CPI300013295675</t>
  </si>
  <si>
    <t>AVC000209861371</t>
  </si>
  <si>
    <t>CPI300002202481</t>
  </si>
  <si>
    <t>AVC000158082158</t>
  </si>
  <si>
    <t>CPI300011409226</t>
  </si>
  <si>
    <t>AVC000179502807</t>
  </si>
  <si>
    <t>CPI300007519565</t>
  </si>
  <si>
    <t>Fibre Connect Eligible</t>
  </si>
  <si>
    <t xml:space="preserve"> </t>
  </si>
  <si>
    <t>AVC000215215187</t>
  </si>
  <si>
    <t>CPI300009735413</t>
  </si>
  <si>
    <t>AVC000209623097</t>
  </si>
  <si>
    <t>CPI300002151755</t>
  </si>
  <si>
    <t>AVC000181329404</t>
  </si>
  <si>
    <t>CPI300002477751</t>
  </si>
  <si>
    <t>AVC000213815804</t>
  </si>
  <si>
    <t>NTD000061515114</t>
  </si>
  <si>
    <t>AVC000221168894</t>
  </si>
  <si>
    <t>NTD000044053849</t>
  </si>
  <si>
    <t>AVC000209750669</t>
  </si>
  <si>
    <t>CPI300001843341</t>
  </si>
  <si>
    <t>AVC000219113301</t>
  </si>
  <si>
    <t>NTD000035635751</t>
  </si>
  <si>
    <t>AVC000211054459</t>
  </si>
  <si>
    <t>NTD000060801229</t>
  </si>
  <si>
    <t>AVC400044431380</t>
  </si>
  <si>
    <t>NTD400029261913</t>
  </si>
  <si>
    <t>AVC000198708709</t>
  </si>
  <si>
    <t>CPI300011295675</t>
  </si>
  <si>
    <t>AVC000191777714</t>
  </si>
  <si>
    <t>CPI300011079033</t>
  </si>
  <si>
    <t>AVC000184492591</t>
  </si>
  <si>
    <t>NTD000041289458</t>
  </si>
  <si>
    <t>AVC000215428937</t>
  </si>
  <si>
    <t>CPI300008471766</t>
  </si>
  <si>
    <t>AVC000200419470</t>
  </si>
  <si>
    <t>CPI300004799582</t>
  </si>
  <si>
    <t>AVC000200419126</t>
  </si>
  <si>
    <t>CPI300001004070</t>
  </si>
  <si>
    <t>AVC000201156890</t>
  </si>
  <si>
    <t>CPI300000119787</t>
  </si>
  <si>
    <t>AVC000216116091</t>
  </si>
  <si>
    <t>CPI300001284942</t>
  </si>
  <si>
    <t>AVC000219932822</t>
  </si>
  <si>
    <t>NTD000063310701</t>
  </si>
  <si>
    <t>Home office</t>
  </si>
  <si>
    <t>AVC400054492983</t>
  </si>
  <si>
    <t>NTD400030238662</t>
  </si>
  <si>
    <t>AVC000217123786</t>
  </si>
  <si>
    <t>NTD000062317127</t>
  </si>
  <si>
    <t>AVC000204510943</t>
  </si>
  <si>
    <t>NTD000053097417</t>
  </si>
  <si>
    <t>AVC000214592010</t>
  </si>
  <si>
    <t>CPI300011656079</t>
  </si>
  <si>
    <t>AVC000205325657</t>
  </si>
  <si>
    <t>NTD000057649345</t>
  </si>
  <si>
    <t>AVC000192612894</t>
  </si>
  <si>
    <t>CPI300002338374</t>
  </si>
  <si>
    <t>AVC400051416347</t>
  </si>
  <si>
    <t>NTD400012941558</t>
  </si>
  <si>
    <t>AVC000218796875</t>
  </si>
  <si>
    <t>NTD000062956953</t>
  </si>
  <si>
    <t>AVC400053361030</t>
  </si>
  <si>
    <t>NTD400030154337</t>
  </si>
  <si>
    <t>AVC000203503394</t>
  </si>
  <si>
    <t>AVC000196529946</t>
  </si>
  <si>
    <t>CPI300001424770</t>
  </si>
  <si>
    <t>AVC000221998754</t>
  </si>
  <si>
    <t>CPI300013502123</t>
  </si>
  <si>
    <t>AVC000223272943</t>
  </si>
  <si>
    <t>CPI300009582896</t>
  </si>
  <si>
    <t>AVC000227205991</t>
  </si>
  <si>
    <t>CPI300007002569</t>
  </si>
  <si>
    <t>AVC000204163096</t>
  </si>
  <si>
    <t>CPI300011922319</t>
  </si>
  <si>
    <t>AVC000210659186</t>
  </si>
  <si>
    <t>NTD000060689794</t>
  </si>
  <si>
    <t>AVC000227694702</t>
  </si>
  <si>
    <t>NTD000061630359</t>
  </si>
  <si>
    <t>AVC400043400094</t>
  </si>
  <si>
    <t>NTD400029117251</t>
  </si>
  <si>
    <t>AVC000220756999</t>
  </si>
  <si>
    <t>CPI300013384499</t>
  </si>
  <si>
    <t>UN 7, 32 COLMSLIE RD, MURARRIE QLD</t>
  </si>
  <si>
    <t>AVC000165681549</t>
  </si>
  <si>
    <t>NTD000050242911</t>
  </si>
  <si>
    <t>159.196.210.123</t>
  </si>
  <si>
    <t>20 Feb 2023</t>
  </si>
  <si>
    <t>AVC000208432917</t>
  </si>
  <si>
    <t>CPI300012856210</t>
  </si>
  <si>
    <t>AVC000210780751</t>
  </si>
  <si>
    <t>NTD000060728392</t>
  </si>
  <si>
    <t>AVC000215821696</t>
  </si>
  <si>
    <t>CPI300000123442</t>
  </si>
  <si>
    <t>AVC000209673575</t>
  </si>
  <si>
    <t>NTD000047001948</t>
  </si>
  <si>
    <t>PEPPERS , 57 EKERTS RD, POKOLBIN NSW</t>
  </si>
  <si>
    <t>AVC000185867460</t>
  </si>
  <si>
    <t>159.196.113.159</t>
  </si>
  <si>
    <t>31 Jan 2024</t>
  </si>
  <si>
    <t>AVC000186783751</t>
  </si>
  <si>
    <t>NTD000042511448</t>
  </si>
  <si>
    <t>AVC000153018825</t>
  </si>
  <si>
    <t>NTD000027251579</t>
  </si>
  <si>
    <t>AVC000208965337</t>
  </si>
  <si>
    <t>CPI300006494686</t>
  </si>
  <si>
    <t>AVC000208269597</t>
  </si>
  <si>
    <t>NTD000014568461</t>
  </si>
  <si>
    <t>AVC000180355942</t>
  </si>
  <si>
    <t>NTD000052809353</t>
  </si>
  <si>
    <t>AVC400046067139</t>
  </si>
  <si>
    <t>NTD400029472801</t>
  </si>
  <si>
    <t>AVC000205827692</t>
  </si>
  <si>
    <t>CPI300009799713</t>
  </si>
  <si>
    <t>AVC000195387109</t>
  </si>
  <si>
    <t>AVC000208636381</t>
  </si>
  <si>
    <t>NTD000055882809</t>
  </si>
  <si>
    <t>AVC000225525725</t>
  </si>
  <si>
    <t>NTD000044439290</t>
  </si>
  <si>
    <t>cancel Telstra</t>
  </si>
  <si>
    <t>AVC000214889395</t>
  </si>
  <si>
    <t>CPI300013143265</t>
  </si>
  <si>
    <t>AVC000185156170</t>
  </si>
  <si>
    <t>AVC400057326025</t>
  </si>
  <si>
    <t>NTD400024521714</t>
  </si>
  <si>
    <t>AVC000222572797</t>
  </si>
  <si>
    <t>CPI300013375331</t>
  </si>
  <si>
    <t>AVC000224723149</t>
  </si>
  <si>
    <t>NTD000045269201</t>
  </si>
  <si>
    <t>AVC000221097507</t>
  </si>
  <si>
    <t>CPI300013501327</t>
  </si>
  <si>
    <t>AVC000224414726</t>
  </si>
  <si>
    <t>CPI300007518716</t>
  </si>
  <si>
    <t>AVC000220513131</t>
  </si>
  <si>
    <t>CPI300003840026</t>
  </si>
  <si>
    <t>AVC000213877757</t>
  </si>
  <si>
    <t>CPI300007923456</t>
  </si>
  <si>
    <t>AVC000227979388</t>
  </si>
  <si>
    <t>CPI300013044000</t>
  </si>
  <si>
    <t>AVC000216782460</t>
  </si>
  <si>
    <t>CPI300002242605</t>
  </si>
  <si>
    <t>AVC000182418751</t>
  </si>
  <si>
    <t>AVC000208333563</t>
  </si>
  <si>
    <t>NTD000047473818</t>
  </si>
  <si>
    <t>AVC400057580819</t>
  </si>
  <si>
    <t>NTD400028671345</t>
  </si>
  <si>
    <t>AVC000228662308</t>
  </si>
  <si>
    <t>CPI300013361759</t>
  </si>
  <si>
    <t>AVC000227195506</t>
  </si>
  <si>
    <t>NTD000066174858</t>
  </si>
  <si>
    <t>AVC000192996612</t>
  </si>
  <si>
    <t>CPI300010170922</t>
  </si>
  <si>
    <t>AVC000198073381</t>
  </si>
  <si>
    <t>CPI300005827900</t>
  </si>
  <si>
    <t>AVC000160224521</t>
  </si>
  <si>
    <t>CPI300012346207</t>
  </si>
  <si>
    <t>AVC000220295474</t>
  </si>
  <si>
    <t>NTD000041506154</t>
  </si>
  <si>
    <t>AVC000215041116</t>
  </si>
  <si>
    <t>AVC000171835999</t>
  </si>
  <si>
    <t>NTD000051162680</t>
  </si>
  <si>
    <t>AVC000228162642</t>
  </si>
  <si>
    <t>NTD000066684082</t>
  </si>
  <si>
    <t>AVC000228557929</t>
  </si>
  <si>
    <t>CPI300001561730</t>
  </si>
  <si>
    <t>AVC400054996546</t>
  </si>
  <si>
    <t>NTD400029301909</t>
  </si>
  <si>
    <t>AVC000185022566</t>
  </si>
  <si>
    <t>AVC000227941354</t>
  </si>
  <si>
    <t>CPI300011891370</t>
  </si>
  <si>
    <t>AVC400056611542</t>
  </si>
  <si>
    <t>NTD400027678405</t>
  </si>
  <si>
    <t>AVC000214049510</t>
  </si>
  <si>
    <t>NTD000061580447</t>
  </si>
  <si>
    <t>AVC000201797290</t>
  </si>
  <si>
    <t>CPI300009250783</t>
  </si>
  <si>
    <t>144.6.214.69</t>
  </si>
  <si>
    <t>04 Sept 2024</t>
  </si>
  <si>
    <t>AVC000222720481</t>
  </si>
  <si>
    <t>CPI300009625906</t>
  </si>
  <si>
    <t>CPI300010288716</t>
  </si>
  <si>
    <t>AVC400053445483</t>
  </si>
  <si>
    <t>NTD400026857539</t>
  </si>
  <si>
    <t>AVC000211258408</t>
  </si>
  <si>
    <t>CPI300013035112</t>
  </si>
  <si>
    <t>AVC000209453963</t>
  </si>
  <si>
    <t>CPI300005664063</t>
  </si>
  <si>
    <t>AVC000224729835</t>
  </si>
  <si>
    <t>CPI300013513718</t>
  </si>
  <si>
    <t>AVC000185631148</t>
  </si>
  <si>
    <t>AVC000196100020</t>
  </si>
  <si>
    <t>CPI300002893388</t>
  </si>
  <si>
    <t>AVC000219812378</t>
  </si>
  <si>
    <t>CPI300006862591</t>
  </si>
  <si>
    <t>AVC000197928962</t>
  </si>
  <si>
    <t>CPI300004796377</t>
  </si>
  <si>
    <t>AVC000182480485</t>
  </si>
  <si>
    <t>AVC000225180985</t>
  </si>
  <si>
    <t>CPI300006714694</t>
  </si>
  <si>
    <t>AVC000207470974</t>
  </si>
  <si>
    <t>CPI300013465176</t>
  </si>
  <si>
    <t>AVC000191007054</t>
  </si>
  <si>
    <t>AVC000222791846</t>
  </si>
  <si>
    <t>CPI300013510098</t>
  </si>
  <si>
    <t>AVC400050528298</t>
  </si>
  <si>
    <t>NTD400024515231</t>
  </si>
  <si>
    <t>AVC000229348168</t>
  </si>
  <si>
    <t xml:space="preserve">
CPI300013282152</t>
  </si>
  <si>
    <t>AVC000210290835</t>
  </si>
  <si>
    <t>CPI300013476863</t>
  </si>
  <si>
    <t>AVC000201713168</t>
  </si>
  <si>
    <t>CPI300008946062</t>
  </si>
  <si>
    <t>AVC000228301442</t>
  </si>
  <si>
    <t>CPI300004454857</t>
  </si>
  <si>
    <t>AVC000219574708</t>
  </si>
  <si>
    <t>CPI300006709365</t>
  </si>
  <si>
    <t>AVC400048610628</t>
  </si>
  <si>
    <t>AVC000192599892</t>
  </si>
  <si>
    <t>AVC000195646572</t>
  </si>
  <si>
    <t>AVC000192657724</t>
  </si>
  <si>
    <t>AVC000216395599</t>
  </si>
  <si>
    <t>CPI300012634515</t>
  </si>
  <si>
    <t>AVC000229026728</t>
  </si>
  <si>
    <t>CPI300000313689</t>
  </si>
  <si>
    <t>AVC000207795764</t>
  </si>
  <si>
    <t>NTD000054894897</t>
  </si>
  <si>
    <t>AVC400048530176</t>
  </si>
  <si>
    <t>AVC000193423259</t>
  </si>
  <si>
    <t>AVC000208706658</t>
  </si>
  <si>
    <t>NTD000048555891</t>
  </si>
  <si>
    <t>AVC000192484084</t>
  </si>
  <si>
    <t>AVC000218976486</t>
  </si>
  <si>
    <t>CPI300010535065</t>
  </si>
  <si>
    <t>AVC000210827701</t>
  </si>
  <si>
    <t>CPI300007648428</t>
  </si>
  <si>
    <t>No usage yet</t>
  </si>
  <si>
    <t>AVC000209307768</t>
  </si>
  <si>
    <t>CPI300010708349</t>
  </si>
  <si>
    <t>AVC000190528662</t>
  </si>
  <si>
    <t>AVC000208334993</t>
  </si>
  <si>
    <t>NTD000059977656</t>
  </si>
  <si>
    <t>AVC000222807230</t>
  </si>
  <si>
    <t>NTD000064091335</t>
  </si>
  <si>
    <t>AVC000218191295</t>
  </si>
  <si>
    <t>CPI300011467618</t>
  </si>
  <si>
    <t>AVC000197526969</t>
  </si>
  <si>
    <t>CPI300001836049</t>
  </si>
  <si>
    <t>AVC000193835088</t>
  </si>
  <si>
    <t>AVC000227743360</t>
  </si>
  <si>
    <t>AVC000199592381</t>
  </si>
  <si>
    <t>AVC000182480975</t>
  </si>
  <si>
    <t>AVC000212928916</t>
  </si>
  <si>
    <t>NTD000061248533</t>
  </si>
  <si>
    <t>AVC400057536701</t>
  </si>
  <si>
    <t>NTD400010670490</t>
  </si>
  <si>
    <t>AVC000199655449</t>
  </si>
  <si>
    <t>CPI300013302807</t>
  </si>
  <si>
    <t>AVC000196093091</t>
  </si>
  <si>
    <t>NTD000056806695</t>
  </si>
  <si>
    <t>AVC000210923394</t>
  </si>
  <si>
    <t>NTD000039726597</t>
  </si>
  <si>
    <t>AVC000187172842</t>
  </si>
  <si>
    <t>AVC000203605941</t>
  </si>
  <si>
    <t>NTD000057960183</t>
  </si>
  <si>
    <t>AVC000230925420</t>
  </si>
  <si>
    <t>NTD000047968583</t>
  </si>
  <si>
    <t>AVC000231117617</t>
  </si>
  <si>
    <t>NTD000047273521</t>
  </si>
  <si>
    <t>AVC000231188749</t>
  </si>
  <si>
    <t>NTD000046848134</t>
  </si>
  <si>
    <t>OAC000000382105</t>
  </si>
  <si>
    <t>09 Mar 2025</t>
  </si>
  <si>
    <t>OAC000000415236</t>
  </si>
  <si>
    <t>OAC000000442337</t>
  </si>
  <si>
    <t>OAC000000584168</t>
  </si>
  <si>
    <t>OVC000000573770</t>
  </si>
  <si>
    <t>unopened</t>
  </si>
  <si>
    <t>74 78 VICTORIA PDE, ROCKHAMPTON CITY QLD</t>
  </si>
  <si>
    <t>OVC000000571406</t>
  </si>
  <si>
    <t>180.181.211.36</t>
  </si>
  <si>
    <t>16 June 2025</t>
  </si>
  <si>
    <t>16 June 2026</t>
  </si>
  <si>
    <t>OVC000000571124</t>
  </si>
  <si>
    <t>13 June 2025</t>
  </si>
  <si>
    <t>OVC000000564234</t>
  </si>
  <si>
    <t>22 May 2025</t>
  </si>
  <si>
    <t>OVC000000556623</t>
  </si>
  <si>
    <t>144.6.241.204</t>
  </si>
  <si>
    <t>28 Apr 2025</t>
  </si>
  <si>
    <t>28 Apr 2026</t>
  </si>
  <si>
    <t>OVC000000518786</t>
  </si>
  <si>
    <t>25 Nov 2024</t>
  </si>
  <si>
    <t>OVC000000513658</t>
  </si>
  <si>
    <t>29 Oct 2024</t>
  </si>
  <si>
    <t>OVC000000347088</t>
  </si>
  <si>
    <t>27 Sept 2023</t>
  </si>
  <si>
    <t>OVC000000335738</t>
  </si>
  <si>
    <t>28 Aug 2023</t>
  </si>
  <si>
    <t>OVC000000219085</t>
  </si>
  <si>
    <t>20 Dec 2022</t>
  </si>
  <si>
    <t>OVC000000234682</t>
  </si>
  <si>
    <t>17 Nov 2022</t>
  </si>
  <si>
    <t>OVC000000234695</t>
  </si>
  <si>
    <t>07 Nov 2022</t>
  </si>
  <si>
    <t>01 April 2022</t>
  </si>
  <si>
    <t>AF400654</t>
  </si>
  <si>
    <t>24 Sept 2025</t>
  </si>
  <si>
    <t>UNIT 301 10 MARKET ST BRISBANE CITY QLD 4000 BRISBANE CITY</t>
  </si>
  <si>
    <t>AF400543</t>
  </si>
  <si>
    <t>144.6.117.238/31</t>
  </si>
  <si>
    <t>11 Nov 2027</t>
  </si>
  <si>
    <t>AF400354</t>
  </si>
  <si>
    <t>05 Feb 2024</t>
  </si>
  <si>
    <t>0403411167</t>
  </si>
  <si>
    <t>0401980328</t>
  </si>
  <si>
    <t>15 May 2024</t>
  </si>
  <si>
    <t>0403117158</t>
  </si>
  <si>
    <t>UN 91A, 154 HORTON PDE, MAROOCHYDORE QLD</t>
  </si>
  <si>
    <t>0401678027</t>
  </si>
  <si>
    <t>04 Apr 2024</t>
  </si>
  <si>
    <t>0402872323</t>
  </si>
  <si>
    <t>28 Mar 2024</t>
  </si>
  <si>
    <t>16 A LLOYD ST, MIDLAND WA</t>
  </si>
  <si>
    <t>0403252983</t>
  </si>
  <si>
    <t>22 Mar 2024</t>
  </si>
  <si>
    <t>0403252034</t>
  </si>
  <si>
    <t xml:space="preserve">0403251160 </t>
  </si>
  <si>
    <t>0402409807</t>
  </si>
  <si>
    <t>need to check</t>
  </si>
  <si>
    <t xml:space="preserve">0402409041 </t>
  </si>
  <si>
    <t>27 Feb 2024</t>
  </si>
  <si>
    <t>SHP 1B, 1 STEWART RD, CURRUMBIN WATERS QLD</t>
  </si>
  <si>
    <t>0401613202</t>
  </si>
  <si>
    <t>13 Feb 2024</t>
  </si>
  <si>
    <t>0401611043</t>
  </si>
  <si>
    <t>LOT 2, 188 WAYNE GOSS DR, BERRINBA QLD</t>
  </si>
  <si>
    <t>0401613240</t>
  </si>
  <si>
    <t>0402299058</t>
  </si>
  <si>
    <t>04 Dec 2023</t>
  </si>
  <si>
    <t>SHOP 2, 1796 DAVID LOW WAY, COOLUM BEACH QLD</t>
  </si>
  <si>
    <t>0401159797</t>
  </si>
  <si>
    <t>22 Nov 2023</t>
  </si>
  <si>
    <t>UNIT 14, 639 BEACH RD, WARWICK WA</t>
  </si>
  <si>
    <t>0402887507</t>
  </si>
  <si>
    <t>10 Nov 2023</t>
  </si>
  <si>
    <t>0402692585</t>
  </si>
  <si>
    <t>Client Account #</t>
  </si>
  <si>
    <t>Subscriber Identifier</t>
  </si>
  <si>
    <t>Client Site 1</t>
  </si>
  <si>
    <t>Client Site 2</t>
  </si>
  <si>
    <t>State</t>
  </si>
  <si>
    <t>Post Code</t>
  </si>
  <si>
    <t>Date Connected</t>
  </si>
  <si>
    <t>Carrier ID</t>
  </si>
  <si>
    <t>Service Class</t>
  </si>
  <si>
    <t>ServiceLevel</t>
  </si>
  <si>
    <t>00013580558270@wba.rvcict.com.au</t>
  </si>
  <si>
    <t>YAROOMBA</t>
  </si>
  <si>
    <t>Vocus RVC</t>
  </si>
  <si>
    <t>LOC00013580558232</t>
  </si>
  <si>
    <t>PRI000121183056</t>
  </si>
  <si>
    <t>STANDARD</t>
  </si>
  <si>
    <t>00018556466460@wba.rvcict.com.au</t>
  </si>
  <si>
    <t>BRIDGEMAN DOWNS</t>
  </si>
  <si>
    <t>LOC00018556466426</t>
  </si>
  <si>
    <t>PRI000232036960</t>
  </si>
  <si>
    <t>00007636392827@wba.rvcict.com.au</t>
  </si>
  <si>
    <t>CALAVOS</t>
  </si>
  <si>
    <t>LOC00007636392866</t>
  </si>
  <si>
    <t>PRI000234981793</t>
  </si>
  <si>
    <t>00010986979015@wba.rvcict.com.au</t>
  </si>
  <si>
    <t>MARYBOROUGH WEST</t>
  </si>
  <si>
    <t>LOC00010986979075</t>
  </si>
  <si>
    <t>PRI000235538286</t>
  </si>
  <si>
    <t>00002021959741@wba.rvcict.com.au</t>
  </si>
  <si>
    <t>BRENDALE</t>
  </si>
  <si>
    <t>LOC00002021959793</t>
  </si>
  <si>
    <t>PRI000243466205</t>
  </si>
  <si>
    <t>00001660507687@wba.rvcict.com.au</t>
  </si>
  <si>
    <t>WURTULLA</t>
  </si>
  <si>
    <t>LOC00001660507618</t>
  </si>
  <si>
    <t>PRI000244314267</t>
  </si>
  <si>
    <t>00010095946971@wba.rvcict.com.au</t>
  </si>
  <si>
    <t>STRATHPINE</t>
  </si>
  <si>
    <t>LOC00010095946968</t>
  </si>
  <si>
    <t>PRI000196266703</t>
  </si>
  <si>
    <t>00008455898192@wba.rvcict.com.au</t>
  </si>
  <si>
    <t xml:space="preserve">	AVC000109984924</t>
  </si>
  <si>
    <t xml:space="preserve">Lot 15 132 Scrub Hill Rd </t>
  </si>
  <si>
    <t>DUNDOWRAN</t>
  </si>
  <si>
    <t>LOC00008455898138</t>
  </si>
  <si>
    <t>PRI000211700238</t>
  </si>
  <si>
    <t>203.91.242.220</t>
  </si>
  <si>
    <t>00005887540276@wba.rvcict.com.au</t>
  </si>
  <si>
    <t xml:space="preserve">	AVC000103183436</t>
  </si>
  <si>
    <t xml:space="preserve">Lot 1 114 Callide St </t>
  </si>
  <si>
    <t>BILOELA</t>
  </si>
  <si>
    <t>LOC00005887540266</t>
  </si>
  <si>
    <t>PRI000202246831</t>
  </si>
  <si>
    <t>122.148.146.184</t>
  </si>
  <si>
    <t>00005971997573@wba.rvcict.com.au</t>
  </si>
  <si>
    <t>EAGLE FARM</t>
  </si>
  <si>
    <t>LOC00005971997592</t>
  </si>
  <si>
    <t>PRI000244825542</t>
  </si>
  <si>
    <t>00010382747218@wba.rvcict.com.au</t>
  </si>
  <si>
    <t>WOONGARRA</t>
  </si>
  <si>
    <t>LOC00010382747264</t>
  </si>
  <si>
    <t>PRI000244916421</t>
  </si>
  <si>
    <t>00012859686649@wba.rvcict.com.au</t>
  </si>
  <si>
    <t>MONTO</t>
  </si>
  <si>
    <t>LOC00012859686660</t>
  </si>
  <si>
    <t>PRI000201079837</t>
  </si>
  <si>
    <t>00017866848853@wba.rvcict.com.au</t>
  </si>
  <si>
    <t>ROCHEDALE</t>
  </si>
  <si>
    <t>LOC00017866848818</t>
  </si>
  <si>
    <t>PRI000245840372</t>
  </si>
  <si>
    <t>00017888383979@wba.rvcict.com.au</t>
  </si>
  <si>
    <t>LOC00017888383935</t>
  </si>
  <si>
    <t>PRI000245841005</t>
  </si>
  <si>
    <t>00011192891878@wba.rvcict.com.au</t>
  </si>
  <si>
    <t>CABOOLTURE</t>
  </si>
  <si>
    <t>LOC00011192891871</t>
  </si>
  <si>
    <t>PRI000246044011</t>
  </si>
  <si>
    <t>00011192891892@wba.rvcict.com.au</t>
  </si>
  <si>
    <t>AVC000142367380</t>
  </si>
  <si>
    <t>LOC00011192891898</t>
  </si>
  <si>
    <t>PRI000246169315</t>
  </si>
  <si>
    <t>202.62.138.100</t>
  </si>
  <si>
    <t>00017170328763@wba.rvcict.com.au</t>
  </si>
  <si>
    <t>NOOSA HEADS</t>
  </si>
  <si>
    <t>LOC00017170328715</t>
  </si>
  <si>
    <t>PRI000235833665</t>
  </si>
  <si>
    <t>00017435984593@wba.rvcict.com.au</t>
  </si>
  <si>
    <t>OXENFORD</t>
  </si>
  <si>
    <t>LOC00017435984537</t>
  </si>
  <si>
    <t>PRI400048733887</t>
  </si>
  <si>
    <t>00000910367371@wba.rvcict.com.au</t>
  </si>
  <si>
    <t xml:space="preserve">	AVC000144117253</t>
  </si>
  <si>
    <t xml:space="preserve">Unit 2 Lot 2 241 Goodwin Dr </t>
  </si>
  <si>
    <t>BONGAREE</t>
  </si>
  <si>
    <t>LOC00000910367340</t>
  </si>
  <si>
    <t>PRI000247817579</t>
  </si>
  <si>
    <t>202.62.138.101</t>
  </si>
  <si>
    <t>00006182426165@wba.rvcict.com.au</t>
  </si>
  <si>
    <t>LOC00006182426142</t>
  </si>
  <si>
    <t>PRI000249146727</t>
  </si>
  <si>
    <t>00006182426151@wba.rvcict.com.au</t>
  </si>
  <si>
    <t>LOC00006182426183</t>
  </si>
  <si>
    <t>PRI000249178384</t>
  </si>
  <si>
    <t>00017689397038@wba.rvcict.com.au</t>
  </si>
  <si>
    <t>BIRTINYA</t>
  </si>
  <si>
    <t>LOC00017689397010</t>
  </si>
  <si>
    <t>PRI000251330883</t>
  </si>
  <si>
    <t>00000504371259@wba.rvcict.com.au</t>
  </si>
  <si>
    <t>MAROOCHYDORE</t>
  </si>
  <si>
    <t>LOC00000504371244</t>
  </si>
  <si>
    <t>PRI000251360133</t>
  </si>
  <si>
    <t>00018182351082@wba.rvcict.com.au</t>
  </si>
  <si>
    <t>SPRINGFIELD CENTRAL</t>
  </si>
  <si>
    <t>LOC00018182351087</t>
  </si>
  <si>
    <t>PRI000254280758</t>
  </si>
  <si>
    <t>00010560490294@wba.rvcict.com.au</t>
  </si>
  <si>
    <t>ENOGGERA</t>
  </si>
  <si>
    <t>LOC00010560490254</t>
  </si>
  <si>
    <t>PRI400051532461</t>
  </si>
  <si>
    <t>medpodsdoreen@wba.rvcict.com.au</t>
  </si>
  <si>
    <t>DOREEN</t>
  </si>
  <si>
    <t>LOC00018664422618</t>
  </si>
  <si>
    <t>PRI000260838646</t>
  </si>
  <si>
    <t>00019070762384@wba.rvcict.com.au</t>
  </si>
  <si>
    <t>NORTH LAKES</t>
  </si>
  <si>
    <t>LOC00019070762337</t>
  </si>
  <si>
    <t>PRI000261745596</t>
  </si>
  <si>
    <t>00017434478699@wba.rvcict.com.au</t>
  </si>
  <si>
    <t>AVC000157812919</t>
  </si>
  <si>
    <t xml:space="preserve">Shop 555 119 Point Cartwright Dr </t>
  </si>
  <si>
    <t>BUDDINA</t>
  </si>
  <si>
    <t>loc00017434478659</t>
  </si>
  <si>
    <t>PRI000261807191</t>
  </si>
  <si>
    <t>202.62.138.108</t>
  </si>
  <si>
    <t>00018119756339@wba.rvcict.com.au</t>
  </si>
  <si>
    <t>AVC000158907991</t>
  </si>
  <si>
    <t xml:space="preserve">Shop N19 605 Robinson Rd W </t>
  </si>
  <si>
    <t>ASPLEY</t>
  </si>
  <si>
    <t>LOC00018119756319</t>
  </si>
  <si>
    <t>PRI000262780079</t>
  </si>
  <si>
    <t>202.62.138.109</t>
  </si>
  <si>
    <t>10007900362871@wba.rvcict.com.au</t>
  </si>
  <si>
    <t>AVC000159331117</t>
  </si>
  <si>
    <t xml:space="preserve">Lot 2 33817 Bruce Hwy </t>
  </si>
  <si>
    <t>SKYRING RESERVE</t>
  </si>
  <si>
    <t>LOC10007900362864</t>
  </si>
  <si>
    <t>PRI000263428262</t>
  </si>
  <si>
    <t>211.27.137.175</t>
  </si>
  <si>
    <t>00010279227788@wba.rvcict.com.au</t>
  </si>
  <si>
    <t>EDENS LANDING</t>
  </si>
  <si>
    <t>LOC00010279227789</t>
  </si>
  <si>
    <t>PRI400054136743</t>
  </si>
  <si>
    <t>00018364570719@wba.rvcict.com.au</t>
  </si>
  <si>
    <t>NARANGBA</t>
  </si>
  <si>
    <t>LOC00018364570737</t>
  </si>
  <si>
    <t>PRI000265971066</t>
  </si>
  <si>
    <t>staffordcity@wba.rvcict.com.au</t>
  </si>
  <si>
    <t>Stafford</t>
  </si>
  <si>
    <t>LOC000143626069</t>
  </si>
  <si>
    <t>PRI000204496516</t>
  </si>
  <si>
    <t>redridgealloway@wba.rvcict.com.au</t>
  </si>
  <si>
    <t>Alloway</t>
  </si>
  <si>
    <t>LOC000016642689</t>
  </si>
  <si>
    <t>PRI000268525480</t>
  </si>
  <si>
    <t>redridgekinkuna@wba.rvcict.com.au</t>
  </si>
  <si>
    <t xml:space="preserve">	AVC000164295274</t>
  </si>
  <si>
    <t xml:space="preserve">Lot 69 3748 Goodwood Rd </t>
  </si>
  <si>
    <t>Kinkuna</t>
  </si>
  <si>
    <t>LOC000068657211</t>
  </si>
  <si>
    <t>PRI000268526959</t>
  </si>
  <si>
    <t>122.151.245.214</t>
  </si>
  <si>
    <t>jgreenclaremont@wba.rvcict.com.au</t>
  </si>
  <si>
    <t>Maroochydore</t>
  </si>
  <si>
    <t>LOC000171763227</t>
  </si>
  <si>
    <t>PRI000270526410</t>
  </si>
  <si>
    <t>elmwdrmaysxing@wba.rvcict.com.au</t>
  </si>
  <si>
    <t>LOC000082953832</t>
  </si>
  <si>
    <t>PRI000271045017</t>
  </si>
  <si>
    <t>oakhurstgunwor32@wba.rvcict.com.au</t>
  </si>
  <si>
    <t>Oakhurst</t>
  </si>
  <si>
    <t>LOC000023368665</t>
  </si>
  <si>
    <t>PRI000228045804</t>
  </si>
  <si>
    <t>childersconcrete@wba.rvcict.com.au</t>
  </si>
  <si>
    <t>Childers</t>
  </si>
  <si>
    <t>LOC000081659603</t>
  </si>
  <si>
    <t>PRI000225526651</t>
  </si>
  <si>
    <t>gumdaledentist@wba.rvcict.com.au</t>
  </si>
  <si>
    <t>Gumdale</t>
  </si>
  <si>
    <t>LOC000156764230</t>
  </si>
  <si>
    <t>PRI000226903896</t>
  </si>
  <si>
    <t>firstnationalchilders@wba.rvcict.com.au</t>
  </si>
  <si>
    <t>LOC000084756367</t>
  </si>
  <si>
    <t>PRI000225086707</t>
  </si>
  <si>
    <t>northshoredental@wba.rvcict.com.au</t>
  </si>
  <si>
    <t>Pacific Paradise</t>
  </si>
  <si>
    <t>LOC000088463919</t>
  </si>
  <si>
    <t>PRI000272462685</t>
  </si>
  <si>
    <t>donovanfami84@wba.rvcict.com.au</t>
  </si>
  <si>
    <t>AVC000122982261</t>
  </si>
  <si>
    <t xml:space="preserve">Lot 2 33685 Bruce Hwy </t>
  </si>
  <si>
    <t>Wallaville</t>
  </si>
  <si>
    <t>LOC000089318489</t>
  </si>
  <si>
    <t>PRI000225086635</t>
  </si>
  <si>
    <t>202.62.139.230</t>
  </si>
  <si>
    <t>gtandjth0m3@wba.rvcict.com.au</t>
  </si>
  <si>
    <t>Alexandra Headland</t>
  </si>
  <si>
    <t>LOC000045627616</t>
  </si>
  <si>
    <t>PRI000273345267</t>
  </si>
  <si>
    <t>ausdocscarindale@wba.rvcict.com.au</t>
  </si>
  <si>
    <t>Carindale</t>
  </si>
  <si>
    <t>LOC000081428122</t>
  </si>
  <si>
    <t>PRI000274524671</t>
  </si>
  <si>
    <t>livingstonelowe@wba.rvcict.com.au</t>
  </si>
  <si>
    <t>Kensington</t>
  </si>
  <si>
    <t>LOC000024814437</t>
  </si>
  <si>
    <t>PRI000277883944</t>
  </si>
  <si>
    <t>docsatsamfordvillage@wba.rvcict.com.au</t>
  </si>
  <si>
    <t>Samford Village</t>
  </si>
  <si>
    <t>LOC000022505636</t>
  </si>
  <si>
    <t>PRI000277897055</t>
  </si>
  <si>
    <t>moolosteo@wba.rvcict.com.au</t>
  </si>
  <si>
    <t>Mooloolaba</t>
  </si>
  <si>
    <t>LOC000168247411</t>
  </si>
  <si>
    <t>PRI000277968074</t>
  </si>
  <si>
    <t>creekstpharmacy@wba.rvcict.com.au</t>
  </si>
  <si>
    <t>LOC000010038131</t>
  </si>
  <si>
    <t>PRI000278538502</t>
  </si>
  <si>
    <t>gladstonegpsc@wba.rvcict.com.au</t>
  </si>
  <si>
    <t>Kin Kora</t>
  </si>
  <si>
    <t>LOC000068966246</t>
  </si>
  <si>
    <t>PRI000279559504</t>
  </si>
  <si>
    <t>oceanmed@wba.rvcict.com.au</t>
  </si>
  <si>
    <t>Helensvale</t>
  </si>
  <si>
    <t>loc000013635771</t>
  </si>
  <si>
    <t>PRI000279761022</t>
  </si>
  <si>
    <t>albanyfamilydoctors@wba.rvcict.com.au</t>
  </si>
  <si>
    <t>Albany Creek</t>
  </si>
  <si>
    <t>loc000023187304</t>
  </si>
  <si>
    <t>PRI400058135594</t>
  </si>
  <si>
    <t>acumenbp@wba.rvcict.com.au</t>
  </si>
  <si>
    <t xml:space="preserve">	AVC000177951403</t>
  </si>
  <si>
    <t xml:space="preserve">Lot 16 38 Piper St </t>
  </si>
  <si>
    <t>Caboolture</t>
  </si>
  <si>
    <t>LOC000089499835</t>
  </si>
  <si>
    <t>PRI000282523922</t>
  </si>
  <si>
    <t>202.62.138.81</t>
  </si>
  <si>
    <t>kateresident@wba.rvcict.com.au</t>
  </si>
  <si>
    <t xml:space="preserve">	AVC400045874456</t>
  </si>
  <si>
    <t xml:space="preserve">Lot 740 43 Avington St </t>
  </si>
  <si>
    <t>Keperra</t>
  </si>
  <si>
    <t>LOC000058707485</t>
  </si>
  <si>
    <t>PRI400058360289</t>
  </si>
  <si>
    <t>122.151.108.14</t>
  </si>
  <si>
    <t>sbanbn1@wba.rvcict.com.au</t>
  </si>
  <si>
    <t>LOC000049052958</t>
  </si>
  <si>
    <t>PRI000283186680</t>
  </si>
  <si>
    <t>motherduckbridge@wba.rvcict.com.au</t>
  </si>
  <si>
    <t>Bracken Ridge</t>
  </si>
  <si>
    <t>LOC000097460624</t>
  </si>
  <si>
    <t>PRI000284244455</t>
  </si>
  <si>
    <t>bundyhomes@wba.rvcict.com.au</t>
  </si>
  <si>
    <t>Bundaberg North</t>
  </si>
  <si>
    <t>LOC000065871053</t>
  </si>
  <si>
    <t>PRI000284853976</t>
  </si>
  <si>
    <t>T15MedicalAgne62@wba.rvcict.com.au</t>
  </si>
  <si>
    <t>Seventeen Seventy</t>
  </si>
  <si>
    <t>LOC000193215891</t>
  </si>
  <si>
    <t>PRI000284748979</t>
  </si>
  <si>
    <t>djsteeleidsvold@wba.rvcict.com.au</t>
  </si>
  <si>
    <t>Eidsvold</t>
  </si>
  <si>
    <t>LOC000018237859</t>
  </si>
  <si>
    <t>PRI000286224611</t>
  </si>
  <si>
    <t>Tenancy9Toba65@wba.rvcict.com.au</t>
  </si>
  <si>
    <t>Agnes Water</t>
  </si>
  <si>
    <t>LOC000193215836</t>
  </si>
  <si>
    <t>PRI000286372407</t>
  </si>
  <si>
    <t>riocapursohm@wba.rvcict.com.au</t>
  </si>
  <si>
    <t>Doonan</t>
  </si>
  <si>
    <t>LOC000193633113</t>
  </si>
  <si>
    <t>PRI000286685642</t>
  </si>
  <si>
    <t>elanorahightsmp@wba.rvcict.com.au</t>
  </si>
  <si>
    <t>Elanora Heights</t>
  </si>
  <si>
    <t>LOC000179498338</t>
  </si>
  <si>
    <t>PRI000287150992</t>
  </si>
  <si>
    <t>ospreynbn1@wba.rvcict.com.au</t>
  </si>
  <si>
    <t>loc000094441031</t>
  </si>
  <si>
    <t>PRI000287365028</t>
  </si>
  <si>
    <t>ospreynbn2@wba.rvcict.com.au</t>
  </si>
  <si>
    <t>AVC000182740739</t>
  </si>
  <si>
    <t>LOC000094441031</t>
  </si>
  <si>
    <t>PRI000287365037</t>
  </si>
  <si>
    <t>125.168.84.59</t>
  </si>
  <si>
    <t>brandspharmacy@wba.rvcict.com.au</t>
  </si>
  <si>
    <t>Spring Hill</t>
  </si>
  <si>
    <t>LOC000186785523</t>
  </si>
  <si>
    <t>PRI000287855189</t>
  </si>
  <si>
    <t>canossamedpharmacy@wba.rvcict.com.au</t>
  </si>
  <si>
    <t>Oxley</t>
  </si>
  <si>
    <t>LOC100056051987</t>
  </si>
  <si>
    <t>PRI000287887247</t>
  </si>
  <si>
    <t>beautyhub@wba.rvcict.com.au</t>
  </si>
  <si>
    <t>LOC000193215889</t>
  </si>
  <si>
    <t>PRI000288546343</t>
  </si>
  <si>
    <t>barrackspharmacy@wba.rvcict.com.au</t>
  </si>
  <si>
    <t>Petrie Terrace</t>
  </si>
  <si>
    <t>LOC000176017829</t>
  </si>
  <si>
    <t>PRI000288758620</t>
  </si>
  <si>
    <t>rvchome@wba.rvcict.com.au</t>
  </si>
  <si>
    <t>North Lakes</t>
  </si>
  <si>
    <t>LOC000068629069</t>
  </si>
  <si>
    <t>PRI000291541826</t>
  </si>
  <si>
    <t>Kaleidosco15@wba.rvcict.com.au</t>
  </si>
  <si>
    <t>Richlands</t>
  </si>
  <si>
    <t>LOC000047334051</t>
  </si>
  <si>
    <t>PRI000292930932</t>
  </si>
  <si>
    <t>ecolifecanberra@wba.rvcict.com.au</t>
  </si>
  <si>
    <t>Crestwood</t>
  </si>
  <si>
    <t>LOC000045765626</t>
  </si>
  <si>
    <t>PRI000294168331</t>
  </si>
  <si>
    <t>touringsolaust@wba.rvcict.com.au</t>
  </si>
  <si>
    <t>Harlaxton</t>
  </si>
  <si>
    <t>LOC000192515883</t>
  </si>
  <si>
    <t>PRI000295662958</t>
  </si>
  <si>
    <t>motherduckbellbowrie@wba.rvcict.com.au</t>
  </si>
  <si>
    <t>Bellbowrie</t>
  </si>
  <si>
    <t>LOC000010831486</t>
  </si>
  <si>
    <t>PRI000296193163</t>
  </si>
  <si>
    <t>1D 60 Enterprise  ST</t>
  </si>
  <si>
    <t>Tingalpa</t>
  </si>
  <si>
    <t>Provisioned</t>
  </si>
  <si>
    <t>10 148 The Esplanade ESP</t>
  </si>
  <si>
    <t>Scarborough</t>
  </si>
  <si>
    <t>Wodonga</t>
  </si>
  <si>
    <t>1 672 Glenferrie RD</t>
  </si>
  <si>
    <t>Hawthorn</t>
  </si>
  <si>
    <t>3 4353 Anzac  PDE</t>
  </si>
  <si>
    <t>1 6 Patricks RD(S)</t>
  </si>
  <si>
    <t>Arana Hills</t>
  </si>
  <si>
    <t>1 Ella ST</t>
  </si>
  <si>
    <t>Newstead</t>
  </si>
  <si>
    <t>Rosebery</t>
  </si>
  <si>
    <t>Torquay</t>
  </si>
  <si>
    <t>Geebung</t>
  </si>
  <si>
    <t>Beenleigh</t>
  </si>
  <si>
    <t>Caroline Springs</t>
  </si>
  <si>
    <t>Point Cook</t>
  </si>
  <si>
    <t>Burleigh Heads</t>
  </si>
  <si>
    <t xml:space="preserve">Brisbane </t>
  </si>
  <si>
    <t>Wyoming</t>
  </si>
  <si>
    <t>Coolangatta</t>
  </si>
  <si>
    <t>South Brisbane</t>
  </si>
  <si>
    <t>1 369 Morayfield RD</t>
  </si>
  <si>
    <t>Morayfield</t>
  </si>
  <si>
    <t>6 3 Archibald AV</t>
  </si>
  <si>
    <t>Waterloo</t>
  </si>
  <si>
    <t>Brisbane</t>
  </si>
  <si>
    <t>Virginia</t>
  </si>
  <si>
    <t>206 Glenferrie Road RD(S)</t>
  </si>
  <si>
    <t>Malvern</t>
  </si>
  <si>
    <t>103 Elizabeth St ST</t>
  </si>
  <si>
    <t>Melbourne</t>
  </si>
  <si>
    <t>Cremorne</t>
  </si>
  <si>
    <t>476 Centre Road RD(S)</t>
  </si>
  <si>
    <t>Bentleigh</t>
  </si>
  <si>
    <t>Keilor Downs</t>
  </si>
  <si>
    <t>60 Enterprise Pl EST</t>
  </si>
  <si>
    <t>5 87 Mooloolaba ESP</t>
  </si>
  <si>
    <t>165 Wellington Road RD(S)</t>
  </si>
  <si>
    <t>East Brisbane</t>
  </si>
  <si>
    <t>2 2 Manson  ST</t>
  </si>
  <si>
    <t>03 186 Victoria RD</t>
  </si>
  <si>
    <t>Marrickville</t>
  </si>
  <si>
    <t>254 Carlisle St ST</t>
  </si>
  <si>
    <t>Balaclava</t>
  </si>
  <si>
    <t>South brisbane</t>
  </si>
  <si>
    <t>Shop4 50 Subiaco square RD</t>
  </si>
  <si>
    <t>Subiaco</t>
  </si>
  <si>
    <t>Cronulla</t>
  </si>
  <si>
    <t>G038 80 Taylors Rd RD</t>
  </si>
  <si>
    <t>Albury</t>
  </si>
  <si>
    <t>24 1222 Coastal Boulevard BVD</t>
  </si>
  <si>
    <t>Ocean Grove</t>
  </si>
  <si>
    <t>St Albans</t>
  </si>
  <si>
    <t>T47 16 Amazons PL</t>
  </si>
  <si>
    <t>Jindalee</t>
  </si>
  <si>
    <t>1 60 Enterprise PL</t>
  </si>
  <si>
    <t>Chermside</t>
  </si>
  <si>
    <t>Cannon Hill</t>
  </si>
  <si>
    <t>Cranbourne North</t>
  </si>
  <si>
    <t>11 90 Surf Parade DR</t>
  </si>
  <si>
    <t>116 300 Cranbourne Rd RD</t>
  </si>
  <si>
    <t>Narre Warren South</t>
  </si>
  <si>
    <t>8 56 Griffith  ST</t>
  </si>
  <si>
    <t>378 Deception Bay  RD</t>
  </si>
  <si>
    <t xml:space="preserve">Deception Bay </t>
  </si>
  <si>
    <t>3 768 Stafford RD</t>
  </si>
  <si>
    <t>Everton Park</t>
  </si>
  <si>
    <t>1 60 Enterprise Place ST</t>
  </si>
  <si>
    <t>18 25 Samuel  ST</t>
  </si>
  <si>
    <t>Camp Hill</t>
  </si>
  <si>
    <t>28 791 Stafford  RD</t>
  </si>
  <si>
    <t>2 26 Wandoo ST</t>
  </si>
  <si>
    <t xml:space="preserve">West End </t>
  </si>
  <si>
    <t>4 36 Gwendoline DR</t>
  </si>
  <si>
    <t>Beldon</t>
  </si>
  <si>
    <t>11 1001 Joondalup DR</t>
  </si>
  <si>
    <t>Banksia Grove</t>
  </si>
  <si>
    <t xml:space="preserve">Bowen Hills </t>
  </si>
  <si>
    <t>3 108 Old Cleveland  RD</t>
  </si>
  <si>
    <t>Capalaba</t>
  </si>
  <si>
    <t>0 47 Burrendah  BVD</t>
  </si>
  <si>
    <t>Willetton</t>
  </si>
  <si>
    <t>7 778 Old Princess  HWY</t>
  </si>
  <si>
    <t>Sutherland</t>
  </si>
  <si>
    <t>6 6 Crosby  RD</t>
  </si>
  <si>
    <t>001 16 Sharpe AV</t>
  </si>
  <si>
    <t>Karratha</t>
  </si>
  <si>
    <t>8 100 Everglades AV</t>
  </si>
  <si>
    <t>Brabham</t>
  </si>
  <si>
    <t>131 400 Newmarket RD</t>
  </si>
  <si>
    <t>Newmarket</t>
  </si>
  <si>
    <t xml:space="preserve">QLD </t>
  </si>
  <si>
    <t xml:space="preserve">	1C 2 City Centre DR </t>
  </si>
  <si>
    <t xml:space="preserve">Upper Coomera </t>
  </si>
  <si>
    <t>Potts Point</t>
  </si>
  <si>
    <t xml:space="preserve">Customer </t>
  </si>
  <si>
    <t>SIM Number</t>
  </si>
  <si>
    <t>Total Usage (3 Months)</t>
  </si>
  <si>
    <t>Avg Monthly</t>
  </si>
  <si>
    <t>1. Nodo Newstead</t>
  </si>
  <si>
    <t>1042 GB</t>
  </si>
  <si>
    <t>347 GB</t>
  </si>
  <si>
    <t>2. Yiros Jindalee</t>
  </si>
  <si>
    <t>413 GB</t>
  </si>
  <si>
    <t>138 GB</t>
  </si>
  <si>
    <t>3. Fast Cut</t>
  </si>
  <si>
    <t>406 GB</t>
  </si>
  <si>
    <t>135 GB</t>
  </si>
  <si>
    <t>4. Nodo Elizabeth</t>
  </si>
  <si>
    <t>402 GB</t>
  </si>
  <si>
    <t>134 GB</t>
  </si>
  <si>
    <t>5. Zambereo Sanctuary Lakes</t>
  </si>
  <si>
    <t>378 GB</t>
  </si>
  <si>
    <t>126 GB</t>
  </si>
  <si>
    <t>6. Zambrero St Albans</t>
  </si>
  <si>
    <t>368 GB</t>
  </si>
  <si>
    <t>123 GB</t>
  </si>
  <si>
    <t>7. Zambrero Casey Central</t>
  </si>
  <si>
    <t>367 GB</t>
  </si>
  <si>
    <t>122 GB</t>
  </si>
  <si>
    <t>8. Zambrero Ocean Grove</t>
  </si>
  <si>
    <t>298 GB</t>
  </si>
  <si>
    <t>99 GB</t>
  </si>
  <si>
    <t>9. Zambrero Cronulla</t>
  </si>
  <si>
    <t>240 GB</t>
  </si>
  <si>
    <t xml:space="preserve">80 GB </t>
  </si>
  <si>
    <t>10. Zambrero Cranbourne North</t>
  </si>
  <si>
    <t>226 GB</t>
  </si>
  <si>
    <t>75 GB</t>
  </si>
  <si>
    <t>Plan</t>
  </si>
  <si>
    <t>Fee (Ex GST)</t>
  </si>
  <si>
    <t>Currency</t>
  </si>
  <si>
    <t>Status</t>
  </si>
  <si>
    <t>AB058642</t>
  </si>
  <si>
    <t xml:space="preserve">
IP Tel Single Number</t>
  </si>
  <si>
    <t>AUD</t>
  </si>
  <si>
    <t>Active</t>
  </si>
  <si>
    <t>VIE124002281</t>
  </si>
  <si>
    <t>Vocus Internet Express (AUD)</t>
  </si>
  <si>
    <t>500 mbps Vocus Internet Express 
Suite 9a/127 Creek St, Brisbane City Qld 4000, Australia</t>
  </si>
  <si>
    <t>Suite 9a/127 Creek St, Brisbane City Qld 4000, Australia</t>
  </si>
  <si>
    <t>RS - 05.01 - Could this be old?  Any current usage?</t>
  </si>
  <si>
    <t>AB058409</t>
  </si>
  <si>
    <t>IP Tel Single Number</t>
  </si>
  <si>
    <t>AB058385</t>
  </si>
  <si>
    <t>AB058383</t>
  </si>
  <si>
    <t>IPH123990664</t>
  </si>
  <si>
    <t>Smile Tel (Tingalpa , QLD) - Vocus IP Tel [RedRoo Australia]
2 IP Tel with Webex Standard (Reseller)
Voice (5 Mbps) - Level 1D, 60 Enterprise Place, Tingalpa QLD 4173</t>
  </si>
  <si>
    <t>28/03/2024</t>
  </si>
  <si>
    <t>IPH123989949</t>
  </si>
  <si>
    <t>Smile Tel (Tingalpa , QLD) - Vocus IP Tel [RedRoo Australia]
5 IP Tel Standard (Reseller)
Voice (5 Mbps) - Level 1D, 60 Enterprise Place, Tingalpa QLD 4173</t>
  </si>
  <si>
    <t>IPH123989926</t>
  </si>
  <si>
    <t>Smile Tel (Tingalpa , QLD) - Vocus IP Tel [Swara]
IP Tel Auto Attendant Basic
2 IP Tel Standard (Reseller)
Voice (5 Mbps) - Level 1D, 60 Enterprise Place, Tingalpa QLD 4173</t>
  </si>
  <si>
    <t>VBU123970473</t>
  </si>
  <si>
    <t>IPH123965298</t>
  </si>
  <si>
    <t>IPH123947571</t>
  </si>
  <si>
    <t>Smile Tel (NEWSTEAD, QLD) - Vocus IP Tel
Voice (5 Mbps) - 8 Austin street, NEWSTEAD QLD 4006</t>
  </si>
  <si>
    <t>8 Austin street, NEWSTEAD QLD 4007</t>
  </si>
  <si>
    <t>22/09/2023</t>
  </si>
  <si>
    <t>IPH123946528</t>
  </si>
  <si>
    <t>IPH123946504</t>
  </si>
  <si>
    <t>IPH123942801</t>
  </si>
  <si>
    <t>IPH123935663</t>
  </si>
  <si>
    <t>Smile Tel (Tingalpa , QLD) - Vocus IP Tel
IP Tel Auto Attendant Basic
Voice (5 Mbps) - Level 1D, 60 Enterprise Place, Tingalpa QLD 4173</t>
  </si>
  <si>
    <t>18/08/2023</t>
  </si>
  <si>
    <t>IPH123935398</t>
  </si>
  <si>
    <t>Smile Tel (Tingalpa , QLD) - Vocus IP Tel
Voice (5 Mbps) - Level 1D, 60 Enterprise Place, Tingalpa QLD 4173</t>
  </si>
  <si>
    <t>21/08/2023</t>
  </si>
  <si>
    <t>IPH123934992</t>
  </si>
  <si>
    <t>Smile Tel (Tingalpa , QLD) - Vocus IP Tel (Smile IT)
2 IP Tel Auto Attendant Basic
Voice (5 Mbps) - Level 1D, 60 Enterprise Place, Tingalpa QLD 4173</t>
  </si>
  <si>
    <t>26/07/2023</t>
  </si>
  <si>
    <t>IPH123933508</t>
  </si>
  <si>
    <t>IPH123932545</t>
  </si>
  <si>
    <t>IPH123932317</t>
  </si>
  <si>
    <t>IPH123932299</t>
  </si>
  <si>
    <t>Smile Tel (TINGALPA, QLD) - Vocus IP Tel
Voice (5 Mbps) - 60 enterprise place, TINGALPA QLD 4173</t>
  </si>
  <si>
    <t>IPH123932301</t>
  </si>
  <si>
    <t>IPH123932295</t>
  </si>
  <si>
    <t>Smile Tel (Tingalpa , QLD) - Vocus IP Tel [Queensland Children's Gastroenterology]
Voice (5 Mbps) - Level 1D, 60 Enterprise Place , Tingalpa QLD 4173</t>
  </si>
  <si>
    <t>Level 1D, 60 Enterprise Place , Tingalpa QLD 4174</t>
  </si>
  <si>
    <t>IPH123919680</t>
  </si>
  <si>
    <t>19/05/2023</t>
  </si>
  <si>
    <t>IPH123919631</t>
  </si>
  <si>
    <t>Smile Tel (MILTON, QLD) - Vocus IP Tel
Voice (5 Mbps) - 16 MARIE STREET, MILTON QLD 4064</t>
  </si>
  <si>
    <t>IPH123918466</t>
  </si>
  <si>
    <t>IPH123917666</t>
  </si>
  <si>
    <t>Smile Tel (Tingalpa , QLD) - Vocus IP Tel
2 IP Tel Voicemail
Voice (5 Mbps) - Level 1D, 60 Enterprise Place, Tingalpa QLD 4173</t>
  </si>
  <si>
    <t>IPH123917566</t>
  </si>
  <si>
    <t>IPH123916056</t>
  </si>
  <si>
    <t>Smile Tel (TINGALPA DC, QLD) - Vocus IP Tel [Action Smart Group]
Voice (5 Mbps) - Level 1, 60 Enterprise Place, TINGALPA DC QLD 4173</t>
  </si>
  <si>
    <t>Level 1, 60 Enterprise Place, TINGALPA DC QLD 4174</t>
  </si>
  <si>
    <t>IPH123913899</t>
  </si>
  <si>
    <t>IPH123912111</t>
  </si>
  <si>
    <t>21/04/2023</t>
  </si>
  <si>
    <t>IPH123910443</t>
  </si>
  <si>
    <t>VBU123907155</t>
  </si>
  <si>
    <t>IPH123907748</t>
  </si>
  <si>
    <t>Smile Tel (Tingalpa , QLD) - Vocus IP Tel [Wattlestone]
3 IP Tel Standard (Reseller)
Voice (5 Mbps) - Level 1D, 60 Enterprise Place, Tingalpa QLD 4173</t>
  </si>
  <si>
    <t>28/03/2023</t>
  </si>
  <si>
    <t>IPH123900351</t>
  </si>
  <si>
    <t>IPH123900341</t>
  </si>
  <si>
    <t>IPH123900317</t>
  </si>
  <si>
    <t>IPH123900285</t>
  </si>
  <si>
    <t>Smile Tel (TINGALPA, QLD) - Vocus IP Tel
5 	IP Tel Standard (Reseller)
Voice (5 Mbps) - Level 1D, 60 Enterprise Place, TINGALPA QLD 4173</t>
  </si>
  <si>
    <t>24/02/2023</t>
  </si>
  <si>
    <t>IPH123900226</t>
  </si>
  <si>
    <t>Smile Tel (KUNDA PARK, QLD) - Vocus IP Tel
	Voice (5 Mbps) - 12 enterprise street, KUNDA PARK QLD 4556</t>
  </si>
  <si>
    <t>12 enterprise street, KUNDA PARK QLD 4557</t>
  </si>
  <si>
    <t>20/02/2023</t>
  </si>
  <si>
    <t>IPH123900223</t>
  </si>
  <si>
    <t>Smile Tel (Tingalpa , QLD) - Vocus IP Tel
Voice (5 Mbps) - Level 1D, 60 Enterprise Place , Tingalpa QLD 4173</t>
  </si>
  <si>
    <t>IPH123900224</t>
  </si>
  <si>
    <t>AB058256</t>
  </si>
  <si>
    <t>Address of service is Smile IT</t>
  </si>
  <si>
    <t>AB058255</t>
  </si>
  <si>
    <t>VBU312373</t>
  </si>
  <si>
    <t>VBU312372</t>
  </si>
  <si>
    <t>AB058162</t>
  </si>
  <si>
    <t>Smile Tel (Tingalpa , QLD) - Vocus IP Tel
22 	IP Tel Dubber Call Recording (Licence) - Wholesale
Voice (5 Mbps) - Level 1D, 60 Enterprise Place , Tingalpa QLD 4173</t>
  </si>
  <si>
    <t>19/01/2023</t>
  </si>
  <si>
    <t>AB058160</t>
  </si>
  <si>
    <t>AB058025</t>
  </si>
  <si>
    <t>IP Tel Order - Smile Tel - 03/11/2022
	IP Tel Auto Attendant Basic
Voice (5 Mbps) - Unit 1, 49 Miller Street, Murarrie QLD 4172</t>
  </si>
  <si>
    <t>AB057994</t>
  </si>
  <si>
    <t>IP Tel Order - Smile Tel - 24/10/2022
2 	IP Tel Premium (Reseller)
Voice (5 Mbps) - Unit 1, 49 Miller Street, Murarrie QLD 4172</t>
  </si>
  <si>
    <t>26/10/2022</t>
  </si>
  <si>
    <t>AB057970</t>
  </si>
  <si>
    <t>IP Tel Order - Smile Tel - 18/10/2022
IP Tel Premium (Reseller)</t>
  </si>
  <si>
    <t>20/10/2022</t>
  </si>
  <si>
    <t>No address not sure if it's Hanwha</t>
  </si>
  <si>
    <t>AB057905</t>
  </si>
  <si>
    <t>IP Tel Order - Smile Tel - 27/09/2022
	Voice (5 Mbps) - Unit 1, 49 Miller Street, Murarrie QLD 4172</t>
  </si>
  <si>
    <t>30/09/2022</t>
  </si>
  <si>
    <t>AB057904</t>
  </si>
  <si>
    <t>IP Tel Order - Smile Tel - 27/09/2022
12 	IP Tel Standard (Reseller) 
Voice (5 Mbps) - Unit 1, 49 Miller Street, Murarrie QLD 4172</t>
  </si>
  <si>
    <t>AB057837</t>
  </si>
  <si>
    <t>Address is for Hanwha but name was already entered</t>
  </si>
  <si>
    <t>AB057803</t>
  </si>
  <si>
    <t>IP Tel Order - Smile Tel - 23/08/2022
4 	IP Tel Basic (Reseller)
Voice (5 Mbps) - Unit 1, 49 Miller Street, Murarrie QLD 4172</t>
  </si>
  <si>
    <t>26/08/2022</t>
  </si>
  <si>
    <t>VBU301770</t>
  </si>
  <si>
    <t>AB057634</t>
  </si>
  <si>
    <t>0732523626
0732522513
0732529967
0732522109</t>
  </si>
  <si>
    <t>IP Tel Order - Smile Tel - 15/07/2022</t>
  </si>
  <si>
    <t>23/11/2022</t>
  </si>
  <si>
    <t>AB057625</t>
  </si>
  <si>
    <t>IP Tel Order - Smile Tel - 14/07/2022</t>
  </si>
  <si>
    <t>21/07/2022</t>
  </si>
  <si>
    <t>AB057614</t>
  </si>
  <si>
    <t>IP Tel Order - Smile Tel - 11/07/2022</t>
  </si>
  <si>
    <t>15/07/2022</t>
  </si>
  <si>
    <t>AB057313</t>
  </si>
  <si>
    <t>IP Tel Order - Smile Tel - 27/05/2022</t>
  </si>
  <si>
    <t>AB057307</t>
  </si>
  <si>
    <t>IP Tel Order - Smile Tel - 26/05/2022</t>
  </si>
  <si>
    <t>27/05/2022</t>
  </si>
  <si>
    <t>AB057221</t>
  </si>
  <si>
    <t>IP Tel Order - Smile Tel - 16/05/2022</t>
  </si>
  <si>
    <t>16/05/2022</t>
  </si>
  <si>
    <t>AB057219</t>
  </si>
  <si>
    <t>IP Tel Order - Smile Tel - 13/05/2022</t>
  </si>
  <si>
    <t>VBU293734</t>
  </si>
  <si>
    <t>133 Lennox St, Maryborough QLD 4650, Australia</t>
  </si>
  <si>
    <t>134 Lennox St, Maryborough QLD 4650, Australia</t>
  </si>
  <si>
    <t>AB057019</t>
  </si>
  <si>
    <t>0738624777
0738624072
0738624073
0738624075
0738624076
0738624079</t>
  </si>
  <si>
    <t>IP Tel Order - Smile Tel - 12/04/2022</t>
  </si>
  <si>
    <t>VBU290126</t>
  </si>
  <si>
    <t>122 Adelaide St, Maryborough QLD 4650, Australia</t>
  </si>
  <si>
    <t>123 Adelaide St, Maryborough QLD 4650, Australia</t>
  </si>
  <si>
    <t>AB056807</t>
  </si>
  <si>
    <t>IP Tel Order - Smile Tel - 02/03/2022</t>
  </si>
  <si>
    <t>VBU289263</t>
  </si>
  <si>
    <t>Ausdocs Cleveland</t>
  </si>
  <si>
    <t>2 Bloomfield St, Cleveland QLD 4163, Australia</t>
  </si>
  <si>
    <t>3 Bloomfield St, Cleveland QLD 4163, Australia</t>
  </si>
  <si>
    <t>19/05/2022</t>
  </si>
  <si>
    <t>AB056740</t>
  </si>
  <si>
    <t>IP Tel Order - Smile Tel - 17/02/2022</t>
  </si>
  <si>
    <t>AB056724</t>
  </si>
  <si>
    <t>IP Tel Order - Smile Tel - 16/02/2022 Promogear</t>
  </si>
  <si>
    <t>AB056506</t>
  </si>
  <si>
    <t>IP Tel Order - Smile Tel - 10/01/2022</t>
  </si>
  <si>
    <t>17/01/2022</t>
  </si>
  <si>
    <t>AB056493</t>
  </si>
  <si>
    <t>IP Tel Order - Smile Tel - 05/01/2022</t>
  </si>
  <si>
    <t>AB056484</t>
  </si>
  <si>
    <t>IP Tel Order - Smile Tel - 24/12/2021</t>
  </si>
  <si>
    <t>AB056362</t>
  </si>
  <si>
    <t>AB056336</t>
  </si>
  <si>
    <t>0266389710</t>
  </si>
  <si>
    <t>IP Tel Order - Smile Tel - 01/12/2021</t>
  </si>
  <si>
    <t>AB056312</t>
  </si>
  <si>
    <t>IP Tel Order - Smile Tel - 26/11/2021</t>
  </si>
  <si>
    <t>AB056206</t>
  </si>
  <si>
    <t>0881257428</t>
  </si>
  <si>
    <t>IP Tel Order - Smile Tel - 15/11/2021</t>
  </si>
  <si>
    <t>19/11/2021</t>
  </si>
  <si>
    <t>AB056202</t>
  </si>
  <si>
    <t>AB056135</t>
  </si>
  <si>
    <t>IP Tel Order - Smile Tel - 09/11/2021</t>
  </si>
  <si>
    <t>18/11/2021</t>
  </si>
  <si>
    <t>AB056258</t>
  </si>
  <si>
    <t>IP Tel Order - Smile Tel - 19/11/2021</t>
  </si>
  <si>
    <t>22/11/2021</t>
  </si>
  <si>
    <t>VBU282746</t>
  </si>
  <si>
    <t>284 Anzac Ave, Kippa-Ring QLD 4021, Australia</t>
  </si>
  <si>
    <t>285 Anzac Ave, Kippa-Ring QLD 4021, Australia</t>
  </si>
  <si>
    <t>AB056114</t>
  </si>
  <si>
    <t>IP Tel Order - Smile Tel - 05/11/2021</t>
  </si>
  <si>
    <t>VBU280547</t>
  </si>
  <si>
    <t>127 Adelaide St, Maryborough QLD 4650, Australia</t>
  </si>
  <si>
    <t>128 Adelaide St, Maryborough QLD 4650, Australia</t>
  </si>
  <si>
    <t>22/08/2023</t>
  </si>
  <si>
    <t>VBU278922</t>
  </si>
  <si>
    <t>73 Elm St, Barcaldine QLD 4725, Australia</t>
  </si>
  <si>
    <t>74 Elm St, Barcaldine QLD 4725, Australia</t>
  </si>
  <si>
    <t>24/11/2021</t>
  </si>
  <si>
    <t>AB055812</t>
  </si>
  <si>
    <t>AB055689</t>
  </si>
  <si>
    <t>IP Tel Order - Smile Tel - 31/08/2021</t>
  </si>
  <si>
    <t>AB055640</t>
  </si>
  <si>
    <t>AB055639</t>
  </si>
  <si>
    <t>0731128121</t>
  </si>
  <si>
    <t>AB055553</t>
  </si>
  <si>
    <t>IP Tel Order - Smile Tel - 16/08/2021</t>
  </si>
  <si>
    <t>20/08/2021</t>
  </si>
  <si>
    <t>AB055487</t>
  </si>
  <si>
    <t>IP Tel Order - Smile Tel - 10/08/2021 - stock</t>
  </si>
  <si>
    <t>13/08/2021</t>
  </si>
  <si>
    <t>AB055303</t>
  </si>
  <si>
    <t>IP Tel Order - Smile Tel - 27/07/2021</t>
  </si>
  <si>
    <t>29/07/2021</t>
  </si>
  <si>
    <t>AB055200</t>
  </si>
  <si>
    <t>0732084098</t>
  </si>
  <si>
    <t>IP Tel Order - Smile Tel - 16/07/2021</t>
  </si>
  <si>
    <t>AB054631</t>
  </si>
  <si>
    <t>AB054610</t>
  </si>
  <si>
    <t>AB054529</t>
  </si>
  <si>
    <t>IP Tel Order - Smile Tel - 21/05/2021</t>
  </si>
  <si>
    <t>28/05/2021</t>
  </si>
  <si>
    <t>AB054364</t>
  </si>
  <si>
    <t>AB054331</t>
  </si>
  <si>
    <t>AB053964</t>
  </si>
  <si>
    <t>IP Tel Order - Smile Tel - 12/04/2021</t>
  </si>
  <si>
    <t>19/04/2021</t>
  </si>
  <si>
    <t>AB052816</t>
  </si>
  <si>
    <t>IP Tel Order - Smile Tel - 18/01/2021</t>
  </si>
  <si>
    <t>22/01/2021</t>
  </si>
  <si>
    <t>AB052660</t>
  </si>
  <si>
    <t>IP Tel 100 Number Range</t>
  </si>
  <si>
    <t>AB052622</t>
  </si>
  <si>
    <t>IP Tel Order - Smile Tel - 16/12/2020</t>
  </si>
  <si>
    <t>AB052579</t>
  </si>
  <si>
    <t>IP Tel Order - Smile Tel - 11/12/2020</t>
  </si>
  <si>
    <t>AB052506</t>
  </si>
  <si>
    <t>IP Tel Order - Smile Tel - 08/12/2020</t>
  </si>
  <si>
    <t>30/12/2020</t>
  </si>
  <si>
    <t>AB052349</t>
  </si>
  <si>
    <t>IP Tel Order - Smile Tel - 25/11/2020</t>
  </si>
  <si>
    <t>AB052347</t>
  </si>
  <si>
    <t>AB052221</t>
  </si>
  <si>
    <t>IP Tel Order - Smile Tel - 19/11/2020</t>
  </si>
  <si>
    <t>AB052144</t>
  </si>
  <si>
    <t>AB052123</t>
  </si>
  <si>
    <t>IP Tel Order - Smile Tel - 13/11/2020</t>
  </si>
  <si>
    <t>29/01/2021</t>
  </si>
  <si>
    <t>AB052122</t>
  </si>
  <si>
    <t>20/11/2020</t>
  </si>
  <si>
    <t>AB052018</t>
  </si>
  <si>
    <t>IP Tel Order - Smile Tel - 04/11/2020</t>
  </si>
  <si>
    <t>13/11/2020</t>
  </si>
  <si>
    <t>AB052011</t>
  </si>
  <si>
    <t>AB051953</t>
  </si>
  <si>
    <t>0732499000</t>
  </si>
  <si>
    <t>IP Tel Order - Smile Tel - 30/10/2020</t>
  </si>
  <si>
    <t>AB051952</t>
  </si>
  <si>
    <t>0738089568</t>
  </si>
  <si>
    <t>14/01/2021</t>
  </si>
  <si>
    <t>AB051801</t>
  </si>
  <si>
    <t>0753148880</t>
  </si>
  <si>
    <t>IP Tel Order - Smile Tel - 21/10/2020</t>
  </si>
  <si>
    <t>AB051797</t>
  </si>
  <si>
    <t>AB051620</t>
  </si>
  <si>
    <t>IP Tel Order - Smile Tel - 08/10/2020
4 IP Tel Call Centre Standard Agent
Voice (5 Mbps) - Unit 1, 49 Miller Street, Murarrie QLD 4172</t>
  </si>
  <si>
    <t>16/10/2020</t>
  </si>
  <si>
    <t>AB051431</t>
  </si>
  <si>
    <t>VIE235082</t>
  </si>
  <si>
    <t>Level 4, 104 Melbourne St, South Brisbane QLD 4101
500 Mbps Vocus Internet Express
Address: Level 4, 104 Melbourne St, South Brisbane QLD 4101</t>
  </si>
  <si>
    <t>Level 4, 104 Melbourne St, South Brisbane QLD 4102</t>
  </si>
  <si>
    <t>AB050126</t>
  </si>
  <si>
    <t>0731612275</t>
  </si>
  <si>
    <t>IP Tel Order - Smile Tel - 09/07/2020- Promogear
Voice (5 Mbps) - Unit 1, 49 Miller Street, Murarrie QLD 4172</t>
  </si>
  <si>
    <t>21/08/2020</t>
  </si>
  <si>
    <t>AB049706</t>
  </si>
  <si>
    <t>AB049544</t>
  </si>
  <si>
    <t>0862637794</t>
  </si>
  <si>
    <t>IP Tel Order - Smile Tel - 11/06/2020
Voice (5 Mbps) - Unit 1, 49 Miller Street, Murarrie QLD 4172</t>
  </si>
  <si>
    <t>20/06/2020</t>
  </si>
  <si>
    <t>AB049425</t>
  </si>
  <si>
    <t>0754456662</t>
  </si>
  <si>
    <t>IP Tel Order - Smile Tel - 04/06/2020
Voice (5 Mbps) - Unit 1, 49 Miller Street, Murarrie QLD 4172</t>
  </si>
  <si>
    <t>AB048444</t>
  </si>
  <si>
    <t>AB047532</t>
  </si>
  <si>
    <r>
      <rPr>
        <b/>
        <sz val="11"/>
        <color rgb="FF000000"/>
        <rFont val="Aptos Narrow"/>
        <family val="2"/>
      </rPr>
      <t xml:space="preserve">0732055511
</t>
    </r>
    <r>
      <rPr>
        <sz val="11"/>
        <color rgb="FF000000"/>
        <rFont val="Aptos Narrow"/>
        <family val="2"/>
      </rPr>
      <t>0732055122</t>
    </r>
  </si>
  <si>
    <t>AB046638</t>
  </si>
  <si>
    <t>AB042424</t>
  </si>
  <si>
    <t>AB042062</t>
  </si>
  <si>
    <t>IP Tel Order - Smile Tel - 24/05/2019/ STA
40 IP Tel Voicemail
Voice (5 Mbps) - Unit 5, 28 Metroplex Avenue, MURARRIE QLD 4172</t>
  </si>
  <si>
    <t>AB042000</t>
  </si>
  <si>
    <t>0733191839
0733191850
0733191851
0733191852
0733191853
0733191854
0733191855
0733191856
0733191857
0733191858
0733191859
0733191830
0733191831
0733191832
0733191833
0733191834
0733191835
0733191836
0733191837
0733191838</t>
  </si>
  <si>
    <t>IP Tel Order - Smile Tel - 21/05/2019
Voice (5 Mbps) - Unit 5, 28 Metroplex Avenue, MURARRIE QLD 4172</t>
  </si>
  <si>
    <t>22/05/2019</t>
  </si>
  <si>
    <t>AB041981</t>
  </si>
  <si>
    <t>0756035603</t>
  </si>
  <si>
    <t>IP Tel Order - Smile Tel - 20/05/2019 - STA Gold Coast
Voice (5 Mbps) - Unit 5, 28 Metroplex Avenue, MURARRIE QLD 4172</t>
  </si>
  <si>
    <t>AB041978</t>
  </si>
  <si>
    <t>0733191820
0733191821
0733191822
0733191823
0733191824
0733191825
0733191826
0733191827
0733191828
0733191829</t>
  </si>
  <si>
    <t>IP Tel Order - Smile Tel - 20/05/2019 - STA
Voice (5 Mbps) - Unit 5, 28 Metroplex Avenue, MURARRIE QLD 4172</t>
  </si>
  <si>
    <t>AB041910</t>
  </si>
  <si>
    <r>
      <rPr>
        <sz val="11"/>
        <color rgb="FF000000"/>
        <rFont val="Aptos Narrow"/>
        <family val="2"/>
      </rPr>
      <t xml:space="preserve">0733411665
</t>
    </r>
    <r>
      <rPr>
        <b/>
        <sz val="11"/>
        <color rgb="FF000000"/>
        <rFont val="Aptos Narrow"/>
        <family val="2"/>
      </rPr>
      <t>0733411169
0733411070
0733416611</t>
    </r>
  </si>
  <si>
    <t>IP Tel Order - Smile Tel - 15/05/2019 - Mega
Voice (5 Mbps) - Unit 5, 28 Metroplex Avenue, MURARRIE QLD 4172</t>
  </si>
  <si>
    <t>AB041584</t>
  </si>
  <si>
    <t>0730717444</t>
  </si>
  <si>
    <t>IP Tel Order - Smile Tel - 26/04/2019- STA
Voice (5 Mbps) - Unit 5, 28 Metroplex Avenue, MURARRIE QLD 4172</t>
  </si>
  <si>
    <t>AB041582</t>
  </si>
  <si>
    <t>0756349558</t>
  </si>
  <si>
    <t>IP Tel Order - Smile Tel - 26/04/2019 - STA
Voice (5 Mbps) - Unit 5, 28 Metroplex Avenue, MURARRIE QLD 4172</t>
  </si>
  <si>
    <t>AB041496</t>
  </si>
  <si>
    <t>0240326450
0240381408</t>
  </si>
  <si>
    <t>IP Tel Order - Smile Tel - 17/04/2019-STA
Voice (5 Mbps) - Unit 5, 28 Metroplex Avenue, MURARRIE QLD 4172</t>
  </si>
  <si>
    <t>AB041307</t>
  </si>
  <si>
    <t>Smile Tel (MURARRIE, QLD) - Vocus IP Tel
50 IP Tel Basic (Reseller)
150 IP Tel Standard (Reseller)
70 IP Tel Premium (Reseller)
15 IP Tel Collaboration (Reseller)
5 IP Tel Auto Attendant Basic
10 IP Tel User VAS - Mobility (requires IP Tel Premium license)
Voice (5 Mbps) - Unit 1, 49 Miller Street, Murarrie QLD 4172</t>
  </si>
  <si>
    <t>15/12/2024</t>
  </si>
  <si>
    <t>AB040793</t>
  </si>
  <si>
    <t>AB040199</t>
  </si>
  <si>
    <t>AB039357</t>
  </si>
  <si>
    <t xml:space="preserve">	IP Tel 100 Number Range</t>
  </si>
  <si>
    <t>AB039305</t>
  </si>
  <si>
    <t>IP Tel Order - Smile Tel - 03/12/2018
30 IP Tel Premium
Voice (5 Mbps) - Unit 5, 28 Metroplex Avenue, MURARRIE QLD 4172</t>
  </si>
  <si>
    <t>AB038619</t>
  </si>
  <si>
    <t>AB038552</t>
  </si>
  <si>
    <t>AB038170</t>
  </si>
  <si>
    <t>AB038092</t>
  </si>
  <si>
    <t>0733588821
0733588822</t>
  </si>
  <si>
    <t>Smile  Tel (Cannon Hill QLD) Vocus IP Tel
Voice (5 Mbps) - Unit 1, 49 Miller Street, Murarrie QLD 4172</t>
  </si>
  <si>
    <t>18/03/2020</t>
  </si>
  <si>
    <t>AB038091</t>
  </si>
  <si>
    <t>0733588820
0733588823 to 0733588872
0733588873 to 0733588882
0733588883
0733588884
0733588885
0733588886
0733588887
0733588888
0733588889
0736386550 to 0736386649
0733793828
0245722592</t>
  </si>
  <si>
    <t>IP Tel Single Number
IP Tel 50 Number Range
IP Tel 10 Number Range
IP Tel 100 Number Range</t>
  </si>
  <si>
    <t>Smile Tel (Cannon Hill, QLD) Vocus IP Tel
Voice (5 Mbps) - 28 Metroplex Avenue, Murarrie QLD 4172</t>
  </si>
  <si>
    <t>AB037685</t>
  </si>
  <si>
    <t>IP Tel 10 Number Block</t>
  </si>
  <si>
    <t>AB037379</t>
  </si>
  <si>
    <t>0756033500 to 0756033509
0756033510 to 0756033519</t>
  </si>
  <si>
    <t>IP Tel Order - Smile Tel - 10/08/2018 - Makris new numbers
Voice (5 Mbps) - 28 Metroplex Avenue, Murarrie QLD 4172</t>
  </si>
  <si>
    <t>20/08/2018</t>
  </si>
  <si>
    <t>AB037124</t>
  </si>
  <si>
    <t>IP Tel Order - Smile Tel - 27/07/2018 - Smile additional premiums
18 	IP Tel Premium
Voice (5 Mbps) - Unit 1, 49 Miller Street, Murarrie QLD 4172</t>
  </si>
  <si>
    <t>AB036879</t>
  </si>
  <si>
    <t>IP Tel 10 Number Block
IP Tel Single Number</t>
  </si>
  <si>
    <t>AB036547</t>
  </si>
  <si>
    <t>0739112730 to 0739112739
0755608180 to 0755608180</t>
  </si>
  <si>
    <t>IP Tel Order - Smile Tel - 27/06/2018 - Makris Brisbane and Gold Coast
Voice (5 Mbps) - 28 Metroplex Avenue, Murarrie QLD 4172</t>
  </si>
  <si>
    <t>AB035443</t>
  </si>
  <si>
    <t>0754655900 to 0754655999</t>
  </si>
  <si>
    <t>IP Tel Order - Smile Tel - 02/05/2018 - Spicers Hiddenvale
Voice (5 Mbps) - 28 Metroplex Avenue, Murarrie QLD 4172</t>
  </si>
  <si>
    <t>AB035436</t>
  </si>
  <si>
    <t>IP Tel Order - Smile Tel - 02/05/2018
2 SIP Reseller 1
Voice (5 Mbps) - 28 Metroplex Avenue, Murarrie QLD 4172</t>
  </si>
  <si>
    <t>AB034931</t>
  </si>
  <si>
    <t>AB034867</t>
  </si>
  <si>
    <t>AB034866</t>
  </si>
  <si>
    <t>IP Tel Order - Smile Tel - 26/03/2018 [SRHL]
5 	IP Tel Call Centre Premium Agent
Voice (5 Mbps) - 28 Metroplex Avenue, Murarrie QLD 4172</t>
  </si>
  <si>
    <t>AB034842</t>
  </si>
  <si>
    <t>AB033163</t>
  </si>
  <si>
    <t>0291313930 to  0291313939</t>
  </si>
  <si>
    <t>IP Tel Order - Smile Tel - 04/12/2017 [ASGSYD]
Voice (5 Mbps) - 26 Wood Avenue, CARINA QLD 4152</t>
  </si>
  <si>
    <t>26 Wood Avenue, CARINA QLD 4153</t>
  </si>
  <si>
    <t>AB032923</t>
  </si>
  <si>
    <t>Middlemount Coal</t>
  </si>
  <si>
    <t>0749850000 to 0749850099</t>
  </si>
  <si>
    <t>IP Tel Order - Smile Tel - 21/11/2017 - [Middlemount mine site]
Voice (5 Mbps) - 26 Wood Avenue, CARINA QLD 4152</t>
  </si>
  <si>
    <t>26/02/2018</t>
  </si>
  <si>
    <t>AB032909</t>
  </si>
  <si>
    <t>0286071132
0286071133</t>
  </si>
  <si>
    <t>IP Tel Order - Smile Tel - 21/11/2017 - [Action Smart]
Voice (5 Mbps) - 26 Wood Avenue, CARINA QLD 4152</t>
  </si>
  <si>
    <t>AB032891</t>
  </si>
  <si>
    <t>0755604120 to 0755604129</t>
  </si>
  <si>
    <t>IP Tel Order - Smile Tel - 20/11/2017 - [Action Smart]
Voice (5 Mbps) - 26 Wood Avenue, CARINA QLD 4152</t>
  </si>
  <si>
    <t>AB032843</t>
  </si>
  <si>
    <t>0735559000 to 0735559099</t>
  </si>
  <si>
    <t>IP Tel Order - Smile Tel - 15/11/2017
Voice (5 Mbps) - 26 Wood Avenue, CARINA QLD 4152</t>
  </si>
  <si>
    <t>AB032218</t>
  </si>
  <si>
    <t>0731792000 to 0731792099</t>
  </si>
  <si>
    <t>IP Tel Order - Smile Tel - 10/10/2017 - Middlemount
Voice (5 Mbps) - 26 Wood Avenue, CARINA QLD 4152</t>
  </si>
  <si>
    <t>AB031926</t>
  </si>
  <si>
    <t xml:space="preserve">	IP Tel Single Number</t>
  </si>
  <si>
    <t>AB030843</t>
  </si>
  <si>
    <t>0735052475</t>
  </si>
  <si>
    <t>IP Tel Order - Smile Tel - 05/07/2017 [Voltsinglenumber]
Voice (5 Mbps) - 26 Wood Avenue, CARINA QLD 4152</t>
  </si>
  <si>
    <t>AB030566</t>
  </si>
  <si>
    <t>SP otts</t>
  </si>
  <si>
    <t>0293573200</t>
  </si>
  <si>
    <t>IP Tel Order - Smile Tel - 19/06/2017 [SPPotts]
Voice (5 Mbps) - 26 Wood Avenue, CARINA QLD 4152</t>
  </si>
  <si>
    <t>27/06/2017</t>
  </si>
  <si>
    <t>AB030398</t>
  </si>
  <si>
    <t>Hefford Lawyers</t>
  </si>
  <si>
    <r>
      <rPr>
        <b/>
        <sz val="11"/>
        <color rgb="FF000000"/>
        <rFont val="Aptos Narrow"/>
        <family val="2"/>
      </rPr>
      <t xml:space="preserve">0281234600 </t>
    </r>
    <r>
      <rPr>
        <sz val="11"/>
        <color rgb="FF000000"/>
        <rFont val="Aptos Narrow"/>
        <family val="2"/>
      </rPr>
      <t>to 0281234699</t>
    </r>
  </si>
  <si>
    <t>IP Tel Order - Smile Tel - 06/06/2017 [Sp-Potts]
Voice (5 Mbps) - 26 Wood Avenue, CARINA QLD 4152</t>
  </si>
  <si>
    <t>21/06/2017</t>
  </si>
  <si>
    <t>AB029918</t>
  </si>
  <si>
    <t>Gateway Containers (124)
Action Smart (121-123)
CMC Property Management (125)
T2 Electrical (126)</t>
  </si>
  <si>
    <r>
      <rPr>
        <b/>
        <sz val="11"/>
        <color rgb="FF000000"/>
        <rFont val="Aptos Narrow"/>
        <family val="2"/>
      </rPr>
      <t xml:space="preserve">0734453121
0734453122
0734453123
0734453124
0734453125
</t>
    </r>
    <r>
      <rPr>
        <sz val="11"/>
        <color rgb="FF000000"/>
        <rFont val="Aptos Narrow"/>
        <family val="2"/>
      </rPr>
      <t>0734453126
0734453127</t>
    </r>
  </si>
  <si>
    <t>IP Tel Order - Smile Tel - 12/05/2017 [Tristar Australia]
Voice (5 Mbps) - Unit 1, 49 Miller Street, Murarrie QLD 4172</t>
  </si>
  <si>
    <t>14/01/2022</t>
  </si>
  <si>
    <t>AB029919</t>
  </si>
  <si>
    <t>Rescom Airconditioning</t>
  </si>
  <si>
    <t>0739150160 to 0739150169</t>
  </si>
  <si>
    <t>IP Tel Order - Smile Tel - 12/05/2017 [Res-Com Air Conditioning]
Voice (5 Mbps) - 26 Wood Avenue, CARINA QLD 4152</t>
  </si>
  <si>
    <t>AB029922</t>
  </si>
  <si>
    <t>Doyles Home Hardware</t>
  </si>
  <si>
    <t>0735052443 to 0735052452</t>
  </si>
  <si>
    <t>IP Tel Order - Smile Tel - 12/05/2017 [Doyl]
Voice (5 Mbps) - 26 Wood Avenue, CARINA QLD 4152</t>
  </si>
  <si>
    <t>22/05/2017</t>
  </si>
  <si>
    <t>RS - 05.01 - Doyles is not at this address, unless this is owners house?</t>
  </si>
  <si>
    <t>VIE105431</t>
  </si>
  <si>
    <t>67 Park Road, Milton QLD 4064
500mbps Vocus Internet Express</t>
  </si>
  <si>
    <t>68 Park Road, Milton QLD 4064
500mbps Vocus Internet Express</t>
  </si>
  <si>
    <t>13/06/2017</t>
  </si>
  <si>
    <t>RS - 05.01 - Can't find - Is there usage?</t>
  </si>
  <si>
    <t>AB029824</t>
  </si>
  <si>
    <t>Aus Ha 2</t>
  </si>
  <si>
    <t>0284586701</t>
  </si>
  <si>
    <t>IP Tel Order - Smile Tel - 09/05/2017 [Aus Ha 2]
Voice (5 Mbps) - 26 Wood Avenue, CARINA QLD 4152</t>
  </si>
  <si>
    <t>AB029816</t>
  </si>
  <si>
    <t>IP Tel Order - Smile Tel - 08/05/2017 [Auto Attendant]
4 	IP Tel Auto Attendant Basic
1 	Voice (5 Mbps) - 26 Wood Avenue, CARINA QLD 4152</t>
  </si>
  <si>
    <t>AB029297</t>
  </si>
  <si>
    <t>0733556122</t>
  </si>
  <si>
    <t xml:space="preserve">IP Tel Order - Smile Tel1 - 05/04/2017 [Doyles Holdings]
Voice (5 Mbps) - 26 Wood Avenue, CARINA QLD 4152
</t>
  </si>
  <si>
    <t>20/06/2017</t>
  </si>
  <si>
    <t>AB028007</t>
  </si>
  <si>
    <t>Smile Tel - Vocus IP Tel [Smile Tel]
30 IP Tel Basic
3 IP Tel Call Centre Queue
12 IP Tel Call Centre Standard Agent
4 IP Tel Call Centre Standard Supervisor
2 IP Tel Fax Mailbox
120 IP Tel Premium
96 	IP Tel Standard
60 IP Tel Voicemail
19 IP Tel Collaboration (Reseller)
1 Voice (5 Mbps) - Unit 1, 49 Miller Street, Murarrie QLD 4172</t>
  </si>
  <si>
    <t>Client Contact 1</t>
  </si>
  <si>
    <t>Service Plan 2</t>
  </si>
  <si>
    <t>Client Contact 2</t>
  </si>
  <si>
    <t>Loc ID</t>
  </si>
  <si>
    <t>IP Address</t>
  </si>
  <si>
    <t>02 9130 1534</t>
  </si>
  <si>
    <t>bondibeach2@bigpond.com</t>
  </si>
  <si>
    <t>02 4365 0249</t>
  </si>
  <si>
    <t xml:space="preserve">terrigaldrive@bigpond.com </t>
  </si>
  <si>
    <t>L 1, BG 1 6 EAST TCE, ADELAIDE SA 5000</t>
  </si>
  <si>
    <t>08 8359 2256</t>
  </si>
  <si>
    <t xml:space="preserve">alfredo.attard387@bigpond.com </t>
  </si>
  <si>
    <t xml:space="preserve">03 5975 3104 </t>
  </si>
  <si>
    <t xml:space="preserve">zambraro02@bigpond.com </t>
  </si>
  <si>
    <t>07 4725 1209</t>
  </si>
  <si>
    <t xml:space="preserve">aattard547@bigpond.com </t>
  </si>
  <si>
    <t>07 5536 8667</t>
  </si>
  <si>
    <t xml:space="preserve">haigkirra@bigpond.com </t>
  </si>
  <si>
    <t xml:space="preserve">08 6279 8251 </t>
  </si>
  <si>
    <t>alfredo315@bigpond.com</t>
  </si>
  <si>
    <t>08 9534 1274</t>
  </si>
  <si>
    <t xml:space="preserve">aattard644@bigpond.com </t>
  </si>
  <si>
    <t>03 9826 4258</t>
  </si>
  <si>
    <t xml:space="preserve">julian08giraldo@bigpond.com </t>
  </si>
  <si>
    <t xml:space="preserve">03 5976 4649 </t>
  </si>
  <si>
    <t xml:space="preserve">zambreromornington@bigpond.com </t>
  </si>
  <si>
    <t>02 9627 5281</t>
  </si>
  <si>
    <t xml:space="preserve">dsfewvv@bigpond.com </t>
  </si>
  <si>
    <t>03 5623 6167</t>
  </si>
  <si>
    <t xml:space="preserve">aattard983@bigpond.com </t>
  </si>
  <si>
    <t>08 9524 2863</t>
  </si>
  <si>
    <t xml:space="preserve">dsafdsa@bigpond.com </t>
  </si>
  <si>
    <t>02 4455 3338</t>
  </si>
  <si>
    <t xml:space="preserve">zambreroulladulla@bigpond.com </t>
  </si>
  <si>
    <t>08 9140 4068</t>
  </si>
  <si>
    <t xml:space="preserve">aattard330@bigpond.com </t>
  </si>
  <si>
    <t>08 6296 9780</t>
  </si>
  <si>
    <t xml:space="preserve">aattard689@bigpond.com </t>
  </si>
  <si>
    <t>07 3324 8463</t>
  </si>
  <si>
    <t xml:space="preserve">fafds@bigpond.com </t>
  </si>
  <si>
    <t>07 3245 1457</t>
  </si>
  <si>
    <t>lnljd234324@bigpond.com</t>
  </si>
  <si>
    <t>07 4862 5254</t>
  </si>
  <si>
    <t xml:space="preserve"> aattard114@bigpond.com</t>
  </si>
  <si>
    <t xml:space="preserve"> aattard580@bigpond.com</t>
  </si>
  <si>
    <t>Core Internet,Static IP</t>
  </si>
  <si>
    <t>alfredo.attard122@bigpond.com</t>
  </si>
  <si>
    <t>pottpointvicnsw@bigpond.com_x000D_</t>
  </si>
  <si>
    <t>07 3891 2724</t>
  </si>
  <si>
    <t xml:space="preserve">Upfront Internet Plan Essential </t>
  </si>
  <si>
    <t>OAC000000469068</t>
  </si>
  <si>
    <t>07 3846 7857</t>
  </si>
  <si>
    <t>OAC000000406423_x000D_</t>
  </si>
  <si>
    <t>07 3863 0705_x000D_</t>
  </si>
  <si>
    <t>OAC000000455896_x000D_</t>
  </si>
  <si>
    <t>02 4379 0174_x000D_</t>
  </si>
  <si>
    <t>alfredoattardcm@bigpond.com</t>
  </si>
  <si>
    <t>03 9374 2425_x000D_</t>
  </si>
  <si>
    <t>AVC000178025232</t>
  </si>
  <si>
    <t>02 4472 4158</t>
  </si>
  <si>
    <t>alfredo.attardcm@bigpond.com</t>
  </si>
  <si>
    <t>08 9390 8284</t>
  </si>
  <si>
    <t>zambrero.kelmscott@bigpond.com</t>
  </si>
  <si>
    <t>07 5538 0557</t>
  </si>
  <si>
    <t>aattard180@bigpond.com</t>
  </si>
  <si>
    <t xml:space="preserve"> 0408 280 923 </t>
  </si>
  <si>
    <t>SIM 8250039832277</t>
  </si>
  <si>
    <t>Dot Voice And Broadband Backup</t>
  </si>
  <si>
    <t>0417 986 051</t>
  </si>
  <si>
    <t>SIM 8000332314196</t>
  </si>
  <si>
    <t>0427 561 709</t>
  </si>
  <si>
    <t>SIM 8000298305683</t>
  </si>
  <si>
    <t xml:space="preserve">0428 262 713 </t>
  </si>
  <si>
    <t>SIM 8500253187000</t>
  </si>
  <si>
    <t xml:space="preserve">0428 752 373 </t>
  </si>
  <si>
    <t>SIM 8000270556865</t>
  </si>
  <si>
    <t>0436 414 646</t>
  </si>
  <si>
    <t>SIM 8200042644730</t>
  </si>
  <si>
    <t>0437 345 383</t>
  </si>
  <si>
    <t>SIM 8500253129259</t>
  </si>
  <si>
    <t>0437 875 528</t>
  </si>
  <si>
    <t>SIM 8000330688773</t>
  </si>
  <si>
    <t>0437 979 850</t>
  </si>
  <si>
    <t>SIM 8500265414731</t>
  </si>
  <si>
    <t>0438 335 965</t>
  </si>
  <si>
    <t>SIM 8500238917893</t>
  </si>
  <si>
    <t>0438 399 581</t>
  </si>
  <si>
    <t>SIM 8500280782146</t>
  </si>
  <si>
    <t>0438 416 257</t>
  </si>
  <si>
    <t>SIM 8000355202591</t>
  </si>
  <si>
    <t>0438 506 143</t>
  </si>
  <si>
    <t>SIM 8000355202583</t>
  </si>
  <si>
    <t>0438 522 462</t>
  </si>
  <si>
    <t>SIM 8000355202625</t>
  </si>
  <si>
    <t>0438 558 948</t>
  </si>
  <si>
    <t>SIM 8200024142190</t>
  </si>
  <si>
    <t>0438 688 164</t>
  </si>
  <si>
    <t>SIM 8500225847756</t>
  </si>
  <si>
    <t>0439 276 854</t>
  </si>
  <si>
    <t>SIM 8200025052331</t>
  </si>
  <si>
    <t>0439 280 423</t>
  </si>
  <si>
    <t>SIM 8200025051911</t>
  </si>
  <si>
    <t>0439 435 762</t>
  </si>
  <si>
    <t>SIM 8500253148853</t>
  </si>
  <si>
    <t>0439 595 875</t>
  </si>
  <si>
    <t>SIM 8200043683042</t>
  </si>
  <si>
    <t>0439 942 732</t>
  </si>
  <si>
    <t>SIM 8000355202617</t>
  </si>
  <si>
    <t>0448 015 690</t>
  </si>
  <si>
    <t>SIM 8500133218678</t>
  </si>
  <si>
    <t>0448 235 154</t>
  </si>
  <si>
    <t>SIM 8200032376236</t>
  </si>
  <si>
    <t xml:space="preserve">0448 710 245 </t>
  </si>
  <si>
    <t>SIM 8500133218371</t>
  </si>
  <si>
    <t>0456 617 599</t>
  </si>
  <si>
    <t>SIM 8200058828664</t>
  </si>
  <si>
    <t>0456 995 430</t>
  </si>
  <si>
    <t>SIM 8000355202609</t>
  </si>
  <si>
    <t>0457 034 187</t>
  </si>
  <si>
    <t>SIM 8000346390760</t>
  </si>
  <si>
    <t>0458 006 415</t>
  </si>
  <si>
    <t>SIM 8500133223033</t>
  </si>
  <si>
    <t>0488 321 583</t>
  </si>
  <si>
    <t>SIM 8000454744790</t>
  </si>
  <si>
    <t>0488 621 119</t>
  </si>
  <si>
    <t>SIM 8000454747215</t>
  </si>
  <si>
    <t>461 Dean St,, Albury, Nsw, 2640</t>
  </si>
  <si>
    <t xml:space="preserve"> 02 6041 2870</t>
  </si>
  <si>
    <t xml:space="preserve">AVC000118249414 </t>
  </si>
  <si>
    <t xml:space="preserve">02 6247 3170 </t>
  </si>
  <si>
    <t xml:space="preserve">02 6257 0012 </t>
  </si>
  <si>
    <t>AVC000126102023</t>
  </si>
  <si>
    <t xml:space="preserve"> 02 6962 2841</t>
  </si>
  <si>
    <t>02 6962 6495</t>
  </si>
  <si>
    <t>02 9550 3018</t>
  </si>
  <si>
    <t>02 9550 3025</t>
  </si>
  <si>
    <t>03 5221 5595</t>
  </si>
  <si>
    <t xml:space="preserve">07 5536 4319 </t>
  </si>
  <si>
    <t xml:space="preserve">07 5596 0114 </t>
  </si>
  <si>
    <t>07 5596 5232</t>
  </si>
  <si>
    <t xml:space="preserve">07 5599 4711 </t>
  </si>
  <si>
    <t>AVC000037209743</t>
  </si>
  <si>
    <t>Unit 1, 2-8 Throssell Road, South Hedland, WA 6722</t>
  </si>
  <si>
    <t>08 9140 2933</t>
  </si>
  <si>
    <t>AVC000068152861</t>
  </si>
  <si>
    <t>08 9172 4119</t>
  </si>
  <si>
    <t>08 9207 1868</t>
  </si>
  <si>
    <t>08 9277 5508</t>
  </si>
  <si>
    <t>08 9277 5513</t>
  </si>
  <si>
    <t>08 9300 0252</t>
  </si>
  <si>
    <t xml:space="preserve"> 08 9300 0353</t>
  </si>
  <si>
    <t xml:space="preserve">08 9335 3190 </t>
  </si>
  <si>
    <t>08 9349 7342</t>
  </si>
  <si>
    <t>08 9433 3046</t>
  </si>
  <si>
    <t>182 Great Eastern Highway, Ascot, WA 6104</t>
  </si>
  <si>
    <t>N2962205R</t>
  </si>
  <si>
    <t>TBB_Unlimited Business Internet</t>
  </si>
  <si>
    <t>Shop 33, 18-26 Spitfire Avenue, Canberra Airport, ACT 2609</t>
  </si>
  <si>
    <t>N6666359R</t>
  </si>
  <si>
    <t>461B Dean Street, Albury, NSW 2640</t>
  </si>
  <si>
    <t>N6723874R</t>
  </si>
  <si>
    <t>192 Banna Av, Griffith, NSW</t>
  </si>
  <si>
    <t>N6672573R</t>
  </si>
  <si>
    <t>N2997588R</t>
  </si>
  <si>
    <t>N3957212R</t>
  </si>
  <si>
    <t>N1918306R</t>
  </si>
  <si>
    <t>N7602758R</t>
  </si>
  <si>
    <t>N9729396R</t>
  </si>
  <si>
    <t>N9728363R</t>
  </si>
  <si>
    <t>N9064550R</t>
  </si>
  <si>
    <t>N2900207R</t>
  </si>
  <si>
    <t>0400 323 555 _x000D_</t>
  </si>
  <si>
    <t>SIM 8000350811891</t>
  </si>
  <si>
    <t>Business Bundle Data Plan</t>
  </si>
  <si>
    <t>0400 338 176 _x000D_</t>
  </si>
  <si>
    <t>SIM 8000471458358</t>
  </si>
  <si>
    <t>Business Data Plan S</t>
  </si>
  <si>
    <t>0400 676 294 _x000D_</t>
  </si>
  <si>
    <t>SIM 8500282989566</t>
  </si>
  <si>
    <t xml:space="preserve">0400 989 113 </t>
  </si>
  <si>
    <t>SIM 8000339713002</t>
  </si>
  <si>
    <t>Business Data Plan L</t>
  </si>
  <si>
    <t xml:space="preserve">0407 985 343 </t>
  </si>
  <si>
    <t>Business Data Plan M</t>
  </si>
  <si>
    <t xml:space="preserve">0408 560 349 </t>
  </si>
  <si>
    <t>SIM 8000415323684</t>
  </si>
  <si>
    <t xml:space="preserve">0408 686 144 </t>
  </si>
  <si>
    <t>0409 309 461</t>
  </si>
  <si>
    <t>SIM 8500265352865</t>
  </si>
  <si>
    <t xml:space="preserve"> 0409 756 261 </t>
  </si>
  <si>
    <t>SIM 8200161775414</t>
  </si>
  <si>
    <t>0409 809 993</t>
  </si>
  <si>
    <t>SIM 8200143813408</t>
  </si>
  <si>
    <t xml:space="preserve">0417 438 759 </t>
  </si>
  <si>
    <t>SIM 8500282989657</t>
  </si>
  <si>
    <t>0417 576 937</t>
  </si>
  <si>
    <t>SIM 8000445304183</t>
  </si>
  <si>
    <t>0417 834 384</t>
  </si>
  <si>
    <t>Business Mobile Plan Basic</t>
  </si>
  <si>
    <t xml:space="preserve">0417 847 693 </t>
  </si>
  <si>
    <t>SIM 8200143832572</t>
  </si>
  <si>
    <t xml:space="preserve">0417 878 262 </t>
  </si>
  <si>
    <t>SIM 8000096455458</t>
  </si>
  <si>
    <t>0417 932 858</t>
  </si>
  <si>
    <t>SIM 8000419318383</t>
  </si>
  <si>
    <t>0418 107 504</t>
  </si>
  <si>
    <t>SIM 8000346390836</t>
  </si>
  <si>
    <t>0418 184 289</t>
  </si>
  <si>
    <t>SIM 8200064869140</t>
  </si>
  <si>
    <t>0418 214 822</t>
  </si>
  <si>
    <t>SIM 8200122354333</t>
  </si>
  <si>
    <t xml:space="preserve"> 0418 533 242 </t>
  </si>
  <si>
    <t>SIM 8500282989517</t>
  </si>
  <si>
    <t xml:space="preserve">Business Data Plan S </t>
  </si>
  <si>
    <t xml:space="preserve">0418 856 348 </t>
  </si>
  <si>
    <t>SIM 8200122354341</t>
  </si>
  <si>
    <t xml:space="preserve">0418 882 075 </t>
  </si>
  <si>
    <t>SIM 8000346390653</t>
  </si>
  <si>
    <t>0418 974 328 _x000D_</t>
  </si>
  <si>
    <t>SIM 8200095396147</t>
  </si>
  <si>
    <t xml:space="preserve">0419 186 368 </t>
  </si>
  <si>
    <t>SIM 8000444302485</t>
  </si>
  <si>
    <t xml:space="preserve">0419 553 171 </t>
  </si>
  <si>
    <t>SIM 8500221134738</t>
  </si>
  <si>
    <t xml:space="preserve">0419 655 142 </t>
  </si>
  <si>
    <t>SIM 8000330910508</t>
  </si>
  <si>
    <t xml:space="preserve"> 0419 728 995 </t>
  </si>
  <si>
    <t>SIM 8500211691234</t>
  </si>
  <si>
    <t xml:space="preserve">0419 929 936 </t>
  </si>
  <si>
    <t>SIM 8200095396394</t>
  </si>
  <si>
    <t xml:space="preserve">0427 076 508 </t>
  </si>
  <si>
    <t>SIM 8000375624196</t>
  </si>
  <si>
    <t>0427 091 499 _x000D_</t>
  </si>
  <si>
    <t>SIM 8200162941619</t>
  </si>
  <si>
    <t>Business Mobile Plan Premium</t>
  </si>
  <si>
    <t>0427 359 282</t>
  </si>
  <si>
    <t>SIM 8200131437277</t>
  </si>
  <si>
    <t>0427 362 266 _x000D_</t>
  </si>
  <si>
    <t>SIM 8000330910516</t>
  </si>
  <si>
    <t xml:space="preserve">0427 406 897 </t>
  </si>
  <si>
    <t>SIM 8200095396154</t>
  </si>
  <si>
    <t>0427 449 381 _x000D_</t>
  </si>
  <si>
    <t>SIM 8000415758053</t>
  </si>
  <si>
    <t xml:space="preserve">0427 488 028 </t>
  </si>
  <si>
    <t>SIM 8200061686265</t>
  </si>
  <si>
    <t xml:space="preserve"> 0427 525 780 </t>
  </si>
  <si>
    <t>SIM 8000372644171</t>
  </si>
  <si>
    <t>0427 543 393</t>
  </si>
  <si>
    <t>SIM 8200095396022</t>
  </si>
  <si>
    <t>0427 575 895</t>
  </si>
  <si>
    <t>SIM 8200095395594</t>
  </si>
  <si>
    <t xml:space="preserve">0427 591 732 </t>
  </si>
  <si>
    <t>SIM 8000415324187</t>
  </si>
  <si>
    <t>0428 011 149</t>
  </si>
  <si>
    <t>SIM 8500244023538</t>
  </si>
  <si>
    <t>0428 077 429</t>
  </si>
  <si>
    <t>SIM 8200143831905</t>
  </si>
  <si>
    <t xml:space="preserve">0428 097 454 </t>
  </si>
  <si>
    <t>SIM 8000415758012</t>
  </si>
  <si>
    <t xml:space="preserve">0428 192 371 </t>
  </si>
  <si>
    <t>SIM 8000339713457</t>
  </si>
  <si>
    <t>0428 423 747</t>
  </si>
  <si>
    <t>SIM 8500253615091</t>
  </si>
  <si>
    <t>0428 566 376</t>
  </si>
  <si>
    <t>SIM 8200121554933</t>
  </si>
  <si>
    <t>0428 588 880</t>
  </si>
  <si>
    <t>SIM 8000346391115</t>
  </si>
  <si>
    <t xml:space="preserve">0428 719 575 </t>
  </si>
  <si>
    <t>SIM 8200064869132</t>
  </si>
  <si>
    <t>0428 726 634</t>
  </si>
  <si>
    <t>SIM 8500244023520</t>
  </si>
  <si>
    <t xml:space="preserve">0428 742 374 </t>
  </si>
  <si>
    <t>SIM 8000419222981</t>
  </si>
  <si>
    <t>0428 749 780</t>
  </si>
  <si>
    <t>SIM 8500244023405</t>
  </si>
  <si>
    <t>0428 823 680</t>
  </si>
  <si>
    <t>SIM 8000346391016</t>
  </si>
  <si>
    <t>0428 827 131</t>
  </si>
  <si>
    <t>SIM 8000415757998</t>
  </si>
  <si>
    <t>0428 858 639</t>
  </si>
  <si>
    <t>SIM 8200143832598</t>
  </si>
  <si>
    <t>0428 858 669</t>
  </si>
  <si>
    <t>SIM 8200059775997</t>
  </si>
  <si>
    <t xml:space="preserve">0428 890 186 </t>
  </si>
  <si>
    <t>SIM 8500283719020</t>
  </si>
  <si>
    <t xml:space="preserve">0428 911 328 </t>
  </si>
  <si>
    <t>SIM 8500211691218</t>
  </si>
  <si>
    <t xml:space="preserve">0428 912 962 </t>
  </si>
  <si>
    <t>SIM 8200059776003</t>
  </si>
  <si>
    <t>0428 965 738</t>
  </si>
  <si>
    <t>SIM 8200095395602</t>
  </si>
  <si>
    <t>0428 982 155 _x000D_</t>
  </si>
  <si>
    <t>SIM 8000298273626</t>
  </si>
  <si>
    <t>0429 126 464</t>
  </si>
  <si>
    <t>SIM 8000415757964</t>
  </si>
  <si>
    <t xml:space="preserve"> 0429 261 423</t>
  </si>
  <si>
    <t>SIM 8000415757949</t>
  </si>
  <si>
    <t>0429 275 401</t>
  </si>
  <si>
    <t>SIM 8500283718980</t>
  </si>
  <si>
    <t xml:space="preserve">0429 303 101 </t>
  </si>
  <si>
    <t>SIM 8000415757931</t>
  </si>
  <si>
    <t>0429 335 895</t>
  </si>
  <si>
    <t>SIM 8200095395610</t>
  </si>
  <si>
    <t>0429 420 110</t>
  </si>
  <si>
    <t>SIM 8200095395628</t>
  </si>
  <si>
    <t>0429 627 604</t>
  </si>
  <si>
    <t>SIM 8000298273535</t>
  </si>
  <si>
    <t xml:space="preserve">0429 772 548 </t>
  </si>
  <si>
    <t>SIM 8000346390695</t>
  </si>
  <si>
    <t xml:space="preserve">0429 960 189 </t>
  </si>
  <si>
    <t>SIM 8200143813499</t>
  </si>
  <si>
    <t>0436 097 699 _x000D_</t>
  </si>
  <si>
    <t>SIM 8000415757923</t>
  </si>
  <si>
    <t>0436 319 553</t>
  </si>
  <si>
    <t>SIM 8000415172156</t>
  </si>
  <si>
    <t xml:space="preserve"> 0436 351 493 </t>
  </si>
  <si>
    <t xml:space="preserve">0436 423 991 </t>
  </si>
  <si>
    <t xml:space="preserve">0436 922 815 </t>
  </si>
  <si>
    <t>0437 120 832 _x000D_</t>
  </si>
  <si>
    <t>0437 546 085</t>
  </si>
  <si>
    <t>8200143831913</t>
  </si>
  <si>
    <t xml:space="preserve">0437 658 883 </t>
  </si>
  <si>
    <t>0437 672 654</t>
  </si>
  <si>
    <t>8000167011313</t>
  </si>
  <si>
    <t xml:space="preserve">0437 677 751 </t>
  </si>
  <si>
    <t>0437 743 345</t>
  </si>
  <si>
    <t>8000298273618</t>
  </si>
  <si>
    <t>0437 838 559</t>
  </si>
  <si>
    <t>8200095396188</t>
  </si>
  <si>
    <t>Business Data Plan XS</t>
  </si>
  <si>
    <t>0438 705 509</t>
  </si>
  <si>
    <t>8500282989467</t>
  </si>
  <si>
    <t>0438 740 842</t>
  </si>
  <si>
    <t>8200056572710</t>
  </si>
  <si>
    <t>0439 058 193</t>
  </si>
  <si>
    <t>8200143831947</t>
  </si>
  <si>
    <t xml:space="preserve">0439 710 741 </t>
  </si>
  <si>
    <t xml:space="preserve">0439 790 102 </t>
  </si>
  <si>
    <t>0447 141 510</t>
  </si>
  <si>
    <t>8200143813481</t>
  </si>
  <si>
    <t>0447 193 517</t>
  </si>
  <si>
    <t>8500253611363</t>
  </si>
  <si>
    <t xml:space="preserve">0447 267 086 </t>
  </si>
  <si>
    <t>0447 484 622</t>
  </si>
  <si>
    <t>8000352591830</t>
  </si>
  <si>
    <t>0447 646 591</t>
  </si>
  <si>
    <t>8500283584051</t>
  </si>
  <si>
    <t>0447 913 097</t>
  </si>
  <si>
    <t>8500282989475</t>
  </si>
  <si>
    <t xml:space="preserve">0448 106 202 </t>
  </si>
  <si>
    <t xml:space="preserve">0448 176 321 </t>
  </si>
  <si>
    <t>0448 277 021</t>
  </si>
  <si>
    <t>8000288977459</t>
  </si>
  <si>
    <t xml:space="preserve">0448 300 317 </t>
  </si>
  <si>
    <t>0448 365 667</t>
  </si>
  <si>
    <t>8000288977426</t>
  </si>
  <si>
    <t>0448 379 674</t>
  </si>
  <si>
    <t>8200119497541</t>
  </si>
  <si>
    <t>0448 381 332</t>
  </si>
  <si>
    <t>8000415323650</t>
  </si>
  <si>
    <t>0448 496 293</t>
  </si>
  <si>
    <t>8200087247506</t>
  </si>
  <si>
    <t>0448 512 845</t>
  </si>
  <si>
    <t>8000415323643</t>
  </si>
  <si>
    <t xml:space="preserve">0450 098 564 </t>
  </si>
  <si>
    <t>Business Mobile Plan Essential</t>
  </si>
  <si>
    <t>0455 067 604</t>
  </si>
  <si>
    <t>8200093721783</t>
  </si>
  <si>
    <t>0455 342 788</t>
  </si>
  <si>
    <t>8200143813440</t>
  </si>
  <si>
    <t xml:space="preserve">0455 738 602 </t>
  </si>
  <si>
    <t>0455 803 943</t>
  </si>
  <si>
    <t>8500253615125</t>
  </si>
  <si>
    <t>0455 902 129</t>
  </si>
  <si>
    <t>8200095396436</t>
  </si>
  <si>
    <t>0455 958 552</t>
  </si>
  <si>
    <t>8000346390976</t>
  </si>
  <si>
    <t>0456 014 205</t>
  </si>
  <si>
    <t>8000142162363</t>
  </si>
  <si>
    <t>0456 291 191</t>
  </si>
  <si>
    <t>8500253615133</t>
  </si>
  <si>
    <t xml:space="preserve">0456 678 010 </t>
  </si>
  <si>
    <t>0457 161 840</t>
  </si>
  <si>
    <t>8000419092079</t>
  </si>
  <si>
    <t xml:space="preserve">0457 235 378 </t>
  </si>
  <si>
    <t>0457 661 080</t>
  </si>
  <si>
    <t>8500280504904</t>
  </si>
  <si>
    <t>0458 242 028 _x000D_</t>
  </si>
  <si>
    <t>8000360703864</t>
  </si>
  <si>
    <t>Business Bundle Mobile Plan</t>
  </si>
  <si>
    <t>0459 830 724</t>
  </si>
  <si>
    <t>8000167011248</t>
  </si>
  <si>
    <t xml:space="preserve">0460 293 846 </t>
  </si>
  <si>
    <t>0460 582 129</t>
  </si>
  <si>
    <t>8500211691176</t>
  </si>
  <si>
    <t>0461 448 876</t>
  </si>
  <si>
    <t>8200143818787</t>
  </si>
  <si>
    <t xml:space="preserve">0461 464 802 </t>
  </si>
  <si>
    <t>0461 486 929</t>
  </si>
  <si>
    <t>8200143818274</t>
  </si>
  <si>
    <t xml:space="preserve">0467 526 408 </t>
  </si>
  <si>
    <t>0467 577 997</t>
  </si>
  <si>
    <t>8200143813473</t>
  </si>
  <si>
    <t>0472 817 749</t>
  </si>
  <si>
    <t>8000419222809</t>
  </si>
  <si>
    <t xml:space="preserve">0473 532 543 </t>
  </si>
  <si>
    <t xml:space="preserve"> 0473 821 167</t>
  </si>
  <si>
    <t>8200143818258</t>
  </si>
  <si>
    <t xml:space="preserve">0474 814 277 </t>
  </si>
  <si>
    <t>0475 118 792</t>
  </si>
  <si>
    <t>8000471458408</t>
  </si>
  <si>
    <t>0475 396 383</t>
  </si>
  <si>
    <t>8200143818340</t>
  </si>
  <si>
    <t>0475 771 410</t>
  </si>
  <si>
    <t>8500282989178</t>
  </si>
  <si>
    <t>0476 792 153</t>
  </si>
  <si>
    <t>8200143831954</t>
  </si>
  <si>
    <t>0477 320 601</t>
  </si>
  <si>
    <t>8500070197075</t>
  </si>
  <si>
    <t>0477 598 450</t>
  </si>
  <si>
    <t>8200132575984</t>
  </si>
  <si>
    <t xml:space="preserve">0477 805 132 </t>
  </si>
  <si>
    <t>0477 810 660</t>
  </si>
  <si>
    <t>8200134566411</t>
  </si>
  <si>
    <t xml:space="preserve">0482 529 189 </t>
  </si>
  <si>
    <t xml:space="preserve">0482 583 443 </t>
  </si>
  <si>
    <t>0482 958 189</t>
  </si>
  <si>
    <t>8200043128097</t>
  </si>
  <si>
    <t>0484 182 767</t>
  </si>
  <si>
    <t>8200143813457</t>
  </si>
  <si>
    <t>0484 321 777</t>
  </si>
  <si>
    <t>8500220270723</t>
  </si>
  <si>
    <t>0484 592 180</t>
  </si>
  <si>
    <t>8200143817995</t>
  </si>
  <si>
    <t>0484 601 782</t>
  </si>
  <si>
    <t>8000364197436</t>
  </si>
  <si>
    <t>0484 958 265</t>
  </si>
  <si>
    <t>8200095395909</t>
  </si>
  <si>
    <t>0484 960 080</t>
  </si>
  <si>
    <t>8200143831921</t>
  </si>
  <si>
    <t>0486 015 056</t>
  </si>
  <si>
    <t>8200095396477</t>
  </si>
  <si>
    <t>0487 194 129</t>
  </si>
  <si>
    <t>8200117096113</t>
  </si>
  <si>
    <t xml:space="preserve">0487 351 817 </t>
  </si>
  <si>
    <t>0487 435 928</t>
  </si>
  <si>
    <t>8000415323700</t>
  </si>
  <si>
    <t>0488 084 593</t>
  </si>
  <si>
    <t>8200143818282</t>
  </si>
  <si>
    <t>0488 364 632</t>
  </si>
  <si>
    <t>8200132575950</t>
  </si>
  <si>
    <t>0488 758 361</t>
  </si>
  <si>
    <t>8200095395891</t>
  </si>
  <si>
    <t xml:space="preserve">0491 285 057 </t>
  </si>
  <si>
    <t>0491 302 476</t>
  </si>
  <si>
    <t>8200095396261</t>
  </si>
  <si>
    <t>0491 379 750</t>
  </si>
  <si>
    <t>8500283719087</t>
  </si>
  <si>
    <t>0491 918 414</t>
  </si>
  <si>
    <t>8200143813390</t>
  </si>
  <si>
    <t>0491 971 621</t>
  </si>
  <si>
    <t>8500211691184</t>
  </si>
  <si>
    <t>0492 215 630</t>
  </si>
  <si>
    <t>8500211691226</t>
  </si>
  <si>
    <t xml:space="preserve">0492 418 872 </t>
  </si>
  <si>
    <t xml:space="preserve">0497 937 748 </t>
  </si>
  <si>
    <t>0498 012 701</t>
  </si>
  <si>
    <t>8500282989558</t>
  </si>
  <si>
    <t xml:space="preserve">0498 083 600 </t>
  </si>
  <si>
    <t xml:space="preserve">0498 103 659 </t>
  </si>
  <si>
    <t>0498 188 366</t>
  </si>
  <si>
    <t>0498 650 144</t>
  </si>
  <si>
    <t>8200094619069</t>
  </si>
  <si>
    <t>0498 780 941</t>
  </si>
  <si>
    <t>8200095396279</t>
  </si>
  <si>
    <t>0499 022 296</t>
  </si>
  <si>
    <t>8000451838553</t>
  </si>
  <si>
    <t xml:space="preserve">0499 301 756 </t>
  </si>
  <si>
    <t>0499 334 785</t>
  </si>
  <si>
    <t>8500211691192</t>
  </si>
  <si>
    <t>0499 598 409</t>
  </si>
  <si>
    <t>8500282989665</t>
  </si>
  <si>
    <t>0499 800 300</t>
  </si>
  <si>
    <t>8200095395826</t>
  </si>
  <si>
    <t xml:space="preserve">0499 833 743 </t>
  </si>
  <si>
    <t>07 4632 4658</t>
  </si>
  <si>
    <t>08 9563 0659</t>
  </si>
  <si>
    <t>02 4933 4576</t>
  </si>
  <si>
    <t>02 9625 6409</t>
  </si>
  <si>
    <t>02 6351 3914</t>
  </si>
  <si>
    <t>07 5528 8346</t>
  </si>
  <si>
    <t>02 6651 4638</t>
  </si>
  <si>
    <t>07 3288 9743</t>
  </si>
  <si>
    <t>08 9455 1582</t>
  </si>
  <si>
    <t>08 9525 4298</t>
  </si>
  <si>
    <t>08 9375 1160</t>
  </si>
  <si>
    <t>07 3256 6874</t>
  </si>
  <si>
    <t>02 4353 4004</t>
  </si>
  <si>
    <t>02 4393 0927</t>
  </si>
  <si>
    <t>Shop TK01, Erina Fair Shopping Centre, Terrigal Dr, Erina NSW 2250</t>
  </si>
  <si>
    <t>02 4367 2348  / 0243650249</t>
  </si>
  <si>
    <t>Internet and Data 5611949880</t>
  </si>
  <si>
    <t>littlechaerinafair@bigpond.com</t>
  </si>
  <si>
    <t>08 9091 9601</t>
  </si>
  <si>
    <t>0261521966</t>
  </si>
  <si>
    <t>Internet and Data 5298873580</t>
  </si>
  <si>
    <t>alfredoattard2@bigpond.com</t>
  </si>
  <si>
    <t>0292412304</t>
  </si>
  <si>
    <t>Internet and Data 5535002580</t>
  </si>
  <si>
    <t>alfredoattard1@bigpond.com</t>
  </si>
  <si>
    <t>0746324658</t>
  </si>
  <si>
    <t>Internet and Data 5537522580</t>
  </si>
  <si>
    <t>alfredo.attard7@bigpond.com</t>
  </si>
  <si>
    <t>0755317386</t>
  </si>
  <si>
    <t>Internet and Data 5537822580</t>
  </si>
  <si>
    <t>alfredo.attard3@bigpond.com</t>
  </si>
  <si>
    <t>02 4721 1938</t>
  </si>
  <si>
    <t>Internet and Data 5538791580</t>
  </si>
  <si>
    <t>amaptyltd7@bigpond.com</t>
  </si>
  <si>
    <t>0732761647</t>
  </si>
  <si>
    <t>Internet and Data 5539591580</t>
  </si>
  <si>
    <t>alferdo2@bigpond.com</t>
  </si>
  <si>
    <t>08 9244 7949</t>
  </si>
  <si>
    <t>07 30341195</t>
  </si>
  <si>
    <t>08 9960 7529</t>
  </si>
  <si>
    <t>08 9226 1048</t>
  </si>
  <si>
    <t>0892745721</t>
  </si>
  <si>
    <t>Shop T47 G, BG 1 DFO Jindalee, 16 Amazons Place, Jindalee QLD 4074</t>
  </si>
  <si>
    <t>0732791205</t>
  </si>
  <si>
    <t>Internet and Data 7896995680</t>
  </si>
  <si>
    <t>yirosjindalee@bigpond.com</t>
  </si>
  <si>
    <t xml:space="preserve">no usage yet in ABB </t>
  </si>
  <si>
    <t>08 9724 1037</t>
  </si>
  <si>
    <t>02 99013413</t>
  </si>
  <si>
    <t>08 9439 2967</t>
  </si>
  <si>
    <t>08 9279 5778</t>
  </si>
  <si>
    <t>03 9374 2425</t>
  </si>
  <si>
    <t>19 ALEXANDRA ST, BARDON QLD 4065</t>
  </si>
  <si>
    <t xml:space="preserve">07 3366 2613 </t>
  </si>
  <si>
    <t>aattard763@bigpond.com</t>
  </si>
  <si>
    <t>08 9527 9367</t>
  </si>
  <si>
    <t>08 9309 4048</t>
  </si>
  <si>
    <t>Fusion</t>
  </si>
  <si>
    <t>Fusion Level 2 Platinum Partner - Fusion Failover Service</t>
  </si>
  <si>
    <t>Fusion Level 2 Platinum Partner - Node Profile (unmetered)</t>
  </si>
  <si>
    <t>Fusion Level 2 Platinum Partner - Node Profile</t>
  </si>
  <si>
    <t>Pricing Exetel</t>
  </si>
  <si>
    <t>Client Acct #</t>
  </si>
  <si>
    <t>Renew Contract Start Date:</t>
  </si>
  <si>
    <t>UNIT 1A/ 60 ENTERPRISE PLACE, TINGALPA QLD 4173</t>
  </si>
  <si>
    <t>0701561050</t>
  </si>
  <si>
    <t>NBN 100/40 Unlimited</t>
  </si>
  <si>
    <t>100/40 Mbps</t>
  </si>
  <si>
    <t>AVC000140707958</t>
  </si>
  <si>
    <t>0403182994</t>
  </si>
  <si>
    <t>13 Dec 2022</t>
  </si>
  <si>
    <t>0731731992</t>
  </si>
  <si>
    <t>15 Feb 2021</t>
  </si>
  <si>
    <t>0749850000</t>
  </si>
  <si>
    <t>24 Mar 2022</t>
  </si>
  <si>
    <t>0734334112</t>
  </si>
  <si>
    <t>0734334114</t>
  </si>
  <si>
    <t>0755045018</t>
  </si>
  <si>
    <t>0755045019</t>
  </si>
  <si>
    <t>0755045020</t>
  </si>
  <si>
    <t>0730541945</t>
  </si>
  <si>
    <t>5 Jun 2024</t>
  </si>
  <si>
    <t>102 GOSPORT STREET, HEMMANT, QLD, 4174</t>
  </si>
  <si>
    <t>0755045021</t>
  </si>
  <si>
    <t>Plan NBNEE100 CBD Unlimited 313.50</t>
  </si>
  <si>
    <t>2 Jun 2023</t>
  </si>
  <si>
    <t>0755045022</t>
  </si>
  <si>
    <t>0755045023</t>
  </si>
  <si>
    <t>Account Number</t>
  </si>
  <si>
    <t xml:space="preserve">InfiNet Charges </t>
  </si>
  <si>
    <t>Total</t>
  </si>
  <si>
    <t>Infinet</t>
  </si>
  <si>
    <t>* InfiNET NBN TC4 50/20Mbps Unlimited</t>
  </si>
  <si>
    <t>* Static IP</t>
  </si>
  <si>
    <t>*VOIP - Residential 15 61752003012</t>
  </si>
  <si>
    <t>churned to abb but no usage yet</t>
  </si>
  <si>
    <t>*VOIP - Residential 15 61861096177</t>
  </si>
  <si>
    <t>Zambrero Echuca</t>
  </si>
  <si>
    <t>* VOIP - Residential 15 61344120801</t>
  </si>
  <si>
    <t>* VOIP - Residential 15 61342199010</t>
  </si>
  <si>
    <t>Zambrero Inglewood</t>
  </si>
  <si>
    <t>* VOIP - Residential 15 61894651021</t>
  </si>
  <si>
    <t>* VOIP - Residential 15 61744142808</t>
  </si>
  <si>
    <t>Little Cha Charlestown</t>
  </si>
  <si>
    <t>* VOIP - Residential 15 61240542007</t>
  </si>
  <si>
    <t>Name(Required)</t>
  </si>
  <si>
    <t>ASG Hail Pty Ltd</t>
  </si>
  <si>
    <t>Yes</t>
  </si>
  <si>
    <t>Affinity Partners Pty Ltd</t>
  </si>
  <si>
    <t>Aussie Hail Pty Ltd</t>
  </si>
  <si>
    <t>Australian Air Science Pty Ltd</t>
  </si>
  <si>
    <t>Australian Computer Traders</t>
  </si>
  <si>
    <t>Back Track Adventures</t>
  </si>
  <si>
    <t>Balgra Shopping Centre Management Pty Ltd</t>
  </si>
  <si>
    <t>Beechmont Estate</t>
  </si>
  <si>
    <t>Better Business Finance</t>
  </si>
  <si>
    <t>Brimar Pty Ltd</t>
  </si>
  <si>
    <t>Buys Court Pty Ltd</t>
  </si>
  <si>
    <t>CC Innovation Pty Ltd</t>
  </si>
  <si>
    <t>CF Aust Pty Ltd</t>
  </si>
  <si>
    <t>CMC Property Management</t>
  </si>
  <si>
    <t>Campos Coffee Qld</t>
  </si>
  <si>
    <t>Carroll Consulting</t>
  </si>
  <si>
    <t>Compass Assurance Services Pty Ltd</t>
  </si>
  <si>
    <t>Creative Early Learning Group PTY LTD</t>
  </si>
  <si>
    <t>Dolani Pty Ltd</t>
  </si>
  <si>
    <t>Doyles Trade Centre</t>
  </si>
  <si>
    <t>Education and Care Hub Pty Ltd</t>
  </si>
  <si>
    <t>FinGuard Financial Planning</t>
  </si>
  <si>
    <t>Fortress Collision Repair Services Pty Ltd</t>
  </si>
  <si>
    <t>Gainsdale Pty Ltd ATF The G.F. Turner Family Trust</t>
  </si>
  <si>
    <t>Goodhew Electrical &amp; Solar</t>
  </si>
  <si>
    <t>Hefford Hampton Lawyers</t>
  </si>
  <si>
    <t>Hip Pocket Logan</t>
  </si>
  <si>
    <t>JDH Industrial</t>
  </si>
  <si>
    <t>Jilrift Pty Ltd</t>
  </si>
  <si>
    <t>Jude Turner</t>
  </si>
  <si>
    <t>LFF Australia</t>
  </si>
  <si>
    <t>Law in Business</t>
  </si>
  <si>
    <t>Lead Childcare Murrumba Downs</t>
  </si>
  <si>
    <t>Lead Childcare Pty Ltd</t>
  </si>
  <si>
    <t>Leading Childcare Pty Ltd</t>
  </si>
  <si>
    <t>Lifestyle Wealth Creation Group</t>
  </si>
  <si>
    <t>MSR Collision</t>
  </si>
  <si>
    <t>Middlemount Coal Pty Ltd</t>
  </si>
  <si>
    <t>Mischief Travel</t>
  </si>
  <si>
    <t>Nina Bambino Dental</t>
  </si>
  <si>
    <t>Paedicare Pty Ltd</t>
  </si>
  <si>
    <t>Pleasure Cruises and Safaris</t>
  </si>
  <si>
    <t>Primary Securities Limited ATF</t>
  </si>
  <si>
    <t>RedRoo Australia</t>
  </si>
  <si>
    <t>Rentokil Initial Pty Ltd</t>
  </si>
  <si>
    <t>Res-Com Air Conditioning Pty Ltd</t>
  </si>
  <si>
    <t>River Quarter No. 3 Development Co. Pty Ltd</t>
  </si>
  <si>
    <t>SWAG Motel Middlemount</t>
  </si>
  <si>
    <t>Salter Brothers (Guesthouse) Pty Ltd</t>
  </si>
  <si>
    <t>Salter Brothers (Peak Lodge) Pty Ltd</t>
  </si>
  <si>
    <t>Salter Brothers (Sangoma) Pty Ltd</t>
  </si>
  <si>
    <t>Salter Brothers (Tamarind) Pty Ltd</t>
  </si>
  <si>
    <t>Salter Brothers (Vineyards) Pty Ltd</t>
  </si>
  <si>
    <t>Salter Brothers Hotel Management Company Pty Ltd</t>
  </si>
  <si>
    <t>Salter Brothers Luxury Collection Operations Pty LTD</t>
  </si>
  <si>
    <t>Salter Brothers Management Company Pty Ltd t/a Spicers Balfour Hotel</t>
  </si>
  <si>
    <t>Solar Centre</t>
  </si>
  <si>
    <t>Solar Centre Ipswich</t>
  </si>
  <si>
    <t>Specialist Hail Repairs</t>
  </si>
  <si>
    <t>Spicers Clovelly Estate</t>
  </si>
  <si>
    <t>Spicers Retreats Hotels and Lodges</t>
  </si>
  <si>
    <t>Spicers Scenic Rim Trail</t>
  </si>
  <si>
    <t>Spicers Tamarind</t>
  </si>
  <si>
    <t>Spicers Vineyards</t>
  </si>
  <si>
    <t>Sta Consulting Engineers</t>
  </si>
  <si>
    <t>Swains Motor Body Repairs</t>
  </si>
  <si>
    <t>T2 Electrical and Data</t>
  </si>
  <si>
    <t>TPG Rural 1 Pty Ltd</t>
  </si>
  <si>
    <t>Tennis Direct Australia</t>
  </si>
  <si>
    <t>Tower Lodge</t>
  </si>
  <si>
    <t>Tristar Australia</t>
  </si>
  <si>
    <t>Turrisiproperty P/L</t>
  </si>
  <si>
    <t>WG Interiors Pty Ltd</t>
  </si>
  <si>
    <t>XYZ Training</t>
  </si>
  <si>
    <t>Name</t>
  </si>
  <si>
    <t>ECN</t>
  </si>
  <si>
    <t>All Crops Haulage Pty Ltd</t>
  </si>
  <si>
    <t>Allegra Property Management Pty Ltd</t>
  </si>
  <si>
    <t>Aspley Firstcare Doctors</t>
  </si>
  <si>
    <t>Ausavo Corporation Pty Ltd</t>
  </si>
  <si>
    <t>Ausdocs Team Care Pty Ltd T/As Bribie MediPlus</t>
  </si>
  <si>
    <t>Beenleigh Road Medical Practice</t>
  </si>
  <si>
    <t>Body Corporate for Osprey Mooloolaba CTS4773</t>
  </si>
  <si>
    <t>Bracken Ridge Family Practice</t>
  </si>
  <si>
    <t>Cleveland Medical</t>
  </si>
  <si>
    <t>Community Lifestyle Agency Inc</t>
  </si>
  <si>
    <t>Control Equipment Pty Ltd</t>
  </si>
  <si>
    <t>Doctors At Kawana Shopping World</t>
  </si>
  <si>
    <t>Eatons Quality Medical &amp; Skin Cancer</t>
  </si>
  <si>
    <t>GBA Consulting Engineers</t>
  </si>
  <si>
    <t>Gumdale Medical Center</t>
  </si>
  <si>
    <t>Havilah Medical Centre Doreen</t>
  </si>
  <si>
    <t>Jema Clinic</t>
  </si>
  <si>
    <t>Kawana Family Clinic</t>
  </si>
  <si>
    <t>Logan Central Family Clinic</t>
  </si>
  <si>
    <t>Mother Duck Bracken Ridge</t>
  </si>
  <si>
    <t>Mount Cotton Medical Centre</t>
  </si>
  <si>
    <t>North Brisbane Cardiology Pty Ltd</t>
  </si>
  <si>
    <t>North West Hospital Cardiology</t>
  </si>
  <si>
    <t>Rickys Noosa</t>
  </si>
  <si>
    <t>Shailer Park Medical Centre</t>
  </si>
  <si>
    <t>Skimmer Lids Pty Ltd</t>
  </si>
  <si>
    <t>Stafford Dental Studio</t>
  </si>
  <si>
    <t>Stafford Heights Medical Practice</t>
  </si>
  <si>
    <t>Tewantin Noosa Golf Club Inc</t>
  </si>
  <si>
    <t>UMC Caboolture Pty Ltd</t>
  </si>
  <si>
    <t>Urban Garden</t>
  </si>
  <si>
    <t>Warwick Medical Centre</t>
  </si>
  <si>
    <t>Waterford Medical Surgery</t>
  </si>
  <si>
    <t>Wide Bay Transport &amp; Mechanical</t>
  </si>
  <si>
    <t>Subscriber Name</t>
  </si>
  <si>
    <t>S &amp; K HOLDINGS AUS PTY LTD (for Zambrero Orange)</t>
  </si>
  <si>
    <t>Novalion Pty Ltd (for Zambrero Fairfield)</t>
  </si>
  <si>
    <t>VND Ventures (for Zambrero Morayfield)</t>
  </si>
  <si>
    <t>Bantan Fiesta Pty Ltd (for Zambrero Swan View)</t>
  </si>
  <si>
    <t>Zam Coomera Square Pty Ltd</t>
  </si>
  <si>
    <t>Zambrero Karratha (The Trustee for SURYAVEER UNIT TRUST)</t>
  </si>
  <si>
    <t>Zambrero Sutherland ( The Trustee for Zam Suth Unit Trust)</t>
  </si>
  <si>
    <t>Willetton Z Pty Ltd (for Zambrero Willetton)</t>
  </si>
  <si>
    <t>Zambrero Casey Central (AAKVH Pty Ltd)</t>
  </si>
  <si>
    <t>Zambrero Everton Park Pty Ltd</t>
  </si>
  <si>
    <t>TYS Morayfield</t>
  </si>
  <si>
    <t>RSSGM Pty Ltd for Zambrero Cranbourne North</t>
  </si>
  <si>
    <t>Zambrero St Albans</t>
  </si>
  <si>
    <t>South Yarra Z Pty Ltd</t>
  </si>
  <si>
    <t>Aloha Interiors Pty Ltd</t>
  </si>
  <si>
    <t>Varsity Apartments SC Pty Ltd</t>
  </si>
  <si>
    <t>Zam Marrickville Pty Ltd</t>
  </si>
  <si>
    <t>Seven Digits Pty Ltd</t>
  </si>
  <si>
    <t>The Trustee for Zam Cronulla Unit Trust</t>
  </si>
  <si>
    <t>Zambrero Mooloolaba Pty Ltd</t>
  </si>
  <si>
    <t>Adams Financial Group</t>
  </si>
  <si>
    <t>Alan Powell</t>
  </si>
  <si>
    <t>Coastal Financial Advisers Yaroomba</t>
  </si>
  <si>
    <t>Accumen Building Projects</t>
  </si>
  <si>
    <t>Zambrero Mirrabooka</t>
  </si>
  <si>
    <t>Mother Duck-Eatons Hill</t>
  </si>
  <si>
    <t>Cornwalls Queensland</t>
  </si>
  <si>
    <t>WRM Water &amp; Environment Pty Ltd</t>
  </si>
  <si>
    <t>Zambrero Ashgrove</t>
  </si>
  <si>
    <t>SPV Accounting</t>
  </si>
  <si>
    <t>Physio on Wheels</t>
  </si>
  <si>
    <t>The Trustee for Ferguson Family Trust</t>
  </si>
  <si>
    <t>A &amp; K Financial Planning Pty Ltd</t>
  </si>
  <si>
    <t>Allen Developments Pty Ltd - Active Living</t>
  </si>
  <si>
    <t>Childrens Dental Centre</t>
  </si>
  <si>
    <t>Coastal Financial Advisers</t>
  </si>
  <si>
    <t>DanKel Electrical Pty Ltd</t>
  </si>
  <si>
    <t>Catolin Pty Ltd T/As Helloworld Strathpine (Hello World Travel)</t>
  </si>
  <si>
    <t>Flutterbys Child Care</t>
  </si>
  <si>
    <t>Integrated Oral and Maxillofacial Surgery Pty Ltd</t>
  </si>
  <si>
    <t>Viribus Kippa-Ring Pty Ltd (Golds Gym)</t>
  </si>
  <si>
    <t>AJ and KL Fletcher DJ Steel and Concrete</t>
  </si>
  <si>
    <t>Wattle Court Homes Pty Ltd</t>
  </si>
  <si>
    <t>Woodlands Enterprises Pty Ltd</t>
  </si>
  <si>
    <t>Acumen Building Projects</t>
  </si>
  <si>
    <t>ARM Group Pty Ltd ATF ARM Property Trust No. 2</t>
  </si>
  <si>
    <t>Butchulla Enterprises Limited</t>
  </si>
  <si>
    <t>Zambrero Head Office</t>
  </si>
  <si>
    <t>Rockwell Technology</t>
  </si>
  <si>
    <t>Parity Property</t>
  </si>
  <si>
    <t>Angus Test Company</t>
  </si>
  <si>
    <t>Cirque Apartments - The Shores Motel Group</t>
  </si>
  <si>
    <t>Zambrero North Penrith</t>
  </si>
  <si>
    <t>Red Roo</t>
  </si>
  <si>
    <t>Harajuku Gyoza/Fritzenberger/Ma Pa Me/Spaghetti House - Parent Account</t>
  </si>
  <si>
    <t>Jaydeep Gohil Parent Account</t>
  </si>
  <si>
    <t>The Lune Co Metro Martin Place Sydney</t>
  </si>
  <si>
    <t>Zambrero Torquay</t>
  </si>
  <si>
    <t>Michael McNamara</t>
  </si>
  <si>
    <t>Zambrero Warnbro</t>
  </si>
  <si>
    <t>Jay Gohil's Residences</t>
  </si>
  <si>
    <t>Zambrero Shoreline/ Currumbin /Coomera</t>
  </si>
  <si>
    <t>Zambrero Griffith/Dubbo</t>
  </si>
  <si>
    <t>Zambrero VicAdmin</t>
  </si>
  <si>
    <t>Smile IT PTY LTD (Child Test)</t>
  </si>
  <si>
    <t>Zambrero Cloverdale/Inglewood/Ascot</t>
  </si>
  <si>
    <t>Zambrero Richmond/Malvern/Elizabeth St/Hawthorn</t>
  </si>
  <si>
    <t>Zambrero Retail Operations Pty Ltd</t>
  </si>
  <si>
    <t>Zambrero Box Hill/Minichinbury</t>
  </si>
  <si>
    <t>Smile IT Pty Ltd - Test</t>
  </si>
  <si>
    <t>Nodo Pty Ltd</t>
  </si>
  <si>
    <t>DropBox_ test_user</t>
  </si>
  <si>
    <t>C1 Self Company</t>
  </si>
  <si>
    <t>Jefferson H</t>
  </si>
  <si>
    <t>Zambrero Fortitude Valley</t>
  </si>
  <si>
    <t>TSY Office</t>
  </si>
  <si>
    <t>P2C1 Sponsered Company</t>
  </si>
  <si>
    <t>P2 Main Company</t>
  </si>
  <si>
    <t>P1 Main Company</t>
  </si>
  <si>
    <t>The Yiros Shop Factory Unit 4</t>
  </si>
  <si>
    <t>Village Fair Maitland Plaza</t>
  </si>
  <si>
    <t>Zambrero Pacific Pines</t>
  </si>
  <si>
    <t>Jem Jacinto's Home 4G</t>
  </si>
  <si>
    <t>Zambrero Trinity Arcade</t>
  </si>
  <si>
    <t>Hemmant Office</t>
  </si>
  <si>
    <t>Zambrero Yuilles Rd (Mornington)</t>
  </si>
  <si>
    <t>Zambrero Yarrawonga</t>
  </si>
  <si>
    <t>Zambrero West Pinjarra Northbound</t>
  </si>
  <si>
    <t>Zambrero Paralowie</t>
  </si>
  <si>
    <t>Zambrero North Penrith (Corporate)</t>
  </si>
  <si>
    <t>Zambrero Muswellbrook</t>
  </si>
  <si>
    <t>Zambrero Mornington (Main St)</t>
  </si>
  <si>
    <t>Zambrero Morley (old FP)</t>
  </si>
  <si>
    <t>Zambrero Mirrabooka(old FP)</t>
  </si>
  <si>
    <t>Zambrero Mernda</t>
  </si>
  <si>
    <t>Zambrero Melrose Park</t>
  </si>
  <si>
    <t>Zambrero Lakelands</t>
  </si>
  <si>
    <t>Zambrero Kogarah</t>
  </si>
  <si>
    <t>Zambrero Kingston</t>
  </si>
  <si>
    <t>Zambrero Kings Cross</t>
  </si>
  <si>
    <t>Zambrero Keilor Downs (Corporate)</t>
  </si>
  <si>
    <t>Zambrero Ipswich CBD</t>
  </si>
  <si>
    <t>Zambrero Heathwood</t>
  </si>
  <si>
    <t>Zambrero Dubbo</t>
  </si>
  <si>
    <t>Zambrero Craigieburn</t>
  </si>
  <si>
    <t>Zambrero Cloisters Square</t>
  </si>
  <si>
    <t>Zambrero Capalaba (Head office)</t>
  </si>
  <si>
    <t>Zambrero Bundamba</t>
  </si>
  <si>
    <t>Zambrero Bunbury DT</t>
  </si>
  <si>
    <t>Zambrero Brabham (Suryaveer Pty Ltd as trustee for Suryaveer Unit Trust)</t>
  </si>
  <si>
    <t>Zambrero Biggera</t>
  </si>
  <si>
    <t>Zambrero Beechboro</t>
  </si>
  <si>
    <t>Zambrero Albion</t>
  </si>
  <si>
    <t>Zambrero Albany DT</t>
  </si>
  <si>
    <t>Zambrero Albany Creek</t>
  </si>
  <si>
    <t>Village Fair Maitland Plaza â€“ 1</t>
  </si>
  <si>
    <t>The Yiros Shop Rothwell</t>
  </si>
  <si>
    <t>The Spaghetti House</t>
  </si>
  <si>
    <t>Summa House Pty Ltd</t>
  </si>
  <si>
    <t>Poppy G's Midland</t>
  </si>
  <si>
    <t>McNastys Burgers</t>
  </si>
  <si>
    <t>Pattysmiths Goulburn</t>
  </si>
  <si>
    <t>Nodo Everton</t>
  </si>
  <si>
    <t>Nodo Carindale</t>
  </si>
  <si>
    <t>Little Cha St Ives</t>
  </si>
  <si>
    <t>Little Cha Mt. Druitt</t>
  </si>
  <si>
    <t>Little Cha Burwood</t>
  </si>
  <si>
    <t>KHM Group Investments</t>
  </si>
  <si>
    <t>Gorman &amp; Co</t>
  </si>
  <si>
    <t>Vulcan Mine</t>
  </si>
  <si>
    <t>Two Yolks Burleigh</t>
  </si>
  <si>
    <t>The Yiros Shop Southbank (Cold Room)</t>
  </si>
  <si>
    <t>The Yiros Shop Fort Valley</t>
  </si>
  <si>
    <t>Rumi Persian Restaurant (Mason's Home)</t>
  </si>
  <si>
    <t>Polish Place</t>
  </si>
  <si>
    <t>Odum Food Group Pty Ltd</t>
  </si>
  <si>
    <t>Froyay Hawthorne</t>
  </si>
  <si>
    <t>Nodo Grey St</t>
  </si>
  <si>
    <t>Nodo Chermside</t>
  </si>
  <si>
    <t>Nodo CBD</t>
  </si>
  <si>
    <t>Nitty-Gritty Organics</t>
  </si>
  <si>
    <t>Ma Pa Me</t>
  </si>
  <si>
    <t>Little Cha Forest Way</t>
  </si>
  <si>
    <t>La Dolce Vita Emporium</t>
  </si>
  <si>
    <t>Harajuku Gyoza Albert Lane</t>
  </si>
  <si>
    <t>Kamikaze Pacific Fair</t>
  </si>
  <si>
    <t>Fritzenberger Southbank</t>
  </si>
  <si>
    <t>Frankie Brown</t>
  </si>
  <si>
    <t>Fonzie Abbott</t>
  </si>
  <si>
    <t>Saber Cafe Pty Ltd</t>
  </si>
  <si>
    <t>Denim Co</t>
  </si>
  <si>
    <t>Currumbin Valley</t>
  </si>
  <si>
    <t>Booroodabin</t>
  </si>
  <si>
    <t>Finn Poke Pacific Fair</t>
  </si>
  <si>
    <t>Sustainable Catering Company Pty Ltd</t>
  </si>
  <si>
    <t>OneBill Test</t>
  </si>
  <si>
    <t>Customer name</t>
  </si>
  <si>
    <t>Portal</t>
  </si>
  <si>
    <t>Billed?</t>
  </si>
  <si>
    <t>A &amp; K Financial Planning</t>
  </si>
  <si>
    <t>Active Living - Allen Developments Pty Ltd</t>
  </si>
  <si>
    <t>Affinage Professional</t>
  </si>
  <si>
    <t>AM Emerick &amp; TJ Morrice</t>
  </si>
  <si>
    <t>Australian Resort Management Pty Ltd</t>
  </si>
  <si>
    <t>Bar Bosco</t>
  </si>
  <si>
    <t>Bell Criminal Lawyers Pty Ltd</t>
  </si>
  <si>
    <t>Bush to Beach Legal Pty Ltd</t>
  </si>
  <si>
    <t>Butchulla Enterprises Ltd</t>
  </si>
  <si>
    <t>Cala Luna Rental</t>
  </si>
  <si>
    <t>Catolin Pty Ltd T-A Helloworld Strathpine</t>
  </si>
  <si>
    <t>Core Glass &amp; Aluminum</t>
  </si>
  <si>
    <t>Creative Early Learning Group</t>
  </si>
  <si>
    <t>CU at N8S</t>
  </si>
  <si>
    <t>DJ Steel Biloela - AJ and KL Fletcher</t>
  </si>
  <si>
    <t>Fast Cut Qld Pty Ltd</t>
  </si>
  <si>
    <t>GEORGE'S LOADER HIRE PTY LTD</t>
  </si>
  <si>
    <t>Groundswell Accounting &amp; Advisory</t>
  </si>
  <si>
    <t>Grunskes by the River</t>
  </si>
  <si>
    <t>Hemmingway Financial Pty Ltd</t>
  </si>
  <si>
    <t>Jayden Adams Home</t>
  </si>
  <si>
    <t>LEAD Childcare Sunrise</t>
  </si>
  <si>
    <t>Loving Tan</t>
  </si>
  <si>
    <t>Makris Group - Balgra Shopping Centre</t>
  </si>
  <si>
    <t>Noma Themba</t>
  </si>
  <si>
    <t>North Coast Mower Centre</t>
  </si>
  <si>
    <t>Renovo Solutions Pty Ltd</t>
  </si>
  <si>
    <t>Res-Com Airconditioning Pty Ltd</t>
  </si>
  <si>
    <t>RND Pilates Pty Ltd</t>
  </si>
  <si>
    <t>Scenic Rim Trail</t>
  </si>
  <si>
    <t>Seven Digit's Pty Ltd</t>
  </si>
  <si>
    <t>The Trustee for The Ferguson Family Trust</t>
  </si>
  <si>
    <t>vT Consulting Engineers</t>
  </si>
  <si>
    <t>Zambrero Sites</t>
  </si>
  <si>
    <t>Account</t>
  </si>
  <si>
    <t>Halo</t>
  </si>
  <si>
    <t xml:space="preserve"> AAPT services</t>
  </si>
  <si>
    <t>AAPT Price</t>
  </si>
  <si>
    <t>Sasboss NBN</t>
  </si>
  <si>
    <t>Sasboss NBN Price
Total Ex-GST</t>
  </si>
  <si>
    <t>Sasboss NBN Price
Total Inc-GST</t>
  </si>
  <si>
    <t>OneBill NBN</t>
  </si>
  <si>
    <t>Ex-GST</t>
  </si>
  <si>
    <t>NBN 50/20 Service ID:12793239 AVC000131593506</t>
  </si>
  <si>
    <t>Standard Support NBN 50/20</t>
  </si>
  <si>
    <t xml:space="preserve">        </t>
  </si>
  <si>
    <t>No NBN - Other service?</t>
  </si>
  <si>
    <t>NBN 50/20 ID 13270902 AVC000183920492</t>
  </si>
  <si>
    <t>NBN 100/40  ID 13230590 AVC000181744365</t>
  </si>
  <si>
    <t>ST-OPT50-20</t>
  </si>
  <si>
    <t>NBN 100/40 Service ID 13073719 AVC 000123456625</t>
  </si>
  <si>
    <t>SmileTel supplied NBN EE 1000. Includes: - 1x internet service, Account management support</t>
  </si>
  <si>
    <t>Premium Support NBN 50-20 12 Month</t>
  </si>
  <si>
    <t>Atkinson's Specialist Shuttles</t>
  </si>
  <si>
    <t>SmileTel supplied NBN 50/20. Includes: - 1x internet service, Account management support</t>
  </si>
  <si>
    <t>Auriga Group Pty Ltd</t>
  </si>
  <si>
    <t>NBN ID 12744106 (33817)</t>
  </si>
  <si>
    <t>Aussie Traveller</t>
  </si>
  <si>
    <t>Autonomy &amp; Asset Management Group</t>
  </si>
  <si>
    <t>NBN-AB 100/40</t>
  </si>
  <si>
    <t>NBN 100/40mbps + 200gb Data - 24 Months  5401906</t>
  </si>
  <si>
    <t>BELL CRIMINAL LAWYERS PTY LTD</t>
  </si>
  <si>
    <t>NBN EE Service 250Mbps Speed - 36 months</t>
  </si>
  <si>
    <t>Price</t>
  </si>
  <si>
    <t>STelShop-MBB-SP</t>
  </si>
  <si>
    <t>NBN-AB 100/40-12</t>
  </si>
  <si>
    <t>BrewDog Australia</t>
  </si>
  <si>
    <t>Cancelled</t>
  </si>
  <si>
    <t>ST-NBN250-25 - Cala Luna</t>
  </si>
  <si>
    <t xml:space="preserve">	NBN TC4 Service 50/20 Speed </t>
  </si>
  <si>
    <t>NBN 100/40 Service ID 13264619 AVC000183261130</t>
  </si>
  <si>
    <t xml:space="preserve">	SmileTel supplied NBN 100/40.  Includes: 1 x Internet service, Account Management support</t>
  </si>
  <si>
    <t>CDI Lawyers</t>
  </si>
  <si>
    <t>ST-NBN-EE-500mb up/down - 36 Months</t>
  </si>
  <si>
    <t>NBN-AB 250/100 36m</t>
  </si>
  <si>
    <t>NBN 50/20 5580059</t>
  </si>
  <si>
    <t xml:space="preserve">NBN EE 250 Fibre </t>
  </si>
  <si>
    <t>Complete Care Doctors</t>
  </si>
  <si>
    <t>FAST Fibre (NTU), IP-Line, IP-Line Link</t>
  </si>
  <si>
    <t>NBN 100/40  Service ID 13153500 AVC000174052602</t>
  </si>
  <si>
    <t>Cubico Sustainable Investments</t>
  </si>
  <si>
    <t>Standard Support NBN 100-40 M2M</t>
  </si>
  <si>
    <t>NBN-AB 100/40 36 month contract - Aussie Broadband backbone Each</t>
  </si>
  <si>
    <t>NBN 100/40 Service ID 13014291  AVC400041787008</t>
  </si>
  <si>
    <t>Employment Office</t>
  </si>
  <si>
    <t>NBN TC4 Service 100/40 Speed</t>
  </si>
  <si>
    <t>PremSupport NBN 100-40 12 Month</t>
  </si>
  <si>
    <t>Flight Options</t>
  </si>
  <si>
    <t>Fox and Thomas</t>
  </si>
  <si>
    <t>NBN Fixed Wireless ID 12856641  AVC000141252438</t>
  </si>
  <si>
    <t>STelShop25M2M</t>
  </si>
  <si>
    <t>GRAPHENE MANUFACTURING GROUP LTD</t>
  </si>
  <si>
    <t>YES</t>
  </si>
  <si>
    <t xml:space="preserve">	Graphene Unit 5 : ABB NBN 1000/400 AVC000231763463</t>
  </si>
  <si>
    <t>Business Grade NBN 100/40 -5751962</t>
  </si>
  <si>
    <t xml:space="preserve">Graphene Unit 6 : Business Grade NBN 100/40 - 24 Months 5784340 </t>
  </si>
  <si>
    <t>NBN 100/40 ID 13091679 AVC000168987260</t>
  </si>
  <si>
    <t>Grunskes By The River</t>
  </si>
  <si>
    <t>PremSupport NBN 100-40 24 Month</t>
  </si>
  <si>
    <t>IP-Line, FAST Fibre</t>
  </si>
  <si>
    <t>ST-NBN100-40</t>
  </si>
  <si>
    <t>IP-Line, IP-Line Link</t>
  </si>
  <si>
    <t>PremSupport NBN 100-40 M2M</t>
  </si>
  <si>
    <t xml:space="preserve">Standard Support NBN 50/20 </t>
  </si>
  <si>
    <t>Lead Education and Training Pty Ltd ATF the Piara</t>
  </si>
  <si>
    <t>ST-NBN-EE-250-HiCos-Z1-Z3 - 36</t>
  </si>
  <si>
    <t>LINK TRADING</t>
  </si>
  <si>
    <t>LChaF25M2M</t>
  </si>
  <si>
    <t>LChaC25M2M</t>
  </si>
  <si>
    <t>Livingstone Low Electrical Pty Ltd (94171)</t>
  </si>
  <si>
    <t>London Fire And Safe</t>
  </si>
  <si>
    <t>NBN 100/40 36months</t>
  </si>
  <si>
    <t>Love to Learn Childcare Pty Ltd</t>
  </si>
  <si>
    <t>MacKellar Group</t>
  </si>
  <si>
    <t>Mammoth Underground Mine Management Pty Ltd</t>
  </si>
  <si>
    <t>NBN-AB 100/40-36M</t>
  </si>
  <si>
    <t>Mother Duck - Bellbowrie</t>
  </si>
  <si>
    <t>Mother Duck - Eatons Hill</t>
  </si>
  <si>
    <t>NDC PLASTIC MOULDING PTY LTD</t>
  </si>
  <si>
    <t>Niclin Constructions Pty Ltd</t>
  </si>
  <si>
    <t>NBN TC4 Service Fixed Wireless Plus up to 100/20 Speed Month to month</t>
  </si>
  <si>
    <t>Norwest Strata Management Pty Limited</t>
  </si>
  <si>
    <t>Nu-Dev Pty Ltd</t>
  </si>
  <si>
    <t>NBN 50/20 Service ID: 13072517 AVC000125914480</t>
  </si>
  <si>
    <t>Pacific Flooring Services</t>
  </si>
  <si>
    <t>Paxton-Hall Lawyers Pty Ltd</t>
  </si>
  <si>
    <t>Physio On Wheels</t>
  </si>
  <si>
    <t>FAST Fibre, IP-Line</t>
  </si>
  <si>
    <t>NBN Fixed Wireless Alloway ID 13040423 AVC000164293884</t>
  </si>
  <si>
    <t>ST- NBN 50/20Mbps- 12</t>
  </si>
  <si>
    <t>Connecting IP-Line 6023265 to Access 1822685
Umbrella IP 15Tb, IP-Line Link, IP-Line</t>
  </si>
  <si>
    <t>Business Grade NBN 100/40 -5669050</t>
  </si>
  <si>
    <t>Riverside Development Pty Ltd</t>
  </si>
  <si>
    <t>ST - PremSupport NBN 100/40</t>
  </si>
  <si>
    <t>ST-NBN50-20</t>
  </si>
  <si>
    <t>Zam50-36</t>
  </si>
  <si>
    <t>RVC ICT Consulting</t>
  </si>
  <si>
    <t>Seven Digit’s Pty Ltd</t>
  </si>
  <si>
    <t>IP-Line, IP-Line Link, Telstra-EA, Wireless Access</t>
  </si>
  <si>
    <t>ST-NBN250-100</t>
  </si>
  <si>
    <t>ST-NBN1000-400 M2M</t>
  </si>
  <si>
    <t>Unlimited Business Grade NBN 100/40</t>
  </si>
  <si>
    <t>NBN-AB 100/40-M2M</t>
  </si>
  <si>
    <t>Zam50-24</t>
  </si>
  <si>
    <t>Yiros25M2M</t>
  </si>
  <si>
    <t>Yiros100- 36</t>
  </si>
  <si>
    <t>Yiros50-36</t>
  </si>
  <si>
    <t>ST-Retail Premium Support NBN 100/40 - 36 Months HDWINC</t>
  </si>
  <si>
    <t>Yiros50-24</t>
  </si>
  <si>
    <t>Yiros25-36</t>
  </si>
  <si>
    <t xml:space="preserve">PremSupport NBN 100-40 12 Month </t>
  </si>
  <si>
    <t>Turner Charitable Co Pty Ltd ATF The Turner Enviro</t>
  </si>
  <si>
    <t xml:space="preserve"> NBN 100/40 12980462 AVC000157763345</t>
  </si>
  <si>
    <t xml:space="preserve">NBN 50/20 ID 13091675 </t>
  </si>
  <si>
    <t>Verifact Investigations</t>
  </si>
  <si>
    <t xml:space="preserve">PremSupport CBD NBNEE  100MBPS (Legacy) </t>
  </si>
  <si>
    <t>VTce Broadsoft Test (95471)</t>
  </si>
  <si>
    <t>NBN Fixed Wireless ID: 12796473 AVC000132016238</t>
  </si>
  <si>
    <t xml:space="preserve">	PremSupport NBN 100-40</t>
  </si>
  <si>
    <t>Yalungah Boutique Hotel</t>
  </si>
  <si>
    <t>ST-Premium Support- NBN &amp; Hardware - 25/10 - 36 months</t>
  </si>
  <si>
    <t>Zam25M2M</t>
  </si>
  <si>
    <t>Zam25-36</t>
  </si>
  <si>
    <t>Zam100M2M</t>
  </si>
  <si>
    <t>Zam-MBB</t>
  </si>
  <si>
    <t>Zam25-12</t>
  </si>
  <si>
    <t>Source</t>
  </si>
  <si>
    <t>AVC</t>
  </si>
  <si>
    <t>Cust Name</t>
  </si>
  <si>
    <t>Product 1</t>
  </si>
  <si>
    <t>Price (Ct)</t>
  </si>
  <si>
    <t>Other Notes</t>
  </si>
  <si>
    <t>Ella's notes</t>
  </si>
  <si>
    <t>ASD Learning - The Empowering Hive</t>
  </si>
  <si>
    <t> </t>
  </si>
  <si>
    <t>XERO Bill Not Found</t>
  </si>
  <si>
    <t>already closed</t>
  </si>
  <si>
    <t>billed from Onebill</t>
  </si>
  <si>
    <t>can't find any info</t>
  </si>
  <si>
    <t>new customer in Sasboss</t>
  </si>
  <si>
    <t>The Shores Motel Group</t>
  </si>
  <si>
    <t>Energy Pro</t>
  </si>
  <si>
    <t>Healthy Dynamics</t>
  </si>
  <si>
    <t>billed in Onebill</t>
  </si>
  <si>
    <t>billed  Nodo Pty Ltd</t>
  </si>
  <si>
    <t>Queenscliff Harbour??</t>
  </si>
  <si>
    <t>Service Number</t>
  </si>
  <si>
    <t>Promogear NBN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</si>
</sst>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_([$$-409]* #,##0.00_);_([$$-409]* \(#,##0.00\);_([$$-409]* &quot;-&quot;??_);_(@_)"/>
    <numFmt numFmtId="166" formatCode="_([$$-409]* #,##0_);_([$$-409]* \(#,##0\);_([$$-409]* &quot;-&quot;??_);_(@_)"/>
    <numFmt numFmtId="167" formatCode="[$-C09]dd\-mmmm\-yyyy;@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2"/>
      <name val="Tahoma"/>
      <family val="2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111827"/>
      <name val="Aptos Narrow"/>
      <family val="2"/>
      <scheme val="minor"/>
    </font>
    <font>
      <sz val="11"/>
      <color rgb="FF111827"/>
      <name val="Ui-Sans-Serif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6B7280"/>
      <name val="Aptos Display"/>
      <family val="2"/>
      <scheme val="major"/>
    </font>
    <font>
      <sz val="11"/>
      <color rgb="FF6B7280"/>
      <name val="Ui-Sans-Serif"/>
      <charset val="1"/>
    </font>
    <font>
      <sz val="11"/>
      <color rgb="FF171717"/>
      <name val="Aptos Narrow"/>
      <family val="2"/>
      <scheme val="minor"/>
    </font>
    <font>
      <sz val="11"/>
      <color theme="10"/>
      <name val="Aptos Narrow"/>
      <family val="2"/>
      <scheme val="minor"/>
    </font>
    <font>
      <sz val="8.85"/>
      <color rgb="FF212529"/>
      <name val="Moderat Regular"/>
      <charset val="1"/>
    </font>
    <font>
      <sz val="11"/>
      <color rgb="FF212529"/>
      <name val="Moderat Regular"/>
      <family val="2"/>
      <charset val="1"/>
    </font>
    <font>
      <sz val="10"/>
      <color rgb="FF333333"/>
      <name val="Aptos Narrow"/>
      <family val="2"/>
      <scheme val="minor"/>
    </font>
    <font>
      <sz val="10"/>
      <color rgb="FF000000"/>
      <name val="Poppins"/>
      <charset val="1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EAEAEA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000000"/>
      </right>
      <top/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DEE2E6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5">
    <xf numFmtId="0" fontId="0" fillId="0" borderId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54">
    <xf numFmtId="0" fontId="0" fillId="0" borderId="0" xfId="0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0" xfId="0" applyFill="1"/>
    <xf numFmtId="0" fontId="0" fillId="4" borderId="4" xfId="0" applyFill="1" applyBorder="1"/>
    <xf numFmtId="0" fontId="0" fillId="0" borderId="5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10" fillId="0" borderId="0" xfId="0" applyNumberFormat="1" applyFont="1"/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wrapText="1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65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wrapText="1"/>
    </xf>
    <xf numFmtId="0" fontId="10" fillId="0" borderId="0" xfId="0" applyFont="1" applyAlignment="1">
      <alignment horizontal="left"/>
    </xf>
    <xf numFmtId="0" fontId="15" fillId="0" borderId="0" xfId="0" applyFont="1" applyAlignment="1">
      <alignment wrapText="1"/>
    </xf>
    <xf numFmtId="49" fontId="0" fillId="0" borderId="0" xfId="0" applyNumberFormat="1" applyAlignment="1">
      <alignment horizontal="left" vertical="center"/>
    </xf>
    <xf numFmtId="15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" fontId="8" fillId="0" borderId="4" xfId="0" applyNumberFormat="1" applyFont="1" applyBorder="1"/>
    <xf numFmtId="0" fontId="8" fillId="0" borderId="4" xfId="0" applyFont="1" applyBorder="1"/>
    <xf numFmtId="0" fontId="8" fillId="0" borderId="4" xfId="0" applyFont="1" applyBorder="1" applyAlignment="1">
      <alignment horizontal="left" vertical="center"/>
    </xf>
    <xf numFmtId="49" fontId="8" fillId="0" borderId="4" xfId="0" applyNumberFormat="1" applyFont="1" applyBorder="1" applyAlignment="1">
      <alignment wrapText="1"/>
    </xf>
    <xf numFmtId="0" fontId="8" fillId="0" borderId="0" xfId="0" applyFont="1"/>
    <xf numFmtId="1" fontId="0" fillId="12" borderId="4" xfId="0" applyNumberFormat="1" applyFill="1" applyBorder="1"/>
    <xf numFmtId="0" fontId="0" fillId="12" borderId="4" xfId="0" applyFill="1" applyBorder="1"/>
    <xf numFmtId="0" fontId="0" fillId="12" borderId="4" xfId="0" applyFill="1" applyBorder="1" applyAlignment="1">
      <alignment wrapText="1"/>
    </xf>
    <xf numFmtId="0" fontId="0" fillId="12" borderId="4" xfId="0" applyFill="1" applyBorder="1" applyAlignment="1">
      <alignment horizontal="left" vertical="center"/>
    </xf>
    <xf numFmtId="0" fontId="0" fillId="12" borderId="0" xfId="0" applyFill="1"/>
    <xf numFmtId="49" fontId="6" fillId="12" borderId="4" xfId="4" applyNumberFormat="1" applyFill="1" applyBorder="1"/>
    <xf numFmtId="1" fontId="0" fillId="9" borderId="4" xfId="0" applyNumberFormat="1" applyFill="1" applyBorder="1"/>
    <xf numFmtId="0" fontId="0" fillId="9" borderId="4" xfId="0" applyFill="1" applyBorder="1"/>
    <xf numFmtId="0" fontId="0" fillId="9" borderId="4" xfId="0" applyFill="1" applyBorder="1" applyAlignment="1">
      <alignment horizontal="left" vertical="center"/>
    </xf>
    <xf numFmtId="0" fontId="0" fillId="9" borderId="4" xfId="0" applyFill="1" applyBorder="1" applyAlignment="1">
      <alignment wrapText="1"/>
    </xf>
    <xf numFmtId="49" fontId="6" fillId="9" borderId="4" xfId="4" applyNumberFormat="1" applyFill="1" applyBorder="1"/>
    <xf numFmtId="0" fontId="0" fillId="9" borderId="0" xfId="0" applyFill="1"/>
    <xf numFmtId="0" fontId="0" fillId="12" borderId="4" xfId="0" applyFill="1" applyBorder="1" applyAlignment="1">
      <alignment horizontal="left" vertical="center" wrapText="1"/>
    </xf>
    <xf numFmtId="49" fontId="0" fillId="12" borderId="4" xfId="0" applyNumberFormat="1" applyFill="1" applyBorder="1"/>
    <xf numFmtId="49" fontId="0" fillId="9" borderId="4" xfId="0" applyNumberFormat="1" applyFill="1" applyBorder="1"/>
    <xf numFmtId="1" fontId="0" fillId="9" borderId="4" xfId="0" applyNumberFormat="1" applyFill="1" applyBorder="1" applyAlignment="1">
      <alignment vertical="center" wrapText="1"/>
    </xf>
    <xf numFmtId="0" fontId="0" fillId="9" borderId="4" xfId="0" applyFill="1" applyBorder="1" applyAlignment="1">
      <alignment vertical="center" wrapText="1"/>
    </xf>
    <xf numFmtId="0" fontId="0" fillId="9" borderId="4" xfId="0" applyFill="1" applyBorder="1" applyAlignment="1">
      <alignment horizontal="left" vertical="center" wrapText="1"/>
    </xf>
    <xf numFmtId="49" fontId="0" fillId="9" borderId="4" xfId="0" applyNumberFormat="1" applyFill="1" applyBorder="1" applyAlignment="1">
      <alignment vertical="center" wrapText="1"/>
    </xf>
    <xf numFmtId="0" fontId="0" fillId="9" borderId="0" xfId="0" applyFill="1" applyAlignment="1">
      <alignment vertical="center" wrapText="1"/>
    </xf>
    <xf numFmtId="1" fontId="0" fillId="12" borderId="6" xfId="0" applyNumberFormat="1" applyFill="1" applyBorder="1"/>
    <xf numFmtId="0" fontId="0" fillId="12" borderId="6" xfId="0" applyFill="1" applyBorder="1"/>
    <xf numFmtId="0" fontId="0" fillId="12" borderId="6" xfId="0" applyFill="1" applyBorder="1" applyAlignment="1">
      <alignment horizontal="left" vertical="center"/>
    </xf>
    <xf numFmtId="49" fontId="0" fillId="12" borderId="6" xfId="0" applyNumberFormat="1" applyFill="1" applyBorder="1"/>
    <xf numFmtId="0" fontId="0" fillId="12" borderId="5" xfId="0" applyFill="1" applyBorder="1"/>
    <xf numFmtId="1" fontId="0" fillId="8" borderId="4" xfId="0" applyNumberFormat="1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 vertical="center"/>
    </xf>
    <xf numFmtId="49" fontId="0" fillId="8" borderId="4" xfId="0" applyNumberFormat="1" applyFill="1" applyBorder="1"/>
    <xf numFmtId="0" fontId="0" fillId="8" borderId="5" xfId="0" applyFill="1" applyBorder="1"/>
    <xf numFmtId="0" fontId="0" fillId="12" borderId="7" xfId="0" applyFill="1" applyBorder="1"/>
    <xf numFmtId="0" fontId="0" fillId="12" borderId="0" xfId="0" applyFill="1" applyAlignment="1">
      <alignment horizontal="left" vertical="center"/>
    </xf>
    <xf numFmtId="0" fontId="0" fillId="9" borderId="6" xfId="0" applyFill="1" applyBorder="1"/>
    <xf numFmtId="1" fontId="0" fillId="8" borderId="6" xfId="0" applyNumberFormat="1" applyFill="1" applyBorder="1"/>
    <xf numFmtId="0" fontId="0" fillId="8" borderId="6" xfId="0" applyFill="1" applyBorder="1"/>
    <xf numFmtId="0" fontId="0" fillId="8" borderId="6" xfId="0" applyFill="1" applyBorder="1" applyAlignment="1">
      <alignment horizontal="left" vertical="center"/>
    </xf>
    <xf numFmtId="49" fontId="0" fillId="8" borderId="6" xfId="0" applyNumberFormat="1" applyFill="1" applyBorder="1"/>
    <xf numFmtId="0" fontId="0" fillId="8" borderId="7" xfId="0" applyFill="1" applyBorder="1"/>
    <xf numFmtId="1" fontId="0" fillId="0" borderId="6" xfId="0" applyNumberFormat="1" applyBorder="1"/>
    <xf numFmtId="0" fontId="0" fillId="0" borderId="5" xfId="0" applyBorder="1"/>
    <xf numFmtId="0" fontId="1" fillId="0" borderId="4" xfId="2" quotePrefix="1" applyFill="1" applyBorder="1" applyAlignment="1">
      <alignment horizontal="left" vertical="center"/>
    </xf>
    <xf numFmtId="0" fontId="0" fillId="0" borderId="8" xfId="0" applyBorder="1"/>
    <xf numFmtId="49" fontId="0" fillId="0" borderId="4" xfId="0" applyNumberFormat="1" applyBorder="1"/>
    <xf numFmtId="1" fontId="0" fillId="0" borderId="4" xfId="0" applyNumberFormat="1" applyBorder="1"/>
    <xf numFmtId="0" fontId="1" fillId="0" borderId="4" xfId="3" quotePrefix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4" xfId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/>
    <xf numFmtId="49" fontId="0" fillId="0" borderId="8" xfId="0" applyNumberFormat="1" applyBorder="1"/>
    <xf numFmtId="0" fontId="0" fillId="0" borderId="9" xfId="0" applyBorder="1"/>
    <xf numFmtId="0" fontId="0" fillId="0" borderId="6" xfId="0" applyBorder="1"/>
    <xf numFmtId="49" fontId="0" fillId="0" borderId="0" xfId="0" applyNumberFormat="1"/>
    <xf numFmtId="0" fontId="1" fillId="0" borderId="9" xfId="3" quotePrefix="1" applyFill="1" applyBorder="1" applyAlignment="1">
      <alignment horizontal="left" vertical="center"/>
    </xf>
    <xf numFmtId="0" fontId="1" fillId="0" borderId="9" xfId="2" quotePrefix="1" applyFill="1" applyBorder="1" applyAlignment="1">
      <alignment horizontal="left" vertical="center"/>
    </xf>
    <xf numFmtId="49" fontId="0" fillId="12" borderId="0" xfId="0" applyNumberFormat="1" applyFill="1"/>
    <xf numFmtId="1" fontId="0" fillId="13" borderId="4" xfId="0" applyNumberFormat="1" applyFill="1" applyBorder="1"/>
    <xf numFmtId="0" fontId="0" fillId="13" borderId="4" xfId="0" applyFill="1" applyBorder="1"/>
    <xf numFmtId="0" fontId="0" fillId="13" borderId="4" xfId="0" applyFill="1" applyBorder="1" applyAlignment="1">
      <alignment horizontal="left" vertical="center"/>
    </xf>
    <xf numFmtId="49" fontId="0" fillId="13" borderId="0" xfId="0" applyNumberFormat="1" applyFill="1"/>
    <xf numFmtId="0" fontId="0" fillId="13" borderId="0" xfId="0" applyFill="1"/>
    <xf numFmtId="49" fontId="0" fillId="9" borderId="0" xfId="0" applyNumberFormat="1" applyFill="1"/>
    <xf numFmtId="0" fontId="2" fillId="12" borderId="0" xfId="0" applyFont="1" applyFill="1"/>
    <xf numFmtId="0" fontId="2" fillId="12" borderId="4" xfId="0" applyFont="1" applyFill="1" applyBorder="1"/>
    <xf numFmtId="1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47" fontId="2" fillId="0" borderId="0" xfId="0" applyNumberFormat="1" applyFont="1" applyAlignment="1">
      <alignment horizontal="center"/>
    </xf>
    <xf numFmtId="0" fontId="16" fillId="0" borderId="0" xfId="4" applyFont="1" applyAlignment="1">
      <alignment horizontal="center"/>
    </xf>
    <xf numFmtId="0" fontId="6" fillId="0" borderId="0" xfId="4"/>
    <xf numFmtId="0" fontId="2" fillId="14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/>
    </xf>
    <xf numFmtId="47" fontId="2" fillId="14" borderId="0" xfId="0" applyNumberFormat="1" applyFont="1" applyFill="1" applyAlignment="1">
      <alignment horizontal="center"/>
    </xf>
    <xf numFmtId="0" fontId="2" fillId="14" borderId="0" xfId="0" applyFont="1" applyFill="1"/>
    <xf numFmtId="0" fontId="0" fillId="14" borderId="0" xfId="0" applyFill="1"/>
    <xf numFmtId="0" fontId="2" fillId="11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47" fontId="2" fillId="8" borderId="0" xfId="0" applyNumberFormat="1" applyFont="1" applyFill="1" applyAlignment="1">
      <alignment horizontal="center"/>
    </xf>
    <xf numFmtId="0" fontId="2" fillId="8" borderId="0" xfId="0" applyFont="1" applyFill="1"/>
    <xf numFmtId="0" fontId="0" fillId="8" borderId="0" xfId="0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47" fontId="2" fillId="4" borderId="0" xfId="0" applyNumberFormat="1" applyFont="1" applyFill="1" applyAlignment="1">
      <alignment horizontal="center"/>
    </xf>
    <xf numFmtId="0" fontId="2" fillId="4" borderId="0" xfId="0" applyFont="1" applyFill="1"/>
    <xf numFmtId="0" fontId="2" fillId="15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/>
    </xf>
    <xf numFmtId="47" fontId="2" fillId="15" borderId="0" xfId="0" applyNumberFormat="1" applyFont="1" applyFill="1" applyAlignment="1">
      <alignment horizontal="center"/>
    </xf>
    <xf numFmtId="0" fontId="2" fillId="15" borderId="0" xfId="0" applyFont="1" applyFill="1"/>
    <xf numFmtId="0" fontId="0" fillId="15" borderId="0" xfId="0" applyFill="1"/>
    <xf numFmtId="0" fontId="2" fillId="16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/>
    </xf>
    <xf numFmtId="47" fontId="2" fillId="16" borderId="0" xfId="0" applyNumberFormat="1" applyFont="1" applyFill="1" applyAlignment="1">
      <alignment horizontal="center"/>
    </xf>
    <xf numFmtId="0" fontId="2" fillId="16" borderId="0" xfId="0" applyFont="1" applyFill="1"/>
    <xf numFmtId="0" fontId="0" fillId="16" borderId="0" xfId="0" applyFill="1"/>
    <xf numFmtId="1" fontId="2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1" fontId="2" fillId="9" borderId="0" xfId="0" applyNumberFormat="1" applyFont="1" applyFill="1" applyAlignment="1">
      <alignment horizontal="center" vertical="center"/>
    </xf>
    <xf numFmtId="15" fontId="2" fillId="9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8" fillId="11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wrapText="1"/>
    </xf>
    <xf numFmtId="0" fontId="2" fillId="0" borderId="0" xfId="0" quotePrefix="1" applyFont="1"/>
    <xf numFmtId="0" fontId="17" fillId="17" borderId="12" xfId="0" applyFont="1" applyFill="1" applyBorder="1" applyAlignment="1">
      <alignment wrapText="1"/>
    </xf>
    <xf numFmtId="0" fontId="2" fillId="9" borderId="0" xfId="0" applyFont="1" applyFill="1"/>
    <xf numFmtId="0" fontId="2" fillId="0" borderId="0" xfId="0" quotePrefix="1" applyFont="1" applyAlignment="1">
      <alignment wrapText="1"/>
    </xf>
    <xf numFmtId="0" fontId="18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0" fillId="0" borderId="0" xfId="0" quotePrefix="1" applyAlignment="1">
      <alignment wrapText="1"/>
    </xf>
    <xf numFmtId="4" fontId="2" fillId="0" borderId="0" xfId="0" applyNumberFormat="1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66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/>
    <xf numFmtId="2" fontId="0" fillId="0" borderId="0" xfId="0" quotePrefix="1" applyNumberFormat="1"/>
    <xf numFmtId="165" fontId="0" fillId="0" borderId="0" xfId="0" applyNumberFormat="1"/>
    <xf numFmtId="0" fontId="8" fillId="12" borderId="4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left" vertical="center"/>
    </xf>
    <xf numFmtId="2" fontId="2" fillId="12" borderId="4" xfId="0" applyNumberFormat="1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left" vertical="center"/>
    </xf>
    <xf numFmtId="2" fontId="2" fillId="10" borderId="4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8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 wrapText="1"/>
    </xf>
    <xf numFmtId="0" fontId="0" fillId="18" borderId="0" xfId="0" applyFill="1" applyAlignment="1">
      <alignment vertical="center"/>
    </xf>
    <xf numFmtId="0" fontId="2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20" fillId="18" borderId="0" xfId="0" applyFont="1" applyFill="1"/>
    <xf numFmtId="0" fontId="2" fillId="1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64" fontId="22" fillId="0" borderId="0" xfId="0" applyNumberFormat="1" applyFont="1"/>
    <xf numFmtId="164" fontId="2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8" fillId="0" borderId="0" xfId="0" applyFont="1" applyAlignment="1">
      <alignment horizontal="center"/>
    </xf>
    <xf numFmtId="167" fontId="8" fillId="0" borderId="0" xfId="0" applyNumberFormat="1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2" fillId="12" borderId="4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 wrapText="1"/>
    </xf>
    <xf numFmtId="2" fontId="2" fillId="12" borderId="4" xfId="0" applyNumberFormat="1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left" vertical="center" wrapText="1"/>
    </xf>
    <xf numFmtId="2" fontId="2" fillId="10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14" borderId="0" xfId="0" applyFont="1" applyFill="1" applyAlignment="1">
      <alignment horizontal="left" vertical="center" wrapText="1"/>
    </xf>
    <xf numFmtId="49" fontId="12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49" fontId="1" fillId="0" borderId="0" xfId="0" applyNumberFormat="1" applyFont="1"/>
  </cellXfs>
  <cellStyles count="5">
    <cellStyle name="20% - Accent2" xfId="1" builtinId="34"/>
    <cellStyle name="20% - Accent4" xfId="3" builtinId="42"/>
    <cellStyle name="40% - Accent2" xfId="2" builtinId="35"/>
    <cellStyle name="Hyperlink" xfId="4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no Magampon" id="{DEB8E6A5-F9D9-428E-82DC-DEC9AB00B765}" userId="S::ninom@smiletel.com.au::99d57ea7-334a-491b-aefc-3711b356885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32A1E1-5ADF-40AB-97B0-D959F1D6AE5D}" name="Table2" displayName="Table2" ref="A1:M947" totalsRowShown="0" headerRowDxfId="0">
  <autoFilter ref="A1:M947" xr:uid="{1532A1E1-5ADF-40AB-97B0-D959F1D6AE5D}">
    <filterColumn colId="3">
      <filters>
        <filter val="0"/>
        <filter val="0Mbps/0Mbps"/>
        <filter val="1000Mbps High CoS"/>
        <filter val="1000Mbps Low CoS"/>
        <filter val="100Mbps/40Mbps"/>
        <filter val="150Mbps/30Mbps"/>
        <filter val="250Mbps High CoS"/>
        <filter val="250Mbps Low CoS"/>
        <filter val="250Mbps/100Mbps"/>
        <filter val="250Mbps/25Mbps Home SuperFast"/>
        <filter val="25Mbps/5Mbps"/>
        <filter val="4G Backup service"/>
        <filter val="4G Broadband Backup"/>
        <filter val="500Mbps Low CoS"/>
        <filter val="500Mbps/500Mbps"/>
        <filter val="50Mbps/20Mbps"/>
        <filter val="Ethernet Access"/>
        <filter val="FAST Fibre"/>
        <filter val="Fast Speed NBN"/>
        <filter val="Fast Speed NBN / Static IP"/>
        <filter val="Internet and Data 3457388090"/>
        <filter val="Internet and Data 3459679090"/>
        <filter val="Internet and Data 3499568680"/>
        <filter val="Internet and Data 3538267980"/>
        <filter val="Internet and Data 3935572690"/>
        <filter val="Internet and Data 3975865580"/>
        <filter val="Internet and Data 3976086580"/>
        <filter val="Internet and Data 3978936580"/>
        <filter val="Internet and Data 5254603190"/>
        <filter val="Internet and Data 5298791580"/>
        <filter val="Internet and Data 5330119090"/>
        <filter val="Internet and Data 5333159090"/>
        <filter val="Internet and Data 5338638090"/>
        <filter val="Internet and Data 5610688880"/>
        <filter val="Internet and Data 5617808880"/>
        <filter val="Internet and Data 7453795190"/>
        <filter val="Internet and Data 7455483190"/>
        <filter val="Internet and Data 7457621880"/>
        <filter val="Internet and Data 7853745780"/>
        <filter val="Internet and Data 7890661680"/>
        <filter val="Internet and Data 8372161780"/>
        <filter val="Internet and Data 8410605580"/>
        <filter val="Internet and Data 8856262090"/>
        <filter val="Internet and Data 9257690190"/>
        <filter val="Internet and Data 9372598090"/>
        <filter val="IP-Line"/>
        <filter val="NBN 100/20"/>
        <filter val="NBN 100/40"/>
        <filter val="NBN 1000/400"/>
        <filter val="NBN 25/10"/>
        <filter val="NBN 250/100"/>
        <filter val="NBN 250/20"/>
        <filter val="NBN 250/25"/>
        <filter val="NBN 25Mbps/10Mbps speed"/>
        <filter val="NBN 50/20"/>
        <filter val="NBN 500/200"/>
        <filter val="NBN25/10"/>
        <filter val="NBNEE100 CBD Unlimited 350"/>
        <filter val="Not Found"/>
        <filter val="Opticomm 100/20"/>
        <filter val="Opticomm 100/40"/>
        <filter val="Opticomm 25/10"/>
        <filter val="Opticomm 50/20"/>
        <filter val="Plan NBNEE1000 CBD Unlimited 935"/>
        <filter val="Plan TFS100 R1 Unlimited 675"/>
        <filter val="Plan TFS1000R1 Unlimited 805"/>
        <filter val="Plan TFS100R1 AM PROMO 374"/>
        <filter val="Plan TFS200R1 Unlimited 387"/>
        <filter val="Plan TFS500R1 Unlimited 1300"/>
        <filter val="Plan TMLL100 R1 Unlimited 800"/>
        <filter val="Plan TMLL50 R1 Unlimited 825"/>
        <filter val="Plan TWBackup40 - $0.00"/>
        <filter val="Standard Plus Speed NBN"/>
        <filter val="Standard Speed NBN 25Mbps"/>
        <filter val="Standard Speed NBN 25Mbps &amp; Static IP"/>
        <filter val="Standard Speed NBN 25Mbps/Static IP"/>
        <filter val="Vocus Business Unlimited (AUD)"/>
      </filters>
    </filterColumn>
  </autoFilter>
  <sortState xmlns:xlrd2="http://schemas.microsoft.com/office/spreadsheetml/2017/richdata2" ref="A324:M947">
    <sortCondition ref="A1:A947"/>
  </sortState>
  <tableColumns count="13">
    <tableColumn id="1" xr3:uid="{CC62C7C8-EA1D-4918-971D-4FC50491C11E}" name="Client Contact"/>
    <tableColumn id="2" xr3:uid="{19E8650B-1548-4065-A908-677BE6C92554}" name="Client Site"/>
    <tableColumn id="3" xr3:uid="{DCF6C054-44DC-486D-B9BA-B58230F8C695}" name="Service Provider"/>
    <tableColumn id="4" xr3:uid="{EEC9F611-F504-4731-BFE4-A1DD1EBA7761}" name="Service Type 1"/>
    <tableColumn id="5" xr3:uid="{36937A53-A794-4DFD-B053-652212AA744D}" name="Service Type 2"/>
    <tableColumn id="6" xr3:uid="{E938DEEF-3641-4DCB-82F7-A5E9BE8E7B4A}" name="Service Type 3"/>
    <tableColumn id="7" xr3:uid="{A211C37E-863D-4642-8F3C-630B41D74A98}" name="Service Type 4"/>
    <tableColumn id="8" xr3:uid="{04DE0FD9-30BF-46C1-AA5C-F71157D62ED7}" name="Service Type 5"/>
    <tableColumn id="9" xr3:uid="{38A1C24C-56A0-4E64-AF3A-859A1B485116}" name="Connection ID"/>
    <tableColumn id="10" xr3:uid="{BF89D8A4-AC04-4CBC-8C31-3B30AD10A1EA}" name="Contract Term"/>
    <tableColumn id="11" xr3:uid="{7B2DB10A-8C31-479C-A151-9725A1178B86}" name="Contract Start Date"/>
    <tableColumn id="12" xr3:uid="{B9A7C8AF-7510-458B-96D0-40EF67E0EC43}" name="Contract End Date"/>
    <tableColumn id="13" xr3:uid="{BE4959E5-CDFE-4DEF-90C2-F87C87C86A44}" name="Billing Gatew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8" dT="2025-12-09T23:38:05.38" personId="{DEB8E6A5-F9D9-428E-82DC-DEC9AB00B765}" id="{0CA8C265-CEA2-4D81-80B9-3494348983B8}">
    <text>Emergency Medicine Foundation</text>
  </threadedComment>
  <threadedComment ref="A19" dT="2025-12-09T23:38:59.07" personId="{DEB8E6A5-F9D9-428E-82DC-DEC9AB00B765}" id="{D368C975-0AA5-47D8-A91C-E7A47D88E7E5}">
    <text>Energy Pro Electrical</text>
  </threadedComment>
  <threadedComment ref="A21" dT="2025-12-09T23:40:15.50" personId="{DEB8E6A5-F9D9-428E-82DC-DEC9AB00B765}" id="{4A909A9E-642B-4B69-8E64-D9E66FC250A6}">
    <text>Fast Cut Qld Pty Ltd</text>
  </threadedComment>
  <threadedComment ref="A22" dT="2025-12-09T23:40:49.36" personId="{DEB8E6A5-F9D9-428E-82DC-DEC9AB00B765}" id="{26EF1E1B-B303-4F21-80B2-817D4CDF0779}">
    <text>GBA Consulting Engineers</text>
  </threadedComment>
  <threadedComment ref="A23" dT="2025-12-09T23:40:58.43" personId="{DEB8E6A5-F9D9-428E-82DC-DEC9AB00B765}" id="{F09739BA-D915-4E10-A28D-27C000927B27}">
    <text>GBA Consulting Engineers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ctl00$MasterContentPlaceHolder$listTenants$ctl61$LinkButton1','')" TargetMode="External"/><Relationship Id="rId13" Type="http://schemas.openxmlformats.org/officeDocument/2006/relationships/hyperlink" Target="javascript:__doPostBack('ctl00$MasterContentPlaceHolder$listTenants$ctl33$LinkButton1','')" TargetMode="External"/><Relationship Id="rId3" Type="http://schemas.openxmlformats.org/officeDocument/2006/relationships/hyperlink" Target="javascript:__doPostBack('ctl00$MasterContentPlaceHolder$listTenants$ctl43$LinkButton1','')" TargetMode="External"/><Relationship Id="rId7" Type="http://schemas.openxmlformats.org/officeDocument/2006/relationships/hyperlink" Target="javascript:__doPostBack('ctl00$MasterContentPlaceHolder$listTenants$ctl60$LinkButton1','')" TargetMode="External"/><Relationship Id="rId12" Type="http://schemas.openxmlformats.org/officeDocument/2006/relationships/hyperlink" Target="javascript:__doPostBack('ctl00$MasterContentPlaceHolder$listTenants$ctl70$LinkButton1','')" TargetMode="External"/><Relationship Id="rId2" Type="http://schemas.openxmlformats.org/officeDocument/2006/relationships/hyperlink" Target="javascript:__doPostBack('ctl00$MasterContentPlaceHolder$listClosedTenants$ctl22$LinkButton1','')" TargetMode="External"/><Relationship Id="rId1" Type="http://schemas.openxmlformats.org/officeDocument/2006/relationships/hyperlink" Target="javascript:__doPostBack('ctl00$MasterContentPlaceHolder$listTenants$ctl45$LinkButton1','')" TargetMode="External"/><Relationship Id="rId6" Type="http://schemas.openxmlformats.org/officeDocument/2006/relationships/hyperlink" Target="javascript:__doPostBack('ctl00$MasterContentPlaceHolder$listTenants$ctl26$LinkButton1','')" TargetMode="External"/><Relationship Id="rId11" Type="http://schemas.openxmlformats.org/officeDocument/2006/relationships/hyperlink" Target="javascript:__doPostBack('ctl00$MasterContentPlaceHolder$listTenants$ctl48$LinkButton1','')" TargetMode="External"/><Relationship Id="rId5" Type="http://schemas.openxmlformats.org/officeDocument/2006/relationships/hyperlink" Target="javascript:__doPostBack('ctl00$MasterContentPlaceHolder$listTenants$ctl37$LinkButton1','')" TargetMode="External"/><Relationship Id="rId10" Type="http://schemas.openxmlformats.org/officeDocument/2006/relationships/hyperlink" Target="javascript:__doPostBack('ctl00$MasterContentPlaceHolder$listTenants$ctl69$LinkButton1','')" TargetMode="External"/><Relationship Id="rId4" Type="http://schemas.openxmlformats.org/officeDocument/2006/relationships/hyperlink" Target="javascript:__doPostBack('ctl00$MasterContentPlaceHolder$listTenants$ctl24$LinkButton1','')" TargetMode="External"/><Relationship Id="rId9" Type="http://schemas.openxmlformats.org/officeDocument/2006/relationships/hyperlink" Target="javascript:__doPostBack('ctl00$MasterContentPlaceHolder$listTenants$ctl69$LinkButton1','')" TargetMode="External"/><Relationship Id="rId14" Type="http://schemas.openxmlformats.org/officeDocument/2006/relationships/hyperlink" Target="javascript:__doPostBack('ctl00$MasterContentPlaceHolder$listTenants$ctl79$LinkButton1','')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julian08giraldo@bigpond.com" TargetMode="External"/><Relationship Id="rId13" Type="http://schemas.openxmlformats.org/officeDocument/2006/relationships/hyperlink" Target="mailto:zambreroulladulla@bigpond.com" TargetMode="External"/><Relationship Id="rId18" Type="http://schemas.openxmlformats.org/officeDocument/2006/relationships/hyperlink" Target="mailto:alfredo.attard122@bigpond.com" TargetMode="External"/><Relationship Id="rId3" Type="http://schemas.openxmlformats.org/officeDocument/2006/relationships/hyperlink" Target="mailto:zambraro02@bigpond.com" TargetMode="External"/><Relationship Id="rId7" Type="http://schemas.openxmlformats.org/officeDocument/2006/relationships/hyperlink" Target="mailto:aattard644@bigpond.com" TargetMode="External"/><Relationship Id="rId12" Type="http://schemas.openxmlformats.org/officeDocument/2006/relationships/hyperlink" Target="mailto:dsafdsa@bigpond.com" TargetMode="External"/><Relationship Id="rId17" Type="http://schemas.openxmlformats.org/officeDocument/2006/relationships/hyperlink" Target="mailto:lnljd234324@bigpond.com" TargetMode="External"/><Relationship Id="rId2" Type="http://schemas.openxmlformats.org/officeDocument/2006/relationships/hyperlink" Target="mailto:alfredo.attard387@bigpond.com" TargetMode="External"/><Relationship Id="rId16" Type="http://schemas.openxmlformats.org/officeDocument/2006/relationships/hyperlink" Target="mailto:fafds@bigpond.com" TargetMode="External"/><Relationship Id="rId1" Type="http://schemas.openxmlformats.org/officeDocument/2006/relationships/hyperlink" Target="mailto:terrigaldrive@bigpond.com" TargetMode="External"/><Relationship Id="rId6" Type="http://schemas.openxmlformats.org/officeDocument/2006/relationships/hyperlink" Target="mailto:alfredo315@bigpond.com" TargetMode="External"/><Relationship Id="rId11" Type="http://schemas.openxmlformats.org/officeDocument/2006/relationships/hyperlink" Target="mailto:aattard983@bigpond.com" TargetMode="External"/><Relationship Id="rId5" Type="http://schemas.openxmlformats.org/officeDocument/2006/relationships/hyperlink" Target="mailto:haigkirra@bigpond.com" TargetMode="External"/><Relationship Id="rId15" Type="http://schemas.openxmlformats.org/officeDocument/2006/relationships/hyperlink" Target="mailto:aattard689@bigpond.com" TargetMode="External"/><Relationship Id="rId10" Type="http://schemas.openxmlformats.org/officeDocument/2006/relationships/hyperlink" Target="mailto:dsfewvv@bigpond.com" TargetMode="External"/><Relationship Id="rId19" Type="http://schemas.openxmlformats.org/officeDocument/2006/relationships/hyperlink" Target="mailto:pottpointvicnsw@bigpond.com" TargetMode="External"/><Relationship Id="rId4" Type="http://schemas.openxmlformats.org/officeDocument/2006/relationships/hyperlink" Target="mailto:aattard547@bigpond.com" TargetMode="External"/><Relationship Id="rId9" Type="http://schemas.openxmlformats.org/officeDocument/2006/relationships/hyperlink" Target="mailto:zambreromornington@bigpond.com" TargetMode="External"/><Relationship Id="rId14" Type="http://schemas.openxmlformats.org/officeDocument/2006/relationships/hyperlink" Target="mailto:aattard330@bigpo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4AA0-CD87-4E67-93CE-818D366E29B6}">
  <dimension ref="A1:M947"/>
  <sheetViews>
    <sheetView tabSelected="1" zoomScale="96" zoomScaleNormal="96" workbookViewId="0">
      <selection activeCell="A386" sqref="A386"/>
    </sheetView>
  </sheetViews>
  <sheetFormatPr defaultColWidth="32.85546875" defaultRowHeight="15"/>
  <cols>
    <col min="3" max="3" width="20.42578125" bestFit="1" customWidth="1"/>
    <col min="4" max="4" width="28.42578125" customWidth="1"/>
    <col min="5" max="5" width="14.42578125" customWidth="1"/>
    <col min="11" max="11" width="32.85546875" style="236"/>
  </cols>
  <sheetData>
    <row r="1" spans="1:13">
      <c r="A1" s="237" t="s">
        <v>0</v>
      </c>
      <c r="B1" s="237" t="s">
        <v>1</v>
      </c>
      <c r="C1" s="237" t="s">
        <v>2</v>
      </c>
      <c r="D1" s="237" t="s">
        <v>3</v>
      </c>
      <c r="E1" s="237" t="s">
        <v>4</v>
      </c>
      <c r="F1" s="237" t="s">
        <v>5</v>
      </c>
      <c r="G1" s="237" t="s">
        <v>6</v>
      </c>
      <c r="H1" s="237" t="s">
        <v>7</v>
      </c>
      <c r="I1" s="237" t="s">
        <v>8</v>
      </c>
      <c r="J1" s="237" t="s">
        <v>9</v>
      </c>
      <c r="K1" s="238" t="s">
        <v>10</v>
      </c>
      <c r="L1" s="237" t="s">
        <v>11</v>
      </c>
      <c r="M1" s="237" t="s">
        <v>12</v>
      </c>
    </row>
    <row r="2" spans="1:13">
      <c r="A2">
        <v>0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</row>
    <row r="3" spans="1:13">
      <c r="A3">
        <v>0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</row>
    <row r="4" spans="1:13">
      <c r="A4">
        <v>0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</row>
    <row r="5" spans="1:13">
      <c r="A5">
        <v>0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</row>
    <row r="6" spans="1:13">
      <c r="A6">
        <v>0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</row>
    <row r="7" spans="1:13">
      <c r="A7">
        <v>0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</row>
    <row r="8" spans="1:13">
      <c r="A8">
        <v>0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</row>
    <row r="9" spans="1:13">
      <c r="A9">
        <v>0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</row>
    <row r="10" spans="1:13">
      <c r="A10">
        <v>0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13</v>
      </c>
    </row>
    <row r="11" spans="1:13">
      <c r="A11">
        <v>0</v>
      </c>
      <c r="B11" t="s">
        <v>13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  <c r="M11" t="s">
        <v>13</v>
      </c>
    </row>
    <row r="12" spans="1:13">
      <c r="A12">
        <v>0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  <c r="M12" t="s">
        <v>13</v>
      </c>
    </row>
    <row r="13" spans="1:13">
      <c r="A13">
        <v>0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  <c r="M13" t="s">
        <v>13</v>
      </c>
    </row>
    <row r="14" spans="1:13">
      <c r="A14">
        <v>0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 t="s">
        <v>13</v>
      </c>
    </row>
    <row r="15" spans="1:13">
      <c r="A15">
        <v>0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</row>
    <row r="16" spans="1:13">
      <c r="A16">
        <v>0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  <c r="L16" t="s">
        <v>13</v>
      </c>
      <c r="M16" t="s">
        <v>13</v>
      </c>
    </row>
    <row r="17" spans="1:13">
      <c r="A17">
        <v>0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  <c r="M17" t="s">
        <v>13</v>
      </c>
    </row>
    <row r="18" spans="1:13">
      <c r="A18">
        <v>0</v>
      </c>
      <c r="B18" t="s">
        <v>13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 t="s">
        <v>13</v>
      </c>
    </row>
    <row r="19" spans="1:13">
      <c r="A19">
        <v>0</v>
      </c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K19" t="s">
        <v>13</v>
      </c>
      <c r="L19" t="s">
        <v>13</v>
      </c>
      <c r="M19" t="s">
        <v>13</v>
      </c>
    </row>
    <row r="20" spans="1:13">
      <c r="A20">
        <v>0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13</v>
      </c>
      <c r="M20" t="s">
        <v>13</v>
      </c>
    </row>
    <row r="21" spans="1:13">
      <c r="A21">
        <v>0</v>
      </c>
      <c r="B21" t="s">
        <v>13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  <c r="M21" t="s">
        <v>13</v>
      </c>
    </row>
    <row r="22" spans="1:13">
      <c r="A22">
        <v>0</v>
      </c>
      <c r="B22" t="s">
        <v>13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  <c r="K22" t="s">
        <v>13</v>
      </c>
      <c r="L22" t="s">
        <v>13</v>
      </c>
      <c r="M22" t="s">
        <v>13</v>
      </c>
    </row>
    <row r="23" spans="1:13">
      <c r="A23">
        <v>0</v>
      </c>
      <c r="B23" t="s">
        <v>13</v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13</v>
      </c>
      <c r="M23" t="s">
        <v>13</v>
      </c>
    </row>
    <row r="24" spans="1:13">
      <c r="A24">
        <v>0</v>
      </c>
      <c r="B24" t="s">
        <v>13</v>
      </c>
      <c r="C24" t="s">
        <v>13</v>
      </c>
      <c r="D24" t="s">
        <v>13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13</v>
      </c>
      <c r="M24" t="s">
        <v>13</v>
      </c>
    </row>
    <row r="25" spans="1:13">
      <c r="A25">
        <v>0</v>
      </c>
      <c r="B25" t="s">
        <v>13</v>
      </c>
      <c r="C25" t="s">
        <v>13</v>
      </c>
      <c r="D25" t="s">
        <v>13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13</v>
      </c>
      <c r="L25" t="s">
        <v>13</v>
      </c>
      <c r="M25" t="s">
        <v>13</v>
      </c>
    </row>
    <row r="26" spans="1:13">
      <c r="A26">
        <v>0</v>
      </c>
      <c r="B26" t="s">
        <v>13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  <c r="K26" t="s">
        <v>13</v>
      </c>
      <c r="L26" t="s">
        <v>13</v>
      </c>
      <c r="M26" t="s">
        <v>13</v>
      </c>
    </row>
    <row r="27" spans="1:13">
      <c r="A27">
        <v>0</v>
      </c>
      <c r="B27" t="s">
        <v>13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13</v>
      </c>
      <c r="M27" t="s">
        <v>13</v>
      </c>
    </row>
    <row r="28" spans="1:13">
      <c r="A28">
        <v>0</v>
      </c>
      <c r="B28" t="s">
        <v>13</v>
      </c>
      <c r="C28" t="s">
        <v>13</v>
      </c>
      <c r="D28" t="s">
        <v>13</v>
      </c>
      <c r="E28" t="s">
        <v>13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  <c r="K28" t="s">
        <v>13</v>
      </c>
      <c r="L28" t="s">
        <v>13</v>
      </c>
      <c r="M28" t="s">
        <v>13</v>
      </c>
    </row>
    <row r="29" spans="1:13">
      <c r="A29">
        <v>0</v>
      </c>
      <c r="B29" t="s">
        <v>13</v>
      </c>
      <c r="C29" t="s">
        <v>13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  <c r="K29" t="s">
        <v>13</v>
      </c>
      <c r="L29" t="s">
        <v>13</v>
      </c>
      <c r="M29" t="s">
        <v>13</v>
      </c>
    </row>
    <row r="30" spans="1:13">
      <c r="A30">
        <v>0</v>
      </c>
      <c r="B30" t="s">
        <v>13</v>
      </c>
      <c r="C30" t="s">
        <v>13</v>
      </c>
      <c r="D30" t="s">
        <v>13</v>
      </c>
      <c r="E30" t="s">
        <v>13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  <c r="K30" t="s">
        <v>13</v>
      </c>
      <c r="L30" t="s">
        <v>13</v>
      </c>
      <c r="M30" t="s">
        <v>13</v>
      </c>
    </row>
    <row r="31" spans="1:13">
      <c r="A31">
        <v>0</v>
      </c>
      <c r="B31" t="s">
        <v>13</v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  <c r="K31" t="s">
        <v>13</v>
      </c>
      <c r="L31" t="s">
        <v>13</v>
      </c>
      <c r="M31" t="s">
        <v>13</v>
      </c>
    </row>
    <row r="32" spans="1:13">
      <c r="A32">
        <v>0</v>
      </c>
      <c r="B32" t="s">
        <v>13</v>
      </c>
      <c r="C32" t="s">
        <v>13</v>
      </c>
      <c r="D32" t="s">
        <v>13</v>
      </c>
      <c r="E32" t="s">
        <v>13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  <c r="K32" t="s">
        <v>13</v>
      </c>
      <c r="L32" t="s">
        <v>13</v>
      </c>
      <c r="M32" t="s">
        <v>13</v>
      </c>
    </row>
    <row r="33" spans="1:13">
      <c r="A33">
        <v>0</v>
      </c>
      <c r="B33" t="s">
        <v>13</v>
      </c>
      <c r="C33" t="s">
        <v>13</v>
      </c>
      <c r="D33" t="s">
        <v>13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  <c r="K33" t="s">
        <v>13</v>
      </c>
      <c r="L33" t="s">
        <v>13</v>
      </c>
      <c r="M33" t="s">
        <v>13</v>
      </c>
    </row>
    <row r="34" spans="1:13">
      <c r="A34">
        <v>0</v>
      </c>
      <c r="B34" t="s">
        <v>13</v>
      </c>
      <c r="C34" t="s">
        <v>13</v>
      </c>
      <c r="D34" t="s">
        <v>13</v>
      </c>
      <c r="E34" t="s">
        <v>13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  <c r="K34" t="s">
        <v>13</v>
      </c>
      <c r="L34" t="s">
        <v>13</v>
      </c>
      <c r="M34" t="s">
        <v>13</v>
      </c>
    </row>
    <row r="35" spans="1:13">
      <c r="A35">
        <v>0</v>
      </c>
      <c r="B35" t="s">
        <v>13</v>
      </c>
      <c r="C35" t="s">
        <v>13</v>
      </c>
      <c r="D35" t="s">
        <v>13</v>
      </c>
      <c r="E35" t="s">
        <v>13</v>
      </c>
      <c r="F35" t="s">
        <v>13</v>
      </c>
      <c r="G35" t="s">
        <v>13</v>
      </c>
      <c r="H35" t="s">
        <v>13</v>
      </c>
      <c r="I35" t="s">
        <v>13</v>
      </c>
      <c r="J35" t="s">
        <v>13</v>
      </c>
      <c r="K35" t="s">
        <v>13</v>
      </c>
      <c r="L35" t="s">
        <v>13</v>
      </c>
      <c r="M35" t="s">
        <v>13</v>
      </c>
    </row>
    <row r="36" spans="1:13">
      <c r="A36">
        <v>0</v>
      </c>
      <c r="B36" t="s">
        <v>13</v>
      </c>
      <c r="C36" t="s">
        <v>13</v>
      </c>
      <c r="D36" t="s">
        <v>13</v>
      </c>
      <c r="E36" t="s">
        <v>13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  <c r="K36" t="s">
        <v>13</v>
      </c>
      <c r="L36" t="s">
        <v>13</v>
      </c>
      <c r="M36" t="s">
        <v>13</v>
      </c>
    </row>
    <row r="37" spans="1:13">
      <c r="A37">
        <v>0</v>
      </c>
      <c r="B37" t="s">
        <v>13</v>
      </c>
      <c r="C37" t="s">
        <v>13</v>
      </c>
      <c r="D37" t="s">
        <v>13</v>
      </c>
      <c r="E37" t="s">
        <v>13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  <c r="K37" t="s">
        <v>13</v>
      </c>
      <c r="L37" t="s">
        <v>13</v>
      </c>
      <c r="M37" t="s">
        <v>13</v>
      </c>
    </row>
    <row r="38" spans="1:13">
      <c r="A38">
        <v>0</v>
      </c>
      <c r="B38" t="s">
        <v>13</v>
      </c>
      <c r="C38" t="s">
        <v>13</v>
      </c>
      <c r="D38" t="s">
        <v>13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13</v>
      </c>
      <c r="L38" t="s">
        <v>13</v>
      </c>
      <c r="M38" t="s">
        <v>13</v>
      </c>
    </row>
    <row r="39" spans="1:13">
      <c r="A39">
        <v>0</v>
      </c>
      <c r="B39" t="s">
        <v>13</v>
      </c>
      <c r="C39" t="s">
        <v>13</v>
      </c>
      <c r="D39" t="s">
        <v>13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  <c r="K39" t="s">
        <v>13</v>
      </c>
      <c r="L39" t="s">
        <v>13</v>
      </c>
      <c r="M39" t="s">
        <v>13</v>
      </c>
    </row>
    <row r="40" spans="1:13">
      <c r="A40">
        <v>0</v>
      </c>
      <c r="B40" t="s">
        <v>13</v>
      </c>
      <c r="C40" t="s">
        <v>13</v>
      </c>
      <c r="D40" t="s">
        <v>13</v>
      </c>
      <c r="E40" t="s">
        <v>13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  <c r="K40" t="s">
        <v>13</v>
      </c>
      <c r="L40" t="s">
        <v>13</v>
      </c>
      <c r="M40" t="s">
        <v>13</v>
      </c>
    </row>
    <row r="41" spans="1:13">
      <c r="A41">
        <v>0</v>
      </c>
      <c r="B41" t="s">
        <v>13</v>
      </c>
      <c r="C41" t="s">
        <v>13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  <c r="K41" t="s">
        <v>13</v>
      </c>
      <c r="L41" t="s">
        <v>13</v>
      </c>
      <c r="M41" t="s">
        <v>13</v>
      </c>
    </row>
    <row r="42" spans="1:13">
      <c r="A42">
        <v>0</v>
      </c>
      <c r="B42" t="s">
        <v>13</v>
      </c>
      <c r="C42" t="s">
        <v>13</v>
      </c>
      <c r="D42" t="s">
        <v>13</v>
      </c>
      <c r="E42" t="s">
        <v>13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  <c r="K42" t="s">
        <v>13</v>
      </c>
      <c r="L42" t="s">
        <v>13</v>
      </c>
      <c r="M42" t="s">
        <v>13</v>
      </c>
    </row>
    <row r="43" spans="1:13">
      <c r="A43">
        <v>0</v>
      </c>
      <c r="B43" t="s">
        <v>13</v>
      </c>
      <c r="C43" t="s">
        <v>13</v>
      </c>
      <c r="D43" t="s">
        <v>13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  <c r="K43" t="s">
        <v>13</v>
      </c>
      <c r="L43" t="s">
        <v>13</v>
      </c>
      <c r="M43" t="s">
        <v>13</v>
      </c>
    </row>
    <row r="44" spans="1:13">
      <c r="A44">
        <v>0</v>
      </c>
      <c r="B44" t="s">
        <v>13</v>
      </c>
      <c r="C44" t="s">
        <v>13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13</v>
      </c>
      <c r="J44" t="s">
        <v>13</v>
      </c>
      <c r="K44" t="s">
        <v>13</v>
      </c>
      <c r="L44" t="s">
        <v>13</v>
      </c>
      <c r="M44" t="s">
        <v>13</v>
      </c>
    </row>
    <row r="45" spans="1:13">
      <c r="A45">
        <v>0</v>
      </c>
      <c r="B45" t="s">
        <v>13</v>
      </c>
      <c r="C45" t="s">
        <v>13</v>
      </c>
      <c r="D45" t="s">
        <v>13</v>
      </c>
      <c r="E45" t="s">
        <v>13</v>
      </c>
      <c r="F45" t="s">
        <v>13</v>
      </c>
      <c r="G45" t="s">
        <v>13</v>
      </c>
      <c r="H45" t="s">
        <v>13</v>
      </c>
      <c r="I45" t="s">
        <v>13</v>
      </c>
      <c r="J45" t="s">
        <v>13</v>
      </c>
      <c r="K45" t="s">
        <v>13</v>
      </c>
      <c r="L45" t="s">
        <v>13</v>
      </c>
      <c r="M45" t="s">
        <v>13</v>
      </c>
    </row>
    <row r="46" spans="1:13">
      <c r="A46">
        <v>0</v>
      </c>
      <c r="B46" t="s">
        <v>13</v>
      </c>
      <c r="C46" t="s">
        <v>13</v>
      </c>
      <c r="D46" t="s">
        <v>13</v>
      </c>
      <c r="E46" t="s">
        <v>13</v>
      </c>
      <c r="F46" t="s">
        <v>13</v>
      </c>
      <c r="G46" t="s">
        <v>13</v>
      </c>
      <c r="H46" t="s">
        <v>13</v>
      </c>
      <c r="I46" t="s">
        <v>13</v>
      </c>
      <c r="J46" t="s">
        <v>13</v>
      </c>
      <c r="K46" t="s">
        <v>13</v>
      </c>
      <c r="L46" t="s">
        <v>13</v>
      </c>
      <c r="M46" t="s">
        <v>13</v>
      </c>
    </row>
    <row r="47" spans="1:13">
      <c r="A47">
        <v>0</v>
      </c>
      <c r="B47" t="s">
        <v>13</v>
      </c>
      <c r="C47" t="s">
        <v>13</v>
      </c>
      <c r="D47" t="s">
        <v>13</v>
      </c>
      <c r="E47" t="s">
        <v>13</v>
      </c>
      <c r="F47" t="s">
        <v>13</v>
      </c>
      <c r="G47" t="s">
        <v>13</v>
      </c>
      <c r="H47" t="s">
        <v>13</v>
      </c>
      <c r="I47" t="s">
        <v>13</v>
      </c>
      <c r="J47" t="s">
        <v>13</v>
      </c>
      <c r="K47" t="s">
        <v>13</v>
      </c>
      <c r="L47" t="s">
        <v>13</v>
      </c>
      <c r="M47" t="s">
        <v>13</v>
      </c>
    </row>
    <row r="48" spans="1:13">
      <c r="A48">
        <v>0</v>
      </c>
      <c r="B48" t="s">
        <v>13</v>
      </c>
      <c r="C48" t="s">
        <v>13</v>
      </c>
      <c r="D48" t="s">
        <v>13</v>
      </c>
      <c r="E48" t="s">
        <v>13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  <c r="K48" t="s">
        <v>13</v>
      </c>
      <c r="L48" t="s">
        <v>13</v>
      </c>
      <c r="M48" t="s">
        <v>13</v>
      </c>
    </row>
    <row r="49" spans="1:13">
      <c r="A49">
        <v>0</v>
      </c>
      <c r="B49" t="s">
        <v>13</v>
      </c>
      <c r="C49" t="s">
        <v>13</v>
      </c>
      <c r="D49" t="s">
        <v>13</v>
      </c>
      <c r="E49" t="s">
        <v>13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  <c r="K49" t="s">
        <v>13</v>
      </c>
      <c r="L49" t="s">
        <v>13</v>
      </c>
      <c r="M49" t="s">
        <v>13</v>
      </c>
    </row>
    <row r="50" spans="1:13">
      <c r="A50">
        <v>0</v>
      </c>
      <c r="B50" t="s">
        <v>13</v>
      </c>
      <c r="C50" t="s">
        <v>13</v>
      </c>
      <c r="D50" t="s">
        <v>13</v>
      </c>
      <c r="E50" t="s">
        <v>13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  <c r="K50" t="s">
        <v>13</v>
      </c>
      <c r="L50" t="s">
        <v>13</v>
      </c>
      <c r="M50" t="s">
        <v>13</v>
      </c>
    </row>
    <row r="51" spans="1:13">
      <c r="A51">
        <v>0</v>
      </c>
      <c r="B51" t="s">
        <v>13</v>
      </c>
      <c r="C51" t="s">
        <v>13</v>
      </c>
      <c r="D51" t="s">
        <v>13</v>
      </c>
      <c r="E51" t="s">
        <v>13</v>
      </c>
      <c r="F51" t="s">
        <v>13</v>
      </c>
      <c r="G51" t="s">
        <v>13</v>
      </c>
      <c r="H51" t="s">
        <v>13</v>
      </c>
      <c r="I51" t="s">
        <v>13</v>
      </c>
      <c r="J51" t="s">
        <v>13</v>
      </c>
      <c r="K51" t="s">
        <v>13</v>
      </c>
      <c r="L51" t="s">
        <v>13</v>
      </c>
      <c r="M51" t="s">
        <v>13</v>
      </c>
    </row>
    <row r="52" spans="1:13">
      <c r="A52">
        <v>0</v>
      </c>
      <c r="B52" t="s">
        <v>13</v>
      </c>
      <c r="C52" t="s">
        <v>13</v>
      </c>
      <c r="D52" t="s">
        <v>13</v>
      </c>
      <c r="E52" t="s">
        <v>13</v>
      </c>
      <c r="F52" t="s">
        <v>13</v>
      </c>
      <c r="G52" t="s">
        <v>13</v>
      </c>
      <c r="H52" t="s">
        <v>13</v>
      </c>
      <c r="I52" t="s">
        <v>13</v>
      </c>
      <c r="J52" t="s">
        <v>13</v>
      </c>
      <c r="K52" t="s">
        <v>13</v>
      </c>
      <c r="L52" t="s">
        <v>13</v>
      </c>
      <c r="M52" t="s">
        <v>13</v>
      </c>
    </row>
    <row r="53" spans="1:13">
      <c r="A53">
        <v>0</v>
      </c>
      <c r="B53" t="s">
        <v>13</v>
      </c>
      <c r="C53" t="s">
        <v>13</v>
      </c>
      <c r="D53" t="s">
        <v>13</v>
      </c>
      <c r="E53" t="s">
        <v>13</v>
      </c>
      <c r="F53" t="s">
        <v>13</v>
      </c>
      <c r="G53" t="s">
        <v>13</v>
      </c>
      <c r="H53" t="s">
        <v>13</v>
      </c>
      <c r="I53" t="s">
        <v>13</v>
      </c>
      <c r="J53" t="s">
        <v>13</v>
      </c>
      <c r="K53" t="s">
        <v>13</v>
      </c>
      <c r="L53" t="s">
        <v>13</v>
      </c>
      <c r="M53" t="s">
        <v>13</v>
      </c>
    </row>
    <row r="54" spans="1:13">
      <c r="A54">
        <v>0</v>
      </c>
      <c r="B54" t="s">
        <v>13</v>
      </c>
      <c r="C54" t="s">
        <v>13</v>
      </c>
      <c r="D54" t="s">
        <v>13</v>
      </c>
      <c r="E54" t="s">
        <v>13</v>
      </c>
      <c r="F54" t="s">
        <v>13</v>
      </c>
      <c r="G54" t="s">
        <v>13</v>
      </c>
      <c r="H54" t="s">
        <v>13</v>
      </c>
      <c r="I54" t="s">
        <v>13</v>
      </c>
      <c r="J54" t="s">
        <v>13</v>
      </c>
      <c r="K54" t="s">
        <v>13</v>
      </c>
      <c r="L54" t="s">
        <v>13</v>
      </c>
      <c r="M54" t="s">
        <v>13</v>
      </c>
    </row>
    <row r="55" spans="1:13">
      <c r="A55">
        <v>0</v>
      </c>
      <c r="B55" t="s">
        <v>13</v>
      </c>
      <c r="C55" t="s">
        <v>13</v>
      </c>
      <c r="D55" t="s">
        <v>13</v>
      </c>
      <c r="E55" t="s">
        <v>13</v>
      </c>
      <c r="F55" t="s">
        <v>13</v>
      </c>
      <c r="G55" t="s">
        <v>13</v>
      </c>
      <c r="H55" t="s">
        <v>13</v>
      </c>
      <c r="I55" t="s">
        <v>13</v>
      </c>
      <c r="J55" t="s">
        <v>13</v>
      </c>
      <c r="K55" t="s">
        <v>13</v>
      </c>
      <c r="L55" t="s">
        <v>13</v>
      </c>
      <c r="M55" t="s">
        <v>13</v>
      </c>
    </row>
    <row r="56" spans="1:13">
      <c r="A56">
        <v>0</v>
      </c>
      <c r="B56" t="s">
        <v>13</v>
      </c>
      <c r="C56" t="s">
        <v>13</v>
      </c>
      <c r="D56" t="s">
        <v>13</v>
      </c>
      <c r="E56" t="s">
        <v>13</v>
      </c>
      <c r="F56" t="s">
        <v>13</v>
      </c>
      <c r="G56" t="s">
        <v>13</v>
      </c>
      <c r="H56" t="s">
        <v>13</v>
      </c>
      <c r="I56" t="s">
        <v>13</v>
      </c>
      <c r="J56" t="s">
        <v>13</v>
      </c>
      <c r="K56" t="s">
        <v>13</v>
      </c>
      <c r="L56" t="s">
        <v>13</v>
      </c>
      <c r="M56" t="s">
        <v>13</v>
      </c>
    </row>
    <row r="57" spans="1:13">
      <c r="A57">
        <v>0</v>
      </c>
      <c r="B57" t="s">
        <v>13</v>
      </c>
      <c r="C57" t="s">
        <v>13</v>
      </c>
      <c r="D57" t="s">
        <v>13</v>
      </c>
      <c r="E57" t="s">
        <v>13</v>
      </c>
      <c r="F57" t="s">
        <v>13</v>
      </c>
      <c r="G57" t="s">
        <v>13</v>
      </c>
      <c r="H57" t="s">
        <v>13</v>
      </c>
      <c r="I57" t="s">
        <v>13</v>
      </c>
      <c r="J57" t="s">
        <v>13</v>
      </c>
      <c r="K57" t="s">
        <v>13</v>
      </c>
      <c r="L57" t="s">
        <v>13</v>
      </c>
      <c r="M57" t="s">
        <v>13</v>
      </c>
    </row>
    <row r="58" spans="1:13">
      <c r="A58">
        <v>0</v>
      </c>
      <c r="B58" t="s">
        <v>13</v>
      </c>
      <c r="C58" t="s">
        <v>13</v>
      </c>
      <c r="D58" t="s">
        <v>13</v>
      </c>
      <c r="E58" t="s">
        <v>13</v>
      </c>
      <c r="F58" t="s">
        <v>13</v>
      </c>
      <c r="G58" t="s">
        <v>13</v>
      </c>
      <c r="H58" t="s">
        <v>13</v>
      </c>
      <c r="I58" t="s">
        <v>13</v>
      </c>
      <c r="J58" t="s">
        <v>13</v>
      </c>
      <c r="K58" t="s">
        <v>13</v>
      </c>
      <c r="L58" t="s">
        <v>13</v>
      </c>
      <c r="M58" t="s">
        <v>13</v>
      </c>
    </row>
    <row r="59" spans="1:13">
      <c r="A59">
        <v>0</v>
      </c>
      <c r="B59" t="s">
        <v>13</v>
      </c>
      <c r="C59" t="s">
        <v>13</v>
      </c>
      <c r="D59" t="s">
        <v>13</v>
      </c>
      <c r="E59" t="s">
        <v>13</v>
      </c>
      <c r="F59" t="s">
        <v>13</v>
      </c>
      <c r="G59" t="s">
        <v>13</v>
      </c>
      <c r="H59" t="s">
        <v>13</v>
      </c>
      <c r="I59" t="s">
        <v>13</v>
      </c>
      <c r="J59" t="s">
        <v>13</v>
      </c>
      <c r="K59" t="s">
        <v>13</v>
      </c>
      <c r="L59" t="s">
        <v>13</v>
      </c>
      <c r="M59" t="s">
        <v>13</v>
      </c>
    </row>
    <row r="60" spans="1:13">
      <c r="A60">
        <v>0</v>
      </c>
      <c r="B60" t="s">
        <v>13</v>
      </c>
      <c r="C60" t="s">
        <v>13</v>
      </c>
      <c r="D60" t="s">
        <v>13</v>
      </c>
      <c r="E60" t="s">
        <v>13</v>
      </c>
      <c r="F60" t="s">
        <v>13</v>
      </c>
      <c r="G60" t="s">
        <v>13</v>
      </c>
      <c r="H60" t="s">
        <v>13</v>
      </c>
      <c r="I60" t="s">
        <v>13</v>
      </c>
      <c r="J60" t="s">
        <v>13</v>
      </c>
      <c r="K60" t="s">
        <v>13</v>
      </c>
      <c r="L60" t="s">
        <v>13</v>
      </c>
      <c r="M60" t="s">
        <v>13</v>
      </c>
    </row>
    <row r="61" spans="1:13">
      <c r="A61">
        <v>0</v>
      </c>
      <c r="B61" t="s">
        <v>13</v>
      </c>
      <c r="C61" t="s">
        <v>13</v>
      </c>
      <c r="D61" t="s">
        <v>13</v>
      </c>
      <c r="E61" t="s">
        <v>13</v>
      </c>
      <c r="F61" t="s">
        <v>13</v>
      </c>
      <c r="G61" t="s">
        <v>13</v>
      </c>
      <c r="H61" t="s">
        <v>13</v>
      </c>
      <c r="I61" t="s">
        <v>13</v>
      </c>
      <c r="J61" t="s">
        <v>13</v>
      </c>
      <c r="K61" t="s">
        <v>13</v>
      </c>
      <c r="L61" t="s">
        <v>13</v>
      </c>
      <c r="M61" t="s">
        <v>13</v>
      </c>
    </row>
    <row r="62" spans="1:13">
      <c r="A62">
        <v>0</v>
      </c>
      <c r="B62" t="s">
        <v>13</v>
      </c>
      <c r="C62" t="s">
        <v>13</v>
      </c>
      <c r="D62" t="s">
        <v>13</v>
      </c>
      <c r="E62" t="s">
        <v>13</v>
      </c>
      <c r="F62" t="s">
        <v>13</v>
      </c>
      <c r="G62" t="s">
        <v>13</v>
      </c>
      <c r="H62" t="s">
        <v>13</v>
      </c>
      <c r="I62" t="s">
        <v>13</v>
      </c>
      <c r="J62" t="s">
        <v>13</v>
      </c>
      <c r="K62" t="s">
        <v>13</v>
      </c>
      <c r="L62" t="s">
        <v>13</v>
      </c>
      <c r="M62" t="s">
        <v>13</v>
      </c>
    </row>
    <row r="63" spans="1:13" hidden="1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19</v>
      </c>
      <c r="G63">
        <v>0</v>
      </c>
      <c r="H63" t="s">
        <v>13</v>
      </c>
      <c r="I63">
        <v>0</v>
      </c>
      <c r="J63">
        <v>0</v>
      </c>
      <c r="K63">
        <v>0</v>
      </c>
      <c r="L63" t="s">
        <v>13</v>
      </c>
      <c r="M63" t="s">
        <v>13</v>
      </c>
    </row>
    <row r="64" spans="1:13" hidden="1">
      <c r="A64" t="s">
        <v>14</v>
      </c>
      <c r="B64" t="s">
        <v>15</v>
      </c>
      <c r="C64" t="s">
        <v>16</v>
      </c>
      <c r="D64" t="s">
        <v>17</v>
      </c>
      <c r="E64" t="s">
        <v>18</v>
      </c>
      <c r="F64" t="s">
        <v>19</v>
      </c>
      <c r="G64">
        <v>0</v>
      </c>
      <c r="H64" t="s">
        <v>13</v>
      </c>
      <c r="I64">
        <v>0</v>
      </c>
      <c r="J64">
        <v>0</v>
      </c>
      <c r="K64">
        <v>0</v>
      </c>
      <c r="L64" t="s">
        <v>13</v>
      </c>
      <c r="M64" t="s">
        <v>13</v>
      </c>
    </row>
    <row r="65" spans="1:13" hidden="1">
      <c r="A65" t="s">
        <v>14</v>
      </c>
      <c r="B65" t="s">
        <v>15</v>
      </c>
      <c r="C65" t="s">
        <v>16</v>
      </c>
      <c r="D65" t="s">
        <v>17</v>
      </c>
      <c r="E65" t="s">
        <v>18</v>
      </c>
      <c r="F65" t="s">
        <v>19</v>
      </c>
      <c r="G65">
        <v>0</v>
      </c>
      <c r="H65" t="s">
        <v>13</v>
      </c>
      <c r="I65">
        <v>0</v>
      </c>
      <c r="J65">
        <v>0</v>
      </c>
      <c r="K65">
        <v>0</v>
      </c>
      <c r="L65" t="s">
        <v>13</v>
      </c>
      <c r="M65" t="s">
        <v>13</v>
      </c>
    </row>
    <row r="66" spans="1:13" hidden="1">
      <c r="A66" t="s">
        <v>14</v>
      </c>
      <c r="B66" t="s">
        <v>15</v>
      </c>
      <c r="C66" t="s">
        <v>16</v>
      </c>
      <c r="D66" t="s">
        <v>17</v>
      </c>
      <c r="E66" t="s">
        <v>18</v>
      </c>
      <c r="F66" t="s">
        <v>19</v>
      </c>
      <c r="G66">
        <v>0</v>
      </c>
      <c r="H66" t="s">
        <v>13</v>
      </c>
      <c r="I66">
        <v>0</v>
      </c>
      <c r="J66">
        <v>0</v>
      </c>
      <c r="K66">
        <v>0</v>
      </c>
      <c r="L66" t="s">
        <v>13</v>
      </c>
      <c r="M66" t="s">
        <v>13</v>
      </c>
    </row>
    <row r="67" spans="1:13">
      <c r="A67">
        <v>0</v>
      </c>
      <c r="B67" t="s">
        <v>13</v>
      </c>
      <c r="C67" t="s">
        <v>13</v>
      </c>
      <c r="D67" t="s">
        <v>13</v>
      </c>
      <c r="E67" t="s">
        <v>13</v>
      </c>
      <c r="F67" t="s">
        <v>13</v>
      </c>
      <c r="G67" t="s">
        <v>13</v>
      </c>
      <c r="H67" t="s">
        <v>13</v>
      </c>
      <c r="I67" t="s">
        <v>13</v>
      </c>
      <c r="J67" t="s">
        <v>13</v>
      </c>
      <c r="K67" t="s">
        <v>13</v>
      </c>
      <c r="L67" t="s">
        <v>13</v>
      </c>
      <c r="M67" t="s">
        <v>13</v>
      </c>
    </row>
    <row r="68" spans="1:13">
      <c r="A68">
        <v>0</v>
      </c>
      <c r="B68" t="s">
        <v>13</v>
      </c>
      <c r="C68" t="s">
        <v>13</v>
      </c>
      <c r="D68" t="s">
        <v>13</v>
      </c>
      <c r="E68" t="s">
        <v>13</v>
      </c>
      <c r="F68" t="s">
        <v>13</v>
      </c>
      <c r="G68" t="s">
        <v>13</v>
      </c>
      <c r="H68" t="s">
        <v>13</v>
      </c>
      <c r="I68" t="s">
        <v>13</v>
      </c>
      <c r="J68" t="s">
        <v>13</v>
      </c>
      <c r="K68" t="s">
        <v>13</v>
      </c>
      <c r="L68" t="s">
        <v>13</v>
      </c>
      <c r="M68" t="s">
        <v>13</v>
      </c>
    </row>
    <row r="69" spans="1:13">
      <c r="A69">
        <v>0</v>
      </c>
      <c r="B69" t="s">
        <v>13</v>
      </c>
      <c r="C69" t="s">
        <v>13</v>
      </c>
      <c r="D69" t="s">
        <v>13</v>
      </c>
      <c r="E69" t="s">
        <v>13</v>
      </c>
      <c r="F69" t="s">
        <v>13</v>
      </c>
      <c r="G69" t="s">
        <v>13</v>
      </c>
      <c r="H69" t="s">
        <v>13</v>
      </c>
      <c r="I69" t="s">
        <v>13</v>
      </c>
      <c r="J69" t="s">
        <v>13</v>
      </c>
      <c r="K69" t="s">
        <v>13</v>
      </c>
      <c r="L69" t="s">
        <v>13</v>
      </c>
      <c r="M69" t="s">
        <v>13</v>
      </c>
    </row>
    <row r="70" spans="1:13">
      <c r="A70">
        <v>0</v>
      </c>
      <c r="B70" t="s">
        <v>13</v>
      </c>
      <c r="C70" t="s">
        <v>13</v>
      </c>
      <c r="D70" t="s">
        <v>13</v>
      </c>
      <c r="E70" t="s">
        <v>13</v>
      </c>
      <c r="F70" t="s">
        <v>13</v>
      </c>
      <c r="G70" t="s">
        <v>13</v>
      </c>
      <c r="H70" t="s">
        <v>13</v>
      </c>
      <c r="I70" t="s">
        <v>13</v>
      </c>
      <c r="J70" t="s">
        <v>13</v>
      </c>
      <c r="K70" t="s">
        <v>13</v>
      </c>
      <c r="L70" t="s">
        <v>13</v>
      </c>
      <c r="M70" t="s">
        <v>13</v>
      </c>
    </row>
    <row r="71" spans="1:13" hidden="1">
      <c r="A71" t="s">
        <v>20</v>
      </c>
      <c r="B71" t="s">
        <v>21</v>
      </c>
      <c r="C71" t="s">
        <v>16</v>
      </c>
      <c r="D71" t="s">
        <v>17</v>
      </c>
      <c r="E71" t="s">
        <v>18</v>
      </c>
      <c r="F71">
        <v>0</v>
      </c>
      <c r="G71">
        <v>0</v>
      </c>
      <c r="H71" t="s">
        <v>13</v>
      </c>
      <c r="I71">
        <v>0</v>
      </c>
      <c r="J71">
        <v>0</v>
      </c>
      <c r="K71">
        <v>0</v>
      </c>
      <c r="L71" t="s">
        <v>13</v>
      </c>
      <c r="M71" t="s">
        <v>13</v>
      </c>
    </row>
    <row r="72" spans="1:13">
      <c r="A72">
        <v>0</v>
      </c>
      <c r="B72" t="s">
        <v>13</v>
      </c>
      <c r="C72" t="s">
        <v>13</v>
      </c>
      <c r="D72" t="s">
        <v>13</v>
      </c>
      <c r="E72" t="s">
        <v>13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K72" t="s">
        <v>13</v>
      </c>
      <c r="L72" t="s">
        <v>13</v>
      </c>
      <c r="M72" t="s">
        <v>13</v>
      </c>
    </row>
    <row r="73" spans="1:13">
      <c r="A73">
        <v>0</v>
      </c>
      <c r="B73" t="s">
        <v>13</v>
      </c>
      <c r="C73" t="s">
        <v>13</v>
      </c>
      <c r="D73" t="s">
        <v>13</v>
      </c>
      <c r="E73" t="s">
        <v>13</v>
      </c>
      <c r="F73" t="s">
        <v>13</v>
      </c>
      <c r="G73" t="s">
        <v>13</v>
      </c>
      <c r="H73" t="s">
        <v>13</v>
      </c>
      <c r="I73" t="s">
        <v>13</v>
      </c>
      <c r="J73" t="s">
        <v>13</v>
      </c>
      <c r="K73" t="s">
        <v>13</v>
      </c>
      <c r="L73" t="s">
        <v>13</v>
      </c>
      <c r="M73" t="s">
        <v>13</v>
      </c>
    </row>
    <row r="74" spans="1:13">
      <c r="A74">
        <v>0</v>
      </c>
      <c r="B74" t="s">
        <v>13</v>
      </c>
      <c r="C74" t="s">
        <v>13</v>
      </c>
      <c r="D74" t="s">
        <v>13</v>
      </c>
      <c r="E74" t="s">
        <v>13</v>
      </c>
      <c r="F74" t="s">
        <v>13</v>
      </c>
      <c r="G74" t="s">
        <v>13</v>
      </c>
      <c r="H74" t="s">
        <v>13</v>
      </c>
      <c r="I74" t="s">
        <v>13</v>
      </c>
      <c r="J74" t="s">
        <v>13</v>
      </c>
      <c r="K74" t="s">
        <v>13</v>
      </c>
      <c r="L74" t="s">
        <v>13</v>
      </c>
      <c r="M74" t="s">
        <v>13</v>
      </c>
    </row>
    <row r="75" spans="1:13">
      <c r="A75">
        <v>0</v>
      </c>
      <c r="B75" t="s">
        <v>13</v>
      </c>
      <c r="C75" t="s">
        <v>13</v>
      </c>
      <c r="D75" t="s">
        <v>13</v>
      </c>
      <c r="E75" t="s">
        <v>13</v>
      </c>
      <c r="F75" t="s">
        <v>13</v>
      </c>
      <c r="G75" t="s">
        <v>13</v>
      </c>
      <c r="H75" t="s">
        <v>13</v>
      </c>
      <c r="I75" t="s">
        <v>13</v>
      </c>
      <c r="J75" t="s">
        <v>13</v>
      </c>
      <c r="K75" t="s">
        <v>13</v>
      </c>
      <c r="L75" t="s">
        <v>13</v>
      </c>
      <c r="M75" t="s">
        <v>13</v>
      </c>
    </row>
    <row r="76" spans="1:13">
      <c r="A76">
        <v>0</v>
      </c>
      <c r="B76" t="s">
        <v>13</v>
      </c>
      <c r="C76" t="s">
        <v>13</v>
      </c>
      <c r="D76" t="s">
        <v>13</v>
      </c>
      <c r="E76" t="s">
        <v>13</v>
      </c>
      <c r="F76" t="s">
        <v>13</v>
      </c>
      <c r="G76" t="s">
        <v>13</v>
      </c>
      <c r="H76" t="s">
        <v>13</v>
      </c>
      <c r="I76" t="s">
        <v>13</v>
      </c>
      <c r="J76" t="s">
        <v>13</v>
      </c>
      <c r="K76" t="s">
        <v>13</v>
      </c>
      <c r="L76" t="s">
        <v>13</v>
      </c>
      <c r="M76" t="s">
        <v>13</v>
      </c>
    </row>
    <row r="77" spans="1:13">
      <c r="A77">
        <v>0</v>
      </c>
      <c r="B77" t="s">
        <v>13</v>
      </c>
      <c r="C77" t="s">
        <v>13</v>
      </c>
      <c r="D77" t="s">
        <v>13</v>
      </c>
      <c r="E77" t="s">
        <v>13</v>
      </c>
      <c r="F77" t="s">
        <v>13</v>
      </c>
      <c r="G77" t="s">
        <v>13</v>
      </c>
      <c r="H77" t="s">
        <v>13</v>
      </c>
      <c r="I77" t="s">
        <v>13</v>
      </c>
      <c r="J77" t="s">
        <v>13</v>
      </c>
      <c r="K77" t="s">
        <v>13</v>
      </c>
      <c r="L77" t="s">
        <v>13</v>
      </c>
      <c r="M77" t="s">
        <v>13</v>
      </c>
    </row>
    <row r="78" spans="1:13">
      <c r="A78">
        <v>0</v>
      </c>
      <c r="B78" t="s">
        <v>13</v>
      </c>
      <c r="C78" t="s">
        <v>13</v>
      </c>
      <c r="D78" t="s">
        <v>13</v>
      </c>
      <c r="E78" t="s">
        <v>13</v>
      </c>
      <c r="F78" t="s">
        <v>13</v>
      </c>
      <c r="G78" t="s">
        <v>13</v>
      </c>
      <c r="H78" t="s">
        <v>13</v>
      </c>
      <c r="I78" t="s">
        <v>13</v>
      </c>
      <c r="J78" t="s">
        <v>13</v>
      </c>
      <c r="K78" t="s">
        <v>13</v>
      </c>
      <c r="L78" t="s">
        <v>13</v>
      </c>
      <c r="M78" t="s">
        <v>13</v>
      </c>
    </row>
    <row r="79" spans="1:13">
      <c r="A79">
        <v>0</v>
      </c>
      <c r="B79" t="s">
        <v>13</v>
      </c>
      <c r="C79" t="s">
        <v>13</v>
      </c>
      <c r="D79" t="s">
        <v>13</v>
      </c>
      <c r="E79" t="s">
        <v>13</v>
      </c>
      <c r="F79" t="s">
        <v>13</v>
      </c>
      <c r="G79" t="s">
        <v>13</v>
      </c>
      <c r="H79" t="s">
        <v>13</v>
      </c>
      <c r="I79" t="s">
        <v>13</v>
      </c>
      <c r="J79" t="s">
        <v>13</v>
      </c>
      <c r="K79" t="s">
        <v>13</v>
      </c>
      <c r="L79" t="s">
        <v>13</v>
      </c>
      <c r="M79" t="s">
        <v>13</v>
      </c>
    </row>
    <row r="80" spans="1:13">
      <c r="A80">
        <v>0</v>
      </c>
      <c r="B80" t="s">
        <v>13</v>
      </c>
      <c r="C80" t="s">
        <v>13</v>
      </c>
      <c r="D80" t="s">
        <v>13</v>
      </c>
      <c r="E80" t="s">
        <v>13</v>
      </c>
      <c r="F80" t="s">
        <v>13</v>
      </c>
      <c r="G80" t="s">
        <v>13</v>
      </c>
      <c r="H80" t="s">
        <v>13</v>
      </c>
      <c r="I80" t="s">
        <v>13</v>
      </c>
      <c r="J80" t="s">
        <v>13</v>
      </c>
      <c r="K80" t="s">
        <v>13</v>
      </c>
      <c r="L80" t="s">
        <v>13</v>
      </c>
      <c r="M80" t="s">
        <v>13</v>
      </c>
    </row>
    <row r="81" spans="1:13">
      <c r="A81">
        <v>0</v>
      </c>
      <c r="B81" t="s">
        <v>13</v>
      </c>
      <c r="C81" t="s">
        <v>13</v>
      </c>
      <c r="D81" t="s">
        <v>13</v>
      </c>
      <c r="E81" t="s">
        <v>13</v>
      </c>
      <c r="F81" t="s">
        <v>13</v>
      </c>
      <c r="G81" t="s">
        <v>13</v>
      </c>
      <c r="H81" t="s">
        <v>13</v>
      </c>
      <c r="I81" t="s">
        <v>13</v>
      </c>
      <c r="J81" t="s">
        <v>13</v>
      </c>
      <c r="K81" t="s">
        <v>13</v>
      </c>
      <c r="L81" t="s">
        <v>13</v>
      </c>
      <c r="M81" t="s">
        <v>13</v>
      </c>
    </row>
    <row r="82" spans="1:13">
      <c r="A82">
        <v>0</v>
      </c>
      <c r="B82" t="s">
        <v>13</v>
      </c>
      <c r="C82" t="s">
        <v>13</v>
      </c>
      <c r="D82" t="s">
        <v>13</v>
      </c>
      <c r="E82" t="s">
        <v>13</v>
      </c>
      <c r="F82" t="s">
        <v>13</v>
      </c>
      <c r="G82" t="s">
        <v>13</v>
      </c>
      <c r="H82" t="s">
        <v>13</v>
      </c>
      <c r="I82" t="s">
        <v>13</v>
      </c>
      <c r="J82" t="s">
        <v>13</v>
      </c>
      <c r="K82" t="s">
        <v>13</v>
      </c>
      <c r="L82" t="s">
        <v>13</v>
      </c>
      <c r="M82" t="s">
        <v>13</v>
      </c>
    </row>
    <row r="83" spans="1:13">
      <c r="A83">
        <v>0</v>
      </c>
      <c r="B83" t="s">
        <v>13</v>
      </c>
      <c r="C83" t="s">
        <v>13</v>
      </c>
      <c r="D83" t="s">
        <v>13</v>
      </c>
      <c r="E83" t="s">
        <v>13</v>
      </c>
      <c r="F83" t="s">
        <v>13</v>
      </c>
      <c r="G83" t="s">
        <v>13</v>
      </c>
      <c r="H83" t="s">
        <v>13</v>
      </c>
      <c r="I83" t="s">
        <v>13</v>
      </c>
      <c r="J83" t="s">
        <v>13</v>
      </c>
      <c r="K83" t="s">
        <v>13</v>
      </c>
      <c r="L83" t="s">
        <v>13</v>
      </c>
      <c r="M83" t="s">
        <v>13</v>
      </c>
    </row>
    <row r="84" spans="1:13">
      <c r="A84">
        <v>0</v>
      </c>
      <c r="B84" t="s">
        <v>13</v>
      </c>
      <c r="C84" t="s">
        <v>13</v>
      </c>
      <c r="D84" t="s">
        <v>13</v>
      </c>
      <c r="E84" t="s">
        <v>13</v>
      </c>
      <c r="F84" t="s">
        <v>13</v>
      </c>
      <c r="G84" t="s">
        <v>13</v>
      </c>
      <c r="H84" t="s">
        <v>13</v>
      </c>
      <c r="I84" t="s">
        <v>13</v>
      </c>
      <c r="J84" t="s">
        <v>13</v>
      </c>
      <c r="K84" t="s">
        <v>13</v>
      </c>
      <c r="L84" t="s">
        <v>13</v>
      </c>
      <c r="M84" t="s">
        <v>13</v>
      </c>
    </row>
    <row r="85" spans="1:13">
      <c r="A85">
        <v>0</v>
      </c>
      <c r="B85" t="s">
        <v>13</v>
      </c>
      <c r="C85" t="s">
        <v>13</v>
      </c>
      <c r="D85" t="s">
        <v>13</v>
      </c>
      <c r="E85" t="s">
        <v>13</v>
      </c>
      <c r="F85" t="s">
        <v>13</v>
      </c>
      <c r="G85" t="s">
        <v>13</v>
      </c>
      <c r="H85" t="s">
        <v>13</v>
      </c>
      <c r="I85" t="s">
        <v>13</v>
      </c>
      <c r="J85" t="s">
        <v>13</v>
      </c>
      <c r="K85" t="s">
        <v>13</v>
      </c>
      <c r="L85" t="s">
        <v>13</v>
      </c>
      <c r="M85" t="s">
        <v>13</v>
      </c>
    </row>
    <row r="86" spans="1:13">
      <c r="A86">
        <v>0</v>
      </c>
      <c r="B86" t="s">
        <v>13</v>
      </c>
      <c r="C86" t="s">
        <v>13</v>
      </c>
      <c r="D86" t="s">
        <v>13</v>
      </c>
      <c r="E86" t="s">
        <v>13</v>
      </c>
      <c r="F86" t="s">
        <v>13</v>
      </c>
      <c r="G86" t="s">
        <v>13</v>
      </c>
      <c r="H86" t="s">
        <v>13</v>
      </c>
      <c r="I86" t="s">
        <v>13</v>
      </c>
      <c r="J86" t="s">
        <v>13</v>
      </c>
      <c r="K86" t="s">
        <v>13</v>
      </c>
      <c r="L86" t="s">
        <v>13</v>
      </c>
      <c r="M86" t="s">
        <v>13</v>
      </c>
    </row>
    <row r="87" spans="1:13">
      <c r="A87">
        <v>0</v>
      </c>
      <c r="B87" t="s">
        <v>13</v>
      </c>
      <c r="C87" t="s">
        <v>13</v>
      </c>
      <c r="D87" t="s">
        <v>13</v>
      </c>
      <c r="E87" t="s">
        <v>13</v>
      </c>
      <c r="F87" t="s">
        <v>13</v>
      </c>
      <c r="G87" t="s">
        <v>13</v>
      </c>
      <c r="H87" t="s">
        <v>13</v>
      </c>
      <c r="I87" t="s">
        <v>13</v>
      </c>
      <c r="J87" t="s">
        <v>13</v>
      </c>
      <c r="K87" t="s">
        <v>13</v>
      </c>
      <c r="L87" t="s">
        <v>13</v>
      </c>
      <c r="M87" t="s">
        <v>13</v>
      </c>
    </row>
    <row r="88" spans="1:13">
      <c r="A88">
        <v>0</v>
      </c>
      <c r="B88" t="s">
        <v>13</v>
      </c>
      <c r="C88" t="s">
        <v>13</v>
      </c>
      <c r="D88" t="s">
        <v>13</v>
      </c>
      <c r="E88" t="s">
        <v>13</v>
      </c>
      <c r="F88" t="s">
        <v>13</v>
      </c>
      <c r="G88" t="s">
        <v>13</v>
      </c>
      <c r="H88" t="s">
        <v>13</v>
      </c>
      <c r="I88" t="s">
        <v>13</v>
      </c>
      <c r="J88" t="s">
        <v>13</v>
      </c>
      <c r="K88" t="s">
        <v>13</v>
      </c>
      <c r="L88" t="s">
        <v>13</v>
      </c>
      <c r="M88" t="s">
        <v>13</v>
      </c>
    </row>
    <row r="89" spans="1:13">
      <c r="A89">
        <v>0</v>
      </c>
      <c r="B89" t="s">
        <v>13</v>
      </c>
      <c r="C89" t="s">
        <v>13</v>
      </c>
      <c r="D89" t="s">
        <v>13</v>
      </c>
      <c r="E89" t="s">
        <v>13</v>
      </c>
      <c r="F89" t="s">
        <v>13</v>
      </c>
      <c r="G89" t="s">
        <v>13</v>
      </c>
      <c r="H89" t="s">
        <v>13</v>
      </c>
      <c r="I89" t="s">
        <v>13</v>
      </c>
      <c r="J89" t="s">
        <v>13</v>
      </c>
      <c r="K89" t="s">
        <v>13</v>
      </c>
      <c r="L89" t="s">
        <v>13</v>
      </c>
      <c r="M89" t="s">
        <v>13</v>
      </c>
    </row>
    <row r="90" spans="1:13">
      <c r="A90">
        <v>0</v>
      </c>
      <c r="B90" t="s">
        <v>13</v>
      </c>
      <c r="C90" t="s">
        <v>13</v>
      </c>
      <c r="D90" t="s">
        <v>13</v>
      </c>
      <c r="E90" t="s">
        <v>13</v>
      </c>
      <c r="F90" t="s">
        <v>13</v>
      </c>
      <c r="G90" t="s">
        <v>13</v>
      </c>
      <c r="H90" t="s">
        <v>13</v>
      </c>
      <c r="I90" t="s">
        <v>13</v>
      </c>
      <c r="J90" t="s">
        <v>13</v>
      </c>
      <c r="K90" t="s">
        <v>13</v>
      </c>
      <c r="L90" t="s">
        <v>13</v>
      </c>
      <c r="M90" t="s">
        <v>13</v>
      </c>
    </row>
    <row r="91" spans="1:13">
      <c r="A91">
        <v>0</v>
      </c>
      <c r="B91" t="s">
        <v>13</v>
      </c>
      <c r="C91" t="s">
        <v>13</v>
      </c>
      <c r="D91" t="s">
        <v>13</v>
      </c>
      <c r="E91" t="s">
        <v>13</v>
      </c>
      <c r="F91" t="s">
        <v>13</v>
      </c>
      <c r="G91" t="s">
        <v>13</v>
      </c>
      <c r="H91" t="s">
        <v>13</v>
      </c>
      <c r="I91" t="s">
        <v>13</v>
      </c>
      <c r="J91" t="s">
        <v>13</v>
      </c>
      <c r="K91" t="s">
        <v>13</v>
      </c>
      <c r="L91" t="s">
        <v>13</v>
      </c>
      <c r="M91" t="s">
        <v>13</v>
      </c>
    </row>
    <row r="92" spans="1:13">
      <c r="A92">
        <v>0</v>
      </c>
      <c r="B92" t="s">
        <v>13</v>
      </c>
      <c r="C92" t="s">
        <v>13</v>
      </c>
      <c r="D92" t="s">
        <v>13</v>
      </c>
      <c r="E92" t="s">
        <v>13</v>
      </c>
      <c r="F92" t="s">
        <v>13</v>
      </c>
      <c r="G92" t="s">
        <v>13</v>
      </c>
      <c r="H92" t="s">
        <v>13</v>
      </c>
      <c r="I92" t="s">
        <v>13</v>
      </c>
      <c r="J92" t="s">
        <v>13</v>
      </c>
      <c r="K92" t="s">
        <v>13</v>
      </c>
      <c r="L92" t="s">
        <v>13</v>
      </c>
      <c r="M92" t="s">
        <v>13</v>
      </c>
    </row>
    <row r="93" spans="1:13">
      <c r="A93">
        <v>0</v>
      </c>
      <c r="B93" t="s">
        <v>13</v>
      </c>
      <c r="C93" t="s">
        <v>13</v>
      </c>
      <c r="D93" t="s">
        <v>13</v>
      </c>
      <c r="E93" t="s">
        <v>13</v>
      </c>
      <c r="F93" t="s">
        <v>13</v>
      </c>
      <c r="G93" t="s">
        <v>13</v>
      </c>
      <c r="H93" t="s">
        <v>13</v>
      </c>
      <c r="I93" t="s">
        <v>13</v>
      </c>
      <c r="J93" t="s">
        <v>13</v>
      </c>
      <c r="K93" t="s">
        <v>13</v>
      </c>
      <c r="L93" t="s">
        <v>13</v>
      </c>
      <c r="M93" t="s">
        <v>13</v>
      </c>
    </row>
    <row r="94" spans="1:13">
      <c r="A94">
        <v>0</v>
      </c>
      <c r="B94" t="s">
        <v>13</v>
      </c>
      <c r="C94" t="s">
        <v>13</v>
      </c>
      <c r="D94" t="s">
        <v>13</v>
      </c>
      <c r="E94" t="s">
        <v>13</v>
      </c>
      <c r="F94" t="s">
        <v>13</v>
      </c>
      <c r="G94" t="s">
        <v>13</v>
      </c>
      <c r="H94" t="s">
        <v>13</v>
      </c>
      <c r="I94" t="s">
        <v>13</v>
      </c>
      <c r="J94" t="s">
        <v>13</v>
      </c>
      <c r="K94" t="s">
        <v>13</v>
      </c>
      <c r="L94" t="s">
        <v>13</v>
      </c>
      <c r="M94" t="s">
        <v>13</v>
      </c>
    </row>
    <row r="95" spans="1:13">
      <c r="A95">
        <v>0</v>
      </c>
      <c r="B95" t="s">
        <v>13</v>
      </c>
      <c r="C95" t="s">
        <v>13</v>
      </c>
      <c r="D95" t="s">
        <v>13</v>
      </c>
      <c r="E95" t="s">
        <v>13</v>
      </c>
      <c r="F95" t="s">
        <v>13</v>
      </c>
      <c r="G95" t="s">
        <v>13</v>
      </c>
      <c r="H95" t="s">
        <v>13</v>
      </c>
      <c r="I95" t="s">
        <v>13</v>
      </c>
      <c r="J95" t="s">
        <v>13</v>
      </c>
      <c r="K95" t="s">
        <v>13</v>
      </c>
      <c r="L95" t="s">
        <v>13</v>
      </c>
      <c r="M95" t="s">
        <v>13</v>
      </c>
    </row>
    <row r="96" spans="1:13">
      <c r="A96">
        <v>0</v>
      </c>
      <c r="B96" t="s">
        <v>13</v>
      </c>
      <c r="C96" t="s">
        <v>13</v>
      </c>
      <c r="D96" t="s">
        <v>13</v>
      </c>
      <c r="E96" t="s">
        <v>13</v>
      </c>
      <c r="F96" t="s">
        <v>13</v>
      </c>
      <c r="G96" t="s">
        <v>13</v>
      </c>
      <c r="H96" t="s">
        <v>13</v>
      </c>
      <c r="I96" t="s">
        <v>13</v>
      </c>
      <c r="J96" t="s">
        <v>13</v>
      </c>
      <c r="K96" t="s">
        <v>13</v>
      </c>
      <c r="L96" t="s">
        <v>13</v>
      </c>
      <c r="M96" t="s">
        <v>13</v>
      </c>
    </row>
    <row r="97" spans="1:13">
      <c r="A97">
        <v>0</v>
      </c>
      <c r="B97" t="s">
        <v>13</v>
      </c>
      <c r="C97" t="s">
        <v>13</v>
      </c>
      <c r="D97" t="s">
        <v>13</v>
      </c>
      <c r="E97" t="s">
        <v>13</v>
      </c>
      <c r="F97" t="s">
        <v>13</v>
      </c>
      <c r="G97" t="s">
        <v>13</v>
      </c>
      <c r="H97" t="s">
        <v>13</v>
      </c>
      <c r="I97" t="s">
        <v>13</v>
      </c>
      <c r="J97" t="s">
        <v>13</v>
      </c>
      <c r="K97" t="s">
        <v>13</v>
      </c>
      <c r="L97" t="s">
        <v>13</v>
      </c>
      <c r="M97" t="s">
        <v>13</v>
      </c>
    </row>
    <row r="98" spans="1:13">
      <c r="A98">
        <v>0</v>
      </c>
      <c r="B98" t="s">
        <v>13</v>
      </c>
      <c r="C98" t="s">
        <v>13</v>
      </c>
      <c r="D98" t="s">
        <v>13</v>
      </c>
      <c r="E98" t="s">
        <v>13</v>
      </c>
      <c r="F98" t="s">
        <v>13</v>
      </c>
      <c r="G98" t="s">
        <v>13</v>
      </c>
      <c r="H98" t="s">
        <v>13</v>
      </c>
      <c r="I98" t="s">
        <v>13</v>
      </c>
      <c r="J98" t="s">
        <v>13</v>
      </c>
      <c r="K98" t="s">
        <v>13</v>
      </c>
      <c r="L98" t="s">
        <v>13</v>
      </c>
      <c r="M98" t="s">
        <v>13</v>
      </c>
    </row>
    <row r="99" spans="1:13">
      <c r="A99">
        <v>0</v>
      </c>
      <c r="B99" t="s">
        <v>13</v>
      </c>
      <c r="C99" t="s">
        <v>13</v>
      </c>
      <c r="D99" t="s">
        <v>13</v>
      </c>
      <c r="E99" t="s">
        <v>13</v>
      </c>
      <c r="F99" t="s">
        <v>13</v>
      </c>
      <c r="G99" t="s">
        <v>13</v>
      </c>
      <c r="H99" t="s">
        <v>13</v>
      </c>
      <c r="I99" t="s">
        <v>13</v>
      </c>
      <c r="J99" t="s">
        <v>13</v>
      </c>
      <c r="K99" t="s">
        <v>13</v>
      </c>
      <c r="L99" t="s">
        <v>13</v>
      </c>
      <c r="M99" t="s">
        <v>13</v>
      </c>
    </row>
    <row r="100" spans="1:13">
      <c r="A100">
        <v>0</v>
      </c>
      <c r="B100" t="s">
        <v>13</v>
      </c>
      <c r="C100" t="s">
        <v>13</v>
      </c>
      <c r="D100" t="s">
        <v>13</v>
      </c>
      <c r="E100" t="s">
        <v>13</v>
      </c>
      <c r="F100" t="s">
        <v>13</v>
      </c>
      <c r="G100" t="s">
        <v>13</v>
      </c>
      <c r="H100" t="s">
        <v>13</v>
      </c>
      <c r="I100" t="s">
        <v>13</v>
      </c>
      <c r="J100" t="s">
        <v>13</v>
      </c>
      <c r="K100" t="s">
        <v>13</v>
      </c>
      <c r="L100" t="s">
        <v>13</v>
      </c>
      <c r="M100" t="s">
        <v>13</v>
      </c>
    </row>
    <row r="101" spans="1:13">
      <c r="A101">
        <v>0</v>
      </c>
      <c r="B101" t="s">
        <v>13</v>
      </c>
      <c r="C101" t="s">
        <v>13</v>
      </c>
      <c r="D101" t="s">
        <v>13</v>
      </c>
      <c r="E101" t="s">
        <v>13</v>
      </c>
      <c r="F101" t="s">
        <v>13</v>
      </c>
      <c r="G101" t="s">
        <v>13</v>
      </c>
      <c r="H101" t="s">
        <v>13</v>
      </c>
      <c r="I101" t="s">
        <v>13</v>
      </c>
      <c r="J101" t="s">
        <v>13</v>
      </c>
      <c r="K101" t="s">
        <v>13</v>
      </c>
      <c r="L101" t="s">
        <v>13</v>
      </c>
      <c r="M101" t="s">
        <v>13</v>
      </c>
    </row>
    <row r="102" spans="1:13">
      <c r="A102">
        <v>0</v>
      </c>
      <c r="B102" t="s">
        <v>13</v>
      </c>
      <c r="C102" t="s">
        <v>13</v>
      </c>
      <c r="D102" t="s">
        <v>13</v>
      </c>
      <c r="E102" t="s">
        <v>13</v>
      </c>
      <c r="F102" t="s">
        <v>13</v>
      </c>
      <c r="G102" t="s">
        <v>13</v>
      </c>
      <c r="H102" t="s">
        <v>13</v>
      </c>
      <c r="I102" t="s">
        <v>13</v>
      </c>
      <c r="J102" t="s">
        <v>13</v>
      </c>
      <c r="K102" t="s">
        <v>13</v>
      </c>
      <c r="L102" t="s">
        <v>13</v>
      </c>
      <c r="M102" t="s">
        <v>13</v>
      </c>
    </row>
    <row r="103" spans="1:13">
      <c r="A103">
        <v>0</v>
      </c>
      <c r="B103" t="s">
        <v>13</v>
      </c>
      <c r="C103" t="s">
        <v>13</v>
      </c>
      <c r="D103" t="s">
        <v>13</v>
      </c>
      <c r="E103" t="s">
        <v>13</v>
      </c>
      <c r="F103" t="s">
        <v>13</v>
      </c>
      <c r="G103" t="s">
        <v>13</v>
      </c>
      <c r="H103" t="s">
        <v>13</v>
      </c>
      <c r="I103" t="s">
        <v>13</v>
      </c>
      <c r="J103" t="s">
        <v>13</v>
      </c>
      <c r="K103" t="s">
        <v>13</v>
      </c>
      <c r="L103" t="s">
        <v>13</v>
      </c>
      <c r="M103" t="s">
        <v>13</v>
      </c>
    </row>
    <row r="104" spans="1:13">
      <c r="A104">
        <v>0</v>
      </c>
      <c r="B104" t="s">
        <v>13</v>
      </c>
      <c r="C104" t="s">
        <v>13</v>
      </c>
      <c r="D104" t="s">
        <v>13</v>
      </c>
      <c r="E104" t="s">
        <v>13</v>
      </c>
      <c r="F104" t="s">
        <v>13</v>
      </c>
      <c r="G104" t="s">
        <v>13</v>
      </c>
      <c r="H104" t="s">
        <v>13</v>
      </c>
      <c r="I104" t="s">
        <v>13</v>
      </c>
      <c r="J104" t="s">
        <v>13</v>
      </c>
      <c r="K104" t="s">
        <v>13</v>
      </c>
      <c r="L104" t="s">
        <v>13</v>
      </c>
      <c r="M104" t="s">
        <v>13</v>
      </c>
    </row>
    <row r="105" spans="1:13">
      <c r="A105">
        <v>0</v>
      </c>
      <c r="B105" t="s">
        <v>13</v>
      </c>
      <c r="C105" t="s">
        <v>13</v>
      </c>
      <c r="D105" t="s">
        <v>13</v>
      </c>
      <c r="E105" t="s">
        <v>13</v>
      </c>
      <c r="F105" t="s">
        <v>13</v>
      </c>
      <c r="G105" t="s">
        <v>13</v>
      </c>
      <c r="H105" t="s">
        <v>13</v>
      </c>
      <c r="I105" t="s">
        <v>13</v>
      </c>
      <c r="J105" t="s">
        <v>13</v>
      </c>
      <c r="K105" t="s">
        <v>13</v>
      </c>
      <c r="L105" t="s">
        <v>13</v>
      </c>
      <c r="M105" t="s">
        <v>13</v>
      </c>
    </row>
    <row r="106" spans="1:13">
      <c r="A106">
        <v>0</v>
      </c>
      <c r="B106" t="s">
        <v>13</v>
      </c>
      <c r="C106" t="s">
        <v>13</v>
      </c>
      <c r="D106" t="s">
        <v>13</v>
      </c>
      <c r="E106" t="s">
        <v>13</v>
      </c>
      <c r="F106" t="s">
        <v>13</v>
      </c>
      <c r="G106" t="s">
        <v>13</v>
      </c>
      <c r="H106" t="s">
        <v>13</v>
      </c>
      <c r="I106" t="s">
        <v>13</v>
      </c>
      <c r="J106" t="s">
        <v>13</v>
      </c>
      <c r="K106" t="s">
        <v>13</v>
      </c>
      <c r="L106" t="s">
        <v>13</v>
      </c>
      <c r="M106" t="s">
        <v>13</v>
      </c>
    </row>
    <row r="107" spans="1:13">
      <c r="A107">
        <v>0</v>
      </c>
      <c r="B107" t="s">
        <v>13</v>
      </c>
      <c r="C107" t="s">
        <v>13</v>
      </c>
      <c r="D107" t="s">
        <v>13</v>
      </c>
      <c r="E107" t="s">
        <v>13</v>
      </c>
      <c r="F107" t="s">
        <v>13</v>
      </c>
      <c r="G107" t="s">
        <v>13</v>
      </c>
      <c r="H107" t="s">
        <v>13</v>
      </c>
      <c r="I107" t="s">
        <v>13</v>
      </c>
      <c r="J107" t="s">
        <v>13</v>
      </c>
      <c r="K107" t="s">
        <v>13</v>
      </c>
      <c r="L107" t="s">
        <v>13</v>
      </c>
      <c r="M107" t="s">
        <v>13</v>
      </c>
    </row>
    <row r="108" spans="1:13">
      <c r="A108">
        <v>0</v>
      </c>
      <c r="B108" t="s">
        <v>13</v>
      </c>
      <c r="C108" t="s">
        <v>13</v>
      </c>
      <c r="D108" t="s">
        <v>13</v>
      </c>
      <c r="E108" t="s">
        <v>13</v>
      </c>
      <c r="F108" t="s">
        <v>13</v>
      </c>
      <c r="G108" t="s">
        <v>13</v>
      </c>
      <c r="H108" t="s">
        <v>13</v>
      </c>
      <c r="I108" t="s">
        <v>13</v>
      </c>
      <c r="J108" t="s">
        <v>13</v>
      </c>
      <c r="K108" t="s">
        <v>13</v>
      </c>
      <c r="L108" t="s">
        <v>13</v>
      </c>
      <c r="M108" t="s">
        <v>13</v>
      </c>
    </row>
    <row r="109" spans="1:13">
      <c r="A109">
        <v>0</v>
      </c>
      <c r="B109" t="s">
        <v>13</v>
      </c>
      <c r="C109" t="s">
        <v>13</v>
      </c>
      <c r="D109" t="s">
        <v>13</v>
      </c>
      <c r="E109" t="s">
        <v>13</v>
      </c>
      <c r="F109" t="s">
        <v>13</v>
      </c>
      <c r="G109" t="s">
        <v>13</v>
      </c>
      <c r="H109" t="s">
        <v>13</v>
      </c>
      <c r="I109" t="s">
        <v>13</v>
      </c>
      <c r="J109" t="s">
        <v>13</v>
      </c>
      <c r="K109" t="s">
        <v>13</v>
      </c>
      <c r="L109" t="s">
        <v>13</v>
      </c>
      <c r="M109" t="s">
        <v>13</v>
      </c>
    </row>
    <row r="110" spans="1:13">
      <c r="A110">
        <v>0</v>
      </c>
      <c r="B110" t="s">
        <v>13</v>
      </c>
      <c r="C110" t="s">
        <v>13</v>
      </c>
      <c r="D110" t="s">
        <v>13</v>
      </c>
      <c r="E110" t="s">
        <v>13</v>
      </c>
      <c r="F110" t="s">
        <v>13</v>
      </c>
      <c r="G110" t="s">
        <v>13</v>
      </c>
      <c r="H110" t="s">
        <v>13</v>
      </c>
      <c r="I110" t="s">
        <v>13</v>
      </c>
      <c r="J110" t="s">
        <v>13</v>
      </c>
      <c r="K110" t="s">
        <v>13</v>
      </c>
      <c r="L110" t="s">
        <v>13</v>
      </c>
      <c r="M110" t="s">
        <v>13</v>
      </c>
    </row>
    <row r="111" spans="1:13">
      <c r="A111">
        <v>0</v>
      </c>
      <c r="B111" t="s">
        <v>13</v>
      </c>
      <c r="C111" t="s">
        <v>13</v>
      </c>
      <c r="D111" t="s">
        <v>13</v>
      </c>
      <c r="E111" t="s">
        <v>13</v>
      </c>
      <c r="F111" t="s">
        <v>13</v>
      </c>
      <c r="G111" t="s">
        <v>13</v>
      </c>
      <c r="H111" t="s">
        <v>13</v>
      </c>
      <c r="I111" t="s">
        <v>13</v>
      </c>
      <c r="J111" t="s">
        <v>13</v>
      </c>
      <c r="K111" t="s">
        <v>13</v>
      </c>
      <c r="L111" t="s">
        <v>13</v>
      </c>
      <c r="M111" t="s">
        <v>13</v>
      </c>
    </row>
    <row r="112" spans="1:13">
      <c r="A112">
        <v>0</v>
      </c>
      <c r="B112" t="s">
        <v>13</v>
      </c>
      <c r="C112" t="s">
        <v>13</v>
      </c>
      <c r="D112" t="s">
        <v>13</v>
      </c>
      <c r="E112" t="s">
        <v>13</v>
      </c>
      <c r="F112" t="s">
        <v>13</v>
      </c>
      <c r="G112" t="s">
        <v>13</v>
      </c>
      <c r="H112" t="s">
        <v>13</v>
      </c>
      <c r="I112" t="s">
        <v>13</v>
      </c>
      <c r="J112" t="s">
        <v>13</v>
      </c>
      <c r="K112" t="s">
        <v>13</v>
      </c>
      <c r="L112" t="s">
        <v>13</v>
      </c>
      <c r="M112" t="s">
        <v>13</v>
      </c>
    </row>
    <row r="113" spans="1:13">
      <c r="A113">
        <v>0</v>
      </c>
      <c r="B113" t="s">
        <v>13</v>
      </c>
      <c r="C113" t="s">
        <v>13</v>
      </c>
      <c r="D113" t="s">
        <v>13</v>
      </c>
      <c r="E113" t="s">
        <v>13</v>
      </c>
      <c r="F113" t="s">
        <v>13</v>
      </c>
      <c r="G113" t="s">
        <v>13</v>
      </c>
      <c r="H113" t="s">
        <v>13</v>
      </c>
      <c r="I113" t="s">
        <v>13</v>
      </c>
      <c r="J113" t="s">
        <v>13</v>
      </c>
      <c r="K113" t="s">
        <v>13</v>
      </c>
      <c r="L113" t="s">
        <v>13</v>
      </c>
      <c r="M113" t="s">
        <v>13</v>
      </c>
    </row>
    <row r="114" spans="1:13">
      <c r="A114">
        <v>0</v>
      </c>
      <c r="B114" t="s">
        <v>13</v>
      </c>
      <c r="C114" t="s">
        <v>13</v>
      </c>
      <c r="D114" t="s">
        <v>13</v>
      </c>
      <c r="E114" t="s">
        <v>13</v>
      </c>
      <c r="F114" t="s">
        <v>13</v>
      </c>
      <c r="G114" t="s">
        <v>13</v>
      </c>
      <c r="H114" t="s">
        <v>13</v>
      </c>
      <c r="I114" t="s">
        <v>13</v>
      </c>
      <c r="J114" t="s">
        <v>13</v>
      </c>
      <c r="K114" t="s">
        <v>13</v>
      </c>
      <c r="L114" t="s">
        <v>13</v>
      </c>
      <c r="M114" t="s">
        <v>13</v>
      </c>
    </row>
    <row r="115" spans="1:13">
      <c r="A115">
        <v>0</v>
      </c>
      <c r="B115" t="s">
        <v>13</v>
      </c>
      <c r="C115" t="s">
        <v>13</v>
      </c>
      <c r="D115" t="s">
        <v>13</v>
      </c>
      <c r="E115" t="s">
        <v>13</v>
      </c>
      <c r="F115" t="s">
        <v>13</v>
      </c>
      <c r="G115" t="s">
        <v>13</v>
      </c>
      <c r="H115" t="s">
        <v>13</v>
      </c>
      <c r="I115" t="s">
        <v>13</v>
      </c>
      <c r="J115" t="s">
        <v>13</v>
      </c>
      <c r="K115" t="s">
        <v>13</v>
      </c>
      <c r="L115" t="s">
        <v>13</v>
      </c>
      <c r="M115" t="s">
        <v>13</v>
      </c>
    </row>
    <row r="116" spans="1:13">
      <c r="A116">
        <v>0</v>
      </c>
      <c r="B116" t="s">
        <v>13</v>
      </c>
      <c r="C116" t="s">
        <v>13</v>
      </c>
      <c r="D116" t="s">
        <v>13</v>
      </c>
      <c r="E116" t="s">
        <v>13</v>
      </c>
      <c r="F116" t="s">
        <v>13</v>
      </c>
      <c r="G116" t="s">
        <v>13</v>
      </c>
      <c r="H116" t="s">
        <v>13</v>
      </c>
      <c r="I116" t="s">
        <v>13</v>
      </c>
      <c r="J116" t="s">
        <v>13</v>
      </c>
      <c r="K116" t="s">
        <v>13</v>
      </c>
      <c r="L116" t="s">
        <v>13</v>
      </c>
      <c r="M116" t="s">
        <v>13</v>
      </c>
    </row>
    <row r="117" spans="1:13">
      <c r="A117">
        <v>0</v>
      </c>
      <c r="B117" t="s">
        <v>13</v>
      </c>
      <c r="C117" t="s">
        <v>13</v>
      </c>
      <c r="D117" t="s">
        <v>13</v>
      </c>
      <c r="E117" t="s">
        <v>13</v>
      </c>
      <c r="F117" t="s">
        <v>13</v>
      </c>
      <c r="G117" t="s">
        <v>13</v>
      </c>
      <c r="H117" t="s">
        <v>13</v>
      </c>
      <c r="I117" t="s">
        <v>13</v>
      </c>
      <c r="J117" t="s">
        <v>13</v>
      </c>
      <c r="K117" t="s">
        <v>13</v>
      </c>
      <c r="L117" t="s">
        <v>13</v>
      </c>
      <c r="M117" t="s">
        <v>13</v>
      </c>
    </row>
    <row r="118" spans="1:13">
      <c r="A118">
        <v>0</v>
      </c>
      <c r="B118" t="s">
        <v>13</v>
      </c>
      <c r="C118" t="s">
        <v>13</v>
      </c>
      <c r="D118" t="s">
        <v>13</v>
      </c>
      <c r="E118" t="s">
        <v>13</v>
      </c>
      <c r="F118" t="s">
        <v>13</v>
      </c>
      <c r="G118" t="s">
        <v>13</v>
      </c>
      <c r="H118" t="s">
        <v>13</v>
      </c>
      <c r="I118" t="s">
        <v>13</v>
      </c>
      <c r="J118" t="s">
        <v>13</v>
      </c>
      <c r="K118" t="s">
        <v>13</v>
      </c>
      <c r="L118" t="s">
        <v>13</v>
      </c>
      <c r="M118" t="s">
        <v>13</v>
      </c>
    </row>
    <row r="119" spans="1:13">
      <c r="A119">
        <v>0</v>
      </c>
      <c r="B119" t="s">
        <v>13</v>
      </c>
      <c r="C119" t="s">
        <v>13</v>
      </c>
      <c r="D119" t="s">
        <v>13</v>
      </c>
      <c r="E119" t="s">
        <v>13</v>
      </c>
      <c r="F119" t="s">
        <v>13</v>
      </c>
      <c r="G119" t="s">
        <v>13</v>
      </c>
      <c r="H119" t="s">
        <v>13</v>
      </c>
      <c r="I119" t="s">
        <v>13</v>
      </c>
      <c r="J119" t="s">
        <v>13</v>
      </c>
      <c r="K119" t="s">
        <v>13</v>
      </c>
      <c r="L119" t="s">
        <v>13</v>
      </c>
      <c r="M119" t="s">
        <v>13</v>
      </c>
    </row>
    <row r="120" spans="1:13">
      <c r="A120">
        <v>0</v>
      </c>
      <c r="B120" t="s">
        <v>13</v>
      </c>
      <c r="C120" t="s">
        <v>13</v>
      </c>
      <c r="D120" t="s">
        <v>13</v>
      </c>
      <c r="E120" t="s">
        <v>13</v>
      </c>
      <c r="F120" t="s">
        <v>13</v>
      </c>
      <c r="G120" t="s">
        <v>13</v>
      </c>
      <c r="H120" t="s">
        <v>13</v>
      </c>
      <c r="I120" t="s">
        <v>13</v>
      </c>
      <c r="J120" t="s">
        <v>13</v>
      </c>
      <c r="K120" t="s">
        <v>13</v>
      </c>
      <c r="L120" t="s">
        <v>13</v>
      </c>
      <c r="M120" t="s">
        <v>13</v>
      </c>
    </row>
    <row r="121" spans="1:13">
      <c r="A121">
        <v>0</v>
      </c>
      <c r="B121" t="s">
        <v>13</v>
      </c>
      <c r="C121" t="s">
        <v>13</v>
      </c>
      <c r="D121" t="s">
        <v>13</v>
      </c>
      <c r="E121" t="s">
        <v>13</v>
      </c>
      <c r="F121" t="s">
        <v>13</v>
      </c>
      <c r="G121" t="s">
        <v>13</v>
      </c>
      <c r="H121" t="s">
        <v>13</v>
      </c>
      <c r="I121" t="s">
        <v>13</v>
      </c>
      <c r="J121" t="s">
        <v>13</v>
      </c>
      <c r="K121" t="s">
        <v>13</v>
      </c>
      <c r="L121" t="s">
        <v>13</v>
      </c>
      <c r="M121" t="s">
        <v>13</v>
      </c>
    </row>
    <row r="122" spans="1:13">
      <c r="A122">
        <v>0</v>
      </c>
      <c r="B122" t="s">
        <v>13</v>
      </c>
      <c r="C122" t="s">
        <v>13</v>
      </c>
      <c r="D122" t="s">
        <v>13</v>
      </c>
      <c r="E122" t="s">
        <v>13</v>
      </c>
      <c r="F122" t="s">
        <v>13</v>
      </c>
      <c r="G122" t="s">
        <v>13</v>
      </c>
      <c r="H122" t="s">
        <v>13</v>
      </c>
      <c r="I122" t="s">
        <v>13</v>
      </c>
      <c r="J122" t="s">
        <v>13</v>
      </c>
      <c r="K122" t="s">
        <v>13</v>
      </c>
      <c r="L122" t="s">
        <v>13</v>
      </c>
      <c r="M122" t="s">
        <v>13</v>
      </c>
    </row>
    <row r="123" spans="1:13">
      <c r="A123">
        <v>0</v>
      </c>
      <c r="B123" t="s">
        <v>13</v>
      </c>
      <c r="C123" t="s">
        <v>13</v>
      </c>
      <c r="D123" t="s">
        <v>13</v>
      </c>
      <c r="E123" t="s">
        <v>13</v>
      </c>
      <c r="F123" t="s">
        <v>13</v>
      </c>
      <c r="G123" t="s">
        <v>13</v>
      </c>
      <c r="H123" t="s">
        <v>13</v>
      </c>
      <c r="I123" t="s">
        <v>13</v>
      </c>
      <c r="J123" t="s">
        <v>13</v>
      </c>
      <c r="K123" t="s">
        <v>13</v>
      </c>
      <c r="L123" t="s">
        <v>13</v>
      </c>
      <c r="M123" t="s">
        <v>13</v>
      </c>
    </row>
    <row r="124" spans="1:13">
      <c r="A124">
        <v>0</v>
      </c>
      <c r="B124" t="s">
        <v>13</v>
      </c>
      <c r="C124" t="s">
        <v>13</v>
      </c>
      <c r="D124" t="s">
        <v>13</v>
      </c>
      <c r="E124" t="s">
        <v>13</v>
      </c>
      <c r="F124" t="s">
        <v>13</v>
      </c>
      <c r="G124" t="s">
        <v>13</v>
      </c>
      <c r="H124" t="s">
        <v>13</v>
      </c>
      <c r="I124" t="s">
        <v>13</v>
      </c>
      <c r="J124" t="s">
        <v>13</v>
      </c>
      <c r="K124" t="s">
        <v>13</v>
      </c>
      <c r="L124" t="s">
        <v>13</v>
      </c>
      <c r="M124" t="s">
        <v>13</v>
      </c>
    </row>
    <row r="125" spans="1:13">
      <c r="A125">
        <v>0</v>
      </c>
      <c r="B125" t="s">
        <v>13</v>
      </c>
      <c r="C125" t="s">
        <v>13</v>
      </c>
      <c r="D125" t="s">
        <v>13</v>
      </c>
      <c r="E125" t="s">
        <v>13</v>
      </c>
      <c r="F125" t="s">
        <v>13</v>
      </c>
      <c r="G125" t="s">
        <v>13</v>
      </c>
      <c r="H125" t="s">
        <v>13</v>
      </c>
      <c r="I125" t="s">
        <v>13</v>
      </c>
      <c r="J125" t="s">
        <v>13</v>
      </c>
      <c r="K125" t="s">
        <v>13</v>
      </c>
      <c r="L125" t="s">
        <v>13</v>
      </c>
      <c r="M125" t="s">
        <v>13</v>
      </c>
    </row>
    <row r="126" spans="1:13">
      <c r="A126">
        <v>0</v>
      </c>
      <c r="B126" t="s">
        <v>13</v>
      </c>
      <c r="C126" t="s">
        <v>13</v>
      </c>
      <c r="D126" t="s">
        <v>13</v>
      </c>
      <c r="E126" t="s">
        <v>13</v>
      </c>
      <c r="F126" t="s">
        <v>13</v>
      </c>
      <c r="G126" t="s">
        <v>13</v>
      </c>
      <c r="H126" t="s">
        <v>13</v>
      </c>
      <c r="I126" t="s">
        <v>13</v>
      </c>
      <c r="J126" t="s">
        <v>13</v>
      </c>
      <c r="K126" t="s">
        <v>13</v>
      </c>
      <c r="L126" t="s">
        <v>13</v>
      </c>
      <c r="M126" t="s">
        <v>13</v>
      </c>
    </row>
    <row r="127" spans="1:13">
      <c r="A127">
        <v>0</v>
      </c>
      <c r="B127" t="s">
        <v>13</v>
      </c>
      <c r="C127" t="s">
        <v>13</v>
      </c>
      <c r="D127" t="s">
        <v>13</v>
      </c>
      <c r="E127" t="s">
        <v>13</v>
      </c>
      <c r="F127" t="s">
        <v>13</v>
      </c>
      <c r="G127" t="s">
        <v>13</v>
      </c>
      <c r="H127" t="s">
        <v>13</v>
      </c>
      <c r="I127" t="s">
        <v>13</v>
      </c>
      <c r="J127" t="s">
        <v>13</v>
      </c>
      <c r="K127" t="s">
        <v>13</v>
      </c>
      <c r="L127" t="s">
        <v>13</v>
      </c>
      <c r="M127" t="s">
        <v>13</v>
      </c>
    </row>
    <row r="128" spans="1:13">
      <c r="A128">
        <v>0</v>
      </c>
      <c r="B128" t="s">
        <v>13</v>
      </c>
      <c r="C128" t="s">
        <v>13</v>
      </c>
      <c r="D128" t="s">
        <v>13</v>
      </c>
      <c r="E128" t="s">
        <v>13</v>
      </c>
      <c r="F128" t="s">
        <v>13</v>
      </c>
      <c r="G128" t="s">
        <v>13</v>
      </c>
      <c r="H128" t="s">
        <v>13</v>
      </c>
      <c r="I128" t="s">
        <v>13</v>
      </c>
      <c r="J128" t="s">
        <v>13</v>
      </c>
      <c r="K128" t="s">
        <v>13</v>
      </c>
      <c r="L128" t="s">
        <v>13</v>
      </c>
      <c r="M128" t="s">
        <v>13</v>
      </c>
    </row>
    <row r="129" spans="1:13">
      <c r="A129">
        <v>0</v>
      </c>
      <c r="B129" t="s">
        <v>13</v>
      </c>
      <c r="C129" t="s">
        <v>13</v>
      </c>
      <c r="D129" t="s">
        <v>13</v>
      </c>
      <c r="E129" t="s">
        <v>13</v>
      </c>
      <c r="F129" t="s">
        <v>13</v>
      </c>
      <c r="G129" t="s">
        <v>13</v>
      </c>
      <c r="H129" t="s">
        <v>13</v>
      </c>
      <c r="I129" t="s">
        <v>13</v>
      </c>
      <c r="J129" t="s">
        <v>13</v>
      </c>
      <c r="K129" t="s">
        <v>13</v>
      </c>
      <c r="L129" t="s">
        <v>13</v>
      </c>
      <c r="M129" t="s">
        <v>13</v>
      </c>
    </row>
    <row r="130" spans="1:13">
      <c r="A130">
        <v>0</v>
      </c>
      <c r="B130" t="s">
        <v>13</v>
      </c>
      <c r="C130" t="s">
        <v>13</v>
      </c>
      <c r="D130" t="s">
        <v>13</v>
      </c>
      <c r="E130" t="s">
        <v>13</v>
      </c>
      <c r="F130" t="s">
        <v>13</v>
      </c>
      <c r="G130" t="s">
        <v>13</v>
      </c>
      <c r="H130" t="s">
        <v>13</v>
      </c>
      <c r="I130" t="s">
        <v>13</v>
      </c>
      <c r="J130" t="s">
        <v>13</v>
      </c>
      <c r="K130" t="s">
        <v>13</v>
      </c>
      <c r="L130" t="s">
        <v>13</v>
      </c>
      <c r="M130" t="s">
        <v>13</v>
      </c>
    </row>
    <row r="131" spans="1:13">
      <c r="A131">
        <v>0</v>
      </c>
      <c r="B131" t="s">
        <v>13</v>
      </c>
      <c r="C131" t="s">
        <v>13</v>
      </c>
      <c r="D131" t="s">
        <v>13</v>
      </c>
      <c r="E131" t="s">
        <v>13</v>
      </c>
      <c r="F131" t="s">
        <v>13</v>
      </c>
      <c r="G131" t="s">
        <v>13</v>
      </c>
      <c r="H131" t="s">
        <v>13</v>
      </c>
      <c r="I131" t="s">
        <v>13</v>
      </c>
      <c r="J131" t="s">
        <v>13</v>
      </c>
      <c r="K131" t="s">
        <v>13</v>
      </c>
      <c r="L131" t="s">
        <v>13</v>
      </c>
      <c r="M131" t="s">
        <v>13</v>
      </c>
    </row>
    <row r="132" spans="1:13">
      <c r="A132">
        <v>0</v>
      </c>
      <c r="B132" t="s">
        <v>13</v>
      </c>
      <c r="C132" t="s">
        <v>13</v>
      </c>
      <c r="D132" t="s">
        <v>13</v>
      </c>
      <c r="E132" t="s">
        <v>13</v>
      </c>
      <c r="F132" t="s">
        <v>13</v>
      </c>
      <c r="G132" t="s">
        <v>13</v>
      </c>
      <c r="H132" t="s">
        <v>13</v>
      </c>
      <c r="I132" t="s">
        <v>13</v>
      </c>
      <c r="J132" t="s">
        <v>13</v>
      </c>
      <c r="K132" t="s">
        <v>13</v>
      </c>
      <c r="L132" t="s">
        <v>13</v>
      </c>
      <c r="M132" t="s">
        <v>13</v>
      </c>
    </row>
    <row r="133" spans="1:13">
      <c r="A133">
        <v>0</v>
      </c>
      <c r="B133" t="s">
        <v>13</v>
      </c>
      <c r="C133" t="s">
        <v>13</v>
      </c>
      <c r="D133" t="s">
        <v>13</v>
      </c>
      <c r="E133" t="s">
        <v>13</v>
      </c>
      <c r="F133" t="s">
        <v>13</v>
      </c>
      <c r="G133" t="s">
        <v>13</v>
      </c>
      <c r="H133" t="s">
        <v>13</v>
      </c>
      <c r="I133" t="s">
        <v>13</v>
      </c>
      <c r="J133" t="s">
        <v>13</v>
      </c>
      <c r="K133" t="s">
        <v>13</v>
      </c>
      <c r="L133" t="s">
        <v>13</v>
      </c>
      <c r="M133" t="s">
        <v>13</v>
      </c>
    </row>
    <row r="134" spans="1:13">
      <c r="A134">
        <v>0</v>
      </c>
      <c r="B134" t="s">
        <v>13</v>
      </c>
      <c r="C134" t="s">
        <v>13</v>
      </c>
      <c r="D134" t="s">
        <v>13</v>
      </c>
      <c r="E134" t="s">
        <v>13</v>
      </c>
      <c r="F134" t="s">
        <v>13</v>
      </c>
      <c r="G134" t="s">
        <v>13</v>
      </c>
      <c r="H134" t="s">
        <v>13</v>
      </c>
      <c r="I134" t="s">
        <v>13</v>
      </c>
      <c r="J134" t="s">
        <v>13</v>
      </c>
      <c r="K134" t="s">
        <v>13</v>
      </c>
      <c r="L134" t="s">
        <v>13</v>
      </c>
      <c r="M134" t="s">
        <v>13</v>
      </c>
    </row>
    <row r="135" spans="1:13">
      <c r="A135">
        <v>0</v>
      </c>
      <c r="B135" t="s">
        <v>13</v>
      </c>
      <c r="C135" t="s">
        <v>13</v>
      </c>
      <c r="D135" t="s">
        <v>13</v>
      </c>
      <c r="E135" t="s">
        <v>13</v>
      </c>
      <c r="F135" t="s">
        <v>13</v>
      </c>
      <c r="G135" t="s">
        <v>13</v>
      </c>
      <c r="H135" t="s">
        <v>13</v>
      </c>
      <c r="I135" t="s">
        <v>13</v>
      </c>
      <c r="J135" t="s">
        <v>13</v>
      </c>
      <c r="K135" t="s">
        <v>13</v>
      </c>
      <c r="L135" t="s">
        <v>13</v>
      </c>
      <c r="M135" t="s">
        <v>13</v>
      </c>
    </row>
    <row r="136" spans="1:13">
      <c r="A136">
        <v>0</v>
      </c>
      <c r="B136" t="s">
        <v>13</v>
      </c>
      <c r="C136" t="s">
        <v>13</v>
      </c>
      <c r="D136" t="s">
        <v>13</v>
      </c>
      <c r="E136" t="s">
        <v>13</v>
      </c>
      <c r="F136" t="s">
        <v>13</v>
      </c>
      <c r="G136" t="s">
        <v>13</v>
      </c>
      <c r="H136" t="s">
        <v>13</v>
      </c>
      <c r="I136" t="s">
        <v>13</v>
      </c>
      <c r="J136" t="s">
        <v>13</v>
      </c>
      <c r="K136" t="s">
        <v>13</v>
      </c>
      <c r="L136" t="s">
        <v>13</v>
      </c>
      <c r="M136" t="s">
        <v>13</v>
      </c>
    </row>
    <row r="137" spans="1:13">
      <c r="A137">
        <v>0</v>
      </c>
      <c r="B137" t="s">
        <v>13</v>
      </c>
      <c r="C137" t="s">
        <v>13</v>
      </c>
      <c r="D137" t="s">
        <v>13</v>
      </c>
      <c r="E137" t="s">
        <v>13</v>
      </c>
      <c r="F137" t="s">
        <v>13</v>
      </c>
      <c r="G137" t="s">
        <v>13</v>
      </c>
      <c r="H137" t="s">
        <v>13</v>
      </c>
      <c r="I137" t="s">
        <v>13</v>
      </c>
      <c r="J137" t="s">
        <v>13</v>
      </c>
      <c r="K137" t="s">
        <v>13</v>
      </c>
      <c r="L137" t="s">
        <v>13</v>
      </c>
      <c r="M137" t="s">
        <v>13</v>
      </c>
    </row>
    <row r="138" spans="1:13">
      <c r="A138">
        <v>0</v>
      </c>
      <c r="B138" t="s">
        <v>13</v>
      </c>
      <c r="C138" t="s">
        <v>13</v>
      </c>
      <c r="D138" t="s">
        <v>13</v>
      </c>
      <c r="E138" t="s">
        <v>13</v>
      </c>
      <c r="F138" t="s">
        <v>13</v>
      </c>
      <c r="G138" t="s">
        <v>13</v>
      </c>
      <c r="H138" t="s">
        <v>13</v>
      </c>
      <c r="I138" t="s">
        <v>13</v>
      </c>
      <c r="J138" t="s">
        <v>13</v>
      </c>
      <c r="K138" t="s">
        <v>13</v>
      </c>
      <c r="L138" t="s">
        <v>13</v>
      </c>
      <c r="M138" t="s">
        <v>13</v>
      </c>
    </row>
    <row r="139" spans="1:13">
      <c r="A139">
        <v>0</v>
      </c>
      <c r="B139" t="s">
        <v>13</v>
      </c>
      <c r="C139" t="s">
        <v>13</v>
      </c>
      <c r="D139" t="s">
        <v>13</v>
      </c>
      <c r="E139" t="s">
        <v>13</v>
      </c>
      <c r="F139" t="s">
        <v>13</v>
      </c>
      <c r="G139" t="s">
        <v>13</v>
      </c>
      <c r="H139" t="s">
        <v>13</v>
      </c>
      <c r="I139" t="s">
        <v>13</v>
      </c>
      <c r="J139" t="s">
        <v>13</v>
      </c>
      <c r="K139" t="s">
        <v>13</v>
      </c>
      <c r="L139" t="s">
        <v>13</v>
      </c>
      <c r="M139" t="s">
        <v>13</v>
      </c>
    </row>
    <row r="140" spans="1:13">
      <c r="A140">
        <v>0</v>
      </c>
      <c r="B140" t="s">
        <v>13</v>
      </c>
      <c r="C140" t="s">
        <v>13</v>
      </c>
      <c r="D140" t="s">
        <v>13</v>
      </c>
      <c r="E140" t="s">
        <v>13</v>
      </c>
      <c r="F140" t="s">
        <v>13</v>
      </c>
      <c r="G140" t="s">
        <v>13</v>
      </c>
      <c r="H140" t="s">
        <v>13</v>
      </c>
      <c r="I140" t="s">
        <v>13</v>
      </c>
      <c r="J140" t="s">
        <v>13</v>
      </c>
      <c r="K140" t="s">
        <v>13</v>
      </c>
      <c r="L140" t="s">
        <v>13</v>
      </c>
      <c r="M140" t="s">
        <v>13</v>
      </c>
    </row>
    <row r="141" spans="1:13">
      <c r="A141">
        <v>0</v>
      </c>
      <c r="B141" t="s">
        <v>13</v>
      </c>
      <c r="C141" t="s">
        <v>13</v>
      </c>
      <c r="D141" t="s">
        <v>13</v>
      </c>
      <c r="E141" t="s">
        <v>13</v>
      </c>
      <c r="F141" t="s">
        <v>13</v>
      </c>
      <c r="G141" t="s">
        <v>13</v>
      </c>
      <c r="H141" t="s">
        <v>13</v>
      </c>
      <c r="I141" t="s">
        <v>13</v>
      </c>
      <c r="J141" t="s">
        <v>13</v>
      </c>
      <c r="K141" t="s">
        <v>13</v>
      </c>
      <c r="L141" t="s">
        <v>13</v>
      </c>
      <c r="M141" t="s">
        <v>13</v>
      </c>
    </row>
    <row r="142" spans="1:13">
      <c r="A142">
        <v>0</v>
      </c>
      <c r="B142" t="s">
        <v>13</v>
      </c>
      <c r="C142" t="s">
        <v>13</v>
      </c>
      <c r="D142" t="s">
        <v>13</v>
      </c>
      <c r="E142" t="s">
        <v>13</v>
      </c>
      <c r="F142" t="s">
        <v>13</v>
      </c>
      <c r="G142" t="s">
        <v>13</v>
      </c>
      <c r="H142" t="s">
        <v>13</v>
      </c>
      <c r="I142" t="s">
        <v>13</v>
      </c>
      <c r="J142" t="s">
        <v>13</v>
      </c>
      <c r="K142" t="s">
        <v>13</v>
      </c>
      <c r="L142" t="s">
        <v>13</v>
      </c>
      <c r="M142" t="s">
        <v>13</v>
      </c>
    </row>
    <row r="143" spans="1:13">
      <c r="A143">
        <v>0</v>
      </c>
      <c r="B143" t="s">
        <v>13</v>
      </c>
      <c r="C143" t="s">
        <v>13</v>
      </c>
      <c r="D143" t="s">
        <v>13</v>
      </c>
      <c r="E143" t="s">
        <v>13</v>
      </c>
      <c r="F143" t="s">
        <v>13</v>
      </c>
      <c r="G143" t="s">
        <v>13</v>
      </c>
      <c r="H143" t="s">
        <v>13</v>
      </c>
      <c r="I143" t="s">
        <v>13</v>
      </c>
      <c r="J143" t="s">
        <v>13</v>
      </c>
      <c r="K143" t="s">
        <v>13</v>
      </c>
      <c r="L143" t="s">
        <v>13</v>
      </c>
      <c r="M143" t="s">
        <v>13</v>
      </c>
    </row>
    <row r="144" spans="1:13">
      <c r="A144">
        <v>0</v>
      </c>
      <c r="B144" t="s">
        <v>13</v>
      </c>
      <c r="C144" t="s">
        <v>13</v>
      </c>
      <c r="D144" t="s">
        <v>13</v>
      </c>
      <c r="E144" t="s">
        <v>13</v>
      </c>
      <c r="F144" t="s">
        <v>13</v>
      </c>
      <c r="G144" t="s">
        <v>13</v>
      </c>
      <c r="H144" t="s">
        <v>13</v>
      </c>
      <c r="I144" t="s">
        <v>13</v>
      </c>
      <c r="J144" t="s">
        <v>13</v>
      </c>
      <c r="K144" t="s">
        <v>13</v>
      </c>
      <c r="L144" t="s">
        <v>13</v>
      </c>
      <c r="M144" t="s">
        <v>13</v>
      </c>
    </row>
    <row r="145" spans="1:13">
      <c r="A145">
        <v>0</v>
      </c>
      <c r="B145" t="s">
        <v>13</v>
      </c>
      <c r="C145" t="s">
        <v>13</v>
      </c>
      <c r="D145" t="s">
        <v>13</v>
      </c>
      <c r="E145" t="s">
        <v>13</v>
      </c>
      <c r="F145" t="s">
        <v>13</v>
      </c>
      <c r="G145" t="s">
        <v>13</v>
      </c>
      <c r="H145" t="s">
        <v>13</v>
      </c>
      <c r="I145" t="s">
        <v>13</v>
      </c>
      <c r="J145" t="s">
        <v>13</v>
      </c>
      <c r="K145" t="s">
        <v>13</v>
      </c>
      <c r="L145" t="s">
        <v>13</v>
      </c>
      <c r="M145" t="s">
        <v>13</v>
      </c>
    </row>
    <row r="146" spans="1:13">
      <c r="A146">
        <v>0</v>
      </c>
      <c r="B146" t="s">
        <v>13</v>
      </c>
      <c r="C146" t="s">
        <v>13</v>
      </c>
      <c r="D146" t="s">
        <v>13</v>
      </c>
      <c r="E146" t="s">
        <v>13</v>
      </c>
      <c r="F146" t="s">
        <v>13</v>
      </c>
      <c r="G146" t="s">
        <v>13</v>
      </c>
      <c r="H146" t="s">
        <v>13</v>
      </c>
      <c r="I146" t="s">
        <v>13</v>
      </c>
      <c r="J146" t="s">
        <v>13</v>
      </c>
      <c r="K146" t="s">
        <v>13</v>
      </c>
      <c r="L146" t="s">
        <v>13</v>
      </c>
      <c r="M146" t="s">
        <v>13</v>
      </c>
    </row>
    <row r="147" spans="1:13">
      <c r="A147">
        <v>0</v>
      </c>
      <c r="B147" t="s">
        <v>13</v>
      </c>
      <c r="C147" t="s">
        <v>13</v>
      </c>
      <c r="D147" t="s">
        <v>13</v>
      </c>
      <c r="E147" t="s">
        <v>13</v>
      </c>
      <c r="F147" t="s">
        <v>13</v>
      </c>
      <c r="G147" t="s">
        <v>13</v>
      </c>
      <c r="H147" t="s">
        <v>13</v>
      </c>
      <c r="I147" t="s">
        <v>13</v>
      </c>
      <c r="J147" t="s">
        <v>13</v>
      </c>
      <c r="K147" t="s">
        <v>13</v>
      </c>
      <c r="L147" t="s">
        <v>13</v>
      </c>
      <c r="M147" t="s">
        <v>13</v>
      </c>
    </row>
    <row r="148" spans="1:13">
      <c r="A148">
        <v>0</v>
      </c>
      <c r="B148" t="s">
        <v>13</v>
      </c>
      <c r="C148" t="s">
        <v>13</v>
      </c>
      <c r="D148" t="s">
        <v>13</v>
      </c>
      <c r="E148" t="s">
        <v>13</v>
      </c>
      <c r="F148" t="s">
        <v>13</v>
      </c>
      <c r="G148" t="s">
        <v>13</v>
      </c>
      <c r="H148" t="s">
        <v>13</v>
      </c>
      <c r="I148" t="s">
        <v>13</v>
      </c>
      <c r="J148" t="s">
        <v>13</v>
      </c>
      <c r="K148" t="s">
        <v>13</v>
      </c>
      <c r="L148" t="s">
        <v>13</v>
      </c>
      <c r="M148" t="s">
        <v>13</v>
      </c>
    </row>
    <row r="149" spans="1:13">
      <c r="A149">
        <v>0</v>
      </c>
      <c r="B149" t="s">
        <v>13</v>
      </c>
      <c r="C149" t="s">
        <v>13</v>
      </c>
      <c r="D149" t="s">
        <v>13</v>
      </c>
      <c r="E149" t="s">
        <v>13</v>
      </c>
      <c r="F149" t="s">
        <v>13</v>
      </c>
      <c r="G149" t="s">
        <v>13</v>
      </c>
      <c r="H149" t="s">
        <v>13</v>
      </c>
      <c r="I149" t="s">
        <v>13</v>
      </c>
      <c r="J149" t="s">
        <v>13</v>
      </c>
      <c r="K149" t="s">
        <v>13</v>
      </c>
      <c r="L149" t="s">
        <v>13</v>
      </c>
      <c r="M149" t="s">
        <v>13</v>
      </c>
    </row>
    <row r="150" spans="1:13">
      <c r="A150">
        <v>0</v>
      </c>
      <c r="B150" t="s">
        <v>13</v>
      </c>
      <c r="C150" t="s">
        <v>13</v>
      </c>
      <c r="D150" t="s">
        <v>13</v>
      </c>
      <c r="E150" t="s">
        <v>13</v>
      </c>
      <c r="F150" t="s">
        <v>13</v>
      </c>
      <c r="G150" t="s">
        <v>13</v>
      </c>
      <c r="H150" t="s">
        <v>13</v>
      </c>
      <c r="I150" t="s">
        <v>13</v>
      </c>
      <c r="J150" t="s">
        <v>13</v>
      </c>
      <c r="K150" t="s">
        <v>13</v>
      </c>
      <c r="L150" t="s">
        <v>13</v>
      </c>
      <c r="M150" t="s">
        <v>13</v>
      </c>
    </row>
    <row r="151" spans="1:13">
      <c r="A151">
        <v>0</v>
      </c>
      <c r="B151" t="s">
        <v>13</v>
      </c>
      <c r="C151" t="s">
        <v>13</v>
      </c>
      <c r="D151" t="s">
        <v>13</v>
      </c>
      <c r="E151" t="s">
        <v>13</v>
      </c>
      <c r="F151" t="s">
        <v>13</v>
      </c>
      <c r="G151" t="s">
        <v>13</v>
      </c>
      <c r="H151" t="s">
        <v>13</v>
      </c>
      <c r="I151" t="s">
        <v>13</v>
      </c>
      <c r="J151" t="s">
        <v>13</v>
      </c>
      <c r="K151" t="s">
        <v>13</v>
      </c>
      <c r="L151" t="s">
        <v>13</v>
      </c>
      <c r="M151" t="s">
        <v>13</v>
      </c>
    </row>
    <row r="152" spans="1:13">
      <c r="A152">
        <v>0</v>
      </c>
      <c r="B152" t="s">
        <v>13</v>
      </c>
      <c r="C152" t="s">
        <v>13</v>
      </c>
      <c r="D152" t="s">
        <v>13</v>
      </c>
      <c r="E152" t="s">
        <v>13</v>
      </c>
      <c r="F152" t="s">
        <v>13</v>
      </c>
      <c r="G152" t="s">
        <v>13</v>
      </c>
      <c r="H152" t="s">
        <v>13</v>
      </c>
      <c r="I152" t="s">
        <v>13</v>
      </c>
      <c r="J152" t="s">
        <v>13</v>
      </c>
      <c r="K152" t="s">
        <v>13</v>
      </c>
      <c r="L152" t="s">
        <v>13</v>
      </c>
      <c r="M152" t="s">
        <v>13</v>
      </c>
    </row>
    <row r="153" spans="1:13">
      <c r="A153">
        <v>0</v>
      </c>
      <c r="B153" t="s">
        <v>13</v>
      </c>
      <c r="C153" t="s">
        <v>13</v>
      </c>
      <c r="D153" t="s">
        <v>13</v>
      </c>
      <c r="E153" t="s">
        <v>13</v>
      </c>
      <c r="F153" t="s">
        <v>13</v>
      </c>
      <c r="G153" t="s">
        <v>13</v>
      </c>
      <c r="H153" t="s">
        <v>13</v>
      </c>
      <c r="I153" t="s">
        <v>13</v>
      </c>
      <c r="J153" t="s">
        <v>13</v>
      </c>
      <c r="K153" t="s">
        <v>13</v>
      </c>
      <c r="L153" t="s">
        <v>13</v>
      </c>
      <c r="M153" t="s">
        <v>13</v>
      </c>
    </row>
    <row r="154" spans="1:13">
      <c r="A154">
        <v>0</v>
      </c>
      <c r="B154" t="s">
        <v>13</v>
      </c>
      <c r="C154" t="s">
        <v>13</v>
      </c>
      <c r="D154" t="s">
        <v>13</v>
      </c>
      <c r="E154" t="s">
        <v>13</v>
      </c>
      <c r="F154" t="s">
        <v>13</v>
      </c>
      <c r="G154" t="s">
        <v>13</v>
      </c>
      <c r="H154" t="s">
        <v>13</v>
      </c>
      <c r="I154" t="s">
        <v>13</v>
      </c>
      <c r="J154" t="s">
        <v>13</v>
      </c>
      <c r="K154" t="s">
        <v>13</v>
      </c>
      <c r="L154" t="s">
        <v>13</v>
      </c>
      <c r="M154" t="s">
        <v>13</v>
      </c>
    </row>
    <row r="155" spans="1:13">
      <c r="A155">
        <v>0</v>
      </c>
      <c r="B155" t="s">
        <v>13</v>
      </c>
      <c r="C155" t="s">
        <v>13</v>
      </c>
      <c r="D155" t="s">
        <v>13</v>
      </c>
      <c r="E155" t="s">
        <v>13</v>
      </c>
      <c r="F155" t="s">
        <v>13</v>
      </c>
      <c r="G155" t="s">
        <v>13</v>
      </c>
      <c r="H155" t="s">
        <v>13</v>
      </c>
      <c r="I155" t="s">
        <v>13</v>
      </c>
      <c r="J155" t="s">
        <v>13</v>
      </c>
      <c r="K155" t="s">
        <v>13</v>
      </c>
      <c r="L155" t="s">
        <v>13</v>
      </c>
      <c r="M155" t="s">
        <v>13</v>
      </c>
    </row>
    <row r="156" spans="1:13">
      <c r="A156">
        <v>0</v>
      </c>
      <c r="B156" t="s">
        <v>13</v>
      </c>
      <c r="C156" t="s">
        <v>13</v>
      </c>
      <c r="D156" t="s">
        <v>13</v>
      </c>
      <c r="E156" t="s">
        <v>13</v>
      </c>
      <c r="F156" t="s">
        <v>13</v>
      </c>
      <c r="G156" t="s">
        <v>13</v>
      </c>
      <c r="H156" t="s">
        <v>13</v>
      </c>
      <c r="I156" t="s">
        <v>13</v>
      </c>
      <c r="J156" t="s">
        <v>13</v>
      </c>
      <c r="K156" t="s">
        <v>13</v>
      </c>
      <c r="L156" t="s">
        <v>13</v>
      </c>
      <c r="M156" t="s">
        <v>13</v>
      </c>
    </row>
    <row r="157" spans="1:13">
      <c r="A157">
        <v>0</v>
      </c>
      <c r="B157" t="s">
        <v>13</v>
      </c>
      <c r="C157" t="s">
        <v>13</v>
      </c>
      <c r="D157" t="s">
        <v>13</v>
      </c>
      <c r="E157" t="s">
        <v>13</v>
      </c>
      <c r="F157" t="s">
        <v>13</v>
      </c>
      <c r="G157" t="s">
        <v>13</v>
      </c>
      <c r="H157" t="s">
        <v>13</v>
      </c>
      <c r="I157" t="s">
        <v>13</v>
      </c>
      <c r="J157" t="s">
        <v>13</v>
      </c>
      <c r="K157" t="s">
        <v>13</v>
      </c>
      <c r="L157" t="s">
        <v>13</v>
      </c>
      <c r="M157" t="s">
        <v>13</v>
      </c>
    </row>
    <row r="158" spans="1:13">
      <c r="A158">
        <v>0</v>
      </c>
      <c r="B158" t="s">
        <v>13</v>
      </c>
      <c r="C158" t="s">
        <v>13</v>
      </c>
      <c r="D158" t="s">
        <v>13</v>
      </c>
      <c r="E158" t="s">
        <v>13</v>
      </c>
      <c r="F158" t="s">
        <v>13</v>
      </c>
      <c r="G158" t="s">
        <v>13</v>
      </c>
      <c r="H158" t="s">
        <v>13</v>
      </c>
      <c r="I158" t="s">
        <v>13</v>
      </c>
      <c r="J158" t="s">
        <v>13</v>
      </c>
      <c r="K158" t="s">
        <v>13</v>
      </c>
      <c r="L158" t="s">
        <v>13</v>
      </c>
      <c r="M158" t="s">
        <v>13</v>
      </c>
    </row>
    <row r="159" spans="1:13">
      <c r="A159">
        <v>0</v>
      </c>
      <c r="B159" t="s">
        <v>13</v>
      </c>
      <c r="C159" t="s">
        <v>13</v>
      </c>
      <c r="D159" t="s">
        <v>13</v>
      </c>
      <c r="E159" t="s">
        <v>13</v>
      </c>
      <c r="F159" t="s">
        <v>13</v>
      </c>
      <c r="G159" t="s">
        <v>13</v>
      </c>
      <c r="H159" t="s">
        <v>13</v>
      </c>
      <c r="I159" t="s">
        <v>13</v>
      </c>
      <c r="J159" t="s">
        <v>13</v>
      </c>
      <c r="K159" t="s">
        <v>13</v>
      </c>
      <c r="L159" t="s">
        <v>13</v>
      </c>
      <c r="M159" t="s">
        <v>13</v>
      </c>
    </row>
    <row r="160" spans="1:13">
      <c r="A160">
        <v>0</v>
      </c>
      <c r="B160" t="s">
        <v>13</v>
      </c>
      <c r="C160" t="s">
        <v>13</v>
      </c>
      <c r="D160" t="s">
        <v>13</v>
      </c>
      <c r="E160" t="s">
        <v>13</v>
      </c>
      <c r="F160" t="s">
        <v>13</v>
      </c>
      <c r="G160" t="s">
        <v>13</v>
      </c>
      <c r="H160" t="s">
        <v>13</v>
      </c>
      <c r="I160" t="s">
        <v>13</v>
      </c>
      <c r="J160" t="s">
        <v>13</v>
      </c>
      <c r="K160" t="s">
        <v>13</v>
      </c>
      <c r="L160" t="s">
        <v>13</v>
      </c>
      <c r="M160" t="s">
        <v>13</v>
      </c>
    </row>
    <row r="161" spans="1:13">
      <c r="A161">
        <v>0</v>
      </c>
      <c r="B161" t="s">
        <v>13</v>
      </c>
      <c r="C161" t="s">
        <v>13</v>
      </c>
      <c r="D161" t="s">
        <v>13</v>
      </c>
      <c r="E161" t="s">
        <v>13</v>
      </c>
      <c r="F161" t="s">
        <v>13</v>
      </c>
      <c r="G161" t="s">
        <v>13</v>
      </c>
      <c r="H161" t="s">
        <v>13</v>
      </c>
      <c r="I161" t="s">
        <v>13</v>
      </c>
      <c r="J161" t="s">
        <v>13</v>
      </c>
      <c r="K161" t="s">
        <v>13</v>
      </c>
      <c r="L161" t="s">
        <v>13</v>
      </c>
      <c r="M161" t="s">
        <v>13</v>
      </c>
    </row>
    <row r="162" spans="1:13">
      <c r="A162">
        <v>0</v>
      </c>
      <c r="B162" t="s">
        <v>13</v>
      </c>
      <c r="C162" t="s">
        <v>13</v>
      </c>
      <c r="D162" t="s">
        <v>13</v>
      </c>
      <c r="E162" t="s">
        <v>13</v>
      </c>
      <c r="F162" t="s">
        <v>13</v>
      </c>
      <c r="G162" t="s">
        <v>13</v>
      </c>
      <c r="H162" t="s">
        <v>13</v>
      </c>
      <c r="I162" t="s">
        <v>13</v>
      </c>
      <c r="J162" t="s">
        <v>13</v>
      </c>
      <c r="K162" t="s">
        <v>13</v>
      </c>
      <c r="L162" t="s">
        <v>13</v>
      </c>
      <c r="M162" t="s">
        <v>13</v>
      </c>
    </row>
    <row r="163" spans="1:13">
      <c r="A163">
        <v>0</v>
      </c>
      <c r="B163" t="s">
        <v>13</v>
      </c>
      <c r="C163" t="s">
        <v>13</v>
      </c>
      <c r="D163" t="s">
        <v>13</v>
      </c>
      <c r="E163" t="s">
        <v>13</v>
      </c>
      <c r="F163" t="s">
        <v>13</v>
      </c>
      <c r="G163" t="s">
        <v>13</v>
      </c>
      <c r="H163" t="s">
        <v>13</v>
      </c>
      <c r="I163" t="s">
        <v>13</v>
      </c>
      <c r="J163" t="s">
        <v>13</v>
      </c>
      <c r="K163" t="s">
        <v>13</v>
      </c>
      <c r="L163" t="s">
        <v>13</v>
      </c>
      <c r="M163" t="s">
        <v>13</v>
      </c>
    </row>
    <row r="164" spans="1:13">
      <c r="A164">
        <v>0</v>
      </c>
      <c r="B164" t="s">
        <v>13</v>
      </c>
      <c r="C164" t="s">
        <v>13</v>
      </c>
      <c r="D164" t="s">
        <v>13</v>
      </c>
      <c r="E164" t="s">
        <v>13</v>
      </c>
      <c r="F164" t="s">
        <v>13</v>
      </c>
      <c r="G164" t="s">
        <v>13</v>
      </c>
      <c r="H164" t="s">
        <v>13</v>
      </c>
      <c r="I164" t="s">
        <v>13</v>
      </c>
      <c r="J164" t="s">
        <v>13</v>
      </c>
      <c r="K164" t="s">
        <v>13</v>
      </c>
      <c r="L164" t="s">
        <v>13</v>
      </c>
      <c r="M164" t="s">
        <v>13</v>
      </c>
    </row>
    <row r="165" spans="1:13">
      <c r="A165">
        <v>0</v>
      </c>
      <c r="B165" t="s">
        <v>13</v>
      </c>
      <c r="C165" t="s">
        <v>13</v>
      </c>
      <c r="D165" t="s">
        <v>13</v>
      </c>
      <c r="E165" t="s">
        <v>13</v>
      </c>
      <c r="F165" t="s">
        <v>13</v>
      </c>
      <c r="G165" t="s">
        <v>13</v>
      </c>
      <c r="H165" t="s">
        <v>13</v>
      </c>
      <c r="I165" t="s">
        <v>13</v>
      </c>
      <c r="J165" t="s">
        <v>13</v>
      </c>
      <c r="K165" t="s">
        <v>13</v>
      </c>
      <c r="L165" t="s">
        <v>13</v>
      </c>
      <c r="M165" t="s">
        <v>13</v>
      </c>
    </row>
    <row r="166" spans="1:13">
      <c r="A166">
        <v>0</v>
      </c>
      <c r="B166" t="s">
        <v>13</v>
      </c>
      <c r="C166" t="s">
        <v>13</v>
      </c>
      <c r="D166" t="s">
        <v>13</v>
      </c>
      <c r="E166" t="s">
        <v>13</v>
      </c>
      <c r="F166" t="s">
        <v>13</v>
      </c>
      <c r="G166" t="s">
        <v>13</v>
      </c>
      <c r="H166" t="s">
        <v>13</v>
      </c>
      <c r="I166" t="s">
        <v>13</v>
      </c>
      <c r="J166" t="s">
        <v>13</v>
      </c>
      <c r="K166" t="s">
        <v>13</v>
      </c>
      <c r="L166" t="s">
        <v>13</v>
      </c>
      <c r="M166" t="s">
        <v>13</v>
      </c>
    </row>
    <row r="167" spans="1:13">
      <c r="A167">
        <v>0</v>
      </c>
      <c r="B167" t="s">
        <v>13</v>
      </c>
      <c r="C167" t="s">
        <v>13</v>
      </c>
      <c r="D167" t="s">
        <v>13</v>
      </c>
      <c r="E167" t="s">
        <v>13</v>
      </c>
      <c r="F167" t="s">
        <v>13</v>
      </c>
      <c r="G167" t="s">
        <v>13</v>
      </c>
      <c r="H167" t="s">
        <v>13</v>
      </c>
      <c r="I167" t="s">
        <v>13</v>
      </c>
      <c r="J167" t="s">
        <v>13</v>
      </c>
      <c r="K167" t="s">
        <v>13</v>
      </c>
      <c r="L167" t="s">
        <v>13</v>
      </c>
      <c r="M167" t="s">
        <v>13</v>
      </c>
    </row>
    <row r="168" spans="1:13">
      <c r="A168">
        <v>0</v>
      </c>
      <c r="B168" t="s">
        <v>13</v>
      </c>
      <c r="C168" t="s">
        <v>13</v>
      </c>
      <c r="D168" t="s">
        <v>13</v>
      </c>
      <c r="E168" t="s">
        <v>13</v>
      </c>
      <c r="F168" t="s">
        <v>13</v>
      </c>
      <c r="G168" t="s">
        <v>13</v>
      </c>
      <c r="H168" t="s">
        <v>13</v>
      </c>
      <c r="I168" t="s">
        <v>13</v>
      </c>
      <c r="J168" t="s">
        <v>13</v>
      </c>
      <c r="K168" t="s">
        <v>13</v>
      </c>
      <c r="L168" t="s">
        <v>13</v>
      </c>
      <c r="M168" t="s">
        <v>13</v>
      </c>
    </row>
    <row r="169" spans="1:13">
      <c r="A169">
        <v>0</v>
      </c>
      <c r="B169" t="s">
        <v>13</v>
      </c>
      <c r="C169" t="s">
        <v>13</v>
      </c>
      <c r="D169" t="s">
        <v>13</v>
      </c>
      <c r="E169" t="s">
        <v>13</v>
      </c>
      <c r="F169" t="s">
        <v>13</v>
      </c>
      <c r="G169" t="s">
        <v>13</v>
      </c>
      <c r="H169" t="s">
        <v>13</v>
      </c>
      <c r="I169" t="s">
        <v>13</v>
      </c>
      <c r="J169" t="s">
        <v>13</v>
      </c>
      <c r="K169" t="s">
        <v>13</v>
      </c>
      <c r="L169" t="s">
        <v>13</v>
      </c>
      <c r="M169" t="s">
        <v>13</v>
      </c>
    </row>
    <row r="170" spans="1:13">
      <c r="A170">
        <v>0</v>
      </c>
      <c r="B170" t="s">
        <v>13</v>
      </c>
      <c r="C170" t="s">
        <v>13</v>
      </c>
      <c r="D170" t="s">
        <v>13</v>
      </c>
      <c r="E170" t="s">
        <v>13</v>
      </c>
      <c r="F170" t="s">
        <v>13</v>
      </c>
      <c r="G170" t="s">
        <v>13</v>
      </c>
      <c r="H170" t="s">
        <v>13</v>
      </c>
      <c r="I170" t="s">
        <v>13</v>
      </c>
      <c r="J170" t="s">
        <v>13</v>
      </c>
      <c r="K170" t="s">
        <v>13</v>
      </c>
      <c r="L170" t="s">
        <v>13</v>
      </c>
      <c r="M170" t="s">
        <v>13</v>
      </c>
    </row>
    <row r="171" spans="1:13">
      <c r="A171">
        <v>0</v>
      </c>
      <c r="B171" t="s">
        <v>13</v>
      </c>
      <c r="C171" t="s">
        <v>13</v>
      </c>
      <c r="D171" t="s">
        <v>13</v>
      </c>
      <c r="E171" t="s">
        <v>13</v>
      </c>
      <c r="F171" t="s">
        <v>13</v>
      </c>
      <c r="G171" t="s">
        <v>13</v>
      </c>
      <c r="H171" t="s">
        <v>13</v>
      </c>
      <c r="I171" t="s">
        <v>13</v>
      </c>
      <c r="J171" t="s">
        <v>13</v>
      </c>
      <c r="K171" t="s">
        <v>13</v>
      </c>
      <c r="L171" t="s">
        <v>13</v>
      </c>
      <c r="M171" t="s">
        <v>13</v>
      </c>
    </row>
    <row r="172" spans="1:13">
      <c r="A172">
        <v>0</v>
      </c>
      <c r="B172" t="s">
        <v>13</v>
      </c>
      <c r="C172" t="s">
        <v>13</v>
      </c>
      <c r="D172" t="s">
        <v>13</v>
      </c>
      <c r="E172" t="s">
        <v>13</v>
      </c>
      <c r="F172" t="s">
        <v>13</v>
      </c>
      <c r="G172" t="s">
        <v>13</v>
      </c>
      <c r="H172" t="s">
        <v>13</v>
      </c>
      <c r="I172" t="s">
        <v>13</v>
      </c>
      <c r="J172" t="s">
        <v>13</v>
      </c>
      <c r="K172" t="s">
        <v>13</v>
      </c>
      <c r="L172" t="s">
        <v>13</v>
      </c>
      <c r="M172" t="s">
        <v>13</v>
      </c>
    </row>
    <row r="173" spans="1:13">
      <c r="A173">
        <v>0</v>
      </c>
      <c r="B173" t="s">
        <v>13</v>
      </c>
      <c r="C173" t="s">
        <v>13</v>
      </c>
      <c r="D173" t="s">
        <v>13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J173" t="s">
        <v>13</v>
      </c>
      <c r="K173" t="s">
        <v>13</v>
      </c>
      <c r="L173" t="s">
        <v>13</v>
      </c>
      <c r="M173" t="s">
        <v>13</v>
      </c>
    </row>
    <row r="174" spans="1:13">
      <c r="A174">
        <v>0</v>
      </c>
      <c r="B174" t="s">
        <v>13</v>
      </c>
      <c r="C174" t="s">
        <v>13</v>
      </c>
      <c r="D174" t="s">
        <v>13</v>
      </c>
      <c r="E174" t="s">
        <v>13</v>
      </c>
      <c r="F174" t="s">
        <v>13</v>
      </c>
      <c r="G174" t="s">
        <v>13</v>
      </c>
      <c r="H174" t="s">
        <v>13</v>
      </c>
      <c r="I174" t="s">
        <v>13</v>
      </c>
      <c r="J174" t="s">
        <v>13</v>
      </c>
      <c r="K174" t="s">
        <v>13</v>
      </c>
      <c r="L174" t="s">
        <v>13</v>
      </c>
      <c r="M174" t="s">
        <v>13</v>
      </c>
    </row>
    <row r="175" spans="1:13">
      <c r="A175">
        <v>0</v>
      </c>
      <c r="B175" t="s">
        <v>13</v>
      </c>
      <c r="C175" t="s">
        <v>13</v>
      </c>
      <c r="D175" t="s">
        <v>13</v>
      </c>
      <c r="E175" t="s">
        <v>13</v>
      </c>
      <c r="F175" t="s">
        <v>13</v>
      </c>
      <c r="G175" t="s">
        <v>13</v>
      </c>
      <c r="H175" t="s">
        <v>13</v>
      </c>
      <c r="I175" t="s">
        <v>13</v>
      </c>
      <c r="J175" t="s">
        <v>13</v>
      </c>
      <c r="K175" t="s">
        <v>13</v>
      </c>
      <c r="L175" t="s">
        <v>13</v>
      </c>
      <c r="M175" t="s">
        <v>13</v>
      </c>
    </row>
    <row r="176" spans="1:13">
      <c r="A176">
        <v>0</v>
      </c>
      <c r="B176" t="s">
        <v>13</v>
      </c>
      <c r="C176" t="s">
        <v>13</v>
      </c>
      <c r="D176" t="s">
        <v>13</v>
      </c>
      <c r="E176" t="s">
        <v>13</v>
      </c>
      <c r="F176" t="s">
        <v>13</v>
      </c>
      <c r="G176" t="s">
        <v>13</v>
      </c>
      <c r="H176" t="s">
        <v>13</v>
      </c>
      <c r="I176" t="s">
        <v>13</v>
      </c>
      <c r="J176" t="s">
        <v>13</v>
      </c>
      <c r="K176" t="s">
        <v>13</v>
      </c>
      <c r="L176" t="s">
        <v>13</v>
      </c>
      <c r="M176" t="s">
        <v>13</v>
      </c>
    </row>
    <row r="177" spans="1:13">
      <c r="A177">
        <v>0</v>
      </c>
      <c r="B177" t="s">
        <v>13</v>
      </c>
      <c r="C177" t="s">
        <v>13</v>
      </c>
      <c r="D177" t="s">
        <v>13</v>
      </c>
      <c r="E177" t="s">
        <v>13</v>
      </c>
      <c r="F177" t="s">
        <v>13</v>
      </c>
      <c r="G177" t="s">
        <v>13</v>
      </c>
      <c r="H177" t="s">
        <v>13</v>
      </c>
      <c r="I177" t="s">
        <v>13</v>
      </c>
      <c r="J177" t="s">
        <v>13</v>
      </c>
      <c r="K177" t="s">
        <v>13</v>
      </c>
      <c r="L177" t="s">
        <v>13</v>
      </c>
      <c r="M177" t="s">
        <v>13</v>
      </c>
    </row>
    <row r="178" spans="1:13">
      <c r="A178">
        <v>0</v>
      </c>
      <c r="B178" t="s">
        <v>13</v>
      </c>
      <c r="C178" t="s">
        <v>13</v>
      </c>
      <c r="D178" t="s">
        <v>13</v>
      </c>
      <c r="E178" t="s">
        <v>13</v>
      </c>
      <c r="F178" t="s">
        <v>13</v>
      </c>
      <c r="G178" t="s">
        <v>13</v>
      </c>
      <c r="H178" t="s">
        <v>13</v>
      </c>
      <c r="I178" t="s">
        <v>13</v>
      </c>
      <c r="J178" t="s">
        <v>13</v>
      </c>
      <c r="K178" t="s">
        <v>13</v>
      </c>
      <c r="L178" t="s">
        <v>13</v>
      </c>
      <c r="M178" t="s">
        <v>13</v>
      </c>
    </row>
    <row r="179" spans="1:13">
      <c r="A179">
        <v>0</v>
      </c>
      <c r="B179" t="s">
        <v>13</v>
      </c>
      <c r="C179" t="s">
        <v>13</v>
      </c>
      <c r="D179" t="s">
        <v>13</v>
      </c>
      <c r="E179" t="s">
        <v>13</v>
      </c>
      <c r="F179" t="s">
        <v>13</v>
      </c>
      <c r="G179" t="s">
        <v>13</v>
      </c>
      <c r="H179" t="s">
        <v>13</v>
      </c>
      <c r="I179" t="s">
        <v>13</v>
      </c>
      <c r="J179" t="s">
        <v>13</v>
      </c>
      <c r="K179" t="s">
        <v>13</v>
      </c>
      <c r="L179" t="s">
        <v>13</v>
      </c>
      <c r="M179" t="s">
        <v>13</v>
      </c>
    </row>
    <row r="180" spans="1:13">
      <c r="A180">
        <v>0</v>
      </c>
      <c r="B180" t="s">
        <v>13</v>
      </c>
      <c r="C180" t="s">
        <v>13</v>
      </c>
      <c r="D180" t="s">
        <v>13</v>
      </c>
      <c r="E180" t="s">
        <v>13</v>
      </c>
      <c r="F180" t="s">
        <v>13</v>
      </c>
      <c r="G180" t="s">
        <v>13</v>
      </c>
      <c r="H180" t="s">
        <v>13</v>
      </c>
      <c r="I180" t="s">
        <v>13</v>
      </c>
      <c r="J180" t="s">
        <v>13</v>
      </c>
      <c r="K180" t="s">
        <v>13</v>
      </c>
      <c r="L180" t="s">
        <v>13</v>
      </c>
      <c r="M180" t="s">
        <v>13</v>
      </c>
    </row>
    <row r="181" spans="1:13">
      <c r="A181">
        <v>0</v>
      </c>
      <c r="B181" t="s">
        <v>13</v>
      </c>
      <c r="C181" t="s">
        <v>13</v>
      </c>
      <c r="D181" t="s">
        <v>13</v>
      </c>
      <c r="E181" t="s">
        <v>13</v>
      </c>
      <c r="F181" t="s">
        <v>13</v>
      </c>
      <c r="G181" t="s">
        <v>13</v>
      </c>
      <c r="H181" t="s">
        <v>13</v>
      </c>
      <c r="I181" t="s">
        <v>13</v>
      </c>
      <c r="J181" t="s">
        <v>13</v>
      </c>
      <c r="K181" t="s">
        <v>13</v>
      </c>
      <c r="L181" t="s">
        <v>13</v>
      </c>
      <c r="M181" t="s">
        <v>13</v>
      </c>
    </row>
    <row r="182" spans="1:13">
      <c r="A182">
        <v>0</v>
      </c>
      <c r="B182" t="s">
        <v>13</v>
      </c>
      <c r="C182" t="s">
        <v>13</v>
      </c>
      <c r="D182" t="s">
        <v>13</v>
      </c>
      <c r="E182" t="s">
        <v>13</v>
      </c>
      <c r="F182" t="s">
        <v>13</v>
      </c>
      <c r="G182" t="s">
        <v>13</v>
      </c>
      <c r="H182" t="s">
        <v>13</v>
      </c>
      <c r="I182" t="s">
        <v>13</v>
      </c>
      <c r="J182" t="s">
        <v>13</v>
      </c>
      <c r="K182" t="s">
        <v>13</v>
      </c>
      <c r="L182" t="s">
        <v>13</v>
      </c>
      <c r="M182" t="s">
        <v>13</v>
      </c>
    </row>
    <row r="183" spans="1:13">
      <c r="A183">
        <v>0</v>
      </c>
      <c r="B183" t="s">
        <v>13</v>
      </c>
      <c r="C183" t="s">
        <v>13</v>
      </c>
      <c r="D183" t="s">
        <v>13</v>
      </c>
      <c r="E183" t="s">
        <v>13</v>
      </c>
      <c r="F183" t="s">
        <v>13</v>
      </c>
      <c r="G183" t="s">
        <v>13</v>
      </c>
      <c r="H183" t="s">
        <v>13</v>
      </c>
      <c r="I183" t="s">
        <v>13</v>
      </c>
      <c r="J183" t="s">
        <v>13</v>
      </c>
      <c r="K183" t="s">
        <v>13</v>
      </c>
      <c r="L183" t="s">
        <v>13</v>
      </c>
      <c r="M183" t="s">
        <v>13</v>
      </c>
    </row>
    <row r="184" spans="1:13">
      <c r="A184">
        <v>0</v>
      </c>
      <c r="B184" t="s">
        <v>13</v>
      </c>
      <c r="C184" t="s">
        <v>13</v>
      </c>
      <c r="D184" t="s">
        <v>13</v>
      </c>
      <c r="E184" t="s">
        <v>13</v>
      </c>
      <c r="F184" t="s">
        <v>13</v>
      </c>
      <c r="G184" t="s">
        <v>13</v>
      </c>
      <c r="H184" t="s">
        <v>13</v>
      </c>
      <c r="I184" t="s">
        <v>13</v>
      </c>
      <c r="J184" t="s">
        <v>13</v>
      </c>
      <c r="K184" t="s">
        <v>13</v>
      </c>
      <c r="L184" t="s">
        <v>13</v>
      </c>
      <c r="M184" t="s">
        <v>13</v>
      </c>
    </row>
    <row r="185" spans="1:13">
      <c r="A185">
        <v>0</v>
      </c>
      <c r="B185" t="s">
        <v>13</v>
      </c>
      <c r="C185" t="s">
        <v>13</v>
      </c>
      <c r="D185" t="s">
        <v>13</v>
      </c>
      <c r="E185" t="s">
        <v>13</v>
      </c>
      <c r="F185" t="s">
        <v>13</v>
      </c>
      <c r="G185" t="s">
        <v>13</v>
      </c>
      <c r="H185" t="s">
        <v>13</v>
      </c>
      <c r="I185" t="s">
        <v>13</v>
      </c>
      <c r="J185" t="s">
        <v>13</v>
      </c>
      <c r="K185" t="s">
        <v>13</v>
      </c>
      <c r="L185" t="s">
        <v>13</v>
      </c>
      <c r="M185" t="s">
        <v>13</v>
      </c>
    </row>
    <row r="186" spans="1:13">
      <c r="A186">
        <v>0</v>
      </c>
      <c r="B186" t="s">
        <v>13</v>
      </c>
      <c r="C186" t="s">
        <v>13</v>
      </c>
      <c r="D186" t="s">
        <v>13</v>
      </c>
      <c r="E186" t="s">
        <v>13</v>
      </c>
      <c r="F186" t="s">
        <v>13</v>
      </c>
      <c r="G186" t="s">
        <v>13</v>
      </c>
      <c r="H186" t="s">
        <v>13</v>
      </c>
      <c r="I186" t="s">
        <v>13</v>
      </c>
      <c r="J186" t="s">
        <v>13</v>
      </c>
      <c r="K186" t="s">
        <v>13</v>
      </c>
      <c r="L186" t="s">
        <v>13</v>
      </c>
      <c r="M186" t="s">
        <v>13</v>
      </c>
    </row>
    <row r="187" spans="1:13">
      <c r="A187">
        <v>0</v>
      </c>
      <c r="B187" t="s">
        <v>13</v>
      </c>
      <c r="C187" t="s">
        <v>13</v>
      </c>
      <c r="D187" t="s">
        <v>13</v>
      </c>
      <c r="E187" t="s">
        <v>13</v>
      </c>
      <c r="F187" t="s">
        <v>13</v>
      </c>
      <c r="G187" t="s">
        <v>13</v>
      </c>
      <c r="H187" t="s">
        <v>13</v>
      </c>
      <c r="I187" t="s">
        <v>13</v>
      </c>
      <c r="J187" t="s">
        <v>13</v>
      </c>
      <c r="K187" t="s">
        <v>13</v>
      </c>
      <c r="L187" t="s">
        <v>13</v>
      </c>
      <c r="M187" t="s">
        <v>13</v>
      </c>
    </row>
    <row r="188" spans="1:13">
      <c r="A188">
        <v>0</v>
      </c>
      <c r="B188" t="s">
        <v>13</v>
      </c>
      <c r="C188" t="s">
        <v>13</v>
      </c>
      <c r="D188" t="s">
        <v>13</v>
      </c>
      <c r="E188" t="s">
        <v>13</v>
      </c>
      <c r="F188" t="s">
        <v>13</v>
      </c>
      <c r="G188" t="s">
        <v>13</v>
      </c>
      <c r="H188" t="s">
        <v>13</v>
      </c>
      <c r="I188" t="s">
        <v>13</v>
      </c>
      <c r="J188" t="s">
        <v>13</v>
      </c>
      <c r="K188" t="s">
        <v>13</v>
      </c>
      <c r="L188" t="s">
        <v>13</v>
      </c>
      <c r="M188" t="s">
        <v>13</v>
      </c>
    </row>
    <row r="189" spans="1:13">
      <c r="A189">
        <v>0</v>
      </c>
      <c r="B189" t="s">
        <v>13</v>
      </c>
      <c r="C189" t="s">
        <v>13</v>
      </c>
      <c r="D189" t="s">
        <v>13</v>
      </c>
      <c r="E189" t="s">
        <v>13</v>
      </c>
      <c r="F189" t="s">
        <v>13</v>
      </c>
      <c r="G189" t="s">
        <v>13</v>
      </c>
      <c r="H189" t="s">
        <v>13</v>
      </c>
      <c r="I189" t="s">
        <v>13</v>
      </c>
      <c r="J189" t="s">
        <v>13</v>
      </c>
      <c r="K189" t="s">
        <v>13</v>
      </c>
      <c r="L189" t="s">
        <v>13</v>
      </c>
      <c r="M189" t="s">
        <v>13</v>
      </c>
    </row>
    <row r="190" spans="1:13">
      <c r="A190">
        <v>0</v>
      </c>
      <c r="B190" t="s">
        <v>13</v>
      </c>
      <c r="C190" t="s">
        <v>13</v>
      </c>
      <c r="D190" t="s">
        <v>13</v>
      </c>
      <c r="E190" t="s">
        <v>13</v>
      </c>
      <c r="F190" t="s">
        <v>13</v>
      </c>
      <c r="G190" t="s">
        <v>13</v>
      </c>
      <c r="H190" t="s">
        <v>13</v>
      </c>
      <c r="I190" t="s">
        <v>13</v>
      </c>
      <c r="J190" t="s">
        <v>13</v>
      </c>
      <c r="K190" t="s">
        <v>13</v>
      </c>
      <c r="L190" t="s">
        <v>13</v>
      </c>
      <c r="M190" t="s">
        <v>13</v>
      </c>
    </row>
    <row r="191" spans="1:13">
      <c r="A191">
        <v>0</v>
      </c>
      <c r="B191" t="s">
        <v>13</v>
      </c>
      <c r="C191" t="s">
        <v>13</v>
      </c>
      <c r="D191" t="s">
        <v>13</v>
      </c>
      <c r="E191" t="s">
        <v>13</v>
      </c>
      <c r="F191" t="s">
        <v>13</v>
      </c>
      <c r="G191" t="s">
        <v>13</v>
      </c>
      <c r="H191" t="s">
        <v>13</v>
      </c>
      <c r="I191" t="s">
        <v>13</v>
      </c>
      <c r="J191" t="s">
        <v>13</v>
      </c>
      <c r="K191" t="s">
        <v>13</v>
      </c>
      <c r="L191" t="s">
        <v>13</v>
      </c>
      <c r="M191" t="s">
        <v>13</v>
      </c>
    </row>
    <row r="192" spans="1:13">
      <c r="A192">
        <v>0</v>
      </c>
      <c r="B192" t="s">
        <v>13</v>
      </c>
      <c r="C192" t="s">
        <v>13</v>
      </c>
      <c r="D192" t="s">
        <v>13</v>
      </c>
      <c r="E192" t="s">
        <v>13</v>
      </c>
      <c r="F192" t="s">
        <v>13</v>
      </c>
      <c r="G192" t="s">
        <v>13</v>
      </c>
      <c r="H192" t="s">
        <v>13</v>
      </c>
      <c r="I192" t="s">
        <v>13</v>
      </c>
      <c r="J192" t="s">
        <v>13</v>
      </c>
      <c r="K192" t="s">
        <v>13</v>
      </c>
      <c r="L192" t="s">
        <v>13</v>
      </c>
      <c r="M192" t="s">
        <v>13</v>
      </c>
    </row>
    <row r="193" spans="1:13">
      <c r="A193">
        <v>0</v>
      </c>
      <c r="B193" t="s">
        <v>13</v>
      </c>
      <c r="C193" t="s">
        <v>13</v>
      </c>
      <c r="D193" t="s">
        <v>13</v>
      </c>
      <c r="E193" t="s">
        <v>13</v>
      </c>
      <c r="F193" t="s">
        <v>13</v>
      </c>
      <c r="G193" t="s">
        <v>13</v>
      </c>
      <c r="H193" t="s">
        <v>13</v>
      </c>
      <c r="I193" t="s">
        <v>13</v>
      </c>
      <c r="J193" t="s">
        <v>13</v>
      </c>
      <c r="K193" t="s">
        <v>13</v>
      </c>
      <c r="L193" t="s">
        <v>13</v>
      </c>
      <c r="M193" t="s">
        <v>13</v>
      </c>
    </row>
    <row r="194" spans="1:13">
      <c r="A194">
        <v>0</v>
      </c>
      <c r="B194" t="s">
        <v>13</v>
      </c>
      <c r="C194" t="s">
        <v>13</v>
      </c>
      <c r="D194" t="s">
        <v>13</v>
      </c>
      <c r="E194" t="s">
        <v>13</v>
      </c>
      <c r="F194" t="s">
        <v>13</v>
      </c>
      <c r="G194" t="s">
        <v>13</v>
      </c>
      <c r="H194" t="s">
        <v>13</v>
      </c>
      <c r="I194" t="s">
        <v>13</v>
      </c>
      <c r="J194" t="s">
        <v>13</v>
      </c>
      <c r="K194" t="s">
        <v>13</v>
      </c>
      <c r="L194" t="s">
        <v>13</v>
      </c>
      <c r="M194" t="s">
        <v>13</v>
      </c>
    </row>
    <row r="195" spans="1:13">
      <c r="A195">
        <v>0</v>
      </c>
      <c r="B195" t="s">
        <v>13</v>
      </c>
      <c r="C195" t="s">
        <v>13</v>
      </c>
      <c r="D195" t="s">
        <v>13</v>
      </c>
      <c r="E195" t="s">
        <v>13</v>
      </c>
      <c r="F195" t="s">
        <v>13</v>
      </c>
      <c r="G195" t="s">
        <v>13</v>
      </c>
      <c r="H195" t="s">
        <v>13</v>
      </c>
      <c r="I195" t="s">
        <v>13</v>
      </c>
      <c r="J195" t="s">
        <v>13</v>
      </c>
      <c r="K195" t="s">
        <v>13</v>
      </c>
      <c r="L195" t="s">
        <v>13</v>
      </c>
      <c r="M195" t="s">
        <v>13</v>
      </c>
    </row>
    <row r="196" spans="1:13">
      <c r="A196">
        <v>0</v>
      </c>
      <c r="B196" t="s">
        <v>13</v>
      </c>
      <c r="C196" t="s">
        <v>13</v>
      </c>
      <c r="D196" t="s">
        <v>13</v>
      </c>
      <c r="E196" t="s">
        <v>13</v>
      </c>
      <c r="F196" t="s">
        <v>13</v>
      </c>
      <c r="G196" t="s">
        <v>13</v>
      </c>
      <c r="H196" t="s">
        <v>13</v>
      </c>
      <c r="I196" t="s">
        <v>13</v>
      </c>
      <c r="J196" t="s">
        <v>13</v>
      </c>
      <c r="K196" t="s">
        <v>13</v>
      </c>
      <c r="L196" t="s">
        <v>13</v>
      </c>
      <c r="M196" t="s">
        <v>13</v>
      </c>
    </row>
    <row r="197" spans="1:13">
      <c r="A197">
        <v>0</v>
      </c>
      <c r="B197" t="s">
        <v>13</v>
      </c>
      <c r="C197" t="s">
        <v>13</v>
      </c>
      <c r="D197" t="s">
        <v>13</v>
      </c>
      <c r="E197" t="s">
        <v>13</v>
      </c>
      <c r="F197" t="s">
        <v>13</v>
      </c>
      <c r="G197" t="s">
        <v>13</v>
      </c>
      <c r="H197" t="s">
        <v>13</v>
      </c>
      <c r="I197" t="s">
        <v>13</v>
      </c>
      <c r="J197" t="s">
        <v>13</v>
      </c>
      <c r="K197" t="s">
        <v>13</v>
      </c>
      <c r="L197" t="s">
        <v>13</v>
      </c>
      <c r="M197" t="s">
        <v>13</v>
      </c>
    </row>
    <row r="198" spans="1:13">
      <c r="A198">
        <v>0</v>
      </c>
      <c r="B198" t="s">
        <v>13</v>
      </c>
      <c r="C198" t="s">
        <v>13</v>
      </c>
      <c r="D198" t="s">
        <v>13</v>
      </c>
      <c r="E198" t="s">
        <v>13</v>
      </c>
      <c r="F198" t="s">
        <v>13</v>
      </c>
      <c r="G198" t="s">
        <v>13</v>
      </c>
      <c r="H198" t="s">
        <v>13</v>
      </c>
      <c r="I198" t="s">
        <v>13</v>
      </c>
      <c r="J198" t="s">
        <v>13</v>
      </c>
      <c r="K198" t="s">
        <v>13</v>
      </c>
      <c r="L198" t="s">
        <v>13</v>
      </c>
      <c r="M198" t="s">
        <v>13</v>
      </c>
    </row>
    <row r="199" spans="1:13">
      <c r="A199">
        <v>0</v>
      </c>
      <c r="B199" t="s">
        <v>13</v>
      </c>
      <c r="C199" t="s">
        <v>13</v>
      </c>
      <c r="D199" t="s">
        <v>13</v>
      </c>
      <c r="E199" t="s">
        <v>13</v>
      </c>
      <c r="F199" t="s">
        <v>13</v>
      </c>
      <c r="G199" t="s">
        <v>13</v>
      </c>
      <c r="H199" t="s">
        <v>13</v>
      </c>
      <c r="I199" t="s">
        <v>13</v>
      </c>
      <c r="J199" t="s">
        <v>13</v>
      </c>
      <c r="K199" t="s">
        <v>13</v>
      </c>
      <c r="L199" t="s">
        <v>13</v>
      </c>
      <c r="M199" t="s">
        <v>13</v>
      </c>
    </row>
    <row r="200" spans="1:13">
      <c r="A200">
        <v>0</v>
      </c>
      <c r="B200" t="s">
        <v>13</v>
      </c>
      <c r="C200" t="s">
        <v>13</v>
      </c>
      <c r="D200" t="s">
        <v>13</v>
      </c>
      <c r="E200" t="s">
        <v>13</v>
      </c>
      <c r="F200" t="s">
        <v>13</v>
      </c>
      <c r="G200" t="s">
        <v>13</v>
      </c>
      <c r="H200" t="s">
        <v>13</v>
      </c>
      <c r="I200" t="s">
        <v>13</v>
      </c>
      <c r="J200" t="s">
        <v>13</v>
      </c>
      <c r="K200" t="s">
        <v>13</v>
      </c>
      <c r="L200" t="s">
        <v>13</v>
      </c>
      <c r="M200" t="s">
        <v>13</v>
      </c>
    </row>
    <row r="201" spans="1:13">
      <c r="A201">
        <v>0</v>
      </c>
      <c r="B201" t="s">
        <v>13</v>
      </c>
      <c r="C201" t="s">
        <v>13</v>
      </c>
      <c r="D201" t="s">
        <v>13</v>
      </c>
      <c r="E201" t="s">
        <v>13</v>
      </c>
      <c r="F201" t="s">
        <v>13</v>
      </c>
      <c r="G201" t="s">
        <v>13</v>
      </c>
      <c r="H201" t="s">
        <v>13</v>
      </c>
      <c r="I201" t="s">
        <v>13</v>
      </c>
      <c r="J201" t="s">
        <v>13</v>
      </c>
      <c r="K201" t="s">
        <v>13</v>
      </c>
      <c r="L201" t="s">
        <v>13</v>
      </c>
      <c r="M201" t="s">
        <v>13</v>
      </c>
    </row>
    <row r="202" spans="1:13">
      <c r="A202">
        <v>0</v>
      </c>
      <c r="B202" t="s">
        <v>13</v>
      </c>
      <c r="C202" t="s">
        <v>13</v>
      </c>
      <c r="D202" t="s">
        <v>13</v>
      </c>
      <c r="E202" t="s">
        <v>13</v>
      </c>
      <c r="F202" t="s">
        <v>13</v>
      </c>
      <c r="G202" t="s">
        <v>13</v>
      </c>
      <c r="H202" t="s">
        <v>13</v>
      </c>
      <c r="I202" t="s">
        <v>13</v>
      </c>
      <c r="J202" t="s">
        <v>13</v>
      </c>
      <c r="K202" t="s">
        <v>13</v>
      </c>
      <c r="L202" t="s">
        <v>13</v>
      </c>
      <c r="M202" t="s">
        <v>13</v>
      </c>
    </row>
    <row r="203" spans="1:13">
      <c r="A203">
        <v>0</v>
      </c>
      <c r="B203" t="s">
        <v>13</v>
      </c>
      <c r="C203" t="s">
        <v>13</v>
      </c>
      <c r="D203" t="s">
        <v>13</v>
      </c>
      <c r="E203" t="s">
        <v>13</v>
      </c>
      <c r="F203" t="s">
        <v>13</v>
      </c>
      <c r="G203" t="s">
        <v>13</v>
      </c>
      <c r="H203" t="s">
        <v>13</v>
      </c>
      <c r="I203" t="s">
        <v>13</v>
      </c>
      <c r="J203" t="s">
        <v>13</v>
      </c>
      <c r="K203" t="s">
        <v>13</v>
      </c>
      <c r="L203" t="s">
        <v>13</v>
      </c>
      <c r="M203" t="s">
        <v>13</v>
      </c>
    </row>
    <row r="204" spans="1:13">
      <c r="A204">
        <v>0</v>
      </c>
      <c r="B204" t="s">
        <v>13</v>
      </c>
      <c r="C204" t="s">
        <v>13</v>
      </c>
      <c r="D204" t="s">
        <v>13</v>
      </c>
      <c r="E204" t="s">
        <v>13</v>
      </c>
      <c r="F204" t="s">
        <v>13</v>
      </c>
      <c r="G204" t="s">
        <v>13</v>
      </c>
      <c r="H204" t="s">
        <v>13</v>
      </c>
      <c r="I204" t="s">
        <v>13</v>
      </c>
      <c r="J204" t="s">
        <v>13</v>
      </c>
      <c r="K204" t="s">
        <v>13</v>
      </c>
      <c r="L204" t="s">
        <v>13</v>
      </c>
      <c r="M204" t="s">
        <v>13</v>
      </c>
    </row>
    <row r="205" spans="1:13">
      <c r="A205">
        <v>0</v>
      </c>
      <c r="B205" t="s">
        <v>13</v>
      </c>
      <c r="C205" t="s">
        <v>13</v>
      </c>
      <c r="D205" t="s">
        <v>13</v>
      </c>
      <c r="E205" t="s">
        <v>13</v>
      </c>
      <c r="F205" t="s">
        <v>13</v>
      </c>
      <c r="G205" t="s">
        <v>13</v>
      </c>
      <c r="H205" t="s">
        <v>13</v>
      </c>
      <c r="I205" t="s">
        <v>13</v>
      </c>
      <c r="J205" t="s">
        <v>13</v>
      </c>
      <c r="K205" t="s">
        <v>13</v>
      </c>
      <c r="L205" t="s">
        <v>13</v>
      </c>
      <c r="M205" t="s">
        <v>13</v>
      </c>
    </row>
    <row r="206" spans="1:13">
      <c r="A206">
        <v>0</v>
      </c>
      <c r="B206" t="s">
        <v>13</v>
      </c>
      <c r="C206" t="s">
        <v>13</v>
      </c>
      <c r="D206" t="s">
        <v>13</v>
      </c>
      <c r="E206" t="s">
        <v>13</v>
      </c>
      <c r="F206" t="s">
        <v>13</v>
      </c>
      <c r="G206" t="s">
        <v>13</v>
      </c>
      <c r="H206" t="s">
        <v>13</v>
      </c>
      <c r="I206" t="s">
        <v>13</v>
      </c>
      <c r="J206" t="s">
        <v>13</v>
      </c>
      <c r="K206" t="s">
        <v>13</v>
      </c>
      <c r="L206" t="s">
        <v>13</v>
      </c>
      <c r="M206" t="s">
        <v>13</v>
      </c>
    </row>
    <row r="207" spans="1:13">
      <c r="A207">
        <v>0</v>
      </c>
      <c r="B207" t="s">
        <v>13</v>
      </c>
      <c r="C207" t="s">
        <v>13</v>
      </c>
      <c r="D207" t="s">
        <v>13</v>
      </c>
      <c r="E207" t="s">
        <v>13</v>
      </c>
      <c r="F207" t="s">
        <v>13</v>
      </c>
      <c r="G207" t="s">
        <v>13</v>
      </c>
      <c r="H207" t="s">
        <v>13</v>
      </c>
      <c r="I207" t="s">
        <v>13</v>
      </c>
      <c r="J207" t="s">
        <v>13</v>
      </c>
      <c r="K207" t="s">
        <v>13</v>
      </c>
      <c r="L207" t="s">
        <v>13</v>
      </c>
      <c r="M207" t="s">
        <v>13</v>
      </c>
    </row>
    <row r="208" spans="1:13">
      <c r="A208">
        <v>0</v>
      </c>
      <c r="B208" t="s">
        <v>13</v>
      </c>
      <c r="C208" t="s">
        <v>13</v>
      </c>
      <c r="D208" t="s">
        <v>13</v>
      </c>
      <c r="E208" t="s">
        <v>13</v>
      </c>
      <c r="F208" t="s">
        <v>13</v>
      </c>
      <c r="G208" t="s">
        <v>13</v>
      </c>
      <c r="H208" t="s">
        <v>13</v>
      </c>
      <c r="I208" t="s">
        <v>13</v>
      </c>
      <c r="J208" t="s">
        <v>13</v>
      </c>
      <c r="K208" t="s">
        <v>13</v>
      </c>
      <c r="L208" t="s">
        <v>13</v>
      </c>
      <c r="M208" t="s">
        <v>13</v>
      </c>
    </row>
    <row r="209" spans="1:13">
      <c r="A209">
        <v>0</v>
      </c>
      <c r="B209" t="s">
        <v>13</v>
      </c>
      <c r="C209" t="s">
        <v>13</v>
      </c>
      <c r="D209" t="s">
        <v>13</v>
      </c>
      <c r="E209" t="s">
        <v>13</v>
      </c>
      <c r="F209" t="s">
        <v>13</v>
      </c>
      <c r="G209" t="s">
        <v>13</v>
      </c>
      <c r="H209" t="s">
        <v>13</v>
      </c>
      <c r="I209" t="s">
        <v>13</v>
      </c>
      <c r="J209" t="s">
        <v>13</v>
      </c>
      <c r="K209" t="s">
        <v>13</v>
      </c>
      <c r="L209" t="s">
        <v>13</v>
      </c>
      <c r="M209" t="s">
        <v>13</v>
      </c>
    </row>
    <row r="210" spans="1:13">
      <c r="A210">
        <v>0</v>
      </c>
      <c r="B210" t="s">
        <v>13</v>
      </c>
      <c r="C210" t="s">
        <v>13</v>
      </c>
      <c r="D210" t="s">
        <v>13</v>
      </c>
      <c r="E210" t="s">
        <v>13</v>
      </c>
      <c r="F210" t="s">
        <v>13</v>
      </c>
      <c r="G210" t="s">
        <v>13</v>
      </c>
      <c r="H210" t="s">
        <v>13</v>
      </c>
      <c r="I210" t="s">
        <v>13</v>
      </c>
      <c r="J210" t="s">
        <v>13</v>
      </c>
      <c r="K210" t="s">
        <v>13</v>
      </c>
      <c r="L210" t="s">
        <v>13</v>
      </c>
      <c r="M210" t="s">
        <v>13</v>
      </c>
    </row>
    <row r="211" spans="1:13">
      <c r="A211">
        <v>0</v>
      </c>
      <c r="B211" t="s">
        <v>13</v>
      </c>
      <c r="C211" t="s">
        <v>13</v>
      </c>
      <c r="D211" t="s">
        <v>13</v>
      </c>
      <c r="E211" t="s">
        <v>13</v>
      </c>
      <c r="F211" t="s">
        <v>13</v>
      </c>
      <c r="G211" t="s">
        <v>13</v>
      </c>
      <c r="H211" t="s">
        <v>13</v>
      </c>
      <c r="I211" t="s">
        <v>13</v>
      </c>
      <c r="J211" t="s">
        <v>13</v>
      </c>
      <c r="K211" t="s">
        <v>13</v>
      </c>
      <c r="L211" t="s">
        <v>13</v>
      </c>
      <c r="M211" t="s">
        <v>13</v>
      </c>
    </row>
    <row r="212" spans="1:13">
      <c r="A212">
        <v>0</v>
      </c>
      <c r="B212" t="s">
        <v>13</v>
      </c>
      <c r="C212" t="s">
        <v>13</v>
      </c>
      <c r="D212" t="s">
        <v>13</v>
      </c>
      <c r="E212" t="s">
        <v>13</v>
      </c>
      <c r="F212" t="s">
        <v>13</v>
      </c>
      <c r="G212" t="s">
        <v>13</v>
      </c>
      <c r="H212" t="s">
        <v>13</v>
      </c>
      <c r="I212" t="s">
        <v>13</v>
      </c>
      <c r="J212" t="s">
        <v>13</v>
      </c>
      <c r="K212" t="s">
        <v>13</v>
      </c>
      <c r="L212" t="s">
        <v>13</v>
      </c>
      <c r="M212" t="s">
        <v>13</v>
      </c>
    </row>
    <row r="213" spans="1:13">
      <c r="A213">
        <v>0</v>
      </c>
      <c r="B213" t="s">
        <v>13</v>
      </c>
      <c r="C213" t="s">
        <v>13</v>
      </c>
      <c r="D213" t="s">
        <v>13</v>
      </c>
      <c r="E213" t="s">
        <v>13</v>
      </c>
      <c r="F213" t="s">
        <v>13</v>
      </c>
      <c r="G213" t="s">
        <v>13</v>
      </c>
      <c r="H213" t="s">
        <v>13</v>
      </c>
      <c r="I213" t="s">
        <v>13</v>
      </c>
      <c r="J213" t="s">
        <v>13</v>
      </c>
      <c r="K213" t="s">
        <v>13</v>
      </c>
      <c r="L213" t="s">
        <v>13</v>
      </c>
      <c r="M213" t="s">
        <v>13</v>
      </c>
    </row>
    <row r="214" spans="1:13">
      <c r="A214">
        <v>0</v>
      </c>
      <c r="B214" t="s">
        <v>13</v>
      </c>
      <c r="C214" t="s">
        <v>13</v>
      </c>
      <c r="D214" t="s">
        <v>13</v>
      </c>
      <c r="E214" t="s">
        <v>13</v>
      </c>
      <c r="F214" t="s">
        <v>13</v>
      </c>
      <c r="G214" t="s">
        <v>13</v>
      </c>
      <c r="H214" t="s">
        <v>13</v>
      </c>
      <c r="I214" t="s">
        <v>13</v>
      </c>
      <c r="J214" t="s">
        <v>13</v>
      </c>
      <c r="K214" t="s">
        <v>13</v>
      </c>
      <c r="L214" t="s">
        <v>13</v>
      </c>
      <c r="M214" t="s">
        <v>13</v>
      </c>
    </row>
    <row r="215" spans="1:13">
      <c r="A215">
        <v>0</v>
      </c>
      <c r="B215" t="s">
        <v>13</v>
      </c>
      <c r="C215" t="s">
        <v>13</v>
      </c>
      <c r="D215" t="s">
        <v>13</v>
      </c>
      <c r="E215" t="s">
        <v>13</v>
      </c>
      <c r="F215" t="s">
        <v>13</v>
      </c>
      <c r="G215" t="s">
        <v>13</v>
      </c>
      <c r="H215" t="s">
        <v>13</v>
      </c>
      <c r="I215" t="s">
        <v>13</v>
      </c>
      <c r="J215" t="s">
        <v>13</v>
      </c>
      <c r="K215" t="s">
        <v>13</v>
      </c>
      <c r="L215" t="s">
        <v>13</v>
      </c>
      <c r="M215" t="s">
        <v>13</v>
      </c>
    </row>
    <row r="216" spans="1:13">
      <c r="A216">
        <v>0</v>
      </c>
      <c r="B216" t="s">
        <v>13</v>
      </c>
      <c r="C216" t="s">
        <v>13</v>
      </c>
      <c r="D216" t="s">
        <v>13</v>
      </c>
      <c r="E216" t="s">
        <v>13</v>
      </c>
      <c r="F216" t="s">
        <v>13</v>
      </c>
      <c r="G216" t="s">
        <v>13</v>
      </c>
      <c r="H216" t="s">
        <v>13</v>
      </c>
      <c r="I216" t="s">
        <v>13</v>
      </c>
      <c r="J216" t="s">
        <v>13</v>
      </c>
      <c r="K216" t="s">
        <v>13</v>
      </c>
      <c r="L216" t="s">
        <v>13</v>
      </c>
      <c r="M216" t="s">
        <v>13</v>
      </c>
    </row>
    <row r="217" spans="1:13">
      <c r="A217">
        <v>0</v>
      </c>
      <c r="B217" t="s">
        <v>13</v>
      </c>
      <c r="C217" t="s">
        <v>13</v>
      </c>
      <c r="D217" t="s">
        <v>13</v>
      </c>
      <c r="E217" t="s">
        <v>13</v>
      </c>
      <c r="F217" t="s">
        <v>13</v>
      </c>
      <c r="G217" t="s">
        <v>13</v>
      </c>
      <c r="H217" t="s">
        <v>13</v>
      </c>
      <c r="I217" t="s">
        <v>13</v>
      </c>
      <c r="J217" t="s">
        <v>13</v>
      </c>
      <c r="K217" t="s">
        <v>13</v>
      </c>
      <c r="L217" t="s">
        <v>13</v>
      </c>
      <c r="M217" t="s">
        <v>13</v>
      </c>
    </row>
    <row r="218" spans="1:13">
      <c r="A218">
        <v>0</v>
      </c>
      <c r="B218" t="s">
        <v>13</v>
      </c>
      <c r="C218" t="s">
        <v>13</v>
      </c>
      <c r="D218" t="s">
        <v>13</v>
      </c>
      <c r="E218" t="s">
        <v>13</v>
      </c>
      <c r="F218" t="s">
        <v>13</v>
      </c>
      <c r="G218" t="s">
        <v>13</v>
      </c>
      <c r="H218" t="s">
        <v>13</v>
      </c>
      <c r="I218" t="s">
        <v>13</v>
      </c>
      <c r="J218" t="s">
        <v>13</v>
      </c>
      <c r="K218" t="s">
        <v>13</v>
      </c>
      <c r="L218" t="s">
        <v>13</v>
      </c>
      <c r="M218" t="s">
        <v>13</v>
      </c>
    </row>
    <row r="219" spans="1:13">
      <c r="A219">
        <v>0</v>
      </c>
      <c r="B219" t="s">
        <v>13</v>
      </c>
      <c r="C219" t="s">
        <v>13</v>
      </c>
      <c r="D219" t="s">
        <v>13</v>
      </c>
      <c r="E219" t="s">
        <v>13</v>
      </c>
      <c r="F219" t="s">
        <v>13</v>
      </c>
      <c r="G219" t="s">
        <v>13</v>
      </c>
      <c r="H219" t="s">
        <v>13</v>
      </c>
      <c r="I219" t="s">
        <v>13</v>
      </c>
      <c r="J219" t="s">
        <v>13</v>
      </c>
      <c r="K219" t="s">
        <v>13</v>
      </c>
      <c r="L219" t="s">
        <v>13</v>
      </c>
      <c r="M219" t="s">
        <v>13</v>
      </c>
    </row>
    <row r="220" spans="1:13">
      <c r="A220">
        <v>0</v>
      </c>
      <c r="B220" t="s">
        <v>13</v>
      </c>
      <c r="C220" t="s">
        <v>13</v>
      </c>
      <c r="D220" t="s">
        <v>13</v>
      </c>
      <c r="E220" t="s">
        <v>13</v>
      </c>
      <c r="F220" t="s">
        <v>13</v>
      </c>
      <c r="G220" t="s">
        <v>13</v>
      </c>
      <c r="H220" t="s">
        <v>13</v>
      </c>
      <c r="I220" t="s">
        <v>13</v>
      </c>
      <c r="J220" t="s">
        <v>13</v>
      </c>
      <c r="K220" t="s">
        <v>13</v>
      </c>
      <c r="L220" t="s">
        <v>13</v>
      </c>
      <c r="M220" t="s">
        <v>13</v>
      </c>
    </row>
    <row r="221" spans="1:13">
      <c r="A221">
        <v>0</v>
      </c>
      <c r="B221" t="s">
        <v>13</v>
      </c>
      <c r="C221" t="s">
        <v>13</v>
      </c>
      <c r="D221" t="s">
        <v>13</v>
      </c>
      <c r="E221" t="s">
        <v>13</v>
      </c>
      <c r="F221" t="s">
        <v>13</v>
      </c>
      <c r="G221" t="s">
        <v>13</v>
      </c>
      <c r="H221" t="s">
        <v>13</v>
      </c>
      <c r="I221" t="s">
        <v>13</v>
      </c>
      <c r="J221" t="s">
        <v>13</v>
      </c>
      <c r="K221" t="s">
        <v>13</v>
      </c>
      <c r="L221" t="s">
        <v>13</v>
      </c>
      <c r="M221" t="s">
        <v>13</v>
      </c>
    </row>
    <row r="222" spans="1:13">
      <c r="A222">
        <v>0</v>
      </c>
      <c r="B222" t="s">
        <v>13</v>
      </c>
      <c r="C222" t="s">
        <v>13</v>
      </c>
      <c r="D222" t="s">
        <v>13</v>
      </c>
      <c r="E222" t="s">
        <v>13</v>
      </c>
      <c r="F222" t="s">
        <v>13</v>
      </c>
      <c r="G222" t="s">
        <v>13</v>
      </c>
      <c r="H222" t="s">
        <v>13</v>
      </c>
      <c r="I222" t="s">
        <v>13</v>
      </c>
      <c r="J222" t="s">
        <v>13</v>
      </c>
      <c r="K222" t="s">
        <v>13</v>
      </c>
      <c r="L222" t="s">
        <v>13</v>
      </c>
      <c r="M222" t="s">
        <v>13</v>
      </c>
    </row>
    <row r="223" spans="1:13">
      <c r="A223">
        <v>0</v>
      </c>
      <c r="B223" t="s">
        <v>13</v>
      </c>
      <c r="C223" t="s">
        <v>13</v>
      </c>
      <c r="D223" t="s">
        <v>13</v>
      </c>
      <c r="E223" t="s">
        <v>13</v>
      </c>
      <c r="F223" t="s">
        <v>13</v>
      </c>
      <c r="G223" t="s">
        <v>13</v>
      </c>
      <c r="H223" t="s">
        <v>13</v>
      </c>
      <c r="I223" t="s">
        <v>13</v>
      </c>
      <c r="J223" t="s">
        <v>13</v>
      </c>
      <c r="K223" t="s">
        <v>13</v>
      </c>
      <c r="L223" t="s">
        <v>13</v>
      </c>
      <c r="M223" t="s">
        <v>13</v>
      </c>
    </row>
    <row r="224" spans="1:13">
      <c r="A224">
        <v>0</v>
      </c>
      <c r="B224" t="s">
        <v>13</v>
      </c>
      <c r="C224" t="s">
        <v>13</v>
      </c>
      <c r="D224" t="s">
        <v>13</v>
      </c>
      <c r="E224" t="s">
        <v>13</v>
      </c>
      <c r="F224" t="s">
        <v>13</v>
      </c>
      <c r="G224" t="s">
        <v>13</v>
      </c>
      <c r="H224" t="s">
        <v>13</v>
      </c>
      <c r="I224" t="s">
        <v>13</v>
      </c>
      <c r="J224" t="s">
        <v>13</v>
      </c>
      <c r="K224" t="s">
        <v>13</v>
      </c>
      <c r="L224" t="s">
        <v>13</v>
      </c>
      <c r="M224" t="s">
        <v>13</v>
      </c>
    </row>
    <row r="225" spans="1:13">
      <c r="A225">
        <v>0</v>
      </c>
      <c r="B225" t="s">
        <v>13</v>
      </c>
      <c r="C225" t="s">
        <v>13</v>
      </c>
      <c r="D225" t="s">
        <v>13</v>
      </c>
      <c r="E225" t="s">
        <v>13</v>
      </c>
      <c r="F225" t="s">
        <v>13</v>
      </c>
      <c r="G225" t="s">
        <v>13</v>
      </c>
      <c r="H225" t="s">
        <v>13</v>
      </c>
      <c r="I225" t="s">
        <v>13</v>
      </c>
      <c r="J225" t="s">
        <v>13</v>
      </c>
      <c r="K225" t="s">
        <v>13</v>
      </c>
      <c r="L225" t="s">
        <v>13</v>
      </c>
      <c r="M225" t="s">
        <v>13</v>
      </c>
    </row>
    <row r="226" spans="1:13">
      <c r="A226">
        <v>0</v>
      </c>
      <c r="B226" t="s">
        <v>13</v>
      </c>
      <c r="C226" t="s">
        <v>13</v>
      </c>
      <c r="D226" t="s">
        <v>13</v>
      </c>
      <c r="E226" t="s">
        <v>13</v>
      </c>
      <c r="F226" t="s">
        <v>13</v>
      </c>
      <c r="G226" t="s">
        <v>13</v>
      </c>
      <c r="H226" t="s">
        <v>13</v>
      </c>
      <c r="I226" t="s">
        <v>13</v>
      </c>
      <c r="J226" t="s">
        <v>13</v>
      </c>
      <c r="K226" t="s">
        <v>13</v>
      </c>
      <c r="L226" t="s">
        <v>13</v>
      </c>
      <c r="M226" t="s">
        <v>13</v>
      </c>
    </row>
    <row r="227" spans="1:13">
      <c r="A227">
        <v>0</v>
      </c>
      <c r="B227" t="s">
        <v>13</v>
      </c>
      <c r="C227" t="s">
        <v>13</v>
      </c>
      <c r="D227" t="s">
        <v>13</v>
      </c>
      <c r="E227" t="s">
        <v>13</v>
      </c>
      <c r="F227" t="s">
        <v>13</v>
      </c>
      <c r="G227" t="s">
        <v>13</v>
      </c>
      <c r="H227" t="s">
        <v>13</v>
      </c>
      <c r="I227" t="s">
        <v>13</v>
      </c>
      <c r="J227" t="s">
        <v>13</v>
      </c>
      <c r="K227" t="s">
        <v>13</v>
      </c>
      <c r="L227" t="s">
        <v>13</v>
      </c>
      <c r="M227" t="s">
        <v>13</v>
      </c>
    </row>
    <row r="228" spans="1:13">
      <c r="A228">
        <v>0</v>
      </c>
      <c r="B228" t="s">
        <v>13</v>
      </c>
      <c r="C228" t="s">
        <v>13</v>
      </c>
      <c r="D228" t="s">
        <v>13</v>
      </c>
      <c r="E228" t="s">
        <v>13</v>
      </c>
      <c r="F228" t="s">
        <v>13</v>
      </c>
      <c r="G228" t="s">
        <v>13</v>
      </c>
      <c r="H228" t="s">
        <v>13</v>
      </c>
      <c r="I228" t="s">
        <v>13</v>
      </c>
      <c r="J228" t="s">
        <v>13</v>
      </c>
      <c r="K228" t="s">
        <v>13</v>
      </c>
      <c r="L228" t="s">
        <v>13</v>
      </c>
      <c r="M228" t="s">
        <v>13</v>
      </c>
    </row>
    <row r="229" spans="1:13">
      <c r="A229">
        <v>0</v>
      </c>
      <c r="B229" t="s">
        <v>13</v>
      </c>
      <c r="C229" t="s">
        <v>13</v>
      </c>
      <c r="D229" t="s">
        <v>13</v>
      </c>
      <c r="E229" t="s">
        <v>13</v>
      </c>
      <c r="F229" t="s">
        <v>13</v>
      </c>
      <c r="G229" t="s">
        <v>13</v>
      </c>
      <c r="H229" t="s">
        <v>13</v>
      </c>
      <c r="I229" t="s">
        <v>13</v>
      </c>
      <c r="J229" t="s">
        <v>13</v>
      </c>
      <c r="K229" t="s">
        <v>13</v>
      </c>
      <c r="L229" t="s">
        <v>13</v>
      </c>
      <c r="M229" t="s">
        <v>13</v>
      </c>
    </row>
    <row r="230" spans="1:13">
      <c r="A230">
        <v>0</v>
      </c>
      <c r="B230" t="s">
        <v>13</v>
      </c>
      <c r="C230" t="s">
        <v>13</v>
      </c>
      <c r="D230" t="s">
        <v>13</v>
      </c>
      <c r="E230" t="s">
        <v>13</v>
      </c>
      <c r="F230" t="s">
        <v>13</v>
      </c>
      <c r="G230" t="s">
        <v>13</v>
      </c>
      <c r="H230" t="s">
        <v>13</v>
      </c>
      <c r="I230" t="s">
        <v>13</v>
      </c>
      <c r="J230" t="s">
        <v>13</v>
      </c>
      <c r="K230" t="s">
        <v>13</v>
      </c>
      <c r="L230" t="s">
        <v>13</v>
      </c>
      <c r="M230" t="s">
        <v>13</v>
      </c>
    </row>
    <row r="231" spans="1:13">
      <c r="A231">
        <v>0</v>
      </c>
      <c r="B231" t="s">
        <v>13</v>
      </c>
      <c r="C231" t="s">
        <v>13</v>
      </c>
      <c r="D231" t="s">
        <v>13</v>
      </c>
      <c r="E231" t="s">
        <v>13</v>
      </c>
      <c r="F231" t="s">
        <v>13</v>
      </c>
      <c r="G231" t="s">
        <v>13</v>
      </c>
      <c r="H231" t="s">
        <v>13</v>
      </c>
      <c r="I231" t="s">
        <v>13</v>
      </c>
      <c r="J231" t="s">
        <v>13</v>
      </c>
      <c r="K231" t="s">
        <v>13</v>
      </c>
      <c r="L231" t="s">
        <v>13</v>
      </c>
      <c r="M231" t="s">
        <v>13</v>
      </c>
    </row>
    <row r="232" spans="1:13">
      <c r="A232">
        <v>0</v>
      </c>
      <c r="B232" t="s">
        <v>13</v>
      </c>
      <c r="C232" t="s">
        <v>13</v>
      </c>
      <c r="D232" t="s">
        <v>13</v>
      </c>
      <c r="E232" t="s">
        <v>13</v>
      </c>
      <c r="F232" t="s">
        <v>13</v>
      </c>
      <c r="G232" t="s">
        <v>13</v>
      </c>
      <c r="H232" t="s">
        <v>13</v>
      </c>
      <c r="I232" t="s">
        <v>13</v>
      </c>
      <c r="J232" t="s">
        <v>13</v>
      </c>
      <c r="K232" t="s">
        <v>13</v>
      </c>
      <c r="L232" t="s">
        <v>13</v>
      </c>
      <c r="M232" t="s">
        <v>13</v>
      </c>
    </row>
    <row r="233" spans="1:13">
      <c r="A233">
        <v>0</v>
      </c>
      <c r="B233" t="s">
        <v>13</v>
      </c>
      <c r="C233" t="s">
        <v>13</v>
      </c>
      <c r="D233" t="s">
        <v>13</v>
      </c>
      <c r="E233" t="s">
        <v>13</v>
      </c>
      <c r="F233" t="s">
        <v>13</v>
      </c>
      <c r="G233" t="s">
        <v>13</v>
      </c>
      <c r="H233" t="s">
        <v>13</v>
      </c>
      <c r="I233" t="s">
        <v>13</v>
      </c>
      <c r="J233" t="s">
        <v>13</v>
      </c>
      <c r="K233" t="s">
        <v>13</v>
      </c>
      <c r="L233" t="s">
        <v>13</v>
      </c>
      <c r="M233" t="s">
        <v>13</v>
      </c>
    </row>
    <row r="234" spans="1:13">
      <c r="A234">
        <v>0</v>
      </c>
      <c r="B234" t="s">
        <v>13</v>
      </c>
      <c r="C234" t="s">
        <v>13</v>
      </c>
      <c r="D234" t="s">
        <v>13</v>
      </c>
      <c r="E234" t="s">
        <v>13</v>
      </c>
      <c r="F234" t="s">
        <v>13</v>
      </c>
      <c r="G234" t="s">
        <v>13</v>
      </c>
      <c r="H234" t="s">
        <v>13</v>
      </c>
      <c r="I234" t="s">
        <v>13</v>
      </c>
      <c r="J234" t="s">
        <v>13</v>
      </c>
      <c r="K234" t="s">
        <v>13</v>
      </c>
      <c r="L234" t="s">
        <v>13</v>
      </c>
      <c r="M234" t="s">
        <v>13</v>
      </c>
    </row>
    <row r="235" spans="1:13">
      <c r="A235">
        <v>0</v>
      </c>
      <c r="B235" t="s">
        <v>13</v>
      </c>
      <c r="C235" t="s">
        <v>13</v>
      </c>
      <c r="D235" t="s">
        <v>13</v>
      </c>
      <c r="E235" t="s">
        <v>13</v>
      </c>
      <c r="F235" t="s">
        <v>13</v>
      </c>
      <c r="G235" t="s">
        <v>13</v>
      </c>
      <c r="H235" t="s">
        <v>13</v>
      </c>
      <c r="I235" t="s">
        <v>13</v>
      </c>
      <c r="J235" t="s">
        <v>13</v>
      </c>
      <c r="K235" t="s">
        <v>13</v>
      </c>
      <c r="L235" t="s">
        <v>13</v>
      </c>
      <c r="M235" t="s">
        <v>13</v>
      </c>
    </row>
    <row r="236" spans="1:13">
      <c r="A236">
        <v>0</v>
      </c>
      <c r="B236" t="s">
        <v>13</v>
      </c>
      <c r="C236" t="s">
        <v>13</v>
      </c>
      <c r="D236" t="s">
        <v>13</v>
      </c>
      <c r="E236" t="s">
        <v>13</v>
      </c>
      <c r="F236" t="s">
        <v>13</v>
      </c>
      <c r="G236" t="s">
        <v>13</v>
      </c>
      <c r="H236" t="s">
        <v>13</v>
      </c>
      <c r="I236" t="s">
        <v>13</v>
      </c>
      <c r="J236" t="s">
        <v>13</v>
      </c>
      <c r="K236" t="s">
        <v>13</v>
      </c>
      <c r="L236" t="s">
        <v>13</v>
      </c>
      <c r="M236" t="s">
        <v>13</v>
      </c>
    </row>
    <row r="237" spans="1:13">
      <c r="A237">
        <v>0</v>
      </c>
      <c r="B237" t="s">
        <v>13</v>
      </c>
      <c r="C237" t="s">
        <v>13</v>
      </c>
      <c r="D237" t="s">
        <v>13</v>
      </c>
      <c r="E237" t="s">
        <v>13</v>
      </c>
      <c r="F237" t="s">
        <v>13</v>
      </c>
      <c r="G237" t="s">
        <v>13</v>
      </c>
      <c r="H237" t="s">
        <v>13</v>
      </c>
      <c r="I237" t="s">
        <v>13</v>
      </c>
      <c r="J237" t="s">
        <v>13</v>
      </c>
      <c r="K237" t="s">
        <v>13</v>
      </c>
      <c r="L237" t="s">
        <v>13</v>
      </c>
      <c r="M237" t="s">
        <v>13</v>
      </c>
    </row>
    <row r="238" spans="1:13">
      <c r="A238">
        <v>0</v>
      </c>
      <c r="B238" t="s">
        <v>13</v>
      </c>
      <c r="C238" t="s">
        <v>13</v>
      </c>
      <c r="D238" t="s">
        <v>13</v>
      </c>
      <c r="E238" t="s">
        <v>13</v>
      </c>
      <c r="F238" t="s">
        <v>13</v>
      </c>
      <c r="G238" t="s">
        <v>13</v>
      </c>
      <c r="H238" t="s">
        <v>13</v>
      </c>
      <c r="I238" t="s">
        <v>13</v>
      </c>
      <c r="J238" t="s">
        <v>13</v>
      </c>
      <c r="K238" t="s">
        <v>13</v>
      </c>
      <c r="L238" t="s">
        <v>13</v>
      </c>
      <c r="M238" t="s">
        <v>13</v>
      </c>
    </row>
    <row r="239" spans="1:13">
      <c r="A239">
        <v>0</v>
      </c>
      <c r="B239" t="s">
        <v>13</v>
      </c>
      <c r="C239" t="s">
        <v>13</v>
      </c>
      <c r="D239" t="s">
        <v>13</v>
      </c>
      <c r="E239" t="s">
        <v>13</v>
      </c>
      <c r="F239" t="s">
        <v>13</v>
      </c>
      <c r="G239" t="s">
        <v>13</v>
      </c>
      <c r="H239" t="s">
        <v>13</v>
      </c>
      <c r="I239" t="s">
        <v>13</v>
      </c>
      <c r="J239" t="s">
        <v>13</v>
      </c>
      <c r="K239" t="s">
        <v>13</v>
      </c>
      <c r="L239" t="s">
        <v>13</v>
      </c>
      <c r="M239" t="s">
        <v>13</v>
      </c>
    </row>
    <row r="240" spans="1:13">
      <c r="A240">
        <v>0</v>
      </c>
      <c r="B240" t="s">
        <v>13</v>
      </c>
      <c r="C240" t="s">
        <v>13</v>
      </c>
      <c r="D240" t="s">
        <v>13</v>
      </c>
      <c r="E240" t="s">
        <v>13</v>
      </c>
      <c r="F240" t="s">
        <v>13</v>
      </c>
      <c r="G240" t="s">
        <v>13</v>
      </c>
      <c r="H240" t="s">
        <v>13</v>
      </c>
      <c r="I240" t="s">
        <v>13</v>
      </c>
      <c r="J240" t="s">
        <v>13</v>
      </c>
      <c r="K240" t="s">
        <v>13</v>
      </c>
      <c r="L240" t="s">
        <v>13</v>
      </c>
      <c r="M240" t="s">
        <v>13</v>
      </c>
    </row>
    <row r="241" spans="1:13">
      <c r="A241">
        <v>0</v>
      </c>
      <c r="B241" t="s">
        <v>13</v>
      </c>
      <c r="C241" t="s">
        <v>13</v>
      </c>
      <c r="D241" t="s">
        <v>13</v>
      </c>
      <c r="E241" t="s">
        <v>13</v>
      </c>
      <c r="F241" t="s">
        <v>13</v>
      </c>
      <c r="G241" t="s">
        <v>13</v>
      </c>
      <c r="H241" t="s">
        <v>13</v>
      </c>
      <c r="I241" t="s">
        <v>13</v>
      </c>
      <c r="J241" t="s">
        <v>13</v>
      </c>
      <c r="K241" t="s">
        <v>13</v>
      </c>
      <c r="L241" t="s">
        <v>13</v>
      </c>
      <c r="M241" t="s">
        <v>13</v>
      </c>
    </row>
    <row r="242" spans="1:13">
      <c r="A242">
        <v>0</v>
      </c>
      <c r="B242" t="s">
        <v>13</v>
      </c>
      <c r="C242" t="s">
        <v>13</v>
      </c>
      <c r="D242" t="s">
        <v>13</v>
      </c>
      <c r="E242" t="s">
        <v>13</v>
      </c>
      <c r="F242" t="s">
        <v>13</v>
      </c>
      <c r="G242" t="s">
        <v>13</v>
      </c>
      <c r="H242" t="s">
        <v>13</v>
      </c>
      <c r="I242" t="s">
        <v>13</v>
      </c>
      <c r="J242" t="s">
        <v>13</v>
      </c>
      <c r="K242" t="s">
        <v>13</v>
      </c>
      <c r="L242" t="s">
        <v>13</v>
      </c>
      <c r="M242" t="s">
        <v>13</v>
      </c>
    </row>
    <row r="243" spans="1:13">
      <c r="A243">
        <v>0</v>
      </c>
      <c r="B243" t="s">
        <v>13</v>
      </c>
      <c r="C243" t="s">
        <v>13</v>
      </c>
      <c r="D243" t="s">
        <v>13</v>
      </c>
      <c r="E243" t="s">
        <v>13</v>
      </c>
      <c r="F243" t="s">
        <v>13</v>
      </c>
      <c r="G243" t="s">
        <v>13</v>
      </c>
      <c r="H243" t="s">
        <v>13</v>
      </c>
      <c r="I243" t="s">
        <v>13</v>
      </c>
      <c r="J243" t="s">
        <v>13</v>
      </c>
      <c r="K243" t="s">
        <v>13</v>
      </c>
      <c r="L243" t="s">
        <v>13</v>
      </c>
      <c r="M243" t="s">
        <v>13</v>
      </c>
    </row>
    <row r="244" spans="1:13">
      <c r="A244">
        <v>0</v>
      </c>
      <c r="B244" t="s">
        <v>13</v>
      </c>
      <c r="C244" t="s">
        <v>13</v>
      </c>
      <c r="D244" t="s">
        <v>13</v>
      </c>
      <c r="E244" t="s">
        <v>13</v>
      </c>
      <c r="F244" t="s">
        <v>13</v>
      </c>
      <c r="G244" t="s">
        <v>13</v>
      </c>
      <c r="H244" t="s">
        <v>13</v>
      </c>
      <c r="I244" t="s">
        <v>13</v>
      </c>
      <c r="J244" t="s">
        <v>13</v>
      </c>
      <c r="K244" t="s">
        <v>13</v>
      </c>
      <c r="L244" t="s">
        <v>13</v>
      </c>
      <c r="M244" t="s">
        <v>13</v>
      </c>
    </row>
    <row r="245" spans="1:13">
      <c r="A245">
        <v>0</v>
      </c>
      <c r="B245" t="s">
        <v>13</v>
      </c>
      <c r="C245" t="s">
        <v>13</v>
      </c>
      <c r="D245" t="s">
        <v>13</v>
      </c>
      <c r="E245" t="s">
        <v>13</v>
      </c>
      <c r="F245" t="s">
        <v>13</v>
      </c>
      <c r="G245" t="s">
        <v>13</v>
      </c>
      <c r="H245" t="s">
        <v>13</v>
      </c>
      <c r="I245" t="s">
        <v>13</v>
      </c>
      <c r="J245" t="s">
        <v>13</v>
      </c>
      <c r="K245" t="s">
        <v>13</v>
      </c>
      <c r="L245" t="s">
        <v>13</v>
      </c>
      <c r="M245" t="s">
        <v>13</v>
      </c>
    </row>
    <row r="246" spans="1:13">
      <c r="A246">
        <v>0</v>
      </c>
      <c r="B246" t="s">
        <v>13</v>
      </c>
      <c r="C246" t="s">
        <v>13</v>
      </c>
      <c r="D246" t="s">
        <v>13</v>
      </c>
      <c r="E246" t="s">
        <v>13</v>
      </c>
      <c r="F246" t="s">
        <v>13</v>
      </c>
      <c r="G246" t="s">
        <v>13</v>
      </c>
      <c r="H246" t="s">
        <v>13</v>
      </c>
      <c r="I246" t="s">
        <v>13</v>
      </c>
      <c r="J246" t="s">
        <v>13</v>
      </c>
      <c r="K246" t="s">
        <v>13</v>
      </c>
      <c r="L246" t="s">
        <v>13</v>
      </c>
      <c r="M246" t="s">
        <v>13</v>
      </c>
    </row>
    <row r="247" spans="1:13">
      <c r="A247">
        <v>0</v>
      </c>
      <c r="B247" t="s">
        <v>13</v>
      </c>
      <c r="C247" t="s">
        <v>13</v>
      </c>
      <c r="D247" t="s">
        <v>13</v>
      </c>
      <c r="E247" t="s">
        <v>13</v>
      </c>
      <c r="F247" t="s">
        <v>13</v>
      </c>
      <c r="G247" t="s">
        <v>13</v>
      </c>
      <c r="H247" t="s">
        <v>13</v>
      </c>
      <c r="I247" t="s">
        <v>13</v>
      </c>
      <c r="J247" t="s">
        <v>13</v>
      </c>
      <c r="K247" t="s">
        <v>13</v>
      </c>
      <c r="L247" t="s">
        <v>13</v>
      </c>
      <c r="M247" t="s">
        <v>13</v>
      </c>
    </row>
    <row r="248" spans="1:13">
      <c r="A248">
        <v>0</v>
      </c>
      <c r="B248" t="s">
        <v>13</v>
      </c>
      <c r="C248" t="s">
        <v>13</v>
      </c>
      <c r="D248" t="s">
        <v>13</v>
      </c>
      <c r="E248" t="s">
        <v>13</v>
      </c>
      <c r="F248" t="s">
        <v>13</v>
      </c>
      <c r="G248" t="s">
        <v>13</v>
      </c>
      <c r="H248" t="s">
        <v>13</v>
      </c>
      <c r="I248" t="s">
        <v>13</v>
      </c>
      <c r="J248" t="s">
        <v>13</v>
      </c>
      <c r="K248" t="s">
        <v>13</v>
      </c>
      <c r="L248" t="s">
        <v>13</v>
      </c>
      <c r="M248" t="s">
        <v>13</v>
      </c>
    </row>
    <row r="249" spans="1:13">
      <c r="A249">
        <v>0</v>
      </c>
      <c r="B249" t="s">
        <v>13</v>
      </c>
      <c r="C249" t="s">
        <v>13</v>
      </c>
      <c r="D249" t="s">
        <v>13</v>
      </c>
      <c r="E249" t="s">
        <v>13</v>
      </c>
      <c r="F249" t="s">
        <v>13</v>
      </c>
      <c r="G249" t="s">
        <v>13</v>
      </c>
      <c r="H249" t="s">
        <v>13</v>
      </c>
      <c r="I249" t="s">
        <v>13</v>
      </c>
      <c r="J249" t="s">
        <v>13</v>
      </c>
      <c r="K249" t="s">
        <v>13</v>
      </c>
      <c r="L249" t="s">
        <v>13</v>
      </c>
      <c r="M249" t="s">
        <v>13</v>
      </c>
    </row>
    <row r="250" spans="1:13">
      <c r="A250">
        <v>0</v>
      </c>
      <c r="B250" t="s">
        <v>13</v>
      </c>
      <c r="C250" t="s">
        <v>13</v>
      </c>
      <c r="D250" t="s">
        <v>13</v>
      </c>
      <c r="E250" t="s">
        <v>13</v>
      </c>
      <c r="F250" t="s">
        <v>13</v>
      </c>
      <c r="G250" t="s">
        <v>13</v>
      </c>
      <c r="H250" t="s">
        <v>13</v>
      </c>
      <c r="I250" t="s">
        <v>13</v>
      </c>
      <c r="J250" t="s">
        <v>13</v>
      </c>
      <c r="K250" t="s">
        <v>13</v>
      </c>
      <c r="L250" t="s">
        <v>13</v>
      </c>
      <c r="M250" t="s">
        <v>13</v>
      </c>
    </row>
    <row r="251" spans="1:13">
      <c r="A251">
        <v>0</v>
      </c>
      <c r="B251" t="s">
        <v>13</v>
      </c>
      <c r="C251" t="s">
        <v>13</v>
      </c>
      <c r="D251" t="s">
        <v>13</v>
      </c>
      <c r="E251" t="s">
        <v>13</v>
      </c>
      <c r="F251" t="s">
        <v>13</v>
      </c>
      <c r="G251" t="s">
        <v>13</v>
      </c>
      <c r="H251" t="s">
        <v>13</v>
      </c>
      <c r="I251" t="s">
        <v>13</v>
      </c>
      <c r="J251" t="s">
        <v>13</v>
      </c>
      <c r="K251" t="s">
        <v>13</v>
      </c>
      <c r="L251" t="s">
        <v>13</v>
      </c>
      <c r="M251" t="s">
        <v>13</v>
      </c>
    </row>
    <row r="252" spans="1:13">
      <c r="A252">
        <v>0</v>
      </c>
      <c r="B252" t="s">
        <v>13</v>
      </c>
      <c r="C252" t="s">
        <v>13</v>
      </c>
      <c r="D252" t="s">
        <v>13</v>
      </c>
      <c r="E252" t="s">
        <v>13</v>
      </c>
      <c r="F252" t="s">
        <v>13</v>
      </c>
      <c r="G252" t="s">
        <v>13</v>
      </c>
      <c r="H252" t="s">
        <v>13</v>
      </c>
      <c r="I252" t="s">
        <v>13</v>
      </c>
      <c r="J252" t="s">
        <v>13</v>
      </c>
      <c r="K252" t="s">
        <v>13</v>
      </c>
      <c r="L252" t="s">
        <v>13</v>
      </c>
      <c r="M252" t="s">
        <v>13</v>
      </c>
    </row>
    <row r="253" spans="1:13">
      <c r="A253">
        <v>0</v>
      </c>
      <c r="B253" t="s">
        <v>13</v>
      </c>
      <c r="C253" t="s">
        <v>13</v>
      </c>
      <c r="D253" t="s">
        <v>13</v>
      </c>
      <c r="E253" t="s">
        <v>13</v>
      </c>
      <c r="F253" t="s">
        <v>13</v>
      </c>
      <c r="G253" t="s">
        <v>13</v>
      </c>
      <c r="H253" t="s">
        <v>13</v>
      </c>
      <c r="I253" t="s">
        <v>13</v>
      </c>
      <c r="J253" t="s">
        <v>13</v>
      </c>
      <c r="K253" t="s">
        <v>13</v>
      </c>
      <c r="L253" t="s">
        <v>13</v>
      </c>
      <c r="M253" t="s">
        <v>13</v>
      </c>
    </row>
    <row r="254" spans="1:13">
      <c r="A254">
        <v>0</v>
      </c>
      <c r="B254" t="s">
        <v>13</v>
      </c>
      <c r="C254" t="s">
        <v>13</v>
      </c>
      <c r="D254" t="s">
        <v>13</v>
      </c>
      <c r="E254" t="s">
        <v>13</v>
      </c>
      <c r="F254" t="s">
        <v>13</v>
      </c>
      <c r="G254" t="s">
        <v>13</v>
      </c>
      <c r="H254" t="s">
        <v>13</v>
      </c>
      <c r="I254" t="s">
        <v>13</v>
      </c>
      <c r="J254" t="s">
        <v>13</v>
      </c>
      <c r="K254" t="s">
        <v>13</v>
      </c>
      <c r="L254" t="s">
        <v>13</v>
      </c>
      <c r="M254" t="s">
        <v>13</v>
      </c>
    </row>
    <row r="255" spans="1:13">
      <c r="A255">
        <v>0</v>
      </c>
      <c r="B255" t="s">
        <v>13</v>
      </c>
      <c r="C255" t="s">
        <v>13</v>
      </c>
      <c r="D255" t="s">
        <v>13</v>
      </c>
      <c r="E255" t="s">
        <v>13</v>
      </c>
      <c r="F255" t="s">
        <v>13</v>
      </c>
      <c r="G255" t="s">
        <v>13</v>
      </c>
      <c r="H255" t="s">
        <v>13</v>
      </c>
      <c r="I255" t="s">
        <v>13</v>
      </c>
      <c r="J255" t="s">
        <v>13</v>
      </c>
      <c r="K255" t="s">
        <v>13</v>
      </c>
      <c r="L255" t="s">
        <v>13</v>
      </c>
      <c r="M255" t="s">
        <v>13</v>
      </c>
    </row>
    <row r="256" spans="1:13">
      <c r="A256">
        <v>0</v>
      </c>
      <c r="B256" t="s">
        <v>13</v>
      </c>
      <c r="C256" t="s">
        <v>13</v>
      </c>
      <c r="D256" t="s">
        <v>13</v>
      </c>
      <c r="E256" t="s">
        <v>13</v>
      </c>
      <c r="F256" t="s">
        <v>13</v>
      </c>
      <c r="G256" t="s">
        <v>13</v>
      </c>
      <c r="H256" t="s">
        <v>13</v>
      </c>
      <c r="I256" t="s">
        <v>13</v>
      </c>
      <c r="J256" t="s">
        <v>13</v>
      </c>
      <c r="K256" t="s">
        <v>13</v>
      </c>
      <c r="L256" t="s">
        <v>13</v>
      </c>
      <c r="M256" t="s">
        <v>13</v>
      </c>
    </row>
    <row r="257" spans="1:13">
      <c r="A257">
        <v>0</v>
      </c>
      <c r="B257" t="s">
        <v>13</v>
      </c>
      <c r="C257" t="s">
        <v>13</v>
      </c>
      <c r="D257" t="s">
        <v>13</v>
      </c>
      <c r="E257" t="s">
        <v>13</v>
      </c>
      <c r="F257" t="s">
        <v>13</v>
      </c>
      <c r="G257" t="s">
        <v>13</v>
      </c>
      <c r="H257" t="s">
        <v>13</v>
      </c>
      <c r="I257" t="s">
        <v>13</v>
      </c>
      <c r="J257" t="s">
        <v>13</v>
      </c>
      <c r="K257" t="s">
        <v>13</v>
      </c>
      <c r="L257" t="s">
        <v>13</v>
      </c>
      <c r="M257" t="s">
        <v>13</v>
      </c>
    </row>
    <row r="258" spans="1:13">
      <c r="A258">
        <v>0</v>
      </c>
      <c r="B258" t="s">
        <v>13</v>
      </c>
      <c r="C258" t="s">
        <v>13</v>
      </c>
      <c r="D258" t="s">
        <v>13</v>
      </c>
      <c r="E258" t="s">
        <v>13</v>
      </c>
      <c r="F258" t="s">
        <v>13</v>
      </c>
      <c r="G258" t="s">
        <v>13</v>
      </c>
      <c r="H258" t="s">
        <v>13</v>
      </c>
      <c r="I258" t="s">
        <v>13</v>
      </c>
      <c r="J258" t="s">
        <v>13</v>
      </c>
      <c r="K258" t="s">
        <v>13</v>
      </c>
      <c r="L258" t="s">
        <v>13</v>
      </c>
      <c r="M258" t="s">
        <v>13</v>
      </c>
    </row>
    <row r="259" spans="1:13">
      <c r="A259">
        <v>0</v>
      </c>
      <c r="B259" t="s">
        <v>13</v>
      </c>
      <c r="C259" t="s">
        <v>13</v>
      </c>
      <c r="D259" t="s">
        <v>13</v>
      </c>
      <c r="E259" t="s">
        <v>13</v>
      </c>
      <c r="F259" t="s">
        <v>13</v>
      </c>
      <c r="G259" t="s">
        <v>13</v>
      </c>
      <c r="H259" t="s">
        <v>13</v>
      </c>
      <c r="I259" t="s">
        <v>13</v>
      </c>
      <c r="J259" t="s">
        <v>13</v>
      </c>
      <c r="K259" t="s">
        <v>13</v>
      </c>
      <c r="L259" t="s">
        <v>13</v>
      </c>
      <c r="M259" t="s">
        <v>13</v>
      </c>
    </row>
    <row r="260" spans="1:13">
      <c r="A260">
        <v>0</v>
      </c>
      <c r="B260" t="s">
        <v>13</v>
      </c>
      <c r="C260" t="s">
        <v>13</v>
      </c>
      <c r="D260" t="s">
        <v>13</v>
      </c>
      <c r="E260" t="s">
        <v>13</v>
      </c>
      <c r="F260" t="s">
        <v>13</v>
      </c>
      <c r="G260" t="s">
        <v>13</v>
      </c>
      <c r="H260" t="s">
        <v>13</v>
      </c>
      <c r="I260" t="s">
        <v>13</v>
      </c>
      <c r="J260" t="s">
        <v>13</v>
      </c>
      <c r="K260" t="s">
        <v>13</v>
      </c>
      <c r="L260" t="s">
        <v>13</v>
      </c>
      <c r="M260" t="s">
        <v>13</v>
      </c>
    </row>
    <row r="261" spans="1:13">
      <c r="A261">
        <v>0</v>
      </c>
      <c r="B261" t="s">
        <v>13</v>
      </c>
      <c r="C261" t="s">
        <v>13</v>
      </c>
      <c r="D261" t="s">
        <v>13</v>
      </c>
      <c r="E261" t="s">
        <v>13</v>
      </c>
      <c r="F261" t="s">
        <v>13</v>
      </c>
      <c r="G261" t="s">
        <v>13</v>
      </c>
      <c r="H261" t="s">
        <v>13</v>
      </c>
      <c r="I261" t="s">
        <v>13</v>
      </c>
      <c r="J261" t="s">
        <v>13</v>
      </c>
      <c r="K261" t="s">
        <v>13</v>
      </c>
      <c r="L261" t="s">
        <v>13</v>
      </c>
      <c r="M261" t="s">
        <v>13</v>
      </c>
    </row>
    <row r="262" spans="1:13">
      <c r="A262">
        <v>0</v>
      </c>
      <c r="B262" t="s">
        <v>13</v>
      </c>
      <c r="C262" t="s">
        <v>13</v>
      </c>
      <c r="D262" t="s">
        <v>13</v>
      </c>
      <c r="E262" t="s">
        <v>13</v>
      </c>
      <c r="F262" t="s">
        <v>13</v>
      </c>
      <c r="G262" t="s">
        <v>13</v>
      </c>
      <c r="H262" t="s">
        <v>13</v>
      </c>
      <c r="I262" t="s">
        <v>13</v>
      </c>
      <c r="J262" t="s">
        <v>13</v>
      </c>
      <c r="K262" t="s">
        <v>13</v>
      </c>
      <c r="L262" t="s">
        <v>13</v>
      </c>
      <c r="M262" t="s">
        <v>13</v>
      </c>
    </row>
    <row r="263" spans="1:13">
      <c r="A263">
        <v>0</v>
      </c>
      <c r="B263" t="s">
        <v>13</v>
      </c>
      <c r="C263" t="s">
        <v>13</v>
      </c>
      <c r="D263" t="s">
        <v>13</v>
      </c>
      <c r="E263" t="s">
        <v>13</v>
      </c>
      <c r="F263" t="s">
        <v>13</v>
      </c>
      <c r="G263" t="s">
        <v>13</v>
      </c>
      <c r="H263" t="s">
        <v>13</v>
      </c>
      <c r="I263" t="s">
        <v>13</v>
      </c>
      <c r="J263" t="s">
        <v>13</v>
      </c>
      <c r="K263" t="s">
        <v>13</v>
      </c>
      <c r="L263" t="s">
        <v>13</v>
      </c>
      <c r="M263" t="s">
        <v>13</v>
      </c>
    </row>
    <row r="264" spans="1:13">
      <c r="A264">
        <v>0</v>
      </c>
      <c r="B264" t="s">
        <v>13</v>
      </c>
      <c r="C264" t="s">
        <v>13</v>
      </c>
      <c r="D264" t="s">
        <v>13</v>
      </c>
      <c r="E264" t="s">
        <v>13</v>
      </c>
      <c r="F264" t="s">
        <v>13</v>
      </c>
      <c r="G264" t="s">
        <v>13</v>
      </c>
      <c r="H264" t="s">
        <v>13</v>
      </c>
      <c r="I264" t="s">
        <v>13</v>
      </c>
      <c r="J264" t="s">
        <v>13</v>
      </c>
      <c r="K264" t="s">
        <v>13</v>
      </c>
      <c r="L264" t="s">
        <v>13</v>
      </c>
      <c r="M264" t="s">
        <v>13</v>
      </c>
    </row>
    <row r="265" spans="1:13">
      <c r="A265">
        <v>0</v>
      </c>
      <c r="B265" t="s">
        <v>13</v>
      </c>
      <c r="C265" t="s">
        <v>13</v>
      </c>
      <c r="D265" t="s">
        <v>13</v>
      </c>
      <c r="E265" t="s">
        <v>13</v>
      </c>
      <c r="F265" t="s">
        <v>13</v>
      </c>
      <c r="G265" t="s">
        <v>13</v>
      </c>
      <c r="H265" t="s">
        <v>13</v>
      </c>
      <c r="I265" t="s">
        <v>13</v>
      </c>
      <c r="J265" t="s">
        <v>13</v>
      </c>
      <c r="K265" t="s">
        <v>13</v>
      </c>
      <c r="L265" t="s">
        <v>13</v>
      </c>
      <c r="M265" t="s">
        <v>13</v>
      </c>
    </row>
    <row r="266" spans="1:13">
      <c r="A266">
        <v>0</v>
      </c>
      <c r="B266" t="s">
        <v>13</v>
      </c>
      <c r="C266" t="s">
        <v>13</v>
      </c>
      <c r="D266" t="s">
        <v>13</v>
      </c>
      <c r="E266" t="s">
        <v>13</v>
      </c>
      <c r="F266" t="s">
        <v>13</v>
      </c>
      <c r="G266" t="s">
        <v>13</v>
      </c>
      <c r="H266" t="s">
        <v>13</v>
      </c>
      <c r="I266" t="s">
        <v>13</v>
      </c>
      <c r="J266" t="s">
        <v>13</v>
      </c>
      <c r="K266" t="s">
        <v>13</v>
      </c>
      <c r="L266" t="s">
        <v>13</v>
      </c>
      <c r="M266" t="s">
        <v>13</v>
      </c>
    </row>
    <row r="267" spans="1:13">
      <c r="A267">
        <v>0</v>
      </c>
      <c r="B267" t="s">
        <v>13</v>
      </c>
      <c r="C267" t="s">
        <v>13</v>
      </c>
      <c r="D267" t="s">
        <v>13</v>
      </c>
      <c r="E267" t="s">
        <v>13</v>
      </c>
      <c r="F267" t="s">
        <v>13</v>
      </c>
      <c r="G267" t="s">
        <v>13</v>
      </c>
      <c r="H267" t="s">
        <v>13</v>
      </c>
      <c r="I267" t="s">
        <v>13</v>
      </c>
      <c r="J267" t="s">
        <v>13</v>
      </c>
      <c r="K267" t="s">
        <v>13</v>
      </c>
      <c r="L267" t="s">
        <v>13</v>
      </c>
      <c r="M267" t="s">
        <v>13</v>
      </c>
    </row>
    <row r="268" spans="1:13">
      <c r="A268">
        <v>0</v>
      </c>
      <c r="B268" t="s">
        <v>13</v>
      </c>
      <c r="C268" t="s">
        <v>13</v>
      </c>
      <c r="D268" t="s">
        <v>13</v>
      </c>
      <c r="E268" t="s">
        <v>13</v>
      </c>
      <c r="F268" t="s">
        <v>13</v>
      </c>
      <c r="G268" t="s">
        <v>13</v>
      </c>
      <c r="H268" t="s">
        <v>13</v>
      </c>
      <c r="I268" t="s">
        <v>13</v>
      </c>
      <c r="J268" t="s">
        <v>13</v>
      </c>
      <c r="K268" t="s">
        <v>13</v>
      </c>
      <c r="L268" t="s">
        <v>13</v>
      </c>
      <c r="M268" t="s">
        <v>13</v>
      </c>
    </row>
    <row r="269" spans="1:13">
      <c r="A269">
        <v>0</v>
      </c>
      <c r="B269" t="s">
        <v>13</v>
      </c>
      <c r="C269" t="s">
        <v>13</v>
      </c>
      <c r="D269" t="s">
        <v>13</v>
      </c>
      <c r="E269" t="s">
        <v>13</v>
      </c>
      <c r="F269" t="s">
        <v>13</v>
      </c>
      <c r="G269" t="s">
        <v>13</v>
      </c>
      <c r="H269" t="s">
        <v>13</v>
      </c>
      <c r="I269" t="s">
        <v>13</v>
      </c>
      <c r="J269" t="s">
        <v>13</v>
      </c>
      <c r="K269" t="s">
        <v>13</v>
      </c>
      <c r="L269" t="s">
        <v>13</v>
      </c>
      <c r="M269" t="s">
        <v>13</v>
      </c>
    </row>
    <row r="270" spans="1:13">
      <c r="A270">
        <v>0</v>
      </c>
      <c r="B270" t="s">
        <v>13</v>
      </c>
      <c r="C270" t="s">
        <v>13</v>
      </c>
      <c r="D270" t="s">
        <v>13</v>
      </c>
      <c r="E270" t="s">
        <v>13</v>
      </c>
      <c r="F270" t="s">
        <v>13</v>
      </c>
      <c r="G270" t="s">
        <v>13</v>
      </c>
      <c r="H270" t="s">
        <v>13</v>
      </c>
      <c r="I270" t="s">
        <v>13</v>
      </c>
      <c r="J270" t="s">
        <v>13</v>
      </c>
      <c r="K270" t="s">
        <v>13</v>
      </c>
      <c r="L270" t="s">
        <v>13</v>
      </c>
      <c r="M270" t="s">
        <v>13</v>
      </c>
    </row>
    <row r="271" spans="1:13">
      <c r="A271">
        <v>0</v>
      </c>
      <c r="B271" t="s">
        <v>13</v>
      </c>
      <c r="C271" t="s">
        <v>13</v>
      </c>
      <c r="D271" t="s">
        <v>13</v>
      </c>
      <c r="E271" t="s">
        <v>13</v>
      </c>
      <c r="F271" t="s">
        <v>13</v>
      </c>
      <c r="G271" t="s">
        <v>13</v>
      </c>
      <c r="H271" t="s">
        <v>13</v>
      </c>
      <c r="I271" t="s">
        <v>13</v>
      </c>
      <c r="J271" t="s">
        <v>13</v>
      </c>
      <c r="K271" t="s">
        <v>13</v>
      </c>
      <c r="L271" t="s">
        <v>13</v>
      </c>
      <c r="M271" t="s">
        <v>13</v>
      </c>
    </row>
    <row r="272" spans="1:13">
      <c r="A272">
        <v>0</v>
      </c>
      <c r="B272" t="s">
        <v>13</v>
      </c>
      <c r="C272" t="s">
        <v>13</v>
      </c>
      <c r="D272" t="s">
        <v>13</v>
      </c>
      <c r="E272" t="s">
        <v>13</v>
      </c>
      <c r="F272" t="s">
        <v>13</v>
      </c>
      <c r="G272" t="s">
        <v>13</v>
      </c>
      <c r="H272" t="s">
        <v>13</v>
      </c>
      <c r="I272" t="s">
        <v>13</v>
      </c>
      <c r="J272" t="s">
        <v>13</v>
      </c>
      <c r="K272" t="s">
        <v>13</v>
      </c>
      <c r="L272" t="s">
        <v>13</v>
      </c>
      <c r="M272" t="s">
        <v>13</v>
      </c>
    </row>
    <row r="273" spans="1:13">
      <c r="A273">
        <v>0</v>
      </c>
      <c r="B273" t="s">
        <v>13</v>
      </c>
      <c r="C273" t="s">
        <v>13</v>
      </c>
      <c r="D273" t="s">
        <v>13</v>
      </c>
      <c r="E273" t="s">
        <v>13</v>
      </c>
      <c r="F273" t="s">
        <v>13</v>
      </c>
      <c r="G273" t="s">
        <v>13</v>
      </c>
      <c r="H273" t="s">
        <v>13</v>
      </c>
      <c r="I273" t="s">
        <v>13</v>
      </c>
      <c r="J273" t="s">
        <v>13</v>
      </c>
      <c r="K273" t="s">
        <v>13</v>
      </c>
      <c r="L273" t="s">
        <v>13</v>
      </c>
      <c r="M273" t="s">
        <v>13</v>
      </c>
    </row>
    <row r="274" spans="1:13">
      <c r="A274">
        <v>0</v>
      </c>
      <c r="B274" t="s">
        <v>13</v>
      </c>
      <c r="C274" t="s">
        <v>13</v>
      </c>
      <c r="D274" t="s">
        <v>13</v>
      </c>
      <c r="E274" t="s">
        <v>13</v>
      </c>
      <c r="F274" t="s">
        <v>13</v>
      </c>
      <c r="G274" t="s">
        <v>13</v>
      </c>
      <c r="H274" t="s">
        <v>13</v>
      </c>
      <c r="I274" t="s">
        <v>13</v>
      </c>
      <c r="J274" t="s">
        <v>13</v>
      </c>
      <c r="K274" t="s">
        <v>13</v>
      </c>
      <c r="L274" t="s">
        <v>13</v>
      </c>
      <c r="M274" t="s">
        <v>13</v>
      </c>
    </row>
    <row r="275" spans="1:13">
      <c r="A275">
        <v>0</v>
      </c>
      <c r="B275" t="s">
        <v>13</v>
      </c>
      <c r="C275" t="s">
        <v>13</v>
      </c>
      <c r="D275" t="s">
        <v>13</v>
      </c>
      <c r="E275" t="s">
        <v>13</v>
      </c>
      <c r="F275" t="s">
        <v>13</v>
      </c>
      <c r="G275" t="s">
        <v>13</v>
      </c>
      <c r="H275" t="s">
        <v>13</v>
      </c>
      <c r="I275" t="s">
        <v>13</v>
      </c>
      <c r="J275" t="s">
        <v>13</v>
      </c>
      <c r="K275" t="s">
        <v>13</v>
      </c>
      <c r="L275" t="s">
        <v>13</v>
      </c>
      <c r="M275" t="s">
        <v>13</v>
      </c>
    </row>
    <row r="276" spans="1:13">
      <c r="A276">
        <v>0</v>
      </c>
      <c r="B276" t="s">
        <v>13</v>
      </c>
      <c r="C276" t="s">
        <v>13</v>
      </c>
      <c r="D276" t="s">
        <v>13</v>
      </c>
      <c r="E276" t="s">
        <v>13</v>
      </c>
      <c r="F276" t="s">
        <v>13</v>
      </c>
      <c r="G276" t="s">
        <v>13</v>
      </c>
      <c r="H276" t="s">
        <v>13</v>
      </c>
      <c r="I276" t="s">
        <v>13</v>
      </c>
      <c r="J276" t="s">
        <v>13</v>
      </c>
      <c r="K276" t="s">
        <v>13</v>
      </c>
      <c r="L276" t="s">
        <v>13</v>
      </c>
      <c r="M276" t="s">
        <v>13</v>
      </c>
    </row>
    <row r="277" spans="1:13">
      <c r="A277">
        <v>0</v>
      </c>
      <c r="B277" t="s">
        <v>13</v>
      </c>
      <c r="C277" t="s">
        <v>13</v>
      </c>
      <c r="D277" t="s">
        <v>13</v>
      </c>
      <c r="E277" t="s">
        <v>13</v>
      </c>
      <c r="F277" t="s">
        <v>13</v>
      </c>
      <c r="G277" t="s">
        <v>13</v>
      </c>
      <c r="H277" t="s">
        <v>13</v>
      </c>
      <c r="I277" t="s">
        <v>13</v>
      </c>
      <c r="J277" t="s">
        <v>13</v>
      </c>
      <c r="K277" t="s">
        <v>13</v>
      </c>
      <c r="L277" t="s">
        <v>13</v>
      </c>
      <c r="M277" t="s">
        <v>13</v>
      </c>
    </row>
    <row r="278" spans="1:13">
      <c r="A278">
        <v>0</v>
      </c>
      <c r="B278" t="s">
        <v>13</v>
      </c>
      <c r="C278" t="s">
        <v>13</v>
      </c>
      <c r="D278" t="s">
        <v>13</v>
      </c>
      <c r="E278" t="s">
        <v>13</v>
      </c>
      <c r="F278" t="s">
        <v>13</v>
      </c>
      <c r="G278" t="s">
        <v>13</v>
      </c>
      <c r="H278" t="s">
        <v>13</v>
      </c>
      <c r="I278" t="s">
        <v>13</v>
      </c>
      <c r="J278" t="s">
        <v>13</v>
      </c>
      <c r="K278" t="s">
        <v>13</v>
      </c>
      <c r="L278" t="s">
        <v>13</v>
      </c>
      <c r="M278" t="s">
        <v>13</v>
      </c>
    </row>
    <row r="279" spans="1:13">
      <c r="A279">
        <v>0</v>
      </c>
      <c r="B279" t="s">
        <v>13</v>
      </c>
      <c r="C279" t="s">
        <v>13</v>
      </c>
      <c r="D279" t="s">
        <v>13</v>
      </c>
      <c r="E279" t="s">
        <v>13</v>
      </c>
      <c r="F279" t="s">
        <v>13</v>
      </c>
      <c r="G279" t="s">
        <v>13</v>
      </c>
      <c r="H279" t="s">
        <v>13</v>
      </c>
      <c r="I279" t="s">
        <v>13</v>
      </c>
      <c r="J279" t="s">
        <v>13</v>
      </c>
      <c r="K279" t="s">
        <v>13</v>
      </c>
      <c r="L279" t="s">
        <v>13</v>
      </c>
      <c r="M279" t="s">
        <v>13</v>
      </c>
    </row>
    <row r="280" spans="1:13">
      <c r="A280">
        <v>0</v>
      </c>
      <c r="B280" t="s">
        <v>13</v>
      </c>
      <c r="C280" t="s">
        <v>13</v>
      </c>
      <c r="D280" t="s">
        <v>13</v>
      </c>
      <c r="E280" t="s">
        <v>13</v>
      </c>
      <c r="F280" t="s">
        <v>13</v>
      </c>
      <c r="G280" t="s">
        <v>13</v>
      </c>
      <c r="H280" t="s">
        <v>13</v>
      </c>
      <c r="I280" t="s">
        <v>13</v>
      </c>
      <c r="J280" t="s">
        <v>13</v>
      </c>
      <c r="K280" t="s">
        <v>13</v>
      </c>
      <c r="L280" t="s">
        <v>13</v>
      </c>
      <c r="M280" t="s">
        <v>13</v>
      </c>
    </row>
    <row r="281" spans="1:13">
      <c r="A281">
        <v>0</v>
      </c>
      <c r="B281" t="s">
        <v>13</v>
      </c>
      <c r="C281" t="s">
        <v>13</v>
      </c>
      <c r="D281" t="s">
        <v>13</v>
      </c>
      <c r="E281" t="s">
        <v>13</v>
      </c>
      <c r="F281" t="s">
        <v>13</v>
      </c>
      <c r="G281" t="s">
        <v>13</v>
      </c>
      <c r="H281" t="s">
        <v>13</v>
      </c>
      <c r="I281" t="s">
        <v>13</v>
      </c>
      <c r="J281" t="s">
        <v>13</v>
      </c>
      <c r="K281" t="s">
        <v>13</v>
      </c>
      <c r="L281" t="s">
        <v>13</v>
      </c>
      <c r="M281" t="s">
        <v>13</v>
      </c>
    </row>
    <row r="282" spans="1:13">
      <c r="A282">
        <v>0</v>
      </c>
      <c r="B282" t="s">
        <v>13</v>
      </c>
      <c r="C282" t="s">
        <v>13</v>
      </c>
      <c r="D282" t="s">
        <v>13</v>
      </c>
      <c r="E282" t="s">
        <v>13</v>
      </c>
      <c r="F282" t="s">
        <v>13</v>
      </c>
      <c r="G282" t="s">
        <v>13</v>
      </c>
      <c r="H282" t="s">
        <v>13</v>
      </c>
      <c r="I282" t="s">
        <v>13</v>
      </c>
      <c r="J282" t="s">
        <v>13</v>
      </c>
      <c r="K282" t="s">
        <v>13</v>
      </c>
      <c r="L282" t="s">
        <v>13</v>
      </c>
      <c r="M282" t="s">
        <v>13</v>
      </c>
    </row>
    <row r="283" spans="1:13">
      <c r="A283">
        <v>0</v>
      </c>
      <c r="B283" t="s">
        <v>13</v>
      </c>
      <c r="C283" t="s">
        <v>13</v>
      </c>
      <c r="D283" t="s">
        <v>13</v>
      </c>
      <c r="E283" t="s">
        <v>13</v>
      </c>
      <c r="F283" t="s">
        <v>13</v>
      </c>
      <c r="G283" t="s">
        <v>13</v>
      </c>
      <c r="H283" t="s">
        <v>13</v>
      </c>
      <c r="I283" t="s">
        <v>13</v>
      </c>
      <c r="J283" t="s">
        <v>13</v>
      </c>
      <c r="K283" t="s">
        <v>13</v>
      </c>
      <c r="L283" t="s">
        <v>13</v>
      </c>
      <c r="M283" t="s">
        <v>13</v>
      </c>
    </row>
    <row r="284" spans="1:13">
      <c r="A284">
        <v>0</v>
      </c>
      <c r="B284" t="s">
        <v>13</v>
      </c>
      <c r="C284" t="s">
        <v>13</v>
      </c>
      <c r="D284" t="s">
        <v>13</v>
      </c>
      <c r="E284" t="s">
        <v>13</v>
      </c>
      <c r="F284" t="s">
        <v>13</v>
      </c>
      <c r="G284" t="s">
        <v>13</v>
      </c>
      <c r="H284" t="s">
        <v>13</v>
      </c>
      <c r="I284" t="s">
        <v>13</v>
      </c>
      <c r="J284" t="s">
        <v>13</v>
      </c>
      <c r="K284" t="s">
        <v>13</v>
      </c>
      <c r="L284" t="s">
        <v>13</v>
      </c>
      <c r="M284" t="s">
        <v>13</v>
      </c>
    </row>
    <row r="285" spans="1:13" hidden="1">
      <c r="A285" t="s">
        <v>22</v>
      </c>
      <c r="B285" t="s">
        <v>23</v>
      </c>
      <c r="C285" t="s">
        <v>24</v>
      </c>
      <c r="D285" t="s">
        <v>25</v>
      </c>
      <c r="E285" t="s">
        <v>26</v>
      </c>
      <c r="F285" t="s">
        <v>27</v>
      </c>
      <c r="G285" t="s">
        <v>13</v>
      </c>
      <c r="H285" t="s">
        <v>13</v>
      </c>
      <c r="I285" t="s">
        <v>13</v>
      </c>
      <c r="J285" t="s">
        <v>13</v>
      </c>
      <c r="K285">
        <v>45603</v>
      </c>
      <c r="L285" t="s">
        <v>13</v>
      </c>
      <c r="M285" t="s">
        <v>13</v>
      </c>
    </row>
    <row r="286" spans="1:13">
      <c r="A286">
        <v>0</v>
      </c>
      <c r="B286" t="s">
        <v>13</v>
      </c>
      <c r="C286" t="s">
        <v>13</v>
      </c>
      <c r="D286" t="s">
        <v>13</v>
      </c>
      <c r="E286" t="s">
        <v>13</v>
      </c>
      <c r="F286" t="s">
        <v>13</v>
      </c>
      <c r="G286" t="s">
        <v>13</v>
      </c>
      <c r="H286" t="s">
        <v>13</v>
      </c>
      <c r="I286" t="s">
        <v>13</v>
      </c>
      <c r="J286" t="s">
        <v>13</v>
      </c>
      <c r="K286" t="s">
        <v>13</v>
      </c>
      <c r="L286" t="s">
        <v>13</v>
      </c>
      <c r="M286" t="s">
        <v>13</v>
      </c>
    </row>
    <row r="287" spans="1:13" hidden="1">
      <c r="A287" t="s">
        <v>28</v>
      </c>
      <c r="B287" t="s">
        <v>29</v>
      </c>
      <c r="C287" t="s">
        <v>24</v>
      </c>
      <c r="D287" t="s">
        <v>25</v>
      </c>
      <c r="E287" t="s">
        <v>30</v>
      </c>
      <c r="F287" t="s">
        <v>31</v>
      </c>
      <c r="G287" t="s">
        <v>13</v>
      </c>
      <c r="H287" t="s">
        <v>13</v>
      </c>
      <c r="I287" t="s">
        <v>13</v>
      </c>
      <c r="J287" t="s">
        <v>13</v>
      </c>
      <c r="K287" t="s">
        <v>32</v>
      </c>
      <c r="L287" t="s">
        <v>13</v>
      </c>
      <c r="M287" t="s">
        <v>13</v>
      </c>
    </row>
    <row r="288" spans="1:13" hidden="1">
      <c r="A288" t="s">
        <v>33</v>
      </c>
      <c r="B288" t="s">
        <v>29</v>
      </c>
      <c r="C288" t="s">
        <v>24</v>
      </c>
      <c r="D288" t="s">
        <v>25</v>
      </c>
      <c r="E288" t="s">
        <v>34</v>
      </c>
      <c r="F288" t="s">
        <v>35</v>
      </c>
      <c r="G288" t="s">
        <v>13</v>
      </c>
      <c r="H288" t="s">
        <v>13</v>
      </c>
      <c r="I288" t="s">
        <v>13</v>
      </c>
      <c r="J288" t="s">
        <v>13</v>
      </c>
      <c r="K288">
        <v>45329</v>
      </c>
      <c r="L288" t="s">
        <v>13</v>
      </c>
      <c r="M288" t="s">
        <v>13</v>
      </c>
    </row>
    <row r="289" spans="1:13" hidden="1">
      <c r="A289" t="s">
        <v>36</v>
      </c>
      <c r="B289" t="s">
        <v>29</v>
      </c>
      <c r="C289" t="s">
        <v>24</v>
      </c>
      <c r="D289" t="s">
        <v>25</v>
      </c>
      <c r="E289" t="s">
        <v>37</v>
      </c>
      <c r="F289" t="s">
        <v>38</v>
      </c>
      <c r="G289" t="s">
        <v>13</v>
      </c>
      <c r="H289" t="s">
        <v>13</v>
      </c>
      <c r="I289" t="s">
        <v>13</v>
      </c>
      <c r="J289" t="s">
        <v>13</v>
      </c>
      <c r="K289">
        <v>45386</v>
      </c>
      <c r="L289" t="s">
        <v>13</v>
      </c>
      <c r="M289" t="s">
        <v>13</v>
      </c>
    </row>
    <row r="290" spans="1:13" hidden="1">
      <c r="A290" t="s">
        <v>28</v>
      </c>
      <c r="B290" t="s">
        <v>29</v>
      </c>
      <c r="C290" t="s">
        <v>24</v>
      </c>
      <c r="D290" t="s">
        <v>25</v>
      </c>
      <c r="E290" t="s">
        <v>30</v>
      </c>
      <c r="F290" t="s">
        <v>31</v>
      </c>
      <c r="G290" t="s">
        <v>13</v>
      </c>
      <c r="H290" t="s">
        <v>13</v>
      </c>
      <c r="I290" t="s">
        <v>13</v>
      </c>
      <c r="J290" t="s">
        <v>13</v>
      </c>
      <c r="K290" t="s">
        <v>32</v>
      </c>
      <c r="L290" t="s">
        <v>13</v>
      </c>
      <c r="M290" t="s">
        <v>13</v>
      </c>
    </row>
    <row r="291" spans="1:13" hidden="1">
      <c r="A291" t="s">
        <v>28</v>
      </c>
      <c r="B291" t="s">
        <v>29</v>
      </c>
      <c r="C291" t="s">
        <v>24</v>
      </c>
      <c r="D291" t="s">
        <v>25</v>
      </c>
      <c r="E291" t="s">
        <v>30</v>
      </c>
      <c r="F291" t="s">
        <v>31</v>
      </c>
      <c r="G291" t="s">
        <v>13</v>
      </c>
      <c r="H291" t="s">
        <v>13</v>
      </c>
      <c r="I291" t="s">
        <v>13</v>
      </c>
      <c r="J291" t="s">
        <v>13</v>
      </c>
      <c r="K291" t="s">
        <v>32</v>
      </c>
      <c r="L291" t="s">
        <v>13</v>
      </c>
      <c r="M291" t="s">
        <v>13</v>
      </c>
    </row>
    <row r="292" spans="1:13" hidden="1">
      <c r="A292" t="s">
        <v>33</v>
      </c>
      <c r="B292" t="s">
        <v>29</v>
      </c>
      <c r="C292" t="s">
        <v>24</v>
      </c>
      <c r="D292" t="s">
        <v>25</v>
      </c>
      <c r="E292" t="s">
        <v>34</v>
      </c>
      <c r="F292" t="s">
        <v>35</v>
      </c>
      <c r="G292" t="s">
        <v>13</v>
      </c>
      <c r="H292" t="s">
        <v>13</v>
      </c>
      <c r="I292" t="s">
        <v>13</v>
      </c>
      <c r="J292" t="s">
        <v>13</v>
      </c>
      <c r="K292">
        <v>45329</v>
      </c>
      <c r="L292" t="s">
        <v>13</v>
      </c>
      <c r="M292" t="s">
        <v>13</v>
      </c>
    </row>
    <row r="293" spans="1:13">
      <c r="A293">
        <v>0</v>
      </c>
      <c r="B293" t="s">
        <v>13</v>
      </c>
      <c r="C293" t="s">
        <v>13</v>
      </c>
      <c r="D293" t="s">
        <v>13</v>
      </c>
      <c r="E293" t="s">
        <v>13</v>
      </c>
      <c r="F293" t="s">
        <v>13</v>
      </c>
      <c r="G293" t="s">
        <v>13</v>
      </c>
      <c r="H293" t="s">
        <v>13</v>
      </c>
      <c r="I293" t="s">
        <v>13</v>
      </c>
      <c r="J293" t="s">
        <v>13</v>
      </c>
      <c r="K293" t="s">
        <v>13</v>
      </c>
      <c r="L293" t="s">
        <v>13</v>
      </c>
      <c r="M293" t="s">
        <v>13</v>
      </c>
    </row>
    <row r="294" spans="1:13" hidden="1">
      <c r="A294" t="s">
        <v>39</v>
      </c>
      <c r="B294" t="s">
        <v>23</v>
      </c>
      <c r="C294" t="s">
        <v>24</v>
      </c>
      <c r="D294" t="s">
        <v>25</v>
      </c>
      <c r="E294">
        <v>0</v>
      </c>
      <c r="F294" t="s">
        <v>40</v>
      </c>
      <c r="G294" t="s">
        <v>13</v>
      </c>
      <c r="H294" t="s">
        <v>13</v>
      </c>
      <c r="I294" t="s">
        <v>13</v>
      </c>
      <c r="J294" t="s">
        <v>13</v>
      </c>
      <c r="K294" t="s">
        <v>41</v>
      </c>
      <c r="L294" t="s">
        <v>13</v>
      </c>
      <c r="M294" t="s">
        <v>13</v>
      </c>
    </row>
    <row r="295" spans="1:13">
      <c r="A295">
        <v>0</v>
      </c>
      <c r="B295" t="s">
        <v>13</v>
      </c>
      <c r="C295" t="s">
        <v>13</v>
      </c>
      <c r="D295" t="s">
        <v>13</v>
      </c>
      <c r="E295" t="s">
        <v>13</v>
      </c>
      <c r="F295" t="s">
        <v>13</v>
      </c>
      <c r="G295" t="s">
        <v>13</v>
      </c>
      <c r="H295" t="s">
        <v>13</v>
      </c>
      <c r="I295" t="s">
        <v>13</v>
      </c>
      <c r="J295" t="s">
        <v>13</v>
      </c>
      <c r="K295" t="s">
        <v>13</v>
      </c>
      <c r="L295" t="s">
        <v>13</v>
      </c>
      <c r="M295" t="s">
        <v>13</v>
      </c>
    </row>
    <row r="296" spans="1:13" hidden="1">
      <c r="A296" t="s">
        <v>42</v>
      </c>
      <c r="B296" t="s">
        <v>29</v>
      </c>
      <c r="C296" t="s">
        <v>24</v>
      </c>
      <c r="D296" t="s">
        <v>25</v>
      </c>
      <c r="E296">
        <v>0</v>
      </c>
      <c r="F296" t="s">
        <v>43</v>
      </c>
      <c r="G296" t="s">
        <v>13</v>
      </c>
      <c r="H296" t="s">
        <v>13</v>
      </c>
      <c r="I296" t="s">
        <v>13</v>
      </c>
      <c r="J296" t="s">
        <v>13</v>
      </c>
      <c r="K296" t="s">
        <v>44</v>
      </c>
      <c r="L296" t="s">
        <v>13</v>
      </c>
      <c r="M296" t="s">
        <v>13</v>
      </c>
    </row>
    <row r="297" spans="1:13" hidden="1">
      <c r="A297" t="s">
        <v>45</v>
      </c>
      <c r="B297" t="s">
        <v>29</v>
      </c>
      <c r="C297" t="s">
        <v>24</v>
      </c>
      <c r="D297" t="s">
        <v>25</v>
      </c>
      <c r="E297">
        <v>0</v>
      </c>
      <c r="F297" t="s">
        <v>46</v>
      </c>
      <c r="G297" t="s">
        <v>13</v>
      </c>
      <c r="H297" t="s">
        <v>13</v>
      </c>
      <c r="I297" t="s">
        <v>13</v>
      </c>
      <c r="J297" t="s">
        <v>13</v>
      </c>
      <c r="K297" t="s">
        <v>44</v>
      </c>
      <c r="L297" t="s">
        <v>13</v>
      </c>
      <c r="M297" t="s">
        <v>13</v>
      </c>
    </row>
    <row r="298" spans="1:13" hidden="1">
      <c r="A298" t="s">
        <v>47</v>
      </c>
      <c r="B298" t="s">
        <v>29</v>
      </c>
      <c r="C298" t="s">
        <v>24</v>
      </c>
      <c r="D298" t="s">
        <v>25</v>
      </c>
      <c r="E298">
        <v>0</v>
      </c>
      <c r="F298" t="s">
        <v>48</v>
      </c>
      <c r="G298" t="s">
        <v>13</v>
      </c>
      <c r="H298" t="s">
        <v>13</v>
      </c>
      <c r="I298" t="s">
        <v>13</v>
      </c>
      <c r="J298" t="s">
        <v>13</v>
      </c>
      <c r="K298" t="s">
        <v>49</v>
      </c>
      <c r="L298" t="s">
        <v>13</v>
      </c>
      <c r="M298" t="s">
        <v>13</v>
      </c>
    </row>
    <row r="299" spans="1:13">
      <c r="A299">
        <v>0</v>
      </c>
      <c r="B299" t="s">
        <v>13</v>
      </c>
      <c r="C299" t="s">
        <v>13</v>
      </c>
      <c r="D299" t="s">
        <v>13</v>
      </c>
      <c r="E299" t="s">
        <v>13</v>
      </c>
      <c r="F299" t="s">
        <v>13</v>
      </c>
      <c r="G299" t="s">
        <v>13</v>
      </c>
      <c r="H299" t="s">
        <v>13</v>
      </c>
      <c r="I299" t="s">
        <v>13</v>
      </c>
      <c r="J299" t="s">
        <v>13</v>
      </c>
      <c r="K299" t="s">
        <v>13</v>
      </c>
      <c r="L299" t="s">
        <v>13</v>
      </c>
      <c r="M299" t="s">
        <v>13</v>
      </c>
    </row>
    <row r="300" spans="1:13">
      <c r="A300">
        <v>0</v>
      </c>
      <c r="B300" t="s">
        <v>13</v>
      </c>
      <c r="C300" t="s">
        <v>13</v>
      </c>
      <c r="D300" t="s">
        <v>13</v>
      </c>
      <c r="E300" t="s">
        <v>13</v>
      </c>
      <c r="F300" t="s">
        <v>13</v>
      </c>
      <c r="G300" t="s">
        <v>13</v>
      </c>
      <c r="H300" t="s">
        <v>13</v>
      </c>
      <c r="I300" t="s">
        <v>13</v>
      </c>
      <c r="J300" t="s">
        <v>13</v>
      </c>
      <c r="K300" t="s">
        <v>13</v>
      </c>
      <c r="L300" t="s">
        <v>13</v>
      </c>
      <c r="M300" t="s">
        <v>13</v>
      </c>
    </row>
    <row r="301" spans="1:13">
      <c r="A301">
        <v>0</v>
      </c>
      <c r="B301" t="s">
        <v>13</v>
      </c>
      <c r="C301" t="s">
        <v>13</v>
      </c>
      <c r="D301" t="s">
        <v>13</v>
      </c>
      <c r="E301" t="s">
        <v>13</v>
      </c>
      <c r="F301" t="s">
        <v>13</v>
      </c>
      <c r="G301" t="s">
        <v>13</v>
      </c>
      <c r="H301" t="s">
        <v>13</v>
      </c>
      <c r="I301" t="s">
        <v>13</v>
      </c>
      <c r="J301" t="s">
        <v>13</v>
      </c>
      <c r="K301" t="s">
        <v>13</v>
      </c>
      <c r="L301" t="s">
        <v>13</v>
      </c>
      <c r="M301" t="s">
        <v>13</v>
      </c>
    </row>
    <row r="302" spans="1:13" hidden="1">
      <c r="A302" t="s">
        <v>50</v>
      </c>
      <c r="B302" t="s">
        <v>51</v>
      </c>
      <c r="C302" t="s">
        <v>24</v>
      </c>
      <c r="D302" t="s">
        <v>25</v>
      </c>
      <c r="E302">
        <v>0</v>
      </c>
      <c r="F302" t="s">
        <v>52</v>
      </c>
      <c r="G302" t="s">
        <v>13</v>
      </c>
      <c r="H302" t="s">
        <v>13</v>
      </c>
      <c r="I302" t="s">
        <v>13</v>
      </c>
      <c r="J302" t="s">
        <v>13</v>
      </c>
      <c r="K302" t="s">
        <v>53</v>
      </c>
      <c r="L302" t="s">
        <v>13</v>
      </c>
      <c r="M302" t="s">
        <v>13</v>
      </c>
    </row>
    <row r="303" spans="1:13" hidden="1">
      <c r="A303" t="s">
        <v>54</v>
      </c>
      <c r="B303" t="s">
        <v>55</v>
      </c>
      <c r="C303" t="s">
        <v>24</v>
      </c>
      <c r="D303" t="s">
        <v>25</v>
      </c>
      <c r="E303">
        <v>0</v>
      </c>
      <c r="F303" t="s">
        <v>56</v>
      </c>
      <c r="G303" t="s">
        <v>13</v>
      </c>
      <c r="H303" t="s">
        <v>13</v>
      </c>
      <c r="I303" t="s">
        <v>13</v>
      </c>
      <c r="J303" t="s">
        <v>13</v>
      </c>
      <c r="K303" t="s">
        <v>57</v>
      </c>
      <c r="L303" t="s">
        <v>13</v>
      </c>
      <c r="M303" t="s">
        <v>13</v>
      </c>
    </row>
    <row r="304" spans="1:13">
      <c r="A304">
        <v>0</v>
      </c>
      <c r="B304" t="s">
        <v>13</v>
      </c>
      <c r="C304" t="s">
        <v>13</v>
      </c>
      <c r="D304" t="s">
        <v>13</v>
      </c>
      <c r="E304" t="s">
        <v>13</v>
      </c>
      <c r="F304" t="s">
        <v>13</v>
      </c>
      <c r="G304" t="s">
        <v>13</v>
      </c>
      <c r="H304" t="s">
        <v>13</v>
      </c>
      <c r="I304" t="s">
        <v>13</v>
      </c>
      <c r="J304" t="s">
        <v>13</v>
      </c>
      <c r="K304" t="s">
        <v>13</v>
      </c>
      <c r="L304" t="s">
        <v>13</v>
      </c>
      <c r="M304" t="s">
        <v>13</v>
      </c>
    </row>
    <row r="305" spans="1:13">
      <c r="A305">
        <v>0</v>
      </c>
      <c r="B305" t="s">
        <v>13</v>
      </c>
      <c r="C305" t="s">
        <v>13</v>
      </c>
      <c r="D305" t="s">
        <v>13</v>
      </c>
      <c r="E305" t="s">
        <v>13</v>
      </c>
      <c r="F305" t="s">
        <v>13</v>
      </c>
      <c r="G305" t="s">
        <v>13</v>
      </c>
      <c r="H305" t="s">
        <v>13</v>
      </c>
      <c r="I305" t="s">
        <v>13</v>
      </c>
      <c r="J305" t="s">
        <v>13</v>
      </c>
      <c r="K305" t="s">
        <v>13</v>
      </c>
      <c r="L305" t="s">
        <v>13</v>
      </c>
      <c r="M305" t="s">
        <v>13</v>
      </c>
    </row>
    <row r="306" spans="1:13" hidden="1">
      <c r="A306" t="s">
        <v>58</v>
      </c>
      <c r="B306" t="s">
        <v>59</v>
      </c>
      <c r="C306" t="s">
        <v>24</v>
      </c>
      <c r="D306" t="s">
        <v>25</v>
      </c>
      <c r="E306">
        <v>0</v>
      </c>
      <c r="F306" t="s">
        <v>60</v>
      </c>
      <c r="G306" t="s">
        <v>13</v>
      </c>
      <c r="H306" t="s">
        <v>13</v>
      </c>
      <c r="I306" t="s">
        <v>13</v>
      </c>
      <c r="J306" t="s">
        <v>13</v>
      </c>
      <c r="K306" t="s">
        <v>61</v>
      </c>
      <c r="L306" t="s">
        <v>13</v>
      </c>
      <c r="M306" t="s">
        <v>13</v>
      </c>
    </row>
    <row r="307" spans="1:13" hidden="1">
      <c r="A307" t="s">
        <v>54</v>
      </c>
      <c r="B307" t="s">
        <v>55</v>
      </c>
      <c r="C307" t="s">
        <v>24</v>
      </c>
      <c r="D307" t="s">
        <v>25</v>
      </c>
      <c r="E307">
        <v>0</v>
      </c>
      <c r="F307" t="s">
        <v>56</v>
      </c>
      <c r="G307" t="s">
        <v>13</v>
      </c>
      <c r="H307" t="s">
        <v>13</v>
      </c>
      <c r="I307" t="s">
        <v>13</v>
      </c>
      <c r="J307" t="s">
        <v>13</v>
      </c>
      <c r="K307" t="s">
        <v>57</v>
      </c>
      <c r="L307" t="s">
        <v>13</v>
      </c>
      <c r="M307" t="s">
        <v>13</v>
      </c>
    </row>
    <row r="308" spans="1:13">
      <c r="A308">
        <v>0</v>
      </c>
      <c r="B308" t="s">
        <v>13</v>
      </c>
      <c r="C308" t="s">
        <v>13</v>
      </c>
      <c r="D308" t="s">
        <v>13</v>
      </c>
      <c r="E308" t="s">
        <v>13</v>
      </c>
      <c r="F308" t="s">
        <v>13</v>
      </c>
      <c r="G308" t="s">
        <v>13</v>
      </c>
      <c r="H308" t="s">
        <v>13</v>
      </c>
      <c r="I308" t="s">
        <v>13</v>
      </c>
      <c r="J308" t="s">
        <v>13</v>
      </c>
      <c r="K308" t="s">
        <v>13</v>
      </c>
      <c r="L308" t="s">
        <v>13</v>
      </c>
      <c r="M308" t="s">
        <v>13</v>
      </c>
    </row>
    <row r="309" spans="1:13">
      <c r="A309">
        <v>0</v>
      </c>
      <c r="B309" t="s">
        <v>13</v>
      </c>
      <c r="C309" t="s">
        <v>13</v>
      </c>
      <c r="D309" t="s">
        <v>13</v>
      </c>
      <c r="E309" t="s">
        <v>13</v>
      </c>
      <c r="F309" t="s">
        <v>13</v>
      </c>
      <c r="G309" t="s">
        <v>13</v>
      </c>
      <c r="H309" t="s">
        <v>13</v>
      </c>
      <c r="I309" t="s">
        <v>13</v>
      </c>
      <c r="J309" t="s">
        <v>13</v>
      </c>
      <c r="K309" t="s">
        <v>13</v>
      </c>
      <c r="L309" t="s">
        <v>13</v>
      </c>
      <c r="M309" t="s">
        <v>13</v>
      </c>
    </row>
    <row r="310" spans="1:13" hidden="1">
      <c r="A310" t="s">
        <v>62</v>
      </c>
      <c r="B310" t="s">
        <v>51</v>
      </c>
      <c r="C310" t="s">
        <v>24</v>
      </c>
      <c r="D310" t="s">
        <v>25</v>
      </c>
      <c r="E310">
        <v>0</v>
      </c>
      <c r="F310" t="s">
        <v>63</v>
      </c>
      <c r="G310" t="s">
        <v>13</v>
      </c>
      <c r="H310" t="s">
        <v>13</v>
      </c>
      <c r="I310" t="s">
        <v>13</v>
      </c>
      <c r="J310" t="s">
        <v>13</v>
      </c>
      <c r="K310">
        <v>45175</v>
      </c>
      <c r="L310" t="s">
        <v>13</v>
      </c>
      <c r="M310" t="s">
        <v>13</v>
      </c>
    </row>
    <row r="311" spans="1:13">
      <c r="A311">
        <v>0</v>
      </c>
      <c r="B311" t="s">
        <v>13</v>
      </c>
      <c r="C311" t="s">
        <v>13</v>
      </c>
      <c r="D311" t="s">
        <v>13</v>
      </c>
      <c r="E311" t="s">
        <v>13</v>
      </c>
      <c r="F311" t="s">
        <v>13</v>
      </c>
      <c r="G311" t="s">
        <v>13</v>
      </c>
      <c r="H311" t="s">
        <v>13</v>
      </c>
      <c r="I311" t="s">
        <v>13</v>
      </c>
      <c r="J311" t="s">
        <v>13</v>
      </c>
      <c r="K311" t="s">
        <v>13</v>
      </c>
      <c r="L311" t="s">
        <v>13</v>
      </c>
      <c r="M311" t="s">
        <v>13</v>
      </c>
    </row>
    <row r="312" spans="1:13">
      <c r="A312">
        <v>0</v>
      </c>
      <c r="B312" t="s">
        <v>13</v>
      </c>
      <c r="C312" t="s">
        <v>13</v>
      </c>
      <c r="D312" t="s">
        <v>13</v>
      </c>
      <c r="E312" t="s">
        <v>13</v>
      </c>
      <c r="F312" t="s">
        <v>13</v>
      </c>
      <c r="G312" t="s">
        <v>13</v>
      </c>
      <c r="H312" t="s">
        <v>13</v>
      </c>
      <c r="I312" t="s">
        <v>13</v>
      </c>
      <c r="J312" t="s">
        <v>13</v>
      </c>
      <c r="K312" t="s">
        <v>13</v>
      </c>
      <c r="L312" t="s">
        <v>13</v>
      </c>
      <c r="M312" t="s">
        <v>13</v>
      </c>
    </row>
    <row r="313" spans="1:13" hidden="1">
      <c r="A313" t="s">
        <v>50</v>
      </c>
      <c r="B313" t="s">
        <v>51</v>
      </c>
      <c r="C313" t="s">
        <v>24</v>
      </c>
      <c r="D313" t="s">
        <v>25</v>
      </c>
      <c r="E313">
        <v>0</v>
      </c>
      <c r="F313" t="s">
        <v>52</v>
      </c>
      <c r="G313" t="s">
        <v>13</v>
      </c>
      <c r="H313" t="s">
        <v>13</v>
      </c>
      <c r="I313" t="s">
        <v>13</v>
      </c>
      <c r="J313" t="s">
        <v>13</v>
      </c>
      <c r="K313" t="s">
        <v>53</v>
      </c>
      <c r="L313" t="s">
        <v>13</v>
      </c>
      <c r="M313" t="s">
        <v>13</v>
      </c>
    </row>
    <row r="314" spans="1:13" hidden="1">
      <c r="A314" t="s">
        <v>64</v>
      </c>
      <c r="B314" t="s">
        <v>65</v>
      </c>
      <c r="C314" t="s">
        <v>24</v>
      </c>
      <c r="D314" t="s">
        <v>25</v>
      </c>
      <c r="E314">
        <v>0</v>
      </c>
      <c r="F314" t="s">
        <v>66</v>
      </c>
      <c r="G314" t="s">
        <v>13</v>
      </c>
      <c r="H314" t="s">
        <v>13</v>
      </c>
      <c r="I314" t="s">
        <v>13</v>
      </c>
      <c r="J314" t="s">
        <v>13</v>
      </c>
      <c r="K314" t="s">
        <v>67</v>
      </c>
      <c r="L314" t="s">
        <v>13</v>
      </c>
      <c r="M314" t="s">
        <v>13</v>
      </c>
    </row>
    <row r="315" spans="1:13">
      <c r="A315">
        <v>0</v>
      </c>
      <c r="B315" t="s">
        <v>13</v>
      </c>
      <c r="C315" t="s">
        <v>13</v>
      </c>
      <c r="D315" t="s">
        <v>13</v>
      </c>
      <c r="E315" t="s">
        <v>13</v>
      </c>
      <c r="F315" t="s">
        <v>13</v>
      </c>
      <c r="G315" t="s">
        <v>13</v>
      </c>
      <c r="H315" t="s">
        <v>13</v>
      </c>
      <c r="I315" t="s">
        <v>13</v>
      </c>
      <c r="J315" t="s">
        <v>13</v>
      </c>
      <c r="K315" t="s">
        <v>13</v>
      </c>
      <c r="L315" t="s">
        <v>13</v>
      </c>
      <c r="M315" t="s">
        <v>13</v>
      </c>
    </row>
    <row r="316" spans="1:13" hidden="1">
      <c r="A316" t="s">
        <v>68</v>
      </c>
      <c r="B316" t="s">
        <v>69</v>
      </c>
      <c r="C316" t="s">
        <v>24</v>
      </c>
      <c r="D316" t="s">
        <v>25</v>
      </c>
      <c r="E316">
        <v>0</v>
      </c>
      <c r="F316" t="s">
        <v>70</v>
      </c>
      <c r="G316" t="s">
        <v>13</v>
      </c>
      <c r="H316" t="s">
        <v>13</v>
      </c>
      <c r="I316" t="s">
        <v>13</v>
      </c>
      <c r="J316" t="s">
        <v>13</v>
      </c>
      <c r="K316" t="s">
        <v>71</v>
      </c>
      <c r="L316" t="s">
        <v>13</v>
      </c>
      <c r="M316" t="s">
        <v>13</v>
      </c>
    </row>
    <row r="317" spans="1:13">
      <c r="A317">
        <v>0</v>
      </c>
      <c r="B317" t="s">
        <v>13</v>
      </c>
      <c r="C317" t="s">
        <v>13</v>
      </c>
      <c r="D317" t="s">
        <v>13</v>
      </c>
      <c r="E317" t="s">
        <v>13</v>
      </c>
      <c r="F317" t="s">
        <v>13</v>
      </c>
      <c r="G317" t="s">
        <v>13</v>
      </c>
      <c r="H317" t="s">
        <v>13</v>
      </c>
      <c r="I317" t="s">
        <v>13</v>
      </c>
      <c r="J317" t="s">
        <v>13</v>
      </c>
      <c r="K317" t="s">
        <v>13</v>
      </c>
      <c r="L317" t="s">
        <v>13</v>
      </c>
      <c r="M317" t="s">
        <v>13</v>
      </c>
    </row>
    <row r="318" spans="1:13" hidden="1">
      <c r="A318" t="s">
        <v>68</v>
      </c>
      <c r="B318" t="s">
        <v>69</v>
      </c>
      <c r="C318" t="s">
        <v>24</v>
      </c>
      <c r="D318" t="s">
        <v>25</v>
      </c>
      <c r="E318">
        <v>0</v>
      </c>
      <c r="F318" t="s">
        <v>70</v>
      </c>
      <c r="G318" t="s">
        <v>13</v>
      </c>
      <c r="H318" t="s">
        <v>13</v>
      </c>
      <c r="I318" t="s">
        <v>13</v>
      </c>
      <c r="J318" t="s">
        <v>13</v>
      </c>
      <c r="K318" t="s">
        <v>71</v>
      </c>
      <c r="L318" t="s">
        <v>13</v>
      </c>
      <c r="M318" t="s">
        <v>13</v>
      </c>
    </row>
    <row r="319" spans="1:13" hidden="1">
      <c r="A319" t="s">
        <v>72</v>
      </c>
      <c r="B319" t="s">
        <v>73</v>
      </c>
      <c r="C319" t="s">
        <v>24</v>
      </c>
      <c r="D319" t="s">
        <v>25</v>
      </c>
      <c r="E319">
        <v>0</v>
      </c>
      <c r="F319" t="s">
        <v>74</v>
      </c>
      <c r="G319" t="s">
        <v>13</v>
      </c>
      <c r="H319" t="s">
        <v>13</v>
      </c>
      <c r="I319" t="s">
        <v>13</v>
      </c>
      <c r="J319" t="s">
        <v>13</v>
      </c>
      <c r="K319" t="s">
        <v>75</v>
      </c>
      <c r="L319" t="s">
        <v>13</v>
      </c>
      <c r="M319" t="s">
        <v>13</v>
      </c>
    </row>
    <row r="320" spans="1:13" hidden="1">
      <c r="A320" t="s">
        <v>76</v>
      </c>
      <c r="B320" t="s">
        <v>29</v>
      </c>
      <c r="C320" t="s">
        <v>24</v>
      </c>
      <c r="D320" t="s">
        <v>25</v>
      </c>
      <c r="E320">
        <v>0</v>
      </c>
      <c r="F320" t="s">
        <v>77</v>
      </c>
      <c r="G320" t="s">
        <v>13</v>
      </c>
      <c r="H320" t="s">
        <v>13</v>
      </c>
      <c r="I320" t="s">
        <v>13</v>
      </c>
      <c r="J320" t="s">
        <v>13</v>
      </c>
      <c r="K320" t="s">
        <v>78</v>
      </c>
      <c r="L320" t="s">
        <v>13</v>
      </c>
      <c r="M320" t="s">
        <v>13</v>
      </c>
    </row>
    <row r="321" spans="1:13" hidden="1">
      <c r="A321" t="s">
        <v>79</v>
      </c>
      <c r="B321" t="s">
        <v>29</v>
      </c>
      <c r="C321" t="s">
        <v>24</v>
      </c>
      <c r="D321" t="s">
        <v>25</v>
      </c>
      <c r="E321">
        <v>0</v>
      </c>
      <c r="F321" t="s">
        <v>80</v>
      </c>
      <c r="G321" t="s">
        <v>13</v>
      </c>
      <c r="H321" t="s">
        <v>13</v>
      </c>
      <c r="I321" t="s">
        <v>13</v>
      </c>
      <c r="J321" t="s">
        <v>13</v>
      </c>
      <c r="K321">
        <v>45110</v>
      </c>
      <c r="L321" t="s">
        <v>13</v>
      </c>
      <c r="M321" t="s">
        <v>13</v>
      </c>
    </row>
    <row r="322" spans="1:13">
      <c r="A322">
        <v>0</v>
      </c>
      <c r="B322" t="s">
        <v>13</v>
      </c>
      <c r="C322" t="s">
        <v>13</v>
      </c>
      <c r="D322" t="s">
        <v>13</v>
      </c>
      <c r="E322" t="s">
        <v>13</v>
      </c>
      <c r="F322" t="s">
        <v>13</v>
      </c>
      <c r="G322" t="s">
        <v>13</v>
      </c>
      <c r="H322" t="s">
        <v>13</v>
      </c>
      <c r="I322" t="s">
        <v>13</v>
      </c>
      <c r="J322" t="s">
        <v>13</v>
      </c>
      <c r="K322" t="s">
        <v>13</v>
      </c>
      <c r="L322" t="s">
        <v>13</v>
      </c>
      <c r="M322" t="s">
        <v>13</v>
      </c>
    </row>
    <row r="323" spans="1:13">
      <c r="A323">
        <v>0</v>
      </c>
      <c r="B323" t="s">
        <v>13</v>
      </c>
      <c r="C323" t="s">
        <v>13</v>
      </c>
      <c r="D323" t="s">
        <v>13</v>
      </c>
      <c r="E323" t="s">
        <v>13</v>
      </c>
      <c r="F323" t="s">
        <v>13</v>
      </c>
      <c r="G323" t="s">
        <v>13</v>
      </c>
      <c r="H323" t="s">
        <v>13</v>
      </c>
      <c r="I323" t="s">
        <v>13</v>
      </c>
      <c r="J323" t="s">
        <v>13</v>
      </c>
      <c r="K323" t="s">
        <v>13</v>
      </c>
      <c r="L323" t="s">
        <v>13</v>
      </c>
      <c r="M323" t="s">
        <v>13</v>
      </c>
    </row>
    <row r="324" spans="1:13">
      <c r="A324" t="s">
        <v>81</v>
      </c>
      <c r="B324" t="s">
        <v>82</v>
      </c>
      <c r="C324" t="s">
        <v>13</v>
      </c>
      <c r="D324" t="s">
        <v>13</v>
      </c>
      <c r="E324" t="s">
        <v>13</v>
      </c>
      <c r="F324" t="s">
        <v>13</v>
      </c>
      <c r="G324" t="s">
        <v>13</v>
      </c>
      <c r="H324" t="s">
        <v>13</v>
      </c>
      <c r="I324" t="s">
        <v>83</v>
      </c>
      <c r="J324" t="s">
        <v>13</v>
      </c>
      <c r="K324" t="s">
        <v>13</v>
      </c>
      <c r="L324" t="s">
        <v>13</v>
      </c>
      <c r="M324" t="s">
        <v>13</v>
      </c>
    </row>
    <row r="325" spans="1:13">
      <c r="A325" t="s">
        <v>84</v>
      </c>
      <c r="B325" t="s">
        <v>85</v>
      </c>
      <c r="C325" t="s">
        <v>86</v>
      </c>
      <c r="D325" t="s">
        <v>87</v>
      </c>
      <c r="E325" t="s">
        <v>88</v>
      </c>
      <c r="F325" t="s">
        <v>89</v>
      </c>
      <c r="G325" t="s">
        <v>13</v>
      </c>
      <c r="H325" t="s">
        <v>90</v>
      </c>
      <c r="I325" t="s">
        <v>13</v>
      </c>
      <c r="J325" t="s">
        <v>91</v>
      </c>
      <c r="K325" s="236" t="s">
        <v>92</v>
      </c>
      <c r="L325" t="s">
        <v>93</v>
      </c>
      <c r="M325" t="s">
        <v>13</v>
      </c>
    </row>
    <row r="326" spans="1:13" hidden="1">
      <c r="A326" t="s">
        <v>94</v>
      </c>
      <c r="B326" t="s">
        <v>29</v>
      </c>
      <c r="C326" t="s">
        <v>24</v>
      </c>
      <c r="D326" t="s">
        <v>25</v>
      </c>
      <c r="E326" t="s">
        <v>95</v>
      </c>
      <c r="F326" t="s">
        <v>96</v>
      </c>
      <c r="G326" t="s">
        <v>13</v>
      </c>
      <c r="H326" t="s">
        <v>13</v>
      </c>
      <c r="I326" t="s">
        <v>13</v>
      </c>
      <c r="J326" t="s">
        <v>13</v>
      </c>
      <c r="K326">
        <v>45201</v>
      </c>
      <c r="L326" t="s">
        <v>13</v>
      </c>
      <c r="M326" t="s">
        <v>13</v>
      </c>
    </row>
    <row r="327" spans="1:13" hidden="1">
      <c r="A327" t="s">
        <v>97</v>
      </c>
      <c r="B327" t="s">
        <v>29</v>
      </c>
      <c r="C327" t="s">
        <v>24</v>
      </c>
      <c r="D327" t="s">
        <v>25</v>
      </c>
      <c r="E327" t="s">
        <v>98</v>
      </c>
      <c r="F327" t="s">
        <v>96</v>
      </c>
      <c r="G327" t="s">
        <v>13</v>
      </c>
      <c r="H327" t="s">
        <v>13</v>
      </c>
      <c r="I327" t="s">
        <v>13</v>
      </c>
      <c r="J327" t="s">
        <v>13</v>
      </c>
      <c r="K327" t="s">
        <v>99</v>
      </c>
      <c r="L327" t="s">
        <v>13</v>
      </c>
      <c r="M327" t="s">
        <v>13</v>
      </c>
    </row>
    <row r="328" spans="1:13">
      <c r="A328" t="s">
        <v>100</v>
      </c>
      <c r="B328" t="s">
        <v>101</v>
      </c>
      <c r="C328">
        <v>4101</v>
      </c>
      <c r="D328" t="s">
        <v>102</v>
      </c>
      <c r="E328">
        <v>45891</v>
      </c>
      <c r="F328">
        <v>0</v>
      </c>
      <c r="G328">
        <v>0</v>
      </c>
      <c r="H328" t="s">
        <v>13</v>
      </c>
      <c r="I328">
        <v>0</v>
      </c>
      <c r="J328" t="s">
        <v>13</v>
      </c>
      <c r="K328" t="s">
        <v>13</v>
      </c>
      <c r="L328" t="s">
        <v>13</v>
      </c>
      <c r="M328" t="s">
        <v>13</v>
      </c>
    </row>
    <row r="329" spans="1:13">
      <c r="A329" t="s">
        <v>103</v>
      </c>
      <c r="B329" t="s">
        <v>104</v>
      </c>
      <c r="C329">
        <v>2011</v>
      </c>
      <c r="D329" t="s">
        <v>102</v>
      </c>
      <c r="E329">
        <v>45896</v>
      </c>
      <c r="F329">
        <v>0</v>
      </c>
      <c r="G329">
        <v>0</v>
      </c>
      <c r="H329" t="s">
        <v>13</v>
      </c>
      <c r="I329">
        <v>0</v>
      </c>
      <c r="J329" t="s">
        <v>13</v>
      </c>
      <c r="K329" t="s">
        <v>13</v>
      </c>
      <c r="L329" t="s">
        <v>13</v>
      </c>
      <c r="M329" t="s">
        <v>13</v>
      </c>
    </row>
    <row r="330" spans="1:13">
      <c r="A330" t="s">
        <v>105</v>
      </c>
      <c r="B330" t="s">
        <v>106</v>
      </c>
      <c r="C330">
        <v>4670</v>
      </c>
      <c r="D330" t="s">
        <v>107</v>
      </c>
      <c r="E330" t="s">
        <v>108</v>
      </c>
      <c r="F330" t="s">
        <v>109</v>
      </c>
      <c r="G330" t="s">
        <v>110</v>
      </c>
      <c r="H330" t="s">
        <v>13</v>
      </c>
      <c r="I330" t="s">
        <v>111</v>
      </c>
      <c r="J330" t="s">
        <v>13</v>
      </c>
      <c r="K330" t="s">
        <v>13</v>
      </c>
      <c r="L330" t="s">
        <v>13</v>
      </c>
      <c r="M330" t="s">
        <v>13</v>
      </c>
    </row>
    <row r="331" spans="1:13" hidden="1">
      <c r="A331" t="s">
        <v>112</v>
      </c>
      <c r="B331" t="s">
        <v>113</v>
      </c>
      <c r="C331" t="s">
        <v>24</v>
      </c>
      <c r="D331" t="s">
        <v>25</v>
      </c>
      <c r="E331" t="s">
        <v>114</v>
      </c>
      <c r="F331" t="s">
        <v>115</v>
      </c>
      <c r="G331" t="s">
        <v>13</v>
      </c>
      <c r="H331" t="s">
        <v>13</v>
      </c>
      <c r="I331" t="s">
        <v>13</v>
      </c>
      <c r="J331" t="s">
        <v>13</v>
      </c>
      <c r="K331" t="s">
        <v>116</v>
      </c>
      <c r="L331" t="s">
        <v>13</v>
      </c>
      <c r="M331" t="s">
        <v>13</v>
      </c>
    </row>
    <row r="332" spans="1:13" hidden="1">
      <c r="A332" t="s">
        <v>112</v>
      </c>
      <c r="B332" t="s">
        <v>113</v>
      </c>
      <c r="C332" t="s">
        <v>24</v>
      </c>
      <c r="D332" t="s">
        <v>25</v>
      </c>
      <c r="E332" t="s">
        <v>114</v>
      </c>
      <c r="F332" t="s">
        <v>115</v>
      </c>
      <c r="G332" t="s">
        <v>13</v>
      </c>
      <c r="H332" t="s">
        <v>13</v>
      </c>
      <c r="I332" t="s">
        <v>13</v>
      </c>
      <c r="J332" t="s">
        <v>13</v>
      </c>
      <c r="K332" t="s">
        <v>116</v>
      </c>
      <c r="L332" t="s">
        <v>13</v>
      </c>
      <c r="M332" t="s">
        <v>13</v>
      </c>
    </row>
    <row r="333" spans="1:13" hidden="1">
      <c r="A333" t="s">
        <v>112</v>
      </c>
      <c r="B333" t="s">
        <v>113</v>
      </c>
      <c r="C333" t="s">
        <v>24</v>
      </c>
      <c r="D333" t="s">
        <v>25</v>
      </c>
      <c r="E333" t="s">
        <v>114</v>
      </c>
      <c r="F333" t="s">
        <v>115</v>
      </c>
      <c r="G333" t="s">
        <v>13</v>
      </c>
      <c r="H333" t="s">
        <v>13</v>
      </c>
      <c r="I333" t="s">
        <v>13</v>
      </c>
      <c r="J333" t="s">
        <v>13</v>
      </c>
      <c r="K333" t="s">
        <v>116</v>
      </c>
      <c r="L333" t="s">
        <v>13</v>
      </c>
      <c r="M333" t="s">
        <v>13</v>
      </c>
    </row>
    <row r="334" spans="1:13" hidden="1">
      <c r="A334" t="s">
        <v>112</v>
      </c>
      <c r="B334" t="s">
        <v>113</v>
      </c>
      <c r="C334" t="s">
        <v>24</v>
      </c>
      <c r="D334" t="s">
        <v>25</v>
      </c>
      <c r="E334" t="s">
        <v>114</v>
      </c>
      <c r="F334" t="s">
        <v>115</v>
      </c>
      <c r="G334" t="s">
        <v>13</v>
      </c>
      <c r="H334" t="s">
        <v>13</v>
      </c>
      <c r="I334" t="s">
        <v>13</v>
      </c>
      <c r="J334" t="s">
        <v>13</v>
      </c>
      <c r="K334" t="s">
        <v>116</v>
      </c>
      <c r="L334" t="s">
        <v>13</v>
      </c>
      <c r="M334" t="s">
        <v>13</v>
      </c>
    </row>
    <row r="335" spans="1:13" hidden="1">
      <c r="A335" t="s">
        <v>112</v>
      </c>
      <c r="B335" t="s">
        <v>113</v>
      </c>
      <c r="C335" t="s">
        <v>24</v>
      </c>
      <c r="D335" t="s">
        <v>25</v>
      </c>
      <c r="E335" t="s">
        <v>114</v>
      </c>
      <c r="F335" t="s">
        <v>115</v>
      </c>
      <c r="G335" t="s">
        <v>13</v>
      </c>
      <c r="H335" t="s">
        <v>13</v>
      </c>
      <c r="I335" t="s">
        <v>13</v>
      </c>
      <c r="J335" t="s">
        <v>13</v>
      </c>
      <c r="K335" t="s">
        <v>116</v>
      </c>
      <c r="L335" t="s">
        <v>13</v>
      </c>
      <c r="M335" t="s">
        <v>13</v>
      </c>
    </row>
    <row r="336" spans="1:13" hidden="1">
      <c r="A336" t="s">
        <v>112</v>
      </c>
      <c r="B336" t="s">
        <v>113</v>
      </c>
      <c r="C336" t="s">
        <v>24</v>
      </c>
      <c r="D336" t="s">
        <v>25</v>
      </c>
      <c r="E336" t="s">
        <v>114</v>
      </c>
      <c r="F336" t="s">
        <v>115</v>
      </c>
      <c r="G336" t="s">
        <v>13</v>
      </c>
      <c r="H336" t="s">
        <v>13</v>
      </c>
      <c r="I336" t="s">
        <v>13</v>
      </c>
      <c r="J336" t="s">
        <v>13</v>
      </c>
      <c r="K336" t="s">
        <v>116</v>
      </c>
      <c r="L336" t="s">
        <v>13</v>
      </c>
      <c r="M336" t="s">
        <v>13</v>
      </c>
    </row>
    <row r="337" spans="1:13" hidden="1">
      <c r="A337" t="s">
        <v>117</v>
      </c>
      <c r="B337" t="s">
        <v>113</v>
      </c>
      <c r="C337" t="s">
        <v>24</v>
      </c>
      <c r="D337" t="s">
        <v>25</v>
      </c>
      <c r="E337" t="s">
        <v>118</v>
      </c>
      <c r="F337" t="s">
        <v>119</v>
      </c>
      <c r="G337" t="s">
        <v>13</v>
      </c>
      <c r="H337" t="s">
        <v>13</v>
      </c>
      <c r="I337" t="s">
        <v>13</v>
      </c>
      <c r="J337" t="s">
        <v>13</v>
      </c>
      <c r="K337" t="s">
        <v>120</v>
      </c>
      <c r="L337" t="s">
        <v>13</v>
      </c>
      <c r="M337" t="s">
        <v>13</v>
      </c>
    </row>
    <row r="338" spans="1:13" hidden="1">
      <c r="A338" t="s">
        <v>112</v>
      </c>
      <c r="B338" t="s">
        <v>113</v>
      </c>
      <c r="C338" t="s">
        <v>24</v>
      </c>
      <c r="D338" t="s">
        <v>25</v>
      </c>
      <c r="E338" t="s">
        <v>114</v>
      </c>
      <c r="F338" t="s">
        <v>115</v>
      </c>
      <c r="G338" t="s">
        <v>13</v>
      </c>
      <c r="H338" t="s">
        <v>13</v>
      </c>
      <c r="I338" t="s">
        <v>13</v>
      </c>
      <c r="J338" t="s">
        <v>13</v>
      </c>
      <c r="K338" t="s">
        <v>116</v>
      </c>
      <c r="L338" t="s">
        <v>13</v>
      </c>
      <c r="M338" t="s">
        <v>13</v>
      </c>
    </row>
    <row r="339" spans="1:13">
      <c r="A339" t="s">
        <v>121</v>
      </c>
      <c r="B339" t="s">
        <v>122</v>
      </c>
      <c r="C339" t="s">
        <v>123</v>
      </c>
      <c r="D339" t="s">
        <v>124</v>
      </c>
      <c r="E339" t="s">
        <v>125</v>
      </c>
      <c r="F339" t="s">
        <v>126</v>
      </c>
      <c r="G339" t="s">
        <v>13</v>
      </c>
      <c r="H339" t="s">
        <v>13</v>
      </c>
      <c r="I339" t="s">
        <v>122</v>
      </c>
      <c r="J339" t="s">
        <v>13</v>
      </c>
      <c r="K339" t="s">
        <v>127</v>
      </c>
      <c r="L339" t="s">
        <v>13</v>
      </c>
      <c r="M339" t="s">
        <v>128</v>
      </c>
    </row>
    <row r="340" spans="1:13">
      <c r="A340" t="s">
        <v>129</v>
      </c>
      <c r="B340" t="s">
        <v>130</v>
      </c>
      <c r="C340" t="s">
        <v>123</v>
      </c>
      <c r="D340" t="s">
        <v>131</v>
      </c>
      <c r="E340" t="s">
        <v>132</v>
      </c>
      <c r="F340" t="s">
        <v>133</v>
      </c>
      <c r="G340" t="s">
        <v>13</v>
      </c>
      <c r="H340" t="s">
        <v>13</v>
      </c>
      <c r="I340" t="s">
        <v>130</v>
      </c>
      <c r="J340" t="s">
        <v>13</v>
      </c>
      <c r="K340" t="s">
        <v>134</v>
      </c>
      <c r="L340" t="s">
        <v>13</v>
      </c>
      <c r="M340" t="s">
        <v>128</v>
      </c>
    </row>
    <row r="341" spans="1:13">
      <c r="A341" t="s">
        <v>135</v>
      </c>
      <c r="B341" t="s">
        <v>136</v>
      </c>
      <c r="C341">
        <v>4677</v>
      </c>
      <c r="D341" t="s">
        <v>137</v>
      </c>
      <c r="E341" t="s">
        <v>138</v>
      </c>
      <c r="F341" t="s">
        <v>139</v>
      </c>
      <c r="G341" t="s">
        <v>110</v>
      </c>
      <c r="H341" t="s">
        <v>13</v>
      </c>
      <c r="I341" t="s">
        <v>140</v>
      </c>
      <c r="J341" t="s">
        <v>13</v>
      </c>
      <c r="K341" t="s">
        <v>13</v>
      </c>
      <c r="L341" t="s">
        <v>13</v>
      </c>
      <c r="M341" t="s">
        <v>13</v>
      </c>
    </row>
    <row r="342" spans="1:13">
      <c r="A342" t="s">
        <v>141</v>
      </c>
      <c r="B342" t="s">
        <v>142</v>
      </c>
      <c r="C342">
        <v>4677</v>
      </c>
      <c r="D342" t="s">
        <v>143</v>
      </c>
      <c r="E342" t="s">
        <v>138</v>
      </c>
      <c r="F342">
        <v>0</v>
      </c>
      <c r="G342" t="s">
        <v>110</v>
      </c>
      <c r="H342" t="s">
        <v>13</v>
      </c>
      <c r="I342" t="s">
        <v>144</v>
      </c>
      <c r="J342" t="s">
        <v>13</v>
      </c>
      <c r="K342" t="s">
        <v>13</v>
      </c>
      <c r="L342" t="s">
        <v>13</v>
      </c>
      <c r="M342" t="s">
        <v>13</v>
      </c>
    </row>
    <row r="343" spans="1:13">
      <c r="A343" t="s">
        <v>145</v>
      </c>
      <c r="B343" t="s">
        <v>146</v>
      </c>
      <c r="C343">
        <v>4035</v>
      </c>
      <c r="D343" t="s">
        <v>143</v>
      </c>
      <c r="E343" t="s">
        <v>147</v>
      </c>
      <c r="F343" t="s">
        <v>148</v>
      </c>
      <c r="G343" t="s">
        <v>110</v>
      </c>
      <c r="H343" t="s">
        <v>13</v>
      </c>
      <c r="I343" t="s">
        <v>149</v>
      </c>
      <c r="J343" t="s">
        <v>13</v>
      </c>
      <c r="K343" t="s">
        <v>13</v>
      </c>
      <c r="L343" t="s">
        <v>13</v>
      </c>
      <c r="M343" t="s">
        <v>13</v>
      </c>
    </row>
    <row r="344" spans="1:13">
      <c r="A344" t="s">
        <v>150</v>
      </c>
      <c r="B344" t="s">
        <v>151</v>
      </c>
      <c r="C344">
        <v>4660</v>
      </c>
      <c r="D344" t="s">
        <v>143</v>
      </c>
      <c r="E344" t="s">
        <v>152</v>
      </c>
      <c r="F344" t="s">
        <v>153</v>
      </c>
      <c r="G344" t="s">
        <v>110</v>
      </c>
      <c r="H344" t="s">
        <v>13</v>
      </c>
      <c r="I344" t="s">
        <v>154</v>
      </c>
      <c r="J344" t="s">
        <v>13</v>
      </c>
      <c r="K344" t="s">
        <v>13</v>
      </c>
      <c r="L344" t="s">
        <v>13</v>
      </c>
      <c r="M344" t="s">
        <v>13</v>
      </c>
    </row>
    <row r="345" spans="1:13">
      <c r="A345" t="s">
        <v>155</v>
      </c>
      <c r="B345" t="s">
        <v>156</v>
      </c>
      <c r="C345" t="s">
        <v>24</v>
      </c>
      <c r="D345" t="s">
        <v>157</v>
      </c>
      <c r="E345">
        <v>0</v>
      </c>
      <c r="F345" t="s">
        <v>158</v>
      </c>
      <c r="G345" t="s">
        <v>13</v>
      </c>
      <c r="H345" t="s">
        <v>13</v>
      </c>
      <c r="I345" t="s">
        <v>13</v>
      </c>
      <c r="J345" t="s">
        <v>13</v>
      </c>
      <c r="K345" t="s">
        <v>159</v>
      </c>
      <c r="L345" t="s">
        <v>13</v>
      </c>
      <c r="M345" t="s">
        <v>13</v>
      </c>
    </row>
    <row r="346" spans="1:13">
      <c r="A346" t="s">
        <v>160</v>
      </c>
      <c r="B346" t="s">
        <v>161</v>
      </c>
      <c r="C346">
        <v>4677</v>
      </c>
      <c r="D346" t="s">
        <v>137</v>
      </c>
      <c r="E346" t="s">
        <v>138</v>
      </c>
      <c r="F346">
        <v>0</v>
      </c>
      <c r="G346" t="s">
        <v>110</v>
      </c>
      <c r="H346" t="s">
        <v>13</v>
      </c>
      <c r="I346" t="s">
        <v>162</v>
      </c>
      <c r="J346" t="s">
        <v>13</v>
      </c>
      <c r="K346" t="s">
        <v>13</v>
      </c>
      <c r="L346" t="s">
        <v>13</v>
      </c>
      <c r="M346" t="s">
        <v>13</v>
      </c>
    </row>
    <row r="347" spans="1:13">
      <c r="A347" t="s">
        <v>163</v>
      </c>
      <c r="B347" t="s">
        <v>164</v>
      </c>
      <c r="C347" t="s">
        <v>123</v>
      </c>
      <c r="D347" t="s">
        <v>131</v>
      </c>
      <c r="E347" t="s">
        <v>132</v>
      </c>
      <c r="F347" t="s">
        <v>165</v>
      </c>
      <c r="G347" t="s">
        <v>13</v>
      </c>
      <c r="H347" t="s">
        <v>13</v>
      </c>
      <c r="I347" t="s">
        <v>164</v>
      </c>
      <c r="J347" t="s">
        <v>13</v>
      </c>
      <c r="K347" t="s">
        <v>134</v>
      </c>
      <c r="L347" t="s">
        <v>13</v>
      </c>
      <c r="M347" t="s">
        <v>128</v>
      </c>
    </row>
    <row r="348" spans="1:13">
      <c r="A348" t="s">
        <v>166</v>
      </c>
      <c r="B348">
        <v>0</v>
      </c>
      <c r="C348" t="s">
        <v>13</v>
      </c>
      <c r="D348" t="s">
        <v>13</v>
      </c>
      <c r="E348" t="s">
        <v>13</v>
      </c>
      <c r="F348" t="s">
        <v>13</v>
      </c>
      <c r="G348" t="s">
        <v>13</v>
      </c>
      <c r="H348" t="s">
        <v>13</v>
      </c>
      <c r="I348">
        <v>0</v>
      </c>
      <c r="J348" t="s">
        <v>13</v>
      </c>
      <c r="K348" t="s">
        <v>13</v>
      </c>
      <c r="L348" t="s">
        <v>13</v>
      </c>
      <c r="M348" t="s">
        <v>13</v>
      </c>
    </row>
    <row r="349" spans="1:13">
      <c r="A349" t="s">
        <v>167</v>
      </c>
      <c r="B349" t="s">
        <v>168</v>
      </c>
      <c r="C349" t="s">
        <v>16</v>
      </c>
      <c r="D349" t="s">
        <v>169</v>
      </c>
      <c r="E349" t="s">
        <v>170</v>
      </c>
      <c r="F349" t="s">
        <v>171</v>
      </c>
      <c r="G349" t="s">
        <v>172</v>
      </c>
      <c r="H349" t="s">
        <v>13</v>
      </c>
      <c r="I349" t="s">
        <v>173</v>
      </c>
      <c r="J349" t="s">
        <v>174</v>
      </c>
      <c r="K349">
        <v>45047</v>
      </c>
      <c r="L349" t="s">
        <v>13</v>
      </c>
      <c r="M349" t="s">
        <v>13</v>
      </c>
    </row>
    <row r="350" spans="1:13">
      <c r="A350" t="s">
        <v>167</v>
      </c>
      <c r="B350" t="s">
        <v>168</v>
      </c>
      <c r="C350" t="s">
        <v>16</v>
      </c>
      <c r="D350" t="s">
        <v>169</v>
      </c>
      <c r="E350" t="s">
        <v>170</v>
      </c>
      <c r="F350" t="s">
        <v>171</v>
      </c>
      <c r="G350" t="s">
        <v>172</v>
      </c>
      <c r="H350" t="s">
        <v>13</v>
      </c>
      <c r="I350" t="s">
        <v>173</v>
      </c>
      <c r="J350" t="s">
        <v>174</v>
      </c>
      <c r="K350">
        <v>45047</v>
      </c>
      <c r="L350" t="s">
        <v>13</v>
      </c>
      <c r="M350" t="s">
        <v>13</v>
      </c>
    </row>
    <row r="351" spans="1:13">
      <c r="A351" t="s">
        <v>167</v>
      </c>
      <c r="B351" t="s">
        <v>168</v>
      </c>
      <c r="C351" t="s">
        <v>16</v>
      </c>
      <c r="D351" t="s">
        <v>169</v>
      </c>
      <c r="E351" t="s">
        <v>170</v>
      </c>
      <c r="F351" t="s">
        <v>171</v>
      </c>
      <c r="G351" t="s">
        <v>172</v>
      </c>
      <c r="H351" t="s">
        <v>13</v>
      </c>
      <c r="I351" t="s">
        <v>173</v>
      </c>
      <c r="J351" t="s">
        <v>174</v>
      </c>
      <c r="K351">
        <v>45047</v>
      </c>
      <c r="L351" t="s">
        <v>13</v>
      </c>
      <c r="M351" t="s">
        <v>13</v>
      </c>
    </row>
    <row r="352" spans="1:13">
      <c r="A352" t="s">
        <v>167</v>
      </c>
      <c r="B352" t="s">
        <v>168</v>
      </c>
      <c r="C352" t="s">
        <v>16</v>
      </c>
      <c r="D352" t="s">
        <v>169</v>
      </c>
      <c r="E352" t="s">
        <v>170</v>
      </c>
      <c r="F352" t="s">
        <v>171</v>
      </c>
      <c r="G352" t="s">
        <v>172</v>
      </c>
      <c r="H352" t="s">
        <v>13</v>
      </c>
      <c r="I352" t="s">
        <v>173</v>
      </c>
      <c r="J352" t="s">
        <v>174</v>
      </c>
      <c r="K352">
        <v>45047</v>
      </c>
      <c r="L352" t="s">
        <v>13</v>
      </c>
      <c r="M352" t="s">
        <v>13</v>
      </c>
    </row>
    <row r="353" spans="1:13">
      <c r="A353" t="s">
        <v>175</v>
      </c>
      <c r="B353" t="s">
        <v>176</v>
      </c>
      <c r="C353" t="s">
        <v>123</v>
      </c>
      <c r="D353" t="s">
        <v>177</v>
      </c>
      <c r="E353" t="s">
        <v>178</v>
      </c>
      <c r="F353" t="s">
        <v>179</v>
      </c>
      <c r="G353" t="s">
        <v>13</v>
      </c>
      <c r="H353" t="s">
        <v>13</v>
      </c>
      <c r="I353" t="s">
        <v>176</v>
      </c>
      <c r="J353" t="s">
        <v>13</v>
      </c>
      <c r="K353" t="s">
        <v>180</v>
      </c>
      <c r="L353" t="s">
        <v>13</v>
      </c>
      <c r="M353" t="s">
        <v>181</v>
      </c>
    </row>
    <row r="354" spans="1:13">
      <c r="A354" t="s">
        <v>182</v>
      </c>
      <c r="B354" t="s">
        <v>183</v>
      </c>
      <c r="C354" t="s">
        <v>86</v>
      </c>
      <c r="D354" t="s">
        <v>184</v>
      </c>
      <c r="E354" t="s">
        <v>88</v>
      </c>
      <c r="F354" t="s">
        <v>89</v>
      </c>
      <c r="G354" t="s">
        <v>13</v>
      </c>
      <c r="H354" t="s">
        <v>185</v>
      </c>
      <c r="I354" t="s">
        <v>13</v>
      </c>
      <c r="J354" t="s">
        <v>91</v>
      </c>
      <c r="K354" s="236" t="s">
        <v>186</v>
      </c>
      <c r="L354" t="s">
        <v>187</v>
      </c>
      <c r="M354" t="s">
        <v>13</v>
      </c>
    </row>
    <row r="355" spans="1:13">
      <c r="A355" t="s">
        <v>188</v>
      </c>
      <c r="B355" t="s">
        <v>189</v>
      </c>
      <c r="C355" t="s">
        <v>123</v>
      </c>
      <c r="D355" t="s">
        <v>131</v>
      </c>
      <c r="E355" t="s">
        <v>132</v>
      </c>
      <c r="F355" t="s">
        <v>190</v>
      </c>
      <c r="G355" t="s">
        <v>13</v>
      </c>
      <c r="H355" t="s">
        <v>13</v>
      </c>
      <c r="I355" t="s">
        <v>189</v>
      </c>
      <c r="J355" t="s">
        <v>13</v>
      </c>
      <c r="K355" t="s">
        <v>191</v>
      </c>
      <c r="L355" t="s">
        <v>13</v>
      </c>
      <c r="M355" t="s">
        <v>128</v>
      </c>
    </row>
    <row r="356" spans="1:13">
      <c r="A356" t="s">
        <v>192</v>
      </c>
      <c r="B356" t="s">
        <v>193</v>
      </c>
      <c r="C356" t="s">
        <v>123</v>
      </c>
      <c r="D356" t="s">
        <v>194</v>
      </c>
      <c r="E356" t="s">
        <v>195</v>
      </c>
      <c r="F356" t="s">
        <v>196</v>
      </c>
      <c r="G356" t="s">
        <v>13</v>
      </c>
      <c r="H356" t="s">
        <v>13</v>
      </c>
      <c r="I356" t="s">
        <v>193</v>
      </c>
      <c r="J356" t="s">
        <v>13</v>
      </c>
      <c r="K356" t="s">
        <v>197</v>
      </c>
      <c r="L356" t="s">
        <v>13</v>
      </c>
      <c r="M356" t="s">
        <v>198</v>
      </c>
    </row>
    <row r="357" spans="1:13" hidden="1">
      <c r="A357" t="s">
        <v>199</v>
      </c>
      <c r="B357">
        <v>0</v>
      </c>
      <c r="C357" t="s">
        <v>24</v>
      </c>
      <c r="D357" t="s">
        <v>25</v>
      </c>
      <c r="E357" t="s">
        <v>200</v>
      </c>
      <c r="F357" t="s">
        <v>201</v>
      </c>
      <c r="G357" t="s">
        <v>13</v>
      </c>
      <c r="H357" t="s">
        <v>13</v>
      </c>
      <c r="I357" t="s">
        <v>13</v>
      </c>
      <c r="J357" t="s">
        <v>13</v>
      </c>
      <c r="K357" t="s">
        <v>202</v>
      </c>
      <c r="L357" t="s">
        <v>13</v>
      </c>
      <c r="M357" t="s">
        <v>13</v>
      </c>
    </row>
    <row r="358" spans="1:13" hidden="1">
      <c r="A358" t="s">
        <v>97</v>
      </c>
      <c r="B358" t="s">
        <v>29</v>
      </c>
      <c r="C358" t="s">
        <v>24</v>
      </c>
      <c r="D358" t="s">
        <v>25</v>
      </c>
      <c r="E358" t="s">
        <v>98</v>
      </c>
      <c r="F358" t="s">
        <v>96</v>
      </c>
      <c r="G358" t="s">
        <v>13</v>
      </c>
      <c r="H358" t="s">
        <v>13</v>
      </c>
      <c r="I358" t="s">
        <v>13</v>
      </c>
      <c r="J358" t="s">
        <v>13</v>
      </c>
      <c r="K358" t="s">
        <v>99</v>
      </c>
      <c r="L358" t="s">
        <v>13</v>
      </c>
      <c r="M358" t="s">
        <v>13</v>
      </c>
    </row>
    <row r="359" spans="1:13">
      <c r="A359" t="s">
        <v>203</v>
      </c>
      <c r="B359" t="s">
        <v>204</v>
      </c>
      <c r="C359" t="s">
        <v>16</v>
      </c>
      <c r="D359" t="s">
        <v>205</v>
      </c>
      <c r="E359" t="s">
        <v>206</v>
      </c>
      <c r="F359">
        <v>0</v>
      </c>
      <c r="G359" t="s">
        <v>207</v>
      </c>
      <c r="H359" t="s">
        <v>13</v>
      </c>
      <c r="I359">
        <v>0</v>
      </c>
      <c r="J359" t="s">
        <v>91</v>
      </c>
      <c r="K359" t="s">
        <v>208</v>
      </c>
      <c r="L359" t="s">
        <v>13</v>
      </c>
      <c r="M359" t="s">
        <v>13</v>
      </c>
    </row>
    <row r="360" spans="1:13" hidden="1">
      <c r="A360" t="s">
        <v>97</v>
      </c>
      <c r="B360" t="s">
        <v>29</v>
      </c>
      <c r="C360" t="s">
        <v>24</v>
      </c>
      <c r="D360" t="s">
        <v>25</v>
      </c>
      <c r="E360" t="s">
        <v>98</v>
      </c>
      <c r="F360" t="s">
        <v>96</v>
      </c>
      <c r="G360" t="s">
        <v>13</v>
      </c>
      <c r="H360" t="s">
        <v>13</v>
      </c>
      <c r="I360" t="s">
        <v>13</v>
      </c>
      <c r="J360" t="s">
        <v>13</v>
      </c>
      <c r="K360" t="s">
        <v>99</v>
      </c>
      <c r="L360" t="s">
        <v>13</v>
      </c>
      <c r="M360" t="s">
        <v>13</v>
      </c>
    </row>
    <row r="361" spans="1:13">
      <c r="A361" t="s">
        <v>203</v>
      </c>
      <c r="B361" t="s">
        <v>204</v>
      </c>
      <c r="C361" t="s">
        <v>16</v>
      </c>
      <c r="D361" t="s">
        <v>205</v>
      </c>
      <c r="E361" t="s">
        <v>206</v>
      </c>
      <c r="F361">
        <v>0</v>
      </c>
      <c r="G361" t="s">
        <v>207</v>
      </c>
      <c r="H361" t="s">
        <v>13</v>
      </c>
      <c r="I361">
        <v>0</v>
      </c>
      <c r="J361" t="s">
        <v>91</v>
      </c>
      <c r="K361" t="s">
        <v>208</v>
      </c>
      <c r="L361" t="s">
        <v>13</v>
      </c>
      <c r="M361" t="s">
        <v>13</v>
      </c>
    </row>
    <row r="362" spans="1:13">
      <c r="A362" t="s">
        <v>203</v>
      </c>
      <c r="B362" t="s">
        <v>204</v>
      </c>
      <c r="C362" t="s">
        <v>16</v>
      </c>
      <c r="D362" t="s">
        <v>205</v>
      </c>
      <c r="E362" t="s">
        <v>206</v>
      </c>
      <c r="F362">
        <v>0</v>
      </c>
      <c r="G362" t="s">
        <v>207</v>
      </c>
      <c r="H362" t="s">
        <v>13</v>
      </c>
      <c r="I362">
        <v>0</v>
      </c>
      <c r="J362" t="s">
        <v>91</v>
      </c>
      <c r="K362" t="s">
        <v>208</v>
      </c>
      <c r="L362" t="s">
        <v>13</v>
      </c>
      <c r="M362" t="s">
        <v>13</v>
      </c>
    </row>
    <row r="363" spans="1:13">
      <c r="A363" t="s">
        <v>203</v>
      </c>
      <c r="B363" t="s">
        <v>204</v>
      </c>
      <c r="C363" t="s">
        <v>16</v>
      </c>
      <c r="D363" t="s">
        <v>205</v>
      </c>
      <c r="E363" t="s">
        <v>206</v>
      </c>
      <c r="F363">
        <v>0</v>
      </c>
      <c r="G363" t="s">
        <v>207</v>
      </c>
      <c r="H363" t="s">
        <v>13</v>
      </c>
      <c r="I363">
        <v>0</v>
      </c>
      <c r="J363" t="s">
        <v>91</v>
      </c>
      <c r="K363" t="s">
        <v>208</v>
      </c>
      <c r="L363" t="s">
        <v>13</v>
      </c>
      <c r="M363" t="s">
        <v>13</v>
      </c>
    </row>
    <row r="364" spans="1:13">
      <c r="A364" t="s">
        <v>203</v>
      </c>
      <c r="B364" t="s">
        <v>204</v>
      </c>
      <c r="C364" t="s">
        <v>16</v>
      </c>
      <c r="D364" t="s">
        <v>205</v>
      </c>
      <c r="E364" t="s">
        <v>206</v>
      </c>
      <c r="F364">
        <v>0</v>
      </c>
      <c r="G364" t="s">
        <v>207</v>
      </c>
      <c r="H364" t="s">
        <v>13</v>
      </c>
      <c r="I364">
        <v>0</v>
      </c>
      <c r="J364" t="s">
        <v>91</v>
      </c>
      <c r="K364" t="s">
        <v>208</v>
      </c>
      <c r="L364" t="s">
        <v>13</v>
      </c>
      <c r="M364" t="s">
        <v>13</v>
      </c>
    </row>
    <row r="365" spans="1:13">
      <c r="A365" t="s">
        <v>203</v>
      </c>
      <c r="B365" t="s">
        <v>204</v>
      </c>
      <c r="C365" t="s">
        <v>16</v>
      </c>
      <c r="D365" t="s">
        <v>205</v>
      </c>
      <c r="E365" t="s">
        <v>206</v>
      </c>
      <c r="F365">
        <v>0</v>
      </c>
      <c r="G365" t="s">
        <v>207</v>
      </c>
      <c r="H365" t="s">
        <v>13</v>
      </c>
      <c r="I365">
        <v>0</v>
      </c>
      <c r="J365" t="s">
        <v>91</v>
      </c>
      <c r="K365" t="s">
        <v>208</v>
      </c>
      <c r="L365" t="s">
        <v>13</v>
      </c>
      <c r="M365" t="s">
        <v>13</v>
      </c>
    </row>
    <row r="366" spans="1:13">
      <c r="A366" t="s">
        <v>209</v>
      </c>
      <c r="B366" t="s">
        <v>210</v>
      </c>
      <c r="C366">
        <v>4152</v>
      </c>
      <c r="D366" t="s">
        <v>143</v>
      </c>
      <c r="E366" t="s">
        <v>211</v>
      </c>
      <c r="F366" t="s">
        <v>212</v>
      </c>
      <c r="G366" t="s">
        <v>110</v>
      </c>
      <c r="H366" t="s">
        <v>13</v>
      </c>
      <c r="I366" t="s">
        <v>213</v>
      </c>
      <c r="J366" t="s">
        <v>13</v>
      </c>
      <c r="K366" t="s">
        <v>13</v>
      </c>
      <c r="L366" t="s">
        <v>13</v>
      </c>
      <c r="M366" t="s">
        <v>13</v>
      </c>
    </row>
    <row r="367" spans="1:13">
      <c r="A367" t="s">
        <v>214</v>
      </c>
      <c r="B367" t="s">
        <v>215</v>
      </c>
      <c r="C367" t="s">
        <v>123</v>
      </c>
      <c r="D367" t="s">
        <v>216</v>
      </c>
      <c r="E367" t="s">
        <v>217</v>
      </c>
      <c r="F367" t="s">
        <v>91</v>
      </c>
      <c r="G367" t="s">
        <v>13</v>
      </c>
      <c r="H367" t="s">
        <v>13</v>
      </c>
      <c r="I367" t="s">
        <v>215</v>
      </c>
      <c r="J367" t="s">
        <v>13</v>
      </c>
      <c r="K367" t="s">
        <v>218</v>
      </c>
      <c r="L367" t="s">
        <v>13</v>
      </c>
      <c r="M367">
        <v>0</v>
      </c>
    </row>
    <row r="368" spans="1:13" hidden="1">
      <c r="A368" t="s">
        <v>219</v>
      </c>
      <c r="B368">
        <v>0</v>
      </c>
      <c r="C368" t="s">
        <v>24</v>
      </c>
      <c r="D368" t="s">
        <v>25</v>
      </c>
      <c r="E368" t="s">
        <v>37</v>
      </c>
      <c r="F368" t="s">
        <v>220</v>
      </c>
      <c r="G368" t="s">
        <v>13</v>
      </c>
      <c r="H368" t="s">
        <v>13</v>
      </c>
      <c r="I368" t="s">
        <v>13</v>
      </c>
      <c r="J368" t="s">
        <v>13</v>
      </c>
      <c r="K368" t="s">
        <v>221</v>
      </c>
      <c r="L368" t="s">
        <v>13</v>
      </c>
      <c r="M368" t="s">
        <v>13</v>
      </c>
    </row>
    <row r="369" spans="1:13">
      <c r="A369" t="s">
        <v>222</v>
      </c>
      <c r="B369" t="s">
        <v>223</v>
      </c>
      <c r="C369" t="s">
        <v>123</v>
      </c>
      <c r="D369" t="s">
        <v>216</v>
      </c>
      <c r="E369" t="s">
        <v>224</v>
      </c>
      <c r="F369" t="s">
        <v>91</v>
      </c>
      <c r="G369" t="s">
        <v>13</v>
      </c>
      <c r="H369" t="s">
        <v>13</v>
      </c>
      <c r="I369" t="s">
        <v>223</v>
      </c>
      <c r="J369" t="s">
        <v>13</v>
      </c>
      <c r="K369" t="s">
        <v>225</v>
      </c>
      <c r="L369" t="s">
        <v>13</v>
      </c>
      <c r="M369">
        <v>0</v>
      </c>
    </row>
    <row r="370" spans="1:13" hidden="1">
      <c r="A370" t="s">
        <v>226</v>
      </c>
      <c r="B370">
        <v>0</v>
      </c>
      <c r="C370" t="s">
        <v>24</v>
      </c>
      <c r="D370" t="s">
        <v>25</v>
      </c>
      <c r="E370" t="s">
        <v>227</v>
      </c>
      <c r="F370" t="s">
        <v>228</v>
      </c>
      <c r="G370" t="s">
        <v>13</v>
      </c>
      <c r="H370" t="s">
        <v>13</v>
      </c>
      <c r="I370" t="s">
        <v>13</v>
      </c>
      <c r="J370" t="s">
        <v>13</v>
      </c>
      <c r="K370" t="s">
        <v>229</v>
      </c>
      <c r="L370" t="s">
        <v>13</v>
      </c>
      <c r="M370" t="s">
        <v>13</v>
      </c>
    </row>
    <row r="371" spans="1:13" hidden="1">
      <c r="A371" t="s">
        <v>97</v>
      </c>
      <c r="B371" t="s">
        <v>29</v>
      </c>
      <c r="C371" t="s">
        <v>24</v>
      </c>
      <c r="D371" t="s">
        <v>25</v>
      </c>
      <c r="E371" t="s">
        <v>98</v>
      </c>
      <c r="F371" t="s">
        <v>96</v>
      </c>
      <c r="G371" t="s">
        <v>13</v>
      </c>
      <c r="H371" t="s">
        <v>13</v>
      </c>
      <c r="I371" t="s">
        <v>13</v>
      </c>
      <c r="J371" t="s">
        <v>13</v>
      </c>
      <c r="K371" t="s">
        <v>99</v>
      </c>
      <c r="L371" t="s">
        <v>13</v>
      </c>
      <c r="M371" t="s">
        <v>13</v>
      </c>
    </row>
    <row r="372" spans="1:13">
      <c r="A372" t="s">
        <v>230</v>
      </c>
      <c r="B372" t="s">
        <v>231</v>
      </c>
      <c r="C372" t="s">
        <v>13</v>
      </c>
      <c r="D372" t="s">
        <v>13</v>
      </c>
      <c r="E372" t="s">
        <v>13</v>
      </c>
      <c r="F372" t="s">
        <v>13</v>
      </c>
      <c r="G372" t="s">
        <v>13</v>
      </c>
      <c r="H372" t="s">
        <v>13</v>
      </c>
      <c r="I372" t="s">
        <v>232</v>
      </c>
      <c r="J372" t="s">
        <v>13</v>
      </c>
      <c r="K372" t="s">
        <v>13</v>
      </c>
      <c r="L372" t="s">
        <v>13</v>
      </c>
      <c r="M372" t="s">
        <v>13</v>
      </c>
    </row>
    <row r="373" spans="1:13">
      <c r="A373" t="s">
        <v>233</v>
      </c>
      <c r="B373" t="s">
        <v>234</v>
      </c>
      <c r="C373" t="s">
        <v>123</v>
      </c>
      <c r="D373" t="s">
        <v>177</v>
      </c>
      <c r="E373" t="s">
        <v>195</v>
      </c>
      <c r="F373" t="s">
        <v>235</v>
      </c>
      <c r="G373" t="s">
        <v>13</v>
      </c>
      <c r="H373" t="s">
        <v>13</v>
      </c>
      <c r="I373" t="s">
        <v>234</v>
      </c>
      <c r="J373" t="s">
        <v>13</v>
      </c>
      <c r="K373" t="s">
        <v>236</v>
      </c>
      <c r="L373" t="s">
        <v>13</v>
      </c>
      <c r="M373" t="s">
        <v>181</v>
      </c>
    </row>
    <row r="374" spans="1:13">
      <c r="A374" t="s">
        <v>237</v>
      </c>
      <c r="B374" t="s">
        <v>238</v>
      </c>
      <c r="C374">
        <v>4000</v>
      </c>
      <c r="D374" t="s">
        <v>143</v>
      </c>
      <c r="E374" t="s">
        <v>211</v>
      </c>
      <c r="F374" t="s">
        <v>239</v>
      </c>
      <c r="G374" t="s">
        <v>110</v>
      </c>
      <c r="H374" t="s">
        <v>13</v>
      </c>
      <c r="I374" t="s">
        <v>240</v>
      </c>
      <c r="J374" t="s">
        <v>13</v>
      </c>
      <c r="K374" t="s">
        <v>13</v>
      </c>
      <c r="L374" t="s">
        <v>13</v>
      </c>
      <c r="M374" t="s">
        <v>13</v>
      </c>
    </row>
    <row r="375" spans="1:13">
      <c r="A375" t="s">
        <v>241</v>
      </c>
      <c r="B375">
        <v>0</v>
      </c>
      <c r="C375" t="s">
        <v>16</v>
      </c>
      <c r="D375" t="s">
        <v>169</v>
      </c>
      <c r="E375" t="s">
        <v>170</v>
      </c>
      <c r="F375" t="s">
        <v>242</v>
      </c>
      <c r="G375" t="s">
        <v>243</v>
      </c>
      <c r="H375" t="s">
        <v>13</v>
      </c>
      <c r="I375" t="s">
        <v>244</v>
      </c>
      <c r="J375" t="s">
        <v>174</v>
      </c>
      <c r="K375">
        <v>42744</v>
      </c>
      <c r="L375" t="s">
        <v>13</v>
      </c>
      <c r="M375" t="s">
        <v>13</v>
      </c>
    </row>
    <row r="376" spans="1:13" hidden="1">
      <c r="A376" t="s">
        <v>245</v>
      </c>
      <c r="B376">
        <v>0</v>
      </c>
      <c r="C376" t="s">
        <v>24</v>
      </c>
      <c r="D376" t="s">
        <v>25</v>
      </c>
      <c r="E376" t="s">
        <v>246</v>
      </c>
      <c r="F376" t="s">
        <v>247</v>
      </c>
      <c r="G376" t="s">
        <v>13</v>
      </c>
      <c r="H376" t="s">
        <v>13</v>
      </c>
      <c r="I376" t="s">
        <v>13</v>
      </c>
      <c r="J376" t="s">
        <v>13</v>
      </c>
      <c r="K376">
        <v>44264</v>
      </c>
      <c r="L376" t="s">
        <v>13</v>
      </c>
      <c r="M376" t="s">
        <v>13</v>
      </c>
    </row>
    <row r="377" spans="1:13">
      <c r="A377" t="s">
        <v>248</v>
      </c>
      <c r="B377" t="s">
        <v>249</v>
      </c>
      <c r="C377" t="s">
        <v>123</v>
      </c>
      <c r="D377" t="s">
        <v>216</v>
      </c>
      <c r="E377" t="s">
        <v>250</v>
      </c>
      <c r="F377" t="s">
        <v>91</v>
      </c>
      <c r="G377" t="s">
        <v>13</v>
      </c>
      <c r="H377" t="s">
        <v>13</v>
      </c>
      <c r="I377" t="s">
        <v>249</v>
      </c>
      <c r="J377" t="s">
        <v>13</v>
      </c>
      <c r="K377" t="s">
        <v>251</v>
      </c>
      <c r="L377" t="s">
        <v>13</v>
      </c>
      <c r="M377">
        <v>0</v>
      </c>
    </row>
    <row r="378" spans="1:13">
      <c r="A378" t="s">
        <v>252</v>
      </c>
      <c r="B378" t="s">
        <v>253</v>
      </c>
      <c r="C378" t="s">
        <v>86</v>
      </c>
      <c r="D378" t="s">
        <v>254</v>
      </c>
      <c r="E378" t="s">
        <v>255</v>
      </c>
      <c r="F378" t="s">
        <v>89</v>
      </c>
      <c r="G378" t="s">
        <v>13</v>
      </c>
      <c r="H378" t="s">
        <v>256</v>
      </c>
      <c r="I378" t="s">
        <v>13</v>
      </c>
      <c r="J378" t="s">
        <v>91</v>
      </c>
      <c r="K378" s="236" t="s">
        <v>257</v>
      </c>
      <c r="L378" t="s">
        <v>258</v>
      </c>
      <c r="M378" t="s">
        <v>13</v>
      </c>
    </row>
    <row r="379" spans="1:13" hidden="1">
      <c r="A379" t="s">
        <v>259</v>
      </c>
      <c r="B379">
        <v>0</v>
      </c>
      <c r="C379" t="s">
        <v>24</v>
      </c>
      <c r="D379" t="s">
        <v>25</v>
      </c>
      <c r="E379" t="s">
        <v>260</v>
      </c>
      <c r="F379" t="s">
        <v>261</v>
      </c>
      <c r="G379" t="s">
        <v>13</v>
      </c>
      <c r="H379" t="s">
        <v>13</v>
      </c>
      <c r="I379" t="s">
        <v>13</v>
      </c>
      <c r="J379" t="s">
        <v>13</v>
      </c>
      <c r="K379">
        <v>44261</v>
      </c>
      <c r="L379" t="s">
        <v>13</v>
      </c>
      <c r="M379" t="s">
        <v>13</v>
      </c>
    </row>
    <row r="380" spans="1:13" hidden="1">
      <c r="A380" t="s">
        <v>262</v>
      </c>
      <c r="B380">
        <v>0</v>
      </c>
      <c r="C380" t="s">
        <v>24</v>
      </c>
      <c r="D380" t="s">
        <v>25</v>
      </c>
      <c r="E380" t="s">
        <v>263</v>
      </c>
      <c r="F380" t="s">
        <v>264</v>
      </c>
      <c r="G380" t="s">
        <v>13</v>
      </c>
      <c r="H380" t="s">
        <v>13</v>
      </c>
      <c r="I380" t="s">
        <v>13</v>
      </c>
      <c r="J380" t="s">
        <v>13</v>
      </c>
      <c r="K380" t="s">
        <v>265</v>
      </c>
      <c r="L380" t="s">
        <v>13</v>
      </c>
      <c r="M380" t="s">
        <v>13</v>
      </c>
    </row>
    <row r="381" spans="1:13">
      <c r="A381" t="s">
        <v>266</v>
      </c>
      <c r="B381" t="s">
        <v>253</v>
      </c>
      <c r="C381" t="s">
        <v>86</v>
      </c>
      <c r="D381" t="s">
        <v>267</v>
      </c>
      <c r="E381" t="s">
        <v>268</v>
      </c>
      <c r="F381" t="s">
        <v>269</v>
      </c>
      <c r="G381" t="s">
        <v>13</v>
      </c>
      <c r="H381" t="s">
        <v>268</v>
      </c>
      <c r="I381" t="s">
        <v>13</v>
      </c>
      <c r="J381" t="s">
        <v>91</v>
      </c>
      <c r="K381" s="236" t="s">
        <v>257</v>
      </c>
      <c r="L381" t="s">
        <v>258</v>
      </c>
      <c r="M381" t="s">
        <v>13</v>
      </c>
    </row>
    <row r="382" spans="1:13">
      <c r="A382" t="s">
        <v>270</v>
      </c>
      <c r="B382" t="s">
        <v>271</v>
      </c>
      <c r="C382">
        <v>4557</v>
      </c>
      <c r="D382" t="s">
        <v>143</v>
      </c>
      <c r="E382" t="s">
        <v>272</v>
      </c>
      <c r="F382" t="s">
        <v>273</v>
      </c>
      <c r="G382" t="s">
        <v>110</v>
      </c>
      <c r="H382" t="s">
        <v>13</v>
      </c>
      <c r="I382" t="s">
        <v>274</v>
      </c>
      <c r="J382" t="s">
        <v>13</v>
      </c>
      <c r="K382" t="s">
        <v>13</v>
      </c>
      <c r="L382" t="s">
        <v>13</v>
      </c>
      <c r="M382" t="s">
        <v>13</v>
      </c>
    </row>
    <row r="383" spans="1:13" hidden="1">
      <c r="A383" t="s">
        <v>275</v>
      </c>
      <c r="B383">
        <v>0</v>
      </c>
      <c r="C383" t="s">
        <v>24</v>
      </c>
      <c r="D383" t="s">
        <v>25</v>
      </c>
      <c r="E383" t="s">
        <v>276</v>
      </c>
      <c r="F383" t="s">
        <v>277</v>
      </c>
      <c r="G383" t="s">
        <v>13</v>
      </c>
      <c r="H383" t="s">
        <v>13</v>
      </c>
      <c r="I383" t="s">
        <v>13</v>
      </c>
      <c r="J383" t="s">
        <v>13</v>
      </c>
      <c r="K383">
        <v>44321</v>
      </c>
      <c r="L383" t="s">
        <v>13</v>
      </c>
      <c r="M383" t="s">
        <v>13</v>
      </c>
    </row>
    <row r="384" spans="1:13">
      <c r="A384" t="s">
        <v>270</v>
      </c>
      <c r="B384" t="s">
        <v>271</v>
      </c>
      <c r="C384">
        <v>4557</v>
      </c>
      <c r="D384" t="s">
        <v>143</v>
      </c>
      <c r="E384" t="s">
        <v>272</v>
      </c>
      <c r="F384" t="s">
        <v>273</v>
      </c>
      <c r="G384" t="s">
        <v>110</v>
      </c>
      <c r="H384" t="s">
        <v>13</v>
      </c>
      <c r="I384" t="s">
        <v>274</v>
      </c>
      <c r="J384" t="s">
        <v>13</v>
      </c>
      <c r="K384" t="s">
        <v>13</v>
      </c>
      <c r="L384" t="s">
        <v>13</v>
      </c>
      <c r="M384" t="s">
        <v>13</v>
      </c>
    </row>
    <row r="385" spans="1:13">
      <c r="A385" t="s">
        <v>278</v>
      </c>
      <c r="B385" t="s">
        <v>279</v>
      </c>
      <c r="C385" t="s">
        <v>16</v>
      </c>
      <c r="D385" t="s">
        <v>169</v>
      </c>
      <c r="E385" t="s">
        <v>169</v>
      </c>
      <c r="F385">
        <v>0</v>
      </c>
      <c r="G385">
        <v>0</v>
      </c>
      <c r="H385" t="s">
        <v>13</v>
      </c>
      <c r="I385">
        <v>0</v>
      </c>
      <c r="J385" t="s">
        <v>91</v>
      </c>
      <c r="K385">
        <v>44904</v>
      </c>
      <c r="L385" t="s">
        <v>13</v>
      </c>
      <c r="M385" t="s">
        <v>13</v>
      </c>
    </row>
    <row r="386" spans="1:13">
      <c r="A386" t="s">
        <v>278</v>
      </c>
      <c r="B386" t="s">
        <v>279</v>
      </c>
      <c r="C386" t="s">
        <v>16</v>
      </c>
      <c r="D386" t="s">
        <v>169</v>
      </c>
      <c r="E386" t="s">
        <v>169</v>
      </c>
      <c r="F386">
        <v>0</v>
      </c>
      <c r="G386">
        <v>0</v>
      </c>
      <c r="H386" t="s">
        <v>13</v>
      </c>
      <c r="I386">
        <v>0</v>
      </c>
      <c r="J386" t="s">
        <v>91</v>
      </c>
      <c r="K386">
        <v>44904</v>
      </c>
      <c r="L386" t="s">
        <v>13</v>
      </c>
      <c r="M386" t="s">
        <v>13</v>
      </c>
    </row>
    <row r="387" spans="1:13">
      <c r="A387" t="s">
        <v>280</v>
      </c>
      <c r="B387" t="s">
        <v>279</v>
      </c>
      <c r="C387" t="s">
        <v>16</v>
      </c>
      <c r="D387" t="s">
        <v>205</v>
      </c>
      <c r="E387" t="s">
        <v>281</v>
      </c>
      <c r="F387">
        <v>0</v>
      </c>
      <c r="G387">
        <v>0</v>
      </c>
      <c r="H387" t="s">
        <v>13</v>
      </c>
      <c r="I387">
        <v>0</v>
      </c>
      <c r="J387" t="s">
        <v>91</v>
      </c>
      <c r="K387" t="s">
        <v>282</v>
      </c>
      <c r="L387" t="s">
        <v>13</v>
      </c>
      <c r="M387" t="s">
        <v>13</v>
      </c>
    </row>
    <row r="388" spans="1:13">
      <c r="A388" t="s">
        <v>283</v>
      </c>
      <c r="B388" t="s">
        <v>284</v>
      </c>
      <c r="C388" t="s">
        <v>123</v>
      </c>
      <c r="D388" t="s">
        <v>177</v>
      </c>
      <c r="E388" t="s">
        <v>285</v>
      </c>
      <c r="F388" t="s">
        <v>286</v>
      </c>
      <c r="G388" t="s">
        <v>13</v>
      </c>
      <c r="H388" t="s">
        <v>13</v>
      </c>
      <c r="I388" t="s">
        <v>284</v>
      </c>
      <c r="J388" t="s">
        <v>13</v>
      </c>
      <c r="K388" t="s">
        <v>287</v>
      </c>
      <c r="L388" t="s">
        <v>13</v>
      </c>
      <c r="M388" t="s">
        <v>288</v>
      </c>
    </row>
    <row r="389" spans="1:13">
      <c r="A389" t="s">
        <v>289</v>
      </c>
      <c r="B389" t="s">
        <v>290</v>
      </c>
      <c r="C389">
        <v>4004</v>
      </c>
      <c r="D389" t="s">
        <v>143</v>
      </c>
      <c r="E389" t="s">
        <v>211</v>
      </c>
      <c r="F389" t="s">
        <v>291</v>
      </c>
      <c r="G389" t="s">
        <v>110</v>
      </c>
      <c r="H389" t="s">
        <v>13</v>
      </c>
      <c r="I389" t="s">
        <v>292</v>
      </c>
      <c r="J389" t="s">
        <v>13</v>
      </c>
      <c r="K389" t="s">
        <v>13</v>
      </c>
      <c r="L389" t="s">
        <v>13</v>
      </c>
      <c r="M389" t="s">
        <v>13</v>
      </c>
    </row>
    <row r="390" spans="1:13" hidden="1">
      <c r="A390" t="s">
        <v>293</v>
      </c>
      <c r="B390">
        <v>0</v>
      </c>
      <c r="C390" t="s">
        <v>24</v>
      </c>
      <c r="D390" t="s">
        <v>25</v>
      </c>
      <c r="E390" t="s">
        <v>294</v>
      </c>
      <c r="F390" t="s">
        <v>295</v>
      </c>
      <c r="G390" t="s">
        <v>13</v>
      </c>
      <c r="H390" t="s">
        <v>13</v>
      </c>
      <c r="I390" t="s">
        <v>13</v>
      </c>
      <c r="J390" t="s">
        <v>13</v>
      </c>
      <c r="K390" t="s">
        <v>296</v>
      </c>
      <c r="L390" t="s">
        <v>13</v>
      </c>
      <c r="M390" t="s">
        <v>13</v>
      </c>
    </row>
    <row r="391" spans="1:13">
      <c r="A391" t="s">
        <v>297</v>
      </c>
      <c r="B391" t="s">
        <v>298</v>
      </c>
      <c r="C391" t="s">
        <v>123</v>
      </c>
      <c r="D391" t="s">
        <v>299</v>
      </c>
      <c r="E391" t="s">
        <v>300</v>
      </c>
      <c r="F391" t="s">
        <v>91</v>
      </c>
      <c r="G391" t="s">
        <v>13</v>
      </c>
      <c r="H391" t="s">
        <v>13</v>
      </c>
      <c r="I391" t="s">
        <v>298</v>
      </c>
      <c r="J391" t="s">
        <v>13</v>
      </c>
      <c r="K391" t="s">
        <v>301</v>
      </c>
      <c r="L391" t="s">
        <v>13</v>
      </c>
      <c r="M391">
        <v>0</v>
      </c>
    </row>
    <row r="392" spans="1:13">
      <c r="A392" t="s">
        <v>302</v>
      </c>
      <c r="B392" t="s">
        <v>303</v>
      </c>
      <c r="C392" t="s">
        <v>123</v>
      </c>
      <c r="D392" t="s">
        <v>131</v>
      </c>
      <c r="E392" t="s">
        <v>132</v>
      </c>
      <c r="F392" t="s">
        <v>304</v>
      </c>
      <c r="G392" t="s">
        <v>13</v>
      </c>
      <c r="H392" t="s">
        <v>13</v>
      </c>
      <c r="I392" t="s">
        <v>303</v>
      </c>
      <c r="J392" t="s">
        <v>13</v>
      </c>
      <c r="K392" t="s">
        <v>305</v>
      </c>
      <c r="L392" t="s">
        <v>13</v>
      </c>
      <c r="M392" t="s">
        <v>306</v>
      </c>
    </row>
    <row r="393" spans="1:13">
      <c r="A393" t="s">
        <v>307</v>
      </c>
      <c r="B393" t="s">
        <v>308</v>
      </c>
      <c r="C393">
        <v>4670</v>
      </c>
      <c r="D393" t="s">
        <v>137</v>
      </c>
      <c r="E393" t="s">
        <v>272</v>
      </c>
      <c r="F393" t="s">
        <v>309</v>
      </c>
      <c r="G393" t="s">
        <v>110</v>
      </c>
      <c r="H393" t="s">
        <v>13</v>
      </c>
      <c r="I393" t="s">
        <v>310</v>
      </c>
      <c r="J393" t="s">
        <v>13</v>
      </c>
      <c r="K393" t="s">
        <v>13</v>
      </c>
      <c r="L393" t="s">
        <v>13</v>
      </c>
      <c r="M393" t="s">
        <v>13</v>
      </c>
    </row>
    <row r="394" spans="1:13">
      <c r="A394" t="s">
        <v>311</v>
      </c>
      <c r="B394" t="s">
        <v>312</v>
      </c>
      <c r="C394" t="s">
        <v>123</v>
      </c>
      <c r="D394" t="s">
        <v>131</v>
      </c>
      <c r="E394" t="s">
        <v>132</v>
      </c>
      <c r="F394" t="s">
        <v>313</v>
      </c>
      <c r="G394" t="s">
        <v>13</v>
      </c>
      <c r="H394" t="s">
        <v>13</v>
      </c>
      <c r="I394" t="s">
        <v>312</v>
      </c>
      <c r="J394" t="s">
        <v>13</v>
      </c>
      <c r="K394" t="s">
        <v>314</v>
      </c>
      <c r="L394" t="s">
        <v>13</v>
      </c>
      <c r="M394" t="s">
        <v>198</v>
      </c>
    </row>
    <row r="395" spans="1:13">
      <c r="A395" t="s">
        <v>315</v>
      </c>
      <c r="B395">
        <v>0</v>
      </c>
      <c r="C395" t="s">
        <v>16</v>
      </c>
      <c r="D395" t="s">
        <v>169</v>
      </c>
      <c r="E395" t="s">
        <v>170</v>
      </c>
      <c r="F395" t="s">
        <v>316</v>
      </c>
      <c r="G395" t="s">
        <v>317</v>
      </c>
      <c r="H395" t="s">
        <v>13</v>
      </c>
      <c r="I395" t="s">
        <v>318</v>
      </c>
      <c r="J395" t="s">
        <v>91</v>
      </c>
      <c r="K395" t="s">
        <v>319</v>
      </c>
      <c r="L395" t="s">
        <v>13</v>
      </c>
      <c r="M395" t="s">
        <v>13</v>
      </c>
    </row>
    <row r="396" spans="1:13">
      <c r="A396" t="s">
        <v>320</v>
      </c>
      <c r="B396" t="s">
        <v>321</v>
      </c>
      <c r="C396" t="s">
        <v>123</v>
      </c>
      <c r="D396" t="s">
        <v>177</v>
      </c>
      <c r="E396" t="s">
        <v>89</v>
      </c>
      <c r="F396" t="s">
        <v>322</v>
      </c>
      <c r="G396" t="s">
        <v>13</v>
      </c>
      <c r="H396" t="s">
        <v>13</v>
      </c>
      <c r="I396" t="s">
        <v>321</v>
      </c>
      <c r="J396" t="s">
        <v>13</v>
      </c>
      <c r="K396" t="s">
        <v>323</v>
      </c>
      <c r="L396" t="s">
        <v>13</v>
      </c>
      <c r="M396" t="s">
        <v>128</v>
      </c>
    </row>
    <row r="397" spans="1:13" hidden="1">
      <c r="A397" t="s">
        <v>293</v>
      </c>
      <c r="B397">
        <v>0</v>
      </c>
      <c r="C397" t="s">
        <v>24</v>
      </c>
      <c r="D397" t="s">
        <v>25</v>
      </c>
      <c r="E397" t="s">
        <v>294</v>
      </c>
      <c r="F397" t="s">
        <v>295</v>
      </c>
      <c r="G397" t="s">
        <v>13</v>
      </c>
      <c r="H397" t="s">
        <v>13</v>
      </c>
      <c r="I397" t="s">
        <v>13</v>
      </c>
      <c r="J397" t="s">
        <v>13</v>
      </c>
      <c r="K397" t="s">
        <v>296</v>
      </c>
      <c r="L397" t="s">
        <v>13</v>
      </c>
      <c r="M397" t="s">
        <v>13</v>
      </c>
    </row>
    <row r="398" spans="1:13">
      <c r="A398" t="s">
        <v>324</v>
      </c>
      <c r="B398" t="s">
        <v>325</v>
      </c>
      <c r="C398">
        <v>4075</v>
      </c>
      <c r="D398" t="s">
        <v>143</v>
      </c>
      <c r="E398" t="s">
        <v>272</v>
      </c>
      <c r="F398" t="s">
        <v>326</v>
      </c>
      <c r="G398" t="s">
        <v>110</v>
      </c>
      <c r="H398" t="s">
        <v>13</v>
      </c>
      <c r="I398" t="s">
        <v>327</v>
      </c>
      <c r="J398" t="s">
        <v>13</v>
      </c>
      <c r="K398" t="s">
        <v>13</v>
      </c>
      <c r="L398" t="s">
        <v>13</v>
      </c>
      <c r="M398" t="s">
        <v>13</v>
      </c>
    </row>
    <row r="399" spans="1:13">
      <c r="A399" t="s">
        <v>328</v>
      </c>
      <c r="B399">
        <v>0</v>
      </c>
      <c r="C399" t="s">
        <v>16</v>
      </c>
      <c r="D399" t="s">
        <v>169</v>
      </c>
      <c r="E399" t="s">
        <v>170</v>
      </c>
      <c r="F399" t="s">
        <v>329</v>
      </c>
      <c r="G399" t="s">
        <v>330</v>
      </c>
      <c r="H399" t="s">
        <v>13</v>
      </c>
      <c r="I399" t="s">
        <v>331</v>
      </c>
      <c r="J399" t="s">
        <v>174</v>
      </c>
      <c r="K399" t="s">
        <v>332</v>
      </c>
      <c r="L399" t="s">
        <v>13</v>
      </c>
      <c r="M399" t="s">
        <v>13</v>
      </c>
    </row>
    <row r="400" spans="1:13" hidden="1">
      <c r="A400" t="s">
        <v>333</v>
      </c>
      <c r="B400" t="s">
        <v>113</v>
      </c>
      <c r="C400" t="s">
        <v>24</v>
      </c>
      <c r="D400" t="s">
        <v>25</v>
      </c>
      <c r="E400" t="s">
        <v>334</v>
      </c>
      <c r="F400" t="s">
        <v>335</v>
      </c>
      <c r="G400" t="s">
        <v>13</v>
      </c>
      <c r="H400" t="s">
        <v>13</v>
      </c>
      <c r="I400" t="s">
        <v>13</v>
      </c>
      <c r="J400" t="s">
        <v>13</v>
      </c>
      <c r="K400" t="s">
        <v>336</v>
      </c>
      <c r="L400" t="s">
        <v>13</v>
      </c>
      <c r="M400" t="s">
        <v>13</v>
      </c>
    </row>
    <row r="401" spans="1:13">
      <c r="A401" t="s">
        <v>328</v>
      </c>
      <c r="B401">
        <v>0</v>
      </c>
      <c r="C401" t="s">
        <v>16</v>
      </c>
      <c r="D401" t="s">
        <v>169</v>
      </c>
      <c r="E401" t="s">
        <v>170</v>
      </c>
      <c r="F401" t="s">
        <v>329</v>
      </c>
      <c r="G401" t="s">
        <v>330</v>
      </c>
      <c r="H401" t="s">
        <v>13</v>
      </c>
      <c r="I401" t="s">
        <v>331</v>
      </c>
      <c r="J401" t="s">
        <v>174</v>
      </c>
      <c r="K401" t="s">
        <v>332</v>
      </c>
      <c r="L401" t="s">
        <v>13</v>
      </c>
      <c r="M401" t="s">
        <v>13</v>
      </c>
    </row>
    <row r="402" spans="1:13">
      <c r="A402" t="s">
        <v>337</v>
      </c>
      <c r="B402">
        <v>0</v>
      </c>
      <c r="C402" t="s">
        <v>16</v>
      </c>
      <c r="D402" t="s">
        <v>169</v>
      </c>
      <c r="E402" t="s">
        <v>170</v>
      </c>
      <c r="F402" t="s">
        <v>338</v>
      </c>
      <c r="G402" t="s">
        <v>339</v>
      </c>
      <c r="H402" t="s">
        <v>13</v>
      </c>
      <c r="I402" t="s">
        <v>340</v>
      </c>
      <c r="J402" t="s">
        <v>174</v>
      </c>
      <c r="K402">
        <v>43954</v>
      </c>
      <c r="L402" t="s">
        <v>13</v>
      </c>
      <c r="M402" t="s">
        <v>13</v>
      </c>
    </row>
    <row r="403" spans="1:13" hidden="1">
      <c r="A403" t="s">
        <v>341</v>
      </c>
      <c r="B403" t="s">
        <v>113</v>
      </c>
      <c r="C403" t="s">
        <v>24</v>
      </c>
      <c r="D403" t="s">
        <v>25</v>
      </c>
      <c r="E403" t="s">
        <v>342</v>
      </c>
      <c r="F403" t="s">
        <v>343</v>
      </c>
      <c r="G403" t="s">
        <v>13</v>
      </c>
      <c r="H403" t="s">
        <v>13</v>
      </c>
      <c r="I403" t="s">
        <v>13</v>
      </c>
      <c r="J403" t="s">
        <v>13</v>
      </c>
      <c r="K403">
        <v>43868</v>
      </c>
      <c r="L403" t="s">
        <v>13</v>
      </c>
      <c r="M403" t="s">
        <v>13</v>
      </c>
    </row>
    <row r="404" spans="1:13" hidden="1">
      <c r="A404" t="s">
        <v>293</v>
      </c>
      <c r="B404">
        <v>0</v>
      </c>
      <c r="C404" t="s">
        <v>24</v>
      </c>
      <c r="D404" t="s">
        <v>25</v>
      </c>
      <c r="E404" t="s">
        <v>294</v>
      </c>
      <c r="F404" t="s">
        <v>295</v>
      </c>
      <c r="G404" t="s">
        <v>13</v>
      </c>
      <c r="H404" t="s">
        <v>13</v>
      </c>
      <c r="I404" t="s">
        <v>13</v>
      </c>
      <c r="J404" t="s">
        <v>13</v>
      </c>
      <c r="K404" t="s">
        <v>296</v>
      </c>
      <c r="L404" t="s">
        <v>13</v>
      </c>
      <c r="M404" t="s">
        <v>13</v>
      </c>
    </row>
    <row r="405" spans="1:13" hidden="1">
      <c r="A405" t="s">
        <v>97</v>
      </c>
      <c r="B405" t="s">
        <v>29</v>
      </c>
      <c r="C405" t="s">
        <v>24</v>
      </c>
      <c r="D405" t="s">
        <v>25</v>
      </c>
      <c r="E405" t="s">
        <v>98</v>
      </c>
      <c r="F405" t="s">
        <v>96</v>
      </c>
      <c r="G405" t="s">
        <v>13</v>
      </c>
      <c r="H405" t="s">
        <v>13</v>
      </c>
      <c r="I405" t="s">
        <v>13</v>
      </c>
      <c r="J405" t="s">
        <v>13</v>
      </c>
      <c r="K405" t="s">
        <v>99</v>
      </c>
      <c r="L405" t="s">
        <v>13</v>
      </c>
      <c r="M405" t="s">
        <v>13</v>
      </c>
    </row>
    <row r="406" spans="1:13" hidden="1">
      <c r="A406" t="s">
        <v>344</v>
      </c>
      <c r="B406" t="s">
        <v>113</v>
      </c>
      <c r="C406" t="s">
        <v>24</v>
      </c>
      <c r="D406" t="s">
        <v>25</v>
      </c>
      <c r="E406" t="s">
        <v>345</v>
      </c>
      <c r="F406" t="s">
        <v>346</v>
      </c>
      <c r="G406" t="s">
        <v>13</v>
      </c>
      <c r="H406" t="s">
        <v>13</v>
      </c>
      <c r="I406" t="s">
        <v>13</v>
      </c>
      <c r="J406" t="s">
        <v>13</v>
      </c>
      <c r="K406" t="s">
        <v>347</v>
      </c>
      <c r="L406" t="s">
        <v>13</v>
      </c>
      <c r="M406" t="s">
        <v>13</v>
      </c>
    </row>
    <row r="407" spans="1:13" hidden="1">
      <c r="A407" t="s">
        <v>348</v>
      </c>
      <c r="B407" t="s">
        <v>113</v>
      </c>
      <c r="C407" t="s">
        <v>24</v>
      </c>
      <c r="D407" t="s">
        <v>25</v>
      </c>
      <c r="E407" t="s">
        <v>349</v>
      </c>
      <c r="F407" t="s">
        <v>350</v>
      </c>
      <c r="G407" t="s">
        <v>13</v>
      </c>
      <c r="H407" t="s">
        <v>13</v>
      </c>
      <c r="I407" t="s">
        <v>13</v>
      </c>
      <c r="J407" t="s">
        <v>13</v>
      </c>
      <c r="K407">
        <v>43834</v>
      </c>
      <c r="L407" t="s">
        <v>13</v>
      </c>
      <c r="M407" t="s">
        <v>13</v>
      </c>
    </row>
    <row r="408" spans="1:13" hidden="1">
      <c r="A408" t="s">
        <v>351</v>
      </c>
      <c r="B408" t="s">
        <v>352</v>
      </c>
      <c r="C408" t="s">
        <v>24</v>
      </c>
      <c r="D408" t="s">
        <v>25</v>
      </c>
      <c r="E408" t="s">
        <v>353</v>
      </c>
      <c r="F408" t="s">
        <v>354</v>
      </c>
      <c r="G408" t="s">
        <v>13</v>
      </c>
      <c r="H408" t="s">
        <v>13</v>
      </c>
      <c r="I408" t="s">
        <v>13</v>
      </c>
      <c r="J408" t="s">
        <v>13</v>
      </c>
      <c r="K408">
        <v>43892</v>
      </c>
      <c r="L408" t="s">
        <v>13</v>
      </c>
      <c r="M408" t="s">
        <v>13</v>
      </c>
    </row>
    <row r="409" spans="1:13" hidden="1">
      <c r="A409" t="s">
        <v>355</v>
      </c>
      <c r="B409" t="s">
        <v>352</v>
      </c>
      <c r="C409" t="s">
        <v>24</v>
      </c>
      <c r="D409" t="s">
        <v>25</v>
      </c>
      <c r="E409" t="s">
        <v>356</v>
      </c>
      <c r="F409" t="s">
        <v>357</v>
      </c>
      <c r="G409" t="s">
        <v>13</v>
      </c>
      <c r="H409" t="s">
        <v>13</v>
      </c>
      <c r="I409" t="s">
        <v>13</v>
      </c>
      <c r="J409" t="s">
        <v>13</v>
      </c>
      <c r="K409" t="s">
        <v>358</v>
      </c>
      <c r="L409" t="s">
        <v>13</v>
      </c>
      <c r="M409" t="s">
        <v>13</v>
      </c>
    </row>
    <row r="410" spans="1:13">
      <c r="A410" t="s">
        <v>359</v>
      </c>
      <c r="B410" t="s">
        <v>360</v>
      </c>
      <c r="C410">
        <v>4500</v>
      </c>
      <c r="D410" t="s">
        <v>143</v>
      </c>
      <c r="E410" t="s">
        <v>211</v>
      </c>
      <c r="F410" t="s">
        <v>361</v>
      </c>
      <c r="G410" t="s">
        <v>110</v>
      </c>
      <c r="H410" t="s">
        <v>13</v>
      </c>
      <c r="I410" t="s">
        <v>362</v>
      </c>
      <c r="J410" t="s">
        <v>13</v>
      </c>
      <c r="K410" t="s">
        <v>13</v>
      </c>
      <c r="L410" t="s">
        <v>13</v>
      </c>
      <c r="M410" t="s">
        <v>13</v>
      </c>
    </row>
    <row r="411" spans="1:13">
      <c r="A411" t="s">
        <v>363</v>
      </c>
      <c r="B411" t="s">
        <v>364</v>
      </c>
      <c r="C411" t="s">
        <v>123</v>
      </c>
      <c r="D411" t="s">
        <v>365</v>
      </c>
      <c r="E411" t="s">
        <v>366</v>
      </c>
      <c r="F411" t="s">
        <v>91</v>
      </c>
      <c r="G411" t="s">
        <v>13</v>
      </c>
      <c r="H411" t="s">
        <v>13</v>
      </c>
      <c r="I411" t="s">
        <v>364</v>
      </c>
      <c r="J411" t="s">
        <v>13</v>
      </c>
      <c r="K411" t="s">
        <v>367</v>
      </c>
      <c r="L411" t="s">
        <v>13</v>
      </c>
      <c r="M411">
        <v>0</v>
      </c>
    </row>
    <row r="412" spans="1:13">
      <c r="A412" t="s">
        <v>368</v>
      </c>
      <c r="B412" t="s">
        <v>369</v>
      </c>
      <c r="C412" t="s">
        <v>13</v>
      </c>
      <c r="D412" t="s">
        <v>13</v>
      </c>
      <c r="E412" t="s">
        <v>13</v>
      </c>
      <c r="F412" t="s">
        <v>13</v>
      </c>
      <c r="G412" t="s">
        <v>13</v>
      </c>
      <c r="H412" t="s">
        <v>13</v>
      </c>
      <c r="I412" t="s">
        <v>370</v>
      </c>
      <c r="J412" t="s">
        <v>13</v>
      </c>
      <c r="K412" t="s">
        <v>13</v>
      </c>
      <c r="L412" t="s">
        <v>13</v>
      </c>
      <c r="M412" t="s">
        <v>13</v>
      </c>
    </row>
    <row r="413" spans="1:13">
      <c r="A413" t="s">
        <v>371</v>
      </c>
      <c r="B413" t="s">
        <v>372</v>
      </c>
      <c r="C413" t="s">
        <v>123</v>
      </c>
      <c r="D413" t="s">
        <v>373</v>
      </c>
      <c r="E413" t="s">
        <v>89</v>
      </c>
      <c r="F413" t="s">
        <v>374</v>
      </c>
      <c r="G413" t="s">
        <v>13</v>
      </c>
      <c r="H413" t="s">
        <v>13</v>
      </c>
      <c r="I413" t="s">
        <v>372</v>
      </c>
      <c r="J413" t="s">
        <v>13</v>
      </c>
      <c r="K413" t="s">
        <v>127</v>
      </c>
      <c r="L413" t="s">
        <v>13</v>
      </c>
      <c r="M413" t="s">
        <v>128</v>
      </c>
    </row>
    <row r="414" spans="1:13">
      <c r="A414" t="s">
        <v>375</v>
      </c>
      <c r="B414">
        <v>0</v>
      </c>
      <c r="C414" t="s">
        <v>16</v>
      </c>
      <c r="D414" t="s">
        <v>169</v>
      </c>
      <c r="E414" t="s">
        <v>170</v>
      </c>
      <c r="F414" t="s">
        <v>376</v>
      </c>
      <c r="G414" t="s">
        <v>377</v>
      </c>
      <c r="H414" t="s">
        <v>13</v>
      </c>
      <c r="I414" t="s">
        <v>378</v>
      </c>
      <c r="J414" t="s">
        <v>91</v>
      </c>
      <c r="K414" t="s">
        <v>379</v>
      </c>
      <c r="L414" t="s">
        <v>13</v>
      </c>
      <c r="M414" t="s">
        <v>13</v>
      </c>
    </row>
    <row r="415" spans="1:13">
      <c r="A415" t="s">
        <v>380</v>
      </c>
      <c r="B415" t="s">
        <v>381</v>
      </c>
      <c r="C415">
        <v>4575</v>
      </c>
      <c r="D415" t="s">
        <v>143</v>
      </c>
      <c r="E415" t="s">
        <v>382</v>
      </c>
      <c r="F415" t="s">
        <v>383</v>
      </c>
      <c r="G415" t="s">
        <v>110</v>
      </c>
      <c r="H415" t="s">
        <v>13</v>
      </c>
      <c r="I415" t="s">
        <v>384</v>
      </c>
      <c r="J415" t="s">
        <v>13</v>
      </c>
      <c r="K415" t="s">
        <v>13</v>
      </c>
      <c r="L415" t="s">
        <v>13</v>
      </c>
      <c r="M415" t="s">
        <v>13</v>
      </c>
    </row>
    <row r="416" spans="1:13">
      <c r="A416" t="s">
        <v>385</v>
      </c>
      <c r="B416" t="s">
        <v>386</v>
      </c>
      <c r="C416" t="s">
        <v>123</v>
      </c>
      <c r="D416" t="s">
        <v>177</v>
      </c>
      <c r="E416" t="s">
        <v>132</v>
      </c>
      <c r="F416" t="s">
        <v>387</v>
      </c>
      <c r="G416" t="s">
        <v>13</v>
      </c>
      <c r="H416" t="s">
        <v>13</v>
      </c>
      <c r="I416" t="s">
        <v>386</v>
      </c>
      <c r="J416" t="s">
        <v>13</v>
      </c>
      <c r="K416" t="s">
        <v>388</v>
      </c>
      <c r="L416" t="s">
        <v>13</v>
      </c>
      <c r="M416" t="s">
        <v>198</v>
      </c>
    </row>
    <row r="417" spans="1:13">
      <c r="A417" t="s">
        <v>389</v>
      </c>
      <c r="B417" t="s">
        <v>390</v>
      </c>
      <c r="C417" t="s">
        <v>24</v>
      </c>
      <c r="D417" t="s">
        <v>157</v>
      </c>
      <c r="E417">
        <v>0</v>
      </c>
      <c r="F417" t="s">
        <v>391</v>
      </c>
      <c r="G417" t="s">
        <v>13</v>
      </c>
      <c r="H417" t="s">
        <v>13</v>
      </c>
      <c r="I417" t="s">
        <v>13</v>
      </c>
      <c r="J417" t="s">
        <v>13</v>
      </c>
      <c r="K417" t="s">
        <v>392</v>
      </c>
      <c r="L417" t="s">
        <v>13</v>
      </c>
      <c r="M417" t="s">
        <v>13</v>
      </c>
    </row>
    <row r="418" spans="1:13">
      <c r="A418" t="s">
        <v>393</v>
      </c>
      <c r="B418" t="s">
        <v>394</v>
      </c>
      <c r="C418">
        <v>4009</v>
      </c>
      <c r="D418" t="s">
        <v>143</v>
      </c>
      <c r="E418" t="s">
        <v>382</v>
      </c>
      <c r="F418" t="s">
        <v>395</v>
      </c>
      <c r="G418" t="s">
        <v>110</v>
      </c>
      <c r="H418" t="s">
        <v>13</v>
      </c>
      <c r="I418" t="s">
        <v>396</v>
      </c>
      <c r="J418" t="s">
        <v>13</v>
      </c>
      <c r="K418" t="s">
        <v>13</v>
      </c>
      <c r="L418" t="s">
        <v>13</v>
      </c>
      <c r="M418" t="s">
        <v>13</v>
      </c>
    </row>
    <row r="419" spans="1:13" hidden="1">
      <c r="A419" t="s">
        <v>397</v>
      </c>
      <c r="B419" t="s">
        <v>352</v>
      </c>
      <c r="C419" t="s">
        <v>24</v>
      </c>
      <c r="D419" t="s">
        <v>25</v>
      </c>
      <c r="E419" t="s">
        <v>398</v>
      </c>
      <c r="F419" t="s">
        <v>399</v>
      </c>
      <c r="G419" t="s">
        <v>13</v>
      </c>
      <c r="H419" t="s">
        <v>13</v>
      </c>
      <c r="I419" t="s">
        <v>13</v>
      </c>
      <c r="J419" t="s">
        <v>13</v>
      </c>
      <c r="K419" t="s">
        <v>400</v>
      </c>
      <c r="L419" t="s">
        <v>13</v>
      </c>
      <c r="M419" t="s">
        <v>13</v>
      </c>
    </row>
    <row r="420" spans="1:13" hidden="1">
      <c r="A420" t="s">
        <v>401</v>
      </c>
      <c r="B420" t="s">
        <v>352</v>
      </c>
      <c r="C420" t="s">
        <v>24</v>
      </c>
      <c r="D420" t="s">
        <v>25</v>
      </c>
      <c r="E420" t="s">
        <v>37</v>
      </c>
      <c r="F420" t="s">
        <v>402</v>
      </c>
      <c r="G420" t="s">
        <v>13</v>
      </c>
      <c r="H420" t="s">
        <v>13</v>
      </c>
      <c r="I420" t="s">
        <v>13</v>
      </c>
      <c r="J420" t="s">
        <v>13</v>
      </c>
      <c r="K420">
        <v>43619</v>
      </c>
      <c r="L420" t="s">
        <v>13</v>
      </c>
      <c r="M420" t="s">
        <v>13</v>
      </c>
    </row>
    <row r="421" spans="1:13" hidden="1">
      <c r="A421" t="s">
        <v>403</v>
      </c>
      <c r="B421" t="s">
        <v>352</v>
      </c>
      <c r="C421" t="s">
        <v>24</v>
      </c>
      <c r="D421" t="s">
        <v>25</v>
      </c>
      <c r="E421" t="s">
        <v>404</v>
      </c>
      <c r="F421" t="s">
        <v>405</v>
      </c>
      <c r="G421" t="s">
        <v>13</v>
      </c>
      <c r="H421" t="s">
        <v>13</v>
      </c>
      <c r="I421" t="s">
        <v>13</v>
      </c>
      <c r="J421" t="s">
        <v>13</v>
      </c>
      <c r="K421">
        <v>43619</v>
      </c>
      <c r="L421" t="s">
        <v>13</v>
      </c>
      <c r="M421" t="s">
        <v>13</v>
      </c>
    </row>
    <row r="422" spans="1:13">
      <c r="A422" t="s">
        <v>406</v>
      </c>
      <c r="B422" t="s">
        <v>407</v>
      </c>
      <c r="C422" t="s">
        <v>16</v>
      </c>
      <c r="D422" t="s">
        <v>205</v>
      </c>
      <c r="E422" t="s">
        <v>206</v>
      </c>
      <c r="F422">
        <v>0</v>
      </c>
      <c r="G422" t="s">
        <v>408</v>
      </c>
      <c r="H422" t="s">
        <v>13</v>
      </c>
      <c r="I422">
        <v>0</v>
      </c>
      <c r="J422" t="s">
        <v>409</v>
      </c>
      <c r="K422">
        <v>44203</v>
      </c>
      <c r="L422" t="s">
        <v>13</v>
      </c>
      <c r="M422" t="s">
        <v>13</v>
      </c>
    </row>
    <row r="423" spans="1:13" hidden="1">
      <c r="A423" t="s">
        <v>410</v>
      </c>
      <c r="B423" t="s">
        <v>352</v>
      </c>
      <c r="C423" t="s">
        <v>24</v>
      </c>
      <c r="D423" t="s">
        <v>25</v>
      </c>
      <c r="E423" t="s">
        <v>411</v>
      </c>
      <c r="F423" t="s">
        <v>412</v>
      </c>
      <c r="G423" t="s">
        <v>13</v>
      </c>
      <c r="H423" t="s">
        <v>13</v>
      </c>
      <c r="I423" t="s">
        <v>13</v>
      </c>
      <c r="J423" t="s">
        <v>13</v>
      </c>
      <c r="K423" t="s">
        <v>413</v>
      </c>
      <c r="L423" t="s">
        <v>13</v>
      </c>
      <c r="M423" t="s">
        <v>13</v>
      </c>
    </row>
    <row r="424" spans="1:13" hidden="1">
      <c r="A424" t="s">
        <v>414</v>
      </c>
      <c r="B424" t="s">
        <v>113</v>
      </c>
      <c r="C424" t="s">
        <v>24</v>
      </c>
      <c r="D424" t="s">
        <v>25</v>
      </c>
      <c r="E424" t="s">
        <v>37</v>
      </c>
      <c r="F424" t="s">
        <v>415</v>
      </c>
      <c r="G424" t="s">
        <v>13</v>
      </c>
      <c r="H424" t="s">
        <v>13</v>
      </c>
      <c r="I424" t="s">
        <v>13</v>
      </c>
      <c r="J424" t="s">
        <v>13</v>
      </c>
      <c r="K424" t="s">
        <v>296</v>
      </c>
      <c r="L424" t="s">
        <v>13</v>
      </c>
      <c r="M424" t="s">
        <v>13</v>
      </c>
    </row>
    <row r="425" spans="1:13" hidden="1">
      <c r="A425" t="s">
        <v>416</v>
      </c>
      <c r="B425" t="s">
        <v>113</v>
      </c>
      <c r="C425" t="s">
        <v>24</v>
      </c>
      <c r="D425" t="s">
        <v>25</v>
      </c>
      <c r="E425" t="s">
        <v>37</v>
      </c>
      <c r="F425" t="s">
        <v>417</v>
      </c>
      <c r="G425" t="s">
        <v>13</v>
      </c>
      <c r="H425" t="s">
        <v>13</v>
      </c>
      <c r="I425" t="s">
        <v>13</v>
      </c>
      <c r="J425" t="s">
        <v>13</v>
      </c>
      <c r="K425">
        <v>45363</v>
      </c>
      <c r="L425" t="s">
        <v>13</v>
      </c>
      <c r="M425" t="s">
        <v>13</v>
      </c>
    </row>
    <row r="426" spans="1:13">
      <c r="A426" t="s">
        <v>406</v>
      </c>
      <c r="B426" t="s">
        <v>407</v>
      </c>
      <c r="C426" t="s">
        <v>16</v>
      </c>
      <c r="D426" t="s">
        <v>205</v>
      </c>
      <c r="E426" t="s">
        <v>206</v>
      </c>
      <c r="F426">
        <v>0</v>
      </c>
      <c r="G426" t="s">
        <v>408</v>
      </c>
      <c r="H426" t="s">
        <v>13</v>
      </c>
      <c r="I426">
        <v>0</v>
      </c>
      <c r="J426" t="s">
        <v>409</v>
      </c>
      <c r="K426">
        <v>44203</v>
      </c>
      <c r="L426" t="s">
        <v>13</v>
      </c>
      <c r="M426" t="s">
        <v>13</v>
      </c>
    </row>
    <row r="427" spans="1:13">
      <c r="A427" t="s">
        <v>406</v>
      </c>
      <c r="B427" t="s">
        <v>407</v>
      </c>
      <c r="C427" t="s">
        <v>16</v>
      </c>
      <c r="D427" t="s">
        <v>205</v>
      </c>
      <c r="E427" t="s">
        <v>206</v>
      </c>
      <c r="F427">
        <v>0</v>
      </c>
      <c r="G427" t="s">
        <v>408</v>
      </c>
      <c r="H427" t="s">
        <v>13</v>
      </c>
      <c r="I427">
        <v>0</v>
      </c>
      <c r="J427" t="s">
        <v>409</v>
      </c>
      <c r="K427">
        <v>44203</v>
      </c>
      <c r="L427" t="s">
        <v>13</v>
      </c>
      <c r="M427" t="s">
        <v>13</v>
      </c>
    </row>
    <row r="428" spans="1:13" hidden="1">
      <c r="A428" t="s">
        <v>418</v>
      </c>
      <c r="B428" t="s">
        <v>352</v>
      </c>
      <c r="C428" t="s">
        <v>24</v>
      </c>
      <c r="D428" t="s">
        <v>25</v>
      </c>
      <c r="E428" t="s">
        <v>419</v>
      </c>
      <c r="F428" t="s">
        <v>420</v>
      </c>
      <c r="G428" t="s">
        <v>13</v>
      </c>
      <c r="H428" t="s">
        <v>13</v>
      </c>
      <c r="I428" t="s">
        <v>13</v>
      </c>
      <c r="J428" t="s">
        <v>13</v>
      </c>
      <c r="K428">
        <v>43171</v>
      </c>
      <c r="L428" t="s">
        <v>13</v>
      </c>
      <c r="M428" t="s">
        <v>13</v>
      </c>
    </row>
    <row r="429" spans="1:13" hidden="1">
      <c r="A429" t="s">
        <v>275</v>
      </c>
      <c r="B429">
        <v>0</v>
      </c>
      <c r="C429" t="s">
        <v>24</v>
      </c>
      <c r="D429" t="s">
        <v>25</v>
      </c>
      <c r="E429" t="s">
        <v>276</v>
      </c>
      <c r="F429" t="s">
        <v>277</v>
      </c>
      <c r="G429" t="s">
        <v>13</v>
      </c>
      <c r="H429" t="s">
        <v>13</v>
      </c>
      <c r="I429" t="s">
        <v>13</v>
      </c>
      <c r="J429" t="s">
        <v>13</v>
      </c>
      <c r="K429">
        <v>44321</v>
      </c>
      <c r="L429" t="s">
        <v>13</v>
      </c>
      <c r="M429" t="s">
        <v>13</v>
      </c>
    </row>
    <row r="430" spans="1:13">
      <c r="A430" t="s">
        <v>421</v>
      </c>
      <c r="B430">
        <v>0</v>
      </c>
      <c r="C430" t="s">
        <v>16</v>
      </c>
      <c r="D430" t="s">
        <v>169</v>
      </c>
      <c r="E430" t="s">
        <v>170</v>
      </c>
      <c r="F430" t="s">
        <v>422</v>
      </c>
      <c r="G430" t="s">
        <v>423</v>
      </c>
      <c r="H430" t="s">
        <v>13</v>
      </c>
      <c r="I430" t="s">
        <v>424</v>
      </c>
      <c r="J430" t="s">
        <v>174</v>
      </c>
      <c r="K430">
        <v>45140</v>
      </c>
      <c r="L430" t="s">
        <v>13</v>
      </c>
      <c r="M430" t="s">
        <v>13</v>
      </c>
    </row>
    <row r="431" spans="1:13" hidden="1">
      <c r="A431" t="s">
        <v>425</v>
      </c>
      <c r="B431" t="s">
        <v>352</v>
      </c>
      <c r="C431" t="s">
        <v>24</v>
      </c>
      <c r="D431" t="s">
        <v>25</v>
      </c>
      <c r="E431" t="s">
        <v>426</v>
      </c>
      <c r="F431" t="s">
        <v>427</v>
      </c>
      <c r="G431" t="s">
        <v>13</v>
      </c>
      <c r="H431" t="s">
        <v>13</v>
      </c>
      <c r="I431" t="s">
        <v>13</v>
      </c>
      <c r="J431" t="s">
        <v>13</v>
      </c>
      <c r="K431">
        <v>43260</v>
      </c>
      <c r="L431" t="s">
        <v>13</v>
      </c>
      <c r="M431" t="s">
        <v>13</v>
      </c>
    </row>
    <row r="432" spans="1:13" hidden="1">
      <c r="A432" t="s">
        <v>275</v>
      </c>
      <c r="B432">
        <v>0</v>
      </c>
      <c r="C432" t="s">
        <v>24</v>
      </c>
      <c r="D432" t="s">
        <v>25</v>
      </c>
      <c r="E432" t="s">
        <v>276</v>
      </c>
      <c r="F432" t="s">
        <v>277</v>
      </c>
      <c r="G432" t="s">
        <v>13</v>
      </c>
      <c r="H432" t="s">
        <v>13</v>
      </c>
      <c r="I432" t="s">
        <v>13</v>
      </c>
      <c r="J432" t="s">
        <v>13</v>
      </c>
      <c r="K432">
        <v>44321</v>
      </c>
      <c r="L432" t="s">
        <v>13</v>
      </c>
      <c r="M432" t="s">
        <v>13</v>
      </c>
    </row>
    <row r="433" spans="1:13">
      <c r="A433" t="s">
        <v>428</v>
      </c>
      <c r="B433" t="s">
        <v>429</v>
      </c>
      <c r="C433" t="s">
        <v>123</v>
      </c>
      <c r="D433" t="s">
        <v>430</v>
      </c>
      <c r="E433" t="s">
        <v>431</v>
      </c>
      <c r="F433" t="s">
        <v>432</v>
      </c>
      <c r="G433" t="s">
        <v>13</v>
      </c>
      <c r="H433" t="s">
        <v>13</v>
      </c>
      <c r="I433" t="s">
        <v>429</v>
      </c>
      <c r="J433" t="s">
        <v>13</v>
      </c>
      <c r="K433" t="s">
        <v>433</v>
      </c>
      <c r="L433" t="s">
        <v>13</v>
      </c>
      <c r="M433">
        <v>0</v>
      </c>
    </row>
    <row r="434" spans="1:13">
      <c r="A434" t="s">
        <v>434</v>
      </c>
      <c r="B434" t="s">
        <v>435</v>
      </c>
      <c r="C434">
        <v>4000</v>
      </c>
      <c r="D434" t="s">
        <v>143</v>
      </c>
      <c r="E434" t="s">
        <v>211</v>
      </c>
      <c r="F434" t="s">
        <v>436</v>
      </c>
      <c r="G434" t="s">
        <v>110</v>
      </c>
      <c r="H434" t="s">
        <v>13</v>
      </c>
      <c r="I434" t="s">
        <v>437</v>
      </c>
      <c r="J434" t="s">
        <v>13</v>
      </c>
      <c r="K434" t="s">
        <v>13</v>
      </c>
      <c r="L434" t="s">
        <v>13</v>
      </c>
      <c r="M434" t="s">
        <v>13</v>
      </c>
    </row>
    <row r="435" spans="1:13" hidden="1">
      <c r="A435" t="s">
        <v>438</v>
      </c>
      <c r="B435" t="s">
        <v>352</v>
      </c>
      <c r="C435" t="s">
        <v>24</v>
      </c>
      <c r="D435" t="s">
        <v>25</v>
      </c>
      <c r="E435" t="s">
        <v>439</v>
      </c>
      <c r="F435" t="s">
        <v>440</v>
      </c>
      <c r="G435" t="s">
        <v>13</v>
      </c>
      <c r="H435" t="s">
        <v>13</v>
      </c>
      <c r="I435" t="s">
        <v>13</v>
      </c>
      <c r="J435" t="s">
        <v>13</v>
      </c>
      <c r="K435" t="s">
        <v>441</v>
      </c>
      <c r="L435" t="s">
        <v>13</v>
      </c>
      <c r="M435" t="s">
        <v>13</v>
      </c>
    </row>
    <row r="436" spans="1:13" hidden="1">
      <c r="A436" t="s">
        <v>442</v>
      </c>
      <c r="B436" t="s">
        <v>352</v>
      </c>
      <c r="C436" t="s">
        <v>24</v>
      </c>
      <c r="D436" t="s">
        <v>25</v>
      </c>
      <c r="E436" t="s">
        <v>37</v>
      </c>
      <c r="F436" t="s">
        <v>443</v>
      </c>
      <c r="G436" t="s">
        <v>13</v>
      </c>
      <c r="H436" t="s">
        <v>13</v>
      </c>
      <c r="I436" t="s">
        <v>13</v>
      </c>
      <c r="J436" t="s">
        <v>13</v>
      </c>
      <c r="K436" t="s">
        <v>441</v>
      </c>
      <c r="L436" t="s">
        <v>13</v>
      </c>
      <c r="M436" t="s">
        <v>13</v>
      </c>
    </row>
    <row r="437" spans="1:13" hidden="1">
      <c r="A437" t="s">
        <v>442</v>
      </c>
      <c r="B437" t="s">
        <v>352</v>
      </c>
      <c r="C437" t="s">
        <v>24</v>
      </c>
      <c r="D437" t="s">
        <v>25</v>
      </c>
      <c r="E437" t="s">
        <v>37</v>
      </c>
      <c r="F437" t="s">
        <v>443</v>
      </c>
      <c r="G437" t="s">
        <v>13</v>
      </c>
      <c r="H437" t="s">
        <v>13</v>
      </c>
      <c r="I437" t="s">
        <v>13</v>
      </c>
      <c r="J437" t="s">
        <v>13</v>
      </c>
      <c r="K437" t="s">
        <v>441</v>
      </c>
      <c r="L437" t="s">
        <v>13</v>
      </c>
      <c r="M437" t="s">
        <v>13</v>
      </c>
    </row>
    <row r="438" spans="1:13" hidden="1">
      <c r="A438" t="s">
        <v>444</v>
      </c>
      <c r="B438" t="s">
        <v>352</v>
      </c>
      <c r="C438" t="s">
        <v>24</v>
      </c>
      <c r="D438" t="s">
        <v>25</v>
      </c>
      <c r="E438" t="s">
        <v>445</v>
      </c>
      <c r="F438" t="s">
        <v>446</v>
      </c>
      <c r="G438" t="s">
        <v>13</v>
      </c>
      <c r="H438" t="s">
        <v>13</v>
      </c>
      <c r="I438" t="s">
        <v>13</v>
      </c>
      <c r="J438" t="s">
        <v>13</v>
      </c>
      <c r="K438" t="s">
        <v>441</v>
      </c>
      <c r="L438" t="s">
        <v>13</v>
      </c>
      <c r="M438" t="s">
        <v>13</v>
      </c>
    </row>
    <row r="439" spans="1:13">
      <c r="A439" t="s">
        <v>447</v>
      </c>
      <c r="B439" t="s">
        <v>448</v>
      </c>
      <c r="C439" t="s">
        <v>123</v>
      </c>
      <c r="D439" t="s">
        <v>124</v>
      </c>
      <c r="E439" t="s">
        <v>89</v>
      </c>
      <c r="F439" t="s">
        <v>449</v>
      </c>
      <c r="G439" t="s">
        <v>13</v>
      </c>
      <c r="H439" t="s">
        <v>13</v>
      </c>
      <c r="I439" t="s">
        <v>448</v>
      </c>
      <c r="J439" t="s">
        <v>13</v>
      </c>
      <c r="K439" t="s">
        <v>450</v>
      </c>
      <c r="L439" t="s">
        <v>13</v>
      </c>
      <c r="M439">
        <v>0</v>
      </c>
    </row>
    <row r="440" spans="1:13">
      <c r="A440" t="s">
        <v>451</v>
      </c>
      <c r="B440">
        <v>0</v>
      </c>
      <c r="C440" t="s">
        <v>13</v>
      </c>
      <c r="D440" t="s">
        <v>13</v>
      </c>
      <c r="E440" t="s">
        <v>13</v>
      </c>
      <c r="F440" t="s">
        <v>13</v>
      </c>
      <c r="G440" t="s">
        <v>13</v>
      </c>
      <c r="H440" t="s">
        <v>13</v>
      </c>
      <c r="I440">
        <v>0</v>
      </c>
      <c r="J440" t="s">
        <v>13</v>
      </c>
      <c r="K440" t="s">
        <v>13</v>
      </c>
      <c r="L440" t="s">
        <v>13</v>
      </c>
      <c r="M440" t="s">
        <v>13</v>
      </c>
    </row>
    <row r="441" spans="1:13">
      <c r="A441" t="s">
        <v>452</v>
      </c>
      <c r="B441" t="s">
        <v>453</v>
      </c>
      <c r="C441">
        <v>4630</v>
      </c>
      <c r="D441" t="s">
        <v>137</v>
      </c>
      <c r="E441" t="s">
        <v>152</v>
      </c>
      <c r="F441" t="s">
        <v>454</v>
      </c>
      <c r="G441" t="s">
        <v>110</v>
      </c>
      <c r="H441" t="s">
        <v>13</v>
      </c>
      <c r="I441" t="s">
        <v>455</v>
      </c>
      <c r="J441" t="s">
        <v>13</v>
      </c>
      <c r="K441" t="s">
        <v>13</v>
      </c>
      <c r="L441" t="s">
        <v>13</v>
      </c>
      <c r="M441" t="s">
        <v>13</v>
      </c>
    </row>
    <row r="442" spans="1:13">
      <c r="A442" t="s">
        <v>456</v>
      </c>
      <c r="B442" t="s">
        <v>457</v>
      </c>
      <c r="C442" t="s">
        <v>123</v>
      </c>
      <c r="D442" t="s">
        <v>177</v>
      </c>
      <c r="E442" t="s">
        <v>458</v>
      </c>
      <c r="F442" t="s">
        <v>459</v>
      </c>
      <c r="G442" t="s">
        <v>13</v>
      </c>
      <c r="H442" t="s">
        <v>13</v>
      </c>
      <c r="I442" t="s">
        <v>457</v>
      </c>
      <c r="J442" t="s">
        <v>13</v>
      </c>
      <c r="K442" t="s">
        <v>460</v>
      </c>
      <c r="L442" t="s">
        <v>13</v>
      </c>
      <c r="M442" t="s">
        <v>128</v>
      </c>
    </row>
    <row r="443" spans="1:13">
      <c r="A443" t="s">
        <v>461</v>
      </c>
      <c r="B443" t="s">
        <v>462</v>
      </c>
      <c r="C443">
        <v>4627</v>
      </c>
      <c r="D443" t="s">
        <v>107</v>
      </c>
      <c r="E443" t="s">
        <v>108</v>
      </c>
      <c r="F443" t="s">
        <v>463</v>
      </c>
      <c r="G443" t="s">
        <v>110</v>
      </c>
      <c r="H443" t="s">
        <v>13</v>
      </c>
      <c r="I443" t="s">
        <v>464</v>
      </c>
      <c r="J443" t="s">
        <v>13</v>
      </c>
      <c r="K443" t="s">
        <v>13</v>
      </c>
      <c r="L443" t="s">
        <v>13</v>
      </c>
      <c r="M443" t="s">
        <v>13</v>
      </c>
    </row>
    <row r="444" spans="1:13">
      <c r="A444" t="s">
        <v>465</v>
      </c>
      <c r="B444" t="s">
        <v>466</v>
      </c>
      <c r="C444">
        <v>4520</v>
      </c>
      <c r="D444" t="s">
        <v>143</v>
      </c>
      <c r="E444" t="s">
        <v>152</v>
      </c>
      <c r="F444" t="s">
        <v>467</v>
      </c>
      <c r="G444" t="s">
        <v>110</v>
      </c>
      <c r="H444" t="s">
        <v>13</v>
      </c>
      <c r="I444" t="s">
        <v>468</v>
      </c>
      <c r="J444" t="s">
        <v>13</v>
      </c>
      <c r="K444" t="s">
        <v>13</v>
      </c>
      <c r="L444" t="s">
        <v>13</v>
      </c>
      <c r="M444" t="s">
        <v>13</v>
      </c>
    </row>
    <row r="445" spans="1:13">
      <c r="A445" t="s">
        <v>469</v>
      </c>
      <c r="B445">
        <v>0</v>
      </c>
      <c r="C445" t="s">
        <v>16</v>
      </c>
      <c r="D445" t="s">
        <v>169</v>
      </c>
      <c r="E445" t="s">
        <v>170</v>
      </c>
      <c r="F445" t="s">
        <v>470</v>
      </c>
      <c r="G445" t="s">
        <v>471</v>
      </c>
      <c r="H445" t="s">
        <v>13</v>
      </c>
      <c r="I445" t="s">
        <v>472</v>
      </c>
      <c r="J445" t="s">
        <v>473</v>
      </c>
      <c r="K445" t="s">
        <v>474</v>
      </c>
      <c r="L445" t="s">
        <v>13</v>
      </c>
      <c r="M445" t="s">
        <v>13</v>
      </c>
    </row>
    <row r="446" spans="1:13">
      <c r="A446" t="s">
        <v>475</v>
      </c>
      <c r="B446" t="s">
        <v>476</v>
      </c>
      <c r="C446" t="s">
        <v>123</v>
      </c>
      <c r="D446" t="s">
        <v>177</v>
      </c>
      <c r="E446" t="s">
        <v>125</v>
      </c>
      <c r="F446" t="s">
        <v>477</v>
      </c>
      <c r="G446" t="s">
        <v>13</v>
      </c>
      <c r="H446" t="s">
        <v>13</v>
      </c>
      <c r="I446" t="s">
        <v>476</v>
      </c>
      <c r="J446" t="s">
        <v>13</v>
      </c>
      <c r="K446" t="s">
        <v>478</v>
      </c>
      <c r="L446" t="s">
        <v>13</v>
      </c>
      <c r="M446" t="s">
        <v>479</v>
      </c>
    </row>
    <row r="447" spans="1:13">
      <c r="A447" t="s">
        <v>480</v>
      </c>
      <c r="B447">
        <v>0</v>
      </c>
      <c r="C447" t="s">
        <v>16</v>
      </c>
      <c r="D447" t="s">
        <v>169</v>
      </c>
      <c r="E447" t="s">
        <v>170</v>
      </c>
      <c r="F447" t="s">
        <v>481</v>
      </c>
      <c r="G447" t="s">
        <v>482</v>
      </c>
      <c r="H447" t="s">
        <v>13</v>
      </c>
      <c r="I447" t="s">
        <v>483</v>
      </c>
      <c r="J447" t="s">
        <v>174</v>
      </c>
      <c r="K447" t="s">
        <v>484</v>
      </c>
      <c r="L447" t="s">
        <v>13</v>
      </c>
      <c r="M447" t="s">
        <v>13</v>
      </c>
    </row>
    <row r="448" spans="1:13">
      <c r="A448" t="s">
        <v>485</v>
      </c>
      <c r="B448" t="s">
        <v>486</v>
      </c>
      <c r="C448" t="s">
        <v>24</v>
      </c>
      <c r="D448" t="s">
        <v>157</v>
      </c>
      <c r="E448">
        <v>0</v>
      </c>
      <c r="F448" t="s">
        <v>487</v>
      </c>
      <c r="G448" t="s">
        <v>13</v>
      </c>
      <c r="H448" t="s">
        <v>13</v>
      </c>
      <c r="I448" t="s">
        <v>13</v>
      </c>
      <c r="J448" t="s">
        <v>13</v>
      </c>
      <c r="K448">
        <v>44988</v>
      </c>
      <c r="L448" t="s">
        <v>13</v>
      </c>
      <c r="M448" t="s">
        <v>13</v>
      </c>
    </row>
    <row r="449" spans="1:13">
      <c r="A449" t="s">
        <v>488</v>
      </c>
      <c r="B449" t="s">
        <v>489</v>
      </c>
      <c r="C449">
        <v>2153</v>
      </c>
      <c r="D449" t="s">
        <v>137</v>
      </c>
      <c r="E449" t="s">
        <v>138</v>
      </c>
      <c r="F449" t="s">
        <v>490</v>
      </c>
      <c r="G449" t="s">
        <v>110</v>
      </c>
      <c r="H449" t="s">
        <v>13</v>
      </c>
      <c r="I449" t="s">
        <v>491</v>
      </c>
      <c r="J449" t="s">
        <v>13</v>
      </c>
      <c r="K449" t="s">
        <v>13</v>
      </c>
      <c r="L449" t="s">
        <v>13</v>
      </c>
      <c r="M449" t="s">
        <v>13</v>
      </c>
    </row>
    <row r="450" spans="1:13">
      <c r="A450" t="s">
        <v>492</v>
      </c>
      <c r="B450" t="s">
        <v>493</v>
      </c>
      <c r="C450">
        <v>4207</v>
      </c>
      <c r="D450" t="s">
        <v>143</v>
      </c>
      <c r="E450" t="s">
        <v>147</v>
      </c>
      <c r="F450" t="s">
        <v>494</v>
      </c>
      <c r="G450" t="s">
        <v>110</v>
      </c>
      <c r="H450" t="s">
        <v>13</v>
      </c>
      <c r="I450" t="s">
        <v>495</v>
      </c>
      <c r="J450" t="s">
        <v>13</v>
      </c>
      <c r="K450" t="s">
        <v>13</v>
      </c>
      <c r="L450" t="s">
        <v>13</v>
      </c>
      <c r="M450" t="s">
        <v>13</v>
      </c>
    </row>
    <row r="451" spans="1:13">
      <c r="A451" t="s">
        <v>496</v>
      </c>
      <c r="B451" t="s">
        <v>497</v>
      </c>
      <c r="C451">
        <v>2101</v>
      </c>
      <c r="D451" t="s">
        <v>143</v>
      </c>
      <c r="E451" t="s">
        <v>211</v>
      </c>
      <c r="F451" t="s">
        <v>498</v>
      </c>
      <c r="G451" t="s">
        <v>110</v>
      </c>
      <c r="H451" t="s">
        <v>13</v>
      </c>
      <c r="I451" t="s">
        <v>499</v>
      </c>
      <c r="J451" t="s">
        <v>13</v>
      </c>
      <c r="K451" t="s">
        <v>13</v>
      </c>
      <c r="L451" t="s">
        <v>13</v>
      </c>
      <c r="M451" t="s">
        <v>13</v>
      </c>
    </row>
    <row r="452" spans="1:13">
      <c r="A452" t="s">
        <v>500</v>
      </c>
      <c r="B452" t="s">
        <v>501</v>
      </c>
      <c r="C452" t="s">
        <v>86</v>
      </c>
      <c r="D452" t="s">
        <v>502</v>
      </c>
      <c r="E452" t="s">
        <v>503</v>
      </c>
      <c r="F452" t="s">
        <v>89</v>
      </c>
      <c r="G452" t="s">
        <v>13</v>
      </c>
      <c r="H452" t="s">
        <v>504</v>
      </c>
      <c r="I452" t="s">
        <v>13</v>
      </c>
      <c r="J452" t="s">
        <v>91</v>
      </c>
      <c r="K452" s="236" t="s">
        <v>505</v>
      </c>
      <c r="L452" t="s">
        <v>506</v>
      </c>
      <c r="M452" t="s">
        <v>13</v>
      </c>
    </row>
    <row r="453" spans="1:13">
      <c r="A453" t="s">
        <v>507</v>
      </c>
      <c r="B453" t="s">
        <v>508</v>
      </c>
      <c r="C453">
        <v>4670</v>
      </c>
      <c r="D453" t="s">
        <v>107</v>
      </c>
      <c r="E453" t="s">
        <v>108</v>
      </c>
      <c r="F453" t="s">
        <v>509</v>
      </c>
      <c r="G453" t="s">
        <v>110</v>
      </c>
      <c r="H453" t="s">
        <v>13</v>
      </c>
      <c r="I453" t="s">
        <v>510</v>
      </c>
      <c r="J453" t="s">
        <v>13</v>
      </c>
      <c r="K453" t="s">
        <v>13</v>
      </c>
      <c r="L453" t="s">
        <v>13</v>
      </c>
      <c r="M453" t="s">
        <v>13</v>
      </c>
    </row>
    <row r="454" spans="1:13">
      <c r="A454" t="s">
        <v>511</v>
      </c>
      <c r="B454" t="s">
        <v>512</v>
      </c>
      <c r="C454" t="s">
        <v>123</v>
      </c>
      <c r="D454" t="s">
        <v>177</v>
      </c>
      <c r="E454" t="s">
        <v>195</v>
      </c>
      <c r="F454" t="s">
        <v>513</v>
      </c>
      <c r="G454" t="s">
        <v>13</v>
      </c>
      <c r="H454" t="s">
        <v>13</v>
      </c>
      <c r="I454" t="s">
        <v>512</v>
      </c>
      <c r="J454" t="s">
        <v>13</v>
      </c>
      <c r="K454" t="s">
        <v>514</v>
      </c>
      <c r="L454" t="s">
        <v>13</v>
      </c>
      <c r="M454" t="s">
        <v>479</v>
      </c>
    </row>
    <row r="455" spans="1:13">
      <c r="A455" t="s">
        <v>515</v>
      </c>
      <c r="B455">
        <v>0</v>
      </c>
      <c r="C455" t="s">
        <v>16</v>
      </c>
      <c r="D455" t="s">
        <v>169</v>
      </c>
      <c r="E455" t="s">
        <v>170</v>
      </c>
      <c r="F455" t="s">
        <v>516</v>
      </c>
      <c r="G455" t="s">
        <v>517</v>
      </c>
      <c r="H455" t="s">
        <v>13</v>
      </c>
      <c r="I455" t="s">
        <v>518</v>
      </c>
      <c r="J455" t="s">
        <v>473</v>
      </c>
      <c r="K455">
        <v>44604</v>
      </c>
      <c r="L455" t="s">
        <v>13</v>
      </c>
      <c r="M455" t="s">
        <v>13</v>
      </c>
    </row>
    <row r="456" spans="1:13">
      <c r="A456" t="s">
        <v>519</v>
      </c>
      <c r="B456" t="s">
        <v>520</v>
      </c>
      <c r="C456" t="s">
        <v>123</v>
      </c>
      <c r="D456" t="s">
        <v>131</v>
      </c>
      <c r="E456" t="s">
        <v>285</v>
      </c>
      <c r="F456" t="s">
        <v>521</v>
      </c>
      <c r="G456" t="s">
        <v>13</v>
      </c>
      <c r="H456" t="s">
        <v>13</v>
      </c>
      <c r="I456" t="s">
        <v>520</v>
      </c>
      <c r="J456" t="s">
        <v>13</v>
      </c>
      <c r="K456" t="s">
        <v>522</v>
      </c>
      <c r="L456" t="s">
        <v>13</v>
      </c>
      <c r="M456" t="s">
        <v>479</v>
      </c>
    </row>
    <row r="457" spans="1:13">
      <c r="A457" t="s">
        <v>523</v>
      </c>
      <c r="B457" t="s">
        <v>524</v>
      </c>
      <c r="C457" t="s">
        <v>123</v>
      </c>
      <c r="D457" t="s">
        <v>373</v>
      </c>
      <c r="E457" t="s">
        <v>458</v>
      </c>
      <c r="F457" t="s">
        <v>525</v>
      </c>
      <c r="G457" t="s">
        <v>13</v>
      </c>
      <c r="H457" t="s">
        <v>13</v>
      </c>
      <c r="I457" t="s">
        <v>524</v>
      </c>
      <c r="J457" t="s">
        <v>13</v>
      </c>
      <c r="K457" t="s">
        <v>526</v>
      </c>
      <c r="L457" t="s">
        <v>13</v>
      </c>
      <c r="M457" t="s">
        <v>198</v>
      </c>
    </row>
    <row r="458" spans="1:13">
      <c r="A458" t="s">
        <v>527</v>
      </c>
      <c r="B458" t="s">
        <v>528</v>
      </c>
      <c r="C458">
        <v>4500</v>
      </c>
      <c r="D458" t="s">
        <v>143</v>
      </c>
      <c r="E458" t="s">
        <v>272</v>
      </c>
      <c r="F458" t="s">
        <v>529</v>
      </c>
      <c r="G458" t="s">
        <v>110</v>
      </c>
      <c r="H458" t="s">
        <v>13</v>
      </c>
      <c r="I458" t="s">
        <v>530</v>
      </c>
      <c r="J458" t="s">
        <v>13</v>
      </c>
      <c r="K458" t="s">
        <v>13</v>
      </c>
      <c r="L458" t="s">
        <v>13</v>
      </c>
      <c r="M458" t="s">
        <v>13</v>
      </c>
    </row>
    <row r="459" spans="1:13">
      <c r="A459" t="s">
        <v>531</v>
      </c>
      <c r="B459" t="s">
        <v>532</v>
      </c>
      <c r="C459" t="s">
        <v>123</v>
      </c>
      <c r="D459" t="s">
        <v>177</v>
      </c>
      <c r="E459" t="s">
        <v>195</v>
      </c>
      <c r="F459" t="s">
        <v>533</v>
      </c>
      <c r="G459" t="s">
        <v>13</v>
      </c>
      <c r="H459" t="s">
        <v>13</v>
      </c>
      <c r="I459" t="s">
        <v>532</v>
      </c>
      <c r="J459" t="s">
        <v>13</v>
      </c>
      <c r="K459" t="s">
        <v>534</v>
      </c>
      <c r="L459" t="s">
        <v>13</v>
      </c>
      <c r="M459" t="s">
        <v>128</v>
      </c>
    </row>
    <row r="460" spans="1:13">
      <c r="A460" t="s">
        <v>535</v>
      </c>
      <c r="B460" t="s">
        <v>536</v>
      </c>
      <c r="C460">
        <v>4660</v>
      </c>
      <c r="D460" t="s">
        <v>143</v>
      </c>
      <c r="E460" t="s">
        <v>152</v>
      </c>
      <c r="F460" t="s">
        <v>537</v>
      </c>
      <c r="G460" t="s">
        <v>110</v>
      </c>
      <c r="H460" t="s">
        <v>13</v>
      </c>
      <c r="I460" t="s">
        <v>538</v>
      </c>
      <c r="J460" t="s">
        <v>13</v>
      </c>
      <c r="K460" t="s">
        <v>13</v>
      </c>
      <c r="L460" t="s">
        <v>13</v>
      </c>
      <c r="M460" t="s">
        <v>13</v>
      </c>
    </row>
    <row r="461" spans="1:13">
      <c r="A461" t="s">
        <v>539</v>
      </c>
      <c r="B461" t="s">
        <v>540</v>
      </c>
      <c r="C461">
        <v>4000</v>
      </c>
      <c r="D461" t="s">
        <v>137</v>
      </c>
      <c r="E461" t="s">
        <v>152</v>
      </c>
      <c r="F461" t="s">
        <v>541</v>
      </c>
      <c r="G461" t="s">
        <v>110</v>
      </c>
      <c r="H461" t="s">
        <v>13</v>
      </c>
      <c r="I461" t="s">
        <v>542</v>
      </c>
      <c r="J461" t="s">
        <v>13</v>
      </c>
      <c r="K461" t="s">
        <v>13</v>
      </c>
      <c r="L461" t="s">
        <v>13</v>
      </c>
      <c r="M461" t="s">
        <v>13</v>
      </c>
    </row>
    <row r="462" spans="1:13">
      <c r="A462" t="s">
        <v>543</v>
      </c>
      <c r="B462" t="s">
        <v>544</v>
      </c>
      <c r="C462">
        <v>4035</v>
      </c>
      <c r="D462" t="s">
        <v>143</v>
      </c>
      <c r="E462" t="s">
        <v>382</v>
      </c>
      <c r="F462" t="s">
        <v>545</v>
      </c>
      <c r="G462" t="s">
        <v>110</v>
      </c>
      <c r="H462" t="s">
        <v>13</v>
      </c>
      <c r="I462" t="s">
        <v>546</v>
      </c>
      <c r="J462" t="s">
        <v>13</v>
      </c>
      <c r="K462" t="s">
        <v>13</v>
      </c>
      <c r="L462" t="s">
        <v>13</v>
      </c>
      <c r="M462" t="s">
        <v>13</v>
      </c>
    </row>
    <row r="463" spans="1:13">
      <c r="A463" t="s">
        <v>547</v>
      </c>
      <c r="B463" t="s">
        <v>548</v>
      </c>
      <c r="C463" t="s">
        <v>123</v>
      </c>
      <c r="D463" t="s">
        <v>365</v>
      </c>
      <c r="E463" t="s">
        <v>549</v>
      </c>
      <c r="F463" t="s">
        <v>91</v>
      </c>
      <c r="G463" t="s">
        <v>13</v>
      </c>
      <c r="H463" t="s">
        <v>13</v>
      </c>
      <c r="I463" t="s">
        <v>548</v>
      </c>
      <c r="J463" t="s">
        <v>13</v>
      </c>
      <c r="K463" t="s">
        <v>550</v>
      </c>
      <c r="L463" t="s">
        <v>13</v>
      </c>
      <c r="M463">
        <v>0</v>
      </c>
    </row>
    <row r="464" spans="1:13">
      <c r="A464" t="s">
        <v>551</v>
      </c>
      <c r="B464" t="s">
        <v>552</v>
      </c>
      <c r="C464" t="s">
        <v>123</v>
      </c>
      <c r="D464" t="s">
        <v>177</v>
      </c>
      <c r="E464" t="s">
        <v>178</v>
      </c>
      <c r="F464" t="s">
        <v>553</v>
      </c>
      <c r="G464" t="s">
        <v>13</v>
      </c>
      <c r="H464" t="s">
        <v>13</v>
      </c>
      <c r="I464" t="s">
        <v>552</v>
      </c>
      <c r="J464" t="s">
        <v>13</v>
      </c>
      <c r="K464" t="s">
        <v>554</v>
      </c>
      <c r="L464" t="s">
        <v>13</v>
      </c>
      <c r="M464" t="s">
        <v>128</v>
      </c>
    </row>
    <row r="465" spans="1:13">
      <c r="A465" t="s">
        <v>551</v>
      </c>
      <c r="B465" t="s">
        <v>552</v>
      </c>
      <c r="C465" t="s">
        <v>123</v>
      </c>
      <c r="D465" t="s">
        <v>177</v>
      </c>
      <c r="E465" t="s">
        <v>178</v>
      </c>
      <c r="F465" t="s">
        <v>553</v>
      </c>
      <c r="G465" t="s">
        <v>13</v>
      </c>
      <c r="H465" t="s">
        <v>13</v>
      </c>
      <c r="I465" t="s">
        <v>552</v>
      </c>
      <c r="J465" t="s">
        <v>13</v>
      </c>
      <c r="K465" t="s">
        <v>554</v>
      </c>
      <c r="L465" t="s">
        <v>13</v>
      </c>
      <c r="M465" t="s">
        <v>128</v>
      </c>
    </row>
    <row r="466" spans="1:13">
      <c r="A466" t="s">
        <v>551</v>
      </c>
      <c r="B466" t="s">
        <v>552</v>
      </c>
      <c r="C466" t="s">
        <v>123</v>
      </c>
      <c r="D466" t="s">
        <v>177</v>
      </c>
      <c r="E466" t="s">
        <v>178</v>
      </c>
      <c r="F466" t="s">
        <v>553</v>
      </c>
      <c r="G466" t="s">
        <v>13</v>
      </c>
      <c r="H466" t="s">
        <v>13</v>
      </c>
      <c r="I466" t="s">
        <v>552</v>
      </c>
      <c r="J466" t="s">
        <v>13</v>
      </c>
      <c r="K466" t="s">
        <v>554</v>
      </c>
      <c r="L466" t="s">
        <v>13</v>
      </c>
      <c r="M466" t="s">
        <v>128</v>
      </c>
    </row>
    <row r="467" spans="1:13">
      <c r="A467" t="s">
        <v>555</v>
      </c>
      <c r="B467" t="s">
        <v>556</v>
      </c>
      <c r="C467" t="s">
        <v>123</v>
      </c>
      <c r="D467" t="s">
        <v>299</v>
      </c>
      <c r="E467" t="s">
        <v>557</v>
      </c>
      <c r="F467" t="s">
        <v>473</v>
      </c>
      <c r="G467" t="s">
        <v>13</v>
      </c>
      <c r="H467" t="s">
        <v>13</v>
      </c>
      <c r="I467" t="s">
        <v>556</v>
      </c>
      <c r="J467" t="s">
        <v>13</v>
      </c>
      <c r="K467" t="s">
        <v>558</v>
      </c>
      <c r="L467" t="s">
        <v>13</v>
      </c>
      <c r="M467">
        <v>0</v>
      </c>
    </row>
    <row r="468" spans="1:13">
      <c r="A468" t="s">
        <v>559</v>
      </c>
      <c r="B468" t="s">
        <v>560</v>
      </c>
      <c r="C468" t="s">
        <v>123</v>
      </c>
      <c r="D468" t="s">
        <v>177</v>
      </c>
      <c r="E468" t="s">
        <v>178</v>
      </c>
      <c r="F468" t="s">
        <v>561</v>
      </c>
      <c r="G468" t="s">
        <v>13</v>
      </c>
      <c r="H468" t="s">
        <v>13</v>
      </c>
      <c r="I468" t="s">
        <v>560</v>
      </c>
      <c r="J468" t="s">
        <v>13</v>
      </c>
      <c r="K468" t="s">
        <v>562</v>
      </c>
      <c r="L468" t="s">
        <v>13</v>
      </c>
      <c r="M468" t="s">
        <v>128</v>
      </c>
    </row>
    <row r="469" spans="1:13">
      <c r="A469" t="s">
        <v>559</v>
      </c>
      <c r="B469" t="s">
        <v>560</v>
      </c>
      <c r="C469" t="s">
        <v>123</v>
      </c>
      <c r="D469" t="s">
        <v>177</v>
      </c>
      <c r="E469" t="s">
        <v>178</v>
      </c>
      <c r="F469" t="s">
        <v>561</v>
      </c>
      <c r="G469" t="s">
        <v>13</v>
      </c>
      <c r="H469" t="s">
        <v>13</v>
      </c>
      <c r="I469" t="s">
        <v>560</v>
      </c>
      <c r="J469" t="s">
        <v>13</v>
      </c>
      <c r="K469" t="s">
        <v>562</v>
      </c>
      <c r="L469" t="s">
        <v>13</v>
      </c>
      <c r="M469" t="s">
        <v>128</v>
      </c>
    </row>
    <row r="470" spans="1:13">
      <c r="A470" t="s">
        <v>563</v>
      </c>
      <c r="B470" t="s">
        <v>564</v>
      </c>
      <c r="C470" t="s">
        <v>13</v>
      </c>
      <c r="D470" t="s">
        <v>13</v>
      </c>
      <c r="E470" t="s">
        <v>13</v>
      </c>
      <c r="F470" t="s">
        <v>13</v>
      </c>
      <c r="G470" t="s">
        <v>13</v>
      </c>
      <c r="H470" t="s">
        <v>13</v>
      </c>
      <c r="I470" t="s">
        <v>565</v>
      </c>
      <c r="J470" t="s">
        <v>13</v>
      </c>
      <c r="K470" t="s">
        <v>13</v>
      </c>
      <c r="L470" t="s">
        <v>13</v>
      </c>
      <c r="M470" t="s">
        <v>13</v>
      </c>
    </row>
    <row r="471" spans="1:13">
      <c r="A471" t="s">
        <v>566</v>
      </c>
      <c r="B471" t="s">
        <v>567</v>
      </c>
      <c r="C471">
        <v>4680</v>
      </c>
      <c r="D471" t="s">
        <v>143</v>
      </c>
      <c r="E471" t="s">
        <v>272</v>
      </c>
      <c r="F471" t="s">
        <v>568</v>
      </c>
      <c r="G471" t="s">
        <v>110</v>
      </c>
      <c r="H471" t="s">
        <v>13</v>
      </c>
      <c r="I471" t="s">
        <v>569</v>
      </c>
      <c r="J471" t="s">
        <v>13</v>
      </c>
      <c r="K471" t="s">
        <v>13</v>
      </c>
      <c r="L471" t="s">
        <v>13</v>
      </c>
      <c r="M471" t="s">
        <v>13</v>
      </c>
    </row>
    <row r="472" spans="1:13">
      <c r="A472" t="s">
        <v>570</v>
      </c>
      <c r="B472" t="s">
        <v>571</v>
      </c>
      <c r="C472" t="s">
        <v>16</v>
      </c>
      <c r="D472" t="s">
        <v>169</v>
      </c>
      <c r="E472" t="s">
        <v>170</v>
      </c>
      <c r="F472" t="s">
        <v>572</v>
      </c>
      <c r="G472" t="s">
        <v>573</v>
      </c>
      <c r="H472" t="s">
        <v>13</v>
      </c>
      <c r="I472" t="s">
        <v>574</v>
      </c>
      <c r="J472" t="s">
        <v>174</v>
      </c>
      <c r="K472" t="s">
        <v>575</v>
      </c>
      <c r="L472" t="s">
        <v>13</v>
      </c>
      <c r="M472" t="s">
        <v>13</v>
      </c>
    </row>
    <row r="473" spans="1:13">
      <c r="A473" t="s">
        <v>576</v>
      </c>
      <c r="B473" t="s">
        <v>577</v>
      </c>
      <c r="C473">
        <v>4670</v>
      </c>
      <c r="D473" t="s">
        <v>107</v>
      </c>
      <c r="E473" t="s">
        <v>108</v>
      </c>
      <c r="F473" t="s">
        <v>578</v>
      </c>
      <c r="G473" t="s">
        <v>110</v>
      </c>
      <c r="H473" t="s">
        <v>13</v>
      </c>
      <c r="I473" t="s">
        <v>579</v>
      </c>
      <c r="J473" t="s">
        <v>13</v>
      </c>
      <c r="K473" t="s">
        <v>13</v>
      </c>
      <c r="L473" t="s">
        <v>13</v>
      </c>
      <c r="M473" t="s">
        <v>13</v>
      </c>
    </row>
    <row r="474" spans="1:13">
      <c r="A474" t="s">
        <v>580</v>
      </c>
      <c r="B474">
        <v>0</v>
      </c>
      <c r="C474" t="s">
        <v>16</v>
      </c>
      <c r="D474" t="s">
        <v>169</v>
      </c>
      <c r="E474" t="s">
        <v>170</v>
      </c>
      <c r="F474" t="s">
        <v>581</v>
      </c>
      <c r="G474" t="s">
        <v>582</v>
      </c>
      <c r="H474" t="s">
        <v>13</v>
      </c>
      <c r="I474" t="s">
        <v>583</v>
      </c>
      <c r="J474" t="s">
        <v>91</v>
      </c>
      <c r="K474" t="s">
        <v>584</v>
      </c>
      <c r="L474" t="s">
        <v>13</v>
      </c>
      <c r="M474" t="s">
        <v>13</v>
      </c>
    </row>
    <row r="475" spans="1:13">
      <c r="A475" t="s">
        <v>585</v>
      </c>
      <c r="B475" t="s">
        <v>586</v>
      </c>
      <c r="C475">
        <v>4572</v>
      </c>
      <c r="D475" t="s">
        <v>143</v>
      </c>
      <c r="E475" t="s">
        <v>138</v>
      </c>
      <c r="F475" t="s">
        <v>587</v>
      </c>
      <c r="G475" t="s">
        <v>110</v>
      </c>
      <c r="H475" t="s">
        <v>13</v>
      </c>
      <c r="I475" t="s">
        <v>588</v>
      </c>
      <c r="J475" t="s">
        <v>13</v>
      </c>
      <c r="K475" t="s">
        <v>13</v>
      </c>
      <c r="L475" t="s">
        <v>13</v>
      </c>
      <c r="M475" t="s">
        <v>13</v>
      </c>
    </row>
    <row r="476" spans="1:13">
      <c r="A476" t="s">
        <v>589</v>
      </c>
      <c r="B476" t="s">
        <v>590</v>
      </c>
      <c r="C476" t="s">
        <v>123</v>
      </c>
      <c r="D476" t="s">
        <v>177</v>
      </c>
      <c r="E476" t="s">
        <v>178</v>
      </c>
      <c r="F476" t="s">
        <v>591</v>
      </c>
      <c r="G476" t="s">
        <v>13</v>
      </c>
      <c r="H476" t="s">
        <v>13</v>
      </c>
      <c r="I476" t="s">
        <v>590</v>
      </c>
      <c r="J476" t="s">
        <v>13</v>
      </c>
      <c r="K476" t="s">
        <v>592</v>
      </c>
      <c r="L476" t="s">
        <v>13</v>
      </c>
      <c r="M476" t="s">
        <v>128</v>
      </c>
    </row>
    <row r="477" spans="1:13">
      <c r="A477" t="s">
        <v>593</v>
      </c>
      <c r="B477" t="s">
        <v>594</v>
      </c>
      <c r="C477">
        <v>4154</v>
      </c>
      <c r="D477" t="s">
        <v>143</v>
      </c>
      <c r="E477" t="s">
        <v>211</v>
      </c>
      <c r="F477" t="s">
        <v>595</v>
      </c>
      <c r="G477" t="s">
        <v>110</v>
      </c>
      <c r="H477" t="s">
        <v>13</v>
      </c>
      <c r="I477" t="s">
        <v>596</v>
      </c>
      <c r="J477" t="s">
        <v>13</v>
      </c>
      <c r="K477" t="s">
        <v>13</v>
      </c>
      <c r="L477" t="s">
        <v>13</v>
      </c>
      <c r="M477" t="s">
        <v>13</v>
      </c>
    </row>
    <row r="478" spans="1:13">
      <c r="A478" t="s">
        <v>597</v>
      </c>
      <c r="B478" t="s">
        <v>598</v>
      </c>
      <c r="C478" t="s">
        <v>13</v>
      </c>
      <c r="D478" t="s">
        <v>13</v>
      </c>
      <c r="E478" t="s">
        <v>13</v>
      </c>
      <c r="F478" t="s">
        <v>13</v>
      </c>
      <c r="G478" t="s">
        <v>13</v>
      </c>
      <c r="H478" t="s">
        <v>13</v>
      </c>
      <c r="I478" t="s">
        <v>599</v>
      </c>
      <c r="J478" t="s">
        <v>13</v>
      </c>
      <c r="K478" t="s">
        <v>13</v>
      </c>
      <c r="L478" t="s">
        <v>13</v>
      </c>
      <c r="M478" t="s">
        <v>13</v>
      </c>
    </row>
    <row r="479" spans="1:13">
      <c r="A479" t="s">
        <v>600</v>
      </c>
      <c r="B479" t="s">
        <v>601</v>
      </c>
      <c r="C479" t="s">
        <v>602</v>
      </c>
      <c r="D479" t="s">
        <v>603</v>
      </c>
      <c r="E479" t="s">
        <v>604</v>
      </c>
      <c r="F479" t="s">
        <v>13</v>
      </c>
      <c r="G479" t="s">
        <v>13</v>
      </c>
      <c r="H479" t="s">
        <v>13</v>
      </c>
      <c r="I479">
        <v>0</v>
      </c>
      <c r="J479" t="s">
        <v>13</v>
      </c>
      <c r="K479" t="s">
        <v>13</v>
      </c>
      <c r="L479" t="s">
        <v>13</v>
      </c>
      <c r="M479" t="s">
        <v>13</v>
      </c>
    </row>
    <row r="480" spans="1:13">
      <c r="A480" t="s">
        <v>605</v>
      </c>
      <c r="B480" t="s">
        <v>606</v>
      </c>
      <c r="C480" t="s">
        <v>16</v>
      </c>
      <c r="D480" t="s">
        <v>205</v>
      </c>
      <c r="E480" t="s">
        <v>206</v>
      </c>
      <c r="F480">
        <v>0</v>
      </c>
      <c r="G480" t="s">
        <v>408</v>
      </c>
      <c r="H480" t="s">
        <v>13</v>
      </c>
      <c r="I480">
        <v>0</v>
      </c>
      <c r="J480" t="s">
        <v>409</v>
      </c>
      <c r="K480" t="s">
        <v>607</v>
      </c>
      <c r="L480" t="s">
        <v>13</v>
      </c>
      <c r="M480" t="s">
        <v>13</v>
      </c>
    </row>
    <row r="481" spans="1:13">
      <c r="A481" t="s">
        <v>605</v>
      </c>
      <c r="B481" t="s">
        <v>606</v>
      </c>
      <c r="C481" t="s">
        <v>16</v>
      </c>
      <c r="D481" t="s">
        <v>205</v>
      </c>
      <c r="E481" t="s">
        <v>206</v>
      </c>
      <c r="F481">
        <v>0</v>
      </c>
      <c r="G481" t="s">
        <v>408</v>
      </c>
      <c r="H481" t="s">
        <v>13</v>
      </c>
      <c r="I481">
        <v>0</v>
      </c>
      <c r="J481" t="s">
        <v>409</v>
      </c>
      <c r="K481" t="s">
        <v>607</v>
      </c>
      <c r="L481" t="s">
        <v>13</v>
      </c>
      <c r="M481" t="s">
        <v>13</v>
      </c>
    </row>
    <row r="482" spans="1:13">
      <c r="A482" t="s">
        <v>605</v>
      </c>
      <c r="B482" t="s">
        <v>606</v>
      </c>
      <c r="C482" t="s">
        <v>16</v>
      </c>
      <c r="D482" t="s">
        <v>205</v>
      </c>
      <c r="E482" t="s">
        <v>206</v>
      </c>
      <c r="F482">
        <v>0</v>
      </c>
      <c r="G482" t="s">
        <v>408</v>
      </c>
      <c r="H482" t="s">
        <v>13</v>
      </c>
      <c r="I482">
        <v>0</v>
      </c>
      <c r="J482" t="s">
        <v>409</v>
      </c>
      <c r="K482" t="s">
        <v>607</v>
      </c>
      <c r="L482" t="s">
        <v>13</v>
      </c>
      <c r="M482" t="s">
        <v>13</v>
      </c>
    </row>
    <row r="483" spans="1:13">
      <c r="A483" t="s">
        <v>605</v>
      </c>
      <c r="B483" t="s">
        <v>606</v>
      </c>
      <c r="C483" t="s">
        <v>16</v>
      </c>
      <c r="D483" t="s">
        <v>205</v>
      </c>
      <c r="E483" t="s">
        <v>206</v>
      </c>
      <c r="F483">
        <v>0</v>
      </c>
      <c r="G483" t="s">
        <v>408</v>
      </c>
      <c r="H483" t="s">
        <v>13</v>
      </c>
      <c r="I483">
        <v>0</v>
      </c>
      <c r="J483" t="s">
        <v>409</v>
      </c>
      <c r="K483" t="s">
        <v>607</v>
      </c>
      <c r="L483" t="s">
        <v>13</v>
      </c>
      <c r="M483" t="s">
        <v>13</v>
      </c>
    </row>
    <row r="484" spans="1:13">
      <c r="A484" t="s">
        <v>608</v>
      </c>
      <c r="B484" t="s">
        <v>609</v>
      </c>
      <c r="C484" t="s">
        <v>123</v>
      </c>
      <c r="D484" t="s">
        <v>610</v>
      </c>
      <c r="E484" t="s">
        <v>611</v>
      </c>
      <c r="F484">
        <v>0</v>
      </c>
      <c r="G484" t="s">
        <v>13</v>
      </c>
      <c r="H484" t="s">
        <v>13</v>
      </c>
      <c r="I484" t="s">
        <v>609</v>
      </c>
      <c r="J484" t="s">
        <v>13</v>
      </c>
      <c r="K484">
        <v>0</v>
      </c>
      <c r="L484" t="s">
        <v>13</v>
      </c>
      <c r="M484">
        <v>0</v>
      </c>
    </row>
    <row r="485" spans="1:13">
      <c r="A485" t="s">
        <v>612</v>
      </c>
      <c r="B485" t="s">
        <v>613</v>
      </c>
      <c r="C485" t="s">
        <v>123</v>
      </c>
      <c r="D485" t="s">
        <v>177</v>
      </c>
      <c r="E485" t="s">
        <v>132</v>
      </c>
      <c r="F485" t="s">
        <v>614</v>
      </c>
      <c r="G485" t="s">
        <v>13</v>
      </c>
      <c r="H485" t="s">
        <v>13</v>
      </c>
      <c r="I485" t="s">
        <v>613</v>
      </c>
      <c r="J485" t="s">
        <v>13</v>
      </c>
      <c r="K485" t="s">
        <v>615</v>
      </c>
      <c r="L485" t="s">
        <v>13</v>
      </c>
      <c r="M485">
        <v>0</v>
      </c>
    </row>
    <row r="486" spans="1:13">
      <c r="A486" t="s">
        <v>616</v>
      </c>
      <c r="B486" t="s">
        <v>617</v>
      </c>
      <c r="C486" t="s">
        <v>123</v>
      </c>
      <c r="D486" t="s">
        <v>131</v>
      </c>
      <c r="E486" t="s">
        <v>89</v>
      </c>
      <c r="F486" t="s">
        <v>618</v>
      </c>
      <c r="G486" t="s">
        <v>110</v>
      </c>
      <c r="H486" t="s">
        <v>13</v>
      </c>
      <c r="I486" t="s">
        <v>617</v>
      </c>
      <c r="J486" t="s">
        <v>13</v>
      </c>
      <c r="K486" t="s">
        <v>619</v>
      </c>
      <c r="L486" t="s">
        <v>13</v>
      </c>
      <c r="M486" t="s">
        <v>620</v>
      </c>
    </row>
    <row r="487" spans="1:13">
      <c r="A487" t="s">
        <v>616</v>
      </c>
      <c r="B487" t="s">
        <v>617</v>
      </c>
      <c r="C487" t="s">
        <v>123</v>
      </c>
      <c r="D487" t="s">
        <v>131</v>
      </c>
      <c r="E487" t="s">
        <v>89</v>
      </c>
      <c r="F487" t="s">
        <v>618</v>
      </c>
      <c r="G487" t="s">
        <v>110</v>
      </c>
      <c r="H487" t="s">
        <v>13</v>
      </c>
      <c r="I487" t="s">
        <v>617</v>
      </c>
      <c r="J487" t="s">
        <v>13</v>
      </c>
      <c r="K487" t="s">
        <v>619</v>
      </c>
      <c r="L487" t="s">
        <v>13</v>
      </c>
      <c r="M487" t="s">
        <v>620</v>
      </c>
    </row>
    <row r="488" spans="1:13">
      <c r="A488" t="s">
        <v>621</v>
      </c>
      <c r="B488">
        <v>0</v>
      </c>
      <c r="C488" t="s">
        <v>16</v>
      </c>
      <c r="D488" t="s">
        <v>169</v>
      </c>
      <c r="E488" t="s">
        <v>170</v>
      </c>
      <c r="F488" t="s">
        <v>622</v>
      </c>
      <c r="G488" t="s">
        <v>623</v>
      </c>
      <c r="H488" t="s">
        <v>13</v>
      </c>
      <c r="I488" t="s">
        <v>624</v>
      </c>
      <c r="J488" t="s">
        <v>91</v>
      </c>
      <c r="K488" t="s">
        <v>625</v>
      </c>
      <c r="L488" t="s">
        <v>13</v>
      </c>
      <c r="M488" t="s">
        <v>13</v>
      </c>
    </row>
    <row r="489" spans="1:13">
      <c r="A489" t="s">
        <v>621</v>
      </c>
      <c r="B489">
        <v>0</v>
      </c>
      <c r="C489" t="s">
        <v>16</v>
      </c>
      <c r="D489" t="s">
        <v>169</v>
      </c>
      <c r="E489" t="s">
        <v>170</v>
      </c>
      <c r="F489" t="s">
        <v>622</v>
      </c>
      <c r="G489" t="s">
        <v>623</v>
      </c>
      <c r="H489" t="s">
        <v>13</v>
      </c>
      <c r="I489" t="s">
        <v>624</v>
      </c>
      <c r="J489" t="s">
        <v>91</v>
      </c>
      <c r="K489" t="s">
        <v>625</v>
      </c>
      <c r="L489" t="s">
        <v>13</v>
      </c>
      <c r="M489" t="s">
        <v>13</v>
      </c>
    </row>
    <row r="490" spans="1:13">
      <c r="A490" t="s">
        <v>626</v>
      </c>
      <c r="B490" t="s">
        <v>627</v>
      </c>
      <c r="C490" t="s">
        <v>123</v>
      </c>
      <c r="D490" t="s">
        <v>177</v>
      </c>
      <c r="E490" t="s">
        <v>125</v>
      </c>
      <c r="F490" t="s">
        <v>628</v>
      </c>
      <c r="G490" t="s">
        <v>13</v>
      </c>
      <c r="H490" t="s">
        <v>13</v>
      </c>
      <c r="I490" t="s">
        <v>627</v>
      </c>
      <c r="J490" t="s">
        <v>13</v>
      </c>
      <c r="K490" t="s">
        <v>629</v>
      </c>
      <c r="L490" t="s">
        <v>13</v>
      </c>
      <c r="M490" t="s">
        <v>288</v>
      </c>
    </row>
    <row r="491" spans="1:13">
      <c r="A491" t="s">
        <v>630</v>
      </c>
      <c r="B491" t="s">
        <v>631</v>
      </c>
      <c r="C491" t="s">
        <v>602</v>
      </c>
      <c r="D491" t="s">
        <v>632</v>
      </c>
      <c r="E491" t="s">
        <v>633</v>
      </c>
      <c r="F491" t="s">
        <v>13</v>
      </c>
      <c r="G491" t="s">
        <v>13</v>
      </c>
      <c r="H491" t="s">
        <v>13</v>
      </c>
      <c r="I491">
        <v>0</v>
      </c>
      <c r="J491" t="s">
        <v>13</v>
      </c>
      <c r="K491" t="s">
        <v>13</v>
      </c>
      <c r="L491" t="s">
        <v>13</v>
      </c>
      <c r="M491" t="s">
        <v>13</v>
      </c>
    </row>
    <row r="492" spans="1:13">
      <c r="A492" t="s">
        <v>634</v>
      </c>
      <c r="B492" t="s">
        <v>635</v>
      </c>
      <c r="C492" t="s">
        <v>16</v>
      </c>
      <c r="D492" t="s">
        <v>205</v>
      </c>
      <c r="E492" t="s">
        <v>206</v>
      </c>
      <c r="F492">
        <v>0</v>
      </c>
      <c r="G492" t="s">
        <v>636</v>
      </c>
      <c r="H492" t="s">
        <v>13</v>
      </c>
      <c r="I492">
        <v>0</v>
      </c>
      <c r="J492" t="s">
        <v>91</v>
      </c>
      <c r="K492">
        <v>45021</v>
      </c>
      <c r="L492" t="s">
        <v>13</v>
      </c>
      <c r="M492" t="s">
        <v>13</v>
      </c>
    </row>
    <row r="493" spans="1:13">
      <c r="A493" t="s">
        <v>634</v>
      </c>
      <c r="B493" t="s">
        <v>635</v>
      </c>
      <c r="C493" t="s">
        <v>16</v>
      </c>
      <c r="D493" t="s">
        <v>205</v>
      </c>
      <c r="E493" t="s">
        <v>206</v>
      </c>
      <c r="F493">
        <v>0</v>
      </c>
      <c r="G493" t="s">
        <v>636</v>
      </c>
      <c r="H493" t="s">
        <v>13</v>
      </c>
      <c r="I493">
        <v>0</v>
      </c>
      <c r="J493" t="s">
        <v>91</v>
      </c>
      <c r="K493">
        <v>45021</v>
      </c>
      <c r="L493" t="s">
        <v>13</v>
      </c>
      <c r="M493" t="s">
        <v>13</v>
      </c>
    </row>
    <row r="494" spans="1:13">
      <c r="A494" t="s">
        <v>634</v>
      </c>
      <c r="B494" t="s">
        <v>635</v>
      </c>
      <c r="C494" t="s">
        <v>16</v>
      </c>
      <c r="D494" t="s">
        <v>205</v>
      </c>
      <c r="E494" t="s">
        <v>206</v>
      </c>
      <c r="F494">
        <v>0</v>
      </c>
      <c r="G494" t="s">
        <v>636</v>
      </c>
      <c r="H494" t="s">
        <v>13</v>
      </c>
      <c r="I494">
        <v>0</v>
      </c>
      <c r="J494" t="s">
        <v>91</v>
      </c>
      <c r="K494">
        <v>45021</v>
      </c>
      <c r="L494" t="s">
        <v>13</v>
      </c>
      <c r="M494" t="s">
        <v>13</v>
      </c>
    </row>
    <row r="495" spans="1:13">
      <c r="A495" t="s">
        <v>637</v>
      </c>
      <c r="B495" t="s">
        <v>638</v>
      </c>
      <c r="C495" t="s">
        <v>123</v>
      </c>
      <c r="D495" t="s">
        <v>373</v>
      </c>
      <c r="E495" t="s">
        <v>89</v>
      </c>
      <c r="F495" t="s">
        <v>639</v>
      </c>
      <c r="G495" t="s">
        <v>13</v>
      </c>
      <c r="H495" t="s">
        <v>13</v>
      </c>
      <c r="I495" t="s">
        <v>638</v>
      </c>
      <c r="J495" t="s">
        <v>13</v>
      </c>
      <c r="K495" t="s">
        <v>640</v>
      </c>
      <c r="L495" t="s">
        <v>13</v>
      </c>
      <c r="M495" t="s">
        <v>641</v>
      </c>
    </row>
    <row r="496" spans="1:13">
      <c r="A496" t="s">
        <v>642</v>
      </c>
      <c r="B496" t="s">
        <v>643</v>
      </c>
      <c r="C496">
        <v>4558</v>
      </c>
      <c r="D496" t="s">
        <v>143</v>
      </c>
      <c r="E496" t="s">
        <v>138</v>
      </c>
      <c r="F496">
        <v>0</v>
      </c>
      <c r="G496" t="s">
        <v>110</v>
      </c>
      <c r="H496" t="s">
        <v>13</v>
      </c>
      <c r="I496" t="s">
        <v>644</v>
      </c>
      <c r="J496" t="s">
        <v>13</v>
      </c>
      <c r="K496" t="s">
        <v>13</v>
      </c>
      <c r="L496" t="s">
        <v>13</v>
      </c>
      <c r="M496" t="s">
        <v>13</v>
      </c>
    </row>
    <row r="497" spans="1:13">
      <c r="A497" t="s">
        <v>645</v>
      </c>
      <c r="B497" t="s">
        <v>646</v>
      </c>
      <c r="C497">
        <v>4575</v>
      </c>
      <c r="D497" t="s">
        <v>137</v>
      </c>
      <c r="E497" t="s">
        <v>272</v>
      </c>
      <c r="F497" t="s">
        <v>647</v>
      </c>
      <c r="G497" t="s">
        <v>110</v>
      </c>
      <c r="H497" t="s">
        <v>13</v>
      </c>
      <c r="I497" t="s">
        <v>648</v>
      </c>
      <c r="J497" t="s">
        <v>13</v>
      </c>
      <c r="K497" t="s">
        <v>13</v>
      </c>
      <c r="L497" t="s">
        <v>13</v>
      </c>
      <c r="M497" t="s">
        <v>13</v>
      </c>
    </row>
    <row r="498" spans="1:13">
      <c r="A498" t="s">
        <v>649</v>
      </c>
      <c r="B498" t="s">
        <v>650</v>
      </c>
      <c r="C498" t="s">
        <v>123</v>
      </c>
      <c r="D498" t="s">
        <v>177</v>
      </c>
      <c r="E498" t="s">
        <v>458</v>
      </c>
      <c r="F498" t="s">
        <v>651</v>
      </c>
      <c r="G498">
        <v>0</v>
      </c>
      <c r="H498" t="s">
        <v>13</v>
      </c>
      <c r="I498" t="s">
        <v>650</v>
      </c>
      <c r="J498" t="s">
        <v>13</v>
      </c>
      <c r="K498" t="s">
        <v>652</v>
      </c>
      <c r="L498" t="s">
        <v>13</v>
      </c>
      <c r="M498" t="s">
        <v>641</v>
      </c>
    </row>
    <row r="499" spans="1:13">
      <c r="A499" t="s">
        <v>649</v>
      </c>
      <c r="B499" t="s">
        <v>650</v>
      </c>
      <c r="C499" t="s">
        <v>123</v>
      </c>
      <c r="D499" t="s">
        <v>177</v>
      </c>
      <c r="E499" t="s">
        <v>458</v>
      </c>
      <c r="F499" t="s">
        <v>651</v>
      </c>
      <c r="G499">
        <v>0</v>
      </c>
      <c r="H499" t="s">
        <v>13</v>
      </c>
      <c r="I499" t="s">
        <v>650</v>
      </c>
      <c r="J499" t="s">
        <v>13</v>
      </c>
      <c r="K499" t="s">
        <v>652</v>
      </c>
      <c r="L499" t="s">
        <v>13</v>
      </c>
      <c r="M499" t="s">
        <v>641</v>
      </c>
    </row>
    <row r="500" spans="1:13">
      <c r="A500" t="s">
        <v>653</v>
      </c>
      <c r="B500" t="s">
        <v>654</v>
      </c>
      <c r="C500">
        <v>4077</v>
      </c>
      <c r="D500" t="s">
        <v>137</v>
      </c>
      <c r="E500" t="s">
        <v>138</v>
      </c>
      <c r="F500">
        <v>0</v>
      </c>
      <c r="G500" t="s">
        <v>110</v>
      </c>
      <c r="H500" t="s">
        <v>13</v>
      </c>
      <c r="I500" t="s">
        <v>655</v>
      </c>
      <c r="J500" t="s">
        <v>13</v>
      </c>
      <c r="K500" t="s">
        <v>13</v>
      </c>
      <c r="L500" t="s">
        <v>13</v>
      </c>
      <c r="M500" t="s">
        <v>13</v>
      </c>
    </row>
    <row r="501" spans="1:13">
      <c r="A501" t="s">
        <v>656</v>
      </c>
      <c r="B501" t="s">
        <v>657</v>
      </c>
      <c r="C501" t="s">
        <v>16</v>
      </c>
      <c r="D501" t="s">
        <v>658</v>
      </c>
      <c r="E501" t="s">
        <v>659</v>
      </c>
      <c r="F501">
        <v>0</v>
      </c>
      <c r="G501" t="s">
        <v>660</v>
      </c>
      <c r="H501" t="s">
        <v>13</v>
      </c>
      <c r="I501">
        <v>0</v>
      </c>
      <c r="J501" t="s">
        <v>91</v>
      </c>
      <c r="K501">
        <v>43990</v>
      </c>
      <c r="L501" t="s">
        <v>13</v>
      </c>
      <c r="M501" t="s">
        <v>13</v>
      </c>
    </row>
    <row r="502" spans="1:13">
      <c r="A502" t="s">
        <v>656</v>
      </c>
      <c r="B502" t="s">
        <v>657</v>
      </c>
      <c r="C502" t="s">
        <v>16</v>
      </c>
      <c r="D502" t="s">
        <v>658</v>
      </c>
      <c r="E502" t="s">
        <v>659</v>
      </c>
      <c r="F502">
        <v>0</v>
      </c>
      <c r="G502" t="s">
        <v>660</v>
      </c>
      <c r="H502" t="s">
        <v>13</v>
      </c>
      <c r="I502">
        <v>0</v>
      </c>
      <c r="J502" t="s">
        <v>91</v>
      </c>
      <c r="K502">
        <v>43990</v>
      </c>
      <c r="L502" t="s">
        <v>13</v>
      </c>
      <c r="M502" t="s">
        <v>13</v>
      </c>
    </row>
    <row r="503" spans="1:13">
      <c r="A503" t="s">
        <v>656</v>
      </c>
      <c r="B503" t="s">
        <v>657</v>
      </c>
      <c r="C503" t="s">
        <v>16</v>
      </c>
      <c r="D503" t="s">
        <v>658</v>
      </c>
      <c r="E503" t="s">
        <v>659</v>
      </c>
      <c r="F503">
        <v>0</v>
      </c>
      <c r="G503" t="s">
        <v>660</v>
      </c>
      <c r="H503" t="s">
        <v>13</v>
      </c>
      <c r="I503">
        <v>0</v>
      </c>
      <c r="J503" t="s">
        <v>91</v>
      </c>
      <c r="K503">
        <v>43990</v>
      </c>
      <c r="L503" t="s">
        <v>13</v>
      </c>
      <c r="M503" t="s">
        <v>13</v>
      </c>
    </row>
    <row r="504" spans="1:13">
      <c r="A504" t="s">
        <v>661</v>
      </c>
      <c r="B504" t="s">
        <v>662</v>
      </c>
      <c r="C504" t="s">
        <v>123</v>
      </c>
      <c r="D504" t="s">
        <v>663</v>
      </c>
      <c r="E504" t="s">
        <v>664</v>
      </c>
      <c r="F504" t="s">
        <v>91</v>
      </c>
      <c r="G504" t="s">
        <v>13</v>
      </c>
      <c r="H504" t="s">
        <v>13</v>
      </c>
      <c r="I504" t="s">
        <v>662</v>
      </c>
      <c r="J504" t="s">
        <v>13</v>
      </c>
      <c r="K504" t="s">
        <v>665</v>
      </c>
      <c r="L504" t="s">
        <v>13</v>
      </c>
      <c r="M504">
        <v>0</v>
      </c>
    </row>
    <row r="505" spans="1:13">
      <c r="A505" t="s">
        <v>666</v>
      </c>
      <c r="B505">
        <v>0</v>
      </c>
      <c r="C505" t="s">
        <v>16</v>
      </c>
      <c r="D505" t="s">
        <v>169</v>
      </c>
      <c r="E505" t="s">
        <v>170</v>
      </c>
      <c r="F505" t="s">
        <v>667</v>
      </c>
      <c r="G505" t="s">
        <v>668</v>
      </c>
      <c r="H505" t="s">
        <v>13</v>
      </c>
      <c r="I505" t="s">
        <v>669</v>
      </c>
      <c r="J505" t="s">
        <v>174</v>
      </c>
      <c r="K505" t="s">
        <v>670</v>
      </c>
      <c r="L505" t="s">
        <v>13</v>
      </c>
      <c r="M505" t="s">
        <v>13</v>
      </c>
    </row>
    <row r="506" spans="1:13">
      <c r="A506" t="s">
        <v>671</v>
      </c>
      <c r="B506">
        <v>0</v>
      </c>
      <c r="C506" t="s">
        <v>16</v>
      </c>
      <c r="D506" t="s">
        <v>169</v>
      </c>
      <c r="E506" t="s">
        <v>170</v>
      </c>
      <c r="F506" t="s">
        <v>672</v>
      </c>
      <c r="G506" t="s">
        <v>673</v>
      </c>
      <c r="H506" t="s">
        <v>13</v>
      </c>
      <c r="I506" t="s">
        <v>674</v>
      </c>
      <c r="J506" t="s">
        <v>91</v>
      </c>
      <c r="K506">
        <v>43652</v>
      </c>
      <c r="L506" t="s">
        <v>13</v>
      </c>
      <c r="M506" t="s">
        <v>13</v>
      </c>
    </row>
    <row r="507" spans="1:13">
      <c r="A507" t="s">
        <v>675</v>
      </c>
      <c r="B507" t="s">
        <v>676</v>
      </c>
      <c r="C507" t="s">
        <v>602</v>
      </c>
      <c r="D507" t="s">
        <v>677</v>
      </c>
      <c r="E507" t="s">
        <v>678</v>
      </c>
      <c r="F507" t="s">
        <v>13</v>
      </c>
      <c r="G507" t="s">
        <v>13</v>
      </c>
      <c r="H507" t="s">
        <v>13</v>
      </c>
      <c r="I507" t="s">
        <v>679</v>
      </c>
      <c r="J507" t="s">
        <v>13</v>
      </c>
      <c r="K507" t="s">
        <v>13</v>
      </c>
      <c r="L507" t="s">
        <v>13</v>
      </c>
      <c r="M507" t="s">
        <v>13</v>
      </c>
    </row>
    <row r="508" spans="1:13">
      <c r="A508" t="s">
        <v>680</v>
      </c>
      <c r="B508" t="s">
        <v>13</v>
      </c>
      <c r="C508" t="s">
        <v>13</v>
      </c>
      <c r="D508" t="s">
        <v>13</v>
      </c>
      <c r="E508" t="s">
        <v>13</v>
      </c>
      <c r="F508" t="s">
        <v>13</v>
      </c>
      <c r="G508" t="s">
        <v>13</v>
      </c>
      <c r="H508" t="s">
        <v>13</v>
      </c>
      <c r="I508" t="s">
        <v>13</v>
      </c>
      <c r="J508" t="s">
        <v>13</v>
      </c>
      <c r="K508" t="s">
        <v>13</v>
      </c>
      <c r="L508" t="s">
        <v>13</v>
      </c>
      <c r="M508" t="s">
        <v>13</v>
      </c>
    </row>
    <row r="509" spans="1:13">
      <c r="A509" t="s">
        <v>681</v>
      </c>
      <c r="B509" t="s">
        <v>682</v>
      </c>
      <c r="C509" t="s">
        <v>602</v>
      </c>
      <c r="D509" t="s">
        <v>677</v>
      </c>
      <c r="E509" t="s">
        <v>683</v>
      </c>
      <c r="F509" t="s">
        <v>13</v>
      </c>
      <c r="G509" t="s">
        <v>13</v>
      </c>
      <c r="H509" t="s">
        <v>13</v>
      </c>
      <c r="I509">
        <v>0</v>
      </c>
      <c r="J509" t="s">
        <v>13</v>
      </c>
      <c r="K509" t="s">
        <v>13</v>
      </c>
      <c r="L509" t="s">
        <v>13</v>
      </c>
      <c r="M509" t="s">
        <v>13</v>
      </c>
    </row>
    <row r="510" spans="1:13">
      <c r="A510" t="s">
        <v>681</v>
      </c>
      <c r="B510" t="s">
        <v>682</v>
      </c>
      <c r="C510" t="s">
        <v>602</v>
      </c>
      <c r="D510" t="s">
        <v>677</v>
      </c>
      <c r="E510" t="s">
        <v>683</v>
      </c>
      <c r="F510" t="s">
        <v>13</v>
      </c>
      <c r="G510" t="s">
        <v>13</v>
      </c>
      <c r="H510" t="s">
        <v>13</v>
      </c>
      <c r="I510">
        <v>0</v>
      </c>
      <c r="J510" t="s">
        <v>13</v>
      </c>
      <c r="K510" t="s">
        <v>13</v>
      </c>
      <c r="L510" t="s">
        <v>13</v>
      </c>
      <c r="M510" t="s">
        <v>13</v>
      </c>
    </row>
    <row r="511" spans="1:13">
      <c r="A511" t="s">
        <v>681</v>
      </c>
      <c r="B511" t="s">
        <v>682</v>
      </c>
      <c r="C511" t="s">
        <v>602</v>
      </c>
      <c r="D511" t="s">
        <v>677</v>
      </c>
      <c r="E511" t="s">
        <v>683</v>
      </c>
      <c r="F511" t="s">
        <v>13</v>
      </c>
      <c r="G511" t="s">
        <v>13</v>
      </c>
      <c r="H511" t="s">
        <v>13</v>
      </c>
      <c r="I511">
        <v>0</v>
      </c>
      <c r="J511" t="s">
        <v>13</v>
      </c>
      <c r="K511" t="s">
        <v>13</v>
      </c>
      <c r="L511" t="s">
        <v>13</v>
      </c>
      <c r="M511" t="s">
        <v>13</v>
      </c>
    </row>
    <row r="512" spans="1:13">
      <c r="A512" t="s">
        <v>684</v>
      </c>
      <c r="B512" t="s">
        <v>685</v>
      </c>
      <c r="C512" t="s">
        <v>602</v>
      </c>
      <c r="D512" t="s">
        <v>686</v>
      </c>
      <c r="E512" t="s">
        <v>687</v>
      </c>
      <c r="F512" t="s">
        <v>13</v>
      </c>
      <c r="G512" t="s">
        <v>13</v>
      </c>
      <c r="H512" t="s">
        <v>13</v>
      </c>
      <c r="I512">
        <v>0</v>
      </c>
      <c r="J512" t="s">
        <v>13</v>
      </c>
      <c r="K512" t="s">
        <v>13</v>
      </c>
      <c r="L512" t="s">
        <v>13</v>
      </c>
      <c r="M512" t="s">
        <v>13</v>
      </c>
    </row>
    <row r="513" spans="1:13">
      <c r="A513" t="s">
        <v>688</v>
      </c>
      <c r="B513" t="s">
        <v>689</v>
      </c>
      <c r="C513" t="s">
        <v>602</v>
      </c>
      <c r="D513" t="s">
        <v>690</v>
      </c>
      <c r="E513" t="s">
        <v>691</v>
      </c>
      <c r="F513" t="s">
        <v>13</v>
      </c>
      <c r="G513" t="s">
        <v>13</v>
      </c>
      <c r="H513" t="s">
        <v>13</v>
      </c>
      <c r="I513">
        <v>0</v>
      </c>
      <c r="J513" t="s">
        <v>13</v>
      </c>
      <c r="K513" t="s">
        <v>13</v>
      </c>
      <c r="L513" t="s">
        <v>13</v>
      </c>
      <c r="M513" t="s">
        <v>13</v>
      </c>
    </row>
    <row r="514" spans="1:13">
      <c r="A514" t="s">
        <v>688</v>
      </c>
      <c r="B514" t="s">
        <v>689</v>
      </c>
      <c r="C514" t="s">
        <v>602</v>
      </c>
      <c r="D514" t="s">
        <v>690</v>
      </c>
      <c r="E514" t="s">
        <v>691</v>
      </c>
      <c r="F514" t="s">
        <v>13</v>
      </c>
      <c r="G514" t="s">
        <v>13</v>
      </c>
      <c r="H514" t="s">
        <v>13</v>
      </c>
      <c r="I514">
        <v>0</v>
      </c>
      <c r="J514" t="s">
        <v>13</v>
      </c>
      <c r="K514" t="s">
        <v>13</v>
      </c>
      <c r="L514" t="s">
        <v>13</v>
      </c>
      <c r="M514" t="s">
        <v>13</v>
      </c>
    </row>
    <row r="515" spans="1:13">
      <c r="A515" t="s">
        <v>692</v>
      </c>
      <c r="B515" t="s">
        <v>693</v>
      </c>
      <c r="C515" t="s">
        <v>602</v>
      </c>
      <c r="D515" t="s">
        <v>694</v>
      </c>
      <c r="E515" t="s">
        <v>695</v>
      </c>
      <c r="F515" t="s">
        <v>13</v>
      </c>
      <c r="G515" t="s">
        <v>13</v>
      </c>
      <c r="H515" t="s">
        <v>13</v>
      </c>
      <c r="I515">
        <v>0</v>
      </c>
      <c r="J515" t="s">
        <v>13</v>
      </c>
      <c r="K515" t="s">
        <v>13</v>
      </c>
      <c r="L515" t="s">
        <v>13</v>
      </c>
      <c r="M515" t="s">
        <v>13</v>
      </c>
    </row>
    <row r="516" spans="1:13">
      <c r="A516" t="s">
        <v>696</v>
      </c>
      <c r="B516" t="s">
        <v>697</v>
      </c>
      <c r="C516" t="s">
        <v>602</v>
      </c>
      <c r="D516" t="s">
        <v>698</v>
      </c>
      <c r="E516" t="s">
        <v>699</v>
      </c>
      <c r="F516" t="s">
        <v>13</v>
      </c>
      <c r="G516" t="s">
        <v>13</v>
      </c>
      <c r="H516" t="s">
        <v>13</v>
      </c>
      <c r="I516">
        <v>0</v>
      </c>
      <c r="J516" t="s">
        <v>13</v>
      </c>
      <c r="K516" t="s">
        <v>13</v>
      </c>
      <c r="L516" t="s">
        <v>13</v>
      </c>
      <c r="M516" t="s">
        <v>13</v>
      </c>
    </row>
    <row r="517" spans="1:13">
      <c r="A517" t="s">
        <v>700</v>
      </c>
      <c r="B517" t="s">
        <v>701</v>
      </c>
      <c r="C517" t="s">
        <v>602</v>
      </c>
      <c r="D517" t="s">
        <v>702</v>
      </c>
      <c r="E517" t="s">
        <v>703</v>
      </c>
      <c r="F517" t="s">
        <v>13</v>
      </c>
      <c r="G517" t="s">
        <v>13</v>
      </c>
      <c r="H517" t="s">
        <v>13</v>
      </c>
      <c r="I517">
        <v>0</v>
      </c>
      <c r="J517" t="s">
        <v>13</v>
      </c>
      <c r="K517" t="s">
        <v>13</v>
      </c>
      <c r="L517" t="s">
        <v>13</v>
      </c>
      <c r="M517" t="s">
        <v>13</v>
      </c>
    </row>
    <row r="518" spans="1:13">
      <c r="A518" t="s">
        <v>704</v>
      </c>
      <c r="B518" t="s">
        <v>705</v>
      </c>
      <c r="C518">
        <v>4670</v>
      </c>
      <c r="D518" t="s">
        <v>137</v>
      </c>
      <c r="E518" t="s">
        <v>272</v>
      </c>
      <c r="F518">
        <v>0</v>
      </c>
      <c r="G518" t="s">
        <v>110</v>
      </c>
      <c r="H518" t="s">
        <v>13</v>
      </c>
      <c r="I518" t="s">
        <v>706</v>
      </c>
      <c r="J518" t="s">
        <v>13</v>
      </c>
      <c r="K518" t="s">
        <v>13</v>
      </c>
      <c r="L518" t="s">
        <v>13</v>
      </c>
      <c r="M518" t="s">
        <v>13</v>
      </c>
    </row>
    <row r="519" spans="1:13">
      <c r="A519" t="s">
        <v>707</v>
      </c>
      <c r="B519" t="s">
        <v>708</v>
      </c>
      <c r="C519">
        <v>4567</v>
      </c>
      <c r="D519" t="s">
        <v>137</v>
      </c>
      <c r="E519" t="s">
        <v>272</v>
      </c>
      <c r="F519" t="s">
        <v>709</v>
      </c>
      <c r="G519" t="s">
        <v>110</v>
      </c>
      <c r="H519" t="s">
        <v>13</v>
      </c>
      <c r="I519" t="s">
        <v>710</v>
      </c>
      <c r="J519" t="s">
        <v>13</v>
      </c>
      <c r="K519" t="s">
        <v>13</v>
      </c>
      <c r="L519" t="s">
        <v>13</v>
      </c>
      <c r="M519" t="s">
        <v>13</v>
      </c>
    </row>
    <row r="520" spans="1:13">
      <c r="A520" t="s">
        <v>711</v>
      </c>
      <c r="B520" t="s">
        <v>712</v>
      </c>
      <c r="C520" t="s">
        <v>123</v>
      </c>
      <c r="D520" t="s">
        <v>177</v>
      </c>
      <c r="E520" t="s">
        <v>195</v>
      </c>
      <c r="F520" t="s">
        <v>713</v>
      </c>
      <c r="G520">
        <v>0</v>
      </c>
      <c r="H520" t="s">
        <v>13</v>
      </c>
      <c r="I520" t="s">
        <v>712</v>
      </c>
      <c r="J520" t="s">
        <v>13</v>
      </c>
      <c r="K520" t="s">
        <v>714</v>
      </c>
      <c r="L520" t="s">
        <v>13</v>
      </c>
      <c r="M520" t="s">
        <v>128</v>
      </c>
    </row>
    <row r="521" spans="1:13">
      <c r="A521" t="s">
        <v>711</v>
      </c>
      <c r="B521" t="s">
        <v>712</v>
      </c>
      <c r="C521" t="s">
        <v>123</v>
      </c>
      <c r="D521" t="s">
        <v>177</v>
      </c>
      <c r="E521" t="s">
        <v>195</v>
      </c>
      <c r="F521" t="s">
        <v>713</v>
      </c>
      <c r="G521">
        <v>0</v>
      </c>
      <c r="H521" t="s">
        <v>13</v>
      </c>
      <c r="I521" t="s">
        <v>712</v>
      </c>
      <c r="J521" t="s">
        <v>13</v>
      </c>
      <c r="K521" t="s">
        <v>714</v>
      </c>
      <c r="L521" t="s">
        <v>13</v>
      </c>
      <c r="M521" t="s">
        <v>128</v>
      </c>
    </row>
    <row r="522" spans="1:13">
      <c r="A522" t="s">
        <v>715</v>
      </c>
      <c r="B522" t="s">
        <v>716</v>
      </c>
      <c r="C522" t="s">
        <v>123</v>
      </c>
      <c r="D522" t="s">
        <v>177</v>
      </c>
      <c r="E522" t="s">
        <v>458</v>
      </c>
      <c r="F522" t="s">
        <v>717</v>
      </c>
      <c r="G522" t="s">
        <v>13</v>
      </c>
      <c r="H522" t="s">
        <v>13</v>
      </c>
      <c r="I522" t="s">
        <v>716</v>
      </c>
      <c r="J522" t="s">
        <v>13</v>
      </c>
      <c r="K522" t="s">
        <v>718</v>
      </c>
      <c r="L522" t="s">
        <v>13</v>
      </c>
      <c r="M522" t="s">
        <v>719</v>
      </c>
    </row>
    <row r="523" spans="1:13">
      <c r="A523" t="s">
        <v>720</v>
      </c>
      <c r="B523" t="s">
        <v>721</v>
      </c>
      <c r="C523" t="s">
        <v>86</v>
      </c>
      <c r="D523" t="s">
        <v>87</v>
      </c>
      <c r="E523" t="s">
        <v>88</v>
      </c>
      <c r="F523" t="s">
        <v>89</v>
      </c>
      <c r="G523" t="s">
        <v>13</v>
      </c>
      <c r="H523" t="s">
        <v>722</v>
      </c>
      <c r="I523" t="s">
        <v>13</v>
      </c>
      <c r="J523" t="s">
        <v>91</v>
      </c>
      <c r="K523" s="236" t="s">
        <v>723</v>
      </c>
      <c r="L523" t="s">
        <v>724</v>
      </c>
      <c r="M523" t="s">
        <v>13</v>
      </c>
    </row>
    <row r="524" spans="1:13">
      <c r="A524" t="s">
        <v>725</v>
      </c>
      <c r="B524" t="s">
        <v>726</v>
      </c>
      <c r="C524">
        <v>4558</v>
      </c>
      <c r="D524" t="s">
        <v>143</v>
      </c>
      <c r="E524" t="s">
        <v>211</v>
      </c>
      <c r="F524" t="s">
        <v>727</v>
      </c>
      <c r="G524" t="s">
        <v>110</v>
      </c>
      <c r="H524" t="s">
        <v>13</v>
      </c>
      <c r="I524" t="s">
        <v>728</v>
      </c>
      <c r="J524" t="s">
        <v>13</v>
      </c>
      <c r="K524" t="s">
        <v>13</v>
      </c>
      <c r="L524" t="s">
        <v>13</v>
      </c>
      <c r="M524" t="s">
        <v>13</v>
      </c>
    </row>
    <row r="525" spans="1:13">
      <c r="A525" t="s">
        <v>729</v>
      </c>
      <c r="B525" t="s">
        <v>730</v>
      </c>
      <c r="C525">
        <v>3754</v>
      </c>
      <c r="D525" t="s">
        <v>143</v>
      </c>
      <c r="E525" t="s">
        <v>382</v>
      </c>
      <c r="F525" t="s">
        <v>731</v>
      </c>
      <c r="G525" t="s">
        <v>110</v>
      </c>
      <c r="H525" t="s">
        <v>13</v>
      </c>
      <c r="I525" t="s">
        <v>732</v>
      </c>
      <c r="J525" t="s">
        <v>13</v>
      </c>
      <c r="K525" t="s">
        <v>13</v>
      </c>
      <c r="L525" t="s">
        <v>13</v>
      </c>
      <c r="M525" t="s">
        <v>13</v>
      </c>
    </row>
    <row r="526" spans="1:13">
      <c r="A526" t="s">
        <v>733</v>
      </c>
      <c r="B526">
        <v>0</v>
      </c>
      <c r="C526" t="s">
        <v>16</v>
      </c>
      <c r="D526" t="s">
        <v>169</v>
      </c>
      <c r="E526" t="s">
        <v>170</v>
      </c>
      <c r="F526" t="s">
        <v>734</v>
      </c>
      <c r="G526" t="s">
        <v>735</v>
      </c>
      <c r="H526" t="s">
        <v>13</v>
      </c>
      <c r="I526" t="s">
        <v>736</v>
      </c>
      <c r="J526" t="s">
        <v>473</v>
      </c>
      <c r="K526" t="s">
        <v>737</v>
      </c>
      <c r="L526" t="s">
        <v>13</v>
      </c>
      <c r="M526" t="s">
        <v>13</v>
      </c>
    </row>
    <row r="527" spans="1:13">
      <c r="A527" t="s">
        <v>733</v>
      </c>
      <c r="B527">
        <v>0</v>
      </c>
      <c r="C527" t="s">
        <v>16</v>
      </c>
      <c r="D527" t="s">
        <v>169</v>
      </c>
      <c r="E527" t="s">
        <v>170</v>
      </c>
      <c r="F527" t="s">
        <v>734</v>
      </c>
      <c r="G527" t="s">
        <v>735</v>
      </c>
      <c r="H527" t="s">
        <v>13</v>
      </c>
      <c r="I527" t="s">
        <v>736</v>
      </c>
      <c r="J527" t="s">
        <v>473</v>
      </c>
      <c r="K527" t="s">
        <v>737</v>
      </c>
      <c r="L527" t="s">
        <v>13</v>
      </c>
      <c r="M527" t="s">
        <v>13</v>
      </c>
    </row>
    <row r="528" spans="1:13">
      <c r="A528" t="s">
        <v>733</v>
      </c>
      <c r="B528">
        <v>0</v>
      </c>
      <c r="C528" t="s">
        <v>16</v>
      </c>
      <c r="D528" t="s">
        <v>169</v>
      </c>
      <c r="E528" t="s">
        <v>170</v>
      </c>
      <c r="F528" t="s">
        <v>734</v>
      </c>
      <c r="G528" t="s">
        <v>735</v>
      </c>
      <c r="H528" t="s">
        <v>13</v>
      </c>
      <c r="I528" t="s">
        <v>736</v>
      </c>
      <c r="J528" t="s">
        <v>473</v>
      </c>
      <c r="K528" t="s">
        <v>737</v>
      </c>
      <c r="L528" t="s">
        <v>13</v>
      </c>
      <c r="M528" t="s">
        <v>13</v>
      </c>
    </row>
    <row r="529" spans="1:13">
      <c r="A529" t="s">
        <v>738</v>
      </c>
      <c r="B529" t="s">
        <v>739</v>
      </c>
      <c r="C529" t="s">
        <v>123</v>
      </c>
      <c r="D529" t="s">
        <v>177</v>
      </c>
      <c r="E529" t="s">
        <v>178</v>
      </c>
      <c r="F529" t="s">
        <v>740</v>
      </c>
      <c r="G529" t="s">
        <v>13</v>
      </c>
      <c r="H529" t="s">
        <v>13</v>
      </c>
      <c r="I529" t="s">
        <v>739</v>
      </c>
      <c r="J529" t="s">
        <v>13</v>
      </c>
      <c r="K529" t="s">
        <v>741</v>
      </c>
      <c r="L529" t="s">
        <v>13</v>
      </c>
      <c r="M529" t="s">
        <v>742</v>
      </c>
    </row>
    <row r="530" spans="1:13">
      <c r="A530" t="s">
        <v>743</v>
      </c>
      <c r="B530" t="s">
        <v>744</v>
      </c>
      <c r="C530" t="s">
        <v>123</v>
      </c>
      <c r="D530" t="s">
        <v>177</v>
      </c>
      <c r="E530" t="s">
        <v>125</v>
      </c>
      <c r="F530" t="s">
        <v>745</v>
      </c>
      <c r="G530" t="s">
        <v>13</v>
      </c>
      <c r="H530" t="s">
        <v>13</v>
      </c>
      <c r="I530" t="s">
        <v>744</v>
      </c>
      <c r="J530" t="s">
        <v>13</v>
      </c>
      <c r="K530" t="s">
        <v>746</v>
      </c>
      <c r="L530" t="s">
        <v>13</v>
      </c>
      <c r="M530" t="s">
        <v>742</v>
      </c>
    </row>
    <row r="531" spans="1:13">
      <c r="A531" t="s">
        <v>747</v>
      </c>
      <c r="B531" t="s">
        <v>748</v>
      </c>
      <c r="C531" t="s">
        <v>123</v>
      </c>
      <c r="D531" t="s">
        <v>177</v>
      </c>
      <c r="E531" t="s">
        <v>89</v>
      </c>
      <c r="F531" t="s">
        <v>749</v>
      </c>
      <c r="G531" t="s">
        <v>13</v>
      </c>
      <c r="H531" t="s">
        <v>13</v>
      </c>
      <c r="I531" t="s">
        <v>748</v>
      </c>
      <c r="J531" t="s">
        <v>13</v>
      </c>
      <c r="K531" t="s">
        <v>750</v>
      </c>
      <c r="L531" t="s">
        <v>13</v>
      </c>
      <c r="M531" t="s">
        <v>288</v>
      </c>
    </row>
    <row r="532" spans="1:13">
      <c r="A532" t="s">
        <v>751</v>
      </c>
      <c r="B532" t="s">
        <v>752</v>
      </c>
      <c r="C532" t="s">
        <v>86</v>
      </c>
      <c r="D532" t="s">
        <v>753</v>
      </c>
      <c r="E532" t="s">
        <v>754</v>
      </c>
      <c r="F532" t="s">
        <v>89</v>
      </c>
      <c r="G532" t="s">
        <v>13</v>
      </c>
      <c r="H532" t="s">
        <v>755</v>
      </c>
      <c r="I532" t="s">
        <v>13</v>
      </c>
      <c r="J532" t="s">
        <v>91</v>
      </c>
      <c r="K532" s="236" t="s">
        <v>756</v>
      </c>
      <c r="L532" t="s">
        <v>757</v>
      </c>
      <c r="M532" t="s">
        <v>13</v>
      </c>
    </row>
    <row r="533" spans="1:13">
      <c r="A533" t="s">
        <v>758</v>
      </c>
      <c r="B533" t="s">
        <v>759</v>
      </c>
      <c r="C533" t="s">
        <v>86</v>
      </c>
      <c r="D533" t="s">
        <v>760</v>
      </c>
      <c r="E533" t="s">
        <v>88</v>
      </c>
      <c r="F533" t="s">
        <v>89</v>
      </c>
      <c r="G533" t="s">
        <v>13</v>
      </c>
      <c r="H533" t="s">
        <v>761</v>
      </c>
      <c r="I533" t="s">
        <v>13</v>
      </c>
      <c r="J533" t="s">
        <v>91</v>
      </c>
      <c r="K533" s="236" t="s">
        <v>762</v>
      </c>
      <c r="L533" t="s">
        <v>763</v>
      </c>
      <c r="M533" t="s">
        <v>13</v>
      </c>
    </row>
    <row r="534" spans="1:13">
      <c r="A534" t="s">
        <v>764</v>
      </c>
      <c r="B534" t="s">
        <v>765</v>
      </c>
      <c r="C534">
        <v>4557</v>
      </c>
      <c r="D534" t="s">
        <v>143</v>
      </c>
      <c r="E534" t="s">
        <v>272</v>
      </c>
      <c r="F534" t="s">
        <v>766</v>
      </c>
      <c r="G534" t="s">
        <v>110</v>
      </c>
      <c r="H534" t="s">
        <v>13</v>
      </c>
      <c r="I534" t="s">
        <v>767</v>
      </c>
      <c r="J534" t="s">
        <v>13</v>
      </c>
      <c r="K534" t="s">
        <v>13</v>
      </c>
      <c r="L534" t="s">
        <v>13</v>
      </c>
      <c r="M534" t="s">
        <v>13</v>
      </c>
    </row>
    <row r="535" spans="1:13">
      <c r="A535" t="s">
        <v>768</v>
      </c>
      <c r="B535" t="s">
        <v>769</v>
      </c>
      <c r="C535">
        <v>4070</v>
      </c>
      <c r="D535" t="s">
        <v>143</v>
      </c>
      <c r="E535" t="s">
        <v>138</v>
      </c>
      <c r="F535" t="s">
        <v>770</v>
      </c>
      <c r="G535" t="s">
        <v>110</v>
      </c>
      <c r="H535" t="s">
        <v>13</v>
      </c>
      <c r="I535" t="s">
        <v>771</v>
      </c>
      <c r="J535" t="s">
        <v>13</v>
      </c>
      <c r="K535" t="s">
        <v>13</v>
      </c>
      <c r="L535" t="s">
        <v>13</v>
      </c>
      <c r="M535" t="s">
        <v>13</v>
      </c>
    </row>
    <row r="536" spans="1:13">
      <c r="A536" t="s">
        <v>772</v>
      </c>
      <c r="B536" t="s">
        <v>773</v>
      </c>
      <c r="C536">
        <v>4017</v>
      </c>
      <c r="D536" t="s">
        <v>143</v>
      </c>
      <c r="E536" t="s">
        <v>138</v>
      </c>
      <c r="F536" t="s">
        <v>774</v>
      </c>
      <c r="G536" t="s">
        <v>110</v>
      </c>
      <c r="H536" t="s">
        <v>13</v>
      </c>
      <c r="I536" t="s">
        <v>775</v>
      </c>
      <c r="J536" t="s">
        <v>13</v>
      </c>
      <c r="K536" t="s">
        <v>13</v>
      </c>
      <c r="L536" t="s">
        <v>13</v>
      </c>
      <c r="M536" t="s">
        <v>13</v>
      </c>
    </row>
    <row r="537" spans="1:13">
      <c r="A537" t="s">
        <v>776</v>
      </c>
      <c r="B537" t="s">
        <v>777</v>
      </c>
      <c r="C537" t="s">
        <v>123</v>
      </c>
      <c r="D537" t="s">
        <v>177</v>
      </c>
      <c r="E537" t="s">
        <v>125</v>
      </c>
      <c r="F537" t="s">
        <v>778</v>
      </c>
      <c r="G537" t="s">
        <v>13</v>
      </c>
      <c r="H537" t="s">
        <v>13</v>
      </c>
      <c r="I537" t="s">
        <v>777</v>
      </c>
      <c r="J537" t="s">
        <v>13</v>
      </c>
      <c r="K537" t="s">
        <v>779</v>
      </c>
      <c r="L537" t="s">
        <v>13</v>
      </c>
      <c r="M537" t="s">
        <v>198</v>
      </c>
    </row>
    <row r="538" spans="1:13">
      <c r="A538" t="s">
        <v>780</v>
      </c>
      <c r="B538" t="s">
        <v>781</v>
      </c>
      <c r="C538">
        <v>4051</v>
      </c>
      <c r="D538" t="s">
        <v>137</v>
      </c>
      <c r="E538" t="s">
        <v>147</v>
      </c>
      <c r="F538" t="s">
        <v>782</v>
      </c>
      <c r="G538" t="s">
        <v>110</v>
      </c>
      <c r="H538" t="s">
        <v>13</v>
      </c>
      <c r="I538" t="s">
        <v>783</v>
      </c>
      <c r="J538" t="s">
        <v>13</v>
      </c>
      <c r="K538" t="s">
        <v>13</v>
      </c>
      <c r="L538" t="s">
        <v>13</v>
      </c>
      <c r="M538" t="s">
        <v>13</v>
      </c>
    </row>
    <row r="539" spans="1:13">
      <c r="A539" t="s">
        <v>784</v>
      </c>
      <c r="B539" t="s">
        <v>785</v>
      </c>
      <c r="C539" t="s">
        <v>13</v>
      </c>
      <c r="D539" t="s">
        <v>13</v>
      </c>
      <c r="E539" t="s">
        <v>13</v>
      </c>
      <c r="F539" t="s">
        <v>13</v>
      </c>
      <c r="G539" t="s">
        <v>13</v>
      </c>
      <c r="H539" t="s">
        <v>13</v>
      </c>
      <c r="I539" t="s">
        <v>786</v>
      </c>
      <c r="J539" t="s">
        <v>13</v>
      </c>
      <c r="K539" t="s">
        <v>13</v>
      </c>
      <c r="L539" t="s">
        <v>13</v>
      </c>
      <c r="M539" t="s">
        <v>13</v>
      </c>
    </row>
    <row r="540" spans="1:13">
      <c r="A540" t="s">
        <v>787</v>
      </c>
      <c r="B540" t="s">
        <v>788</v>
      </c>
      <c r="C540" t="s">
        <v>16</v>
      </c>
      <c r="D540" t="s">
        <v>205</v>
      </c>
      <c r="E540" t="s">
        <v>206</v>
      </c>
      <c r="F540">
        <v>0</v>
      </c>
      <c r="G540" t="s">
        <v>207</v>
      </c>
      <c r="H540" t="s">
        <v>13</v>
      </c>
      <c r="I540">
        <v>0</v>
      </c>
      <c r="J540" t="s">
        <v>91</v>
      </c>
      <c r="K540" t="s">
        <v>789</v>
      </c>
      <c r="L540" t="s">
        <v>13</v>
      </c>
      <c r="M540" t="s">
        <v>13</v>
      </c>
    </row>
    <row r="541" spans="1:13">
      <c r="A541" t="s">
        <v>787</v>
      </c>
      <c r="B541" t="s">
        <v>788</v>
      </c>
      <c r="C541" t="s">
        <v>16</v>
      </c>
      <c r="D541" t="s">
        <v>205</v>
      </c>
      <c r="E541" t="s">
        <v>206</v>
      </c>
      <c r="F541">
        <v>0</v>
      </c>
      <c r="G541" t="s">
        <v>207</v>
      </c>
      <c r="H541" t="s">
        <v>13</v>
      </c>
      <c r="I541">
        <v>0</v>
      </c>
      <c r="J541" t="s">
        <v>91</v>
      </c>
      <c r="K541" t="s">
        <v>789</v>
      </c>
      <c r="L541" t="s">
        <v>13</v>
      </c>
      <c r="M541" t="s">
        <v>13</v>
      </c>
    </row>
    <row r="542" spans="1:13">
      <c r="A542" t="s">
        <v>787</v>
      </c>
      <c r="B542" t="s">
        <v>788</v>
      </c>
      <c r="C542" t="s">
        <v>16</v>
      </c>
      <c r="D542" t="s">
        <v>205</v>
      </c>
      <c r="E542" t="s">
        <v>206</v>
      </c>
      <c r="F542">
        <v>0</v>
      </c>
      <c r="G542" t="s">
        <v>207</v>
      </c>
      <c r="H542" t="s">
        <v>13</v>
      </c>
      <c r="I542">
        <v>0</v>
      </c>
      <c r="J542" t="s">
        <v>91</v>
      </c>
      <c r="K542" t="s">
        <v>789</v>
      </c>
      <c r="L542" t="s">
        <v>13</v>
      </c>
      <c r="M542" t="s">
        <v>13</v>
      </c>
    </row>
    <row r="543" spans="1:13">
      <c r="A543" t="s">
        <v>790</v>
      </c>
      <c r="B543" t="s">
        <v>791</v>
      </c>
      <c r="C543" t="s">
        <v>602</v>
      </c>
      <c r="D543" t="s">
        <v>792</v>
      </c>
      <c r="E543" t="s">
        <v>793</v>
      </c>
      <c r="F543">
        <v>0</v>
      </c>
      <c r="G543">
        <v>0</v>
      </c>
      <c r="H543" t="s">
        <v>13</v>
      </c>
      <c r="I543">
        <v>0</v>
      </c>
      <c r="J543" t="s">
        <v>13</v>
      </c>
      <c r="K543" t="s">
        <v>13</v>
      </c>
      <c r="L543" t="s">
        <v>13</v>
      </c>
      <c r="M543" t="s">
        <v>13</v>
      </c>
    </row>
    <row r="544" spans="1:13">
      <c r="A544" t="s">
        <v>790</v>
      </c>
      <c r="B544" t="s">
        <v>791</v>
      </c>
      <c r="C544" t="s">
        <v>602</v>
      </c>
      <c r="D544" t="s">
        <v>792</v>
      </c>
      <c r="E544" t="s">
        <v>793</v>
      </c>
      <c r="F544">
        <v>0</v>
      </c>
      <c r="G544">
        <v>0</v>
      </c>
      <c r="H544" t="s">
        <v>13</v>
      </c>
      <c r="I544">
        <v>0</v>
      </c>
      <c r="J544" t="s">
        <v>13</v>
      </c>
      <c r="K544" t="s">
        <v>13</v>
      </c>
      <c r="L544" t="s">
        <v>13</v>
      </c>
      <c r="M544" t="s">
        <v>13</v>
      </c>
    </row>
    <row r="545" spans="1:13">
      <c r="A545" t="s">
        <v>794</v>
      </c>
      <c r="B545" t="s">
        <v>795</v>
      </c>
      <c r="C545" t="s">
        <v>123</v>
      </c>
      <c r="D545" t="s">
        <v>796</v>
      </c>
      <c r="E545" t="s">
        <v>132</v>
      </c>
      <c r="F545" t="s">
        <v>797</v>
      </c>
      <c r="G545">
        <v>0</v>
      </c>
      <c r="H545" t="s">
        <v>13</v>
      </c>
      <c r="I545" t="s">
        <v>795</v>
      </c>
      <c r="J545" t="s">
        <v>13</v>
      </c>
      <c r="K545" t="s">
        <v>798</v>
      </c>
      <c r="L545" t="s">
        <v>13</v>
      </c>
      <c r="M545" t="s">
        <v>198</v>
      </c>
    </row>
    <row r="546" spans="1:13">
      <c r="A546" t="s">
        <v>794</v>
      </c>
      <c r="B546" t="s">
        <v>795</v>
      </c>
      <c r="C546" t="s">
        <v>123</v>
      </c>
      <c r="D546" t="s">
        <v>796</v>
      </c>
      <c r="E546" t="s">
        <v>132</v>
      </c>
      <c r="F546" t="s">
        <v>797</v>
      </c>
      <c r="G546">
        <v>0</v>
      </c>
      <c r="H546" t="s">
        <v>13</v>
      </c>
      <c r="I546" t="s">
        <v>795</v>
      </c>
      <c r="J546" t="s">
        <v>13</v>
      </c>
      <c r="K546" t="s">
        <v>798</v>
      </c>
      <c r="L546" t="s">
        <v>13</v>
      </c>
      <c r="M546" t="s">
        <v>198</v>
      </c>
    </row>
    <row r="547" spans="1:13">
      <c r="A547" t="s">
        <v>799</v>
      </c>
      <c r="B547" t="s">
        <v>800</v>
      </c>
      <c r="C547" t="s">
        <v>123</v>
      </c>
      <c r="D547">
        <v>0</v>
      </c>
      <c r="E547" t="s">
        <v>285</v>
      </c>
      <c r="F547">
        <v>0</v>
      </c>
      <c r="G547">
        <v>0</v>
      </c>
      <c r="H547" t="s">
        <v>13</v>
      </c>
      <c r="I547" t="s">
        <v>800</v>
      </c>
      <c r="J547" t="s">
        <v>13</v>
      </c>
      <c r="K547" t="s">
        <v>801</v>
      </c>
      <c r="L547" t="s">
        <v>13</v>
      </c>
      <c r="M547" t="s">
        <v>198</v>
      </c>
    </row>
    <row r="548" spans="1:13">
      <c r="A548" t="s">
        <v>799</v>
      </c>
      <c r="B548" t="s">
        <v>800</v>
      </c>
      <c r="C548" t="s">
        <v>123</v>
      </c>
      <c r="D548">
        <v>0</v>
      </c>
      <c r="E548" t="s">
        <v>285</v>
      </c>
      <c r="F548">
        <v>0</v>
      </c>
      <c r="G548">
        <v>0</v>
      </c>
      <c r="H548" t="s">
        <v>13</v>
      </c>
      <c r="I548" t="s">
        <v>800</v>
      </c>
      <c r="J548" t="s">
        <v>13</v>
      </c>
      <c r="K548" t="s">
        <v>801</v>
      </c>
      <c r="L548" t="s">
        <v>13</v>
      </c>
      <c r="M548" t="s">
        <v>198</v>
      </c>
    </row>
    <row r="549" spans="1:13">
      <c r="A549" t="s">
        <v>802</v>
      </c>
      <c r="B549" t="s">
        <v>13</v>
      </c>
      <c r="C549" t="s">
        <v>13</v>
      </c>
      <c r="D549" t="s">
        <v>13</v>
      </c>
      <c r="E549" t="s">
        <v>13</v>
      </c>
      <c r="F549" t="s">
        <v>13</v>
      </c>
      <c r="G549" t="s">
        <v>13</v>
      </c>
      <c r="H549" t="s">
        <v>13</v>
      </c>
      <c r="I549" t="s">
        <v>13</v>
      </c>
      <c r="J549" t="s">
        <v>13</v>
      </c>
      <c r="K549" t="s">
        <v>13</v>
      </c>
      <c r="L549" t="s">
        <v>13</v>
      </c>
      <c r="M549" t="s">
        <v>13</v>
      </c>
    </row>
    <row r="550" spans="1:13">
      <c r="A550" t="s">
        <v>803</v>
      </c>
      <c r="B550" t="s">
        <v>804</v>
      </c>
      <c r="C550" t="s">
        <v>123</v>
      </c>
      <c r="D550" t="s">
        <v>805</v>
      </c>
      <c r="E550" t="s">
        <v>806</v>
      </c>
      <c r="F550" t="s">
        <v>807</v>
      </c>
      <c r="G550" t="s">
        <v>13</v>
      </c>
      <c r="H550" t="s">
        <v>13</v>
      </c>
      <c r="I550" t="s">
        <v>804</v>
      </c>
      <c r="J550" t="s">
        <v>13</v>
      </c>
      <c r="K550">
        <v>0</v>
      </c>
      <c r="L550" t="s">
        <v>13</v>
      </c>
      <c r="M550" t="s">
        <v>288</v>
      </c>
    </row>
    <row r="551" spans="1:13">
      <c r="A551" t="s">
        <v>803</v>
      </c>
      <c r="B551" t="s">
        <v>804</v>
      </c>
      <c r="C551" t="s">
        <v>123</v>
      </c>
      <c r="D551" t="s">
        <v>805</v>
      </c>
      <c r="E551" t="s">
        <v>806</v>
      </c>
      <c r="F551" t="s">
        <v>807</v>
      </c>
      <c r="G551" t="s">
        <v>13</v>
      </c>
      <c r="H551" t="s">
        <v>13</v>
      </c>
      <c r="I551" t="s">
        <v>804</v>
      </c>
      <c r="J551" t="s">
        <v>13</v>
      </c>
      <c r="K551">
        <v>0</v>
      </c>
      <c r="L551" t="s">
        <v>13</v>
      </c>
      <c r="M551" t="s">
        <v>288</v>
      </c>
    </row>
    <row r="552" spans="1:13">
      <c r="A552" t="s">
        <v>808</v>
      </c>
      <c r="B552" t="s">
        <v>809</v>
      </c>
      <c r="C552" t="s">
        <v>123</v>
      </c>
      <c r="D552" t="s">
        <v>796</v>
      </c>
      <c r="E552" t="s">
        <v>285</v>
      </c>
      <c r="F552" t="s">
        <v>810</v>
      </c>
      <c r="G552" t="s">
        <v>13</v>
      </c>
      <c r="H552" t="s">
        <v>13</v>
      </c>
      <c r="I552" t="s">
        <v>809</v>
      </c>
      <c r="J552" t="s">
        <v>13</v>
      </c>
      <c r="K552" t="s">
        <v>811</v>
      </c>
      <c r="L552" t="s">
        <v>13</v>
      </c>
      <c r="M552" t="s">
        <v>198</v>
      </c>
    </row>
    <row r="553" spans="1:13">
      <c r="A553" t="s">
        <v>812</v>
      </c>
      <c r="B553" t="s">
        <v>813</v>
      </c>
      <c r="C553" t="s">
        <v>123</v>
      </c>
      <c r="D553" t="s">
        <v>814</v>
      </c>
      <c r="E553" t="s">
        <v>815</v>
      </c>
      <c r="F553" t="s">
        <v>816</v>
      </c>
      <c r="G553" t="s">
        <v>13</v>
      </c>
      <c r="H553" t="s">
        <v>13</v>
      </c>
      <c r="I553" t="s">
        <v>813</v>
      </c>
      <c r="J553" t="s">
        <v>13</v>
      </c>
      <c r="K553" t="s">
        <v>817</v>
      </c>
      <c r="L553" t="s">
        <v>13</v>
      </c>
      <c r="M553" t="s">
        <v>198</v>
      </c>
    </row>
    <row r="554" spans="1:13">
      <c r="A554" t="s">
        <v>818</v>
      </c>
      <c r="B554" t="s">
        <v>819</v>
      </c>
      <c r="C554" t="s">
        <v>123</v>
      </c>
      <c r="D554" t="s">
        <v>373</v>
      </c>
      <c r="E554" t="s">
        <v>820</v>
      </c>
      <c r="F554" t="s">
        <v>821</v>
      </c>
      <c r="G554" t="s">
        <v>13</v>
      </c>
      <c r="H554" t="s">
        <v>13</v>
      </c>
      <c r="I554" t="s">
        <v>819</v>
      </c>
      <c r="J554" t="s">
        <v>13</v>
      </c>
      <c r="K554" t="s">
        <v>822</v>
      </c>
      <c r="L554" t="s">
        <v>13</v>
      </c>
      <c r="M554" t="s">
        <v>198</v>
      </c>
    </row>
    <row r="555" spans="1:13">
      <c r="A555" t="s">
        <v>823</v>
      </c>
      <c r="B555" t="s">
        <v>824</v>
      </c>
      <c r="C555">
        <v>4564</v>
      </c>
      <c r="D555" t="s">
        <v>825</v>
      </c>
      <c r="E555" t="s">
        <v>826</v>
      </c>
      <c r="F555" t="s">
        <v>827</v>
      </c>
      <c r="G555" t="s">
        <v>110</v>
      </c>
      <c r="H555" t="s">
        <v>13</v>
      </c>
      <c r="I555" t="s">
        <v>828</v>
      </c>
      <c r="J555" t="s">
        <v>13</v>
      </c>
      <c r="K555" t="s">
        <v>13</v>
      </c>
      <c r="L555" t="s">
        <v>13</v>
      </c>
      <c r="M555" t="s">
        <v>13</v>
      </c>
    </row>
    <row r="556" spans="1:13">
      <c r="A556" t="s">
        <v>829</v>
      </c>
      <c r="B556" t="s">
        <v>830</v>
      </c>
      <c r="C556" t="s">
        <v>123</v>
      </c>
      <c r="D556" t="s">
        <v>365</v>
      </c>
      <c r="E556" t="s">
        <v>831</v>
      </c>
      <c r="F556" t="s">
        <v>91</v>
      </c>
      <c r="G556" t="s">
        <v>13</v>
      </c>
      <c r="H556" t="s">
        <v>13</v>
      </c>
      <c r="I556" t="s">
        <v>830</v>
      </c>
      <c r="J556" t="s">
        <v>13</v>
      </c>
      <c r="K556" t="s">
        <v>832</v>
      </c>
      <c r="L556" t="s">
        <v>13</v>
      </c>
      <c r="M556">
        <v>0</v>
      </c>
    </row>
    <row r="557" spans="1:13">
      <c r="A557" t="s">
        <v>833</v>
      </c>
      <c r="B557" t="s">
        <v>834</v>
      </c>
      <c r="C557">
        <v>4650</v>
      </c>
      <c r="D557" t="s">
        <v>835</v>
      </c>
      <c r="E557" t="s">
        <v>108</v>
      </c>
      <c r="F557" t="s">
        <v>836</v>
      </c>
      <c r="G557" t="s">
        <v>110</v>
      </c>
      <c r="H557" t="s">
        <v>13</v>
      </c>
      <c r="I557" t="s">
        <v>837</v>
      </c>
      <c r="J557" t="s">
        <v>13</v>
      </c>
      <c r="K557" t="s">
        <v>13</v>
      </c>
      <c r="L557" t="s">
        <v>13</v>
      </c>
      <c r="M557" t="s">
        <v>13</v>
      </c>
    </row>
    <row r="558" spans="1:13">
      <c r="A558" t="s">
        <v>838</v>
      </c>
      <c r="B558" t="s">
        <v>839</v>
      </c>
      <c r="C558">
        <v>4212</v>
      </c>
      <c r="D558" t="s">
        <v>825</v>
      </c>
      <c r="E558" t="s">
        <v>826</v>
      </c>
      <c r="F558" t="s">
        <v>840</v>
      </c>
      <c r="G558" t="s">
        <v>110</v>
      </c>
      <c r="H558" t="s">
        <v>13</v>
      </c>
      <c r="I558" t="s">
        <v>841</v>
      </c>
      <c r="J558" t="s">
        <v>13</v>
      </c>
      <c r="K558" t="s">
        <v>13</v>
      </c>
      <c r="L558" t="s">
        <v>13</v>
      </c>
      <c r="M558" t="s">
        <v>13</v>
      </c>
    </row>
    <row r="559" spans="1:13">
      <c r="A559" t="s">
        <v>842</v>
      </c>
      <c r="B559">
        <v>0</v>
      </c>
      <c r="C559" t="s">
        <v>13</v>
      </c>
      <c r="D559" t="s">
        <v>13</v>
      </c>
      <c r="E559" t="s">
        <v>13</v>
      </c>
      <c r="F559" t="s">
        <v>13</v>
      </c>
      <c r="G559" t="s">
        <v>13</v>
      </c>
      <c r="H559" t="s">
        <v>13</v>
      </c>
      <c r="I559">
        <v>0</v>
      </c>
      <c r="J559" t="s">
        <v>13</v>
      </c>
      <c r="K559" t="s">
        <v>13</v>
      </c>
      <c r="L559" t="s">
        <v>13</v>
      </c>
      <c r="M559" t="s">
        <v>13</v>
      </c>
    </row>
    <row r="560" spans="1:13">
      <c r="A560" t="s">
        <v>843</v>
      </c>
      <c r="B560" t="s">
        <v>844</v>
      </c>
      <c r="C560" t="s">
        <v>123</v>
      </c>
      <c r="D560" t="s">
        <v>177</v>
      </c>
      <c r="E560" t="s">
        <v>125</v>
      </c>
      <c r="F560" t="s">
        <v>845</v>
      </c>
      <c r="G560" t="s">
        <v>13</v>
      </c>
      <c r="H560" t="s">
        <v>13</v>
      </c>
      <c r="I560" t="s">
        <v>844</v>
      </c>
      <c r="J560" t="s">
        <v>13</v>
      </c>
      <c r="K560" t="s">
        <v>846</v>
      </c>
      <c r="L560" t="s">
        <v>13</v>
      </c>
      <c r="M560" t="s">
        <v>198</v>
      </c>
    </row>
    <row r="561" spans="1:13">
      <c r="A561" t="s">
        <v>847</v>
      </c>
      <c r="B561" t="s">
        <v>848</v>
      </c>
      <c r="C561" t="s">
        <v>123</v>
      </c>
      <c r="D561" t="s">
        <v>177</v>
      </c>
      <c r="E561" t="s">
        <v>285</v>
      </c>
      <c r="F561" t="s">
        <v>849</v>
      </c>
      <c r="G561" t="s">
        <v>13</v>
      </c>
      <c r="H561" t="s">
        <v>13</v>
      </c>
      <c r="I561" t="s">
        <v>848</v>
      </c>
      <c r="J561" t="s">
        <v>13</v>
      </c>
      <c r="K561" t="s">
        <v>850</v>
      </c>
      <c r="L561" t="s">
        <v>13</v>
      </c>
      <c r="M561" t="s">
        <v>128</v>
      </c>
    </row>
    <row r="562" spans="1:13">
      <c r="A562" t="s">
        <v>851</v>
      </c>
      <c r="B562" t="s">
        <v>852</v>
      </c>
      <c r="C562" t="s">
        <v>16</v>
      </c>
      <c r="D562" t="s">
        <v>205</v>
      </c>
      <c r="E562" t="s">
        <v>206</v>
      </c>
      <c r="F562">
        <v>0</v>
      </c>
      <c r="G562" t="s">
        <v>853</v>
      </c>
      <c r="H562" t="s">
        <v>13</v>
      </c>
      <c r="I562">
        <v>0</v>
      </c>
      <c r="J562" t="s">
        <v>91</v>
      </c>
      <c r="K562">
        <v>44903</v>
      </c>
      <c r="L562" t="s">
        <v>13</v>
      </c>
      <c r="M562" t="s">
        <v>13</v>
      </c>
    </row>
    <row r="563" spans="1:13">
      <c r="A563" t="s">
        <v>851</v>
      </c>
      <c r="B563" t="s">
        <v>852</v>
      </c>
      <c r="C563" t="s">
        <v>16</v>
      </c>
      <c r="D563" t="s">
        <v>205</v>
      </c>
      <c r="E563" t="s">
        <v>206</v>
      </c>
      <c r="F563">
        <v>0</v>
      </c>
      <c r="G563" t="s">
        <v>853</v>
      </c>
      <c r="H563" t="s">
        <v>13</v>
      </c>
      <c r="I563">
        <v>0</v>
      </c>
      <c r="J563" t="s">
        <v>91</v>
      </c>
      <c r="K563">
        <v>44903</v>
      </c>
      <c r="L563" t="s">
        <v>13</v>
      </c>
      <c r="M563" t="s">
        <v>13</v>
      </c>
    </row>
    <row r="564" spans="1:13">
      <c r="A564" t="s">
        <v>851</v>
      </c>
      <c r="B564" t="s">
        <v>852</v>
      </c>
      <c r="C564" t="s">
        <v>16</v>
      </c>
      <c r="D564" t="s">
        <v>205</v>
      </c>
      <c r="E564" t="s">
        <v>206</v>
      </c>
      <c r="F564">
        <v>0</v>
      </c>
      <c r="G564" t="s">
        <v>853</v>
      </c>
      <c r="H564" t="s">
        <v>13</v>
      </c>
      <c r="I564">
        <v>0</v>
      </c>
      <c r="J564" t="s">
        <v>91</v>
      </c>
      <c r="K564">
        <v>44903</v>
      </c>
      <c r="L564" t="s">
        <v>13</v>
      </c>
      <c r="M564" t="s">
        <v>13</v>
      </c>
    </row>
    <row r="565" spans="1:13">
      <c r="A565" t="s">
        <v>854</v>
      </c>
      <c r="B565" t="s">
        <v>855</v>
      </c>
      <c r="C565" t="s">
        <v>86</v>
      </c>
      <c r="D565" t="s">
        <v>856</v>
      </c>
      <c r="E565" t="s">
        <v>857</v>
      </c>
      <c r="F565" t="s">
        <v>89</v>
      </c>
      <c r="G565" t="s">
        <v>13</v>
      </c>
      <c r="H565" t="s">
        <v>858</v>
      </c>
      <c r="I565" t="s">
        <v>13</v>
      </c>
      <c r="J565" t="s">
        <v>91</v>
      </c>
      <c r="K565" s="236" t="s">
        <v>859</v>
      </c>
      <c r="L565" t="s">
        <v>860</v>
      </c>
      <c r="M565" t="s">
        <v>13</v>
      </c>
    </row>
    <row r="566" spans="1:13">
      <c r="A566" t="s">
        <v>861</v>
      </c>
      <c r="B566" t="s">
        <v>862</v>
      </c>
      <c r="C566" t="s">
        <v>602</v>
      </c>
      <c r="D566" t="s">
        <v>863</v>
      </c>
      <c r="E566" t="s">
        <v>864</v>
      </c>
      <c r="F566" t="s">
        <v>13</v>
      </c>
      <c r="G566" t="s">
        <v>13</v>
      </c>
      <c r="H566" t="s">
        <v>13</v>
      </c>
      <c r="I566">
        <v>0</v>
      </c>
      <c r="J566" t="s">
        <v>13</v>
      </c>
      <c r="K566" t="s">
        <v>13</v>
      </c>
      <c r="L566" t="s">
        <v>13</v>
      </c>
      <c r="M566" t="s">
        <v>13</v>
      </c>
    </row>
    <row r="567" spans="1:13">
      <c r="A567" t="s">
        <v>865</v>
      </c>
      <c r="B567" t="s">
        <v>866</v>
      </c>
      <c r="C567" t="s">
        <v>16</v>
      </c>
      <c r="D567" t="s">
        <v>205</v>
      </c>
      <c r="E567" t="s">
        <v>206</v>
      </c>
      <c r="F567">
        <v>0</v>
      </c>
      <c r="G567" t="s">
        <v>207</v>
      </c>
      <c r="H567" t="s">
        <v>13</v>
      </c>
      <c r="I567">
        <v>0</v>
      </c>
      <c r="J567" t="s">
        <v>91</v>
      </c>
      <c r="K567" t="s">
        <v>867</v>
      </c>
      <c r="L567" t="s">
        <v>13</v>
      </c>
      <c r="M567" t="s">
        <v>13</v>
      </c>
    </row>
    <row r="568" spans="1:13">
      <c r="A568" t="s">
        <v>865</v>
      </c>
      <c r="B568" t="s">
        <v>866</v>
      </c>
      <c r="C568" t="s">
        <v>16</v>
      </c>
      <c r="D568" t="s">
        <v>205</v>
      </c>
      <c r="E568" t="s">
        <v>206</v>
      </c>
      <c r="F568">
        <v>0</v>
      </c>
      <c r="G568" t="s">
        <v>207</v>
      </c>
      <c r="H568" t="s">
        <v>13</v>
      </c>
      <c r="I568">
        <v>0</v>
      </c>
      <c r="J568" t="s">
        <v>91</v>
      </c>
      <c r="K568" t="s">
        <v>867</v>
      </c>
      <c r="L568" t="s">
        <v>13</v>
      </c>
      <c r="M568" t="s">
        <v>13</v>
      </c>
    </row>
    <row r="569" spans="1:13">
      <c r="A569" t="s">
        <v>865</v>
      </c>
      <c r="B569" t="s">
        <v>866</v>
      </c>
      <c r="C569" t="s">
        <v>16</v>
      </c>
      <c r="D569" t="s">
        <v>205</v>
      </c>
      <c r="E569" t="s">
        <v>206</v>
      </c>
      <c r="F569">
        <v>0</v>
      </c>
      <c r="G569" t="s">
        <v>207</v>
      </c>
      <c r="H569" t="s">
        <v>13</v>
      </c>
      <c r="I569">
        <v>0</v>
      </c>
      <c r="J569" t="s">
        <v>91</v>
      </c>
      <c r="K569" t="s">
        <v>867</v>
      </c>
      <c r="L569" t="s">
        <v>13</v>
      </c>
      <c r="M569" t="s">
        <v>13</v>
      </c>
    </row>
    <row r="570" spans="1:13">
      <c r="A570" t="s">
        <v>868</v>
      </c>
      <c r="B570">
        <v>0</v>
      </c>
      <c r="C570" t="s">
        <v>16</v>
      </c>
      <c r="D570" t="s">
        <v>169</v>
      </c>
      <c r="E570" t="s">
        <v>169</v>
      </c>
      <c r="F570">
        <v>0</v>
      </c>
      <c r="G570">
        <v>0</v>
      </c>
      <c r="H570" t="s">
        <v>13</v>
      </c>
      <c r="I570">
        <v>0</v>
      </c>
      <c r="J570" t="s">
        <v>473</v>
      </c>
      <c r="K570" t="s">
        <v>869</v>
      </c>
      <c r="L570" t="s">
        <v>13</v>
      </c>
      <c r="M570" t="s">
        <v>479</v>
      </c>
    </row>
    <row r="571" spans="1:13">
      <c r="A571" t="s">
        <v>868</v>
      </c>
      <c r="B571">
        <v>0</v>
      </c>
      <c r="C571" t="s">
        <v>16</v>
      </c>
      <c r="D571" t="s">
        <v>169</v>
      </c>
      <c r="E571" t="s">
        <v>169</v>
      </c>
      <c r="F571">
        <v>0</v>
      </c>
      <c r="G571">
        <v>0</v>
      </c>
      <c r="H571" t="s">
        <v>13</v>
      </c>
      <c r="I571">
        <v>0</v>
      </c>
      <c r="J571" t="s">
        <v>473</v>
      </c>
      <c r="K571" t="s">
        <v>869</v>
      </c>
      <c r="L571" t="s">
        <v>13</v>
      </c>
      <c r="M571" t="s">
        <v>479</v>
      </c>
    </row>
    <row r="572" spans="1:13">
      <c r="A572" t="s">
        <v>868</v>
      </c>
      <c r="B572">
        <v>0</v>
      </c>
      <c r="C572" t="s">
        <v>16</v>
      </c>
      <c r="D572" t="s">
        <v>169</v>
      </c>
      <c r="E572" t="s">
        <v>169</v>
      </c>
      <c r="F572">
        <v>0</v>
      </c>
      <c r="G572">
        <v>0</v>
      </c>
      <c r="H572" t="s">
        <v>13</v>
      </c>
      <c r="I572">
        <v>0</v>
      </c>
      <c r="J572" t="s">
        <v>473</v>
      </c>
      <c r="K572" t="s">
        <v>869</v>
      </c>
      <c r="L572" t="s">
        <v>13</v>
      </c>
      <c r="M572" t="s">
        <v>479</v>
      </c>
    </row>
    <row r="573" spans="1:13">
      <c r="A573" t="s">
        <v>868</v>
      </c>
      <c r="B573">
        <v>0</v>
      </c>
      <c r="C573" t="s">
        <v>16</v>
      </c>
      <c r="D573" t="s">
        <v>169</v>
      </c>
      <c r="E573" t="s">
        <v>169</v>
      </c>
      <c r="F573">
        <v>0</v>
      </c>
      <c r="G573">
        <v>0</v>
      </c>
      <c r="H573" t="s">
        <v>13</v>
      </c>
      <c r="I573">
        <v>0</v>
      </c>
      <c r="J573" t="s">
        <v>473</v>
      </c>
      <c r="K573" t="s">
        <v>869</v>
      </c>
      <c r="L573" t="s">
        <v>13</v>
      </c>
      <c r="M573" t="s">
        <v>479</v>
      </c>
    </row>
    <row r="574" spans="1:13">
      <c r="A574" t="s">
        <v>868</v>
      </c>
      <c r="B574">
        <v>0</v>
      </c>
      <c r="C574" t="s">
        <v>16</v>
      </c>
      <c r="D574" t="s">
        <v>169</v>
      </c>
      <c r="E574" t="s">
        <v>169</v>
      </c>
      <c r="F574">
        <v>0</v>
      </c>
      <c r="G574">
        <v>0</v>
      </c>
      <c r="H574" t="s">
        <v>13</v>
      </c>
      <c r="I574">
        <v>0</v>
      </c>
      <c r="J574" t="s">
        <v>473</v>
      </c>
      <c r="K574" t="s">
        <v>869</v>
      </c>
      <c r="L574" t="s">
        <v>13</v>
      </c>
      <c r="M574" t="s">
        <v>479</v>
      </c>
    </row>
    <row r="575" spans="1:13">
      <c r="A575" t="s">
        <v>868</v>
      </c>
      <c r="B575">
        <v>0</v>
      </c>
      <c r="C575" t="s">
        <v>16</v>
      </c>
      <c r="D575" t="s">
        <v>169</v>
      </c>
      <c r="E575" t="s">
        <v>169</v>
      </c>
      <c r="F575">
        <v>0</v>
      </c>
      <c r="G575">
        <v>0</v>
      </c>
      <c r="H575" t="s">
        <v>13</v>
      </c>
      <c r="I575">
        <v>0</v>
      </c>
      <c r="J575" t="s">
        <v>473</v>
      </c>
      <c r="K575" t="s">
        <v>869</v>
      </c>
      <c r="L575" t="s">
        <v>13</v>
      </c>
      <c r="M575" t="s">
        <v>479</v>
      </c>
    </row>
    <row r="576" spans="1:13">
      <c r="A576" t="s">
        <v>870</v>
      </c>
      <c r="B576" t="s">
        <v>871</v>
      </c>
      <c r="C576" t="s">
        <v>16</v>
      </c>
      <c r="D576" t="s">
        <v>205</v>
      </c>
      <c r="E576" t="s">
        <v>206</v>
      </c>
      <c r="F576">
        <v>0</v>
      </c>
      <c r="G576" t="s">
        <v>636</v>
      </c>
      <c r="H576" t="s">
        <v>13</v>
      </c>
      <c r="I576">
        <v>0</v>
      </c>
      <c r="J576" t="s">
        <v>91</v>
      </c>
      <c r="K576" t="s">
        <v>872</v>
      </c>
      <c r="L576" t="s">
        <v>13</v>
      </c>
      <c r="M576" t="s">
        <v>13</v>
      </c>
    </row>
    <row r="577" spans="1:13">
      <c r="A577" t="s">
        <v>870</v>
      </c>
      <c r="B577" t="s">
        <v>871</v>
      </c>
      <c r="C577" t="s">
        <v>16</v>
      </c>
      <c r="D577" t="s">
        <v>205</v>
      </c>
      <c r="E577" t="s">
        <v>206</v>
      </c>
      <c r="F577">
        <v>0</v>
      </c>
      <c r="G577" t="s">
        <v>636</v>
      </c>
      <c r="H577" t="s">
        <v>13</v>
      </c>
      <c r="I577">
        <v>0</v>
      </c>
      <c r="J577" t="s">
        <v>91</v>
      </c>
      <c r="K577" t="s">
        <v>872</v>
      </c>
      <c r="L577" t="s">
        <v>13</v>
      </c>
      <c r="M577" t="s">
        <v>13</v>
      </c>
    </row>
    <row r="578" spans="1:13">
      <c r="A578" t="s">
        <v>870</v>
      </c>
      <c r="B578" t="s">
        <v>871</v>
      </c>
      <c r="C578" t="s">
        <v>16</v>
      </c>
      <c r="D578" t="s">
        <v>205</v>
      </c>
      <c r="E578" t="s">
        <v>206</v>
      </c>
      <c r="F578">
        <v>0</v>
      </c>
      <c r="G578" t="s">
        <v>636</v>
      </c>
      <c r="H578" t="s">
        <v>13</v>
      </c>
      <c r="I578">
        <v>0</v>
      </c>
      <c r="J578" t="s">
        <v>91</v>
      </c>
      <c r="K578" t="s">
        <v>872</v>
      </c>
      <c r="L578" t="s">
        <v>13</v>
      </c>
      <c r="M578" t="s">
        <v>13</v>
      </c>
    </row>
    <row r="579" spans="1:13">
      <c r="A579" t="s">
        <v>873</v>
      </c>
      <c r="B579" t="s">
        <v>874</v>
      </c>
      <c r="C579">
        <v>4670</v>
      </c>
      <c r="D579" t="s">
        <v>107</v>
      </c>
      <c r="E579" t="s">
        <v>108</v>
      </c>
      <c r="F579" t="s">
        <v>875</v>
      </c>
      <c r="G579" t="s">
        <v>110</v>
      </c>
      <c r="H579" t="s">
        <v>13</v>
      </c>
      <c r="I579" t="s">
        <v>876</v>
      </c>
      <c r="J579" t="s">
        <v>13</v>
      </c>
      <c r="K579" t="s">
        <v>13</v>
      </c>
      <c r="L579" t="s">
        <v>13</v>
      </c>
      <c r="M579" t="s">
        <v>13</v>
      </c>
    </row>
    <row r="580" spans="1:13">
      <c r="A580" t="s">
        <v>873</v>
      </c>
      <c r="B580" t="s">
        <v>874</v>
      </c>
      <c r="C580">
        <v>4670</v>
      </c>
      <c r="D580" t="s">
        <v>107</v>
      </c>
      <c r="E580" t="s">
        <v>108</v>
      </c>
      <c r="F580" t="s">
        <v>875</v>
      </c>
      <c r="G580" t="s">
        <v>110</v>
      </c>
      <c r="H580" t="s">
        <v>13</v>
      </c>
      <c r="I580" t="s">
        <v>876</v>
      </c>
      <c r="J580" t="s">
        <v>13</v>
      </c>
      <c r="K580" t="s">
        <v>13</v>
      </c>
      <c r="L580" t="s">
        <v>13</v>
      </c>
      <c r="M580" t="s">
        <v>13</v>
      </c>
    </row>
    <row r="581" spans="1:13">
      <c r="A581" t="s">
        <v>877</v>
      </c>
      <c r="B581" t="s">
        <v>878</v>
      </c>
      <c r="C581" t="s">
        <v>123</v>
      </c>
      <c r="D581" t="s">
        <v>131</v>
      </c>
      <c r="E581" t="s">
        <v>178</v>
      </c>
      <c r="F581" t="s">
        <v>879</v>
      </c>
      <c r="G581" t="s">
        <v>13</v>
      </c>
      <c r="H581" t="s">
        <v>13</v>
      </c>
      <c r="I581" t="s">
        <v>878</v>
      </c>
      <c r="J581" t="s">
        <v>13</v>
      </c>
      <c r="K581" t="s">
        <v>880</v>
      </c>
      <c r="L581" t="s">
        <v>13</v>
      </c>
      <c r="M581" t="s">
        <v>288</v>
      </c>
    </row>
    <row r="582" spans="1:13">
      <c r="A582" t="s">
        <v>881</v>
      </c>
      <c r="B582" t="s">
        <v>882</v>
      </c>
      <c r="C582" t="s">
        <v>123</v>
      </c>
      <c r="D582" t="s">
        <v>299</v>
      </c>
      <c r="E582" t="s">
        <v>883</v>
      </c>
      <c r="F582">
        <v>0</v>
      </c>
      <c r="G582" t="s">
        <v>13</v>
      </c>
      <c r="H582" t="s">
        <v>13</v>
      </c>
      <c r="I582" t="s">
        <v>882</v>
      </c>
      <c r="J582" t="s">
        <v>13</v>
      </c>
      <c r="K582">
        <v>0</v>
      </c>
      <c r="L582" t="s">
        <v>13</v>
      </c>
      <c r="M582">
        <v>0</v>
      </c>
    </row>
    <row r="583" spans="1:13">
      <c r="A583" t="s">
        <v>884</v>
      </c>
      <c r="B583">
        <v>0</v>
      </c>
      <c r="C583" t="s">
        <v>16</v>
      </c>
      <c r="D583" t="s">
        <v>169</v>
      </c>
      <c r="E583" t="s">
        <v>170</v>
      </c>
      <c r="F583" t="s">
        <v>885</v>
      </c>
      <c r="G583" t="s">
        <v>886</v>
      </c>
      <c r="H583" t="s">
        <v>13</v>
      </c>
      <c r="I583" t="s">
        <v>887</v>
      </c>
      <c r="J583" t="s">
        <v>473</v>
      </c>
      <c r="K583" t="s">
        <v>888</v>
      </c>
      <c r="L583" t="s">
        <v>13</v>
      </c>
      <c r="M583" t="s">
        <v>13</v>
      </c>
    </row>
    <row r="584" spans="1:13">
      <c r="A584" t="s">
        <v>889</v>
      </c>
      <c r="B584" t="s">
        <v>890</v>
      </c>
      <c r="C584" t="s">
        <v>123</v>
      </c>
      <c r="D584" t="s">
        <v>124</v>
      </c>
      <c r="E584" t="s">
        <v>458</v>
      </c>
      <c r="F584" t="s">
        <v>891</v>
      </c>
      <c r="G584" t="s">
        <v>13</v>
      </c>
      <c r="H584" t="s">
        <v>13</v>
      </c>
      <c r="I584" t="s">
        <v>890</v>
      </c>
      <c r="J584" t="s">
        <v>13</v>
      </c>
      <c r="K584" t="s">
        <v>892</v>
      </c>
      <c r="L584" t="s">
        <v>13</v>
      </c>
      <c r="M584" t="s">
        <v>198</v>
      </c>
    </row>
    <row r="585" spans="1:13">
      <c r="A585" t="s">
        <v>893</v>
      </c>
      <c r="B585" t="s">
        <v>894</v>
      </c>
      <c r="C585">
        <v>4562</v>
      </c>
      <c r="D585" t="s">
        <v>143</v>
      </c>
      <c r="E585" t="s">
        <v>272</v>
      </c>
      <c r="F585" t="s">
        <v>895</v>
      </c>
      <c r="G585" t="s">
        <v>110</v>
      </c>
      <c r="H585" t="s">
        <v>13</v>
      </c>
      <c r="I585" t="s">
        <v>896</v>
      </c>
      <c r="J585" t="s">
        <v>13</v>
      </c>
      <c r="K585" t="s">
        <v>13</v>
      </c>
      <c r="L585" t="s">
        <v>13</v>
      </c>
      <c r="M585" t="s">
        <v>13</v>
      </c>
    </row>
    <row r="586" spans="1:13">
      <c r="A586" t="s">
        <v>897</v>
      </c>
      <c r="B586">
        <v>0</v>
      </c>
      <c r="C586" t="s">
        <v>16</v>
      </c>
      <c r="D586" t="s">
        <v>169</v>
      </c>
      <c r="E586" t="s">
        <v>170</v>
      </c>
      <c r="F586" t="s">
        <v>898</v>
      </c>
      <c r="G586" t="s">
        <v>899</v>
      </c>
      <c r="H586" t="s">
        <v>13</v>
      </c>
      <c r="I586" t="s">
        <v>900</v>
      </c>
      <c r="J586" t="s">
        <v>473</v>
      </c>
      <c r="K586">
        <v>43989</v>
      </c>
      <c r="L586" t="s">
        <v>13</v>
      </c>
      <c r="M586" t="s">
        <v>13</v>
      </c>
    </row>
    <row r="587" spans="1:13">
      <c r="A587" t="s">
        <v>897</v>
      </c>
      <c r="B587">
        <v>0</v>
      </c>
      <c r="C587" t="s">
        <v>16</v>
      </c>
      <c r="D587" t="s">
        <v>169</v>
      </c>
      <c r="E587" t="s">
        <v>170</v>
      </c>
      <c r="F587" t="s">
        <v>898</v>
      </c>
      <c r="G587" t="s">
        <v>899</v>
      </c>
      <c r="H587" t="s">
        <v>13</v>
      </c>
      <c r="I587" t="s">
        <v>900</v>
      </c>
      <c r="J587" t="s">
        <v>473</v>
      </c>
      <c r="K587">
        <v>43989</v>
      </c>
      <c r="L587" t="s">
        <v>13</v>
      </c>
      <c r="M587" t="s">
        <v>13</v>
      </c>
    </row>
    <row r="588" spans="1:13">
      <c r="A588" t="s">
        <v>897</v>
      </c>
      <c r="B588">
        <v>0</v>
      </c>
      <c r="C588" t="s">
        <v>16</v>
      </c>
      <c r="D588" t="s">
        <v>169</v>
      </c>
      <c r="E588" t="s">
        <v>170</v>
      </c>
      <c r="F588" t="s">
        <v>898</v>
      </c>
      <c r="G588" t="s">
        <v>899</v>
      </c>
      <c r="H588" t="s">
        <v>13</v>
      </c>
      <c r="I588" t="s">
        <v>900</v>
      </c>
      <c r="J588" t="s">
        <v>473</v>
      </c>
      <c r="K588">
        <v>43989</v>
      </c>
      <c r="L588" t="s">
        <v>13</v>
      </c>
      <c r="M588" t="s">
        <v>13</v>
      </c>
    </row>
    <row r="589" spans="1:13">
      <c r="A589" t="s">
        <v>901</v>
      </c>
      <c r="B589" t="s">
        <v>902</v>
      </c>
      <c r="C589" t="s">
        <v>123</v>
      </c>
      <c r="D589" t="s">
        <v>177</v>
      </c>
      <c r="E589" t="s">
        <v>195</v>
      </c>
      <c r="F589" t="s">
        <v>903</v>
      </c>
      <c r="G589" t="s">
        <v>13</v>
      </c>
      <c r="H589" t="s">
        <v>13</v>
      </c>
      <c r="I589" t="s">
        <v>902</v>
      </c>
      <c r="J589" t="s">
        <v>13</v>
      </c>
      <c r="K589" t="s">
        <v>619</v>
      </c>
      <c r="L589" t="s">
        <v>13</v>
      </c>
      <c r="M589">
        <v>0</v>
      </c>
    </row>
    <row r="590" spans="1:13">
      <c r="A590" t="s">
        <v>904</v>
      </c>
      <c r="B590" t="s">
        <v>905</v>
      </c>
      <c r="C590" t="s">
        <v>123</v>
      </c>
      <c r="D590" t="s">
        <v>131</v>
      </c>
      <c r="E590" t="s">
        <v>132</v>
      </c>
      <c r="F590" t="s">
        <v>906</v>
      </c>
      <c r="G590" t="s">
        <v>13</v>
      </c>
      <c r="H590" t="s">
        <v>13</v>
      </c>
      <c r="I590" t="s">
        <v>905</v>
      </c>
      <c r="J590" t="s">
        <v>13</v>
      </c>
      <c r="K590" t="s">
        <v>907</v>
      </c>
      <c r="L590" t="s">
        <v>13</v>
      </c>
      <c r="M590" t="s">
        <v>288</v>
      </c>
    </row>
    <row r="591" spans="1:13">
      <c r="A591" t="s">
        <v>908</v>
      </c>
      <c r="B591" t="s">
        <v>909</v>
      </c>
      <c r="C591">
        <v>4123</v>
      </c>
      <c r="D591" t="s">
        <v>143</v>
      </c>
      <c r="E591" t="s">
        <v>382</v>
      </c>
      <c r="F591" t="s">
        <v>910</v>
      </c>
      <c r="G591" t="s">
        <v>110</v>
      </c>
      <c r="H591" t="s">
        <v>13</v>
      </c>
      <c r="I591" t="s">
        <v>911</v>
      </c>
      <c r="J591" t="s">
        <v>13</v>
      </c>
      <c r="K591" t="s">
        <v>13</v>
      </c>
      <c r="L591" t="s">
        <v>13</v>
      </c>
      <c r="M591" t="s">
        <v>13</v>
      </c>
    </row>
    <row r="592" spans="1:13">
      <c r="A592" t="s">
        <v>912</v>
      </c>
      <c r="B592" t="s">
        <v>913</v>
      </c>
      <c r="C592">
        <v>4123</v>
      </c>
      <c r="D592" t="s">
        <v>143</v>
      </c>
      <c r="E592" t="s">
        <v>382</v>
      </c>
      <c r="F592" t="s">
        <v>914</v>
      </c>
      <c r="G592" t="s">
        <v>110</v>
      </c>
      <c r="H592" t="s">
        <v>13</v>
      </c>
      <c r="I592" t="s">
        <v>915</v>
      </c>
      <c r="J592" t="s">
        <v>13</v>
      </c>
      <c r="K592" t="s">
        <v>13</v>
      </c>
      <c r="L592" t="s">
        <v>13</v>
      </c>
      <c r="M592" t="s">
        <v>13</v>
      </c>
    </row>
    <row r="593" spans="1:13">
      <c r="A593" t="s">
        <v>916</v>
      </c>
      <c r="B593" t="s">
        <v>917</v>
      </c>
      <c r="C593" t="s">
        <v>123</v>
      </c>
      <c r="D593" t="s">
        <v>177</v>
      </c>
      <c r="E593" t="s">
        <v>458</v>
      </c>
      <c r="F593" t="s">
        <v>918</v>
      </c>
      <c r="G593" t="s">
        <v>13</v>
      </c>
      <c r="H593" t="s">
        <v>13</v>
      </c>
      <c r="I593" t="s">
        <v>917</v>
      </c>
      <c r="J593" t="s">
        <v>13</v>
      </c>
      <c r="K593" t="s">
        <v>305</v>
      </c>
      <c r="L593" t="s">
        <v>13</v>
      </c>
      <c r="M593" t="s">
        <v>641</v>
      </c>
    </row>
    <row r="594" spans="1:13">
      <c r="A594" t="s">
        <v>919</v>
      </c>
      <c r="B594" t="s">
        <v>920</v>
      </c>
      <c r="C594" t="s">
        <v>13</v>
      </c>
      <c r="D594" t="s">
        <v>13</v>
      </c>
      <c r="E594" t="s">
        <v>13</v>
      </c>
      <c r="F594" t="s">
        <v>13</v>
      </c>
      <c r="G594" t="s">
        <v>13</v>
      </c>
      <c r="H594" t="s">
        <v>13</v>
      </c>
      <c r="I594" t="s">
        <v>921</v>
      </c>
      <c r="J594" t="s">
        <v>13</v>
      </c>
      <c r="K594" t="s">
        <v>13</v>
      </c>
      <c r="L594" t="s">
        <v>13</v>
      </c>
      <c r="M594" t="s">
        <v>13</v>
      </c>
    </row>
    <row r="595" spans="1:13">
      <c r="A595" t="s">
        <v>922</v>
      </c>
      <c r="B595" t="s">
        <v>923</v>
      </c>
      <c r="C595" t="s">
        <v>602</v>
      </c>
      <c r="D595" t="s">
        <v>677</v>
      </c>
      <c r="E595" t="s">
        <v>678</v>
      </c>
      <c r="F595" t="s">
        <v>13</v>
      </c>
      <c r="G595" t="s">
        <v>13</v>
      </c>
      <c r="H595" t="s">
        <v>13</v>
      </c>
      <c r="I595" t="s">
        <v>924</v>
      </c>
      <c r="J595" t="s">
        <v>13</v>
      </c>
      <c r="K595" t="s">
        <v>13</v>
      </c>
      <c r="L595" t="s">
        <v>13</v>
      </c>
      <c r="M595" t="s">
        <v>13</v>
      </c>
    </row>
    <row r="596" spans="1:13">
      <c r="A596" t="s">
        <v>925</v>
      </c>
      <c r="B596" t="s">
        <v>926</v>
      </c>
      <c r="C596">
        <v>4509</v>
      </c>
      <c r="D596" t="s">
        <v>143</v>
      </c>
      <c r="E596" t="s">
        <v>138</v>
      </c>
      <c r="F596" t="s">
        <v>927</v>
      </c>
      <c r="G596" t="s">
        <v>110</v>
      </c>
      <c r="H596" t="s">
        <v>13</v>
      </c>
      <c r="I596" t="s">
        <v>928</v>
      </c>
      <c r="J596" t="s">
        <v>13</v>
      </c>
      <c r="K596" t="s">
        <v>13</v>
      </c>
      <c r="L596" t="s">
        <v>13</v>
      </c>
      <c r="M596" t="s">
        <v>13</v>
      </c>
    </row>
    <row r="597" spans="1:13">
      <c r="A597" t="s">
        <v>929</v>
      </c>
      <c r="B597">
        <v>0</v>
      </c>
      <c r="C597" t="s">
        <v>16</v>
      </c>
      <c r="D597" t="s">
        <v>169</v>
      </c>
      <c r="E597" t="s">
        <v>170</v>
      </c>
      <c r="F597" t="s">
        <v>930</v>
      </c>
      <c r="G597" t="s">
        <v>931</v>
      </c>
      <c r="H597" t="s">
        <v>13</v>
      </c>
      <c r="I597" t="s">
        <v>932</v>
      </c>
      <c r="J597" t="s">
        <v>174</v>
      </c>
      <c r="K597">
        <v>44203</v>
      </c>
      <c r="L597" t="s">
        <v>13</v>
      </c>
      <c r="M597" t="s">
        <v>13</v>
      </c>
    </row>
    <row r="598" spans="1:13">
      <c r="A598" t="s">
        <v>933</v>
      </c>
      <c r="B598">
        <v>0</v>
      </c>
      <c r="C598" t="s">
        <v>16</v>
      </c>
      <c r="D598" t="s">
        <v>169</v>
      </c>
      <c r="E598" t="s">
        <v>170</v>
      </c>
      <c r="F598" t="s">
        <v>934</v>
      </c>
      <c r="G598" t="s">
        <v>935</v>
      </c>
      <c r="H598" t="s">
        <v>13</v>
      </c>
      <c r="I598" t="s">
        <v>936</v>
      </c>
      <c r="J598" t="s">
        <v>174</v>
      </c>
      <c r="K598">
        <v>43745</v>
      </c>
      <c r="L598" t="s">
        <v>13</v>
      </c>
      <c r="M598" t="s">
        <v>13</v>
      </c>
    </row>
    <row r="599" spans="1:13">
      <c r="A599" t="s">
        <v>937</v>
      </c>
      <c r="B599">
        <v>0</v>
      </c>
      <c r="C599" t="s">
        <v>16</v>
      </c>
      <c r="D599" t="s">
        <v>169</v>
      </c>
      <c r="E599" t="s">
        <v>169</v>
      </c>
      <c r="F599">
        <v>0</v>
      </c>
      <c r="G599">
        <v>0</v>
      </c>
      <c r="H599" t="s">
        <v>13</v>
      </c>
      <c r="I599">
        <v>0</v>
      </c>
      <c r="J599" t="s">
        <v>174</v>
      </c>
      <c r="K599">
        <v>44203</v>
      </c>
      <c r="L599" t="s">
        <v>13</v>
      </c>
      <c r="M599" t="s">
        <v>13</v>
      </c>
    </row>
    <row r="600" spans="1:13">
      <c r="A600" t="s">
        <v>938</v>
      </c>
      <c r="B600">
        <v>0</v>
      </c>
      <c r="C600" t="s">
        <v>16</v>
      </c>
      <c r="D600" t="s">
        <v>169</v>
      </c>
      <c r="E600" t="s">
        <v>170</v>
      </c>
      <c r="F600" t="s">
        <v>939</v>
      </c>
      <c r="G600" t="s">
        <v>940</v>
      </c>
      <c r="H600">
        <v>0</v>
      </c>
      <c r="I600" t="s">
        <v>941</v>
      </c>
      <c r="J600" t="s">
        <v>473</v>
      </c>
      <c r="K600">
        <v>44297</v>
      </c>
      <c r="L600">
        <v>0</v>
      </c>
      <c r="M600" t="s">
        <v>13</v>
      </c>
    </row>
    <row r="601" spans="1:13">
      <c r="A601" t="s">
        <v>938</v>
      </c>
      <c r="B601">
        <v>0</v>
      </c>
      <c r="C601" t="s">
        <v>16</v>
      </c>
      <c r="D601" t="s">
        <v>169</v>
      </c>
      <c r="E601" t="s">
        <v>170</v>
      </c>
      <c r="F601" t="s">
        <v>939</v>
      </c>
      <c r="G601" t="s">
        <v>940</v>
      </c>
      <c r="H601">
        <v>0</v>
      </c>
      <c r="I601" t="s">
        <v>941</v>
      </c>
      <c r="J601" t="s">
        <v>473</v>
      </c>
      <c r="K601">
        <v>44297</v>
      </c>
      <c r="L601">
        <v>0</v>
      </c>
      <c r="M601" t="s">
        <v>13</v>
      </c>
    </row>
    <row r="602" spans="1:13">
      <c r="A602" t="s">
        <v>938</v>
      </c>
      <c r="B602">
        <v>0</v>
      </c>
      <c r="C602" t="s">
        <v>16</v>
      </c>
      <c r="D602" t="s">
        <v>169</v>
      </c>
      <c r="E602" t="s">
        <v>170</v>
      </c>
      <c r="F602" t="s">
        <v>939</v>
      </c>
      <c r="G602" t="s">
        <v>940</v>
      </c>
      <c r="H602">
        <v>0</v>
      </c>
      <c r="I602" t="s">
        <v>941</v>
      </c>
      <c r="J602" t="s">
        <v>473</v>
      </c>
      <c r="K602">
        <v>44297</v>
      </c>
      <c r="L602">
        <v>0</v>
      </c>
      <c r="M602" t="s">
        <v>13</v>
      </c>
    </row>
    <row r="603" spans="1:13">
      <c r="A603" t="s">
        <v>938</v>
      </c>
      <c r="B603">
        <v>0</v>
      </c>
      <c r="C603" t="s">
        <v>16</v>
      </c>
      <c r="D603" t="s">
        <v>169</v>
      </c>
      <c r="E603" t="s">
        <v>170</v>
      </c>
      <c r="F603" t="s">
        <v>939</v>
      </c>
      <c r="G603" t="s">
        <v>940</v>
      </c>
      <c r="H603">
        <v>0</v>
      </c>
      <c r="I603" t="s">
        <v>941</v>
      </c>
      <c r="J603" t="s">
        <v>473</v>
      </c>
      <c r="K603">
        <v>44297</v>
      </c>
      <c r="L603">
        <v>0</v>
      </c>
      <c r="M603" t="s">
        <v>13</v>
      </c>
    </row>
    <row r="604" spans="1:13">
      <c r="A604" t="s">
        <v>938</v>
      </c>
      <c r="B604">
        <v>0</v>
      </c>
      <c r="C604" t="s">
        <v>16</v>
      </c>
      <c r="D604" t="s">
        <v>169</v>
      </c>
      <c r="E604" t="s">
        <v>170</v>
      </c>
      <c r="F604" t="s">
        <v>939</v>
      </c>
      <c r="G604" t="s">
        <v>940</v>
      </c>
      <c r="H604">
        <v>0</v>
      </c>
      <c r="I604" t="s">
        <v>941</v>
      </c>
      <c r="J604" t="s">
        <v>473</v>
      </c>
      <c r="K604">
        <v>44297</v>
      </c>
      <c r="L604">
        <v>0</v>
      </c>
      <c r="M604" t="s">
        <v>13</v>
      </c>
    </row>
    <row r="605" spans="1:13">
      <c r="A605" t="s">
        <v>938</v>
      </c>
      <c r="B605">
        <v>0</v>
      </c>
      <c r="C605" t="s">
        <v>16</v>
      </c>
      <c r="D605" t="s">
        <v>169</v>
      </c>
      <c r="E605" t="s">
        <v>170</v>
      </c>
      <c r="F605" t="s">
        <v>939</v>
      </c>
      <c r="G605" t="s">
        <v>940</v>
      </c>
      <c r="H605">
        <v>0</v>
      </c>
      <c r="I605" t="s">
        <v>941</v>
      </c>
      <c r="J605" t="s">
        <v>473</v>
      </c>
      <c r="K605">
        <v>44297</v>
      </c>
      <c r="L605">
        <v>0</v>
      </c>
      <c r="M605" t="s">
        <v>13</v>
      </c>
    </row>
    <row r="606" spans="1:13">
      <c r="A606" t="s">
        <v>938</v>
      </c>
      <c r="B606">
        <v>0</v>
      </c>
      <c r="C606" t="s">
        <v>16</v>
      </c>
      <c r="D606" t="s">
        <v>169</v>
      </c>
      <c r="E606" t="s">
        <v>170</v>
      </c>
      <c r="F606" t="s">
        <v>939</v>
      </c>
      <c r="G606" t="s">
        <v>940</v>
      </c>
      <c r="H606">
        <v>0</v>
      </c>
      <c r="I606" t="s">
        <v>941</v>
      </c>
      <c r="J606" t="s">
        <v>473</v>
      </c>
      <c r="K606">
        <v>44297</v>
      </c>
      <c r="L606">
        <v>0</v>
      </c>
      <c r="M606" t="s">
        <v>13</v>
      </c>
    </row>
    <row r="607" spans="1:13">
      <c r="A607" t="s">
        <v>938</v>
      </c>
      <c r="B607">
        <v>0</v>
      </c>
      <c r="C607" t="s">
        <v>16</v>
      </c>
      <c r="D607" t="s">
        <v>169</v>
      </c>
      <c r="E607" t="s">
        <v>170</v>
      </c>
      <c r="F607" t="s">
        <v>939</v>
      </c>
      <c r="G607" t="s">
        <v>940</v>
      </c>
      <c r="H607">
        <v>0</v>
      </c>
      <c r="I607" t="s">
        <v>941</v>
      </c>
      <c r="J607" t="s">
        <v>473</v>
      </c>
      <c r="K607">
        <v>44297</v>
      </c>
      <c r="L607">
        <v>0</v>
      </c>
      <c r="M607" t="s">
        <v>13</v>
      </c>
    </row>
    <row r="608" spans="1:13">
      <c r="A608" t="s">
        <v>938</v>
      </c>
      <c r="B608">
        <v>0</v>
      </c>
      <c r="C608" t="s">
        <v>16</v>
      </c>
      <c r="D608" t="s">
        <v>169</v>
      </c>
      <c r="E608" t="s">
        <v>170</v>
      </c>
      <c r="F608" t="s">
        <v>939</v>
      </c>
      <c r="G608" t="s">
        <v>940</v>
      </c>
      <c r="H608">
        <v>0</v>
      </c>
      <c r="I608" t="s">
        <v>941</v>
      </c>
      <c r="J608" t="s">
        <v>473</v>
      </c>
      <c r="K608">
        <v>44297</v>
      </c>
      <c r="L608">
        <v>0</v>
      </c>
      <c r="M608" t="s">
        <v>13</v>
      </c>
    </row>
    <row r="609" spans="1:13">
      <c r="A609" t="s">
        <v>938</v>
      </c>
      <c r="B609">
        <v>0</v>
      </c>
      <c r="C609" t="s">
        <v>16</v>
      </c>
      <c r="D609" t="s">
        <v>169</v>
      </c>
      <c r="E609" t="s">
        <v>170</v>
      </c>
      <c r="F609" t="s">
        <v>939</v>
      </c>
      <c r="G609" t="s">
        <v>940</v>
      </c>
      <c r="H609">
        <v>0</v>
      </c>
      <c r="I609" t="s">
        <v>941</v>
      </c>
      <c r="J609" t="s">
        <v>473</v>
      </c>
      <c r="K609">
        <v>44297</v>
      </c>
      <c r="L609">
        <v>0</v>
      </c>
      <c r="M609" t="s">
        <v>13</v>
      </c>
    </row>
    <row r="610" spans="1:13">
      <c r="A610" t="s">
        <v>938</v>
      </c>
      <c r="B610">
        <v>0</v>
      </c>
      <c r="C610" t="s">
        <v>16</v>
      </c>
      <c r="D610" t="s">
        <v>169</v>
      </c>
      <c r="E610" t="s">
        <v>170</v>
      </c>
      <c r="F610" t="s">
        <v>939</v>
      </c>
      <c r="G610" t="s">
        <v>940</v>
      </c>
      <c r="H610">
        <v>0</v>
      </c>
      <c r="I610" t="s">
        <v>941</v>
      </c>
      <c r="J610" t="s">
        <v>473</v>
      </c>
      <c r="K610">
        <v>44297</v>
      </c>
      <c r="L610">
        <v>0</v>
      </c>
      <c r="M610" t="s">
        <v>13</v>
      </c>
    </row>
    <row r="611" spans="1:13">
      <c r="A611" t="s">
        <v>938</v>
      </c>
      <c r="B611">
        <v>0</v>
      </c>
      <c r="C611" t="s">
        <v>16</v>
      </c>
      <c r="D611" t="s">
        <v>169</v>
      </c>
      <c r="E611" t="s">
        <v>170</v>
      </c>
      <c r="F611" t="s">
        <v>939</v>
      </c>
      <c r="G611" t="s">
        <v>940</v>
      </c>
      <c r="H611">
        <v>0</v>
      </c>
      <c r="I611" t="s">
        <v>941</v>
      </c>
      <c r="J611" t="s">
        <v>473</v>
      </c>
      <c r="K611">
        <v>44297</v>
      </c>
      <c r="L611">
        <v>0</v>
      </c>
      <c r="M611" t="s">
        <v>13</v>
      </c>
    </row>
    <row r="612" spans="1:13">
      <c r="A612" t="s">
        <v>938</v>
      </c>
      <c r="B612">
        <v>0</v>
      </c>
      <c r="C612" t="s">
        <v>16</v>
      </c>
      <c r="D612" t="s">
        <v>169</v>
      </c>
      <c r="E612" t="s">
        <v>170</v>
      </c>
      <c r="F612" t="s">
        <v>939</v>
      </c>
      <c r="G612" t="s">
        <v>940</v>
      </c>
      <c r="H612">
        <v>0</v>
      </c>
      <c r="I612" t="s">
        <v>941</v>
      </c>
      <c r="J612" t="s">
        <v>473</v>
      </c>
      <c r="K612">
        <v>44297</v>
      </c>
      <c r="L612">
        <v>0</v>
      </c>
      <c r="M612" t="s">
        <v>13</v>
      </c>
    </row>
    <row r="613" spans="1:13">
      <c r="A613" t="s">
        <v>938</v>
      </c>
      <c r="B613">
        <v>0</v>
      </c>
      <c r="C613" t="s">
        <v>16</v>
      </c>
      <c r="D613" t="s">
        <v>169</v>
      </c>
      <c r="E613" t="s">
        <v>170</v>
      </c>
      <c r="F613" t="s">
        <v>939</v>
      </c>
      <c r="G613" t="s">
        <v>940</v>
      </c>
      <c r="H613">
        <v>0</v>
      </c>
      <c r="I613" t="s">
        <v>941</v>
      </c>
      <c r="J613" t="s">
        <v>473</v>
      </c>
      <c r="K613">
        <v>44297</v>
      </c>
      <c r="L613">
        <v>0</v>
      </c>
      <c r="M613" t="s">
        <v>13</v>
      </c>
    </row>
    <row r="614" spans="1:13">
      <c r="A614" t="s">
        <v>938</v>
      </c>
      <c r="B614">
        <v>0</v>
      </c>
      <c r="C614" t="s">
        <v>16</v>
      </c>
      <c r="D614" t="s">
        <v>169</v>
      </c>
      <c r="E614" t="s">
        <v>170</v>
      </c>
      <c r="F614" t="s">
        <v>939</v>
      </c>
      <c r="G614" t="s">
        <v>940</v>
      </c>
      <c r="H614">
        <v>0</v>
      </c>
      <c r="I614" t="s">
        <v>941</v>
      </c>
      <c r="J614" t="s">
        <v>473</v>
      </c>
      <c r="K614">
        <v>44297</v>
      </c>
      <c r="L614">
        <v>0</v>
      </c>
      <c r="M614" t="s">
        <v>13</v>
      </c>
    </row>
    <row r="615" spans="1:13">
      <c r="A615" t="s">
        <v>938</v>
      </c>
      <c r="B615">
        <v>0</v>
      </c>
      <c r="C615" t="s">
        <v>16</v>
      </c>
      <c r="D615" t="s">
        <v>169</v>
      </c>
      <c r="E615" t="s">
        <v>170</v>
      </c>
      <c r="F615" t="s">
        <v>939</v>
      </c>
      <c r="G615" t="s">
        <v>940</v>
      </c>
      <c r="H615">
        <v>0</v>
      </c>
      <c r="I615" t="s">
        <v>941</v>
      </c>
      <c r="J615" t="s">
        <v>473</v>
      </c>
      <c r="K615">
        <v>44297</v>
      </c>
      <c r="L615">
        <v>0</v>
      </c>
      <c r="M615" t="s">
        <v>13</v>
      </c>
    </row>
    <row r="616" spans="1:13">
      <c r="A616" t="s">
        <v>938</v>
      </c>
      <c r="B616">
        <v>0</v>
      </c>
      <c r="C616" t="s">
        <v>16</v>
      </c>
      <c r="D616" t="s">
        <v>169</v>
      </c>
      <c r="E616" t="s">
        <v>170</v>
      </c>
      <c r="F616" t="s">
        <v>939</v>
      </c>
      <c r="G616" t="s">
        <v>940</v>
      </c>
      <c r="H616">
        <v>0</v>
      </c>
      <c r="I616" t="s">
        <v>941</v>
      </c>
      <c r="J616" t="s">
        <v>473</v>
      </c>
      <c r="K616">
        <v>44297</v>
      </c>
      <c r="L616">
        <v>0</v>
      </c>
      <c r="M616" t="s">
        <v>13</v>
      </c>
    </row>
    <row r="617" spans="1:13">
      <c r="A617" t="s">
        <v>938</v>
      </c>
      <c r="B617">
        <v>0</v>
      </c>
      <c r="C617" t="s">
        <v>16</v>
      </c>
      <c r="D617" t="s">
        <v>169</v>
      </c>
      <c r="E617" t="s">
        <v>170</v>
      </c>
      <c r="F617" t="s">
        <v>939</v>
      </c>
      <c r="G617" t="s">
        <v>940</v>
      </c>
      <c r="H617">
        <v>0</v>
      </c>
      <c r="I617" t="s">
        <v>941</v>
      </c>
      <c r="J617" t="s">
        <v>473</v>
      </c>
      <c r="K617">
        <v>44297</v>
      </c>
      <c r="L617">
        <v>0</v>
      </c>
      <c r="M617" t="s">
        <v>13</v>
      </c>
    </row>
    <row r="618" spans="1:13">
      <c r="A618" t="s">
        <v>942</v>
      </c>
      <c r="B618" t="s">
        <v>943</v>
      </c>
      <c r="C618" t="s">
        <v>123</v>
      </c>
      <c r="D618" t="s">
        <v>124</v>
      </c>
      <c r="E618" t="s">
        <v>458</v>
      </c>
      <c r="F618" t="s">
        <v>944</v>
      </c>
      <c r="G618" t="s">
        <v>13</v>
      </c>
      <c r="H618" t="s">
        <v>13</v>
      </c>
      <c r="I618" t="s">
        <v>943</v>
      </c>
      <c r="J618" t="s">
        <v>13</v>
      </c>
      <c r="K618" t="s">
        <v>945</v>
      </c>
      <c r="L618" t="s">
        <v>13</v>
      </c>
      <c r="M618" t="s">
        <v>946</v>
      </c>
    </row>
    <row r="619" spans="1:13">
      <c r="A619" t="s">
        <v>947</v>
      </c>
      <c r="B619">
        <v>0</v>
      </c>
      <c r="C619" t="s">
        <v>16</v>
      </c>
      <c r="D619" t="s">
        <v>169</v>
      </c>
      <c r="E619" t="s">
        <v>170</v>
      </c>
      <c r="F619" t="s">
        <v>948</v>
      </c>
      <c r="G619" t="s">
        <v>949</v>
      </c>
      <c r="H619" t="s">
        <v>13</v>
      </c>
      <c r="I619" t="s">
        <v>950</v>
      </c>
      <c r="J619" t="s">
        <v>473</v>
      </c>
      <c r="K619">
        <v>43314</v>
      </c>
      <c r="L619" t="s">
        <v>13</v>
      </c>
      <c r="M619" t="s">
        <v>13</v>
      </c>
    </row>
    <row r="620" spans="1:13">
      <c r="A620" t="s">
        <v>951</v>
      </c>
      <c r="B620" t="s">
        <v>952</v>
      </c>
      <c r="C620">
        <v>4300</v>
      </c>
      <c r="D620" t="s">
        <v>143</v>
      </c>
      <c r="E620" t="s">
        <v>382</v>
      </c>
      <c r="F620" t="s">
        <v>953</v>
      </c>
      <c r="G620" t="s">
        <v>110</v>
      </c>
      <c r="H620" t="s">
        <v>13</v>
      </c>
      <c r="I620" t="s">
        <v>954</v>
      </c>
      <c r="J620" t="s">
        <v>13</v>
      </c>
      <c r="K620" t="s">
        <v>13</v>
      </c>
      <c r="L620" t="s">
        <v>13</v>
      </c>
      <c r="M620" t="s">
        <v>13</v>
      </c>
    </row>
    <row r="621" spans="1:13">
      <c r="A621" t="s">
        <v>955</v>
      </c>
      <c r="B621" t="s">
        <v>956</v>
      </c>
      <c r="C621" t="s">
        <v>123</v>
      </c>
      <c r="D621" t="s">
        <v>957</v>
      </c>
      <c r="E621" t="s">
        <v>958</v>
      </c>
      <c r="F621">
        <v>0</v>
      </c>
      <c r="G621" t="s">
        <v>13</v>
      </c>
      <c r="H621" t="s">
        <v>13</v>
      </c>
      <c r="I621" t="s">
        <v>956</v>
      </c>
      <c r="J621" t="s">
        <v>13</v>
      </c>
      <c r="K621">
        <v>0</v>
      </c>
      <c r="L621" t="s">
        <v>13</v>
      </c>
      <c r="M621">
        <v>0</v>
      </c>
    </row>
    <row r="622" spans="1:13">
      <c r="A622" t="s">
        <v>959</v>
      </c>
      <c r="B622" t="s">
        <v>960</v>
      </c>
      <c r="C622" t="s">
        <v>123</v>
      </c>
      <c r="D622" t="s">
        <v>177</v>
      </c>
      <c r="E622" t="s">
        <v>458</v>
      </c>
      <c r="F622" t="s">
        <v>961</v>
      </c>
      <c r="G622" t="s">
        <v>13</v>
      </c>
      <c r="H622" t="s">
        <v>13</v>
      </c>
      <c r="I622" t="s">
        <v>960</v>
      </c>
      <c r="J622" t="s">
        <v>13</v>
      </c>
      <c r="K622" t="s">
        <v>962</v>
      </c>
      <c r="L622" t="s">
        <v>13</v>
      </c>
      <c r="M622">
        <v>0</v>
      </c>
    </row>
    <row r="623" spans="1:13">
      <c r="A623" t="s">
        <v>963</v>
      </c>
      <c r="B623" t="s">
        <v>571</v>
      </c>
      <c r="C623" t="s">
        <v>16</v>
      </c>
      <c r="D623" t="s">
        <v>169</v>
      </c>
      <c r="E623" t="s">
        <v>169</v>
      </c>
      <c r="F623">
        <v>0</v>
      </c>
      <c r="G623">
        <v>0</v>
      </c>
      <c r="H623" t="s">
        <v>13</v>
      </c>
      <c r="I623">
        <v>0</v>
      </c>
      <c r="J623" t="s">
        <v>91</v>
      </c>
      <c r="K623" t="s">
        <v>964</v>
      </c>
      <c r="L623" t="s">
        <v>13</v>
      </c>
      <c r="M623" t="s">
        <v>13</v>
      </c>
    </row>
    <row r="624" spans="1:13">
      <c r="A624" t="s">
        <v>963</v>
      </c>
      <c r="B624" t="s">
        <v>571</v>
      </c>
      <c r="C624" t="s">
        <v>16</v>
      </c>
      <c r="D624" t="s">
        <v>169</v>
      </c>
      <c r="E624" t="s">
        <v>169</v>
      </c>
      <c r="F624">
        <v>0</v>
      </c>
      <c r="G624">
        <v>0</v>
      </c>
      <c r="H624" t="s">
        <v>13</v>
      </c>
      <c r="I624">
        <v>0</v>
      </c>
      <c r="J624" t="s">
        <v>91</v>
      </c>
      <c r="K624" t="s">
        <v>964</v>
      </c>
      <c r="L624" t="s">
        <v>13</v>
      </c>
      <c r="M624" t="s">
        <v>13</v>
      </c>
    </row>
    <row r="625" spans="1:13">
      <c r="A625" t="s">
        <v>963</v>
      </c>
      <c r="B625" t="s">
        <v>571</v>
      </c>
      <c r="C625" t="s">
        <v>16</v>
      </c>
      <c r="D625" t="s">
        <v>169</v>
      </c>
      <c r="E625" t="s">
        <v>169</v>
      </c>
      <c r="F625">
        <v>0</v>
      </c>
      <c r="G625">
        <v>0</v>
      </c>
      <c r="H625" t="s">
        <v>13</v>
      </c>
      <c r="I625">
        <v>0</v>
      </c>
      <c r="J625" t="s">
        <v>91</v>
      </c>
      <c r="K625" t="s">
        <v>964</v>
      </c>
      <c r="L625" t="s">
        <v>13</v>
      </c>
      <c r="M625" t="s">
        <v>13</v>
      </c>
    </row>
    <row r="626" spans="1:13">
      <c r="A626" t="s">
        <v>963</v>
      </c>
      <c r="B626" t="s">
        <v>571</v>
      </c>
      <c r="C626" t="s">
        <v>16</v>
      </c>
      <c r="D626" t="s">
        <v>169</v>
      </c>
      <c r="E626" t="s">
        <v>169</v>
      </c>
      <c r="F626">
        <v>0</v>
      </c>
      <c r="G626">
        <v>0</v>
      </c>
      <c r="H626" t="s">
        <v>13</v>
      </c>
      <c r="I626">
        <v>0</v>
      </c>
      <c r="J626" t="s">
        <v>91</v>
      </c>
      <c r="K626" t="s">
        <v>964</v>
      </c>
      <c r="L626" t="s">
        <v>13</v>
      </c>
      <c r="M626" t="s">
        <v>13</v>
      </c>
    </row>
    <row r="627" spans="1:13">
      <c r="A627" t="s">
        <v>963</v>
      </c>
      <c r="B627" t="s">
        <v>571</v>
      </c>
      <c r="C627" t="s">
        <v>16</v>
      </c>
      <c r="D627" t="s">
        <v>169</v>
      </c>
      <c r="E627" t="s">
        <v>169</v>
      </c>
      <c r="F627">
        <v>0</v>
      </c>
      <c r="G627">
        <v>0</v>
      </c>
      <c r="H627" t="s">
        <v>13</v>
      </c>
      <c r="I627">
        <v>0</v>
      </c>
      <c r="J627" t="s">
        <v>91</v>
      </c>
      <c r="K627" t="s">
        <v>964</v>
      </c>
      <c r="L627" t="s">
        <v>13</v>
      </c>
      <c r="M627" t="s">
        <v>13</v>
      </c>
    </row>
    <row r="628" spans="1:13">
      <c r="A628" t="s">
        <v>965</v>
      </c>
      <c r="B628">
        <v>0</v>
      </c>
      <c r="C628" t="s">
        <v>16</v>
      </c>
      <c r="D628" t="s">
        <v>169</v>
      </c>
      <c r="E628" t="s">
        <v>170</v>
      </c>
      <c r="F628" t="s">
        <v>966</v>
      </c>
      <c r="G628" t="s">
        <v>967</v>
      </c>
      <c r="H628" t="s">
        <v>13</v>
      </c>
      <c r="I628" t="s">
        <v>968</v>
      </c>
      <c r="J628" t="s">
        <v>91</v>
      </c>
      <c r="K628">
        <v>43688</v>
      </c>
      <c r="L628" t="s">
        <v>13</v>
      </c>
      <c r="M628" t="s">
        <v>13</v>
      </c>
    </row>
    <row r="629" spans="1:13">
      <c r="A629" t="s">
        <v>969</v>
      </c>
      <c r="B629">
        <v>0</v>
      </c>
      <c r="C629" t="s">
        <v>16</v>
      </c>
      <c r="D629" t="s">
        <v>169</v>
      </c>
      <c r="E629" t="s">
        <v>170</v>
      </c>
      <c r="F629" t="s">
        <v>970</v>
      </c>
      <c r="G629" t="s">
        <v>971</v>
      </c>
      <c r="H629" t="s">
        <v>13</v>
      </c>
      <c r="I629" t="s">
        <v>972</v>
      </c>
      <c r="J629" t="s">
        <v>174</v>
      </c>
      <c r="K629">
        <v>44321</v>
      </c>
      <c r="L629" t="s">
        <v>13</v>
      </c>
      <c r="M629" t="s">
        <v>198</v>
      </c>
    </row>
    <row r="630" spans="1:13">
      <c r="A630" t="s">
        <v>969</v>
      </c>
      <c r="B630">
        <v>0</v>
      </c>
      <c r="C630" t="s">
        <v>16</v>
      </c>
      <c r="D630" t="s">
        <v>169</v>
      </c>
      <c r="E630" t="s">
        <v>170</v>
      </c>
      <c r="F630" t="s">
        <v>970</v>
      </c>
      <c r="G630" t="s">
        <v>971</v>
      </c>
      <c r="H630" t="s">
        <v>13</v>
      </c>
      <c r="I630" t="s">
        <v>972</v>
      </c>
      <c r="J630" t="s">
        <v>174</v>
      </c>
      <c r="K630">
        <v>44321</v>
      </c>
      <c r="L630" t="s">
        <v>13</v>
      </c>
      <c r="M630" t="s">
        <v>198</v>
      </c>
    </row>
    <row r="631" spans="1:13">
      <c r="A631" t="s">
        <v>973</v>
      </c>
      <c r="B631" t="s">
        <v>974</v>
      </c>
      <c r="C631" t="s">
        <v>123</v>
      </c>
      <c r="D631" t="s">
        <v>373</v>
      </c>
      <c r="E631" t="s">
        <v>458</v>
      </c>
      <c r="F631" t="s">
        <v>975</v>
      </c>
      <c r="G631" t="s">
        <v>13</v>
      </c>
      <c r="H631" t="s">
        <v>13</v>
      </c>
      <c r="I631" t="s">
        <v>974</v>
      </c>
      <c r="J631" t="s">
        <v>13</v>
      </c>
      <c r="K631" t="s">
        <v>976</v>
      </c>
      <c r="L631" t="s">
        <v>13</v>
      </c>
      <c r="M631" t="s">
        <v>181</v>
      </c>
    </row>
    <row r="632" spans="1:13">
      <c r="A632" t="s">
        <v>973</v>
      </c>
      <c r="B632" t="s">
        <v>974</v>
      </c>
      <c r="C632" t="s">
        <v>123</v>
      </c>
      <c r="D632" t="s">
        <v>373</v>
      </c>
      <c r="E632" t="s">
        <v>458</v>
      </c>
      <c r="F632" t="s">
        <v>975</v>
      </c>
      <c r="G632" t="s">
        <v>13</v>
      </c>
      <c r="H632" t="s">
        <v>13</v>
      </c>
      <c r="I632" t="s">
        <v>974</v>
      </c>
      <c r="J632" t="s">
        <v>13</v>
      </c>
      <c r="K632" t="s">
        <v>976</v>
      </c>
      <c r="L632" t="s">
        <v>13</v>
      </c>
      <c r="M632" t="s">
        <v>181</v>
      </c>
    </row>
    <row r="633" spans="1:13">
      <c r="A633" t="s">
        <v>977</v>
      </c>
      <c r="B633" t="s">
        <v>978</v>
      </c>
      <c r="C633" t="s">
        <v>86</v>
      </c>
      <c r="D633" t="s">
        <v>979</v>
      </c>
      <c r="E633" t="s">
        <v>88</v>
      </c>
      <c r="F633" t="s">
        <v>89</v>
      </c>
      <c r="G633" t="s">
        <v>13</v>
      </c>
      <c r="H633" t="s">
        <v>980</v>
      </c>
      <c r="I633" t="s">
        <v>13</v>
      </c>
      <c r="J633" t="s">
        <v>91</v>
      </c>
      <c r="K633" s="236" t="s">
        <v>981</v>
      </c>
      <c r="L633" t="s">
        <v>982</v>
      </c>
      <c r="M633" t="s">
        <v>13</v>
      </c>
    </row>
    <row r="634" spans="1:13">
      <c r="A634" t="s">
        <v>983</v>
      </c>
      <c r="B634" t="s">
        <v>984</v>
      </c>
      <c r="C634" t="s">
        <v>123</v>
      </c>
      <c r="D634" t="s">
        <v>814</v>
      </c>
      <c r="E634" t="s">
        <v>815</v>
      </c>
      <c r="F634" t="s">
        <v>985</v>
      </c>
      <c r="G634" t="s">
        <v>13</v>
      </c>
      <c r="H634" t="s">
        <v>13</v>
      </c>
      <c r="I634" t="s">
        <v>984</v>
      </c>
      <c r="J634" t="s">
        <v>13</v>
      </c>
      <c r="K634" t="s">
        <v>986</v>
      </c>
      <c r="L634" t="s">
        <v>13</v>
      </c>
      <c r="M634" t="s">
        <v>198</v>
      </c>
    </row>
    <row r="635" spans="1:13">
      <c r="A635" t="s">
        <v>987</v>
      </c>
      <c r="B635">
        <v>0</v>
      </c>
      <c r="C635" t="s">
        <v>16</v>
      </c>
      <c r="D635" t="s">
        <v>169</v>
      </c>
      <c r="E635" t="s">
        <v>170</v>
      </c>
      <c r="F635" t="s">
        <v>988</v>
      </c>
      <c r="G635" t="s">
        <v>989</v>
      </c>
      <c r="H635" t="s">
        <v>13</v>
      </c>
      <c r="I635" t="s">
        <v>990</v>
      </c>
      <c r="J635" t="s">
        <v>174</v>
      </c>
      <c r="K635">
        <v>44845</v>
      </c>
      <c r="L635" t="s">
        <v>13</v>
      </c>
      <c r="M635" t="s">
        <v>13</v>
      </c>
    </row>
    <row r="636" spans="1:13">
      <c r="A636" t="s">
        <v>991</v>
      </c>
      <c r="B636" t="s">
        <v>992</v>
      </c>
      <c r="C636" t="s">
        <v>16</v>
      </c>
      <c r="D636" t="s">
        <v>205</v>
      </c>
      <c r="E636" t="s">
        <v>206</v>
      </c>
      <c r="F636">
        <v>0</v>
      </c>
      <c r="G636" t="s">
        <v>408</v>
      </c>
      <c r="H636" t="s">
        <v>13</v>
      </c>
      <c r="I636">
        <v>0</v>
      </c>
      <c r="J636" t="s">
        <v>409</v>
      </c>
      <c r="K636">
        <v>43961</v>
      </c>
      <c r="L636" t="s">
        <v>13</v>
      </c>
      <c r="M636" t="s">
        <v>13</v>
      </c>
    </row>
    <row r="637" spans="1:13">
      <c r="A637" t="s">
        <v>991</v>
      </c>
      <c r="B637" t="s">
        <v>992</v>
      </c>
      <c r="C637" t="s">
        <v>16</v>
      </c>
      <c r="D637" t="s">
        <v>205</v>
      </c>
      <c r="E637" t="s">
        <v>206</v>
      </c>
      <c r="F637">
        <v>0</v>
      </c>
      <c r="G637" t="s">
        <v>408</v>
      </c>
      <c r="H637" t="s">
        <v>13</v>
      </c>
      <c r="I637">
        <v>0</v>
      </c>
      <c r="J637" t="s">
        <v>409</v>
      </c>
      <c r="K637">
        <v>43961</v>
      </c>
      <c r="L637" t="s">
        <v>13</v>
      </c>
      <c r="M637" t="s">
        <v>13</v>
      </c>
    </row>
    <row r="638" spans="1:13">
      <c r="A638" t="s">
        <v>991</v>
      </c>
      <c r="B638" t="s">
        <v>992</v>
      </c>
      <c r="C638" t="s">
        <v>16</v>
      </c>
      <c r="D638" t="s">
        <v>205</v>
      </c>
      <c r="E638" t="s">
        <v>206</v>
      </c>
      <c r="F638">
        <v>0</v>
      </c>
      <c r="G638" t="s">
        <v>408</v>
      </c>
      <c r="H638" t="s">
        <v>13</v>
      </c>
      <c r="I638">
        <v>0</v>
      </c>
      <c r="J638" t="s">
        <v>409</v>
      </c>
      <c r="K638">
        <v>43961</v>
      </c>
      <c r="L638" t="s">
        <v>13</v>
      </c>
      <c r="M638" t="s">
        <v>13</v>
      </c>
    </row>
    <row r="639" spans="1:13">
      <c r="A639" t="s">
        <v>991</v>
      </c>
      <c r="B639" t="s">
        <v>992</v>
      </c>
      <c r="C639" t="s">
        <v>16</v>
      </c>
      <c r="D639" t="s">
        <v>205</v>
      </c>
      <c r="E639" t="s">
        <v>206</v>
      </c>
      <c r="F639">
        <v>0</v>
      </c>
      <c r="G639" t="s">
        <v>408</v>
      </c>
      <c r="H639" t="s">
        <v>13</v>
      </c>
      <c r="I639">
        <v>0</v>
      </c>
      <c r="J639" t="s">
        <v>409</v>
      </c>
      <c r="K639">
        <v>43961</v>
      </c>
      <c r="L639" t="s">
        <v>13</v>
      </c>
      <c r="M639" t="s">
        <v>13</v>
      </c>
    </row>
    <row r="640" spans="1:13">
      <c r="A640" t="s">
        <v>991</v>
      </c>
      <c r="B640" t="s">
        <v>992</v>
      </c>
      <c r="C640" t="s">
        <v>16</v>
      </c>
      <c r="D640" t="s">
        <v>205</v>
      </c>
      <c r="E640" t="s">
        <v>206</v>
      </c>
      <c r="F640">
        <v>0</v>
      </c>
      <c r="G640" t="s">
        <v>408</v>
      </c>
      <c r="H640" t="s">
        <v>13</v>
      </c>
      <c r="I640">
        <v>0</v>
      </c>
      <c r="J640" t="s">
        <v>409</v>
      </c>
      <c r="K640">
        <v>43961</v>
      </c>
      <c r="L640" t="s">
        <v>13</v>
      </c>
      <c r="M640" t="s">
        <v>13</v>
      </c>
    </row>
    <row r="641" spans="1:13">
      <c r="A641" t="s">
        <v>991</v>
      </c>
      <c r="B641" t="s">
        <v>992</v>
      </c>
      <c r="C641" t="s">
        <v>16</v>
      </c>
      <c r="D641" t="s">
        <v>205</v>
      </c>
      <c r="E641" t="s">
        <v>206</v>
      </c>
      <c r="F641">
        <v>0</v>
      </c>
      <c r="G641" t="s">
        <v>408</v>
      </c>
      <c r="H641" t="s">
        <v>13</v>
      </c>
      <c r="I641">
        <v>0</v>
      </c>
      <c r="J641" t="s">
        <v>409</v>
      </c>
      <c r="K641">
        <v>43961</v>
      </c>
      <c r="L641" t="s">
        <v>13</v>
      </c>
      <c r="M641" t="s">
        <v>13</v>
      </c>
    </row>
    <row r="642" spans="1:13">
      <c r="A642" t="s">
        <v>991</v>
      </c>
      <c r="B642" t="s">
        <v>992</v>
      </c>
      <c r="C642" t="s">
        <v>16</v>
      </c>
      <c r="D642" t="s">
        <v>205</v>
      </c>
      <c r="E642" t="s">
        <v>206</v>
      </c>
      <c r="F642">
        <v>0</v>
      </c>
      <c r="G642" t="s">
        <v>408</v>
      </c>
      <c r="H642" t="s">
        <v>13</v>
      </c>
      <c r="I642">
        <v>0</v>
      </c>
      <c r="J642" t="s">
        <v>409</v>
      </c>
      <c r="K642">
        <v>43961</v>
      </c>
      <c r="L642" t="s">
        <v>13</v>
      </c>
      <c r="M642" t="s">
        <v>13</v>
      </c>
    </row>
    <row r="643" spans="1:13">
      <c r="A643" t="s">
        <v>991</v>
      </c>
      <c r="B643" t="s">
        <v>992</v>
      </c>
      <c r="C643" t="s">
        <v>16</v>
      </c>
      <c r="D643" t="s">
        <v>205</v>
      </c>
      <c r="E643" t="s">
        <v>206</v>
      </c>
      <c r="F643">
        <v>0</v>
      </c>
      <c r="G643" t="s">
        <v>408</v>
      </c>
      <c r="H643" t="s">
        <v>13</v>
      </c>
      <c r="I643">
        <v>0</v>
      </c>
      <c r="J643" t="s">
        <v>409</v>
      </c>
      <c r="K643">
        <v>43961</v>
      </c>
      <c r="L643" t="s">
        <v>13</v>
      </c>
      <c r="M643" t="s">
        <v>13</v>
      </c>
    </row>
    <row r="644" spans="1:13">
      <c r="A644" t="s">
        <v>991</v>
      </c>
      <c r="B644" t="s">
        <v>992</v>
      </c>
      <c r="C644" t="s">
        <v>16</v>
      </c>
      <c r="D644" t="s">
        <v>205</v>
      </c>
      <c r="E644" t="s">
        <v>206</v>
      </c>
      <c r="F644">
        <v>0</v>
      </c>
      <c r="G644" t="s">
        <v>408</v>
      </c>
      <c r="H644" t="s">
        <v>13</v>
      </c>
      <c r="I644">
        <v>0</v>
      </c>
      <c r="J644" t="s">
        <v>409</v>
      </c>
      <c r="K644">
        <v>43961</v>
      </c>
      <c r="L644" t="s">
        <v>13</v>
      </c>
      <c r="M644" t="s">
        <v>13</v>
      </c>
    </row>
    <row r="645" spans="1:13">
      <c r="A645" t="s">
        <v>991</v>
      </c>
      <c r="B645" t="s">
        <v>992</v>
      </c>
      <c r="C645" t="s">
        <v>16</v>
      </c>
      <c r="D645" t="s">
        <v>205</v>
      </c>
      <c r="E645" t="s">
        <v>206</v>
      </c>
      <c r="F645">
        <v>0</v>
      </c>
      <c r="G645" t="s">
        <v>408</v>
      </c>
      <c r="H645" t="s">
        <v>13</v>
      </c>
      <c r="I645">
        <v>0</v>
      </c>
      <c r="J645" t="s">
        <v>409</v>
      </c>
      <c r="K645">
        <v>43961</v>
      </c>
      <c r="L645" t="s">
        <v>13</v>
      </c>
      <c r="M645" t="s">
        <v>13</v>
      </c>
    </row>
    <row r="646" spans="1:13">
      <c r="A646" t="s">
        <v>991</v>
      </c>
      <c r="B646" t="s">
        <v>992</v>
      </c>
      <c r="C646" t="s">
        <v>16</v>
      </c>
      <c r="D646" t="s">
        <v>205</v>
      </c>
      <c r="E646" t="s">
        <v>206</v>
      </c>
      <c r="F646">
        <v>0</v>
      </c>
      <c r="G646" t="s">
        <v>408</v>
      </c>
      <c r="H646" t="s">
        <v>13</v>
      </c>
      <c r="I646">
        <v>0</v>
      </c>
      <c r="J646" t="s">
        <v>409</v>
      </c>
      <c r="K646">
        <v>43961</v>
      </c>
      <c r="L646" t="s">
        <v>13</v>
      </c>
      <c r="M646" t="s">
        <v>13</v>
      </c>
    </row>
    <row r="647" spans="1:13">
      <c r="A647" t="s">
        <v>993</v>
      </c>
      <c r="B647" t="s">
        <v>994</v>
      </c>
      <c r="C647">
        <v>4053</v>
      </c>
      <c r="D647" t="s">
        <v>143</v>
      </c>
      <c r="E647" t="s">
        <v>211</v>
      </c>
      <c r="F647" t="s">
        <v>995</v>
      </c>
      <c r="G647" t="s">
        <v>110</v>
      </c>
      <c r="H647" t="s">
        <v>13</v>
      </c>
      <c r="I647" t="s">
        <v>996</v>
      </c>
      <c r="J647" t="s">
        <v>13</v>
      </c>
      <c r="K647" t="s">
        <v>13</v>
      </c>
      <c r="L647" t="s">
        <v>13</v>
      </c>
      <c r="M647" t="s">
        <v>13</v>
      </c>
    </row>
    <row r="648" spans="1:13">
      <c r="A648" t="s">
        <v>997</v>
      </c>
      <c r="B648" t="s">
        <v>998</v>
      </c>
      <c r="C648" t="s">
        <v>123</v>
      </c>
      <c r="D648" t="s">
        <v>177</v>
      </c>
      <c r="E648" t="s">
        <v>195</v>
      </c>
      <c r="F648" t="s">
        <v>999</v>
      </c>
      <c r="G648" t="s">
        <v>13</v>
      </c>
      <c r="H648" t="s">
        <v>13</v>
      </c>
      <c r="I648" t="s">
        <v>998</v>
      </c>
      <c r="J648" t="s">
        <v>13</v>
      </c>
      <c r="K648" t="s">
        <v>1000</v>
      </c>
      <c r="L648" t="s">
        <v>13</v>
      </c>
      <c r="M648" t="s">
        <v>198</v>
      </c>
    </row>
    <row r="649" spans="1:13">
      <c r="A649" t="s">
        <v>1001</v>
      </c>
      <c r="B649" t="s">
        <v>1002</v>
      </c>
      <c r="C649" t="s">
        <v>123</v>
      </c>
      <c r="D649" t="s">
        <v>373</v>
      </c>
      <c r="E649" t="s">
        <v>458</v>
      </c>
      <c r="F649" t="s">
        <v>1003</v>
      </c>
      <c r="G649" t="s">
        <v>13</v>
      </c>
      <c r="H649" t="s">
        <v>13</v>
      </c>
      <c r="I649" t="s">
        <v>1002</v>
      </c>
      <c r="J649" t="s">
        <v>13</v>
      </c>
      <c r="K649" t="s">
        <v>1004</v>
      </c>
      <c r="L649" t="s">
        <v>13</v>
      </c>
      <c r="M649" t="s">
        <v>288</v>
      </c>
    </row>
    <row r="650" spans="1:13">
      <c r="A650" t="s">
        <v>1005</v>
      </c>
      <c r="B650" t="s">
        <v>1006</v>
      </c>
      <c r="C650" t="s">
        <v>16</v>
      </c>
      <c r="D650" t="s">
        <v>205</v>
      </c>
      <c r="E650" t="s">
        <v>206</v>
      </c>
      <c r="F650">
        <v>0</v>
      </c>
      <c r="G650" t="s">
        <v>207</v>
      </c>
      <c r="H650" t="s">
        <v>13</v>
      </c>
      <c r="I650">
        <v>0</v>
      </c>
      <c r="J650" t="s">
        <v>91</v>
      </c>
      <c r="K650">
        <v>45446</v>
      </c>
      <c r="L650" t="s">
        <v>13</v>
      </c>
      <c r="M650" t="s">
        <v>13</v>
      </c>
    </row>
    <row r="651" spans="1:13">
      <c r="A651" t="s">
        <v>1005</v>
      </c>
      <c r="B651" t="s">
        <v>1006</v>
      </c>
      <c r="C651" t="s">
        <v>16</v>
      </c>
      <c r="D651" t="s">
        <v>205</v>
      </c>
      <c r="E651" t="s">
        <v>206</v>
      </c>
      <c r="F651">
        <v>0</v>
      </c>
      <c r="G651" t="s">
        <v>207</v>
      </c>
      <c r="H651" t="s">
        <v>13</v>
      </c>
      <c r="I651">
        <v>0</v>
      </c>
      <c r="J651" t="s">
        <v>91</v>
      </c>
      <c r="K651">
        <v>45446</v>
      </c>
      <c r="L651" t="s">
        <v>13</v>
      </c>
      <c r="M651" t="s">
        <v>13</v>
      </c>
    </row>
    <row r="652" spans="1:13">
      <c r="A652" t="s">
        <v>1005</v>
      </c>
      <c r="B652" t="s">
        <v>1006</v>
      </c>
      <c r="C652" t="s">
        <v>16</v>
      </c>
      <c r="D652" t="s">
        <v>205</v>
      </c>
      <c r="E652" t="s">
        <v>206</v>
      </c>
      <c r="F652">
        <v>0</v>
      </c>
      <c r="G652" t="s">
        <v>207</v>
      </c>
      <c r="H652" t="s">
        <v>13</v>
      </c>
      <c r="I652">
        <v>0</v>
      </c>
      <c r="J652" t="s">
        <v>91</v>
      </c>
      <c r="K652">
        <v>45446</v>
      </c>
      <c r="L652" t="s">
        <v>13</v>
      </c>
      <c r="M652" t="s">
        <v>13</v>
      </c>
    </row>
    <row r="653" spans="1:13">
      <c r="A653" t="s">
        <v>1007</v>
      </c>
      <c r="B653" t="s">
        <v>571</v>
      </c>
      <c r="C653" t="s">
        <v>16</v>
      </c>
      <c r="D653" t="s">
        <v>169</v>
      </c>
      <c r="E653" t="s">
        <v>170</v>
      </c>
      <c r="F653" t="s">
        <v>1008</v>
      </c>
      <c r="G653" t="s">
        <v>1009</v>
      </c>
      <c r="H653" t="s">
        <v>13</v>
      </c>
      <c r="I653" t="s">
        <v>1010</v>
      </c>
      <c r="J653" t="s">
        <v>174</v>
      </c>
      <c r="K653">
        <v>45051</v>
      </c>
      <c r="L653" t="s">
        <v>13</v>
      </c>
      <c r="M653" t="s">
        <v>13</v>
      </c>
    </row>
    <row r="654" spans="1:13">
      <c r="A654" t="s">
        <v>1011</v>
      </c>
      <c r="B654">
        <v>0</v>
      </c>
      <c r="C654" t="s">
        <v>16</v>
      </c>
      <c r="D654" t="s">
        <v>169</v>
      </c>
      <c r="E654" t="s">
        <v>170</v>
      </c>
      <c r="F654" t="s">
        <v>1012</v>
      </c>
      <c r="G654" t="s">
        <v>1013</v>
      </c>
      <c r="H654" t="s">
        <v>13</v>
      </c>
      <c r="I654" t="s">
        <v>1014</v>
      </c>
      <c r="J654" t="s">
        <v>174</v>
      </c>
      <c r="K654" t="s">
        <v>1015</v>
      </c>
      <c r="L654" t="s">
        <v>13</v>
      </c>
      <c r="M654" t="s">
        <v>13</v>
      </c>
    </row>
    <row r="655" spans="1:13">
      <c r="A655" t="s">
        <v>1016</v>
      </c>
      <c r="B655" t="s">
        <v>1017</v>
      </c>
      <c r="C655">
        <v>4558</v>
      </c>
      <c r="D655" t="s">
        <v>143</v>
      </c>
      <c r="E655" t="s">
        <v>272</v>
      </c>
      <c r="F655" t="s">
        <v>1018</v>
      </c>
      <c r="G655" t="s">
        <v>110</v>
      </c>
      <c r="H655" t="s">
        <v>13</v>
      </c>
      <c r="I655" t="s">
        <v>1019</v>
      </c>
      <c r="J655" t="s">
        <v>13</v>
      </c>
      <c r="K655" t="s">
        <v>13</v>
      </c>
      <c r="L655" t="s">
        <v>13</v>
      </c>
      <c r="M655" t="s">
        <v>13</v>
      </c>
    </row>
    <row r="656" spans="1:13">
      <c r="A656" t="s">
        <v>1020</v>
      </c>
      <c r="B656" t="s">
        <v>1021</v>
      </c>
      <c r="C656" t="s">
        <v>13</v>
      </c>
      <c r="D656" t="s">
        <v>13</v>
      </c>
      <c r="E656" t="s">
        <v>13</v>
      </c>
      <c r="F656" t="s">
        <v>13</v>
      </c>
      <c r="G656" t="s">
        <v>13</v>
      </c>
      <c r="H656" t="s">
        <v>13</v>
      </c>
      <c r="I656" t="s">
        <v>1022</v>
      </c>
      <c r="J656" t="s">
        <v>13</v>
      </c>
      <c r="K656" t="s">
        <v>13</v>
      </c>
      <c r="L656" t="s">
        <v>13</v>
      </c>
      <c r="M656" t="s">
        <v>13</v>
      </c>
    </row>
    <row r="657" spans="1:13">
      <c r="A657" t="s">
        <v>1023</v>
      </c>
      <c r="B657" t="s">
        <v>1024</v>
      </c>
      <c r="C657">
        <v>4573</v>
      </c>
      <c r="D657" t="s">
        <v>1025</v>
      </c>
      <c r="E657" t="s">
        <v>826</v>
      </c>
      <c r="F657" t="s">
        <v>1026</v>
      </c>
      <c r="G657" t="s">
        <v>110</v>
      </c>
      <c r="H657" t="s">
        <v>13</v>
      </c>
      <c r="I657" t="s">
        <v>1027</v>
      </c>
      <c r="J657" t="s">
        <v>13</v>
      </c>
      <c r="K657" t="s">
        <v>13</v>
      </c>
      <c r="L657" t="s">
        <v>13</v>
      </c>
      <c r="M657" t="s">
        <v>13</v>
      </c>
    </row>
    <row r="658" spans="1:13">
      <c r="A658" t="s">
        <v>1028</v>
      </c>
      <c r="B658">
        <v>0</v>
      </c>
      <c r="C658" t="s">
        <v>16</v>
      </c>
      <c r="D658" t="s">
        <v>169</v>
      </c>
      <c r="E658" t="s">
        <v>170</v>
      </c>
      <c r="F658" t="s">
        <v>1029</v>
      </c>
      <c r="G658" t="s">
        <v>1030</v>
      </c>
      <c r="H658" t="s">
        <v>13</v>
      </c>
      <c r="I658" t="s">
        <v>1031</v>
      </c>
      <c r="J658" t="s">
        <v>91</v>
      </c>
      <c r="K658" t="s">
        <v>1032</v>
      </c>
      <c r="L658" t="s">
        <v>13</v>
      </c>
      <c r="M658" t="s">
        <v>13</v>
      </c>
    </row>
    <row r="659" spans="1:13">
      <c r="A659" t="s">
        <v>1033</v>
      </c>
      <c r="B659">
        <v>0</v>
      </c>
      <c r="C659" t="s">
        <v>16</v>
      </c>
      <c r="D659" t="s">
        <v>169</v>
      </c>
      <c r="E659" t="s">
        <v>170</v>
      </c>
      <c r="F659" t="s">
        <v>1034</v>
      </c>
      <c r="G659" t="s">
        <v>1035</v>
      </c>
      <c r="H659" t="s">
        <v>13</v>
      </c>
      <c r="I659" t="s">
        <v>1036</v>
      </c>
      <c r="J659" t="s">
        <v>174</v>
      </c>
      <c r="K659" t="s">
        <v>1037</v>
      </c>
      <c r="L659" t="s">
        <v>13</v>
      </c>
      <c r="M659" t="s">
        <v>13</v>
      </c>
    </row>
    <row r="660" spans="1:13">
      <c r="A660" t="s">
        <v>1033</v>
      </c>
      <c r="B660">
        <v>0</v>
      </c>
      <c r="C660" t="s">
        <v>16</v>
      </c>
      <c r="D660" t="s">
        <v>169</v>
      </c>
      <c r="E660" t="s">
        <v>170</v>
      </c>
      <c r="F660" t="s">
        <v>1034</v>
      </c>
      <c r="G660" t="s">
        <v>1035</v>
      </c>
      <c r="H660" t="s">
        <v>13</v>
      </c>
      <c r="I660" t="s">
        <v>1036</v>
      </c>
      <c r="J660" t="s">
        <v>174</v>
      </c>
      <c r="K660" t="s">
        <v>1037</v>
      </c>
      <c r="L660" t="s">
        <v>13</v>
      </c>
      <c r="M660" t="s">
        <v>13</v>
      </c>
    </row>
    <row r="661" spans="1:13">
      <c r="A661" t="s">
        <v>1033</v>
      </c>
      <c r="B661">
        <v>0</v>
      </c>
      <c r="C661" t="s">
        <v>16</v>
      </c>
      <c r="D661" t="s">
        <v>169</v>
      </c>
      <c r="E661" t="s">
        <v>170</v>
      </c>
      <c r="F661" t="s">
        <v>1034</v>
      </c>
      <c r="G661" t="s">
        <v>1035</v>
      </c>
      <c r="H661" t="s">
        <v>13</v>
      </c>
      <c r="I661" t="s">
        <v>1036</v>
      </c>
      <c r="J661" t="s">
        <v>174</v>
      </c>
      <c r="K661" t="s">
        <v>1037</v>
      </c>
      <c r="L661" t="s">
        <v>13</v>
      </c>
      <c r="M661" t="s">
        <v>13</v>
      </c>
    </row>
    <row r="662" spans="1:13">
      <c r="A662" t="s">
        <v>1033</v>
      </c>
      <c r="B662">
        <v>0</v>
      </c>
      <c r="C662" t="s">
        <v>16</v>
      </c>
      <c r="D662" t="s">
        <v>169</v>
      </c>
      <c r="E662" t="s">
        <v>170</v>
      </c>
      <c r="F662" t="s">
        <v>1034</v>
      </c>
      <c r="G662" t="s">
        <v>1035</v>
      </c>
      <c r="H662" t="s">
        <v>13</v>
      </c>
      <c r="I662" t="s">
        <v>1036</v>
      </c>
      <c r="J662" t="s">
        <v>174</v>
      </c>
      <c r="K662" t="s">
        <v>1037</v>
      </c>
      <c r="L662" t="s">
        <v>13</v>
      </c>
      <c r="M662" t="s">
        <v>13</v>
      </c>
    </row>
    <row r="663" spans="1:13">
      <c r="A663" t="s">
        <v>1038</v>
      </c>
      <c r="B663" t="s">
        <v>1039</v>
      </c>
      <c r="C663" t="s">
        <v>123</v>
      </c>
      <c r="D663" t="s">
        <v>1040</v>
      </c>
      <c r="E663" t="s">
        <v>458</v>
      </c>
      <c r="F663" t="s">
        <v>1041</v>
      </c>
      <c r="G663" t="s">
        <v>13</v>
      </c>
      <c r="H663" t="s">
        <v>13</v>
      </c>
      <c r="I663" t="s">
        <v>1039</v>
      </c>
      <c r="J663" t="s">
        <v>13</v>
      </c>
      <c r="K663" t="s">
        <v>1042</v>
      </c>
      <c r="L663" t="s">
        <v>13</v>
      </c>
      <c r="M663" t="s">
        <v>742</v>
      </c>
    </row>
    <row r="664" spans="1:13">
      <c r="A664" t="s">
        <v>1043</v>
      </c>
      <c r="B664" t="s">
        <v>1044</v>
      </c>
      <c r="C664" t="s">
        <v>123</v>
      </c>
      <c r="D664" t="s">
        <v>131</v>
      </c>
      <c r="E664" t="s">
        <v>125</v>
      </c>
      <c r="F664" t="s">
        <v>1045</v>
      </c>
      <c r="G664" t="s">
        <v>13</v>
      </c>
      <c r="H664" t="s">
        <v>13</v>
      </c>
      <c r="I664" t="s">
        <v>1044</v>
      </c>
      <c r="J664" t="s">
        <v>13</v>
      </c>
      <c r="K664" t="s">
        <v>1046</v>
      </c>
      <c r="L664" t="s">
        <v>13</v>
      </c>
      <c r="M664" t="s">
        <v>742</v>
      </c>
    </row>
    <row r="665" spans="1:13">
      <c r="A665" t="s">
        <v>1047</v>
      </c>
      <c r="B665" t="s">
        <v>1048</v>
      </c>
      <c r="C665" t="s">
        <v>123</v>
      </c>
      <c r="D665" t="s">
        <v>177</v>
      </c>
      <c r="E665" t="s">
        <v>285</v>
      </c>
      <c r="F665" t="s">
        <v>1049</v>
      </c>
      <c r="G665" t="s">
        <v>13</v>
      </c>
      <c r="H665" t="s">
        <v>13</v>
      </c>
      <c r="I665" t="s">
        <v>1048</v>
      </c>
      <c r="J665" t="s">
        <v>13</v>
      </c>
      <c r="K665" t="s">
        <v>1050</v>
      </c>
      <c r="L665" t="s">
        <v>13</v>
      </c>
      <c r="M665" t="s">
        <v>479</v>
      </c>
    </row>
    <row r="666" spans="1:13">
      <c r="A666" t="s">
        <v>1047</v>
      </c>
      <c r="B666" t="s">
        <v>1048</v>
      </c>
      <c r="C666" t="s">
        <v>123</v>
      </c>
      <c r="D666" t="s">
        <v>177</v>
      </c>
      <c r="E666" t="s">
        <v>285</v>
      </c>
      <c r="F666" t="s">
        <v>1049</v>
      </c>
      <c r="G666" t="s">
        <v>13</v>
      </c>
      <c r="H666" t="s">
        <v>13</v>
      </c>
      <c r="I666" t="s">
        <v>1048</v>
      </c>
      <c r="J666" t="s">
        <v>13</v>
      </c>
      <c r="K666" t="s">
        <v>1050</v>
      </c>
      <c r="L666" t="s">
        <v>13</v>
      </c>
      <c r="M666" t="s">
        <v>479</v>
      </c>
    </row>
    <row r="667" spans="1:13">
      <c r="A667" t="s">
        <v>1051</v>
      </c>
      <c r="B667">
        <v>0</v>
      </c>
      <c r="C667" t="s">
        <v>16</v>
      </c>
      <c r="D667" t="s">
        <v>169</v>
      </c>
      <c r="E667" t="s">
        <v>170</v>
      </c>
      <c r="F667" t="s">
        <v>1052</v>
      </c>
      <c r="G667" t="s">
        <v>1053</v>
      </c>
      <c r="H667" t="s">
        <v>13</v>
      </c>
      <c r="I667" t="s">
        <v>1054</v>
      </c>
      <c r="J667" t="s">
        <v>174</v>
      </c>
      <c r="K667" t="s">
        <v>1055</v>
      </c>
      <c r="L667" t="s">
        <v>13</v>
      </c>
      <c r="M667" t="s">
        <v>13</v>
      </c>
    </row>
    <row r="668" spans="1:13">
      <c r="A668" t="s">
        <v>1056</v>
      </c>
      <c r="B668">
        <v>0</v>
      </c>
      <c r="C668" t="s">
        <v>16</v>
      </c>
      <c r="D668" t="s">
        <v>169</v>
      </c>
      <c r="E668" t="s">
        <v>170</v>
      </c>
      <c r="F668" t="s">
        <v>1057</v>
      </c>
      <c r="G668" t="s">
        <v>1058</v>
      </c>
      <c r="H668" t="s">
        <v>13</v>
      </c>
      <c r="I668" t="s">
        <v>1059</v>
      </c>
      <c r="J668" t="s">
        <v>91</v>
      </c>
      <c r="K668" t="s">
        <v>1060</v>
      </c>
      <c r="L668" t="s">
        <v>13</v>
      </c>
      <c r="M668" t="s">
        <v>13</v>
      </c>
    </row>
    <row r="669" spans="1:13">
      <c r="A669" t="s">
        <v>1061</v>
      </c>
      <c r="B669" t="s">
        <v>1062</v>
      </c>
      <c r="C669">
        <v>4510</v>
      </c>
      <c r="D669" t="s">
        <v>137</v>
      </c>
      <c r="E669" t="s">
        <v>272</v>
      </c>
      <c r="F669" t="s">
        <v>1063</v>
      </c>
      <c r="G669" t="s">
        <v>110</v>
      </c>
      <c r="H669" t="s">
        <v>13</v>
      </c>
      <c r="I669" t="s">
        <v>1064</v>
      </c>
      <c r="J669" t="s">
        <v>13</v>
      </c>
      <c r="K669" t="s">
        <v>13</v>
      </c>
      <c r="L669" t="s">
        <v>13</v>
      </c>
      <c r="M669" t="s">
        <v>13</v>
      </c>
    </row>
    <row r="670" spans="1:13">
      <c r="A670" t="s">
        <v>1061</v>
      </c>
      <c r="B670" t="s">
        <v>1062</v>
      </c>
      <c r="C670">
        <v>4510</v>
      </c>
      <c r="D670" t="s">
        <v>137</v>
      </c>
      <c r="E670" t="s">
        <v>272</v>
      </c>
      <c r="F670" t="s">
        <v>1063</v>
      </c>
      <c r="G670" t="s">
        <v>110</v>
      </c>
      <c r="H670" t="s">
        <v>13</v>
      </c>
      <c r="I670" t="s">
        <v>1064</v>
      </c>
      <c r="J670" t="s">
        <v>13</v>
      </c>
      <c r="K670" t="s">
        <v>13</v>
      </c>
      <c r="L670" t="s">
        <v>13</v>
      </c>
      <c r="M670" t="s">
        <v>13</v>
      </c>
    </row>
    <row r="671" spans="1:13">
      <c r="A671" t="s">
        <v>1065</v>
      </c>
      <c r="B671" t="s">
        <v>1066</v>
      </c>
      <c r="C671">
        <v>4210</v>
      </c>
      <c r="D671" t="s">
        <v>143</v>
      </c>
      <c r="E671" t="s">
        <v>147</v>
      </c>
      <c r="F671" t="s">
        <v>1067</v>
      </c>
      <c r="G671" t="s">
        <v>110</v>
      </c>
      <c r="H671" t="s">
        <v>13</v>
      </c>
      <c r="I671" t="s">
        <v>1068</v>
      </c>
      <c r="J671" t="s">
        <v>13</v>
      </c>
      <c r="K671" t="s">
        <v>13</v>
      </c>
      <c r="L671" t="s">
        <v>13</v>
      </c>
      <c r="M671" t="s">
        <v>13</v>
      </c>
    </row>
    <row r="672" spans="1:13">
      <c r="A672" t="s">
        <v>1069</v>
      </c>
      <c r="B672" t="s">
        <v>1070</v>
      </c>
      <c r="C672" t="s">
        <v>24</v>
      </c>
      <c r="D672" t="s">
        <v>157</v>
      </c>
      <c r="E672">
        <v>0</v>
      </c>
      <c r="F672" t="s">
        <v>1071</v>
      </c>
      <c r="G672" t="s">
        <v>13</v>
      </c>
      <c r="H672" t="s">
        <v>13</v>
      </c>
      <c r="I672" t="s">
        <v>13</v>
      </c>
      <c r="J672" t="s">
        <v>13</v>
      </c>
      <c r="K672">
        <v>44988</v>
      </c>
      <c r="L672" t="s">
        <v>13</v>
      </c>
      <c r="M672" t="s">
        <v>13</v>
      </c>
    </row>
    <row r="673" spans="1:13">
      <c r="A673" t="s">
        <v>1072</v>
      </c>
      <c r="B673" t="s">
        <v>1073</v>
      </c>
      <c r="C673" t="s">
        <v>123</v>
      </c>
      <c r="D673" t="s">
        <v>1074</v>
      </c>
      <c r="E673" t="s">
        <v>1075</v>
      </c>
      <c r="F673" t="s">
        <v>1076</v>
      </c>
      <c r="G673" t="s">
        <v>13</v>
      </c>
      <c r="H673" t="s">
        <v>13</v>
      </c>
      <c r="I673" t="s">
        <v>1073</v>
      </c>
      <c r="J673" t="s">
        <v>13</v>
      </c>
      <c r="K673" t="s">
        <v>1077</v>
      </c>
      <c r="L673" t="s">
        <v>13</v>
      </c>
      <c r="M673">
        <v>0</v>
      </c>
    </row>
    <row r="674" spans="1:13">
      <c r="A674" t="s">
        <v>1078</v>
      </c>
      <c r="B674" t="s">
        <v>1079</v>
      </c>
      <c r="C674" t="s">
        <v>123</v>
      </c>
      <c r="D674" t="s">
        <v>796</v>
      </c>
      <c r="E674" t="s">
        <v>458</v>
      </c>
      <c r="F674" t="s">
        <v>1080</v>
      </c>
      <c r="G674" t="s">
        <v>13</v>
      </c>
      <c r="H674" t="s">
        <v>13</v>
      </c>
      <c r="I674" t="s">
        <v>1079</v>
      </c>
      <c r="J674" t="s">
        <v>13</v>
      </c>
      <c r="K674" t="s">
        <v>1081</v>
      </c>
      <c r="L674" t="s">
        <v>13</v>
      </c>
      <c r="M674" t="s">
        <v>288</v>
      </c>
    </row>
    <row r="675" spans="1:13">
      <c r="A675" t="s">
        <v>1082</v>
      </c>
      <c r="B675" t="s">
        <v>571</v>
      </c>
      <c r="C675" t="s">
        <v>16</v>
      </c>
      <c r="D675" t="s">
        <v>169</v>
      </c>
      <c r="E675" t="s">
        <v>170</v>
      </c>
      <c r="F675" t="s">
        <v>1083</v>
      </c>
      <c r="G675" t="s">
        <v>1084</v>
      </c>
      <c r="H675" t="s">
        <v>13</v>
      </c>
      <c r="I675" t="s">
        <v>1085</v>
      </c>
      <c r="J675" t="s">
        <v>91</v>
      </c>
      <c r="K675" t="s">
        <v>1086</v>
      </c>
      <c r="L675" t="s">
        <v>13</v>
      </c>
      <c r="M675" t="s">
        <v>13</v>
      </c>
    </row>
    <row r="676" spans="1:13">
      <c r="A676" t="s">
        <v>1087</v>
      </c>
      <c r="B676" t="s">
        <v>1088</v>
      </c>
      <c r="C676" t="s">
        <v>123</v>
      </c>
      <c r="D676" t="s">
        <v>177</v>
      </c>
      <c r="E676" t="s">
        <v>458</v>
      </c>
      <c r="F676" t="s">
        <v>1089</v>
      </c>
      <c r="G676" t="s">
        <v>13</v>
      </c>
      <c r="H676" t="s">
        <v>13</v>
      </c>
      <c r="I676" t="s">
        <v>1088</v>
      </c>
      <c r="J676" t="s">
        <v>13</v>
      </c>
      <c r="K676" t="s">
        <v>1090</v>
      </c>
      <c r="L676" t="s">
        <v>13</v>
      </c>
      <c r="M676" t="s">
        <v>288</v>
      </c>
    </row>
    <row r="677" spans="1:13">
      <c r="A677" t="s">
        <v>1091</v>
      </c>
      <c r="B677">
        <v>0</v>
      </c>
      <c r="C677" t="s">
        <v>16</v>
      </c>
      <c r="D677" t="s">
        <v>169</v>
      </c>
      <c r="E677" t="s">
        <v>170</v>
      </c>
      <c r="F677" t="s">
        <v>1092</v>
      </c>
      <c r="G677" t="s">
        <v>1093</v>
      </c>
      <c r="H677" t="s">
        <v>13</v>
      </c>
      <c r="I677" t="s">
        <v>1094</v>
      </c>
      <c r="J677" t="s">
        <v>174</v>
      </c>
      <c r="K677" t="s">
        <v>1095</v>
      </c>
      <c r="L677" t="s">
        <v>13</v>
      </c>
      <c r="M677" t="s">
        <v>13</v>
      </c>
    </row>
    <row r="678" spans="1:13">
      <c r="A678" t="s">
        <v>1096</v>
      </c>
      <c r="B678">
        <v>0</v>
      </c>
      <c r="C678" t="s">
        <v>602</v>
      </c>
      <c r="D678" t="s">
        <v>1097</v>
      </c>
      <c r="E678" t="s">
        <v>1098</v>
      </c>
      <c r="F678" t="s">
        <v>13</v>
      </c>
      <c r="G678" t="s">
        <v>13</v>
      </c>
      <c r="H678" t="s">
        <v>13</v>
      </c>
      <c r="I678">
        <v>0</v>
      </c>
      <c r="J678" t="s">
        <v>13</v>
      </c>
      <c r="K678" t="s">
        <v>13</v>
      </c>
      <c r="L678" t="s">
        <v>13</v>
      </c>
      <c r="M678" t="s">
        <v>13</v>
      </c>
    </row>
    <row r="679" spans="1:13">
      <c r="A679" t="s">
        <v>1099</v>
      </c>
      <c r="B679" t="s">
        <v>1100</v>
      </c>
      <c r="C679" t="s">
        <v>123</v>
      </c>
      <c r="D679" t="s">
        <v>131</v>
      </c>
      <c r="E679" t="s">
        <v>89</v>
      </c>
      <c r="F679" t="s">
        <v>1101</v>
      </c>
      <c r="G679">
        <v>0</v>
      </c>
      <c r="H679" t="s">
        <v>13</v>
      </c>
      <c r="I679" t="s">
        <v>1100</v>
      </c>
      <c r="J679" t="s">
        <v>13</v>
      </c>
      <c r="K679" t="s">
        <v>1102</v>
      </c>
      <c r="L679" t="s">
        <v>13</v>
      </c>
      <c r="M679" t="s">
        <v>288</v>
      </c>
    </row>
    <row r="680" spans="1:13">
      <c r="A680" t="s">
        <v>1099</v>
      </c>
      <c r="B680" t="s">
        <v>1100</v>
      </c>
      <c r="C680" t="s">
        <v>123</v>
      </c>
      <c r="D680" t="s">
        <v>131</v>
      </c>
      <c r="E680" t="s">
        <v>89</v>
      </c>
      <c r="F680" t="s">
        <v>1101</v>
      </c>
      <c r="G680">
        <v>0</v>
      </c>
      <c r="H680" t="s">
        <v>13</v>
      </c>
      <c r="I680" t="s">
        <v>1100</v>
      </c>
      <c r="J680" t="s">
        <v>13</v>
      </c>
      <c r="K680" t="s">
        <v>1102</v>
      </c>
      <c r="L680" t="s">
        <v>13</v>
      </c>
      <c r="M680" t="s">
        <v>288</v>
      </c>
    </row>
    <row r="681" spans="1:13">
      <c r="A681" t="s">
        <v>1103</v>
      </c>
      <c r="B681" t="s">
        <v>1104</v>
      </c>
      <c r="C681" t="s">
        <v>123</v>
      </c>
      <c r="D681" t="s">
        <v>796</v>
      </c>
      <c r="E681" t="s">
        <v>195</v>
      </c>
      <c r="F681" t="s">
        <v>1105</v>
      </c>
      <c r="G681" t="s">
        <v>13</v>
      </c>
      <c r="H681" t="s">
        <v>13</v>
      </c>
      <c r="I681" t="s">
        <v>1104</v>
      </c>
      <c r="J681" t="s">
        <v>13</v>
      </c>
      <c r="K681" t="s">
        <v>1106</v>
      </c>
      <c r="L681" t="s">
        <v>13</v>
      </c>
      <c r="M681" t="s">
        <v>288</v>
      </c>
    </row>
    <row r="682" spans="1:13">
      <c r="A682" t="s">
        <v>1107</v>
      </c>
      <c r="B682" t="s">
        <v>1108</v>
      </c>
      <c r="C682" t="s">
        <v>123</v>
      </c>
      <c r="D682" t="s">
        <v>796</v>
      </c>
      <c r="E682" t="s">
        <v>458</v>
      </c>
      <c r="F682" t="s">
        <v>1109</v>
      </c>
      <c r="G682" t="s">
        <v>13</v>
      </c>
      <c r="H682" t="s">
        <v>13</v>
      </c>
      <c r="I682" t="s">
        <v>1108</v>
      </c>
      <c r="J682" t="s">
        <v>13</v>
      </c>
      <c r="K682" t="s">
        <v>1110</v>
      </c>
      <c r="L682" t="s">
        <v>13</v>
      </c>
      <c r="M682" t="s">
        <v>288</v>
      </c>
    </row>
    <row r="683" spans="1:13">
      <c r="A683" t="s">
        <v>1107</v>
      </c>
      <c r="B683" t="s">
        <v>1108</v>
      </c>
      <c r="C683" t="s">
        <v>123</v>
      </c>
      <c r="D683" t="s">
        <v>796</v>
      </c>
      <c r="E683" t="s">
        <v>458</v>
      </c>
      <c r="F683" t="s">
        <v>1109</v>
      </c>
      <c r="G683" t="s">
        <v>13</v>
      </c>
      <c r="H683" t="s">
        <v>13</v>
      </c>
      <c r="I683" t="s">
        <v>1108</v>
      </c>
      <c r="J683" t="s">
        <v>13</v>
      </c>
      <c r="K683" t="s">
        <v>1110</v>
      </c>
      <c r="L683" t="s">
        <v>13</v>
      </c>
      <c r="M683" t="s">
        <v>288</v>
      </c>
    </row>
    <row r="684" spans="1:13">
      <c r="A684" t="s">
        <v>1111</v>
      </c>
      <c r="B684" t="s">
        <v>1112</v>
      </c>
      <c r="C684" t="s">
        <v>123</v>
      </c>
      <c r="D684" t="s">
        <v>177</v>
      </c>
      <c r="E684" t="s">
        <v>125</v>
      </c>
      <c r="F684" t="s">
        <v>1113</v>
      </c>
      <c r="G684" t="s">
        <v>13</v>
      </c>
      <c r="H684" t="s">
        <v>13</v>
      </c>
      <c r="I684" t="s">
        <v>1112</v>
      </c>
      <c r="J684" t="s">
        <v>13</v>
      </c>
      <c r="K684" t="s">
        <v>1114</v>
      </c>
      <c r="L684" t="s">
        <v>13</v>
      </c>
      <c r="M684" t="s">
        <v>288</v>
      </c>
    </row>
    <row r="685" spans="1:13">
      <c r="A685" t="s">
        <v>1115</v>
      </c>
      <c r="B685" t="s">
        <v>1116</v>
      </c>
      <c r="C685" t="s">
        <v>123</v>
      </c>
      <c r="D685" t="s">
        <v>131</v>
      </c>
      <c r="E685" t="s">
        <v>132</v>
      </c>
      <c r="F685" t="s">
        <v>1117</v>
      </c>
      <c r="G685" t="s">
        <v>13</v>
      </c>
      <c r="H685" t="s">
        <v>13</v>
      </c>
      <c r="I685" t="s">
        <v>1116</v>
      </c>
      <c r="J685" t="s">
        <v>13</v>
      </c>
      <c r="K685" t="s">
        <v>1118</v>
      </c>
      <c r="L685" t="s">
        <v>13</v>
      </c>
      <c r="M685" t="s">
        <v>288</v>
      </c>
    </row>
    <row r="686" spans="1:13">
      <c r="A686" t="s">
        <v>1119</v>
      </c>
      <c r="B686" t="s">
        <v>1120</v>
      </c>
      <c r="C686" t="s">
        <v>123</v>
      </c>
      <c r="D686" t="s">
        <v>177</v>
      </c>
      <c r="E686" t="s">
        <v>89</v>
      </c>
      <c r="F686" t="s">
        <v>1121</v>
      </c>
      <c r="G686">
        <v>0</v>
      </c>
      <c r="H686" t="s">
        <v>13</v>
      </c>
      <c r="I686" t="s">
        <v>1120</v>
      </c>
      <c r="J686" t="s">
        <v>13</v>
      </c>
      <c r="K686" t="s">
        <v>1122</v>
      </c>
      <c r="L686" t="s">
        <v>13</v>
      </c>
      <c r="M686" t="s">
        <v>288</v>
      </c>
    </row>
    <row r="687" spans="1:13">
      <c r="A687" t="s">
        <v>1119</v>
      </c>
      <c r="B687" t="s">
        <v>1120</v>
      </c>
      <c r="C687" t="s">
        <v>123</v>
      </c>
      <c r="D687" t="s">
        <v>177</v>
      </c>
      <c r="E687" t="s">
        <v>89</v>
      </c>
      <c r="F687" t="s">
        <v>1121</v>
      </c>
      <c r="G687">
        <v>0</v>
      </c>
      <c r="H687" t="s">
        <v>13</v>
      </c>
      <c r="I687" t="s">
        <v>1120</v>
      </c>
      <c r="J687" t="s">
        <v>13</v>
      </c>
      <c r="K687" t="s">
        <v>1122</v>
      </c>
      <c r="L687" t="s">
        <v>13</v>
      </c>
      <c r="M687" t="s">
        <v>288</v>
      </c>
    </row>
    <row r="688" spans="1:13">
      <c r="A688" t="s">
        <v>1123</v>
      </c>
      <c r="B688" t="s">
        <v>1124</v>
      </c>
      <c r="C688" t="s">
        <v>123</v>
      </c>
      <c r="D688" t="s">
        <v>131</v>
      </c>
      <c r="E688" t="s">
        <v>285</v>
      </c>
      <c r="F688" t="s">
        <v>1125</v>
      </c>
      <c r="G688" t="s">
        <v>13</v>
      </c>
      <c r="H688" t="s">
        <v>13</v>
      </c>
      <c r="I688" t="s">
        <v>1124</v>
      </c>
      <c r="J688" t="s">
        <v>13</v>
      </c>
      <c r="K688" t="s">
        <v>1126</v>
      </c>
      <c r="L688" t="s">
        <v>13</v>
      </c>
      <c r="M688" t="s">
        <v>288</v>
      </c>
    </row>
    <row r="689" spans="1:13">
      <c r="A689" t="s">
        <v>1127</v>
      </c>
      <c r="B689" t="s">
        <v>1128</v>
      </c>
      <c r="C689" t="s">
        <v>123</v>
      </c>
      <c r="D689" t="s">
        <v>177</v>
      </c>
      <c r="E689" t="s">
        <v>195</v>
      </c>
      <c r="F689" t="s">
        <v>1129</v>
      </c>
      <c r="G689" t="s">
        <v>13</v>
      </c>
      <c r="H689" t="s">
        <v>13</v>
      </c>
      <c r="I689" t="s">
        <v>1128</v>
      </c>
      <c r="J689" t="s">
        <v>13</v>
      </c>
      <c r="K689" t="s">
        <v>1130</v>
      </c>
      <c r="L689" t="s">
        <v>13</v>
      </c>
      <c r="M689" t="s">
        <v>288</v>
      </c>
    </row>
    <row r="690" spans="1:13">
      <c r="A690" t="s">
        <v>1131</v>
      </c>
      <c r="B690" t="s">
        <v>1132</v>
      </c>
      <c r="C690" t="s">
        <v>123</v>
      </c>
      <c r="D690" t="s">
        <v>1133</v>
      </c>
      <c r="E690" t="s">
        <v>1134</v>
      </c>
      <c r="F690">
        <v>0</v>
      </c>
      <c r="G690" t="s">
        <v>13</v>
      </c>
      <c r="H690" t="s">
        <v>13</v>
      </c>
      <c r="I690" t="s">
        <v>1132</v>
      </c>
      <c r="J690" t="s">
        <v>13</v>
      </c>
      <c r="K690">
        <v>0</v>
      </c>
      <c r="L690" t="s">
        <v>13</v>
      </c>
      <c r="M690" t="s">
        <v>288</v>
      </c>
    </row>
    <row r="691" spans="1:13">
      <c r="A691" t="s">
        <v>1135</v>
      </c>
      <c r="B691" t="s">
        <v>1136</v>
      </c>
      <c r="C691" t="s">
        <v>123</v>
      </c>
      <c r="D691" t="s">
        <v>796</v>
      </c>
      <c r="E691" t="s">
        <v>132</v>
      </c>
      <c r="F691" t="s">
        <v>1137</v>
      </c>
      <c r="G691">
        <v>0</v>
      </c>
      <c r="H691" t="s">
        <v>13</v>
      </c>
      <c r="I691" t="s">
        <v>1136</v>
      </c>
      <c r="J691" t="s">
        <v>13</v>
      </c>
      <c r="K691" t="s">
        <v>1138</v>
      </c>
      <c r="L691" t="s">
        <v>13</v>
      </c>
      <c r="M691" t="s">
        <v>288</v>
      </c>
    </row>
    <row r="692" spans="1:13">
      <c r="A692" t="s">
        <v>1135</v>
      </c>
      <c r="B692" t="s">
        <v>1136</v>
      </c>
      <c r="C692" t="s">
        <v>123</v>
      </c>
      <c r="D692" t="s">
        <v>796</v>
      </c>
      <c r="E692" t="s">
        <v>132</v>
      </c>
      <c r="F692" t="s">
        <v>1137</v>
      </c>
      <c r="G692">
        <v>0</v>
      </c>
      <c r="H692" t="s">
        <v>13</v>
      </c>
      <c r="I692" t="s">
        <v>1136</v>
      </c>
      <c r="J692" t="s">
        <v>13</v>
      </c>
      <c r="K692" t="s">
        <v>1138</v>
      </c>
      <c r="L692" t="s">
        <v>13</v>
      </c>
      <c r="M692" t="s">
        <v>288</v>
      </c>
    </row>
    <row r="693" spans="1:13">
      <c r="A693" t="s">
        <v>1135</v>
      </c>
      <c r="B693" t="s">
        <v>1136</v>
      </c>
      <c r="C693" t="s">
        <v>123</v>
      </c>
      <c r="D693" t="s">
        <v>796</v>
      </c>
      <c r="E693" t="s">
        <v>132</v>
      </c>
      <c r="F693" t="s">
        <v>1137</v>
      </c>
      <c r="G693">
        <v>0</v>
      </c>
      <c r="H693" t="s">
        <v>13</v>
      </c>
      <c r="I693" t="s">
        <v>1136</v>
      </c>
      <c r="J693" t="s">
        <v>13</v>
      </c>
      <c r="K693" t="s">
        <v>1138</v>
      </c>
      <c r="L693" t="s">
        <v>13</v>
      </c>
      <c r="M693" t="s">
        <v>288</v>
      </c>
    </row>
    <row r="694" spans="1:13">
      <c r="A694" t="s">
        <v>1139</v>
      </c>
      <c r="B694" t="s">
        <v>1140</v>
      </c>
      <c r="C694" t="s">
        <v>123</v>
      </c>
      <c r="D694" t="s">
        <v>177</v>
      </c>
      <c r="E694" t="s">
        <v>458</v>
      </c>
      <c r="F694" t="s">
        <v>1141</v>
      </c>
      <c r="G694" t="s">
        <v>13</v>
      </c>
      <c r="H694" t="s">
        <v>13</v>
      </c>
      <c r="I694" t="s">
        <v>1140</v>
      </c>
      <c r="J694" t="s">
        <v>13</v>
      </c>
      <c r="K694" t="s">
        <v>1142</v>
      </c>
      <c r="L694" t="s">
        <v>13</v>
      </c>
      <c r="M694" t="s">
        <v>288</v>
      </c>
    </row>
    <row r="695" spans="1:13">
      <c r="A695" t="s">
        <v>1143</v>
      </c>
      <c r="B695" t="s">
        <v>1144</v>
      </c>
      <c r="C695" t="s">
        <v>123</v>
      </c>
      <c r="D695" t="s">
        <v>131</v>
      </c>
      <c r="E695" t="s">
        <v>132</v>
      </c>
      <c r="F695" t="s">
        <v>1145</v>
      </c>
      <c r="G695">
        <v>0</v>
      </c>
      <c r="H695" t="s">
        <v>13</v>
      </c>
      <c r="I695" t="s">
        <v>1144</v>
      </c>
      <c r="J695" t="s">
        <v>13</v>
      </c>
      <c r="K695" t="s">
        <v>1146</v>
      </c>
      <c r="L695" t="s">
        <v>13</v>
      </c>
      <c r="M695" t="s">
        <v>288</v>
      </c>
    </row>
    <row r="696" spans="1:13">
      <c r="A696" t="s">
        <v>1143</v>
      </c>
      <c r="B696" t="s">
        <v>1144</v>
      </c>
      <c r="C696" t="s">
        <v>123</v>
      </c>
      <c r="D696" t="s">
        <v>131</v>
      </c>
      <c r="E696" t="s">
        <v>132</v>
      </c>
      <c r="F696" t="s">
        <v>1145</v>
      </c>
      <c r="G696">
        <v>0</v>
      </c>
      <c r="H696" t="s">
        <v>13</v>
      </c>
      <c r="I696" t="s">
        <v>1144</v>
      </c>
      <c r="J696" t="s">
        <v>13</v>
      </c>
      <c r="K696" t="s">
        <v>1146</v>
      </c>
      <c r="L696" t="s">
        <v>13</v>
      </c>
      <c r="M696" t="s">
        <v>288</v>
      </c>
    </row>
    <row r="697" spans="1:13">
      <c r="A697" t="s">
        <v>1147</v>
      </c>
      <c r="B697" t="s">
        <v>1148</v>
      </c>
      <c r="C697">
        <v>0</v>
      </c>
      <c r="D697" t="s">
        <v>131</v>
      </c>
      <c r="E697" t="s">
        <v>285</v>
      </c>
      <c r="F697" t="s">
        <v>1149</v>
      </c>
      <c r="G697">
        <v>0</v>
      </c>
      <c r="H697" t="s">
        <v>13</v>
      </c>
      <c r="I697" t="s">
        <v>1148</v>
      </c>
      <c r="J697" t="s">
        <v>13</v>
      </c>
      <c r="K697" t="s">
        <v>1150</v>
      </c>
      <c r="L697" t="s">
        <v>13</v>
      </c>
      <c r="M697" t="s">
        <v>288</v>
      </c>
    </row>
    <row r="698" spans="1:13">
      <c r="A698" t="s">
        <v>1147</v>
      </c>
      <c r="B698" t="s">
        <v>1148</v>
      </c>
      <c r="C698">
        <v>0</v>
      </c>
      <c r="D698" t="s">
        <v>131</v>
      </c>
      <c r="E698" t="s">
        <v>285</v>
      </c>
      <c r="F698" t="s">
        <v>1149</v>
      </c>
      <c r="G698">
        <v>0</v>
      </c>
      <c r="H698" t="s">
        <v>13</v>
      </c>
      <c r="I698" t="s">
        <v>1148</v>
      </c>
      <c r="J698" t="s">
        <v>13</v>
      </c>
      <c r="K698" t="s">
        <v>1150</v>
      </c>
      <c r="L698" t="s">
        <v>13</v>
      </c>
      <c r="M698" t="s">
        <v>288</v>
      </c>
    </row>
    <row r="699" spans="1:13">
      <c r="A699" t="s">
        <v>1151</v>
      </c>
      <c r="B699" t="s">
        <v>1152</v>
      </c>
      <c r="C699" t="s">
        <v>123</v>
      </c>
      <c r="D699" t="s">
        <v>177</v>
      </c>
      <c r="E699" t="s">
        <v>132</v>
      </c>
      <c r="F699" t="s">
        <v>1153</v>
      </c>
      <c r="G699">
        <v>0</v>
      </c>
      <c r="H699" t="s">
        <v>13</v>
      </c>
      <c r="I699" t="s">
        <v>1152</v>
      </c>
      <c r="J699" t="s">
        <v>13</v>
      </c>
      <c r="K699" t="s">
        <v>1154</v>
      </c>
      <c r="L699" t="s">
        <v>13</v>
      </c>
      <c r="M699" t="s">
        <v>288</v>
      </c>
    </row>
    <row r="700" spans="1:13">
      <c r="A700" t="s">
        <v>1151</v>
      </c>
      <c r="B700" t="s">
        <v>1152</v>
      </c>
      <c r="C700" t="s">
        <v>123</v>
      </c>
      <c r="D700" t="s">
        <v>177</v>
      </c>
      <c r="E700" t="s">
        <v>132</v>
      </c>
      <c r="F700" t="s">
        <v>1153</v>
      </c>
      <c r="G700">
        <v>0</v>
      </c>
      <c r="H700" t="s">
        <v>13</v>
      </c>
      <c r="I700" t="s">
        <v>1152</v>
      </c>
      <c r="J700" t="s">
        <v>13</v>
      </c>
      <c r="K700" t="s">
        <v>1154</v>
      </c>
      <c r="L700" t="s">
        <v>13</v>
      </c>
      <c r="M700" t="s">
        <v>288</v>
      </c>
    </row>
    <row r="701" spans="1:13">
      <c r="A701" t="s">
        <v>1155</v>
      </c>
      <c r="B701" t="s">
        <v>1132</v>
      </c>
      <c r="C701" t="s">
        <v>123</v>
      </c>
      <c r="D701" t="s">
        <v>177</v>
      </c>
      <c r="E701" t="s">
        <v>458</v>
      </c>
      <c r="F701" t="s">
        <v>1156</v>
      </c>
      <c r="G701" t="s">
        <v>13</v>
      </c>
      <c r="H701" t="s">
        <v>13</v>
      </c>
      <c r="I701" t="s">
        <v>1132</v>
      </c>
      <c r="J701" t="s">
        <v>13</v>
      </c>
      <c r="K701" t="s">
        <v>1157</v>
      </c>
      <c r="L701" t="s">
        <v>13</v>
      </c>
      <c r="M701" t="s">
        <v>288</v>
      </c>
    </row>
    <row r="702" spans="1:13">
      <c r="A702" t="s">
        <v>1158</v>
      </c>
      <c r="B702" t="s">
        <v>1159</v>
      </c>
      <c r="C702" t="s">
        <v>123</v>
      </c>
      <c r="D702" t="s">
        <v>796</v>
      </c>
      <c r="E702" t="s">
        <v>458</v>
      </c>
      <c r="F702" t="s">
        <v>1160</v>
      </c>
      <c r="G702" t="s">
        <v>13</v>
      </c>
      <c r="H702" t="s">
        <v>13</v>
      </c>
      <c r="I702" t="s">
        <v>1159</v>
      </c>
      <c r="J702" t="s">
        <v>13</v>
      </c>
      <c r="K702" t="s">
        <v>1161</v>
      </c>
      <c r="L702" t="s">
        <v>13</v>
      </c>
      <c r="M702" t="s">
        <v>288</v>
      </c>
    </row>
    <row r="703" spans="1:13">
      <c r="A703" t="s">
        <v>1162</v>
      </c>
      <c r="B703" t="s">
        <v>1163</v>
      </c>
      <c r="C703" t="s">
        <v>123</v>
      </c>
      <c r="D703" t="s">
        <v>131</v>
      </c>
      <c r="E703" t="s">
        <v>125</v>
      </c>
      <c r="F703" t="s">
        <v>1164</v>
      </c>
      <c r="G703" t="s">
        <v>13</v>
      </c>
      <c r="H703" t="s">
        <v>13</v>
      </c>
      <c r="I703" t="s">
        <v>1163</v>
      </c>
      <c r="J703" t="s">
        <v>13</v>
      </c>
      <c r="K703" t="s">
        <v>1165</v>
      </c>
      <c r="L703" t="s">
        <v>13</v>
      </c>
      <c r="M703" t="s">
        <v>288</v>
      </c>
    </row>
    <row r="704" spans="1:13">
      <c r="A704" t="s">
        <v>1166</v>
      </c>
      <c r="B704" t="s">
        <v>1167</v>
      </c>
      <c r="C704" t="s">
        <v>123</v>
      </c>
      <c r="D704" t="s">
        <v>131</v>
      </c>
      <c r="E704" t="s">
        <v>285</v>
      </c>
      <c r="F704" t="s">
        <v>1168</v>
      </c>
      <c r="G704" t="s">
        <v>13</v>
      </c>
      <c r="H704" t="s">
        <v>13</v>
      </c>
      <c r="I704" t="s">
        <v>1167</v>
      </c>
      <c r="J704" t="s">
        <v>13</v>
      </c>
      <c r="K704" t="s">
        <v>1165</v>
      </c>
      <c r="L704" t="s">
        <v>13</v>
      </c>
      <c r="M704" t="s">
        <v>288</v>
      </c>
    </row>
    <row r="705" spans="1:13">
      <c r="A705" t="s">
        <v>1169</v>
      </c>
      <c r="B705" t="s">
        <v>1170</v>
      </c>
      <c r="C705" t="s">
        <v>86</v>
      </c>
      <c r="D705" t="s">
        <v>1171</v>
      </c>
      <c r="E705" t="s">
        <v>88</v>
      </c>
      <c r="F705" t="s">
        <v>89</v>
      </c>
      <c r="G705" t="s">
        <v>13</v>
      </c>
      <c r="H705" t="s">
        <v>1172</v>
      </c>
      <c r="I705" t="s">
        <v>13</v>
      </c>
      <c r="J705" t="s">
        <v>91</v>
      </c>
      <c r="K705" s="236" t="s">
        <v>1173</v>
      </c>
      <c r="L705" t="s">
        <v>1174</v>
      </c>
      <c r="M705" t="s">
        <v>13</v>
      </c>
    </row>
    <row r="706" spans="1:13">
      <c r="A706" t="s">
        <v>1175</v>
      </c>
      <c r="B706" t="s">
        <v>1176</v>
      </c>
      <c r="C706">
        <v>4350</v>
      </c>
      <c r="D706" t="s">
        <v>143</v>
      </c>
      <c r="E706" t="s">
        <v>138</v>
      </c>
      <c r="F706" t="s">
        <v>1177</v>
      </c>
      <c r="G706" t="s">
        <v>110</v>
      </c>
      <c r="H706" t="s">
        <v>13</v>
      </c>
      <c r="I706" t="s">
        <v>1178</v>
      </c>
      <c r="J706" t="s">
        <v>13</v>
      </c>
      <c r="K706" t="s">
        <v>13</v>
      </c>
      <c r="L706" t="s">
        <v>13</v>
      </c>
      <c r="M706" t="s">
        <v>13</v>
      </c>
    </row>
    <row r="707" spans="1:13">
      <c r="A707" t="s">
        <v>1179</v>
      </c>
      <c r="B707">
        <v>0</v>
      </c>
      <c r="C707" t="s">
        <v>16</v>
      </c>
      <c r="D707" t="s">
        <v>169</v>
      </c>
      <c r="E707" t="s">
        <v>170</v>
      </c>
      <c r="F707" t="s">
        <v>1180</v>
      </c>
      <c r="G707" t="s">
        <v>1181</v>
      </c>
      <c r="H707" t="s">
        <v>13</v>
      </c>
      <c r="I707" t="s">
        <v>1182</v>
      </c>
      <c r="J707" t="s">
        <v>91</v>
      </c>
      <c r="K707" t="s">
        <v>1183</v>
      </c>
      <c r="L707" t="s">
        <v>13</v>
      </c>
      <c r="M707" t="s">
        <v>13</v>
      </c>
    </row>
    <row r="708" spans="1:13">
      <c r="A708" t="s">
        <v>1184</v>
      </c>
      <c r="B708" t="s">
        <v>1185</v>
      </c>
      <c r="C708" t="s">
        <v>123</v>
      </c>
      <c r="D708" t="s">
        <v>1186</v>
      </c>
      <c r="E708" t="s">
        <v>820</v>
      </c>
      <c r="F708" t="s">
        <v>1187</v>
      </c>
      <c r="G708" t="s">
        <v>13</v>
      </c>
      <c r="H708" t="s">
        <v>13</v>
      </c>
      <c r="I708" t="s">
        <v>1185</v>
      </c>
      <c r="J708" t="s">
        <v>13</v>
      </c>
      <c r="K708" t="s">
        <v>1188</v>
      </c>
      <c r="L708" t="s">
        <v>13</v>
      </c>
      <c r="M708">
        <v>0</v>
      </c>
    </row>
    <row r="709" spans="1:13">
      <c r="A709" t="s">
        <v>1189</v>
      </c>
      <c r="B709" t="s">
        <v>1190</v>
      </c>
      <c r="C709" t="s">
        <v>123</v>
      </c>
      <c r="D709" t="s">
        <v>177</v>
      </c>
      <c r="E709" t="s">
        <v>285</v>
      </c>
      <c r="F709" t="s">
        <v>1191</v>
      </c>
      <c r="G709" t="s">
        <v>13</v>
      </c>
      <c r="H709" t="s">
        <v>13</v>
      </c>
      <c r="I709" t="s">
        <v>1190</v>
      </c>
      <c r="J709" t="s">
        <v>13</v>
      </c>
      <c r="K709" t="s">
        <v>1192</v>
      </c>
      <c r="L709" t="s">
        <v>13</v>
      </c>
      <c r="M709">
        <v>0</v>
      </c>
    </row>
    <row r="710" spans="1:13">
      <c r="A710" t="s">
        <v>1193</v>
      </c>
      <c r="B710" t="s">
        <v>1194</v>
      </c>
      <c r="C710" t="s">
        <v>123</v>
      </c>
      <c r="D710" t="s">
        <v>1195</v>
      </c>
      <c r="E710" t="s">
        <v>1196</v>
      </c>
      <c r="F710" t="s">
        <v>432</v>
      </c>
      <c r="G710" t="s">
        <v>13</v>
      </c>
      <c r="H710" t="s">
        <v>13</v>
      </c>
      <c r="I710" t="s">
        <v>1194</v>
      </c>
      <c r="J710" t="s">
        <v>13</v>
      </c>
      <c r="K710" t="s">
        <v>1197</v>
      </c>
      <c r="L710" t="s">
        <v>13</v>
      </c>
      <c r="M710">
        <v>0</v>
      </c>
    </row>
    <row r="711" spans="1:13">
      <c r="A711" t="s">
        <v>1198</v>
      </c>
      <c r="B711" t="s">
        <v>1199</v>
      </c>
      <c r="C711">
        <v>4504</v>
      </c>
      <c r="D711" t="s">
        <v>143</v>
      </c>
      <c r="E711" t="s">
        <v>272</v>
      </c>
      <c r="F711" t="s">
        <v>1200</v>
      </c>
      <c r="G711" t="s">
        <v>110</v>
      </c>
      <c r="H711" t="s">
        <v>13</v>
      </c>
      <c r="I711" t="s">
        <v>1201</v>
      </c>
      <c r="J711" t="s">
        <v>13</v>
      </c>
      <c r="K711" t="s">
        <v>13</v>
      </c>
      <c r="L711" t="s">
        <v>13</v>
      </c>
      <c r="M711" t="s">
        <v>13</v>
      </c>
    </row>
    <row r="712" spans="1:13">
      <c r="A712" t="s">
        <v>1202</v>
      </c>
      <c r="B712">
        <v>0</v>
      </c>
      <c r="C712" t="s">
        <v>16</v>
      </c>
      <c r="D712" t="s">
        <v>169</v>
      </c>
      <c r="E712" t="s">
        <v>170</v>
      </c>
      <c r="F712" t="s">
        <v>1203</v>
      </c>
      <c r="G712" t="s">
        <v>1204</v>
      </c>
      <c r="H712" t="s">
        <v>13</v>
      </c>
      <c r="I712" t="s">
        <v>1205</v>
      </c>
      <c r="J712" t="s">
        <v>91</v>
      </c>
      <c r="K712">
        <v>44419</v>
      </c>
      <c r="L712" t="s">
        <v>13</v>
      </c>
      <c r="M712" t="s">
        <v>13</v>
      </c>
    </row>
    <row r="713" spans="1:13">
      <c r="A713" t="s">
        <v>1206</v>
      </c>
      <c r="B713">
        <v>0</v>
      </c>
      <c r="C713" t="s">
        <v>16</v>
      </c>
      <c r="D713" t="s">
        <v>169</v>
      </c>
      <c r="E713" t="s">
        <v>170</v>
      </c>
      <c r="F713" t="s">
        <v>1207</v>
      </c>
      <c r="G713" t="s">
        <v>1208</v>
      </c>
      <c r="H713" t="s">
        <v>13</v>
      </c>
      <c r="I713" t="s">
        <v>1209</v>
      </c>
      <c r="J713" t="s">
        <v>174</v>
      </c>
      <c r="K713">
        <v>44563</v>
      </c>
      <c r="L713" t="s">
        <v>13</v>
      </c>
      <c r="M713" t="s">
        <v>13</v>
      </c>
    </row>
    <row r="714" spans="1:13">
      <c r="A714" t="s">
        <v>1210</v>
      </c>
      <c r="B714">
        <v>0</v>
      </c>
      <c r="C714" t="s">
        <v>16</v>
      </c>
      <c r="D714" t="s">
        <v>169</v>
      </c>
      <c r="E714" t="s">
        <v>170</v>
      </c>
      <c r="F714" t="s">
        <v>1211</v>
      </c>
      <c r="G714" t="s">
        <v>1212</v>
      </c>
      <c r="H714" t="s">
        <v>13</v>
      </c>
      <c r="I714" t="s">
        <v>1213</v>
      </c>
      <c r="J714" t="s">
        <v>174</v>
      </c>
      <c r="K714">
        <v>44653</v>
      </c>
      <c r="L714" t="s">
        <v>13</v>
      </c>
      <c r="M714" t="s">
        <v>13</v>
      </c>
    </row>
    <row r="715" spans="1:13">
      <c r="A715" t="s">
        <v>1214</v>
      </c>
      <c r="B715" t="s">
        <v>1215</v>
      </c>
      <c r="C715" t="s">
        <v>13</v>
      </c>
      <c r="D715" t="s">
        <v>13</v>
      </c>
      <c r="E715" t="s">
        <v>13</v>
      </c>
      <c r="F715" t="s">
        <v>13</v>
      </c>
      <c r="G715" t="s">
        <v>13</v>
      </c>
      <c r="H715" t="s">
        <v>13</v>
      </c>
      <c r="I715" t="s">
        <v>1216</v>
      </c>
      <c r="J715" t="s">
        <v>13</v>
      </c>
      <c r="K715" t="s">
        <v>13</v>
      </c>
      <c r="L715" t="s">
        <v>13</v>
      </c>
      <c r="M715" t="s">
        <v>13</v>
      </c>
    </row>
    <row r="716" spans="1:13">
      <c r="A716" t="s">
        <v>1217</v>
      </c>
      <c r="B716" t="s">
        <v>1218</v>
      </c>
      <c r="C716">
        <v>4509</v>
      </c>
      <c r="D716" t="s">
        <v>143</v>
      </c>
      <c r="E716" t="s">
        <v>382</v>
      </c>
      <c r="F716" t="s">
        <v>1219</v>
      </c>
      <c r="G716" t="s">
        <v>110</v>
      </c>
      <c r="H716" t="s">
        <v>13</v>
      </c>
      <c r="I716" t="s">
        <v>1220</v>
      </c>
      <c r="J716" t="s">
        <v>13</v>
      </c>
      <c r="K716" t="s">
        <v>13</v>
      </c>
      <c r="L716" t="s">
        <v>13</v>
      </c>
      <c r="M716" t="s">
        <v>13</v>
      </c>
    </row>
    <row r="717" spans="1:13">
      <c r="A717" t="s">
        <v>1221</v>
      </c>
      <c r="B717" t="s">
        <v>1222</v>
      </c>
      <c r="C717" t="s">
        <v>123</v>
      </c>
      <c r="D717" t="s">
        <v>131</v>
      </c>
      <c r="E717" t="s">
        <v>178</v>
      </c>
      <c r="F717" t="s">
        <v>1223</v>
      </c>
      <c r="G717" t="s">
        <v>13</v>
      </c>
      <c r="H717" t="s">
        <v>13</v>
      </c>
      <c r="I717" t="s">
        <v>1222</v>
      </c>
      <c r="J717" t="s">
        <v>13</v>
      </c>
      <c r="K717" t="s">
        <v>1224</v>
      </c>
      <c r="L717" t="s">
        <v>13</v>
      </c>
      <c r="M717" t="s">
        <v>128</v>
      </c>
    </row>
    <row r="718" spans="1:13">
      <c r="A718" t="s">
        <v>1225</v>
      </c>
      <c r="B718" t="s">
        <v>1226</v>
      </c>
      <c r="C718" t="s">
        <v>24</v>
      </c>
      <c r="D718" t="s">
        <v>157</v>
      </c>
      <c r="E718">
        <v>0</v>
      </c>
      <c r="F718" t="s">
        <v>1227</v>
      </c>
      <c r="G718" t="s">
        <v>13</v>
      </c>
      <c r="H718" t="s">
        <v>13</v>
      </c>
      <c r="I718" t="s">
        <v>13</v>
      </c>
      <c r="J718" t="s">
        <v>13</v>
      </c>
      <c r="K718">
        <v>45386</v>
      </c>
      <c r="L718" t="s">
        <v>13</v>
      </c>
      <c r="M718" t="s">
        <v>13</v>
      </c>
    </row>
    <row r="719" spans="1:13">
      <c r="A719" t="s">
        <v>1228</v>
      </c>
      <c r="B719" t="s">
        <v>1229</v>
      </c>
      <c r="C719">
        <v>4650</v>
      </c>
      <c r="D719" t="s">
        <v>107</v>
      </c>
      <c r="E719" t="s">
        <v>108</v>
      </c>
      <c r="F719" t="s">
        <v>1230</v>
      </c>
      <c r="G719" t="s">
        <v>110</v>
      </c>
      <c r="H719" t="s">
        <v>13</v>
      </c>
      <c r="I719" t="s">
        <v>1231</v>
      </c>
      <c r="J719" t="s">
        <v>13</v>
      </c>
      <c r="K719" t="s">
        <v>13</v>
      </c>
      <c r="L719" t="s">
        <v>13</v>
      </c>
      <c r="M719" t="s">
        <v>13</v>
      </c>
    </row>
    <row r="720" spans="1:13">
      <c r="A720" t="s">
        <v>1232</v>
      </c>
      <c r="B720">
        <v>0</v>
      </c>
      <c r="C720" t="s">
        <v>13</v>
      </c>
      <c r="D720" t="s">
        <v>13</v>
      </c>
      <c r="E720" t="s">
        <v>13</v>
      </c>
      <c r="F720" t="s">
        <v>13</v>
      </c>
      <c r="G720" t="s">
        <v>13</v>
      </c>
      <c r="H720" t="s">
        <v>13</v>
      </c>
      <c r="I720" t="s">
        <v>1233</v>
      </c>
      <c r="J720" t="s">
        <v>13</v>
      </c>
      <c r="K720" t="s">
        <v>13</v>
      </c>
      <c r="L720" t="s">
        <v>13</v>
      </c>
      <c r="M720" t="s">
        <v>13</v>
      </c>
    </row>
    <row r="721" spans="1:13">
      <c r="A721" t="s">
        <v>1234</v>
      </c>
      <c r="B721" t="s">
        <v>1235</v>
      </c>
      <c r="C721" t="s">
        <v>123</v>
      </c>
      <c r="D721" t="s">
        <v>177</v>
      </c>
      <c r="E721" t="s">
        <v>178</v>
      </c>
      <c r="F721" t="s">
        <v>1236</v>
      </c>
      <c r="G721" t="s">
        <v>13</v>
      </c>
      <c r="H721" t="s">
        <v>13</v>
      </c>
      <c r="I721" t="s">
        <v>1235</v>
      </c>
      <c r="J721" t="s">
        <v>13</v>
      </c>
      <c r="K721" t="s">
        <v>1237</v>
      </c>
      <c r="L721" t="s">
        <v>13</v>
      </c>
      <c r="M721">
        <v>0</v>
      </c>
    </row>
    <row r="722" spans="1:13">
      <c r="A722" t="s">
        <v>1238</v>
      </c>
      <c r="B722" t="s">
        <v>1239</v>
      </c>
      <c r="C722" t="s">
        <v>123</v>
      </c>
      <c r="D722" t="s">
        <v>131</v>
      </c>
      <c r="E722" t="s">
        <v>195</v>
      </c>
      <c r="F722" t="s">
        <v>1240</v>
      </c>
      <c r="G722" t="s">
        <v>13</v>
      </c>
      <c r="H722" t="s">
        <v>13</v>
      </c>
      <c r="I722" t="s">
        <v>1239</v>
      </c>
      <c r="J722" t="s">
        <v>13</v>
      </c>
      <c r="K722" t="s">
        <v>1241</v>
      </c>
      <c r="L722" t="s">
        <v>13</v>
      </c>
      <c r="M722">
        <v>0</v>
      </c>
    </row>
    <row r="723" spans="1:13">
      <c r="A723" t="s">
        <v>1242</v>
      </c>
      <c r="B723">
        <v>0</v>
      </c>
      <c r="C723" t="s">
        <v>13</v>
      </c>
      <c r="D723" t="s">
        <v>13</v>
      </c>
      <c r="E723" t="s">
        <v>13</v>
      </c>
      <c r="F723" t="s">
        <v>13</v>
      </c>
      <c r="G723" t="s">
        <v>13</v>
      </c>
      <c r="H723" t="s">
        <v>13</v>
      </c>
      <c r="I723">
        <v>0</v>
      </c>
      <c r="J723" t="s">
        <v>13</v>
      </c>
      <c r="K723" t="s">
        <v>13</v>
      </c>
      <c r="L723" t="s">
        <v>13</v>
      </c>
      <c r="M723" t="s">
        <v>13</v>
      </c>
    </row>
    <row r="724" spans="1:13">
      <c r="A724" t="s">
        <v>1243</v>
      </c>
      <c r="B724" t="s">
        <v>1244</v>
      </c>
      <c r="C724" t="s">
        <v>123</v>
      </c>
      <c r="D724" t="s">
        <v>1245</v>
      </c>
      <c r="E724" t="s">
        <v>815</v>
      </c>
      <c r="F724" t="s">
        <v>1246</v>
      </c>
      <c r="G724" t="s">
        <v>13</v>
      </c>
      <c r="H724" t="s">
        <v>13</v>
      </c>
      <c r="I724" t="s">
        <v>1244</v>
      </c>
      <c r="J724" t="s">
        <v>13</v>
      </c>
      <c r="K724" t="s">
        <v>1247</v>
      </c>
      <c r="L724" t="s">
        <v>13</v>
      </c>
      <c r="M724">
        <v>0</v>
      </c>
    </row>
    <row r="725" spans="1:13">
      <c r="A725" t="s">
        <v>1248</v>
      </c>
      <c r="B725" t="s">
        <v>1244</v>
      </c>
      <c r="C725" t="s">
        <v>123</v>
      </c>
      <c r="D725" t="s">
        <v>1245</v>
      </c>
      <c r="E725" t="s">
        <v>815</v>
      </c>
      <c r="F725" t="s">
        <v>1249</v>
      </c>
      <c r="G725" t="s">
        <v>13</v>
      </c>
      <c r="H725" t="s">
        <v>13</v>
      </c>
      <c r="I725" t="s">
        <v>1244</v>
      </c>
      <c r="J725" t="s">
        <v>13</v>
      </c>
      <c r="K725" t="s">
        <v>1250</v>
      </c>
      <c r="L725" t="s">
        <v>13</v>
      </c>
      <c r="M725">
        <v>0</v>
      </c>
    </row>
    <row r="726" spans="1:13">
      <c r="A726" t="s">
        <v>1251</v>
      </c>
      <c r="B726" t="s">
        <v>540</v>
      </c>
      <c r="C726">
        <v>4000</v>
      </c>
      <c r="D726" t="s">
        <v>137</v>
      </c>
      <c r="E726" t="s">
        <v>152</v>
      </c>
      <c r="F726" t="s">
        <v>1252</v>
      </c>
      <c r="G726" t="s">
        <v>110</v>
      </c>
      <c r="H726" t="s">
        <v>13</v>
      </c>
      <c r="I726" t="s">
        <v>1253</v>
      </c>
      <c r="J726" t="s">
        <v>13</v>
      </c>
      <c r="K726" t="s">
        <v>13</v>
      </c>
      <c r="L726" t="s">
        <v>13</v>
      </c>
      <c r="M726" t="s">
        <v>13</v>
      </c>
    </row>
    <row r="727" spans="1:13">
      <c r="A727" t="s">
        <v>1254</v>
      </c>
      <c r="B727" t="s">
        <v>1255</v>
      </c>
      <c r="C727" t="s">
        <v>123</v>
      </c>
      <c r="D727" t="s">
        <v>373</v>
      </c>
      <c r="E727" t="s">
        <v>458</v>
      </c>
      <c r="F727" t="s">
        <v>1256</v>
      </c>
      <c r="G727" t="s">
        <v>13</v>
      </c>
      <c r="H727" t="s">
        <v>13</v>
      </c>
      <c r="I727" t="s">
        <v>1255</v>
      </c>
      <c r="J727" t="s">
        <v>13</v>
      </c>
      <c r="K727" t="s">
        <v>1257</v>
      </c>
      <c r="L727" t="s">
        <v>13</v>
      </c>
      <c r="M727">
        <v>0</v>
      </c>
    </row>
    <row r="728" spans="1:13">
      <c r="A728" t="s">
        <v>1258</v>
      </c>
      <c r="B728" t="s">
        <v>1259</v>
      </c>
      <c r="C728" t="s">
        <v>123</v>
      </c>
      <c r="D728" t="s">
        <v>1186</v>
      </c>
      <c r="E728" t="s">
        <v>820</v>
      </c>
      <c r="F728" t="s">
        <v>1260</v>
      </c>
      <c r="G728" t="s">
        <v>13</v>
      </c>
      <c r="H728" t="s">
        <v>13</v>
      </c>
      <c r="I728" t="s">
        <v>1259</v>
      </c>
      <c r="J728" t="s">
        <v>13</v>
      </c>
      <c r="K728" t="s">
        <v>1261</v>
      </c>
      <c r="L728" t="s">
        <v>13</v>
      </c>
      <c r="M728">
        <v>0</v>
      </c>
    </row>
    <row r="729" spans="1:13">
      <c r="A729" t="s">
        <v>1262</v>
      </c>
      <c r="B729" t="s">
        <v>1263</v>
      </c>
      <c r="C729" t="s">
        <v>123</v>
      </c>
      <c r="D729" t="s">
        <v>1264</v>
      </c>
      <c r="E729" t="s">
        <v>132</v>
      </c>
      <c r="F729" t="s">
        <v>1265</v>
      </c>
      <c r="G729" t="s">
        <v>13</v>
      </c>
      <c r="H729" t="s">
        <v>13</v>
      </c>
      <c r="I729" t="s">
        <v>1263</v>
      </c>
      <c r="J729" t="s">
        <v>13</v>
      </c>
      <c r="K729" t="s">
        <v>1165</v>
      </c>
      <c r="L729" t="s">
        <v>13</v>
      </c>
      <c r="M729" t="s">
        <v>288</v>
      </c>
    </row>
    <row r="730" spans="1:13">
      <c r="A730" t="s">
        <v>1262</v>
      </c>
      <c r="B730" t="s">
        <v>1263</v>
      </c>
      <c r="C730" t="s">
        <v>123</v>
      </c>
      <c r="D730" t="s">
        <v>1264</v>
      </c>
      <c r="E730" t="s">
        <v>132</v>
      </c>
      <c r="F730" t="s">
        <v>1265</v>
      </c>
      <c r="G730" t="s">
        <v>13</v>
      </c>
      <c r="H730" t="s">
        <v>13</v>
      </c>
      <c r="I730" t="s">
        <v>1263</v>
      </c>
      <c r="J730" t="s">
        <v>13</v>
      </c>
      <c r="K730" t="s">
        <v>1165</v>
      </c>
      <c r="L730" t="s">
        <v>13</v>
      </c>
      <c r="M730" t="s">
        <v>288</v>
      </c>
    </row>
    <row r="731" spans="1:13">
      <c r="A731" t="s">
        <v>1262</v>
      </c>
      <c r="B731" t="s">
        <v>1263</v>
      </c>
      <c r="C731" t="s">
        <v>123</v>
      </c>
      <c r="D731" t="s">
        <v>1264</v>
      </c>
      <c r="E731" t="s">
        <v>132</v>
      </c>
      <c r="F731" t="s">
        <v>1265</v>
      </c>
      <c r="G731" t="s">
        <v>13</v>
      </c>
      <c r="H731" t="s">
        <v>13</v>
      </c>
      <c r="I731" t="s">
        <v>1263</v>
      </c>
      <c r="J731" t="s">
        <v>13</v>
      </c>
      <c r="K731" t="s">
        <v>1165</v>
      </c>
      <c r="L731" t="s">
        <v>13</v>
      </c>
      <c r="M731" t="s">
        <v>288</v>
      </c>
    </row>
    <row r="732" spans="1:13">
      <c r="A732" t="s">
        <v>1266</v>
      </c>
      <c r="B732" t="s">
        <v>1267</v>
      </c>
      <c r="C732" t="s">
        <v>602</v>
      </c>
      <c r="D732">
        <v>0</v>
      </c>
      <c r="E732" t="s">
        <v>1268</v>
      </c>
      <c r="F732" t="s">
        <v>13</v>
      </c>
      <c r="G732" t="s">
        <v>13</v>
      </c>
      <c r="H732" t="s">
        <v>13</v>
      </c>
      <c r="I732" t="s">
        <v>1269</v>
      </c>
      <c r="J732" t="s">
        <v>13</v>
      </c>
      <c r="K732" t="s">
        <v>13</v>
      </c>
      <c r="L732" t="s">
        <v>13</v>
      </c>
      <c r="M732" t="s">
        <v>13</v>
      </c>
    </row>
    <row r="733" spans="1:13">
      <c r="A733" t="s">
        <v>1266</v>
      </c>
      <c r="B733" t="s">
        <v>1267</v>
      </c>
      <c r="C733" t="s">
        <v>602</v>
      </c>
      <c r="D733">
        <v>0</v>
      </c>
      <c r="E733" t="s">
        <v>1268</v>
      </c>
      <c r="F733" t="s">
        <v>13</v>
      </c>
      <c r="G733" t="s">
        <v>13</v>
      </c>
      <c r="H733" t="s">
        <v>13</v>
      </c>
      <c r="I733" t="s">
        <v>1269</v>
      </c>
      <c r="J733" t="s">
        <v>13</v>
      </c>
      <c r="K733" t="s">
        <v>13</v>
      </c>
      <c r="L733" t="s">
        <v>13</v>
      </c>
      <c r="M733" t="s">
        <v>13</v>
      </c>
    </row>
    <row r="734" spans="1:13">
      <c r="A734" t="s">
        <v>1266</v>
      </c>
      <c r="B734" t="s">
        <v>1267</v>
      </c>
      <c r="C734" t="s">
        <v>602</v>
      </c>
      <c r="D734">
        <v>0</v>
      </c>
      <c r="E734" t="s">
        <v>1268</v>
      </c>
      <c r="F734" t="s">
        <v>13</v>
      </c>
      <c r="G734" t="s">
        <v>13</v>
      </c>
      <c r="H734" t="s">
        <v>13</v>
      </c>
      <c r="I734" t="s">
        <v>1269</v>
      </c>
      <c r="J734" t="s">
        <v>13</v>
      </c>
      <c r="K734" t="s">
        <v>13</v>
      </c>
      <c r="L734" t="s">
        <v>13</v>
      </c>
      <c r="M734" t="s">
        <v>13</v>
      </c>
    </row>
    <row r="735" spans="1:13">
      <c r="A735" t="s">
        <v>1270</v>
      </c>
      <c r="B735" t="s">
        <v>1271</v>
      </c>
      <c r="C735" t="s">
        <v>123</v>
      </c>
      <c r="D735" t="s">
        <v>796</v>
      </c>
      <c r="E735" t="s">
        <v>125</v>
      </c>
      <c r="F735" t="s">
        <v>1272</v>
      </c>
      <c r="G735">
        <v>0</v>
      </c>
      <c r="H735" t="s">
        <v>13</v>
      </c>
      <c r="I735" t="s">
        <v>1271</v>
      </c>
      <c r="J735" t="s">
        <v>13</v>
      </c>
      <c r="K735" t="s">
        <v>1273</v>
      </c>
      <c r="L735" t="s">
        <v>13</v>
      </c>
      <c r="M735" t="s">
        <v>288</v>
      </c>
    </row>
    <row r="736" spans="1:13">
      <c r="A736" t="s">
        <v>1270</v>
      </c>
      <c r="B736" t="s">
        <v>1271</v>
      </c>
      <c r="C736" t="s">
        <v>123</v>
      </c>
      <c r="D736" t="s">
        <v>796</v>
      </c>
      <c r="E736" t="s">
        <v>125</v>
      </c>
      <c r="F736" t="s">
        <v>1272</v>
      </c>
      <c r="G736">
        <v>0</v>
      </c>
      <c r="H736" t="s">
        <v>13</v>
      </c>
      <c r="I736" t="s">
        <v>1271</v>
      </c>
      <c r="J736" t="s">
        <v>13</v>
      </c>
      <c r="K736" t="s">
        <v>1273</v>
      </c>
      <c r="L736" t="s">
        <v>13</v>
      </c>
      <c r="M736" t="s">
        <v>288</v>
      </c>
    </row>
    <row r="737" spans="1:13">
      <c r="A737" t="s">
        <v>1274</v>
      </c>
      <c r="B737" t="s">
        <v>1275</v>
      </c>
      <c r="C737" t="s">
        <v>602</v>
      </c>
      <c r="D737" t="s">
        <v>677</v>
      </c>
      <c r="E737" t="s">
        <v>683</v>
      </c>
      <c r="F737" t="s">
        <v>13</v>
      </c>
      <c r="G737" t="s">
        <v>13</v>
      </c>
      <c r="H737" t="s">
        <v>13</v>
      </c>
      <c r="I737">
        <v>0</v>
      </c>
      <c r="J737" t="s">
        <v>13</v>
      </c>
      <c r="K737" t="s">
        <v>13</v>
      </c>
      <c r="L737" t="s">
        <v>13</v>
      </c>
      <c r="M737" t="s">
        <v>13</v>
      </c>
    </row>
    <row r="738" spans="1:13">
      <c r="A738" t="s">
        <v>1276</v>
      </c>
      <c r="B738" t="s">
        <v>1277</v>
      </c>
      <c r="C738" t="s">
        <v>123</v>
      </c>
      <c r="D738" t="s">
        <v>796</v>
      </c>
      <c r="E738" t="s">
        <v>178</v>
      </c>
      <c r="F738" t="s">
        <v>1278</v>
      </c>
      <c r="G738" t="s">
        <v>13</v>
      </c>
      <c r="H738" t="s">
        <v>13</v>
      </c>
      <c r="I738" t="s">
        <v>1277</v>
      </c>
      <c r="J738" t="s">
        <v>13</v>
      </c>
      <c r="K738" t="s">
        <v>1279</v>
      </c>
      <c r="L738" t="s">
        <v>13</v>
      </c>
      <c r="M738" t="s">
        <v>288</v>
      </c>
    </row>
    <row r="739" spans="1:13">
      <c r="A739" t="s">
        <v>1276</v>
      </c>
      <c r="B739" t="s">
        <v>1277</v>
      </c>
      <c r="C739" t="s">
        <v>123</v>
      </c>
      <c r="D739" t="s">
        <v>796</v>
      </c>
      <c r="E739" t="s">
        <v>178</v>
      </c>
      <c r="F739" t="s">
        <v>1278</v>
      </c>
      <c r="G739" t="s">
        <v>13</v>
      </c>
      <c r="H739" t="s">
        <v>13</v>
      </c>
      <c r="I739" t="s">
        <v>1277</v>
      </c>
      <c r="J739" t="s">
        <v>13</v>
      </c>
      <c r="K739" t="s">
        <v>1279</v>
      </c>
      <c r="L739" t="s">
        <v>13</v>
      </c>
      <c r="M739" t="s">
        <v>288</v>
      </c>
    </row>
    <row r="740" spans="1:13">
      <c r="A740" t="s">
        <v>1280</v>
      </c>
      <c r="B740" t="s">
        <v>1281</v>
      </c>
      <c r="C740" t="s">
        <v>123</v>
      </c>
      <c r="D740" t="s">
        <v>177</v>
      </c>
      <c r="E740" t="s">
        <v>285</v>
      </c>
      <c r="F740" t="s">
        <v>1282</v>
      </c>
      <c r="G740">
        <v>0</v>
      </c>
      <c r="H740" t="s">
        <v>13</v>
      </c>
      <c r="I740" t="s">
        <v>1281</v>
      </c>
      <c r="J740" t="s">
        <v>13</v>
      </c>
      <c r="K740" t="s">
        <v>1150</v>
      </c>
      <c r="L740" t="s">
        <v>13</v>
      </c>
      <c r="M740" t="s">
        <v>288</v>
      </c>
    </row>
    <row r="741" spans="1:13">
      <c r="A741" t="s">
        <v>1280</v>
      </c>
      <c r="B741" t="s">
        <v>1281</v>
      </c>
      <c r="C741" t="s">
        <v>123</v>
      </c>
      <c r="D741" t="s">
        <v>177</v>
      </c>
      <c r="E741" t="s">
        <v>285</v>
      </c>
      <c r="F741" t="s">
        <v>1282</v>
      </c>
      <c r="G741">
        <v>0</v>
      </c>
      <c r="H741" t="s">
        <v>13</v>
      </c>
      <c r="I741" t="s">
        <v>1281</v>
      </c>
      <c r="J741" t="s">
        <v>13</v>
      </c>
      <c r="K741" t="s">
        <v>1150</v>
      </c>
      <c r="L741" t="s">
        <v>13</v>
      </c>
      <c r="M741" t="s">
        <v>288</v>
      </c>
    </row>
    <row r="742" spans="1:13">
      <c r="A742" t="s">
        <v>1283</v>
      </c>
      <c r="B742" t="s">
        <v>1284</v>
      </c>
      <c r="C742" t="s">
        <v>602</v>
      </c>
      <c r="D742" t="s">
        <v>677</v>
      </c>
      <c r="E742" t="s">
        <v>1285</v>
      </c>
      <c r="F742" t="s">
        <v>13</v>
      </c>
      <c r="G742" t="s">
        <v>13</v>
      </c>
      <c r="H742" t="s">
        <v>13</v>
      </c>
      <c r="I742">
        <v>0</v>
      </c>
      <c r="J742" t="s">
        <v>13</v>
      </c>
      <c r="K742" t="s">
        <v>13</v>
      </c>
      <c r="L742" t="s">
        <v>13</v>
      </c>
      <c r="M742" t="s">
        <v>13</v>
      </c>
    </row>
    <row r="743" spans="1:13">
      <c r="A743" t="s">
        <v>1286</v>
      </c>
      <c r="B743" t="s">
        <v>1287</v>
      </c>
      <c r="C743" t="s">
        <v>602</v>
      </c>
      <c r="D743" t="s">
        <v>677</v>
      </c>
      <c r="E743" t="s">
        <v>678</v>
      </c>
      <c r="F743" t="s">
        <v>13</v>
      </c>
      <c r="G743" t="s">
        <v>13</v>
      </c>
      <c r="H743" t="s">
        <v>13</v>
      </c>
      <c r="I743" t="s">
        <v>1288</v>
      </c>
      <c r="J743" t="s">
        <v>13</v>
      </c>
      <c r="K743" t="s">
        <v>13</v>
      </c>
      <c r="L743" t="s">
        <v>13</v>
      </c>
      <c r="M743" t="s">
        <v>13</v>
      </c>
    </row>
    <row r="744" spans="1:13">
      <c r="A744" t="s">
        <v>1289</v>
      </c>
      <c r="B744" t="s">
        <v>1290</v>
      </c>
      <c r="C744" t="s">
        <v>123</v>
      </c>
      <c r="D744" t="s">
        <v>814</v>
      </c>
      <c r="E744" t="s">
        <v>125</v>
      </c>
      <c r="F744" t="s">
        <v>1291</v>
      </c>
      <c r="G744">
        <v>0</v>
      </c>
      <c r="H744" t="s">
        <v>13</v>
      </c>
      <c r="I744" t="s">
        <v>1290</v>
      </c>
      <c r="J744" t="s">
        <v>13</v>
      </c>
      <c r="K744" t="s">
        <v>1292</v>
      </c>
      <c r="L744" t="s">
        <v>13</v>
      </c>
      <c r="M744" t="s">
        <v>288</v>
      </c>
    </row>
    <row r="745" spans="1:13">
      <c r="A745" t="s">
        <v>1289</v>
      </c>
      <c r="B745" t="s">
        <v>1290</v>
      </c>
      <c r="C745" t="s">
        <v>123</v>
      </c>
      <c r="D745" t="s">
        <v>814</v>
      </c>
      <c r="E745" t="s">
        <v>125</v>
      </c>
      <c r="F745" t="s">
        <v>1291</v>
      </c>
      <c r="G745">
        <v>0</v>
      </c>
      <c r="H745" t="s">
        <v>13</v>
      </c>
      <c r="I745" t="s">
        <v>1290</v>
      </c>
      <c r="J745" t="s">
        <v>13</v>
      </c>
      <c r="K745" t="s">
        <v>1292</v>
      </c>
      <c r="L745" t="s">
        <v>13</v>
      </c>
      <c r="M745" t="s">
        <v>288</v>
      </c>
    </row>
    <row r="746" spans="1:13">
      <c r="A746" t="s">
        <v>1293</v>
      </c>
      <c r="B746" t="s">
        <v>1294</v>
      </c>
      <c r="C746" t="s">
        <v>123</v>
      </c>
      <c r="D746" t="s">
        <v>177</v>
      </c>
      <c r="E746" t="s">
        <v>458</v>
      </c>
      <c r="F746" t="s">
        <v>1295</v>
      </c>
      <c r="G746">
        <v>0</v>
      </c>
      <c r="H746" t="s">
        <v>13</v>
      </c>
      <c r="I746" t="s">
        <v>1294</v>
      </c>
      <c r="J746" t="s">
        <v>13</v>
      </c>
      <c r="K746" t="s">
        <v>534</v>
      </c>
      <c r="L746" t="s">
        <v>13</v>
      </c>
      <c r="M746" t="s">
        <v>288</v>
      </c>
    </row>
    <row r="747" spans="1:13">
      <c r="A747" t="s">
        <v>1293</v>
      </c>
      <c r="B747" t="s">
        <v>1294</v>
      </c>
      <c r="C747" t="s">
        <v>123</v>
      </c>
      <c r="D747" t="s">
        <v>177</v>
      </c>
      <c r="E747" t="s">
        <v>458</v>
      </c>
      <c r="F747" t="s">
        <v>1295</v>
      </c>
      <c r="G747">
        <v>0</v>
      </c>
      <c r="H747" t="s">
        <v>13</v>
      </c>
      <c r="I747" t="s">
        <v>1294</v>
      </c>
      <c r="J747" t="s">
        <v>13</v>
      </c>
      <c r="K747" t="s">
        <v>534</v>
      </c>
      <c r="L747" t="s">
        <v>13</v>
      </c>
      <c r="M747" t="s">
        <v>288</v>
      </c>
    </row>
    <row r="748" spans="1:13">
      <c r="A748" t="s">
        <v>1293</v>
      </c>
      <c r="B748" t="s">
        <v>1294</v>
      </c>
      <c r="C748" t="s">
        <v>123</v>
      </c>
      <c r="D748" t="s">
        <v>177</v>
      </c>
      <c r="E748" t="s">
        <v>458</v>
      </c>
      <c r="F748" t="s">
        <v>1295</v>
      </c>
      <c r="G748">
        <v>0</v>
      </c>
      <c r="H748" t="s">
        <v>13</v>
      </c>
      <c r="I748" t="s">
        <v>1294</v>
      </c>
      <c r="J748" t="s">
        <v>13</v>
      </c>
      <c r="K748" t="s">
        <v>534</v>
      </c>
      <c r="L748" t="s">
        <v>13</v>
      </c>
      <c r="M748" t="s">
        <v>288</v>
      </c>
    </row>
    <row r="749" spans="1:13">
      <c r="A749" t="s">
        <v>1296</v>
      </c>
      <c r="B749" t="s">
        <v>1297</v>
      </c>
      <c r="C749" t="s">
        <v>602</v>
      </c>
      <c r="D749" t="s">
        <v>1298</v>
      </c>
      <c r="E749" t="s">
        <v>1299</v>
      </c>
      <c r="F749">
        <v>0</v>
      </c>
      <c r="G749">
        <v>0</v>
      </c>
      <c r="H749" t="s">
        <v>13</v>
      </c>
      <c r="I749">
        <v>0</v>
      </c>
      <c r="J749" t="s">
        <v>13</v>
      </c>
      <c r="K749" t="s">
        <v>13</v>
      </c>
      <c r="L749" t="s">
        <v>13</v>
      </c>
      <c r="M749" t="s">
        <v>13</v>
      </c>
    </row>
    <row r="750" spans="1:13">
      <c r="A750" t="s">
        <v>1296</v>
      </c>
      <c r="B750" t="s">
        <v>1297</v>
      </c>
      <c r="C750" t="s">
        <v>602</v>
      </c>
      <c r="D750" t="s">
        <v>1298</v>
      </c>
      <c r="E750" t="s">
        <v>1299</v>
      </c>
      <c r="F750">
        <v>0</v>
      </c>
      <c r="G750">
        <v>0</v>
      </c>
      <c r="H750" t="s">
        <v>13</v>
      </c>
      <c r="I750">
        <v>0</v>
      </c>
      <c r="J750" t="s">
        <v>13</v>
      </c>
      <c r="K750" t="s">
        <v>13</v>
      </c>
      <c r="L750" t="s">
        <v>13</v>
      </c>
      <c r="M750" t="s">
        <v>13</v>
      </c>
    </row>
    <row r="751" spans="1:13">
      <c r="A751" t="s">
        <v>1300</v>
      </c>
      <c r="B751" t="s">
        <v>1301</v>
      </c>
      <c r="C751" t="s">
        <v>602</v>
      </c>
      <c r="D751" t="s">
        <v>1302</v>
      </c>
      <c r="E751" t="s">
        <v>604</v>
      </c>
      <c r="F751" t="s">
        <v>13</v>
      </c>
      <c r="G751" t="s">
        <v>13</v>
      </c>
      <c r="H751" t="s">
        <v>13</v>
      </c>
      <c r="I751">
        <v>0</v>
      </c>
      <c r="J751" t="s">
        <v>13</v>
      </c>
      <c r="K751" t="s">
        <v>13</v>
      </c>
      <c r="L751" t="s">
        <v>13</v>
      </c>
      <c r="M751" t="s">
        <v>13</v>
      </c>
    </row>
    <row r="752" spans="1:13">
      <c r="A752" t="s">
        <v>1303</v>
      </c>
      <c r="B752" t="s">
        <v>1304</v>
      </c>
      <c r="C752" t="s">
        <v>602</v>
      </c>
      <c r="D752" t="s">
        <v>677</v>
      </c>
      <c r="E752" t="s">
        <v>683</v>
      </c>
      <c r="F752" t="s">
        <v>13</v>
      </c>
      <c r="G752" t="s">
        <v>13</v>
      </c>
      <c r="H752" t="s">
        <v>13</v>
      </c>
      <c r="I752">
        <v>0</v>
      </c>
      <c r="J752" t="s">
        <v>13</v>
      </c>
      <c r="K752" t="s">
        <v>13</v>
      </c>
      <c r="L752" t="s">
        <v>13</v>
      </c>
      <c r="M752" t="s">
        <v>13</v>
      </c>
    </row>
    <row r="753" spans="1:13">
      <c r="A753" t="s">
        <v>1305</v>
      </c>
      <c r="B753" t="s">
        <v>1306</v>
      </c>
      <c r="C753" t="s">
        <v>602</v>
      </c>
      <c r="D753" t="s">
        <v>792</v>
      </c>
      <c r="E753" t="s">
        <v>793</v>
      </c>
      <c r="F753">
        <v>0</v>
      </c>
      <c r="G753">
        <v>0</v>
      </c>
      <c r="H753" t="s">
        <v>13</v>
      </c>
      <c r="I753">
        <v>0</v>
      </c>
      <c r="J753" t="s">
        <v>13</v>
      </c>
      <c r="K753" t="s">
        <v>13</v>
      </c>
      <c r="L753" t="s">
        <v>13</v>
      </c>
      <c r="M753" t="s">
        <v>13</v>
      </c>
    </row>
    <row r="754" spans="1:13">
      <c r="A754" t="s">
        <v>1305</v>
      </c>
      <c r="B754" t="s">
        <v>1306</v>
      </c>
      <c r="C754" t="s">
        <v>602</v>
      </c>
      <c r="D754" t="s">
        <v>792</v>
      </c>
      <c r="E754" t="s">
        <v>793</v>
      </c>
      <c r="F754">
        <v>0</v>
      </c>
      <c r="G754">
        <v>0</v>
      </c>
      <c r="H754" t="s">
        <v>13</v>
      </c>
      <c r="I754">
        <v>0</v>
      </c>
      <c r="J754" t="s">
        <v>13</v>
      </c>
      <c r="K754" t="s">
        <v>13</v>
      </c>
      <c r="L754" t="s">
        <v>13</v>
      </c>
      <c r="M754" t="s">
        <v>13</v>
      </c>
    </row>
    <row r="755" spans="1:13">
      <c r="A755" t="s">
        <v>1307</v>
      </c>
      <c r="B755" t="s">
        <v>1308</v>
      </c>
      <c r="C755" t="s">
        <v>123</v>
      </c>
      <c r="D755" t="s">
        <v>796</v>
      </c>
      <c r="E755" t="s">
        <v>458</v>
      </c>
      <c r="F755" t="s">
        <v>1309</v>
      </c>
      <c r="G755" t="s">
        <v>13</v>
      </c>
      <c r="H755" t="s">
        <v>13</v>
      </c>
      <c r="I755" t="s">
        <v>1308</v>
      </c>
      <c r="J755" t="s">
        <v>13</v>
      </c>
      <c r="K755" t="s">
        <v>1310</v>
      </c>
      <c r="L755" t="s">
        <v>13</v>
      </c>
      <c r="M755" t="s">
        <v>288</v>
      </c>
    </row>
    <row r="756" spans="1:13">
      <c r="A756" t="s">
        <v>1311</v>
      </c>
      <c r="B756" t="s">
        <v>1312</v>
      </c>
      <c r="C756" t="s">
        <v>123</v>
      </c>
      <c r="D756" t="s">
        <v>796</v>
      </c>
      <c r="E756" t="s">
        <v>285</v>
      </c>
      <c r="F756" t="s">
        <v>1313</v>
      </c>
      <c r="G756" t="s">
        <v>13</v>
      </c>
      <c r="H756" t="s">
        <v>13</v>
      </c>
      <c r="I756" t="s">
        <v>1312</v>
      </c>
      <c r="J756" t="s">
        <v>13</v>
      </c>
      <c r="K756" t="s">
        <v>1314</v>
      </c>
      <c r="L756" t="s">
        <v>13</v>
      </c>
      <c r="M756" t="s">
        <v>288</v>
      </c>
    </row>
    <row r="757" spans="1:13">
      <c r="A757" t="s">
        <v>1315</v>
      </c>
      <c r="B757" t="s">
        <v>1316</v>
      </c>
      <c r="C757" t="s">
        <v>123</v>
      </c>
      <c r="D757" t="s">
        <v>796</v>
      </c>
      <c r="E757" t="s">
        <v>285</v>
      </c>
      <c r="F757" t="s">
        <v>1317</v>
      </c>
      <c r="G757" t="s">
        <v>13</v>
      </c>
      <c r="H757" t="s">
        <v>13</v>
      </c>
      <c r="I757" t="s">
        <v>1316</v>
      </c>
      <c r="J757" t="s">
        <v>13</v>
      </c>
      <c r="K757" t="s">
        <v>1114</v>
      </c>
      <c r="L757" t="s">
        <v>13</v>
      </c>
      <c r="M757" t="s">
        <v>288</v>
      </c>
    </row>
    <row r="758" spans="1:13">
      <c r="A758" t="s">
        <v>1318</v>
      </c>
      <c r="B758" t="s">
        <v>1319</v>
      </c>
      <c r="C758" t="s">
        <v>123</v>
      </c>
      <c r="D758" t="s">
        <v>796</v>
      </c>
      <c r="E758" t="s">
        <v>125</v>
      </c>
      <c r="F758" t="s">
        <v>1320</v>
      </c>
      <c r="G758" t="s">
        <v>13</v>
      </c>
      <c r="H758" t="s">
        <v>13</v>
      </c>
      <c r="I758" t="s">
        <v>1319</v>
      </c>
      <c r="J758" t="s">
        <v>13</v>
      </c>
      <c r="K758" t="s">
        <v>1321</v>
      </c>
      <c r="L758" t="s">
        <v>13</v>
      </c>
      <c r="M758" t="s">
        <v>288</v>
      </c>
    </row>
    <row r="759" spans="1:13">
      <c r="A759" t="s">
        <v>1322</v>
      </c>
      <c r="B759" t="s">
        <v>1323</v>
      </c>
      <c r="C759" t="s">
        <v>123</v>
      </c>
      <c r="D759" t="s">
        <v>796</v>
      </c>
      <c r="E759" t="s">
        <v>132</v>
      </c>
      <c r="F759" t="s">
        <v>1324</v>
      </c>
      <c r="G759" t="s">
        <v>13</v>
      </c>
      <c r="H759" t="s">
        <v>13</v>
      </c>
      <c r="I759" t="s">
        <v>1323</v>
      </c>
      <c r="J759" t="s">
        <v>13</v>
      </c>
      <c r="K759" t="s">
        <v>1325</v>
      </c>
      <c r="L759" t="s">
        <v>13</v>
      </c>
      <c r="M759" t="s">
        <v>288</v>
      </c>
    </row>
    <row r="760" spans="1:13">
      <c r="A760" t="s">
        <v>1326</v>
      </c>
      <c r="B760" t="s">
        <v>1327</v>
      </c>
      <c r="C760" t="s">
        <v>602</v>
      </c>
      <c r="D760" t="s">
        <v>1328</v>
      </c>
      <c r="E760" t="s">
        <v>1329</v>
      </c>
      <c r="F760" t="s">
        <v>13</v>
      </c>
      <c r="G760" t="s">
        <v>13</v>
      </c>
      <c r="H760" t="s">
        <v>13</v>
      </c>
      <c r="I760">
        <v>0</v>
      </c>
      <c r="J760" t="s">
        <v>13</v>
      </c>
      <c r="K760" t="s">
        <v>13</v>
      </c>
      <c r="L760" t="s">
        <v>13</v>
      </c>
      <c r="M760" t="s">
        <v>13</v>
      </c>
    </row>
    <row r="761" spans="1:13">
      <c r="A761" t="s">
        <v>1330</v>
      </c>
      <c r="B761" t="s">
        <v>1331</v>
      </c>
      <c r="C761" t="s">
        <v>602</v>
      </c>
      <c r="D761" t="s">
        <v>1332</v>
      </c>
      <c r="E761" t="s">
        <v>1333</v>
      </c>
      <c r="F761" t="s">
        <v>13</v>
      </c>
      <c r="G761" t="s">
        <v>13</v>
      </c>
      <c r="H761" t="s">
        <v>13</v>
      </c>
      <c r="I761">
        <v>0</v>
      </c>
      <c r="J761" t="s">
        <v>13</v>
      </c>
      <c r="K761" t="s">
        <v>13</v>
      </c>
      <c r="L761" t="s">
        <v>13</v>
      </c>
      <c r="M761" t="s">
        <v>13</v>
      </c>
    </row>
    <row r="762" spans="1:13">
      <c r="A762" t="s">
        <v>1334</v>
      </c>
      <c r="B762" t="s">
        <v>1335</v>
      </c>
      <c r="C762" t="s">
        <v>602</v>
      </c>
      <c r="D762" t="s">
        <v>677</v>
      </c>
      <c r="E762" t="s">
        <v>683</v>
      </c>
      <c r="F762" t="s">
        <v>13</v>
      </c>
      <c r="G762" t="s">
        <v>13</v>
      </c>
      <c r="H762" t="s">
        <v>13</v>
      </c>
      <c r="I762">
        <v>0</v>
      </c>
      <c r="J762" t="s">
        <v>13</v>
      </c>
      <c r="K762" t="s">
        <v>13</v>
      </c>
      <c r="L762" t="s">
        <v>13</v>
      </c>
      <c r="M762" t="s">
        <v>13</v>
      </c>
    </row>
    <row r="763" spans="1:13">
      <c r="A763" t="s">
        <v>1336</v>
      </c>
      <c r="B763" t="s">
        <v>1337</v>
      </c>
      <c r="C763" t="s">
        <v>123</v>
      </c>
      <c r="D763" t="s">
        <v>796</v>
      </c>
      <c r="E763" t="s">
        <v>132</v>
      </c>
      <c r="F763" t="s">
        <v>1338</v>
      </c>
      <c r="G763" t="s">
        <v>13</v>
      </c>
      <c r="H763" t="s">
        <v>13</v>
      </c>
      <c r="I763" t="s">
        <v>1337</v>
      </c>
      <c r="J763" t="s">
        <v>13</v>
      </c>
      <c r="K763" t="s">
        <v>1339</v>
      </c>
      <c r="L763" t="s">
        <v>13</v>
      </c>
      <c r="M763" t="s">
        <v>288</v>
      </c>
    </row>
    <row r="764" spans="1:13">
      <c r="A764" t="s">
        <v>1340</v>
      </c>
      <c r="B764" t="s">
        <v>1341</v>
      </c>
      <c r="C764" t="s">
        <v>123</v>
      </c>
      <c r="D764" t="s">
        <v>796</v>
      </c>
      <c r="E764" t="s">
        <v>132</v>
      </c>
      <c r="F764" t="s">
        <v>1342</v>
      </c>
      <c r="G764">
        <v>0</v>
      </c>
      <c r="H764" t="s">
        <v>13</v>
      </c>
      <c r="I764" t="s">
        <v>1341</v>
      </c>
      <c r="J764" t="s">
        <v>13</v>
      </c>
      <c r="K764" t="s">
        <v>1343</v>
      </c>
      <c r="L764" t="s">
        <v>13</v>
      </c>
      <c r="M764" t="s">
        <v>288</v>
      </c>
    </row>
    <row r="765" spans="1:13">
      <c r="A765" t="s">
        <v>1340</v>
      </c>
      <c r="B765" t="s">
        <v>1341</v>
      </c>
      <c r="C765" t="s">
        <v>123</v>
      </c>
      <c r="D765" t="s">
        <v>796</v>
      </c>
      <c r="E765" t="s">
        <v>132</v>
      </c>
      <c r="F765" t="s">
        <v>1342</v>
      </c>
      <c r="G765">
        <v>0</v>
      </c>
      <c r="H765" t="s">
        <v>13</v>
      </c>
      <c r="I765" t="s">
        <v>1341</v>
      </c>
      <c r="J765" t="s">
        <v>13</v>
      </c>
      <c r="K765" t="s">
        <v>1343</v>
      </c>
      <c r="L765" t="s">
        <v>13</v>
      </c>
      <c r="M765" t="s">
        <v>288</v>
      </c>
    </row>
    <row r="766" spans="1:13">
      <c r="A766" t="s">
        <v>1344</v>
      </c>
      <c r="B766" t="s">
        <v>1345</v>
      </c>
      <c r="C766" t="s">
        <v>602</v>
      </c>
      <c r="D766" t="s">
        <v>677</v>
      </c>
      <c r="E766" t="s">
        <v>683</v>
      </c>
      <c r="F766" t="s">
        <v>13</v>
      </c>
      <c r="G766" t="s">
        <v>13</v>
      </c>
      <c r="H766" t="s">
        <v>13</v>
      </c>
      <c r="I766">
        <v>0</v>
      </c>
      <c r="J766" t="s">
        <v>13</v>
      </c>
      <c r="K766" t="s">
        <v>13</v>
      </c>
      <c r="L766" t="s">
        <v>13</v>
      </c>
      <c r="M766" t="s">
        <v>13</v>
      </c>
    </row>
    <row r="767" spans="1:13">
      <c r="A767" t="s">
        <v>1346</v>
      </c>
      <c r="B767" t="s">
        <v>1347</v>
      </c>
      <c r="C767" t="s">
        <v>602</v>
      </c>
      <c r="D767" t="s">
        <v>1348</v>
      </c>
      <c r="E767" t="s">
        <v>1349</v>
      </c>
      <c r="F767" t="s">
        <v>13</v>
      </c>
      <c r="G767" t="s">
        <v>13</v>
      </c>
      <c r="H767" t="s">
        <v>13</v>
      </c>
      <c r="I767">
        <v>0</v>
      </c>
      <c r="J767" t="s">
        <v>13</v>
      </c>
      <c r="K767" t="s">
        <v>13</v>
      </c>
      <c r="L767" t="s">
        <v>13</v>
      </c>
      <c r="M767" t="s">
        <v>13</v>
      </c>
    </row>
    <row r="768" spans="1:13">
      <c r="A768" t="s">
        <v>1350</v>
      </c>
      <c r="B768" t="s">
        <v>1351</v>
      </c>
      <c r="C768" t="s">
        <v>602</v>
      </c>
      <c r="D768">
        <v>0</v>
      </c>
      <c r="E768" t="s">
        <v>1268</v>
      </c>
      <c r="F768">
        <v>0</v>
      </c>
      <c r="G768">
        <v>0</v>
      </c>
      <c r="H768" t="s">
        <v>13</v>
      </c>
      <c r="I768" t="s">
        <v>1352</v>
      </c>
      <c r="J768" t="s">
        <v>13</v>
      </c>
      <c r="K768" t="s">
        <v>13</v>
      </c>
      <c r="L768" t="s">
        <v>13</v>
      </c>
      <c r="M768" t="s">
        <v>13</v>
      </c>
    </row>
    <row r="769" spans="1:13">
      <c r="A769" t="s">
        <v>1350</v>
      </c>
      <c r="B769" t="s">
        <v>1351</v>
      </c>
      <c r="C769" t="s">
        <v>602</v>
      </c>
      <c r="D769">
        <v>0</v>
      </c>
      <c r="E769" t="s">
        <v>1268</v>
      </c>
      <c r="F769">
        <v>0</v>
      </c>
      <c r="G769">
        <v>0</v>
      </c>
      <c r="H769" t="s">
        <v>13</v>
      </c>
      <c r="I769" t="s">
        <v>1352</v>
      </c>
      <c r="J769" t="s">
        <v>13</v>
      </c>
      <c r="K769" t="s">
        <v>13</v>
      </c>
      <c r="L769" t="s">
        <v>13</v>
      </c>
      <c r="M769" t="s">
        <v>13</v>
      </c>
    </row>
    <row r="770" spans="1:13">
      <c r="A770" t="s">
        <v>1350</v>
      </c>
      <c r="B770" t="s">
        <v>1351</v>
      </c>
      <c r="C770" t="s">
        <v>602</v>
      </c>
      <c r="D770">
        <v>0</v>
      </c>
      <c r="E770" t="s">
        <v>1268</v>
      </c>
      <c r="F770">
        <v>0</v>
      </c>
      <c r="G770">
        <v>0</v>
      </c>
      <c r="H770" t="s">
        <v>13</v>
      </c>
      <c r="I770" t="s">
        <v>1352</v>
      </c>
      <c r="J770" t="s">
        <v>13</v>
      </c>
      <c r="K770" t="s">
        <v>13</v>
      </c>
      <c r="L770" t="s">
        <v>13</v>
      </c>
      <c r="M770" t="s">
        <v>13</v>
      </c>
    </row>
    <row r="771" spans="1:13">
      <c r="A771" t="s">
        <v>1350</v>
      </c>
      <c r="B771" t="s">
        <v>1351</v>
      </c>
      <c r="C771" t="s">
        <v>602</v>
      </c>
      <c r="D771">
        <v>0</v>
      </c>
      <c r="E771" t="s">
        <v>1268</v>
      </c>
      <c r="F771">
        <v>0</v>
      </c>
      <c r="G771">
        <v>0</v>
      </c>
      <c r="H771" t="s">
        <v>13</v>
      </c>
      <c r="I771" t="s">
        <v>1352</v>
      </c>
      <c r="J771" t="s">
        <v>13</v>
      </c>
      <c r="K771" t="s">
        <v>13</v>
      </c>
      <c r="L771" t="s">
        <v>13</v>
      </c>
      <c r="M771" t="s">
        <v>13</v>
      </c>
    </row>
    <row r="772" spans="1:13">
      <c r="A772" t="s">
        <v>1353</v>
      </c>
      <c r="B772" t="s">
        <v>1354</v>
      </c>
      <c r="C772" t="s">
        <v>123</v>
      </c>
      <c r="D772" t="s">
        <v>131</v>
      </c>
      <c r="E772" t="s">
        <v>178</v>
      </c>
      <c r="F772" t="s">
        <v>1355</v>
      </c>
      <c r="G772" t="s">
        <v>13</v>
      </c>
      <c r="H772" t="s">
        <v>13</v>
      </c>
      <c r="I772" t="s">
        <v>1354</v>
      </c>
      <c r="J772" t="s">
        <v>13</v>
      </c>
      <c r="K772" t="s">
        <v>1356</v>
      </c>
      <c r="L772" t="s">
        <v>13</v>
      </c>
      <c r="M772" t="s">
        <v>288</v>
      </c>
    </row>
    <row r="773" spans="1:13">
      <c r="A773" t="s">
        <v>1353</v>
      </c>
      <c r="B773" t="s">
        <v>1354</v>
      </c>
      <c r="C773" t="s">
        <v>123</v>
      </c>
      <c r="D773" t="s">
        <v>131</v>
      </c>
      <c r="E773" t="s">
        <v>178</v>
      </c>
      <c r="F773" t="s">
        <v>1355</v>
      </c>
      <c r="G773" t="s">
        <v>13</v>
      </c>
      <c r="H773" t="s">
        <v>13</v>
      </c>
      <c r="I773" t="s">
        <v>1354</v>
      </c>
      <c r="J773" t="s">
        <v>13</v>
      </c>
      <c r="K773" t="s">
        <v>1356</v>
      </c>
      <c r="L773" t="s">
        <v>13</v>
      </c>
      <c r="M773" t="s">
        <v>288</v>
      </c>
    </row>
    <row r="774" spans="1:13">
      <c r="A774" t="s">
        <v>1357</v>
      </c>
      <c r="B774" t="s">
        <v>1358</v>
      </c>
      <c r="C774" t="s">
        <v>123</v>
      </c>
      <c r="D774" t="s">
        <v>131</v>
      </c>
      <c r="E774" t="s">
        <v>178</v>
      </c>
      <c r="F774" t="s">
        <v>1359</v>
      </c>
      <c r="G774">
        <v>0</v>
      </c>
      <c r="H774" t="s">
        <v>13</v>
      </c>
      <c r="I774" t="s">
        <v>1358</v>
      </c>
      <c r="J774" t="s">
        <v>13</v>
      </c>
      <c r="K774" t="s">
        <v>1224</v>
      </c>
      <c r="L774" t="s">
        <v>13</v>
      </c>
      <c r="M774" t="s">
        <v>288</v>
      </c>
    </row>
    <row r="775" spans="1:13">
      <c r="A775" t="s">
        <v>1357</v>
      </c>
      <c r="B775" t="s">
        <v>1358</v>
      </c>
      <c r="C775" t="s">
        <v>123</v>
      </c>
      <c r="D775" t="s">
        <v>131</v>
      </c>
      <c r="E775" t="s">
        <v>178</v>
      </c>
      <c r="F775" t="s">
        <v>1359</v>
      </c>
      <c r="G775">
        <v>0</v>
      </c>
      <c r="H775" t="s">
        <v>13</v>
      </c>
      <c r="I775" t="s">
        <v>1358</v>
      </c>
      <c r="J775" t="s">
        <v>13</v>
      </c>
      <c r="K775" t="s">
        <v>1224</v>
      </c>
      <c r="L775" t="s">
        <v>13</v>
      </c>
      <c r="M775" t="s">
        <v>288</v>
      </c>
    </row>
    <row r="776" spans="1:13">
      <c r="A776" t="s">
        <v>1360</v>
      </c>
      <c r="B776" t="s">
        <v>1361</v>
      </c>
      <c r="C776" t="s">
        <v>602</v>
      </c>
      <c r="D776" t="s">
        <v>1362</v>
      </c>
      <c r="E776" t="s">
        <v>1363</v>
      </c>
      <c r="F776" t="s">
        <v>13</v>
      </c>
      <c r="G776" t="s">
        <v>13</v>
      </c>
      <c r="H776" t="s">
        <v>13</v>
      </c>
      <c r="I776">
        <v>0</v>
      </c>
      <c r="J776" t="s">
        <v>13</v>
      </c>
      <c r="K776" t="s">
        <v>13</v>
      </c>
      <c r="L776" t="s">
        <v>13</v>
      </c>
      <c r="M776" t="s">
        <v>13</v>
      </c>
    </row>
    <row r="777" spans="1:13">
      <c r="A777" t="s">
        <v>1364</v>
      </c>
      <c r="B777" t="s">
        <v>1365</v>
      </c>
      <c r="C777" t="s">
        <v>123</v>
      </c>
      <c r="D777" t="s">
        <v>796</v>
      </c>
      <c r="E777" t="s">
        <v>132</v>
      </c>
      <c r="F777" t="s">
        <v>1366</v>
      </c>
      <c r="G777" t="s">
        <v>13</v>
      </c>
      <c r="H777" t="s">
        <v>13</v>
      </c>
      <c r="I777" t="s">
        <v>1365</v>
      </c>
      <c r="J777" t="s">
        <v>13</v>
      </c>
      <c r="K777" t="s">
        <v>1367</v>
      </c>
      <c r="L777" t="s">
        <v>13</v>
      </c>
      <c r="M777" t="s">
        <v>288</v>
      </c>
    </row>
    <row r="778" spans="1:13">
      <c r="A778" t="s">
        <v>1368</v>
      </c>
      <c r="B778" t="s">
        <v>1369</v>
      </c>
      <c r="C778" t="s">
        <v>602</v>
      </c>
      <c r="D778" t="s">
        <v>1370</v>
      </c>
      <c r="E778" t="s">
        <v>1371</v>
      </c>
      <c r="F778" t="s">
        <v>13</v>
      </c>
      <c r="G778" t="s">
        <v>13</v>
      </c>
      <c r="H778" t="s">
        <v>13</v>
      </c>
      <c r="I778">
        <v>0</v>
      </c>
      <c r="J778" t="s">
        <v>13</v>
      </c>
      <c r="K778" t="s">
        <v>13</v>
      </c>
      <c r="L778" t="s">
        <v>13</v>
      </c>
      <c r="M778" t="s">
        <v>13</v>
      </c>
    </row>
    <row r="779" spans="1:13">
      <c r="A779" t="s">
        <v>1372</v>
      </c>
      <c r="B779" t="s">
        <v>1373</v>
      </c>
      <c r="C779" t="s">
        <v>123</v>
      </c>
      <c r="D779" t="s">
        <v>177</v>
      </c>
      <c r="E779" t="s">
        <v>178</v>
      </c>
      <c r="F779" t="s">
        <v>1374</v>
      </c>
      <c r="G779" t="s">
        <v>13</v>
      </c>
      <c r="H779" t="s">
        <v>13</v>
      </c>
      <c r="I779" t="s">
        <v>1373</v>
      </c>
      <c r="J779" t="s">
        <v>13</v>
      </c>
      <c r="K779" t="s">
        <v>1375</v>
      </c>
      <c r="L779" t="s">
        <v>13</v>
      </c>
      <c r="M779" t="s">
        <v>288</v>
      </c>
    </row>
    <row r="780" spans="1:13">
      <c r="A780" t="s">
        <v>1376</v>
      </c>
      <c r="B780" t="s">
        <v>1377</v>
      </c>
      <c r="C780" t="s">
        <v>123</v>
      </c>
      <c r="D780" t="s">
        <v>796</v>
      </c>
      <c r="E780" t="s">
        <v>458</v>
      </c>
      <c r="F780" t="s">
        <v>1378</v>
      </c>
      <c r="G780" t="s">
        <v>13</v>
      </c>
      <c r="H780" t="s">
        <v>13</v>
      </c>
      <c r="I780" t="s">
        <v>1377</v>
      </c>
      <c r="J780" t="s">
        <v>13</v>
      </c>
      <c r="K780" t="s">
        <v>1379</v>
      </c>
      <c r="L780" t="s">
        <v>13</v>
      </c>
      <c r="M780" t="s">
        <v>288</v>
      </c>
    </row>
    <row r="781" spans="1:13">
      <c r="A781" t="s">
        <v>1376</v>
      </c>
      <c r="B781" t="s">
        <v>1377</v>
      </c>
      <c r="C781" t="s">
        <v>123</v>
      </c>
      <c r="D781" t="s">
        <v>796</v>
      </c>
      <c r="E781" t="s">
        <v>458</v>
      </c>
      <c r="F781" t="s">
        <v>1378</v>
      </c>
      <c r="G781" t="s">
        <v>13</v>
      </c>
      <c r="H781" t="s">
        <v>13</v>
      </c>
      <c r="I781" t="s">
        <v>1377</v>
      </c>
      <c r="J781" t="s">
        <v>13</v>
      </c>
      <c r="K781" t="s">
        <v>1379</v>
      </c>
      <c r="L781" t="s">
        <v>13</v>
      </c>
      <c r="M781" t="s">
        <v>288</v>
      </c>
    </row>
    <row r="782" spans="1:13">
      <c r="A782" t="s">
        <v>1380</v>
      </c>
      <c r="B782" t="s">
        <v>1381</v>
      </c>
      <c r="C782" t="s">
        <v>123</v>
      </c>
      <c r="D782" t="s">
        <v>796</v>
      </c>
      <c r="E782" t="s">
        <v>195</v>
      </c>
      <c r="F782" t="s">
        <v>1382</v>
      </c>
      <c r="G782">
        <v>0</v>
      </c>
      <c r="H782" t="s">
        <v>13</v>
      </c>
      <c r="I782" t="s">
        <v>1381</v>
      </c>
      <c r="J782" t="s">
        <v>13</v>
      </c>
      <c r="K782" t="s">
        <v>1383</v>
      </c>
      <c r="L782" t="s">
        <v>13</v>
      </c>
      <c r="M782" t="s">
        <v>288</v>
      </c>
    </row>
    <row r="783" spans="1:13">
      <c r="A783" t="s">
        <v>1380</v>
      </c>
      <c r="B783" t="s">
        <v>1381</v>
      </c>
      <c r="C783" t="s">
        <v>123</v>
      </c>
      <c r="D783" t="s">
        <v>796</v>
      </c>
      <c r="E783" t="s">
        <v>195</v>
      </c>
      <c r="F783" t="s">
        <v>1382</v>
      </c>
      <c r="G783">
        <v>0</v>
      </c>
      <c r="H783" t="s">
        <v>13</v>
      </c>
      <c r="I783" t="s">
        <v>1381</v>
      </c>
      <c r="J783" t="s">
        <v>13</v>
      </c>
      <c r="K783" t="s">
        <v>1383</v>
      </c>
      <c r="L783" t="s">
        <v>13</v>
      </c>
      <c r="M783" t="s">
        <v>288</v>
      </c>
    </row>
    <row r="784" spans="1:13">
      <c r="A784" t="s">
        <v>1380</v>
      </c>
      <c r="B784" t="s">
        <v>1381</v>
      </c>
      <c r="C784" t="s">
        <v>123</v>
      </c>
      <c r="D784" t="s">
        <v>796</v>
      </c>
      <c r="E784" t="s">
        <v>195</v>
      </c>
      <c r="F784" t="s">
        <v>1382</v>
      </c>
      <c r="G784">
        <v>0</v>
      </c>
      <c r="H784" t="s">
        <v>13</v>
      </c>
      <c r="I784" t="s">
        <v>1381</v>
      </c>
      <c r="J784" t="s">
        <v>13</v>
      </c>
      <c r="K784" t="s">
        <v>1383</v>
      </c>
      <c r="L784" t="s">
        <v>13</v>
      </c>
      <c r="M784" t="s">
        <v>288</v>
      </c>
    </row>
    <row r="785" spans="1:13">
      <c r="A785" t="s">
        <v>1384</v>
      </c>
      <c r="B785" t="s">
        <v>1385</v>
      </c>
      <c r="C785" t="s">
        <v>123</v>
      </c>
      <c r="D785" t="s">
        <v>796</v>
      </c>
      <c r="E785" t="s">
        <v>285</v>
      </c>
      <c r="F785" t="s">
        <v>1386</v>
      </c>
      <c r="G785" t="s">
        <v>13</v>
      </c>
      <c r="H785" t="s">
        <v>13</v>
      </c>
      <c r="I785" t="s">
        <v>1385</v>
      </c>
      <c r="J785" t="s">
        <v>13</v>
      </c>
      <c r="K785" t="s">
        <v>1387</v>
      </c>
      <c r="L785" t="s">
        <v>13</v>
      </c>
      <c r="M785" t="s">
        <v>288</v>
      </c>
    </row>
    <row r="786" spans="1:13">
      <c r="A786" t="s">
        <v>1388</v>
      </c>
      <c r="B786" t="s">
        <v>1389</v>
      </c>
      <c r="C786" t="s">
        <v>602</v>
      </c>
      <c r="D786" t="s">
        <v>1390</v>
      </c>
      <c r="E786" t="s">
        <v>1391</v>
      </c>
      <c r="F786" t="s">
        <v>13</v>
      </c>
      <c r="G786" t="s">
        <v>13</v>
      </c>
      <c r="H786" t="s">
        <v>13</v>
      </c>
      <c r="I786">
        <v>0</v>
      </c>
      <c r="J786" t="s">
        <v>13</v>
      </c>
      <c r="K786" t="s">
        <v>13</v>
      </c>
      <c r="L786" t="s">
        <v>13</v>
      </c>
      <c r="M786" t="s">
        <v>13</v>
      </c>
    </row>
    <row r="787" spans="1:13">
      <c r="A787" t="s">
        <v>1392</v>
      </c>
      <c r="B787" t="s">
        <v>13</v>
      </c>
      <c r="C787" t="s">
        <v>13</v>
      </c>
      <c r="D787" t="s">
        <v>13</v>
      </c>
      <c r="E787" t="s">
        <v>13</v>
      </c>
      <c r="F787" t="s">
        <v>13</v>
      </c>
      <c r="G787" t="s">
        <v>13</v>
      </c>
      <c r="H787" t="s">
        <v>13</v>
      </c>
      <c r="I787" t="s">
        <v>13</v>
      </c>
      <c r="J787" t="s">
        <v>13</v>
      </c>
      <c r="K787" t="s">
        <v>13</v>
      </c>
      <c r="L787" t="s">
        <v>13</v>
      </c>
      <c r="M787" t="s">
        <v>13</v>
      </c>
    </row>
    <row r="788" spans="1:13">
      <c r="A788" t="s">
        <v>1393</v>
      </c>
      <c r="B788" t="s">
        <v>1394</v>
      </c>
      <c r="C788" t="s">
        <v>123</v>
      </c>
      <c r="D788" t="s">
        <v>796</v>
      </c>
      <c r="E788" t="s">
        <v>285</v>
      </c>
      <c r="F788" t="s">
        <v>1395</v>
      </c>
      <c r="G788">
        <v>0</v>
      </c>
      <c r="H788" t="s">
        <v>13</v>
      </c>
      <c r="I788" t="s">
        <v>1394</v>
      </c>
      <c r="J788" t="s">
        <v>13</v>
      </c>
      <c r="K788" t="s">
        <v>1396</v>
      </c>
      <c r="L788" t="s">
        <v>13</v>
      </c>
      <c r="M788" t="s">
        <v>288</v>
      </c>
    </row>
    <row r="789" spans="1:13">
      <c r="A789" t="s">
        <v>1393</v>
      </c>
      <c r="B789" t="s">
        <v>1394</v>
      </c>
      <c r="C789" t="s">
        <v>123</v>
      </c>
      <c r="D789" t="s">
        <v>796</v>
      </c>
      <c r="E789" t="s">
        <v>285</v>
      </c>
      <c r="F789" t="s">
        <v>1395</v>
      </c>
      <c r="G789">
        <v>0</v>
      </c>
      <c r="H789" t="s">
        <v>13</v>
      </c>
      <c r="I789" t="s">
        <v>1394</v>
      </c>
      <c r="J789" t="s">
        <v>13</v>
      </c>
      <c r="K789" t="s">
        <v>1396</v>
      </c>
      <c r="L789" t="s">
        <v>13</v>
      </c>
      <c r="M789" t="s">
        <v>288</v>
      </c>
    </row>
    <row r="790" spans="1:13">
      <c r="A790" t="s">
        <v>1397</v>
      </c>
      <c r="B790" t="s">
        <v>1398</v>
      </c>
      <c r="C790" t="s">
        <v>602</v>
      </c>
      <c r="D790" t="s">
        <v>677</v>
      </c>
      <c r="E790" t="s">
        <v>1399</v>
      </c>
      <c r="F790" t="s">
        <v>13</v>
      </c>
      <c r="G790" t="s">
        <v>13</v>
      </c>
      <c r="H790" t="s">
        <v>13</v>
      </c>
      <c r="I790">
        <v>0</v>
      </c>
      <c r="J790" t="s">
        <v>13</v>
      </c>
      <c r="K790" t="s">
        <v>13</v>
      </c>
      <c r="L790" t="s">
        <v>13</v>
      </c>
      <c r="M790" t="s">
        <v>13</v>
      </c>
    </row>
    <row r="791" spans="1:13">
      <c r="A791" t="s">
        <v>1400</v>
      </c>
      <c r="B791" t="s">
        <v>1401</v>
      </c>
      <c r="C791" t="s">
        <v>123</v>
      </c>
      <c r="D791" t="s">
        <v>796</v>
      </c>
      <c r="E791" t="s">
        <v>132</v>
      </c>
      <c r="F791" t="s">
        <v>1402</v>
      </c>
      <c r="G791">
        <v>0</v>
      </c>
      <c r="H791" t="s">
        <v>13</v>
      </c>
      <c r="I791" t="s">
        <v>1401</v>
      </c>
      <c r="J791" t="s">
        <v>13</v>
      </c>
      <c r="K791" t="s">
        <v>1292</v>
      </c>
      <c r="L791" t="s">
        <v>13</v>
      </c>
      <c r="M791" t="s">
        <v>288</v>
      </c>
    </row>
    <row r="792" spans="1:13">
      <c r="A792" t="s">
        <v>1400</v>
      </c>
      <c r="B792" t="s">
        <v>1401</v>
      </c>
      <c r="C792" t="s">
        <v>123</v>
      </c>
      <c r="D792" t="s">
        <v>796</v>
      </c>
      <c r="E792" t="s">
        <v>132</v>
      </c>
      <c r="F792" t="s">
        <v>1402</v>
      </c>
      <c r="G792">
        <v>0</v>
      </c>
      <c r="H792" t="s">
        <v>13</v>
      </c>
      <c r="I792" t="s">
        <v>1401</v>
      </c>
      <c r="J792" t="s">
        <v>13</v>
      </c>
      <c r="K792" t="s">
        <v>1292</v>
      </c>
      <c r="L792" t="s">
        <v>13</v>
      </c>
      <c r="M792" t="s">
        <v>288</v>
      </c>
    </row>
    <row r="793" spans="1:13">
      <c r="A793" t="s">
        <v>1403</v>
      </c>
      <c r="B793" t="s">
        <v>1404</v>
      </c>
      <c r="C793" t="s">
        <v>123</v>
      </c>
      <c r="D793" t="s">
        <v>131</v>
      </c>
      <c r="E793" t="s">
        <v>125</v>
      </c>
      <c r="F793" t="s">
        <v>1405</v>
      </c>
      <c r="G793" t="s">
        <v>13</v>
      </c>
      <c r="H793" t="s">
        <v>13</v>
      </c>
      <c r="I793" t="s">
        <v>1404</v>
      </c>
      <c r="J793" t="s">
        <v>13</v>
      </c>
      <c r="K793" t="s">
        <v>592</v>
      </c>
      <c r="L793" t="s">
        <v>13</v>
      </c>
      <c r="M793" t="s">
        <v>288</v>
      </c>
    </row>
    <row r="794" spans="1:13">
      <c r="A794" t="s">
        <v>1406</v>
      </c>
      <c r="B794" t="s">
        <v>1407</v>
      </c>
      <c r="C794" t="s">
        <v>123</v>
      </c>
      <c r="D794" t="s">
        <v>796</v>
      </c>
      <c r="E794" t="s">
        <v>132</v>
      </c>
      <c r="F794" t="s">
        <v>1408</v>
      </c>
      <c r="G794" t="s">
        <v>13</v>
      </c>
      <c r="H794" t="s">
        <v>13</v>
      </c>
      <c r="I794" t="s">
        <v>1407</v>
      </c>
      <c r="J794" t="s">
        <v>13</v>
      </c>
      <c r="K794" t="s">
        <v>1409</v>
      </c>
      <c r="L794" t="s">
        <v>13</v>
      </c>
      <c r="M794" t="s">
        <v>288</v>
      </c>
    </row>
    <row r="795" spans="1:13">
      <c r="A795" t="s">
        <v>1410</v>
      </c>
      <c r="B795" t="s">
        <v>13</v>
      </c>
      <c r="C795" t="s">
        <v>13</v>
      </c>
      <c r="D795" t="s">
        <v>13</v>
      </c>
      <c r="E795" t="s">
        <v>13</v>
      </c>
      <c r="F795" t="s">
        <v>13</v>
      </c>
      <c r="G795" t="s">
        <v>13</v>
      </c>
      <c r="H795" t="s">
        <v>13</v>
      </c>
      <c r="I795" t="s">
        <v>13</v>
      </c>
      <c r="J795" t="s">
        <v>13</v>
      </c>
      <c r="K795" t="s">
        <v>13</v>
      </c>
      <c r="L795" t="s">
        <v>13</v>
      </c>
      <c r="M795" t="s">
        <v>13</v>
      </c>
    </row>
    <row r="796" spans="1:13">
      <c r="A796" t="s">
        <v>1411</v>
      </c>
      <c r="B796" t="s">
        <v>1412</v>
      </c>
      <c r="C796" t="s">
        <v>602</v>
      </c>
      <c r="D796">
        <v>0</v>
      </c>
      <c r="E796" t="s">
        <v>1413</v>
      </c>
      <c r="F796" t="s">
        <v>13</v>
      </c>
      <c r="G796" t="s">
        <v>13</v>
      </c>
      <c r="H796" t="s">
        <v>13</v>
      </c>
      <c r="I796" t="s">
        <v>1414</v>
      </c>
      <c r="J796" t="s">
        <v>13</v>
      </c>
      <c r="K796" t="s">
        <v>13</v>
      </c>
      <c r="L796" t="s">
        <v>13</v>
      </c>
      <c r="M796" t="s">
        <v>13</v>
      </c>
    </row>
    <row r="797" spans="1:13">
      <c r="A797" t="s">
        <v>1411</v>
      </c>
      <c r="B797" t="s">
        <v>1412</v>
      </c>
      <c r="C797" t="s">
        <v>602</v>
      </c>
      <c r="D797">
        <v>0</v>
      </c>
      <c r="E797" t="s">
        <v>1413</v>
      </c>
      <c r="F797" t="s">
        <v>13</v>
      </c>
      <c r="G797" t="s">
        <v>13</v>
      </c>
      <c r="H797" t="s">
        <v>13</v>
      </c>
      <c r="I797" t="s">
        <v>1414</v>
      </c>
      <c r="J797" t="s">
        <v>13</v>
      </c>
      <c r="K797" t="s">
        <v>13</v>
      </c>
      <c r="L797" t="s">
        <v>13</v>
      </c>
      <c r="M797" t="s">
        <v>13</v>
      </c>
    </row>
    <row r="798" spans="1:13">
      <c r="A798" t="s">
        <v>1411</v>
      </c>
      <c r="B798" t="s">
        <v>1412</v>
      </c>
      <c r="C798" t="s">
        <v>602</v>
      </c>
      <c r="D798">
        <v>0</v>
      </c>
      <c r="E798" t="s">
        <v>1413</v>
      </c>
      <c r="F798" t="s">
        <v>13</v>
      </c>
      <c r="G798" t="s">
        <v>13</v>
      </c>
      <c r="H798" t="s">
        <v>13</v>
      </c>
      <c r="I798" t="s">
        <v>1414</v>
      </c>
      <c r="J798" t="s">
        <v>13</v>
      </c>
      <c r="K798" t="s">
        <v>13</v>
      </c>
      <c r="L798" t="s">
        <v>13</v>
      </c>
      <c r="M798" t="s">
        <v>13</v>
      </c>
    </row>
    <row r="799" spans="1:13">
      <c r="A799" t="s">
        <v>1415</v>
      </c>
      <c r="B799" t="s">
        <v>1416</v>
      </c>
      <c r="C799" t="s">
        <v>602</v>
      </c>
      <c r="D799">
        <v>0</v>
      </c>
      <c r="E799" t="s">
        <v>1417</v>
      </c>
      <c r="F799" t="s">
        <v>13</v>
      </c>
      <c r="G799" t="s">
        <v>13</v>
      </c>
      <c r="H799" t="s">
        <v>13</v>
      </c>
      <c r="I799" t="s">
        <v>1418</v>
      </c>
      <c r="J799" t="s">
        <v>13</v>
      </c>
      <c r="K799" t="s">
        <v>13</v>
      </c>
      <c r="L799" t="s">
        <v>13</v>
      </c>
      <c r="M799" t="s">
        <v>13</v>
      </c>
    </row>
    <row r="800" spans="1:13">
      <c r="A800" t="s">
        <v>1415</v>
      </c>
      <c r="B800" t="s">
        <v>1416</v>
      </c>
      <c r="C800" t="s">
        <v>602</v>
      </c>
      <c r="D800">
        <v>0</v>
      </c>
      <c r="E800" t="s">
        <v>1417</v>
      </c>
      <c r="F800" t="s">
        <v>13</v>
      </c>
      <c r="G800" t="s">
        <v>13</v>
      </c>
      <c r="H800" t="s">
        <v>13</v>
      </c>
      <c r="I800" t="s">
        <v>1418</v>
      </c>
      <c r="J800" t="s">
        <v>13</v>
      </c>
      <c r="K800" t="s">
        <v>13</v>
      </c>
      <c r="L800" t="s">
        <v>13</v>
      </c>
      <c r="M800" t="s">
        <v>13</v>
      </c>
    </row>
    <row r="801" spans="1:13">
      <c r="A801" t="s">
        <v>1419</v>
      </c>
      <c r="B801" t="s">
        <v>1420</v>
      </c>
      <c r="C801" t="s">
        <v>602</v>
      </c>
      <c r="D801" t="s">
        <v>1421</v>
      </c>
      <c r="E801" t="s">
        <v>1422</v>
      </c>
      <c r="F801" t="s">
        <v>13</v>
      </c>
      <c r="G801" t="s">
        <v>13</v>
      </c>
      <c r="H801" t="s">
        <v>13</v>
      </c>
      <c r="I801">
        <v>0</v>
      </c>
      <c r="J801" t="s">
        <v>13</v>
      </c>
      <c r="K801" t="s">
        <v>13</v>
      </c>
      <c r="L801" t="s">
        <v>13</v>
      </c>
      <c r="M801" t="s">
        <v>13</v>
      </c>
    </row>
    <row r="802" spans="1:13">
      <c r="A802" t="s">
        <v>1423</v>
      </c>
      <c r="B802" t="s">
        <v>1424</v>
      </c>
      <c r="C802" t="s">
        <v>123</v>
      </c>
      <c r="D802" t="s">
        <v>796</v>
      </c>
      <c r="E802" t="s">
        <v>285</v>
      </c>
      <c r="F802" t="s">
        <v>1425</v>
      </c>
      <c r="G802" t="s">
        <v>13</v>
      </c>
      <c r="H802" t="s">
        <v>13</v>
      </c>
      <c r="I802" t="s">
        <v>1424</v>
      </c>
      <c r="J802" t="s">
        <v>13</v>
      </c>
      <c r="K802" t="s">
        <v>1426</v>
      </c>
      <c r="L802" t="s">
        <v>13</v>
      </c>
      <c r="M802" t="s">
        <v>288</v>
      </c>
    </row>
    <row r="803" spans="1:13">
      <c r="A803" t="s">
        <v>1427</v>
      </c>
      <c r="B803" t="s">
        <v>1428</v>
      </c>
      <c r="C803" t="s">
        <v>602</v>
      </c>
      <c r="D803">
        <v>0</v>
      </c>
      <c r="E803" t="s">
        <v>1417</v>
      </c>
      <c r="F803" t="s">
        <v>13</v>
      </c>
      <c r="G803" t="s">
        <v>13</v>
      </c>
      <c r="H803" t="s">
        <v>13</v>
      </c>
      <c r="I803" t="s">
        <v>1429</v>
      </c>
      <c r="J803" t="s">
        <v>13</v>
      </c>
      <c r="K803" t="s">
        <v>13</v>
      </c>
      <c r="L803" t="s">
        <v>13</v>
      </c>
      <c r="M803" t="s">
        <v>13</v>
      </c>
    </row>
    <row r="804" spans="1:13">
      <c r="A804" t="s">
        <v>1427</v>
      </c>
      <c r="B804" t="s">
        <v>1428</v>
      </c>
      <c r="C804" t="s">
        <v>602</v>
      </c>
      <c r="D804">
        <v>0</v>
      </c>
      <c r="E804" t="s">
        <v>1417</v>
      </c>
      <c r="F804" t="s">
        <v>13</v>
      </c>
      <c r="G804" t="s">
        <v>13</v>
      </c>
      <c r="H804" t="s">
        <v>13</v>
      </c>
      <c r="I804" t="s">
        <v>1429</v>
      </c>
      <c r="J804" t="s">
        <v>13</v>
      </c>
      <c r="K804" t="s">
        <v>13</v>
      </c>
      <c r="L804" t="s">
        <v>13</v>
      </c>
      <c r="M804" t="s">
        <v>13</v>
      </c>
    </row>
    <row r="805" spans="1:13">
      <c r="A805" t="s">
        <v>1427</v>
      </c>
      <c r="B805" t="s">
        <v>1428</v>
      </c>
      <c r="C805" t="s">
        <v>602</v>
      </c>
      <c r="D805">
        <v>0</v>
      </c>
      <c r="E805" t="s">
        <v>1417</v>
      </c>
      <c r="F805" t="s">
        <v>13</v>
      </c>
      <c r="G805" t="s">
        <v>13</v>
      </c>
      <c r="H805" t="s">
        <v>13</v>
      </c>
      <c r="I805" t="s">
        <v>1429</v>
      </c>
      <c r="J805" t="s">
        <v>13</v>
      </c>
      <c r="K805" t="s">
        <v>13</v>
      </c>
      <c r="L805" t="s">
        <v>13</v>
      </c>
      <c r="M805" t="s">
        <v>13</v>
      </c>
    </row>
    <row r="806" spans="1:13">
      <c r="A806" t="s">
        <v>1430</v>
      </c>
      <c r="B806" t="s">
        <v>1431</v>
      </c>
      <c r="C806" t="s">
        <v>123</v>
      </c>
      <c r="D806" t="s">
        <v>796</v>
      </c>
      <c r="E806" t="s">
        <v>195</v>
      </c>
      <c r="F806" t="s">
        <v>1432</v>
      </c>
      <c r="G806">
        <v>0</v>
      </c>
      <c r="H806" t="s">
        <v>13</v>
      </c>
      <c r="I806" t="s">
        <v>1431</v>
      </c>
      <c r="J806" t="s">
        <v>13</v>
      </c>
      <c r="K806" t="s">
        <v>1433</v>
      </c>
      <c r="L806" t="s">
        <v>13</v>
      </c>
      <c r="M806" t="s">
        <v>288</v>
      </c>
    </row>
    <row r="807" spans="1:13">
      <c r="A807" t="s">
        <v>1430</v>
      </c>
      <c r="B807" t="s">
        <v>1431</v>
      </c>
      <c r="C807" t="s">
        <v>123</v>
      </c>
      <c r="D807" t="s">
        <v>796</v>
      </c>
      <c r="E807" t="s">
        <v>195</v>
      </c>
      <c r="F807" t="s">
        <v>1432</v>
      </c>
      <c r="G807">
        <v>0</v>
      </c>
      <c r="H807" t="s">
        <v>13</v>
      </c>
      <c r="I807" t="s">
        <v>1431</v>
      </c>
      <c r="J807" t="s">
        <v>13</v>
      </c>
      <c r="K807" t="s">
        <v>1433</v>
      </c>
      <c r="L807" t="s">
        <v>13</v>
      </c>
      <c r="M807" t="s">
        <v>288</v>
      </c>
    </row>
    <row r="808" spans="1:13">
      <c r="A808" t="s">
        <v>1434</v>
      </c>
      <c r="B808" t="s">
        <v>13</v>
      </c>
      <c r="C808" t="s">
        <v>13</v>
      </c>
      <c r="D808" t="s">
        <v>13</v>
      </c>
      <c r="E808" t="s">
        <v>13</v>
      </c>
      <c r="F808" t="s">
        <v>13</v>
      </c>
      <c r="G808" t="s">
        <v>13</v>
      </c>
      <c r="H808" t="s">
        <v>13</v>
      </c>
      <c r="I808" t="s">
        <v>13</v>
      </c>
      <c r="J808" t="s">
        <v>13</v>
      </c>
      <c r="K808" t="s">
        <v>13</v>
      </c>
      <c r="L808" t="s">
        <v>13</v>
      </c>
      <c r="M808" t="s">
        <v>13</v>
      </c>
    </row>
    <row r="809" spans="1:13">
      <c r="A809" t="s">
        <v>1435</v>
      </c>
      <c r="B809" t="s">
        <v>1436</v>
      </c>
      <c r="C809" t="s">
        <v>602</v>
      </c>
      <c r="D809" t="s">
        <v>1437</v>
      </c>
      <c r="E809" t="s">
        <v>1438</v>
      </c>
      <c r="F809" t="s">
        <v>13</v>
      </c>
      <c r="G809" t="s">
        <v>13</v>
      </c>
      <c r="H809" t="s">
        <v>13</v>
      </c>
      <c r="I809">
        <v>0</v>
      </c>
      <c r="J809" t="s">
        <v>13</v>
      </c>
      <c r="K809" t="s">
        <v>13</v>
      </c>
      <c r="L809" t="s">
        <v>13</v>
      </c>
      <c r="M809" t="s">
        <v>13</v>
      </c>
    </row>
    <row r="810" spans="1:13">
      <c r="A810" t="s">
        <v>1439</v>
      </c>
      <c r="B810" t="s">
        <v>1440</v>
      </c>
      <c r="C810" t="s">
        <v>602</v>
      </c>
      <c r="D810" t="s">
        <v>1441</v>
      </c>
      <c r="E810">
        <v>0</v>
      </c>
      <c r="F810" t="s">
        <v>13</v>
      </c>
      <c r="G810" t="s">
        <v>13</v>
      </c>
      <c r="H810" t="s">
        <v>13</v>
      </c>
      <c r="I810">
        <v>0</v>
      </c>
      <c r="J810" t="s">
        <v>13</v>
      </c>
      <c r="K810" t="s">
        <v>13</v>
      </c>
      <c r="L810" t="s">
        <v>13</v>
      </c>
      <c r="M810" t="s">
        <v>13</v>
      </c>
    </row>
    <row r="811" spans="1:13">
      <c r="A811" t="s">
        <v>1442</v>
      </c>
      <c r="B811" t="s">
        <v>1443</v>
      </c>
      <c r="C811" t="s">
        <v>602</v>
      </c>
      <c r="D811">
        <v>0</v>
      </c>
      <c r="E811" t="s">
        <v>1268</v>
      </c>
      <c r="F811" t="s">
        <v>13</v>
      </c>
      <c r="G811" t="s">
        <v>13</v>
      </c>
      <c r="H811" t="s">
        <v>13</v>
      </c>
      <c r="I811" t="s">
        <v>1444</v>
      </c>
      <c r="J811" t="s">
        <v>13</v>
      </c>
      <c r="K811" t="s">
        <v>13</v>
      </c>
      <c r="L811" t="s">
        <v>13</v>
      </c>
      <c r="M811" t="s">
        <v>13</v>
      </c>
    </row>
    <row r="812" spans="1:13">
      <c r="A812" t="s">
        <v>1442</v>
      </c>
      <c r="B812" t="s">
        <v>1443</v>
      </c>
      <c r="C812" t="s">
        <v>602</v>
      </c>
      <c r="D812">
        <v>0</v>
      </c>
      <c r="E812" t="s">
        <v>1268</v>
      </c>
      <c r="F812" t="s">
        <v>13</v>
      </c>
      <c r="G812" t="s">
        <v>13</v>
      </c>
      <c r="H812" t="s">
        <v>13</v>
      </c>
      <c r="I812" t="s">
        <v>1444</v>
      </c>
      <c r="J812" t="s">
        <v>13</v>
      </c>
      <c r="K812" t="s">
        <v>13</v>
      </c>
      <c r="L812" t="s">
        <v>13</v>
      </c>
      <c r="M812" t="s">
        <v>13</v>
      </c>
    </row>
    <row r="813" spans="1:13">
      <c r="A813" t="s">
        <v>1442</v>
      </c>
      <c r="B813" t="s">
        <v>1443</v>
      </c>
      <c r="C813" t="s">
        <v>602</v>
      </c>
      <c r="D813">
        <v>0</v>
      </c>
      <c r="E813" t="s">
        <v>1268</v>
      </c>
      <c r="F813" t="s">
        <v>13</v>
      </c>
      <c r="G813" t="s">
        <v>13</v>
      </c>
      <c r="H813" t="s">
        <v>13</v>
      </c>
      <c r="I813" t="s">
        <v>1444</v>
      </c>
      <c r="J813" t="s">
        <v>13</v>
      </c>
      <c r="K813" t="s">
        <v>13</v>
      </c>
      <c r="L813" t="s">
        <v>13</v>
      </c>
      <c r="M813" t="s">
        <v>13</v>
      </c>
    </row>
    <row r="814" spans="1:13">
      <c r="A814" t="s">
        <v>1445</v>
      </c>
      <c r="B814" t="s">
        <v>1446</v>
      </c>
      <c r="C814" t="s">
        <v>602</v>
      </c>
      <c r="D814" t="s">
        <v>1447</v>
      </c>
      <c r="E814" t="s">
        <v>1448</v>
      </c>
      <c r="F814" t="s">
        <v>13</v>
      </c>
      <c r="G814" t="s">
        <v>13</v>
      </c>
      <c r="H814" t="s">
        <v>13</v>
      </c>
      <c r="I814">
        <v>0</v>
      </c>
      <c r="J814" t="s">
        <v>13</v>
      </c>
      <c r="K814" t="s">
        <v>13</v>
      </c>
      <c r="L814" t="s">
        <v>13</v>
      </c>
      <c r="M814" t="s">
        <v>13</v>
      </c>
    </row>
    <row r="815" spans="1:13">
      <c r="A815" t="s">
        <v>1445</v>
      </c>
      <c r="B815" t="s">
        <v>1446</v>
      </c>
      <c r="C815" t="s">
        <v>602</v>
      </c>
      <c r="D815" t="s">
        <v>1447</v>
      </c>
      <c r="E815" t="s">
        <v>1448</v>
      </c>
      <c r="F815" t="s">
        <v>13</v>
      </c>
      <c r="G815" t="s">
        <v>13</v>
      </c>
      <c r="H815" t="s">
        <v>13</v>
      </c>
      <c r="I815">
        <v>0</v>
      </c>
      <c r="J815" t="s">
        <v>13</v>
      </c>
      <c r="K815" t="s">
        <v>13</v>
      </c>
      <c r="L815" t="s">
        <v>13</v>
      </c>
      <c r="M815" t="s">
        <v>13</v>
      </c>
    </row>
    <row r="816" spans="1:13">
      <c r="A816" t="s">
        <v>1449</v>
      </c>
      <c r="B816" t="s">
        <v>1450</v>
      </c>
      <c r="C816" t="s">
        <v>123</v>
      </c>
      <c r="D816" t="s">
        <v>796</v>
      </c>
      <c r="E816" t="s">
        <v>132</v>
      </c>
      <c r="F816" t="s">
        <v>1451</v>
      </c>
      <c r="G816">
        <v>0</v>
      </c>
      <c r="H816" t="s">
        <v>13</v>
      </c>
      <c r="I816" t="s">
        <v>1450</v>
      </c>
      <c r="J816" t="s">
        <v>13</v>
      </c>
      <c r="K816" t="s">
        <v>1452</v>
      </c>
      <c r="L816" t="s">
        <v>13</v>
      </c>
      <c r="M816" t="s">
        <v>288</v>
      </c>
    </row>
    <row r="817" spans="1:13">
      <c r="A817" t="s">
        <v>1449</v>
      </c>
      <c r="B817" t="s">
        <v>1450</v>
      </c>
      <c r="C817" t="s">
        <v>123</v>
      </c>
      <c r="D817" t="s">
        <v>796</v>
      </c>
      <c r="E817" t="s">
        <v>132</v>
      </c>
      <c r="F817" t="s">
        <v>1451</v>
      </c>
      <c r="G817">
        <v>0</v>
      </c>
      <c r="H817" t="s">
        <v>13</v>
      </c>
      <c r="I817" t="s">
        <v>1450</v>
      </c>
      <c r="J817" t="s">
        <v>13</v>
      </c>
      <c r="K817" t="s">
        <v>1452</v>
      </c>
      <c r="L817" t="s">
        <v>13</v>
      </c>
      <c r="M817" t="s">
        <v>288</v>
      </c>
    </row>
    <row r="818" spans="1:13">
      <c r="A818" t="s">
        <v>1453</v>
      </c>
      <c r="B818" t="s">
        <v>1454</v>
      </c>
      <c r="C818" t="s">
        <v>123</v>
      </c>
      <c r="D818" t="s">
        <v>796</v>
      </c>
      <c r="E818" t="s">
        <v>285</v>
      </c>
      <c r="F818" t="s">
        <v>1455</v>
      </c>
      <c r="G818">
        <v>0</v>
      </c>
      <c r="H818" t="s">
        <v>13</v>
      </c>
      <c r="I818" t="s">
        <v>1454</v>
      </c>
      <c r="J818" t="s">
        <v>13</v>
      </c>
      <c r="K818" t="s">
        <v>1456</v>
      </c>
      <c r="L818" t="s">
        <v>13</v>
      </c>
      <c r="M818" t="s">
        <v>288</v>
      </c>
    </row>
    <row r="819" spans="1:13">
      <c r="A819" t="s">
        <v>1453</v>
      </c>
      <c r="B819" t="s">
        <v>1454</v>
      </c>
      <c r="C819" t="s">
        <v>123</v>
      </c>
      <c r="D819" t="s">
        <v>796</v>
      </c>
      <c r="E819" t="s">
        <v>285</v>
      </c>
      <c r="F819" t="s">
        <v>1455</v>
      </c>
      <c r="G819">
        <v>0</v>
      </c>
      <c r="H819" t="s">
        <v>13</v>
      </c>
      <c r="I819" t="s">
        <v>1454</v>
      </c>
      <c r="J819" t="s">
        <v>13</v>
      </c>
      <c r="K819" t="s">
        <v>1456</v>
      </c>
      <c r="L819" t="s">
        <v>13</v>
      </c>
      <c r="M819" t="s">
        <v>288</v>
      </c>
    </row>
    <row r="820" spans="1:13">
      <c r="A820" t="s">
        <v>1457</v>
      </c>
      <c r="B820" t="s">
        <v>1458</v>
      </c>
      <c r="C820" t="s">
        <v>602</v>
      </c>
      <c r="D820" t="s">
        <v>1459</v>
      </c>
      <c r="E820" t="s">
        <v>678</v>
      </c>
      <c r="F820" t="s">
        <v>13</v>
      </c>
      <c r="G820" t="s">
        <v>13</v>
      </c>
      <c r="H820" t="s">
        <v>13</v>
      </c>
      <c r="I820" t="s">
        <v>1460</v>
      </c>
      <c r="J820" t="s">
        <v>13</v>
      </c>
      <c r="K820" t="s">
        <v>13</v>
      </c>
      <c r="L820" t="s">
        <v>13</v>
      </c>
      <c r="M820" t="s">
        <v>13</v>
      </c>
    </row>
    <row r="821" spans="1:13">
      <c r="A821" t="s">
        <v>1461</v>
      </c>
      <c r="B821" t="s">
        <v>1462</v>
      </c>
      <c r="C821" t="s">
        <v>602</v>
      </c>
      <c r="D821" t="s">
        <v>1459</v>
      </c>
      <c r="E821" t="s">
        <v>1463</v>
      </c>
      <c r="F821" t="s">
        <v>13</v>
      </c>
      <c r="G821" t="s">
        <v>13</v>
      </c>
      <c r="H821" t="s">
        <v>13</v>
      </c>
      <c r="I821">
        <v>0</v>
      </c>
      <c r="J821" t="s">
        <v>13</v>
      </c>
      <c r="K821" t="s">
        <v>13</v>
      </c>
      <c r="L821" t="s">
        <v>13</v>
      </c>
      <c r="M821" t="s">
        <v>13</v>
      </c>
    </row>
    <row r="822" spans="1:13">
      <c r="A822" t="s">
        <v>1464</v>
      </c>
      <c r="B822" t="s">
        <v>1465</v>
      </c>
      <c r="C822" t="s">
        <v>602</v>
      </c>
      <c r="D822" t="s">
        <v>1466</v>
      </c>
      <c r="E822" t="s">
        <v>1467</v>
      </c>
      <c r="F822" t="s">
        <v>13</v>
      </c>
      <c r="G822" t="s">
        <v>13</v>
      </c>
      <c r="H822" t="s">
        <v>13</v>
      </c>
      <c r="I822">
        <v>0</v>
      </c>
      <c r="J822" t="s">
        <v>13</v>
      </c>
      <c r="K822" t="s">
        <v>13</v>
      </c>
      <c r="L822" t="s">
        <v>13</v>
      </c>
      <c r="M822" t="s">
        <v>13</v>
      </c>
    </row>
    <row r="823" spans="1:13">
      <c r="A823" t="s">
        <v>1468</v>
      </c>
      <c r="B823" t="s">
        <v>1469</v>
      </c>
      <c r="C823" t="s">
        <v>602</v>
      </c>
      <c r="D823" t="s">
        <v>677</v>
      </c>
      <c r="E823" t="s">
        <v>683</v>
      </c>
      <c r="F823" t="s">
        <v>13</v>
      </c>
      <c r="G823" t="s">
        <v>13</v>
      </c>
      <c r="H823" t="s">
        <v>13</v>
      </c>
      <c r="I823">
        <v>0</v>
      </c>
      <c r="J823" t="s">
        <v>13</v>
      </c>
      <c r="K823" t="s">
        <v>13</v>
      </c>
      <c r="L823" t="s">
        <v>13</v>
      </c>
      <c r="M823" t="s">
        <v>13</v>
      </c>
    </row>
    <row r="824" spans="1:13" hidden="1">
      <c r="A824" t="s">
        <v>1470</v>
      </c>
      <c r="B824" t="s">
        <v>1471</v>
      </c>
      <c r="C824">
        <v>3690</v>
      </c>
      <c r="D824" t="s">
        <v>1472</v>
      </c>
      <c r="E824">
        <v>45614</v>
      </c>
      <c r="F824">
        <v>0</v>
      </c>
      <c r="G824">
        <v>0</v>
      </c>
      <c r="H824" t="s">
        <v>13</v>
      </c>
      <c r="I824">
        <v>0</v>
      </c>
      <c r="J824" t="s">
        <v>13</v>
      </c>
      <c r="K824" t="s">
        <v>13</v>
      </c>
      <c r="L824" t="s">
        <v>13</v>
      </c>
      <c r="M824" t="s">
        <v>13</v>
      </c>
    </row>
    <row r="825" spans="1:13">
      <c r="A825" t="s">
        <v>1473</v>
      </c>
      <c r="B825" t="s">
        <v>1474</v>
      </c>
      <c r="C825" t="s">
        <v>602</v>
      </c>
      <c r="D825">
        <v>0</v>
      </c>
      <c r="E825" t="s">
        <v>1417</v>
      </c>
      <c r="F825" t="s">
        <v>13</v>
      </c>
      <c r="G825" t="s">
        <v>13</v>
      </c>
      <c r="H825" t="s">
        <v>13</v>
      </c>
      <c r="I825" t="s">
        <v>1475</v>
      </c>
      <c r="J825" t="s">
        <v>13</v>
      </c>
      <c r="K825" t="s">
        <v>13</v>
      </c>
      <c r="L825" t="s">
        <v>13</v>
      </c>
      <c r="M825" t="s">
        <v>13</v>
      </c>
    </row>
    <row r="826" spans="1:13">
      <c r="A826" t="s">
        <v>1473</v>
      </c>
      <c r="B826" t="s">
        <v>1474</v>
      </c>
      <c r="C826" t="s">
        <v>602</v>
      </c>
      <c r="D826">
        <v>0</v>
      </c>
      <c r="E826" t="s">
        <v>1417</v>
      </c>
      <c r="F826" t="s">
        <v>13</v>
      </c>
      <c r="G826" t="s">
        <v>13</v>
      </c>
      <c r="H826" t="s">
        <v>13</v>
      </c>
      <c r="I826" t="s">
        <v>1475</v>
      </c>
      <c r="J826" t="s">
        <v>13</v>
      </c>
      <c r="K826" t="s">
        <v>13</v>
      </c>
      <c r="L826" t="s">
        <v>13</v>
      </c>
      <c r="M826" t="s">
        <v>13</v>
      </c>
    </row>
    <row r="827" spans="1:13">
      <c r="A827" t="s">
        <v>1476</v>
      </c>
      <c r="B827" t="s">
        <v>1477</v>
      </c>
      <c r="C827" t="s">
        <v>123</v>
      </c>
      <c r="D827" t="s">
        <v>796</v>
      </c>
      <c r="E827" t="s">
        <v>125</v>
      </c>
      <c r="F827" t="s">
        <v>1478</v>
      </c>
      <c r="G827">
        <v>0</v>
      </c>
      <c r="H827" t="s">
        <v>13</v>
      </c>
      <c r="I827" t="s">
        <v>1477</v>
      </c>
      <c r="J827" t="s">
        <v>13</v>
      </c>
      <c r="K827" t="s">
        <v>1479</v>
      </c>
      <c r="L827" t="s">
        <v>13</v>
      </c>
      <c r="M827" t="s">
        <v>288</v>
      </c>
    </row>
    <row r="828" spans="1:13">
      <c r="A828" t="s">
        <v>1476</v>
      </c>
      <c r="B828" t="s">
        <v>1477</v>
      </c>
      <c r="C828" t="s">
        <v>123</v>
      </c>
      <c r="D828" t="s">
        <v>796</v>
      </c>
      <c r="E828" t="s">
        <v>125</v>
      </c>
      <c r="F828" t="s">
        <v>1478</v>
      </c>
      <c r="G828">
        <v>0</v>
      </c>
      <c r="H828" t="s">
        <v>13</v>
      </c>
      <c r="I828" t="s">
        <v>1477</v>
      </c>
      <c r="J828" t="s">
        <v>13</v>
      </c>
      <c r="K828" t="s">
        <v>1479</v>
      </c>
      <c r="L828" t="s">
        <v>13</v>
      </c>
      <c r="M828" t="s">
        <v>288</v>
      </c>
    </row>
    <row r="829" spans="1:13" hidden="1">
      <c r="A829" t="s">
        <v>268</v>
      </c>
      <c r="B829" t="s">
        <v>1480</v>
      </c>
      <c r="C829">
        <v>2018</v>
      </c>
      <c r="D829" t="s">
        <v>1472</v>
      </c>
      <c r="E829">
        <v>45617</v>
      </c>
      <c r="F829">
        <v>0</v>
      </c>
      <c r="G829">
        <v>0</v>
      </c>
      <c r="H829" t="s">
        <v>13</v>
      </c>
      <c r="I829">
        <v>0</v>
      </c>
      <c r="J829" t="s">
        <v>13</v>
      </c>
      <c r="K829" t="s">
        <v>13</v>
      </c>
      <c r="L829" t="s">
        <v>13</v>
      </c>
      <c r="M829" t="s">
        <v>13</v>
      </c>
    </row>
    <row r="830" spans="1:13" hidden="1">
      <c r="A830" t="s">
        <v>1481</v>
      </c>
      <c r="B830" t="s">
        <v>1482</v>
      </c>
      <c r="C830">
        <v>3228</v>
      </c>
      <c r="D830" t="s">
        <v>1472</v>
      </c>
      <c r="E830">
        <v>45621</v>
      </c>
      <c r="F830">
        <v>0</v>
      </c>
      <c r="G830">
        <v>0</v>
      </c>
      <c r="H830" t="s">
        <v>13</v>
      </c>
      <c r="I830">
        <v>0</v>
      </c>
      <c r="J830" t="s">
        <v>13</v>
      </c>
      <c r="K830" t="s">
        <v>13</v>
      </c>
      <c r="L830" t="s">
        <v>13</v>
      </c>
      <c r="M830" t="s">
        <v>13</v>
      </c>
    </row>
    <row r="831" spans="1:13" hidden="1">
      <c r="A831" t="s">
        <v>1483</v>
      </c>
      <c r="B831" t="s">
        <v>1484</v>
      </c>
      <c r="C831">
        <v>4034</v>
      </c>
      <c r="D831" t="s">
        <v>1472</v>
      </c>
      <c r="E831">
        <v>45621</v>
      </c>
      <c r="F831">
        <v>0</v>
      </c>
      <c r="G831">
        <v>0</v>
      </c>
      <c r="H831" t="s">
        <v>13</v>
      </c>
      <c r="I831">
        <v>0</v>
      </c>
      <c r="J831" t="s">
        <v>13</v>
      </c>
      <c r="K831" t="s">
        <v>13</v>
      </c>
      <c r="L831" t="s">
        <v>13</v>
      </c>
      <c r="M831" t="s">
        <v>13</v>
      </c>
    </row>
    <row r="832" spans="1:13" hidden="1">
      <c r="A832" t="s">
        <v>1485</v>
      </c>
      <c r="B832" t="s">
        <v>1486</v>
      </c>
      <c r="C832">
        <v>4207</v>
      </c>
      <c r="D832" t="s">
        <v>1472</v>
      </c>
      <c r="E832">
        <v>45628</v>
      </c>
      <c r="F832">
        <v>0</v>
      </c>
      <c r="G832">
        <v>0</v>
      </c>
      <c r="H832" t="s">
        <v>13</v>
      </c>
      <c r="I832">
        <v>0</v>
      </c>
      <c r="J832" t="s">
        <v>13</v>
      </c>
      <c r="K832" t="s">
        <v>13</v>
      </c>
      <c r="L832" t="s">
        <v>13</v>
      </c>
      <c r="M832" t="s">
        <v>13</v>
      </c>
    </row>
    <row r="833" spans="1:13" hidden="1">
      <c r="A833" t="s">
        <v>1487</v>
      </c>
      <c r="B833" t="s">
        <v>1488</v>
      </c>
      <c r="C833">
        <v>3023</v>
      </c>
      <c r="D833" t="s">
        <v>1472</v>
      </c>
      <c r="E833">
        <v>45630</v>
      </c>
      <c r="F833">
        <v>0</v>
      </c>
      <c r="G833">
        <v>0</v>
      </c>
      <c r="H833" t="s">
        <v>13</v>
      </c>
      <c r="I833">
        <v>0</v>
      </c>
      <c r="J833" t="s">
        <v>13</v>
      </c>
      <c r="K833" t="s">
        <v>13</v>
      </c>
      <c r="L833" t="s">
        <v>13</v>
      </c>
      <c r="M833" t="s">
        <v>13</v>
      </c>
    </row>
    <row r="834" spans="1:13" hidden="1">
      <c r="A834" t="s">
        <v>1489</v>
      </c>
      <c r="B834" t="s">
        <v>1490</v>
      </c>
      <c r="C834">
        <v>4006</v>
      </c>
      <c r="D834" t="s">
        <v>1472</v>
      </c>
      <c r="E834">
        <v>45631</v>
      </c>
      <c r="F834">
        <v>0</v>
      </c>
      <c r="G834">
        <v>0</v>
      </c>
      <c r="H834" t="s">
        <v>13</v>
      </c>
      <c r="I834">
        <v>0</v>
      </c>
      <c r="J834" t="s">
        <v>13</v>
      </c>
      <c r="K834" t="s">
        <v>13</v>
      </c>
      <c r="L834" t="s">
        <v>13</v>
      </c>
      <c r="M834" t="s">
        <v>13</v>
      </c>
    </row>
    <row r="835" spans="1:13" hidden="1">
      <c r="A835" t="s">
        <v>1491</v>
      </c>
      <c r="B835" t="s">
        <v>1492</v>
      </c>
      <c r="C835">
        <v>4215</v>
      </c>
      <c r="D835" t="s">
        <v>1472</v>
      </c>
      <c r="E835">
        <v>45637</v>
      </c>
      <c r="F835">
        <v>0</v>
      </c>
      <c r="G835">
        <v>0</v>
      </c>
      <c r="H835" t="s">
        <v>13</v>
      </c>
      <c r="I835">
        <v>0</v>
      </c>
      <c r="J835" t="s">
        <v>13</v>
      </c>
      <c r="K835" t="s">
        <v>13</v>
      </c>
      <c r="L835" t="s">
        <v>13</v>
      </c>
      <c r="M835" t="s">
        <v>13</v>
      </c>
    </row>
    <row r="836" spans="1:13" hidden="1">
      <c r="A836" t="s">
        <v>1493</v>
      </c>
      <c r="B836" t="s">
        <v>1494</v>
      </c>
      <c r="C836">
        <v>3030</v>
      </c>
      <c r="D836" t="s">
        <v>1472</v>
      </c>
      <c r="E836">
        <v>45637</v>
      </c>
      <c r="F836">
        <v>0</v>
      </c>
      <c r="G836">
        <v>0</v>
      </c>
      <c r="H836" t="s">
        <v>13</v>
      </c>
      <c r="I836">
        <v>0</v>
      </c>
      <c r="J836" t="s">
        <v>13</v>
      </c>
      <c r="K836" t="s">
        <v>13</v>
      </c>
      <c r="L836" t="s">
        <v>13</v>
      </c>
      <c r="M836" t="s">
        <v>13</v>
      </c>
    </row>
    <row r="837" spans="1:13" hidden="1">
      <c r="A837" t="s">
        <v>1495</v>
      </c>
      <c r="B837" t="s">
        <v>1496</v>
      </c>
      <c r="C837">
        <v>4220</v>
      </c>
      <c r="D837" t="s">
        <v>1472</v>
      </c>
      <c r="E837">
        <v>45638</v>
      </c>
      <c r="F837">
        <v>0</v>
      </c>
      <c r="G837">
        <v>0</v>
      </c>
      <c r="H837" t="s">
        <v>13</v>
      </c>
      <c r="I837">
        <v>0</v>
      </c>
      <c r="J837" t="s">
        <v>13</v>
      </c>
      <c r="K837" t="s">
        <v>13</v>
      </c>
      <c r="L837" t="s">
        <v>13</v>
      </c>
      <c r="M837" t="s">
        <v>13</v>
      </c>
    </row>
    <row r="838" spans="1:13" hidden="1">
      <c r="A838" t="s">
        <v>1497</v>
      </c>
      <c r="B838" t="s">
        <v>1498</v>
      </c>
      <c r="C838">
        <v>4000</v>
      </c>
      <c r="D838" t="s">
        <v>1472</v>
      </c>
      <c r="E838">
        <v>45642</v>
      </c>
      <c r="F838">
        <v>0</v>
      </c>
      <c r="G838">
        <v>0</v>
      </c>
      <c r="H838" t="s">
        <v>13</v>
      </c>
      <c r="I838">
        <v>0</v>
      </c>
      <c r="J838" t="s">
        <v>13</v>
      </c>
      <c r="K838" t="s">
        <v>13</v>
      </c>
      <c r="L838" t="s">
        <v>13</v>
      </c>
      <c r="M838" t="s">
        <v>13</v>
      </c>
    </row>
    <row r="839" spans="1:13" hidden="1">
      <c r="A839" t="s">
        <v>1499</v>
      </c>
      <c r="B839" t="s">
        <v>1500</v>
      </c>
      <c r="C839">
        <v>2250</v>
      </c>
      <c r="D839" t="s">
        <v>1472</v>
      </c>
      <c r="E839">
        <v>45644</v>
      </c>
      <c r="F839">
        <v>0</v>
      </c>
      <c r="G839">
        <v>0</v>
      </c>
      <c r="H839" t="s">
        <v>13</v>
      </c>
      <c r="I839">
        <v>0</v>
      </c>
      <c r="J839" t="s">
        <v>13</v>
      </c>
      <c r="K839" t="s">
        <v>13</v>
      </c>
      <c r="L839" t="s">
        <v>13</v>
      </c>
      <c r="M839" t="s">
        <v>13</v>
      </c>
    </row>
    <row r="840" spans="1:13" hidden="1">
      <c r="A840" t="s">
        <v>1501</v>
      </c>
      <c r="B840" t="s">
        <v>1502</v>
      </c>
      <c r="C840">
        <v>4215</v>
      </c>
      <c r="D840" t="s">
        <v>1472</v>
      </c>
      <c r="E840">
        <v>45646</v>
      </c>
      <c r="F840">
        <v>0</v>
      </c>
      <c r="G840">
        <v>0</v>
      </c>
      <c r="H840" t="s">
        <v>13</v>
      </c>
      <c r="I840">
        <v>0</v>
      </c>
      <c r="J840" t="s">
        <v>13</v>
      </c>
      <c r="K840" t="s">
        <v>13</v>
      </c>
      <c r="L840" t="s">
        <v>13</v>
      </c>
      <c r="M840" t="s">
        <v>13</v>
      </c>
    </row>
    <row r="841" spans="1:13" hidden="1">
      <c r="A841" t="s">
        <v>1503</v>
      </c>
      <c r="B841" t="s">
        <v>1504</v>
      </c>
      <c r="C841">
        <v>4225</v>
      </c>
      <c r="D841" t="s">
        <v>1472</v>
      </c>
      <c r="E841">
        <v>45670</v>
      </c>
      <c r="F841">
        <v>0</v>
      </c>
      <c r="G841">
        <v>0</v>
      </c>
      <c r="H841" t="s">
        <v>13</v>
      </c>
      <c r="I841">
        <v>0</v>
      </c>
      <c r="J841" t="s">
        <v>13</v>
      </c>
      <c r="K841" t="s">
        <v>13</v>
      </c>
      <c r="L841" t="s">
        <v>13</v>
      </c>
      <c r="M841" t="s">
        <v>13</v>
      </c>
    </row>
    <row r="842" spans="1:13" hidden="1">
      <c r="A842" t="s">
        <v>1505</v>
      </c>
      <c r="B842" t="s">
        <v>1506</v>
      </c>
      <c r="C842">
        <v>4101</v>
      </c>
      <c r="D842" t="s">
        <v>1472</v>
      </c>
      <c r="E842">
        <v>45680</v>
      </c>
      <c r="F842">
        <v>0</v>
      </c>
      <c r="G842">
        <v>0</v>
      </c>
      <c r="H842" t="s">
        <v>13</v>
      </c>
      <c r="I842">
        <v>0</v>
      </c>
      <c r="J842" t="s">
        <v>13</v>
      </c>
      <c r="K842" t="s">
        <v>13</v>
      </c>
      <c r="L842" t="s">
        <v>13</v>
      </c>
      <c r="M842" t="s">
        <v>13</v>
      </c>
    </row>
    <row r="843" spans="1:13">
      <c r="A843" t="s">
        <v>1476</v>
      </c>
      <c r="B843" t="s">
        <v>1477</v>
      </c>
      <c r="C843" t="s">
        <v>123</v>
      </c>
      <c r="D843" t="s">
        <v>796</v>
      </c>
      <c r="E843" t="s">
        <v>125</v>
      </c>
      <c r="F843" t="s">
        <v>1478</v>
      </c>
      <c r="G843">
        <v>0</v>
      </c>
      <c r="H843" t="s">
        <v>13</v>
      </c>
      <c r="I843" t="s">
        <v>1477</v>
      </c>
      <c r="J843" t="s">
        <v>13</v>
      </c>
      <c r="K843" t="s">
        <v>1479</v>
      </c>
      <c r="L843" t="s">
        <v>13</v>
      </c>
      <c r="M843" t="s">
        <v>288</v>
      </c>
    </row>
    <row r="844" spans="1:13">
      <c r="A844" t="s">
        <v>1507</v>
      </c>
      <c r="B844" t="s">
        <v>1477</v>
      </c>
      <c r="C844" t="s">
        <v>123</v>
      </c>
      <c r="D844" t="s">
        <v>1133</v>
      </c>
      <c r="E844" t="s">
        <v>1508</v>
      </c>
      <c r="F844">
        <v>0</v>
      </c>
      <c r="G844" t="s">
        <v>13</v>
      </c>
      <c r="H844" t="s">
        <v>13</v>
      </c>
      <c r="I844" t="s">
        <v>1477</v>
      </c>
      <c r="J844" t="s">
        <v>13</v>
      </c>
      <c r="K844">
        <v>0</v>
      </c>
      <c r="L844" t="s">
        <v>13</v>
      </c>
      <c r="M844" t="s">
        <v>288</v>
      </c>
    </row>
    <row r="845" spans="1:13" hidden="1">
      <c r="A845" t="s">
        <v>1509</v>
      </c>
      <c r="B845" t="s">
        <v>1510</v>
      </c>
      <c r="C845">
        <v>4000</v>
      </c>
      <c r="D845" t="s">
        <v>1472</v>
      </c>
      <c r="E845">
        <v>45699</v>
      </c>
      <c r="F845">
        <v>0</v>
      </c>
      <c r="G845">
        <v>0</v>
      </c>
      <c r="H845" t="s">
        <v>13</v>
      </c>
      <c r="I845">
        <v>0</v>
      </c>
      <c r="J845" t="s">
        <v>13</v>
      </c>
      <c r="K845" t="s">
        <v>13</v>
      </c>
      <c r="L845" t="s">
        <v>13</v>
      </c>
      <c r="M845" t="s">
        <v>13</v>
      </c>
    </row>
    <row r="846" spans="1:13" hidden="1">
      <c r="A846" t="s">
        <v>1511</v>
      </c>
      <c r="B846" t="s">
        <v>1512</v>
      </c>
      <c r="C846">
        <v>4014</v>
      </c>
      <c r="D846" t="s">
        <v>1472</v>
      </c>
      <c r="E846">
        <v>45699</v>
      </c>
      <c r="F846">
        <v>0</v>
      </c>
      <c r="G846">
        <v>0</v>
      </c>
      <c r="H846" t="s">
        <v>13</v>
      </c>
      <c r="I846">
        <v>0</v>
      </c>
      <c r="J846" t="s">
        <v>13</v>
      </c>
      <c r="K846" t="s">
        <v>13</v>
      </c>
      <c r="L846" t="s">
        <v>13</v>
      </c>
      <c r="M846" t="s">
        <v>13</v>
      </c>
    </row>
    <row r="847" spans="1:13">
      <c r="A847" t="s">
        <v>1513</v>
      </c>
      <c r="B847" t="s">
        <v>1514</v>
      </c>
      <c r="C847" t="s">
        <v>123</v>
      </c>
      <c r="D847" t="s">
        <v>1515</v>
      </c>
      <c r="E847" t="s">
        <v>1516</v>
      </c>
      <c r="F847">
        <v>0</v>
      </c>
      <c r="G847" t="s">
        <v>13</v>
      </c>
      <c r="H847" t="s">
        <v>13</v>
      </c>
      <c r="I847" t="s">
        <v>1514</v>
      </c>
      <c r="J847" t="s">
        <v>13</v>
      </c>
      <c r="K847">
        <v>0</v>
      </c>
      <c r="L847" t="s">
        <v>13</v>
      </c>
      <c r="M847" t="s">
        <v>288</v>
      </c>
    </row>
    <row r="848" spans="1:13">
      <c r="A848" t="s">
        <v>1517</v>
      </c>
      <c r="B848" t="s">
        <v>1518</v>
      </c>
      <c r="C848" t="s">
        <v>123</v>
      </c>
      <c r="D848" t="s">
        <v>177</v>
      </c>
      <c r="E848" t="s">
        <v>178</v>
      </c>
      <c r="F848" t="s">
        <v>1519</v>
      </c>
      <c r="G848" t="s">
        <v>13</v>
      </c>
      <c r="H848" t="s">
        <v>13</v>
      </c>
      <c r="I848" t="s">
        <v>1518</v>
      </c>
      <c r="J848" t="s">
        <v>13</v>
      </c>
      <c r="K848" t="s">
        <v>1520</v>
      </c>
      <c r="L848" t="s">
        <v>13</v>
      </c>
      <c r="M848" t="s">
        <v>288</v>
      </c>
    </row>
    <row r="849" spans="1:13" hidden="1">
      <c r="A849" t="s">
        <v>1521</v>
      </c>
      <c r="B849" t="s">
        <v>1522</v>
      </c>
      <c r="C849">
        <v>3121</v>
      </c>
      <c r="D849" t="s">
        <v>1472</v>
      </c>
      <c r="E849">
        <v>45712</v>
      </c>
      <c r="F849">
        <v>0</v>
      </c>
      <c r="G849">
        <v>0</v>
      </c>
      <c r="H849" t="s">
        <v>13</v>
      </c>
      <c r="I849">
        <v>0</v>
      </c>
      <c r="J849" t="s">
        <v>13</v>
      </c>
      <c r="K849" t="s">
        <v>13</v>
      </c>
      <c r="L849" t="s">
        <v>13</v>
      </c>
      <c r="M849" t="s">
        <v>13</v>
      </c>
    </row>
    <row r="850" spans="1:13">
      <c r="A850" t="s">
        <v>1517</v>
      </c>
      <c r="B850" t="s">
        <v>1518</v>
      </c>
      <c r="C850" t="s">
        <v>123</v>
      </c>
      <c r="D850" t="s">
        <v>177</v>
      </c>
      <c r="E850" t="s">
        <v>178</v>
      </c>
      <c r="F850" t="s">
        <v>1519</v>
      </c>
      <c r="G850" t="s">
        <v>13</v>
      </c>
      <c r="H850" t="s">
        <v>13</v>
      </c>
      <c r="I850" t="s">
        <v>1518</v>
      </c>
      <c r="J850" t="s">
        <v>13</v>
      </c>
      <c r="K850" t="s">
        <v>1520</v>
      </c>
      <c r="L850" t="s">
        <v>13</v>
      </c>
      <c r="M850" t="s">
        <v>288</v>
      </c>
    </row>
    <row r="851" spans="1:13" hidden="1">
      <c r="A851" t="s">
        <v>1523</v>
      </c>
      <c r="B851" t="s">
        <v>1524</v>
      </c>
      <c r="C851">
        <v>3038</v>
      </c>
      <c r="D851" t="s">
        <v>1472</v>
      </c>
      <c r="E851">
        <v>45715</v>
      </c>
      <c r="F851">
        <v>0</v>
      </c>
      <c r="G851">
        <v>0</v>
      </c>
      <c r="H851" t="s">
        <v>13</v>
      </c>
      <c r="I851">
        <v>0</v>
      </c>
      <c r="J851" t="s">
        <v>13</v>
      </c>
      <c r="K851" t="s">
        <v>13</v>
      </c>
      <c r="L851" t="s">
        <v>13</v>
      </c>
      <c r="M851" t="s">
        <v>13</v>
      </c>
    </row>
    <row r="852" spans="1:13">
      <c r="A852" t="s">
        <v>1525</v>
      </c>
      <c r="B852" t="s">
        <v>1526</v>
      </c>
      <c r="C852" t="s">
        <v>123</v>
      </c>
      <c r="D852" t="s">
        <v>796</v>
      </c>
      <c r="E852" t="s">
        <v>458</v>
      </c>
      <c r="F852" t="s">
        <v>1527</v>
      </c>
      <c r="G852" t="s">
        <v>13</v>
      </c>
      <c r="H852" t="s">
        <v>13</v>
      </c>
      <c r="I852" t="s">
        <v>1526</v>
      </c>
      <c r="J852" t="s">
        <v>13</v>
      </c>
      <c r="K852" t="s">
        <v>1528</v>
      </c>
      <c r="L852" t="s">
        <v>13</v>
      </c>
      <c r="M852" t="s">
        <v>288</v>
      </c>
    </row>
    <row r="853" spans="1:13">
      <c r="A853" t="s">
        <v>1529</v>
      </c>
      <c r="B853" t="s">
        <v>1526</v>
      </c>
      <c r="C853" t="s">
        <v>123</v>
      </c>
      <c r="D853" t="s">
        <v>796</v>
      </c>
      <c r="E853" t="s">
        <v>458</v>
      </c>
      <c r="F853" t="s">
        <v>1527</v>
      </c>
      <c r="G853" t="s">
        <v>13</v>
      </c>
      <c r="H853" t="s">
        <v>13</v>
      </c>
      <c r="I853" t="s">
        <v>1526</v>
      </c>
      <c r="J853" t="s">
        <v>13</v>
      </c>
      <c r="K853" t="s">
        <v>1528</v>
      </c>
      <c r="L853" t="s">
        <v>13</v>
      </c>
      <c r="M853" t="s">
        <v>288</v>
      </c>
    </row>
    <row r="854" spans="1:13">
      <c r="A854" t="s">
        <v>1530</v>
      </c>
      <c r="B854" t="s">
        <v>1531</v>
      </c>
      <c r="C854" t="s">
        <v>123</v>
      </c>
      <c r="D854" t="s">
        <v>177</v>
      </c>
      <c r="E854" t="s">
        <v>178</v>
      </c>
      <c r="F854" t="s">
        <v>1532</v>
      </c>
      <c r="G854" t="s">
        <v>13</v>
      </c>
      <c r="H854" t="s">
        <v>13</v>
      </c>
      <c r="I854" t="s">
        <v>1531</v>
      </c>
      <c r="J854" t="s">
        <v>13</v>
      </c>
      <c r="K854" t="s">
        <v>1520</v>
      </c>
      <c r="L854" t="s">
        <v>13</v>
      </c>
      <c r="M854" t="s">
        <v>288</v>
      </c>
    </row>
    <row r="855" spans="1:13">
      <c r="A855" t="s">
        <v>1530</v>
      </c>
      <c r="B855" t="s">
        <v>1531</v>
      </c>
      <c r="C855" t="s">
        <v>123</v>
      </c>
      <c r="D855" t="s">
        <v>177</v>
      </c>
      <c r="E855" t="s">
        <v>178</v>
      </c>
      <c r="F855" t="s">
        <v>1532</v>
      </c>
      <c r="G855" t="s">
        <v>13</v>
      </c>
      <c r="H855" t="s">
        <v>13</v>
      </c>
      <c r="I855" t="s">
        <v>1531</v>
      </c>
      <c r="J855" t="s">
        <v>13</v>
      </c>
      <c r="K855" t="s">
        <v>1520</v>
      </c>
      <c r="L855" t="s">
        <v>13</v>
      </c>
      <c r="M855" t="s">
        <v>288</v>
      </c>
    </row>
    <row r="856" spans="1:13" hidden="1">
      <c r="A856" t="s">
        <v>1523</v>
      </c>
      <c r="B856" t="s">
        <v>1524</v>
      </c>
      <c r="C856">
        <v>3038</v>
      </c>
      <c r="D856" t="s">
        <v>1472</v>
      </c>
      <c r="E856">
        <v>45715</v>
      </c>
      <c r="F856">
        <v>0</v>
      </c>
      <c r="G856">
        <v>0</v>
      </c>
      <c r="H856" t="s">
        <v>13</v>
      </c>
      <c r="I856">
        <v>0</v>
      </c>
      <c r="J856" t="s">
        <v>13</v>
      </c>
      <c r="K856" t="s">
        <v>13</v>
      </c>
      <c r="L856" t="s">
        <v>13</v>
      </c>
      <c r="M856" t="s">
        <v>13</v>
      </c>
    </row>
    <row r="857" spans="1:13">
      <c r="A857" t="s">
        <v>1533</v>
      </c>
      <c r="B857" t="s">
        <v>1534</v>
      </c>
      <c r="C857" t="s">
        <v>123</v>
      </c>
      <c r="D857" t="s">
        <v>796</v>
      </c>
      <c r="E857" t="s">
        <v>132</v>
      </c>
      <c r="F857" t="s">
        <v>1535</v>
      </c>
      <c r="G857">
        <v>0</v>
      </c>
      <c r="H857" t="s">
        <v>13</v>
      </c>
      <c r="I857" t="s">
        <v>1534</v>
      </c>
      <c r="J857" t="s">
        <v>13</v>
      </c>
      <c r="K857" t="s">
        <v>1536</v>
      </c>
      <c r="L857" t="s">
        <v>13</v>
      </c>
      <c r="M857" t="s">
        <v>288</v>
      </c>
    </row>
    <row r="858" spans="1:13" hidden="1">
      <c r="A858" t="s">
        <v>1489</v>
      </c>
      <c r="B858" t="s">
        <v>1490</v>
      </c>
      <c r="C858">
        <v>4006</v>
      </c>
      <c r="D858" t="s">
        <v>1472</v>
      </c>
      <c r="E858">
        <v>45631</v>
      </c>
      <c r="F858">
        <v>0</v>
      </c>
      <c r="G858">
        <v>0</v>
      </c>
      <c r="H858" t="s">
        <v>13</v>
      </c>
      <c r="I858">
        <v>0</v>
      </c>
      <c r="J858" t="s">
        <v>13</v>
      </c>
      <c r="K858" t="s">
        <v>13</v>
      </c>
      <c r="L858" t="s">
        <v>13</v>
      </c>
      <c r="M858" t="s">
        <v>13</v>
      </c>
    </row>
    <row r="859" spans="1:13" hidden="1">
      <c r="A859" t="s">
        <v>1537</v>
      </c>
      <c r="B859" t="s">
        <v>1538</v>
      </c>
      <c r="C859">
        <v>4066</v>
      </c>
      <c r="D859" t="s">
        <v>1472</v>
      </c>
      <c r="E859">
        <v>45757</v>
      </c>
      <c r="F859">
        <v>0</v>
      </c>
      <c r="G859">
        <v>0</v>
      </c>
      <c r="H859" t="s">
        <v>13</v>
      </c>
      <c r="I859">
        <v>0</v>
      </c>
      <c r="J859" t="s">
        <v>13</v>
      </c>
      <c r="K859" t="s">
        <v>13</v>
      </c>
      <c r="L859" t="s">
        <v>13</v>
      </c>
      <c r="M859" t="s">
        <v>13</v>
      </c>
    </row>
    <row r="860" spans="1:13" hidden="1">
      <c r="A860" t="s">
        <v>1539</v>
      </c>
      <c r="B860" t="s">
        <v>1540</v>
      </c>
      <c r="C860">
        <v>4000</v>
      </c>
      <c r="D860" t="s">
        <v>1472</v>
      </c>
      <c r="E860">
        <v>45758</v>
      </c>
      <c r="F860">
        <v>0</v>
      </c>
      <c r="G860">
        <v>0</v>
      </c>
      <c r="H860" t="s">
        <v>13</v>
      </c>
      <c r="I860">
        <v>0</v>
      </c>
      <c r="J860" t="s">
        <v>13</v>
      </c>
      <c r="K860" t="s">
        <v>13</v>
      </c>
      <c r="L860" t="s">
        <v>13</v>
      </c>
      <c r="M860" t="s">
        <v>13</v>
      </c>
    </row>
    <row r="861" spans="1:13" hidden="1">
      <c r="A861" t="s">
        <v>1541</v>
      </c>
      <c r="B861" t="s">
        <v>1542</v>
      </c>
      <c r="C861">
        <v>4172</v>
      </c>
      <c r="D861" t="s">
        <v>1472</v>
      </c>
      <c r="E861">
        <v>45762</v>
      </c>
      <c r="F861">
        <v>0</v>
      </c>
      <c r="G861">
        <v>0</v>
      </c>
      <c r="H861" t="s">
        <v>13</v>
      </c>
      <c r="I861">
        <v>0</v>
      </c>
      <c r="J861" t="s">
        <v>13</v>
      </c>
      <c r="K861" t="s">
        <v>13</v>
      </c>
      <c r="L861" t="s">
        <v>13</v>
      </c>
      <c r="M861" t="s">
        <v>13</v>
      </c>
    </row>
    <row r="862" spans="1:13">
      <c r="A862" t="s">
        <v>1533</v>
      </c>
      <c r="B862" t="s">
        <v>1534</v>
      </c>
      <c r="C862" t="s">
        <v>123</v>
      </c>
      <c r="D862" t="s">
        <v>796</v>
      </c>
      <c r="E862" t="s">
        <v>132</v>
      </c>
      <c r="F862" t="s">
        <v>1535</v>
      </c>
      <c r="G862">
        <v>0</v>
      </c>
      <c r="H862" t="s">
        <v>13</v>
      </c>
      <c r="I862" t="s">
        <v>1534</v>
      </c>
      <c r="J862" t="s">
        <v>13</v>
      </c>
      <c r="K862" t="s">
        <v>1536</v>
      </c>
      <c r="L862" t="s">
        <v>13</v>
      </c>
      <c r="M862" t="s">
        <v>288</v>
      </c>
    </row>
    <row r="863" spans="1:13" hidden="1">
      <c r="A863" t="s">
        <v>1497</v>
      </c>
      <c r="B863" t="s">
        <v>1498</v>
      </c>
      <c r="C863">
        <v>4000</v>
      </c>
      <c r="D863" t="s">
        <v>1472</v>
      </c>
      <c r="E863">
        <v>45642</v>
      </c>
      <c r="F863">
        <v>0</v>
      </c>
      <c r="G863">
        <v>0</v>
      </c>
      <c r="H863" t="s">
        <v>13</v>
      </c>
      <c r="I863">
        <v>0</v>
      </c>
      <c r="J863" t="s">
        <v>13</v>
      </c>
      <c r="K863" t="s">
        <v>13</v>
      </c>
      <c r="L863" t="s">
        <v>13</v>
      </c>
      <c r="M863" t="s">
        <v>13</v>
      </c>
    </row>
    <row r="864" spans="1:13" hidden="1">
      <c r="A864" t="s">
        <v>1543</v>
      </c>
      <c r="B864" t="s">
        <v>1544</v>
      </c>
      <c r="C864">
        <v>2230</v>
      </c>
      <c r="D864" t="s">
        <v>1472</v>
      </c>
      <c r="E864">
        <v>45769</v>
      </c>
      <c r="F864">
        <v>0</v>
      </c>
      <c r="G864">
        <v>0</v>
      </c>
      <c r="H864" t="s">
        <v>13</v>
      </c>
      <c r="I864">
        <v>0</v>
      </c>
      <c r="J864" t="s">
        <v>13</v>
      </c>
      <c r="K864" t="s">
        <v>13</v>
      </c>
      <c r="L864" t="s">
        <v>13</v>
      </c>
      <c r="M864" t="s">
        <v>13</v>
      </c>
    </row>
    <row r="865" spans="1:13">
      <c r="A865" t="s">
        <v>1545</v>
      </c>
      <c r="B865" t="s">
        <v>1546</v>
      </c>
      <c r="C865" t="s">
        <v>123</v>
      </c>
      <c r="D865" t="s">
        <v>796</v>
      </c>
      <c r="E865" t="s">
        <v>132</v>
      </c>
      <c r="F865" t="s">
        <v>1547</v>
      </c>
      <c r="G865" t="s">
        <v>13</v>
      </c>
      <c r="H865" t="s">
        <v>13</v>
      </c>
      <c r="I865" t="s">
        <v>1546</v>
      </c>
      <c r="J865" t="s">
        <v>13</v>
      </c>
      <c r="K865" t="s">
        <v>1548</v>
      </c>
      <c r="L865" t="s">
        <v>13</v>
      </c>
      <c r="M865" t="s">
        <v>288</v>
      </c>
    </row>
    <row r="866" spans="1:13" hidden="1">
      <c r="A866" t="s">
        <v>1549</v>
      </c>
      <c r="B866" t="s">
        <v>1550</v>
      </c>
      <c r="C866">
        <v>2640</v>
      </c>
      <c r="D866" t="s">
        <v>1472</v>
      </c>
      <c r="E866">
        <v>45771</v>
      </c>
      <c r="F866">
        <v>0</v>
      </c>
      <c r="G866">
        <v>0</v>
      </c>
      <c r="H866" t="s">
        <v>13</v>
      </c>
      <c r="I866">
        <v>0</v>
      </c>
      <c r="J866" t="s">
        <v>13</v>
      </c>
      <c r="K866" t="s">
        <v>13</v>
      </c>
      <c r="L866" t="s">
        <v>13</v>
      </c>
      <c r="M866" t="s">
        <v>13</v>
      </c>
    </row>
    <row r="867" spans="1:13">
      <c r="A867" t="s">
        <v>1551</v>
      </c>
      <c r="B867" t="s">
        <v>1552</v>
      </c>
      <c r="C867" t="s">
        <v>602</v>
      </c>
      <c r="D867" t="s">
        <v>1553</v>
      </c>
      <c r="E867" t="s">
        <v>1554</v>
      </c>
      <c r="F867" t="s">
        <v>13</v>
      </c>
      <c r="G867" t="s">
        <v>13</v>
      </c>
      <c r="H867" t="s">
        <v>13</v>
      </c>
      <c r="I867">
        <v>0</v>
      </c>
      <c r="J867" t="s">
        <v>13</v>
      </c>
      <c r="K867" t="s">
        <v>13</v>
      </c>
      <c r="L867" t="s">
        <v>13</v>
      </c>
      <c r="M867" t="s">
        <v>13</v>
      </c>
    </row>
    <row r="868" spans="1:13" hidden="1">
      <c r="A868" t="s">
        <v>1555</v>
      </c>
      <c r="B868" t="s">
        <v>1556</v>
      </c>
      <c r="C868">
        <v>3021</v>
      </c>
      <c r="D868" t="s">
        <v>1472</v>
      </c>
      <c r="E868">
        <v>45777</v>
      </c>
      <c r="F868">
        <v>0</v>
      </c>
      <c r="G868">
        <v>0</v>
      </c>
      <c r="H868" t="s">
        <v>13</v>
      </c>
      <c r="I868">
        <v>0</v>
      </c>
      <c r="J868" t="s">
        <v>13</v>
      </c>
      <c r="K868" t="s">
        <v>13</v>
      </c>
      <c r="L868" t="s">
        <v>13</v>
      </c>
      <c r="M868" t="s">
        <v>13</v>
      </c>
    </row>
    <row r="869" spans="1:13">
      <c r="A869" t="s">
        <v>1557</v>
      </c>
      <c r="B869" t="s">
        <v>1558</v>
      </c>
      <c r="C869" t="s">
        <v>602</v>
      </c>
      <c r="D869" t="s">
        <v>1559</v>
      </c>
      <c r="E869" t="s">
        <v>1560</v>
      </c>
      <c r="F869" t="s">
        <v>13</v>
      </c>
      <c r="G869" t="s">
        <v>13</v>
      </c>
      <c r="H869" t="s">
        <v>13</v>
      </c>
      <c r="I869">
        <v>0</v>
      </c>
      <c r="J869" t="s">
        <v>13</v>
      </c>
      <c r="K869" t="s">
        <v>13</v>
      </c>
      <c r="L869" t="s">
        <v>13</v>
      </c>
      <c r="M869" t="s">
        <v>13</v>
      </c>
    </row>
    <row r="870" spans="1:13" hidden="1">
      <c r="A870" t="s">
        <v>1561</v>
      </c>
      <c r="B870" t="s">
        <v>1562</v>
      </c>
      <c r="C870">
        <v>4102</v>
      </c>
      <c r="D870" t="s">
        <v>1472</v>
      </c>
      <c r="E870">
        <v>45784</v>
      </c>
      <c r="F870">
        <v>0</v>
      </c>
      <c r="G870">
        <v>0</v>
      </c>
      <c r="H870" t="s">
        <v>13</v>
      </c>
      <c r="I870">
        <v>0</v>
      </c>
      <c r="J870" t="s">
        <v>13</v>
      </c>
      <c r="K870" t="s">
        <v>13</v>
      </c>
      <c r="L870" t="s">
        <v>13</v>
      </c>
      <c r="M870" t="s">
        <v>13</v>
      </c>
    </row>
    <row r="871" spans="1:13">
      <c r="A871" t="s">
        <v>1563</v>
      </c>
      <c r="B871" t="s">
        <v>1564</v>
      </c>
      <c r="C871" t="s">
        <v>602</v>
      </c>
      <c r="D871" t="s">
        <v>1559</v>
      </c>
      <c r="E871" t="s">
        <v>1565</v>
      </c>
      <c r="F871" t="s">
        <v>13</v>
      </c>
      <c r="G871" t="s">
        <v>13</v>
      </c>
      <c r="H871" t="s">
        <v>13</v>
      </c>
      <c r="I871">
        <v>0</v>
      </c>
      <c r="J871" t="s">
        <v>13</v>
      </c>
      <c r="K871" t="s">
        <v>13</v>
      </c>
      <c r="L871" t="s">
        <v>13</v>
      </c>
      <c r="M871" t="s">
        <v>13</v>
      </c>
    </row>
    <row r="872" spans="1:13">
      <c r="A872" t="s">
        <v>1566</v>
      </c>
      <c r="B872" t="s">
        <v>1567</v>
      </c>
      <c r="C872" t="s">
        <v>123</v>
      </c>
      <c r="D872" t="s">
        <v>796</v>
      </c>
      <c r="E872" t="s">
        <v>458</v>
      </c>
      <c r="F872" t="s">
        <v>1568</v>
      </c>
      <c r="G872" t="s">
        <v>13</v>
      </c>
      <c r="H872" t="s">
        <v>13</v>
      </c>
      <c r="I872" t="s">
        <v>1567</v>
      </c>
      <c r="J872" t="s">
        <v>13</v>
      </c>
      <c r="K872" t="s">
        <v>1387</v>
      </c>
      <c r="L872" t="s">
        <v>13</v>
      </c>
      <c r="M872" t="s">
        <v>288</v>
      </c>
    </row>
    <row r="873" spans="1:13" hidden="1">
      <c r="A873" t="s">
        <v>1569</v>
      </c>
      <c r="B873" t="s">
        <v>1570</v>
      </c>
      <c r="C873">
        <v>4032</v>
      </c>
      <c r="D873" t="s">
        <v>1472</v>
      </c>
      <c r="E873">
        <v>45791</v>
      </c>
      <c r="F873">
        <v>0</v>
      </c>
      <c r="G873">
        <v>0</v>
      </c>
      <c r="H873" t="s">
        <v>13</v>
      </c>
      <c r="I873">
        <v>0</v>
      </c>
      <c r="J873" t="s">
        <v>13</v>
      </c>
      <c r="K873" t="s">
        <v>13</v>
      </c>
      <c r="L873" t="s">
        <v>13</v>
      </c>
      <c r="M873" t="s">
        <v>13</v>
      </c>
    </row>
    <row r="874" spans="1:13" hidden="1">
      <c r="A874" t="s">
        <v>1571</v>
      </c>
      <c r="B874" t="s">
        <v>1572</v>
      </c>
      <c r="C874">
        <v>4170</v>
      </c>
      <c r="D874" t="s">
        <v>1472</v>
      </c>
      <c r="E874">
        <v>45800</v>
      </c>
      <c r="F874">
        <v>0</v>
      </c>
      <c r="G874">
        <v>0</v>
      </c>
      <c r="H874" t="s">
        <v>13</v>
      </c>
      <c r="I874">
        <v>0</v>
      </c>
      <c r="J874" t="s">
        <v>13</v>
      </c>
      <c r="K874" t="s">
        <v>13</v>
      </c>
      <c r="L874" t="s">
        <v>13</v>
      </c>
      <c r="M874" t="s">
        <v>13</v>
      </c>
    </row>
    <row r="875" spans="1:13" hidden="1">
      <c r="A875" t="s">
        <v>1573</v>
      </c>
      <c r="B875" t="s">
        <v>1574</v>
      </c>
      <c r="C875">
        <v>3977</v>
      </c>
      <c r="D875" t="s">
        <v>1472</v>
      </c>
      <c r="E875">
        <v>45804</v>
      </c>
      <c r="F875">
        <v>0</v>
      </c>
      <c r="G875">
        <v>0</v>
      </c>
      <c r="H875" t="s">
        <v>13</v>
      </c>
      <c r="I875">
        <v>0</v>
      </c>
      <c r="J875" t="s">
        <v>13</v>
      </c>
      <c r="K875" t="s">
        <v>13</v>
      </c>
      <c r="L875" t="s">
        <v>13</v>
      </c>
      <c r="M875" t="s">
        <v>13</v>
      </c>
    </row>
    <row r="876" spans="1:13">
      <c r="A876" t="s">
        <v>1575</v>
      </c>
      <c r="B876" t="s">
        <v>1576</v>
      </c>
      <c r="C876" t="s">
        <v>123</v>
      </c>
      <c r="D876" t="s">
        <v>131</v>
      </c>
      <c r="E876" t="s">
        <v>125</v>
      </c>
      <c r="F876" t="s">
        <v>1577</v>
      </c>
      <c r="G876" t="s">
        <v>13</v>
      </c>
      <c r="H876" t="s">
        <v>13</v>
      </c>
      <c r="I876" t="s">
        <v>1576</v>
      </c>
      <c r="J876" t="s">
        <v>13</v>
      </c>
      <c r="K876" t="s">
        <v>1578</v>
      </c>
      <c r="L876" t="s">
        <v>13</v>
      </c>
      <c r="M876" t="s">
        <v>288</v>
      </c>
    </row>
    <row r="877" spans="1:13">
      <c r="A877" t="s">
        <v>1575</v>
      </c>
      <c r="B877" t="s">
        <v>1576</v>
      </c>
      <c r="C877" t="s">
        <v>123</v>
      </c>
      <c r="D877" t="s">
        <v>131</v>
      </c>
      <c r="E877" t="s">
        <v>125</v>
      </c>
      <c r="F877" t="s">
        <v>1577</v>
      </c>
      <c r="G877" t="s">
        <v>13</v>
      </c>
      <c r="H877" t="s">
        <v>13</v>
      </c>
      <c r="I877" t="s">
        <v>1576</v>
      </c>
      <c r="J877" t="s">
        <v>13</v>
      </c>
      <c r="K877" t="s">
        <v>1578</v>
      </c>
      <c r="L877" t="s">
        <v>13</v>
      </c>
      <c r="M877" t="s">
        <v>288</v>
      </c>
    </row>
    <row r="878" spans="1:13">
      <c r="A878" t="s">
        <v>1579</v>
      </c>
      <c r="B878" t="s">
        <v>1580</v>
      </c>
      <c r="C878" t="s">
        <v>602</v>
      </c>
      <c r="D878">
        <v>0</v>
      </c>
      <c r="E878" t="s">
        <v>1417</v>
      </c>
      <c r="F878" t="s">
        <v>13</v>
      </c>
      <c r="G878" t="s">
        <v>13</v>
      </c>
      <c r="H878" t="s">
        <v>13</v>
      </c>
      <c r="I878" t="s">
        <v>1581</v>
      </c>
      <c r="J878" t="s">
        <v>13</v>
      </c>
      <c r="K878" t="s">
        <v>13</v>
      </c>
      <c r="L878" t="s">
        <v>13</v>
      </c>
      <c r="M878" t="s">
        <v>13</v>
      </c>
    </row>
    <row r="879" spans="1:13" hidden="1">
      <c r="A879" t="s">
        <v>1582</v>
      </c>
      <c r="B879" t="s">
        <v>1583</v>
      </c>
      <c r="C879">
        <v>4218</v>
      </c>
      <c r="D879" t="s">
        <v>1472</v>
      </c>
      <c r="E879">
        <v>45826</v>
      </c>
      <c r="F879">
        <v>0</v>
      </c>
      <c r="G879">
        <v>0</v>
      </c>
      <c r="H879" t="s">
        <v>13</v>
      </c>
      <c r="I879">
        <v>0</v>
      </c>
      <c r="J879" t="s">
        <v>13</v>
      </c>
      <c r="K879" t="s">
        <v>13</v>
      </c>
      <c r="L879" t="s">
        <v>13</v>
      </c>
      <c r="M879" t="s">
        <v>13</v>
      </c>
    </row>
    <row r="880" spans="1:13">
      <c r="A880" t="s">
        <v>1579</v>
      </c>
      <c r="B880" t="s">
        <v>1580</v>
      </c>
      <c r="C880" t="s">
        <v>602</v>
      </c>
      <c r="D880">
        <v>0</v>
      </c>
      <c r="E880" t="s">
        <v>1417</v>
      </c>
      <c r="F880" t="s">
        <v>13</v>
      </c>
      <c r="G880" t="s">
        <v>13</v>
      </c>
      <c r="H880" t="s">
        <v>13</v>
      </c>
      <c r="I880" t="s">
        <v>1581</v>
      </c>
      <c r="J880" t="s">
        <v>13</v>
      </c>
      <c r="K880" t="s">
        <v>13</v>
      </c>
      <c r="L880" t="s">
        <v>13</v>
      </c>
      <c r="M880" t="s">
        <v>13</v>
      </c>
    </row>
    <row r="881" spans="1:13">
      <c r="A881" t="s">
        <v>1579</v>
      </c>
      <c r="B881" t="s">
        <v>1580</v>
      </c>
      <c r="C881" t="s">
        <v>602</v>
      </c>
      <c r="D881">
        <v>0</v>
      </c>
      <c r="E881" t="s">
        <v>1417</v>
      </c>
      <c r="F881" t="s">
        <v>13</v>
      </c>
      <c r="G881" t="s">
        <v>13</v>
      </c>
      <c r="H881" t="s">
        <v>13</v>
      </c>
      <c r="I881" t="s">
        <v>1581</v>
      </c>
      <c r="J881" t="s">
        <v>13</v>
      </c>
      <c r="K881" t="s">
        <v>13</v>
      </c>
      <c r="L881" t="s">
        <v>13</v>
      </c>
      <c r="M881" t="s">
        <v>13</v>
      </c>
    </row>
    <row r="882" spans="1:13" hidden="1">
      <c r="A882" t="s">
        <v>1584</v>
      </c>
      <c r="B882" t="s">
        <v>1585</v>
      </c>
      <c r="C882">
        <v>4172</v>
      </c>
      <c r="D882" t="s">
        <v>1472</v>
      </c>
      <c r="E882">
        <v>45831</v>
      </c>
      <c r="F882">
        <v>0</v>
      </c>
      <c r="G882">
        <v>0</v>
      </c>
      <c r="H882" t="s">
        <v>13</v>
      </c>
      <c r="I882">
        <v>0</v>
      </c>
      <c r="J882" t="s">
        <v>13</v>
      </c>
      <c r="K882" t="s">
        <v>13</v>
      </c>
      <c r="L882" t="s">
        <v>13</v>
      </c>
      <c r="M882" t="s">
        <v>13</v>
      </c>
    </row>
    <row r="883" spans="1:13">
      <c r="A883" t="s">
        <v>1586</v>
      </c>
      <c r="B883" t="s">
        <v>1587</v>
      </c>
      <c r="C883" t="s">
        <v>602</v>
      </c>
      <c r="D883">
        <v>0</v>
      </c>
      <c r="E883" t="s">
        <v>1268</v>
      </c>
      <c r="F883" t="s">
        <v>13</v>
      </c>
      <c r="G883" t="s">
        <v>13</v>
      </c>
      <c r="H883" t="s">
        <v>13</v>
      </c>
      <c r="I883" t="s">
        <v>1588</v>
      </c>
      <c r="J883" t="s">
        <v>13</v>
      </c>
      <c r="K883" t="s">
        <v>13</v>
      </c>
      <c r="L883" t="s">
        <v>13</v>
      </c>
      <c r="M883" t="s">
        <v>13</v>
      </c>
    </row>
    <row r="884" spans="1:13">
      <c r="A884" t="s">
        <v>1586</v>
      </c>
      <c r="B884" t="s">
        <v>1587</v>
      </c>
      <c r="C884" t="s">
        <v>602</v>
      </c>
      <c r="D884">
        <v>0</v>
      </c>
      <c r="E884" t="s">
        <v>1268</v>
      </c>
      <c r="F884" t="s">
        <v>13</v>
      </c>
      <c r="G884" t="s">
        <v>13</v>
      </c>
      <c r="H884" t="s">
        <v>13</v>
      </c>
      <c r="I884" t="s">
        <v>1588</v>
      </c>
      <c r="J884" t="s">
        <v>13</v>
      </c>
      <c r="K884" t="s">
        <v>13</v>
      </c>
      <c r="L884" t="s">
        <v>13</v>
      </c>
      <c r="M884" t="s">
        <v>13</v>
      </c>
    </row>
    <row r="885" spans="1:13">
      <c r="A885" t="s">
        <v>1586</v>
      </c>
      <c r="B885" t="s">
        <v>1587</v>
      </c>
      <c r="C885" t="s">
        <v>602</v>
      </c>
      <c r="D885">
        <v>0</v>
      </c>
      <c r="E885" t="s">
        <v>1268</v>
      </c>
      <c r="F885" t="s">
        <v>13</v>
      </c>
      <c r="G885" t="s">
        <v>13</v>
      </c>
      <c r="H885" t="s">
        <v>13</v>
      </c>
      <c r="I885" t="s">
        <v>1588</v>
      </c>
      <c r="J885" t="s">
        <v>13</v>
      </c>
      <c r="K885" t="s">
        <v>13</v>
      </c>
      <c r="L885" t="s">
        <v>13</v>
      </c>
      <c r="M885" t="s">
        <v>13</v>
      </c>
    </row>
    <row r="886" spans="1:13" hidden="1">
      <c r="A886" t="s">
        <v>1489</v>
      </c>
      <c r="B886" t="s">
        <v>1490</v>
      </c>
      <c r="C886">
        <v>4006</v>
      </c>
      <c r="D886" t="s">
        <v>1472</v>
      </c>
      <c r="E886">
        <v>45631</v>
      </c>
      <c r="F886">
        <v>0</v>
      </c>
      <c r="G886">
        <v>0</v>
      </c>
      <c r="H886" t="s">
        <v>13</v>
      </c>
      <c r="I886">
        <v>0</v>
      </c>
      <c r="J886" t="s">
        <v>13</v>
      </c>
      <c r="K886" t="s">
        <v>13</v>
      </c>
      <c r="L886" t="s">
        <v>13</v>
      </c>
      <c r="M886" t="s">
        <v>13</v>
      </c>
    </row>
    <row r="887" spans="1:13" hidden="1">
      <c r="A887" t="s">
        <v>1589</v>
      </c>
      <c r="B887" t="s">
        <v>1590</v>
      </c>
      <c r="C887">
        <v>4101</v>
      </c>
      <c r="D887" t="s">
        <v>1472</v>
      </c>
      <c r="E887">
        <v>45834</v>
      </c>
      <c r="F887">
        <v>0</v>
      </c>
      <c r="G887">
        <v>0</v>
      </c>
      <c r="H887" t="s">
        <v>13</v>
      </c>
      <c r="I887">
        <v>0</v>
      </c>
      <c r="J887" t="s">
        <v>13</v>
      </c>
      <c r="K887" t="s">
        <v>13</v>
      </c>
      <c r="L887" t="s">
        <v>13</v>
      </c>
      <c r="M887" t="s">
        <v>13</v>
      </c>
    </row>
    <row r="888" spans="1:13" hidden="1">
      <c r="A888" t="s">
        <v>1591</v>
      </c>
      <c r="B888" t="s">
        <v>1506</v>
      </c>
      <c r="C888">
        <v>4101</v>
      </c>
      <c r="D888" t="s">
        <v>1472</v>
      </c>
      <c r="E888">
        <v>45834</v>
      </c>
      <c r="F888">
        <v>0</v>
      </c>
      <c r="G888">
        <v>0</v>
      </c>
      <c r="H888" t="s">
        <v>13</v>
      </c>
      <c r="I888">
        <v>0</v>
      </c>
      <c r="J888" t="s">
        <v>13</v>
      </c>
      <c r="K888" t="s">
        <v>13</v>
      </c>
      <c r="L888" t="s">
        <v>13</v>
      </c>
      <c r="M888" t="s">
        <v>13</v>
      </c>
    </row>
    <row r="889" spans="1:13">
      <c r="A889" t="s">
        <v>1592</v>
      </c>
      <c r="B889" t="s">
        <v>1593</v>
      </c>
      <c r="C889" t="s">
        <v>123</v>
      </c>
      <c r="D889" t="s">
        <v>1133</v>
      </c>
      <c r="E889" t="s">
        <v>1594</v>
      </c>
      <c r="F889">
        <v>0</v>
      </c>
      <c r="G889" t="s">
        <v>13</v>
      </c>
      <c r="H889" t="s">
        <v>13</v>
      </c>
      <c r="I889" t="s">
        <v>1593</v>
      </c>
      <c r="J889" t="s">
        <v>13</v>
      </c>
      <c r="K889">
        <v>0</v>
      </c>
      <c r="L889" t="s">
        <v>13</v>
      </c>
      <c r="M889" t="s">
        <v>288</v>
      </c>
    </row>
    <row r="890" spans="1:13">
      <c r="A890" t="s">
        <v>1595</v>
      </c>
      <c r="B890" t="s">
        <v>1596</v>
      </c>
      <c r="C890" t="s">
        <v>123</v>
      </c>
      <c r="D890" t="s">
        <v>131</v>
      </c>
      <c r="E890" t="s">
        <v>195</v>
      </c>
      <c r="F890" t="s">
        <v>1597</v>
      </c>
      <c r="G890" t="s">
        <v>13</v>
      </c>
      <c r="H890" t="s">
        <v>13</v>
      </c>
      <c r="I890" t="s">
        <v>1596</v>
      </c>
      <c r="J890" t="s">
        <v>13</v>
      </c>
      <c r="K890" t="s">
        <v>1598</v>
      </c>
      <c r="L890" t="s">
        <v>13</v>
      </c>
      <c r="M890" t="s">
        <v>288</v>
      </c>
    </row>
    <row r="891" spans="1:13">
      <c r="A891" t="s">
        <v>1599</v>
      </c>
      <c r="B891" t="s">
        <v>1600</v>
      </c>
      <c r="C891" t="s">
        <v>602</v>
      </c>
      <c r="D891" t="s">
        <v>1601</v>
      </c>
      <c r="E891">
        <v>0</v>
      </c>
      <c r="F891" t="s">
        <v>13</v>
      </c>
      <c r="G891" t="s">
        <v>13</v>
      </c>
      <c r="H891" t="s">
        <v>13</v>
      </c>
      <c r="I891">
        <v>0</v>
      </c>
      <c r="J891" t="s">
        <v>13</v>
      </c>
      <c r="K891" t="s">
        <v>13</v>
      </c>
      <c r="L891" t="s">
        <v>13</v>
      </c>
      <c r="M891" t="s">
        <v>13</v>
      </c>
    </row>
    <row r="892" spans="1:13" hidden="1">
      <c r="A892" t="s">
        <v>1602</v>
      </c>
      <c r="B892" t="s">
        <v>1603</v>
      </c>
      <c r="C892">
        <v>4006</v>
      </c>
      <c r="D892" t="s">
        <v>1472</v>
      </c>
      <c r="E892">
        <v>45860</v>
      </c>
      <c r="F892">
        <v>0</v>
      </c>
      <c r="G892">
        <v>0</v>
      </c>
      <c r="H892" t="s">
        <v>13</v>
      </c>
      <c r="I892">
        <v>0</v>
      </c>
      <c r="J892" t="s">
        <v>13</v>
      </c>
      <c r="K892" t="s">
        <v>13</v>
      </c>
      <c r="L892" t="s">
        <v>13</v>
      </c>
      <c r="M892" t="s">
        <v>13</v>
      </c>
    </row>
    <row r="893" spans="1:13">
      <c r="A893" t="s">
        <v>1604</v>
      </c>
      <c r="B893" t="s">
        <v>1605</v>
      </c>
      <c r="C893" t="s">
        <v>602</v>
      </c>
      <c r="D893" t="s">
        <v>1606</v>
      </c>
      <c r="E893" t="s">
        <v>1607</v>
      </c>
      <c r="F893" t="s">
        <v>13</v>
      </c>
      <c r="G893" t="s">
        <v>13</v>
      </c>
      <c r="H893" t="s">
        <v>13</v>
      </c>
      <c r="I893">
        <v>0</v>
      </c>
      <c r="J893" t="s">
        <v>13</v>
      </c>
      <c r="K893" t="s">
        <v>13</v>
      </c>
      <c r="L893" t="s">
        <v>13</v>
      </c>
      <c r="M893" t="s">
        <v>13</v>
      </c>
    </row>
    <row r="894" spans="1:13">
      <c r="A894" t="s">
        <v>1608</v>
      </c>
      <c r="B894" t="s">
        <v>1609</v>
      </c>
      <c r="C894" t="s">
        <v>123</v>
      </c>
      <c r="D894" t="s">
        <v>1610</v>
      </c>
      <c r="E894" t="s">
        <v>458</v>
      </c>
      <c r="F894" t="s">
        <v>1611</v>
      </c>
      <c r="G894">
        <v>0</v>
      </c>
      <c r="H894" t="s">
        <v>13</v>
      </c>
      <c r="I894" t="s">
        <v>1609</v>
      </c>
      <c r="J894" t="s">
        <v>13</v>
      </c>
      <c r="K894" t="s">
        <v>1090</v>
      </c>
      <c r="L894" t="s">
        <v>13</v>
      </c>
      <c r="M894" t="s">
        <v>288</v>
      </c>
    </row>
    <row r="895" spans="1:13">
      <c r="A895" t="s">
        <v>1608</v>
      </c>
      <c r="B895" t="s">
        <v>1609</v>
      </c>
      <c r="C895" t="s">
        <v>123</v>
      </c>
      <c r="D895" t="s">
        <v>1610</v>
      </c>
      <c r="E895" t="s">
        <v>458</v>
      </c>
      <c r="F895" t="s">
        <v>1611</v>
      </c>
      <c r="G895">
        <v>0</v>
      </c>
      <c r="H895" t="s">
        <v>13</v>
      </c>
      <c r="I895" t="s">
        <v>1609</v>
      </c>
      <c r="J895" t="s">
        <v>13</v>
      </c>
      <c r="K895" t="s">
        <v>1090</v>
      </c>
      <c r="L895" t="s">
        <v>13</v>
      </c>
      <c r="M895" t="s">
        <v>288</v>
      </c>
    </row>
    <row r="896" spans="1:13">
      <c r="A896" t="s">
        <v>1612</v>
      </c>
      <c r="B896" t="s">
        <v>13</v>
      </c>
      <c r="C896" t="s">
        <v>13</v>
      </c>
      <c r="D896" t="s">
        <v>13</v>
      </c>
      <c r="E896" t="s">
        <v>13</v>
      </c>
      <c r="F896" t="s">
        <v>13</v>
      </c>
      <c r="G896" t="s">
        <v>13</v>
      </c>
      <c r="H896" t="s">
        <v>13</v>
      </c>
      <c r="I896" t="s">
        <v>13</v>
      </c>
      <c r="J896" t="s">
        <v>13</v>
      </c>
      <c r="K896" t="s">
        <v>13</v>
      </c>
      <c r="L896" t="s">
        <v>13</v>
      </c>
      <c r="M896" t="s">
        <v>13</v>
      </c>
    </row>
    <row r="897" spans="1:13">
      <c r="A897" t="s">
        <v>1613</v>
      </c>
      <c r="B897" t="s">
        <v>1614</v>
      </c>
      <c r="C897" t="s">
        <v>123</v>
      </c>
      <c r="D897">
        <v>0</v>
      </c>
      <c r="E897" t="s">
        <v>178</v>
      </c>
      <c r="F897" t="s">
        <v>591</v>
      </c>
      <c r="G897" t="s">
        <v>13</v>
      </c>
      <c r="H897" t="s">
        <v>13</v>
      </c>
      <c r="I897" t="s">
        <v>1614</v>
      </c>
      <c r="J897" t="s">
        <v>13</v>
      </c>
      <c r="K897" t="s">
        <v>592</v>
      </c>
      <c r="L897" t="s">
        <v>13</v>
      </c>
      <c r="M897" t="s">
        <v>288</v>
      </c>
    </row>
    <row r="898" spans="1:13">
      <c r="A898" t="s">
        <v>1615</v>
      </c>
      <c r="B898" t="s">
        <v>1616</v>
      </c>
      <c r="C898" t="s">
        <v>123</v>
      </c>
      <c r="D898" t="s">
        <v>796</v>
      </c>
      <c r="E898" t="s">
        <v>178</v>
      </c>
      <c r="F898" t="s">
        <v>1617</v>
      </c>
      <c r="G898" t="s">
        <v>13</v>
      </c>
      <c r="H898" t="s">
        <v>13</v>
      </c>
      <c r="I898" t="s">
        <v>1616</v>
      </c>
      <c r="J898" t="s">
        <v>13</v>
      </c>
      <c r="K898" t="s">
        <v>1618</v>
      </c>
      <c r="L898" t="s">
        <v>13</v>
      </c>
      <c r="M898" t="s">
        <v>288</v>
      </c>
    </row>
    <row r="899" spans="1:13">
      <c r="A899" t="s">
        <v>1615</v>
      </c>
      <c r="B899" t="s">
        <v>1616</v>
      </c>
      <c r="C899" t="s">
        <v>123</v>
      </c>
      <c r="D899" t="s">
        <v>796</v>
      </c>
      <c r="E899" t="s">
        <v>178</v>
      </c>
      <c r="F899" t="s">
        <v>1617</v>
      </c>
      <c r="G899" t="s">
        <v>13</v>
      </c>
      <c r="H899" t="s">
        <v>13</v>
      </c>
      <c r="I899" t="s">
        <v>1616</v>
      </c>
      <c r="J899" t="s">
        <v>13</v>
      </c>
      <c r="K899" t="s">
        <v>1618</v>
      </c>
      <c r="L899" t="s">
        <v>13</v>
      </c>
      <c r="M899" t="s">
        <v>288</v>
      </c>
    </row>
    <row r="900" spans="1:13">
      <c r="A900" t="s">
        <v>1619</v>
      </c>
      <c r="B900" t="s">
        <v>1620</v>
      </c>
      <c r="C900" t="s">
        <v>123</v>
      </c>
      <c r="D900" t="s">
        <v>796</v>
      </c>
      <c r="E900" t="s">
        <v>195</v>
      </c>
      <c r="F900" t="s">
        <v>1621</v>
      </c>
      <c r="G900" t="s">
        <v>13</v>
      </c>
      <c r="H900" t="s">
        <v>13</v>
      </c>
      <c r="I900" t="s">
        <v>1620</v>
      </c>
      <c r="J900" t="s">
        <v>13</v>
      </c>
      <c r="K900" t="s">
        <v>450</v>
      </c>
      <c r="L900" t="s">
        <v>13</v>
      </c>
      <c r="M900" t="s">
        <v>288</v>
      </c>
    </row>
    <row r="901" spans="1:13">
      <c r="A901" t="s">
        <v>1622</v>
      </c>
      <c r="B901" t="s">
        <v>1623</v>
      </c>
      <c r="C901" t="s">
        <v>602</v>
      </c>
      <c r="D901" t="s">
        <v>677</v>
      </c>
      <c r="E901" t="s">
        <v>1624</v>
      </c>
      <c r="F901" t="s">
        <v>13</v>
      </c>
      <c r="G901" t="s">
        <v>13</v>
      </c>
      <c r="H901" t="s">
        <v>13</v>
      </c>
      <c r="I901">
        <v>0</v>
      </c>
      <c r="J901" t="s">
        <v>13</v>
      </c>
      <c r="K901" t="s">
        <v>13</v>
      </c>
      <c r="L901" t="s">
        <v>13</v>
      </c>
      <c r="M901" t="s">
        <v>13</v>
      </c>
    </row>
    <row r="902" spans="1:13">
      <c r="A902" t="s">
        <v>1625</v>
      </c>
      <c r="B902" t="s">
        <v>1626</v>
      </c>
      <c r="C902" t="s">
        <v>123</v>
      </c>
      <c r="D902" t="s">
        <v>796</v>
      </c>
      <c r="E902" t="s">
        <v>285</v>
      </c>
      <c r="F902" t="s">
        <v>1627</v>
      </c>
      <c r="G902" t="s">
        <v>13</v>
      </c>
      <c r="H902" t="s">
        <v>13</v>
      </c>
      <c r="I902" t="s">
        <v>1626</v>
      </c>
      <c r="J902" t="s">
        <v>13</v>
      </c>
      <c r="K902" t="s">
        <v>1321</v>
      </c>
      <c r="L902" t="s">
        <v>13</v>
      </c>
      <c r="M902" t="s">
        <v>288</v>
      </c>
    </row>
    <row r="903" spans="1:13">
      <c r="A903" t="s">
        <v>1628</v>
      </c>
      <c r="B903" t="s">
        <v>1629</v>
      </c>
      <c r="C903" t="s">
        <v>123</v>
      </c>
      <c r="D903" t="s">
        <v>796</v>
      </c>
      <c r="E903" t="s">
        <v>178</v>
      </c>
      <c r="F903" t="s">
        <v>1630</v>
      </c>
      <c r="G903">
        <v>0</v>
      </c>
      <c r="H903" t="s">
        <v>13</v>
      </c>
      <c r="I903" t="s">
        <v>1629</v>
      </c>
      <c r="J903" t="s">
        <v>13</v>
      </c>
      <c r="K903" t="s">
        <v>1631</v>
      </c>
      <c r="L903" t="s">
        <v>13</v>
      </c>
      <c r="M903" t="s">
        <v>288</v>
      </c>
    </row>
    <row r="904" spans="1:13">
      <c r="A904" t="s">
        <v>1628</v>
      </c>
      <c r="B904" t="s">
        <v>1629</v>
      </c>
      <c r="C904" t="s">
        <v>123</v>
      </c>
      <c r="D904" t="s">
        <v>796</v>
      </c>
      <c r="E904" t="s">
        <v>178</v>
      </c>
      <c r="F904" t="s">
        <v>1630</v>
      </c>
      <c r="G904">
        <v>0</v>
      </c>
      <c r="H904" t="s">
        <v>13</v>
      </c>
      <c r="I904" t="s">
        <v>1629</v>
      </c>
      <c r="J904" t="s">
        <v>13</v>
      </c>
      <c r="K904" t="s">
        <v>1631</v>
      </c>
      <c r="L904" t="s">
        <v>13</v>
      </c>
      <c r="M904" t="s">
        <v>288</v>
      </c>
    </row>
    <row r="905" spans="1:13">
      <c r="A905" t="s">
        <v>1632</v>
      </c>
      <c r="B905" t="s">
        <v>13</v>
      </c>
      <c r="C905" t="s">
        <v>13</v>
      </c>
      <c r="D905" t="s">
        <v>13</v>
      </c>
      <c r="E905" t="s">
        <v>13</v>
      </c>
      <c r="F905" t="s">
        <v>13</v>
      </c>
      <c r="G905" t="s">
        <v>13</v>
      </c>
      <c r="H905" t="s">
        <v>13</v>
      </c>
      <c r="I905" t="s">
        <v>13</v>
      </c>
      <c r="J905" t="s">
        <v>13</v>
      </c>
      <c r="K905" t="s">
        <v>13</v>
      </c>
      <c r="L905" t="s">
        <v>13</v>
      </c>
      <c r="M905" t="s">
        <v>13</v>
      </c>
    </row>
    <row r="906" spans="1:13">
      <c r="A906" t="s">
        <v>1633</v>
      </c>
      <c r="B906" t="s">
        <v>1634</v>
      </c>
      <c r="C906" t="s">
        <v>123</v>
      </c>
      <c r="D906" t="s">
        <v>796</v>
      </c>
      <c r="E906" t="s">
        <v>178</v>
      </c>
      <c r="F906" t="s">
        <v>1635</v>
      </c>
      <c r="G906" t="s">
        <v>13</v>
      </c>
      <c r="H906" t="s">
        <v>13</v>
      </c>
      <c r="I906" t="s">
        <v>1634</v>
      </c>
      <c r="J906" t="s">
        <v>13</v>
      </c>
      <c r="K906" t="s">
        <v>1636</v>
      </c>
      <c r="L906" t="s">
        <v>13</v>
      </c>
      <c r="M906" t="s">
        <v>288</v>
      </c>
    </row>
    <row r="907" spans="1:13">
      <c r="A907" t="s">
        <v>1633</v>
      </c>
      <c r="B907" t="s">
        <v>1634</v>
      </c>
      <c r="C907" t="s">
        <v>123</v>
      </c>
      <c r="D907" t="s">
        <v>796</v>
      </c>
      <c r="E907" t="s">
        <v>178</v>
      </c>
      <c r="F907" t="s">
        <v>1635</v>
      </c>
      <c r="G907" t="s">
        <v>13</v>
      </c>
      <c r="H907" t="s">
        <v>13</v>
      </c>
      <c r="I907" t="s">
        <v>1634</v>
      </c>
      <c r="J907" t="s">
        <v>13</v>
      </c>
      <c r="K907" t="s">
        <v>1636</v>
      </c>
      <c r="L907" t="s">
        <v>13</v>
      </c>
      <c r="M907" t="s">
        <v>288</v>
      </c>
    </row>
    <row r="908" spans="1:13">
      <c r="A908" t="s">
        <v>1637</v>
      </c>
      <c r="B908" t="s">
        <v>1638</v>
      </c>
      <c r="C908" t="s">
        <v>123</v>
      </c>
      <c r="D908" t="s">
        <v>796</v>
      </c>
      <c r="E908" t="s">
        <v>458</v>
      </c>
      <c r="F908" t="s">
        <v>1639</v>
      </c>
      <c r="G908" t="s">
        <v>13</v>
      </c>
      <c r="H908" t="s">
        <v>13</v>
      </c>
      <c r="I908" t="s">
        <v>1638</v>
      </c>
      <c r="J908" t="s">
        <v>13</v>
      </c>
      <c r="K908" t="s">
        <v>1161</v>
      </c>
      <c r="L908" t="s">
        <v>13</v>
      </c>
      <c r="M908" t="s">
        <v>288</v>
      </c>
    </row>
    <row r="909" spans="1:13">
      <c r="A909" t="s">
        <v>1640</v>
      </c>
      <c r="B909" t="s">
        <v>1641</v>
      </c>
      <c r="C909" t="s">
        <v>602</v>
      </c>
      <c r="D909" t="s">
        <v>677</v>
      </c>
      <c r="E909" t="s">
        <v>683</v>
      </c>
      <c r="F909" t="s">
        <v>13</v>
      </c>
      <c r="G909" t="s">
        <v>13</v>
      </c>
      <c r="H909" t="s">
        <v>13</v>
      </c>
      <c r="I909">
        <v>0</v>
      </c>
      <c r="J909" t="s">
        <v>13</v>
      </c>
      <c r="K909" t="s">
        <v>13</v>
      </c>
      <c r="L909" t="s">
        <v>13</v>
      </c>
      <c r="M909" t="s">
        <v>13</v>
      </c>
    </row>
    <row r="910" spans="1:13">
      <c r="A910" t="s">
        <v>1640</v>
      </c>
      <c r="B910" t="s">
        <v>1641</v>
      </c>
      <c r="C910" t="s">
        <v>602</v>
      </c>
      <c r="D910" t="s">
        <v>677</v>
      </c>
      <c r="E910" t="s">
        <v>683</v>
      </c>
      <c r="F910" t="s">
        <v>13</v>
      </c>
      <c r="G910" t="s">
        <v>13</v>
      </c>
      <c r="H910" t="s">
        <v>13</v>
      </c>
      <c r="I910">
        <v>0</v>
      </c>
      <c r="J910" t="s">
        <v>13</v>
      </c>
      <c r="K910" t="s">
        <v>13</v>
      </c>
      <c r="L910" t="s">
        <v>13</v>
      </c>
      <c r="M910" t="s">
        <v>13</v>
      </c>
    </row>
    <row r="911" spans="1:13">
      <c r="A911" t="s">
        <v>1640</v>
      </c>
      <c r="B911" t="s">
        <v>1641</v>
      </c>
      <c r="C911" t="s">
        <v>602</v>
      </c>
      <c r="D911" t="s">
        <v>677</v>
      </c>
      <c r="E911" t="s">
        <v>683</v>
      </c>
      <c r="F911" t="s">
        <v>13</v>
      </c>
      <c r="G911" t="s">
        <v>13</v>
      </c>
      <c r="H911" t="s">
        <v>13</v>
      </c>
      <c r="I911">
        <v>0</v>
      </c>
      <c r="J911" t="s">
        <v>13</v>
      </c>
      <c r="K911" t="s">
        <v>13</v>
      </c>
      <c r="L911" t="s">
        <v>13</v>
      </c>
      <c r="M911" t="s">
        <v>13</v>
      </c>
    </row>
    <row r="912" spans="1:13">
      <c r="A912" t="s">
        <v>1640</v>
      </c>
      <c r="B912" t="s">
        <v>1641</v>
      </c>
      <c r="C912" t="s">
        <v>602</v>
      </c>
      <c r="D912" t="s">
        <v>677</v>
      </c>
      <c r="E912" t="s">
        <v>683</v>
      </c>
      <c r="F912" t="s">
        <v>13</v>
      </c>
      <c r="G912" t="s">
        <v>13</v>
      </c>
      <c r="H912" t="s">
        <v>13</v>
      </c>
      <c r="I912">
        <v>0</v>
      </c>
      <c r="J912" t="s">
        <v>13</v>
      </c>
      <c r="K912" t="s">
        <v>13</v>
      </c>
      <c r="L912" t="s">
        <v>13</v>
      </c>
      <c r="M912" t="s">
        <v>13</v>
      </c>
    </row>
    <row r="913" spans="1:13">
      <c r="A913" t="s">
        <v>1642</v>
      </c>
      <c r="B913" t="s">
        <v>1643</v>
      </c>
      <c r="C913" t="s">
        <v>602</v>
      </c>
      <c r="D913" t="s">
        <v>792</v>
      </c>
      <c r="E913" t="s">
        <v>1644</v>
      </c>
      <c r="F913" t="s">
        <v>13</v>
      </c>
      <c r="G913" t="s">
        <v>13</v>
      </c>
      <c r="H913" t="s">
        <v>13</v>
      </c>
      <c r="I913">
        <v>0</v>
      </c>
      <c r="J913" t="s">
        <v>13</v>
      </c>
      <c r="K913" t="s">
        <v>13</v>
      </c>
      <c r="L913" t="s">
        <v>13</v>
      </c>
      <c r="M913" t="s">
        <v>13</v>
      </c>
    </row>
    <row r="914" spans="1:13" hidden="1">
      <c r="A914" t="s">
        <v>1645</v>
      </c>
      <c r="B914" t="s">
        <v>113</v>
      </c>
      <c r="C914" t="s">
        <v>24</v>
      </c>
      <c r="D914" t="s">
        <v>25</v>
      </c>
      <c r="E914" t="s">
        <v>1646</v>
      </c>
      <c r="F914" t="s">
        <v>1647</v>
      </c>
      <c r="G914" t="s">
        <v>13</v>
      </c>
      <c r="H914" t="s">
        <v>1648</v>
      </c>
      <c r="I914" t="s">
        <v>13</v>
      </c>
      <c r="J914" t="s">
        <v>91</v>
      </c>
      <c r="K914" s="236">
        <v>45607</v>
      </c>
      <c r="L914" t="s">
        <v>1649</v>
      </c>
      <c r="M914" t="s">
        <v>13</v>
      </c>
    </row>
    <row r="915" spans="1:13">
      <c r="A915" t="s">
        <v>1650</v>
      </c>
      <c r="B915" t="s">
        <v>1651</v>
      </c>
      <c r="C915" t="s">
        <v>123</v>
      </c>
      <c r="D915" t="s">
        <v>796</v>
      </c>
      <c r="E915" t="s">
        <v>89</v>
      </c>
      <c r="F915" t="s">
        <v>1652</v>
      </c>
      <c r="G915" t="s">
        <v>13</v>
      </c>
      <c r="H915" t="s">
        <v>13</v>
      </c>
      <c r="I915" t="s">
        <v>1651</v>
      </c>
      <c r="J915" t="s">
        <v>13</v>
      </c>
      <c r="K915" t="s">
        <v>1653</v>
      </c>
      <c r="L915" t="s">
        <v>13</v>
      </c>
      <c r="M915" t="s">
        <v>288</v>
      </c>
    </row>
    <row r="916" spans="1:13">
      <c r="A916" t="s">
        <v>1654</v>
      </c>
      <c r="B916" t="s">
        <v>1655</v>
      </c>
      <c r="C916" t="s">
        <v>123</v>
      </c>
      <c r="D916" t="s">
        <v>177</v>
      </c>
      <c r="E916" t="s">
        <v>132</v>
      </c>
      <c r="F916" t="s">
        <v>1656</v>
      </c>
      <c r="G916">
        <v>0</v>
      </c>
      <c r="H916" t="s">
        <v>13</v>
      </c>
      <c r="I916" t="s">
        <v>1655</v>
      </c>
      <c r="J916" t="s">
        <v>13</v>
      </c>
      <c r="K916" t="s">
        <v>1657</v>
      </c>
      <c r="L916" t="s">
        <v>13</v>
      </c>
      <c r="M916" t="s">
        <v>288</v>
      </c>
    </row>
    <row r="917" spans="1:13">
      <c r="A917" t="s">
        <v>1654</v>
      </c>
      <c r="B917" t="s">
        <v>1655</v>
      </c>
      <c r="C917" t="s">
        <v>123</v>
      </c>
      <c r="D917" t="s">
        <v>177</v>
      </c>
      <c r="E917" t="s">
        <v>132</v>
      </c>
      <c r="F917" t="s">
        <v>1656</v>
      </c>
      <c r="G917">
        <v>0</v>
      </c>
      <c r="H917" t="s">
        <v>13</v>
      </c>
      <c r="I917" t="s">
        <v>1655</v>
      </c>
      <c r="J917" t="s">
        <v>13</v>
      </c>
      <c r="K917" t="s">
        <v>1657</v>
      </c>
      <c r="L917" t="s">
        <v>13</v>
      </c>
      <c r="M917" t="s">
        <v>288</v>
      </c>
    </row>
    <row r="918" spans="1:13">
      <c r="A918" t="s">
        <v>1658</v>
      </c>
      <c r="B918" t="s">
        <v>1659</v>
      </c>
      <c r="C918" t="s">
        <v>123</v>
      </c>
      <c r="D918" t="s">
        <v>796</v>
      </c>
      <c r="E918" t="s">
        <v>178</v>
      </c>
      <c r="F918" t="s">
        <v>1660</v>
      </c>
      <c r="G918" t="s">
        <v>13</v>
      </c>
      <c r="H918" t="s">
        <v>13</v>
      </c>
      <c r="I918" t="s">
        <v>1659</v>
      </c>
      <c r="J918" t="s">
        <v>13</v>
      </c>
      <c r="K918" t="s">
        <v>1661</v>
      </c>
      <c r="L918" t="s">
        <v>13</v>
      </c>
      <c r="M918" t="s">
        <v>288</v>
      </c>
    </row>
    <row r="919" spans="1:13">
      <c r="A919" t="s">
        <v>1662</v>
      </c>
      <c r="B919" t="s">
        <v>1663</v>
      </c>
      <c r="C919" t="s">
        <v>123</v>
      </c>
      <c r="D919" t="s">
        <v>796</v>
      </c>
      <c r="E919" t="s">
        <v>285</v>
      </c>
      <c r="F919" t="s">
        <v>1664</v>
      </c>
      <c r="G919" t="s">
        <v>13</v>
      </c>
      <c r="H919" t="s">
        <v>13</v>
      </c>
      <c r="I919" t="s">
        <v>1663</v>
      </c>
      <c r="J919" t="s">
        <v>13</v>
      </c>
      <c r="K919" t="s">
        <v>1665</v>
      </c>
      <c r="L919" t="s">
        <v>13</v>
      </c>
      <c r="M919" t="s">
        <v>288</v>
      </c>
    </row>
    <row r="920" spans="1:13">
      <c r="A920" t="s">
        <v>1662</v>
      </c>
      <c r="B920" t="s">
        <v>1663</v>
      </c>
      <c r="C920" t="s">
        <v>123</v>
      </c>
      <c r="D920" t="s">
        <v>796</v>
      </c>
      <c r="E920" t="s">
        <v>285</v>
      </c>
      <c r="F920" t="s">
        <v>1664</v>
      </c>
      <c r="G920" t="s">
        <v>13</v>
      </c>
      <c r="H920" t="s">
        <v>13</v>
      </c>
      <c r="I920" t="s">
        <v>1663</v>
      </c>
      <c r="J920" t="s">
        <v>13</v>
      </c>
      <c r="K920" t="s">
        <v>1665</v>
      </c>
      <c r="L920" t="s">
        <v>13</v>
      </c>
      <c r="M920" t="s">
        <v>288</v>
      </c>
    </row>
    <row r="921" spans="1:13">
      <c r="A921" t="s">
        <v>1666</v>
      </c>
      <c r="B921" t="s">
        <v>1667</v>
      </c>
      <c r="C921" t="s">
        <v>123</v>
      </c>
      <c r="D921" t="s">
        <v>796</v>
      </c>
      <c r="E921" t="s">
        <v>195</v>
      </c>
      <c r="F921" t="s">
        <v>1668</v>
      </c>
      <c r="G921">
        <v>0</v>
      </c>
      <c r="H921" t="s">
        <v>13</v>
      </c>
      <c r="I921" t="s">
        <v>1667</v>
      </c>
      <c r="J921" t="s">
        <v>13</v>
      </c>
      <c r="K921" t="s">
        <v>1165</v>
      </c>
      <c r="L921" t="s">
        <v>13</v>
      </c>
      <c r="M921" t="s">
        <v>288</v>
      </c>
    </row>
    <row r="922" spans="1:13">
      <c r="A922" t="s">
        <v>1666</v>
      </c>
      <c r="B922" t="s">
        <v>1667</v>
      </c>
      <c r="C922" t="s">
        <v>123</v>
      </c>
      <c r="D922" t="s">
        <v>796</v>
      </c>
      <c r="E922" t="s">
        <v>195</v>
      </c>
      <c r="F922" t="s">
        <v>1668</v>
      </c>
      <c r="G922">
        <v>0</v>
      </c>
      <c r="H922" t="s">
        <v>13</v>
      </c>
      <c r="I922" t="s">
        <v>1667</v>
      </c>
      <c r="J922" t="s">
        <v>13</v>
      </c>
      <c r="K922" t="s">
        <v>1165</v>
      </c>
      <c r="L922" t="s">
        <v>13</v>
      </c>
      <c r="M922" t="s">
        <v>288</v>
      </c>
    </row>
    <row r="923" spans="1:13">
      <c r="A923" t="s">
        <v>1669</v>
      </c>
      <c r="B923" t="s">
        <v>1670</v>
      </c>
      <c r="C923" t="s">
        <v>123</v>
      </c>
      <c r="D923" t="s">
        <v>177</v>
      </c>
      <c r="E923" t="s">
        <v>195</v>
      </c>
      <c r="F923" t="s">
        <v>1671</v>
      </c>
      <c r="G923" t="s">
        <v>13</v>
      </c>
      <c r="H923" t="s">
        <v>13</v>
      </c>
      <c r="I923" t="s">
        <v>1670</v>
      </c>
      <c r="J923" t="s">
        <v>13</v>
      </c>
      <c r="K923" t="s">
        <v>1672</v>
      </c>
      <c r="L923" t="s">
        <v>13</v>
      </c>
      <c r="M923" t="s">
        <v>288</v>
      </c>
    </row>
    <row r="924" spans="1:13">
      <c r="A924" t="s">
        <v>1673</v>
      </c>
      <c r="B924" t="s">
        <v>1674</v>
      </c>
      <c r="C924" t="s">
        <v>602</v>
      </c>
      <c r="D924" t="s">
        <v>677</v>
      </c>
      <c r="E924" t="s">
        <v>683</v>
      </c>
      <c r="F924" t="s">
        <v>13</v>
      </c>
      <c r="G924" t="s">
        <v>13</v>
      </c>
      <c r="H924" t="s">
        <v>13</v>
      </c>
      <c r="I924">
        <v>0</v>
      </c>
      <c r="J924" t="s">
        <v>13</v>
      </c>
      <c r="K924" t="s">
        <v>13</v>
      </c>
      <c r="L924" t="s">
        <v>13</v>
      </c>
      <c r="M924" t="s">
        <v>13</v>
      </c>
    </row>
    <row r="925" spans="1:13">
      <c r="A925" t="s">
        <v>1675</v>
      </c>
      <c r="B925" t="s">
        <v>1676</v>
      </c>
      <c r="C925" t="s">
        <v>602</v>
      </c>
      <c r="D925" t="s">
        <v>1677</v>
      </c>
      <c r="E925" t="s">
        <v>1678</v>
      </c>
      <c r="F925" t="s">
        <v>13</v>
      </c>
      <c r="G925" t="s">
        <v>13</v>
      </c>
      <c r="H925" t="s">
        <v>13</v>
      </c>
      <c r="I925">
        <v>0</v>
      </c>
      <c r="J925" t="s">
        <v>13</v>
      </c>
      <c r="K925" t="s">
        <v>13</v>
      </c>
      <c r="L925" t="s">
        <v>13</v>
      </c>
      <c r="M925" t="s">
        <v>13</v>
      </c>
    </row>
    <row r="926" spans="1:13">
      <c r="A926" t="s">
        <v>1679</v>
      </c>
      <c r="B926" t="s">
        <v>1680</v>
      </c>
      <c r="C926" t="s">
        <v>602</v>
      </c>
      <c r="D926">
        <v>0</v>
      </c>
      <c r="E926" t="s">
        <v>1268</v>
      </c>
      <c r="F926" t="s">
        <v>13</v>
      </c>
      <c r="G926" t="s">
        <v>13</v>
      </c>
      <c r="H926" t="s">
        <v>13</v>
      </c>
      <c r="I926" t="s">
        <v>1681</v>
      </c>
      <c r="J926" t="s">
        <v>13</v>
      </c>
      <c r="K926" t="s">
        <v>13</v>
      </c>
      <c r="L926" t="s">
        <v>13</v>
      </c>
      <c r="M926" t="s">
        <v>13</v>
      </c>
    </row>
    <row r="927" spans="1:13">
      <c r="A927" t="s">
        <v>1679</v>
      </c>
      <c r="B927" t="s">
        <v>1680</v>
      </c>
      <c r="C927" t="s">
        <v>602</v>
      </c>
      <c r="D927">
        <v>0</v>
      </c>
      <c r="E927" t="s">
        <v>1268</v>
      </c>
      <c r="F927" t="s">
        <v>13</v>
      </c>
      <c r="G927" t="s">
        <v>13</v>
      </c>
      <c r="H927" t="s">
        <v>13</v>
      </c>
      <c r="I927" t="s">
        <v>1681</v>
      </c>
      <c r="J927" t="s">
        <v>13</v>
      </c>
      <c r="K927" t="s">
        <v>13</v>
      </c>
      <c r="L927" t="s">
        <v>13</v>
      </c>
      <c r="M927" t="s">
        <v>13</v>
      </c>
    </row>
    <row r="928" spans="1:13">
      <c r="A928" t="s">
        <v>1679</v>
      </c>
      <c r="B928" t="s">
        <v>1680</v>
      </c>
      <c r="C928" t="s">
        <v>602</v>
      </c>
      <c r="D928">
        <v>0</v>
      </c>
      <c r="E928" t="s">
        <v>1268</v>
      </c>
      <c r="F928" t="s">
        <v>13</v>
      </c>
      <c r="G928" t="s">
        <v>13</v>
      </c>
      <c r="H928" t="s">
        <v>13</v>
      </c>
      <c r="I928" t="s">
        <v>1681</v>
      </c>
      <c r="J928" t="s">
        <v>13</v>
      </c>
      <c r="K928" t="s">
        <v>13</v>
      </c>
      <c r="L928" t="s">
        <v>13</v>
      </c>
      <c r="M928" t="s">
        <v>13</v>
      </c>
    </row>
    <row r="929" spans="1:13">
      <c r="A929" t="s">
        <v>1682</v>
      </c>
      <c r="B929" t="s">
        <v>1683</v>
      </c>
      <c r="C929" t="s">
        <v>602</v>
      </c>
      <c r="D929" t="s">
        <v>677</v>
      </c>
      <c r="E929" t="s">
        <v>683</v>
      </c>
      <c r="F929" t="s">
        <v>13</v>
      </c>
      <c r="G929" t="s">
        <v>13</v>
      </c>
      <c r="H929" t="s">
        <v>13</v>
      </c>
      <c r="I929">
        <v>0</v>
      </c>
      <c r="J929" t="s">
        <v>13</v>
      </c>
      <c r="K929" t="s">
        <v>13</v>
      </c>
      <c r="L929" t="s">
        <v>13</v>
      </c>
      <c r="M929" t="s">
        <v>13</v>
      </c>
    </row>
    <row r="930" spans="1:13">
      <c r="A930" t="s">
        <v>1684</v>
      </c>
      <c r="B930" t="s">
        <v>1685</v>
      </c>
      <c r="C930" t="s">
        <v>602</v>
      </c>
      <c r="D930" t="s">
        <v>1686</v>
      </c>
      <c r="E930" t="s">
        <v>1687</v>
      </c>
      <c r="F930" t="s">
        <v>13</v>
      </c>
      <c r="G930" t="s">
        <v>13</v>
      </c>
      <c r="H930" t="s">
        <v>13</v>
      </c>
      <c r="I930">
        <v>0</v>
      </c>
      <c r="J930" t="s">
        <v>13</v>
      </c>
      <c r="K930" t="s">
        <v>13</v>
      </c>
      <c r="L930" t="s">
        <v>13</v>
      </c>
      <c r="M930" t="s">
        <v>13</v>
      </c>
    </row>
    <row r="931" spans="1:13">
      <c r="A931" t="s">
        <v>1688</v>
      </c>
      <c r="B931" t="s">
        <v>1689</v>
      </c>
      <c r="C931" t="s">
        <v>602</v>
      </c>
      <c r="D931" t="s">
        <v>677</v>
      </c>
      <c r="E931" t="s">
        <v>683</v>
      </c>
      <c r="F931" t="s">
        <v>13</v>
      </c>
      <c r="G931" t="s">
        <v>13</v>
      </c>
      <c r="H931" t="s">
        <v>13</v>
      </c>
      <c r="I931">
        <v>0</v>
      </c>
      <c r="J931" t="s">
        <v>13</v>
      </c>
      <c r="K931" t="s">
        <v>13</v>
      </c>
      <c r="L931" t="s">
        <v>13</v>
      </c>
      <c r="M931" t="s">
        <v>13</v>
      </c>
    </row>
    <row r="932" spans="1:13">
      <c r="A932" t="s">
        <v>1690</v>
      </c>
      <c r="B932" t="s">
        <v>1691</v>
      </c>
      <c r="C932" t="s">
        <v>123</v>
      </c>
      <c r="D932" t="s">
        <v>177</v>
      </c>
      <c r="E932" t="s">
        <v>285</v>
      </c>
      <c r="F932" t="s">
        <v>1692</v>
      </c>
      <c r="G932" t="s">
        <v>13</v>
      </c>
      <c r="H932" t="s">
        <v>13</v>
      </c>
      <c r="I932" t="s">
        <v>1691</v>
      </c>
      <c r="J932" t="s">
        <v>13</v>
      </c>
      <c r="K932" t="s">
        <v>1693</v>
      </c>
      <c r="L932" t="s">
        <v>13</v>
      </c>
      <c r="M932" t="s">
        <v>288</v>
      </c>
    </row>
    <row r="933" spans="1:13">
      <c r="A933" t="s">
        <v>1690</v>
      </c>
      <c r="B933" t="s">
        <v>1691</v>
      </c>
      <c r="C933" t="s">
        <v>123</v>
      </c>
      <c r="D933" t="s">
        <v>177</v>
      </c>
      <c r="E933" t="s">
        <v>285</v>
      </c>
      <c r="F933" t="s">
        <v>1692</v>
      </c>
      <c r="G933" t="s">
        <v>13</v>
      </c>
      <c r="H933" t="s">
        <v>13</v>
      </c>
      <c r="I933" t="s">
        <v>1691</v>
      </c>
      <c r="J933" t="s">
        <v>13</v>
      </c>
      <c r="K933" t="s">
        <v>1693</v>
      </c>
      <c r="L933" t="s">
        <v>13</v>
      </c>
      <c r="M933" t="s">
        <v>288</v>
      </c>
    </row>
    <row r="934" spans="1:13">
      <c r="A934" t="s">
        <v>1694</v>
      </c>
      <c r="B934" t="s">
        <v>1695</v>
      </c>
      <c r="C934" t="s">
        <v>123</v>
      </c>
      <c r="D934" t="s">
        <v>796</v>
      </c>
      <c r="E934" t="s">
        <v>458</v>
      </c>
      <c r="F934" t="s">
        <v>1696</v>
      </c>
      <c r="G934">
        <v>0</v>
      </c>
      <c r="H934" t="s">
        <v>13</v>
      </c>
      <c r="I934" t="s">
        <v>1695</v>
      </c>
      <c r="J934" t="s">
        <v>13</v>
      </c>
      <c r="K934" t="s">
        <v>1697</v>
      </c>
      <c r="L934" t="s">
        <v>13</v>
      </c>
      <c r="M934" t="s">
        <v>288</v>
      </c>
    </row>
    <row r="935" spans="1:13">
      <c r="A935" t="s">
        <v>1694</v>
      </c>
      <c r="B935" t="s">
        <v>1695</v>
      </c>
      <c r="C935" t="s">
        <v>123</v>
      </c>
      <c r="D935" t="s">
        <v>796</v>
      </c>
      <c r="E935" t="s">
        <v>458</v>
      </c>
      <c r="F935" t="s">
        <v>1696</v>
      </c>
      <c r="G935">
        <v>0</v>
      </c>
      <c r="H935" t="s">
        <v>13</v>
      </c>
      <c r="I935" t="s">
        <v>1695</v>
      </c>
      <c r="J935" t="s">
        <v>13</v>
      </c>
      <c r="K935" t="s">
        <v>1697</v>
      </c>
      <c r="L935" t="s">
        <v>13</v>
      </c>
      <c r="M935" t="s">
        <v>288</v>
      </c>
    </row>
    <row r="936" spans="1:13">
      <c r="A936" t="s">
        <v>1698</v>
      </c>
      <c r="B936" t="s">
        <v>13</v>
      </c>
      <c r="C936" t="s">
        <v>13</v>
      </c>
      <c r="D936" t="s">
        <v>13</v>
      </c>
      <c r="E936" t="s">
        <v>13</v>
      </c>
      <c r="F936" t="s">
        <v>13</v>
      </c>
      <c r="G936" t="s">
        <v>13</v>
      </c>
      <c r="H936" t="s">
        <v>13</v>
      </c>
      <c r="I936" t="s">
        <v>13</v>
      </c>
      <c r="J936" t="s">
        <v>13</v>
      </c>
      <c r="K936" t="s">
        <v>13</v>
      </c>
      <c r="L936" t="s">
        <v>13</v>
      </c>
      <c r="M936" t="s">
        <v>13</v>
      </c>
    </row>
    <row r="937" spans="1:13">
      <c r="A937" t="s">
        <v>1699</v>
      </c>
      <c r="B937" t="s">
        <v>1700</v>
      </c>
      <c r="C937" t="s">
        <v>602</v>
      </c>
      <c r="D937" t="s">
        <v>677</v>
      </c>
      <c r="E937" t="s">
        <v>683</v>
      </c>
      <c r="F937" t="s">
        <v>13</v>
      </c>
      <c r="G937" t="s">
        <v>13</v>
      </c>
      <c r="H937" t="s">
        <v>13</v>
      </c>
      <c r="I937">
        <v>0</v>
      </c>
      <c r="J937" t="s">
        <v>13</v>
      </c>
      <c r="K937" t="s">
        <v>13</v>
      </c>
      <c r="L937" t="s">
        <v>13</v>
      </c>
      <c r="M937" t="s">
        <v>13</v>
      </c>
    </row>
    <row r="938" spans="1:13">
      <c r="A938" t="s">
        <v>1701</v>
      </c>
      <c r="B938" t="s">
        <v>1702</v>
      </c>
      <c r="C938" t="s">
        <v>123</v>
      </c>
      <c r="D938" t="s">
        <v>131</v>
      </c>
      <c r="E938" t="s">
        <v>125</v>
      </c>
      <c r="F938" t="s">
        <v>1703</v>
      </c>
      <c r="G938">
        <v>0</v>
      </c>
      <c r="H938" t="s">
        <v>13</v>
      </c>
      <c r="I938" t="s">
        <v>1702</v>
      </c>
      <c r="J938" t="s">
        <v>13</v>
      </c>
      <c r="K938" t="s">
        <v>1704</v>
      </c>
      <c r="L938" t="s">
        <v>13</v>
      </c>
      <c r="M938" t="s">
        <v>288</v>
      </c>
    </row>
    <row r="939" spans="1:13">
      <c r="A939" t="s">
        <v>1701</v>
      </c>
      <c r="B939" t="s">
        <v>1702</v>
      </c>
      <c r="C939" t="s">
        <v>123</v>
      </c>
      <c r="D939" t="s">
        <v>131</v>
      </c>
      <c r="E939" t="s">
        <v>125</v>
      </c>
      <c r="F939" t="s">
        <v>1703</v>
      </c>
      <c r="G939">
        <v>0</v>
      </c>
      <c r="H939" t="s">
        <v>13</v>
      </c>
      <c r="I939" t="s">
        <v>1702</v>
      </c>
      <c r="J939" t="s">
        <v>13</v>
      </c>
      <c r="K939" t="s">
        <v>1704</v>
      </c>
      <c r="L939" t="s">
        <v>13</v>
      </c>
      <c r="M939" t="s">
        <v>288</v>
      </c>
    </row>
    <row r="940" spans="1:13">
      <c r="A940" t="s">
        <v>1705</v>
      </c>
      <c r="B940" t="s">
        <v>1706</v>
      </c>
      <c r="C940" t="s">
        <v>123</v>
      </c>
      <c r="D940" t="s">
        <v>1610</v>
      </c>
      <c r="E940" t="s">
        <v>178</v>
      </c>
      <c r="F940" t="s">
        <v>1707</v>
      </c>
      <c r="G940" t="s">
        <v>13</v>
      </c>
      <c r="H940" t="s">
        <v>13</v>
      </c>
      <c r="I940" t="s">
        <v>1706</v>
      </c>
      <c r="J940" t="s">
        <v>13</v>
      </c>
      <c r="K940" t="s">
        <v>562</v>
      </c>
      <c r="L940" t="s">
        <v>13</v>
      </c>
      <c r="M940" t="s">
        <v>288</v>
      </c>
    </row>
    <row r="941" spans="1:13">
      <c r="A941" t="s">
        <v>1708</v>
      </c>
      <c r="B941" t="s">
        <v>1709</v>
      </c>
      <c r="C941" t="s">
        <v>123</v>
      </c>
      <c r="D941" t="s">
        <v>796</v>
      </c>
      <c r="E941" t="s">
        <v>458</v>
      </c>
      <c r="F941" t="s">
        <v>1710</v>
      </c>
      <c r="G941">
        <v>0</v>
      </c>
      <c r="H941" t="s">
        <v>13</v>
      </c>
      <c r="I941" t="s">
        <v>1709</v>
      </c>
      <c r="J941" t="s">
        <v>13</v>
      </c>
      <c r="K941" t="s">
        <v>1711</v>
      </c>
      <c r="L941" t="s">
        <v>13</v>
      </c>
      <c r="M941" t="s">
        <v>288</v>
      </c>
    </row>
    <row r="942" spans="1:13">
      <c r="A942" t="s">
        <v>1708</v>
      </c>
      <c r="B942" t="s">
        <v>1709</v>
      </c>
      <c r="C942" t="s">
        <v>123</v>
      </c>
      <c r="D942" t="s">
        <v>796</v>
      </c>
      <c r="E942" t="s">
        <v>458</v>
      </c>
      <c r="F942" t="s">
        <v>1710</v>
      </c>
      <c r="G942">
        <v>0</v>
      </c>
      <c r="H942" t="s">
        <v>13</v>
      </c>
      <c r="I942" t="s">
        <v>1709</v>
      </c>
      <c r="J942" t="s">
        <v>13</v>
      </c>
      <c r="K942" t="s">
        <v>1711</v>
      </c>
      <c r="L942" t="s">
        <v>13</v>
      </c>
      <c r="M942" t="s">
        <v>288</v>
      </c>
    </row>
    <row r="943" spans="1:13">
      <c r="A943" t="s">
        <v>1712</v>
      </c>
      <c r="B943" t="s">
        <v>1713</v>
      </c>
      <c r="C943" t="s">
        <v>602</v>
      </c>
      <c r="D943" t="s">
        <v>677</v>
      </c>
      <c r="E943" t="s">
        <v>1714</v>
      </c>
      <c r="F943" t="s">
        <v>13</v>
      </c>
      <c r="G943" t="s">
        <v>13</v>
      </c>
      <c r="H943" t="s">
        <v>13</v>
      </c>
      <c r="I943">
        <v>0</v>
      </c>
      <c r="J943" t="s">
        <v>13</v>
      </c>
      <c r="K943" t="s">
        <v>13</v>
      </c>
      <c r="L943" t="s">
        <v>13</v>
      </c>
      <c r="M943" t="s">
        <v>13</v>
      </c>
    </row>
    <row r="944" spans="1:13">
      <c r="A944" t="s">
        <v>1715</v>
      </c>
      <c r="B944" t="s">
        <v>1716</v>
      </c>
      <c r="C944" t="s">
        <v>123</v>
      </c>
      <c r="D944" t="s">
        <v>796</v>
      </c>
      <c r="E944" t="s">
        <v>458</v>
      </c>
      <c r="F944" t="s">
        <v>1717</v>
      </c>
      <c r="G944" t="s">
        <v>13</v>
      </c>
      <c r="H944" t="s">
        <v>13</v>
      </c>
      <c r="I944" t="s">
        <v>1716</v>
      </c>
      <c r="J944" t="s">
        <v>13</v>
      </c>
      <c r="K944" t="s">
        <v>1718</v>
      </c>
      <c r="L944" t="s">
        <v>13</v>
      </c>
      <c r="M944" t="s">
        <v>288</v>
      </c>
    </row>
    <row r="945" spans="1:13">
      <c r="A945" t="s">
        <v>1719</v>
      </c>
      <c r="B945" t="s">
        <v>1720</v>
      </c>
      <c r="C945" t="s">
        <v>602</v>
      </c>
      <c r="D945" t="s">
        <v>1721</v>
      </c>
      <c r="E945" t="s">
        <v>1722</v>
      </c>
      <c r="F945" t="s">
        <v>13</v>
      </c>
      <c r="G945" t="s">
        <v>13</v>
      </c>
      <c r="H945" t="s">
        <v>13</v>
      </c>
      <c r="I945">
        <v>0</v>
      </c>
      <c r="J945" t="s">
        <v>13</v>
      </c>
      <c r="K945" t="s">
        <v>13</v>
      </c>
      <c r="L945" t="s">
        <v>13</v>
      </c>
      <c r="M945" t="s">
        <v>13</v>
      </c>
    </row>
    <row r="946" spans="1:13">
      <c r="A946" t="s">
        <v>1723</v>
      </c>
      <c r="B946" t="s">
        <v>1724</v>
      </c>
      <c r="C946" t="s">
        <v>123</v>
      </c>
      <c r="D946" t="s">
        <v>177</v>
      </c>
      <c r="E946" t="s">
        <v>458</v>
      </c>
      <c r="F946" t="s">
        <v>1725</v>
      </c>
      <c r="G946" t="s">
        <v>13</v>
      </c>
      <c r="H946" t="s">
        <v>13</v>
      </c>
      <c r="I946" t="s">
        <v>1724</v>
      </c>
      <c r="J946" t="s">
        <v>13</v>
      </c>
      <c r="K946" t="s">
        <v>1726</v>
      </c>
      <c r="L946" t="s">
        <v>13</v>
      </c>
      <c r="M946" t="s">
        <v>288</v>
      </c>
    </row>
    <row r="947" spans="1:13">
      <c r="A947" t="s">
        <v>1727</v>
      </c>
      <c r="B947" t="s">
        <v>1728</v>
      </c>
      <c r="C947" t="s">
        <v>123</v>
      </c>
      <c r="D947" t="s">
        <v>796</v>
      </c>
      <c r="E947" t="s">
        <v>458</v>
      </c>
      <c r="F947" t="s">
        <v>1729</v>
      </c>
      <c r="G947" t="s">
        <v>13</v>
      </c>
      <c r="H947" t="s">
        <v>13</v>
      </c>
      <c r="I947" t="s">
        <v>1728</v>
      </c>
      <c r="J947" t="s">
        <v>13</v>
      </c>
      <c r="K947" t="s">
        <v>1730</v>
      </c>
      <c r="L947" t="s">
        <v>13</v>
      </c>
      <c r="M947" t="s">
        <v>288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628E-9630-4F73-A4DC-C1737DC0B91A}">
  <dimension ref="A1:N947"/>
  <sheetViews>
    <sheetView zoomScale="70" zoomScaleNormal="70" workbookViewId="0">
      <pane ySplit="1" topLeftCell="A65" activePane="bottomLeft" state="frozen"/>
      <selection pane="bottomLeft" activeCell="H88" sqref="H88"/>
    </sheetView>
  </sheetViews>
  <sheetFormatPr defaultColWidth="32.140625" defaultRowHeight="15"/>
  <cols>
    <col min="1" max="1" width="32.140625" customWidth="1"/>
    <col min="8" max="8" width="32.5703125" customWidth="1"/>
    <col min="12" max="13" width="32.140625" style="234"/>
  </cols>
  <sheetData>
    <row r="1" spans="1:14">
      <c r="A1" t="s">
        <v>1731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234" t="s">
        <v>10</v>
      </c>
      <c r="M1" s="234" t="s">
        <v>11</v>
      </c>
      <c r="N1" t="s">
        <v>12</v>
      </c>
    </row>
    <row r="2" spans="1:14">
      <c r="A2" t="str" cm="1">
        <f t="array" ref="A2:A947">_xlfn.VSTACK('AAPT ExDa'!B2:B99,'ABB ExDa'!A2:A186,'Vocus SIT ExDa'!B2:B155,'Telstra ExDa'!B2:B311,'Vocus RVC ExDa'!C2:C156,'Exetel ExDa'!C2:C16,'Fusion ExDa'!B2:B16,'Infinet ExDa'!C2:C15)</f>
        <v>ASG</v>
      </c>
      <c r="B2" t="str">
        <f>IFERROR(VLOOKUP(A2,'Exetel ExDa'!$C$2:$N$14,4,FALSE),"No Data")</f>
        <v>No Data</v>
      </c>
      <c r="C2" t="str">
        <f>IFERROR(VLOOKUP($A2,'AAPT ExDa'!$B$2:$U$99, 2,FALSE), IFERROR(VLOOKUP($A2,'ABB ExDa'!$A$2:$N$184, 2,FALSE), IFERROR(VLOOKUP($A2,'Vocus SIT ExDa'!$B$2:$J$173, 7,FALSE), IFERROR(VLOOKUP($A2,'Telstra ExDa'!$B$2:$K$310, 2,FALSE), IFERROR(VLOOKUP($A2,'Vocus RVC ExDa'!$C$2:$R$155, 3,FALSE), IFERROR(VLOOKUP($A2,'Fusion ExDa'!$B$2:$D$16, 2,FALSE), IFERROR(VLOOKUP($A2,'Exetel ExDa'!$C$2:$N$14, 2,FALSE), IFERROR(VLOOKUP($A2,'Infinet ExDa'!$B$2:$E$14, 2,FALSE), "Not Found"))))))))</f>
        <v>ASG Pinkenba</v>
      </c>
      <c r="D2" t="str">
        <f>IFERROR(VLOOKUP($A2,'AAPT ExDa'!$B$2:$U$99, 15,FALSE), IFERROR(VLOOKUP($A2,'ABB ExDa'!$A$2:$N$184, 4,FALSE), IFERROR(VLOOKUP($A2,'Vocus SIT ExDa'!$B$2:$J$173, 5,FALSE), IFERROR(VLOOKUP($A2,'Telstra ExDa'!$B$2:$K$310, 8,FALSE), IFERROR(VLOOKUP($A2,'Vocus RVC ExDa'!$C$2:$R$155, 6,FALSE), IFERROR(VLOOKUP($A2,'Fusion ExDa'!$B$2:$D$16, 4,FALSE), IFERROR(VLOOKUP($A2,'Exetel ExDa'!$C$2:$N$14, 3,FALSE), IFERROR(VLOOKUP($A2,'Infinet ExDa'!$B$2:$E$14, 3,FALSE), "Not Found"))))))))</f>
        <v>AAPT</v>
      </c>
      <c r="E2" t="str">
        <f>IFERROR(VLOOKUP($A2,'AAPT ExDa'!$B$2:$U$99, 3,FALSE), IFERROR(VLOOKUP($A2,'ABB ExDa'!$A$2:$N$184, 5,FALSE), IFERROR(VLOOKUP($A2,'Vocus SIT ExDa'!$B$2:$J$173, 2,FALSE), IFERROR(VLOOKUP($A2,'Telstra ExDa'!$B$2:$K$310, 4,FALSE), IFERROR(VLOOKUP($A2,'Vocus RVC ExDa'!$C$2:$R$155, 8,FALSE), IFERROR(VLOOKUP($A2,'Fusion ExDa'!$B$2:$D$16, 4,FALSE), IFERROR(VLOOKUP($A2,'Exetel ExDa'!$C$2:$N$14, 5,FALSE), IFERROR(VLOOKUP($A2,'Infinet ExDa'!$B$2:$E$14, 3,FALSE), "Not Found"))))))))</f>
        <v>IP-Line</v>
      </c>
      <c r="F2" t="str">
        <f>IFERROR(VLOOKUP($A2,'AAPT ExDa'!$B$2:$U$99, 4,FALSE), IFERROR(VLOOKUP($A2,'ABB ExDa'!$A$2:$N$184, 6,FALSE), IFERROR(VLOOKUP($A2,'Vocus SIT ExDa'!$B$2:$J$173, 3,FALSE), IFERROR(VLOOKUP($A2,'Telstra ExDa'!$B$2:$K$310, 5,FALSE), IFERROR(VLOOKUP($A2,'Vocus RVC ExDa'!$C$2:$R$155, 9,FALSE), IFERROR(VLOOKUP($A2,'Fusion ExDa'!$B$2:$D$16, 0,FALSE), IFERROR(VLOOKUP($A2,'Exetel ExDa'!$C$2:$N$14, 6,FALSE), IFERROR(VLOOKUP($A2,'Infinet ExDa'!$B$2:$E$14, 0,FALSE), "Not Found"))))))))</f>
        <v>IP-Line Link</v>
      </c>
      <c r="G2" t="str">
        <f>IFERROR(VLOOKUP($A2,'AAPT ExDa'!$B$2:$U$99, 5,FALSE), IFERROR(VLOOKUP($A2,'ABB ExDa'!$A$2:$N$184, 8,FALSE), IFERROR(VLOOKUP($A2,'Vocus SIT ExDa'!$B$2:$J$173, 6,FALSE), IFERROR(VLOOKUP($A2,'Telstra ExDa'!$B$2:$K$310, 0,FALSE), IFERROR(VLOOKUP($A2,'Vocus RVC ExDa'!$C$2:$R$155, 15,FALSE), IFERROR(VLOOKUP($A2,'Fusion ExDa'!$B$2:$D$16, 0,FALSE), IFERROR(VLOOKUP($A2,'Exetel ExDa'!$C$2:$N$14, 7,FALSE), IFERROR(VLOOKUP($A2,'Infinet ExDa'!$B$2:$E$14, 0,FALSE), "Not Found"))))))))</f>
        <v>Connecting IP-Line 6023265 to Access 100827488</v>
      </c>
      <c r="H2" t="str">
        <f>IFERROR(VLOOKUP($A2,'AAPT ExDa'!$B$2:$U$99, 6,FALSE), IFERROR(VLOOKUP($A2,'ABB ExDa'!$A$2:$N$184, 0,FALSE), IFERROR(VLOOKUP($A2,'Vocus SIT ExDa'!$B$2:$J$173, 0,FALSE), IFERROR(VLOOKUP($A2,'Telstra ExDa'!$B$2:$K$310, 0,FALSE), IFERROR(VLOOKUP($A2,'Vocus RVC ExDa'!$C$2:$R$155, 16,FALSE), IFERROR(VLOOKUP($A2,'Fusion ExDa'!$B$2:$D$16, 0,FALSE), IFERROR(VLOOKUP($A2,'Exetel ExDa'!$C$2:$N$14, 0,FALSE), IFERROR(VLOOKUP($A2,'Infinet ExDa'!$B$2:$E$14, 0,FALSE), "Not Found"))))))))</f>
        <v>Up to 100/40Mbps; AVC ID:AVC000161725867</v>
      </c>
      <c r="I2" t="str">
        <f>IFERROR(VLOOKUP($A2,'AAPT ExDa'!$B$2:$U$99, 0,FALSE), IFERROR(VLOOKUP($A2,'ABB ExDa'!$A$2:$N$184, 0,FALSE), IFERROR(VLOOKUP($A2,'Vocus SIT ExDa'!$B$2:$J$173, 0,FALSE), IFERROR(VLOOKUP($A2,'Telstra ExDa'!$B$2:$K$310, 0,FALSE), IFERROR(VLOOKUP($A2,'Vocus RVC ExDa'!$C$2:$R$155, 0,FALSE), IFERROR(VLOOKUP($A2,'Fusion ExDa'!$B$2:$D$16, 0,FALSE), IFERROR(VLOOKUP($A2,'Exetel ExDa'!$C$2:$N$14, 8,FALSE), IFERROR(VLOOKUP($A2,'Infinet ExDa'!$B$2:$E$14, 0,FALSE), "Not Found"))))))))</f>
        <v>Not Found</v>
      </c>
      <c r="J2" t="str">
        <f>IFERROR(VLOOKUP($A2,'AAPT ExDa'!$B$2:$U$99, 7,FALSE), IFERROR(VLOOKUP($A2,'ABB ExDa'!$A$2:$N$184, 2,FALSE), IFERROR(VLOOKUP($A2,'Vocus SIT ExDa'!$B$2:$J$173, 0,FALSE), IFERROR(VLOOKUP($A2,'Telstra ExDa'!$B$2:$K$310, 7,FALSE), IFERROR(VLOOKUP($A2,'Vocus RVC ExDa'!$C$2:$R$155, 2,FALSE), IFERROR(VLOOKUP($A2,'Fusion ExDa'!$B$2:$D$16, 3,FALSE), IFERROR(VLOOKUP($A2,'Exetel ExDa'!$C$2:$N$14, 0,FALSE), IFERROR(VLOOKUP($A2,'Infinet ExDa'!$B$2:$E$14, 0,FALSE), "Not Found"))))))))</f>
        <v>AVC000161725867</v>
      </c>
      <c r="K2" t="str">
        <f>IFERROR(VLOOKUP($A2,'AAPT ExDa'!$B$2:$U$99, 12,FALSE), IFERROR(VLOOKUP($A2,'ABB ExDa'!$A$2:$N$184, 0,FALSE), IFERROR(VLOOKUP($A2,'Vocus SIT ExDa'!$B$2:$J$173, 0,FALSE), IFERROR(VLOOKUP($A2,'Telstra ExDa'!$B$2:$K$310, 0,FALSE), IFERROR(VLOOKUP($A2,'Vocus RVC ExDa'!$C$2:$R$155, 0,FALSE), IFERROR(VLOOKUP($A2,'Fusion ExDa'!$B$2:$D$16, 0,FALSE), IFERROR(VLOOKUP($A2,'Exetel ExDa'!$C$2:$N$14, 12,FALSE), IFERROR(VLOOKUP($A2,'Infinet ExDa'!$B$2:$E$14, 0,FALSE), "Not Found"))))))))</f>
        <v>24 Months</v>
      </c>
      <c r="L2" s="235">
        <f>IFERROR(VLOOKUP($A2,'AAPT ExDa'!$B$2:$U$99, 11,FALSE), IFERROR(VLOOKUP($A2,'ABB ExDa'!$A$2:$N$184, 9,FALSE), IFERROR(VLOOKUP($A2,'Vocus SIT ExDa'!$B$2:$J$173, 8,FALSE), IFERROR(VLOOKUP($A2,'Telstra ExDa'!$B$2:$K$310, 0,FALSE), IFERROR(VLOOKUP($A2,'Vocus RVC ExDa'!$C$2:$R$155, 0,FALSE), IFERROR(VLOOKUP($A2,'Fusion ExDa'!$B$2:$D$16, 0,FALSE), IFERROR(VLOOKUP($A2,'Exetel ExDa'!$C$2:$N$14, 9,FALSE), IFERROR(VLOOKUP($A2,'Infinet ExDa'!$B$2:$E$14, 0,FALSE), "Not Found"))))))))</f>
        <v>45047</v>
      </c>
      <c r="M2" s="234" t="str">
        <f>IFERROR(VLOOKUP($A2,'AAPT ExDa'!$B$2:$U$99, 0,FALSE), IFERROR(VLOOKUP($A2,'ABB ExDa'!$A$2:$N$184, 0,FALSE), IFERROR(VLOOKUP($A2,'Vocus SIT ExDa'!$B$2:$J$173, 0,FALSE), IFERROR(VLOOKUP($A2,'Telstra ExDa'!$B$2:$K$310, 0,FALSE), IFERROR(VLOOKUP($A2,'Vocus RVC ExDa'!$C$2:$R$155, 0,FALSE), IFERROR(VLOOKUP($A2,'Fusion ExDa'!$B$2:$D$16, 0,FALSE), IFERROR(VLOOKUP($A2,'Exetel ExDa'!$C$2:$N$14, 11,FALSE), IFERROR(VLOOKUP($A2,'Infinet ExDa'!$B$2:$E$14, 0,FALSE), "Not Found"))))))))</f>
        <v>Not Found</v>
      </c>
      <c r="N2" t="str">
        <f>IFERROR(VLOOKUP($A2,'AAPT ExDa'!$B$2:$U$99, 0,FALSE), IFERROR(VLOOKUP($A2,'ABB ExDa'!$A$2:$N$184, 13,FALSE), IFERROR(VLOOKUP($A2,'Vocus SIT ExDa'!$B$2:$J$173, 0,FALSE), IFERROR(VLOOKUP($A2,'Telstra ExDa'!$B$2:$K$310, 0,FALSE), IFERROR(VLOOKUP($A2,'Vocus RVC ExDa'!$C$2:$R$155, 0,FALSE), IFERROR(VLOOKUP($A2,'Fusion ExDa'!$B$2:$D$16, 0,FALSE), IFERROR(VLOOKUP($A2,'Exetel ExDa'!$C$2:$N$14, 0,FALSE), IFERROR(VLOOKUP($A2,'Infinet ExDa'!$B$2:$E$14, 0,FALSE), "Not Found"))))))))</f>
        <v>Not Found</v>
      </c>
    </row>
    <row r="3" spans="1:14">
      <c r="A3" t="str">
        <v>ASG</v>
      </c>
      <c r="B3" t="str">
        <f>IFERROR(VLOOKUP(A3,'Exetel ExDa'!$C$2:$N$14,4,FALSE),"No Data")</f>
        <v>No Data</v>
      </c>
      <c r="C3" t="str">
        <f>IFERROR(VLOOKUP(A3,'AAPT ExDa'!$B$2:$U$99, 2,FALSE), IFERROR(VLOOKUP(A3,'ABB ExDa'!$A$2:$N$184, 2,FALSE), IFERROR(VLOOKUP(A3,'Vocus SIT ExDa'!$B$2:$J$173, 7,FALSE), IFERROR(VLOOKUP(A3,'Telstra ExDa'!$B$2:$K$310, 2,FALSE), IFERROR(VLOOKUP(A3,'Vocus RVC ExDa'!$C$2:$R$155, 3,FALSE), IFERROR(VLOOKUP(A3,'Fusion ExDa'!$B$2:$D$16, 2,FALSE), IFERROR(VLOOKUP(A3,'Exetel ExDa'!$C$2:$N$14, 2,FALSE), IFERROR(VLOOKUP(A3,'Infinet ExDa'!$B$2:$E$14, 2,FALSE), "Not Found"))))))))</f>
        <v>ASG Pinkenba</v>
      </c>
      <c r="D3" t="str">
        <f>IFERROR(VLOOKUP($A3,'AAPT ExDa'!$B$2:$U$99, 15,FALSE), IFERROR(VLOOKUP($A3,'ABB ExDa'!$A$2:$N$184, 4,FALSE), IFERROR(VLOOKUP($A3,'Vocus SIT ExDa'!$B$2:$J$173, 5,FALSE), IFERROR(VLOOKUP($A3,'Telstra ExDa'!$B$2:$K$310, 8,FALSE), IFERROR(VLOOKUP($A3,'Vocus RVC ExDa'!$C$2:$R$155, 6,FALSE), IFERROR(VLOOKUP($A3,'Fusion ExDa'!$B$2:$D$16, 4,FALSE), IFERROR(VLOOKUP($A3,'Exetel ExDa'!$C$2:$N$14, 3,FALSE), IFERROR(VLOOKUP($A3,'Infinet ExDa'!$B$2:$E$14, 3,FALSE), "Not Found"))))))))</f>
        <v>AAPT</v>
      </c>
      <c r="E3" t="str">
        <f>IFERROR(VLOOKUP($A3,'AAPT ExDa'!$B$2:$U$99, 3,FALSE), IFERROR(VLOOKUP($A3,'ABB ExDa'!$A$2:$N$184, 5,FALSE), IFERROR(VLOOKUP($A3,'Vocus SIT ExDa'!$B$2:$J$173, 2,FALSE), IFERROR(VLOOKUP($A3,'Telstra ExDa'!$B$2:$K$310, 4,FALSE), IFERROR(VLOOKUP($A3,'Vocus RVC ExDa'!$C$2:$R$155, 8,FALSE), IFERROR(VLOOKUP($A3,'Fusion ExDa'!$B$2:$D$16, 4,FALSE), IFERROR(VLOOKUP($A3,'Exetel ExDa'!$C$2:$N$14, 5,FALSE), IFERROR(VLOOKUP($A3,'Infinet ExDa'!$B$2:$E$14, 3,FALSE), "Not Found"))))))))</f>
        <v>IP-Line</v>
      </c>
      <c r="F3" t="str">
        <f>IFERROR(VLOOKUP($A3,'AAPT ExDa'!$B$2:$U$99, 4,FALSE), IFERROR(VLOOKUP($A3,'ABB ExDa'!$A$2:$N$184, 6,FALSE), IFERROR(VLOOKUP($A3,'Vocus SIT ExDa'!$B$2:$J$173, 3,FALSE), IFERROR(VLOOKUP($A3,'Telstra ExDa'!$B$2:$K$310, 5,FALSE), IFERROR(VLOOKUP($A3,'Vocus RVC ExDa'!$C$2:$R$155, 9,FALSE), IFERROR(VLOOKUP($A3,'Fusion ExDa'!$B$2:$D$16, 0,FALSE), IFERROR(VLOOKUP($A3,'Exetel ExDa'!$C$2:$N$14, 6,FALSE), IFERROR(VLOOKUP($A3,'Infinet ExDa'!$B$2:$E$14, 0,FALSE), "Not Found"))))))))</f>
        <v>IP-Line Link</v>
      </c>
      <c r="G3" t="str">
        <f>IFERROR(VLOOKUP($A3,'AAPT ExDa'!$B$2:$U$99, 5,FALSE), IFERROR(VLOOKUP($A3,'ABB ExDa'!$A$2:$N$184, 8,FALSE), IFERROR(VLOOKUP($A3,'Vocus SIT ExDa'!$B$2:$J$173, 6,FALSE), IFERROR(VLOOKUP($A3,'Telstra ExDa'!$B$2:$K$310, 0,FALSE), IFERROR(VLOOKUP($A3,'Vocus RVC ExDa'!$C$2:$R$155, 15,FALSE), IFERROR(VLOOKUP($A3,'Fusion ExDa'!$B$2:$D$16, 0,FALSE), IFERROR(VLOOKUP($A3,'Exetel ExDa'!$C$2:$N$14, 7,FALSE), IFERROR(VLOOKUP($A3,'Infinet ExDa'!$B$2:$E$14, 0,FALSE), "Not Found"))))))))</f>
        <v>Connecting IP-Line 6023265 to Access 100827488</v>
      </c>
      <c r="H3" t="str">
        <f>IFERROR(VLOOKUP($A3,'AAPT ExDa'!$B$2:$U$99, 6,FALSE), IFERROR(VLOOKUP($A3,'ABB ExDa'!$A$2:$N$184, 0,FALSE), IFERROR(VLOOKUP($A3,'Vocus SIT ExDa'!$B$2:$J$173, 0,FALSE), IFERROR(VLOOKUP($A3,'Telstra ExDa'!$B$2:$K$310, 0,FALSE), IFERROR(VLOOKUP($A3,'Vocus RVC ExDa'!$C$2:$R$155, 16,FALSE), IFERROR(VLOOKUP($A3,'Fusion ExDa'!$B$2:$D$16, 0,FALSE), IFERROR(VLOOKUP($A3,'Exetel ExDa'!$C$2:$N$14, 0,FALSE), IFERROR(VLOOKUP($A3,'Infinet ExDa'!$B$2:$E$14, 0,FALSE), "Not Found"))))))))</f>
        <v>Up to 100/40Mbps; AVC ID:AVC000161725867</v>
      </c>
      <c r="I3" t="str">
        <f>IFERROR(VLOOKUP($A3,'AAPT ExDa'!$B$2:$U$99, 0,FALSE), IFERROR(VLOOKUP($A3,'ABB ExDa'!$A$2:$N$184, 0,FALSE), IFERROR(VLOOKUP($A3,'Vocus SIT ExDa'!$B$2:$J$173, 0,FALSE), IFERROR(VLOOKUP($A3,'Telstra ExDa'!$B$2:$K$310, 0,FALSE), IFERROR(VLOOKUP($A3,'Vocus RVC ExDa'!$C$2:$R$155, 0,FALSE), IFERROR(VLOOKUP($A3,'Fusion ExDa'!$B$2:$D$16, 0,FALSE), IFERROR(VLOOKUP($A3,'Exetel ExDa'!$C$2:$N$14, 8,FALSE), IFERROR(VLOOKUP($A3,'Infinet ExDa'!$B$2:$E$14, 0,FALSE), "Not Found"))))))))</f>
        <v>Not Found</v>
      </c>
      <c r="J3" t="str">
        <f>IFERROR(VLOOKUP($A3,'AAPT ExDa'!$B$2:$U$99, 7,FALSE), IFERROR(VLOOKUP($A3,'ABB ExDa'!$A$2:$N$184, 2,FALSE), IFERROR(VLOOKUP($A3,'Vocus SIT ExDa'!$B$2:$J$173, 0,FALSE), IFERROR(VLOOKUP($A3,'Telstra ExDa'!$B$2:$K$310, 7,FALSE), IFERROR(VLOOKUP($A3,'Vocus RVC ExDa'!$C$2:$R$155, 2,FALSE), IFERROR(VLOOKUP($A3,'Fusion ExDa'!$B$2:$D$16, 3,FALSE), IFERROR(VLOOKUP($A3,'Exetel ExDa'!$C$2:$N$14, 0,FALSE), IFERROR(VLOOKUP($A3,'Infinet ExDa'!$B$2:$E$14, 0,FALSE), "Not Found"))))))))</f>
        <v>AVC000161725867</v>
      </c>
      <c r="K3" t="str">
        <f>IFERROR(VLOOKUP($A3,'AAPT ExDa'!$B$2:$U$99, 12,FALSE), IFERROR(VLOOKUP($A3,'ABB ExDa'!$A$2:$N$184, 0,FALSE), IFERROR(VLOOKUP($A3,'Vocus SIT ExDa'!$B$2:$J$173, 0,FALSE), IFERROR(VLOOKUP($A3,'Telstra ExDa'!$B$2:$K$310, 0,FALSE), IFERROR(VLOOKUP($A3,'Vocus RVC ExDa'!$C$2:$R$155, 0,FALSE), IFERROR(VLOOKUP($A3,'Fusion ExDa'!$B$2:$D$16, 0,FALSE), IFERROR(VLOOKUP($A3,'Exetel ExDa'!$C$2:$N$14, 12,FALSE), IFERROR(VLOOKUP($A3,'Infinet ExDa'!$B$2:$E$14, 0,FALSE), "Not Found"))))))))</f>
        <v>24 Months</v>
      </c>
      <c r="L3" s="235">
        <f>IFERROR(VLOOKUP($A3,'AAPT ExDa'!$B$2:$U$99, 11,FALSE), IFERROR(VLOOKUP($A3,'ABB ExDa'!$A$2:$N$184, 9,FALSE), IFERROR(VLOOKUP($A3,'Vocus SIT ExDa'!$B$2:$J$173, 8,FALSE), IFERROR(VLOOKUP($A3,'Telstra ExDa'!$B$2:$K$310, 0,FALSE), IFERROR(VLOOKUP($A3,'Vocus RVC ExDa'!$C$2:$R$155, 0,FALSE), IFERROR(VLOOKUP($A3,'Fusion ExDa'!$B$2:$D$16, 0,FALSE), IFERROR(VLOOKUP($A3,'Exetel ExDa'!$C$2:$N$14, 9,FALSE), IFERROR(VLOOKUP($A3,'Infinet ExDa'!$B$2:$E$14, 0,FALSE), "Not Found"))))))))</f>
        <v>45047</v>
      </c>
      <c r="M3" s="234" t="str">
        <f>IFERROR(VLOOKUP($A3,'AAPT ExDa'!$B$2:$U$99, 0,FALSE), IFERROR(VLOOKUP($A3,'ABB ExDa'!$A$2:$N$184, 0,FALSE), IFERROR(VLOOKUP($A3,'Vocus SIT ExDa'!$B$2:$J$173, 0,FALSE), IFERROR(VLOOKUP($A3,'Telstra ExDa'!$B$2:$K$310, 0,FALSE), IFERROR(VLOOKUP($A3,'Vocus RVC ExDa'!$C$2:$R$155, 0,FALSE), IFERROR(VLOOKUP($A3,'Fusion ExDa'!$B$2:$D$16, 0,FALSE), IFERROR(VLOOKUP($A3,'Exetel ExDa'!$C$2:$N$14, 11,FALSE), IFERROR(VLOOKUP($A3,'Infinet ExDa'!$B$2:$E$14, 0,FALSE), "Not Found"))))))))</f>
        <v>Not Found</v>
      </c>
      <c r="N3" t="str">
        <f>IFERROR(VLOOKUP($A3,'AAPT ExDa'!$B$2:$U$99, 0,FALSE), IFERROR(VLOOKUP($A3,'ABB ExDa'!$A$2:$N$184, 13,FALSE), IFERROR(VLOOKUP($A3,'Vocus SIT ExDa'!$B$2:$J$173, 0,FALSE), IFERROR(VLOOKUP($A3,'Telstra ExDa'!$B$2:$K$310, 0,FALSE), IFERROR(VLOOKUP($A3,'Vocus RVC ExDa'!$C$2:$R$155, 0,FALSE), IFERROR(VLOOKUP($A3,'Fusion ExDa'!$B$2:$D$16, 0,FALSE), IFERROR(VLOOKUP($A3,'Exetel ExDa'!$C$2:$N$14, 0,FALSE), IFERROR(VLOOKUP($A3,'Infinet ExDa'!$B$2:$E$14, 0,FALSE), "Not Found"))))))))</f>
        <v>Not Found</v>
      </c>
    </row>
    <row r="4" spans="1:14">
      <c r="A4" t="str">
        <v>ASG</v>
      </c>
      <c r="B4" t="str">
        <f>IFERROR(VLOOKUP(A4,'Exetel ExDa'!$C$2:$N$14,4,FALSE),"No Data")</f>
        <v>No Data</v>
      </c>
      <c r="C4" t="str">
        <f>IFERROR(VLOOKUP(A4,'AAPT ExDa'!$B$2:$U$99, 2,FALSE), IFERROR(VLOOKUP(A4,'ABB ExDa'!$A$2:$N$184, 2,FALSE), IFERROR(VLOOKUP(A4,'Vocus SIT ExDa'!$B$2:$J$173, 7,FALSE), IFERROR(VLOOKUP(A4,'Telstra ExDa'!$B$2:$K$310, 2,FALSE), IFERROR(VLOOKUP(A4,'Vocus RVC ExDa'!$C$2:$R$155, 3,FALSE), IFERROR(VLOOKUP(A4,'Fusion ExDa'!$B$2:$D$16, 2,FALSE), IFERROR(VLOOKUP(A4,'Exetel ExDa'!$C$2:$N$14, 2,FALSE), IFERROR(VLOOKUP(A4,'Infinet ExDa'!$B$2:$E$14, 2,FALSE), "Not Found"))))))))</f>
        <v>ASG Pinkenba</v>
      </c>
      <c r="D4" t="str">
        <f>IFERROR(VLOOKUP($A4,'AAPT ExDa'!$B$2:$U$99, 15,FALSE), IFERROR(VLOOKUP($A4,'ABB ExDa'!$A$2:$N$184, 4,FALSE), IFERROR(VLOOKUP($A4,'Vocus SIT ExDa'!$B$2:$J$173, 5,FALSE), IFERROR(VLOOKUP($A4,'Telstra ExDa'!$B$2:$K$310, 8,FALSE), IFERROR(VLOOKUP($A4,'Vocus RVC ExDa'!$C$2:$R$155, 6,FALSE), IFERROR(VLOOKUP($A4,'Fusion ExDa'!$B$2:$D$16, 4,FALSE), IFERROR(VLOOKUP($A4,'Exetel ExDa'!$C$2:$N$14, 3,FALSE), IFERROR(VLOOKUP($A4,'Infinet ExDa'!$B$2:$E$14, 3,FALSE), "Not Found"))))))))</f>
        <v>AAPT</v>
      </c>
      <c r="E4" t="str">
        <f>IFERROR(VLOOKUP($A4,'AAPT ExDa'!$B$2:$U$99, 3,FALSE), IFERROR(VLOOKUP($A4,'ABB ExDa'!$A$2:$N$184, 5,FALSE), IFERROR(VLOOKUP($A4,'Vocus SIT ExDa'!$B$2:$J$173, 2,FALSE), IFERROR(VLOOKUP($A4,'Telstra ExDa'!$B$2:$K$310, 4,FALSE), IFERROR(VLOOKUP($A4,'Vocus RVC ExDa'!$C$2:$R$155, 8,FALSE), IFERROR(VLOOKUP($A4,'Fusion ExDa'!$B$2:$D$16, 4,FALSE), IFERROR(VLOOKUP($A4,'Exetel ExDa'!$C$2:$N$14, 5,FALSE), IFERROR(VLOOKUP($A4,'Infinet ExDa'!$B$2:$E$14, 3,FALSE), "Not Found"))))))))</f>
        <v>IP-Line</v>
      </c>
      <c r="F4" t="str">
        <f>IFERROR(VLOOKUP($A4,'AAPT ExDa'!$B$2:$U$99, 4,FALSE), IFERROR(VLOOKUP($A4,'ABB ExDa'!$A$2:$N$184, 6,FALSE), IFERROR(VLOOKUP($A4,'Vocus SIT ExDa'!$B$2:$J$173, 3,FALSE), IFERROR(VLOOKUP($A4,'Telstra ExDa'!$B$2:$K$310, 5,FALSE), IFERROR(VLOOKUP($A4,'Vocus RVC ExDa'!$C$2:$R$155, 9,FALSE), IFERROR(VLOOKUP($A4,'Fusion ExDa'!$B$2:$D$16, 0,FALSE), IFERROR(VLOOKUP($A4,'Exetel ExDa'!$C$2:$N$14, 6,FALSE), IFERROR(VLOOKUP($A4,'Infinet ExDa'!$B$2:$E$14, 0,FALSE), "Not Found"))))))))</f>
        <v>IP-Line Link</v>
      </c>
      <c r="G4" t="str">
        <f>IFERROR(VLOOKUP($A4,'AAPT ExDa'!$B$2:$U$99, 5,FALSE), IFERROR(VLOOKUP($A4,'ABB ExDa'!$A$2:$N$184, 8,FALSE), IFERROR(VLOOKUP($A4,'Vocus SIT ExDa'!$B$2:$J$173, 6,FALSE), IFERROR(VLOOKUP($A4,'Telstra ExDa'!$B$2:$K$310, 0,FALSE), IFERROR(VLOOKUP($A4,'Vocus RVC ExDa'!$C$2:$R$155, 15,FALSE), IFERROR(VLOOKUP($A4,'Fusion ExDa'!$B$2:$D$16, 0,FALSE), IFERROR(VLOOKUP($A4,'Exetel ExDa'!$C$2:$N$14, 7,FALSE), IFERROR(VLOOKUP($A4,'Infinet ExDa'!$B$2:$E$14, 0,FALSE), "Not Found"))))))))</f>
        <v>Connecting IP-Line 6023265 to Access 100827488</v>
      </c>
      <c r="H4" t="str">
        <f>IFERROR(VLOOKUP($A4,'AAPT ExDa'!$B$2:$U$99, 6,FALSE), IFERROR(VLOOKUP($A4,'ABB ExDa'!$A$2:$N$184, 0,FALSE), IFERROR(VLOOKUP($A4,'Vocus SIT ExDa'!$B$2:$J$173, 0,FALSE), IFERROR(VLOOKUP($A4,'Telstra ExDa'!$B$2:$K$310, 0,FALSE), IFERROR(VLOOKUP($A4,'Vocus RVC ExDa'!$C$2:$R$155, 16,FALSE), IFERROR(VLOOKUP($A4,'Fusion ExDa'!$B$2:$D$16, 0,FALSE), IFERROR(VLOOKUP($A4,'Exetel ExDa'!$C$2:$N$14, 0,FALSE), IFERROR(VLOOKUP($A4,'Infinet ExDa'!$B$2:$E$14, 0,FALSE), "Not Found"))))))))</f>
        <v>Up to 100/40Mbps; AVC ID:AVC000161725867</v>
      </c>
      <c r="I4" t="str">
        <f>IFERROR(VLOOKUP($A4,'AAPT ExDa'!$B$2:$U$99, 0,FALSE), IFERROR(VLOOKUP($A4,'ABB ExDa'!$A$2:$N$184, 0,FALSE), IFERROR(VLOOKUP($A4,'Vocus SIT ExDa'!$B$2:$J$173, 0,FALSE), IFERROR(VLOOKUP($A4,'Telstra ExDa'!$B$2:$K$310, 0,FALSE), IFERROR(VLOOKUP($A4,'Vocus RVC ExDa'!$C$2:$R$155, 0,FALSE), IFERROR(VLOOKUP($A4,'Fusion ExDa'!$B$2:$D$16, 0,FALSE), IFERROR(VLOOKUP($A4,'Exetel ExDa'!$C$2:$N$14, 8,FALSE), IFERROR(VLOOKUP($A4,'Infinet ExDa'!$B$2:$E$14, 0,FALSE), "Not Found"))))))))</f>
        <v>Not Found</v>
      </c>
      <c r="J4" t="str">
        <f>IFERROR(VLOOKUP($A4,'AAPT ExDa'!$B$2:$U$99, 7,FALSE), IFERROR(VLOOKUP($A4,'ABB ExDa'!$A$2:$N$184, 2,FALSE), IFERROR(VLOOKUP($A4,'Vocus SIT ExDa'!$B$2:$J$173, 0,FALSE), IFERROR(VLOOKUP($A4,'Telstra ExDa'!$B$2:$K$310, 7,FALSE), IFERROR(VLOOKUP($A4,'Vocus RVC ExDa'!$C$2:$R$155, 2,FALSE), IFERROR(VLOOKUP($A4,'Fusion ExDa'!$B$2:$D$16, 3,FALSE), IFERROR(VLOOKUP($A4,'Exetel ExDa'!$C$2:$N$14, 0,FALSE), IFERROR(VLOOKUP($A4,'Infinet ExDa'!$B$2:$E$14, 0,FALSE), "Not Found"))))))))</f>
        <v>AVC000161725867</v>
      </c>
      <c r="K4" t="str">
        <f>IFERROR(VLOOKUP($A4,'AAPT ExDa'!$B$2:$U$99, 12,FALSE), IFERROR(VLOOKUP($A4,'ABB ExDa'!$A$2:$N$184, 0,FALSE), IFERROR(VLOOKUP($A4,'Vocus SIT ExDa'!$B$2:$J$173, 0,FALSE), IFERROR(VLOOKUP($A4,'Telstra ExDa'!$B$2:$K$310, 0,FALSE), IFERROR(VLOOKUP($A4,'Vocus RVC ExDa'!$C$2:$R$155, 0,FALSE), IFERROR(VLOOKUP($A4,'Fusion ExDa'!$B$2:$D$16, 0,FALSE), IFERROR(VLOOKUP($A4,'Exetel ExDa'!$C$2:$N$14, 12,FALSE), IFERROR(VLOOKUP($A4,'Infinet ExDa'!$B$2:$E$14, 0,FALSE), "Not Found"))))))))</f>
        <v>24 Months</v>
      </c>
      <c r="L4" s="235">
        <f>IFERROR(VLOOKUP($A4,'AAPT ExDa'!$B$2:$U$99, 11,FALSE), IFERROR(VLOOKUP($A4,'ABB ExDa'!$A$2:$N$184, 9,FALSE), IFERROR(VLOOKUP($A4,'Vocus SIT ExDa'!$B$2:$J$173, 8,FALSE), IFERROR(VLOOKUP($A4,'Telstra ExDa'!$B$2:$K$310, 0,FALSE), IFERROR(VLOOKUP($A4,'Vocus RVC ExDa'!$C$2:$R$155, 0,FALSE), IFERROR(VLOOKUP($A4,'Fusion ExDa'!$B$2:$D$16, 0,FALSE), IFERROR(VLOOKUP($A4,'Exetel ExDa'!$C$2:$N$14, 9,FALSE), IFERROR(VLOOKUP($A4,'Infinet ExDa'!$B$2:$E$14, 0,FALSE), "Not Found"))))))))</f>
        <v>45047</v>
      </c>
      <c r="M4" s="234" t="str">
        <f>IFERROR(VLOOKUP($A4,'AAPT ExDa'!$B$2:$U$99, 0,FALSE), IFERROR(VLOOKUP($A4,'ABB ExDa'!$A$2:$N$184, 0,FALSE), IFERROR(VLOOKUP($A4,'Vocus SIT ExDa'!$B$2:$J$173, 0,FALSE), IFERROR(VLOOKUP($A4,'Telstra ExDa'!$B$2:$K$310, 0,FALSE), IFERROR(VLOOKUP($A4,'Vocus RVC ExDa'!$C$2:$R$155, 0,FALSE), IFERROR(VLOOKUP($A4,'Fusion ExDa'!$B$2:$D$16, 0,FALSE), IFERROR(VLOOKUP($A4,'Exetel ExDa'!$C$2:$N$14, 11,FALSE), IFERROR(VLOOKUP($A4,'Infinet ExDa'!$B$2:$E$14, 0,FALSE), "Not Found"))))))))</f>
        <v>Not Found</v>
      </c>
      <c r="N4" t="str">
        <f>IFERROR(VLOOKUP($A4,'AAPT ExDa'!$B$2:$U$99, 0,FALSE), IFERROR(VLOOKUP($A4,'ABB ExDa'!$A$2:$N$184, 13,FALSE), IFERROR(VLOOKUP($A4,'Vocus SIT ExDa'!$B$2:$J$173, 0,FALSE), IFERROR(VLOOKUP($A4,'Telstra ExDa'!$B$2:$K$310, 0,FALSE), IFERROR(VLOOKUP($A4,'Vocus RVC ExDa'!$C$2:$R$155, 0,FALSE), IFERROR(VLOOKUP($A4,'Fusion ExDa'!$B$2:$D$16, 0,FALSE), IFERROR(VLOOKUP($A4,'Exetel ExDa'!$C$2:$N$14, 0,FALSE), IFERROR(VLOOKUP($A4,'Infinet ExDa'!$B$2:$E$14, 0,FALSE), "Not Found"))))))))</f>
        <v>Not Found</v>
      </c>
    </row>
    <row r="5" spans="1:14">
      <c r="A5" t="str">
        <v>ASG</v>
      </c>
      <c r="B5" t="str">
        <f>IFERROR(VLOOKUP(A5,'Exetel ExDa'!$C$2:$N$14,4,FALSE),"No Data")</f>
        <v>No Data</v>
      </c>
      <c r="C5" t="str">
        <f>IFERROR(VLOOKUP(A5,'AAPT ExDa'!$B$2:$U$99, 2,FALSE), IFERROR(VLOOKUP(A5,'ABB ExDa'!$A$2:$N$184, 2,FALSE), IFERROR(VLOOKUP(A5,'Vocus SIT ExDa'!$B$2:$J$173, 7,FALSE), IFERROR(VLOOKUP(A5,'Telstra ExDa'!$B$2:$K$310, 2,FALSE), IFERROR(VLOOKUP(A5,'Vocus RVC ExDa'!$C$2:$R$155, 3,FALSE), IFERROR(VLOOKUP(A5,'Fusion ExDa'!$B$2:$D$16, 2,FALSE), IFERROR(VLOOKUP(A5,'Exetel ExDa'!$C$2:$N$14, 2,FALSE), IFERROR(VLOOKUP(A5,'Infinet ExDa'!$B$2:$E$14, 2,FALSE), "Not Found"))))))))</f>
        <v>ASG Pinkenba</v>
      </c>
      <c r="D5" t="str">
        <f>IFERROR(VLOOKUP($A5,'AAPT ExDa'!$B$2:$U$99, 15,FALSE), IFERROR(VLOOKUP($A5,'ABB ExDa'!$A$2:$N$184, 4,FALSE), IFERROR(VLOOKUP($A5,'Vocus SIT ExDa'!$B$2:$J$173, 5,FALSE), IFERROR(VLOOKUP($A5,'Telstra ExDa'!$B$2:$K$310, 8,FALSE), IFERROR(VLOOKUP($A5,'Vocus RVC ExDa'!$C$2:$R$155, 6,FALSE), IFERROR(VLOOKUP($A5,'Fusion ExDa'!$B$2:$D$16, 4,FALSE), IFERROR(VLOOKUP($A5,'Exetel ExDa'!$C$2:$N$14, 3,FALSE), IFERROR(VLOOKUP($A5,'Infinet ExDa'!$B$2:$E$14, 3,FALSE), "Not Found"))))))))</f>
        <v>AAPT</v>
      </c>
      <c r="E5" t="str">
        <f>IFERROR(VLOOKUP($A5,'AAPT ExDa'!$B$2:$U$99, 3,FALSE), IFERROR(VLOOKUP($A5,'ABB ExDa'!$A$2:$N$184, 5,FALSE), IFERROR(VLOOKUP($A5,'Vocus SIT ExDa'!$B$2:$J$173, 2,FALSE), IFERROR(VLOOKUP($A5,'Telstra ExDa'!$B$2:$K$310, 4,FALSE), IFERROR(VLOOKUP($A5,'Vocus RVC ExDa'!$C$2:$R$155, 8,FALSE), IFERROR(VLOOKUP($A5,'Fusion ExDa'!$B$2:$D$16, 4,FALSE), IFERROR(VLOOKUP($A5,'Exetel ExDa'!$C$2:$N$14, 5,FALSE), IFERROR(VLOOKUP($A5,'Infinet ExDa'!$B$2:$E$14, 3,FALSE), "Not Found"))))))))</f>
        <v>IP-Line</v>
      </c>
      <c r="F5" t="str">
        <f>IFERROR(VLOOKUP($A5,'AAPT ExDa'!$B$2:$U$99, 4,FALSE), IFERROR(VLOOKUP($A5,'ABB ExDa'!$A$2:$N$184, 6,FALSE), IFERROR(VLOOKUP($A5,'Vocus SIT ExDa'!$B$2:$J$173, 3,FALSE), IFERROR(VLOOKUP($A5,'Telstra ExDa'!$B$2:$K$310, 5,FALSE), IFERROR(VLOOKUP($A5,'Vocus RVC ExDa'!$C$2:$R$155, 9,FALSE), IFERROR(VLOOKUP($A5,'Fusion ExDa'!$B$2:$D$16, 0,FALSE), IFERROR(VLOOKUP($A5,'Exetel ExDa'!$C$2:$N$14, 6,FALSE), IFERROR(VLOOKUP($A5,'Infinet ExDa'!$B$2:$E$14, 0,FALSE), "Not Found"))))))))</f>
        <v>IP-Line Link</v>
      </c>
      <c r="G5" t="str">
        <f>IFERROR(VLOOKUP($A5,'AAPT ExDa'!$B$2:$U$99, 5,FALSE), IFERROR(VLOOKUP($A5,'ABB ExDa'!$A$2:$N$184, 8,FALSE), IFERROR(VLOOKUP($A5,'Vocus SIT ExDa'!$B$2:$J$173, 6,FALSE), IFERROR(VLOOKUP($A5,'Telstra ExDa'!$B$2:$K$310, 0,FALSE), IFERROR(VLOOKUP($A5,'Vocus RVC ExDa'!$C$2:$R$155, 15,FALSE), IFERROR(VLOOKUP($A5,'Fusion ExDa'!$B$2:$D$16, 0,FALSE), IFERROR(VLOOKUP($A5,'Exetel ExDa'!$C$2:$N$14, 7,FALSE), IFERROR(VLOOKUP($A5,'Infinet ExDa'!$B$2:$E$14, 0,FALSE), "Not Found"))))))))</f>
        <v>Connecting IP-Line 6023265 to Access 100827488</v>
      </c>
      <c r="H5" t="str">
        <f>IFERROR(VLOOKUP($A5,'AAPT ExDa'!$B$2:$U$99, 6,FALSE), IFERROR(VLOOKUP($A5,'ABB ExDa'!$A$2:$N$184, 0,FALSE), IFERROR(VLOOKUP($A5,'Vocus SIT ExDa'!$B$2:$J$173, 0,FALSE), IFERROR(VLOOKUP($A5,'Telstra ExDa'!$B$2:$K$310, 0,FALSE), IFERROR(VLOOKUP($A5,'Vocus RVC ExDa'!$C$2:$R$155, 16,FALSE), IFERROR(VLOOKUP($A5,'Fusion ExDa'!$B$2:$D$16, 0,FALSE), IFERROR(VLOOKUP($A5,'Exetel ExDa'!$C$2:$N$14, 0,FALSE), IFERROR(VLOOKUP($A5,'Infinet ExDa'!$B$2:$E$14, 0,FALSE), "Not Found"))))))))</f>
        <v>Up to 100/40Mbps; AVC ID:AVC000161725867</v>
      </c>
      <c r="I5" t="str">
        <f>IFERROR(VLOOKUP($A5,'AAPT ExDa'!$B$2:$U$99, 0,FALSE), IFERROR(VLOOKUP($A5,'ABB ExDa'!$A$2:$N$184, 0,FALSE), IFERROR(VLOOKUP($A5,'Vocus SIT ExDa'!$B$2:$J$173, 0,FALSE), IFERROR(VLOOKUP($A5,'Telstra ExDa'!$B$2:$K$310, 0,FALSE), IFERROR(VLOOKUP($A5,'Vocus RVC ExDa'!$C$2:$R$155, 0,FALSE), IFERROR(VLOOKUP($A5,'Fusion ExDa'!$B$2:$D$16, 0,FALSE), IFERROR(VLOOKUP($A5,'Exetel ExDa'!$C$2:$N$14, 8,FALSE), IFERROR(VLOOKUP($A5,'Infinet ExDa'!$B$2:$E$14, 0,FALSE), "Not Found"))))))))</f>
        <v>Not Found</v>
      </c>
      <c r="J5" t="str">
        <f>IFERROR(VLOOKUP($A5,'AAPT ExDa'!$B$2:$U$99, 7,FALSE), IFERROR(VLOOKUP($A5,'ABB ExDa'!$A$2:$N$184, 2,FALSE), IFERROR(VLOOKUP($A5,'Vocus SIT ExDa'!$B$2:$J$173, 0,FALSE), IFERROR(VLOOKUP($A5,'Telstra ExDa'!$B$2:$K$310, 7,FALSE), IFERROR(VLOOKUP($A5,'Vocus RVC ExDa'!$C$2:$R$155, 2,FALSE), IFERROR(VLOOKUP($A5,'Fusion ExDa'!$B$2:$D$16, 3,FALSE), IFERROR(VLOOKUP($A5,'Exetel ExDa'!$C$2:$N$14, 0,FALSE), IFERROR(VLOOKUP($A5,'Infinet ExDa'!$B$2:$E$14, 0,FALSE), "Not Found"))))))))</f>
        <v>AVC000161725867</v>
      </c>
      <c r="K5" t="str">
        <f>IFERROR(VLOOKUP($A5,'AAPT ExDa'!$B$2:$U$99, 12,FALSE), IFERROR(VLOOKUP($A5,'ABB ExDa'!$A$2:$N$184, 0,FALSE), IFERROR(VLOOKUP($A5,'Vocus SIT ExDa'!$B$2:$J$173, 0,FALSE), IFERROR(VLOOKUP($A5,'Telstra ExDa'!$B$2:$K$310, 0,FALSE), IFERROR(VLOOKUP($A5,'Vocus RVC ExDa'!$C$2:$R$155, 0,FALSE), IFERROR(VLOOKUP($A5,'Fusion ExDa'!$B$2:$D$16, 0,FALSE), IFERROR(VLOOKUP($A5,'Exetel ExDa'!$C$2:$N$14, 12,FALSE), IFERROR(VLOOKUP($A5,'Infinet ExDa'!$B$2:$E$14, 0,FALSE), "Not Found"))))))))</f>
        <v>24 Months</v>
      </c>
      <c r="L5" s="235">
        <f>IFERROR(VLOOKUP($A5,'AAPT ExDa'!$B$2:$U$99, 11,FALSE), IFERROR(VLOOKUP($A5,'ABB ExDa'!$A$2:$N$184, 9,FALSE), IFERROR(VLOOKUP($A5,'Vocus SIT ExDa'!$B$2:$J$173, 8,FALSE), IFERROR(VLOOKUP($A5,'Telstra ExDa'!$B$2:$K$310, 0,FALSE), IFERROR(VLOOKUP($A5,'Vocus RVC ExDa'!$C$2:$R$155, 0,FALSE), IFERROR(VLOOKUP($A5,'Fusion ExDa'!$B$2:$D$16, 0,FALSE), IFERROR(VLOOKUP($A5,'Exetel ExDa'!$C$2:$N$14, 9,FALSE), IFERROR(VLOOKUP($A5,'Infinet ExDa'!$B$2:$E$14, 0,FALSE), "Not Found"))))))))</f>
        <v>45047</v>
      </c>
      <c r="M5" s="234" t="str">
        <f>IFERROR(VLOOKUP($A5,'AAPT ExDa'!$B$2:$U$99, 0,FALSE), IFERROR(VLOOKUP($A5,'ABB ExDa'!$A$2:$N$184, 0,FALSE), IFERROR(VLOOKUP($A5,'Vocus SIT ExDa'!$B$2:$J$173, 0,FALSE), IFERROR(VLOOKUP($A5,'Telstra ExDa'!$B$2:$K$310, 0,FALSE), IFERROR(VLOOKUP($A5,'Vocus RVC ExDa'!$C$2:$R$155, 0,FALSE), IFERROR(VLOOKUP($A5,'Fusion ExDa'!$B$2:$D$16, 0,FALSE), IFERROR(VLOOKUP($A5,'Exetel ExDa'!$C$2:$N$14, 11,FALSE), IFERROR(VLOOKUP($A5,'Infinet ExDa'!$B$2:$E$14, 0,FALSE), "Not Found"))))))))</f>
        <v>Not Found</v>
      </c>
      <c r="N5" t="str">
        <f>IFERROR(VLOOKUP($A5,'AAPT ExDa'!$B$2:$U$99, 0,FALSE), IFERROR(VLOOKUP($A5,'ABB ExDa'!$A$2:$N$184, 13,FALSE), IFERROR(VLOOKUP($A5,'Vocus SIT ExDa'!$B$2:$J$173, 0,FALSE), IFERROR(VLOOKUP($A5,'Telstra ExDa'!$B$2:$K$310, 0,FALSE), IFERROR(VLOOKUP($A5,'Vocus RVC ExDa'!$C$2:$R$155, 0,FALSE), IFERROR(VLOOKUP($A5,'Fusion ExDa'!$B$2:$D$16, 0,FALSE), IFERROR(VLOOKUP($A5,'Exetel ExDa'!$C$2:$N$14, 0,FALSE), IFERROR(VLOOKUP($A5,'Infinet ExDa'!$B$2:$E$14, 0,FALSE), "Not Found"))))))))</f>
        <v>Not Found</v>
      </c>
    </row>
    <row r="6" spans="1:14">
      <c r="A6" t="str">
        <v>Auriga Group</v>
      </c>
      <c r="B6" t="str">
        <f>IFERROR(VLOOKUP(A6,'Exetel ExDa'!$C$2:$N$14,4,FALSE),"No Data")</f>
        <v>No Data</v>
      </c>
      <c r="C6" t="str">
        <f>IFERROR(VLOOKUP(A6,'AAPT ExDa'!$B$2:$U$99, 2,FALSE), IFERROR(VLOOKUP(A6,'ABB ExDa'!$A$2:$N$184, 2,FALSE), IFERROR(VLOOKUP(A6,'Vocus SIT ExDa'!$B$2:$J$173, 7,FALSE), IFERROR(VLOOKUP(A6,'Telstra ExDa'!$B$2:$K$310, 2,FALSE), IFERROR(VLOOKUP(A6,'Vocus RVC ExDa'!$C$2:$R$155, 3,FALSE), IFERROR(VLOOKUP(A6,'Fusion ExDa'!$B$2:$D$16, 2,FALSE), IFERROR(VLOOKUP(A6,'Exetel ExDa'!$C$2:$N$14, 2,FALSE), IFERROR(VLOOKUP(A6,'Infinet ExDa'!$B$2:$E$14, 2,FALSE), "Not Found"))))))))</f>
        <v>Albion</v>
      </c>
      <c r="D6" t="str">
        <f>IFERROR(VLOOKUP($A6,'AAPT ExDa'!$B$2:$U$99, 15,FALSE), IFERROR(VLOOKUP($A6,'ABB ExDa'!$A$2:$N$184, 4,FALSE), IFERROR(VLOOKUP($A6,'Vocus SIT ExDa'!$B$2:$J$173, 5,FALSE), IFERROR(VLOOKUP($A6,'Telstra ExDa'!$B$2:$K$310, 8,FALSE), IFERROR(VLOOKUP($A6,'Vocus RVC ExDa'!$C$2:$R$155, 6,FALSE), IFERROR(VLOOKUP($A6,'Fusion ExDa'!$B$2:$D$16, 4,FALSE), IFERROR(VLOOKUP($A6,'Exetel ExDa'!$C$2:$N$14, 3,FALSE), IFERROR(VLOOKUP($A6,'Infinet ExDa'!$B$2:$E$14, 3,FALSE), "Not Found"))))))))</f>
        <v>AAPT</v>
      </c>
      <c r="E6" t="str">
        <f>IFERROR(VLOOKUP($A6,'AAPT ExDa'!$B$2:$U$99, 3,FALSE), IFERROR(VLOOKUP($A6,'ABB ExDa'!$A$2:$N$184, 5,FALSE), IFERROR(VLOOKUP($A6,'Vocus SIT ExDa'!$B$2:$J$173, 2,FALSE), IFERROR(VLOOKUP($A6,'Telstra ExDa'!$B$2:$K$310, 4,FALSE), IFERROR(VLOOKUP($A6,'Vocus RVC ExDa'!$C$2:$R$155, 8,FALSE), IFERROR(VLOOKUP($A6,'Fusion ExDa'!$B$2:$D$16, 4,FALSE), IFERROR(VLOOKUP($A6,'Exetel ExDa'!$C$2:$N$14, 5,FALSE), IFERROR(VLOOKUP($A6,'Infinet ExDa'!$B$2:$E$14, 3,FALSE), "Not Found"))))))))</f>
        <v>FAST Fibre</v>
      </c>
      <c r="F6" t="str">
        <f>IFERROR(VLOOKUP($A6,'AAPT ExDa'!$B$2:$U$99, 4,FALSE), IFERROR(VLOOKUP($A6,'ABB ExDa'!$A$2:$N$184, 6,FALSE), IFERROR(VLOOKUP($A6,'Vocus SIT ExDa'!$B$2:$J$173, 3,FALSE), IFERROR(VLOOKUP($A6,'Telstra ExDa'!$B$2:$K$310, 5,FALSE), IFERROR(VLOOKUP($A6,'Vocus RVC ExDa'!$C$2:$R$155, 9,FALSE), IFERROR(VLOOKUP($A6,'Fusion ExDa'!$B$2:$D$16, 0,FALSE), IFERROR(VLOOKUP($A6,'Exetel ExDa'!$C$2:$N$14, 6,FALSE), IFERROR(VLOOKUP($A6,'Infinet ExDa'!$B$2:$E$14, 0,FALSE), "Not Found"))))))))</f>
        <v>FAST Fibre (NTU)</v>
      </c>
      <c r="G6">
        <f>IFERROR(VLOOKUP($A6,'AAPT ExDa'!$B$2:$U$99, 5,FALSE), IFERROR(VLOOKUP($A6,'ABB ExDa'!$A$2:$N$184, 8,FALSE), IFERROR(VLOOKUP($A6,'Vocus SIT ExDa'!$B$2:$J$173, 6,FALSE), IFERROR(VLOOKUP($A6,'Telstra ExDa'!$B$2:$K$310, 0,FALSE), IFERROR(VLOOKUP($A6,'Vocus RVC ExDa'!$C$2:$R$155, 15,FALSE), IFERROR(VLOOKUP($A6,'Fusion ExDa'!$B$2:$D$16, 0,FALSE), IFERROR(VLOOKUP($A6,'Exetel ExDa'!$C$2:$N$14, 7,FALSE), IFERROR(VLOOKUP($A6,'Infinet ExDa'!$B$2:$E$14, 0,FALSE), "Not Found"))))))))</f>
        <v>0</v>
      </c>
      <c r="H6" t="str">
        <f>IFERROR(VLOOKUP($A6,'AAPT ExDa'!$B$2:$U$99, 6,FALSE), IFERROR(VLOOKUP($A6,'ABB ExDa'!$A$2:$N$184, 0,FALSE), IFERROR(VLOOKUP($A6,'Vocus SIT ExDa'!$B$2:$J$173, 0,FALSE), IFERROR(VLOOKUP($A6,'Telstra ExDa'!$B$2:$K$310, 0,FALSE), IFERROR(VLOOKUP($A6,'Vocus RVC ExDa'!$C$2:$R$155, 16,FALSE), IFERROR(VLOOKUP($A6,'Fusion ExDa'!$B$2:$D$16, 0,FALSE), IFERROR(VLOOKUP($A6,'Exetel ExDa'!$C$2:$N$14, 0,FALSE), IFERROR(VLOOKUP($A6,'Infinet ExDa'!$B$2:$E$14, 0,FALSE), "Not Found"))))))))</f>
        <v>400 Mbps; 36 Months</v>
      </c>
      <c r="I6" t="str">
        <f>IFERROR(VLOOKUP($A6,'AAPT ExDa'!$B$2:$U$99, 0,FALSE), IFERROR(VLOOKUP($A6,'ABB ExDa'!$A$2:$N$184, 0,FALSE), IFERROR(VLOOKUP($A6,'Vocus SIT ExDa'!$B$2:$J$173, 0,FALSE), IFERROR(VLOOKUP($A6,'Telstra ExDa'!$B$2:$K$310, 0,FALSE), IFERROR(VLOOKUP($A6,'Vocus RVC ExDa'!$C$2:$R$155, 0,FALSE), IFERROR(VLOOKUP($A6,'Fusion ExDa'!$B$2:$D$16, 0,FALSE), IFERROR(VLOOKUP($A6,'Exetel ExDa'!$C$2:$N$14, 8,FALSE), IFERROR(VLOOKUP($A6,'Infinet ExDa'!$B$2:$E$14, 0,FALSE), "Not Found"))))))))</f>
        <v>Not Found</v>
      </c>
      <c r="J6">
        <f>IFERROR(VLOOKUP($A6,'AAPT ExDa'!$B$2:$U$99, 7,FALSE), IFERROR(VLOOKUP($A6,'ABB ExDa'!$A$2:$N$184, 2,FALSE), IFERROR(VLOOKUP($A6,'Vocus SIT ExDa'!$B$2:$J$173, 0,FALSE), IFERROR(VLOOKUP($A6,'Telstra ExDa'!$B$2:$K$310, 7,FALSE), IFERROR(VLOOKUP($A6,'Vocus RVC ExDa'!$C$2:$R$155, 2,FALSE), IFERROR(VLOOKUP($A6,'Fusion ExDa'!$B$2:$D$16, 3,FALSE), IFERROR(VLOOKUP($A6,'Exetel ExDa'!$C$2:$N$14, 0,FALSE), IFERROR(VLOOKUP($A6,'Infinet ExDa'!$B$2:$E$14, 0,FALSE), "Not Found"))))))))</f>
        <v>0</v>
      </c>
      <c r="K6" t="str">
        <f>IFERROR(VLOOKUP($A6,'AAPT ExDa'!$B$2:$U$99, 12,FALSE), IFERROR(VLOOKUP($A6,'ABB ExDa'!$A$2:$N$184, 0,FALSE), IFERROR(VLOOKUP($A6,'Vocus SIT ExDa'!$B$2:$J$173, 0,FALSE), IFERROR(VLOOKUP($A6,'Telstra ExDa'!$B$2:$K$310, 0,FALSE), IFERROR(VLOOKUP($A6,'Vocus RVC ExDa'!$C$2:$R$155, 0,FALSE), IFERROR(VLOOKUP($A6,'Fusion ExDa'!$B$2:$D$16, 0,FALSE), IFERROR(VLOOKUP($A6,'Exetel ExDa'!$C$2:$N$14, 12,FALSE), IFERROR(VLOOKUP($A6,'Infinet ExDa'!$B$2:$E$14, 0,FALSE), "Not Found"))))))))</f>
        <v>36 Months</v>
      </c>
      <c r="L6" s="235" t="str">
        <f>IFERROR(VLOOKUP($A6,'AAPT ExDa'!$B$2:$U$99, 11,FALSE), IFERROR(VLOOKUP($A6,'ABB ExDa'!$A$2:$N$184, 9,FALSE), IFERROR(VLOOKUP($A6,'Vocus SIT ExDa'!$B$2:$J$173, 8,FALSE), IFERROR(VLOOKUP($A6,'Telstra ExDa'!$B$2:$K$310, 0,FALSE), IFERROR(VLOOKUP($A6,'Vocus RVC ExDa'!$C$2:$R$155, 0,FALSE), IFERROR(VLOOKUP($A6,'Fusion ExDa'!$B$2:$D$16, 0,FALSE), IFERROR(VLOOKUP($A6,'Exetel ExDa'!$C$2:$N$14, 9,FALSE), IFERROR(VLOOKUP($A6,'Infinet ExDa'!$B$2:$E$14, 0,FALSE), "Not Found"))))))))</f>
        <v>15/04/2022</v>
      </c>
      <c r="M6" s="234" t="str">
        <f>IFERROR(VLOOKUP($A6,'AAPT ExDa'!$B$2:$U$99, 0,FALSE), IFERROR(VLOOKUP($A6,'ABB ExDa'!$A$2:$N$184, 0,FALSE), IFERROR(VLOOKUP($A6,'Vocus SIT ExDa'!$B$2:$J$173, 0,FALSE), IFERROR(VLOOKUP($A6,'Telstra ExDa'!$B$2:$K$310, 0,FALSE), IFERROR(VLOOKUP($A6,'Vocus RVC ExDa'!$C$2:$R$155, 0,FALSE), IFERROR(VLOOKUP($A6,'Fusion ExDa'!$B$2:$D$16, 0,FALSE), IFERROR(VLOOKUP($A6,'Exetel ExDa'!$C$2:$N$14, 11,FALSE), IFERROR(VLOOKUP($A6,'Infinet ExDa'!$B$2:$E$14, 0,FALSE), "Not Found"))))))))</f>
        <v>Not Found</v>
      </c>
      <c r="N6" t="str">
        <f>IFERROR(VLOOKUP($A6,'AAPT ExDa'!$B$2:$U$99, 0,FALSE), IFERROR(VLOOKUP($A6,'ABB ExDa'!$A$2:$N$184, 13,FALSE), IFERROR(VLOOKUP($A6,'Vocus SIT ExDa'!$B$2:$J$173, 0,FALSE), IFERROR(VLOOKUP($A6,'Telstra ExDa'!$B$2:$K$310, 0,FALSE), IFERROR(VLOOKUP($A6,'Vocus RVC ExDa'!$C$2:$R$155, 0,FALSE), IFERROR(VLOOKUP($A6,'Fusion ExDa'!$B$2:$D$16, 0,FALSE), IFERROR(VLOOKUP($A6,'Exetel ExDa'!$C$2:$N$14, 0,FALSE), IFERROR(VLOOKUP($A6,'Infinet ExDa'!$B$2:$E$14, 0,FALSE), "Not Found"))))))))</f>
        <v>Not Found</v>
      </c>
    </row>
    <row r="7" spans="1:14">
      <c r="A7" t="str">
        <v>Auriga Group</v>
      </c>
      <c r="B7" t="str">
        <f>IFERROR(VLOOKUP(A7,'Exetel ExDa'!$C$2:$N$14,4,FALSE),"No Data")</f>
        <v>No Data</v>
      </c>
      <c r="C7" t="str">
        <f>IFERROR(VLOOKUP(A7,'AAPT ExDa'!$B$2:$U$99, 2,FALSE), IFERROR(VLOOKUP(A7,'ABB ExDa'!$A$2:$N$184, 2,FALSE), IFERROR(VLOOKUP(A7,'Vocus SIT ExDa'!$B$2:$J$173, 7,FALSE), IFERROR(VLOOKUP(A7,'Telstra ExDa'!$B$2:$K$310, 2,FALSE), IFERROR(VLOOKUP(A7,'Vocus RVC ExDa'!$C$2:$R$155, 3,FALSE), IFERROR(VLOOKUP(A7,'Fusion ExDa'!$B$2:$D$16, 2,FALSE), IFERROR(VLOOKUP(A7,'Exetel ExDa'!$C$2:$N$14, 2,FALSE), IFERROR(VLOOKUP(A7,'Infinet ExDa'!$B$2:$E$14, 2,FALSE), "Not Found"))))))))</f>
        <v>Albion</v>
      </c>
      <c r="D7" t="str">
        <f>IFERROR(VLOOKUP($A7,'AAPT ExDa'!$B$2:$U$99, 15,FALSE), IFERROR(VLOOKUP($A7,'ABB ExDa'!$A$2:$N$184, 4,FALSE), IFERROR(VLOOKUP($A7,'Vocus SIT ExDa'!$B$2:$J$173, 5,FALSE), IFERROR(VLOOKUP($A7,'Telstra ExDa'!$B$2:$K$310, 8,FALSE), IFERROR(VLOOKUP($A7,'Vocus RVC ExDa'!$C$2:$R$155, 6,FALSE), IFERROR(VLOOKUP($A7,'Fusion ExDa'!$B$2:$D$16, 4,FALSE), IFERROR(VLOOKUP($A7,'Exetel ExDa'!$C$2:$N$14, 3,FALSE), IFERROR(VLOOKUP($A7,'Infinet ExDa'!$B$2:$E$14, 3,FALSE), "Not Found"))))))))</f>
        <v>AAPT</v>
      </c>
      <c r="E7" t="str">
        <f>IFERROR(VLOOKUP($A7,'AAPT ExDa'!$B$2:$U$99, 3,FALSE), IFERROR(VLOOKUP($A7,'ABB ExDa'!$A$2:$N$184, 5,FALSE), IFERROR(VLOOKUP($A7,'Vocus SIT ExDa'!$B$2:$J$173, 2,FALSE), IFERROR(VLOOKUP($A7,'Telstra ExDa'!$B$2:$K$310, 4,FALSE), IFERROR(VLOOKUP($A7,'Vocus RVC ExDa'!$C$2:$R$155, 8,FALSE), IFERROR(VLOOKUP($A7,'Fusion ExDa'!$B$2:$D$16, 4,FALSE), IFERROR(VLOOKUP($A7,'Exetel ExDa'!$C$2:$N$14, 5,FALSE), IFERROR(VLOOKUP($A7,'Infinet ExDa'!$B$2:$E$14, 3,FALSE), "Not Found"))))))))</f>
        <v>FAST Fibre</v>
      </c>
      <c r="F7" t="str">
        <f>IFERROR(VLOOKUP($A7,'AAPT ExDa'!$B$2:$U$99, 4,FALSE), IFERROR(VLOOKUP($A7,'ABB ExDa'!$A$2:$N$184, 6,FALSE), IFERROR(VLOOKUP($A7,'Vocus SIT ExDa'!$B$2:$J$173, 3,FALSE), IFERROR(VLOOKUP($A7,'Telstra ExDa'!$B$2:$K$310, 5,FALSE), IFERROR(VLOOKUP($A7,'Vocus RVC ExDa'!$C$2:$R$155, 9,FALSE), IFERROR(VLOOKUP($A7,'Fusion ExDa'!$B$2:$D$16, 0,FALSE), IFERROR(VLOOKUP($A7,'Exetel ExDa'!$C$2:$N$14, 6,FALSE), IFERROR(VLOOKUP($A7,'Infinet ExDa'!$B$2:$E$14, 0,FALSE), "Not Found"))))))))</f>
        <v>FAST Fibre (NTU)</v>
      </c>
      <c r="G7">
        <f>IFERROR(VLOOKUP($A7,'AAPT ExDa'!$B$2:$U$99, 5,FALSE), IFERROR(VLOOKUP($A7,'ABB ExDa'!$A$2:$N$184, 8,FALSE), IFERROR(VLOOKUP($A7,'Vocus SIT ExDa'!$B$2:$J$173, 6,FALSE), IFERROR(VLOOKUP($A7,'Telstra ExDa'!$B$2:$K$310, 0,FALSE), IFERROR(VLOOKUP($A7,'Vocus RVC ExDa'!$C$2:$R$155, 15,FALSE), IFERROR(VLOOKUP($A7,'Fusion ExDa'!$B$2:$D$16, 0,FALSE), IFERROR(VLOOKUP($A7,'Exetel ExDa'!$C$2:$N$14, 7,FALSE), IFERROR(VLOOKUP($A7,'Infinet ExDa'!$B$2:$E$14, 0,FALSE), "Not Found"))))))))</f>
        <v>0</v>
      </c>
      <c r="H7" t="str">
        <f>IFERROR(VLOOKUP($A7,'AAPT ExDa'!$B$2:$U$99, 6,FALSE), IFERROR(VLOOKUP($A7,'ABB ExDa'!$A$2:$N$184, 0,FALSE), IFERROR(VLOOKUP($A7,'Vocus SIT ExDa'!$B$2:$J$173, 0,FALSE), IFERROR(VLOOKUP($A7,'Telstra ExDa'!$B$2:$K$310, 0,FALSE), IFERROR(VLOOKUP($A7,'Vocus RVC ExDa'!$C$2:$R$155, 16,FALSE), IFERROR(VLOOKUP($A7,'Fusion ExDa'!$B$2:$D$16, 0,FALSE), IFERROR(VLOOKUP($A7,'Exetel ExDa'!$C$2:$N$14, 0,FALSE), IFERROR(VLOOKUP($A7,'Infinet ExDa'!$B$2:$E$14, 0,FALSE), "Not Found"))))))))</f>
        <v>400 Mbps; 36 Months</v>
      </c>
      <c r="I7" t="str">
        <f>IFERROR(VLOOKUP($A7,'AAPT ExDa'!$B$2:$U$99, 0,FALSE), IFERROR(VLOOKUP($A7,'ABB ExDa'!$A$2:$N$184, 0,FALSE), IFERROR(VLOOKUP($A7,'Vocus SIT ExDa'!$B$2:$J$173, 0,FALSE), IFERROR(VLOOKUP($A7,'Telstra ExDa'!$B$2:$K$310, 0,FALSE), IFERROR(VLOOKUP($A7,'Vocus RVC ExDa'!$C$2:$R$155, 0,FALSE), IFERROR(VLOOKUP($A7,'Fusion ExDa'!$B$2:$D$16, 0,FALSE), IFERROR(VLOOKUP($A7,'Exetel ExDa'!$C$2:$N$14, 8,FALSE), IFERROR(VLOOKUP($A7,'Infinet ExDa'!$B$2:$E$14, 0,FALSE), "Not Found"))))))))</f>
        <v>Not Found</v>
      </c>
      <c r="J7">
        <f>IFERROR(VLOOKUP($A7,'AAPT ExDa'!$B$2:$U$99, 7,FALSE), IFERROR(VLOOKUP($A7,'ABB ExDa'!$A$2:$N$184, 2,FALSE), IFERROR(VLOOKUP($A7,'Vocus SIT ExDa'!$B$2:$J$173, 0,FALSE), IFERROR(VLOOKUP($A7,'Telstra ExDa'!$B$2:$K$310, 7,FALSE), IFERROR(VLOOKUP($A7,'Vocus RVC ExDa'!$C$2:$R$155, 2,FALSE), IFERROR(VLOOKUP($A7,'Fusion ExDa'!$B$2:$D$16, 3,FALSE), IFERROR(VLOOKUP($A7,'Exetel ExDa'!$C$2:$N$14, 0,FALSE), IFERROR(VLOOKUP($A7,'Infinet ExDa'!$B$2:$E$14, 0,FALSE), "Not Found"))))))))</f>
        <v>0</v>
      </c>
      <c r="K7" t="str">
        <f>IFERROR(VLOOKUP($A7,'AAPT ExDa'!$B$2:$U$99, 12,FALSE), IFERROR(VLOOKUP($A7,'ABB ExDa'!$A$2:$N$184, 0,FALSE), IFERROR(VLOOKUP($A7,'Vocus SIT ExDa'!$B$2:$J$173, 0,FALSE), IFERROR(VLOOKUP($A7,'Telstra ExDa'!$B$2:$K$310, 0,FALSE), IFERROR(VLOOKUP($A7,'Vocus RVC ExDa'!$C$2:$R$155, 0,FALSE), IFERROR(VLOOKUP($A7,'Fusion ExDa'!$B$2:$D$16, 0,FALSE), IFERROR(VLOOKUP($A7,'Exetel ExDa'!$C$2:$N$14, 12,FALSE), IFERROR(VLOOKUP($A7,'Infinet ExDa'!$B$2:$E$14, 0,FALSE), "Not Found"))))))))</f>
        <v>36 Months</v>
      </c>
      <c r="L7" s="235" t="str">
        <f>IFERROR(VLOOKUP($A7,'AAPT ExDa'!$B$2:$U$99, 11,FALSE), IFERROR(VLOOKUP($A7,'ABB ExDa'!$A$2:$N$184, 9,FALSE), IFERROR(VLOOKUP($A7,'Vocus SIT ExDa'!$B$2:$J$173, 8,FALSE), IFERROR(VLOOKUP($A7,'Telstra ExDa'!$B$2:$K$310, 0,FALSE), IFERROR(VLOOKUP($A7,'Vocus RVC ExDa'!$C$2:$R$155, 0,FALSE), IFERROR(VLOOKUP($A7,'Fusion ExDa'!$B$2:$D$16, 0,FALSE), IFERROR(VLOOKUP($A7,'Exetel ExDa'!$C$2:$N$14, 9,FALSE), IFERROR(VLOOKUP($A7,'Infinet ExDa'!$B$2:$E$14, 0,FALSE), "Not Found"))))))))</f>
        <v>15/04/2022</v>
      </c>
      <c r="M7" s="234" t="str">
        <f>IFERROR(VLOOKUP($A7,'AAPT ExDa'!$B$2:$U$99, 0,FALSE), IFERROR(VLOOKUP($A7,'ABB ExDa'!$A$2:$N$184, 0,FALSE), IFERROR(VLOOKUP($A7,'Vocus SIT ExDa'!$B$2:$J$173, 0,FALSE), IFERROR(VLOOKUP($A7,'Telstra ExDa'!$B$2:$K$310, 0,FALSE), IFERROR(VLOOKUP($A7,'Vocus RVC ExDa'!$C$2:$R$155, 0,FALSE), IFERROR(VLOOKUP($A7,'Fusion ExDa'!$B$2:$D$16, 0,FALSE), IFERROR(VLOOKUP($A7,'Exetel ExDa'!$C$2:$N$14, 11,FALSE), IFERROR(VLOOKUP($A7,'Infinet ExDa'!$B$2:$E$14, 0,FALSE), "Not Found"))))))))</f>
        <v>Not Found</v>
      </c>
      <c r="N7" t="str">
        <f>IFERROR(VLOOKUP($A7,'AAPT ExDa'!$B$2:$U$99, 0,FALSE), IFERROR(VLOOKUP($A7,'ABB ExDa'!$A$2:$N$184, 13,FALSE), IFERROR(VLOOKUP($A7,'Vocus SIT ExDa'!$B$2:$J$173, 0,FALSE), IFERROR(VLOOKUP($A7,'Telstra ExDa'!$B$2:$K$310, 0,FALSE), IFERROR(VLOOKUP($A7,'Vocus RVC ExDa'!$C$2:$R$155, 0,FALSE), IFERROR(VLOOKUP($A7,'Fusion ExDa'!$B$2:$D$16, 0,FALSE), IFERROR(VLOOKUP($A7,'Exetel ExDa'!$C$2:$N$14, 0,FALSE), IFERROR(VLOOKUP($A7,'Infinet ExDa'!$B$2:$E$14, 0,FALSE), "Not Found"))))))))</f>
        <v>Not Found</v>
      </c>
    </row>
    <row r="8" spans="1:14">
      <c r="A8" t="str">
        <v>Auriga Group</v>
      </c>
      <c r="B8" t="str">
        <f>IFERROR(VLOOKUP(A8,'Exetel ExDa'!$C$2:$N$14,4,FALSE),"No Data")</f>
        <v>No Data</v>
      </c>
      <c r="C8" t="str">
        <f>IFERROR(VLOOKUP(A8,'AAPT ExDa'!$B$2:$U$99, 2,FALSE), IFERROR(VLOOKUP(A8,'ABB ExDa'!$A$2:$N$184, 2,FALSE), IFERROR(VLOOKUP(A8,'Vocus SIT ExDa'!$B$2:$J$173, 7,FALSE), IFERROR(VLOOKUP(A8,'Telstra ExDa'!$B$2:$K$310, 2,FALSE), IFERROR(VLOOKUP(A8,'Vocus RVC ExDa'!$C$2:$R$155, 3,FALSE), IFERROR(VLOOKUP(A8,'Fusion ExDa'!$B$2:$D$16, 2,FALSE), IFERROR(VLOOKUP(A8,'Exetel ExDa'!$C$2:$N$14, 2,FALSE), IFERROR(VLOOKUP(A8,'Infinet ExDa'!$B$2:$E$14, 2,FALSE), "Not Found"))))))))</f>
        <v>Albion</v>
      </c>
      <c r="D8" t="str">
        <f>IFERROR(VLOOKUP($A8,'AAPT ExDa'!$B$2:$U$99, 15,FALSE), IFERROR(VLOOKUP($A8,'ABB ExDa'!$A$2:$N$184, 4,FALSE), IFERROR(VLOOKUP($A8,'Vocus SIT ExDa'!$B$2:$J$173, 5,FALSE), IFERROR(VLOOKUP($A8,'Telstra ExDa'!$B$2:$K$310, 8,FALSE), IFERROR(VLOOKUP($A8,'Vocus RVC ExDa'!$C$2:$R$155, 6,FALSE), IFERROR(VLOOKUP($A8,'Fusion ExDa'!$B$2:$D$16, 4,FALSE), IFERROR(VLOOKUP($A8,'Exetel ExDa'!$C$2:$N$14, 3,FALSE), IFERROR(VLOOKUP($A8,'Infinet ExDa'!$B$2:$E$14, 3,FALSE), "Not Found"))))))))</f>
        <v>AAPT</v>
      </c>
      <c r="E8" t="str">
        <f>IFERROR(VLOOKUP($A8,'AAPT ExDa'!$B$2:$U$99, 3,FALSE), IFERROR(VLOOKUP($A8,'ABB ExDa'!$A$2:$N$184, 5,FALSE), IFERROR(VLOOKUP($A8,'Vocus SIT ExDa'!$B$2:$J$173, 2,FALSE), IFERROR(VLOOKUP($A8,'Telstra ExDa'!$B$2:$K$310, 4,FALSE), IFERROR(VLOOKUP($A8,'Vocus RVC ExDa'!$C$2:$R$155, 8,FALSE), IFERROR(VLOOKUP($A8,'Fusion ExDa'!$B$2:$D$16, 4,FALSE), IFERROR(VLOOKUP($A8,'Exetel ExDa'!$C$2:$N$14, 5,FALSE), IFERROR(VLOOKUP($A8,'Infinet ExDa'!$B$2:$E$14, 3,FALSE), "Not Found"))))))))</f>
        <v>FAST Fibre</v>
      </c>
      <c r="F8" t="str">
        <f>IFERROR(VLOOKUP($A8,'AAPT ExDa'!$B$2:$U$99, 4,FALSE), IFERROR(VLOOKUP($A8,'ABB ExDa'!$A$2:$N$184, 6,FALSE), IFERROR(VLOOKUP($A8,'Vocus SIT ExDa'!$B$2:$J$173, 3,FALSE), IFERROR(VLOOKUP($A8,'Telstra ExDa'!$B$2:$K$310, 5,FALSE), IFERROR(VLOOKUP($A8,'Vocus RVC ExDa'!$C$2:$R$155, 9,FALSE), IFERROR(VLOOKUP($A8,'Fusion ExDa'!$B$2:$D$16, 0,FALSE), IFERROR(VLOOKUP($A8,'Exetel ExDa'!$C$2:$N$14, 6,FALSE), IFERROR(VLOOKUP($A8,'Infinet ExDa'!$B$2:$E$14, 0,FALSE), "Not Found"))))))))</f>
        <v>FAST Fibre (NTU)</v>
      </c>
      <c r="G8">
        <f>IFERROR(VLOOKUP($A8,'AAPT ExDa'!$B$2:$U$99, 5,FALSE), IFERROR(VLOOKUP($A8,'ABB ExDa'!$A$2:$N$184, 8,FALSE), IFERROR(VLOOKUP($A8,'Vocus SIT ExDa'!$B$2:$J$173, 6,FALSE), IFERROR(VLOOKUP($A8,'Telstra ExDa'!$B$2:$K$310, 0,FALSE), IFERROR(VLOOKUP($A8,'Vocus RVC ExDa'!$C$2:$R$155, 15,FALSE), IFERROR(VLOOKUP($A8,'Fusion ExDa'!$B$2:$D$16, 0,FALSE), IFERROR(VLOOKUP($A8,'Exetel ExDa'!$C$2:$N$14, 7,FALSE), IFERROR(VLOOKUP($A8,'Infinet ExDa'!$B$2:$E$14, 0,FALSE), "Not Found"))))))))</f>
        <v>0</v>
      </c>
      <c r="H8" t="str">
        <f>IFERROR(VLOOKUP($A8,'AAPT ExDa'!$B$2:$U$99, 6,FALSE), IFERROR(VLOOKUP($A8,'ABB ExDa'!$A$2:$N$184, 0,FALSE), IFERROR(VLOOKUP($A8,'Vocus SIT ExDa'!$B$2:$J$173, 0,FALSE), IFERROR(VLOOKUP($A8,'Telstra ExDa'!$B$2:$K$310, 0,FALSE), IFERROR(VLOOKUP($A8,'Vocus RVC ExDa'!$C$2:$R$155, 16,FALSE), IFERROR(VLOOKUP($A8,'Fusion ExDa'!$B$2:$D$16, 0,FALSE), IFERROR(VLOOKUP($A8,'Exetel ExDa'!$C$2:$N$14, 0,FALSE), IFERROR(VLOOKUP($A8,'Infinet ExDa'!$B$2:$E$14, 0,FALSE), "Not Found"))))))))</f>
        <v>400 Mbps; 36 Months</v>
      </c>
      <c r="I8" t="str">
        <f>IFERROR(VLOOKUP($A8,'AAPT ExDa'!$B$2:$U$99, 0,FALSE), IFERROR(VLOOKUP($A8,'ABB ExDa'!$A$2:$N$184, 0,FALSE), IFERROR(VLOOKUP($A8,'Vocus SIT ExDa'!$B$2:$J$173, 0,FALSE), IFERROR(VLOOKUP($A8,'Telstra ExDa'!$B$2:$K$310, 0,FALSE), IFERROR(VLOOKUP($A8,'Vocus RVC ExDa'!$C$2:$R$155, 0,FALSE), IFERROR(VLOOKUP($A8,'Fusion ExDa'!$B$2:$D$16, 0,FALSE), IFERROR(VLOOKUP($A8,'Exetel ExDa'!$C$2:$N$14, 8,FALSE), IFERROR(VLOOKUP($A8,'Infinet ExDa'!$B$2:$E$14, 0,FALSE), "Not Found"))))))))</f>
        <v>Not Found</v>
      </c>
      <c r="J8">
        <f>IFERROR(VLOOKUP($A8,'AAPT ExDa'!$B$2:$U$99, 7,FALSE), IFERROR(VLOOKUP($A8,'ABB ExDa'!$A$2:$N$184, 2,FALSE), IFERROR(VLOOKUP($A8,'Vocus SIT ExDa'!$B$2:$J$173, 0,FALSE), IFERROR(VLOOKUP($A8,'Telstra ExDa'!$B$2:$K$310, 7,FALSE), IFERROR(VLOOKUP($A8,'Vocus RVC ExDa'!$C$2:$R$155, 2,FALSE), IFERROR(VLOOKUP($A8,'Fusion ExDa'!$B$2:$D$16, 3,FALSE), IFERROR(VLOOKUP($A8,'Exetel ExDa'!$C$2:$N$14, 0,FALSE), IFERROR(VLOOKUP($A8,'Infinet ExDa'!$B$2:$E$14, 0,FALSE), "Not Found"))))))))</f>
        <v>0</v>
      </c>
      <c r="K8" t="str">
        <f>IFERROR(VLOOKUP($A8,'AAPT ExDa'!$B$2:$U$99, 12,FALSE), IFERROR(VLOOKUP($A8,'ABB ExDa'!$A$2:$N$184, 0,FALSE), IFERROR(VLOOKUP($A8,'Vocus SIT ExDa'!$B$2:$J$173, 0,FALSE), IFERROR(VLOOKUP($A8,'Telstra ExDa'!$B$2:$K$310, 0,FALSE), IFERROR(VLOOKUP($A8,'Vocus RVC ExDa'!$C$2:$R$155, 0,FALSE), IFERROR(VLOOKUP($A8,'Fusion ExDa'!$B$2:$D$16, 0,FALSE), IFERROR(VLOOKUP($A8,'Exetel ExDa'!$C$2:$N$14, 12,FALSE), IFERROR(VLOOKUP($A8,'Infinet ExDa'!$B$2:$E$14, 0,FALSE), "Not Found"))))))))</f>
        <v>36 Months</v>
      </c>
      <c r="L8" s="235" t="str">
        <f>IFERROR(VLOOKUP($A8,'AAPT ExDa'!$B$2:$U$99, 11,FALSE), IFERROR(VLOOKUP($A8,'ABB ExDa'!$A$2:$N$184, 9,FALSE), IFERROR(VLOOKUP($A8,'Vocus SIT ExDa'!$B$2:$J$173, 8,FALSE), IFERROR(VLOOKUP($A8,'Telstra ExDa'!$B$2:$K$310, 0,FALSE), IFERROR(VLOOKUP($A8,'Vocus RVC ExDa'!$C$2:$R$155, 0,FALSE), IFERROR(VLOOKUP($A8,'Fusion ExDa'!$B$2:$D$16, 0,FALSE), IFERROR(VLOOKUP($A8,'Exetel ExDa'!$C$2:$N$14, 9,FALSE), IFERROR(VLOOKUP($A8,'Infinet ExDa'!$B$2:$E$14, 0,FALSE), "Not Found"))))))))</f>
        <v>15/04/2022</v>
      </c>
      <c r="M8" s="234" t="str">
        <f>IFERROR(VLOOKUP($A8,'AAPT ExDa'!$B$2:$U$99, 0,FALSE), IFERROR(VLOOKUP($A8,'ABB ExDa'!$A$2:$N$184, 0,FALSE), IFERROR(VLOOKUP($A8,'Vocus SIT ExDa'!$B$2:$J$173, 0,FALSE), IFERROR(VLOOKUP($A8,'Telstra ExDa'!$B$2:$K$310, 0,FALSE), IFERROR(VLOOKUP($A8,'Vocus RVC ExDa'!$C$2:$R$155, 0,FALSE), IFERROR(VLOOKUP($A8,'Fusion ExDa'!$B$2:$D$16, 0,FALSE), IFERROR(VLOOKUP($A8,'Exetel ExDa'!$C$2:$N$14, 11,FALSE), IFERROR(VLOOKUP($A8,'Infinet ExDa'!$B$2:$E$14, 0,FALSE), "Not Found"))))))))</f>
        <v>Not Found</v>
      </c>
      <c r="N8" t="str">
        <f>IFERROR(VLOOKUP($A8,'AAPT ExDa'!$B$2:$U$99, 0,FALSE), IFERROR(VLOOKUP($A8,'ABB ExDa'!$A$2:$N$184, 13,FALSE), IFERROR(VLOOKUP($A8,'Vocus SIT ExDa'!$B$2:$J$173, 0,FALSE), IFERROR(VLOOKUP($A8,'Telstra ExDa'!$B$2:$K$310, 0,FALSE), IFERROR(VLOOKUP($A8,'Vocus RVC ExDa'!$C$2:$R$155, 0,FALSE), IFERROR(VLOOKUP($A8,'Fusion ExDa'!$B$2:$D$16, 0,FALSE), IFERROR(VLOOKUP($A8,'Exetel ExDa'!$C$2:$N$14, 0,FALSE), IFERROR(VLOOKUP($A8,'Infinet ExDa'!$B$2:$E$14, 0,FALSE), "Not Found"))))))))</f>
        <v>Not Found</v>
      </c>
    </row>
    <row r="9" spans="1:14">
      <c r="A9" t="str">
        <v>Auriga Group</v>
      </c>
      <c r="B9" t="str">
        <f>IFERROR(VLOOKUP(A9,'Exetel ExDa'!$C$2:$N$14,4,FALSE),"No Data")</f>
        <v>No Data</v>
      </c>
      <c r="C9" t="str">
        <f>IFERROR(VLOOKUP(A9,'AAPT ExDa'!$B$2:$U$99, 2,FALSE), IFERROR(VLOOKUP(A9,'ABB ExDa'!$A$2:$N$184, 2,FALSE), IFERROR(VLOOKUP(A9,'Vocus SIT ExDa'!$B$2:$J$173, 7,FALSE), IFERROR(VLOOKUP(A9,'Telstra ExDa'!$B$2:$K$310, 2,FALSE), IFERROR(VLOOKUP(A9,'Vocus RVC ExDa'!$C$2:$R$155, 3,FALSE), IFERROR(VLOOKUP(A9,'Fusion ExDa'!$B$2:$D$16, 2,FALSE), IFERROR(VLOOKUP(A9,'Exetel ExDa'!$C$2:$N$14, 2,FALSE), IFERROR(VLOOKUP(A9,'Infinet ExDa'!$B$2:$E$14, 2,FALSE), "Not Found"))))))))</f>
        <v>Albion</v>
      </c>
      <c r="D9" t="str">
        <f>IFERROR(VLOOKUP($A9,'AAPT ExDa'!$B$2:$U$99, 15,FALSE), IFERROR(VLOOKUP($A9,'ABB ExDa'!$A$2:$N$184, 4,FALSE), IFERROR(VLOOKUP($A9,'Vocus SIT ExDa'!$B$2:$J$173, 5,FALSE), IFERROR(VLOOKUP($A9,'Telstra ExDa'!$B$2:$K$310, 8,FALSE), IFERROR(VLOOKUP($A9,'Vocus RVC ExDa'!$C$2:$R$155, 6,FALSE), IFERROR(VLOOKUP($A9,'Fusion ExDa'!$B$2:$D$16, 4,FALSE), IFERROR(VLOOKUP($A9,'Exetel ExDa'!$C$2:$N$14, 3,FALSE), IFERROR(VLOOKUP($A9,'Infinet ExDa'!$B$2:$E$14, 3,FALSE), "Not Found"))))))))</f>
        <v>AAPT</v>
      </c>
      <c r="E9" t="str">
        <f>IFERROR(VLOOKUP($A9,'AAPT ExDa'!$B$2:$U$99, 3,FALSE), IFERROR(VLOOKUP($A9,'ABB ExDa'!$A$2:$N$184, 5,FALSE), IFERROR(VLOOKUP($A9,'Vocus SIT ExDa'!$B$2:$J$173, 2,FALSE), IFERROR(VLOOKUP($A9,'Telstra ExDa'!$B$2:$K$310, 4,FALSE), IFERROR(VLOOKUP($A9,'Vocus RVC ExDa'!$C$2:$R$155, 8,FALSE), IFERROR(VLOOKUP($A9,'Fusion ExDa'!$B$2:$D$16, 4,FALSE), IFERROR(VLOOKUP($A9,'Exetel ExDa'!$C$2:$N$14, 5,FALSE), IFERROR(VLOOKUP($A9,'Infinet ExDa'!$B$2:$E$14, 3,FALSE), "Not Found"))))))))</f>
        <v>FAST Fibre</v>
      </c>
      <c r="F9" t="str">
        <f>IFERROR(VLOOKUP($A9,'AAPT ExDa'!$B$2:$U$99, 4,FALSE), IFERROR(VLOOKUP($A9,'ABB ExDa'!$A$2:$N$184, 6,FALSE), IFERROR(VLOOKUP($A9,'Vocus SIT ExDa'!$B$2:$J$173, 3,FALSE), IFERROR(VLOOKUP($A9,'Telstra ExDa'!$B$2:$K$310, 5,FALSE), IFERROR(VLOOKUP($A9,'Vocus RVC ExDa'!$C$2:$R$155, 9,FALSE), IFERROR(VLOOKUP($A9,'Fusion ExDa'!$B$2:$D$16, 0,FALSE), IFERROR(VLOOKUP($A9,'Exetel ExDa'!$C$2:$N$14, 6,FALSE), IFERROR(VLOOKUP($A9,'Infinet ExDa'!$B$2:$E$14, 0,FALSE), "Not Found"))))))))</f>
        <v>FAST Fibre (NTU)</v>
      </c>
      <c r="G9">
        <f>IFERROR(VLOOKUP($A9,'AAPT ExDa'!$B$2:$U$99, 5,FALSE), IFERROR(VLOOKUP($A9,'ABB ExDa'!$A$2:$N$184, 8,FALSE), IFERROR(VLOOKUP($A9,'Vocus SIT ExDa'!$B$2:$J$173, 6,FALSE), IFERROR(VLOOKUP($A9,'Telstra ExDa'!$B$2:$K$310, 0,FALSE), IFERROR(VLOOKUP($A9,'Vocus RVC ExDa'!$C$2:$R$155, 15,FALSE), IFERROR(VLOOKUP($A9,'Fusion ExDa'!$B$2:$D$16, 0,FALSE), IFERROR(VLOOKUP($A9,'Exetel ExDa'!$C$2:$N$14, 7,FALSE), IFERROR(VLOOKUP($A9,'Infinet ExDa'!$B$2:$E$14, 0,FALSE), "Not Found"))))))))</f>
        <v>0</v>
      </c>
      <c r="H9" t="str">
        <f>IFERROR(VLOOKUP($A9,'AAPT ExDa'!$B$2:$U$99, 6,FALSE), IFERROR(VLOOKUP($A9,'ABB ExDa'!$A$2:$N$184, 0,FALSE), IFERROR(VLOOKUP($A9,'Vocus SIT ExDa'!$B$2:$J$173, 0,FALSE), IFERROR(VLOOKUP($A9,'Telstra ExDa'!$B$2:$K$310, 0,FALSE), IFERROR(VLOOKUP($A9,'Vocus RVC ExDa'!$C$2:$R$155, 16,FALSE), IFERROR(VLOOKUP($A9,'Fusion ExDa'!$B$2:$D$16, 0,FALSE), IFERROR(VLOOKUP($A9,'Exetel ExDa'!$C$2:$N$14, 0,FALSE), IFERROR(VLOOKUP($A9,'Infinet ExDa'!$B$2:$E$14, 0,FALSE), "Not Found"))))))))</f>
        <v>400 Mbps; 36 Months</v>
      </c>
      <c r="I9" t="str">
        <f>IFERROR(VLOOKUP($A9,'AAPT ExDa'!$B$2:$U$99, 0,FALSE), IFERROR(VLOOKUP($A9,'ABB ExDa'!$A$2:$N$184, 0,FALSE), IFERROR(VLOOKUP($A9,'Vocus SIT ExDa'!$B$2:$J$173, 0,FALSE), IFERROR(VLOOKUP($A9,'Telstra ExDa'!$B$2:$K$310, 0,FALSE), IFERROR(VLOOKUP($A9,'Vocus RVC ExDa'!$C$2:$R$155, 0,FALSE), IFERROR(VLOOKUP($A9,'Fusion ExDa'!$B$2:$D$16, 0,FALSE), IFERROR(VLOOKUP($A9,'Exetel ExDa'!$C$2:$N$14, 8,FALSE), IFERROR(VLOOKUP($A9,'Infinet ExDa'!$B$2:$E$14, 0,FALSE), "Not Found"))))))))</f>
        <v>Not Found</v>
      </c>
      <c r="J9">
        <f>IFERROR(VLOOKUP($A9,'AAPT ExDa'!$B$2:$U$99, 7,FALSE), IFERROR(VLOOKUP($A9,'ABB ExDa'!$A$2:$N$184, 2,FALSE), IFERROR(VLOOKUP($A9,'Vocus SIT ExDa'!$B$2:$J$173, 0,FALSE), IFERROR(VLOOKUP($A9,'Telstra ExDa'!$B$2:$K$310, 7,FALSE), IFERROR(VLOOKUP($A9,'Vocus RVC ExDa'!$C$2:$R$155, 2,FALSE), IFERROR(VLOOKUP($A9,'Fusion ExDa'!$B$2:$D$16, 3,FALSE), IFERROR(VLOOKUP($A9,'Exetel ExDa'!$C$2:$N$14, 0,FALSE), IFERROR(VLOOKUP($A9,'Infinet ExDa'!$B$2:$E$14, 0,FALSE), "Not Found"))))))))</f>
        <v>0</v>
      </c>
      <c r="K9" t="str">
        <f>IFERROR(VLOOKUP($A9,'AAPT ExDa'!$B$2:$U$99, 12,FALSE), IFERROR(VLOOKUP($A9,'ABB ExDa'!$A$2:$N$184, 0,FALSE), IFERROR(VLOOKUP($A9,'Vocus SIT ExDa'!$B$2:$J$173, 0,FALSE), IFERROR(VLOOKUP($A9,'Telstra ExDa'!$B$2:$K$310, 0,FALSE), IFERROR(VLOOKUP($A9,'Vocus RVC ExDa'!$C$2:$R$155, 0,FALSE), IFERROR(VLOOKUP($A9,'Fusion ExDa'!$B$2:$D$16, 0,FALSE), IFERROR(VLOOKUP($A9,'Exetel ExDa'!$C$2:$N$14, 12,FALSE), IFERROR(VLOOKUP($A9,'Infinet ExDa'!$B$2:$E$14, 0,FALSE), "Not Found"))))))))</f>
        <v>36 Months</v>
      </c>
      <c r="L9" s="235" t="str">
        <f>IFERROR(VLOOKUP($A9,'AAPT ExDa'!$B$2:$U$99, 11,FALSE), IFERROR(VLOOKUP($A9,'ABB ExDa'!$A$2:$N$184, 9,FALSE), IFERROR(VLOOKUP($A9,'Vocus SIT ExDa'!$B$2:$J$173, 8,FALSE), IFERROR(VLOOKUP($A9,'Telstra ExDa'!$B$2:$K$310, 0,FALSE), IFERROR(VLOOKUP($A9,'Vocus RVC ExDa'!$C$2:$R$155, 0,FALSE), IFERROR(VLOOKUP($A9,'Fusion ExDa'!$B$2:$D$16, 0,FALSE), IFERROR(VLOOKUP($A9,'Exetel ExDa'!$C$2:$N$14, 9,FALSE), IFERROR(VLOOKUP($A9,'Infinet ExDa'!$B$2:$E$14, 0,FALSE), "Not Found"))))))))</f>
        <v>15/04/2022</v>
      </c>
      <c r="M9" s="234" t="str">
        <f>IFERROR(VLOOKUP($A9,'AAPT ExDa'!$B$2:$U$99, 0,FALSE), IFERROR(VLOOKUP($A9,'ABB ExDa'!$A$2:$N$184, 0,FALSE), IFERROR(VLOOKUP($A9,'Vocus SIT ExDa'!$B$2:$J$173, 0,FALSE), IFERROR(VLOOKUP($A9,'Telstra ExDa'!$B$2:$K$310, 0,FALSE), IFERROR(VLOOKUP($A9,'Vocus RVC ExDa'!$C$2:$R$155, 0,FALSE), IFERROR(VLOOKUP($A9,'Fusion ExDa'!$B$2:$D$16, 0,FALSE), IFERROR(VLOOKUP($A9,'Exetel ExDa'!$C$2:$N$14, 11,FALSE), IFERROR(VLOOKUP($A9,'Infinet ExDa'!$B$2:$E$14, 0,FALSE), "Not Found"))))))))</f>
        <v>Not Found</v>
      </c>
      <c r="N9" t="str">
        <f>IFERROR(VLOOKUP($A9,'AAPT ExDa'!$B$2:$U$99, 0,FALSE), IFERROR(VLOOKUP($A9,'ABB ExDa'!$A$2:$N$184, 13,FALSE), IFERROR(VLOOKUP($A9,'Vocus SIT ExDa'!$B$2:$J$173, 0,FALSE), IFERROR(VLOOKUP($A9,'Telstra ExDa'!$B$2:$K$310, 0,FALSE), IFERROR(VLOOKUP($A9,'Vocus RVC ExDa'!$C$2:$R$155, 0,FALSE), IFERROR(VLOOKUP($A9,'Fusion ExDa'!$B$2:$D$16, 0,FALSE), IFERROR(VLOOKUP($A9,'Exetel ExDa'!$C$2:$N$14, 0,FALSE), IFERROR(VLOOKUP($A9,'Infinet ExDa'!$B$2:$E$14, 0,FALSE), "Not Found"))))))))</f>
        <v>Not Found</v>
      </c>
    </row>
    <row r="10" spans="1:14">
      <c r="A10" t="str">
        <v>Auriga Group</v>
      </c>
      <c r="B10" t="str">
        <f>IFERROR(VLOOKUP(A10,'Exetel ExDa'!$C$2:$N$14,4,FALSE),"No Data")</f>
        <v>No Data</v>
      </c>
      <c r="C10" t="str">
        <f>IFERROR(VLOOKUP(A10,'AAPT ExDa'!$B$2:$U$99, 2,FALSE), IFERROR(VLOOKUP(A10,'ABB ExDa'!$A$2:$N$184, 2,FALSE), IFERROR(VLOOKUP(A10,'Vocus SIT ExDa'!$B$2:$J$173, 7,FALSE), IFERROR(VLOOKUP(A10,'Telstra ExDa'!$B$2:$K$310, 2,FALSE), IFERROR(VLOOKUP(A10,'Vocus RVC ExDa'!$C$2:$R$155, 3,FALSE), IFERROR(VLOOKUP(A10,'Fusion ExDa'!$B$2:$D$16, 2,FALSE), IFERROR(VLOOKUP(A10,'Exetel ExDa'!$C$2:$N$14, 2,FALSE), IFERROR(VLOOKUP(A10,'Infinet ExDa'!$B$2:$E$14, 2,FALSE), "Not Found"))))))))</f>
        <v>Albion</v>
      </c>
      <c r="D10" t="str">
        <f>IFERROR(VLOOKUP($A10,'AAPT ExDa'!$B$2:$U$99, 15,FALSE), IFERROR(VLOOKUP($A10,'ABB ExDa'!$A$2:$N$184, 4,FALSE), IFERROR(VLOOKUP($A10,'Vocus SIT ExDa'!$B$2:$J$173, 5,FALSE), IFERROR(VLOOKUP($A10,'Telstra ExDa'!$B$2:$K$310, 8,FALSE), IFERROR(VLOOKUP($A10,'Vocus RVC ExDa'!$C$2:$R$155, 6,FALSE), IFERROR(VLOOKUP($A10,'Fusion ExDa'!$B$2:$D$16, 4,FALSE), IFERROR(VLOOKUP($A10,'Exetel ExDa'!$C$2:$N$14, 3,FALSE), IFERROR(VLOOKUP($A10,'Infinet ExDa'!$B$2:$E$14, 3,FALSE), "Not Found"))))))))</f>
        <v>AAPT</v>
      </c>
      <c r="E10" t="str">
        <f>IFERROR(VLOOKUP($A10,'AAPT ExDa'!$B$2:$U$99, 3,FALSE), IFERROR(VLOOKUP($A10,'ABB ExDa'!$A$2:$N$184, 5,FALSE), IFERROR(VLOOKUP($A10,'Vocus SIT ExDa'!$B$2:$J$173, 2,FALSE), IFERROR(VLOOKUP($A10,'Telstra ExDa'!$B$2:$K$310, 4,FALSE), IFERROR(VLOOKUP($A10,'Vocus RVC ExDa'!$C$2:$R$155, 8,FALSE), IFERROR(VLOOKUP($A10,'Fusion ExDa'!$B$2:$D$16, 4,FALSE), IFERROR(VLOOKUP($A10,'Exetel ExDa'!$C$2:$N$14, 5,FALSE), IFERROR(VLOOKUP($A10,'Infinet ExDa'!$B$2:$E$14, 3,FALSE), "Not Found"))))))))</f>
        <v>FAST Fibre</v>
      </c>
      <c r="F10" t="str">
        <f>IFERROR(VLOOKUP($A10,'AAPT ExDa'!$B$2:$U$99, 4,FALSE), IFERROR(VLOOKUP($A10,'ABB ExDa'!$A$2:$N$184, 6,FALSE), IFERROR(VLOOKUP($A10,'Vocus SIT ExDa'!$B$2:$J$173, 3,FALSE), IFERROR(VLOOKUP($A10,'Telstra ExDa'!$B$2:$K$310, 5,FALSE), IFERROR(VLOOKUP($A10,'Vocus RVC ExDa'!$C$2:$R$155, 9,FALSE), IFERROR(VLOOKUP($A10,'Fusion ExDa'!$B$2:$D$16, 0,FALSE), IFERROR(VLOOKUP($A10,'Exetel ExDa'!$C$2:$N$14, 6,FALSE), IFERROR(VLOOKUP($A10,'Infinet ExDa'!$B$2:$E$14, 0,FALSE), "Not Found"))))))))</f>
        <v>FAST Fibre (NTU)</v>
      </c>
      <c r="G10">
        <f>IFERROR(VLOOKUP($A10,'AAPT ExDa'!$B$2:$U$99, 5,FALSE), IFERROR(VLOOKUP($A10,'ABB ExDa'!$A$2:$N$184, 8,FALSE), IFERROR(VLOOKUP($A10,'Vocus SIT ExDa'!$B$2:$J$173, 6,FALSE), IFERROR(VLOOKUP($A10,'Telstra ExDa'!$B$2:$K$310, 0,FALSE), IFERROR(VLOOKUP($A10,'Vocus RVC ExDa'!$C$2:$R$155, 15,FALSE), IFERROR(VLOOKUP($A10,'Fusion ExDa'!$B$2:$D$16, 0,FALSE), IFERROR(VLOOKUP($A10,'Exetel ExDa'!$C$2:$N$14, 7,FALSE), IFERROR(VLOOKUP($A10,'Infinet ExDa'!$B$2:$E$14, 0,FALSE), "Not Found"))))))))</f>
        <v>0</v>
      </c>
      <c r="H10" t="str">
        <f>IFERROR(VLOOKUP($A10,'AAPT ExDa'!$B$2:$U$99, 6,FALSE), IFERROR(VLOOKUP($A10,'ABB ExDa'!$A$2:$N$184, 0,FALSE), IFERROR(VLOOKUP($A10,'Vocus SIT ExDa'!$B$2:$J$173, 0,FALSE), IFERROR(VLOOKUP($A10,'Telstra ExDa'!$B$2:$K$310, 0,FALSE), IFERROR(VLOOKUP($A10,'Vocus RVC ExDa'!$C$2:$R$155, 16,FALSE), IFERROR(VLOOKUP($A10,'Fusion ExDa'!$B$2:$D$16, 0,FALSE), IFERROR(VLOOKUP($A10,'Exetel ExDa'!$C$2:$N$14, 0,FALSE), IFERROR(VLOOKUP($A10,'Infinet ExDa'!$B$2:$E$14, 0,FALSE), "Not Found"))))))))</f>
        <v>400 Mbps; 36 Months</v>
      </c>
      <c r="I10" t="str">
        <f>IFERROR(VLOOKUP($A10,'AAPT ExDa'!$B$2:$U$99, 0,FALSE), IFERROR(VLOOKUP($A10,'ABB ExDa'!$A$2:$N$184, 0,FALSE), IFERROR(VLOOKUP($A10,'Vocus SIT ExDa'!$B$2:$J$173, 0,FALSE), IFERROR(VLOOKUP($A10,'Telstra ExDa'!$B$2:$K$310, 0,FALSE), IFERROR(VLOOKUP($A10,'Vocus RVC ExDa'!$C$2:$R$155, 0,FALSE), IFERROR(VLOOKUP($A10,'Fusion ExDa'!$B$2:$D$16, 0,FALSE), IFERROR(VLOOKUP($A10,'Exetel ExDa'!$C$2:$N$14, 8,FALSE), IFERROR(VLOOKUP($A10,'Infinet ExDa'!$B$2:$E$14, 0,FALSE), "Not Found"))))))))</f>
        <v>Not Found</v>
      </c>
      <c r="J10">
        <f>IFERROR(VLOOKUP($A10,'AAPT ExDa'!$B$2:$U$99, 7,FALSE), IFERROR(VLOOKUP($A10,'ABB ExDa'!$A$2:$N$184, 2,FALSE), IFERROR(VLOOKUP($A10,'Vocus SIT ExDa'!$B$2:$J$173, 0,FALSE), IFERROR(VLOOKUP($A10,'Telstra ExDa'!$B$2:$K$310, 7,FALSE), IFERROR(VLOOKUP($A10,'Vocus RVC ExDa'!$C$2:$R$155, 2,FALSE), IFERROR(VLOOKUP($A10,'Fusion ExDa'!$B$2:$D$16, 3,FALSE), IFERROR(VLOOKUP($A10,'Exetel ExDa'!$C$2:$N$14, 0,FALSE), IFERROR(VLOOKUP($A10,'Infinet ExDa'!$B$2:$E$14, 0,FALSE), "Not Found"))))))))</f>
        <v>0</v>
      </c>
      <c r="K10" t="str">
        <f>IFERROR(VLOOKUP($A10,'AAPT ExDa'!$B$2:$U$99, 12,FALSE), IFERROR(VLOOKUP($A10,'ABB ExDa'!$A$2:$N$184, 0,FALSE), IFERROR(VLOOKUP($A10,'Vocus SIT ExDa'!$B$2:$J$173, 0,FALSE), IFERROR(VLOOKUP($A10,'Telstra ExDa'!$B$2:$K$310, 0,FALSE), IFERROR(VLOOKUP($A10,'Vocus RVC ExDa'!$C$2:$R$155, 0,FALSE), IFERROR(VLOOKUP($A10,'Fusion ExDa'!$B$2:$D$16, 0,FALSE), IFERROR(VLOOKUP($A10,'Exetel ExDa'!$C$2:$N$14, 12,FALSE), IFERROR(VLOOKUP($A10,'Infinet ExDa'!$B$2:$E$14, 0,FALSE), "Not Found"))))))))</f>
        <v>36 Months</v>
      </c>
      <c r="L10" s="235" t="str">
        <f>IFERROR(VLOOKUP($A10,'AAPT ExDa'!$B$2:$U$99, 11,FALSE), IFERROR(VLOOKUP($A10,'ABB ExDa'!$A$2:$N$184, 9,FALSE), IFERROR(VLOOKUP($A10,'Vocus SIT ExDa'!$B$2:$J$173, 8,FALSE), IFERROR(VLOOKUP($A10,'Telstra ExDa'!$B$2:$K$310, 0,FALSE), IFERROR(VLOOKUP($A10,'Vocus RVC ExDa'!$C$2:$R$155, 0,FALSE), IFERROR(VLOOKUP($A10,'Fusion ExDa'!$B$2:$D$16, 0,FALSE), IFERROR(VLOOKUP($A10,'Exetel ExDa'!$C$2:$N$14, 9,FALSE), IFERROR(VLOOKUP($A10,'Infinet ExDa'!$B$2:$E$14, 0,FALSE), "Not Found"))))))))</f>
        <v>15/04/2022</v>
      </c>
      <c r="M10" s="234" t="str">
        <f>IFERROR(VLOOKUP($A10,'AAPT ExDa'!$B$2:$U$99, 0,FALSE), IFERROR(VLOOKUP($A10,'ABB ExDa'!$A$2:$N$184, 0,FALSE), IFERROR(VLOOKUP($A10,'Vocus SIT ExDa'!$B$2:$J$173, 0,FALSE), IFERROR(VLOOKUP($A10,'Telstra ExDa'!$B$2:$K$310, 0,FALSE), IFERROR(VLOOKUP($A10,'Vocus RVC ExDa'!$C$2:$R$155, 0,FALSE), IFERROR(VLOOKUP($A10,'Fusion ExDa'!$B$2:$D$16, 0,FALSE), IFERROR(VLOOKUP($A10,'Exetel ExDa'!$C$2:$N$14, 11,FALSE), IFERROR(VLOOKUP($A10,'Infinet ExDa'!$B$2:$E$14, 0,FALSE), "Not Found"))))))))</f>
        <v>Not Found</v>
      </c>
      <c r="N10" t="str">
        <f>IFERROR(VLOOKUP($A10,'AAPT ExDa'!$B$2:$U$99, 0,FALSE), IFERROR(VLOOKUP($A10,'ABB ExDa'!$A$2:$N$184, 13,FALSE), IFERROR(VLOOKUP($A10,'Vocus SIT ExDa'!$B$2:$J$173, 0,FALSE), IFERROR(VLOOKUP($A10,'Telstra ExDa'!$B$2:$K$310, 0,FALSE), IFERROR(VLOOKUP($A10,'Vocus RVC ExDa'!$C$2:$R$155, 0,FALSE), IFERROR(VLOOKUP($A10,'Fusion ExDa'!$B$2:$D$16, 0,FALSE), IFERROR(VLOOKUP($A10,'Exetel ExDa'!$C$2:$N$14, 0,FALSE), IFERROR(VLOOKUP($A10,'Infinet ExDa'!$B$2:$E$14, 0,FALSE), "Not Found"))))))))</f>
        <v>Not Found</v>
      </c>
    </row>
    <row r="11" spans="1:14">
      <c r="A11" t="str">
        <v>Auriga Group</v>
      </c>
      <c r="B11" t="str">
        <f>IFERROR(VLOOKUP(A11,'Exetel ExDa'!$C$2:$N$14,4,FALSE),"No Data")</f>
        <v>No Data</v>
      </c>
      <c r="C11" t="str">
        <f>IFERROR(VLOOKUP(A11,'AAPT ExDa'!$B$2:$U$99, 2,FALSE), IFERROR(VLOOKUP(A11,'ABB ExDa'!$A$2:$N$184, 2,FALSE), IFERROR(VLOOKUP(A11,'Vocus SIT ExDa'!$B$2:$J$173, 7,FALSE), IFERROR(VLOOKUP(A11,'Telstra ExDa'!$B$2:$K$310, 2,FALSE), IFERROR(VLOOKUP(A11,'Vocus RVC ExDa'!$C$2:$R$155, 3,FALSE), IFERROR(VLOOKUP(A11,'Fusion ExDa'!$B$2:$D$16, 2,FALSE), IFERROR(VLOOKUP(A11,'Exetel ExDa'!$C$2:$N$14, 2,FALSE), IFERROR(VLOOKUP(A11,'Infinet ExDa'!$B$2:$E$14, 2,FALSE), "Not Found"))))))))</f>
        <v>Albion</v>
      </c>
      <c r="D11" t="str">
        <f>IFERROR(VLOOKUP($A11,'AAPT ExDa'!$B$2:$U$99, 15,FALSE), IFERROR(VLOOKUP($A11,'ABB ExDa'!$A$2:$N$184, 4,FALSE), IFERROR(VLOOKUP($A11,'Vocus SIT ExDa'!$B$2:$J$173, 5,FALSE), IFERROR(VLOOKUP($A11,'Telstra ExDa'!$B$2:$K$310, 8,FALSE), IFERROR(VLOOKUP($A11,'Vocus RVC ExDa'!$C$2:$R$155, 6,FALSE), IFERROR(VLOOKUP($A11,'Fusion ExDa'!$B$2:$D$16, 4,FALSE), IFERROR(VLOOKUP($A11,'Exetel ExDa'!$C$2:$N$14, 3,FALSE), IFERROR(VLOOKUP($A11,'Infinet ExDa'!$B$2:$E$14, 3,FALSE), "Not Found"))))))))</f>
        <v>AAPT</v>
      </c>
      <c r="E11" t="str">
        <f>IFERROR(VLOOKUP($A11,'AAPT ExDa'!$B$2:$U$99, 3,FALSE), IFERROR(VLOOKUP($A11,'ABB ExDa'!$A$2:$N$184, 5,FALSE), IFERROR(VLOOKUP($A11,'Vocus SIT ExDa'!$B$2:$J$173, 2,FALSE), IFERROR(VLOOKUP($A11,'Telstra ExDa'!$B$2:$K$310, 4,FALSE), IFERROR(VLOOKUP($A11,'Vocus RVC ExDa'!$C$2:$R$155, 8,FALSE), IFERROR(VLOOKUP($A11,'Fusion ExDa'!$B$2:$D$16, 4,FALSE), IFERROR(VLOOKUP($A11,'Exetel ExDa'!$C$2:$N$14, 5,FALSE), IFERROR(VLOOKUP($A11,'Infinet ExDa'!$B$2:$E$14, 3,FALSE), "Not Found"))))))))</f>
        <v>FAST Fibre</v>
      </c>
      <c r="F11" t="str">
        <f>IFERROR(VLOOKUP($A11,'AAPT ExDa'!$B$2:$U$99, 4,FALSE), IFERROR(VLOOKUP($A11,'ABB ExDa'!$A$2:$N$184, 6,FALSE), IFERROR(VLOOKUP($A11,'Vocus SIT ExDa'!$B$2:$J$173, 3,FALSE), IFERROR(VLOOKUP($A11,'Telstra ExDa'!$B$2:$K$310, 5,FALSE), IFERROR(VLOOKUP($A11,'Vocus RVC ExDa'!$C$2:$R$155, 9,FALSE), IFERROR(VLOOKUP($A11,'Fusion ExDa'!$B$2:$D$16, 0,FALSE), IFERROR(VLOOKUP($A11,'Exetel ExDa'!$C$2:$N$14, 6,FALSE), IFERROR(VLOOKUP($A11,'Infinet ExDa'!$B$2:$E$14, 0,FALSE), "Not Found"))))))))</f>
        <v>FAST Fibre (NTU)</v>
      </c>
      <c r="G11">
        <f>IFERROR(VLOOKUP($A11,'AAPT ExDa'!$B$2:$U$99, 5,FALSE), IFERROR(VLOOKUP($A11,'ABB ExDa'!$A$2:$N$184, 8,FALSE), IFERROR(VLOOKUP($A11,'Vocus SIT ExDa'!$B$2:$J$173, 6,FALSE), IFERROR(VLOOKUP($A11,'Telstra ExDa'!$B$2:$K$310, 0,FALSE), IFERROR(VLOOKUP($A11,'Vocus RVC ExDa'!$C$2:$R$155, 15,FALSE), IFERROR(VLOOKUP($A11,'Fusion ExDa'!$B$2:$D$16, 0,FALSE), IFERROR(VLOOKUP($A11,'Exetel ExDa'!$C$2:$N$14, 7,FALSE), IFERROR(VLOOKUP($A11,'Infinet ExDa'!$B$2:$E$14, 0,FALSE), "Not Found"))))))))</f>
        <v>0</v>
      </c>
      <c r="H11" t="str">
        <f>IFERROR(VLOOKUP($A11,'AAPT ExDa'!$B$2:$U$99, 6,FALSE), IFERROR(VLOOKUP($A11,'ABB ExDa'!$A$2:$N$184, 0,FALSE), IFERROR(VLOOKUP($A11,'Vocus SIT ExDa'!$B$2:$J$173, 0,FALSE), IFERROR(VLOOKUP($A11,'Telstra ExDa'!$B$2:$K$310, 0,FALSE), IFERROR(VLOOKUP($A11,'Vocus RVC ExDa'!$C$2:$R$155, 16,FALSE), IFERROR(VLOOKUP($A11,'Fusion ExDa'!$B$2:$D$16, 0,FALSE), IFERROR(VLOOKUP($A11,'Exetel ExDa'!$C$2:$N$14, 0,FALSE), IFERROR(VLOOKUP($A11,'Infinet ExDa'!$B$2:$E$14, 0,FALSE), "Not Found"))))))))</f>
        <v>400 Mbps; 36 Months</v>
      </c>
      <c r="I11" t="str">
        <f>IFERROR(VLOOKUP($A11,'AAPT ExDa'!$B$2:$U$99, 0,FALSE), IFERROR(VLOOKUP($A11,'ABB ExDa'!$A$2:$N$184, 0,FALSE), IFERROR(VLOOKUP($A11,'Vocus SIT ExDa'!$B$2:$J$173, 0,FALSE), IFERROR(VLOOKUP($A11,'Telstra ExDa'!$B$2:$K$310, 0,FALSE), IFERROR(VLOOKUP($A11,'Vocus RVC ExDa'!$C$2:$R$155, 0,FALSE), IFERROR(VLOOKUP($A11,'Fusion ExDa'!$B$2:$D$16, 0,FALSE), IFERROR(VLOOKUP($A11,'Exetel ExDa'!$C$2:$N$14, 8,FALSE), IFERROR(VLOOKUP($A11,'Infinet ExDa'!$B$2:$E$14, 0,FALSE), "Not Found"))))))))</f>
        <v>Not Found</v>
      </c>
      <c r="J11">
        <f>IFERROR(VLOOKUP($A11,'AAPT ExDa'!$B$2:$U$99, 7,FALSE), IFERROR(VLOOKUP($A11,'ABB ExDa'!$A$2:$N$184, 2,FALSE), IFERROR(VLOOKUP($A11,'Vocus SIT ExDa'!$B$2:$J$173, 0,FALSE), IFERROR(VLOOKUP($A11,'Telstra ExDa'!$B$2:$K$310, 7,FALSE), IFERROR(VLOOKUP($A11,'Vocus RVC ExDa'!$C$2:$R$155, 2,FALSE), IFERROR(VLOOKUP($A11,'Fusion ExDa'!$B$2:$D$16, 3,FALSE), IFERROR(VLOOKUP($A11,'Exetel ExDa'!$C$2:$N$14, 0,FALSE), IFERROR(VLOOKUP($A11,'Infinet ExDa'!$B$2:$E$14, 0,FALSE), "Not Found"))))))))</f>
        <v>0</v>
      </c>
      <c r="K11" t="str">
        <f>IFERROR(VLOOKUP($A11,'AAPT ExDa'!$B$2:$U$99, 12,FALSE), IFERROR(VLOOKUP($A11,'ABB ExDa'!$A$2:$N$184, 0,FALSE), IFERROR(VLOOKUP($A11,'Vocus SIT ExDa'!$B$2:$J$173, 0,FALSE), IFERROR(VLOOKUP($A11,'Telstra ExDa'!$B$2:$K$310, 0,FALSE), IFERROR(VLOOKUP($A11,'Vocus RVC ExDa'!$C$2:$R$155, 0,FALSE), IFERROR(VLOOKUP($A11,'Fusion ExDa'!$B$2:$D$16, 0,FALSE), IFERROR(VLOOKUP($A11,'Exetel ExDa'!$C$2:$N$14, 12,FALSE), IFERROR(VLOOKUP($A11,'Infinet ExDa'!$B$2:$E$14, 0,FALSE), "Not Found"))))))))</f>
        <v>36 Months</v>
      </c>
      <c r="L11" s="235" t="str">
        <f>IFERROR(VLOOKUP($A11,'AAPT ExDa'!$B$2:$U$99, 11,FALSE), IFERROR(VLOOKUP($A11,'ABB ExDa'!$A$2:$N$184, 9,FALSE), IFERROR(VLOOKUP($A11,'Vocus SIT ExDa'!$B$2:$J$173, 8,FALSE), IFERROR(VLOOKUP($A11,'Telstra ExDa'!$B$2:$K$310, 0,FALSE), IFERROR(VLOOKUP($A11,'Vocus RVC ExDa'!$C$2:$R$155, 0,FALSE), IFERROR(VLOOKUP($A11,'Fusion ExDa'!$B$2:$D$16, 0,FALSE), IFERROR(VLOOKUP($A11,'Exetel ExDa'!$C$2:$N$14, 9,FALSE), IFERROR(VLOOKUP($A11,'Infinet ExDa'!$B$2:$E$14, 0,FALSE), "Not Found"))))))))</f>
        <v>15/04/2022</v>
      </c>
      <c r="M11" s="234" t="str">
        <f>IFERROR(VLOOKUP($A11,'AAPT ExDa'!$B$2:$U$99, 0,FALSE), IFERROR(VLOOKUP($A11,'ABB ExDa'!$A$2:$N$184, 0,FALSE), IFERROR(VLOOKUP($A11,'Vocus SIT ExDa'!$B$2:$J$173, 0,FALSE), IFERROR(VLOOKUP($A11,'Telstra ExDa'!$B$2:$K$310, 0,FALSE), IFERROR(VLOOKUP($A11,'Vocus RVC ExDa'!$C$2:$R$155, 0,FALSE), IFERROR(VLOOKUP($A11,'Fusion ExDa'!$B$2:$D$16, 0,FALSE), IFERROR(VLOOKUP($A11,'Exetel ExDa'!$C$2:$N$14, 11,FALSE), IFERROR(VLOOKUP($A11,'Infinet ExDa'!$B$2:$E$14, 0,FALSE), "Not Found"))))))))</f>
        <v>Not Found</v>
      </c>
      <c r="N11" t="str">
        <f>IFERROR(VLOOKUP($A11,'AAPT ExDa'!$B$2:$U$99, 0,FALSE), IFERROR(VLOOKUP($A11,'ABB ExDa'!$A$2:$N$184, 13,FALSE), IFERROR(VLOOKUP($A11,'Vocus SIT ExDa'!$B$2:$J$173, 0,FALSE), IFERROR(VLOOKUP($A11,'Telstra ExDa'!$B$2:$K$310, 0,FALSE), IFERROR(VLOOKUP($A11,'Vocus RVC ExDa'!$C$2:$R$155, 0,FALSE), IFERROR(VLOOKUP($A11,'Fusion ExDa'!$B$2:$D$16, 0,FALSE), IFERROR(VLOOKUP($A11,'Exetel ExDa'!$C$2:$N$14, 0,FALSE), IFERROR(VLOOKUP($A11,'Infinet ExDa'!$B$2:$E$14, 0,FALSE), "Not Found"))))))))</f>
        <v>Not Found</v>
      </c>
    </row>
    <row r="12" spans="1:14">
      <c r="A12" t="str">
        <v>BBA</v>
      </c>
      <c r="B12" t="str">
        <f>IFERROR(VLOOKUP(A12,'Exetel ExDa'!$C$2:$N$14,4,FALSE),"No Data")</f>
        <v>No Data</v>
      </c>
      <c r="C12">
        <f>IFERROR(VLOOKUP(A12,'AAPT ExDa'!$B$2:$U$99, 2,FALSE), IFERROR(VLOOKUP(A12,'ABB ExDa'!$A$2:$N$184, 2,FALSE), IFERROR(VLOOKUP(A12,'Vocus SIT ExDa'!$B$2:$J$173, 7,FALSE), IFERROR(VLOOKUP(A12,'Telstra ExDa'!$B$2:$K$310, 2,FALSE), IFERROR(VLOOKUP(A12,'Vocus RVC ExDa'!$C$2:$R$155, 3,FALSE), IFERROR(VLOOKUP(A12,'Fusion ExDa'!$B$2:$D$16, 2,FALSE), IFERROR(VLOOKUP(A12,'Exetel ExDa'!$C$2:$N$14, 2,FALSE), IFERROR(VLOOKUP(A12,'Infinet ExDa'!$B$2:$E$14, 2,FALSE), "Not Found"))))))))</f>
        <v>0</v>
      </c>
      <c r="D12" t="str">
        <f>IFERROR(VLOOKUP($A12,'AAPT ExDa'!$B$2:$U$99, 15,FALSE), IFERROR(VLOOKUP($A12,'ABB ExDa'!$A$2:$N$184, 4,FALSE), IFERROR(VLOOKUP($A12,'Vocus SIT ExDa'!$B$2:$J$173, 5,FALSE), IFERROR(VLOOKUP($A12,'Telstra ExDa'!$B$2:$K$310, 8,FALSE), IFERROR(VLOOKUP($A12,'Vocus RVC ExDa'!$C$2:$R$155, 6,FALSE), IFERROR(VLOOKUP($A12,'Fusion ExDa'!$B$2:$D$16, 4,FALSE), IFERROR(VLOOKUP($A12,'Exetel ExDa'!$C$2:$N$14, 3,FALSE), IFERROR(VLOOKUP($A12,'Infinet ExDa'!$B$2:$E$14, 3,FALSE), "Not Found"))))))))</f>
        <v>AAPT</v>
      </c>
      <c r="E12" t="str">
        <f>IFERROR(VLOOKUP($A12,'AAPT ExDa'!$B$2:$U$99, 3,FALSE), IFERROR(VLOOKUP($A12,'ABB ExDa'!$A$2:$N$184, 5,FALSE), IFERROR(VLOOKUP($A12,'Vocus SIT ExDa'!$B$2:$J$173, 2,FALSE), IFERROR(VLOOKUP($A12,'Telstra ExDa'!$B$2:$K$310, 4,FALSE), IFERROR(VLOOKUP($A12,'Vocus RVC ExDa'!$C$2:$R$155, 8,FALSE), IFERROR(VLOOKUP($A12,'Fusion ExDa'!$B$2:$D$16, 4,FALSE), IFERROR(VLOOKUP($A12,'Exetel ExDa'!$C$2:$N$14, 5,FALSE), IFERROR(VLOOKUP($A12,'Infinet ExDa'!$B$2:$E$14, 3,FALSE), "Not Found"))))))))</f>
        <v>IP-Line</v>
      </c>
      <c r="F12" t="str">
        <f>IFERROR(VLOOKUP($A12,'AAPT ExDa'!$B$2:$U$99, 4,FALSE), IFERROR(VLOOKUP($A12,'ABB ExDa'!$A$2:$N$184, 6,FALSE), IFERROR(VLOOKUP($A12,'Vocus SIT ExDa'!$B$2:$J$173, 3,FALSE), IFERROR(VLOOKUP($A12,'Telstra ExDa'!$B$2:$K$310, 5,FALSE), IFERROR(VLOOKUP($A12,'Vocus RVC ExDa'!$C$2:$R$155, 9,FALSE), IFERROR(VLOOKUP($A12,'Fusion ExDa'!$B$2:$D$16, 0,FALSE), IFERROR(VLOOKUP($A12,'Exetel ExDa'!$C$2:$N$14, 6,FALSE), IFERROR(VLOOKUP($A12,'Infinet ExDa'!$B$2:$E$14, 0,FALSE), "Not Found"))))))))</f>
        <v>IP-Line Link</v>
      </c>
      <c r="G12" t="str">
        <f>IFERROR(VLOOKUP($A12,'AAPT ExDa'!$B$2:$U$99, 5,FALSE), IFERROR(VLOOKUP($A12,'ABB ExDa'!$A$2:$N$184, 8,FALSE), IFERROR(VLOOKUP($A12,'Vocus SIT ExDa'!$B$2:$J$173, 6,FALSE), IFERROR(VLOOKUP($A12,'Telstra ExDa'!$B$2:$K$310, 0,FALSE), IFERROR(VLOOKUP($A12,'Vocus RVC ExDa'!$C$2:$R$155, 15,FALSE), IFERROR(VLOOKUP($A12,'Fusion ExDa'!$B$2:$D$16, 0,FALSE), IFERROR(VLOOKUP($A12,'Exetel ExDa'!$C$2:$N$14, 7,FALSE), IFERROR(VLOOKUP($A12,'Infinet ExDa'!$B$2:$E$14, 0,FALSE), "Not Found"))))))))</f>
        <v>Connecting IP-Line 6023265 to Access 1491923</v>
      </c>
      <c r="H12" t="str">
        <f>IFERROR(VLOOKUP($A12,'AAPT ExDa'!$B$2:$U$99, 6,FALSE), IFERROR(VLOOKUP($A12,'ABB ExDa'!$A$2:$N$184, 0,FALSE), IFERROR(VLOOKUP($A12,'Vocus SIT ExDa'!$B$2:$J$173, 0,FALSE), IFERROR(VLOOKUP($A12,'Telstra ExDa'!$B$2:$K$310, 0,FALSE), IFERROR(VLOOKUP($A12,'Vocus RVC ExDa'!$C$2:$R$155, 16,FALSE), IFERROR(VLOOKUP($A12,'Fusion ExDa'!$B$2:$D$16, 0,FALSE), IFERROR(VLOOKUP($A12,'Exetel ExDa'!$C$2:$N$14, 0,FALSE), IFERROR(VLOOKUP($A12,'Infinet ExDa'!$B$2:$E$14, 0,FALSE), "Not Found"))))))))</f>
        <v>Up to 100/40Mbps; AVC ID:AVC000043186325</v>
      </c>
      <c r="I12" t="str">
        <f>IFERROR(VLOOKUP($A12,'AAPT ExDa'!$B$2:$U$99, 0,FALSE), IFERROR(VLOOKUP($A12,'ABB ExDa'!$A$2:$N$184, 0,FALSE), IFERROR(VLOOKUP($A12,'Vocus SIT ExDa'!$B$2:$J$173, 0,FALSE), IFERROR(VLOOKUP($A12,'Telstra ExDa'!$B$2:$K$310, 0,FALSE), IFERROR(VLOOKUP($A12,'Vocus RVC ExDa'!$C$2:$R$155, 0,FALSE), IFERROR(VLOOKUP($A12,'Fusion ExDa'!$B$2:$D$16, 0,FALSE), IFERROR(VLOOKUP($A12,'Exetel ExDa'!$C$2:$N$14, 8,FALSE), IFERROR(VLOOKUP($A12,'Infinet ExDa'!$B$2:$E$14, 0,FALSE), "Not Found"))))))))</f>
        <v>Not Found</v>
      </c>
      <c r="J12" t="str">
        <f>IFERROR(VLOOKUP($A12,'AAPT ExDa'!$B$2:$U$99, 7,FALSE), IFERROR(VLOOKUP($A12,'ABB ExDa'!$A$2:$N$184, 2,FALSE), IFERROR(VLOOKUP($A12,'Vocus SIT ExDa'!$B$2:$J$173, 0,FALSE), IFERROR(VLOOKUP($A12,'Telstra ExDa'!$B$2:$K$310, 7,FALSE), IFERROR(VLOOKUP($A12,'Vocus RVC ExDa'!$C$2:$R$155, 2,FALSE), IFERROR(VLOOKUP($A12,'Fusion ExDa'!$B$2:$D$16, 3,FALSE), IFERROR(VLOOKUP($A12,'Exetel ExDa'!$C$2:$N$14, 0,FALSE), IFERROR(VLOOKUP($A12,'Infinet ExDa'!$B$2:$E$14, 0,FALSE), "Not Found"))))))))</f>
        <v>AVC000043186325</v>
      </c>
      <c r="K12" t="str">
        <f>IFERROR(VLOOKUP($A12,'AAPT ExDa'!$B$2:$U$99, 12,FALSE), IFERROR(VLOOKUP($A12,'ABB ExDa'!$A$2:$N$184, 0,FALSE), IFERROR(VLOOKUP($A12,'Vocus SIT ExDa'!$B$2:$J$173, 0,FALSE), IFERROR(VLOOKUP($A12,'Telstra ExDa'!$B$2:$K$310, 0,FALSE), IFERROR(VLOOKUP($A12,'Vocus RVC ExDa'!$C$2:$R$155, 0,FALSE), IFERROR(VLOOKUP($A12,'Fusion ExDa'!$B$2:$D$16, 0,FALSE), IFERROR(VLOOKUP($A12,'Exetel ExDa'!$C$2:$N$14, 12,FALSE), IFERROR(VLOOKUP($A12,'Infinet ExDa'!$B$2:$E$14, 0,FALSE), "Not Found"))))))))</f>
        <v>24 Months</v>
      </c>
      <c r="L12" s="235">
        <f>IFERROR(VLOOKUP($A12,'AAPT ExDa'!$B$2:$U$99, 11,FALSE), IFERROR(VLOOKUP($A12,'ABB ExDa'!$A$2:$N$184, 9,FALSE), IFERROR(VLOOKUP($A12,'Vocus SIT ExDa'!$B$2:$J$173, 8,FALSE), IFERROR(VLOOKUP($A12,'Telstra ExDa'!$B$2:$K$310, 0,FALSE), IFERROR(VLOOKUP($A12,'Vocus RVC ExDa'!$C$2:$R$155, 0,FALSE), IFERROR(VLOOKUP($A12,'Fusion ExDa'!$B$2:$D$16, 0,FALSE), IFERROR(VLOOKUP($A12,'Exetel ExDa'!$C$2:$N$14, 9,FALSE), IFERROR(VLOOKUP($A12,'Infinet ExDa'!$B$2:$E$14, 0,FALSE), "Not Found"))))))))</f>
        <v>42744</v>
      </c>
      <c r="M12" s="234" t="str">
        <f>IFERROR(VLOOKUP($A12,'AAPT ExDa'!$B$2:$U$99, 0,FALSE), IFERROR(VLOOKUP($A12,'ABB ExDa'!$A$2:$N$184, 0,FALSE), IFERROR(VLOOKUP($A12,'Vocus SIT ExDa'!$B$2:$J$173, 0,FALSE), IFERROR(VLOOKUP($A12,'Telstra ExDa'!$B$2:$K$310, 0,FALSE), IFERROR(VLOOKUP($A12,'Vocus RVC ExDa'!$C$2:$R$155, 0,FALSE), IFERROR(VLOOKUP($A12,'Fusion ExDa'!$B$2:$D$16, 0,FALSE), IFERROR(VLOOKUP($A12,'Exetel ExDa'!$C$2:$N$14, 11,FALSE), IFERROR(VLOOKUP($A12,'Infinet ExDa'!$B$2:$E$14, 0,FALSE), "Not Found"))))))))</f>
        <v>Not Found</v>
      </c>
      <c r="N12" t="str">
        <f>IFERROR(VLOOKUP($A12,'AAPT ExDa'!$B$2:$U$99, 0,FALSE), IFERROR(VLOOKUP($A12,'ABB ExDa'!$A$2:$N$184, 13,FALSE), IFERROR(VLOOKUP($A12,'Vocus SIT ExDa'!$B$2:$J$173, 0,FALSE), IFERROR(VLOOKUP($A12,'Telstra ExDa'!$B$2:$K$310, 0,FALSE), IFERROR(VLOOKUP($A12,'Vocus RVC ExDa'!$C$2:$R$155, 0,FALSE), IFERROR(VLOOKUP($A12,'Fusion ExDa'!$B$2:$D$16, 0,FALSE), IFERROR(VLOOKUP($A12,'Exetel ExDa'!$C$2:$N$14, 0,FALSE), IFERROR(VLOOKUP($A12,'Infinet ExDa'!$B$2:$E$14, 0,FALSE), "Not Found"))))))))</f>
        <v>Not Found</v>
      </c>
    </row>
    <row r="13" spans="1:14">
      <c r="A13" t="str">
        <v>Body Corporate Systems</v>
      </c>
      <c r="B13" t="str">
        <f>IFERROR(VLOOKUP(A13,'Exetel ExDa'!$C$2:$N$14,4,FALSE),"No Data")</f>
        <v>No Data</v>
      </c>
      <c r="C13" t="str">
        <f>IFERROR(VLOOKUP(A13,'AAPT ExDa'!$B$2:$U$99, 2,FALSE), IFERROR(VLOOKUP(A13,'ABB ExDa'!$A$2:$N$184, 2,FALSE), IFERROR(VLOOKUP(A13,'Vocus SIT ExDa'!$B$2:$J$173, 7,FALSE), IFERROR(VLOOKUP(A13,'Telstra ExDa'!$B$2:$K$310, 2,FALSE), IFERROR(VLOOKUP(A13,'Vocus RVC ExDa'!$C$2:$R$155, 3,FALSE), IFERROR(VLOOKUP(A13,'Fusion ExDa'!$B$2:$D$16, 2,FALSE), IFERROR(VLOOKUP(A13,'Exetel ExDa'!$C$2:$N$14, 2,FALSE), IFERROR(VLOOKUP(A13,'Infinet ExDa'!$B$2:$E$14, 2,FALSE), "Not Found"))))))))</f>
        <v>Morningside</v>
      </c>
      <c r="D13" t="str">
        <f>IFERROR(VLOOKUP($A13,'AAPT ExDa'!$B$2:$U$99, 15,FALSE), IFERROR(VLOOKUP($A13,'ABB ExDa'!$A$2:$N$184, 4,FALSE), IFERROR(VLOOKUP($A13,'Vocus SIT ExDa'!$B$2:$J$173, 5,FALSE), IFERROR(VLOOKUP($A13,'Telstra ExDa'!$B$2:$K$310, 8,FALSE), IFERROR(VLOOKUP($A13,'Vocus RVC ExDa'!$C$2:$R$155, 6,FALSE), IFERROR(VLOOKUP($A13,'Fusion ExDa'!$B$2:$D$16, 4,FALSE), IFERROR(VLOOKUP($A13,'Exetel ExDa'!$C$2:$N$14, 3,FALSE), IFERROR(VLOOKUP($A13,'Infinet ExDa'!$B$2:$E$14, 3,FALSE), "Not Found"))))))))</f>
        <v>AAPT</v>
      </c>
      <c r="E13" t="str">
        <f>IFERROR(VLOOKUP($A13,'AAPT ExDa'!$B$2:$U$99, 3,FALSE), IFERROR(VLOOKUP($A13,'ABB ExDa'!$A$2:$N$184, 5,FALSE), IFERROR(VLOOKUP($A13,'Vocus SIT ExDa'!$B$2:$J$173, 2,FALSE), IFERROR(VLOOKUP($A13,'Telstra ExDa'!$B$2:$K$310, 4,FALSE), IFERROR(VLOOKUP($A13,'Vocus RVC ExDa'!$C$2:$R$155, 8,FALSE), IFERROR(VLOOKUP($A13,'Fusion ExDa'!$B$2:$D$16, 4,FALSE), IFERROR(VLOOKUP($A13,'Exetel ExDa'!$C$2:$N$14, 5,FALSE), IFERROR(VLOOKUP($A13,'Infinet ExDa'!$B$2:$E$14, 3,FALSE), "Not Found"))))))))</f>
        <v>IP-Line</v>
      </c>
      <c r="F13" t="str">
        <f>IFERROR(VLOOKUP($A13,'AAPT ExDa'!$B$2:$U$99, 4,FALSE), IFERROR(VLOOKUP($A13,'ABB ExDa'!$A$2:$N$184, 6,FALSE), IFERROR(VLOOKUP($A13,'Vocus SIT ExDa'!$B$2:$J$173, 3,FALSE), IFERROR(VLOOKUP($A13,'Telstra ExDa'!$B$2:$K$310, 5,FALSE), IFERROR(VLOOKUP($A13,'Vocus RVC ExDa'!$C$2:$R$155, 9,FALSE), IFERROR(VLOOKUP($A13,'Fusion ExDa'!$B$2:$D$16, 0,FALSE), IFERROR(VLOOKUP($A13,'Exetel ExDa'!$C$2:$N$14, 6,FALSE), IFERROR(VLOOKUP($A13,'Infinet ExDa'!$B$2:$E$14, 0,FALSE), "Not Found"))))))))</f>
        <v>IP-Line</v>
      </c>
      <c r="G13">
        <f>IFERROR(VLOOKUP($A13,'AAPT ExDa'!$B$2:$U$99, 5,FALSE), IFERROR(VLOOKUP($A13,'ABB ExDa'!$A$2:$N$184, 8,FALSE), IFERROR(VLOOKUP($A13,'Vocus SIT ExDa'!$B$2:$J$173, 6,FALSE), IFERROR(VLOOKUP($A13,'Telstra ExDa'!$B$2:$K$310, 0,FALSE), IFERROR(VLOOKUP($A13,'Vocus RVC ExDa'!$C$2:$R$155, 15,FALSE), IFERROR(VLOOKUP($A13,'Fusion ExDa'!$B$2:$D$16, 0,FALSE), IFERROR(VLOOKUP($A13,'Exetel ExDa'!$C$2:$N$14, 7,FALSE), IFERROR(VLOOKUP($A13,'Infinet ExDa'!$B$2:$E$14, 0,FALSE), "Not Found"))))))))</f>
        <v>0</v>
      </c>
      <c r="H13">
        <f>IFERROR(VLOOKUP($A13,'AAPT ExDa'!$B$2:$U$99, 6,FALSE), IFERROR(VLOOKUP($A13,'ABB ExDa'!$A$2:$N$184, 0,FALSE), IFERROR(VLOOKUP($A13,'Vocus SIT ExDa'!$B$2:$J$173, 0,FALSE), IFERROR(VLOOKUP($A13,'Telstra ExDa'!$B$2:$K$310, 0,FALSE), IFERROR(VLOOKUP($A13,'Vocus RVC ExDa'!$C$2:$R$155, 16,FALSE), IFERROR(VLOOKUP($A13,'Fusion ExDa'!$B$2:$D$16, 0,FALSE), IFERROR(VLOOKUP($A13,'Exetel ExDa'!$C$2:$N$14, 0,FALSE), IFERROR(VLOOKUP($A13,'Infinet ExDa'!$B$2:$E$14, 0,FALSE), "Not Found"))))))))</f>
        <v>0</v>
      </c>
      <c r="I13" t="str">
        <f>IFERROR(VLOOKUP($A13,'AAPT ExDa'!$B$2:$U$99, 0,FALSE), IFERROR(VLOOKUP($A13,'ABB ExDa'!$A$2:$N$184, 0,FALSE), IFERROR(VLOOKUP($A13,'Vocus SIT ExDa'!$B$2:$J$173, 0,FALSE), IFERROR(VLOOKUP($A13,'Telstra ExDa'!$B$2:$K$310, 0,FALSE), IFERROR(VLOOKUP($A13,'Vocus RVC ExDa'!$C$2:$R$155, 0,FALSE), IFERROR(VLOOKUP($A13,'Fusion ExDa'!$B$2:$D$16, 0,FALSE), IFERROR(VLOOKUP($A13,'Exetel ExDa'!$C$2:$N$14, 8,FALSE), IFERROR(VLOOKUP($A13,'Infinet ExDa'!$B$2:$E$14, 0,FALSE), "Not Found"))))))))</f>
        <v>Not Found</v>
      </c>
      <c r="J13">
        <f>IFERROR(VLOOKUP($A13,'AAPT ExDa'!$B$2:$U$99, 7,FALSE), IFERROR(VLOOKUP($A13,'ABB ExDa'!$A$2:$N$184, 2,FALSE), IFERROR(VLOOKUP($A13,'Vocus SIT ExDa'!$B$2:$J$173, 0,FALSE), IFERROR(VLOOKUP($A13,'Telstra ExDa'!$B$2:$K$310, 7,FALSE), IFERROR(VLOOKUP($A13,'Vocus RVC ExDa'!$C$2:$R$155, 2,FALSE), IFERROR(VLOOKUP($A13,'Fusion ExDa'!$B$2:$D$16, 3,FALSE), IFERROR(VLOOKUP($A13,'Exetel ExDa'!$C$2:$N$14, 0,FALSE), IFERROR(VLOOKUP($A13,'Infinet ExDa'!$B$2:$E$14, 0,FALSE), "Not Found"))))))))</f>
        <v>0</v>
      </c>
      <c r="K13" t="str">
        <f>IFERROR(VLOOKUP($A13,'AAPT ExDa'!$B$2:$U$99, 12,FALSE), IFERROR(VLOOKUP($A13,'ABB ExDa'!$A$2:$N$184, 0,FALSE), IFERROR(VLOOKUP($A13,'Vocus SIT ExDa'!$B$2:$J$173, 0,FALSE), IFERROR(VLOOKUP($A13,'Telstra ExDa'!$B$2:$K$310, 0,FALSE), IFERROR(VLOOKUP($A13,'Vocus RVC ExDa'!$C$2:$R$155, 0,FALSE), IFERROR(VLOOKUP($A13,'Fusion ExDa'!$B$2:$D$16, 0,FALSE), IFERROR(VLOOKUP($A13,'Exetel ExDa'!$C$2:$N$14, 12,FALSE), IFERROR(VLOOKUP($A13,'Infinet ExDa'!$B$2:$E$14, 0,FALSE), "Not Found"))))))))</f>
        <v>36 Months</v>
      </c>
      <c r="L13" s="235">
        <f>IFERROR(VLOOKUP($A13,'AAPT ExDa'!$B$2:$U$99, 11,FALSE), IFERROR(VLOOKUP($A13,'ABB ExDa'!$A$2:$N$184, 9,FALSE), IFERROR(VLOOKUP($A13,'Vocus SIT ExDa'!$B$2:$J$173, 8,FALSE), IFERROR(VLOOKUP($A13,'Telstra ExDa'!$B$2:$K$310, 0,FALSE), IFERROR(VLOOKUP($A13,'Vocus RVC ExDa'!$C$2:$R$155, 0,FALSE), IFERROR(VLOOKUP($A13,'Fusion ExDa'!$B$2:$D$16, 0,FALSE), IFERROR(VLOOKUP($A13,'Exetel ExDa'!$C$2:$N$14, 9,FALSE), IFERROR(VLOOKUP($A13,'Infinet ExDa'!$B$2:$E$14, 0,FALSE), "Not Found"))))))))</f>
        <v>44904</v>
      </c>
      <c r="M13" s="234" t="str">
        <f>IFERROR(VLOOKUP($A13,'AAPT ExDa'!$B$2:$U$99, 0,FALSE), IFERROR(VLOOKUP($A13,'ABB ExDa'!$A$2:$N$184, 0,FALSE), IFERROR(VLOOKUP($A13,'Vocus SIT ExDa'!$B$2:$J$173, 0,FALSE), IFERROR(VLOOKUP($A13,'Telstra ExDa'!$B$2:$K$310, 0,FALSE), IFERROR(VLOOKUP($A13,'Vocus RVC ExDa'!$C$2:$R$155, 0,FALSE), IFERROR(VLOOKUP($A13,'Fusion ExDa'!$B$2:$D$16, 0,FALSE), IFERROR(VLOOKUP($A13,'Exetel ExDa'!$C$2:$N$14, 11,FALSE), IFERROR(VLOOKUP($A13,'Infinet ExDa'!$B$2:$E$14, 0,FALSE), "Not Found"))))))))</f>
        <v>Not Found</v>
      </c>
      <c r="N13" t="str">
        <f>IFERROR(VLOOKUP($A13,'AAPT ExDa'!$B$2:$U$99, 0,FALSE), IFERROR(VLOOKUP($A13,'ABB ExDa'!$A$2:$N$184, 13,FALSE), IFERROR(VLOOKUP($A13,'Vocus SIT ExDa'!$B$2:$J$173, 0,FALSE), IFERROR(VLOOKUP($A13,'Telstra ExDa'!$B$2:$K$310, 0,FALSE), IFERROR(VLOOKUP($A13,'Vocus RVC ExDa'!$C$2:$R$155, 0,FALSE), IFERROR(VLOOKUP($A13,'Fusion ExDa'!$B$2:$D$16, 0,FALSE), IFERROR(VLOOKUP($A13,'Exetel ExDa'!$C$2:$N$14, 0,FALSE), IFERROR(VLOOKUP($A13,'Infinet ExDa'!$B$2:$E$14, 0,FALSE), "Not Found"))))))))</f>
        <v>Not Found</v>
      </c>
    </row>
    <row r="14" spans="1:14">
      <c r="A14" t="str">
        <v>Body Corporate Systems</v>
      </c>
      <c r="B14" t="str">
        <f>IFERROR(VLOOKUP(A14,'Exetel ExDa'!$C$2:$N$14,4,FALSE),"No Data")</f>
        <v>No Data</v>
      </c>
      <c r="C14" t="str">
        <f>IFERROR(VLOOKUP(A14,'AAPT ExDa'!$B$2:$U$99, 2,FALSE), IFERROR(VLOOKUP(A14,'ABB ExDa'!$A$2:$N$184, 2,FALSE), IFERROR(VLOOKUP(A14,'Vocus SIT ExDa'!$B$2:$J$173, 7,FALSE), IFERROR(VLOOKUP(A14,'Telstra ExDa'!$B$2:$K$310, 2,FALSE), IFERROR(VLOOKUP(A14,'Vocus RVC ExDa'!$C$2:$R$155, 3,FALSE), IFERROR(VLOOKUP(A14,'Fusion ExDa'!$B$2:$D$16, 2,FALSE), IFERROR(VLOOKUP(A14,'Exetel ExDa'!$C$2:$N$14, 2,FALSE), IFERROR(VLOOKUP(A14,'Infinet ExDa'!$B$2:$E$14, 2,FALSE), "Not Found"))))))))</f>
        <v>Morningside</v>
      </c>
      <c r="D14" t="str">
        <f>IFERROR(VLOOKUP($A14,'AAPT ExDa'!$B$2:$U$99, 15,FALSE), IFERROR(VLOOKUP($A14,'ABB ExDa'!$A$2:$N$184, 4,FALSE), IFERROR(VLOOKUP($A14,'Vocus SIT ExDa'!$B$2:$J$173, 5,FALSE), IFERROR(VLOOKUP($A14,'Telstra ExDa'!$B$2:$K$310, 8,FALSE), IFERROR(VLOOKUP($A14,'Vocus RVC ExDa'!$C$2:$R$155, 6,FALSE), IFERROR(VLOOKUP($A14,'Fusion ExDa'!$B$2:$D$16, 4,FALSE), IFERROR(VLOOKUP($A14,'Exetel ExDa'!$C$2:$N$14, 3,FALSE), IFERROR(VLOOKUP($A14,'Infinet ExDa'!$B$2:$E$14, 3,FALSE), "Not Found"))))))))</f>
        <v>AAPT</v>
      </c>
      <c r="E14" t="str">
        <f>IFERROR(VLOOKUP($A14,'AAPT ExDa'!$B$2:$U$99, 3,FALSE), IFERROR(VLOOKUP($A14,'ABB ExDa'!$A$2:$N$184, 5,FALSE), IFERROR(VLOOKUP($A14,'Vocus SIT ExDa'!$B$2:$J$173, 2,FALSE), IFERROR(VLOOKUP($A14,'Telstra ExDa'!$B$2:$K$310, 4,FALSE), IFERROR(VLOOKUP($A14,'Vocus RVC ExDa'!$C$2:$R$155, 8,FALSE), IFERROR(VLOOKUP($A14,'Fusion ExDa'!$B$2:$D$16, 4,FALSE), IFERROR(VLOOKUP($A14,'Exetel ExDa'!$C$2:$N$14, 5,FALSE), IFERROR(VLOOKUP($A14,'Infinet ExDa'!$B$2:$E$14, 3,FALSE), "Not Found"))))))))</f>
        <v>IP-Line</v>
      </c>
      <c r="F14" t="str">
        <f>IFERROR(VLOOKUP($A14,'AAPT ExDa'!$B$2:$U$99, 4,FALSE), IFERROR(VLOOKUP($A14,'ABB ExDa'!$A$2:$N$184, 6,FALSE), IFERROR(VLOOKUP($A14,'Vocus SIT ExDa'!$B$2:$J$173, 3,FALSE), IFERROR(VLOOKUP($A14,'Telstra ExDa'!$B$2:$K$310, 5,FALSE), IFERROR(VLOOKUP($A14,'Vocus RVC ExDa'!$C$2:$R$155, 9,FALSE), IFERROR(VLOOKUP($A14,'Fusion ExDa'!$B$2:$D$16, 0,FALSE), IFERROR(VLOOKUP($A14,'Exetel ExDa'!$C$2:$N$14, 6,FALSE), IFERROR(VLOOKUP($A14,'Infinet ExDa'!$B$2:$E$14, 0,FALSE), "Not Found"))))))))</f>
        <v>IP-Line</v>
      </c>
      <c r="G14">
        <f>IFERROR(VLOOKUP($A14,'AAPT ExDa'!$B$2:$U$99, 5,FALSE), IFERROR(VLOOKUP($A14,'ABB ExDa'!$A$2:$N$184, 8,FALSE), IFERROR(VLOOKUP($A14,'Vocus SIT ExDa'!$B$2:$J$173, 6,FALSE), IFERROR(VLOOKUP($A14,'Telstra ExDa'!$B$2:$K$310, 0,FALSE), IFERROR(VLOOKUP($A14,'Vocus RVC ExDa'!$C$2:$R$155, 15,FALSE), IFERROR(VLOOKUP($A14,'Fusion ExDa'!$B$2:$D$16, 0,FALSE), IFERROR(VLOOKUP($A14,'Exetel ExDa'!$C$2:$N$14, 7,FALSE), IFERROR(VLOOKUP($A14,'Infinet ExDa'!$B$2:$E$14, 0,FALSE), "Not Found"))))))))</f>
        <v>0</v>
      </c>
      <c r="H14">
        <f>IFERROR(VLOOKUP($A14,'AAPT ExDa'!$B$2:$U$99, 6,FALSE), IFERROR(VLOOKUP($A14,'ABB ExDa'!$A$2:$N$184, 0,FALSE), IFERROR(VLOOKUP($A14,'Vocus SIT ExDa'!$B$2:$J$173, 0,FALSE), IFERROR(VLOOKUP($A14,'Telstra ExDa'!$B$2:$K$310, 0,FALSE), IFERROR(VLOOKUP($A14,'Vocus RVC ExDa'!$C$2:$R$155, 16,FALSE), IFERROR(VLOOKUP($A14,'Fusion ExDa'!$B$2:$D$16, 0,FALSE), IFERROR(VLOOKUP($A14,'Exetel ExDa'!$C$2:$N$14, 0,FALSE), IFERROR(VLOOKUP($A14,'Infinet ExDa'!$B$2:$E$14, 0,FALSE), "Not Found"))))))))</f>
        <v>0</v>
      </c>
      <c r="I14" t="str">
        <f>IFERROR(VLOOKUP($A14,'AAPT ExDa'!$B$2:$U$99, 0,FALSE), IFERROR(VLOOKUP($A14,'ABB ExDa'!$A$2:$N$184, 0,FALSE), IFERROR(VLOOKUP($A14,'Vocus SIT ExDa'!$B$2:$J$173, 0,FALSE), IFERROR(VLOOKUP($A14,'Telstra ExDa'!$B$2:$K$310, 0,FALSE), IFERROR(VLOOKUP($A14,'Vocus RVC ExDa'!$C$2:$R$155, 0,FALSE), IFERROR(VLOOKUP($A14,'Fusion ExDa'!$B$2:$D$16, 0,FALSE), IFERROR(VLOOKUP($A14,'Exetel ExDa'!$C$2:$N$14, 8,FALSE), IFERROR(VLOOKUP($A14,'Infinet ExDa'!$B$2:$E$14, 0,FALSE), "Not Found"))))))))</f>
        <v>Not Found</v>
      </c>
      <c r="J14">
        <f>IFERROR(VLOOKUP($A14,'AAPT ExDa'!$B$2:$U$99, 7,FALSE), IFERROR(VLOOKUP($A14,'ABB ExDa'!$A$2:$N$184, 2,FALSE), IFERROR(VLOOKUP($A14,'Vocus SIT ExDa'!$B$2:$J$173, 0,FALSE), IFERROR(VLOOKUP($A14,'Telstra ExDa'!$B$2:$K$310, 7,FALSE), IFERROR(VLOOKUP($A14,'Vocus RVC ExDa'!$C$2:$R$155, 2,FALSE), IFERROR(VLOOKUP($A14,'Fusion ExDa'!$B$2:$D$16, 3,FALSE), IFERROR(VLOOKUP($A14,'Exetel ExDa'!$C$2:$N$14, 0,FALSE), IFERROR(VLOOKUP($A14,'Infinet ExDa'!$B$2:$E$14, 0,FALSE), "Not Found"))))))))</f>
        <v>0</v>
      </c>
      <c r="K14" t="str">
        <f>IFERROR(VLOOKUP($A14,'AAPT ExDa'!$B$2:$U$99, 12,FALSE), IFERROR(VLOOKUP($A14,'ABB ExDa'!$A$2:$N$184, 0,FALSE), IFERROR(VLOOKUP($A14,'Vocus SIT ExDa'!$B$2:$J$173, 0,FALSE), IFERROR(VLOOKUP($A14,'Telstra ExDa'!$B$2:$K$310, 0,FALSE), IFERROR(VLOOKUP($A14,'Vocus RVC ExDa'!$C$2:$R$155, 0,FALSE), IFERROR(VLOOKUP($A14,'Fusion ExDa'!$B$2:$D$16, 0,FALSE), IFERROR(VLOOKUP($A14,'Exetel ExDa'!$C$2:$N$14, 12,FALSE), IFERROR(VLOOKUP($A14,'Infinet ExDa'!$B$2:$E$14, 0,FALSE), "Not Found"))))))))</f>
        <v>36 Months</v>
      </c>
      <c r="L14" s="235">
        <f>IFERROR(VLOOKUP($A14,'AAPT ExDa'!$B$2:$U$99, 11,FALSE), IFERROR(VLOOKUP($A14,'ABB ExDa'!$A$2:$N$184, 9,FALSE), IFERROR(VLOOKUP($A14,'Vocus SIT ExDa'!$B$2:$J$173, 8,FALSE), IFERROR(VLOOKUP($A14,'Telstra ExDa'!$B$2:$K$310, 0,FALSE), IFERROR(VLOOKUP($A14,'Vocus RVC ExDa'!$C$2:$R$155, 0,FALSE), IFERROR(VLOOKUP($A14,'Fusion ExDa'!$B$2:$D$16, 0,FALSE), IFERROR(VLOOKUP($A14,'Exetel ExDa'!$C$2:$N$14, 9,FALSE), IFERROR(VLOOKUP($A14,'Infinet ExDa'!$B$2:$E$14, 0,FALSE), "Not Found"))))))))</f>
        <v>44904</v>
      </c>
      <c r="M14" s="234" t="str">
        <f>IFERROR(VLOOKUP($A14,'AAPT ExDa'!$B$2:$U$99, 0,FALSE), IFERROR(VLOOKUP($A14,'ABB ExDa'!$A$2:$N$184, 0,FALSE), IFERROR(VLOOKUP($A14,'Vocus SIT ExDa'!$B$2:$J$173, 0,FALSE), IFERROR(VLOOKUP($A14,'Telstra ExDa'!$B$2:$K$310, 0,FALSE), IFERROR(VLOOKUP($A14,'Vocus RVC ExDa'!$C$2:$R$155, 0,FALSE), IFERROR(VLOOKUP($A14,'Fusion ExDa'!$B$2:$D$16, 0,FALSE), IFERROR(VLOOKUP($A14,'Exetel ExDa'!$C$2:$N$14, 11,FALSE), IFERROR(VLOOKUP($A14,'Infinet ExDa'!$B$2:$E$14, 0,FALSE), "Not Found"))))))))</f>
        <v>Not Found</v>
      </c>
      <c r="N14" t="str">
        <f>IFERROR(VLOOKUP($A14,'AAPT ExDa'!$B$2:$U$99, 0,FALSE), IFERROR(VLOOKUP($A14,'ABB ExDa'!$A$2:$N$184, 13,FALSE), IFERROR(VLOOKUP($A14,'Vocus SIT ExDa'!$B$2:$J$173, 0,FALSE), IFERROR(VLOOKUP($A14,'Telstra ExDa'!$B$2:$K$310, 0,FALSE), IFERROR(VLOOKUP($A14,'Vocus RVC ExDa'!$C$2:$R$155, 0,FALSE), IFERROR(VLOOKUP($A14,'Fusion ExDa'!$B$2:$D$16, 0,FALSE), IFERROR(VLOOKUP($A14,'Exetel ExDa'!$C$2:$N$14, 0,FALSE), IFERROR(VLOOKUP($A14,'Infinet ExDa'!$B$2:$E$14, 0,FALSE), "Not Found"))))))))</f>
        <v>Not Found</v>
      </c>
    </row>
    <row r="15" spans="1:14">
      <c r="A15" t="str">
        <v>Body Corporate Systems</v>
      </c>
      <c r="B15" t="str">
        <f>IFERROR(VLOOKUP(A15,'Exetel ExDa'!$C$2:$N$14,4,FALSE),"No Data")</f>
        <v>No Data</v>
      </c>
      <c r="C15" t="str">
        <f>IFERROR(VLOOKUP(A15,'AAPT ExDa'!$B$2:$U$99, 2,FALSE), IFERROR(VLOOKUP(A15,'ABB ExDa'!$A$2:$N$184, 2,FALSE), IFERROR(VLOOKUP(A15,'Vocus SIT ExDa'!$B$2:$J$173, 7,FALSE), IFERROR(VLOOKUP(A15,'Telstra ExDa'!$B$2:$K$310, 2,FALSE), IFERROR(VLOOKUP(A15,'Vocus RVC ExDa'!$C$2:$R$155, 3,FALSE), IFERROR(VLOOKUP(A15,'Fusion ExDa'!$B$2:$D$16, 2,FALSE), IFERROR(VLOOKUP(A15,'Exetel ExDa'!$C$2:$N$14, 2,FALSE), IFERROR(VLOOKUP(A15,'Infinet ExDa'!$B$2:$E$14, 2,FALSE), "Not Found"))))))))</f>
        <v>Morningside</v>
      </c>
      <c r="D15" t="str">
        <f>IFERROR(VLOOKUP($A15,'AAPT ExDa'!$B$2:$U$99, 15,FALSE), IFERROR(VLOOKUP($A15,'ABB ExDa'!$A$2:$N$184, 4,FALSE), IFERROR(VLOOKUP($A15,'Vocus SIT ExDa'!$B$2:$J$173, 5,FALSE), IFERROR(VLOOKUP($A15,'Telstra ExDa'!$B$2:$K$310, 8,FALSE), IFERROR(VLOOKUP($A15,'Vocus RVC ExDa'!$C$2:$R$155, 6,FALSE), IFERROR(VLOOKUP($A15,'Fusion ExDa'!$B$2:$D$16, 4,FALSE), IFERROR(VLOOKUP($A15,'Exetel ExDa'!$C$2:$N$14, 3,FALSE), IFERROR(VLOOKUP($A15,'Infinet ExDa'!$B$2:$E$14, 3,FALSE), "Not Found"))))))))</f>
        <v>AAPT</v>
      </c>
      <c r="E15" t="str">
        <f>IFERROR(VLOOKUP($A15,'AAPT ExDa'!$B$2:$U$99, 3,FALSE), IFERROR(VLOOKUP($A15,'ABB ExDa'!$A$2:$N$184, 5,FALSE), IFERROR(VLOOKUP($A15,'Vocus SIT ExDa'!$B$2:$J$173, 2,FALSE), IFERROR(VLOOKUP($A15,'Telstra ExDa'!$B$2:$K$310, 4,FALSE), IFERROR(VLOOKUP($A15,'Vocus RVC ExDa'!$C$2:$R$155, 8,FALSE), IFERROR(VLOOKUP($A15,'Fusion ExDa'!$B$2:$D$16, 4,FALSE), IFERROR(VLOOKUP($A15,'Exetel ExDa'!$C$2:$N$14, 5,FALSE), IFERROR(VLOOKUP($A15,'Infinet ExDa'!$B$2:$E$14, 3,FALSE), "Not Found"))))))))</f>
        <v>IP-Line</v>
      </c>
      <c r="F15" t="str">
        <f>IFERROR(VLOOKUP($A15,'AAPT ExDa'!$B$2:$U$99, 4,FALSE), IFERROR(VLOOKUP($A15,'ABB ExDa'!$A$2:$N$184, 6,FALSE), IFERROR(VLOOKUP($A15,'Vocus SIT ExDa'!$B$2:$J$173, 3,FALSE), IFERROR(VLOOKUP($A15,'Telstra ExDa'!$B$2:$K$310, 5,FALSE), IFERROR(VLOOKUP($A15,'Vocus RVC ExDa'!$C$2:$R$155, 9,FALSE), IFERROR(VLOOKUP($A15,'Fusion ExDa'!$B$2:$D$16, 0,FALSE), IFERROR(VLOOKUP($A15,'Exetel ExDa'!$C$2:$N$14, 6,FALSE), IFERROR(VLOOKUP($A15,'Infinet ExDa'!$B$2:$E$14, 0,FALSE), "Not Found"))))))))</f>
        <v>IP-Line</v>
      </c>
      <c r="G15">
        <f>IFERROR(VLOOKUP($A15,'AAPT ExDa'!$B$2:$U$99, 5,FALSE), IFERROR(VLOOKUP($A15,'ABB ExDa'!$A$2:$N$184, 8,FALSE), IFERROR(VLOOKUP($A15,'Vocus SIT ExDa'!$B$2:$J$173, 6,FALSE), IFERROR(VLOOKUP($A15,'Telstra ExDa'!$B$2:$K$310, 0,FALSE), IFERROR(VLOOKUP($A15,'Vocus RVC ExDa'!$C$2:$R$155, 15,FALSE), IFERROR(VLOOKUP($A15,'Fusion ExDa'!$B$2:$D$16, 0,FALSE), IFERROR(VLOOKUP($A15,'Exetel ExDa'!$C$2:$N$14, 7,FALSE), IFERROR(VLOOKUP($A15,'Infinet ExDa'!$B$2:$E$14, 0,FALSE), "Not Found"))))))))</f>
        <v>0</v>
      </c>
      <c r="H15">
        <f>IFERROR(VLOOKUP($A15,'AAPT ExDa'!$B$2:$U$99, 6,FALSE), IFERROR(VLOOKUP($A15,'ABB ExDa'!$A$2:$N$184, 0,FALSE), IFERROR(VLOOKUP($A15,'Vocus SIT ExDa'!$B$2:$J$173, 0,FALSE), IFERROR(VLOOKUP($A15,'Telstra ExDa'!$B$2:$K$310, 0,FALSE), IFERROR(VLOOKUP($A15,'Vocus RVC ExDa'!$C$2:$R$155, 16,FALSE), IFERROR(VLOOKUP($A15,'Fusion ExDa'!$B$2:$D$16, 0,FALSE), IFERROR(VLOOKUP($A15,'Exetel ExDa'!$C$2:$N$14, 0,FALSE), IFERROR(VLOOKUP($A15,'Infinet ExDa'!$B$2:$E$14, 0,FALSE), "Not Found"))))))))</f>
        <v>0</v>
      </c>
      <c r="I15" t="str">
        <f>IFERROR(VLOOKUP($A15,'AAPT ExDa'!$B$2:$U$99, 0,FALSE), IFERROR(VLOOKUP($A15,'ABB ExDa'!$A$2:$N$184, 0,FALSE), IFERROR(VLOOKUP($A15,'Vocus SIT ExDa'!$B$2:$J$173, 0,FALSE), IFERROR(VLOOKUP($A15,'Telstra ExDa'!$B$2:$K$310, 0,FALSE), IFERROR(VLOOKUP($A15,'Vocus RVC ExDa'!$C$2:$R$155, 0,FALSE), IFERROR(VLOOKUP($A15,'Fusion ExDa'!$B$2:$D$16, 0,FALSE), IFERROR(VLOOKUP($A15,'Exetel ExDa'!$C$2:$N$14, 8,FALSE), IFERROR(VLOOKUP($A15,'Infinet ExDa'!$B$2:$E$14, 0,FALSE), "Not Found"))))))))</f>
        <v>Not Found</v>
      </c>
      <c r="J15">
        <f>IFERROR(VLOOKUP($A15,'AAPT ExDa'!$B$2:$U$99, 7,FALSE), IFERROR(VLOOKUP($A15,'ABB ExDa'!$A$2:$N$184, 2,FALSE), IFERROR(VLOOKUP($A15,'Vocus SIT ExDa'!$B$2:$J$173, 0,FALSE), IFERROR(VLOOKUP($A15,'Telstra ExDa'!$B$2:$K$310, 7,FALSE), IFERROR(VLOOKUP($A15,'Vocus RVC ExDa'!$C$2:$R$155, 2,FALSE), IFERROR(VLOOKUP($A15,'Fusion ExDa'!$B$2:$D$16, 3,FALSE), IFERROR(VLOOKUP($A15,'Exetel ExDa'!$C$2:$N$14, 0,FALSE), IFERROR(VLOOKUP($A15,'Infinet ExDa'!$B$2:$E$14, 0,FALSE), "Not Found"))))))))</f>
        <v>0</v>
      </c>
      <c r="K15" t="str">
        <f>IFERROR(VLOOKUP($A15,'AAPT ExDa'!$B$2:$U$99, 12,FALSE), IFERROR(VLOOKUP($A15,'ABB ExDa'!$A$2:$N$184, 0,FALSE), IFERROR(VLOOKUP($A15,'Vocus SIT ExDa'!$B$2:$J$173, 0,FALSE), IFERROR(VLOOKUP($A15,'Telstra ExDa'!$B$2:$K$310, 0,FALSE), IFERROR(VLOOKUP($A15,'Vocus RVC ExDa'!$C$2:$R$155, 0,FALSE), IFERROR(VLOOKUP($A15,'Fusion ExDa'!$B$2:$D$16, 0,FALSE), IFERROR(VLOOKUP($A15,'Exetel ExDa'!$C$2:$N$14, 12,FALSE), IFERROR(VLOOKUP($A15,'Infinet ExDa'!$B$2:$E$14, 0,FALSE), "Not Found"))))))))</f>
        <v>36 Months</v>
      </c>
      <c r="L15" s="235">
        <f>IFERROR(VLOOKUP($A15,'AAPT ExDa'!$B$2:$U$99, 11,FALSE), IFERROR(VLOOKUP($A15,'ABB ExDa'!$A$2:$N$184, 9,FALSE), IFERROR(VLOOKUP($A15,'Vocus SIT ExDa'!$B$2:$J$173, 8,FALSE), IFERROR(VLOOKUP($A15,'Telstra ExDa'!$B$2:$K$310, 0,FALSE), IFERROR(VLOOKUP($A15,'Vocus RVC ExDa'!$C$2:$R$155, 0,FALSE), IFERROR(VLOOKUP($A15,'Fusion ExDa'!$B$2:$D$16, 0,FALSE), IFERROR(VLOOKUP($A15,'Exetel ExDa'!$C$2:$N$14, 9,FALSE), IFERROR(VLOOKUP($A15,'Infinet ExDa'!$B$2:$E$14, 0,FALSE), "Not Found"))))))))</f>
        <v>44904</v>
      </c>
      <c r="M15" s="234" t="str">
        <f>IFERROR(VLOOKUP($A15,'AAPT ExDa'!$B$2:$U$99, 0,FALSE), IFERROR(VLOOKUP($A15,'ABB ExDa'!$A$2:$N$184, 0,FALSE), IFERROR(VLOOKUP($A15,'Vocus SIT ExDa'!$B$2:$J$173, 0,FALSE), IFERROR(VLOOKUP($A15,'Telstra ExDa'!$B$2:$K$310, 0,FALSE), IFERROR(VLOOKUP($A15,'Vocus RVC ExDa'!$C$2:$R$155, 0,FALSE), IFERROR(VLOOKUP($A15,'Fusion ExDa'!$B$2:$D$16, 0,FALSE), IFERROR(VLOOKUP($A15,'Exetel ExDa'!$C$2:$N$14, 11,FALSE), IFERROR(VLOOKUP($A15,'Infinet ExDa'!$B$2:$E$14, 0,FALSE), "Not Found"))))))))</f>
        <v>Not Found</v>
      </c>
      <c r="N15" t="str">
        <f>IFERROR(VLOOKUP($A15,'AAPT ExDa'!$B$2:$U$99, 0,FALSE), IFERROR(VLOOKUP($A15,'ABB ExDa'!$A$2:$N$184, 13,FALSE), IFERROR(VLOOKUP($A15,'Vocus SIT ExDa'!$B$2:$J$173, 0,FALSE), IFERROR(VLOOKUP($A15,'Telstra ExDa'!$B$2:$K$310, 0,FALSE), IFERROR(VLOOKUP($A15,'Vocus RVC ExDa'!$C$2:$R$155, 0,FALSE), IFERROR(VLOOKUP($A15,'Fusion ExDa'!$B$2:$D$16, 0,FALSE), IFERROR(VLOOKUP($A15,'Exetel ExDa'!$C$2:$N$14, 0,FALSE), IFERROR(VLOOKUP($A15,'Infinet ExDa'!$B$2:$E$14, 0,FALSE), "Not Found"))))))))</f>
        <v>Not Found</v>
      </c>
    </row>
    <row r="16" spans="1:14">
      <c r="A16" t="str">
        <v>Buys Court</v>
      </c>
      <c r="B16" t="str">
        <f>IFERROR(VLOOKUP(A16,'Exetel ExDa'!$C$2:$N$14,4,FALSE),"No Data")</f>
        <v>No Data</v>
      </c>
      <c r="C16">
        <f>IFERROR(VLOOKUP(A16,'AAPT ExDa'!$B$2:$U$99, 2,FALSE), IFERROR(VLOOKUP(A16,'ABB ExDa'!$A$2:$N$184, 2,FALSE), IFERROR(VLOOKUP(A16,'Vocus SIT ExDa'!$B$2:$J$173, 7,FALSE), IFERROR(VLOOKUP(A16,'Telstra ExDa'!$B$2:$K$310, 2,FALSE), IFERROR(VLOOKUP(A16,'Vocus RVC ExDa'!$C$2:$R$155, 3,FALSE), IFERROR(VLOOKUP(A16,'Fusion ExDa'!$B$2:$D$16, 2,FALSE), IFERROR(VLOOKUP(A16,'Exetel ExDa'!$C$2:$N$14, 2,FALSE), IFERROR(VLOOKUP(A16,'Infinet ExDa'!$B$2:$E$14, 2,FALSE), "Not Found"))))))))</f>
        <v>0</v>
      </c>
      <c r="D16" t="str">
        <f>IFERROR(VLOOKUP($A16,'AAPT ExDa'!$B$2:$U$99, 15,FALSE), IFERROR(VLOOKUP($A16,'ABB ExDa'!$A$2:$N$184, 4,FALSE), IFERROR(VLOOKUP($A16,'Vocus SIT ExDa'!$B$2:$J$173, 5,FALSE), IFERROR(VLOOKUP($A16,'Telstra ExDa'!$B$2:$K$310, 8,FALSE), IFERROR(VLOOKUP($A16,'Vocus RVC ExDa'!$C$2:$R$155, 6,FALSE), IFERROR(VLOOKUP($A16,'Fusion ExDa'!$B$2:$D$16, 4,FALSE), IFERROR(VLOOKUP($A16,'Exetel ExDa'!$C$2:$N$14, 3,FALSE), IFERROR(VLOOKUP($A16,'Infinet ExDa'!$B$2:$E$14, 3,FALSE), "Not Found"))))))))</f>
        <v>AAPT</v>
      </c>
      <c r="E16" t="str">
        <f>IFERROR(VLOOKUP($A16,'AAPT ExDa'!$B$2:$U$99, 3,FALSE), IFERROR(VLOOKUP($A16,'ABB ExDa'!$A$2:$N$184, 5,FALSE), IFERROR(VLOOKUP($A16,'Vocus SIT ExDa'!$B$2:$J$173, 2,FALSE), IFERROR(VLOOKUP($A16,'Telstra ExDa'!$B$2:$K$310, 4,FALSE), IFERROR(VLOOKUP($A16,'Vocus RVC ExDa'!$C$2:$R$155, 8,FALSE), IFERROR(VLOOKUP($A16,'Fusion ExDa'!$B$2:$D$16, 4,FALSE), IFERROR(VLOOKUP($A16,'Exetel ExDa'!$C$2:$N$14, 5,FALSE), IFERROR(VLOOKUP($A16,'Infinet ExDa'!$B$2:$E$14, 3,FALSE), "Not Found"))))))))</f>
        <v>IP-Line</v>
      </c>
      <c r="F16" t="str">
        <f>IFERROR(VLOOKUP($A16,'AAPT ExDa'!$B$2:$U$99, 4,FALSE), IFERROR(VLOOKUP($A16,'ABB ExDa'!$A$2:$N$184, 6,FALSE), IFERROR(VLOOKUP($A16,'Vocus SIT ExDa'!$B$2:$J$173, 3,FALSE), IFERROR(VLOOKUP($A16,'Telstra ExDa'!$B$2:$K$310, 5,FALSE), IFERROR(VLOOKUP($A16,'Vocus RVC ExDa'!$C$2:$R$155, 9,FALSE), IFERROR(VLOOKUP($A16,'Fusion ExDa'!$B$2:$D$16, 0,FALSE), IFERROR(VLOOKUP($A16,'Exetel ExDa'!$C$2:$N$14, 6,FALSE), IFERROR(VLOOKUP($A16,'Infinet ExDa'!$B$2:$E$14, 0,FALSE), "Not Found"))))))))</f>
        <v>IP-Line Link</v>
      </c>
      <c r="G16" t="str">
        <f>IFERROR(VLOOKUP($A16,'AAPT ExDa'!$B$2:$U$99, 5,FALSE), IFERROR(VLOOKUP($A16,'ABB ExDa'!$A$2:$N$184, 8,FALSE), IFERROR(VLOOKUP($A16,'Vocus SIT ExDa'!$B$2:$J$173, 6,FALSE), IFERROR(VLOOKUP($A16,'Telstra ExDa'!$B$2:$K$310, 0,FALSE), IFERROR(VLOOKUP($A16,'Vocus RVC ExDa'!$C$2:$R$155, 15,FALSE), IFERROR(VLOOKUP($A16,'Fusion ExDa'!$B$2:$D$16, 0,FALSE), IFERROR(VLOOKUP($A16,'Exetel ExDa'!$C$2:$N$14, 7,FALSE), IFERROR(VLOOKUP($A16,'Infinet ExDa'!$B$2:$E$14, 0,FALSE), "Not Found"))))))))</f>
        <v>Connecting IP-Line 6023265 to Access 100772049</v>
      </c>
      <c r="H16" t="str">
        <f>IFERROR(VLOOKUP($A16,'AAPT ExDa'!$B$2:$U$99, 6,FALSE), IFERROR(VLOOKUP($A16,'ABB ExDa'!$A$2:$N$184, 0,FALSE), IFERROR(VLOOKUP($A16,'Vocus SIT ExDa'!$B$2:$J$173, 0,FALSE), IFERROR(VLOOKUP($A16,'Telstra ExDa'!$B$2:$K$310, 0,FALSE), IFERROR(VLOOKUP($A16,'Vocus RVC ExDa'!$C$2:$R$155, 16,FALSE), IFERROR(VLOOKUP($A16,'Fusion ExDa'!$B$2:$D$16, 0,FALSE), IFERROR(VLOOKUP($A16,'Exetel ExDa'!$C$2:$N$14, 0,FALSE), IFERROR(VLOOKUP($A16,'Infinet ExDa'!$B$2:$E$14, 0,FALSE), "Not Found"))))))))</f>
        <v>Up to 100/40Mbps; AVC ID:AVC400035803900</v>
      </c>
      <c r="I16" t="str">
        <f>IFERROR(VLOOKUP($A16,'AAPT ExDa'!$B$2:$U$99, 0,FALSE), IFERROR(VLOOKUP($A16,'ABB ExDa'!$A$2:$N$184, 0,FALSE), IFERROR(VLOOKUP($A16,'Vocus SIT ExDa'!$B$2:$J$173, 0,FALSE), IFERROR(VLOOKUP($A16,'Telstra ExDa'!$B$2:$K$310, 0,FALSE), IFERROR(VLOOKUP($A16,'Vocus RVC ExDa'!$C$2:$R$155, 0,FALSE), IFERROR(VLOOKUP($A16,'Fusion ExDa'!$B$2:$D$16, 0,FALSE), IFERROR(VLOOKUP($A16,'Exetel ExDa'!$C$2:$N$14, 8,FALSE), IFERROR(VLOOKUP($A16,'Infinet ExDa'!$B$2:$E$14, 0,FALSE), "Not Found"))))))))</f>
        <v>Not Found</v>
      </c>
      <c r="J16" t="str">
        <f>IFERROR(VLOOKUP($A16,'AAPT ExDa'!$B$2:$U$99, 7,FALSE), IFERROR(VLOOKUP($A16,'ABB ExDa'!$A$2:$N$184, 2,FALSE), IFERROR(VLOOKUP($A16,'Vocus SIT ExDa'!$B$2:$J$173, 0,FALSE), IFERROR(VLOOKUP($A16,'Telstra ExDa'!$B$2:$K$310, 7,FALSE), IFERROR(VLOOKUP($A16,'Vocus RVC ExDa'!$C$2:$R$155, 2,FALSE), IFERROR(VLOOKUP($A16,'Fusion ExDa'!$B$2:$D$16, 3,FALSE), IFERROR(VLOOKUP($A16,'Exetel ExDa'!$C$2:$N$14, 0,FALSE), IFERROR(VLOOKUP($A16,'Infinet ExDa'!$B$2:$E$14, 0,FALSE), "Not Found"))))))))</f>
        <v>AVC400035803900</v>
      </c>
      <c r="K16" t="str">
        <f>IFERROR(VLOOKUP($A16,'AAPT ExDa'!$B$2:$U$99, 12,FALSE), IFERROR(VLOOKUP($A16,'ABB ExDa'!$A$2:$N$184, 0,FALSE), IFERROR(VLOOKUP($A16,'Vocus SIT ExDa'!$B$2:$J$173, 0,FALSE), IFERROR(VLOOKUP($A16,'Telstra ExDa'!$B$2:$K$310, 0,FALSE), IFERROR(VLOOKUP($A16,'Vocus RVC ExDa'!$C$2:$R$155, 0,FALSE), IFERROR(VLOOKUP($A16,'Fusion ExDa'!$B$2:$D$16, 0,FALSE), IFERROR(VLOOKUP($A16,'Exetel ExDa'!$C$2:$N$14, 12,FALSE), IFERROR(VLOOKUP($A16,'Infinet ExDa'!$B$2:$E$14, 0,FALSE), "Not Found"))))))))</f>
        <v>36 Months</v>
      </c>
      <c r="L16" s="235" t="str">
        <f>IFERROR(VLOOKUP($A16,'AAPT ExDa'!$B$2:$U$99, 11,FALSE), IFERROR(VLOOKUP($A16,'ABB ExDa'!$A$2:$N$184, 9,FALSE), IFERROR(VLOOKUP($A16,'Vocus SIT ExDa'!$B$2:$J$173, 8,FALSE), IFERROR(VLOOKUP($A16,'Telstra ExDa'!$B$2:$K$310, 0,FALSE), IFERROR(VLOOKUP($A16,'Vocus RVC ExDa'!$C$2:$R$155, 0,FALSE), IFERROR(VLOOKUP($A16,'Fusion ExDa'!$B$2:$D$16, 0,FALSE), IFERROR(VLOOKUP($A16,'Exetel ExDa'!$C$2:$N$14, 9,FALSE), IFERROR(VLOOKUP($A16,'Infinet ExDa'!$B$2:$E$14, 0,FALSE), "Not Found"))))))))</f>
        <v>18/10/2021</v>
      </c>
      <c r="M16" s="234" t="str">
        <f>IFERROR(VLOOKUP($A16,'AAPT ExDa'!$B$2:$U$99, 0,FALSE), IFERROR(VLOOKUP($A16,'ABB ExDa'!$A$2:$N$184, 0,FALSE), IFERROR(VLOOKUP($A16,'Vocus SIT ExDa'!$B$2:$J$173, 0,FALSE), IFERROR(VLOOKUP($A16,'Telstra ExDa'!$B$2:$K$310, 0,FALSE), IFERROR(VLOOKUP($A16,'Vocus RVC ExDa'!$C$2:$R$155, 0,FALSE), IFERROR(VLOOKUP($A16,'Fusion ExDa'!$B$2:$D$16, 0,FALSE), IFERROR(VLOOKUP($A16,'Exetel ExDa'!$C$2:$N$14, 11,FALSE), IFERROR(VLOOKUP($A16,'Infinet ExDa'!$B$2:$E$14, 0,FALSE), "Not Found"))))))))</f>
        <v>Not Found</v>
      </c>
      <c r="N16" t="str">
        <f>IFERROR(VLOOKUP($A16,'AAPT ExDa'!$B$2:$U$99, 0,FALSE), IFERROR(VLOOKUP($A16,'ABB ExDa'!$A$2:$N$184, 13,FALSE), IFERROR(VLOOKUP($A16,'Vocus SIT ExDa'!$B$2:$J$173, 0,FALSE), IFERROR(VLOOKUP($A16,'Telstra ExDa'!$B$2:$K$310, 0,FALSE), IFERROR(VLOOKUP($A16,'Vocus RVC ExDa'!$C$2:$R$155, 0,FALSE), IFERROR(VLOOKUP($A16,'Fusion ExDa'!$B$2:$D$16, 0,FALSE), IFERROR(VLOOKUP($A16,'Exetel ExDa'!$C$2:$N$14, 0,FALSE), IFERROR(VLOOKUP($A16,'Infinet ExDa'!$B$2:$E$14, 0,FALSE), "Not Found"))))))))</f>
        <v>Not Found</v>
      </c>
    </row>
    <row r="17" spans="1:14">
      <c r="A17" t="str">
        <v>Caravan &amp; RV Works</v>
      </c>
      <c r="B17" t="str">
        <f>IFERROR(VLOOKUP(A17,'Exetel ExDa'!$C$2:$N$14,4,FALSE),"No Data")</f>
        <v>No Data</v>
      </c>
      <c r="C17">
        <f>IFERROR(VLOOKUP(A17,'AAPT ExDa'!$B$2:$U$99, 2,FALSE), IFERROR(VLOOKUP(A17,'ABB ExDa'!$A$2:$N$184, 2,FALSE), IFERROR(VLOOKUP(A17,'Vocus SIT ExDa'!$B$2:$J$173, 7,FALSE), IFERROR(VLOOKUP(A17,'Telstra ExDa'!$B$2:$K$310, 2,FALSE), IFERROR(VLOOKUP(A17,'Vocus RVC ExDa'!$C$2:$R$155, 3,FALSE), IFERROR(VLOOKUP(A17,'Fusion ExDa'!$B$2:$D$16, 2,FALSE), IFERROR(VLOOKUP(A17,'Exetel ExDa'!$C$2:$N$14, 2,FALSE), IFERROR(VLOOKUP(A17,'Infinet ExDa'!$B$2:$E$14, 2,FALSE), "Not Found"))))))))</f>
        <v>0</v>
      </c>
      <c r="D17" t="str">
        <f>IFERROR(VLOOKUP($A17,'AAPT ExDa'!$B$2:$U$99, 15,FALSE), IFERROR(VLOOKUP($A17,'ABB ExDa'!$A$2:$N$184, 4,FALSE), IFERROR(VLOOKUP($A17,'Vocus SIT ExDa'!$B$2:$J$173, 5,FALSE), IFERROR(VLOOKUP($A17,'Telstra ExDa'!$B$2:$K$310, 8,FALSE), IFERROR(VLOOKUP($A17,'Vocus RVC ExDa'!$C$2:$R$155, 6,FALSE), IFERROR(VLOOKUP($A17,'Fusion ExDa'!$B$2:$D$16, 4,FALSE), IFERROR(VLOOKUP($A17,'Exetel ExDa'!$C$2:$N$14, 3,FALSE), IFERROR(VLOOKUP($A17,'Infinet ExDa'!$B$2:$E$14, 3,FALSE), "Not Found"))))))))</f>
        <v>AAPT</v>
      </c>
      <c r="E17" t="str">
        <f>IFERROR(VLOOKUP($A17,'AAPT ExDa'!$B$2:$U$99, 3,FALSE), IFERROR(VLOOKUP($A17,'ABB ExDa'!$A$2:$N$184, 5,FALSE), IFERROR(VLOOKUP($A17,'Vocus SIT ExDa'!$B$2:$J$173, 2,FALSE), IFERROR(VLOOKUP($A17,'Telstra ExDa'!$B$2:$K$310, 4,FALSE), IFERROR(VLOOKUP($A17,'Vocus RVC ExDa'!$C$2:$R$155, 8,FALSE), IFERROR(VLOOKUP($A17,'Fusion ExDa'!$B$2:$D$16, 4,FALSE), IFERROR(VLOOKUP($A17,'Exetel ExDa'!$C$2:$N$14, 5,FALSE), IFERROR(VLOOKUP($A17,'Infinet ExDa'!$B$2:$E$14, 3,FALSE), "Not Found"))))))))</f>
        <v>IP-Line</v>
      </c>
      <c r="F17" t="str">
        <f>IFERROR(VLOOKUP($A17,'AAPT ExDa'!$B$2:$U$99, 4,FALSE), IFERROR(VLOOKUP($A17,'ABB ExDa'!$A$2:$N$184, 6,FALSE), IFERROR(VLOOKUP($A17,'Vocus SIT ExDa'!$B$2:$J$173, 3,FALSE), IFERROR(VLOOKUP($A17,'Telstra ExDa'!$B$2:$K$310, 5,FALSE), IFERROR(VLOOKUP($A17,'Vocus RVC ExDa'!$C$2:$R$155, 9,FALSE), IFERROR(VLOOKUP($A17,'Fusion ExDa'!$B$2:$D$16, 0,FALSE), IFERROR(VLOOKUP($A17,'Exetel ExDa'!$C$2:$N$14, 6,FALSE), IFERROR(VLOOKUP($A17,'Infinet ExDa'!$B$2:$E$14, 0,FALSE), "Not Found"))))))))</f>
        <v>IP-Line Link</v>
      </c>
      <c r="G17" t="str">
        <f>IFERROR(VLOOKUP($A17,'AAPT ExDa'!$B$2:$U$99, 5,FALSE), IFERROR(VLOOKUP($A17,'ABB ExDa'!$A$2:$N$184, 8,FALSE), IFERROR(VLOOKUP($A17,'Vocus SIT ExDa'!$B$2:$J$173, 6,FALSE), IFERROR(VLOOKUP($A17,'Telstra ExDa'!$B$2:$K$310, 0,FALSE), IFERROR(VLOOKUP($A17,'Vocus RVC ExDa'!$C$2:$R$155, 15,FALSE), IFERROR(VLOOKUP($A17,'Fusion ExDa'!$B$2:$D$16, 0,FALSE), IFERROR(VLOOKUP($A17,'Exetel ExDa'!$C$2:$N$14, 7,FALSE), IFERROR(VLOOKUP($A17,'Infinet ExDa'!$B$2:$E$14, 0,FALSE), "Not Found"))))))))</f>
        <v>Connecting IP-Line 6023265 to Access 1818765</v>
      </c>
      <c r="H17" t="str">
        <f>IFERROR(VLOOKUP($A17,'AAPT ExDa'!$B$2:$U$99, 6,FALSE), IFERROR(VLOOKUP($A17,'ABB ExDa'!$A$2:$N$184, 0,FALSE), IFERROR(VLOOKUP($A17,'Vocus SIT ExDa'!$B$2:$J$173, 0,FALSE), IFERROR(VLOOKUP($A17,'Telstra ExDa'!$B$2:$K$310, 0,FALSE), IFERROR(VLOOKUP($A17,'Vocus RVC ExDa'!$C$2:$R$155, 16,FALSE), IFERROR(VLOOKUP($A17,'Fusion ExDa'!$B$2:$D$16, 0,FALSE), IFERROR(VLOOKUP($A17,'Exetel ExDa'!$C$2:$N$14, 0,FALSE), IFERROR(VLOOKUP($A17,'Infinet ExDa'!$B$2:$E$14, 0,FALSE), "Not Found"))))))))</f>
        <v>Up to 100/40Mbps; AVC ID:AVC000107543920</v>
      </c>
      <c r="I17" t="str">
        <f>IFERROR(VLOOKUP($A17,'AAPT ExDa'!$B$2:$U$99, 0,FALSE), IFERROR(VLOOKUP($A17,'ABB ExDa'!$A$2:$N$184, 0,FALSE), IFERROR(VLOOKUP($A17,'Vocus SIT ExDa'!$B$2:$J$173, 0,FALSE), IFERROR(VLOOKUP($A17,'Telstra ExDa'!$B$2:$K$310, 0,FALSE), IFERROR(VLOOKUP($A17,'Vocus RVC ExDa'!$C$2:$R$155, 0,FALSE), IFERROR(VLOOKUP($A17,'Fusion ExDa'!$B$2:$D$16, 0,FALSE), IFERROR(VLOOKUP($A17,'Exetel ExDa'!$C$2:$N$14, 8,FALSE), IFERROR(VLOOKUP($A17,'Infinet ExDa'!$B$2:$E$14, 0,FALSE), "Not Found"))))))))</f>
        <v>Not Found</v>
      </c>
      <c r="J17" t="str">
        <f>IFERROR(VLOOKUP($A17,'AAPT ExDa'!$B$2:$U$99, 7,FALSE), IFERROR(VLOOKUP($A17,'ABB ExDa'!$A$2:$N$184, 2,FALSE), IFERROR(VLOOKUP($A17,'Vocus SIT ExDa'!$B$2:$J$173, 0,FALSE), IFERROR(VLOOKUP($A17,'Telstra ExDa'!$B$2:$K$310, 7,FALSE), IFERROR(VLOOKUP($A17,'Vocus RVC ExDa'!$C$2:$R$155, 2,FALSE), IFERROR(VLOOKUP($A17,'Fusion ExDa'!$B$2:$D$16, 3,FALSE), IFERROR(VLOOKUP($A17,'Exetel ExDa'!$C$2:$N$14, 0,FALSE), IFERROR(VLOOKUP($A17,'Infinet ExDa'!$B$2:$E$14, 0,FALSE), "Not Found"))))))))</f>
        <v>AVC000107543920</v>
      </c>
      <c r="K17" t="str">
        <f>IFERROR(VLOOKUP($A17,'AAPT ExDa'!$B$2:$U$99, 12,FALSE), IFERROR(VLOOKUP($A17,'ABB ExDa'!$A$2:$N$184, 0,FALSE), IFERROR(VLOOKUP($A17,'Vocus SIT ExDa'!$B$2:$J$173, 0,FALSE), IFERROR(VLOOKUP($A17,'Telstra ExDa'!$B$2:$K$310, 0,FALSE), IFERROR(VLOOKUP($A17,'Vocus RVC ExDa'!$C$2:$R$155, 0,FALSE), IFERROR(VLOOKUP($A17,'Fusion ExDa'!$B$2:$D$16, 0,FALSE), IFERROR(VLOOKUP($A17,'Exetel ExDa'!$C$2:$N$14, 12,FALSE), IFERROR(VLOOKUP($A17,'Infinet ExDa'!$B$2:$E$14, 0,FALSE), "Not Found"))))))))</f>
        <v>24 Months</v>
      </c>
      <c r="L17" s="235" t="str">
        <f>IFERROR(VLOOKUP($A17,'AAPT ExDa'!$B$2:$U$99, 11,FALSE), IFERROR(VLOOKUP($A17,'ABB ExDa'!$A$2:$N$184, 9,FALSE), IFERROR(VLOOKUP($A17,'Vocus SIT ExDa'!$B$2:$J$173, 8,FALSE), IFERROR(VLOOKUP($A17,'Telstra ExDa'!$B$2:$K$310, 0,FALSE), IFERROR(VLOOKUP($A17,'Vocus RVC ExDa'!$C$2:$R$155, 0,FALSE), IFERROR(VLOOKUP($A17,'Fusion ExDa'!$B$2:$D$16, 0,FALSE), IFERROR(VLOOKUP($A17,'Exetel ExDa'!$C$2:$N$14, 9,FALSE), IFERROR(VLOOKUP($A17,'Infinet ExDa'!$B$2:$E$14, 0,FALSE), "Not Found"))))))))</f>
        <v>20/05/2020</v>
      </c>
      <c r="M17" s="234" t="str">
        <f>IFERROR(VLOOKUP($A17,'AAPT ExDa'!$B$2:$U$99, 0,FALSE), IFERROR(VLOOKUP($A17,'ABB ExDa'!$A$2:$N$184, 0,FALSE), IFERROR(VLOOKUP($A17,'Vocus SIT ExDa'!$B$2:$J$173, 0,FALSE), IFERROR(VLOOKUP($A17,'Telstra ExDa'!$B$2:$K$310, 0,FALSE), IFERROR(VLOOKUP($A17,'Vocus RVC ExDa'!$C$2:$R$155, 0,FALSE), IFERROR(VLOOKUP($A17,'Fusion ExDa'!$B$2:$D$16, 0,FALSE), IFERROR(VLOOKUP($A17,'Exetel ExDa'!$C$2:$N$14, 11,FALSE), IFERROR(VLOOKUP($A17,'Infinet ExDa'!$B$2:$E$14, 0,FALSE), "Not Found"))))))))</f>
        <v>Not Found</v>
      </c>
      <c r="N17" t="str">
        <f>IFERROR(VLOOKUP($A17,'AAPT ExDa'!$B$2:$U$99, 0,FALSE), IFERROR(VLOOKUP($A17,'ABB ExDa'!$A$2:$N$184, 13,FALSE), IFERROR(VLOOKUP($A17,'Vocus SIT ExDa'!$B$2:$J$173, 0,FALSE), IFERROR(VLOOKUP($A17,'Telstra ExDa'!$B$2:$K$310, 0,FALSE), IFERROR(VLOOKUP($A17,'Vocus RVC ExDa'!$C$2:$R$155, 0,FALSE), IFERROR(VLOOKUP($A17,'Fusion ExDa'!$B$2:$D$16, 0,FALSE), IFERROR(VLOOKUP($A17,'Exetel ExDa'!$C$2:$N$14, 0,FALSE), IFERROR(VLOOKUP($A17,'Infinet ExDa'!$B$2:$E$14, 0,FALSE), "Not Found"))))))))</f>
        <v>Not Found</v>
      </c>
    </row>
    <row r="18" spans="1:14">
      <c r="A18" t="str">
        <v>Caravan Fix Coffs Harbour</v>
      </c>
      <c r="B18" t="str">
        <f>IFERROR(VLOOKUP(A18,'Exetel ExDa'!$C$2:$N$14,4,FALSE),"No Data")</f>
        <v>No Data</v>
      </c>
      <c r="C18">
        <f>IFERROR(VLOOKUP(A18,'AAPT ExDa'!$B$2:$U$99, 2,FALSE), IFERROR(VLOOKUP(A18,'ABB ExDa'!$A$2:$N$184, 2,FALSE), IFERROR(VLOOKUP(A18,'Vocus SIT ExDa'!$B$2:$J$173, 7,FALSE), IFERROR(VLOOKUP(A18,'Telstra ExDa'!$B$2:$K$310, 2,FALSE), IFERROR(VLOOKUP(A18,'Vocus RVC ExDa'!$C$2:$R$155, 3,FALSE), IFERROR(VLOOKUP(A18,'Fusion ExDa'!$B$2:$D$16, 2,FALSE), IFERROR(VLOOKUP(A18,'Exetel ExDa'!$C$2:$N$14, 2,FALSE), IFERROR(VLOOKUP(A18,'Infinet ExDa'!$B$2:$E$14, 2,FALSE), "Not Found"))))))))</f>
        <v>0</v>
      </c>
      <c r="D18" t="str">
        <f>IFERROR(VLOOKUP($A18,'AAPT ExDa'!$B$2:$U$99, 15,FALSE), IFERROR(VLOOKUP($A18,'ABB ExDa'!$A$2:$N$184, 4,FALSE), IFERROR(VLOOKUP($A18,'Vocus SIT ExDa'!$B$2:$J$173, 5,FALSE), IFERROR(VLOOKUP($A18,'Telstra ExDa'!$B$2:$K$310, 8,FALSE), IFERROR(VLOOKUP($A18,'Vocus RVC ExDa'!$C$2:$R$155, 6,FALSE), IFERROR(VLOOKUP($A18,'Fusion ExDa'!$B$2:$D$16, 4,FALSE), IFERROR(VLOOKUP($A18,'Exetel ExDa'!$C$2:$N$14, 3,FALSE), IFERROR(VLOOKUP($A18,'Infinet ExDa'!$B$2:$E$14, 3,FALSE), "Not Found"))))))))</f>
        <v>AAPT</v>
      </c>
      <c r="E18" t="str">
        <f>IFERROR(VLOOKUP($A18,'AAPT ExDa'!$B$2:$U$99, 3,FALSE), IFERROR(VLOOKUP($A18,'ABB ExDa'!$A$2:$N$184, 5,FALSE), IFERROR(VLOOKUP($A18,'Vocus SIT ExDa'!$B$2:$J$173, 2,FALSE), IFERROR(VLOOKUP($A18,'Telstra ExDa'!$B$2:$K$310, 4,FALSE), IFERROR(VLOOKUP($A18,'Vocus RVC ExDa'!$C$2:$R$155, 8,FALSE), IFERROR(VLOOKUP($A18,'Fusion ExDa'!$B$2:$D$16, 4,FALSE), IFERROR(VLOOKUP($A18,'Exetel ExDa'!$C$2:$N$14, 5,FALSE), IFERROR(VLOOKUP($A18,'Infinet ExDa'!$B$2:$E$14, 3,FALSE), "Not Found"))))))))</f>
        <v>IP-Line</v>
      </c>
      <c r="F18" t="str">
        <f>IFERROR(VLOOKUP($A18,'AAPT ExDa'!$B$2:$U$99, 4,FALSE), IFERROR(VLOOKUP($A18,'ABB ExDa'!$A$2:$N$184, 6,FALSE), IFERROR(VLOOKUP($A18,'Vocus SIT ExDa'!$B$2:$J$173, 3,FALSE), IFERROR(VLOOKUP($A18,'Telstra ExDa'!$B$2:$K$310, 5,FALSE), IFERROR(VLOOKUP($A18,'Vocus RVC ExDa'!$C$2:$R$155, 9,FALSE), IFERROR(VLOOKUP($A18,'Fusion ExDa'!$B$2:$D$16, 0,FALSE), IFERROR(VLOOKUP($A18,'Exetel ExDa'!$C$2:$N$14, 6,FALSE), IFERROR(VLOOKUP($A18,'Infinet ExDa'!$B$2:$E$14, 0,FALSE), "Not Found"))))))))</f>
        <v>IP-Line Link</v>
      </c>
      <c r="G18" t="str">
        <f>IFERROR(VLOOKUP($A18,'AAPT ExDa'!$B$2:$U$99, 5,FALSE), IFERROR(VLOOKUP($A18,'ABB ExDa'!$A$2:$N$184, 8,FALSE), IFERROR(VLOOKUP($A18,'Vocus SIT ExDa'!$B$2:$J$173, 6,FALSE), IFERROR(VLOOKUP($A18,'Telstra ExDa'!$B$2:$K$310, 0,FALSE), IFERROR(VLOOKUP($A18,'Vocus RVC ExDa'!$C$2:$R$155, 15,FALSE), IFERROR(VLOOKUP($A18,'Fusion ExDa'!$B$2:$D$16, 0,FALSE), IFERROR(VLOOKUP($A18,'Exetel ExDa'!$C$2:$N$14, 7,FALSE), IFERROR(VLOOKUP($A18,'Infinet ExDa'!$B$2:$E$14, 0,FALSE), "Not Found"))))))))</f>
        <v>Connecting IP-Line 6023265 to Access 1814007</v>
      </c>
      <c r="H18" t="str">
        <f>IFERROR(VLOOKUP($A18,'AAPT ExDa'!$B$2:$U$99, 6,FALSE), IFERROR(VLOOKUP($A18,'ABB ExDa'!$A$2:$N$184, 0,FALSE), IFERROR(VLOOKUP($A18,'Vocus SIT ExDa'!$B$2:$J$173, 0,FALSE), IFERROR(VLOOKUP($A18,'Telstra ExDa'!$B$2:$K$310, 0,FALSE), IFERROR(VLOOKUP($A18,'Vocus RVC ExDa'!$C$2:$R$155, 16,FALSE), IFERROR(VLOOKUP($A18,'Fusion ExDa'!$B$2:$D$16, 0,FALSE), IFERROR(VLOOKUP($A18,'Exetel ExDa'!$C$2:$N$14, 0,FALSE), IFERROR(VLOOKUP($A18,'Infinet ExDa'!$B$2:$E$14, 0,FALSE), "Not Found"))))))))</f>
        <v>Up to 100/40Mbps; AVC ID:AVC000101436766</v>
      </c>
      <c r="I18" t="str">
        <f>IFERROR(VLOOKUP($A18,'AAPT ExDa'!$B$2:$U$99, 0,FALSE), IFERROR(VLOOKUP($A18,'ABB ExDa'!$A$2:$N$184, 0,FALSE), IFERROR(VLOOKUP($A18,'Vocus SIT ExDa'!$B$2:$J$173, 0,FALSE), IFERROR(VLOOKUP($A18,'Telstra ExDa'!$B$2:$K$310, 0,FALSE), IFERROR(VLOOKUP($A18,'Vocus RVC ExDa'!$C$2:$R$155, 0,FALSE), IFERROR(VLOOKUP($A18,'Fusion ExDa'!$B$2:$D$16, 0,FALSE), IFERROR(VLOOKUP($A18,'Exetel ExDa'!$C$2:$N$14, 8,FALSE), IFERROR(VLOOKUP($A18,'Infinet ExDa'!$B$2:$E$14, 0,FALSE), "Not Found"))))))))</f>
        <v>Not Found</v>
      </c>
      <c r="J18" t="str">
        <f>IFERROR(VLOOKUP($A18,'AAPT ExDa'!$B$2:$U$99, 7,FALSE), IFERROR(VLOOKUP($A18,'ABB ExDa'!$A$2:$N$184, 2,FALSE), IFERROR(VLOOKUP($A18,'Vocus SIT ExDa'!$B$2:$J$173, 0,FALSE), IFERROR(VLOOKUP($A18,'Telstra ExDa'!$B$2:$K$310, 7,FALSE), IFERROR(VLOOKUP($A18,'Vocus RVC ExDa'!$C$2:$R$155, 2,FALSE), IFERROR(VLOOKUP($A18,'Fusion ExDa'!$B$2:$D$16, 3,FALSE), IFERROR(VLOOKUP($A18,'Exetel ExDa'!$C$2:$N$14, 0,FALSE), IFERROR(VLOOKUP($A18,'Infinet ExDa'!$B$2:$E$14, 0,FALSE), "Not Found"))))))))</f>
        <v>AVC000101436766</v>
      </c>
      <c r="K18" t="str">
        <f>IFERROR(VLOOKUP($A18,'AAPT ExDa'!$B$2:$U$99, 12,FALSE), IFERROR(VLOOKUP($A18,'ABB ExDa'!$A$2:$N$184, 0,FALSE), IFERROR(VLOOKUP($A18,'Vocus SIT ExDa'!$B$2:$J$173, 0,FALSE), IFERROR(VLOOKUP($A18,'Telstra ExDa'!$B$2:$K$310, 0,FALSE), IFERROR(VLOOKUP($A18,'Vocus RVC ExDa'!$C$2:$R$155, 0,FALSE), IFERROR(VLOOKUP($A18,'Fusion ExDa'!$B$2:$D$16, 0,FALSE), IFERROR(VLOOKUP($A18,'Exetel ExDa'!$C$2:$N$14, 12,FALSE), IFERROR(VLOOKUP($A18,'Infinet ExDa'!$B$2:$E$14, 0,FALSE), "Not Found"))))))))</f>
        <v>24 Months</v>
      </c>
      <c r="L18" s="235">
        <f>IFERROR(VLOOKUP($A18,'AAPT ExDa'!$B$2:$U$99, 11,FALSE), IFERROR(VLOOKUP($A18,'ABB ExDa'!$A$2:$N$184, 9,FALSE), IFERROR(VLOOKUP($A18,'Vocus SIT ExDa'!$B$2:$J$173, 8,FALSE), IFERROR(VLOOKUP($A18,'Telstra ExDa'!$B$2:$K$310, 0,FALSE), IFERROR(VLOOKUP($A18,'Vocus RVC ExDa'!$C$2:$R$155, 0,FALSE), IFERROR(VLOOKUP($A18,'Fusion ExDa'!$B$2:$D$16, 0,FALSE), IFERROR(VLOOKUP($A18,'Exetel ExDa'!$C$2:$N$14, 9,FALSE), IFERROR(VLOOKUP($A18,'Infinet ExDa'!$B$2:$E$14, 0,FALSE), "Not Found"))))))))</f>
        <v>43954</v>
      </c>
      <c r="M18" s="234" t="str">
        <f>IFERROR(VLOOKUP($A18,'AAPT ExDa'!$B$2:$U$99, 0,FALSE), IFERROR(VLOOKUP($A18,'ABB ExDa'!$A$2:$N$184, 0,FALSE), IFERROR(VLOOKUP($A18,'Vocus SIT ExDa'!$B$2:$J$173, 0,FALSE), IFERROR(VLOOKUP($A18,'Telstra ExDa'!$B$2:$K$310, 0,FALSE), IFERROR(VLOOKUP($A18,'Vocus RVC ExDa'!$C$2:$R$155, 0,FALSE), IFERROR(VLOOKUP($A18,'Fusion ExDa'!$B$2:$D$16, 0,FALSE), IFERROR(VLOOKUP($A18,'Exetel ExDa'!$C$2:$N$14, 11,FALSE), IFERROR(VLOOKUP($A18,'Infinet ExDa'!$B$2:$E$14, 0,FALSE), "Not Found"))))))))</f>
        <v>Not Found</v>
      </c>
      <c r="N18" t="str">
        <f>IFERROR(VLOOKUP($A18,'AAPT ExDa'!$B$2:$U$99, 0,FALSE), IFERROR(VLOOKUP($A18,'ABB ExDa'!$A$2:$N$184, 13,FALSE), IFERROR(VLOOKUP($A18,'Vocus SIT ExDa'!$B$2:$J$173, 0,FALSE), IFERROR(VLOOKUP($A18,'Telstra ExDa'!$B$2:$K$310, 0,FALSE), IFERROR(VLOOKUP($A18,'Vocus RVC ExDa'!$C$2:$R$155, 0,FALSE), IFERROR(VLOOKUP($A18,'Fusion ExDa'!$B$2:$D$16, 0,FALSE), IFERROR(VLOOKUP($A18,'Exetel ExDa'!$C$2:$N$14, 0,FALSE), IFERROR(VLOOKUP($A18,'Infinet ExDa'!$B$2:$E$14, 0,FALSE), "Not Found"))))))))</f>
        <v>Not Found</v>
      </c>
    </row>
    <row r="19" spans="1:14">
      <c r="A19" t="str">
        <v>CMC</v>
      </c>
      <c r="B19" t="str">
        <f>IFERROR(VLOOKUP(A19,'Exetel ExDa'!$C$2:$N$14,4,FALSE),"No Data")</f>
        <v>No Data</v>
      </c>
      <c r="C19">
        <f>IFERROR(VLOOKUP(A19,'AAPT ExDa'!$B$2:$U$99, 2,FALSE), IFERROR(VLOOKUP(A19,'ABB ExDa'!$A$2:$N$184, 2,FALSE), IFERROR(VLOOKUP(A19,'Vocus SIT ExDa'!$B$2:$J$173, 7,FALSE), IFERROR(VLOOKUP(A19,'Telstra ExDa'!$B$2:$K$310, 2,FALSE), IFERROR(VLOOKUP(A19,'Vocus RVC ExDa'!$C$2:$R$155, 3,FALSE), IFERROR(VLOOKUP(A19,'Fusion ExDa'!$B$2:$D$16, 2,FALSE), IFERROR(VLOOKUP(A19,'Exetel ExDa'!$C$2:$N$14, 2,FALSE), IFERROR(VLOOKUP(A19,'Infinet ExDa'!$B$2:$E$14, 2,FALSE), "Not Found"))))))))</f>
        <v>0</v>
      </c>
      <c r="D19" t="str">
        <f>IFERROR(VLOOKUP($A19,'AAPT ExDa'!$B$2:$U$99, 15,FALSE), IFERROR(VLOOKUP($A19,'ABB ExDa'!$A$2:$N$184, 4,FALSE), IFERROR(VLOOKUP($A19,'Vocus SIT ExDa'!$B$2:$J$173, 5,FALSE), IFERROR(VLOOKUP($A19,'Telstra ExDa'!$B$2:$K$310, 8,FALSE), IFERROR(VLOOKUP($A19,'Vocus RVC ExDa'!$C$2:$R$155, 6,FALSE), IFERROR(VLOOKUP($A19,'Fusion ExDa'!$B$2:$D$16, 4,FALSE), IFERROR(VLOOKUP($A19,'Exetel ExDa'!$C$2:$N$14, 3,FALSE), IFERROR(VLOOKUP($A19,'Infinet ExDa'!$B$2:$E$14, 3,FALSE), "Not Found"))))))))</f>
        <v>AAPT</v>
      </c>
      <c r="E19" t="str">
        <f>IFERROR(VLOOKUP($A19,'AAPT ExDa'!$B$2:$U$99, 3,FALSE), IFERROR(VLOOKUP($A19,'ABB ExDa'!$A$2:$N$184, 5,FALSE), IFERROR(VLOOKUP($A19,'Vocus SIT ExDa'!$B$2:$J$173, 2,FALSE), IFERROR(VLOOKUP($A19,'Telstra ExDa'!$B$2:$K$310, 4,FALSE), IFERROR(VLOOKUP($A19,'Vocus RVC ExDa'!$C$2:$R$155, 8,FALSE), IFERROR(VLOOKUP($A19,'Fusion ExDa'!$B$2:$D$16, 4,FALSE), IFERROR(VLOOKUP($A19,'Exetel ExDa'!$C$2:$N$14, 5,FALSE), IFERROR(VLOOKUP($A19,'Infinet ExDa'!$B$2:$E$14, 3,FALSE), "Not Found"))))))))</f>
        <v>IP-Line</v>
      </c>
      <c r="F19" t="str">
        <f>IFERROR(VLOOKUP($A19,'AAPT ExDa'!$B$2:$U$99, 4,FALSE), IFERROR(VLOOKUP($A19,'ABB ExDa'!$A$2:$N$184, 6,FALSE), IFERROR(VLOOKUP($A19,'Vocus SIT ExDa'!$B$2:$J$173, 3,FALSE), IFERROR(VLOOKUP($A19,'Telstra ExDa'!$B$2:$K$310, 5,FALSE), IFERROR(VLOOKUP($A19,'Vocus RVC ExDa'!$C$2:$R$155, 9,FALSE), IFERROR(VLOOKUP($A19,'Fusion ExDa'!$B$2:$D$16, 0,FALSE), IFERROR(VLOOKUP($A19,'Exetel ExDa'!$C$2:$N$14, 6,FALSE), IFERROR(VLOOKUP($A19,'Infinet ExDa'!$B$2:$E$14, 0,FALSE), "Not Found"))))))))</f>
        <v>IP-Line Link</v>
      </c>
      <c r="G19" t="str">
        <f>IFERROR(VLOOKUP($A19,'AAPT ExDa'!$B$2:$U$99, 5,FALSE), IFERROR(VLOOKUP($A19,'ABB ExDa'!$A$2:$N$184, 8,FALSE), IFERROR(VLOOKUP($A19,'Vocus SIT ExDa'!$B$2:$J$173, 6,FALSE), IFERROR(VLOOKUP($A19,'Telstra ExDa'!$B$2:$K$310, 0,FALSE), IFERROR(VLOOKUP($A19,'Vocus RVC ExDa'!$C$2:$R$155, 15,FALSE), IFERROR(VLOOKUP($A19,'Fusion ExDa'!$B$2:$D$16, 0,FALSE), IFERROR(VLOOKUP($A19,'Exetel ExDa'!$C$2:$N$14, 7,FALSE), IFERROR(VLOOKUP($A19,'Infinet ExDa'!$B$2:$E$14, 0,FALSE), "Not Found"))))))))</f>
        <v>Connecting IP-Line 6023265 to Access 1743807</v>
      </c>
      <c r="H19" t="str">
        <f>IFERROR(VLOOKUP($A19,'AAPT ExDa'!$B$2:$U$99, 6,FALSE), IFERROR(VLOOKUP($A19,'ABB ExDa'!$A$2:$N$184, 0,FALSE), IFERROR(VLOOKUP($A19,'Vocus SIT ExDa'!$B$2:$J$173, 0,FALSE), IFERROR(VLOOKUP($A19,'Telstra ExDa'!$B$2:$K$310, 0,FALSE), IFERROR(VLOOKUP($A19,'Vocus RVC ExDa'!$C$2:$R$155, 16,FALSE), IFERROR(VLOOKUP($A19,'Fusion ExDa'!$B$2:$D$16, 0,FALSE), IFERROR(VLOOKUP($A19,'Exetel ExDa'!$C$2:$N$14, 0,FALSE), IFERROR(VLOOKUP($A19,'Infinet ExDa'!$B$2:$E$14, 0,FALSE), "Not Found"))))))))</f>
        <v>Up to 50/20Mbps; AVC ID:AVC400015156041</v>
      </c>
      <c r="I19" t="str">
        <f>IFERROR(VLOOKUP($A19,'AAPT ExDa'!$B$2:$U$99, 0,FALSE), IFERROR(VLOOKUP($A19,'ABB ExDa'!$A$2:$N$184, 0,FALSE), IFERROR(VLOOKUP($A19,'Vocus SIT ExDa'!$B$2:$J$173, 0,FALSE), IFERROR(VLOOKUP($A19,'Telstra ExDa'!$B$2:$K$310, 0,FALSE), IFERROR(VLOOKUP($A19,'Vocus RVC ExDa'!$C$2:$R$155, 0,FALSE), IFERROR(VLOOKUP($A19,'Fusion ExDa'!$B$2:$D$16, 0,FALSE), IFERROR(VLOOKUP($A19,'Exetel ExDa'!$C$2:$N$14, 8,FALSE), IFERROR(VLOOKUP($A19,'Infinet ExDa'!$B$2:$E$14, 0,FALSE), "Not Found"))))))))</f>
        <v>Not Found</v>
      </c>
      <c r="J19" t="str">
        <f>IFERROR(VLOOKUP($A19,'AAPT ExDa'!$B$2:$U$99, 7,FALSE), IFERROR(VLOOKUP($A19,'ABB ExDa'!$A$2:$N$184, 2,FALSE), IFERROR(VLOOKUP($A19,'Vocus SIT ExDa'!$B$2:$J$173, 0,FALSE), IFERROR(VLOOKUP($A19,'Telstra ExDa'!$B$2:$K$310, 7,FALSE), IFERROR(VLOOKUP($A19,'Vocus RVC ExDa'!$C$2:$R$155, 2,FALSE), IFERROR(VLOOKUP($A19,'Fusion ExDa'!$B$2:$D$16, 3,FALSE), IFERROR(VLOOKUP($A19,'Exetel ExDa'!$C$2:$N$14, 0,FALSE), IFERROR(VLOOKUP($A19,'Infinet ExDa'!$B$2:$E$14, 0,FALSE), "Not Found"))))))))</f>
        <v>AVC400015156041</v>
      </c>
      <c r="K19" t="str">
        <f>IFERROR(VLOOKUP($A19,'AAPT ExDa'!$B$2:$U$99, 12,FALSE), IFERROR(VLOOKUP($A19,'ABB ExDa'!$A$2:$N$184, 0,FALSE), IFERROR(VLOOKUP($A19,'Vocus SIT ExDa'!$B$2:$J$173, 0,FALSE), IFERROR(VLOOKUP($A19,'Telstra ExDa'!$B$2:$K$310, 0,FALSE), IFERROR(VLOOKUP($A19,'Vocus RVC ExDa'!$C$2:$R$155, 0,FALSE), IFERROR(VLOOKUP($A19,'Fusion ExDa'!$B$2:$D$16, 0,FALSE), IFERROR(VLOOKUP($A19,'Exetel ExDa'!$C$2:$N$14, 12,FALSE), IFERROR(VLOOKUP($A19,'Infinet ExDa'!$B$2:$E$14, 0,FALSE), "Not Found"))))))))</f>
        <v>36 Months</v>
      </c>
      <c r="L19" s="235" t="str">
        <f>IFERROR(VLOOKUP($A19,'AAPT ExDa'!$B$2:$U$99, 11,FALSE), IFERROR(VLOOKUP($A19,'ABB ExDa'!$A$2:$N$184, 9,FALSE), IFERROR(VLOOKUP($A19,'Vocus SIT ExDa'!$B$2:$J$173, 8,FALSE), IFERROR(VLOOKUP($A19,'Telstra ExDa'!$B$2:$K$310, 0,FALSE), IFERROR(VLOOKUP($A19,'Vocus RVC ExDa'!$C$2:$R$155, 0,FALSE), IFERROR(VLOOKUP($A19,'Fusion ExDa'!$B$2:$D$16, 0,FALSE), IFERROR(VLOOKUP($A19,'Exetel ExDa'!$C$2:$N$14, 9,FALSE), IFERROR(VLOOKUP($A19,'Infinet ExDa'!$B$2:$E$14, 0,FALSE), "Not Found"))))))))</f>
        <v>24/07/2019</v>
      </c>
      <c r="M19" s="234" t="str">
        <f>IFERROR(VLOOKUP($A19,'AAPT ExDa'!$B$2:$U$99, 0,FALSE), IFERROR(VLOOKUP($A19,'ABB ExDa'!$A$2:$N$184, 0,FALSE), IFERROR(VLOOKUP($A19,'Vocus SIT ExDa'!$B$2:$J$173, 0,FALSE), IFERROR(VLOOKUP($A19,'Telstra ExDa'!$B$2:$K$310, 0,FALSE), IFERROR(VLOOKUP($A19,'Vocus RVC ExDa'!$C$2:$R$155, 0,FALSE), IFERROR(VLOOKUP($A19,'Fusion ExDa'!$B$2:$D$16, 0,FALSE), IFERROR(VLOOKUP($A19,'Exetel ExDa'!$C$2:$N$14, 11,FALSE), IFERROR(VLOOKUP($A19,'Infinet ExDa'!$B$2:$E$14, 0,FALSE), "Not Found"))))))))</f>
        <v>Not Found</v>
      </c>
      <c r="N19" t="str">
        <f>IFERROR(VLOOKUP($A19,'AAPT ExDa'!$B$2:$U$99, 0,FALSE), IFERROR(VLOOKUP($A19,'ABB ExDa'!$A$2:$N$184, 13,FALSE), IFERROR(VLOOKUP($A19,'Vocus SIT ExDa'!$B$2:$J$173, 0,FALSE), IFERROR(VLOOKUP($A19,'Telstra ExDa'!$B$2:$K$310, 0,FALSE), IFERROR(VLOOKUP($A19,'Vocus RVC ExDa'!$C$2:$R$155, 0,FALSE), IFERROR(VLOOKUP($A19,'Fusion ExDa'!$B$2:$D$16, 0,FALSE), IFERROR(VLOOKUP($A19,'Exetel ExDa'!$C$2:$N$14, 0,FALSE), IFERROR(VLOOKUP($A19,'Infinet ExDa'!$B$2:$E$14, 0,FALSE), "Not Found"))))))))</f>
        <v>Not Found</v>
      </c>
    </row>
    <row r="20" spans="1:14">
      <c r="A20" t="str">
        <v>Cornwalls</v>
      </c>
      <c r="B20" t="str">
        <f>IFERROR(VLOOKUP(A20,'Exetel ExDa'!$C$2:$N$14,4,FALSE),"No Data")</f>
        <v>No Data</v>
      </c>
      <c r="C20" t="str">
        <f>IFERROR(VLOOKUP(A20,'AAPT ExDa'!$B$2:$U$99, 2,FALSE), IFERROR(VLOOKUP(A20,'ABB ExDa'!$A$2:$N$184, 2,FALSE), IFERROR(VLOOKUP(A20,'Vocus SIT ExDa'!$B$2:$J$173, 7,FALSE), IFERROR(VLOOKUP(A20,'Telstra ExDa'!$B$2:$K$310, 2,FALSE), IFERROR(VLOOKUP(A20,'Vocus RVC ExDa'!$C$2:$R$155, 3,FALSE), IFERROR(VLOOKUP(A20,'Fusion ExDa'!$B$2:$D$16, 2,FALSE), IFERROR(VLOOKUP(A20,'Exetel ExDa'!$C$2:$N$14, 2,FALSE), IFERROR(VLOOKUP(A20,'Infinet ExDa'!$B$2:$E$14, 2,FALSE), "Not Found"))))))))</f>
        <v>Brisbane City</v>
      </c>
      <c r="D20" t="str">
        <f>IFERROR(VLOOKUP($A20,'AAPT ExDa'!$B$2:$U$99, 15,FALSE), IFERROR(VLOOKUP($A20,'ABB ExDa'!$A$2:$N$184, 4,FALSE), IFERROR(VLOOKUP($A20,'Vocus SIT ExDa'!$B$2:$J$173, 5,FALSE), IFERROR(VLOOKUP($A20,'Telstra ExDa'!$B$2:$K$310, 8,FALSE), IFERROR(VLOOKUP($A20,'Vocus RVC ExDa'!$C$2:$R$155, 6,FALSE), IFERROR(VLOOKUP($A20,'Fusion ExDa'!$B$2:$D$16, 4,FALSE), IFERROR(VLOOKUP($A20,'Exetel ExDa'!$C$2:$N$14, 3,FALSE), IFERROR(VLOOKUP($A20,'Infinet ExDa'!$B$2:$E$14, 3,FALSE), "Not Found"))))))))</f>
        <v>AAPT</v>
      </c>
      <c r="E20" t="str">
        <f>IFERROR(VLOOKUP($A20,'AAPT ExDa'!$B$2:$U$99, 3,FALSE), IFERROR(VLOOKUP($A20,'ABB ExDa'!$A$2:$N$184, 5,FALSE), IFERROR(VLOOKUP($A20,'Vocus SIT ExDa'!$B$2:$J$173, 2,FALSE), IFERROR(VLOOKUP($A20,'Telstra ExDa'!$B$2:$K$310, 4,FALSE), IFERROR(VLOOKUP($A20,'Vocus RVC ExDa'!$C$2:$R$155, 8,FALSE), IFERROR(VLOOKUP($A20,'Fusion ExDa'!$B$2:$D$16, 4,FALSE), IFERROR(VLOOKUP($A20,'Exetel ExDa'!$C$2:$N$14, 5,FALSE), IFERROR(VLOOKUP($A20,'Infinet ExDa'!$B$2:$E$14, 3,FALSE), "Not Found"))))))))</f>
        <v>FAST Fibre</v>
      </c>
      <c r="F20" t="str">
        <f>IFERROR(VLOOKUP($A20,'AAPT ExDa'!$B$2:$U$99, 4,FALSE), IFERROR(VLOOKUP($A20,'ABB ExDa'!$A$2:$N$184, 6,FALSE), IFERROR(VLOOKUP($A20,'Vocus SIT ExDa'!$B$2:$J$173, 3,FALSE), IFERROR(VLOOKUP($A20,'Telstra ExDa'!$B$2:$K$310, 5,FALSE), IFERROR(VLOOKUP($A20,'Vocus RVC ExDa'!$C$2:$R$155, 9,FALSE), IFERROR(VLOOKUP($A20,'Fusion ExDa'!$B$2:$D$16, 0,FALSE), IFERROR(VLOOKUP($A20,'Exetel ExDa'!$C$2:$N$14, 6,FALSE), IFERROR(VLOOKUP($A20,'Infinet ExDa'!$B$2:$E$14, 0,FALSE), "Not Found"))))))))</f>
        <v>FAST Fibre (NTU)</v>
      </c>
      <c r="G20">
        <f>IFERROR(VLOOKUP($A20,'AAPT ExDa'!$B$2:$U$99, 5,FALSE), IFERROR(VLOOKUP($A20,'ABB ExDa'!$A$2:$N$184, 8,FALSE), IFERROR(VLOOKUP($A20,'Vocus SIT ExDa'!$B$2:$J$173, 6,FALSE), IFERROR(VLOOKUP($A20,'Telstra ExDa'!$B$2:$K$310, 0,FALSE), IFERROR(VLOOKUP($A20,'Vocus RVC ExDa'!$C$2:$R$155, 15,FALSE), IFERROR(VLOOKUP($A20,'Fusion ExDa'!$B$2:$D$16, 0,FALSE), IFERROR(VLOOKUP($A20,'Exetel ExDa'!$C$2:$N$14, 7,FALSE), IFERROR(VLOOKUP($A20,'Infinet ExDa'!$B$2:$E$14, 0,FALSE), "Not Found"))))))))</f>
        <v>0</v>
      </c>
      <c r="H20" t="str">
        <f>IFERROR(VLOOKUP($A20,'AAPT ExDa'!$B$2:$U$99, 6,FALSE), IFERROR(VLOOKUP($A20,'ABB ExDa'!$A$2:$N$184, 0,FALSE), IFERROR(VLOOKUP($A20,'Vocus SIT ExDa'!$B$2:$J$173, 0,FALSE), IFERROR(VLOOKUP($A20,'Telstra ExDa'!$B$2:$K$310, 0,FALSE), IFERROR(VLOOKUP($A20,'Vocus RVC ExDa'!$C$2:$R$155, 16,FALSE), IFERROR(VLOOKUP($A20,'Fusion ExDa'!$B$2:$D$16, 0,FALSE), IFERROR(VLOOKUP($A20,'Exetel ExDa'!$C$2:$N$14, 0,FALSE), IFERROR(VLOOKUP($A20,'Infinet ExDa'!$B$2:$E$14, 0,FALSE), "Not Found"))))))))</f>
        <v>1000 Mbps; 48 Months</v>
      </c>
      <c r="I20" t="str">
        <f>IFERROR(VLOOKUP($A20,'AAPT ExDa'!$B$2:$U$99, 0,FALSE), IFERROR(VLOOKUP($A20,'ABB ExDa'!$A$2:$N$184, 0,FALSE), IFERROR(VLOOKUP($A20,'Vocus SIT ExDa'!$B$2:$J$173, 0,FALSE), IFERROR(VLOOKUP($A20,'Telstra ExDa'!$B$2:$K$310, 0,FALSE), IFERROR(VLOOKUP($A20,'Vocus RVC ExDa'!$C$2:$R$155, 0,FALSE), IFERROR(VLOOKUP($A20,'Fusion ExDa'!$B$2:$D$16, 0,FALSE), IFERROR(VLOOKUP($A20,'Exetel ExDa'!$C$2:$N$14, 8,FALSE), IFERROR(VLOOKUP($A20,'Infinet ExDa'!$B$2:$E$14, 0,FALSE), "Not Found"))))))))</f>
        <v>Not Found</v>
      </c>
      <c r="J20">
        <f>IFERROR(VLOOKUP($A20,'AAPT ExDa'!$B$2:$U$99, 7,FALSE), IFERROR(VLOOKUP($A20,'ABB ExDa'!$A$2:$N$184, 2,FALSE), IFERROR(VLOOKUP($A20,'Vocus SIT ExDa'!$B$2:$J$173, 0,FALSE), IFERROR(VLOOKUP($A20,'Telstra ExDa'!$B$2:$K$310, 7,FALSE), IFERROR(VLOOKUP($A20,'Vocus RVC ExDa'!$C$2:$R$155, 2,FALSE), IFERROR(VLOOKUP($A20,'Fusion ExDa'!$B$2:$D$16, 3,FALSE), IFERROR(VLOOKUP($A20,'Exetel ExDa'!$C$2:$N$14, 0,FALSE), IFERROR(VLOOKUP($A20,'Infinet ExDa'!$B$2:$E$14, 0,FALSE), "Not Found"))))))))</f>
        <v>0</v>
      </c>
      <c r="K20" t="str">
        <f>IFERROR(VLOOKUP($A20,'AAPT ExDa'!$B$2:$U$99, 12,FALSE), IFERROR(VLOOKUP($A20,'ABB ExDa'!$A$2:$N$184, 0,FALSE), IFERROR(VLOOKUP($A20,'Vocus SIT ExDa'!$B$2:$J$173, 0,FALSE), IFERROR(VLOOKUP($A20,'Telstra ExDa'!$B$2:$K$310, 0,FALSE), IFERROR(VLOOKUP($A20,'Vocus RVC ExDa'!$C$2:$R$155, 0,FALSE), IFERROR(VLOOKUP($A20,'Fusion ExDa'!$B$2:$D$16, 0,FALSE), IFERROR(VLOOKUP($A20,'Exetel ExDa'!$C$2:$N$14, 12,FALSE), IFERROR(VLOOKUP($A20,'Infinet ExDa'!$B$2:$E$14, 0,FALSE), "Not Found"))))))))</f>
        <v>48 Months</v>
      </c>
      <c r="L20" s="235">
        <f>IFERROR(VLOOKUP($A20,'AAPT ExDa'!$B$2:$U$99, 11,FALSE), IFERROR(VLOOKUP($A20,'ABB ExDa'!$A$2:$N$184, 9,FALSE), IFERROR(VLOOKUP($A20,'Vocus SIT ExDa'!$B$2:$J$173, 8,FALSE), IFERROR(VLOOKUP($A20,'Telstra ExDa'!$B$2:$K$310, 0,FALSE), IFERROR(VLOOKUP($A20,'Vocus RVC ExDa'!$C$2:$R$155, 0,FALSE), IFERROR(VLOOKUP($A20,'Fusion ExDa'!$B$2:$D$16, 0,FALSE), IFERROR(VLOOKUP($A20,'Exetel ExDa'!$C$2:$N$14, 9,FALSE), IFERROR(VLOOKUP($A20,'Infinet ExDa'!$B$2:$E$14, 0,FALSE), "Not Found"))))))))</f>
        <v>44203</v>
      </c>
      <c r="M20" s="234" t="str">
        <f>IFERROR(VLOOKUP($A20,'AAPT ExDa'!$B$2:$U$99, 0,FALSE), IFERROR(VLOOKUP($A20,'ABB ExDa'!$A$2:$N$184, 0,FALSE), IFERROR(VLOOKUP($A20,'Vocus SIT ExDa'!$B$2:$J$173, 0,FALSE), IFERROR(VLOOKUP($A20,'Telstra ExDa'!$B$2:$K$310, 0,FALSE), IFERROR(VLOOKUP($A20,'Vocus RVC ExDa'!$C$2:$R$155, 0,FALSE), IFERROR(VLOOKUP($A20,'Fusion ExDa'!$B$2:$D$16, 0,FALSE), IFERROR(VLOOKUP($A20,'Exetel ExDa'!$C$2:$N$14, 11,FALSE), IFERROR(VLOOKUP($A20,'Infinet ExDa'!$B$2:$E$14, 0,FALSE), "Not Found"))))))))</f>
        <v>Not Found</v>
      </c>
      <c r="N20" t="str">
        <f>IFERROR(VLOOKUP($A20,'AAPT ExDa'!$B$2:$U$99, 0,FALSE), IFERROR(VLOOKUP($A20,'ABB ExDa'!$A$2:$N$184, 13,FALSE), IFERROR(VLOOKUP($A20,'Vocus SIT ExDa'!$B$2:$J$173, 0,FALSE), IFERROR(VLOOKUP($A20,'Telstra ExDa'!$B$2:$K$310, 0,FALSE), IFERROR(VLOOKUP($A20,'Vocus RVC ExDa'!$C$2:$R$155, 0,FALSE), IFERROR(VLOOKUP($A20,'Fusion ExDa'!$B$2:$D$16, 0,FALSE), IFERROR(VLOOKUP($A20,'Exetel ExDa'!$C$2:$N$14, 0,FALSE), IFERROR(VLOOKUP($A20,'Infinet ExDa'!$B$2:$E$14, 0,FALSE), "Not Found"))))))))</f>
        <v>Not Found</v>
      </c>
    </row>
    <row r="21" spans="1:14">
      <c r="A21" t="str">
        <v>Cornwalls</v>
      </c>
      <c r="B21" t="str">
        <f>IFERROR(VLOOKUP(A21,'Exetel ExDa'!$C$2:$N$14,4,FALSE),"No Data")</f>
        <v>No Data</v>
      </c>
      <c r="C21" t="str">
        <f>IFERROR(VLOOKUP(A21,'AAPT ExDa'!$B$2:$U$99, 2,FALSE), IFERROR(VLOOKUP(A21,'ABB ExDa'!$A$2:$N$184, 2,FALSE), IFERROR(VLOOKUP(A21,'Vocus SIT ExDa'!$B$2:$J$173, 7,FALSE), IFERROR(VLOOKUP(A21,'Telstra ExDa'!$B$2:$K$310, 2,FALSE), IFERROR(VLOOKUP(A21,'Vocus RVC ExDa'!$C$2:$R$155, 3,FALSE), IFERROR(VLOOKUP(A21,'Fusion ExDa'!$B$2:$D$16, 2,FALSE), IFERROR(VLOOKUP(A21,'Exetel ExDa'!$C$2:$N$14, 2,FALSE), IFERROR(VLOOKUP(A21,'Infinet ExDa'!$B$2:$E$14, 2,FALSE), "Not Found"))))))))</f>
        <v>Brisbane City</v>
      </c>
      <c r="D21" t="str">
        <f>IFERROR(VLOOKUP($A21,'AAPT ExDa'!$B$2:$U$99, 15,FALSE), IFERROR(VLOOKUP($A21,'ABB ExDa'!$A$2:$N$184, 4,FALSE), IFERROR(VLOOKUP($A21,'Vocus SIT ExDa'!$B$2:$J$173, 5,FALSE), IFERROR(VLOOKUP($A21,'Telstra ExDa'!$B$2:$K$310, 8,FALSE), IFERROR(VLOOKUP($A21,'Vocus RVC ExDa'!$C$2:$R$155, 6,FALSE), IFERROR(VLOOKUP($A21,'Fusion ExDa'!$B$2:$D$16, 4,FALSE), IFERROR(VLOOKUP($A21,'Exetel ExDa'!$C$2:$N$14, 3,FALSE), IFERROR(VLOOKUP($A21,'Infinet ExDa'!$B$2:$E$14, 3,FALSE), "Not Found"))))))))</f>
        <v>AAPT</v>
      </c>
      <c r="E21" t="str">
        <f>IFERROR(VLOOKUP($A21,'AAPT ExDa'!$B$2:$U$99, 3,FALSE), IFERROR(VLOOKUP($A21,'ABB ExDa'!$A$2:$N$184, 5,FALSE), IFERROR(VLOOKUP($A21,'Vocus SIT ExDa'!$B$2:$J$173, 2,FALSE), IFERROR(VLOOKUP($A21,'Telstra ExDa'!$B$2:$K$310, 4,FALSE), IFERROR(VLOOKUP($A21,'Vocus RVC ExDa'!$C$2:$R$155, 8,FALSE), IFERROR(VLOOKUP($A21,'Fusion ExDa'!$B$2:$D$16, 4,FALSE), IFERROR(VLOOKUP($A21,'Exetel ExDa'!$C$2:$N$14, 5,FALSE), IFERROR(VLOOKUP($A21,'Infinet ExDa'!$B$2:$E$14, 3,FALSE), "Not Found"))))))))</f>
        <v>FAST Fibre</v>
      </c>
      <c r="F21" t="str">
        <f>IFERROR(VLOOKUP($A21,'AAPT ExDa'!$B$2:$U$99, 4,FALSE), IFERROR(VLOOKUP($A21,'ABB ExDa'!$A$2:$N$184, 6,FALSE), IFERROR(VLOOKUP($A21,'Vocus SIT ExDa'!$B$2:$J$173, 3,FALSE), IFERROR(VLOOKUP($A21,'Telstra ExDa'!$B$2:$K$310, 5,FALSE), IFERROR(VLOOKUP($A21,'Vocus RVC ExDa'!$C$2:$R$155, 9,FALSE), IFERROR(VLOOKUP($A21,'Fusion ExDa'!$B$2:$D$16, 0,FALSE), IFERROR(VLOOKUP($A21,'Exetel ExDa'!$C$2:$N$14, 6,FALSE), IFERROR(VLOOKUP($A21,'Infinet ExDa'!$B$2:$E$14, 0,FALSE), "Not Found"))))))))</f>
        <v>FAST Fibre (NTU)</v>
      </c>
      <c r="G21">
        <f>IFERROR(VLOOKUP($A21,'AAPT ExDa'!$B$2:$U$99, 5,FALSE), IFERROR(VLOOKUP($A21,'ABB ExDa'!$A$2:$N$184, 8,FALSE), IFERROR(VLOOKUP($A21,'Vocus SIT ExDa'!$B$2:$J$173, 6,FALSE), IFERROR(VLOOKUP($A21,'Telstra ExDa'!$B$2:$K$310, 0,FALSE), IFERROR(VLOOKUP($A21,'Vocus RVC ExDa'!$C$2:$R$155, 15,FALSE), IFERROR(VLOOKUP($A21,'Fusion ExDa'!$B$2:$D$16, 0,FALSE), IFERROR(VLOOKUP($A21,'Exetel ExDa'!$C$2:$N$14, 7,FALSE), IFERROR(VLOOKUP($A21,'Infinet ExDa'!$B$2:$E$14, 0,FALSE), "Not Found"))))))))</f>
        <v>0</v>
      </c>
      <c r="H21" t="str">
        <f>IFERROR(VLOOKUP($A21,'AAPT ExDa'!$B$2:$U$99, 6,FALSE), IFERROR(VLOOKUP($A21,'ABB ExDa'!$A$2:$N$184, 0,FALSE), IFERROR(VLOOKUP($A21,'Vocus SIT ExDa'!$B$2:$J$173, 0,FALSE), IFERROR(VLOOKUP($A21,'Telstra ExDa'!$B$2:$K$310, 0,FALSE), IFERROR(VLOOKUP($A21,'Vocus RVC ExDa'!$C$2:$R$155, 16,FALSE), IFERROR(VLOOKUP($A21,'Fusion ExDa'!$B$2:$D$16, 0,FALSE), IFERROR(VLOOKUP($A21,'Exetel ExDa'!$C$2:$N$14, 0,FALSE), IFERROR(VLOOKUP($A21,'Infinet ExDa'!$B$2:$E$14, 0,FALSE), "Not Found"))))))))</f>
        <v>1000 Mbps; 48 Months</v>
      </c>
      <c r="I21" t="str">
        <f>IFERROR(VLOOKUP($A21,'AAPT ExDa'!$B$2:$U$99, 0,FALSE), IFERROR(VLOOKUP($A21,'ABB ExDa'!$A$2:$N$184, 0,FALSE), IFERROR(VLOOKUP($A21,'Vocus SIT ExDa'!$B$2:$J$173, 0,FALSE), IFERROR(VLOOKUP($A21,'Telstra ExDa'!$B$2:$K$310, 0,FALSE), IFERROR(VLOOKUP($A21,'Vocus RVC ExDa'!$C$2:$R$155, 0,FALSE), IFERROR(VLOOKUP($A21,'Fusion ExDa'!$B$2:$D$16, 0,FALSE), IFERROR(VLOOKUP($A21,'Exetel ExDa'!$C$2:$N$14, 8,FALSE), IFERROR(VLOOKUP($A21,'Infinet ExDa'!$B$2:$E$14, 0,FALSE), "Not Found"))))))))</f>
        <v>Not Found</v>
      </c>
      <c r="J21">
        <f>IFERROR(VLOOKUP($A21,'AAPT ExDa'!$B$2:$U$99, 7,FALSE), IFERROR(VLOOKUP($A21,'ABB ExDa'!$A$2:$N$184, 2,FALSE), IFERROR(VLOOKUP($A21,'Vocus SIT ExDa'!$B$2:$J$173, 0,FALSE), IFERROR(VLOOKUP($A21,'Telstra ExDa'!$B$2:$K$310, 7,FALSE), IFERROR(VLOOKUP($A21,'Vocus RVC ExDa'!$C$2:$R$155, 2,FALSE), IFERROR(VLOOKUP($A21,'Fusion ExDa'!$B$2:$D$16, 3,FALSE), IFERROR(VLOOKUP($A21,'Exetel ExDa'!$C$2:$N$14, 0,FALSE), IFERROR(VLOOKUP($A21,'Infinet ExDa'!$B$2:$E$14, 0,FALSE), "Not Found"))))))))</f>
        <v>0</v>
      </c>
      <c r="K21" t="str">
        <f>IFERROR(VLOOKUP($A21,'AAPT ExDa'!$B$2:$U$99, 12,FALSE), IFERROR(VLOOKUP($A21,'ABB ExDa'!$A$2:$N$184, 0,FALSE), IFERROR(VLOOKUP($A21,'Vocus SIT ExDa'!$B$2:$J$173, 0,FALSE), IFERROR(VLOOKUP($A21,'Telstra ExDa'!$B$2:$K$310, 0,FALSE), IFERROR(VLOOKUP($A21,'Vocus RVC ExDa'!$C$2:$R$155, 0,FALSE), IFERROR(VLOOKUP($A21,'Fusion ExDa'!$B$2:$D$16, 0,FALSE), IFERROR(VLOOKUP($A21,'Exetel ExDa'!$C$2:$N$14, 12,FALSE), IFERROR(VLOOKUP($A21,'Infinet ExDa'!$B$2:$E$14, 0,FALSE), "Not Found"))))))))</f>
        <v>48 Months</v>
      </c>
      <c r="L21" s="235">
        <f>IFERROR(VLOOKUP($A21,'AAPT ExDa'!$B$2:$U$99, 11,FALSE), IFERROR(VLOOKUP($A21,'ABB ExDa'!$A$2:$N$184, 9,FALSE), IFERROR(VLOOKUP($A21,'Vocus SIT ExDa'!$B$2:$J$173, 8,FALSE), IFERROR(VLOOKUP($A21,'Telstra ExDa'!$B$2:$K$310, 0,FALSE), IFERROR(VLOOKUP($A21,'Vocus RVC ExDa'!$C$2:$R$155, 0,FALSE), IFERROR(VLOOKUP($A21,'Fusion ExDa'!$B$2:$D$16, 0,FALSE), IFERROR(VLOOKUP($A21,'Exetel ExDa'!$C$2:$N$14, 9,FALSE), IFERROR(VLOOKUP($A21,'Infinet ExDa'!$B$2:$E$14, 0,FALSE), "Not Found"))))))))</f>
        <v>44203</v>
      </c>
      <c r="M21" s="234" t="str">
        <f>IFERROR(VLOOKUP($A21,'AAPT ExDa'!$B$2:$U$99, 0,FALSE), IFERROR(VLOOKUP($A21,'ABB ExDa'!$A$2:$N$184, 0,FALSE), IFERROR(VLOOKUP($A21,'Vocus SIT ExDa'!$B$2:$J$173, 0,FALSE), IFERROR(VLOOKUP($A21,'Telstra ExDa'!$B$2:$K$310, 0,FALSE), IFERROR(VLOOKUP($A21,'Vocus RVC ExDa'!$C$2:$R$155, 0,FALSE), IFERROR(VLOOKUP($A21,'Fusion ExDa'!$B$2:$D$16, 0,FALSE), IFERROR(VLOOKUP($A21,'Exetel ExDa'!$C$2:$N$14, 11,FALSE), IFERROR(VLOOKUP($A21,'Infinet ExDa'!$B$2:$E$14, 0,FALSE), "Not Found"))))))))</f>
        <v>Not Found</v>
      </c>
      <c r="N21" t="str">
        <f>IFERROR(VLOOKUP($A21,'AAPT ExDa'!$B$2:$U$99, 0,FALSE), IFERROR(VLOOKUP($A21,'ABB ExDa'!$A$2:$N$184, 13,FALSE), IFERROR(VLOOKUP($A21,'Vocus SIT ExDa'!$B$2:$J$173, 0,FALSE), IFERROR(VLOOKUP($A21,'Telstra ExDa'!$B$2:$K$310, 0,FALSE), IFERROR(VLOOKUP($A21,'Vocus RVC ExDa'!$C$2:$R$155, 0,FALSE), IFERROR(VLOOKUP($A21,'Fusion ExDa'!$B$2:$D$16, 0,FALSE), IFERROR(VLOOKUP($A21,'Exetel ExDa'!$C$2:$N$14, 0,FALSE), IFERROR(VLOOKUP($A21,'Infinet ExDa'!$B$2:$E$14, 0,FALSE), "Not Found"))))))))</f>
        <v>Not Found</v>
      </c>
    </row>
    <row r="22" spans="1:14">
      <c r="A22" t="str">
        <v>Cornwalls</v>
      </c>
      <c r="B22" t="str">
        <f>IFERROR(VLOOKUP(A22,'Exetel ExDa'!$C$2:$N$14,4,FALSE),"No Data")</f>
        <v>No Data</v>
      </c>
      <c r="C22" t="str">
        <f>IFERROR(VLOOKUP(A22,'AAPT ExDa'!$B$2:$U$99, 2,FALSE), IFERROR(VLOOKUP(A22,'ABB ExDa'!$A$2:$N$184, 2,FALSE), IFERROR(VLOOKUP(A22,'Vocus SIT ExDa'!$B$2:$J$173, 7,FALSE), IFERROR(VLOOKUP(A22,'Telstra ExDa'!$B$2:$K$310, 2,FALSE), IFERROR(VLOOKUP(A22,'Vocus RVC ExDa'!$C$2:$R$155, 3,FALSE), IFERROR(VLOOKUP(A22,'Fusion ExDa'!$B$2:$D$16, 2,FALSE), IFERROR(VLOOKUP(A22,'Exetel ExDa'!$C$2:$N$14, 2,FALSE), IFERROR(VLOOKUP(A22,'Infinet ExDa'!$B$2:$E$14, 2,FALSE), "Not Found"))))))))</f>
        <v>Brisbane City</v>
      </c>
      <c r="D22" t="str">
        <f>IFERROR(VLOOKUP($A22,'AAPT ExDa'!$B$2:$U$99, 15,FALSE), IFERROR(VLOOKUP($A22,'ABB ExDa'!$A$2:$N$184, 4,FALSE), IFERROR(VLOOKUP($A22,'Vocus SIT ExDa'!$B$2:$J$173, 5,FALSE), IFERROR(VLOOKUP($A22,'Telstra ExDa'!$B$2:$K$310, 8,FALSE), IFERROR(VLOOKUP($A22,'Vocus RVC ExDa'!$C$2:$R$155, 6,FALSE), IFERROR(VLOOKUP($A22,'Fusion ExDa'!$B$2:$D$16, 4,FALSE), IFERROR(VLOOKUP($A22,'Exetel ExDa'!$C$2:$N$14, 3,FALSE), IFERROR(VLOOKUP($A22,'Infinet ExDa'!$B$2:$E$14, 3,FALSE), "Not Found"))))))))</f>
        <v>AAPT</v>
      </c>
      <c r="E22" t="str">
        <f>IFERROR(VLOOKUP($A22,'AAPT ExDa'!$B$2:$U$99, 3,FALSE), IFERROR(VLOOKUP($A22,'ABB ExDa'!$A$2:$N$184, 5,FALSE), IFERROR(VLOOKUP($A22,'Vocus SIT ExDa'!$B$2:$J$173, 2,FALSE), IFERROR(VLOOKUP($A22,'Telstra ExDa'!$B$2:$K$310, 4,FALSE), IFERROR(VLOOKUP($A22,'Vocus RVC ExDa'!$C$2:$R$155, 8,FALSE), IFERROR(VLOOKUP($A22,'Fusion ExDa'!$B$2:$D$16, 4,FALSE), IFERROR(VLOOKUP($A22,'Exetel ExDa'!$C$2:$N$14, 5,FALSE), IFERROR(VLOOKUP($A22,'Infinet ExDa'!$B$2:$E$14, 3,FALSE), "Not Found"))))))))</f>
        <v>FAST Fibre</v>
      </c>
      <c r="F22" t="str">
        <f>IFERROR(VLOOKUP($A22,'AAPT ExDa'!$B$2:$U$99, 4,FALSE), IFERROR(VLOOKUP($A22,'ABB ExDa'!$A$2:$N$184, 6,FALSE), IFERROR(VLOOKUP($A22,'Vocus SIT ExDa'!$B$2:$J$173, 3,FALSE), IFERROR(VLOOKUP($A22,'Telstra ExDa'!$B$2:$K$310, 5,FALSE), IFERROR(VLOOKUP($A22,'Vocus RVC ExDa'!$C$2:$R$155, 9,FALSE), IFERROR(VLOOKUP($A22,'Fusion ExDa'!$B$2:$D$16, 0,FALSE), IFERROR(VLOOKUP($A22,'Exetel ExDa'!$C$2:$N$14, 6,FALSE), IFERROR(VLOOKUP($A22,'Infinet ExDa'!$B$2:$E$14, 0,FALSE), "Not Found"))))))))</f>
        <v>FAST Fibre (NTU)</v>
      </c>
      <c r="G22">
        <f>IFERROR(VLOOKUP($A22,'AAPT ExDa'!$B$2:$U$99, 5,FALSE), IFERROR(VLOOKUP($A22,'ABB ExDa'!$A$2:$N$184, 8,FALSE), IFERROR(VLOOKUP($A22,'Vocus SIT ExDa'!$B$2:$J$173, 6,FALSE), IFERROR(VLOOKUP($A22,'Telstra ExDa'!$B$2:$K$310, 0,FALSE), IFERROR(VLOOKUP($A22,'Vocus RVC ExDa'!$C$2:$R$155, 15,FALSE), IFERROR(VLOOKUP($A22,'Fusion ExDa'!$B$2:$D$16, 0,FALSE), IFERROR(VLOOKUP($A22,'Exetel ExDa'!$C$2:$N$14, 7,FALSE), IFERROR(VLOOKUP($A22,'Infinet ExDa'!$B$2:$E$14, 0,FALSE), "Not Found"))))))))</f>
        <v>0</v>
      </c>
      <c r="H22" t="str">
        <f>IFERROR(VLOOKUP($A22,'AAPT ExDa'!$B$2:$U$99, 6,FALSE), IFERROR(VLOOKUP($A22,'ABB ExDa'!$A$2:$N$184, 0,FALSE), IFERROR(VLOOKUP($A22,'Vocus SIT ExDa'!$B$2:$J$173, 0,FALSE), IFERROR(VLOOKUP($A22,'Telstra ExDa'!$B$2:$K$310, 0,FALSE), IFERROR(VLOOKUP($A22,'Vocus RVC ExDa'!$C$2:$R$155, 16,FALSE), IFERROR(VLOOKUP($A22,'Fusion ExDa'!$B$2:$D$16, 0,FALSE), IFERROR(VLOOKUP($A22,'Exetel ExDa'!$C$2:$N$14, 0,FALSE), IFERROR(VLOOKUP($A22,'Infinet ExDa'!$B$2:$E$14, 0,FALSE), "Not Found"))))))))</f>
        <v>1000 Mbps; 48 Months</v>
      </c>
      <c r="I22" t="str">
        <f>IFERROR(VLOOKUP($A22,'AAPT ExDa'!$B$2:$U$99, 0,FALSE), IFERROR(VLOOKUP($A22,'ABB ExDa'!$A$2:$N$184, 0,FALSE), IFERROR(VLOOKUP($A22,'Vocus SIT ExDa'!$B$2:$J$173, 0,FALSE), IFERROR(VLOOKUP($A22,'Telstra ExDa'!$B$2:$K$310, 0,FALSE), IFERROR(VLOOKUP($A22,'Vocus RVC ExDa'!$C$2:$R$155, 0,FALSE), IFERROR(VLOOKUP($A22,'Fusion ExDa'!$B$2:$D$16, 0,FALSE), IFERROR(VLOOKUP($A22,'Exetel ExDa'!$C$2:$N$14, 8,FALSE), IFERROR(VLOOKUP($A22,'Infinet ExDa'!$B$2:$E$14, 0,FALSE), "Not Found"))))))))</f>
        <v>Not Found</v>
      </c>
      <c r="J22">
        <f>IFERROR(VLOOKUP($A22,'AAPT ExDa'!$B$2:$U$99, 7,FALSE), IFERROR(VLOOKUP($A22,'ABB ExDa'!$A$2:$N$184, 2,FALSE), IFERROR(VLOOKUP($A22,'Vocus SIT ExDa'!$B$2:$J$173, 0,FALSE), IFERROR(VLOOKUP($A22,'Telstra ExDa'!$B$2:$K$310, 7,FALSE), IFERROR(VLOOKUP($A22,'Vocus RVC ExDa'!$C$2:$R$155, 2,FALSE), IFERROR(VLOOKUP($A22,'Fusion ExDa'!$B$2:$D$16, 3,FALSE), IFERROR(VLOOKUP($A22,'Exetel ExDa'!$C$2:$N$14, 0,FALSE), IFERROR(VLOOKUP($A22,'Infinet ExDa'!$B$2:$E$14, 0,FALSE), "Not Found"))))))))</f>
        <v>0</v>
      </c>
      <c r="K22" t="str">
        <f>IFERROR(VLOOKUP($A22,'AAPT ExDa'!$B$2:$U$99, 12,FALSE), IFERROR(VLOOKUP($A22,'ABB ExDa'!$A$2:$N$184, 0,FALSE), IFERROR(VLOOKUP($A22,'Vocus SIT ExDa'!$B$2:$J$173, 0,FALSE), IFERROR(VLOOKUP($A22,'Telstra ExDa'!$B$2:$K$310, 0,FALSE), IFERROR(VLOOKUP($A22,'Vocus RVC ExDa'!$C$2:$R$155, 0,FALSE), IFERROR(VLOOKUP($A22,'Fusion ExDa'!$B$2:$D$16, 0,FALSE), IFERROR(VLOOKUP($A22,'Exetel ExDa'!$C$2:$N$14, 12,FALSE), IFERROR(VLOOKUP($A22,'Infinet ExDa'!$B$2:$E$14, 0,FALSE), "Not Found"))))))))</f>
        <v>48 Months</v>
      </c>
      <c r="L22" s="235">
        <f>IFERROR(VLOOKUP($A22,'AAPT ExDa'!$B$2:$U$99, 11,FALSE), IFERROR(VLOOKUP($A22,'ABB ExDa'!$A$2:$N$184, 9,FALSE), IFERROR(VLOOKUP($A22,'Vocus SIT ExDa'!$B$2:$J$173, 8,FALSE), IFERROR(VLOOKUP($A22,'Telstra ExDa'!$B$2:$K$310, 0,FALSE), IFERROR(VLOOKUP($A22,'Vocus RVC ExDa'!$C$2:$R$155, 0,FALSE), IFERROR(VLOOKUP($A22,'Fusion ExDa'!$B$2:$D$16, 0,FALSE), IFERROR(VLOOKUP($A22,'Exetel ExDa'!$C$2:$N$14, 9,FALSE), IFERROR(VLOOKUP($A22,'Infinet ExDa'!$B$2:$E$14, 0,FALSE), "Not Found"))))))))</f>
        <v>44203</v>
      </c>
      <c r="M22" s="234" t="str">
        <f>IFERROR(VLOOKUP($A22,'AAPT ExDa'!$B$2:$U$99, 0,FALSE), IFERROR(VLOOKUP($A22,'ABB ExDa'!$A$2:$N$184, 0,FALSE), IFERROR(VLOOKUP($A22,'Vocus SIT ExDa'!$B$2:$J$173, 0,FALSE), IFERROR(VLOOKUP($A22,'Telstra ExDa'!$B$2:$K$310, 0,FALSE), IFERROR(VLOOKUP($A22,'Vocus RVC ExDa'!$C$2:$R$155, 0,FALSE), IFERROR(VLOOKUP($A22,'Fusion ExDa'!$B$2:$D$16, 0,FALSE), IFERROR(VLOOKUP($A22,'Exetel ExDa'!$C$2:$N$14, 11,FALSE), IFERROR(VLOOKUP($A22,'Infinet ExDa'!$B$2:$E$14, 0,FALSE), "Not Found"))))))))</f>
        <v>Not Found</v>
      </c>
      <c r="N22" t="str">
        <f>IFERROR(VLOOKUP($A22,'AAPT ExDa'!$B$2:$U$99, 0,FALSE), IFERROR(VLOOKUP($A22,'ABB ExDa'!$A$2:$N$184, 13,FALSE), IFERROR(VLOOKUP($A22,'Vocus SIT ExDa'!$B$2:$J$173, 0,FALSE), IFERROR(VLOOKUP($A22,'Telstra ExDa'!$B$2:$K$310, 0,FALSE), IFERROR(VLOOKUP($A22,'Vocus RVC ExDa'!$C$2:$R$155, 0,FALSE), IFERROR(VLOOKUP($A22,'Fusion ExDa'!$B$2:$D$16, 0,FALSE), IFERROR(VLOOKUP($A22,'Exetel ExDa'!$C$2:$N$14, 0,FALSE), IFERROR(VLOOKUP($A22,'Infinet ExDa'!$B$2:$E$14, 0,FALSE), "Not Found"))))))))</f>
        <v>Not Found</v>
      </c>
    </row>
    <row r="23" spans="1:14">
      <c r="A23" t="str">
        <v>CPM</v>
      </c>
      <c r="B23" t="str">
        <f>IFERROR(VLOOKUP(A23,'Exetel ExDa'!$C$2:$N$14,4,FALSE),"No Data")</f>
        <v>No Data</v>
      </c>
      <c r="C23">
        <f>IFERROR(VLOOKUP(A23,'AAPT ExDa'!$B$2:$U$99, 2,FALSE), IFERROR(VLOOKUP(A23,'ABB ExDa'!$A$2:$N$184, 2,FALSE), IFERROR(VLOOKUP(A23,'Vocus SIT ExDa'!$B$2:$J$173, 7,FALSE), IFERROR(VLOOKUP(A23,'Telstra ExDa'!$B$2:$K$310, 2,FALSE), IFERROR(VLOOKUP(A23,'Vocus RVC ExDa'!$C$2:$R$155, 3,FALSE), IFERROR(VLOOKUP(A23,'Fusion ExDa'!$B$2:$D$16, 2,FALSE), IFERROR(VLOOKUP(A23,'Exetel ExDa'!$C$2:$N$14, 2,FALSE), IFERROR(VLOOKUP(A23,'Infinet ExDa'!$B$2:$E$14, 2,FALSE), "Not Found"))))))))</f>
        <v>0</v>
      </c>
      <c r="D23" t="str">
        <f>IFERROR(VLOOKUP($A23,'AAPT ExDa'!$B$2:$U$99, 15,FALSE), IFERROR(VLOOKUP($A23,'ABB ExDa'!$A$2:$N$184, 4,FALSE), IFERROR(VLOOKUP($A23,'Vocus SIT ExDa'!$B$2:$J$173, 5,FALSE), IFERROR(VLOOKUP($A23,'Telstra ExDa'!$B$2:$K$310, 8,FALSE), IFERROR(VLOOKUP($A23,'Vocus RVC ExDa'!$C$2:$R$155, 6,FALSE), IFERROR(VLOOKUP($A23,'Fusion ExDa'!$B$2:$D$16, 4,FALSE), IFERROR(VLOOKUP($A23,'Exetel ExDa'!$C$2:$N$14, 3,FALSE), IFERROR(VLOOKUP($A23,'Infinet ExDa'!$B$2:$E$14, 3,FALSE), "Not Found"))))))))</f>
        <v>AAPT</v>
      </c>
      <c r="E23" t="str">
        <f>IFERROR(VLOOKUP($A23,'AAPT ExDa'!$B$2:$U$99, 3,FALSE), IFERROR(VLOOKUP($A23,'ABB ExDa'!$A$2:$N$184, 5,FALSE), IFERROR(VLOOKUP($A23,'Vocus SIT ExDa'!$B$2:$J$173, 2,FALSE), IFERROR(VLOOKUP($A23,'Telstra ExDa'!$B$2:$K$310, 4,FALSE), IFERROR(VLOOKUP($A23,'Vocus RVC ExDa'!$C$2:$R$155, 8,FALSE), IFERROR(VLOOKUP($A23,'Fusion ExDa'!$B$2:$D$16, 4,FALSE), IFERROR(VLOOKUP($A23,'Exetel ExDa'!$C$2:$N$14, 5,FALSE), IFERROR(VLOOKUP($A23,'Infinet ExDa'!$B$2:$E$14, 3,FALSE), "Not Found"))))))))</f>
        <v>IP-Line</v>
      </c>
      <c r="F23" t="str">
        <f>IFERROR(VLOOKUP($A23,'AAPT ExDa'!$B$2:$U$99, 4,FALSE), IFERROR(VLOOKUP($A23,'ABB ExDa'!$A$2:$N$184, 6,FALSE), IFERROR(VLOOKUP($A23,'Vocus SIT ExDa'!$B$2:$J$173, 3,FALSE), IFERROR(VLOOKUP($A23,'Telstra ExDa'!$B$2:$K$310, 5,FALSE), IFERROR(VLOOKUP($A23,'Vocus RVC ExDa'!$C$2:$R$155, 9,FALSE), IFERROR(VLOOKUP($A23,'Fusion ExDa'!$B$2:$D$16, 0,FALSE), IFERROR(VLOOKUP($A23,'Exetel ExDa'!$C$2:$N$14, 6,FALSE), IFERROR(VLOOKUP($A23,'Infinet ExDa'!$B$2:$E$14, 0,FALSE), "Not Found"))))))))</f>
        <v>IP-Line Link</v>
      </c>
      <c r="G23" t="str">
        <f>IFERROR(VLOOKUP($A23,'AAPT ExDa'!$B$2:$U$99, 5,FALSE), IFERROR(VLOOKUP($A23,'ABB ExDa'!$A$2:$N$184, 8,FALSE), IFERROR(VLOOKUP($A23,'Vocus SIT ExDa'!$B$2:$J$173, 6,FALSE), IFERROR(VLOOKUP($A23,'Telstra ExDa'!$B$2:$K$310, 0,FALSE), IFERROR(VLOOKUP($A23,'Vocus RVC ExDa'!$C$2:$R$155, 15,FALSE), IFERROR(VLOOKUP($A23,'Fusion ExDa'!$B$2:$D$16, 0,FALSE), IFERROR(VLOOKUP($A23,'Exetel ExDa'!$C$2:$N$14, 7,FALSE), IFERROR(VLOOKUP($A23,'Infinet ExDa'!$B$2:$E$14, 0,FALSE), "Not Found"))))))))</f>
        <v>Connecting IP-Line 6023265 to Access 100831192</v>
      </c>
      <c r="H23" t="str">
        <f>IFERROR(VLOOKUP($A23,'AAPT ExDa'!$B$2:$U$99, 6,FALSE), IFERROR(VLOOKUP($A23,'ABB ExDa'!$A$2:$N$184, 0,FALSE), IFERROR(VLOOKUP($A23,'Vocus SIT ExDa'!$B$2:$J$173, 0,FALSE), IFERROR(VLOOKUP($A23,'Telstra ExDa'!$B$2:$K$310, 0,FALSE), IFERROR(VLOOKUP($A23,'Vocus RVC ExDa'!$C$2:$R$155, 16,FALSE), IFERROR(VLOOKUP($A23,'Fusion ExDa'!$B$2:$D$16, 0,FALSE), IFERROR(VLOOKUP($A23,'Exetel ExDa'!$C$2:$N$14, 0,FALSE), IFERROR(VLOOKUP($A23,'Infinet ExDa'!$B$2:$E$14, 0,FALSE), "Not Found"))))))))</f>
        <v>Up to 50/20Mbps; AVC ID:AVC000163185354</v>
      </c>
      <c r="I23" t="str">
        <f>IFERROR(VLOOKUP($A23,'AAPT ExDa'!$B$2:$U$99, 0,FALSE), IFERROR(VLOOKUP($A23,'ABB ExDa'!$A$2:$N$184, 0,FALSE), IFERROR(VLOOKUP($A23,'Vocus SIT ExDa'!$B$2:$J$173, 0,FALSE), IFERROR(VLOOKUP($A23,'Telstra ExDa'!$B$2:$K$310, 0,FALSE), IFERROR(VLOOKUP($A23,'Vocus RVC ExDa'!$C$2:$R$155, 0,FALSE), IFERROR(VLOOKUP($A23,'Fusion ExDa'!$B$2:$D$16, 0,FALSE), IFERROR(VLOOKUP($A23,'Exetel ExDa'!$C$2:$N$14, 8,FALSE), IFERROR(VLOOKUP($A23,'Infinet ExDa'!$B$2:$E$14, 0,FALSE), "Not Found"))))))))</f>
        <v>Not Found</v>
      </c>
      <c r="J23" t="str">
        <f>IFERROR(VLOOKUP($A23,'AAPT ExDa'!$B$2:$U$99, 7,FALSE), IFERROR(VLOOKUP($A23,'ABB ExDa'!$A$2:$N$184, 2,FALSE), IFERROR(VLOOKUP($A23,'Vocus SIT ExDa'!$B$2:$J$173, 0,FALSE), IFERROR(VLOOKUP($A23,'Telstra ExDa'!$B$2:$K$310, 7,FALSE), IFERROR(VLOOKUP($A23,'Vocus RVC ExDa'!$C$2:$R$155, 2,FALSE), IFERROR(VLOOKUP($A23,'Fusion ExDa'!$B$2:$D$16, 3,FALSE), IFERROR(VLOOKUP($A23,'Exetel ExDa'!$C$2:$N$14, 0,FALSE), IFERROR(VLOOKUP($A23,'Infinet ExDa'!$B$2:$E$14, 0,FALSE), "Not Found"))))))))</f>
        <v>AVC000163185354</v>
      </c>
      <c r="K23" t="str">
        <f>IFERROR(VLOOKUP($A23,'AAPT ExDa'!$B$2:$U$99, 12,FALSE), IFERROR(VLOOKUP($A23,'ABB ExDa'!$A$2:$N$184, 0,FALSE), IFERROR(VLOOKUP($A23,'Vocus SIT ExDa'!$B$2:$J$173, 0,FALSE), IFERROR(VLOOKUP($A23,'Telstra ExDa'!$B$2:$K$310, 0,FALSE), IFERROR(VLOOKUP($A23,'Vocus RVC ExDa'!$C$2:$R$155, 0,FALSE), IFERROR(VLOOKUP($A23,'Fusion ExDa'!$B$2:$D$16, 0,FALSE), IFERROR(VLOOKUP($A23,'Exetel ExDa'!$C$2:$N$14, 12,FALSE), IFERROR(VLOOKUP($A23,'Infinet ExDa'!$B$2:$E$14, 0,FALSE), "Not Found"))))))))</f>
        <v>24 Months</v>
      </c>
      <c r="L23" s="235">
        <f>IFERROR(VLOOKUP($A23,'AAPT ExDa'!$B$2:$U$99, 11,FALSE), IFERROR(VLOOKUP($A23,'ABB ExDa'!$A$2:$N$184, 9,FALSE), IFERROR(VLOOKUP($A23,'Vocus SIT ExDa'!$B$2:$J$173, 8,FALSE), IFERROR(VLOOKUP($A23,'Telstra ExDa'!$B$2:$K$310, 0,FALSE), IFERROR(VLOOKUP($A23,'Vocus RVC ExDa'!$C$2:$R$155, 0,FALSE), IFERROR(VLOOKUP($A23,'Fusion ExDa'!$B$2:$D$16, 0,FALSE), IFERROR(VLOOKUP($A23,'Exetel ExDa'!$C$2:$N$14, 9,FALSE), IFERROR(VLOOKUP($A23,'Infinet ExDa'!$B$2:$E$14, 0,FALSE), "Not Found"))))))))</f>
        <v>45140</v>
      </c>
      <c r="M23" s="234" t="str">
        <f>IFERROR(VLOOKUP($A23,'AAPT ExDa'!$B$2:$U$99, 0,FALSE), IFERROR(VLOOKUP($A23,'ABB ExDa'!$A$2:$N$184, 0,FALSE), IFERROR(VLOOKUP($A23,'Vocus SIT ExDa'!$B$2:$J$173, 0,FALSE), IFERROR(VLOOKUP($A23,'Telstra ExDa'!$B$2:$K$310, 0,FALSE), IFERROR(VLOOKUP($A23,'Vocus RVC ExDa'!$C$2:$R$155, 0,FALSE), IFERROR(VLOOKUP($A23,'Fusion ExDa'!$B$2:$D$16, 0,FALSE), IFERROR(VLOOKUP($A23,'Exetel ExDa'!$C$2:$N$14, 11,FALSE), IFERROR(VLOOKUP($A23,'Infinet ExDa'!$B$2:$E$14, 0,FALSE), "Not Found"))))))))</f>
        <v>Not Found</v>
      </c>
      <c r="N23" t="str">
        <f>IFERROR(VLOOKUP($A23,'AAPT ExDa'!$B$2:$U$99, 0,FALSE), IFERROR(VLOOKUP($A23,'ABB ExDa'!$A$2:$N$184, 13,FALSE), IFERROR(VLOOKUP($A23,'Vocus SIT ExDa'!$B$2:$J$173, 0,FALSE), IFERROR(VLOOKUP($A23,'Telstra ExDa'!$B$2:$K$310, 0,FALSE), IFERROR(VLOOKUP($A23,'Vocus RVC ExDa'!$C$2:$R$155, 0,FALSE), IFERROR(VLOOKUP($A23,'Fusion ExDa'!$B$2:$D$16, 0,FALSE), IFERROR(VLOOKUP($A23,'Exetel ExDa'!$C$2:$N$14, 0,FALSE), IFERROR(VLOOKUP($A23,'Infinet ExDa'!$B$2:$E$14, 0,FALSE), "Not Found"))))))))</f>
        <v>Not Found</v>
      </c>
    </row>
    <row r="24" spans="1:14">
      <c r="A24" t="str">
        <v>CPM</v>
      </c>
      <c r="B24" t="str">
        <f>IFERROR(VLOOKUP(A24,'Exetel ExDa'!$C$2:$N$14,4,FALSE),"No Data")</f>
        <v>No Data</v>
      </c>
      <c r="C24">
        <f>IFERROR(VLOOKUP(A24,'AAPT ExDa'!$B$2:$U$99, 2,FALSE), IFERROR(VLOOKUP(A24,'ABB ExDa'!$A$2:$N$184, 2,FALSE), IFERROR(VLOOKUP(A24,'Vocus SIT ExDa'!$B$2:$J$173, 7,FALSE), IFERROR(VLOOKUP(A24,'Telstra ExDa'!$B$2:$K$310, 2,FALSE), IFERROR(VLOOKUP(A24,'Vocus RVC ExDa'!$C$2:$R$155, 3,FALSE), IFERROR(VLOOKUP(A24,'Fusion ExDa'!$B$2:$D$16, 2,FALSE), IFERROR(VLOOKUP(A24,'Exetel ExDa'!$C$2:$N$14, 2,FALSE), IFERROR(VLOOKUP(A24,'Infinet ExDa'!$B$2:$E$14, 2,FALSE), "Not Found"))))))))</f>
        <v>0</v>
      </c>
      <c r="D24" t="str">
        <f>IFERROR(VLOOKUP($A24,'AAPT ExDa'!$B$2:$U$99, 15,FALSE), IFERROR(VLOOKUP($A24,'ABB ExDa'!$A$2:$N$184, 4,FALSE), IFERROR(VLOOKUP($A24,'Vocus SIT ExDa'!$B$2:$J$173, 5,FALSE), IFERROR(VLOOKUP($A24,'Telstra ExDa'!$B$2:$K$310, 8,FALSE), IFERROR(VLOOKUP($A24,'Vocus RVC ExDa'!$C$2:$R$155, 6,FALSE), IFERROR(VLOOKUP($A24,'Fusion ExDa'!$B$2:$D$16, 4,FALSE), IFERROR(VLOOKUP($A24,'Exetel ExDa'!$C$2:$N$14, 3,FALSE), IFERROR(VLOOKUP($A24,'Infinet ExDa'!$B$2:$E$14, 3,FALSE), "Not Found"))))))))</f>
        <v>AAPT</v>
      </c>
      <c r="E24" t="str">
        <f>IFERROR(VLOOKUP($A24,'AAPT ExDa'!$B$2:$U$99, 3,FALSE), IFERROR(VLOOKUP($A24,'ABB ExDa'!$A$2:$N$184, 5,FALSE), IFERROR(VLOOKUP($A24,'Vocus SIT ExDa'!$B$2:$J$173, 2,FALSE), IFERROR(VLOOKUP($A24,'Telstra ExDa'!$B$2:$K$310, 4,FALSE), IFERROR(VLOOKUP($A24,'Vocus RVC ExDa'!$C$2:$R$155, 8,FALSE), IFERROR(VLOOKUP($A24,'Fusion ExDa'!$B$2:$D$16, 4,FALSE), IFERROR(VLOOKUP($A24,'Exetel ExDa'!$C$2:$N$14, 5,FALSE), IFERROR(VLOOKUP($A24,'Infinet ExDa'!$B$2:$E$14, 3,FALSE), "Not Found"))))))))</f>
        <v>IP-Line</v>
      </c>
      <c r="F24" t="str">
        <f>IFERROR(VLOOKUP($A24,'AAPT ExDa'!$B$2:$U$99, 4,FALSE), IFERROR(VLOOKUP($A24,'ABB ExDa'!$A$2:$N$184, 6,FALSE), IFERROR(VLOOKUP($A24,'Vocus SIT ExDa'!$B$2:$J$173, 3,FALSE), IFERROR(VLOOKUP($A24,'Telstra ExDa'!$B$2:$K$310, 5,FALSE), IFERROR(VLOOKUP($A24,'Vocus RVC ExDa'!$C$2:$R$155, 9,FALSE), IFERROR(VLOOKUP($A24,'Fusion ExDa'!$B$2:$D$16, 0,FALSE), IFERROR(VLOOKUP($A24,'Exetel ExDa'!$C$2:$N$14, 6,FALSE), IFERROR(VLOOKUP($A24,'Infinet ExDa'!$B$2:$E$14, 0,FALSE), "Not Found"))))))))</f>
        <v>IP-Line Link</v>
      </c>
      <c r="G24" t="str">
        <f>IFERROR(VLOOKUP($A24,'AAPT ExDa'!$B$2:$U$99, 5,FALSE), IFERROR(VLOOKUP($A24,'ABB ExDa'!$A$2:$N$184, 8,FALSE), IFERROR(VLOOKUP($A24,'Vocus SIT ExDa'!$B$2:$J$173, 6,FALSE), IFERROR(VLOOKUP($A24,'Telstra ExDa'!$B$2:$K$310, 0,FALSE), IFERROR(VLOOKUP($A24,'Vocus RVC ExDa'!$C$2:$R$155, 15,FALSE), IFERROR(VLOOKUP($A24,'Fusion ExDa'!$B$2:$D$16, 0,FALSE), IFERROR(VLOOKUP($A24,'Exetel ExDa'!$C$2:$N$14, 7,FALSE), IFERROR(VLOOKUP($A24,'Infinet ExDa'!$B$2:$E$14, 0,FALSE), "Not Found"))))))))</f>
        <v>Connecting IP-Line 6023265 to Access 100831192</v>
      </c>
      <c r="H24" t="str">
        <f>IFERROR(VLOOKUP($A24,'AAPT ExDa'!$B$2:$U$99, 6,FALSE), IFERROR(VLOOKUP($A24,'ABB ExDa'!$A$2:$N$184, 0,FALSE), IFERROR(VLOOKUP($A24,'Vocus SIT ExDa'!$B$2:$J$173, 0,FALSE), IFERROR(VLOOKUP($A24,'Telstra ExDa'!$B$2:$K$310, 0,FALSE), IFERROR(VLOOKUP($A24,'Vocus RVC ExDa'!$C$2:$R$155, 16,FALSE), IFERROR(VLOOKUP($A24,'Fusion ExDa'!$B$2:$D$16, 0,FALSE), IFERROR(VLOOKUP($A24,'Exetel ExDa'!$C$2:$N$14, 0,FALSE), IFERROR(VLOOKUP($A24,'Infinet ExDa'!$B$2:$E$14, 0,FALSE), "Not Found"))))))))</f>
        <v>Up to 50/20Mbps; AVC ID:AVC000163185354</v>
      </c>
      <c r="I24" t="str">
        <f>IFERROR(VLOOKUP($A24,'AAPT ExDa'!$B$2:$U$99, 0,FALSE), IFERROR(VLOOKUP($A24,'ABB ExDa'!$A$2:$N$184, 0,FALSE), IFERROR(VLOOKUP($A24,'Vocus SIT ExDa'!$B$2:$J$173, 0,FALSE), IFERROR(VLOOKUP($A24,'Telstra ExDa'!$B$2:$K$310, 0,FALSE), IFERROR(VLOOKUP($A24,'Vocus RVC ExDa'!$C$2:$R$155, 0,FALSE), IFERROR(VLOOKUP($A24,'Fusion ExDa'!$B$2:$D$16, 0,FALSE), IFERROR(VLOOKUP($A24,'Exetel ExDa'!$C$2:$N$14, 8,FALSE), IFERROR(VLOOKUP($A24,'Infinet ExDa'!$B$2:$E$14, 0,FALSE), "Not Found"))))))))</f>
        <v>Not Found</v>
      </c>
      <c r="J24" t="str">
        <f>IFERROR(VLOOKUP($A24,'AAPT ExDa'!$B$2:$U$99, 7,FALSE), IFERROR(VLOOKUP($A24,'ABB ExDa'!$A$2:$N$184, 2,FALSE), IFERROR(VLOOKUP($A24,'Vocus SIT ExDa'!$B$2:$J$173, 0,FALSE), IFERROR(VLOOKUP($A24,'Telstra ExDa'!$B$2:$K$310, 7,FALSE), IFERROR(VLOOKUP($A24,'Vocus RVC ExDa'!$C$2:$R$155, 2,FALSE), IFERROR(VLOOKUP($A24,'Fusion ExDa'!$B$2:$D$16, 3,FALSE), IFERROR(VLOOKUP($A24,'Exetel ExDa'!$C$2:$N$14, 0,FALSE), IFERROR(VLOOKUP($A24,'Infinet ExDa'!$B$2:$E$14, 0,FALSE), "Not Found"))))))))</f>
        <v>AVC000163185354</v>
      </c>
      <c r="K24" t="str">
        <f>IFERROR(VLOOKUP($A24,'AAPT ExDa'!$B$2:$U$99, 12,FALSE), IFERROR(VLOOKUP($A24,'ABB ExDa'!$A$2:$N$184, 0,FALSE), IFERROR(VLOOKUP($A24,'Vocus SIT ExDa'!$B$2:$J$173, 0,FALSE), IFERROR(VLOOKUP($A24,'Telstra ExDa'!$B$2:$K$310, 0,FALSE), IFERROR(VLOOKUP($A24,'Vocus RVC ExDa'!$C$2:$R$155, 0,FALSE), IFERROR(VLOOKUP($A24,'Fusion ExDa'!$B$2:$D$16, 0,FALSE), IFERROR(VLOOKUP($A24,'Exetel ExDa'!$C$2:$N$14, 12,FALSE), IFERROR(VLOOKUP($A24,'Infinet ExDa'!$B$2:$E$14, 0,FALSE), "Not Found"))))))))</f>
        <v>24 Months</v>
      </c>
      <c r="L24" s="235">
        <f>IFERROR(VLOOKUP($A24,'AAPT ExDa'!$B$2:$U$99, 11,FALSE), IFERROR(VLOOKUP($A24,'ABB ExDa'!$A$2:$N$184, 9,FALSE), IFERROR(VLOOKUP($A24,'Vocus SIT ExDa'!$B$2:$J$173, 8,FALSE), IFERROR(VLOOKUP($A24,'Telstra ExDa'!$B$2:$K$310, 0,FALSE), IFERROR(VLOOKUP($A24,'Vocus RVC ExDa'!$C$2:$R$155, 0,FALSE), IFERROR(VLOOKUP($A24,'Fusion ExDa'!$B$2:$D$16, 0,FALSE), IFERROR(VLOOKUP($A24,'Exetel ExDa'!$C$2:$N$14, 9,FALSE), IFERROR(VLOOKUP($A24,'Infinet ExDa'!$B$2:$E$14, 0,FALSE), "Not Found"))))))))</f>
        <v>45140</v>
      </c>
      <c r="M24" s="234" t="str">
        <f>IFERROR(VLOOKUP($A24,'AAPT ExDa'!$B$2:$U$99, 0,FALSE), IFERROR(VLOOKUP($A24,'ABB ExDa'!$A$2:$N$184, 0,FALSE), IFERROR(VLOOKUP($A24,'Vocus SIT ExDa'!$B$2:$J$173, 0,FALSE), IFERROR(VLOOKUP($A24,'Telstra ExDa'!$B$2:$K$310, 0,FALSE), IFERROR(VLOOKUP($A24,'Vocus RVC ExDa'!$C$2:$R$155, 0,FALSE), IFERROR(VLOOKUP($A24,'Fusion ExDa'!$B$2:$D$16, 0,FALSE), IFERROR(VLOOKUP($A24,'Exetel ExDa'!$C$2:$N$14, 11,FALSE), IFERROR(VLOOKUP($A24,'Infinet ExDa'!$B$2:$E$14, 0,FALSE), "Not Found"))))))))</f>
        <v>Not Found</v>
      </c>
      <c r="N24" t="str">
        <f>IFERROR(VLOOKUP($A24,'AAPT ExDa'!$B$2:$U$99, 0,FALSE), IFERROR(VLOOKUP($A24,'ABB ExDa'!$A$2:$N$184, 13,FALSE), IFERROR(VLOOKUP($A24,'Vocus SIT ExDa'!$B$2:$J$173, 0,FALSE), IFERROR(VLOOKUP($A24,'Telstra ExDa'!$B$2:$K$310, 0,FALSE), IFERROR(VLOOKUP($A24,'Vocus RVC ExDa'!$C$2:$R$155, 0,FALSE), IFERROR(VLOOKUP($A24,'Fusion ExDa'!$B$2:$D$16, 0,FALSE), IFERROR(VLOOKUP($A24,'Exetel ExDa'!$C$2:$N$14, 0,FALSE), IFERROR(VLOOKUP($A24,'Infinet ExDa'!$B$2:$E$14, 0,FALSE), "Not Found"))))))))</f>
        <v>Not Found</v>
      </c>
    </row>
    <row r="25" spans="1:14">
      <c r="A25" t="str">
        <v>Drummond House</v>
      </c>
      <c r="B25" t="str">
        <f>IFERROR(VLOOKUP(A25,'Exetel ExDa'!$C$2:$N$14,4,FALSE),"No Data")</f>
        <v>No Data</v>
      </c>
      <c r="C25">
        <f>IFERROR(VLOOKUP(A25,'AAPT ExDa'!$B$2:$U$99, 2,FALSE), IFERROR(VLOOKUP(A25,'ABB ExDa'!$A$2:$N$184, 2,FALSE), IFERROR(VLOOKUP(A25,'Vocus SIT ExDa'!$B$2:$J$173, 7,FALSE), IFERROR(VLOOKUP(A25,'Telstra ExDa'!$B$2:$K$310, 2,FALSE), IFERROR(VLOOKUP(A25,'Vocus RVC ExDa'!$C$2:$R$155, 3,FALSE), IFERROR(VLOOKUP(A25,'Fusion ExDa'!$B$2:$D$16, 2,FALSE), IFERROR(VLOOKUP(A25,'Exetel ExDa'!$C$2:$N$14, 2,FALSE), IFERROR(VLOOKUP(A25,'Infinet ExDa'!$B$2:$E$14, 2,FALSE), "Not Found"))))))))</f>
        <v>0</v>
      </c>
      <c r="D25" t="str">
        <f>IFERROR(VLOOKUP($A25,'AAPT ExDa'!$B$2:$U$99, 15,FALSE), IFERROR(VLOOKUP($A25,'ABB ExDa'!$A$2:$N$184, 4,FALSE), IFERROR(VLOOKUP($A25,'Vocus SIT ExDa'!$B$2:$J$173, 5,FALSE), IFERROR(VLOOKUP($A25,'Telstra ExDa'!$B$2:$K$310, 8,FALSE), IFERROR(VLOOKUP($A25,'Vocus RVC ExDa'!$C$2:$R$155, 6,FALSE), IFERROR(VLOOKUP($A25,'Fusion ExDa'!$B$2:$D$16, 4,FALSE), IFERROR(VLOOKUP($A25,'Exetel ExDa'!$C$2:$N$14, 3,FALSE), IFERROR(VLOOKUP($A25,'Infinet ExDa'!$B$2:$E$14, 3,FALSE), "Not Found"))))))))</f>
        <v>AAPT</v>
      </c>
      <c r="E25" t="str">
        <f>IFERROR(VLOOKUP($A25,'AAPT ExDa'!$B$2:$U$99, 3,FALSE), IFERROR(VLOOKUP($A25,'ABB ExDa'!$A$2:$N$184, 5,FALSE), IFERROR(VLOOKUP($A25,'Vocus SIT ExDa'!$B$2:$J$173, 2,FALSE), IFERROR(VLOOKUP($A25,'Telstra ExDa'!$B$2:$K$310, 4,FALSE), IFERROR(VLOOKUP($A25,'Vocus RVC ExDa'!$C$2:$R$155, 8,FALSE), IFERROR(VLOOKUP($A25,'Fusion ExDa'!$B$2:$D$16, 4,FALSE), IFERROR(VLOOKUP($A25,'Exetel ExDa'!$C$2:$N$14, 5,FALSE), IFERROR(VLOOKUP($A25,'Infinet ExDa'!$B$2:$E$14, 3,FALSE), "Not Found"))))))))</f>
        <v>IP-Line</v>
      </c>
      <c r="F25" t="str">
        <f>IFERROR(VLOOKUP($A25,'AAPT ExDa'!$B$2:$U$99, 4,FALSE), IFERROR(VLOOKUP($A25,'ABB ExDa'!$A$2:$N$184, 6,FALSE), IFERROR(VLOOKUP($A25,'Vocus SIT ExDa'!$B$2:$J$173, 3,FALSE), IFERROR(VLOOKUP($A25,'Telstra ExDa'!$B$2:$K$310, 5,FALSE), IFERROR(VLOOKUP($A25,'Vocus RVC ExDa'!$C$2:$R$155, 9,FALSE), IFERROR(VLOOKUP($A25,'Fusion ExDa'!$B$2:$D$16, 0,FALSE), IFERROR(VLOOKUP($A25,'Exetel ExDa'!$C$2:$N$14, 6,FALSE), IFERROR(VLOOKUP($A25,'Infinet ExDa'!$B$2:$E$14, 0,FALSE), "Not Found"))))))))</f>
        <v>IP-Line Link</v>
      </c>
      <c r="G25" t="str">
        <f>IFERROR(VLOOKUP($A25,'AAPT ExDa'!$B$2:$U$99, 5,FALSE), IFERROR(VLOOKUP($A25,'ABB ExDa'!$A$2:$N$184, 8,FALSE), IFERROR(VLOOKUP($A25,'Vocus SIT ExDa'!$B$2:$J$173, 6,FALSE), IFERROR(VLOOKUP($A25,'Telstra ExDa'!$B$2:$K$310, 0,FALSE), IFERROR(VLOOKUP($A25,'Vocus RVC ExDa'!$C$2:$R$155, 15,FALSE), IFERROR(VLOOKUP($A25,'Fusion ExDa'!$B$2:$D$16, 0,FALSE), IFERROR(VLOOKUP($A25,'Exetel ExDa'!$C$2:$N$14, 7,FALSE), IFERROR(VLOOKUP($A25,'Infinet ExDa'!$B$2:$E$14, 0,FALSE), "Not Found"))))))))</f>
        <v>Connecting IP-Line 6023265 to Access 1675725</v>
      </c>
      <c r="H25" t="str">
        <f>IFERROR(VLOOKUP($A25,'AAPT ExDa'!$B$2:$U$99, 6,FALSE), IFERROR(VLOOKUP($A25,'ABB ExDa'!$A$2:$N$184, 0,FALSE), IFERROR(VLOOKUP($A25,'Vocus SIT ExDa'!$B$2:$J$173, 0,FALSE), IFERROR(VLOOKUP($A25,'Telstra ExDa'!$B$2:$K$310, 0,FALSE), IFERROR(VLOOKUP($A25,'Vocus RVC ExDa'!$C$2:$R$155, 16,FALSE), IFERROR(VLOOKUP($A25,'Fusion ExDa'!$B$2:$D$16, 0,FALSE), IFERROR(VLOOKUP($A25,'Exetel ExDa'!$C$2:$N$14, 0,FALSE), IFERROR(VLOOKUP($A25,'Infinet ExDa'!$B$2:$E$14, 0,FALSE), "Not Found"))))))))</f>
        <v>Up to 100/40Mbps; AVC ID:AVC000067038082</v>
      </c>
      <c r="I25" t="str">
        <f>IFERROR(VLOOKUP($A25,'AAPT ExDa'!$B$2:$U$99, 0,FALSE), IFERROR(VLOOKUP($A25,'ABB ExDa'!$A$2:$N$184, 0,FALSE), IFERROR(VLOOKUP($A25,'Vocus SIT ExDa'!$B$2:$J$173, 0,FALSE), IFERROR(VLOOKUP($A25,'Telstra ExDa'!$B$2:$K$310, 0,FALSE), IFERROR(VLOOKUP($A25,'Vocus RVC ExDa'!$C$2:$R$155, 0,FALSE), IFERROR(VLOOKUP($A25,'Fusion ExDa'!$B$2:$D$16, 0,FALSE), IFERROR(VLOOKUP($A25,'Exetel ExDa'!$C$2:$N$14, 8,FALSE), IFERROR(VLOOKUP($A25,'Infinet ExDa'!$B$2:$E$14, 0,FALSE), "Not Found"))))))))</f>
        <v>Not Found</v>
      </c>
      <c r="J25" t="str">
        <f>IFERROR(VLOOKUP($A25,'AAPT ExDa'!$B$2:$U$99, 7,FALSE), IFERROR(VLOOKUP($A25,'ABB ExDa'!$A$2:$N$184, 2,FALSE), IFERROR(VLOOKUP($A25,'Vocus SIT ExDa'!$B$2:$J$173, 0,FALSE), IFERROR(VLOOKUP($A25,'Telstra ExDa'!$B$2:$K$310, 7,FALSE), IFERROR(VLOOKUP($A25,'Vocus RVC ExDa'!$C$2:$R$155, 2,FALSE), IFERROR(VLOOKUP($A25,'Fusion ExDa'!$B$2:$D$16, 3,FALSE), IFERROR(VLOOKUP($A25,'Exetel ExDa'!$C$2:$N$14, 0,FALSE), IFERROR(VLOOKUP($A25,'Infinet ExDa'!$B$2:$E$14, 0,FALSE), "Not Found"))))))))</f>
        <v>AVC000067038082</v>
      </c>
      <c r="K25" t="str">
        <f>IFERROR(VLOOKUP($A25,'AAPT ExDa'!$B$2:$U$99, 12,FALSE), IFERROR(VLOOKUP($A25,'ABB ExDa'!$A$2:$N$184, 0,FALSE), IFERROR(VLOOKUP($A25,'Vocus SIT ExDa'!$B$2:$J$173, 0,FALSE), IFERROR(VLOOKUP($A25,'Telstra ExDa'!$B$2:$K$310, 0,FALSE), IFERROR(VLOOKUP($A25,'Vocus RVC ExDa'!$C$2:$R$155, 0,FALSE), IFERROR(VLOOKUP($A25,'Fusion ExDa'!$B$2:$D$16, 0,FALSE), IFERROR(VLOOKUP($A25,'Exetel ExDa'!$C$2:$N$14, 12,FALSE), IFERROR(VLOOKUP($A25,'Infinet ExDa'!$B$2:$E$14, 0,FALSE), "Not Found"))))))))</f>
        <v>24 Months</v>
      </c>
      <c r="L25" s="235" t="str">
        <f>IFERROR(VLOOKUP($A25,'AAPT ExDa'!$B$2:$U$99, 11,FALSE), IFERROR(VLOOKUP($A25,'ABB ExDa'!$A$2:$N$184, 9,FALSE), IFERROR(VLOOKUP($A25,'Vocus SIT ExDa'!$B$2:$J$173, 8,FALSE), IFERROR(VLOOKUP($A25,'Telstra ExDa'!$B$2:$K$310, 0,FALSE), IFERROR(VLOOKUP($A25,'Vocus RVC ExDa'!$C$2:$R$155, 0,FALSE), IFERROR(VLOOKUP($A25,'Fusion ExDa'!$B$2:$D$16, 0,FALSE), IFERROR(VLOOKUP($A25,'Exetel ExDa'!$C$2:$N$14, 9,FALSE), IFERROR(VLOOKUP($A25,'Infinet ExDa'!$B$2:$E$14, 0,FALSE), "Not Found"))))))))</f>
        <v>23/08/2018</v>
      </c>
      <c r="M25" s="234" t="str">
        <f>IFERROR(VLOOKUP($A25,'AAPT ExDa'!$B$2:$U$99, 0,FALSE), IFERROR(VLOOKUP($A25,'ABB ExDa'!$A$2:$N$184, 0,FALSE), IFERROR(VLOOKUP($A25,'Vocus SIT ExDa'!$B$2:$J$173, 0,FALSE), IFERROR(VLOOKUP($A25,'Telstra ExDa'!$B$2:$K$310, 0,FALSE), IFERROR(VLOOKUP($A25,'Vocus RVC ExDa'!$C$2:$R$155, 0,FALSE), IFERROR(VLOOKUP($A25,'Fusion ExDa'!$B$2:$D$16, 0,FALSE), IFERROR(VLOOKUP($A25,'Exetel ExDa'!$C$2:$N$14, 11,FALSE), IFERROR(VLOOKUP($A25,'Infinet ExDa'!$B$2:$E$14, 0,FALSE), "Not Found"))))))))</f>
        <v>Not Found</v>
      </c>
      <c r="N25" t="str">
        <f>IFERROR(VLOOKUP($A25,'AAPT ExDa'!$B$2:$U$99, 0,FALSE), IFERROR(VLOOKUP($A25,'ABB ExDa'!$A$2:$N$184, 13,FALSE), IFERROR(VLOOKUP($A25,'Vocus SIT ExDa'!$B$2:$J$173, 0,FALSE), IFERROR(VLOOKUP($A25,'Telstra ExDa'!$B$2:$K$310, 0,FALSE), IFERROR(VLOOKUP($A25,'Vocus RVC ExDa'!$C$2:$R$155, 0,FALSE), IFERROR(VLOOKUP($A25,'Fusion ExDa'!$B$2:$D$16, 0,FALSE), IFERROR(VLOOKUP($A25,'Exetel ExDa'!$C$2:$N$14, 0,FALSE), IFERROR(VLOOKUP($A25,'Infinet ExDa'!$B$2:$E$14, 0,FALSE), "Not Found"))))))))</f>
        <v>Not Found</v>
      </c>
    </row>
    <row r="26" spans="1:14">
      <c r="A26" t="str">
        <v>Empowering Hive</v>
      </c>
      <c r="B26" t="str">
        <f>IFERROR(VLOOKUP(A26,'Exetel ExDa'!$C$2:$N$14,4,FALSE),"No Data")</f>
        <v>No Data</v>
      </c>
      <c r="C26">
        <f>IFERROR(VLOOKUP(A26,'AAPT ExDa'!$B$2:$U$99, 2,FALSE), IFERROR(VLOOKUP(A26,'ABB ExDa'!$A$2:$N$184, 2,FALSE), IFERROR(VLOOKUP(A26,'Vocus SIT ExDa'!$B$2:$J$173, 7,FALSE), IFERROR(VLOOKUP(A26,'Telstra ExDa'!$B$2:$K$310, 2,FALSE), IFERROR(VLOOKUP(A26,'Vocus RVC ExDa'!$C$2:$R$155, 3,FALSE), IFERROR(VLOOKUP(A26,'Fusion ExDa'!$B$2:$D$16, 2,FALSE), IFERROR(VLOOKUP(A26,'Exetel ExDa'!$C$2:$N$14, 2,FALSE), IFERROR(VLOOKUP(A26,'Infinet ExDa'!$B$2:$E$14, 2,FALSE), "Not Found"))))))))</f>
        <v>0</v>
      </c>
      <c r="D26" t="str">
        <f>IFERROR(VLOOKUP($A26,'AAPT ExDa'!$B$2:$U$99, 15,FALSE), IFERROR(VLOOKUP($A26,'ABB ExDa'!$A$2:$N$184, 4,FALSE), IFERROR(VLOOKUP($A26,'Vocus SIT ExDa'!$B$2:$J$173, 5,FALSE), IFERROR(VLOOKUP($A26,'Telstra ExDa'!$B$2:$K$310, 8,FALSE), IFERROR(VLOOKUP($A26,'Vocus RVC ExDa'!$C$2:$R$155, 6,FALSE), IFERROR(VLOOKUP($A26,'Fusion ExDa'!$B$2:$D$16, 4,FALSE), IFERROR(VLOOKUP($A26,'Exetel ExDa'!$C$2:$N$14, 3,FALSE), IFERROR(VLOOKUP($A26,'Infinet ExDa'!$B$2:$E$14, 3,FALSE), "Not Found"))))))))</f>
        <v>AAPT</v>
      </c>
      <c r="E26" t="str">
        <f>IFERROR(VLOOKUP($A26,'AAPT ExDa'!$B$2:$U$99, 3,FALSE), IFERROR(VLOOKUP($A26,'ABB ExDa'!$A$2:$N$184, 5,FALSE), IFERROR(VLOOKUP($A26,'Vocus SIT ExDa'!$B$2:$J$173, 2,FALSE), IFERROR(VLOOKUP($A26,'Telstra ExDa'!$B$2:$K$310, 4,FALSE), IFERROR(VLOOKUP($A26,'Vocus RVC ExDa'!$C$2:$R$155, 8,FALSE), IFERROR(VLOOKUP($A26,'Fusion ExDa'!$B$2:$D$16, 4,FALSE), IFERROR(VLOOKUP($A26,'Exetel ExDa'!$C$2:$N$14, 5,FALSE), IFERROR(VLOOKUP($A26,'Infinet ExDa'!$B$2:$E$14, 3,FALSE), "Not Found"))))))))</f>
        <v>IP-Line</v>
      </c>
      <c r="F26" t="str">
        <f>IFERROR(VLOOKUP($A26,'AAPT ExDa'!$B$2:$U$99, 4,FALSE), IFERROR(VLOOKUP($A26,'ABB ExDa'!$A$2:$N$184, 6,FALSE), IFERROR(VLOOKUP($A26,'Vocus SIT ExDa'!$B$2:$J$173, 3,FALSE), IFERROR(VLOOKUP($A26,'Telstra ExDa'!$B$2:$K$310, 5,FALSE), IFERROR(VLOOKUP($A26,'Vocus RVC ExDa'!$C$2:$R$155, 9,FALSE), IFERROR(VLOOKUP($A26,'Fusion ExDa'!$B$2:$D$16, 0,FALSE), IFERROR(VLOOKUP($A26,'Exetel ExDa'!$C$2:$N$14, 6,FALSE), IFERROR(VLOOKUP($A26,'Infinet ExDa'!$B$2:$E$14, 0,FALSE), "Not Found"))))))))</f>
        <v>IP-Line Link</v>
      </c>
      <c r="G26" t="str">
        <f>IFERROR(VLOOKUP($A26,'AAPT ExDa'!$B$2:$U$99, 5,FALSE), IFERROR(VLOOKUP($A26,'ABB ExDa'!$A$2:$N$184, 8,FALSE), IFERROR(VLOOKUP($A26,'Vocus SIT ExDa'!$B$2:$J$173, 6,FALSE), IFERROR(VLOOKUP($A26,'Telstra ExDa'!$B$2:$K$310, 0,FALSE), IFERROR(VLOOKUP($A26,'Vocus RVC ExDa'!$C$2:$R$155, 15,FALSE), IFERROR(VLOOKUP($A26,'Fusion ExDa'!$B$2:$D$16, 0,FALSE), IFERROR(VLOOKUP($A26,'Exetel ExDa'!$C$2:$N$14, 7,FALSE), IFERROR(VLOOKUP($A26,'Infinet ExDa'!$B$2:$E$14, 0,FALSE), "Not Found"))))))))</f>
        <v>Connecting IP-Line 6023265 to Access 100828900</v>
      </c>
      <c r="H26" t="str">
        <f>IFERROR(VLOOKUP($A26,'AAPT ExDa'!$B$2:$U$99, 6,FALSE), IFERROR(VLOOKUP($A26,'ABB ExDa'!$A$2:$N$184, 0,FALSE), IFERROR(VLOOKUP($A26,'Vocus SIT ExDa'!$B$2:$J$173, 0,FALSE), IFERROR(VLOOKUP($A26,'Telstra ExDa'!$B$2:$K$310, 0,FALSE), IFERROR(VLOOKUP($A26,'Vocus RVC ExDa'!$C$2:$R$155, 16,FALSE), IFERROR(VLOOKUP($A26,'Fusion ExDa'!$B$2:$D$16, 0,FALSE), IFERROR(VLOOKUP($A26,'Exetel ExDa'!$C$2:$N$14, 0,FALSE), IFERROR(VLOOKUP($A26,'Infinet ExDa'!$B$2:$E$14, 0,FALSE), "Not Found"))))))))</f>
        <v>Up to 100/40Mbps; AVC ID:AVC000162253542</v>
      </c>
      <c r="I26" t="str">
        <f>IFERROR(VLOOKUP($A26,'AAPT ExDa'!$B$2:$U$99, 0,FALSE), IFERROR(VLOOKUP($A26,'ABB ExDa'!$A$2:$N$184, 0,FALSE), IFERROR(VLOOKUP($A26,'Vocus SIT ExDa'!$B$2:$J$173, 0,FALSE), IFERROR(VLOOKUP($A26,'Telstra ExDa'!$B$2:$K$310, 0,FALSE), IFERROR(VLOOKUP($A26,'Vocus RVC ExDa'!$C$2:$R$155, 0,FALSE), IFERROR(VLOOKUP($A26,'Fusion ExDa'!$B$2:$D$16, 0,FALSE), IFERROR(VLOOKUP($A26,'Exetel ExDa'!$C$2:$N$14, 8,FALSE), IFERROR(VLOOKUP($A26,'Infinet ExDa'!$B$2:$E$14, 0,FALSE), "Not Found"))))))))</f>
        <v>Not Found</v>
      </c>
      <c r="J26" t="str">
        <f>IFERROR(VLOOKUP($A26,'AAPT ExDa'!$B$2:$U$99, 7,FALSE), IFERROR(VLOOKUP($A26,'ABB ExDa'!$A$2:$N$184, 2,FALSE), IFERROR(VLOOKUP($A26,'Vocus SIT ExDa'!$B$2:$J$173, 0,FALSE), IFERROR(VLOOKUP($A26,'Telstra ExDa'!$B$2:$K$310, 7,FALSE), IFERROR(VLOOKUP($A26,'Vocus RVC ExDa'!$C$2:$R$155, 2,FALSE), IFERROR(VLOOKUP($A26,'Fusion ExDa'!$B$2:$D$16, 3,FALSE), IFERROR(VLOOKUP($A26,'Exetel ExDa'!$C$2:$N$14, 0,FALSE), IFERROR(VLOOKUP($A26,'Infinet ExDa'!$B$2:$E$14, 0,FALSE), "Not Found"))))))))</f>
        <v>AVC000162253542</v>
      </c>
      <c r="K26" t="str">
        <f>IFERROR(VLOOKUP($A26,'AAPT ExDa'!$B$2:$U$99, 12,FALSE), IFERROR(VLOOKUP($A26,'ABB ExDa'!$A$2:$N$184, 0,FALSE), IFERROR(VLOOKUP($A26,'Vocus SIT ExDa'!$B$2:$J$173, 0,FALSE), IFERROR(VLOOKUP($A26,'Telstra ExDa'!$B$2:$K$310, 0,FALSE), IFERROR(VLOOKUP($A26,'Vocus RVC ExDa'!$C$2:$R$155, 0,FALSE), IFERROR(VLOOKUP($A26,'Fusion ExDa'!$B$2:$D$16, 0,FALSE), IFERROR(VLOOKUP($A26,'Exetel ExDa'!$C$2:$N$14, 12,FALSE), IFERROR(VLOOKUP($A26,'Infinet ExDa'!$B$2:$E$14, 0,FALSE), "Not Found"))))))))</f>
        <v>12 Months</v>
      </c>
      <c r="L26" s="235">
        <f>IFERROR(VLOOKUP($A26,'AAPT ExDa'!$B$2:$U$99, 11,FALSE), IFERROR(VLOOKUP($A26,'ABB ExDa'!$A$2:$N$184, 9,FALSE), IFERROR(VLOOKUP($A26,'Vocus SIT ExDa'!$B$2:$J$173, 8,FALSE), IFERROR(VLOOKUP($A26,'Telstra ExDa'!$B$2:$K$310, 0,FALSE), IFERROR(VLOOKUP($A26,'Vocus RVC ExDa'!$C$2:$R$155, 0,FALSE), IFERROR(VLOOKUP($A26,'Fusion ExDa'!$B$2:$D$16, 0,FALSE), IFERROR(VLOOKUP($A26,'Exetel ExDa'!$C$2:$N$14, 9,FALSE), IFERROR(VLOOKUP($A26,'Infinet ExDa'!$B$2:$E$14, 0,FALSE), "Not Found"))))))))</f>
        <v>44604</v>
      </c>
      <c r="M26" s="234" t="str">
        <f>IFERROR(VLOOKUP($A26,'AAPT ExDa'!$B$2:$U$99, 0,FALSE), IFERROR(VLOOKUP($A26,'ABB ExDa'!$A$2:$N$184, 0,FALSE), IFERROR(VLOOKUP($A26,'Vocus SIT ExDa'!$B$2:$J$173, 0,FALSE), IFERROR(VLOOKUP($A26,'Telstra ExDa'!$B$2:$K$310, 0,FALSE), IFERROR(VLOOKUP($A26,'Vocus RVC ExDa'!$C$2:$R$155, 0,FALSE), IFERROR(VLOOKUP($A26,'Fusion ExDa'!$B$2:$D$16, 0,FALSE), IFERROR(VLOOKUP($A26,'Exetel ExDa'!$C$2:$N$14, 11,FALSE), IFERROR(VLOOKUP($A26,'Infinet ExDa'!$B$2:$E$14, 0,FALSE), "Not Found"))))))))</f>
        <v>Not Found</v>
      </c>
      <c r="N26" t="str">
        <f>IFERROR(VLOOKUP($A26,'AAPT ExDa'!$B$2:$U$99, 0,FALSE), IFERROR(VLOOKUP($A26,'ABB ExDa'!$A$2:$N$184, 13,FALSE), IFERROR(VLOOKUP($A26,'Vocus SIT ExDa'!$B$2:$J$173, 0,FALSE), IFERROR(VLOOKUP($A26,'Telstra ExDa'!$B$2:$K$310, 0,FALSE), IFERROR(VLOOKUP($A26,'Vocus RVC ExDa'!$C$2:$R$155, 0,FALSE), IFERROR(VLOOKUP($A26,'Fusion ExDa'!$B$2:$D$16, 0,FALSE), IFERROR(VLOOKUP($A26,'Exetel ExDa'!$C$2:$N$14, 0,FALSE), IFERROR(VLOOKUP($A26,'Infinet ExDa'!$B$2:$E$14, 0,FALSE), "Not Found"))))))))</f>
        <v>Not Found</v>
      </c>
    </row>
    <row r="27" spans="1:14">
      <c r="A27" t="str">
        <v>GMG</v>
      </c>
      <c r="B27" t="str">
        <f>IFERROR(VLOOKUP(A27,'Exetel ExDa'!$C$2:$N$14,4,FALSE),"No Data")</f>
        <v>No Data</v>
      </c>
      <c r="C27" t="str">
        <f>IFERROR(VLOOKUP(A27,'AAPT ExDa'!$B$2:$U$99, 2,FALSE), IFERROR(VLOOKUP(A27,'ABB ExDa'!$A$2:$N$184, 2,FALSE), IFERROR(VLOOKUP(A27,'Vocus SIT ExDa'!$B$2:$J$173, 7,FALSE), IFERROR(VLOOKUP(A27,'Telstra ExDa'!$B$2:$K$310, 2,FALSE), IFERROR(VLOOKUP(A27,'Vocus RVC ExDa'!$C$2:$R$155, 3,FALSE), IFERROR(VLOOKUP(A27,'Fusion ExDa'!$B$2:$D$16, 2,FALSE), IFERROR(VLOOKUP(A27,'Exetel ExDa'!$C$2:$N$14, 2,FALSE), IFERROR(VLOOKUP(A27,'Infinet ExDa'!$B$2:$E$14, 2,FALSE), "Not Found"))))))))</f>
        <v>Murarrie</v>
      </c>
      <c r="D27" t="str">
        <f>IFERROR(VLOOKUP($A27,'AAPT ExDa'!$B$2:$U$99, 15,FALSE), IFERROR(VLOOKUP($A27,'ABB ExDa'!$A$2:$N$184, 4,FALSE), IFERROR(VLOOKUP($A27,'Vocus SIT ExDa'!$B$2:$J$173, 5,FALSE), IFERROR(VLOOKUP($A27,'Telstra ExDa'!$B$2:$K$310, 8,FALSE), IFERROR(VLOOKUP($A27,'Vocus RVC ExDa'!$C$2:$R$155, 6,FALSE), IFERROR(VLOOKUP($A27,'Fusion ExDa'!$B$2:$D$16, 4,FALSE), IFERROR(VLOOKUP($A27,'Exetel ExDa'!$C$2:$N$14, 3,FALSE), IFERROR(VLOOKUP($A27,'Infinet ExDa'!$B$2:$E$14, 3,FALSE), "Not Found"))))))))</f>
        <v>AAPT</v>
      </c>
      <c r="E27" t="str">
        <f>IFERROR(VLOOKUP($A27,'AAPT ExDa'!$B$2:$U$99, 3,FALSE), IFERROR(VLOOKUP($A27,'ABB ExDa'!$A$2:$N$184, 5,FALSE), IFERROR(VLOOKUP($A27,'Vocus SIT ExDa'!$B$2:$J$173, 2,FALSE), IFERROR(VLOOKUP($A27,'Telstra ExDa'!$B$2:$K$310, 4,FALSE), IFERROR(VLOOKUP($A27,'Vocus RVC ExDa'!$C$2:$R$155, 8,FALSE), IFERROR(VLOOKUP($A27,'Fusion ExDa'!$B$2:$D$16, 4,FALSE), IFERROR(VLOOKUP($A27,'Exetel ExDa'!$C$2:$N$14, 5,FALSE), IFERROR(VLOOKUP($A27,'Infinet ExDa'!$B$2:$E$14, 3,FALSE), "Not Found"))))))))</f>
        <v>IP-Line</v>
      </c>
      <c r="F27" t="str">
        <f>IFERROR(VLOOKUP($A27,'AAPT ExDa'!$B$2:$U$99, 4,FALSE), IFERROR(VLOOKUP($A27,'ABB ExDa'!$A$2:$N$184, 6,FALSE), IFERROR(VLOOKUP($A27,'Vocus SIT ExDa'!$B$2:$J$173, 3,FALSE), IFERROR(VLOOKUP($A27,'Telstra ExDa'!$B$2:$K$310, 5,FALSE), IFERROR(VLOOKUP($A27,'Vocus RVC ExDa'!$C$2:$R$155, 9,FALSE), IFERROR(VLOOKUP($A27,'Fusion ExDa'!$B$2:$D$16, 0,FALSE), IFERROR(VLOOKUP($A27,'Exetel ExDa'!$C$2:$N$14, 6,FALSE), IFERROR(VLOOKUP($A27,'Infinet ExDa'!$B$2:$E$14, 0,FALSE), "Not Found"))))))))</f>
        <v>IP-Line Link</v>
      </c>
      <c r="G27" t="str">
        <f>IFERROR(VLOOKUP($A27,'AAPT ExDa'!$B$2:$U$99, 5,FALSE), IFERROR(VLOOKUP($A27,'ABB ExDa'!$A$2:$N$184, 8,FALSE), IFERROR(VLOOKUP($A27,'Vocus SIT ExDa'!$B$2:$J$173, 6,FALSE), IFERROR(VLOOKUP($A27,'Telstra ExDa'!$B$2:$K$310, 0,FALSE), IFERROR(VLOOKUP($A27,'Vocus RVC ExDa'!$C$2:$R$155, 15,FALSE), IFERROR(VLOOKUP($A27,'Fusion ExDa'!$B$2:$D$16, 0,FALSE), IFERROR(VLOOKUP($A27,'Exetel ExDa'!$C$2:$N$14, 7,FALSE), IFERROR(VLOOKUP($A27,'Infinet ExDa'!$B$2:$E$14, 0,FALSE), "Not Found"))))))))</f>
        <v>Connecting IP-Line 6023265 to Access 100864855</v>
      </c>
      <c r="H27" t="str">
        <f>IFERROR(VLOOKUP($A27,'AAPT ExDa'!$B$2:$U$99, 6,FALSE), IFERROR(VLOOKUP($A27,'ABB ExDa'!$A$2:$N$184, 0,FALSE), IFERROR(VLOOKUP($A27,'Vocus SIT ExDa'!$B$2:$J$173, 0,FALSE), IFERROR(VLOOKUP($A27,'Telstra ExDa'!$B$2:$K$310, 0,FALSE), IFERROR(VLOOKUP($A27,'Vocus RVC ExDa'!$C$2:$R$155, 16,FALSE), IFERROR(VLOOKUP($A27,'Fusion ExDa'!$B$2:$D$16, 0,FALSE), IFERROR(VLOOKUP($A27,'Exetel ExDa'!$C$2:$N$14, 0,FALSE), IFERROR(VLOOKUP($A27,'Infinet ExDa'!$B$2:$E$14, 0,FALSE), "Not Found"))))))))</f>
        <v>Up to 100/40Mbps; AVC ID:AVC000179199407</v>
      </c>
      <c r="I27" t="str">
        <f>IFERROR(VLOOKUP($A27,'AAPT ExDa'!$B$2:$U$99, 0,FALSE), IFERROR(VLOOKUP($A27,'ABB ExDa'!$A$2:$N$184, 0,FALSE), IFERROR(VLOOKUP($A27,'Vocus SIT ExDa'!$B$2:$J$173, 0,FALSE), IFERROR(VLOOKUP($A27,'Telstra ExDa'!$B$2:$K$310, 0,FALSE), IFERROR(VLOOKUP($A27,'Vocus RVC ExDa'!$C$2:$R$155, 0,FALSE), IFERROR(VLOOKUP($A27,'Fusion ExDa'!$B$2:$D$16, 0,FALSE), IFERROR(VLOOKUP($A27,'Exetel ExDa'!$C$2:$N$14, 8,FALSE), IFERROR(VLOOKUP($A27,'Infinet ExDa'!$B$2:$E$14, 0,FALSE), "Not Found"))))))))</f>
        <v>Not Found</v>
      </c>
      <c r="J27" t="str">
        <f>IFERROR(VLOOKUP($A27,'AAPT ExDa'!$B$2:$U$99, 7,FALSE), IFERROR(VLOOKUP($A27,'ABB ExDa'!$A$2:$N$184, 2,FALSE), IFERROR(VLOOKUP($A27,'Vocus SIT ExDa'!$B$2:$J$173, 0,FALSE), IFERROR(VLOOKUP($A27,'Telstra ExDa'!$B$2:$K$310, 7,FALSE), IFERROR(VLOOKUP($A27,'Vocus RVC ExDa'!$C$2:$R$155, 2,FALSE), IFERROR(VLOOKUP($A27,'Fusion ExDa'!$B$2:$D$16, 3,FALSE), IFERROR(VLOOKUP($A27,'Exetel ExDa'!$C$2:$N$14, 0,FALSE), IFERROR(VLOOKUP($A27,'Infinet ExDa'!$B$2:$E$14, 0,FALSE), "Not Found"))))))))</f>
        <v>AVC000179199407</v>
      </c>
      <c r="K27" t="str">
        <f>IFERROR(VLOOKUP($A27,'AAPT ExDa'!$B$2:$U$99, 12,FALSE), IFERROR(VLOOKUP($A27,'ABB ExDa'!$A$2:$N$184, 0,FALSE), IFERROR(VLOOKUP($A27,'Vocus SIT ExDa'!$B$2:$J$173, 0,FALSE), IFERROR(VLOOKUP($A27,'Telstra ExDa'!$B$2:$K$310, 0,FALSE), IFERROR(VLOOKUP($A27,'Vocus RVC ExDa'!$C$2:$R$155, 0,FALSE), IFERROR(VLOOKUP($A27,'Fusion ExDa'!$B$2:$D$16, 0,FALSE), IFERROR(VLOOKUP($A27,'Exetel ExDa'!$C$2:$N$14, 12,FALSE), IFERROR(VLOOKUP($A27,'Infinet ExDa'!$B$2:$E$14, 0,FALSE), "Not Found"))))))))</f>
        <v>24 Months</v>
      </c>
      <c r="L27" s="235" t="str">
        <f>IFERROR(VLOOKUP($A27,'AAPT ExDa'!$B$2:$U$99, 11,FALSE), IFERROR(VLOOKUP($A27,'ABB ExDa'!$A$2:$N$184, 9,FALSE), IFERROR(VLOOKUP($A27,'Vocus SIT ExDa'!$B$2:$J$173, 8,FALSE), IFERROR(VLOOKUP($A27,'Telstra ExDa'!$B$2:$K$310, 0,FALSE), IFERROR(VLOOKUP($A27,'Vocus RVC ExDa'!$C$2:$R$155, 0,FALSE), IFERROR(VLOOKUP($A27,'Fusion ExDa'!$B$2:$D$16, 0,FALSE), IFERROR(VLOOKUP($A27,'Exetel ExDa'!$C$2:$N$14, 9,FALSE), IFERROR(VLOOKUP($A27,'Infinet ExDa'!$B$2:$E$14, 0,FALSE), "Not Found"))))))))</f>
        <v>27/09/2023</v>
      </c>
      <c r="M27" s="234" t="str">
        <f>IFERROR(VLOOKUP($A27,'AAPT ExDa'!$B$2:$U$99, 0,FALSE), IFERROR(VLOOKUP($A27,'ABB ExDa'!$A$2:$N$184, 0,FALSE), IFERROR(VLOOKUP($A27,'Vocus SIT ExDa'!$B$2:$J$173, 0,FALSE), IFERROR(VLOOKUP($A27,'Telstra ExDa'!$B$2:$K$310, 0,FALSE), IFERROR(VLOOKUP($A27,'Vocus RVC ExDa'!$C$2:$R$155, 0,FALSE), IFERROR(VLOOKUP($A27,'Fusion ExDa'!$B$2:$D$16, 0,FALSE), IFERROR(VLOOKUP($A27,'Exetel ExDa'!$C$2:$N$14, 11,FALSE), IFERROR(VLOOKUP($A27,'Infinet ExDa'!$B$2:$E$14, 0,FALSE), "Not Found"))))))))</f>
        <v>Not Found</v>
      </c>
      <c r="N27" t="str">
        <f>IFERROR(VLOOKUP($A27,'AAPT ExDa'!$B$2:$U$99, 0,FALSE), IFERROR(VLOOKUP($A27,'ABB ExDa'!$A$2:$N$184, 13,FALSE), IFERROR(VLOOKUP($A27,'Vocus SIT ExDa'!$B$2:$J$173, 0,FALSE), IFERROR(VLOOKUP($A27,'Telstra ExDa'!$B$2:$K$310, 0,FALSE), IFERROR(VLOOKUP($A27,'Vocus RVC ExDa'!$C$2:$R$155, 0,FALSE), IFERROR(VLOOKUP($A27,'Fusion ExDa'!$B$2:$D$16, 0,FALSE), IFERROR(VLOOKUP($A27,'Exetel ExDa'!$C$2:$N$14, 0,FALSE), IFERROR(VLOOKUP($A27,'Infinet ExDa'!$B$2:$E$14, 0,FALSE), "Not Found"))))))))</f>
        <v>Not Found</v>
      </c>
    </row>
    <row r="28" spans="1:14">
      <c r="A28" t="str">
        <v>Graphene</v>
      </c>
      <c r="B28" t="str">
        <f>IFERROR(VLOOKUP(A28,'Exetel ExDa'!$C$2:$N$14,4,FALSE),"No Data")</f>
        <v>No Data</v>
      </c>
      <c r="C28">
        <f>IFERROR(VLOOKUP(A28,'AAPT ExDa'!$B$2:$U$99, 2,FALSE), IFERROR(VLOOKUP(A28,'ABB ExDa'!$A$2:$N$184, 2,FALSE), IFERROR(VLOOKUP(A28,'Vocus SIT ExDa'!$B$2:$J$173, 7,FALSE), IFERROR(VLOOKUP(A28,'Telstra ExDa'!$B$2:$K$310, 2,FALSE), IFERROR(VLOOKUP(A28,'Vocus RVC ExDa'!$C$2:$R$155, 3,FALSE), IFERROR(VLOOKUP(A28,'Fusion ExDa'!$B$2:$D$16, 2,FALSE), IFERROR(VLOOKUP(A28,'Exetel ExDa'!$C$2:$N$14, 2,FALSE), IFERROR(VLOOKUP(A28,'Infinet ExDa'!$B$2:$E$14, 2,FALSE), "Not Found"))))))))</f>
        <v>0</v>
      </c>
      <c r="D28" t="str">
        <f>IFERROR(VLOOKUP($A28,'AAPT ExDa'!$B$2:$U$99, 15,FALSE), IFERROR(VLOOKUP($A28,'ABB ExDa'!$A$2:$N$184, 4,FALSE), IFERROR(VLOOKUP($A28,'Vocus SIT ExDa'!$B$2:$J$173, 5,FALSE), IFERROR(VLOOKUP($A28,'Telstra ExDa'!$B$2:$K$310, 8,FALSE), IFERROR(VLOOKUP($A28,'Vocus RVC ExDa'!$C$2:$R$155, 6,FALSE), IFERROR(VLOOKUP($A28,'Fusion ExDa'!$B$2:$D$16, 4,FALSE), IFERROR(VLOOKUP($A28,'Exetel ExDa'!$C$2:$N$14, 3,FALSE), IFERROR(VLOOKUP($A28,'Infinet ExDa'!$B$2:$E$14, 3,FALSE), "Not Found"))))))))</f>
        <v>AAPT</v>
      </c>
      <c r="E28" t="str">
        <f>IFERROR(VLOOKUP($A28,'AAPT ExDa'!$B$2:$U$99, 3,FALSE), IFERROR(VLOOKUP($A28,'ABB ExDa'!$A$2:$N$184, 5,FALSE), IFERROR(VLOOKUP($A28,'Vocus SIT ExDa'!$B$2:$J$173, 2,FALSE), IFERROR(VLOOKUP($A28,'Telstra ExDa'!$B$2:$K$310, 4,FALSE), IFERROR(VLOOKUP($A28,'Vocus RVC ExDa'!$C$2:$R$155, 8,FALSE), IFERROR(VLOOKUP($A28,'Fusion ExDa'!$B$2:$D$16, 4,FALSE), IFERROR(VLOOKUP($A28,'Exetel ExDa'!$C$2:$N$14, 5,FALSE), IFERROR(VLOOKUP($A28,'Infinet ExDa'!$B$2:$E$14, 3,FALSE), "Not Found"))))))))</f>
        <v>IP-Line</v>
      </c>
      <c r="F28" t="str">
        <f>IFERROR(VLOOKUP($A28,'AAPT ExDa'!$B$2:$U$99, 4,FALSE), IFERROR(VLOOKUP($A28,'ABB ExDa'!$A$2:$N$184, 6,FALSE), IFERROR(VLOOKUP($A28,'Vocus SIT ExDa'!$B$2:$J$173, 3,FALSE), IFERROR(VLOOKUP($A28,'Telstra ExDa'!$B$2:$K$310, 5,FALSE), IFERROR(VLOOKUP($A28,'Vocus RVC ExDa'!$C$2:$R$155, 9,FALSE), IFERROR(VLOOKUP($A28,'Fusion ExDa'!$B$2:$D$16, 0,FALSE), IFERROR(VLOOKUP($A28,'Exetel ExDa'!$C$2:$N$14, 6,FALSE), IFERROR(VLOOKUP($A28,'Infinet ExDa'!$B$2:$E$14, 0,FALSE), "Not Found"))))))))</f>
        <v>IP-Line Link</v>
      </c>
      <c r="G28" t="str">
        <f>IFERROR(VLOOKUP($A28,'AAPT ExDa'!$B$2:$U$99, 5,FALSE), IFERROR(VLOOKUP($A28,'ABB ExDa'!$A$2:$N$184, 8,FALSE), IFERROR(VLOOKUP($A28,'Vocus SIT ExDa'!$B$2:$J$173, 6,FALSE), IFERROR(VLOOKUP($A28,'Telstra ExDa'!$B$2:$K$310, 0,FALSE), IFERROR(VLOOKUP($A28,'Vocus RVC ExDa'!$C$2:$R$155, 15,FALSE), IFERROR(VLOOKUP($A28,'Fusion ExDa'!$B$2:$D$16, 0,FALSE), IFERROR(VLOOKUP($A28,'Exetel ExDa'!$C$2:$N$14, 7,FALSE), IFERROR(VLOOKUP($A28,'Infinet ExDa'!$B$2:$E$14, 0,FALSE), "Not Found"))))))))</f>
        <v>Connecting IP-Line 6023265 to Access 100819551</v>
      </c>
      <c r="H28" t="str">
        <f>IFERROR(VLOOKUP($A28,'AAPT ExDa'!$B$2:$U$99, 6,FALSE), IFERROR(VLOOKUP($A28,'ABB ExDa'!$A$2:$N$184, 0,FALSE), IFERROR(VLOOKUP($A28,'Vocus SIT ExDa'!$B$2:$J$173, 0,FALSE), IFERROR(VLOOKUP($A28,'Telstra ExDa'!$B$2:$K$310, 0,FALSE), IFERROR(VLOOKUP($A28,'Vocus RVC ExDa'!$C$2:$R$155, 16,FALSE), IFERROR(VLOOKUP($A28,'Fusion ExDa'!$B$2:$D$16, 0,FALSE), IFERROR(VLOOKUP($A28,'Exetel ExDa'!$C$2:$N$14, 0,FALSE), IFERROR(VLOOKUP($A28,'Infinet ExDa'!$B$2:$E$14, 0,FALSE), "Not Found"))))))))</f>
        <v>Up to 100/40Mbps; AVC ID:AVC000159020807</v>
      </c>
      <c r="I28" t="str">
        <f>IFERROR(VLOOKUP($A28,'AAPT ExDa'!$B$2:$U$99, 0,FALSE), IFERROR(VLOOKUP($A28,'ABB ExDa'!$A$2:$N$184, 0,FALSE), IFERROR(VLOOKUP($A28,'Vocus SIT ExDa'!$B$2:$J$173, 0,FALSE), IFERROR(VLOOKUP($A28,'Telstra ExDa'!$B$2:$K$310, 0,FALSE), IFERROR(VLOOKUP($A28,'Vocus RVC ExDa'!$C$2:$R$155, 0,FALSE), IFERROR(VLOOKUP($A28,'Fusion ExDa'!$B$2:$D$16, 0,FALSE), IFERROR(VLOOKUP($A28,'Exetel ExDa'!$C$2:$N$14, 8,FALSE), IFERROR(VLOOKUP($A28,'Infinet ExDa'!$B$2:$E$14, 0,FALSE), "Not Found"))))))))</f>
        <v>Not Found</v>
      </c>
      <c r="J28" t="str">
        <f>IFERROR(VLOOKUP($A28,'AAPT ExDa'!$B$2:$U$99, 7,FALSE), IFERROR(VLOOKUP($A28,'ABB ExDa'!$A$2:$N$184, 2,FALSE), IFERROR(VLOOKUP($A28,'Vocus SIT ExDa'!$B$2:$J$173, 0,FALSE), IFERROR(VLOOKUP($A28,'Telstra ExDa'!$B$2:$K$310, 7,FALSE), IFERROR(VLOOKUP($A28,'Vocus RVC ExDa'!$C$2:$R$155, 2,FALSE), IFERROR(VLOOKUP($A28,'Fusion ExDa'!$B$2:$D$16, 3,FALSE), IFERROR(VLOOKUP($A28,'Exetel ExDa'!$C$2:$N$14, 0,FALSE), IFERROR(VLOOKUP($A28,'Infinet ExDa'!$B$2:$E$14, 0,FALSE), "Not Found"))))))))</f>
        <v>AVC000159020807</v>
      </c>
      <c r="K28" t="str">
        <f>IFERROR(VLOOKUP($A28,'AAPT ExDa'!$B$2:$U$99, 12,FALSE), IFERROR(VLOOKUP($A28,'ABB ExDa'!$A$2:$N$184, 0,FALSE), IFERROR(VLOOKUP($A28,'Vocus SIT ExDa'!$B$2:$J$173, 0,FALSE), IFERROR(VLOOKUP($A28,'Telstra ExDa'!$B$2:$K$310, 0,FALSE), IFERROR(VLOOKUP($A28,'Vocus RVC ExDa'!$C$2:$R$155, 0,FALSE), IFERROR(VLOOKUP($A28,'Fusion ExDa'!$B$2:$D$16, 0,FALSE), IFERROR(VLOOKUP($A28,'Exetel ExDa'!$C$2:$N$14, 12,FALSE), IFERROR(VLOOKUP($A28,'Infinet ExDa'!$B$2:$E$14, 0,FALSE), "Not Found"))))))))</f>
        <v>36 Months</v>
      </c>
      <c r="L28" s="235" t="str">
        <f>IFERROR(VLOOKUP($A28,'AAPT ExDa'!$B$2:$U$99, 11,FALSE), IFERROR(VLOOKUP($A28,'ABB ExDa'!$A$2:$N$184, 9,FALSE), IFERROR(VLOOKUP($A28,'Vocus SIT ExDa'!$B$2:$J$173, 8,FALSE), IFERROR(VLOOKUP($A28,'Telstra ExDa'!$B$2:$K$310, 0,FALSE), IFERROR(VLOOKUP($A28,'Vocus RVC ExDa'!$C$2:$R$155, 0,FALSE), IFERROR(VLOOKUP($A28,'Fusion ExDa'!$B$2:$D$16, 0,FALSE), IFERROR(VLOOKUP($A28,'Exetel ExDa'!$C$2:$N$14, 9,FALSE), IFERROR(VLOOKUP($A28,'Infinet ExDa'!$B$2:$E$14, 0,FALSE), "Not Found"))))))))</f>
        <v>14/09/2022</v>
      </c>
      <c r="M28" s="234" t="str">
        <f>IFERROR(VLOOKUP($A28,'AAPT ExDa'!$B$2:$U$99, 0,FALSE), IFERROR(VLOOKUP($A28,'ABB ExDa'!$A$2:$N$184, 0,FALSE), IFERROR(VLOOKUP($A28,'Vocus SIT ExDa'!$B$2:$J$173, 0,FALSE), IFERROR(VLOOKUP($A28,'Telstra ExDa'!$B$2:$K$310, 0,FALSE), IFERROR(VLOOKUP($A28,'Vocus RVC ExDa'!$C$2:$R$155, 0,FALSE), IFERROR(VLOOKUP($A28,'Fusion ExDa'!$B$2:$D$16, 0,FALSE), IFERROR(VLOOKUP($A28,'Exetel ExDa'!$C$2:$N$14, 11,FALSE), IFERROR(VLOOKUP($A28,'Infinet ExDa'!$B$2:$E$14, 0,FALSE), "Not Found"))))))))</f>
        <v>Not Found</v>
      </c>
      <c r="N28" t="str">
        <f>IFERROR(VLOOKUP($A28,'AAPT ExDa'!$B$2:$U$99, 0,FALSE), IFERROR(VLOOKUP($A28,'ABB ExDa'!$A$2:$N$184, 13,FALSE), IFERROR(VLOOKUP($A28,'Vocus SIT ExDa'!$B$2:$J$173, 0,FALSE), IFERROR(VLOOKUP($A28,'Telstra ExDa'!$B$2:$K$310, 0,FALSE), IFERROR(VLOOKUP($A28,'Vocus RVC ExDa'!$C$2:$R$155, 0,FALSE), IFERROR(VLOOKUP($A28,'Fusion ExDa'!$B$2:$D$16, 0,FALSE), IFERROR(VLOOKUP($A28,'Exetel ExDa'!$C$2:$N$14, 0,FALSE), IFERROR(VLOOKUP($A28,'Infinet ExDa'!$B$2:$E$14, 0,FALSE), "Not Found"))))))))</f>
        <v>Not Found</v>
      </c>
    </row>
    <row r="29" spans="1:14">
      <c r="A29" t="str">
        <v>Hanwha Mining Services</v>
      </c>
      <c r="B29" t="str">
        <f>IFERROR(VLOOKUP(A29,'Exetel ExDa'!$C$2:$N$14,4,FALSE),"No Data")</f>
        <v>No Data</v>
      </c>
      <c r="C29" t="str">
        <f>IFERROR(VLOOKUP(A29,'AAPT ExDa'!$B$2:$U$99, 2,FALSE), IFERROR(VLOOKUP(A29,'ABB ExDa'!$A$2:$N$184, 2,FALSE), IFERROR(VLOOKUP(A29,'Vocus SIT ExDa'!$B$2:$J$173, 7,FALSE), IFERROR(VLOOKUP(A29,'Telstra ExDa'!$B$2:$K$310, 2,FALSE), IFERROR(VLOOKUP(A29,'Vocus RVC ExDa'!$C$2:$R$155, 3,FALSE), IFERROR(VLOOKUP(A29,'Fusion ExDa'!$B$2:$D$16, 2,FALSE), IFERROR(VLOOKUP(A29,'Exetel ExDa'!$C$2:$N$14, 2,FALSE), IFERROR(VLOOKUP(A29,'Infinet ExDa'!$B$2:$E$14, 2,FALSE), "Not Found"))))))))</f>
        <v>Perth</v>
      </c>
      <c r="D29" t="str">
        <f>IFERROR(VLOOKUP($A29,'AAPT ExDa'!$B$2:$U$99, 15,FALSE), IFERROR(VLOOKUP($A29,'ABB ExDa'!$A$2:$N$184, 4,FALSE), IFERROR(VLOOKUP($A29,'Vocus SIT ExDa'!$B$2:$J$173, 5,FALSE), IFERROR(VLOOKUP($A29,'Telstra ExDa'!$B$2:$K$310, 8,FALSE), IFERROR(VLOOKUP($A29,'Vocus RVC ExDa'!$C$2:$R$155, 6,FALSE), IFERROR(VLOOKUP($A29,'Fusion ExDa'!$B$2:$D$16, 4,FALSE), IFERROR(VLOOKUP($A29,'Exetel ExDa'!$C$2:$N$14, 3,FALSE), IFERROR(VLOOKUP($A29,'Infinet ExDa'!$B$2:$E$14, 3,FALSE), "Not Found"))))))))</f>
        <v>AAPT</v>
      </c>
      <c r="E29" t="str">
        <f>IFERROR(VLOOKUP($A29,'AAPT ExDa'!$B$2:$U$99, 3,FALSE), IFERROR(VLOOKUP($A29,'ABB ExDa'!$A$2:$N$184, 5,FALSE), IFERROR(VLOOKUP($A29,'Vocus SIT ExDa'!$B$2:$J$173, 2,FALSE), IFERROR(VLOOKUP($A29,'Telstra ExDa'!$B$2:$K$310, 4,FALSE), IFERROR(VLOOKUP($A29,'Vocus RVC ExDa'!$C$2:$R$155, 8,FALSE), IFERROR(VLOOKUP($A29,'Fusion ExDa'!$B$2:$D$16, 4,FALSE), IFERROR(VLOOKUP($A29,'Exetel ExDa'!$C$2:$N$14, 5,FALSE), IFERROR(VLOOKUP($A29,'Infinet ExDa'!$B$2:$E$14, 3,FALSE), "Not Found"))))))))</f>
        <v>FAST Fibre</v>
      </c>
      <c r="F29" t="str">
        <f>IFERROR(VLOOKUP($A29,'AAPT ExDa'!$B$2:$U$99, 4,FALSE), IFERROR(VLOOKUP($A29,'ABB ExDa'!$A$2:$N$184, 6,FALSE), IFERROR(VLOOKUP($A29,'Vocus SIT ExDa'!$B$2:$J$173, 3,FALSE), IFERROR(VLOOKUP($A29,'Telstra ExDa'!$B$2:$K$310, 5,FALSE), IFERROR(VLOOKUP($A29,'Vocus RVC ExDa'!$C$2:$R$155, 9,FALSE), IFERROR(VLOOKUP($A29,'Fusion ExDa'!$B$2:$D$16, 0,FALSE), IFERROR(VLOOKUP($A29,'Exetel ExDa'!$C$2:$N$14, 6,FALSE), IFERROR(VLOOKUP($A29,'Infinet ExDa'!$B$2:$E$14, 0,FALSE), "Not Found"))))))))</f>
        <v>FAST Fibre (NTU)</v>
      </c>
      <c r="G29">
        <f>IFERROR(VLOOKUP($A29,'AAPT ExDa'!$B$2:$U$99, 5,FALSE), IFERROR(VLOOKUP($A29,'ABB ExDa'!$A$2:$N$184, 8,FALSE), IFERROR(VLOOKUP($A29,'Vocus SIT ExDa'!$B$2:$J$173, 6,FALSE), IFERROR(VLOOKUP($A29,'Telstra ExDa'!$B$2:$K$310, 0,FALSE), IFERROR(VLOOKUP($A29,'Vocus RVC ExDa'!$C$2:$R$155, 15,FALSE), IFERROR(VLOOKUP($A29,'Fusion ExDa'!$B$2:$D$16, 0,FALSE), IFERROR(VLOOKUP($A29,'Exetel ExDa'!$C$2:$N$14, 7,FALSE), IFERROR(VLOOKUP($A29,'Infinet ExDa'!$B$2:$E$14, 0,FALSE), "Not Found"))))))))</f>
        <v>0</v>
      </c>
      <c r="H29" t="str">
        <f>IFERROR(VLOOKUP($A29,'AAPT ExDa'!$B$2:$U$99, 6,FALSE), IFERROR(VLOOKUP($A29,'ABB ExDa'!$A$2:$N$184, 0,FALSE), IFERROR(VLOOKUP($A29,'Vocus SIT ExDa'!$B$2:$J$173, 0,FALSE), IFERROR(VLOOKUP($A29,'Telstra ExDa'!$B$2:$K$310, 0,FALSE), IFERROR(VLOOKUP($A29,'Vocus RVC ExDa'!$C$2:$R$155, 16,FALSE), IFERROR(VLOOKUP($A29,'Fusion ExDa'!$B$2:$D$16, 0,FALSE), IFERROR(VLOOKUP($A29,'Exetel ExDa'!$C$2:$N$14, 0,FALSE), IFERROR(VLOOKUP($A29,'Infinet ExDa'!$B$2:$E$14, 0,FALSE), "Not Found"))))))))</f>
        <v>1000 Mbps; 48 Months</v>
      </c>
      <c r="I29" t="str">
        <f>IFERROR(VLOOKUP($A29,'AAPT ExDa'!$B$2:$U$99, 0,FALSE), IFERROR(VLOOKUP($A29,'ABB ExDa'!$A$2:$N$184, 0,FALSE), IFERROR(VLOOKUP($A29,'Vocus SIT ExDa'!$B$2:$J$173, 0,FALSE), IFERROR(VLOOKUP($A29,'Telstra ExDa'!$B$2:$K$310, 0,FALSE), IFERROR(VLOOKUP($A29,'Vocus RVC ExDa'!$C$2:$R$155, 0,FALSE), IFERROR(VLOOKUP($A29,'Fusion ExDa'!$B$2:$D$16, 0,FALSE), IFERROR(VLOOKUP($A29,'Exetel ExDa'!$C$2:$N$14, 8,FALSE), IFERROR(VLOOKUP($A29,'Infinet ExDa'!$B$2:$E$14, 0,FALSE), "Not Found"))))))))</f>
        <v>Not Found</v>
      </c>
      <c r="J29">
        <f>IFERROR(VLOOKUP($A29,'AAPT ExDa'!$B$2:$U$99, 7,FALSE), IFERROR(VLOOKUP($A29,'ABB ExDa'!$A$2:$N$184, 2,FALSE), IFERROR(VLOOKUP($A29,'Vocus SIT ExDa'!$B$2:$J$173, 0,FALSE), IFERROR(VLOOKUP($A29,'Telstra ExDa'!$B$2:$K$310, 7,FALSE), IFERROR(VLOOKUP($A29,'Vocus RVC ExDa'!$C$2:$R$155, 2,FALSE), IFERROR(VLOOKUP($A29,'Fusion ExDa'!$B$2:$D$16, 3,FALSE), IFERROR(VLOOKUP($A29,'Exetel ExDa'!$C$2:$N$14, 0,FALSE), IFERROR(VLOOKUP($A29,'Infinet ExDa'!$B$2:$E$14, 0,FALSE), "Not Found"))))))))</f>
        <v>0</v>
      </c>
      <c r="K29" t="str">
        <f>IFERROR(VLOOKUP($A29,'AAPT ExDa'!$B$2:$U$99, 12,FALSE), IFERROR(VLOOKUP($A29,'ABB ExDa'!$A$2:$N$184, 0,FALSE), IFERROR(VLOOKUP($A29,'Vocus SIT ExDa'!$B$2:$J$173, 0,FALSE), IFERROR(VLOOKUP($A29,'Telstra ExDa'!$B$2:$K$310, 0,FALSE), IFERROR(VLOOKUP($A29,'Vocus RVC ExDa'!$C$2:$R$155, 0,FALSE), IFERROR(VLOOKUP($A29,'Fusion ExDa'!$B$2:$D$16, 0,FALSE), IFERROR(VLOOKUP($A29,'Exetel ExDa'!$C$2:$N$14, 12,FALSE), IFERROR(VLOOKUP($A29,'Infinet ExDa'!$B$2:$E$14, 0,FALSE), "Not Found"))))))))</f>
        <v>48 Months</v>
      </c>
      <c r="L29" s="235" t="str">
        <f>IFERROR(VLOOKUP($A29,'AAPT ExDa'!$B$2:$U$99, 11,FALSE), IFERROR(VLOOKUP($A29,'ABB ExDa'!$A$2:$N$184, 9,FALSE), IFERROR(VLOOKUP($A29,'Vocus SIT ExDa'!$B$2:$J$173, 8,FALSE), IFERROR(VLOOKUP($A29,'Telstra ExDa'!$B$2:$K$310, 0,FALSE), IFERROR(VLOOKUP($A29,'Vocus RVC ExDa'!$C$2:$R$155, 0,FALSE), IFERROR(VLOOKUP($A29,'Fusion ExDa'!$B$2:$D$16, 0,FALSE), IFERROR(VLOOKUP($A29,'Exetel ExDa'!$C$2:$N$14, 9,FALSE), IFERROR(VLOOKUP($A29,'Infinet ExDa'!$B$2:$E$14, 0,FALSE), "Not Found"))))))))</f>
        <v>28/07/2020</v>
      </c>
      <c r="M29" s="234" t="str">
        <f>IFERROR(VLOOKUP($A29,'AAPT ExDa'!$B$2:$U$99, 0,FALSE), IFERROR(VLOOKUP($A29,'ABB ExDa'!$A$2:$N$184, 0,FALSE), IFERROR(VLOOKUP($A29,'Vocus SIT ExDa'!$B$2:$J$173, 0,FALSE), IFERROR(VLOOKUP($A29,'Telstra ExDa'!$B$2:$K$310, 0,FALSE), IFERROR(VLOOKUP($A29,'Vocus RVC ExDa'!$C$2:$R$155, 0,FALSE), IFERROR(VLOOKUP($A29,'Fusion ExDa'!$B$2:$D$16, 0,FALSE), IFERROR(VLOOKUP($A29,'Exetel ExDa'!$C$2:$N$14, 11,FALSE), IFERROR(VLOOKUP($A29,'Infinet ExDa'!$B$2:$E$14, 0,FALSE), "Not Found"))))))))</f>
        <v>Not Found</v>
      </c>
      <c r="N29" t="str">
        <f>IFERROR(VLOOKUP($A29,'AAPT ExDa'!$B$2:$U$99, 0,FALSE), IFERROR(VLOOKUP($A29,'ABB ExDa'!$A$2:$N$184, 13,FALSE), IFERROR(VLOOKUP($A29,'Vocus SIT ExDa'!$B$2:$J$173, 0,FALSE), IFERROR(VLOOKUP($A29,'Telstra ExDa'!$B$2:$K$310, 0,FALSE), IFERROR(VLOOKUP($A29,'Vocus RVC ExDa'!$C$2:$R$155, 0,FALSE), IFERROR(VLOOKUP($A29,'Fusion ExDa'!$B$2:$D$16, 0,FALSE), IFERROR(VLOOKUP($A29,'Exetel ExDa'!$C$2:$N$14, 0,FALSE), IFERROR(VLOOKUP($A29,'Infinet ExDa'!$B$2:$E$14, 0,FALSE), "Not Found"))))))))</f>
        <v>Not Found</v>
      </c>
    </row>
    <row r="30" spans="1:14">
      <c r="A30" t="str">
        <v>Hanwha Mining Services</v>
      </c>
      <c r="B30" t="str">
        <f>IFERROR(VLOOKUP(A30,'Exetel ExDa'!$C$2:$N$14,4,FALSE),"No Data")</f>
        <v>No Data</v>
      </c>
      <c r="C30" t="str">
        <f>IFERROR(VLOOKUP(A30,'AAPT ExDa'!$B$2:$U$99, 2,FALSE), IFERROR(VLOOKUP(A30,'ABB ExDa'!$A$2:$N$184, 2,FALSE), IFERROR(VLOOKUP(A30,'Vocus SIT ExDa'!$B$2:$J$173, 7,FALSE), IFERROR(VLOOKUP(A30,'Telstra ExDa'!$B$2:$K$310, 2,FALSE), IFERROR(VLOOKUP(A30,'Vocus RVC ExDa'!$C$2:$R$155, 3,FALSE), IFERROR(VLOOKUP(A30,'Fusion ExDa'!$B$2:$D$16, 2,FALSE), IFERROR(VLOOKUP(A30,'Exetel ExDa'!$C$2:$N$14, 2,FALSE), IFERROR(VLOOKUP(A30,'Infinet ExDa'!$B$2:$E$14, 2,FALSE), "Not Found"))))))))</f>
        <v>Perth</v>
      </c>
      <c r="D30" t="str">
        <f>IFERROR(VLOOKUP($A30,'AAPT ExDa'!$B$2:$U$99, 15,FALSE), IFERROR(VLOOKUP($A30,'ABB ExDa'!$A$2:$N$184, 4,FALSE), IFERROR(VLOOKUP($A30,'Vocus SIT ExDa'!$B$2:$J$173, 5,FALSE), IFERROR(VLOOKUP($A30,'Telstra ExDa'!$B$2:$K$310, 8,FALSE), IFERROR(VLOOKUP($A30,'Vocus RVC ExDa'!$C$2:$R$155, 6,FALSE), IFERROR(VLOOKUP($A30,'Fusion ExDa'!$B$2:$D$16, 4,FALSE), IFERROR(VLOOKUP($A30,'Exetel ExDa'!$C$2:$N$14, 3,FALSE), IFERROR(VLOOKUP($A30,'Infinet ExDa'!$B$2:$E$14, 3,FALSE), "Not Found"))))))))</f>
        <v>AAPT</v>
      </c>
      <c r="E30" t="str">
        <f>IFERROR(VLOOKUP($A30,'AAPT ExDa'!$B$2:$U$99, 3,FALSE), IFERROR(VLOOKUP($A30,'ABB ExDa'!$A$2:$N$184, 5,FALSE), IFERROR(VLOOKUP($A30,'Vocus SIT ExDa'!$B$2:$J$173, 2,FALSE), IFERROR(VLOOKUP($A30,'Telstra ExDa'!$B$2:$K$310, 4,FALSE), IFERROR(VLOOKUP($A30,'Vocus RVC ExDa'!$C$2:$R$155, 8,FALSE), IFERROR(VLOOKUP($A30,'Fusion ExDa'!$B$2:$D$16, 4,FALSE), IFERROR(VLOOKUP($A30,'Exetel ExDa'!$C$2:$N$14, 5,FALSE), IFERROR(VLOOKUP($A30,'Infinet ExDa'!$B$2:$E$14, 3,FALSE), "Not Found"))))))))</f>
        <v>FAST Fibre</v>
      </c>
      <c r="F30" t="str">
        <f>IFERROR(VLOOKUP($A30,'AAPT ExDa'!$B$2:$U$99, 4,FALSE), IFERROR(VLOOKUP($A30,'ABB ExDa'!$A$2:$N$184, 6,FALSE), IFERROR(VLOOKUP($A30,'Vocus SIT ExDa'!$B$2:$J$173, 3,FALSE), IFERROR(VLOOKUP($A30,'Telstra ExDa'!$B$2:$K$310, 5,FALSE), IFERROR(VLOOKUP($A30,'Vocus RVC ExDa'!$C$2:$R$155, 9,FALSE), IFERROR(VLOOKUP($A30,'Fusion ExDa'!$B$2:$D$16, 0,FALSE), IFERROR(VLOOKUP($A30,'Exetel ExDa'!$C$2:$N$14, 6,FALSE), IFERROR(VLOOKUP($A30,'Infinet ExDa'!$B$2:$E$14, 0,FALSE), "Not Found"))))))))</f>
        <v>FAST Fibre (NTU)</v>
      </c>
      <c r="G30">
        <f>IFERROR(VLOOKUP($A30,'AAPT ExDa'!$B$2:$U$99, 5,FALSE), IFERROR(VLOOKUP($A30,'ABB ExDa'!$A$2:$N$184, 8,FALSE), IFERROR(VLOOKUP($A30,'Vocus SIT ExDa'!$B$2:$J$173, 6,FALSE), IFERROR(VLOOKUP($A30,'Telstra ExDa'!$B$2:$K$310, 0,FALSE), IFERROR(VLOOKUP($A30,'Vocus RVC ExDa'!$C$2:$R$155, 15,FALSE), IFERROR(VLOOKUP($A30,'Fusion ExDa'!$B$2:$D$16, 0,FALSE), IFERROR(VLOOKUP($A30,'Exetel ExDa'!$C$2:$N$14, 7,FALSE), IFERROR(VLOOKUP($A30,'Infinet ExDa'!$B$2:$E$14, 0,FALSE), "Not Found"))))))))</f>
        <v>0</v>
      </c>
      <c r="H30" t="str">
        <f>IFERROR(VLOOKUP($A30,'AAPT ExDa'!$B$2:$U$99, 6,FALSE), IFERROR(VLOOKUP($A30,'ABB ExDa'!$A$2:$N$184, 0,FALSE), IFERROR(VLOOKUP($A30,'Vocus SIT ExDa'!$B$2:$J$173, 0,FALSE), IFERROR(VLOOKUP($A30,'Telstra ExDa'!$B$2:$K$310, 0,FALSE), IFERROR(VLOOKUP($A30,'Vocus RVC ExDa'!$C$2:$R$155, 16,FALSE), IFERROR(VLOOKUP($A30,'Fusion ExDa'!$B$2:$D$16, 0,FALSE), IFERROR(VLOOKUP($A30,'Exetel ExDa'!$C$2:$N$14, 0,FALSE), IFERROR(VLOOKUP($A30,'Infinet ExDa'!$B$2:$E$14, 0,FALSE), "Not Found"))))))))</f>
        <v>1000 Mbps; 48 Months</v>
      </c>
      <c r="I30" t="str">
        <f>IFERROR(VLOOKUP($A30,'AAPT ExDa'!$B$2:$U$99, 0,FALSE), IFERROR(VLOOKUP($A30,'ABB ExDa'!$A$2:$N$184, 0,FALSE), IFERROR(VLOOKUP($A30,'Vocus SIT ExDa'!$B$2:$J$173, 0,FALSE), IFERROR(VLOOKUP($A30,'Telstra ExDa'!$B$2:$K$310, 0,FALSE), IFERROR(VLOOKUP($A30,'Vocus RVC ExDa'!$C$2:$R$155, 0,FALSE), IFERROR(VLOOKUP($A30,'Fusion ExDa'!$B$2:$D$16, 0,FALSE), IFERROR(VLOOKUP($A30,'Exetel ExDa'!$C$2:$N$14, 8,FALSE), IFERROR(VLOOKUP($A30,'Infinet ExDa'!$B$2:$E$14, 0,FALSE), "Not Found"))))))))</f>
        <v>Not Found</v>
      </c>
      <c r="J30">
        <f>IFERROR(VLOOKUP($A30,'AAPT ExDa'!$B$2:$U$99, 7,FALSE), IFERROR(VLOOKUP($A30,'ABB ExDa'!$A$2:$N$184, 2,FALSE), IFERROR(VLOOKUP($A30,'Vocus SIT ExDa'!$B$2:$J$173, 0,FALSE), IFERROR(VLOOKUP($A30,'Telstra ExDa'!$B$2:$K$310, 7,FALSE), IFERROR(VLOOKUP($A30,'Vocus RVC ExDa'!$C$2:$R$155, 2,FALSE), IFERROR(VLOOKUP($A30,'Fusion ExDa'!$B$2:$D$16, 3,FALSE), IFERROR(VLOOKUP($A30,'Exetel ExDa'!$C$2:$N$14, 0,FALSE), IFERROR(VLOOKUP($A30,'Infinet ExDa'!$B$2:$E$14, 0,FALSE), "Not Found"))))))))</f>
        <v>0</v>
      </c>
      <c r="K30" t="str">
        <f>IFERROR(VLOOKUP($A30,'AAPT ExDa'!$B$2:$U$99, 12,FALSE), IFERROR(VLOOKUP($A30,'ABB ExDa'!$A$2:$N$184, 0,FALSE), IFERROR(VLOOKUP($A30,'Vocus SIT ExDa'!$B$2:$J$173, 0,FALSE), IFERROR(VLOOKUP($A30,'Telstra ExDa'!$B$2:$K$310, 0,FALSE), IFERROR(VLOOKUP($A30,'Vocus RVC ExDa'!$C$2:$R$155, 0,FALSE), IFERROR(VLOOKUP($A30,'Fusion ExDa'!$B$2:$D$16, 0,FALSE), IFERROR(VLOOKUP($A30,'Exetel ExDa'!$C$2:$N$14, 12,FALSE), IFERROR(VLOOKUP($A30,'Infinet ExDa'!$B$2:$E$14, 0,FALSE), "Not Found"))))))))</f>
        <v>48 Months</v>
      </c>
      <c r="L30" s="235" t="str">
        <f>IFERROR(VLOOKUP($A30,'AAPT ExDa'!$B$2:$U$99, 11,FALSE), IFERROR(VLOOKUP($A30,'ABB ExDa'!$A$2:$N$184, 9,FALSE), IFERROR(VLOOKUP($A30,'Vocus SIT ExDa'!$B$2:$J$173, 8,FALSE), IFERROR(VLOOKUP($A30,'Telstra ExDa'!$B$2:$K$310, 0,FALSE), IFERROR(VLOOKUP($A30,'Vocus RVC ExDa'!$C$2:$R$155, 0,FALSE), IFERROR(VLOOKUP($A30,'Fusion ExDa'!$B$2:$D$16, 0,FALSE), IFERROR(VLOOKUP($A30,'Exetel ExDa'!$C$2:$N$14, 9,FALSE), IFERROR(VLOOKUP($A30,'Infinet ExDa'!$B$2:$E$14, 0,FALSE), "Not Found"))))))))</f>
        <v>28/07/2020</v>
      </c>
      <c r="M30" s="234" t="str">
        <f>IFERROR(VLOOKUP($A30,'AAPT ExDa'!$B$2:$U$99, 0,FALSE), IFERROR(VLOOKUP($A30,'ABB ExDa'!$A$2:$N$184, 0,FALSE), IFERROR(VLOOKUP($A30,'Vocus SIT ExDa'!$B$2:$J$173, 0,FALSE), IFERROR(VLOOKUP($A30,'Telstra ExDa'!$B$2:$K$310, 0,FALSE), IFERROR(VLOOKUP($A30,'Vocus RVC ExDa'!$C$2:$R$155, 0,FALSE), IFERROR(VLOOKUP($A30,'Fusion ExDa'!$B$2:$D$16, 0,FALSE), IFERROR(VLOOKUP($A30,'Exetel ExDa'!$C$2:$N$14, 11,FALSE), IFERROR(VLOOKUP($A30,'Infinet ExDa'!$B$2:$E$14, 0,FALSE), "Not Found"))))))))</f>
        <v>Not Found</v>
      </c>
      <c r="N30" t="str">
        <f>IFERROR(VLOOKUP($A30,'AAPT ExDa'!$B$2:$U$99, 0,FALSE), IFERROR(VLOOKUP($A30,'ABB ExDa'!$A$2:$N$184, 13,FALSE), IFERROR(VLOOKUP($A30,'Vocus SIT ExDa'!$B$2:$J$173, 0,FALSE), IFERROR(VLOOKUP($A30,'Telstra ExDa'!$B$2:$K$310, 0,FALSE), IFERROR(VLOOKUP($A30,'Vocus RVC ExDa'!$C$2:$R$155, 0,FALSE), IFERROR(VLOOKUP($A30,'Fusion ExDa'!$B$2:$D$16, 0,FALSE), IFERROR(VLOOKUP($A30,'Exetel ExDa'!$C$2:$N$14, 0,FALSE), IFERROR(VLOOKUP($A30,'Infinet ExDa'!$B$2:$E$14, 0,FALSE), "Not Found"))))))))</f>
        <v>Not Found</v>
      </c>
    </row>
    <row r="31" spans="1:14">
      <c r="A31" t="str">
        <v>Hanwha Mining Services</v>
      </c>
      <c r="B31" t="str">
        <f>IFERROR(VLOOKUP(A31,'Exetel ExDa'!$C$2:$N$14,4,FALSE),"No Data")</f>
        <v>No Data</v>
      </c>
      <c r="C31" t="str">
        <f>IFERROR(VLOOKUP(A31,'AAPT ExDa'!$B$2:$U$99, 2,FALSE), IFERROR(VLOOKUP(A31,'ABB ExDa'!$A$2:$N$184, 2,FALSE), IFERROR(VLOOKUP(A31,'Vocus SIT ExDa'!$B$2:$J$173, 7,FALSE), IFERROR(VLOOKUP(A31,'Telstra ExDa'!$B$2:$K$310, 2,FALSE), IFERROR(VLOOKUP(A31,'Vocus RVC ExDa'!$C$2:$R$155, 3,FALSE), IFERROR(VLOOKUP(A31,'Fusion ExDa'!$B$2:$D$16, 2,FALSE), IFERROR(VLOOKUP(A31,'Exetel ExDa'!$C$2:$N$14, 2,FALSE), IFERROR(VLOOKUP(A31,'Infinet ExDa'!$B$2:$E$14, 2,FALSE), "Not Found"))))))))</f>
        <v>Perth</v>
      </c>
      <c r="D31" t="str">
        <f>IFERROR(VLOOKUP($A31,'AAPT ExDa'!$B$2:$U$99, 15,FALSE), IFERROR(VLOOKUP($A31,'ABB ExDa'!$A$2:$N$184, 4,FALSE), IFERROR(VLOOKUP($A31,'Vocus SIT ExDa'!$B$2:$J$173, 5,FALSE), IFERROR(VLOOKUP($A31,'Telstra ExDa'!$B$2:$K$310, 8,FALSE), IFERROR(VLOOKUP($A31,'Vocus RVC ExDa'!$C$2:$R$155, 6,FALSE), IFERROR(VLOOKUP($A31,'Fusion ExDa'!$B$2:$D$16, 4,FALSE), IFERROR(VLOOKUP($A31,'Exetel ExDa'!$C$2:$N$14, 3,FALSE), IFERROR(VLOOKUP($A31,'Infinet ExDa'!$B$2:$E$14, 3,FALSE), "Not Found"))))))))</f>
        <v>AAPT</v>
      </c>
      <c r="E31" t="str">
        <f>IFERROR(VLOOKUP($A31,'AAPT ExDa'!$B$2:$U$99, 3,FALSE), IFERROR(VLOOKUP($A31,'ABB ExDa'!$A$2:$N$184, 5,FALSE), IFERROR(VLOOKUP($A31,'Vocus SIT ExDa'!$B$2:$J$173, 2,FALSE), IFERROR(VLOOKUP($A31,'Telstra ExDa'!$B$2:$K$310, 4,FALSE), IFERROR(VLOOKUP($A31,'Vocus RVC ExDa'!$C$2:$R$155, 8,FALSE), IFERROR(VLOOKUP($A31,'Fusion ExDa'!$B$2:$D$16, 4,FALSE), IFERROR(VLOOKUP($A31,'Exetel ExDa'!$C$2:$N$14, 5,FALSE), IFERROR(VLOOKUP($A31,'Infinet ExDa'!$B$2:$E$14, 3,FALSE), "Not Found"))))))))</f>
        <v>FAST Fibre</v>
      </c>
      <c r="F31" t="str">
        <f>IFERROR(VLOOKUP($A31,'AAPT ExDa'!$B$2:$U$99, 4,FALSE), IFERROR(VLOOKUP($A31,'ABB ExDa'!$A$2:$N$184, 6,FALSE), IFERROR(VLOOKUP($A31,'Vocus SIT ExDa'!$B$2:$J$173, 3,FALSE), IFERROR(VLOOKUP($A31,'Telstra ExDa'!$B$2:$K$310, 5,FALSE), IFERROR(VLOOKUP($A31,'Vocus RVC ExDa'!$C$2:$R$155, 9,FALSE), IFERROR(VLOOKUP($A31,'Fusion ExDa'!$B$2:$D$16, 0,FALSE), IFERROR(VLOOKUP($A31,'Exetel ExDa'!$C$2:$N$14, 6,FALSE), IFERROR(VLOOKUP($A31,'Infinet ExDa'!$B$2:$E$14, 0,FALSE), "Not Found"))))))))</f>
        <v>FAST Fibre (NTU)</v>
      </c>
      <c r="G31">
        <f>IFERROR(VLOOKUP($A31,'AAPT ExDa'!$B$2:$U$99, 5,FALSE), IFERROR(VLOOKUP($A31,'ABB ExDa'!$A$2:$N$184, 8,FALSE), IFERROR(VLOOKUP($A31,'Vocus SIT ExDa'!$B$2:$J$173, 6,FALSE), IFERROR(VLOOKUP($A31,'Telstra ExDa'!$B$2:$K$310, 0,FALSE), IFERROR(VLOOKUP($A31,'Vocus RVC ExDa'!$C$2:$R$155, 15,FALSE), IFERROR(VLOOKUP($A31,'Fusion ExDa'!$B$2:$D$16, 0,FALSE), IFERROR(VLOOKUP($A31,'Exetel ExDa'!$C$2:$N$14, 7,FALSE), IFERROR(VLOOKUP($A31,'Infinet ExDa'!$B$2:$E$14, 0,FALSE), "Not Found"))))))))</f>
        <v>0</v>
      </c>
      <c r="H31" t="str">
        <f>IFERROR(VLOOKUP($A31,'AAPT ExDa'!$B$2:$U$99, 6,FALSE), IFERROR(VLOOKUP($A31,'ABB ExDa'!$A$2:$N$184, 0,FALSE), IFERROR(VLOOKUP($A31,'Vocus SIT ExDa'!$B$2:$J$173, 0,FALSE), IFERROR(VLOOKUP($A31,'Telstra ExDa'!$B$2:$K$310, 0,FALSE), IFERROR(VLOOKUP($A31,'Vocus RVC ExDa'!$C$2:$R$155, 16,FALSE), IFERROR(VLOOKUP($A31,'Fusion ExDa'!$B$2:$D$16, 0,FALSE), IFERROR(VLOOKUP($A31,'Exetel ExDa'!$C$2:$N$14, 0,FALSE), IFERROR(VLOOKUP($A31,'Infinet ExDa'!$B$2:$E$14, 0,FALSE), "Not Found"))))))))</f>
        <v>1000 Mbps; 48 Months</v>
      </c>
      <c r="I31" t="str">
        <f>IFERROR(VLOOKUP($A31,'AAPT ExDa'!$B$2:$U$99, 0,FALSE), IFERROR(VLOOKUP($A31,'ABB ExDa'!$A$2:$N$184, 0,FALSE), IFERROR(VLOOKUP($A31,'Vocus SIT ExDa'!$B$2:$J$173, 0,FALSE), IFERROR(VLOOKUP($A31,'Telstra ExDa'!$B$2:$K$310, 0,FALSE), IFERROR(VLOOKUP($A31,'Vocus RVC ExDa'!$C$2:$R$155, 0,FALSE), IFERROR(VLOOKUP($A31,'Fusion ExDa'!$B$2:$D$16, 0,FALSE), IFERROR(VLOOKUP($A31,'Exetel ExDa'!$C$2:$N$14, 8,FALSE), IFERROR(VLOOKUP($A31,'Infinet ExDa'!$B$2:$E$14, 0,FALSE), "Not Found"))))))))</f>
        <v>Not Found</v>
      </c>
      <c r="J31">
        <f>IFERROR(VLOOKUP($A31,'AAPT ExDa'!$B$2:$U$99, 7,FALSE), IFERROR(VLOOKUP($A31,'ABB ExDa'!$A$2:$N$184, 2,FALSE), IFERROR(VLOOKUP($A31,'Vocus SIT ExDa'!$B$2:$J$173, 0,FALSE), IFERROR(VLOOKUP($A31,'Telstra ExDa'!$B$2:$K$310, 7,FALSE), IFERROR(VLOOKUP($A31,'Vocus RVC ExDa'!$C$2:$R$155, 2,FALSE), IFERROR(VLOOKUP($A31,'Fusion ExDa'!$B$2:$D$16, 3,FALSE), IFERROR(VLOOKUP($A31,'Exetel ExDa'!$C$2:$N$14, 0,FALSE), IFERROR(VLOOKUP($A31,'Infinet ExDa'!$B$2:$E$14, 0,FALSE), "Not Found"))))))))</f>
        <v>0</v>
      </c>
      <c r="K31" t="str">
        <f>IFERROR(VLOOKUP($A31,'AAPT ExDa'!$B$2:$U$99, 12,FALSE), IFERROR(VLOOKUP($A31,'ABB ExDa'!$A$2:$N$184, 0,FALSE), IFERROR(VLOOKUP($A31,'Vocus SIT ExDa'!$B$2:$J$173, 0,FALSE), IFERROR(VLOOKUP($A31,'Telstra ExDa'!$B$2:$K$310, 0,FALSE), IFERROR(VLOOKUP($A31,'Vocus RVC ExDa'!$C$2:$R$155, 0,FALSE), IFERROR(VLOOKUP($A31,'Fusion ExDa'!$B$2:$D$16, 0,FALSE), IFERROR(VLOOKUP($A31,'Exetel ExDa'!$C$2:$N$14, 12,FALSE), IFERROR(VLOOKUP($A31,'Infinet ExDa'!$B$2:$E$14, 0,FALSE), "Not Found"))))))))</f>
        <v>48 Months</v>
      </c>
      <c r="L31" s="235" t="str">
        <f>IFERROR(VLOOKUP($A31,'AAPT ExDa'!$B$2:$U$99, 11,FALSE), IFERROR(VLOOKUP($A31,'ABB ExDa'!$A$2:$N$184, 9,FALSE), IFERROR(VLOOKUP($A31,'Vocus SIT ExDa'!$B$2:$J$173, 8,FALSE), IFERROR(VLOOKUP($A31,'Telstra ExDa'!$B$2:$K$310, 0,FALSE), IFERROR(VLOOKUP($A31,'Vocus RVC ExDa'!$C$2:$R$155, 0,FALSE), IFERROR(VLOOKUP($A31,'Fusion ExDa'!$B$2:$D$16, 0,FALSE), IFERROR(VLOOKUP($A31,'Exetel ExDa'!$C$2:$N$14, 9,FALSE), IFERROR(VLOOKUP($A31,'Infinet ExDa'!$B$2:$E$14, 0,FALSE), "Not Found"))))))))</f>
        <v>28/07/2020</v>
      </c>
      <c r="M31" s="234" t="str">
        <f>IFERROR(VLOOKUP($A31,'AAPT ExDa'!$B$2:$U$99, 0,FALSE), IFERROR(VLOOKUP($A31,'ABB ExDa'!$A$2:$N$184, 0,FALSE), IFERROR(VLOOKUP($A31,'Vocus SIT ExDa'!$B$2:$J$173, 0,FALSE), IFERROR(VLOOKUP($A31,'Telstra ExDa'!$B$2:$K$310, 0,FALSE), IFERROR(VLOOKUP($A31,'Vocus RVC ExDa'!$C$2:$R$155, 0,FALSE), IFERROR(VLOOKUP($A31,'Fusion ExDa'!$B$2:$D$16, 0,FALSE), IFERROR(VLOOKUP($A31,'Exetel ExDa'!$C$2:$N$14, 11,FALSE), IFERROR(VLOOKUP($A31,'Infinet ExDa'!$B$2:$E$14, 0,FALSE), "Not Found"))))))))</f>
        <v>Not Found</v>
      </c>
      <c r="N31" t="str">
        <f>IFERROR(VLOOKUP($A31,'AAPT ExDa'!$B$2:$U$99, 0,FALSE), IFERROR(VLOOKUP($A31,'ABB ExDa'!$A$2:$N$184, 13,FALSE), IFERROR(VLOOKUP($A31,'Vocus SIT ExDa'!$B$2:$J$173, 0,FALSE), IFERROR(VLOOKUP($A31,'Telstra ExDa'!$B$2:$K$310, 0,FALSE), IFERROR(VLOOKUP($A31,'Vocus RVC ExDa'!$C$2:$R$155, 0,FALSE), IFERROR(VLOOKUP($A31,'Fusion ExDa'!$B$2:$D$16, 0,FALSE), IFERROR(VLOOKUP($A31,'Exetel ExDa'!$C$2:$N$14, 0,FALSE), IFERROR(VLOOKUP($A31,'Infinet ExDa'!$B$2:$E$14, 0,FALSE), "Not Found"))))))))</f>
        <v>Not Found</v>
      </c>
    </row>
    <row r="32" spans="1:14">
      <c r="A32" t="str">
        <v>Hanwha Mining Services</v>
      </c>
      <c r="B32" t="str">
        <f>IFERROR(VLOOKUP(A32,'Exetel ExDa'!$C$2:$N$14,4,FALSE),"No Data")</f>
        <v>No Data</v>
      </c>
      <c r="C32" t="str">
        <f>IFERROR(VLOOKUP(A32,'AAPT ExDa'!$B$2:$U$99, 2,FALSE), IFERROR(VLOOKUP(A32,'ABB ExDa'!$A$2:$N$184, 2,FALSE), IFERROR(VLOOKUP(A32,'Vocus SIT ExDa'!$B$2:$J$173, 7,FALSE), IFERROR(VLOOKUP(A32,'Telstra ExDa'!$B$2:$K$310, 2,FALSE), IFERROR(VLOOKUP(A32,'Vocus RVC ExDa'!$C$2:$R$155, 3,FALSE), IFERROR(VLOOKUP(A32,'Fusion ExDa'!$B$2:$D$16, 2,FALSE), IFERROR(VLOOKUP(A32,'Exetel ExDa'!$C$2:$N$14, 2,FALSE), IFERROR(VLOOKUP(A32,'Infinet ExDa'!$B$2:$E$14, 2,FALSE), "Not Found"))))))))</f>
        <v>Perth</v>
      </c>
      <c r="D32" t="str">
        <f>IFERROR(VLOOKUP($A32,'AAPT ExDa'!$B$2:$U$99, 15,FALSE), IFERROR(VLOOKUP($A32,'ABB ExDa'!$A$2:$N$184, 4,FALSE), IFERROR(VLOOKUP($A32,'Vocus SIT ExDa'!$B$2:$J$173, 5,FALSE), IFERROR(VLOOKUP($A32,'Telstra ExDa'!$B$2:$K$310, 8,FALSE), IFERROR(VLOOKUP($A32,'Vocus RVC ExDa'!$C$2:$R$155, 6,FALSE), IFERROR(VLOOKUP($A32,'Fusion ExDa'!$B$2:$D$16, 4,FALSE), IFERROR(VLOOKUP($A32,'Exetel ExDa'!$C$2:$N$14, 3,FALSE), IFERROR(VLOOKUP($A32,'Infinet ExDa'!$B$2:$E$14, 3,FALSE), "Not Found"))))))))</f>
        <v>AAPT</v>
      </c>
      <c r="E32" t="str">
        <f>IFERROR(VLOOKUP($A32,'AAPT ExDa'!$B$2:$U$99, 3,FALSE), IFERROR(VLOOKUP($A32,'ABB ExDa'!$A$2:$N$184, 5,FALSE), IFERROR(VLOOKUP($A32,'Vocus SIT ExDa'!$B$2:$J$173, 2,FALSE), IFERROR(VLOOKUP($A32,'Telstra ExDa'!$B$2:$K$310, 4,FALSE), IFERROR(VLOOKUP($A32,'Vocus RVC ExDa'!$C$2:$R$155, 8,FALSE), IFERROR(VLOOKUP($A32,'Fusion ExDa'!$B$2:$D$16, 4,FALSE), IFERROR(VLOOKUP($A32,'Exetel ExDa'!$C$2:$N$14, 5,FALSE), IFERROR(VLOOKUP($A32,'Infinet ExDa'!$B$2:$E$14, 3,FALSE), "Not Found"))))))))</f>
        <v>FAST Fibre</v>
      </c>
      <c r="F32" t="str">
        <f>IFERROR(VLOOKUP($A32,'AAPT ExDa'!$B$2:$U$99, 4,FALSE), IFERROR(VLOOKUP($A32,'ABB ExDa'!$A$2:$N$184, 6,FALSE), IFERROR(VLOOKUP($A32,'Vocus SIT ExDa'!$B$2:$J$173, 3,FALSE), IFERROR(VLOOKUP($A32,'Telstra ExDa'!$B$2:$K$310, 5,FALSE), IFERROR(VLOOKUP($A32,'Vocus RVC ExDa'!$C$2:$R$155, 9,FALSE), IFERROR(VLOOKUP($A32,'Fusion ExDa'!$B$2:$D$16, 0,FALSE), IFERROR(VLOOKUP($A32,'Exetel ExDa'!$C$2:$N$14, 6,FALSE), IFERROR(VLOOKUP($A32,'Infinet ExDa'!$B$2:$E$14, 0,FALSE), "Not Found"))))))))</f>
        <v>FAST Fibre (NTU)</v>
      </c>
      <c r="G32">
        <f>IFERROR(VLOOKUP($A32,'AAPT ExDa'!$B$2:$U$99, 5,FALSE), IFERROR(VLOOKUP($A32,'ABB ExDa'!$A$2:$N$184, 8,FALSE), IFERROR(VLOOKUP($A32,'Vocus SIT ExDa'!$B$2:$J$173, 6,FALSE), IFERROR(VLOOKUP($A32,'Telstra ExDa'!$B$2:$K$310, 0,FALSE), IFERROR(VLOOKUP($A32,'Vocus RVC ExDa'!$C$2:$R$155, 15,FALSE), IFERROR(VLOOKUP($A32,'Fusion ExDa'!$B$2:$D$16, 0,FALSE), IFERROR(VLOOKUP($A32,'Exetel ExDa'!$C$2:$N$14, 7,FALSE), IFERROR(VLOOKUP($A32,'Infinet ExDa'!$B$2:$E$14, 0,FALSE), "Not Found"))))))))</f>
        <v>0</v>
      </c>
      <c r="H32" t="str">
        <f>IFERROR(VLOOKUP($A32,'AAPT ExDa'!$B$2:$U$99, 6,FALSE), IFERROR(VLOOKUP($A32,'ABB ExDa'!$A$2:$N$184, 0,FALSE), IFERROR(VLOOKUP($A32,'Vocus SIT ExDa'!$B$2:$J$173, 0,FALSE), IFERROR(VLOOKUP($A32,'Telstra ExDa'!$B$2:$K$310, 0,FALSE), IFERROR(VLOOKUP($A32,'Vocus RVC ExDa'!$C$2:$R$155, 16,FALSE), IFERROR(VLOOKUP($A32,'Fusion ExDa'!$B$2:$D$16, 0,FALSE), IFERROR(VLOOKUP($A32,'Exetel ExDa'!$C$2:$N$14, 0,FALSE), IFERROR(VLOOKUP($A32,'Infinet ExDa'!$B$2:$E$14, 0,FALSE), "Not Found"))))))))</f>
        <v>1000 Mbps; 48 Months</v>
      </c>
      <c r="I32" t="str">
        <f>IFERROR(VLOOKUP($A32,'AAPT ExDa'!$B$2:$U$99, 0,FALSE), IFERROR(VLOOKUP($A32,'ABB ExDa'!$A$2:$N$184, 0,FALSE), IFERROR(VLOOKUP($A32,'Vocus SIT ExDa'!$B$2:$J$173, 0,FALSE), IFERROR(VLOOKUP($A32,'Telstra ExDa'!$B$2:$K$310, 0,FALSE), IFERROR(VLOOKUP($A32,'Vocus RVC ExDa'!$C$2:$R$155, 0,FALSE), IFERROR(VLOOKUP($A32,'Fusion ExDa'!$B$2:$D$16, 0,FALSE), IFERROR(VLOOKUP($A32,'Exetel ExDa'!$C$2:$N$14, 8,FALSE), IFERROR(VLOOKUP($A32,'Infinet ExDa'!$B$2:$E$14, 0,FALSE), "Not Found"))))))))</f>
        <v>Not Found</v>
      </c>
      <c r="J32">
        <f>IFERROR(VLOOKUP($A32,'AAPT ExDa'!$B$2:$U$99, 7,FALSE), IFERROR(VLOOKUP($A32,'ABB ExDa'!$A$2:$N$184, 2,FALSE), IFERROR(VLOOKUP($A32,'Vocus SIT ExDa'!$B$2:$J$173, 0,FALSE), IFERROR(VLOOKUP($A32,'Telstra ExDa'!$B$2:$K$310, 7,FALSE), IFERROR(VLOOKUP($A32,'Vocus RVC ExDa'!$C$2:$R$155, 2,FALSE), IFERROR(VLOOKUP($A32,'Fusion ExDa'!$B$2:$D$16, 3,FALSE), IFERROR(VLOOKUP($A32,'Exetel ExDa'!$C$2:$N$14, 0,FALSE), IFERROR(VLOOKUP($A32,'Infinet ExDa'!$B$2:$E$14, 0,FALSE), "Not Found"))))))))</f>
        <v>0</v>
      </c>
      <c r="K32" t="str">
        <f>IFERROR(VLOOKUP($A32,'AAPT ExDa'!$B$2:$U$99, 12,FALSE), IFERROR(VLOOKUP($A32,'ABB ExDa'!$A$2:$N$184, 0,FALSE), IFERROR(VLOOKUP($A32,'Vocus SIT ExDa'!$B$2:$J$173, 0,FALSE), IFERROR(VLOOKUP($A32,'Telstra ExDa'!$B$2:$K$310, 0,FALSE), IFERROR(VLOOKUP($A32,'Vocus RVC ExDa'!$C$2:$R$155, 0,FALSE), IFERROR(VLOOKUP($A32,'Fusion ExDa'!$B$2:$D$16, 0,FALSE), IFERROR(VLOOKUP($A32,'Exetel ExDa'!$C$2:$N$14, 12,FALSE), IFERROR(VLOOKUP($A32,'Infinet ExDa'!$B$2:$E$14, 0,FALSE), "Not Found"))))))))</f>
        <v>48 Months</v>
      </c>
      <c r="L32" s="235" t="str">
        <f>IFERROR(VLOOKUP($A32,'AAPT ExDa'!$B$2:$U$99, 11,FALSE), IFERROR(VLOOKUP($A32,'ABB ExDa'!$A$2:$N$184, 9,FALSE), IFERROR(VLOOKUP($A32,'Vocus SIT ExDa'!$B$2:$J$173, 8,FALSE), IFERROR(VLOOKUP($A32,'Telstra ExDa'!$B$2:$K$310, 0,FALSE), IFERROR(VLOOKUP($A32,'Vocus RVC ExDa'!$C$2:$R$155, 0,FALSE), IFERROR(VLOOKUP($A32,'Fusion ExDa'!$B$2:$D$16, 0,FALSE), IFERROR(VLOOKUP($A32,'Exetel ExDa'!$C$2:$N$14, 9,FALSE), IFERROR(VLOOKUP($A32,'Infinet ExDa'!$B$2:$E$14, 0,FALSE), "Not Found"))))))))</f>
        <v>28/07/2020</v>
      </c>
      <c r="M32" s="234" t="str">
        <f>IFERROR(VLOOKUP($A32,'AAPT ExDa'!$B$2:$U$99, 0,FALSE), IFERROR(VLOOKUP($A32,'ABB ExDa'!$A$2:$N$184, 0,FALSE), IFERROR(VLOOKUP($A32,'Vocus SIT ExDa'!$B$2:$J$173, 0,FALSE), IFERROR(VLOOKUP($A32,'Telstra ExDa'!$B$2:$K$310, 0,FALSE), IFERROR(VLOOKUP($A32,'Vocus RVC ExDa'!$C$2:$R$155, 0,FALSE), IFERROR(VLOOKUP($A32,'Fusion ExDa'!$B$2:$D$16, 0,FALSE), IFERROR(VLOOKUP($A32,'Exetel ExDa'!$C$2:$N$14, 11,FALSE), IFERROR(VLOOKUP($A32,'Infinet ExDa'!$B$2:$E$14, 0,FALSE), "Not Found"))))))))</f>
        <v>Not Found</v>
      </c>
      <c r="N32" t="str">
        <f>IFERROR(VLOOKUP($A32,'AAPT ExDa'!$B$2:$U$99, 0,FALSE), IFERROR(VLOOKUP($A32,'ABB ExDa'!$A$2:$N$184, 13,FALSE), IFERROR(VLOOKUP($A32,'Vocus SIT ExDa'!$B$2:$J$173, 0,FALSE), IFERROR(VLOOKUP($A32,'Telstra ExDa'!$B$2:$K$310, 0,FALSE), IFERROR(VLOOKUP($A32,'Vocus RVC ExDa'!$C$2:$R$155, 0,FALSE), IFERROR(VLOOKUP($A32,'Fusion ExDa'!$B$2:$D$16, 0,FALSE), IFERROR(VLOOKUP($A32,'Exetel ExDa'!$C$2:$N$14, 0,FALSE), IFERROR(VLOOKUP($A32,'Infinet ExDa'!$B$2:$E$14, 0,FALSE), "Not Found"))))))))</f>
        <v>Not Found</v>
      </c>
    </row>
    <row r="33" spans="1:14">
      <c r="A33" t="str">
        <v>Hip Pocket</v>
      </c>
      <c r="B33" t="str">
        <f>IFERROR(VLOOKUP(A33,'Exetel ExDa'!$C$2:$N$14,4,FALSE),"No Data")</f>
        <v>No Data</v>
      </c>
      <c r="C33">
        <f>IFERROR(VLOOKUP(A33,'AAPT ExDa'!$B$2:$U$99, 2,FALSE), IFERROR(VLOOKUP(A33,'ABB ExDa'!$A$2:$N$184, 2,FALSE), IFERROR(VLOOKUP(A33,'Vocus SIT ExDa'!$B$2:$J$173, 7,FALSE), IFERROR(VLOOKUP(A33,'Telstra ExDa'!$B$2:$K$310, 2,FALSE), IFERROR(VLOOKUP(A33,'Vocus RVC ExDa'!$C$2:$R$155, 3,FALSE), IFERROR(VLOOKUP(A33,'Fusion ExDa'!$B$2:$D$16, 2,FALSE), IFERROR(VLOOKUP(A33,'Exetel ExDa'!$C$2:$N$14, 2,FALSE), IFERROR(VLOOKUP(A33,'Infinet ExDa'!$B$2:$E$14, 2,FALSE), "Not Found"))))))))</f>
        <v>0</v>
      </c>
      <c r="D33" t="str">
        <f>IFERROR(VLOOKUP($A33,'AAPT ExDa'!$B$2:$U$99, 15,FALSE), IFERROR(VLOOKUP($A33,'ABB ExDa'!$A$2:$N$184, 4,FALSE), IFERROR(VLOOKUP($A33,'Vocus SIT ExDa'!$B$2:$J$173, 5,FALSE), IFERROR(VLOOKUP($A33,'Telstra ExDa'!$B$2:$K$310, 8,FALSE), IFERROR(VLOOKUP($A33,'Vocus RVC ExDa'!$C$2:$R$155, 6,FALSE), IFERROR(VLOOKUP($A33,'Fusion ExDa'!$B$2:$D$16, 4,FALSE), IFERROR(VLOOKUP($A33,'Exetel ExDa'!$C$2:$N$14, 3,FALSE), IFERROR(VLOOKUP($A33,'Infinet ExDa'!$B$2:$E$14, 3,FALSE), "Not Found"))))))))</f>
        <v>AAPT</v>
      </c>
      <c r="E33" t="str">
        <f>IFERROR(VLOOKUP($A33,'AAPT ExDa'!$B$2:$U$99, 3,FALSE), IFERROR(VLOOKUP($A33,'ABB ExDa'!$A$2:$N$184, 5,FALSE), IFERROR(VLOOKUP($A33,'Vocus SIT ExDa'!$B$2:$J$173, 2,FALSE), IFERROR(VLOOKUP($A33,'Telstra ExDa'!$B$2:$K$310, 4,FALSE), IFERROR(VLOOKUP($A33,'Vocus RVC ExDa'!$C$2:$R$155, 8,FALSE), IFERROR(VLOOKUP($A33,'Fusion ExDa'!$B$2:$D$16, 4,FALSE), IFERROR(VLOOKUP($A33,'Exetel ExDa'!$C$2:$N$14, 5,FALSE), IFERROR(VLOOKUP($A33,'Infinet ExDa'!$B$2:$E$14, 3,FALSE), "Not Found"))))))))</f>
        <v>IP-Line</v>
      </c>
      <c r="F33" t="str">
        <f>IFERROR(VLOOKUP($A33,'AAPT ExDa'!$B$2:$U$99, 4,FALSE), IFERROR(VLOOKUP($A33,'ABB ExDa'!$A$2:$N$184, 6,FALSE), IFERROR(VLOOKUP($A33,'Vocus SIT ExDa'!$B$2:$J$173, 3,FALSE), IFERROR(VLOOKUP($A33,'Telstra ExDa'!$B$2:$K$310, 5,FALSE), IFERROR(VLOOKUP($A33,'Vocus RVC ExDa'!$C$2:$R$155, 9,FALSE), IFERROR(VLOOKUP($A33,'Fusion ExDa'!$B$2:$D$16, 0,FALSE), IFERROR(VLOOKUP($A33,'Exetel ExDa'!$C$2:$N$14, 6,FALSE), IFERROR(VLOOKUP($A33,'Infinet ExDa'!$B$2:$E$14, 0,FALSE), "Not Found"))))))))</f>
        <v>IP-Line Link</v>
      </c>
      <c r="G33" t="str">
        <f>IFERROR(VLOOKUP($A33,'AAPT ExDa'!$B$2:$U$99, 5,FALSE), IFERROR(VLOOKUP($A33,'ABB ExDa'!$A$2:$N$184, 8,FALSE), IFERROR(VLOOKUP($A33,'Vocus SIT ExDa'!$B$2:$J$173, 6,FALSE), IFERROR(VLOOKUP($A33,'Telstra ExDa'!$B$2:$K$310, 0,FALSE), IFERROR(VLOOKUP($A33,'Vocus RVC ExDa'!$C$2:$R$155, 15,FALSE), IFERROR(VLOOKUP($A33,'Fusion ExDa'!$B$2:$D$16, 0,FALSE), IFERROR(VLOOKUP($A33,'Exetel ExDa'!$C$2:$N$14, 7,FALSE), IFERROR(VLOOKUP($A33,'Infinet ExDa'!$B$2:$E$14, 0,FALSE), "Not Found"))))))))</f>
        <v>Connecting IP-Line 6023265 to Access 100781041</v>
      </c>
      <c r="H33" t="str">
        <f>IFERROR(VLOOKUP($A33,'AAPT ExDa'!$B$2:$U$99, 6,FALSE), IFERROR(VLOOKUP($A33,'ABB ExDa'!$A$2:$N$184, 0,FALSE), IFERROR(VLOOKUP($A33,'Vocus SIT ExDa'!$B$2:$J$173, 0,FALSE), IFERROR(VLOOKUP($A33,'Telstra ExDa'!$B$2:$K$310, 0,FALSE), IFERROR(VLOOKUP($A33,'Vocus RVC ExDa'!$C$2:$R$155, 16,FALSE), IFERROR(VLOOKUP($A33,'Fusion ExDa'!$B$2:$D$16, 0,FALSE), IFERROR(VLOOKUP($A33,'Exetel ExDa'!$C$2:$N$14, 0,FALSE), IFERROR(VLOOKUP($A33,'Infinet ExDa'!$B$2:$E$14, 0,FALSE), "Not Found"))))))))</f>
        <v>Up to 100/40Mbps; AVC ID:AVC000144535230</v>
      </c>
      <c r="I33" t="str">
        <f>IFERROR(VLOOKUP($A33,'AAPT ExDa'!$B$2:$U$99, 0,FALSE), IFERROR(VLOOKUP($A33,'ABB ExDa'!$A$2:$N$184, 0,FALSE), IFERROR(VLOOKUP($A33,'Vocus SIT ExDa'!$B$2:$J$173, 0,FALSE), IFERROR(VLOOKUP($A33,'Telstra ExDa'!$B$2:$K$310, 0,FALSE), IFERROR(VLOOKUP($A33,'Vocus RVC ExDa'!$C$2:$R$155, 0,FALSE), IFERROR(VLOOKUP($A33,'Fusion ExDa'!$B$2:$D$16, 0,FALSE), IFERROR(VLOOKUP($A33,'Exetel ExDa'!$C$2:$N$14, 8,FALSE), IFERROR(VLOOKUP($A33,'Infinet ExDa'!$B$2:$E$14, 0,FALSE), "Not Found"))))))))</f>
        <v>Not Found</v>
      </c>
      <c r="J33" t="str">
        <f>IFERROR(VLOOKUP($A33,'AAPT ExDa'!$B$2:$U$99, 7,FALSE), IFERROR(VLOOKUP($A33,'ABB ExDa'!$A$2:$N$184, 2,FALSE), IFERROR(VLOOKUP($A33,'Vocus SIT ExDa'!$B$2:$J$173, 0,FALSE), IFERROR(VLOOKUP($A33,'Telstra ExDa'!$B$2:$K$310, 7,FALSE), IFERROR(VLOOKUP($A33,'Vocus RVC ExDa'!$C$2:$R$155, 2,FALSE), IFERROR(VLOOKUP($A33,'Fusion ExDa'!$B$2:$D$16, 3,FALSE), IFERROR(VLOOKUP($A33,'Exetel ExDa'!$C$2:$N$14, 0,FALSE), IFERROR(VLOOKUP($A33,'Infinet ExDa'!$B$2:$E$14, 0,FALSE), "Not Found"))))))))</f>
        <v>AVC000144535230</v>
      </c>
      <c r="K33" t="str">
        <f>IFERROR(VLOOKUP($A33,'AAPT ExDa'!$B$2:$U$99, 12,FALSE), IFERROR(VLOOKUP($A33,'ABB ExDa'!$A$2:$N$184, 0,FALSE), IFERROR(VLOOKUP($A33,'Vocus SIT ExDa'!$B$2:$J$173, 0,FALSE), IFERROR(VLOOKUP($A33,'Telstra ExDa'!$B$2:$K$310, 0,FALSE), IFERROR(VLOOKUP($A33,'Vocus RVC ExDa'!$C$2:$R$155, 0,FALSE), IFERROR(VLOOKUP($A33,'Fusion ExDa'!$B$2:$D$16, 0,FALSE), IFERROR(VLOOKUP($A33,'Exetel ExDa'!$C$2:$N$14, 12,FALSE), IFERROR(VLOOKUP($A33,'Infinet ExDa'!$B$2:$E$14, 0,FALSE), "Not Found"))))))))</f>
        <v>36 Months</v>
      </c>
      <c r="L33" s="235" t="str">
        <f>IFERROR(VLOOKUP($A33,'AAPT ExDa'!$B$2:$U$99, 11,FALSE), IFERROR(VLOOKUP($A33,'ABB ExDa'!$A$2:$N$184, 9,FALSE), IFERROR(VLOOKUP($A33,'Vocus SIT ExDa'!$B$2:$J$173, 8,FALSE), IFERROR(VLOOKUP($A33,'Telstra ExDa'!$B$2:$K$310, 0,FALSE), IFERROR(VLOOKUP($A33,'Vocus RVC ExDa'!$C$2:$R$155, 0,FALSE), IFERROR(VLOOKUP($A33,'Fusion ExDa'!$B$2:$D$16, 0,FALSE), IFERROR(VLOOKUP($A33,'Exetel ExDa'!$C$2:$N$14, 9,FALSE), IFERROR(VLOOKUP($A33,'Infinet ExDa'!$B$2:$E$14, 0,FALSE), "Not Found"))))))))</f>
        <v>20/04/2022</v>
      </c>
      <c r="M33" s="234" t="str">
        <f>IFERROR(VLOOKUP($A33,'AAPT ExDa'!$B$2:$U$99, 0,FALSE), IFERROR(VLOOKUP($A33,'ABB ExDa'!$A$2:$N$184, 0,FALSE), IFERROR(VLOOKUP($A33,'Vocus SIT ExDa'!$B$2:$J$173, 0,FALSE), IFERROR(VLOOKUP($A33,'Telstra ExDa'!$B$2:$K$310, 0,FALSE), IFERROR(VLOOKUP($A33,'Vocus RVC ExDa'!$C$2:$R$155, 0,FALSE), IFERROR(VLOOKUP($A33,'Fusion ExDa'!$B$2:$D$16, 0,FALSE), IFERROR(VLOOKUP($A33,'Exetel ExDa'!$C$2:$N$14, 11,FALSE), IFERROR(VLOOKUP($A33,'Infinet ExDa'!$B$2:$E$14, 0,FALSE), "Not Found"))))))))</f>
        <v>Not Found</v>
      </c>
      <c r="N33" t="str">
        <f>IFERROR(VLOOKUP($A33,'AAPT ExDa'!$B$2:$U$99, 0,FALSE), IFERROR(VLOOKUP($A33,'ABB ExDa'!$A$2:$N$184, 13,FALSE), IFERROR(VLOOKUP($A33,'Vocus SIT ExDa'!$B$2:$J$173, 0,FALSE), IFERROR(VLOOKUP($A33,'Telstra ExDa'!$B$2:$K$310, 0,FALSE), IFERROR(VLOOKUP($A33,'Vocus RVC ExDa'!$C$2:$R$155, 0,FALSE), IFERROR(VLOOKUP($A33,'Fusion ExDa'!$B$2:$D$16, 0,FALSE), IFERROR(VLOOKUP($A33,'Exetel ExDa'!$C$2:$N$14, 0,FALSE), IFERROR(VLOOKUP($A33,'Infinet ExDa'!$B$2:$E$14, 0,FALSE), "Not Found"))))))))</f>
        <v>Not Found</v>
      </c>
    </row>
    <row r="34" spans="1:14">
      <c r="A34" t="str">
        <v>Hip Pocket</v>
      </c>
      <c r="B34" t="str">
        <f>IFERROR(VLOOKUP(A34,'Exetel ExDa'!$C$2:$N$14,4,FALSE),"No Data")</f>
        <v>No Data</v>
      </c>
      <c r="C34">
        <f>IFERROR(VLOOKUP(A34,'AAPT ExDa'!$B$2:$U$99, 2,FALSE), IFERROR(VLOOKUP(A34,'ABB ExDa'!$A$2:$N$184, 2,FALSE), IFERROR(VLOOKUP(A34,'Vocus SIT ExDa'!$B$2:$J$173, 7,FALSE), IFERROR(VLOOKUP(A34,'Telstra ExDa'!$B$2:$K$310, 2,FALSE), IFERROR(VLOOKUP(A34,'Vocus RVC ExDa'!$C$2:$R$155, 3,FALSE), IFERROR(VLOOKUP(A34,'Fusion ExDa'!$B$2:$D$16, 2,FALSE), IFERROR(VLOOKUP(A34,'Exetel ExDa'!$C$2:$N$14, 2,FALSE), IFERROR(VLOOKUP(A34,'Infinet ExDa'!$B$2:$E$14, 2,FALSE), "Not Found"))))))))</f>
        <v>0</v>
      </c>
      <c r="D34" t="str">
        <f>IFERROR(VLOOKUP($A34,'AAPT ExDa'!$B$2:$U$99, 15,FALSE), IFERROR(VLOOKUP($A34,'ABB ExDa'!$A$2:$N$184, 4,FALSE), IFERROR(VLOOKUP($A34,'Vocus SIT ExDa'!$B$2:$J$173, 5,FALSE), IFERROR(VLOOKUP($A34,'Telstra ExDa'!$B$2:$K$310, 8,FALSE), IFERROR(VLOOKUP($A34,'Vocus RVC ExDa'!$C$2:$R$155, 6,FALSE), IFERROR(VLOOKUP($A34,'Fusion ExDa'!$B$2:$D$16, 4,FALSE), IFERROR(VLOOKUP($A34,'Exetel ExDa'!$C$2:$N$14, 3,FALSE), IFERROR(VLOOKUP($A34,'Infinet ExDa'!$B$2:$E$14, 3,FALSE), "Not Found"))))))))</f>
        <v>AAPT</v>
      </c>
      <c r="E34" t="str">
        <f>IFERROR(VLOOKUP($A34,'AAPT ExDa'!$B$2:$U$99, 3,FALSE), IFERROR(VLOOKUP($A34,'ABB ExDa'!$A$2:$N$184, 5,FALSE), IFERROR(VLOOKUP($A34,'Vocus SIT ExDa'!$B$2:$J$173, 2,FALSE), IFERROR(VLOOKUP($A34,'Telstra ExDa'!$B$2:$K$310, 4,FALSE), IFERROR(VLOOKUP($A34,'Vocus RVC ExDa'!$C$2:$R$155, 8,FALSE), IFERROR(VLOOKUP($A34,'Fusion ExDa'!$B$2:$D$16, 4,FALSE), IFERROR(VLOOKUP($A34,'Exetel ExDa'!$C$2:$N$14, 5,FALSE), IFERROR(VLOOKUP($A34,'Infinet ExDa'!$B$2:$E$14, 3,FALSE), "Not Found"))))))))</f>
        <v>IP-Line</v>
      </c>
      <c r="F34" t="str">
        <f>IFERROR(VLOOKUP($A34,'AAPT ExDa'!$B$2:$U$99, 4,FALSE), IFERROR(VLOOKUP($A34,'ABB ExDa'!$A$2:$N$184, 6,FALSE), IFERROR(VLOOKUP($A34,'Vocus SIT ExDa'!$B$2:$J$173, 3,FALSE), IFERROR(VLOOKUP($A34,'Telstra ExDa'!$B$2:$K$310, 5,FALSE), IFERROR(VLOOKUP($A34,'Vocus RVC ExDa'!$C$2:$R$155, 9,FALSE), IFERROR(VLOOKUP($A34,'Fusion ExDa'!$B$2:$D$16, 0,FALSE), IFERROR(VLOOKUP($A34,'Exetel ExDa'!$C$2:$N$14, 6,FALSE), IFERROR(VLOOKUP($A34,'Infinet ExDa'!$B$2:$E$14, 0,FALSE), "Not Found"))))))))</f>
        <v>IP-Line Link</v>
      </c>
      <c r="G34" t="str">
        <f>IFERROR(VLOOKUP($A34,'AAPT ExDa'!$B$2:$U$99, 5,FALSE), IFERROR(VLOOKUP($A34,'ABB ExDa'!$A$2:$N$184, 8,FALSE), IFERROR(VLOOKUP($A34,'Vocus SIT ExDa'!$B$2:$J$173, 6,FALSE), IFERROR(VLOOKUP($A34,'Telstra ExDa'!$B$2:$K$310, 0,FALSE), IFERROR(VLOOKUP($A34,'Vocus RVC ExDa'!$C$2:$R$155, 15,FALSE), IFERROR(VLOOKUP($A34,'Fusion ExDa'!$B$2:$D$16, 0,FALSE), IFERROR(VLOOKUP($A34,'Exetel ExDa'!$C$2:$N$14, 7,FALSE), IFERROR(VLOOKUP($A34,'Infinet ExDa'!$B$2:$E$14, 0,FALSE), "Not Found"))))))))</f>
        <v>Connecting IP-Line 6023265 to Access 100781041</v>
      </c>
      <c r="H34" t="str">
        <f>IFERROR(VLOOKUP($A34,'AAPT ExDa'!$B$2:$U$99, 6,FALSE), IFERROR(VLOOKUP($A34,'ABB ExDa'!$A$2:$N$184, 0,FALSE), IFERROR(VLOOKUP($A34,'Vocus SIT ExDa'!$B$2:$J$173, 0,FALSE), IFERROR(VLOOKUP($A34,'Telstra ExDa'!$B$2:$K$310, 0,FALSE), IFERROR(VLOOKUP($A34,'Vocus RVC ExDa'!$C$2:$R$155, 16,FALSE), IFERROR(VLOOKUP($A34,'Fusion ExDa'!$B$2:$D$16, 0,FALSE), IFERROR(VLOOKUP($A34,'Exetel ExDa'!$C$2:$N$14, 0,FALSE), IFERROR(VLOOKUP($A34,'Infinet ExDa'!$B$2:$E$14, 0,FALSE), "Not Found"))))))))</f>
        <v>Up to 100/40Mbps; AVC ID:AVC000144535230</v>
      </c>
      <c r="I34" t="str">
        <f>IFERROR(VLOOKUP($A34,'AAPT ExDa'!$B$2:$U$99, 0,FALSE), IFERROR(VLOOKUP($A34,'ABB ExDa'!$A$2:$N$184, 0,FALSE), IFERROR(VLOOKUP($A34,'Vocus SIT ExDa'!$B$2:$J$173, 0,FALSE), IFERROR(VLOOKUP($A34,'Telstra ExDa'!$B$2:$K$310, 0,FALSE), IFERROR(VLOOKUP($A34,'Vocus RVC ExDa'!$C$2:$R$155, 0,FALSE), IFERROR(VLOOKUP($A34,'Fusion ExDa'!$B$2:$D$16, 0,FALSE), IFERROR(VLOOKUP($A34,'Exetel ExDa'!$C$2:$N$14, 8,FALSE), IFERROR(VLOOKUP($A34,'Infinet ExDa'!$B$2:$E$14, 0,FALSE), "Not Found"))))))))</f>
        <v>Not Found</v>
      </c>
      <c r="J34" t="str">
        <f>IFERROR(VLOOKUP($A34,'AAPT ExDa'!$B$2:$U$99, 7,FALSE), IFERROR(VLOOKUP($A34,'ABB ExDa'!$A$2:$N$184, 2,FALSE), IFERROR(VLOOKUP($A34,'Vocus SIT ExDa'!$B$2:$J$173, 0,FALSE), IFERROR(VLOOKUP($A34,'Telstra ExDa'!$B$2:$K$310, 7,FALSE), IFERROR(VLOOKUP($A34,'Vocus RVC ExDa'!$C$2:$R$155, 2,FALSE), IFERROR(VLOOKUP($A34,'Fusion ExDa'!$B$2:$D$16, 3,FALSE), IFERROR(VLOOKUP($A34,'Exetel ExDa'!$C$2:$N$14, 0,FALSE), IFERROR(VLOOKUP($A34,'Infinet ExDa'!$B$2:$E$14, 0,FALSE), "Not Found"))))))))</f>
        <v>AVC000144535230</v>
      </c>
      <c r="K34" t="str">
        <f>IFERROR(VLOOKUP($A34,'AAPT ExDa'!$B$2:$U$99, 12,FALSE), IFERROR(VLOOKUP($A34,'ABB ExDa'!$A$2:$N$184, 0,FALSE), IFERROR(VLOOKUP($A34,'Vocus SIT ExDa'!$B$2:$J$173, 0,FALSE), IFERROR(VLOOKUP($A34,'Telstra ExDa'!$B$2:$K$310, 0,FALSE), IFERROR(VLOOKUP($A34,'Vocus RVC ExDa'!$C$2:$R$155, 0,FALSE), IFERROR(VLOOKUP($A34,'Fusion ExDa'!$B$2:$D$16, 0,FALSE), IFERROR(VLOOKUP($A34,'Exetel ExDa'!$C$2:$N$14, 12,FALSE), IFERROR(VLOOKUP($A34,'Infinet ExDa'!$B$2:$E$14, 0,FALSE), "Not Found"))))))))</f>
        <v>36 Months</v>
      </c>
      <c r="L34" s="235" t="str">
        <f>IFERROR(VLOOKUP($A34,'AAPT ExDa'!$B$2:$U$99, 11,FALSE), IFERROR(VLOOKUP($A34,'ABB ExDa'!$A$2:$N$184, 9,FALSE), IFERROR(VLOOKUP($A34,'Vocus SIT ExDa'!$B$2:$J$173, 8,FALSE), IFERROR(VLOOKUP($A34,'Telstra ExDa'!$B$2:$K$310, 0,FALSE), IFERROR(VLOOKUP($A34,'Vocus RVC ExDa'!$C$2:$R$155, 0,FALSE), IFERROR(VLOOKUP($A34,'Fusion ExDa'!$B$2:$D$16, 0,FALSE), IFERROR(VLOOKUP($A34,'Exetel ExDa'!$C$2:$N$14, 9,FALSE), IFERROR(VLOOKUP($A34,'Infinet ExDa'!$B$2:$E$14, 0,FALSE), "Not Found"))))))))</f>
        <v>20/04/2022</v>
      </c>
      <c r="M34" s="234" t="str">
        <f>IFERROR(VLOOKUP($A34,'AAPT ExDa'!$B$2:$U$99, 0,FALSE), IFERROR(VLOOKUP($A34,'ABB ExDa'!$A$2:$N$184, 0,FALSE), IFERROR(VLOOKUP($A34,'Vocus SIT ExDa'!$B$2:$J$173, 0,FALSE), IFERROR(VLOOKUP($A34,'Telstra ExDa'!$B$2:$K$310, 0,FALSE), IFERROR(VLOOKUP($A34,'Vocus RVC ExDa'!$C$2:$R$155, 0,FALSE), IFERROR(VLOOKUP($A34,'Fusion ExDa'!$B$2:$D$16, 0,FALSE), IFERROR(VLOOKUP($A34,'Exetel ExDa'!$C$2:$N$14, 11,FALSE), IFERROR(VLOOKUP($A34,'Infinet ExDa'!$B$2:$E$14, 0,FALSE), "Not Found"))))))))</f>
        <v>Not Found</v>
      </c>
      <c r="N34" t="str">
        <f>IFERROR(VLOOKUP($A34,'AAPT ExDa'!$B$2:$U$99, 0,FALSE), IFERROR(VLOOKUP($A34,'ABB ExDa'!$A$2:$N$184, 13,FALSE), IFERROR(VLOOKUP($A34,'Vocus SIT ExDa'!$B$2:$J$173, 0,FALSE), IFERROR(VLOOKUP($A34,'Telstra ExDa'!$B$2:$K$310, 0,FALSE), IFERROR(VLOOKUP($A34,'Vocus RVC ExDa'!$C$2:$R$155, 0,FALSE), IFERROR(VLOOKUP($A34,'Fusion ExDa'!$B$2:$D$16, 0,FALSE), IFERROR(VLOOKUP($A34,'Exetel ExDa'!$C$2:$N$14, 0,FALSE), IFERROR(VLOOKUP($A34,'Infinet ExDa'!$B$2:$E$14, 0,FALSE), "Not Found"))))))))</f>
        <v>Not Found</v>
      </c>
    </row>
    <row r="35" spans="1:14">
      <c r="A35" t="str">
        <v>IHCA</v>
      </c>
      <c r="B35" t="str">
        <f>IFERROR(VLOOKUP(A35,'Exetel ExDa'!$C$2:$N$14,4,FALSE),"No Data")</f>
        <v>No Data</v>
      </c>
      <c r="C35" t="str">
        <f>IFERROR(VLOOKUP(A35,'AAPT ExDa'!$B$2:$U$99, 2,FALSE), IFERROR(VLOOKUP(A35,'ABB ExDa'!$A$2:$N$184, 2,FALSE), IFERROR(VLOOKUP(A35,'Vocus SIT ExDa'!$B$2:$J$173, 7,FALSE), IFERROR(VLOOKUP(A35,'Telstra ExDa'!$B$2:$K$310, 2,FALSE), IFERROR(VLOOKUP(A35,'Vocus RVC ExDa'!$C$2:$R$155, 3,FALSE), IFERROR(VLOOKUP(A35,'Fusion ExDa'!$B$2:$D$16, 2,FALSE), IFERROR(VLOOKUP(A35,'Exetel ExDa'!$C$2:$N$14, 2,FALSE), IFERROR(VLOOKUP(A35,'Infinet ExDa'!$B$2:$E$14, 2,FALSE), "Not Found"))))))))</f>
        <v>Toowong</v>
      </c>
      <c r="D35" t="str">
        <f>IFERROR(VLOOKUP($A35,'AAPT ExDa'!$B$2:$U$99, 15,FALSE), IFERROR(VLOOKUP($A35,'ABB ExDa'!$A$2:$N$184, 4,FALSE), IFERROR(VLOOKUP($A35,'Vocus SIT ExDa'!$B$2:$J$173, 5,FALSE), IFERROR(VLOOKUP($A35,'Telstra ExDa'!$B$2:$K$310, 8,FALSE), IFERROR(VLOOKUP($A35,'Vocus RVC ExDa'!$C$2:$R$155, 6,FALSE), IFERROR(VLOOKUP($A35,'Fusion ExDa'!$B$2:$D$16, 4,FALSE), IFERROR(VLOOKUP($A35,'Exetel ExDa'!$C$2:$N$14, 3,FALSE), IFERROR(VLOOKUP($A35,'Infinet ExDa'!$B$2:$E$14, 3,FALSE), "Not Found"))))))))</f>
        <v>AAPT</v>
      </c>
      <c r="E35" t="str">
        <f>IFERROR(VLOOKUP($A35,'AAPT ExDa'!$B$2:$U$99, 3,FALSE), IFERROR(VLOOKUP($A35,'ABB ExDa'!$A$2:$N$184, 5,FALSE), IFERROR(VLOOKUP($A35,'Vocus SIT ExDa'!$B$2:$J$173, 2,FALSE), IFERROR(VLOOKUP($A35,'Telstra ExDa'!$B$2:$K$310, 4,FALSE), IFERROR(VLOOKUP($A35,'Vocus RVC ExDa'!$C$2:$R$155, 8,FALSE), IFERROR(VLOOKUP($A35,'Fusion ExDa'!$B$2:$D$16, 4,FALSE), IFERROR(VLOOKUP($A35,'Exetel ExDa'!$C$2:$N$14, 5,FALSE), IFERROR(VLOOKUP($A35,'Infinet ExDa'!$B$2:$E$14, 3,FALSE), "Not Found"))))))))</f>
        <v>FAST Fibre</v>
      </c>
      <c r="F35" t="str">
        <f>IFERROR(VLOOKUP($A35,'AAPT ExDa'!$B$2:$U$99, 4,FALSE), IFERROR(VLOOKUP($A35,'ABB ExDa'!$A$2:$N$184, 6,FALSE), IFERROR(VLOOKUP($A35,'Vocus SIT ExDa'!$B$2:$J$173, 3,FALSE), IFERROR(VLOOKUP($A35,'Telstra ExDa'!$B$2:$K$310, 5,FALSE), IFERROR(VLOOKUP($A35,'Vocus RVC ExDa'!$C$2:$R$155, 9,FALSE), IFERROR(VLOOKUP($A35,'Fusion ExDa'!$B$2:$D$16, 0,FALSE), IFERROR(VLOOKUP($A35,'Exetel ExDa'!$C$2:$N$14, 6,FALSE), IFERROR(VLOOKUP($A35,'Infinet ExDa'!$B$2:$E$14, 0,FALSE), "Not Found"))))))))</f>
        <v>FAST Fibre (NTU)</v>
      </c>
      <c r="G35">
        <f>IFERROR(VLOOKUP($A35,'AAPT ExDa'!$B$2:$U$99, 5,FALSE), IFERROR(VLOOKUP($A35,'ABB ExDa'!$A$2:$N$184, 8,FALSE), IFERROR(VLOOKUP($A35,'Vocus SIT ExDa'!$B$2:$J$173, 6,FALSE), IFERROR(VLOOKUP($A35,'Telstra ExDa'!$B$2:$K$310, 0,FALSE), IFERROR(VLOOKUP($A35,'Vocus RVC ExDa'!$C$2:$R$155, 15,FALSE), IFERROR(VLOOKUP($A35,'Fusion ExDa'!$B$2:$D$16, 0,FALSE), IFERROR(VLOOKUP($A35,'Exetel ExDa'!$C$2:$N$14, 7,FALSE), IFERROR(VLOOKUP($A35,'Infinet ExDa'!$B$2:$E$14, 0,FALSE), "Not Found"))))))))</f>
        <v>0</v>
      </c>
      <c r="H35" t="str">
        <f>IFERROR(VLOOKUP($A35,'AAPT ExDa'!$B$2:$U$99, 6,FALSE), IFERROR(VLOOKUP($A35,'ABB ExDa'!$A$2:$N$184, 0,FALSE), IFERROR(VLOOKUP($A35,'Vocus SIT ExDa'!$B$2:$J$173, 0,FALSE), IFERROR(VLOOKUP($A35,'Telstra ExDa'!$B$2:$K$310, 0,FALSE), IFERROR(VLOOKUP($A35,'Vocus RVC ExDa'!$C$2:$R$155, 16,FALSE), IFERROR(VLOOKUP($A35,'Fusion ExDa'!$B$2:$D$16, 0,FALSE), IFERROR(VLOOKUP($A35,'Exetel ExDa'!$C$2:$N$14, 0,FALSE), IFERROR(VLOOKUP($A35,'Infinet ExDa'!$B$2:$E$14, 0,FALSE), "Not Found"))))))))</f>
        <v>1000 Mbps; 36 Months</v>
      </c>
      <c r="I35" t="str">
        <f>IFERROR(VLOOKUP($A35,'AAPT ExDa'!$B$2:$U$99, 0,FALSE), IFERROR(VLOOKUP($A35,'ABB ExDa'!$A$2:$N$184, 0,FALSE), IFERROR(VLOOKUP($A35,'Vocus SIT ExDa'!$B$2:$J$173, 0,FALSE), IFERROR(VLOOKUP($A35,'Telstra ExDa'!$B$2:$K$310, 0,FALSE), IFERROR(VLOOKUP($A35,'Vocus RVC ExDa'!$C$2:$R$155, 0,FALSE), IFERROR(VLOOKUP($A35,'Fusion ExDa'!$B$2:$D$16, 0,FALSE), IFERROR(VLOOKUP($A35,'Exetel ExDa'!$C$2:$N$14, 8,FALSE), IFERROR(VLOOKUP($A35,'Infinet ExDa'!$B$2:$E$14, 0,FALSE), "Not Found"))))))))</f>
        <v>Not Found</v>
      </c>
      <c r="J35">
        <f>IFERROR(VLOOKUP($A35,'AAPT ExDa'!$B$2:$U$99, 7,FALSE), IFERROR(VLOOKUP($A35,'ABB ExDa'!$A$2:$N$184, 2,FALSE), IFERROR(VLOOKUP($A35,'Vocus SIT ExDa'!$B$2:$J$173, 0,FALSE), IFERROR(VLOOKUP($A35,'Telstra ExDa'!$B$2:$K$310, 7,FALSE), IFERROR(VLOOKUP($A35,'Vocus RVC ExDa'!$C$2:$R$155, 2,FALSE), IFERROR(VLOOKUP($A35,'Fusion ExDa'!$B$2:$D$16, 3,FALSE), IFERROR(VLOOKUP($A35,'Exetel ExDa'!$C$2:$N$14, 0,FALSE), IFERROR(VLOOKUP($A35,'Infinet ExDa'!$B$2:$E$14, 0,FALSE), "Not Found"))))))))</f>
        <v>0</v>
      </c>
      <c r="K35" t="str">
        <f>IFERROR(VLOOKUP($A35,'AAPT ExDa'!$B$2:$U$99, 12,FALSE), IFERROR(VLOOKUP($A35,'ABB ExDa'!$A$2:$N$184, 0,FALSE), IFERROR(VLOOKUP($A35,'Vocus SIT ExDa'!$B$2:$J$173, 0,FALSE), IFERROR(VLOOKUP($A35,'Telstra ExDa'!$B$2:$K$310, 0,FALSE), IFERROR(VLOOKUP($A35,'Vocus RVC ExDa'!$C$2:$R$155, 0,FALSE), IFERROR(VLOOKUP($A35,'Fusion ExDa'!$B$2:$D$16, 0,FALSE), IFERROR(VLOOKUP($A35,'Exetel ExDa'!$C$2:$N$14, 12,FALSE), IFERROR(VLOOKUP($A35,'Infinet ExDa'!$B$2:$E$14, 0,FALSE), "Not Found"))))))))</f>
        <v>36 Months</v>
      </c>
      <c r="L35" s="235">
        <f>IFERROR(VLOOKUP($A35,'AAPT ExDa'!$B$2:$U$99, 11,FALSE), IFERROR(VLOOKUP($A35,'ABB ExDa'!$A$2:$N$184, 9,FALSE), IFERROR(VLOOKUP($A35,'Vocus SIT ExDa'!$B$2:$J$173, 8,FALSE), IFERROR(VLOOKUP($A35,'Telstra ExDa'!$B$2:$K$310, 0,FALSE), IFERROR(VLOOKUP($A35,'Vocus RVC ExDa'!$C$2:$R$155, 0,FALSE), IFERROR(VLOOKUP($A35,'Fusion ExDa'!$B$2:$D$16, 0,FALSE), IFERROR(VLOOKUP($A35,'Exetel ExDa'!$C$2:$N$14, 9,FALSE), IFERROR(VLOOKUP($A35,'Infinet ExDa'!$B$2:$E$14, 0,FALSE), "Not Found"))))))))</f>
        <v>45021</v>
      </c>
      <c r="M35" s="234" t="str">
        <f>IFERROR(VLOOKUP($A35,'AAPT ExDa'!$B$2:$U$99, 0,FALSE), IFERROR(VLOOKUP($A35,'ABB ExDa'!$A$2:$N$184, 0,FALSE), IFERROR(VLOOKUP($A35,'Vocus SIT ExDa'!$B$2:$J$173, 0,FALSE), IFERROR(VLOOKUP($A35,'Telstra ExDa'!$B$2:$K$310, 0,FALSE), IFERROR(VLOOKUP($A35,'Vocus RVC ExDa'!$C$2:$R$155, 0,FALSE), IFERROR(VLOOKUP($A35,'Fusion ExDa'!$B$2:$D$16, 0,FALSE), IFERROR(VLOOKUP($A35,'Exetel ExDa'!$C$2:$N$14, 11,FALSE), IFERROR(VLOOKUP($A35,'Infinet ExDa'!$B$2:$E$14, 0,FALSE), "Not Found"))))))))</f>
        <v>Not Found</v>
      </c>
      <c r="N35" t="str">
        <f>IFERROR(VLOOKUP($A35,'AAPT ExDa'!$B$2:$U$99, 0,FALSE), IFERROR(VLOOKUP($A35,'ABB ExDa'!$A$2:$N$184, 13,FALSE), IFERROR(VLOOKUP($A35,'Vocus SIT ExDa'!$B$2:$J$173, 0,FALSE), IFERROR(VLOOKUP($A35,'Telstra ExDa'!$B$2:$K$310, 0,FALSE), IFERROR(VLOOKUP($A35,'Vocus RVC ExDa'!$C$2:$R$155, 0,FALSE), IFERROR(VLOOKUP($A35,'Fusion ExDa'!$B$2:$D$16, 0,FALSE), IFERROR(VLOOKUP($A35,'Exetel ExDa'!$C$2:$N$14, 0,FALSE), IFERROR(VLOOKUP($A35,'Infinet ExDa'!$B$2:$E$14, 0,FALSE), "Not Found"))))))))</f>
        <v>Not Found</v>
      </c>
    </row>
    <row r="36" spans="1:14">
      <c r="A36" t="str">
        <v>IHCA</v>
      </c>
      <c r="B36" t="str">
        <f>IFERROR(VLOOKUP(A36,'Exetel ExDa'!$C$2:$N$14,4,FALSE),"No Data")</f>
        <v>No Data</v>
      </c>
      <c r="C36" t="str">
        <f>IFERROR(VLOOKUP(A36,'AAPT ExDa'!$B$2:$U$99, 2,FALSE), IFERROR(VLOOKUP(A36,'ABB ExDa'!$A$2:$N$184, 2,FALSE), IFERROR(VLOOKUP(A36,'Vocus SIT ExDa'!$B$2:$J$173, 7,FALSE), IFERROR(VLOOKUP(A36,'Telstra ExDa'!$B$2:$K$310, 2,FALSE), IFERROR(VLOOKUP(A36,'Vocus RVC ExDa'!$C$2:$R$155, 3,FALSE), IFERROR(VLOOKUP(A36,'Fusion ExDa'!$B$2:$D$16, 2,FALSE), IFERROR(VLOOKUP(A36,'Exetel ExDa'!$C$2:$N$14, 2,FALSE), IFERROR(VLOOKUP(A36,'Infinet ExDa'!$B$2:$E$14, 2,FALSE), "Not Found"))))))))</f>
        <v>Toowong</v>
      </c>
      <c r="D36" t="str">
        <f>IFERROR(VLOOKUP($A36,'AAPT ExDa'!$B$2:$U$99, 15,FALSE), IFERROR(VLOOKUP($A36,'ABB ExDa'!$A$2:$N$184, 4,FALSE), IFERROR(VLOOKUP($A36,'Vocus SIT ExDa'!$B$2:$J$173, 5,FALSE), IFERROR(VLOOKUP($A36,'Telstra ExDa'!$B$2:$K$310, 8,FALSE), IFERROR(VLOOKUP($A36,'Vocus RVC ExDa'!$C$2:$R$155, 6,FALSE), IFERROR(VLOOKUP($A36,'Fusion ExDa'!$B$2:$D$16, 4,FALSE), IFERROR(VLOOKUP($A36,'Exetel ExDa'!$C$2:$N$14, 3,FALSE), IFERROR(VLOOKUP($A36,'Infinet ExDa'!$B$2:$E$14, 3,FALSE), "Not Found"))))))))</f>
        <v>AAPT</v>
      </c>
      <c r="E36" t="str">
        <f>IFERROR(VLOOKUP($A36,'AAPT ExDa'!$B$2:$U$99, 3,FALSE), IFERROR(VLOOKUP($A36,'ABB ExDa'!$A$2:$N$184, 5,FALSE), IFERROR(VLOOKUP($A36,'Vocus SIT ExDa'!$B$2:$J$173, 2,FALSE), IFERROR(VLOOKUP($A36,'Telstra ExDa'!$B$2:$K$310, 4,FALSE), IFERROR(VLOOKUP($A36,'Vocus RVC ExDa'!$C$2:$R$155, 8,FALSE), IFERROR(VLOOKUP($A36,'Fusion ExDa'!$B$2:$D$16, 4,FALSE), IFERROR(VLOOKUP($A36,'Exetel ExDa'!$C$2:$N$14, 5,FALSE), IFERROR(VLOOKUP($A36,'Infinet ExDa'!$B$2:$E$14, 3,FALSE), "Not Found"))))))))</f>
        <v>FAST Fibre</v>
      </c>
      <c r="F36" t="str">
        <f>IFERROR(VLOOKUP($A36,'AAPT ExDa'!$B$2:$U$99, 4,FALSE), IFERROR(VLOOKUP($A36,'ABB ExDa'!$A$2:$N$184, 6,FALSE), IFERROR(VLOOKUP($A36,'Vocus SIT ExDa'!$B$2:$J$173, 3,FALSE), IFERROR(VLOOKUP($A36,'Telstra ExDa'!$B$2:$K$310, 5,FALSE), IFERROR(VLOOKUP($A36,'Vocus RVC ExDa'!$C$2:$R$155, 9,FALSE), IFERROR(VLOOKUP($A36,'Fusion ExDa'!$B$2:$D$16, 0,FALSE), IFERROR(VLOOKUP($A36,'Exetel ExDa'!$C$2:$N$14, 6,FALSE), IFERROR(VLOOKUP($A36,'Infinet ExDa'!$B$2:$E$14, 0,FALSE), "Not Found"))))))))</f>
        <v>FAST Fibre (NTU)</v>
      </c>
      <c r="G36">
        <f>IFERROR(VLOOKUP($A36,'AAPT ExDa'!$B$2:$U$99, 5,FALSE), IFERROR(VLOOKUP($A36,'ABB ExDa'!$A$2:$N$184, 8,FALSE), IFERROR(VLOOKUP($A36,'Vocus SIT ExDa'!$B$2:$J$173, 6,FALSE), IFERROR(VLOOKUP($A36,'Telstra ExDa'!$B$2:$K$310, 0,FALSE), IFERROR(VLOOKUP($A36,'Vocus RVC ExDa'!$C$2:$R$155, 15,FALSE), IFERROR(VLOOKUP($A36,'Fusion ExDa'!$B$2:$D$16, 0,FALSE), IFERROR(VLOOKUP($A36,'Exetel ExDa'!$C$2:$N$14, 7,FALSE), IFERROR(VLOOKUP($A36,'Infinet ExDa'!$B$2:$E$14, 0,FALSE), "Not Found"))))))))</f>
        <v>0</v>
      </c>
      <c r="H36" t="str">
        <f>IFERROR(VLOOKUP($A36,'AAPT ExDa'!$B$2:$U$99, 6,FALSE), IFERROR(VLOOKUP($A36,'ABB ExDa'!$A$2:$N$184, 0,FALSE), IFERROR(VLOOKUP($A36,'Vocus SIT ExDa'!$B$2:$J$173, 0,FALSE), IFERROR(VLOOKUP($A36,'Telstra ExDa'!$B$2:$K$310, 0,FALSE), IFERROR(VLOOKUP($A36,'Vocus RVC ExDa'!$C$2:$R$155, 16,FALSE), IFERROR(VLOOKUP($A36,'Fusion ExDa'!$B$2:$D$16, 0,FALSE), IFERROR(VLOOKUP($A36,'Exetel ExDa'!$C$2:$N$14, 0,FALSE), IFERROR(VLOOKUP($A36,'Infinet ExDa'!$B$2:$E$14, 0,FALSE), "Not Found"))))))))</f>
        <v>1000 Mbps; 36 Months</v>
      </c>
      <c r="I36" t="str">
        <f>IFERROR(VLOOKUP($A36,'AAPT ExDa'!$B$2:$U$99, 0,FALSE), IFERROR(VLOOKUP($A36,'ABB ExDa'!$A$2:$N$184, 0,FALSE), IFERROR(VLOOKUP($A36,'Vocus SIT ExDa'!$B$2:$J$173, 0,FALSE), IFERROR(VLOOKUP($A36,'Telstra ExDa'!$B$2:$K$310, 0,FALSE), IFERROR(VLOOKUP($A36,'Vocus RVC ExDa'!$C$2:$R$155, 0,FALSE), IFERROR(VLOOKUP($A36,'Fusion ExDa'!$B$2:$D$16, 0,FALSE), IFERROR(VLOOKUP($A36,'Exetel ExDa'!$C$2:$N$14, 8,FALSE), IFERROR(VLOOKUP($A36,'Infinet ExDa'!$B$2:$E$14, 0,FALSE), "Not Found"))))))))</f>
        <v>Not Found</v>
      </c>
      <c r="J36">
        <f>IFERROR(VLOOKUP($A36,'AAPT ExDa'!$B$2:$U$99, 7,FALSE), IFERROR(VLOOKUP($A36,'ABB ExDa'!$A$2:$N$184, 2,FALSE), IFERROR(VLOOKUP($A36,'Vocus SIT ExDa'!$B$2:$J$173, 0,FALSE), IFERROR(VLOOKUP($A36,'Telstra ExDa'!$B$2:$K$310, 7,FALSE), IFERROR(VLOOKUP($A36,'Vocus RVC ExDa'!$C$2:$R$155, 2,FALSE), IFERROR(VLOOKUP($A36,'Fusion ExDa'!$B$2:$D$16, 3,FALSE), IFERROR(VLOOKUP($A36,'Exetel ExDa'!$C$2:$N$14, 0,FALSE), IFERROR(VLOOKUP($A36,'Infinet ExDa'!$B$2:$E$14, 0,FALSE), "Not Found"))))))))</f>
        <v>0</v>
      </c>
      <c r="K36" t="str">
        <f>IFERROR(VLOOKUP($A36,'AAPT ExDa'!$B$2:$U$99, 12,FALSE), IFERROR(VLOOKUP($A36,'ABB ExDa'!$A$2:$N$184, 0,FALSE), IFERROR(VLOOKUP($A36,'Vocus SIT ExDa'!$B$2:$J$173, 0,FALSE), IFERROR(VLOOKUP($A36,'Telstra ExDa'!$B$2:$K$310, 0,FALSE), IFERROR(VLOOKUP($A36,'Vocus RVC ExDa'!$C$2:$R$155, 0,FALSE), IFERROR(VLOOKUP($A36,'Fusion ExDa'!$B$2:$D$16, 0,FALSE), IFERROR(VLOOKUP($A36,'Exetel ExDa'!$C$2:$N$14, 12,FALSE), IFERROR(VLOOKUP($A36,'Infinet ExDa'!$B$2:$E$14, 0,FALSE), "Not Found"))))))))</f>
        <v>36 Months</v>
      </c>
      <c r="L36" s="235">
        <f>IFERROR(VLOOKUP($A36,'AAPT ExDa'!$B$2:$U$99, 11,FALSE), IFERROR(VLOOKUP($A36,'ABB ExDa'!$A$2:$N$184, 9,FALSE), IFERROR(VLOOKUP($A36,'Vocus SIT ExDa'!$B$2:$J$173, 8,FALSE), IFERROR(VLOOKUP($A36,'Telstra ExDa'!$B$2:$K$310, 0,FALSE), IFERROR(VLOOKUP($A36,'Vocus RVC ExDa'!$C$2:$R$155, 0,FALSE), IFERROR(VLOOKUP($A36,'Fusion ExDa'!$B$2:$D$16, 0,FALSE), IFERROR(VLOOKUP($A36,'Exetel ExDa'!$C$2:$N$14, 9,FALSE), IFERROR(VLOOKUP($A36,'Infinet ExDa'!$B$2:$E$14, 0,FALSE), "Not Found"))))))))</f>
        <v>45021</v>
      </c>
      <c r="M36" s="234" t="str">
        <f>IFERROR(VLOOKUP($A36,'AAPT ExDa'!$B$2:$U$99, 0,FALSE), IFERROR(VLOOKUP($A36,'ABB ExDa'!$A$2:$N$184, 0,FALSE), IFERROR(VLOOKUP($A36,'Vocus SIT ExDa'!$B$2:$J$173, 0,FALSE), IFERROR(VLOOKUP($A36,'Telstra ExDa'!$B$2:$K$310, 0,FALSE), IFERROR(VLOOKUP($A36,'Vocus RVC ExDa'!$C$2:$R$155, 0,FALSE), IFERROR(VLOOKUP($A36,'Fusion ExDa'!$B$2:$D$16, 0,FALSE), IFERROR(VLOOKUP($A36,'Exetel ExDa'!$C$2:$N$14, 11,FALSE), IFERROR(VLOOKUP($A36,'Infinet ExDa'!$B$2:$E$14, 0,FALSE), "Not Found"))))))))</f>
        <v>Not Found</v>
      </c>
      <c r="N36" t="str">
        <f>IFERROR(VLOOKUP($A36,'AAPT ExDa'!$B$2:$U$99, 0,FALSE), IFERROR(VLOOKUP($A36,'ABB ExDa'!$A$2:$N$184, 13,FALSE), IFERROR(VLOOKUP($A36,'Vocus SIT ExDa'!$B$2:$J$173, 0,FALSE), IFERROR(VLOOKUP($A36,'Telstra ExDa'!$B$2:$K$310, 0,FALSE), IFERROR(VLOOKUP($A36,'Vocus RVC ExDa'!$C$2:$R$155, 0,FALSE), IFERROR(VLOOKUP($A36,'Fusion ExDa'!$B$2:$D$16, 0,FALSE), IFERROR(VLOOKUP($A36,'Exetel ExDa'!$C$2:$N$14, 0,FALSE), IFERROR(VLOOKUP($A36,'Infinet ExDa'!$B$2:$E$14, 0,FALSE), "Not Found"))))))))</f>
        <v>Not Found</v>
      </c>
    </row>
    <row r="37" spans="1:14">
      <c r="A37" t="str">
        <v>IHCA</v>
      </c>
      <c r="B37" t="str">
        <f>IFERROR(VLOOKUP(A37,'Exetel ExDa'!$C$2:$N$14,4,FALSE),"No Data")</f>
        <v>No Data</v>
      </c>
      <c r="C37" t="str">
        <f>IFERROR(VLOOKUP(A37,'AAPT ExDa'!$B$2:$U$99, 2,FALSE), IFERROR(VLOOKUP(A37,'ABB ExDa'!$A$2:$N$184, 2,FALSE), IFERROR(VLOOKUP(A37,'Vocus SIT ExDa'!$B$2:$J$173, 7,FALSE), IFERROR(VLOOKUP(A37,'Telstra ExDa'!$B$2:$K$310, 2,FALSE), IFERROR(VLOOKUP(A37,'Vocus RVC ExDa'!$C$2:$R$155, 3,FALSE), IFERROR(VLOOKUP(A37,'Fusion ExDa'!$B$2:$D$16, 2,FALSE), IFERROR(VLOOKUP(A37,'Exetel ExDa'!$C$2:$N$14, 2,FALSE), IFERROR(VLOOKUP(A37,'Infinet ExDa'!$B$2:$E$14, 2,FALSE), "Not Found"))))))))</f>
        <v>Toowong</v>
      </c>
      <c r="D37" t="str">
        <f>IFERROR(VLOOKUP($A37,'AAPT ExDa'!$B$2:$U$99, 15,FALSE), IFERROR(VLOOKUP($A37,'ABB ExDa'!$A$2:$N$184, 4,FALSE), IFERROR(VLOOKUP($A37,'Vocus SIT ExDa'!$B$2:$J$173, 5,FALSE), IFERROR(VLOOKUP($A37,'Telstra ExDa'!$B$2:$K$310, 8,FALSE), IFERROR(VLOOKUP($A37,'Vocus RVC ExDa'!$C$2:$R$155, 6,FALSE), IFERROR(VLOOKUP($A37,'Fusion ExDa'!$B$2:$D$16, 4,FALSE), IFERROR(VLOOKUP($A37,'Exetel ExDa'!$C$2:$N$14, 3,FALSE), IFERROR(VLOOKUP($A37,'Infinet ExDa'!$B$2:$E$14, 3,FALSE), "Not Found"))))))))</f>
        <v>AAPT</v>
      </c>
      <c r="E37" t="str">
        <f>IFERROR(VLOOKUP($A37,'AAPT ExDa'!$B$2:$U$99, 3,FALSE), IFERROR(VLOOKUP($A37,'ABB ExDa'!$A$2:$N$184, 5,FALSE), IFERROR(VLOOKUP($A37,'Vocus SIT ExDa'!$B$2:$J$173, 2,FALSE), IFERROR(VLOOKUP($A37,'Telstra ExDa'!$B$2:$K$310, 4,FALSE), IFERROR(VLOOKUP($A37,'Vocus RVC ExDa'!$C$2:$R$155, 8,FALSE), IFERROR(VLOOKUP($A37,'Fusion ExDa'!$B$2:$D$16, 4,FALSE), IFERROR(VLOOKUP($A37,'Exetel ExDa'!$C$2:$N$14, 5,FALSE), IFERROR(VLOOKUP($A37,'Infinet ExDa'!$B$2:$E$14, 3,FALSE), "Not Found"))))))))</f>
        <v>FAST Fibre</v>
      </c>
      <c r="F37" t="str">
        <f>IFERROR(VLOOKUP($A37,'AAPT ExDa'!$B$2:$U$99, 4,FALSE), IFERROR(VLOOKUP($A37,'ABB ExDa'!$A$2:$N$184, 6,FALSE), IFERROR(VLOOKUP($A37,'Vocus SIT ExDa'!$B$2:$J$173, 3,FALSE), IFERROR(VLOOKUP($A37,'Telstra ExDa'!$B$2:$K$310, 5,FALSE), IFERROR(VLOOKUP($A37,'Vocus RVC ExDa'!$C$2:$R$155, 9,FALSE), IFERROR(VLOOKUP($A37,'Fusion ExDa'!$B$2:$D$16, 0,FALSE), IFERROR(VLOOKUP($A37,'Exetel ExDa'!$C$2:$N$14, 6,FALSE), IFERROR(VLOOKUP($A37,'Infinet ExDa'!$B$2:$E$14, 0,FALSE), "Not Found"))))))))</f>
        <v>FAST Fibre (NTU)</v>
      </c>
      <c r="G37">
        <f>IFERROR(VLOOKUP($A37,'AAPT ExDa'!$B$2:$U$99, 5,FALSE), IFERROR(VLOOKUP($A37,'ABB ExDa'!$A$2:$N$184, 8,FALSE), IFERROR(VLOOKUP($A37,'Vocus SIT ExDa'!$B$2:$J$173, 6,FALSE), IFERROR(VLOOKUP($A37,'Telstra ExDa'!$B$2:$K$310, 0,FALSE), IFERROR(VLOOKUP($A37,'Vocus RVC ExDa'!$C$2:$R$155, 15,FALSE), IFERROR(VLOOKUP($A37,'Fusion ExDa'!$B$2:$D$16, 0,FALSE), IFERROR(VLOOKUP($A37,'Exetel ExDa'!$C$2:$N$14, 7,FALSE), IFERROR(VLOOKUP($A37,'Infinet ExDa'!$B$2:$E$14, 0,FALSE), "Not Found"))))))))</f>
        <v>0</v>
      </c>
      <c r="H37" t="str">
        <f>IFERROR(VLOOKUP($A37,'AAPT ExDa'!$B$2:$U$99, 6,FALSE), IFERROR(VLOOKUP($A37,'ABB ExDa'!$A$2:$N$184, 0,FALSE), IFERROR(VLOOKUP($A37,'Vocus SIT ExDa'!$B$2:$J$173, 0,FALSE), IFERROR(VLOOKUP($A37,'Telstra ExDa'!$B$2:$K$310, 0,FALSE), IFERROR(VLOOKUP($A37,'Vocus RVC ExDa'!$C$2:$R$155, 16,FALSE), IFERROR(VLOOKUP($A37,'Fusion ExDa'!$B$2:$D$16, 0,FALSE), IFERROR(VLOOKUP($A37,'Exetel ExDa'!$C$2:$N$14, 0,FALSE), IFERROR(VLOOKUP($A37,'Infinet ExDa'!$B$2:$E$14, 0,FALSE), "Not Found"))))))))</f>
        <v>1000 Mbps; 36 Months</v>
      </c>
      <c r="I37" t="str">
        <f>IFERROR(VLOOKUP($A37,'AAPT ExDa'!$B$2:$U$99, 0,FALSE), IFERROR(VLOOKUP($A37,'ABB ExDa'!$A$2:$N$184, 0,FALSE), IFERROR(VLOOKUP($A37,'Vocus SIT ExDa'!$B$2:$J$173, 0,FALSE), IFERROR(VLOOKUP($A37,'Telstra ExDa'!$B$2:$K$310, 0,FALSE), IFERROR(VLOOKUP($A37,'Vocus RVC ExDa'!$C$2:$R$155, 0,FALSE), IFERROR(VLOOKUP($A37,'Fusion ExDa'!$B$2:$D$16, 0,FALSE), IFERROR(VLOOKUP($A37,'Exetel ExDa'!$C$2:$N$14, 8,FALSE), IFERROR(VLOOKUP($A37,'Infinet ExDa'!$B$2:$E$14, 0,FALSE), "Not Found"))))))))</f>
        <v>Not Found</v>
      </c>
      <c r="J37">
        <f>IFERROR(VLOOKUP($A37,'AAPT ExDa'!$B$2:$U$99, 7,FALSE), IFERROR(VLOOKUP($A37,'ABB ExDa'!$A$2:$N$184, 2,FALSE), IFERROR(VLOOKUP($A37,'Vocus SIT ExDa'!$B$2:$J$173, 0,FALSE), IFERROR(VLOOKUP($A37,'Telstra ExDa'!$B$2:$K$310, 7,FALSE), IFERROR(VLOOKUP($A37,'Vocus RVC ExDa'!$C$2:$R$155, 2,FALSE), IFERROR(VLOOKUP($A37,'Fusion ExDa'!$B$2:$D$16, 3,FALSE), IFERROR(VLOOKUP($A37,'Exetel ExDa'!$C$2:$N$14, 0,FALSE), IFERROR(VLOOKUP($A37,'Infinet ExDa'!$B$2:$E$14, 0,FALSE), "Not Found"))))))))</f>
        <v>0</v>
      </c>
      <c r="K37" t="str">
        <f>IFERROR(VLOOKUP($A37,'AAPT ExDa'!$B$2:$U$99, 12,FALSE), IFERROR(VLOOKUP($A37,'ABB ExDa'!$A$2:$N$184, 0,FALSE), IFERROR(VLOOKUP($A37,'Vocus SIT ExDa'!$B$2:$J$173, 0,FALSE), IFERROR(VLOOKUP($A37,'Telstra ExDa'!$B$2:$K$310, 0,FALSE), IFERROR(VLOOKUP($A37,'Vocus RVC ExDa'!$C$2:$R$155, 0,FALSE), IFERROR(VLOOKUP($A37,'Fusion ExDa'!$B$2:$D$16, 0,FALSE), IFERROR(VLOOKUP($A37,'Exetel ExDa'!$C$2:$N$14, 12,FALSE), IFERROR(VLOOKUP($A37,'Infinet ExDa'!$B$2:$E$14, 0,FALSE), "Not Found"))))))))</f>
        <v>36 Months</v>
      </c>
      <c r="L37" s="235">
        <f>IFERROR(VLOOKUP($A37,'AAPT ExDa'!$B$2:$U$99, 11,FALSE), IFERROR(VLOOKUP($A37,'ABB ExDa'!$A$2:$N$184, 9,FALSE), IFERROR(VLOOKUP($A37,'Vocus SIT ExDa'!$B$2:$J$173, 8,FALSE), IFERROR(VLOOKUP($A37,'Telstra ExDa'!$B$2:$K$310, 0,FALSE), IFERROR(VLOOKUP($A37,'Vocus RVC ExDa'!$C$2:$R$155, 0,FALSE), IFERROR(VLOOKUP($A37,'Fusion ExDa'!$B$2:$D$16, 0,FALSE), IFERROR(VLOOKUP($A37,'Exetel ExDa'!$C$2:$N$14, 9,FALSE), IFERROR(VLOOKUP($A37,'Infinet ExDa'!$B$2:$E$14, 0,FALSE), "Not Found"))))))))</f>
        <v>45021</v>
      </c>
      <c r="M37" s="234" t="str">
        <f>IFERROR(VLOOKUP($A37,'AAPT ExDa'!$B$2:$U$99, 0,FALSE), IFERROR(VLOOKUP($A37,'ABB ExDa'!$A$2:$N$184, 0,FALSE), IFERROR(VLOOKUP($A37,'Vocus SIT ExDa'!$B$2:$J$173, 0,FALSE), IFERROR(VLOOKUP($A37,'Telstra ExDa'!$B$2:$K$310, 0,FALSE), IFERROR(VLOOKUP($A37,'Vocus RVC ExDa'!$C$2:$R$155, 0,FALSE), IFERROR(VLOOKUP($A37,'Fusion ExDa'!$B$2:$D$16, 0,FALSE), IFERROR(VLOOKUP($A37,'Exetel ExDa'!$C$2:$N$14, 11,FALSE), IFERROR(VLOOKUP($A37,'Infinet ExDa'!$B$2:$E$14, 0,FALSE), "Not Found"))))))))</f>
        <v>Not Found</v>
      </c>
      <c r="N37" t="str">
        <f>IFERROR(VLOOKUP($A37,'AAPT ExDa'!$B$2:$U$99, 0,FALSE), IFERROR(VLOOKUP($A37,'ABB ExDa'!$A$2:$N$184, 13,FALSE), IFERROR(VLOOKUP($A37,'Vocus SIT ExDa'!$B$2:$J$173, 0,FALSE), IFERROR(VLOOKUP($A37,'Telstra ExDa'!$B$2:$K$310, 0,FALSE), IFERROR(VLOOKUP($A37,'Vocus RVC ExDa'!$C$2:$R$155, 0,FALSE), IFERROR(VLOOKUP($A37,'Fusion ExDa'!$B$2:$D$16, 0,FALSE), IFERROR(VLOOKUP($A37,'Exetel ExDa'!$C$2:$N$14, 0,FALSE), IFERROR(VLOOKUP($A37,'Infinet ExDa'!$B$2:$E$14, 0,FALSE), "Not Found"))))))))</f>
        <v>Not Found</v>
      </c>
    </row>
    <row r="38" spans="1:14">
      <c r="A38" t="str">
        <v>Lead Education</v>
      </c>
      <c r="B38" t="str">
        <f>IFERROR(VLOOKUP(A38,'Exetel ExDa'!$C$2:$N$14,4,FALSE),"No Data")</f>
        <v>No Data</v>
      </c>
      <c r="C38" t="str">
        <f>IFERROR(VLOOKUP(A38,'AAPT ExDa'!$B$2:$U$99, 2,FALSE), IFERROR(VLOOKUP(A38,'ABB ExDa'!$A$2:$N$184, 2,FALSE), IFERROR(VLOOKUP(A38,'Vocus SIT ExDa'!$B$2:$J$173, 7,FALSE), IFERROR(VLOOKUP(A38,'Telstra ExDa'!$B$2:$K$310, 2,FALSE), IFERROR(VLOOKUP(A38,'Vocus RVC ExDa'!$C$2:$R$155, 3,FALSE), IFERROR(VLOOKUP(A38,'Fusion ExDa'!$B$2:$D$16, 2,FALSE), IFERROR(VLOOKUP(A38,'Exetel ExDa'!$C$2:$N$14, 2,FALSE), IFERROR(VLOOKUP(A38,'Infinet ExDa'!$B$2:$E$14, 2,FALSE), "Not Found"))))))))</f>
        <v>Fortitude Valley</v>
      </c>
      <c r="D38" t="str">
        <f>IFERROR(VLOOKUP($A38,'AAPT ExDa'!$B$2:$U$99, 15,FALSE), IFERROR(VLOOKUP($A38,'ABB ExDa'!$A$2:$N$184, 4,FALSE), IFERROR(VLOOKUP($A38,'Vocus SIT ExDa'!$B$2:$J$173, 5,FALSE), IFERROR(VLOOKUP($A38,'Telstra ExDa'!$B$2:$K$310, 8,FALSE), IFERROR(VLOOKUP($A38,'Vocus RVC ExDa'!$C$2:$R$155, 6,FALSE), IFERROR(VLOOKUP($A38,'Fusion ExDa'!$B$2:$D$16, 4,FALSE), IFERROR(VLOOKUP($A38,'Exetel ExDa'!$C$2:$N$14, 3,FALSE), IFERROR(VLOOKUP($A38,'Infinet ExDa'!$B$2:$E$14, 3,FALSE), "Not Found"))))))))</f>
        <v>AAPT</v>
      </c>
      <c r="E38" t="str">
        <f>IFERROR(VLOOKUP($A38,'AAPT ExDa'!$B$2:$U$99, 3,FALSE), IFERROR(VLOOKUP($A38,'ABB ExDa'!$A$2:$N$184, 5,FALSE), IFERROR(VLOOKUP($A38,'Vocus SIT ExDa'!$B$2:$J$173, 2,FALSE), IFERROR(VLOOKUP($A38,'Telstra ExDa'!$B$2:$K$310, 4,FALSE), IFERROR(VLOOKUP($A38,'Vocus RVC ExDa'!$C$2:$R$155, 8,FALSE), IFERROR(VLOOKUP($A38,'Fusion ExDa'!$B$2:$D$16, 4,FALSE), IFERROR(VLOOKUP($A38,'Exetel ExDa'!$C$2:$N$14, 5,FALSE), IFERROR(VLOOKUP($A38,'Infinet ExDa'!$B$2:$E$14, 3,FALSE), "Not Found"))))))))</f>
        <v>Ethernet Access</v>
      </c>
      <c r="F38" t="str">
        <f>IFERROR(VLOOKUP($A38,'AAPT ExDa'!$B$2:$U$99, 4,FALSE), IFERROR(VLOOKUP($A38,'ABB ExDa'!$A$2:$N$184, 6,FALSE), IFERROR(VLOOKUP($A38,'Vocus SIT ExDa'!$B$2:$J$173, 3,FALSE), IFERROR(VLOOKUP($A38,'Telstra ExDa'!$B$2:$K$310, 5,FALSE), IFERROR(VLOOKUP($A38,'Vocus RVC ExDa'!$C$2:$R$155, 9,FALSE), IFERROR(VLOOKUP($A38,'Fusion ExDa'!$B$2:$D$16, 0,FALSE), IFERROR(VLOOKUP($A38,'Exetel ExDa'!$C$2:$N$14, 6,FALSE), IFERROR(VLOOKUP($A38,'Infinet ExDa'!$B$2:$E$14, 0,FALSE), "Not Found"))))))))</f>
        <v>Ethernet Multi-Service Access</v>
      </c>
      <c r="G38">
        <f>IFERROR(VLOOKUP($A38,'AAPT ExDa'!$B$2:$U$99, 5,FALSE), IFERROR(VLOOKUP($A38,'ABB ExDa'!$A$2:$N$184, 8,FALSE), IFERROR(VLOOKUP($A38,'Vocus SIT ExDa'!$B$2:$J$173, 6,FALSE), IFERROR(VLOOKUP($A38,'Telstra ExDa'!$B$2:$K$310, 0,FALSE), IFERROR(VLOOKUP($A38,'Vocus RVC ExDa'!$C$2:$R$155, 15,FALSE), IFERROR(VLOOKUP($A38,'Fusion ExDa'!$B$2:$D$16, 0,FALSE), IFERROR(VLOOKUP($A38,'Exetel ExDa'!$C$2:$N$14, 7,FALSE), IFERROR(VLOOKUP($A38,'Infinet ExDa'!$B$2:$E$14, 0,FALSE), "Not Found"))))))))</f>
        <v>0</v>
      </c>
      <c r="H38" t="str">
        <f>IFERROR(VLOOKUP($A38,'AAPT ExDa'!$B$2:$U$99, 6,FALSE), IFERROR(VLOOKUP($A38,'ABB ExDa'!$A$2:$N$184, 0,FALSE), IFERROR(VLOOKUP($A38,'Vocus SIT ExDa'!$B$2:$J$173, 0,FALSE), IFERROR(VLOOKUP($A38,'Telstra ExDa'!$B$2:$K$310, 0,FALSE), IFERROR(VLOOKUP($A38,'Vocus RVC ExDa'!$C$2:$R$155, 16,FALSE), IFERROR(VLOOKUP($A38,'Fusion ExDa'!$B$2:$D$16, 0,FALSE), IFERROR(VLOOKUP($A38,'Exetel ExDa'!$C$2:$N$14, 0,FALSE), IFERROR(VLOOKUP($A38,'Infinet ExDa'!$B$2:$E$14, 0,FALSE), "Not Found"))))))))</f>
        <v>Fibre400 - 400 Mbps</v>
      </c>
      <c r="I38" t="str">
        <f>IFERROR(VLOOKUP($A38,'AAPT ExDa'!$B$2:$U$99, 0,FALSE), IFERROR(VLOOKUP($A38,'ABB ExDa'!$A$2:$N$184, 0,FALSE), IFERROR(VLOOKUP($A38,'Vocus SIT ExDa'!$B$2:$J$173, 0,FALSE), IFERROR(VLOOKUP($A38,'Telstra ExDa'!$B$2:$K$310, 0,FALSE), IFERROR(VLOOKUP($A38,'Vocus RVC ExDa'!$C$2:$R$155, 0,FALSE), IFERROR(VLOOKUP($A38,'Fusion ExDa'!$B$2:$D$16, 0,FALSE), IFERROR(VLOOKUP($A38,'Exetel ExDa'!$C$2:$N$14, 8,FALSE), IFERROR(VLOOKUP($A38,'Infinet ExDa'!$B$2:$E$14, 0,FALSE), "Not Found"))))))))</f>
        <v>Not Found</v>
      </c>
      <c r="J38">
        <f>IFERROR(VLOOKUP($A38,'AAPT ExDa'!$B$2:$U$99, 7,FALSE), IFERROR(VLOOKUP($A38,'ABB ExDa'!$A$2:$N$184, 2,FALSE), IFERROR(VLOOKUP($A38,'Vocus SIT ExDa'!$B$2:$J$173, 0,FALSE), IFERROR(VLOOKUP($A38,'Telstra ExDa'!$B$2:$K$310, 7,FALSE), IFERROR(VLOOKUP($A38,'Vocus RVC ExDa'!$C$2:$R$155, 2,FALSE), IFERROR(VLOOKUP($A38,'Fusion ExDa'!$B$2:$D$16, 3,FALSE), IFERROR(VLOOKUP($A38,'Exetel ExDa'!$C$2:$N$14, 0,FALSE), IFERROR(VLOOKUP($A38,'Infinet ExDa'!$B$2:$E$14, 0,FALSE), "Not Found"))))))))</f>
        <v>0</v>
      </c>
      <c r="K38" t="str">
        <f>IFERROR(VLOOKUP($A38,'AAPT ExDa'!$B$2:$U$99, 12,FALSE), IFERROR(VLOOKUP($A38,'ABB ExDa'!$A$2:$N$184, 0,FALSE), IFERROR(VLOOKUP($A38,'Vocus SIT ExDa'!$B$2:$J$173, 0,FALSE), IFERROR(VLOOKUP($A38,'Telstra ExDa'!$B$2:$K$310, 0,FALSE), IFERROR(VLOOKUP($A38,'Vocus RVC ExDa'!$C$2:$R$155, 0,FALSE), IFERROR(VLOOKUP($A38,'Fusion ExDa'!$B$2:$D$16, 0,FALSE), IFERROR(VLOOKUP($A38,'Exetel ExDa'!$C$2:$N$14, 12,FALSE), IFERROR(VLOOKUP($A38,'Infinet ExDa'!$B$2:$E$14, 0,FALSE), "Not Found"))))))))</f>
        <v>36 Months</v>
      </c>
      <c r="L38" s="235">
        <f>IFERROR(VLOOKUP($A38,'AAPT ExDa'!$B$2:$U$99, 11,FALSE), IFERROR(VLOOKUP($A38,'ABB ExDa'!$A$2:$N$184, 9,FALSE), IFERROR(VLOOKUP($A38,'Vocus SIT ExDa'!$B$2:$J$173, 8,FALSE), IFERROR(VLOOKUP($A38,'Telstra ExDa'!$B$2:$K$310, 0,FALSE), IFERROR(VLOOKUP($A38,'Vocus RVC ExDa'!$C$2:$R$155, 0,FALSE), IFERROR(VLOOKUP($A38,'Fusion ExDa'!$B$2:$D$16, 0,FALSE), IFERROR(VLOOKUP($A38,'Exetel ExDa'!$C$2:$N$14, 9,FALSE), IFERROR(VLOOKUP($A38,'Infinet ExDa'!$B$2:$E$14, 0,FALSE), "Not Found"))))))))</f>
        <v>43990</v>
      </c>
      <c r="M38" s="234" t="str">
        <f>IFERROR(VLOOKUP($A38,'AAPT ExDa'!$B$2:$U$99, 0,FALSE), IFERROR(VLOOKUP($A38,'ABB ExDa'!$A$2:$N$184, 0,FALSE), IFERROR(VLOOKUP($A38,'Vocus SIT ExDa'!$B$2:$J$173, 0,FALSE), IFERROR(VLOOKUP($A38,'Telstra ExDa'!$B$2:$K$310, 0,FALSE), IFERROR(VLOOKUP($A38,'Vocus RVC ExDa'!$C$2:$R$155, 0,FALSE), IFERROR(VLOOKUP($A38,'Fusion ExDa'!$B$2:$D$16, 0,FALSE), IFERROR(VLOOKUP($A38,'Exetel ExDa'!$C$2:$N$14, 11,FALSE), IFERROR(VLOOKUP($A38,'Infinet ExDa'!$B$2:$E$14, 0,FALSE), "Not Found"))))))))</f>
        <v>Not Found</v>
      </c>
      <c r="N38" t="str">
        <f>IFERROR(VLOOKUP($A38,'AAPT ExDa'!$B$2:$U$99, 0,FALSE), IFERROR(VLOOKUP($A38,'ABB ExDa'!$A$2:$N$184, 13,FALSE), IFERROR(VLOOKUP($A38,'Vocus SIT ExDa'!$B$2:$J$173, 0,FALSE), IFERROR(VLOOKUP($A38,'Telstra ExDa'!$B$2:$K$310, 0,FALSE), IFERROR(VLOOKUP($A38,'Vocus RVC ExDa'!$C$2:$R$155, 0,FALSE), IFERROR(VLOOKUP($A38,'Fusion ExDa'!$B$2:$D$16, 0,FALSE), IFERROR(VLOOKUP($A38,'Exetel ExDa'!$C$2:$N$14, 0,FALSE), IFERROR(VLOOKUP($A38,'Infinet ExDa'!$B$2:$E$14, 0,FALSE), "Not Found"))))))))</f>
        <v>Not Found</v>
      </c>
    </row>
    <row r="39" spans="1:14">
      <c r="A39" t="str">
        <v>Lead Education</v>
      </c>
      <c r="B39" t="str">
        <f>IFERROR(VLOOKUP(A39,'Exetel ExDa'!$C$2:$N$14,4,FALSE),"No Data")</f>
        <v>No Data</v>
      </c>
      <c r="C39" t="str">
        <f>IFERROR(VLOOKUP(A39,'AAPT ExDa'!$B$2:$U$99, 2,FALSE), IFERROR(VLOOKUP(A39,'ABB ExDa'!$A$2:$N$184, 2,FALSE), IFERROR(VLOOKUP(A39,'Vocus SIT ExDa'!$B$2:$J$173, 7,FALSE), IFERROR(VLOOKUP(A39,'Telstra ExDa'!$B$2:$K$310, 2,FALSE), IFERROR(VLOOKUP(A39,'Vocus RVC ExDa'!$C$2:$R$155, 3,FALSE), IFERROR(VLOOKUP(A39,'Fusion ExDa'!$B$2:$D$16, 2,FALSE), IFERROR(VLOOKUP(A39,'Exetel ExDa'!$C$2:$N$14, 2,FALSE), IFERROR(VLOOKUP(A39,'Infinet ExDa'!$B$2:$E$14, 2,FALSE), "Not Found"))))))))</f>
        <v>Fortitude Valley</v>
      </c>
      <c r="D39" t="str">
        <f>IFERROR(VLOOKUP($A39,'AAPT ExDa'!$B$2:$U$99, 15,FALSE), IFERROR(VLOOKUP($A39,'ABB ExDa'!$A$2:$N$184, 4,FALSE), IFERROR(VLOOKUP($A39,'Vocus SIT ExDa'!$B$2:$J$173, 5,FALSE), IFERROR(VLOOKUP($A39,'Telstra ExDa'!$B$2:$K$310, 8,FALSE), IFERROR(VLOOKUP($A39,'Vocus RVC ExDa'!$C$2:$R$155, 6,FALSE), IFERROR(VLOOKUP($A39,'Fusion ExDa'!$B$2:$D$16, 4,FALSE), IFERROR(VLOOKUP($A39,'Exetel ExDa'!$C$2:$N$14, 3,FALSE), IFERROR(VLOOKUP($A39,'Infinet ExDa'!$B$2:$E$14, 3,FALSE), "Not Found"))))))))</f>
        <v>AAPT</v>
      </c>
      <c r="E39" t="str">
        <f>IFERROR(VLOOKUP($A39,'AAPT ExDa'!$B$2:$U$99, 3,FALSE), IFERROR(VLOOKUP($A39,'ABB ExDa'!$A$2:$N$184, 5,FALSE), IFERROR(VLOOKUP($A39,'Vocus SIT ExDa'!$B$2:$J$173, 2,FALSE), IFERROR(VLOOKUP($A39,'Telstra ExDa'!$B$2:$K$310, 4,FALSE), IFERROR(VLOOKUP($A39,'Vocus RVC ExDa'!$C$2:$R$155, 8,FALSE), IFERROR(VLOOKUP($A39,'Fusion ExDa'!$B$2:$D$16, 4,FALSE), IFERROR(VLOOKUP($A39,'Exetel ExDa'!$C$2:$N$14, 5,FALSE), IFERROR(VLOOKUP($A39,'Infinet ExDa'!$B$2:$E$14, 3,FALSE), "Not Found"))))))))</f>
        <v>Ethernet Access</v>
      </c>
      <c r="F39" t="str">
        <f>IFERROR(VLOOKUP($A39,'AAPT ExDa'!$B$2:$U$99, 4,FALSE), IFERROR(VLOOKUP($A39,'ABB ExDa'!$A$2:$N$184, 6,FALSE), IFERROR(VLOOKUP($A39,'Vocus SIT ExDa'!$B$2:$J$173, 3,FALSE), IFERROR(VLOOKUP($A39,'Telstra ExDa'!$B$2:$K$310, 5,FALSE), IFERROR(VLOOKUP($A39,'Vocus RVC ExDa'!$C$2:$R$155, 9,FALSE), IFERROR(VLOOKUP($A39,'Fusion ExDa'!$B$2:$D$16, 0,FALSE), IFERROR(VLOOKUP($A39,'Exetel ExDa'!$C$2:$N$14, 6,FALSE), IFERROR(VLOOKUP($A39,'Infinet ExDa'!$B$2:$E$14, 0,FALSE), "Not Found"))))))))</f>
        <v>Ethernet Multi-Service Access</v>
      </c>
      <c r="G39">
        <f>IFERROR(VLOOKUP($A39,'AAPT ExDa'!$B$2:$U$99, 5,FALSE), IFERROR(VLOOKUP($A39,'ABB ExDa'!$A$2:$N$184, 8,FALSE), IFERROR(VLOOKUP($A39,'Vocus SIT ExDa'!$B$2:$J$173, 6,FALSE), IFERROR(VLOOKUP($A39,'Telstra ExDa'!$B$2:$K$310, 0,FALSE), IFERROR(VLOOKUP($A39,'Vocus RVC ExDa'!$C$2:$R$155, 15,FALSE), IFERROR(VLOOKUP($A39,'Fusion ExDa'!$B$2:$D$16, 0,FALSE), IFERROR(VLOOKUP($A39,'Exetel ExDa'!$C$2:$N$14, 7,FALSE), IFERROR(VLOOKUP($A39,'Infinet ExDa'!$B$2:$E$14, 0,FALSE), "Not Found"))))))))</f>
        <v>0</v>
      </c>
      <c r="H39" t="str">
        <f>IFERROR(VLOOKUP($A39,'AAPT ExDa'!$B$2:$U$99, 6,FALSE), IFERROR(VLOOKUP($A39,'ABB ExDa'!$A$2:$N$184, 0,FALSE), IFERROR(VLOOKUP($A39,'Vocus SIT ExDa'!$B$2:$J$173, 0,FALSE), IFERROR(VLOOKUP($A39,'Telstra ExDa'!$B$2:$K$310, 0,FALSE), IFERROR(VLOOKUP($A39,'Vocus RVC ExDa'!$C$2:$R$155, 16,FALSE), IFERROR(VLOOKUP($A39,'Fusion ExDa'!$B$2:$D$16, 0,FALSE), IFERROR(VLOOKUP($A39,'Exetel ExDa'!$C$2:$N$14, 0,FALSE), IFERROR(VLOOKUP($A39,'Infinet ExDa'!$B$2:$E$14, 0,FALSE), "Not Found"))))))))</f>
        <v>Fibre400 - 400 Mbps</v>
      </c>
      <c r="I39" t="str">
        <f>IFERROR(VLOOKUP($A39,'AAPT ExDa'!$B$2:$U$99, 0,FALSE), IFERROR(VLOOKUP($A39,'ABB ExDa'!$A$2:$N$184, 0,FALSE), IFERROR(VLOOKUP($A39,'Vocus SIT ExDa'!$B$2:$J$173, 0,FALSE), IFERROR(VLOOKUP($A39,'Telstra ExDa'!$B$2:$K$310, 0,FALSE), IFERROR(VLOOKUP($A39,'Vocus RVC ExDa'!$C$2:$R$155, 0,FALSE), IFERROR(VLOOKUP($A39,'Fusion ExDa'!$B$2:$D$16, 0,FALSE), IFERROR(VLOOKUP($A39,'Exetel ExDa'!$C$2:$N$14, 8,FALSE), IFERROR(VLOOKUP($A39,'Infinet ExDa'!$B$2:$E$14, 0,FALSE), "Not Found"))))))))</f>
        <v>Not Found</v>
      </c>
      <c r="J39">
        <f>IFERROR(VLOOKUP($A39,'AAPT ExDa'!$B$2:$U$99, 7,FALSE), IFERROR(VLOOKUP($A39,'ABB ExDa'!$A$2:$N$184, 2,FALSE), IFERROR(VLOOKUP($A39,'Vocus SIT ExDa'!$B$2:$J$173, 0,FALSE), IFERROR(VLOOKUP($A39,'Telstra ExDa'!$B$2:$K$310, 7,FALSE), IFERROR(VLOOKUP($A39,'Vocus RVC ExDa'!$C$2:$R$155, 2,FALSE), IFERROR(VLOOKUP($A39,'Fusion ExDa'!$B$2:$D$16, 3,FALSE), IFERROR(VLOOKUP($A39,'Exetel ExDa'!$C$2:$N$14, 0,FALSE), IFERROR(VLOOKUP($A39,'Infinet ExDa'!$B$2:$E$14, 0,FALSE), "Not Found"))))))))</f>
        <v>0</v>
      </c>
      <c r="K39" t="str">
        <f>IFERROR(VLOOKUP($A39,'AAPT ExDa'!$B$2:$U$99, 12,FALSE), IFERROR(VLOOKUP($A39,'ABB ExDa'!$A$2:$N$184, 0,FALSE), IFERROR(VLOOKUP($A39,'Vocus SIT ExDa'!$B$2:$J$173, 0,FALSE), IFERROR(VLOOKUP($A39,'Telstra ExDa'!$B$2:$K$310, 0,FALSE), IFERROR(VLOOKUP($A39,'Vocus RVC ExDa'!$C$2:$R$155, 0,FALSE), IFERROR(VLOOKUP($A39,'Fusion ExDa'!$B$2:$D$16, 0,FALSE), IFERROR(VLOOKUP($A39,'Exetel ExDa'!$C$2:$N$14, 12,FALSE), IFERROR(VLOOKUP($A39,'Infinet ExDa'!$B$2:$E$14, 0,FALSE), "Not Found"))))))))</f>
        <v>36 Months</v>
      </c>
      <c r="L39" s="235">
        <f>IFERROR(VLOOKUP($A39,'AAPT ExDa'!$B$2:$U$99, 11,FALSE), IFERROR(VLOOKUP($A39,'ABB ExDa'!$A$2:$N$184, 9,FALSE), IFERROR(VLOOKUP($A39,'Vocus SIT ExDa'!$B$2:$J$173, 8,FALSE), IFERROR(VLOOKUP($A39,'Telstra ExDa'!$B$2:$K$310, 0,FALSE), IFERROR(VLOOKUP($A39,'Vocus RVC ExDa'!$C$2:$R$155, 0,FALSE), IFERROR(VLOOKUP($A39,'Fusion ExDa'!$B$2:$D$16, 0,FALSE), IFERROR(VLOOKUP($A39,'Exetel ExDa'!$C$2:$N$14, 9,FALSE), IFERROR(VLOOKUP($A39,'Infinet ExDa'!$B$2:$E$14, 0,FALSE), "Not Found"))))))))</f>
        <v>43990</v>
      </c>
      <c r="M39" s="234" t="str">
        <f>IFERROR(VLOOKUP($A39,'AAPT ExDa'!$B$2:$U$99, 0,FALSE), IFERROR(VLOOKUP($A39,'ABB ExDa'!$A$2:$N$184, 0,FALSE), IFERROR(VLOOKUP($A39,'Vocus SIT ExDa'!$B$2:$J$173, 0,FALSE), IFERROR(VLOOKUP($A39,'Telstra ExDa'!$B$2:$K$310, 0,FALSE), IFERROR(VLOOKUP($A39,'Vocus RVC ExDa'!$C$2:$R$155, 0,FALSE), IFERROR(VLOOKUP($A39,'Fusion ExDa'!$B$2:$D$16, 0,FALSE), IFERROR(VLOOKUP($A39,'Exetel ExDa'!$C$2:$N$14, 11,FALSE), IFERROR(VLOOKUP($A39,'Infinet ExDa'!$B$2:$E$14, 0,FALSE), "Not Found"))))))))</f>
        <v>Not Found</v>
      </c>
      <c r="N39" t="str">
        <f>IFERROR(VLOOKUP($A39,'AAPT ExDa'!$B$2:$U$99, 0,FALSE), IFERROR(VLOOKUP($A39,'ABB ExDa'!$A$2:$N$184, 13,FALSE), IFERROR(VLOOKUP($A39,'Vocus SIT ExDa'!$B$2:$J$173, 0,FALSE), IFERROR(VLOOKUP($A39,'Telstra ExDa'!$B$2:$K$310, 0,FALSE), IFERROR(VLOOKUP($A39,'Vocus RVC ExDa'!$C$2:$R$155, 0,FALSE), IFERROR(VLOOKUP($A39,'Fusion ExDa'!$B$2:$D$16, 0,FALSE), IFERROR(VLOOKUP($A39,'Exetel ExDa'!$C$2:$N$14, 0,FALSE), IFERROR(VLOOKUP($A39,'Infinet ExDa'!$B$2:$E$14, 0,FALSE), "Not Found"))))))))</f>
        <v>Not Found</v>
      </c>
    </row>
    <row r="40" spans="1:14">
      <c r="A40" t="str">
        <v>Lead Education</v>
      </c>
      <c r="B40" t="str">
        <f>IFERROR(VLOOKUP(A40,'Exetel ExDa'!$C$2:$N$14,4,FALSE),"No Data")</f>
        <v>No Data</v>
      </c>
      <c r="C40" t="str">
        <f>IFERROR(VLOOKUP(A40,'AAPT ExDa'!$B$2:$U$99, 2,FALSE), IFERROR(VLOOKUP(A40,'ABB ExDa'!$A$2:$N$184, 2,FALSE), IFERROR(VLOOKUP(A40,'Vocus SIT ExDa'!$B$2:$J$173, 7,FALSE), IFERROR(VLOOKUP(A40,'Telstra ExDa'!$B$2:$K$310, 2,FALSE), IFERROR(VLOOKUP(A40,'Vocus RVC ExDa'!$C$2:$R$155, 3,FALSE), IFERROR(VLOOKUP(A40,'Fusion ExDa'!$B$2:$D$16, 2,FALSE), IFERROR(VLOOKUP(A40,'Exetel ExDa'!$C$2:$N$14, 2,FALSE), IFERROR(VLOOKUP(A40,'Infinet ExDa'!$B$2:$E$14, 2,FALSE), "Not Found"))))))))</f>
        <v>Fortitude Valley</v>
      </c>
      <c r="D40" t="str">
        <f>IFERROR(VLOOKUP($A40,'AAPT ExDa'!$B$2:$U$99, 15,FALSE), IFERROR(VLOOKUP($A40,'ABB ExDa'!$A$2:$N$184, 4,FALSE), IFERROR(VLOOKUP($A40,'Vocus SIT ExDa'!$B$2:$J$173, 5,FALSE), IFERROR(VLOOKUP($A40,'Telstra ExDa'!$B$2:$K$310, 8,FALSE), IFERROR(VLOOKUP($A40,'Vocus RVC ExDa'!$C$2:$R$155, 6,FALSE), IFERROR(VLOOKUP($A40,'Fusion ExDa'!$B$2:$D$16, 4,FALSE), IFERROR(VLOOKUP($A40,'Exetel ExDa'!$C$2:$N$14, 3,FALSE), IFERROR(VLOOKUP($A40,'Infinet ExDa'!$B$2:$E$14, 3,FALSE), "Not Found"))))))))</f>
        <v>AAPT</v>
      </c>
      <c r="E40" t="str">
        <f>IFERROR(VLOOKUP($A40,'AAPT ExDa'!$B$2:$U$99, 3,FALSE), IFERROR(VLOOKUP($A40,'ABB ExDa'!$A$2:$N$184, 5,FALSE), IFERROR(VLOOKUP($A40,'Vocus SIT ExDa'!$B$2:$J$173, 2,FALSE), IFERROR(VLOOKUP($A40,'Telstra ExDa'!$B$2:$K$310, 4,FALSE), IFERROR(VLOOKUP($A40,'Vocus RVC ExDa'!$C$2:$R$155, 8,FALSE), IFERROR(VLOOKUP($A40,'Fusion ExDa'!$B$2:$D$16, 4,FALSE), IFERROR(VLOOKUP($A40,'Exetel ExDa'!$C$2:$N$14, 5,FALSE), IFERROR(VLOOKUP($A40,'Infinet ExDa'!$B$2:$E$14, 3,FALSE), "Not Found"))))))))</f>
        <v>Ethernet Access</v>
      </c>
      <c r="F40" t="str">
        <f>IFERROR(VLOOKUP($A40,'AAPT ExDa'!$B$2:$U$99, 4,FALSE), IFERROR(VLOOKUP($A40,'ABB ExDa'!$A$2:$N$184, 6,FALSE), IFERROR(VLOOKUP($A40,'Vocus SIT ExDa'!$B$2:$J$173, 3,FALSE), IFERROR(VLOOKUP($A40,'Telstra ExDa'!$B$2:$K$310, 5,FALSE), IFERROR(VLOOKUP($A40,'Vocus RVC ExDa'!$C$2:$R$155, 9,FALSE), IFERROR(VLOOKUP($A40,'Fusion ExDa'!$B$2:$D$16, 0,FALSE), IFERROR(VLOOKUP($A40,'Exetel ExDa'!$C$2:$N$14, 6,FALSE), IFERROR(VLOOKUP($A40,'Infinet ExDa'!$B$2:$E$14, 0,FALSE), "Not Found"))))))))</f>
        <v>Ethernet Multi-Service Access</v>
      </c>
      <c r="G40">
        <f>IFERROR(VLOOKUP($A40,'AAPT ExDa'!$B$2:$U$99, 5,FALSE), IFERROR(VLOOKUP($A40,'ABB ExDa'!$A$2:$N$184, 8,FALSE), IFERROR(VLOOKUP($A40,'Vocus SIT ExDa'!$B$2:$J$173, 6,FALSE), IFERROR(VLOOKUP($A40,'Telstra ExDa'!$B$2:$K$310, 0,FALSE), IFERROR(VLOOKUP($A40,'Vocus RVC ExDa'!$C$2:$R$155, 15,FALSE), IFERROR(VLOOKUP($A40,'Fusion ExDa'!$B$2:$D$16, 0,FALSE), IFERROR(VLOOKUP($A40,'Exetel ExDa'!$C$2:$N$14, 7,FALSE), IFERROR(VLOOKUP($A40,'Infinet ExDa'!$B$2:$E$14, 0,FALSE), "Not Found"))))))))</f>
        <v>0</v>
      </c>
      <c r="H40" t="str">
        <f>IFERROR(VLOOKUP($A40,'AAPT ExDa'!$B$2:$U$99, 6,FALSE), IFERROR(VLOOKUP($A40,'ABB ExDa'!$A$2:$N$184, 0,FALSE), IFERROR(VLOOKUP($A40,'Vocus SIT ExDa'!$B$2:$J$173, 0,FALSE), IFERROR(VLOOKUP($A40,'Telstra ExDa'!$B$2:$K$310, 0,FALSE), IFERROR(VLOOKUP($A40,'Vocus RVC ExDa'!$C$2:$R$155, 16,FALSE), IFERROR(VLOOKUP($A40,'Fusion ExDa'!$B$2:$D$16, 0,FALSE), IFERROR(VLOOKUP($A40,'Exetel ExDa'!$C$2:$N$14, 0,FALSE), IFERROR(VLOOKUP($A40,'Infinet ExDa'!$B$2:$E$14, 0,FALSE), "Not Found"))))))))</f>
        <v>Fibre400 - 400 Mbps</v>
      </c>
      <c r="I40" t="str">
        <f>IFERROR(VLOOKUP($A40,'AAPT ExDa'!$B$2:$U$99, 0,FALSE), IFERROR(VLOOKUP($A40,'ABB ExDa'!$A$2:$N$184, 0,FALSE), IFERROR(VLOOKUP($A40,'Vocus SIT ExDa'!$B$2:$J$173, 0,FALSE), IFERROR(VLOOKUP($A40,'Telstra ExDa'!$B$2:$K$310, 0,FALSE), IFERROR(VLOOKUP($A40,'Vocus RVC ExDa'!$C$2:$R$155, 0,FALSE), IFERROR(VLOOKUP($A40,'Fusion ExDa'!$B$2:$D$16, 0,FALSE), IFERROR(VLOOKUP($A40,'Exetel ExDa'!$C$2:$N$14, 8,FALSE), IFERROR(VLOOKUP($A40,'Infinet ExDa'!$B$2:$E$14, 0,FALSE), "Not Found"))))))))</f>
        <v>Not Found</v>
      </c>
      <c r="J40">
        <f>IFERROR(VLOOKUP($A40,'AAPT ExDa'!$B$2:$U$99, 7,FALSE), IFERROR(VLOOKUP($A40,'ABB ExDa'!$A$2:$N$184, 2,FALSE), IFERROR(VLOOKUP($A40,'Vocus SIT ExDa'!$B$2:$J$173, 0,FALSE), IFERROR(VLOOKUP($A40,'Telstra ExDa'!$B$2:$K$310, 7,FALSE), IFERROR(VLOOKUP($A40,'Vocus RVC ExDa'!$C$2:$R$155, 2,FALSE), IFERROR(VLOOKUP($A40,'Fusion ExDa'!$B$2:$D$16, 3,FALSE), IFERROR(VLOOKUP($A40,'Exetel ExDa'!$C$2:$N$14, 0,FALSE), IFERROR(VLOOKUP($A40,'Infinet ExDa'!$B$2:$E$14, 0,FALSE), "Not Found"))))))))</f>
        <v>0</v>
      </c>
      <c r="K40" t="str">
        <f>IFERROR(VLOOKUP($A40,'AAPT ExDa'!$B$2:$U$99, 12,FALSE), IFERROR(VLOOKUP($A40,'ABB ExDa'!$A$2:$N$184, 0,FALSE), IFERROR(VLOOKUP($A40,'Vocus SIT ExDa'!$B$2:$J$173, 0,FALSE), IFERROR(VLOOKUP($A40,'Telstra ExDa'!$B$2:$K$310, 0,FALSE), IFERROR(VLOOKUP($A40,'Vocus RVC ExDa'!$C$2:$R$155, 0,FALSE), IFERROR(VLOOKUP($A40,'Fusion ExDa'!$B$2:$D$16, 0,FALSE), IFERROR(VLOOKUP($A40,'Exetel ExDa'!$C$2:$N$14, 12,FALSE), IFERROR(VLOOKUP($A40,'Infinet ExDa'!$B$2:$E$14, 0,FALSE), "Not Found"))))))))</f>
        <v>36 Months</v>
      </c>
      <c r="L40" s="235">
        <f>IFERROR(VLOOKUP($A40,'AAPT ExDa'!$B$2:$U$99, 11,FALSE), IFERROR(VLOOKUP($A40,'ABB ExDa'!$A$2:$N$184, 9,FALSE), IFERROR(VLOOKUP($A40,'Vocus SIT ExDa'!$B$2:$J$173, 8,FALSE), IFERROR(VLOOKUP($A40,'Telstra ExDa'!$B$2:$K$310, 0,FALSE), IFERROR(VLOOKUP($A40,'Vocus RVC ExDa'!$C$2:$R$155, 0,FALSE), IFERROR(VLOOKUP($A40,'Fusion ExDa'!$B$2:$D$16, 0,FALSE), IFERROR(VLOOKUP($A40,'Exetel ExDa'!$C$2:$N$14, 9,FALSE), IFERROR(VLOOKUP($A40,'Infinet ExDa'!$B$2:$E$14, 0,FALSE), "Not Found"))))))))</f>
        <v>43990</v>
      </c>
      <c r="M40" s="234" t="str">
        <f>IFERROR(VLOOKUP($A40,'AAPT ExDa'!$B$2:$U$99, 0,FALSE), IFERROR(VLOOKUP($A40,'ABB ExDa'!$A$2:$N$184, 0,FALSE), IFERROR(VLOOKUP($A40,'Vocus SIT ExDa'!$B$2:$J$173, 0,FALSE), IFERROR(VLOOKUP($A40,'Telstra ExDa'!$B$2:$K$310, 0,FALSE), IFERROR(VLOOKUP($A40,'Vocus RVC ExDa'!$C$2:$R$155, 0,FALSE), IFERROR(VLOOKUP($A40,'Fusion ExDa'!$B$2:$D$16, 0,FALSE), IFERROR(VLOOKUP($A40,'Exetel ExDa'!$C$2:$N$14, 11,FALSE), IFERROR(VLOOKUP($A40,'Infinet ExDa'!$B$2:$E$14, 0,FALSE), "Not Found"))))))))</f>
        <v>Not Found</v>
      </c>
      <c r="N40" t="str">
        <f>IFERROR(VLOOKUP($A40,'AAPT ExDa'!$B$2:$U$99, 0,FALSE), IFERROR(VLOOKUP($A40,'ABB ExDa'!$A$2:$N$184, 13,FALSE), IFERROR(VLOOKUP($A40,'Vocus SIT ExDa'!$B$2:$J$173, 0,FALSE), IFERROR(VLOOKUP($A40,'Telstra ExDa'!$B$2:$K$310, 0,FALSE), IFERROR(VLOOKUP($A40,'Vocus RVC ExDa'!$C$2:$R$155, 0,FALSE), IFERROR(VLOOKUP($A40,'Fusion ExDa'!$B$2:$D$16, 0,FALSE), IFERROR(VLOOKUP($A40,'Exetel ExDa'!$C$2:$N$14, 0,FALSE), IFERROR(VLOOKUP($A40,'Infinet ExDa'!$B$2:$E$14, 0,FALSE), "Not Found"))))))))</f>
        <v>Not Found</v>
      </c>
    </row>
    <row r="41" spans="1:14">
      <c r="A41" t="str">
        <v>Lifestyle WC</v>
      </c>
      <c r="B41" t="str">
        <f>IFERROR(VLOOKUP(A41,'Exetel ExDa'!$C$2:$N$14,4,FALSE),"No Data")</f>
        <v>No Data</v>
      </c>
      <c r="C41">
        <f>IFERROR(VLOOKUP(A41,'AAPT ExDa'!$B$2:$U$99, 2,FALSE), IFERROR(VLOOKUP(A41,'ABB ExDa'!$A$2:$N$184, 2,FALSE), IFERROR(VLOOKUP(A41,'Vocus SIT ExDa'!$B$2:$J$173, 7,FALSE), IFERROR(VLOOKUP(A41,'Telstra ExDa'!$B$2:$K$310, 2,FALSE), IFERROR(VLOOKUP(A41,'Vocus RVC ExDa'!$C$2:$R$155, 3,FALSE), IFERROR(VLOOKUP(A41,'Fusion ExDa'!$B$2:$D$16, 2,FALSE), IFERROR(VLOOKUP(A41,'Exetel ExDa'!$C$2:$N$14, 2,FALSE), IFERROR(VLOOKUP(A41,'Infinet ExDa'!$B$2:$E$14, 2,FALSE), "Not Found"))))))))</f>
        <v>0</v>
      </c>
      <c r="D41" t="str">
        <f>IFERROR(VLOOKUP($A41,'AAPT ExDa'!$B$2:$U$99, 15,FALSE), IFERROR(VLOOKUP($A41,'ABB ExDa'!$A$2:$N$184, 4,FALSE), IFERROR(VLOOKUP($A41,'Vocus SIT ExDa'!$B$2:$J$173, 5,FALSE), IFERROR(VLOOKUP($A41,'Telstra ExDa'!$B$2:$K$310, 8,FALSE), IFERROR(VLOOKUP($A41,'Vocus RVC ExDa'!$C$2:$R$155, 6,FALSE), IFERROR(VLOOKUP($A41,'Fusion ExDa'!$B$2:$D$16, 4,FALSE), IFERROR(VLOOKUP($A41,'Exetel ExDa'!$C$2:$N$14, 3,FALSE), IFERROR(VLOOKUP($A41,'Infinet ExDa'!$B$2:$E$14, 3,FALSE), "Not Found"))))))))</f>
        <v>AAPT</v>
      </c>
      <c r="E41" t="str">
        <f>IFERROR(VLOOKUP($A41,'AAPT ExDa'!$B$2:$U$99, 3,FALSE), IFERROR(VLOOKUP($A41,'ABB ExDa'!$A$2:$N$184, 5,FALSE), IFERROR(VLOOKUP($A41,'Vocus SIT ExDa'!$B$2:$J$173, 2,FALSE), IFERROR(VLOOKUP($A41,'Telstra ExDa'!$B$2:$K$310, 4,FALSE), IFERROR(VLOOKUP($A41,'Vocus RVC ExDa'!$C$2:$R$155, 8,FALSE), IFERROR(VLOOKUP($A41,'Fusion ExDa'!$B$2:$D$16, 4,FALSE), IFERROR(VLOOKUP($A41,'Exetel ExDa'!$C$2:$N$14, 5,FALSE), IFERROR(VLOOKUP($A41,'Infinet ExDa'!$B$2:$E$14, 3,FALSE), "Not Found"))))))))</f>
        <v>IP-Line</v>
      </c>
      <c r="F41" t="str">
        <f>IFERROR(VLOOKUP($A41,'AAPT ExDa'!$B$2:$U$99, 4,FALSE), IFERROR(VLOOKUP($A41,'ABB ExDa'!$A$2:$N$184, 6,FALSE), IFERROR(VLOOKUP($A41,'Vocus SIT ExDa'!$B$2:$J$173, 3,FALSE), IFERROR(VLOOKUP($A41,'Telstra ExDa'!$B$2:$K$310, 5,FALSE), IFERROR(VLOOKUP($A41,'Vocus RVC ExDa'!$C$2:$R$155, 9,FALSE), IFERROR(VLOOKUP($A41,'Fusion ExDa'!$B$2:$D$16, 0,FALSE), IFERROR(VLOOKUP($A41,'Exetel ExDa'!$C$2:$N$14, 6,FALSE), IFERROR(VLOOKUP($A41,'Infinet ExDa'!$B$2:$E$14, 0,FALSE), "Not Found"))))))))</f>
        <v>IP-Line Link</v>
      </c>
      <c r="G41" t="str">
        <f>IFERROR(VLOOKUP($A41,'AAPT ExDa'!$B$2:$U$99, 5,FALSE), IFERROR(VLOOKUP($A41,'ABB ExDa'!$A$2:$N$184, 8,FALSE), IFERROR(VLOOKUP($A41,'Vocus SIT ExDa'!$B$2:$J$173, 6,FALSE), IFERROR(VLOOKUP($A41,'Telstra ExDa'!$B$2:$K$310, 0,FALSE), IFERROR(VLOOKUP($A41,'Vocus RVC ExDa'!$C$2:$R$155, 15,FALSE), IFERROR(VLOOKUP($A41,'Fusion ExDa'!$B$2:$D$16, 0,FALSE), IFERROR(VLOOKUP($A41,'Exetel ExDa'!$C$2:$N$14, 7,FALSE), IFERROR(VLOOKUP($A41,'Infinet ExDa'!$B$2:$E$14, 0,FALSE), "Not Found"))))))))</f>
        <v>Connecting IP-Line 6023265 to Access 1820051</v>
      </c>
      <c r="H41" t="str">
        <f>IFERROR(VLOOKUP($A41,'AAPT ExDa'!$B$2:$U$99, 6,FALSE), IFERROR(VLOOKUP($A41,'ABB ExDa'!$A$2:$N$184, 0,FALSE), IFERROR(VLOOKUP($A41,'Vocus SIT ExDa'!$B$2:$J$173, 0,FALSE), IFERROR(VLOOKUP($A41,'Telstra ExDa'!$B$2:$K$310, 0,FALSE), IFERROR(VLOOKUP($A41,'Vocus RVC ExDa'!$C$2:$R$155, 16,FALSE), IFERROR(VLOOKUP($A41,'Fusion ExDa'!$B$2:$D$16, 0,FALSE), IFERROR(VLOOKUP($A41,'Exetel ExDa'!$C$2:$N$14, 0,FALSE), IFERROR(VLOOKUP($A41,'Infinet ExDa'!$B$2:$E$14, 0,FALSE), "Not Found"))))))))</f>
        <v>Up to 100/40Mbps; AVC ID:AVC000107434836</v>
      </c>
      <c r="I41" t="str">
        <f>IFERROR(VLOOKUP($A41,'AAPT ExDa'!$B$2:$U$99, 0,FALSE), IFERROR(VLOOKUP($A41,'ABB ExDa'!$A$2:$N$184, 0,FALSE), IFERROR(VLOOKUP($A41,'Vocus SIT ExDa'!$B$2:$J$173, 0,FALSE), IFERROR(VLOOKUP($A41,'Telstra ExDa'!$B$2:$K$310, 0,FALSE), IFERROR(VLOOKUP($A41,'Vocus RVC ExDa'!$C$2:$R$155, 0,FALSE), IFERROR(VLOOKUP($A41,'Fusion ExDa'!$B$2:$D$16, 0,FALSE), IFERROR(VLOOKUP($A41,'Exetel ExDa'!$C$2:$N$14, 8,FALSE), IFERROR(VLOOKUP($A41,'Infinet ExDa'!$B$2:$E$14, 0,FALSE), "Not Found"))))))))</f>
        <v>Not Found</v>
      </c>
      <c r="J41" t="str">
        <f>IFERROR(VLOOKUP($A41,'AAPT ExDa'!$B$2:$U$99, 7,FALSE), IFERROR(VLOOKUP($A41,'ABB ExDa'!$A$2:$N$184, 2,FALSE), IFERROR(VLOOKUP($A41,'Vocus SIT ExDa'!$B$2:$J$173, 0,FALSE), IFERROR(VLOOKUP($A41,'Telstra ExDa'!$B$2:$K$310, 7,FALSE), IFERROR(VLOOKUP($A41,'Vocus RVC ExDa'!$C$2:$R$155, 2,FALSE), IFERROR(VLOOKUP($A41,'Fusion ExDa'!$B$2:$D$16, 3,FALSE), IFERROR(VLOOKUP($A41,'Exetel ExDa'!$C$2:$N$14, 0,FALSE), IFERROR(VLOOKUP($A41,'Infinet ExDa'!$B$2:$E$14, 0,FALSE), "Not Found"))))))))</f>
        <v>AVC000107434836</v>
      </c>
      <c r="K41" t="str">
        <f>IFERROR(VLOOKUP($A41,'AAPT ExDa'!$B$2:$U$99, 12,FALSE), IFERROR(VLOOKUP($A41,'ABB ExDa'!$A$2:$N$184, 0,FALSE), IFERROR(VLOOKUP($A41,'Vocus SIT ExDa'!$B$2:$J$173, 0,FALSE), IFERROR(VLOOKUP($A41,'Telstra ExDa'!$B$2:$K$310, 0,FALSE), IFERROR(VLOOKUP($A41,'Vocus RVC ExDa'!$C$2:$R$155, 0,FALSE), IFERROR(VLOOKUP($A41,'Fusion ExDa'!$B$2:$D$16, 0,FALSE), IFERROR(VLOOKUP($A41,'Exetel ExDa'!$C$2:$N$14, 12,FALSE), IFERROR(VLOOKUP($A41,'Infinet ExDa'!$B$2:$E$14, 0,FALSE), "Not Found"))))))))</f>
        <v>24 Months</v>
      </c>
      <c r="L41" s="235" t="str">
        <f>IFERROR(VLOOKUP($A41,'AAPT ExDa'!$B$2:$U$99, 11,FALSE), IFERROR(VLOOKUP($A41,'ABB ExDa'!$A$2:$N$184, 9,FALSE), IFERROR(VLOOKUP($A41,'Vocus SIT ExDa'!$B$2:$J$173, 8,FALSE), IFERROR(VLOOKUP($A41,'Telstra ExDa'!$B$2:$K$310, 0,FALSE), IFERROR(VLOOKUP($A41,'Vocus RVC ExDa'!$C$2:$R$155, 0,FALSE), IFERROR(VLOOKUP($A41,'Fusion ExDa'!$B$2:$D$16, 0,FALSE), IFERROR(VLOOKUP($A41,'Exetel ExDa'!$C$2:$N$14, 9,FALSE), IFERROR(VLOOKUP($A41,'Infinet ExDa'!$B$2:$E$14, 0,FALSE), "Not Found"))))))))</f>
        <v>29/05/2020</v>
      </c>
      <c r="M41" s="234" t="str">
        <f>IFERROR(VLOOKUP($A41,'AAPT ExDa'!$B$2:$U$99, 0,FALSE), IFERROR(VLOOKUP($A41,'ABB ExDa'!$A$2:$N$184, 0,FALSE), IFERROR(VLOOKUP($A41,'Vocus SIT ExDa'!$B$2:$J$173, 0,FALSE), IFERROR(VLOOKUP($A41,'Telstra ExDa'!$B$2:$K$310, 0,FALSE), IFERROR(VLOOKUP($A41,'Vocus RVC ExDa'!$C$2:$R$155, 0,FALSE), IFERROR(VLOOKUP($A41,'Fusion ExDa'!$B$2:$D$16, 0,FALSE), IFERROR(VLOOKUP($A41,'Exetel ExDa'!$C$2:$N$14, 11,FALSE), IFERROR(VLOOKUP($A41,'Infinet ExDa'!$B$2:$E$14, 0,FALSE), "Not Found"))))))))</f>
        <v>Not Found</v>
      </c>
      <c r="N41" t="str">
        <f>IFERROR(VLOOKUP($A41,'AAPT ExDa'!$B$2:$U$99, 0,FALSE), IFERROR(VLOOKUP($A41,'ABB ExDa'!$A$2:$N$184, 13,FALSE), IFERROR(VLOOKUP($A41,'Vocus SIT ExDa'!$B$2:$J$173, 0,FALSE), IFERROR(VLOOKUP($A41,'Telstra ExDa'!$B$2:$K$310, 0,FALSE), IFERROR(VLOOKUP($A41,'Vocus RVC ExDa'!$C$2:$R$155, 0,FALSE), IFERROR(VLOOKUP($A41,'Fusion ExDa'!$B$2:$D$16, 0,FALSE), IFERROR(VLOOKUP($A41,'Exetel ExDa'!$C$2:$N$14, 0,FALSE), IFERROR(VLOOKUP($A41,'Infinet ExDa'!$B$2:$E$14, 0,FALSE), "Not Found"))))))))</f>
        <v>Not Found</v>
      </c>
    </row>
    <row r="42" spans="1:14">
      <c r="A42" t="str">
        <v>Link Trading</v>
      </c>
      <c r="B42" t="str">
        <f>IFERROR(VLOOKUP(A42,'Exetel ExDa'!$C$2:$N$14,4,FALSE),"No Data")</f>
        <v>No Data</v>
      </c>
      <c r="C42">
        <f>IFERROR(VLOOKUP(A42,'AAPT ExDa'!$B$2:$U$99, 2,FALSE), IFERROR(VLOOKUP(A42,'ABB ExDa'!$A$2:$N$184, 2,FALSE), IFERROR(VLOOKUP(A42,'Vocus SIT ExDa'!$B$2:$J$173, 7,FALSE), IFERROR(VLOOKUP(A42,'Telstra ExDa'!$B$2:$K$310, 2,FALSE), IFERROR(VLOOKUP(A42,'Vocus RVC ExDa'!$C$2:$R$155, 3,FALSE), IFERROR(VLOOKUP(A42,'Fusion ExDa'!$B$2:$D$16, 2,FALSE), IFERROR(VLOOKUP(A42,'Exetel ExDa'!$C$2:$N$14, 2,FALSE), IFERROR(VLOOKUP(A42,'Infinet ExDa'!$B$2:$E$14, 2,FALSE), "Not Found"))))))))</f>
        <v>0</v>
      </c>
      <c r="D42" t="str">
        <f>IFERROR(VLOOKUP($A42,'AAPT ExDa'!$B$2:$U$99, 15,FALSE), IFERROR(VLOOKUP($A42,'ABB ExDa'!$A$2:$N$184, 4,FALSE), IFERROR(VLOOKUP($A42,'Vocus SIT ExDa'!$B$2:$J$173, 5,FALSE), IFERROR(VLOOKUP($A42,'Telstra ExDa'!$B$2:$K$310, 8,FALSE), IFERROR(VLOOKUP($A42,'Vocus RVC ExDa'!$C$2:$R$155, 6,FALSE), IFERROR(VLOOKUP($A42,'Fusion ExDa'!$B$2:$D$16, 4,FALSE), IFERROR(VLOOKUP($A42,'Exetel ExDa'!$C$2:$N$14, 3,FALSE), IFERROR(VLOOKUP($A42,'Infinet ExDa'!$B$2:$E$14, 3,FALSE), "Not Found"))))))))</f>
        <v>AAPT</v>
      </c>
      <c r="E42" t="str">
        <f>IFERROR(VLOOKUP($A42,'AAPT ExDa'!$B$2:$U$99, 3,FALSE), IFERROR(VLOOKUP($A42,'ABB ExDa'!$A$2:$N$184, 5,FALSE), IFERROR(VLOOKUP($A42,'Vocus SIT ExDa'!$B$2:$J$173, 2,FALSE), IFERROR(VLOOKUP($A42,'Telstra ExDa'!$B$2:$K$310, 4,FALSE), IFERROR(VLOOKUP($A42,'Vocus RVC ExDa'!$C$2:$R$155, 8,FALSE), IFERROR(VLOOKUP($A42,'Fusion ExDa'!$B$2:$D$16, 4,FALSE), IFERROR(VLOOKUP($A42,'Exetel ExDa'!$C$2:$N$14, 5,FALSE), IFERROR(VLOOKUP($A42,'Infinet ExDa'!$B$2:$E$14, 3,FALSE), "Not Found"))))))))</f>
        <v>IP-Line</v>
      </c>
      <c r="F42" t="str">
        <f>IFERROR(VLOOKUP($A42,'AAPT ExDa'!$B$2:$U$99, 4,FALSE), IFERROR(VLOOKUP($A42,'ABB ExDa'!$A$2:$N$184, 6,FALSE), IFERROR(VLOOKUP($A42,'Vocus SIT ExDa'!$B$2:$J$173, 3,FALSE), IFERROR(VLOOKUP($A42,'Telstra ExDa'!$B$2:$K$310, 5,FALSE), IFERROR(VLOOKUP($A42,'Vocus RVC ExDa'!$C$2:$R$155, 9,FALSE), IFERROR(VLOOKUP($A42,'Fusion ExDa'!$B$2:$D$16, 0,FALSE), IFERROR(VLOOKUP($A42,'Exetel ExDa'!$C$2:$N$14, 6,FALSE), IFERROR(VLOOKUP($A42,'Infinet ExDa'!$B$2:$E$14, 0,FALSE), "Not Found"))))))))</f>
        <v>IP-Line Link</v>
      </c>
      <c r="G42" t="str">
        <f>IFERROR(VLOOKUP($A42,'AAPT ExDa'!$B$2:$U$99, 5,FALSE), IFERROR(VLOOKUP($A42,'ABB ExDa'!$A$2:$N$184, 8,FALSE), IFERROR(VLOOKUP($A42,'Vocus SIT ExDa'!$B$2:$J$173, 6,FALSE), IFERROR(VLOOKUP($A42,'Telstra ExDa'!$B$2:$K$310, 0,FALSE), IFERROR(VLOOKUP($A42,'Vocus RVC ExDa'!$C$2:$R$155, 15,FALSE), IFERROR(VLOOKUP($A42,'Fusion ExDa'!$B$2:$D$16, 0,FALSE), IFERROR(VLOOKUP($A42,'Exetel ExDa'!$C$2:$N$14, 7,FALSE), IFERROR(VLOOKUP($A42,'Infinet ExDa'!$B$2:$E$14, 0,FALSE), "Not Found"))))))))</f>
        <v>Connecting IP-Line 6023265 to Access 1735005</v>
      </c>
      <c r="H42" t="str">
        <f>IFERROR(VLOOKUP($A42,'AAPT ExDa'!$B$2:$U$99, 6,FALSE), IFERROR(VLOOKUP($A42,'ABB ExDa'!$A$2:$N$184, 0,FALSE), IFERROR(VLOOKUP($A42,'Vocus SIT ExDa'!$B$2:$J$173, 0,FALSE), IFERROR(VLOOKUP($A42,'Telstra ExDa'!$B$2:$K$310, 0,FALSE), IFERROR(VLOOKUP($A42,'Vocus RVC ExDa'!$C$2:$R$155, 16,FALSE), IFERROR(VLOOKUP($A42,'Fusion ExDa'!$B$2:$D$16, 0,FALSE), IFERROR(VLOOKUP($A42,'Exetel ExDa'!$C$2:$N$14, 0,FALSE), IFERROR(VLOOKUP($A42,'Infinet ExDa'!$B$2:$E$14, 0,FALSE), "Not Found"))))))))</f>
        <v>Up to 100/40Mbps; AVC ID:AVC000084139783</v>
      </c>
      <c r="I42" t="str">
        <f>IFERROR(VLOOKUP($A42,'AAPT ExDa'!$B$2:$U$99, 0,FALSE), IFERROR(VLOOKUP($A42,'ABB ExDa'!$A$2:$N$184, 0,FALSE), IFERROR(VLOOKUP($A42,'Vocus SIT ExDa'!$B$2:$J$173, 0,FALSE), IFERROR(VLOOKUP($A42,'Telstra ExDa'!$B$2:$K$310, 0,FALSE), IFERROR(VLOOKUP($A42,'Vocus RVC ExDa'!$C$2:$R$155, 0,FALSE), IFERROR(VLOOKUP($A42,'Fusion ExDa'!$B$2:$D$16, 0,FALSE), IFERROR(VLOOKUP($A42,'Exetel ExDa'!$C$2:$N$14, 8,FALSE), IFERROR(VLOOKUP($A42,'Infinet ExDa'!$B$2:$E$14, 0,FALSE), "Not Found"))))))))</f>
        <v>Not Found</v>
      </c>
      <c r="J42" t="str">
        <f>IFERROR(VLOOKUP($A42,'AAPT ExDa'!$B$2:$U$99, 7,FALSE), IFERROR(VLOOKUP($A42,'ABB ExDa'!$A$2:$N$184, 2,FALSE), IFERROR(VLOOKUP($A42,'Vocus SIT ExDa'!$B$2:$J$173, 0,FALSE), IFERROR(VLOOKUP($A42,'Telstra ExDa'!$B$2:$K$310, 7,FALSE), IFERROR(VLOOKUP($A42,'Vocus RVC ExDa'!$C$2:$R$155, 2,FALSE), IFERROR(VLOOKUP($A42,'Fusion ExDa'!$B$2:$D$16, 3,FALSE), IFERROR(VLOOKUP($A42,'Exetel ExDa'!$C$2:$N$14, 0,FALSE), IFERROR(VLOOKUP($A42,'Infinet ExDa'!$B$2:$E$14, 0,FALSE), "Not Found"))))))))</f>
        <v>AVC000084139783</v>
      </c>
      <c r="K42" t="str">
        <f>IFERROR(VLOOKUP($A42,'AAPT ExDa'!$B$2:$U$99, 12,FALSE), IFERROR(VLOOKUP($A42,'ABB ExDa'!$A$2:$N$184, 0,FALSE), IFERROR(VLOOKUP($A42,'Vocus SIT ExDa'!$B$2:$J$173, 0,FALSE), IFERROR(VLOOKUP($A42,'Telstra ExDa'!$B$2:$K$310, 0,FALSE), IFERROR(VLOOKUP($A42,'Vocus RVC ExDa'!$C$2:$R$155, 0,FALSE), IFERROR(VLOOKUP($A42,'Fusion ExDa'!$B$2:$D$16, 0,FALSE), IFERROR(VLOOKUP($A42,'Exetel ExDa'!$C$2:$N$14, 12,FALSE), IFERROR(VLOOKUP($A42,'Infinet ExDa'!$B$2:$E$14, 0,FALSE), "Not Found"))))))))</f>
        <v>36 Months</v>
      </c>
      <c r="L42" s="235">
        <f>IFERROR(VLOOKUP($A42,'AAPT ExDa'!$B$2:$U$99, 11,FALSE), IFERROR(VLOOKUP($A42,'ABB ExDa'!$A$2:$N$184, 9,FALSE), IFERROR(VLOOKUP($A42,'Vocus SIT ExDa'!$B$2:$J$173, 8,FALSE), IFERROR(VLOOKUP($A42,'Telstra ExDa'!$B$2:$K$310, 0,FALSE), IFERROR(VLOOKUP($A42,'Vocus RVC ExDa'!$C$2:$R$155, 0,FALSE), IFERROR(VLOOKUP($A42,'Fusion ExDa'!$B$2:$D$16, 0,FALSE), IFERROR(VLOOKUP($A42,'Exetel ExDa'!$C$2:$N$14, 9,FALSE), IFERROR(VLOOKUP($A42,'Infinet ExDa'!$B$2:$E$14, 0,FALSE), "Not Found"))))))))</f>
        <v>43652</v>
      </c>
      <c r="M42" s="234" t="str">
        <f>IFERROR(VLOOKUP($A42,'AAPT ExDa'!$B$2:$U$99, 0,FALSE), IFERROR(VLOOKUP($A42,'ABB ExDa'!$A$2:$N$184, 0,FALSE), IFERROR(VLOOKUP($A42,'Vocus SIT ExDa'!$B$2:$J$173, 0,FALSE), IFERROR(VLOOKUP($A42,'Telstra ExDa'!$B$2:$K$310, 0,FALSE), IFERROR(VLOOKUP($A42,'Vocus RVC ExDa'!$C$2:$R$155, 0,FALSE), IFERROR(VLOOKUP($A42,'Fusion ExDa'!$B$2:$D$16, 0,FALSE), IFERROR(VLOOKUP($A42,'Exetel ExDa'!$C$2:$N$14, 11,FALSE), IFERROR(VLOOKUP($A42,'Infinet ExDa'!$B$2:$E$14, 0,FALSE), "Not Found"))))))))</f>
        <v>Not Found</v>
      </c>
      <c r="N42" t="str">
        <f>IFERROR(VLOOKUP($A42,'AAPT ExDa'!$B$2:$U$99, 0,FALSE), IFERROR(VLOOKUP($A42,'ABB ExDa'!$A$2:$N$184, 13,FALSE), IFERROR(VLOOKUP($A42,'Vocus SIT ExDa'!$B$2:$J$173, 0,FALSE), IFERROR(VLOOKUP($A42,'Telstra ExDa'!$B$2:$K$310, 0,FALSE), IFERROR(VLOOKUP($A42,'Vocus RVC ExDa'!$C$2:$R$155, 0,FALSE), IFERROR(VLOOKUP($A42,'Fusion ExDa'!$B$2:$D$16, 0,FALSE), IFERROR(VLOOKUP($A42,'Exetel ExDa'!$C$2:$N$14, 0,FALSE), IFERROR(VLOOKUP($A42,'Infinet ExDa'!$B$2:$E$14, 0,FALSE), "Not Found"))))))))</f>
        <v>Not Found</v>
      </c>
    </row>
    <row r="43" spans="1:14">
      <c r="A43" t="str">
        <v>Mega Electrics</v>
      </c>
      <c r="B43" t="str">
        <f>IFERROR(VLOOKUP(A43,'Exetel ExDa'!$C$2:$N$14,4,FALSE),"No Data")</f>
        <v>No Data</v>
      </c>
      <c r="C43">
        <f>IFERROR(VLOOKUP(A43,'AAPT ExDa'!$B$2:$U$99, 2,FALSE), IFERROR(VLOOKUP(A43,'ABB ExDa'!$A$2:$N$184, 2,FALSE), IFERROR(VLOOKUP(A43,'Vocus SIT ExDa'!$B$2:$J$173, 7,FALSE), IFERROR(VLOOKUP(A43,'Telstra ExDa'!$B$2:$K$310, 2,FALSE), IFERROR(VLOOKUP(A43,'Vocus RVC ExDa'!$C$2:$R$155, 3,FALSE), IFERROR(VLOOKUP(A43,'Fusion ExDa'!$B$2:$D$16, 2,FALSE), IFERROR(VLOOKUP(A43,'Exetel ExDa'!$C$2:$N$14, 2,FALSE), IFERROR(VLOOKUP(A43,'Infinet ExDa'!$B$2:$E$14, 2,FALSE), "Not Found"))))))))</f>
        <v>0</v>
      </c>
      <c r="D43" t="str">
        <f>IFERROR(VLOOKUP($A43,'AAPT ExDa'!$B$2:$U$99, 15,FALSE), IFERROR(VLOOKUP($A43,'ABB ExDa'!$A$2:$N$184, 4,FALSE), IFERROR(VLOOKUP($A43,'Vocus SIT ExDa'!$B$2:$J$173, 5,FALSE), IFERROR(VLOOKUP($A43,'Telstra ExDa'!$B$2:$K$310, 8,FALSE), IFERROR(VLOOKUP($A43,'Vocus RVC ExDa'!$C$2:$R$155, 6,FALSE), IFERROR(VLOOKUP($A43,'Fusion ExDa'!$B$2:$D$16, 4,FALSE), IFERROR(VLOOKUP($A43,'Exetel ExDa'!$C$2:$N$14, 3,FALSE), IFERROR(VLOOKUP($A43,'Infinet ExDa'!$B$2:$E$14, 3,FALSE), "Not Found"))))))))</f>
        <v>AAPT</v>
      </c>
      <c r="E43" t="str">
        <f>IFERROR(VLOOKUP($A43,'AAPT ExDa'!$B$2:$U$99, 3,FALSE), IFERROR(VLOOKUP($A43,'ABB ExDa'!$A$2:$N$184, 5,FALSE), IFERROR(VLOOKUP($A43,'Vocus SIT ExDa'!$B$2:$J$173, 2,FALSE), IFERROR(VLOOKUP($A43,'Telstra ExDa'!$B$2:$K$310, 4,FALSE), IFERROR(VLOOKUP($A43,'Vocus RVC ExDa'!$C$2:$R$155, 8,FALSE), IFERROR(VLOOKUP($A43,'Fusion ExDa'!$B$2:$D$16, 4,FALSE), IFERROR(VLOOKUP($A43,'Exetel ExDa'!$C$2:$N$14, 5,FALSE), IFERROR(VLOOKUP($A43,'Infinet ExDa'!$B$2:$E$14, 3,FALSE), "Not Found"))))))))</f>
        <v>IP-Line</v>
      </c>
      <c r="F43" t="str">
        <f>IFERROR(VLOOKUP($A43,'AAPT ExDa'!$B$2:$U$99, 4,FALSE), IFERROR(VLOOKUP($A43,'ABB ExDa'!$A$2:$N$184, 6,FALSE), IFERROR(VLOOKUP($A43,'Vocus SIT ExDa'!$B$2:$J$173, 3,FALSE), IFERROR(VLOOKUP($A43,'Telstra ExDa'!$B$2:$K$310, 5,FALSE), IFERROR(VLOOKUP($A43,'Vocus RVC ExDa'!$C$2:$R$155, 9,FALSE), IFERROR(VLOOKUP($A43,'Fusion ExDa'!$B$2:$D$16, 0,FALSE), IFERROR(VLOOKUP($A43,'Exetel ExDa'!$C$2:$N$14, 6,FALSE), IFERROR(VLOOKUP($A43,'Infinet ExDa'!$B$2:$E$14, 0,FALSE), "Not Found"))))))))</f>
        <v>IP-Line Link</v>
      </c>
      <c r="G43" t="str">
        <f>IFERROR(VLOOKUP($A43,'AAPT ExDa'!$B$2:$U$99, 5,FALSE), IFERROR(VLOOKUP($A43,'ABB ExDa'!$A$2:$N$184, 8,FALSE), IFERROR(VLOOKUP($A43,'Vocus SIT ExDa'!$B$2:$J$173, 6,FALSE), IFERROR(VLOOKUP($A43,'Telstra ExDa'!$B$2:$K$310, 0,FALSE), IFERROR(VLOOKUP($A43,'Vocus RVC ExDa'!$C$2:$R$155, 15,FALSE), IFERROR(VLOOKUP($A43,'Fusion ExDa'!$B$2:$D$16, 0,FALSE), IFERROR(VLOOKUP($A43,'Exetel ExDa'!$C$2:$N$14, 7,FALSE), IFERROR(VLOOKUP($A43,'Infinet ExDa'!$B$2:$E$14, 0,FALSE), "Not Found"))))))))</f>
        <v>Connecting IP-Line 6023265 to Access 100846479</v>
      </c>
      <c r="H43" t="str">
        <f>IFERROR(VLOOKUP($A43,'AAPT ExDa'!$B$2:$U$99, 6,FALSE), IFERROR(VLOOKUP($A43,'ABB ExDa'!$A$2:$N$184, 0,FALSE), IFERROR(VLOOKUP($A43,'Vocus SIT ExDa'!$B$2:$J$173, 0,FALSE), IFERROR(VLOOKUP($A43,'Telstra ExDa'!$B$2:$K$310, 0,FALSE), IFERROR(VLOOKUP($A43,'Vocus RVC ExDa'!$C$2:$R$155, 16,FALSE), IFERROR(VLOOKUP($A43,'Fusion ExDa'!$B$2:$D$16, 0,FALSE), IFERROR(VLOOKUP($A43,'Exetel ExDa'!$C$2:$N$14, 0,FALSE), IFERROR(VLOOKUP($A43,'Infinet ExDa'!$B$2:$E$14, 0,FALSE), "Not Found"))))))))</f>
        <v>Up to 100/40Mbps; AVC ID:AVC000170800287</v>
      </c>
      <c r="I43" t="str">
        <f>IFERROR(VLOOKUP($A43,'AAPT ExDa'!$B$2:$U$99, 0,FALSE), IFERROR(VLOOKUP($A43,'ABB ExDa'!$A$2:$N$184, 0,FALSE), IFERROR(VLOOKUP($A43,'Vocus SIT ExDa'!$B$2:$J$173, 0,FALSE), IFERROR(VLOOKUP($A43,'Telstra ExDa'!$B$2:$K$310, 0,FALSE), IFERROR(VLOOKUP($A43,'Vocus RVC ExDa'!$C$2:$R$155, 0,FALSE), IFERROR(VLOOKUP($A43,'Fusion ExDa'!$B$2:$D$16, 0,FALSE), IFERROR(VLOOKUP($A43,'Exetel ExDa'!$C$2:$N$14, 8,FALSE), IFERROR(VLOOKUP($A43,'Infinet ExDa'!$B$2:$E$14, 0,FALSE), "Not Found"))))))))</f>
        <v>Not Found</v>
      </c>
      <c r="J43" t="str">
        <f>IFERROR(VLOOKUP($A43,'AAPT ExDa'!$B$2:$U$99, 7,FALSE), IFERROR(VLOOKUP($A43,'ABB ExDa'!$A$2:$N$184, 2,FALSE), IFERROR(VLOOKUP($A43,'Vocus SIT ExDa'!$B$2:$J$173, 0,FALSE), IFERROR(VLOOKUP($A43,'Telstra ExDa'!$B$2:$K$310, 7,FALSE), IFERROR(VLOOKUP($A43,'Vocus RVC ExDa'!$C$2:$R$155, 2,FALSE), IFERROR(VLOOKUP($A43,'Fusion ExDa'!$B$2:$D$16, 3,FALSE), IFERROR(VLOOKUP($A43,'Exetel ExDa'!$C$2:$N$14, 0,FALSE), IFERROR(VLOOKUP($A43,'Infinet ExDa'!$B$2:$E$14, 0,FALSE), "Not Found"))))))))</f>
        <v>AVC000170800287</v>
      </c>
      <c r="K43" t="str">
        <f>IFERROR(VLOOKUP($A43,'AAPT ExDa'!$B$2:$U$99, 12,FALSE), IFERROR(VLOOKUP($A43,'ABB ExDa'!$A$2:$N$184, 0,FALSE), IFERROR(VLOOKUP($A43,'Vocus SIT ExDa'!$B$2:$J$173, 0,FALSE), IFERROR(VLOOKUP($A43,'Telstra ExDa'!$B$2:$K$310, 0,FALSE), IFERROR(VLOOKUP($A43,'Vocus RVC ExDa'!$C$2:$R$155, 0,FALSE), IFERROR(VLOOKUP($A43,'Fusion ExDa'!$B$2:$D$16, 0,FALSE), IFERROR(VLOOKUP($A43,'Exetel ExDa'!$C$2:$N$14, 12,FALSE), IFERROR(VLOOKUP($A43,'Infinet ExDa'!$B$2:$E$14, 0,FALSE), "Not Found"))))))))</f>
        <v>12 Months</v>
      </c>
      <c r="L43" s="235" t="str">
        <f>IFERROR(VLOOKUP($A43,'AAPT ExDa'!$B$2:$U$99, 11,FALSE), IFERROR(VLOOKUP($A43,'ABB ExDa'!$A$2:$N$184, 9,FALSE), IFERROR(VLOOKUP($A43,'Vocus SIT ExDa'!$B$2:$J$173, 8,FALSE), IFERROR(VLOOKUP($A43,'Telstra ExDa'!$B$2:$K$310, 0,FALSE), IFERROR(VLOOKUP($A43,'Vocus RVC ExDa'!$C$2:$R$155, 0,FALSE), IFERROR(VLOOKUP($A43,'Fusion ExDa'!$B$2:$D$16, 0,FALSE), IFERROR(VLOOKUP($A43,'Exetel ExDa'!$C$2:$N$14, 9,FALSE), IFERROR(VLOOKUP($A43,'Infinet ExDa'!$B$2:$E$14, 0,FALSE), "Not Found"))))))))</f>
        <v>19/04/2023</v>
      </c>
      <c r="M43" s="234" t="str">
        <f>IFERROR(VLOOKUP($A43,'AAPT ExDa'!$B$2:$U$99, 0,FALSE), IFERROR(VLOOKUP($A43,'ABB ExDa'!$A$2:$N$184, 0,FALSE), IFERROR(VLOOKUP($A43,'Vocus SIT ExDa'!$B$2:$J$173, 0,FALSE), IFERROR(VLOOKUP($A43,'Telstra ExDa'!$B$2:$K$310, 0,FALSE), IFERROR(VLOOKUP($A43,'Vocus RVC ExDa'!$C$2:$R$155, 0,FALSE), IFERROR(VLOOKUP($A43,'Fusion ExDa'!$B$2:$D$16, 0,FALSE), IFERROR(VLOOKUP($A43,'Exetel ExDa'!$C$2:$N$14, 11,FALSE), IFERROR(VLOOKUP($A43,'Infinet ExDa'!$B$2:$E$14, 0,FALSE), "Not Found"))))))))</f>
        <v>Not Found</v>
      </c>
      <c r="N43" t="str">
        <f>IFERROR(VLOOKUP($A43,'AAPT ExDa'!$B$2:$U$99, 0,FALSE), IFERROR(VLOOKUP($A43,'ABB ExDa'!$A$2:$N$184, 13,FALSE), IFERROR(VLOOKUP($A43,'Vocus SIT ExDa'!$B$2:$J$173, 0,FALSE), IFERROR(VLOOKUP($A43,'Telstra ExDa'!$B$2:$K$310, 0,FALSE), IFERROR(VLOOKUP($A43,'Vocus RVC ExDa'!$C$2:$R$155, 0,FALSE), IFERROR(VLOOKUP($A43,'Fusion ExDa'!$B$2:$D$16, 0,FALSE), IFERROR(VLOOKUP($A43,'Exetel ExDa'!$C$2:$N$14, 0,FALSE), IFERROR(VLOOKUP($A43,'Infinet ExDa'!$B$2:$E$14, 0,FALSE), "Not Found"))))))))</f>
        <v>Not Found</v>
      </c>
    </row>
    <row r="44" spans="1:14">
      <c r="A44" t="str">
        <v>Mega Electrics</v>
      </c>
      <c r="B44" t="str">
        <f>IFERROR(VLOOKUP(A44,'Exetel ExDa'!$C$2:$N$14,4,FALSE),"No Data")</f>
        <v>No Data</v>
      </c>
      <c r="C44">
        <f>IFERROR(VLOOKUP(A44,'AAPT ExDa'!$B$2:$U$99, 2,FALSE), IFERROR(VLOOKUP(A44,'ABB ExDa'!$A$2:$N$184, 2,FALSE), IFERROR(VLOOKUP(A44,'Vocus SIT ExDa'!$B$2:$J$173, 7,FALSE), IFERROR(VLOOKUP(A44,'Telstra ExDa'!$B$2:$K$310, 2,FALSE), IFERROR(VLOOKUP(A44,'Vocus RVC ExDa'!$C$2:$R$155, 3,FALSE), IFERROR(VLOOKUP(A44,'Fusion ExDa'!$B$2:$D$16, 2,FALSE), IFERROR(VLOOKUP(A44,'Exetel ExDa'!$C$2:$N$14, 2,FALSE), IFERROR(VLOOKUP(A44,'Infinet ExDa'!$B$2:$E$14, 2,FALSE), "Not Found"))))))))</f>
        <v>0</v>
      </c>
      <c r="D44" t="str">
        <f>IFERROR(VLOOKUP($A44,'AAPT ExDa'!$B$2:$U$99, 15,FALSE), IFERROR(VLOOKUP($A44,'ABB ExDa'!$A$2:$N$184, 4,FALSE), IFERROR(VLOOKUP($A44,'Vocus SIT ExDa'!$B$2:$J$173, 5,FALSE), IFERROR(VLOOKUP($A44,'Telstra ExDa'!$B$2:$K$310, 8,FALSE), IFERROR(VLOOKUP($A44,'Vocus RVC ExDa'!$C$2:$R$155, 6,FALSE), IFERROR(VLOOKUP($A44,'Fusion ExDa'!$B$2:$D$16, 4,FALSE), IFERROR(VLOOKUP($A44,'Exetel ExDa'!$C$2:$N$14, 3,FALSE), IFERROR(VLOOKUP($A44,'Infinet ExDa'!$B$2:$E$14, 3,FALSE), "Not Found"))))))))</f>
        <v>AAPT</v>
      </c>
      <c r="E44" t="str">
        <f>IFERROR(VLOOKUP($A44,'AAPT ExDa'!$B$2:$U$99, 3,FALSE), IFERROR(VLOOKUP($A44,'ABB ExDa'!$A$2:$N$184, 5,FALSE), IFERROR(VLOOKUP($A44,'Vocus SIT ExDa'!$B$2:$J$173, 2,FALSE), IFERROR(VLOOKUP($A44,'Telstra ExDa'!$B$2:$K$310, 4,FALSE), IFERROR(VLOOKUP($A44,'Vocus RVC ExDa'!$C$2:$R$155, 8,FALSE), IFERROR(VLOOKUP($A44,'Fusion ExDa'!$B$2:$D$16, 4,FALSE), IFERROR(VLOOKUP($A44,'Exetel ExDa'!$C$2:$N$14, 5,FALSE), IFERROR(VLOOKUP($A44,'Infinet ExDa'!$B$2:$E$14, 3,FALSE), "Not Found"))))))))</f>
        <v>IP-Line</v>
      </c>
      <c r="F44" t="str">
        <f>IFERROR(VLOOKUP($A44,'AAPT ExDa'!$B$2:$U$99, 4,FALSE), IFERROR(VLOOKUP($A44,'ABB ExDa'!$A$2:$N$184, 6,FALSE), IFERROR(VLOOKUP($A44,'Vocus SIT ExDa'!$B$2:$J$173, 3,FALSE), IFERROR(VLOOKUP($A44,'Telstra ExDa'!$B$2:$K$310, 5,FALSE), IFERROR(VLOOKUP($A44,'Vocus RVC ExDa'!$C$2:$R$155, 9,FALSE), IFERROR(VLOOKUP($A44,'Fusion ExDa'!$B$2:$D$16, 0,FALSE), IFERROR(VLOOKUP($A44,'Exetel ExDa'!$C$2:$N$14, 6,FALSE), IFERROR(VLOOKUP($A44,'Infinet ExDa'!$B$2:$E$14, 0,FALSE), "Not Found"))))))))</f>
        <v>IP-Line Link</v>
      </c>
      <c r="G44" t="str">
        <f>IFERROR(VLOOKUP($A44,'AAPT ExDa'!$B$2:$U$99, 5,FALSE), IFERROR(VLOOKUP($A44,'ABB ExDa'!$A$2:$N$184, 8,FALSE), IFERROR(VLOOKUP($A44,'Vocus SIT ExDa'!$B$2:$J$173, 6,FALSE), IFERROR(VLOOKUP($A44,'Telstra ExDa'!$B$2:$K$310, 0,FALSE), IFERROR(VLOOKUP($A44,'Vocus RVC ExDa'!$C$2:$R$155, 15,FALSE), IFERROR(VLOOKUP($A44,'Fusion ExDa'!$B$2:$D$16, 0,FALSE), IFERROR(VLOOKUP($A44,'Exetel ExDa'!$C$2:$N$14, 7,FALSE), IFERROR(VLOOKUP($A44,'Infinet ExDa'!$B$2:$E$14, 0,FALSE), "Not Found"))))))))</f>
        <v>Connecting IP-Line 6023265 to Access 100846479</v>
      </c>
      <c r="H44" t="str">
        <f>IFERROR(VLOOKUP($A44,'AAPT ExDa'!$B$2:$U$99, 6,FALSE), IFERROR(VLOOKUP($A44,'ABB ExDa'!$A$2:$N$184, 0,FALSE), IFERROR(VLOOKUP($A44,'Vocus SIT ExDa'!$B$2:$J$173, 0,FALSE), IFERROR(VLOOKUP($A44,'Telstra ExDa'!$B$2:$K$310, 0,FALSE), IFERROR(VLOOKUP($A44,'Vocus RVC ExDa'!$C$2:$R$155, 16,FALSE), IFERROR(VLOOKUP($A44,'Fusion ExDa'!$B$2:$D$16, 0,FALSE), IFERROR(VLOOKUP($A44,'Exetel ExDa'!$C$2:$N$14, 0,FALSE), IFERROR(VLOOKUP($A44,'Infinet ExDa'!$B$2:$E$14, 0,FALSE), "Not Found"))))))))</f>
        <v>Up to 100/40Mbps; AVC ID:AVC000170800287</v>
      </c>
      <c r="I44" t="str">
        <f>IFERROR(VLOOKUP($A44,'AAPT ExDa'!$B$2:$U$99, 0,FALSE), IFERROR(VLOOKUP($A44,'ABB ExDa'!$A$2:$N$184, 0,FALSE), IFERROR(VLOOKUP($A44,'Vocus SIT ExDa'!$B$2:$J$173, 0,FALSE), IFERROR(VLOOKUP($A44,'Telstra ExDa'!$B$2:$K$310, 0,FALSE), IFERROR(VLOOKUP($A44,'Vocus RVC ExDa'!$C$2:$R$155, 0,FALSE), IFERROR(VLOOKUP($A44,'Fusion ExDa'!$B$2:$D$16, 0,FALSE), IFERROR(VLOOKUP($A44,'Exetel ExDa'!$C$2:$N$14, 8,FALSE), IFERROR(VLOOKUP($A44,'Infinet ExDa'!$B$2:$E$14, 0,FALSE), "Not Found"))))))))</f>
        <v>Not Found</v>
      </c>
      <c r="J44" t="str">
        <f>IFERROR(VLOOKUP($A44,'AAPT ExDa'!$B$2:$U$99, 7,FALSE), IFERROR(VLOOKUP($A44,'ABB ExDa'!$A$2:$N$184, 2,FALSE), IFERROR(VLOOKUP($A44,'Vocus SIT ExDa'!$B$2:$J$173, 0,FALSE), IFERROR(VLOOKUP($A44,'Telstra ExDa'!$B$2:$K$310, 7,FALSE), IFERROR(VLOOKUP($A44,'Vocus RVC ExDa'!$C$2:$R$155, 2,FALSE), IFERROR(VLOOKUP($A44,'Fusion ExDa'!$B$2:$D$16, 3,FALSE), IFERROR(VLOOKUP($A44,'Exetel ExDa'!$C$2:$N$14, 0,FALSE), IFERROR(VLOOKUP($A44,'Infinet ExDa'!$B$2:$E$14, 0,FALSE), "Not Found"))))))))</f>
        <v>AVC000170800287</v>
      </c>
      <c r="K44" t="str">
        <f>IFERROR(VLOOKUP($A44,'AAPT ExDa'!$B$2:$U$99, 12,FALSE), IFERROR(VLOOKUP($A44,'ABB ExDa'!$A$2:$N$184, 0,FALSE), IFERROR(VLOOKUP($A44,'Vocus SIT ExDa'!$B$2:$J$173, 0,FALSE), IFERROR(VLOOKUP($A44,'Telstra ExDa'!$B$2:$K$310, 0,FALSE), IFERROR(VLOOKUP($A44,'Vocus RVC ExDa'!$C$2:$R$155, 0,FALSE), IFERROR(VLOOKUP($A44,'Fusion ExDa'!$B$2:$D$16, 0,FALSE), IFERROR(VLOOKUP($A44,'Exetel ExDa'!$C$2:$N$14, 12,FALSE), IFERROR(VLOOKUP($A44,'Infinet ExDa'!$B$2:$E$14, 0,FALSE), "Not Found"))))))))</f>
        <v>12 Months</v>
      </c>
      <c r="L44" s="235" t="str">
        <f>IFERROR(VLOOKUP($A44,'AAPT ExDa'!$B$2:$U$99, 11,FALSE), IFERROR(VLOOKUP($A44,'ABB ExDa'!$A$2:$N$184, 9,FALSE), IFERROR(VLOOKUP($A44,'Vocus SIT ExDa'!$B$2:$J$173, 8,FALSE), IFERROR(VLOOKUP($A44,'Telstra ExDa'!$B$2:$K$310, 0,FALSE), IFERROR(VLOOKUP($A44,'Vocus RVC ExDa'!$C$2:$R$155, 0,FALSE), IFERROR(VLOOKUP($A44,'Fusion ExDa'!$B$2:$D$16, 0,FALSE), IFERROR(VLOOKUP($A44,'Exetel ExDa'!$C$2:$N$14, 9,FALSE), IFERROR(VLOOKUP($A44,'Infinet ExDa'!$B$2:$E$14, 0,FALSE), "Not Found"))))))))</f>
        <v>19/04/2023</v>
      </c>
      <c r="M44" s="234" t="str">
        <f>IFERROR(VLOOKUP($A44,'AAPT ExDa'!$B$2:$U$99, 0,FALSE), IFERROR(VLOOKUP($A44,'ABB ExDa'!$A$2:$N$184, 0,FALSE), IFERROR(VLOOKUP($A44,'Vocus SIT ExDa'!$B$2:$J$173, 0,FALSE), IFERROR(VLOOKUP($A44,'Telstra ExDa'!$B$2:$K$310, 0,FALSE), IFERROR(VLOOKUP($A44,'Vocus RVC ExDa'!$C$2:$R$155, 0,FALSE), IFERROR(VLOOKUP($A44,'Fusion ExDa'!$B$2:$D$16, 0,FALSE), IFERROR(VLOOKUP($A44,'Exetel ExDa'!$C$2:$N$14, 11,FALSE), IFERROR(VLOOKUP($A44,'Infinet ExDa'!$B$2:$E$14, 0,FALSE), "Not Found"))))))))</f>
        <v>Not Found</v>
      </c>
      <c r="N44" t="str">
        <f>IFERROR(VLOOKUP($A44,'AAPT ExDa'!$B$2:$U$99, 0,FALSE), IFERROR(VLOOKUP($A44,'ABB ExDa'!$A$2:$N$184, 13,FALSE), IFERROR(VLOOKUP($A44,'Vocus SIT ExDa'!$B$2:$J$173, 0,FALSE), IFERROR(VLOOKUP($A44,'Telstra ExDa'!$B$2:$K$310, 0,FALSE), IFERROR(VLOOKUP($A44,'Vocus RVC ExDa'!$C$2:$R$155, 0,FALSE), IFERROR(VLOOKUP($A44,'Fusion ExDa'!$B$2:$D$16, 0,FALSE), IFERROR(VLOOKUP($A44,'Exetel ExDa'!$C$2:$N$14, 0,FALSE), IFERROR(VLOOKUP($A44,'Infinet ExDa'!$B$2:$E$14, 0,FALSE), "Not Found"))))))))</f>
        <v>Not Found</v>
      </c>
    </row>
    <row r="45" spans="1:14">
      <c r="A45" t="str">
        <v>Niecon</v>
      </c>
      <c r="B45" t="str">
        <f>IFERROR(VLOOKUP(A45,'Exetel ExDa'!$C$2:$N$14,4,FALSE),"No Data")</f>
        <v>No Data</v>
      </c>
      <c r="C45" t="str">
        <f>IFERROR(VLOOKUP(A45,'AAPT ExDa'!$B$2:$U$99, 2,FALSE), IFERROR(VLOOKUP(A45,'ABB ExDa'!$A$2:$N$184, 2,FALSE), IFERROR(VLOOKUP(A45,'Vocus SIT ExDa'!$B$2:$J$173, 7,FALSE), IFERROR(VLOOKUP(A45,'Telstra ExDa'!$B$2:$K$310, 2,FALSE), IFERROR(VLOOKUP(A45,'Vocus RVC ExDa'!$C$2:$R$155, 3,FALSE), IFERROR(VLOOKUP(A45,'Fusion ExDa'!$B$2:$D$16, 2,FALSE), IFERROR(VLOOKUP(A45,'Exetel ExDa'!$C$2:$N$14, 2,FALSE), IFERROR(VLOOKUP(A45,'Infinet ExDa'!$B$2:$E$14, 2,FALSE), "Not Found"))))))))</f>
        <v>Broadbeach</v>
      </c>
      <c r="D45" t="str">
        <f>IFERROR(VLOOKUP($A45,'AAPT ExDa'!$B$2:$U$99, 15,FALSE), IFERROR(VLOOKUP($A45,'ABB ExDa'!$A$2:$N$184, 4,FALSE), IFERROR(VLOOKUP($A45,'Vocus SIT ExDa'!$B$2:$J$173, 5,FALSE), IFERROR(VLOOKUP($A45,'Telstra ExDa'!$B$2:$K$310, 8,FALSE), IFERROR(VLOOKUP($A45,'Vocus RVC ExDa'!$C$2:$R$155, 6,FALSE), IFERROR(VLOOKUP($A45,'Fusion ExDa'!$B$2:$D$16, 4,FALSE), IFERROR(VLOOKUP($A45,'Exetel ExDa'!$C$2:$N$14, 3,FALSE), IFERROR(VLOOKUP($A45,'Infinet ExDa'!$B$2:$E$14, 3,FALSE), "Not Found"))))))))</f>
        <v>AAPT</v>
      </c>
      <c r="E45" t="str">
        <f>IFERROR(VLOOKUP($A45,'AAPT ExDa'!$B$2:$U$99, 3,FALSE), IFERROR(VLOOKUP($A45,'ABB ExDa'!$A$2:$N$184, 5,FALSE), IFERROR(VLOOKUP($A45,'Vocus SIT ExDa'!$B$2:$J$173, 2,FALSE), IFERROR(VLOOKUP($A45,'Telstra ExDa'!$B$2:$K$310, 4,FALSE), IFERROR(VLOOKUP($A45,'Vocus RVC ExDa'!$C$2:$R$155, 8,FALSE), IFERROR(VLOOKUP($A45,'Fusion ExDa'!$B$2:$D$16, 4,FALSE), IFERROR(VLOOKUP($A45,'Exetel ExDa'!$C$2:$N$14, 5,FALSE), IFERROR(VLOOKUP($A45,'Infinet ExDa'!$B$2:$E$14, 3,FALSE), "Not Found"))))))))</f>
        <v>FAST Fibre</v>
      </c>
      <c r="F45" t="str">
        <f>IFERROR(VLOOKUP($A45,'AAPT ExDa'!$B$2:$U$99, 4,FALSE), IFERROR(VLOOKUP($A45,'ABB ExDa'!$A$2:$N$184, 6,FALSE), IFERROR(VLOOKUP($A45,'Vocus SIT ExDa'!$B$2:$J$173, 3,FALSE), IFERROR(VLOOKUP($A45,'Telstra ExDa'!$B$2:$K$310, 5,FALSE), IFERROR(VLOOKUP($A45,'Vocus RVC ExDa'!$C$2:$R$155, 9,FALSE), IFERROR(VLOOKUP($A45,'Fusion ExDa'!$B$2:$D$16, 0,FALSE), IFERROR(VLOOKUP($A45,'Exetel ExDa'!$C$2:$N$14, 6,FALSE), IFERROR(VLOOKUP($A45,'Infinet ExDa'!$B$2:$E$14, 0,FALSE), "Not Found"))))))))</f>
        <v>FAST Fibre (NTU)</v>
      </c>
      <c r="G45">
        <f>IFERROR(VLOOKUP($A45,'AAPT ExDa'!$B$2:$U$99, 5,FALSE), IFERROR(VLOOKUP($A45,'ABB ExDa'!$A$2:$N$184, 8,FALSE), IFERROR(VLOOKUP($A45,'Vocus SIT ExDa'!$B$2:$J$173, 6,FALSE), IFERROR(VLOOKUP($A45,'Telstra ExDa'!$B$2:$K$310, 0,FALSE), IFERROR(VLOOKUP($A45,'Vocus RVC ExDa'!$C$2:$R$155, 15,FALSE), IFERROR(VLOOKUP($A45,'Fusion ExDa'!$B$2:$D$16, 0,FALSE), IFERROR(VLOOKUP($A45,'Exetel ExDa'!$C$2:$N$14, 7,FALSE), IFERROR(VLOOKUP($A45,'Infinet ExDa'!$B$2:$E$14, 0,FALSE), "Not Found"))))))))</f>
        <v>0</v>
      </c>
      <c r="H45" t="str">
        <f>IFERROR(VLOOKUP($A45,'AAPT ExDa'!$B$2:$U$99, 6,FALSE), IFERROR(VLOOKUP($A45,'ABB ExDa'!$A$2:$N$184, 0,FALSE), IFERROR(VLOOKUP($A45,'Vocus SIT ExDa'!$B$2:$J$173, 0,FALSE), IFERROR(VLOOKUP($A45,'Telstra ExDa'!$B$2:$K$310, 0,FALSE), IFERROR(VLOOKUP($A45,'Vocus RVC ExDa'!$C$2:$R$155, 16,FALSE), IFERROR(VLOOKUP($A45,'Fusion ExDa'!$B$2:$D$16, 0,FALSE), IFERROR(VLOOKUP($A45,'Exetel ExDa'!$C$2:$N$14, 0,FALSE), IFERROR(VLOOKUP($A45,'Infinet ExDa'!$B$2:$E$14, 0,FALSE), "Not Found"))))))))</f>
        <v>400 Mbps; 36 Months</v>
      </c>
      <c r="I45" t="str">
        <f>IFERROR(VLOOKUP($A45,'AAPT ExDa'!$B$2:$U$99, 0,FALSE), IFERROR(VLOOKUP($A45,'ABB ExDa'!$A$2:$N$184, 0,FALSE), IFERROR(VLOOKUP($A45,'Vocus SIT ExDa'!$B$2:$J$173, 0,FALSE), IFERROR(VLOOKUP($A45,'Telstra ExDa'!$B$2:$K$310, 0,FALSE), IFERROR(VLOOKUP($A45,'Vocus RVC ExDa'!$C$2:$R$155, 0,FALSE), IFERROR(VLOOKUP($A45,'Fusion ExDa'!$B$2:$D$16, 0,FALSE), IFERROR(VLOOKUP($A45,'Exetel ExDa'!$C$2:$N$14, 8,FALSE), IFERROR(VLOOKUP($A45,'Infinet ExDa'!$B$2:$E$14, 0,FALSE), "Not Found"))))))))</f>
        <v>Not Found</v>
      </c>
      <c r="J45">
        <f>IFERROR(VLOOKUP($A45,'AAPT ExDa'!$B$2:$U$99, 7,FALSE), IFERROR(VLOOKUP($A45,'ABB ExDa'!$A$2:$N$184, 2,FALSE), IFERROR(VLOOKUP($A45,'Vocus SIT ExDa'!$B$2:$J$173, 0,FALSE), IFERROR(VLOOKUP($A45,'Telstra ExDa'!$B$2:$K$310, 7,FALSE), IFERROR(VLOOKUP($A45,'Vocus RVC ExDa'!$C$2:$R$155, 2,FALSE), IFERROR(VLOOKUP($A45,'Fusion ExDa'!$B$2:$D$16, 3,FALSE), IFERROR(VLOOKUP($A45,'Exetel ExDa'!$C$2:$N$14, 0,FALSE), IFERROR(VLOOKUP($A45,'Infinet ExDa'!$B$2:$E$14, 0,FALSE), "Not Found"))))))))</f>
        <v>0</v>
      </c>
      <c r="K45" t="str">
        <f>IFERROR(VLOOKUP($A45,'AAPT ExDa'!$B$2:$U$99, 12,FALSE), IFERROR(VLOOKUP($A45,'ABB ExDa'!$A$2:$N$184, 0,FALSE), IFERROR(VLOOKUP($A45,'Vocus SIT ExDa'!$B$2:$J$173, 0,FALSE), IFERROR(VLOOKUP($A45,'Telstra ExDa'!$B$2:$K$310, 0,FALSE), IFERROR(VLOOKUP($A45,'Vocus RVC ExDa'!$C$2:$R$155, 0,FALSE), IFERROR(VLOOKUP($A45,'Fusion ExDa'!$B$2:$D$16, 0,FALSE), IFERROR(VLOOKUP($A45,'Exetel ExDa'!$C$2:$N$14, 12,FALSE), IFERROR(VLOOKUP($A45,'Infinet ExDa'!$B$2:$E$14, 0,FALSE), "Not Found"))))))))</f>
        <v>36 Months</v>
      </c>
      <c r="L45" s="235" t="str">
        <f>IFERROR(VLOOKUP($A45,'AAPT ExDa'!$B$2:$U$99, 11,FALSE), IFERROR(VLOOKUP($A45,'ABB ExDa'!$A$2:$N$184, 9,FALSE), IFERROR(VLOOKUP($A45,'Vocus SIT ExDa'!$B$2:$J$173, 8,FALSE), IFERROR(VLOOKUP($A45,'Telstra ExDa'!$B$2:$K$310, 0,FALSE), IFERROR(VLOOKUP($A45,'Vocus RVC ExDa'!$C$2:$R$155, 0,FALSE), IFERROR(VLOOKUP($A45,'Fusion ExDa'!$B$2:$D$16, 0,FALSE), IFERROR(VLOOKUP($A45,'Exetel ExDa'!$C$2:$N$14, 9,FALSE), IFERROR(VLOOKUP($A45,'Infinet ExDa'!$B$2:$E$14, 0,FALSE), "Not Found"))))))))</f>
        <v>21/02/2022</v>
      </c>
      <c r="M45" s="234" t="str">
        <f>IFERROR(VLOOKUP($A45,'AAPT ExDa'!$B$2:$U$99, 0,FALSE), IFERROR(VLOOKUP($A45,'ABB ExDa'!$A$2:$N$184, 0,FALSE), IFERROR(VLOOKUP($A45,'Vocus SIT ExDa'!$B$2:$J$173, 0,FALSE), IFERROR(VLOOKUP($A45,'Telstra ExDa'!$B$2:$K$310, 0,FALSE), IFERROR(VLOOKUP($A45,'Vocus RVC ExDa'!$C$2:$R$155, 0,FALSE), IFERROR(VLOOKUP($A45,'Fusion ExDa'!$B$2:$D$16, 0,FALSE), IFERROR(VLOOKUP($A45,'Exetel ExDa'!$C$2:$N$14, 11,FALSE), IFERROR(VLOOKUP($A45,'Infinet ExDa'!$B$2:$E$14, 0,FALSE), "Not Found"))))))))</f>
        <v>Not Found</v>
      </c>
      <c r="N45" t="str">
        <f>IFERROR(VLOOKUP($A45,'AAPT ExDa'!$B$2:$U$99, 0,FALSE), IFERROR(VLOOKUP($A45,'ABB ExDa'!$A$2:$N$184, 13,FALSE), IFERROR(VLOOKUP($A45,'Vocus SIT ExDa'!$B$2:$J$173, 0,FALSE), IFERROR(VLOOKUP($A45,'Telstra ExDa'!$B$2:$K$310, 0,FALSE), IFERROR(VLOOKUP($A45,'Vocus RVC ExDa'!$C$2:$R$155, 0,FALSE), IFERROR(VLOOKUP($A45,'Fusion ExDa'!$B$2:$D$16, 0,FALSE), IFERROR(VLOOKUP($A45,'Exetel ExDa'!$C$2:$N$14, 0,FALSE), IFERROR(VLOOKUP($A45,'Infinet ExDa'!$B$2:$E$14, 0,FALSE), "Not Found"))))))))</f>
        <v>Not Found</v>
      </c>
    </row>
    <row r="46" spans="1:14">
      <c r="A46" t="str">
        <v>Niecon</v>
      </c>
      <c r="B46" t="str">
        <f>IFERROR(VLOOKUP(A46,'Exetel ExDa'!$C$2:$N$14,4,FALSE),"No Data")</f>
        <v>No Data</v>
      </c>
      <c r="C46" t="str">
        <f>IFERROR(VLOOKUP(A46,'AAPT ExDa'!$B$2:$U$99, 2,FALSE), IFERROR(VLOOKUP(A46,'ABB ExDa'!$A$2:$N$184, 2,FALSE), IFERROR(VLOOKUP(A46,'Vocus SIT ExDa'!$B$2:$J$173, 7,FALSE), IFERROR(VLOOKUP(A46,'Telstra ExDa'!$B$2:$K$310, 2,FALSE), IFERROR(VLOOKUP(A46,'Vocus RVC ExDa'!$C$2:$R$155, 3,FALSE), IFERROR(VLOOKUP(A46,'Fusion ExDa'!$B$2:$D$16, 2,FALSE), IFERROR(VLOOKUP(A46,'Exetel ExDa'!$C$2:$N$14, 2,FALSE), IFERROR(VLOOKUP(A46,'Infinet ExDa'!$B$2:$E$14, 2,FALSE), "Not Found"))))))))</f>
        <v>Broadbeach</v>
      </c>
      <c r="D46" t="str">
        <f>IFERROR(VLOOKUP($A46,'AAPT ExDa'!$B$2:$U$99, 15,FALSE), IFERROR(VLOOKUP($A46,'ABB ExDa'!$A$2:$N$184, 4,FALSE), IFERROR(VLOOKUP($A46,'Vocus SIT ExDa'!$B$2:$J$173, 5,FALSE), IFERROR(VLOOKUP($A46,'Telstra ExDa'!$B$2:$K$310, 8,FALSE), IFERROR(VLOOKUP($A46,'Vocus RVC ExDa'!$C$2:$R$155, 6,FALSE), IFERROR(VLOOKUP($A46,'Fusion ExDa'!$B$2:$D$16, 4,FALSE), IFERROR(VLOOKUP($A46,'Exetel ExDa'!$C$2:$N$14, 3,FALSE), IFERROR(VLOOKUP($A46,'Infinet ExDa'!$B$2:$E$14, 3,FALSE), "Not Found"))))))))</f>
        <v>AAPT</v>
      </c>
      <c r="E46" t="str">
        <f>IFERROR(VLOOKUP($A46,'AAPT ExDa'!$B$2:$U$99, 3,FALSE), IFERROR(VLOOKUP($A46,'ABB ExDa'!$A$2:$N$184, 5,FALSE), IFERROR(VLOOKUP($A46,'Vocus SIT ExDa'!$B$2:$J$173, 2,FALSE), IFERROR(VLOOKUP($A46,'Telstra ExDa'!$B$2:$K$310, 4,FALSE), IFERROR(VLOOKUP($A46,'Vocus RVC ExDa'!$C$2:$R$155, 8,FALSE), IFERROR(VLOOKUP($A46,'Fusion ExDa'!$B$2:$D$16, 4,FALSE), IFERROR(VLOOKUP($A46,'Exetel ExDa'!$C$2:$N$14, 5,FALSE), IFERROR(VLOOKUP($A46,'Infinet ExDa'!$B$2:$E$14, 3,FALSE), "Not Found"))))))))</f>
        <v>FAST Fibre</v>
      </c>
      <c r="F46" t="str">
        <f>IFERROR(VLOOKUP($A46,'AAPT ExDa'!$B$2:$U$99, 4,FALSE), IFERROR(VLOOKUP($A46,'ABB ExDa'!$A$2:$N$184, 6,FALSE), IFERROR(VLOOKUP($A46,'Vocus SIT ExDa'!$B$2:$J$173, 3,FALSE), IFERROR(VLOOKUP($A46,'Telstra ExDa'!$B$2:$K$310, 5,FALSE), IFERROR(VLOOKUP($A46,'Vocus RVC ExDa'!$C$2:$R$155, 9,FALSE), IFERROR(VLOOKUP($A46,'Fusion ExDa'!$B$2:$D$16, 0,FALSE), IFERROR(VLOOKUP($A46,'Exetel ExDa'!$C$2:$N$14, 6,FALSE), IFERROR(VLOOKUP($A46,'Infinet ExDa'!$B$2:$E$14, 0,FALSE), "Not Found"))))))))</f>
        <v>FAST Fibre (NTU)</v>
      </c>
      <c r="G46">
        <f>IFERROR(VLOOKUP($A46,'AAPT ExDa'!$B$2:$U$99, 5,FALSE), IFERROR(VLOOKUP($A46,'ABB ExDa'!$A$2:$N$184, 8,FALSE), IFERROR(VLOOKUP($A46,'Vocus SIT ExDa'!$B$2:$J$173, 6,FALSE), IFERROR(VLOOKUP($A46,'Telstra ExDa'!$B$2:$K$310, 0,FALSE), IFERROR(VLOOKUP($A46,'Vocus RVC ExDa'!$C$2:$R$155, 15,FALSE), IFERROR(VLOOKUP($A46,'Fusion ExDa'!$B$2:$D$16, 0,FALSE), IFERROR(VLOOKUP($A46,'Exetel ExDa'!$C$2:$N$14, 7,FALSE), IFERROR(VLOOKUP($A46,'Infinet ExDa'!$B$2:$E$14, 0,FALSE), "Not Found"))))))))</f>
        <v>0</v>
      </c>
      <c r="H46" t="str">
        <f>IFERROR(VLOOKUP($A46,'AAPT ExDa'!$B$2:$U$99, 6,FALSE), IFERROR(VLOOKUP($A46,'ABB ExDa'!$A$2:$N$184, 0,FALSE), IFERROR(VLOOKUP($A46,'Vocus SIT ExDa'!$B$2:$J$173, 0,FALSE), IFERROR(VLOOKUP($A46,'Telstra ExDa'!$B$2:$K$310, 0,FALSE), IFERROR(VLOOKUP($A46,'Vocus RVC ExDa'!$C$2:$R$155, 16,FALSE), IFERROR(VLOOKUP($A46,'Fusion ExDa'!$B$2:$D$16, 0,FALSE), IFERROR(VLOOKUP($A46,'Exetel ExDa'!$C$2:$N$14, 0,FALSE), IFERROR(VLOOKUP($A46,'Infinet ExDa'!$B$2:$E$14, 0,FALSE), "Not Found"))))))))</f>
        <v>400 Mbps; 36 Months</v>
      </c>
      <c r="I46" t="str">
        <f>IFERROR(VLOOKUP($A46,'AAPT ExDa'!$B$2:$U$99, 0,FALSE), IFERROR(VLOOKUP($A46,'ABB ExDa'!$A$2:$N$184, 0,FALSE), IFERROR(VLOOKUP($A46,'Vocus SIT ExDa'!$B$2:$J$173, 0,FALSE), IFERROR(VLOOKUP($A46,'Telstra ExDa'!$B$2:$K$310, 0,FALSE), IFERROR(VLOOKUP($A46,'Vocus RVC ExDa'!$C$2:$R$155, 0,FALSE), IFERROR(VLOOKUP($A46,'Fusion ExDa'!$B$2:$D$16, 0,FALSE), IFERROR(VLOOKUP($A46,'Exetel ExDa'!$C$2:$N$14, 8,FALSE), IFERROR(VLOOKUP($A46,'Infinet ExDa'!$B$2:$E$14, 0,FALSE), "Not Found"))))))))</f>
        <v>Not Found</v>
      </c>
      <c r="J46">
        <f>IFERROR(VLOOKUP($A46,'AAPT ExDa'!$B$2:$U$99, 7,FALSE), IFERROR(VLOOKUP($A46,'ABB ExDa'!$A$2:$N$184, 2,FALSE), IFERROR(VLOOKUP($A46,'Vocus SIT ExDa'!$B$2:$J$173, 0,FALSE), IFERROR(VLOOKUP($A46,'Telstra ExDa'!$B$2:$K$310, 7,FALSE), IFERROR(VLOOKUP($A46,'Vocus RVC ExDa'!$C$2:$R$155, 2,FALSE), IFERROR(VLOOKUP($A46,'Fusion ExDa'!$B$2:$D$16, 3,FALSE), IFERROR(VLOOKUP($A46,'Exetel ExDa'!$C$2:$N$14, 0,FALSE), IFERROR(VLOOKUP($A46,'Infinet ExDa'!$B$2:$E$14, 0,FALSE), "Not Found"))))))))</f>
        <v>0</v>
      </c>
      <c r="K46" t="str">
        <f>IFERROR(VLOOKUP($A46,'AAPT ExDa'!$B$2:$U$99, 12,FALSE), IFERROR(VLOOKUP($A46,'ABB ExDa'!$A$2:$N$184, 0,FALSE), IFERROR(VLOOKUP($A46,'Vocus SIT ExDa'!$B$2:$J$173, 0,FALSE), IFERROR(VLOOKUP($A46,'Telstra ExDa'!$B$2:$K$310, 0,FALSE), IFERROR(VLOOKUP($A46,'Vocus RVC ExDa'!$C$2:$R$155, 0,FALSE), IFERROR(VLOOKUP($A46,'Fusion ExDa'!$B$2:$D$16, 0,FALSE), IFERROR(VLOOKUP($A46,'Exetel ExDa'!$C$2:$N$14, 12,FALSE), IFERROR(VLOOKUP($A46,'Infinet ExDa'!$B$2:$E$14, 0,FALSE), "Not Found"))))))))</f>
        <v>36 Months</v>
      </c>
      <c r="L46" s="235" t="str">
        <f>IFERROR(VLOOKUP($A46,'AAPT ExDa'!$B$2:$U$99, 11,FALSE), IFERROR(VLOOKUP($A46,'ABB ExDa'!$A$2:$N$184, 9,FALSE), IFERROR(VLOOKUP($A46,'Vocus SIT ExDa'!$B$2:$J$173, 8,FALSE), IFERROR(VLOOKUP($A46,'Telstra ExDa'!$B$2:$K$310, 0,FALSE), IFERROR(VLOOKUP($A46,'Vocus RVC ExDa'!$C$2:$R$155, 0,FALSE), IFERROR(VLOOKUP($A46,'Fusion ExDa'!$B$2:$D$16, 0,FALSE), IFERROR(VLOOKUP($A46,'Exetel ExDa'!$C$2:$N$14, 9,FALSE), IFERROR(VLOOKUP($A46,'Infinet ExDa'!$B$2:$E$14, 0,FALSE), "Not Found"))))))))</f>
        <v>21/02/2022</v>
      </c>
      <c r="M46" s="234" t="str">
        <f>IFERROR(VLOOKUP($A46,'AAPT ExDa'!$B$2:$U$99, 0,FALSE), IFERROR(VLOOKUP($A46,'ABB ExDa'!$A$2:$N$184, 0,FALSE), IFERROR(VLOOKUP($A46,'Vocus SIT ExDa'!$B$2:$J$173, 0,FALSE), IFERROR(VLOOKUP($A46,'Telstra ExDa'!$B$2:$K$310, 0,FALSE), IFERROR(VLOOKUP($A46,'Vocus RVC ExDa'!$C$2:$R$155, 0,FALSE), IFERROR(VLOOKUP($A46,'Fusion ExDa'!$B$2:$D$16, 0,FALSE), IFERROR(VLOOKUP($A46,'Exetel ExDa'!$C$2:$N$14, 11,FALSE), IFERROR(VLOOKUP($A46,'Infinet ExDa'!$B$2:$E$14, 0,FALSE), "Not Found"))))))))</f>
        <v>Not Found</v>
      </c>
      <c r="N46" t="str">
        <f>IFERROR(VLOOKUP($A46,'AAPT ExDa'!$B$2:$U$99, 0,FALSE), IFERROR(VLOOKUP($A46,'ABB ExDa'!$A$2:$N$184, 13,FALSE), IFERROR(VLOOKUP($A46,'Vocus SIT ExDa'!$B$2:$J$173, 0,FALSE), IFERROR(VLOOKUP($A46,'Telstra ExDa'!$B$2:$K$310, 0,FALSE), IFERROR(VLOOKUP($A46,'Vocus RVC ExDa'!$C$2:$R$155, 0,FALSE), IFERROR(VLOOKUP($A46,'Fusion ExDa'!$B$2:$D$16, 0,FALSE), IFERROR(VLOOKUP($A46,'Exetel ExDa'!$C$2:$N$14, 0,FALSE), IFERROR(VLOOKUP($A46,'Infinet ExDa'!$B$2:$E$14, 0,FALSE), "Not Found"))))))))</f>
        <v>Not Found</v>
      </c>
    </row>
    <row r="47" spans="1:14">
      <c r="A47" t="str">
        <v>Niecon</v>
      </c>
      <c r="B47" t="str">
        <f>IFERROR(VLOOKUP(A47,'Exetel ExDa'!$C$2:$N$14,4,FALSE),"No Data")</f>
        <v>No Data</v>
      </c>
      <c r="C47" t="str">
        <f>IFERROR(VLOOKUP(A47,'AAPT ExDa'!$B$2:$U$99, 2,FALSE), IFERROR(VLOOKUP(A47,'ABB ExDa'!$A$2:$N$184, 2,FALSE), IFERROR(VLOOKUP(A47,'Vocus SIT ExDa'!$B$2:$J$173, 7,FALSE), IFERROR(VLOOKUP(A47,'Telstra ExDa'!$B$2:$K$310, 2,FALSE), IFERROR(VLOOKUP(A47,'Vocus RVC ExDa'!$C$2:$R$155, 3,FALSE), IFERROR(VLOOKUP(A47,'Fusion ExDa'!$B$2:$D$16, 2,FALSE), IFERROR(VLOOKUP(A47,'Exetel ExDa'!$C$2:$N$14, 2,FALSE), IFERROR(VLOOKUP(A47,'Infinet ExDa'!$B$2:$E$14, 2,FALSE), "Not Found"))))))))</f>
        <v>Broadbeach</v>
      </c>
      <c r="D47" t="str">
        <f>IFERROR(VLOOKUP($A47,'AAPT ExDa'!$B$2:$U$99, 15,FALSE), IFERROR(VLOOKUP($A47,'ABB ExDa'!$A$2:$N$184, 4,FALSE), IFERROR(VLOOKUP($A47,'Vocus SIT ExDa'!$B$2:$J$173, 5,FALSE), IFERROR(VLOOKUP($A47,'Telstra ExDa'!$B$2:$K$310, 8,FALSE), IFERROR(VLOOKUP($A47,'Vocus RVC ExDa'!$C$2:$R$155, 6,FALSE), IFERROR(VLOOKUP($A47,'Fusion ExDa'!$B$2:$D$16, 4,FALSE), IFERROR(VLOOKUP($A47,'Exetel ExDa'!$C$2:$N$14, 3,FALSE), IFERROR(VLOOKUP($A47,'Infinet ExDa'!$B$2:$E$14, 3,FALSE), "Not Found"))))))))</f>
        <v>AAPT</v>
      </c>
      <c r="E47" t="str">
        <f>IFERROR(VLOOKUP($A47,'AAPT ExDa'!$B$2:$U$99, 3,FALSE), IFERROR(VLOOKUP($A47,'ABB ExDa'!$A$2:$N$184, 5,FALSE), IFERROR(VLOOKUP($A47,'Vocus SIT ExDa'!$B$2:$J$173, 2,FALSE), IFERROR(VLOOKUP($A47,'Telstra ExDa'!$B$2:$K$310, 4,FALSE), IFERROR(VLOOKUP($A47,'Vocus RVC ExDa'!$C$2:$R$155, 8,FALSE), IFERROR(VLOOKUP($A47,'Fusion ExDa'!$B$2:$D$16, 4,FALSE), IFERROR(VLOOKUP($A47,'Exetel ExDa'!$C$2:$N$14, 5,FALSE), IFERROR(VLOOKUP($A47,'Infinet ExDa'!$B$2:$E$14, 3,FALSE), "Not Found"))))))))</f>
        <v>FAST Fibre</v>
      </c>
      <c r="F47" t="str">
        <f>IFERROR(VLOOKUP($A47,'AAPT ExDa'!$B$2:$U$99, 4,FALSE), IFERROR(VLOOKUP($A47,'ABB ExDa'!$A$2:$N$184, 6,FALSE), IFERROR(VLOOKUP($A47,'Vocus SIT ExDa'!$B$2:$J$173, 3,FALSE), IFERROR(VLOOKUP($A47,'Telstra ExDa'!$B$2:$K$310, 5,FALSE), IFERROR(VLOOKUP($A47,'Vocus RVC ExDa'!$C$2:$R$155, 9,FALSE), IFERROR(VLOOKUP($A47,'Fusion ExDa'!$B$2:$D$16, 0,FALSE), IFERROR(VLOOKUP($A47,'Exetel ExDa'!$C$2:$N$14, 6,FALSE), IFERROR(VLOOKUP($A47,'Infinet ExDa'!$B$2:$E$14, 0,FALSE), "Not Found"))))))))</f>
        <v>FAST Fibre (NTU)</v>
      </c>
      <c r="G47">
        <f>IFERROR(VLOOKUP($A47,'AAPT ExDa'!$B$2:$U$99, 5,FALSE), IFERROR(VLOOKUP($A47,'ABB ExDa'!$A$2:$N$184, 8,FALSE), IFERROR(VLOOKUP($A47,'Vocus SIT ExDa'!$B$2:$J$173, 6,FALSE), IFERROR(VLOOKUP($A47,'Telstra ExDa'!$B$2:$K$310, 0,FALSE), IFERROR(VLOOKUP($A47,'Vocus RVC ExDa'!$C$2:$R$155, 15,FALSE), IFERROR(VLOOKUP($A47,'Fusion ExDa'!$B$2:$D$16, 0,FALSE), IFERROR(VLOOKUP($A47,'Exetel ExDa'!$C$2:$N$14, 7,FALSE), IFERROR(VLOOKUP($A47,'Infinet ExDa'!$B$2:$E$14, 0,FALSE), "Not Found"))))))))</f>
        <v>0</v>
      </c>
      <c r="H47" t="str">
        <f>IFERROR(VLOOKUP($A47,'AAPT ExDa'!$B$2:$U$99, 6,FALSE), IFERROR(VLOOKUP($A47,'ABB ExDa'!$A$2:$N$184, 0,FALSE), IFERROR(VLOOKUP($A47,'Vocus SIT ExDa'!$B$2:$J$173, 0,FALSE), IFERROR(VLOOKUP($A47,'Telstra ExDa'!$B$2:$K$310, 0,FALSE), IFERROR(VLOOKUP($A47,'Vocus RVC ExDa'!$C$2:$R$155, 16,FALSE), IFERROR(VLOOKUP($A47,'Fusion ExDa'!$B$2:$D$16, 0,FALSE), IFERROR(VLOOKUP($A47,'Exetel ExDa'!$C$2:$N$14, 0,FALSE), IFERROR(VLOOKUP($A47,'Infinet ExDa'!$B$2:$E$14, 0,FALSE), "Not Found"))))))))</f>
        <v>400 Mbps; 36 Months</v>
      </c>
      <c r="I47" t="str">
        <f>IFERROR(VLOOKUP($A47,'AAPT ExDa'!$B$2:$U$99, 0,FALSE), IFERROR(VLOOKUP($A47,'ABB ExDa'!$A$2:$N$184, 0,FALSE), IFERROR(VLOOKUP($A47,'Vocus SIT ExDa'!$B$2:$J$173, 0,FALSE), IFERROR(VLOOKUP($A47,'Telstra ExDa'!$B$2:$K$310, 0,FALSE), IFERROR(VLOOKUP($A47,'Vocus RVC ExDa'!$C$2:$R$155, 0,FALSE), IFERROR(VLOOKUP($A47,'Fusion ExDa'!$B$2:$D$16, 0,FALSE), IFERROR(VLOOKUP($A47,'Exetel ExDa'!$C$2:$N$14, 8,FALSE), IFERROR(VLOOKUP($A47,'Infinet ExDa'!$B$2:$E$14, 0,FALSE), "Not Found"))))))))</f>
        <v>Not Found</v>
      </c>
      <c r="J47">
        <f>IFERROR(VLOOKUP($A47,'AAPT ExDa'!$B$2:$U$99, 7,FALSE), IFERROR(VLOOKUP($A47,'ABB ExDa'!$A$2:$N$184, 2,FALSE), IFERROR(VLOOKUP($A47,'Vocus SIT ExDa'!$B$2:$J$173, 0,FALSE), IFERROR(VLOOKUP($A47,'Telstra ExDa'!$B$2:$K$310, 7,FALSE), IFERROR(VLOOKUP($A47,'Vocus RVC ExDa'!$C$2:$R$155, 2,FALSE), IFERROR(VLOOKUP($A47,'Fusion ExDa'!$B$2:$D$16, 3,FALSE), IFERROR(VLOOKUP($A47,'Exetel ExDa'!$C$2:$N$14, 0,FALSE), IFERROR(VLOOKUP($A47,'Infinet ExDa'!$B$2:$E$14, 0,FALSE), "Not Found"))))))))</f>
        <v>0</v>
      </c>
      <c r="K47" t="str">
        <f>IFERROR(VLOOKUP($A47,'AAPT ExDa'!$B$2:$U$99, 12,FALSE), IFERROR(VLOOKUP($A47,'ABB ExDa'!$A$2:$N$184, 0,FALSE), IFERROR(VLOOKUP($A47,'Vocus SIT ExDa'!$B$2:$J$173, 0,FALSE), IFERROR(VLOOKUP($A47,'Telstra ExDa'!$B$2:$K$310, 0,FALSE), IFERROR(VLOOKUP($A47,'Vocus RVC ExDa'!$C$2:$R$155, 0,FALSE), IFERROR(VLOOKUP($A47,'Fusion ExDa'!$B$2:$D$16, 0,FALSE), IFERROR(VLOOKUP($A47,'Exetel ExDa'!$C$2:$N$14, 12,FALSE), IFERROR(VLOOKUP($A47,'Infinet ExDa'!$B$2:$E$14, 0,FALSE), "Not Found"))))))))</f>
        <v>36 Months</v>
      </c>
      <c r="L47" s="235" t="str">
        <f>IFERROR(VLOOKUP($A47,'AAPT ExDa'!$B$2:$U$99, 11,FALSE), IFERROR(VLOOKUP($A47,'ABB ExDa'!$A$2:$N$184, 9,FALSE), IFERROR(VLOOKUP($A47,'Vocus SIT ExDa'!$B$2:$J$173, 8,FALSE), IFERROR(VLOOKUP($A47,'Telstra ExDa'!$B$2:$K$310, 0,FALSE), IFERROR(VLOOKUP($A47,'Vocus RVC ExDa'!$C$2:$R$155, 0,FALSE), IFERROR(VLOOKUP($A47,'Fusion ExDa'!$B$2:$D$16, 0,FALSE), IFERROR(VLOOKUP($A47,'Exetel ExDa'!$C$2:$N$14, 9,FALSE), IFERROR(VLOOKUP($A47,'Infinet ExDa'!$B$2:$E$14, 0,FALSE), "Not Found"))))))))</f>
        <v>21/02/2022</v>
      </c>
      <c r="M47" s="234" t="str">
        <f>IFERROR(VLOOKUP($A47,'AAPT ExDa'!$B$2:$U$99, 0,FALSE), IFERROR(VLOOKUP($A47,'ABB ExDa'!$A$2:$N$184, 0,FALSE), IFERROR(VLOOKUP($A47,'Vocus SIT ExDa'!$B$2:$J$173, 0,FALSE), IFERROR(VLOOKUP($A47,'Telstra ExDa'!$B$2:$K$310, 0,FALSE), IFERROR(VLOOKUP($A47,'Vocus RVC ExDa'!$C$2:$R$155, 0,FALSE), IFERROR(VLOOKUP($A47,'Fusion ExDa'!$B$2:$D$16, 0,FALSE), IFERROR(VLOOKUP($A47,'Exetel ExDa'!$C$2:$N$14, 11,FALSE), IFERROR(VLOOKUP($A47,'Infinet ExDa'!$B$2:$E$14, 0,FALSE), "Not Found"))))))))</f>
        <v>Not Found</v>
      </c>
      <c r="N47" t="str">
        <f>IFERROR(VLOOKUP($A47,'AAPT ExDa'!$B$2:$U$99, 0,FALSE), IFERROR(VLOOKUP($A47,'ABB ExDa'!$A$2:$N$184, 13,FALSE), IFERROR(VLOOKUP($A47,'Vocus SIT ExDa'!$B$2:$J$173, 0,FALSE), IFERROR(VLOOKUP($A47,'Telstra ExDa'!$B$2:$K$310, 0,FALSE), IFERROR(VLOOKUP($A47,'Vocus RVC ExDa'!$C$2:$R$155, 0,FALSE), IFERROR(VLOOKUP($A47,'Fusion ExDa'!$B$2:$D$16, 0,FALSE), IFERROR(VLOOKUP($A47,'Exetel ExDa'!$C$2:$N$14, 0,FALSE), IFERROR(VLOOKUP($A47,'Infinet ExDa'!$B$2:$E$14, 0,FALSE), "Not Found"))))))))</f>
        <v>Not Found</v>
      </c>
    </row>
    <row r="48" spans="1:14">
      <c r="A48" t="str">
        <v>Pip Theatre</v>
      </c>
      <c r="B48" t="str">
        <f>IFERROR(VLOOKUP(A48,'Exetel ExDa'!$C$2:$N$14,4,FALSE),"No Data")</f>
        <v>No Data</v>
      </c>
      <c r="C48" t="str">
        <f>IFERROR(VLOOKUP(A48,'AAPT ExDa'!$B$2:$U$99, 2,FALSE), IFERROR(VLOOKUP(A48,'ABB ExDa'!$A$2:$N$184, 2,FALSE), IFERROR(VLOOKUP(A48,'Vocus SIT ExDa'!$B$2:$J$173, 7,FALSE), IFERROR(VLOOKUP(A48,'Telstra ExDa'!$B$2:$K$310, 2,FALSE), IFERROR(VLOOKUP(A48,'Vocus RVC ExDa'!$C$2:$R$155, 3,FALSE), IFERROR(VLOOKUP(A48,'Fusion ExDa'!$B$2:$D$16, 2,FALSE), IFERROR(VLOOKUP(A48,'Exetel ExDa'!$C$2:$N$14, 2,FALSE), IFERROR(VLOOKUP(A48,'Infinet ExDa'!$B$2:$E$14, 2,FALSE), "Not Found"))))))))</f>
        <v>Milton</v>
      </c>
      <c r="D48" t="str">
        <f>IFERROR(VLOOKUP($A48,'AAPT ExDa'!$B$2:$U$99, 15,FALSE), IFERROR(VLOOKUP($A48,'ABB ExDa'!$A$2:$N$184, 4,FALSE), IFERROR(VLOOKUP($A48,'Vocus SIT ExDa'!$B$2:$J$173, 5,FALSE), IFERROR(VLOOKUP($A48,'Telstra ExDa'!$B$2:$K$310, 8,FALSE), IFERROR(VLOOKUP($A48,'Vocus RVC ExDa'!$C$2:$R$155, 6,FALSE), IFERROR(VLOOKUP($A48,'Fusion ExDa'!$B$2:$D$16, 4,FALSE), IFERROR(VLOOKUP($A48,'Exetel ExDa'!$C$2:$N$14, 3,FALSE), IFERROR(VLOOKUP($A48,'Infinet ExDa'!$B$2:$E$14, 3,FALSE), "Not Found"))))))))</f>
        <v>AAPT</v>
      </c>
      <c r="E48" t="str">
        <f>IFERROR(VLOOKUP($A48,'AAPT ExDa'!$B$2:$U$99, 3,FALSE), IFERROR(VLOOKUP($A48,'ABB ExDa'!$A$2:$N$184, 5,FALSE), IFERROR(VLOOKUP($A48,'Vocus SIT ExDa'!$B$2:$J$173, 2,FALSE), IFERROR(VLOOKUP($A48,'Telstra ExDa'!$B$2:$K$310, 4,FALSE), IFERROR(VLOOKUP($A48,'Vocus RVC ExDa'!$C$2:$R$155, 8,FALSE), IFERROR(VLOOKUP($A48,'Fusion ExDa'!$B$2:$D$16, 4,FALSE), IFERROR(VLOOKUP($A48,'Exetel ExDa'!$C$2:$N$14, 5,FALSE), IFERROR(VLOOKUP($A48,'Infinet ExDa'!$B$2:$E$14, 3,FALSE), "Not Found"))))))))</f>
        <v>FAST Fibre</v>
      </c>
      <c r="F48" t="str">
        <f>IFERROR(VLOOKUP($A48,'AAPT ExDa'!$B$2:$U$99, 4,FALSE), IFERROR(VLOOKUP($A48,'ABB ExDa'!$A$2:$N$184, 6,FALSE), IFERROR(VLOOKUP($A48,'Vocus SIT ExDa'!$B$2:$J$173, 3,FALSE), IFERROR(VLOOKUP($A48,'Telstra ExDa'!$B$2:$K$310, 5,FALSE), IFERROR(VLOOKUP($A48,'Vocus RVC ExDa'!$C$2:$R$155, 9,FALSE), IFERROR(VLOOKUP($A48,'Fusion ExDa'!$B$2:$D$16, 0,FALSE), IFERROR(VLOOKUP($A48,'Exetel ExDa'!$C$2:$N$14, 6,FALSE), IFERROR(VLOOKUP($A48,'Infinet ExDa'!$B$2:$E$14, 0,FALSE), "Not Found"))))))))</f>
        <v>FAST Fibre (NTU)</v>
      </c>
      <c r="G48">
        <f>IFERROR(VLOOKUP($A48,'AAPT ExDa'!$B$2:$U$99, 5,FALSE), IFERROR(VLOOKUP($A48,'ABB ExDa'!$A$2:$N$184, 8,FALSE), IFERROR(VLOOKUP($A48,'Vocus SIT ExDa'!$B$2:$J$173, 6,FALSE), IFERROR(VLOOKUP($A48,'Telstra ExDa'!$B$2:$K$310, 0,FALSE), IFERROR(VLOOKUP($A48,'Vocus RVC ExDa'!$C$2:$R$155, 15,FALSE), IFERROR(VLOOKUP($A48,'Fusion ExDa'!$B$2:$D$16, 0,FALSE), IFERROR(VLOOKUP($A48,'Exetel ExDa'!$C$2:$N$14, 7,FALSE), IFERROR(VLOOKUP($A48,'Infinet ExDa'!$B$2:$E$14, 0,FALSE), "Not Found"))))))))</f>
        <v>0</v>
      </c>
      <c r="H48" t="str">
        <f>IFERROR(VLOOKUP($A48,'AAPT ExDa'!$B$2:$U$99, 6,FALSE), IFERROR(VLOOKUP($A48,'ABB ExDa'!$A$2:$N$184, 0,FALSE), IFERROR(VLOOKUP($A48,'Vocus SIT ExDa'!$B$2:$J$173, 0,FALSE), IFERROR(VLOOKUP($A48,'Telstra ExDa'!$B$2:$K$310, 0,FALSE), IFERROR(VLOOKUP($A48,'Vocus RVC ExDa'!$C$2:$R$155, 16,FALSE), IFERROR(VLOOKUP($A48,'Fusion ExDa'!$B$2:$D$16, 0,FALSE), IFERROR(VLOOKUP($A48,'Exetel ExDa'!$C$2:$N$14, 0,FALSE), IFERROR(VLOOKUP($A48,'Infinet ExDa'!$B$2:$E$14, 0,FALSE), "Not Found"))))))))</f>
        <v>250 Mbps; 36 Months</v>
      </c>
      <c r="I48" t="str">
        <f>IFERROR(VLOOKUP($A48,'AAPT ExDa'!$B$2:$U$99, 0,FALSE), IFERROR(VLOOKUP($A48,'ABB ExDa'!$A$2:$N$184, 0,FALSE), IFERROR(VLOOKUP($A48,'Vocus SIT ExDa'!$B$2:$J$173, 0,FALSE), IFERROR(VLOOKUP($A48,'Telstra ExDa'!$B$2:$K$310, 0,FALSE), IFERROR(VLOOKUP($A48,'Vocus RVC ExDa'!$C$2:$R$155, 0,FALSE), IFERROR(VLOOKUP($A48,'Fusion ExDa'!$B$2:$D$16, 0,FALSE), IFERROR(VLOOKUP($A48,'Exetel ExDa'!$C$2:$N$14, 8,FALSE), IFERROR(VLOOKUP($A48,'Infinet ExDa'!$B$2:$E$14, 0,FALSE), "Not Found"))))))))</f>
        <v>Not Found</v>
      </c>
      <c r="J48">
        <f>IFERROR(VLOOKUP($A48,'AAPT ExDa'!$B$2:$U$99, 7,FALSE), IFERROR(VLOOKUP($A48,'ABB ExDa'!$A$2:$N$184, 2,FALSE), IFERROR(VLOOKUP($A48,'Vocus SIT ExDa'!$B$2:$J$173, 0,FALSE), IFERROR(VLOOKUP($A48,'Telstra ExDa'!$B$2:$K$310, 7,FALSE), IFERROR(VLOOKUP($A48,'Vocus RVC ExDa'!$C$2:$R$155, 2,FALSE), IFERROR(VLOOKUP($A48,'Fusion ExDa'!$B$2:$D$16, 3,FALSE), IFERROR(VLOOKUP($A48,'Exetel ExDa'!$C$2:$N$14, 0,FALSE), IFERROR(VLOOKUP($A48,'Infinet ExDa'!$B$2:$E$14, 0,FALSE), "Not Found"))))))))</f>
        <v>0</v>
      </c>
      <c r="K48" t="str">
        <f>IFERROR(VLOOKUP($A48,'AAPT ExDa'!$B$2:$U$99, 12,FALSE), IFERROR(VLOOKUP($A48,'ABB ExDa'!$A$2:$N$184, 0,FALSE), IFERROR(VLOOKUP($A48,'Vocus SIT ExDa'!$B$2:$J$173, 0,FALSE), IFERROR(VLOOKUP($A48,'Telstra ExDa'!$B$2:$K$310, 0,FALSE), IFERROR(VLOOKUP($A48,'Vocus RVC ExDa'!$C$2:$R$155, 0,FALSE), IFERROR(VLOOKUP($A48,'Fusion ExDa'!$B$2:$D$16, 0,FALSE), IFERROR(VLOOKUP($A48,'Exetel ExDa'!$C$2:$N$14, 12,FALSE), IFERROR(VLOOKUP($A48,'Infinet ExDa'!$B$2:$E$14, 0,FALSE), "Not Found"))))))))</f>
        <v>36 Months</v>
      </c>
      <c r="L48" s="235">
        <f>IFERROR(VLOOKUP($A48,'AAPT ExDa'!$B$2:$U$99, 11,FALSE), IFERROR(VLOOKUP($A48,'ABB ExDa'!$A$2:$N$184, 9,FALSE), IFERROR(VLOOKUP($A48,'Vocus SIT ExDa'!$B$2:$J$173, 8,FALSE), IFERROR(VLOOKUP($A48,'Telstra ExDa'!$B$2:$K$310, 0,FALSE), IFERROR(VLOOKUP($A48,'Vocus RVC ExDa'!$C$2:$R$155, 0,FALSE), IFERROR(VLOOKUP($A48,'Fusion ExDa'!$B$2:$D$16, 0,FALSE), IFERROR(VLOOKUP($A48,'Exetel ExDa'!$C$2:$N$14, 9,FALSE), IFERROR(VLOOKUP($A48,'Infinet ExDa'!$B$2:$E$14, 0,FALSE), "Not Found"))))))))</f>
        <v>44903</v>
      </c>
      <c r="M48" s="234" t="str">
        <f>IFERROR(VLOOKUP($A48,'AAPT ExDa'!$B$2:$U$99, 0,FALSE), IFERROR(VLOOKUP($A48,'ABB ExDa'!$A$2:$N$184, 0,FALSE), IFERROR(VLOOKUP($A48,'Vocus SIT ExDa'!$B$2:$J$173, 0,FALSE), IFERROR(VLOOKUP($A48,'Telstra ExDa'!$B$2:$K$310, 0,FALSE), IFERROR(VLOOKUP($A48,'Vocus RVC ExDa'!$C$2:$R$155, 0,FALSE), IFERROR(VLOOKUP($A48,'Fusion ExDa'!$B$2:$D$16, 0,FALSE), IFERROR(VLOOKUP($A48,'Exetel ExDa'!$C$2:$N$14, 11,FALSE), IFERROR(VLOOKUP($A48,'Infinet ExDa'!$B$2:$E$14, 0,FALSE), "Not Found"))))))))</f>
        <v>Not Found</v>
      </c>
      <c r="N48" t="str">
        <f>IFERROR(VLOOKUP($A48,'AAPT ExDa'!$B$2:$U$99, 0,FALSE), IFERROR(VLOOKUP($A48,'ABB ExDa'!$A$2:$N$184, 13,FALSE), IFERROR(VLOOKUP($A48,'Vocus SIT ExDa'!$B$2:$J$173, 0,FALSE), IFERROR(VLOOKUP($A48,'Telstra ExDa'!$B$2:$K$310, 0,FALSE), IFERROR(VLOOKUP($A48,'Vocus RVC ExDa'!$C$2:$R$155, 0,FALSE), IFERROR(VLOOKUP($A48,'Fusion ExDa'!$B$2:$D$16, 0,FALSE), IFERROR(VLOOKUP($A48,'Exetel ExDa'!$C$2:$N$14, 0,FALSE), IFERROR(VLOOKUP($A48,'Infinet ExDa'!$B$2:$E$14, 0,FALSE), "Not Found"))))))))</f>
        <v>Not Found</v>
      </c>
    </row>
    <row r="49" spans="1:14">
      <c r="A49" t="str">
        <v>Pip Theatre</v>
      </c>
      <c r="B49" t="str">
        <f>IFERROR(VLOOKUP(A49,'Exetel ExDa'!$C$2:$N$14,4,FALSE),"No Data")</f>
        <v>No Data</v>
      </c>
      <c r="C49" t="str">
        <f>IFERROR(VLOOKUP(A49,'AAPT ExDa'!$B$2:$U$99, 2,FALSE), IFERROR(VLOOKUP(A49,'ABB ExDa'!$A$2:$N$184, 2,FALSE), IFERROR(VLOOKUP(A49,'Vocus SIT ExDa'!$B$2:$J$173, 7,FALSE), IFERROR(VLOOKUP(A49,'Telstra ExDa'!$B$2:$K$310, 2,FALSE), IFERROR(VLOOKUP(A49,'Vocus RVC ExDa'!$C$2:$R$155, 3,FALSE), IFERROR(VLOOKUP(A49,'Fusion ExDa'!$B$2:$D$16, 2,FALSE), IFERROR(VLOOKUP(A49,'Exetel ExDa'!$C$2:$N$14, 2,FALSE), IFERROR(VLOOKUP(A49,'Infinet ExDa'!$B$2:$E$14, 2,FALSE), "Not Found"))))))))</f>
        <v>Milton</v>
      </c>
      <c r="D49" t="str">
        <f>IFERROR(VLOOKUP($A49,'AAPT ExDa'!$B$2:$U$99, 15,FALSE), IFERROR(VLOOKUP($A49,'ABB ExDa'!$A$2:$N$184, 4,FALSE), IFERROR(VLOOKUP($A49,'Vocus SIT ExDa'!$B$2:$J$173, 5,FALSE), IFERROR(VLOOKUP($A49,'Telstra ExDa'!$B$2:$K$310, 8,FALSE), IFERROR(VLOOKUP($A49,'Vocus RVC ExDa'!$C$2:$R$155, 6,FALSE), IFERROR(VLOOKUP($A49,'Fusion ExDa'!$B$2:$D$16, 4,FALSE), IFERROR(VLOOKUP($A49,'Exetel ExDa'!$C$2:$N$14, 3,FALSE), IFERROR(VLOOKUP($A49,'Infinet ExDa'!$B$2:$E$14, 3,FALSE), "Not Found"))))))))</f>
        <v>AAPT</v>
      </c>
      <c r="E49" t="str">
        <f>IFERROR(VLOOKUP($A49,'AAPT ExDa'!$B$2:$U$99, 3,FALSE), IFERROR(VLOOKUP($A49,'ABB ExDa'!$A$2:$N$184, 5,FALSE), IFERROR(VLOOKUP($A49,'Vocus SIT ExDa'!$B$2:$J$173, 2,FALSE), IFERROR(VLOOKUP($A49,'Telstra ExDa'!$B$2:$K$310, 4,FALSE), IFERROR(VLOOKUP($A49,'Vocus RVC ExDa'!$C$2:$R$155, 8,FALSE), IFERROR(VLOOKUP($A49,'Fusion ExDa'!$B$2:$D$16, 4,FALSE), IFERROR(VLOOKUP($A49,'Exetel ExDa'!$C$2:$N$14, 5,FALSE), IFERROR(VLOOKUP($A49,'Infinet ExDa'!$B$2:$E$14, 3,FALSE), "Not Found"))))))))</f>
        <v>FAST Fibre</v>
      </c>
      <c r="F49" t="str">
        <f>IFERROR(VLOOKUP($A49,'AAPT ExDa'!$B$2:$U$99, 4,FALSE), IFERROR(VLOOKUP($A49,'ABB ExDa'!$A$2:$N$184, 6,FALSE), IFERROR(VLOOKUP($A49,'Vocus SIT ExDa'!$B$2:$J$173, 3,FALSE), IFERROR(VLOOKUP($A49,'Telstra ExDa'!$B$2:$K$310, 5,FALSE), IFERROR(VLOOKUP($A49,'Vocus RVC ExDa'!$C$2:$R$155, 9,FALSE), IFERROR(VLOOKUP($A49,'Fusion ExDa'!$B$2:$D$16, 0,FALSE), IFERROR(VLOOKUP($A49,'Exetel ExDa'!$C$2:$N$14, 6,FALSE), IFERROR(VLOOKUP($A49,'Infinet ExDa'!$B$2:$E$14, 0,FALSE), "Not Found"))))))))</f>
        <v>FAST Fibre (NTU)</v>
      </c>
      <c r="G49">
        <f>IFERROR(VLOOKUP($A49,'AAPT ExDa'!$B$2:$U$99, 5,FALSE), IFERROR(VLOOKUP($A49,'ABB ExDa'!$A$2:$N$184, 8,FALSE), IFERROR(VLOOKUP($A49,'Vocus SIT ExDa'!$B$2:$J$173, 6,FALSE), IFERROR(VLOOKUP($A49,'Telstra ExDa'!$B$2:$K$310, 0,FALSE), IFERROR(VLOOKUP($A49,'Vocus RVC ExDa'!$C$2:$R$155, 15,FALSE), IFERROR(VLOOKUP($A49,'Fusion ExDa'!$B$2:$D$16, 0,FALSE), IFERROR(VLOOKUP($A49,'Exetel ExDa'!$C$2:$N$14, 7,FALSE), IFERROR(VLOOKUP($A49,'Infinet ExDa'!$B$2:$E$14, 0,FALSE), "Not Found"))))))))</f>
        <v>0</v>
      </c>
      <c r="H49" t="str">
        <f>IFERROR(VLOOKUP($A49,'AAPT ExDa'!$B$2:$U$99, 6,FALSE), IFERROR(VLOOKUP($A49,'ABB ExDa'!$A$2:$N$184, 0,FALSE), IFERROR(VLOOKUP($A49,'Vocus SIT ExDa'!$B$2:$J$173, 0,FALSE), IFERROR(VLOOKUP($A49,'Telstra ExDa'!$B$2:$K$310, 0,FALSE), IFERROR(VLOOKUP($A49,'Vocus RVC ExDa'!$C$2:$R$155, 16,FALSE), IFERROR(VLOOKUP($A49,'Fusion ExDa'!$B$2:$D$16, 0,FALSE), IFERROR(VLOOKUP($A49,'Exetel ExDa'!$C$2:$N$14, 0,FALSE), IFERROR(VLOOKUP($A49,'Infinet ExDa'!$B$2:$E$14, 0,FALSE), "Not Found"))))))))</f>
        <v>250 Mbps; 36 Months</v>
      </c>
      <c r="I49" t="str">
        <f>IFERROR(VLOOKUP($A49,'AAPT ExDa'!$B$2:$U$99, 0,FALSE), IFERROR(VLOOKUP($A49,'ABB ExDa'!$A$2:$N$184, 0,FALSE), IFERROR(VLOOKUP($A49,'Vocus SIT ExDa'!$B$2:$J$173, 0,FALSE), IFERROR(VLOOKUP($A49,'Telstra ExDa'!$B$2:$K$310, 0,FALSE), IFERROR(VLOOKUP($A49,'Vocus RVC ExDa'!$C$2:$R$155, 0,FALSE), IFERROR(VLOOKUP($A49,'Fusion ExDa'!$B$2:$D$16, 0,FALSE), IFERROR(VLOOKUP($A49,'Exetel ExDa'!$C$2:$N$14, 8,FALSE), IFERROR(VLOOKUP($A49,'Infinet ExDa'!$B$2:$E$14, 0,FALSE), "Not Found"))))))))</f>
        <v>Not Found</v>
      </c>
      <c r="J49">
        <f>IFERROR(VLOOKUP($A49,'AAPT ExDa'!$B$2:$U$99, 7,FALSE), IFERROR(VLOOKUP($A49,'ABB ExDa'!$A$2:$N$184, 2,FALSE), IFERROR(VLOOKUP($A49,'Vocus SIT ExDa'!$B$2:$J$173, 0,FALSE), IFERROR(VLOOKUP($A49,'Telstra ExDa'!$B$2:$K$310, 7,FALSE), IFERROR(VLOOKUP($A49,'Vocus RVC ExDa'!$C$2:$R$155, 2,FALSE), IFERROR(VLOOKUP($A49,'Fusion ExDa'!$B$2:$D$16, 3,FALSE), IFERROR(VLOOKUP($A49,'Exetel ExDa'!$C$2:$N$14, 0,FALSE), IFERROR(VLOOKUP($A49,'Infinet ExDa'!$B$2:$E$14, 0,FALSE), "Not Found"))))))))</f>
        <v>0</v>
      </c>
      <c r="K49" t="str">
        <f>IFERROR(VLOOKUP($A49,'AAPT ExDa'!$B$2:$U$99, 12,FALSE), IFERROR(VLOOKUP($A49,'ABB ExDa'!$A$2:$N$184, 0,FALSE), IFERROR(VLOOKUP($A49,'Vocus SIT ExDa'!$B$2:$J$173, 0,FALSE), IFERROR(VLOOKUP($A49,'Telstra ExDa'!$B$2:$K$310, 0,FALSE), IFERROR(VLOOKUP($A49,'Vocus RVC ExDa'!$C$2:$R$155, 0,FALSE), IFERROR(VLOOKUP($A49,'Fusion ExDa'!$B$2:$D$16, 0,FALSE), IFERROR(VLOOKUP($A49,'Exetel ExDa'!$C$2:$N$14, 12,FALSE), IFERROR(VLOOKUP($A49,'Infinet ExDa'!$B$2:$E$14, 0,FALSE), "Not Found"))))))))</f>
        <v>36 Months</v>
      </c>
      <c r="L49" s="235">
        <f>IFERROR(VLOOKUP($A49,'AAPT ExDa'!$B$2:$U$99, 11,FALSE), IFERROR(VLOOKUP($A49,'ABB ExDa'!$A$2:$N$184, 9,FALSE), IFERROR(VLOOKUP($A49,'Vocus SIT ExDa'!$B$2:$J$173, 8,FALSE), IFERROR(VLOOKUP($A49,'Telstra ExDa'!$B$2:$K$310, 0,FALSE), IFERROR(VLOOKUP($A49,'Vocus RVC ExDa'!$C$2:$R$155, 0,FALSE), IFERROR(VLOOKUP($A49,'Fusion ExDa'!$B$2:$D$16, 0,FALSE), IFERROR(VLOOKUP($A49,'Exetel ExDa'!$C$2:$N$14, 9,FALSE), IFERROR(VLOOKUP($A49,'Infinet ExDa'!$B$2:$E$14, 0,FALSE), "Not Found"))))))))</f>
        <v>44903</v>
      </c>
      <c r="M49" s="234" t="str">
        <f>IFERROR(VLOOKUP($A49,'AAPT ExDa'!$B$2:$U$99, 0,FALSE), IFERROR(VLOOKUP($A49,'ABB ExDa'!$A$2:$N$184, 0,FALSE), IFERROR(VLOOKUP($A49,'Vocus SIT ExDa'!$B$2:$J$173, 0,FALSE), IFERROR(VLOOKUP($A49,'Telstra ExDa'!$B$2:$K$310, 0,FALSE), IFERROR(VLOOKUP($A49,'Vocus RVC ExDa'!$C$2:$R$155, 0,FALSE), IFERROR(VLOOKUP($A49,'Fusion ExDa'!$B$2:$D$16, 0,FALSE), IFERROR(VLOOKUP($A49,'Exetel ExDa'!$C$2:$N$14, 11,FALSE), IFERROR(VLOOKUP($A49,'Infinet ExDa'!$B$2:$E$14, 0,FALSE), "Not Found"))))))))</f>
        <v>Not Found</v>
      </c>
      <c r="N49" t="str">
        <f>IFERROR(VLOOKUP($A49,'AAPT ExDa'!$B$2:$U$99, 0,FALSE), IFERROR(VLOOKUP($A49,'ABB ExDa'!$A$2:$N$184, 13,FALSE), IFERROR(VLOOKUP($A49,'Vocus SIT ExDa'!$B$2:$J$173, 0,FALSE), IFERROR(VLOOKUP($A49,'Telstra ExDa'!$B$2:$K$310, 0,FALSE), IFERROR(VLOOKUP($A49,'Vocus RVC ExDa'!$C$2:$R$155, 0,FALSE), IFERROR(VLOOKUP($A49,'Fusion ExDa'!$B$2:$D$16, 0,FALSE), IFERROR(VLOOKUP($A49,'Exetel ExDa'!$C$2:$N$14, 0,FALSE), IFERROR(VLOOKUP($A49,'Infinet ExDa'!$B$2:$E$14, 0,FALSE), "Not Found"))))))))</f>
        <v>Not Found</v>
      </c>
    </row>
    <row r="50" spans="1:14">
      <c r="A50" t="str">
        <v>Pip Theatre</v>
      </c>
      <c r="B50" t="str">
        <f>IFERROR(VLOOKUP(A50,'Exetel ExDa'!$C$2:$N$14,4,FALSE),"No Data")</f>
        <v>No Data</v>
      </c>
      <c r="C50" t="str">
        <f>IFERROR(VLOOKUP(A50,'AAPT ExDa'!$B$2:$U$99, 2,FALSE), IFERROR(VLOOKUP(A50,'ABB ExDa'!$A$2:$N$184, 2,FALSE), IFERROR(VLOOKUP(A50,'Vocus SIT ExDa'!$B$2:$J$173, 7,FALSE), IFERROR(VLOOKUP(A50,'Telstra ExDa'!$B$2:$K$310, 2,FALSE), IFERROR(VLOOKUP(A50,'Vocus RVC ExDa'!$C$2:$R$155, 3,FALSE), IFERROR(VLOOKUP(A50,'Fusion ExDa'!$B$2:$D$16, 2,FALSE), IFERROR(VLOOKUP(A50,'Exetel ExDa'!$C$2:$N$14, 2,FALSE), IFERROR(VLOOKUP(A50,'Infinet ExDa'!$B$2:$E$14, 2,FALSE), "Not Found"))))))))</f>
        <v>Milton</v>
      </c>
      <c r="D50" t="str">
        <f>IFERROR(VLOOKUP($A50,'AAPT ExDa'!$B$2:$U$99, 15,FALSE), IFERROR(VLOOKUP($A50,'ABB ExDa'!$A$2:$N$184, 4,FALSE), IFERROR(VLOOKUP($A50,'Vocus SIT ExDa'!$B$2:$J$173, 5,FALSE), IFERROR(VLOOKUP($A50,'Telstra ExDa'!$B$2:$K$310, 8,FALSE), IFERROR(VLOOKUP($A50,'Vocus RVC ExDa'!$C$2:$R$155, 6,FALSE), IFERROR(VLOOKUP($A50,'Fusion ExDa'!$B$2:$D$16, 4,FALSE), IFERROR(VLOOKUP($A50,'Exetel ExDa'!$C$2:$N$14, 3,FALSE), IFERROR(VLOOKUP($A50,'Infinet ExDa'!$B$2:$E$14, 3,FALSE), "Not Found"))))))))</f>
        <v>AAPT</v>
      </c>
      <c r="E50" t="str">
        <f>IFERROR(VLOOKUP($A50,'AAPT ExDa'!$B$2:$U$99, 3,FALSE), IFERROR(VLOOKUP($A50,'ABB ExDa'!$A$2:$N$184, 5,FALSE), IFERROR(VLOOKUP($A50,'Vocus SIT ExDa'!$B$2:$J$173, 2,FALSE), IFERROR(VLOOKUP($A50,'Telstra ExDa'!$B$2:$K$310, 4,FALSE), IFERROR(VLOOKUP($A50,'Vocus RVC ExDa'!$C$2:$R$155, 8,FALSE), IFERROR(VLOOKUP($A50,'Fusion ExDa'!$B$2:$D$16, 4,FALSE), IFERROR(VLOOKUP($A50,'Exetel ExDa'!$C$2:$N$14, 5,FALSE), IFERROR(VLOOKUP($A50,'Infinet ExDa'!$B$2:$E$14, 3,FALSE), "Not Found"))))))))</f>
        <v>FAST Fibre</v>
      </c>
      <c r="F50" t="str">
        <f>IFERROR(VLOOKUP($A50,'AAPT ExDa'!$B$2:$U$99, 4,FALSE), IFERROR(VLOOKUP($A50,'ABB ExDa'!$A$2:$N$184, 6,FALSE), IFERROR(VLOOKUP($A50,'Vocus SIT ExDa'!$B$2:$J$173, 3,FALSE), IFERROR(VLOOKUP($A50,'Telstra ExDa'!$B$2:$K$310, 5,FALSE), IFERROR(VLOOKUP($A50,'Vocus RVC ExDa'!$C$2:$R$155, 9,FALSE), IFERROR(VLOOKUP($A50,'Fusion ExDa'!$B$2:$D$16, 0,FALSE), IFERROR(VLOOKUP($A50,'Exetel ExDa'!$C$2:$N$14, 6,FALSE), IFERROR(VLOOKUP($A50,'Infinet ExDa'!$B$2:$E$14, 0,FALSE), "Not Found"))))))))</f>
        <v>FAST Fibre (NTU)</v>
      </c>
      <c r="G50">
        <f>IFERROR(VLOOKUP($A50,'AAPT ExDa'!$B$2:$U$99, 5,FALSE), IFERROR(VLOOKUP($A50,'ABB ExDa'!$A$2:$N$184, 8,FALSE), IFERROR(VLOOKUP($A50,'Vocus SIT ExDa'!$B$2:$J$173, 6,FALSE), IFERROR(VLOOKUP($A50,'Telstra ExDa'!$B$2:$K$310, 0,FALSE), IFERROR(VLOOKUP($A50,'Vocus RVC ExDa'!$C$2:$R$155, 15,FALSE), IFERROR(VLOOKUP($A50,'Fusion ExDa'!$B$2:$D$16, 0,FALSE), IFERROR(VLOOKUP($A50,'Exetel ExDa'!$C$2:$N$14, 7,FALSE), IFERROR(VLOOKUP($A50,'Infinet ExDa'!$B$2:$E$14, 0,FALSE), "Not Found"))))))))</f>
        <v>0</v>
      </c>
      <c r="H50" t="str">
        <f>IFERROR(VLOOKUP($A50,'AAPT ExDa'!$B$2:$U$99, 6,FALSE), IFERROR(VLOOKUP($A50,'ABB ExDa'!$A$2:$N$184, 0,FALSE), IFERROR(VLOOKUP($A50,'Vocus SIT ExDa'!$B$2:$J$173, 0,FALSE), IFERROR(VLOOKUP($A50,'Telstra ExDa'!$B$2:$K$310, 0,FALSE), IFERROR(VLOOKUP($A50,'Vocus RVC ExDa'!$C$2:$R$155, 16,FALSE), IFERROR(VLOOKUP($A50,'Fusion ExDa'!$B$2:$D$16, 0,FALSE), IFERROR(VLOOKUP($A50,'Exetel ExDa'!$C$2:$N$14, 0,FALSE), IFERROR(VLOOKUP($A50,'Infinet ExDa'!$B$2:$E$14, 0,FALSE), "Not Found"))))))))</f>
        <v>250 Mbps; 36 Months</v>
      </c>
      <c r="I50" t="str">
        <f>IFERROR(VLOOKUP($A50,'AAPT ExDa'!$B$2:$U$99, 0,FALSE), IFERROR(VLOOKUP($A50,'ABB ExDa'!$A$2:$N$184, 0,FALSE), IFERROR(VLOOKUP($A50,'Vocus SIT ExDa'!$B$2:$J$173, 0,FALSE), IFERROR(VLOOKUP($A50,'Telstra ExDa'!$B$2:$K$310, 0,FALSE), IFERROR(VLOOKUP($A50,'Vocus RVC ExDa'!$C$2:$R$155, 0,FALSE), IFERROR(VLOOKUP($A50,'Fusion ExDa'!$B$2:$D$16, 0,FALSE), IFERROR(VLOOKUP($A50,'Exetel ExDa'!$C$2:$N$14, 8,FALSE), IFERROR(VLOOKUP($A50,'Infinet ExDa'!$B$2:$E$14, 0,FALSE), "Not Found"))))))))</f>
        <v>Not Found</v>
      </c>
      <c r="J50">
        <f>IFERROR(VLOOKUP($A50,'AAPT ExDa'!$B$2:$U$99, 7,FALSE), IFERROR(VLOOKUP($A50,'ABB ExDa'!$A$2:$N$184, 2,FALSE), IFERROR(VLOOKUP($A50,'Vocus SIT ExDa'!$B$2:$J$173, 0,FALSE), IFERROR(VLOOKUP($A50,'Telstra ExDa'!$B$2:$K$310, 7,FALSE), IFERROR(VLOOKUP($A50,'Vocus RVC ExDa'!$C$2:$R$155, 2,FALSE), IFERROR(VLOOKUP($A50,'Fusion ExDa'!$B$2:$D$16, 3,FALSE), IFERROR(VLOOKUP($A50,'Exetel ExDa'!$C$2:$N$14, 0,FALSE), IFERROR(VLOOKUP($A50,'Infinet ExDa'!$B$2:$E$14, 0,FALSE), "Not Found"))))))))</f>
        <v>0</v>
      </c>
      <c r="K50" t="str">
        <f>IFERROR(VLOOKUP($A50,'AAPT ExDa'!$B$2:$U$99, 12,FALSE), IFERROR(VLOOKUP($A50,'ABB ExDa'!$A$2:$N$184, 0,FALSE), IFERROR(VLOOKUP($A50,'Vocus SIT ExDa'!$B$2:$J$173, 0,FALSE), IFERROR(VLOOKUP($A50,'Telstra ExDa'!$B$2:$K$310, 0,FALSE), IFERROR(VLOOKUP($A50,'Vocus RVC ExDa'!$C$2:$R$155, 0,FALSE), IFERROR(VLOOKUP($A50,'Fusion ExDa'!$B$2:$D$16, 0,FALSE), IFERROR(VLOOKUP($A50,'Exetel ExDa'!$C$2:$N$14, 12,FALSE), IFERROR(VLOOKUP($A50,'Infinet ExDa'!$B$2:$E$14, 0,FALSE), "Not Found"))))))))</f>
        <v>36 Months</v>
      </c>
      <c r="L50" s="235">
        <f>IFERROR(VLOOKUP($A50,'AAPT ExDa'!$B$2:$U$99, 11,FALSE), IFERROR(VLOOKUP($A50,'ABB ExDa'!$A$2:$N$184, 9,FALSE), IFERROR(VLOOKUP($A50,'Vocus SIT ExDa'!$B$2:$J$173, 8,FALSE), IFERROR(VLOOKUP($A50,'Telstra ExDa'!$B$2:$K$310, 0,FALSE), IFERROR(VLOOKUP($A50,'Vocus RVC ExDa'!$C$2:$R$155, 0,FALSE), IFERROR(VLOOKUP($A50,'Fusion ExDa'!$B$2:$D$16, 0,FALSE), IFERROR(VLOOKUP($A50,'Exetel ExDa'!$C$2:$N$14, 9,FALSE), IFERROR(VLOOKUP($A50,'Infinet ExDa'!$B$2:$E$14, 0,FALSE), "Not Found"))))))))</f>
        <v>44903</v>
      </c>
      <c r="M50" s="234" t="str">
        <f>IFERROR(VLOOKUP($A50,'AAPT ExDa'!$B$2:$U$99, 0,FALSE), IFERROR(VLOOKUP($A50,'ABB ExDa'!$A$2:$N$184, 0,FALSE), IFERROR(VLOOKUP($A50,'Vocus SIT ExDa'!$B$2:$J$173, 0,FALSE), IFERROR(VLOOKUP($A50,'Telstra ExDa'!$B$2:$K$310, 0,FALSE), IFERROR(VLOOKUP($A50,'Vocus RVC ExDa'!$C$2:$R$155, 0,FALSE), IFERROR(VLOOKUP($A50,'Fusion ExDa'!$B$2:$D$16, 0,FALSE), IFERROR(VLOOKUP($A50,'Exetel ExDa'!$C$2:$N$14, 11,FALSE), IFERROR(VLOOKUP($A50,'Infinet ExDa'!$B$2:$E$14, 0,FALSE), "Not Found"))))))))</f>
        <v>Not Found</v>
      </c>
      <c r="N50" t="str">
        <f>IFERROR(VLOOKUP($A50,'AAPT ExDa'!$B$2:$U$99, 0,FALSE), IFERROR(VLOOKUP($A50,'ABB ExDa'!$A$2:$N$184, 13,FALSE), IFERROR(VLOOKUP($A50,'Vocus SIT ExDa'!$B$2:$J$173, 0,FALSE), IFERROR(VLOOKUP($A50,'Telstra ExDa'!$B$2:$K$310, 0,FALSE), IFERROR(VLOOKUP($A50,'Vocus RVC ExDa'!$C$2:$R$155, 0,FALSE), IFERROR(VLOOKUP($A50,'Fusion ExDa'!$B$2:$D$16, 0,FALSE), IFERROR(VLOOKUP($A50,'Exetel ExDa'!$C$2:$N$14, 0,FALSE), IFERROR(VLOOKUP($A50,'Infinet ExDa'!$B$2:$E$14, 0,FALSE), "Not Found"))))))))</f>
        <v>Not Found</v>
      </c>
    </row>
    <row r="51" spans="1:14">
      <c r="A51" t="str">
        <v xml:space="preserve">Premier Strata Management </v>
      </c>
      <c r="B51" t="str">
        <f>IFERROR(VLOOKUP(A51,'Exetel ExDa'!$C$2:$N$14,4,FALSE),"No Data")</f>
        <v>No Data</v>
      </c>
      <c r="C51" t="str">
        <f>IFERROR(VLOOKUP(A51,'AAPT ExDa'!$B$2:$U$99, 2,FALSE), IFERROR(VLOOKUP(A51,'ABB ExDa'!$A$2:$N$184, 2,FALSE), IFERROR(VLOOKUP(A51,'Vocus SIT ExDa'!$B$2:$J$173, 7,FALSE), IFERROR(VLOOKUP(A51,'Telstra ExDa'!$B$2:$K$310, 2,FALSE), IFERROR(VLOOKUP(A51,'Vocus RVC ExDa'!$C$2:$R$155, 3,FALSE), IFERROR(VLOOKUP(A51,'Fusion ExDa'!$B$2:$D$16, 2,FALSE), IFERROR(VLOOKUP(A51,'Exetel ExDa'!$C$2:$N$14, 2,FALSE), IFERROR(VLOOKUP(A51,'Infinet ExDa'!$B$2:$E$14, 2,FALSE), "Not Found"))))))))</f>
        <v>Northmead</v>
      </c>
      <c r="D51" t="str">
        <f>IFERROR(VLOOKUP($A51,'AAPT ExDa'!$B$2:$U$99, 15,FALSE), IFERROR(VLOOKUP($A51,'ABB ExDa'!$A$2:$N$184, 4,FALSE), IFERROR(VLOOKUP($A51,'Vocus SIT ExDa'!$B$2:$J$173, 5,FALSE), IFERROR(VLOOKUP($A51,'Telstra ExDa'!$B$2:$K$310, 8,FALSE), IFERROR(VLOOKUP($A51,'Vocus RVC ExDa'!$C$2:$R$155, 6,FALSE), IFERROR(VLOOKUP($A51,'Fusion ExDa'!$B$2:$D$16, 4,FALSE), IFERROR(VLOOKUP($A51,'Exetel ExDa'!$C$2:$N$14, 3,FALSE), IFERROR(VLOOKUP($A51,'Infinet ExDa'!$B$2:$E$14, 3,FALSE), "Not Found"))))))))</f>
        <v>AAPT</v>
      </c>
      <c r="E51" t="str">
        <f>IFERROR(VLOOKUP($A51,'AAPT ExDa'!$B$2:$U$99, 3,FALSE), IFERROR(VLOOKUP($A51,'ABB ExDa'!$A$2:$N$184, 5,FALSE), IFERROR(VLOOKUP($A51,'Vocus SIT ExDa'!$B$2:$J$173, 2,FALSE), IFERROR(VLOOKUP($A51,'Telstra ExDa'!$B$2:$K$310, 4,FALSE), IFERROR(VLOOKUP($A51,'Vocus RVC ExDa'!$C$2:$R$155, 8,FALSE), IFERROR(VLOOKUP($A51,'Fusion ExDa'!$B$2:$D$16, 4,FALSE), IFERROR(VLOOKUP($A51,'Exetel ExDa'!$C$2:$N$14, 5,FALSE), IFERROR(VLOOKUP($A51,'Infinet ExDa'!$B$2:$E$14, 3,FALSE), "Not Found"))))))))</f>
        <v>FAST Fibre</v>
      </c>
      <c r="F51" t="str">
        <f>IFERROR(VLOOKUP($A51,'AAPT ExDa'!$B$2:$U$99, 4,FALSE), IFERROR(VLOOKUP($A51,'ABB ExDa'!$A$2:$N$184, 6,FALSE), IFERROR(VLOOKUP($A51,'Vocus SIT ExDa'!$B$2:$J$173, 3,FALSE), IFERROR(VLOOKUP($A51,'Telstra ExDa'!$B$2:$K$310, 5,FALSE), IFERROR(VLOOKUP($A51,'Vocus RVC ExDa'!$C$2:$R$155, 9,FALSE), IFERROR(VLOOKUP($A51,'Fusion ExDa'!$B$2:$D$16, 0,FALSE), IFERROR(VLOOKUP($A51,'Exetel ExDa'!$C$2:$N$14, 6,FALSE), IFERROR(VLOOKUP($A51,'Infinet ExDa'!$B$2:$E$14, 0,FALSE), "Not Found"))))))))</f>
        <v>FAST Fibre (NTU)</v>
      </c>
      <c r="G51">
        <f>IFERROR(VLOOKUP($A51,'AAPT ExDa'!$B$2:$U$99, 5,FALSE), IFERROR(VLOOKUP($A51,'ABB ExDa'!$A$2:$N$184, 8,FALSE), IFERROR(VLOOKUP($A51,'Vocus SIT ExDa'!$B$2:$J$173, 6,FALSE), IFERROR(VLOOKUP($A51,'Telstra ExDa'!$B$2:$K$310, 0,FALSE), IFERROR(VLOOKUP($A51,'Vocus RVC ExDa'!$C$2:$R$155, 15,FALSE), IFERROR(VLOOKUP($A51,'Fusion ExDa'!$B$2:$D$16, 0,FALSE), IFERROR(VLOOKUP($A51,'Exetel ExDa'!$C$2:$N$14, 7,FALSE), IFERROR(VLOOKUP($A51,'Infinet ExDa'!$B$2:$E$14, 0,FALSE), "Not Found"))))))))</f>
        <v>0</v>
      </c>
      <c r="H51" t="str">
        <f>IFERROR(VLOOKUP($A51,'AAPT ExDa'!$B$2:$U$99, 6,FALSE), IFERROR(VLOOKUP($A51,'ABB ExDa'!$A$2:$N$184, 0,FALSE), IFERROR(VLOOKUP($A51,'Vocus SIT ExDa'!$B$2:$J$173, 0,FALSE), IFERROR(VLOOKUP($A51,'Telstra ExDa'!$B$2:$K$310, 0,FALSE), IFERROR(VLOOKUP($A51,'Vocus RVC ExDa'!$C$2:$R$155, 16,FALSE), IFERROR(VLOOKUP($A51,'Fusion ExDa'!$B$2:$D$16, 0,FALSE), IFERROR(VLOOKUP($A51,'Exetel ExDa'!$C$2:$N$14, 0,FALSE), IFERROR(VLOOKUP($A51,'Infinet ExDa'!$B$2:$E$14, 0,FALSE), "Not Found"))))))))</f>
        <v>400 Mbps; 36 Months</v>
      </c>
      <c r="I51" t="str">
        <f>IFERROR(VLOOKUP($A51,'AAPT ExDa'!$B$2:$U$99, 0,FALSE), IFERROR(VLOOKUP($A51,'ABB ExDa'!$A$2:$N$184, 0,FALSE), IFERROR(VLOOKUP($A51,'Vocus SIT ExDa'!$B$2:$J$173, 0,FALSE), IFERROR(VLOOKUP($A51,'Telstra ExDa'!$B$2:$K$310, 0,FALSE), IFERROR(VLOOKUP($A51,'Vocus RVC ExDa'!$C$2:$R$155, 0,FALSE), IFERROR(VLOOKUP($A51,'Fusion ExDa'!$B$2:$D$16, 0,FALSE), IFERROR(VLOOKUP($A51,'Exetel ExDa'!$C$2:$N$14, 8,FALSE), IFERROR(VLOOKUP($A51,'Infinet ExDa'!$B$2:$E$14, 0,FALSE), "Not Found"))))))))</f>
        <v>Not Found</v>
      </c>
      <c r="J51">
        <f>IFERROR(VLOOKUP($A51,'AAPT ExDa'!$B$2:$U$99, 7,FALSE), IFERROR(VLOOKUP($A51,'ABB ExDa'!$A$2:$N$184, 2,FALSE), IFERROR(VLOOKUP($A51,'Vocus SIT ExDa'!$B$2:$J$173, 0,FALSE), IFERROR(VLOOKUP($A51,'Telstra ExDa'!$B$2:$K$310, 7,FALSE), IFERROR(VLOOKUP($A51,'Vocus RVC ExDa'!$C$2:$R$155, 2,FALSE), IFERROR(VLOOKUP($A51,'Fusion ExDa'!$B$2:$D$16, 3,FALSE), IFERROR(VLOOKUP($A51,'Exetel ExDa'!$C$2:$N$14, 0,FALSE), IFERROR(VLOOKUP($A51,'Infinet ExDa'!$B$2:$E$14, 0,FALSE), "Not Found"))))))))</f>
        <v>0</v>
      </c>
      <c r="K51" t="str">
        <f>IFERROR(VLOOKUP($A51,'AAPT ExDa'!$B$2:$U$99, 12,FALSE), IFERROR(VLOOKUP($A51,'ABB ExDa'!$A$2:$N$184, 0,FALSE), IFERROR(VLOOKUP($A51,'Vocus SIT ExDa'!$B$2:$J$173, 0,FALSE), IFERROR(VLOOKUP($A51,'Telstra ExDa'!$B$2:$K$310, 0,FALSE), IFERROR(VLOOKUP($A51,'Vocus RVC ExDa'!$C$2:$R$155, 0,FALSE), IFERROR(VLOOKUP($A51,'Fusion ExDa'!$B$2:$D$16, 0,FALSE), IFERROR(VLOOKUP($A51,'Exetel ExDa'!$C$2:$N$14, 12,FALSE), IFERROR(VLOOKUP($A51,'Infinet ExDa'!$B$2:$E$14, 0,FALSE), "Not Found"))))))))</f>
        <v>36 Months</v>
      </c>
      <c r="L51" s="235" t="str">
        <f>IFERROR(VLOOKUP($A51,'AAPT ExDa'!$B$2:$U$99, 11,FALSE), IFERROR(VLOOKUP($A51,'ABB ExDa'!$A$2:$N$184, 9,FALSE), IFERROR(VLOOKUP($A51,'Vocus SIT ExDa'!$B$2:$J$173, 8,FALSE), IFERROR(VLOOKUP($A51,'Telstra ExDa'!$B$2:$K$310, 0,FALSE), IFERROR(VLOOKUP($A51,'Vocus RVC ExDa'!$C$2:$R$155, 0,FALSE), IFERROR(VLOOKUP($A51,'Fusion ExDa'!$B$2:$D$16, 0,FALSE), IFERROR(VLOOKUP($A51,'Exetel ExDa'!$C$2:$N$14, 9,FALSE), IFERROR(VLOOKUP($A51,'Infinet ExDa'!$B$2:$E$14, 0,FALSE), "Not Found"))))))))</f>
        <v>28/06/2021</v>
      </c>
      <c r="M51" s="234" t="str">
        <f>IFERROR(VLOOKUP($A51,'AAPT ExDa'!$B$2:$U$99, 0,FALSE), IFERROR(VLOOKUP($A51,'ABB ExDa'!$A$2:$N$184, 0,FALSE), IFERROR(VLOOKUP($A51,'Vocus SIT ExDa'!$B$2:$J$173, 0,FALSE), IFERROR(VLOOKUP($A51,'Telstra ExDa'!$B$2:$K$310, 0,FALSE), IFERROR(VLOOKUP($A51,'Vocus RVC ExDa'!$C$2:$R$155, 0,FALSE), IFERROR(VLOOKUP($A51,'Fusion ExDa'!$B$2:$D$16, 0,FALSE), IFERROR(VLOOKUP($A51,'Exetel ExDa'!$C$2:$N$14, 11,FALSE), IFERROR(VLOOKUP($A51,'Infinet ExDa'!$B$2:$E$14, 0,FALSE), "Not Found"))))))))</f>
        <v>Not Found</v>
      </c>
      <c r="N51" t="str">
        <f>IFERROR(VLOOKUP($A51,'AAPT ExDa'!$B$2:$U$99, 0,FALSE), IFERROR(VLOOKUP($A51,'ABB ExDa'!$A$2:$N$184, 13,FALSE), IFERROR(VLOOKUP($A51,'Vocus SIT ExDa'!$B$2:$J$173, 0,FALSE), IFERROR(VLOOKUP($A51,'Telstra ExDa'!$B$2:$K$310, 0,FALSE), IFERROR(VLOOKUP($A51,'Vocus RVC ExDa'!$C$2:$R$155, 0,FALSE), IFERROR(VLOOKUP($A51,'Fusion ExDa'!$B$2:$D$16, 0,FALSE), IFERROR(VLOOKUP($A51,'Exetel ExDa'!$C$2:$N$14, 0,FALSE), IFERROR(VLOOKUP($A51,'Infinet ExDa'!$B$2:$E$14, 0,FALSE), "Not Found"))))))))</f>
        <v>Not Found</v>
      </c>
    </row>
    <row r="52" spans="1:14">
      <c r="A52" t="str">
        <v xml:space="preserve">Premier Strata Management </v>
      </c>
      <c r="B52" t="str">
        <f>IFERROR(VLOOKUP(A52,'Exetel ExDa'!$C$2:$N$14,4,FALSE),"No Data")</f>
        <v>No Data</v>
      </c>
      <c r="C52" t="str">
        <f>IFERROR(VLOOKUP(A52,'AAPT ExDa'!$B$2:$U$99, 2,FALSE), IFERROR(VLOOKUP(A52,'ABB ExDa'!$A$2:$N$184, 2,FALSE), IFERROR(VLOOKUP(A52,'Vocus SIT ExDa'!$B$2:$J$173, 7,FALSE), IFERROR(VLOOKUP(A52,'Telstra ExDa'!$B$2:$K$310, 2,FALSE), IFERROR(VLOOKUP(A52,'Vocus RVC ExDa'!$C$2:$R$155, 3,FALSE), IFERROR(VLOOKUP(A52,'Fusion ExDa'!$B$2:$D$16, 2,FALSE), IFERROR(VLOOKUP(A52,'Exetel ExDa'!$C$2:$N$14, 2,FALSE), IFERROR(VLOOKUP(A52,'Infinet ExDa'!$B$2:$E$14, 2,FALSE), "Not Found"))))))))</f>
        <v>Northmead</v>
      </c>
      <c r="D52" t="str">
        <f>IFERROR(VLOOKUP($A52,'AAPT ExDa'!$B$2:$U$99, 15,FALSE), IFERROR(VLOOKUP($A52,'ABB ExDa'!$A$2:$N$184, 4,FALSE), IFERROR(VLOOKUP($A52,'Vocus SIT ExDa'!$B$2:$J$173, 5,FALSE), IFERROR(VLOOKUP($A52,'Telstra ExDa'!$B$2:$K$310, 8,FALSE), IFERROR(VLOOKUP($A52,'Vocus RVC ExDa'!$C$2:$R$155, 6,FALSE), IFERROR(VLOOKUP($A52,'Fusion ExDa'!$B$2:$D$16, 4,FALSE), IFERROR(VLOOKUP($A52,'Exetel ExDa'!$C$2:$N$14, 3,FALSE), IFERROR(VLOOKUP($A52,'Infinet ExDa'!$B$2:$E$14, 3,FALSE), "Not Found"))))))))</f>
        <v>AAPT</v>
      </c>
      <c r="E52" t="str">
        <f>IFERROR(VLOOKUP($A52,'AAPT ExDa'!$B$2:$U$99, 3,FALSE), IFERROR(VLOOKUP($A52,'ABB ExDa'!$A$2:$N$184, 5,FALSE), IFERROR(VLOOKUP($A52,'Vocus SIT ExDa'!$B$2:$J$173, 2,FALSE), IFERROR(VLOOKUP($A52,'Telstra ExDa'!$B$2:$K$310, 4,FALSE), IFERROR(VLOOKUP($A52,'Vocus RVC ExDa'!$C$2:$R$155, 8,FALSE), IFERROR(VLOOKUP($A52,'Fusion ExDa'!$B$2:$D$16, 4,FALSE), IFERROR(VLOOKUP($A52,'Exetel ExDa'!$C$2:$N$14, 5,FALSE), IFERROR(VLOOKUP($A52,'Infinet ExDa'!$B$2:$E$14, 3,FALSE), "Not Found"))))))))</f>
        <v>FAST Fibre</v>
      </c>
      <c r="F52" t="str">
        <f>IFERROR(VLOOKUP($A52,'AAPT ExDa'!$B$2:$U$99, 4,FALSE), IFERROR(VLOOKUP($A52,'ABB ExDa'!$A$2:$N$184, 6,FALSE), IFERROR(VLOOKUP($A52,'Vocus SIT ExDa'!$B$2:$J$173, 3,FALSE), IFERROR(VLOOKUP($A52,'Telstra ExDa'!$B$2:$K$310, 5,FALSE), IFERROR(VLOOKUP($A52,'Vocus RVC ExDa'!$C$2:$R$155, 9,FALSE), IFERROR(VLOOKUP($A52,'Fusion ExDa'!$B$2:$D$16, 0,FALSE), IFERROR(VLOOKUP($A52,'Exetel ExDa'!$C$2:$N$14, 6,FALSE), IFERROR(VLOOKUP($A52,'Infinet ExDa'!$B$2:$E$14, 0,FALSE), "Not Found"))))))))</f>
        <v>FAST Fibre (NTU)</v>
      </c>
      <c r="G52">
        <f>IFERROR(VLOOKUP($A52,'AAPT ExDa'!$B$2:$U$99, 5,FALSE), IFERROR(VLOOKUP($A52,'ABB ExDa'!$A$2:$N$184, 8,FALSE), IFERROR(VLOOKUP($A52,'Vocus SIT ExDa'!$B$2:$J$173, 6,FALSE), IFERROR(VLOOKUP($A52,'Telstra ExDa'!$B$2:$K$310, 0,FALSE), IFERROR(VLOOKUP($A52,'Vocus RVC ExDa'!$C$2:$R$155, 15,FALSE), IFERROR(VLOOKUP($A52,'Fusion ExDa'!$B$2:$D$16, 0,FALSE), IFERROR(VLOOKUP($A52,'Exetel ExDa'!$C$2:$N$14, 7,FALSE), IFERROR(VLOOKUP($A52,'Infinet ExDa'!$B$2:$E$14, 0,FALSE), "Not Found"))))))))</f>
        <v>0</v>
      </c>
      <c r="H52" t="str">
        <f>IFERROR(VLOOKUP($A52,'AAPT ExDa'!$B$2:$U$99, 6,FALSE), IFERROR(VLOOKUP($A52,'ABB ExDa'!$A$2:$N$184, 0,FALSE), IFERROR(VLOOKUP($A52,'Vocus SIT ExDa'!$B$2:$J$173, 0,FALSE), IFERROR(VLOOKUP($A52,'Telstra ExDa'!$B$2:$K$310, 0,FALSE), IFERROR(VLOOKUP($A52,'Vocus RVC ExDa'!$C$2:$R$155, 16,FALSE), IFERROR(VLOOKUP($A52,'Fusion ExDa'!$B$2:$D$16, 0,FALSE), IFERROR(VLOOKUP($A52,'Exetel ExDa'!$C$2:$N$14, 0,FALSE), IFERROR(VLOOKUP($A52,'Infinet ExDa'!$B$2:$E$14, 0,FALSE), "Not Found"))))))))</f>
        <v>400 Mbps; 36 Months</v>
      </c>
      <c r="I52" t="str">
        <f>IFERROR(VLOOKUP($A52,'AAPT ExDa'!$B$2:$U$99, 0,FALSE), IFERROR(VLOOKUP($A52,'ABB ExDa'!$A$2:$N$184, 0,FALSE), IFERROR(VLOOKUP($A52,'Vocus SIT ExDa'!$B$2:$J$173, 0,FALSE), IFERROR(VLOOKUP($A52,'Telstra ExDa'!$B$2:$K$310, 0,FALSE), IFERROR(VLOOKUP($A52,'Vocus RVC ExDa'!$C$2:$R$155, 0,FALSE), IFERROR(VLOOKUP($A52,'Fusion ExDa'!$B$2:$D$16, 0,FALSE), IFERROR(VLOOKUP($A52,'Exetel ExDa'!$C$2:$N$14, 8,FALSE), IFERROR(VLOOKUP($A52,'Infinet ExDa'!$B$2:$E$14, 0,FALSE), "Not Found"))))))))</f>
        <v>Not Found</v>
      </c>
      <c r="J52">
        <f>IFERROR(VLOOKUP($A52,'AAPT ExDa'!$B$2:$U$99, 7,FALSE), IFERROR(VLOOKUP($A52,'ABB ExDa'!$A$2:$N$184, 2,FALSE), IFERROR(VLOOKUP($A52,'Vocus SIT ExDa'!$B$2:$J$173, 0,FALSE), IFERROR(VLOOKUP($A52,'Telstra ExDa'!$B$2:$K$310, 7,FALSE), IFERROR(VLOOKUP($A52,'Vocus RVC ExDa'!$C$2:$R$155, 2,FALSE), IFERROR(VLOOKUP($A52,'Fusion ExDa'!$B$2:$D$16, 3,FALSE), IFERROR(VLOOKUP($A52,'Exetel ExDa'!$C$2:$N$14, 0,FALSE), IFERROR(VLOOKUP($A52,'Infinet ExDa'!$B$2:$E$14, 0,FALSE), "Not Found"))))))))</f>
        <v>0</v>
      </c>
      <c r="K52" t="str">
        <f>IFERROR(VLOOKUP($A52,'AAPT ExDa'!$B$2:$U$99, 12,FALSE), IFERROR(VLOOKUP($A52,'ABB ExDa'!$A$2:$N$184, 0,FALSE), IFERROR(VLOOKUP($A52,'Vocus SIT ExDa'!$B$2:$J$173, 0,FALSE), IFERROR(VLOOKUP($A52,'Telstra ExDa'!$B$2:$K$310, 0,FALSE), IFERROR(VLOOKUP($A52,'Vocus RVC ExDa'!$C$2:$R$155, 0,FALSE), IFERROR(VLOOKUP($A52,'Fusion ExDa'!$B$2:$D$16, 0,FALSE), IFERROR(VLOOKUP($A52,'Exetel ExDa'!$C$2:$N$14, 12,FALSE), IFERROR(VLOOKUP($A52,'Infinet ExDa'!$B$2:$E$14, 0,FALSE), "Not Found"))))))))</f>
        <v>36 Months</v>
      </c>
      <c r="L52" s="235" t="str">
        <f>IFERROR(VLOOKUP($A52,'AAPT ExDa'!$B$2:$U$99, 11,FALSE), IFERROR(VLOOKUP($A52,'ABB ExDa'!$A$2:$N$184, 9,FALSE), IFERROR(VLOOKUP($A52,'Vocus SIT ExDa'!$B$2:$J$173, 8,FALSE), IFERROR(VLOOKUP($A52,'Telstra ExDa'!$B$2:$K$310, 0,FALSE), IFERROR(VLOOKUP($A52,'Vocus RVC ExDa'!$C$2:$R$155, 0,FALSE), IFERROR(VLOOKUP($A52,'Fusion ExDa'!$B$2:$D$16, 0,FALSE), IFERROR(VLOOKUP($A52,'Exetel ExDa'!$C$2:$N$14, 9,FALSE), IFERROR(VLOOKUP($A52,'Infinet ExDa'!$B$2:$E$14, 0,FALSE), "Not Found"))))))))</f>
        <v>28/06/2021</v>
      </c>
      <c r="M52" s="234" t="str">
        <f>IFERROR(VLOOKUP($A52,'AAPT ExDa'!$B$2:$U$99, 0,FALSE), IFERROR(VLOOKUP($A52,'ABB ExDa'!$A$2:$N$184, 0,FALSE), IFERROR(VLOOKUP($A52,'Vocus SIT ExDa'!$B$2:$J$173, 0,FALSE), IFERROR(VLOOKUP($A52,'Telstra ExDa'!$B$2:$K$310, 0,FALSE), IFERROR(VLOOKUP($A52,'Vocus RVC ExDa'!$C$2:$R$155, 0,FALSE), IFERROR(VLOOKUP($A52,'Fusion ExDa'!$B$2:$D$16, 0,FALSE), IFERROR(VLOOKUP($A52,'Exetel ExDa'!$C$2:$N$14, 11,FALSE), IFERROR(VLOOKUP($A52,'Infinet ExDa'!$B$2:$E$14, 0,FALSE), "Not Found"))))))))</f>
        <v>Not Found</v>
      </c>
      <c r="N52" t="str">
        <f>IFERROR(VLOOKUP($A52,'AAPT ExDa'!$B$2:$U$99, 0,FALSE), IFERROR(VLOOKUP($A52,'ABB ExDa'!$A$2:$N$184, 13,FALSE), IFERROR(VLOOKUP($A52,'Vocus SIT ExDa'!$B$2:$J$173, 0,FALSE), IFERROR(VLOOKUP($A52,'Telstra ExDa'!$B$2:$K$310, 0,FALSE), IFERROR(VLOOKUP($A52,'Vocus RVC ExDa'!$C$2:$R$155, 0,FALSE), IFERROR(VLOOKUP($A52,'Fusion ExDa'!$B$2:$D$16, 0,FALSE), IFERROR(VLOOKUP($A52,'Exetel ExDa'!$C$2:$N$14, 0,FALSE), IFERROR(VLOOKUP($A52,'Infinet ExDa'!$B$2:$E$14, 0,FALSE), "Not Found"))))))))</f>
        <v>Not Found</v>
      </c>
    </row>
    <row r="53" spans="1:14">
      <c r="A53" t="str">
        <v xml:space="preserve">Premier Strata Management </v>
      </c>
      <c r="B53" t="str">
        <f>IFERROR(VLOOKUP(A53,'Exetel ExDa'!$C$2:$N$14,4,FALSE),"No Data")</f>
        <v>No Data</v>
      </c>
      <c r="C53" t="str">
        <f>IFERROR(VLOOKUP(A53,'AAPT ExDa'!$B$2:$U$99, 2,FALSE), IFERROR(VLOOKUP(A53,'ABB ExDa'!$A$2:$N$184, 2,FALSE), IFERROR(VLOOKUP(A53,'Vocus SIT ExDa'!$B$2:$J$173, 7,FALSE), IFERROR(VLOOKUP(A53,'Telstra ExDa'!$B$2:$K$310, 2,FALSE), IFERROR(VLOOKUP(A53,'Vocus RVC ExDa'!$C$2:$R$155, 3,FALSE), IFERROR(VLOOKUP(A53,'Fusion ExDa'!$B$2:$D$16, 2,FALSE), IFERROR(VLOOKUP(A53,'Exetel ExDa'!$C$2:$N$14, 2,FALSE), IFERROR(VLOOKUP(A53,'Infinet ExDa'!$B$2:$E$14, 2,FALSE), "Not Found"))))))))</f>
        <v>Northmead</v>
      </c>
      <c r="D53" t="str">
        <f>IFERROR(VLOOKUP($A53,'AAPT ExDa'!$B$2:$U$99, 15,FALSE), IFERROR(VLOOKUP($A53,'ABB ExDa'!$A$2:$N$184, 4,FALSE), IFERROR(VLOOKUP($A53,'Vocus SIT ExDa'!$B$2:$J$173, 5,FALSE), IFERROR(VLOOKUP($A53,'Telstra ExDa'!$B$2:$K$310, 8,FALSE), IFERROR(VLOOKUP($A53,'Vocus RVC ExDa'!$C$2:$R$155, 6,FALSE), IFERROR(VLOOKUP($A53,'Fusion ExDa'!$B$2:$D$16, 4,FALSE), IFERROR(VLOOKUP($A53,'Exetel ExDa'!$C$2:$N$14, 3,FALSE), IFERROR(VLOOKUP($A53,'Infinet ExDa'!$B$2:$E$14, 3,FALSE), "Not Found"))))))))</f>
        <v>AAPT</v>
      </c>
      <c r="E53" t="str">
        <f>IFERROR(VLOOKUP($A53,'AAPT ExDa'!$B$2:$U$99, 3,FALSE), IFERROR(VLOOKUP($A53,'ABB ExDa'!$A$2:$N$184, 5,FALSE), IFERROR(VLOOKUP($A53,'Vocus SIT ExDa'!$B$2:$J$173, 2,FALSE), IFERROR(VLOOKUP($A53,'Telstra ExDa'!$B$2:$K$310, 4,FALSE), IFERROR(VLOOKUP($A53,'Vocus RVC ExDa'!$C$2:$R$155, 8,FALSE), IFERROR(VLOOKUP($A53,'Fusion ExDa'!$B$2:$D$16, 4,FALSE), IFERROR(VLOOKUP($A53,'Exetel ExDa'!$C$2:$N$14, 5,FALSE), IFERROR(VLOOKUP($A53,'Infinet ExDa'!$B$2:$E$14, 3,FALSE), "Not Found"))))))))</f>
        <v>FAST Fibre</v>
      </c>
      <c r="F53" t="str">
        <f>IFERROR(VLOOKUP($A53,'AAPT ExDa'!$B$2:$U$99, 4,FALSE), IFERROR(VLOOKUP($A53,'ABB ExDa'!$A$2:$N$184, 6,FALSE), IFERROR(VLOOKUP($A53,'Vocus SIT ExDa'!$B$2:$J$173, 3,FALSE), IFERROR(VLOOKUP($A53,'Telstra ExDa'!$B$2:$K$310, 5,FALSE), IFERROR(VLOOKUP($A53,'Vocus RVC ExDa'!$C$2:$R$155, 9,FALSE), IFERROR(VLOOKUP($A53,'Fusion ExDa'!$B$2:$D$16, 0,FALSE), IFERROR(VLOOKUP($A53,'Exetel ExDa'!$C$2:$N$14, 6,FALSE), IFERROR(VLOOKUP($A53,'Infinet ExDa'!$B$2:$E$14, 0,FALSE), "Not Found"))))))))</f>
        <v>FAST Fibre (NTU)</v>
      </c>
      <c r="G53">
        <f>IFERROR(VLOOKUP($A53,'AAPT ExDa'!$B$2:$U$99, 5,FALSE), IFERROR(VLOOKUP($A53,'ABB ExDa'!$A$2:$N$184, 8,FALSE), IFERROR(VLOOKUP($A53,'Vocus SIT ExDa'!$B$2:$J$173, 6,FALSE), IFERROR(VLOOKUP($A53,'Telstra ExDa'!$B$2:$K$310, 0,FALSE), IFERROR(VLOOKUP($A53,'Vocus RVC ExDa'!$C$2:$R$155, 15,FALSE), IFERROR(VLOOKUP($A53,'Fusion ExDa'!$B$2:$D$16, 0,FALSE), IFERROR(VLOOKUP($A53,'Exetel ExDa'!$C$2:$N$14, 7,FALSE), IFERROR(VLOOKUP($A53,'Infinet ExDa'!$B$2:$E$14, 0,FALSE), "Not Found"))))))))</f>
        <v>0</v>
      </c>
      <c r="H53" t="str">
        <f>IFERROR(VLOOKUP($A53,'AAPT ExDa'!$B$2:$U$99, 6,FALSE), IFERROR(VLOOKUP($A53,'ABB ExDa'!$A$2:$N$184, 0,FALSE), IFERROR(VLOOKUP($A53,'Vocus SIT ExDa'!$B$2:$J$173, 0,FALSE), IFERROR(VLOOKUP($A53,'Telstra ExDa'!$B$2:$K$310, 0,FALSE), IFERROR(VLOOKUP($A53,'Vocus RVC ExDa'!$C$2:$R$155, 16,FALSE), IFERROR(VLOOKUP($A53,'Fusion ExDa'!$B$2:$D$16, 0,FALSE), IFERROR(VLOOKUP($A53,'Exetel ExDa'!$C$2:$N$14, 0,FALSE), IFERROR(VLOOKUP($A53,'Infinet ExDa'!$B$2:$E$14, 0,FALSE), "Not Found"))))))))</f>
        <v>400 Mbps; 36 Months</v>
      </c>
      <c r="I53" t="str">
        <f>IFERROR(VLOOKUP($A53,'AAPT ExDa'!$B$2:$U$99, 0,FALSE), IFERROR(VLOOKUP($A53,'ABB ExDa'!$A$2:$N$184, 0,FALSE), IFERROR(VLOOKUP($A53,'Vocus SIT ExDa'!$B$2:$J$173, 0,FALSE), IFERROR(VLOOKUP($A53,'Telstra ExDa'!$B$2:$K$310, 0,FALSE), IFERROR(VLOOKUP($A53,'Vocus RVC ExDa'!$C$2:$R$155, 0,FALSE), IFERROR(VLOOKUP($A53,'Fusion ExDa'!$B$2:$D$16, 0,FALSE), IFERROR(VLOOKUP($A53,'Exetel ExDa'!$C$2:$N$14, 8,FALSE), IFERROR(VLOOKUP($A53,'Infinet ExDa'!$B$2:$E$14, 0,FALSE), "Not Found"))))))))</f>
        <v>Not Found</v>
      </c>
      <c r="J53">
        <f>IFERROR(VLOOKUP($A53,'AAPT ExDa'!$B$2:$U$99, 7,FALSE), IFERROR(VLOOKUP($A53,'ABB ExDa'!$A$2:$N$184, 2,FALSE), IFERROR(VLOOKUP($A53,'Vocus SIT ExDa'!$B$2:$J$173, 0,FALSE), IFERROR(VLOOKUP($A53,'Telstra ExDa'!$B$2:$K$310, 7,FALSE), IFERROR(VLOOKUP($A53,'Vocus RVC ExDa'!$C$2:$R$155, 2,FALSE), IFERROR(VLOOKUP($A53,'Fusion ExDa'!$B$2:$D$16, 3,FALSE), IFERROR(VLOOKUP($A53,'Exetel ExDa'!$C$2:$N$14, 0,FALSE), IFERROR(VLOOKUP($A53,'Infinet ExDa'!$B$2:$E$14, 0,FALSE), "Not Found"))))))))</f>
        <v>0</v>
      </c>
      <c r="K53" t="str">
        <f>IFERROR(VLOOKUP($A53,'AAPT ExDa'!$B$2:$U$99, 12,FALSE), IFERROR(VLOOKUP($A53,'ABB ExDa'!$A$2:$N$184, 0,FALSE), IFERROR(VLOOKUP($A53,'Vocus SIT ExDa'!$B$2:$J$173, 0,FALSE), IFERROR(VLOOKUP($A53,'Telstra ExDa'!$B$2:$K$310, 0,FALSE), IFERROR(VLOOKUP($A53,'Vocus RVC ExDa'!$C$2:$R$155, 0,FALSE), IFERROR(VLOOKUP($A53,'Fusion ExDa'!$B$2:$D$16, 0,FALSE), IFERROR(VLOOKUP($A53,'Exetel ExDa'!$C$2:$N$14, 12,FALSE), IFERROR(VLOOKUP($A53,'Infinet ExDa'!$B$2:$E$14, 0,FALSE), "Not Found"))))))))</f>
        <v>36 Months</v>
      </c>
      <c r="L53" s="235" t="str">
        <f>IFERROR(VLOOKUP($A53,'AAPT ExDa'!$B$2:$U$99, 11,FALSE), IFERROR(VLOOKUP($A53,'ABB ExDa'!$A$2:$N$184, 9,FALSE), IFERROR(VLOOKUP($A53,'Vocus SIT ExDa'!$B$2:$J$173, 8,FALSE), IFERROR(VLOOKUP($A53,'Telstra ExDa'!$B$2:$K$310, 0,FALSE), IFERROR(VLOOKUP($A53,'Vocus RVC ExDa'!$C$2:$R$155, 0,FALSE), IFERROR(VLOOKUP($A53,'Fusion ExDa'!$B$2:$D$16, 0,FALSE), IFERROR(VLOOKUP($A53,'Exetel ExDa'!$C$2:$N$14, 9,FALSE), IFERROR(VLOOKUP($A53,'Infinet ExDa'!$B$2:$E$14, 0,FALSE), "Not Found"))))))))</f>
        <v>28/06/2021</v>
      </c>
      <c r="M53" s="234" t="str">
        <f>IFERROR(VLOOKUP($A53,'AAPT ExDa'!$B$2:$U$99, 0,FALSE), IFERROR(VLOOKUP($A53,'ABB ExDa'!$A$2:$N$184, 0,FALSE), IFERROR(VLOOKUP($A53,'Vocus SIT ExDa'!$B$2:$J$173, 0,FALSE), IFERROR(VLOOKUP($A53,'Telstra ExDa'!$B$2:$K$310, 0,FALSE), IFERROR(VLOOKUP($A53,'Vocus RVC ExDa'!$C$2:$R$155, 0,FALSE), IFERROR(VLOOKUP($A53,'Fusion ExDa'!$B$2:$D$16, 0,FALSE), IFERROR(VLOOKUP($A53,'Exetel ExDa'!$C$2:$N$14, 11,FALSE), IFERROR(VLOOKUP($A53,'Infinet ExDa'!$B$2:$E$14, 0,FALSE), "Not Found"))))))))</f>
        <v>Not Found</v>
      </c>
      <c r="N53" t="str">
        <f>IFERROR(VLOOKUP($A53,'AAPT ExDa'!$B$2:$U$99, 0,FALSE), IFERROR(VLOOKUP($A53,'ABB ExDa'!$A$2:$N$184, 13,FALSE), IFERROR(VLOOKUP($A53,'Vocus SIT ExDa'!$B$2:$J$173, 0,FALSE), IFERROR(VLOOKUP($A53,'Telstra ExDa'!$B$2:$K$310, 0,FALSE), IFERROR(VLOOKUP($A53,'Vocus RVC ExDa'!$C$2:$R$155, 0,FALSE), IFERROR(VLOOKUP($A53,'Fusion ExDa'!$B$2:$D$16, 0,FALSE), IFERROR(VLOOKUP($A53,'Exetel ExDa'!$C$2:$N$14, 0,FALSE), IFERROR(VLOOKUP($A53,'Infinet ExDa'!$B$2:$E$14, 0,FALSE), "Not Found"))))))))</f>
        <v>Not Found</v>
      </c>
    </row>
    <row r="54" spans="1:14">
      <c r="A54" t="str">
        <v>Promogear</v>
      </c>
      <c r="B54" t="str">
        <f>IFERROR(VLOOKUP(A54,'Exetel ExDa'!$C$2:$N$14,4,FALSE),"No Data")</f>
        <v>No Data</v>
      </c>
      <c r="C54">
        <f>IFERROR(VLOOKUP(A54,'AAPT ExDa'!$B$2:$U$99, 2,FALSE), IFERROR(VLOOKUP(A54,'ABB ExDa'!$A$2:$N$184, 2,FALSE), IFERROR(VLOOKUP(A54,'Vocus SIT ExDa'!$B$2:$J$173, 7,FALSE), IFERROR(VLOOKUP(A54,'Telstra ExDa'!$B$2:$K$310, 2,FALSE), IFERROR(VLOOKUP(A54,'Vocus RVC ExDa'!$C$2:$R$155, 3,FALSE), IFERROR(VLOOKUP(A54,'Fusion ExDa'!$B$2:$D$16, 2,FALSE), IFERROR(VLOOKUP(A54,'Exetel ExDa'!$C$2:$N$14, 2,FALSE), IFERROR(VLOOKUP(A54,'Infinet ExDa'!$B$2:$E$14, 2,FALSE), "Not Found"))))))))</f>
        <v>0</v>
      </c>
      <c r="D54" t="str">
        <f>IFERROR(VLOOKUP($A54,'AAPT ExDa'!$B$2:$U$99, 15,FALSE), IFERROR(VLOOKUP($A54,'ABB ExDa'!$A$2:$N$184, 4,FALSE), IFERROR(VLOOKUP($A54,'Vocus SIT ExDa'!$B$2:$J$173, 5,FALSE), IFERROR(VLOOKUP($A54,'Telstra ExDa'!$B$2:$K$310, 8,FALSE), IFERROR(VLOOKUP($A54,'Vocus RVC ExDa'!$C$2:$R$155, 6,FALSE), IFERROR(VLOOKUP($A54,'Fusion ExDa'!$B$2:$D$16, 4,FALSE), IFERROR(VLOOKUP($A54,'Exetel ExDa'!$C$2:$N$14, 3,FALSE), IFERROR(VLOOKUP($A54,'Infinet ExDa'!$B$2:$E$14, 3,FALSE), "Not Found"))))))))</f>
        <v>AAPT</v>
      </c>
      <c r="E54" t="str">
        <f>IFERROR(VLOOKUP($A54,'AAPT ExDa'!$B$2:$U$99, 3,FALSE), IFERROR(VLOOKUP($A54,'ABB ExDa'!$A$2:$N$184, 5,FALSE), IFERROR(VLOOKUP($A54,'Vocus SIT ExDa'!$B$2:$J$173, 2,FALSE), IFERROR(VLOOKUP($A54,'Telstra ExDa'!$B$2:$K$310, 4,FALSE), IFERROR(VLOOKUP($A54,'Vocus RVC ExDa'!$C$2:$R$155, 8,FALSE), IFERROR(VLOOKUP($A54,'Fusion ExDa'!$B$2:$D$16, 4,FALSE), IFERROR(VLOOKUP($A54,'Exetel ExDa'!$C$2:$N$14, 5,FALSE), IFERROR(VLOOKUP($A54,'Infinet ExDa'!$B$2:$E$14, 3,FALSE), "Not Found"))))))))</f>
        <v>IP-Line</v>
      </c>
      <c r="F54" t="str">
        <f>IFERROR(VLOOKUP($A54,'AAPT ExDa'!$B$2:$U$99, 4,FALSE), IFERROR(VLOOKUP($A54,'ABB ExDa'!$A$2:$N$184, 6,FALSE), IFERROR(VLOOKUP($A54,'Vocus SIT ExDa'!$B$2:$J$173, 3,FALSE), IFERROR(VLOOKUP($A54,'Telstra ExDa'!$B$2:$K$310, 5,FALSE), IFERROR(VLOOKUP($A54,'Vocus RVC ExDa'!$C$2:$R$155, 9,FALSE), IFERROR(VLOOKUP($A54,'Fusion ExDa'!$B$2:$D$16, 0,FALSE), IFERROR(VLOOKUP($A54,'Exetel ExDa'!$C$2:$N$14, 6,FALSE), IFERROR(VLOOKUP($A54,'Infinet ExDa'!$B$2:$E$14, 0,FALSE), "Not Found"))))))))</f>
        <v>IP-Line</v>
      </c>
      <c r="G54">
        <f>IFERROR(VLOOKUP($A54,'AAPT ExDa'!$B$2:$U$99, 5,FALSE), IFERROR(VLOOKUP($A54,'ABB ExDa'!$A$2:$N$184, 8,FALSE), IFERROR(VLOOKUP($A54,'Vocus SIT ExDa'!$B$2:$J$173, 6,FALSE), IFERROR(VLOOKUP($A54,'Telstra ExDa'!$B$2:$K$310, 0,FALSE), IFERROR(VLOOKUP($A54,'Vocus RVC ExDa'!$C$2:$R$155, 15,FALSE), IFERROR(VLOOKUP($A54,'Fusion ExDa'!$B$2:$D$16, 0,FALSE), IFERROR(VLOOKUP($A54,'Exetel ExDa'!$C$2:$N$14, 7,FALSE), IFERROR(VLOOKUP($A54,'Infinet ExDa'!$B$2:$E$14, 0,FALSE), "Not Found"))))))))</f>
        <v>0</v>
      </c>
      <c r="H54">
        <f>IFERROR(VLOOKUP($A54,'AAPT ExDa'!$B$2:$U$99, 6,FALSE), IFERROR(VLOOKUP($A54,'ABB ExDa'!$A$2:$N$184, 0,FALSE), IFERROR(VLOOKUP($A54,'Vocus SIT ExDa'!$B$2:$J$173, 0,FALSE), IFERROR(VLOOKUP($A54,'Telstra ExDa'!$B$2:$K$310, 0,FALSE), IFERROR(VLOOKUP($A54,'Vocus RVC ExDa'!$C$2:$R$155, 16,FALSE), IFERROR(VLOOKUP($A54,'Fusion ExDa'!$B$2:$D$16, 0,FALSE), IFERROR(VLOOKUP($A54,'Exetel ExDa'!$C$2:$N$14, 0,FALSE), IFERROR(VLOOKUP($A54,'Infinet ExDa'!$B$2:$E$14, 0,FALSE), "Not Found"))))))))</f>
        <v>0</v>
      </c>
      <c r="I54" t="str">
        <f>IFERROR(VLOOKUP($A54,'AAPT ExDa'!$B$2:$U$99, 0,FALSE), IFERROR(VLOOKUP($A54,'ABB ExDa'!$A$2:$N$184, 0,FALSE), IFERROR(VLOOKUP($A54,'Vocus SIT ExDa'!$B$2:$J$173, 0,FALSE), IFERROR(VLOOKUP($A54,'Telstra ExDa'!$B$2:$K$310, 0,FALSE), IFERROR(VLOOKUP($A54,'Vocus RVC ExDa'!$C$2:$R$155, 0,FALSE), IFERROR(VLOOKUP($A54,'Fusion ExDa'!$B$2:$D$16, 0,FALSE), IFERROR(VLOOKUP($A54,'Exetel ExDa'!$C$2:$N$14, 8,FALSE), IFERROR(VLOOKUP($A54,'Infinet ExDa'!$B$2:$E$14, 0,FALSE), "Not Found"))))))))</f>
        <v>Not Found</v>
      </c>
      <c r="J54">
        <f>IFERROR(VLOOKUP($A54,'AAPT ExDa'!$B$2:$U$99, 7,FALSE), IFERROR(VLOOKUP($A54,'ABB ExDa'!$A$2:$N$184, 2,FALSE), IFERROR(VLOOKUP($A54,'Vocus SIT ExDa'!$B$2:$J$173, 0,FALSE), IFERROR(VLOOKUP($A54,'Telstra ExDa'!$B$2:$K$310, 7,FALSE), IFERROR(VLOOKUP($A54,'Vocus RVC ExDa'!$C$2:$R$155, 2,FALSE), IFERROR(VLOOKUP($A54,'Fusion ExDa'!$B$2:$D$16, 3,FALSE), IFERROR(VLOOKUP($A54,'Exetel ExDa'!$C$2:$N$14, 0,FALSE), IFERROR(VLOOKUP($A54,'Infinet ExDa'!$B$2:$E$14, 0,FALSE), "Not Found"))))))))</f>
        <v>0</v>
      </c>
      <c r="K54" t="str">
        <f>IFERROR(VLOOKUP($A54,'AAPT ExDa'!$B$2:$U$99, 12,FALSE), IFERROR(VLOOKUP($A54,'ABB ExDa'!$A$2:$N$184, 0,FALSE), IFERROR(VLOOKUP($A54,'Vocus SIT ExDa'!$B$2:$J$173, 0,FALSE), IFERROR(VLOOKUP($A54,'Telstra ExDa'!$B$2:$K$310, 0,FALSE), IFERROR(VLOOKUP($A54,'Vocus RVC ExDa'!$C$2:$R$155, 0,FALSE), IFERROR(VLOOKUP($A54,'Fusion ExDa'!$B$2:$D$16, 0,FALSE), IFERROR(VLOOKUP($A54,'Exetel ExDa'!$C$2:$N$14, 12,FALSE), IFERROR(VLOOKUP($A54,'Infinet ExDa'!$B$2:$E$14, 0,FALSE), "Not Found"))))))))</f>
        <v>12 Months</v>
      </c>
      <c r="L54" s="235" t="str">
        <f>IFERROR(VLOOKUP($A54,'AAPT ExDa'!$B$2:$U$99, 11,FALSE), IFERROR(VLOOKUP($A54,'ABB ExDa'!$A$2:$N$184, 9,FALSE), IFERROR(VLOOKUP($A54,'Vocus SIT ExDa'!$B$2:$J$173, 8,FALSE), IFERROR(VLOOKUP($A54,'Telstra ExDa'!$B$2:$K$310, 0,FALSE), IFERROR(VLOOKUP($A54,'Vocus RVC ExDa'!$C$2:$R$155, 0,FALSE), IFERROR(VLOOKUP($A54,'Fusion ExDa'!$B$2:$D$16, 0,FALSE), IFERROR(VLOOKUP($A54,'Exetel ExDa'!$C$2:$N$14, 9,FALSE), IFERROR(VLOOKUP($A54,'Infinet ExDa'!$B$2:$E$14, 0,FALSE), "Not Found"))))))))</f>
        <v>15/06/2021</v>
      </c>
      <c r="M54" s="234" t="str">
        <f>IFERROR(VLOOKUP($A54,'AAPT ExDa'!$B$2:$U$99, 0,FALSE), IFERROR(VLOOKUP($A54,'ABB ExDa'!$A$2:$N$184, 0,FALSE), IFERROR(VLOOKUP($A54,'Vocus SIT ExDa'!$B$2:$J$173, 0,FALSE), IFERROR(VLOOKUP($A54,'Telstra ExDa'!$B$2:$K$310, 0,FALSE), IFERROR(VLOOKUP($A54,'Vocus RVC ExDa'!$C$2:$R$155, 0,FALSE), IFERROR(VLOOKUP($A54,'Fusion ExDa'!$B$2:$D$16, 0,FALSE), IFERROR(VLOOKUP($A54,'Exetel ExDa'!$C$2:$N$14, 11,FALSE), IFERROR(VLOOKUP($A54,'Infinet ExDa'!$B$2:$E$14, 0,FALSE), "Not Found"))))))))</f>
        <v>Not Found</v>
      </c>
      <c r="N54" t="str">
        <f>IFERROR(VLOOKUP($A54,'AAPT ExDa'!$B$2:$U$99, 0,FALSE), IFERROR(VLOOKUP($A54,'ABB ExDa'!$A$2:$N$184, 13,FALSE), IFERROR(VLOOKUP($A54,'Vocus SIT ExDa'!$B$2:$J$173, 0,FALSE), IFERROR(VLOOKUP($A54,'Telstra ExDa'!$B$2:$K$310, 0,FALSE), IFERROR(VLOOKUP($A54,'Vocus RVC ExDa'!$C$2:$R$155, 0,FALSE), IFERROR(VLOOKUP($A54,'Fusion ExDa'!$B$2:$D$16, 0,FALSE), IFERROR(VLOOKUP($A54,'Exetel ExDa'!$C$2:$N$14, 0,FALSE), IFERROR(VLOOKUP($A54,'Infinet ExDa'!$B$2:$E$14, 0,FALSE), "Not Found"))))))))</f>
        <v>Sasboss/Datagate</v>
      </c>
    </row>
    <row r="55" spans="1:14">
      <c r="A55" t="str">
        <v>Promogear</v>
      </c>
      <c r="B55" t="str">
        <f>IFERROR(VLOOKUP(A55,'Exetel ExDa'!$C$2:$N$14,4,FALSE),"No Data")</f>
        <v>No Data</v>
      </c>
      <c r="C55">
        <f>IFERROR(VLOOKUP(A55,'AAPT ExDa'!$B$2:$U$99, 2,FALSE), IFERROR(VLOOKUP(A55,'ABB ExDa'!$A$2:$N$184, 2,FALSE), IFERROR(VLOOKUP(A55,'Vocus SIT ExDa'!$B$2:$J$173, 7,FALSE), IFERROR(VLOOKUP(A55,'Telstra ExDa'!$B$2:$K$310, 2,FALSE), IFERROR(VLOOKUP(A55,'Vocus RVC ExDa'!$C$2:$R$155, 3,FALSE), IFERROR(VLOOKUP(A55,'Fusion ExDa'!$B$2:$D$16, 2,FALSE), IFERROR(VLOOKUP(A55,'Exetel ExDa'!$C$2:$N$14, 2,FALSE), IFERROR(VLOOKUP(A55,'Infinet ExDa'!$B$2:$E$14, 2,FALSE), "Not Found"))))))))</f>
        <v>0</v>
      </c>
      <c r="D55" t="str">
        <f>IFERROR(VLOOKUP($A55,'AAPT ExDa'!$B$2:$U$99, 15,FALSE), IFERROR(VLOOKUP($A55,'ABB ExDa'!$A$2:$N$184, 4,FALSE), IFERROR(VLOOKUP($A55,'Vocus SIT ExDa'!$B$2:$J$173, 5,FALSE), IFERROR(VLOOKUP($A55,'Telstra ExDa'!$B$2:$K$310, 8,FALSE), IFERROR(VLOOKUP($A55,'Vocus RVC ExDa'!$C$2:$R$155, 6,FALSE), IFERROR(VLOOKUP($A55,'Fusion ExDa'!$B$2:$D$16, 4,FALSE), IFERROR(VLOOKUP($A55,'Exetel ExDa'!$C$2:$N$14, 3,FALSE), IFERROR(VLOOKUP($A55,'Infinet ExDa'!$B$2:$E$14, 3,FALSE), "Not Found"))))))))</f>
        <v>AAPT</v>
      </c>
      <c r="E55" t="str">
        <f>IFERROR(VLOOKUP($A55,'AAPT ExDa'!$B$2:$U$99, 3,FALSE), IFERROR(VLOOKUP($A55,'ABB ExDa'!$A$2:$N$184, 5,FALSE), IFERROR(VLOOKUP($A55,'Vocus SIT ExDa'!$B$2:$J$173, 2,FALSE), IFERROR(VLOOKUP($A55,'Telstra ExDa'!$B$2:$K$310, 4,FALSE), IFERROR(VLOOKUP($A55,'Vocus RVC ExDa'!$C$2:$R$155, 8,FALSE), IFERROR(VLOOKUP($A55,'Fusion ExDa'!$B$2:$D$16, 4,FALSE), IFERROR(VLOOKUP($A55,'Exetel ExDa'!$C$2:$N$14, 5,FALSE), IFERROR(VLOOKUP($A55,'Infinet ExDa'!$B$2:$E$14, 3,FALSE), "Not Found"))))))))</f>
        <v>IP-Line</v>
      </c>
      <c r="F55" t="str">
        <f>IFERROR(VLOOKUP($A55,'AAPT ExDa'!$B$2:$U$99, 4,FALSE), IFERROR(VLOOKUP($A55,'ABB ExDa'!$A$2:$N$184, 6,FALSE), IFERROR(VLOOKUP($A55,'Vocus SIT ExDa'!$B$2:$J$173, 3,FALSE), IFERROR(VLOOKUP($A55,'Telstra ExDa'!$B$2:$K$310, 5,FALSE), IFERROR(VLOOKUP($A55,'Vocus RVC ExDa'!$C$2:$R$155, 9,FALSE), IFERROR(VLOOKUP($A55,'Fusion ExDa'!$B$2:$D$16, 0,FALSE), IFERROR(VLOOKUP($A55,'Exetel ExDa'!$C$2:$N$14, 6,FALSE), IFERROR(VLOOKUP($A55,'Infinet ExDa'!$B$2:$E$14, 0,FALSE), "Not Found"))))))))</f>
        <v>IP-Line</v>
      </c>
      <c r="G55">
        <f>IFERROR(VLOOKUP($A55,'AAPT ExDa'!$B$2:$U$99, 5,FALSE), IFERROR(VLOOKUP($A55,'ABB ExDa'!$A$2:$N$184, 8,FALSE), IFERROR(VLOOKUP($A55,'Vocus SIT ExDa'!$B$2:$J$173, 6,FALSE), IFERROR(VLOOKUP($A55,'Telstra ExDa'!$B$2:$K$310, 0,FALSE), IFERROR(VLOOKUP($A55,'Vocus RVC ExDa'!$C$2:$R$155, 15,FALSE), IFERROR(VLOOKUP($A55,'Fusion ExDa'!$B$2:$D$16, 0,FALSE), IFERROR(VLOOKUP($A55,'Exetel ExDa'!$C$2:$N$14, 7,FALSE), IFERROR(VLOOKUP($A55,'Infinet ExDa'!$B$2:$E$14, 0,FALSE), "Not Found"))))))))</f>
        <v>0</v>
      </c>
      <c r="H55">
        <f>IFERROR(VLOOKUP($A55,'AAPT ExDa'!$B$2:$U$99, 6,FALSE), IFERROR(VLOOKUP($A55,'ABB ExDa'!$A$2:$N$184, 0,FALSE), IFERROR(VLOOKUP($A55,'Vocus SIT ExDa'!$B$2:$J$173, 0,FALSE), IFERROR(VLOOKUP($A55,'Telstra ExDa'!$B$2:$K$310, 0,FALSE), IFERROR(VLOOKUP($A55,'Vocus RVC ExDa'!$C$2:$R$155, 16,FALSE), IFERROR(VLOOKUP($A55,'Fusion ExDa'!$B$2:$D$16, 0,FALSE), IFERROR(VLOOKUP($A55,'Exetel ExDa'!$C$2:$N$14, 0,FALSE), IFERROR(VLOOKUP($A55,'Infinet ExDa'!$B$2:$E$14, 0,FALSE), "Not Found"))))))))</f>
        <v>0</v>
      </c>
      <c r="I55" t="str">
        <f>IFERROR(VLOOKUP($A55,'AAPT ExDa'!$B$2:$U$99, 0,FALSE), IFERROR(VLOOKUP($A55,'ABB ExDa'!$A$2:$N$184, 0,FALSE), IFERROR(VLOOKUP($A55,'Vocus SIT ExDa'!$B$2:$J$173, 0,FALSE), IFERROR(VLOOKUP($A55,'Telstra ExDa'!$B$2:$K$310, 0,FALSE), IFERROR(VLOOKUP($A55,'Vocus RVC ExDa'!$C$2:$R$155, 0,FALSE), IFERROR(VLOOKUP($A55,'Fusion ExDa'!$B$2:$D$16, 0,FALSE), IFERROR(VLOOKUP($A55,'Exetel ExDa'!$C$2:$N$14, 8,FALSE), IFERROR(VLOOKUP($A55,'Infinet ExDa'!$B$2:$E$14, 0,FALSE), "Not Found"))))))))</f>
        <v>Not Found</v>
      </c>
      <c r="J55">
        <f>IFERROR(VLOOKUP($A55,'AAPT ExDa'!$B$2:$U$99, 7,FALSE), IFERROR(VLOOKUP($A55,'ABB ExDa'!$A$2:$N$184, 2,FALSE), IFERROR(VLOOKUP($A55,'Vocus SIT ExDa'!$B$2:$J$173, 0,FALSE), IFERROR(VLOOKUP($A55,'Telstra ExDa'!$B$2:$K$310, 7,FALSE), IFERROR(VLOOKUP($A55,'Vocus RVC ExDa'!$C$2:$R$155, 2,FALSE), IFERROR(VLOOKUP($A55,'Fusion ExDa'!$B$2:$D$16, 3,FALSE), IFERROR(VLOOKUP($A55,'Exetel ExDa'!$C$2:$N$14, 0,FALSE), IFERROR(VLOOKUP($A55,'Infinet ExDa'!$B$2:$E$14, 0,FALSE), "Not Found"))))))))</f>
        <v>0</v>
      </c>
      <c r="K55" t="str">
        <f>IFERROR(VLOOKUP($A55,'AAPT ExDa'!$B$2:$U$99, 12,FALSE), IFERROR(VLOOKUP($A55,'ABB ExDa'!$A$2:$N$184, 0,FALSE), IFERROR(VLOOKUP($A55,'Vocus SIT ExDa'!$B$2:$J$173, 0,FALSE), IFERROR(VLOOKUP($A55,'Telstra ExDa'!$B$2:$K$310, 0,FALSE), IFERROR(VLOOKUP($A55,'Vocus RVC ExDa'!$C$2:$R$155, 0,FALSE), IFERROR(VLOOKUP($A55,'Fusion ExDa'!$B$2:$D$16, 0,FALSE), IFERROR(VLOOKUP($A55,'Exetel ExDa'!$C$2:$N$14, 12,FALSE), IFERROR(VLOOKUP($A55,'Infinet ExDa'!$B$2:$E$14, 0,FALSE), "Not Found"))))))))</f>
        <v>12 Months</v>
      </c>
      <c r="L55" s="235" t="str">
        <f>IFERROR(VLOOKUP($A55,'AAPT ExDa'!$B$2:$U$99, 11,FALSE), IFERROR(VLOOKUP($A55,'ABB ExDa'!$A$2:$N$184, 9,FALSE), IFERROR(VLOOKUP($A55,'Vocus SIT ExDa'!$B$2:$J$173, 8,FALSE), IFERROR(VLOOKUP($A55,'Telstra ExDa'!$B$2:$K$310, 0,FALSE), IFERROR(VLOOKUP($A55,'Vocus RVC ExDa'!$C$2:$R$155, 0,FALSE), IFERROR(VLOOKUP($A55,'Fusion ExDa'!$B$2:$D$16, 0,FALSE), IFERROR(VLOOKUP($A55,'Exetel ExDa'!$C$2:$N$14, 9,FALSE), IFERROR(VLOOKUP($A55,'Infinet ExDa'!$B$2:$E$14, 0,FALSE), "Not Found"))))))))</f>
        <v>15/06/2021</v>
      </c>
      <c r="M55" s="234" t="str">
        <f>IFERROR(VLOOKUP($A55,'AAPT ExDa'!$B$2:$U$99, 0,FALSE), IFERROR(VLOOKUP($A55,'ABB ExDa'!$A$2:$N$184, 0,FALSE), IFERROR(VLOOKUP($A55,'Vocus SIT ExDa'!$B$2:$J$173, 0,FALSE), IFERROR(VLOOKUP($A55,'Telstra ExDa'!$B$2:$K$310, 0,FALSE), IFERROR(VLOOKUP($A55,'Vocus RVC ExDa'!$C$2:$R$155, 0,FALSE), IFERROR(VLOOKUP($A55,'Fusion ExDa'!$B$2:$D$16, 0,FALSE), IFERROR(VLOOKUP($A55,'Exetel ExDa'!$C$2:$N$14, 11,FALSE), IFERROR(VLOOKUP($A55,'Infinet ExDa'!$B$2:$E$14, 0,FALSE), "Not Found"))))))))</f>
        <v>Not Found</v>
      </c>
      <c r="N55" t="str">
        <f>IFERROR(VLOOKUP($A55,'AAPT ExDa'!$B$2:$U$99, 0,FALSE), IFERROR(VLOOKUP($A55,'ABB ExDa'!$A$2:$N$184, 13,FALSE), IFERROR(VLOOKUP($A55,'Vocus SIT ExDa'!$B$2:$J$173, 0,FALSE), IFERROR(VLOOKUP($A55,'Telstra ExDa'!$B$2:$K$310, 0,FALSE), IFERROR(VLOOKUP($A55,'Vocus RVC ExDa'!$C$2:$R$155, 0,FALSE), IFERROR(VLOOKUP($A55,'Fusion ExDa'!$B$2:$D$16, 0,FALSE), IFERROR(VLOOKUP($A55,'Exetel ExDa'!$C$2:$N$14, 0,FALSE), IFERROR(VLOOKUP($A55,'Infinet ExDa'!$B$2:$E$14, 0,FALSE), "Not Found"))))))))</f>
        <v>Sasboss/Datagate</v>
      </c>
    </row>
    <row r="56" spans="1:14">
      <c r="A56" t="str">
        <v>Promogear</v>
      </c>
      <c r="B56" t="str">
        <f>IFERROR(VLOOKUP(A56,'Exetel ExDa'!$C$2:$N$14,4,FALSE),"No Data")</f>
        <v>No Data</v>
      </c>
      <c r="C56">
        <f>IFERROR(VLOOKUP(A56,'AAPT ExDa'!$B$2:$U$99, 2,FALSE), IFERROR(VLOOKUP(A56,'ABB ExDa'!$A$2:$N$184, 2,FALSE), IFERROR(VLOOKUP(A56,'Vocus SIT ExDa'!$B$2:$J$173, 7,FALSE), IFERROR(VLOOKUP(A56,'Telstra ExDa'!$B$2:$K$310, 2,FALSE), IFERROR(VLOOKUP(A56,'Vocus RVC ExDa'!$C$2:$R$155, 3,FALSE), IFERROR(VLOOKUP(A56,'Fusion ExDa'!$B$2:$D$16, 2,FALSE), IFERROR(VLOOKUP(A56,'Exetel ExDa'!$C$2:$N$14, 2,FALSE), IFERROR(VLOOKUP(A56,'Infinet ExDa'!$B$2:$E$14, 2,FALSE), "Not Found"))))))))</f>
        <v>0</v>
      </c>
      <c r="D56" t="str">
        <f>IFERROR(VLOOKUP($A56,'AAPT ExDa'!$B$2:$U$99, 15,FALSE), IFERROR(VLOOKUP($A56,'ABB ExDa'!$A$2:$N$184, 4,FALSE), IFERROR(VLOOKUP($A56,'Vocus SIT ExDa'!$B$2:$J$173, 5,FALSE), IFERROR(VLOOKUP($A56,'Telstra ExDa'!$B$2:$K$310, 8,FALSE), IFERROR(VLOOKUP($A56,'Vocus RVC ExDa'!$C$2:$R$155, 6,FALSE), IFERROR(VLOOKUP($A56,'Fusion ExDa'!$B$2:$D$16, 4,FALSE), IFERROR(VLOOKUP($A56,'Exetel ExDa'!$C$2:$N$14, 3,FALSE), IFERROR(VLOOKUP($A56,'Infinet ExDa'!$B$2:$E$14, 3,FALSE), "Not Found"))))))))</f>
        <v>AAPT</v>
      </c>
      <c r="E56" t="str">
        <f>IFERROR(VLOOKUP($A56,'AAPT ExDa'!$B$2:$U$99, 3,FALSE), IFERROR(VLOOKUP($A56,'ABB ExDa'!$A$2:$N$184, 5,FALSE), IFERROR(VLOOKUP($A56,'Vocus SIT ExDa'!$B$2:$J$173, 2,FALSE), IFERROR(VLOOKUP($A56,'Telstra ExDa'!$B$2:$K$310, 4,FALSE), IFERROR(VLOOKUP($A56,'Vocus RVC ExDa'!$C$2:$R$155, 8,FALSE), IFERROR(VLOOKUP($A56,'Fusion ExDa'!$B$2:$D$16, 4,FALSE), IFERROR(VLOOKUP($A56,'Exetel ExDa'!$C$2:$N$14, 5,FALSE), IFERROR(VLOOKUP($A56,'Infinet ExDa'!$B$2:$E$14, 3,FALSE), "Not Found"))))))))</f>
        <v>IP-Line</v>
      </c>
      <c r="F56" t="str">
        <f>IFERROR(VLOOKUP($A56,'AAPT ExDa'!$B$2:$U$99, 4,FALSE), IFERROR(VLOOKUP($A56,'ABB ExDa'!$A$2:$N$184, 6,FALSE), IFERROR(VLOOKUP($A56,'Vocus SIT ExDa'!$B$2:$J$173, 3,FALSE), IFERROR(VLOOKUP($A56,'Telstra ExDa'!$B$2:$K$310, 5,FALSE), IFERROR(VLOOKUP($A56,'Vocus RVC ExDa'!$C$2:$R$155, 9,FALSE), IFERROR(VLOOKUP($A56,'Fusion ExDa'!$B$2:$D$16, 0,FALSE), IFERROR(VLOOKUP($A56,'Exetel ExDa'!$C$2:$N$14, 6,FALSE), IFERROR(VLOOKUP($A56,'Infinet ExDa'!$B$2:$E$14, 0,FALSE), "Not Found"))))))))</f>
        <v>IP-Line</v>
      </c>
      <c r="G56">
        <f>IFERROR(VLOOKUP($A56,'AAPT ExDa'!$B$2:$U$99, 5,FALSE), IFERROR(VLOOKUP($A56,'ABB ExDa'!$A$2:$N$184, 8,FALSE), IFERROR(VLOOKUP($A56,'Vocus SIT ExDa'!$B$2:$J$173, 6,FALSE), IFERROR(VLOOKUP($A56,'Telstra ExDa'!$B$2:$K$310, 0,FALSE), IFERROR(VLOOKUP($A56,'Vocus RVC ExDa'!$C$2:$R$155, 15,FALSE), IFERROR(VLOOKUP($A56,'Fusion ExDa'!$B$2:$D$16, 0,FALSE), IFERROR(VLOOKUP($A56,'Exetel ExDa'!$C$2:$N$14, 7,FALSE), IFERROR(VLOOKUP($A56,'Infinet ExDa'!$B$2:$E$14, 0,FALSE), "Not Found"))))))))</f>
        <v>0</v>
      </c>
      <c r="H56">
        <f>IFERROR(VLOOKUP($A56,'AAPT ExDa'!$B$2:$U$99, 6,FALSE), IFERROR(VLOOKUP($A56,'ABB ExDa'!$A$2:$N$184, 0,FALSE), IFERROR(VLOOKUP($A56,'Vocus SIT ExDa'!$B$2:$J$173, 0,FALSE), IFERROR(VLOOKUP($A56,'Telstra ExDa'!$B$2:$K$310, 0,FALSE), IFERROR(VLOOKUP($A56,'Vocus RVC ExDa'!$C$2:$R$155, 16,FALSE), IFERROR(VLOOKUP($A56,'Fusion ExDa'!$B$2:$D$16, 0,FALSE), IFERROR(VLOOKUP($A56,'Exetel ExDa'!$C$2:$N$14, 0,FALSE), IFERROR(VLOOKUP($A56,'Infinet ExDa'!$B$2:$E$14, 0,FALSE), "Not Found"))))))))</f>
        <v>0</v>
      </c>
      <c r="I56" t="str">
        <f>IFERROR(VLOOKUP($A56,'AAPT ExDa'!$B$2:$U$99, 0,FALSE), IFERROR(VLOOKUP($A56,'ABB ExDa'!$A$2:$N$184, 0,FALSE), IFERROR(VLOOKUP($A56,'Vocus SIT ExDa'!$B$2:$J$173, 0,FALSE), IFERROR(VLOOKUP($A56,'Telstra ExDa'!$B$2:$K$310, 0,FALSE), IFERROR(VLOOKUP($A56,'Vocus RVC ExDa'!$C$2:$R$155, 0,FALSE), IFERROR(VLOOKUP($A56,'Fusion ExDa'!$B$2:$D$16, 0,FALSE), IFERROR(VLOOKUP($A56,'Exetel ExDa'!$C$2:$N$14, 8,FALSE), IFERROR(VLOOKUP($A56,'Infinet ExDa'!$B$2:$E$14, 0,FALSE), "Not Found"))))))))</f>
        <v>Not Found</v>
      </c>
      <c r="J56">
        <f>IFERROR(VLOOKUP($A56,'AAPT ExDa'!$B$2:$U$99, 7,FALSE), IFERROR(VLOOKUP($A56,'ABB ExDa'!$A$2:$N$184, 2,FALSE), IFERROR(VLOOKUP($A56,'Vocus SIT ExDa'!$B$2:$J$173, 0,FALSE), IFERROR(VLOOKUP($A56,'Telstra ExDa'!$B$2:$K$310, 7,FALSE), IFERROR(VLOOKUP($A56,'Vocus RVC ExDa'!$C$2:$R$155, 2,FALSE), IFERROR(VLOOKUP($A56,'Fusion ExDa'!$B$2:$D$16, 3,FALSE), IFERROR(VLOOKUP($A56,'Exetel ExDa'!$C$2:$N$14, 0,FALSE), IFERROR(VLOOKUP($A56,'Infinet ExDa'!$B$2:$E$14, 0,FALSE), "Not Found"))))))))</f>
        <v>0</v>
      </c>
      <c r="K56" t="str">
        <f>IFERROR(VLOOKUP($A56,'AAPT ExDa'!$B$2:$U$99, 12,FALSE), IFERROR(VLOOKUP($A56,'ABB ExDa'!$A$2:$N$184, 0,FALSE), IFERROR(VLOOKUP($A56,'Vocus SIT ExDa'!$B$2:$J$173, 0,FALSE), IFERROR(VLOOKUP($A56,'Telstra ExDa'!$B$2:$K$310, 0,FALSE), IFERROR(VLOOKUP($A56,'Vocus RVC ExDa'!$C$2:$R$155, 0,FALSE), IFERROR(VLOOKUP($A56,'Fusion ExDa'!$B$2:$D$16, 0,FALSE), IFERROR(VLOOKUP($A56,'Exetel ExDa'!$C$2:$N$14, 12,FALSE), IFERROR(VLOOKUP($A56,'Infinet ExDa'!$B$2:$E$14, 0,FALSE), "Not Found"))))))))</f>
        <v>12 Months</v>
      </c>
      <c r="L56" s="235" t="str">
        <f>IFERROR(VLOOKUP($A56,'AAPT ExDa'!$B$2:$U$99, 11,FALSE), IFERROR(VLOOKUP($A56,'ABB ExDa'!$A$2:$N$184, 9,FALSE), IFERROR(VLOOKUP($A56,'Vocus SIT ExDa'!$B$2:$J$173, 8,FALSE), IFERROR(VLOOKUP($A56,'Telstra ExDa'!$B$2:$K$310, 0,FALSE), IFERROR(VLOOKUP($A56,'Vocus RVC ExDa'!$C$2:$R$155, 0,FALSE), IFERROR(VLOOKUP($A56,'Fusion ExDa'!$B$2:$D$16, 0,FALSE), IFERROR(VLOOKUP($A56,'Exetel ExDa'!$C$2:$N$14, 9,FALSE), IFERROR(VLOOKUP($A56,'Infinet ExDa'!$B$2:$E$14, 0,FALSE), "Not Found"))))))))</f>
        <v>15/06/2021</v>
      </c>
      <c r="M56" s="234" t="str">
        <f>IFERROR(VLOOKUP($A56,'AAPT ExDa'!$B$2:$U$99, 0,FALSE), IFERROR(VLOOKUP($A56,'ABB ExDa'!$A$2:$N$184, 0,FALSE), IFERROR(VLOOKUP($A56,'Vocus SIT ExDa'!$B$2:$J$173, 0,FALSE), IFERROR(VLOOKUP($A56,'Telstra ExDa'!$B$2:$K$310, 0,FALSE), IFERROR(VLOOKUP($A56,'Vocus RVC ExDa'!$C$2:$R$155, 0,FALSE), IFERROR(VLOOKUP($A56,'Fusion ExDa'!$B$2:$D$16, 0,FALSE), IFERROR(VLOOKUP($A56,'Exetel ExDa'!$C$2:$N$14, 11,FALSE), IFERROR(VLOOKUP($A56,'Infinet ExDa'!$B$2:$E$14, 0,FALSE), "Not Found"))))))))</f>
        <v>Not Found</v>
      </c>
      <c r="N56" t="str">
        <f>IFERROR(VLOOKUP($A56,'AAPT ExDa'!$B$2:$U$99, 0,FALSE), IFERROR(VLOOKUP($A56,'ABB ExDa'!$A$2:$N$184, 13,FALSE), IFERROR(VLOOKUP($A56,'Vocus SIT ExDa'!$B$2:$J$173, 0,FALSE), IFERROR(VLOOKUP($A56,'Telstra ExDa'!$B$2:$K$310, 0,FALSE), IFERROR(VLOOKUP($A56,'Vocus RVC ExDa'!$C$2:$R$155, 0,FALSE), IFERROR(VLOOKUP($A56,'Fusion ExDa'!$B$2:$D$16, 0,FALSE), IFERROR(VLOOKUP($A56,'Exetel ExDa'!$C$2:$N$14, 0,FALSE), IFERROR(VLOOKUP($A56,'Infinet ExDa'!$B$2:$E$14, 0,FALSE), "Not Found"))))))))</f>
        <v>Sasboss/Datagate</v>
      </c>
    </row>
    <row r="57" spans="1:14">
      <c r="A57" t="str">
        <v>QCOS Orthopaedic</v>
      </c>
      <c r="B57" t="str">
        <f>IFERROR(VLOOKUP(A57,'Exetel ExDa'!$C$2:$N$14,4,FALSE),"No Data")</f>
        <v>No Data</v>
      </c>
      <c r="C57" t="str">
        <f>IFERROR(VLOOKUP(A57,'AAPT ExDa'!$B$2:$U$99, 2,FALSE), IFERROR(VLOOKUP(A57,'ABB ExDa'!$A$2:$N$184, 2,FALSE), IFERROR(VLOOKUP(A57,'Vocus SIT ExDa'!$B$2:$J$173, 7,FALSE), IFERROR(VLOOKUP(A57,'Telstra ExDa'!$B$2:$K$310, 2,FALSE), IFERROR(VLOOKUP(A57,'Vocus RVC ExDa'!$C$2:$R$155, 3,FALSE), IFERROR(VLOOKUP(A57,'Fusion ExDa'!$B$2:$D$16, 2,FALSE), IFERROR(VLOOKUP(A57,'Exetel ExDa'!$C$2:$N$14, 2,FALSE), IFERROR(VLOOKUP(A57,'Infinet ExDa'!$B$2:$E$14, 2,FALSE), "Not Found"))))))))</f>
        <v>NoCthedad</v>
      </c>
      <c r="D57" t="str">
        <f>IFERROR(VLOOKUP($A57,'AAPT ExDa'!$B$2:$U$99, 15,FALSE), IFERROR(VLOOKUP($A57,'ABB ExDa'!$A$2:$N$184, 4,FALSE), IFERROR(VLOOKUP($A57,'Vocus SIT ExDa'!$B$2:$J$173, 5,FALSE), IFERROR(VLOOKUP($A57,'Telstra ExDa'!$B$2:$K$310, 8,FALSE), IFERROR(VLOOKUP($A57,'Vocus RVC ExDa'!$C$2:$R$155, 6,FALSE), IFERROR(VLOOKUP($A57,'Fusion ExDa'!$B$2:$D$16, 4,FALSE), IFERROR(VLOOKUP($A57,'Exetel ExDa'!$C$2:$N$14, 3,FALSE), IFERROR(VLOOKUP($A57,'Infinet ExDa'!$B$2:$E$14, 3,FALSE), "Not Found"))))))))</f>
        <v>AAPT</v>
      </c>
      <c r="E57" t="str">
        <f>IFERROR(VLOOKUP($A57,'AAPT ExDa'!$B$2:$U$99, 3,FALSE), IFERROR(VLOOKUP($A57,'ABB ExDa'!$A$2:$N$184, 5,FALSE), IFERROR(VLOOKUP($A57,'Vocus SIT ExDa'!$B$2:$J$173, 2,FALSE), IFERROR(VLOOKUP($A57,'Telstra ExDa'!$B$2:$K$310, 4,FALSE), IFERROR(VLOOKUP($A57,'Vocus RVC ExDa'!$C$2:$R$155, 8,FALSE), IFERROR(VLOOKUP($A57,'Fusion ExDa'!$B$2:$D$16, 4,FALSE), IFERROR(VLOOKUP($A57,'Exetel ExDa'!$C$2:$N$14, 5,FALSE), IFERROR(VLOOKUP($A57,'Infinet ExDa'!$B$2:$E$14, 3,FALSE), "Not Found"))))))))</f>
        <v>FAST Fibre</v>
      </c>
      <c r="F57" t="str">
        <f>IFERROR(VLOOKUP($A57,'AAPT ExDa'!$B$2:$U$99, 4,FALSE), IFERROR(VLOOKUP($A57,'ABB ExDa'!$A$2:$N$184, 6,FALSE), IFERROR(VLOOKUP($A57,'Vocus SIT ExDa'!$B$2:$J$173, 3,FALSE), IFERROR(VLOOKUP($A57,'Telstra ExDa'!$B$2:$K$310, 5,FALSE), IFERROR(VLOOKUP($A57,'Vocus RVC ExDa'!$C$2:$R$155, 9,FALSE), IFERROR(VLOOKUP($A57,'Fusion ExDa'!$B$2:$D$16, 0,FALSE), IFERROR(VLOOKUP($A57,'Exetel ExDa'!$C$2:$N$14, 6,FALSE), IFERROR(VLOOKUP($A57,'Infinet ExDa'!$B$2:$E$14, 0,FALSE), "Not Found"))))))))</f>
        <v>FAST Fibre (NTU)</v>
      </c>
      <c r="G57">
        <f>IFERROR(VLOOKUP($A57,'AAPT ExDa'!$B$2:$U$99, 5,FALSE), IFERROR(VLOOKUP($A57,'ABB ExDa'!$A$2:$N$184, 8,FALSE), IFERROR(VLOOKUP($A57,'Vocus SIT ExDa'!$B$2:$J$173, 6,FALSE), IFERROR(VLOOKUP($A57,'Telstra ExDa'!$B$2:$K$310, 0,FALSE), IFERROR(VLOOKUP($A57,'Vocus RVC ExDa'!$C$2:$R$155, 15,FALSE), IFERROR(VLOOKUP($A57,'Fusion ExDa'!$B$2:$D$16, 0,FALSE), IFERROR(VLOOKUP($A57,'Exetel ExDa'!$C$2:$N$14, 7,FALSE), IFERROR(VLOOKUP($A57,'Infinet ExDa'!$B$2:$E$14, 0,FALSE), "Not Found"))))))))</f>
        <v>0</v>
      </c>
      <c r="H57" t="str">
        <f>IFERROR(VLOOKUP($A57,'AAPT ExDa'!$B$2:$U$99, 6,FALSE), IFERROR(VLOOKUP($A57,'ABB ExDa'!$A$2:$N$184, 0,FALSE), IFERROR(VLOOKUP($A57,'Vocus SIT ExDa'!$B$2:$J$173, 0,FALSE), IFERROR(VLOOKUP($A57,'Telstra ExDa'!$B$2:$K$310, 0,FALSE), IFERROR(VLOOKUP($A57,'Vocus RVC ExDa'!$C$2:$R$155, 16,FALSE), IFERROR(VLOOKUP($A57,'Fusion ExDa'!$B$2:$D$16, 0,FALSE), IFERROR(VLOOKUP($A57,'Exetel ExDa'!$C$2:$N$14, 0,FALSE), IFERROR(VLOOKUP($A57,'Infinet ExDa'!$B$2:$E$14, 0,FALSE), "Not Found"))))))))</f>
        <v>1000 Mbps; 36 Months</v>
      </c>
      <c r="I57" t="str">
        <f>IFERROR(VLOOKUP($A57,'AAPT ExDa'!$B$2:$U$99, 0,FALSE), IFERROR(VLOOKUP($A57,'ABB ExDa'!$A$2:$N$184, 0,FALSE), IFERROR(VLOOKUP($A57,'Vocus SIT ExDa'!$B$2:$J$173, 0,FALSE), IFERROR(VLOOKUP($A57,'Telstra ExDa'!$B$2:$K$310, 0,FALSE), IFERROR(VLOOKUP($A57,'Vocus RVC ExDa'!$C$2:$R$155, 0,FALSE), IFERROR(VLOOKUP($A57,'Fusion ExDa'!$B$2:$D$16, 0,FALSE), IFERROR(VLOOKUP($A57,'Exetel ExDa'!$C$2:$N$14, 8,FALSE), IFERROR(VLOOKUP($A57,'Infinet ExDa'!$B$2:$E$14, 0,FALSE), "Not Found"))))))))</f>
        <v>Not Found</v>
      </c>
      <c r="J57">
        <f>IFERROR(VLOOKUP($A57,'AAPT ExDa'!$B$2:$U$99, 7,FALSE), IFERROR(VLOOKUP($A57,'ABB ExDa'!$A$2:$N$184, 2,FALSE), IFERROR(VLOOKUP($A57,'Vocus SIT ExDa'!$B$2:$J$173, 0,FALSE), IFERROR(VLOOKUP($A57,'Telstra ExDa'!$B$2:$K$310, 7,FALSE), IFERROR(VLOOKUP($A57,'Vocus RVC ExDa'!$C$2:$R$155, 2,FALSE), IFERROR(VLOOKUP($A57,'Fusion ExDa'!$B$2:$D$16, 3,FALSE), IFERROR(VLOOKUP($A57,'Exetel ExDa'!$C$2:$N$14, 0,FALSE), IFERROR(VLOOKUP($A57,'Infinet ExDa'!$B$2:$E$14, 0,FALSE), "Not Found"))))))))</f>
        <v>0</v>
      </c>
      <c r="K57" t="str">
        <f>IFERROR(VLOOKUP($A57,'AAPT ExDa'!$B$2:$U$99, 12,FALSE), IFERROR(VLOOKUP($A57,'ABB ExDa'!$A$2:$N$184, 0,FALSE), IFERROR(VLOOKUP($A57,'Vocus SIT ExDa'!$B$2:$J$173, 0,FALSE), IFERROR(VLOOKUP($A57,'Telstra ExDa'!$B$2:$K$310, 0,FALSE), IFERROR(VLOOKUP($A57,'Vocus RVC ExDa'!$C$2:$R$155, 0,FALSE), IFERROR(VLOOKUP($A57,'Fusion ExDa'!$B$2:$D$16, 0,FALSE), IFERROR(VLOOKUP($A57,'Exetel ExDa'!$C$2:$N$14, 12,FALSE), IFERROR(VLOOKUP($A57,'Infinet ExDa'!$B$2:$E$14, 0,FALSE), "Not Found"))))))))</f>
        <v>36 Months</v>
      </c>
      <c r="L57" s="235" t="str">
        <f>IFERROR(VLOOKUP($A57,'AAPT ExDa'!$B$2:$U$99, 11,FALSE), IFERROR(VLOOKUP($A57,'ABB ExDa'!$A$2:$N$184, 9,FALSE), IFERROR(VLOOKUP($A57,'Vocus SIT ExDa'!$B$2:$J$173, 8,FALSE), IFERROR(VLOOKUP($A57,'Telstra ExDa'!$B$2:$K$310, 0,FALSE), IFERROR(VLOOKUP($A57,'Vocus RVC ExDa'!$C$2:$R$155, 0,FALSE), IFERROR(VLOOKUP($A57,'Fusion ExDa'!$B$2:$D$16, 0,FALSE), IFERROR(VLOOKUP($A57,'Exetel ExDa'!$C$2:$N$14, 9,FALSE), IFERROR(VLOOKUP($A57,'Infinet ExDa'!$B$2:$E$14, 0,FALSE), "Not Found"))))))))</f>
        <v>19/08/2024</v>
      </c>
      <c r="M57" s="234" t="str">
        <f>IFERROR(VLOOKUP($A57,'AAPT ExDa'!$B$2:$U$99, 0,FALSE), IFERROR(VLOOKUP($A57,'ABB ExDa'!$A$2:$N$184, 0,FALSE), IFERROR(VLOOKUP($A57,'Vocus SIT ExDa'!$B$2:$J$173, 0,FALSE), IFERROR(VLOOKUP($A57,'Telstra ExDa'!$B$2:$K$310, 0,FALSE), IFERROR(VLOOKUP($A57,'Vocus RVC ExDa'!$C$2:$R$155, 0,FALSE), IFERROR(VLOOKUP($A57,'Fusion ExDa'!$B$2:$D$16, 0,FALSE), IFERROR(VLOOKUP($A57,'Exetel ExDa'!$C$2:$N$14, 11,FALSE), IFERROR(VLOOKUP($A57,'Infinet ExDa'!$B$2:$E$14, 0,FALSE), "Not Found"))))))))</f>
        <v>Not Found</v>
      </c>
      <c r="N57" t="str">
        <f>IFERROR(VLOOKUP($A57,'AAPT ExDa'!$B$2:$U$99, 0,FALSE), IFERROR(VLOOKUP($A57,'ABB ExDa'!$A$2:$N$184, 13,FALSE), IFERROR(VLOOKUP($A57,'Vocus SIT ExDa'!$B$2:$J$173, 0,FALSE), IFERROR(VLOOKUP($A57,'Telstra ExDa'!$B$2:$K$310, 0,FALSE), IFERROR(VLOOKUP($A57,'Vocus RVC ExDa'!$C$2:$R$155, 0,FALSE), IFERROR(VLOOKUP($A57,'Fusion ExDa'!$B$2:$D$16, 0,FALSE), IFERROR(VLOOKUP($A57,'Exetel ExDa'!$C$2:$N$14, 0,FALSE), IFERROR(VLOOKUP($A57,'Infinet ExDa'!$B$2:$E$14, 0,FALSE), "Not Found"))))))))</f>
        <v>Not Found</v>
      </c>
    </row>
    <row r="58" spans="1:14">
      <c r="A58" t="str">
        <v>QCOS Orthopaedic</v>
      </c>
      <c r="B58" t="str">
        <f>IFERROR(VLOOKUP(A58,'Exetel ExDa'!$C$2:$N$14,4,FALSE),"No Data")</f>
        <v>No Data</v>
      </c>
      <c r="C58" t="str">
        <f>IFERROR(VLOOKUP(A58,'AAPT ExDa'!$B$2:$U$99, 2,FALSE), IFERROR(VLOOKUP(A58,'ABB ExDa'!$A$2:$N$184, 2,FALSE), IFERROR(VLOOKUP(A58,'Vocus SIT ExDa'!$B$2:$J$173, 7,FALSE), IFERROR(VLOOKUP(A58,'Telstra ExDa'!$B$2:$K$310, 2,FALSE), IFERROR(VLOOKUP(A58,'Vocus RVC ExDa'!$C$2:$R$155, 3,FALSE), IFERROR(VLOOKUP(A58,'Fusion ExDa'!$B$2:$D$16, 2,FALSE), IFERROR(VLOOKUP(A58,'Exetel ExDa'!$C$2:$N$14, 2,FALSE), IFERROR(VLOOKUP(A58,'Infinet ExDa'!$B$2:$E$14, 2,FALSE), "Not Found"))))))))</f>
        <v>NoCthedad</v>
      </c>
      <c r="D58" t="str">
        <f>IFERROR(VLOOKUP($A58,'AAPT ExDa'!$B$2:$U$99, 15,FALSE), IFERROR(VLOOKUP($A58,'ABB ExDa'!$A$2:$N$184, 4,FALSE), IFERROR(VLOOKUP($A58,'Vocus SIT ExDa'!$B$2:$J$173, 5,FALSE), IFERROR(VLOOKUP($A58,'Telstra ExDa'!$B$2:$K$310, 8,FALSE), IFERROR(VLOOKUP($A58,'Vocus RVC ExDa'!$C$2:$R$155, 6,FALSE), IFERROR(VLOOKUP($A58,'Fusion ExDa'!$B$2:$D$16, 4,FALSE), IFERROR(VLOOKUP($A58,'Exetel ExDa'!$C$2:$N$14, 3,FALSE), IFERROR(VLOOKUP($A58,'Infinet ExDa'!$B$2:$E$14, 3,FALSE), "Not Found"))))))))</f>
        <v>AAPT</v>
      </c>
      <c r="E58" t="str">
        <f>IFERROR(VLOOKUP($A58,'AAPT ExDa'!$B$2:$U$99, 3,FALSE), IFERROR(VLOOKUP($A58,'ABB ExDa'!$A$2:$N$184, 5,FALSE), IFERROR(VLOOKUP($A58,'Vocus SIT ExDa'!$B$2:$J$173, 2,FALSE), IFERROR(VLOOKUP($A58,'Telstra ExDa'!$B$2:$K$310, 4,FALSE), IFERROR(VLOOKUP($A58,'Vocus RVC ExDa'!$C$2:$R$155, 8,FALSE), IFERROR(VLOOKUP($A58,'Fusion ExDa'!$B$2:$D$16, 4,FALSE), IFERROR(VLOOKUP($A58,'Exetel ExDa'!$C$2:$N$14, 5,FALSE), IFERROR(VLOOKUP($A58,'Infinet ExDa'!$B$2:$E$14, 3,FALSE), "Not Found"))))))))</f>
        <v>FAST Fibre</v>
      </c>
      <c r="F58" t="str">
        <f>IFERROR(VLOOKUP($A58,'AAPT ExDa'!$B$2:$U$99, 4,FALSE), IFERROR(VLOOKUP($A58,'ABB ExDa'!$A$2:$N$184, 6,FALSE), IFERROR(VLOOKUP($A58,'Vocus SIT ExDa'!$B$2:$J$173, 3,FALSE), IFERROR(VLOOKUP($A58,'Telstra ExDa'!$B$2:$K$310, 5,FALSE), IFERROR(VLOOKUP($A58,'Vocus RVC ExDa'!$C$2:$R$155, 9,FALSE), IFERROR(VLOOKUP($A58,'Fusion ExDa'!$B$2:$D$16, 0,FALSE), IFERROR(VLOOKUP($A58,'Exetel ExDa'!$C$2:$N$14, 6,FALSE), IFERROR(VLOOKUP($A58,'Infinet ExDa'!$B$2:$E$14, 0,FALSE), "Not Found"))))))))</f>
        <v>FAST Fibre (NTU)</v>
      </c>
      <c r="G58">
        <f>IFERROR(VLOOKUP($A58,'AAPT ExDa'!$B$2:$U$99, 5,FALSE), IFERROR(VLOOKUP($A58,'ABB ExDa'!$A$2:$N$184, 8,FALSE), IFERROR(VLOOKUP($A58,'Vocus SIT ExDa'!$B$2:$J$173, 6,FALSE), IFERROR(VLOOKUP($A58,'Telstra ExDa'!$B$2:$K$310, 0,FALSE), IFERROR(VLOOKUP($A58,'Vocus RVC ExDa'!$C$2:$R$155, 15,FALSE), IFERROR(VLOOKUP($A58,'Fusion ExDa'!$B$2:$D$16, 0,FALSE), IFERROR(VLOOKUP($A58,'Exetel ExDa'!$C$2:$N$14, 7,FALSE), IFERROR(VLOOKUP($A58,'Infinet ExDa'!$B$2:$E$14, 0,FALSE), "Not Found"))))))))</f>
        <v>0</v>
      </c>
      <c r="H58" t="str">
        <f>IFERROR(VLOOKUP($A58,'AAPT ExDa'!$B$2:$U$99, 6,FALSE), IFERROR(VLOOKUP($A58,'ABB ExDa'!$A$2:$N$184, 0,FALSE), IFERROR(VLOOKUP($A58,'Vocus SIT ExDa'!$B$2:$J$173, 0,FALSE), IFERROR(VLOOKUP($A58,'Telstra ExDa'!$B$2:$K$310, 0,FALSE), IFERROR(VLOOKUP($A58,'Vocus RVC ExDa'!$C$2:$R$155, 16,FALSE), IFERROR(VLOOKUP($A58,'Fusion ExDa'!$B$2:$D$16, 0,FALSE), IFERROR(VLOOKUP($A58,'Exetel ExDa'!$C$2:$N$14, 0,FALSE), IFERROR(VLOOKUP($A58,'Infinet ExDa'!$B$2:$E$14, 0,FALSE), "Not Found"))))))))</f>
        <v>1000 Mbps; 36 Months</v>
      </c>
      <c r="I58" t="str">
        <f>IFERROR(VLOOKUP($A58,'AAPT ExDa'!$B$2:$U$99, 0,FALSE), IFERROR(VLOOKUP($A58,'ABB ExDa'!$A$2:$N$184, 0,FALSE), IFERROR(VLOOKUP($A58,'Vocus SIT ExDa'!$B$2:$J$173, 0,FALSE), IFERROR(VLOOKUP($A58,'Telstra ExDa'!$B$2:$K$310, 0,FALSE), IFERROR(VLOOKUP($A58,'Vocus RVC ExDa'!$C$2:$R$155, 0,FALSE), IFERROR(VLOOKUP($A58,'Fusion ExDa'!$B$2:$D$16, 0,FALSE), IFERROR(VLOOKUP($A58,'Exetel ExDa'!$C$2:$N$14, 8,FALSE), IFERROR(VLOOKUP($A58,'Infinet ExDa'!$B$2:$E$14, 0,FALSE), "Not Found"))))))))</f>
        <v>Not Found</v>
      </c>
      <c r="J58">
        <f>IFERROR(VLOOKUP($A58,'AAPT ExDa'!$B$2:$U$99, 7,FALSE), IFERROR(VLOOKUP($A58,'ABB ExDa'!$A$2:$N$184, 2,FALSE), IFERROR(VLOOKUP($A58,'Vocus SIT ExDa'!$B$2:$J$173, 0,FALSE), IFERROR(VLOOKUP($A58,'Telstra ExDa'!$B$2:$K$310, 7,FALSE), IFERROR(VLOOKUP($A58,'Vocus RVC ExDa'!$C$2:$R$155, 2,FALSE), IFERROR(VLOOKUP($A58,'Fusion ExDa'!$B$2:$D$16, 3,FALSE), IFERROR(VLOOKUP($A58,'Exetel ExDa'!$C$2:$N$14, 0,FALSE), IFERROR(VLOOKUP($A58,'Infinet ExDa'!$B$2:$E$14, 0,FALSE), "Not Found"))))))))</f>
        <v>0</v>
      </c>
      <c r="K58" t="str">
        <f>IFERROR(VLOOKUP($A58,'AAPT ExDa'!$B$2:$U$99, 12,FALSE), IFERROR(VLOOKUP($A58,'ABB ExDa'!$A$2:$N$184, 0,FALSE), IFERROR(VLOOKUP($A58,'Vocus SIT ExDa'!$B$2:$J$173, 0,FALSE), IFERROR(VLOOKUP($A58,'Telstra ExDa'!$B$2:$K$310, 0,FALSE), IFERROR(VLOOKUP($A58,'Vocus RVC ExDa'!$C$2:$R$155, 0,FALSE), IFERROR(VLOOKUP($A58,'Fusion ExDa'!$B$2:$D$16, 0,FALSE), IFERROR(VLOOKUP($A58,'Exetel ExDa'!$C$2:$N$14, 12,FALSE), IFERROR(VLOOKUP($A58,'Infinet ExDa'!$B$2:$E$14, 0,FALSE), "Not Found"))))))))</f>
        <v>36 Months</v>
      </c>
      <c r="L58" s="235" t="str">
        <f>IFERROR(VLOOKUP($A58,'AAPT ExDa'!$B$2:$U$99, 11,FALSE), IFERROR(VLOOKUP($A58,'ABB ExDa'!$A$2:$N$184, 9,FALSE), IFERROR(VLOOKUP($A58,'Vocus SIT ExDa'!$B$2:$J$173, 8,FALSE), IFERROR(VLOOKUP($A58,'Telstra ExDa'!$B$2:$K$310, 0,FALSE), IFERROR(VLOOKUP($A58,'Vocus RVC ExDa'!$C$2:$R$155, 0,FALSE), IFERROR(VLOOKUP($A58,'Fusion ExDa'!$B$2:$D$16, 0,FALSE), IFERROR(VLOOKUP($A58,'Exetel ExDa'!$C$2:$N$14, 9,FALSE), IFERROR(VLOOKUP($A58,'Infinet ExDa'!$B$2:$E$14, 0,FALSE), "Not Found"))))))))</f>
        <v>19/08/2024</v>
      </c>
      <c r="M58" s="234" t="str">
        <f>IFERROR(VLOOKUP($A58,'AAPT ExDa'!$B$2:$U$99, 0,FALSE), IFERROR(VLOOKUP($A58,'ABB ExDa'!$A$2:$N$184, 0,FALSE), IFERROR(VLOOKUP($A58,'Vocus SIT ExDa'!$B$2:$J$173, 0,FALSE), IFERROR(VLOOKUP($A58,'Telstra ExDa'!$B$2:$K$310, 0,FALSE), IFERROR(VLOOKUP($A58,'Vocus RVC ExDa'!$C$2:$R$155, 0,FALSE), IFERROR(VLOOKUP($A58,'Fusion ExDa'!$B$2:$D$16, 0,FALSE), IFERROR(VLOOKUP($A58,'Exetel ExDa'!$C$2:$N$14, 11,FALSE), IFERROR(VLOOKUP($A58,'Infinet ExDa'!$B$2:$E$14, 0,FALSE), "Not Found"))))))))</f>
        <v>Not Found</v>
      </c>
      <c r="N58" t="str">
        <f>IFERROR(VLOOKUP($A58,'AAPT ExDa'!$B$2:$U$99, 0,FALSE), IFERROR(VLOOKUP($A58,'ABB ExDa'!$A$2:$N$184, 13,FALSE), IFERROR(VLOOKUP($A58,'Vocus SIT ExDa'!$B$2:$J$173, 0,FALSE), IFERROR(VLOOKUP($A58,'Telstra ExDa'!$B$2:$K$310, 0,FALSE), IFERROR(VLOOKUP($A58,'Vocus RVC ExDa'!$C$2:$R$155, 0,FALSE), IFERROR(VLOOKUP($A58,'Fusion ExDa'!$B$2:$D$16, 0,FALSE), IFERROR(VLOOKUP($A58,'Exetel ExDa'!$C$2:$N$14, 0,FALSE), IFERROR(VLOOKUP($A58,'Infinet ExDa'!$B$2:$E$14, 0,FALSE), "Not Found"))))))))</f>
        <v>Not Found</v>
      </c>
    </row>
    <row r="59" spans="1:14">
      <c r="A59" t="str">
        <v>QCOS Orthopaedic</v>
      </c>
      <c r="B59" t="str">
        <f>IFERROR(VLOOKUP(A59,'Exetel ExDa'!$C$2:$N$14,4,FALSE),"No Data")</f>
        <v>No Data</v>
      </c>
      <c r="C59" t="str">
        <f>IFERROR(VLOOKUP(A59,'AAPT ExDa'!$B$2:$U$99, 2,FALSE), IFERROR(VLOOKUP(A59,'ABB ExDa'!$A$2:$N$184, 2,FALSE), IFERROR(VLOOKUP(A59,'Vocus SIT ExDa'!$B$2:$J$173, 7,FALSE), IFERROR(VLOOKUP(A59,'Telstra ExDa'!$B$2:$K$310, 2,FALSE), IFERROR(VLOOKUP(A59,'Vocus RVC ExDa'!$C$2:$R$155, 3,FALSE), IFERROR(VLOOKUP(A59,'Fusion ExDa'!$B$2:$D$16, 2,FALSE), IFERROR(VLOOKUP(A59,'Exetel ExDa'!$C$2:$N$14, 2,FALSE), IFERROR(VLOOKUP(A59,'Infinet ExDa'!$B$2:$E$14, 2,FALSE), "Not Found"))))))))</f>
        <v>NoCthedad</v>
      </c>
      <c r="D59" t="str">
        <f>IFERROR(VLOOKUP($A59,'AAPT ExDa'!$B$2:$U$99, 15,FALSE), IFERROR(VLOOKUP($A59,'ABB ExDa'!$A$2:$N$184, 4,FALSE), IFERROR(VLOOKUP($A59,'Vocus SIT ExDa'!$B$2:$J$173, 5,FALSE), IFERROR(VLOOKUP($A59,'Telstra ExDa'!$B$2:$K$310, 8,FALSE), IFERROR(VLOOKUP($A59,'Vocus RVC ExDa'!$C$2:$R$155, 6,FALSE), IFERROR(VLOOKUP($A59,'Fusion ExDa'!$B$2:$D$16, 4,FALSE), IFERROR(VLOOKUP($A59,'Exetel ExDa'!$C$2:$N$14, 3,FALSE), IFERROR(VLOOKUP($A59,'Infinet ExDa'!$B$2:$E$14, 3,FALSE), "Not Found"))))))))</f>
        <v>AAPT</v>
      </c>
      <c r="E59" t="str">
        <f>IFERROR(VLOOKUP($A59,'AAPT ExDa'!$B$2:$U$99, 3,FALSE), IFERROR(VLOOKUP($A59,'ABB ExDa'!$A$2:$N$184, 5,FALSE), IFERROR(VLOOKUP($A59,'Vocus SIT ExDa'!$B$2:$J$173, 2,FALSE), IFERROR(VLOOKUP($A59,'Telstra ExDa'!$B$2:$K$310, 4,FALSE), IFERROR(VLOOKUP($A59,'Vocus RVC ExDa'!$C$2:$R$155, 8,FALSE), IFERROR(VLOOKUP($A59,'Fusion ExDa'!$B$2:$D$16, 4,FALSE), IFERROR(VLOOKUP($A59,'Exetel ExDa'!$C$2:$N$14, 5,FALSE), IFERROR(VLOOKUP($A59,'Infinet ExDa'!$B$2:$E$14, 3,FALSE), "Not Found"))))))))</f>
        <v>FAST Fibre</v>
      </c>
      <c r="F59" t="str">
        <f>IFERROR(VLOOKUP($A59,'AAPT ExDa'!$B$2:$U$99, 4,FALSE), IFERROR(VLOOKUP($A59,'ABB ExDa'!$A$2:$N$184, 6,FALSE), IFERROR(VLOOKUP($A59,'Vocus SIT ExDa'!$B$2:$J$173, 3,FALSE), IFERROR(VLOOKUP($A59,'Telstra ExDa'!$B$2:$K$310, 5,FALSE), IFERROR(VLOOKUP($A59,'Vocus RVC ExDa'!$C$2:$R$155, 9,FALSE), IFERROR(VLOOKUP($A59,'Fusion ExDa'!$B$2:$D$16, 0,FALSE), IFERROR(VLOOKUP($A59,'Exetel ExDa'!$C$2:$N$14, 6,FALSE), IFERROR(VLOOKUP($A59,'Infinet ExDa'!$B$2:$E$14, 0,FALSE), "Not Found"))))))))</f>
        <v>FAST Fibre (NTU)</v>
      </c>
      <c r="G59">
        <f>IFERROR(VLOOKUP($A59,'AAPT ExDa'!$B$2:$U$99, 5,FALSE), IFERROR(VLOOKUP($A59,'ABB ExDa'!$A$2:$N$184, 8,FALSE), IFERROR(VLOOKUP($A59,'Vocus SIT ExDa'!$B$2:$J$173, 6,FALSE), IFERROR(VLOOKUP($A59,'Telstra ExDa'!$B$2:$K$310, 0,FALSE), IFERROR(VLOOKUP($A59,'Vocus RVC ExDa'!$C$2:$R$155, 15,FALSE), IFERROR(VLOOKUP($A59,'Fusion ExDa'!$B$2:$D$16, 0,FALSE), IFERROR(VLOOKUP($A59,'Exetel ExDa'!$C$2:$N$14, 7,FALSE), IFERROR(VLOOKUP($A59,'Infinet ExDa'!$B$2:$E$14, 0,FALSE), "Not Found"))))))))</f>
        <v>0</v>
      </c>
      <c r="H59" t="str">
        <f>IFERROR(VLOOKUP($A59,'AAPT ExDa'!$B$2:$U$99, 6,FALSE), IFERROR(VLOOKUP($A59,'ABB ExDa'!$A$2:$N$184, 0,FALSE), IFERROR(VLOOKUP($A59,'Vocus SIT ExDa'!$B$2:$J$173, 0,FALSE), IFERROR(VLOOKUP($A59,'Telstra ExDa'!$B$2:$K$310, 0,FALSE), IFERROR(VLOOKUP($A59,'Vocus RVC ExDa'!$C$2:$R$155, 16,FALSE), IFERROR(VLOOKUP($A59,'Fusion ExDa'!$B$2:$D$16, 0,FALSE), IFERROR(VLOOKUP($A59,'Exetel ExDa'!$C$2:$N$14, 0,FALSE), IFERROR(VLOOKUP($A59,'Infinet ExDa'!$B$2:$E$14, 0,FALSE), "Not Found"))))))))</f>
        <v>1000 Mbps; 36 Months</v>
      </c>
      <c r="I59" t="str">
        <f>IFERROR(VLOOKUP($A59,'AAPT ExDa'!$B$2:$U$99, 0,FALSE), IFERROR(VLOOKUP($A59,'ABB ExDa'!$A$2:$N$184, 0,FALSE), IFERROR(VLOOKUP($A59,'Vocus SIT ExDa'!$B$2:$J$173, 0,FALSE), IFERROR(VLOOKUP($A59,'Telstra ExDa'!$B$2:$K$310, 0,FALSE), IFERROR(VLOOKUP($A59,'Vocus RVC ExDa'!$C$2:$R$155, 0,FALSE), IFERROR(VLOOKUP($A59,'Fusion ExDa'!$B$2:$D$16, 0,FALSE), IFERROR(VLOOKUP($A59,'Exetel ExDa'!$C$2:$N$14, 8,FALSE), IFERROR(VLOOKUP($A59,'Infinet ExDa'!$B$2:$E$14, 0,FALSE), "Not Found"))))))))</f>
        <v>Not Found</v>
      </c>
      <c r="J59">
        <f>IFERROR(VLOOKUP($A59,'AAPT ExDa'!$B$2:$U$99, 7,FALSE), IFERROR(VLOOKUP($A59,'ABB ExDa'!$A$2:$N$184, 2,FALSE), IFERROR(VLOOKUP($A59,'Vocus SIT ExDa'!$B$2:$J$173, 0,FALSE), IFERROR(VLOOKUP($A59,'Telstra ExDa'!$B$2:$K$310, 7,FALSE), IFERROR(VLOOKUP($A59,'Vocus RVC ExDa'!$C$2:$R$155, 2,FALSE), IFERROR(VLOOKUP($A59,'Fusion ExDa'!$B$2:$D$16, 3,FALSE), IFERROR(VLOOKUP($A59,'Exetel ExDa'!$C$2:$N$14, 0,FALSE), IFERROR(VLOOKUP($A59,'Infinet ExDa'!$B$2:$E$14, 0,FALSE), "Not Found"))))))))</f>
        <v>0</v>
      </c>
      <c r="K59" t="str">
        <f>IFERROR(VLOOKUP($A59,'AAPT ExDa'!$B$2:$U$99, 12,FALSE), IFERROR(VLOOKUP($A59,'ABB ExDa'!$A$2:$N$184, 0,FALSE), IFERROR(VLOOKUP($A59,'Vocus SIT ExDa'!$B$2:$J$173, 0,FALSE), IFERROR(VLOOKUP($A59,'Telstra ExDa'!$B$2:$K$310, 0,FALSE), IFERROR(VLOOKUP($A59,'Vocus RVC ExDa'!$C$2:$R$155, 0,FALSE), IFERROR(VLOOKUP($A59,'Fusion ExDa'!$B$2:$D$16, 0,FALSE), IFERROR(VLOOKUP($A59,'Exetel ExDa'!$C$2:$N$14, 12,FALSE), IFERROR(VLOOKUP($A59,'Infinet ExDa'!$B$2:$E$14, 0,FALSE), "Not Found"))))))))</f>
        <v>36 Months</v>
      </c>
      <c r="L59" s="235" t="str">
        <f>IFERROR(VLOOKUP($A59,'AAPT ExDa'!$B$2:$U$99, 11,FALSE), IFERROR(VLOOKUP($A59,'ABB ExDa'!$A$2:$N$184, 9,FALSE), IFERROR(VLOOKUP($A59,'Vocus SIT ExDa'!$B$2:$J$173, 8,FALSE), IFERROR(VLOOKUP($A59,'Telstra ExDa'!$B$2:$K$310, 0,FALSE), IFERROR(VLOOKUP($A59,'Vocus RVC ExDa'!$C$2:$R$155, 0,FALSE), IFERROR(VLOOKUP($A59,'Fusion ExDa'!$B$2:$D$16, 0,FALSE), IFERROR(VLOOKUP($A59,'Exetel ExDa'!$C$2:$N$14, 9,FALSE), IFERROR(VLOOKUP($A59,'Infinet ExDa'!$B$2:$E$14, 0,FALSE), "Not Found"))))))))</f>
        <v>19/08/2024</v>
      </c>
      <c r="M59" s="234" t="str">
        <f>IFERROR(VLOOKUP($A59,'AAPT ExDa'!$B$2:$U$99, 0,FALSE), IFERROR(VLOOKUP($A59,'ABB ExDa'!$A$2:$N$184, 0,FALSE), IFERROR(VLOOKUP($A59,'Vocus SIT ExDa'!$B$2:$J$173, 0,FALSE), IFERROR(VLOOKUP($A59,'Telstra ExDa'!$B$2:$K$310, 0,FALSE), IFERROR(VLOOKUP($A59,'Vocus RVC ExDa'!$C$2:$R$155, 0,FALSE), IFERROR(VLOOKUP($A59,'Fusion ExDa'!$B$2:$D$16, 0,FALSE), IFERROR(VLOOKUP($A59,'Exetel ExDa'!$C$2:$N$14, 11,FALSE), IFERROR(VLOOKUP($A59,'Infinet ExDa'!$B$2:$E$14, 0,FALSE), "Not Found"))))))))</f>
        <v>Not Found</v>
      </c>
      <c r="N59" t="str">
        <f>IFERROR(VLOOKUP($A59,'AAPT ExDa'!$B$2:$U$99, 0,FALSE), IFERROR(VLOOKUP($A59,'ABB ExDa'!$A$2:$N$184, 13,FALSE), IFERROR(VLOOKUP($A59,'Vocus SIT ExDa'!$B$2:$J$173, 0,FALSE), IFERROR(VLOOKUP($A59,'Telstra ExDa'!$B$2:$K$310, 0,FALSE), IFERROR(VLOOKUP($A59,'Vocus RVC ExDa'!$C$2:$R$155, 0,FALSE), IFERROR(VLOOKUP($A59,'Fusion ExDa'!$B$2:$D$16, 0,FALSE), IFERROR(VLOOKUP($A59,'Exetel ExDa'!$C$2:$N$14, 0,FALSE), IFERROR(VLOOKUP($A59,'Infinet ExDa'!$B$2:$E$14, 0,FALSE), "Not Found"))))))))</f>
        <v>Not Found</v>
      </c>
    </row>
    <row r="60" spans="1:14">
      <c r="A60" t="str">
        <v>ResCom</v>
      </c>
      <c r="B60" t="str">
        <f>IFERROR(VLOOKUP(A60,'Exetel ExDa'!$C$2:$N$14,4,FALSE),"No Data")</f>
        <v>No Data</v>
      </c>
      <c r="C60">
        <f>IFERROR(VLOOKUP(A60,'AAPT ExDa'!$B$2:$U$99, 2,FALSE), IFERROR(VLOOKUP(A60,'ABB ExDa'!$A$2:$N$184, 2,FALSE), IFERROR(VLOOKUP(A60,'Vocus SIT ExDa'!$B$2:$J$173, 7,FALSE), IFERROR(VLOOKUP(A60,'Telstra ExDa'!$B$2:$K$310, 2,FALSE), IFERROR(VLOOKUP(A60,'Vocus RVC ExDa'!$C$2:$R$155, 3,FALSE), IFERROR(VLOOKUP(A60,'Fusion ExDa'!$B$2:$D$16, 2,FALSE), IFERROR(VLOOKUP(A60,'Exetel ExDa'!$C$2:$N$14, 2,FALSE), IFERROR(VLOOKUP(A60,'Infinet ExDa'!$B$2:$E$14, 2,FALSE), "Not Found"))))))))</f>
        <v>0</v>
      </c>
      <c r="D60" t="str">
        <f>IFERROR(VLOOKUP($A60,'AAPT ExDa'!$B$2:$U$99, 15,FALSE), IFERROR(VLOOKUP($A60,'ABB ExDa'!$A$2:$N$184, 4,FALSE), IFERROR(VLOOKUP($A60,'Vocus SIT ExDa'!$B$2:$J$173, 5,FALSE), IFERROR(VLOOKUP($A60,'Telstra ExDa'!$B$2:$K$310, 8,FALSE), IFERROR(VLOOKUP($A60,'Vocus RVC ExDa'!$C$2:$R$155, 6,FALSE), IFERROR(VLOOKUP($A60,'Fusion ExDa'!$B$2:$D$16, 4,FALSE), IFERROR(VLOOKUP($A60,'Exetel ExDa'!$C$2:$N$14, 3,FALSE), IFERROR(VLOOKUP($A60,'Infinet ExDa'!$B$2:$E$14, 3,FALSE), "Not Found"))))))))</f>
        <v>AAPT</v>
      </c>
      <c r="E60" t="str">
        <f>IFERROR(VLOOKUP($A60,'AAPT ExDa'!$B$2:$U$99, 3,FALSE), IFERROR(VLOOKUP($A60,'ABB ExDa'!$A$2:$N$184, 5,FALSE), IFERROR(VLOOKUP($A60,'Vocus SIT ExDa'!$B$2:$J$173, 2,FALSE), IFERROR(VLOOKUP($A60,'Telstra ExDa'!$B$2:$K$310, 4,FALSE), IFERROR(VLOOKUP($A60,'Vocus RVC ExDa'!$C$2:$R$155, 8,FALSE), IFERROR(VLOOKUP($A60,'Fusion ExDa'!$B$2:$D$16, 4,FALSE), IFERROR(VLOOKUP($A60,'Exetel ExDa'!$C$2:$N$14, 5,FALSE), IFERROR(VLOOKUP($A60,'Infinet ExDa'!$B$2:$E$14, 3,FALSE), "Not Found"))))))))</f>
        <v>IP-Line</v>
      </c>
      <c r="F60" t="str">
        <f>IFERROR(VLOOKUP($A60,'AAPT ExDa'!$B$2:$U$99, 4,FALSE), IFERROR(VLOOKUP($A60,'ABB ExDa'!$A$2:$N$184, 6,FALSE), IFERROR(VLOOKUP($A60,'Vocus SIT ExDa'!$B$2:$J$173, 3,FALSE), IFERROR(VLOOKUP($A60,'Telstra ExDa'!$B$2:$K$310, 5,FALSE), IFERROR(VLOOKUP($A60,'Vocus RVC ExDa'!$C$2:$R$155, 9,FALSE), IFERROR(VLOOKUP($A60,'Fusion ExDa'!$B$2:$D$16, 0,FALSE), IFERROR(VLOOKUP($A60,'Exetel ExDa'!$C$2:$N$14, 6,FALSE), IFERROR(VLOOKUP($A60,'Infinet ExDa'!$B$2:$E$14, 0,FALSE), "Not Found"))))))))</f>
        <v>IP-Line Link</v>
      </c>
      <c r="G60" t="str">
        <f>IFERROR(VLOOKUP($A60,'AAPT ExDa'!$B$2:$U$99, 5,FALSE), IFERROR(VLOOKUP($A60,'ABB ExDa'!$A$2:$N$184, 8,FALSE), IFERROR(VLOOKUP($A60,'Vocus SIT ExDa'!$B$2:$J$173, 6,FALSE), IFERROR(VLOOKUP($A60,'Telstra ExDa'!$B$2:$K$310, 0,FALSE), IFERROR(VLOOKUP($A60,'Vocus RVC ExDa'!$C$2:$R$155, 15,FALSE), IFERROR(VLOOKUP($A60,'Fusion ExDa'!$B$2:$D$16, 0,FALSE), IFERROR(VLOOKUP($A60,'Exetel ExDa'!$C$2:$N$14, 7,FALSE), IFERROR(VLOOKUP($A60,'Infinet ExDa'!$B$2:$E$14, 0,FALSE), "Not Found"))))))))</f>
        <v>Connecting IP-Line 6023265 to Access 1824421</v>
      </c>
      <c r="H60" t="str">
        <f>IFERROR(VLOOKUP($A60,'AAPT ExDa'!$B$2:$U$99, 6,FALSE), IFERROR(VLOOKUP($A60,'ABB ExDa'!$A$2:$N$184, 0,FALSE), IFERROR(VLOOKUP($A60,'Vocus SIT ExDa'!$B$2:$J$173, 0,FALSE), IFERROR(VLOOKUP($A60,'Telstra ExDa'!$B$2:$K$310, 0,FALSE), IFERROR(VLOOKUP($A60,'Vocus RVC ExDa'!$C$2:$R$155, 16,FALSE), IFERROR(VLOOKUP($A60,'Fusion ExDa'!$B$2:$D$16, 0,FALSE), IFERROR(VLOOKUP($A60,'Exetel ExDa'!$C$2:$N$14, 0,FALSE), IFERROR(VLOOKUP($A60,'Infinet ExDa'!$B$2:$E$14, 0,FALSE), "Not Found"))))))))</f>
        <v>Up to 50/20Mbps; AVC ID:AVC000111829058</v>
      </c>
      <c r="I60" t="str">
        <f>IFERROR(VLOOKUP($A60,'AAPT ExDa'!$B$2:$U$99, 0,FALSE), IFERROR(VLOOKUP($A60,'ABB ExDa'!$A$2:$N$184, 0,FALSE), IFERROR(VLOOKUP($A60,'Vocus SIT ExDa'!$B$2:$J$173, 0,FALSE), IFERROR(VLOOKUP($A60,'Telstra ExDa'!$B$2:$K$310, 0,FALSE), IFERROR(VLOOKUP($A60,'Vocus RVC ExDa'!$C$2:$R$155, 0,FALSE), IFERROR(VLOOKUP($A60,'Fusion ExDa'!$B$2:$D$16, 0,FALSE), IFERROR(VLOOKUP($A60,'Exetel ExDa'!$C$2:$N$14, 8,FALSE), IFERROR(VLOOKUP($A60,'Infinet ExDa'!$B$2:$E$14, 0,FALSE), "Not Found"))))))))</f>
        <v>Not Found</v>
      </c>
      <c r="J60" t="str">
        <f>IFERROR(VLOOKUP($A60,'AAPT ExDa'!$B$2:$U$99, 7,FALSE), IFERROR(VLOOKUP($A60,'ABB ExDa'!$A$2:$N$184, 2,FALSE), IFERROR(VLOOKUP($A60,'Vocus SIT ExDa'!$B$2:$J$173, 0,FALSE), IFERROR(VLOOKUP($A60,'Telstra ExDa'!$B$2:$K$310, 7,FALSE), IFERROR(VLOOKUP($A60,'Vocus RVC ExDa'!$C$2:$R$155, 2,FALSE), IFERROR(VLOOKUP($A60,'Fusion ExDa'!$B$2:$D$16, 3,FALSE), IFERROR(VLOOKUP($A60,'Exetel ExDa'!$C$2:$N$14, 0,FALSE), IFERROR(VLOOKUP($A60,'Infinet ExDa'!$B$2:$E$14, 0,FALSE), "Not Found"))))))))</f>
        <v>AVC000111829058</v>
      </c>
      <c r="K60" t="str">
        <f>IFERROR(VLOOKUP($A60,'AAPT ExDa'!$B$2:$U$99, 12,FALSE), IFERROR(VLOOKUP($A60,'ABB ExDa'!$A$2:$N$184, 0,FALSE), IFERROR(VLOOKUP($A60,'Vocus SIT ExDa'!$B$2:$J$173, 0,FALSE), IFERROR(VLOOKUP($A60,'Telstra ExDa'!$B$2:$K$310, 0,FALSE), IFERROR(VLOOKUP($A60,'Vocus RVC ExDa'!$C$2:$R$155, 0,FALSE), IFERROR(VLOOKUP($A60,'Fusion ExDa'!$B$2:$D$16, 0,FALSE), IFERROR(VLOOKUP($A60,'Exetel ExDa'!$C$2:$N$14, 12,FALSE), IFERROR(VLOOKUP($A60,'Infinet ExDa'!$B$2:$E$14, 0,FALSE), "Not Found"))))))))</f>
        <v>12 Months</v>
      </c>
      <c r="L60" s="235" t="str">
        <f>IFERROR(VLOOKUP($A60,'AAPT ExDa'!$B$2:$U$99, 11,FALSE), IFERROR(VLOOKUP($A60,'ABB ExDa'!$A$2:$N$184, 9,FALSE), IFERROR(VLOOKUP($A60,'Vocus SIT ExDa'!$B$2:$J$173, 8,FALSE), IFERROR(VLOOKUP($A60,'Telstra ExDa'!$B$2:$K$310, 0,FALSE), IFERROR(VLOOKUP($A60,'Vocus RVC ExDa'!$C$2:$R$155, 0,FALSE), IFERROR(VLOOKUP($A60,'Fusion ExDa'!$B$2:$D$16, 0,FALSE), IFERROR(VLOOKUP($A60,'Exetel ExDa'!$C$2:$N$14, 9,FALSE), IFERROR(VLOOKUP($A60,'Infinet ExDa'!$B$2:$E$14, 0,FALSE), "Not Found"))))))))</f>
        <v>29/07/2020</v>
      </c>
      <c r="M60" s="234" t="str">
        <f>IFERROR(VLOOKUP($A60,'AAPT ExDa'!$B$2:$U$99, 0,FALSE), IFERROR(VLOOKUP($A60,'ABB ExDa'!$A$2:$N$184, 0,FALSE), IFERROR(VLOOKUP($A60,'Vocus SIT ExDa'!$B$2:$J$173, 0,FALSE), IFERROR(VLOOKUP($A60,'Telstra ExDa'!$B$2:$K$310, 0,FALSE), IFERROR(VLOOKUP($A60,'Vocus RVC ExDa'!$C$2:$R$155, 0,FALSE), IFERROR(VLOOKUP($A60,'Fusion ExDa'!$B$2:$D$16, 0,FALSE), IFERROR(VLOOKUP($A60,'Exetel ExDa'!$C$2:$N$14, 11,FALSE), IFERROR(VLOOKUP($A60,'Infinet ExDa'!$B$2:$E$14, 0,FALSE), "Not Found"))))))))</f>
        <v>Not Found</v>
      </c>
      <c r="N60" t="str">
        <f>IFERROR(VLOOKUP($A60,'AAPT ExDa'!$B$2:$U$99, 0,FALSE), IFERROR(VLOOKUP($A60,'ABB ExDa'!$A$2:$N$184, 13,FALSE), IFERROR(VLOOKUP($A60,'Vocus SIT ExDa'!$B$2:$J$173, 0,FALSE), IFERROR(VLOOKUP($A60,'Telstra ExDa'!$B$2:$K$310, 0,FALSE), IFERROR(VLOOKUP($A60,'Vocus RVC ExDa'!$C$2:$R$155, 0,FALSE), IFERROR(VLOOKUP($A60,'Fusion ExDa'!$B$2:$D$16, 0,FALSE), IFERROR(VLOOKUP($A60,'Exetel ExDa'!$C$2:$N$14, 0,FALSE), IFERROR(VLOOKUP($A60,'Infinet ExDa'!$B$2:$E$14, 0,FALSE), "Not Found"))))))))</f>
        <v>Not Found</v>
      </c>
    </row>
    <row r="61" spans="1:14">
      <c r="A61" t="str">
        <v>River City Maintenance</v>
      </c>
      <c r="B61" t="str">
        <f>IFERROR(VLOOKUP(A61,'Exetel ExDa'!$C$2:$N$14,4,FALSE),"No Data")</f>
        <v>No Data</v>
      </c>
      <c r="C61">
        <f>IFERROR(VLOOKUP(A61,'AAPT ExDa'!$B$2:$U$99, 2,FALSE), IFERROR(VLOOKUP(A61,'ABB ExDa'!$A$2:$N$184, 2,FALSE), IFERROR(VLOOKUP(A61,'Vocus SIT ExDa'!$B$2:$J$173, 7,FALSE), IFERROR(VLOOKUP(A61,'Telstra ExDa'!$B$2:$K$310, 2,FALSE), IFERROR(VLOOKUP(A61,'Vocus RVC ExDa'!$C$2:$R$155, 3,FALSE), IFERROR(VLOOKUP(A61,'Fusion ExDa'!$B$2:$D$16, 2,FALSE), IFERROR(VLOOKUP(A61,'Exetel ExDa'!$C$2:$N$14, 2,FALSE), IFERROR(VLOOKUP(A61,'Infinet ExDa'!$B$2:$E$14, 2,FALSE), "Not Found"))))))))</f>
        <v>0</v>
      </c>
      <c r="D61" t="str">
        <f>IFERROR(VLOOKUP($A61,'AAPT ExDa'!$B$2:$U$99, 15,FALSE), IFERROR(VLOOKUP($A61,'ABB ExDa'!$A$2:$N$184, 4,FALSE), IFERROR(VLOOKUP($A61,'Vocus SIT ExDa'!$B$2:$J$173, 5,FALSE), IFERROR(VLOOKUP($A61,'Telstra ExDa'!$B$2:$K$310, 8,FALSE), IFERROR(VLOOKUP($A61,'Vocus RVC ExDa'!$C$2:$R$155, 6,FALSE), IFERROR(VLOOKUP($A61,'Fusion ExDa'!$B$2:$D$16, 4,FALSE), IFERROR(VLOOKUP($A61,'Exetel ExDa'!$C$2:$N$14, 3,FALSE), IFERROR(VLOOKUP($A61,'Infinet ExDa'!$B$2:$E$14, 3,FALSE), "Not Found"))))))))</f>
        <v>AAPT</v>
      </c>
      <c r="E61" t="str">
        <f>IFERROR(VLOOKUP($A61,'AAPT ExDa'!$B$2:$U$99, 3,FALSE), IFERROR(VLOOKUP($A61,'ABB ExDa'!$A$2:$N$184, 5,FALSE), IFERROR(VLOOKUP($A61,'Vocus SIT ExDa'!$B$2:$J$173, 2,FALSE), IFERROR(VLOOKUP($A61,'Telstra ExDa'!$B$2:$K$310, 4,FALSE), IFERROR(VLOOKUP($A61,'Vocus RVC ExDa'!$C$2:$R$155, 8,FALSE), IFERROR(VLOOKUP($A61,'Fusion ExDa'!$B$2:$D$16, 4,FALSE), IFERROR(VLOOKUP($A61,'Exetel ExDa'!$C$2:$N$14, 5,FALSE), IFERROR(VLOOKUP($A61,'Infinet ExDa'!$B$2:$E$14, 3,FALSE), "Not Found"))))))))</f>
        <v>IP-Line</v>
      </c>
      <c r="F61" t="str">
        <f>IFERROR(VLOOKUP($A61,'AAPT ExDa'!$B$2:$U$99, 4,FALSE), IFERROR(VLOOKUP($A61,'ABB ExDa'!$A$2:$N$184, 6,FALSE), IFERROR(VLOOKUP($A61,'Vocus SIT ExDa'!$B$2:$J$173, 3,FALSE), IFERROR(VLOOKUP($A61,'Telstra ExDa'!$B$2:$K$310, 5,FALSE), IFERROR(VLOOKUP($A61,'Vocus RVC ExDa'!$C$2:$R$155, 9,FALSE), IFERROR(VLOOKUP($A61,'Fusion ExDa'!$B$2:$D$16, 0,FALSE), IFERROR(VLOOKUP($A61,'Exetel ExDa'!$C$2:$N$14, 6,FALSE), IFERROR(VLOOKUP($A61,'Infinet ExDa'!$B$2:$E$14, 0,FALSE), "Not Found"))))))))</f>
        <v>IP-Line Link</v>
      </c>
      <c r="G61" t="str">
        <f>IFERROR(VLOOKUP($A61,'AAPT ExDa'!$B$2:$U$99, 5,FALSE), IFERROR(VLOOKUP($A61,'ABB ExDa'!$A$2:$N$184, 8,FALSE), IFERROR(VLOOKUP($A61,'Vocus SIT ExDa'!$B$2:$J$173, 6,FALSE), IFERROR(VLOOKUP($A61,'Telstra ExDa'!$B$2:$K$310, 0,FALSE), IFERROR(VLOOKUP($A61,'Vocus RVC ExDa'!$C$2:$R$155, 15,FALSE), IFERROR(VLOOKUP($A61,'Fusion ExDa'!$B$2:$D$16, 0,FALSE), IFERROR(VLOOKUP($A61,'Exetel ExDa'!$C$2:$N$14, 7,FALSE), IFERROR(VLOOKUP($A61,'Infinet ExDa'!$B$2:$E$14, 0,FALSE), "Not Found"))))))))</f>
        <v>Connecting IP-Line 6023265 to Access 1822685</v>
      </c>
      <c r="H61" t="str">
        <f>IFERROR(VLOOKUP($A61,'AAPT ExDa'!$B$2:$U$99, 6,FALSE), IFERROR(VLOOKUP($A61,'ABB ExDa'!$A$2:$N$184, 0,FALSE), IFERROR(VLOOKUP($A61,'Vocus SIT ExDa'!$B$2:$J$173, 0,FALSE), IFERROR(VLOOKUP($A61,'Telstra ExDa'!$B$2:$K$310, 0,FALSE), IFERROR(VLOOKUP($A61,'Vocus RVC ExDa'!$C$2:$R$155, 16,FALSE), IFERROR(VLOOKUP($A61,'Fusion ExDa'!$B$2:$D$16, 0,FALSE), IFERROR(VLOOKUP($A61,'Exetel ExDa'!$C$2:$N$14, 0,FALSE), IFERROR(VLOOKUP($A61,'Infinet ExDa'!$B$2:$E$14, 0,FALSE), "Not Found"))))))))</f>
        <v>Up to 100/40Mbps; AVC ID:AVC000109675882</v>
      </c>
      <c r="I61" t="str">
        <f>IFERROR(VLOOKUP($A61,'AAPT ExDa'!$B$2:$U$99, 0,FALSE), IFERROR(VLOOKUP($A61,'ABB ExDa'!$A$2:$N$184, 0,FALSE), IFERROR(VLOOKUP($A61,'Vocus SIT ExDa'!$B$2:$J$173, 0,FALSE), IFERROR(VLOOKUP($A61,'Telstra ExDa'!$B$2:$K$310, 0,FALSE), IFERROR(VLOOKUP($A61,'Vocus RVC ExDa'!$C$2:$R$155, 0,FALSE), IFERROR(VLOOKUP($A61,'Fusion ExDa'!$B$2:$D$16, 0,FALSE), IFERROR(VLOOKUP($A61,'Exetel ExDa'!$C$2:$N$14, 8,FALSE), IFERROR(VLOOKUP($A61,'Infinet ExDa'!$B$2:$E$14, 0,FALSE), "Not Found"))))))))</f>
        <v>Not Found</v>
      </c>
      <c r="J61" t="str">
        <f>IFERROR(VLOOKUP($A61,'AAPT ExDa'!$B$2:$U$99, 7,FALSE), IFERROR(VLOOKUP($A61,'ABB ExDa'!$A$2:$N$184, 2,FALSE), IFERROR(VLOOKUP($A61,'Vocus SIT ExDa'!$B$2:$J$173, 0,FALSE), IFERROR(VLOOKUP($A61,'Telstra ExDa'!$B$2:$K$310, 7,FALSE), IFERROR(VLOOKUP($A61,'Vocus RVC ExDa'!$C$2:$R$155, 2,FALSE), IFERROR(VLOOKUP($A61,'Fusion ExDa'!$B$2:$D$16, 3,FALSE), IFERROR(VLOOKUP($A61,'Exetel ExDa'!$C$2:$N$14, 0,FALSE), IFERROR(VLOOKUP($A61,'Infinet ExDa'!$B$2:$E$14, 0,FALSE), "Not Found"))))))))</f>
        <v>AVC000109675882</v>
      </c>
      <c r="K61" t="str">
        <f>IFERROR(VLOOKUP($A61,'AAPT ExDa'!$B$2:$U$99, 12,FALSE), IFERROR(VLOOKUP($A61,'ABB ExDa'!$A$2:$N$184, 0,FALSE), IFERROR(VLOOKUP($A61,'Vocus SIT ExDa'!$B$2:$J$173, 0,FALSE), IFERROR(VLOOKUP($A61,'Telstra ExDa'!$B$2:$K$310, 0,FALSE), IFERROR(VLOOKUP($A61,'Vocus RVC ExDa'!$C$2:$R$155, 0,FALSE), IFERROR(VLOOKUP($A61,'Fusion ExDa'!$B$2:$D$16, 0,FALSE), IFERROR(VLOOKUP($A61,'Exetel ExDa'!$C$2:$N$14, 12,FALSE), IFERROR(VLOOKUP($A61,'Infinet ExDa'!$B$2:$E$14, 0,FALSE), "Not Found"))))))))</f>
        <v>12 Months</v>
      </c>
      <c r="L61" s="235">
        <f>IFERROR(VLOOKUP($A61,'AAPT ExDa'!$B$2:$U$99, 11,FALSE), IFERROR(VLOOKUP($A61,'ABB ExDa'!$A$2:$N$184, 9,FALSE), IFERROR(VLOOKUP($A61,'Vocus SIT ExDa'!$B$2:$J$173, 8,FALSE), IFERROR(VLOOKUP($A61,'Telstra ExDa'!$B$2:$K$310, 0,FALSE), IFERROR(VLOOKUP($A61,'Vocus RVC ExDa'!$C$2:$R$155, 0,FALSE), IFERROR(VLOOKUP($A61,'Fusion ExDa'!$B$2:$D$16, 0,FALSE), IFERROR(VLOOKUP($A61,'Exetel ExDa'!$C$2:$N$14, 9,FALSE), IFERROR(VLOOKUP($A61,'Infinet ExDa'!$B$2:$E$14, 0,FALSE), "Not Found"))))))))</f>
        <v>43989</v>
      </c>
      <c r="M61" s="234" t="str">
        <f>IFERROR(VLOOKUP($A61,'AAPT ExDa'!$B$2:$U$99, 0,FALSE), IFERROR(VLOOKUP($A61,'ABB ExDa'!$A$2:$N$184, 0,FALSE), IFERROR(VLOOKUP($A61,'Vocus SIT ExDa'!$B$2:$J$173, 0,FALSE), IFERROR(VLOOKUP($A61,'Telstra ExDa'!$B$2:$K$310, 0,FALSE), IFERROR(VLOOKUP($A61,'Vocus RVC ExDa'!$C$2:$R$155, 0,FALSE), IFERROR(VLOOKUP($A61,'Fusion ExDa'!$B$2:$D$16, 0,FALSE), IFERROR(VLOOKUP($A61,'Exetel ExDa'!$C$2:$N$14, 11,FALSE), IFERROR(VLOOKUP($A61,'Infinet ExDa'!$B$2:$E$14, 0,FALSE), "Not Found"))))))))</f>
        <v>Not Found</v>
      </c>
      <c r="N61" t="str">
        <f>IFERROR(VLOOKUP($A61,'AAPT ExDa'!$B$2:$U$99, 0,FALSE), IFERROR(VLOOKUP($A61,'ABB ExDa'!$A$2:$N$184, 13,FALSE), IFERROR(VLOOKUP($A61,'Vocus SIT ExDa'!$B$2:$J$173, 0,FALSE), IFERROR(VLOOKUP($A61,'Telstra ExDa'!$B$2:$K$310, 0,FALSE), IFERROR(VLOOKUP($A61,'Vocus RVC ExDa'!$C$2:$R$155, 0,FALSE), IFERROR(VLOOKUP($A61,'Fusion ExDa'!$B$2:$D$16, 0,FALSE), IFERROR(VLOOKUP($A61,'Exetel ExDa'!$C$2:$N$14, 0,FALSE), IFERROR(VLOOKUP($A61,'Infinet ExDa'!$B$2:$E$14, 0,FALSE), "Not Found"))))))))</f>
        <v>Not Found</v>
      </c>
    </row>
    <row r="62" spans="1:14">
      <c r="A62" t="str">
        <v>River City Maintenance</v>
      </c>
      <c r="B62" t="str">
        <f>IFERROR(VLOOKUP(A62,'Exetel ExDa'!$C$2:$N$14,4,FALSE),"No Data")</f>
        <v>No Data</v>
      </c>
      <c r="C62">
        <f>IFERROR(VLOOKUP(A62,'AAPT ExDa'!$B$2:$U$99, 2,FALSE), IFERROR(VLOOKUP(A62,'ABB ExDa'!$A$2:$N$184, 2,FALSE), IFERROR(VLOOKUP(A62,'Vocus SIT ExDa'!$B$2:$J$173, 7,FALSE), IFERROR(VLOOKUP(A62,'Telstra ExDa'!$B$2:$K$310, 2,FALSE), IFERROR(VLOOKUP(A62,'Vocus RVC ExDa'!$C$2:$R$155, 3,FALSE), IFERROR(VLOOKUP(A62,'Fusion ExDa'!$B$2:$D$16, 2,FALSE), IFERROR(VLOOKUP(A62,'Exetel ExDa'!$C$2:$N$14, 2,FALSE), IFERROR(VLOOKUP(A62,'Infinet ExDa'!$B$2:$E$14, 2,FALSE), "Not Found"))))))))</f>
        <v>0</v>
      </c>
      <c r="D62" t="str">
        <f>IFERROR(VLOOKUP($A62,'AAPT ExDa'!$B$2:$U$99, 15,FALSE), IFERROR(VLOOKUP($A62,'ABB ExDa'!$A$2:$N$184, 4,FALSE), IFERROR(VLOOKUP($A62,'Vocus SIT ExDa'!$B$2:$J$173, 5,FALSE), IFERROR(VLOOKUP($A62,'Telstra ExDa'!$B$2:$K$310, 8,FALSE), IFERROR(VLOOKUP($A62,'Vocus RVC ExDa'!$C$2:$R$155, 6,FALSE), IFERROR(VLOOKUP($A62,'Fusion ExDa'!$B$2:$D$16, 4,FALSE), IFERROR(VLOOKUP($A62,'Exetel ExDa'!$C$2:$N$14, 3,FALSE), IFERROR(VLOOKUP($A62,'Infinet ExDa'!$B$2:$E$14, 3,FALSE), "Not Found"))))))))</f>
        <v>AAPT</v>
      </c>
      <c r="E62" t="str">
        <f>IFERROR(VLOOKUP($A62,'AAPT ExDa'!$B$2:$U$99, 3,FALSE), IFERROR(VLOOKUP($A62,'ABB ExDa'!$A$2:$N$184, 5,FALSE), IFERROR(VLOOKUP($A62,'Vocus SIT ExDa'!$B$2:$J$173, 2,FALSE), IFERROR(VLOOKUP($A62,'Telstra ExDa'!$B$2:$K$310, 4,FALSE), IFERROR(VLOOKUP($A62,'Vocus RVC ExDa'!$C$2:$R$155, 8,FALSE), IFERROR(VLOOKUP($A62,'Fusion ExDa'!$B$2:$D$16, 4,FALSE), IFERROR(VLOOKUP($A62,'Exetel ExDa'!$C$2:$N$14, 5,FALSE), IFERROR(VLOOKUP($A62,'Infinet ExDa'!$B$2:$E$14, 3,FALSE), "Not Found"))))))))</f>
        <v>IP-Line</v>
      </c>
      <c r="F62" t="str">
        <f>IFERROR(VLOOKUP($A62,'AAPT ExDa'!$B$2:$U$99, 4,FALSE), IFERROR(VLOOKUP($A62,'ABB ExDa'!$A$2:$N$184, 6,FALSE), IFERROR(VLOOKUP($A62,'Vocus SIT ExDa'!$B$2:$J$173, 3,FALSE), IFERROR(VLOOKUP($A62,'Telstra ExDa'!$B$2:$K$310, 5,FALSE), IFERROR(VLOOKUP($A62,'Vocus RVC ExDa'!$C$2:$R$155, 9,FALSE), IFERROR(VLOOKUP($A62,'Fusion ExDa'!$B$2:$D$16, 0,FALSE), IFERROR(VLOOKUP($A62,'Exetel ExDa'!$C$2:$N$14, 6,FALSE), IFERROR(VLOOKUP($A62,'Infinet ExDa'!$B$2:$E$14, 0,FALSE), "Not Found"))))))))</f>
        <v>IP-Line Link</v>
      </c>
      <c r="G62" t="str">
        <f>IFERROR(VLOOKUP($A62,'AAPT ExDa'!$B$2:$U$99, 5,FALSE), IFERROR(VLOOKUP($A62,'ABB ExDa'!$A$2:$N$184, 8,FALSE), IFERROR(VLOOKUP($A62,'Vocus SIT ExDa'!$B$2:$J$173, 6,FALSE), IFERROR(VLOOKUP($A62,'Telstra ExDa'!$B$2:$K$310, 0,FALSE), IFERROR(VLOOKUP($A62,'Vocus RVC ExDa'!$C$2:$R$155, 15,FALSE), IFERROR(VLOOKUP($A62,'Fusion ExDa'!$B$2:$D$16, 0,FALSE), IFERROR(VLOOKUP($A62,'Exetel ExDa'!$C$2:$N$14, 7,FALSE), IFERROR(VLOOKUP($A62,'Infinet ExDa'!$B$2:$E$14, 0,FALSE), "Not Found"))))))))</f>
        <v>Connecting IP-Line 6023265 to Access 1822685</v>
      </c>
      <c r="H62" t="str">
        <f>IFERROR(VLOOKUP($A62,'AAPT ExDa'!$B$2:$U$99, 6,FALSE), IFERROR(VLOOKUP($A62,'ABB ExDa'!$A$2:$N$184, 0,FALSE), IFERROR(VLOOKUP($A62,'Vocus SIT ExDa'!$B$2:$J$173, 0,FALSE), IFERROR(VLOOKUP($A62,'Telstra ExDa'!$B$2:$K$310, 0,FALSE), IFERROR(VLOOKUP($A62,'Vocus RVC ExDa'!$C$2:$R$155, 16,FALSE), IFERROR(VLOOKUP($A62,'Fusion ExDa'!$B$2:$D$16, 0,FALSE), IFERROR(VLOOKUP($A62,'Exetel ExDa'!$C$2:$N$14, 0,FALSE), IFERROR(VLOOKUP($A62,'Infinet ExDa'!$B$2:$E$14, 0,FALSE), "Not Found"))))))))</f>
        <v>Up to 100/40Mbps; AVC ID:AVC000109675882</v>
      </c>
      <c r="I62" t="str">
        <f>IFERROR(VLOOKUP($A62,'AAPT ExDa'!$B$2:$U$99, 0,FALSE), IFERROR(VLOOKUP($A62,'ABB ExDa'!$A$2:$N$184, 0,FALSE), IFERROR(VLOOKUP($A62,'Vocus SIT ExDa'!$B$2:$J$173, 0,FALSE), IFERROR(VLOOKUP($A62,'Telstra ExDa'!$B$2:$K$310, 0,FALSE), IFERROR(VLOOKUP($A62,'Vocus RVC ExDa'!$C$2:$R$155, 0,FALSE), IFERROR(VLOOKUP($A62,'Fusion ExDa'!$B$2:$D$16, 0,FALSE), IFERROR(VLOOKUP($A62,'Exetel ExDa'!$C$2:$N$14, 8,FALSE), IFERROR(VLOOKUP($A62,'Infinet ExDa'!$B$2:$E$14, 0,FALSE), "Not Found"))))))))</f>
        <v>Not Found</v>
      </c>
      <c r="J62" t="str">
        <f>IFERROR(VLOOKUP($A62,'AAPT ExDa'!$B$2:$U$99, 7,FALSE), IFERROR(VLOOKUP($A62,'ABB ExDa'!$A$2:$N$184, 2,FALSE), IFERROR(VLOOKUP($A62,'Vocus SIT ExDa'!$B$2:$J$173, 0,FALSE), IFERROR(VLOOKUP($A62,'Telstra ExDa'!$B$2:$K$310, 7,FALSE), IFERROR(VLOOKUP($A62,'Vocus RVC ExDa'!$C$2:$R$155, 2,FALSE), IFERROR(VLOOKUP($A62,'Fusion ExDa'!$B$2:$D$16, 3,FALSE), IFERROR(VLOOKUP($A62,'Exetel ExDa'!$C$2:$N$14, 0,FALSE), IFERROR(VLOOKUP($A62,'Infinet ExDa'!$B$2:$E$14, 0,FALSE), "Not Found"))))))))</f>
        <v>AVC000109675882</v>
      </c>
      <c r="K62" t="str">
        <f>IFERROR(VLOOKUP($A62,'AAPT ExDa'!$B$2:$U$99, 12,FALSE), IFERROR(VLOOKUP($A62,'ABB ExDa'!$A$2:$N$184, 0,FALSE), IFERROR(VLOOKUP($A62,'Vocus SIT ExDa'!$B$2:$J$173, 0,FALSE), IFERROR(VLOOKUP($A62,'Telstra ExDa'!$B$2:$K$310, 0,FALSE), IFERROR(VLOOKUP($A62,'Vocus RVC ExDa'!$C$2:$R$155, 0,FALSE), IFERROR(VLOOKUP($A62,'Fusion ExDa'!$B$2:$D$16, 0,FALSE), IFERROR(VLOOKUP($A62,'Exetel ExDa'!$C$2:$N$14, 12,FALSE), IFERROR(VLOOKUP($A62,'Infinet ExDa'!$B$2:$E$14, 0,FALSE), "Not Found"))))))))</f>
        <v>12 Months</v>
      </c>
      <c r="L62" s="235">
        <f>IFERROR(VLOOKUP($A62,'AAPT ExDa'!$B$2:$U$99, 11,FALSE), IFERROR(VLOOKUP($A62,'ABB ExDa'!$A$2:$N$184, 9,FALSE), IFERROR(VLOOKUP($A62,'Vocus SIT ExDa'!$B$2:$J$173, 8,FALSE), IFERROR(VLOOKUP($A62,'Telstra ExDa'!$B$2:$K$310, 0,FALSE), IFERROR(VLOOKUP($A62,'Vocus RVC ExDa'!$C$2:$R$155, 0,FALSE), IFERROR(VLOOKUP($A62,'Fusion ExDa'!$B$2:$D$16, 0,FALSE), IFERROR(VLOOKUP($A62,'Exetel ExDa'!$C$2:$N$14, 9,FALSE), IFERROR(VLOOKUP($A62,'Infinet ExDa'!$B$2:$E$14, 0,FALSE), "Not Found"))))))))</f>
        <v>43989</v>
      </c>
      <c r="M62" s="234" t="str">
        <f>IFERROR(VLOOKUP($A62,'AAPT ExDa'!$B$2:$U$99, 0,FALSE), IFERROR(VLOOKUP($A62,'ABB ExDa'!$A$2:$N$184, 0,FALSE), IFERROR(VLOOKUP($A62,'Vocus SIT ExDa'!$B$2:$J$173, 0,FALSE), IFERROR(VLOOKUP($A62,'Telstra ExDa'!$B$2:$K$310, 0,FALSE), IFERROR(VLOOKUP($A62,'Vocus RVC ExDa'!$C$2:$R$155, 0,FALSE), IFERROR(VLOOKUP($A62,'Fusion ExDa'!$B$2:$D$16, 0,FALSE), IFERROR(VLOOKUP($A62,'Exetel ExDa'!$C$2:$N$14, 11,FALSE), IFERROR(VLOOKUP($A62,'Infinet ExDa'!$B$2:$E$14, 0,FALSE), "Not Found"))))))))</f>
        <v>Not Found</v>
      </c>
      <c r="N62" t="str">
        <f>IFERROR(VLOOKUP($A62,'AAPT ExDa'!$B$2:$U$99, 0,FALSE), IFERROR(VLOOKUP($A62,'ABB ExDa'!$A$2:$N$184, 13,FALSE), IFERROR(VLOOKUP($A62,'Vocus SIT ExDa'!$B$2:$J$173, 0,FALSE), IFERROR(VLOOKUP($A62,'Telstra ExDa'!$B$2:$K$310, 0,FALSE), IFERROR(VLOOKUP($A62,'Vocus RVC ExDa'!$C$2:$R$155, 0,FALSE), IFERROR(VLOOKUP($A62,'Fusion ExDa'!$B$2:$D$16, 0,FALSE), IFERROR(VLOOKUP($A62,'Exetel ExDa'!$C$2:$N$14, 0,FALSE), IFERROR(VLOOKUP($A62,'Infinet ExDa'!$B$2:$E$14, 0,FALSE), "Not Found"))))))))</f>
        <v>Not Found</v>
      </c>
    </row>
    <row r="63" spans="1:14">
      <c r="A63" t="str">
        <v>Salter Bros Balfour Hotel</v>
      </c>
      <c r="B63" t="str">
        <f>IFERROR(VLOOKUP(A63,'Exetel ExDa'!$C$2:$N$14,4,FALSE),"No Data")</f>
        <v>No Data</v>
      </c>
      <c r="C63" t="str">
        <f>IFERROR(VLOOKUP(A63,'AAPT ExDa'!$B$2:$U$99, 2,FALSE), IFERROR(VLOOKUP(A63,'ABB ExDa'!$A$2:$N$184, 2,FALSE), IFERROR(VLOOKUP(A63,'Vocus SIT ExDa'!$B$2:$J$173, 7,FALSE), IFERROR(VLOOKUP(A63,'Telstra ExDa'!$B$2:$K$310, 2,FALSE), IFERROR(VLOOKUP(A63,'Vocus RVC ExDa'!$C$2:$R$155, 3,FALSE), IFERROR(VLOOKUP(A63,'Fusion ExDa'!$B$2:$D$16, 2,FALSE), IFERROR(VLOOKUP(A63,'Exetel ExDa'!$C$2:$N$14, 2,FALSE), IFERROR(VLOOKUP(A63,'Infinet ExDa'!$B$2:$E$14, 2,FALSE), "Not Found"))))))))</f>
        <v>New Farm</v>
      </c>
      <c r="D63" t="str">
        <f>IFERROR(VLOOKUP($A63,'AAPT ExDa'!$B$2:$U$99, 15,FALSE), IFERROR(VLOOKUP($A63,'ABB ExDa'!$A$2:$N$184, 4,FALSE), IFERROR(VLOOKUP($A63,'Vocus SIT ExDa'!$B$2:$J$173, 5,FALSE), IFERROR(VLOOKUP($A63,'Telstra ExDa'!$B$2:$K$310, 8,FALSE), IFERROR(VLOOKUP($A63,'Vocus RVC ExDa'!$C$2:$R$155, 6,FALSE), IFERROR(VLOOKUP($A63,'Fusion ExDa'!$B$2:$D$16, 4,FALSE), IFERROR(VLOOKUP($A63,'Exetel ExDa'!$C$2:$N$14, 3,FALSE), IFERROR(VLOOKUP($A63,'Infinet ExDa'!$B$2:$E$14, 3,FALSE), "Not Found"))))))))</f>
        <v>AAPT</v>
      </c>
      <c r="E63" t="str">
        <f>IFERROR(VLOOKUP($A63,'AAPT ExDa'!$B$2:$U$99, 3,FALSE), IFERROR(VLOOKUP($A63,'ABB ExDa'!$A$2:$N$184, 5,FALSE), IFERROR(VLOOKUP($A63,'Vocus SIT ExDa'!$B$2:$J$173, 2,FALSE), IFERROR(VLOOKUP($A63,'Telstra ExDa'!$B$2:$K$310, 4,FALSE), IFERROR(VLOOKUP($A63,'Vocus RVC ExDa'!$C$2:$R$155, 8,FALSE), IFERROR(VLOOKUP($A63,'Fusion ExDa'!$B$2:$D$16, 4,FALSE), IFERROR(VLOOKUP($A63,'Exetel ExDa'!$C$2:$N$14, 5,FALSE), IFERROR(VLOOKUP($A63,'Infinet ExDa'!$B$2:$E$14, 3,FALSE), "Not Found"))))))))</f>
        <v>Voice Number Inventory</v>
      </c>
      <c r="F63" t="str">
        <f>IFERROR(VLOOKUP($A63,'AAPT ExDa'!$B$2:$U$99, 4,FALSE), IFERROR(VLOOKUP($A63,'ABB ExDa'!$A$2:$N$184, 6,FALSE), IFERROR(VLOOKUP($A63,'Vocus SIT ExDa'!$B$2:$J$173, 3,FALSE), IFERROR(VLOOKUP($A63,'Telstra ExDa'!$B$2:$K$310, 5,FALSE), IFERROR(VLOOKUP($A63,'Vocus RVC ExDa'!$C$2:$R$155, 9,FALSE), IFERROR(VLOOKUP($A63,'Fusion ExDa'!$B$2:$D$16, 0,FALSE), IFERROR(VLOOKUP($A63,'Exetel ExDa'!$C$2:$N$14, 6,FALSE), IFERROR(VLOOKUP($A63,'Infinet ExDa'!$B$2:$E$14, 0,FALSE), "Not Found"))))))))</f>
        <v>Number Range</v>
      </c>
      <c r="G63" t="str">
        <f>IFERROR(VLOOKUP($A63,'AAPT ExDa'!$B$2:$U$99, 5,FALSE), IFERROR(VLOOKUP($A63,'ABB ExDa'!$A$2:$N$184, 8,FALSE), IFERROR(VLOOKUP($A63,'Vocus SIT ExDa'!$B$2:$J$173, 6,FALSE), IFERROR(VLOOKUP($A63,'Telstra ExDa'!$B$2:$K$310, 0,FALSE), IFERROR(VLOOKUP($A63,'Vocus RVC ExDa'!$C$2:$R$155, 15,FALSE), IFERROR(VLOOKUP($A63,'Fusion ExDa'!$B$2:$D$16, 0,FALSE), IFERROR(VLOOKUP($A63,'Exetel ExDa'!$C$2:$N$14, 7,FALSE), IFERROR(VLOOKUP($A63,'Infinet ExDa'!$B$2:$E$14, 0,FALSE), "Not Found"))))))))</f>
        <v>37 BALFOUR ST NEW FARM QLD 4005</v>
      </c>
      <c r="H63">
        <f>IFERROR(VLOOKUP($A63,'AAPT ExDa'!$B$2:$U$99, 6,FALSE), IFERROR(VLOOKUP($A63,'ABB ExDa'!$A$2:$N$184, 0,FALSE), IFERROR(VLOOKUP($A63,'Vocus SIT ExDa'!$B$2:$J$173, 0,FALSE), IFERROR(VLOOKUP($A63,'Telstra ExDa'!$B$2:$K$310, 0,FALSE), IFERROR(VLOOKUP($A63,'Vocus RVC ExDa'!$C$2:$R$155, 16,FALSE), IFERROR(VLOOKUP($A63,'Fusion ExDa'!$B$2:$D$16, 0,FALSE), IFERROR(VLOOKUP($A63,'Exetel ExDa'!$C$2:$N$14, 0,FALSE), IFERROR(VLOOKUP($A63,'Infinet ExDa'!$B$2:$E$14, 0,FALSE), "Not Found"))))))))</f>
        <v>0</v>
      </c>
      <c r="I63" t="str">
        <f>IFERROR(VLOOKUP($A63,'AAPT ExDa'!$B$2:$U$99, 0,FALSE), IFERROR(VLOOKUP($A63,'ABB ExDa'!$A$2:$N$184, 0,FALSE), IFERROR(VLOOKUP($A63,'Vocus SIT ExDa'!$B$2:$J$173, 0,FALSE), IFERROR(VLOOKUP($A63,'Telstra ExDa'!$B$2:$K$310, 0,FALSE), IFERROR(VLOOKUP($A63,'Vocus RVC ExDa'!$C$2:$R$155, 0,FALSE), IFERROR(VLOOKUP($A63,'Fusion ExDa'!$B$2:$D$16, 0,FALSE), IFERROR(VLOOKUP($A63,'Exetel ExDa'!$C$2:$N$14, 8,FALSE), IFERROR(VLOOKUP($A63,'Infinet ExDa'!$B$2:$E$14, 0,FALSE), "Not Found"))))))))</f>
        <v>Not Found</v>
      </c>
      <c r="J63">
        <f>IFERROR(VLOOKUP($A63,'AAPT ExDa'!$B$2:$U$99, 7,FALSE), IFERROR(VLOOKUP($A63,'ABB ExDa'!$A$2:$N$184, 2,FALSE), IFERROR(VLOOKUP($A63,'Vocus SIT ExDa'!$B$2:$J$173, 0,FALSE), IFERROR(VLOOKUP($A63,'Telstra ExDa'!$B$2:$K$310, 7,FALSE), IFERROR(VLOOKUP($A63,'Vocus RVC ExDa'!$C$2:$R$155, 2,FALSE), IFERROR(VLOOKUP($A63,'Fusion ExDa'!$B$2:$D$16, 3,FALSE), IFERROR(VLOOKUP($A63,'Exetel ExDa'!$C$2:$N$14, 0,FALSE), IFERROR(VLOOKUP($A63,'Infinet ExDa'!$B$2:$E$14, 0,FALSE), "Not Found"))))))))</f>
        <v>0</v>
      </c>
      <c r="K63">
        <f>IFERROR(VLOOKUP($A63,'AAPT ExDa'!$B$2:$U$99, 12,FALSE), IFERROR(VLOOKUP($A63,'ABB ExDa'!$A$2:$N$184, 0,FALSE), IFERROR(VLOOKUP($A63,'Vocus SIT ExDa'!$B$2:$J$173, 0,FALSE), IFERROR(VLOOKUP($A63,'Telstra ExDa'!$B$2:$K$310, 0,FALSE), IFERROR(VLOOKUP($A63,'Vocus RVC ExDa'!$C$2:$R$155, 0,FALSE), IFERROR(VLOOKUP($A63,'Fusion ExDa'!$B$2:$D$16, 0,FALSE), IFERROR(VLOOKUP($A63,'Exetel ExDa'!$C$2:$N$14, 12,FALSE), IFERROR(VLOOKUP($A63,'Infinet ExDa'!$B$2:$E$14, 0,FALSE), "Not Found"))))))))</f>
        <v>0</v>
      </c>
      <c r="L63" s="235">
        <f>IFERROR(VLOOKUP($A63,'AAPT ExDa'!$B$2:$U$99, 11,FALSE), IFERROR(VLOOKUP($A63,'ABB ExDa'!$A$2:$N$184, 9,FALSE), IFERROR(VLOOKUP($A63,'Vocus SIT ExDa'!$B$2:$J$173, 8,FALSE), IFERROR(VLOOKUP($A63,'Telstra ExDa'!$B$2:$K$310, 0,FALSE), IFERROR(VLOOKUP($A63,'Vocus RVC ExDa'!$C$2:$R$155, 0,FALSE), IFERROR(VLOOKUP($A63,'Fusion ExDa'!$B$2:$D$16, 0,FALSE), IFERROR(VLOOKUP($A63,'Exetel ExDa'!$C$2:$N$14, 9,FALSE), IFERROR(VLOOKUP($A63,'Infinet ExDa'!$B$2:$E$14, 0,FALSE), "Not Found"))))))))</f>
        <v>0</v>
      </c>
      <c r="M63" s="234" t="str">
        <f>IFERROR(VLOOKUP($A63,'AAPT ExDa'!$B$2:$U$99, 0,FALSE), IFERROR(VLOOKUP($A63,'ABB ExDa'!$A$2:$N$184, 0,FALSE), IFERROR(VLOOKUP($A63,'Vocus SIT ExDa'!$B$2:$J$173, 0,FALSE), IFERROR(VLOOKUP($A63,'Telstra ExDa'!$B$2:$K$310, 0,FALSE), IFERROR(VLOOKUP($A63,'Vocus RVC ExDa'!$C$2:$R$155, 0,FALSE), IFERROR(VLOOKUP($A63,'Fusion ExDa'!$B$2:$D$16, 0,FALSE), IFERROR(VLOOKUP($A63,'Exetel ExDa'!$C$2:$N$14, 11,FALSE), IFERROR(VLOOKUP($A63,'Infinet ExDa'!$B$2:$E$14, 0,FALSE), "Not Found"))))))))</f>
        <v>Not Found</v>
      </c>
      <c r="N63" t="str">
        <f>IFERROR(VLOOKUP($A63,'AAPT ExDa'!$B$2:$U$99, 0,FALSE), IFERROR(VLOOKUP($A63,'ABB ExDa'!$A$2:$N$184, 13,FALSE), IFERROR(VLOOKUP($A63,'Vocus SIT ExDa'!$B$2:$J$173, 0,FALSE), IFERROR(VLOOKUP($A63,'Telstra ExDa'!$B$2:$K$310, 0,FALSE), IFERROR(VLOOKUP($A63,'Vocus RVC ExDa'!$C$2:$R$155, 0,FALSE), IFERROR(VLOOKUP($A63,'Fusion ExDa'!$B$2:$D$16, 0,FALSE), IFERROR(VLOOKUP($A63,'Exetel ExDa'!$C$2:$N$14, 0,FALSE), IFERROR(VLOOKUP($A63,'Infinet ExDa'!$B$2:$E$14, 0,FALSE), "Not Found"))))))))</f>
        <v>Not Found</v>
      </c>
    </row>
    <row r="64" spans="1:14">
      <c r="A64" t="str">
        <v>Salter Bros Balfour Hotel</v>
      </c>
      <c r="B64" t="str">
        <f>IFERROR(VLOOKUP(A64,'Exetel ExDa'!$C$2:$N$14,4,FALSE),"No Data")</f>
        <v>No Data</v>
      </c>
      <c r="C64" t="str">
        <f>IFERROR(VLOOKUP(A64,'AAPT ExDa'!$B$2:$U$99, 2,FALSE), IFERROR(VLOOKUP(A64,'ABB ExDa'!$A$2:$N$184, 2,FALSE), IFERROR(VLOOKUP(A64,'Vocus SIT ExDa'!$B$2:$J$173, 7,FALSE), IFERROR(VLOOKUP(A64,'Telstra ExDa'!$B$2:$K$310, 2,FALSE), IFERROR(VLOOKUP(A64,'Vocus RVC ExDa'!$C$2:$R$155, 3,FALSE), IFERROR(VLOOKUP(A64,'Fusion ExDa'!$B$2:$D$16, 2,FALSE), IFERROR(VLOOKUP(A64,'Exetel ExDa'!$C$2:$N$14, 2,FALSE), IFERROR(VLOOKUP(A64,'Infinet ExDa'!$B$2:$E$14, 2,FALSE), "Not Found"))))))))</f>
        <v>New Farm</v>
      </c>
      <c r="D64" t="str">
        <f>IFERROR(VLOOKUP($A64,'AAPT ExDa'!$B$2:$U$99, 15,FALSE), IFERROR(VLOOKUP($A64,'ABB ExDa'!$A$2:$N$184, 4,FALSE), IFERROR(VLOOKUP($A64,'Vocus SIT ExDa'!$B$2:$J$173, 5,FALSE), IFERROR(VLOOKUP($A64,'Telstra ExDa'!$B$2:$K$310, 8,FALSE), IFERROR(VLOOKUP($A64,'Vocus RVC ExDa'!$C$2:$R$155, 6,FALSE), IFERROR(VLOOKUP($A64,'Fusion ExDa'!$B$2:$D$16, 4,FALSE), IFERROR(VLOOKUP($A64,'Exetel ExDa'!$C$2:$N$14, 3,FALSE), IFERROR(VLOOKUP($A64,'Infinet ExDa'!$B$2:$E$14, 3,FALSE), "Not Found"))))))))</f>
        <v>AAPT</v>
      </c>
      <c r="E64" t="str">
        <f>IFERROR(VLOOKUP($A64,'AAPT ExDa'!$B$2:$U$99, 3,FALSE), IFERROR(VLOOKUP($A64,'ABB ExDa'!$A$2:$N$184, 5,FALSE), IFERROR(VLOOKUP($A64,'Vocus SIT ExDa'!$B$2:$J$173, 2,FALSE), IFERROR(VLOOKUP($A64,'Telstra ExDa'!$B$2:$K$310, 4,FALSE), IFERROR(VLOOKUP($A64,'Vocus RVC ExDa'!$C$2:$R$155, 8,FALSE), IFERROR(VLOOKUP($A64,'Fusion ExDa'!$B$2:$D$16, 4,FALSE), IFERROR(VLOOKUP($A64,'Exetel ExDa'!$C$2:$N$14, 5,FALSE), IFERROR(VLOOKUP($A64,'Infinet ExDa'!$B$2:$E$14, 3,FALSE), "Not Found"))))))))</f>
        <v>Voice Number Inventory</v>
      </c>
      <c r="F64" t="str">
        <f>IFERROR(VLOOKUP($A64,'AAPT ExDa'!$B$2:$U$99, 4,FALSE), IFERROR(VLOOKUP($A64,'ABB ExDa'!$A$2:$N$184, 6,FALSE), IFERROR(VLOOKUP($A64,'Vocus SIT ExDa'!$B$2:$J$173, 3,FALSE), IFERROR(VLOOKUP($A64,'Telstra ExDa'!$B$2:$K$310, 5,FALSE), IFERROR(VLOOKUP($A64,'Vocus RVC ExDa'!$C$2:$R$155, 9,FALSE), IFERROR(VLOOKUP($A64,'Fusion ExDa'!$B$2:$D$16, 0,FALSE), IFERROR(VLOOKUP($A64,'Exetel ExDa'!$C$2:$N$14, 6,FALSE), IFERROR(VLOOKUP($A64,'Infinet ExDa'!$B$2:$E$14, 0,FALSE), "Not Found"))))))))</f>
        <v>Number Range</v>
      </c>
      <c r="G64" t="str">
        <f>IFERROR(VLOOKUP($A64,'AAPT ExDa'!$B$2:$U$99, 5,FALSE), IFERROR(VLOOKUP($A64,'ABB ExDa'!$A$2:$N$184, 8,FALSE), IFERROR(VLOOKUP($A64,'Vocus SIT ExDa'!$B$2:$J$173, 6,FALSE), IFERROR(VLOOKUP($A64,'Telstra ExDa'!$B$2:$K$310, 0,FALSE), IFERROR(VLOOKUP($A64,'Vocus RVC ExDa'!$C$2:$R$155, 15,FALSE), IFERROR(VLOOKUP($A64,'Fusion ExDa'!$B$2:$D$16, 0,FALSE), IFERROR(VLOOKUP($A64,'Exetel ExDa'!$C$2:$N$14, 7,FALSE), IFERROR(VLOOKUP($A64,'Infinet ExDa'!$B$2:$E$14, 0,FALSE), "Not Found"))))))))</f>
        <v>37 BALFOUR ST NEW FARM QLD 4005</v>
      </c>
      <c r="H64">
        <f>IFERROR(VLOOKUP($A64,'AAPT ExDa'!$B$2:$U$99, 6,FALSE), IFERROR(VLOOKUP($A64,'ABB ExDa'!$A$2:$N$184, 0,FALSE), IFERROR(VLOOKUP($A64,'Vocus SIT ExDa'!$B$2:$J$173, 0,FALSE), IFERROR(VLOOKUP($A64,'Telstra ExDa'!$B$2:$K$310, 0,FALSE), IFERROR(VLOOKUP($A64,'Vocus RVC ExDa'!$C$2:$R$155, 16,FALSE), IFERROR(VLOOKUP($A64,'Fusion ExDa'!$B$2:$D$16, 0,FALSE), IFERROR(VLOOKUP($A64,'Exetel ExDa'!$C$2:$N$14, 0,FALSE), IFERROR(VLOOKUP($A64,'Infinet ExDa'!$B$2:$E$14, 0,FALSE), "Not Found"))))))))</f>
        <v>0</v>
      </c>
      <c r="I64" t="str">
        <f>IFERROR(VLOOKUP($A64,'AAPT ExDa'!$B$2:$U$99, 0,FALSE), IFERROR(VLOOKUP($A64,'ABB ExDa'!$A$2:$N$184, 0,FALSE), IFERROR(VLOOKUP($A64,'Vocus SIT ExDa'!$B$2:$J$173, 0,FALSE), IFERROR(VLOOKUP($A64,'Telstra ExDa'!$B$2:$K$310, 0,FALSE), IFERROR(VLOOKUP($A64,'Vocus RVC ExDa'!$C$2:$R$155, 0,FALSE), IFERROR(VLOOKUP($A64,'Fusion ExDa'!$B$2:$D$16, 0,FALSE), IFERROR(VLOOKUP($A64,'Exetel ExDa'!$C$2:$N$14, 8,FALSE), IFERROR(VLOOKUP($A64,'Infinet ExDa'!$B$2:$E$14, 0,FALSE), "Not Found"))))))))</f>
        <v>Not Found</v>
      </c>
      <c r="J64">
        <f>IFERROR(VLOOKUP($A64,'AAPT ExDa'!$B$2:$U$99, 7,FALSE), IFERROR(VLOOKUP($A64,'ABB ExDa'!$A$2:$N$184, 2,FALSE), IFERROR(VLOOKUP($A64,'Vocus SIT ExDa'!$B$2:$J$173, 0,FALSE), IFERROR(VLOOKUP($A64,'Telstra ExDa'!$B$2:$K$310, 7,FALSE), IFERROR(VLOOKUP($A64,'Vocus RVC ExDa'!$C$2:$R$155, 2,FALSE), IFERROR(VLOOKUP($A64,'Fusion ExDa'!$B$2:$D$16, 3,FALSE), IFERROR(VLOOKUP($A64,'Exetel ExDa'!$C$2:$N$14, 0,FALSE), IFERROR(VLOOKUP($A64,'Infinet ExDa'!$B$2:$E$14, 0,FALSE), "Not Found"))))))))</f>
        <v>0</v>
      </c>
      <c r="K64">
        <f>IFERROR(VLOOKUP($A64,'AAPT ExDa'!$B$2:$U$99, 12,FALSE), IFERROR(VLOOKUP($A64,'ABB ExDa'!$A$2:$N$184, 0,FALSE), IFERROR(VLOOKUP($A64,'Vocus SIT ExDa'!$B$2:$J$173, 0,FALSE), IFERROR(VLOOKUP($A64,'Telstra ExDa'!$B$2:$K$310, 0,FALSE), IFERROR(VLOOKUP($A64,'Vocus RVC ExDa'!$C$2:$R$155, 0,FALSE), IFERROR(VLOOKUP($A64,'Fusion ExDa'!$B$2:$D$16, 0,FALSE), IFERROR(VLOOKUP($A64,'Exetel ExDa'!$C$2:$N$14, 12,FALSE), IFERROR(VLOOKUP($A64,'Infinet ExDa'!$B$2:$E$14, 0,FALSE), "Not Found"))))))))</f>
        <v>0</v>
      </c>
      <c r="L64" s="235">
        <f>IFERROR(VLOOKUP($A64,'AAPT ExDa'!$B$2:$U$99, 11,FALSE), IFERROR(VLOOKUP($A64,'ABB ExDa'!$A$2:$N$184, 9,FALSE), IFERROR(VLOOKUP($A64,'Vocus SIT ExDa'!$B$2:$J$173, 8,FALSE), IFERROR(VLOOKUP($A64,'Telstra ExDa'!$B$2:$K$310, 0,FALSE), IFERROR(VLOOKUP($A64,'Vocus RVC ExDa'!$C$2:$R$155, 0,FALSE), IFERROR(VLOOKUP($A64,'Fusion ExDa'!$B$2:$D$16, 0,FALSE), IFERROR(VLOOKUP($A64,'Exetel ExDa'!$C$2:$N$14, 9,FALSE), IFERROR(VLOOKUP($A64,'Infinet ExDa'!$B$2:$E$14, 0,FALSE), "Not Found"))))))))</f>
        <v>0</v>
      </c>
      <c r="M64" s="234" t="str">
        <f>IFERROR(VLOOKUP($A64,'AAPT ExDa'!$B$2:$U$99, 0,FALSE), IFERROR(VLOOKUP($A64,'ABB ExDa'!$A$2:$N$184, 0,FALSE), IFERROR(VLOOKUP($A64,'Vocus SIT ExDa'!$B$2:$J$173, 0,FALSE), IFERROR(VLOOKUP($A64,'Telstra ExDa'!$B$2:$K$310, 0,FALSE), IFERROR(VLOOKUP($A64,'Vocus RVC ExDa'!$C$2:$R$155, 0,FALSE), IFERROR(VLOOKUP($A64,'Fusion ExDa'!$B$2:$D$16, 0,FALSE), IFERROR(VLOOKUP($A64,'Exetel ExDa'!$C$2:$N$14, 11,FALSE), IFERROR(VLOOKUP($A64,'Infinet ExDa'!$B$2:$E$14, 0,FALSE), "Not Found"))))))))</f>
        <v>Not Found</v>
      </c>
      <c r="N64" t="str">
        <f>IFERROR(VLOOKUP($A64,'AAPT ExDa'!$B$2:$U$99, 0,FALSE), IFERROR(VLOOKUP($A64,'ABB ExDa'!$A$2:$N$184, 13,FALSE), IFERROR(VLOOKUP($A64,'Vocus SIT ExDa'!$B$2:$J$173, 0,FALSE), IFERROR(VLOOKUP($A64,'Telstra ExDa'!$B$2:$K$310, 0,FALSE), IFERROR(VLOOKUP($A64,'Vocus RVC ExDa'!$C$2:$R$155, 0,FALSE), IFERROR(VLOOKUP($A64,'Fusion ExDa'!$B$2:$D$16, 0,FALSE), IFERROR(VLOOKUP($A64,'Exetel ExDa'!$C$2:$N$14, 0,FALSE), IFERROR(VLOOKUP($A64,'Infinet ExDa'!$B$2:$E$14, 0,FALSE), "Not Found"))))))))</f>
        <v>Not Found</v>
      </c>
    </row>
    <row r="65" spans="1:14">
      <c r="A65" t="str">
        <v>Salter Bros Balfour Hotel</v>
      </c>
      <c r="B65" t="str">
        <f>IFERROR(VLOOKUP(A65,'Exetel ExDa'!$C$2:$N$14,4,FALSE),"No Data")</f>
        <v>No Data</v>
      </c>
      <c r="C65" t="str">
        <f>IFERROR(VLOOKUP(A65,'AAPT ExDa'!$B$2:$U$99, 2,FALSE), IFERROR(VLOOKUP(A65,'ABB ExDa'!$A$2:$N$184, 2,FALSE), IFERROR(VLOOKUP(A65,'Vocus SIT ExDa'!$B$2:$J$173, 7,FALSE), IFERROR(VLOOKUP(A65,'Telstra ExDa'!$B$2:$K$310, 2,FALSE), IFERROR(VLOOKUP(A65,'Vocus RVC ExDa'!$C$2:$R$155, 3,FALSE), IFERROR(VLOOKUP(A65,'Fusion ExDa'!$B$2:$D$16, 2,FALSE), IFERROR(VLOOKUP(A65,'Exetel ExDa'!$C$2:$N$14, 2,FALSE), IFERROR(VLOOKUP(A65,'Infinet ExDa'!$B$2:$E$14, 2,FALSE), "Not Found"))))))))</f>
        <v>New Farm</v>
      </c>
      <c r="D65" t="str">
        <f>IFERROR(VLOOKUP($A65,'AAPT ExDa'!$B$2:$U$99, 15,FALSE), IFERROR(VLOOKUP($A65,'ABB ExDa'!$A$2:$N$184, 4,FALSE), IFERROR(VLOOKUP($A65,'Vocus SIT ExDa'!$B$2:$J$173, 5,FALSE), IFERROR(VLOOKUP($A65,'Telstra ExDa'!$B$2:$K$310, 8,FALSE), IFERROR(VLOOKUP($A65,'Vocus RVC ExDa'!$C$2:$R$155, 6,FALSE), IFERROR(VLOOKUP($A65,'Fusion ExDa'!$B$2:$D$16, 4,FALSE), IFERROR(VLOOKUP($A65,'Exetel ExDa'!$C$2:$N$14, 3,FALSE), IFERROR(VLOOKUP($A65,'Infinet ExDa'!$B$2:$E$14, 3,FALSE), "Not Found"))))))))</f>
        <v>AAPT</v>
      </c>
      <c r="E65" t="str">
        <f>IFERROR(VLOOKUP($A65,'AAPT ExDa'!$B$2:$U$99, 3,FALSE), IFERROR(VLOOKUP($A65,'ABB ExDa'!$A$2:$N$184, 5,FALSE), IFERROR(VLOOKUP($A65,'Vocus SIT ExDa'!$B$2:$J$173, 2,FALSE), IFERROR(VLOOKUP($A65,'Telstra ExDa'!$B$2:$K$310, 4,FALSE), IFERROR(VLOOKUP($A65,'Vocus RVC ExDa'!$C$2:$R$155, 8,FALSE), IFERROR(VLOOKUP($A65,'Fusion ExDa'!$B$2:$D$16, 4,FALSE), IFERROR(VLOOKUP($A65,'Exetel ExDa'!$C$2:$N$14, 5,FALSE), IFERROR(VLOOKUP($A65,'Infinet ExDa'!$B$2:$E$14, 3,FALSE), "Not Found"))))))))</f>
        <v>Voice Number Inventory</v>
      </c>
      <c r="F65" t="str">
        <f>IFERROR(VLOOKUP($A65,'AAPT ExDa'!$B$2:$U$99, 4,FALSE), IFERROR(VLOOKUP($A65,'ABB ExDa'!$A$2:$N$184, 6,FALSE), IFERROR(VLOOKUP($A65,'Vocus SIT ExDa'!$B$2:$J$173, 3,FALSE), IFERROR(VLOOKUP($A65,'Telstra ExDa'!$B$2:$K$310, 5,FALSE), IFERROR(VLOOKUP($A65,'Vocus RVC ExDa'!$C$2:$R$155, 9,FALSE), IFERROR(VLOOKUP($A65,'Fusion ExDa'!$B$2:$D$16, 0,FALSE), IFERROR(VLOOKUP($A65,'Exetel ExDa'!$C$2:$N$14, 6,FALSE), IFERROR(VLOOKUP($A65,'Infinet ExDa'!$B$2:$E$14, 0,FALSE), "Not Found"))))))))</f>
        <v>Number Range</v>
      </c>
      <c r="G65" t="str">
        <f>IFERROR(VLOOKUP($A65,'AAPT ExDa'!$B$2:$U$99, 5,FALSE), IFERROR(VLOOKUP($A65,'ABB ExDa'!$A$2:$N$184, 8,FALSE), IFERROR(VLOOKUP($A65,'Vocus SIT ExDa'!$B$2:$J$173, 6,FALSE), IFERROR(VLOOKUP($A65,'Telstra ExDa'!$B$2:$K$310, 0,FALSE), IFERROR(VLOOKUP($A65,'Vocus RVC ExDa'!$C$2:$R$155, 15,FALSE), IFERROR(VLOOKUP($A65,'Fusion ExDa'!$B$2:$D$16, 0,FALSE), IFERROR(VLOOKUP($A65,'Exetel ExDa'!$C$2:$N$14, 7,FALSE), IFERROR(VLOOKUP($A65,'Infinet ExDa'!$B$2:$E$14, 0,FALSE), "Not Found"))))))))</f>
        <v>37 BALFOUR ST NEW FARM QLD 4005</v>
      </c>
      <c r="H65">
        <f>IFERROR(VLOOKUP($A65,'AAPT ExDa'!$B$2:$U$99, 6,FALSE), IFERROR(VLOOKUP($A65,'ABB ExDa'!$A$2:$N$184, 0,FALSE), IFERROR(VLOOKUP($A65,'Vocus SIT ExDa'!$B$2:$J$173, 0,FALSE), IFERROR(VLOOKUP($A65,'Telstra ExDa'!$B$2:$K$310, 0,FALSE), IFERROR(VLOOKUP($A65,'Vocus RVC ExDa'!$C$2:$R$155, 16,FALSE), IFERROR(VLOOKUP($A65,'Fusion ExDa'!$B$2:$D$16, 0,FALSE), IFERROR(VLOOKUP($A65,'Exetel ExDa'!$C$2:$N$14, 0,FALSE), IFERROR(VLOOKUP($A65,'Infinet ExDa'!$B$2:$E$14, 0,FALSE), "Not Found"))))))))</f>
        <v>0</v>
      </c>
      <c r="I65" t="str">
        <f>IFERROR(VLOOKUP($A65,'AAPT ExDa'!$B$2:$U$99, 0,FALSE), IFERROR(VLOOKUP($A65,'ABB ExDa'!$A$2:$N$184, 0,FALSE), IFERROR(VLOOKUP($A65,'Vocus SIT ExDa'!$B$2:$J$173, 0,FALSE), IFERROR(VLOOKUP($A65,'Telstra ExDa'!$B$2:$K$310, 0,FALSE), IFERROR(VLOOKUP($A65,'Vocus RVC ExDa'!$C$2:$R$155, 0,FALSE), IFERROR(VLOOKUP($A65,'Fusion ExDa'!$B$2:$D$16, 0,FALSE), IFERROR(VLOOKUP($A65,'Exetel ExDa'!$C$2:$N$14, 8,FALSE), IFERROR(VLOOKUP($A65,'Infinet ExDa'!$B$2:$E$14, 0,FALSE), "Not Found"))))))))</f>
        <v>Not Found</v>
      </c>
      <c r="J65">
        <f>IFERROR(VLOOKUP($A65,'AAPT ExDa'!$B$2:$U$99, 7,FALSE), IFERROR(VLOOKUP($A65,'ABB ExDa'!$A$2:$N$184, 2,FALSE), IFERROR(VLOOKUP($A65,'Vocus SIT ExDa'!$B$2:$J$173, 0,FALSE), IFERROR(VLOOKUP($A65,'Telstra ExDa'!$B$2:$K$310, 7,FALSE), IFERROR(VLOOKUP($A65,'Vocus RVC ExDa'!$C$2:$R$155, 2,FALSE), IFERROR(VLOOKUP($A65,'Fusion ExDa'!$B$2:$D$16, 3,FALSE), IFERROR(VLOOKUP($A65,'Exetel ExDa'!$C$2:$N$14, 0,FALSE), IFERROR(VLOOKUP($A65,'Infinet ExDa'!$B$2:$E$14, 0,FALSE), "Not Found"))))))))</f>
        <v>0</v>
      </c>
      <c r="K65">
        <f>IFERROR(VLOOKUP($A65,'AAPT ExDa'!$B$2:$U$99, 12,FALSE), IFERROR(VLOOKUP($A65,'ABB ExDa'!$A$2:$N$184, 0,FALSE), IFERROR(VLOOKUP($A65,'Vocus SIT ExDa'!$B$2:$J$173, 0,FALSE), IFERROR(VLOOKUP($A65,'Telstra ExDa'!$B$2:$K$310, 0,FALSE), IFERROR(VLOOKUP($A65,'Vocus RVC ExDa'!$C$2:$R$155, 0,FALSE), IFERROR(VLOOKUP($A65,'Fusion ExDa'!$B$2:$D$16, 0,FALSE), IFERROR(VLOOKUP($A65,'Exetel ExDa'!$C$2:$N$14, 12,FALSE), IFERROR(VLOOKUP($A65,'Infinet ExDa'!$B$2:$E$14, 0,FALSE), "Not Found"))))))))</f>
        <v>0</v>
      </c>
      <c r="L65" s="235">
        <f>IFERROR(VLOOKUP($A65,'AAPT ExDa'!$B$2:$U$99, 11,FALSE), IFERROR(VLOOKUP($A65,'ABB ExDa'!$A$2:$N$184, 9,FALSE), IFERROR(VLOOKUP($A65,'Vocus SIT ExDa'!$B$2:$J$173, 8,FALSE), IFERROR(VLOOKUP($A65,'Telstra ExDa'!$B$2:$K$310, 0,FALSE), IFERROR(VLOOKUP($A65,'Vocus RVC ExDa'!$C$2:$R$155, 0,FALSE), IFERROR(VLOOKUP($A65,'Fusion ExDa'!$B$2:$D$16, 0,FALSE), IFERROR(VLOOKUP($A65,'Exetel ExDa'!$C$2:$N$14, 9,FALSE), IFERROR(VLOOKUP($A65,'Infinet ExDa'!$B$2:$E$14, 0,FALSE), "Not Found"))))))))</f>
        <v>0</v>
      </c>
      <c r="M65" s="234" t="str">
        <f>IFERROR(VLOOKUP($A65,'AAPT ExDa'!$B$2:$U$99, 0,FALSE), IFERROR(VLOOKUP($A65,'ABB ExDa'!$A$2:$N$184, 0,FALSE), IFERROR(VLOOKUP($A65,'Vocus SIT ExDa'!$B$2:$J$173, 0,FALSE), IFERROR(VLOOKUP($A65,'Telstra ExDa'!$B$2:$K$310, 0,FALSE), IFERROR(VLOOKUP($A65,'Vocus RVC ExDa'!$C$2:$R$155, 0,FALSE), IFERROR(VLOOKUP($A65,'Fusion ExDa'!$B$2:$D$16, 0,FALSE), IFERROR(VLOOKUP($A65,'Exetel ExDa'!$C$2:$N$14, 11,FALSE), IFERROR(VLOOKUP($A65,'Infinet ExDa'!$B$2:$E$14, 0,FALSE), "Not Found"))))))))</f>
        <v>Not Found</v>
      </c>
      <c r="N65" t="str">
        <f>IFERROR(VLOOKUP($A65,'AAPT ExDa'!$B$2:$U$99, 0,FALSE), IFERROR(VLOOKUP($A65,'ABB ExDa'!$A$2:$N$184, 13,FALSE), IFERROR(VLOOKUP($A65,'Vocus SIT ExDa'!$B$2:$J$173, 0,FALSE), IFERROR(VLOOKUP($A65,'Telstra ExDa'!$B$2:$K$310, 0,FALSE), IFERROR(VLOOKUP($A65,'Vocus RVC ExDa'!$C$2:$R$155, 0,FALSE), IFERROR(VLOOKUP($A65,'Fusion ExDa'!$B$2:$D$16, 0,FALSE), IFERROR(VLOOKUP($A65,'Exetel ExDa'!$C$2:$N$14, 0,FALSE), IFERROR(VLOOKUP($A65,'Infinet ExDa'!$B$2:$E$14, 0,FALSE), "Not Found"))))))))</f>
        <v>Not Found</v>
      </c>
    </row>
    <row r="66" spans="1:14">
      <c r="A66" t="str">
        <v>Salter Bros Balfour Hotel</v>
      </c>
      <c r="B66" t="str">
        <f>IFERROR(VLOOKUP(A66,'Exetel ExDa'!$C$2:$N$14,4,FALSE),"No Data")</f>
        <v>No Data</v>
      </c>
      <c r="C66" t="str">
        <f>IFERROR(VLOOKUP(A66,'AAPT ExDa'!$B$2:$U$99, 2,FALSE), IFERROR(VLOOKUP(A66,'ABB ExDa'!$A$2:$N$184, 2,FALSE), IFERROR(VLOOKUP(A66,'Vocus SIT ExDa'!$B$2:$J$173, 7,FALSE), IFERROR(VLOOKUP(A66,'Telstra ExDa'!$B$2:$K$310, 2,FALSE), IFERROR(VLOOKUP(A66,'Vocus RVC ExDa'!$C$2:$R$155, 3,FALSE), IFERROR(VLOOKUP(A66,'Fusion ExDa'!$B$2:$D$16, 2,FALSE), IFERROR(VLOOKUP(A66,'Exetel ExDa'!$C$2:$N$14, 2,FALSE), IFERROR(VLOOKUP(A66,'Infinet ExDa'!$B$2:$E$14, 2,FALSE), "Not Found"))))))))</f>
        <v>New Farm</v>
      </c>
      <c r="D66" t="str">
        <f>IFERROR(VLOOKUP($A66,'AAPT ExDa'!$B$2:$U$99, 15,FALSE), IFERROR(VLOOKUP($A66,'ABB ExDa'!$A$2:$N$184, 4,FALSE), IFERROR(VLOOKUP($A66,'Vocus SIT ExDa'!$B$2:$J$173, 5,FALSE), IFERROR(VLOOKUP($A66,'Telstra ExDa'!$B$2:$K$310, 8,FALSE), IFERROR(VLOOKUP($A66,'Vocus RVC ExDa'!$C$2:$R$155, 6,FALSE), IFERROR(VLOOKUP($A66,'Fusion ExDa'!$B$2:$D$16, 4,FALSE), IFERROR(VLOOKUP($A66,'Exetel ExDa'!$C$2:$N$14, 3,FALSE), IFERROR(VLOOKUP($A66,'Infinet ExDa'!$B$2:$E$14, 3,FALSE), "Not Found"))))))))</f>
        <v>AAPT</v>
      </c>
      <c r="E66" t="str">
        <f>IFERROR(VLOOKUP($A66,'AAPT ExDa'!$B$2:$U$99, 3,FALSE), IFERROR(VLOOKUP($A66,'ABB ExDa'!$A$2:$N$184, 5,FALSE), IFERROR(VLOOKUP($A66,'Vocus SIT ExDa'!$B$2:$J$173, 2,FALSE), IFERROR(VLOOKUP($A66,'Telstra ExDa'!$B$2:$K$310, 4,FALSE), IFERROR(VLOOKUP($A66,'Vocus RVC ExDa'!$C$2:$R$155, 8,FALSE), IFERROR(VLOOKUP($A66,'Fusion ExDa'!$B$2:$D$16, 4,FALSE), IFERROR(VLOOKUP($A66,'Exetel ExDa'!$C$2:$N$14, 5,FALSE), IFERROR(VLOOKUP($A66,'Infinet ExDa'!$B$2:$E$14, 3,FALSE), "Not Found"))))))))</f>
        <v>Voice Number Inventory</v>
      </c>
      <c r="F66" t="str">
        <f>IFERROR(VLOOKUP($A66,'AAPT ExDa'!$B$2:$U$99, 4,FALSE), IFERROR(VLOOKUP($A66,'ABB ExDa'!$A$2:$N$184, 6,FALSE), IFERROR(VLOOKUP($A66,'Vocus SIT ExDa'!$B$2:$J$173, 3,FALSE), IFERROR(VLOOKUP($A66,'Telstra ExDa'!$B$2:$K$310, 5,FALSE), IFERROR(VLOOKUP($A66,'Vocus RVC ExDa'!$C$2:$R$155, 9,FALSE), IFERROR(VLOOKUP($A66,'Fusion ExDa'!$B$2:$D$16, 0,FALSE), IFERROR(VLOOKUP($A66,'Exetel ExDa'!$C$2:$N$14, 6,FALSE), IFERROR(VLOOKUP($A66,'Infinet ExDa'!$B$2:$E$14, 0,FALSE), "Not Found"))))))))</f>
        <v>Number Range</v>
      </c>
      <c r="G66" t="str">
        <f>IFERROR(VLOOKUP($A66,'AAPT ExDa'!$B$2:$U$99, 5,FALSE), IFERROR(VLOOKUP($A66,'ABB ExDa'!$A$2:$N$184, 8,FALSE), IFERROR(VLOOKUP($A66,'Vocus SIT ExDa'!$B$2:$J$173, 6,FALSE), IFERROR(VLOOKUP($A66,'Telstra ExDa'!$B$2:$K$310, 0,FALSE), IFERROR(VLOOKUP($A66,'Vocus RVC ExDa'!$C$2:$R$155, 15,FALSE), IFERROR(VLOOKUP($A66,'Fusion ExDa'!$B$2:$D$16, 0,FALSE), IFERROR(VLOOKUP($A66,'Exetel ExDa'!$C$2:$N$14, 7,FALSE), IFERROR(VLOOKUP($A66,'Infinet ExDa'!$B$2:$E$14, 0,FALSE), "Not Found"))))))))</f>
        <v>37 BALFOUR ST NEW FARM QLD 4005</v>
      </c>
      <c r="H66">
        <f>IFERROR(VLOOKUP($A66,'AAPT ExDa'!$B$2:$U$99, 6,FALSE), IFERROR(VLOOKUP($A66,'ABB ExDa'!$A$2:$N$184, 0,FALSE), IFERROR(VLOOKUP($A66,'Vocus SIT ExDa'!$B$2:$J$173, 0,FALSE), IFERROR(VLOOKUP($A66,'Telstra ExDa'!$B$2:$K$310, 0,FALSE), IFERROR(VLOOKUP($A66,'Vocus RVC ExDa'!$C$2:$R$155, 16,FALSE), IFERROR(VLOOKUP($A66,'Fusion ExDa'!$B$2:$D$16, 0,FALSE), IFERROR(VLOOKUP($A66,'Exetel ExDa'!$C$2:$N$14, 0,FALSE), IFERROR(VLOOKUP($A66,'Infinet ExDa'!$B$2:$E$14, 0,FALSE), "Not Found"))))))))</f>
        <v>0</v>
      </c>
      <c r="I66" t="str">
        <f>IFERROR(VLOOKUP($A66,'AAPT ExDa'!$B$2:$U$99, 0,FALSE), IFERROR(VLOOKUP($A66,'ABB ExDa'!$A$2:$N$184, 0,FALSE), IFERROR(VLOOKUP($A66,'Vocus SIT ExDa'!$B$2:$J$173, 0,FALSE), IFERROR(VLOOKUP($A66,'Telstra ExDa'!$B$2:$K$310, 0,FALSE), IFERROR(VLOOKUP($A66,'Vocus RVC ExDa'!$C$2:$R$155, 0,FALSE), IFERROR(VLOOKUP($A66,'Fusion ExDa'!$B$2:$D$16, 0,FALSE), IFERROR(VLOOKUP($A66,'Exetel ExDa'!$C$2:$N$14, 8,FALSE), IFERROR(VLOOKUP($A66,'Infinet ExDa'!$B$2:$E$14, 0,FALSE), "Not Found"))))))))</f>
        <v>Not Found</v>
      </c>
      <c r="J66">
        <f>IFERROR(VLOOKUP($A66,'AAPT ExDa'!$B$2:$U$99, 7,FALSE), IFERROR(VLOOKUP($A66,'ABB ExDa'!$A$2:$N$184, 2,FALSE), IFERROR(VLOOKUP($A66,'Vocus SIT ExDa'!$B$2:$J$173, 0,FALSE), IFERROR(VLOOKUP($A66,'Telstra ExDa'!$B$2:$K$310, 7,FALSE), IFERROR(VLOOKUP($A66,'Vocus RVC ExDa'!$C$2:$R$155, 2,FALSE), IFERROR(VLOOKUP($A66,'Fusion ExDa'!$B$2:$D$16, 3,FALSE), IFERROR(VLOOKUP($A66,'Exetel ExDa'!$C$2:$N$14, 0,FALSE), IFERROR(VLOOKUP($A66,'Infinet ExDa'!$B$2:$E$14, 0,FALSE), "Not Found"))))))))</f>
        <v>0</v>
      </c>
      <c r="K66">
        <f>IFERROR(VLOOKUP($A66,'AAPT ExDa'!$B$2:$U$99, 12,FALSE), IFERROR(VLOOKUP($A66,'ABB ExDa'!$A$2:$N$184, 0,FALSE), IFERROR(VLOOKUP($A66,'Vocus SIT ExDa'!$B$2:$J$173, 0,FALSE), IFERROR(VLOOKUP($A66,'Telstra ExDa'!$B$2:$K$310, 0,FALSE), IFERROR(VLOOKUP($A66,'Vocus RVC ExDa'!$C$2:$R$155, 0,FALSE), IFERROR(VLOOKUP($A66,'Fusion ExDa'!$B$2:$D$16, 0,FALSE), IFERROR(VLOOKUP($A66,'Exetel ExDa'!$C$2:$N$14, 12,FALSE), IFERROR(VLOOKUP($A66,'Infinet ExDa'!$B$2:$E$14, 0,FALSE), "Not Found"))))))))</f>
        <v>0</v>
      </c>
      <c r="L66" s="235">
        <f>IFERROR(VLOOKUP($A66,'AAPT ExDa'!$B$2:$U$99, 11,FALSE), IFERROR(VLOOKUP($A66,'ABB ExDa'!$A$2:$N$184, 9,FALSE), IFERROR(VLOOKUP($A66,'Vocus SIT ExDa'!$B$2:$J$173, 8,FALSE), IFERROR(VLOOKUP($A66,'Telstra ExDa'!$B$2:$K$310, 0,FALSE), IFERROR(VLOOKUP($A66,'Vocus RVC ExDa'!$C$2:$R$155, 0,FALSE), IFERROR(VLOOKUP($A66,'Fusion ExDa'!$B$2:$D$16, 0,FALSE), IFERROR(VLOOKUP($A66,'Exetel ExDa'!$C$2:$N$14, 9,FALSE), IFERROR(VLOOKUP($A66,'Infinet ExDa'!$B$2:$E$14, 0,FALSE), "Not Found"))))))))</f>
        <v>0</v>
      </c>
      <c r="M66" s="234" t="str">
        <f>IFERROR(VLOOKUP($A66,'AAPT ExDa'!$B$2:$U$99, 0,FALSE), IFERROR(VLOOKUP($A66,'ABB ExDa'!$A$2:$N$184, 0,FALSE), IFERROR(VLOOKUP($A66,'Vocus SIT ExDa'!$B$2:$J$173, 0,FALSE), IFERROR(VLOOKUP($A66,'Telstra ExDa'!$B$2:$K$310, 0,FALSE), IFERROR(VLOOKUP($A66,'Vocus RVC ExDa'!$C$2:$R$155, 0,FALSE), IFERROR(VLOOKUP($A66,'Fusion ExDa'!$B$2:$D$16, 0,FALSE), IFERROR(VLOOKUP($A66,'Exetel ExDa'!$C$2:$N$14, 11,FALSE), IFERROR(VLOOKUP($A66,'Infinet ExDa'!$B$2:$E$14, 0,FALSE), "Not Found"))))))))</f>
        <v>Not Found</v>
      </c>
      <c r="N66" t="str">
        <f>IFERROR(VLOOKUP($A66,'AAPT ExDa'!$B$2:$U$99, 0,FALSE), IFERROR(VLOOKUP($A66,'ABB ExDa'!$A$2:$N$184, 13,FALSE), IFERROR(VLOOKUP($A66,'Vocus SIT ExDa'!$B$2:$J$173, 0,FALSE), IFERROR(VLOOKUP($A66,'Telstra ExDa'!$B$2:$K$310, 0,FALSE), IFERROR(VLOOKUP($A66,'Vocus RVC ExDa'!$C$2:$R$155, 0,FALSE), IFERROR(VLOOKUP($A66,'Fusion ExDa'!$B$2:$D$16, 0,FALSE), IFERROR(VLOOKUP($A66,'Exetel ExDa'!$C$2:$N$14, 0,FALSE), IFERROR(VLOOKUP($A66,'Infinet ExDa'!$B$2:$E$14, 0,FALSE), "Not Found"))))))))</f>
        <v>Not Found</v>
      </c>
    </row>
    <row r="67" spans="1:14">
      <c r="A67" t="str">
        <v>Salter Bros Clovelly</v>
      </c>
      <c r="B67" t="str">
        <f>IFERROR(VLOOKUP(A67,'Exetel ExDa'!$C$2:$N$14,4,FALSE),"No Data")</f>
        <v>No Data</v>
      </c>
      <c r="C67">
        <f>IFERROR(VLOOKUP(A67,'AAPT ExDa'!$B$2:$U$99, 2,FALSE), IFERROR(VLOOKUP(A67,'ABB ExDa'!$A$2:$N$184, 2,FALSE), IFERROR(VLOOKUP(A67,'Vocus SIT ExDa'!$B$2:$J$173, 7,FALSE), IFERROR(VLOOKUP(A67,'Telstra ExDa'!$B$2:$K$310, 2,FALSE), IFERROR(VLOOKUP(A67,'Vocus RVC ExDa'!$C$2:$R$155, 3,FALSE), IFERROR(VLOOKUP(A67,'Fusion ExDa'!$B$2:$D$16, 2,FALSE), IFERROR(VLOOKUP(A67,'Exetel ExDa'!$C$2:$N$14, 2,FALSE), IFERROR(VLOOKUP(A67,'Infinet ExDa'!$B$2:$E$14, 2,FALSE), "Not Found"))))))))</f>
        <v>0</v>
      </c>
      <c r="D67" t="str">
        <f>IFERROR(VLOOKUP($A67,'AAPT ExDa'!$B$2:$U$99, 15,FALSE), IFERROR(VLOOKUP($A67,'ABB ExDa'!$A$2:$N$184, 4,FALSE), IFERROR(VLOOKUP($A67,'Vocus SIT ExDa'!$B$2:$J$173, 5,FALSE), IFERROR(VLOOKUP($A67,'Telstra ExDa'!$B$2:$K$310, 8,FALSE), IFERROR(VLOOKUP($A67,'Vocus RVC ExDa'!$C$2:$R$155, 6,FALSE), IFERROR(VLOOKUP($A67,'Fusion ExDa'!$B$2:$D$16, 4,FALSE), IFERROR(VLOOKUP($A67,'Exetel ExDa'!$C$2:$N$14, 3,FALSE), IFERROR(VLOOKUP($A67,'Infinet ExDa'!$B$2:$E$14, 3,FALSE), "Not Found"))))))))</f>
        <v>AAPT</v>
      </c>
      <c r="E67" t="str">
        <f>IFERROR(VLOOKUP($A67,'AAPT ExDa'!$B$2:$U$99, 3,FALSE), IFERROR(VLOOKUP($A67,'ABB ExDa'!$A$2:$N$184, 5,FALSE), IFERROR(VLOOKUP($A67,'Vocus SIT ExDa'!$B$2:$J$173, 2,FALSE), IFERROR(VLOOKUP($A67,'Telstra ExDa'!$B$2:$K$310, 4,FALSE), IFERROR(VLOOKUP($A67,'Vocus RVC ExDa'!$C$2:$R$155, 8,FALSE), IFERROR(VLOOKUP($A67,'Fusion ExDa'!$B$2:$D$16, 4,FALSE), IFERROR(VLOOKUP($A67,'Exetel ExDa'!$C$2:$N$14, 5,FALSE), IFERROR(VLOOKUP($A67,'Infinet ExDa'!$B$2:$E$14, 3,FALSE), "Not Found"))))))))</f>
        <v>IP-Line</v>
      </c>
      <c r="F67" t="str">
        <f>IFERROR(VLOOKUP($A67,'AAPT ExDa'!$B$2:$U$99, 4,FALSE), IFERROR(VLOOKUP($A67,'ABB ExDa'!$A$2:$N$184, 6,FALSE), IFERROR(VLOOKUP($A67,'Vocus SIT ExDa'!$B$2:$J$173, 3,FALSE), IFERROR(VLOOKUP($A67,'Telstra ExDa'!$B$2:$K$310, 5,FALSE), IFERROR(VLOOKUP($A67,'Vocus RVC ExDa'!$C$2:$R$155, 9,FALSE), IFERROR(VLOOKUP($A67,'Fusion ExDa'!$B$2:$D$16, 0,FALSE), IFERROR(VLOOKUP($A67,'Exetel ExDa'!$C$2:$N$14, 6,FALSE), IFERROR(VLOOKUP($A67,'Infinet ExDa'!$B$2:$E$14, 0,FALSE), "Not Found"))))))))</f>
        <v>IP-Line Link</v>
      </c>
      <c r="G67" t="str">
        <f>IFERROR(VLOOKUP($A67,'AAPT ExDa'!$B$2:$U$99, 5,FALSE), IFERROR(VLOOKUP($A67,'ABB ExDa'!$A$2:$N$184, 8,FALSE), IFERROR(VLOOKUP($A67,'Vocus SIT ExDa'!$B$2:$J$173, 6,FALSE), IFERROR(VLOOKUP($A67,'Telstra ExDa'!$B$2:$K$310, 0,FALSE), IFERROR(VLOOKUP($A67,'Vocus RVC ExDa'!$C$2:$R$155, 15,FALSE), IFERROR(VLOOKUP($A67,'Fusion ExDa'!$B$2:$D$16, 0,FALSE), IFERROR(VLOOKUP($A67,'Exetel ExDa'!$C$2:$N$14, 7,FALSE), IFERROR(VLOOKUP($A67,'Infinet ExDa'!$B$2:$E$14, 0,FALSE), "Not Found"))))))))</f>
        <v>Connecting IP-Line 6333325 to Access 1996677</v>
      </c>
      <c r="H67" t="str">
        <f>IFERROR(VLOOKUP($A67,'AAPT ExDa'!$B$2:$U$99, 6,FALSE), IFERROR(VLOOKUP($A67,'ABB ExDa'!$A$2:$N$184, 0,FALSE), IFERROR(VLOOKUP($A67,'Vocus SIT ExDa'!$B$2:$J$173, 0,FALSE), IFERROR(VLOOKUP($A67,'Telstra ExDa'!$B$2:$K$310, 0,FALSE), IFERROR(VLOOKUP($A67,'Vocus RVC ExDa'!$C$2:$R$155, 16,FALSE), IFERROR(VLOOKUP($A67,'Fusion ExDa'!$B$2:$D$16, 0,FALSE), IFERROR(VLOOKUP($A67,'Exetel ExDa'!$C$2:$N$14, 0,FALSE), IFERROR(VLOOKUP($A67,'Infinet ExDa'!$B$2:$E$14, 0,FALSE), "Not Found"))))))))</f>
        <v>Business Internet - Up to 100Mbps/Up to 20Mbps; AVC ID:AVC000133078964</v>
      </c>
      <c r="I67" t="str">
        <f>IFERROR(VLOOKUP($A67,'AAPT ExDa'!$B$2:$U$99, 0,FALSE), IFERROR(VLOOKUP($A67,'ABB ExDa'!$A$2:$N$184, 0,FALSE), IFERROR(VLOOKUP($A67,'Vocus SIT ExDa'!$B$2:$J$173, 0,FALSE), IFERROR(VLOOKUP($A67,'Telstra ExDa'!$B$2:$K$310, 0,FALSE), IFERROR(VLOOKUP($A67,'Vocus RVC ExDa'!$C$2:$R$155, 0,FALSE), IFERROR(VLOOKUP($A67,'Fusion ExDa'!$B$2:$D$16, 0,FALSE), IFERROR(VLOOKUP($A67,'Exetel ExDa'!$C$2:$N$14, 8,FALSE), IFERROR(VLOOKUP($A67,'Infinet ExDa'!$B$2:$E$14, 0,FALSE), "Not Found"))))))))</f>
        <v>Not Found</v>
      </c>
      <c r="J67" t="str">
        <f>IFERROR(VLOOKUP($A67,'AAPT ExDa'!$B$2:$U$99, 7,FALSE), IFERROR(VLOOKUP($A67,'ABB ExDa'!$A$2:$N$184, 2,FALSE), IFERROR(VLOOKUP($A67,'Vocus SIT ExDa'!$B$2:$J$173, 0,FALSE), IFERROR(VLOOKUP($A67,'Telstra ExDa'!$B$2:$K$310, 7,FALSE), IFERROR(VLOOKUP($A67,'Vocus RVC ExDa'!$C$2:$R$155, 2,FALSE), IFERROR(VLOOKUP($A67,'Fusion ExDa'!$B$2:$D$16, 3,FALSE), IFERROR(VLOOKUP($A67,'Exetel ExDa'!$C$2:$N$14, 0,FALSE), IFERROR(VLOOKUP($A67,'Infinet ExDa'!$B$2:$E$14, 0,FALSE), "Not Found"))))))))</f>
        <v>AVC000133078964</v>
      </c>
      <c r="K67" t="str">
        <f>IFERROR(VLOOKUP($A67,'AAPT ExDa'!$B$2:$U$99, 12,FALSE), IFERROR(VLOOKUP($A67,'ABB ExDa'!$A$2:$N$184, 0,FALSE), IFERROR(VLOOKUP($A67,'Vocus SIT ExDa'!$B$2:$J$173, 0,FALSE), IFERROR(VLOOKUP($A67,'Telstra ExDa'!$B$2:$K$310, 0,FALSE), IFERROR(VLOOKUP($A67,'Vocus RVC ExDa'!$C$2:$R$155, 0,FALSE), IFERROR(VLOOKUP($A67,'Fusion ExDa'!$B$2:$D$16, 0,FALSE), IFERROR(VLOOKUP($A67,'Exetel ExDa'!$C$2:$N$14, 12,FALSE), IFERROR(VLOOKUP($A67,'Infinet ExDa'!$B$2:$E$14, 0,FALSE), "Not Found"))))))))</f>
        <v>24 Months</v>
      </c>
      <c r="L67" s="235">
        <f>IFERROR(VLOOKUP($A67,'AAPT ExDa'!$B$2:$U$99, 11,FALSE), IFERROR(VLOOKUP($A67,'ABB ExDa'!$A$2:$N$184, 9,FALSE), IFERROR(VLOOKUP($A67,'Vocus SIT ExDa'!$B$2:$J$173, 8,FALSE), IFERROR(VLOOKUP($A67,'Telstra ExDa'!$B$2:$K$310, 0,FALSE), IFERROR(VLOOKUP($A67,'Vocus RVC ExDa'!$C$2:$R$155, 0,FALSE), IFERROR(VLOOKUP($A67,'Fusion ExDa'!$B$2:$D$16, 0,FALSE), IFERROR(VLOOKUP($A67,'Exetel ExDa'!$C$2:$N$14, 9,FALSE), IFERROR(VLOOKUP($A67,'Infinet ExDa'!$B$2:$E$14, 0,FALSE), "Not Found"))))))))</f>
        <v>44203</v>
      </c>
      <c r="M67" s="234" t="str">
        <f>IFERROR(VLOOKUP($A67,'AAPT ExDa'!$B$2:$U$99, 0,FALSE), IFERROR(VLOOKUP($A67,'ABB ExDa'!$A$2:$N$184, 0,FALSE), IFERROR(VLOOKUP($A67,'Vocus SIT ExDa'!$B$2:$J$173, 0,FALSE), IFERROR(VLOOKUP($A67,'Telstra ExDa'!$B$2:$K$310, 0,FALSE), IFERROR(VLOOKUP($A67,'Vocus RVC ExDa'!$C$2:$R$155, 0,FALSE), IFERROR(VLOOKUP($A67,'Fusion ExDa'!$B$2:$D$16, 0,FALSE), IFERROR(VLOOKUP($A67,'Exetel ExDa'!$C$2:$N$14, 11,FALSE), IFERROR(VLOOKUP($A67,'Infinet ExDa'!$B$2:$E$14, 0,FALSE), "Not Found"))))))))</f>
        <v>Not Found</v>
      </c>
      <c r="N67" t="str">
        <f>IFERROR(VLOOKUP($A67,'AAPT ExDa'!$B$2:$U$99, 0,FALSE), IFERROR(VLOOKUP($A67,'ABB ExDa'!$A$2:$N$184, 13,FALSE), IFERROR(VLOOKUP($A67,'Vocus SIT ExDa'!$B$2:$J$173, 0,FALSE), IFERROR(VLOOKUP($A67,'Telstra ExDa'!$B$2:$K$310, 0,FALSE), IFERROR(VLOOKUP($A67,'Vocus RVC ExDa'!$C$2:$R$155, 0,FALSE), IFERROR(VLOOKUP($A67,'Fusion ExDa'!$B$2:$D$16, 0,FALSE), IFERROR(VLOOKUP($A67,'Exetel ExDa'!$C$2:$N$14, 0,FALSE), IFERROR(VLOOKUP($A67,'Infinet ExDa'!$B$2:$E$14, 0,FALSE), "Not Found"))))))))</f>
        <v>Not Found</v>
      </c>
    </row>
    <row r="68" spans="1:14">
      <c r="A68" t="str">
        <v>Salter Bros Potts Point</v>
      </c>
      <c r="B68" t="str">
        <f>IFERROR(VLOOKUP(A68,'Exetel ExDa'!$C$2:$N$14,4,FALSE),"No Data")</f>
        <v>No Data</v>
      </c>
      <c r="C68">
        <f>IFERROR(VLOOKUP(A68,'AAPT ExDa'!$B$2:$U$99, 2,FALSE), IFERROR(VLOOKUP(A68,'ABB ExDa'!$A$2:$N$184, 2,FALSE), IFERROR(VLOOKUP(A68,'Vocus SIT ExDa'!$B$2:$J$173, 7,FALSE), IFERROR(VLOOKUP(A68,'Telstra ExDa'!$B$2:$K$310, 2,FALSE), IFERROR(VLOOKUP(A68,'Vocus RVC ExDa'!$C$2:$R$155, 3,FALSE), IFERROR(VLOOKUP(A68,'Fusion ExDa'!$B$2:$D$16, 2,FALSE), IFERROR(VLOOKUP(A68,'Exetel ExDa'!$C$2:$N$14, 2,FALSE), IFERROR(VLOOKUP(A68,'Infinet ExDa'!$B$2:$E$14, 2,FALSE), "Not Found"))))))))</f>
        <v>0</v>
      </c>
      <c r="D68" t="str">
        <f>IFERROR(VLOOKUP($A68,'AAPT ExDa'!$B$2:$U$99, 15,FALSE), IFERROR(VLOOKUP($A68,'ABB ExDa'!$A$2:$N$184, 4,FALSE), IFERROR(VLOOKUP($A68,'Vocus SIT ExDa'!$B$2:$J$173, 5,FALSE), IFERROR(VLOOKUP($A68,'Telstra ExDa'!$B$2:$K$310, 8,FALSE), IFERROR(VLOOKUP($A68,'Vocus RVC ExDa'!$C$2:$R$155, 6,FALSE), IFERROR(VLOOKUP($A68,'Fusion ExDa'!$B$2:$D$16, 4,FALSE), IFERROR(VLOOKUP($A68,'Exetel ExDa'!$C$2:$N$14, 3,FALSE), IFERROR(VLOOKUP($A68,'Infinet ExDa'!$B$2:$E$14, 3,FALSE), "Not Found"))))))))</f>
        <v>AAPT</v>
      </c>
      <c r="E68" t="str">
        <f>IFERROR(VLOOKUP($A68,'AAPT ExDa'!$B$2:$U$99, 3,FALSE), IFERROR(VLOOKUP($A68,'ABB ExDa'!$A$2:$N$184, 5,FALSE), IFERROR(VLOOKUP($A68,'Vocus SIT ExDa'!$B$2:$J$173, 2,FALSE), IFERROR(VLOOKUP($A68,'Telstra ExDa'!$B$2:$K$310, 4,FALSE), IFERROR(VLOOKUP($A68,'Vocus RVC ExDa'!$C$2:$R$155, 8,FALSE), IFERROR(VLOOKUP($A68,'Fusion ExDa'!$B$2:$D$16, 4,FALSE), IFERROR(VLOOKUP($A68,'Exetel ExDa'!$C$2:$N$14, 5,FALSE), IFERROR(VLOOKUP($A68,'Infinet ExDa'!$B$2:$E$14, 3,FALSE), "Not Found"))))))))</f>
        <v>IP-Line</v>
      </c>
      <c r="F68" t="str">
        <f>IFERROR(VLOOKUP($A68,'AAPT ExDa'!$B$2:$U$99, 4,FALSE), IFERROR(VLOOKUP($A68,'ABB ExDa'!$A$2:$N$184, 6,FALSE), IFERROR(VLOOKUP($A68,'Vocus SIT ExDa'!$B$2:$J$173, 3,FALSE), IFERROR(VLOOKUP($A68,'Telstra ExDa'!$B$2:$K$310, 5,FALSE), IFERROR(VLOOKUP($A68,'Vocus RVC ExDa'!$C$2:$R$155, 9,FALSE), IFERROR(VLOOKUP($A68,'Fusion ExDa'!$B$2:$D$16, 0,FALSE), IFERROR(VLOOKUP($A68,'Exetel ExDa'!$C$2:$N$14, 6,FALSE), IFERROR(VLOOKUP($A68,'Infinet ExDa'!$B$2:$E$14, 0,FALSE), "Not Found"))))))))</f>
        <v>IP-Line Link</v>
      </c>
      <c r="G68" t="str">
        <f>IFERROR(VLOOKUP($A68,'AAPT ExDa'!$B$2:$U$99, 5,FALSE), IFERROR(VLOOKUP($A68,'ABB ExDa'!$A$2:$N$184, 8,FALSE), IFERROR(VLOOKUP($A68,'Vocus SIT ExDa'!$B$2:$J$173, 6,FALSE), IFERROR(VLOOKUP($A68,'Telstra ExDa'!$B$2:$K$310, 0,FALSE), IFERROR(VLOOKUP($A68,'Vocus RVC ExDa'!$C$2:$R$155, 15,FALSE), IFERROR(VLOOKUP($A68,'Fusion ExDa'!$B$2:$D$16, 0,FALSE), IFERROR(VLOOKUP($A68,'Exetel ExDa'!$C$2:$N$14, 7,FALSE), IFERROR(VLOOKUP($A68,'Infinet ExDa'!$B$2:$E$14, 0,FALSE), "Not Found"))))))))</f>
        <v>Connecting IP-Line 6023265 to Access 1704132</v>
      </c>
      <c r="H68" t="str">
        <f>IFERROR(VLOOKUP($A68,'AAPT ExDa'!$B$2:$U$99, 6,FALSE), IFERROR(VLOOKUP($A68,'ABB ExDa'!$A$2:$N$184, 0,FALSE), IFERROR(VLOOKUP($A68,'Vocus SIT ExDa'!$B$2:$J$173, 0,FALSE), IFERROR(VLOOKUP($A68,'Telstra ExDa'!$B$2:$K$310, 0,FALSE), IFERROR(VLOOKUP($A68,'Vocus RVC ExDa'!$C$2:$R$155, 16,FALSE), IFERROR(VLOOKUP($A68,'Fusion ExDa'!$B$2:$D$16, 0,FALSE), IFERROR(VLOOKUP($A68,'Exetel ExDa'!$C$2:$N$14, 0,FALSE), IFERROR(VLOOKUP($A68,'Infinet ExDa'!$B$2:$E$14, 0,FALSE), "Not Found"))))))))</f>
        <v>Up to 100/40Mbps; AVC ID:AVC400013955783</v>
      </c>
      <c r="I68" t="str">
        <f>IFERROR(VLOOKUP($A68,'AAPT ExDa'!$B$2:$U$99, 0,FALSE), IFERROR(VLOOKUP($A68,'ABB ExDa'!$A$2:$N$184, 0,FALSE), IFERROR(VLOOKUP($A68,'Vocus SIT ExDa'!$B$2:$J$173, 0,FALSE), IFERROR(VLOOKUP($A68,'Telstra ExDa'!$B$2:$K$310, 0,FALSE), IFERROR(VLOOKUP($A68,'Vocus RVC ExDa'!$C$2:$R$155, 0,FALSE), IFERROR(VLOOKUP($A68,'Fusion ExDa'!$B$2:$D$16, 0,FALSE), IFERROR(VLOOKUP($A68,'Exetel ExDa'!$C$2:$N$14, 8,FALSE), IFERROR(VLOOKUP($A68,'Infinet ExDa'!$B$2:$E$14, 0,FALSE), "Not Found"))))))))</f>
        <v>Not Found</v>
      </c>
      <c r="J68" t="str">
        <f>IFERROR(VLOOKUP($A68,'AAPT ExDa'!$B$2:$U$99, 7,FALSE), IFERROR(VLOOKUP($A68,'ABB ExDa'!$A$2:$N$184, 2,FALSE), IFERROR(VLOOKUP($A68,'Vocus SIT ExDa'!$B$2:$J$173, 0,FALSE), IFERROR(VLOOKUP($A68,'Telstra ExDa'!$B$2:$K$310, 7,FALSE), IFERROR(VLOOKUP($A68,'Vocus RVC ExDa'!$C$2:$R$155, 2,FALSE), IFERROR(VLOOKUP($A68,'Fusion ExDa'!$B$2:$D$16, 3,FALSE), IFERROR(VLOOKUP($A68,'Exetel ExDa'!$C$2:$N$14, 0,FALSE), IFERROR(VLOOKUP($A68,'Infinet ExDa'!$B$2:$E$14, 0,FALSE), "Not Found"))))))))</f>
        <v>AVC400013955783</v>
      </c>
      <c r="K68" t="str">
        <f>IFERROR(VLOOKUP($A68,'AAPT ExDa'!$B$2:$U$99, 12,FALSE), IFERROR(VLOOKUP($A68,'ABB ExDa'!$A$2:$N$184, 0,FALSE), IFERROR(VLOOKUP($A68,'Vocus SIT ExDa'!$B$2:$J$173, 0,FALSE), IFERROR(VLOOKUP($A68,'Telstra ExDa'!$B$2:$K$310, 0,FALSE), IFERROR(VLOOKUP($A68,'Vocus RVC ExDa'!$C$2:$R$155, 0,FALSE), IFERROR(VLOOKUP($A68,'Fusion ExDa'!$B$2:$D$16, 0,FALSE), IFERROR(VLOOKUP($A68,'Exetel ExDa'!$C$2:$N$14, 12,FALSE), IFERROR(VLOOKUP($A68,'Infinet ExDa'!$B$2:$E$14, 0,FALSE), "Not Found"))))))))</f>
        <v>24 Months</v>
      </c>
      <c r="L68" s="235">
        <f>IFERROR(VLOOKUP($A68,'AAPT ExDa'!$B$2:$U$99, 11,FALSE), IFERROR(VLOOKUP($A68,'ABB ExDa'!$A$2:$N$184, 9,FALSE), IFERROR(VLOOKUP($A68,'Vocus SIT ExDa'!$B$2:$J$173, 8,FALSE), IFERROR(VLOOKUP($A68,'Telstra ExDa'!$B$2:$K$310, 0,FALSE), IFERROR(VLOOKUP($A68,'Vocus RVC ExDa'!$C$2:$R$155, 0,FALSE), IFERROR(VLOOKUP($A68,'Fusion ExDa'!$B$2:$D$16, 0,FALSE), IFERROR(VLOOKUP($A68,'Exetel ExDa'!$C$2:$N$14, 9,FALSE), IFERROR(VLOOKUP($A68,'Infinet ExDa'!$B$2:$E$14, 0,FALSE), "Not Found"))))))))</f>
        <v>43745</v>
      </c>
      <c r="M68" s="234" t="str">
        <f>IFERROR(VLOOKUP($A68,'AAPT ExDa'!$B$2:$U$99, 0,FALSE), IFERROR(VLOOKUP($A68,'ABB ExDa'!$A$2:$N$184, 0,FALSE), IFERROR(VLOOKUP($A68,'Vocus SIT ExDa'!$B$2:$J$173, 0,FALSE), IFERROR(VLOOKUP($A68,'Telstra ExDa'!$B$2:$K$310, 0,FALSE), IFERROR(VLOOKUP($A68,'Vocus RVC ExDa'!$C$2:$R$155, 0,FALSE), IFERROR(VLOOKUP($A68,'Fusion ExDa'!$B$2:$D$16, 0,FALSE), IFERROR(VLOOKUP($A68,'Exetel ExDa'!$C$2:$N$14, 11,FALSE), IFERROR(VLOOKUP($A68,'Infinet ExDa'!$B$2:$E$14, 0,FALSE), "Not Found"))))))))</f>
        <v>Not Found</v>
      </c>
      <c r="N68" t="str">
        <f>IFERROR(VLOOKUP($A68,'AAPT ExDa'!$B$2:$U$99, 0,FALSE), IFERROR(VLOOKUP($A68,'ABB ExDa'!$A$2:$N$184, 13,FALSE), IFERROR(VLOOKUP($A68,'Vocus SIT ExDa'!$B$2:$J$173, 0,FALSE), IFERROR(VLOOKUP($A68,'Telstra ExDa'!$B$2:$K$310, 0,FALSE), IFERROR(VLOOKUP($A68,'Vocus RVC ExDa'!$C$2:$R$155, 0,FALSE), IFERROR(VLOOKUP($A68,'Fusion ExDa'!$B$2:$D$16, 0,FALSE), IFERROR(VLOOKUP($A68,'Exetel ExDa'!$C$2:$N$14, 0,FALSE), IFERROR(VLOOKUP($A68,'Infinet ExDa'!$B$2:$E$14, 0,FALSE), "Not Found"))))))))</f>
        <v>Not Found</v>
      </c>
    </row>
    <row r="69" spans="1:14">
      <c r="A69" t="str">
        <v>Salter Brothers</v>
      </c>
      <c r="B69" t="str">
        <f>IFERROR(VLOOKUP(A69,'Exetel ExDa'!$C$2:$N$14,4,FALSE),"No Data")</f>
        <v>No Data</v>
      </c>
      <c r="C69">
        <f>IFERROR(VLOOKUP(A69,'AAPT ExDa'!$B$2:$U$99, 2,FALSE), IFERROR(VLOOKUP(A69,'ABB ExDa'!$A$2:$N$184, 2,FALSE), IFERROR(VLOOKUP(A69,'Vocus SIT ExDa'!$B$2:$J$173, 7,FALSE), IFERROR(VLOOKUP(A69,'Telstra ExDa'!$B$2:$K$310, 2,FALSE), IFERROR(VLOOKUP(A69,'Vocus RVC ExDa'!$C$2:$R$155, 3,FALSE), IFERROR(VLOOKUP(A69,'Fusion ExDa'!$B$2:$D$16, 2,FALSE), IFERROR(VLOOKUP(A69,'Exetel ExDa'!$C$2:$N$14, 2,FALSE), IFERROR(VLOOKUP(A69,'Infinet ExDa'!$B$2:$E$14, 2,FALSE), "Not Found"))))))))</f>
        <v>0</v>
      </c>
      <c r="D69" t="str">
        <f>IFERROR(VLOOKUP($A69,'AAPT ExDa'!$B$2:$U$99, 15,FALSE), IFERROR(VLOOKUP($A69,'ABB ExDa'!$A$2:$N$184, 4,FALSE), IFERROR(VLOOKUP($A69,'Vocus SIT ExDa'!$B$2:$J$173, 5,FALSE), IFERROR(VLOOKUP($A69,'Telstra ExDa'!$B$2:$K$310, 8,FALSE), IFERROR(VLOOKUP($A69,'Vocus RVC ExDa'!$C$2:$R$155, 6,FALSE), IFERROR(VLOOKUP($A69,'Fusion ExDa'!$B$2:$D$16, 4,FALSE), IFERROR(VLOOKUP($A69,'Exetel ExDa'!$C$2:$N$14, 3,FALSE), IFERROR(VLOOKUP($A69,'Infinet ExDa'!$B$2:$E$14, 3,FALSE), "Not Found"))))))))</f>
        <v>AAPT</v>
      </c>
      <c r="E69" t="str">
        <f>IFERROR(VLOOKUP($A69,'AAPT ExDa'!$B$2:$U$99, 3,FALSE), IFERROR(VLOOKUP($A69,'ABB ExDa'!$A$2:$N$184, 5,FALSE), IFERROR(VLOOKUP($A69,'Vocus SIT ExDa'!$B$2:$J$173, 2,FALSE), IFERROR(VLOOKUP($A69,'Telstra ExDa'!$B$2:$K$310, 4,FALSE), IFERROR(VLOOKUP($A69,'Vocus RVC ExDa'!$C$2:$R$155, 8,FALSE), IFERROR(VLOOKUP($A69,'Fusion ExDa'!$B$2:$D$16, 4,FALSE), IFERROR(VLOOKUP($A69,'Exetel ExDa'!$C$2:$N$14, 5,FALSE), IFERROR(VLOOKUP($A69,'Infinet ExDa'!$B$2:$E$14, 3,FALSE), "Not Found"))))))))</f>
        <v>IP-Line</v>
      </c>
      <c r="F69" t="str">
        <f>IFERROR(VLOOKUP($A69,'AAPT ExDa'!$B$2:$U$99, 4,FALSE), IFERROR(VLOOKUP($A69,'ABB ExDa'!$A$2:$N$184, 6,FALSE), IFERROR(VLOOKUP($A69,'Vocus SIT ExDa'!$B$2:$J$173, 3,FALSE), IFERROR(VLOOKUP($A69,'Telstra ExDa'!$B$2:$K$310, 5,FALSE), IFERROR(VLOOKUP($A69,'Vocus RVC ExDa'!$C$2:$R$155, 9,FALSE), IFERROR(VLOOKUP($A69,'Fusion ExDa'!$B$2:$D$16, 0,FALSE), IFERROR(VLOOKUP($A69,'Exetel ExDa'!$C$2:$N$14, 6,FALSE), IFERROR(VLOOKUP($A69,'Infinet ExDa'!$B$2:$E$14, 0,FALSE), "Not Found"))))))))</f>
        <v>IP-Line</v>
      </c>
      <c r="G69">
        <f>IFERROR(VLOOKUP($A69,'AAPT ExDa'!$B$2:$U$99, 5,FALSE), IFERROR(VLOOKUP($A69,'ABB ExDa'!$A$2:$N$184, 8,FALSE), IFERROR(VLOOKUP($A69,'Vocus SIT ExDa'!$B$2:$J$173, 6,FALSE), IFERROR(VLOOKUP($A69,'Telstra ExDa'!$B$2:$K$310, 0,FALSE), IFERROR(VLOOKUP($A69,'Vocus RVC ExDa'!$C$2:$R$155, 15,FALSE), IFERROR(VLOOKUP($A69,'Fusion ExDa'!$B$2:$D$16, 0,FALSE), IFERROR(VLOOKUP($A69,'Exetel ExDa'!$C$2:$N$14, 7,FALSE), IFERROR(VLOOKUP($A69,'Infinet ExDa'!$B$2:$E$14, 0,FALSE), "Not Found"))))))))</f>
        <v>0</v>
      </c>
      <c r="H69">
        <f>IFERROR(VLOOKUP($A69,'AAPT ExDa'!$B$2:$U$99, 6,FALSE), IFERROR(VLOOKUP($A69,'ABB ExDa'!$A$2:$N$184, 0,FALSE), IFERROR(VLOOKUP($A69,'Vocus SIT ExDa'!$B$2:$J$173, 0,FALSE), IFERROR(VLOOKUP($A69,'Telstra ExDa'!$B$2:$K$310, 0,FALSE), IFERROR(VLOOKUP($A69,'Vocus RVC ExDa'!$C$2:$R$155, 16,FALSE), IFERROR(VLOOKUP($A69,'Fusion ExDa'!$B$2:$D$16, 0,FALSE), IFERROR(VLOOKUP($A69,'Exetel ExDa'!$C$2:$N$14, 0,FALSE), IFERROR(VLOOKUP($A69,'Infinet ExDa'!$B$2:$E$14, 0,FALSE), "Not Found"))))))))</f>
        <v>0</v>
      </c>
      <c r="I69" t="str">
        <f>IFERROR(VLOOKUP($A69,'AAPT ExDa'!$B$2:$U$99, 0,FALSE), IFERROR(VLOOKUP($A69,'ABB ExDa'!$A$2:$N$184, 0,FALSE), IFERROR(VLOOKUP($A69,'Vocus SIT ExDa'!$B$2:$J$173, 0,FALSE), IFERROR(VLOOKUP($A69,'Telstra ExDa'!$B$2:$K$310, 0,FALSE), IFERROR(VLOOKUP($A69,'Vocus RVC ExDa'!$C$2:$R$155, 0,FALSE), IFERROR(VLOOKUP($A69,'Fusion ExDa'!$B$2:$D$16, 0,FALSE), IFERROR(VLOOKUP($A69,'Exetel ExDa'!$C$2:$N$14, 8,FALSE), IFERROR(VLOOKUP($A69,'Infinet ExDa'!$B$2:$E$14, 0,FALSE), "Not Found"))))))))</f>
        <v>Not Found</v>
      </c>
      <c r="J69">
        <f>IFERROR(VLOOKUP($A69,'AAPT ExDa'!$B$2:$U$99, 7,FALSE), IFERROR(VLOOKUP($A69,'ABB ExDa'!$A$2:$N$184, 2,FALSE), IFERROR(VLOOKUP($A69,'Vocus SIT ExDa'!$B$2:$J$173, 0,FALSE), IFERROR(VLOOKUP($A69,'Telstra ExDa'!$B$2:$K$310, 7,FALSE), IFERROR(VLOOKUP($A69,'Vocus RVC ExDa'!$C$2:$R$155, 2,FALSE), IFERROR(VLOOKUP($A69,'Fusion ExDa'!$B$2:$D$16, 3,FALSE), IFERROR(VLOOKUP($A69,'Exetel ExDa'!$C$2:$N$14, 0,FALSE), IFERROR(VLOOKUP($A69,'Infinet ExDa'!$B$2:$E$14, 0,FALSE), "Not Found"))))))))</f>
        <v>0</v>
      </c>
      <c r="K69" t="str">
        <f>IFERROR(VLOOKUP($A69,'AAPT ExDa'!$B$2:$U$99, 12,FALSE), IFERROR(VLOOKUP($A69,'ABB ExDa'!$A$2:$N$184, 0,FALSE), IFERROR(VLOOKUP($A69,'Vocus SIT ExDa'!$B$2:$J$173, 0,FALSE), IFERROR(VLOOKUP($A69,'Telstra ExDa'!$B$2:$K$310, 0,FALSE), IFERROR(VLOOKUP($A69,'Vocus RVC ExDa'!$C$2:$R$155, 0,FALSE), IFERROR(VLOOKUP($A69,'Fusion ExDa'!$B$2:$D$16, 0,FALSE), IFERROR(VLOOKUP($A69,'Exetel ExDa'!$C$2:$N$14, 12,FALSE), IFERROR(VLOOKUP($A69,'Infinet ExDa'!$B$2:$E$14, 0,FALSE), "Not Found"))))))))</f>
        <v>24 Months</v>
      </c>
      <c r="L69" s="235">
        <f>IFERROR(VLOOKUP($A69,'AAPT ExDa'!$B$2:$U$99, 11,FALSE), IFERROR(VLOOKUP($A69,'ABB ExDa'!$A$2:$N$184, 9,FALSE), IFERROR(VLOOKUP($A69,'Vocus SIT ExDa'!$B$2:$J$173, 8,FALSE), IFERROR(VLOOKUP($A69,'Telstra ExDa'!$B$2:$K$310, 0,FALSE), IFERROR(VLOOKUP($A69,'Vocus RVC ExDa'!$C$2:$R$155, 0,FALSE), IFERROR(VLOOKUP($A69,'Fusion ExDa'!$B$2:$D$16, 0,FALSE), IFERROR(VLOOKUP($A69,'Exetel ExDa'!$C$2:$N$14, 9,FALSE), IFERROR(VLOOKUP($A69,'Infinet ExDa'!$B$2:$E$14, 0,FALSE), "Not Found"))))))))</f>
        <v>44203</v>
      </c>
      <c r="M69" s="234" t="str">
        <f>IFERROR(VLOOKUP($A69,'AAPT ExDa'!$B$2:$U$99, 0,FALSE), IFERROR(VLOOKUP($A69,'ABB ExDa'!$A$2:$N$184, 0,FALSE), IFERROR(VLOOKUP($A69,'Vocus SIT ExDa'!$B$2:$J$173, 0,FALSE), IFERROR(VLOOKUP($A69,'Telstra ExDa'!$B$2:$K$310, 0,FALSE), IFERROR(VLOOKUP($A69,'Vocus RVC ExDa'!$C$2:$R$155, 0,FALSE), IFERROR(VLOOKUP($A69,'Fusion ExDa'!$B$2:$D$16, 0,FALSE), IFERROR(VLOOKUP($A69,'Exetel ExDa'!$C$2:$N$14, 11,FALSE), IFERROR(VLOOKUP($A69,'Infinet ExDa'!$B$2:$E$14, 0,FALSE), "Not Found"))))))))</f>
        <v>Not Found</v>
      </c>
      <c r="N69" t="str">
        <f>IFERROR(VLOOKUP($A69,'AAPT ExDa'!$B$2:$U$99, 0,FALSE), IFERROR(VLOOKUP($A69,'ABB ExDa'!$A$2:$N$184, 13,FALSE), IFERROR(VLOOKUP($A69,'Vocus SIT ExDa'!$B$2:$J$173, 0,FALSE), IFERROR(VLOOKUP($A69,'Telstra ExDa'!$B$2:$K$310, 0,FALSE), IFERROR(VLOOKUP($A69,'Vocus RVC ExDa'!$C$2:$R$155, 0,FALSE), IFERROR(VLOOKUP($A69,'Fusion ExDa'!$B$2:$D$16, 0,FALSE), IFERROR(VLOOKUP($A69,'Exetel ExDa'!$C$2:$N$14, 0,FALSE), IFERROR(VLOOKUP($A69,'Infinet ExDa'!$B$2:$E$14, 0,FALSE), "Not Found"))))))))</f>
        <v>Not Found</v>
      </c>
    </row>
    <row r="70" spans="1:14">
      <c r="A70" t="str">
        <v>Smile IT</v>
      </c>
      <c r="B70" t="str">
        <f>IFERROR(VLOOKUP(A70,'Exetel ExDa'!$C$2:$N$14,4,FALSE),"No Data")</f>
        <v>0701561050</v>
      </c>
      <c r="C70">
        <f>IFERROR(VLOOKUP(A70,'AAPT ExDa'!$B$2:$U$99, 2,FALSE), IFERROR(VLOOKUP(A70,'ABB ExDa'!$A$2:$N$184, 2,FALSE), IFERROR(VLOOKUP(A70,'Vocus SIT ExDa'!$B$2:$J$173, 7,FALSE), IFERROR(VLOOKUP(A70,'Telstra ExDa'!$B$2:$K$310, 2,FALSE), IFERROR(VLOOKUP(A70,'Vocus RVC ExDa'!$C$2:$R$155, 3,FALSE), IFERROR(VLOOKUP(A70,'Fusion ExDa'!$B$2:$D$16, 2,FALSE), IFERROR(VLOOKUP(A70,'Exetel ExDa'!$C$2:$N$14, 2,FALSE), IFERROR(VLOOKUP(A70,'Infinet ExDa'!$B$2:$E$14, 2,FALSE), "Not Found"))))))))</f>
        <v>0</v>
      </c>
      <c r="D70" t="str">
        <f>IFERROR(VLOOKUP($A70,'AAPT ExDa'!$B$2:$U$99, 15,FALSE), IFERROR(VLOOKUP($A70,'ABB ExDa'!$A$2:$N$184, 4,FALSE), IFERROR(VLOOKUP($A70,'Vocus SIT ExDa'!$B$2:$J$173, 5,FALSE), IFERROR(VLOOKUP($A70,'Telstra ExDa'!$B$2:$K$310, 8,FALSE), IFERROR(VLOOKUP($A70,'Vocus RVC ExDa'!$C$2:$R$155, 6,FALSE), IFERROR(VLOOKUP($A70,'Fusion ExDa'!$B$2:$D$16, 4,FALSE), IFERROR(VLOOKUP($A70,'Exetel ExDa'!$C$2:$N$14, 3,FALSE), IFERROR(VLOOKUP($A70,'Infinet ExDa'!$B$2:$E$14, 3,FALSE), "Not Found"))))))))</f>
        <v>AAPT</v>
      </c>
      <c r="E70" t="str">
        <f>IFERROR(VLOOKUP($A70,'AAPT ExDa'!$B$2:$U$99, 3,FALSE), IFERROR(VLOOKUP($A70,'ABB ExDa'!$A$2:$N$184, 5,FALSE), IFERROR(VLOOKUP($A70,'Vocus SIT ExDa'!$B$2:$J$173, 2,FALSE), IFERROR(VLOOKUP($A70,'Telstra ExDa'!$B$2:$K$310, 4,FALSE), IFERROR(VLOOKUP($A70,'Vocus RVC ExDa'!$C$2:$R$155, 8,FALSE), IFERROR(VLOOKUP($A70,'Fusion ExDa'!$B$2:$D$16, 4,FALSE), IFERROR(VLOOKUP($A70,'Exetel ExDa'!$C$2:$N$14, 5,FALSE), IFERROR(VLOOKUP($A70,'Infinet ExDa'!$B$2:$E$14, 3,FALSE), "Not Found"))))))))</f>
        <v>IP-Line</v>
      </c>
      <c r="F70" t="str">
        <f>IFERROR(VLOOKUP($A70,'AAPT ExDa'!$B$2:$U$99, 4,FALSE), IFERROR(VLOOKUP($A70,'ABB ExDa'!$A$2:$N$184, 6,FALSE), IFERROR(VLOOKUP($A70,'Vocus SIT ExDa'!$B$2:$J$173, 3,FALSE), IFERROR(VLOOKUP($A70,'Telstra ExDa'!$B$2:$K$310, 5,FALSE), IFERROR(VLOOKUP($A70,'Vocus RVC ExDa'!$C$2:$R$155, 9,FALSE), IFERROR(VLOOKUP($A70,'Fusion ExDa'!$B$2:$D$16, 0,FALSE), IFERROR(VLOOKUP($A70,'Exetel ExDa'!$C$2:$N$14, 6,FALSE), IFERROR(VLOOKUP($A70,'Infinet ExDa'!$B$2:$E$14, 0,FALSE), "Not Found"))))))))</f>
        <v>IP-Line Link</v>
      </c>
      <c r="G70" t="str">
        <f>IFERROR(VLOOKUP($A70,'AAPT ExDa'!$B$2:$U$99, 5,FALSE), IFERROR(VLOOKUP($A70,'ABB ExDa'!$A$2:$N$184, 8,FALSE), IFERROR(VLOOKUP($A70,'Vocus SIT ExDa'!$B$2:$J$173, 6,FALSE), IFERROR(VLOOKUP($A70,'Telstra ExDa'!$B$2:$K$310, 0,FALSE), IFERROR(VLOOKUP($A70,'Vocus RVC ExDa'!$C$2:$R$155, 15,FALSE), IFERROR(VLOOKUP($A70,'Fusion ExDa'!$B$2:$D$16, 0,FALSE), IFERROR(VLOOKUP($A70,'Exetel ExDa'!$C$2:$N$14, 7,FALSE), IFERROR(VLOOKUP($A70,'Infinet ExDa'!$B$2:$E$14, 0,FALSE), "Not Found"))))))))</f>
        <v>Connecting IP-Line 6023265 to Access 100773541</v>
      </c>
      <c r="H70" t="str">
        <f>IFERROR(VLOOKUP($A70,'AAPT ExDa'!$B$2:$U$99, 6,FALSE), IFERROR(VLOOKUP($A70,'ABB ExDa'!$A$2:$N$184, 0,FALSE), IFERROR(VLOOKUP($A70,'Vocus SIT ExDa'!$B$2:$J$173, 0,FALSE), IFERROR(VLOOKUP($A70,'Telstra ExDa'!$B$2:$K$310, 0,FALSE), IFERROR(VLOOKUP($A70,'Vocus RVC ExDa'!$C$2:$R$155, 16,FALSE), IFERROR(VLOOKUP($A70,'Fusion ExDa'!$B$2:$D$16, 0,FALSE), IFERROR(VLOOKUP($A70,'Exetel ExDa'!$C$2:$N$14, 0,FALSE), IFERROR(VLOOKUP($A70,'Infinet ExDa'!$B$2:$E$14, 0,FALSE), "Not Found"))))))))</f>
        <v>Up to 100/40Mbps; AVC ID:AVC000141025780</v>
      </c>
      <c r="I70">
        <f>IFERROR(VLOOKUP($A70,'AAPT ExDa'!$B$2:$U$99, 0,FALSE), IFERROR(VLOOKUP($A70,'ABB ExDa'!$A$2:$N$184, 0,FALSE), IFERROR(VLOOKUP($A70,'Vocus SIT ExDa'!$B$2:$J$173, 0,FALSE), IFERROR(VLOOKUP($A70,'Telstra ExDa'!$B$2:$K$310, 0,FALSE), IFERROR(VLOOKUP($A70,'Vocus RVC ExDa'!$C$2:$R$155, 0,FALSE), IFERROR(VLOOKUP($A70,'Fusion ExDa'!$B$2:$D$16, 0,FALSE), IFERROR(VLOOKUP($A70,'Exetel ExDa'!$C$2:$N$14, 8,FALSE), IFERROR(VLOOKUP($A70,'Infinet ExDa'!$B$2:$E$14, 0,FALSE), "Not Found"))))))))</f>
        <v>0</v>
      </c>
      <c r="J70" t="str">
        <f>IFERROR(VLOOKUP($A70,'AAPT ExDa'!$B$2:$U$99, 7,FALSE), IFERROR(VLOOKUP($A70,'ABB ExDa'!$A$2:$N$184, 2,FALSE), IFERROR(VLOOKUP($A70,'Vocus SIT ExDa'!$B$2:$J$173, 0,FALSE), IFERROR(VLOOKUP($A70,'Telstra ExDa'!$B$2:$K$310, 7,FALSE), IFERROR(VLOOKUP($A70,'Vocus RVC ExDa'!$C$2:$R$155, 2,FALSE), IFERROR(VLOOKUP($A70,'Fusion ExDa'!$B$2:$D$16, 3,FALSE), IFERROR(VLOOKUP($A70,'Exetel ExDa'!$C$2:$N$14, 0,FALSE), IFERROR(VLOOKUP($A70,'Infinet ExDa'!$B$2:$E$14, 0,FALSE), "Not Found"))))))))</f>
        <v>AVC000141025780</v>
      </c>
      <c r="K70" t="str">
        <f>IFERROR(VLOOKUP($A70,'AAPT ExDa'!$B$2:$U$99, 12,FALSE), IFERROR(VLOOKUP($A70,'ABB ExDa'!$A$2:$N$184, 0,FALSE), IFERROR(VLOOKUP($A70,'Vocus SIT ExDa'!$B$2:$J$173, 0,FALSE), IFERROR(VLOOKUP($A70,'Telstra ExDa'!$B$2:$K$310, 0,FALSE), IFERROR(VLOOKUP($A70,'Vocus RVC ExDa'!$C$2:$R$155, 0,FALSE), IFERROR(VLOOKUP($A70,'Fusion ExDa'!$B$2:$D$16, 0,FALSE), IFERROR(VLOOKUP($A70,'Exetel ExDa'!$C$2:$N$14, 12,FALSE), IFERROR(VLOOKUP($A70,'Infinet ExDa'!$B$2:$E$14, 0,FALSE), "Not Found"))))))))</f>
        <v>12 Months</v>
      </c>
      <c r="L70" s="235">
        <f>IFERROR(VLOOKUP($A70,'AAPT ExDa'!$B$2:$U$99, 11,FALSE), IFERROR(VLOOKUP($A70,'ABB ExDa'!$A$2:$N$184, 9,FALSE), IFERROR(VLOOKUP($A70,'Vocus SIT ExDa'!$B$2:$J$173, 8,FALSE), IFERROR(VLOOKUP($A70,'Telstra ExDa'!$B$2:$K$310, 0,FALSE), IFERROR(VLOOKUP($A70,'Vocus RVC ExDa'!$C$2:$R$155, 0,FALSE), IFERROR(VLOOKUP($A70,'Fusion ExDa'!$B$2:$D$16, 0,FALSE), IFERROR(VLOOKUP($A70,'Exetel ExDa'!$C$2:$N$14, 9,FALSE), IFERROR(VLOOKUP($A70,'Infinet ExDa'!$B$2:$E$14, 0,FALSE), "Not Found"))))))))</f>
        <v>44297</v>
      </c>
      <c r="M70" s="234">
        <f>IFERROR(VLOOKUP($A70,'AAPT ExDa'!$B$2:$U$99, 0,FALSE), IFERROR(VLOOKUP($A70,'ABB ExDa'!$A$2:$N$184, 0,FALSE), IFERROR(VLOOKUP($A70,'Vocus SIT ExDa'!$B$2:$J$173, 0,FALSE), IFERROR(VLOOKUP($A70,'Telstra ExDa'!$B$2:$K$310, 0,FALSE), IFERROR(VLOOKUP($A70,'Vocus RVC ExDa'!$C$2:$R$155, 0,FALSE), IFERROR(VLOOKUP($A70,'Fusion ExDa'!$B$2:$D$16, 0,FALSE), IFERROR(VLOOKUP($A70,'Exetel ExDa'!$C$2:$N$14, 11,FALSE), IFERROR(VLOOKUP($A70,'Infinet ExDa'!$B$2:$E$14, 0,FALSE), "Not Found"))))))))</f>
        <v>0</v>
      </c>
      <c r="N70" t="str">
        <f>IFERROR(VLOOKUP($A70,'AAPT ExDa'!$B$2:$U$99, 0,FALSE), IFERROR(VLOOKUP($A70,'ABB ExDa'!$A$2:$N$184, 13,FALSE), IFERROR(VLOOKUP($A70,'Vocus SIT ExDa'!$B$2:$J$173, 0,FALSE), IFERROR(VLOOKUP($A70,'Telstra ExDa'!$B$2:$K$310, 0,FALSE), IFERROR(VLOOKUP($A70,'Vocus RVC ExDa'!$C$2:$R$155, 0,FALSE), IFERROR(VLOOKUP($A70,'Fusion ExDa'!$B$2:$D$16, 0,FALSE), IFERROR(VLOOKUP($A70,'Exetel ExDa'!$C$2:$N$14, 0,FALSE), IFERROR(VLOOKUP($A70,'Infinet ExDa'!$B$2:$E$14, 0,FALSE), "Not Found"))))))))</f>
        <v>Not Found</v>
      </c>
    </row>
    <row r="71" spans="1:14">
      <c r="A71" t="str">
        <v>Solahart Brisbane</v>
      </c>
      <c r="B71" t="str">
        <f>IFERROR(VLOOKUP(A71,'Exetel ExDa'!$C$2:$N$14,4,FALSE),"No Data")</f>
        <v>No Data</v>
      </c>
      <c r="C71" t="str">
        <f>IFERROR(VLOOKUP(A71,'AAPT ExDa'!$B$2:$U$99, 2,FALSE), IFERROR(VLOOKUP(A71,'ABB ExDa'!$A$2:$N$184, 2,FALSE), IFERROR(VLOOKUP(A71,'Vocus SIT ExDa'!$B$2:$J$173, 7,FALSE), IFERROR(VLOOKUP(A71,'Telstra ExDa'!$B$2:$K$310, 2,FALSE), IFERROR(VLOOKUP(A71,'Vocus RVC ExDa'!$C$2:$R$155, 3,FALSE), IFERROR(VLOOKUP(A71,'Fusion ExDa'!$B$2:$D$16, 2,FALSE), IFERROR(VLOOKUP(A71,'Exetel ExDa'!$C$2:$N$14, 2,FALSE), IFERROR(VLOOKUP(A71,'Infinet ExDa'!$B$2:$E$14, 2,FALSE), "Not Found"))))))))</f>
        <v>Darra</v>
      </c>
      <c r="D71" t="str">
        <f>IFERROR(VLOOKUP($A71,'AAPT ExDa'!$B$2:$U$99, 15,FALSE), IFERROR(VLOOKUP($A71,'ABB ExDa'!$A$2:$N$184, 4,FALSE), IFERROR(VLOOKUP($A71,'Vocus SIT ExDa'!$B$2:$J$173, 5,FALSE), IFERROR(VLOOKUP($A71,'Telstra ExDa'!$B$2:$K$310, 8,FALSE), IFERROR(VLOOKUP($A71,'Vocus RVC ExDa'!$C$2:$R$155, 6,FALSE), IFERROR(VLOOKUP($A71,'Fusion ExDa'!$B$2:$D$16, 4,FALSE), IFERROR(VLOOKUP($A71,'Exetel ExDa'!$C$2:$N$14, 3,FALSE), IFERROR(VLOOKUP($A71,'Infinet ExDa'!$B$2:$E$14, 3,FALSE), "Not Found"))))))))</f>
        <v>AAPT</v>
      </c>
      <c r="E71" t="str">
        <f>IFERROR(VLOOKUP($A71,'AAPT ExDa'!$B$2:$U$99, 3,FALSE), IFERROR(VLOOKUP($A71,'ABB ExDa'!$A$2:$N$184, 5,FALSE), IFERROR(VLOOKUP($A71,'Vocus SIT ExDa'!$B$2:$J$173, 2,FALSE), IFERROR(VLOOKUP($A71,'Telstra ExDa'!$B$2:$K$310, 4,FALSE), IFERROR(VLOOKUP($A71,'Vocus RVC ExDa'!$C$2:$R$155, 8,FALSE), IFERROR(VLOOKUP($A71,'Fusion ExDa'!$B$2:$D$16, 4,FALSE), IFERROR(VLOOKUP($A71,'Exetel ExDa'!$C$2:$N$14, 5,FALSE), IFERROR(VLOOKUP($A71,'Infinet ExDa'!$B$2:$E$14, 3,FALSE), "Not Found"))))))))</f>
        <v>Voice Number Inventory</v>
      </c>
      <c r="F71" t="str">
        <f>IFERROR(VLOOKUP($A71,'AAPT ExDa'!$B$2:$U$99, 4,FALSE), IFERROR(VLOOKUP($A71,'ABB ExDa'!$A$2:$N$184, 6,FALSE), IFERROR(VLOOKUP($A71,'Vocus SIT ExDa'!$B$2:$J$173, 3,FALSE), IFERROR(VLOOKUP($A71,'Telstra ExDa'!$B$2:$K$310, 5,FALSE), IFERROR(VLOOKUP($A71,'Vocus RVC ExDa'!$C$2:$R$155, 9,FALSE), IFERROR(VLOOKUP($A71,'Fusion ExDa'!$B$2:$D$16, 0,FALSE), IFERROR(VLOOKUP($A71,'Exetel ExDa'!$C$2:$N$14, 6,FALSE), IFERROR(VLOOKUP($A71,'Infinet ExDa'!$B$2:$E$14, 0,FALSE), "Not Found"))))))))</f>
        <v>Number Range</v>
      </c>
      <c r="G71">
        <f>IFERROR(VLOOKUP($A71,'AAPT ExDa'!$B$2:$U$99, 5,FALSE), IFERROR(VLOOKUP($A71,'ABB ExDa'!$A$2:$N$184, 8,FALSE), IFERROR(VLOOKUP($A71,'Vocus SIT ExDa'!$B$2:$J$173, 6,FALSE), IFERROR(VLOOKUP($A71,'Telstra ExDa'!$B$2:$K$310, 0,FALSE), IFERROR(VLOOKUP($A71,'Vocus RVC ExDa'!$C$2:$R$155, 15,FALSE), IFERROR(VLOOKUP($A71,'Fusion ExDa'!$B$2:$D$16, 0,FALSE), IFERROR(VLOOKUP($A71,'Exetel ExDa'!$C$2:$N$14, 7,FALSE), IFERROR(VLOOKUP($A71,'Infinet ExDa'!$B$2:$E$14, 0,FALSE), "Not Found"))))))))</f>
        <v>0</v>
      </c>
      <c r="H71">
        <f>IFERROR(VLOOKUP($A71,'AAPT ExDa'!$B$2:$U$99, 6,FALSE), IFERROR(VLOOKUP($A71,'ABB ExDa'!$A$2:$N$184, 0,FALSE), IFERROR(VLOOKUP($A71,'Vocus SIT ExDa'!$B$2:$J$173, 0,FALSE), IFERROR(VLOOKUP($A71,'Telstra ExDa'!$B$2:$K$310, 0,FALSE), IFERROR(VLOOKUP($A71,'Vocus RVC ExDa'!$C$2:$R$155, 16,FALSE), IFERROR(VLOOKUP($A71,'Fusion ExDa'!$B$2:$D$16, 0,FALSE), IFERROR(VLOOKUP($A71,'Exetel ExDa'!$C$2:$N$14, 0,FALSE), IFERROR(VLOOKUP($A71,'Infinet ExDa'!$B$2:$E$14, 0,FALSE), "Not Found"))))))))</f>
        <v>0</v>
      </c>
      <c r="I71" t="str">
        <f>IFERROR(VLOOKUP($A71,'AAPT ExDa'!$B$2:$U$99, 0,FALSE), IFERROR(VLOOKUP($A71,'ABB ExDa'!$A$2:$N$184, 0,FALSE), IFERROR(VLOOKUP($A71,'Vocus SIT ExDa'!$B$2:$J$173, 0,FALSE), IFERROR(VLOOKUP($A71,'Telstra ExDa'!$B$2:$K$310, 0,FALSE), IFERROR(VLOOKUP($A71,'Vocus RVC ExDa'!$C$2:$R$155, 0,FALSE), IFERROR(VLOOKUP($A71,'Fusion ExDa'!$B$2:$D$16, 0,FALSE), IFERROR(VLOOKUP($A71,'Exetel ExDa'!$C$2:$N$14, 8,FALSE), IFERROR(VLOOKUP($A71,'Infinet ExDa'!$B$2:$E$14, 0,FALSE), "Not Found"))))))))</f>
        <v>Not Found</v>
      </c>
      <c r="J71">
        <f>IFERROR(VLOOKUP($A71,'AAPT ExDa'!$B$2:$U$99, 7,FALSE), IFERROR(VLOOKUP($A71,'ABB ExDa'!$A$2:$N$184, 2,FALSE), IFERROR(VLOOKUP($A71,'Vocus SIT ExDa'!$B$2:$J$173, 0,FALSE), IFERROR(VLOOKUP($A71,'Telstra ExDa'!$B$2:$K$310, 7,FALSE), IFERROR(VLOOKUP($A71,'Vocus RVC ExDa'!$C$2:$R$155, 2,FALSE), IFERROR(VLOOKUP($A71,'Fusion ExDa'!$B$2:$D$16, 3,FALSE), IFERROR(VLOOKUP($A71,'Exetel ExDa'!$C$2:$N$14, 0,FALSE), IFERROR(VLOOKUP($A71,'Infinet ExDa'!$B$2:$E$14, 0,FALSE), "Not Found"))))))))</f>
        <v>0</v>
      </c>
      <c r="K71">
        <f>IFERROR(VLOOKUP($A71,'AAPT ExDa'!$B$2:$U$99, 12,FALSE), IFERROR(VLOOKUP($A71,'ABB ExDa'!$A$2:$N$184, 0,FALSE), IFERROR(VLOOKUP($A71,'Vocus SIT ExDa'!$B$2:$J$173, 0,FALSE), IFERROR(VLOOKUP($A71,'Telstra ExDa'!$B$2:$K$310, 0,FALSE), IFERROR(VLOOKUP($A71,'Vocus RVC ExDa'!$C$2:$R$155, 0,FALSE), IFERROR(VLOOKUP($A71,'Fusion ExDa'!$B$2:$D$16, 0,FALSE), IFERROR(VLOOKUP($A71,'Exetel ExDa'!$C$2:$N$14, 12,FALSE), IFERROR(VLOOKUP($A71,'Infinet ExDa'!$B$2:$E$14, 0,FALSE), "Not Found"))))))))</f>
        <v>0</v>
      </c>
      <c r="L71" s="235">
        <f>IFERROR(VLOOKUP($A71,'AAPT ExDa'!$B$2:$U$99, 11,FALSE), IFERROR(VLOOKUP($A71,'ABB ExDa'!$A$2:$N$184, 9,FALSE), IFERROR(VLOOKUP($A71,'Vocus SIT ExDa'!$B$2:$J$173, 8,FALSE), IFERROR(VLOOKUP($A71,'Telstra ExDa'!$B$2:$K$310, 0,FALSE), IFERROR(VLOOKUP($A71,'Vocus RVC ExDa'!$C$2:$R$155, 0,FALSE), IFERROR(VLOOKUP($A71,'Fusion ExDa'!$B$2:$D$16, 0,FALSE), IFERROR(VLOOKUP($A71,'Exetel ExDa'!$C$2:$N$14, 9,FALSE), IFERROR(VLOOKUP($A71,'Infinet ExDa'!$B$2:$E$14, 0,FALSE), "Not Found"))))))))</f>
        <v>0</v>
      </c>
      <c r="M71" s="234" t="str">
        <f>IFERROR(VLOOKUP($A71,'AAPT ExDa'!$B$2:$U$99, 0,FALSE), IFERROR(VLOOKUP($A71,'ABB ExDa'!$A$2:$N$184, 0,FALSE), IFERROR(VLOOKUP($A71,'Vocus SIT ExDa'!$B$2:$J$173, 0,FALSE), IFERROR(VLOOKUP($A71,'Telstra ExDa'!$B$2:$K$310, 0,FALSE), IFERROR(VLOOKUP($A71,'Vocus RVC ExDa'!$C$2:$R$155, 0,FALSE), IFERROR(VLOOKUP($A71,'Fusion ExDa'!$B$2:$D$16, 0,FALSE), IFERROR(VLOOKUP($A71,'Exetel ExDa'!$C$2:$N$14, 11,FALSE), IFERROR(VLOOKUP($A71,'Infinet ExDa'!$B$2:$E$14, 0,FALSE), "Not Found"))))))))</f>
        <v>Not Found</v>
      </c>
      <c r="N71" t="str">
        <f>IFERROR(VLOOKUP($A71,'AAPT ExDa'!$B$2:$U$99, 0,FALSE), IFERROR(VLOOKUP($A71,'ABB ExDa'!$A$2:$N$184, 13,FALSE), IFERROR(VLOOKUP($A71,'Vocus SIT ExDa'!$B$2:$J$173, 0,FALSE), IFERROR(VLOOKUP($A71,'Telstra ExDa'!$B$2:$K$310, 0,FALSE), IFERROR(VLOOKUP($A71,'Vocus RVC ExDa'!$C$2:$R$155, 0,FALSE), IFERROR(VLOOKUP($A71,'Fusion ExDa'!$B$2:$D$16, 0,FALSE), IFERROR(VLOOKUP($A71,'Exetel ExDa'!$C$2:$N$14, 0,FALSE), IFERROR(VLOOKUP($A71,'Infinet ExDa'!$B$2:$E$14, 0,FALSE), "Not Found"))))))))</f>
        <v>Not Found</v>
      </c>
    </row>
    <row r="72" spans="1:14">
      <c r="A72" t="str">
        <v>Solar Centre Brisbane</v>
      </c>
      <c r="B72" t="str">
        <f>IFERROR(VLOOKUP(A72,'Exetel ExDa'!$C$2:$N$14,4,FALSE),"No Data")</f>
        <v>No Data</v>
      </c>
      <c r="C72">
        <f>IFERROR(VLOOKUP(A72,'AAPT ExDa'!$B$2:$U$99, 2,FALSE), IFERROR(VLOOKUP(A72,'ABB ExDa'!$A$2:$N$184, 2,FALSE), IFERROR(VLOOKUP(A72,'Vocus SIT ExDa'!$B$2:$J$173, 7,FALSE), IFERROR(VLOOKUP(A72,'Telstra ExDa'!$B$2:$K$310, 2,FALSE), IFERROR(VLOOKUP(A72,'Vocus RVC ExDa'!$C$2:$R$155, 3,FALSE), IFERROR(VLOOKUP(A72,'Fusion ExDa'!$B$2:$D$16, 2,FALSE), IFERROR(VLOOKUP(A72,'Exetel ExDa'!$C$2:$N$14, 2,FALSE), IFERROR(VLOOKUP(A72,'Infinet ExDa'!$B$2:$E$14, 2,FALSE), "Not Found"))))))))</f>
        <v>0</v>
      </c>
      <c r="D72" t="str">
        <f>IFERROR(VLOOKUP($A72,'AAPT ExDa'!$B$2:$U$99, 15,FALSE), IFERROR(VLOOKUP($A72,'ABB ExDa'!$A$2:$N$184, 4,FALSE), IFERROR(VLOOKUP($A72,'Vocus SIT ExDa'!$B$2:$J$173, 5,FALSE), IFERROR(VLOOKUP($A72,'Telstra ExDa'!$B$2:$K$310, 8,FALSE), IFERROR(VLOOKUP($A72,'Vocus RVC ExDa'!$C$2:$R$155, 6,FALSE), IFERROR(VLOOKUP($A72,'Fusion ExDa'!$B$2:$D$16, 4,FALSE), IFERROR(VLOOKUP($A72,'Exetel ExDa'!$C$2:$N$14, 3,FALSE), IFERROR(VLOOKUP($A72,'Infinet ExDa'!$B$2:$E$14, 3,FALSE), "Not Found"))))))))</f>
        <v>AAPT</v>
      </c>
      <c r="E72" t="str">
        <f>IFERROR(VLOOKUP($A72,'AAPT ExDa'!$B$2:$U$99, 3,FALSE), IFERROR(VLOOKUP($A72,'ABB ExDa'!$A$2:$N$184, 5,FALSE), IFERROR(VLOOKUP($A72,'Vocus SIT ExDa'!$B$2:$J$173, 2,FALSE), IFERROR(VLOOKUP($A72,'Telstra ExDa'!$B$2:$K$310, 4,FALSE), IFERROR(VLOOKUP($A72,'Vocus RVC ExDa'!$C$2:$R$155, 8,FALSE), IFERROR(VLOOKUP($A72,'Fusion ExDa'!$B$2:$D$16, 4,FALSE), IFERROR(VLOOKUP($A72,'Exetel ExDa'!$C$2:$N$14, 5,FALSE), IFERROR(VLOOKUP($A72,'Infinet ExDa'!$B$2:$E$14, 3,FALSE), "Not Found"))))))))</f>
        <v>IP-Line</v>
      </c>
      <c r="F72" t="str">
        <f>IFERROR(VLOOKUP($A72,'AAPT ExDa'!$B$2:$U$99, 4,FALSE), IFERROR(VLOOKUP($A72,'ABB ExDa'!$A$2:$N$184, 6,FALSE), IFERROR(VLOOKUP($A72,'Vocus SIT ExDa'!$B$2:$J$173, 3,FALSE), IFERROR(VLOOKUP($A72,'Telstra ExDa'!$B$2:$K$310, 5,FALSE), IFERROR(VLOOKUP($A72,'Vocus RVC ExDa'!$C$2:$R$155, 9,FALSE), IFERROR(VLOOKUP($A72,'Fusion ExDa'!$B$2:$D$16, 0,FALSE), IFERROR(VLOOKUP($A72,'Exetel ExDa'!$C$2:$N$14, 6,FALSE), IFERROR(VLOOKUP($A72,'Infinet ExDa'!$B$2:$E$14, 0,FALSE), "Not Found"))))))))</f>
        <v>IP-Line Link</v>
      </c>
      <c r="G72" t="str">
        <f>IFERROR(VLOOKUP($A72,'AAPT ExDa'!$B$2:$U$99, 5,FALSE), IFERROR(VLOOKUP($A72,'ABB ExDa'!$A$2:$N$184, 8,FALSE), IFERROR(VLOOKUP($A72,'Vocus SIT ExDa'!$B$2:$J$173, 6,FALSE), IFERROR(VLOOKUP($A72,'Telstra ExDa'!$B$2:$K$310, 0,FALSE), IFERROR(VLOOKUP($A72,'Vocus RVC ExDa'!$C$2:$R$155, 15,FALSE), IFERROR(VLOOKUP($A72,'Fusion ExDa'!$B$2:$D$16, 0,FALSE), IFERROR(VLOOKUP($A72,'Exetel ExDa'!$C$2:$N$14, 7,FALSE), IFERROR(VLOOKUP($A72,'Infinet ExDa'!$B$2:$E$14, 0,FALSE), "Not Found"))))))))</f>
        <v>Connecting IP-Line 6023265 to Access 1628046</v>
      </c>
      <c r="H72" t="str">
        <f>IFERROR(VLOOKUP($A72,'AAPT ExDa'!$B$2:$U$99, 6,FALSE), IFERROR(VLOOKUP($A72,'ABB ExDa'!$A$2:$N$184, 0,FALSE), IFERROR(VLOOKUP($A72,'Vocus SIT ExDa'!$B$2:$J$173, 0,FALSE), IFERROR(VLOOKUP($A72,'Telstra ExDa'!$B$2:$K$310, 0,FALSE), IFERROR(VLOOKUP($A72,'Vocus RVC ExDa'!$C$2:$R$155, 16,FALSE), IFERROR(VLOOKUP($A72,'Fusion ExDa'!$B$2:$D$16, 0,FALSE), IFERROR(VLOOKUP($A72,'Exetel ExDa'!$C$2:$N$14, 0,FALSE), IFERROR(VLOOKUP($A72,'Infinet ExDa'!$B$2:$E$14, 0,FALSE), "Not Found"))))))))</f>
        <v>Up to 100/40Mbps; AVC ID:AVC000052706330</v>
      </c>
      <c r="I72" t="str">
        <f>IFERROR(VLOOKUP($A72,'AAPT ExDa'!$B$2:$U$99, 0,FALSE), IFERROR(VLOOKUP($A72,'ABB ExDa'!$A$2:$N$184, 0,FALSE), IFERROR(VLOOKUP($A72,'Vocus SIT ExDa'!$B$2:$J$173, 0,FALSE), IFERROR(VLOOKUP($A72,'Telstra ExDa'!$B$2:$K$310, 0,FALSE), IFERROR(VLOOKUP($A72,'Vocus RVC ExDa'!$C$2:$R$155, 0,FALSE), IFERROR(VLOOKUP($A72,'Fusion ExDa'!$B$2:$D$16, 0,FALSE), IFERROR(VLOOKUP($A72,'Exetel ExDa'!$C$2:$N$14, 8,FALSE), IFERROR(VLOOKUP($A72,'Infinet ExDa'!$B$2:$E$14, 0,FALSE), "Not Found"))))))))</f>
        <v>Not Found</v>
      </c>
      <c r="J72" t="str">
        <f>IFERROR(VLOOKUP($A72,'AAPT ExDa'!$B$2:$U$99, 7,FALSE), IFERROR(VLOOKUP($A72,'ABB ExDa'!$A$2:$N$184, 2,FALSE), IFERROR(VLOOKUP($A72,'Vocus SIT ExDa'!$B$2:$J$173, 0,FALSE), IFERROR(VLOOKUP($A72,'Telstra ExDa'!$B$2:$K$310, 7,FALSE), IFERROR(VLOOKUP($A72,'Vocus RVC ExDa'!$C$2:$R$155, 2,FALSE), IFERROR(VLOOKUP($A72,'Fusion ExDa'!$B$2:$D$16, 3,FALSE), IFERROR(VLOOKUP($A72,'Exetel ExDa'!$C$2:$N$14, 0,FALSE), IFERROR(VLOOKUP($A72,'Infinet ExDa'!$B$2:$E$14, 0,FALSE), "Not Found"))))))))</f>
        <v>AVC000052706330</v>
      </c>
      <c r="K72" t="str">
        <f>IFERROR(VLOOKUP($A72,'AAPT ExDa'!$B$2:$U$99, 12,FALSE), IFERROR(VLOOKUP($A72,'ABB ExDa'!$A$2:$N$184, 0,FALSE), IFERROR(VLOOKUP($A72,'Vocus SIT ExDa'!$B$2:$J$173, 0,FALSE), IFERROR(VLOOKUP($A72,'Telstra ExDa'!$B$2:$K$310, 0,FALSE), IFERROR(VLOOKUP($A72,'Vocus RVC ExDa'!$C$2:$R$155, 0,FALSE), IFERROR(VLOOKUP($A72,'Fusion ExDa'!$B$2:$D$16, 0,FALSE), IFERROR(VLOOKUP($A72,'Exetel ExDa'!$C$2:$N$14, 12,FALSE), IFERROR(VLOOKUP($A72,'Infinet ExDa'!$B$2:$E$14, 0,FALSE), "Not Found"))))))))</f>
        <v>12 Months</v>
      </c>
      <c r="L72" s="235">
        <f>IFERROR(VLOOKUP($A72,'AAPT ExDa'!$B$2:$U$99, 11,FALSE), IFERROR(VLOOKUP($A72,'ABB ExDa'!$A$2:$N$184, 9,FALSE), IFERROR(VLOOKUP($A72,'Vocus SIT ExDa'!$B$2:$J$173, 8,FALSE), IFERROR(VLOOKUP($A72,'Telstra ExDa'!$B$2:$K$310, 0,FALSE), IFERROR(VLOOKUP($A72,'Vocus RVC ExDa'!$C$2:$R$155, 0,FALSE), IFERROR(VLOOKUP($A72,'Fusion ExDa'!$B$2:$D$16, 0,FALSE), IFERROR(VLOOKUP($A72,'Exetel ExDa'!$C$2:$N$14, 9,FALSE), IFERROR(VLOOKUP($A72,'Infinet ExDa'!$B$2:$E$14, 0,FALSE), "Not Found"))))))))</f>
        <v>43314</v>
      </c>
      <c r="M72" s="234" t="str">
        <f>IFERROR(VLOOKUP($A72,'AAPT ExDa'!$B$2:$U$99, 0,FALSE), IFERROR(VLOOKUP($A72,'ABB ExDa'!$A$2:$N$184, 0,FALSE), IFERROR(VLOOKUP($A72,'Vocus SIT ExDa'!$B$2:$J$173, 0,FALSE), IFERROR(VLOOKUP($A72,'Telstra ExDa'!$B$2:$K$310, 0,FALSE), IFERROR(VLOOKUP($A72,'Vocus RVC ExDa'!$C$2:$R$155, 0,FALSE), IFERROR(VLOOKUP($A72,'Fusion ExDa'!$B$2:$D$16, 0,FALSE), IFERROR(VLOOKUP($A72,'Exetel ExDa'!$C$2:$N$14, 11,FALSE), IFERROR(VLOOKUP($A72,'Infinet ExDa'!$B$2:$E$14, 0,FALSE), "Not Found"))))))))</f>
        <v>Not Found</v>
      </c>
      <c r="N72" t="str">
        <f>IFERROR(VLOOKUP($A72,'AAPT ExDa'!$B$2:$U$99, 0,FALSE), IFERROR(VLOOKUP($A72,'ABB ExDa'!$A$2:$N$184, 13,FALSE), IFERROR(VLOOKUP($A72,'Vocus SIT ExDa'!$B$2:$J$173, 0,FALSE), IFERROR(VLOOKUP($A72,'Telstra ExDa'!$B$2:$K$310, 0,FALSE), IFERROR(VLOOKUP($A72,'Vocus RVC ExDa'!$C$2:$R$155, 0,FALSE), IFERROR(VLOOKUP($A72,'Fusion ExDa'!$B$2:$D$16, 0,FALSE), IFERROR(VLOOKUP($A72,'Exetel ExDa'!$C$2:$N$14, 0,FALSE), IFERROR(VLOOKUP($A72,'Infinet ExDa'!$B$2:$E$14, 0,FALSE), "Not Found"))))))))</f>
        <v>Not Found</v>
      </c>
    </row>
    <row r="73" spans="1:14">
      <c r="A73" t="str">
        <v>Sparrow Group Management</v>
      </c>
      <c r="B73" t="str">
        <f>IFERROR(VLOOKUP(A73,'Exetel ExDa'!$C$2:$N$14,4,FALSE),"No Data")</f>
        <v>No Data</v>
      </c>
      <c r="C73" t="str">
        <f>IFERROR(VLOOKUP(A73,'AAPT ExDa'!$B$2:$U$99, 2,FALSE), IFERROR(VLOOKUP(A73,'ABB ExDa'!$A$2:$N$184, 2,FALSE), IFERROR(VLOOKUP(A73,'Vocus SIT ExDa'!$B$2:$J$173, 7,FALSE), IFERROR(VLOOKUP(A73,'Telstra ExDa'!$B$2:$K$310, 2,FALSE), IFERROR(VLOOKUP(A73,'Vocus RVC ExDa'!$C$2:$R$155, 3,FALSE), IFERROR(VLOOKUP(A73,'Fusion ExDa'!$B$2:$D$16, 2,FALSE), IFERROR(VLOOKUP(A73,'Exetel ExDa'!$C$2:$N$14, 2,FALSE), IFERROR(VLOOKUP(A73,'Infinet ExDa'!$B$2:$E$14, 2,FALSE), "Not Found"))))))))</f>
        <v>Murarrie</v>
      </c>
      <c r="D73" t="str">
        <f>IFERROR(VLOOKUP($A73,'AAPT ExDa'!$B$2:$U$99, 15,FALSE), IFERROR(VLOOKUP($A73,'ABB ExDa'!$A$2:$N$184, 4,FALSE), IFERROR(VLOOKUP($A73,'Vocus SIT ExDa'!$B$2:$J$173, 5,FALSE), IFERROR(VLOOKUP($A73,'Telstra ExDa'!$B$2:$K$310, 8,FALSE), IFERROR(VLOOKUP($A73,'Vocus RVC ExDa'!$C$2:$R$155, 6,FALSE), IFERROR(VLOOKUP($A73,'Fusion ExDa'!$B$2:$D$16, 4,FALSE), IFERROR(VLOOKUP($A73,'Exetel ExDa'!$C$2:$N$14, 3,FALSE), IFERROR(VLOOKUP($A73,'Infinet ExDa'!$B$2:$E$14, 3,FALSE), "Not Found"))))))))</f>
        <v>AAPT</v>
      </c>
      <c r="E73" t="str">
        <f>IFERROR(VLOOKUP($A73,'AAPT ExDa'!$B$2:$U$99, 3,FALSE), IFERROR(VLOOKUP($A73,'ABB ExDa'!$A$2:$N$184, 5,FALSE), IFERROR(VLOOKUP($A73,'Vocus SIT ExDa'!$B$2:$J$173, 2,FALSE), IFERROR(VLOOKUP($A73,'Telstra ExDa'!$B$2:$K$310, 4,FALSE), IFERROR(VLOOKUP($A73,'Vocus RVC ExDa'!$C$2:$R$155, 8,FALSE), IFERROR(VLOOKUP($A73,'Fusion ExDa'!$B$2:$D$16, 4,FALSE), IFERROR(VLOOKUP($A73,'Exetel ExDa'!$C$2:$N$14, 5,FALSE), IFERROR(VLOOKUP($A73,'Infinet ExDa'!$B$2:$E$14, 3,FALSE), "Not Found"))))))))</f>
        <v>IP-Line</v>
      </c>
      <c r="F73" t="str">
        <f>IFERROR(VLOOKUP($A73,'AAPT ExDa'!$B$2:$U$99, 4,FALSE), IFERROR(VLOOKUP($A73,'ABB ExDa'!$A$2:$N$184, 6,FALSE), IFERROR(VLOOKUP($A73,'Vocus SIT ExDa'!$B$2:$J$173, 3,FALSE), IFERROR(VLOOKUP($A73,'Telstra ExDa'!$B$2:$K$310, 5,FALSE), IFERROR(VLOOKUP($A73,'Vocus RVC ExDa'!$C$2:$R$155, 9,FALSE), IFERROR(VLOOKUP($A73,'Fusion ExDa'!$B$2:$D$16, 0,FALSE), IFERROR(VLOOKUP($A73,'Exetel ExDa'!$C$2:$N$14, 6,FALSE), IFERROR(VLOOKUP($A73,'Infinet ExDa'!$B$2:$E$14, 0,FALSE), "Not Found"))))))))</f>
        <v>IP-Line</v>
      </c>
      <c r="G73">
        <f>IFERROR(VLOOKUP($A73,'AAPT ExDa'!$B$2:$U$99, 5,FALSE), IFERROR(VLOOKUP($A73,'ABB ExDa'!$A$2:$N$184, 8,FALSE), IFERROR(VLOOKUP($A73,'Vocus SIT ExDa'!$B$2:$J$173, 6,FALSE), IFERROR(VLOOKUP($A73,'Telstra ExDa'!$B$2:$K$310, 0,FALSE), IFERROR(VLOOKUP($A73,'Vocus RVC ExDa'!$C$2:$R$155, 15,FALSE), IFERROR(VLOOKUP($A73,'Fusion ExDa'!$B$2:$D$16, 0,FALSE), IFERROR(VLOOKUP($A73,'Exetel ExDa'!$C$2:$N$14, 7,FALSE), IFERROR(VLOOKUP($A73,'Infinet ExDa'!$B$2:$E$14, 0,FALSE), "Not Found"))))))))</f>
        <v>0</v>
      </c>
      <c r="H73">
        <f>IFERROR(VLOOKUP($A73,'AAPT ExDa'!$B$2:$U$99, 6,FALSE), IFERROR(VLOOKUP($A73,'ABB ExDa'!$A$2:$N$184, 0,FALSE), IFERROR(VLOOKUP($A73,'Vocus SIT ExDa'!$B$2:$J$173, 0,FALSE), IFERROR(VLOOKUP($A73,'Telstra ExDa'!$B$2:$K$310, 0,FALSE), IFERROR(VLOOKUP($A73,'Vocus RVC ExDa'!$C$2:$R$155, 16,FALSE), IFERROR(VLOOKUP($A73,'Fusion ExDa'!$B$2:$D$16, 0,FALSE), IFERROR(VLOOKUP($A73,'Exetel ExDa'!$C$2:$N$14, 0,FALSE), IFERROR(VLOOKUP($A73,'Infinet ExDa'!$B$2:$E$14, 0,FALSE), "Not Found"))))))))</f>
        <v>0</v>
      </c>
      <c r="I73" t="str">
        <f>IFERROR(VLOOKUP($A73,'AAPT ExDa'!$B$2:$U$99, 0,FALSE), IFERROR(VLOOKUP($A73,'ABB ExDa'!$A$2:$N$184, 0,FALSE), IFERROR(VLOOKUP($A73,'Vocus SIT ExDa'!$B$2:$J$173, 0,FALSE), IFERROR(VLOOKUP($A73,'Telstra ExDa'!$B$2:$K$310, 0,FALSE), IFERROR(VLOOKUP($A73,'Vocus RVC ExDa'!$C$2:$R$155, 0,FALSE), IFERROR(VLOOKUP($A73,'Fusion ExDa'!$B$2:$D$16, 0,FALSE), IFERROR(VLOOKUP($A73,'Exetel ExDa'!$C$2:$N$14, 8,FALSE), IFERROR(VLOOKUP($A73,'Infinet ExDa'!$B$2:$E$14, 0,FALSE), "Not Found"))))))))</f>
        <v>Not Found</v>
      </c>
      <c r="J73">
        <f>IFERROR(VLOOKUP($A73,'AAPT ExDa'!$B$2:$U$99, 7,FALSE), IFERROR(VLOOKUP($A73,'ABB ExDa'!$A$2:$N$184, 2,FALSE), IFERROR(VLOOKUP($A73,'Vocus SIT ExDa'!$B$2:$J$173, 0,FALSE), IFERROR(VLOOKUP($A73,'Telstra ExDa'!$B$2:$K$310, 7,FALSE), IFERROR(VLOOKUP($A73,'Vocus RVC ExDa'!$C$2:$R$155, 2,FALSE), IFERROR(VLOOKUP($A73,'Fusion ExDa'!$B$2:$D$16, 3,FALSE), IFERROR(VLOOKUP($A73,'Exetel ExDa'!$C$2:$N$14, 0,FALSE), IFERROR(VLOOKUP($A73,'Infinet ExDa'!$B$2:$E$14, 0,FALSE), "Not Found"))))))))</f>
        <v>0</v>
      </c>
      <c r="K73" t="str">
        <f>IFERROR(VLOOKUP($A73,'AAPT ExDa'!$B$2:$U$99, 12,FALSE), IFERROR(VLOOKUP($A73,'ABB ExDa'!$A$2:$N$184, 0,FALSE), IFERROR(VLOOKUP($A73,'Vocus SIT ExDa'!$B$2:$J$173, 0,FALSE), IFERROR(VLOOKUP($A73,'Telstra ExDa'!$B$2:$K$310, 0,FALSE), IFERROR(VLOOKUP($A73,'Vocus RVC ExDa'!$C$2:$R$155, 0,FALSE), IFERROR(VLOOKUP($A73,'Fusion ExDa'!$B$2:$D$16, 0,FALSE), IFERROR(VLOOKUP($A73,'Exetel ExDa'!$C$2:$N$14, 12,FALSE), IFERROR(VLOOKUP($A73,'Infinet ExDa'!$B$2:$E$14, 0,FALSE), "Not Found"))))))))</f>
        <v>36 Months</v>
      </c>
      <c r="L73" s="235" t="str">
        <f>IFERROR(VLOOKUP($A73,'AAPT ExDa'!$B$2:$U$99, 11,FALSE), IFERROR(VLOOKUP($A73,'ABB ExDa'!$A$2:$N$184, 9,FALSE), IFERROR(VLOOKUP($A73,'Vocus SIT ExDa'!$B$2:$J$173, 8,FALSE), IFERROR(VLOOKUP($A73,'Telstra ExDa'!$B$2:$K$310, 0,FALSE), IFERROR(VLOOKUP($A73,'Vocus RVC ExDa'!$C$2:$R$155, 0,FALSE), IFERROR(VLOOKUP($A73,'Fusion ExDa'!$B$2:$D$16, 0,FALSE), IFERROR(VLOOKUP($A73,'Exetel ExDa'!$C$2:$N$14, 9,FALSE), IFERROR(VLOOKUP($A73,'Infinet ExDa'!$B$2:$E$14, 0,FALSE), "Not Found"))))))))</f>
        <v>18/12/2024</v>
      </c>
      <c r="M73" s="234" t="str">
        <f>IFERROR(VLOOKUP($A73,'AAPT ExDa'!$B$2:$U$99, 0,FALSE), IFERROR(VLOOKUP($A73,'ABB ExDa'!$A$2:$N$184, 0,FALSE), IFERROR(VLOOKUP($A73,'Vocus SIT ExDa'!$B$2:$J$173, 0,FALSE), IFERROR(VLOOKUP($A73,'Telstra ExDa'!$B$2:$K$310, 0,FALSE), IFERROR(VLOOKUP($A73,'Vocus RVC ExDa'!$C$2:$R$155, 0,FALSE), IFERROR(VLOOKUP($A73,'Fusion ExDa'!$B$2:$D$16, 0,FALSE), IFERROR(VLOOKUP($A73,'Exetel ExDa'!$C$2:$N$14, 11,FALSE), IFERROR(VLOOKUP($A73,'Infinet ExDa'!$B$2:$E$14, 0,FALSE), "Not Found"))))))))</f>
        <v>Not Found</v>
      </c>
      <c r="N73" t="str">
        <f>IFERROR(VLOOKUP($A73,'AAPT ExDa'!$B$2:$U$99, 0,FALSE), IFERROR(VLOOKUP($A73,'ABB ExDa'!$A$2:$N$184, 13,FALSE), IFERROR(VLOOKUP($A73,'Vocus SIT ExDa'!$B$2:$J$173, 0,FALSE), IFERROR(VLOOKUP($A73,'Telstra ExDa'!$B$2:$K$310, 0,FALSE), IFERROR(VLOOKUP($A73,'Vocus RVC ExDa'!$C$2:$R$155, 0,FALSE), IFERROR(VLOOKUP($A73,'Fusion ExDa'!$B$2:$D$16, 0,FALSE), IFERROR(VLOOKUP($A73,'Exetel ExDa'!$C$2:$N$14, 0,FALSE), IFERROR(VLOOKUP($A73,'Infinet ExDa'!$B$2:$E$14, 0,FALSE), "Not Found"))))))))</f>
        <v>Not Found</v>
      </c>
    </row>
    <row r="74" spans="1:14">
      <c r="A74" t="str">
        <v>Sparrow Group Management</v>
      </c>
      <c r="B74" t="str">
        <f>IFERROR(VLOOKUP(A74,'Exetel ExDa'!$C$2:$N$14,4,FALSE),"No Data")</f>
        <v>No Data</v>
      </c>
      <c r="C74" t="str">
        <f>IFERROR(VLOOKUP(A74,'AAPT ExDa'!$B$2:$U$99, 2,FALSE), IFERROR(VLOOKUP(A74,'ABB ExDa'!$A$2:$N$184, 2,FALSE), IFERROR(VLOOKUP(A74,'Vocus SIT ExDa'!$B$2:$J$173, 7,FALSE), IFERROR(VLOOKUP(A74,'Telstra ExDa'!$B$2:$K$310, 2,FALSE), IFERROR(VLOOKUP(A74,'Vocus RVC ExDa'!$C$2:$R$155, 3,FALSE), IFERROR(VLOOKUP(A74,'Fusion ExDa'!$B$2:$D$16, 2,FALSE), IFERROR(VLOOKUP(A74,'Exetel ExDa'!$C$2:$N$14, 2,FALSE), IFERROR(VLOOKUP(A74,'Infinet ExDa'!$B$2:$E$14, 2,FALSE), "Not Found"))))))))</f>
        <v>Murarrie</v>
      </c>
      <c r="D74" t="str">
        <f>IFERROR(VLOOKUP($A74,'AAPT ExDa'!$B$2:$U$99, 15,FALSE), IFERROR(VLOOKUP($A74,'ABB ExDa'!$A$2:$N$184, 4,FALSE), IFERROR(VLOOKUP($A74,'Vocus SIT ExDa'!$B$2:$J$173, 5,FALSE), IFERROR(VLOOKUP($A74,'Telstra ExDa'!$B$2:$K$310, 8,FALSE), IFERROR(VLOOKUP($A74,'Vocus RVC ExDa'!$C$2:$R$155, 6,FALSE), IFERROR(VLOOKUP($A74,'Fusion ExDa'!$B$2:$D$16, 4,FALSE), IFERROR(VLOOKUP($A74,'Exetel ExDa'!$C$2:$N$14, 3,FALSE), IFERROR(VLOOKUP($A74,'Infinet ExDa'!$B$2:$E$14, 3,FALSE), "Not Found"))))))))</f>
        <v>AAPT</v>
      </c>
      <c r="E74" t="str">
        <f>IFERROR(VLOOKUP($A74,'AAPT ExDa'!$B$2:$U$99, 3,FALSE), IFERROR(VLOOKUP($A74,'ABB ExDa'!$A$2:$N$184, 5,FALSE), IFERROR(VLOOKUP($A74,'Vocus SIT ExDa'!$B$2:$J$173, 2,FALSE), IFERROR(VLOOKUP($A74,'Telstra ExDa'!$B$2:$K$310, 4,FALSE), IFERROR(VLOOKUP($A74,'Vocus RVC ExDa'!$C$2:$R$155, 8,FALSE), IFERROR(VLOOKUP($A74,'Fusion ExDa'!$B$2:$D$16, 4,FALSE), IFERROR(VLOOKUP($A74,'Exetel ExDa'!$C$2:$N$14, 5,FALSE), IFERROR(VLOOKUP($A74,'Infinet ExDa'!$B$2:$E$14, 3,FALSE), "Not Found"))))))))</f>
        <v>IP-Line</v>
      </c>
      <c r="F74" t="str">
        <f>IFERROR(VLOOKUP($A74,'AAPT ExDa'!$B$2:$U$99, 4,FALSE), IFERROR(VLOOKUP($A74,'ABB ExDa'!$A$2:$N$184, 6,FALSE), IFERROR(VLOOKUP($A74,'Vocus SIT ExDa'!$B$2:$J$173, 3,FALSE), IFERROR(VLOOKUP($A74,'Telstra ExDa'!$B$2:$K$310, 5,FALSE), IFERROR(VLOOKUP($A74,'Vocus RVC ExDa'!$C$2:$R$155, 9,FALSE), IFERROR(VLOOKUP($A74,'Fusion ExDa'!$B$2:$D$16, 0,FALSE), IFERROR(VLOOKUP($A74,'Exetel ExDa'!$C$2:$N$14, 6,FALSE), IFERROR(VLOOKUP($A74,'Infinet ExDa'!$B$2:$E$14, 0,FALSE), "Not Found"))))))))</f>
        <v>IP-Line</v>
      </c>
      <c r="G74">
        <f>IFERROR(VLOOKUP($A74,'AAPT ExDa'!$B$2:$U$99, 5,FALSE), IFERROR(VLOOKUP($A74,'ABB ExDa'!$A$2:$N$184, 8,FALSE), IFERROR(VLOOKUP($A74,'Vocus SIT ExDa'!$B$2:$J$173, 6,FALSE), IFERROR(VLOOKUP($A74,'Telstra ExDa'!$B$2:$K$310, 0,FALSE), IFERROR(VLOOKUP($A74,'Vocus RVC ExDa'!$C$2:$R$155, 15,FALSE), IFERROR(VLOOKUP($A74,'Fusion ExDa'!$B$2:$D$16, 0,FALSE), IFERROR(VLOOKUP($A74,'Exetel ExDa'!$C$2:$N$14, 7,FALSE), IFERROR(VLOOKUP($A74,'Infinet ExDa'!$B$2:$E$14, 0,FALSE), "Not Found"))))))))</f>
        <v>0</v>
      </c>
      <c r="H74">
        <f>IFERROR(VLOOKUP($A74,'AAPT ExDa'!$B$2:$U$99, 6,FALSE), IFERROR(VLOOKUP($A74,'ABB ExDa'!$A$2:$N$184, 0,FALSE), IFERROR(VLOOKUP($A74,'Vocus SIT ExDa'!$B$2:$J$173, 0,FALSE), IFERROR(VLOOKUP($A74,'Telstra ExDa'!$B$2:$K$310, 0,FALSE), IFERROR(VLOOKUP($A74,'Vocus RVC ExDa'!$C$2:$R$155, 16,FALSE), IFERROR(VLOOKUP($A74,'Fusion ExDa'!$B$2:$D$16, 0,FALSE), IFERROR(VLOOKUP($A74,'Exetel ExDa'!$C$2:$N$14, 0,FALSE), IFERROR(VLOOKUP($A74,'Infinet ExDa'!$B$2:$E$14, 0,FALSE), "Not Found"))))))))</f>
        <v>0</v>
      </c>
      <c r="I74" t="str">
        <f>IFERROR(VLOOKUP($A74,'AAPT ExDa'!$B$2:$U$99, 0,FALSE), IFERROR(VLOOKUP($A74,'ABB ExDa'!$A$2:$N$184, 0,FALSE), IFERROR(VLOOKUP($A74,'Vocus SIT ExDa'!$B$2:$J$173, 0,FALSE), IFERROR(VLOOKUP($A74,'Telstra ExDa'!$B$2:$K$310, 0,FALSE), IFERROR(VLOOKUP($A74,'Vocus RVC ExDa'!$C$2:$R$155, 0,FALSE), IFERROR(VLOOKUP($A74,'Fusion ExDa'!$B$2:$D$16, 0,FALSE), IFERROR(VLOOKUP($A74,'Exetel ExDa'!$C$2:$N$14, 8,FALSE), IFERROR(VLOOKUP($A74,'Infinet ExDa'!$B$2:$E$14, 0,FALSE), "Not Found"))))))))</f>
        <v>Not Found</v>
      </c>
      <c r="J74">
        <f>IFERROR(VLOOKUP($A74,'AAPT ExDa'!$B$2:$U$99, 7,FALSE), IFERROR(VLOOKUP($A74,'ABB ExDa'!$A$2:$N$184, 2,FALSE), IFERROR(VLOOKUP($A74,'Vocus SIT ExDa'!$B$2:$J$173, 0,FALSE), IFERROR(VLOOKUP($A74,'Telstra ExDa'!$B$2:$K$310, 7,FALSE), IFERROR(VLOOKUP($A74,'Vocus RVC ExDa'!$C$2:$R$155, 2,FALSE), IFERROR(VLOOKUP($A74,'Fusion ExDa'!$B$2:$D$16, 3,FALSE), IFERROR(VLOOKUP($A74,'Exetel ExDa'!$C$2:$N$14, 0,FALSE), IFERROR(VLOOKUP($A74,'Infinet ExDa'!$B$2:$E$14, 0,FALSE), "Not Found"))))))))</f>
        <v>0</v>
      </c>
      <c r="K74" t="str">
        <f>IFERROR(VLOOKUP($A74,'AAPT ExDa'!$B$2:$U$99, 12,FALSE), IFERROR(VLOOKUP($A74,'ABB ExDa'!$A$2:$N$184, 0,FALSE), IFERROR(VLOOKUP($A74,'Vocus SIT ExDa'!$B$2:$J$173, 0,FALSE), IFERROR(VLOOKUP($A74,'Telstra ExDa'!$B$2:$K$310, 0,FALSE), IFERROR(VLOOKUP($A74,'Vocus RVC ExDa'!$C$2:$R$155, 0,FALSE), IFERROR(VLOOKUP($A74,'Fusion ExDa'!$B$2:$D$16, 0,FALSE), IFERROR(VLOOKUP($A74,'Exetel ExDa'!$C$2:$N$14, 12,FALSE), IFERROR(VLOOKUP($A74,'Infinet ExDa'!$B$2:$E$14, 0,FALSE), "Not Found"))))))))</f>
        <v>36 Months</v>
      </c>
      <c r="L74" s="235" t="str">
        <f>IFERROR(VLOOKUP($A74,'AAPT ExDa'!$B$2:$U$99, 11,FALSE), IFERROR(VLOOKUP($A74,'ABB ExDa'!$A$2:$N$184, 9,FALSE), IFERROR(VLOOKUP($A74,'Vocus SIT ExDa'!$B$2:$J$173, 8,FALSE), IFERROR(VLOOKUP($A74,'Telstra ExDa'!$B$2:$K$310, 0,FALSE), IFERROR(VLOOKUP($A74,'Vocus RVC ExDa'!$C$2:$R$155, 0,FALSE), IFERROR(VLOOKUP($A74,'Fusion ExDa'!$B$2:$D$16, 0,FALSE), IFERROR(VLOOKUP($A74,'Exetel ExDa'!$C$2:$N$14, 9,FALSE), IFERROR(VLOOKUP($A74,'Infinet ExDa'!$B$2:$E$14, 0,FALSE), "Not Found"))))))))</f>
        <v>18/12/2024</v>
      </c>
      <c r="M74" s="234" t="str">
        <f>IFERROR(VLOOKUP($A74,'AAPT ExDa'!$B$2:$U$99, 0,FALSE), IFERROR(VLOOKUP($A74,'ABB ExDa'!$A$2:$N$184, 0,FALSE), IFERROR(VLOOKUP($A74,'Vocus SIT ExDa'!$B$2:$J$173, 0,FALSE), IFERROR(VLOOKUP($A74,'Telstra ExDa'!$B$2:$K$310, 0,FALSE), IFERROR(VLOOKUP($A74,'Vocus RVC ExDa'!$C$2:$R$155, 0,FALSE), IFERROR(VLOOKUP($A74,'Fusion ExDa'!$B$2:$D$16, 0,FALSE), IFERROR(VLOOKUP($A74,'Exetel ExDa'!$C$2:$N$14, 11,FALSE), IFERROR(VLOOKUP($A74,'Infinet ExDa'!$B$2:$E$14, 0,FALSE), "Not Found"))))))))</f>
        <v>Not Found</v>
      </c>
      <c r="N74" t="str">
        <f>IFERROR(VLOOKUP($A74,'AAPT ExDa'!$B$2:$U$99, 0,FALSE), IFERROR(VLOOKUP($A74,'ABB ExDa'!$A$2:$N$184, 13,FALSE), IFERROR(VLOOKUP($A74,'Vocus SIT ExDa'!$B$2:$J$173, 0,FALSE), IFERROR(VLOOKUP($A74,'Telstra ExDa'!$B$2:$K$310, 0,FALSE), IFERROR(VLOOKUP($A74,'Vocus RVC ExDa'!$C$2:$R$155, 0,FALSE), IFERROR(VLOOKUP($A74,'Fusion ExDa'!$B$2:$D$16, 0,FALSE), IFERROR(VLOOKUP($A74,'Exetel ExDa'!$C$2:$N$14, 0,FALSE), IFERROR(VLOOKUP($A74,'Infinet ExDa'!$B$2:$E$14, 0,FALSE), "Not Found"))))))))</f>
        <v>Not Found</v>
      </c>
    </row>
    <row r="75" spans="1:14">
      <c r="A75" t="str">
        <v>Sparrow Group Management</v>
      </c>
      <c r="B75" t="str">
        <f>IFERROR(VLOOKUP(A75,'Exetel ExDa'!$C$2:$N$14,4,FALSE),"No Data")</f>
        <v>No Data</v>
      </c>
      <c r="C75" t="str">
        <f>IFERROR(VLOOKUP(A75,'AAPT ExDa'!$B$2:$U$99, 2,FALSE), IFERROR(VLOOKUP(A75,'ABB ExDa'!$A$2:$N$184, 2,FALSE), IFERROR(VLOOKUP(A75,'Vocus SIT ExDa'!$B$2:$J$173, 7,FALSE), IFERROR(VLOOKUP(A75,'Telstra ExDa'!$B$2:$K$310, 2,FALSE), IFERROR(VLOOKUP(A75,'Vocus RVC ExDa'!$C$2:$R$155, 3,FALSE), IFERROR(VLOOKUP(A75,'Fusion ExDa'!$B$2:$D$16, 2,FALSE), IFERROR(VLOOKUP(A75,'Exetel ExDa'!$C$2:$N$14, 2,FALSE), IFERROR(VLOOKUP(A75,'Infinet ExDa'!$B$2:$E$14, 2,FALSE), "Not Found"))))))))</f>
        <v>Murarrie</v>
      </c>
      <c r="D75" t="str">
        <f>IFERROR(VLOOKUP($A75,'AAPT ExDa'!$B$2:$U$99, 15,FALSE), IFERROR(VLOOKUP($A75,'ABB ExDa'!$A$2:$N$184, 4,FALSE), IFERROR(VLOOKUP($A75,'Vocus SIT ExDa'!$B$2:$J$173, 5,FALSE), IFERROR(VLOOKUP($A75,'Telstra ExDa'!$B$2:$K$310, 8,FALSE), IFERROR(VLOOKUP($A75,'Vocus RVC ExDa'!$C$2:$R$155, 6,FALSE), IFERROR(VLOOKUP($A75,'Fusion ExDa'!$B$2:$D$16, 4,FALSE), IFERROR(VLOOKUP($A75,'Exetel ExDa'!$C$2:$N$14, 3,FALSE), IFERROR(VLOOKUP($A75,'Infinet ExDa'!$B$2:$E$14, 3,FALSE), "Not Found"))))))))</f>
        <v>AAPT</v>
      </c>
      <c r="E75" t="str">
        <f>IFERROR(VLOOKUP($A75,'AAPT ExDa'!$B$2:$U$99, 3,FALSE), IFERROR(VLOOKUP($A75,'ABB ExDa'!$A$2:$N$184, 5,FALSE), IFERROR(VLOOKUP($A75,'Vocus SIT ExDa'!$B$2:$J$173, 2,FALSE), IFERROR(VLOOKUP($A75,'Telstra ExDa'!$B$2:$K$310, 4,FALSE), IFERROR(VLOOKUP($A75,'Vocus RVC ExDa'!$C$2:$R$155, 8,FALSE), IFERROR(VLOOKUP($A75,'Fusion ExDa'!$B$2:$D$16, 4,FALSE), IFERROR(VLOOKUP($A75,'Exetel ExDa'!$C$2:$N$14, 5,FALSE), IFERROR(VLOOKUP($A75,'Infinet ExDa'!$B$2:$E$14, 3,FALSE), "Not Found"))))))))</f>
        <v>IP-Line</v>
      </c>
      <c r="F75" t="str">
        <f>IFERROR(VLOOKUP($A75,'AAPT ExDa'!$B$2:$U$99, 4,FALSE), IFERROR(VLOOKUP($A75,'ABB ExDa'!$A$2:$N$184, 6,FALSE), IFERROR(VLOOKUP($A75,'Vocus SIT ExDa'!$B$2:$J$173, 3,FALSE), IFERROR(VLOOKUP($A75,'Telstra ExDa'!$B$2:$K$310, 5,FALSE), IFERROR(VLOOKUP($A75,'Vocus RVC ExDa'!$C$2:$R$155, 9,FALSE), IFERROR(VLOOKUP($A75,'Fusion ExDa'!$B$2:$D$16, 0,FALSE), IFERROR(VLOOKUP($A75,'Exetel ExDa'!$C$2:$N$14, 6,FALSE), IFERROR(VLOOKUP($A75,'Infinet ExDa'!$B$2:$E$14, 0,FALSE), "Not Found"))))))))</f>
        <v>IP-Line</v>
      </c>
      <c r="G75">
        <f>IFERROR(VLOOKUP($A75,'AAPT ExDa'!$B$2:$U$99, 5,FALSE), IFERROR(VLOOKUP($A75,'ABB ExDa'!$A$2:$N$184, 8,FALSE), IFERROR(VLOOKUP($A75,'Vocus SIT ExDa'!$B$2:$J$173, 6,FALSE), IFERROR(VLOOKUP($A75,'Telstra ExDa'!$B$2:$K$310, 0,FALSE), IFERROR(VLOOKUP($A75,'Vocus RVC ExDa'!$C$2:$R$155, 15,FALSE), IFERROR(VLOOKUP($A75,'Fusion ExDa'!$B$2:$D$16, 0,FALSE), IFERROR(VLOOKUP($A75,'Exetel ExDa'!$C$2:$N$14, 7,FALSE), IFERROR(VLOOKUP($A75,'Infinet ExDa'!$B$2:$E$14, 0,FALSE), "Not Found"))))))))</f>
        <v>0</v>
      </c>
      <c r="H75">
        <f>IFERROR(VLOOKUP($A75,'AAPT ExDa'!$B$2:$U$99, 6,FALSE), IFERROR(VLOOKUP($A75,'ABB ExDa'!$A$2:$N$184, 0,FALSE), IFERROR(VLOOKUP($A75,'Vocus SIT ExDa'!$B$2:$J$173, 0,FALSE), IFERROR(VLOOKUP($A75,'Telstra ExDa'!$B$2:$K$310, 0,FALSE), IFERROR(VLOOKUP($A75,'Vocus RVC ExDa'!$C$2:$R$155, 16,FALSE), IFERROR(VLOOKUP($A75,'Fusion ExDa'!$B$2:$D$16, 0,FALSE), IFERROR(VLOOKUP($A75,'Exetel ExDa'!$C$2:$N$14, 0,FALSE), IFERROR(VLOOKUP($A75,'Infinet ExDa'!$B$2:$E$14, 0,FALSE), "Not Found"))))))))</f>
        <v>0</v>
      </c>
      <c r="I75" t="str">
        <f>IFERROR(VLOOKUP($A75,'AAPT ExDa'!$B$2:$U$99, 0,FALSE), IFERROR(VLOOKUP($A75,'ABB ExDa'!$A$2:$N$184, 0,FALSE), IFERROR(VLOOKUP($A75,'Vocus SIT ExDa'!$B$2:$J$173, 0,FALSE), IFERROR(VLOOKUP($A75,'Telstra ExDa'!$B$2:$K$310, 0,FALSE), IFERROR(VLOOKUP($A75,'Vocus RVC ExDa'!$C$2:$R$155, 0,FALSE), IFERROR(VLOOKUP($A75,'Fusion ExDa'!$B$2:$D$16, 0,FALSE), IFERROR(VLOOKUP($A75,'Exetel ExDa'!$C$2:$N$14, 8,FALSE), IFERROR(VLOOKUP($A75,'Infinet ExDa'!$B$2:$E$14, 0,FALSE), "Not Found"))))))))</f>
        <v>Not Found</v>
      </c>
      <c r="J75">
        <f>IFERROR(VLOOKUP($A75,'AAPT ExDa'!$B$2:$U$99, 7,FALSE), IFERROR(VLOOKUP($A75,'ABB ExDa'!$A$2:$N$184, 2,FALSE), IFERROR(VLOOKUP($A75,'Vocus SIT ExDa'!$B$2:$J$173, 0,FALSE), IFERROR(VLOOKUP($A75,'Telstra ExDa'!$B$2:$K$310, 7,FALSE), IFERROR(VLOOKUP($A75,'Vocus RVC ExDa'!$C$2:$R$155, 2,FALSE), IFERROR(VLOOKUP($A75,'Fusion ExDa'!$B$2:$D$16, 3,FALSE), IFERROR(VLOOKUP($A75,'Exetel ExDa'!$C$2:$N$14, 0,FALSE), IFERROR(VLOOKUP($A75,'Infinet ExDa'!$B$2:$E$14, 0,FALSE), "Not Found"))))))))</f>
        <v>0</v>
      </c>
      <c r="K75" t="str">
        <f>IFERROR(VLOOKUP($A75,'AAPT ExDa'!$B$2:$U$99, 12,FALSE), IFERROR(VLOOKUP($A75,'ABB ExDa'!$A$2:$N$184, 0,FALSE), IFERROR(VLOOKUP($A75,'Vocus SIT ExDa'!$B$2:$J$173, 0,FALSE), IFERROR(VLOOKUP($A75,'Telstra ExDa'!$B$2:$K$310, 0,FALSE), IFERROR(VLOOKUP($A75,'Vocus RVC ExDa'!$C$2:$R$155, 0,FALSE), IFERROR(VLOOKUP($A75,'Fusion ExDa'!$B$2:$D$16, 0,FALSE), IFERROR(VLOOKUP($A75,'Exetel ExDa'!$C$2:$N$14, 12,FALSE), IFERROR(VLOOKUP($A75,'Infinet ExDa'!$B$2:$E$14, 0,FALSE), "Not Found"))))))))</f>
        <v>36 Months</v>
      </c>
      <c r="L75" s="235" t="str">
        <f>IFERROR(VLOOKUP($A75,'AAPT ExDa'!$B$2:$U$99, 11,FALSE), IFERROR(VLOOKUP($A75,'ABB ExDa'!$A$2:$N$184, 9,FALSE), IFERROR(VLOOKUP($A75,'Vocus SIT ExDa'!$B$2:$J$173, 8,FALSE), IFERROR(VLOOKUP($A75,'Telstra ExDa'!$B$2:$K$310, 0,FALSE), IFERROR(VLOOKUP($A75,'Vocus RVC ExDa'!$C$2:$R$155, 0,FALSE), IFERROR(VLOOKUP($A75,'Fusion ExDa'!$B$2:$D$16, 0,FALSE), IFERROR(VLOOKUP($A75,'Exetel ExDa'!$C$2:$N$14, 9,FALSE), IFERROR(VLOOKUP($A75,'Infinet ExDa'!$B$2:$E$14, 0,FALSE), "Not Found"))))))))</f>
        <v>18/12/2024</v>
      </c>
      <c r="M75" s="234" t="str">
        <f>IFERROR(VLOOKUP($A75,'AAPT ExDa'!$B$2:$U$99, 0,FALSE), IFERROR(VLOOKUP($A75,'ABB ExDa'!$A$2:$N$184, 0,FALSE), IFERROR(VLOOKUP($A75,'Vocus SIT ExDa'!$B$2:$J$173, 0,FALSE), IFERROR(VLOOKUP($A75,'Telstra ExDa'!$B$2:$K$310, 0,FALSE), IFERROR(VLOOKUP($A75,'Vocus RVC ExDa'!$C$2:$R$155, 0,FALSE), IFERROR(VLOOKUP($A75,'Fusion ExDa'!$B$2:$D$16, 0,FALSE), IFERROR(VLOOKUP($A75,'Exetel ExDa'!$C$2:$N$14, 11,FALSE), IFERROR(VLOOKUP($A75,'Infinet ExDa'!$B$2:$E$14, 0,FALSE), "Not Found"))))))))</f>
        <v>Not Found</v>
      </c>
      <c r="N75" t="str">
        <f>IFERROR(VLOOKUP($A75,'AAPT ExDa'!$B$2:$U$99, 0,FALSE), IFERROR(VLOOKUP($A75,'ABB ExDa'!$A$2:$N$184, 13,FALSE), IFERROR(VLOOKUP($A75,'Vocus SIT ExDa'!$B$2:$J$173, 0,FALSE), IFERROR(VLOOKUP($A75,'Telstra ExDa'!$B$2:$K$310, 0,FALSE), IFERROR(VLOOKUP($A75,'Vocus RVC ExDa'!$C$2:$R$155, 0,FALSE), IFERROR(VLOOKUP($A75,'Fusion ExDa'!$B$2:$D$16, 0,FALSE), IFERROR(VLOOKUP($A75,'Exetel ExDa'!$C$2:$N$14, 0,FALSE), IFERROR(VLOOKUP($A75,'Infinet ExDa'!$B$2:$E$14, 0,FALSE), "Not Found"))))))))</f>
        <v>Not Found</v>
      </c>
    </row>
    <row r="76" spans="1:14">
      <c r="A76" t="str">
        <v>Sparrow Group Management</v>
      </c>
      <c r="B76" t="str">
        <f>IFERROR(VLOOKUP(A76,'Exetel ExDa'!$C$2:$N$14,4,FALSE),"No Data")</f>
        <v>No Data</v>
      </c>
      <c r="C76" t="str">
        <f>IFERROR(VLOOKUP(A76,'AAPT ExDa'!$B$2:$U$99, 2,FALSE), IFERROR(VLOOKUP(A76,'ABB ExDa'!$A$2:$N$184, 2,FALSE), IFERROR(VLOOKUP(A76,'Vocus SIT ExDa'!$B$2:$J$173, 7,FALSE), IFERROR(VLOOKUP(A76,'Telstra ExDa'!$B$2:$K$310, 2,FALSE), IFERROR(VLOOKUP(A76,'Vocus RVC ExDa'!$C$2:$R$155, 3,FALSE), IFERROR(VLOOKUP(A76,'Fusion ExDa'!$B$2:$D$16, 2,FALSE), IFERROR(VLOOKUP(A76,'Exetel ExDa'!$C$2:$N$14, 2,FALSE), IFERROR(VLOOKUP(A76,'Infinet ExDa'!$B$2:$E$14, 2,FALSE), "Not Found"))))))))</f>
        <v>Murarrie</v>
      </c>
      <c r="D76" t="str">
        <f>IFERROR(VLOOKUP($A76,'AAPT ExDa'!$B$2:$U$99, 15,FALSE), IFERROR(VLOOKUP($A76,'ABB ExDa'!$A$2:$N$184, 4,FALSE), IFERROR(VLOOKUP($A76,'Vocus SIT ExDa'!$B$2:$J$173, 5,FALSE), IFERROR(VLOOKUP($A76,'Telstra ExDa'!$B$2:$K$310, 8,FALSE), IFERROR(VLOOKUP($A76,'Vocus RVC ExDa'!$C$2:$R$155, 6,FALSE), IFERROR(VLOOKUP($A76,'Fusion ExDa'!$B$2:$D$16, 4,FALSE), IFERROR(VLOOKUP($A76,'Exetel ExDa'!$C$2:$N$14, 3,FALSE), IFERROR(VLOOKUP($A76,'Infinet ExDa'!$B$2:$E$14, 3,FALSE), "Not Found"))))))))</f>
        <v>AAPT</v>
      </c>
      <c r="E76" t="str">
        <f>IFERROR(VLOOKUP($A76,'AAPT ExDa'!$B$2:$U$99, 3,FALSE), IFERROR(VLOOKUP($A76,'ABB ExDa'!$A$2:$N$184, 5,FALSE), IFERROR(VLOOKUP($A76,'Vocus SIT ExDa'!$B$2:$J$173, 2,FALSE), IFERROR(VLOOKUP($A76,'Telstra ExDa'!$B$2:$K$310, 4,FALSE), IFERROR(VLOOKUP($A76,'Vocus RVC ExDa'!$C$2:$R$155, 8,FALSE), IFERROR(VLOOKUP($A76,'Fusion ExDa'!$B$2:$D$16, 4,FALSE), IFERROR(VLOOKUP($A76,'Exetel ExDa'!$C$2:$N$14, 5,FALSE), IFERROR(VLOOKUP($A76,'Infinet ExDa'!$B$2:$E$14, 3,FALSE), "Not Found"))))))))</f>
        <v>IP-Line</v>
      </c>
      <c r="F76" t="str">
        <f>IFERROR(VLOOKUP($A76,'AAPT ExDa'!$B$2:$U$99, 4,FALSE), IFERROR(VLOOKUP($A76,'ABB ExDa'!$A$2:$N$184, 6,FALSE), IFERROR(VLOOKUP($A76,'Vocus SIT ExDa'!$B$2:$J$173, 3,FALSE), IFERROR(VLOOKUP($A76,'Telstra ExDa'!$B$2:$K$310, 5,FALSE), IFERROR(VLOOKUP($A76,'Vocus RVC ExDa'!$C$2:$R$155, 9,FALSE), IFERROR(VLOOKUP($A76,'Fusion ExDa'!$B$2:$D$16, 0,FALSE), IFERROR(VLOOKUP($A76,'Exetel ExDa'!$C$2:$N$14, 6,FALSE), IFERROR(VLOOKUP($A76,'Infinet ExDa'!$B$2:$E$14, 0,FALSE), "Not Found"))))))))</f>
        <v>IP-Line</v>
      </c>
      <c r="G76">
        <f>IFERROR(VLOOKUP($A76,'AAPT ExDa'!$B$2:$U$99, 5,FALSE), IFERROR(VLOOKUP($A76,'ABB ExDa'!$A$2:$N$184, 8,FALSE), IFERROR(VLOOKUP($A76,'Vocus SIT ExDa'!$B$2:$J$173, 6,FALSE), IFERROR(VLOOKUP($A76,'Telstra ExDa'!$B$2:$K$310, 0,FALSE), IFERROR(VLOOKUP($A76,'Vocus RVC ExDa'!$C$2:$R$155, 15,FALSE), IFERROR(VLOOKUP($A76,'Fusion ExDa'!$B$2:$D$16, 0,FALSE), IFERROR(VLOOKUP($A76,'Exetel ExDa'!$C$2:$N$14, 7,FALSE), IFERROR(VLOOKUP($A76,'Infinet ExDa'!$B$2:$E$14, 0,FALSE), "Not Found"))))))))</f>
        <v>0</v>
      </c>
      <c r="H76">
        <f>IFERROR(VLOOKUP($A76,'AAPT ExDa'!$B$2:$U$99, 6,FALSE), IFERROR(VLOOKUP($A76,'ABB ExDa'!$A$2:$N$184, 0,FALSE), IFERROR(VLOOKUP($A76,'Vocus SIT ExDa'!$B$2:$J$173, 0,FALSE), IFERROR(VLOOKUP($A76,'Telstra ExDa'!$B$2:$K$310, 0,FALSE), IFERROR(VLOOKUP($A76,'Vocus RVC ExDa'!$C$2:$R$155, 16,FALSE), IFERROR(VLOOKUP($A76,'Fusion ExDa'!$B$2:$D$16, 0,FALSE), IFERROR(VLOOKUP($A76,'Exetel ExDa'!$C$2:$N$14, 0,FALSE), IFERROR(VLOOKUP($A76,'Infinet ExDa'!$B$2:$E$14, 0,FALSE), "Not Found"))))))))</f>
        <v>0</v>
      </c>
      <c r="I76" t="str">
        <f>IFERROR(VLOOKUP($A76,'AAPT ExDa'!$B$2:$U$99, 0,FALSE), IFERROR(VLOOKUP($A76,'ABB ExDa'!$A$2:$N$184, 0,FALSE), IFERROR(VLOOKUP($A76,'Vocus SIT ExDa'!$B$2:$J$173, 0,FALSE), IFERROR(VLOOKUP($A76,'Telstra ExDa'!$B$2:$K$310, 0,FALSE), IFERROR(VLOOKUP($A76,'Vocus RVC ExDa'!$C$2:$R$155, 0,FALSE), IFERROR(VLOOKUP($A76,'Fusion ExDa'!$B$2:$D$16, 0,FALSE), IFERROR(VLOOKUP($A76,'Exetel ExDa'!$C$2:$N$14, 8,FALSE), IFERROR(VLOOKUP($A76,'Infinet ExDa'!$B$2:$E$14, 0,FALSE), "Not Found"))))))))</f>
        <v>Not Found</v>
      </c>
      <c r="J76">
        <f>IFERROR(VLOOKUP($A76,'AAPT ExDa'!$B$2:$U$99, 7,FALSE), IFERROR(VLOOKUP($A76,'ABB ExDa'!$A$2:$N$184, 2,FALSE), IFERROR(VLOOKUP($A76,'Vocus SIT ExDa'!$B$2:$J$173, 0,FALSE), IFERROR(VLOOKUP($A76,'Telstra ExDa'!$B$2:$K$310, 7,FALSE), IFERROR(VLOOKUP($A76,'Vocus RVC ExDa'!$C$2:$R$155, 2,FALSE), IFERROR(VLOOKUP($A76,'Fusion ExDa'!$B$2:$D$16, 3,FALSE), IFERROR(VLOOKUP($A76,'Exetel ExDa'!$C$2:$N$14, 0,FALSE), IFERROR(VLOOKUP($A76,'Infinet ExDa'!$B$2:$E$14, 0,FALSE), "Not Found"))))))))</f>
        <v>0</v>
      </c>
      <c r="K76" t="str">
        <f>IFERROR(VLOOKUP($A76,'AAPT ExDa'!$B$2:$U$99, 12,FALSE), IFERROR(VLOOKUP($A76,'ABB ExDa'!$A$2:$N$184, 0,FALSE), IFERROR(VLOOKUP($A76,'Vocus SIT ExDa'!$B$2:$J$173, 0,FALSE), IFERROR(VLOOKUP($A76,'Telstra ExDa'!$B$2:$K$310, 0,FALSE), IFERROR(VLOOKUP($A76,'Vocus RVC ExDa'!$C$2:$R$155, 0,FALSE), IFERROR(VLOOKUP($A76,'Fusion ExDa'!$B$2:$D$16, 0,FALSE), IFERROR(VLOOKUP($A76,'Exetel ExDa'!$C$2:$N$14, 12,FALSE), IFERROR(VLOOKUP($A76,'Infinet ExDa'!$B$2:$E$14, 0,FALSE), "Not Found"))))))))</f>
        <v>36 Months</v>
      </c>
      <c r="L76" s="235" t="str">
        <f>IFERROR(VLOOKUP($A76,'AAPT ExDa'!$B$2:$U$99, 11,FALSE), IFERROR(VLOOKUP($A76,'ABB ExDa'!$A$2:$N$184, 9,FALSE), IFERROR(VLOOKUP($A76,'Vocus SIT ExDa'!$B$2:$J$173, 8,FALSE), IFERROR(VLOOKUP($A76,'Telstra ExDa'!$B$2:$K$310, 0,FALSE), IFERROR(VLOOKUP($A76,'Vocus RVC ExDa'!$C$2:$R$155, 0,FALSE), IFERROR(VLOOKUP($A76,'Fusion ExDa'!$B$2:$D$16, 0,FALSE), IFERROR(VLOOKUP($A76,'Exetel ExDa'!$C$2:$N$14, 9,FALSE), IFERROR(VLOOKUP($A76,'Infinet ExDa'!$B$2:$E$14, 0,FALSE), "Not Found"))))))))</f>
        <v>18/12/2024</v>
      </c>
      <c r="M76" s="234" t="str">
        <f>IFERROR(VLOOKUP($A76,'AAPT ExDa'!$B$2:$U$99, 0,FALSE), IFERROR(VLOOKUP($A76,'ABB ExDa'!$A$2:$N$184, 0,FALSE), IFERROR(VLOOKUP($A76,'Vocus SIT ExDa'!$B$2:$J$173, 0,FALSE), IFERROR(VLOOKUP($A76,'Telstra ExDa'!$B$2:$K$310, 0,FALSE), IFERROR(VLOOKUP($A76,'Vocus RVC ExDa'!$C$2:$R$155, 0,FALSE), IFERROR(VLOOKUP($A76,'Fusion ExDa'!$B$2:$D$16, 0,FALSE), IFERROR(VLOOKUP($A76,'Exetel ExDa'!$C$2:$N$14, 11,FALSE), IFERROR(VLOOKUP($A76,'Infinet ExDa'!$B$2:$E$14, 0,FALSE), "Not Found"))))))))</f>
        <v>Not Found</v>
      </c>
      <c r="N76" t="str">
        <f>IFERROR(VLOOKUP($A76,'AAPT ExDa'!$B$2:$U$99, 0,FALSE), IFERROR(VLOOKUP($A76,'ABB ExDa'!$A$2:$N$184, 13,FALSE), IFERROR(VLOOKUP($A76,'Vocus SIT ExDa'!$B$2:$J$173, 0,FALSE), IFERROR(VLOOKUP($A76,'Telstra ExDa'!$B$2:$K$310, 0,FALSE), IFERROR(VLOOKUP($A76,'Vocus RVC ExDa'!$C$2:$R$155, 0,FALSE), IFERROR(VLOOKUP($A76,'Fusion ExDa'!$B$2:$D$16, 0,FALSE), IFERROR(VLOOKUP($A76,'Exetel ExDa'!$C$2:$N$14, 0,FALSE), IFERROR(VLOOKUP($A76,'Infinet ExDa'!$B$2:$E$14, 0,FALSE), "Not Found"))))))))</f>
        <v>Not Found</v>
      </c>
    </row>
    <row r="77" spans="1:14">
      <c r="A77" t="str">
        <v>Sparrow Group Management</v>
      </c>
      <c r="B77" t="str">
        <f>IFERROR(VLOOKUP(A77,'Exetel ExDa'!$C$2:$N$14,4,FALSE),"No Data")</f>
        <v>No Data</v>
      </c>
      <c r="C77" t="str">
        <f>IFERROR(VLOOKUP(A77,'AAPT ExDa'!$B$2:$U$99, 2,FALSE), IFERROR(VLOOKUP(A77,'ABB ExDa'!$A$2:$N$184, 2,FALSE), IFERROR(VLOOKUP(A77,'Vocus SIT ExDa'!$B$2:$J$173, 7,FALSE), IFERROR(VLOOKUP(A77,'Telstra ExDa'!$B$2:$K$310, 2,FALSE), IFERROR(VLOOKUP(A77,'Vocus RVC ExDa'!$C$2:$R$155, 3,FALSE), IFERROR(VLOOKUP(A77,'Fusion ExDa'!$B$2:$D$16, 2,FALSE), IFERROR(VLOOKUP(A77,'Exetel ExDa'!$C$2:$N$14, 2,FALSE), IFERROR(VLOOKUP(A77,'Infinet ExDa'!$B$2:$E$14, 2,FALSE), "Not Found"))))))))</f>
        <v>Murarrie</v>
      </c>
      <c r="D77" t="str">
        <f>IFERROR(VLOOKUP($A77,'AAPT ExDa'!$B$2:$U$99, 15,FALSE), IFERROR(VLOOKUP($A77,'ABB ExDa'!$A$2:$N$184, 4,FALSE), IFERROR(VLOOKUP($A77,'Vocus SIT ExDa'!$B$2:$J$173, 5,FALSE), IFERROR(VLOOKUP($A77,'Telstra ExDa'!$B$2:$K$310, 8,FALSE), IFERROR(VLOOKUP($A77,'Vocus RVC ExDa'!$C$2:$R$155, 6,FALSE), IFERROR(VLOOKUP($A77,'Fusion ExDa'!$B$2:$D$16, 4,FALSE), IFERROR(VLOOKUP($A77,'Exetel ExDa'!$C$2:$N$14, 3,FALSE), IFERROR(VLOOKUP($A77,'Infinet ExDa'!$B$2:$E$14, 3,FALSE), "Not Found"))))))))</f>
        <v>AAPT</v>
      </c>
      <c r="E77" t="str">
        <f>IFERROR(VLOOKUP($A77,'AAPT ExDa'!$B$2:$U$99, 3,FALSE), IFERROR(VLOOKUP($A77,'ABB ExDa'!$A$2:$N$184, 5,FALSE), IFERROR(VLOOKUP($A77,'Vocus SIT ExDa'!$B$2:$J$173, 2,FALSE), IFERROR(VLOOKUP($A77,'Telstra ExDa'!$B$2:$K$310, 4,FALSE), IFERROR(VLOOKUP($A77,'Vocus RVC ExDa'!$C$2:$R$155, 8,FALSE), IFERROR(VLOOKUP($A77,'Fusion ExDa'!$B$2:$D$16, 4,FALSE), IFERROR(VLOOKUP($A77,'Exetel ExDa'!$C$2:$N$14, 5,FALSE), IFERROR(VLOOKUP($A77,'Infinet ExDa'!$B$2:$E$14, 3,FALSE), "Not Found"))))))))</f>
        <v>IP-Line</v>
      </c>
      <c r="F77" t="str">
        <f>IFERROR(VLOOKUP($A77,'AAPT ExDa'!$B$2:$U$99, 4,FALSE), IFERROR(VLOOKUP($A77,'ABB ExDa'!$A$2:$N$184, 6,FALSE), IFERROR(VLOOKUP($A77,'Vocus SIT ExDa'!$B$2:$J$173, 3,FALSE), IFERROR(VLOOKUP($A77,'Telstra ExDa'!$B$2:$K$310, 5,FALSE), IFERROR(VLOOKUP($A77,'Vocus RVC ExDa'!$C$2:$R$155, 9,FALSE), IFERROR(VLOOKUP($A77,'Fusion ExDa'!$B$2:$D$16, 0,FALSE), IFERROR(VLOOKUP($A77,'Exetel ExDa'!$C$2:$N$14, 6,FALSE), IFERROR(VLOOKUP($A77,'Infinet ExDa'!$B$2:$E$14, 0,FALSE), "Not Found"))))))))</f>
        <v>IP-Line</v>
      </c>
      <c r="G77">
        <f>IFERROR(VLOOKUP($A77,'AAPT ExDa'!$B$2:$U$99, 5,FALSE), IFERROR(VLOOKUP($A77,'ABB ExDa'!$A$2:$N$184, 8,FALSE), IFERROR(VLOOKUP($A77,'Vocus SIT ExDa'!$B$2:$J$173, 6,FALSE), IFERROR(VLOOKUP($A77,'Telstra ExDa'!$B$2:$K$310, 0,FALSE), IFERROR(VLOOKUP($A77,'Vocus RVC ExDa'!$C$2:$R$155, 15,FALSE), IFERROR(VLOOKUP($A77,'Fusion ExDa'!$B$2:$D$16, 0,FALSE), IFERROR(VLOOKUP($A77,'Exetel ExDa'!$C$2:$N$14, 7,FALSE), IFERROR(VLOOKUP($A77,'Infinet ExDa'!$B$2:$E$14, 0,FALSE), "Not Found"))))))))</f>
        <v>0</v>
      </c>
      <c r="H77">
        <f>IFERROR(VLOOKUP($A77,'AAPT ExDa'!$B$2:$U$99, 6,FALSE), IFERROR(VLOOKUP($A77,'ABB ExDa'!$A$2:$N$184, 0,FALSE), IFERROR(VLOOKUP($A77,'Vocus SIT ExDa'!$B$2:$J$173, 0,FALSE), IFERROR(VLOOKUP($A77,'Telstra ExDa'!$B$2:$K$310, 0,FALSE), IFERROR(VLOOKUP($A77,'Vocus RVC ExDa'!$C$2:$R$155, 16,FALSE), IFERROR(VLOOKUP($A77,'Fusion ExDa'!$B$2:$D$16, 0,FALSE), IFERROR(VLOOKUP($A77,'Exetel ExDa'!$C$2:$N$14, 0,FALSE), IFERROR(VLOOKUP($A77,'Infinet ExDa'!$B$2:$E$14, 0,FALSE), "Not Found"))))))))</f>
        <v>0</v>
      </c>
      <c r="I77" t="str">
        <f>IFERROR(VLOOKUP($A77,'AAPT ExDa'!$B$2:$U$99, 0,FALSE), IFERROR(VLOOKUP($A77,'ABB ExDa'!$A$2:$N$184, 0,FALSE), IFERROR(VLOOKUP($A77,'Vocus SIT ExDa'!$B$2:$J$173, 0,FALSE), IFERROR(VLOOKUP($A77,'Telstra ExDa'!$B$2:$K$310, 0,FALSE), IFERROR(VLOOKUP($A77,'Vocus RVC ExDa'!$C$2:$R$155, 0,FALSE), IFERROR(VLOOKUP($A77,'Fusion ExDa'!$B$2:$D$16, 0,FALSE), IFERROR(VLOOKUP($A77,'Exetel ExDa'!$C$2:$N$14, 8,FALSE), IFERROR(VLOOKUP($A77,'Infinet ExDa'!$B$2:$E$14, 0,FALSE), "Not Found"))))))))</f>
        <v>Not Found</v>
      </c>
      <c r="J77">
        <f>IFERROR(VLOOKUP($A77,'AAPT ExDa'!$B$2:$U$99, 7,FALSE), IFERROR(VLOOKUP($A77,'ABB ExDa'!$A$2:$N$184, 2,FALSE), IFERROR(VLOOKUP($A77,'Vocus SIT ExDa'!$B$2:$J$173, 0,FALSE), IFERROR(VLOOKUP($A77,'Telstra ExDa'!$B$2:$K$310, 7,FALSE), IFERROR(VLOOKUP($A77,'Vocus RVC ExDa'!$C$2:$R$155, 2,FALSE), IFERROR(VLOOKUP($A77,'Fusion ExDa'!$B$2:$D$16, 3,FALSE), IFERROR(VLOOKUP($A77,'Exetel ExDa'!$C$2:$N$14, 0,FALSE), IFERROR(VLOOKUP($A77,'Infinet ExDa'!$B$2:$E$14, 0,FALSE), "Not Found"))))))))</f>
        <v>0</v>
      </c>
      <c r="K77" t="str">
        <f>IFERROR(VLOOKUP($A77,'AAPT ExDa'!$B$2:$U$99, 12,FALSE), IFERROR(VLOOKUP($A77,'ABB ExDa'!$A$2:$N$184, 0,FALSE), IFERROR(VLOOKUP($A77,'Vocus SIT ExDa'!$B$2:$J$173, 0,FALSE), IFERROR(VLOOKUP($A77,'Telstra ExDa'!$B$2:$K$310, 0,FALSE), IFERROR(VLOOKUP($A77,'Vocus RVC ExDa'!$C$2:$R$155, 0,FALSE), IFERROR(VLOOKUP($A77,'Fusion ExDa'!$B$2:$D$16, 0,FALSE), IFERROR(VLOOKUP($A77,'Exetel ExDa'!$C$2:$N$14, 12,FALSE), IFERROR(VLOOKUP($A77,'Infinet ExDa'!$B$2:$E$14, 0,FALSE), "Not Found"))))))))</f>
        <v>36 Months</v>
      </c>
      <c r="L77" s="235" t="str">
        <f>IFERROR(VLOOKUP($A77,'AAPT ExDa'!$B$2:$U$99, 11,FALSE), IFERROR(VLOOKUP($A77,'ABB ExDa'!$A$2:$N$184, 9,FALSE), IFERROR(VLOOKUP($A77,'Vocus SIT ExDa'!$B$2:$J$173, 8,FALSE), IFERROR(VLOOKUP($A77,'Telstra ExDa'!$B$2:$K$310, 0,FALSE), IFERROR(VLOOKUP($A77,'Vocus RVC ExDa'!$C$2:$R$155, 0,FALSE), IFERROR(VLOOKUP($A77,'Fusion ExDa'!$B$2:$D$16, 0,FALSE), IFERROR(VLOOKUP($A77,'Exetel ExDa'!$C$2:$N$14, 9,FALSE), IFERROR(VLOOKUP($A77,'Infinet ExDa'!$B$2:$E$14, 0,FALSE), "Not Found"))))))))</f>
        <v>18/12/2024</v>
      </c>
      <c r="M77" s="234" t="str">
        <f>IFERROR(VLOOKUP($A77,'AAPT ExDa'!$B$2:$U$99, 0,FALSE), IFERROR(VLOOKUP($A77,'ABB ExDa'!$A$2:$N$184, 0,FALSE), IFERROR(VLOOKUP($A77,'Vocus SIT ExDa'!$B$2:$J$173, 0,FALSE), IFERROR(VLOOKUP($A77,'Telstra ExDa'!$B$2:$K$310, 0,FALSE), IFERROR(VLOOKUP($A77,'Vocus RVC ExDa'!$C$2:$R$155, 0,FALSE), IFERROR(VLOOKUP($A77,'Fusion ExDa'!$B$2:$D$16, 0,FALSE), IFERROR(VLOOKUP($A77,'Exetel ExDa'!$C$2:$N$14, 11,FALSE), IFERROR(VLOOKUP($A77,'Infinet ExDa'!$B$2:$E$14, 0,FALSE), "Not Found"))))))))</f>
        <v>Not Found</v>
      </c>
      <c r="N77" t="str">
        <f>IFERROR(VLOOKUP($A77,'AAPT ExDa'!$B$2:$U$99, 0,FALSE), IFERROR(VLOOKUP($A77,'ABB ExDa'!$A$2:$N$184, 13,FALSE), IFERROR(VLOOKUP($A77,'Vocus SIT ExDa'!$B$2:$J$173, 0,FALSE), IFERROR(VLOOKUP($A77,'Telstra ExDa'!$B$2:$K$310, 0,FALSE), IFERROR(VLOOKUP($A77,'Vocus RVC ExDa'!$C$2:$R$155, 0,FALSE), IFERROR(VLOOKUP($A77,'Fusion ExDa'!$B$2:$D$16, 0,FALSE), IFERROR(VLOOKUP($A77,'Exetel ExDa'!$C$2:$N$14, 0,FALSE), IFERROR(VLOOKUP($A77,'Infinet ExDa'!$B$2:$E$14, 0,FALSE), "Not Found"))))))))</f>
        <v>Not Found</v>
      </c>
    </row>
    <row r="78" spans="1:14">
      <c r="A78" t="str">
        <v>Spicers BH</v>
      </c>
      <c r="B78" t="str">
        <f>IFERROR(VLOOKUP(A78,'Exetel ExDa'!$C$2:$N$14,4,FALSE),"No Data")</f>
        <v>No Data</v>
      </c>
      <c r="C78">
        <f>IFERROR(VLOOKUP(A78,'AAPT ExDa'!$B$2:$U$99, 2,FALSE), IFERROR(VLOOKUP(A78,'ABB ExDa'!$A$2:$N$184, 2,FALSE), IFERROR(VLOOKUP(A78,'Vocus SIT ExDa'!$B$2:$J$173, 7,FALSE), IFERROR(VLOOKUP(A78,'Telstra ExDa'!$B$2:$K$310, 2,FALSE), IFERROR(VLOOKUP(A78,'Vocus RVC ExDa'!$C$2:$R$155, 3,FALSE), IFERROR(VLOOKUP(A78,'Fusion ExDa'!$B$2:$D$16, 2,FALSE), IFERROR(VLOOKUP(A78,'Exetel ExDa'!$C$2:$N$14, 2,FALSE), IFERROR(VLOOKUP(A78,'Infinet ExDa'!$B$2:$E$14, 2,FALSE), "Not Found"))))))))</f>
        <v>0</v>
      </c>
      <c r="D78" t="str">
        <f>IFERROR(VLOOKUP($A78,'AAPT ExDa'!$B$2:$U$99, 15,FALSE), IFERROR(VLOOKUP($A78,'ABB ExDa'!$A$2:$N$184, 4,FALSE), IFERROR(VLOOKUP($A78,'Vocus SIT ExDa'!$B$2:$J$173, 5,FALSE), IFERROR(VLOOKUP($A78,'Telstra ExDa'!$B$2:$K$310, 8,FALSE), IFERROR(VLOOKUP($A78,'Vocus RVC ExDa'!$C$2:$R$155, 6,FALSE), IFERROR(VLOOKUP($A78,'Fusion ExDa'!$B$2:$D$16, 4,FALSE), IFERROR(VLOOKUP($A78,'Exetel ExDa'!$C$2:$N$14, 3,FALSE), IFERROR(VLOOKUP($A78,'Infinet ExDa'!$B$2:$E$14, 3,FALSE), "Not Found"))))))))</f>
        <v>AAPT</v>
      </c>
      <c r="E78" t="str">
        <f>IFERROR(VLOOKUP($A78,'AAPT ExDa'!$B$2:$U$99, 3,FALSE), IFERROR(VLOOKUP($A78,'ABB ExDa'!$A$2:$N$184, 5,FALSE), IFERROR(VLOOKUP($A78,'Vocus SIT ExDa'!$B$2:$J$173, 2,FALSE), IFERROR(VLOOKUP($A78,'Telstra ExDa'!$B$2:$K$310, 4,FALSE), IFERROR(VLOOKUP($A78,'Vocus RVC ExDa'!$C$2:$R$155, 8,FALSE), IFERROR(VLOOKUP($A78,'Fusion ExDa'!$B$2:$D$16, 4,FALSE), IFERROR(VLOOKUP($A78,'Exetel ExDa'!$C$2:$N$14, 5,FALSE), IFERROR(VLOOKUP($A78,'Infinet ExDa'!$B$2:$E$14, 3,FALSE), "Not Found"))))))))</f>
        <v>IP-Line</v>
      </c>
      <c r="F78" t="str">
        <f>IFERROR(VLOOKUP($A78,'AAPT ExDa'!$B$2:$U$99, 4,FALSE), IFERROR(VLOOKUP($A78,'ABB ExDa'!$A$2:$N$184, 6,FALSE), IFERROR(VLOOKUP($A78,'Vocus SIT ExDa'!$B$2:$J$173, 3,FALSE), IFERROR(VLOOKUP($A78,'Telstra ExDa'!$B$2:$K$310, 5,FALSE), IFERROR(VLOOKUP($A78,'Vocus RVC ExDa'!$C$2:$R$155, 9,FALSE), IFERROR(VLOOKUP($A78,'Fusion ExDa'!$B$2:$D$16, 0,FALSE), IFERROR(VLOOKUP($A78,'Exetel ExDa'!$C$2:$N$14, 6,FALSE), IFERROR(VLOOKUP($A78,'Infinet ExDa'!$B$2:$E$14, 0,FALSE), "Not Found"))))))))</f>
        <v>IP-Line Link</v>
      </c>
      <c r="G78" t="str">
        <f>IFERROR(VLOOKUP($A78,'AAPT ExDa'!$B$2:$U$99, 5,FALSE), IFERROR(VLOOKUP($A78,'ABB ExDa'!$A$2:$N$184, 8,FALSE), IFERROR(VLOOKUP($A78,'Vocus SIT ExDa'!$B$2:$J$173, 6,FALSE), IFERROR(VLOOKUP($A78,'Telstra ExDa'!$B$2:$K$310, 0,FALSE), IFERROR(VLOOKUP($A78,'Vocus RVC ExDa'!$C$2:$R$155, 15,FALSE), IFERROR(VLOOKUP($A78,'Fusion ExDa'!$B$2:$D$16, 0,FALSE), IFERROR(VLOOKUP($A78,'Exetel ExDa'!$C$2:$N$14, 7,FALSE), IFERROR(VLOOKUP($A78,'Infinet ExDa'!$B$2:$E$14, 0,FALSE), "Not Found"))))))))</f>
        <v>Connecting IP-Line 6023265 to Access 1790203</v>
      </c>
      <c r="H78" t="str">
        <f>IFERROR(VLOOKUP($A78,'AAPT ExDa'!$B$2:$U$99, 6,FALSE), IFERROR(VLOOKUP($A78,'ABB ExDa'!$A$2:$N$184, 0,FALSE), IFERROR(VLOOKUP($A78,'Vocus SIT ExDa'!$B$2:$J$173, 0,FALSE), IFERROR(VLOOKUP($A78,'Telstra ExDa'!$B$2:$K$310, 0,FALSE), IFERROR(VLOOKUP($A78,'Vocus RVC ExDa'!$C$2:$R$155, 16,FALSE), IFERROR(VLOOKUP($A78,'Fusion ExDa'!$B$2:$D$16, 0,FALSE), IFERROR(VLOOKUP($A78,'Exetel ExDa'!$C$2:$N$14, 0,FALSE), IFERROR(VLOOKUP($A78,'Infinet ExDa'!$B$2:$E$14, 0,FALSE), "Not Found"))))))))</f>
        <v>Up to 100/40Mbps; AVC ID:AVC400019914534</v>
      </c>
      <c r="I78" t="str">
        <f>IFERROR(VLOOKUP($A78,'AAPT ExDa'!$B$2:$U$99, 0,FALSE), IFERROR(VLOOKUP($A78,'ABB ExDa'!$A$2:$N$184, 0,FALSE), IFERROR(VLOOKUP($A78,'Vocus SIT ExDa'!$B$2:$J$173, 0,FALSE), IFERROR(VLOOKUP($A78,'Telstra ExDa'!$B$2:$K$310, 0,FALSE), IFERROR(VLOOKUP($A78,'Vocus RVC ExDa'!$C$2:$R$155, 0,FALSE), IFERROR(VLOOKUP($A78,'Fusion ExDa'!$B$2:$D$16, 0,FALSE), IFERROR(VLOOKUP($A78,'Exetel ExDa'!$C$2:$N$14, 8,FALSE), IFERROR(VLOOKUP($A78,'Infinet ExDa'!$B$2:$E$14, 0,FALSE), "Not Found"))))))))</f>
        <v>Not Found</v>
      </c>
      <c r="J78" t="str">
        <f>IFERROR(VLOOKUP($A78,'AAPT ExDa'!$B$2:$U$99, 7,FALSE), IFERROR(VLOOKUP($A78,'ABB ExDa'!$A$2:$N$184, 2,FALSE), IFERROR(VLOOKUP($A78,'Vocus SIT ExDa'!$B$2:$J$173, 0,FALSE), IFERROR(VLOOKUP($A78,'Telstra ExDa'!$B$2:$K$310, 7,FALSE), IFERROR(VLOOKUP($A78,'Vocus RVC ExDa'!$C$2:$R$155, 2,FALSE), IFERROR(VLOOKUP($A78,'Fusion ExDa'!$B$2:$D$16, 3,FALSE), IFERROR(VLOOKUP($A78,'Exetel ExDa'!$C$2:$N$14, 0,FALSE), IFERROR(VLOOKUP($A78,'Infinet ExDa'!$B$2:$E$14, 0,FALSE), "Not Found"))))))))</f>
        <v>AVC400019914534</v>
      </c>
      <c r="K78" t="str">
        <f>IFERROR(VLOOKUP($A78,'AAPT ExDa'!$B$2:$U$99, 12,FALSE), IFERROR(VLOOKUP($A78,'ABB ExDa'!$A$2:$N$184, 0,FALSE), IFERROR(VLOOKUP($A78,'Vocus SIT ExDa'!$B$2:$J$173, 0,FALSE), IFERROR(VLOOKUP($A78,'Telstra ExDa'!$B$2:$K$310, 0,FALSE), IFERROR(VLOOKUP($A78,'Vocus RVC ExDa'!$C$2:$R$155, 0,FALSE), IFERROR(VLOOKUP($A78,'Fusion ExDa'!$B$2:$D$16, 0,FALSE), IFERROR(VLOOKUP($A78,'Exetel ExDa'!$C$2:$N$14, 12,FALSE), IFERROR(VLOOKUP($A78,'Infinet ExDa'!$B$2:$E$14, 0,FALSE), "Not Found"))))))))</f>
        <v>36 Months</v>
      </c>
      <c r="L78" s="235">
        <f>IFERROR(VLOOKUP($A78,'AAPT ExDa'!$B$2:$U$99, 11,FALSE), IFERROR(VLOOKUP($A78,'ABB ExDa'!$A$2:$N$184, 9,FALSE), IFERROR(VLOOKUP($A78,'Vocus SIT ExDa'!$B$2:$J$173, 8,FALSE), IFERROR(VLOOKUP($A78,'Telstra ExDa'!$B$2:$K$310, 0,FALSE), IFERROR(VLOOKUP($A78,'Vocus RVC ExDa'!$C$2:$R$155, 0,FALSE), IFERROR(VLOOKUP($A78,'Fusion ExDa'!$B$2:$D$16, 0,FALSE), IFERROR(VLOOKUP($A78,'Exetel ExDa'!$C$2:$N$14, 9,FALSE), IFERROR(VLOOKUP($A78,'Infinet ExDa'!$B$2:$E$14, 0,FALSE), "Not Found"))))))))</f>
        <v>43688</v>
      </c>
      <c r="M78" s="234" t="str">
        <f>IFERROR(VLOOKUP($A78,'AAPT ExDa'!$B$2:$U$99, 0,FALSE), IFERROR(VLOOKUP($A78,'ABB ExDa'!$A$2:$N$184, 0,FALSE), IFERROR(VLOOKUP($A78,'Vocus SIT ExDa'!$B$2:$J$173, 0,FALSE), IFERROR(VLOOKUP($A78,'Telstra ExDa'!$B$2:$K$310, 0,FALSE), IFERROR(VLOOKUP($A78,'Vocus RVC ExDa'!$C$2:$R$155, 0,FALSE), IFERROR(VLOOKUP($A78,'Fusion ExDa'!$B$2:$D$16, 0,FALSE), IFERROR(VLOOKUP($A78,'Exetel ExDa'!$C$2:$N$14, 11,FALSE), IFERROR(VLOOKUP($A78,'Infinet ExDa'!$B$2:$E$14, 0,FALSE), "Not Found"))))))))</f>
        <v>Not Found</v>
      </c>
      <c r="N78" t="str">
        <f>IFERROR(VLOOKUP($A78,'AAPT ExDa'!$B$2:$U$99, 0,FALSE), IFERROR(VLOOKUP($A78,'ABB ExDa'!$A$2:$N$184, 13,FALSE), IFERROR(VLOOKUP($A78,'Vocus SIT ExDa'!$B$2:$J$173, 0,FALSE), IFERROR(VLOOKUP($A78,'Telstra ExDa'!$B$2:$K$310, 0,FALSE), IFERROR(VLOOKUP($A78,'Vocus RVC ExDa'!$C$2:$R$155, 0,FALSE), IFERROR(VLOOKUP($A78,'Fusion ExDa'!$B$2:$D$16, 0,FALSE), IFERROR(VLOOKUP($A78,'Exetel ExDa'!$C$2:$N$14, 0,FALSE), IFERROR(VLOOKUP($A78,'Infinet ExDa'!$B$2:$E$14, 0,FALSE), "Not Found"))))))))</f>
        <v>Not Found</v>
      </c>
    </row>
    <row r="79" spans="1:14">
      <c r="A79" t="str">
        <v>Spicers Guest House</v>
      </c>
      <c r="B79" t="str">
        <f>IFERROR(VLOOKUP(A79,'Exetel ExDa'!$C$2:$N$14,4,FALSE),"No Data")</f>
        <v>No Data</v>
      </c>
      <c r="C79">
        <f>IFERROR(VLOOKUP(A79,'AAPT ExDa'!$B$2:$U$99, 2,FALSE), IFERROR(VLOOKUP(A79,'ABB ExDa'!$A$2:$N$184, 2,FALSE), IFERROR(VLOOKUP(A79,'Vocus SIT ExDa'!$B$2:$J$173, 7,FALSE), IFERROR(VLOOKUP(A79,'Telstra ExDa'!$B$2:$K$310, 2,FALSE), IFERROR(VLOOKUP(A79,'Vocus RVC ExDa'!$C$2:$R$155, 3,FALSE), IFERROR(VLOOKUP(A79,'Fusion ExDa'!$B$2:$D$16, 2,FALSE), IFERROR(VLOOKUP(A79,'Exetel ExDa'!$C$2:$N$14, 2,FALSE), IFERROR(VLOOKUP(A79,'Infinet ExDa'!$B$2:$E$14, 2,FALSE), "Not Found"))))))))</f>
        <v>0</v>
      </c>
      <c r="D79" t="str">
        <f>IFERROR(VLOOKUP($A79,'AAPT ExDa'!$B$2:$U$99, 15,FALSE), IFERROR(VLOOKUP($A79,'ABB ExDa'!$A$2:$N$184, 4,FALSE), IFERROR(VLOOKUP($A79,'Vocus SIT ExDa'!$B$2:$J$173, 5,FALSE), IFERROR(VLOOKUP($A79,'Telstra ExDa'!$B$2:$K$310, 8,FALSE), IFERROR(VLOOKUP($A79,'Vocus RVC ExDa'!$C$2:$R$155, 6,FALSE), IFERROR(VLOOKUP($A79,'Fusion ExDa'!$B$2:$D$16, 4,FALSE), IFERROR(VLOOKUP($A79,'Exetel ExDa'!$C$2:$N$14, 3,FALSE), IFERROR(VLOOKUP($A79,'Infinet ExDa'!$B$2:$E$14, 3,FALSE), "Not Found"))))))))</f>
        <v>AAPT</v>
      </c>
      <c r="E79" t="str">
        <f>IFERROR(VLOOKUP($A79,'AAPT ExDa'!$B$2:$U$99, 3,FALSE), IFERROR(VLOOKUP($A79,'ABB ExDa'!$A$2:$N$184, 5,FALSE), IFERROR(VLOOKUP($A79,'Vocus SIT ExDa'!$B$2:$J$173, 2,FALSE), IFERROR(VLOOKUP($A79,'Telstra ExDa'!$B$2:$K$310, 4,FALSE), IFERROR(VLOOKUP($A79,'Vocus RVC ExDa'!$C$2:$R$155, 8,FALSE), IFERROR(VLOOKUP($A79,'Fusion ExDa'!$B$2:$D$16, 4,FALSE), IFERROR(VLOOKUP($A79,'Exetel ExDa'!$C$2:$N$14, 5,FALSE), IFERROR(VLOOKUP($A79,'Infinet ExDa'!$B$2:$E$14, 3,FALSE), "Not Found"))))))))</f>
        <v>IP-Line</v>
      </c>
      <c r="F79" t="str">
        <f>IFERROR(VLOOKUP($A79,'AAPT ExDa'!$B$2:$U$99, 4,FALSE), IFERROR(VLOOKUP($A79,'ABB ExDa'!$A$2:$N$184, 6,FALSE), IFERROR(VLOOKUP($A79,'Vocus SIT ExDa'!$B$2:$J$173, 3,FALSE), IFERROR(VLOOKUP($A79,'Telstra ExDa'!$B$2:$K$310, 5,FALSE), IFERROR(VLOOKUP($A79,'Vocus RVC ExDa'!$C$2:$R$155, 9,FALSE), IFERROR(VLOOKUP($A79,'Fusion ExDa'!$B$2:$D$16, 0,FALSE), IFERROR(VLOOKUP($A79,'Exetel ExDa'!$C$2:$N$14, 6,FALSE), IFERROR(VLOOKUP($A79,'Infinet ExDa'!$B$2:$E$14, 0,FALSE), "Not Found"))))))))</f>
        <v>IP-Line Link</v>
      </c>
      <c r="G79" t="str">
        <f>IFERROR(VLOOKUP($A79,'AAPT ExDa'!$B$2:$U$99, 5,FALSE), IFERROR(VLOOKUP($A79,'ABB ExDa'!$A$2:$N$184, 8,FALSE), IFERROR(VLOOKUP($A79,'Vocus SIT ExDa'!$B$2:$J$173, 6,FALSE), IFERROR(VLOOKUP($A79,'Telstra ExDa'!$B$2:$K$310, 0,FALSE), IFERROR(VLOOKUP($A79,'Vocus RVC ExDa'!$C$2:$R$155, 15,FALSE), IFERROR(VLOOKUP($A79,'Fusion ExDa'!$B$2:$D$16, 0,FALSE), IFERROR(VLOOKUP($A79,'Exetel ExDa'!$C$2:$N$14, 7,FALSE), IFERROR(VLOOKUP($A79,'Infinet ExDa'!$B$2:$E$14, 0,FALSE), "Not Found"))))))))</f>
        <v>Connecting IP-Line 6023265 to Access 1989132</v>
      </c>
      <c r="H79" t="str">
        <f>IFERROR(VLOOKUP($A79,'AAPT ExDa'!$B$2:$U$99, 6,FALSE), IFERROR(VLOOKUP($A79,'ABB ExDa'!$A$2:$N$184, 0,FALSE), IFERROR(VLOOKUP($A79,'Vocus SIT ExDa'!$B$2:$J$173, 0,FALSE), IFERROR(VLOOKUP($A79,'Telstra ExDa'!$B$2:$K$310, 0,FALSE), IFERROR(VLOOKUP($A79,'Vocus RVC ExDa'!$C$2:$R$155, 16,FALSE), IFERROR(VLOOKUP($A79,'Fusion ExDa'!$B$2:$D$16, 0,FALSE), IFERROR(VLOOKUP($A79,'Exetel ExDa'!$C$2:$N$14, 0,FALSE), IFERROR(VLOOKUP($A79,'Infinet ExDa'!$B$2:$E$14, 0,FALSE), "Not Found"))))))))</f>
        <v>Up to 100/40Mbps; AVC ID:AVC000124232826</v>
      </c>
      <c r="I79" t="str">
        <f>IFERROR(VLOOKUP($A79,'AAPT ExDa'!$B$2:$U$99, 0,FALSE), IFERROR(VLOOKUP($A79,'ABB ExDa'!$A$2:$N$184, 0,FALSE), IFERROR(VLOOKUP($A79,'Vocus SIT ExDa'!$B$2:$J$173, 0,FALSE), IFERROR(VLOOKUP($A79,'Telstra ExDa'!$B$2:$K$310, 0,FALSE), IFERROR(VLOOKUP($A79,'Vocus RVC ExDa'!$C$2:$R$155, 0,FALSE), IFERROR(VLOOKUP($A79,'Fusion ExDa'!$B$2:$D$16, 0,FALSE), IFERROR(VLOOKUP($A79,'Exetel ExDa'!$C$2:$N$14, 8,FALSE), IFERROR(VLOOKUP($A79,'Infinet ExDa'!$B$2:$E$14, 0,FALSE), "Not Found"))))))))</f>
        <v>Not Found</v>
      </c>
      <c r="J79" t="str">
        <f>IFERROR(VLOOKUP($A79,'AAPT ExDa'!$B$2:$U$99, 7,FALSE), IFERROR(VLOOKUP($A79,'ABB ExDa'!$A$2:$N$184, 2,FALSE), IFERROR(VLOOKUP($A79,'Vocus SIT ExDa'!$B$2:$J$173, 0,FALSE), IFERROR(VLOOKUP($A79,'Telstra ExDa'!$B$2:$K$310, 7,FALSE), IFERROR(VLOOKUP($A79,'Vocus RVC ExDa'!$C$2:$R$155, 2,FALSE), IFERROR(VLOOKUP($A79,'Fusion ExDa'!$B$2:$D$16, 3,FALSE), IFERROR(VLOOKUP($A79,'Exetel ExDa'!$C$2:$N$14, 0,FALSE), IFERROR(VLOOKUP($A79,'Infinet ExDa'!$B$2:$E$14, 0,FALSE), "Not Found"))))))))</f>
        <v>AVC000124232826</v>
      </c>
      <c r="K79" t="str">
        <f>IFERROR(VLOOKUP($A79,'AAPT ExDa'!$B$2:$U$99, 12,FALSE), IFERROR(VLOOKUP($A79,'ABB ExDa'!$A$2:$N$184, 0,FALSE), IFERROR(VLOOKUP($A79,'Vocus SIT ExDa'!$B$2:$J$173, 0,FALSE), IFERROR(VLOOKUP($A79,'Telstra ExDa'!$B$2:$K$310, 0,FALSE), IFERROR(VLOOKUP($A79,'Vocus RVC ExDa'!$C$2:$R$155, 0,FALSE), IFERROR(VLOOKUP($A79,'Fusion ExDa'!$B$2:$D$16, 0,FALSE), IFERROR(VLOOKUP($A79,'Exetel ExDa'!$C$2:$N$14, 12,FALSE), IFERROR(VLOOKUP($A79,'Infinet ExDa'!$B$2:$E$14, 0,FALSE), "Not Found"))))))))</f>
        <v>24 Months</v>
      </c>
      <c r="L79" s="235">
        <f>IFERROR(VLOOKUP($A79,'AAPT ExDa'!$B$2:$U$99, 11,FALSE), IFERROR(VLOOKUP($A79,'ABB ExDa'!$A$2:$N$184, 9,FALSE), IFERROR(VLOOKUP($A79,'Vocus SIT ExDa'!$B$2:$J$173, 8,FALSE), IFERROR(VLOOKUP($A79,'Telstra ExDa'!$B$2:$K$310, 0,FALSE), IFERROR(VLOOKUP($A79,'Vocus RVC ExDa'!$C$2:$R$155, 0,FALSE), IFERROR(VLOOKUP($A79,'Fusion ExDa'!$B$2:$D$16, 0,FALSE), IFERROR(VLOOKUP($A79,'Exetel ExDa'!$C$2:$N$14, 9,FALSE), IFERROR(VLOOKUP($A79,'Infinet ExDa'!$B$2:$E$14, 0,FALSE), "Not Found"))))))))</f>
        <v>44321</v>
      </c>
      <c r="M79" s="234" t="str">
        <f>IFERROR(VLOOKUP($A79,'AAPT ExDa'!$B$2:$U$99, 0,FALSE), IFERROR(VLOOKUP($A79,'ABB ExDa'!$A$2:$N$184, 0,FALSE), IFERROR(VLOOKUP($A79,'Vocus SIT ExDa'!$B$2:$J$173, 0,FALSE), IFERROR(VLOOKUP($A79,'Telstra ExDa'!$B$2:$K$310, 0,FALSE), IFERROR(VLOOKUP($A79,'Vocus RVC ExDa'!$C$2:$R$155, 0,FALSE), IFERROR(VLOOKUP($A79,'Fusion ExDa'!$B$2:$D$16, 0,FALSE), IFERROR(VLOOKUP($A79,'Exetel ExDa'!$C$2:$N$14, 11,FALSE), IFERROR(VLOOKUP($A79,'Infinet ExDa'!$B$2:$E$14, 0,FALSE), "Not Found"))))))))</f>
        <v>Not Found</v>
      </c>
      <c r="N79" t="str">
        <f>IFERROR(VLOOKUP($A79,'AAPT ExDa'!$B$2:$U$99, 0,FALSE), IFERROR(VLOOKUP($A79,'ABB ExDa'!$A$2:$N$184, 13,FALSE), IFERROR(VLOOKUP($A79,'Vocus SIT ExDa'!$B$2:$J$173, 0,FALSE), IFERROR(VLOOKUP($A79,'Telstra ExDa'!$B$2:$K$310, 0,FALSE), IFERROR(VLOOKUP($A79,'Vocus RVC ExDa'!$C$2:$R$155, 0,FALSE), IFERROR(VLOOKUP($A79,'Fusion ExDa'!$B$2:$D$16, 0,FALSE), IFERROR(VLOOKUP($A79,'Exetel ExDa'!$C$2:$N$14, 0,FALSE), IFERROR(VLOOKUP($A79,'Infinet ExDa'!$B$2:$E$14, 0,FALSE), "Not Found"))))))))</f>
        <v>TBA</v>
      </c>
    </row>
    <row r="80" spans="1:14">
      <c r="A80" t="str">
        <v>Spring Projects</v>
      </c>
      <c r="B80" t="str">
        <f>IFERROR(VLOOKUP(A80,'Exetel ExDa'!$C$2:$N$14,4,FALSE),"No Data")</f>
        <v>No Data</v>
      </c>
      <c r="C80">
        <f>IFERROR(VLOOKUP(A80,'AAPT ExDa'!$B$2:$U$99, 2,FALSE), IFERROR(VLOOKUP(A80,'ABB ExDa'!$A$2:$N$184, 2,FALSE), IFERROR(VLOOKUP(A80,'Vocus SIT ExDa'!$B$2:$J$173, 7,FALSE), IFERROR(VLOOKUP(A80,'Telstra ExDa'!$B$2:$K$310, 2,FALSE), IFERROR(VLOOKUP(A80,'Vocus RVC ExDa'!$C$2:$R$155, 3,FALSE), IFERROR(VLOOKUP(A80,'Fusion ExDa'!$B$2:$D$16, 2,FALSE), IFERROR(VLOOKUP(A80,'Exetel ExDa'!$C$2:$N$14, 2,FALSE), IFERROR(VLOOKUP(A80,'Infinet ExDa'!$B$2:$E$14, 2,FALSE), "Not Found"))))))))</f>
        <v>0</v>
      </c>
      <c r="D80" t="str">
        <f>IFERROR(VLOOKUP($A80,'AAPT ExDa'!$B$2:$U$99, 15,FALSE), IFERROR(VLOOKUP($A80,'ABB ExDa'!$A$2:$N$184, 4,FALSE), IFERROR(VLOOKUP($A80,'Vocus SIT ExDa'!$B$2:$J$173, 5,FALSE), IFERROR(VLOOKUP($A80,'Telstra ExDa'!$B$2:$K$310, 8,FALSE), IFERROR(VLOOKUP($A80,'Vocus RVC ExDa'!$C$2:$R$155, 6,FALSE), IFERROR(VLOOKUP($A80,'Fusion ExDa'!$B$2:$D$16, 4,FALSE), IFERROR(VLOOKUP($A80,'Exetel ExDa'!$C$2:$N$14, 3,FALSE), IFERROR(VLOOKUP($A80,'Infinet ExDa'!$B$2:$E$14, 3,FALSE), "Not Found"))))))))</f>
        <v>AAPT</v>
      </c>
      <c r="E80" t="str">
        <f>IFERROR(VLOOKUP($A80,'AAPT ExDa'!$B$2:$U$99, 3,FALSE), IFERROR(VLOOKUP($A80,'ABB ExDa'!$A$2:$N$184, 5,FALSE), IFERROR(VLOOKUP($A80,'Vocus SIT ExDa'!$B$2:$J$173, 2,FALSE), IFERROR(VLOOKUP($A80,'Telstra ExDa'!$B$2:$K$310, 4,FALSE), IFERROR(VLOOKUP($A80,'Vocus RVC ExDa'!$C$2:$R$155, 8,FALSE), IFERROR(VLOOKUP($A80,'Fusion ExDa'!$B$2:$D$16, 4,FALSE), IFERROR(VLOOKUP($A80,'Exetel ExDa'!$C$2:$N$14, 5,FALSE), IFERROR(VLOOKUP($A80,'Infinet ExDa'!$B$2:$E$14, 3,FALSE), "Not Found"))))))))</f>
        <v>IP-Line</v>
      </c>
      <c r="F80" t="str">
        <f>IFERROR(VLOOKUP($A80,'AAPT ExDa'!$B$2:$U$99, 4,FALSE), IFERROR(VLOOKUP($A80,'ABB ExDa'!$A$2:$N$184, 6,FALSE), IFERROR(VLOOKUP($A80,'Vocus SIT ExDa'!$B$2:$J$173, 3,FALSE), IFERROR(VLOOKUP($A80,'Telstra ExDa'!$B$2:$K$310, 5,FALSE), IFERROR(VLOOKUP($A80,'Vocus RVC ExDa'!$C$2:$R$155, 9,FALSE), IFERROR(VLOOKUP($A80,'Fusion ExDa'!$B$2:$D$16, 0,FALSE), IFERROR(VLOOKUP($A80,'Exetel ExDa'!$C$2:$N$14, 6,FALSE), IFERROR(VLOOKUP($A80,'Infinet ExDa'!$B$2:$E$14, 0,FALSE), "Not Found"))))))))</f>
        <v>IP-Line Link</v>
      </c>
      <c r="G80" t="str">
        <f>IFERROR(VLOOKUP($A80,'AAPT ExDa'!$B$2:$U$99, 5,FALSE), IFERROR(VLOOKUP($A80,'ABB ExDa'!$A$2:$N$184, 8,FALSE), IFERROR(VLOOKUP($A80,'Vocus SIT ExDa'!$B$2:$J$173, 6,FALSE), IFERROR(VLOOKUP($A80,'Telstra ExDa'!$B$2:$K$310, 0,FALSE), IFERROR(VLOOKUP($A80,'Vocus RVC ExDa'!$C$2:$R$155, 15,FALSE), IFERROR(VLOOKUP($A80,'Fusion ExDa'!$B$2:$D$16, 0,FALSE), IFERROR(VLOOKUP($A80,'Exetel ExDa'!$C$2:$N$14, 7,FALSE), IFERROR(VLOOKUP($A80,'Infinet ExDa'!$B$2:$E$14, 0,FALSE), "Not Found"))))))))</f>
        <v xml:space="preserve">Connecting IP-Line 6023265 to Access 100825446
28 CHURCH STREET LOWER Fortitude Valley QLD 4006
</v>
      </c>
      <c r="H80" t="str">
        <f>IFERROR(VLOOKUP($A80,'AAPT ExDa'!$B$2:$U$99, 6,FALSE), IFERROR(VLOOKUP($A80,'ABB ExDa'!$A$2:$N$184, 0,FALSE), IFERROR(VLOOKUP($A80,'Vocus SIT ExDa'!$B$2:$J$173, 0,FALSE), IFERROR(VLOOKUP($A80,'Telstra ExDa'!$B$2:$K$310, 0,FALSE), IFERROR(VLOOKUP($A80,'Vocus RVC ExDa'!$C$2:$R$155, 16,FALSE), IFERROR(VLOOKUP($A80,'Fusion ExDa'!$B$2:$D$16, 0,FALSE), IFERROR(VLOOKUP($A80,'Exetel ExDa'!$C$2:$N$14, 0,FALSE), IFERROR(VLOOKUP($A80,'Infinet ExDa'!$B$2:$E$14, 0,FALSE), "Not Found"))))))))</f>
        <v>Up to 100/40Mbps; AVC ID:AVC000161182476</v>
      </c>
      <c r="I80" t="str">
        <f>IFERROR(VLOOKUP($A80,'AAPT ExDa'!$B$2:$U$99, 0,FALSE), IFERROR(VLOOKUP($A80,'ABB ExDa'!$A$2:$N$184, 0,FALSE), IFERROR(VLOOKUP($A80,'Vocus SIT ExDa'!$B$2:$J$173, 0,FALSE), IFERROR(VLOOKUP($A80,'Telstra ExDa'!$B$2:$K$310, 0,FALSE), IFERROR(VLOOKUP($A80,'Vocus RVC ExDa'!$C$2:$R$155, 0,FALSE), IFERROR(VLOOKUP($A80,'Fusion ExDa'!$B$2:$D$16, 0,FALSE), IFERROR(VLOOKUP($A80,'Exetel ExDa'!$C$2:$N$14, 8,FALSE), IFERROR(VLOOKUP($A80,'Infinet ExDa'!$B$2:$E$14, 0,FALSE), "Not Found"))))))))</f>
        <v>Not Found</v>
      </c>
      <c r="J80" t="str">
        <f>IFERROR(VLOOKUP($A80,'AAPT ExDa'!$B$2:$U$99, 7,FALSE), IFERROR(VLOOKUP($A80,'ABB ExDa'!$A$2:$N$184, 2,FALSE), IFERROR(VLOOKUP($A80,'Vocus SIT ExDa'!$B$2:$J$173, 0,FALSE), IFERROR(VLOOKUP($A80,'Telstra ExDa'!$B$2:$K$310, 7,FALSE), IFERROR(VLOOKUP($A80,'Vocus RVC ExDa'!$C$2:$R$155, 2,FALSE), IFERROR(VLOOKUP($A80,'Fusion ExDa'!$B$2:$D$16, 3,FALSE), IFERROR(VLOOKUP($A80,'Exetel ExDa'!$C$2:$N$14, 0,FALSE), IFERROR(VLOOKUP($A80,'Infinet ExDa'!$B$2:$E$14, 0,FALSE), "Not Found"))))))))</f>
        <v>AVC000161182476</v>
      </c>
      <c r="K80" t="str">
        <f>IFERROR(VLOOKUP($A80,'AAPT ExDa'!$B$2:$U$99, 12,FALSE), IFERROR(VLOOKUP($A80,'ABB ExDa'!$A$2:$N$184, 0,FALSE), IFERROR(VLOOKUP($A80,'Vocus SIT ExDa'!$B$2:$J$173, 0,FALSE), IFERROR(VLOOKUP($A80,'Telstra ExDa'!$B$2:$K$310, 0,FALSE), IFERROR(VLOOKUP($A80,'Vocus RVC ExDa'!$C$2:$R$155, 0,FALSE), IFERROR(VLOOKUP($A80,'Fusion ExDa'!$B$2:$D$16, 0,FALSE), IFERROR(VLOOKUP($A80,'Exetel ExDa'!$C$2:$N$14, 12,FALSE), IFERROR(VLOOKUP($A80,'Infinet ExDa'!$B$2:$E$14, 0,FALSE), "Not Found"))))))))</f>
        <v>24 Months</v>
      </c>
      <c r="L80" s="235">
        <f>IFERROR(VLOOKUP($A80,'AAPT ExDa'!$B$2:$U$99, 11,FALSE), IFERROR(VLOOKUP($A80,'ABB ExDa'!$A$2:$N$184, 9,FALSE), IFERROR(VLOOKUP($A80,'Vocus SIT ExDa'!$B$2:$J$173, 8,FALSE), IFERROR(VLOOKUP($A80,'Telstra ExDa'!$B$2:$K$310, 0,FALSE), IFERROR(VLOOKUP($A80,'Vocus RVC ExDa'!$C$2:$R$155, 0,FALSE), IFERROR(VLOOKUP($A80,'Fusion ExDa'!$B$2:$D$16, 0,FALSE), IFERROR(VLOOKUP($A80,'Exetel ExDa'!$C$2:$N$14, 9,FALSE), IFERROR(VLOOKUP($A80,'Infinet ExDa'!$B$2:$E$14, 0,FALSE), "Not Found"))))))))</f>
        <v>44845</v>
      </c>
      <c r="M80" s="234" t="str">
        <f>IFERROR(VLOOKUP($A80,'AAPT ExDa'!$B$2:$U$99, 0,FALSE), IFERROR(VLOOKUP($A80,'ABB ExDa'!$A$2:$N$184, 0,FALSE), IFERROR(VLOOKUP($A80,'Vocus SIT ExDa'!$B$2:$J$173, 0,FALSE), IFERROR(VLOOKUP($A80,'Telstra ExDa'!$B$2:$K$310, 0,FALSE), IFERROR(VLOOKUP($A80,'Vocus RVC ExDa'!$C$2:$R$155, 0,FALSE), IFERROR(VLOOKUP($A80,'Fusion ExDa'!$B$2:$D$16, 0,FALSE), IFERROR(VLOOKUP($A80,'Exetel ExDa'!$C$2:$N$14, 11,FALSE), IFERROR(VLOOKUP($A80,'Infinet ExDa'!$B$2:$E$14, 0,FALSE), "Not Found"))))))))</f>
        <v>Not Found</v>
      </c>
      <c r="N80" t="str">
        <f>IFERROR(VLOOKUP($A80,'AAPT ExDa'!$B$2:$U$99, 0,FALSE), IFERROR(VLOOKUP($A80,'ABB ExDa'!$A$2:$N$184, 13,FALSE), IFERROR(VLOOKUP($A80,'Vocus SIT ExDa'!$B$2:$J$173, 0,FALSE), IFERROR(VLOOKUP($A80,'Telstra ExDa'!$B$2:$K$310, 0,FALSE), IFERROR(VLOOKUP($A80,'Vocus RVC ExDa'!$C$2:$R$155, 0,FALSE), IFERROR(VLOOKUP($A80,'Fusion ExDa'!$B$2:$D$16, 0,FALSE), IFERROR(VLOOKUP($A80,'Exetel ExDa'!$C$2:$N$14, 0,FALSE), IFERROR(VLOOKUP($A80,'Infinet ExDa'!$B$2:$E$14, 0,FALSE), "Not Found"))))))))</f>
        <v>Not Found</v>
      </c>
    </row>
    <row r="81" spans="1:14">
      <c r="A81" t="str">
        <v>STA Consulting Engineers</v>
      </c>
      <c r="B81" t="str">
        <f>IFERROR(VLOOKUP(A81,'Exetel ExDa'!$C$2:$N$14,4,FALSE),"No Data")</f>
        <v>No Data</v>
      </c>
      <c r="C81" t="str">
        <f>IFERROR(VLOOKUP(A81,'AAPT ExDa'!$B$2:$U$99, 2,FALSE), IFERROR(VLOOKUP(A81,'ABB ExDa'!$A$2:$N$184, 2,FALSE), IFERROR(VLOOKUP(A81,'Vocus SIT ExDa'!$B$2:$J$173, 7,FALSE), IFERROR(VLOOKUP(A81,'Telstra ExDa'!$B$2:$K$310, 2,FALSE), IFERROR(VLOOKUP(A81,'Vocus RVC ExDa'!$C$2:$R$155, 3,FALSE), IFERROR(VLOOKUP(A81,'Fusion ExDa'!$B$2:$D$16, 2,FALSE), IFERROR(VLOOKUP(A81,'Exetel ExDa'!$C$2:$N$14, 2,FALSE), IFERROR(VLOOKUP(A81,'Infinet ExDa'!$B$2:$E$14, 2,FALSE), "Not Found"))))))))</f>
        <v xml:space="preserve"> oTtherie</v>
      </c>
      <c r="D81" t="str">
        <f>IFERROR(VLOOKUP($A81,'AAPT ExDa'!$B$2:$U$99, 15,FALSE), IFERROR(VLOOKUP($A81,'ABB ExDa'!$A$2:$N$184, 4,FALSE), IFERROR(VLOOKUP($A81,'Vocus SIT ExDa'!$B$2:$J$173, 5,FALSE), IFERROR(VLOOKUP($A81,'Telstra ExDa'!$B$2:$K$310, 8,FALSE), IFERROR(VLOOKUP($A81,'Vocus RVC ExDa'!$C$2:$R$155, 6,FALSE), IFERROR(VLOOKUP($A81,'Fusion ExDa'!$B$2:$D$16, 4,FALSE), IFERROR(VLOOKUP($A81,'Exetel ExDa'!$C$2:$N$14, 3,FALSE), IFERROR(VLOOKUP($A81,'Infinet ExDa'!$B$2:$E$14, 3,FALSE), "Not Found"))))))))</f>
        <v>AAPT</v>
      </c>
      <c r="E81" t="str">
        <f>IFERROR(VLOOKUP($A81,'AAPT ExDa'!$B$2:$U$99, 3,FALSE), IFERROR(VLOOKUP($A81,'ABB ExDa'!$A$2:$N$184, 5,FALSE), IFERROR(VLOOKUP($A81,'Vocus SIT ExDa'!$B$2:$J$173, 2,FALSE), IFERROR(VLOOKUP($A81,'Telstra ExDa'!$B$2:$K$310, 4,FALSE), IFERROR(VLOOKUP($A81,'Vocus RVC ExDa'!$C$2:$R$155, 8,FALSE), IFERROR(VLOOKUP($A81,'Fusion ExDa'!$B$2:$D$16, 4,FALSE), IFERROR(VLOOKUP($A81,'Exetel ExDa'!$C$2:$N$14, 5,FALSE), IFERROR(VLOOKUP($A81,'Infinet ExDa'!$B$2:$E$14, 3,FALSE), "Not Found"))))))))</f>
        <v>FAST Fibre</v>
      </c>
      <c r="F81" t="str">
        <f>IFERROR(VLOOKUP($A81,'AAPT ExDa'!$B$2:$U$99, 4,FALSE), IFERROR(VLOOKUP($A81,'ABB ExDa'!$A$2:$N$184, 6,FALSE), IFERROR(VLOOKUP($A81,'Vocus SIT ExDa'!$B$2:$J$173, 3,FALSE), IFERROR(VLOOKUP($A81,'Telstra ExDa'!$B$2:$K$310, 5,FALSE), IFERROR(VLOOKUP($A81,'Vocus RVC ExDa'!$C$2:$R$155, 9,FALSE), IFERROR(VLOOKUP($A81,'Fusion ExDa'!$B$2:$D$16, 0,FALSE), IFERROR(VLOOKUP($A81,'Exetel ExDa'!$C$2:$N$14, 6,FALSE), IFERROR(VLOOKUP($A81,'Infinet ExDa'!$B$2:$E$14, 0,FALSE), "Not Found"))))))))</f>
        <v>FAST Fibre (NTU)</v>
      </c>
      <c r="G81">
        <f>IFERROR(VLOOKUP($A81,'AAPT ExDa'!$B$2:$U$99, 5,FALSE), IFERROR(VLOOKUP($A81,'ABB ExDa'!$A$2:$N$184, 8,FALSE), IFERROR(VLOOKUP($A81,'Vocus SIT ExDa'!$B$2:$J$173, 6,FALSE), IFERROR(VLOOKUP($A81,'Telstra ExDa'!$B$2:$K$310, 0,FALSE), IFERROR(VLOOKUP($A81,'Vocus RVC ExDa'!$C$2:$R$155, 15,FALSE), IFERROR(VLOOKUP($A81,'Fusion ExDa'!$B$2:$D$16, 0,FALSE), IFERROR(VLOOKUP($A81,'Exetel ExDa'!$C$2:$N$14, 7,FALSE), IFERROR(VLOOKUP($A81,'Infinet ExDa'!$B$2:$E$14, 0,FALSE), "Not Found"))))))))</f>
        <v>0</v>
      </c>
      <c r="H81" t="str">
        <f>IFERROR(VLOOKUP($A81,'AAPT ExDa'!$B$2:$U$99, 6,FALSE), IFERROR(VLOOKUP($A81,'ABB ExDa'!$A$2:$N$184, 0,FALSE), IFERROR(VLOOKUP($A81,'Vocus SIT ExDa'!$B$2:$J$173, 0,FALSE), IFERROR(VLOOKUP($A81,'Telstra ExDa'!$B$2:$K$310, 0,FALSE), IFERROR(VLOOKUP($A81,'Vocus RVC ExDa'!$C$2:$R$155, 16,FALSE), IFERROR(VLOOKUP($A81,'Fusion ExDa'!$B$2:$D$16, 0,FALSE), IFERROR(VLOOKUP($A81,'Exetel ExDa'!$C$2:$N$14, 0,FALSE), IFERROR(VLOOKUP($A81,'Infinet ExDa'!$B$2:$E$14, 0,FALSE), "Not Found"))))))))</f>
        <v>1000 Mbps; 48 Months</v>
      </c>
      <c r="I81" t="str">
        <f>IFERROR(VLOOKUP($A81,'AAPT ExDa'!$B$2:$U$99, 0,FALSE), IFERROR(VLOOKUP($A81,'ABB ExDa'!$A$2:$N$184, 0,FALSE), IFERROR(VLOOKUP($A81,'Vocus SIT ExDa'!$B$2:$J$173, 0,FALSE), IFERROR(VLOOKUP($A81,'Telstra ExDa'!$B$2:$K$310, 0,FALSE), IFERROR(VLOOKUP($A81,'Vocus RVC ExDa'!$C$2:$R$155, 0,FALSE), IFERROR(VLOOKUP($A81,'Fusion ExDa'!$B$2:$D$16, 0,FALSE), IFERROR(VLOOKUP($A81,'Exetel ExDa'!$C$2:$N$14, 8,FALSE), IFERROR(VLOOKUP($A81,'Infinet ExDa'!$B$2:$E$14, 0,FALSE), "Not Found"))))))))</f>
        <v>Not Found</v>
      </c>
      <c r="J81">
        <f>IFERROR(VLOOKUP($A81,'AAPT ExDa'!$B$2:$U$99, 7,FALSE), IFERROR(VLOOKUP($A81,'ABB ExDa'!$A$2:$N$184, 2,FALSE), IFERROR(VLOOKUP($A81,'Vocus SIT ExDa'!$B$2:$J$173, 0,FALSE), IFERROR(VLOOKUP($A81,'Telstra ExDa'!$B$2:$K$310, 7,FALSE), IFERROR(VLOOKUP($A81,'Vocus RVC ExDa'!$C$2:$R$155, 2,FALSE), IFERROR(VLOOKUP($A81,'Fusion ExDa'!$B$2:$D$16, 3,FALSE), IFERROR(VLOOKUP($A81,'Exetel ExDa'!$C$2:$N$14, 0,FALSE), IFERROR(VLOOKUP($A81,'Infinet ExDa'!$B$2:$E$14, 0,FALSE), "Not Found"))))))))</f>
        <v>0</v>
      </c>
      <c r="K81" t="str">
        <f>IFERROR(VLOOKUP($A81,'AAPT ExDa'!$B$2:$U$99, 12,FALSE), IFERROR(VLOOKUP($A81,'ABB ExDa'!$A$2:$N$184, 0,FALSE), IFERROR(VLOOKUP($A81,'Vocus SIT ExDa'!$B$2:$J$173, 0,FALSE), IFERROR(VLOOKUP($A81,'Telstra ExDa'!$B$2:$K$310, 0,FALSE), IFERROR(VLOOKUP($A81,'Vocus RVC ExDa'!$C$2:$R$155, 0,FALSE), IFERROR(VLOOKUP($A81,'Fusion ExDa'!$B$2:$D$16, 0,FALSE), IFERROR(VLOOKUP($A81,'Exetel ExDa'!$C$2:$N$14, 12,FALSE), IFERROR(VLOOKUP($A81,'Infinet ExDa'!$B$2:$E$14, 0,FALSE), "Not Found"))))))))</f>
        <v>48 Months</v>
      </c>
      <c r="L81" s="235">
        <f>IFERROR(VLOOKUP($A81,'AAPT ExDa'!$B$2:$U$99, 11,FALSE), IFERROR(VLOOKUP($A81,'ABB ExDa'!$A$2:$N$184, 9,FALSE), IFERROR(VLOOKUP($A81,'Vocus SIT ExDa'!$B$2:$J$173, 8,FALSE), IFERROR(VLOOKUP($A81,'Telstra ExDa'!$B$2:$K$310, 0,FALSE), IFERROR(VLOOKUP($A81,'Vocus RVC ExDa'!$C$2:$R$155, 0,FALSE), IFERROR(VLOOKUP($A81,'Fusion ExDa'!$B$2:$D$16, 0,FALSE), IFERROR(VLOOKUP($A81,'Exetel ExDa'!$C$2:$N$14, 9,FALSE), IFERROR(VLOOKUP($A81,'Infinet ExDa'!$B$2:$E$14, 0,FALSE), "Not Found"))))))))</f>
        <v>43961</v>
      </c>
      <c r="M81" s="234" t="str">
        <f>IFERROR(VLOOKUP($A81,'AAPT ExDa'!$B$2:$U$99, 0,FALSE), IFERROR(VLOOKUP($A81,'ABB ExDa'!$A$2:$N$184, 0,FALSE), IFERROR(VLOOKUP($A81,'Vocus SIT ExDa'!$B$2:$J$173, 0,FALSE), IFERROR(VLOOKUP($A81,'Telstra ExDa'!$B$2:$K$310, 0,FALSE), IFERROR(VLOOKUP($A81,'Vocus RVC ExDa'!$C$2:$R$155, 0,FALSE), IFERROR(VLOOKUP($A81,'Fusion ExDa'!$B$2:$D$16, 0,FALSE), IFERROR(VLOOKUP($A81,'Exetel ExDa'!$C$2:$N$14, 11,FALSE), IFERROR(VLOOKUP($A81,'Infinet ExDa'!$B$2:$E$14, 0,FALSE), "Not Found"))))))))</f>
        <v>Not Found</v>
      </c>
      <c r="N81" t="str">
        <f>IFERROR(VLOOKUP($A81,'AAPT ExDa'!$B$2:$U$99, 0,FALSE), IFERROR(VLOOKUP($A81,'ABB ExDa'!$A$2:$N$184, 13,FALSE), IFERROR(VLOOKUP($A81,'Vocus SIT ExDa'!$B$2:$J$173, 0,FALSE), IFERROR(VLOOKUP($A81,'Telstra ExDa'!$B$2:$K$310, 0,FALSE), IFERROR(VLOOKUP($A81,'Vocus RVC ExDa'!$C$2:$R$155, 0,FALSE), IFERROR(VLOOKUP($A81,'Fusion ExDa'!$B$2:$D$16, 0,FALSE), IFERROR(VLOOKUP($A81,'Exetel ExDa'!$C$2:$N$14, 0,FALSE), IFERROR(VLOOKUP($A81,'Infinet ExDa'!$B$2:$E$14, 0,FALSE), "Not Found"))))))))</f>
        <v>Not Found</v>
      </c>
    </row>
    <row r="82" spans="1:14">
      <c r="A82" t="str">
        <v>STA Consulting Engineers</v>
      </c>
      <c r="B82" t="str">
        <f>IFERROR(VLOOKUP(A82,'Exetel ExDa'!$C$2:$N$14,4,FALSE),"No Data")</f>
        <v>No Data</v>
      </c>
      <c r="C82" t="str">
        <f>IFERROR(VLOOKUP(A82,'AAPT ExDa'!$B$2:$U$99, 2,FALSE), IFERROR(VLOOKUP(A82,'ABB ExDa'!$A$2:$N$184, 2,FALSE), IFERROR(VLOOKUP(A82,'Vocus SIT ExDa'!$B$2:$J$173, 7,FALSE), IFERROR(VLOOKUP(A82,'Telstra ExDa'!$B$2:$K$310, 2,FALSE), IFERROR(VLOOKUP(A82,'Vocus RVC ExDa'!$C$2:$R$155, 3,FALSE), IFERROR(VLOOKUP(A82,'Fusion ExDa'!$B$2:$D$16, 2,FALSE), IFERROR(VLOOKUP(A82,'Exetel ExDa'!$C$2:$N$14, 2,FALSE), IFERROR(VLOOKUP(A82,'Infinet ExDa'!$B$2:$E$14, 2,FALSE), "Not Found"))))))))</f>
        <v xml:space="preserve"> oTtherie</v>
      </c>
      <c r="D82" t="str">
        <f>IFERROR(VLOOKUP($A82,'AAPT ExDa'!$B$2:$U$99, 15,FALSE), IFERROR(VLOOKUP($A82,'ABB ExDa'!$A$2:$N$184, 4,FALSE), IFERROR(VLOOKUP($A82,'Vocus SIT ExDa'!$B$2:$J$173, 5,FALSE), IFERROR(VLOOKUP($A82,'Telstra ExDa'!$B$2:$K$310, 8,FALSE), IFERROR(VLOOKUP($A82,'Vocus RVC ExDa'!$C$2:$R$155, 6,FALSE), IFERROR(VLOOKUP($A82,'Fusion ExDa'!$B$2:$D$16, 4,FALSE), IFERROR(VLOOKUP($A82,'Exetel ExDa'!$C$2:$N$14, 3,FALSE), IFERROR(VLOOKUP($A82,'Infinet ExDa'!$B$2:$E$14, 3,FALSE), "Not Found"))))))))</f>
        <v>AAPT</v>
      </c>
      <c r="E82" t="str">
        <f>IFERROR(VLOOKUP($A82,'AAPT ExDa'!$B$2:$U$99, 3,FALSE), IFERROR(VLOOKUP($A82,'ABB ExDa'!$A$2:$N$184, 5,FALSE), IFERROR(VLOOKUP($A82,'Vocus SIT ExDa'!$B$2:$J$173, 2,FALSE), IFERROR(VLOOKUP($A82,'Telstra ExDa'!$B$2:$K$310, 4,FALSE), IFERROR(VLOOKUP($A82,'Vocus RVC ExDa'!$C$2:$R$155, 8,FALSE), IFERROR(VLOOKUP($A82,'Fusion ExDa'!$B$2:$D$16, 4,FALSE), IFERROR(VLOOKUP($A82,'Exetel ExDa'!$C$2:$N$14, 5,FALSE), IFERROR(VLOOKUP($A82,'Infinet ExDa'!$B$2:$E$14, 3,FALSE), "Not Found"))))))))</f>
        <v>FAST Fibre</v>
      </c>
      <c r="F82" t="str">
        <f>IFERROR(VLOOKUP($A82,'AAPT ExDa'!$B$2:$U$99, 4,FALSE), IFERROR(VLOOKUP($A82,'ABB ExDa'!$A$2:$N$184, 6,FALSE), IFERROR(VLOOKUP($A82,'Vocus SIT ExDa'!$B$2:$J$173, 3,FALSE), IFERROR(VLOOKUP($A82,'Telstra ExDa'!$B$2:$K$310, 5,FALSE), IFERROR(VLOOKUP($A82,'Vocus RVC ExDa'!$C$2:$R$155, 9,FALSE), IFERROR(VLOOKUP($A82,'Fusion ExDa'!$B$2:$D$16, 0,FALSE), IFERROR(VLOOKUP($A82,'Exetel ExDa'!$C$2:$N$14, 6,FALSE), IFERROR(VLOOKUP($A82,'Infinet ExDa'!$B$2:$E$14, 0,FALSE), "Not Found"))))))))</f>
        <v>FAST Fibre (NTU)</v>
      </c>
      <c r="G82">
        <f>IFERROR(VLOOKUP($A82,'AAPT ExDa'!$B$2:$U$99, 5,FALSE), IFERROR(VLOOKUP($A82,'ABB ExDa'!$A$2:$N$184, 8,FALSE), IFERROR(VLOOKUP($A82,'Vocus SIT ExDa'!$B$2:$J$173, 6,FALSE), IFERROR(VLOOKUP($A82,'Telstra ExDa'!$B$2:$K$310, 0,FALSE), IFERROR(VLOOKUP($A82,'Vocus RVC ExDa'!$C$2:$R$155, 15,FALSE), IFERROR(VLOOKUP($A82,'Fusion ExDa'!$B$2:$D$16, 0,FALSE), IFERROR(VLOOKUP($A82,'Exetel ExDa'!$C$2:$N$14, 7,FALSE), IFERROR(VLOOKUP($A82,'Infinet ExDa'!$B$2:$E$14, 0,FALSE), "Not Found"))))))))</f>
        <v>0</v>
      </c>
      <c r="H82" t="str">
        <f>IFERROR(VLOOKUP($A82,'AAPT ExDa'!$B$2:$U$99, 6,FALSE), IFERROR(VLOOKUP($A82,'ABB ExDa'!$A$2:$N$184, 0,FALSE), IFERROR(VLOOKUP($A82,'Vocus SIT ExDa'!$B$2:$J$173, 0,FALSE), IFERROR(VLOOKUP($A82,'Telstra ExDa'!$B$2:$K$310, 0,FALSE), IFERROR(VLOOKUP($A82,'Vocus RVC ExDa'!$C$2:$R$155, 16,FALSE), IFERROR(VLOOKUP($A82,'Fusion ExDa'!$B$2:$D$16, 0,FALSE), IFERROR(VLOOKUP($A82,'Exetel ExDa'!$C$2:$N$14, 0,FALSE), IFERROR(VLOOKUP($A82,'Infinet ExDa'!$B$2:$E$14, 0,FALSE), "Not Found"))))))))</f>
        <v>1000 Mbps; 48 Months</v>
      </c>
      <c r="I82" t="str">
        <f>IFERROR(VLOOKUP($A82,'AAPT ExDa'!$B$2:$U$99, 0,FALSE), IFERROR(VLOOKUP($A82,'ABB ExDa'!$A$2:$N$184, 0,FALSE), IFERROR(VLOOKUP($A82,'Vocus SIT ExDa'!$B$2:$J$173, 0,FALSE), IFERROR(VLOOKUP($A82,'Telstra ExDa'!$B$2:$K$310, 0,FALSE), IFERROR(VLOOKUP($A82,'Vocus RVC ExDa'!$C$2:$R$155, 0,FALSE), IFERROR(VLOOKUP($A82,'Fusion ExDa'!$B$2:$D$16, 0,FALSE), IFERROR(VLOOKUP($A82,'Exetel ExDa'!$C$2:$N$14, 8,FALSE), IFERROR(VLOOKUP($A82,'Infinet ExDa'!$B$2:$E$14, 0,FALSE), "Not Found"))))))))</f>
        <v>Not Found</v>
      </c>
      <c r="J82">
        <f>IFERROR(VLOOKUP($A82,'AAPT ExDa'!$B$2:$U$99, 7,FALSE), IFERROR(VLOOKUP($A82,'ABB ExDa'!$A$2:$N$184, 2,FALSE), IFERROR(VLOOKUP($A82,'Vocus SIT ExDa'!$B$2:$J$173, 0,FALSE), IFERROR(VLOOKUP($A82,'Telstra ExDa'!$B$2:$K$310, 7,FALSE), IFERROR(VLOOKUP($A82,'Vocus RVC ExDa'!$C$2:$R$155, 2,FALSE), IFERROR(VLOOKUP($A82,'Fusion ExDa'!$B$2:$D$16, 3,FALSE), IFERROR(VLOOKUP($A82,'Exetel ExDa'!$C$2:$N$14, 0,FALSE), IFERROR(VLOOKUP($A82,'Infinet ExDa'!$B$2:$E$14, 0,FALSE), "Not Found"))))))))</f>
        <v>0</v>
      </c>
      <c r="K82" t="str">
        <f>IFERROR(VLOOKUP($A82,'AAPT ExDa'!$B$2:$U$99, 12,FALSE), IFERROR(VLOOKUP($A82,'ABB ExDa'!$A$2:$N$184, 0,FALSE), IFERROR(VLOOKUP($A82,'Vocus SIT ExDa'!$B$2:$J$173, 0,FALSE), IFERROR(VLOOKUP($A82,'Telstra ExDa'!$B$2:$K$310, 0,FALSE), IFERROR(VLOOKUP($A82,'Vocus RVC ExDa'!$C$2:$R$155, 0,FALSE), IFERROR(VLOOKUP($A82,'Fusion ExDa'!$B$2:$D$16, 0,FALSE), IFERROR(VLOOKUP($A82,'Exetel ExDa'!$C$2:$N$14, 12,FALSE), IFERROR(VLOOKUP($A82,'Infinet ExDa'!$B$2:$E$14, 0,FALSE), "Not Found"))))))))</f>
        <v>48 Months</v>
      </c>
      <c r="L82" s="235">
        <f>IFERROR(VLOOKUP($A82,'AAPT ExDa'!$B$2:$U$99, 11,FALSE), IFERROR(VLOOKUP($A82,'ABB ExDa'!$A$2:$N$184, 9,FALSE), IFERROR(VLOOKUP($A82,'Vocus SIT ExDa'!$B$2:$J$173, 8,FALSE), IFERROR(VLOOKUP($A82,'Telstra ExDa'!$B$2:$K$310, 0,FALSE), IFERROR(VLOOKUP($A82,'Vocus RVC ExDa'!$C$2:$R$155, 0,FALSE), IFERROR(VLOOKUP($A82,'Fusion ExDa'!$B$2:$D$16, 0,FALSE), IFERROR(VLOOKUP($A82,'Exetel ExDa'!$C$2:$N$14, 9,FALSE), IFERROR(VLOOKUP($A82,'Infinet ExDa'!$B$2:$E$14, 0,FALSE), "Not Found"))))))))</f>
        <v>43961</v>
      </c>
      <c r="M82" s="234" t="str">
        <f>IFERROR(VLOOKUP($A82,'AAPT ExDa'!$B$2:$U$99, 0,FALSE), IFERROR(VLOOKUP($A82,'ABB ExDa'!$A$2:$N$184, 0,FALSE), IFERROR(VLOOKUP($A82,'Vocus SIT ExDa'!$B$2:$J$173, 0,FALSE), IFERROR(VLOOKUP($A82,'Telstra ExDa'!$B$2:$K$310, 0,FALSE), IFERROR(VLOOKUP($A82,'Vocus RVC ExDa'!$C$2:$R$155, 0,FALSE), IFERROR(VLOOKUP($A82,'Fusion ExDa'!$B$2:$D$16, 0,FALSE), IFERROR(VLOOKUP($A82,'Exetel ExDa'!$C$2:$N$14, 11,FALSE), IFERROR(VLOOKUP($A82,'Infinet ExDa'!$B$2:$E$14, 0,FALSE), "Not Found"))))))))</f>
        <v>Not Found</v>
      </c>
      <c r="N82" t="str">
        <f>IFERROR(VLOOKUP($A82,'AAPT ExDa'!$B$2:$U$99, 0,FALSE), IFERROR(VLOOKUP($A82,'ABB ExDa'!$A$2:$N$184, 13,FALSE), IFERROR(VLOOKUP($A82,'Vocus SIT ExDa'!$B$2:$J$173, 0,FALSE), IFERROR(VLOOKUP($A82,'Telstra ExDa'!$B$2:$K$310, 0,FALSE), IFERROR(VLOOKUP($A82,'Vocus RVC ExDa'!$C$2:$R$155, 0,FALSE), IFERROR(VLOOKUP($A82,'Fusion ExDa'!$B$2:$D$16, 0,FALSE), IFERROR(VLOOKUP($A82,'Exetel ExDa'!$C$2:$N$14, 0,FALSE), IFERROR(VLOOKUP($A82,'Infinet ExDa'!$B$2:$E$14, 0,FALSE), "Not Found"))))))))</f>
        <v>Not Found</v>
      </c>
    </row>
    <row r="83" spans="1:14">
      <c r="A83" t="str">
        <v>STA Consulting Engineers</v>
      </c>
      <c r="B83" t="str">
        <f>IFERROR(VLOOKUP(A83,'Exetel ExDa'!$C$2:$N$14,4,FALSE),"No Data")</f>
        <v>No Data</v>
      </c>
      <c r="C83" t="str">
        <f>IFERROR(VLOOKUP(A83,'AAPT ExDa'!$B$2:$U$99, 2,FALSE), IFERROR(VLOOKUP(A83,'ABB ExDa'!$A$2:$N$184, 2,FALSE), IFERROR(VLOOKUP(A83,'Vocus SIT ExDa'!$B$2:$J$173, 7,FALSE), IFERROR(VLOOKUP(A83,'Telstra ExDa'!$B$2:$K$310, 2,FALSE), IFERROR(VLOOKUP(A83,'Vocus RVC ExDa'!$C$2:$R$155, 3,FALSE), IFERROR(VLOOKUP(A83,'Fusion ExDa'!$B$2:$D$16, 2,FALSE), IFERROR(VLOOKUP(A83,'Exetel ExDa'!$C$2:$N$14, 2,FALSE), IFERROR(VLOOKUP(A83,'Infinet ExDa'!$B$2:$E$14, 2,FALSE), "Not Found"))))))))</f>
        <v xml:space="preserve"> oTtherie</v>
      </c>
      <c r="D83" t="str">
        <f>IFERROR(VLOOKUP($A83,'AAPT ExDa'!$B$2:$U$99, 15,FALSE), IFERROR(VLOOKUP($A83,'ABB ExDa'!$A$2:$N$184, 4,FALSE), IFERROR(VLOOKUP($A83,'Vocus SIT ExDa'!$B$2:$J$173, 5,FALSE), IFERROR(VLOOKUP($A83,'Telstra ExDa'!$B$2:$K$310, 8,FALSE), IFERROR(VLOOKUP($A83,'Vocus RVC ExDa'!$C$2:$R$155, 6,FALSE), IFERROR(VLOOKUP($A83,'Fusion ExDa'!$B$2:$D$16, 4,FALSE), IFERROR(VLOOKUP($A83,'Exetel ExDa'!$C$2:$N$14, 3,FALSE), IFERROR(VLOOKUP($A83,'Infinet ExDa'!$B$2:$E$14, 3,FALSE), "Not Found"))))))))</f>
        <v>AAPT</v>
      </c>
      <c r="E83" t="str">
        <f>IFERROR(VLOOKUP($A83,'AAPT ExDa'!$B$2:$U$99, 3,FALSE), IFERROR(VLOOKUP($A83,'ABB ExDa'!$A$2:$N$184, 5,FALSE), IFERROR(VLOOKUP($A83,'Vocus SIT ExDa'!$B$2:$J$173, 2,FALSE), IFERROR(VLOOKUP($A83,'Telstra ExDa'!$B$2:$K$310, 4,FALSE), IFERROR(VLOOKUP($A83,'Vocus RVC ExDa'!$C$2:$R$155, 8,FALSE), IFERROR(VLOOKUP($A83,'Fusion ExDa'!$B$2:$D$16, 4,FALSE), IFERROR(VLOOKUP($A83,'Exetel ExDa'!$C$2:$N$14, 5,FALSE), IFERROR(VLOOKUP($A83,'Infinet ExDa'!$B$2:$E$14, 3,FALSE), "Not Found"))))))))</f>
        <v>FAST Fibre</v>
      </c>
      <c r="F83" t="str">
        <f>IFERROR(VLOOKUP($A83,'AAPT ExDa'!$B$2:$U$99, 4,FALSE), IFERROR(VLOOKUP($A83,'ABB ExDa'!$A$2:$N$184, 6,FALSE), IFERROR(VLOOKUP($A83,'Vocus SIT ExDa'!$B$2:$J$173, 3,FALSE), IFERROR(VLOOKUP($A83,'Telstra ExDa'!$B$2:$K$310, 5,FALSE), IFERROR(VLOOKUP($A83,'Vocus RVC ExDa'!$C$2:$R$155, 9,FALSE), IFERROR(VLOOKUP($A83,'Fusion ExDa'!$B$2:$D$16, 0,FALSE), IFERROR(VLOOKUP($A83,'Exetel ExDa'!$C$2:$N$14, 6,FALSE), IFERROR(VLOOKUP($A83,'Infinet ExDa'!$B$2:$E$14, 0,FALSE), "Not Found"))))))))</f>
        <v>FAST Fibre (NTU)</v>
      </c>
      <c r="G83">
        <f>IFERROR(VLOOKUP($A83,'AAPT ExDa'!$B$2:$U$99, 5,FALSE), IFERROR(VLOOKUP($A83,'ABB ExDa'!$A$2:$N$184, 8,FALSE), IFERROR(VLOOKUP($A83,'Vocus SIT ExDa'!$B$2:$J$173, 6,FALSE), IFERROR(VLOOKUP($A83,'Telstra ExDa'!$B$2:$K$310, 0,FALSE), IFERROR(VLOOKUP($A83,'Vocus RVC ExDa'!$C$2:$R$155, 15,FALSE), IFERROR(VLOOKUP($A83,'Fusion ExDa'!$B$2:$D$16, 0,FALSE), IFERROR(VLOOKUP($A83,'Exetel ExDa'!$C$2:$N$14, 7,FALSE), IFERROR(VLOOKUP($A83,'Infinet ExDa'!$B$2:$E$14, 0,FALSE), "Not Found"))))))))</f>
        <v>0</v>
      </c>
      <c r="H83" t="str">
        <f>IFERROR(VLOOKUP($A83,'AAPT ExDa'!$B$2:$U$99, 6,FALSE), IFERROR(VLOOKUP($A83,'ABB ExDa'!$A$2:$N$184, 0,FALSE), IFERROR(VLOOKUP($A83,'Vocus SIT ExDa'!$B$2:$J$173, 0,FALSE), IFERROR(VLOOKUP($A83,'Telstra ExDa'!$B$2:$K$310, 0,FALSE), IFERROR(VLOOKUP($A83,'Vocus RVC ExDa'!$C$2:$R$155, 16,FALSE), IFERROR(VLOOKUP($A83,'Fusion ExDa'!$B$2:$D$16, 0,FALSE), IFERROR(VLOOKUP($A83,'Exetel ExDa'!$C$2:$N$14, 0,FALSE), IFERROR(VLOOKUP($A83,'Infinet ExDa'!$B$2:$E$14, 0,FALSE), "Not Found"))))))))</f>
        <v>1000 Mbps; 48 Months</v>
      </c>
      <c r="I83" t="str">
        <f>IFERROR(VLOOKUP($A83,'AAPT ExDa'!$B$2:$U$99, 0,FALSE), IFERROR(VLOOKUP($A83,'ABB ExDa'!$A$2:$N$184, 0,FALSE), IFERROR(VLOOKUP($A83,'Vocus SIT ExDa'!$B$2:$J$173, 0,FALSE), IFERROR(VLOOKUP($A83,'Telstra ExDa'!$B$2:$K$310, 0,FALSE), IFERROR(VLOOKUP($A83,'Vocus RVC ExDa'!$C$2:$R$155, 0,FALSE), IFERROR(VLOOKUP($A83,'Fusion ExDa'!$B$2:$D$16, 0,FALSE), IFERROR(VLOOKUP($A83,'Exetel ExDa'!$C$2:$N$14, 8,FALSE), IFERROR(VLOOKUP($A83,'Infinet ExDa'!$B$2:$E$14, 0,FALSE), "Not Found"))))))))</f>
        <v>Not Found</v>
      </c>
      <c r="J83">
        <f>IFERROR(VLOOKUP($A83,'AAPT ExDa'!$B$2:$U$99, 7,FALSE), IFERROR(VLOOKUP($A83,'ABB ExDa'!$A$2:$N$184, 2,FALSE), IFERROR(VLOOKUP($A83,'Vocus SIT ExDa'!$B$2:$J$173, 0,FALSE), IFERROR(VLOOKUP($A83,'Telstra ExDa'!$B$2:$K$310, 7,FALSE), IFERROR(VLOOKUP($A83,'Vocus RVC ExDa'!$C$2:$R$155, 2,FALSE), IFERROR(VLOOKUP($A83,'Fusion ExDa'!$B$2:$D$16, 3,FALSE), IFERROR(VLOOKUP($A83,'Exetel ExDa'!$C$2:$N$14, 0,FALSE), IFERROR(VLOOKUP($A83,'Infinet ExDa'!$B$2:$E$14, 0,FALSE), "Not Found"))))))))</f>
        <v>0</v>
      </c>
      <c r="K83" t="str">
        <f>IFERROR(VLOOKUP($A83,'AAPT ExDa'!$B$2:$U$99, 12,FALSE), IFERROR(VLOOKUP($A83,'ABB ExDa'!$A$2:$N$184, 0,FALSE), IFERROR(VLOOKUP($A83,'Vocus SIT ExDa'!$B$2:$J$173, 0,FALSE), IFERROR(VLOOKUP($A83,'Telstra ExDa'!$B$2:$K$310, 0,FALSE), IFERROR(VLOOKUP($A83,'Vocus RVC ExDa'!$C$2:$R$155, 0,FALSE), IFERROR(VLOOKUP($A83,'Fusion ExDa'!$B$2:$D$16, 0,FALSE), IFERROR(VLOOKUP($A83,'Exetel ExDa'!$C$2:$N$14, 12,FALSE), IFERROR(VLOOKUP($A83,'Infinet ExDa'!$B$2:$E$14, 0,FALSE), "Not Found"))))))))</f>
        <v>48 Months</v>
      </c>
      <c r="L83" s="235">
        <f>IFERROR(VLOOKUP($A83,'AAPT ExDa'!$B$2:$U$99, 11,FALSE), IFERROR(VLOOKUP($A83,'ABB ExDa'!$A$2:$N$184, 9,FALSE), IFERROR(VLOOKUP($A83,'Vocus SIT ExDa'!$B$2:$J$173, 8,FALSE), IFERROR(VLOOKUP($A83,'Telstra ExDa'!$B$2:$K$310, 0,FALSE), IFERROR(VLOOKUP($A83,'Vocus RVC ExDa'!$C$2:$R$155, 0,FALSE), IFERROR(VLOOKUP($A83,'Fusion ExDa'!$B$2:$D$16, 0,FALSE), IFERROR(VLOOKUP($A83,'Exetel ExDa'!$C$2:$N$14, 9,FALSE), IFERROR(VLOOKUP($A83,'Infinet ExDa'!$B$2:$E$14, 0,FALSE), "Not Found"))))))))</f>
        <v>43961</v>
      </c>
      <c r="M83" s="234" t="str">
        <f>IFERROR(VLOOKUP($A83,'AAPT ExDa'!$B$2:$U$99, 0,FALSE), IFERROR(VLOOKUP($A83,'ABB ExDa'!$A$2:$N$184, 0,FALSE), IFERROR(VLOOKUP($A83,'Vocus SIT ExDa'!$B$2:$J$173, 0,FALSE), IFERROR(VLOOKUP($A83,'Telstra ExDa'!$B$2:$K$310, 0,FALSE), IFERROR(VLOOKUP($A83,'Vocus RVC ExDa'!$C$2:$R$155, 0,FALSE), IFERROR(VLOOKUP($A83,'Fusion ExDa'!$B$2:$D$16, 0,FALSE), IFERROR(VLOOKUP($A83,'Exetel ExDa'!$C$2:$N$14, 11,FALSE), IFERROR(VLOOKUP($A83,'Infinet ExDa'!$B$2:$E$14, 0,FALSE), "Not Found"))))))))</f>
        <v>Not Found</v>
      </c>
      <c r="N83" t="str">
        <f>IFERROR(VLOOKUP($A83,'AAPT ExDa'!$B$2:$U$99, 0,FALSE), IFERROR(VLOOKUP($A83,'ABB ExDa'!$A$2:$N$184, 13,FALSE), IFERROR(VLOOKUP($A83,'Vocus SIT ExDa'!$B$2:$J$173, 0,FALSE), IFERROR(VLOOKUP($A83,'Telstra ExDa'!$B$2:$K$310, 0,FALSE), IFERROR(VLOOKUP($A83,'Vocus RVC ExDa'!$C$2:$R$155, 0,FALSE), IFERROR(VLOOKUP($A83,'Fusion ExDa'!$B$2:$D$16, 0,FALSE), IFERROR(VLOOKUP($A83,'Exetel ExDa'!$C$2:$N$14, 0,FALSE), IFERROR(VLOOKUP($A83,'Infinet ExDa'!$B$2:$E$14, 0,FALSE), "Not Found"))))))))</f>
        <v>Not Found</v>
      </c>
    </row>
    <row r="84" spans="1:14">
      <c r="A84" t="str">
        <v>STA Consulting Engineers</v>
      </c>
      <c r="B84" t="str">
        <f>IFERROR(VLOOKUP(A84,'Exetel ExDa'!$C$2:$N$14,4,FALSE),"No Data")</f>
        <v>No Data</v>
      </c>
      <c r="C84" t="str">
        <f>IFERROR(VLOOKUP(A84,'AAPT ExDa'!$B$2:$U$99, 2,FALSE), IFERROR(VLOOKUP(A84,'ABB ExDa'!$A$2:$N$184, 2,FALSE), IFERROR(VLOOKUP(A84,'Vocus SIT ExDa'!$B$2:$J$173, 7,FALSE), IFERROR(VLOOKUP(A84,'Telstra ExDa'!$B$2:$K$310, 2,FALSE), IFERROR(VLOOKUP(A84,'Vocus RVC ExDa'!$C$2:$R$155, 3,FALSE), IFERROR(VLOOKUP(A84,'Fusion ExDa'!$B$2:$D$16, 2,FALSE), IFERROR(VLOOKUP(A84,'Exetel ExDa'!$C$2:$N$14, 2,FALSE), IFERROR(VLOOKUP(A84,'Infinet ExDa'!$B$2:$E$14, 2,FALSE), "Not Found"))))))))</f>
        <v xml:space="preserve"> oTtherie</v>
      </c>
      <c r="D84" t="str">
        <f>IFERROR(VLOOKUP($A84,'AAPT ExDa'!$B$2:$U$99, 15,FALSE), IFERROR(VLOOKUP($A84,'ABB ExDa'!$A$2:$N$184, 4,FALSE), IFERROR(VLOOKUP($A84,'Vocus SIT ExDa'!$B$2:$J$173, 5,FALSE), IFERROR(VLOOKUP($A84,'Telstra ExDa'!$B$2:$K$310, 8,FALSE), IFERROR(VLOOKUP($A84,'Vocus RVC ExDa'!$C$2:$R$155, 6,FALSE), IFERROR(VLOOKUP($A84,'Fusion ExDa'!$B$2:$D$16, 4,FALSE), IFERROR(VLOOKUP($A84,'Exetel ExDa'!$C$2:$N$14, 3,FALSE), IFERROR(VLOOKUP($A84,'Infinet ExDa'!$B$2:$E$14, 3,FALSE), "Not Found"))))))))</f>
        <v>AAPT</v>
      </c>
      <c r="E84" t="str">
        <f>IFERROR(VLOOKUP($A84,'AAPT ExDa'!$B$2:$U$99, 3,FALSE), IFERROR(VLOOKUP($A84,'ABB ExDa'!$A$2:$N$184, 5,FALSE), IFERROR(VLOOKUP($A84,'Vocus SIT ExDa'!$B$2:$J$173, 2,FALSE), IFERROR(VLOOKUP($A84,'Telstra ExDa'!$B$2:$K$310, 4,FALSE), IFERROR(VLOOKUP($A84,'Vocus RVC ExDa'!$C$2:$R$155, 8,FALSE), IFERROR(VLOOKUP($A84,'Fusion ExDa'!$B$2:$D$16, 4,FALSE), IFERROR(VLOOKUP($A84,'Exetel ExDa'!$C$2:$N$14, 5,FALSE), IFERROR(VLOOKUP($A84,'Infinet ExDa'!$B$2:$E$14, 3,FALSE), "Not Found"))))))))</f>
        <v>FAST Fibre</v>
      </c>
      <c r="F84" t="str">
        <f>IFERROR(VLOOKUP($A84,'AAPT ExDa'!$B$2:$U$99, 4,FALSE), IFERROR(VLOOKUP($A84,'ABB ExDa'!$A$2:$N$184, 6,FALSE), IFERROR(VLOOKUP($A84,'Vocus SIT ExDa'!$B$2:$J$173, 3,FALSE), IFERROR(VLOOKUP($A84,'Telstra ExDa'!$B$2:$K$310, 5,FALSE), IFERROR(VLOOKUP($A84,'Vocus RVC ExDa'!$C$2:$R$155, 9,FALSE), IFERROR(VLOOKUP($A84,'Fusion ExDa'!$B$2:$D$16, 0,FALSE), IFERROR(VLOOKUP($A84,'Exetel ExDa'!$C$2:$N$14, 6,FALSE), IFERROR(VLOOKUP($A84,'Infinet ExDa'!$B$2:$E$14, 0,FALSE), "Not Found"))))))))</f>
        <v>FAST Fibre (NTU)</v>
      </c>
      <c r="G84">
        <f>IFERROR(VLOOKUP($A84,'AAPT ExDa'!$B$2:$U$99, 5,FALSE), IFERROR(VLOOKUP($A84,'ABB ExDa'!$A$2:$N$184, 8,FALSE), IFERROR(VLOOKUP($A84,'Vocus SIT ExDa'!$B$2:$J$173, 6,FALSE), IFERROR(VLOOKUP($A84,'Telstra ExDa'!$B$2:$K$310, 0,FALSE), IFERROR(VLOOKUP($A84,'Vocus RVC ExDa'!$C$2:$R$155, 15,FALSE), IFERROR(VLOOKUP($A84,'Fusion ExDa'!$B$2:$D$16, 0,FALSE), IFERROR(VLOOKUP($A84,'Exetel ExDa'!$C$2:$N$14, 7,FALSE), IFERROR(VLOOKUP($A84,'Infinet ExDa'!$B$2:$E$14, 0,FALSE), "Not Found"))))))))</f>
        <v>0</v>
      </c>
      <c r="H84" t="str">
        <f>IFERROR(VLOOKUP($A84,'AAPT ExDa'!$B$2:$U$99, 6,FALSE), IFERROR(VLOOKUP($A84,'ABB ExDa'!$A$2:$N$184, 0,FALSE), IFERROR(VLOOKUP($A84,'Vocus SIT ExDa'!$B$2:$J$173, 0,FALSE), IFERROR(VLOOKUP($A84,'Telstra ExDa'!$B$2:$K$310, 0,FALSE), IFERROR(VLOOKUP($A84,'Vocus RVC ExDa'!$C$2:$R$155, 16,FALSE), IFERROR(VLOOKUP($A84,'Fusion ExDa'!$B$2:$D$16, 0,FALSE), IFERROR(VLOOKUP($A84,'Exetel ExDa'!$C$2:$N$14, 0,FALSE), IFERROR(VLOOKUP($A84,'Infinet ExDa'!$B$2:$E$14, 0,FALSE), "Not Found"))))))))</f>
        <v>1000 Mbps; 48 Months</v>
      </c>
      <c r="I84" t="str">
        <f>IFERROR(VLOOKUP($A84,'AAPT ExDa'!$B$2:$U$99, 0,FALSE), IFERROR(VLOOKUP($A84,'ABB ExDa'!$A$2:$N$184, 0,FALSE), IFERROR(VLOOKUP($A84,'Vocus SIT ExDa'!$B$2:$J$173, 0,FALSE), IFERROR(VLOOKUP($A84,'Telstra ExDa'!$B$2:$K$310, 0,FALSE), IFERROR(VLOOKUP($A84,'Vocus RVC ExDa'!$C$2:$R$155, 0,FALSE), IFERROR(VLOOKUP($A84,'Fusion ExDa'!$B$2:$D$16, 0,FALSE), IFERROR(VLOOKUP($A84,'Exetel ExDa'!$C$2:$N$14, 8,FALSE), IFERROR(VLOOKUP($A84,'Infinet ExDa'!$B$2:$E$14, 0,FALSE), "Not Found"))))))))</f>
        <v>Not Found</v>
      </c>
      <c r="J84">
        <f>IFERROR(VLOOKUP($A84,'AAPT ExDa'!$B$2:$U$99, 7,FALSE), IFERROR(VLOOKUP($A84,'ABB ExDa'!$A$2:$N$184, 2,FALSE), IFERROR(VLOOKUP($A84,'Vocus SIT ExDa'!$B$2:$J$173, 0,FALSE), IFERROR(VLOOKUP($A84,'Telstra ExDa'!$B$2:$K$310, 7,FALSE), IFERROR(VLOOKUP($A84,'Vocus RVC ExDa'!$C$2:$R$155, 2,FALSE), IFERROR(VLOOKUP($A84,'Fusion ExDa'!$B$2:$D$16, 3,FALSE), IFERROR(VLOOKUP($A84,'Exetel ExDa'!$C$2:$N$14, 0,FALSE), IFERROR(VLOOKUP($A84,'Infinet ExDa'!$B$2:$E$14, 0,FALSE), "Not Found"))))))))</f>
        <v>0</v>
      </c>
      <c r="K84" t="str">
        <f>IFERROR(VLOOKUP($A84,'AAPT ExDa'!$B$2:$U$99, 12,FALSE), IFERROR(VLOOKUP($A84,'ABB ExDa'!$A$2:$N$184, 0,FALSE), IFERROR(VLOOKUP($A84,'Vocus SIT ExDa'!$B$2:$J$173, 0,FALSE), IFERROR(VLOOKUP($A84,'Telstra ExDa'!$B$2:$K$310, 0,FALSE), IFERROR(VLOOKUP($A84,'Vocus RVC ExDa'!$C$2:$R$155, 0,FALSE), IFERROR(VLOOKUP($A84,'Fusion ExDa'!$B$2:$D$16, 0,FALSE), IFERROR(VLOOKUP($A84,'Exetel ExDa'!$C$2:$N$14, 12,FALSE), IFERROR(VLOOKUP($A84,'Infinet ExDa'!$B$2:$E$14, 0,FALSE), "Not Found"))))))))</f>
        <v>48 Months</v>
      </c>
      <c r="L84" s="235">
        <f>IFERROR(VLOOKUP($A84,'AAPT ExDa'!$B$2:$U$99, 11,FALSE), IFERROR(VLOOKUP($A84,'ABB ExDa'!$A$2:$N$184, 9,FALSE), IFERROR(VLOOKUP($A84,'Vocus SIT ExDa'!$B$2:$J$173, 8,FALSE), IFERROR(VLOOKUP($A84,'Telstra ExDa'!$B$2:$K$310, 0,FALSE), IFERROR(VLOOKUP($A84,'Vocus RVC ExDa'!$C$2:$R$155, 0,FALSE), IFERROR(VLOOKUP($A84,'Fusion ExDa'!$B$2:$D$16, 0,FALSE), IFERROR(VLOOKUP($A84,'Exetel ExDa'!$C$2:$N$14, 9,FALSE), IFERROR(VLOOKUP($A84,'Infinet ExDa'!$B$2:$E$14, 0,FALSE), "Not Found"))))))))</f>
        <v>43961</v>
      </c>
      <c r="M84" s="234" t="str">
        <f>IFERROR(VLOOKUP($A84,'AAPT ExDa'!$B$2:$U$99, 0,FALSE), IFERROR(VLOOKUP($A84,'ABB ExDa'!$A$2:$N$184, 0,FALSE), IFERROR(VLOOKUP($A84,'Vocus SIT ExDa'!$B$2:$J$173, 0,FALSE), IFERROR(VLOOKUP($A84,'Telstra ExDa'!$B$2:$K$310, 0,FALSE), IFERROR(VLOOKUP($A84,'Vocus RVC ExDa'!$C$2:$R$155, 0,FALSE), IFERROR(VLOOKUP($A84,'Fusion ExDa'!$B$2:$D$16, 0,FALSE), IFERROR(VLOOKUP($A84,'Exetel ExDa'!$C$2:$N$14, 11,FALSE), IFERROR(VLOOKUP($A84,'Infinet ExDa'!$B$2:$E$14, 0,FALSE), "Not Found"))))))))</f>
        <v>Not Found</v>
      </c>
      <c r="N84" t="str">
        <f>IFERROR(VLOOKUP($A84,'AAPT ExDa'!$B$2:$U$99, 0,FALSE), IFERROR(VLOOKUP($A84,'ABB ExDa'!$A$2:$N$184, 13,FALSE), IFERROR(VLOOKUP($A84,'Vocus SIT ExDa'!$B$2:$J$173, 0,FALSE), IFERROR(VLOOKUP($A84,'Telstra ExDa'!$B$2:$K$310, 0,FALSE), IFERROR(VLOOKUP($A84,'Vocus RVC ExDa'!$C$2:$R$155, 0,FALSE), IFERROR(VLOOKUP($A84,'Fusion ExDa'!$B$2:$D$16, 0,FALSE), IFERROR(VLOOKUP($A84,'Exetel ExDa'!$C$2:$N$14, 0,FALSE), IFERROR(VLOOKUP($A84,'Infinet ExDa'!$B$2:$E$14, 0,FALSE), "Not Found"))))))))</f>
        <v>Not Found</v>
      </c>
    </row>
    <row r="85" spans="1:14">
      <c r="A85" t="str">
        <v>Strata Dynamics</v>
      </c>
      <c r="B85" t="str">
        <f>IFERROR(VLOOKUP(A85,'Exetel ExDa'!$C$2:$N$14,4,FALSE),"No Data")</f>
        <v>No Data</v>
      </c>
      <c r="C85" t="str">
        <f>IFERROR(VLOOKUP(A85,'AAPT ExDa'!$B$2:$U$99, 2,FALSE), IFERROR(VLOOKUP(A85,'ABB ExDa'!$A$2:$N$184, 2,FALSE), IFERROR(VLOOKUP(A85,'Vocus SIT ExDa'!$B$2:$J$173, 7,FALSE), IFERROR(VLOOKUP(A85,'Telstra ExDa'!$B$2:$K$310, 2,FALSE), IFERROR(VLOOKUP(A85,'Vocus RVC ExDa'!$C$2:$R$155, 3,FALSE), IFERROR(VLOOKUP(A85,'Fusion ExDa'!$B$2:$D$16, 2,FALSE), IFERROR(VLOOKUP(A85,'Exetel ExDa'!$C$2:$N$14, 2,FALSE), IFERROR(VLOOKUP(A85,'Infinet ExDa'!$B$2:$E$14, 2,FALSE), "Not Found"))))))))</f>
        <v>Southport</v>
      </c>
      <c r="D85" t="str">
        <f>IFERROR(VLOOKUP($A85,'AAPT ExDa'!$B$2:$U$99, 15,FALSE), IFERROR(VLOOKUP($A85,'ABB ExDa'!$A$2:$N$184, 4,FALSE), IFERROR(VLOOKUP($A85,'Vocus SIT ExDa'!$B$2:$J$173, 5,FALSE), IFERROR(VLOOKUP($A85,'Telstra ExDa'!$B$2:$K$310, 8,FALSE), IFERROR(VLOOKUP($A85,'Vocus RVC ExDa'!$C$2:$R$155, 6,FALSE), IFERROR(VLOOKUP($A85,'Fusion ExDa'!$B$2:$D$16, 4,FALSE), IFERROR(VLOOKUP($A85,'Exetel ExDa'!$C$2:$N$14, 3,FALSE), IFERROR(VLOOKUP($A85,'Infinet ExDa'!$B$2:$E$14, 3,FALSE), "Not Found"))))))))</f>
        <v>AAPT</v>
      </c>
      <c r="E85" t="str">
        <f>IFERROR(VLOOKUP($A85,'AAPT ExDa'!$B$2:$U$99, 3,FALSE), IFERROR(VLOOKUP($A85,'ABB ExDa'!$A$2:$N$184, 5,FALSE), IFERROR(VLOOKUP($A85,'Vocus SIT ExDa'!$B$2:$J$173, 2,FALSE), IFERROR(VLOOKUP($A85,'Telstra ExDa'!$B$2:$K$310, 4,FALSE), IFERROR(VLOOKUP($A85,'Vocus RVC ExDa'!$C$2:$R$155, 8,FALSE), IFERROR(VLOOKUP($A85,'Fusion ExDa'!$B$2:$D$16, 4,FALSE), IFERROR(VLOOKUP($A85,'Exetel ExDa'!$C$2:$N$14, 5,FALSE), IFERROR(VLOOKUP($A85,'Infinet ExDa'!$B$2:$E$14, 3,FALSE), "Not Found"))))))))</f>
        <v>FAST Fibre</v>
      </c>
      <c r="F85" t="str">
        <f>IFERROR(VLOOKUP($A85,'AAPT ExDa'!$B$2:$U$99, 4,FALSE), IFERROR(VLOOKUP($A85,'ABB ExDa'!$A$2:$N$184, 6,FALSE), IFERROR(VLOOKUP($A85,'Vocus SIT ExDa'!$B$2:$J$173, 3,FALSE), IFERROR(VLOOKUP($A85,'Telstra ExDa'!$B$2:$K$310, 5,FALSE), IFERROR(VLOOKUP($A85,'Vocus RVC ExDa'!$C$2:$R$155, 9,FALSE), IFERROR(VLOOKUP($A85,'Fusion ExDa'!$B$2:$D$16, 0,FALSE), IFERROR(VLOOKUP($A85,'Exetel ExDa'!$C$2:$N$14, 6,FALSE), IFERROR(VLOOKUP($A85,'Infinet ExDa'!$B$2:$E$14, 0,FALSE), "Not Found"))))))))</f>
        <v>FAST Fibre (NTU)</v>
      </c>
      <c r="G85">
        <f>IFERROR(VLOOKUP($A85,'AAPT ExDa'!$B$2:$U$99, 5,FALSE), IFERROR(VLOOKUP($A85,'ABB ExDa'!$A$2:$N$184, 8,FALSE), IFERROR(VLOOKUP($A85,'Vocus SIT ExDa'!$B$2:$J$173, 6,FALSE), IFERROR(VLOOKUP($A85,'Telstra ExDa'!$B$2:$K$310, 0,FALSE), IFERROR(VLOOKUP($A85,'Vocus RVC ExDa'!$C$2:$R$155, 15,FALSE), IFERROR(VLOOKUP($A85,'Fusion ExDa'!$B$2:$D$16, 0,FALSE), IFERROR(VLOOKUP($A85,'Exetel ExDa'!$C$2:$N$14, 7,FALSE), IFERROR(VLOOKUP($A85,'Infinet ExDa'!$B$2:$E$14, 0,FALSE), "Not Found"))))))))</f>
        <v>0</v>
      </c>
      <c r="H85" t="str">
        <f>IFERROR(VLOOKUP($A85,'AAPT ExDa'!$B$2:$U$99, 6,FALSE), IFERROR(VLOOKUP($A85,'ABB ExDa'!$A$2:$N$184, 0,FALSE), IFERROR(VLOOKUP($A85,'Vocus SIT ExDa'!$B$2:$J$173, 0,FALSE), IFERROR(VLOOKUP($A85,'Telstra ExDa'!$B$2:$K$310, 0,FALSE), IFERROR(VLOOKUP($A85,'Vocus RVC ExDa'!$C$2:$R$155, 16,FALSE), IFERROR(VLOOKUP($A85,'Fusion ExDa'!$B$2:$D$16, 0,FALSE), IFERROR(VLOOKUP($A85,'Exetel ExDa'!$C$2:$N$14, 0,FALSE), IFERROR(VLOOKUP($A85,'Infinet ExDa'!$B$2:$E$14, 0,FALSE), "Not Found"))))))))</f>
        <v>400 Mbps; 36 Months</v>
      </c>
      <c r="I85" t="str">
        <f>IFERROR(VLOOKUP($A85,'AAPT ExDa'!$B$2:$U$99, 0,FALSE), IFERROR(VLOOKUP($A85,'ABB ExDa'!$A$2:$N$184, 0,FALSE), IFERROR(VLOOKUP($A85,'Vocus SIT ExDa'!$B$2:$J$173, 0,FALSE), IFERROR(VLOOKUP($A85,'Telstra ExDa'!$B$2:$K$310, 0,FALSE), IFERROR(VLOOKUP($A85,'Vocus RVC ExDa'!$C$2:$R$155, 0,FALSE), IFERROR(VLOOKUP($A85,'Fusion ExDa'!$B$2:$D$16, 0,FALSE), IFERROR(VLOOKUP($A85,'Exetel ExDa'!$C$2:$N$14, 8,FALSE), IFERROR(VLOOKUP($A85,'Infinet ExDa'!$B$2:$E$14, 0,FALSE), "Not Found"))))))))</f>
        <v>Not Found</v>
      </c>
      <c r="J85">
        <f>IFERROR(VLOOKUP($A85,'AAPT ExDa'!$B$2:$U$99, 7,FALSE), IFERROR(VLOOKUP($A85,'ABB ExDa'!$A$2:$N$184, 2,FALSE), IFERROR(VLOOKUP($A85,'Vocus SIT ExDa'!$B$2:$J$173, 0,FALSE), IFERROR(VLOOKUP($A85,'Telstra ExDa'!$B$2:$K$310, 7,FALSE), IFERROR(VLOOKUP($A85,'Vocus RVC ExDa'!$C$2:$R$155, 2,FALSE), IFERROR(VLOOKUP($A85,'Fusion ExDa'!$B$2:$D$16, 3,FALSE), IFERROR(VLOOKUP($A85,'Exetel ExDa'!$C$2:$N$14, 0,FALSE), IFERROR(VLOOKUP($A85,'Infinet ExDa'!$B$2:$E$14, 0,FALSE), "Not Found"))))))))</f>
        <v>0</v>
      </c>
      <c r="K85" t="str">
        <f>IFERROR(VLOOKUP($A85,'AAPT ExDa'!$B$2:$U$99, 12,FALSE), IFERROR(VLOOKUP($A85,'ABB ExDa'!$A$2:$N$184, 0,FALSE), IFERROR(VLOOKUP($A85,'Vocus SIT ExDa'!$B$2:$J$173, 0,FALSE), IFERROR(VLOOKUP($A85,'Telstra ExDa'!$B$2:$K$310, 0,FALSE), IFERROR(VLOOKUP($A85,'Vocus RVC ExDa'!$C$2:$R$155, 0,FALSE), IFERROR(VLOOKUP($A85,'Fusion ExDa'!$B$2:$D$16, 0,FALSE), IFERROR(VLOOKUP($A85,'Exetel ExDa'!$C$2:$N$14, 12,FALSE), IFERROR(VLOOKUP($A85,'Infinet ExDa'!$B$2:$E$14, 0,FALSE), "Not Found"))))))))</f>
        <v>36 Months</v>
      </c>
      <c r="L85" s="235">
        <f>IFERROR(VLOOKUP($A85,'AAPT ExDa'!$B$2:$U$99, 11,FALSE), IFERROR(VLOOKUP($A85,'ABB ExDa'!$A$2:$N$184, 9,FALSE), IFERROR(VLOOKUP($A85,'Vocus SIT ExDa'!$B$2:$J$173, 8,FALSE), IFERROR(VLOOKUP($A85,'Telstra ExDa'!$B$2:$K$310, 0,FALSE), IFERROR(VLOOKUP($A85,'Vocus RVC ExDa'!$C$2:$R$155, 0,FALSE), IFERROR(VLOOKUP($A85,'Fusion ExDa'!$B$2:$D$16, 0,FALSE), IFERROR(VLOOKUP($A85,'Exetel ExDa'!$C$2:$N$14, 9,FALSE), IFERROR(VLOOKUP($A85,'Infinet ExDa'!$B$2:$E$14, 0,FALSE), "Not Found"))))))))</f>
        <v>45446</v>
      </c>
      <c r="M85" s="234" t="str">
        <f>IFERROR(VLOOKUP($A85,'AAPT ExDa'!$B$2:$U$99, 0,FALSE), IFERROR(VLOOKUP($A85,'ABB ExDa'!$A$2:$N$184, 0,FALSE), IFERROR(VLOOKUP($A85,'Vocus SIT ExDa'!$B$2:$J$173, 0,FALSE), IFERROR(VLOOKUP($A85,'Telstra ExDa'!$B$2:$K$310, 0,FALSE), IFERROR(VLOOKUP($A85,'Vocus RVC ExDa'!$C$2:$R$155, 0,FALSE), IFERROR(VLOOKUP($A85,'Fusion ExDa'!$B$2:$D$16, 0,FALSE), IFERROR(VLOOKUP($A85,'Exetel ExDa'!$C$2:$N$14, 11,FALSE), IFERROR(VLOOKUP($A85,'Infinet ExDa'!$B$2:$E$14, 0,FALSE), "Not Found"))))))))</f>
        <v>Not Found</v>
      </c>
      <c r="N85" t="str">
        <f>IFERROR(VLOOKUP($A85,'AAPT ExDa'!$B$2:$U$99, 0,FALSE), IFERROR(VLOOKUP($A85,'ABB ExDa'!$A$2:$N$184, 13,FALSE), IFERROR(VLOOKUP($A85,'Vocus SIT ExDa'!$B$2:$J$173, 0,FALSE), IFERROR(VLOOKUP($A85,'Telstra ExDa'!$B$2:$K$310, 0,FALSE), IFERROR(VLOOKUP($A85,'Vocus RVC ExDa'!$C$2:$R$155, 0,FALSE), IFERROR(VLOOKUP($A85,'Fusion ExDa'!$B$2:$D$16, 0,FALSE), IFERROR(VLOOKUP($A85,'Exetel ExDa'!$C$2:$N$14, 0,FALSE), IFERROR(VLOOKUP($A85,'Infinet ExDa'!$B$2:$E$14, 0,FALSE), "Not Found"))))))))</f>
        <v>Not Found</v>
      </c>
    </row>
    <row r="86" spans="1:14">
      <c r="A86" t="str">
        <v>Strata Dynamics</v>
      </c>
      <c r="B86" t="str">
        <f>IFERROR(VLOOKUP(A86,'Exetel ExDa'!$C$2:$N$14,4,FALSE),"No Data")</f>
        <v>No Data</v>
      </c>
      <c r="C86" t="str">
        <f>IFERROR(VLOOKUP(A86,'AAPT ExDa'!$B$2:$U$99, 2,FALSE), IFERROR(VLOOKUP(A86,'ABB ExDa'!$A$2:$N$184, 2,FALSE), IFERROR(VLOOKUP(A86,'Vocus SIT ExDa'!$B$2:$J$173, 7,FALSE), IFERROR(VLOOKUP(A86,'Telstra ExDa'!$B$2:$K$310, 2,FALSE), IFERROR(VLOOKUP(A86,'Vocus RVC ExDa'!$C$2:$R$155, 3,FALSE), IFERROR(VLOOKUP(A86,'Fusion ExDa'!$B$2:$D$16, 2,FALSE), IFERROR(VLOOKUP(A86,'Exetel ExDa'!$C$2:$N$14, 2,FALSE), IFERROR(VLOOKUP(A86,'Infinet ExDa'!$B$2:$E$14, 2,FALSE), "Not Found"))))))))</f>
        <v>Southport</v>
      </c>
      <c r="D86" t="str">
        <f>IFERROR(VLOOKUP($A86,'AAPT ExDa'!$B$2:$U$99, 15,FALSE), IFERROR(VLOOKUP($A86,'ABB ExDa'!$A$2:$N$184, 4,FALSE), IFERROR(VLOOKUP($A86,'Vocus SIT ExDa'!$B$2:$J$173, 5,FALSE), IFERROR(VLOOKUP($A86,'Telstra ExDa'!$B$2:$K$310, 8,FALSE), IFERROR(VLOOKUP($A86,'Vocus RVC ExDa'!$C$2:$R$155, 6,FALSE), IFERROR(VLOOKUP($A86,'Fusion ExDa'!$B$2:$D$16, 4,FALSE), IFERROR(VLOOKUP($A86,'Exetel ExDa'!$C$2:$N$14, 3,FALSE), IFERROR(VLOOKUP($A86,'Infinet ExDa'!$B$2:$E$14, 3,FALSE), "Not Found"))))))))</f>
        <v>AAPT</v>
      </c>
      <c r="E86" t="str">
        <f>IFERROR(VLOOKUP($A86,'AAPT ExDa'!$B$2:$U$99, 3,FALSE), IFERROR(VLOOKUP($A86,'ABB ExDa'!$A$2:$N$184, 5,FALSE), IFERROR(VLOOKUP($A86,'Vocus SIT ExDa'!$B$2:$J$173, 2,FALSE), IFERROR(VLOOKUP($A86,'Telstra ExDa'!$B$2:$K$310, 4,FALSE), IFERROR(VLOOKUP($A86,'Vocus RVC ExDa'!$C$2:$R$155, 8,FALSE), IFERROR(VLOOKUP($A86,'Fusion ExDa'!$B$2:$D$16, 4,FALSE), IFERROR(VLOOKUP($A86,'Exetel ExDa'!$C$2:$N$14, 5,FALSE), IFERROR(VLOOKUP($A86,'Infinet ExDa'!$B$2:$E$14, 3,FALSE), "Not Found"))))))))</f>
        <v>FAST Fibre</v>
      </c>
      <c r="F86" t="str">
        <f>IFERROR(VLOOKUP($A86,'AAPT ExDa'!$B$2:$U$99, 4,FALSE), IFERROR(VLOOKUP($A86,'ABB ExDa'!$A$2:$N$184, 6,FALSE), IFERROR(VLOOKUP($A86,'Vocus SIT ExDa'!$B$2:$J$173, 3,FALSE), IFERROR(VLOOKUP($A86,'Telstra ExDa'!$B$2:$K$310, 5,FALSE), IFERROR(VLOOKUP($A86,'Vocus RVC ExDa'!$C$2:$R$155, 9,FALSE), IFERROR(VLOOKUP($A86,'Fusion ExDa'!$B$2:$D$16, 0,FALSE), IFERROR(VLOOKUP($A86,'Exetel ExDa'!$C$2:$N$14, 6,FALSE), IFERROR(VLOOKUP($A86,'Infinet ExDa'!$B$2:$E$14, 0,FALSE), "Not Found"))))))))</f>
        <v>FAST Fibre (NTU)</v>
      </c>
      <c r="G86">
        <f>IFERROR(VLOOKUP($A86,'AAPT ExDa'!$B$2:$U$99, 5,FALSE), IFERROR(VLOOKUP($A86,'ABB ExDa'!$A$2:$N$184, 8,FALSE), IFERROR(VLOOKUP($A86,'Vocus SIT ExDa'!$B$2:$J$173, 6,FALSE), IFERROR(VLOOKUP($A86,'Telstra ExDa'!$B$2:$K$310, 0,FALSE), IFERROR(VLOOKUP($A86,'Vocus RVC ExDa'!$C$2:$R$155, 15,FALSE), IFERROR(VLOOKUP($A86,'Fusion ExDa'!$B$2:$D$16, 0,FALSE), IFERROR(VLOOKUP($A86,'Exetel ExDa'!$C$2:$N$14, 7,FALSE), IFERROR(VLOOKUP($A86,'Infinet ExDa'!$B$2:$E$14, 0,FALSE), "Not Found"))))))))</f>
        <v>0</v>
      </c>
      <c r="H86" t="str">
        <f>IFERROR(VLOOKUP($A86,'AAPT ExDa'!$B$2:$U$99, 6,FALSE), IFERROR(VLOOKUP($A86,'ABB ExDa'!$A$2:$N$184, 0,FALSE), IFERROR(VLOOKUP($A86,'Vocus SIT ExDa'!$B$2:$J$173, 0,FALSE), IFERROR(VLOOKUP($A86,'Telstra ExDa'!$B$2:$K$310, 0,FALSE), IFERROR(VLOOKUP($A86,'Vocus RVC ExDa'!$C$2:$R$155, 16,FALSE), IFERROR(VLOOKUP($A86,'Fusion ExDa'!$B$2:$D$16, 0,FALSE), IFERROR(VLOOKUP($A86,'Exetel ExDa'!$C$2:$N$14, 0,FALSE), IFERROR(VLOOKUP($A86,'Infinet ExDa'!$B$2:$E$14, 0,FALSE), "Not Found"))))))))</f>
        <v>400 Mbps; 36 Months</v>
      </c>
      <c r="I86" t="str">
        <f>IFERROR(VLOOKUP($A86,'AAPT ExDa'!$B$2:$U$99, 0,FALSE), IFERROR(VLOOKUP($A86,'ABB ExDa'!$A$2:$N$184, 0,FALSE), IFERROR(VLOOKUP($A86,'Vocus SIT ExDa'!$B$2:$J$173, 0,FALSE), IFERROR(VLOOKUP($A86,'Telstra ExDa'!$B$2:$K$310, 0,FALSE), IFERROR(VLOOKUP($A86,'Vocus RVC ExDa'!$C$2:$R$155, 0,FALSE), IFERROR(VLOOKUP($A86,'Fusion ExDa'!$B$2:$D$16, 0,FALSE), IFERROR(VLOOKUP($A86,'Exetel ExDa'!$C$2:$N$14, 8,FALSE), IFERROR(VLOOKUP($A86,'Infinet ExDa'!$B$2:$E$14, 0,FALSE), "Not Found"))))))))</f>
        <v>Not Found</v>
      </c>
      <c r="J86">
        <f>IFERROR(VLOOKUP($A86,'AAPT ExDa'!$B$2:$U$99, 7,FALSE), IFERROR(VLOOKUP($A86,'ABB ExDa'!$A$2:$N$184, 2,FALSE), IFERROR(VLOOKUP($A86,'Vocus SIT ExDa'!$B$2:$J$173, 0,FALSE), IFERROR(VLOOKUP($A86,'Telstra ExDa'!$B$2:$K$310, 7,FALSE), IFERROR(VLOOKUP($A86,'Vocus RVC ExDa'!$C$2:$R$155, 2,FALSE), IFERROR(VLOOKUP($A86,'Fusion ExDa'!$B$2:$D$16, 3,FALSE), IFERROR(VLOOKUP($A86,'Exetel ExDa'!$C$2:$N$14, 0,FALSE), IFERROR(VLOOKUP($A86,'Infinet ExDa'!$B$2:$E$14, 0,FALSE), "Not Found"))))))))</f>
        <v>0</v>
      </c>
      <c r="K86" t="str">
        <f>IFERROR(VLOOKUP($A86,'AAPT ExDa'!$B$2:$U$99, 12,FALSE), IFERROR(VLOOKUP($A86,'ABB ExDa'!$A$2:$N$184, 0,FALSE), IFERROR(VLOOKUP($A86,'Vocus SIT ExDa'!$B$2:$J$173, 0,FALSE), IFERROR(VLOOKUP($A86,'Telstra ExDa'!$B$2:$K$310, 0,FALSE), IFERROR(VLOOKUP($A86,'Vocus RVC ExDa'!$C$2:$R$155, 0,FALSE), IFERROR(VLOOKUP($A86,'Fusion ExDa'!$B$2:$D$16, 0,FALSE), IFERROR(VLOOKUP($A86,'Exetel ExDa'!$C$2:$N$14, 12,FALSE), IFERROR(VLOOKUP($A86,'Infinet ExDa'!$B$2:$E$14, 0,FALSE), "Not Found"))))))))</f>
        <v>36 Months</v>
      </c>
      <c r="L86" s="235">
        <f>IFERROR(VLOOKUP($A86,'AAPT ExDa'!$B$2:$U$99, 11,FALSE), IFERROR(VLOOKUP($A86,'ABB ExDa'!$A$2:$N$184, 9,FALSE), IFERROR(VLOOKUP($A86,'Vocus SIT ExDa'!$B$2:$J$173, 8,FALSE), IFERROR(VLOOKUP($A86,'Telstra ExDa'!$B$2:$K$310, 0,FALSE), IFERROR(VLOOKUP($A86,'Vocus RVC ExDa'!$C$2:$R$155, 0,FALSE), IFERROR(VLOOKUP($A86,'Fusion ExDa'!$B$2:$D$16, 0,FALSE), IFERROR(VLOOKUP($A86,'Exetel ExDa'!$C$2:$N$14, 9,FALSE), IFERROR(VLOOKUP($A86,'Infinet ExDa'!$B$2:$E$14, 0,FALSE), "Not Found"))))))))</f>
        <v>45446</v>
      </c>
      <c r="M86" s="234" t="str">
        <f>IFERROR(VLOOKUP($A86,'AAPT ExDa'!$B$2:$U$99, 0,FALSE), IFERROR(VLOOKUP($A86,'ABB ExDa'!$A$2:$N$184, 0,FALSE), IFERROR(VLOOKUP($A86,'Vocus SIT ExDa'!$B$2:$J$173, 0,FALSE), IFERROR(VLOOKUP($A86,'Telstra ExDa'!$B$2:$K$310, 0,FALSE), IFERROR(VLOOKUP($A86,'Vocus RVC ExDa'!$C$2:$R$155, 0,FALSE), IFERROR(VLOOKUP($A86,'Fusion ExDa'!$B$2:$D$16, 0,FALSE), IFERROR(VLOOKUP($A86,'Exetel ExDa'!$C$2:$N$14, 11,FALSE), IFERROR(VLOOKUP($A86,'Infinet ExDa'!$B$2:$E$14, 0,FALSE), "Not Found"))))))))</f>
        <v>Not Found</v>
      </c>
      <c r="N86" t="str">
        <f>IFERROR(VLOOKUP($A86,'AAPT ExDa'!$B$2:$U$99, 0,FALSE), IFERROR(VLOOKUP($A86,'ABB ExDa'!$A$2:$N$184, 13,FALSE), IFERROR(VLOOKUP($A86,'Vocus SIT ExDa'!$B$2:$J$173, 0,FALSE), IFERROR(VLOOKUP($A86,'Telstra ExDa'!$B$2:$K$310, 0,FALSE), IFERROR(VLOOKUP($A86,'Vocus RVC ExDa'!$C$2:$R$155, 0,FALSE), IFERROR(VLOOKUP($A86,'Fusion ExDa'!$B$2:$D$16, 0,FALSE), IFERROR(VLOOKUP($A86,'Exetel ExDa'!$C$2:$N$14, 0,FALSE), IFERROR(VLOOKUP($A86,'Infinet ExDa'!$B$2:$E$14, 0,FALSE), "Not Found"))))))))</f>
        <v>Not Found</v>
      </c>
    </row>
    <row r="87" spans="1:14">
      <c r="A87" t="str">
        <v>Strata Dynamics</v>
      </c>
      <c r="B87" t="str">
        <f>IFERROR(VLOOKUP(A87,'Exetel ExDa'!$C$2:$N$14,4,FALSE),"No Data")</f>
        <v>No Data</v>
      </c>
      <c r="C87" t="str">
        <f>IFERROR(VLOOKUP(A87,'AAPT ExDa'!$B$2:$U$99, 2,FALSE), IFERROR(VLOOKUP(A87,'ABB ExDa'!$A$2:$N$184, 2,FALSE), IFERROR(VLOOKUP(A87,'Vocus SIT ExDa'!$B$2:$J$173, 7,FALSE), IFERROR(VLOOKUP(A87,'Telstra ExDa'!$B$2:$K$310, 2,FALSE), IFERROR(VLOOKUP(A87,'Vocus RVC ExDa'!$C$2:$R$155, 3,FALSE), IFERROR(VLOOKUP(A87,'Fusion ExDa'!$B$2:$D$16, 2,FALSE), IFERROR(VLOOKUP(A87,'Exetel ExDa'!$C$2:$N$14, 2,FALSE), IFERROR(VLOOKUP(A87,'Infinet ExDa'!$B$2:$E$14, 2,FALSE), "Not Found"))))))))</f>
        <v>Southport</v>
      </c>
      <c r="D87" t="str">
        <f>IFERROR(VLOOKUP($A87,'AAPT ExDa'!$B$2:$U$99, 15,FALSE), IFERROR(VLOOKUP($A87,'ABB ExDa'!$A$2:$N$184, 4,FALSE), IFERROR(VLOOKUP($A87,'Vocus SIT ExDa'!$B$2:$J$173, 5,FALSE), IFERROR(VLOOKUP($A87,'Telstra ExDa'!$B$2:$K$310, 8,FALSE), IFERROR(VLOOKUP($A87,'Vocus RVC ExDa'!$C$2:$R$155, 6,FALSE), IFERROR(VLOOKUP($A87,'Fusion ExDa'!$B$2:$D$16, 4,FALSE), IFERROR(VLOOKUP($A87,'Exetel ExDa'!$C$2:$N$14, 3,FALSE), IFERROR(VLOOKUP($A87,'Infinet ExDa'!$B$2:$E$14, 3,FALSE), "Not Found"))))))))</f>
        <v>AAPT</v>
      </c>
      <c r="E87" t="str">
        <f>IFERROR(VLOOKUP($A87,'AAPT ExDa'!$B$2:$U$99, 3,FALSE), IFERROR(VLOOKUP($A87,'ABB ExDa'!$A$2:$N$184, 5,FALSE), IFERROR(VLOOKUP($A87,'Vocus SIT ExDa'!$B$2:$J$173, 2,FALSE), IFERROR(VLOOKUP($A87,'Telstra ExDa'!$B$2:$K$310, 4,FALSE), IFERROR(VLOOKUP($A87,'Vocus RVC ExDa'!$C$2:$R$155, 8,FALSE), IFERROR(VLOOKUP($A87,'Fusion ExDa'!$B$2:$D$16, 4,FALSE), IFERROR(VLOOKUP($A87,'Exetel ExDa'!$C$2:$N$14, 5,FALSE), IFERROR(VLOOKUP($A87,'Infinet ExDa'!$B$2:$E$14, 3,FALSE), "Not Found"))))))))</f>
        <v>FAST Fibre</v>
      </c>
      <c r="F87" t="str">
        <f>IFERROR(VLOOKUP($A87,'AAPT ExDa'!$B$2:$U$99, 4,FALSE), IFERROR(VLOOKUP($A87,'ABB ExDa'!$A$2:$N$184, 6,FALSE), IFERROR(VLOOKUP($A87,'Vocus SIT ExDa'!$B$2:$J$173, 3,FALSE), IFERROR(VLOOKUP($A87,'Telstra ExDa'!$B$2:$K$310, 5,FALSE), IFERROR(VLOOKUP($A87,'Vocus RVC ExDa'!$C$2:$R$155, 9,FALSE), IFERROR(VLOOKUP($A87,'Fusion ExDa'!$B$2:$D$16, 0,FALSE), IFERROR(VLOOKUP($A87,'Exetel ExDa'!$C$2:$N$14, 6,FALSE), IFERROR(VLOOKUP($A87,'Infinet ExDa'!$B$2:$E$14, 0,FALSE), "Not Found"))))))))</f>
        <v>FAST Fibre (NTU)</v>
      </c>
      <c r="G87">
        <f>IFERROR(VLOOKUP($A87,'AAPT ExDa'!$B$2:$U$99, 5,FALSE), IFERROR(VLOOKUP($A87,'ABB ExDa'!$A$2:$N$184, 8,FALSE), IFERROR(VLOOKUP($A87,'Vocus SIT ExDa'!$B$2:$J$173, 6,FALSE), IFERROR(VLOOKUP($A87,'Telstra ExDa'!$B$2:$K$310, 0,FALSE), IFERROR(VLOOKUP($A87,'Vocus RVC ExDa'!$C$2:$R$155, 15,FALSE), IFERROR(VLOOKUP($A87,'Fusion ExDa'!$B$2:$D$16, 0,FALSE), IFERROR(VLOOKUP($A87,'Exetel ExDa'!$C$2:$N$14, 7,FALSE), IFERROR(VLOOKUP($A87,'Infinet ExDa'!$B$2:$E$14, 0,FALSE), "Not Found"))))))))</f>
        <v>0</v>
      </c>
      <c r="H87" t="str">
        <f>IFERROR(VLOOKUP($A87,'AAPT ExDa'!$B$2:$U$99, 6,FALSE), IFERROR(VLOOKUP($A87,'ABB ExDa'!$A$2:$N$184, 0,FALSE), IFERROR(VLOOKUP($A87,'Vocus SIT ExDa'!$B$2:$J$173, 0,FALSE), IFERROR(VLOOKUP($A87,'Telstra ExDa'!$B$2:$K$310, 0,FALSE), IFERROR(VLOOKUP($A87,'Vocus RVC ExDa'!$C$2:$R$155, 16,FALSE), IFERROR(VLOOKUP($A87,'Fusion ExDa'!$B$2:$D$16, 0,FALSE), IFERROR(VLOOKUP($A87,'Exetel ExDa'!$C$2:$N$14, 0,FALSE), IFERROR(VLOOKUP($A87,'Infinet ExDa'!$B$2:$E$14, 0,FALSE), "Not Found"))))))))</f>
        <v>400 Mbps; 36 Months</v>
      </c>
      <c r="I87" t="str">
        <f>IFERROR(VLOOKUP($A87,'AAPT ExDa'!$B$2:$U$99, 0,FALSE), IFERROR(VLOOKUP($A87,'ABB ExDa'!$A$2:$N$184, 0,FALSE), IFERROR(VLOOKUP($A87,'Vocus SIT ExDa'!$B$2:$J$173, 0,FALSE), IFERROR(VLOOKUP($A87,'Telstra ExDa'!$B$2:$K$310, 0,FALSE), IFERROR(VLOOKUP($A87,'Vocus RVC ExDa'!$C$2:$R$155, 0,FALSE), IFERROR(VLOOKUP($A87,'Fusion ExDa'!$B$2:$D$16, 0,FALSE), IFERROR(VLOOKUP($A87,'Exetel ExDa'!$C$2:$N$14, 8,FALSE), IFERROR(VLOOKUP($A87,'Infinet ExDa'!$B$2:$E$14, 0,FALSE), "Not Found"))))))))</f>
        <v>Not Found</v>
      </c>
      <c r="J87">
        <f>IFERROR(VLOOKUP($A87,'AAPT ExDa'!$B$2:$U$99, 7,FALSE), IFERROR(VLOOKUP($A87,'ABB ExDa'!$A$2:$N$184, 2,FALSE), IFERROR(VLOOKUP($A87,'Vocus SIT ExDa'!$B$2:$J$173, 0,FALSE), IFERROR(VLOOKUP($A87,'Telstra ExDa'!$B$2:$K$310, 7,FALSE), IFERROR(VLOOKUP($A87,'Vocus RVC ExDa'!$C$2:$R$155, 2,FALSE), IFERROR(VLOOKUP($A87,'Fusion ExDa'!$B$2:$D$16, 3,FALSE), IFERROR(VLOOKUP($A87,'Exetel ExDa'!$C$2:$N$14, 0,FALSE), IFERROR(VLOOKUP($A87,'Infinet ExDa'!$B$2:$E$14, 0,FALSE), "Not Found"))))))))</f>
        <v>0</v>
      </c>
      <c r="K87" t="str">
        <f>IFERROR(VLOOKUP($A87,'AAPT ExDa'!$B$2:$U$99, 12,FALSE), IFERROR(VLOOKUP($A87,'ABB ExDa'!$A$2:$N$184, 0,FALSE), IFERROR(VLOOKUP($A87,'Vocus SIT ExDa'!$B$2:$J$173, 0,FALSE), IFERROR(VLOOKUP($A87,'Telstra ExDa'!$B$2:$K$310, 0,FALSE), IFERROR(VLOOKUP($A87,'Vocus RVC ExDa'!$C$2:$R$155, 0,FALSE), IFERROR(VLOOKUP($A87,'Fusion ExDa'!$B$2:$D$16, 0,FALSE), IFERROR(VLOOKUP($A87,'Exetel ExDa'!$C$2:$N$14, 12,FALSE), IFERROR(VLOOKUP($A87,'Infinet ExDa'!$B$2:$E$14, 0,FALSE), "Not Found"))))))))</f>
        <v>36 Months</v>
      </c>
      <c r="L87" s="235">
        <f>IFERROR(VLOOKUP($A87,'AAPT ExDa'!$B$2:$U$99, 11,FALSE), IFERROR(VLOOKUP($A87,'ABB ExDa'!$A$2:$N$184, 9,FALSE), IFERROR(VLOOKUP($A87,'Vocus SIT ExDa'!$B$2:$J$173, 8,FALSE), IFERROR(VLOOKUP($A87,'Telstra ExDa'!$B$2:$K$310, 0,FALSE), IFERROR(VLOOKUP($A87,'Vocus RVC ExDa'!$C$2:$R$155, 0,FALSE), IFERROR(VLOOKUP($A87,'Fusion ExDa'!$B$2:$D$16, 0,FALSE), IFERROR(VLOOKUP($A87,'Exetel ExDa'!$C$2:$N$14, 9,FALSE), IFERROR(VLOOKUP($A87,'Infinet ExDa'!$B$2:$E$14, 0,FALSE), "Not Found"))))))))</f>
        <v>45446</v>
      </c>
      <c r="M87" s="234" t="str">
        <f>IFERROR(VLOOKUP($A87,'AAPT ExDa'!$B$2:$U$99, 0,FALSE), IFERROR(VLOOKUP($A87,'ABB ExDa'!$A$2:$N$184, 0,FALSE), IFERROR(VLOOKUP($A87,'Vocus SIT ExDa'!$B$2:$J$173, 0,FALSE), IFERROR(VLOOKUP($A87,'Telstra ExDa'!$B$2:$K$310, 0,FALSE), IFERROR(VLOOKUP($A87,'Vocus RVC ExDa'!$C$2:$R$155, 0,FALSE), IFERROR(VLOOKUP($A87,'Fusion ExDa'!$B$2:$D$16, 0,FALSE), IFERROR(VLOOKUP($A87,'Exetel ExDa'!$C$2:$N$14, 11,FALSE), IFERROR(VLOOKUP($A87,'Infinet ExDa'!$B$2:$E$14, 0,FALSE), "Not Found"))))))))</f>
        <v>Not Found</v>
      </c>
      <c r="N87" t="str">
        <f>IFERROR(VLOOKUP($A87,'AAPT ExDa'!$B$2:$U$99, 0,FALSE), IFERROR(VLOOKUP($A87,'ABB ExDa'!$A$2:$N$184, 13,FALSE), IFERROR(VLOOKUP($A87,'Vocus SIT ExDa'!$B$2:$J$173, 0,FALSE), IFERROR(VLOOKUP($A87,'Telstra ExDa'!$B$2:$K$310, 0,FALSE), IFERROR(VLOOKUP($A87,'Vocus RVC ExDa'!$C$2:$R$155, 0,FALSE), IFERROR(VLOOKUP($A87,'Fusion ExDa'!$B$2:$D$16, 0,FALSE), IFERROR(VLOOKUP($A87,'Exetel ExDa'!$C$2:$N$14, 0,FALSE), IFERROR(VLOOKUP($A87,'Infinet ExDa'!$B$2:$E$14, 0,FALSE), "Not Found"))))))))</f>
        <v>Not Found</v>
      </c>
    </row>
    <row r="88" spans="1:14">
      <c r="A88" t="str">
        <v>STRFW</v>
      </c>
      <c r="B88" t="str">
        <f>IFERROR(VLOOKUP(A88,'Exetel ExDa'!$C$2:$N$14,4,FALSE),"No Data")</f>
        <v>No Data</v>
      </c>
      <c r="C88" t="str">
        <f>IFERROR(VLOOKUP(A88,'AAPT ExDa'!$B$2:$U$99, 2,FALSE), IFERROR(VLOOKUP(A88,'ABB ExDa'!$A$2:$N$184, 2,FALSE), IFERROR(VLOOKUP(A88,'Vocus SIT ExDa'!$B$2:$J$173, 7,FALSE), IFERROR(VLOOKUP(A88,'Telstra ExDa'!$B$2:$K$310, 2,FALSE), IFERROR(VLOOKUP(A88,'Vocus RVC ExDa'!$C$2:$R$155, 3,FALSE), IFERROR(VLOOKUP(A88,'Fusion ExDa'!$B$2:$D$16, 2,FALSE), IFERROR(VLOOKUP(A88,'Exetel ExDa'!$C$2:$N$14, 2,FALSE), IFERROR(VLOOKUP(A88,'Infinet ExDa'!$B$2:$E$14, 2,FALSE), "Not Found"))))))))</f>
        <v>Murarrie</v>
      </c>
      <c r="D88" t="str">
        <f>IFERROR(VLOOKUP($A88,'AAPT ExDa'!$B$2:$U$99, 15,FALSE), IFERROR(VLOOKUP($A88,'ABB ExDa'!$A$2:$N$184, 4,FALSE), IFERROR(VLOOKUP($A88,'Vocus SIT ExDa'!$B$2:$J$173, 5,FALSE), IFERROR(VLOOKUP($A88,'Telstra ExDa'!$B$2:$K$310, 8,FALSE), IFERROR(VLOOKUP($A88,'Vocus RVC ExDa'!$C$2:$R$155, 6,FALSE), IFERROR(VLOOKUP($A88,'Fusion ExDa'!$B$2:$D$16, 4,FALSE), IFERROR(VLOOKUP($A88,'Exetel ExDa'!$C$2:$N$14, 3,FALSE), IFERROR(VLOOKUP($A88,'Infinet ExDa'!$B$2:$E$14, 3,FALSE), "Not Found"))))))))</f>
        <v>AAPT</v>
      </c>
      <c r="E88" t="str">
        <f>IFERROR(VLOOKUP($A88,'AAPT ExDa'!$B$2:$U$99, 3,FALSE), IFERROR(VLOOKUP($A88,'ABB ExDa'!$A$2:$N$184, 5,FALSE), IFERROR(VLOOKUP($A88,'Vocus SIT ExDa'!$B$2:$J$173, 2,FALSE), IFERROR(VLOOKUP($A88,'Telstra ExDa'!$B$2:$K$310, 4,FALSE), IFERROR(VLOOKUP($A88,'Vocus RVC ExDa'!$C$2:$R$155, 8,FALSE), IFERROR(VLOOKUP($A88,'Fusion ExDa'!$B$2:$D$16, 4,FALSE), IFERROR(VLOOKUP($A88,'Exetel ExDa'!$C$2:$N$14, 5,FALSE), IFERROR(VLOOKUP($A88,'Infinet ExDa'!$B$2:$E$14, 3,FALSE), "Not Found"))))))))</f>
        <v>IP-Line</v>
      </c>
      <c r="F88" t="str">
        <f>IFERROR(VLOOKUP($A88,'AAPT ExDa'!$B$2:$U$99, 4,FALSE), IFERROR(VLOOKUP($A88,'ABB ExDa'!$A$2:$N$184, 6,FALSE), IFERROR(VLOOKUP($A88,'Vocus SIT ExDa'!$B$2:$J$173, 3,FALSE), IFERROR(VLOOKUP($A88,'Telstra ExDa'!$B$2:$K$310, 5,FALSE), IFERROR(VLOOKUP($A88,'Vocus RVC ExDa'!$C$2:$R$155, 9,FALSE), IFERROR(VLOOKUP($A88,'Fusion ExDa'!$B$2:$D$16, 0,FALSE), IFERROR(VLOOKUP($A88,'Exetel ExDa'!$C$2:$N$14, 6,FALSE), IFERROR(VLOOKUP($A88,'Infinet ExDa'!$B$2:$E$14, 0,FALSE), "Not Found"))))))))</f>
        <v>IP-Line Link</v>
      </c>
      <c r="G88" t="str">
        <f>IFERROR(VLOOKUP($A88,'AAPT ExDa'!$B$2:$U$99, 5,FALSE), IFERROR(VLOOKUP($A88,'ABB ExDa'!$A$2:$N$184, 8,FALSE), IFERROR(VLOOKUP($A88,'Vocus SIT ExDa'!$B$2:$J$173, 6,FALSE), IFERROR(VLOOKUP($A88,'Telstra ExDa'!$B$2:$K$310, 0,FALSE), IFERROR(VLOOKUP($A88,'Vocus RVC ExDa'!$C$2:$R$155, 15,FALSE), IFERROR(VLOOKUP($A88,'Fusion ExDa'!$B$2:$D$16, 0,FALSE), IFERROR(VLOOKUP($A88,'Exetel ExDa'!$C$2:$N$14, 7,FALSE), IFERROR(VLOOKUP($A88,'Infinet ExDa'!$B$2:$E$14, 0,FALSE), "Not Found"))))))))</f>
        <v>Connecting IP-Line 6023265 to Access 100843422</v>
      </c>
      <c r="H88" t="str">
        <f>IFERROR(VLOOKUP($A88,'AAPT ExDa'!$B$2:$U$99, 6,FALSE), IFERROR(VLOOKUP($A88,'ABB ExDa'!$A$2:$N$184, 0,FALSE), IFERROR(VLOOKUP($A88,'Vocus SIT ExDa'!$B$2:$J$173, 0,FALSE), IFERROR(VLOOKUP($A88,'Telstra ExDa'!$B$2:$K$310, 0,FALSE), IFERROR(VLOOKUP($A88,'Vocus RVC ExDa'!$C$2:$R$155, 16,FALSE), IFERROR(VLOOKUP($A88,'Fusion ExDa'!$B$2:$D$16, 0,FALSE), IFERROR(VLOOKUP($A88,'Exetel ExDa'!$C$2:$N$14, 0,FALSE), IFERROR(VLOOKUP($A88,'Infinet ExDa'!$B$2:$E$14, 0,FALSE), "Not Found"))))))))</f>
        <v>Up to 50/20Mbps; AVC ID:AVC000169359560</v>
      </c>
      <c r="I88" t="str">
        <f>IFERROR(VLOOKUP($A88,'AAPT ExDa'!$B$2:$U$99, 0,FALSE), IFERROR(VLOOKUP($A88,'ABB ExDa'!$A$2:$N$184, 0,FALSE), IFERROR(VLOOKUP($A88,'Vocus SIT ExDa'!$B$2:$J$173, 0,FALSE), IFERROR(VLOOKUP($A88,'Telstra ExDa'!$B$2:$K$310, 0,FALSE), IFERROR(VLOOKUP($A88,'Vocus RVC ExDa'!$C$2:$R$155, 0,FALSE), IFERROR(VLOOKUP($A88,'Fusion ExDa'!$B$2:$D$16, 0,FALSE), IFERROR(VLOOKUP($A88,'Exetel ExDa'!$C$2:$N$14, 8,FALSE), IFERROR(VLOOKUP($A88,'Infinet ExDa'!$B$2:$E$14, 0,FALSE), "Not Found"))))))))</f>
        <v>Not Found</v>
      </c>
      <c r="J88" t="str">
        <f>IFERROR(VLOOKUP($A88,'AAPT ExDa'!$B$2:$U$99, 7,FALSE), IFERROR(VLOOKUP($A88,'ABB ExDa'!$A$2:$N$184, 2,FALSE), IFERROR(VLOOKUP($A88,'Vocus SIT ExDa'!$B$2:$J$173, 0,FALSE), IFERROR(VLOOKUP($A88,'Telstra ExDa'!$B$2:$K$310, 7,FALSE), IFERROR(VLOOKUP($A88,'Vocus RVC ExDa'!$C$2:$R$155, 2,FALSE), IFERROR(VLOOKUP($A88,'Fusion ExDa'!$B$2:$D$16, 3,FALSE), IFERROR(VLOOKUP($A88,'Exetel ExDa'!$C$2:$N$14, 0,FALSE), IFERROR(VLOOKUP($A88,'Infinet ExDa'!$B$2:$E$14, 0,FALSE), "Not Found"))))))))</f>
        <v>AVC000169359560</v>
      </c>
      <c r="K88" t="str">
        <f>IFERROR(VLOOKUP($A88,'AAPT ExDa'!$B$2:$U$99, 12,FALSE), IFERROR(VLOOKUP($A88,'ABB ExDa'!$A$2:$N$184, 0,FALSE), IFERROR(VLOOKUP($A88,'Vocus SIT ExDa'!$B$2:$J$173, 0,FALSE), IFERROR(VLOOKUP($A88,'Telstra ExDa'!$B$2:$K$310, 0,FALSE), IFERROR(VLOOKUP($A88,'Vocus RVC ExDa'!$C$2:$R$155, 0,FALSE), IFERROR(VLOOKUP($A88,'Fusion ExDa'!$B$2:$D$16, 0,FALSE), IFERROR(VLOOKUP($A88,'Exetel ExDa'!$C$2:$N$14, 12,FALSE), IFERROR(VLOOKUP($A88,'Infinet ExDa'!$B$2:$E$14, 0,FALSE), "Not Found"))))))))</f>
        <v>24 Months</v>
      </c>
      <c r="L88" s="235">
        <f>IFERROR(VLOOKUP($A88,'AAPT ExDa'!$B$2:$U$99, 11,FALSE), IFERROR(VLOOKUP($A88,'ABB ExDa'!$A$2:$N$184, 9,FALSE), IFERROR(VLOOKUP($A88,'Vocus SIT ExDa'!$B$2:$J$173, 8,FALSE), IFERROR(VLOOKUP($A88,'Telstra ExDa'!$B$2:$K$310, 0,FALSE), IFERROR(VLOOKUP($A88,'Vocus RVC ExDa'!$C$2:$R$155, 0,FALSE), IFERROR(VLOOKUP($A88,'Fusion ExDa'!$B$2:$D$16, 0,FALSE), IFERROR(VLOOKUP($A88,'Exetel ExDa'!$C$2:$N$14, 9,FALSE), IFERROR(VLOOKUP($A88,'Infinet ExDa'!$B$2:$E$14, 0,FALSE), "Not Found"))))))))</f>
        <v>45051</v>
      </c>
      <c r="M88" s="234" t="str">
        <f>IFERROR(VLOOKUP($A88,'AAPT ExDa'!$B$2:$U$99, 0,FALSE), IFERROR(VLOOKUP($A88,'ABB ExDa'!$A$2:$N$184, 0,FALSE), IFERROR(VLOOKUP($A88,'Vocus SIT ExDa'!$B$2:$J$173, 0,FALSE), IFERROR(VLOOKUP($A88,'Telstra ExDa'!$B$2:$K$310, 0,FALSE), IFERROR(VLOOKUP($A88,'Vocus RVC ExDa'!$C$2:$R$155, 0,FALSE), IFERROR(VLOOKUP($A88,'Fusion ExDa'!$B$2:$D$16, 0,FALSE), IFERROR(VLOOKUP($A88,'Exetel ExDa'!$C$2:$N$14, 11,FALSE), IFERROR(VLOOKUP($A88,'Infinet ExDa'!$B$2:$E$14, 0,FALSE), "Not Found"))))))))</f>
        <v>Not Found</v>
      </c>
      <c r="N88" t="str">
        <f>IFERROR(VLOOKUP($A88,'AAPT ExDa'!$B$2:$U$99, 0,FALSE), IFERROR(VLOOKUP($A88,'ABB ExDa'!$A$2:$N$184, 13,FALSE), IFERROR(VLOOKUP($A88,'Vocus SIT ExDa'!$B$2:$J$173, 0,FALSE), IFERROR(VLOOKUP($A88,'Telstra ExDa'!$B$2:$K$310, 0,FALSE), IFERROR(VLOOKUP($A88,'Vocus RVC ExDa'!$C$2:$R$155, 0,FALSE), IFERROR(VLOOKUP($A88,'Fusion ExDa'!$B$2:$D$16, 0,FALSE), IFERROR(VLOOKUP($A88,'Exetel ExDa'!$C$2:$N$14, 0,FALSE), IFERROR(VLOOKUP($A88,'Infinet ExDa'!$B$2:$E$14, 0,FALSE), "Not Found"))))))))</f>
        <v>Not Found</v>
      </c>
    </row>
    <row r="89" spans="1:14">
      <c r="A89" t="str">
        <v>Sub Pest</v>
      </c>
      <c r="B89" t="str">
        <f>IFERROR(VLOOKUP(A89,'Exetel ExDa'!$C$2:$N$14,4,FALSE),"No Data")</f>
        <v>No Data</v>
      </c>
      <c r="C89">
        <f>IFERROR(VLOOKUP(A89,'AAPT ExDa'!$B$2:$U$99, 2,FALSE), IFERROR(VLOOKUP(A89,'ABB ExDa'!$A$2:$N$184, 2,FALSE), IFERROR(VLOOKUP(A89,'Vocus SIT ExDa'!$B$2:$J$173, 7,FALSE), IFERROR(VLOOKUP(A89,'Telstra ExDa'!$B$2:$K$310, 2,FALSE), IFERROR(VLOOKUP(A89,'Vocus RVC ExDa'!$C$2:$R$155, 3,FALSE), IFERROR(VLOOKUP(A89,'Fusion ExDa'!$B$2:$D$16, 2,FALSE), IFERROR(VLOOKUP(A89,'Exetel ExDa'!$C$2:$N$14, 2,FALSE), IFERROR(VLOOKUP(A89,'Infinet ExDa'!$B$2:$E$14, 2,FALSE), "Not Found"))))))))</f>
        <v>0</v>
      </c>
      <c r="D89" t="str">
        <f>IFERROR(VLOOKUP($A89,'AAPT ExDa'!$B$2:$U$99, 15,FALSE), IFERROR(VLOOKUP($A89,'ABB ExDa'!$A$2:$N$184, 4,FALSE), IFERROR(VLOOKUP($A89,'Vocus SIT ExDa'!$B$2:$J$173, 5,FALSE), IFERROR(VLOOKUP($A89,'Telstra ExDa'!$B$2:$K$310, 8,FALSE), IFERROR(VLOOKUP($A89,'Vocus RVC ExDa'!$C$2:$R$155, 6,FALSE), IFERROR(VLOOKUP($A89,'Fusion ExDa'!$B$2:$D$16, 4,FALSE), IFERROR(VLOOKUP($A89,'Exetel ExDa'!$C$2:$N$14, 3,FALSE), IFERROR(VLOOKUP($A89,'Infinet ExDa'!$B$2:$E$14, 3,FALSE), "Not Found"))))))))</f>
        <v>AAPT</v>
      </c>
      <c r="E89" t="str">
        <f>IFERROR(VLOOKUP($A89,'AAPT ExDa'!$B$2:$U$99, 3,FALSE), IFERROR(VLOOKUP($A89,'ABB ExDa'!$A$2:$N$184, 5,FALSE), IFERROR(VLOOKUP($A89,'Vocus SIT ExDa'!$B$2:$J$173, 2,FALSE), IFERROR(VLOOKUP($A89,'Telstra ExDa'!$B$2:$K$310, 4,FALSE), IFERROR(VLOOKUP($A89,'Vocus RVC ExDa'!$C$2:$R$155, 8,FALSE), IFERROR(VLOOKUP($A89,'Fusion ExDa'!$B$2:$D$16, 4,FALSE), IFERROR(VLOOKUP($A89,'Exetel ExDa'!$C$2:$N$14, 5,FALSE), IFERROR(VLOOKUP($A89,'Infinet ExDa'!$B$2:$E$14, 3,FALSE), "Not Found"))))))))</f>
        <v>IP-Line</v>
      </c>
      <c r="F89" t="str">
        <f>IFERROR(VLOOKUP($A89,'AAPT ExDa'!$B$2:$U$99, 4,FALSE), IFERROR(VLOOKUP($A89,'ABB ExDa'!$A$2:$N$184, 6,FALSE), IFERROR(VLOOKUP($A89,'Vocus SIT ExDa'!$B$2:$J$173, 3,FALSE), IFERROR(VLOOKUP($A89,'Telstra ExDa'!$B$2:$K$310, 5,FALSE), IFERROR(VLOOKUP($A89,'Vocus RVC ExDa'!$C$2:$R$155, 9,FALSE), IFERROR(VLOOKUP($A89,'Fusion ExDa'!$B$2:$D$16, 0,FALSE), IFERROR(VLOOKUP($A89,'Exetel ExDa'!$C$2:$N$14, 6,FALSE), IFERROR(VLOOKUP($A89,'Infinet ExDa'!$B$2:$E$14, 0,FALSE), "Not Found"))))))))</f>
        <v>IP-Line Link</v>
      </c>
      <c r="G89" t="str">
        <f>IFERROR(VLOOKUP($A89,'AAPT ExDa'!$B$2:$U$99, 5,FALSE), IFERROR(VLOOKUP($A89,'ABB ExDa'!$A$2:$N$184, 8,FALSE), IFERROR(VLOOKUP($A89,'Vocus SIT ExDa'!$B$2:$J$173, 6,FALSE), IFERROR(VLOOKUP($A89,'Telstra ExDa'!$B$2:$K$310, 0,FALSE), IFERROR(VLOOKUP($A89,'Vocus RVC ExDa'!$C$2:$R$155, 15,FALSE), IFERROR(VLOOKUP($A89,'Fusion ExDa'!$B$2:$D$16, 0,FALSE), IFERROR(VLOOKUP($A89,'Exetel ExDa'!$C$2:$N$14, 7,FALSE), IFERROR(VLOOKUP($A89,'Infinet ExDa'!$B$2:$E$14, 0,FALSE), "Not Found"))))))))</f>
        <v>Connecting IP-Line 6023265 to Access 1441473</v>
      </c>
      <c r="H89" t="str">
        <f>IFERROR(VLOOKUP($A89,'AAPT ExDa'!$B$2:$U$99, 6,FALSE), IFERROR(VLOOKUP($A89,'ABB ExDa'!$A$2:$N$184, 0,FALSE), IFERROR(VLOOKUP($A89,'Vocus SIT ExDa'!$B$2:$J$173, 0,FALSE), IFERROR(VLOOKUP($A89,'Telstra ExDa'!$B$2:$K$310, 0,FALSE), IFERROR(VLOOKUP($A89,'Vocus RVC ExDa'!$C$2:$R$155, 16,FALSE), IFERROR(VLOOKUP($A89,'Fusion ExDa'!$B$2:$D$16, 0,FALSE), IFERROR(VLOOKUP($A89,'Exetel ExDa'!$C$2:$N$14, 0,FALSE), IFERROR(VLOOKUP($A89,'Infinet ExDa'!$B$2:$E$14, 0,FALSE), "Not Found"))))))))</f>
        <v>Up to 100/40Mbps; AVC ID:AVC000033948748</v>
      </c>
      <c r="I89" t="str">
        <f>IFERROR(VLOOKUP($A89,'AAPT ExDa'!$B$2:$U$99, 0,FALSE), IFERROR(VLOOKUP($A89,'ABB ExDa'!$A$2:$N$184, 0,FALSE), IFERROR(VLOOKUP($A89,'Vocus SIT ExDa'!$B$2:$J$173, 0,FALSE), IFERROR(VLOOKUP($A89,'Telstra ExDa'!$B$2:$K$310, 0,FALSE), IFERROR(VLOOKUP($A89,'Vocus RVC ExDa'!$C$2:$R$155, 0,FALSE), IFERROR(VLOOKUP($A89,'Fusion ExDa'!$B$2:$D$16, 0,FALSE), IFERROR(VLOOKUP($A89,'Exetel ExDa'!$C$2:$N$14, 8,FALSE), IFERROR(VLOOKUP($A89,'Infinet ExDa'!$B$2:$E$14, 0,FALSE), "Not Found"))))))))</f>
        <v>Not Found</v>
      </c>
      <c r="J89" t="str">
        <f>IFERROR(VLOOKUP($A89,'AAPT ExDa'!$B$2:$U$99, 7,FALSE), IFERROR(VLOOKUP($A89,'ABB ExDa'!$A$2:$N$184, 2,FALSE), IFERROR(VLOOKUP($A89,'Vocus SIT ExDa'!$B$2:$J$173, 0,FALSE), IFERROR(VLOOKUP($A89,'Telstra ExDa'!$B$2:$K$310, 7,FALSE), IFERROR(VLOOKUP($A89,'Vocus RVC ExDa'!$C$2:$R$155, 2,FALSE), IFERROR(VLOOKUP($A89,'Fusion ExDa'!$B$2:$D$16, 3,FALSE), IFERROR(VLOOKUP($A89,'Exetel ExDa'!$C$2:$N$14, 0,FALSE), IFERROR(VLOOKUP($A89,'Infinet ExDa'!$B$2:$E$14, 0,FALSE), "Not Found"))))))))</f>
        <v>AVC000033948748</v>
      </c>
      <c r="K89" t="str">
        <f>IFERROR(VLOOKUP($A89,'AAPT ExDa'!$B$2:$U$99, 12,FALSE), IFERROR(VLOOKUP($A89,'ABB ExDa'!$A$2:$N$184, 0,FALSE), IFERROR(VLOOKUP($A89,'Vocus SIT ExDa'!$B$2:$J$173, 0,FALSE), IFERROR(VLOOKUP($A89,'Telstra ExDa'!$B$2:$K$310, 0,FALSE), IFERROR(VLOOKUP($A89,'Vocus RVC ExDa'!$C$2:$R$155, 0,FALSE), IFERROR(VLOOKUP($A89,'Fusion ExDa'!$B$2:$D$16, 0,FALSE), IFERROR(VLOOKUP($A89,'Exetel ExDa'!$C$2:$N$14, 12,FALSE), IFERROR(VLOOKUP($A89,'Infinet ExDa'!$B$2:$E$14, 0,FALSE), "Not Found"))))))))</f>
        <v>24 Months</v>
      </c>
      <c r="L89" s="235" t="str">
        <f>IFERROR(VLOOKUP($A89,'AAPT ExDa'!$B$2:$U$99, 11,FALSE), IFERROR(VLOOKUP($A89,'ABB ExDa'!$A$2:$N$184, 9,FALSE), IFERROR(VLOOKUP($A89,'Vocus SIT ExDa'!$B$2:$J$173, 8,FALSE), IFERROR(VLOOKUP($A89,'Telstra ExDa'!$B$2:$K$310, 0,FALSE), IFERROR(VLOOKUP($A89,'Vocus RVC ExDa'!$C$2:$R$155, 0,FALSE), IFERROR(VLOOKUP($A89,'Fusion ExDa'!$B$2:$D$16, 0,FALSE), IFERROR(VLOOKUP($A89,'Exetel ExDa'!$C$2:$N$14, 9,FALSE), IFERROR(VLOOKUP($A89,'Infinet ExDa'!$B$2:$E$14, 0,FALSE), "Not Found"))))))))</f>
        <v>21/03/2017</v>
      </c>
      <c r="M89" s="234" t="str">
        <f>IFERROR(VLOOKUP($A89,'AAPT ExDa'!$B$2:$U$99, 0,FALSE), IFERROR(VLOOKUP($A89,'ABB ExDa'!$A$2:$N$184, 0,FALSE), IFERROR(VLOOKUP($A89,'Vocus SIT ExDa'!$B$2:$J$173, 0,FALSE), IFERROR(VLOOKUP($A89,'Telstra ExDa'!$B$2:$K$310, 0,FALSE), IFERROR(VLOOKUP($A89,'Vocus RVC ExDa'!$C$2:$R$155, 0,FALSE), IFERROR(VLOOKUP($A89,'Fusion ExDa'!$B$2:$D$16, 0,FALSE), IFERROR(VLOOKUP($A89,'Exetel ExDa'!$C$2:$N$14, 11,FALSE), IFERROR(VLOOKUP($A89,'Infinet ExDa'!$B$2:$E$14, 0,FALSE), "Not Found"))))))))</f>
        <v>Not Found</v>
      </c>
      <c r="N89" t="str">
        <f>IFERROR(VLOOKUP($A89,'AAPT ExDa'!$B$2:$U$99, 0,FALSE), IFERROR(VLOOKUP($A89,'ABB ExDa'!$A$2:$N$184, 13,FALSE), IFERROR(VLOOKUP($A89,'Vocus SIT ExDa'!$B$2:$J$173, 0,FALSE), IFERROR(VLOOKUP($A89,'Telstra ExDa'!$B$2:$K$310, 0,FALSE), IFERROR(VLOOKUP($A89,'Vocus RVC ExDa'!$C$2:$R$155, 0,FALSE), IFERROR(VLOOKUP($A89,'Fusion ExDa'!$B$2:$D$16, 0,FALSE), IFERROR(VLOOKUP($A89,'Exetel ExDa'!$C$2:$N$14, 0,FALSE), IFERROR(VLOOKUP($A89,'Infinet ExDa'!$B$2:$E$14, 0,FALSE), "Not Found"))))))))</f>
        <v>Not Found</v>
      </c>
    </row>
    <row r="90" spans="1:14">
      <c r="A90" t="str">
        <v>Swag Motel</v>
      </c>
      <c r="B90" t="str">
        <f>IFERROR(VLOOKUP(A90,'Exetel ExDa'!$C$2:$N$14,4,FALSE),"No Data")</f>
        <v>No Data</v>
      </c>
      <c r="C90">
        <f>IFERROR(VLOOKUP(A90,'AAPT ExDa'!$B$2:$U$99, 2,FALSE), IFERROR(VLOOKUP(A90,'ABB ExDa'!$A$2:$N$184, 2,FALSE), IFERROR(VLOOKUP(A90,'Vocus SIT ExDa'!$B$2:$J$173, 7,FALSE), IFERROR(VLOOKUP(A90,'Telstra ExDa'!$B$2:$K$310, 2,FALSE), IFERROR(VLOOKUP(A90,'Vocus RVC ExDa'!$C$2:$R$155, 3,FALSE), IFERROR(VLOOKUP(A90,'Fusion ExDa'!$B$2:$D$16, 2,FALSE), IFERROR(VLOOKUP(A90,'Exetel ExDa'!$C$2:$N$14, 2,FALSE), IFERROR(VLOOKUP(A90,'Infinet ExDa'!$B$2:$E$14, 2,FALSE), "Not Found"))))))))</f>
        <v>0</v>
      </c>
      <c r="D90" t="str">
        <f>IFERROR(VLOOKUP($A90,'AAPT ExDa'!$B$2:$U$99, 15,FALSE), IFERROR(VLOOKUP($A90,'ABB ExDa'!$A$2:$N$184, 4,FALSE), IFERROR(VLOOKUP($A90,'Vocus SIT ExDa'!$B$2:$J$173, 5,FALSE), IFERROR(VLOOKUP($A90,'Telstra ExDa'!$B$2:$K$310, 8,FALSE), IFERROR(VLOOKUP($A90,'Vocus RVC ExDa'!$C$2:$R$155, 6,FALSE), IFERROR(VLOOKUP($A90,'Fusion ExDa'!$B$2:$D$16, 4,FALSE), IFERROR(VLOOKUP($A90,'Exetel ExDa'!$C$2:$N$14, 3,FALSE), IFERROR(VLOOKUP($A90,'Infinet ExDa'!$B$2:$E$14, 3,FALSE), "Not Found"))))))))</f>
        <v>AAPT</v>
      </c>
      <c r="E90" t="str">
        <f>IFERROR(VLOOKUP($A90,'AAPT ExDa'!$B$2:$U$99, 3,FALSE), IFERROR(VLOOKUP($A90,'ABB ExDa'!$A$2:$N$184, 5,FALSE), IFERROR(VLOOKUP($A90,'Vocus SIT ExDa'!$B$2:$J$173, 2,FALSE), IFERROR(VLOOKUP($A90,'Telstra ExDa'!$B$2:$K$310, 4,FALSE), IFERROR(VLOOKUP($A90,'Vocus RVC ExDa'!$C$2:$R$155, 8,FALSE), IFERROR(VLOOKUP($A90,'Fusion ExDa'!$B$2:$D$16, 4,FALSE), IFERROR(VLOOKUP($A90,'Exetel ExDa'!$C$2:$N$14, 5,FALSE), IFERROR(VLOOKUP($A90,'Infinet ExDa'!$B$2:$E$14, 3,FALSE), "Not Found"))))))))</f>
        <v>IP-Line</v>
      </c>
      <c r="F90" t="str">
        <f>IFERROR(VLOOKUP($A90,'AAPT ExDa'!$B$2:$U$99, 4,FALSE), IFERROR(VLOOKUP($A90,'ABB ExDa'!$A$2:$N$184, 6,FALSE), IFERROR(VLOOKUP($A90,'Vocus SIT ExDa'!$B$2:$J$173, 3,FALSE), IFERROR(VLOOKUP($A90,'Telstra ExDa'!$B$2:$K$310, 5,FALSE), IFERROR(VLOOKUP($A90,'Vocus RVC ExDa'!$C$2:$R$155, 9,FALSE), IFERROR(VLOOKUP($A90,'Fusion ExDa'!$B$2:$D$16, 0,FALSE), IFERROR(VLOOKUP($A90,'Exetel ExDa'!$C$2:$N$14, 6,FALSE), IFERROR(VLOOKUP($A90,'Infinet ExDa'!$B$2:$E$14, 0,FALSE), "Not Found"))))))))</f>
        <v>IP-Line Link</v>
      </c>
      <c r="G90" t="str">
        <f>IFERROR(VLOOKUP($A90,'AAPT ExDa'!$B$2:$U$99, 5,FALSE), IFERROR(VLOOKUP($A90,'ABB ExDa'!$A$2:$N$184, 8,FALSE), IFERROR(VLOOKUP($A90,'Vocus SIT ExDa'!$B$2:$J$173, 6,FALSE), IFERROR(VLOOKUP($A90,'Telstra ExDa'!$B$2:$K$310, 0,FALSE), IFERROR(VLOOKUP($A90,'Vocus RVC ExDa'!$C$2:$R$155, 15,FALSE), IFERROR(VLOOKUP($A90,'Fusion ExDa'!$B$2:$D$16, 0,FALSE), IFERROR(VLOOKUP($A90,'Exetel ExDa'!$C$2:$N$14, 7,FALSE), IFERROR(VLOOKUP($A90,'Infinet ExDa'!$B$2:$E$14, 0,FALSE), "Not Found"))))))))</f>
        <v>Connecting IP-Line 6023265 to Access 100775642</v>
      </c>
      <c r="H90" t="str">
        <f>IFERROR(VLOOKUP($A90,'AAPT ExDa'!$B$2:$U$99, 6,FALSE), IFERROR(VLOOKUP($A90,'ABB ExDa'!$A$2:$N$184, 0,FALSE), IFERROR(VLOOKUP($A90,'Vocus SIT ExDa'!$B$2:$J$173, 0,FALSE), IFERROR(VLOOKUP($A90,'Telstra ExDa'!$B$2:$K$310, 0,FALSE), IFERROR(VLOOKUP($A90,'Vocus RVC ExDa'!$C$2:$R$155, 16,FALSE), IFERROR(VLOOKUP($A90,'Fusion ExDa'!$B$2:$D$16, 0,FALSE), IFERROR(VLOOKUP($A90,'Exetel ExDa'!$C$2:$N$14, 0,FALSE), IFERROR(VLOOKUP($A90,'Infinet ExDa'!$B$2:$E$14, 0,FALSE), "Not Found"))))))))</f>
        <v>Up to 100/40Mbps; AVC ID:AVC000142252277</v>
      </c>
      <c r="I90" t="str">
        <f>IFERROR(VLOOKUP($A90,'AAPT ExDa'!$B$2:$U$99, 0,FALSE), IFERROR(VLOOKUP($A90,'ABB ExDa'!$A$2:$N$184, 0,FALSE), IFERROR(VLOOKUP($A90,'Vocus SIT ExDa'!$B$2:$J$173, 0,FALSE), IFERROR(VLOOKUP($A90,'Telstra ExDa'!$B$2:$K$310, 0,FALSE), IFERROR(VLOOKUP($A90,'Vocus RVC ExDa'!$C$2:$R$155, 0,FALSE), IFERROR(VLOOKUP($A90,'Fusion ExDa'!$B$2:$D$16, 0,FALSE), IFERROR(VLOOKUP($A90,'Exetel ExDa'!$C$2:$N$14, 8,FALSE), IFERROR(VLOOKUP($A90,'Infinet ExDa'!$B$2:$E$14, 0,FALSE), "Not Found"))))))))</f>
        <v>Not Found</v>
      </c>
      <c r="J90" t="str">
        <f>IFERROR(VLOOKUP($A90,'AAPT ExDa'!$B$2:$U$99, 7,FALSE), IFERROR(VLOOKUP($A90,'ABB ExDa'!$A$2:$N$184, 2,FALSE), IFERROR(VLOOKUP($A90,'Vocus SIT ExDa'!$B$2:$J$173, 0,FALSE), IFERROR(VLOOKUP($A90,'Telstra ExDa'!$B$2:$K$310, 7,FALSE), IFERROR(VLOOKUP($A90,'Vocus RVC ExDa'!$C$2:$R$155, 2,FALSE), IFERROR(VLOOKUP($A90,'Fusion ExDa'!$B$2:$D$16, 3,FALSE), IFERROR(VLOOKUP($A90,'Exetel ExDa'!$C$2:$N$14, 0,FALSE), IFERROR(VLOOKUP($A90,'Infinet ExDa'!$B$2:$E$14, 0,FALSE), "Not Found"))))))))</f>
        <v>AVC000142252277</v>
      </c>
      <c r="K90" t="str">
        <f>IFERROR(VLOOKUP($A90,'AAPT ExDa'!$B$2:$U$99, 12,FALSE), IFERROR(VLOOKUP($A90,'ABB ExDa'!$A$2:$N$184, 0,FALSE), IFERROR(VLOOKUP($A90,'Vocus SIT ExDa'!$B$2:$J$173, 0,FALSE), IFERROR(VLOOKUP($A90,'Telstra ExDa'!$B$2:$K$310, 0,FALSE), IFERROR(VLOOKUP($A90,'Vocus RVC ExDa'!$C$2:$R$155, 0,FALSE), IFERROR(VLOOKUP($A90,'Fusion ExDa'!$B$2:$D$16, 0,FALSE), IFERROR(VLOOKUP($A90,'Exetel ExDa'!$C$2:$N$14, 12,FALSE), IFERROR(VLOOKUP($A90,'Infinet ExDa'!$B$2:$E$14, 0,FALSE), "Not Found"))))))))</f>
        <v>36 Months</v>
      </c>
      <c r="L90" s="235" t="str">
        <f>IFERROR(VLOOKUP($A90,'AAPT ExDa'!$B$2:$U$99, 11,FALSE), IFERROR(VLOOKUP($A90,'ABB ExDa'!$A$2:$N$184, 9,FALSE), IFERROR(VLOOKUP($A90,'Vocus SIT ExDa'!$B$2:$J$173, 8,FALSE), IFERROR(VLOOKUP($A90,'Telstra ExDa'!$B$2:$K$310, 0,FALSE), IFERROR(VLOOKUP($A90,'Vocus RVC ExDa'!$C$2:$R$155, 0,FALSE), IFERROR(VLOOKUP($A90,'Fusion ExDa'!$B$2:$D$16, 0,FALSE), IFERROR(VLOOKUP($A90,'Exetel ExDa'!$C$2:$N$14, 9,FALSE), IFERROR(VLOOKUP($A90,'Infinet ExDa'!$B$2:$E$14, 0,FALSE), "Not Found"))))))))</f>
        <v>16/11/2021</v>
      </c>
      <c r="M90" s="234" t="str">
        <f>IFERROR(VLOOKUP($A90,'AAPT ExDa'!$B$2:$U$99, 0,FALSE), IFERROR(VLOOKUP($A90,'ABB ExDa'!$A$2:$N$184, 0,FALSE), IFERROR(VLOOKUP($A90,'Vocus SIT ExDa'!$B$2:$J$173, 0,FALSE), IFERROR(VLOOKUP($A90,'Telstra ExDa'!$B$2:$K$310, 0,FALSE), IFERROR(VLOOKUP($A90,'Vocus RVC ExDa'!$C$2:$R$155, 0,FALSE), IFERROR(VLOOKUP($A90,'Fusion ExDa'!$B$2:$D$16, 0,FALSE), IFERROR(VLOOKUP($A90,'Exetel ExDa'!$C$2:$N$14, 11,FALSE), IFERROR(VLOOKUP($A90,'Infinet ExDa'!$B$2:$E$14, 0,FALSE), "Not Found"))))))))</f>
        <v>Not Found</v>
      </c>
      <c r="N90" t="str">
        <f>IFERROR(VLOOKUP($A90,'AAPT ExDa'!$B$2:$U$99, 0,FALSE), IFERROR(VLOOKUP($A90,'ABB ExDa'!$A$2:$N$184, 13,FALSE), IFERROR(VLOOKUP($A90,'Vocus SIT ExDa'!$B$2:$J$173, 0,FALSE), IFERROR(VLOOKUP($A90,'Telstra ExDa'!$B$2:$K$310, 0,FALSE), IFERROR(VLOOKUP($A90,'Vocus RVC ExDa'!$C$2:$R$155, 0,FALSE), IFERROR(VLOOKUP($A90,'Fusion ExDa'!$B$2:$D$16, 0,FALSE), IFERROR(VLOOKUP($A90,'Exetel ExDa'!$C$2:$N$14, 0,FALSE), IFERROR(VLOOKUP($A90,'Infinet ExDa'!$B$2:$E$14, 0,FALSE), "Not Found"))))))))</f>
        <v>Not Found</v>
      </c>
    </row>
    <row r="91" spans="1:14">
      <c r="A91" t="str">
        <v>T2 Electrical</v>
      </c>
      <c r="B91" t="str">
        <f>IFERROR(VLOOKUP(A91,'Exetel ExDa'!$C$2:$N$14,4,FALSE),"No Data")</f>
        <v>No Data</v>
      </c>
      <c r="C91">
        <f>IFERROR(VLOOKUP(A91,'AAPT ExDa'!$B$2:$U$99, 2,FALSE), IFERROR(VLOOKUP(A91,'ABB ExDa'!$A$2:$N$184, 2,FALSE), IFERROR(VLOOKUP(A91,'Vocus SIT ExDa'!$B$2:$J$173, 7,FALSE), IFERROR(VLOOKUP(A91,'Telstra ExDa'!$B$2:$K$310, 2,FALSE), IFERROR(VLOOKUP(A91,'Vocus RVC ExDa'!$C$2:$R$155, 3,FALSE), IFERROR(VLOOKUP(A91,'Fusion ExDa'!$B$2:$D$16, 2,FALSE), IFERROR(VLOOKUP(A91,'Exetel ExDa'!$C$2:$N$14, 2,FALSE), IFERROR(VLOOKUP(A91,'Infinet ExDa'!$B$2:$E$14, 2,FALSE), "Not Found"))))))))</f>
        <v>0</v>
      </c>
      <c r="D91" t="str">
        <f>IFERROR(VLOOKUP($A91,'AAPT ExDa'!$B$2:$U$99, 15,FALSE), IFERROR(VLOOKUP($A91,'ABB ExDa'!$A$2:$N$184, 4,FALSE), IFERROR(VLOOKUP($A91,'Vocus SIT ExDa'!$B$2:$J$173, 5,FALSE), IFERROR(VLOOKUP($A91,'Telstra ExDa'!$B$2:$K$310, 8,FALSE), IFERROR(VLOOKUP($A91,'Vocus RVC ExDa'!$C$2:$R$155, 6,FALSE), IFERROR(VLOOKUP($A91,'Fusion ExDa'!$B$2:$D$16, 4,FALSE), IFERROR(VLOOKUP($A91,'Exetel ExDa'!$C$2:$N$14, 3,FALSE), IFERROR(VLOOKUP($A91,'Infinet ExDa'!$B$2:$E$14, 3,FALSE), "Not Found"))))))))</f>
        <v>AAPT</v>
      </c>
      <c r="E91" t="str">
        <f>IFERROR(VLOOKUP($A91,'AAPT ExDa'!$B$2:$U$99, 3,FALSE), IFERROR(VLOOKUP($A91,'ABB ExDa'!$A$2:$N$184, 5,FALSE), IFERROR(VLOOKUP($A91,'Vocus SIT ExDa'!$B$2:$J$173, 2,FALSE), IFERROR(VLOOKUP($A91,'Telstra ExDa'!$B$2:$K$310, 4,FALSE), IFERROR(VLOOKUP($A91,'Vocus RVC ExDa'!$C$2:$R$155, 8,FALSE), IFERROR(VLOOKUP($A91,'Fusion ExDa'!$B$2:$D$16, 4,FALSE), IFERROR(VLOOKUP($A91,'Exetel ExDa'!$C$2:$N$14, 5,FALSE), IFERROR(VLOOKUP($A91,'Infinet ExDa'!$B$2:$E$14, 3,FALSE), "Not Found"))))))))</f>
        <v>IP-Line</v>
      </c>
      <c r="F91" t="str">
        <f>IFERROR(VLOOKUP($A91,'AAPT ExDa'!$B$2:$U$99, 4,FALSE), IFERROR(VLOOKUP($A91,'ABB ExDa'!$A$2:$N$184, 6,FALSE), IFERROR(VLOOKUP($A91,'Vocus SIT ExDa'!$B$2:$J$173, 3,FALSE), IFERROR(VLOOKUP($A91,'Telstra ExDa'!$B$2:$K$310, 5,FALSE), IFERROR(VLOOKUP($A91,'Vocus RVC ExDa'!$C$2:$R$155, 9,FALSE), IFERROR(VLOOKUP($A91,'Fusion ExDa'!$B$2:$D$16, 0,FALSE), IFERROR(VLOOKUP($A91,'Exetel ExDa'!$C$2:$N$14, 6,FALSE), IFERROR(VLOOKUP($A91,'Infinet ExDa'!$B$2:$E$14, 0,FALSE), "Not Found"))))))))</f>
        <v>IP-Line Link</v>
      </c>
      <c r="G91" t="str">
        <f>IFERROR(VLOOKUP($A91,'AAPT ExDa'!$B$2:$U$99, 5,FALSE), IFERROR(VLOOKUP($A91,'ABB ExDa'!$A$2:$N$184, 8,FALSE), IFERROR(VLOOKUP($A91,'Vocus SIT ExDa'!$B$2:$J$173, 6,FALSE), IFERROR(VLOOKUP($A91,'Telstra ExDa'!$B$2:$K$310, 0,FALSE), IFERROR(VLOOKUP($A91,'Vocus RVC ExDa'!$C$2:$R$155, 15,FALSE), IFERROR(VLOOKUP($A91,'Fusion ExDa'!$B$2:$D$16, 0,FALSE), IFERROR(VLOOKUP($A91,'Exetel ExDa'!$C$2:$N$14, 7,FALSE), IFERROR(VLOOKUP($A91,'Infinet ExDa'!$B$2:$E$14, 0,FALSE), "Not Found"))))))))</f>
        <v>Connecting IP-Line 6023265 to Access 1814827</v>
      </c>
      <c r="H91" t="str">
        <f>IFERROR(VLOOKUP($A91,'AAPT ExDa'!$B$2:$U$99, 6,FALSE), IFERROR(VLOOKUP($A91,'ABB ExDa'!$A$2:$N$184, 0,FALSE), IFERROR(VLOOKUP($A91,'Vocus SIT ExDa'!$B$2:$J$173, 0,FALSE), IFERROR(VLOOKUP($A91,'Telstra ExDa'!$B$2:$K$310, 0,FALSE), IFERROR(VLOOKUP($A91,'Vocus RVC ExDa'!$C$2:$R$155, 16,FALSE), IFERROR(VLOOKUP($A91,'Fusion ExDa'!$B$2:$D$16, 0,FALSE), IFERROR(VLOOKUP($A91,'Exetel ExDa'!$C$2:$N$14, 0,FALSE), IFERROR(VLOOKUP($A91,'Infinet ExDa'!$B$2:$E$14, 0,FALSE), "Not Found"))))))))</f>
        <v>Up to 100/40Mbps; AVC ID:AVC400024089343</v>
      </c>
      <c r="I91" t="str">
        <f>IFERROR(VLOOKUP($A91,'AAPT ExDa'!$B$2:$U$99, 0,FALSE), IFERROR(VLOOKUP($A91,'ABB ExDa'!$A$2:$N$184, 0,FALSE), IFERROR(VLOOKUP($A91,'Vocus SIT ExDa'!$B$2:$J$173, 0,FALSE), IFERROR(VLOOKUP($A91,'Telstra ExDa'!$B$2:$K$310, 0,FALSE), IFERROR(VLOOKUP($A91,'Vocus RVC ExDa'!$C$2:$R$155, 0,FALSE), IFERROR(VLOOKUP($A91,'Fusion ExDa'!$B$2:$D$16, 0,FALSE), IFERROR(VLOOKUP($A91,'Exetel ExDa'!$C$2:$N$14, 8,FALSE), IFERROR(VLOOKUP($A91,'Infinet ExDa'!$B$2:$E$14, 0,FALSE), "Not Found"))))))))</f>
        <v>Not Found</v>
      </c>
      <c r="J91" t="str">
        <f>IFERROR(VLOOKUP($A91,'AAPT ExDa'!$B$2:$U$99, 7,FALSE), IFERROR(VLOOKUP($A91,'ABB ExDa'!$A$2:$N$184, 2,FALSE), IFERROR(VLOOKUP($A91,'Vocus SIT ExDa'!$B$2:$J$173, 0,FALSE), IFERROR(VLOOKUP($A91,'Telstra ExDa'!$B$2:$K$310, 7,FALSE), IFERROR(VLOOKUP($A91,'Vocus RVC ExDa'!$C$2:$R$155, 2,FALSE), IFERROR(VLOOKUP($A91,'Fusion ExDa'!$B$2:$D$16, 3,FALSE), IFERROR(VLOOKUP($A91,'Exetel ExDa'!$C$2:$N$14, 0,FALSE), IFERROR(VLOOKUP($A91,'Infinet ExDa'!$B$2:$E$14, 0,FALSE), "Not Found"))))))))</f>
        <v>AVC400024089343</v>
      </c>
      <c r="K91" t="str">
        <f>IFERROR(VLOOKUP($A91,'AAPT ExDa'!$B$2:$U$99, 12,FALSE), IFERROR(VLOOKUP($A91,'ABB ExDa'!$A$2:$N$184, 0,FALSE), IFERROR(VLOOKUP($A91,'Vocus SIT ExDa'!$B$2:$J$173, 0,FALSE), IFERROR(VLOOKUP($A91,'Telstra ExDa'!$B$2:$K$310, 0,FALSE), IFERROR(VLOOKUP($A91,'Vocus RVC ExDa'!$C$2:$R$155, 0,FALSE), IFERROR(VLOOKUP($A91,'Fusion ExDa'!$B$2:$D$16, 0,FALSE), IFERROR(VLOOKUP($A91,'Exetel ExDa'!$C$2:$N$14, 12,FALSE), IFERROR(VLOOKUP($A91,'Infinet ExDa'!$B$2:$E$14, 0,FALSE), "Not Found"))))))))</f>
        <v>24 Months</v>
      </c>
      <c r="L91" s="235" t="str">
        <f>IFERROR(VLOOKUP($A91,'AAPT ExDa'!$B$2:$U$99, 11,FALSE), IFERROR(VLOOKUP($A91,'ABB ExDa'!$A$2:$N$184, 9,FALSE), IFERROR(VLOOKUP($A91,'Vocus SIT ExDa'!$B$2:$J$173, 8,FALSE), IFERROR(VLOOKUP($A91,'Telstra ExDa'!$B$2:$K$310, 0,FALSE), IFERROR(VLOOKUP($A91,'Vocus RVC ExDa'!$C$2:$R$155, 0,FALSE), IFERROR(VLOOKUP($A91,'Fusion ExDa'!$B$2:$D$16, 0,FALSE), IFERROR(VLOOKUP($A91,'Exetel ExDa'!$C$2:$N$14, 9,FALSE), IFERROR(VLOOKUP($A91,'Infinet ExDa'!$B$2:$E$14, 0,FALSE), "Not Found"))))))))</f>
        <v>19/03/2020</v>
      </c>
      <c r="M91" s="234" t="str">
        <f>IFERROR(VLOOKUP($A91,'AAPT ExDa'!$B$2:$U$99, 0,FALSE), IFERROR(VLOOKUP($A91,'ABB ExDa'!$A$2:$N$184, 0,FALSE), IFERROR(VLOOKUP($A91,'Vocus SIT ExDa'!$B$2:$J$173, 0,FALSE), IFERROR(VLOOKUP($A91,'Telstra ExDa'!$B$2:$K$310, 0,FALSE), IFERROR(VLOOKUP($A91,'Vocus RVC ExDa'!$C$2:$R$155, 0,FALSE), IFERROR(VLOOKUP($A91,'Fusion ExDa'!$B$2:$D$16, 0,FALSE), IFERROR(VLOOKUP($A91,'Exetel ExDa'!$C$2:$N$14, 11,FALSE), IFERROR(VLOOKUP($A91,'Infinet ExDa'!$B$2:$E$14, 0,FALSE), "Not Found"))))))))</f>
        <v>Not Found</v>
      </c>
      <c r="N91" t="str">
        <f>IFERROR(VLOOKUP($A91,'AAPT ExDa'!$B$2:$U$99, 0,FALSE), IFERROR(VLOOKUP($A91,'ABB ExDa'!$A$2:$N$184, 13,FALSE), IFERROR(VLOOKUP($A91,'Vocus SIT ExDa'!$B$2:$J$173, 0,FALSE), IFERROR(VLOOKUP($A91,'Telstra ExDa'!$B$2:$K$310, 0,FALSE), IFERROR(VLOOKUP($A91,'Vocus RVC ExDa'!$C$2:$R$155, 0,FALSE), IFERROR(VLOOKUP($A91,'Fusion ExDa'!$B$2:$D$16, 0,FALSE), IFERROR(VLOOKUP($A91,'Exetel ExDa'!$C$2:$N$14, 0,FALSE), IFERROR(VLOOKUP($A91,'Infinet ExDa'!$B$2:$E$14, 0,FALSE), "Not Found"))))))))</f>
        <v>Not Found</v>
      </c>
    </row>
    <row r="92" spans="1:14">
      <c r="A92" t="str">
        <v>Talisman Group</v>
      </c>
      <c r="B92" t="str">
        <f>IFERROR(VLOOKUP(A92,'Exetel ExDa'!$C$2:$N$14,4,FALSE),"No Data")</f>
        <v>No Data</v>
      </c>
      <c r="C92">
        <f>IFERROR(VLOOKUP(A92,'AAPT ExDa'!$B$2:$U$99, 2,FALSE), IFERROR(VLOOKUP(A92,'ABB ExDa'!$A$2:$N$184, 2,FALSE), IFERROR(VLOOKUP(A92,'Vocus SIT ExDa'!$B$2:$J$173, 7,FALSE), IFERROR(VLOOKUP(A92,'Telstra ExDa'!$B$2:$K$310, 2,FALSE), IFERROR(VLOOKUP(A92,'Vocus RVC ExDa'!$C$2:$R$155, 3,FALSE), IFERROR(VLOOKUP(A92,'Fusion ExDa'!$B$2:$D$16, 2,FALSE), IFERROR(VLOOKUP(A92,'Exetel ExDa'!$C$2:$N$14, 2,FALSE), IFERROR(VLOOKUP(A92,'Infinet ExDa'!$B$2:$E$14, 2,FALSE), "Not Found"))))))))</f>
        <v>0</v>
      </c>
      <c r="D92" t="str">
        <f>IFERROR(VLOOKUP($A92,'AAPT ExDa'!$B$2:$U$99, 15,FALSE), IFERROR(VLOOKUP($A92,'ABB ExDa'!$A$2:$N$184, 4,FALSE), IFERROR(VLOOKUP($A92,'Vocus SIT ExDa'!$B$2:$J$173, 5,FALSE), IFERROR(VLOOKUP($A92,'Telstra ExDa'!$B$2:$K$310, 8,FALSE), IFERROR(VLOOKUP($A92,'Vocus RVC ExDa'!$C$2:$R$155, 6,FALSE), IFERROR(VLOOKUP($A92,'Fusion ExDa'!$B$2:$D$16, 4,FALSE), IFERROR(VLOOKUP($A92,'Exetel ExDa'!$C$2:$N$14, 3,FALSE), IFERROR(VLOOKUP($A92,'Infinet ExDa'!$B$2:$E$14, 3,FALSE), "Not Found"))))))))</f>
        <v>AAPT</v>
      </c>
      <c r="E92" t="str">
        <f>IFERROR(VLOOKUP($A92,'AAPT ExDa'!$B$2:$U$99, 3,FALSE), IFERROR(VLOOKUP($A92,'ABB ExDa'!$A$2:$N$184, 5,FALSE), IFERROR(VLOOKUP($A92,'Vocus SIT ExDa'!$B$2:$J$173, 2,FALSE), IFERROR(VLOOKUP($A92,'Telstra ExDa'!$B$2:$K$310, 4,FALSE), IFERROR(VLOOKUP($A92,'Vocus RVC ExDa'!$C$2:$R$155, 8,FALSE), IFERROR(VLOOKUP($A92,'Fusion ExDa'!$B$2:$D$16, 4,FALSE), IFERROR(VLOOKUP($A92,'Exetel ExDa'!$C$2:$N$14, 5,FALSE), IFERROR(VLOOKUP($A92,'Infinet ExDa'!$B$2:$E$14, 3,FALSE), "Not Found"))))))))</f>
        <v>IP-Line</v>
      </c>
      <c r="F92" t="str">
        <f>IFERROR(VLOOKUP($A92,'AAPT ExDa'!$B$2:$U$99, 4,FALSE), IFERROR(VLOOKUP($A92,'ABB ExDa'!$A$2:$N$184, 6,FALSE), IFERROR(VLOOKUP($A92,'Vocus SIT ExDa'!$B$2:$J$173, 3,FALSE), IFERROR(VLOOKUP($A92,'Telstra ExDa'!$B$2:$K$310, 5,FALSE), IFERROR(VLOOKUP($A92,'Vocus RVC ExDa'!$C$2:$R$155, 9,FALSE), IFERROR(VLOOKUP($A92,'Fusion ExDa'!$B$2:$D$16, 0,FALSE), IFERROR(VLOOKUP($A92,'Exetel ExDa'!$C$2:$N$14, 6,FALSE), IFERROR(VLOOKUP($A92,'Infinet ExDa'!$B$2:$E$14, 0,FALSE), "Not Found"))))))))</f>
        <v>IP-Line Link</v>
      </c>
      <c r="G92" t="str">
        <f>IFERROR(VLOOKUP($A92,'AAPT ExDa'!$B$2:$U$99, 5,FALSE), IFERROR(VLOOKUP($A92,'ABB ExDa'!$A$2:$N$184, 8,FALSE), IFERROR(VLOOKUP($A92,'Vocus SIT ExDa'!$B$2:$J$173, 6,FALSE), IFERROR(VLOOKUP($A92,'Telstra ExDa'!$B$2:$K$310, 0,FALSE), IFERROR(VLOOKUP($A92,'Vocus RVC ExDa'!$C$2:$R$155, 15,FALSE), IFERROR(VLOOKUP($A92,'Fusion ExDa'!$B$2:$D$16, 0,FALSE), IFERROR(VLOOKUP($A92,'Exetel ExDa'!$C$2:$N$14, 7,FALSE), IFERROR(VLOOKUP($A92,'Infinet ExDa'!$B$2:$E$14, 0,FALSE), "Not Found"))))))))</f>
        <v>Connecting IP-Line 6023265 to Access 100805284</v>
      </c>
      <c r="H92" t="str">
        <f>IFERROR(VLOOKUP($A92,'AAPT ExDa'!$B$2:$U$99, 6,FALSE), IFERROR(VLOOKUP($A92,'ABB ExDa'!$A$2:$N$184, 0,FALSE), IFERROR(VLOOKUP($A92,'Vocus SIT ExDa'!$B$2:$J$173, 0,FALSE), IFERROR(VLOOKUP($A92,'Telstra ExDa'!$B$2:$K$310, 0,FALSE), IFERROR(VLOOKUP($A92,'Vocus RVC ExDa'!$C$2:$R$155, 16,FALSE), IFERROR(VLOOKUP($A92,'Fusion ExDa'!$B$2:$D$16, 0,FALSE), IFERROR(VLOOKUP($A92,'Exetel ExDa'!$C$2:$N$14, 0,FALSE), IFERROR(VLOOKUP($A92,'Infinet ExDa'!$B$2:$E$14, 0,FALSE), "Not Found"))))))))</f>
        <v>Up to 100/40Mbps; AVC ID:AVC000153828911</v>
      </c>
      <c r="I92" t="str">
        <f>IFERROR(VLOOKUP($A92,'AAPT ExDa'!$B$2:$U$99, 0,FALSE), IFERROR(VLOOKUP($A92,'ABB ExDa'!$A$2:$N$184, 0,FALSE), IFERROR(VLOOKUP($A92,'Vocus SIT ExDa'!$B$2:$J$173, 0,FALSE), IFERROR(VLOOKUP($A92,'Telstra ExDa'!$B$2:$K$310, 0,FALSE), IFERROR(VLOOKUP($A92,'Vocus RVC ExDa'!$C$2:$R$155, 0,FALSE), IFERROR(VLOOKUP($A92,'Fusion ExDa'!$B$2:$D$16, 0,FALSE), IFERROR(VLOOKUP($A92,'Exetel ExDa'!$C$2:$N$14, 8,FALSE), IFERROR(VLOOKUP($A92,'Infinet ExDa'!$B$2:$E$14, 0,FALSE), "Not Found"))))))))</f>
        <v>Not Found</v>
      </c>
      <c r="J92" t="str">
        <f>IFERROR(VLOOKUP($A92,'AAPT ExDa'!$B$2:$U$99, 7,FALSE), IFERROR(VLOOKUP($A92,'ABB ExDa'!$A$2:$N$184, 2,FALSE), IFERROR(VLOOKUP($A92,'Vocus SIT ExDa'!$B$2:$J$173, 0,FALSE), IFERROR(VLOOKUP($A92,'Telstra ExDa'!$B$2:$K$310, 7,FALSE), IFERROR(VLOOKUP($A92,'Vocus RVC ExDa'!$C$2:$R$155, 2,FALSE), IFERROR(VLOOKUP($A92,'Fusion ExDa'!$B$2:$D$16, 3,FALSE), IFERROR(VLOOKUP($A92,'Exetel ExDa'!$C$2:$N$14, 0,FALSE), IFERROR(VLOOKUP($A92,'Infinet ExDa'!$B$2:$E$14, 0,FALSE), "Not Found"))))))))</f>
        <v>AVC000153828911</v>
      </c>
      <c r="K92" t="str">
        <f>IFERROR(VLOOKUP($A92,'AAPT ExDa'!$B$2:$U$99, 12,FALSE), IFERROR(VLOOKUP($A92,'ABB ExDa'!$A$2:$N$184, 0,FALSE), IFERROR(VLOOKUP($A92,'Vocus SIT ExDa'!$B$2:$J$173, 0,FALSE), IFERROR(VLOOKUP($A92,'Telstra ExDa'!$B$2:$K$310, 0,FALSE), IFERROR(VLOOKUP($A92,'Vocus RVC ExDa'!$C$2:$R$155, 0,FALSE), IFERROR(VLOOKUP($A92,'Fusion ExDa'!$B$2:$D$16, 0,FALSE), IFERROR(VLOOKUP($A92,'Exetel ExDa'!$C$2:$N$14, 12,FALSE), IFERROR(VLOOKUP($A92,'Infinet ExDa'!$B$2:$E$14, 0,FALSE), "Not Found"))))))))</f>
        <v>24 Months</v>
      </c>
      <c r="L92" s="235" t="str">
        <f>IFERROR(VLOOKUP($A92,'AAPT ExDa'!$B$2:$U$99, 11,FALSE), IFERROR(VLOOKUP($A92,'ABB ExDa'!$A$2:$N$184, 9,FALSE), IFERROR(VLOOKUP($A92,'Vocus SIT ExDa'!$B$2:$J$173, 8,FALSE), IFERROR(VLOOKUP($A92,'Telstra ExDa'!$B$2:$K$310, 0,FALSE), IFERROR(VLOOKUP($A92,'Vocus RVC ExDa'!$C$2:$R$155, 0,FALSE), IFERROR(VLOOKUP($A92,'Fusion ExDa'!$B$2:$D$16, 0,FALSE), IFERROR(VLOOKUP($A92,'Exetel ExDa'!$C$2:$N$14, 9,FALSE), IFERROR(VLOOKUP($A92,'Infinet ExDa'!$B$2:$E$14, 0,FALSE), "Not Found"))))))))</f>
        <v>19/06/2022</v>
      </c>
      <c r="M92" s="234" t="str">
        <f>IFERROR(VLOOKUP($A92,'AAPT ExDa'!$B$2:$U$99, 0,FALSE), IFERROR(VLOOKUP($A92,'ABB ExDa'!$A$2:$N$184, 0,FALSE), IFERROR(VLOOKUP($A92,'Vocus SIT ExDa'!$B$2:$J$173, 0,FALSE), IFERROR(VLOOKUP($A92,'Telstra ExDa'!$B$2:$K$310, 0,FALSE), IFERROR(VLOOKUP($A92,'Vocus RVC ExDa'!$C$2:$R$155, 0,FALSE), IFERROR(VLOOKUP($A92,'Fusion ExDa'!$B$2:$D$16, 0,FALSE), IFERROR(VLOOKUP($A92,'Exetel ExDa'!$C$2:$N$14, 11,FALSE), IFERROR(VLOOKUP($A92,'Infinet ExDa'!$B$2:$E$14, 0,FALSE), "Not Found"))))))))</f>
        <v>Not Found</v>
      </c>
      <c r="N92" t="str">
        <f>IFERROR(VLOOKUP($A92,'AAPT ExDa'!$B$2:$U$99, 0,FALSE), IFERROR(VLOOKUP($A92,'ABB ExDa'!$A$2:$N$184, 13,FALSE), IFERROR(VLOOKUP($A92,'Vocus SIT ExDa'!$B$2:$J$173, 0,FALSE), IFERROR(VLOOKUP($A92,'Telstra ExDa'!$B$2:$K$310, 0,FALSE), IFERROR(VLOOKUP($A92,'Vocus RVC ExDa'!$C$2:$R$155, 0,FALSE), IFERROR(VLOOKUP($A92,'Fusion ExDa'!$B$2:$D$16, 0,FALSE), IFERROR(VLOOKUP($A92,'Exetel ExDa'!$C$2:$N$14, 0,FALSE), IFERROR(VLOOKUP($A92,'Infinet ExDa'!$B$2:$E$14, 0,FALSE), "Not Found"))))))))</f>
        <v>Not Found</v>
      </c>
    </row>
    <row r="93" spans="1:14">
      <c r="A93" t="str">
        <v>Tennis Direct</v>
      </c>
      <c r="B93" t="str">
        <f>IFERROR(VLOOKUP(A93,'Exetel ExDa'!$C$2:$N$14,4,FALSE),"No Data")</f>
        <v>No Data</v>
      </c>
      <c r="C93">
        <f>IFERROR(VLOOKUP(A93,'AAPT ExDa'!$B$2:$U$99, 2,FALSE), IFERROR(VLOOKUP(A93,'ABB ExDa'!$A$2:$N$184, 2,FALSE), IFERROR(VLOOKUP(A93,'Vocus SIT ExDa'!$B$2:$J$173, 7,FALSE), IFERROR(VLOOKUP(A93,'Telstra ExDa'!$B$2:$K$310, 2,FALSE), IFERROR(VLOOKUP(A93,'Vocus RVC ExDa'!$C$2:$R$155, 3,FALSE), IFERROR(VLOOKUP(A93,'Fusion ExDa'!$B$2:$D$16, 2,FALSE), IFERROR(VLOOKUP(A93,'Exetel ExDa'!$C$2:$N$14, 2,FALSE), IFERROR(VLOOKUP(A93,'Infinet ExDa'!$B$2:$E$14, 2,FALSE), "Not Found"))))))))</f>
        <v>0</v>
      </c>
      <c r="D93" t="str">
        <f>IFERROR(VLOOKUP($A93,'AAPT ExDa'!$B$2:$U$99, 15,FALSE), IFERROR(VLOOKUP($A93,'ABB ExDa'!$A$2:$N$184, 4,FALSE), IFERROR(VLOOKUP($A93,'Vocus SIT ExDa'!$B$2:$J$173, 5,FALSE), IFERROR(VLOOKUP($A93,'Telstra ExDa'!$B$2:$K$310, 8,FALSE), IFERROR(VLOOKUP($A93,'Vocus RVC ExDa'!$C$2:$R$155, 6,FALSE), IFERROR(VLOOKUP($A93,'Fusion ExDa'!$B$2:$D$16, 4,FALSE), IFERROR(VLOOKUP($A93,'Exetel ExDa'!$C$2:$N$14, 3,FALSE), IFERROR(VLOOKUP($A93,'Infinet ExDa'!$B$2:$E$14, 3,FALSE), "Not Found"))))))))</f>
        <v>AAPT</v>
      </c>
      <c r="E93" t="str">
        <f>IFERROR(VLOOKUP($A93,'AAPT ExDa'!$B$2:$U$99, 3,FALSE), IFERROR(VLOOKUP($A93,'ABB ExDa'!$A$2:$N$184, 5,FALSE), IFERROR(VLOOKUP($A93,'Vocus SIT ExDa'!$B$2:$J$173, 2,FALSE), IFERROR(VLOOKUP($A93,'Telstra ExDa'!$B$2:$K$310, 4,FALSE), IFERROR(VLOOKUP($A93,'Vocus RVC ExDa'!$C$2:$R$155, 8,FALSE), IFERROR(VLOOKUP($A93,'Fusion ExDa'!$B$2:$D$16, 4,FALSE), IFERROR(VLOOKUP($A93,'Exetel ExDa'!$C$2:$N$14, 5,FALSE), IFERROR(VLOOKUP($A93,'Infinet ExDa'!$B$2:$E$14, 3,FALSE), "Not Found"))))))))</f>
        <v>IP-Line</v>
      </c>
      <c r="F93" t="str">
        <f>IFERROR(VLOOKUP($A93,'AAPT ExDa'!$B$2:$U$99, 4,FALSE), IFERROR(VLOOKUP($A93,'ABB ExDa'!$A$2:$N$184, 6,FALSE), IFERROR(VLOOKUP($A93,'Vocus SIT ExDa'!$B$2:$J$173, 3,FALSE), IFERROR(VLOOKUP($A93,'Telstra ExDa'!$B$2:$K$310, 5,FALSE), IFERROR(VLOOKUP($A93,'Vocus RVC ExDa'!$C$2:$R$155, 9,FALSE), IFERROR(VLOOKUP($A93,'Fusion ExDa'!$B$2:$D$16, 0,FALSE), IFERROR(VLOOKUP($A93,'Exetel ExDa'!$C$2:$N$14, 6,FALSE), IFERROR(VLOOKUP($A93,'Infinet ExDa'!$B$2:$E$14, 0,FALSE), "Not Found"))))))))</f>
        <v>IP-Line Link</v>
      </c>
      <c r="G93" t="str">
        <f>IFERROR(VLOOKUP($A93,'AAPT ExDa'!$B$2:$U$99, 5,FALSE), IFERROR(VLOOKUP($A93,'ABB ExDa'!$A$2:$N$184, 8,FALSE), IFERROR(VLOOKUP($A93,'Vocus SIT ExDa'!$B$2:$J$173, 6,FALSE), IFERROR(VLOOKUP($A93,'Telstra ExDa'!$B$2:$K$310, 0,FALSE), IFERROR(VLOOKUP($A93,'Vocus RVC ExDa'!$C$2:$R$155, 15,FALSE), IFERROR(VLOOKUP($A93,'Fusion ExDa'!$B$2:$D$16, 0,FALSE), IFERROR(VLOOKUP($A93,'Exetel ExDa'!$C$2:$N$14, 7,FALSE), IFERROR(VLOOKUP($A93,'Infinet ExDa'!$B$2:$E$14, 0,FALSE), "Not Found"))))))))</f>
        <v>Connecting IP-Line 6023265 to Access 100809903</v>
      </c>
      <c r="H93" t="str">
        <f>IFERROR(VLOOKUP($A93,'AAPT ExDa'!$B$2:$U$99, 6,FALSE), IFERROR(VLOOKUP($A93,'ABB ExDa'!$A$2:$N$184, 0,FALSE), IFERROR(VLOOKUP($A93,'Vocus SIT ExDa'!$B$2:$J$173, 0,FALSE), IFERROR(VLOOKUP($A93,'Telstra ExDa'!$B$2:$K$310, 0,FALSE), IFERROR(VLOOKUP($A93,'Vocus RVC ExDa'!$C$2:$R$155, 16,FALSE), IFERROR(VLOOKUP($A93,'Fusion ExDa'!$B$2:$D$16, 0,FALSE), IFERROR(VLOOKUP($A93,'Exetel ExDa'!$C$2:$N$14, 0,FALSE), IFERROR(VLOOKUP($A93,'Infinet ExDa'!$B$2:$E$14, 0,FALSE), "Not Found"))))))))</f>
        <v>Up to 100/40Mbps; AVC ID:AVC000155724359</v>
      </c>
      <c r="I93" t="str">
        <f>IFERROR(VLOOKUP($A93,'AAPT ExDa'!$B$2:$U$99, 0,FALSE), IFERROR(VLOOKUP($A93,'ABB ExDa'!$A$2:$N$184, 0,FALSE), IFERROR(VLOOKUP($A93,'Vocus SIT ExDa'!$B$2:$J$173, 0,FALSE), IFERROR(VLOOKUP($A93,'Telstra ExDa'!$B$2:$K$310, 0,FALSE), IFERROR(VLOOKUP($A93,'Vocus RVC ExDa'!$C$2:$R$155, 0,FALSE), IFERROR(VLOOKUP($A93,'Fusion ExDa'!$B$2:$D$16, 0,FALSE), IFERROR(VLOOKUP($A93,'Exetel ExDa'!$C$2:$N$14, 8,FALSE), IFERROR(VLOOKUP($A93,'Infinet ExDa'!$B$2:$E$14, 0,FALSE), "Not Found"))))))))</f>
        <v>Not Found</v>
      </c>
      <c r="J93" t="str">
        <f>IFERROR(VLOOKUP($A93,'AAPT ExDa'!$B$2:$U$99, 7,FALSE), IFERROR(VLOOKUP($A93,'ABB ExDa'!$A$2:$N$184, 2,FALSE), IFERROR(VLOOKUP($A93,'Vocus SIT ExDa'!$B$2:$J$173, 0,FALSE), IFERROR(VLOOKUP($A93,'Telstra ExDa'!$B$2:$K$310, 7,FALSE), IFERROR(VLOOKUP($A93,'Vocus RVC ExDa'!$C$2:$R$155, 2,FALSE), IFERROR(VLOOKUP($A93,'Fusion ExDa'!$B$2:$D$16, 3,FALSE), IFERROR(VLOOKUP($A93,'Exetel ExDa'!$C$2:$N$14, 0,FALSE), IFERROR(VLOOKUP($A93,'Infinet ExDa'!$B$2:$E$14, 0,FALSE), "Not Found"))))))))</f>
        <v>AVC000155724359</v>
      </c>
      <c r="K93" t="str">
        <f>IFERROR(VLOOKUP($A93,'AAPT ExDa'!$B$2:$U$99, 12,FALSE), IFERROR(VLOOKUP($A93,'ABB ExDa'!$A$2:$N$184, 0,FALSE), IFERROR(VLOOKUP($A93,'Vocus SIT ExDa'!$B$2:$J$173, 0,FALSE), IFERROR(VLOOKUP($A93,'Telstra ExDa'!$B$2:$K$310, 0,FALSE), IFERROR(VLOOKUP($A93,'Vocus RVC ExDa'!$C$2:$R$155, 0,FALSE), IFERROR(VLOOKUP($A93,'Fusion ExDa'!$B$2:$D$16, 0,FALSE), IFERROR(VLOOKUP($A93,'Exetel ExDa'!$C$2:$N$14, 12,FALSE), IFERROR(VLOOKUP($A93,'Infinet ExDa'!$B$2:$E$14, 0,FALSE), "Not Found"))))))))</f>
        <v>36 Months</v>
      </c>
      <c r="L93" s="235" t="str">
        <f>IFERROR(VLOOKUP($A93,'AAPT ExDa'!$B$2:$U$99, 11,FALSE), IFERROR(VLOOKUP($A93,'ABB ExDa'!$A$2:$N$184, 9,FALSE), IFERROR(VLOOKUP($A93,'Vocus SIT ExDa'!$B$2:$J$173, 8,FALSE), IFERROR(VLOOKUP($A93,'Telstra ExDa'!$B$2:$K$310, 0,FALSE), IFERROR(VLOOKUP($A93,'Vocus RVC ExDa'!$C$2:$R$155, 0,FALSE), IFERROR(VLOOKUP($A93,'Fusion ExDa'!$B$2:$D$16, 0,FALSE), IFERROR(VLOOKUP($A93,'Exetel ExDa'!$C$2:$N$14, 9,FALSE), IFERROR(VLOOKUP($A93,'Infinet ExDa'!$B$2:$E$14, 0,FALSE), "Not Found"))))))))</f>
        <v>22/07/2022</v>
      </c>
      <c r="M93" s="234" t="str">
        <f>IFERROR(VLOOKUP($A93,'AAPT ExDa'!$B$2:$U$99, 0,FALSE), IFERROR(VLOOKUP($A93,'ABB ExDa'!$A$2:$N$184, 0,FALSE), IFERROR(VLOOKUP($A93,'Vocus SIT ExDa'!$B$2:$J$173, 0,FALSE), IFERROR(VLOOKUP($A93,'Telstra ExDa'!$B$2:$K$310, 0,FALSE), IFERROR(VLOOKUP($A93,'Vocus RVC ExDa'!$C$2:$R$155, 0,FALSE), IFERROR(VLOOKUP($A93,'Fusion ExDa'!$B$2:$D$16, 0,FALSE), IFERROR(VLOOKUP($A93,'Exetel ExDa'!$C$2:$N$14, 11,FALSE), IFERROR(VLOOKUP($A93,'Infinet ExDa'!$B$2:$E$14, 0,FALSE), "Not Found"))))))))</f>
        <v>Not Found</v>
      </c>
      <c r="N93" t="str">
        <f>IFERROR(VLOOKUP($A93,'AAPT ExDa'!$B$2:$U$99, 0,FALSE), IFERROR(VLOOKUP($A93,'ABB ExDa'!$A$2:$N$184, 13,FALSE), IFERROR(VLOOKUP($A93,'Vocus SIT ExDa'!$B$2:$J$173, 0,FALSE), IFERROR(VLOOKUP($A93,'Telstra ExDa'!$B$2:$K$310, 0,FALSE), IFERROR(VLOOKUP($A93,'Vocus RVC ExDa'!$C$2:$R$155, 0,FALSE), IFERROR(VLOOKUP($A93,'Fusion ExDa'!$B$2:$D$16, 0,FALSE), IFERROR(VLOOKUP($A93,'Exetel ExDa'!$C$2:$N$14, 0,FALSE), IFERROR(VLOOKUP($A93,'Infinet ExDa'!$B$2:$E$14, 0,FALSE), "Not Found"))))))))</f>
        <v>Not Found</v>
      </c>
    </row>
    <row r="94" spans="1:14">
      <c r="A94" t="str">
        <v>The Lune Co</v>
      </c>
      <c r="B94" t="str">
        <f>IFERROR(VLOOKUP(A94,'Exetel ExDa'!$C$2:$N$14,4,FALSE),"No Data")</f>
        <v>No Data</v>
      </c>
      <c r="C94" t="str">
        <f>IFERROR(VLOOKUP(A94,'AAPT ExDa'!$B$2:$U$99, 2,FALSE), IFERROR(VLOOKUP(A94,'ABB ExDa'!$A$2:$N$184, 2,FALSE), IFERROR(VLOOKUP(A94,'Vocus SIT ExDa'!$B$2:$J$173, 7,FALSE), IFERROR(VLOOKUP(A94,'Telstra ExDa'!$B$2:$K$310, 2,FALSE), IFERROR(VLOOKUP(A94,'Vocus RVC ExDa'!$C$2:$R$155, 3,FALSE), IFERROR(VLOOKUP(A94,'Fusion ExDa'!$B$2:$D$16, 2,FALSE), IFERROR(VLOOKUP(A94,'Exetel ExDa'!$C$2:$N$14, 2,FALSE), IFERROR(VLOOKUP(A94,'Infinet ExDa'!$B$2:$E$14, 2,FALSE), "Not Found"))))))))</f>
        <v>Murarrie</v>
      </c>
      <c r="D94" t="str">
        <f>IFERROR(VLOOKUP($A94,'AAPT ExDa'!$B$2:$U$99, 15,FALSE), IFERROR(VLOOKUP($A94,'ABB ExDa'!$A$2:$N$184, 4,FALSE), IFERROR(VLOOKUP($A94,'Vocus SIT ExDa'!$B$2:$J$173, 5,FALSE), IFERROR(VLOOKUP($A94,'Telstra ExDa'!$B$2:$K$310, 8,FALSE), IFERROR(VLOOKUP($A94,'Vocus RVC ExDa'!$C$2:$R$155, 6,FALSE), IFERROR(VLOOKUP($A94,'Fusion ExDa'!$B$2:$D$16, 4,FALSE), IFERROR(VLOOKUP($A94,'Exetel ExDa'!$C$2:$N$14, 3,FALSE), IFERROR(VLOOKUP($A94,'Infinet ExDa'!$B$2:$E$14, 3,FALSE), "Not Found"))))))))</f>
        <v>AAPT</v>
      </c>
      <c r="E94" t="str">
        <f>IFERROR(VLOOKUP($A94,'AAPT ExDa'!$B$2:$U$99, 3,FALSE), IFERROR(VLOOKUP($A94,'ABB ExDa'!$A$2:$N$184, 5,FALSE), IFERROR(VLOOKUP($A94,'Vocus SIT ExDa'!$B$2:$J$173, 2,FALSE), IFERROR(VLOOKUP($A94,'Telstra ExDa'!$B$2:$K$310, 4,FALSE), IFERROR(VLOOKUP($A94,'Vocus RVC ExDa'!$C$2:$R$155, 8,FALSE), IFERROR(VLOOKUP($A94,'Fusion ExDa'!$B$2:$D$16, 4,FALSE), IFERROR(VLOOKUP($A94,'Exetel ExDa'!$C$2:$N$14, 5,FALSE), IFERROR(VLOOKUP($A94,'Infinet ExDa'!$B$2:$E$14, 3,FALSE), "Not Found"))))))))</f>
        <v>IP-Line</v>
      </c>
      <c r="F94" t="str">
        <f>IFERROR(VLOOKUP($A94,'AAPT ExDa'!$B$2:$U$99, 4,FALSE), IFERROR(VLOOKUP($A94,'ABB ExDa'!$A$2:$N$184, 6,FALSE), IFERROR(VLOOKUP($A94,'Vocus SIT ExDa'!$B$2:$J$173, 3,FALSE), IFERROR(VLOOKUP($A94,'Telstra ExDa'!$B$2:$K$310, 5,FALSE), IFERROR(VLOOKUP($A94,'Vocus RVC ExDa'!$C$2:$R$155, 9,FALSE), IFERROR(VLOOKUP($A94,'Fusion ExDa'!$B$2:$D$16, 0,FALSE), IFERROR(VLOOKUP($A94,'Exetel ExDa'!$C$2:$N$14, 6,FALSE), IFERROR(VLOOKUP($A94,'Infinet ExDa'!$B$2:$E$14, 0,FALSE), "Not Found"))))))))</f>
        <v>IP-Line Link</v>
      </c>
      <c r="G94" t="str">
        <f>IFERROR(VLOOKUP($A94,'AAPT ExDa'!$B$2:$U$99, 5,FALSE), IFERROR(VLOOKUP($A94,'ABB ExDa'!$A$2:$N$184, 8,FALSE), IFERROR(VLOOKUP($A94,'Vocus SIT ExDa'!$B$2:$J$173, 6,FALSE), IFERROR(VLOOKUP($A94,'Telstra ExDa'!$B$2:$K$310, 0,FALSE), IFERROR(VLOOKUP($A94,'Vocus RVC ExDa'!$C$2:$R$155, 15,FALSE), IFERROR(VLOOKUP($A94,'Fusion ExDa'!$B$2:$D$16, 0,FALSE), IFERROR(VLOOKUP($A94,'Exetel ExDa'!$C$2:$N$14, 7,FALSE), IFERROR(VLOOKUP($A94,'Infinet ExDa'!$B$2:$E$14, 0,FALSE), "Not Found"))))))))</f>
        <v>Connecting IP-Line 6023265 to Access 100888557</v>
      </c>
      <c r="H94" t="str">
        <f>IFERROR(VLOOKUP($A94,'AAPT ExDa'!$B$2:$U$99, 6,FALSE), IFERROR(VLOOKUP($A94,'ABB ExDa'!$A$2:$N$184, 0,FALSE), IFERROR(VLOOKUP($A94,'Vocus SIT ExDa'!$B$2:$J$173, 0,FALSE), IFERROR(VLOOKUP($A94,'Telstra ExDa'!$B$2:$K$310, 0,FALSE), IFERROR(VLOOKUP($A94,'Vocus RVC ExDa'!$C$2:$R$155, 16,FALSE), IFERROR(VLOOKUP($A94,'Fusion ExDa'!$B$2:$D$16, 0,FALSE), IFERROR(VLOOKUP($A94,'Exetel ExDa'!$C$2:$N$14, 0,FALSE), IFERROR(VLOOKUP($A94,'Infinet ExDa'!$B$2:$E$14, 0,FALSE), "Not Found"))))))))</f>
        <v>Up to 100/40Mbps; AVC ID:AVC000193692125</v>
      </c>
      <c r="I94" t="str">
        <f>IFERROR(VLOOKUP($A94,'AAPT ExDa'!$B$2:$U$99, 0,FALSE), IFERROR(VLOOKUP($A94,'ABB ExDa'!$A$2:$N$184, 0,FALSE), IFERROR(VLOOKUP($A94,'Vocus SIT ExDa'!$B$2:$J$173, 0,FALSE), IFERROR(VLOOKUP($A94,'Telstra ExDa'!$B$2:$K$310, 0,FALSE), IFERROR(VLOOKUP($A94,'Vocus RVC ExDa'!$C$2:$R$155, 0,FALSE), IFERROR(VLOOKUP($A94,'Fusion ExDa'!$B$2:$D$16, 0,FALSE), IFERROR(VLOOKUP($A94,'Exetel ExDa'!$C$2:$N$14, 8,FALSE), IFERROR(VLOOKUP($A94,'Infinet ExDa'!$B$2:$E$14, 0,FALSE), "Not Found"))))))))</f>
        <v>Not Found</v>
      </c>
      <c r="J94" t="str">
        <f>IFERROR(VLOOKUP($A94,'AAPT ExDa'!$B$2:$U$99, 7,FALSE), IFERROR(VLOOKUP($A94,'ABB ExDa'!$A$2:$N$184, 2,FALSE), IFERROR(VLOOKUP($A94,'Vocus SIT ExDa'!$B$2:$J$173, 0,FALSE), IFERROR(VLOOKUP($A94,'Telstra ExDa'!$B$2:$K$310, 7,FALSE), IFERROR(VLOOKUP($A94,'Vocus RVC ExDa'!$C$2:$R$155, 2,FALSE), IFERROR(VLOOKUP($A94,'Fusion ExDa'!$B$2:$D$16, 3,FALSE), IFERROR(VLOOKUP($A94,'Exetel ExDa'!$C$2:$N$14, 0,FALSE), IFERROR(VLOOKUP($A94,'Infinet ExDa'!$B$2:$E$14, 0,FALSE), "Not Found"))))))))</f>
        <v>AVC000193692125</v>
      </c>
      <c r="K94" t="str">
        <f>IFERROR(VLOOKUP($A94,'AAPT ExDa'!$B$2:$U$99, 12,FALSE), IFERROR(VLOOKUP($A94,'ABB ExDa'!$A$2:$N$184, 0,FALSE), IFERROR(VLOOKUP($A94,'Vocus SIT ExDa'!$B$2:$J$173, 0,FALSE), IFERROR(VLOOKUP($A94,'Telstra ExDa'!$B$2:$K$310, 0,FALSE), IFERROR(VLOOKUP($A94,'Vocus RVC ExDa'!$C$2:$R$155, 0,FALSE), IFERROR(VLOOKUP($A94,'Fusion ExDa'!$B$2:$D$16, 0,FALSE), IFERROR(VLOOKUP($A94,'Exetel ExDa'!$C$2:$N$14, 12,FALSE), IFERROR(VLOOKUP($A94,'Infinet ExDa'!$B$2:$E$14, 0,FALSE), "Not Found"))))))))</f>
        <v>36 Months</v>
      </c>
      <c r="L94" s="235" t="str">
        <f>IFERROR(VLOOKUP($A94,'AAPT ExDa'!$B$2:$U$99, 11,FALSE), IFERROR(VLOOKUP($A94,'ABB ExDa'!$A$2:$N$184, 9,FALSE), IFERROR(VLOOKUP($A94,'Vocus SIT ExDa'!$B$2:$J$173, 8,FALSE), IFERROR(VLOOKUP($A94,'Telstra ExDa'!$B$2:$K$310, 0,FALSE), IFERROR(VLOOKUP($A94,'Vocus RVC ExDa'!$C$2:$R$155, 0,FALSE), IFERROR(VLOOKUP($A94,'Fusion ExDa'!$B$2:$D$16, 0,FALSE), IFERROR(VLOOKUP($A94,'Exetel ExDa'!$C$2:$N$14, 9,FALSE), IFERROR(VLOOKUP($A94,'Infinet ExDa'!$B$2:$E$14, 0,FALSE), "Not Found"))))))))</f>
        <v>14/06/2024</v>
      </c>
      <c r="M94" s="234" t="str">
        <f>IFERROR(VLOOKUP($A94,'AAPT ExDa'!$B$2:$U$99, 0,FALSE), IFERROR(VLOOKUP($A94,'ABB ExDa'!$A$2:$N$184, 0,FALSE), IFERROR(VLOOKUP($A94,'Vocus SIT ExDa'!$B$2:$J$173, 0,FALSE), IFERROR(VLOOKUP($A94,'Telstra ExDa'!$B$2:$K$310, 0,FALSE), IFERROR(VLOOKUP($A94,'Vocus RVC ExDa'!$C$2:$R$155, 0,FALSE), IFERROR(VLOOKUP($A94,'Fusion ExDa'!$B$2:$D$16, 0,FALSE), IFERROR(VLOOKUP($A94,'Exetel ExDa'!$C$2:$N$14, 11,FALSE), IFERROR(VLOOKUP($A94,'Infinet ExDa'!$B$2:$E$14, 0,FALSE), "Not Found"))))))))</f>
        <v>Not Found</v>
      </c>
      <c r="N94" t="str">
        <f>IFERROR(VLOOKUP($A94,'AAPT ExDa'!$B$2:$U$99, 0,FALSE), IFERROR(VLOOKUP($A94,'ABB ExDa'!$A$2:$N$184, 13,FALSE), IFERROR(VLOOKUP($A94,'Vocus SIT ExDa'!$B$2:$J$173, 0,FALSE), IFERROR(VLOOKUP($A94,'Telstra ExDa'!$B$2:$K$310, 0,FALSE), IFERROR(VLOOKUP($A94,'Vocus RVC ExDa'!$C$2:$R$155, 0,FALSE), IFERROR(VLOOKUP($A94,'Fusion ExDa'!$B$2:$D$16, 0,FALSE), IFERROR(VLOOKUP($A94,'Exetel ExDa'!$C$2:$N$14, 0,FALSE), IFERROR(VLOOKUP($A94,'Infinet ExDa'!$B$2:$E$14, 0,FALSE), "Not Found"))))))))</f>
        <v>Not Found</v>
      </c>
    </row>
    <row r="95" spans="1:14">
      <c r="A95" t="str">
        <v>The Packaging Place</v>
      </c>
      <c r="B95" t="str">
        <f>IFERROR(VLOOKUP(A95,'Exetel ExDa'!$C$2:$N$14,4,FALSE),"No Data")</f>
        <v>No Data</v>
      </c>
      <c r="C95">
        <f>IFERROR(VLOOKUP(A95,'AAPT ExDa'!$B$2:$U$99, 2,FALSE), IFERROR(VLOOKUP(A95,'ABB ExDa'!$A$2:$N$184, 2,FALSE), IFERROR(VLOOKUP(A95,'Vocus SIT ExDa'!$B$2:$J$173, 7,FALSE), IFERROR(VLOOKUP(A95,'Telstra ExDa'!$B$2:$K$310, 2,FALSE), IFERROR(VLOOKUP(A95,'Vocus RVC ExDa'!$C$2:$R$155, 3,FALSE), IFERROR(VLOOKUP(A95,'Fusion ExDa'!$B$2:$D$16, 2,FALSE), IFERROR(VLOOKUP(A95,'Exetel ExDa'!$C$2:$N$14, 2,FALSE), IFERROR(VLOOKUP(A95,'Infinet ExDa'!$B$2:$E$14, 2,FALSE), "Not Found"))))))))</f>
        <v>0</v>
      </c>
      <c r="D95" t="str">
        <f>IFERROR(VLOOKUP($A95,'AAPT ExDa'!$B$2:$U$99, 15,FALSE), IFERROR(VLOOKUP($A95,'ABB ExDa'!$A$2:$N$184, 4,FALSE), IFERROR(VLOOKUP($A95,'Vocus SIT ExDa'!$B$2:$J$173, 5,FALSE), IFERROR(VLOOKUP($A95,'Telstra ExDa'!$B$2:$K$310, 8,FALSE), IFERROR(VLOOKUP($A95,'Vocus RVC ExDa'!$C$2:$R$155, 6,FALSE), IFERROR(VLOOKUP($A95,'Fusion ExDa'!$B$2:$D$16, 4,FALSE), IFERROR(VLOOKUP($A95,'Exetel ExDa'!$C$2:$N$14, 3,FALSE), IFERROR(VLOOKUP($A95,'Infinet ExDa'!$B$2:$E$14, 3,FALSE), "Not Found"))))))))</f>
        <v>AAPT</v>
      </c>
      <c r="E95" t="str">
        <f>IFERROR(VLOOKUP($A95,'AAPT ExDa'!$B$2:$U$99, 3,FALSE), IFERROR(VLOOKUP($A95,'ABB ExDa'!$A$2:$N$184, 5,FALSE), IFERROR(VLOOKUP($A95,'Vocus SIT ExDa'!$B$2:$J$173, 2,FALSE), IFERROR(VLOOKUP($A95,'Telstra ExDa'!$B$2:$K$310, 4,FALSE), IFERROR(VLOOKUP($A95,'Vocus RVC ExDa'!$C$2:$R$155, 8,FALSE), IFERROR(VLOOKUP($A95,'Fusion ExDa'!$B$2:$D$16, 4,FALSE), IFERROR(VLOOKUP($A95,'Exetel ExDa'!$C$2:$N$14, 5,FALSE), IFERROR(VLOOKUP($A95,'Infinet ExDa'!$B$2:$E$14, 3,FALSE), "Not Found"))))))))</f>
        <v>IP-Line</v>
      </c>
      <c r="F95" t="str">
        <f>IFERROR(VLOOKUP($A95,'AAPT ExDa'!$B$2:$U$99, 4,FALSE), IFERROR(VLOOKUP($A95,'ABB ExDa'!$A$2:$N$184, 6,FALSE), IFERROR(VLOOKUP($A95,'Vocus SIT ExDa'!$B$2:$J$173, 3,FALSE), IFERROR(VLOOKUP($A95,'Telstra ExDa'!$B$2:$K$310, 5,FALSE), IFERROR(VLOOKUP($A95,'Vocus RVC ExDa'!$C$2:$R$155, 9,FALSE), IFERROR(VLOOKUP($A95,'Fusion ExDa'!$B$2:$D$16, 0,FALSE), IFERROR(VLOOKUP($A95,'Exetel ExDa'!$C$2:$N$14, 6,FALSE), IFERROR(VLOOKUP($A95,'Infinet ExDa'!$B$2:$E$14, 0,FALSE), "Not Found"))))))))</f>
        <v>IP-Line Link</v>
      </c>
      <c r="G95" t="str">
        <f>IFERROR(VLOOKUP($A95,'AAPT ExDa'!$B$2:$U$99, 5,FALSE), IFERROR(VLOOKUP($A95,'ABB ExDa'!$A$2:$N$184, 8,FALSE), IFERROR(VLOOKUP($A95,'Vocus SIT ExDa'!$B$2:$J$173, 6,FALSE), IFERROR(VLOOKUP($A95,'Telstra ExDa'!$B$2:$K$310, 0,FALSE), IFERROR(VLOOKUP($A95,'Vocus RVC ExDa'!$C$2:$R$155, 15,FALSE), IFERROR(VLOOKUP($A95,'Fusion ExDa'!$B$2:$D$16, 0,FALSE), IFERROR(VLOOKUP($A95,'Exetel ExDa'!$C$2:$N$14, 7,FALSE), IFERROR(VLOOKUP($A95,'Infinet ExDa'!$B$2:$E$14, 0,FALSE), "Not Found"))))))))</f>
        <v>Connecting IP-Line 6023265 to Access 100814814</v>
      </c>
      <c r="H95" t="str">
        <f>IFERROR(VLOOKUP($A95,'AAPT ExDa'!$B$2:$U$99, 6,FALSE), IFERROR(VLOOKUP($A95,'ABB ExDa'!$A$2:$N$184, 0,FALSE), IFERROR(VLOOKUP($A95,'Vocus SIT ExDa'!$B$2:$J$173, 0,FALSE), IFERROR(VLOOKUP($A95,'Telstra ExDa'!$B$2:$K$310, 0,FALSE), IFERROR(VLOOKUP($A95,'Vocus RVC ExDa'!$C$2:$R$155, 16,FALSE), IFERROR(VLOOKUP($A95,'Fusion ExDa'!$B$2:$D$16, 0,FALSE), IFERROR(VLOOKUP($A95,'Exetel ExDa'!$C$2:$N$14, 0,FALSE), IFERROR(VLOOKUP($A95,'Infinet ExDa'!$B$2:$E$14, 0,FALSE), "Not Found"))))))))</f>
        <v>Up to 100/40Mbps; AVC ID:AVC000157520435</v>
      </c>
      <c r="I95" t="str">
        <f>IFERROR(VLOOKUP($A95,'AAPT ExDa'!$B$2:$U$99, 0,FALSE), IFERROR(VLOOKUP($A95,'ABB ExDa'!$A$2:$N$184, 0,FALSE), IFERROR(VLOOKUP($A95,'Vocus SIT ExDa'!$B$2:$J$173, 0,FALSE), IFERROR(VLOOKUP($A95,'Telstra ExDa'!$B$2:$K$310, 0,FALSE), IFERROR(VLOOKUP($A95,'Vocus RVC ExDa'!$C$2:$R$155, 0,FALSE), IFERROR(VLOOKUP($A95,'Fusion ExDa'!$B$2:$D$16, 0,FALSE), IFERROR(VLOOKUP($A95,'Exetel ExDa'!$C$2:$N$14, 8,FALSE), IFERROR(VLOOKUP($A95,'Infinet ExDa'!$B$2:$E$14, 0,FALSE), "Not Found"))))))))</f>
        <v>Not Found</v>
      </c>
      <c r="J95" t="str">
        <f>IFERROR(VLOOKUP($A95,'AAPT ExDa'!$B$2:$U$99, 7,FALSE), IFERROR(VLOOKUP($A95,'ABB ExDa'!$A$2:$N$184, 2,FALSE), IFERROR(VLOOKUP($A95,'Vocus SIT ExDa'!$B$2:$J$173, 0,FALSE), IFERROR(VLOOKUP($A95,'Telstra ExDa'!$B$2:$K$310, 7,FALSE), IFERROR(VLOOKUP($A95,'Vocus RVC ExDa'!$C$2:$R$155, 2,FALSE), IFERROR(VLOOKUP($A95,'Fusion ExDa'!$B$2:$D$16, 3,FALSE), IFERROR(VLOOKUP($A95,'Exetel ExDa'!$C$2:$N$14, 0,FALSE), IFERROR(VLOOKUP($A95,'Infinet ExDa'!$B$2:$E$14, 0,FALSE), "Not Found"))))))))</f>
        <v>AVC000157520435</v>
      </c>
      <c r="K95" t="str">
        <f>IFERROR(VLOOKUP($A95,'AAPT ExDa'!$B$2:$U$99, 12,FALSE), IFERROR(VLOOKUP($A95,'ABB ExDa'!$A$2:$N$184, 0,FALSE), IFERROR(VLOOKUP($A95,'Vocus SIT ExDa'!$B$2:$J$173, 0,FALSE), IFERROR(VLOOKUP($A95,'Telstra ExDa'!$B$2:$K$310, 0,FALSE), IFERROR(VLOOKUP($A95,'Vocus RVC ExDa'!$C$2:$R$155, 0,FALSE), IFERROR(VLOOKUP($A95,'Fusion ExDa'!$B$2:$D$16, 0,FALSE), IFERROR(VLOOKUP($A95,'Exetel ExDa'!$C$2:$N$14, 12,FALSE), IFERROR(VLOOKUP($A95,'Infinet ExDa'!$B$2:$E$14, 0,FALSE), "Not Found"))))))))</f>
        <v>24 Months</v>
      </c>
      <c r="L95" s="235" t="str">
        <f>IFERROR(VLOOKUP($A95,'AAPT ExDa'!$B$2:$U$99, 11,FALSE), IFERROR(VLOOKUP($A95,'ABB ExDa'!$A$2:$N$184, 9,FALSE), IFERROR(VLOOKUP($A95,'Vocus SIT ExDa'!$B$2:$J$173, 8,FALSE), IFERROR(VLOOKUP($A95,'Telstra ExDa'!$B$2:$K$310, 0,FALSE), IFERROR(VLOOKUP($A95,'Vocus RVC ExDa'!$C$2:$R$155, 0,FALSE), IFERROR(VLOOKUP($A95,'Fusion ExDa'!$B$2:$D$16, 0,FALSE), IFERROR(VLOOKUP($A95,'Exetel ExDa'!$C$2:$N$14, 9,FALSE), IFERROR(VLOOKUP($A95,'Infinet ExDa'!$B$2:$E$14, 0,FALSE), "Not Found"))))))))</f>
        <v>13/08/2022</v>
      </c>
      <c r="M95" s="234" t="str">
        <f>IFERROR(VLOOKUP($A95,'AAPT ExDa'!$B$2:$U$99, 0,FALSE), IFERROR(VLOOKUP($A95,'ABB ExDa'!$A$2:$N$184, 0,FALSE), IFERROR(VLOOKUP($A95,'Vocus SIT ExDa'!$B$2:$J$173, 0,FALSE), IFERROR(VLOOKUP($A95,'Telstra ExDa'!$B$2:$K$310, 0,FALSE), IFERROR(VLOOKUP($A95,'Vocus RVC ExDa'!$C$2:$R$155, 0,FALSE), IFERROR(VLOOKUP($A95,'Fusion ExDa'!$B$2:$D$16, 0,FALSE), IFERROR(VLOOKUP($A95,'Exetel ExDa'!$C$2:$N$14, 11,FALSE), IFERROR(VLOOKUP($A95,'Infinet ExDa'!$B$2:$E$14, 0,FALSE), "Not Found"))))))))</f>
        <v>Not Found</v>
      </c>
      <c r="N95" t="str">
        <f>IFERROR(VLOOKUP($A95,'AAPT ExDa'!$B$2:$U$99, 0,FALSE), IFERROR(VLOOKUP($A95,'ABB ExDa'!$A$2:$N$184, 13,FALSE), IFERROR(VLOOKUP($A95,'Vocus SIT ExDa'!$B$2:$J$173, 0,FALSE), IFERROR(VLOOKUP($A95,'Telstra ExDa'!$B$2:$K$310, 0,FALSE), IFERROR(VLOOKUP($A95,'Vocus RVC ExDa'!$C$2:$R$155, 0,FALSE), IFERROR(VLOOKUP($A95,'Fusion ExDa'!$B$2:$D$16, 0,FALSE), IFERROR(VLOOKUP($A95,'Exetel ExDa'!$C$2:$N$14, 0,FALSE), IFERROR(VLOOKUP($A95,'Infinet ExDa'!$B$2:$E$14, 0,FALSE), "Not Found"))))))))</f>
        <v>Not Found</v>
      </c>
    </row>
    <row r="96" spans="1:14">
      <c r="A96" t="str">
        <v>TPG Rural</v>
      </c>
      <c r="B96" t="str">
        <f>IFERROR(VLOOKUP(A96,'Exetel ExDa'!$C$2:$N$14,4,FALSE),"No Data")</f>
        <v>No Data</v>
      </c>
      <c r="C96">
        <f>IFERROR(VLOOKUP(A96,'AAPT ExDa'!$B$2:$U$99, 2,FALSE), IFERROR(VLOOKUP(A96,'ABB ExDa'!$A$2:$N$184, 2,FALSE), IFERROR(VLOOKUP(A96,'Vocus SIT ExDa'!$B$2:$J$173, 7,FALSE), IFERROR(VLOOKUP(A96,'Telstra ExDa'!$B$2:$K$310, 2,FALSE), IFERROR(VLOOKUP(A96,'Vocus RVC ExDa'!$C$2:$R$155, 3,FALSE), IFERROR(VLOOKUP(A96,'Fusion ExDa'!$B$2:$D$16, 2,FALSE), IFERROR(VLOOKUP(A96,'Exetel ExDa'!$C$2:$N$14, 2,FALSE), IFERROR(VLOOKUP(A96,'Infinet ExDa'!$B$2:$E$14, 2,FALSE), "Not Found"))))))))</f>
        <v>0</v>
      </c>
      <c r="D96" t="str">
        <f>IFERROR(VLOOKUP($A96,'AAPT ExDa'!$B$2:$U$99, 15,FALSE), IFERROR(VLOOKUP($A96,'ABB ExDa'!$A$2:$N$184, 4,FALSE), IFERROR(VLOOKUP($A96,'Vocus SIT ExDa'!$B$2:$J$173, 5,FALSE), IFERROR(VLOOKUP($A96,'Telstra ExDa'!$B$2:$K$310, 8,FALSE), IFERROR(VLOOKUP($A96,'Vocus RVC ExDa'!$C$2:$R$155, 6,FALSE), IFERROR(VLOOKUP($A96,'Fusion ExDa'!$B$2:$D$16, 4,FALSE), IFERROR(VLOOKUP($A96,'Exetel ExDa'!$C$2:$N$14, 3,FALSE), IFERROR(VLOOKUP($A96,'Infinet ExDa'!$B$2:$E$14, 3,FALSE), "Not Found"))))))))</f>
        <v>AAPT</v>
      </c>
      <c r="E96" t="str">
        <f>IFERROR(VLOOKUP($A96,'AAPT ExDa'!$B$2:$U$99, 3,FALSE), IFERROR(VLOOKUP($A96,'ABB ExDa'!$A$2:$N$184, 5,FALSE), IFERROR(VLOOKUP($A96,'Vocus SIT ExDa'!$B$2:$J$173, 2,FALSE), IFERROR(VLOOKUP($A96,'Telstra ExDa'!$B$2:$K$310, 4,FALSE), IFERROR(VLOOKUP($A96,'Vocus RVC ExDa'!$C$2:$R$155, 8,FALSE), IFERROR(VLOOKUP($A96,'Fusion ExDa'!$B$2:$D$16, 4,FALSE), IFERROR(VLOOKUP($A96,'Exetel ExDa'!$C$2:$N$14, 5,FALSE), IFERROR(VLOOKUP($A96,'Infinet ExDa'!$B$2:$E$14, 3,FALSE), "Not Found"))))))))</f>
        <v>IP-Line</v>
      </c>
      <c r="F96" t="str">
        <f>IFERROR(VLOOKUP($A96,'AAPT ExDa'!$B$2:$U$99, 4,FALSE), IFERROR(VLOOKUP($A96,'ABB ExDa'!$A$2:$N$184, 6,FALSE), IFERROR(VLOOKUP($A96,'Vocus SIT ExDa'!$B$2:$J$173, 3,FALSE), IFERROR(VLOOKUP($A96,'Telstra ExDa'!$B$2:$K$310, 5,FALSE), IFERROR(VLOOKUP($A96,'Vocus RVC ExDa'!$C$2:$R$155, 9,FALSE), IFERROR(VLOOKUP($A96,'Fusion ExDa'!$B$2:$D$16, 0,FALSE), IFERROR(VLOOKUP($A96,'Exetel ExDa'!$C$2:$N$14, 6,FALSE), IFERROR(VLOOKUP($A96,'Infinet ExDa'!$B$2:$E$14, 0,FALSE), "Not Found"))))))))</f>
        <v>IP-Line Link</v>
      </c>
      <c r="G96" t="str">
        <f>IFERROR(VLOOKUP($A96,'AAPT ExDa'!$B$2:$U$99, 5,FALSE), IFERROR(VLOOKUP($A96,'ABB ExDa'!$A$2:$N$184, 8,FALSE), IFERROR(VLOOKUP($A96,'Vocus SIT ExDa'!$B$2:$J$173, 6,FALSE), IFERROR(VLOOKUP($A96,'Telstra ExDa'!$B$2:$K$310, 0,FALSE), IFERROR(VLOOKUP($A96,'Vocus RVC ExDa'!$C$2:$R$155, 15,FALSE), IFERROR(VLOOKUP($A96,'Fusion ExDa'!$B$2:$D$16, 0,FALSE), IFERROR(VLOOKUP($A96,'Exetel ExDa'!$C$2:$N$14, 7,FALSE), IFERROR(VLOOKUP($A96,'Infinet ExDa'!$B$2:$E$14, 0,FALSE), "Not Found"))))))))</f>
        <v>Connecting IP-Line 6023265 to Access 1378914</v>
      </c>
      <c r="H96" t="str">
        <f>IFERROR(VLOOKUP($A96,'AAPT ExDa'!$B$2:$U$99, 6,FALSE), IFERROR(VLOOKUP($A96,'ABB ExDa'!$A$2:$N$184, 0,FALSE), IFERROR(VLOOKUP($A96,'Vocus SIT ExDa'!$B$2:$J$173, 0,FALSE), IFERROR(VLOOKUP($A96,'Telstra ExDa'!$B$2:$K$310, 0,FALSE), IFERROR(VLOOKUP($A96,'Vocus RVC ExDa'!$C$2:$R$155, 16,FALSE), IFERROR(VLOOKUP($A96,'Fusion ExDa'!$B$2:$D$16, 0,FALSE), IFERROR(VLOOKUP($A96,'Exetel ExDa'!$C$2:$N$14, 0,FALSE), IFERROR(VLOOKUP($A96,'Infinet ExDa'!$B$2:$E$14, 0,FALSE), "Not Found"))))))))</f>
        <v>Up to 50/20Mbps; AVC ID:AVC000019834186</v>
      </c>
      <c r="I96" t="str">
        <f>IFERROR(VLOOKUP($A96,'AAPT ExDa'!$B$2:$U$99, 0,FALSE), IFERROR(VLOOKUP($A96,'ABB ExDa'!$A$2:$N$184, 0,FALSE), IFERROR(VLOOKUP($A96,'Vocus SIT ExDa'!$B$2:$J$173, 0,FALSE), IFERROR(VLOOKUP($A96,'Telstra ExDa'!$B$2:$K$310, 0,FALSE), IFERROR(VLOOKUP($A96,'Vocus RVC ExDa'!$C$2:$R$155, 0,FALSE), IFERROR(VLOOKUP($A96,'Fusion ExDa'!$B$2:$D$16, 0,FALSE), IFERROR(VLOOKUP($A96,'Exetel ExDa'!$C$2:$N$14, 8,FALSE), IFERROR(VLOOKUP($A96,'Infinet ExDa'!$B$2:$E$14, 0,FALSE), "Not Found"))))))))</f>
        <v>Not Found</v>
      </c>
      <c r="J96" t="str">
        <f>IFERROR(VLOOKUP($A96,'AAPT ExDa'!$B$2:$U$99, 7,FALSE), IFERROR(VLOOKUP($A96,'ABB ExDa'!$A$2:$N$184, 2,FALSE), IFERROR(VLOOKUP($A96,'Vocus SIT ExDa'!$B$2:$J$173, 0,FALSE), IFERROR(VLOOKUP($A96,'Telstra ExDa'!$B$2:$K$310, 7,FALSE), IFERROR(VLOOKUP($A96,'Vocus RVC ExDa'!$C$2:$R$155, 2,FALSE), IFERROR(VLOOKUP($A96,'Fusion ExDa'!$B$2:$D$16, 3,FALSE), IFERROR(VLOOKUP($A96,'Exetel ExDa'!$C$2:$N$14, 0,FALSE), IFERROR(VLOOKUP($A96,'Infinet ExDa'!$B$2:$E$14, 0,FALSE), "Not Found"))))))))</f>
        <v>AVC000019834186</v>
      </c>
      <c r="K96" t="str">
        <f>IFERROR(VLOOKUP($A96,'AAPT ExDa'!$B$2:$U$99, 12,FALSE), IFERROR(VLOOKUP($A96,'ABB ExDa'!$A$2:$N$184, 0,FALSE), IFERROR(VLOOKUP($A96,'Vocus SIT ExDa'!$B$2:$J$173, 0,FALSE), IFERROR(VLOOKUP($A96,'Telstra ExDa'!$B$2:$K$310, 0,FALSE), IFERROR(VLOOKUP($A96,'Vocus RVC ExDa'!$C$2:$R$155, 0,FALSE), IFERROR(VLOOKUP($A96,'Fusion ExDa'!$B$2:$D$16, 0,FALSE), IFERROR(VLOOKUP($A96,'Exetel ExDa'!$C$2:$N$14, 12,FALSE), IFERROR(VLOOKUP($A96,'Infinet ExDa'!$B$2:$E$14, 0,FALSE), "Not Found"))))))))</f>
        <v>36 Months</v>
      </c>
      <c r="L96" s="235" t="str">
        <f>IFERROR(VLOOKUP($A96,'AAPT ExDa'!$B$2:$U$99, 11,FALSE), IFERROR(VLOOKUP($A96,'ABB ExDa'!$A$2:$N$184, 9,FALSE), IFERROR(VLOOKUP($A96,'Vocus SIT ExDa'!$B$2:$J$173, 8,FALSE), IFERROR(VLOOKUP($A96,'Telstra ExDa'!$B$2:$K$310, 0,FALSE), IFERROR(VLOOKUP($A96,'Vocus RVC ExDa'!$C$2:$R$155, 0,FALSE), IFERROR(VLOOKUP($A96,'Fusion ExDa'!$B$2:$D$16, 0,FALSE), IFERROR(VLOOKUP($A96,'Exetel ExDa'!$C$2:$N$14, 9,FALSE), IFERROR(VLOOKUP($A96,'Infinet ExDa'!$B$2:$E$14, 0,FALSE), "Not Found"))))))))</f>
        <v>16/06/2016</v>
      </c>
      <c r="M96" s="234" t="str">
        <f>IFERROR(VLOOKUP($A96,'AAPT ExDa'!$B$2:$U$99, 0,FALSE), IFERROR(VLOOKUP($A96,'ABB ExDa'!$A$2:$N$184, 0,FALSE), IFERROR(VLOOKUP($A96,'Vocus SIT ExDa'!$B$2:$J$173, 0,FALSE), IFERROR(VLOOKUP($A96,'Telstra ExDa'!$B$2:$K$310, 0,FALSE), IFERROR(VLOOKUP($A96,'Vocus RVC ExDa'!$C$2:$R$155, 0,FALSE), IFERROR(VLOOKUP($A96,'Fusion ExDa'!$B$2:$D$16, 0,FALSE), IFERROR(VLOOKUP($A96,'Exetel ExDa'!$C$2:$N$14, 11,FALSE), IFERROR(VLOOKUP($A96,'Infinet ExDa'!$B$2:$E$14, 0,FALSE), "Not Found"))))))))</f>
        <v>Not Found</v>
      </c>
      <c r="N96" t="str">
        <f>IFERROR(VLOOKUP($A96,'AAPT ExDa'!$B$2:$U$99, 0,FALSE), IFERROR(VLOOKUP($A96,'ABB ExDa'!$A$2:$N$184, 13,FALSE), IFERROR(VLOOKUP($A96,'Vocus SIT ExDa'!$B$2:$J$173, 0,FALSE), IFERROR(VLOOKUP($A96,'Telstra ExDa'!$B$2:$K$310, 0,FALSE), IFERROR(VLOOKUP($A96,'Vocus RVC ExDa'!$C$2:$R$155, 0,FALSE), IFERROR(VLOOKUP($A96,'Fusion ExDa'!$B$2:$D$16, 0,FALSE), IFERROR(VLOOKUP($A96,'Exetel ExDa'!$C$2:$N$14, 0,FALSE), IFERROR(VLOOKUP($A96,'Infinet ExDa'!$B$2:$E$14, 0,FALSE), "Not Found"))))))))</f>
        <v>Not Found</v>
      </c>
    </row>
    <row r="97" spans="1:14">
      <c r="A97" t="str">
        <v>Turner Childe Street Byron Bay</v>
      </c>
      <c r="B97" t="str">
        <f>IFERROR(VLOOKUP(A97,'Exetel ExDa'!$C$2:$N$14,4,FALSE),"No Data")</f>
        <v>No Data</v>
      </c>
      <c r="C97">
        <f>IFERROR(VLOOKUP(A97,'AAPT ExDa'!$B$2:$U$99, 2,FALSE), IFERROR(VLOOKUP(A97,'ABB ExDa'!$A$2:$N$184, 2,FALSE), IFERROR(VLOOKUP(A97,'Vocus SIT ExDa'!$B$2:$J$173, 7,FALSE), IFERROR(VLOOKUP(A97,'Telstra ExDa'!$B$2:$K$310, 2,FALSE), IFERROR(VLOOKUP(A97,'Vocus RVC ExDa'!$C$2:$R$155, 3,FALSE), IFERROR(VLOOKUP(A97,'Fusion ExDa'!$B$2:$D$16, 2,FALSE), IFERROR(VLOOKUP(A97,'Exetel ExDa'!$C$2:$N$14, 2,FALSE), IFERROR(VLOOKUP(A97,'Infinet ExDa'!$B$2:$E$14, 2,FALSE), "Not Found"))))))))</f>
        <v>0</v>
      </c>
      <c r="D97" t="str">
        <f>IFERROR(VLOOKUP($A97,'AAPT ExDa'!$B$2:$U$99, 15,FALSE), IFERROR(VLOOKUP($A97,'ABB ExDa'!$A$2:$N$184, 4,FALSE), IFERROR(VLOOKUP($A97,'Vocus SIT ExDa'!$B$2:$J$173, 5,FALSE), IFERROR(VLOOKUP($A97,'Telstra ExDa'!$B$2:$K$310, 8,FALSE), IFERROR(VLOOKUP($A97,'Vocus RVC ExDa'!$C$2:$R$155, 6,FALSE), IFERROR(VLOOKUP($A97,'Fusion ExDa'!$B$2:$D$16, 4,FALSE), IFERROR(VLOOKUP($A97,'Exetel ExDa'!$C$2:$N$14, 3,FALSE), IFERROR(VLOOKUP($A97,'Infinet ExDa'!$B$2:$E$14, 3,FALSE), "Not Found"))))))))</f>
        <v>AAPT</v>
      </c>
      <c r="E97" t="str">
        <f>IFERROR(VLOOKUP($A97,'AAPT ExDa'!$B$2:$U$99, 3,FALSE), IFERROR(VLOOKUP($A97,'ABB ExDa'!$A$2:$N$184, 5,FALSE), IFERROR(VLOOKUP($A97,'Vocus SIT ExDa'!$B$2:$J$173, 2,FALSE), IFERROR(VLOOKUP($A97,'Telstra ExDa'!$B$2:$K$310, 4,FALSE), IFERROR(VLOOKUP($A97,'Vocus RVC ExDa'!$C$2:$R$155, 8,FALSE), IFERROR(VLOOKUP($A97,'Fusion ExDa'!$B$2:$D$16, 4,FALSE), IFERROR(VLOOKUP($A97,'Exetel ExDa'!$C$2:$N$14, 5,FALSE), IFERROR(VLOOKUP($A97,'Infinet ExDa'!$B$2:$E$14, 3,FALSE), "Not Found"))))))))</f>
        <v>IP-Line</v>
      </c>
      <c r="F97" t="str">
        <f>IFERROR(VLOOKUP($A97,'AAPT ExDa'!$B$2:$U$99, 4,FALSE), IFERROR(VLOOKUP($A97,'ABB ExDa'!$A$2:$N$184, 6,FALSE), IFERROR(VLOOKUP($A97,'Vocus SIT ExDa'!$B$2:$J$173, 3,FALSE), IFERROR(VLOOKUP($A97,'Telstra ExDa'!$B$2:$K$310, 5,FALSE), IFERROR(VLOOKUP($A97,'Vocus RVC ExDa'!$C$2:$R$155, 9,FALSE), IFERROR(VLOOKUP($A97,'Fusion ExDa'!$B$2:$D$16, 0,FALSE), IFERROR(VLOOKUP($A97,'Exetel ExDa'!$C$2:$N$14, 6,FALSE), IFERROR(VLOOKUP($A97,'Infinet ExDa'!$B$2:$E$14, 0,FALSE), "Not Found"))))))))</f>
        <v>IP-Line Link</v>
      </c>
      <c r="G97" t="str">
        <f>IFERROR(VLOOKUP($A97,'AAPT ExDa'!$B$2:$U$99, 5,FALSE), IFERROR(VLOOKUP($A97,'ABB ExDa'!$A$2:$N$184, 8,FALSE), IFERROR(VLOOKUP($A97,'Vocus SIT ExDa'!$B$2:$J$173, 6,FALSE), IFERROR(VLOOKUP($A97,'Telstra ExDa'!$B$2:$K$310, 0,FALSE), IFERROR(VLOOKUP($A97,'Vocus RVC ExDa'!$C$2:$R$155, 15,FALSE), IFERROR(VLOOKUP($A97,'Fusion ExDa'!$B$2:$D$16, 0,FALSE), IFERROR(VLOOKUP($A97,'Exetel ExDa'!$C$2:$N$14, 7,FALSE), IFERROR(VLOOKUP($A97,'Infinet ExDa'!$B$2:$E$14, 0,FALSE), "Not Found"))))))))</f>
        <v>Connecting IP-Line 6023265 to Access 100775640</v>
      </c>
      <c r="H97" t="str">
        <f>IFERROR(VLOOKUP($A97,'AAPT ExDa'!$B$2:$U$99, 6,FALSE), IFERROR(VLOOKUP($A97,'ABB ExDa'!$A$2:$N$184, 0,FALSE), IFERROR(VLOOKUP($A97,'Vocus SIT ExDa'!$B$2:$J$173, 0,FALSE), IFERROR(VLOOKUP($A97,'Telstra ExDa'!$B$2:$K$310, 0,FALSE), IFERROR(VLOOKUP($A97,'Vocus RVC ExDa'!$C$2:$R$155, 16,FALSE), IFERROR(VLOOKUP($A97,'Fusion ExDa'!$B$2:$D$16, 0,FALSE), IFERROR(VLOOKUP($A97,'Exetel ExDa'!$C$2:$N$14, 0,FALSE), IFERROR(VLOOKUP($A97,'Infinet ExDa'!$B$2:$E$14, 0,FALSE), "Not Found"))))))))</f>
        <v>Up to 50/20Mbps; AVC ID:AVC000141728546</v>
      </c>
      <c r="I97" t="str">
        <f>IFERROR(VLOOKUP($A97,'AAPT ExDa'!$B$2:$U$99, 0,FALSE), IFERROR(VLOOKUP($A97,'ABB ExDa'!$A$2:$N$184, 0,FALSE), IFERROR(VLOOKUP($A97,'Vocus SIT ExDa'!$B$2:$J$173, 0,FALSE), IFERROR(VLOOKUP($A97,'Telstra ExDa'!$B$2:$K$310, 0,FALSE), IFERROR(VLOOKUP($A97,'Vocus RVC ExDa'!$C$2:$R$155, 0,FALSE), IFERROR(VLOOKUP($A97,'Fusion ExDa'!$B$2:$D$16, 0,FALSE), IFERROR(VLOOKUP($A97,'Exetel ExDa'!$C$2:$N$14, 8,FALSE), IFERROR(VLOOKUP($A97,'Infinet ExDa'!$B$2:$E$14, 0,FALSE), "Not Found"))))))))</f>
        <v>Not Found</v>
      </c>
      <c r="J97" t="str">
        <f>IFERROR(VLOOKUP($A97,'AAPT ExDa'!$B$2:$U$99, 7,FALSE), IFERROR(VLOOKUP($A97,'ABB ExDa'!$A$2:$N$184, 2,FALSE), IFERROR(VLOOKUP($A97,'Vocus SIT ExDa'!$B$2:$J$173, 0,FALSE), IFERROR(VLOOKUP($A97,'Telstra ExDa'!$B$2:$K$310, 7,FALSE), IFERROR(VLOOKUP($A97,'Vocus RVC ExDa'!$C$2:$R$155, 2,FALSE), IFERROR(VLOOKUP($A97,'Fusion ExDa'!$B$2:$D$16, 3,FALSE), IFERROR(VLOOKUP($A97,'Exetel ExDa'!$C$2:$N$14, 0,FALSE), IFERROR(VLOOKUP($A97,'Infinet ExDa'!$B$2:$E$14, 0,FALSE), "Not Found"))))))))</f>
        <v>AVC000141728546</v>
      </c>
      <c r="K97" t="str">
        <f>IFERROR(VLOOKUP($A97,'AAPT ExDa'!$B$2:$U$99, 12,FALSE), IFERROR(VLOOKUP($A97,'ABB ExDa'!$A$2:$N$184, 0,FALSE), IFERROR(VLOOKUP($A97,'Vocus SIT ExDa'!$B$2:$J$173, 0,FALSE), IFERROR(VLOOKUP($A97,'Telstra ExDa'!$B$2:$K$310, 0,FALSE), IFERROR(VLOOKUP($A97,'Vocus RVC ExDa'!$C$2:$R$155, 0,FALSE), IFERROR(VLOOKUP($A97,'Fusion ExDa'!$B$2:$D$16, 0,FALSE), IFERROR(VLOOKUP($A97,'Exetel ExDa'!$C$2:$N$14, 12,FALSE), IFERROR(VLOOKUP($A97,'Infinet ExDa'!$B$2:$E$14, 0,FALSE), "Not Found"))))))))</f>
        <v>36 Months</v>
      </c>
      <c r="L97" s="235">
        <f>IFERROR(VLOOKUP($A97,'AAPT ExDa'!$B$2:$U$99, 11,FALSE), IFERROR(VLOOKUP($A97,'ABB ExDa'!$A$2:$N$184, 9,FALSE), IFERROR(VLOOKUP($A97,'Vocus SIT ExDa'!$B$2:$J$173, 8,FALSE), IFERROR(VLOOKUP($A97,'Telstra ExDa'!$B$2:$K$310, 0,FALSE), IFERROR(VLOOKUP($A97,'Vocus RVC ExDa'!$C$2:$R$155, 0,FALSE), IFERROR(VLOOKUP($A97,'Fusion ExDa'!$B$2:$D$16, 0,FALSE), IFERROR(VLOOKUP($A97,'Exetel ExDa'!$C$2:$N$14, 9,FALSE), IFERROR(VLOOKUP($A97,'Infinet ExDa'!$B$2:$E$14, 0,FALSE), "Not Found"))))))))</f>
        <v>44419</v>
      </c>
      <c r="M97" s="234" t="str">
        <f>IFERROR(VLOOKUP($A97,'AAPT ExDa'!$B$2:$U$99, 0,FALSE), IFERROR(VLOOKUP($A97,'ABB ExDa'!$A$2:$N$184, 0,FALSE), IFERROR(VLOOKUP($A97,'Vocus SIT ExDa'!$B$2:$J$173, 0,FALSE), IFERROR(VLOOKUP($A97,'Telstra ExDa'!$B$2:$K$310, 0,FALSE), IFERROR(VLOOKUP($A97,'Vocus RVC ExDa'!$C$2:$R$155, 0,FALSE), IFERROR(VLOOKUP($A97,'Fusion ExDa'!$B$2:$D$16, 0,FALSE), IFERROR(VLOOKUP($A97,'Exetel ExDa'!$C$2:$N$14, 11,FALSE), IFERROR(VLOOKUP($A97,'Infinet ExDa'!$B$2:$E$14, 0,FALSE), "Not Found"))))))))</f>
        <v>Not Found</v>
      </c>
      <c r="N97" t="str">
        <f>IFERROR(VLOOKUP($A97,'AAPT ExDa'!$B$2:$U$99, 0,FALSE), IFERROR(VLOOKUP($A97,'ABB ExDa'!$A$2:$N$184, 13,FALSE), IFERROR(VLOOKUP($A97,'Vocus SIT ExDa'!$B$2:$J$173, 0,FALSE), IFERROR(VLOOKUP($A97,'Telstra ExDa'!$B$2:$K$310, 0,FALSE), IFERROR(VLOOKUP($A97,'Vocus RVC ExDa'!$C$2:$R$155, 0,FALSE), IFERROR(VLOOKUP($A97,'Fusion ExDa'!$B$2:$D$16, 0,FALSE), IFERROR(VLOOKUP($A97,'Exetel ExDa'!$C$2:$N$14, 0,FALSE), IFERROR(VLOOKUP($A97,'Infinet ExDa'!$B$2:$E$14, 0,FALSE), "Not Found"))))))))</f>
        <v>Not Found</v>
      </c>
    </row>
    <row r="98" spans="1:14">
      <c r="A98" t="str">
        <v>Turner First Point Noosa</v>
      </c>
      <c r="B98" t="str">
        <f>IFERROR(VLOOKUP(A98,'Exetel ExDa'!$C$2:$N$14,4,FALSE),"No Data")</f>
        <v>No Data</v>
      </c>
      <c r="C98">
        <f>IFERROR(VLOOKUP(A98,'AAPT ExDa'!$B$2:$U$99, 2,FALSE), IFERROR(VLOOKUP(A98,'ABB ExDa'!$A$2:$N$184, 2,FALSE), IFERROR(VLOOKUP(A98,'Vocus SIT ExDa'!$B$2:$J$173, 7,FALSE), IFERROR(VLOOKUP(A98,'Telstra ExDa'!$B$2:$K$310, 2,FALSE), IFERROR(VLOOKUP(A98,'Vocus RVC ExDa'!$C$2:$R$155, 3,FALSE), IFERROR(VLOOKUP(A98,'Fusion ExDa'!$B$2:$D$16, 2,FALSE), IFERROR(VLOOKUP(A98,'Exetel ExDa'!$C$2:$N$14, 2,FALSE), IFERROR(VLOOKUP(A98,'Infinet ExDa'!$B$2:$E$14, 2,FALSE), "Not Found"))))))))</f>
        <v>0</v>
      </c>
      <c r="D98" t="str">
        <f>IFERROR(VLOOKUP($A98,'AAPT ExDa'!$B$2:$U$99, 15,FALSE), IFERROR(VLOOKUP($A98,'ABB ExDa'!$A$2:$N$184, 4,FALSE), IFERROR(VLOOKUP($A98,'Vocus SIT ExDa'!$B$2:$J$173, 5,FALSE), IFERROR(VLOOKUP($A98,'Telstra ExDa'!$B$2:$K$310, 8,FALSE), IFERROR(VLOOKUP($A98,'Vocus RVC ExDa'!$C$2:$R$155, 6,FALSE), IFERROR(VLOOKUP($A98,'Fusion ExDa'!$B$2:$D$16, 4,FALSE), IFERROR(VLOOKUP($A98,'Exetel ExDa'!$C$2:$N$14, 3,FALSE), IFERROR(VLOOKUP($A98,'Infinet ExDa'!$B$2:$E$14, 3,FALSE), "Not Found"))))))))</f>
        <v>AAPT</v>
      </c>
      <c r="E98" t="str">
        <f>IFERROR(VLOOKUP($A98,'AAPT ExDa'!$B$2:$U$99, 3,FALSE), IFERROR(VLOOKUP($A98,'ABB ExDa'!$A$2:$N$184, 5,FALSE), IFERROR(VLOOKUP($A98,'Vocus SIT ExDa'!$B$2:$J$173, 2,FALSE), IFERROR(VLOOKUP($A98,'Telstra ExDa'!$B$2:$K$310, 4,FALSE), IFERROR(VLOOKUP($A98,'Vocus RVC ExDa'!$C$2:$R$155, 8,FALSE), IFERROR(VLOOKUP($A98,'Fusion ExDa'!$B$2:$D$16, 4,FALSE), IFERROR(VLOOKUP($A98,'Exetel ExDa'!$C$2:$N$14, 5,FALSE), IFERROR(VLOOKUP($A98,'Infinet ExDa'!$B$2:$E$14, 3,FALSE), "Not Found"))))))))</f>
        <v>IP-Line</v>
      </c>
      <c r="F98" t="str">
        <f>IFERROR(VLOOKUP($A98,'AAPT ExDa'!$B$2:$U$99, 4,FALSE), IFERROR(VLOOKUP($A98,'ABB ExDa'!$A$2:$N$184, 6,FALSE), IFERROR(VLOOKUP($A98,'Vocus SIT ExDa'!$B$2:$J$173, 3,FALSE), IFERROR(VLOOKUP($A98,'Telstra ExDa'!$B$2:$K$310, 5,FALSE), IFERROR(VLOOKUP($A98,'Vocus RVC ExDa'!$C$2:$R$155, 9,FALSE), IFERROR(VLOOKUP($A98,'Fusion ExDa'!$B$2:$D$16, 0,FALSE), IFERROR(VLOOKUP($A98,'Exetel ExDa'!$C$2:$N$14, 6,FALSE), IFERROR(VLOOKUP($A98,'Infinet ExDa'!$B$2:$E$14, 0,FALSE), "Not Found"))))))))</f>
        <v>IP-Line Link</v>
      </c>
      <c r="G98" t="str">
        <f>IFERROR(VLOOKUP($A98,'AAPT ExDa'!$B$2:$U$99, 5,FALSE), IFERROR(VLOOKUP($A98,'ABB ExDa'!$A$2:$N$184, 8,FALSE), IFERROR(VLOOKUP($A98,'Vocus SIT ExDa'!$B$2:$J$173, 6,FALSE), IFERROR(VLOOKUP($A98,'Telstra ExDa'!$B$2:$K$310, 0,FALSE), IFERROR(VLOOKUP($A98,'Vocus RVC ExDa'!$C$2:$R$155, 15,FALSE), IFERROR(VLOOKUP($A98,'Fusion ExDa'!$B$2:$D$16, 0,FALSE), IFERROR(VLOOKUP($A98,'Exetel ExDa'!$C$2:$N$14, 7,FALSE), IFERROR(VLOOKUP($A98,'Infinet ExDa'!$B$2:$E$14, 0,FALSE), "Not Found"))))))))</f>
        <v>Connecting IP-Line 6023265 to Access 100785513</v>
      </c>
      <c r="H98" t="str">
        <f>IFERROR(VLOOKUP($A98,'AAPT ExDa'!$B$2:$U$99, 6,FALSE), IFERROR(VLOOKUP($A98,'ABB ExDa'!$A$2:$N$184, 0,FALSE), IFERROR(VLOOKUP($A98,'Vocus SIT ExDa'!$B$2:$J$173, 0,FALSE), IFERROR(VLOOKUP($A98,'Telstra ExDa'!$B$2:$K$310, 0,FALSE), IFERROR(VLOOKUP($A98,'Vocus RVC ExDa'!$C$2:$R$155, 16,FALSE), IFERROR(VLOOKUP($A98,'Fusion ExDa'!$B$2:$D$16, 0,FALSE), IFERROR(VLOOKUP($A98,'Exetel ExDa'!$C$2:$N$14, 0,FALSE), IFERROR(VLOOKUP($A98,'Infinet ExDa'!$B$2:$E$14, 0,FALSE), "Not Found"))))))))</f>
        <v>Up to 50/20Mbps; AVC ID:AVC000146482523</v>
      </c>
      <c r="I98" t="str">
        <f>IFERROR(VLOOKUP($A98,'AAPT ExDa'!$B$2:$U$99, 0,FALSE), IFERROR(VLOOKUP($A98,'ABB ExDa'!$A$2:$N$184, 0,FALSE), IFERROR(VLOOKUP($A98,'Vocus SIT ExDa'!$B$2:$J$173, 0,FALSE), IFERROR(VLOOKUP($A98,'Telstra ExDa'!$B$2:$K$310, 0,FALSE), IFERROR(VLOOKUP($A98,'Vocus RVC ExDa'!$C$2:$R$155, 0,FALSE), IFERROR(VLOOKUP($A98,'Fusion ExDa'!$B$2:$D$16, 0,FALSE), IFERROR(VLOOKUP($A98,'Exetel ExDa'!$C$2:$N$14, 8,FALSE), IFERROR(VLOOKUP($A98,'Infinet ExDa'!$B$2:$E$14, 0,FALSE), "Not Found"))))))))</f>
        <v>Not Found</v>
      </c>
      <c r="J98" t="str">
        <f>IFERROR(VLOOKUP($A98,'AAPT ExDa'!$B$2:$U$99, 7,FALSE), IFERROR(VLOOKUP($A98,'ABB ExDa'!$A$2:$N$184, 2,FALSE), IFERROR(VLOOKUP($A98,'Vocus SIT ExDa'!$B$2:$J$173, 0,FALSE), IFERROR(VLOOKUP($A98,'Telstra ExDa'!$B$2:$K$310, 7,FALSE), IFERROR(VLOOKUP($A98,'Vocus RVC ExDa'!$C$2:$R$155, 2,FALSE), IFERROR(VLOOKUP($A98,'Fusion ExDa'!$B$2:$D$16, 3,FALSE), IFERROR(VLOOKUP($A98,'Exetel ExDa'!$C$2:$N$14, 0,FALSE), IFERROR(VLOOKUP($A98,'Infinet ExDa'!$B$2:$E$14, 0,FALSE), "Not Found"))))))))</f>
        <v>AVC000146482523</v>
      </c>
      <c r="K98" t="str">
        <f>IFERROR(VLOOKUP($A98,'AAPT ExDa'!$B$2:$U$99, 12,FALSE), IFERROR(VLOOKUP($A98,'ABB ExDa'!$A$2:$N$184, 0,FALSE), IFERROR(VLOOKUP($A98,'Vocus SIT ExDa'!$B$2:$J$173, 0,FALSE), IFERROR(VLOOKUP($A98,'Telstra ExDa'!$B$2:$K$310, 0,FALSE), IFERROR(VLOOKUP($A98,'Vocus RVC ExDa'!$C$2:$R$155, 0,FALSE), IFERROR(VLOOKUP($A98,'Fusion ExDa'!$B$2:$D$16, 0,FALSE), IFERROR(VLOOKUP($A98,'Exetel ExDa'!$C$2:$N$14, 12,FALSE), IFERROR(VLOOKUP($A98,'Infinet ExDa'!$B$2:$E$14, 0,FALSE), "Not Found"))))))))</f>
        <v>24 Months</v>
      </c>
      <c r="L98" s="235">
        <f>IFERROR(VLOOKUP($A98,'AAPT ExDa'!$B$2:$U$99, 11,FALSE), IFERROR(VLOOKUP($A98,'ABB ExDa'!$A$2:$N$184, 9,FALSE), IFERROR(VLOOKUP($A98,'Vocus SIT ExDa'!$B$2:$J$173, 8,FALSE), IFERROR(VLOOKUP($A98,'Telstra ExDa'!$B$2:$K$310, 0,FALSE), IFERROR(VLOOKUP($A98,'Vocus RVC ExDa'!$C$2:$R$155, 0,FALSE), IFERROR(VLOOKUP($A98,'Fusion ExDa'!$B$2:$D$16, 0,FALSE), IFERROR(VLOOKUP($A98,'Exetel ExDa'!$C$2:$N$14, 9,FALSE), IFERROR(VLOOKUP($A98,'Infinet ExDa'!$B$2:$E$14, 0,FALSE), "Not Found"))))))))</f>
        <v>44563</v>
      </c>
      <c r="M98" s="234" t="str">
        <f>IFERROR(VLOOKUP($A98,'AAPT ExDa'!$B$2:$U$99, 0,FALSE), IFERROR(VLOOKUP($A98,'ABB ExDa'!$A$2:$N$184, 0,FALSE), IFERROR(VLOOKUP($A98,'Vocus SIT ExDa'!$B$2:$J$173, 0,FALSE), IFERROR(VLOOKUP($A98,'Telstra ExDa'!$B$2:$K$310, 0,FALSE), IFERROR(VLOOKUP($A98,'Vocus RVC ExDa'!$C$2:$R$155, 0,FALSE), IFERROR(VLOOKUP($A98,'Fusion ExDa'!$B$2:$D$16, 0,FALSE), IFERROR(VLOOKUP($A98,'Exetel ExDa'!$C$2:$N$14, 11,FALSE), IFERROR(VLOOKUP($A98,'Infinet ExDa'!$B$2:$E$14, 0,FALSE), "Not Found"))))))))</f>
        <v>Not Found</v>
      </c>
      <c r="N98" t="str">
        <f>IFERROR(VLOOKUP($A98,'AAPT ExDa'!$B$2:$U$99, 0,FALSE), IFERROR(VLOOKUP($A98,'ABB ExDa'!$A$2:$N$184, 13,FALSE), IFERROR(VLOOKUP($A98,'Vocus SIT ExDa'!$B$2:$J$173, 0,FALSE), IFERROR(VLOOKUP($A98,'Telstra ExDa'!$B$2:$K$310, 0,FALSE), IFERROR(VLOOKUP($A98,'Vocus RVC ExDa'!$C$2:$R$155, 0,FALSE), IFERROR(VLOOKUP($A98,'Fusion ExDa'!$B$2:$D$16, 0,FALSE), IFERROR(VLOOKUP($A98,'Exetel ExDa'!$C$2:$N$14, 0,FALSE), IFERROR(VLOOKUP($A98,'Infinet ExDa'!$B$2:$E$14, 0,FALSE), "Not Found"))))))))</f>
        <v>Not Found</v>
      </c>
    </row>
    <row r="99" spans="1:14">
      <c r="A99" t="str">
        <v>Turner Noosa Parade</v>
      </c>
      <c r="B99" t="str">
        <f>IFERROR(VLOOKUP(A99,'Exetel ExDa'!$C$2:$N$14,4,FALSE),"No Data")</f>
        <v>No Data</v>
      </c>
      <c r="C99">
        <f>IFERROR(VLOOKUP(A99,'AAPT ExDa'!$B$2:$U$99, 2,FALSE), IFERROR(VLOOKUP(A99,'ABB ExDa'!$A$2:$N$184, 2,FALSE), IFERROR(VLOOKUP(A99,'Vocus SIT ExDa'!$B$2:$J$173, 7,FALSE), IFERROR(VLOOKUP(A99,'Telstra ExDa'!$B$2:$K$310, 2,FALSE), IFERROR(VLOOKUP(A99,'Vocus RVC ExDa'!$C$2:$R$155, 3,FALSE), IFERROR(VLOOKUP(A99,'Fusion ExDa'!$B$2:$D$16, 2,FALSE), IFERROR(VLOOKUP(A99,'Exetel ExDa'!$C$2:$N$14, 2,FALSE), IFERROR(VLOOKUP(A99,'Infinet ExDa'!$B$2:$E$14, 2,FALSE), "Not Found"))))))))</f>
        <v>0</v>
      </c>
      <c r="D99" t="str">
        <f>IFERROR(VLOOKUP($A99,'AAPT ExDa'!$B$2:$U$99, 15,FALSE), IFERROR(VLOOKUP($A99,'ABB ExDa'!$A$2:$N$184, 4,FALSE), IFERROR(VLOOKUP($A99,'Vocus SIT ExDa'!$B$2:$J$173, 5,FALSE), IFERROR(VLOOKUP($A99,'Telstra ExDa'!$B$2:$K$310, 8,FALSE), IFERROR(VLOOKUP($A99,'Vocus RVC ExDa'!$C$2:$R$155, 6,FALSE), IFERROR(VLOOKUP($A99,'Fusion ExDa'!$B$2:$D$16, 4,FALSE), IFERROR(VLOOKUP($A99,'Exetel ExDa'!$C$2:$N$14, 3,FALSE), IFERROR(VLOOKUP($A99,'Infinet ExDa'!$B$2:$E$14, 3,FALSE), "Not Found"))))))))</f>
        <v>AAPT</v>
      </c>
      <c r="E99" t="str">
        <f>IFERROR(VLOOKUP($A99,'AAPT ExDa'!$B$2:$U$99, 3,FALSE), IFERROR(VLOOKUP($A99,'ABB ExDa'!$A$2:$N$184, 5,FALSE), IFERROR(VLOOKUP($A99,'Vocus SIT ExDa'!$B$2:$J$173, 2,FALSE), IFERROR(VLOOKUP($A99,'Telstra ExDa'!$B$2:$K$310, 4,FALSE), IFERROR(VLOOKUP($A99,'Vocus RVC ExDa'!$C$2:$R$155, 8,FALSE), IFERROR(VLOOKUP($A99,'Fusion ExDa'!$B$2:$D$16, 4,FALSE), IFERROR(VLOOKUP($A99,'Exetel ExDa'!$C$2:$N$14, 5,FALSE), IFERROR(VLOOKUP($A99,'Infinet ExDa'!$B$2:$E$14, 3,FALSE), "Not Found"))))))))</f>
        <v>IP-Line</v>
      </c>
      <c r="F99" t="str">
        <f>IFERROR(VLOOKUP($A99,'AAPT ExDa'!$B$2:$U$99, 4,FALSE), IFERROR(VLOOKUP($A99,'ABB ExDa'!$A$2:$N$184, 6,FALSE), IFERROR(VLOOKUP($A99,'Vocus SIT ExDa'!$B$2:$J$173, 3,FALSE), IFERROR(VLOOKUP($A99,'Telstra ExDa'!$B$2:$K$310, 5,FALSE), IFERROR(VLOOKUP($A99,'Vocus RVC ExDa'!$C$2:$R$155, 9,FALSE), IFERROR(VLOOKUP($A99,'Fusion ExDa'!$B$2:$D$16, 0,FALSE), IFERROR(VLOOKUP($A99,'Exetel ExDa'!$C$2:$N$14, 6,FALSE), IFERROR(VLOOKUP($A99,'Infinet ExDa'!$B$2:$E$14, 0,FALSE), "Not Found"))))))))</f>
        <v>IP-Line Link</v>
      </c>
      <c r="G99" t="str">
        <f>IFERROR(VLOOKUP($A99,'AAPT ExDa'!$B$2:$U$99, 5,FALSE), IFERROR(VLOOKUP($A99,'ABB ExDa'!$A$2:$N$184, 8,FALSE), IFERROR(VLOOKUP($A99,'Vocus SIT ExDa'!$B$2:$J$173, 6,FALSE), IFERROR(VLOOKUP($A99,'Telstra ExDa'!$B$2:$K$310, 0,FALSE), IFERROR(VLOOKUP($A99,'Vocus RVC ExDa'!$C$2:$R$155, 15,FALSE), IFERROR(VLOOKUP($A99,'Fusion ExDa'!$B$2:$D$16, 0,FALSE), IFERROR(VLOOKUP($A99,'Exetel ExDa'!$C$2:$N$14, 7,FALSE), IFERROR(VLOOKUP($A99,'Infinet ExDa'!$B$2:$E$14, 0,FALSE), "Not Found"))))))))</f>
        <v>Connecting IP-Line 6023265 to Access 100785493</v>
      </c>
      <c r="H99" t="str">
        <f>IFERROR(VLOOKUP($A99,'AAPT ExDa'!$B$2:$U$99, 6,FALSE), IFERROR(VLOOKUP($A99,'ABB ExDa'!$A$2:$N$184, 0,FALSE), IFERROR(VLOOKUP($A99,'Vocus SIT ExDa'!$B$2:$J$173, 0,FALSE), IFERROR(VLOOKUP($A99,'Telstra ExDa'!$B$2:$K$310, 0,FALSE), IFERROR(VLOOKUP($A99,'Vocus RVC ExDa'!$C$2:$R$155, 16,FALSE), IFERROR(VLOOKUP($A99,'Fusion ExDa'!$B$2:$D$16, 0,FALSE), IFERROR(VLOOKUP($A99,'Exetel ExDa'!$C$2:$N$14, 0,FALSE), IFERROR(VLOOKUP($A99,'Infinet ExDa'!$B$2:$E$14, 0,FALSE), "Not Found"))))))))</f>
        <v>Up to 50/20Mbps; AVC ID:AVC000146203088</v>
      </c>
      <c r="I99" t="str">
        <f>IFERROR(VLOOKUP($A99,'AAPT ExDa'!$B$2:$U$99, 0,FALSE), IFERROR(VLOOKUP($A99,'ABB ExDa'!$A$2:$N$184, 0,FALSE), IFERROR(VLOOKUP($A99,'Vocus SIT ExDa'!$B$2:$J$173, 0,FALSE), IFERROR(VLOOKUP($A99,'Telstra ExDa'!$B$2:$K$310, 0,FALSE), IFERROR(VLOOKUP($A99,'Vocus RVC ExDa'!$C$2:$R$155, 0,FALSE), IFERROR(VLOOKUP($A99,'Fusion ExDa'!$B$2:$D$16, 0,FALSE), IFERROR(VLOOKUP($A99,'Exetel ExDa'!$C$2:$N$14, 8,FALSE), IFERROR(VLOOKUP($A99,'Infinet ExDa'!$B$2:$E$14, 0,FALSE), "Not Found"))))))))</f>
        <v>Not Found</v>
      </c>
      <c r="J99" t="str">
        <f>IFERROR(VLOOKUP($A99,'AAPT ExDa'!$B$2:$U$99, 7,FALSE), IFERROR(VLOOKUP($A99,'ABB ExDa'!$A$2:$N$184, 2,FALSE), IFERROR(VLOOKUP($A99,'Vocus SIT ExDa'!$B$2:$J$173, 0,FALSE), IFERROR(VLOOKUP($A99,'Telstra ExDa'!$B$2:$K$310, 7,FALSE), IFERROR(VLOOKUP($A99,'Vocus RVC ExDa'!$C$2:$R$155, 2,FALSE), IFERROR(VLOOKUP($A99,'Fusion ExDa'!$B$2:$D$16, 3,FALSE), IFERROR(VLOOKUP($A99,'Exetel ExDa'!$C$2:$N$14, 0,FALSE), IFERROR(VLOOKUP($A99,'Infinet ExDa'!$B$2:$E$14, 0,FALSE), "Not Found"))))))))</f>
        <v>AVC000146203088</v>
      </c>
      <c r="K99" t="str">
        <f>IFERROR(VLOOKUP($A99,'AAPT ExDa'!$B$2:$U$99, 12,FALSE), IFERROR(VLOOKUP($A99,'ABB ExDa'!$A$2:$N$184, 0,FALSE), IFERROR(VLOOKUP($A99,'Vocus SIT ExDa'!$B$2:$J$173, 0,FALSE), IFERROR(VLOOKUP($A99,'Telstra ExDa'!$B$2:$K$310, 0,FALSE), IFERROR(VLOOKUP($A99,'Vocus RVC ExDa'!$C$2:$R$155, 0,FALSE), IFERROR(VLOOKUP($A99,'Fusion ExDa'!$B$2:$D$16, 0,FALSE), IFERROR(VLOOKUP($A99,'Exetel ExDa'!$C$2:$N$14, 12,FALSE), IFERROR(VLOOKUP($A99,'Infinet ExDa'!$B$2:$E$14, 0,FALSE), "Not Found"))))))))</f>
        <v>24 Months</v>
      </c>
      <c r="L99" s="235">
        <f>IFERROR(VLOOKUP($A99,'AAPT ExDa'!$B$2:$U$99, 11,FALSE), IFERROR(VLOOKUP($A99,'ABB ExDa'!$A$2:$N$184, 9,FALSE), IFERROR(VLOOKUP($A99,'Vocus SIT ExDa'!$B$2:$J$173, 8,FALSE), IFERROR(VLOOKUP($A99,'Telstra ExDa'!$B$2:$K$310, 0,FALSE), IFERROR(VLOOKUP($A99,'Vocus RVC ExDa'!$C$2:$R$155, 0,FALSE), IFERROR(VLOOKUP($A99,'Fusion ExDa'!$B$2:$D$16, 0,FALSE), IFERROR(VLOOKUP($A99,'Exetel ExDa'!$C$2:$N$14, 9,FALSE), IFERROR(VLOOKUP($A99,'Infinet ExDa'!$B$2:$E$14, 0,FALSE), "Not Found"))))))))</f>
        <v>44653</v>
      </c>
      <c r="M99" s="234" t="str">
        <f>IFERROR(VLOOKUP($A99,'AAPT ExDa'!$B$2:$U$99, 0,FALSE), IFERROR(VLOOKUP($A99,'ABB ExDa'!$A$2:$N$184, 0,FALSE), IFERROR(VLOOKUP($A99,'Vocus SIT ExDa'!$B$2:$J$173, 0,FALSE), IFERROR(VLOOKUP($A99,'Telstra ExDa'!$B$2:$K$310, 0,FALSE), IFERROR(VLOOKUP($A99,'Vocus RVC ExDa'!$C$2:$R$155, 0,FALSE), IFERROR(VLOOKUP($A99,'Fusion ExDa'!$B$2:$D$16, 0,FALSE), IFERROR(VLOOKUP($A99,'Exetel ExDa'!$C$2:$N$14, 11,FALSE), IFERROR(VLOOKUP($A99,'Infinet ExDa'!$B$2:$E$14, 0,FALSE), "Not Found"))))))))</f>
        <v>Not Found</v>
      </c>
      <c r="N99" t="str">
        <f>IFERROR(VLOOKUP($A99,'AAPT ExDa'!$B$2:$U$99, 0,FALSE), IFERROR(VLOOKUP($A99,'ABB ExDa'!$A$2:$N$184, 13,FALSE), IFERROR(VLOOKUP($A99,'Vocus SIT ExDa'!$B$2:$J$173, 0,FALSE), IFERROR(VLOOKUP($A99,'Telstra ExDa'!$B$2:$K$310, 0,FALSE), IFERROR(VLOOKUP($A99,'Vocus RVC ExDa'!$C$2:$R$155, 0,FALSE), IFERROR(VLOOKUP($A99,'Fusion ExDa'!$B$2:$D$16, 0,FALSE), IFERROR(VLOOKUP($A99,'Exetel ExDa'!$C$2:$N$14, 0,FALSE), IFERROR(VLOOKUP($A99,'Infinet ExDa'!$B$2:$E$14, 0,FALSE), "Not Found"))))))))</f>
        <v>Not Found</v>
      </c>
    </row>
    <row r="100" spans="1:14">
      <c r="A100" t="str">
        <v>A&amp;K Ashgrove</v>
      </c>
      <c r="B100" t="str">
        <f>IFERROR(VLOOKUP(A100,'Exetel ExDa'!$C$2:$N$14,4,FALSE),"No Data")</f>
        <v>No Data</v>
      </c>
      <c r="C100" t="str">
        <f>IFERROR(VLOOKUP(A100,'AAPT ExDa'!$B$2:$U$99, 2,FALSE), IFERROR(VLOOKUP(A100,'ABB ExDa'!$A$2:$N$184, 2,FALSE), IFERROR(VLOOKUP(A100,'Vocus SIT ExDa'!$B$2:$J$173, 7,FALSE), IFERROR(VLOOKUP(A100,'Telstra ExDa'!$B$2:$K$310, 2,FALSE), IFERROR(VLOOKUP(A100,'Vocus RVC ExDa'!$C$2:$R$155, 3,FALSE), IFERROR(VLOOKUP(A100,'Fusion ExDa'!$B$2:$D$16, 2,FALSE), IFERROR(VLOOKUP(A100,'Exetel ExDa'!$C$2:$N$14, 2,FALSE), IFERROR(VLOOKUP(A100,'Infinet ExDa'!$B$2:$E$14, 2,FALSE), "Not Found"))))))))</f>
        <v>39 MOULTON ST, ASHGROVE QLD</v>
      </c>
      <c r="D100" t="str">
        <f>IFERROR(VLOOKUP($A100,'AAPT ExDa'!$B$2:$U$99, 15,FALSE), IFERROR(VLOOKUP($A100,'ABB ExDa'!$A$2:$N$184, 4,FALSE), IFERROR(VLOOKUP($A100,'Vocus SIT ExDa'!$B$2:$J$173, 5,FALSE), IFERROR(VLOOKUP($A100,'Telstra ExDa'!$B$2:$K$310, 8,FALSE), IFERROR(VLOOKUP($A100,'Vocus RVC ExDa'!$C$2:$R$155, 6,FALSE), IFERROR(VLOOKUP($A100,'Fusion ExDa'!$B$2:$D$16, 4,FALSE), IFERROR(VLOOKUP($A100,'Exetel ExDa'!$C$2:$N$14, 3,FALSE), IFERROR(VLOOKUP($A100,'Infinet ExDa'!$B$2:$E$14, 3,FALSE), "Not Found"))))))))</f>
        <v>ABB</v>
      </c>
      <c r="E100" t="str">
        <f>IFERROR(VLOOKUP($A100,'AAPT ExDa'!$B$2:$U$99, 3,FALSE), IFERROR(VLOOKUP($A100,'ABB ExDa'!$A$2:$N$184, 5,FALSE), IFERROR(VLOOKUP($A100,'Vocus SIT ExDa'!$B$2:$J$173, 2,FALSE), IFERROR(VLOOKUP($A100,'Telstra ExDa'!$B$2:$K$310, 4,FALSE), IFERROR(VLOOKUP($A100,'Vocus RVC ExDa'!$C$2:$R$155, 8,FALSE), IFERROR(VLOOKUP($A100,'Fusion ExDa'!$B$2:$D$16, 4,FALSE), IFERROR(VLOOKUP($A100,'Exetel ExDa'!$C$2:$N$14, 5,FALSE), IFERROR(VLOOKUP($A100,'Infinet ExDa'!$B$2:$E$14, 3,FALSE), "Not Found"))))))))</f>
        <v>NBN 250/25</v>
      </c>
      <c r="F100" t="str">
        <f>IFERROR(VLOOKUP($A100,'AAPT ExDa'!$B$2:$U$99, 4,FALSE), IFERROR(VLOOKUP($A100,'ABB ExDa'!$A$2:$N$184, 6,FALSE), IFERROR(VLOOKUP($A100,'Vocus SIT ExDa'!$B$2:$J$173, 3,FALSE), IFERROR(VLOOKUP($A100,'Telstra ExDa'!$B$2:$K$310, 5,FALSE), IFERROR(VLOOKUP($A100,'Vocus RVC ExDa'!$C$2:$R$155, 9,FALSE), IFERROR(VLOOKUP($A100,'Fusion ExDa'!$B$2:$D$16, 0,FALSE), IFERROR(VLOOKUP($A100,'Exetel ExDa'!$C$2:$N$14, 6,FALSE), IFERROR(VLOOKUP($A100,'Infinet ExDa'!$B$2:$E$14, 0,FALSE), "Not Found"))))))))</f>
        <v>HFC</v>
      </c>
      <c r="G100" t="str">
        <f>IFERROR(VLOOKUP($A100,'AAPT ExDa'!$B$2:$U$99, 5,FALSE), IFERROR(VLOOKUP($A100,'ABB ExDa'!$A$2:$N$184, 8,FALSE), IFERROR(VLOOKUP($A100,'Vocus SIT ExDa'!$B$2:$J$173, 6,FALSE), IFERROR(VLOOKUP($A100,'Telstra ExDa'!$B$2:$K$310, 0,FALSE), IFERROR(VLOOKUP($A100,'Vocus RVC ExDa'!$C$2:$R$155, 15,FALSE), IFERROR(VLOOKUP($A100,'Fusion ExDa'!$B$2:$D$16, 0,FALSE), IFERROR(VLOOKUP($A100,'Exetel ExDa'!$C$2:$N$14, 7,FALSE), IFERROR(VLOOKUP($A100,'Infinet ExDa'!$B$2:$E$14, 0,FALSE), "Not Found"))))))))</f>
        <v>180.181.209.84</v>
      </c>
      <c r="H100" t="str">
        <f>IFERROR(VLOOKUP($A100,'AAPT ExDa'!$B$2:$U$99, 6,FALSE), IFERROR(VLOOKUP($A100,'ABB ExDa'!$A$2:$N$184, 0,FALSE), IFERROR(VLOOKUP($A100,'Vocus SIT ExDa'!$B$2:$J$173, 0,FALSE), IFERROR(VLOOKUP($A100,'Telstra ExDa'!$B$2:$K$310, 0,FALSE), IFERROR(VLOOKUP($A100,'Vocus RVC ExDa'!$C$2:$R$155, 16,FALSE), IFERROR(VLOOKUP($A100,'Fusion ExDa'!$B$2:$D$16, 0,FALSE), IFERROR(VLOOKUP($A100,'Exetel ExDa'!$C$2:$N$14, 0,FALSE), IFERROR(VLOOKUP($A100,'Infinet ExDa'!$B$2:$E$14, 0,FALSE), "Not Found"))))))))</f>
        <v>Not Found</v>
      </c>
      <c r="I100" t="str">
        <f>IFERROR(VLOOKUP($A100,'AAPT ExDa'!$B$2:$U$99, 0,FALSE), IFERROR(VLOOKUP($A100,'ABB ExDa'!$A$2:$N$184, 0,FALSE), IFERROR(VLOOKUP($A100,'Vocus SIT ExDa'!$B$2:$J$173, 0,FALSE), IFERROR(VLOOKUP($A100,'Telstra ExDa'!$B$2:$K$310, 0,FALSE), IFERROR(VLOOKUP($A100,'Vocus RVC ExDa'!$C$2:$R$155, 0,FALSE), IFERROR(VLOOKUP($A100,'Fusion ExDa'!$B$2:$D$16, 0,FALSE), IFERROR(VLOOKUP($A100,'Exetel ExDa'!$C$2:$N$14, 8,FALSE), IFERROR(VLOOKUP($A100,'Infinet ExDa'!$B$2:$E$14, 0,FALSE), "Not Found"))))))))</f>
        <v>Not Found</v>
      </c>
      <c r="J100" t="str">
        <f>IFERROR(VLOOKUP($A100,'AAPT ExDa'!$B$2:$U$99, 7,FALSE), IFERROR(VLOOKUP($A100,'ABB ExDa'!$A$2:$N$184, 2,FALSE), IFERROR(VLOOKUP($A100,'Vocus SIT ExDa'!$B$2:$J$173, 0,FALSE), IFERROR(VLOOKUP($A100,'Telstra ExDa'!$B$2:$K$310, 7,FALSE), IFERROR(VLOOKUP($A100,'Vocus RVC ExDa'!$C$2:$R$155, 2,FALSE), IFERROR(VLOOKUP($A100,'Fusion ExDa'!$B$2:$D$16, 3,FALSE), IFERROR(VLOOKUP($A100,'Exetel ExDa'!$C$2:$N$14, 0,FALSE), IFERROR(VLOOKUP($A100,'Infinet ExDa'!$B$2:$E$14, 0,FALSE), "Not Found"))))))))</f>
        <v>39 MOULTON ST, ASHGROVE QLD</v>
      </c>
      <c r="K100" t="str">
        <f>IFERROR(VLOOKUP($A100,'AAPT ExDa'!$B$2:$U$99, 12,FALSE), IFERROR(VLOOKUP($A100,'ABB ExDa'!$A$2:$N$184, 0,FALSE), IFERROR(VLOOKUP($A100,'Vocus SIT ExDa'!$B$2:$J$173, 0,FALSE), IFERROR(VLOOKUP($A100,'Telstra ExDa'!$B$2:$K$310, 0,FALSE), IFERROR(VLOOKUP($A100,'Vocus RVC ExDa'!$C$2:$R$155, 0,FALSE), IFERROR(VLOOKUP($A100,'Fusion ExDa'!$B$2:$D$16, 0,FALSE), IFERROR(VLOOKUP($A100,'Exetel ExDa'!$C$2:$N$14, 12,FALSE), IFERROR(VLOOKUP($A100,'Infinet ExDa'!$B$2:$E$14, 0,FALSE), "Not Found"))))))))</f>
        <v>Not Found</v>
      </c>
      <c r="L100" s="235" t="str">
        <f>IFERROR(VLOOKUP($A100,'AAPT ExDa'!$B$2:$U$99, 11,FALSE), IFERROR(VLOOKUP($A100,'ABB ExDa'!$A$2:$N$184, 9,FALSE), IFERROR(VLOOKUP($A100,'Vocus SIT ExDa'!$B$2:$J$173, 8,FALSE), IFERROR(VLOOKUP($A100,'Telstra ExDa'!$B$2:$K$310, 0,FALSE), IFERROR(VLOOKUP($A100,'Vocus RVC ExDa'!$C$2:$R$155, 0,FALSE), IFERROR(VLOOKUP($A100,'Fusion ExDa'!$B$2:$D$16, 0,FALSE), IFERROR(VLOOKUP($A100,'Exetel ExDa'!$C$2:$N$14, 9,FALSE), IFERROR(VLOOKUP($A100,'Infinet ExDa'!$B$2:$E$14, 0,FALSE), "Not Found"))))))))</f>
        <v>30 May 2025</v>
      </c>
      <c r="M100" s="234" t="str">
        <f>IFERROR(VLOOKUP($A100,'AAPT ExDa'!$B$2:$U$99, 0,FALSE), IFERROR(VLOOKUP($A100,'ABB ExDa'!$A$2:$N$184, 0,FALSE), IFERROR(VLOOKUP($A100,'Vocus SIT ExDa'!$B$2:$J$173, 0,FALSE), IFERROR(VLOOKUP($A100,'Telstra ExDa'!$B$2:$K$310, 0,FALSE), IFERROR(VLOOKUP($A100,'Vocus RVC ExDa'!$C$2:$R$155, 0,FALSE), IFERROR(VLOOKUP($A100,'Fusion ExDa'!$B$2:$D$16, 0,FALSE), IFERROR(VLOOKUP($A100,'Exetel ExDa'!$C$2:$N$14, 11,FALSE), IFERROR(VLOOKUP($A100,'Infinet ExDa'!$B$2:$E$14, 0,FALSE), "Not Found"))))))))</f>
        <v>Not Found</v>
      </c>
      <c r="N100" t="str">
        <f>IFERROR(VLOOKUP($A100,'AAPT ExDa'!$B$2:$U$99, 0,FALSE), IFERROR(VLOOKUP($A100,'ABB ExDa'!$A$2:$N$184, 13,FALSE), IFERROR(VLOOKUP($A100,'Vocus SIT ExDa'!$B$2:$J$173, 0,FALSE), IFERROR(VLOOKUP($A100,'Telstra ExDa'!$B$2:$K$310, 0,FALSE), IFERROR(VLOOKUP($A100,'Vocus RVC ExDa'!$C$2:$R$155, 0,FALSE), IFERROR(VLOOKUP($A100,'Fusion ExDa'!$B$2:$D$16, 0,FALSE), IFERROR(VLOOKUP($A100,'Exetel ExDa'!$C$2:$N$14, 0,FALSE), IFERROR(VLOOKUP($A100,'Infinet ExDa'!$B$2:$E$14, 0,FALSE), "Not Found"))))))))</f>
        <v>Sasboss</v>
      </c>
    </row>
    <row r="101" spans="1:14">
      <c r="A101" t="str">
        <v>Active Living</v>
      </c>
      <c r="B101" t="str">
        <f>IFERROR(VLOOKUP(A101,'Exetel ExDa'!$C$2:$N$14,4,FALSE),"No Data")</f>
        <v>No Data</v>
      </c>
      <c r="C101" t="str">
        <f>IFERROR(VLOOKUP(A101,'AAPT ExDa'!$B$2:$U$99, 2,FALSE), IFERROR(VLOOKUP(A101,'ABB ExDa'!$A$2:$N$184, 2,FALSE), IFERROR(VLOOKUP(A101,'Vocus SIT ExDa'!$B$2:$J$173, 7,FALSE), IFERROR(VLOOKUP(A101,'Telstra ExDa'!$B$2:$K$310, 2,FALSE), IFERROR(VLOOKUP(A101,'Vocus RVC ExDa'!$C$2:$R$155, 3,FALSE), IFERROR(VLOOKUP(A101,'Fusion ExDa'!$B$2:$D$16, 2,FALSE), IFERROR(VLOOKUP(A101,'Exetel ExDa'!$C$2:$N$14, 2,FALSE), IFERROR(VLOOKUP(A101,'Infinet ExDa'!$B$2:$E$14, 2,FALSE), "Not Found"))))))))</f>
        <v>UN 3, 81 SIXTH AV, MAROOCHYDORE QLD</v>
      </c>
      <c r="D101" t="str">
        <f>IFERROR(VLOOKUP($A101,'AAPT ExDa'!$B$2:$U$99, 15,FALSE), IFERROR(VLOOKUP($A101,'ABB ExDa'!$A$2:$N$184, 4,FALSE), IFERROR(VLOOKUP($A101,'Vocus SIT ExDa'!$B$2:$J$173, 5,FALSE), IFERROR(VLOOKUP($A101,'Telstra ExDa'!$B$2:$K$310, 8,FALSE), IFERROR(VLOOKUP($A101,'Vocus RVC ExDa'!$C$2:$R$155, 6,FALSE), IFERROR(VLOOKUP($A101,'Fusion ExDa'!$B$2:$D$16, 4,FALSE), IFERROR(VLOOKUP($A101,'Exetel ExDa'!$C$2:$N$14, 3,FALSE), IFERROR(VLOOKUP($A101,'Infinet ExDa'!$B$2:$E$14, 3,FALSE), "Not Found"))))))))</f>
        <v>ABB</v>
      </c>
      <c r="E101" t="str">
        <f>IFERROR(VLOOKUP($A101,'AAPT ExDa'!$B$2:$U$99, 3,FALSE), IFERROR(VLOOKUP($A101,'ABB ExDa'!$A$2:$N$184, 5,FALSE), IFERROR(VLOOKUP($A101,'Vocus SIT ExDa'!$B$2:$J$173, 2,FALSE), IFERROR(VLOOKUP($A101,'Telstra ExDa'!$B$2:$K$310, 4,FALSE), IFERROR(VLOOKUP($A101,'Vocus RVC ExDa'!$C$2:$R$155, 8,FALSE), IFERROR(VLOOKUP($A101,'Fusion ExDa'!$B$2:$D$16, 4,FALSE), IFERROR(VLOOKUP($A101,'Exetel ExDa'!$C$2:$N$14, 5,FALSE), IFERROR(VLOOKUP($A101,'Infinet ExDa'!$B$2:$E$14, 3,FALSE), "Not Found"))))))))</f>
        <v>NBN 50/20</v>
      </c>
      <c r="F101" t="str">
        <f>IFERROR(VLOOKUP($A101,'AAPT ExDa'!$B$2:$U$99, 4,FALSE), IFERROR(VLOOKUP($A101,'ABB ExDa'!$A$2:$N$184, 6,FALSE), IFERROR(VLOOKUP($A101,'Vocus SIT ExDa'!$B$2:$J$173, 3,FALSE), IFERROR(VLOOKUP($A101,'Telstra ExDa'!$B$2:$K$310, 5,FALSE), IFERROR(VLOOKUP($A101,'Vocus RVC ExDa'!$C$2:$R$155, 9,FALSE), IFERROR(VLOOKUP($A101,'Fusion ExDa'!$B$2:$D$16, 0,FALSE), IFERROR(VLOOKUP($A101,'Exetel ExDa'!$C$2:$N$14, 6,FALSE), IFERROR(VLOOKUP($A101,'Infinet ExDa'!$B$2:$E$14, 0,FALSE), "Not Found"))))))))</f>
        <v>FTTN</v>
      </c>
      <c r="G101" t="str">
        <f>IFERROR(VLOOKUP($A101,'AAPT ExDa'!$B$2:$U$99, 5,FALSE), IFERROR(VLOOKUP($A101,'ABB ExDa'!$A$2:$N$184, 8,FALSE), IFERROR(VLOOKUP($A101,'Vocus SIT ExDa'!$B$2:$J$173, 6,FALSE), IFERROR(VLOOKUP($A101,'Telstra ExDa'!$B$2:$K$310, 0,FALSE), IFERROR(VLOOKUP($A101,'Vocus RVC ExDa'!$C$2:$R$155, 15,FALSE), IFERROR(VLOOKUP($A101,'Fusion ExDa'!$B$2:$D$16, 0,FALSE), IFERROR(VLOOKUP($A101,'Exetel ExDa'!$C$2:$N$14, 7,FALSE), IFERROR(VLOOKUP($A101,'Infinet ExDa'!$B$2:$E$14, 0,FALSE), "Not Found"))))))))</f>
        <v>144.6.103.243</v>
      </c>
      <c r="H101" t="str">
        <f>IFERROR(VLOOKUP($A101,'AAPT ExDa'!$B$2:$U$99, 6,FALSE), IFERROR(VLOOKUP($A101,'ABB ExDa'!$A$2:$N$184, 0,FALSE), IFERROR(VLOOKUP($A101,'Vocus SIT ExDa'!$B$2:$J$173, 0,FALSE), IFERROR(VLOOKUP($A101,'Telstra ExDa'!$B$2:$K$310, 0,FALSE), IFERROR(VLOOKUP($A101,'Vocus RVC ExDa'!$C$2:$R$155, 16,FALSE), IFERROR(VLOOKUP($A101,'Fusion ExDa'!$B$2:$D$16, 0,FALSE), IFERROR(VLOOKUP($A101,'Exetel ExDa'!$C$2:$N$14, 0,FALSE), IFERROR(VLOOKUP($A101,'Infinet ExDa'!$B$2:$E$14, 0,FALSE), "Not Found"))))))))</f>
        <v>Not Found</v>
      </c>
      <c r="I101" t="str">
        <f>IFERROR(VLOOKUP($A101,'AAPT ExDa'!$B$2:$U$99, 0,FALSE), IFERROR(VLOOKUP($A101,'ABB ExDa'!$A$2:$N$184, 0,FALSE), IFERROR(VLOOKUP($A101,'Vocus SIT ExDa'!$B$2:$J$173, 0,FALSE), IFERROR(VLOOKUP($A101,'Telstra ExDa'!$B$2:$K$310, 0,FALSE), IFERROR(VLOOKUP($A101,'Vocus RVC ExDa'!$C$2:$R$155, 0,FALSE), IFERROR(VLOOKUP($A101,'Fusion ExDa'!$B$2:$D$16, 0,FALSE), IFERROR(VLOOKUP($A101,'Exetel ExDa'!$C$2:$N$14, 8,FALSE), IFERROR(VLOOKUP($A101,'Infinet ExDa'!$B$2:$E$14, 0,FALSE), "Not Found"))))))))</f>
        <v>Not Found</v>
      </c>
      <c r="J101" t="str">
        <f>IFERROR(VLOOKUP($A101,'AAPT ExDa'!$B$2:$U$99, 7,FALSE), IFERROR(VLOOKUP($A101,'ABB ExDa'!$A$2:$N$184, 2,FALSE), IFERROR(VLOOKUP($A101,'Vocus SIT ExDa'!$B$2:$J$173, 0,FALSE), IFERROR(VLOOKUP($A101,'Telstra ExDa'!$B$2:$K$310, 7,FALSE), IFERROR(VLOOKUP($A101,'Vocus RVC ExDa'!$C$2:$R$155, 2,FALSE), IFERROR(VLOOKUP($A101,'Fusion ExDa'!$B$2:$D$16, 3,FALSE), IFERROR(VLOOKUP($A101,'Exetel ExDa'!$C$2:$N$14, 0,FALSE), IFERROR(VLOOKUP($A101,'Infinet ExDa'!$B$2:$E$14, 0,FALSE), "Not Found"))))))))</f>
        <v>UN 3, 81 SIXTH AV, MAROOCHYDORE QLD</v>
      </c>
      <c r="K101" t="str">
        <f>IFERROR(VLOOKUP($A101,'AAPT ExDa'!$B$2:$U$99, 12,FALSE), IFERROR(VLOOKUP($A101,'ABB ExDa'!$A$2:$N$184, 0,FALSE), IFERROR(VLOOKUP($A101,'Vocus SIT ExDa'!$B$2:$J$173, 0,FALSE), IFERROR(VLOOKUP($A101,'Telstra ExDa'!$B$2:$K$310, 0,FALSE), IFERROR(VLOOKUP($A101,'Vocus RVC ExDa'!$C$2:$R$155, 0,FALSE), IFERROR(VLOOKUP($A101,'Fusion ExDa'!$B$2:$D$16, 0,FALSE), IFERROR(VLOOKUP($A101,'Exetel ExDa'!$C$2:$N$14, 12,FALSE), IFERROR(VLOOKUP($A101,'Infinet ExDa'!$B$2:$E$14, 0,FALSE), "Not Found"))))))))</f>
        <v>Not Found</v>
      </c>
      <c r="L101" s="235" t="str">
        <f>IFERROR(VLOOKUP($A101,'AAPT ExDa'!$B$2:$U$99, 11,FALSE), IFERROR(VLOOKUP($A101,'ABB ExDa'!$A$2:$N$184, 9,FALSE), IFERROR(VLOOKUP($A101,'Vocus SIT ExDa'!$B$2:$J$173, 8,FALSE), IFERROR(VLOOKUP($A101,'Telstra ExDa'!$B$2:$K$310, 0,FALSE), IFERROR(VLOOKUP($A101,'Vocus RVC ExDa'!$C$2:$R$155, 0,FALSE), IFERROR(VLOOKUP($A101,'Fusion ExDa'!$B$2:$D$16, 0,FALSE), IFERROR(VLOOKUP($A101,'Exetel ExDa'!$C$2:$N$14, 9,FALSE), IFERROR(VLOOKUP($A101,'Infinet ExDa'!$B$2:$E$14, 0,FALSE), "Not Found"))))))))</f>
        <v>6 Dec 2024</v>
      </c>
      <c r="M101" s="234" t="str">
        <f>IFERROR(VLOOKUP($A101,'AAPT ExDa'!$B$2:$U$99, 0,FALSE), IFERROR(VLOOKUP($A101,'ABB ExDa'!$A$2:$N$184, 0,FALSE), IFERROR(VLOOKUP($A101,'Vocus SIT ExDa'!$B$2:$J$173, 0,FALSE), IFERROR(VLOOKUP($A101,'Telstra ExDa'!$B$2:$K$310, 0,FALSE), IFERROR(VLOOKUP($A101,'Vocus RVC ExDa'!$C$2:$R$155, 0,FALSE), IFERROR(VLOOKUP($A101,'Fusion ExDa'!$B$2:$D$16, 0,FALSE), IFERROR(VLOOKUP($A101,'Exetel ExDa'!$C$2:$N$14, 11,FALSE), IFERROR(VLOOKUP($A101,'Infinet ExDa'!$B$2:$E$14, 0,FALSE), "Not Found"))))))))</f>
        <v>Not Found</v>
      </c>
      <c r="N101" t="str">
        <f>IFERROR(VLOOKUP($A101,'AAPT ExDa'!$B$2:$U$99, 0,FALSE), IFERROR(VLOOKUP($A101,'ABB ExDa'!$A$2:$N$184, 13,FALSE), IFERROR(VLOOKUP($A101,'Vocus SIT ExDa'!$B$2:$J$173, 0,FALSE), IFERROR(VLOOKUP($A101,'Telstra ExDa'!$B$2:$K$310, 0,FALSE), IFERROR(VLOOKUP($A101,'Vocus RVC ExDa'!$C$2:$R$155, 0,FALSE), IFERROR(VLOOKUP($A101,'Fusion ExDa'!$B$2:$D$16, 0,FALSE), IFERROR(VLOOKUP($A101,'Exetel ExDa'!$C$2:$N$14, 0,FALSE), IFERROR(VLOOKUP($A101,'Infinet ExDa'!$B$2:$E$14, 0,FALSE), "Not Found"))))))))</f>
        <v>Sasboss</v>
      </c>
    </row>
    <row r="102" spans="1:14">
      <c r="A102" t="str">
        <v>Aromas Noosa</v>
      </c>
      <c r="B102" t="str">
        <f>IFERROR(VLOOKUP(A102,'Exetel ExDa'!$C$2:$N$14,4,FALSE),"No Data")</f>
        <v>No Data</v>
      </c>
      <c r="C102" t="str">
        <f>IFERROR(VLOOKUP(A102,'AAPT ExDa'!$B$2:$U$99, 2,FALSE), IFERROR(VLOOKUP(A102,'ABB ExDa'!$A$2:$N$184, 2,FALSE), IFERROR(VLOOKUP(A102,'Vocus SIT ExDa'!$B$2:$J$173, 7,FALSE), IFERROR(VLOOKUP(A102,'Telstra ExDa'!$B$2:$K$310, 2,FALSE), IFERROR(VLOOKUP(A102,'Vocus RVC ExDa'!$C$2:$R$155, 3,FALSE), IFERROR(VLOOKUP(A102,'Fusion ExDa'!$B$2:$D$16, 2,FALSE), IFERROR(VLOOKUP(A102,'Exetel ExDa'!$C$2:$N$14, 2,FALSE), IFERROR(VLOOKUP(A102,'Infinet ExDa'!$B$2:$E$14, 2,FALSE), "Not Found"))))))))</f>
        <v>LAGUNA ON HASTINGS SHOP 7, 32 HASTINGS ST, NOOSA HEADS QLD</v>
      </c>
      <c r="D102" t="str">
        <f>IFERROR(VLOOKUP($A102,'AAPT ExDa'!$B$2:$U$99, 15,FALSE), IFERROR(VLOOKUP($A102,'ABB ExDa'!$A$2:$N$184, 4,FALSE), IFERROR(VLOOKUP($A102,'Vocus SIT ExDa'!$B$2:$J$173, 5,FALSE), IFERROR(VLOOKUP($A102,'Telstra ExDa'!$B$2:$K$310, 8,FALSE), IFERROR(VLOOKUP($A102,'Vocus RVC ExDa'!$C$2:$R$155, 6,FALSE), IFERROR(VLOOKUP($A102,'Fusion ExDa'!$B$2:$D$16, 4,FALSE), IFERROR(VLOOKUP($A102,'Exetel ExDa'!$C$2:$N$14, 3,FALSE), IFERROR(VLOOKUP($A102,'Infinet ExDa'!$B$2:$E$14, 3,FALSE), "Not Found"))))))))</f>
        <v>ABB</v>
      </c>
      <c r="E102" t="str">
        <f>IFERROR(VLOOKUP($A102,'AAPT ExDa'!$B$2:$U$99, 3,FALSE), IFERROR(VLOOKUP($A102,'ABB ExDa'!$A$2:$N$184, 5,FALSE), IFERROR(VLOOKUP($A102,'Vocus SIT ExDa'!$B$2:$J$173, 2,FALSE), IFERROR(VLOOKUP($A102,'Telstra ExDa'!$B$2:$K$310, 4,FALSE), IFERROR(VLOOKUP($A102,'Vocus RVC ExDa'!$C$2:$R$155, 8,FALSE), IFERROR(VLOOKUP($A102,'Fusion ExDa'!$B$2:$D$16, 4,FALSE), IFERROR(VLOOKUP($A102,'Exetel ExDa'!$C$2:$N$14, 5,FALSE), IFERROR(VLOOKUP($A102,'Infinet ExDa'!$B$2:$E$14, 3,FALSE), "Not Found"))))))))</f>
        <v>NBN 50/20</v>
      </c>
      <c r="F102" t="str">
        <f>IFERROR(VLOOKUP($A102,'AAPT ExDa'!$B$2:$U$99, 4,FALSE), IFERROR(VLOOKUP($A102,'ABB ExDa'!$A$2:$N$184, 6,FALSE), IFERROR(VLOOKUP($A102,'Vocus SIT ExDa'!$B$2:$J$173, 3,FALSE), IFERROR(VLOOKUP($A102,'Telstra ExDa'!$B$2:$K$310, 5,FALSE), IFERROR(VLOOKUP($A102,'Vocus RVC ExDa'!$C$2:$R$155, 9,FALSE), IFERROR(VLOOKUP($A102,'Fusion ExDa'!$B$2:$D$16, 0,FALSE), IFERROR(VLOOKUP($A102,'Exetel ExDa'!$C$2:$N$14, 6,FALSE), IFERROR(VLOOKUP($A102,'Infinet ExDa'!$B$2:$E$14, 0,FALSE), "Not Found"))))))))</f>
        <v>FTTN</v>
      </c>
      <c r="G102" t="str">
        <f>IFERROR(VLOOKUP($A102,'AAPT ExDa'!$B$2:$U$99, 5,FALSE), IFERROR(VLOOKUP($A102,'ABB ExDa'!$A$2:$N$184, 8,FALSE), IFERROR(VLOOKUP($A102,'Vocus SIT ExDa'!$B$2:$J$173, 6,FALSE), IFERROR(VLOOKUP($A102,'Telstra ExDa'!$B$2:$K$310, 0,FALSE), IFERROR(VLOOKUP($A102,'Vocus RVC ExDa'!$C$2:$R$155, 15,FALSE), IFERROR(VLOOKUP($A102,'Fusion ExDa'!$B$2:$D$16, 0,FALSE), IFERROR(VLOOKUP($A102,'Exetel ExDa'!$C$2:$N$14, 7,FALSE), IFERROR(VLOOKUP($A102,'Infinet ExDa'!$B$2:$E$14, 0,FALSE), "Not Found"))))))))</f>
        <v>144.6.114.214</v>
      </c>
      <c r="H102" t="str">
        <f>IFERROR(VLOOKUP($A102,'AAPT ExDa'!$B$2:$U$99, 6,FALSE), IFERROR(VLOOKUP($A102,'ABB ExDa'!$A$2:$N$184, 0,FALSE), IFERROR(VLOOKUP($A102,'Vocus SIT ExDa'!$B$2:$J$173, 0,FALSE), IFERROR(VLOOKUP($A102,'Telstra ExDa'!$B$2:$K$310, 0,FALSE), IFERROR(VLOOKUP($A102,'Vocus RVC ExDa'!$C$2:$R$155, 16,FALSE), IFERROR(VLOOKUP($A102,'Fusion ExDa'!$B$2:$D$16, 0,FALSE), IFERROR(VLOOKUP($A102,'Exetel ExDa'!$C$2:$N$14, 0,FALSE), IFERROR(VLOOKUP($A102,'Infinet ExDa'!$B$2:$E$14, 0,FALSE), "Not Found"))))))))</f>
        <v>Not Found</v>
      </c>
      <c r="I102" t="str">
        <f>IFERROR(VLOOKUP($A102,'AAPT ExDa'!$B$2:$U$99, 0,FALSE), IFERROR(VLOOKUP($A102,'ABB ExDa'!$A$2:$N$184, 0,FALSE), IFERROR(VLOOKUP($A102,'Vocus SIT ExDa'!$B$2:$J$173, 0,FALSE), IFERROR(VLOOKUP($A102,'Telstra ExDa'!$B$2:$K$310, 0,FALSE), IFERROR(VLOOKUP($A102,'Vocus RVC ExDa'!$C$2:$R$155, 0,FALSE), IFERROR(VLOOKUP($A102,'Fusion ExDa'!$B$2:$D$16, 0,FALSE), IFERROR(VLOOKUP($A102,'Exetel ExDa'!$C$2:$N$14, 8,FALSE), IFERROR(VLOOKUP($A102,'Infinet ExDa'!$B$2:$E$14, 0,FALSE), "Not Found"))))))))</f>
        <v>Not Found</v>
      </c>
      <c r="J102" t="str">
        <f>IFERROR(VLOOKUP($A102,'AAPT ExDa'!$B$2:$U$99, 7,FALSE), IFERROR(VLOOKUP($A102,'ABB ExDa'!$A$2:$N$184, 2,FALSE), IFERROR(VLOOKUP($A102,'Vocus SIT ExDa'!$B$2:$J$173, 0,FALSE), IFERROR(VLOOKUP($A102,'Telstra ExDa'!$B$2:$K$310, 7,FALSE), IFERROR(VLOOKUP($A102,'Vocus RVC ExDa'!$C$2:$R$155, 2,FALSE), IFERROR(VLOOKUP($A102,'Fusion ExDa'!$B$2:$D$16, 3,FALSE), IFERROR(VLOOKUP($A102,'Exetel ExDa'!$C$2:$N$14, 0,FALSE), IFERROR(VLOOKUP($A102,'Infinet ExDa'!$B$2:$E$14, 0,FALSE), "Not Found"))))))))</f>
        <v>LAGUNA ON HASTINGS SHOP 7, 32 HASTINGS ST, NOOSA HEADS QLD</v>
      </c>
      <c r="K102" t="str">
        <f>IFERROR(VLOOKUP($A102,'AAPT ExDa'!$B$2:$U$99, 12,FALSE), IFERROR(VLOOKUP($A102,'ABB ExDa'!$A$2:$N$184, 0,FALSE), IFERROR(VLOOKUP($A102,'Vocus SIT ExDa'!$B$2:$J$173, 0,FALSE), IFERROR(VLOOKUP($A102,'Telstra ExDa'!$B$2:$K$310, 0,FALSE), IFERROR(VLOOKUP($A102,'Vocus RVC ExDa'!$C$2:$R$155, 0,FALSE), IFERROR(VLOOKUP($A102,'Fusion ExDa'!$B$2:$D$16, 0,FALSE), IFERROR(VLOOKUP($A102,'Exetel ExDa'!$C$2:$N$14, 12,FALSE), IFERROR(VLOOKUP($A102,'Infinet ExDa'!$B$2:$E$14, 0,FALSE), "Not Found"))))))))</f>
        <v>Not Found</v>
      </c>
      <c r="L102" s="235" t="str">
        <f>IFERROR(VLOOKUP($A102,'AAPT ExDa'!$B$2:$U$99, 11,FALSE), IFERROR(VLOOKUP($A102,'ABB ExDa'!$A$2:$N$184, 9,FALSE), IFERROR(VLOOKUP($A102,'Vocus SIT ExDa'!$B$2:$J$173, 8,FALSE), IFERROR(VLOOKUP($A102,'Telstra ExDa'!$B$2:$K$310, 0,FALSE), IFERROR(VLOOKUP($A102,'Vocus RVC ExDa'!$C$2:$R$155, 0,FALSE), IFERROR(VLOOKUP($A102,'Fusion ExDa'!$B$2:$D$16, 0,FALSE), IFERROR(VLOOKUP($A102,'Exetel ExDa'!$C$2:$N$14, 9,FALSE), IFERROR(VLOOKUP($A102,'Infinet ExDa'!$B$2:$E$14, 0,FALSE), "Not Found"))))))))</f>
        <v>6 Dec 2024</v>
      </c>
      <c r="M102" s="234" t="str">
        <f>IFERROR(VLOOKUP($A102,'AAPT ExDa'!$B$2:$U$99, 0,FALSE), IFERROR(VLOOKUP($A102,'ABB ExDa'!$A$2:$N$184, 0,FALSE), IFERROR(VLOOKUP($A102,'Vocus SIT ExDa'!$B$2:$J$173, 0,FALSE), IFERROR(VLOOKUP($A102,'Telstra ExDa'!$B$2:$K$310, 0,FALSE), IFERROR(VLOOKUP($A102,'Vocus RVC ExDa'!$C$2:$R$155, 0,FALSE), IFERROR(VLOOKUP($A102,'Fusion ExDa'!$B$2:$D$16, 0,FALSE), IFERROR(VLOOKUP($A102,'Exetel ExDa'!$C$2:$N$14, 11,FALSE), IFERROR(VLOOKUP($A102,'Infinet ExDa'!$B$2:$E$14, 0,FALSE), "Not Found"))))))))</f>
        <v>Not Found</v>
      </c>
      <c r="N102" t="str">
        <f>IFERROR(VLOOKUP($A102,'AAPT ExDa'!$B$2:$U$99, 0,FALSE), IFERROR(VLOOKUP($A102,'ABB ExDa'!$A$2:$N$184, 13,FALSE), IFERROR(VLOOKUP($A102,'Vocus SIT ExDa'!$B$2:$J$173, 0,FALSE), IFERROR(VLOOKUP($A102,'Telstra ExDa'!$B$2:$K$310, 0,FALSE), IFERROR(VLOOKUP($A102,'Vocus RVC ExDa'!$C$2:$R$155, 0,FALSE), IFERROR(VLOOKUP($A102,'Fusion ExDa'!$B$2:$D$16, 0,FALSE), IFERROR(VLOOKUP($A102,'Exetel ExDa'!$C$2:$N$14, 0,FALSE), IFERROR(VLOOKUP($A102,'Infinet ExDa'!$B$2:$E$14, 0,FALSE), "Not Found"))))))))</f>
        <v>Sasboss</v>
      </c>
    </row>
    <row r="103" spans="1:14">
      <c r="A103" t="str">
        <v>ASG Adam's House</v>
      </c>
      <c r="B103" t="str">
        <f>IFERROR(VLOOKUP(A103,'Exetel ExDa'!$C$2:$N$14,4,FALSE),"No Data")</f>
        <v>No Data</v>
      </c>
      <c r="C103" t="str">
        <f>IFERROR(VLOOKUP(A103,'AAPT ExDa'!$B$2:$U$99, 2,FALSE), IFERROR(VLOOKUP(A103,'ABB ExDa'!$A$2:$N$184, 2,FALSE), IFERROR(VLOOKUP(A103,'Vocus SIT ExDa'!$B$2:$J$173, 7,FALSE), IFERROR(VLOOKUP(A103,'Telstra ExDa'!$B$2:$K$310, 2,FALSE), IFERROR(VLOOKUP(A103,'Vocus RVC ExDa'!$C$2:$R$155, 3,FALSE), IFERROR(VLOOKUP(A103,'Fusion ExDa'!$B$2:$D$16, 2,FALSE), IFERROR(VLOOKUP(A103,'Exetel ExDa'!$C$2:$N$14, 2,FALSE), IFERROR(VLOOKUP(A103,'Infinet ExDa'!$B$2:$E$14, 2,FALSE), "Not Found"))))))))</f>
        <v>13 WINFIELD RD, ORMEAU QLD</v>
      </c>
      <c r="D103" t="str">
        <f>IFERROR(VLOOKUP($A103,'AAPT ExDa'!$B$2:$U$99, 15,FALSE), IFERROR(VLOOKUP($A103,'ABB ExDa'!$A$2:$N$184, 4,FALSE), IFERROR(VLOOKUP($A103,'Vocus SIT ExDa'!$B$2:$J$173, 5,FALSE), IFERROR(VLOOKUP($A103,'Telstra ExDa'!$B$2:$K$310, 8,FALSE), IFERROR(VLOOKUP($A103,'Vocus RVC ExDa'!$C$2:$R$155, 6,FALSE), IFERROR(VLOOKUP($A103,'Fusion ExDa'!$B$2:$D$16, 4,FALSE), IFERROR(VLOOKUP($A103,'Exetel ExDa'!$C$2:$N$14, 3,FALSE), IFERROR(VLOOKUP($A103,'Infinet ExDa'!$B$2:$E$14, 3,FALSE), "Not Found"))))))))</f>
        <v>ABB</v>
      </c>
      <c r="E103" t="str">
        <f>IFERROR(VLOOKUP($A103,'AAPT ExDa'!$B$2:$U$99, 3,FALSE), IFERROR(VLOOKUP($A103,'ABB ExDa'!$A$2:$N$184, 5,FALSE), IFERROR(VLOOKUP($A103,'Vocus SIT ExDa'!$B$2:$J$173, 2,FALSE), IFERROR(VLOOKUP($A103,'Telstra ExDa'!$B$2:$K$310, 4,FALSE), IFERROR(VLOOKUP($A103,'Vocus RVC ExDa'!$C$2:$R$155, 8,FALSE), IFERROR(VLOOKUP($A103,'Fusion ExDa'!$B$2:$D$16, 4,FALSE), IFERROR(VLOOKUP($A103,'Exetel ExDa'!$C$2:$N$14, 5,FALSE), IFERROR(VLOOKUP($A103,'Infinet ExDa'!$B$2:$E$14, 3,FALSE), "Not Found"))))))))</f>
        <v>NBN 100/40</v>
      </c>
      <c r="F103" t="str">
        <f>IFERROR(VLOOKUP($A103,'AAPT ExDa'!$B$2:$U$99, 4,FALSE), IFERROR(VLOOKUP($A103,'ABB ExDa'!$A$2:$N$184, 6,FALSE), IFERROR(VLOOKUP($A103,'Vocus SIT ExDa'!$B$2:$J$173, 3,FALSE), IFERROR(VLOOKUP($A103,'Telstra ExDa'!$B$2:$K$310, 5,FALSE), IFERROR(VLOOKUP($A103,'Vocus RVC ExDa'!$C$2:$R$155, 9,FALSE), IFERROR(VLOOKUP($A103,'Fusion ExDa'!$B$2:$D$16, 0,FALSE), IFERROR(VLOOKUP($A103,'Exetel ExDa'!$C$2:$N$14, 6,FALSE), IFERROR(VLOOKUP($A103,'Infinet ExDa'!$B$2:$E$14, 0,FALSE), "Not Found"))))))))</f>
        <v xml:space="preserve">FTTN </v>
      </c>
      <c r="G103" t="str">
        <f>IFERROR(VLOOKUP($A103,'AAPT ExDa'!$B$2:$U$99, 5,FALSE), IFERROR(VLOOKUP($A103,'ABB ExDa'!$A$2:$N$184, 8,FALSE), IFERROR(VLOOKUP($A103,'Vocus SIT ExDa'!$B$2:$J$173, 6,FALSE), IFERROR(VLOOKUP($A103,'Telstra ExDa'!$B$2:$K$310, 0,FALSE), IFERROR(VLOOKUP($A103,'Vocus RVC ExDa'!$C$2:$R$155, 15,FALSE), IFERROR(VLOOKUP($A103,'Fusion ExDa'!$B$2:$D$16, 0,FALSE), IFERROR(VLOOKUP($A103,'Exetel ExDa'!$C$2:$N$14, 7,FALSE), IFERROR(VLOOKUP($A103,'Infinet ExDa'!$B$2:$E$14, 0,FALSE), "Not Found"))))))))</f>
        <v>159.196.40.63</v>
      </c>
      <c r="H103" t="str">
        <f>IFERROR(VLOOKUP($A103,'AAPT ExDa'!$B$2:$U$99, 6,FALSE), IFERROR(VLOOKUP($A103,'ABB ExDa'!$A$2:$N$184, 0,FALSE), IFERROR(VLOOKUP($A103,'Vocus SIT ExDa'!$B$2:$J$173, 0,FALSE), IFERROR(VLOOKUP($A103,'Telstra ExDa'!$B$2:$K$310, 0,FALSE), IFERROR(VLOOKUP($A103,'Vocus RVC ExDa'!$C$2:$R$155, 16,FALSE), IFERROR(VLOOKUP($A103,'Fusion ExDa'!$B$2:$D$16, 0,FALSE), IFERROR(VLOOKUP($A103,'Exetel ExDa'!$C$2:$N$14, 0,FALSE), IFERROR(VLOOKUP($A103,'Infinet ExDa'!$B$2:$E$14, 0,FALSE), "Not Found"))))))))</f>
        <v>Not Found</v>
      </c>
      <c r="I103" t="str">
        <f>IFERROR(VLOOKUP($A103,'AAPT ExDa'!$B$2:$U$99, 0,FALSE), IFERROR(VLOOKUP($A103,'ABB ExDa'!$A$2:$N$184, 0,FALSE), IFERROR(VLOOKUP($A103,'Vocus SIT ExDa'!$B$2:$J$173, 0,FALSE), IFERROR(VLOOKUP($A103,'Telstra ExDa'!$B$2:$K$310, 0,FALSE), IFERROR(VLOOKUP($A103,'Vocus RVC ExDa'!$C$2:$R$155, 0,FALSE), IFERROR(VLOOKUP($A103,'Fusion ExDa'!$B$2:$D$16, 0,FALSE), IFERROR(VLOOKUP($A103,'Exetel ExDa'!$C$2:$N$14, 8,FALSE), IFERROR(VLOOKUP($A103,'Infinet ExDa'!$B$2:$E$14, 0,FALSE), "Not Found"))))))))</f>
        <v>Not Found</v>
      </c>
      <c r="J103" t="str">
        <f>IFERROR(VLOOKUP($A103,'AAPT ExDa'!$B$2:$U$99, 7,FALSE), IFERROR(VLOOKUP($A103,'ABB ExDa'!$A$2:$N$184, 2,FALSE), IFERROR(VLOOKUP($A103,'Vocus SIT ExDa'!$B$2:$J$173, 0,FALSE), IFERROR(VLOOKUP($A103,'Telstra ExDa'!$B$2:$K$310, 7,FALSE), IFERROR(VLOOKUP($A103,'Vocus RVC ExDa'!$C$2:$R$155, 2,FALSE), IFERROR(VLOOKUP($A103,'Fusion ExDa'!$B$2:$D$16, 3,FALSE), IFERROR(VLOOKUP($A103,'Exetel ExDa'!$C$2:$N$14, 0,FALSE), IFERROR(VLOOKUP($A103,'Infinet ExDa'!$B$2:$E$14, 0,FALSE), "Not Found"))))))))</f>
        <v>13 WINFIELD RD, ORMEAU QLD</v>
      </c>
      <c r="K103" t="str">
        <f>IFERROR(VLOOKUP($A103,'AAPT ExDa'!$B$2:$U$99, 12,FALSE), IFERROR(VLOOKUP($A103,'ABB ExDa'!$A$2:$N$184, 0,FALSE), IFERROR(VLOOKUP($A103,'Vocus SIT ExDa'!$B$2:$J$173, 0,FALSE), IFERROR(VLOOKUP($A103,'Telstra ExDa'!$B$2:$K$310, 0,FALSE), IFERROR(VLOOKUP($A103,'Vocus RVC ExDa'!$C$2:$R$155, 0,FALSE), IFERROR(VLOOKUP($A103,'Fusion ExDa'!$B$2:$D$16, 0,FALSE), IFERROR(VLOOKUP($A103,'Exetel ExDa'!$C$2:$N$14, 12,FALSE), IFERROR(VLOOKUP($A103,'Infinet ExDa'!$B$2:$E$14, 0,FALSE), "Not Found"))))))))</f>
        <v>Not Found</v>
      </c>
      <c r="L103" s="235" t="str">
        <f>IFERROR(VLOOKUP($A103,'AAPT ExDa'!$B$2:$U$99, 11,FALSE), IFERROR(VLOOKUP($A103,'ABB ExDa'!$A$2:$N$184, 9,FALSE), IFERROR(VLOOKUP($A103,'Vocus SIT ExDa'!$B$2:$J$173, 8,FALSE), IFERROR(VLOOKUP($A103,'Telstra ExDa'!$B$2:$K$310, 0,FALSE), IFERROR(VLOOKUP($A103,'Vocus RVC ExDa'!$C$2:$R$155, 0,FALSE), IFERROR(VLOOKUP($A103,'Fusion ExDa'!$B$2:$D$16, 0,FALSE), IFERROR(VLOOKUP($A103,'Exetel ExDa'!$C$2:$N$14, 9,FALSE), IFERROR(VLOOKUP($A103,'Infinet ExDa'!$B$2:$E$14, 0,FALSE), "Not Found"))))))))</f>
        <v>29 Mar 2023</v>
      </c>
      <c r="M103" s="234" t="str">
        <f>IFERROR(VLOOKUP($A103,'AAPT ExDa'!$B$2:$U$99, 0,FALSE), IFERROR(VLOOKUP($A103,'ABB ExDa'!$A$2:$N$184, 0,FALSE), IFERROR(VLOOKUP($A103,'Vocus SIT ExDa'!$B$2:$J$173, 0,FALSE), IFERROR(VLOOKUP($A103,'Telstra ExDa'!$B$2:$K$310, 0,FALSE), IFERROR(VLOOKUP($A103,'Vocus RVC ExDa'!$C$2:$R$155, 0,FALSE), IFERROR(VLOOKUP($A103,'Fusion ExDa'!$B$2:$D$16, 0,FALSE), IFERROR(VLOOKUP($A103,'Exetel ExDa'!$C$2:$N$14, 11,FALSE), IFERROR(VLOOKUP($A103,'Infinet ExDa'!$B$2:$E$14, 0,FALSE), "Not Found"))))))))</f>
        <v>Not Found</v>
      </c>
      <c r="N103" t="str">
        <f>IFERROR(VLOOKUP($A103,'AAPT ExDa'!$B$2:$U$99, 0,FALSE), IFERROR(VLOOKUP($A103,'ABB ExDa'!$A$2:$N$184, 13,FALSE), IFERROR(VLOOKUP($A103,'Vocus SIT ExDa'!$B$2:$J$173, 0,FALSE), IFERROR(VLOOKUP($A103,'Telstra ExDa'!$B$2:$K$310, 0,FALSE), IFERROR(VLOOKUP($A103,'Vocus RVC ExDa'!$C$2:$R$155, 0,FALSE), IFERROR(VLOOKUP($A103,'Fusion ExDa'!$B$2:$D$16, 0,FALSE), IFERROR(VLOOKUP($A103,'Exetel ExDa'!$C$2:$N$14, 0,FALSE), IFERROR(VLOOKUP($A103,'Infinet ExDa'!$B$2:$E$14, 0,FALSE), "Not Found"))))))))</f>
        <v>Datagate</v>
      </c>
    </row>
    <row r="104" spans="1:14">
      <c r="A104" t="str">
        <v>Atlantis Pool Shop</v>
      </c>
      <c r="B104" t="str">
        <f>IFERROR(VLOOKUP(A104,'Exetel ExDa'!$C$2:$N$14,4,FALSE),"No Data")</f>
        <v>No Data</v>
      </c>
      <c r="C104" t="str">
        <f>IFERROR(VLOOKUP(A104,'AAPT ExDa'!$B$2:$U$99, 2,FALSE), IFERROR(VLOOKUP(A104,'ABB ExDa'!$A$2:$N$184, 2,FALSE), IFERROR(VLOOKUP(A104,'Vocus SIT ExDa'!$B$2:$J$173, 7,FALSE), IFERROR(VLOOKUP(A104,'Telstra ExDa'!$B$2:$K$310, 2,FALSE), IFERROR(VLOOKUP(A104,'Vocus RVC ExDa'!$C$2:$R$155, 3,FALSE), IFERROR(VLOOKUP(A104,'Fusion ExDa'!$B$2:$D$16, 2,FALSE), IFERROR(VLOOKUP(A104,'Exetel ExDa'!$C$2:$N$14, 2,FALSE), IFERROR(VLOOKUP(A104,'Infinet ExDa'!$B$2:$E$14, 2,FALSE), "Not Found"))))))))</f>
        <v>UN 4, 14 BURKE CR, NORTH LAKES QLD</v>
      </c>
      <c r="D104" t="str">
        <f>IFERROR(VLOOKUP($A104,'AAPT ExDa'!$B$2:$U$99, 15,FALSE), IFERROR(VLOOKUP($A104,'ABB ExDa'!$A$2:$N$184, 4,FALSE), IFERROR(VLOOKUP($A104,'Vocus SIT ExDa'!$B$2:$J$173, 5,FALSE), IFERROR(VLOOKUP($A104,'Telstra ExDa'!$B$2:$K$310, 8,FALSE), IFERROR(VLOOKUP($A104,'Vocus RVC ExDa'!$C$2:$R$155, 6,FALSE), IFERROR(VLOOKUP($A104,'Fusion ExDa'!$B$2:$D$16, 4,FALSE), IFERROR(VLOOKUP($A104,'Exetel ExDa'!$C$2:$N$14, 3,FALSE), IFERROR(VLOOKUP($A104,'Infinet ExDa'!$B$2:$E$14, 3,FALSE), "Not Found"))))))))</f>
        <v>ABB</v>
      </c>
      <c r="E104" t="str">
        <f>IFERROR(VLOOKUP($A104,'AAPT ExDa'!$B$2:$U$99, 3,FALSE), IFERROR(VLOOKUP($A104,'ABB ExDa'!$A$2:$N$184, 5,FALSE), IFERROR(VLOOKUP($A104,'Vocus SIT ExDa'!$B$2:$J$173, 2,FALSE), IFERROR(VLOOKUP($A104,'Telstra ExDa'!$B$2:$K$310, 4,FALSE), IFERROR(VLOOKUP($A104,'Vocus RVC ExDa'!$C$2:$R$155, 8,FALSE), IFERROR(VLOOKUP($A104,'Fusion ExDa'!$B$2:$D$16, 4,FALSE), IFERROR(VLOOKUP($A104,'Exetel ExDa'!$C$2:$N$14, 5,FALSE), IFERROR(VLOOKUP($A104,'Infinet ExDa'!$B$2:$E$14, 3,FALSE), "Not Found"))))))))</f>
        <v>NBN 50/20</v>
      </c>
      <c r="F104" t="str">
        <f>IFERROR(VLOOKUP($A104,'AAPT ExDa'!$B$2:$U$99, 4,FALSE), IFERROR(VLOOKUP($A104,'ABB ExDa'!$A$2:$N$184, 6,FALSE), IFERROR(VLOOKUP($A104,'Vocus SIT ExDa'!$B$2:$J$173, 3,FALSE), IFERROR(VLOOKUP($A104,'Telstra ExDa'!$B$2:$K$310, 5,FALSE), IFERROR(VLOOKUP($A104,'Vocus RVC ExDa'!$C$2:$R$155, 9,FALSE), IFERROR(VLOOKUP($A104,'Fusion ExDa'!$B$2:$D$16, 0,FALSE), IFERROR(VLOOKUP($A104,'Exetel ExDa'!$C$2:$N$14, 6,FALSE), IFERROR(VLOOKUP($A104,'Infinet ExDa'!$B$2:$E$14, 0,FALSE), "Not Found"))))))))</f>
        <v>FTTN</v>
      </c>
      <c r="G104" t="str">
        <f>IFERROR(VLOOKUP($A104,'AAPT ExDa'!$B$2:$U$99, 5,FALSE), IFERROR(VLOOKUP($A104,'ABB ExDa'!$A$2:$N$184, 8,FALSE), IFERROR(VLOOKUP($A104,'Vocus SIT ExDa'!$B$2:$J$173, 6,FALSE), IFERROR(VLOOKUP($A104,'Telstra ExDa'!$B$2:$K$310, 0,FALSE), IFERROR(VLOOKUP($A104,'Vocus RVC ExDa'!$C$2:$R$155, 15,FALSE), IFERROR(VLOOKUP($A104,'Fusion ExDa'!$B$2:$D$16, 0,FALSE), IFERROR(VLOOKUP($A104,'Exetel ExDa'!$C$2:$N$14, 7,FALSE), IFERROR(VLOOKUP($A104,'Infinet ExDa'!$B$2:$E$14, 0,FALSE), "Not Found"))))))))</f>
        <v>119.18.33.212</v>
      </c>
      <c r="H104" t="str">
        <f>IFERROR(VLOOKUP($A104,'AAPT ExDa'!$B$2:$U$99, 6,FALSE), IFERROR(VLOOKUP($A104,'ABB ExDa'!$A$2:$N$184, 0,FALSE), IFERROR(VLOOKUP($A104,'Vocus SIT ExDa'!$B$2:$J$173, 0,FALSE), IFERROR(VLOOKUP($A104,'Telstra ExDa'!$B$2:$K$310, 0,FALSE), IFERROR(VLOOKUP($A104,'Vocus RVC ExDa'!$C$2:$R$155, 16,FALSE), IFERROR(VLOOKUP($A104,'Fusion ExDa'!$B$2:$D$16, 0,FALSE), IFERROR(VLOOKUP($A104,'Exetel ExDa'!$C$2:$N$14, 0,FALSE), IFERROR(VLOOKUP($A104,'Infinet ExDa'!$B$2:$E$14, 0,FALSE), "Not Found"))))))))</f>
        <v>Not Found</v>
      </c>
      <c r="I104" t="str">
        <f>IFERROR(VLOOKUP($A104,'AAPT ExDa'!$B$2:$U$99, 0,FALSE), IFERROR(VLOOKUP($A104,'ABB ExDa'!$A$2:$N$184, 0,FALSE), IFERROR(VLOOKUP($A104,'Vocus SIT ExDa'!$B$2:$J$173, 0,FALSE), IFERROR(VLOOKUP($A104,'Telstra ExDa'!$B$2:$K$310, 0,FALSE), IFERROR(VLOOKUP($A104,'Vocus RVC ExDa'!$C$2:$R$155, 0,FALSE), IFERROR(VLOOKUP($A104,'Fusion ExDa'!$B$2:$D$16, 0,FALSE), IFERROR(VLOOKUP($A104,'Exetel ExDa'!$C$2:$N$14, 8,FALSE), IFERROR(VLOOKUP($A104,'Infinet ExDa'!$B$2:$E$14, 0,FALSE), "Not Found"))))))))</f>
        <v>Not Found</v>
      </c>
      <c r="J104" t="str">
        <f>IFERROR(VLOOKUP($A104,'AAPT ExDa'!$B$2:$U$99, 7,FALSE), IFERROR(VLOOKUP($A104,'ABB ExDa'!$A$2:$N$184, 2,FALSE), IFERROR(VLOOKUP($A104,'Vocus SIT ExDa'!$B$2:$J$173, 0,FALSE), IFERROR(VLOOKUP($A104,'Telstra ExDa'!$B$2:$K$310, 7,FALSE), IFERROR(VLOOKUP($A104,'Vocus RVC ExDa'!$C$2:$R$155, 2,FALSE), IFERROR(VLOOKUP($A104,'Fusion ExDa'!$B$2:$D$16, 3,FALSE), IFERROR(VLOOKUP($A104,'Exetel ExDa'!$C$2:$N$14, 0,FALSE), IFERROR(VLOOKUP($A104,'Infinet ExDa'!$B$2:$E$14, 0,FALSE), "Not Found"))))))))</f>
        <v>UN 4, 14 BURKE CR, NORTH LAKES QLD</v>
      </c>
      <c r="K104" t="str">
        <f>IFERROR(VLOOKUP($A104,'AAPT ExDa'!$B$2:$U$99, 12,FALSE), IFERROR(VLOOKUP($A104,'ABB ExDa'!$A$2:$N$184, 0,FALSE), IFERROR(VLOOKUP($A104,'Vocus SIT ExDa'!$B$2:$J$173, 0,FALSE), IFERROR(VLOOKUP($A104,'Telstra ExDa'!$B$2:$K$310, 0,FALSE), IFERROR(VLOOKUP($A104,'Vocus RVC ExDa'!$C$2:$R$155, 0,FALSE), IFERROR(VLOOKUP($A104,'Fusion ExDa'!$B$2:$D$16, 0,FALSE), IFERROR(VLOOKUP($A104,'Exetel ExDa'!$C$2:$N$14, 12,FALSE), IFERROR(VLOOKUP($A104,'Infinet ExDa'!$B$2:$E$14, 0,FALSE), "Not Found"))))))))</f>
        <v>Not Found</v>
      </c>
      <c r="L104" s="235" t="str">
        <f>IFERROR(VLOOKUP($A104,'AAPT ExDa'!$B$2:$U$99, 11,FALSE), IFERROR(VLOOKUP($A104,'ABB ExDa'!$A$2:$N$184, 9,FALSE), IFERROR(VLOOKUP($A104,'Vocus SIT ExDa'!$B$2:$J$173, 8,FALSE), IFERROR(VLOOKUP($A104,'Telstra ExDa'!$B$2:$K$310, 0,FALSE), IFERROR(VLOOKUP($A104,'Vocus RVC ExDa'!$C$2:$R$155, 0,FALSE), IFERROR(VLOOKUP($A104,'Fusion ExDa'!$B$2:$D$16, 0,FALSE), IFERROR(VLOOKUP($A104,'Exetel ExDa'!$C$2:$N$14, 9,FALSE), IFERROR(VLOOKUP($A104,'Infinet ExDa'!$B$2:$E$14, 0,FALSE), "Not Found"))))))))</f>
        <v>5 Dec 2024</v>
      </c>
      <c r="M104" s="234" t="str">
        <f>IFERROR(VLOOKUP($A104,'AAPT ExDa'!$B$2:$U$99, 0,FALSE), IFERROR(VLOOKUP($A104,'ABB ExDa'!$A$2:$N$184, 0,FALSE), IFERROR(VLOOKUP($A104,'Vocus SIT ExDa'!$B$2:$J$173, 0,FALSE), IFERROR(VLOOKUP($A104,'Telstra ExDa'!$B$2:$K$310, 0,FALSE), IFERROR(VLOOKUP($A104,'Vocus RVC ExDa'!$C$2:$R$155, 0,FALSE), IFERROR(VLOOKUP($A104,'Fusion ExDa'!$B$2:$D$16, 0,FALSE), IFERROR(VLOOKUP($A104,'Exetel ExDa'!$C$2:$N$14, 11,FALSE), IFERROR(VLOOKUP($A104,'Infinet ExDa'!$B$2:$E$14, 0,FALSE), "Not Found"))))))))</f>
        <v>Not Found</v>
      </c>
      <c r="N104" t="str">
        <f>IFERROR(VLOOKUP($A104,'AAPT ExDa'!$B$2:$U$99, 0,FALSE), IFERROR(VLOOKUP($A104,'ABB ExDa'!$A$2:$N$184, 13,FALSE), IFERROR(VLOOKUP($A104,'Vocus SIT ExDa'!$B$2:$J$173, 0,FALSE), IFERROR(VLOOKUP($A104,'Telstra ExDa'!$B$2:$K$310, 0,FALSE), IFERROR(VLOOKUP($A104,'Vocus RVC ExDa'!$C$2:$R$155, 0,FALSE), IFERROR(VLOOKUP($A104,'Fusion ExDa'!$B$2:$D$16, 0,FALSE), IFERROR(VLOOKUP($A104,'Exetel ExDa'!$C$2:$N$14, 0,FALSE), IFERROR(VLOOKUP($A104,'Infinet ExDa'!$B$2:$E$14, 0,FALSE), "Not Found"))))))))</f>
        <v>Sasboss</v>
      </c>
    </row>
    <row r="105" spans="1:14">
      <c r="A105" t="str">
        <v>Audem Electrical</v>
      </c>
      <c r="B105" t="str">
        <f>IFERROR(VLOOKUP(A105,'Exetel ExDa'!$C$2:$N$14,4,FALSE),"No Data")</f>
        <v>No Data</v>
      </c>
      <c r="C105" t="str">
        <f>IFERROR(VLOOKUP(A105,'AAPT ExDa'!$B$2:$U$99, 2,FALSE), IFERROR(VLOOKUP(A105,'ABB ExDa'!$A$2:$N$184, 2,FALSE), IFERROR(VLOOKUP(A105,'Vocus SIT ExDa'!$B$2:$J$173, 7,FALSE), IFERROR(VLOOKUP(A105,'Telstra ExDa'!$B$2:$K$310, 2,FALSE), IFERROR(VLOOKUP(A105,'Vocus RVC ExDa'!$C$2:$R$155, 3,FALSE), IFERROR(VLOOKUP(A105,'Fusion ExDa'!$B$2:$D$16, 2,FALSE), IFERROR(VLOOKUP(A105,'Exetel ExDa'!$C$2:$N$14, 2,FALSE), IFERROR(VLOOKUP(A105,'Infinet ExDa'!$B$2:$E$14, 2,FALSE), "Not Found"))))))))</f>
        <v>UN 3, 44 LEONARD ST, WOOLLOONGABBA QLD</v>
      </c>
      <c r="D105" t="str">
        <f>IFERROR(VLOOKUP($A105,'AAPT ExDa'!$B$2:$U$99, 15,FALSE), IFERROR(VLOOKUP($A105,'ABB ExDa'!$A$2:$N$184, 4,FALSE), IFERROR(VLOOKUP($A105,'Vocus SIT ExDa'!$B$2:$J$173, 5,FALSE), IFERROR(VLOOKUP($A105,'Telstra ExDa'!$B$2:$K$310, 8,FALSE), IFERROR(VLOOKUP($A105,'Vocus RVC ExDa'!$C$2:$R$155, 6,FALSE), IFERROR(VLOOKUP($A105,'Fusion ExDa'!$B$2:$D$16, 4,FALSE), IFERROR(VLOOKUP($A105,'Exetel ExDa'!$C$2:$N$14, 3,FALSE), IFERROR(VLOOKUP($A105,'Infinet ExDa'!$B$2:$E$14, 3,FALSE), "Not Found"))))))))</f>
        <v>ABB</v>
      </c>
      <c r="E105" t="str">
        <f>IFERROR(VLOOKUP($A105,'AAPT ExDa'!$B$2:$U$99, 3,FALSE), IFERROR(VLOOKUP($A105,'ABB ExDa'!$A$2:$N$184, 5,FALSE), IFERROR(VLOOKUP($A105,'Vocus SIT ExDa'!$B$2:$J$173, 2,FALSE), IFERROR(VLOOKUP($A105,'Telstra ExDa'!$B$2:$K$310, 4,FALSE), IFERROR(VLOOKUP($A105,'Vocus RVC ExDa'!$C$2:$R$155, 8,FALSE), IFERROR(VLOOKUP($A105,'Fusion ExDa'!$B$2:$D$16, 4,FALSE), IFERROR(VLOOKUP($A105,'Exetel ExDa'!$C$2:$N$14, 5,FALSE), IFERROR(VLOOKUP($A105,'Infinet ExDa'!$B$2:$E$14, 3,FALSE), "Not Found"))))))))</f>
        <v xml:space="preserve">NBN 100/40 </v>
      </c>
      <c r="F105" t="str">
        <f>IFERROR(VLOOKUP($A105,'AAPT ExDa'!$B$2:$U$99, 4,FALSE), IFERROR(VLOOKUP($A105,'ABB ExDa'!$A$2:$N$184, 6,FALSE), IFERROR(VLOOKUP($A105,'Vocus SIT ExDa'!$B$2:$J$173, 3,FALSE), IFERROR(VLOOKUP($A105,'Telstra ExDa'!$B$2:$K$310, 5,FALSE), IFERROR(VLOOKUP($A105,'Vocus RVC ExDa'!$C$2:$R$155, 9,FALSE), IFERROR(VLOOKUP($A105,'Fusion ExDa'!$B$2:$D$16, 0,FALSE), IFERROR(VLOOKUP($A105,'Exetel ExDa'!$C$2:$N$14, 6,FALSE), IFERROR(VLOOKUP($A105,'Infinet ExDa'!$B$2:$E$14, 0,FALSE), "Not Found"))))))))</f>
        <v>FTTC</v>
      </c>
      <c r="G105" t="str">
        <f>IFERROR(VLOOKUP($A105,'AAPT ExDa'!$B$2:$U$99, 5,FALSE), IFERROR(VLOOKUP($A105,'ABB ExDa'!$A$2:$N$184, 8,FALSE), IFERROR(VLOOKUP($A105,'Vocus SIT ExDa'!$B$2:$J$173, 6,FALSE), IFERROR(VLOOKUP($A105,'Telstra ExDa'!$B$2:$K$310, 0,FALSE), IFERROR(VLOOKUP($A105,'Vocus RVC ExDa'!$C$2:$R$155, 15,FALSE), IFERROR(VLOOKUP($A105,'Fusion ExDa'!$B$2:$D$16, 0,FALSE), IFERROR(VLOOKUP($A105,'Exetel ExDa'!$C$2:$N$14, 7,FALSE), IFERROR(VLOOKUP($A105,'Infinet ExDa'!$B$2:$E$14, 0,FALSE), "Not Found"))))))))</f>
        <v>159.196.7.189</v>
      </c>
      <c r="H105" t="str">
        <f>IFERROR(VLOOKUP($A105,'AAPT ExDa'!$B$2:$U$99, 6,FALSE), IFERROR(VLOOKUP($A105,'ABB ExDa'!$A$2:$N$184, 0,FALSE), IFERROR(VLOOKUP($A105,'Vocus SIT ExDa'!$B$2:$J$173, 0,FALSE), IFERROR(VLOOKUP($A105,'Telstra ExDa'!$B$2:$K$310, 0,FALSE), IFERROR(VLOOKUP($A105,'Vocus RVC ExDa'!$C$2:$R$155, 16,FALSE), IFERROR(VLOOKUP($A105,'Fusion ExDa'!$B$2:$D$16, 0,FALSE), IFERROR(VLOOKUP($A105,'Exetel ExDa'!$C$2:$N$14, 0,FALSE), IFERROR(VLOOKUP($A105,'Infinet ExDa'!$B$2:$E$14, 0,FALSE), "Not Found"))))))))</f>
        <v>Not Found</v>
      </c>
      <c r="I105" t="str">
        <f>IFERROR(VLOOKUP($A105,'AAPT ExDa'!$B$2:$U$99, 0,FALSE), IFERROR(VLOOKUP($A105,'ABB ExDa'!$A$2:$N$184, 0,FALSE), IFERROR(VLOOKUP($A105,'Vocus SIT ExDa'!$B$2:$J$173, 0,FALSE), IFERROR(VLOOKUP($A105,'Telstra ExDa'!$B$2:$K$310, 0,FALSE), IFERROR(VLOOKUP($A105,'Vocus RVC ExDa'!$C$2:$R$155, 0,FALSE), IFERROR(VLOOKUP($A105,'Fusion ExDa'!$B$2:$D$16, 0,FALSE), IFERROR(VLOOKUP($A105,'Exetel ExDa'!$C$2:$N$14, 8,FALSE), IFERROR(VLOOKUP($A105,'Infinet ExDa'!$B$2:$E$14, 0,FALSE), "Not Found"))))))))</f>
        <v>Not Found</v>
      </c>
      <c r="J105" t="str">
        <f>IFERROR(VLOOKUP($A105,'AAPT ExDa'!$B$2:$U$99, 7,FALSE), IFERROR(VLOOKUP($A105,'ABB ExDa'!$A$2:$N$184, 2,FALSE), IFERROR(VLOOKUP($A105,'Vocus SIT ExDa'!$B$2:$J$173, 0,FALSE), IFERROR(VLOOKUP($A105,'Telstra ExDa'!$B$2:$K$310, 7,FALSE), IFERROR(VLOOKUP($A105,'Vocus RVC ExDa'!$C$2:$R$155, 2,FALSE), IFERROR(VLOOKUP($A105,'Fusion ExDa'!$B$2:$D$16, 3,FALSE), IFERROR(VLOOKUP($A105,'Exetel ExDa'!$C$2:$N$14, 0,FALSE), IFERROR(VLOOKUP($A105,'Infinet ExDa'!$B$2:$E$14, 0,FALSE), "Not Found"))))))))</f>
        <v>UN 3, 44 LEONARD ST, WOOLLOONGABBA QLD</v>
      </c>
      <c r="K105" t="str">
        <f>IFERROR(VLOOKUP($A105,'AAPT ExDa'!$B$2:$U$99, 12,FALSE), IFERROR(VLOOKUP($A105,'ABB ExDa'!$A$2:$N$184, 0,FALSE), IFERROR(VLOOKUP($A105,'Vocus SIT ExDa'!$B$2:$J$173, 0,FALSE), IFERROR(VLOOKUP($A105,'Telstra ExDa'!$B$2:$K$310, 0,FALSE), IFERROR(VLOOKUP($A105,'Vocus RVC ExDa'!$C$2:$R$155, 0,FALSE), IFERROR(VLOOKUP($A105,'Fusion ExDa'!$B$2:$D$16, 0,FALSE), IFERROR(VLOOKUP($A105,'Exetel ExDa'!$C$2:$N$14, 12,FALSE), IFERROR(VLOOKUP($A105,'Infinet ExDa'!$B$2:$E$14, 0,FALSE), "Not Found"))))))))</f>
        <v>Not Found</v>
      </c>
      <c r="L105" s="235" t="str">
        <f>IFERROR(VLOOKUP($A105,'AAPT ExDa'!$B$2:$U$99, 11,FALSE), IFERROR(VLOOKUP($A105,'ABB ExDa'!$A$2:$N$184, 9,FALSE), IFERROR(VLOOKUP($A105,'Vocus SIT ExDa'!$B$2:$J$173, 8,FALSE), IFERROR(VLOOKUP($A105,'Telstra ExDa'!$B$2:$K$310, 0,FALSE), IFERROR(VLOOKUP($A105,'Vocus RVC ExDa'!$C$2:$R$155, 0,FALSE), IFERROR(VLOOKUP($A105,'Fusion ExDa'!$B$2:$D$16, 0,FALSE), IFERROR(VLOOKUP($A105,'Exetel ExDa'!$C$2:$N$14, 9,FALSE), IFERROR(VLOOKUP($A105,'Infinet ExDa'!$B$2:$E$14, 0,FALSE), "Not Found"))))))))</f>
        <v>01 Sept 2022</v>
      </c>
      <c r="M105" s="234" t="str">
        <f>IFERROR(VLOOKUP($A105,'AAPT ExDa'!$B$2:$U$99, 0,FALSE), IFERROR(VLOOKUP($A105,'ABB ExDa'!$A$2:$N$184, 0,FALSE), IFERROR(VLOOKUP($A105,'Vocus SIT ExDa'!$B$2:$J$173, 0,FALSE), IFERROR(VLOOKUP($A105,'Telstra ExDa'!$B$2:$K$310, 0,FALSE), IFERROR(VLOOKUP($A105,'Vocus RVC ExDa'!$C$2:$R$155, 0,FALSE), IFERROR(VLOOKUP($A105,'Fusion ExDa'!$B$2:$D$16, 0,FALSE), IFERROR(VLOOKUP($A105,'Exetel ExDa'!$C$2:$N$14, 11,FALSE), IFERROR(VLOOKUP($A105,'Infinet ExDa'!$B$2:$E$14, 0,FALSE), "Not Found"))))))))</f>
        <v>Not Found</v>
      </c>
      <c r="N105" t="str">
        <f>IFERROR(VLOOKUP($A105,'AAPT ExDa'!$B$2:$U$99, 0,FALSE), IFERROR(VLOOKUP($A105,'ABB ExDa'!$A$2:$N$184, 13,FALSE), IFERROR(VLOOKUP($A105,'Vocus SIT ExDa'!$B$2:$J$173, 0,FALSE), IFERROR(VLOOKUP($A105,'Telstra ExDa'!$B$2:$K$310, 0,FALSE), IFERROR(VLOOKUP($A105,'Vocus RVC ExDa'!$C$2:$R$155, 0,FALSE), IFERROR(VLOOKUP($A105,'Fusion ExDa'!$B$2:$D$16, 0,FALSE), IFERROR(VLOOKUP($A105,'Exetel ExDa'!$C$2:$N$14, 0,FALSE), IFERROR(VLOOKUP($A105,'Infinet ExDa'!$B$2:$E$14, 0,FALSE), "Not Found"))))))))</f>
        <v>TBA</v>
      </c>
    </row>
    <row r="106" spans="1:14">
      <c r="A106" t="str">
        <v>Bar Alto</v>
      </c>
      <c r="B106" t="str">
        <f>IFERROR(VLOOKUP(A106,'Exetel ExDa'!$C$2:$N$14,4,FALSE),"No Data")</f>
        <v>No Data</v>
      </c>
      <c r="C106" t="str">
        <f>IFERROR(VLOOKUP(A106,'AAPT ExDa'!$B$2:$U$99, 2,FALSE), IFERROR(VLOOKUP(A106,'ABB ExDa'!$A$2:$N$184, 2,FALSE), IFERROR(VLOOKUP(A106,'Vocus SIT ExDa'!$B$2:$J$173, 7,FALSE), IFERROR(VLOOKUP(A106,'Telstra ExDa'!$B$2:$K$310, 2,FALSE), IFERROR(VLOOKUP(A106,'Vocus RVC ExDa'!$C$2:$R$155, 3,FALSE), IFERROR(VLOOKUP(A106,'Fusion ExDa'!$B$2:$D$16, 2,FALSE), IFERROR(VLOOKUP(A106,'Exetel ExDa'!$C$2:$N$14, 2,FALSE), IFERROR(VLOOKUP(A106,'Infinet ExDa'!$B$2:$E$14, 2,FALSE), "Not Found"))))))))</f>
        <v>8 AUSTIN ST, NEWSTEAD QLD</v>
      </c>
      <c r="D106" t="str">
        <f>IFERROR(VLOOKUP($A106,'AAPT ExDa'!$B$2:$U$99, 15,FALSE), IFERROR(VLOOKUP($A106,'ABB ExDa'!$A$2:$N$184, 4,FALSE), IFERROR(VLOOKUP($A106,'Vocus SIT ExDa'!$B$2:$J$173, 5,FALSE), IFERROR(VLOOKUP($A106,'Telstra ExDa'!$B$2:$K$310, 8,FALSE), IFERROR(VLOOKUP($A106,'Vocus RVC ExDa'!$C$2:$R$155, 6,FALSE), IFERROR(VLOOKUP($A106,'Fusion ExDa'!$B$2:$D$16, 4,FALSE), IFERROR(VLOOKUP($A106,'Exetel ExDa'!$C$2:$N$14, 3,FALSE), IFERROR(VLOOKUP($A106,'Infinet ExDa'!$B$2:$E$14, 3,FALSE), "Not Found"))))))))</f>
        <v>ABB</v>
      </c>
      <c r="E106" t="str">
        <f>IFERROR(VLOOKUP($A106,'AAPT ExDa'!$B$2:$U$99, 3,FALSE), IFERROR(VLOOKUP($A106,'ABB ExDa'!$A$2:$N$184, 5,FALSE), IFERROR(VLOOKUP($A106,'Vocus SIT ExDa'!$B$2:$J$173, 2,FALSE), IFERROR(VLOOKUP($A106,'Telstra ExDa'!$B$2:$K$310, 4,FALSE), IFERROR(VLOOKUP($A106,'Vocus RVC ExDa'!$C$2:$R$155, 8,FALSE), IFERROR(VLOOKUP($A106,'Fusion ExDa'!$B$2:$D$16, 4,FALSE), IFERROR(VLOOKUP($A106,'Exetel ExDa'!$C$2:$N$14, 5,FALSE), IFERROR(VLOOKUP($A106,'Infinet ExDa'!$B$2:$E$14, 3,FALSE), "Not Found"))))))))</f>
        <v>NBN 100/40</v>
      </c>
      <c r="F106" t="str">
        <f>IFERROR(VLOOKUP($A106,'AAPT ExDa'!$B$2:$U$99, 4,FALSE), IFERROR(VLOOKUP($A106,'ABB ExDa'!$A$2:$N$184, 6,FALSE), IFERROR(VLOOKUP($A106,'Vocus SIT ExDa'!$B$2:$J$173, 3,FALSE), IFERROR(VLOOKUP($A106,'Telstra ExDa'!$B$2:$K$310, 5,FALSE), IFERROR(VLOOKUP($A106,'Vocus RVC ExDa'!$C$2:$R$155, 9,FALSE), IFERROR(VLOOKUP($A106,'Fusion ExDa'!$B$2:$D$16, 0,FALSE), IFERROR(VLOOKUP($A106,'Exetel ExDa'!$C$2:$N$14, 6,FALSE), IFERROR(VLOOKUP($A106,'Infinet ExDa'!$B$2:$E$14, 0,FALSE), "Not Found"))))))))</f>
        <v>FTTC</v>
      </c>
      <c r="G106" t="str">
        <f>IFERROR(VLOOKUP($A106,'AAPT ExDa'!$B$2:$U$99, 5,FALSE), IFERROR(VLOOKUP($A106,'ABB ExDa'!$A$2:$N$184, 8,FALSE), IFERROR(VLOOKUP($A106,'Vocus SIT ExDa'!$B$2:$J$173, 6,FALSE), IFERROR(VLOOKUP($A106,'Telstra ExDa'!$B$2:$K$310, 0,FALSE), IFERROR(VLOOKUP($A106,'Vocus RVC ExDa'!$C$2:$R$155, 15,FALSE), IFERROR(VLOOKUP($A106,'Fusion ExDa'!$B$2:$D$16, 0,FALSE), IFERROR(VLOOKUP($A106,'Exetel ExDa'!$C$2:$N$14, 7,FALSE), IFERROR(VLOOKUP($A106,'Infinet ExDa'!$B$2:$E$14, 0,FALSE), "Not Found"))))))))</f>
        <v>144.6.104.3</v>
      </c>
      <c r="H106" t="str">
        <f>IFERROR(VLOOKUP($A106,'AAPT ExDa'!$B$2:$U$99, 6,FALSE), IFERROR(VLOOKUP($A106,'ABB ExDa'!$A$2:$N$184, 0,FALSE), IFERROR(VLOOKUP($A106,'Vocus SIT ExDa'!$B$2:$J$173, 0,FALSE), IFERROR(VLOOKUP($A106,'Telstra ExDa'!$B$2:$K$310, 0,FALSE), IFERROR(VLOOKUP($A106,'Vocus RVC ExDa'!$C$2:$R$155, 16,FALSE), IFERROR(VLOOKUP($A106,'Fusion ExDa'!$B$2:$D$16, 0,FALSE), IFERROR(VLOOKUP($A106,'Exetel ExDa'!$C$2:$N$14, 0,FALSE), IFERROR(VLOOKUP($A106,'Infinet ExDa'!$B$2:$E$14, 0,FALSE), "Not Found"))))))))</f>
        <v>Not Found</v>
      </c>
      <c r="I106" t="str">
        <f>IFERROR(VLOOKUP($A106,'AAPT ExDa'!$B$2:$U$99, 0,FALSE), IFERROR(VLOOKUP($A106,'ABB ExDa'!$A$2:$N$184, 0,FALSE), IFERROR(VLOOKUP($A106,'Vocus SIT ExDa'!$B$2:$J$173, 0,FALSE), IFERROR(VLOOKUP($A106,'Telstra ExDa'!$B$2:$K$310, 0,FALSE), IFERROR(VLOOKUP($A106,'Vocus RVC ExDa'!$C$2:$R$155, 0,FALSE), IFERROR(VLOOKUP($A106,'Fusion ExDa'!$B$2:$D$16, 0,FALSE), IFERROR(VLOOKUP($A106,'Exetel ExDa'!$C$2:$N$14, 8,FALSE), IFERROR(VLOOKUP($A106,'Infinet ExDa'!$B$2:$E$14, 0,FALSE), "Not Found"))))))))</f>
        <v>Not Found</v>
      </c>
      <c r="J106" t="str">
        <f>IFERROR(VLOOKUP($A106,'AAPT ExDa'!$B$2:$U$99, 7,FALSE), IFERROR(VLOOKUP($A106,'ABB ExDa'!$A$2:$N$184, 2,FALSE), IFERROR(VLOOKUP($A106,'Vocus SIT ExDa'!$B$2:$J$173, 0,FALSE), IFERROR(VLOOKUP($A106,'Telstra ExDa'!$B$2:$K$310, 7,FALSE), IFERROR(VLOOKUP($A106,'Vocus RVC ExDa'!$C$2:$R$155, 2,FALSE), IFERROR(VLOOKUP($A106,'Fusion ExDa'!$B$2:$D$16, 3,FALSE), IFERROR(VLOOKUP($A106,'Exetel ExDa'!$C$2:$N$14, 0,FALSE), IFERROR(VLOOKUP($A106,'Infinet ExDa'!$B$2:$E$14, 0,FALSE), "Not Found"))))))))</f>
        <v>8 AUSTIN ST, NEWSTEAD QLD</v>
      </c>
      <c r="K106" t="str">
        <f>IFERROR(VLOOKUP($A106,'AAPT ExDa'!$B$2:$U$99, 12,FALSE), IFERROR(VLOOKUP($A106,'ABB ExDa'!$A$2:$N$184, 0,FALSE), IFERROR(VLOOKUP($A106,'Vocus SIT ExDa'!$B$2:$J$173, 0,FALSE), IFERROR(VLOOKUP($A106,'Telstra ExDa'!$B$2:$K$310, 0,FALSE), IFERROR(VLOOKUP($A106,'Vocus RVC ExDa'!$C$2:$R$155, 0,FALSE), IFERROR(VLOOKUP($A106,'Fusion ExDa'!$B$2:$D$16, 0,FALSE), IFERROR(VLOOKUP($A106,'Exetel ExDa'!$C$2:$N$14, 12,FALSE), IFERROR(VLOOKUP($A106,'Infinet ExDa'!$B$2:$E$14, 0,FALSE), "Not Found"))))))))</f>
        <v>Not Found</v>
      </c>
      <c r="L106" s="235" t="str">
        <f>IFERROR(VLOOKUP($A106,'AAPT ExDa'!$B$2:$U$99, 11,FALSE), IFERROR(VLOOKUP($A106,'ABB ExDa'!$A$2:$N$184, 9,FALSE), IFERROR(VLOOKUP($A106,'Vocus SIT ExDa'!$B$2:$J$173, 8,FALSE), IFERROR(VLOOKUP($A106,'Telstra ExDa'!$B$2:$K$310, 0,FALSE), IFERROR(VLOOKUP($A106,'Vocus RVC ExDa'!$C$2:$R$155, 0,FALSE), IFERROR(VLOOKUP($A106,'Fusion ExDa'!$B$2:$D$16, 0,FALSE), IFERROR(VLOOKUP($A106,'Exetel ExDa'!$C$2:$N$14, 9,FALSE), IFERROR(VLOOKUP($A106,'Infinet ExDa'!$B$2:$E$14, 0,FALSE), "Not Found"))))))))</f>
        <v>19 Sept 2023</v>
      </c>
      <c r="M106" s="234" t="str">
        <f>IFERROR(VLOOKUP($A106,'AAPT ExDa'!$B$2:$U$99, 0,FALSE), IFERROR(VLOOKUP($A106,'ABB ExDa'!$A$2:$N$184, 0,FALSE), IFERROR(VLOOKUP($A106,'Vocus SIT ExDa'!$B$2:$J$173, 0,FALSE), IFERROR(VLOOKUP($A106,'Telstra ExDa'!$B$2:$K$310, 0,FALSE), IFERROR(VLOOKUP($A106,'Vocus RVC ExDa'!$C$2:$R$155, 0,FALSE), IFERROR(VLOOKUP($A106,'Fusion ExDa'!$B$2:$D$16, 0,FALSE), IFERROR(VLOOKUP($A106,'Exetel ExDa'!$C$2:$N$14, 11,FALSE), IFERROR(VLOOKUP($A106,'Infinet ExDa'!$B$2:$E$14, 0,FALSE), "Not Found"))))))))</f>
        <v>Not Found</v>
      </c>
      <c r="N106" t="str">
        <f>IFERROR(VLOOKUP($A106,'AAPT ExDa'!$B$2:$U$99, 0,FALSE), IFERROR(VLOOKUP($A106,'ABB ExDa'!$A$2:$N$184, 13,FALSE), IFERROR(VLOOKUP($A106,'Vocus SIT ExDa'!$B$2:$J$173, 0,FALSE), IFERROR(VLOOKUP($A106,'Telstra ExDa'!$B$2:$K$310, 0,FALSE), IFERROR(VLOOKUP($A106,'Vocus RVC ExDa'!$C$2:$R$155, 0,FALSE), IFERROR(VLOOKUP($A106,'Fusion ExDa'!$B$2:$D$16, 0,FALSE), IFERROR(VLOOKUP($A106,'Exetel ExDa'!$C$2:$N$14, 0,FALSE), IFERROR(VLOOKUP($A106,'Infinet ExDa'!$B$2:$E$14, 0,FALSE), "Not Found"))))))))</f>
        <v>Datagate</v>
      </c>
    </row>
    <row r="107" spans="1:14">
      <c r="A107" t="str">
        <v>Boyd Legal</v>
      </c>
      <c r="B107" t="str">
        <f>IFERROR(VLOOKUP(A107,'Exetel ExDa'!$C$2:$N$14,4,FALSE),"No Data")</f>
        <v>No Data</v>
      </c>
      <c r="C107" t="str">
        <f>IFERROR(VLOOKUP(A107,'AAPT ExDa'!$B$2:$U$99, 2,FALSE), IFERROR(VLOOKUP(A107,'ABB ExDa'!$A$2:$N$184, 2,FALSE), IFERROR(VLOOKUP(A107,'Vocus SIT ExDa'!$B$2:$J$173, 7,FALSE), IFERROR(VLOOKUP(A107,'Telstra ExDa'!$B$2:$K$310, 2,FALSE), IFERROR(VLOOKUP(A107,'Vocus RVC ExDa'!$C$2:$R$155, 3,FALSE), IFERROR(VLOOKUP(A107,'Fusion ExDa'!$B$2:$D$16, 2,FALSE), IFERROR(VLOOKUP(A107,'Exetel ExDa'!$C$2:$N$14, 2,FALSE), IFERROR(VLOOKUP(A107,'Infinet ExDa'!$B$2:$E$14, 2,FALSE), "Not Found"))))))))</f>
        <v>SE 1, 200 MARY ST, BRISBANE CITY QLD</v>
      </c>
      <c r="D107" t="str">
        <f>IFERROR(VLOOKUP($A107,'AAPT ExDa'!$B$2:$U$99, 15,FALSE), IFERROR(VLOOKUP($A107,'ABB ExDa'!$A$2:$N$184, 4,FALSE), IFERROR(VLOOKUP($A107,'Vocus SIT ExDa'!$B$2:$J$173, 5,FALSE), IFERROR(VLOOKUP($A107,'Telstra ExDa'!$B$2:$K$310, 8,FALSE), IFERROR(VLOOKUP($A107,'Vocus RVC ExDa'!$C$2:$R$155, 6,FALSE), IFERROR(VLOOKUP($A107,'Fusion ExDa'!$B$2:$D$16, 4,FALSE), IFERROR(VLOOKUP($A107,'Exetel ExDa'!$C$2:$N$14, 3,FALSE), IFERROR(VLOOKUP($A107,'Infinet ExDa'!$B$2:$E$14, 3,FALSE), "Not Found"))))))))</f>
        <v>ABB</v>
      </c>
      <c r="E107" t="str">
        <f>IFERROR(VLOOKUP($A107,'AAPT ExDa'!$B$2:$U$99, 3,FALSE), IFERROR(VLOOKUP($A107,'ABB ExDa'!$A$2:$N$184, 5,FALSE), IFERROR(VLOOKUP($A107,'Vocus SIT ExDa'!$B$2:$J$173, 2,FALSE), IFERROR(VLOOKUP($A107,'Telstra ExDa'!$B$2:$K$310, 4,FALSE), IFERROR(VLOOKUP($A107,'Vocus RVC ExDa'!$C$2:$R$155, 8,FALSE), IFERROR(VLOOKUP($A107,'Fusion ExDa'!$B$2:$D$16, 4,FALSE), IFERROR(VLOOKUP($A107,'Exetel ExDa'!$C$2:$N$14, 5,FALSE), IFERROR(VLOOKUP($A107,'Infinet ExDa'!$B$2:$E$14, 3,FALSE), "Not Found"))))))))</f>
        <v>NBN 100/40</v>
      </c>
      <c r="F107" t="str">
        <f>IFERROR(VLOOKUP($A107,'AAPT ExDa'!$B$2:$U$99, 4,FALSE), IFERROR(VLOOKUP($A107,'ABB ExDa'!$A$2:$N$184, 6,FALSE), IFERROR(VLOOKUP($A107,'Vocus SIT ExDa'!$B$2:$J$173, 3,FALSE), IFERROR(VLOOKUP($A107,'Telstra ExDa'!$B$2:$K$310, 5,FALSE), IFERROR(VLOOKUP($A107,'Vocus RVC ExDa'!$C$2:$R$155, 9,FALSE), IFERROR(VLOOKUP($A107,'Fusion ExDa'!$B$2:$D$16, 0,FALSE), IFERROR(VLOOKUP($A107,'Exetel ExDa'!$C$2:$N$14, 6,FALSE), IFERROR(VLOOKUP($A107,'Infinet ExDa'!$B$2:$E$14, 0,FALSE), "Not Found"))))))))</f>
        <v>FTTB</v>
      </c>
      <c r="G107" t="str">
        <f>IFERROR(VLOOKUP($A107,'AAPT ExDa'!$B$2:$U$99, 5,FALSE), IFERROR(VLOOKUP($A107,'ABB ExDa'!$A$2:$N$184, 8,FALSE), IFERROR(VLOOKUP($A107,'Vocus SIT ExDa'!$B$2:$J$173, 6,FALSE), IFERROR(VLOOKUP($A107,'Telstra ExDa'!$B$2:$K$310, 0,FALSE), IFERROR(VLOOKUP($A107,'Vocus RVC ExDa'!$C$2:$R$155, 15,FALSE), IFERROR(VLOOKUP($A107,'Fusion ExDa'!$B$2:$D$16, 0,FALSE), IFERROR(VLOOKUP($A107,'Exetel ExDa'!$C$2:$N$14, 7,FALSE), IFERROR(VLOOKUP($A107,'Infinet ExDa'!$B$2:$E$14, 0,FALSE), "Not Found"))))))))</f>
        <v>120.88.117.77</v>
      </c>
      <c r="H107" t="str">
        <f>IFERROR(VLOOKUP($A107,'AAPT ExDa'!$B$2:$U$99, 6,FALSE), IFERROR(VLOOKUP($A107,'ABB ExDa'!$A$2:$N$184, 0,FALSE), IFERROR(VLOOKUP($A107,'Vocus SIT ExDa'!$B$2:$J$173, 0,FALSE), IFERROR(VLOOKUP($A107,'Telstra ExDa'!$B$2:$K$310, 0,FALSE), IFERROR(VLOOKUP($A107,'Vocus RVC ExDa'!$C$2:$R$155, 16,FALSE), IFERROR(VLOOKUP($A107,'Fusion ExDa'!$B$2:$D$16, 0,FALSE), IFERROR(VLOOKUP($A107,'Exetel ExDa'!$C$2:$N$14, 0,FALSE), IFERROR(VLOOKUP($A107,'Infinet ExDa'!$B$2:$E$14, 0,FALSE), "Not Found"))))))))</f>
        <v>Not Found</v>
      </c>
      <c r="I107" t="str">
        <f>IFERROR(VLOOKUP($A107,'AAPT ExDa'!$B$2:$U$99, 0,FALSE), IFERROR(VLOOKUP($A107,'ABB ExDa'!$A$2:$N$184, 0,FALSE), IFERROR(VLOOKUP($A107,'Vocus SIT ExDa'!$B$2:$J$173, 0,FALSE), IFERROR(VLOOKUP($A107,'Telstra ExDa'!$B$2:$K$310, 0,FALSE), IFERROR(VLOOKUP($A107,'Vocus RVC ExDa'!$C$2:$R$155, 0,FALSE), IFERROR(VLOOKUP($A107,'Fusion ExDa'!$B$2:$D$16, 0,FALSE), IFERROR(VLOOKUP($A107,'Exetel ExDa'!$C$2:$N$14, 8,FALSE), IFERROR(VLOOKUP($A107,'Infinet ExDa'!$B$2:$E$14, 0,FALSE), "Not Found"))))))))</f>
        <v>Not Found</v>
      </c>
      <c r="J107" t="str">
        <f>IFERROR(VLOOKUP($A107,'AAPT ExDa'!$B$2:$U$99, 7,FALSE), IFERROR(VLOOKUP($A107,'ABB ExDa'!$A$2:$N$184, 2,FALSE), IFERROR(VLOOKUP($A107,'Vocus SIT ExDa'!$B$2:$J$173, 0,FALSE), IFERROR(VLOOKUP($A107,'Telstra ExDa'!$B$2:$K$310, 7,FALSE), IFERROR(VLOOKUP($A107,'Vocus RVC ExDa'!$C$2:$R$155, 2,FALSE), IFERROR(VLOOKUP($A107,'Fusion ExDa'!$B$2:$D$16, 3,FALSE), IFERROR(VLOOKUP($A107,'Exetel ExDa'!$C$2:$N$14, 0,FALSE), IFERROR(VLOOKUP($A107,'Infinet ExDa'!$B$2:$E$14, 0,FALSE), "Not Found"))))))))</f>
        <v>SE 1, 200 MARY ST, BRISBANE CITY QLD</v>
      </c>
      <c r="K107" t="str">
        <f>IFERROR(VLOOKUP($A107,'AAPT ExDa'!$B$2:$U$99, 12,FALSE), IFERROR(VLOOKUP($A107,'ABB ExDa'!$A$2:$N$184, 0,FALSE), IFERROR(VLOOKUP($A107,'Vocus SIT ExDa'!$B$2:$J$173, 0,FALSE), IFERROR(VLOOKUP($A107,'Telstra ExDa'!$B$2:$K$310, 0,FALSE), IFERROR(VLOOKUP($A107,'Vocus RVC ExDa'!$C$2:$R$155, 0,FALSE), IFERROR(VLOOKUP($A107,'Fusion ExDa'!$B$2:$D$16, 0,FALSE), IFERROR(VLOOKUP($A107,'Exetel ExDa'!$C$2:$N$14, 12,FALSE), IFERROR(VLOOKUP($A107,'Infinet ExDa'!$B$2:$E$14, 0,FALSE), "Not Found"))))))))</f>
        <v>Not Found</v>
      </c>
      <c r="L107" s="235" t="str">
        <f>IFERROR(VLOOKUP($A107,'AAPT ExDa'!$B$2:$U$99, 11,FALSE), IFERROR(VLOOKUP($A107,'ABB ExDa'!$A$2:$N$184, 9,FALSE), IFERROR(VLOOKUP($A107,'Vocus SIT ExDa'!$B$2:$J$173, 8,FALSE), IFERROR(VLOOKUP($A107,'Telstra ExDa'!$B$2:$K$310, 0,FALSE), IFERROR(VLOOKUP($A107,'Vocus RVC ExDa'!$C$2:$R$155, 0,FALSE), IFERROR(VLOOKUP($A107,'Fusion ExDa'!$B$2:$D$16, 0,FALSE), IFERROR(VLOOKUP($A107,'Exetel ExDa'!$C$2:$N$14, 9,FALSE), IFERROR(VLOOKUP($A107,'Infinet ExDa'!$B$2:$E$14, 0,FALSE), "Not Found"))))))))</f>
        <v>25 Feb 2025</v>
      </c>
      <c r="M107" s="234" t="str">
        <f>IFERROR(VLOOKUP($A107,'AAPT ExDa'!$B$2:$U$99, 0,FALSE), IFERROR(VLOOKUP($A107,'ABB ExDa'!$A$2:$N$184, 0,FALSE), IFERROR(VLOOKUP($A107,'Vocus SIT ExDa'!$B$2:$J$173, 0,FALSE), IFERROR(VLOOKUP($A107,'Telstra ExDa'!$B$2:$K$310, 0,FALSE), IFERROR(VLOOKUP($A107,'Vocus RVC ExDa'!$C$2:$R$155, 0,FALSE), IFERROR(VLOOKUP($A107,'Fusion ExDa'!$B$2:$D$16, 0,FALSE), IFERROR(VLOOKUP($A107,'Exetel ExDa'!$C$2:$N$14, 11,FALSE), IFERROR(VLOOKUP($A107,'Infinet ExDa'!$B$2:$E$14, 0,FALSE), "Not Found"))))))))</f>
        <v>Not Found</v>
      </c>
      <c r="N107" t="str">
        <f>IFERROR(VLOOKUP($A107,'AAPT ExDa'!$B$2:$U$99, 0,FALSE), IFERROR(VLOOKUP($A107,'ABB ExDa'!$A$2:$N$184, 13,FALSE), IFERROR(VLOOKUP($A107,'Vocus SIT ExDa'!$B$2:$J$173, 0,FALSE), IFERROR(VLOOKUP($A107,'Telstra ExDa'!$B$2:$K$310, 0,FALSE), IFERROR(VLOOKUP($A107,'Vocus RVC ExDa'!$C$2:$R$155, 0,FALSE), IFERROR(VLOOKUP($A107,'Fusion ExDa'!$B$2:$D$16, 0,FALSE), IFERROR(VLOOKUP($A107,'Exetel ExDa'!$C$2:$N$14, 0,FALSE), IFERROR(VLOOKUP($A107,'Infinet ExDa'!$B$2:$E$14, 0,FALSE), "Not Found"))))))))</f>
        <v>Onebill</v>
      </c>
    </row>
    <row r="108" spans="1:14">
      <c r="A108" t="str">
        <v>Buderim Gardens</v>
      </c>
      <c r="B108" t="str">
        <f>IFERROR(VLOOKUP(A108,'Exetel ExDa'!$C$2:$N$14,4,FALSE),"No Data")</f>
        <v>No Data</v>
      </c>
      <c r="C108" t="str">
        <f>IFERROR(VLOOKUP(A108,'AAPT ExDa'!$B$2:$U$99, 2,FALSE), IFERROR(VLOOKUP(A108,'ABB ExDa'!$A$2:$N$184, 2,FALSE), IFERROR(VLOOKUP(A108,'Vocus SIT ExDa'!$B$2:$J$173, 7,FALSE), IFERROR(VLOOKUP(A108,'Telstra ExDa'!$B$2:$K$310, 2,FALSE), IFERROR(VLOOKUP(A108,'Vocus RVC ExDa'!$C$2:$R$155, 3,FALSE), IFERROR(VLOOKUP(A108,'Fusion ExDa'!$B$2:$D$16, 2,FALSE), IFERROR(VLOOKUP(A108,'Exetel ExDa'!$C$2:$N$14, 2,FALSE), IFERROR(VLOOKUP(A108,'Infinet ExDa'!$B$2:$E$14, 2,FALSE), "Not Found"))))))))</f>
        <v>BUDERIM GARDENS RETIREMENT VILLAGE UN 206, 405 MOOLOOLABA RD, BUDERIM QLD</v>
      </c>
      <c r="D108" t="str">
        <f>IFERROR(VLOOKUP($A108,'AAPT ExDa'!$B$2:$U$99, 15,FALSE), IFERROR(VLOOKUP($A108,'ABB ExDa'!$A$2:$N$184, 4,FALSE), IFERROR(VLOOKUP($A108,'Vocus SIT ExDa'!$B$2:$J$173, 5,FALSE), IFERROR(VLOOKUP($A108,'Telstra ExDa'!$B$2:$K$310, 8,FALSE), IFERROR(VLOOKUP($A108,'Vocus RVC ExDa'!$C$2:$R$155, 6,FALSE), IFERROR(VLOOKUP($A108,'Fusion ExDa'!$B$2:$D$16, 4,FALSE), IFERROR(VLOOKUP($A108,'Exetel ExDa'!$C$2:$N$14, 3,FALSE), IFERROR(VLOOKUP($A108,'Infinet ExDa'!$B$2:$E$14, 3,FALSE), "Not Found"))))))))</f>
        <v>ABB</v>
      </c>
      <c r="E108" t="str">
        <f>IFERROR(VLOOKUP($A108,'AAPT ExDa'!$B$2:$U$99, 3,FALSE), IFERROR(VLOOKUP($A108,'ABB ExDa'!$A$2:$N$184, 5,FALSE), IFERROR(VLOOKUP($A108,'Vocus SIT ExDa'!$B$2:$J$173, 2,FALSE), IFERROR(VLOOKUP($A108,'Telstra ExDa'!$B$2:$K$310, 4,FALSE), IFERROR(VLOOKUP($A108,'Vocus RVC ExDa'!$C$2:$R$155, 8,FALSE), IFERROR(VLOOKUP($A108,'Fusion ExDa'!$B$2:$D$16, 4,FALSE), IFERROR(VLOOKUP($A108,'Exetel ExDa'!$C$2:$N$14, 5,FALSE), IFERROR(VLOOKUP($A108,'Infinet ExDa'!$B$2:$E$14, 3,FALSE), "Not Found"))))))))</f>
        <v>NBN 50/20</v>
      </c>
      <c r="F108" t="str">
        <f>IFERROR(VLOOKUP($A108,'AAPT ExDa'!$B$2:$U$99, 4,FALSE), IFERROR(VLOOKUP($A108,'ABB ExDa'!$A$2:$N$184, 6,FALSE), IFERROR(VLOOKUP($A108,'Vocus SIT ExDa'!$B$2:$J$173, 3,FALSE), IFERROR(VLOOKUP($A108,'Telstra ExDa'!$B$2:$K$310, 5,FALSE), IFERROR(VLOOKUP($A108,'Vocus RVC ExDa'!$C$2:$R$155, 9,FALSE), IFERROR(VLOOKUP($A108,'Fusion ExDa'!$B$2:$D$16, 0,FALSE), IFERROR(VLOOKUP($A108,'Exetel ExDa'!$C$2:$N$14, 6,FALSE), IFERROR(VLOOKUP($A108,'Infinet ExDa'!$B$2:$E$14, 0,FALSE), "Not Found"))))))))</f>
        <v>FTTN</v>
      </c>
      <c r="G108" t="str">
        <f>IFERROR(VLOOKUP($A108,'AAPT ExDa'!$B$2:$U$99, 5,FALSE), IFERROR(VLOOKUP($A108,'ABB ExDa'!$A$2:$N$184, 8,FALSE), IFERROR(VLOOKUP($A108,'Vocus SIT ExDa'!$B$2:$J$173, 6,FALSE), IFERROR(VLOOKUP($A108,'Telstra ExDa'!$B$2:$K$310, 0,FALSE), IFERROR(VLOOKUP($A108,'Vocus RVC ExDa'!$C$2:$R$155, 15,FALSE), IFERROR(VLOOKUP($A108,'Fusion ExDa'!$B$2:$D$16, 0,FALSE), IFERROR(VLOOKUP($A108,'Exetel ExDa'!$C$2:$N$14, 7,FALSE), IFERROR(VLOOKUP($A108,'Infinet ExDa'!$B$2:$E$14, 0,FALSE), "Not Found"))))))))</f>
        <v>144.6.122.237</v>
      </c>
      <c r="H108" t="str">
        <f>IFERROR(VLOOKUP($A108,'AAPT ExDa'!$B$2:$U$99, 6,FALSE), IFERROR(VLOOKUP($A108,'ABB ExDa'!$A$2:$N$184, 0,FALSE), IFERROR(VLOOKUP($A108,'Vocus SIT ExDa'!$B$2:$J$173, 0,FALSE), IFERROR(VLOOKUP($A108,'Telstra ExDa'!$B$2:$K$310, 0,FALSE), IFERROR(VLOOKUP($A108,'Vocus RVC ExDa'!$C$2:$R$155, 16,FALSE), IFERROR(VLOOKUP($A108,'Fusion ExDa'!$B$2:$D$16, 0,FALSE), IFERROR(VLOOKUP($A108,'Exetel ExDa'!$C$2:$N$14, 0,FALSE), IFERROR(VLOOKUP($A108,'Infinet ExDa'!$B$2:$E$14, 0,FALSE), "Not Found"))))))))</f>
        <v>Not Found</v>
      </c>
      <c r="I108" t="str">
        <f>IFERROR(VLOOKUP($A108,'AAPT ExDa'!$B$2:$U$99, 0,FALSE), IFERROR(VLOOKUP($A108,'ABB ExDa'!$A$2:$N$184, 0,FALSE), IFERROR(VLOOKUP($A108,'Vocus SIT ExDa'!$B$2:$J$173, 0,FALSE), IFERROR(VLOOKUP($A108,'Telstra ExDa'!$B$2:$K$310, 0,FALSE), IFERROR(VLOOKUP($A108,'Vocus RVC ExDa'!$C$2:$R$155, 0,FALSE), IFERROR(VLOOKUP($A108,'Fusion ExDa'!$B$2:$D$16, 0,FALSE), IFERROR(VLOOKUP($A108,'Exetel ExDa'!$C$2:$N$14, 8,FALSE), IFERROR(VLOOKUP($A108,'Infinet ExDa'!$B$2:$E$14, 0,FALSE), "Not Found"))))))))</f>
        <v>Not Found</v>
      </c>
      <c r="J108" t="str">
        <f>IFERROR(VLOOKUP($A108,'AAPT ExDa'!$B$2:$U$99, 7,FALSE), IFERROR(VLOOKUP($A108,'ABB ExDa'!$A$2:$N$184, 2,FALSE), IFERROR(VLOOKUP($A108,'Vocus SIT ExDa'!$B$2:$J$173, 0,FALSE), IFERROR(VLOOKUP($A108,'Telstra ExDa'!$B$2:$K$310, 7,FALSE), IFERROR(VLOOKUP($A108,'Vocus RVC ExDa'!$C$2:$R$155, 2,FALSE), IFERROR(VLOOKUP($A108,'Fusion ExDa'!$B$2:$D$16, 3,FALSE), IFERROR(VLOOKUP($A108,'Exetel ExDa'!$C$2:$N$14, 0,FALSE), IFERROR(VLOOKUP($A108,'Infinet ExDa'!$B$2:$E$14, 0,FALSE), "Not Found"))))))))</f>
        <v>BUDERIM GARDENS RETIREMENT VILLAGE UN 206, 405 MOOLOOLABA RD, BUDERIM QLD</v>
      </c>
      <c r="K108" t="str">
        <f>IFERROR(VLOOKUP($A108,'AAPT ExDa'!$B$2:$U$99, 12,FALSE), IFERROR(VLOOKUP($A108,'ABB ExDa'!$A$2:$N$184, 0,FALSE), IFERROR(VLOOKUP($A108,'Vocus SIT ExDa'!$B$2:$J$173, 0,FALSE), IFERROR(VLOOKUP($A108,'Telstra ExDa'!$B$2:$K$310, 0,FALSE), IFERROR(VLOOKUP($A108,'Vocus RVC ExDa'!$C$2:$R$155, 0,FALSE), IFERROR(VLOOKUP($A108,'Fusion ExDa'!$B$2:$D$16, 0,FALSE), IFERROR(VLOOKUP($A108,'Exetel ExDa'!$C$2:$N$14, 12,FALSE), IFERROR(VLOOKUP($A108,'Infinet ExDa'!$B$2:$E$14, 0,FALSE), "Not Found"))))))))</f>
        <v>Not Found</v>
      </c>
      <c r="L108" s="235" t="str">
        <f>IFERROR(VLOOKUP($A108,'AAPT ExDa'!$B$2:$U$99, 11,FALSE), IFERROR(VLOOKUP($A108,'ABB ExDa'!$A$2:$N$184, 9,FALSE), IFERROR(VLOOKUP($A108,'Vocus SIT ExDa'!$B$2:$J$173, 8,FALSE), IFERROR(VLOOKUP($A108,'Telstra ExDa'!$B$2:$K$310, 0,FALSE), IFERROR(VLOOKUP($A108,'Vocus RVC ExDa'!$C$2:$R$155, 0,FALSE), IFERROR(VLOOKUP($A108,'Fusion ExDa'!$B$2:$D$16, 0,FALSE), IFERROR(VLOOKUP($A108,'Exetel ExDa'!$C$2:$N$14, 9,FALSE), IFERROR(VLOOKUP($A108,'Infinet ExDa'!$B$2:$E$14, 0,FALSE), "Not Found"))))))))</f>
        <v>2 Dec 2024</v>
      </c>
      <c r="M108" s="234" t="str">
        <f>IFERROR(VLOOKUP($A108,'AAPT ExDa'!$B$2:$U$99, 0,FALSE), IFERROR(VLOOKUP($A108,'ABB ExDa'!$A$2:$N$184, 0,FALSE), IFERROR(VLOOKUP($A108,'Vocus SIT ExDa'!$B$2:$J$173, 0,FALSE), IFERROR(VLOOKUP($A108,'Telstra ExDa'!$B$2:$K$310, 0,FALSE), IFERROR(VLOOKUP($A108,'Vocus RVC ExDa'!$C$2:$R$155, 0,FALSE), IFERROR(VLOOKUP($A108,'Fusion ExDa'!$B$2:$D$16, 0,FALSE), IFERROR(VLOOKUP($A108,'Exetel ExDa'!$C$2:$N$14, 11,FALSE), IFERROR(VLOOKUP($A108,'Infinet ExDa'!$B$2:$E$14, 0,FALSE), "Not Found"))))))))</f>
        <v>Not Found</v>
      </c>
      <c r="N108" t="str">
        <f>IFERROR(VLOOKUP($A108,'AAPT ExDa'!$B$2:$U$99, 0,FALSE), IFERROR(VLOOKUP($A108,'ABB ExDa'!$A$2:$N$184, 13,FALSE), IFERROR(VLOOKUP($A108,'Vocus SIT ExDa'!$B$2:$J$173, 0,FALSE), IFERROR(VLOOKUP($A108,'Telstra ExDa'!$B$2:$K$310, 0,FALSE), IFERROR(VLOOKUP($A108,'Vocus RVC ExDa'!$C$2:$R$155, 0,FALSE), IFERROR(VLOOKUP($A108,'Fusion ExDa'!$B$2:$D$16, 0,FALSE), IFERROR(VLOOKUP($A108,'Exetel ExDa'!$C$2:$N$14, 0,FALSE), IFERROR(VLOOKUP($A108,'Infinet ExDa'!$B$2:$E$14, 0,FALSE), "Not Found"))))))))</f>
        <v>Not found</v>
      </c>
    </row>
    <row r="109" spans="1:14">
      <c r="A109" t="str">
        <v>Bush to beach</v>
      </c>
      <c r="B109" t="str">
        <f>IFERROR(VLOOKUP(A109,'Exetel ExDa'!$C$2:$N$14,4,FALSE),"No Data")</f>
        <v>No Data</v>
      </c>
      <c r="C109" t="str">
        <f>IFERROR(VLOOKUP(A109,'AAPT ExDa'!$B$2:$U$99, 2,FALSE), IFERROR(VLOOKUP(A109,'ABB ExDa'!$A$2:$N$184, 2,FALSE), IFERROR(VLOOKUP(A109,'Vocus SIT ExDa'!$B$2:$J$173, 7,FALSE), IFERROR(VLOOKUP(A109,'Telstra ExDa'!$B$2:$K$310, 2,FALSE), IFERROR(VLOOKUP(A109,'Vocus RVC ExDa'!$C$2:$R$155, 3,FALSE), IFERROR(VLOOKUP(A109,'Fusion ExDa'!$B$2:$D$16, 2,FALSE), IFERROR(VLOOKUP(A109,'Exetel ExDa'!$C$2:$N$14, 2,FALSE), IFERROR(VLOOKUP(A109,'Infinet ExDa'!$B$2:$E$14, 2,FALSE), "Not Found"))))))))</f>
        <v>UN 4, 50 OWEN CREEK RD, FOREST GLEN QLD</v>
      </c>
      <c r="D109" t="str">
        <f>IFERROR(VLOOKUP($A109,'AAPT ExDa'!$B$2:$U$99, 15,FALSE), IFERROR(VLOOKUP($A109,'ABB ExDa'!$A$2:$N$184, 4,FALSE), IFERROR(VLOOKUP($A109,'Vocus SIT ExDa'!$B$2:$J$173, 5,FALSE), IFERROR(VLOOKUP($A109,'Telstra ExDa'!$B$2:$K$310, 8,FALSE), IFERROR(VLOOKUP($A109,'Vocus RVC ExDa'!$C$2:$R$155, 6,FALSE), IFERROR(VLOOKUP($A109,'Fusion ExDa'!$B$2:$D$16, 4,FALSE), IFERROR(VLOOKUP($A109,'Exetel ExDa'!$C$2:$N$14, 3,FALSE), IFERROR(VLOOKUP($A109,'Infinet ExDa'!$B$2:$E$14, 3,FALSE), "Not Found"))))))))</f>
        <v>ABB</v>
      </c>
      <c r="E109" t="str">
        <f>IFERROR(VLOOKUP($A109,'AAPT ExDa'!$B$2:$U$99, 3,FALSE), IFERROR(VLOOKUP($A109,'ABB ExDa'!$A$2:$N$184, 5,FALSE), IFERROR(VLOOKUP($A109,'Vocus SIT ExDa'!$B$2:$J$173, 2,FALSE), IFERROR(VLOOKUP($A109,'Telstra ExDa'!$B$2:$K$310, 4,FALSE), IFERROR(VLOOKUP($A109,'Vocus RVC ExDa'!$C$2:$R$155, 8,FALSE), IFERROR(VLOOKUP($A109,'Fusion ExDa'!$B$2:$D$16, 4,FALSE), IFERROR(VLOOKUP($A109,'Exetel ExDa'!$C$2:$N$14, 5,FALSE), IFERROR(VLOOKUP($A109,'Infinet ExDa'!$B$2:$E$14, 3,FALSE), "Not Found"))))))))</f>
        <v>NBN 50/20</v>
      </c>
      <c r="F109" t="str">
        <f>IFERROR(VLOOKUP($A109,'AAPT ExDa'!$B$2:$U$99, 4,FALSE), IFERROR(VLOOKUP($A109,'ABB ExDa'!$A$2:$N$184, 6,FALSE), IFERROR(VLOOKUP($A109,'Vocus SIT ExDa'!$B$2:$J$173, 3,FALSE), IFERROR(VLOOKUP($A109,'Telstra ExDa'!$B$2:$K$310, 5,FALSE), IFERROR(VLOOKUP($A109,'Vocus RVC ExDa'!$C$2:$R$155, 9,FALSE), IFERROR(VLOOKUP($A109,'Fusion ExDa'!$B$2:$D$16, 0,FALSE), IFERROR(VLOOKUP($A109,'Exetel ExDa'!$C$2:$N$14, 6,FALSE), IFERROR(VLOOKUP($A109,'Infinet ExDa'!$B$2:$E$14, 0,FALSE), "Not Found"))))))))</f>
        <v>FTTN</v>
      </c>
      <c r="G109" t="str">
        <f>IFERROR(VLOOKUP($A109,'AAPT ExDa'!$B$2:$U$99, 5,FALSE), IFERROR(VLOOKUP($A109,'ABB ExDa'!$A$2:$N$184, 8,FALSE), IFERROR(VLOOKUP($A109,'Vocus SIT ExDa'!$B$2:$J$173, 6,FALSE), IFERROR(VLOOKUP($A109,'Telstra ExDa'!$B$2:$K$310, 0,FALSE), IFERROR(VLOOKUP($A109,'Vocus RVC ExDa'!$C$2:$R$155, 15,FALSE), IFERROR(VLOOKUP($A109,'Fusion ExDa'!$B$2:$D$16, 0,FALSE), IFERROR(VLOOKUP($A109,'Exetel ExDa'!$C$2:$N$14, 7,FALSE), IFERROR(VLOOKUP($A109,'Infinet ExDa'!$B$2:$E$14, 0,FALSE), "Not Found"))))))))</f>
        <v>167.179.173.26</v>
      </c>
      <c r="H109" t="str">
        <f>IFERROR(VLOOKUP($A109,'AAPT ExDa'!$B$2:$U$99, 6,FALSE), IFERROR(VLOOKUP($A109,'ABB ExDa'!$A$2:$N$184, 0,FALSE), IFERROR(VLOOKUP($A109,'Vocus SIT ExDa'!$B$2:$J$173, 0,FALSE), IFERROR(VLOOKUP($A109,'Telstra ExDa'!$B$2:$K$310, 0,FALSE), IFERROR(VLOOKUP($A109,'Vocus RVC ExDa'!$C$2:$R$155, 16,FALSE), IFERROR(VLOOKUP($A109,'Fusion ExDa'!$B$2:$D$16, 0,FALSE), IFERROR(VLOOKUP($A109,'Exetel ExDa'!$C$2:$N$14, 0,FALSE), IFERROR(VLOOKUP($A109,'Infinet ExDa'!$B$2:$E$14, 0,FALSE), "Not Found"))))))))</f>
        <v>Not Found</v>
      </c>
      <c r="I109" t="str">
        <f>IFERROR(VLOOKUP($A109,'AAPT ExDa'!$B$2:$U$99, 0,FALSE), IFERROR(VLOOKUP($A109,'ABB ExDa'!$A$2:$N$184, 0,FALSE), IFERROR(VLOOKUP($A109,'Vocus SIT ExDa'!$B$2:$J$173, 0,FALSE), IFERROR(VLOOKUP($A109,'Telstra ExDa'!$B$2:$K$310, 0,FALSE), IFERROR(VLOOKUP($A109,'Vocus RVC ExDa'!$C$2:$R$155, 0,FALSE), IFERROR(VLOOKUP($A109,'Fusion ExDa'!$B$2:$D$16, 0,FALSE), IFERROR(VLOOKUP($A109,'Exetel ExDa'!$C$2:$N$14, 8,FALSE), IFERROR(VLOOKUP($A109,'Infinet ExDa'!$B$2:$E$14, 0,FALSE), "Not Found"))))))))</f>
        <v>Not Found</v>
      </c>
      <c r="J109" t="str">
        <f>IFERROR(VLOOKUP($A109,'AAPT ExDa'!$B$2:$U$99, 7,FALSE), IFERROR(VLOOKUP($A109,'ABB ExDa'!$A$2:$N$184, 2,FALSE), IFERROR(VLOOKUP($A109,'Vocus SIT ExDa'!$B$2:$J$173, 0,FALSE), IFERROR(VLOOKUP($A109,'Telstra ExDa'!$B$2:$K$310, 7,FALSE), IFERROR(VLOOKUP($A109,'Vocus RVC ExDa'!$C$2:$R$155, 2,FALSE), IFERROR(VLOOKUP($A109,'Fusion ExDa'!$B$2:$D$16, 3,FALSE), IFERROR(VLOOKUP($A109,'Exetel ExDa'!$C$2:$N$14, 0,FALSE), IFERROR(VLOOKUP($A109,'Infinet ExDa'!$B$2:$E$14, 0,FALSE), "Not Found"))))))))</f>
        <v>UN 4, 50 OWEN CREEK RD, FOREST GLEN QLD</v>
      </c>
      <c r="K109" t="str">
        <f>IFERROR(VLOOKUP($A109,'AAPT ExDa'!$B$2:$U$99, 12,FALSE), IFERROR(VLOOKUP($A109,'ABB ExDa'!$A$2:$N$184, 0,FALSE), IFERROR(VLOOKUP($A109,'Vocus SIT ExDa'!$B$2:$J$173, 0,FALSE), IFERROR(VLOOKUP($A109,'Telstra ExDa'!$B$2:$K$310, 0,FALSE), IFERROR(VLOOKUP($A109,'Vocus RVC ExDa'!$C$2:$R$155, 0,FALSE), IFERROR(VLOOKUP($A109,'Fusion ExDa'!$B$2:$D$16, 0,FALSE), IFERROR(VLOOKUP($A109,'Exetel ExDa'!$C$2:$N$14, 12,FALSE), IFERROR(VLOOKUP($A109,'Infinet ExDa'!$B$2:$E$14, 0,FALSE), "Not Found"))))))))</f>
        <v>Not Found</v>
      </c>
      <c r="L109" s="235" t="str">
        <f>IFERROR(VLOOKUP($A109,'AAPT ExDa'!$B$2:$U$99, 11,FALSE), IFERROR(VLOOKUP($A109,'ABB ExDa'!$A$2:$N$184, 9,FALSE), IFERROR(VLOOKUP($A109,'Vocus SIT ExDa'!$B$2:$J$173, 8,FALSE), IFERROR(VLOOKUP($A109,'Telstra ExDa'!$B$2:$K$310, 0,FALSE), IFERROR(VLOOKUP($A109,'Vocus RVC ExDa'!$C$2:$R$155, 0,FALSE), IFERROR(VLOOKUP($A109,'Fusion ExDa'!$B$2:$D$16, 0,FALSE), IFERROR(VLOOKUP($A109,'Exetel ExDa'!$C$2:$N$14, 9,FALSE), IFERROR(VLOOKUP($A109,'Infinet ExDa'!$B$2:$E$14, 0,FALSE), "Not Found"))))))))</f>
        <v>10 Oct 2025</v>
      </c>
      <c r="M109" s="234" t="str">
        <f>IFERROR(VLOOKUP($A109,'AAPT ExDa'!$B$2:$U$99, 0,FALSE), IFERROR(VLOOKUP($A109,'ABB ExDa'!$A$2:$N$184, 0,FALSE), IFERROR(VLOOKUP($A109,'Vocus SIT ExDa'!$B$2:$J$173, 0,FALSE), IFERROR(VLOOKUP($A109,'Telstra ExDa'!$B$2:$K$310, 0,FALSE), IFERROR(VLOOKUP($A109,'Vocus RVC ExDa'!$C$2:$R$155, 0,FALSE), IFERROR(VLOOKUP($A109,'Fusion ExDa'!$B$2:$D$16, 0,FALSE), IFERROR(VLOOKUP($A109,'Exetel ExDa'!$C$2:$N$14, 11,FALSE), IFERROR(VLOOKUP($A109,'Infinet ExDa'!$B$2:$E$14, 0,FALSE), "Not Found"))))))))</f>
        <v>Not Found</v>
      </c>
      <c r="N109" t="str">
        <f>IFERROR(VLOOKUP($A109,'AAPT ExDa'!$B$2:$U$99, 0,FALSE), IFERROR(VLOOKUP($A109,'ABB ExDa'!$A$2:$N$184, 13,FALSE), IFERROR(VLOOKUP($A109,'Vocus SIT ExDa'!$B$2:$J$173, 0,FALSE), IFERROR(VLOOKUP($A109,'Telstra ExDa'!$B$2:$K$310, 0,FALSE), IFERROR(VLOOKUP($A109,'Vocus RVC ExDa'!$C$2:$R$155, 0,FALSE), IFERROR(VLOOKUP($A109,'Fusion ExDa'!$B$2:$D$16, 0,FALSE), IFERROR(VLOOKUP($A109,'Exetel ExDa'!$C$2:$N$14, 0,FALSE), IFERROR(VLOOKUP($A109,'Infinet ExDa'!$B$2:$E$14, 0,FALSE), "Not Found"))))))))</f>
        <v>TBA</v>
      </c>
    </row>
    <row r="110" spans="1:14">
      <c r="A110" t="str">
        <v>Caneland Engineering</v>
      </c>
      <c r="B110" t="str">
        <f>IFERROR(VLOOKUP(A110,'Exetel ExDa'!$C$2:$N$14,4,FALSE),"No Data")</f>
        <v>No Data</v>
      </c>
      <c r="C110" t="str">
        <f>IFERROR(VLOOKUP(A110,'AAPT ExDa'!$B$2:$U$99, 2,FALSE), IFERROR(VLOOKUP(A110,'ABB ExDa'!$A$2:$N$184, 2,FALSE), IFERROR(VLOOKUP(A110,'Vocus SIT ExDa'!$B$2:$J$173, 7,FALSE), IFERROR(VLOOKUP(A110,'Telstra ExDa'!$B$2:$K$310, 2,FALSE), IFERROR(VLOOKUP(A110,'Vocus RVC ExDa'!$C$2:$R$155, 3,FALSE), IFERROR(VLOOKUP(A110,'Fusion ExDa'!$B$2:$D$16, 2,FALSE), IFERROR(VLOOKUP(A110,'Exetel ExDa'!$C$2:$N$14, 2,FALSE), IFERROR(VLOOKUP(A110,'Infinet ExDa'!$B$2:$E$14, 2,FALSE), "Not Found"))))))))</f>
        <v>25 PRODUCTION ST, SVENSSON HEIGHTS QLD</v>
      </c>
      <c r="D110" t="str">
        <f>IFERROR(VLOOKUP($A110,'AAPT ExDa'!$B$2:$U$99, 15,FALSE), IFERROR(VLOOKUP($A110,'ABB ExDa'!$A$2:$N$184, 4,FALSE), IFERROR(VLOOKUP($A110,'Vocus SIT ExDa'!$B$2:$J$173, 5,FALSE), IFERROR(VLOOKUP($A110,'Telstra ExDa'!$B$2:$K$310, 8,FALSE), IFERROR(VLOOKUP($A110,'Vocus RVC ExDa'!$C$2:$R$155, 6,FALSE), IFERROR(VLOOKUP($A110,'Fusion ExDa'!$B$2:$D$16, 4,FALSE), IFERROR(VLOOKUP($A110,'Exetel ExDa'!$C$2:$N$14, 3,FALSE), IFERROR(VLOOKUP($A110,'Infinet ExDa'!$B$2:$E$14, 3,FALSE), "Not Found"))))))))</f>
        <v>ABB</v>
      </c>
      <c r="E110" t="str">
        <f>IFERROR(VLOOKUP($A110,'AAPT ExDa'!$B$2:$U$99, 3,FALSE), IFERROR(VLOOKUP($A110,'ABB ExDa'!$A$2:$N$184, 5,FALSE), IFERROR(VLOOKUP($A110,'Vocus SIT ExDa'!$B$2:$J$173, 2,FALSE), IFERROR(VLOOKUP($A110,'Telstra ExDa'!$B$2:$K$310, 4,FALSE), IFERROR(VLOOKUP($A110,'Vocus RVC ExDa'!$C$2:$R$155, 8,FALSE), IFERROR(VLOOKUP($A110,'Fusion ExDa'!$B$2:$D$16, 4,FALSE), IFERROR(VLOOKUP($A110,'Exetel ExDa'!$C$2:$N$14, 5,FALSE), IFERROR(VLOOKUP($A110,'Infinet ExDa'!$B$2:$E$14, 3,FALSE), "Not Found"))))))))</f>
        <v>NBN 100/40</v>
      </c>
      <c r="F110" t="str">
        <f>IFERROR(VLOOKUP($A110,'AAPT ExDa'!$B$2:$U$99, 4,FALSE), IFERROR(VLOOKUP($A110,'ABB ExDa'!$A$2:$N$184, 6,FALSE), IFERROR(VLOOKUP($A110,'Vocus SIT ExDa'!$B$2:$J$173, 3,FALSE), IFERROR(VLOOKUP($A110,'Telstra ExDa'!$B$2:$K$310, 5,FALSE), IFERROR(VLOOKUP($A110,'Vocus RVC ExDa'!$C$2:$R$155, 9,FALSE), IFERROR(VLOOKUP($A110,'Fusion ExDa'!$B$2:$D$16, 0,FALSE), IFERROR(VLOOKUP($A110,'Exetel ExDa'!$C$2:$N$14, 6,FALSE), IFERROR(VLOOKUP($A110,'Infinet ExDa'!$B$2:$E$14, 0,FALSE), "Not Found"))))))))</f>
        <v>Fibre</v>
      </c>
      <c r="G110" t="str">
        <f>IFERROR(VLOOKUP($A110,'AAPT ExDa'!$B$2:$U$99, 5,FALSE), IFERROR(VLOOKUP($A110,'ABB ExDa'!$A$2:$N$184, 8,FALSE), IFERROR(VLOOKUP($A110,'Vocus SIT ExDa'!$B$2:$J$173, 6,FALSE), IFERROR(VLOOKUP($A110,'Telstra ExDa'!$B$2:$K$310, 0,FALSE), IFERROR(VLOOKUP($A110,'Vocus RVC ExDa'!$C$2:$R$155, 15,FALSE), IFERROR(VLOOKUP($A110,'Fusion ExDa'!$B$2:$D$16, 0,FALSE), IFERROR(VLOOKUP($A110,'Exetel ExDa'!$C$2:$N$14, 7,FALSE), IFERROR(VLOOKUP($A110,'Infinet ExDa'!$B$2:$E$14, 0,FALSE), "Not Found"))))))))</f>
        <v>144.6.255.211</v>
      </c>
      <c r="H110" t="str">
        <f>IFERROR(VLOOKUP($A110,'AAPT ExDa'!$B$2:$U$99, 6,FALSE), IFERROR(VLOOKUP($A110,'ABB ExDa'!$A$2:$N$184, 0,FALSE), IFERROR(VLOOKUP($A110,'Vocus SIT ExDa'!$B$2:$J$173, 0,FALSE), IFERROR(VLOOKUP($A110,'Telstra ExDa'!$B$2:$K$310, 0,FALSE), IFERROR(VLOOKUP($A110,'Vocus RVC ExDa'!$C$2:$R$155, 16,FALSE), IFERROR(VLOOKUP($A110,'Fusion ExDa'!$B$2:$D$16, 0,FALSE), IFERROR(VLOOKUP($A110,'Exetel ExDa'!$C$2:$N$14, 0,FALSE), IFERROR(VLOOKUP($A110,'Infinet ExDa'!$B$2:$E$14, 0,FALSE), "Not Found"))))))))</f>
        <v>Not Found</v>
      </c>
      <c r="I110" t="str">
        <f>IFERROR(VLOOKUP($A110,'AAPT ExDa'!$B$2:$U$99, 0,FALSE), IFERROR(VLOOKUP($A110,'ABB ExDa'!$A$2:$N$184, 0,FALSE), IFERROR(VLOOKUP($A110,'Vocus SIT ExDa'!$B$2:$J$173, 0,FALSE), IFERROR(VLOOKUP($A110,'Telstra ExDa'!$B$2:$K$310, 0,FALSE), IFERROR(VLOOKUP($A110,'Vocus RVC ExDa'!$C$2:$R$155, 0,FALSE), IFERROR(VLOOKUP($A110,'Fusion ExDa'!$B$2:$D$16, 0,FALSE), IFERROR(VLOOKUP($A110,'Exetel ExDa'!$C$2:$N$14, 8,FALSE), IFERROR(VLOOKUP($A110,'Infinet ExDa'!$B$2:$E$14, 0,FALSE), "Not Found"))))))))</f>
        <v>Not Found</v>
      </c>
      <c r="J110" t="str">
        <f>IFERROR(VLOOKUP($A110,'AAPT ExDa'!$B$2:$U$99, 7,FALSE), IFERROR(VLOOKUP($A110,'ABB ExDa'!$A$2:$N$184, 2,FALSE), IFERROR(VLOOKUP($A110,'Vocus SIT ExDa'!$B$2:$J$173, 0,FALSE), IFERROR(VLOOKUP($A110,'Telstra ExDa'!$B$2:$K$310, 7,FALSE), IFERROR(VLOOKUP($A110,'Vocus RVC ExDa'!$C$2:$R$155, 2,FALSE), IFERROR(VLOOKUP($A110,'Fusion ExDa'!$B$2:$D$16, 3,FALSE), IFERROR(VLOOKUP($A110,'Exetel ExDa'!$C$2:$N$14, 0,FALSE), IFERROR(VLOOKUP($A110,'Infinet ExDa'!$B$2:$E$14, 0,FALSE), "Not Found"))))))))</f>
        <v>25 PRODUCTION ST, SVENSSON HEIGHTS QLD</v>
      </c>
      <c r="K110" t="str">
        <f>IFERROR(VLOOKUP($A110,'AAPT ExDa'!$B$2:$U$99, 12,FALSE), IFERROR(VLOOKUP($A110,'ABB ExDa'!$A$2:$N$184, 0,FALSE), IFERROR(VLOOKUP($A110,'Vocus SIT ExDa'!$B$2:$J$173, 0,FALSE), IFERROR(VLOOKUP($A110,'Telstra ExDa'!$B$2:$K$310, 0,FALSE), IFERROR(VLOOKUP($A110,'Vocus RVC ExDa'!$C$2:$R$155, 0,FALSE), IFERROR(VLOOKUP($A110,'Fusion ExDa'!$B$2:$D$16, 0,FALSE), IFERROR(VLOOKUP($A110,'Exetel ExDa'!$C$2:$N$14, 12,FALSE), IFERROR(VLOOKUP($A110,'Infinet ExDa'!$B$2:$E$14, 0,FALSE), "Not Found"))))))))</f>
        <v>Not Found</v>
      </c>
      <c r="L110" s="235" t="str">
        <f>IFERROR(VLOOKUP($A110,'AAPT ExDa'!$B$2:$U$99, 11,FALSE), IFERROR(VLOOKUP($A110,'ABB ExDa'!$A$2:$N$184, 9,FALSE), IFERROR(VLOOKUP($A110,'Vocus SIT ExDa'!$B$2:$J$173, 8,FALSE), IFERROR(VLOOKUP($A110,'Telstra ExDa'!$B$2:$K$310, 0,FALSE), IFERROR(VLOOKUP($A110,'Vocus RVC ExDa'!$C$2:$R$155, 0,FALSE), IFERROR(VLOOKUP($A110,'Fusion ExDa'!$B$2:$D$16, 0,FALSE), IFERROR(VLOOKUP($A110,'Exetel ExDa'!$C$2:$N$14, 9,FALSE), IFERROR(VLOOKUP($A110,'Infinet ExDa'!$B$2:$E$14, 0,FALSE), "Not Found"))))))))</f>
        <v>12 May 2025</v>
      </c>
      <c r="M110" s="234" t="str">
        <f>IFERROR(VLOOKUP($A110,'AAPT ExDa'!$B$2:$U$99, 0,FALSE), IFERROR(VLOOKUP($A110,'ABB ExDa'!$A$2:$N$184, 0,FALSE), IFERROR(VLOOKUP($A110,'Vocus SIT ExDa'!$B$2:$J$173, 0,FALSE), IFERROR(VLOOKUP($A110,'Telstra ExDa'!$B$2:$K$310, 0,FALSE), IFERROR(VLOOKUP($A110,'Vocus RVC ExDa'!$C$2:$R$155, 0,FALSE), IFERROR(VLOOKUP($A110,'Fusion ExDa'!$B$2:$D$16, 0,FALSE), IFERROR(VLOOKUP($A110,'Exetel ExDa'!$C$2:$N$14, 11,FALSE), IFERROR(VLOOKUP($A110,'Infinet ExDa'!$B$2:$E$14, 0,FALSE), "Not Found"))))))))</f>
        <v>Not Found</v>
      </c>
      <c r="N110" t="str">
        <f>IFERROR(VLOOKUP($A110,'AAPT ExDa'!$B$2:$U$99, 0,FALSE), IFERROR(VLOOKUP($A110,'ABB ExDa'!$A$2:$N$184, 13,FALSE), IFERROR(VLOOKUP($A110,'Vocus SIT ExDa'!$B$2:$J$173, 0,FALSE), IFERROR(VLOOKUP($A110,'Telstra ExDa'!$B$2:$K$310, 0,FALSE), IFERROR(VLOOKUP($A110,'Vocus RVC ExDa'!$C$2:$R$155, 0,FALSE), IFERROR(VLOOKUP($A110,'Fusion ExDa'!$B$2:$D$16, 0,FALSE), IFERROR(VLOOKUP($A110,'Exetel ExDa'!$C$2:$N$14, 0,FALSE), IFERROR(VLOOKUP($A110,'Infinet ExDa'!$B$2:$E$14, 0,FALSE), "Not Found"))))))))</f>
        <v>Sasboss</v>
      </c>
    </row>
    <row r="111" spans="1:14">
      <c r="A111" t="str">
        <v>Clear Insurance</v>
      </c>
      <c r="B111" t="str">
        <f>IFERROR(VLOOKUP(A111,'Exetel ExDa'!$C$2:$N$14,4,FALSE),"No Data")</f>
        <v>No Data</v>
      </c>
      <c r="C111" t="str">
        <f>IFERROR(VLOOKUP(A111,'AAPT ExDa'!$B$2:$U$99, 2,FALSE), IFERROR(VLOOKUP(A111,'ABB ExDa'!$A$2:$N$184, 2,FALSE), IFERROR(VLOOKUP(A111,'Vocus SIT ExDa'!$B$2:$J$173, 7,FALSE), IFERROR(VLOOKUP(A111,'Telstra ExDa'!$B$2:$K$310, 2,FALSE), IFERROR(VLOOKUP(A111,'Vocus RVC ExDa'!$C$2:$R$155, 3,FALSE), IFERROR(VLOOKUP(A111,'Fusion ExDa'!$B$2:$D$16, 2,FALSE), IFERROR(VLOOKUP(A111,'Exetel ExDa'!$C$2:$N$14, 2,FALSE), IFERROR(VLOOKUP(A111,'Infinet ExDa'!$B$2:$E$14, 2,FALSE), "Not Found"))))))))</f>
        <v>OTHER 3, 116 RACECOURSE RD, ASCOT QLD</v>
      </c>
      <c r="D111" t="str">
        <f>IFERROR(VLOOKUP($A111,'AAPT ExDa'!$B$2:$U$99, 15,FALSE), IFERROR(VLOOKUP($A111,'ABB ExDa'!$A$2:$N$184, 4,FALSE), IFERROR(VLOOKUP($A111,'Vocus SIT ExDa'!$B$2:$J$173, 5,FALSE), IFERROR(VLOOKUP($A111,'Telstra ExDa'!$B$2:$K$310, 8,FALSE), IFERROR(VLOOKUP($A111,'Vocus RVC ExDa'!$C$2:$R$155, 6,FALSE), IFERROR(VLOOKUP($A111,'Fusion ExDa'!$B$2:$D$16, 4,FALSE), IFERROR(VLOOKUP($A111,'Exetel ExDa'!$C$2:$N$14, 3,FALSE), IFERROR(VLOOKUP($A111,'Infinet ExDa'!$B$2:$E$14, 3,FALSE), "Not Found"))))))))</f>
        <v>ABB</v>
      </c>
      <c r="E111" t="str">
        <f>IFERROR(VLOOKUP($A111,'AAPT ExDa'!$B$2:$U$99, 3,FALSE), IFERROR(VLOOKUP($A111,'ABB ExDa'!$A$2:$N$184, 5,FALSE), IFERROR(VLOOKUP($A111,'Vocus SIT ExDa'!$B$2:$J$173, 2,FALSE), IFERROR(VLOOKUP($A111,'Telstra ExDa'!$B$2:$K$310, 4,FALSE), IFERROR(VLOOKUP($A111,'Vocus RVC ExDa'!$C$2:$R$155, 8,FALSE), IFERROR(VLOOKUP($A111,'Fusion ExDa'!$B$2:$D$16, 4,FALSE), IFERROR(VLOOKUP($A111,'Exetel ExDa'!$C$2:$N$14, 5,FALSE), IFERROR(VLOOKUP($A111,'Infinet ExDa'!$B$2:$E$14, 3,FALSE), "Not Found"))))))))</f>
        <v>NBN 250/100</v>
      </c>
      <c r="F111" t="str">
        <f>IFERROR(VLOOKUP($A111,'AAPT ExDa'!$B$2:$U$99, 4,FALSE), IFERROR(VLOOKUP($A111,'ABB ExDa'!$A$2:$N$184, 6,FALSE), IFERROR(VLOOKUP($A111,'Vocus SIT ExDa'!$B$2:$J$173, 3,FALSE), IFERROR(VLOOKUP($A111,'Telstra ExDa'!$B$2:$K$310, 5,FALSE), IFERROR(VLOOKUP($A111,'Vocus RVC ExDa'!$C$2:$R$155, 9,FALSE), IFERROR(VLOOKUP($A111,'Fusion ExDa'!$B$2:$D$16, 0,FALSE), IFERROR(VLOOKUP($A111,'Exetel ExDa'!$C$2:$N$14, 6,FALSE), IFERROR(VLOOKUP($A111,'Infinet ExDa'!$B$2:$E$14, 0,FALSE), "Not Found"))))))))</f>
        <v>Fibre</v>
      </c>
      <c r="G111" t="str">
        <f>IFERROR(VLOOKUP($A111,'AAPT ExDa'!$B$2:$U$99, 5,FALSE), IFERROR(VLOOKUP($A111,'ABB ExDa'!$A$2:$N$184, 8,FALSE), IFERROR(VLOOKUP($A111,'Vocus SIT ExDa'!$B$2:$J$173, 6,FALSE), IFERROR(VLOOKUP($A111,'Telstra ExDa'!$B$2:$K$310, 0,FALSE), IFERROR(VLOOKUP($A111,'Vocus RVC ExDa'!$C$2:$R$155, 15,FALSE), IFERROR(VLOOKUP($A111,'Fusion ExDa'!$B$2:$D$16, 0,FALSE), IFERROR(VLOOKUP($A111,'Exetel ExDa'!$C$2:$N$14, 7,FALSE), IFERROR(VLOOKUP($A111,'Infinet ExDa'!$B$2:$E$14, 0,FALSE), "Not Found"))))))))</f>
        <v>180.181.209.186</v>
      </c>
      <c r="H111" t="str">
        <f>IFERROR(VLOOKUP($A111,'AAPT ExDa'!$B$2:$U$99, 6,FALSE), IFERROR(VLOOKUP($A111,'ABB ExDa'!$A$2:$N$184, 0,FALSE), IFERROR(VLOOKUP($A111,'Vocus SIT ExDa'!$B$2:$J$173, 0,FALSE), IFERROR(VLOOKUP($A111,'Telstra ExDa'!$B$2:$K$310, 0,FALSE), IFERROR(VLOOKUP($A111,'Vocus RVC ExDa'!$C$2:$R$155, 16,FALSE), IFERROR(VLOOKUP($A111,'Fusion ExDa'!$B$2:$D$16, 0,FALSE), IFERROR(VLOOKUP($A111,'Exetel ExDa'!$C$2:$N$14, 0,FALSE), IFERROR(VLOOKUP($A111,'Infinet ExDa'!$B$2:$E$14, 0,FALSE), "Not Found"))))))))</f>
        <v>Not Found</v>
      </c>
      <c r="I111" t="str">
        <f>IFERROR(VLOOKUP($A111,'AAPT ExDa'!$B$2:$U$99, 0,FALSE), IFERROR(VLOOKUP($A111,'ABB ExDa'!$A$2:$N$184, 0,FALSE), IFERROR(VLOOKUP($A111,'Vocus SIT ExDa'!$B$2:$J$173, 0,FALSE), IFERROR(VLOOKUP($A111,'Telstra ExDa'!$B$2:$K$310, 0,FALSE), IFERROR(VLOOKUP($A111,'Vocus RVC ExDa'!$C$2:$R$155, 0,FALSE), IFERROR(VLOOKUP($A111,'Fusion ExDa'!$B$2:$D$16, 0,FALSE), IFERROR(VLOOKUP($A111,'Exetel ExDa'!$C$2:$N$14, 8,FALSE), IFERROR(VLOOKUP($A111,'Infinet ExDa'!$B$2:$E$14, 0,FALSE), "Not Found"))))))))</f>
        <v>Not Found</v>
      </c>
      <c r="J111" t="str">
        <f>IFERROR(VLOOKUP($A111,'AAPT ExDa'!$B$2:$U$99, 7,FALSE), IFERROR(VLOOKUP($A111,'ABB ExDa'!$A$2:$N$184, 2,FALSE), IFERROR(VLOOKUP($A111,'Vocus SIT ExDa'!$B$2:$J$173, 0,FALSE), IFERROR(VLOOKUP($A111,'Telstra ExDa'!$B$2:$K$310, 7,FALSE), IFERROR(VLOOKUP($A111,'Vocus RVC ExDa'!$C$2:$R$155, 2,FALSE), IFERROR(VLOOKUP($A111,'Fusion ExDa'!$B$2:$D$16, 3,FALSE), IFERROR(VLOOKUP($A111,'Exetel ExDa'!$C$2:$N$14, 0,FALSE), IFERROR(VLOOKUP($A111,'Infinet ExDa'!$B$2:$E$14, 0,FALSE), "Not Found"))))))))</f>
        <v>OTHER 3, 116 RACECOURSE RD, ASCOT QLD</v>
      </c>
      <c r="K111" t="str">
        <f>IFERROR(VLOOKUP($A111,'AAPT ExDa'!$B$2:$U$99, 12,FALSE), IFERROR(VLOOKUP($A111,'ABB ExDa'!$A$2:$N$184, 0,FALSE), IFERROR(VLOOKUP($A111,'Vocus SIT ExDa'!$B$2:$J$173, 0,FALSE), IFERROR(VLOOKUP($A111,'Telstra ExDa'!$B$2:$K$310, 0,FALSE), IFERROR(VLOOKUP($A111,'Vocus RVC ExDa'!$C$2:$R$155, 0,FALSE), IFERROR(VLOOKUP($A111,'Fusion ExDa'!$B$2:$D$16, 0,FALSE), IFERROR(VLOOKUP($A111,'Exetel ExDa'!$C$2:$N$14, 12,FALSE), IFERROR(VLOOKUP($A111,'Infinet ExDa'!$B$2:$E$14, 0,FALSE), "Not Found"))))))))</f>
        <v>Not Found</v>
      </c>
      <c r="L111" s="235" t="str">
        <f>IFERROR(VLOOKUP($A111,'AAPT ExDa'!$B$2:$U$99, 11,FALSE), IFERROR(VLOOKUP($A111,'ABB ExDa'!$A$2:$N$184, 9,FALSE), IFERROR(VLOOKUP($A111,'Vocus SIT ExDa'!$B$2:$J$173, 8,FALSE), IFERROR(VLOOKUP($A111,'Telstra ExDa'!$B$2:$K$310, 0,FALSE), IFERROR(VLOOKUP($A111,'Vocus RVC ExDa'!$C$2:$R$155, 0,FALSE), IFERROR(VLOOKUP($A111,'Fusion ExDa'!$B$2:$D$16, 0,FALSE), IFERROR(VLOOKUP($A111,'Exetel ExDa'!$C$2:$N$14, 9,FALSE), IFERROR(VLOOKUP($A111,'Infinet ExDa'!$B$2:$E$14, 0,FALSE), "Not Found"))))))))</f>
        <v>30 May 2025</v>
      </c>
      <c r="M111" s="234" t="str">
        <f>IFERROR(VLOOKUP($A111,'AAPT ExDa'!$B$2:$U$99, 0,FALSE), IFERROR(VLOOKUP($A111,'ABB ExDa'!$A$2:$N$184, 0,FALSE), IFERROR(VLOOKUP($A111,'Vocus SIT ExDa'!$B$2:$J$173, 0,FALSE), IFERROR(VLOOKUP($A111,'Telstra ExDa'!$B$2:$K$310, 0,FALSE), IFERROR(VLOOKUP($A111,'Vocus RVC ExDa'!$C$2:$R$155, 0,FALSE), IFERROR(VLOOKUP($A111,'Fusion ExDa'!$B$2:$D$16, 0,FALSE), IFERROR(VLOOKUP($A111,'Exetel ExDa'!$C$2:$N$14, 11,FALSE), IFERROR(VLOOKUP($A111,'Infinet ExDa'!$B$2:$E$14, 0,FALSE), "Not Found"))))))))</f>
        <v>Not Found</v>
      </c>
      <c r="N111" t="str">
        <f>IFERROR(VLOOKUP($A111,'AAPT ExDa'!$B$2:$U$99, 0,FALSE), IFERROR(VLOOKUP($A111,'ABB ExDa'!$A$2:$N$184, 13,FALSE), IFERROR(VLOOKUP($A111,'Vocus SIT ExDa'!$B$2:$J$173, 0,FALSE), IFERROR(VLOOKUP($A111,'Telstra ExDa'!$B$2:$K$310, 0,FALSE), IFERROR(VLOOKUP($A111,'Vocus RVC ExDa'!$C$2:$R$155, 0,FALSE), IFERROR(VLOOKUP($A111,'Fusion ExDa'!$B$2:$D$16, 0,FALSE), IFERROR(VLOOKUP($A111,'Exetel ExDa'!$C$2:$N$14, 0,FALSE), IFERROR(VLOOKUP($A111,'Infinet ExDa'!$B$2:$E$14, 0,FALSE), "Not Found"))))))))</f>
        <v>Sasboss</v>
      </c>
    </row>
    <row r="112" spans="1:14">
      <c r="A112" t="str">
        <v>Coastal Financial Advisors</v>
      </c>
      <c r="B112" t="str">
        <f>IFERROR(VLOOKUP(A112,'Exetel ExDa'!$C$2:$N$14,4,FALSE),"No Data")</f>
        <v>No Data</v>
      </c>
      <c r="C112" t="str">
        <f>IFERROR(VLOOKUP(A112,'AAPT ExDa'!$B$2:$U$99, 2,FALSE), IFERROR(VLOOKUP(A112,'ABB ExDa'!$A$2:$N$184, 2,FALSE), IFERROR(VLOOKUP(A112,'Vocus SIT ExDa'!$B$2:$J$173, 7,FALSE), IFERROR(VLOOKUP(A112,'Telstra ExDa'!$B$2:$K$310, 2,FALSE), IFERROR(VLOOKUP(A112,'Vocus RVC ExDa'!$C$2:$R$155, 3,FALSE), IFERROR(VLOOKUP(A112,'Fusion ExDa'!$B$2:$D$16, 2,FALSE), IFERROR(VLOOKUP(A112,'Exetel ExDa'!$C$2:$N$14, 2,FALSE), IFERROR(VLOOKUP(A112,'Infinet ExDa'!$B$2:$E$14, 2,FALSE), "Not Found"))))))))</f>
        <v>SHOP 16, 72 WISES RD, BUDERIM QLD</v>
      </c>
      <c r="D112" t="str">
        <f>IFERROR(VLOOKUP($A112,'AAPT ExDa'!$B$2:$U$99, 15,FALSE), IFERROR(VLOOKUP($A112,'ABB ExDa'!$A$2:$N$184, 4,FALSE), IFERROR(VLOOKUP($A112,'Vocus SIT ExDa'!$B$2:$J$173, 5,FALSE), IFERROR(VLOOKUP($A112,'Telstra ExDa'!$B$2:$K$310, 8,FALSE), IFERROR(VLOOKUP($A112,'Vocus RVC ExDa'!$C$2:$R$155, 6,FALSE), IFERROR(VLOOKUP($A112,'Fusion ExDa'!$B$2:$D$16, 4,FALSE), IFERROR(VLOOKUP($A112,'Exetel ExDa'!$C$2:$N$14, 3,FALSE), IFERROR(VLOOKUP($A112,'Infinet ExDa'!$B$2:$E$14, 3,FALSE), "Not Found"))))))))</f>
        <v>ABB</v>
      </c>
      <c r="E112" t="str">
        <f>IFERROR(VLOOKUP($A112,'AAPT ExDa'!$B$2:$U$99, 3,FALSE), IFERROR(VLOOKUP($A112,'ABB ExDa'!$A$2:$N$184, 5,FALSE), IFERROR(VLOOKUP($A112,'Vocus SIT ExDa'!$B$2:$J$173, 2,FALSE), IFERROR(VLOOKUP($A112,'Telstra ExDa'!$B$2:$K$310, 4,FALSE), IFERROR(VLOOKUP($A112,'Vocus RVC ExDa'!$C$2:$R$155, 8,FALSE), IFERROR(VLOOKUP($A112,'Fusion ExDa'!$B$2:$D$16, 4,FALSE), IFERROR(VLOOKUP($A112,'Exetel ExDa'!$C$2:$N$14, 5,FALSE), IFERROR(VLOOKUP($A112,'Infinet ExDa'!$B$2:$E$14, 3,FALSE), "Not Found"))))))))</f>
        <v>NBN 100/40</v>
      </c>
      <c r="F112" t="str">
        <f>IFERROR(VLOOKUP($A112,'AAPT ExDa'!$B$2:$U$99, 4,FALSE), IFERROR(VLOOKUP($A112,'ABB ExDa'!$A$2:$N$184, 6,FALSE), IFERROR(VLOOKUP($A112,'Vocus SIT ExDa'!$B$2:$J$173, 3,FALSE), IFERROR(VLOOKUP($A112,'Telstra ExDa'!$B$2:$K$310, 5,FALSE), IFERROR(VLOOKUP($A112,'Vocus RVC ExDa'!$C$2:$R$155, 9,FALSE), IFERROR(VLOOKUP($A112,'Fusion ExDa'!$B$2:$D$16, 0,FALSE), IFERROR(VLOOKUP($A112,'Exetel ExDa'!$C$2:$N$14, 6,FALSE), IFERROR(VLOOKUP($A112,'Infinet ExDa'!$B$2:$E$14, 0,FALSE), "Not Found"))))))))</f>
        <v>FTTN</v>
      </c>
      <c r="G112" t="str">
        <f>IFERROR(VLOOKUP($A112,'AAPT ExDa'!$B$2:$U$99, 5,FALSE), IFERROR(VLOOKUP($A112,'ABB ExDa'!$A$2:$N$184, 8,FALSE), IFERROR(VLOOKUP($A112,'Vocus SIT ExDa'!$B$2:$J$173, 6,FALSE), IFERROR(VLOOKUP($A112,'Telstra ExDa'!$B$2:$K$310, 0,FALSE), IFERROR(VLOOKUP($A112,'Vocus RVC ExDa'!$C$2:$R$155, 15,FALSE), IFERROR(VLOOKUP($A112,'Fusion ExDa'!$B$2:$D$16, 0,FALSE), IFERROR(VLOOKUP($A112,'Exetel ExDa'!$C$2:$N$14, 7,FALSE), IFERROR(VLOOKUP($A112,'Infinet ExDa'!$B$2:$E$14, 0,FALSE), "Not Found"))))))))</f>
        <v>144.6.250.187</v>
      </c>
      <c r="H112" t="str">
        <f>IFERROR(VLOOKUP($A112,'AAPT ExDa'!$B$2:$U$99, 6,FALSE), IFERROR(VLOOKUP($A112,'ABB ExDa'!$A$2:$N$184, 0,FALSE), IFERROR(VLOOKUP($A112,'Vocus SIT ExDa'!$B$2:$J$173, 0,FALSE), IFERROR(VLOOKUP($A112,'Telstra ExDa'!$B$2:$K$310, 0,FALSE), IFERROR(VLOOKUP($A112,'Vocus RVC ExDa'!$C$2:$R$155, 16,FALSE), IFERROR(VLOOKUP($A112,'Fusion ExDa'!$B$2:$D$16, 0,FALSE), IFERROR(VLOOKUP($A112,'Exetel ExDa'!$C$2:$N$14, 0,FALSE), IFERROR(VLOOKUP($A112,'Infinet ExDa'!$B$2:$E$14, 0,FALSE), "Not Found"))))))))</f>
        <v>Not Found</v>
      </c>
      <c r="I112" t="str">
        <f>IFERROR(VLOOKUP($A112,'AAPT ExDa'!$B$2:$U$99, 0,FALSE), IFERROR(VLOOKUP($A112,'ABB ExDa'!$A$2:$N$184, 0,FALSE), IFERROR(VLOOKUP($A112,'Vocus SIT ExDa'!$B$2:$J$173, 0,FALSE), IFERROR(VLOOKUP($A112,'Telstra ExDa'!$B$2:$K$310, 0,FALSE), IFERROR(VLOOKUP($A112,'Vocus RVC ExDa'!$C$2:$R$155, 0,FALSE), IFERROR(VLOOKUP($A112,'Fusion ExDa'!$B$2:$D$16, 0,FALSE), IFERROR(VLOOKUP($A112,'Exetel ExDa'!$C$2:$N$14, 8,FALSE), IFERROR(VLOOKUP($A112,'Infinet ExDa'!$B$2:$E$14, 0,FALSE), "Not Found"))))))))</f>
        <v>Not Found</v>
      </c>
      <c r="J112" t="str">
        <f>IFERROR(VLOOKUP($A112,'AAPT ExDa'!$B$2:$U$99, 7,FALSE), IFERROR(VLOOKUP($A112,'ABB ExDa'!$A$2:$N$184, 2,FALSE), IFERROR(VLOOKUP($A112,'Vocus SIT ExDa'!$B$2:$J$173, 0,FALSE), IFERROR(VLOOKUP($A112,'Telstra ExDa'!$B$2:$K$310, 7,FALSE), IFERROR(VLOOKUP($A112,'Vocus RVC ExDa'!$C$2:$R$155, 2,FALSE), IFERROR(VLOOKUP($A112,'Fusion ExDa'!$B$2:$D$16, 3,FALSE), IFERROR(VLOOKUP($A112,'Exetel ExDa'!$C$2:$N$14, 0,FALSE), IFERROR(VLOOKUP($A112,'Infinet ExDa'!$B$2:$E$14, 0,FALSE), "Not Found"))))))))</f>
        <v>SHOP 16, 72 WISES RD, BUDERIM QLD</v>
      </c>
      <c r="K112" t="str">
        <f>IFERROR(VLOOKUP($A112,'AAPT ExDa'!$B$2:$U$99, 12,FALSE), IFERROR(VLOOKUP($A112,'ABB ExDa'!$A$2:$N$184, 0,FALSE), IFERROR(VLOOKUP($A112,'Vocus SIT ExDa'!$B$2:$J$173, 0,FALSE), IFERROR(VLOOKUP($A112,'Telstra ExDa'!$B$2:$K$310, 0,FALSE), IFERROR(VLOOKUP($A112,'Vocus RVC ExDa'!$C$2:$R$155, 0,FALSE), IFERROR(VLOOKUP($A112,'Fusion ExDa'!$B$2:$D$16, 0,FALSE), IFERROR(VLOOKUP($A112,'Exetel ExDa'!$C$2:$N$14, 12,FALSE), IFERROR(VLOOKUP($A112,'Infinet ExDa'!$B$2:$E$14, 0,FALSE), "Not Found"))))))))</f>
        <v>Not Found</v>
      </c>
      <c r="L112" s="235" t="str">
        <f>IFERROR(VLOOKUP($A112,'AAPT ExDa'!$B$2:$U$99, 11,FALSE), IFERROR(VLOOKUP($A112,'ABB ExDa'!$A$2:$N$184, 9,FALSE), IFERROR(VLOOKUP($A112,'Vocus SIT ExDa'!$B$2:$J$173, 8,FALSE), IFERROR(VLOOKUP($A112,'Telstra ExDa'!$B$2:$K$310, 0,FALSE), IFERROR(VLOOKUP($A112,'Vocus RVC ExDa'!$C$2:$R$155, 0,FALSE), IFERROR(VLOOKUP($A112,'Fusion ExDa'!$B$2:$D$16, 0,FALSE), IFERROR(VLOOKUP($A112,'Exetel ExDa'!$C$2:$N$14, 9,FALSE), IFERROR(VLOOKUP($A112,'Infinet ExDa'!$B$2:$E$14, 0,FALSE), "Not Found"))))))))</f>
        <v>3 Dec 2024</v>
      </c>
      <c r="M112" s="234" t="str">
        <f>IFERROR(VLOOKUP($A112,'AAPT ExDa'!$B$2:$U$99, 0,FALSE), IFERROR(VLOOKUP($A112,'ABB ExDa'!$A$2:$N$184, 0,FALSE), IFERROR(VLOOKUP($A112,'Vocus SIT ExDa'!$B$2:$J$173, 0,FALSE), IFERROR(VLOOKUP($A112,'Telstra ExDa'!$B$2:$K$310, 0,FALSE), IFERROR(VLOOKUP($A112,'Vocus RVC ExDa'!$C$2:$R$155, 0,FALSE), IFERROR(VLOOKUP($A112,'Fusion ExDa'!$B$2:$D$16, 0,FALSE), IFERROR(VLOOKUP($A112,'Exetel ExDa'!$C$2:$N$14, 11,FALSE), IFERROR(VLOOKUP($A112,'Infinet ExDa'!$B$2:$E$14, 0,FALSE), "Not Found"))))))))</f>
        <v>Not Found</v>
      </c>
      <c r="N112" t="str">
        <f>IFERROR(VLOOKUP($A112,'AAPT ExDa'!$B$2:$U$99, 0,FALSE), IFERROR(VLOOKUP($A112,'ABB ExDa'!$A$2:$N$184, 13,FALSE), IFERROR(VLOOKUP($A112,'Vocus SIT ExDa'!$B$2:$J$173, 0,FALSE), IFERROR(VLOOKUP($A112,'Telstra ExDa'!$B$2:$K$310, 0,FALSE), IFERROR(VLOOKUP($A112,'Vocus RVC ExDa'!$C$2:$R$155, 0,FALSE), IFERROR(VLOOKUP($A112,'Fusion ExDa'!$B$2:$D$16, 0,FALSE), IFERROR(VLOOKUP($A112,'Exetel ExDa'!$C$2:$N$14, 0,FALSE), IFERROR(VLOOKUP($A112,'Infinet ExDa'!$B$2:$E$14, 0,FALSE), "Not Found"))))))))</f>
        <v>TBA</v>
      </c>
    </row>
    <row r="113" spans="1:14">
      <c r="A113" t="str">
        <v>CU@N8S</v>
      </c>
      <c r="B113" t="str">
        <f>IFERROR(VLOOKUP(A113,'Exetel ExDa'!$C$2:$N$14,4,FALSE),"No Data")</f>
        <v>No Data</v>
      </c>
      <c r="C113" t="str">
        <f>IFERROR(VLOOKUP(A113,'AAPT ExDa'!$B$2:$U$99, 2,FALSE), IFERROR(VLOOKUP(A113,'ABB ExDa'!$A$2:$N$184, 2,FALSE), IFERROR(VLOOKUP(A113,'Vocus SIT ExDa'!$B$2:$J$173, 7,FALSE), IFERROR(VLOOKUP(A113,'Telstra ExDa'!$B$2:$K$310, 2,FALSE), IFERROR(VLOOKUP(A113,'Vocus RVC ExDa'!$C$2:$R$155, 3,FALSE), IFERROR(VLOOKUP(A113,'Fusion ExDa'!$B$2:$D$16, 2,FALSE), IFERROR(VLOOKUP(A113,'Exetel ExDa'!$C$2:$N$14, 2,FALSE), IFERROR(VLOOKUP(A113,'Infinet ExDa'!$B$2:$E$14, 2,FALSE), "Not Found"))))))))</f>
        <v>TNCY D11.1, 88 LIMESTONE ST, IPSWICH QLD</v>
      </c>
      <c r="D113" t="str">
        <f>IFERROR(VLOOKUP($A113,'AAPT ExDa'!$B$2:$U$99, 15,FALSE), IFERROR(VLOOKUP($A113,'ABB ExDa'!$A$2:$N$184, 4,FALSE), IFERROR(VLOOKUP($A113,'Vocus SIT ExDa'!$B$2:$J$173, 5,FALSE), IFERROR(VLOOKUP($A113,'Telstra ExDa'!$B$2:$K$310, 8,FALSE), IFERROR(VLOOKUP($A113,'Vocus RVC ExDa'!$C$2:$R$155, 6,FALSE), IFERROR(VLOOKUP($A113,'Fusion ExDa'!$B$2:$D$16, 4,FALSE), IFERROR(VLOOKUP($A113,'Exetel ExDa'!$C$2:$N$14, 3,FALSE), IFERROR(VLOOKUP($A113,'Infinet ExDa'!$B$2:$E$14, 3,FALSE), "Not Found"))))))))</f>
        <v>ABB</v>
      </c>
      <c r="E113" t="str">
        <f>IFERROR(VLOOKUP($A113,'AAPT ExDa'!$B$2:$U$99, 3,FALSE), IFERROR(VLOOKUP($A113,'ABB ExDa'!$A$2:$N$184, 5,FALSE), IFERROR(VLOOKUP($A113,'Vocus SIT ExDa'!$B$2:$J$173, 2,FALSE), IFERROR(VLOOKUP($A113,'Telstra ExDa'!$B$2:$K$310, 4,FALSE), IFERROR(VLOOKUP($A113,'Vocus RVC ExDa'!$C$2:$R$155, 8,FALSE), IFERROR(VLOOKUP($A113,'Fusion ExDa'!$B$2:$D$16, 4,FALSE), IFERROR(VLOOKUP($A113,'Exetel ExDa'!$C$2:$N$14, 5,FALSE), IFERROR(VLOOKUP($A113,'Infinet ExDa'!$B$2:$E$14, 3,FALSE), "Not Found"))))))))</f>
        <v>NBN 250/25</v>
      </c>
      <c r="F113" t="str">
        <f>IFERROR(VLOOKUP($A113,'AAPT ExDa'!$B$2:$U$99, 4,FALSE), IFERROR(VLOOKUP($A113,'ABB ExDa'!$A$2:$N$184, 6,FALSE), IFERROR(VLOOKUP($A113,'Vocus SIT ExDa'!$B$2:$J$173, 3,FALSE), IFERROR(VLOOKUP($A113,'Telstra ExDa'!$B$2:$K$310, 5,FALSE), IFERROR(VLOOKUP($A113,'Vocus RVC ExDa'!$C$2:$R$155, 9,FALSE), IFERROR(VLOOKUP($A113,'Fusion ExDa'!$B$2:$D$16, 0,FALSE), IFERROR(VLOOKUP($A113,'Exetel ExDa'!$C$2:$N$14, 6,FALSE), IFERROR(VLOOKUP($A113,'Infinet ExDa'!$B$2:$E$14, 0,FALSE), "Not Found"))))))))</f>
        <v>Fibre</v>
      </c>
      <c r="G113" t="str">
        <f>IFERROR(VLOOKUP($A113,'AAPT ExDa'!$B$2:$U$99, 5,FALSE), IFERROR(VLOOKUP($A113,'ABB ExDa'!$A$2:$N$184, 8,FALSE), IFERROR(VLOOKUP($A113,'Vocus SIT ExDa'!$B$2:$J$173, 6,FALSE), IFERROR(VLOOKUP($A113,'Telstra ExDa'!$B$2:$K$310, 0,FALSE), IFERROR(VLOOKUP($A113,'Vocus RVC ExDa'!$C$2:$R$155, 15,FALSE), IFERROR(VLOOKUP($A113,'Fusion ExDa'!$B$2:$D$16, 0,FALSE), IFERROR(VLOOKUP($A113,'Exetel ExDa'!$C$2:$N$14, 7,FALSE), IFERROR(VLOOKUP($A113,'Infinet ExDa'!$B$2:$E$14, 0,FALSE), "Not Found"))))))))</f>
        <v>144.6.105.128</v>
      </c>
      <c r="H113" t="str">
        <f>IFERROR(VLOOKUP($A113,'AAPT ExDa'!$B$2:$U$99, 6,FALSE), IFERROR(VLOOKUP($A113,'ABB ExDa'!$A$2:$N$184, 0,FALSE), IFERROR(VLOOKUP($A113,'Vocus SIT ExDa'!$B$2:$J$173, 0,FALSE), IFERROR(VLOOKUP($A113,'Telstra ExDa'!$B$2:$K$310, 0,FALSE), IFERROR(VLOOKUP($A113,'Vocus RVC ExDa'!$C$2:$R$155, 16,FALSE), IFERROR(VLOOKUP($A113,'Fusion ExDa'!$B$2:$D$16, 0,FALSE), IFERROR(VLOOKUP($A113,'Exetel ExDa'!$C$2:$N$14, 0,FALSE), IFERROR(VLOOKUP($A113,'Infinet ExDa'!$B$2:$E$14, 0,FALSE), "Not Found"))))))))</f>
        <v>Not Found</v>
      </c>
      <c r="I113" t="str">
        <f>IFERROR(VLOOKUP($A113,'AAPT ExDa'!$B$2:$U$99, 0,FALSE), IFERROR(VLOOKUP($A113,'ABB ExDa'!$A$2:$N$184, 0,FALSE), IFERROR(VLOOKUP($A113,'Vocus SIT ExDa'!$B$2:$J$173, 0,FALSE), IFERROR(VLOOKUP($A113,'Telstra ExDa'!$B$2:$K$310, 0,FALSE), IFERROR(VLOOKUP($A113,'Vocus RVC ExDa'!$C$2:$R$155, 0,FALSE), IFERROR(VLOOKUP($A113,'Fusion ExDa'!$B$2:$D$16, 0,FALSE), IFERROR(VLOOKUP($A113,'Exetel ExDa'!$C$2:$N$14, 8,FALSE), IFERROR(VLOOKUP($A113,'Infinet ExDa'!$B$2:$E$14, 0,FALSE), "Not Found"))))))))</f>
        <v>Not Found</v>
      </c>
      <c r="J113" t="str">
        <f>IFERROR(VLOOKUP($A113,'AAPT ExDa'!$B$2:$U$99, 7,FALSE), IFERROR(VLOOKUP($A113,'ABB ExDa'!$A$2:$N$184, 2,FALSE), IFERROR(VLOOKUP($A113,'Vocus SIT ExDa'!$B$2:$J$173, 0,FALSE), IFERROR(VLOOKUP($A113,'Telstra ExDa'!$B$2:$K$310, 7,FALSE), IFERROR(VLOOKUP($A113,'Vocus RVC ExDa'!$C$2:$R$155, 2,FALSE), IFERROR(VLOOKUP($A113,'Fusion ExDa'!$B$2:$D$16, 3,FALSE), IFERROR(VLOOKUP($A113,'Exetel ExDa'!$C$2:$N$14, 0,FALSE), IFERROR(VLOOKUP($A113,'Infinet ExDa'!$B$2:$E$14, 0,FALSE), "Not Found"))))))))</f>
        <v>TNCY D11.1, 88 LIMESTONE ST, IPSWICH QLD</v>
      </c>
      <c r="K113" t="str">
        <f>IFERROR(VLOOKUP($A113,'AAPT ExDa'!$B$2:$U$99, 12,FALSE), IFERROR(VLOOKUP($A113,'ABB ExDa'!$A$2:$N$184, 0,FALSE), IFERROR(VLOOKUP($A113,'Vocus SIT ExDa'!$B$2:$J$173, 0,FALSE), IFERROR(VLOOKUP($A113,'Telstra ExDa'!$B$2:$K$310, 0,FALSE), IFERROR(VLOOKUP($A113,'Vocus RVC ExDa'!$C$2:$R$155, 0,FALSE), IFERROR(VLOOKUP($A113,'Fusion ExDa'!$B$2:$D$16, 0,FALSE), IFERROR(VLOOKUP($A113,'Exetel ExDa'!$C$2:$N$14, 12,FALSE), IFERROR(VLOOKUP($A113,'Infinet ExDa'!$B$2:$E$14, 0,FALSE), "Not Found"))))))))</f>
        <v>Not Found</v>
      </c>
      <c r="L113" s="235" t="str">
        <f>IFERROR(VLOOKUP($A113,'AAPT ExDa'!$B$2:$U$99, 11,FALSE), IFERROR(VLOOKUP($A113,'ABB ExDa'!$A$2:$N$184, 9,FALSE), IFERROR(VLOOKUP($A113,'Vocus SIT ExDa'!$B$2:$J$173, 8,FALSE), IFERROR(VLOOKUP($A113,'Telstra ExDa'!$B$2:$K$310, 0,FALSE), IFERROR(VLOOKUP($A113,'Vocus RVC ExDa'!$C$2:$R$155, 0,FALSE), IFERROR(VLOOKUP($A113,'Fusion ExDa'!$B$2:$D$16, 0,FALSE), IFERROR(VLOOKUP($A113,'Exetel ExDa'!$C$2:$N$14, 9,FALSE), IFERROR(VLOOKUP($A113,'Infinet ExDa'!$B$2:$E$14, 0,FALSE), "Not Found"))))))))</f>
        <v>28 April 2025</v>
      </c>
      <c r="M113" s="234" t="str">
        <f>IFERROR(VLOOKUP($A113,'AAPT ExDa'!$B$2:$U$99, 0,FALSE), IFERROR(VLOOKUP($A113,'ABB ExDa'!$A$2:$N$184, 0,FALSE), IFERROR(VLOOKUP($A113,'Vocus SIT ExDa'!$B$2:$J$173, 0,FALSE), IFERROR(VLOOKUP($A113,'Telstra ExDa'!$B$2:$K$310, 0,FALSE), IFERROR(VLOOKUP($A113,'Vocus RVC ExDa'!$C$2:$R$155, 0,FALSE), IFERROR(VLOOKUP($A113,'Fusion ExDa'!$B$2:$D$16, 0,FALSE), IFERROR(VLOOKUP($A113,'Exetel ExDa'!$C$2:$N$14, 11,FALSE), IFERROR(VLOOKUP($A113,'Infinet ExDa'!$B$2:$E$14, 0,FALSE), "Not Found"))))))))</f>
        <v>Not Found</v>
      </c>
      <c r="N113">
        <f>IFERROR(VLOOKUP($A113,'AAPT ExDa'!$B$2:$U$99, 0,FALSE), IFERROR(VLOOKUP($A113,'ABB ExDa'!$A$2:$N$184, 13,FALSE), IFERROR(VLOOKUP($A113,'Vocus SIT ExDa'!$B$2:$J$173, 0,FALSE), IFERROR(VLOOKUP($A113,'Telstra ExDa'!$B$2:$K$310, 0,FALSE), IFERROR(VLOOKUP($A113,'Vocus RVC ExDa'!$C$2:$R$155, 0,FALSE), IFERROR(VLOOKUP($A113,'Fusion ExDa'!$B$2:$D$16, 0,FALSE), IFERROR(VLOOKUP($A113,'Exetel ExDa'!$C$2:$N$14, 0,FALSE), IFERROR(VLOOKUP($A113,'Infinet ExDa'!$B$2:$E$14, 0,FALSE), "Not Found"))))))))</f>
        <v>0</v>
      </c>
    </row>
    <row r="114" spans="1:14">
      <c r="A114" t="str">
        <v>DJ Steel Biloela</v>
      </c>
      <c r="B114" t="str">
        <f>IFERROR(VLOOKUP(A114,'Exetel ExDa'!$C$2:$N$14,4,FALSE),"No Data")</f>
        <v>No Data</v>
      </c>
      <c r="C114" t="str">
        <f>IFERROR(VLOOKUP(A114,'AAPT ExDa'!$B$2:$U$99, 2,FALSE), IFERROR(VLOOKUP(A114,'ABB ExDa'!$A$2:$N$184, 2,FALSE), IFERROR(VLOOKUP(A114,'Vocus SIT ExDa'!$B$2:$J$173, 7,FALSE), IFERROR(VLOOKUP(A114,'Telstra ExDa'!$B$2:$K$310, 2,FALSE), IFERROR(VLOOKUP(A114,'Vocus RVC ExDa'!$C$2:$R$155, 3,FALSE), IFERROR(VLOOKUP(A114,'Fusion ExDa'!$B$2:$D$16, 2,FALSE), IFERROR(VLOOKUP(A114,'Exetel ExDa'!$C$2:$N$14, 2,FALSE), IFERROR(VLOOKUP(A114,'Infinet ExDa'!$B$2:$E$14, 2,FALSE), "Not Found"))))))))</f>
        <v>49 DAWSON HWY, BILOELA QLD</v>
      </c>
      <c r="D114" t="str">
        <f>IFERROR(VLOOKUP($A114,'AAPT ExDa'!$B$2:$U$99, 15,FALSE), IFERROR(VLOOKUP($A114,'ABB ExDa'!$A$2:$N$184, 4,FALSE), IFERROR(VLOOKUP($A114,'Vocus SIT ExDa'!$B$2:$J$173, 5,FALSE), IFERROR(VLOOKUP($A114,'Telstra ExDa'!$B$2:$K$310, 8,FALSE), IFERROR(VLOOKUP($A114,'Vocus RVC ExDa'!$C$2:$R$155, 6,FALSE), IFERROR(VLOOKUP($A114,'Fusion ExDa'!$B$2:$D$16, 4,FALSE), IFERROR(VLOOKUP($A114,'Exetel ExDa'!$C$2:$N$14, 3,FALSE), IFERROR(VLOOKUP($A114,'Infinet ExDa'!$B$2:$E$14, 3,FALSE), "Not Found"))))))))</f>
        <v>ABB</v>
      </c>
      <c r="E114" t="str">
        <f>IFERROR(VLOOKUP($A114,'AAPT ExDa'!$B$2:$U$99, 3,FALSE), IFERROR(VLOOKUP($A114,'ABB ExDa'!$A$2:$N$184, 5,FALSE), IFERROR(VLOOKUP($A114,'Vocus SIT ExDa'!$B$2:$J$173, 2,FALSE), IFERROR(VLOOKUP($A114,'Telstra ExDa'!$B$2:$K$310, 4,FALSE), IFERROR(VLOOKUP($A114,'Vocus RVC ExDa'!$C$2:$R$155, 8,FALSE), IFERROR(VLOOKUP($A114,'Fusion ExDa'!$B$2:$D$16, 4,FALSE), IFERROR(VLOOKUP($A114,'Exetel ExDa'!$C$2:$N$14, 5,FALSE), IFERROR(VLOOKUP($A114,'Infinet ExDa'!$B$2:$E$14, 3,FALSE), "Not Found"))))))))</f>
        <v>NBN 100/40</v>
      </c>
      <c r="F114" t="str">
        <f>IFERROR(VLOOKUP($A114,'AAPT ExDa'!$B$2:$U$99, 4,FALSE), IFERROR(VLOOKUP($A114,'ABB ExDa'!$A$2:$N$184, 6,FALSE), IFERROR(VLOOKUP($A114,'Vocus SIT ExDa'!$B$2:$J$173, 3,FALSE), IFERROR(VLOOKUP($A114,'Telstra ExDa'!$B$2:$K$310, 5,FALSE), IFERROR(VLOOKUP($A114,'Vocus RVC ExDa'!$C$2:$R$155, 9,FALSE), IFERROR(VLOOKUP($A114,'Fusion ExDa'!$B$2:$D$16, 0,FALSE), IFERROR(VLOOKUP($A114,'Exetel ExDa'!$C$2:$N$14, 6,FALSE), IFERROR(VLOOKUP($A114,'Infinet ExDa'!$B$2:$E$14, 0,FALSE), "Not Found"))))))))</f>
        <v xml:space="preserve">Fibre </v>
      </c>
      <c r="G114" t="str">
        <f>IFERROR(VLOOKUP($A114,'AAPT ExDa'!$B$2:$U$99, 5,FALSE), IFERROR(VLOOKUP($A114,'ABB ExDa'!$A$2:$N$184, 8,FALSE), IFERROR(VLOOKUP($A114,'Vocus SIT ExDa'!$B$2:$J$173, 6,FALSE), IFERROR(VLOOKUP($A114,'Telstra ExDa'!$B$2:$K$310, 0,FALSE), IFERROR(VLOOKUP($A114,'Vocus RVC ExDa'!$C$2:$R$155, 15,FALSE), IFERROR(VLOOKUP($A114,'Fusion ExDa'!$B$2:$D$16, 0,FALSE), IFERROR(VLOOKUP($A114,'Exetel ExDa'!$C$2:$N$14, 7,FALSE), IFERROR(VLOOKUP($A114,'Infinet ExDa'!$B$2:$E$14, 0,FALSE), "Not Found"))))))))</f>
        <v>144.6.124.137</v>
      </c>
      <c r="H114" t="str">
        <f>IFERROR(VLOOKUP($A114,'AAPT ExDa'!$B$2:$U$99, 6,FALSE), IFERROR(VLOOKUP($A114,'ABB ExDa'!$A$2:$N$184, 0,FALSE), IFERROR(VLOOKUP($A114,'Vocus SIT ExDa'!$B$2:$J$173, 0,FALSE), IFERROR(VLOOKUP($A114,'Telstra ExDa'!$B$2:$K$310, 0,FALSE), IFERROR(VLOOKUP($A114,'Vocus RVC ExDa'!$C$2:$R$155, 16,FALSE), IFERROR(VLOOKUP($A114,'Fusion ExDa'!$B$2:$D$16, 0,FALSE), IFERROR(VLOOKUP($A114,'Exetel ExDa'!$C$2:$N$14, 0,FALSE), IFERROR(VLOOKUP($A114,'Infinet ExDa'!$B$2:$E$14, 0,FALSE), "Not Found"))))))))</f>
        <v>Not Found</v>
      </c>
      <c r="I114" t="str">
        <f>IFERROR(VLOOKUP($A114,'AAPT ExDa'!$B$2:$U$99, 0,FALSE), IFERROR(VLOOKUP($A114,'ABB ExDa'!$A$2:$N$184, 0,FALSE), IFERROR(VLOOKUP($A114,'Vocus SIT ExDa'!$B$2:$J$173, 0,FALSE), IFERROR(VLOOKUP($A114,'Telstra ExDa'!$B$2:$K$310, 0,FALSE), IFERROR(VLOOKUP($A114,'Vocus RVC ExDa'!$C$2:$R$155, 0,FALSE), IFERROR(VLOOKUP($A114,'Fusion ExDa'!$B$2:$D$16, 0,FALSE), IFERROR(VLOOKUP($A114,'Exetel ExDa'!$C$2:$N$14, 8,FALSE), IFERROR(VLOOKUP($A114,'Infinet ExDa'!$B$2:$E$14, 0,FALSE), "Not Found"))))))))</f>
        <v>Not Found</v>
      </c>
      <c r="J114" t="str">
        <f>IFERROR(VLOOKUP($A114,'AAPT ExDa'!$B$2:$U$99, 7,FALSE), IFERROR(VLOOKUP($A114,'ABB ExDa'!$A$2:$N$184, 2,FALSE), IFERROR(VLOOKUP($A114,'Vocus SIT ExDa'!$B$2:$J$173, 0,FALSE), IFERROR(VLOOKUP($A114,'Telstra ExDa'!$B$2:$K$310, 7,FALSE), IFERROR(VLOOKUP($A114,'Vocus RVC ExDa'!$C$2:$R$155, 2,FALSE), IFERROR(VLOOKUP($A114,'Fusion ExDa'!$B$2:$D$16, 3,FALSE), IFERROR(VLOOKUP($A114,'Exetel ExDa'!$C$2:$N$14, 0,FALSE), IFERROR(VLOOKUP($A114,'Infinet ExDa'!$B$2:$E$14, 0,FALSE), "Not Found"))))))))</f>
        <v>49 DAWSON HWY, BILOELA QLD</v>
      </c>
      <c r="K114" t="str">
        <f>IFERROR(VLOOKUP($A114,'AAPT ExDa'!$B$2:$U$99, 12,FALSE), IFERROR(VLOOKUP($A114,'ABB ExDa'!$A$2:$N$184, 0,FALSE), IFERROR(VLOOKUP($A114,'Vocus SIT ExDa'!$B$2:$J$173, 0,FALSE), IFERROR(VLOOKUP($A114,'Telstra ExDa'!$B$2:$K$310, 0,FALSE), IFERROR(VLOOKUP($A114,'Vocus RVC ExDa'!$C$2:$R$155, 0,FALSE), IFERROR(VLOOKUP($A114,'Fusion ExDa'!$B$2:$D$16, 0,FALSE), IFERROR(VLOOKUP($A114,'Exetel ExDa'!$C$2:$N$14, 12,FALSE), IFERROR(VLOOKUP($A114,'Infinet ExDa'!$B$2:$E$14, 0,FALSE), "Not Found"))))))))</f>
        <v>Not Found</v>
      </c>
      <c r="L114" s="235" t="str">
        <f>IFERROR(VLOOKUP($A114,'AAPT ExDa'!$B$2:$U$99, 11,FALSE), IFERROR(VLOOKUP($A114,'ABB ExDa'!$A$2:$N$184, 9,FALSE), IFERROR(VLOOKUP($A114,'Vocus SIT ExDa'!$B$2:$J$173, 8,FALSE), IFERROR(VLOOKUP($A114,'Telstra ExDa'!$B$2:$K$310, 0,FALSE), IFERROR(VLOOKUP($A114,'Vocus RVC ExDa'!$C$2:$R$155, 0,FALSE), IFERROR(VLOOKUP($A114,'Fusion ExDa'!$B$2:$D$16, 0,FALSE), IFERROR(VLOOKUP($A114,'Exetel ExDa'!$C$2:$N$14, 9,FALSE), IFERROR(VLOOKUP($A114,'Infinet ExDa'!$B$2:$E$14, 0,FALSE), "Not Found"))))))))</f>
        <v>15 Jan 2025</v>
      </c>
      <c r="M114" s="234" t="str">
        <f>IFERROR(VLOOKUP($A114,'AAPT ExDa'!$B$2:$U$99, 0,FALSE), IFERROR(VLOOKUP($A114,'ABB ExDa'!$A$2:$N$184, 0,FALSE), IFERROR(VLOOKUP($A114,'Vocus SIT ExDa'!$B$2:$J$173, 0,FALSE), IFERROR(VLOOKUP($A114,'Telstra ExDa'!$B$2:$K$310, 0,FALSE), IFERROR(VLOOKUP($A114,'Vocus RVC ExDa'!$C$2:$R$155, 0,FALSE), IFERROR(VLOOKUP($A114,'Fusion ExDa'!$B$2:$D$16, 0,FALSE), IFERROR(VLOOKUP($A114,'Exetel ExDa'!$C$2:$N$14, 11,FALSE), IFERROR(VLOOKUP($A114,'Infinet ExDa'!$B$2:$E$14, 0,FALSE), "Not Found"))))))))</f>
        <v>Not Found</v>
      </c>
      <c r="N114" t="str">
        <f>IFERROR(VLOOKUP($A114,'AAPT ExDa'!$B$2:$U$99, 0,FALSE), IFERROR(VLOOKUP($A114,'ABB ExDa'!$A$2:$N$184, 13,FALSE), IFERROR(VLOOKUP($A114,'Vocus SIT ExDa'!$B$2:$J$173, 0,FALSE), IFERROR(VLOOKUP($A114,'Telstra ExDa'!$B$2:$K$310, 0,FALSE), IFERROR(VLOOKUP($A114,'Vocus RVC ExDa'!$C$2:$R$155, 0,FALSE), IFERROR(VLOOKUP($A114,'Fusion ExDa'!$B$2:$D$16, 0,FALSE), IFERROR(VLOOKUP($A114,'Exetel ExDa'!$C$2:$N$14, 0,FALSE), IFERROR(VLOOKUP($A114,'Infinet ExDa'!$B$2:$E$14, 0,FALSE), "Not Found"))))))))</f>
        <v>Sasboss</v>
      </c>
    </row>
    <row r="115" spans="1:14">
      <c r="A115" t="str">
        <v>Doyles Trade Center</v>
      </c>
      <c r="B115" t="str">
        <f>IFERROR(VLOOKUP(A115,'Exetel ExDa'!$C$2:$N$14,4,FALSE),"No Data")</f>
        <v>No Data</v>
      </c>
      <c r="C115" t="str">
        <f>IFERROR(VLOOKUP(A115,'AAPT ExDa'!$B$2:$U$99, 2,FALSE), IFERROR(VLOOKUP(A115,'ABB ExDa'!$A$2:$N$184, 2,FALSE), IFERROR(VLOOKUP(A115,'Vocus SIT ExDa'!$B$2:$J$173, 7,FALSE), IFERROR(VLOOKUP(A115,'Telstra ExDa'!$B$2:$K$310, 2,FALSE), IFERROR(VLOOKUP(A115,'Vocus RVC ExDa'!$C$2:$R$155, 3,FALSE), IFERROR(VLOOKUP(A115,'Fusion ExDa'!$B$2:$D$16, 2,FALSE), IFERROR(VLOOKUP(A115,'Exetel ExDa'!$C$2:$N$14, 2,FALSE), IFERROR(VLOOKUP(A115,'Infinet ExDa'!$B$2:$E$14, 2,FALSE), "Not Found"))))))))</f>
        <v>30 KEDRON AV, MITCHELTON QLD</v>
      </c>
      <c r="D115" t="str">
        <f>IFERROR(VLOOKUP($A115,'AAPT ExDa'!$B$2:$U$99, 15,FALSE), IFERROR(VLOOKUP($A115,'ABB ExDa'!$A$2:$N$184, 4,FALSE), IFERROR(VLOOKUP($A115,'Vocus SIT ExDa'!$B$2:$J$173, 5,FALSE), IFERROR(VLOOKUP($A115,'Telstra ExDa'!$B$2:$K$310, 8,FALSE), IFERROR(VLOOKUP($A115,'Vocus RVC ExDa'!$C$2:$R$155, 6,FALSE), IFERROR(VLOOKUP($A115,'Fusion ExDa'!$B$2:$D$16, 4,FALSE), IFERROR(VLOOKUP($A115,'Exetel ExDa'!$C$2:$N$14, 3,FALSE), IFERROR(VLOOKUP($A115,'Infinet ExDa'!$B$2:$E$14, 3,FALSE), "Not Found"))))))))</f>
        <v>ABB</v>
      </c>
      <c r="E115" t="str">
        <f>IFERROR(VLOOKUP($A115,'AAPT ExDa'!$B$2:$U$99, 3,FALSE), IFERROR(VLOOKUP($A115,'ABB ExDa'!$A$2:$N$184, 5,FALSE), IFERROR(VLOOKUP($A115,'Vocus SIT ExDa'!$B$2:$J$173, 2,FALSE), IFERROR(VLOOKUP($A115,'Telstra ExDa'!$B$2:$K$310, 4,FALSE), IFERROR(VLOOKUP($A115,'Vocus RVC ExDa'!$C$2:$R$155, 8,FALSE), IFERROR(VLOOKUP($A115,'Fusion ExDa'!$B$2:$D$16, 4,FALSE), IFERROR(VLOOKUP($A115,'Exetel ExDa'!$C$2:$N$14, 5,FALSE), IFERROR(VLOOKUP($A115,'Infinet ExDa'!$B$2:$E$14, 3,FALSE), "Not Found"))))))))</f>
        <v>NBN 100/40</v>
      </c>
      <c r="F115" t="str">
        <f>IFERROR(VLOOKUP($A115,'AAPT ExDa'!$B$2:$U$99, 4,FALSE), IFERROR(VLOOKUP($A115,'ABB ExDa'!$A$2:$N$184, 6,FALSE), IFERROR(VLOOKUP($A115,'Vocus SIT ExDa'!$B$2:$J$173, 3,FALSE), IFERROR(VLOOKUP($A115,'Telstra ExDa'!$B$2:$K$310, 5,FALSE), IFERROR(VLOOKUP($A115,'Vocus RVC ExDa'!$C$2:$R$155, 9,FALSE), IFERROR(VLOOKUP($A115,'Fusion ExDa'!$B$2:$D$16, 0,FALSE), IFERROR(VLOOKUP($A115,'Exetel ExDa'!$C$2:$N$14, 6,FALSE), IFERROR(VLOOKUP($A115,'Infinet ExDa'!$B$2:$E$14, 0,FALSE), "Not Found"))))))))</f>
        <v>HFC</v>
      </c>
      <c r="G115" t="str">
        <f>IFERROR(VLOOKUP($A115,'AAPT ExDa'!$B$2:$U$99, 5,FALSE), IFERROR(VLOOKUP($A115,'ABB ExDa'!$A$2:$N$184, 8,FALSE), IFERROR(VLOOKUP($A115,'Vocus SIT ExDa'!$B$2:$J$173, 6,FALSE), IFERROR(VLOOKUP($A115,'Telstra ExDa'!$B$2:$K$310, 0,FALSE), IFERROR(VLOOKUP($A115,'Vocus RVC ExDa'!$C$2:$R$155, 15,FALSE), IFERROR(VLOOKUP($A115,'Fusion ExDa'!$B$2:$D$16, 0,FALSE), IFERROR(VLOOKUP($A115,'Exetel ExDa'!$C$2:$N$14, 7,FALSE), IFERROR(VLOOKUP($A115,'Infinet ExDa'!$B$2:$E$14, 0,FALSE), "Not Found"))))))))</f>
        <v>159.196.4.165</v>
      </c>
      <c r="H115" t="str">
        <f>IFERROR(VLOOKUP($A115,'AAPT ExDa'!$B$2:$U$99, 6,FALSE), IFERROR(VLOOKUP($A115,'ABB ExDa'!$A$2:$N$184, 0,FALSE), IFERROR(VLOOKUP($A115,'Vocus SIT ExDa'!$B$2:$J$173, 0,FALSE), IFERROR(VLOOKUP($A115,'Telstra ExDa'!$B$2:$K$310, 0,FALSE), IFERROR(VLOOKUP($A115,'Vocus RVC ExDa'!$C$2:$R$155, 16,FALSE), IFERROR(VLOOKUP($A115,'Fusion ExDa'!$B$2:$D$16, 0,FALSE), IFERROR(VLOOKUP($A115,'Exetel ExDa'!$C$2:$N$14, 0,FALSE), IFERROR(VLOOKUP($A115,'Infinet ExDa'!$B$2:$E$14, 0,FALSE), "Not Found"))))))))</f>
        <v>Not Found</v>
      </c>
      <c r="I115" t="str">
        <f>IFERROR(VLOOKUP($A115,'AAPT ExDa'!$B$2:$U$99, 0,FALSE), IFERROR(VLOOKUP($A115,'ABB ExDa'!$A$2:$N$184, 0,FALSE), IFERROR(VLOOKUP($A115,'Vocus SIT ExDa'!$B$2:$J$173, 0,FALSE), IFERROR(VLOOKUP($A115,'Telstra ExDa'!$B$2:$K$310, 0,FALSE), IFERROR(VLOOKUP($A115,'Vocus RVC ExDa'!$C$2:$R$155, 0,FALSE), IFERROR(VLOOKUP($A115,'Fusion ExDa'!$B$2:$D$16, 0,FALSE), IFERROR(VLOOKUP($A115,'Exetel ExDa'!$C$2:$N$14, 8,FALSE), IFERROR(VLOOKUP($A115,'Infinet ExDa'!$B$2:$E$14, 0,FALSE), "Not Found"))))))))</f>
        <v>Not Found</v>
      </c>
      <c r="J115" t="str">
        <f>IFERROR(VLOOKUP($A115,'AAPT ExDa'!$B$2:$U$99, 7,FALSE), IFERROR(VLOOKUP($A115,'ABB ExDa'!$A$2:$N$184, 2,FALSE), IFERROR(VLOOKUP($A115,'Vocus SIT ExDa'!$B$2:$J$173, 0,FALSE), IFERROR(VLOOKUP($A115,'Telstra ExDa'!$B$2:$K$310, 7,FALSE), IFERROR(VLOOKUP($A115,'Vocus RVC ExDa'!$C$2:$R$155, 2,FALSE), IFERROR(VLOOKUP($A115,'Fusion ExDa'!$B$2:$D$16, 3,FALSE), IFERROR(VLOOKUP($A115,'Exetel ExDa'!$C$2:$N$14, 0,FALSE), IFERROR(VLOOKUP($A115,'Infinet ExDa'!$B$2:$E$14, 0,FALSE), "Not Found"))))))))</f>
        <v>30 KEDRON AV, MITCHELTON QLD</v>
      </c>
      <c r="K115" t="str">
        <f>IFERROR(VLOOKUP($A115,'AAPT ExDa'!$B$2:$U$99, 12,FALSE), IFERROR(VLOOKUP($A115,'ABB ExDa'!$A$2:$N$184, 0,FALSE), IFERROR(VLOOKUP($A115,'Vocus SIT ExDa'!$B$2:$J$173, 0,FALSE), IFERROR(VLOOKUP($A115,'Telstra ExDa'!$B$2:$K$310, 0,FALSE), IFERROR(VLOOKUP($A115,'Vocus RVC ExDa'!$C$2:$R$155, 0,FALSE), IFERROR(VLOOKUP($A115,'Fusion ExDa'!$B$2:$D$16, 0,FALSE), IFERROR(VLOOKUP($A115,'Exetel ExDa'!$C$2:$N$14, 12,FALSE), IFERROR(VLOOKUP($A115,'Infinet ExDa'!$B$2:$E$14, 0,FALSE), "Not Found"))))))))</f>
        <v>Not Found</v>
      </c>
      <c r="L115" s="235" t="str">
        <f>IFERROR(VLOOKUP($A115,'AAPT ExDa'!$B$2:$U$99, 11,FALSE), IFERROR(VLOOKUP($A115,'ABB ExDa'!$A$2:$N$184, 9,FALSE), IFERROR(VLOOKUP($A115,'Vocus SIT ExDa'!$B$2:$J$173, 8,FALSE), IFERROR(VLOOKUP($A115,'Telstra ExDa'!$B$2:$K$310, 0,FALSE), IFERROR(VLOOKUP($A115,'Vocus RVC ExDa'!$C$2:$R$155, 0,FALSE), IFERROR(VLOOKUP($A115,'Fusion ExDa'!$B$2:$D$16, 0,FALSE), IFERROR(VLOOKUP($A115,'Exetel ExDa'!$C$2:$N$14, 9,FALSE), IFERROR(VLOOKUP($A115,'Infinet ExDa'!$B$2:$E$14, 0,FALSE), "Not Found"))))))))</f>
        <v>10 May 2023</v>
      </c>
      <c r="M115" s="234" t="str">
        <f>IFERROR(VLOOKUP($A115,'AAPT ExDa'!$B$2:$U$99, 0,FALSE), IFERROR(VLOOKUP($A115,'ABB ExDa'!$A$2:$N$184, 0,FALSE), IFERROR(VLOOKUP($A115,'Vocus SIT ExDa'!$B$2:$J$173, 0,FALSE), IFERROR(VLOOKUP($A115,'Telstra ExDa'!$B$2:$K$310, 0,FALSE), IFERROR(VLOOKUP($A115,'Vocus RVC ExDa'!$C$2:$R$155, 0,FALSE), IFERROR(VLOOKUP($A115,'Fusion ExDa'!$B$2:$D$16, 0,FALSE), IFERROR(VLOOKUP($A115,'Exetel ExDa'!$C$2:$N$14, 11,FALSE), IFERROR(VLOOKUP($A115,'Infinet ExDa'!$B$2:$E$14, 0,FALSE), "Not Found"))))))))</f>
        <v>Not Found</v>
      </c>
      <c r="N115" t="str">
        <f>IFERROR(VLOOKUP($A115,'AAPT ExDa'!$B$2:$U$99, 0,FALSE), IFERROR(VLOOKUP($A115,'ABB ExDa'!$A$2:$N$184, 13,FALSE), IFERROR(VLOOKUP($A115,'Vocus SIT ExDa'!$B$2:$J$173, 0,FALSE), IFERROR(VLOOKUP($A115,'Telstra ExDa'!$B$2:$K$310, 0,FALSE), IFERROR(VLOOKUP($A115,'Vocus RVC ExDa'!$C$2:$R$155, 0,FALSE), IFERROR(VLOOKUP($A115,'Fusion ExDa'!$B$2:$D$16, 0,FALSE), IFERROR(VLOOKUP($A115,'Exetel ExDa'!$C$2:$N$14, 0,FALSE), IFERROR(VLOOKUP($A115,'Infinet ExDa'!$B$2:$E$14, 0,FALSE), "Not Found"))))))))</f>
        <v>Sasboss/Datagate</v>
      </c>
    </row>
    <row r="116" spans="1:14">
      <c r="A116" t="str">
        <v>Emergency Medical Foundation</v>
      </c>
      <c r="B116" t="str">
        <f>IFERROR(VLOOKUP(A116,'Exetel ExDa'!$C$2:$N$14,4,FALSE),"No Data")</f>
        <v>No Data</v>
      </c>
      <c r="C116" t="str">
        <f>IFERROR(VLOOKUP(A116,'AAPT ExDa'!$B$2:$U$99, 2,FALSE), IFERROR(VLOOKUP(A116,'ABB ExDa'!$A$2:$N$184, 2,FALSE), IFERROR(VLOOKUP(A116,'Vocus SIT ExDa'!$B$2:$J$173, 7,FALSE), IFERROR(VLOOKUP(A116,'Telstra ExDa'!$B$2:$K$310, 2,FALSE), IFERROR(VLOOKUP(A116,'Vocus RVC ExDa'!$C$2:$R$155, 3,FALSE), IFERROR(VLOOKUP(A116,'Fusion ExDa'!$B$2:$D$16, 2,FALSE), IFERROR(VLOOKUP(A116,'Exetel ExDa'!$C$2:$N$14, 2,FALSE), IFERROR(VLOOKUP(A116,'Infinet ExDa'!$B$2:$E$14, 2,FALSE), "Not Found"))))))))</f>
        <v>UN 1, 34 SHERWOOD RD, TOOWONG QLD</v>
      </c>
      <c r="D116" t="str">
        <f>IFERROR(VLOOKUP($A116,'AAPT ExDa'!$B$2:$U$99, 15,FALSE), IFERROR(VLOOKUP($A116,'ABB ExDa'!$A$2:$N$184, 4,FALSE), IFERROR(VLOOKUP($A116,'Vocus SIT ExDa'!$B$2:$J$173, 5,FALSE), IFERROR(VLOOKUP($A116,'Telstra ExDa'!$B$2:$K$310, 8,FALSE), IFERROR(VLOOKUP($A116,'Vocus RVC ExDa'!$C$2:$R$155, 6,FALSE), IFERROR(VLOOKUP($A116,'Fusion ExDa'!$B$2:$D$16, 4,FALSE), IFERROR(VLOOKUP($A116,'Exetel ExDa'!$C$2:$N$14, 3,FALSE), IFERROR(VLOOKUP($A116,'Infinet ExDa'!$B$2:$E$14, 3,FALSE), "Not Found"))))))))</f>
        <v>ABB</v>
      </c>
      <c r="E116" t="str">
        <f>IFERROR(VLOOKUP($A116,'AAPT ExDa'!$B$2:$U$99, 3,FALSE), IFERROR(VLOOKUP($A116,'ABB ExDa'!$A$2:$N$184, 5,FALSE), IFERROR(VLOOKUP($A116,'Vocus SIT ExDa'!$B$2:$J$173, 2,FALSE), IFERROR(VLOOKUP($A116,'Telstra ExDa'!$B$2:$K$310, 4,FALSE), IFERROR(VLOOKUP($A116,'Vocus RVC ExDa'!$C$2:$R$155, 8,FALSE), IFERROR(VLOOKUP($A116,'Fusion ExDa'!$B$2:$D$16, 4,FALSE), IFERROR(VLOOKUP($A116,'Exetel ExDa'!$C$2:$N$14, 5,FALSE), IFERROR(VLOOKUP($A116,'Infinet ExDa'!$B$2:$E$14, 3,FALSE), "Not Found"))))))))</f>
        <v>NBN 100/40</v>
      </c>
      <c r="F116" t="str">
        <f>IFERROR(VLOOKUP($A116,'AAPT ExDa'!$B$2:$U$99, 4,FALSE), IFERROR(VLOOKUP($A116,'ABB ExDa'!$A$2:$N$184, 6,FALSE), IFERROR(VLOOKUP($A116,'Vocus SIT ExDa'!$B$2:$J$173, 3,FALSE), IFERROR(VLOOKUP($A116,'Telstra ExDa'!$B$2:$K$310, 5,FALSE), IFERROR(VLOOKUP($A116,'Vocus RVC ExDa'!$C$2:$R$155, 9,FALSE), IFERROR(VLOOKUP($A116,'Fusion ExDa'!$B$2:$D$16, 0,FALSE), IFERROR(VLOOKUP($A116,'Exetel ExDa'!$C$2:$N$14, 6,FALSE), IFERROR(VLOOKUP($A116,'Infinet ExDa'!$B$2:$E$14, 0,FALSE), "Not Found"))))))))</f>
        <v>FTTC</v>
      </c>
      <c r="G116" t="str">
        <f>IFERROR(VLOOKUP($A116,'AAPT ExDa'!$B$2:$U$99, 5,FALSE), IFERROR(VLOOKUP($A116,'ABB ExDa'!$A$2:$N$184, 8,FALSE), IFERROR(VLOOKUP($A116,'Vocus SIT ExDa'!$B$2:$J$173, 6,FALSE), IFERROR(VLOOKUP($A116,'Telstra ExDa'!$B$2:$K$310, 0,FALSE), IFERROR(VLOOKUP($A116,'Vocus RVC ExDa'!$C$2:$R$155, 15,FALSE), IFERROR(VLOOKUP($A116,'Fusion ExDa'!$B$2:$D$16, 0,FALSE), IFERROR(VLOOKUP($A116,'Exetel ExDa'!$C$2:$N$14, 7,FALSE), IFERROR(VLOOKUP($A116,'Infinet ExDa'!$B$2:$E$14, 0,FALSE), "Not Found"))))))))</f>
        <v>144.6.126.18</v>
      </c>
      <c r="H116" t="str">
        <f>IFERROR(VLOOKUP($A116,'AAPT ExDa'!$B$2:$U$99, 6,FALSE), IFERROR(VLOOKUP($A116,'ABB ExDa'!$A$2:$N$184, 0,FALSE), IFERROR(VLOOKUP($A116,'Vocus SIT ExDa'!$B$2:$J$173, 0,FALSE), IFERROR(VLOOKUP($A116,'Telstra ExDa'!$B$2:$K$310, 0,FALSE), IFERROR(VLOOKUP($A116,'Vocus RVC ExDa'!$C$2:$R$155, 16,FALSE), IFERROR(VLOOKUP($A116,'Fusion ExDa'!$B$2:$D$16, 0,FALSE), IFERROR(VLOOKUP($A116,'Exetel ExDa'!$C$2:$N$14, 0,FALSE), IFERROR(VLOOKUP($A116,'Infinet ExDa'!$B$2:$E$14, 0,FALSE), "Not Found"))))))))</f>
        <v>Not Found</v>
      </c>
      <c r="I116" t="str">
        <f>IFERROR(VLOOKUP($A116,'AAPT ExDa'!$B$2:$U$99, 0,FALSE), IFERROR(VLOOKUP($A116,'ABB ExDa'!$A$2:$N$184, 0,FALSE), IFERROR(VLOOKUP($A116,'Vocus SIT ExDa'!$B$2:$J$173, 0,FALSE), IFERROR(VLOOKUP($A116,'Telstra ExDa'!$B$2:$K$310, 0,FALSE), IFERROR(VLOOKUP($A116,'Vocus RVC ExDa'!$C$2:$R$155, 0,FALSE), IFERROR(VLOOKUP($A116,'Fusion ExDa'!$B$2:$D$16, 0,FALSE), IFERROR(VLOOKUP($A116,'Exetel ExDa'!$C$2:$N$14, 8,FALSE), IFERROR(VLOOKUP($A116,'Infinet ExDa'!$B$2:$E$14, 0,FALSE), "Not Found"))))))))</f>
        <v>Not Found</v>
      </c>
      <c r="J116" t="str">
        <f>IFERROR(VLOOKUP($A116,'AAPT ExDa'!$B$2:$U$99, 7,FALSE), IFERROR(VLOOKUP($A116,'ABB ExDa'!$A$2:$N$184, 2,FALSE), IFERROR(VLOOKUP($A116,'Vocus SIT ExDa'!$B$2:$J$173, 0,FALSE), IFERROR(VLOOKUP($A116,'Telstra ExDa'!$B$2:$K$310, 7,FALSE), IFERROR(VLOOKUP($A116,'Vocus RVC ExDa'!$C$2:$R$155, 2,FALSE), IFERROR(VLOOKUP($A116,'Fusion ExDa'!$B$2:$D$16, 3,FALSE), IFERROR(VLOOKUP($A116,'Exetel ExDa'!$C$2:$N$14, 0,FALSE), IFERROR(VLOOKUP($A116,'Infinet ExDa'!$B$2:$E$14, 0,FALSE), "Not Found"))))))))</f>
        <v>UN 1, 34 SHERWOOD RD, TOOWONG QLD</v>
      </c>
      <c r="K116" t="str">
        <f>IFERROR(VLOOKUP($A116,'AAPT ExDa'!$B$2:$U$99, 12,FALSE), IFERROR(VLOOKUP($A116,'ABB ExDa'!$A$2:$N$184, 0,FALSE), IFERROR(VLOOKUP($A116,'Vocus SIT ExDa'!$B$2:$J$173, 0,FALSE), IFERROR(VLOOKUP($A116,'Telstra ExDa'!$B$2:$K$310, 0,FALSE), IFERROR(VLOOKUP($A116,'Vocus RVC ExDa'!$C$2:$R$155, 0,FALSE), IFERROR(VLOOKUP($A116,'Fusion ExDa'!$B$2:$D$16, 0,FALSE), IFERROR(VLOOKUP($A116,'Exetel ExDa'!$C$2:$N$14, 12,FALSE), IFERROR(VLOOKUP($A116,'Infinet ExDa'!$B$2:$E$14, 0,FALSE), "Not Found"))))))))</f>
        <v>Not Found</v>
      </c>
      <c r="L116" s="235" t="str">
        <f>IFERROR(VLOOKUP($A116,'AAPT ExDa'!$B$2:$U$99, 11,FALSE), IFERROR(VLOOKUP($A116,'ABB ExDa'!$A$2:$N$184, 9,FALSE), IFERROR(VLOOKUP($A116,'Vocus SIT ExDa'!$B$2:$J$173, 8,FALSE), IFERROR(VLOOKUP($A116,'Telstra ExDa'!$B$2:$K$310, 0,FALSE), IFERROR(VLOOKUP($A116,'Vocus RVC ExDa'!$C$2:$R$155, 0,FALSE), IFERROR(VLOOKUP($A116,'Fusion ExDa'!$B$2:$D$16, 0,FALSE), IFERROR(VLOOKUP($A116,'Exetel ExDa'!$C$2:$N$14, 9,FALSE), IFERROR(VLOOKUP($A116,'Infinet ExDa'!$B$2:$E$14, 0,FALSE), "Not Found"))))))))</f>
        <v>16 July 2024</v>
      </c>
      <c r="M116" s="234" t="str">
        <f>IFERROR(VLOOKUP($A116,'AAPT ExDa'!$B$2:$U$99, 0,FALSE), IFERROR(VLOOKUP($A116,'ABB ExDa'!$A$2:$N$184, 0,FALSE), IFERROR(VLOOKUP($A116,'Vocus SIT ExDa'!$B$2:$J$173, 0,FALSE), IFERROR(VLOOKUP($A116,'Telstra ExDa'!$B$2:$K$310, 0,FALSE), IFERROR(VLOOKUP($A116,'Vocus RVC ExDa'!$C$2:$R$155, 0,FALSE), IFERROR(VLOOKUP($A116,'Fusion ExDa'!$B$2:$D$16, 0,FALSE), IFERROR(VLOOKUP($A116,'Exetel ExDa'!$C$2:$N$14, 11,FALSE), IFERROR(VLOOKUP($A116,'Infinet ExDa'!$B$2:$E$14, 0,FALSE), "Not Found"))))))))</f>
        <v>Not Found</v>
      </c>
      <c r="N116" t="str">
        <f>IFERROR(VLOOKUP($A116,'AAPT ExDa'!$B$2:$U$99, 0,FALSE), IFERROR(VLOOKUP($A116,'ABB ExDa'!$A$2:$N$184, 13,FALSE), IFERROR(VLOOKUP($A116,'Vocus SIT ExDa'!$B$2:$J$173, 0,FALSE), IFERROR(VLOOKUP($A116,'Telstra ExDa'!$B$2:$K$310, 0,FALSE), IFERROR(VLOOKUP($A116,'Vocus RVC ExDa'!$C$2:$R$155, 0,FALSE), IFERROR(VLOOKUP($A116,'Fusion ExDa'!$B$2:$D$16, 0,FALSE), IFERROR(VLOOKUP($A116,'Exetel ExDa'!$C$2:$N$14, 0,FALSE), IFERROR(VLOOKUP($A116,'Infinet ExDa'!$B$2:$E$14, 0,FALSE), "Not Found"))))))))</f>
        <v>Sasboss/Datagate</v>
      </c>
    </row>
    <row r="117" spans="1:14">
      <c r="A117" t="str">
        <v xml:space="preserve">Energy Pro </v>
      </c>
      <c r="B117" t="str">
        <f>IFERROR(VLOOKUP(A117,'Exetel ExDa'!$C$2:$N$14,4,FALSE),"No Data")</f>
        <v>No Data</v>
      </c>
      <c r="C117" t="str">
        <f>IFERROR(VLOOKUP(A117,'AAPT ExDa'!$B$2:$U$99, 2,FALSE), IFERROR(VLOOKUP(A117,'ABB ExDa'!$A$2:$N$184, 2,FALSE), IFERROR(VLOOKUP(A117,'Vocus SIT ExDa'!$B$2:$J$173, 7,FALSE), IFERROR(VLOOKUP(A117,'Telstra ExDa'!$B$2:$K$310, 2,FALSE), IFERROR(VLOOKUP(A117,'Vocus RVC ExDa'!$C$2:$R$155, 3,FALSE), IFERROR(VLOOKUP(A117,'Fusion ExDa'!$B$2:$D$16, 2,FALSE), IFERROR(VLOOKUP(A117,'Exetel ExDa'!$C$2:$N$14, 2,FALSE), IFERROR(VLOOKUP(A117,'Infinet ExDa'!$B$2:$E$14, 2,FALSE), "Not Found"))))))))</f>
        <v>ROOM CCTV, 95 NORTH QY, BRISBANE CITY QLD</v>
      </c>
      <c r="D117" t="str">
        <f>IFERROR(VLOOKUP($A117,'AAPT ExDa'!$B$2:$U$99, 15,FALSE), IFERROR(VLOOKUP($A117,'ABB ExDa'!$A$2:$N$184, 4,FALSE), IFERROR(VLOOKUP($A117,'Vocus SIT ExDa'!$B$2:$J$173, 5,FALSE), IFERROR(VLOOKUP($A117,'Telstra ExDa'!$B$2:$K$310, 8,FALSE), IFERROR(VLOOKUP($A117,'Vocus RVC ExDa'!$C$2:$R$155, 6,FALSE), IFERROR(VLOOKUP($A117,'Fusion ExDa'!$B$2:$D$16, 4,FALSE), IFERROR(VLOOKUP($A117,'Exetel ExDa'!$C$2:$N$14, 3,FALSE), IFERROR(VLOOKUP($A117,'Infinet ExDa'!$B$2:$E$14, 3,FALSE), "Not Found"))))))))</f>
        <v>ABB</v>
      </c>
      <c r="E117" t="str">
        <f>IFERROR(VLOOKUP($A117,'AAPT ExDa'!$B$2:$U$99, 3,FALSE), IFERROR(VLOOKUP($A117,'ABB ExDa'!$A$2:$N$184, 5,FALSE), IFERROR(VLOOKUP($A117,'Vocus SIT ExDa'!$B$2:$J$173, 2,FALSE), IFERROR(VLOOKUP($A117,'Telstra ExDa'!$B$2:$K$310, 4,FALSE), IFERROR(VLOOKUP($A117,'Vocus RVC ExDa'!$C$2:$R$155, 8,FALSE), IFERROR(VLOOKUP($A117,'Fusion ExDa'!$B$2:$D$16, 4,FALSE), IFERROR(VLOOKUP($A117,'Exetel ExDa'!$C$2:$N$14, 5,FALSE), IFERROR(VLOOKUP($A117,'Infinet ExDa'!$B$2:$E$14, 3,FALSE), "Not Found"))))))))</f>
        <v>NBN 50/20</v>
      </c>
      <c r="F117" t="str">
        <f>IFERROR(VLOOKUP($A117,'AAPT ExDa'!$B$2:$U$99, 4,FALSE), IFERROR(VLOOKUP($A117,'ABB ExDa'!$A$2:$N$184, 6,FALSE), IFERROR(VLOOKUP($A117,'Vocus SIT ExDa'!$B$2:$J$173, 3,FALSE), IFERROR(VLOOKUP($A117,'Telstra ExDa'!$B$2:$K$310, 5,FALSE), IFERROR(VLOOKUP($A117,'Vocus RVC ExDa'!$C$2:$R$155, 9,FALSE), IFERROR(VLOOKUP($A117,'Fusion ExDa'!$B$2:$D$16, 0,FALSE), IFERROR(VLOOKUP($A117,'Exetel ExDa'!$C$2:$N$14, 6,FALSE), IFERROR(VLOOKUP($A117,'Infinet ExDa'!$B$2:$E$14, 0,FALSE), "Not Found"))))))))</f>
        <v>FTTB</v>
      </c>
      <c r="G117" t="str">
        <f>IFERROR(VLOOKUP($A117,'AAPT ExDa'!$B$2:$U$99, 5,FALSE), IFERROR(VLOOKUP($A117,'ABB ExDa'!$A$2:$N$184, 8,FALSE), IFERROR(VLOOKUP($A117,'Vocus SIT ExDa'!$B$2:$J$173, 6,FALSE), IFERROR(VLOOKUP($A117,'Telstra ExDa'!$B$2:$K$310, 0,FALSE), IFERROR(VLOOKUP($A117,'Vocus RVC ExDa'!$C$2:$R$155, 15,FALSE), IFERROR(VLOOKUP($A117,'Fusion ExDa'!$B$2:$D$16, 0,FALSE), IFERROR(VLOOKUP($A117,'Exetel ExDa'!$C$2:$N$14, 7,FALSE), IFERROR(VLOOKUP($A117,'Infinet ExDa'!$B$2:$E$14, 0,FALSE), "Not Found"))))))))</f>
        <v>144.6.115.206</v>
      </c>
      <c r="H117" t="str">
        <f>IFERROR(VLOOKUP($A117,'AAPT ExDa'!$B$2:$U$99, 6,FALSE), IFERROR(VLOOKUP($A117,'ABB ExDa'!$A$2:$N$184, 0,FALSE), IFERROR(VLOOKUP($A117,'Vocus SIT ExDa'!$B$2:$J$173, 0,FALSE), IFERROR(VLOOKUP($A117,'Telstra ExDa'!$B$2:$K$310, 0,FALSE), IFERROR(VLOOKUP($A117,'Vocus RVC ExDa'!$C$2:$R$155, 16,FALSE), IFERROR(VLOOKUP($A117,'Fusion ExDa'!$B$2:$D$16, 0,FALSE), IFERROR(VLOOKUP($A117,'Exetel ExDa'!$C$2:$N$14, 0,FALSE), IFERROR(VLOOKUP($A117,'Infinet ExDa'!$B$2:$E$14, 0,FALSE), "Not Found"))))))))</f>
        <v>Not Found</v>
      </c>
      <c r="I117" t="str">
        <f>IFERROR(VLOOKUP($A117,'AAPT ExDa'!$B$2:$U$99, 0,FALSE), IFERROR(VLOOKUP($A117,'ABB ExDa'!$A$2:$N$184, 0,FALSE), IFERROR(VLOOKUP($A117,'Vocus SIT ExDa'!$B$2:$J$173, 0,FALSE), IFERROR(VLOOKUP($A117,'Telstra ExDa'!$B$2:$K$310, 0,FALSE), IFERROR(VLOOKUP($A117,'Vocus RVC ExDa'!$C$2:$R$155, 0,FALSE), IFERROR(VLOOKUP($A117,'Fusion ExDa'!$B$2:$D$16, 0,FALSE), IFERROR(VLOOKUP($A117,'Exetel ExDa'!$C$2:$N$14, 8,FALSE), IFERROR(VLOOKUP($A117,'Infinet ExDa'!$B$2:$E$14, 0,FALSE), "Not Found"))))))))</f>
        <v>Not Found</v>
      </c>
      <c r="J117" t="str">
        <f>IFERROR(VLOOKUP($A117,'AAPT ExDa'!$B$2:$U$99, 7,FALSE), IFERROR(VLOOKUP($A117,'ABB ExDa'!$A$2:$N$184, 2,FALSE), IFERROR(VLOOKUP($A117,'Vocus SIT ExDa'!$B$2:$J$173, 0,FALSE), IFERROR(VLOOKUP($A117,'Telstra ExDa'!$B$2:$K$310, 7,FALSE), IFERROR(VLOOKUP($A117,'Vocus RVC ExDa'!$C$2:$R$155, 2,FALSE), IFERROR(VLOOKUP($A117,'Fusion ExDa'!$B$2:$D$16, 3,FALSE), IFERROR(VLOOKUP($A117,'Exetel ExDa'!$C$2:$N$14, 0,FALSE), IFERROR(VLOOKUP($A117,'Infinet ExDa'!$B$2:$E$14, 0,FALSE), "Not Found"))))))))</f>
        <v>ROOM CCTV, 95 NORTH QY, BRISBANE CITY QLD</v>
      </c>
      <c r="K117" t="str">
        <f>IFERROR(VLOOKUP($A117,'AAPT ExDa'!$B$2:$U$99, 12,FALSE), IFERROR(VLOOKUP($A117,'ABB ExDa'!$A$2:$N$184, 0,FALSE), IFERROR(VLOOKUP($A117,'Vocus SIT ExDa'!$B$2:$J$173, 0,FALSE), IFERROR(VLOOKUP($A117,'Telstra ExDa'!$B$2:$K$310, 0,FALSE), IFERROR(VLOOKUP($A117,'Vocus RVC ExDa'!$C$2:$R$155, 0,FALSE), IFERROR(VLOOKUP($A117,'Fusion ExDa'!$B$2:$D$16, 0,FALSE), IFERROR(VLOOKUP($A117,'Exetel ExDa'!$C$2:$N$14, 12,FALSE), IFERROR(VLOOKUP($A117,'Infinet ExDa'!$B$2:$E$14, 0,FALSE), "Not Found"))))))))</f>
        <v>Not Found</v>
      </c>
      <c r="L117" s="235" t="str">
        <f>IFERROR(VLOOKUP($A117,'AAPT ExDa'!$B$2:$U$99, 11,FALSE), IFERROR(VLOOKUP($A117,'ABB ExDa'!$A$2:$N$184, 9,FALSE), IFERROR(VLOOKUP($A117,'Vocus SIT ExDa'!$B$2:$J$173, 8,FALSE), IFERROR(VLOOKUP($A117,'Telstra ExDa'!$B$2:$K$310, 0,FALSE), IFERROR(VLOOKUP($A117,'Vocus RVC ExDa'!$C$2:$R$155, 0,FALSE), IFERROR(VLOOKUP($A117,'Fusion ExDa'!$B$2:$D$16, 0,FALSE), IFERROR(VLOOKUP($A117,'Exetel ExDa'!$C$2:$N$14, 9,FALSE), IFERROR(VLOOKUP($A117,'Infinet ExDa'!$B$2:$E$14, 0,FALSE), "Not Found"))))))))</f>
        <v>20 Mar 2024</v>
      </c>
      <c r="M117" s="234" t="str">
        <f>IFERROR(VLOOKUP($A117,'AAPT ExDa'!$B$2:$U$99, 0,FALSE), IFERROR(VLOOKUP($A117,'ABB ExDa'!$A$2:$N$184, 0,FALSE), IFERROR(VLOOKUP($A117,'Vocus SIT ExDa'!$B$2:$J$173, 0,FALSE), IFERROR(VLOOKUP($A117,'Telstra ExDa'!$B$2:$K$310, 0,FALSE), IFERROR(VLOOKUP($A117,'Vocus RVC ExDa'!$C$2:$R$155, 0,FALSE), IFERROR(VLOOKUP($A117,'Fusion ExDa'!$B$2:$D$16, 0,FALSE), IFERROR(VLOOKUP($A117,'Exetel ExDa'!$C$2:$N$14, 11,FALSE), IFERROR(VLOOKUP($A117,'Infinet ExDa'!$B$2:$E$14, 0,FALSE), "Not Found"))))))))</f>
        <v>Not Found</v>
      </c>
      <c r="N117" t="str">
        <f>IFERROR(VLOOKUP($A117,'AAPT ExDa'!$B$2:$U$99, 0,FALSE), IFERROR(VLOOKUP($A117,'ABB ExDa'!$A$2:$N$184, 13,FALSE), IFERROR(VLOOKUP($A117,'Vocus SIT ExDa'!$B$2:$J$173, 0,FALSE), IFERROR(VLOOKUP($A117,'Telstra ExDa'!$B$2:$K$310, 0,FALSE), IFERROR(VLOOKUP($A117,'Vocus RVC ExDa'!$C$2:$R$155, 0,FALSE), IFERROR(VLOOKUP($A117,'Fusion ExDa'!$B$2:$D$16, 0,FALSE), IFERROR(VLOOKUP($A117,'Exetel ExDa'!$C$2:$N$14, 0,FALSE), IFERROR(VLOOKUP($A117,'Infinet ExDa'!$B$2:$E$14, 0,FALSE), "Not Found"))))))))</f>
        <v>Sasboss/Datagate</v>
      </c>
    </row>
    <row r="118" spans="1:14">
      <c r="A118" t="str">
        <v>Exceed Laser</v>
      </c>
      <c r="B118" t="str">
        <f>IFERROR(VLOOKUP(A118,'Exetel ExDa'!$C$2:$N$14,4,FALSE),"No Data")</f>
        <v>No Data</v>
      </c>
      <c r="C118" t="str">
        <f>IFERROR(VLOOKUP(A118,'AAPT ExDa'!$B$2:$U$99, 2,FALSE), IFERROR(VLOOKUP(A118,'ABB ExDa'!$A$2:$N$184, 2,FALSE), IFERROR(VLOOKUP(A118,'Vocus SIT ExDa'!$B$2:$J$173, 7,FALSE), IFERROR(VLOOKUP(A118,'Telstra ExDa'!$B$2:$K$310, 2,FALSE), IFERROR(VLOOKUP(A118,'Vocus RVC ExDa'!$C$2:$R$155, 3,FALSE), IFERROR(VLOOKUP(A118,'Fusion ExDa'!$B$2:$D$16, 2,FALSE), IFERROR(VLOOKUP(A118,'Exetel ExDa'!$C$2:$N$14, 2,FALSE), IFERROR(VLOOKUP(A118,'Infinet ExDa'!$B$2:$E$14, 2,FALSE), "Not Found"))))))))</f>
        <v>43 BERNOULLI ST, DARRA QLD</v>
      </c>
      <c r="D118" t="str">
        <f>IFERROR(VLOOKUP($A118,'AAPT ExDa'!$B$2:$U$99, 15,FALSE), IFERROR(VLOOKUP($A118,'ABB ExDa'!$A$2:$N$184, 4,FALSE), IFERROR(VLOOKUP($A118,'Vocus SIT ExDa'!$B$2:$J$173, 5,FALSE), IFERROR(VLOOKUP($A118,'Telstra ExDa'!$B$2:$K$310, 8,FALSE), IFERROR(VLOOKUP($A118,'Vocus RVC ExDa'!$C$2:$R$155, 6,FALSE), IFERROR(VLOOKUP($A118,'Fusion ExDa'!$B$2:$D$16, 4,FALSE), IFERROR(VLOOKUP($A118,'Exetel ExDa'!$C$2:$N$14, 3,FALSE), IFERROR(VLOOKUP($A118,'Infinet ExDa'!$B$2:$E$14, 3,FALSE), "Not Found"))))))))</f>
        <v>ABB</v>
      </c>
      <c r="E118" t="str">
        <f>IFERROR(VLOOKUP($A118,'AAPT ExDa'!$B$2:$U$99, 3,FALSE), IFERROR(VLOOKUP($A118,'ABB ExDa'!$A$2:$N$184, 5,FALSE), IFERROR(VLOOKUP($A118,'Vocus SIT ExDa'!$B$2:$J$173, 2,FALSE), IFERROR(VLOOKUP($A118,'Telstra ExDa'!$B$2:$K$310, 4,FALSE), IFERROR(VLOOKUP($A118,'Vocus RVC ExDa'!$C$2:$R$155, 8,FALSE), IFERROR(VLOOKUP($A118,'Fusion ExDa'!$B$2:$D$16, 4,FALSE), IFERROR(VLOOKUP($A118,'Exetel ExDa'!$C$2:$N$14, 5,FALSE), IFERROR(VLOOKUP($A118,'Infinet ExDa'!$B$2:$E$14, 3,FALSE), "Not Found"))))))))</f>
        <v>NBN 250/100</v>
      </c>
      <c r="F118" t="str">
        <f>IFERROR(VLOOKUP($A118,'AAPT ExDa'!$B$2:$U$99, 4,FALSE), IFERROR(VLOOKUP($A118,'ABB ExDa'!$A$2:$N$184, 6,FALSE), IFERROR(VLOOKUP($A118,'Vocus SIT ExDa'!$B$2:$J$173, 3,FALSE), IFERROR(VLOOKUP($A118,'Telstra ExDa'!$B$2:$K$310, 5,FALSE), IFERROR(VLOOKUP($A118,'Vocus RVC ExDa'!$C$2:$R$155, 9,FALSE), IFERROR(VLOOKUP($A118,'Fusion ExDa'!$B$2:$D$16, 0,FALSE), IFERROR(VLOOKUP($A118,'Exetel ExDa'!$C$2:$N$14, 6,FALSE), IFERROR(VLOOKUP($A118,'Infinet ExDa'!$B$2:$E$14, 0,FALSE), "Not Found"))))))))</f>
        <v xml:space="preserve">Fibre </v>
      </c>
      <c r="G118" t="str">
        <f>IFERROR(VLOOKUP($A118,'AAPT ExDa'!$B$2:$U$99, 5,FALSE), IFERROR(VLOOKUP($A118,'ABB ExDa'!$A$2:$N$184, 8,FALSE), IFERROR(VLOOKUP($A118,'Vocus SIT ExDa'!$B$2:$J$173, 6,FALSE), IFERROR(VLOOKUP($A118,'Telstra ExDa'!$B$2:$K$310, 0,FALSE), IFERROR(VLOOKUP($A118,'Vocus RVC ExDa'!$C$2:$R$155, 15,FALSE), IFERROR(VLOOKUP($A118,'Fusion ExDa'!$B$2:$D$16, 0,FALSE), IFERROR(VLOOKUP($A118,'Exetel ExDa'!$C$2:$N$14, 7,FALSE), IFERROR(VLOOKUP($A118,'Infinet ExDa'!$B$2:$E$14, 0,FALSE), "Not Found"))))))))</f>
        <v>159.196.211.35</v>
      </c>
      <c r="H118" t="str">
        <f>IFERROR(VLOOKUP($A118,'AAPT ExDa'!$B$2:$U$99, 6,FALSE), IFERROR(VLOOKUP($A118,'ABB ExDa'!$A$2:$N$184, 0,FALSE), IFERROR(VLOOKUP($A118,'Vocus SIT ExDa'!$B$2:$J$173, 0,FALSE), IFERROR(VLOOKUP($A118,'Telstra ExDa'!$B$2:$K$310, 0,FALSE), IFERROR(VLOOKUP($A118,'Vocus RVC ExDa'!$C$2:$R$155, 16,FALSE), IFERROR(VLOOKUP($A118,'Fusion ExDa'!$B$2:$D$16, 0,FALSE), IFERROR(VLOOKUP($A118,'Exetel ExDa'!$C$2:$N$14, 0,FALSE), IFERROR(VLOOKUP($A118,'Infinet ExDa'!$B$2:$E$14, 0,FALSE), "Not Found"))))))))</f>
        <v>Not Found</v>
      </c>
      <c r="I118" t="str">
        <f>IFERROR(VLOOKUP($A118,'AAPT ExDa'!$B$2:$U$99, 0,FALSE), IFERROR(VLOOKUP($A118,'ABB ExDa'!$A$2:$N$184, 0,FALSE), IFERROR(VLOOKUP($A118,'Vocus SIT ExDa'!$B$2:$J$173, 0,FALSE), IFERROR(VLOOKUP($A118,'Telstra ExDa'!$B$2:$K$310, 0,FALSE), IFERROR(VLOOKUP($A118,'Vocus RVC ExDa'!$C$2:$R$155, 0,FALSE), IFERROR(VLOOKUP($A118,'Fusion ExDa'!$B$2:$D$16, 0,FALSE), IFERROR(VLOOKUP($A118,'Exetel ExDa'!$C$2:$N$14, 8,FALSE), IFERROR(VLOOKUP($A118,'Infinet ExDa'!$B$2:$E$14, 0,FALSE), "Not Found"))))))))</f>
        <v>Not Found</v>
      </c>
      <c r="J118" t="str">
        <f>IFERROR(VLOOKUP($A118,'AAPT ExDa'!$B$2:$U$99, 7,FALSE), IFERROR(VLOOKUP($A118,'ABB ExDa'!$A$2:$N$184, 2,FALSE), IFERROR(VLOOKUP($A118,'Vocus SIT ExDa'!$B$2:$J$173, 0,FALSE), IFERROR(VLOOKUP($A118,'Telstra ExDa'!$B$2:$K$310, 7,FALSE), IFERROR(VLOOKUP($A118,'Vocus RVC ExDa'!$C$2:$R$155, 2,FALSE), IFERROR(VLOOKUP($A118,'Fusion ExDa'!$B$2:$D$16, 3,FALSE), IFERROR(VLOOKUP($A118,'Exetel ExDa'!$C$2:$N$14, 0,FALSE), IFERROR(VLOOKUP($A118,'Infinet ExDa'!$B$2:$E$14, 0,FALSE), "Not Found"))))))))</f>
        <v>43 BERNOULLI ST, DARRA QLD</v>
      </c>
      <c r="K118" t="str">
        <f>IFERROR(VLOOKUP($A118,'AAPT ExDa'!$B$2:$U$99, 12,FALSE), IFERROR(VLOOKUP($A118,'ABB ExDa'!$A$2:$N$184, 0,FALSE), IFERROR(VLOOKUP($A118,'Vocus SIT ExDa'!$B$2:$J$173, 0,FALSE), IFERROR(VLOOKUP($A118,'Telstra ExDa'!$B$2:$K$310, 0,FALSE), IFERROR(VLOOKUP($A118,'Vocus RVC ExDa'!$C$2:$R$155, 0,FALSE), IFERROR(VLOOKUP($A118,'Fusion ExDa'!$B$2:$D$16, 0,FALSE), IFERROR(VLOOKUP($A118,'Exetel ExDa'!$C$2:$N$14, 12,FALSE), IFERROR(VLOOKUP($A118,'Infinet ExDa'!$B$2:$E$14, 0,FALSE), "Not Found"))))))))</f>
        <v>Not Found</v>
      </c>
      <c r="L118" s="235" t="str">
        <f>IFERROR(VLOOKUP($A118,'AAPT ExDa'!$B$2:$U$99, 11,FALSE), IFERROR(VLOOKUP($A118,'ABB ExDa'!$A$2:$N$184, 9,FALSE), IFERROR(VLOOKUP($A118,'Vocus SIT ExDa'!$B$2:$J$173, 8,FALSE), IFERROR(VLOOKUP($A118,'Telstra ExDa'!$B$2:$K$310, 0,FALSE), IFERROR(VLOOKUP($A118,'Vocus RVC ExDa'!$C$2:$R$155, 0,FALSE), IFERROR(VLOOKUP($A118,'Fusion ExDa'!$B$2:$D$16, 0,FALSE), IFERROR(VLOOKUP($A118,'Exetel ExDa'!$C$2:$N$14, 9,FALSE), IFERROR(VLOOKUP($A118,'Infinet ExDa'!$B$2:$E$14, 0,FALSE), "Not Found"))))))))</f>
        <v>28 Nov 2023</v>
      </c>
      <c r="M118" s="234" t="str">
        <f>IFERROR(VLOOKUP($A118,'AAPT ExDa'!$B$2:$U$99, 0,FALSE), IFERROR(VLOOKUP($A118,'ABB ExDa'!$A$2:$N$184, 0,FALSE), IFERROR(VLOOKUP($A118,'Vocus SIT ExDa'!$B$2:$J$173, 0,FALSE), IFERROR(VLOOKUP($A118,'Telstra ExDa'!$B$2:$K$310, 0,FALSE), IFERROR(VLOOKUP($A118,'Vocus RVC ExDa'!$C$2:$R$155, 0,FALSE), IFERROR(VLOOKUP($A118,'Fusion ExDa'!$B$2:$D$16, 0,FALSE), IFERROR(VLOOKUP($A118,'Exetel ExDa'!$C$2:$N$14, 11,FALSE), IFERROR(VLOOKUP($A118,'Infinet ExDa'!$B$2:$E$14, 0,FALSE), "Not Found"))))))))</f>
        <v>Not Found</v>
      </c>
      <c r="N118" t="str">
        <f>IFERROR(VLOOKUP($A118,'AAPT ExDa'!$B$2:$U$99, 0,FALSE), IFERROR(VLOOKUP($A118,'ABB ExDa'!$A$2:$N$184, 13,FALSE), IFERROR(VLOOKUP($A118,'Vocus SIT ExDa'!$B$2:$J$173, 0,FALSE), IFERROR(VLOOKUP($A118,'Telstra ExDa'!$B$2:$K$310, 0,FALSE), IFERROR(VLOOKUP($A118,'Vocus RVC ExDa'!$C$2:$R$155, 0,FALSE), IFERROR(VLOOKUP($A118,'Fusion ExDa'!$B$2:$D$16, 0,FALSE), IFERROR(VLOOKUP($A118,'Exetel ExDa'!$C$2:$N$14, 0,FALSE), IFERROR(VLOOKUP($A118,'Infinet ExDa'!$B$2:$E$14, 0,FALSE), "Not Found"))))))))</f>
        <v>TBA</v>
      </c>
    </row>
    <row r="119" spans="1:14">
      <c r="A119" t="str">
        <v>Fast Cut Pty Ltd</v>
      </c>
      <c r="B119" t="str">
        <f>IFERROR(VLOOKUP(A119,'Exetel ExDa'!$C$2:$N$14,4,FALSE),"No Data")</f>
        <v>No Data</v>
      </c>
      <c r="C119" t="str">
        <f>IFERROR(VLOOKUP(A119,'AAPT ExDa'!$B$2:$U$99, 2,FALSE), IFERROR(VLOOKUP(A119,'ABB ExDa'!$A$2:$N$184, 2,FALSE), IFERROR(VLOOKUP(A119,'Vocus SIT ExDa'!$B$2:$J$173, 7,FALSE), IFERROR(VLOOKUP(A119,'Telstra ExDa'!$B$2:$K$310, 2,FALSE), IFERROR(VLOOKUP(A119,'Vocus RVC ExDa'!$C$2:$R$155, 3,FALSE), IFERROR(VLOOKUP(A119,'Fusion ExDa'!$B$2:$D$16, 2,FALSE), IFERROR(VLOOKUP(A119,'Exetel ExDa'!$C$2:$N$14, 2,FALSE), IFERROR(VLOOKUP(A119,'Infinet ExDa'!$B$2:$E$14, 2,FALSE), "Not Found"))))))))</f>
        <v>UN 2, 46 MATHESON ST, VIRGINIA QLD</v>
      </c>
      <c r="D119" t="str">
        <f>IFERROR(VLOOKUP($A119,'AAPT ExDa'!$B$2:$U$99, 15,FALSE), IFERROR(VLOOKUP($A119,'ABB ExDa'!$A$2:$N$184, 4,FALSE), IFERROR(VLOOKUP($A119,'Vocus SIT ExDa'!$B$2:$J$173, 5,FALSE), IFERROR(VLOOKUP($A119,'Telstra ExDa'!$B$2:$K$310, 8,FALSE), IFERROR(VLOOKUP($A119,'Vocus RVC ExDa'!$C$2:$R$155, 6,FALSE), IFERROR(VLOOKUP($A119,'Fusion ExDa'!$B$2:$D$16, 4,FALSE), IFERROR(VLOOKUP($A119,'Exetel ExDa'!$C$2:$N$14, 3,FALSE), IFERROR(VLOOKUP($A119,'Infinet ExDa'!$B$2:$E$14, 3,FALSE), "Not Found"))))))))</f>
        <v>ABB</v>
      </c>
      <c r="E119" t="str">
        <f>IFERROR(VLOOKUP($A119,'AAPT ExDa'!$B$2:$U$99, 3,FALSE), IFERROR(VLOOKUP($A119,'ABB ExDa'!$A$2:$N$184, 5,FALSE), IFERROR(VLOOKUP($A119,'Vocus SIT ExDa'!$B$2:$J$173, 2,FALSE), IFERROR(VLOOKUP($A119,'Telstra ExDa'!$B$2:$K$310, 4,FALSE), IFERROR(VLOOKUP($A119,'Vocus RVC ExDa'!$C$2:$R$155, 8,FALSE), IFERROR(VLOOKUP($A119,'Fusion ExDa'!$B$2:$D$16, 4,FALSE), IFERROR(VLOOKUP($A119,'Exetel ExDa'!$C$2:$N$14, 5,FALSE), IFERROR(VLOOKUP($A119,'Infinet ExDa'!$B$2:$E$14, 3,FALSE), "Not Found"))))))))</f>
        <v>NBN 100/40</v>
      </c>
      <c r="F119" t="str">
        <f>IFERROR(VLOOKUP($A119,'AAPT ExDa'!$B$2:$U$99, 4,FALSE), IFERROR(VLOOKUP($A119,'ABB ExDa'!$A$2:$N$184, 6,FALSE), IFERROR(VLOOKUP($A119,'Vocus SIT ExDa'!$B$2:$J$173, 3,FALSE), IFERROR(VLOOKUP($A119,'Telstra ExDa'!$B$2:$K$310, 5,FALSE), IFERROR(VLOOKUP($A119,'Vocus RVC ExDa'!$C$2:$R$155, 9,FALSE), IFERROR(VLOOKUP($A119,'Fusion ExDa'!$B$2:$D$16, 0,FALSE), IFERROR(VLOOKUP($A119,'Exetel ExDa'!$C$2:$N$14, 6,FALSE), IFERROR(VLOOKUP($A119,'Infinet ExDa'!$B$2:$E$14, 0,FALSE), "Not Found"))))))))</f>
        <v>FTTC</v>
      </c>
      <c r="G119" t="str">
        <f>IFERROR(VLOOKUP($A119,'AAPT ExDa'!$B$2:$U$99, 5,FALSE), IFERROR(VLOOKUP($A119,'ABB ExDa'!$A$2:$N$184, 8,FALSE), IFERROR(VLOOKUP($A119,'Vocus SIT ExDa'!$B$2:$J$173, 6,FALSE), IFERROR(VLOOKUP($A119,'Telstra ExDa'!$B$2:$K$310, 0,FALSE), IFERROR(VLOOKUP($A119,'Vocus RVC ExDa'!$C$2:$R$155, 15,FALSE), IFERROR(VLOOKUP($A119,'Fusion ExDa'!$B$2:$D$16, 0,FALSE), IFERROR(VLOOKUP($A119,'Exetel ExDa'!$C$2:$N$14, 7,FALSE), IFERROR(VLOOKUP($A119,'Infinet ExDa'!$B$2:$E$14, 0,FALSE), "Not Found"))))))))</f>
        <v>180.150.104.231</v>
      </c>
      <c r="H119" t="str">
        <f>IFERROR(VLOOKUP($A119,'AAPT ExDa'!$B$2:$U$99, 6,FALSE), IFERROR(VLOOKUP($A119,'ABB ExDa'!$A$2:$N$184, 0,FALSE), IFERROR(VLOOKUP($A119,'Vocus SIT ExDa'!$B$2:$J$173, 0,FALSE), IFERROR(VLOOKUP($A119,'Telstra ExDa'!$B$2:$K$310, 0,FALSE), IFERROR(VLOOKUP($A119,'Vocus RVC ExDa'!$C$2:$R$155, 16,FALSE), IFERROR(VLOOKUP($A119,'Fusion ExDa'!$B$2:$D$16, 0,FALSE), IFERROR(VLOOKUP($A119,'Exetel ExDa'!$C$2:$N$14, 0,FALSE), IFERROR(VLOOKUP($A119,'Infinet ExDa'!$B$2:$E$14, 0,FALSE), "Not Found"))))))))</f>
        <v>Not Found</v>
      </c>
      <c r="I119" t="str">
        <f>IFERROR(VLOOKUP($A119,'AAPT ExDa'!$B$2:$U$99, 0,FALSE), IFERROR(VLOOKUP($A119,'ABB ExDa'!$A$2:$N$184, 0,FALSE), IFERROR(VLOOKUP($A119,'Vocus SIT ExDa'!$B$2:$J$173, 0,FALSE), IFERROR(VLOOKUP($A119,'Telstra ExDa'!$B$2:$K$310, 0,FALSE), IFERROR(VLOOKUP($A119,'Vocus RVC ExDa'!$C$2:$R$155, 0,FALSE), IFERROR(VLOOKUP($A119,'Fusion ExDa'!$B$2:$D$16, 0,FALSE), IFERROR(VLOOKUP($A119,'Exetel ExDa'!$C$2:$N$14, 8,FALSE), IFERROR(VLOOKUP($A119,'Infinet ExDa'!$B$2:$E$14, 0,FALSE), "Not Found"))))))))</f>
        <v>Not Found</v>
      </c>
      <c r="J119" t="str">
        <f>IFERROR(VLOOKUP($A119,'AAPT ExDa'!$B$2:$U$99, 7,FALSE), IFERROR(VLOOKUP($A119,'ABB ExDa'!$A$2:$N$184, 2,FALSE), IFERROR(VLOOKUP($A119,'Vocus SIT ExDa'!$B$2:$J$173, 0,FALSE), IFERROR(VLOOKUP($A119,'Telstra ExDa'!$B$2:$K$310, 7,FALSE), IFERROR(VLOOKUP($A119,'Vocus RVC ExDa'!$C$2:$R$155, 2,FALSE), IFERROR(VLOOKUP($A119,'Fusion ExDa'!$B$2:$D$16, 3,FALSE), IFERROR(VLOOKUP($A119,'Exetel ExDa'!$C$2:$N$14, 0,FALSE), IFERROR(VLOOKUP($A119,'Infinet ExDa'!$B$2:$E$14, 0,FALSE), "Not Found"))))))))</f>
        <v>UN 2, 46 MATHESON ST, VIRGINIA QLD</v>
      </c>
      <c r="K119" t="str">
        <f>IFERROR(VLOOKUP($A119,'AAPT ExDa'!$B$2:$U$99, 12,FALSE), IFERROR(VLOOKUP($A119,'ABB ExDa'!$A$2:$N$184, 0,FALSE), IFERROR(VLOOKUP($A119,'Vocus SIT ExDa'!$B$2:$J$173, 0,FALSE), IFERROR(VLOOKUP($A119,'Telstra ExDa'!$B$2:$K$310, 0,FALSE), IFERROR(VLOOKUP($A119,'Vocus RVC ExDa'!$C$2:$R$155, 0,FALSE), IFERROR(VLOOKUP($A119,'Fusion ExDa'!$B$2:$D$16, 0,FALSE), IFERROR(VLOOKUP($A119,'Exetel ExDa'!$C$2:$N$14, 12,FALSE), IFERROR(VLOOKUP($A119,'Infinet ExDa'!$B$2:$E$14, 0,FALSE), "Not Found"))))))))</f>
        <v>Not Found</v>
      </c>
      <c r="L119" s="235" t="str">
        <f>IFERROR(VLOOKUP($A119,'AAPT ExDa'!$B$2:$U$99, 11,FALSE), IFERROR(VLOOKUP($A119,'ABB ExDa'!$A$2:$N$184, 9,FALSE), IFERROR(VLOOKUP($A119,'Vocus SIT ExDa'!$B$2:$J$173, 8,FALSE), IFERROR(VLOOKUP($A119,'Telstra ExDa'!$B$2:$K$310, 0,FALSE), IFERROR(VLOOKUP($A119,'Vocus RVC ExDa'!$C$2:$R$155, 0,FALSE), IFERROR(VLOOKUP($A119,'Fusion ExDa'!$B$2:$D$16, 0,FALSE), IFERROR(VLOOKUP($A119,'Exetel ExDa'!$C$2:$N$14, 9,FALSE), IFERROR(VLOOKUP($A119,'Infinet ExDa'!$B$2:$E$14, 0,FALSE), "Not Found"))))))))</f>
        <v>28 Feb 2025</v>
      </c>
      <c r="M119" s="234" t="str">
        <f>IFERROR(VLOOKUP($A119,'AAPT ExDa'!$B$2:$U$99, 0,FALSE), IFERROR(VLOOKUP($A119,'ABB ExDa'!$A$2:$N$184, 0,FALSE), IFERROR(VLOOKUP($A119,'Vocus SIT ExDa'!$B$2:$J$173, 0,FALSE), IFERROR(VLOOKUP($A119,'Telstra ExDa'!$B$2:$K$310, 0,FALSE), IFERROR(VLOOKUP($A119,'Vocus RVC ExDa'!$C$2:$R$155, 0,FALSE), IFERROR(VLOOKUP($A119,'Fusion ExDa'!$B$2:$D$16, 0,FALSE), IFERROR(VLOOKUP($A119,'Exetel ExDa'!$C$2:$N$14, 11,FALSE), IFERROR(VLOOKUP($A119,'Infinet ExDa'!$B$2:$E$14, 0,FALSE), "Not Found"))))))))</f>
        <v>Not Found</v>
      </c>
      <c r="N119" t="str">
        <f>IFERROR(VLOOKUP($A119,'AAPT ExDa'!$B$2:$U$99, 0,FALSE), IFERROR(VLOOKUP($A119,'ABB ExDa'!$A$2:$N$184, 13,FALSE), IFERROR(VLOOKUP($A119,'Vocus SIT ExDa'!$B$2:$J$173, 0,FALSE), IFERROR(VLOOKUP($A119,'Telstra ExDa'!$B$2:$K$310, 0,FALSE), IFERROR(VLOOKUP($A119,'Vocus RVC ExDa'!$C$2:$R$155, 0,FALSE), IFERROR(VLOOKUP($A119,'Fusion ExDa'!$B$2:$D$16, 0,FALSE), IFERROR(VLOOKUP($A119,'Exetel ExDa'!$C$2:$N$14, 0,FALSE), IFERROR(VLOOKUP($A119,'Infinet ExDa'!$B$2:$E$14, 0,FALSE), "Not Found"))))))))</f>
        <v>Sasboss</v>
      </c>
    </row>
    <row r="120" spans="1:14">
      <c r="A120" t="str">
        <v>GBA Barcaldine</v>
      </c>
      <c r="B120" t="str">
        <f>IFERROR(VLOOKUP(A120,'Exetel ExDa'!$C$2:$N$14,4,FALSE),"No Data")</f>
        <v>No Data</v>
      </c>
      <c r="C120" t="str">
        <f>IFERROR(VLOOKUP(A120,'AAPT ExDa'!$B$2:$U$99, 2,FALSE), IFERROR(VLOOKUP(A120,'ABB ExDa'!$A$2:$N$184, 2,FALSE), IFERROR(VLOOKUP(A120,'Vocus SIT ExDa'!$B$2:$J$173, 7,FALSE), IFERROR(VLOOKUP(A120,'Telstra ExDa'!$B$2:$K$310, 2,FALSE), IFERROR(VLOOKUP(A120,'Vocus RVC ExDa'!$C$2:$R$155, 3,FALSE), IFERROR(VLOOKUP(A120,'Fusion ExDa'!$B$2:$D$16, 2,FALSE), IFERROR(VLOOKUP(A120,'Exetel ExDa'!$C$2:$N$14, 2,FALSE), IFERROR(VLOOKUP(A120,'Infinet ExDa'!$B$2:$E$14, 2,FALSE), "Not Found"))))))))</f>
        <v>73 ELM ST, BARCALDINE QLD</v>
      </c>
      <c r="D120" t="str">
        <f>IFERROR(VLOOKUP($A120,'AAPT ExDa'!$B$2:$U$99, 15,FALSE), IFERROR(VLOOKUP($A120,'ABB ExDa'!$A$2:$N$184, 4,FALSE), IFERROR(VLOOKUP($A120,'Vocus SIT ExDa'!$B$2:$J$173, 5,FALSE), IFERROR(VLOOKUP($A120,'Telstra ExDa'!$B$2:$K$310, 8,FALSE), IFERROR(VLOOKUP($A120,'Vocus RVC ExDa'!$C$2:$R$155, 6,FALSE), IFERROR(VLOOKUP($A120,'Fusion ExDa'!$B$2:$D$16, 4,FALSE), IFERROR(VLOOKUP($A120,'Exetel ExDa'!$C$2:$N$14, 3,FALSE), IFERROR(VLOOKUP($A120,'Infinet ExDa'!$B$2:$E$14, 3,FALSE), "Not Found"))))))))</f>
        <v>ABB</v>
      </c>
      <c r="E120" t="str">
        <f>IFERROR(VLOOKUP($A120,'AAPT ExDa'!$B$2:$U$99, 3,FALSE), IFERROR(VLOOKUP($A120,'ABB ExDa'!$A$2:$N$184, 5,FALSE), IFERROR(VLOOKUP($A120,'Vocus SIT ExDa'!$B$2:$J$173, 2,FALSE), IFERROR(VLOOKUP($A120,'Telstra ExDa'!$B$2:$K$310, 4,FALSE), IFERROR(VLOOKUP($A120,'Vocus RVC ExDa'!$C$2:$R$155, 8,FALSE), IFERROR(VLOOKUP($A120,'Fusion ExDa'!$B$2:$D$16, 4,FALSE), IFERROR(VLOOKUP($A120,'Exetel ExDa'!$C$2:$N$14, 5,FALSE), IFERROR(VLOOKUP($A120,'Infinet ExDa'!$B$2:$E$14, 3,FALSE), "Not Found"))))))))</f>
        <v>NBN 100/40</v>
      </c>
      <c r="F120" t="str">
        <f>IFERROR(VLOOKUP($A120,'AAPT ExDa'!$B$2:$U$99, 4,FALSE), IFERROR(VLOOKUP($A120,'ABB ExDa'!$A$2:$N$184, 6,FALSE), IFERROR(VLOOKUP($A120,'Vocus SIT ExDa'!$B$2:$J$173, 3,FALSE), IFERROR(VLOOKUP($A120,'Telstra ExDa'!$B$2:$K$310, 5,FALSE), IFERROR(VLOOKUP($A120,'Vocus RVC ExDa'!$C$2:$R$155, 9,FALSE), IFERROR(VLOOKUP($A120,'Fusion ExDa'!$B$2:$D$16, 0,FALSE), IFERROR(VLOOKUP($A120,'Exetel ExDa'!$C$2:$N$14, 6,FALSE), IFERROR(VLOOKUP($A120,'Infinet ExDa'!$B$2:$E$14, 0,FALSE), "Not Found"))))))))</f>
        <v xml:space="preserve">FTTN </v>
      </c>
      <c r="G120" t="str">
        <f>IFERROR(VLOOKUP($A120,'AAPT ExDa'!$B$2:$U$99, 5,FALSE), IFERROR(VLOOKUP($A120,'ABB ExDa'!$A$2:$N$184, 8,FALSE), IFERROR(VLOOKUP($A120,'Vocus SIT ExDa'!$B$2:$J$173, 6,FALSE), IFERROR(VLOOKUP($A120,'Telstra ExDa'!$B$2:$K$310, 0,FALSE), IFERROR(VLOOKUP($A120,'Vocus RVC ExDa'!$C$2:$R$155, 15,FALSE), IFERROR(VLOOKUP($A120,'Fusion ExDa'!$B$2:$D$16, 0,FALSE), IFERROR(VLOOKUP($A120,'Exetel ExDa'!$C$2:$N$14, 7,FALSE), IFERROR(VLOOKUP($A120,'Infinet ExDa'!$B$2:$E$14, 0,FALSE), "Not Found"))))))))</f>
        <v>144.6.127.34</v>
      </c>
      <c r="H120" t="str">
        <f>IFERROR(VLOOKUP($A120,'AAPT ExDa'!$B$2:$U$99, 6,FALSE), IFERROR(VLOOKUP($A120,'ABB ExDa'!$A$2:$N$184, 0,FALSE), IFERROR(VLOOKUP($A120,'Vocus SIT ExDa'!$B$2:$J$173, 0,FALSE), IFERROR(VLOOKUP($A120,'Telstra ExDa'!$B$2:$K$310, 0,FALSE), IFERROR(VLOOKUP($A120,'Vocus RVC ExDa'!$C$2:$R$155, 16,FALSE), IFERROR(VLOOKUP($A120,'Fusion ExDa'!$B$2:$D$16, 0,FALSE), IFERROR(VLOOKUP($A120,'Exetel ExDa'!$C$2:$N$14, 0,FALSE), IFERROR(VLOOKUP($A120,'Infinet ExDa'!$B$2:$E$14, 0,FALSE), "Not Found"))))))))</f>
        <v>Not Found</v>
      </c>
      <c r="I120" t="str">
        <f>IFERROR(VLOOKUP($A120,'AAPT ExDa'!$B$2:$U$99, 0,FALSE), IFERROR(VLOOKUP($A120,'ABB ExDa'!$A$2:$N$184, 0,FALSE), IFERROR(VLOOKUP($A120,'Vocus SIT ExDa'!$B$2:$J$173, 0,FALSE), IFERROR(VLOOKUP($A120,'Telstra ExDa'!$B$2:$K$310, 0,FALSE), IFERROR(VLOOKUP($A120,'Vocus RVC ExDa'!$C$2:$R$155, 0,FALSE), IFERROR(VLOOKUP($A120,'Fusion ExDa'!$B$2:$D$16, 0,FALSE), IFERROR(VLOOKUP($A120,'Exetel ExDa'!$C$2:$N$14, 8,FALSE), IFERROR(VLOOKUP($A120,'Infinet ExDa'!$B$2:$E$14, 0,FALSE), "Not Found"))))))))</f>
        <v>Not Found</v>
      </c>
      <c r="J120" t="str">
        <f>IFERROR(VLOOKUP($A120,'AAPT ExDa'!$B$2:$U$99, 7,FALSE), IFERROR(VLOOKUP($A120,'ABB ExDa'!$A$2:$N$184, 2,FALSE), IFERROR(VLOOKUP($A120,'Vocus SIT ExDa'!$B$2:$J$173, 0,FALSE), IFERROR(VLOOKUP($A120,'Telstra ExDa'!$B$2:$K$310, 7,FALSE), IFERROR(VLOOKUP($A120,'Vocus RVC ExDa'!$C$2:$R$155, 2,FALSE), IFERROR(VLOOKUP($A120,'Fusion ExDa'!$B$2:$D$16, 3,FALSE), IFERROR(VLOOKUP($A120,'Exetel ExDa'!$C$2:$N$14, 0,FALSE), IFERROR(VLOOKUP($A120,'Infinet ExDa'!$B$2:$E$14, 0,FALSE), "Not Found"))))))))</f>
        <v>73 ELM ST, BARCALDINE QLD</v>
      </c>
      <c r="K120" t="str">
        <f>IFERROR(VLOOKUP($A120,'AAPT ExDa'!$B$2:$U$99, 12,FALSE), IFERROR(VLOOKUP($A120,'ABB ExDa'!$A$2:$N$184, 0,FALSE), IFERROR(VLOOKUP($A120,'Vocus SIT ExDa'!$B$2:$J$173, 0,FALSE), IFERROR(VLOOKUP($A120,'Telstra ExDa'!$B$2:$K$310, 0,FALSE), IFERROR(VLOOKUP($A120,'Vocus RVC ExDa'!$C$2:$R$155, 0,FALSE), IFERROR(VLOOKUP($A120,'Fusion ExDa'!$B$2:$D$16, 0,FALSE), IFERROR(VLOOKUP($A120,'Exetel ExDa'!$C$2:$N$14, 12,FALSE), IFERROR(VLOOKUP($A120,'Infinet ExDa'!$B$2:$E$14, 0,FALSE), "Not Found"))))))))</f>
        <v>Not Found</v>
      </c>
      <c r="L120" s="235" t="str">
        <f>IFERROR(VLOOKUP($A120,'AAPT ExDa'!$B$2:$U$99, 11,FALSE), IFERROR(VLOOKUP($A120,'ABB ExDa'!$A$2:$N$184, 9,FALSE), IFERROR(VLOOKUP($A120,'Vocus SIT ExDa'!$B$2:$J$173, 8,FALSE), IFERROR(VLOOKUP($A120,'Telstra ExDa'!$B$2:$K$310, 0,FALSE), IFERROR(VLOOKUP($A120,'Vocus RVC ExDa'!$C$2:$R$155, 0,FALSE), IFERROR(VLOOKUP($A120,'Fusion ExDa'!$B$2:$D$16, 0,FALSE), IFERROR(VLOOKUP($A120,'Exetel ExDa'!$C$2:$N$14, 9,FALSE), IFERROR(VLOOKUP($A120,'Infinet ExDa'!$B$2:$E$14, 0,FALSE), "Not Found"))))))))</f>
        <v>05 Aug 2024</v>
      </c>
      <c r="M120" s="234" t="str">
        <f>IFERROR(VLOOKUP($A120,'AAPT ExDa'!$B$2:$U$99, 0,FALSE), IFERROR(VLOOKUP($A120,'ABB ExDa'!$A$2:$N$184, 0,FALSE), IFERROR(VLOOKUP($A120,'Vocus SIT ExDa'!$B$2:$J$173, 0,FALSE), IFERROR(VLOOKUP($A120,'Telstra ExDa'!$B$2:$K$310, 0,FALSE), IFERROR(VLOOKUP($A120,'Vocus RVC ExDa'!$C$2:$R$155, 0,FALSE), IFERROR(VLOOKUP($A120,'Fusion ExDa'!$B$2:$D$16, 0,FALSE), IFERROR(VLOOKUP($A120,'Exetel ExDa'!$C$2:$N$14, 11,FALSE), IFERROR(VLOOKUP($A120,'Infinet ExDa'!$B$2:$E$14, 0,FALSE), "Not Found"))))))))</f>
        <v>Not Found</v>
      </c>
      <c r="N120" t="str">
        <f>IFERROR(VLOOKUP($A120,'AAPT ExDa'!$B$2:$U$99, 0,FALSE), IFERROR(VLOOKUP($A120,'ABB ExDa'!$A$2:$N$184, 13,FALSE), IFERROR(VLOOKUP($A120,'Vocus SIT ExDa'!$B$2:$J$173, 0,FALSE), IFERROR(VLOOKUP($A120,'Telstra ExDa'!$B$2:$K$310, 0,FALSE), IFERROR(VLOOKUP($A120,'Vocus RVC ExDa'!$C$2:$R$155, 0,FALSE), IFERROR(VLOOKUP($A120,'Fusion ExDa'!$B$2:$D$16, 0,FALSE), IFERROR(VLOOKUP($A120,'Exetel ExDa'!$C$2:$N$14, 0,FALSE), IFERROR(VLOOKUP($A120,'Infinet ExDa'!$B$2:$E$14, 0,FALSE), "Not Found"))))))))</f>
        <v>Sasboss</v>
      </c>
    </row>
    <row r="121" spans="1:14">
      <c r="A121" t="str">
        <v>GBA Rockhampton</v>
      </c>
      <c r="B121" t="str">
        <f>IFERROR(VLOOKUP(A121,'Exetel ExDa'!$C$2:$N$14,4,FALSE),"No Data")</f>
        <v>No Data</v>
      </c>
      <c r="C121" t="str">
        <f>IFERROR(VLOOKUP(A121,'AAPT ExDa'!$B$2:$U$99, 2,FALSE), IFERROR(VLOOKUP(A121,'ABB ExDa'!$A$2:$N$184, 2,FALSE), IFERROR(VLOOKUP(A121,'Vocus SIT ExDa'!$B$2:$J$173, 7,FALSE), IFERROR(VLOOKUP(A121,'Telstra ExDa'!$B$2:$K$310, 2,FALSE), IFERROR(VLOOKUP(A121,'Vocus RVC ExDa'!$C$2:$R$155, 3,FALSE), IFERROR(VLOOKUP(A121,'Fusion ExDa'!$B$2:$D$16, 2,FALSE), IFERROR(VLOOKUP(A121,'Exetel ExDa'!$C$2:$N$14, 2,FALSE), IFERROR(VLOOKUP(A121,'Infinet ExDa'!$B$2:$E$14, 2,FALSE), "Not Found"))))))))</f>
        <v>SE 2, 74 VICTORIA PDE, ROCKHAMPTON CITY QLD</v>
      </c>
      <c r="D121" t="str">
        <f>IFERROR(VLOOKUP($A121,'AAPT ExDa'!$B$2:$U$99, 15,FALSE), IFERROR(VLOOKUP($A121,'ABB ExDa'!$A$2:$N$184, 4,FALSE), IFERROR(VLOOKUP($A121,'Vocus SIT ExDa'!$B$2:$J$173, 5,FALSE), IFERROR(VLOOKUP($A121,'Telstra ExDa'!$B$2:$K$310, 8,FALSE), IFERROR(VLOOKUP($A121,'Vocus RVC ExDa'!$C$2:$R$155, 6,FALSE), IFERROR(VLOOKUP($A121,'Fusion ExDa'!$B$2:$D$16, 4,FALSE), IFERROR(VLOOKUP($A121,'Exetel ExDa'!$C$2:$N$14, 3,FALSE), IFERROR(VLOOKUP($A121,'Infinet ExDa'!$B$2:$E$14, 3,FALSE), "Not Found"))))))))</f>
        <v>ABB</v>
      </c>
      <c r="E121" t="str">
        <f>IFERROR(VLOOKUP($A121,'AAPT ExDa'!$B$2:$U$99, 3,FALSE), IFERROR(VLOOKUP($A121,'ABB ExDa'!$A$2:$N$184, 5,FALSE), IFERROR(VLOOKUP($A121,'Vocus SIT ExDa'!$B$2:$J$173, 2,FALSE), IFERROR(VLOOKUP($A121,'Telstra ExDa'!$B$2:$K$310, 4,FALSE), IFERROR(VLOOKUP($A121,'Vocus RVC ExDa'!$C$2:$R$155, 8,FALSE), IFERROR(VLOOKUP($A121,'Fusion ExDa'!$B$2:$D$16, 4,FALSE), IFERROR(VLOOKUP($A121,'Exetel ExDa'!$C$2:$N$14, 5,FALSE), IFERROR(VLOOKUP($A121,'Infinet ExDa'!$B$2:$E$14, 3,FALSE), "Not Found"))))))))</f>
        <v>NBN 100/40</v>
      </c>
      <c r="F121" t="str">
        <f>IFERROR(VLOOKUP($A121,'AAPT ExDa'!$B$2:$U$99, 4,FALSE), IFERROR(VLOOKUP($A121,'ABB ExDa'!$A$2:$N$184, 6,FALSE), IFERROR(VLOOKUP($A121,'Vocus SIT ExDa'!$B$2:$J$173, 3,FALSE), IFERROR(VLOOKUP($A121,'Telstra ExDa'!$B$2:$K$310, 5,FALSE), IFERROR(VLOOKUP($A121,'Vocus RVC ExDa'!$C$2:$R$155, 9,FALSE), IFERROR(VLOOKUP($A121,'Fusion ExDa'!$B$2:$D$16, 0,FALSE), IFERROR(VLOOKUP($A121,'Exetel ExDa'!$C$2:$N$14, 6,FALSE), IFERROR(VLOOKUP($A121,'Infinet ExDa'!$B$2:$E$14, 0,FALSE), "Not Found"))))))))</f>
        <v xml:space="preserve">FTTN </v>
      </c>
      <c r="G121" t="str">
        <f>IFERROR(VLOOKUP($A121,'AAPT ExDa'!$B$2:$U$99, 5,FALSE), IFERROR(VLOOKUP($A121,'ABB ExDa'!$A$2:$N$184, 8,FALSE), IFERROR(VLOOKUP($A121,'Vocus SIT ExDa'!$B$2:$J$173, 6,FALSE), IFERROR(VLOOKUP($A121,'Telstra ExDa'!$B$2:$K$310, 0,FALSE), IFERROR(VLOOKUP($A121,'Vocus RVC ExDa'!$C$2:$R$155, 15,FALSE), IFERROR(VLOOKUP($A121,'Fusion ExDa'!$B$2:$D$16, 0,FALSE), IFERROR(VLOOKUP($A121,'Exetel ExDa'!$C$2:$N$14, 7,FALSE), IFERROR(VLOOKUP($A121,'Infinet ExDa'!$B$2:$E$14, 0,FALSE), "Not Found"))))))))</f>
        <v>144.6.127.36</v>
      </c>
      <c r="H121" t="str">
        <f>IFERROR(VLOOKUP($A121,'AAPT ExDa'!$B$2:$U$99, 6,FALSE), IFERROR(VLOOKUP($A121,'ABB ExDa'!$A$2:$N$184, 0,FALSE), IFERROR(VLOOKUP($A121,'Vocus SIT ExDa'!$B$2:$J$173, 0,FALSE), IFERROR(VLOOKUP($A121,'Telstra ExDa'!$B$2:$K$310, 0,FALSE), IFERROR(VLOOKUP($A121,'Vocus RVC ExDa'!$C$2:$R$155, 16,FALSE), IFERROR(VLOOKUP($A121,'Fusion ExDa'!$B$2:$D$16, 0,FALSE), IFERROR(VLOOKUP($A121,'Exetel ExDa'!$C$2:$N$14, 0,FALSE), IFERROR(VLOOKUP($A121,'Infinet ExDa'!$B$2:$E$14, 0,FALSE), "Not Found"))))))))</f>
        <v>Not Found</v>
      </c>
      <c r="I121" t="str">
        <f>IFERROR(VLOOKUP($A121,'AAPT ExDa'!$B$2:$U$99, 0,FALSE), IFERROR(VLOOKUP($A121,'ABB ExDa'!$A$2:$N$184, 0,FALSE), IFERROR(VLOOKUP($A121,'Vocus SIT ExDa'!$B$2:$J$173, 0,FALSE), IFERROR(VLOOKUP($A121,'Telstra ExDa'!$B$2:$K$310, 0,FALSE), IFERROR(VLOOKUP($A121,'Vocus RVC ExDa'!$C$2:$R$155, 0,FALSE), IFERROR(VLOOKUP($A121,'Fusion ExDa'!$B$2:$D$16, 0,FALSE), IFERROR(VLOOKUP($A121,'Exetel ExDa'!$C$2:$N$14, 8,FALSE), IFERROR(VLOOKUP($A121,'Infinet ExDa'!$B$2:$E$14, 0,FALSE), "Not Found"))))))))</f>
        <v>Not Found</v>
      </c>
      <c r="J121" t="str">
        <f>IFERROR(VLOOKUP($A121,'AAPT ExDa'!$B$2:$U$99, 7,FALSE), IFERROR(VLOOKUP($A121,'ABB ExDa'!$A$2:$N$184, 2,FALSE), IFERROR(VLOOKUP($A121,'Vocus SIT ExDa'!$B$2:$J$173, 0,FALSE), IFERROR(VLOOKUP($A121,'Telstra ExDa'!$B$2:$K$310, 7,FALSE), IFERROR(VLOOKUP($A121,'Vocus RVC ExDa'!$C$2:$R$155, 2,FALSE), IFERROR(VLOOKUP($A121,'Fusion ExDa'!$B$2:$D$16, 3,FALSE), IFERROR(VLOOKUP($A121,'Exetel ExDa'!$C$2:$N$14, 0,FALSE), IFERROR(VLOOKUP($A121,'Infinet ExDa'!$B$2:$E$14, 0,FALSE), "Not Found"))))))))</f>
        <v>SE 2, 74 VICTORIA PDE, ROCKHAMPTON CITY QLD</v>
      </c>
      <c r="K121" t="str">
        <f>IFERROR(VLOOKUP($A121,'AAPT ExDa'!$B$2:$U$99, 12,FALSE), IFERROR(VLOOKUP($A121,'ABB ExDa'!$A$2:$N$184, 0,FALSE), IFERROR(VLOOKUP($A121,'Vocus SIT ExDa'!$B$2:$J$173, 0,FALSE), IFERROR(VLOOKUP($A121,'Telstra ExDa'!$B$2:$K$310, 0,FALSE), IFERROR(VLOOKUP($A121,'Vocus RVC ExDa'!$C$2:$R$155, 0,FALSE), IFERROR(VLOOKUP($A121,'Fusion ExDa'!$B$2:$D$16, 0,FALSE), IFERROR(VLOOKUP($A121,'Exetel ExDa'!$C$2:$N$14, 12,FALSE), IFERROR(VLOOKUP($A121,'Infinet ExDa'!$B$2:$E$14, 0,FALSE), "Not Found"))))))))</f>
        <v>Not Found</v>
      </c>
      <c r="L121" s="235" t="str">
        <f>IFERROR(VLOOKUP($A121,'AAPT ExDa'!$B$2:$U$99, 11,FALSE), IFERROR(VLOOKUP($A121,'ABB ExDa'!$A$2:$N$184, 9,FALSE), IFERROR(VLOOKUP($A121,'Vocus SIT ExDa'!$B$2:$J$173, 8,FALSE), IFERROR(VLOOKUP($A121,'Telstra ExDa'!$B$2:$K$310, 0,FALSE), IFERROR(VLOOKUP($A121,'Vocus RVC ExDa'!$C$2:$R$155, 0,FALSE), IFERROR(VLOOKUP($A121,'Fusion ExDa'!$B$2:$D$16, 0,FALSE), IFERROR(VLOOKUP($A121,'Exetel ExDa'!$C$2:$N$14, 9,FALSE), IFERROR(VLOOKUP($A121,'Infinet ExDa'!$B$2:$E$14, 0,FALSE), "Not Found"))))))))</f>
        <v>26 July 2024</v>
      </c>
      <c r="M121" s="234" t="str">
        <f>IFERROR(VLOOKUP($A121,'AAPT ExDa'!$B$2:$U$99, 0,FALSE), IFERROR(VLOOKUP($A121,'ABB ExDa'!$A$2:$N$184, 0,FALSE), IFERROR(VLOOKUP($A121,'Vocus SIT ExDa'!$B$2:$J$173, 0,FALSE), IFERROR(VLOOKUP($A121,'Telstra ExDa'!$B$2:$K$310, 0,FALSE), IFERROR(VLOOKUP($A121,'Vocus RVC ExDa'!$C$2:$R$155, 0,FALSE), IFERROR(VLOOKUP($A121,'Fusion ExDa'!$B$2:$D$16, 0,FALSE), IFERROR(VLOOKUP($A121,'Exetel ExDa'!$C$2:$N$14, 11,FALSE), IFERROR(VLOOKUP($A121,'Infinet ExDa'!$B$2:$E$14, 0,FALSE), "Not Found"))))))))</f>
        <v>Not Found</v>
      </c>
      <c r="N121" t="str">
        <f>IFERROR(VLOOKUP($A121,'AAPT ExDa'!$B$2:$U$99, 0,FALSE), IFERROR(VLOOKUP($A121,'ABB ExDa'!$A$2:$N$184, 13,FALSE), IFERROR(VLOOKUP($A121,'Vocus SIT ExDa'!$B$2:$J$173, 0,FALSE), IFERROR(VLOOKUP($A121,'Telstra ExDa'!$B$2:$K$310, 0,FALSE), IFERROR(VLOOKUP($A121,'Vocus RVC ExDa'!$C$2:$R$155, 0,FALSE), IFERROR(VLOOKUP($A121,'Fusion ExDa'!$B$2:$D$16, 0,FALSE), IFERROR(VLOOKUP($A121,'Exetel ExDa'!$C$2:$N$14, 0,FALSE), IFERROR(VLOOKUP($A121,'Infinet ExDa'!$B$2:$E$14, 0,FALSE), "Not Found"))))))))</f>
        <v>Sasboss</v>
      </c>
    </row>
    <row r="122" spans="1:14">
      <c r="A122" t="str">
        <v>Grunskes By the River</v>
      </c>
      <c r="B122" t="str">
        <f>IFERROR(VLOOKUP(A122,'Exetel ExDa'!$C$2:$N$14,4,FALSE),"No Data")</f>
        <v>No Data</v>
      </c>
      <c r="C122" t="str">
        <f>IFERROR(VLOOKUP(A122,'AAPT ExDa'!$B$2:$U$99, 2,FALSE), IFERROR(VLOOKUP(A122,'ABB ExDa'!$A$2:$N$184, 2,FALSE), IFERROR(VLOOKUP(A122,'Vocus SIT ExDa'!$B$2:$J$173, 7,FALSE), IFERROR(VLOOKUP(A122,'Telstra ExDa'!$B$2:$K$310, 2,FALSE), IFERROR(VLOOKUP(A122,'Vocus RVC ExDa'!$C$2:$R$155, 3,FALSE), IFERROR(VLOOKUP(A122,'Fusion ExDa'!$B$2:$D$16, 2,FALSE), IFERROR(VLOOKUP(A122,'Exetel ExDa'!$C$2:$N$14, 2,FALSE), IFERROR(VLOOKUP(A122,'Infinet ExDa'!$B$2:$E$14, 2,FALSE), "Not Found"))))))))</f>
        <v>11E PETERSEN ST, BUNDABERG EAST QLD</v>
      </c>
      <c r="D122" t="str">
        <f>IFERROR(VLOOKUP($A122,'AAPT ExDa'!$B$2:$U$99, 15,FALSE), IFERROR(VLOOKUP($A122,'ABB ExDa'!$A$2:$N$184, 4,FALSE), IFERROR(VLOOKUP($A122,'Vocus SIT ExDa'!$B$2:$J$173, 5,FALSE), IFERROR(VLOOKUP($A122,'Telstra ExDa'!$B$2:$K$310, 8,FALSE), IFERROR(VLOOKUP($A122,'Vocus RVC ExDa'!$C$2:$R$155, 6,FALSE), IFERROR(VLOOKUP($A122,'Fusion ExDa'!$B$2:$D$16, 4,FALSE), IFERROR(VLOOKUP($A122,'Exetel ExDa'!$C$2:$N$14, 3,FALSE), IFERROR(VLOOKUP($A122,'Infinet ExDa'!$B$2:$E$14, 3,FALSE), "Not Found"))))))))</f>
        <v>ABB</v>
      </c>
      <c r="E122" t="str">
        <f>IFERROR(VLOOKUP($A122,'AAPT ExDa'!$B$2:$U$99, 3,FALSE), IFERROR(VLOOKUP($A122,'ABB ExDa'!$A$2:$N$184, 5,FALSE), IFERROR(VLOOKUP($A122,'Vocus SIT ExDa'!$B$2:$J$173, 2,FALSE), IFERROR(VLOOKUP($A122,'Telstra ExDa'!$B$2:$K$310, 4,FALSE), IFERROR(VLOOKUP($A122,'Vocus RVC ExDa'!$C$2:$R$155, 8,FALSE), IFERROR(VLOOKUP($A122,'Fusion ExDa'!$B$2:$D$16, 4,FALSE), IFERROR(VLOOKUP($A122,'Exetel ExDa'!$C$2:$N$14, 5,FALSE), IFERROR(VLOOKUP($A122,'Infinet ExDa'!$B$2:$E$14, 3,FALSE), "Not Found"))))))))</f>
        <v>NBN 100/40</v>
      </c>
      <c r="F122" t="str">
        <f>IFERROR(VLOOKUP($A122,'AAPT ExDa'!$B$2:$U$99, 4,FALSE), IFERROR(VLOOKUP($A122,'ABB ExDa'!$A$2:$N$184, 6,FALSE), IFERROR(VLOOKUP($A122,'Vocus SIT ExDa'!$B$2:$J$173, 3,FALSE), IFERROR(VLOOKUP($A122,'Telstra ExDa'!$B$2:$K$310, 5,FALSE), IFERROR(VLOOKUP($A122,'Vocus RVC ExDa'!$C$2:$R$155, 9,FALSE), IFERROR(VLOOKUP($A122,'Fusion ExDa'!$B$2:$D$16, 0,FALSE), IFERROR(VLOOKUP($A122,'Exetel ExDa'!$C$2:$N$14, 6,FALSE), IFERROR(VLOOKUP($A122,'Infinet ExDa'!$B$2:$E$14, 0,FALSE), "Not Found"))))))))</f>
        <v xml:space="preserve">FTTN </v>
      </c>
      <c r="G122" t="str">
        <f>IFERROR(VLOOKUP($A122,'AAPT ExDa'!$B$2:$U$99, 5,FALSE), IFERROR(VLOOKUP($A122,'ABB ExDa'!$A$2:$N$184, 8,FALSE), IFERROR(VLOOKUP($A122,'Vocus SIT ExDa'!$B$2:$J$173, 6,FALSE), IFERROR(VLOOKUP($A122,'Telstra ExDa'!$B$2:$K$310, 0,FALSE), IFERROR(VLOOKUP($A122,'Vocus RVC ExDa'!$C$2:$R$155, 15,FALSE), IFERROR(VLOOKUP($A122,'Fusion ExDa'!$B$2:$D$16, 0,FALSE), IFERROR(VLOOKUP($A122,'Exetel ExDa'!$C$2:$N$14, 7,FALSE), IFERROR(VLOOKUP($A122,'Infinet ExDa'!$B$2:$E$14, 0,FALSE), "Not Found"))))))))</f>
        <v>167.179.175.113</v>
      </c>
      <c r="H122" t="str">
        <f>IFERROR(VLOOKUP($A122,'AAPT ExDa'!$B$2:$U$99, 6,FALSE), IFERROR(VLOOKUP($A122,'ABB ExDa'!$A$2:$N$184, 0,FALSE), IFERROR(VLOOKUP($A122,'Vocus SIT ExDa'!$B$2:$J$173, 0,FALSE), IFERROR(VLOOKUP($A122,'Telstra ExDa'!$B$2:$K$310, 0,FALSE), IFERROR(VLOOKUP($A122,'Vocus RVC ExDa'!$C$2:$R$155, 16,FALSE), IFERROR(VLOOKUP($A122,'Fusion ExDa'!$B$2:$D$16, 0,FALSE), IFERROR(VLOOKUP($A122,'Exetel ExDa'!$C$2:$N$14, 0,FALSE), IFERROR(VLOOKUP($A122,'Infinet ExDa'!$B$2:$E$14, 0,FALSE), "Not Found"))))))))</f>
        <v>Not Found</v>
      </c>
      <c r="I122" t="str">
        <f>IFERROR(VLOOKUP($A122,'AAPT ExDa'!$B$2:$U$99, 0,FALSE), IFERROR(VLOOKUP($A122,'ABB ExDa'!$A$2:$N$184, 0,FALSE), IFERROR(VLOOKUP($A122,'Vocus SIT ExDa'!$B$2:$J$173, 0,FALSE), IFERROR(VLOOKUP($A122,'Telstra ExDa'!$B$2:$K$310, 0,FALSE), IFERROR(VLOOKUP($A122,'Vocus RVC ExDa'!$C$2:$R$155, 0,FALSE), IFERROR(VLOOKUP($A122,'Fusion ExDa'!$B$2:$D$16, 0,FALSE), IFERROR(VLOOKUP($A122,'Exetel ExDa'!$C$2:$N$14, 8,FALSE), IFERROR(VLOOKUP($A122,'Infinet ExDa'!$B$2:$E$14, 0,FALSE), "Not Found"))))))))</f>
        <v>Not Found</v>
      </c>
      <c r="J122" t="str">
        <f>IFERROR(VLOOKUP($A122,'AAPT ExDa'!$B$2:$U$99, 7,FALSE), IFERROR(VLOOKUP($A122,'ABB ExDa'!$A$2:$N$184, 2,FALSE), IFERROR(VLOOKUP($A122,'Vocus SIT ExDa'!$B$2:$J$173, 0,FALSE), IFERROR(VLOOKUP($A122,'Telstra ExDa'!$B$2:$K$310, 7,FALSE), IFERROR(VLOOKUP($A122,'Vocus RVC ExDa'!$C$2:$R$155, 2,FALSE), IFERROR(VLOOKUP($A122,'Fusion ExDa'!$B$2:$D$16, 3,FALSE), IFERROR(VLOOKUP($A122,'Exetel ExDa'!$C$2:$N$14, 0,FALSE), IFERROR(VLOOKUP($A122,'Infinet ExDa'!$B$2:$E$14, 0,FALSE), "Not Found"))))))))</f>
        <v>11E PETERSEN ST, BUNDABERG EAST QLD</v>
      </c>
      <c r="K122" t="str">
        <f>IFERROR(VLOOKUP($A122,'AAPT ExDa'!$B$2:$U$99, 12,FALSE), IFERROR(VLOOKUP($A122,'ABB ExDa'!$A$2:$N$184, 0,FALSE), IFERROR(VLOOKUP($A122,'Vocus SIT ExDa'!$B$2:$J$173, 0,FALSE), IFERROR(VLOOKUP($A122,'Telstra ExDa'!$B$2:$K$310, 0,FALSE), IFERROR(VLOOKUP($A122,'Vocus RVC ExDa'!$C$2:$R$155, 0,FALSE), IFERROR(VLOOKUP($A122,'Fusion ExDa'!$B$2:$D$16, 0,FALSE), IFERROR(VLOOKUP($A122,'Exetel ExDa'!$C$2:$N$14, 12,FALSE), IFERROR(VLOOKUP($A122,'Infinet ExDa'!$B$2:$E$14, 0,FALSE), "Not Found"))))))))</f>
        <v>Not Found</v>
      </c>
      <c r="L122" s="235" t="str">
        <f>IFERROR(VLOOKUP($A122,'AAPT ExDa'!$B$2:$U$99, 11,FALSE), IFERROR(VLOOKUP($A122,'ABB ExDa'!$A$2:$N$184, 9,FALSE), IFERROR(VLOOKUP($A122,'Vocus SIT ExDa'!$B$2:$J$173, 8,FALSE), IFERROR(VLOOKUP($A122,'Telstra ExDa'!$B$2:$K$310, 0,FALSE), IFERROR(VLOOKUP($A122,'Vocus RVC ExDa'!$C$2:$R$155, 0,FALSE), IFERROR(VLOOKUP($A122,'Fusion ExDa'!$B$2:$D$16, 0,FALSE), IFERROR(VLOOKUP($A122,'Exetel ExDa'!$C$2:$N$14, 9,FALSE), IFERROR(VLOOKUP($A122,'Infinet ExDa'!$B$2:$E$14, 0,FALSE), "Not Found"))))))))</f>
        <v>07 Aug 2024</v>
      </c>
      <c r="M122" s="234" t="str">
        <f>IFERROR(VLOOKUP($A122,'AAPT ExDa'!$B$2:$U$99, 0,FALSE), IFERROR(VLOOKUP($A122,'ABB ExDa'!$A$2:$N$184, 0,FALSE), IFERROR(VLOOKUP($A122,'Vocus SIT ExDa'!$B$2:$J$173, 0,FALSE), IFERROR(VLOOKUP($A122,'Telstra ExDa'!$B$2:$K$310, 0,FALSE), IFERROR(VLOOKUP($A122,'Vocus RVC ExDa'!$C$2:$R$155, 0,FALSE), IFERROR(VLOOKUP($A122,'Fusion ExDa'!$B$2:$D$16, 0,FALSE), IFERROR(VLOOKUP($A122,'Exetel ExDa'!$C$2:$N$14, 11,FALSE), IFERROR(VLOOKUP($A122,'Infinet ExDa'!$B$2:$E$14, 0,FALSE), "Not Found"))))))))</f>
        <v>Not Found</v>
      </c>
      <c r="N122" t="str">
        <f>IFERROR(VLOOKUP($A122,'AAPT ExDa'!$B$2:$U$99, 0,FALSE), IFERROR(VLOOKUP($A122,'ABB ExDa'!$A$2:$N$184, 13,FALSE), IFERROR(VLOOKUP($A122,'Vocus SIT ExDa'!$B$2:$J$173, 0,FALSE), IFERROR(VLOOKUP($A122,'Telstra ExDa'!$B$2:$K$310, 0,FALSE), IFERROR(VLOOKUP($A122,'Vocus RVC ExDa'!$C$2:$R$155, 0,FALSE), IFERROR(VLOOKUP($A122,'Fusion ExDa'!$B$2:$D$16, 0,FALSE), IFERROR(VLOOKUP($A122,'Exetel ExDa'!$C$2:$N$14, 0,FALSE), IFERROR(VLOOKUP($A122,'Infinet ExDa'!$B$2:$E$14, 0,FALSE), "Not Found"))))))))</f>
        <v>Sasboss</v>
      </c>
    </row>
    <row r="123" spans="1:14">
      <c r="A123" t="str">
        <v>Hemmingway Financial</v>
      </c>
      <c r="B123" t="str">
        <f>IFERROR(VLOOKUP(A123,'Exetel ExDa'!$C$2:$N$14,4,FALSE),"No Data")</f>
        <v>No Data</v>
      </c>
      <c r="C123" t="str">
        <f>IFERROR(VLOOKUP(A123,'AAPT ExDa'!$B$2:$U$99, 2,FALSE), IFERROR(VLOOKUP(A123,'ABB ExDa'!$A$2:$N$184, 2,FALSE), IFERROR(VLOOKUP(A123,'Vocus SIT ExDa'!$B$2:$J$173, 7,FALSE), IFERROR(VLOOKUP(A123,'Telstra ExDa'!$B$2:$K$310, 2,FALSE), IFERROR(VLOOKUP(A123,'Vocus RVC ExDa'!$C$2:$R$155, 3,FALSE), IFERROR(VLOOKUP(A123,'Fusion ExDa'!$B$2:$D$16, 2,FALSE), IFERROR(VLOOKUP(A123,'Exetel ExDa'!$C$2:$N$14, 2,FALSE), IFERROR(VLOOKUP(A123,'Infinet ExDa'!$B$2:$E$14, 2,FALSE), "Not Found"))))))))</f>
        <v>140 GEORGE ST, BUNDABERG WEST QLD</v>
      </c>
      <c r="D123" t="str">
        <f>IFERROR(VLOOKUP($A123,'AAPT ExDa'!$B$2:$U$99, 15,FALSE), IFERROR(VLOOKUP($A123,'ABB ExDa'!$A$2:$N$184, 4,FALSE), IFERROR(VLOOKUP($A123,'Vocus SIT ExDa'!$B$2:$J$173, 5,FALSE), IFERROR(VLOOKUP($A123,'Telstra ExDa'!$B$2:$K$310, 8,FALSE), IFERROR(VLOOKUP($A123,'Vocus RVC ExDa'!$C$2:$R$155, 6,FALSE), IFERROR(VLOOKUP($A123,'Fusion ExDa'!$B$2:$D$16, 4,FALSE), IFERROR(VLOOKUP($A123,'Exetel ExDa'!$C$2:$N$14, 3,FALSE), IFERROR(VLOOKUP($A123,'Infinet ExDa'!$B$2:$E$14, 3,FALSE), "Not Found"))))))))</f>
        <v>ABB</v>
      </c>
      <c r="E123" t="str">
        <f>IFERROR(VLOOKUP($A123,'AAPT ExDa'!$B$2:$U$99, 3,FALSE), IFERROR(VLOOKUP($A123,'ABB ExDa'!$A$2:$N$184, 5,FALSE), IFERROR(VLOOKUP($A123,'Vocus SIT ExDa'!$B$2:$J$173, 2,FALSE), IFERROR(VLOOKUP($A123,'Telstra ExDa'!$B$2:$K$310, 4,FALSE), IFERROR(VLOOKUP($A123,'Vocus RVC ExDa'!$C$2:$R$155, 8,FALSE), IFERROR(VLOOKUP($A123,'Fusion ExDa'!$B$2:$D$16, 4,FALSE), IFERROR(VLOOKUP($A123,'Exetel ExDa'!$C$2:$N$14, 5,FALSE), IFERROR(VLOOKUP($A123,'Infinet ExDa'!$B$2:$E$14, 3,FALSE), "Not Found"))))))))</f>
        <v>NBN 100/40</v>
      </c>
      <c r="F123" t="str">
        <f>IFERROR(VLOOKUP($A123,'AAPT ExDa'!$B$2:$U$99, 4,FALSE), IFERROR(VLOOKUP($A123,'ABB ExDa'!$A$2:$N$184, 6,FALSE), IFERROR(VLOOKUP($A123,'Vocus SIT ExDa'!$B$2:$J$173, 3,FALSE), IFERROR(VLOOKUP($A123,'Telstra ExDa'!$B$2:$K$310, 5,FALSE), IFERROR(VLOOKUP($A123,'Vocus RVC ExDa'!$C$2:$R$155, 9,FALSE), IFERROR(VLOOKUP($A123,'Fusion ExDa'!$B$2:$D$16, 0,FALSE), IFERROR(VLOOKUP($A123,'Exetel ExDa'!$C$2:$N$14, 6,FALSE), IFERROR(VLOOKUP($A123,'Infinet ExDa'!$B$2:$E$14, 0,FALSE), "Not Found"))))))))</f>
        <v>FTTN</v>
      </c>
      <c r="G123" t="str">
        <f>IFERROR(VLOOKUP($A123,'AAPT ExDa'!$B$2:$U$99, 5,FALSE), IFERROR(VLOOKUP($A123,'ABB ExDa'!$A$2:$N$184, 8,FALSE), IFERROR(VLOOKUP($A123,'Vocus SIT ExDa'!$B$2:$J$173, 6,FALSE), IFERROR(VLOOKUP($A123,'Telstra ExDa'!$B$2:$K$310, 0,FALSE), IFERROR(VLOOKUP($A123,'Vocus RVC ExDa'!$C$2:$R$155, 15,FALSE), IFERROR(VLOOKUP($A123,'Fusion ExDa'!$B$2:$D$16, 0,FALSE), IFERROR(VLOOKUP($A123,'Exetel ExDa'!$C$2:$N$14, 7,FALSE), IFERROR(VLOOKUP($A123,'Infinet ExDa'!$B$2:$E$14, 0,FALSE), "Not Found"))))))))</f>
        <v>159.196.41.82</v>
      </c>
      <c r="H123" t="str">
        <f>IFERROR(VLOOKUP($A123,'AAPT ExDa'!$B$2:$U$99, 6,FALSE), IFERROR(VLOOKUP($A123,'ABB ExDa'!$A$2:$N$184, 0,FALSE), IFERROR(VLOOKUP($A123,'Vocus SIT ExDa'!$B$2:$J$173, 0,FALSE), IFERROR(VLOOKUP($A123,'Telstra ExDa'!$B$2:$K$310, 0,FALSE), IFERROR(VLOOKUP($A123,'Vocus RVC ExDa'!$C$2:$R$155, 16,FALSE), IFERROR(VLOOKUP($A123,'Fusion ExDa'!$B$2:$D$16, 0,FALSE), IFERROR(VLOOKUP($A123,'Exetel ExDa'!$C$2:$N$14, 0,FALSE), IFERROR(VLOOKUP($A123,'Infinet ExDa'!$B$2:$E$14, 0,FALSE), "Not Found"))))))))</f>
        <v>Not Found</v>
      </c>
      <c r="I123" t="str">
        <f>IFERROR(VLOOKUP($A123,'AAPT ExDa'!$B$2:$U$99, 0,FALSE), IFERROR(VLOOKUP($A123,'ABB ExDa'!$A$2:$N$184, 0,FALSE), IFERROR(VLOOKUP($A123,'Vocus SIT ExDa'!$B$2:$J$173, 0,FALSE), IFERROR(VLOOKUP($A123,'Telstra ExDa'!$B$2:$K$310, 0,FALSE), IFERROR(VLOOKUP($A123,'Vocus RVC ExDa'!$C$2:$R$155, 0,FALSE), IFERROR(VLOOKUP($A123,'Fusion ExDa'!$B$2:$D$16, 0,FALSE), IFERROR(VLOOKUP($A123,'Exetel ExDa'!$C$2:$N$14, 8,FALSE), IFERROR(VLOOKUP($A123,'Infinet ExDa'!$B$2:$E$14, 0,FALSE), "Not Found"))))))))</f>
        <v>Not Found</v>
      </c>
      <c r="J123" t="str">
        <f>IFERROR(VLOOKUP($A123,'AAPT ExDa'!$B$2:$U$99, 7,FALSE), IFERROR(VLOOKUP($A123,'ABB ExDa'!$A$2:$N$184, 2,FALSE), IFERROR(VLOOKUP($A123,'Vocus SIT ExDa'!$B$2:$J$173, 0,FALSE), IFERROR(VLOOKUP($A123,'Telstra ExDa'!$B$2:$K$310, 7,FALSE), IFERROR(VLOOKUP($A123,'Vocus RVC ExDa'!$C$2:$R$155, 2,FALSE), IFERROR(VLOOKUP($A123,'Fusion ExDa'!$B$2:$D$16, 3,FALSE), IFERROR(VLOOKUP($A123,'Exetel ExDa'!$C$2:$N$14, 0,FALSE), IFERROR(VLOOKUP($A123,'Infinet ExDa'!$B$2:$E$14, 0,FALSE), "Not Found"))))))))</f>
        <v>140 GEORGE ST, BUNDABERG WEST QLD</v>
      </c>
      <c r="K123" t="str">
        <f>IFERROR(VLOOKUP($A123,'AAPT ExDa'!$B$2:$U$99, 12,FALSE), IFERROR(VLOOKUP($A123,'ABB ExDa'!$A$2:$N$184, 0,FALSE), IFERROR(VLOOKUP($A123,'Vocus SIT ExDa'!$B$2:$J$173, 0,FALSE), IFERROR(VLOOKUP($A123,'Telstra ExDa'!$B$2:$K$310, 0,FALSE), IFERROR(VLOOKUP($A123,'Vocus RVC ExDa'!$C$2:$R$155, 0,FALSE), IFERROR(VLOOKUP($A123,'Fusion ExDa'!$B$2:$D$16, 0,FALSE), IFERROR(VLOOKUP($A123,'Exetel ExDa'!$C$2:$N$14, 12,FALSE), IFERROR(VLOOKUP($A123,'Infinet ExDa'!$B$2:$E$14, 0,FALSE), "Not Found"))))))))</f>
        <v>Not Found</v>
      </c>
      <c r="L123" s="235" t="str">
        <f>IFERROR(VLOOKUP($A123,'AAPT ExDa'!$B$2:$U$99, 11,FALSE), IFERROR(VLOOKUP($A123,'ABB ExDa'!$A$2:$N$184, 9,FALSE), IFERROR(VLOOKUP($A123,'Vocus SIT ExDa'!$B$2:$J$173, 8,FALSE), IFERROR(VLOOKUP($A123,'Telstra ExDa'!$B$2:$K$310, 0,FALSE), IFERROR(VLOOKUP($A123,'Vocus RVC ExDa'!$C$2:$R$155, 0,FALSE), IFERROR(VLOOKUP($A123,'Fusion ExDa'!$B$2:$D$16, 0,FALSE), IFERROR(VLOOKUP($A123,'Exetel ExDa'!$C$2:$N$14, 9,FALSE), IFERROR(VLOOKUP($A123,'Infinet ExDa'!$B$2:$E$14, 0,FALSE), "Not Found"))))))))</f>
        <v>10 March 2025</v>
      </c>
      <c r="M123" s="234" t="str">
        <f>IFERROR(VLOOKUP($A123,'AAPT ExDa'!$B$2:$U$99, 0,FALSE), IFERROR(VLOOKUP($A123,'ABB ExDa'!$A$2:$N$184, 0,FALSE), IFERROR(VLOOKUP($A123,'Vocus SIT ExDa'!$B$2:$J$173, 0,FALSE), IFERROR(VLOOKUP($A123,'Telstra ExDa'!$B$2:$K$310, 0,FALSE), IFERROR(VLOOKUP($A123,'Vocus RVC ExDa'!$C$2:$R$155, 0,FALSE), IFERROR(VLOOKUP($A123,'Fusion ExDa'!$B$2:$D$16, 0,FALSE), IFERROR(VLOOKUP($A123,'Exetel ExDa'!$C$2:$N$14, 11,FALSE), IFERROR(VLOOKUP($A123,'Infinet ExDa'!$B$2:$E$14, 0,FALSE), "Not Found"))))))))</f>
        <v>Not Found</v>
      </c>
      <c r="N123">
        <f>IFERROR(VLOOKUP($A123,'AAPT ExDa'!$B$2:$U$99, 0,FALSE), IFERROR(VLOOKUP($A123,'ABB ExDa'!$A$2:$N$184, 13,FALSE), IFERROR(VLOOKUP($A123,'Vocus SIT ExDa'!$B$2:$J$173, 0,FALSE), IFERROR(VLOOKUP($A123,'Telstra ExDa'!$B$2:$K$310, 0,FALSE), IFERROR(VLOOKUP($A123,'Vocus RVC ExDa'!$C$2:$R$155, 0,FALSE), IFERROR(VLOOKUP($A123,'Fusion ExDa'!$B$2:$D$16, 0,FALSE), IFERROR(VLOOKUP($A123,'Exetel ExDa'!$C$2:$N$14, 0,FALSE), IFERROR(VLOOKUP($A123,'Infinet ExDa'!$B$2:$E$14, 0,FALSE), "Not Found"))))))))</f>
        <v>0</v>
      </c>
    </row>
    <row r="124" spans="1:14">
      <c r="A124" t="str">
        <v>Hervey Bay Garden Centre</v>
      </c>
      <c r="B124" t="str">
        <f>IFERROR(VLOOKUP(A124,'Exetel ExDa'!$C$2:$N$14,4,FALSE),"No Data")</f>
        <v>No Data</v>
      </c>
      <c r="C124" t="str">
        <f>IFERROR(VLOOKUP(A124,'AAPT ExDa'!$B$2:$U$99, 2,FALSE), IFERROR(VLOOKUP(A124,'ABB ExDa'!$A$2:$N$184, 2,FALSE), IFERROR(VLOOKUP(A124,'Vocus SIT ExDa'!$B$2:$J$173, 7,FALSE), IFERROR(VLOOKUP(A124,'Telstra ExDa'!$B$2:$K$310, 2,FALSE), IFERROR(VLOOKUP(A124,'Vocus RVC ExDa'!$C$2:$R$155, 3,FALSE), IFERROR(VLOOKUP(A124,'Fusion ExDa'!$B$2:$D$16, 2,FALSE), IFERROR(VLOOKUP(A124,'Exetel ExDa'!$C$2:$N$14, 2,FALSE), IFERROR(VLOOKUP(A124,'Infinet ExDa'!$B$2:$E$14, 2,FALSE), "Not Found"))))))))</f>
        <v>7 BARNSTAPLE ST, TORQUAY QLD</v>
      </c>
      <c r="D124" t="str">
        <f>IFERROR(VLOOKUP($A124,'AAPT ExDa'!$B$2:$U$99, 15,FALSE), IFERROR(VLOOKUP($A124,'ABB ExDa'!$A$2:$N$184, 4,FALSE), IFERROR(VLOOKUP($A124,'Vocus SIT ExDa'!$B$2:$J$173, 5,FALSE), IFERROR(VLOOKUP($A124,'Telstra ExDa'!$B$2:$K$310, 8,FALSE), IFERROR(VLOOKUP($A124,'Vocus RVC ExDa'!$C$2:$R$155, 6,FALSE), IFERROR(VLOOKUP($A124,'Fusion ExDa'!$B$2:$D$16, 4,FALSE), IFERROR(VLOOKUP($A124,'Exetel ExDa'!$C$2:$N$14, 3,FALSE), IFERROR(VLOOKUP($A124,'Infinet ExDa'!$B$2:$E$14, 3,FALSE), "Not Found"))))))))</f>
        <v>ABB</v>
      </c>
      <c r="E124" t="str">
        <f>IFERROR(VLOOKUP($A124,'AAPT ExDa'!$B$2:$U$99, 3,FALSE), IFERROR(VLOOKUP($A124,'ABB ExDa'!$A$2:$N$184, 5,FALSE), IFERROR(VLOOKUP($A124,'Vocus SIT ExDa'!$B$2:$J$173, 2,FALSE), IFERROR(VLOOKUP($A124,'Telstra ExDa'!$B$2:$K$310, 4,FALSE), IFERROR(VLOOKUP($A124,'Vocus RVC ExDa'!$C$2:$R$155, 8,FALSE), IFERROR(VLOOKUP($A124,'Fusion ExDa'!$B$2:$D$16, 4,FALSE), IFERROR(VLOOKUP($A124,'Exetel ExDa'!$C$2:$N$14, 5,FALSE), IFERROR(VLOOKUP($A124,'Infinet ExDa'!$B$2:$E$14, 3,FALSE), "Not Found"))))))))</f>
        <v>NBN 50/20</v>
      </c>
      <c r="F124" t="str">
        <f>IFERROR(VLOOKUP($A124,'AAPT ExDa'!$B$2:$U$99, 4,FALSE), IFERROR(VLOOKUP($A124,'ABB ExDa'!$A$2:$N$184, 6,FALSE), IFERROR(VLOOKUP($A124,'Vocus SIT ExDa'!$B$2:$J$173, 3,FALSE), IFERROR(VLOOKUP($A124,'Telstra ExDa'!$B$2:$K$310, 5,FALSE), IFERROR(VLOOKUP($A124,'Vocus RVC ExDa'!$C$2:$R$155, 9,FALSE), IFERROR(VLOOKUP($A124,'Fusion ExDa'!$B$2:$D$16, 0,FALSE), IFERROR(VLOOKUP($A124,'Exetel ExDa'!$C$2:$N$14, 6,FALSE), IFERROR(VLOOKUP($A124,'Infinet ExDa'!$B$2:$E$14, 0,FALSE), "Not Found"))))))))</f>
        <v>Fibre</v>
      </c>
      <c r="G124" t="str">
        <f>IFERROR(VLOOKUP($A124,'AAPT ExDa'!$B$2:$U$99, 5,FALSE), IFERROR(VLOOKUP($A124,'ABB ExDa'!$A$2:$N$184, 8,FALSE), IFERROR(VLOOKUP($A124,'Vocus SIT ExDa'!$B$2:$J$173, 6,FALSE), IFERROR(VLOOKUP($A124,'Telstra ExDa'!$B$2:$K$310, 0,FALSE), IFERROR(VLOOKUP($A124,'Vocus RVC ExDa'!$C$2:$R$155, 15,FALSE), IFERROR(VLOOKUP($A124,'Fusion ExDa'!$B$2:$D$16, 0,FALSE), IFERROR(VLOOKUP($A124,'Exetel ExDa'!$C$2:$N$14, 7,FALSE), IFERROR(VLOOKUP($A124,'Infinet ExDa'!$B$2:$E$14, 0,FALSE), "Not Found"))))))))</f>
        <v>144.6.255.200</v>
      </c>
      <c r="H124" t="str">
        <f>IFERROR(VLOOKUP($A124,'AAPT ExDa'!$B$2:$U$99, 6,FALSE), IFERROR(VLOOKUP($A124,'ABB ExDa'!$A$2:$N$184, 0,FALSE), IFERROR(VLOOKUP($A124,'Vocus SIT ExDa'!$B$2:$J$173, 0,FALSE), IFERROR(VLOOKUP($A124,'Telstra ExDa'!$B$2:$K$310, 0,FALSE), IFERROR(VLOOKUP($A124,'Vocus RVC ExDa'!$C$2:$R$155, 16,FALSE), IFERROR(VLOOKUP($A124,'Fusion ExDa'!$B$2:$D$16, 0,FALSE), IFERROR(VLOOKUP($A124,'Exetel ExDa'!$C$2:$N$14, 0,FALSE), IFERROR(VLOOKUP($A124,'Infinet ExDa'!$B$2:$E$14, 0,FALSE), "Not Found"))))))))</f>
        <v>PPPoE</v>
      </c>
      <c r="I124" t="str">
        <f>IFERROR(VLOOKUP($A124,'AAPT ExDa'!$B$2:$U$99, 0,FALSE), IFERROR(VLOOKUP($A124,'ABB ExDa'!$A$2:$N$184, 0,FALSE), IFERROR(VLOOKUP($A124,'Vocus SIT ExDa'!$B$2:$J$173, 0,FALSE), IFERROR(VLOOKUP($A124,'Telstra ExDa'!$B$2:$K$310, 0,FALSE), IFERROR(VLOOKUP($A124,'Vocus RVC ExDa'!$C$2:$R$155, 0,FALSE), IFERROR(VLOOKUP($A124,'Fusion ExDa'!$B$2:$D$16, 0,FALSE), IFERROR(VLOOKUP($A124,'Exetel ExDa'!$C$2:$N$14, 8,FALSE), IFERROR(VLOOKUP($A124,'Infinet ExDa'!$B$2:$E$14, 0,FALSE), "Not Found"))))))))</f>
        <v>Not Found</v>
      </c>
      <c r="J124" t="str">
        <f>IFERROR(VLOOKUP($A124,'AAPT ExDa'!$B$2:$U$99, 7,FALSE), IFERROR(VLOOKUP($A124,'ABB ExDa'!$A$2:$N$184, 2,FALSE), IFERROR(VLOOKUP($A124,'Vocus SIT ExDa'!$B$2:$J$173, 0,FALSE), IFERROR(VLOOKUP($A124,'Telstra ExDa'!$B$2:$K$310, 7,FALSE), IFERROR(VLOOKUP($A124,'Vocus RVC ExDa'!$C$2:$R$155, 2,FALSE), IFERROR(VLOOKUP($A124,'Fusion ExDa'!$B$2:$D$16, 3,FALSE), IFERROR(VLOOKUP($A124,'Exetel ExDa'!$C$2:$N$14, 0,FALSE), IFERROR(VLOOKUP($A124,'Infinet ExDa'!$B$2:$E$14, 0,FALSE), "Not Found"))))))))</f>
        <v>7 BARNSTAPLE ST, TORQUAY QLD</v>
      </c>
      <c r="K124" t="str">
        <f>IFERROR(VLOOKUP($A124,'AAPT ExDa'!$B$2:$U$99, 12,FALSE), IFERROR(VLOOKUP($A124,'ABB ExDa'!$A$2:$N$184, 0,FALSE), IFERROR(VLOOKUP($A124,'Vocus SIT ExDa'!$B$2:$J$173, 0,FALSE), IFERROR(VLOOKUP($A124,'Telstra ExDa'!$B$2:$K$310, 0,FALSE), IFERROR(VLOOKUP($A124,'Vocus RVC ExDa'!$C$2:$R$155, 0,FALSE), IFERROR(VLOOKUP($A124,'Fusion ExDa'!$B$2:$D$16, 0,FALSE), IFERROR(VLOOKUP($A124,'Exetel ExDa'!$C$2:$N$14, 12,FALSE), IFERROR(VLOOKUP($A124,'Infinet ExDa'!$B$2:$E$14, 0,FALSE), "Not Found"))))))))</f>
        <v>Not Found</v>
      </c>
      <c r="L124" s="235" t="str">
        <f>IFERROR(VLOOKUP($A124,'AAPT ExDa'!$B$2:$U$99, 11,FALSE), IFERROR(VLOOKUP($A124,'ABB ExDa'!$A$2:$N$184, 9,FALSE), IFERROR(VLOOKUP($A124,'Vocus SIT ExDa'!$B$2:$J$173, 8,FALSE), IFERROR(VLOOKUP($A124,'Telstra ExDa'!$B$2:$K$310, 0,FALSE), IFERROR(VLOOKUP($A124,'Vocus RVC ExDa'!$C$2:$R$155, 0,FALSE), IFERROR(VLOOKUP($A124,'Fusion ExDa'!$B$2:$D$16, 0,FALSE), IFERROR(VLOOKUP($A124,'Exetel ExDa'!$C$2:$N$14, 9,FALSE), IFERROR(VLOOKUP($A124,'Infinet ExDa'!$B$2:$E$14, 0,FALSE), "Not Found"))))))))</f>
        <v>19 June 2025</v>
      </c>
      <c r="M124" s="234" t="str">
        <f>IFERROR(VLOOKUP($A124,'AAPT ExDa'!$B$2:$U$99, 0,FALSE), IFERROR(VLOOKUP($A124,'ABB ExDa'!$A$2:$N$184, 0,FALSE), IFERROR(VLOOKUP($A124,'Vocus SIT ExDa'!$B$2:$J$173, 0,FALSE), IFERROR(VLOOKUP($A124,'Telstra ExDa'!$B$2:$K$310, 0,FALSE), IFERROR(VLOOKUP($A124,'Vocus RVC ExDa'!$C$2:$R$155, 0,FALSE), IFERROR(VLOOKUP($A124,'Fusion ExDa'!$B$2:$D$16, 0,FALSE), IFERROR(VLOOKUP($A124,'Exetel ExDa'!$C$2:$N$14, 11,FALSE), IFERROR(VLOOKUP($A124,'Infinet ExDa'!$B$2:$E$14, 0,FALSE), "Not Found"))))))))</f>
        <v>Not Found</v>
      </c>
      <c r="N124" t="str">
        <f>IFERROR(VLOOKUP($A124,'AAPT ExDa'!$B$2:$U$99, 0,FALSE), IFERROR(VLOOKUP($A124,'ABB ExDa'!$A$2:$N$184, 13,FALSE), IFERROR(VLOOKUP($A124,'Vocus SIT ExDa'!$B$2:$J$173, 0,FALSE), IFERROR(VLOOKUP($A124,'Telstra ExDa'!$B$2:$K$310, 0,FALSE), IFERROR(VLOOKUP($A124,'Vocus RVC ExDa'!$C$2:$R$155, 0,FALSE), IFERROR(VLOOKUP($A124,'Fusion ExDa'!$B$2:$D$16, 0,FALSE), IFERROR(VLOOKUP($A124,'Exetel ExDa'!$C$2:$N$14, 0,FALSE), IFERROR(VLOOKUP($A124,'Infinet ExDa'!$B$2:$E$14, 0,FALSE), "Not Found"))))))))</f>
        <v>ECN/Sasboss</v>
      </c>
    </row>
    <row r="125" spans="1:14">
      <c r="A125" t="str">
        <v>HKS Financial Planning</v>
      </c>
      <c r="B125" t="str">
        <f>IFERROR(VLOOKUP(A125,'Exetel ExDa'!$C$2:$N$14,4,FALSE),"No Data")</f>
        <v>No Data</v>
      </c>
      <c r="C125" t="str">
        <f>IFERROR(VLOOKUP(A125,'AAPT ExDa'!$B$2:$U$99, 2,FALSE), IFERROR(VLOOKUP(A125,'ABB ExDa'!$A$2:$N$184, 2,FALSE), IFERROR(VLOOKUP(A125,'Vocus SIT ExDa'!$B$2:$J$173, 7,FALSE), IFERROR(VLOOKUP(A125,'Telstra ExDa'!$B$2:$K$310, 2,FALSE), IFERROR(VLOOKUP(A125,'Vocus RVC ExDa'!$C$2:$R$155, 3,FALSE), IFERROR(VLOOKUP(A125,'Fusion ExDa'!$B$2:$D$16, 2,FALSE), IFERROR(VLOOKUP(A125,'Exetel ExDa'!$C$2:$N$14, 2,FALSE), IFERROR(VLOOKUP(A125,'Infinet ExDa'!$B$2:$E$14, 2,FALSE), "Not Found"))))))))</f>
        <v>SHOP 3, 416 LOGAN RD, STONES CORNER QLD</v>
      </c>
      <c r="D125" t="str">
        <f>IFERROR(VLOOKUP($A125,'AAPT ExDa'!$B$2:$U$99, 15,FALSE), IFERROR(VLOOKUP($A125,'ABB ExDa'!$A$2:$N$184, 4,FALSE), IFERROR(VLOOKUP($A125,'Vocus SIT ExDa'!$B$2:$J$173, 5,FALSE), IFERROR(VLOOKUP($A125,'Telstra ExDa'!$B$2:$K$310, 8,FALSE), IFERROR(VLOOKUP($A125,'Vocus RVC ExDa'!$C$2:$R$155, 6,FALSE), IFERROR(VLOOKUP($A125,'Fusion ExDa'!$B$2:$D$16, 4,FALSE), IFERROR(VLOOKUP($A125,'Exetel ExDa'!$C$2:$N$14, 3,FALSE), IFERROR(VLOOKUP($A125,'Infinet ExDa'!$B$2:$E$14, 3,FALSE), "Not Found"))))))))</f>
        <v>ABB</v>
      </c>
      <c r="E125" t="str">
        <f>IFERROR(VLOOKUP($A125,'AAPT ExDa'!$B$2:$U$99, 3,FALSE), IFERROR(VLOOKUP($A125,'ABB ExDa'!$A$2:$N$184, 5,FALSE), IFERROR(VLOOKUP($A125,'Vocus SIT ExDa'!$B$2:$J$173, 2,FALSE), IFERROR(VLOOKUP($A125,'Telstra ExDa'!$B$2:$K$310, 4,FALSE), IFERROR(VLOOKUP($A125,'Vocus RVC ExDa'!$C$2:$R$155, 8,FALSE), IFERROR(VLOOKUP($A125,'Fusion ExDa'!$B$2:$D$16, 4,FALSE), IFERROR(VLOOKUP($A125,'Exetel ExDa'!$C$2:$N$14, 5,FALSE), IFERROR(VLOOKUP($A125,'Infinet ExDa'!$B$2:$E$14, 3,FALSE), "Not Found"))))))))</f>
        <v>NBN 100/40</v>
      </c>
      <c r="F125" t="str">
        <f>IFERROR(VLOOKUP($A125,'AAPT ExDa'!$B$2:$U$99, 4,FALSE), IFERROR(VLOOKUP($A125,'ABB ExDa'!$A$2:$N$184, 6,FALSE), IFERROR(VLOOKUP($A125,'Vocus SIT ExDa'!$B$2:$J$173, 3,FALSE), IFERROR(VLOOKUP($A125,'Telstra ExDa'!$B$2:$K$310, 5,FALSE), IFERROR(VLOOKUP($A125,'Vocus RVC ExDa'!$C$2:$R$155, 9,FALSE), IFERROR(VLOOKUP($A125,'Fusion ExDa'!$B$2:$D$16, 0,FALSE), IFERROR(VLOOKUP($A125,'Exetel ExDa'!$C$2:$N$14, 6,FALSE), IFERROR(VLOOKUP($A125,'Infinet ExDa'!$B$2:$E$14, 0,FALSE), "Not Found"))))))))</f>
        <v>HFC</v>
      </c>
      <c r="G125" t="str">
        <f>IFERROR(VLOOKUP($A125,'AAPT ExDa'!$B$2:$U$99, 5,FALSE), IFERROR(VLOOKUP($A125,'ABB ExDa'!$A$2:$N$184, 8,FALSE), IFERROR(VLOOKUP($A125,'Vocus SIT ExDa'!$B$2:$J$173, 6,FALSE), IFERROR(VLOOKUP($A125,'Telstra ExDa'!$B$2:$K$310, 0,FALSE), IFERROR(VLOOKUP($A125,'Vocus RVC ExDa'!$C$2:$R$155, 15,FALSE), IFERROR(VLOOKUP($A125,'Fusion ExDa'!$B$2:$D$16, 0,FALSE), IFERROR(VLOOKUP($A125,'Exetel ExDa'!$C$2:$N$14, 7,FALSE), IFERROR(VLOOKUP($A125,'Infinet ExDa'!$B$2:$E$14, 0,FALSE), "Not Found"))))))))</f>
        <v>120.88.119.217</v>
      </c>
      <c r="H125" t="str">
        <f>IFERROR(VLOOKUP($A125,'AAPT ExDa'!$B$2:$U$99, 6,FALSE), IFERROR(VLOOKUP($A125,'ABB ExDa'!$A$2:$N$184, 0,FALSE), IFERROR(VLOOKUP($A125,'Vocus SIT ExDa'!$B$2:$J$173, 0,FALSE), IFERROR(VLOOKUP($A125,'Telstra ExDa'!$B$2:$K$310, 0,FALSE), IFERROR(VLOOKUP($A125,'Vocus RVC ExDa'!$C$2:$R$155, 16,FALSE), IFERROR(VLOOKUP($A125,'Fusion ExDa'!$B$2:$D$16, 0,FALSE), IFERROR(VLOOKUP($A125,'Exetel ExDa'!$C$2:$N$14, 0,FALSE), IFERROR(VLOOKUP($A125,'Infinet ExDa'!$B$2:$E$14, 0,FALSE), "Not Found"))))))))</f>
        <v>Not Found</v>
      </c>
      <c r="I125" t="str">
        <f>IFERROR(VLOOKUP($A125,'AAPT ExDa'!$B$2:$U$99, 0,FALSE), IFERROR(VLOOKUP($A125,'ABB ExDa'!$A$2:$N$184, 0,FALSE), IFERROR(VLOOKUP($A125,'Vocus SIT ExDa'!$B$2:$J$173, 0,FALSE), IFERROR(VLOOKUP($A125,'Telstra ExDa'!$B$2:$K$310, 0,FALSE), IFERROR(VLOOKUP($A125,'Vocus RVC ExDa'!$C$2:$R$155, 0,FALSE), IFERROR(VLOOKUP($A125,'Fusion ExDa'!$B$2:$D$16, 0,FALSE), IFERROR(VLOOKUP($A125,'Exetel ExDa'!$C$2:$N$14, 8,FALSE), IFERROR(VLOOKUP($A125,'Infinet ExDa'!$B$2:$E$14, 0,FALSE), "Not Found"))))))))</f>
        <v>Not Found</v>
      </c>
      <c r="J125" t="str">
        <f>IFERROR(VLOOKUP($A125,'AAPT ExDa'!$B$2:$U$99, 7,FALSE), IFERROR(VLOOKUP($A125,'ABB ExDa'!$A$2:$N$184, 2,FALSE), IFERROR(VLOOKUP($A125,'Vocus SIT ExDa'!$B$2:$J$173, 0,FALSE), IFERROR(VLOOKUP($A125,'Telstra ExDa'!$B$2:$K$310, 7,FALSE), IFERROR(VLOOKUP($A125,'Vocus RVC ExDa'!$C$2:$R$155, 2,FALSE), IFERROR(VLOOKUP($A125,'Fusion ExDa'!$B$2:$D$16, 3,FALSE), IFERROR(VLOOKUP($A125,'Exetel ExDa'!$C$2:$N$14, 0,FALSE), IFERROR(VLOOKUP($A125,'Infinet ExDa'!$B$2:$E$14, 0,FALSE), "Not Found"))))))))</f>
        <v>SHOP 3, 416 LOGAN RD, STONES CORNER QLD</v>
      </c>
      <c r="K125" t="str">
        <f>IFERROR(VLOOKUP($A125,'AAPT ExDa'!$B$2:$U$99, 12,FALSE), IFERROR(VLOOKUP($A125,'ABB ExDa'!$A$2:$N$184, 0,FALSE), IFERROR(VLOOKUP($A125,'Vocus SIT ExDa'!$B$2:$J$173, 0,FALSE), IFERROR(VLOOKUP($A125,'Telstra ExDa'!$B$2:$K$310, 0,FALSE), IFERROR(VLOOKUP($A125,'Vocus RVC ExDa'!$C$2:$R$155, 0,FALSE), IFERROR(VLOOKUP($A125,'Fusion ExDa'!$B$2:$D$16, 0,FALSE), IFERROR(VLOOKUP($A125,'Exetel ExDa'!$C$2:$N$14, 12,FALSE), IFERROR(VLOOKUP($A125,'Infinet ExDa'!$B$2:$E$14, 0,FALSE), "Not Found"))))))))</f>
        <v>Not Found</v>
      </c>
      <c r="L125" s="235" t="str">
        <f>IFERROR(VLOOKUP($A125,'AAPT ExDa'!$B$2:$U$99, 11,FALSE), IFERROR(VLOOKUP($A125,'ABB ExDa'!$A$2:$N$184, 9,FALSE), IFERROR(VLOOKUP($A125,'Vocus SIT ExDa'!$B$2:$J$173, 8,FALSE), IFERROR(VLOOKUP($A125,'Telstra ExDa'!$B$2:$K$310, 0,FALSE), IFERROR(VLOOKUP($A125,'Vocus RVC ExDa'!$C$2:$R$155, 0,FALSE), IFERROR(VLOOKUP($A125,'Fusion ExDa'!$B$2:$D$16, 0,FALSE), IFERROR(VLOOKUP($A125,'Exetel ExDa'!$C$2:$N$14, 9,FALSE), IFERROR(VLOOKUP($A125,'Infinet ExDa'!$B$2:$E$14, 0,FALSE), "Not Found"))))))))</f>
        <v>03 March 2025</v>
      </c>
      <c r="M125" s="234" t="str">
        <f>IFERROR(VLOOKUP($A125,'AAPT ExDa'!$B$2:$U$99, 0,FALSE), IFERROR(VLOOKUP($A125,'ABB ExDa'!$A$2:$N$184, 0,FALSE), IFERROR(VLOOKUP($A125,'Vocus SIT ExDa'!$B$2:$J$173, 0,FALSE), IFERROR(VLOOKUP($A125,'Telstra ExDa'!$B$2:$K$310, 0,FALSE), IFERROR(VLOOKUP($A125,'Vocus RVC ExDa'!$C$2:$R$155, 0,FALSE), IFERROR(VLOOKUP($A125,'Fusion ExDa'!$B$2:$D$16, 0,FALSE), IFERROR(VLOOKUP($A125,'Exetel ExDa'!$C$2:$N$14, 11,FALSE), IFERROR(VLOOKUP($A125,'Infinet ExDa'!$B$2:$E$14, 0,FALSE), "Not Found"))))))))</f>
        <v>Not Found</v>
      </c>
      <c r="N125" t="str">
        <f>IFERROR(VLOOKUP($A125,'AAPT ExDa'!$B$2:$U$99, 0,FALSE), IFERROR(VLOOKUP($A125,'ABB ExDa'!$A$2:$N$184, 13,FALSE), IFERROR(VLOOKUP($A125,'Vocus SIT ExDa'!$B$2:$J$173, 0,FALSE), IFERROR(VLOOKUP($A125,'Telstra ExDa'!$B$2:$K$310, 0,FALSE), IFERROR(VLOOKUP($A125,'Vocus RVC ExDa'!$C$2:$R$155, 0,FALSE), IFERROR(VLOOKUP($A125,'Fusion ExDa'!$B$2:$D$16, 0,FALSE), IFERROR(VLOOKUP($A125,'Exetel ExDa'!$C$2:$N$14, 0,FALSE), IFERROR(VLOOKUP($A125,'Infinet ExDa'!$B$2:$E$14, 0,FALSE), "Not Found"))))))))</f>
        <v>Onebill</v>
      </c>
    </row>
    <row r="126" spans="1:14">
      <c r="A126" t="str">
        <v>Integrated Oral and Maxillofacial Surgery</v>
      </c>
      <c r="B126" t="str">
        <f>IFERROR(VLOOKUP(A126,'Exetel ExDa'!$C$2:$N$14,4,FALSE),"No Data")</f>
        <v>No Data</v>
      </c>
      <c r="C126" t="str">
        <f>IFERROR(VLOOKUP(A126,'AAPT ExDa'!$B$2:$U$99, 2,FALSE), IFERROR(VLOOKUP(A126,'ABB ExDa'!$A$2:$N$184, 2,FALSE), IFERROR(VLOOKUP(A126,'Vocus SIT ExDa'!$B$2:$J$173, 7,FALSE), IFERROR(VLOOKUP(A126,'Telstra ExDa'!$B$2:$K$310, 2,FALSE), IFERROR(VLOOKUP(A126,'Vocus RVC ExDa'!$C$2:$R$155, 3,FALSE), IFERROR(VLOOKUP(A126,'Fusion ExDa'!$B$2:$D$16, 2,FALSE), IFERROR(VLOOKUP(A126,'Exetel ExDa'!$C$2:$N$14, 2,FALSE), IFERROR(VLOOKUP(A126,'Infinet ExDa'!$B$2:$E$14, 2,FALSE), "Not Found"))))))))</f>
        <v>THE BOULEVARD CENTRE SE 5, 68 JESSICA BVD, MINYAMA QLD</v>
      </c>
      <c r="D126" t="str">
        <f>IFERROR(VLOOKUP($A126,'AAPT ExDa'!$B$2:$U$99, 15,FALSE), IFERROR(VLOOKUP($A126,'ABB ExDa'!$A$2:$N$184, 4,FALSE), IFERROR(VLOOKUP($A126,'Vocus SIT ExDa'!$B$2:$J$173, 5,FALSE), IFERROR(VLOOKUP($A126,'Telstra ExDa'!$B$2:$K$310, 8,FALSE), IFERROR(VLOOKUP($A126,'Vocus RVC ExDa'!$C$2:$R$155, 6,FALSE), IFERROR(VLOOKUP($A126,'Fusion ExDa'!$B$2:$D$16, 4,FALSE), IFERROR(VLOOKUP($A126,'Exetel ExDa'!$C$2:$N$14, 3,FALSE), IFERROR(VLOOKUP($A126,'Infinet ExDa'!$B$2:$E$14, 3,FALSE), "Not Found"))))))))</f>
        <v>ABB</v>
      </c>
      <c r="E126" t="str">
        <f>IFERROR(VLOOKUP($A126,'AAPT ExDa'!$B$2:$U$99, 3,FALSE), IFERROR(VLOOKUP($A126,'ABB ExDa'!$A$2:$N$184, 5,FALSE), IFERROR(VLOOKUP($A126,'Vocus SIT ExDa'!$B$2:$J$173, 2,FALSE), IFERROR(VLOOKUP($A126,'Telstra ExDa'!$B$2:$K$310, 4,FALSE), IFERROR(VLOOKUP($A126,'Vocus RVC ExDa'!$C$2:$R$155, 8,FALSE), IFERROR(VLOOKUP($A126,'Fusion ExDa'!$B$2:$D$16, 4,FALSE), IFERROR(VLOOKUP($A126,'Exetel ExDa'!$C$2:$N$14, 5,FALSE), IFERROR(VLOOKUP($A126,'Infinet ExDa'!$B$2:$E$14, 3,FALSE), "Not Found"))))))))</f>
        <v>NBN 250/100</v>
      </c>
      <c r="F126" t="str">
        <f>IFERROR(VLOOKUP($A126,'AAPT ExDa'!$B$2:$U$99, 4,FALSE), IFERROR(VLOOKUP($A126,'ABB ExDa'!$A$2:$N$184, 6,FALSE), IFERROR(VLOOKUP($A126,'Vocus SIT ExDa'!$B$2:$J$173, 3,FALSE), IFERROR(VLOOKUP($A126,'Telstra ExDa'!$B$2:$K$310, 5,FALSE), IFERROR(VLOOKUP($A126,'Vocus RVC ExDa'!$C$2:$R$155, 9,FALSE), IFERROR(VLOOKUP($A126,'Fusion ExDa'!$B$2:$D$16, 0,FALSE), IFERROR(VLOOKUP($A126,'Exetel ExDa'!$C$2:$N$14, 6,FALSE), IFERROR(VLOOKUP($A126,'Infinet ExDa'!$B$2:$E$14, 0,FALSE), "Not Found"))))))))</f>
        <v>Fibre</v>
      </c>
      <c r="G126" t="str">
        <f>IFERROR(VLOOKUP($A126,'AAPT ExDa'!$B$2:$U$99, 5,FALSE), IFERROR(VLOOKUP($A126,'ABB ExDa'!$A$2:$N$184, 8,FALSE), IFERROR(VLOOKUP($A126,'Vocus SIT ExDa'!$B$2:$J$173, 6,FALSE), IFERROR(VLOOKUP($A126,'Telstra ExDa'!$B$2:$K$310, 0,FALSE), IFERROR(VLOOKUP($A126,'Vocus RVC ExDa'!$C$2:$R$155, 15,FALSE), IFERROR(VLOOKUP($A126,'Fusion ExDa'!$B$2:$D$16, 0,FALSE), IFERROR(VLOOKUP($A126,'Exetel ExDa'!$C$2:$N$14, 7,FALSE), IFERROR(VLOOKUP($A126,'Infinet ExDa'!$B$2:$E$14, 0,FALSE), "Not Found"))))))))</f>
        <v>144.6.96.178</v>
      </c>
      <c r="H126" t="str">
        <f>IFERROR(VLOOKUP($A126,'AAPT ExDa'!$B$2:$U$99, 6,FALSE), IFERROR(VLOOKUP($A126,'ABB ExDa'!$A$2:$N$184, 0,FALSE), IFERROR(VLOOKUP($A126,'Vocus SIT ExDa'!$B$2:$J$173, 0,FALSE), IFERROR(VLOOKUP($A126,'Telstra ExDa'!$B$2:$K$310, 0,FALSE), IFERROR(VLOOKUP($A126,'Vocus RVC ExDa'!$C$2:$R$155, 16,FALSE), IFERROR(VLOOKUP($A126,'Fusion ExDa'!$B$2:$D$16, 0,FALSE), IFERROR(VLOOKUP($A126,'Exetel ExDa'!$C$2:$N$14, 0,FALSE), IFERROR(VLOOKUP($A126,'Infinet ExDa'!$B$2:$E$14, 0,FALSE), "Not Found"))))))))</f>
        <v>Not Found</v>
      </c>
      <c r="I126" t="str">
        <f>IFERROR(VLOOKUP($A126,'AAPT ExDa'!$B$2:$U$99, 0,FALSE), IFERROR(VLOOKUP($A126,'ABB ExDa'!$A$2:$N$184, 0,FALSE), IFERROR(VLOOKUP($A126,'Vocus SIT ExDa'!$B$2:$J$173, 0,FALSE), IFERROR(VLOOKUP($A126,'Telstra ExDa'!$B$2:$K$310, 0,FALSE), IFERROR(VLOOKUP($A126,'Vocus RVC ExDa'!$C$2:$R$155, 0,FALSE), IFERROR(VLOOKUP($A126,'Fusion ExDa'!$B$2:$D$16, 0,FALSE), IFERROR(VLOOKUP($A126,'Exetel ExDa'!$C$2:$N$14, 8,FALSE), IFERROR(VLOOKUP($A126,'Infinet ExDa'!$B$2:$E$14, 0,FALSE), "Not Found"))))))))</f>
        <v>Not Found</v>
      </c>
      <c r="J126" t="str">
        <f>IFERROR(VLOOKUP($A126,'AAPT ExDa'!$B$2:$U$99, 7,FALSE), IFERROR(VLOOKUP($A126,'ABB ExDa'!$A$2:$N$184, 2,FALSE), IFERROR(VLOOKUP($A126,'Vocus SIT ExDa'!$B$2:$J$173, 0,FALSE), IFERROR(VLOOKUP($A126,'Telstra ExDa'!$B$2:$K$310, 7,FALSE), IFERROR(VLOOKUP($A126,'Vocus RVC ExDa'!$C$2:$R$155, 2,FALSE), IFERROR(VLOOKUP($A126,'Fusion ExDa'!$B$2:$D$16, 3,FALSE), IFERROR(VLOOKUP($A126,'Exetel ExDa'!$C$2:$N$14, 0,FALSE), IFERROR(VLOOKUP($A126,'Infinet ExDa'!$B$2:$E$14, 0,FALSE), "Not Found"))))))))</f>
        <v>THE BOULEVARD CENTRE SE 5, 68 JESSICA BVD, MINYAMA QLD</v>
      </c>
      <c r="K126" t="str">
        <f>IFERROR(VLOOKUP($A126,'AAPT ExDa'!$B$2:$U$99, 12,FALSE), IFERROR(VLOOKUP($A126,'ABB ExDa'!$A$2:$N$184, 0,FALSE), IFERROR(VLOOKUP($A126,'Vocus SIT ExDa'!$B$2:$J$173, 0,FALSE), IFERROR(VLOOKUP($A126,'Telstra ExDa'!$B$2:$K$310, 0,FALSE), IFERROR(VLOOKUP($A126,'Vocus RVC ExDa'!$C$2:$R$155, 0,FALSE), IFERROR(VLOOKUP($A126,'Fusion ExDa'!$B$2:$D$16, 0,FALSE), IFERROR(VLOOKUP($A126,'Exetel ExDa'!$C$2:$N$14, 12,FALSE), IFERROR(VLOOKUP($A126,'Infinet ExDa'!$B$2:$E$14, 0,FALSE), "Not Found"))))))))</f>
        <v>Not Found</v>
      </c>
      <c r="L126" s="235" t="str">
        <f>IFERROR(VLOOKUP($A126,'AAPT ExDa'!$B$2:$U$99, 11,FALSE), IFERROR(VLOOKUP($A126,'ABB ExDa'!$A$2:$N$184, 9,FALSE), IFERROR(VLOOKUP($A126,'Vocus SIT ExDa'!$B$2:$J$173, 8,FALSE), IFERROR(VLOOKUP($A126,'Telstra ExDa'!$B$2:$K$310, 0,FALSE), IFERROR(VLOOKUP($A126,'Vocus RVC ExDa'!$C$2:$R$155, 0,FALSE), IFERROR(VLOOKUP($A126,'Fusion ExDa'!$B$2:$D$16, 0,FALSE), IFERROR(VLOOKUP($A126,'Exetel ExDa'!$C$2:$N$14, 9,FALSE), IFERROR(VLOOKUP($A126,'Infinet ExDa'!$B$2:$E$14, 0,FALSE), "Not Found"))))))))</f>
        <v>25 March 2025</v>
      </c>
      <c r="M126" s="234" t="str">
        <f>IFERROR(VLOOKUP($A126,'AAPT ExDa'!$B$2:$U$99, 0,FALSE), IFERROR(VLOOKUP($A126,'ABB ExDa'!$A$2:$N$184, 0,FALSE), IFERROR(VLOOKUP($A126,'Vocus SIT ExDa'!$B$2:$J$173, 0,FALSE), IFERROR(VLOOKUP($A126,'Telstra ExDa'!$B$2:$K$310, 0,FALSE), IFERROR(VLOOKUP($A126,'Vocus RVC ExDa'!$C$2:$R$155, 0,FALSE), IFERROR(VLOOKUP($A126,'Fusion ExDa'!$B$2:$D$16, 0,FALSE), IFERROR(VLOOKUP($A126,'Exetel ExDa'!$C$2:$N$14, 11,FALSE), IFERROR(VLOOKUP($A126,'Infinet ExDa'!$B$2:$E$14, 0,FALSE), "Not Found"))))))))</f>
        <v>Not Found</v>
      </c>
      <c r="N126" t="str">
        <f>IFERROR(VLOOKUP($A126,'AAPT ExDa'!$B$2:$U$99, 0,FALSE), IFERROR(VLOOKUP($A126,'ABB ExDa'!$A$2:$N$184, 13,FALSE), IFERROR(VLOOKUP($A126,'Vocus SIT ExDa'!$B$2:$J$173, 0,FALSE), IFERROR(VLOOKUP($A126,'Telstra ExDa'!$B$2:$K$310, 0,FALSE), IFERROR(VLOOKUP($A126,'Vocus RVC ExDa'!$C$2:$R$155, 0,FALSE), IFERROR(VLOOKUP($A126,'Fusion ExDa'!$B$2:$D$16, 0,FALSE), IFERROR(VLOOKUP($A126,'Exetel ExDa'!$C$2:$N$14, 0,FALSE), IFERROR(VLOOKUP($A126,'Infinet ExDa'!$B$2:$E$14, 0,FALSE), "Not Found"))))))))</f>
        <v>Onebill/ Sasboss</v>
      </c>
    </row>
    <row r="127" spans="1:14">
      <c r="A127" t="str">
        <v>Just Better Care</v>
      </c>
      <c r="B127" t="str">
        <f>IFERROR(VLOOKUP(A127,'Exetel ExDa'!$C$2:$N$14,4,FALSE),"No Data")</f>
        <v>No Data</v>
      </c>
      <c r="C127" t="str">
        <f>IFERROR(VLOOKUP(A127,'AAPT ExDa'!$B$2:$U$99, 2,FALSE), IFERROR(VLOOKUP(A127,'ABB ExDa'!$A$2:$N$184, 2,FALSE), IFERROR(VLOOKUP(A127,'Vocus SIT ExDa'!$B$2:$J$173, 7,FALSE), IFERROR(VLOOKUP(A127,'Telstra ExDa'!$B$2:$K$310, 2,FALSE), IFERROR(VLOOKUP(A127,'Vocus RVC ExDa'!$C$2:$R$155, 3,FALSE), IFERROR(VLOOKUP(A127,'Fusion ExDa'!$B$2:$D$16, 2,FALSE), IFERROR(VLOOKUP(A127,'Exetel ExDa'!$C$2:$N$14, 2,FALSE), IFERROR(VLOOKUP(A127,'Infinet ExDa'!$B$2:$E$14, 2,FALSE), "Not Found"))))))))</f>
        <v>UN 11, 621 GYMPIE RD, CHERMSIDE QLD</v>
      </c>
      <c r="D127" t="str">
        <f>IFERROR(VLOOKUP($A127,'AAPT ExDa'!$B$2:$U$99, 15,FALSE), IFERROR(VLOOKUP($A127,'ABB ExDa'!$A$2:$N$184, 4,FALSE), IFERROR(VLOOKUP($A127,'Vocus SIT ExDa'!$B$2:$J$173, 5,FALSE), IFERROR(VLOOKUP($A127,'Telstra ExDa'!$B$2:$K$310, 8,FALSE), IFERROR(VLOOKUP($A127,'Vocus RVC ExDa'!$C$2:$R$155, 6,FALSE), IFERROR(VLOOKUP($A127,'Fusion ExDa'!$B$2:$D$16, 4,FALSE), IFERROR(VLOOKUP($A127,'Exetel ExDa'!$C$2:$N$14, 3,FALSE), IFERROR(VLOOKUP($A127,'Infinet ExDa'!$B$2:$E$14, 3,FALSE), "Not Found"))))))))</f>
        <v>ABB</v>
      </c>
      <c r="E127" t="str">
        <f>IFERROR(VLOOKUP($A127,'AAPT ExDa'!$B$2:$U$99, 3,FALSE), IFERROR(VLOOKUP($A127,'ABB ExDa'!$A$2:$N$184, 5,FALSE), IFERROR(VLOOKUP($A127,'Vocus SIT ExDa'!$B$2:$J$173, 2,FALSE), IFERROR(VLOOKUP($A127,'Telstra ExDa'!$B$2:$K$310, 4,FALSE), IFERROR(VLOOKUP($A127,'Vocus RVC ExDa'!$C$2:$R$155, 8,FALSE), IFERROR(VLOOKUP($A127,'Fusion ExDa'!$B$2:$D$16, 4,FALSE), IFERROR(VLOOKUP($A127,'Exetel ExDa'!$C$2:$N$14, 5,FALSE), IFERROR(VLOOKUP($A127,'Infinet ExDa'!$B$2:$E$14, 3,FALSE), "Not Found"))))))))</f>
        <v>NBN 100/40</v>
      </c>
      <c r="F127" t="str">
        <f>IFERROR(VLOOKUP($A127,'AAPT ExDa'!$B$2:$U$99, 4,FALSE), IFERROR(VLOOKUP($A127,'ABB ExDa'!$A$2:$N$184, 6,FALSE), IFERROR(VLOOKUP($A127,'Vocus SIT ExDa'!$B$2:$J$173, 3,FALSE), IFERROR(VLOOKUP($A127,'Telstra ExDa'!$B$2:$K$310, 5,FALSE), IFERROR(VLOOKUP($A127,'Vocus RVC ExDa'!$C$2:$R$155, 9,FALSE), IFERROR(VLOOKUP($A127,'Fusion ExDa'!$B$2:$D$16, 0,FALSE), IFERROR(VLOOKUP($A127,'Exetel ExDa'!$C$2:$N$14, 6,FALSE), IFERROR(VLOOKUP($A127,'Infinet ExDa'!$B$2:$E$14, 0,FALSE), "Not Found"))))))))</f>
        <v xml:space="preserve">Fibre </v>
      </c>
      <c r="G127" t="str">
        <f>IFERROR(VLOOKUP($A127,'AAPT ExDa'!$B$2:$U$99, 5,FALSE), IFERROR(VLOOKUP($A127,'ABB ExDa'!$A$2:$N$184, 8,FALSE), IFERROR(VLOOKUP($A127,'Vocus SIT ExDa'!$B$2:$J$173, 6,FALSE), IFERROR(VLOOKUP($A127,'Telstra ExDa'!$B$2:$K$310, 0,FALSE), IFERROR(VLOOKUP($A127,'Vocus RVC ExDa'!$C$2:$R$155, 15,FALSE), IFERROR(VLOOKUP($A127,'Fusion ExDa'!$B$2:$D$16, 0,FALSE), IFERROR(VLOOKUP($A127,'Exetel ExDa'!$C$2:$N$14, 7,FALSE), IFERROR(VLOOKUP($A127,'Infinet ExDa'!$B$2:$E$14, 0,FALSE), "Not Found"))))))))</f>
        <v>120.88.114.41</v>
      </c>
      <c r="H127">
        <f>IFERROR(VLOOKUP($A127,'AAPT ExDa'!$B$2:$U$99, 6,FALSE), IFERROR(VLOOKUP($A127,'ABB ExDa'!$A$2:$N$184, 0,FALSE), IFERROR(VLOOKUP($A127,'Vocus SIT ExDa'!$B$2:$J$173, 0,FALSE), IFERROR(VLOOKUP($A127,'Telstra ExDa'!$B$2:$K$310, 0,FALSE), IFERROR(VLOOKUP($A127,'Vocus RVC ExDa'!$C$2:$R$155, 16,FALSE), IFERROR(VLOOKUP($A127,'Fusion ExDa'!$B$2:$D$16, 0,FALSE), IFERROR(VLOOKUP($A127,'Exetel ExDa'!$C$2:$N$14, 0,FALSE), IFERROR(VLOOKUP($A127,'Infinet ExDa'!$B$2:$E$14, 0,FALSE), "Not Found"))))))))</f>
        <v>0</v>
      </c>
      <c r="I127" t="str">
        <f>IFERROR(VLOOKUP($A127,'AAPT ExDa'!$B$2:$U$99, 0,FALSE), IFERROR(VLOOKUP($A127,'ABB ExDa'!$A$2:$N$184, 0,FALSE), IFERROR(VLOOKUP($A127,'Vocus SIT ExDa'!$B$2:$J$173, 0,FALSE), IFERROR(VLOOKUP($A127,'Telstra ExDa'!$B$2:$K$310, 0,FALSE), IFERROR(VLOOKUP($A127,'Vocus RVC ExDa'!$C$2:$R$155, 0,FALSE), IFERROR(VLOOKUP($A127,'Fusion ExDa'!$B$2:$D$16, 0,FALSE), IFERROR(VLOOKUP($A127,'Exetel ExDa'!$C$2:$N$14, 8,FALSE), IFERROR(VLOOKUP($A127,'Infinet ExDa'!$B$2:$E$14, 0,FALSE), "Not Found"))))))))</f>
        <v>Not Found</v>
      </c>
      <c r="J127" t="str">
        <f>IFERROR(VLOOKUP($A127,'AAPT ExDa'!$B$2:$U$99, 7,FALSE), IFERROR(VLOOKUP($A127,'ABB ExDa'!$A$2:$N$184, 2,FALSE), IFERROR(VLOOKUP($A127,'Vocus SIT ExDa'!$B$2:$J$173, 0,FALSE), IFERROR(VLOOKUP($A127,'Telstra ExDa'!$B$2:$K$310, 7,FALSE), IFERROR(VLOOKUP($A127,'Vocus RVC ExDa'!$C$2:$R$155, 2,FALSE), IFERROR(VLOOKUP($A127,'Fusion ExDa'!$B$2:$D$16, 3,FALSE), IFERROR(VLOOKUP($A127,'Exetel ExDa'!$C$2:$N$14, 0,FALSE), IFERROR(VLOOKUP($A127,'Infinet ExDa'!$B$2:$E$14, 0,FALSE), "Not Found"))))))))</f>
        <v>UN 11, 621 GYMPIE RD, CHERMSIDE QLD</v>
      </c>
      <c r="K127" t="str">
        <f>IFERROR(VLOOKUP($A127,'AAPT ExDa'!$B$2:$U$99, 12,FALSE), IFERROR(VLOOKUP($A127,'ABB ExDa'!$A$2:$N$184, 0,FALSE), IFERROR(VLOOKUP($A127,'Vocus SIT ExDa'!$B$2:$J$173, 0,FALSE), IFERROR(VLOOKUP($A127,'Telstra ExDa'!$B$2:$K$310, 0,FALSE), IFERROR(VLOOKUP($A127,'Vocus RVC ExDa'!$C$2:$R$155, 0,FALSE), IFERROR(VLOOKUP($A127,'Fusion ExDa'!$B$2:$D$16, 0,FALSE), IFERROR(VLOOKUP($A127,'Exetel ExDa'!$C$2:$N$14, 12,FALSE), IFERROR(VLOOKUP($A127,'Infinet ExDa'!$B$2:$E$14, 0,FALSE), "Not Found"))))))))</f>
        <v>Not Found</v>
      </c>
      <c r="L127" s="235" t="str">
        <f>IFERROR(VLOOKUP($A127,'AAPT ExDa'!$B$2:$U$99, 11,FALSE), IFERROR(VLOOKUP($A127,'ABB ExDa'!$A$2:$N$184, 9,FALSE), IFERROR(VLOOKUP($A127,'Vocus SIT ExDa'!$B$2:$J$173, 8,FALSE), IFERROR(VLOOKUP($A127,'Telstra ExDa'!$B$2:$K$310, 0,FALSE), IFERROR(VLOOKUP($A127,'Vocus RVC ExDa'!$C$2:$R$155, 0,FALSE), IFERROR(VLOOKUP($A127,'Fusion ExDa'!$B$2:$D$16, 0,FALSE), IFERROR(VLOOKUP($A127,'Exetel ExDa'!$C$2:$N$14, 9,FALSE), IFERROR(VLOOKUP($A127,'Infinet ExDa'!$B$2:$E$14, 0,FALSE), "Not Found"))))))))</f>
        <v>17 Sept 2024</v>
      </c>
      <c r="M127" s="234" t="str">
        <f>IFERROR(VLOOKUP($A127,'AAPT ExDa'!$B$2:$U$99, 0,FALSE), IFERROR(VLOOKUP($A127,'ABB ExDa'!$A$2:$N$184, 0,FALSE), IFERROR(VLOOKUP($A127,'Vocus SIT ExDa'!$B$2:$J$173, 0,FALSE), IFERROR(VLOOKUP($A127,'Telstra ExDa'!$B$2:$K$310, 0,FALSE), IFERROR(VLOOKUP($A127,'Vocus RVC ExDa'!$C$2:$R$155, 0,FALSE), IFERROR(VLOOKUP($A127,'Fusion ExDa'!$B$2:$D$16, 0,FALSE), IFERROR(VLOOKUP($A127,'Exetel ExDa'!$C$2:$N$14, 11,FALSE), IFERROR(VLOOKUP($A127,'Infinet ExDa'!$B$2:$E$14, 0,FALSE), "Not Found"))))))))</f>
        <v>Not Found</v>
      </c>
      <c r="N127" t="str">
        <f>IFERROR(VLOOKUP($A127,'AAPT ExDa'!$B$2:$U$99, 0,FALSE), IFERROR(VLOOKUP($A127,'ABB ExDa'!$A$2:$N$184, 13,FALSE), IFERROR(VLOOKUP($A127,'Vocus SIT ExDa'!$B$2:$J$173, 0,FALSE), IFERROR(VLOOKUP($A127,'Telstra ExDa'!$B$2:$K$310, 0,FALSE), IFERROR(VLOOKUP($A127,'Vocus RVC ExDa'!$C$2:$R$155, 0,FALSE), IFERROR(VLOOKUP($A127,'Fusion ExDa'!$B$2:$D$16, 0,FALSE), IFERROR(VLOOKUP($A127,'Exetel ExDa'!$C$2:$N$14, 0,FALSE), IFERROR(VLOOKUP($A127,'Infinet ExDa'!$B$2:$E$14, 0,FALSE), "Not Found"))))))))</f>
        <v>Onebill/ Sasboss</v>
      </c>
    </row>
    <row r="128" spans="1:14">
      <c r="A128" t="str">
        <v>London Fire and Safe</v>
      </c>
      <c r="B128" t="str">
        <f>IFERROR(VLOOKUP(A128,'Exetel ExDa'!$C$2:$N$14,4,FALSE),"No Data")</f>
        <v>No Data</v>
      </c>
      <c r="C128" t="str">
        <f>IFERROR(VLOOKUP(A128,'AAPT ExDa'!$B$2:$U$99, 2,FALSE), IFERROR(VLOOKUP(A128,'ABB ExDa'!$A$2:$N$184, 2,FALSE), IFERROR(VLOOKUP(A128,'Vocus SIT ExDa'!$B$2:$J$173, 7,FALSE), IFERROR(VLOOKUP(A128,'Telstra ExDa'!$B$2:$K$310, 2,FALSE), IFERROR(VLOOKUP(A128,'Vocus RVC ExDa'!$C$2:$R$155, 3,FALSE), IFERROR(VLOOKUP(A128,'Fusion ExDa'!$B$2:$D$16, 2,FALSE), IFERROR(VLOOKUP(A128,'Exetel ExDa'!$C$2:$N$14, 2,FALSE), IFERROR(VLOOKUP(A128,'Infinet ExDa'!$B$2:$E$14, 2,FALSE), "Not Found"))))))))</f>
        <v>UN 5, 40 CONTAINER ST, TINGALPA QLD</v>
      </c>
      <c r="D128" t="str">
        <f>IFERROR(VLOOKUP($A128,'AAPT ExDa'!$B$2:$U$99, 15,FALSE), IFERROR(VLOOKUP($A128,'ABB ExDa'!$A$2:$N$184, 4,FALSE), IFERROR(VLOOKUP($A128,'Vocus SIT ExDa'!$B$2:$J$173, 5,FALSE), IFERROR(VLOOKUP($A128,'Telstra ExDa'!$B$2:$K$310, 8,FALSE), IFERROR(VLOOKUP($A128,'Vocus RVC ExDa'!$C$2:$R$155, 6,FALSE), IFERROR(VLOOKUP($A128,'Fusion ExDa'!$B$2:$D$16, 4,FALSE), IFERROR(VLOOKUP($A128,'Exetel ExDa'!$C$2:$N$14, 3,FALSE), IFERROR(VLOOKUP($A128,'Infinet ExDa'!$B$2:$E$14, 3,FALSE), "Not Found"))))))))</f>
        <v>ABB</v>
      </c>
      <c r="E128" t="str">
        <f>IFERROR(VLOOKUP($A128,'AAPT ExDa'!$B$2:$U$99, 3,FALSE), IFERROR(VLOOKUP($A128,'ABB ExDa'!$A$2:$N$184, 5,FALSE), IFERROR(VLOOKUP($A128,'Vocus SIT ExDa'!$B$2:$J$173, 2,FALSE), IFERROR(VLOOKUP($A128,'Telstra ExDa'!$B$2:$K$310, 4,FALSE), IFERROR(VLOOKUP($A128,'Vocus RVC ExDa'!$C$2:$R$155, 8,FALSE), IFERROR(VLOOKUP($A128,'Fusion ExDa'!$B$2:$D$16, 4,FALSE), IFERROR(VLOOKUP($A128,'Exetel ExDa'!$C$2:$N$14, 5,FALSE), IFERROR(VLOOKUP($A128,'Infinet ExDa'!$B$2:$E$14, 3,FALSE), "Not Found"))))))))</f>
        <v>NBN 100/40</v>
      </c>
      <c r="F128" t="str">
        <f>IFERROR(VLOOKUP($A128,'AAPT ExDa'!$B$2:$U$99, 4,FALSE), IFERROR(VLOOKUP($A128,'ABB ExDa'!$A$2:$N$184, 6,FALSE), IFERROR(VLOOKUP($A128,'Vocus SIT ExDa'!$B$2:$J$173, 3,FALSE), IFERROR(VLOOKUP($A128,'Telstra ExDa'!$B$2:$K$310, 5,FALSE), IFERROR(VLOOKUP($A128,'Vocus RVC ExDa'!$C$2:$R$155, 9,FALSE), IFERROR(VLOOKUP($A128,'Fusion ExDa'!$B$2:$D$16, 0,FALSE), IFERROR(VLOOKUP($A128,'Exetel ExDa'!$C$2:$N$14, 6,FALSE), IFERROR(VLOOKUP($A128,'Infinet ExDa'!$B$2:$E$14, 0,FALSE), "Not Found"))))))))</f>
        <v>FTTC</v>
      </c>
      <c r="G128" t="str">
        <f>IFERROR(VLOOKUP($A128,'AAPT ExDa'!$B$2:$U$99, 5,FALSE), IFERROR(VLOOKUP($A128,'ABB ExDa'!$A$2:$N$184, 8,FALSE), IFERROR(VLOOKUP($A128,'Vocus SIT ExDa'!$B$2:$J$173, 6,FALSE), IFERROR(VLOOKUP($A128,'Telstra ExDa'!$B$2:$K$310, 0,FALSE), IFERROR(VLOOKUP($A128,'Vocus RVC ExDa'!$C$2:$R$155, 15,FALSE), IFERROR(VLOOKUP($A128,'Fusion ExDa'!$B$2:$D$16, 0,FALSE), IFERROR(VLOOKUP($A128,'Exetel ExDa'!$C$2:$N$14, 7,FALSE), IFERROR(VLOOKUP($A128,'Infinet ExDa'!$B$2:$E$14, 0,FALSE), "Not Found"))))))))</f>
        <v>119.18.38.48</v>
      </c>
      <c r="H128">
        <f>IFERROR(VLOOKUP($A128,'AAPT ExDa'!$B$2:$U$99, 6,FALSE), IFERROR(VLOOKUP($A128,'ABB ExDa'!$A$2:$N$184, 0,FALSE), IFERROR(VLOOKUP($A128,'Vocus SIT ExDa'!$B$2:$J$173, 0,FALSE), IFERROR(VLOOKUP($A128,'Telstra ExDa'!$B$2:$K$310, 0,FALSE), IFERROR(VLOOKUP($A128,'Vocus RVC ExDa'!$C$2:$R$155, 16,FALSE), IFERROR(VLOOKUP($A128,'Fusion ExDa'!$B$2:$D$16, 0,FALSE), IFERROR(VLOOKUP($A128,'Exetel ExDa'!$C$2:$N$14, 0,FALSE), IFERROR(VLOOKUP($A128,'Infinet ExDa'!$B$2:$E$14, 0,FALSE), "Not Found"))))))))</f>
        <v>0</v>
      </c>
      <c r="I128" t="str">
        <f>IFERROR(VLOOKUP($A128,'AAPT ExDa'!$B$2:$U$99, 0,FALSE), IFERROR(VLOOKUP($A128,'ABB ExDa'!$A$2:$N$184, 0,FALSE), IFERROR(VLOOKUP($A128,'Vocus SIT ExDa'!$B$2:$J$173, 0,FALSE), IFERROR(VLOOKUP($A128,'Telstra ExDa'!$B$2:$K$310, 0,FALSE), IFERROR(VLOOKUP($A128,'Vocus RVC ExDa'!$C$2:$R$155, 0,FALSE), IFERROR(VLOOKUP($A128,'Fusion ExDa'!$B$2:$D$16, 0,FALSE), IFERROR(VLOOKUP($A128,'Exetel ExDa'!$C$2:$N$14, 8,FALSE), IFERROR(VLOOKUP($A128,'Infinet ExDa'!$B$2:$E$14, 0,FALSE), "Not Found"))))))))</f>
        <v>Not Found</v>
      </c>
      <c r="J128" t="str">
        <f>IFERROR(VLOOKUP($A128,'AAPT ExDa'!$B$2:$U$99, 7,FALSE), IFERROR(VLOOKUP($A128,'ABB ExDa'!$A$2:$N$184, 2,FALSE), IFERROR(VLOOKUP($A128,'Vocus SIT ExDa'!$B$2:$J$173, 0,FALSE), IFERROR(VLOOKUP($A128,'Telstra ExDa'!$B$2:$K$310, 7,FALSE), IFERROR(VLOOKUP($A128,'Vocus RVC ExDa'!$C$2:$R$155, 2,FALSE), IFERROR(VLOOKUP($A128,'Fusion ExDa'!$B$2:$D$16, 3,FALSE), IFERROR(VLOOKUP($A128,'Exetel ExDa'!$C$2:$N$14, 0,FALSE), IFERROR(VLOOKUP($A128,'Infinet ExDa'!$B$2:$E$14, 0,FALSE), "Not Found"))))))))</f>
        <v>UN 5, 40 CONTAINER ST, TINGALPA QLD</v>
      </c>
      <c r="K128" t="str">
        <f>IFERROR(VLOOKUP($A128,'AAPT ExDa'!$B$2:$U$99, 12,FALSE), IFERROR(VLOOKUP($A128,'ABB ExDa'!$A$2:$N$184, 0,FALSE), IFERROR(VLOOKUP($A128,'Vocus SIT ExDa'!$B$2:$J$173, 0,FALSE), IFERROR(VLOOKUP($A128,'Telstra ExDa'!$B$2:$K$310, 0,FALSE), IFERROR(VLOOKUP($A128,'Vocus RVC ExDa'!$C$2:$R$155, 0,FALSE), IFERROR(VLOOKUP($A128,'Fusion ExDa'!$B$2:$D$16, 0,FALSE), IFERROR(VLOOKUP($A128,'Exetel ExDa'!$C$2:$N$14, 12,FALSE), IFERROR(VLOOKUP($A128,'Infinet ExDa'!$B$2:$E$14, 0,FALSE), "Not Found"))))))))</f>
        <v>Not Found</v>
      </c>
      <c r="L128" s="235" t="str">
        <f>IFERROR(VLOOKUP($A128,'AAPT ExDa'!$B$2:$U$99, 11,FALSE), IFERROR(VLOOKUP($A128,'ABB ExDa'!$A$2:$N$184, 9,FALSE), IFERROR(VLOOKUP($A128,'Vocus SIT ExDa'!$B$2:$J$173, 8,FALSE), IFERROR(VLOOKUP($A128,'Telstra ExDa'!$B$2:$K$310, 0,FALSE), IFERROR(VLOOKUP($A128,'Vocus RVC ExDa'!$C$2:$R$155, 0,FALSE), IFERROR(VLOOKUP($A128,'Fusion ExDa'!$B$2:$D$16, 0,FALSE), IFERROR(VLOOKUP($A128,'Exetel ExDa'!$C$2:$N$14, 9,FALSE), IFERROR(VLOOKUP($A128,'Infinet ExDa'!$B$2:$E$14, 0,FALSE), "Not Found"))))))))</f>
        <v>17 Feb 2025</v>
      </c>
      <c r="M128" s="234" t="str">
        <f>IFERROR(VLOOKUP($A128,'AAPT ExDa'!$B$2:$U$99, 0,FALSE), IFERROR(VLOOKUP($A128,'ABB ExDa'!$A$2:$N$184, 0,FALSE), IFERROR(VLOOKUP($A128,'Vocus SIT ExDa'!$B$2:$J$173, 0,FALSE), IFERROR(VLOOKUP($A128,'Telstra ExDa'!$B$2:$K$310, 0,FALSE), IFERROR(VLOOKUP($A128,'Vocus RVC ExDa'!$C$2:$R$155, 0,FALSE), IFERROR(VLOOKUP($A128,'Fusion ExDa'!$B$2:$D$16, 0,FALSE), IFERROR(VLOOKUP($A128,'Exetel ExDa'!$C$2:$N$14, 11,FALSE), IFERROR(VLOOKUP($A128,'Infinet ExDa'!$B$2:$E$14, 0,FALSE), "Not Found"))))))))</f>
        <v>Not Found</v>
      </c>
      <c r="N128" t="str">
        <f>IFERROR(VLOOKUP($A128,'AAPT ExDa'!$B$2:$U$99, 0,FALSE), IFERROR(VLOOKUP($A128,'ABB ExDa'!$A$2:$N$184, 13,FALSE), IFERROR(VLOOKUP($A128,'Vocus SIT ExDa'!$B$2:$J$173, 0,FALSE), IFERROR(VLOOKUP($A128,'Telstra ExDa'!$B$2:$K$310, 0,FALSE), IFERROR(VLOOKUP($A128,'Vocus RVC ExDa'!$C$2:$R$155, 0,FALSE), IFERROR(VLOOKUP($A128,'Fusion ExDa'!$B$2:$D$16, 0,FALSE), IFERROR(VLOOKUP($A128,'Exetel ExDa'!$C$2:$N$14, 0,FALSE), IFERROR(VLOOKUP($A128,'Infinet ExDa'!$B$2:$E$14, 0,FALSE), "Not Found"))))))))</f>
        <v>Sasboss</v>
      </c>
    </row>
    <row r="129" spans="1:14">
      <c r="A129" t="str">
        <v>Lune Co- Sydney CBD</v>
      </c>
      <c r="B129" t="str">
        <f>IFERROR(VLOOKUP(A129,'Exetel ExDa'!$C$2:$N$14,4,FALSE),"No Data")</f>
        <v>No Data</v>
      </c>
      <c r="C129" t="str">
        <f>IFERROR(VLOOKUP(A129,'AAPT ExDa'!$B$2:$U$99, 2,FALSE), IFERROR(VLOOKUP(A129,'ABB ExDa'!$A$2:$N$184, 2,FALSE), IFERROR(VLOOKUP(A129,'Vocus SIT ExDa'!$B$2:$J$173, 7,FALSE), IFERROR(VLOOKUP(A129,'Telstra ExDa'!$B$2:$K$310, 2,FALSE), IFERROR(VLOOKUP(A129,'Vocus RVC ExDa'!$C$2:$R$155, 3,FALSE), IFERROR(VLOOKUP(A129,'Fusion ExDa'!$B$2:$D$16, 2,FALSE), IFERROR(VLOOKUP(A129,'Exetel ExDa'!$C$2:$N$14, 2,FALSE), IFERROR(VLOOKUP(A129,'Infinet ExDa'!$B$2:$E$14, 2,FALSE), "Not Found"))))))))</f>
        <v>SHOP RETAIL 14, 8 CASTLEREAGH ST, SYDNEY NSW</v>
      </c>
      <c r="D129" t="str">
        <f>IFERROR(VLOOKUP($A129,'AAPT ExDa'!$B$2:$U$99, 15,FALSE), IFERROR(VLOOKUP($A129,'ABB ExDa'!$A$2:$N$184, 4,FALSE), IFERROR(VLOOKUP($A129,'Vocus SIT ExDa'!$B$2:$J$173, 5,FALSE), IFERROR(VLOOKUP($A129,'Telstra ExDa'!$B$2:$K$310, 8,FALSE), IFERROR(VLOOKUP($A129,'Vocus RVC ExDa'!$C$2:$R$155, 6,FALSE), IFERROR(VLOOKUP($A129,'Fusion ExDa'!$B$2:$D$16, 4,FALSE), IFERROR(VLOOKUP($A129,'Exetel ExDa'!$C$2:$N$14, 3,FALSE), IFERROR(VLOOKUP($A129,'Infinet ExDa'!$B$2:$E$14, 3,FALSE), "Not Found"))))))))</f>
        <v>ABB</v>
      </c>
      <c r="E129" t="str">
        <f>IFERROR(VLOOKUP($A129,'AAPT ExDa'!$B$2:$U$99, 3,FALSE), IFERROR(VLOOKUP($A129,'ABB ExDa'!$A$2:$N$184, 5,FALSE), IFERROR(VLOOKUP($A129,'Vocus SIT ExDa'!$B$2:$J$173, 2,FALSE), IFERROR(VLOOKUP($A129,'Telstra ExDa'!$B$2:$K$310, 4,FALSE), IFERROR(VLOOKUP($A129,'Vocus RVC ExDa'!$C$2:$R$155, 8,FALSE), IFERROR(VLOOKUP($A129,'Fusion ExDa'!$B$2:$D$16, 4,FALSE), IFERROR(VLOOKUP($A129,'Exetel ExDa'!$C$2:$N$14, 5,FALSE), IFERROR(VLOOKUP($A129,'Infinet ExDa'!$B$2:$E$14, 3,FALSE), "Not Found"))))))))</f>
        <v>NBN 100/40</v>
      </c>
      <c r="F129" t="str">
        <f>IFERROR(VLOOKUP($A129,'AAPT ExDa'!$B$2:$U$99, 4,FALSE), IFERROR(VLOOKUP($A129,'ABB ExDa'!$A$2:$N$184, 6,FALSE), IFERROR(VLOOKUP($A129,'Vocus SIT ExDa'!$B$2:$J$173, 3,FALSE), IFERROR(VLOOKUP($A129,'Telstra ExDa'!$B$2:$K$310, 5,FALSE), IFERROR(VLOOKUP($A129,'Vocus RVC ExDa'!$C$2:$R$155, 9,FALSE), IFERROR(VLOOKUP($A129,'Fusion ExDa'!$B$2:$D$16, 0,FALSE), IFERROR(VLOOKUP($A129,'Exetel ExDa'!$C$2:$N$14, 6,FALSE), IFERROR(VLOOKUP($A129,'Infinet ExDa'!$B$2:$E$14, 0,FALSE), "Not Found"))))))))</f>
        <v xml:space="preserve">Fibre </v>
      </c>
      <c r="G129" t="str">
        <f>IFERROR(VLOOKUP($A129,'AAPT ExDa'!$B$2:$U$99, 5,FALSE), IFERROR(VLOOKUP($A129,'ABB ExDa'!$A$2:$N$184, 8,FALSE), IFERROR(VLOOKUP($A129,'Vocus SIT ExDa'!$B$2:$J$173, 6,FALSE), IFERROR(VLOOKUP($A129,'Telstra ExDa'!$B$2:$K$310, 0,FALSE), IFERROR(VLOOKUP($A129,'Vocus RVC ExDa'!$C$2:$R$155, 15,FALSE), IFERROR(VLOOKUP($A129,'Fusion ExDa'!$B$2:$D$16, 0,FALSE), IFERROR(VLOOKUP($A129,'Exetel ExDa'!$C$2:$N$14, 7,FALSE), IFERROR(VLOOKUP($A129,'Infinet ExDa'!$B$2:$E$14, 0,FALSE), "Not Found"))))))))</f>
        <v>144.6.228.143</v>
      </c>
      <c r="H129" t="str">
        <f>IFERROR(VLOOKUP($A129,'AAPT ExDa'!$B$2:$U$99, 6,FALSE), IFERROR(VLOOKUP($A129,'ABB ExDa'!$A$2:$N$184, 0,FALSE), IFERROR(VLOOKUP($A129,'Vocus SIT ExDa'!$B$2:$J$173, 0,FALSE), IFERROR(VLOOKUP($A129,'Telstra ExDa'!$B$2:$K$310, 0,FALSE), IFERROR(VLOOKUP($A129,'Vocus RVC ExDa'!$C$2:$R$155, 16,FALSE), IFERROR(VLOOKUP($A129,'Fusion ExDa'!$B$2:$D$16, 0,FALSE), IFERROR(VLOOKUP($A129,'Exetel ExDa'!$C$2:$N$14, 0,FALSE), IFERROR(VLOOKUP($A129,'Infinet ExDa'!$B$2:$E$14, 0,FALSE), "Not Found"))))))))</f>
        <v>Not Found</v>
      </c>
      <c r="I129" t="str">
        <f>IFERROR(VLOOKUP($A129,'AAPT ExDa'!$B$2:$U$99, 0,FALSE), IFERROR(VLOOKUP($A129,'ABB ExDa'!$A$2:$N$184, 0,FALSE), IFERROR(VLOOKUP($A129,'Vocus SIT ExDa'!$B$2:$J$173, 0,FALSE), IFERROR(VLOOKUP($A129,'Telstra ExDa'!$B$2:$K$310, 0,FALSE), IFERROR(VLOOKUP($A129,'Vocus RVC ExDa'!$C$2:$R$155, 0,FALSE), IFERROR(VLOOKUP($A129,'Fusion ExDa'!$B$2:$D$16, 0,FALSE), IFERROR(VLOOKUP($A129,'Exetel ExDa'!$C$2:$N$14, 8,FALSE), IFERROR(VLOOKUP($A129,'Infinet ExDa'!$B$2:$E$14, 0,FALSE), "Not Found"))))))))</f>
        <v>Not Found</v>
      </c>
      <c r="J129" t="str">
        <f>IFERROR(VLOOKUP($A129,'AAPT ExDa'!$B$2:$U$99, 7,FALSE), IFERROR(VLOOKUP($A129,'ABB ExDa'!$A$2:$N$184, 2,FALSE), IFERROR(VLOOKUP($A129,'Vocus SIT ExDa'!$B$2:$J$173, 0,FALSE), IFERROR(VLOOKUP($A129,'Telstra ExDa'!$B$2:$K$310, 7,FALSE), IFERROR(VLOOKUP($A129,'Vocus RVC ExDa'!$C$2:$R$155, 2,FALSE), IFERROR(VLOOKUP($A129,'Fusion ExDa'!$B$2:$D$16, 3,FALSE), IFERROR(VLOOKUP($A129,'Exetel ExDa'!$C$2:$N$14, 0,FALSE), IFERROR(VLOOKUP($A129,'Infinet ExDa'!$B$2:$E$14, 0,FALSE), "Not Found"))))))))</f>
        <v>SHOP RETAIL 14, 8 CASTLEREAGH ST, SYDNEY NSW</v>
      </c>
      <c r="K129" t="str">
        <f>IFERROR(VLOOKUP($A129,'AAPT ExDa'!$B$2:$U$99, 12,FALSE), IFERROR(VLOOKUP($A129,'ABB ExDa'!$A$2:$N$184, 0,FALSE), IFERROR(VLOOKUP($A129,'Vocus SIT ExDa'!$B$2:$J$173, 0,FALSE), IFERROR(VLOOKUP($A129,'Telstra ExDa'!$B$2:$K$310, 0,FALSE), IFERROR(VLOOKUP($A129,'Vocus RVC ExDa'!$C$2:$R$155, 0,FALSE), IFERROR(VLOOKUP($A129,'Fusion ExDa'!$B$2:$D$16, 0,FALSE), IFERROR(VLOOKUP($A129,'Exetel ExDa'!$C$2:$N$14, 12,FALSE), IFERROR(VLOOKUP($A129,'Infinet ExDa'!$B$2:$E$14, 0,FALSE), "Not Found"))))))))</f>
        <v>Not Found</v>
      </c>
      <c r="L129" s="235" t="str">
        <f>IFERROR(VLOOKUP($A129,'AAPT ExDa'!$B$2:$U$99, 11,FALSE), IFERROR(VLOOKUP($A129,'ABB ExDa'!$A$2:$N$184, 9,FALSE), IFERROR(VLOOKUP($A129,'Vocus SIT ExDa'!$B$2:$J$173, 8,FALSE), IFERROR(VLOOKUP($A129,'Telstra ExDa'!$B$2:$K$310, 0,FALSE), IFERROR(VLOOKUP($A129,'Vocus RVC ExDa'!$C$2:$R$155, 0,FALSE), IFERROR(VLOOKUP($A129,'Fusion ExDa'!$B$2:$D$16, 0,FALSE), IFERROR(VLOOKUP($A129,'Exetel ExDa'!$C$2:$N$14, 9,FALSE), IFERROR(VLOOKUP($A129,'Infinet ExDa'!$B$2:$E$14, 0,FALSE), "Not Found"))))))))</f>
        <v>26 Sept 2024</v>
      </c>
      <c r="M129" s="234" t="str">
        <f>IFERROR(VLOOKUP($A129,'AAPT ExDa'!$B$2:$U$99, 0,FALSE), IFERROR(VLOOKUP($A129,'ABB ExDa'!$A$2:$N$184, 0,FALSE), IFERROR(VLOOKUP($A129,'Vocus SIT ExDa'!$B$2:$J$173, 0,FALSE), IFERROR(VLOOKUP($A129,'Telstra ExDa'!$B$2:$K$310, 0,FALSE), IFERROR(VLOOKUP($A129,'Vocus RVC ExDa'!$C$2:$R$155, 0,FALSE), IFERROR(VLOOKUP($A129,'Fusion ExDa'!$B$2:$D$16, 0,FALSE), IFERROR(VLOOKUP($A129,'Exetel ExDa'!$C$2:$N$14, 11,FALSE), IFERROR(VLOOKUP($A129,'Infinet ExDa'!$B$2:$E$14, 0,FALSE), "Not Found"))))))))</f>
        <v>Not Found</v>
      </c>
      <c r="N129" t="str">
        <f>IFERROR(VLOOKUP($A129,'AAPT ExDa'!$B$2:$U$99, 0,FALSE), IFERROR(VLOOKUP($A129,'ABB ExDa'!$A$2:$N$184, 13,FALSE), IFERROR(VLOOKUP($A129,'Vocus SIT ExDa'!$B$2:$J$173, 0,FALSE), IFERROR(VLOOKUP($A129,'Telstra ExDa'!$B$2:$K$310, 0,FALSE), IFERROR(VLOOKUP($A129,'Vocus RVC ExDa'!$C$2:$R$155, 0,FALSE), IFERROR(VLOOKUP($A129,'Fusion ExDa'!$B$2:$D$16, 0,FALSE), IFERROR(VLOOKUP($A129,'Exetel ExDa'!$C$2:$N$14, 0,FALSE), IFERROR(VLOOKUP($A129,'Infinet ExDa'!$B$2:$E$14, 0,FALSE), "Not Found"))))))))</f>
        <v>Datagate/OneBill</v>
      </c>
    </row>
    <row r="130" spans="1:14">
      <c r="A130" t="str">
        <v>Mega Electrics NSW</v>
      </c>
      <c r="B130" t="str">
        <f>IFERROR(VLOOKUP(A130,'Exetel ExDa'!$C$2:$N$14,4,FALSE),"No Data")</f>
        <v>No Data</v>
      </c>
      <c r="C130" t="str">
        <f>IFERROR(VLOOKUP(A130,'AAPT ExDa'!$B$2:$U$99, 2,FALSE), IFERROR(VLOOKUP(A130,'ABB ExDa'!$A$2:$N$184, 2,FALSE), IFERROR(VLOOKUP(A130,'Vocus SIT ExDa'!$B$2:$J$173, 7,FALSE), IFERROR(VLOOKUP(A130,'Telstra ExDa'!$B$2:$K$310, 2,FALSE), IFERROR(VLOOKUP(A130,'Vocus RVC ExDa'!$C$2:$R$155, 3,FALSE), IFERROR(VLOOKUP(A130,'Fusion ExDa'!$B$2:$D$16, 2,FALSE), IFERROR(VLOOKUP(A130,'Exetel ExDa'!$C$2:$N$14, 2,FALSE), IFERROR(VLOOKUP(A130,'Infinet ExDa'!$B$2:$E$14, 2,FALSE), "Not Found"))))))))</f>
        <v>UN 20, 19 DURIAN PL, WETHERILL PARK NSW</v>
      </c>
      <c r="D130" t="str">
        <f>IFERROR(VLOOKUP($A130,'AAPT ExDa'!$B$2:$U$99, 15,FALSE), IFERROR(VLOOKUP($A130,'ABB ExDa'!$A$2:$N$184, 4,FALSE), IFERROR(VLOOKUP($A130,'Vocus SIT ExDa'!$B$2:$J$173, 5,FALSE), IFERROR(VLOOKUP($A130,'Telstra ExDa'!$B$2:$K$310, 8,FALSE), IFERROR(VLOOKUP($A130,'Vocus RVC ExDa'!$C$2:$R$155, 6,FALSE), IFERROR(VLOOKUP($A130,'Fusion ExDa'!$B$2:$D$16, 4,FALSE), IFERROR(VLOOKUP($A130,'Exetel ExDa'!$C$2:$N$14, 3,FALSE), IFERROR(VLOOKUP($A130,'Infinet ExDa'!$B$2:$E$14, 3,FALSE), "Not Found"))))))))</f>
        <v>ABB</v>
      </c>
      <c r="E130" t="str">
        <f>IFERROR(VLOOKUP($A130,'AAPT ExDa'!$B$2:$U$99, 3,FALSE), IFERROR(VLOOKUP($A130,'ABB ExDa'!$A$2:$N$184, 5,FALSE), IFERROR(VLOOKUP($A130,'Vocus SIT ExDa'!$B$2:$J$173, 2,FALSE), IFERROR(VLOOKUP($A130,'Telstra ExDa'!$B$2:$K$310, 4,FALSE), IFERROR(VLOOKUP($A130,'Vocus RVC ExDa'!$C$2:$R$155, 8,FALSE), IFERROR(VLOOKUP($A130,'Fusion ExDa'!$B$2:$D$16, 4,FALSE), IFERROR(VLOOKUP($A130,'Exetel ExDa'!$C$2:$N$14, 5,FALSE), IFERROR(VLOOKUP($A130,'Infinet ExDa'!$B$2:$E$14, 3,FALSE), "Not Found"))))))))</f>
        <v>NBN 100/40</v>
      </c>
      <c r="F130" t="str">
        <f>IFERROR(VLOOKUP($A130,'AAPT ExDa'!$B$2:$U$99, 4,FALSE), IFERROR(VLOOKUP($A130,'ABB ExDa'!$A$2:$N$184, 6,FALSE), IFERROR(VLOOKUP($A130,'Vocus SIT ExDa'!$B$2:$J$173, 3,FALSE), IFERROR(VLOOKUP($A130,'Telstra ExDa'!$B$2:$K$310, 5,FALSE), IFERROR(VLOOKUP($A130,'Vocus RVC ExDa'!$C$2:$R$155, 9,FALSE), IFERROR(VLOOKUP($A130,'Fusion ExDa'!$B$2:$D$16, 0,FALSE), IFERROR(VLOOKUP($A130,'Exetel ExDa'!$C$2:$N$14, 6,FALSE), IFERROR(VLOOKUP($A130,'Infinet ExDa'!$B$2:$E$14, 0,FALSE), "Not Found"))))))))</f>
        <v xml:space="preserve">FTTN </v>
      </c>
      <c r="G130" t="str">
        <f>IFERROR(VLOOKUP($A130,'AAPT ExDa'!$B$2:$U$99, 5,FALSE), IFERROR(VLOOKUP($A130,'ABB ExDa'!$A$2:$N$184, 8,FALSE), IFERROR(VLOOKUP($A130,'Vocus SIT ExDa'!$B$2:$J$173, 6,FALSE), IFERROR(VLOOKUP($A130,'Telstra ExDa'!$B$2:$K$310, 0,FALSE), IFERROR(VLOOKUP($A130,'Vocus RVC ExDa'!$C$2:$R$155, 15,FALSE), IFERROR(VLOOKUP($A130,'Fusion ExDa'!$B$2:$D$16, 0,FALSE), IFERROR(VLOOKUP($A130,'Exetel ExDa'!$C$2:$N$14, 7,FALSE), IFERROR(VLOOKUP($A130,'Infinet ExDa'!$B$2:$E$14, 0,FALSE), "Not Found"))))))))</f>
        <v>144.6.199.151</v>
      </c>
      <c r="H130" t="str">
        <f>IFERROR(VLOOKUP($A130,'AAPT ExDa'!$B$2:$U$99, 6,FALSE), IFERROR(VLOOKUP($A130,'ABB ExDa'!$A$2:$N$184, 0,FALSE), IFERROR(VLOOKUP($A130,'Vocus SIT ExDa'!$B$2:$J$173, 0,FALSE), IFERROR(VLOOKUP($A130,'Telstra ExDa'!$B$2:$K$310, 0,FALSE), IFERROR(VLOOKUP($A130,'Vocus RVC ExDa'!$C$2:$R$155, 16,FALSE), IFERROR(VLOOKUP($A130,'Fusion ExDa'!$B$2:$D$16, 0,FALSE), IFERROR(VLOOKUP($A130,'Exetel ExDa'!$C$2:$N$14, 0,FALSE), IFERROR(VLOOKUP($A130,'Infinet ExDa'!$B$2:$E$14, 0,FALSE), "Not Found"))))))))</f>
        <v>Not Found</v>
      </c>
      <c r="I130" t="str">
        <f>IFERROR(VLOOKUP($A130,'AAPT ExDa'!$B$2:$U$99, 0,FALSE), IFERROR(VLOOKUP($A130,'ABB ExDa'!$A$2:$N$184, 0,FALSE), IFERROR(VLOOKUP($A130,'Vocus SIT ExDa'!$B$2:$J$173, 0,FALSE), IFERROR(VLOOKUP($A130,'Telstra ExDa'!$B$2:$K$310, 0,FALSE), IFERROR(VLOOKUP($A130,'Vocus RVC ExDa'!$C$2:$R$155, 0,FALSE), IFERROR(VLOOKUP($A130,'Fusion ExDa'!$B$2:$D$16, 0,FALSE), IFERROR(VLOOKUP($A130,'Exetel ExDa'!$C$2:$N$14, 8,FALSE), IFERROR(VLOOKUP($A130,'Infinet ExDa'!$B$2:$E$14, 0,FALSE), "Not Found"))))))))</f>
        <v>Not Found</v>
      </c>
      <c r="J130" t="str">
        <f>IFERROR(VLOOKUP($A130,'AAPT ExDa'!$B$2:$U$99, 7,FALSE), IFERROR(VLOOKUP($A130,'ABB ExDa'!$A$2:$N$184, 2,FALSE), IFERROR(VLOOKUP($A130,'Vocus SIT ExDa'!$B$2:$J$173, 0,FALSE), IFERROR(VLOOKUP($A130,'Telstra ExDa'!$B$2:$K$310, 7,FALSE), IFERROR(VLOOKUP($A130,'Vocus RVC ExDa'!$C$2:$R$155, 2,FALSE), IFERROR(VLOOKUP($A130,'Fusion ExDa'!$B$2:$D$16, 3,FALSE), IFERROR(VLOOKUP($A130,'Exetel ExDa'!$C$2:$N$14, 0,FALSE), IFERROR(VLOOKUP($A130,'Infinet ExDa'!$B$2:$E$14, 0,FALSE), "Not Found"))))))))</f>
        <v>UN 20, 19 DURIAN PL, WETHERILL PARK NSW</v>
      </c>
      <c r="K130" t="str">
        <f>IFERROR(VLOOKUP($A130,'AAPT ExDa'!$B$2:$U$99, 12,FALSE), IFERROR(VLOOKUP($A130,'ABB ExDa'!$A$2:$N$184, 0,FALSE), IFERROR(VLOOKUP($A130,'Vocus SIT ExDa'!$B$2:$J$173, 0,FALSE), IFERROR(VLOOKUP($A130,'Telstra ExDa'!$B$2:$K$310, 0,FALSE), IFERROR(VLOOKUP($A130,'Vocus RVC ExDa'!$C$2:$R$155, 0,FALSE), IFERROR(VLOOKUP($A130,'Fusion ExDa'!$B$2:$D$16, 0,FALSE), IFERROR(VLOOKUP($A130,'Exetel ExDa'!$C$2:$N$14, 12,FALSE), IFERROR(VLOOKUP($A130,'Infinet ExDa'!$B$2:$E$14, 0,FALSE), "Not Found"))))))))</f>
        <v>Not Found</v>
      </c>
      <c r="L130" s="235" t="str">
        <f>IFERROR(VLOOKUP($A130,'AAPT ExDa'!$B$2:$U$99, 11,FALSE), IFERROR(VLOOKUP($A130,'ABB ExDa'!$A$2:$N$184, 9,FALSE), IFERROR(VLOOKUP($A130,'Vocus SIT ExDa'!$B$2:$J$173, 8,FALSE), IFERROR(VLOOKUP($A130,'Telstra ExDa'!$B$2:$K$310, 0,FALSE), IFERROR(VLOOKUP($A130,'Vocus RVC ExDa'!$C$2:$R$155, 0,FALSE), IFERROR(VLOOKUP($A130,'Fusion ExDa'!$B$2:$D$16, 0,FALSE), IFERROR(VLOOKUP($A130,'Exetel ExDa'!$C$2:$N$14, 9,FALSE), IFERROR(VLOOKUP($A130,'Infinet ExDa'!$B$2:$E$14, 0,FALSE), "Not Found"))))))))</f>
        <v>11 April 2024</v>
      </c>
      <c r="M130" s="234" t="str">
        <f>IFERROR(VLOOKUP($A130,'AAPT ExDa'!$B$2:$U$99, 0,FALSE), IFERROR(VLOOKUP($A130,'ABB ExDa'!$A$2:$N$184, 0,FALSE), IFERROR(VLOOKUP($A130,'Vocus SIT ExDa'!$B$2:$J$173, 0,FALSE), IFERROR(VLOOKUP($A130,'Telstra ExDa'!$B$2:$K$310, 0,FALSE), IFERROR(VLOOKUP($A130,'Vocus RVC ExDa'!$C$2:$R$155, 0,FALSE), IFERROR(VLOOKUP($A130,'Fusion ExDa'!$B$2:$D$16, 0,FALSE), IFERROR(VLOOKUP($A130,'Exetel ExDa'!$C$2:$N$14, 11,FALSE), IFERROR(VLOOKUP($A130,'Infinet ExDa'!$B$2:$E$14, 0,FALSE), "Not Found"))))))))</f>
        <v>Not Found</v>
      </c>
      <c r="N130" t="str">
        <f>IFERROR(VLOOKUP($A130,'AAPT ExDa'!$B$2:$U$99, 0,FALSE), IFERROR(VLOOKUP($A130,'ABB ExDa'!$A$2:$N$184, 13,FALSE), IFERROR(VLOOKUP($A130,'Vocus SIT ExDa'!$B$2:$J$173, 0,FALSE), IFERROR(VLOOKUP($A130,'Telstra ExDa'!$B$2:$K$310, 0,FALSE), IFERROR(VLOOKUP($A130,'Vocus RVC ExDa'!$C$2:$R$155, 0,FALSE), IFERROR(VLOOKUP($A130,'Fusion ExDa'!$B$2:$D$16, 0,FALSE), IFERROR(VLOOKUP($A130,'Exetel ExDa'!$C$2:$N$14, 0,FALSE), IFERROR(VLOOKUP($A130,'Infinet ExDa'!$B$2:$E$14, 0,FALSE), "Not Found"))))))))</f>
        <v>Datagate/Onebill/Sasboss</v>
      </c>
    </row>
    <row r="131" spans="1:14">
      <c r="A131" t="str">
        <v>Mega Victoria</v>
      </c>
      <c r="B131" t="str">
        <f>IFERROR(VLOOKUP(A131,'Exetel ExDa'!$C$2:$N$14,4,FALSE),"No Data")</f>
        <v>No Data</v>
      </c>
      <c r="C131" t="str">
        <f>IFERROR(VLOOKUP(A131,'AAPT ExDa'!$B$2:$U$99, 2,FALSE), IFERROR(VLOOKUP(A131,'ABB ExDa'!$A$2:$N$184, 2,FALSE), IFERROR(VLOOKUP(A131,'Vocus SIT ExDa'!$B$2:$J$173, 7,FALSE), IFERROR(VLOOKUP(A131,'Telstra ExDa'!$B$2:$K$310, 2,FALSE), IFERROR(VLOOKUP(A131,'Vocus RVC ExDa'!$C$2:$R$155, 3,FALSE), IFERROR(VLOOKUP(A131,'Fusion ExDa'!$B$2:$D$16, 2,FALSE), IFERROR(VLOOKUP(A131,'Exetel ExDa'!$C$2:$N$14, 2,FALSE), IFERROR(VLOOKUP(A131,'Infinet ExDa'!$B$2:$E$14, 2,FALSE), "Not Found"))))))))</f>
        <v>290 DAREBIN RD, FAIRFIELD VIC</v>
      </c>
      <c r="D131" t="str">
        <f>IFERROR(VLOOKUP($A131,'AAPT ExDa'!$B$2:$U$99, 15,FALSE), IFERROR(VLOOKUP($A131,'ABB ExDa'!$A$2:$N$184, 4,FALSE), IFERROR(VLOOKUP($A131,'Vocus SIT ExDa'!$B$2:$J$173, 5,FALSE), IFERROR(VLOOKUP($A131,'Telstra ExDa'!$B$2:$K$310, 8,FALSE), IFERROR(VLOOKUP($A131,'Vocus RVC ExDa'!$C$2:$R$155, 6,FALSE), IFERROR(VLOOKUP($A131,'Fusion ExDa'!$B$2:$D$16, 4,FALSE), IFERROR(VLOOKUP($A131,'Exetel ExDa'!$C$2:$N$14, 3,FALSE), IFERROR(VLOOKUP($A131,'Infinet ExDa'!$B$2:$E$14, 3,FALSE), "Not Found"))))))))</f>
        <v>ABB</v>
      </c>
      <c r="E131" t="str">
        <f>IFERROR(VLOOKUP($A131,'AAPT ExDa'!$B$2:$U$99, 3,FALSE), IFERROR(VLOOKUP($A131,'ABB ExDa'!$A$2:$N$184, 5,FALSE), IFERROR(VLOOKUP($A131,'Vocus SIT ExDa'!$B$2:$J$173, 2,FALSE), IFERROR(VLOOKUP($A131,'Telstra ExDa'!$B$2:$K$310, 4,FALSE), IFERROR(VLOOKUP($A131,'Vocus RVC ExDa'!$C$2:$R$155, 8,FALSE), IFERROR(VLOOKUP($A131,'Fusion ExDa'!$B$2:$D$16, 4,FALSE), IFERROR(VLOOKUP($A131,'Exetel ExDa'!$C$2:$N$14, 5,FALSE), IFERROR(VLOOKUP($A131,'Infinet ExDa'!$B$2:$E$14, 3,FALSE), "Not Found"))))))))</f>
        <v>NBN 100/40</v>
      </c>
      <c r="F131" t="str">
        <f>IFERROR(VLOOKUP($A131,'AAPT ExDa'!$B$2:$U$99, 4,FALSE), IFERROR(VLOOKUP($A131,'ABB ExDa'!$A$2:$N$184, 6,FALSE), IFERROR(VLOOKUP($A131,'Vocus SIT ExDa'!$B$2:$J$173, 3,FALSE), IFERROR(VLOOKUP($A131,'Telstra ExDa'!$B$2:$K$310, 5,FALSE), IFERROR(VLOOKUP($A131,'Vocus RVC ExDa'!$C$2:$R$155, 9,FALSE), IFERROR(VLOOKUP($A131,'Fusion ExDa'!$B$2:$D$16, 0,FALSE), IFERROR(VLOOKUP($A131,'Exetel ExDa'!$C$2:$N$14, 6,FALSE), IFERROR(VLOOKUP($A131,'Infinet ExDa'!$B$2:$E$14, 0,FALSE), "Not Found"))))))))</f>
        <v>HFC</v>
      </c>
      <c r="G131" t="str">
        <f>IFERROR(VLOOKUP($A131,'AAPT ExDa'!$B$2:$U$99, 5,FALSE), IFERROR(VLOOKUP($A131,'ABB ExDa'!$A$2:$N$184, 8,FALSE), IFERROR(VLOOKUP($A131,'Vocus SIT ExDa'!$B$2:$J$173, 6,FALSE), IFERROR(VLOOKUP($A131,'Telstra ExDa'!$B$2:$K$310, 0,FALSE), IFERROR(VLOOKUP($A131,'Vocus RVC ExDa'!$C$2:$R$155, 15,FALSE), IFERROR(VLOOKUP($A131,'Fusion ExDa'!$B$2:$D$16, 0,FALSE), IFERROR(VLOOKUP($A131,'Exetel ExDa'!$C$2:$N$14, 7,FALSE), IFERROR(VLOOKUP($A131,'Infinet ExDa'!$B$2:$E$14, 0,FALSE), "Not Found"))))))))</f>
        <v>144.6.214.253</v>
      </c>
      <c r="H131" t="str">
        <f>IFERROR(VLOOKUP($A131,'AAPT ExDa'!$B$2:$U$99, 6,FALSE), IFERROR(VLOOKUP($A131,'ABB ExDa'!$A$2:$N$184, 0,FALSE), IFERROR(VLOOKUP($A131,'Vocus SIT ExDa'!$B$2:$J$173, 0,FALSE), IFERROR(VLOOKUP($A131,'Telstra ExDa'!$B$2:$K$310, 0,FALSE), IFERROR(VLOOKUP($A131,'Vocus RVC ExDa'!$C$2:$R$155, 16,FALSE), IFERROR(VLOOKUP($A131,'Fusion ExDa'!$B$2:$D$16, 0,FALSE), IFERROR(VLOOKUP($A131,'Exetel ExDa'!$C$2:$N$14, 0,FALSE), IFERROR(VLOOKUP($A131,'Infinet ExDa'!$B$2:$E$14, 0,FALSE), "Not Found"))))))))</f>
        <v>Not Found</v>
      </c>
      <c r="I131" t="str">
        <f>IFERROR(VLOOKUP($A131,'AAPT ExDa'!$B$2:$U$99, 0,FALSE), IFERROR(VLOOKUP($A131,'ABB ExDa'!$A$2:$N$184, 0,FALSE), IFERROR(VLOOKUP($A131,'Vocus SIT ExDa'!$B$2:$J$173, 0,FALSE), IFERROR(VLOOKUP($A131,'Telstra ExDa'!$B$2:$K$310, 0,FALSE), IFERROR(VLOOKUP($A131,'Vocus RVC ExDa'!$C$2:$R$155, 0,FALSE), IFERROR(VLOOKUP($A131,'Fusion ExDa'!$B$2:$D$16, 0,FALSE), IFERROR(VLOOKUP($A131,'Exetel ExDa'!$C$2:$N$14, 8,FALSE), IFERROR(VLOOKUP($A131,'Infinet ExDa'!$B$2:$E$14, 0,FALSE), "Not Found"))))))))</f>
        <v>Not Found</v>
      </c>
      <c r="J131" t="str">
        <f>IFERROR(VLOOKUP($A131,'AAPT ExDa'!$B$2:$U$99, 7,FALSE), IFERROR(VLOOKUP($A131,'ABB ExDa'!$A$2:$N$184, 2,FALSE), IFERROR(VLOOKUP($A131,'Vocus SIT ExDa'!$B$2:$J$173, 0,FALSE), IFERROR(VLOOKUP($A131,'Telstra ExDa'!$B$2:$K$310, 7,FALSE), IFERROR(VLOOKUP($A131,'Vocus RVC ExDa'!$C$2:$R$155, 2,FALSE), IFERROR(VLOOKUP($A131,'Fusion ExDa'!$B$2:$D$16, 3,FALSE), IFERROR(VLOOKUP($A131,'Exetel ExDa'!$C$2:$N$14, 0,FALSE), IFERROR(VLOOKUP($A131,'Infinet ExDa'!$B$2:$E$14, 0,FALSE), "Not Found"))))))))</f>
        <v>290 DAREBIN RD, FAIRFIELD VIC</v>
      </c>
      <c r="K131" t="str">
        <f>IFERROR(VLOOKUP($A131,'AAPT ExDa'!$B$2:$U$99, 12,FALSE), IFERROR(VLOOKUP($A131,'ABB ExDa'!$A$2:$N$184, 0,FALSE), IFERROR(VLOOKUP($A131,'Vocus SIT ExDa'!$B$2:$J$173, 0,FALSE), IFERROR(VLOOKUP($A131,'Telstra ExDa'!$B$2:$K$310, 0,FALSE), IFERROR(VLOOKUP($A131,'Vocus RVC ExDa'!$C$2:$R$155, 0,FALSE), IFERROR(VLOOKUP($A131,'Fusion ExDa'!$B$2:$D$16, 0,FALSE), IFERROR(VLOOKUP($A131,'Exetel ExDa'!$C$2:$N$14, 12,FALSE), IFERROR(VLOOKUP($A131,'Infinet ExDa'!$B$2:$E$14, 0,FALSE), "Not Found"))))))))</f>
        <v>Not Found</v>
      </c>
      <c r="L131" s="235" t="str">
        <f>IFERROR(VLOOKUP($A131,'AAPT ExDa'!$B$2:$U$99, 11,FALSE), IFERROR(VLOOKUP($A131,'ABB ExDa'!$A$2:$N$184, 9,FALSE), IFERROR(VLOOKUP($A131,'Vocus SIT ExDa'!$B$2:$J$173, 8,FALSE), IFERROR(VLOOKUP($A131,'Telstra ExDa'!$B$2:$K$310, 0,FALSE), IFERROR(VLOOKUP($A131,'Vocus RVC ExDa'!$C$2:$R$155, 0,FALSE), IFERROR(VLOOKUP($A131,'Fusion ExDa'!$B$2:$D$16, 0,FALSE), IFERROR(VLOOKUP($A131,'Exetel ExDa'!$C$2:$N$14, 9,FALSE), IFERROR(VLOOKUP($A131,'Infinet ExDa'!$B$2:$E$14, 0,FALSE), "Not Found"))))))))</f>
        <v>12 Sept 2024</v>
      </c>
      <c r="M131" s="234" t="str">
        <f>IFERROR(VLOOKUP($A131,'AAPT ExDa'!$B$2:$U$99, 0,FALSE), IFERROR(VLOOKUP($A131,'ABB ExDa'!$A$2:$N$184, 0,FALSE), IFERROR(VLOOKUP($A131,'Vocus SIT ExDa'!$B$2:$J$173, 0,FALSE), IFERROR(VLOOKUP($A131,'Telstra ExDa'!$B$2:$K$310, 0,FALSE), IFERROR(VLOOKUP($A131,'Vocus RVC ExDa'!$C$2:$R$155, 0,FALSE), IFERROR(VLOOKUP($A131,'Fusion ExDa'!$B$2:$D$16, 0,FALSE), IFERROR(VLOOKUP($A131,'Exetel ExDa'!$C$2:$N$14, 11,FALSE), IFERROR(VLOOKUP($A131,'Infinet ExDa'!$B$2:$E$14, 0,FALSE), "Not Found"))))))))</f>
        <v>Not Found</v>
      </c>
      <c r="N131" t="str">
        <f>IFERROR(VLOOKUP($A131,'AAPT ExDa'!$B$2:$U$99, 0,FALSE), IFERROR(VLOOKUP($A131,'ABB ExDa'!$A$2:$N$184, 13,FALSE), IFERROR(VLOOKUP($A131,'Vocus SIT ExDa'!$B$2:$J$173, 0,FALSE), IFERROR(VLOOKUP($A131,'Telstra ExDa'!$B$2:$K$310, 0,FALSE), IFERROR(VLOOKUP($A131,'Vocus RVC ExDa'!$C$2:$R$155, 0,FALSE), IFERROR(VLOOKUP($A131,'Fusion ExDa'!$B$2:$D$16, 0,FALSE), IFERROR(VLOOKUP($A131,'Exetel ExDa'!$C$2:$N$14, 0,FALSE), IFERROR(VLOOKUP($A131,'Infinet ExDa'!$B$2:$E$14, 0,FALSE), "Not Found"))))))))</f>
        <v>Datagate/Onebill/Sasboss</v>
      </c>
    </row>
    <row r="132" spans="1:14">
      <c r="A132" t="str">
        <v xml:space="preserve">Michael McNamara </v>
      </c>
      <c r="B132" t="str">
        <f>IFERROR(VLOOKUP(A132,'Exetel ExDa'!$C$2:$N$14,4,FALSE),"No Data")</f>
        <v>No Data</v>
      </c>
      <c r="C132" t="str">
        <f>IFERROR(VLOOKUP(A132,'AAPT ExDa'!$B$2:$U$99, 2,FALSE), IFERROR(VLOOKUP(A132,'ABB ExDa'!$A$2:$N$184, 2,FALSE), IFERROR(VLOOKUP(A132,'Vocus SIT ExDa'!$B$2:$J$173, 7,FALSE), IFERROR(VLOOKUP(A132,'Telstra ExDa'!$B$2:$K$310, 2,FALSE), IFERROR(VLOOKUP(A132,'Vocus RVC ExDa'!$C$2:$R$155, 3,FALSE), IFERROR(VLOOKUP(A132,'Fusion ExDa'!$B$2:$D$16, 2,FALSE), IFERROR(VLOOKUP(A132,'Exetel ExDa'!$C$2:$N$14, 2,FALSE), IFERROR(VLOOKUP(A132,'Infinet ExDa'!$B$2:$E$14, 2,FALSE), "Not Found"))))))))</f>
        <v>133 WOONGARRA SCENIC DR, BARGARA QLD</v>
      </c>
      <c r="D132" t="str">
        <f>IFERROR(VLOOKUP($A132,'AAPT ExDa'!$B$2:$U$99, 15,FALSE), IFERROR(VLOOKUP($A132,'ABB ExDa'!$A$2:$N$184, 4,FALSE), IFERROR(VLOOKUP($A132,'Vocus SIT ExDa'!$B$2:$J$173, 5,FALSE), IFERROR(VLOOKUP($A132,'Telstra ExDa'!$B$2:$K$310, 8,FALSE), IFERROR(VLOOKUP($A132,'Vocus RVC ExDa'!$C$2:$R$155, 6,FALSE), IFERROR(VLOOKUP($A132,'Fusion ExDa'!$B$2:$D$16, 4,FALSE), IFERROR(VLOOKUP($A132,'Exetel ExDa'!$C$2:$N$14, 3,FALSE), IFERROR(VLOOKUP($A132,'Infinet ExDa'!$B$2:$E$14, 3,FALSE), "Not Found"))))))))</f>
        <v>ABB</v>
      </c>
      <c r="E132" t="str">
        <f>IFERROR(VLOOKUP($A132,'AAPT ExDa'!$B$2:$U$99, 3,FALSE), IFERROR(VLOOKUP($A132,'ABB ExDa'!$A$2:$N$184, 5,FALSE), IFERROR(VLOOKUP($A132,'Vocus SIT ExDa'!$B$2:$J$173, 2,FALSE), IFERROR(VLOOKUP($A132,'Telstra ExDa'!$B$2:$K$310, 4,FALSE), IFERROR(VLOOKUP($A132,'Vocus RVC ExDa'!$C$2:$R$155, 8,FALSE), IFERROR(VLOOKUP($A132,'Fusion ExDa'!$B$2:$D$16, 4,FALSE), IFERROR(VLOOKUP($A132,'Exetel ExDa'!$C$2:$N$14, 5,FALSE), IFERROR(VLOOKUP($A132,'Infinet ExDa'!$B$2:$E$14, 3,FALSE), "Not Found"))))))))</f>
        <v>NBN 100/40</v>
      </c>
      <c r="F132" t="str">
        <f>IFERROR(VLOOKUP($A132,'AAPT ExDa'!$B$2:$U$99, 4,FALSE), IFERROR(VLOOKUP($A132,'ABB ExDa'!$A$2:$N$184, 6,FALSE), IFERROR(VLOOKUP($A132,'Vocus SIT ExDa'!$B$2:$J$173, 3,FALSE), IFERROR(VLOOKUP($A132,'Telstra ExDa'!$B$2:$K$310, 5,FALSE), IFERROR(VLOOKUP($A132,'Vocus RVC ExDa'!$C$2:$R$155, 9,FALSE), IFERROR(VLOOKUP($A132,'Fusion ExDa'!$B$2:$D$16, 0,FALSE), IFERROR(VLOOKUP($A132,'Exetel ExDa'!$C$2:$N$14, 6,FALSE), IFERROR(VLOOKUP($A132,'Infinet ExDa'!$B$2:$E$14, 0,FALSE), "Not Found"))))))))</f>
        <v>Fibre</v>
      </c>
      <c r="G132" t="str">
        <f>IFERROR(VLOOKUP($A132,'AAPT ExDa'!$B$2:$U$99, 5,FALSE), IFERROR(VLOOKUP($A132,'ABB ExDa'!$A$2:$N$184, 8,FALSE), IFERROR(VLOOKUP($A132,'Vocus SIT ExDa'!$B$2:$J$173, 6,FALSE), IFERROR(VLOOKUP($A132,'Telstra ExDa'!$B$2:$K$310, 0,FALSE), IFERROR(VLOOKUP($A132,'Vocus RVC ExDa'!$C$2:$R$155, 15,FALSE), IFERROR(VLOOKUP($A132,'Fusion ExDa'!$B$2:$D$16, 0,FALSE), IFERROR(VLOOKUP($A132,'Exetel ExDa'!$C$2:$N$14, 7,FALSE), IFERROR(VLOOKUP($A132,'Infinet ExDa'!$B$2:$E$14, 0,FALSE), "Not Found"))))))))</f>
        <v>120.88.123.54</v>
      </c>
      <c r="H132" t="str">
        <f>IFERROR(VLOOKUP($A132,'AAPT ExDa'!$B$2:$U$99, 6,FALSE), IFERROR(VLOOKUP($A132,'ABB ExDa'!$A$2:$N$184, 0,FALSE), IFERROR(VLOOKUP($A132,'Vocus SIT ExDa'!$B$2:$J$173, 0,FALSE), IFERROR(VLOOKUP($A132,'Telstra ExDa'!$B$2:$K$310, 0,FALSE), IFERROR(VLOOKUP($A132,'Vocus RVC ExDa'!$C$2:$R$155, 16,FALSE), IFERROR(VLOOKUP($A132,'Fusion ExDa'!$B$2:$D$16, 0,FALSE), IFERROR(VLOOKUP($A132,'Exetel ExDa'!$C$2:$N$14, 0,FALSE), IFERROR(VLOOKUP($A132,'Infinet ExDa'!$B$2:$E$14, 0,FALSE), "Not Found"))))))))</f>
        <v>Not Found</v>
      </c>
      <c r="I132" t="str">
        <f>IFERROR(VLOOKUP($A132,'AAPT ExDa'!$B$2:$U$99, 0,FALSE), IFERROR(VLOOKUP($A132,'ABB ExDa'!$A$2:$N$184, 0,FALSE), IFERROR(VLOOKUP($A132,'Vocus SIT ExDa'!$B$2:$J$173, 0,FALSE), IFERROR(VLOOKUP($A132,'Telstra ExDa'!$B$2:$K$310, 0,FALSE), IFERROR(VLOOKUP($A132,'Vocus RVC ExDa'!$C$2:$R$155, 0,FALSE), IFERROR(VLOOKUP($A132,'Fusion ExDa'!$B$2:$D$16, 0,FALSE), IFERROR(VLOOKUP($A132,'Exetel ExDa'!$C$2:$N$14, 8,FALSE), IFERROR(VLOOKUP($A132,'Infinet ExDa'!$B$2:$E$14, 0,FALSE), "Not Found"))))))))</f>
        <v>Not Found</v>
      </c>
      <c r="J132" t="str">
        <f>IFERROR(VLOOKUP($A132,'AAPT ExDa'!$B$2:$U$99, 7,FALSE), IFERROR(VLOOKUP($A132,'ABB ExDa'!$A$2:$N$184, 2,FALSE), IFERROR(VLOOKUP($A132,'Vocus SIT ExDa'!$B$2:$J$173, 0,FALSE), IFERROR(VLOOKUP($A132,'Telstra ExDa'!$B$2:$K$310, 7,FALSE), IFERROR(VLOOKUP($A132,'Vocus RVC ExDa'!$C$2:$R$155, 2,FALSE), IFERROR(VLOOKUP($A132,'Fusion ExDa'!$B$2:$D$16, 3,FALSE), IFERROR(VLOOKUP($A132,'Exetel ExDa'!$C$2:$N$14, 0,FALSE), IFERROR(VLOOKUP($A132,'Infinet ExDa'!$B$2:$E$14, 0,FALSE), "Not Found"))))))))</f>
        <v>133 WOONGARRA SCENIC DR, BARGARA QLD</v>
      </c>
      <c r="K132" t="str">
        <f>IFERROR(VLOOKUP($A132,'AAPT ExDa'!$B$2:$U$99, 12,FALSE), IFERROR(VLOOKUP($A132,'ABB ExDa'!$A$2:$N$184, 0,FALSE), IFERROR(VLOOKUP($A132,'Vocus SIT ExDa'!$B$2:$J$173, 0,FALSE), IFERROR(VLOOKUP($A132,'Telstra ExDa'!$B$2:$K$310, 0,FALSE), IFERROR(VLOOKUP($A132,'Vocus RVC ExDa'!$C$2:$R$155, 0,FALSE), IFERROR(VLOOKUP($A132,'Fusion ExDa'!$B$2:$D$16, 0,FALSE), IFERROR(VLOOKUP($A132,'Exetel ExDa'!$C$2:$N$14, 12,FALSE), IFERROR(VLOOKUP($A132,'Infinet ExDa'!$B$2:$E$14, 0,FALSE), "Not Found"))))))))</f>
        <v>Not Found</v>
      </c>
      <c r="L132" s="235" t="str">
        <f>IFERROR(VLOOKUP($A132,'AAPT ExDa'!$B$2:$U$99, 11,FALSE), IFERROR(VLOOKUP($A132,'ABB ExDa'!$A$2:$N$184, 9,FALSE), IFERROR(VLOOKUP($A132,'Vocus SIT ExDa'!$B$2:$J$173, 8,FALSE), IFERROR(VLOOKUP($A132,'Telstra ExDa'!$B$2:$K$310, 0,FALSE), IFERROR(VLOOKUP($A132,'Vocus RVC ExDa'!$C$2:$R$155, 0,FALSE), IFERROR(VLOOKUP($A132,'Fusion ExDa'!$B$2:$D$16, 0,FALSE), IFERROR(VLOOKUP($A132,'Exetel ExDa'!$C$2:$N$14, 9,FALSE), IFERROR(VLOOKUP($A132,'Infinet ExDa'!$B$2:$E$14, 0,FALSE), "Not Found"))))))))</f>
        <v>02 May 2025</v>
      </c>
      <c r="M132" s="234" t="str">
        <f>IFERROR(VLOOKUP($A132,'AAPT ExDa'!$B$2:$U$99, 0,FALSE), IFERROR(VLOOKUP($A132,'ABB ExDa'!$A$2:$N$184, 0,FALSE), IFERROR(VLOOKUP($A132,'Vocus SIT ExDa'!$B$2:$J$173, 0,FALSE), IFERROR(VLOOKUP($A132,'Telstra ExDa'!$B$2:$K$310, 0,FALSE), IFERROR(VLOOKUP($A132,'Vocus RVC ExDa'!$C$2:$R$155, 0,FALSE), IFERROR(VLOOKUP($A132,'Fusion ExDa'!$B$2:$D$16, 0,FALSE), IFERROR(VLOOKUP($A132,'Exetel ExDa'!$C$2:$N$14, 11,FALSE), IFERROR(VLOOKUP($A132,'Infinet ExDa'!$B$2:$E$14, 0,FALSE), "Not Found"))))))))</f>
        <v>Not Found</v>
      </c>
      <c r="N132" t="str">
        <f>IFERROR(VLOOKUP($A132,'AAPT ExDa'!$B$2:$U$99, 0,FALSE), IFERROR(VLOOKUP($A132,'ABB ExDa'!$A$2:$N$184, 13,FALSE), IFERROR(VLOOKUP($A132,'Vocus SIT ExDa'!$B$2:$J$173, 0,FALSE), IFERROR(VLOOKUP($A132,'Telstra ExDa'!$B$2:$K$310, 0,FALSE), IFERROR(VLOOKUP($A132,'Vocus RVC ExDa'!$C$2:$R$155, 0,FALSE), IFERROR(VLOOKUP($A132,'Fusion ExDa'!$B$2:$D$16, 0,FALSE), IFERROR(VLOOKUP($A132,'Exetel ExDa'!$C$2:$N$14, 0,FALSE), IFERROR(VLOOKUP($A132,'Infinet ExDa'!$B$2:$E$14, 0,FALSE), "Not Found"))))))))</f>
        <v>Onebill</v>
      </c>
    </row>
    <row r="133" spans="1:14">
      <c r="A133" t="str">
        <v>Mother Duck Eatons Hill</v>
      </c>
      <c r="B133" t="str">
        <f>IFERROR(VLOOKUP(A133,'Exetel ExDa'!$C$2:$N$14,4,FALSE),"No Data")</f>
        <v>No Data</v>
      </c>
      <c r="C133" t="str">
        <f>IFERROR(VLOOKUP(A133,'AAPT ExDa'!$B$2:$U$99, 2,FALSE), IFERROR(VLOOKUP(A133,'ABB ExDa'!$A$2:$N$184, 2,FALSE), IFERROR(VLOOKUP(A133,'Vocus SIT ExDa'!$B$2:$J$173, 7,FALSE), IFERROR(VLOOKUP(A133,'Telstra ExDa'!$B$2:$K$310, 2,FALSE), IFERROR(VLOOKUP(A133,'Vocus RVC ExDa'!$C$2:$R$155, 3,FALSE), IFERROR(VLOOKUP(A133,'Fusion ExDa'!$B$2:$D$16, 2,FALSE), IFERROR(VLOOKUP(A133,'Exetel ExDa'!$C$2:$N$14, 2,FALSE), IFERROR(VLOOKUP(A133,'Infinet ExDa'!$B$2:$E$14, 2,FALSE), "Not Found"))))))))</f>
        <v>SHOP 1, 6 BUNYA PARK DR, EATONS HILL QLD</v>
      </c>
      <c r="D133" t="str">
        <f>IFERROR(VLOOKUP($A133,'AAPT ExDa'!$B$2:$U$99, 15,FALSE), IFERROR(VLOOKUP($A133,'ABB ExDa'!$A$2:$N$184, 4,FALSE), IFERROR(VLOOKUP($A133,'Vocus SIT ExDa'!$B$2:$J$173, 5,FALSE), IFERROR(VLOOKUP($A133,'Telstra ExDa'!$B$2:$K$310, 8,FALSE), IFERROR(VLOOKUP($A133,'Vocus RVC ExDa'!$C$2:$R$155, 6,FALSE), IFERROR(VLOOKUP($A133,'Fusion ExDa'!$B$2:$D$16, 4,FALSE), IFERROR(VLOOKUP($A133,'Exetel ExDa'!$C$2:$N$14, 3,FALSE), IFERROR(VLOOKUP($A133,'Infinet ExDa'!$B$2:$E$14, 3,FALSE), "Not Found"))))))))</f>
        <v>ABB</v>
      </c>
      <c r="E133" t="str">
        <f>IFERROR(VLOOKUP($A133,'AAPT ExDa'!$B$2:$U$99, 3,FALSE), IFERROR(VLOOKUP($A133,'ABB ExDa'!$A$2:$N$184, 5,FALSE), IFERROR(VLOOKUP($A133,'Vocus SIT ExDa'!$B$2:$J$173, 2,FALSE), IFERROR(VLOOKUP($A133,'Telstra ExDa'!$B$2:$K$310, 4,FALSE), IFERROR(VLOOKUP($A133,'Vocus RVC ExDa'!$C$2:$R$155, 8,FALSE), IFERROR(VLOOKUP($A133,'Fusion ExDa'!$B$2:$D$16, 4,FALSE), IFERROR(VLOOKUP($A133,'Exetel ExDa'!$C$2:$N$14, 5,FALSE), IFERROR(VLOOKUP($A133,'Infinet ExDa'!$B$2:$E$14, 3,FALSE), "Not Found"))))))))</f>
        <v>NBN 100/40</v>
      </c>
      <c r="F133" t="str">
        <f>IFERROR(VLOOKUP($A133,'AAPT ExDa'!$B$2:$U$99, 4,FALSE), IFERROR(VLOOKUP($A133,'ABB ExDa'!$A$2:$N$184, 6,FALSE), IFERROR(VLOOKUP($A133,'Vocus SIT ExDa'!$B$2:$J$173, 3,FALSE), IFERROR(VLOOKUP($A133,'Telstra ExDa'!$B$2:$K$310, 5,FALSE), IFERROR(VLOOKUP($A133,'Vocus RVC ExDa'!$C$2:$R$155, 9,FALSE), IFERROR(VLOOKUP($A133,'Fusion ExDa'!$B$2:$D$16, 0,FALSE), IFERROR(VLOOKUP($A133,'Exetel ExDa'!$C$2:$N$14, 6,FALSE), IFERROR(VLOOKUP($A133,'Infinet ExDa'!$B$2:$E$14, 0,FALSE), "Not Found"))))))))</f>
        <v>HFC</v>
      </c>
      <c r="G133" t="str">
        <f>IFERROR(VLOOKUP($A133,'AAPT ExDa'!$B$2:$U$99, 5,FALSE), IFERROR(VLOOKUP($A133,'ABB ExDa'!$A$2:$N$184, 8,FALSE), IFERROR(VLOOKUP($A133,'Vocus SIT ExDa'!$B$2:$J$173, 6,FALSE), IFERROR(VLOOKUP($A133,'Telstra ExDa'!$B$2:$K$310, 0,FALSE), IFERROR(VLOOKUP($A133,'Vocus RVC ExDa'!$C$2:$R$155, 15,FALSE), IFERROR(VLOOKUP($A133,'Fusion ExDa'!$B$2:$D$16, 0,FALSE), IFERROR(VLOOKUP($A133,'Exetel ExDa'!$C$2:$N$14, 7,FALSE), IFERROR(VLOOKUP($A133,'Infinet ExDa'!$B$2:$E$14, 0,FALSE), "Not Found"))))))))</f>
        <v>144.6.251.218</v>
      </c>
      <c r="H133" t="str">
        <f>IFERROR(VLOOKUP($A133,'AAPT ExDa'!$B$2:$U$99, 6,FALSE), IFERROR(VLOOKUP($A133,'ABB ExDa'!$A$2:$N$184, 0,FALSE), IFERROR(VLOOKUP($A133,'Vocus SIT ExDa'!$B$2:$J$173, 0,FALSE), IFERROR(VLOOKUP($A133,'Telstra ExDa'!$B$2:$K$310, 0,FALSE), IFERROR(VLOOKUP($A133,'Vocus RVC ExDa'!$C$2:$R$155, 16,FALSE), IFERROR(VLOOKUP($A133,'Fusion ExDa'!$B$2:$D$16, 0,FALSE), IFERROR(VLOOKUP($A133,'Exetel ExDa'!$C$2:$N$14, 0,FALSE), IFERROR(VLOOKUP($A133,'Infinet ExDa'!$B$2:$E$14, 0,FALSE), "Not Found"))))))))</f>
        <v>Not Found</v>
      </c>
      <c r="I133" t="str">
        <f>IFERROR(VLOOKUP($A133,'AAPT ExDa'!$B$2:$U$99, 0,FALSE), IFERROR(VLOOKUP($A133,'ABB ExDa'!$A$2:$N$184, 0,FALSE), IFERROR(VLOOKUP($A133,'Vocus SIT ExDa'!$B$2:$J$173, 0,FALSE), IFERROR(VLOOKUP($A133,'Telstra ExDa'!$B$2:$K$310, 0,FALSE), IFERROR(VLOOKUP($A133,'Vocus RVC ExDa'!$C$2:$R$155, 0,FALSE), IFERROR(VLOOKUP($A133,'Fusion ExDa'!$B$2:$D$16, 0,FALSE), IFERROR(VLOOKUP($A133,'Exetel ExDa'!$C$2:$N$14, 8,FALSE), IFERROR(VLOOKUP($A133,'Infinet ExDa'!$B$2:$E$14, 0,FALSE), "Not Found"))))))))</f>
        <v>Not Found</v>
      </c>
      <c r="J133" t="str">
        <f>IFERROR(VLOOKUP($A133,'AAPT ExDa'!$B$2:$U$99, 7,FALSE), IFERROR(VLOOKUP($A133,'ABB ExDa'!$A$2:$N$184, 2,FALSE), IFERROR(VLOOKUP($A133,'Vocus SIT ExDa'!$B$2:$J$173, 0,FALSE), IFERROR(VLOOKUP($A133,'Telstra ExDa'!$B$2:$K$310, 7,FALSE), IFERROR(VLOOKUP($A133,'Vocus RVC ExDa'!$C$2:$R$155, 2,FALSE), IFERROR(VLOOKUP($A133,'Fusion ExDa'!$B$2:$D$16, 3,FALSE), IFERROR(VLOOKUP($A133,'Exetel ExDa'!$C$2:$N$14, 0,FALSE), IFERROR(VLOOKUP($A133,'Infinet ExDa'!$B$2:$E$14, 0,FALSE), "Not Found"))))))))</f>
        <v>SHOP 1, 6 BUNYA PARK DR, EATONS HILL QLD</v>
      </c>
      <c r="K133" t="str">
        <f>IFERROR(VLOOKUP($A133,'AAPT ExDa'!$B$2:$U$99, 12,FALSE), IFERROR(VLOOKUP($A133,'ABB ExDa'!$A$2:$N$184, 0,FALSE), IFERROR(VLOOKUP($A133,'Vocus SIT ExDa'!$B$2:$J$173, 0,FALSE), IFERROR(VLOOKUP($A133,'Telstra ExDa'!$B$2:$K$310, 0,FALSE), IFERROR(VLOOKUP($A133,'Vocus RVC ExDa'!$C$2:$R$155, 0,FALSE), IFERROR(VLOOKUP($A133,'Fusion ExDa'!$B$2:$D$16, 0,FALSE), IFERROR(VLOOKUP($A133,'Exetel ExDa'!$C$2:$N$14, 12,FALSE), IFERROR(VLOOKUP($A133,'Infinet ExDa'!$B$2:$E$14, 0,FALSE), "Not Found"))))))))</f>
        <v>Not Found</v>
      </c>
      <c r="L133" s="235" t="str">
        <f>IFERROR(VLOOKUP($A133,'AAPT ExDa'!$B$2:$U$99, 11,FALSE), IFERROR(VLOOKUP($A133,'ABB ExDa'!$A$2:$N$184, 9,FALSE), IFERROR(VLOOKUP($A133,'Vocus SIT ExDa'!$B$2:$J$173, 8,FALSE), IFERROR(VLOOKUP($A133,'Telstra ExDa'!$B$2:$K$310, 0,FALSE), IFERROR(VLOOKUP($A133,'Vocus RVC ExDa'!$C$2:$R$155, 0,FALSE), IFERROR(VLOOKUP($A133,'Fusion ExDa'!$B$2:$D$16, 0,FALSE), IFERROR(VLOOKUP($A133,'Exetel ExDa'!$C$2:$N$14, 9,FALSE), IFERROR(VLOOKUP($A133,'Infinet ExDa'!$B$2:$E$14, 0,FALSE), "Not Found"))))))))</f>
        <v>02 June 2025</v>
      </c>
      <c r="M133" s="234" t="str">
        <f>IFERROR(VLOOKUP($A133,'AAPT ExDa'!$B$2:$U$99, 0,FALSE), IFERROR(VLOOKUP($A133,'ABB ExDa'!$A$2:$N$184, 0,FALSE), IFERROR(VLOOKUP($A133,'Vocus SIT ExDa'!$B$2:$J$173, 0,FALSE), IFERROR(VLOOKUP($A133,'Telstra ExDa'!$B$2:$K$310, 0,FALSE), IFERROR(VLOOKUP($A133,'Vocus RVC ExDa'!$C$2:$R$155, 0,FALSE), IFERROR(VLOOKUP($A133,'Fusion ExDa'!$B$2:$D$16, 0,FALSE), IFERROR(VLOOKUP($A133,'Exetel ExDa'!$C$2:$N$14, 11,FALSE), IFERROR(VLOOKUP($A133,'Infinet ExDa'!$B$2:$E$14, 0,FALSE), "Not Found"))))))))</f>
        <v>Not Found</v>
      </c>
      <c r="N133" t="str">
        <f>IFERROR(VLOOKUP($A133,'AAPT ExDa'!$B$2:$U$99, 0,FALSE), IFERROR(VLOOKUP($A133,'ABB ExDa'!$A$2:$N$184, 13,FALSE), IFERROR(VLOOKUP($A133,'Vocus SIT ExDa'!$B$2:$J$173, 0,FALSE), IFERROR(VLOOKUP($A133,'Telstra ExDa'!$B$2:$K$310, 0,FALSE), IFERROR(VLOOKUP($A133,'Vocus RVC ExDa'!$C$2:$R$155, 0,FALSE), IFERROR(VLOOKUP($A133,'Fusion ExDa'!$B$2:$D$16, 0,FALSE), IFERROR(VLOOKUP($A133,'Exetel ExDa'!$C$2:$N$14, 0,FALSE), IFERROR(VLOOKUP($A133,'Infinet ExDa'!$B$2:$E$14, 0,FALSE), "Not Found"))))))))</f>
        <v>TBA</v>
      </c>
    </row>
    <row r="134" spans="1:14">
      <c r="A134" t="str">
        <v>Smile IT; Stephen D Home internet</v>
      </c>
      <c r="B134" t="str">
        <f>IFERROR(VLOOKUP(A134,'Exetel ExDa'!$C$2:$N$14,4,FALSE),"No Data")</f>
        <v>No Data</v>
      </c>
      <c r="C134" t="str">
        <f>IFERROR(VLOOKUP(A134,'AAPT ExDa'!$B$2:$U$99, 2,FALSE), IFERROR(VLOOKUP(A134,'ABB ExDa'!$A$2:$N$184, 2,FALSE), IFERROR(VLOOKUP(A134,'Vocus SIT ExDa'!$B$2:$J$173, 7,FALSE), IFERROR(VLOOKUP(A134,'Telstra ExDa'!$B$2:$K$310, 2,FALSE), IFERROR(VLOOKUP(A134,'Vocus RVC ExDa'!$C$2:$R$155, 3,FALSE), IFERROR(VLOOKUP(A134,'Fusion ExDa'!$B$2:$D$16, 2,FALSE), IFERROR(VLOOKUP(A134,'Exetel ExDa'!$C$2:$N$14, 2,FALSE), IFERROR(VLOOKUP(A134,'Infinet ExDa'!$B$2:$E$14, 2,FALSE), "Not Found"))))))))</f>
        <v>34 TOWNLEY DR, NORTH LAKES QLD</v>
      </c>
      <c r="D134" t="str">
        <f>IFERROR(VLOOKUP($A134,'AAPT ExDa'!$B$2:$U$99, 15,FALSE), IFERROR(VLOOKUP($A134,'ABB ExDa'!$A$2:$N$184, 4,FALSE), IFERROR(VLOOKUP($A134,'Vocus SIT ExDa'!$B$2:$J$173, 5,FALSE), IFERROR(VLOOKUP($A134,'Telstra ExDa'!$B$2:$K$310, 8,FALSE), IFERROR(VLOOKUP($A134,'Vocus RVC ExDa'!$C$2:$R$155, 6,FALSE), IFERROR(VLOOKUP($A134,'Fusion ExDa'!$B$2:$D$16, 4,FALSE), IFERROR(VLOOKUP($A134,'Exetel ExDa'!$C$2:$N$14, 3,FALSE), IFERROR(VLOOKUP($A134,'Infinet ExDa'!$B$2:$E$14, 3,FALSE), "Not Found"))))))))</f>
        <v>ABB</v>
      </c>
      <c r="E134" t="str">
        <f>IFERROR(VLOOKUP($A134,'AAPT ExDa'!$B$2:$U$99, 3,FALSE), IFERROR(VLOOKUP($A134,'ABB ExDa'!$A$2:$N$184, 5,FALSE), IFERROR(VLOOKUP($A134,'Vocus SIT ExDa'!$B$2:$J$173, 2,FALSE), IFERROR(VLOOKUP($A134,'Telstra ExDa'!$B$2:$K$310, 4,FALSE), IFERROR(VLOOKUP($A134,'Vocus RVC ExDa'!$C$2:$R$155, 8,FALSE), IFERROR(VLOOKUP($A134,'Fusion ExDa'!$B$2:$D$16, 4,FALSE), IFERROR(VLOOKUP($A134,'Exetel ExDa'!$C$2:$N$14, 5,FALSE), IFERROR(VLOOKUP($A134,'Infinet ExDa'!$B$2:$E$14, 3,FALSE), "Not Found"))))))))</f>
        <v>NBN 250/25</v>
      </c>
      <c r="F134" t="str">
        <f>IFERROR(VLOOKUP($A134,'AAPT ExDa'!$B$2:$U$99, 4,FALSE), IFERROR(VLOOKUP($A134,'ABB ExDa'!$A$2:$N$184, 6,FALSE), IFERROR(VLOOKUP($A134,'Vocus SIT ExDa'!$B$2:$J$173, 3,FALSE), IFERROR(VLOOKUP($A134,'Telstra ExDa'!$B$2:$K$310, 5,FALSE), IFERROR(VLOOKUP($A134,'Vocus RVC ExDa'!$C$2:$R$155, 9,FALSE), IFERROR(VLOOKUP($A134,'Fusion ExDa'!$B$2:$D$16, 0,FALSE), IFERROR(VLOOKUP($A134,'Exetel ExDa'!$C$2:$N$14, 6,FALSE), IFERROR(VLOOKUP($A134,'Infinet ExDa'!$B$2:$E$14, 0,FALSE), "Not Found"))))))))</f>
        <v xml:space="preserve">Fibre </v>
      </c>
      <c r="G134" t="str">
        <f>IFERROR(VLOOKUP($A134,'AAPT ExDa'!$B$2:$U$99, 5,FALSE), IFERROR(VLOOKUP($A134,'ABB ExDa'!$A$2:$N$184, 8,FALSE), IFERROR(VLOOKUP($A134,'Vocus SIT ExDa'!$B$2:$J$173, 6,FALSE), IFERROR(VLOOKUP($A134,'Telstra ExDa'!$B$2:$K$310, 0,FALSE), IFERROR(VLOOKUP($A134,'Vocus RVC ExDa'!$C$2:$R$155, 15,FALSE), IFERROR(VLOOKUP($A134,'Fusion ExDa'!$B$2:$D$16, 0,FALSE), IFERROR(VLOOKUP($A134,'Exetel ExDa'!$C$2:$N$14, 7,FALSE), IFERROR(VLOOKUP($A134,'Infinet ExDa'!$B$2:$E$14, 0,FALSE), "Not Found"))))))))</f>
        <v>144.6.242.176</v>
      </c>
      <c r="H134" t="str">
        <f>IFERROR(VLOOKUP($A134,'AAPT ExDa'!$B$2:$U$99, 6,FALSE), IFERROR(VLOOKUP($A134,'ABB ExDa'!$A$2:$N$184, 0,FALSE), IFERROR(VLOOKUP($A134,'Vocus SIT ExDa'!$B$2:$J$173, 0,FALSE), IFERROR(VLOOKUP($A134,'Telstra ExDa'!$B$2:$K$310, 0,FALSE), IFERROR(VLOOKUP($A134,'Vocus RVC ExDa'!$C$2:$R$155, 16,FALSE), IFERROR(VLOOKUP($A134,'Fusion ExDa'!$B$2:$D$16, 0,FALSE), IFERROR(VLOOKUP($A134,'Exetel ExDa'!$C$2:$N$14, 0,FALSE), IFERROR(VLOOKUP($A134,'Infinet ExDa'!$B$2:$E$14, 0,FALSE), "Not Found"))))))))</f>
        <v>Not Found</v>
      </c>
      <c r="I134" t="str">
        <f>IFERROR(VLOOKUP($A134,'AAPT ExDa'!$B$2:$U$99, 0,FALSE), IFERROR(VLOOKUP($A134,'ABB ExDa'!$A$2:$N$184, 0,FALSE), IFERROR(VLOOKUP($A134,'Vocus SIT ExDa'!$B$2:$J$173, 0,FALSE), IFERROR(VLOOKUP($A134,'Telstra ExDa'!$B$2:$K$310, 0,FALSE), IFERROR(VLOOKUP($A134,'Vocus RVC ExDa'!$C$2:$R$155, 0,FALSE), IFERROR(VLOOKUP($A134,'Fusion ExDa'!$B$2:$D$16, 0,FALSE), IFERROR(VLOOKUP($A134,'Exetel ExDa'!$C$2:$N$14, 8,FALSE), IFERROR(VLOOKUP($A134,'Infinet ExDa'!$B$2:$E$14, 0,FALSE), "Not Found"))))))))</f>
        <v>Not Found</v>
      </c>
      <c r="J134" t="str">
        <f>IFERROR(VLOOKUP($A134,'AAPT ExDa'!$B$2:$U$99, 7,FALSE), IFERROR(VLOOKUP($A134,'ABB ExDa'!$A$2:$N$184, 2,FALSE), IFERROR(VLOOKUP($A134,'Vocus SIT ExDa'!$B$2:$J$173, 0,FALSE), IFERROR(VLOOKUP($A134,'Telstra ExDa'!$B$2:$K$310, 7,FALSE), IFERROR(VLOOKUP($A134,'Vocus RVC ExDa'!$C$2:$R$155, 2,FALSE), IFERROR(VLOOKUP($A134,'Fusion ExDa'!$B$2:$D$16, 3,FALSE), IFERROR(VLOOKUP($A134,'Exetel ExDa'!$C$2:$N$14, 0,FALSE), IFERROR(VLOOKUP($A134,'Infinet ExDa'!$B$2:$E$14, 0,FALSE), "Not Found"))))))))</f>
        <v>34 TOWNLEY DR, NORTH LAKES QLD</v>
      </c>
      <c r="K134" t="str">
        <f>IFERROR(VLOOKUP($A134,'AAPT ExDa'!$B$2:$U$99, 12,FALSE), IFERROR(VLOOKUP($A134,'ABB ExDa'!$A$2:$N$184, 0,FALSE), IFERROR(VLOOKUP($A134,'Vocus SIT ExDa'!$B$2:$J$173, 0,FALSE), IFERROR(VLOOKUP($A134,'Telstra ExDa'!$B$2:$K$310, 0,FALSE), IFERROR(VLOOKUP($A134,'Vocus RVC ExDa'!$C$2:$R$155, 0,FALSE), IFERROR(VLOOKUP($A134,'Fusion ExDa'!$B$2:$D$16, 0,FALSE), IFERROR(VLOOKUP($A134,'Exetel ExDa'!$C$2:$N$14, 12,FALSE), IFERROR(VLOOKUP($A134,'Infinet ExDa'!$B$2:$E$14, 0,FALSE), "Not Found"))))))))</f>
        <v>Not Found</v>
      </c>
      <c r="L134" s="235" t="str">
        <f>IFERROR(VLOOKUP($A134,'AAPT ExDa'!$B$2:$U$99, 11,FALSE), IFERROR(VLOOKUP($A134,'ABB ExDa'!$A$2:$N$184, 9,FALSE), IFERROR(VLOOKUP($A134,'Vocus SIT ExDa'!$B$2:$J$173, 8,FALSE), IFERROR(VLOOKUP($A134,'Telstra ExDa'!$B$2:$K$310, 0,FALSE), IFERROR(VLOOKUP($A134,'Vocus RVC ExDa'!$C$2:$R$155, 0,FALSE), IFERROR(VLOOKUP($A134,'Fusion ExDa'!$B$2:$D$16, 0,FALSE), IFERROR(VLOOKUP($A134,'Exetel ExDa'!$C$2:$N$14, 9,FALSE), IFERROR(VLOOKUP($A134,'Infinet ExDa'!$B$2:$E$14, 0,FALSE), "Not Found"))))))))</f>
        <v>06 Sept 2024</v>
      </c>
      <c r="M134" s="234" t="str">
        <f>IFERROR(VLOOKUP($A134,'AAPT ExDa'!$B$2:$U$99, 0,FALSE), IFERROR(VLOOKUP($A134,'ABB ExDa'!$A$2:$N$184, 0,FALSE), IFERROR(VLOOKUP($A134,'Vocus SIT ExDa'!$B$2:$J$173, 0,FALSE), IFERROR(VLOOKUP($A134,'Telstra ExDa'!$B$2:$K$310, 0,FALSE), IFERROR(VLOOKUP($A134,'Vocus RVC ExDa'!$C$2:$R$155, 0,FALSE), IFERROR(VLOOKUP($A134,'Fusion ExDa'!$B$2:$D$16, 0,FALSE), IFERROR(VLOOKUP($A134,'Exetel ExDa'!$C$2:$N$14, 11,FALSE), IFERROR(VLOOKUP($A134,'Infinet ExDa'!$B$2:$E$14, 0,FALSE), "Not Found"))))))))</f>
        <v>Not Found</v>
      </c>
      <c r="N134" t="str">
        <f>IFERROR(VLOOKUP($A134,'AAPT ExDa'!$B$2:$U$99, 0,FALSE), IFERROR(VLOOKUP($A134,'ABB ExDa'!$A$2:$N$184, 13,FALSE), IFERROR(VLOOKUP($A134,'Vocus SIT ExDa'!$B$2:$J$173, 0,FALSE), IFERROR(VLOOKUP($A134,'Telstra ExDa'!$B$2:$K$310, 0,FALSE), IFERROR(VLOOKUP($A134,'Vocus RVC ExDa'!$C$2:$R$155, 0,FALSE), IFERROR(VLOOKUP($A134,'Fusion ExDa'!$B$2:$D$16, 0,FALSE), IFERROR(VLOOKUP($A134,'Exetel ExDa'!$C$2:$N$14, 0,FALSE), IFERROR(VLOOKUP($A134,'Infinet ExDa'!$B$2:$E$14, 0,FALSE), "Not Found"))))))))</f>
        <v>stephen d home internet</v>
      </c>
    </row>
    <row r="135" spans="1:14">
      <c r="A135" t="str">
        <v xml:space="preserve">Urban Garden </v>
      </c>
      <c r="B135" t="str">
        <f>IFERROR(VLOOKUP(A135,'Exetel ExDa'!$C$2:$N$14,4,FALSE),"No Data")</f>
        <v>No Data</v>
      </c>
      <c r="C135" t="str">
        <f>IFERROR(VLOOKUP(A135,'AAPT ExDa'!$B$2:$U$99, 2,FALSE), IFERROR(VLOOKUP(A135,'ABB ExDa'!$A$2:$N$184, 2,FALSE), IFERROR(VLOOKUP(A135,'Vocus SIT ExDa'!$B$2:$J$173, 7,FALSE), IFERROR(VLOOKUP(A135,'Telstra ExDa'!$B$2:$K$310, 2,FALSE), IFERROR(VLOOKUP(A135,'Vocus RVC ExDa'!$C$2:$R$155, 3,FALSE), IFERROR(VLOOKUP(A135,'Fusion ExDa'!$B$2:$D$16, 2,FALSE), IFERROR(VLOOKUP(A135,'Exetel ExDa'!$C$2:$N$14, 2,FALSE), IFERROR(VLOOKUP(A135,'Infinet ExDa'!$B$2:$E$14, 2,FALSE), "Not Found"))))))))</f>
        <v>SE 1, 4 FIRST AV, MAROOCHYDORE QLD</v>
      </c>
      <c r="D135" t="str">
        <f>IFERROR(VLOOKUP($A135,'AAPT ExDa'!$B$2:$U$99, 15,FALSE), IFERROR(VLOOKUP($A135,'ABB ExDa'!$A$2:$N$184, 4,FALSE), IFERROR(VLOOKUP($A135,'Vocus SIT ExDa'!$B$2:$J$173, 5,FALSE), IFERROR(VLOOKUP($A135,'Telstra ExDa'!$B$2:$K$310, 8,FALSE), IFERROR(VLOOKUP($A135,'Vocus RVC ExDa'!$C$2:$R$155, 6,FALSE), IFERROR(VLOOKUP($A135,'Fusion ExDa'!$B$2:$D$16, 4,FALSE), IFERROR(VLOOKUP($A135,'Exetel ExDa'!$C$2:$N$14, 3,FALSE), IFERROR(VLOOKUP($A135,'Infinet ExDa'!$B$2:$E$14, 3,FALSE), "Not Found"))))))))</f>
        <v>ABB</v>
      </c>
      <c r="E135" t="str">
        <f>IFERROR(VLOOKUP($A135,'AAPT ExDa'!$B$2:$U$99, 3,FALSE), IFERROR(VLOOKUP($A135,'ABB ExDa'!$A$2:$N$184, 5,FALSE), IFERROR(VLOOKUP($A135,'Vocus SIT ExDa'!$B$2:$J$173, 2,FALSE), IFERROR(VLOOKUP($A135,'Telstra ExDa'!$B$2:$K$310, 4,FALSE), IFERROR(VLOOKUP($A135,'Vocus RVC ExDa'!$C$2:$R$155, 8,FALSE), IFERROR(VLOOKUP($A135,'Fusion ExDa'!$B$2:$D$16, 4,FALSE), IFERROR(VLOOKUP($A135,'Exetel ExDa'!$C$2:$N$14, 5,FALSE), IFERROR(VLOOKUP($A135,'Infinet ExDa'!$B$2:$E$14, 3,FALSE), "Not Found"))))))))</f>
        <v>NBN 50/20</v>
      </c>
      <c r="F135" t="str">
        <f>IFERROR(VLOOKUP($A135,'AAPT ExDa'!$B$2:$U$99, 4,FALSE), IFERROR(VLOOKUP($A135,'ABB ExDa'!$A$2:$N$184, 6,FALSE), IFERROR(VLOOKUP($A135,'Vocus SIT ExDa'!$B$2:$J$173, 3,FALSE), IFERROR(VLOOKUP($A135,'Telstra ExDa'!$B$2:$K$310, 5,FALSE), IFERROR(VLOOKUP($A135,'Vocus RVC ExDa'!$C$2:$R$155, 9,FALSE), IFERROR(VLOOKUP($A135,'Fusion ExDa'!$B$2:$D$16, 0,FALSE), IFERROR(VLOOKUP($A135,'Exetel ExDa'!$C$2:$N$14, 6,FALSE), IFERROR(VLOOKUP($A135,'Infinet ExDa'!$B$2:$E$14, 0,FALSE), "Not Found"))))))))</f>
        <v xml:space="preserve">FTTN </v>
      </c>
      <c r="G135" t="str">
        <f>IFERROR(VLOOKUP($A135,'AAPT ExDa'!$B$2:$U$99, 5,FALSE), IFERROR(VLOOKUP($A135,'ABB ExDa'!$A$2:$N$184, 8,FALSE), IFERROR(VLOOKUP($A135,'Vocus SIT ExDa'!$B$2:$J$173, 6,FALSE), IFERROR(VLOOKUP($A135,'Telstra ExDa'!$B$2:$K$310, 0,FALSE), IFERROR(VLOOKUP($A135,'Vocus RVC ExDa'!$C$2:$R$155, 15,FALSE), IFERROR(VLOOKUP($A135,'Fusion ExDa'!$B$2:$D$16, 0,FALSE), IFERROR(VLOOKUP($A135,'Exetel ExDa'!$C$2:$N$14, 7,FALSE), IFERROR(VLOOKUP($A135,'Infinet ExDa'!$B$2:$E$14, 0,FALSE), "Not Found"))))))))</f>
        <v>144.6.124.5</v>
      </c>
      <c r="H135" t="str">
        <f>IFERROR(VLOOKUP($A135,'AAPT ExDa'!$B$2:$U$99, 6,FALSE), IFERROR(VLOOKUP($A135,'ABB ExDa'!$A$2:$N$184, 0,FALSE), IFERROR(VLOOKUP($A135,'Vocus SIT ExDa'!$B$2:$J$173, 0,FALSE), IFERROR(VLOOKUP($A135,'Telstra ExDa'!$B$2:$K$310, 0,FALSE), IFERROR(VLOOKUP($A135,'Vocus RVC ExDa'!$C$2:$R$155, 16,FALSE), IFERROR(VLOOKUP($A135,'Fusion ExDa'!$B$2:$D$16, 0,FALSE), IFERROR(VLOOKUP($A135,'Exetel ExDa'!$C$2:$N$14, 0,FALSE), IFERROR(VLOOKUP($A135,'Infinet ExDa'!$B$2:$E$14, 0,FALSE), "Not Found"))))))))</f>
        <v>Not Found</v>
      </c>
      <c r="I135" t="str">
        <f>IFERROR(VLOOKUP($A135,'AAPT ExDa'!$B$2:$U$99, 0,FALSE), IFERROR(VLOOKUP($A135,'ABB ExDa'!$A$2:$N$184, 0,FALSE), IFERROR(VLOOKUP($A135,'Vocus SIT ExDa'!$B$2:$J$173, 0,FALSE), IFERROR(VLOOKUP($A135,'Telstra ExDa'!$B$2:$K$310, 0,FALSE), IFERROR(VLOOKUP($A135,'Vocus RVC ExDa'!$C$2:$R$155, 0,FALSE), IFERROR(VLOOKUP($A135,'Fusion ExDa'!$B$2:$D$16, 0,FALSE), IFERROR(VLOOKUP($A135,'Exetel ExDa'!$C$2:$N$14, 8,FALSE), IFERROR(VLOOKUP($A135,'Infinet ExDa'!$B$2:$E$14, 0,FALSE), "Not Found"))))))))</f>
        <v>Not Found</v>
      </c>
      <c r="J135" t="str">
        <f>IFERROR(VLOOKUP($A135,'AAPT ExDa'!$B$2:$U$99, 7,FALSE), IFERROR(VLOOKUP($A135,'ABB ExDa'!$A$2:$N$184, 2,FALSE), IFERROR(VLOOKUP($A135,'Vocus SIT ExDa'!$B$2:$J$173, 0,FALSE), IFERROR(VLOOKUP($A135,'Telstra ExDa'!$B$2:$K$310, 7,FALSE), IFERROR(VLOOKUP($A135,'Vocus RVC ExDa'!$C$2:$R$155, 2,FALSE), IFERROR(VLOOKUP($A135,'Fusion ExDa'!$B$2:$D$16, 3,FALSE), IFERROR(VLOOKUP($A135,'Exetel ExDa'!$C$2:$N$14, 0,FALSE), IFERROR(VLOOKUP($A135,'Infinet ExDa'!$B$2:$E$14, 0,FALSE), "Not Found"))))))))</f>
        <v>SE 1, 4 FIRST AV, MAROOCHYDORE QLD</v>
      </c>
      <c r="K135" t="str">
        <f>IFERROR(VLOOKUP($A135,'AAPT ExDa'!$B$2:$U$99, 12,FALSE), IFERROR(VLOOKUP($A135,'ABB ExDa'!$A$2:$N$184, 0,FALSE), IFERROR(VLOOKUP($A135,'Vocus SIT ExDa'!$B$2:$J$173, 0,FALSE), IFERROR(VLOOKUP($A135,'Telstra ExDa'!$B$2:$K$310, 0,FALSE), IFERROR(VLOOKUP($A135,'Vocus RVC ExDa'!$C$2:$R$155, 0,FALSE), IFERROR(VLOOKUP($A135,'Fusion ExDa'!$B$2:$D$16, 0,FALSE), IFERROR(VLOOKUP($A135,'Exetel ExDa'!$C$2:$N$14, 12,FALSE), IFERROR(VLOOKUP($A135,'Infinet ExDa'!$B$2:$E$14, 0,FALSE), "Not Found"))))))))</f>
        <v>Not Found</v>
      </c>
      <c r="L135" s="235" t="str">
        <f>IFERROR(VLOOKUP($A135,'AAPT ExDa'!$B$2:$U$99, 11,FALSE), IFERROR(VLOOKUP($A135,'ABB ExDa'!$A$2:$N$184, 9,FALSE), IFERROR(VLOOKUP($A135,'Vocus SIT ExDa'!$B$2:$J$173, 8,FALSE), IFERROR(VLOOKUP($A135,'Telstra ExDa'!$B$2:$K$310, 0,FALSE), IFERROR(VLOOKUP($A135,'Vocus RVC ExDa'!$C$2:$R$155, 0,FALSE), IFERROR(VLOOKUP($A135,'Fusion ExDa'!$B$2:$D$16, 0,FALSE), IFERROR(VLOOKUP($A135,'Exetel ExDa'!$C$2:$N$14, 9,FALSE), IFERROR(VLOOKUP($A135,'Infinet ExDa'!$B$2:$E$14, 0,FALSE), "Not Found"))))))))</f>
        <v>05 June 2024</v>
      </c>
      <c r="M135" s="234" t="str">
        <f>IFERROR(VLOOKUP($A135,'AAPT ExDa'!$B$2:$U$99, 0,FALSE), IFERROR(VLOOKUP($A135,'ABB ExDa'!$A$2:$N$184, 0,FALSE), IFERROR(VLOOKUP($A135,'Vocus SIT ExDa'!$B$2:$J$173, 0,FALSE), IFERROR(VLOOKUP($A135,'Telstra ExDa'!$B$2:$K$310, 0,FALSE), IFERROR(VLOOKUP($A135,'Vocus RVC ExDa'!$C$2:$R$155, 0,FALSE), IFERROR(VLOOKUP($A135,'Fusion ExDa'!$B$2:$D$16, 0,FALSE), IFERROR(VLOOKUP($A135,'Exetel ExDa'!$C$2:$N$14, 11,FALSE), IFERROR(VLOOKUP($A135,'Infinet ExDa'!$B$2:$E$14, 0,FALSE), "Not Found"))))))))</f>
        <v>Not Found</v>
      </c>
      <c r="N135" t="str">
        <f>IFERROR(VLOOKUP($A135,'AAPT ExDa'!$B$2:$U$99, 0,FALSE), IFERROR(VLOOKUP($A135,'ABB ExDa'!$A$2:$N$184, 13,FALSE), IFERROR(VLOOKUP($A135,'Vocus SIT ExDa'!$B$2:$J$173, 0,FALSE), IFERROR(VLOOKUP($A135,'Telstra ExDa'!$B$2:$K$310, 0,FALSE), IFERROR(VLOOKUP($A135,'Vocus RVC ExDa'!$C$2:$R$155, 0,FALSE), IFERROR(VLOOKUP($A135,'Fusion ExDa'!$B$2:$D$16, 0,FALSE), IFERROR(VLOOKUP($A135,'Exetel ExDa'!$C$2:$N$14, 0,FALSE), IFERROR(VLOOKUP($A135,'Infinet ExDa'!$B$2:$E$14, 0,FALSE), "Not Found"))))))))</f>
        <v>Sasboss</v>
      </c>
    </row>
    <row r="136" spans="1:14">
      <c r="A136" t="str">
        <v>RND Pilates</v>
      </c>
      <c r="B136" t="str">
        <f>IFERROR(VLOOKUP(A136,'Exetel ExDa'!$C$2:$N$14,4,FALSE),"No Data")</f>
        <v>No Data</v>
      </c>
      <c r="C136" t="str">
        <f>IFERROR(VLOOKUP(A136,'AAPT ExDa'!$B$2:$U$99, 2,FALSE), IFERROR(VLOOKUP(A136,'ABB ExDa'!$A$2:$N$184, 2,FALSE), IFERROR(VLOOKUP(A136,'Vocus SIT ExDa'!$B$2:$J$173, 7,FALSE), IFERROR(VLOOKUP(A136,'Telstra ExDa'!$B$2:$K$310, 2,FALSE), IFERROR(VLOOKUP(A136,'Vocus RVC ExDa'!$C$2:$R$155, 3,FALSE), IFERROR(VLOOKUP(A136,'Fusion ExDa'!$B$2:$D$16, 2,FALSE), IFERROR(VLOOKUP(A136,'Exetel ExDa'!$C$2:$N$14, 2,FALSE), IFERROR(VLOOKUP(A136,'Infinet ExDa'!$B$2:$E$14, 2,FALSE), "Not Found"))))))))</f>
        <v>UN T4, 51 ROSS ST, NEWSTEAD QLD</v>
      </c>
      <c r="D136" t="str">
        <f>IFERROR(VLOOKUP($A136,'AAPT ExDa'!$B$2:$U$99, 15,FALSE), IFERROR(VLOOKUP($A136,'ABB ExDa'!$A$2:$N$184, 4,FALSE), IFERROR(VLOOKUP($A136,'Vocus SIT ExDa'!$B$2:$J$173, 5,FALSE), IFERROR(VLOOKUP($A136,'Telstra ExDa'!$B$2:$K$310, 8,FALSE), IFERROR(VLOOKUP($A136,'Vocus RVC ExDa'!$C$2:$R$155, 6,FALSE), IFERROR(VLOOKUP($A136,'Fusion ExDa'!$B$2:$D$16, 4,FALSE), IFERROR(VLOOKUP($A136,'Exetel ExDa'!$C$2:$N$14, 3,FALSE), IFERROR(VLOOKUP($A136,'Infinet ExDa'!$B$2:$E$14, 3,FALSE), "Not Found"))))))))</f>
        <v>ABB</v>
      </c>
      <c r="E136" t="str">
        <f>IFERROR(VLOOKUP($A136,'AAPT ExDa'!$B$2:$U$99, 3,FALSE), IFERROR(VLOOKUP($A136,'ABB ExDa'!$A$2:$N$184, 5,FALSE), IFERROR(VLOOKUP($A136,'Vocus SIT ExDa'!$B$2:$J$173, 2,FALSE), IFERROR(VLOOKUP($A136,'Telstra ExDa'!$B$2:$K$310, 4,FALSE), IFERROR(VLOOKUP($A136,'Vocus RVC ExDa'!$C$2:$R$155, 8,FALSE), IFERROR(VLOOKUP($A136,'Fusion ExDa'!$B$2:$D$16, 4,FALSE), IFERROR(VLOOKUP($A136,'Exetel ExDa'!$C$2:$N$14, 5,FALSE), IFERROR(VLOOKUP($A136,'Infinet ExDa'!$B$2:$E$14, 3,FALSE), "Not Found"))))))))</f>
        <v>NBN 100/40</v>
      </c>
      <c r="F136" t="str">
        <f>IFERROR(VLOOKUP($A136,'AAPT ExDa'!$B$2:$U$99, 4,FALSE), IFERROR(VLOOKUP($A136,'ABB ExDa'!$A$2:$N$184, 6,FALSE), IFERROR(VLOOKUP($A136,'Vocus SIT ExDa'!$B$2:$J$173, 3,FALSE), IFERROR(VLOOKUP($A136,'Telstra ExDa'!$B$2:$K$310, 5,FALSE), IFERROR(VLOOKUP($A136,'Vocus RVC ExDa'!$C$2:$R$155, 9,FALSE), IFERROR(VLOOKUP($A136,'Fusion ExDa'!$B$2:$D$16, 0,FALSE), IFERROR(VLOOKUP($A136,'Exetel ExDa'!$C$2:$N$14, 6,FALSE), IFERROR(VLOOKUP($A136,'Infinet ExDa'!$B$2:$E$14, 0,FALSE), "Not Found"))))))))</f>
        <v>FTTC</v>
      </c>
      <c r="G136" t="str">
        <f>IFERROR(VLOOKUP($A136,'AAPT ExDa'!$B$2:$U$99, 5,FALSE), IFERROR(VLOOKUP($A136,'ABB ExDa'!$A$2:$N$184, 8,FALSE), IFERROR(VLOOKUP($A136,'Vocus SIT ExDa'!$B$2:$J$173, 6,FALSE), IFERROR(VLOOKUP($A136,'Telstra ExDa'!$B$2:$K$310, 0,FALSE), IFERROR(VLOOKUP($A136,'Vocus RVC ExDa'!$C$2:$R$155, 15,FALSE), IFERROR(VLOOKUP($A136,'Fusion ExDa'!$B$2:$D$16, 0,FALSE), IFERROR(VLOOKUP($A136,'Exetel ExDa'!$C$2:$N$14, 7,FALSE), IFERROR(VLOOKUP($A136,'Infinet ExDa'!$B$2:$E$14, 0,FALSE), "Not Found"))))))))</f>
        <v>180.181.211.2</v>
      </c>
      <c r="H136" t="str">
        <f>IFERROR(VLOOKUP($A136,'AAPT ExDa'!$B$2:$U$99, 6,FALSE), IFERROR(VLOOKUP($A136,'ABB ExDa'!$A$2:$N$184, 0,FALSE), IFERROR(VLOOKUP($A136,'Vocus SIT ExDa'!$B$2:$J$173, 0,FALSE), IFERROR(VLOOKUP($A136,'Telstra ExDa'!$B$2:$K$310, 0,FALSE), IFERROR(VLOOKUP($A136,'Vocus RVC ExDa'!$C$2:$R$155, 16,FALSE), IFERROR(VLOOKUP($A136,'Fusion ExDa'!$B$2:$D$16, 0,FALSE), IFERROR(VLOOKUP($A136,'Exetel ExDa'!$C$2:$N$14, 0,FALSE), IFERROR(VLOOKUP($A136,'Infinet ExDa'!$B$2:$E$14, 0,FALSE), "Not Found"))))))))</f>
        <v>Not Found</v>
      </c>
      <c r="I136" t="str">
        <f>IFERROR(VLOOKUP($A136,'AAPT ExDa'!$B$2:$U$99, 0,FALSE), IFERROR(VLOOKUP($A136,'ABB ExDa'!$A$2:$N$184, 0,FALSE), IFERROR(VLOOKUP($A136,'Vocus SIT ExDa'!$B$2:$J$173, 0,FALSE), IFERROR(VLOOKUP($A136,'Telstra ExDa'!$B$2:$K$310, 0,FALSE), IFERROR(VLOOKUP($A136,'Vocus RVC ExDa'!$C$2:$R$155, 0,FALSE), IFERROR(VLOOKUP($A136,'Fusion ExDa'!$B$2:$D$16, 0,FALSE), IFERROR(VLOOKUP($A136,'Exetel ExDa'!$C$2:$N$14, 8,FALSE), IFERROR(VLOOKUP($A136,'Infinet ExDa'!$B$2:$E$14, 0,FALSE), "Not Found"))))))))</f>
        <v>Not Found</v>
      </c>
      <c r="J136" t="str">
        <f>IFERROR(VLOOKUP($A136,'AAPT ExDa'!$B$2:$U$99, 7,FALSE), IFERROR(VLOOKUP($A136,'ABB ExDa'!$A$2:$N$184, 2,FALSE), IFERROR(VLOOKUP($A136,'Vocus SIT ExDa'!$B$2:$J$173, 0,FALSE), IFERROR(VLOOKUP($A136,'Telstra ExDa'!$B$2:$K$310, 7,FALSE), IFERROR(VLOOKUP($A136,'Vocus RVC ExDa'!$C$2:$R$155, 2,FALSE), IFERROR(VLOOKUP($A136,'Fusion ExDa'!$B$2:$D$16, 3,FALSE), IFERROR(VLOOKUP($A136,'Exetel ExDa'!$C$2:$N$14, 0,FALSE), IFERROR(VLOOKUP($A136,'Infinet ExDa'!$B$2:$E$14, 0,FALSE), "Not Found"))))))))</f>
        <v>UN T4, 51 ROSS ST, NEWSTEAD QLD</v>
      </c>
      <c r="K136" t="str">
        <f>IFERROR(VLOOKUP($A136,'AAPT ExDa'!$B$2:$U$99, 12,FALSE), IFERROR(VLOOKUP($A136,'ABB ExDa'!$A$2:$N$184, 0,FALSE), IFERROR(VLOOKUP($A136,'Vocus SIT ExDa'!$B$2:$J$173, 0,FALSE), IFERROR(VLOOKUP($A136,'Telstra ExDa'!$B$2:$K$310, 0,FALSE), IFERROR(VLOOKUP($A136,'Vocus RVC ExDa'!$C$2:$R$155, 0,FALSE), IFERROR(VLOOKUP($A136,'Fusion ExDa'!$B$2:$D$16, 0,FALSE), IFERROR(VLOOKUP($A136,'Exetel ExDa'!$C$2:$N$14, 12,FALSE), IFERROR(VLOOKUP($A136,'Infinet ExDa'!$B$2:$E$14, 0,FALSE), "Not Found"))))))))</f>
        <v>Not Found</v>
      </c>
      <c r="L136" s="235" t="str">
        <f>IFERROR(VLOOKUP($A136,'AAPT ExDa'!$B$2:$U$99, 11,FALSE), IFERROR(VLOOKUP($A136,'ABB ExDa'!$A$2:$N$184, 9,FALSE), IFERROR(VLOOKUP($A136,'Vocus SIT ExDa'!$B$2:$J$173, 8,FALSE), IFERROR(VLOOKUP($A136,'Telstra ExDa'!$B$2:$K$310, 0,FALSE), IFERROR(VLOOKUP($A136,'Vocus RVC ExDa'!$C$2:$R$155, 0,FALSE), IFERROR(VLOOKUP($A136,'Fusion ExDa'!$B$2:$D$16, 0,FALSE), IFERROR(VLOOKUP($A136,'Exetel ExDa'!$C$2:$N$14, 9,FALSE), IFERROR(VLOOKUP($A136,'Infinet ExDa'!$B$2:$E$14, 0,FALSE), "Not Found"))))))))</f>
        <v>19 June 2025</v>
      </c>
      <c r="M136" s="234" t="str">
        <f>IFERROR(VLOOKUP($A136,'AAPT ExDa'!$B$2:$U$99, 0,FALSE), IFERROR(VLOOKUP($A136,'ABB ExDa'!$A$2:$N$184, 0,FALSE), IFERROR(VLOOKUP($A136,'Vocus SIT ExDa'!$B$2:$J$173, 0,FALSE), IFERROR(VLOOKUP($A136,'Telstra ExDa'!$B$2:$K$310, 0,FALSE), IFERROR(VLOOKUP($A136,'Vocus RVC ExDa'!$C$2:$R$155, 0,FALSE), IFERROR(VLOOKUP($A136,'Fusion ExDa'!$B$2:$D$16, 0,FALSE), IFERROR(VLOOKUP($A136,'Exetel ExDa'!$C$2:$N$14, 11,FALSE), IFERROR(VLOOKUP($A136,'Infinet ExDa'!$B$2:$E$14, 0,FALSE), "Not Found"))))))))</f>
        <v>Not Found</v>
      </c>
      <c r="N136">
        <f>IFERROR(VLOOKUP($A136,'AAPT ExDa'!$B$2:$U$99, 0,FALSE), IFERROR(VLOOKUP($A136,'ABB ExDa'!$A$2:$N$184, 13,FALSE), IFERROR(VLOOKUP($A136,'Vocus SIT ExDa'!$B$2:$J$173, 0,FALSE), IFERROR(VLOOKUP($A136,'Telstra ExDa'!$B$2:$K$310, 0,FALSE), IFERROR(VLOOKUP($A136,'Vocus RVC ExDa'!$C$2:$R$155, 0,FALSE), IFERROR(VLOOKUP($A136,'Fusion ExDa'!$B$2:$D$16, 0,FALSE), IFERROR(VLOOKUP($A136,'Exetel ExDa'!$C$2:$N$14, 0,FALSE), IFERROR(VLOOKUP($A136,'Infinet ExDa'!$B$2:$E$14, 0,FALSE), "Not Found"))))))))</f>
        <v>0</v>
      </c>
    </row>
    <row r="137" spans="1:14">
      <c r="A137" t="str">
        <v>Nodo Everton Park</v>
      </c>
      <c r="B137" t="str">
        <f>IFERROR(VLOOKUP(A137,'Exetel ExDa'!$C$2:$N$14,4,FALSE),"No Data")</f>
        <v>No Data</v>
      </c>
      <c r="C137" t="str">
        <f>IFERROR(VLOOKUP(A137,'AAPT ExDa'!$B$2:$U$99, 2,FALSE), IFERROR(VLOOKUP(A137,'ABB ExDa'!$A$2:$N$184, 2,FALSE), IFERROR(VLOOKUP(A137,'Vocus SIT ExDa'!$B$2:$J$173, 7,FALSE), IFERROR(VLOOKUP(A137,'Telstra ExDa'!$B$2:$K$310, 2,FALSE), IFERROR(VLOOKUP(A137,'Vocus RVC ExDa'!$C$2:$R$155, 3,FALSE), IFERROR(VLOOKUP(A137,'Fusion ExDa'!$B$2:$D$16, 2,FALSE), IFERROR(VLOOKUP(A137,'Exetel ExDa'!$C$2:$N$14, 2,FALSE), IFERROR(VLOOKUP(A137,'Infinet ExDa'!$B$2:$E$14, 2,FALSE), "Not Found"))))))))</f>
        <v>TENANCY 28, EVERTON PLAZA , 791 STAFFORD RD, EVERTON PARK QLD</v>
      </c>
      <c r="D137" t="str">
        <f>IFERROR(VLOOKUP($A137,'AAPT ExDa'!$B$2:$U$99, 15,FALSE), IFERROR(VLOOKUP($A137,'ABB ExDa'!$A$2:$N$184, 4,FALSE), IFERROR(VLOOKUP($A137,'Vocus SIT ExDa'!$B$2:$J$173, 5,FALSE), IFERROR(VLOOKUP($A137,'Telstra ExDa'!$B$2:$K$310, 8,FALSE), IFERROR(VLOOKUP($A137,'Vocus RVC ExDa'!$C$2:$R$155, 6,FALSE), IFERROR(VLOOKUP($A137,'Fusion ExDa'!$B$2:$D$16, 4,FALSE), IFERROR(VLOOKUP($A137,'Exetel ExDa'!$C$2:$N$14, 3,FALSE), IFERROR(VLOOKUP($A137,'Infinet ExDa'!$B$2:$E$14, 3,FALSE), "Not Found"))))))))</f>
        <v>ABB</v>
      </c>
      <c r="E137" t="str">
        <f>IFERROR(VLOOKUP($A137,'AAPT ExDa'!$B$2:$U$99, 3,FALSE), IFERROR(VLOOKUP($A137,'ABB ExDa'!$A$2:$N$184, 5,FALSE), IFERROR(VLOOKUP($A137,'Vocus SIT ExDa'!$B$2:$J$173, 2,FALSE), IFERROR(VLOOKUP($A137,'Telstra ExDa'!$B$2:$K$310, 4,FALSE), IFERROR(VLOOKUP($A137,'Vocus RVC ExDa'!$C$2:$R$155, 8,FALSE), IFERROR(VLOOKUP($A137,'Fusion ExDa'!$B$2:$D$16, 4,FALSE), IFERROR(VLOOKUP($A137,'Exetel ExDa'!$C$2:$N$14, 5,FALSE), IFERROR(VLOOKUP($A137,'Infinet ExDa'!$B$2:$E$14, 3,FALSE), "Not Found"))))))))</f>
        <v>NBN 25/10</v>
      </c>
      <c r="F137" t="str">
        <f>IFERROR(VLOOKUP($A137,'AAPT ExDa'!$B$2:$U$99, 4,FALSE), IFERROR(VLOOKUP($A137,'ABB ExDa'!$A$2:$N$184, 6,FALSE), IFERROR(VLOOKUP($A137,'Vocus SIT ExDa'!$B$2:$J$173, 3,FALSE), IFERROR(VLOOKUP($A137,'Telstra ExDa'!$B$2:$K$310, 5,FALSE), IFERROR(VLOOKUP($A137,'Vocus RVC ExDa'!$C$2:$R$155, 9,FALSE), IFERROR(VLOOKUP($A137,'Fusion ExDa'!$B$2:$D$16, 0,FALSE), IFERROR(VLOOKUP($A137,'Exetel ExDa'!$C$2:$N$14, 6,FALSE), IFERROR(VLOOKUP($A137,'Infinet ExDa'!$B$2:$E$14, 0,FALSE), "Not Found"))))))))</f>
        <v>FTTN</v>
      </c>
      <c r="G137" t="str">
        <f>IFERROR(VLOOKUP($A137,'AAPT ExDa'!$B$2:$U$99, 5,FALSE), IFERROR(VLOOKUP($A137,'ABB ExDa'!$A$2:$N$184, 8,FALSE), IFERROR(VLOOKUP($A137,'Vocus SIT ExDa'!$B$2:$J$173, 6,FALSE), IFERROR(VLOOKUP($A137,'Telstra ExDa'!$B$2:$K$310, 0,FALSE), IFERROR(VLOOKUP($A137,'Vocus RVC ExDa'!$C$2:$R$155, 15,FALSE), IFERROR(VLOOKUP($A137,'Fusion ExDa'!$B$2:$D$16, 0,FALSE), IFERROR(VLOOKUP($A137,'Exetel ExDa'!$C$2:$N$14, 7,FALSE), IFERROR(VLOOKUP($A137,'Infinet ExDa'!$B$2:$E$14, 0,FALSE), "Not Found"))))))))</f>
        <v>159.196.61.249</v>
      </c>
      <c r="H137">
        <f>IFERROR(VLOOKUP($A137,'AAPT ExDa'!$B$2:$U$99, 6,FALSE), IFERROR(VLOOKUP($A137,'ABB ExDa'!$A$2:$N$184, 0,FALSE), IFERROR(VLOOKUP($A137,'Vocus SIT ExDa'!$B$2:$J$173, 0,FALSE), IFERROR(VLOOKUP($A137,'Telstra ExDa'!$B$2:$K$310, 0,FALSE), IFERROR(VLOOKUP($A137,'Vocus RVC ExDa'!$C$2:$R$155, 16,FALSE), IFERROR(VLOOKUP($A137,'Fusion ExDa'!$B$2:$D$16, 0,FALSE), IFERROR(VLOOKUP($A137,'Exetel ExDa'!$C$2:$N$14, 0,FALSE), IFERROR(VLOOKUP($A137,'Infinet ExDa'!$B$2:$E$14, 0,FALSE), "Not Found"))))))))</f>
        <v>0</v>
      </c>
      <c r="I137" t="str">
        <f>IFERROR(VLOOKUP($A137,'AAPT ExDa'!$B$2:$U$99, 0,FALSE), IFERROR(VLOOKUP($A137,'ABB ExDa'!$A$2:$N$184, 0,FALSE), IFERROR(VLOOKUP($A137,'Vocus SIT ExDa'!$B$2:$J$173, 0,FALSE), IFERROR(VLOOKUP($A137,'Telstra ExDa'!$B$2:$K$310, 0,FALSE), IFERROR(VLOOKUP($A137,'Vocus RVC ExDa'!$C$2:$R$155, 0,FALSE), IFERROR(VLOOKUP($A137,'Fusion ExDa'!$B$2:$D$16, 0,FALSE), IFERROR(VLOOKUP($A137,'Exetel ExDa'!$C$2:$N$14, 8,FALSE), IFERROR(VLOOKUP($A137,'Infinet ExDa'!$B$2:$E$14, 0,FALSE), "Not Found"))))))))</f>
        <v>Not Found</v>
      </c>
      <c r="J137" t="str">
        <f>IFERROR(VLOOKUP($A137,'AAPT ExDa'!$B$2:$U$99, 7,FALSE), IFERROR(VLOOKUP($A137,'ABB ExDa'!$A$2:$N$184, 2,FALSE), IFERROR(VLOOKUP($A137,'Vocus SIT ExDa'!$B$2:$J$173, 0,FALSE), IFERROR(VLOOKUP($A137,'Telstra ExDa'!$B$2:$K$310, 7,FALSE), IFERROR(VLOOKUP($A137,'Vocus RVC ExDa'!$C$2:$R$155, 2,FALSE), IFERROR(VLOOKUP($A137,'Fusion ExDa'!$B$2:$D$16, 3,FALSE), IFERROR(VLOOKUP($A137,'Exetel ExDa'!$C$2:$N$14, 0,FALSE), IFERROR(VLOOKUP($A137,'Infinet ExDa'!$B$2:$E$14, 0,FALSE), "Not Found"))))))))</f>
        <v>TENANCY 28, EVERTON PLAZA , 791 STAFFORD RD, EVERTON PARK QLD</v>
      </c>
      <c r="K137" t="str">
        <f>IFERROR(VLOOKUP($A137,'AAPT ExDa'!$B$2:$U$99, 12,FALSE), IFERROR(VLOOKUP($A137,'ABB ExDa'!$A$2:$N$184, 0,FALSE), IFERROR(VLOOKUP($A137,'Vocus SIT ExDa'!$B$2:$J$173, 0,FALSE), IFERROR(VLOOKUP($A137,'Telstra ExDa'!$B$2:$K$310, 0,FALSE), IFERROR(VLOOKUP($A137,'Vocus RVC ExDa'!$C$2:$R$155, 0,FALSE), IFERROR(VLOOKUP($A137,'Fusion ExDa'!$B$2:$D$16, 0,FALSE), IFERROR(VLOOKUP($A137,'Exetel ExDa'!$C$2:$N$14, 12,FALSE), IFERROR(VLOOKUP($A137,'Infinet ExDa'!$B$2:$E$14, 0,FALSE), "Not Found"))))))))</f>
        <v>Not Found</v>
      </c>
      <c r="L137" s="235" t="str">
        <f>IFERROR(VLOOKUP($A137,'AAPT ExDa'!$B$2:$U$99, 11,FALSE), IFERROR(VLOOKUP($A137,'ABB ExDa'!$A$2:$N$184, 9,FALSE), IFERROR(VLOOKUP($A137,'Vocus SIT ExDa'!$B$2:$J$173, 8,FALSE), IFERROR(VLOOKUP($A137,'Telstra ExDa'!$B$2:$K$310, 0,FALSE), IFERROR(VLOOKUP($A137,'Vocus RVC ExDa'!$C$2:$R$155, 0,FALSE), IFERROR(VLOOKUP($A137,'Fusion ExDa'!$B$2:$D$16, 0,FALSE), IFERROR(VLOOKUP($A137,'Exetel ExDa'!$C$2:$N$14, 9,FALSE), IFERROR(VLOOKUP($A137,'Infinet ExDa'!$B$2:$E$14, 0,FALSE), "Not Found"))))))))</f>
        <v>30 June 2025</v>
      </c>
      <c r="M137" s="234" t="str">
        <f>IFERROR(VLOOKUP($A137,'AAPT ExDa'!$B$2:$U$99, 0,FALSE), IFERROR(VLOOKUP($A137,'ABB ExDa'!$A$2:$N$184, 0,FALSE), IFERROR(VLOOKUP($A137,'Vocus SIT ExDa'!$B$2:$J$173, 0,FALSE), IFERROR(VLOOKUP($A137,'Telstra ExDa'!$B$2:$K$310, 0,FALSE), IFERROR(VLOOKUP($A137,'Vocus RVC ExDa'!$C$2:$R$155, 0,FALSE), IFERROR(VLOOKUP($A137,'Fusion ExDa'!$B$2:$D$16, 0,FALSE), IFERROR(VLOOKUP($A137,'Exetel ExDa'!$C$2:$N$14, 11,FALSE), IFERROR(VLOOKUP($A137,'Infinet ExDa'!$B$2:$E$14, 0,FALSE), "Not Found"))))))))</f>
        <v>Not Found</v>
      </c>
      <c r="N137" t="str">
        <f>IFERROR(VLOOKUP($A137,'AAPT ExDa'!$B$2:$U$99, 0,FALSE), IFERROR(VLOOKUP($A137,'ABB ExDa'!$A$2:$N$184, 13,FALSE), IFERROR(VLOOKUP($A137,'Vocus SIT ExDa'!$B$2:$J$173, 0,FALSE), IFERROR(VLOOKUP($A137,'Telstra ExDa'!$B$2:$K$310, 0,FALSE), IFERROR(VLOOKUP($A137,'Vocus RVC ExDa'!$C$2:$R$155, 0,FALSE), IFERROR(VLOOKUP($A137,'Fusion ExDa'!$B$2:$D$16, 0,FALSE), IFERROR(VLOOKUP($A137,'Exetel ExDa'!$C$2:$N$14, 0,FALSE), IFERROR(VLOOKUP($A137,'Infinet ExDa'!$B$2:$E$14, 0,FALSE), "Not Found"))))))))</f>
        <v>TBA</v>
      </c>
    </row>
    <row r="138" spans="1:14">
      <c r="A138" t="str">
        <v>Nodo Newstead</v>
      </c>
      <c r="B138" t="str">
        <f>IFERROR(VLOOKUP(A138,'Exetel ExDa'!$C$2:$N$14,4,FALSE),"No Data")</f>
        <v>No Data</v>
      </c>
      <c r="C138" t="str">
        <f>IFERROR(VLOOKUP(A138,'AAPT ExDa'!$B$2:$U$99, 2,FALSE), IFERROR(VLOOKUP(A138,'ABB ExDa'!$A$2:$N$184, 2,FALSE), IFERROR(VLOOKUP(A138,'Vocus SIT ExDa'!$B$2:$J$173, 7,FALSE), IFERROR(VLOOKUP(A138,'Telstra ExDa'!$B$2:$K$310, 2,FALSE), IFERROR(VLOOKUP(A138,'Vocus RVC ExDa'!$C$2:$R$155, 3,FALSE), IFERROR(VLOOKUP(A138,'Fusion ExDa'!$B$2:$D$16, 2,FALSE), IFERROR(VLOOKUP(A138,'Exetel ExDa'!$C$2:$N$14, 2,FALSE), IFERROR(VLOOKUP(A138,'Infinet ExDa'!$B$2:$E$14, 2,FALSE), "Not Found"))))))))</f>
        <v>SHOP 3, 1 ELLA ST, NEWSTEAD QLD</v>
      </c>
      <c r="D138" t="str">
        <f>IFERROR(VLOOKUP($A138,'AAPT ExDa'!$B$2:$U$99, 15,FALSE), IFERROR(VLOOKUP($A138,'ABB ExDa'!$A$2:$N$184, 4,FALSE), IFERROR(VLOOKUP($A138,'Vocus SIT ExDa'!$B$2:$J$173, 5,FALSE), IFERROR(VLOOKUP($A138,'Telstra ExDa'!$B$2:$K$310, 8,FALSE), IFERROR(VLOOKUP($A138,'Vocus RVC ExDa'!$C$2:$R$155, 6,FALSE), IFERROR(VLOOKUP($A138,'Fusion ExDa'!$B$2:$D$16, 4,FALSE), IFERROR(VLOOKUP($A138,'Exetel ExDa'!$C$2:$N$14, 3,FALSE), IFERROR(VLOOKUP($A138,'Infinet ExDa'!$B$2:$E$14, 3,FALSE), "Not Found"))))))))</f>
        <v>ABB</v>
      </c>
      <c r="E138">
        <f>IFERROR(VLOOKUP($A138,'AAPT ExDa'!$B$2:$U$99, 3,FALSE), IFERROR(VLOOKUP($A138,'ABB ExDa'!$A$2:$N$184, 5,FALSE), IFERROR(VLOOKUP($A138,'Vocus SIT ExDa'!$B$2:$J$173, 2,FALSE), IFERROR(VLOOKUP($A138,'Telstra ExDa'!$B$2:$K$310, 4,FALSE), IFERROR(VLOOKUP($A138,'Vocus RVC ExDa'!$C$2:$R$155, 8,FALSE), IFERROR(VLOOKUP($A138,'Fusion ExDa'!$B$2:$D$16, 4,FALSE), IFERROR(VLOOKUP($A138,'Exetel ExDa'!$C$2:$N$14, 5,FALSE), IFERROR(VLOOKUP($A138,'Infinet ExDa'!$B$2:$E$14, 3,FALSE), "Not Found"))))))))</f>
        <v>0</v>
      </c>
      <c r="F138" t="str">
        <f>IFERROR(VLOOKUP($A138,'AAPT ExDa'!$B$2:$U$99, 4,FALSE), IFERROR(VLOOKUP($A138,'ABB ExDa'!$A$2:$N$184, 6,FALSE), IFERROR(VLOOKUP($A138,'Vocus SIT ExDa'!$B$2:$J$173, 3,FALSE), IFERROR(VLOOKUP($A138,'Telstra ExDa'!$B$2:$K$310, 5,FALSE), IFERROR(VLOOKUP($A138,'Vocus RVC ExDa'!$C$2:$R$155, 9,FALSE), IFERROR(VLOOKUP($A138,'Fusion ExDa'!$B$2:$D$16, 0,FALSE), IFERROR(VLOOKUP($A138,'Exetel ExDa'!$C$2:$N$14, 6,FALSE), IFERROR(VLOOKUP($A138,'Infinet ExDa'!$B$2:$E$14, 0,FALSE), "Not Found"))))))))</f>
        <v>FTTB</v>
      </c>
      <c r="G138">
        <f>IFERROR(VLOOKUP($A138,'AAPT ExDa'!$B$2:$U$99, 5,FALSE), IFERROR(VLOOKUP($A138,'ABB ExDa'!$A$2:$N$184, 8,FALSE), IFERROR(VLOOKUP($A138,'Vocus SIT ExDa'!$B$2:$J$173, 6,FALSE), IFERROR(VLOOKUP($A138,'Telstra ExDa'!$B$2:$K$310, 0,FALSE), IFERROR(VLOOKUP($A138,'Vocus RVC ExDa'!$C$2:$R$155, 15,FALSE), IFERROR(VLOOKUP($A138,'Fusion ExDa'!$B$2:$D$16, 0,FALSE), IFERROR(VLOOKUP($A138,'Exetel ExDa'!$C$2:$N$14, 7,FALSE), IFERROR(VLOOKUP($A138,'Infinet ExDa'!$B$2:$E$14, 0,FALSE), "Not Found"))))))))</f>
        <v>0</v>
      </c>
      <c r="H138">
        <f>IFERROR(VLOOKUP($A138,'AAPT ExDa'!$B$2:$U$99, 6,FALSE), IFERROR(VLOOKUP($A138,'ABB ExDa'!$A$2:$N$184, 0,FALSE), IFERROR(VLOOKUP($A138,'Vocus SIT ExDa'!$B$2:$J$173, 0,FALSE), IFERROR(VLOOKUP($A138,'Telstra ExDa'!$B$2:$K$310, 0,FALSE), IFERROR(VLOOKUP($A138,'Vocus RVC ExDa'!$C$2:$R$155, 16,FALSE), IFERROR(VLOOKUP($A138,'Fusion ExDa'!$B$2:$D$16, 0,FALSE), IFERROR(VLOOKUP($A138,'Exetel ExDa'!$C$2:$N$14, 0,FALSE), IFERROR(VLOOKUP($A138,'Infinet ExDa'!$B$2:$E$14, 0,FALSE), "Not Found"))))))))</f>
        <v>0</v>
      </c>
      <c r="I138" t="str">
        <f>IFERROR(VLOOKUP($A138,'AAPT ExDa'!$B$2:$U$99, 0,FALSE), IFERROR(VLOOKUP($A138,'ABB ExDa'!$A$2:$N$184, 0,FALSE), IFERROR(VLOOKUP($A138,'Vocus SIT ExDa'!$B$2:$J$173, 0,FALSE), IFERROR(VLOOKUP($A138,'Telstra ExDa'!$B$2:$K$310, 0,FALSE), IFERROR(VLOOKUP($A138,'Vocus RVC ExDa'!$C$2:$R$155, 0,FALSE), IFERROR(VLOOKUP($A138,'Fusion ExDa'!$B$2:$D$16, 0,FALSE), IFERROR(VLOOKUP($A138,'Exetel ExDa'!$C$2:$N$14, 8,FALSE), IFERROR(VLOOKUP($A138,'Infinet ExDa'!$B$2:$E$14, 0,FALSE), "Not Found"))))))))</f>
        <v>Not Found</v>
      </c>
      <c r="J138" t="str">
        <f>IFERROR(VLOOKUP($A138,'AAPT ExDa'!$B$2:$U$99, 7,FALSE), IFERROR(VLOOKUP($A138,'ABB ExDa'!$A$2:$N$184, 2,FALSE), IFERROR(VLOOKUP($A138,'Vocus SIT ExDa'!$B$2:$J$173, 0,FALSE), IFERROR(VLOOKUP($A138,'Telstra ExDa'!$B$2:$K$310, 7,FALSE), IFERROR(VLOOKUP($A138,'Vocus RVC ExDa'!$C$2:$R$155, 2,FALSE), IFERROR(VLOOKUP($A138,'Fusion ExDa'!$B$2:$D$16, 3,FALSE), IFERROR(VLOOKUP($A138,'Exetel ExDa'!$C$2:$N$14, 0,FALSE), IFERROR(VLOOKUP($A138,'Infinet ExDa'!$B$2:$E$14, 0,FALSE), "Not Found"))))))))</f>
        <v>SHOP 3, 1 ELLA ST, NEWSTEAD QLD</v>
      </c>
      <c r="K138" t="str">
        <f>IFERROR(VLOOKUP($A138,'AAPT ExDa'!$B$2:$U$99, 12,FALSE), IFERROR(VLOOKUP($A138,'ABB ExDa'!$A$2:$N$184, 0,FALSE), IFERROR(VLOOKUP($A138,'Vocus SIT ExDa'!$B$2:$J$173, 0,FALSE), IFERROR(VLOOKUP($A138,'Telstra ExDa'!$B$2:$K$310, 0,FALSE), IFERROR(VLOOKUP($A138,'Vocus RVC ExDa'!$C$2:$R$155, 0,FALSE), IFERROR(VLOOKUP($A138,'Fusion ExDa'!$B$2:$D$16, 0,FALSE), IFERROR(VLOOKUP($A138,'Exetel ExDa'!$C$2:$N$14, 12,FALSE), IFERROR(VLOOKUP($A138,'Infinet ExDa'!$B$2:$E$14, 0,FALSE), "Not Found"))))))))</f>
        <v>Not Found</v>
      </c>
      <c r="L138" s="235" t="str">
        <f>IFERROR(VLOOKUP($A138,'AAPT ExDa'!$B$2:$U$99, 11,FALSE), IFERROR(VLOOKUP($A138,'ABB ExDa'!$A$2:$N$184, 9,FALSE), IFERROR(VLOOKUP($A138,'Vocus SIT ExDa'!$B$2:$J$173, 8,FALSE), IFERROR(VLOOKUP($A138,'Telstra ExDa'!$B$2:$K$310, 0,FALSE), IFERROR(VLOOKUP($A138,'Vocus RVC ExDa'!$C$2:$R$155, 0,FALSE), IFERROR(VLOOKUP($A138,'Fusion ExDa'!$B$2:$D$16, 0,FALSE), IFERROR(VLOOKUP($A138,'Exetel ExDa'!$C$2:$N$14, 9,FALSE), IFERROR(VLOOKUP($A138,'Infinet ExDa'!$B$2:$E$14, 0,FALSE), "Not Found"))))))))</f>
        <v>28 Aug 2025</v>
      </c>
      <c r="M138" s="234" t="str">
        <f>IFERROR(VLOOKUP($A138,'AAPT ExDa'!$B$2:$U$99, 0,FALSE), IFERROR(VLOOKUP($A138,'ABB ExDa'!$A$2:$N$184, 0,FALSE), IFERROR(VLOOKUP($A138,'Vocus SIT ExDa'!$B$2:$J$173, 0,FALSE), IFERROR(VLOOKUP($A138,'Telstra ExDa'!$B$2:$K$310, 0,FALSE), IFERROR(VLOOKUP($A138,'Vocus RVC ExDa'!$C$2:$R$155, 0,FALSE), IFERROR(VLOOKUP($A138,'Fusion ExDa'!$B$2:$D$16, 0,FALSE), IFERROR(VLOOKUP($A138,'Exetel ExDa'!$C$2:$N$14, 11,FALSE), IFERROR(VLOOKUP($A138,'Infinet ExDa'!$B$2:$E$14, 0,FALSE), "Not Found"))))))))</f>
        <v>Not Found</v>
      </c>
      <c r="N138" t="str">
        <f>IFERROR(VLOOKUP($A138,'AAPT ExDa'!$B$2:$U$99, 0,FALSE), IFERROR(VLOOKUP($A138,'ABB ExDa'!$A$2:$N$184, 13,FALSE), IFERROR(VLOOKUP($A138,'Vocus SIT ExDa'!$B$2:$J$173, 0,FALSE), IFERROR(VLOOKUP($A138,'Telstra ExDa'!$B$2:$K$310, 0,FALSE), IFERROR(VLOOKUP($A138,'Vocus RVC ExDa'!$C$2:$R$155, 0,FALSE), IFERROR(VLOOKUP($A138,'Fusion ExDa'!$B$2:$D$16, 0,FALSE), IFERROR(VLOOKUP($A138,'Exetel ExDa'!$C$2:$N$14, 0,FALSE), IFERROR(VLOOKUP($A138,'Infinet ExDa'!$B$2:$E$14, 0,FALSE), "Not Found"))))))))</f>
        <v>TBA</v>
      </c>
    </row>
    <row r="139" spans="1:14">
      <c r="A139" t="str">
        <v>Nodo Westfield Carindale</v>
      </c>
      <c r="B139" t="str">
        <f>IFERROR(VLOOKUP(A139,'Exetel ExDa'!$C$2:$N$14,4,FALSE),"No Data")</f>
        <v>No Data</v>
      </c>
      <c r="C139" t="str">
        <f>IFERROR(VLOOKUP(A139,'AAPT ExDa'!$B$2:$U$99, 2,FALSE), IFERROR(VLOOKUP(A139,'ABB ExDa'!$A$2:$N$184, 2,FALSE), IFERROR(VLOOKUP(A139,'Vocus SIT ExDa'!$B$2:$J$173, 7,FALSE), IFERROR(VLOOKUP(A139,'Telstra ExDa'!$B$2:$K$310, 2,FALSE), IFERROR(VLOOKUP(A139,'Vocus RVC ExDa'!$C$2:$R$155, 3,FALSE), IFERROR(VLOOKUP(A139,'Fusion ExDa'!$B$2:$D$16, 2,FALSE), IFERROR(VLOOKUP(A139,'Exetel ExDa'!$C$2:$N$14, 2,FALSE), IFERROR(VLOOKUP(A139,'Infinet ExDa'!$B$2:$E$14, 2,FALSE), "Not Found"))))))))</f>
        <v>KSK K108, 1151 CREEK RD, CARINDALE QLD</v>
      </c>
      <c r="D139" t="str">
        <f>IFERROR(VLOOKUP($A139,'AAPT ExDa'!$B$2:$U$99, 15,FALSE), IFERROR(VLOOKUP($A139,'ABB ExDa'!$A$2:$N$184, 4,FALSE), IFERROR(VLOOKUP($A139,'Vocus SIT ExDa'!$B$2:$J$173, 5,FALSE), IFERROR(VLOOKUP($A139,'Telstra ExDa'!$B$2:$K$310, 8,FALSE), IFERROR(VLOOKUP($A139,'Vocus RVC ExDa'!$C$2:$R$155, 6,FALSE), IFERROR(VLOOKUP($A139,'Fusion ExDa'!$B$2:$D$16, 4,FALSE), IFERROR(VLOOKUP($A139,'Exetel ExDa'!$C$2:$N$14, 3,FALSE), IFERROR(VLOOKUP($A139,'Infinet ExDa'!$B$2:$E$14, 3,FALSE), "Not Found"))))))))</f>
        <v>ABB</v>
      </c>
      <c r="E139" t="str">
        <f>IFERROR(VLOOKUP($A139,'AAPT ExDa'!$B$2:$U$99, 3,FALSE), IFERROR(VLOOKUP($A139,'ABB ExDa'!$A$2:$N$184, 5,FALSE), IFERROR(VLOOKUP($A139,'Vocus SIT ExDa'!$B$2:$J$173, 2,FALSE), IFERROR(VLOOKUP($A139,'Telstra ExDa'!$B$2:$K$310, 4,FALSE), IFERROR(VLOOKUP($A139,'Vocus RVC ExDa'!$C$2:$R$155, 8,FALSE), IFERROR(VLOOKUP($A139,'Fusion ExDa'!$B$2:$D$16, 4,FALSE), IFERROR(VLOOKUP($A139,'Exetel ExDa'!$C$2:$N$14, 5,FALSE), IFERROR(VLOOKUP($A139,'Infinet ExDa'!$B$2:$E$14, 3,FALSE), "Not Found"))))))))</f>
        <v>NBN 25/10</v>
      </c>
      <c r="F139" t="str">
        <f>IFERROR(VLOOKUP($A139,'AAPT ExDa'!$B$2:$U$99, 4,FALSE), IFERROR(VLOOKUP($A139,'ABB ExDa'!$A$2:$N$184, 6,FALSE), IFERROR(VLOOKUP($A139,'Vocus SIT ExDa'!$B$2:$J$173, 3,FALSE), IFERROR(VLOOKUP($A139,'Telstra ExDa'!$B$2:$K$310, 5,FALSE), IFERROR(VLOOKUP($A139,'Vocus RVC ExDa'!$C$2:$R$155, 9,FALSE), IFERROR(VLOOKUP($A139,'Fusion ExDa'!$B$2:$D$16, 0,FALSE), IFERROR(VLOOKUP($A139,'Exetel ExDa'!$C$2:$N$14, 6,FALSE), IFERROR(VLOOKUP($A139,'Infinet ExDa'!$B$2:$E$14, 0,FALSE), "Not Found"))))))))</f>
        <v>FTTB</v>
      </c>
      <c r="G139" t="str">
        <f>IFERROR(VLOOKUP($A139,'AAPT ExDa'!$B$2:$U$99, 5,FALSE), IFERROR(VLOOKUP($A139,'ABB ExDa'!$A$2:$N$184, 8,FALSE), IFERROR(VLOOKUP($A139,'Vocus SIT ExDa'!$B$2:$J$173, 6,FALSE), IFERROR(VLOOKUP($A139,'Telstra ExDa'!$B$2:$K$310, 0,FALSE), IFERROR(VLOOKUP($A139,'Vocus RVC ExDa'!$C$2:$R$155, 15,FALSE), IFERROR(VLOOKUP($A139,'Fusion ExDa'!$B$2:$D$16, 0,FALSE), IFERROR(VLOOKUP($A139,'Exetel ExDa'!$C$2:$N$14, 7,FALSE), IFERROR(VLOOKUP($A139,'Infinet ExDa'!$B$2:$E$14, 0,FALSE), "Not Found"))))))))</f>
        <v>144.6.243.89</v>
      </c>
      <c r="H139" t="str">
        <f>IFERROR(VLOOKUP($A139,'AAPT ExDa'!$B$2:$U$99, 6,FALSE), IFERROR(VLOOKUP($A139,'ABB ExDa'!$A$2:$N$184, 0,FALSE), IFERROR(VLOOKUP($A139,'Vocus SIT ExDa'!$B$2:$J$173, 0,FALSE), IFERROR(VLOOKUP($A139,'Telstra ExDa'!$B$2:$K$310, 0,FALSE), IFERROR(VLOOKUP($A139,'Vocus RVC ExDa'!$C$2:$R$155, 16,FALSE), IFERROR(VLOOKUP($A139,'Fusion ExDa'!$B$2:$D$16, 0,FALSE), IFERROR(VLOOKUP($A139,'Exetel ExDa'!$C$2:$N$14, 0,FALSE), IFERROR(VLOOKUP($A139,'Infinet ExDa'!$B$2:$E$14, 0,FALSE), "Not Found"))))))))</f>
        <v>Not Found</v>
      </c>
      <c r="I139" t="str">
        <f>IFERROR(VLOOKUP($A139,'AAPT ExDa'!$B$2:$U$99, 0,FALSE), IFERROR(VLOOKUP($A139,'ABB ExDa'!$A$2:$N$184, 0,FALSE), IFERROR(VLOOKUP($A139,'Vocus SIT ExDa'!$B$2:$J$173, 0,FALSE), IFERROR(VLOOKUP($A139,'Telstra ExDa'!$B$2:$K$310, 0,FALSE), IFERROR(VLOOKUP($A139,'Vocus RVC ExDa'!$C$2:$R$155, 0,FALSE), IFERROR(VLOOKUP($A139,'Fusion ExDa'!$B$2:$D$16, 0,FALSE), IFERROR(VLOOKUP($A139,'Exetel ExDa'!$C$2:$N$14, 8,FALSE), IFERROR(VLOOKUP($A139,'Infinet ExDa'!$B$2:$E$14, 0,FALSE), "Not Found"))))))))</f>
        <v>Not Found</v>
      </c>
      <c r="J139" t="str">
        <f>IFERROR(VLOOKUP($A139,'AAPT ExDa'!$B$2:$U$99, 7,FALSE), IFERROR(VLOOKUP($A139,'ABB ExDa'!$A$2:$N$184, 2,FALSE), IFERROR(VLOOKUP($A139,'Vocus SIT ExDa'!$B$2:$J$173, 0,FALSE), IFERROR(VLOOKUP($A139,'Telstra ExDa'!$B$2:$K$310, 7,FALSE), IFERROR(VLOOKUP($A139,'Vocus RVC ExDa'!$C$2:$R$155, 2,FALSE), IFERROR(VLOOKUP($A139,'Fusion ExDa'!$B$2:$D$16, 3,FALSE), IFERROR(VLOOKUP($A139,'Exetel ExDa'!$C$2:$N$14, 0,FALSE), IFERROR(VLOOKUP($A139,'Infinet ExDa'!$B$2:$E$14, 0,FALSE), "Not Found"))))))))</f>
        <v>KSK K108, 1151 CREEK RD, CARINDALE QLD</v>
      </c>
      <c r="K139" t="str">
        <f>IFERROR(VLOOKUP($A139,'AAPT ExDa'!$B$2:$U$99, 12,FALSE), IFERROR(VLOOKUP($A139,'ABB ExDa'!$A$2:$N$184, 0,FALSE), IFERROR(VLOOKUP($A139,'Vocus SIT ExDa'!$B$2:$J$173, 0,FALSE), IFERROR(VLOOKUP($A139,'Telstra ExDa'!$B$2:$K$310, 0,FALSE), IFERROR(VLOOKUP($A139,'Vocus RVC ExDa'!$C$2:$R$155, 0,FALSE), IFERROR(VLOOKUP($A139,'Fusion ExDa'!$B$2:$D$16, 0,FALSE), IFERROR(VLOOKUP($A139,'Exetel ExDa'!$C$2:$N$14, 12,FALSE), IFERROR(VLOOKUP($A139,'Infinet ExDa'!$B$2:$E$14, 0,FALSE), "Not Found"))))))))</f>
        <v>Not Found</v>
      </c>
      <c r="L139" s="235" t="str">
        <f>IFERROR(VLOOKUP($A139,'AAPT ExDa'!$B$2:$U$99, 11,FALSE), IFERROR(VLOOKUP($A139,'ABB ExDa'!$A$2:$N$184, 9,FALSE), IFERROR(VLOOKUP($A139,'Vocus SIT ExDa'!$B$2:$J$173, 8,FALSE), IFERROR(VLOOKUP($A139,'Telstra ExDa'!$B$2:$K$310, 0,FALSE), IFERROR(VLOOKUP($A139,'Vocus RVC ExDa'!$C$2:$R$155, 0,FALSE), IFERROR(VLOOKUP($A139,'Fusion ExDa'!$B$2:$D$16, 0,FALSE), IFERROR(VLOOKUP($A139,'Exetel ExDa'!$C$2:$N$14, 9,FALSE), IFERROR(VLOOKUP($A139,'Infinet ExDa'!$B$2:$E$14, 0,FALSE), "Not Found"))))))))</f>
        <v>18 Sept 2024</v>
      </c>
      <c r="M139" s="234" t="str">
        <f>IFERROR(VLOOKUP($A139,'AAPT ExDa'!$B$2:$U$99, 0,FALSE), IFERROR(VLOOKUP($A139,'ABB ExDa'!$A$2:$N$184, 0,FALSE), IFERROR(VLOOKUP($A139,'Vocus SIT ExDa'!$B$2:$J$173, 0,FALSE), IFERROR(VLOOKUP($A139,'Telstra ExDa'!$B$2:$K$310, 0,FALSE), IFERROR(VLOOKUP($A139,'Vocus RVC ExDa'!$C$2:$R$155, 0,FALSE), IFERROR(VLOOKUP($A139,'Fusion ExDa'!$B$2:$D$16, 0,FALSE), IFERROR(VLOOKUP($A139,'Exetel ExDa'!$C$2:$N$14, 11,FALSE), IFERROR(VLOOKUP($A139,'Infinet ExDa'!$B$2:$E$14, 0,FALSE), "Not Found"))))))))</f>
        <v>Not Found</v>
      </c>
      <c r="N139" t="str">
        <f>IFERROR(VLOOKUP($A139,'AAPT ExDa'!$B$2:$U$99, 0,FALSE), IFERROR(VLOOKUP($A139,'ABB ExDa'!$A$2:$N$184, 13,FALSE), IFERROR(VLOOKUP($A139,'Vocus SIT ExDa'!$B$2:$J$173, 0,FALSE), IFERROR(VLOOKUP($A139,'Telstra ExDa'!$B$2:$K$310, 0,FALSE), IFERROR(VLOOKUP($A139,'Vocus RVC ExDa'!$C$2:$R$155, 0,FALSE), IFERROR(VLOOKUP($A139,'Fusion ExDa'!$B$2:$D$16, 0,FALSE), IFERROR(VLOOKUP($A139,'Exetel ExDa'!$C$2:$N$14, 0,FALSE), IFERROR(VLOOKUP($A139,'Infinet ExDa'!$B$2:$E$14, 0,FALSE), "Not Found"))))))))</f>
        <v>TBA</v>
      </c>
    </row>
    <row r="140" spans="1:14">
      <c r="A140" t="str">
        <v>Noma Kensington</v>
      </c>
      <c r="B140" t="str">
        <f>IFERROR(VLOOKUP(A140,'Exetel ExDa'!$C$2:$N$14,4,FALSE),"No Data")</f>
        <v>No Data</v>
      </c>
      <c r="C140" t="str">
        <f>IFERROR(VLOOKUP(A140,'AAPT ExDa'!$B$2:$U$99, 2,FALSE), IFERROR(VLOOKUP(A140,'ABB ExDa'!$A$2:$N$184, 2,FALSE), IFERROR(VLOOKUP(A140,'Vocus SIT ExDa'!$B$2:$J$173, 7,FALSE), IFERROR(VLOOKUP(A140,'Telstra ExDa'!$B$2:$K$310, 2,FALSE), IFERROR(VLOOKUP(A140,'Vocus RVC ExDa'!$C$2:$R$155, 3,FALSE), IFERROR(VLOOKUP(A140,'Fusion ExDa'!$B$2:$D$16, 2,FALSE), IFERROR(VLOOKUP(A140,'Exetel ExDa'!$C$2:$N$14, 2,FALSE), IFERROR(VLOOKUP(A140,'Infinet ExDa'!$B$2:$E$14, 2,FALSE), "Not Found"))))))))</f>
        <v>31 BLACKBEAUTY CT, KENSINGTON QLD</v>
      </c>
      <c r="D140" t="str">
        <f>IFERROR(VLOOKUP($A140,'AAPT ExDa'!$B$2:$U$99, 15,FALSE), IFERROR(VLOOKUP($A140,'ABB ExDa'!$A$2:$N$184, 4,FALSE), IFERROR(VLOOKUP($A140,'Vocus SIT ExDa'!$B$2:$J$173, 5,FALSE), IFERROR(VLOOKUP($A140,'Telstra ExDa'!$B$2:$K$310, 8,FALSE), IFERROR(VLOOKUP($A140,'Vocus RVC ExDa'!$C$2:$R$155, 6,FALSE), IFERROR(VLOOKUP($A140,'Fusion ExDa'!$B$2:$D$16, 4,FALSE), IFERROR(VLOOKUP($A140,'Exetel ExDa'!$C$2:$N$14, 3,FALSE), IFERROR(VLOOKUP($A140,'Infinet ExDa'!$B$2:$E$14, 3,FALSE), "Not Found"))))))))</f>
        <v>ABB</v>
      </c>
      <c r="E140" t="str">
        <f>IFERROR(VLOOKUP($A140,'AAPT ExDa'!$B$2:$U$99, 3,FALSE), IFERROR(VLOOKUP($A140,'ABB ExDa'!$A$2:$N$184, 5,FALSE), IFERROR(VLOOKUP($A140,'Vocus SIT ExDa'!$B$2:$J$173, 2,FALSE), IFERROR(VLOOKUP($A140,'Telstra ExDa'!$B$2:$K$310, 4,FALSE), IFERROR(VLOOKUP($A140,'Vocus RVC ExDa'!$C$2:$R$155, 8,FALSE), IFERROR(VLOOKUP($A140,'Fusion ExDa'!$B$2:$D$16, 4,FALSE), IFERROR(VLOOKUP($A140,'Exetel ExDa'!$C$2:$N$14, 5,FALSE), IFERROR(VLOOKUP($A140,'Infinet ExDa'!$B$2:$E$14, 3,FALSE), "Not Found"))))))))</f>
        <v>NBN 100/20</v>
      </c>
      <c r="F140" t="str">
        <f>IFERROR(VLOOKUP($A140,'AAPT ExDa'!$B$2:$U$99, 4,FALSE), IFERROR(VLOOKUP($A140,'ABB ExDa'!$A$2:$N$184, 6,FALSE), IFERROR(VLOOKUP($A140,'Vocus SIT ExDa'!$B$2:$J$173, 3,FALSE), IFERROR(VLOOKUP($A140,'Telstra ExDa'!$B$2:$K$310, 5,FALSE), IFERROR(VLOOKUP($A140,'Vocus RVC ExDa'!$C$2:$R$155, 9,FALSE), IFERROR(VLOOKUP($A140,'Fusion ExDa'!$B$2:$D$16, 0,FALSE), IFERROR(VLOOKUP($A140,'Exetel ExDa'!$C$2:$N$14, 6,FALSE), IFERROR(VLOOKUP($A140,'Infinet ExDa'!$B$2:$E$14, 0,FALSE), "Not Found"))))))))</f>
        <v>Fixed Wireless</v>
      </c>
      <c r="G140" t="str">
        <f>IFERROR(VLOOKUP($A140,'AAPT ExDa'!$B$2:$U$99, 5,FALSE), IFERROR(VLOOKUP($A140,'ABB ExDa'!$A$2:$N$184, 8,FALSE), IFERROR(VLOOKUP($A140,'Vocus SIT ExDa'!$B$2:$J$173, 6,FALSE), IFERROR(VLOOKUP($A140,'Telstra ExDa'!$B$2:$K$310, 0,FALSE), IFERROR(VLOOKUP($A140,'Vocus RVC ExDa'!$C$2:$R$155, 15,FALSE), IFERROR(VLOOKUP($A140,'Fusion ExDa'!$B$2:$D$16, 0,FALSE), IFERROR(VLOOKUP($A140,'Exetel ExDa'!$C$2:$N$14, 7,FALSE), IFERROR(VLOOKUP($A140,'Infinet ExDa'!$B$2:$E$14, 0,FALSE), "Not Found"))))))))</f>
        <v>159.196.30.85</v>
      </c>
      <c r="H140" t="str">
        <f>IFERROR(VLOOKUP($A140,'AAPT ExDa'!$B$2:$U$99, 6,FALSE), IFERROR(VLOOKUP($A140,'ABB ExDa'!$A$2:$N$184, 0,FALSE), IFERROR(VLOOKUP($A140,'Vocus SIT ExDa'!$B$2:$J$173, 0,FALSE), IFERROR(VLOOKUP($A140,'Telstra ExDa'!$B$2:$K$310, 0,FALSE), IFERROR(VLOOKUP($A140,'Vocus RVC ExDa'!$C$2:$R$155, 16,FALSE), IFERROR(VLOOKUP($A140,'Fusion ExDa'!$B$2:$D$16, 0,FALSE), IFERROR(VLOOKUP($A140,'Exetel ExDa'!$C$2:$N$14, 0,FALSE), IFERROR(VLOOKUP($A140,'Infinet ExDa'!$B$2:$E$14, 0,FALSE), "Not Found"))))))))</f>
        <v>Not Found</v>
      </c>
      <c r="I140" t="str">
        <f>IFERROR(VLOOKUP($A140,'AAPT ExDa'!$B$2:$U$99, 0,FALSE), IFERROR(VLOOKUP($A140,'ABB ExDa'!$A$2:$N$184, 0,FALSE), IFERROR(VLOOKUP($A140,'Vocus SIT ExDa'!$B$2:$J$173, 0,FALSE), IFERROR(VLOOKUP($A140,'Telstra ExDa'!$B$2:$K$310, 0,FALSE), IFERROR(VLOOKUP($A140,'Vocus RVC ExDa'!$C$2:$R$155, 0,FALSE), IFERROR(VLOOKUP($A140,'Fusion ExDa'!$B$2:$D$16, 0,FALSE), IFERROR(VLOOKUP($A140,'Exetel ExDa'!$C$2:$N$14, 8,FALSE), IFERROR(VLOOKUP($A140,'Infinet ExDa'!$B$2:$E$14, 0,FALSE), "Not Found"))))))))</f>
        <v>Not Found</v>
      </c>
      <c r="J140" t="str">
        <f>IFERROR(VLOOKUP($A140,'AAPT ExDa'!$B$2:$U$99, 7,FALSE), IFERROR(VLOOKUP($A140,'ABB ExDa'!$A$2:$N$184, 2,FALSE), IFERROR(VLOOKUP($A140,'Vocus SIT ExDa'!$B$2:$J$173, 0,FALSE), IFERROR(VLOOKUP($A140,'Telstra ExDa'!$B$2:$K$310, 7,FALSE), IFERROR(VLOOKUP($A140,'Vocus RVC ExDa'!$C$2:$R$155, 2,FALSE), IFERROR(VLOOKUP($A140,'Fusion ExDa'!$B$2:$D$16, 3,FALSE), IFERROR(VLOOKUP($A140,'Exetel ExDa'!$C$2:$N$14, 0,FALSE), IFERROR(VLOOKUP($A140,'Infinet ExDa'!$B$2:$E$14, 0,FALSE), "Not Found"))))))))</f>
        <v>31 BLACKBEAUTY CT, KENSINGTON QLD</v>
      </c>
      <c r="K140" t="str">
        <f>IFERROR(VLOOKUP($A140,'AAPT ExDa'!$B$2:$U$99, 12,FALSE), IFERROR(VLOOKUP($A140,'ABB ExDa'!$A$2:$N$184, 0,FALSE), IFERROR(VLOOKUP($A140,'Vocus SIT ExDa'!$B$2:$J$173, 0,FALSE), IFERROR(VLOOKUP($A140,'Telstra ExDa'!$B$2:$K$310, 0,FALSE), IFERROR(VLOOKUP($A140,'Vocus RVC ExDa'!$C$2:$R$155, 0,FALSE), IFERROR(VLOOKUP($A140,'Fusion ExDa'!$B$2:$D$16, 0,FALSE), IFERROR(VLOOKUP($A140,'Exetel ExDa'!$C$2:$N$14, 12,FALSE), IFERROR(VLOOKUP($A140,'Infinet ExDa'!$B$2:$E$14, 0,FALSE), "Not Found"))))))))</f>
        <v>Not Found</v>
      </c>
      <c r="L140" s="235" t="str">
        <f>IFERROR(VLOOKUP($A140,'AAPT ExDa'!$B$2:$U$99, 11,FALSE), IFERROR(VLOOKUP($A140,'ABB ExDa'!$A$2:$N$184, 9,FALSE), IFERROR(VLOOKUP($A140,'Vocus SIT ExDa'!$B$2:$J$173, 8,FALSE), IFERROR(VLOOKUP($A140,'Telstra ExDa'!$B$2:$K$310, 0,FALSE), IFERROR(VLOOKUP($A140,'Vocus RVC ExDa'!$C$2:$R$155, 0,FALSE), IFERROR(VLOOKUP($A140,'Fusion ExDa'!$B$2:$D$16, 0,FALSE), IFERROR(VLOOKUP($A140,'Exetel ExDa'!$C$2:$N$14, 9,FALSE), IFERROR(VLOOKUP($A140,'Infinet ExDa'!$B$2:$E$14, 0,FALSE), "Not Found"))))))))</f>
        <v>28 Jan 2025</v>
      </c>
      <c r="M140" s="234" t="str">
        <f>IFERROR(VLOOKUP($A140,'AAPT ExDa'!$B$2:$U$99, 0,FALSE), IFERROR(VLOOKUP($A140,'ABB ExDa'!$A$2:$N$184, 0,FALSE), IFERROR(VLOOKUP($A140,'Vocus SIT ExDa'!$B$2:$J$173, 0,FALSE), IFERROR(VLOOKUP($A140,'Telstra ExDa'!$B$2:$K$310, 0,FALSE), IFERROR(VLOOKUP($A140,'Vocus RVC ExDa'!$C$2:$R$155, 0,FALSE), IFERROR(VLOOKUP($A140,'Fusion ExDa'!$B$2:$D$16, 0,FALSE), IFERROR(VLOOKUP($A140,'Exetel ExDa'!$C$2:$N$14, 11,FALSE), IFERROR(VLOOKUP($A140,'Infinet ExDa'!$B$2:$E$14, 0,FALSE), "Not Found"))))))))</f>
        <v>Not Found</v>
      </c>
      <c r="N140" t="str">
        <f>IFERROR(VLOOKUP($A140,'AAPT ExDa'!$B$2:$U$99, 0,FALSE), IFERROR(VLOOKUP($A140,'ABB ExDa'!$A$2:$N$184, 13,FALSE), IFERROR(VLOOKUP($A140,'Vocus SIT ExDa'!$B$2:$J$173, 0,FALSE), IFERROR(VLOOKUP($A140,'Telstra ExDa'!$B$2:$K$310, 0,FALSE), IFERROR(VLOOKUP($A140,'Vocus RVC ExDa'!$C$2:$R$155, 0,FALSE), IFERROR(VLOOKUP($A140,'Fusion ExDa'!$B$2:$D$16, 0,FALSE), IFERROR(VLOOKUP($A140,'Exetel ExDa'!$C$2:$N$14, 0,FALSE), IFERROR(VLOOKUP($A140,'Infinet ExDa'!$B$2:$E$14, 0,FALSE), "Not Found"))))))))</f>
        <v>TBA</v>
      </c>
    </row>
    <row r="141" spans="1:14">
      <c r="A141" t="str">
        <v>North Coast Mower Centre/North Coast Mower Centre</v>
      </c>
      <c r="B141" t="str">
        <f>IFERROR(VLOOKUP(A141,'Exetel ExDa'!$C$2:$N$14,4,FALSE),"No Data")</f>
        <v>No Data</v>
      </c>
      <c r="C141" t="str">
        <f>IFERROR(VLOOKUP(A141,'AAPT ExDa'!$B$2:$U$99, 2,FALSE), IFERROR(VLOOKUP(A141,'ABB ExDa'!$A$2:$N$184, 2,FALSE), IFERROR(VLOOKUP(A141,'Vocus SIT ExDa'!$B$2:$J$173, 7,FALSE), IFERROR(VLOOKUP(A141,'Telstra ExDa'!$B$2:$K$310, 2,FALSE), IFERROR(VLOOKUP(A141,'Vocus RVC ExDa'!$C$2:$R$155, 3,FALSE), IFERROR(VLOOKUP(A141,'Fusion ExDa'!$B$2:$D$16, 2,FALSE), IFERROR(VLOOKUP(A141,'Exetel ExDa'!$C$2:$N$14, 2,FALSE), IFERROR(VLOOKUP(A141,'Infinet ExDa'!$B$2:$E$14, 2,FALSE), "Not Found"))))))))</f>
        <v>36 CORONATION AV, NAMBOUR QLD</v>
      </c>
      <c r="D141" t="str">
        <f>IFERROR(VLOOKUP($A141,'AAPT ExDa'!$B$2:$U$99, 15,FALSE), IFERROR(VLOOKUP($A141,'ABB ExDa'!$A$2:$N$184, 4,FALSE), IFERROR(VLOOKUP($A141,'Vocus SIT ExDa'!$B$2:$J$173, 5,FALSE), IFERROR(VLOOKUP($A141,'Telstra ExDa'!$B$2:$K$310, 8,FALSE), IFERROR(VLOOKUP($A141,'Vocus RVC ExDa'!$C$2:$R$155, 6,FALSE), IFERROR(VLOOKUP($A141,'Fusion ExDa'!$B$2:$D$16, 4,FALSE), IFERROR(VLOOKUP($A141,'Exetel ExDa'!$C$2:$N$14, 3,FALSE), IFERROR(VLOOKUP($A141,'Infinet ExDa'!$B$2:$E$14, 3,FALSE), "Not Found"))))))))</f>
        <v>ABB</v>
      </c>
      <c r="E141" t="str">
        <f>IFERROR(VLOOKUP($A141,'AAPT ExDa'!$B$2:$U$99, 3,FALSE), IFERROR(VLOOKUP($A141,'ABB ExDa'!$A$2:$N$184, 5,FALSE), IFERROR(VLOOKUP($A141,'Vocus SIT ExDa'!$B$2:$J$173, 2,FALSE), IFERROR(VLOOKUP($A141,'Telstra ExDa'!$B$2:$K$310, 4,FALSE), IFERROR(VLOOKUP($A141,'Vocus RVC ExDa'!$C$2:$R$155, 8,FALSE), IFERROR(VLOOKUP($A141,'Fusion ExDa'!$B$2:$D$16, 4,FALSE), IFERROR(VLOOKUP($A141,'Exetel ExDa'!$C$2:$N$14, 5,FALSE), IFERROR(VLOOKUP($A141,'Infinet ExDa'!$B$2:$E$14, 3,FALSE), "Not Found"))))))))</f>
        <v>NBN 250/100</v>
      </c>
      <c r="F141" t="str">
        <f>IFERROR(VLOOKUP($A141,'AAPT ExDa'!$B$2:$U$99, 4,FALSE), IFERROR(VLOOKUP($A141,'ABB ExDa'!$A$2:$N$184, 6,FALSE), IFERROR(VLOOKUP($A141,'Vocus SIT ExDa'!$B$2:$J$173, 3,FALSE), IFERROR(VLOOKUP($A141,'Telstra ExDa'!$B$2:$K$310, 5,FALSE), IFERROR(VLOOKUP($A141,'Vocus RVC ExDa'!$C$2:$R$155, 9,FALSE), IFERROR(VLOOKUP($A141,'Fusion ExDa'!$B$2:$D$16, 0,FALSE), IFERROR(VLOOKUP($A141,'Exetel ExDa'!$C$2:$N$14, 6,FALSE), IFERROR(VLOOKUP($A141,'Infinet ExDa'!$B$2:$E$14, 0,FALSE), "Not Found"))))))))</f>
        <v>FIbre</v>
      </c>
      <c r="G141" t="str">
        <f>IFERROR(VLOOKUP($A141,'AAPT ExDa'!$B$2:$U$99, 5,FALSE), IFERROR(VLOOKUP($A141,'ABB ExDa'!$A$2:$N$184, 8,FALSE), IFERROR(VLOOKUP($A141,'Vocus SIT ExDa'!$B$2:$J$173, 6,FALSE), IFERROR(VLOOKUP($A141,'Telstra ExDa'!$B$2:$K$310, 0,FALSE), IFERROR(VLOOKUP($A141,'Vocus RVC ExDa'!$C$2:$R$155, 15,FALSE), IFERROR(VLOOKUP($A141,'Fusion ExDa'!$B$2:$D$16, 0,FALSE), IFERROR(VLOOKUP($A141,'Exetel ExDa'!$C$2:$N$14, 7,FALSE), IFERROR(VLOOKUP($A141,'Infinet ExDa'!$B$2:$E$14, 0,FALSE), "Not Found"))))))))</f>
        <v>180.181.218.156</v>
      </c>
      <c r="H141" t="str">
        <f>IFERROR(VLOOKUP($A141,'AAPT ExDa'!$B$2:$U$99, 6,FALSE), IFERROR(VLOOKUP($A141,'ABB ExDa'!$A$2:$N$184, 0,FALSE), IFERROR(VLOOKUP($A141,'Vocus SIT ExDa'!$B$2:$J$173, 0,FALSE), IFERROR(VLOOKUP($A141,'Telstra ExDa'!$B$2:$K$310, 0,FALSE), IFERROR(VLOOKUP($A141,'Vocus RVC ExDa'!$C$2:$R$155, 16,FALSE), IFERROR(VLOOKUP($A141,'Fusion ExDa'!$B$2:$D$16, 0,FALSE), IFERROR(VLOOKUP($A141,'Exetel ExDa'!$C$2:$N$14, 0,FALSE), IFERROR(VLOOKUP($A141,'Infinet ExDa'!$B$2:$E$14, 0,FALSE), "Not Found"))))))))</f>
        <v>Not Found</v>
      </c>
      <c r="I141" t="str">
        <f>IFERROR(VLOOKUP($A141,'AAPT ExDa'!$B$2:$U$99, 0,FALSE), IFERROR(VLOOKUP($A141,'ABB ExDa'!$A$2:$N$184, 0,FALSE), IFERROR(VLOOKUP($A141,'Vocus SIT ExDa'!$B$2:$J$173, 0,FALSE), IFERROR(VLOOKUP($A141,'Telstra ExDa'!$B$2:$K$310, 0,FALSE), IFERROR(VLOOKUP($A141,'Vocus RVC ExDa'!$C$2:$R$155, 0,FALSE), IFERROR(VLOOKUP($A141,'Fusion ExDa'!$B$2:$D$16, 0,FALSE), IFERROR(VLOOKUP($A141,'Exetel ExDa'!$C$2:$N$14, 8,FALSE), IFERROR(VLOOKUP($A141,'Infinet ExDa'!$B$2:$E$14, 0,FALSE), "Not Found"))))))))</f>
        <v>Not Found</v>
      </c>
      <c r="J141" t="str">
        <f>IFERROR(VLOOKUP($A141,'AAPT ExDa'!$B$2:$U$99, 7,FALSE), IFERROR(VLOOKUP($A141,'ABB ExDa'!$A$2:$N$184, 2,FALSE), IFERROR(VLOOKUP($A141,'Vocus SIT ExDa'!$B$2:$J$173, 0,FALSE), IFERROR(VLOOKUP($A141,'Telstra ExDa'!$B$2:$K$310, 7,FALSE), IFERROR(VLOOKUP($A141,'Vocus RVC ExDa'!$C$2:$R$155, 2,FALSE), IFERROR(VLOOKUP($A141,'Fusion ExDa'!$B$2:$D$16, 3,FALSE), IFERROR(VLOOKUP($A141,'Exetel ExDa'!$C$2:$N$14, 0,FALSE), IFERROR(VLOOKUP($A141,'Infinet ExDa'!$B$2:$E$14, 0,FALSE), "Not Found"))))))))</f>
        <v>36 CORONATION AV, NAMBOUR QLD</v>
      </c>
      <c r="K141" t="str">
        <f>IFERROR(VLOOKUP($A141,'AAPT ExDa'!$B$2:$U$99, 12,FALSE), IFERROR(VLOOKUP($A141,'ABB ExDa'!$A$2:$N$184, 0,FALSE), IFERROR(VLOOKUP($A141,'Vocus SIT ExDa'!$B$2:$J$173, 0,FALSE), IFERROR(VLOOKUP($A141,'Telstra ExDa'!$B$2:$K$310, 0,FALSE), IFERROR(VLOOKUP($A141,'Vocus RVC ExDa'!$C$2:$R$155, 0,FALSE), IFERROR(VLOOKUP($A141,'Fusion ExDa'!$B$2:$D$16, 0,FALSE), IFERROR(VLOOKUP($A141,'Exetel ExDa'!$C$2:$N$14, 12,FALSE), IFERROR(VLOOKUP($A141,'Infinet ExDa'!$B$2:$E$14, 0,FALSE), "Not Found"))))))))</f>
        <v>Not Found</v>
      </c>
      <c r="L141" s="235" t="str">
        <f>IFERROR(VLOOKUP($A141,'AAPT ExDa'!$B$2:$U$99, 11,FALSE), IFERROR(VLOOKUP($A141,'ABB ExDa'!$A$2:$N$184, 9,FALSE), IFERROR(VLOOKUP($A141,'Vocus SIT ExDa'!$B$2:$J$173, 8,FALSE), IFERROR(VLOOKUP($A141,'Telstra ExDa'!$B$2:$K$310, 0,FALSE), IFERROR(VLOOKUP($A141,'Vocus RVC ExDa'!$C$2:$R$155, 0,FALSE), IFERROR(VLOOKUP($A141,'Fusion ExDa'!$B$2:$D$16, 0,FALSE), IFERROR(VLOOKUP($A141,'Exetel ExDa'!$C$2:$N$14, 9,FALSE), IFERROR(VLOOKUP($A141,'Infinet ExDa'!$B$2:$E$14, 0,FALSE), "Not Found"))))))))</f>
        <v>4 Sept 2025</v>
      </c>
      <c r="M141" s="234" t="str">
        <f>IFERROR(VLOOKUP($A141,'AAPT ExDa'!$B$2:$U$99, 0,FALSE), IFERROR(VLOOKUP($A141,'ABB ExDa'!$A$2:$N$184, 0,FALSE), IFERROR(VLOOKUP($A141,'Vocus SIT ExDa'!$B$2:$J$173, 0,FALSE), IFERROR(VLOOKUP($A141,'Telstra ExDa'!$B$2:$K$310, 0,FALSE), IFERROR(VLOOKUP($A141,'Vocus RVC ExDa'!$C$2:$R$155, 0,FALSE), IFERROR(VLOOKUP($A141,'Fusion ExDa'!$B$2:$D$16, 0,FALSE), IFERROR(VLOOKUP($A141,'Exetel ExDa'!$C$2:$N$14, 11,FALSE), IFERROR(VLOOKUP($A141,'Infinet ExDa'!$B$2:$E$14, 0,FALSE), "Not Found"))))))))</f>
        <v>Not Found</v>
      </c>
      <c r="N141" t="str">
        <f>IFERROR(VLOOKUP($A141,'AAPT ExDa'!$B$2:$U$99, 0,FALSE), IFERROR(VLOOKUP($A141,'ABB ExDa'!$A$2:$N$184, 13,FALSE), IFERROR(VLOOKUP($A141,'Vocus SIT ExDa'!$B$2:$J$173, 0,FALSE), IFERROR(VLOOKUP($A141,'Telstra ExDa'!$B$2:$K$310, 0,FALSE), IFERROR(VLOOKUP($A141,'Vocus RVC ExDa'!$C$2:$R$155, 0,FALSE), IFERROR(VLOOKUP($A141,'Fusion ExDa'!$B$2:$D$16, 0,FALSE), IFERROR(VLOOKUP($A141,'Exetel ExDa'!$C$2:$N$14, 0,FALSE), IFERROR(VLOOKUP($A141,'Infinet ExDa'!$B$2:$E$14, 0,FALSE), "Not Found"))))))))</f>
        <v>TBA</v>
      </c>
    </row>
    <row r="142" spans="1:14">
      <c r="A142" t="str">
        <v>Pacific Flooring</v>
      </c>
      <c r="B142" t="str">
        <f>IFERROR(VLOOKUP(A142,'Exetel ExDa'!$C$2:$N$14,4,FALSE),"No Data")</f>
        <v>No Data</v>
      </c>
      <c r="C142" t="str">
        <f>IFERROR(VLOOKUP(A142,'AAPT ExDa'!$B$2:$U$99, 2,FALSE), IFERROR(VLOOKUP(A142,'ABB ExDa'!$A$2:$N$184, 2,FALSE), IFERROR(VLOOKUP(A142,'Vocus SIT ExDa'!$B$2:$J$173, 7,FALSE), IFERROR(VLOOKUP(A142,'Telstra ExDa'!$B$2:$K$310, 2,FALSE), IFERROR(VLOOKUP(A142,'Vocus RVC ExDa'!$C$2:$R$155, 3,FALSE), IFERROR(VLOOKUP(A142,'Fusion ExDa'!$B$2:$D$16, 2,FALSE), IFERROR(VLOOKUP(A142,'Exetel ExDa'!$C$2:$N$14, 2,FALSE), IFERROR(VLOOKUP(A142,'Infinet ExDa'!$B$2:$E$14, 2,FALSE), "Not Found"))))))))</f>
        <v>SHOP 1A, 25 MICHLIN ST, MOOROOKA QLD</v>
      </c>
      <c r="D142" t="str">
        <f>IFERROR(VLOOKUP($A142,'AAPT ExDa'!$B$2:$U$99, 15,FALSE), IFERROR(VLOOKUP($A142,'ABB ExDa'!$A$2:$N$184, 4,FALSE), IFERROR(VLOOKUP($A142,'Vocus SIT ExDa'!$B$2:$J$173, 5,FALSE), IFERROR(VLOOKUP($A142,'Telstra ExDa'!$B$2:$K$310, 8,FALSE), IFERROR(VLOOKUP($A142,'Vocus RVC ExDa'!$C$2:$R$155, 6,FALSE), IFERROR(VLOOKUP($A142,'Fusion ExDa'!$B$2:$D$16, 4,FALSE), IFERROR(VLOOKUP($A142,'Exetel ExDa'!$C$2:$N$14, 3,FALSE), IFERROR(VLOOKUP($A142,'Infinet ExDa'!$B$2:$E$14, 3,FALSE), "Not Found"))))))))</f>
        <v>ABB</v>
      </c>
      <c r="E142" t="str">
        <f>IFERROR(VLOOKUP($A142,'AAPT ExDa'!$B$2:$U$99, 3,FALSE), IFERROR(VLOOKUP($A142,'ABB ExDa'!$A$2:$N$184, 5,FALSE), IFERROR(VLOOKUP($A142,'Vocus SIT ExDa'!$B$2:$J$173, 2,FALSE), IFERROR(VLOOKUP($A142,'Telstra ExDa'!$B$2:$K$310, 4,FALSE), IFERROR(VLOOKUP($A142,'Vocus RVC ExDa'!$C$2:$R$155, 8,FALSE), IFERROR(VLOOKUP($A142,'Fusion ExDa'!$B$2:$D$16, 4,FALSE), IFERROR(VLOOKUP($A142,'Exetel ExDa'!$C$2:$N$14, 5,FALSE), IFERROR(VLOOKUP($A142,'Infinet ExDa'!$B$2:$E$14, 3,FALSE), "Not Found"))))))))</f>
        <v>NBN 100/40</v>
      </c>
      <c r="F142" t="str">
        <f>IFERROR(VLOOKUP($A142,'AAPT ExDa'!$B$2:$U$99, 4,FALSE), IFERROR(VLOOKUP($A142,'ABB ExDa'!$A$2:$N$184, 6,FALSE), IFERROR(VLOOKUP($A142,'Vocus SIT ExDa'!$B$2:$J$173, 3,FALSE), IFERROR(VLOOKUP($A142,'Telstra ExDa'!$B$2:$K$310, 5,FALSE), IFERROR(VLOOKUP($A142,'Vocus RVC ExDa'!$C$2:$R$155, 9,FALSE), IFERROR(VLOOKUP($A142,'Fusion ExDa'!$B$2:$D$16, 0,FALSE), IFERROR(VLOOKUP($A142,'Exetel ExDa'!$C$2:$N$14, 6,FALSE), IFERROR(VLOOKUP($A142,'Infinet ExDa'!$B$2:$E$14, 0,FALSE), "Not Found"))))))))</f>
        <v>HFC</v>
      </c>
      <c r="G142" t="str">
        <f>IFERROR(VLOOKUP($A142,'AAPT ExDa'!$B$2:$U$99, 5,FALSE), IFERROR(VLOOKUP($A142,'ABB ExDa'!$A$2:$N$184, 8,FALSE), IFERROR(VLOOKUP($A142,'Vocus SIT ExDa'!$B$2:$J$173, 6,FALSE), IFERROR(VLOOKUP($A142,'Telstra ExDa'!$B$2:$K$310, 0,FALSE), IFERROR(VLOOKUP($A142,'Vocus RVC ExDa'!$C$2:$R$155, 15,FALSE), IFERROR(VLOOKUP($A142,'Fusion ExDa'!$B$2:$D$16, 0,FALSE), IFERROR(VLOOKUP($A142,'Exetel ExDa'!$C$2:$N$14, 7,FALSE), IFERROR(VLOOKUP($A142,'Infinet ExDa'!$B$2:$E$14, 0,FALSE), "Not Found"))))))))</f>
        <v>159.196.5.59</v>
      </c>
      <c r="H142" t="str">
        <f>IFERROR(VLOOKUP($A142,'AAPT ExDa'!$B$2:$U$99, 6,FALSE), IFERROR(VLOOKUP($A142,'ABB ExDa'!$A$2:$N$184, 0,FALSE), IFERROR(VLOOKUP($A142,'Vocus SIT ExDa'!$B$2:$J$173, 0,FALSE), IFERROR(VLOOKUP($A142,'Telstra ExDa'!$B$2:$K$310, 0,FALSE), IFERROR(VLOOKUP($A142,'Vocus RVC ExDa'!$C$2:$R$155, 16,FALSE), IFERROR(VLOOKUP($A142,'Fusion ExDa'!$B$2:$D$16, 0,FALSE), IFERROR(VLOOKUP($A142,'Exetel ExDa'!$C$2:$N$14, 0,FALSE), IFERROR(VLOOKUP($A142,'Infinet ExDa'!$B$2:$E$14, 0,FALSE), "Not Found"))))))))</f>
        <v>Not Found</v>
      </c>
      <c r="I142" t="str">
        <f>IFERROR(VLOOKUP($A142,'AAPT ExDa'!$B$2:$U$99, 0,FALSE), IFERROR(VLOOKUP($A142,'ABB ExDa'!$A$2:$N$184, 0,FALSE), IFERROR(VLOOKUP($A142,'Vocus SIT ExDa'!$B$2:$J$173, 0,FALSE), IFERROR(VLOOKUP($A142,'Telstra ExDa'!$B$2:$K$310, 0,FALSE), IFERROR(VLOOKUP($A142,'Vocus RVC ExDa'!$C$2:$R$155, 0,FALSE), IFERROR(VLOOKUP($A142,'Fusion ExDa'!$B$2:$D$16, 0,FALSE), IFERROR(VLOOKUP($A142,'Exetel ExDa'!$C$2:$N$14, 8,FALSE), IFERROR(VLOOKUP($A142,'Infinet ExDa'!$B$2:$E$14, 0,FALSE), "Not Found"))))))))</f>
        <v>Not Found</v>
      </c>
      <c r="J142" t="str">
        <f>IFERROR(VLOOKUP($A142,'AAPT ExDa'!$B$2:$U$99, 7,FALSE), IFERROR(VLOOKUP($A142,'ABB ExDa'!$A$2:$N$184, 2,FALSE), IFERROR(VLOOKUP($A142,'Vocus SIT ExDa'!$B$2:$J$173, 0,FALSE), IFERROR(VLOOKUP($A142,'Telstra ExDa'!$B$2:$K$310, 7,FALSE), IFERROR(VLOOKUP($A142,'Vocus RVC ExDa'!$C$2:$R$155, 2,FALSE), IFERROR(VLOOKUP($A142,'Fusion ExDa'!$B$2:$D$16, 3,FALSE), IFERROR(VLOOKUP($A142,'Exetel ExDa'!$C$2:$N$14, 0,FALSE), IFERROR(VLOOKUP($A142,'Infinet ExDa'!$B$2:$E$14, 0,FALSE), "Not Found"))))))))</f>
        <v>SHOP 1A, 25 MICHLIN ST, MOOROOKA QLD</v>
      </c>
      <c r="K142" t="str">
        <f>IFERROR(VLOOKUP($A142,'AAPT ExDa'!$B$2:$U$99, 12,FALSE), IFERROR(VLOOKUP($A142,'ABB ExDa'!$A$2:$N$184, 0,FALSE), IFERROR(VLOOKUP($A142,'Vocus SIT ExDa'!$B$2:$J$173, 0,FALSE), IFERROR(VLOOKUP($A142,'Telstra ExDa'!$B$2:$K$310, 0,FALSE), IFERROR(VLOOKUP($A142,'Vocus RVC ExDa'!$C$2:$R$155, 0,FALSE), IFERROR(VLOOKUP($A142,'Fusion ExDa'!$B$2:$D$16, 0,FALSE), IFERROR(VLOOKUP($A142,'Exetel ExDa'!$C$2:$N$14, 12,FALSE), IFERROR(VLOOKUP($A142,'Infinet ExDa'!$B$2:$E$14, 0,FALSE), "Not Found"))))))))</f>
        <v>Not Found</v>
      </c>
      <c r="L142" s="235" t="str">
        <f>IFERROR(VLOOKUP($A142,'AAPT ExDa'!$B$2:$U$99, 11,FALSE), IFERROR(VLOOKUP($A142,'ABB ExDa'!$A$2:$N$184, 9,FALSE), IFERROR(VLOOKUP($A142,'Vocus SIT ExDa'!$B$2:$J$173, 8,FALSE), IFERROR(VLOOKUP($A142,'Telstra ExDa'!$B$2:$K$310, 0,FALSE), IFERROR(VLOOKUP($A142,'Vocus RVC ExDa'!$C$2:$R$155, 0,FALSE), IFERROR(VLOOKUP($A142,'Fusion ExDa'!$B$2:$D$16, 0,FALSE), IFERROR(VLOOKUP($A142,'Exetel ExDa'!$C$2:$N$14, 9,FALSE), IFERROR(VLOOKUP($A142,'Infinet ExDa'!$B$2:$E$14, 0,FALSE), "Not Found"))))))))</f>
        <v>22 Feb 2023</v>
      </c>
      <c r="M142" s="234" t="str">
        <f>IFERROR(VLOOKUP($A142,'AAPT ExDa'!$B$2:$U$99, 0,FALSE), IFERROR(VLOOKUP($A142,'ABB ExDa'!$A$2:$N$184, 0,FALSE), IFERROR(VLOOKUP($A142,'Vocus SIT ExDa'!$B$2:$J$173, 0,FALSE), IFERROR(VLOOKUP($A142,'Telstra ExDa'!$B$2:$K$310, 0,FALSE), IFERROR(VLOOKUP($A142,'Vocus RVC ExDa'!$C$2:$R$155, 0,FALSE), IFERROR(VLOOKUP($A142,'Fusion ExDa'!$B$2:$D$16, 0,FALSE), IFERROR(VLOOKUP($A142,'Exetel ExDa'!$C$2:$N$14, 11,FALSE), IFERROR(VLOOKUP($A142,'Infinet ExDa'!$B$2:$E$14, 0,FALSE), "Not Found"))))))))</f>
        <v>Not Found</v>
      </c>
      <c r="N142" t="str">
        <f>IFERROR(VLOOKUP($A142,'AAPT ExDa'!$B$2:$U$99, 0,FALSE), IFERROR(VLOOKUP($A142,'ABB ExDa'!$A$2:$N$184, 13,FALSE), IFERROR(VLOOKUP($A142,'Vocus SIT ExDa'!$B$2:$J$173, 0,FALSE), IFERROR(VLOOKUP($A142,'Telstra ExDa'!$B$2:$K$310, 0,FALSE), IFERROR(VLOOKUP($A142,'Vocus RVC ExDa'!$C$2:$R$155, 0,FALSE), IFERROR(VLOOKUP($A142,'Fusion ExDa'!$B$2:$D$16, 0,FALSE), IFERROR(VLOOKUP($A142,'Exetel ExDa'!$C$2:$N$14, 0,FALSE), IFERROR(VLOOKUP($A142,'Infinet ExDa'!$B$2:$E$14, 0,FALSE), "Not Found"))))))))</f>
        <v>TBA</v>
      </c>
    </row>
    <row r="143" spans="1:14">
      <c r="A143" t="str">
        <v>PD Capital</v>
      </c>
      <c r="B143" t="str">
        <f>IFERROR(VLOOKUP(A143,'Exetel ExDa'!$C$2:$N$14,4,FALSE),"No Data")</f>
        <v>No Data</v>
      </c>
      <c r="C143" t="str">
        <f>IFERROR(VLOOKUP(A143,'AAPT ExDa'!$B$2:$U$99, 2,FALSE), IFERROR(VLOOKUP(A143,'ABB ExDa'!$A$2:$N$184, 2,FALSE), IFERROR(VLOOKUP(A143,'Vocus SIT ExDa'!$B$2:$J$173, 7,FALSE), IFERROR(VLOOKUP(A143,'Telstra ExDa'!$B$2:$K$310, 2,FALSE), IFERROR(VLOOKUP(A143,'Vocus RVC ExDa'!$C$2:$R$155, 3,FALSE), IFERROR(VLOOKUP(A143,'Fusion ExDa'!$B$2:$D$16, 2,FALSE), IFERROR(VLOOKUP(A143,'Exetel ExDa'!$C$2:$N$14, 2,FALSE), IFERROR(VLOOKUP(A143,'Infinet ExDa'!$B$2:$E$14, 2,FALSE), "Not Found"))))))))</f>
        <v>SE 7C, 307 QUEEN ST, BRISBANE CITY QLD</v>
      </c>
      <c r="D143" t="str">
        <f>IFERROR(VLOOKUP($A143,'AAPT ExDa'!$B$2:$U$99, 15,FALSE), IFERROR(VLOOKUP($A143,'ABB ExDa'!$A$2:$N$184, 4,FALSE), IFERROR(VLOOKUP($A143,'Vocus SIT ExDa'!$B$2:$J$173, 5,FALSE), IFERROR(VLOOKUP($A143,'Telstra ExDa'!$B$2:$K$310, 8,FALSE), IFERROR(VLOOKUP($A143,'Vocus RVC ExDa'!$C$2:$R$155, 6,FALSE), IFERROR(VLOOKUP($A143,'Fusion ExDa'!$B$2:$D$16, 4,FALSE), IFERROR(VLOOKUP($A143,'Exetel ExDa'!$C$2:$N$14, 3,FALSE), IFERROR(VLOOKUP($A143,'Infinet ExDa'!$B$2:$E$14, 3,FALSE), "Not Found"))))))))</f>
        <v>ABB</v>
      </c>
      <c r="E143" t="str">
        <f>IFERROR(VLOOKUP($A143,'AAPT ExDa'!$B$2:$U$99, 3,FALSE), IFERROR(VLOOKUP($A143,'ABB ExDa'!$A$2:$N$184, 5,FALSE), IFERROR(VLOOKUP($A143,'Vocus SIT ExDa'!$B$2:$J$173, 2,FALSE), IFERROR(VLOOKUP($A143,'Telstra ExDa'!$B$2:$K$310, 4,FALSE), IFERROR(VLOOKUP($A143,'Vocus RVC ExDa'!$C$2:$R$155, 8,FALSE), IFERROR(VLOOKUP($A143,'Fusion ExDa'!$B$2:$D$16, 4,FALSE), IFERROR(VLOOKUP($A143,'Exetel ExDa'!$C$2:$N$14, 5,FALSE), IFERROR(VLOOKUP($A143,'Infinet ExDa'!$B$2:$E$14, 3,FALSE), "Not Found"))))))))</f>
        <v>NBN 100/40</v>
      </c>
      <c r="F143" t="str">
        <f>IFERROR(VLOOKUP($A143,'AAPT ExDa'!$B$2:$U$99, 4,FALSE), IFERROR(VLOOKUP($A143,'ABB ExDa'!$A$2:$N$184, 6,FALSE), IFERROR(VLOOKUP($A143,'Vocus SIT ExDa'!$B$2:$J$173, 3,FALSE), IFERROR(VLOOKUP($A143,'Telstra ExDa'!$B$2:$K$310, 5,FALSE), IFERROR(VLOOKUP($A143,'Vocus RVC ExDa'!$C$2:$R$155, 9,FALSE), IFERROR(VLOOKUP($A143,'Fusion ExDa'!$B$2:$D$16, 0,FALSE), IFERROR(VLOOKUP($A143,'Exetel ExDa'!$C$2:$N$14, 6,FALSE), IFERROR(VLOOKUP($A143,'Infinet ExDa'!$B$2:$E$14, 0,FALSE), "Not Found"))))))))</f>
        <v>FTTB</v>
      </c>
      <c r="G143" t="str">
        <f>IFERROR(VLOOKUP($A143,'AAPT ExDa'!$B$2:$U$99, 5,FALSE), IFERROR(VLOOKUP($A143,'ABB ExDa'!$A$2:$N$184, 8,FALSE), IFERROR(VLOOKUP($A143,'Vocus SIT ExDa'!$B$2:$J$173, 6,FALSE), IFERROR(VLOOKUP($A143,'Telstra ExDa'!$B$2:$K$310, 0,FALSE), IFERROR(VLOOKUP($A143,'Vocus RVC ExDa'!$C$2:$R$155, 15,FALSE), IFERROR(VLOOKUP($A143,'Fusion ExDa'!$B$2:$D$16, 0,FALSE), IFERROR(VLOOKUP($A143,'Exetel ExDa'!$C$2:$N$14, 7,FALSE), IFERROR(VLOOKUP($A143,'Infinet ExDa'!$B$2:$E$14, 0,FALSE), "Not Found"))))))))</f>
        <v>144.6.245.67</v>
      </c>
      <c r="H143" t="str">
        <f>IFERROR(VLOOKUP($A143,'AAPT ExDa'!$B$2:$U$99, 6,FALSE), IFERROR(VLOOKUP($A143,'ABB ExDa'!$A$2:$N$184, 0,FALSE), IFERROR(VLOOKUP($A143,'Vocus SIT ExDa'!$B$2:$J$173, 0,FALSE), IFERROR(VLOOKUP($A143,'Telstra ExDa'!$B$2:$K$310, 0,FALSE), IFERROR(VLOOKUP($A143,'Vocus RVC ExDa'!$C$2:$R$155, 16,FALSE), IFERROR(VLOOKUP($A143,'Fusion ExDa'!$B$2:$D$16, 0,FALSE), IFERROR(VLOOKUP($A143,'Exetel ExDa'!$C$2:$N$14, 0,FALSE), IFERROR(VLOOKUP($A143,'Infinet ExDa'!$B$2:$E$14, 0,FALSE), "Not Found"))))))))</f>
        <v>Not Found</v>
      </c>
      <c r="I143" t="str">
        <f>IFERROR(VLOOKUP($A143,'AAPT ExDa'!$B$2:$U$99, 0,FALSE), IFERROR(VLOOKUP($A143,'ABB ExDa'!$A$2:$N$184, 0,FALSE), IFERROR(VLOOKUP($A143,'Vocus SIT ExDa'!$B$2:$J$173, 0,FALSE), IFERROR(VLOOKUP($A143,'Telstra ExDa'!$B$2:$K$310, 0,FALSE), IFERROR(VLOOKUP($A143,'Vocus RVC ExDa'!$C$2:$R$155, 0,FALSE), IFERROR(VLOOKUP($A143,'Fusion ExDa'!$B$2:$D$16, 0,FALSE), IFERROR(VLOOKUP($A143,'Exetel ExDa'!$C$2:$N$14, 8,FALSE), IFERROR(VLOOKUP($A143,'Infinet ExDa'!$B$2:$E$14, 0,FALSE), "Not Found"))))))))</f>
        <v>Not Found</v>
      </c>
      <c r="J143" t="str">
        <f>IFERROR(VLOOKUP($A143,'AAPT ExDa'!$B$2:$U$99, 7,FALSE), IFERROR(VLOOKUP($A143,'ABB ExDa'!$A$2:$N$184, 2,FALSE), IFERROR(VLOOKUP($A143,'Vocus SIT ExDa'!$B$2:$J$173, 0,FALSE), IFERROR(VLOOKUP($A143,'Telstra ExDa'!$B$2:$K$310, 7,FALSE), IFERROR(VLOOKUP($A143,'Vocus RVC ExDa'!$C$2:$R$155, 2,FALSE), IFERROR(VLOOKUP($A143,'Fusion ExDa'!$B$2:$D$16, 3,FALSE), IFERROR(VLOOKUP($A143,'Exetel ExDa'!$C$2:$N$14, 0,FALSE), IFERROR(VLOOKUP($A143,'Infinet ExDa'!$B$2:$E$14, 0,FALSE), "Not Found"))))))))</f>
        <v>SE 7C, 307 QUEEN ST, BRISBANE CITY QLD</v>
      </c>
      <c r="K143" t="str">
        <f>IFERROR(VLOOKUP($A143,'AAPT ExDa'!$B$2:$U$99, 12,FALSE), IFERROR(VLOOKUP($A143,'ABB ExDa'!$A$2:$N$184, 0,FALSE), IFERROR(VLOOKUP($A143,'Vocus SIT ExDa'!$B$2:$J$173, 0,FALSE), IFERROR(VLOOKUP($A143,'Telstra ExDa'!$B$2:$K$310, 0,FALSE), IFERROR(VLOOKUP($A143,'Vocus RVC ExDa'!$C$2:$R$155, 0,FALSE), IFERROR(VLOOKUP($A143,'Fusion ExDa'!$B$2:$D$16, 0,FALSE), IFERROR(VLOOKUP($A143,'Exetel ExDa'!$C$2:$N$14, 12,FALSE), IFERROR(VLOOKUP($A143,'Infinet ExDa'!$B$2:$E$14, 0,FALSE), "Not Found"))))))))</f>
        <v>Not Found</v>
      </c>
      <c r="L143" s="235" t="str">
        <f>IFERROR(VLOOKUP($A143,'AAPT ExDa'!$B$2:$U$99, 11,FALSE), IFERROR(VLOOKUP($A143,'ABB ExDa'!$A$2:$N$184, 9,FALSE), IFERROR(VLOOKUP($A143,'Vocus SIT ExDa'!$B$2:$J$173, 8,FALSE), IFERROR(VLOOKUP($A143,'Telstra ExDa'!$B$2:$K$310, 0,FALSE), IFERROR(VLOOKUP($A143,'Vocus RVC ExDa'!$C$2:$R$155, 0,FALSE), IFERROR(VLOOKUP($A143,'Fusion ExDa'!$B$2:$D$16, 0,FALSE), IFERROR(VLOOKUP($A143,'Exetel ExDa'!$C$2:$N$14, 9,FALSE), IFERROR(VLOOKUP($A143,'Infinet ExDa'!$B$2:$E$14, 0,FALSE), "Not Found"))))))))</f>
        <v>23 May 2025</v>
      </c>
      <c r="M143" s="234" t="str">
        <f>IFERROR(VLOOKUP($A143,'AAPT ExDa'!$B$2:$U$99, 0,FALSE), IFERROR(VLOOKUP($A143,'ABB ExDa'!$A$2:$N$184, 0,FALSE), IFERROR(VLOOKUP($A143,'Vocus SIT ExDa'!$B$2:$J$173, 0,FALSE), IFERROR(VLOOKUP($A143,'Telstra ExDa'!$B$2:$K$310, 0,FALSE), IFERROR(VLOOKUP($A143,'Vocus RVC ExDa'!$C$2:$R$155, 0,FALSE), IFERROR(VLOOKUP($A143,'Fusion ExDa'!$B$2:$D$16, 0,FALSE), IFERROR(VLOOKUP($A143,'Exetel ExDa'!$C$2:$N$14, 11,FALSE), IFERROR(VLOOKUP($A143,'Infinet ExDa'!$B$2:$E$14, 0,FALSE), "Not Found"))))))))</f>
        <v>Not Found</v>
      </c>
      <c r="N143" t="str">
        <f>IFERROR(VLOOKUP($A143,'AAPT ExDa'!$B$2:$U$99, 0,FALSE), IFERROR(VLOOKUP($A143,'ABB ExDa'!$A$2:$N$184, 13,FALSE), IFERROR(VLOOKUP($A143,'Vocus SIT ExDa'!$B$2:$J$173, 0,FALSE), IFERROR(VLOOKUP($A143,'Telstra ExDa'!$B$2:$K$310, 0,FALSE), IFERROR(VLOOKUP($A143,'Vocus RVC ExDa'!$C$2:$R$155, 0,FALSE), IFERROR(VLOOKUP($A143,'Fusion ExDa'!$B$2:$D$16, 0,FALSE), IFERROR(VLOOKUP($A143,'Exetel ExDa'!$C$2:$N$14, 0,FALSE), IFERROR(VLOOKUP($A143,'Infinet ExDa'!$B$2:$E$14, 0,FALSE), "Not Found"))))))))</f>
        <v>Sasboss</v>
      </c>
    </row>
    <row r="144" spans="1:14">
      <c r="A144" t="str">
        <v>Promogear</v>
      </c>
      <c r="B144" t="str">
        <f>IFERROR(VLOOKUP(A144,'Exetel ExDa'!$C$2:$N$14,4,FALSE),"No Data")</f>
        <v>No Data</v>
      </c>
      <c r="C144">
        <f>IFERROR(VLOOKUP(A144,'AAPT ExDa'!$B$2:$U$99, 2,FALSE), IFERROR(VLOOKUP(A144,'ABB ExDa'!$A$2:$N$184, 2,FALSE), IFERROR(VLOOKUP(A144,'Vocus SIT ExDa'!$B$2:$J$173, 7,FALSE), IFERROR(VLOOKUP(A144,'Telstra ExDa'!$B$2:$K$310, 2,FALSE), IFERROR(VLOOKUP(A144,'Vocus RVC ExDa'!$C$2:$R$155, 3,FALSE), IFERROR(VLOOKUP(A144,'Fusion ExDa'!$B$2:$D$16, 2,FALSE), IFERROR(VLOOKUP(A144,'Exetel ExDa'!$C$2:$N$14, 2,FALSE), IFERROR(VLOOKUP(A144,'Infinet ExDa'!$B$2:$E$14, 2,FALSE), "Not Found"))))))))</f>
        <v>0</v>
      </c>
      <c r="D144" t="str">
        <f>IFERROR(VLOOKUP($A144,'AAPT ExDa'!$B$2:$U$99, 15,FALSE), IFERROR(VLOOKUP($A144,'ABB ExDa'!$A$2:$N$184, 4,FALSE), IFERROR(VLOOKUP($A144,'Vocus SIT ExDa'!$B$2:$J$173, 5,FALSE), IFERROR(VLOOKUP($A144,'Telstra ExDa'!$B$2:$K$310, 8,FALSE), IFERROR(VLOOKUP($A144,'Vocus RVC ExDa'!$C$2:$R$155, 6,FALSE), IFERROR(VLOOKUP($A144,'Fusion ExDa'!$B$2:$D$16, 4,FALSE), IFERROR(VLOOKUP($A144,'Exetel ExDa'!$C$2:$N$14, 3,FALSE), IFERROR(VLOOKUP($A144,'Infinet ExDa'!$B$2:$E$14, 3,FALSE), "Not Found"))))))))</f>
        <v>AAPT</v>
      </c>
      <c r="E144" t="str">
        <f>IFERROR(VLOOKUP($A144,'AAPT ExDa'!$B$2:$U$99, 3,FALSE), IFERROR(VLOOKUP($A144,'ABB ExDa'!$A$2:$N$184, 5,FALSE), IFERROR(VLOOKUP($A144,'Vocus SIT ExDa'!$B$2:$J$173, 2,FALSE), IFERROR(VLOOKUP($A144,'Telstra ExDa'!$B$2:$K$310, 4,FALSE), IFERROR(VLOOKUP($A144,'Vocus RVC ExDa'!$C$2:$R$155, 8,FALSE), IFERROR(VLOOKUP($A144,'Fusion ExDa'!$B$2:$D$16, 4,FALSE), IFERROR(VLOOKUP($A144,'Exetel ExDa'!$C$2:$N$14, 5,FALSE), IFERROR(VLOOKUP($A144,'Infinet ExDa'!$B$2:$E$14, 3,FALSE), "Not Found"))))))))</f>
        <v>IP-Line</v>
      </c>
      <c r="F144" t="str">
        <f>IFERROR(VLOOKUP($A144,'AAPT ExDa'!$B$2:$U$99, 4,FALSE), IFERROR(VLOOKUP($A144,'ABB ExDa'!$A$2:$N$184, 6,FALSE), IFERROR(VLOOKUP($A144,'Vocus SIT ExDa'!$B$2:$J$173, 3,FALSE), IFERROR(VLOOKUP($A144,'Telstra ExDa'!$B$2:$K$310, 5,FALSE), IFERROR(VLOOKUP($A144,'Vocus RVC ExDa'!$C$2:$R$155, 9,FALSE), IFERROR(VLOOKUP($A144,'Fusion ExDa'!$B$2:$D$16, 0,FALSE), IFERROR(VLOOKUP($A144,'Exetel ExDa'!$C$2:$N$14, 6,FALSE), IFERROR(VLOOKUP($A144,'Infinet ExDa'!$B$2:$E$14, 0,FALSE), "Not Found"))))))))</f>
        <v>IP-Line</v>
      </c>
      <c r="G144">
        <f>IFERROR(VLOOKUP($A144,'AAPT ExDa'!$B$2:$U$99, 5,FALSE), IFERROR(VLOOKUP($A144,'ABB ExDa'!$A$2:$N$184, 8,FALSE), IFERROR(VLOOKUP($A144,'Vocus SIT ExDa'!$B$2:$J$173, 6,FALSE), IFERROR(VLOOKUP($A144,'Telstra ExDa'!$B$2:$K$310, 0,FALSE), IFERROR(VLOOKUP($A144,'Vocus RVC ExDa'!$C$2:$R$155, 15,FALSE), IFERROR(VLOOKUP($A144,'Fusion ExDa'!$B$2:$D$16, 0,FALSE), IFERROR(VLOOKUP($A144,'Exetel ExDa'!$C$2:$N$14, 7,FALSE), IFERROR(VLOOKUP($A144,'Infinet ExDa'!$B$2:$E$14, 0,FALSE), "Not Found"))))))))</f>
        <v>0</v>
      </c>
      <c r="H144">
        <f>IFERROR(VLOOKUP($A144,'AAPT ExDa'!$B$2:$U$99, 6,FALSE), IFERROR(VLOOKUP($A144,'ABB ExDa'!$A$2:$N$184, 0,FALSE), IFERROR(VLOOKUP($A144,'Vocus SIT ExDa'!$B$2:$J$173, 0,FALSE), IFERROR(VLOOKUP($A144,'Telstra ExDa'!$B$2:$K$310, 0,FALSE), IFERROR(VLOOKUP($A144,'Vocus RVC ExDa'!$C$2:$R$155, 16,FALSE), IFERROR(VLOOKUP($A144,'Fusion ExDa'!$B$2:$D$16, 0,FALSE), IFERROR(VLOOKUP($A144,'Exetel ExDa'!$C$2:$N$14, 0,FALSE), IFERROR(VLOOKUP($A144,'Infinet ExDa'!$B$2:$E$14, 0,FALSE), "Not Found"))))))))</f>
        <v>0</v>
      </c>
      <c r="I144" t="str">
        <f>IFERROR(VLOOKUP($A144,'AAPT ExDa'!$B$2:$U$99, 0,FALSE), IFERROR(VLOOKUP($A144,'ABB ExDa'!$A$2:$N$184, 0,FALSE), IFERROR(VLOOKUP($A144,'Vocus SIT ExDa'!$B$2:$J$173, 0,FALSE), IFERROR(VLOOKUP($A144,'Telstra ExDa'!$B$2:$K$310, 0,FALSE), IFERROR(VLOOKUP($A144,'Vocus RVC ExDa'!$C$2:$R$155, 0,FALSE), IFERROR(VLOOKUP($A144,'Fusion ExDa'!$B$2:$D$16, 0,FALSE), IFERROR(VLOOKUP($A144,'Exetel ExDa'!$C$2:$N$14, 8,FALSE), IFERROR(VLOOKUP($A144,'Infinet ExDa'!$B$2:$E$14, 0,FALSE), "Not Found"))))))))</f>
        <v>Not Found</v>
      </c>
      <c r="J144">
        <f>IFERROR(VLOOKUP($A144,'AAPT ExDa'!$B$2:$U$99, 7,FALSE), IFERROR(VLOOKUP($A144,'ABB ExDa'!$A$2:$N$184, 2,FALSE), IFERROR(VLOOKUP($A144,'Vocus SIT ExDa'!$B$2:$J$173, 0,FALSE), IFERROR(VLOOKUP($A144,'Telstra ExDa'!$B$2:$K$310, 7,FALSE), IFERROR(VLOOKUP($A144,'Vocus RVC ExDa'!$C$2:$R$155, 2,FALSE), IFERROR(VLOOKUP($A144,'Fusion ExDa'!$B$2:$D$16, 3,FALSE), IFERROR(VLOOKUP($A144,'Exetel ExDa'!$C$2:$N$14, 0,FALSE), IFERROR(VLOOKUP($A144,'Infinet ExDa'!$B$2:$E$14, 0,FALSE), "Not Found"))))))))</f>
        <v>0</v>
      </c>
      <c r="K144" t="str">
        <f>IFERROR(VLOOKUP($A144,'AAPT ExDa'!$B$2:$U$99, 12,FALSE), IFERROR(VLOOKUP($A144,'ABB ExDa'!$A$2:$N$184, 0,FALSE), IFERROR(VLOOKUP($A144,'Vocus SIT ExDa'!$B$2:$J$173, 0,FALSE), IFERROR(VLOOKUP($A144,'Telstra ExDa'!$B$2:$K$310, 0,FALSE), IFERROR(VLOOKUP($A144,'Vocus RVC ExDa'!$C$2:$R$155, 0,FALSE), IFERROR(VLOOKUP($A144,'Fusion ExDa'!$B$2:$D$16, 0,FALSE), IFERROR(VLOOKUP($A144,'Exetel ExDa'!$C$2:$N$14, 12,FALSE), IFERROR(VLOOKUP($A144,'Infinet ExDa'!$B$2:$E$14, 0,FALSE), "Not Found"))))))))</f>
        <v>12 Months</v>
      </c>
      <c r="L144" s="235" t="str">
        <f>IFERROR(VLOOKUP($A144,'AAPT ExDa'!$B$2:$U$99, 11,FALSE), IFERROR(VLOOKUP($A144,'ABB ExDa'!$A$2:$N$184, 9,FALSE), IFERROR(VLOOKUP($A144,'Vocus SIT ExDa'!$B$2:$J$173, 8,FALSE), IFERROR(VLOOKUP($A144,'Telstra ExDa'!$B$2:$K$310, 0,FALSE), IFERROR(VLOOKUP($A144,'Vocus RVC ExDa'!$C$2:$R$155, 0,FALSE), IFERROR(VLOOKUP($A144,'Fusion ExDa'!$B$2:$D$16, 0,FALSE), IFERROR(VLOOKUP($A144,'Exetel ExDa'!$C$2:$N$14, 9,FALSE), IFERROR(VLOOKUP($A144,'Infinet ExDa'!$B$2:$E$14, 0,FALSE), "Not Found"))))))))</f>
        <v>15/06/2021</v>
      </c>
      <c r="M144" s="234" t="str">
        <f>IFERROR(VLOOKUP($A144,'AAPT ExDa'!$B$2:$U$99, 0,FALSE), IFERROR(VLOOKUP($A144,'ABB ExDa'!$A$2:$N$184, 0,FALSE), IFERROR(VLOOKUP($A144,'Vocus SIT ExDa'!$B$2:$J$173, 0,FALSE), IFERROR(VLOOKUP($A144,'Telstra ExDa'!$B$2:$K$310, 0,FALSE), IFERROR(VLOOKUP($A144,'Vocus RVC ExDa'!$C$2:$R$155, 0,FALSE), IFERROR(VLOOKUP($A144,'Fusion ExDa'!$B$2:$D$16, 0,FALSE), IFERROR(VLOOKUP($A144,'Exetel ExDa'!$C$2:$N$14, 11,FALSE), IFERROR(VLOOKUP($A144,'Infinet ExDa'!$B$2:$E$14, 0,FALSE), "Not Found"))))))))</f>
        <v>Not Found</v>
      </c>
      <c r="N144" t="str">
        <f>IFERROR(VLOOKUP($A144,'AAPT ExDa'!$B$2:$U$99, 0,FALSE), IFERROR(VLOOKUP($A144,'ABB ExDa'!$A$2:$N$184, 13,FALSE), IFERROR(VLOOKUP($A144,'Vocus SIT ExDa'!$B$2:$J$173, 0,FALSE), IFERROR(VLOOKUP($A144,'Telstra ExDa'!$B$2:$K$310, 0,FALSE), IFERROR(VLOOKUP($A144,'Vocus RVC ExDa'!$C$2:$R$155, 0,FALSE), IFERROR(VLOOKUP($A144,'Fusion ExDa'!$B$2:$D$16, 0,FALSE), IFERROR(VLOOKUP($A144,'Exetel ExDa'!$C$2:$N$14, 0,FALSE), IFERROR(VLOOKUP($A144,'Infinet ExDa'!$B$2:$E$14, 0,FALSE), "Not Found"))))))))</f>
        <v>Sasboss/Datagate</v>
      </c>
    </row>
    <row r="145" spans="1:14">
      <c r="A145" t="str">
        <v>Reezo Kebab</v>
      </c>
      <c r="B145" t="str">
        <f>IFERROR(VLOOKUP(A145,'Exetel ExDa'!$C$2:$N$14,4,FALSE),"No Data")</f>
        <v>No Data</v>
      </c>
      <c r="C145" t="str">
        <f>IFERROR(VLOOKUP(A145,'AAPT ExDa'!$B$2:$U$99, 2,FALSE), IFERROR(VLOOKUP(A145,'ABB ExDa'!$A$2:$N$184, 2,FALSE), IFERROR(VLOOKUP(A145,'Vocus SIT ExDa'!$B$2:$J$173, 7,FALSE), IFERROR(VLOOKUP(A145,'Telstra ExDa'!$B$2:$K$310, 2,FALSE), IFERROR(VLOOKUP(A145,'Vocus RVC ExDa'!$C$2:$R$155, 3,FALSE), IFERROR(VLOOKUP(A145,'Fusion ExDa'!$B$2:$D$16, 2,FALSE), IFERROR(VLOOKUP(A145,'Exetel ExDa'!$C$2:$N$14, 2,FALSE), IFERROR(VLOOKUP(A145,'Infinet ExDa'!$B$2:$E$14, 2,FALSE), "Not Found"))))))))</f>
        <v>UN 3, 8 DWYER TURN, JOONDALUP WA</v>
      </c>
      <c r="D145" t="str">
        <f>IFERROR(VLOOKUP($A145,'AAPT ExDa'!$B$2:$U$99, 15,FALSE), IFERROR(VLOOKUP($A145,'ABB ExDa'!$A$2:$N$184, 4,FALSE), IFERROR(VLOOKUP($A145,'Vocus SIT ExDa'!$B$2:$J$173, 5,FALSE), IFERROR(VLOOKUP($A145,'Telstra ExDa'!$B$2:$K$310, 8,FALSE), IFERROR(VLOOKUP($A145,'Vocus RVC ExDa'!$C$2:$R$155, 6,FALSE), IFERROR(VLOOKUP($A145,'Fusion ExDa'!$B$2:$D$16, 4,FALSE), IFERROR(VLOOKUP($A145,'Exetel ExDa'!$C$2:$N$14, 3,FALSE), IFERROR(VLOOKUP($A145,'Infinet ExDa'!$B$2:$E$14, 3,FALSE), "Not Found"))))))))</f>
        <v>ABB</v>
      </c>
      <c r="E145" t="str">
        <f>IFERROR(VLOOKUP($A145,'AAPT ExDa'!$B$2:$U$99, 3,FALSE), IFERROR(VLOOKUP($A145,'ABB ExDa'!$A$2:$N$184, 5,FALSE), IFERROR(VLOOKUP($A145,'Vocus SIT ExDa'!$B$2:$J$173, 2,FALSE), IFERROR(VLOOKUP($A145,'Telstra ExDa'!$B$2:$K$310, 4,FALSE), IFERROR(VLOOKUP($A145,'Vocus RVC ExDa'!$C$2:$R$155, 8,FALSE), IFERROR(VLOOKUP($A145,'Fusion ExDa'!$B$2:$D$16, 4,FALSE), IFERROR(VLOOKUP($A145,'Exetel ExDa'!$C$2:$N$14, 5,FALSE), IFERROR(VLOOKUP($A145,'Infinet ExDa'!$B$2:$E$14, 3,FALSE), "Not Found"))))))))</f>
        <v>NBN 50/20</v>
      </c>
      <c r="F145" t="str">
        <f>IFERROR(VLOOKUP($A145,'AAPT ExDa'!$B$2:$U$99, 4,FALSE), IFERROR(VLOOKUP($A145,'ABB ExDa'!$A$2:$N$184, 6,FALSE), IFERROR(VLOOKUP($A145,'Vocus SIT ExDa'!$B$2:$J$173, 3,FALSE), IFERROR(VLOOKUP($A145,'Telstra ExDa'!$B$2:$K$310, 5,FALSE), IFERROR(VLOOKUP($A145,'Vocus RVC ExDa'!$C$2:$R$155, 9,FALSE), IFERROR(VLOOKUP($A145,'Fusion ExDa'!$B$2:$D$16, 0,FALSE), IFERROR(VLOOKUP($A145,'Exetel ExDa'!$C$2:$N$14, 6,FALSE), IFERROR(VLOOKUP($A145,'Infinet ExDa'!$B$2:$E$14, 0,FALSE), "Not Found"))))))))</f>
        <v xml:space="preserve">FTTN </v>
      </c>
      <c r="G145" t="str">
        <f>IFERROR(VLOOKUP($A145,'AAPT ExDa'!$B$2:$U$99, 5,FALSE), IFERROR(VLOOKUP($A145,'ABB ExDa'!$A$2:$N$184, 8,FALSE), IFERROR(VLOOKUP($A145,'Vocus SIT ExDa'!$B$2:$J$173, 6,FALSE), IFERROR(VLOOKUP($A145,'Telstra ExDa'!$B$2:$K$310, 0,FALSE), IFERROR(VLOOKUP($A145,'Vocus RVC ExDa'!$C$2:$R$155, 15,FALSE), IFERROR(VLOOKUP($A145,'Fusion ExDa'!$B$2:$D$16, 0,FALSE), IFERROR(VLOOKUP($A145,'Exetel ExDa'!$C$2:$N$14, 7,FALSE), IFERROR(VLOOKUP($A145,'Infinet ExDa'!$B$2:$E$14, 0,FALSE), "Not Found"))))))))</f>
        <v>144.6.128.61</v>
      </c>
      <c r="H145" t="str">
        <f>IFERROR(VLOOKUP($A145,'AAPT ExDa'!$B$2:$U$99, 6,FALSE), IFERROR(VLOOKUP($A145,'ABB ExDa'!$A$2:$N$184, 0,FALSE), IFERROR(VLOOKUP($A145,'Vocus SIT ExDa'!$B$2:$J$173, 0,FALSE), IFERROR(VLOOKUP($A145,'Telstra ExDa'!$B$2:$K$310, 0,FALSE), IFERROR(VLOOKUP($A145,'Vocus RVC ExDa'!$C$2:$R$155, 16,FALSE), IFERROR(VLOOKUP($A145,'Fusion ExDa'!$B$2:$D$16, 0,FALSE), IFERROR(VLOOKUP($A145,'Exetel ExDa'!$C$2:$N$14, 0,FALSE), IFERROR(VLOOKUP($A145,'Infinet ExDa'!$B$2:$E$14, 0,FALSE), "Not Found"))))))))</f>
        <v>Not Found</v>
      </c>
      <c r="I145" t="str">
        <f>IFERROR(VLOOKUP($A145,'AAPT ExDa'!$B$2:$U$99, 0,FALSE), IFERROR(VLOOKUP($A145,'ABB ExDa'!$A$2:$N$184, 0,FALSE), IFERROR(VLOOKUP($A145,'Vocus SIT ExDa'!$B$2:$J$173, 0,FALSE), IFERROR(VLOOKUP($A145,'Telstra ExDa'!$B$2:$K$310, 0,FALSE), IFERROR(VLOOKUP($A145,'Vocus RVC ExDa'!$C$2:$R$155, 0,FALSE), IFERROR(VLOOKUP($A145,'Fusion ExDa'!$B$2:$D$16, 0,FALSE), IFERROR(VLOOKUP($A145,'Exetel ExDa'!$C$2:$N$14, 8,FALSE), IFERROR(VLOOKUP($A145,'Infinet ExDa'!$B$2:$E$14, 0,FALSE), "Not Found"))))))))</f>
        <v>Not Found</v>
      </c>
      <c r="J145" t="str">
        <f>IFERROR(VLOOKUP($A145,'AAPT ExDa'!$B$2:$U$99, 7,FALSE), IFERROR(VLOOKUP($A145,'ABB ExDa'!$A$2:$N$184, 2,FALSE), IFERROR(VLOOKUP($A145,'Vocus SIT ExDa'!$B$2:$J$173, 0,FALSE), IFERROR(VLOOKUP($A145,'Telstra ExDa'!$B$2:$K$310, 7,FALSE), IFERROR(VLOOKUP($A145,'Vocus RVC ExDa'!$C$2:$R$155, 2,FALSE), IFERROR(VLOOKUP($A145,'Fusion ExDa'!$B$2:$D$16, 3,FALSE), IFERROR(VLOOKUP($A145,'Exetel ExDa'!$C$2:$N$14, 0,FALSE), IFERROR(VLOOKUP($A145,'Infinet ExDa'!$B$2:$E$14, 0,FALSE), "Not Found"))))))))</f>
        <v>UN 3, 8 DWYER TURN, JOONDALUP WA</v>
      </c>
      <c r="K145" t="str">
        <f>IFERROR(VLOOKUP($A145,'AAPT ExDa'!$B$2:$U$99, 12,FALSE), IFERROR(VLOOKUP($A145,'ABB ExDa'!$A$2:$N$184, 0,FALSE), IFERROR(VLOOKUP($A145,'Vocus SIT ExDa'!$B$2:$J$173, 0,FALSE), IFERROR(VLOOKUP($A145,'Telstra ExDa'!$B$2:$K$310, 0,FALSE), IFERROR(VLOOKUP($A145,'Vocus RVC ExDa'!$C$2:$R$155, 0,FALSE), IFERROR(VLOOKUP($A145,'Fusion ExDa'!$B$2:$D$16, 0,FALSE), IFERROR(VLOOKUP($A145,'Exetel ExDa'!$C$2:$N$14, 12,FALSE), IFERROR(VLOOKUP($A145,'Infinet ExDa'!$B$2:$E$14, 0,FALSE), "Not Found"))))))))</f>
        <v>Not Found</v>
      </c>
      <c r="L145" s="235" t="str">
        <f>IFERROR(VLOOKUP($A145,'AAPT ExDa'!$B$2:$U$99, 11,FALSE), IFERROR(VLOOKUP($A145,'ABB ExDa'!$A$2:$N$184, 9,FALSE), IFERROR(VLOOKUP($A145,'Vocus SIT ExDa'!$B$2:$J$173, 8,FALSE), IFERROR(VLOOKUP($A145,'Telstra ExDa'!$B$2:$K$310, 0,FALSE), IFERROR(VLOOKUP($A145,'Vocus RVC ExDa'!$C$2:$R$155, 0,FALSE), IFERROR(VLOOKUP($A145,'Fusion ExDa'!$B$2:$D$16, 0,FALSE), IFERROR(VLOOKUP($A145,'Exetel ExDa'!$C$2:$N$14, 9,FALSE), IFERROR(VLOOKUP($A145,'Infinet ExDa'!$B$2:$E$14, 0,FALSE), "Not Found"))))))))</f>
        <v>14 Nov 2024</v>
      </c>
      <c r="M145" s="234" t="str">
        <f>IFERROR(VLOOKUP($A145,'AAPT ExDa'!$B$2:$U$99, 0,FALSE), IFERROR(VLOOKUP($A145,'ABB ExDa'!$A$2:$N$184, 0,FALSE), IFERROR(VLOOKUP($A145,'Vocus SIT ExDa'!$B$2:$J$173, 0,FALSE), IFERROR(VLOOKUP($A145,'Telstra ExDa'!$B$2:$K$310, 0,FALSE), IFERROR(VLOOKUP($A145,'Vocus RVC ExDa'!$C$2:$R$155, 0,FALSE), IFERROR(VLOOKUP($A145,'Fusion ExDa'!$B$2:$D$16, 0,FALSE), IFERROR(VLOOKUP($A145,'Exetel ExDa'!$C$2:$N$14, 11,FALSE), IFERROR(VLOOKUP($A145,'Infinet ExDa'!$B$2:$E$14, 0,FALSE), "Not Found"))))))))</f>
        <v>Not Found</v>
      </c>
      <c r="N145" t="str">
        <f>IFERROR(VLOOKUP($A145,'AAPT ExDa'!$B$2:$U$99, 0,FALSE), IFERROR(VLOOKUP($A145,'ABB ExDa'!$A$2:$N$184, 13,FALSE), IFERROR(VLOOKUP($A145,'Vocus SIT ExDa'!$B$2:$J$173, 0,FALSE), IFERROR(VLOOKUP($A145,'Telstra ExDa'!$B$2:$K$310, 0,FALSE), IFERROR(VLOOKUP($A145,'Vocus RVC ExDa'!$C$2:$R$155, 0,FALSE), IFERROR(VLOOKUP($A145,'Fusion ExDa'!$B$2:$D$16, 0,FALSE), IFERROR(VLOOKUP($A145,'Exetel ExDa'!$C$2:$N$14, 0,FALSE), IFERROR(VLOOKUP($A145,'Infinet ExDa'!$B$2:$E$14, 0,FALSE), "Not Found"))))))))</f>
        <v>Onebill</v>
      </c>
    </row>
    <row r="146" spans="1:14">
      <c r="A146" t="str">
        <v>Richard Livingstone-Blevins</v>
      </c>
      <c r="B146" t="str">
        <f>IFERROR(VLOOKUP(A146,'Exetel ExDa'!$C$2:$N$14,4,FALSE),"No Data")</f>
        <v>No Data</v>
      </c>
      <c r="C146" t="str">
        <f>IFERROR(VLOOKUP(A146,'AAPT ExDa'!$B$2:$U$99, 2,FALSE), IFERROR(VLOOKUP(A146,'ABB ExDa'!$A$2:$N$184, 2,FALSE), IFERROR(VLOOKUP(A146,'Vocus SIT ExDa'!$B$2:$J$173, 7,FALSE), IFERROR(VLOOKUP(A146,'Telstra ExDa'!$B$2:$K$310, 2,FALSE), IFERROR(VLOOKUP(A146,'Vocus RVC ExDa'!$C$2:$R$155, 3,FALSE), IFERROR(VLOOKUP(A146,'Fusion ExDa'!$B$2:$D$16, 2,FALSE), IFERROR(VLOOKUP(A146,'Exetel ExDa'!$C$2:$N$14, 2,FALSE), IFERROR(VLOOKUP(A146,'Infinet ExDa'!$B$2:$E$14, 2,FALSE), "Not Found"))))))))</f>
        <v>91 AIRLIE RD, PULLENVALE QLD</v>
      </c>
      <c r="D146" t="str">
        <f>IFERROR(VLOOKUP($A146,'AAPT ExDa'!$B$2:$U$99, 15,FALSE), IFERROR(VLOOKUP($A146,'ABB ExDa'!$A$2:$N$184, 4,FALSE), IFERROR(VLOOKUP($A146,'Vocus SIT ExDa'!$B$2:$J$173, 5,FALSE), IFERROR(VLOOKUP($A146,'Telstra ExDa'!$B$2:$K$310, 8,FALSE), IFERROR(VLOOKUP($A146,'Vocus RVC ExDa'!$C$2:$R$155, 6,FALSE), IFERROR(VLOOKUP($A146,'Fusion ExDa'!$B$2:$D$16, 4,FALSE), IFERROR(VLOOKUP($A146,'Exetel ExDa'!$C$2:$N$14, 3,FALSE), IFERROR(VLOOKUP($A146,'Infinet ExDa'!$B$2:$E$14, 3,FALSE), "Not Found"))))))))</f>
        <v>ABB</v>
      </c>
      <c r="E146" t="str">
        <f>IFERROR(VLOOKUP($A146,'AAPT ExDa'!$B$2:$U$99, 3,FALSE), IFERROR(VLOOKUP($A146,'ABB ExDa'!$A$2:$N$184, 5,FALSE), IFERROR(VLOOKUP($A146,'Vocus SIT ExDa'!$B$2:$J$173, 2,FALSE), IFERROR(VLOOKUP($A146,'Telstra ExDa'!$B$2:$K$310, 4,FALSE), IFERROR(VLOOKUP($A146,'Vocus RVC ExDa'!$C$2:$R$155, 8,FALSE), IFERROR(VLOOKUP($A146,'Fusion ExDa'!$B$2:$D$16, 4,FALSE), IFERROR(VLOOKUP($A146,'Exetel ExDa'!$C$2:$N$14, 5,FALSE), IFERROR(VLOOKUP($A146,'Infinet ExDa'!$B$2:$E$14, 3,FALSE), "Not Found"))))))))</f>
        <v>NBN 250/25</v>
      </c>
      <c r="F146" t="str">
        <f>IFERROR(VLOOKUP($A146,'AAPT ExDa'!$B$2:$U$99, 4,FALSE), IFERROR(VLOOKUP($A146,'ABB ExDa'!$A$2:$N$184, 6,FALSE), IFERROR(VLOOKUP($A146,'Vocus SIT ExDa'!$B$2:$J$173, 3,FALSE), IFERROR(VLOOKUP($A146,'Telstra ExDa'!$B$2:$K$310, 5,FALSE), IFERROR(VLOOKUP($A146,'Vocus RVC ExDa'!$C$2:$R$155, 9,FALSE), IFERROR(VLOOKUP($A146,'Fusion ExDa'!$B$2:$D$16, 0,FALSE), IFERROR(VLOOKUP($A146,'Exetel ExDa'!$C$2:$N$14, 6,FALSE), IFERROR(VLOOKUP($A146,'Infinet ExDa'!$B$2:$E$14, 0,FALSE), "Not Found"))))))))</f>
        <v xml:space="preserve">Fibre </v>
      </c>
      <c r="G146" t="str">
        <f>IFERROR(VLOOKUP($A146,'AAPT ExDa'!$B$2:$U$99, 5,FALSE), IFERROR(VLOOKUP($A146,'ABB ExDa'!$A$2:$N$184, 8,FALSE), IFERROR(VLOOKUP($A146,'Vocus SIT ExDa'!$B$2:$J$173, 6,FALSE), IFERROR(VLOOKUP($A146,'Telstra ExDa'!$B$2:$K$310, 0,FALSE), IFERROR(VLOOKUP($A146,'Vocus RVC ExDa'!$C$2:$R$155, 15,FALSE), IFERROR(VLOOKUP($A146,'Fusion ExDa'!$B$2:$D$16, 0,FALSE), IFERROR(VLOOKUP($A146,'Exetel ExDa'!$C$2:$N$14, 7,FALSE), IFERROR(VLOOKUP($A146,'Infinet ExDa'!$B$2:$E$14, 0,FALSE), "Not Found"))))))))</f>
        <v>144.6.252.69</v>
      </c>
      <c r="H146" t="str">
        <f>IFERROR(VLOOKUP($A146,'AAPT ExDa'!$B$2:$U$99, 6,FALSE), IFERROR(VLOOKUP($A146,'ABB ExDa'!$A$2:$N$184, 0,FALSE), IFERROR(VLOOKUP($A146,'Vocus SIT ExDa'!$B$2:$J$173, 0,FALSE), IFERROR(VLOOKUP($A146,'Telstra ExDa'!$B$2:$K$310, 0,FALSE), IFERROR(VLOOKUP($A146,'Vocus RVC ExDa'!$C$2:$R$155, 16,FALSE), IFERROR(VLOOKUP($A146,'Fusion ExDa'!$B$2:$D$16, 0,FALSE), IFERROR(VLOOKUP($A146,'Exetel ExDa'!$C$2:$N$14, 0,FALSE), IFERROR(VLOOKUP($A146,'Infinet ExDa'!$B$2:$E$14, 0,FALSE), "Not Found"))))))))</f>
        <v>Not Found</v>
      </c>
      <c r="I146" t="str">
        <f>IFERROR(VLOOKUP($A146,'AAPT ExDa'!$B$2:$U$99, 0,FALSE), IFERROR(VLOOKUP($A146,'ABB ExDa'!$A$2:$N$184, 0,FALSE), IFERROR(VLOOKUP($A146,'Vocus SIT ExDa'!$B$2:$J$173, 0,FALSE), IFERROR(VLOOKUP($A146,'Telstra ExDa'!$B$2:$K$310, 0,FALSE), IFERROR(VLOOKUP($A146,'Vocus RVC ExDa'!$C$2:$R$155, 0,FALSE), IFERROR(VLOOKUP($A146,'Fusion ExDa'!$B$2:$D$16, 0,FALSE), IFERROR(VLOOKUP($A146,'Exetel ExDa'!$C$2:$N$14, 8,FALSE), IFERROR(VLOOKUP($A146,'Infinet ExDa'!$B$2:$E$14, 0,FALSE), "Not Found"))))))))</f>
        <v>Not Found</v>
      </c>
      <c r="J146" t="str">
        <f>IFERROR(VLOOKUP($A146,'AAPT ExDa'!$B$2:$U$99, 7,FALSE), IFERROR(VLOOKUP($A146,'ABB ExDa'!$A$2:$N$184, 2,FALSE), IFERROR(VLOOKUP($A146,'Vocus SIT ExDa'!$B$2:$J$173, 0,FALSE), IFERROR(VLOOKUP($A146,'Telstra ExDa'!$B$2:$K$310, 7,FALSE), IFERROR(VLOOKUP($A146,'Vocus RVC ExDa'!$C$2:$R$155, 2,FALSE), IFERROR(VLOOKUP($A146,'Fusion ExDa'!$B$2:$D$16, 3,FALSE), IFERROR(VLOOKUP($A146,'Exetel ExDa'!$C$2:$N$14, 0,FALSE), IFERROR(VLOOKUP($A146,'Infinet ExDa'!$B$2:$E$14, 0,FALSE), "Not Found"))))))))</f>
        <v>91 AIRLIE RD, PULLENVALE QLD</v>
      </c>
      <c r="K146" t="str">
        <f>IFERROR(VLOOKUP($A146,'AAPT ExDa'!$B$2:$U$99, 12,FALSE), IFERROR(VLOOKUP($A146,'ABB ExDa'!$A$2:$N$184, 0,FALSE), IFERROR(VLOOKUP($A146,'Vocus SIT ExDa'!$B$2:$J$173, 0,FALSE), IFERROR(VLOOKUP($A146,'Telstra ExDa'!$B$2:$K$310, 0,FALSE), IFERROR(VLOOKUP($A146,'Vocus RVC ExDa'!$C$2:$R$155, 0,FALSE), IFERROR(VLOOKUP($A146,'Fusion ExDa'!$B$2:$D$16, 0,FALSE), IFERROR(VLOOKUP($A146,'Exetel ExDa'!$C$2:$N$14, 12,FALSE), IFERROR(VLOOKUP($A146,'Infinet ExDa'!$B$2:$E$14, 0,FALSE), "Not Found"))))))))</f>
        <v>Not Found</v>
      </c>
      <c r="L146" s="235" t="str">
        <f>IFERROR(VLOOKUP($A146,'AAPT ExDa'!$B$2:$U$99, 11,FALSE), IFERROR(VLOOKUP($A146,'ABB ExDa'!$A$2:$N$184, 9,FALSE), IFERROR(VLOOKUP($A146,'Vocus SIT ExDa'!$B$2:$J$173, 8,FALSE), IFERROR(VLOOKUP($A146,'Telstra ExDa'!$B$2:$K$310, 0,FALSE), IFERROR(VLOOKUP($A146,'Vocus RVC ExDa'!$C$2:$R$155, 0,FALSE), IFERROR(VLOOKUP($A146,'Fusion ExDa'!$B$2:$D$16, 0,FALSE), IFERROR(VLOOKUP($A146,'Exetel ExDa'!$C$2:$N$14, 9,FALSE), IFERROR(VLOOKUP($A146,'Infinet ExDa'!$B$2:$E$14, 0,FALSE), "Not Found"))))))))</f>
        <v>17 Jan 2025</v>
      </c>
      <c r="M146" s="234" t="str">
        <f>IFERROR(VLOOKUP($A146,'AAPT ExDa'!$B$2:$U$99, 0,FALSE), IFERROR(VLOOKUP($A146,'ABB ExDa'!$A$2:$N$184, 0,FALSE), IFERROR(VLOOKUP($A146,'Vocus SIT ExDa'!$B$2:$J$173, 0,FALSE), IFERROR(VLOOKUP($A146,'Telstra ExDa'!$B$2:$K$310, 0,FALSE), IFERROR(VLOOKUP($A146,'Vocus RVC ExDa'!$C$2:$R$155, 0,FALSE), IFERROR(VLOOKUP($A146,'Fusion ExDa'!$B$2:$D$16, 0,FALSE), IFERROR(VLOOKUP($A146,'Exetel ExDa'!$C$2:$N$14, 11,FALSE), IFERROR(VLOOKUP($A146,'Infinet ExDa'!$B$2:$E$14, 0,FALSE), "Not Found"))))))))</f>
        <v>Not Found</v>
      </c>
      <c r="N146" t="str">
        <f>IFERROR(VLOOKUP($A146,'AAPT ExDa'!$B$2:$U$99, 0,FALSE), IFERROR(VLOOKUP($A146,'ABB ExDa'!$A$2:$N$184, 13,FALSE), IFERROR(VLOOKUP($A146,'Vocus SIT ExDa'!$B$2:$J$173, 0,FALSE), IFERROR(VLOOKUP($A146,'Telstra ExDa'!$B$2:$K$310, 0,FALSE), IFERROR(VLOOKUP($A146,'Vocus RVC ExDa'!$C$2:$R$155, 0,FALSE), IFERROR(VLOOKUP($A146,'Fusion ExDa'!$B$2:$D$16, 0,FALSE), IFERROR(VLOOKUP($A146,'Exetel ExDa'!$C$2:$N$14, 0,FALSE), IFERROR(VLOOKUP($A146,'Infinet ExDa'!$B$2:$E$14, 0,FALSE), "Not Found"))))))))</f>
        <v>TBA</v>
      </c>
    </row>
    <row r="147" spans="1:14">
      <c r="A147" t="str">
        <v>Roberts Roofing and Plumbing</v>
      </c>
      <c r="B147" t="str">
        <f>IFERROR(VLOOKUP(A147,'Exetel ExDa'!$C$2:$N$14,4,FALSE),"No Data")</f>
        <v>No Data</v>
      </c>
      <c r="C147" t="str">
        <f>IFERROR(VLOOKUP(A147,'AAPT ExDa'!$B$2:$U$99, 2,FALSE), IFERROR(VLOOKUP(A147,'ABB ExDa'!$A$2:$N$184, 2,FALSE), IFERROR(VLOOKUP(A147,'Vocus SIT ExDa'!$B$2:$J$173, 7,FALSE), IFERROR(VLOOKUP(A147,'Telstra ExDa'!$B$2:$K$310, 2,FALSE), IFERROR(VLOOKUP(A147,'Vocus RVC ExDa'!$C$2:$R$155, 3,FALSE), IFERROR(VLOOKUP(A147,'Fusion ExDa'!$B$2:$D$16, 2,FALSE), IFERROR(VLOOKUP(A147,'Exetel ExDa'!$C$2:$N$14, 2,FALSE), IFERROR(VLOOKUP(A147,'Infinet ExDa'!$B$2:$E$14, 2,FALSE), "Not Found"))))))))</f>
        <v>SHOP 1, 23 MCLEAN ST, BUNDABERG CENTRAL QLD</v>
      </c>
      <c r="D147" t="str">
        <f>IFERROR(VLOOKUP($A147,'AAPT ExDa'!$B$2:$U$99, 15,FALSE), IFERROR(VLOOKUP($A147,'ABB ExDa'!$A$2:$N$184, 4,FALSE), IFERROR(VLOOKUP($A147,'Vocus SIT ExDa'!$B$2:$J$173, 5,FALSE), IFERROR(VLOOKUP($A147,'Telstra ExDa'!$B$2:$K$310, 8,FALSE), IFERROR(VLOOKUP($A147,'Vocus RVC ExDa'!$C$2:$R$155, 6,FALSE), IFERROR(VLOOKUP($A147,'Fusion ExDa'!$B$2:$D$16, 4,FALSE), IFERROR(VLOOKUP($A147,'Exetel ExDa'!$C$2:$N$14, 3,FALSE), IFERROR(VLOOKUP($A147,'Infinet ExDa'!$B$2:$E$14, 3,FALSE), "Not Found"))))))))</f>
        <v>ABB</v>
      </c>
      <c r="E147" t="str">
        <f>IFERROR(VLOOKUP($A147,'AAPT ExDa'!$B$2:$U$99, 3,FALSE), IFERROR(VLOOKUP($A147,'ABB ExDa'!$A$2:$N$184, 5,FALSE), IFERROR(VLOOKUP($A147,'Vocus SIT ExDa'!$B$2:$J$173, 2,FALSE), IFERROR(VLOOKUP($A147,'Telstra ExDa'!$B$2:$K$310, 4,FALSE), IFERROR(VLOOKUP($A147,'Vocus RVC ExDa'!$C$2:$R$155, 8,FALSE), IFERROR(VLOOKUP($A147,'Fusion ExDa'!$B$2:$D$16, 4,FALSE), IFERROR(VLOOKUP($A147,'Exetel ExDa'!$C$2:$N$14, 5,FALSE), IFERROR(VLOOKUP($A147,'Infinet ExDa'!$B$2:$E$14, 3,FALSE), "Not Found"))))))))</f>
        <v>NBN 50/20</v>
      </c>
      <c r="F147" t="str">
        <f>IFERROR(VLOOKUP($A147,'AAPT ExDa'!$B$2:$U$99, 4,FALSE), IFERROR(VLOOKUP($A147,'ABB ExDa'!$A$2:$N$184, 6,FALSE), IFERROR(VLOOKUP($A147,'Vocus SIT ExDa'!$B$2:$J$173, 3,FALSE), IFERROR(VLOOKUP($A147,'Telstra ExDa'!$B$2:$K$310, 5,FALSE), IFERROR(VLOOKUP($A147,'Vocus RVC ExDa'!$C$2:$R$155, 9,FALSE), IFERROR(VLOOKUP($A147,'Fusion ExDa'!$B$2:$D$16, 0,FALSE), IFERROR(VLOOKUP($A147,'Exetel ExDa'!$C$2:$N$14, 6,FALSE), IFERROR(VLOOKUP($A147,'Infinet ExDa'!$B$2:$E$14, 0,FALSE), "Not Found"))))))))</f>
        <v>FTTN</v>
      </c>
      <c r="G147" t="str">
        <f>IFERROR(VLOOKUP($A147,'AAPT ExDa'!$B$2:$U$99, 5,FALSE), IFERROR(VLOOKUP($A147,'ABB ExDa'!$A$2:$N$184, 8,FALSE), IFERROR(VLOOKUP($A147,'Vocus SIT ExDa'!$B$2:$J$173, 6,FALSE), IFERROR(VLOOKUP($A147,'Telstra ExDa'!$B$2:$K$310, 0,FALSE), IFERROR(VLOOKUP($A147,'Vocus RVC ExDa'!$C$2:$R$155, 15,FALSE), IFERROR(VLOOKUP($A147,'Fusion ExDa'!$B$2:$D$16, 0,FALSE), IFERROR(VLOOKUP($A147,'Exetel ExDa'!$C$2:$N$14, 7,FALSE), IFERROR(VLOOKUP($A147,'Infinet ExDa'!$B$2:$E$14, 0,FALSE), "Not Found"))))))))</f>
        <v>159.196.7.147</v>
      </c>
      <c r="H147" t="str">
        <f>IFERROR(VLOOKUP($A147,'AAPT ExDa'!$B$2:$U$99, 6,FALSE), IFERROR(VLOOKUP($A147,'ABB ExDa'!$A$2:$N$184, 0,FALSE), IFERROR(VLOOKUP($A147,'Vocus SIT ExDa'!$B$2:$J$173, 0,FALSE), IFERROR(VLOOKUP($A147,'Telstra ExDa'!$B$2:$K$310, 0,FALSE), IFERROR(VLOOKUP($A147,'Vocus RVC ExDa'!$C$2:$R$155, 16,FALSE), IFERROR(VLOOKUP($A147,'Fusion ExDa'!$B$2:$D$16, 0,FALSE), IFERROR(VLOOKUP($A147,'Exetel ExDa'!$C$2:$N$14, 0,FALSE), IFERROR(VLOOKUP($A147,'Infinet ExDa'!$B$2:$E$14, 0,FALSE), "Not Found"))))))))</f>
        <v>Not Found</v>
      </c>
      <c r="I147" t="str">
        <f>IFERROR(VLOOKUP($A147,'AAPT ExDa'!$B$2:$U$99, 0,FALSE), IFERROR(VLOOKUP($A147,'ABB ExDa'!$A$2:$N$184, 0,FALSE), IFERROR(VLOOKUP($A147,'Vocus SIT ExDa'!$B$2:$J$173, 0,FALSE), IFERROR(VLOOKUP($A147,'Telstra ExDa'!$B$2:$K$310, 0,FALSE), IFERROR(VLOOKUP($A147,'Vocus RVC ExDa'!$C$2:$R$155, 0,FALSE), IFERROR(VLOOKUP($A147,'Fusion ExDa'!$B$2:$D$16, 0,FALSE), IFERROR(VLOOKUP($A147,'Exetel ExDa'!$C$2:$N$14, 8,FALSE), IFERROR(VLOOKUP($A147,'Infinet ExDa'!$B$2:$E$14, 0,FALSE), "Not Found"))))))))</f>
        <v>Not Found</v>
      </c>
      <c r="J147" t="str">
        <f>IFERROR(VLOOKUP($A147,'AAPT ExDa'!$B$2:$U$99, 7,FALSE), IFERROR(VLOOKUP($A147,'ABB ExDa'!$A$2:$N$184, 2,FALSE), IFERROR(VLOOKUP($A147,'Vocus SIT ExDa'!$B$2:$J$173, 0,FALSE), IFERROR(VLOOKUP($A147,'Telstra ExDa'!$B$2:$K$310, 7,FALSE), IFERROR(VLOOKUP($A147,'Vocus RVC ExDa'!$C$2:$R$155, 2,FALSE), IFERROR(VLOOKUP($A147,'Fusion ExDa'!$B$2:$D$16, 3,FALSE), IFERROR(VLOOKUP($A147,'Exetel ExDa'!$C$2:$N$14, 0,FALSE), IFERROR(VLOOKUP($A147,'Infinet ExDa'!$B$2:$E$14, 0,FALSE), "Not Found"))))))))</f>
        <v>SHOP 1, 23 MCLEAN ST, BUNDABERG CENTRAL QLD</v>
      </c>
      <c r="K147" t="str">
        <f>IFERROR(VLOOKUP($A147,'AAPT ExDa'!$B$2:$U$99, 12,FALSE), IFERROR(VLOOKUP($A147,'ABB ExDa'!$A$2:$N$184, 0,FALSE), IFERROR(VLOOKUP($A147,'Vocus SIT ExDa'!$B$2:$J$173, 0,FALSE), IFERROR(VLOOKUP($A147,'Telstra ExDa'!$B$2:$K$310, 0,FALSE), IFERROR(VLOOKUP($A147,'Vocus RVC ExDa'!$C$2:$R$155, 0,FALSE), IFERROR(VLOOKUP($A147,'Fusion ExDa'!$B$2:$D$16, 0,FALSE), IFERROR(VLOOKUP($A147,'Exetel ExDa'!$C$2:$N$14, 12,FALSE), IFERROR(VLOOKUP($A147,'Infinet ExDa'!$B$2:$E$14, 0,FALSE), "Not Found"))))))))</f>
        <v>Not Found</v>
      </c>
      <c r="L147" s="235" t="str">
        <f>IFERROR(VLOOKUP($A147,'AAPT ExDa'!$B$2:$U$99, 11,FALSE), IFERROR(VLOOKUP($A147,'ABB ExDa'!$A$2:$N$184, 9,FALSE), IFERROR(VLOOKUP($A147,'Vocus SIT ExDa'!$B$2:$J$173, 8,FALSE), IFERROR(VLOOKUP($A147,'Telstra ExDa'!$B$2:$K$310, 0,FALSE), IFERROR(VLOOKUP($A147,'Vocus RVC ExDa'!$C$2:$R$155, 0,FALSE), IFERROR(VLOOKUP($A147,'Fusion ExDa'!$B$2:$D$16, 0,FALSE), IFERROR(VLOOKUP($A147,'Exetel ExDa'!$C$2:$N$14, 9,FALSE), IFERROR(VLOOKUP($A147,'Infinet ExDa'!$B$2:$E$14, 0,FALSE), "Not Found"))))))))</f>
        <v>5 March 2025</v>
      </c>
      <c r="M147" s="234" t="str">
        <f>IFERROR(VLOOKUP($A147,'AAPT ExDa'!$B$2:$U$99, 0,FALSE), IFERROR(VLOOKUP($A147,'ABB ExDa'!$A$2:$N$184, 0,FALSE), IFERROR(VLOOKUP($A147,'Vocus SIT ExDa'!$B$2:$J$173, 0,FALSE), IFERROR(VLOOKUP($A147,'Telstra ExDa'!$B$2:$K$310, 0,FALSE), IFERROR(VLOOKUP($A147,'Vocus RVC ExDa'!$C$2:$R$155, 0,FALSE), IFERROR(VLOOKUP($A147,'Fusion ExDa'!$B$2:$D$16, 0,FALSE), IFERROR(VLOOKUP($A147,'Exetel ExDa'!$C$2:$N$14, 11,FALSE), IFERROR(VLOOKUP($A147,'Infinet ExDa'!$B$2:$E$14, 0,FALSE), "Not Found"))))))))</f>
        <v>Not Found</v>
      </c>
      <c r="N147" t="str">
        <f>IFERROR(VLOOKUP($A147,'AAPT ExDa'!$B$2:$U$99, 0,FALSE), IFERROR(VLOOKUP($A147,'ABB ExDa'!$A$2:$N$184, 13,FALSE), IFERROR(VLOOKUP($A147,'Vocus SIT ExDa'!$B$2:$J$173, 0,FALSE), IFERROR(VLOOKUP($A147,'Telstra ExDa'!$B$2:$K$310, 0,FALSE), IFERROR(VLOOKUP($A147,'Vocus RVC ExDa'!$C$2:$R$155, 0,FALSE), IFERROR(VLOOKUP($A147,'Fusion ExDa'!$B$2:$D$16, 0,FALSE), IFERROR(VLOOKUP($A147,'Exetel ExDa'!$C$2:$N$14, 0,FALSE), IFERROR(VLOOKUP($A147,'Infinet ExDa'!$B$2:$E$14, 0,FALSE), "Not Found"))))))))</f>
        <v>Onebill</v>
      </c>
    </row>
    <row r="148" spans="1:14">
      <c r="A148" t="str">
        <v>ROCKWELL TECHNOLOGY PTY LTD</v>
      </c>
      <c r="B148" t="str">
        <f>IFERROR(VLOOKUP(A148,'Exetel ExDa'!$C$2:$N$14,4,FALSE),"No Data")</f>
        <v>No Data</v>
      </c>
      <c r="C148" t="str">
        <f>IFERROR(VLOOKUP(A148,'AAPT ExDa'!$B$2:$U$99, 2,FALSE), IFERROR(VLOOKUP(A148,'ABB ExDa'!$A$2:$N$184, 2,FALSE), IFERROR(VLOOKUP(A148,'Vocus SIT ExDa'!$B$2:$J$173, 7,FALSE), IFERROR(VLOOKUP(A148,'Telstra ExDa'!$B$2:$K$310, 2,FALSE), IFERROR(VLOOKUP(A148,'Vocus RVC ExDa'!$C$2:$R$155, 3,FALSE), IFERROR(VLOOKUP(A148,'Fusion ExDa'!$B$2:$D$16, 2,FALSE), IFERROR(VLOOKUP(A148,'Exetel ExDa'!$C$2:$N$14, 2,FALSE), IFERROR(VLOOKUP(A148,'Infinet ExDa'!$B$2:$E$14, 2,FALSE), "Not Found"))))))))</f>
        <v>37 ACCESS AV, YATALA QLD</v>
      </c>
      <c r="D148" t="str">
        <f>IFERROR(VLOOKUP($A148,'AAPT ExDa'!$B$2:$U$99, 15,FALSE), IFERROR(VLOOKUP($A148,'ABB ExDa'!$A$2:$N$184, 4,FALSE), IFERROR(VLOOKUP($A148,'Vocus SIT ExDa'!$B$2:$J$173, 5,FALSE), IFERROR(VLOOKUP($A148,'Telstra ExDa'!$B$2:$K$310, 8,FALSE), IFERROR(VLOOKUP($A148,'Vocus RVC ExDa'!$C$2:$R$155, 6,FALSE), IFERROR(VLOOKUP($A148,'Fusion ExDa'!$B$2:$D$16, 4,FALSE), IFERROR(VLOOKUP($A148,'Exetel ExDa'!$C$2:$N$14, 3,FALSE), IFERROR(VLOOKUP($A148,'Infinet ExDa'!$B$2:$E$14, 3,FALSE), "Not Found"))))))))</f>
        <v>ABB</v>
      </c>
      <c r="E148" t="str">
        <f>IFERROR(VLOOKUP($A148,'AAPT ExDa'!$B$2:$U$99, 3,FALSE), IFERROR(VLOOKUP($A148,'ABB ExDa'!$A$2:$N$184, 5,FALSE), IFERROR(VLOOKUP($A148,'Vocus SIT ExDa'!$B$2:$J$173, 2,FALSE), IFERROR(VLOOKUP($A148,'Telstra ExDa'!$B$2:$K$310, 4,FALSE), IFERROR(VLOOKUP($A148,'Vocus RVC ExDa'!$C$2:$R$155, 8,FALSE), IFERROR(VLOOKUP($A148,'Fusion ExDa'!$B$2:$D$16, 4,FALSE), IFERROR(VLOOKUP($A148,'Exetel ExDa'!$C$2:$N$14, 5,FALSE), IFERROR(VLOOKUP($A148,'Infinet ExDa'!$B$2:$E$14, 3,FALSE), "Not Found"))))))))</f>
        <v>NBN 100/40</v>
      </c>
      <c r="F148" t="str">
        <f>IFERROR(VLOOKUP($A148,'AAPT ExDa'!$B$2:$U$99, 4,FALSE), IFERROR(VLOOKUP($A148,'ABB ExDa'!$A$2:$N$184, 6,FALSE), IFERROR(VLOOKUP($A148,'Vocus SIT ExDa'!$B$2:$J$173, 3,FALSE), IFERROR(VLOOKUP($A148,'Telstra ExDa'!$B$2:$K$310, 5,FALSE), IFERROR(VLOOKUP($A148,'Vocus RVC ExDa'!$C$2:$R$155, 9,FALSE), IFERROR(VLOOKUP($A148,'Fusion ExDa'!$B$2:$D$16, 0,FALSE), IFERROR(VLOOKUP($A148,'Exetel ExDa'!$C$2:$N$14, 6,FALSE), IFERROR(VLOOKUP($A148,'Infinet ExDa'!$B$2:$E$14, 0,FALSE), "Not Found"))))))))</f>
        <v xml:space="preserve">Fibre </v>
      </c>
      <c r="G148" t="str">
        <f>IFERROR(VLOOKUP($A148,'AAPT ExDa'!$B$2:$U$99, 5,FALSE), IFERROR(VLOOKUP($A148,'ABB ExDa'!$A$2:$N$184, 8,FALSE), IFERROR(VLOOKUP($A148,'Vocus SIT ExDa'!$B$2:$J$173, 6,FALSE), IFERROR(VLOOKUP($A148,'Telstra ExDa'!$B$2:$K$310, 0,FALSE), IFERROR(VLOOKUP($A148,'Vocus RVC ExDa'!$C$2:$R$155, 15,FALSE), IFERROR(VLOOKUP($A148,'Fusion ExDa'!$B$2:$D$16, 0,FALSE), IFERROR(VLOOKUP($A148,'Exetel ExDa'!$C$2:$N$14, 7,FALSE), IFERROR(VLOOKUP($A148,'Infinet ExDa'!$B$2:$E$14, 0,FALSE), "Not Found"))))))))</f>
        <v>144.6.250.159</v>
      </c>
      <c r="H148" t="str">
        <f>IFERROR(VLOOKUP($A148,'AAPT ExDa'!$B$2:$U$99, 6,FALSE), IFERROR(VLOOKUP($A148,'ABB ExDa'!$A$2:$N$184, 0,FALSE), IFERROR(VLOOKUP($A148,'Vocus SIT ExDa'!$B$2:$J$173, 0,FALSE), IFERROR(VLOOKUP($A148,'Telstra ExDa'!$B$2:$K$310, 0,FALSE), IFERROR(VLOOKUP($A148,'Vocus RVC ExDa'!$C$2:$R$155, 16,FALSE), IFERROR(VLOOKUP($A148,'Fusion ExDa'!$B$2:$D$16, 0,FALSE), IFERROR(VLOOKUP($A148,'Exetel ExDa'!$C$2:$N$14, 0,FALSE), IFERROR(VLOOKUP($A148,'Infinet ExDa'!$B$2:$E$14, 0,FALSE), "Not Found"))))))))</f>
        <v>Not Found</v>
      </c>
      <c r="I148" t="str">
        <f>IFERROR(VLOOKUP($A148,'AAPT ExDa'!$B$2:$U$99, 0,FALSE), IFERROR(VLOOKUP($A148,'ABB ExDa'!$A$2:$N$184, 0,FALSE), IFERROR(VLOOKUP($A148,'Vocus SIT ExDa'!$B$2:$J$173, 0,FALSE), IFERROR(VLOOKUP($A148,'Telstra ExDa'!$B$2:$K$310, 0,FALSE), IFERROR(VLOOKUP($A148,'Vocus RVC ExDa'!$C$2:$R$155, 0,FALSE), IFERROR(VLOOKUP($A148,'Fusion ExDa'!$B$2:$D$16, 0,FALSE), IFERROR(VLOOKUP($A148,'Exetel ExDa'!$C$2:$N$14, 8,FALSE), IFERROR(VLOOKUP($A148,'Infinet ExDa'!$B$2:$E$14, 0,FALSE), "Not Found"))))))))</f>
        <v>Not Found</v>
      </c>
      <c r="J148" t="str">
        <f>IFERROR(VLOOKUP($A148,'AAPT ExDa'!$B$2:$U$99, 7,FALSE), IFERROR(VLOOKUP($A148,'ABB ExDa'!$A$2:$N$184, 2,FALSE), IFERROR(VLOOKUP($A148,'Vocus SIT ExDa'!$B$2:$J$173, 0,FALSE), IFERROR(VLOOKUP($A148,'Telstra ExDa'!$B$2:$K$310, 7,FALSE), IFERROR(VLOOKUP($A148,'Vocus RVC ExDa'!$C$2:$R$155, 2,FALSE), IFERROR(VLOOKUP($A148,'Fusion ExDa'!$B$2:$D$16, 3,FALSE), IFERROR(VLOOKUP($A148,'Exetel ExDa'!$C$2:$N$14, 0,FALSE), IFERROR(VLOOKUP($A148,'Infinet ExDa'!$B$2:$E$14, 0,FALSE), "Not Found"))))))))</f>
        <v>37 ACCESS AV, YATALA QLD</v>
      </c>
      <c r="K148" t="str">
        <f>IFERROR(VLOOKUP($A148,'AAPT ExDa'!$B$2:$U$99, 12,FALSE), IFERROR(VLOOKUP($A148,'ABB ExDa'!$A$2:$N$184, 0,FALSE), IFERROR(VLOOKUP($A148,'Vocus SIT ExDa'!$B$2:$J$173, 0,FALSE), IFERROR(VLOOKUP($A148,'Telstra ExDa'!$B$2:$K$310, 0,FALSE), IFERROR(VLOOKUP($A148,'Vocus RVC ExDa'!$C$2:$R$155, 0,FALSE), IFERROR(VLOOKUP($A148,'Fusion ExDa'!$B$2:$D$16, 0,FALSE), IFERROR(VLOOKUP($A148,'Exetel ExDa'!$C$2:$N$14, 12,FALSE), IFERROR(VLOOKUP($A148,'Infinet ExDa'!$B$2:$E$14, 0,FALSE), "Not Found"))))))))</f>
        <v>Not Found</v>
      </c>
      <c r="L148" s="235" t="str">
        <f>IFERROR(VLOOKUP($A148,'AAPT ExDa'!$B$2:$U$99, 11,FALSE), IFERROR(VLOOKUP($A148,'ABB ExDa'!$A$2:$N$184, 9,FALSE), IFERROR(VLOOKUP($A148,'Vocus SIT ExDa'!$B$2:$J$173, 8,FALSE), IFERROR(VLOOKUP($A148,'Telstra ExDa'!$B$2:$K$310, 0,FALSE), IFERROR(VLOOKUP($A148,'Vocus RVC ExDa'!$C$2:$R$155, 0,FALSE), IFERROR(VLOOKUP($A148,'Fusion ExDa'!$B$2:$D$16, 0,FALSE), IFERROR(VLOOKUP($A148,'Exetel ExDa'!$C$2:$N$14, 9,FALSE), IFERROR(VLOOKUP($A148,'Infinet ExDa'!$B$2:$E$14, 0,FALSE), "Not Found"))))))))</f>
        <v>2 Dec 2024</v>
      </c>
      <c r="M148" s="234" t="str">
        <f>IFERROR(VLOOKUP($A148,'AAPT ExDa'!$B$2:$U$99, 0,FALSE), IFERROR(VLOOKUP($A148,'ABB ExDa'!$A$2:$N$184, 0,FALSE), IFERROR(VLOOKUP($A148,'Vocus SIT ExDa'!$B$2:$J$173, 0,FALSE), IFERROR(VLOOKUP($A148,'Telstra ExDa'!$B$2:$K$310, 0,FALSE), IFERROR(VLOOKUP($A148,'Vocus RVC ExDa'!$C$2:$R$155, 0,FALSE), IFERROR(VLOOKUP($A148,'Fusion ExDa'!$B$2:$D$16, 0,FALSE), IFERROR(VLOOKUP($A148,'Exetel ExDa'!$C$2:$N$14, 11,FALSE), IFERROR(VLOOKUP($A148,'Infinet ExDa'!$B$2:$E$14, 0,FALSE), "Not Found"))))))))</f>
        <v>Not Found</v>
      </c>
      <c r="N148" t="str">
        <f>IFERROR(VLOOKUP($A148,'AAPT ExDa'!$B$2:$U$99, 0,FALSE), IFERROR(VLOOKUP($A148,'ABB ExDa'!$A$2:$N$184, 13,FALSE), IFERROR(VLOOKUP($A148,'Vocus SIT ExDa'!$B$2:$J$173, 0,FALSE), IFERROR(VLOOKUP($A148,'Telstra ExDa'!$B$2:$K$310, 0,FALSE), IFERROR(VLOOKUP($A148,'Vocus RVC ExDa'!$C$2:$R$155, 0,FALSE), IFERROR(VLOOKUP($A148,'Fusion ExDa'!$B$2:$D$16, 0,FALSE), IFERROR(VLOOKUP($A148,'Exetel ExDa'!$C$2:$N$14, 0,FALSE), IFERROR(VLOOKUP($A148,'Infinet ExDa'!$B$2:$E$14, 0,FALSE), "Not Found"))))))))</f>
        <v>Onebill/ Sasboss</v>
      </c>
    </row>
    <row r="149" spans="1:14">
      <c r="A149" t="str">
        <v>Spicers Guest House</v>
      </c>
      <c r="B149" t="str">
        <f>IFERROR(VLOOKUP(A149,'Exetel ExDa'!$C$2:$N$14,4,FALSE),"No Data")</f>
        <v>No Data</v>
      </c>
      <c r="C149">
        <f>IFERROR(VLOOKUP(A149,'AAPT ExDa'!$B$2:$U$99, 2,FALSE), IFERROR(VLOOKUP(A149,'ABB ExDa'!$A$2:$N$184, 2,FALSE), IFERROR(VLOOKUP(A149,'Vocus SIT ExDa'!$B$2:$J$173, 7,FALSE), IFERROR(VLOOKUP(A149,'Telstra ExDa'!$B$2:$K$310, 2,FALSE), IFERROR(VLOOKUP(A149,'Vocus RVC ExDa'!$C$2:$R$155, 3,FALSE), IFERROR(VLOOKUP(A149,'Fusion ExDa'!$B$2:$D$16, 2,FALSE), IFERROR(VLOOKUP(A149,'Exetel ExDa'!$C$2:$N$14, 2,FALSE), IFERROR(VLOOKUP(A149,'Infinet ExDa'!$B$2:$E$14, 2,FALSE), "Not Found"))))))))</f>
        <v>0</v>
      </c>
      <c r="D149" t="str">
        <f>IFERROR(VLOOKUP($A149,'AAPT ExDa'!$B$2:$U$99, 15,FALSE), IFERROR(VLOOKUP($A149,'ABB ExDa'!$A$2:$N$184, 4,FALSE), IFERROR(VLOOKUP($A149,'Vocus SIT ExDa'!$B$2:$J$173, 5,FALSE), IFERROR(VLOOKUP($A149,'Telstra ExDa'!$B$2:$K$310, 8,FALSE), IFERROR(VLOOKUP($A149,'Vocus RVC ExDa'!$C$2:$R$155, 6,FALSE), IFERROR(VLOOKUP($A149,'Fusion ExDa'!$B$2:$D$16, 4,FALSE), IFERROR(VLOOKUP($A149,'Exetel ExDa'!$C$2:$N$14, 3,FALSE), IFERROR(VLOOKUP($A149,'Infinet ExDa'!$B$2:$E$14, 3,FALSE), "Not Found"))))))))</f>
        <v>AAPT</v>
      </c>
      <c r="E149" t="str">
        <f>IFERROR(VLOOKUP($A149,'AAPT ExDa'!$B$2:$U$99, 3,FALSE), IFERROR(VLOOKUP($A149,'ABB ExDa'!$A$2:$N$184, 5,FALSE), IFERROR(VLOOKUP($A149,'Vocus SIT ExDa'!$B$2:$J$173, 2,FALSE), IFERROR(VLOOKUP($A149,'Telstra ExDa'!$B$2:$K$310, 4,FALSE), IFERROR(VLOOKUP($A149,'Vocus RVC ExDa'!$C$2:$R$155, 8,FALSE), IFERROR(VLOOKUP($A149,'Fusion ExDa'!$B$2:$D$16, 4,FALSE), IFERROR(VLOOKUP($A149,'Exetel ExDa'!$C$2:$N$14, 5,FALSE), IFERROR(VLOOKUP($A149,'Infinet ExDa'!$B$2:$E$14, 3,FALSE), "Not Found"))))))))</f>
        <v>IP-Line</v>
      </c>
      <c r="F149" t="str">
        <f>IFERROR(VLOOKUP($A149,'AAPT ExDa'!$B$2:$U$99, 4,FALSE), IFERROR(VLOOKUP($A149,'ABB ExDa'!$A$2:$N$184, 6,FALSE), IFERROR(VLOOKUP($A149,'Vocus SIT ExDa'!$B$2:$J$173, 3,FALSE), IFERROR(VLOOKUP($A149,'Telstra ExDa'!$B$2:$K$310, 5,FALSE), IFERROR(VLOOKUP($A149,'Vocus RVC ExDa'!$C$2:$R$155, 9,FALSE), IFERROR(VLOOKUP($A149,'Fusion ExDa'!$B$2:$D$16, 0,FALSE), IFERROR(VLOOKUP($A149,'Exetel ExDa'!$C$2:$N$14, 6,FALSE), IFERROR(VLOOKUP($A149,'Infinet ExDa'!$B$2:$E$14, 0,FALSE), "Not Found"))))))))</f>
        <v>IP-Line Link</v>
      </c>
      <c r="G149" t="str">
        <f>IFERROR(VLOOKUP($A149,'AAPT ExDa'!$B$2:$U$99, 5,FALSE), IFERROR(VLOOKUP($A149,'ABB ExDa'!$A$2:$N$184, 8,FALSE), IFERROR(VLOOKUP($A149,'Vocus SIT ExDa'!$B$2:$J$173, 6,FALSE), IFERROR(VLOOKUP($A149,'Telstra ExDa'!$B$2:$K$310, 0,FALSE), IFERROR(VLOOKUP($A149,'Vocus RVC ExDa'!$C$2:$R$155, 15,FALSE), IFERROR(VLOOKUP($A149,'Fusion ExDa'!$B$2:$D$16, 0,FALSE), IFERROR(VLOOKUP($A149,'Exetel ExDa'!$C$2:$N$14, 7,FALSE), IFERROR(VLOOKUP($A149,'Infinet ExDa'!$B$2:$E$14, 0,FALSE), "Not Found"))))))))</f>
        <v>Connecting IP-Line 6023265 to Access 1989132</v>
      </c>
      <c r="H149" t="str">
        <f>IFERROR(VLOOKUP($A149,'AAPT ExDa'!$B$2:$U$99, 6,FALSE), IFERROR(VLOOKUP($A149,'ABB ExDa'!$A$2:$N$184, 0,FALSE), IFERROR(VLOOKUP($A149,'Vocus SIT ExDa'!$B$2:$J$173, 0,FALSE), IFERROR(VLOOKUP($A149,'Telstra ExDa'!$B$2:$K$310, 0,FALSE), IFERROR(VLOOKUP($A149,'Vocus RVC ExDa'!$C$2:$R$155, 16,FALSE), IFERROR(VLOOKUP($A149,'Fusion ExDa'!$B$2:$D$16, 0,FALSE), IFERROR(VLOOKUP($A149,'Exetel ExDa'!$C$2:$N$14, 0,FALSE), IFERROR(VLOOKUP($A149,'Infinet ExDa'!$B$2:$E$14, 0,FALSE), "Not Found"))))))))</f>
        <v>Up to 100/40Mbps; AVC ID:AVC000124232826</v>
      </c>
      <c r="I149" t="str">
        <f>IFERROR(VLOOKUP($A149,'AAPT ExDa'!$B$2:$U$99, 0,FALSE), IFERROR(VLOOKUP($A149,'ABB ExDa'!$A$2:$N$184, 0,FALSE), IFERROR(VLOOKUP($A149,'Vocus SIT ExDa'!$B$2:$J$173, 0,FALSE), IFERROR(VLOOKUP($A149,'Telstra ExDa'!$B$2:$K$310, 0,FALSE), IFERROR(VLOOKUP($A149,'Vocus RVC ExDa'!$C$2:$R$155, 0,FALSE), IFERROR(VLOOKUP($A149,'Fusion ExDa'!$B$2:$D$16, 0,FALSE), IFERROR(VLOOKUP($A149,'Exetel ExDa'!$C$2:$N$14, 8,FALSE), IFERROR(VLOOKUP($A149,'Infinet ExDa'!$B$2:$E$14, 0,FALSE), "Not Found"))))))))</f>
        <v>Not Found</v>
      </c>
      <c r="J149" t="str">
        <f>IFERROR(VLOOKUP($A149,'AAPT ExDa'!$B$2:$U$99, 7,FALSE), IFERROR(VLOOKUP($A149,'ABB ExDa'!$A$2:$N$184, 2,FALSE), IFERROR(VLOOKUP($A149,'Vocus SIT ExDa'!$B$2:$J$173, 0,FALSE), IFERROR(VLOOKUP($A149,'Telstra ExDa'!$B$2:$K$310, 7,FALSE), IFERROR(VLOOKUP($A149,'Vocus RVC ExDa'!$C$2:$R$155, 2,FALSE), IFERROR(VLOOKUP($A149,'Fusion ExDa'!$B$2:$D$16, 3,FALSE), IFERROR(VLOOKUP($A149,'Exetel ExDa'!$C$2:$N$14, 0,FALSE), IFERROR(VLOOKUP($A149,'Infinet ExDa'!$B$2:$E$14, 0,FALSE), "Not Found"))))))))</f>
        <v>AVC000124232826</v>
      </c>
      <c r="K149" t="str">
        <f>IFERROR(VLOOKUP($A149,'AAPT ExDa'!$B$2:$U$99, 12,FALSE), IFERROR(VLOOKUP($A149,'ABB ExDa'!$A$2:$N$184, 0,FALSE), IFERROR(VLOOKUP($A149,'Vocus SIT ExDa'!$B$2:$J$173, 0,FALSE), IFERROR(VLOOKUP($A149,'Telstra ExDa'!$B$2:$K$310, 0,FALSE), IFERROR(VLOOKUP($A149,'Vocus RVC ExDa'!$C$2:$R$155, 0,FALSE), IFERROR(VLOOKUP($A149,'Fusion ExDa'!$B$2:$D$16, 0,FALSE), IFERROR(VLOOKUP($A149,'Exetel ExDa'!$C$2:$N$14, 12,FALSE), IFERROR(VLOOKUP($A149,'Infinet ExDa'!$B$2:$E$14, 0,FALSE), "Not Found"))))))))</f>
        <v>24 Months</v>
      </c>
      <c r="L149" s="235">
        <f>IFERROR(VLOOKUP($A149,'AAPT ExDa'!$B$2:$U$99, 11,FALSE), IFERROR(VLOOKUP($A149,'ABB ExDa'!$A$2:$N$184, 9,FALSE), IFERROR(VLOOKUP($A149,'Vocus SIT ExDa'!$B$2:$J$173, 8,FALSE), IFERROR(VLOOKUP($A149,'Telstra ExDa'!$B$2:$K$310, 0,FALSE), IFERROR(VLOOKUP($A149,'Vocus RVC ExDa'!$C$2:$R$155, 0,FALSE), IFERROR(VLOOKUP($A149,'Fusion ExDa'!$B$2:$D$16, 0,FALSE), IFERROR(VLOOKUP($A149,'Exetel ExDa'!$C$2:$N$14, 9,FALSE), IFERROR(VLOOKUP($A149,'Infinet ExDa'!$B$2:$E$14, 0,FALSE), "Not Found"))))))))</f>
        <v>44321</v>
      </c>
      <c r="M149" s="234" t="str">
        <f>IFERROR(VLOOKUP($A149,'AAPT ExDa'!$B$2:$U$99, 0,FALSE), IFERROR(VLOOKUP($A149,'ABB ExDa'!$A$2:$N$184, 0,FALSE), IFERROR(VLOOKUP($A149,'Vocus SIT ExDa'!$B$2:$J$173, 0,FALSE), IFERROR(VLOOKUP($A149,'Telstra ExDa'!$B$2:$K$310, 0,FALSE), IFERROR(VLOOKUP($A149,'Vocus RVC ExDa'!$C$2:$R$155, 0,FALSE), IFERROR(VLOOKUP($A149,'Fusion ExDa'!$B$2:$D$16, 0,FALSE), IFERROR(VLOOKUP($A149,'Exetel ExDa'!$C$2:$N$14, 11,FALSE), IFERROR(VLOOKUP($A149,'Infinet ExDa'!$B$2:$E$14, 0,FALSE), "Not Found"))))))))</f>
        <v>Not Found</v>
      </c>
      <c r="N149" t="str">
        <f>IFERROR(VLOOKUP($A149,'AAPT ExDa'!$B$2:$U$99, 0,FALSE), IFERROR(VLOOKUP($A149,'ABB ExDa'!$A$2:$N$184, 13,FALSE), IFERROR(VLOOKUP($A149,'Vocus SIT ExDa'!$B$2:$J$173, 0,FALSE), IFERROR(VLOOKUP($A149,'Telstra ExDa'!$B$2:$K$310, 0,FALSE), IFERROR(VLOOKUP($A149,'Vocus RVC ExDa'!$C$2:$R$155, 0,FALSE), IFERROR(VLOOKUP($A149,'Fusion ExDa'!$B$2:$D$16, 0,FALSE), IFERROR(VLOOKUP($A149,'Exetel ExDa'!$C$2:$N$14, 0,FALSE), IFERROR(VLOOKUP($A149,'Infinet ExDa'!$B$2:$E$14, 0,FALSE), "Not Found"))))))))</f>
        <v>TBA</v>
      </c>
    </row>
    <row r="150" spans="1:14">
      <c r="A150" t="str">
        <v>Spicers Hiddenvale</v>
      </c>
      <c r="B150" t="str">
        <f>IFERROR(VLOOKUP(A150,'Exetel ExDa'!$C$2:$N$14,4,FALSE),"No Data")</f>
        <v>No Data</v>
      </c>
      <c r="C150" t="str">
        <f>IFERROR(VLOOKUP(A150,'AAPT ExDa'!$B$2:$U$99, 2,FALSE), IFERROR(VLOOKUP(A150,'ABB ExDa'!$A$2:$N$184, 2,FALSE), IFERROR(VLOOKUP(A150,'Vocus SIT ExDa'!$B$2:$J$173, 7,FALSE), IFERROR(VLOOKUP(A150,'Telstra ExDa'!$B$2:$K$310, 2,FALSE), IFERROR(VLOOKUP(A150,'Vocus RVC ExDa'!$C$2:$R$155, 3,FALSE), IFERROR(VLOOKUP(A150,'Fusion ExDa'!$B$2:$D$16, 2,FALSE), IFERROR(VLOOKUP(A150,'Exetel ExDa'!$C$2:$N$14, 2,FALSE), IFERROR(VLOOKUP(A150,'Infinet ExDa'!$B$2:$E$14, 2,FALSE), "Not Found"))))))))</f>
        <v>22 CREEDY ST, ROSEWOOD QLD</v>
      </c>
      <c r="D150" t="str">
        <f>IFERROR(VLOOKUP($A150,'AAPT ExDa'!$B$2:$U$99, 15,FALSE), IFERROR(VLOOKUP($A150,'ABB ExDa'!$A$2:$N$184, 4,FALSE), IFERROR(VLOOKUP($A150,'Vocus SIT ExDa'!$B$2:$J$173, 5,FALSE), IFERROR(VLOOKUP($A150,'Telstra ExDa'!$B$2:$K$310, 8,FALSE), IFERROR(VLOOKUP($A150,'Vocus RVC ExDa'!$C$2:$R$155, 6,FALSE), IFERROR(VLOOKUP($A150,'Fusion ExDa'!$B$2:$D$16, 4,FALSE), IFERROR(VLOOKUP($A150,'Exetel ExDa'!$C$2:$N$14, 3,FALSE), IFERROR(VLOOKUP($A150,'Infinet ExDa'!$B$2:$E$14, 3,FALSE), "Not Found"))))))))</f>
        <v>ABB</v>
      </c>
      <c r="E150" t="str">
        <f>IFERROR(VLOOKUP($A150,'AAPT ExDa'!$B$2:$U$99, 3,FALSE), IFERROR(VLOOKUP($A150,'ABB ExDa'!$A$2:$N$184, 5,FALSE), IFERROR(VLOOKUP($A150,'Vocus SIT ExDa'!$B$2:$J$173, 2,FALSE), IFERROR(VLOOKUP($A150,'Telstra ExDa'!$B$2:$K$310, 4,FALSE), IFERROR(VLOOKUP($A150,'Vocus RVC ExDa'!$C$2:$R$155, 8,FALSE), IFERROR(VLOOKUP($A150,'Fusion ExDa'!$B$2:$D$16, 4,FALSE), IFERROR(VLOOKUP($A150,'Exetel ExDa'!$C$2:$N$14, 5,FALSE), IFERROR(VLOOKUP($A150,'Infinet ExDa'!$B$2:$E$14, 3,FALSE), "Not Found"))))))))</f>
        <v>NBN 250/100</v>
      </c>
      <c r="F150" t="str">
        <f>IFERROR(VLOOKUP($A150,'AAPT ExDa'!$B$2:$U$99, 4,FALSE), IFERROR(VLOOKUP($A150,'ABB ExDa'!$A$2:$N$184, 6,FALSE), IFERROR(VLOOKUP($A150,'Vocus SIT ExDa'!$B$2:$J$173, 3,FALSE), IFERROR(VLOOKUP($A150,'Telstra ExDa'!$B$2:$K$310, 5,FALSE), IFERROR(VLOOKUP($A150,'Vocus RVC ExDa'!$C$2:$R$155, 9,FALSE), IFERROR(VLOOKUP($A150,'Fusion ExDa'!$B$2:$D$16, 0,FALSE), IFERROR(VLOOKUP($A150,'Exetel ExDa'!$C$2:$N$14, 6,FALSE), IFERROR(VLOOKUP($A150,'Infinet ExDa'!$B$2:$E$14, 0,FALSE), "Not Found"))))))))</f>
        <v xml:space="preserve">Fibre </v>
      </c>
      <c r="G150" t="str">
        <f>IFERROR(VLOOKUP($A150,'AAPT ExDa'!$B$2:$U$99, 5,FALSE), IFERROR(VLOOKUP($A150,'ABB ExDa'!$A$2:$N$184, 8,FALSE), IFERROR(VLOOKUP($A150,'Vocus SIT ExDa'!$B$2:$J$173, 6,FALSE), IFERROR(VLOOKUP($A150,'Telstra ExDa'!$B$2:$K$310, 0,FALSE), IFERROR(VLOOKUP($A150,'Vocus RVC ExDa'!$C$2:$R$155, 15,FALSE), IFERROR(VLOOKUP($A150,'Fusion ExDa'!$B$2:$D$16, 0,FALSE), IFERROR(VLOOKUP($A150,'Exetel ExDa'!$C$2:$N$14, 7,FALSE), IFERROR(VLOOKUP($A150,'Infinet ExDa'!$B$2:$E$14, 0,FALSE), "Not Found"))))))))</f>
        <v>180.150.104.60</v>
      </c>
      <c r="H150" t="str">
        <f>IFERROR(VLOOKUP($A150,'AAPT ExDa'!$B$2:$U$99, 6,FALSE), IFERROR(VLOOKUP($A150,'ABB ExDa'!$A$2:$N$184, 0,FALSE), IFERROR(VLOOKUP($A150,'Vocus SIT ExDa'!$B$2:$J$173, 0,FALSE), IFERROR(VLOOKUP($A150,'Telstra ExDa'!$B$2:$K$310, 0,FALSE), IFERROR(VLOOKUP($A150,'Vocus RVC ExDa'!$C$2:$R$155, 16,FALSE), IFERROR(VLOOKUP($A150,'Fusion ExDa'!$B$2:$D$16, 0,FALSE), IFERROR(VLOOKUP($A150,'Exetel ExDa'!$C$2:$N$14, 0,FALSE), IFERROR(VLOOKUP($A150,'Infinet ExDa'!$B$2:$E$14, 0,FALSE), "Not Found"))))))))</f>
        <v>Not Found</v>
      </c>
      <c r="I150" t="str">
        <f>IFERROR(VLOOKUP($A150,'AAPT ExDa'!$B$2:$U$99, 0,FALSE), IFERROR(VLOOKUP($A150,'ABB ExDa'!$A$2:$N$184, 0,FALSE), IFERROR(VLOOKUP($A150,'Vocus SIT ExDa'!$B$2:$J$173, 0,FALSE), IFERROR(VLOOKUP($A150,'Telstra ExDa'!$B$2:$K$310, 0,FALSE), IFERROR(VLOOKUP($A150,'Vocus RVC ExDa'!$C$2:$R$155, 0,FALSE), IFERROR(VLOOKUP($A150,'Fusion ExDa'!$B$2:$D$16, 0,FALSE), IFERROR(VLOOKUP($A150,'Exetel ExDa'!$C$2:$N$14, 8,FALSE), IFERROR(VLOOKUP($A150,'Infinet ExDa'!$B$2:$E$14, 0,FALSE), "Not Found"))))))))</f>
        <v>Not Found</v>
      </c>
      <c r="J150" t="str">
        <f>IFERROR(VLOOKUP($A150,'AAPT ExDa'!$B$2:$U$99, 7,FALSE), IFERROR(VLOOKUP($A150,'ABB ExDa'!$A$2:$N$184, 2,FALSE), IFERROR(VLOOKUP($A150,'Vocus SIT ExDa'!$B$2:$J$173, 0,FALSE), IFERROR(VLOOKUP($A150,'Telstra ExDa'!$B$2:$K$310, 7,FALSE), IFERROR(VLOOKUP($A150,'Vocus RVC ExDa'!$C$2:$R$155, 2,FALSE), IFERROR(VLOOKUP($A150,'Fusion ExDa'!$B$2:$D$16, 3,FALSE), IFERROR(VLOOKUP($A150,'Exetel ExDa'!$C$2:$N$14, 0,FALSE), IFERROR(VLOOKUP($A150,'Infinet ExDa'!$B$2:$E$14, 0,FALSE), "Not Found"))))))))</f>
        <v>22 CREEDY ST, ROSEWOOD QLD</v>
      </c>
      <c r="K150" t="str">
        <f>IFERROR(VLOOKUP($A150,'AAPT ExDa'!$B$2:$U$99, 12,FALSE), IFERROR(VLOOKUP($A150,'ABB ExDa'!$A$2:$N$184, 0,FALSE), IFERROR(VLOOKUP($A150,'Vocus SIT ExDa'!$B$2:$J$173, 0,FALSE), IFERROR(VLOOKUP($A150,'Telstra ExDa'!$B$2:$K$310, 0,FALSE), IFERROR(VLOOKUP($A150,'Vocus RVC ExDa'!$C$2:$R$155, 0,FALSE), IFERROR(VLOOKUP($A150,'Fusion ExDa'!$B$2:$D$16, 0,FALSE), IFERROR(VLOOKUP($A150,'Exetel ExDa'!$C$2:$N$14, 12,FALSE), IFERROR(VLOOKUP($A150,'Infinet ExDa'!$B$2:$E$14, 0,FALSE), "Not Found"))))))))</f>
        <v>Not Found</v>
      </c>
      <c r="L150" s="235" t="str">
        <f>IFERROR(VLOOKUP($A150,'AAPT ExDa'!$B$2:$U$99, 11,FALSE), IFERROR(VLOOKUP($A150,'ABB ExDa'!$A$2:$N$184, 9,FALSE), IFERROR(VLOOKUP($A150,'Vocus SIT ExDa'!$B$2:$J$173, 8,FALSE), IFERROR(VLOOKUP($A150,'Telstra ExDa'!$B$2:$K$310, 0,FALSE), IFERROR(VLOOKUP($A150,'Vocus RVC ExDa'!$C$2:$R$155, 0,FALSE), IFERROR(VLOOKUP($A150,'Fusion ExDa'!$B$2:$D$16, 0,FALSE), IFERROR(VLOOKUP($A150,'Exetel ExDa'!$C$2:$N$14, 9,FALSE), IFERROR(VLOOKUP($A150,'Infinet ExDa'!$B$2:$E$14, 0,FALSE), "Not Found"))))))))</f>
        <v>04 Jan 2024</v>
      </c>
      <c r="M150" s="234" t="str">
        <f>IFERROR(VLOOKUP($A150,'AAPT ExDa'!$B$2:$U$99, 0,FALSE), IFERROR(VLOOKUP($A150,'ABB ExDa'!$A$2:$N$184, 0,FALSE), IFERROR(VLOOKUP($A150,'Vocus SIT ExDa'!$B$2:$J$173, 0,FALSE), IFERROR(VLOOKUP($A150,'Telstra ExDa'!$B$2:$K$310, 0,FALSE), IFERROR(VLOOKUP($A150,'Vocus RVC ExDa'!$C$2:$R$155, 0,FALSE), IFERROR(VLOOKUP($A150,'Fusion ExDa'!$B$2:$D$16, 0,FALSE), IFERROR(VLOOKUP($A150,'Exetel ExDa'!$C$2:$N$14, 11,FALSE), IFERROR(VLOOKUP($A150,'Infinet ExDa'!$B$2:$E$14, 0,FALSE), "Not Found"))))))))</f>
        <v>Not Found</v>
      </c>
      <c r="N150" t="str">
        <f>IFERROR(VLOOKUP($A150,'AAPT ExDa'!$B$2:$U$99, 0,FALSE), IFERROR(VLOOKUP($A150,'ABB ExDa'!$A$2:$N$184, 13,FALSE), IFERROR(VLOOKUP($A150,'Vocus SIT ExDa'!$B$2:$J$173, 0,FALSE), IFERROR(VLOOKUP($A150,'Telstra ExDa'!$B$2:$K$310, 0,FALSE), IFERROR(VLOOKUP($A150,'Vocus RVC ExDa'!$C$2:$R$155, 0,FALSE), IFERROR(VLOOKUP($A150,'Fusion ExDa'!$B$2:$D$16, 0,FALSE), IFERROR(VLOOKUP($A150,'Exetel ExDa'!$C$2:$N$14, 0,FALSE), IFERROR(VLOOKUP($A150,'Infinet ExDa'!$B$2:$E$14, 0,FALSE), "Not Found"))))))))</f>
        <v>Datagate</v>
      </c>
    </row>
    <row r="151" spans="1:14">
      <c r="A151" t="str">
        <v>Spicers Peak Lodge</v>
      </c>
      <c r="B151" t="str">
        <f>IFERROR(VLOOKUP(A151,'Exetel ExDa'!$C$2:$N$14,4,FALSE),"No Data")</f>
        <v>No Data</v>
      </c>
      <c r="C151" t="str">
        <f>IFERROR(VLOOKUP(A151,'AAPT ExDa'!$B$2:$U$99, 2,FALSE), IFERROR(VLOOKUP(A151,'ABB ExDa'!$A$2:$N$184, 2,FALSE), IFERROR(VLOOKUP(A151,'Vocus SIT ExDa'!$B$2:$J$173, 7,FALSE), IFERROR(VLOOKUP(A151,'Telstra ExDa'!$B$2:$K$310, 2,FALSE), IFERROR(VLOOKUP(A151,'Vocus RVC ExDa'!$C$2:$R$155, 3,FALSE), IFERROR(VLOOKUP(A151,'Fusion ExDa'!$B$2:$D$16, 2,FALSE), IFERROR(VLOOKUP(A151,'Exetel ExDa'!$C$2:$N$14, 2,FALSE), IFERROR(VLOOKUP(A151,'Infinet ExDa'!$B$2:$E$14, 2,FALSE), "Not Found"))))))))</f>
        <v>1 WILKINSON RD, MARYVALE QLD</v>
      </c>
      <c r="D151" t="str">
        <f>IFERROR(VLOOKUP($A151,'AAPT ExDa'!$B$2:$U$99, 15,FALSE), IFERROR(VLOOKUP($A151,'ABB ExDa'!$A$2:$N$184, 4,FALSE), IFERROR(VLOOKUP($A151,'Vocus SIT ExDa'!$B$2:$J$173, 5,FALSE), IFERROR(VLOOKUP($A151,'Telstra ExDa'!$B$2:$K$310, 8,FALSE), IFERROR(VLOOKUP($A151,'Vocus RVC ExDa'!$C$2:$R$155, 6,FALSE), IFERROR(VLOOKUP($A151,'Fusion ExDa'!$B$2:$D$16, 4,FALSE), IFERROR(VLOOKUP($A151,'Exetel ExDa'!$C$2:$N$14, 3,FALSE), IFERROR(VLOOKUP($A151,'Infinet ExDa'!$B$2:$E$14, 3,FALSE), "Not Found"))))))))</f>
        <v>ABB</v>
      </c>
      <c r="E151" t="str">
        <f>IFERROR(VLOOKUP($A151,'AAPT ExDa'!$B$2:$U$99, 3,FALSE), IFERROR(VLOOKUP($A151,'ABB ExDa'!$A$2:$N$184, 5,FALSE), IFERROR(VLOOKUP($A151,'Vocus SIT ExDa'!$B$2:$J$173, 2,FALSE), IFERROR(VLOOKUP($A151,'Telstra ExDa'!$B$2:$K$310, 4,FALSE), IFERROR(VLOOKUP($A151,'Vocus RVC ExDa'!$C$2:$R$155, 8,FALSE), IFERROR(VLOOKUP($A151,'Fusion ExDa'!$B$2:$D$16, 4,FALSE), IFERROR(VLOOKUP($A151,'Exetel ExDa'!$C$2:$N$14, 5,FALSE), IFERROR(VLOOKUP($A151,'Infinet ExDa'!$B$2:$E$14, 3,FALSE), "Not Found"))))))))</f>
        <v>NBN 100/20</v>
      </c>
      <c r="F151" t="str">
        <f>IFERROR(VLOOKUP($A151,'AAPT ExDa'!$B$2:$U$99, 4,FALSE), IFERROR(VLOOKUP($A151,'ABB ExDa'!$A$2:$N$184, 6,FALSE), IFERROR(VLOOKUP($A151,'Vocus SIT ExDa'!$B$2:$J$173, 3,FALSE), IFERROR(VLOOKUP($A151,'Telstra ExDa'!$B$2:$K$310, 5,FALSE), IFERROR(VLOOKUP($A151,'Vocus RVC ExDa'!$C$2:$R$155, 9,FALSE), IFERROR(VLOOKUP($A151,'Fusion ExDa'!$B$2:$D$16, 0,FALSE), IFERROR(VLOOKUP($A151,'Exetel ExDa'!$C$2:$N$14, 6,FALSE), IFERROR(VLOOKUP($A151,'Infinet ExDa'!$B$2:$E$14, 0,FALSE), "Not Found"))))))))</f>
        <v>Fixed Wireless</v>
      </c>
      <c r="G151" t="str">
        <f>IFERROR(VLOOKUP($A151,'AAPT ExDa'!$B$2:$U$99, 5,FALSE), IFERROR(VLOOKUP($A151,'ABB ExDa'!$A$2:$N$184, 8,FALSE), IFERROR(VLOOKUP($A151,'Vocus SIT ExDa'!$B$2:$J$173, 6,FALSE), IFERROR(VLOOKUP($A151,'Telstra ExDa'!$B$2:$K$310, 0,FALSE), IFERROR(VLOOKUP($A151,'Vocus RVC ExDa'!$C$2:$R$155, 15,FALSE), IFERROR(VLOOKUP($A151,'Fusion ExDa'!$B$2:$D$16, 0,FALSE), IFERROR(VLOOKUP($A151,'Exetel ExDa'!$C$2:$N$14, 7,FALSE), IFERROR(VLOOKUP($A151,'Infinet ExDa'!$B$2:$E$14, 0,FALSE), "Not Found"))))))))</f>
        <v>159.196.43.67</v>
      </c>
      <c r="H151" t="str">
        <f>IFERROR(VLOOKUP($A151,'AAPT ExDa'!$B$2:$U$99, 6,FALSE), IFERROR(VLOOKUP($A151,'ABB ExDa'!$A$2:$N$184, 0,FALSE), IFERROR(VLOOKUP($A151,'Vocus SIT ExDa'!$B$2:$J$173, 0,FALSE), IFERROR(VLOOKUP($A151,'Telstra ExDa'!$B$2:$K$310, 0,FALSE), IFERROR(VLOOKUP($A151,'Vocus RVC ExDa'!$C$2:$R$155, 16,FALSE), IFERROR(VLOOKUP($A151,'Fusion ExDa'!$B$2:$D$16, 0,FALSE), IFERROR(VLOOKUP($A151,'Exetel ExDa'!$C$2:$N$14, 0,FALSE), IFERROR(VLOOKUP($A151,'Infinet ExDa'!$B$2:$E$14, 0,FALSE), "Not Found"))))))))</f>
        <v>Not Found</v>
      </c>
      <c r="I151" t="str">
        <f>IFERROR(VLOOKUP($A151,'AAPT ExDa'!$B$2:$U$99, 0,FALSE), IFERROR(VLOOKUP($A151,'ABB ExDa'!$A$2:$N$184, 0,FALSE), IFERROR(VLOOKUP($A151,'Vocus SIT ExDa'!$B$2:$J$173, 0,FALSE), IFERROR(VLOOKUP($A151,'Telstra ExDa'!$B$2:$K$310, 0,FALSE), IFERROR(VLOOKUP($A151,'Vocus RVC ExDa'!$C$2:$R$155, 0,FALSE), IFERROR(VLOOKUP($A151,'Fusion ExDa'!$B$2:$D$16, 0,FALSE), IFERROR(VLOOKUP($A151,'Exetel ExDa'!$C$2:$N$14, 8,FALSE), IFERROR(VLOOKUP($A151,'Infinet ExDa'!$B$2:$E$14, 0,FALSE), "Not Found"))))))))</f>
        <v>Not Found</v>
      </c>
      <c r="J151" t="str">
        <f>IFERROR(VLOOKUP($A151,'AAPT ExDa'!$B$2:$U$99, 7,FALSE), IFERROR(VLOOKUP($A151,'ABB ExDa'!$A$2:$N$184, 2,FALSE), IFERROR(VLOOKUP($A151,'Vocus SIT ExDa'!$B$2:$J$173, 0,FALSE), IFERROR(VLOOKUP($A151,'Telstra ExDa'!$B$2:$K$310, 7,FALSE), IFERROR(VLOOKUP($A151,'Vocus RVC ExDa'!$C$2:$R$155, 2,FALSE), IFERROR(VLOOKUP($A151,'Fusion ExDa'!$B$2:$D$16, 3,FALSE), IFERROR(VLOOKUP($A151,'Exetel ExDa'!$C$2:$N$14, 0,FALSE), IFERROR(VLOOKUP($A151,'Infinet ExDa'!$B$2:$E$14, 0,FALSE), "Not Found"))))))))</f>
        <v>1 WILKINSON RD, MARYVALE QLD</v>
      </c>
      <c r="K151" t="str">
        <f>IFERROR(VLOOKUP($A151,'AAPT ExDa'!$B$2:$U$99, 12,FALSE), IFERROR(VLOOKUP($A151,'ABB ExDa'!$A$2:$N$184, 0,FALSE), IFERROR(VLOOKUP($A151,'Vocus SIT ExDa'!$B$2:$J$173, 0,FALSE), IFERROR(VLOOKUP($A151,'Telstra ExDa'!$B$2:$K$310, 0,FALSE), IFERROR(VLOOKUP($A151,'Vocus RVC ExDa'!$C$2:$R$155, 0,FALSE), IFERROR(VLOOKUP($A151,'Fusion ExDa'!$B$2:$D$16, 0,FALSE), IFERROR(VLOOKUP($A151,'Exetel ExDa'!$C$2:$N$14, 12,FALSE), IFERROR(VLOOKUP($A151,'Infinet ExDa'!$B$2:$E$14, 0,FALSE), "Not Found"))))))))</f>
        <v>Not Found</v>
      </c>
      <c r="L151" s="235" t="str">
        <f>IFERROR(VLOOKUP($A151,'AAPT ExDa'!$B$2:$U$99, 11,FALSE), IFERROR(VLOOKUP($A151,'ABB ExDa'!$A$2:$N$184, 9,FALSE), IFERROR(VLOOKUP($A151,'Vocus SIT ExDa'!$B$2:$J$173, 8,FALSE), IFERROR(VLOOKUP($A151,'Telstra ExDa'!$B$2:$K$310, 0,FALSE), IFERROR(VLOOKUP($A151,'Vocus RVC ExDa'!$C$2:$R$155, 0,FALSE), IFERROR(VLOOKUP($A151,'Fusion ExDa'!$B$2:$D$16, 0,FALSE), IFERROR(VLOOKUP($A151,'Exetel ExDa'!$C$2:$N$14, 9,FALSE), IFERROR(VLOOKUP($A151,'Infinet ExDa'!$B$2:$E$14, 0,FALSE), "Not Found"))))))))</f>
        <v>27 May 2022</v>
      </c>
      <c r="M151" s="234" t="str">
        <f>IFERROR(VLOOKUP($A151,'AAPT ExDa'!$B$2:$U$99, 0,FALSE), IFERROR(VLOOKUP($A151,'ABB ExDa'!$A$2:$N$184, 0,FALSE), IFERROR(VLOOKUP($A151,'Vocus SIT ExDa'!$B$2:$J$173, 0,FALSE), IFERROR(VLOOKUP($A151,'Telstra ExDa'!$B$2:$K$310, 0,FALSE), IFERROR(VLOOKUP($A151,'Vocus RVC ExDa'!$C$2:$R$155, 0,FALSE), IFERROR(VLOOKUP($A151,'Fusion ExDa'!$B$2:$D$16, 0,FALSE), IFERROR(VLOOKUP($A151,'Exetel ExDa'!$C$2:$N$14, 11,FALSE), IFERROR(VLOOKUP($A151,'Infinet ExDa'!$B$2:$E$14, 0,FALSE), "Not Found"))))))))</f>
        <v>Not Found</v>
      </c>
      <c r="N151" t="str">
        <f>IFERROR(VLOOKUP($A151,'AAPT ExDa'!$B$2:$U$99, 0,FALSE), IFERROR(VLOOKUP($A151,'ABB ExDa'!$A$2:$N$184, 13,FALSE), IFERROR(VLOOKUP($A151,'Vocus SIT ExDa'!$B$2:$J$173, 0,FALSE), IFERROR(VLOOKUP($A151,'Telstra ExDa'!$B$2:$K$310, 0,FALSE), IFERROR(VLOOKUP($A151,'Vocus RVC ExDa'!$C$2:$R$155, 0,FALSE), IFERROR(VLOOKUP($A151,'Fusion ExDa'!$B$2:$D$16, 0,FALSE), IFERROR(VLOOKUP($A151,'Exetel ExDa'!$C$2:$N$14, 0,FALSE), IFERROR(VLOOKUP($A151,'Infinet ExDa'!$B$2:$E$14, 0,FALSE), "Not Found"))))))))</f>
        <v>TBA</v>
      </c>
    </row>
    <row r="152" spans="1:14">
      <c r="A152" t="str">
        <v>Steve Hunt Electrical</v>
      </c>
      <c r="B152" t="str">
        <f>IFERROR(VLOOKUP(A152,'Exetel ExDa'!$C$2:$N$14,4,FALSE),"No Data")</f>
        <v>No Data</v>
      </c>
      <c r="C152" t="str">
        <f>IFERROR(VLOOKUP(A152,'AAPT ExDa'!$B$2:$U$99, 2,FALSE), IFERROR(VLOOKUP(A152,'ABB ExDa'!$A$2:$N$184, 2,FALSE), IFERROR(VLOOKUP(A152,'Vocus SIT ExDa'!$B$2:$J$173, 7,FALSE), IFERROR(VLOOKUP(A152,'Telstra ExDa'!$B$2:$K$310, 2,FALSE), IFERROR(VLOOKUP(A152,'Vocus RVC ExDa'!$C$2:$R$155, 3,FALSE), IFERROR(VLOOKUP(A152,'Fusion ExDa'!$B$2:$D$16, 2,FALSE), IFERROR(VLOOKUP(A152,'Exetel ExDa'!$C$2:$N$14, 2,FALSE), IFERROR(VLOOKUP(A152,'Infinet ExDa'!$B$2:$E$14, 2,FALSE), "Not Found"))))))))</f>
        <v>13 BROADWATER CL, BARGARA QLD</v>
      </c>
      <c r="D152" t="str">
        <f>IFERROR(VLOOKUP($A152,'AAPT ExDa'!$B$2:$U$99, 15,FALSE), IFERROR(VLOOKUP($A152,'ABB ExDa'!$A$2:$N$184, 4,FALSE), IFERROR(VLOOKUP($A152,'Vocus SIT ExDa'!$B$2:$J$173, 5,FALSE), IFERROR(VLOOKUP($A152,'Telstra ExDa'!$B$2:$K$310, 8,FALSE), IFERROR(VLOOKUP($A152,'Vocus RVC ExDa'!$C$2:$R$155, 6,FALSE), IFERROR(VLOOKUP($A152,'Fusion ExDa'!$B$2:$D$16, 4,FALSE), IFERROR(VLOOKUP($A152,'Exetel ExDa'!$C$2:$N$14, 3,FALSE), IFERROR(VLOOKUP($A152,'Infinet ExDa'!$B$2:$E$14, 3,FALSE), "Not Found"))))))))</f>
        <v>ABB</v>
      </c>
      <c r="E152" t="str">
        <f>IFERROR(VLOOKUP($A152,'AAPT ExDa'!$B$2:$U$99, 3,FALSE), IFERROR(VLOOKUP($A152,'ABB ExDa'!$A$2:$N$184, 5,FALSE), IFERROR(VLOOKUP($A152,'Vocus SIT ExDa'!$B$2:$J$173, 2,FALSE), IFERROR(VLOOKUP($A152,'Telstra ExDa'!$B$2:$K$310, 4,FALSE), IFERROR(VLOOKUP($A152,'Vocus RVC ExDa'!$C$2:$R$155, 8,FALSE), IFERROR(VLOOKUP($A152,'Fusion ExDa'!$B$2:$D$16, 4,FALSE), IFERROR(VLOOKUP($A152,'Exetel ExDa'!$C$2:$N$14, 5,FALSE), IFERROR(VLOOKUP($A152,'Infinet ExDa'!$B$2:$E$14, 3,FALSE), "Not Found"))))))))</f>
        <v>NBN 100/40</v>
      </c>
      <c r="F152" t="str">
        <f>IFERROR(VLOOKUP($A152,'AAPT ExDa'!$B$2:$U$99, 4,FALSE), IFERROR(VLOOKUP($A152,'ABB ExDa'!$A$2:$N$184, 6,FALSE), IFERROR(VLOOKUP($A152,'Vocus SIT ExDa'!$B$2:$J$173, 3,FALSE), IFERROR(VLOOKUP($A152,'Telstra ExDa'!$B$2:$K$310, 5,FALSE), IFERROR(VLOOKUP($A152,'Vocus RVC ExDa'!$C$2:$R$155, 9,FALSE), IFERROR(VLOOKUP($A152,'Fusion ExDa'!$B$2:$D$16, 0,FALSE), IFERROR(VLOOKUP($A152,'Exetel ExDa'!$C$2:$N$14, 6,FALSE), IFERROR(VLOOKUP($A152,'Infinet ExDa'!$B$2:$E$14, 0,FALSE), "Not Found"))))))))</f>
        <v>FTTC</v>
      </c>
      <c r="G152" t="str">
        <f>IFERROR(VLOOKUP($A152,'AAPT ExDa'!$B$2:$U$99, 5,FALSE), IFERROR(VLOOKUP($A152,'ABB ExDa'!$A$2:$N$184, 8,FALSE), IFERROR(VLOOKUP($A152,'Vocus SIT ExDa'!$B$2:$J$173, 6,FALSE), IFERROR(VLOOKUP($A152,'Telstra ExDa'!$B$2:$K$310, 0,FALSE), IFERROR(VLOOKUP($A152,'Vocus RVC ExDa'!$C$2:$R$155, 15,FALSE), IFERROR(VLOOKUP($A152,'Fusion ExDa'!$B$2:$D$16, 0,FALSE), IFERROR(VLOOKUP($A152,'Exetel ExDa'!$C$2:$N$14, 7,FALSE), IFERROR(VLOOKUP($A152,'Infinet ExDa'!$B$2:$E$14, 0,FALSE), "Not Found"))))))))</f>
        <v>144.6.249.149</v>
      </c>
      <c r="H152" t="str">
        <f>IFERROR(VLOOKUP($A152,'AAPT ExDa'!$B$2:$U$99, 6,FALSE), IFERROR(VLOOKUP($A152,'ABB ExDa'!$A$2:$N$184, 0,FALSE), IFERROR(VLOOKUP($A152,'Vocus SIT ExDa'!$B$2:$J$173, 0,FALSE), IFERROR(VLOOKUP($A152,'Telstra ExDa'!$B$2:$K$310, 0,FALSE), IFERROR(VLOOKUP($A152,'Vocus RVC ExDa'!$C$2:$R$155, 16,FALSE), IFERROR(VLOOKUP($A152,'Fusion ExDa'!$B$2:$D$16, 0,FALSE), IFERROR(VLOOKUP($A152,'Exetel ExDa'!$C$2:$N$14, 0,FALSE), IFERROR(VLOOKUP($A152,'Infinet ExDa'!$B$2:$E$14, 0,FALSE), "Not Found"))))))))</f>
        <v>Not Found</v>
      </c>
      <c r="I152" t="str">
        <f>IFERROR(VLOOKUP($A152,'AAPT ExDa'!$B$2:$U$99, 0,FALSE), IFERROR(VLOOKUP($A152,'ABB ExDa'!$A$2:$N$184, 0,FALSE), IFERROR(VLOOKUP($A152,'Vocus SIT ExDa'!$B$2:$J$173, 0,FALSE), IFERROR(VLOOKUP($A152,'Telstra ExDa'!$B$2:$K$310, 0,FALSE), IFERROR(VLOOKUP($A152,'Vocus RVC ExDa'!$C$2:$R$155, 0,FALSE), IFERROR(VLOOKUP($A152,'Fusion ExDa'!$B$2:$D$16, 0,FALSE), IFERROR(VLOOKUP($A152,'Exetel ExDa'!$C$2:$N$14, 8,FALSE), IFERROR(VLOOKUP($A152,'Infinet ExDa'!$B$2:$E$14, 0,FALSE), "Not Found"))))))))</f>
        <v>Not Found</v>
      </c>
      <c r="J152" t="str">
        <f>IFERROR(VLOOKUP($A152,'AAPT ExDa'!$B$2:$U$99, 7,FALSE), IFERROR(VLOOKUP($A152,'ABB ExDa'!$A$2:$N$184, 2,FALSE), IFERROR(VLOOKUP($A152,'Vocus SIT ExDa'!$B$2:$J$173, 0,FALSE), IFERROR(VLOOKUP($A152,'Telstra ExDa'!$B$2:$K$310, 7,FALSE), IFERROR(VLOOKUP($A152,'Vocus RVC ExDa'!$C$2:$R$155, 2,FALSE), IFERROR(VLOOKUP($A152,'Fusion ExDa'!$B$2:$D$16, 3,FALSE), IFERROR(VLOOKUP($A152,'Exetel ExDa'!$C$2:$N$14, 0,FALSE), IFERROR(VLOOKUP($A152,'Infinet ExDa'!$B$2:$E$14, 0,FALSE), "Not Found"))))))))</f>
        <v>13 BROADWATER CL, BARGARA QLD</v>
      </c>
      <c r="K152" t="str">
        <f>IFERROR(VLOOKUP($A152,'AAPT ExDa'!$B$2:$U$99, 12,FALSE), IFERROR(VLOOKUP($A152,'ABB ExDa'!$A$2:$N$184, 0,FALSE), IFERROR(VLOOKUP($A152,'Vocus SIT ExDa'!$B$2:$J$173, 0,FALSE), IFERROR(VLOOKUP($A152,'Telstra ExDa'!$B$2:$K$310, 0,FALSE), IFERROR(VLOOKUP($A152,'Vocus RVC ExDa'!$C$2:$R$155, 0,FALSE), IFERROR(VLOOKUP($A152,'Fusion ExDa'!$B$2:$D$16, 0,FALSE), IFERROR(VLOOKUP($A152,'Exetel ExDa'!$C$2:$N$14, 12,FALSE), IFERROR(VLOOKUP($A152,'Infinet ExDa'!$B$2:$E$14, 0,FALSE), "Not Found"))))))))</f>
        <v>Not Found</v>
      </c>
      <c r="L152" s="235" t="str">
        <f>IFERROR(VLOOKUP($A152,'AAPT ExDa'!$B$2:$U$99, 11,FALSE), IFERROR(VLOOKUP($A152,'ABB ExDa'!$A$2:$N$184, 9,FALSE), IFERROR(VLOOKUP($A152,'Vocus SIT ExDa'!$B$2:$J$173, 8,FALSE), IFERROR(VLOOKUP($A152,'Telstra ExDa'!$B$2:$K$310, 0,FALSE), IFERROR(VLOOKUP($A152,'Vocus RVC ExDa'!$C$2:$R$155, 0,FALSE), IFERROR(VLOOKUP($A152,'Fusion ExDa'!$B$2:$D$16, 0,FALSE), IFERROR(VLOOKUP($A152,'Exetel ExDa'!$C$2:$N$14, 9,FALSE), IFERROR(VLOOKUP($A152,'Infinet ExDa'!$B$2:$E$14, 0,FALSE), "Not Found"))))))))</f>
        <v>22 Nov 2024</v>
      </c>
      <c r="M152" s="234" t="str">
        <f>IFERROR(VLOOKUP($A152,'AAPT ExDa'!$B$2:$U$99, 0,FALSE), IFERROR(VLOOKUP($A152,'ABB ExDa'!$A$2:$N$184, 0,FALSE), IFERROR(VLOOKUP($A152,'Vocus SIT ExDa'!$B$2:$J$173, 0,FALSE), IFERROR(VLOOKUP($A152,'Telstra ExDa'!$B$2:$K$310, 0,FALSE), IFERROR(VLOOKUP($A152,'Vocus RVC ExDa'!$C$2:$R$155, 0,FALSE), IFERROR(VLOOKUP($A152,'Fusion ExDa'!$B$2:$D$16, 0,FALSE), IFERROR(VLOOKUP($A152,'Exetel ExDa'!$C$2:$N$14, 11,FALSE), IFERROR(VLOOKUP($A152,'Infinet ExDa'!$B$2:$E$14, 0,FALSE), "Not Found"))))))))</f>
        <v>Not Found</v>
      </c>
      <c r="N152" t="str">
        <f>IFERROR(VLOOKUP($A152,'AAPT ExDa'!$B$2:$U$99, 0,FALSE), IFERROR(VLOOKUP($A152,'ABB ExDa'!$A$2:$N$184, 13,FALSE), IFERROR(VLOOKUP($A152,'Vocus SIT ExDa'!$B$2:$J$173, 0,FALSE), IFERROR(VLOOKUP($A152,'Telstra ExDa'!$B$2:$K$310, 0,FALSE), IFERROR(VLOOKUP($A152,'Vocus RVC ExDa'!$C$2:$R$155, 0,FALSE), IFERROR(VLOOKUP($A152,'Fusion ExDa'!$B$2:$D$16, 0,FALSE), IFERROR(VLOOKUP($A152,'Exetel ExDa'!$C$2:$N$14, 0,FALSE), IFERROR(VLOOKUP($A152,'Infinet ExDa'!$B$2:$E$14, 0,FALSE), "Not Found"))))))))</f>
        <v>TBA</v>
      </c>
    </row>
    <row r="153" spans="1:14">
      <c r="A153" t="str">
        <v>Stony Creek Brewing</v>
      </c>
      <c r="B153" t="str">
        <f>IFERROR(VLOOKUP(A153,'Exetel ExDa'!$C$2:$N$14,4,FALSE),"No Data")</f>
        <v>No Data</v>
      </c>
      <c r="C153" t="str">
        <f>IFERROR(VLOOKUP(A153,'AAPT ExDa'!$B$2:$U$99, 2,FALSE), IFERROR(VLOOKUP(A153,'ABB ExDa'!$A$2:$N$184, 2,FALSE), IFERROR(VLOOKUP(A153,'Vocus SIT ExDa'!$B$2:$J$173, 7,FALSE), IFERROR(VLOOKUP(A153,'Telstra ExDa'!$B$2:$K$310, 2,FALSE), IFERROR(VLOOKUP(A153,'Vocus RVC ExDa'!$C$2:$R$155, 3,FALSE), IFERROR(VLOOKUP(A153,'Fusion ExDa'!$B$2:$D$16, 2,FALSE), IFERROR(VLOOKUP(A153,'Exetel ExDa'!$C$2:$N$14, 2,FALSE), IFERROR(VLOOKUP(A153,'Infinet ExDa'!$B$2:$E$14, 2,FALSE), "Not Found"))))))))</f>
        <v>TNCY C11.1, 88 LIMESTONE ST, IPSWICH QLD</v>
      </c>
      <c r="D153" t="str">
        <f>IFERROR(VLOOKUP($A153,'AAPT ExDa'!$B$2:$U$99, 15,FALSE), IFERROR(VLOOKUP($A153,'ABB ExDa'!$A$2:$N$184, 4,FALSE), IFERROR(VLOOKUP($A153,'Vocus SIT ExDa'!$B$2:$J$173, 5,FALSE), IFERROR(VLOOKUP($A153,'Telstra ExDa'!$B$2:$K$310, 8,FALSE), IFERROR(VLOOKUP($A153,'Vocus RVC ExDa'!$C$2:$R$155, 6,FALSE), IFERROR(VLOOKUP($A153,'Fusion ExDa'!$B$2:$D$16, 4,FALSE), IFERROR(VLOOKUP($A153,'Exetel ExDa'!$C$2:$N$14, 3,FALSE), IFERROR(VLOOKUP($A153,'Infinet ExDa'!$B$2:$E$14, 3,FALSE), "Not Found"))))))))</f>
        <v>ABB</v>
      </c>
      <c r="E153" t="str">
        <f>IFERROR(VLOOKUP($A153,'AAPT ExDa'!$B$2:$U$99, 3,FALSE), IFERROR(VLOOKUP($A153,'ABB ExDa'!$A$2:$N$184, 5,FALSE), IFERROR(VLOOKUP($A153,'Vocus SIT ExDa'!$B$2:$J$173, 2,FALSE), IFERROR(VLOOKUP($A153,'Telstra ExDa'!$B$2:$K$310, 4,FALSE), IFERROR(VLOOKUP($A153,'Vocus RVC ExDa'!$C$2:$R$155, 8,FALSE), IFERROR(VLOOKUP($A153,'Fusion ExDa'!$B$2:$D$16, 4,FALSE), IFERROR(VLOOKUP($A153,'Exetel ExDa'!$C$2:$N$14, 5,FALSE), IFERROR(VLOOKUP($A153,'Infinet ExDa'!$B$2:$E$14, 3,FALSE), "Not Found"))))))))</f>
        <v>NBN 250/100</v>
      </c>
      <c r="F153" t="str">
        <f>IFERROR(VLOOKUP($A153,'AAPT ExDa'!$B$2:$U$99, 4,FALSE), IFERROR(VLOOKUP($A153,'ABB ExDa'!$A$2:$N$184, 6,FALSE), IFERROR(VLOOKUP($A153,'Vocus SIT ExDa'!$B$2:$J$173, 3,FALSE), IFERROR(VLOOKUP($A153,'Telstra ExDa'!$B$2:$K$310, 5,FALSE), IFERROR(VLOOKUP($A153,'Vocus RVC ExDa'!$C$2:$R$155, 9,FALSE), IFERROR(VLOOKUP($A153,'Fusion ExDa'!$B$2:$D$16, 0,FALSE), IFERROR(VLOOKUP($A153,'Exetel ExDa'!$C$2:$N$14, 6,FALSE), IFERROR(VLOOKUP($A153,'Infinet ExDa'!$B$2:$E$14, 0,FALSE), "Not Found"))))))))</f>
        <v xml:space="preserve">Fibre </v>
      </c>
      <c r="G153" t="str">
        <f>IFERROR(VLOOKUP($A153,'AAPT ExDa'!$B$2:$U$99, 5,FALSE), IFERROR(VLOOKUP($A153,'ABB ExDa'!$A$2:$N$184, 8,FALSE), IFERROR(VLOOKUP($A153,'Vocus SIT ExDa'!$B$2:$J$173, 6,FALSE), IFERROR(VLOOKUP($A153,'Telstra ExDa'!$B$2:$K$310, 0,FALSE), IFERROR(VLOOKUP($A153,'Vocus RVC ExDa'!$C$2:$R$155, 15,FALSE), IFERROR(VLOOKUP($A153,'Fusion ExDa'!$B$2:$D$16, 0,FALSE), IFERROR(VLOOKUP($A153,'Exetel ExDa'!$C$2:$N$14, 7,FALSE), IFERROR(VLOOKUP($A153,'Infinet ExDa'!$B$2:$E$14, 0,FALSE), "Not Found"))))))))</f>
        <v>144.6.248.86</v>
      </c>
      <c r="H153" t="str">
        <f>IFERROR(VLOOKUP($A153,'AAPT ExDa'!$B$2:$U$99, 6,FALSE), IFERROR(VLOOKUP($A153,'ABB ExDa'!$A$2:$N$184, 0,FALSE), IFERROR(VLOOKUP($A153,'Vocus SIT ExDa'!$B$2:$J$173, 0,FALSE), IFERROR(VLOOKUP($A153,'Telstra ExDa'!$B$2:$K$310, 0,FALSE), IFERROR(VLOOKUP($A153,'Vocus RVC ExDa'!$C$2:$R$155, 16,FALSE), IFERROR(VLOOKUP($A153,'Fusion ExDa'!$B$2:$D$16, 0,FALSE), IFERROR(VLOOKUP($A153,'Exetel ExDa'!$C$2:$N$14, 0,FALSE), IFERROR(VLOOKUP($A153,'Infinet ExDa'!$B$2:$E$14, 0,FALSE), "Not Found"))))))))</f>
        <v>Not Found</v>
      </c>
      <c r="I153" t="str">
        <f>IFERROR(VLOOKUP($A153,'AAPT ExDa'!$B$2:$U$99, 0,FALSE), IFERROR(VLOOKUP($A153,'ABB ExDa'!$A$2:$N$184, 0,FALSE), IFERROR(VLOOKUP($A153,'Vocus SIT ExDa'!$B$2:$J$173, 0,FALSE), IFERROR(VLOOKUP($A153,'Telstra ExDa'!$B$2:$K$310, 0,FALSE), IFERROR(VLOOKUP($A153,'Vocus RVC ExDa'!$C$2:$R$155, 0,FALSE), IFERROR(VLOOKUP($A153,'Fusion ExDa'!$B$2:$D$16, 0,FALSE), IFERROR(VLOOKUP($A153,'Exetel ExDa'!$C$2:$N$14, 8,FALSE), IFERROR(VLOOKUP($A153,'Infinet ExDa'!$B$2:$E$14, 0,FALSE), "Not Found"))))))))</f>
        <v>Not Found</v>
      </c>
      <c r="J153" t="str">
        <f>IFERROR(VLOOKUP($A153,'AAPT ExDa'!$B$2:$U$99, 7,FALSE), IFERROR(VLOOKUP($A153,'ABB ExDa'!$A$2:$N$184, 2,FALSE), IFERROR(VLOOKUP($A153,'Vocus SIT ExDa'!$B$2:$J$173, 0,FALSE), IFERROR(VLOOKUP($A153,'Telstra ExDa'!$B$2:$K$310, 7,FALSE), IFERROR(VLOOKUP($A153,'Vocus RVC ExDa'!$C$2:$R$155, 2,FALSE), IFERROR(VLOOKUP($A153,'Fusion ExDa'!$B$2:$D$16, 3,FALSE), IFERROR(VLOOKUP($A153,'Exetel ExDa'!$C$2:$N$14, 0,FALSE), IFERROR(VLOOKUP($A153,'Infinet ExDa'!$B$2:$E$14, 0,FALSE), "Not Found"))))))))</f>
        <v>TNCY C11.1, 88 LIMESTONE ST, IPSWICH QLD</v>
      </c>
      <c r="K153" t="str">
        <f>IFERROR(VLOOKUP($A153,'AAPT ExDa'!$B$2:$U$99, 12,FALSE), IFERROR(VLOOKUP($A153,'ABB ExDa'!$A$2:$N$184, 0,FALSE), IFERROR(VLOOKUP($A153,'Vocus SIT ExDa'!$B$2:$J$173, 0,FALSE), IFERROR(VLOOKUP($A153,'Telstra ExDa'!$B$2:$K$310, 0,FALSE), IFERROR(VLOOKUP($A153,'Vocus RVC ExDa'!$C$2:$R$155, 0,FALSE), IFERROR(VLOOKUP($A153,'Fusion ExDa'!$B$2:$D$16, 0,FALSE), IFERROR(VLOOKUP($A153,'Exetel ExDa'!$C$2:$N$14, 12,FALSE), IFERROR(VLOOKUP($A153,'Infinet ExDa'!$B$2:$E$14, 0,FALSE), "Not Found"))))))))</f>
        <v>Not Found</v>
      </c>
      <c r="L153" s="235" t="str">
        <f>IFERROR(VLOOKUP($A153,'AAPT ExDa'!$B$2:$U$99, 11,FALSE), IFERROR(VLOOKUP($A153,'ABB ExDa'!$A$2:$N$184, 9,FALSE), IFERROR(VLOOKUP($A153,'Vocus SIT ExDa'!$B$2:$J$173, 8,FALSE), IFERROR(VLOOKUP($A153,'Telstra ExDa'!$B$2:$K$310, 0,FALSE), IFERROR(VLOOKUP($A153,'Vocus RVC ExDa'!$C$2:$R$155, 0,FALSE), IFERROR(VLOOKUP($A153,'Fusion ExDa'!$B$2:$D$16, 0,FALSE), IFERROR(VLOOKUP($A153,'Exetel ExDa'!$C$2:$N$14, 9,FALSE), IFERROR(VLOOKUP($A153,'Infinet ExDa'!$B$2:$E$14, 0,FALSE), "Not Found"))))))))</f>
        <v>11 Nov 2024</v>
      </c>
      <c r="M153" s="234" t="str">
        <f>IFERROR(VLOOKUP($A153,'AAPT ExDa'!$B$2:$U$99, 0,FALSE), IFERROR(VLOOKUP($A153,'ABB ExDa'!$A$2:$N$184, 0,FALSE), IFERROR(VLOOKUP($A153,'Vocus SIT ExDa'!$B$2:$J$173, 0,FALSE), IFERROR(VLOOKUP($A153,'Telstra ExDa'!$B$2:$K$310, 0,FALSE), IFERROR(VLOOKUP($A153,'Vocus RVC ExDa'!$C$2:$R$155, 0,FALSE), IFERROR(VLOOKUP($A153,'Fusion ExDa'!$B$2:$D$16, 0,FALSE), IFERROR(VLOOKUP($A153,'Exetel ExDa'!$C$2:$N$14, 11,FALSE), IFERROR(VLOOKUP($A153,'Infinet ExDa'!$B$2:$E$14, 0,FALSE), "Not Found"))))))))</f>
        <v>Not Found</v>
      </c>
      <c r="N153" t="str">
        <f>IFERROR(VLOOKUP($A153,'AAPT ExDa'!$B$2:$U$99, 0,FALSE), IFERROR(VLOOKUP($A153,'ABB ExDa'!$A$2:$N$184, 13,FALSE), IFERROR(VLOOKUP($A153,'Vocus SIT ExDa'!$B$2:$J$173, 0,FALSE), IFERROR(VLOOKUP($A153,'Telstra ExDa'!$B$2:$K$310, 0,FALSE), IFERROR(VLOOKUP($A153,'Vocus RVC ExDa'!$C$2:$R$155, 0,FALSE), IFERROR(VLOOKUP($A153,'Fusion ExDa'!$B$2:$D$16, 0,FALSE), IFERROR(VLOOKUP($A153,'Exetel ExDa'!$C$2:$N$14, 0,FALSE), IFERROR(VLOOKUP($A153,'Infinet ExDa'!$B$2:$E$14, 0,FALSE), "Not Found"))))))))</f>
        <v>Onebill</v>
      </c>
    </row>
    <row r="154" spans="1:14">
      <c r="A154" t="str">
        <v>T2 Head Office</v>
      </c>
      <c r="B154" t="str">
        <f>IFERROR(VLOOKUP(A154,'Exetel ExDa'!$C$2:$N$14,4,FALSE),"No Data")</f>
        <v>No Data</v>
      </c>
      <c r="C154" t="str">
        <f>IFERROR(VLOOKUP(A154,'AAPT ExDa'!$B$2:$U$99, 2,FALSE), IFERROR(VLOOKUP(A154,'ABB ExDa'!$A$2:$N$184, 2,FALSE), IFERROR(VLOOKUP(A154,'Vocus SIT ExDa'!$B$2:$J$173, 7,FALSE), IFERROR(VLOOKUP(A154,'Telstra ExDa'!$B$2:$K$310, 2,FALSE), IFERROR(VLOOKUP(A154,'Vocus RVC ExDa'!$C$2:$R$155, 3,FALSE), IFERROR(VLOOKUP(A154,'Fusion ExDa'!$B$2:$D$16, 2,FALSE), IFERROR(VLOOKUP(A154,'Exetel ExDa'!$C$2:$N$14, 2,FALSE), IFERROR(VLOOKUP(A154,'Infinet ExDa'!$B$2:$E$14, 2,FALSE), "Not Found"))))))))</f>
        <v>62 BEAL ST, MEADOWBROOK QLD</v>
      </c>
      <c r="D154" t="str">
        <f>IFERROR(VLOOKUP($A154,'AAPT ExDa'!$B$2:$U$99, 15,FALSE), IFERROR(VLOOKUP($A154,'ABB ExDa'!$A$2:$N$184, 4,FALSE), IFERROR(VLOOKUP($A154,'Vocus SIT ExDa'!$B$2:$J$173, 5,FALSE), IFERROR(VLOOKUP($A154,'Telstra ExDa'!$B$2:$K$310, 8,FALSE), IFERROR(VLOOKUP($A154,'Vocus RVC ExDa'!$C$2:$R$155, 6,FALSE), IFERROR(VLOOKUP($A154,'Fusion ExDa'!$B$2:$D$16, 4,FALSE), IFERROR(VLOOKUP($A154,'Exetel ExDa'!$C$2:$N$14, 3,FALSE), IFERROR(VLOOKUP($A154,'Infinet ExDa'!$B$2:$E$14, 3,FALSE), "Not Found"))))))))</f>
        <v>ABB</v>
      </c>
      <c r="E154" t="str">
        <f>IFERROR(VLOOKUP($A154,'AAPT ExDa'!$B$2:$U$99, 3,FALSE), IFERROR(VLOOKUP($A154,'ABB ExDa'!$A$2:$N$184, 5,FALSE), IFERROR(VLOOKUP($A154,'Vocus SIT ExDa'!$B$2:$J$173, 2,FALSE), IFERROR(VLOOKUP($A154,'Telstra ExDa'!$B$2:$K$310, 4,FALSE), IFERROR(VLOOKUP($A154,'Vocus RVC ExDa'!$C$2:$R$155, 8,FALSE), IFERROR(VLOOKUP($A154,'Fusion ExDa'!$B$2:$D$16, 4,FALSE), IFERROR(VLOOKUP($A154,'Exetel ExDa'!$C$2:$N$14, 5,FALSE), IFERROR(VLOOKUP($A154,'Infinet ExDa'!$B$2:$E$14, 3,FALSE), "Not Found"))))))))</f>
        <v>NBN 1000/400</v>
      </c>
      <c r="F154" t="str">
        <f>IFERROR(VLOOKUP($A154,'AAPT ExDa'!$B$2:$U$99, 4,FALSE), IFERROR(VLOOKUP($A154,'ABB ExDa'!$A$2:$N$184, 6,FALSE), IFERROR(VLOOKUP($A154,'Vocus SIT ExDa'!$B$2:$J$173, 3,FALSE), IFERROR(VLOOKUP($A154,'Telstra ExDa'!$B$2:$K$310, 5,FALSE), IFERROR(VLOOKUP($A154,'Vocus RVC ExDa'!$C$2:$R$155, 9,FALSE), IFERROR(VLOOKUP($A154,'Fusion ExDa'!$B$2:$D$16, 0,FALSE), IFERROR(VLOOKUP($A154,'Exetel ExDa'!$C$2:$N$14, 6,FALSE), IFERROR(VLOOKUP($A154,'Infinet ExDa'!$B$2:$E$14, 0,FALSE), "Not Found"))))))))</f>
        <v xml:space="preserve">Fibre </v>
      </c>
      <c r="G154" t="str">
        <f>IFERROR(VLOOKUP($A154,'AAPT ExDa'!$B$2:$U$99, 5,FALSE), IFERROR(VLOOKUP($A154,'ABB ExDa'!$A$2:$N$184, 8,FALSE), IFERROR(VLOOKUP($A154,'Vocus SIT ExDa'!$B$2:$J$173, 6,FALSE), IFERROR(VLOOKUP($A154,'Telstra ExDa'!$B$2:$K$310, 0,FALSE), IFERROR(VLOOKUP($A154,'Vocus RVC ExDa'!$C$2:$R$155, 15,FALSE), IFERROR(VLOOKUP($A154,'Fusion ExDa'!$B$2:$D$16, 0,FALSE), IFERROR(VLOOKUP($A154,'Exetel ExDa'!$C$2:$N$14, 7,FALSE), IFERROR(VLOOKUP($A154,'Infinet ExDa'!$B$2:$E$14, 0,FALSE), "Not Found"))))))))</f>
        <v>159.196.211.153</v>
      </c>
      <c r="H154" t="str">
        <f>IFERROR(VLOOKUP($A154,'AAPT ExDa'!$B$2:$U$99, 6,FALSE), IFERROR(VLOOKUP($A154,'ABB ExDa'!$A$2:$N$184, 0,FALSE), IFERROR(VLOOKUP($A154,'Vocus SIT ExDa'!$B$2:$J$173, 0,FALSE), IFERROR(VLOOKUP($A154,'Telstra ExDa'!$B$2:$K$310, 0,FALSE), IFERROR(VLOOKUP($A154,'Vocus RVC ExDa'!$C$2:$R$155, 16,FALSE), IFERROR(VLOOKUP($A154,'Fusion ExDa'!$B$2:$D$16, 0,FALSE), IFERROR(VLOOKUP($A154,'Exetel ExDa'!$C$2:$N$14, 0,FALSE), IFERROR(VLOOKUP($A154,'Infinet ExDa'!$B$2:$E$14, 0,FALSE), "Not Found"))))))))</f>
        <v>Not Found</v>
      </c>
      <c r="I154" t="str">
        <f>IFERROR(VLOOKUP($A154,'AAPT ExDa'!$B$2:$U$99, 0,FALSE), IFERROR(VLOOKUP($A154,'ABB ExDa'!$A$2:$N$184, 0,FALSE), IFERROR(VLOOKUP($A154,'Vocus SIT ExDa'!$B$2:$J$173, 0,FALSE), IFERROR(VLOOKUP($A154,'Telstra ExDa'!$B$2:$K$310, 0,FALSE), IFERROR(VLOOKUP($A154,'Vocus RVC ExDa'!$C$2:$R$155, 0,FALSE), IFERROR(VLOOKUP($A154,'Fusion ExDa'!$B$2:$D$16, 0,FALSE), IFERROR(VLOOKUP($A154,'Exetel ExDa'!$C$2:$N$14, 8,FALSE), IFERROR(VLOOKUP($A154,'Infinet ExDa'!$B$2:$E$14, 0,FALSE), "Not Found"))))))))</f>
        <v>Not Found</v>
      </c>
      <c r="J154" t="str">
        <f>IFERROR(VLOOKUP($A154,'AAPT ExDa'!$B$2:$U$99, 7,FALSE), IFERROR(VLOOKUP($A154,'ABB ExDa'!$A$2:$N$184, 2,FALSE), IFERROR(VLOOKUP($A154,'Vocus SIT ExDa'!$B$2:$J$173, 0,FALSE), IFERROR(VLOOKUP($A154,'Telstra ExDa'!$B$2:$K$310, 7,FALSE), IFERROR(VLOOKUP($A154,'Vocus RVC ExDa'!$C$2:$R$155, 2,FALSE), IFERROR(VLOOKUP($A154,'Fusion ExDa'!$B$2:$D$16, 3,FALSE), IFERROR(VLOOKUP($A154,'Exetel ExDa'!$C$2:$N$14, 0,FALSE), IFERROR(VLOOKUP($A154,'Infinet ExDa'!$B$2:$E$14, 0,FALSE), "Not Found"))))))))</f>
        <v>62 BEAL ST, MEADOWBROOK QLD</v>
      </c>
      <c r="K154" t="str">
        <f>IFERROR(VLOOKUP($A154,'AAPT ExDa'!$B$2:$U$99, 12,FALSE), IFERROR(VLOOKUP($A154,'ABB ExDa'!$A$2:$N$184, 0,FALSE), IFERROR(VLOOKUP($A154,'Vocus SIT ExDa'!$B$2:$J$173, 0,FALSE), IFERROR(VLOOKUP($A154,'Telstra ExDa'!$B$2:$K$310, 0,FALSE), IFERROR(VLOOKUP($A154,'Vocus RVC ExDa'!$C$2:$R$155, 0,FALSE), IFERROR(VLOOKUP($A154,'Fusion ExDa'!$B$2:$D$16, 0,FALSE), IFERROR(VLOOKUP($A154,'Exetel ExDa'!$C$2:$N$14, 12,FALSE), IFERROR(VLOOKUP($A154,'Infinet ExDa'!$B$2:$E$14, 0,FALSE), "Not Found"))))))))</f>
        <v>Not Found</v>
      </c>
      <c r="L154" s="235" t="str">
        <f>IFERROR(VLOOKUP($A154,'AAPT ExDa'!$B$2:$U$99, 11,FALSE), IFERROR(VLOOKUP($A154,'ABB ExDa'!$A$2:$N$184, 9,FALSE), IFERROR(VLOOKUP($A154,'Vocus SIT ExDa'!$B$2:$J$173, 8,FALSE), IFERROR(VLOOKUP($A154,'Telstra ExDa'!$B$2:$K$310, 0,FALSE), IFERROR(VLOOKUP($A154,'Vocus RVC ExDa'!$C$2:$R$155, 0,FALSE), IFERROR(VLOOKUP($A154,'Fusion ExDa'!$B$2:$D$16, 0,FALSE), IFERROR(VLOOKUP($A154,'Exetel ExDa'!$C$2:$N$14, 9,FALSE), IFERROR(VLOOKUP($A154,'Infinet ExDa'!$B$2:$E$14, 0,FALSE), "Not Found"))))))))</f>
        <v>04 Oct 2023</v>
      </c>
      <c r="M154" s="234" t="str">
        <f>IFERROR(VLOOKUP($A154,'AAPT ExDa'!$B$2:$U$99, 0,FALSE), IFERROR(VLOOKUP($A154,'ABB ExDa'!$A$2:$N$184, 0,FALSE), IFERROR(VLOOKUP($A154,'Vocus SIT ExDa'!$B$2:$J$173, 0,FALSE), IFERROR(VLOOKUP($A154,'Telstra ExDa'!$B$2:$K$310, 0,FALSE), IFERROR(VLOOKUP($A154,'Vocus RVC ExDa'!$C$2:$R$155, 0,FALSE), IFERROR(VLOOKUP($A154,'Fusion ExDa'!$B$2:$D$16, 0,FALSE), IFERROR(VLOOKUP($A154,'Exetel ExDa'!$C$2:$N$14, 11,FALSE), IFERROR(VLOOKUP($A154,'Infinet ExDa'!$B$2:$E$14, 0,FALSE), "Not Found"))))))))</f>
        <v>Not Found</v>
      </c>
      <c r="N154" t="str">
        <f>IFERROR(VLOOKUP($A154,'AAPT ExDa'!$B$2:$U$99, 0,FALSE), IFERROR(VLOOKUP($A154,'ABB ExDa'!$A$2:$N$184, 13,FALSE), IFERROR(VLOOKUP($A154,'Vocus SIT ExDa'!$B$2:$J$173, 0,FALSE), IFERROR(VLOOKUP($A154,'Telstra ExDa'!$B$2:$K$310, 0,FALSE), IFERROR(VLOOKUP($A154,'Vocus RVC ExDa'!$C$2:$R$155, 0,FALSE), IFERROR(VLOOKUP($A154,'Fusion ExDa'!$B$2:$D$16, 0,FALSE), IFERROR(VLOOKUP($A154,'Exetel ExDa'!$C$2:$N$14, 0,FALSE), IFERROR(VLOOKUP($A154,'Infinet ExDa'!$B$2:$E$14, 0,FALSE), "Not Found"))))))))</f>
        <v>Datagate/Onebill/Sasboss</v>
      </c>
    </row>
    <row r="155" spans="1:14">
      <c r="A155" t="str">
        <v>T2 Randall Street</v>
      </c>
      <c r="B155" t="str">
        <f>IFERROR(VLOOKUP(A155,'Exetel ExDa'!$C$2:$N$14,4,FALSE),"No Data")</f>
        <v>No Data</v>
      </c>
      <c r="C155" t="str">
        <f>IFERROR(VLOOKUP(A155,'AAPT ExDa'!$B$2:$U$99, 2,FALSE), IFERROR(VLOOKUP(A155,'ABB ExDa'!$A$2:$N$184, 2,FALSE), IFERROR(VLOOKUP(A155,'Vocus SIT ExDa'!$B$2:$J$173, 7,FALSE), IFERROR(VLOOKUP(A155,'Telstra ExDa'!$B$2:$K$310, 2,FALSE), IFERROR(VLOOKUP(A155,'Vocus RVC ExDa'!$C$2:$R$155, 3,FALSE), IFERROR(VLOOKUP(A155,'Fusion ExDa'!$B$2:$D$16, 2,FALSE), IFERROR(VLOOKUP(A155,'Exetel ExDa'!$C$2:$N$14, 2,FALSE), IFERROR(VLOOKUP(A155,'Infinet ExDa'!$B$2:$E$14, 2,FALSE), "Not Found"))))))))</f>
        <v>43 RANDALL ST, SLACKS CREEK QLD</v>
      </c>
      <c r="D155" t="str">
        <f>IFERROR(VLOOKUP($A155,'AAPT ExDa'!$B$2:$U$99, 15,FALSE), IFERROR(VLOOKUP($A155,'ABB ExDa'!$A$2:$N$184, 4,FALSE), IFERROR(VLOOKUP($A155,'Vocus SIT ExDa'!$B$2:$J$173, 5,FALSE), IFERROR(VLOOKUP($A155,'Telstra ExDa'!$B$2:$K$310, 8,FALSE), IFERROR(VLOOKUP($A155,'Vocus RVC ExDa'!$C$2:$R$155, 6,FALSE), IFERROR(VLOOKUP($A155,'Fusion ExDa'!$B$2:$D$16, 4,FALSE), IFERROR(VLOOKUP($A155,'Exetel ExDa'!$C$2:$N$14, 3,FALSE), IFERROR(VLOOKUP($A155,'Infinet ExDa'!$B$2:$E$14, 3,FALSE), "Not Found"))))))))</f>
        <v>ABB</v>
      </c>
      <c r="E155" t="str">
        <f>IFERROR(VLOOKUP($A155,'AAPT ExDa'!$B$2:$U$99, 3,FALSE), IFERROR(VLOOKUP($A155,'ABB ExDa'!$A$2:$N$184, 5,FALSE), IFERROR(VLOOKUP($A155,'Vocus SIT ExDa'!$B$2:$J$173, 2,FALSE), IFERROR(VLOOKUP($A155,'Telstra ExDa'!$B$2:$K$310, 4,FALSE), IFERROR(VLOOKUP($A155,'Vocus RVC ExDa'!$C$2:$R$155, 8,FALSE), IFERROR(VLOOKUP($A155,'Fusion ExDa'!$B$2:$D$16, 4,FALSE), IFERROR(VLOOKUP($A155,'Exetel ExDa'!$C$2:$N$14, 5,FALSE), IFERROR(VLOOKUP($A155,'Infinet ExDa'!$B$2:$E$14, 3,FALSE), "Not Found"))))))))</f>
        <v>NBN 50/20</v>
      </c>
      <c r="F155" t="str">
        <f>IFERROR(VLOOKUP($A155,'AAPT ExDa'!$B$2:$U$99, 4,FALSE), IFERROR(VLOOKUP($A155,'ABB ExDa'!$A$2:$N$184, 6,FALSE), IFERROR(VLOOKUP($A155,'Vocus SIT ExDa'!$B$2:$J$173, 3,FALSE), IFERROR(VLOOKUP($A155,'Telstra ExDa'!$B$2:$K$310, 5,FALSE), IFERROR(VLOOKUP($A155,'Vocus RVC ExDa'!$C$2:$R$155, 9,FALSE), IFERROR(VLOOKUP($A155,'Fusion ExDa'!$B$2:$D$16, 0,FALSE), IFERROR(VLOOKUP($A155,'Exetel ExDa'!$C$2:$N$14, 6,FALSE), IFERROR(VLOOKUP($A155,'Infinet ExDa'!$B$2:$E$14, 0,FALSE), "Not Found"))))))))</f>
        <v>HFC</v>
      </c>
      <c r="G155" t="str">
        <f>IFERROR(VLOOKUP($A155,'AAPT ExDa'!$B$2:$U$99, 5,FALSE), IFERROR(VLOOKUP($A155,'ABB ExDa'!$A$2:$N$184, 8,FALSE), IFERROR(VLOOKUP($A155,'Vocus SIT ExDa'!$B$2:$J$173, 6,FALSE), IFERROR(VLOOKUP($A155,'Telstra ExDa'!$B$2:$K$310, 0,FALSE), IFERROR(VLOOKUP($A155,'Vocus RVC ExDa'!$C$2:$R$155, 15,FALSE), IFERROR(VLOOKUP($A155,'Fusion ExDa'!$B$2:$D$16, 0,FALSE), IFERROR(VLOOKUP($A155,'Exetel ExDa'!$C$2:$N$14, 7,FALSE), IFERROR(VLOOKUP($A155,'Infinet ExDa'!$B$2:$E$14, 0,FALSE), "Not Found"))))))))</f>
        <v>144.6.100.60</v>
      </c>
      <c r="H155" t="str">
        <f>IFERROR(VLOOKUP($A155,'AAPT ExDa'!$B$2:$U$99, 6,FALSE), IFERROR(VLOOKUP($A155,'ABB ExDa'!$A$2:$N$184, 0,FALSE), IFERROR(VLOOKUP($A155,'Vocus SIT ExDa'!$B$2:$J$173, 0,FALSE), IFERROR(VLOOKUP($A155,'Telstra ExDa'!$B$2:$K$310, 0,FALSE), IFERROR(VLOOKUP($A155,'Vocus RVC ExDa'!$C$2:$R$155, 16,FALSE), IFERROR(VLOOKUP($A155,'Fusion ExDa'!$B$2:$D$16, 0,FALSE), IFERROR(VLOOKUP($A155,'Exetel ExDa'!$C$2:$N$14, 0,FALSE), IFERROR(VLOOKUP($A155,'Infinet ExDa'!$B$2:$E$14, 0,FALSE), "Not Found"))))))))</f>
        <v>Not Found</v>
      </c>
      <c r="I155" t="str">
        <f>IFERROR(VLOOKUP($A155,'AAPT ExDa'!$B$2:$U$99, 0,FALSE), IFERROR(VLOOKUP($A155,'ABB ExDa'!$A$2:$N$184, 0,FALSE), IFERROR(VLOOKUP($A155,'Vocus SIT ExDa'!$B$2:$J$173, 0,FALSE), IFERROR(VLOOKUP($A155,'Telstra ExDa'!$B$2:$K$310, 0,FALSE), IFERROR(VLOOKUP($A155,'Vocus RVC ExDa'!$C$2:$R$155, 0,FALSE), IFERROR(VLOOKUP($A155,'Fusion ExDa'!$B$2:$D$16, 0,FALSE), IFERROR(VLOOKUP($A155,'Exetel ExDa'!$C$2:$N$14, 8,FALSE), IFERROR(VLOOKUP($A155,'Infinet ExDa'!$B$2:$E$14, 0,FALSE), "Not Found"))))))))</f>
        <v>Not Found</v>
      </c>
      <c r="J155" t="str">
        <f>IFERROR(VLOOKUP($A155,'AAPT ExDa'!$B$2:$U$99, 7,FALSE), IFERROR(VLOOKUP($A155,'ABB ExDa'!$A$2:$N$184, 2,FALSE), IFERROR(VLOOKUP($A155,'Vocus SIT ExDa'!$B$2:$J$173, 0,FALSE), IFERROR(VLOOKUP($A155,'Telstra ExDa'!$B$2:$K$310, 7,FALSE), IFERROR(VLOOKUP($A155,'Vocus RVC ExDa'!$C$2:$R$155, 2,FALSE), IFERROR(VLOOKUP($A155,'Fusion ExDa'!$B$2:$D$16, 3,FALSE), IFERROR(VLOOKUP($A155,'Exetel ExDa'!$C$2:$N$14, 0,FALSE), IFERROR(VLOOKUP($A155,'Infinet ExDa'!$B$2:$E$14, 0,FALSE), "Not Found"))))))))</f>
        <v>43 RANDALL ST, SLACKS CREEK QLD</v>
      </c>
      <c r="K155" t="str">
        <f>IFERROR(VLOOKUP($A155,'AAPT ExDa'!$B$2:$U$99, 12,FALSE), IFERROR(VLOOKUP($A155,'ABB ExDa'!$A$2:$N$184, 0,FALSE), IFERROR(VLOOKUP($A155,'Vocus SIT ExDa'!$B$2:$J$173, 0,FALSE), IFERROR(VLOOKUP($A155,'Telstra ExDa'!$B$2:$K$310, 0,FALSE), IFERROR(VLOOKUP($A155,'Vocus RVC ExDa'!$C$2:$R$155, 0,FALSE), IFERROR(VLOOKUP($A155,'Fusion ExDa'!$B$2:$D$16, 0,FALSE), IFERROR(VLOOKUP($A155,'Exetel ExDa'!$C$2:$N$14, 12,FALSE), IFERROR(VLOOKUP($A155,'Infinet ExDa'!$B$2:$E$14, 0,FALSE), "Not Found"))))))))</f>
        <v>Not Found</v>
      </c>
      <c r="L155" s="235" t="str">
        <f>IFERROR(VLOOKUP($A155,'AAPT ExDa'!$B$2:$U$99, 11,FALSE), IFERROR(VLOOKUP($A155,'ABB ExDa'!$A$2:$N$184, 9,FALSE), IFERROR(VLOOKUP($A155,'Vocus SIT ExDa'!$B$2:$J$173, 8,FALSE), IFERROR(VLOOKUP($A155,'Telstra ExDa'!$B$2:$K$310, 0,FALSE), IFERROR(VLOOKUP($A155,'Vocus RVC ExDa'!$C$2:$R$155, 0,FALSE), IFERROR(VLOOKUP($A155,'Fusion ExDa'!$B$2:$D$16, 0,FALSE), IFERROR(VLOOKUP($A155,'Exetel ExDa'!$C$2:$N$14, 9,FALSE), IFERROR(VLOOKUP($A155,'Infinet ExDa'!$B$2:$E$14, 0,FALSE), "Not Found"))))))))</f>
        <v>08 Sept 2023</v>
      </c>
      <c r="M155" s="234" t="str">
        <f>IFERROR(VLOOKUP($A155,'AAPT ExDa'!$B$2:$U$99, 0,FALSE), IFERROR(VLOOKUP($A155,'ABB ExDa'!$A$2:$N$184, 0,FALSE), IFERROR(VLOOKUP($A155,'Vocus SIT ExDa'!$B$2:$J$173, 0,FALSE), IFERROR(VLOOKUP($A155,'Telstra ExDa'!$B$2:$K$310, 0,FALSE), IFERROR(VLOOKUP($A155,'Vocus RVC ExDa'!$C$2:$R$155, 0,FALSE), IFERROR(VLOOKUP($A155,'Fusion ExDa'!$B$2:$D$16, 0,FALSE), IFERROR(VLOOKUP($A155,'Exetel ExDa'!$C$2:$N$14, 11,FALSE), IFERROR(VLOOKUP($A155,'Infinet ExDa'!$B$2:$E$14, 0,FALSE), "Not Found"))))))))</f>
        <v>Not Found</v>
      </c>
      <c r="N155" t="str">
        <f>IFERROR(VLOOKUP($A155,'AAPT ExDa'!$B$2:$U$99, 0,FALSE), IFERROR(VLOOKUP($A155,'ABB ExDa'!$A$2:$N$184, 13,FALSE), IFERROR(VLOOKUP($A155,'Vocus SIT ExDa'!$B$2:$J$173, 0,FALSE), IFERROR(VLOOKUP($A155,'Telstra ExDa'!$B$2:$K$310, 0,FALSE), IFERROR(VLOOKUP($A155,'Vocus RVC ExDa'!$C$2:$R$155, 0,FALSE), IFERROR(VLOOKUP($A155,'Fusion ExDa'!$B$2:$D$16, 0,FALSE), IFERROR(VLOOKUP($A155,'Exetel ExDa'!$C$2:$N$14, 0,FALSE), IFERROR(VLOOKUP($A155,'Infinet ExDa'!$B$2:$E$14, 0,FALSE), "Not Found"))))))))</f>
        <v>Datagate/Onebill/Sasboss</v>
      </c>
    </row>
    <row r="156" spans="1:14">
      <c r="A156" t="str">
        <v>Talisman</v>
      </c>
      <c r="B156" t="str">
        <f>IFERROR(VLOOKUP(A156,'Exetel ExDa'!$C$2:$N$14,4,FALSE),"No Data")</f>
        <v>No Data</v>
      </c>
      <c r="C156" t="str">
        <f>IFERROR(VLOOKUP(A156,'AAPT ExDa'!$B$2:$U$99, 2,FALSE), IFERROR(VLOOKUP(A156,'ABB ExDa'!$A$2:$N$184, 2,FALSE), IFERROR(VLOOKUP(A156,'Vocus SIT ExDa'!$B$2:$J$173, 7,FALSE), IFERROR(VLOOKUP(A156,'Telstra ExDa'!$B$2:$K$310, 2,FALSE), IFERROR(VLOOKUP(A156,'Vocus RVC ExDa'!$C$2:$R$155, 3,FALSE), IFERROR(VLOOKUP(A156,'Fusion ExDa'!$B$2:$D$16, 2,FALSE), IFERROR(VLOOKUP(A156,'Exetel ExDa'!$C$2:$N$14, 2,FALSE), IFERROR(VLOOKUP(A156,'Infinet ExDa'!$B$2:$E$14, 2,FALSE), "Not Found"))))))))</f>
        <v>UN 301, 10 MARKET ST, BRISBANE CITY QLD</v>
      </c>
      <c r="D156" t="str">
        <f>IFERROR(VLOOKUP($A156,'AAPT ExDa'!$B$2:$U$99, 15,FALSE), IFERROR(VLOOKUP($A156,'ABB ExDa'!$A$2:$N$184, 4,FALSE), IFERROR(VLOOKUP($A156,'Vocus SIT ExDa'!$B$2:$J$173, 5,FALSE), IFERROR(VLOOKUP($A156,'Telstra ExDa'!$B$2:$K$310, 8,FALSE), IFERROR(VLOOKUP($A156,'Vocus RVC ExDa'!$C$2:$R$155, 6,FALSE), IFERROR(VLOOKUP($A156,'Fusion ExDa'!$B$2:$D$16, 4,FALSE), IFERROR(VLOOKUP($A156,'Exetel ExDa'!$C$2:$N$14, 3,FALSE), IFERROR(VLOOKUP($A156,'Infinet ExDa'!$B$2:$E$14, 3,FALSE), "Not Found"))))))))</f>
        <v>ABB</v>
      </c>
      <c r="E156" t="str">
        <f>IFERROR(VLOOKUP($A156,'AAPT ExDa'!$B$2:$U$99, 3,FALSE), IFERROR(VLOOKUP($A156,'ABB ExDa'!$A$2:$N$184, 5,FALSE), IFERROR(VLOOKUP($A156,'Vocus SIT ExDa'!$B$2:$J$173, 2,FALSE), IFERROR(VLOOKUP($A156,'Telstra ExDa'!$B$2:$K$310, 4,FALSE), IFERROR(VLOOKUP($A156,'Vocus RVC ExDa'!$C$2:$R$155, 8,FALSE), IFERROR(VLOOKUP($A156,'Fusion ExDa'!$B$2:$D$16, 4,FALSE), IFERROR(VLOOKUP($A156,'Exetel ExDa'!$C$2:$N$14, 5,FALSE), IFERROR(VLOOKUP($A156,'Infinet ExDa'!$B$2:$E$14, 3,FALSE), "Not Found"))))))))</f>
        <v>NBN 100/40</v>
      </c>
      <c r="F156" t="str">
        <f>IFERROR(VLOOKUP($A156,'AAPT ExDa'!$B$2:$U$99, 4,FALSE), IFERROR(VLOOKUP($A156,'ABB ExDa'!$A$2:$N$184, 6,FALSE), IFERROR(VLOOKUP($A156,'Vocus SIT ExDa'!$B$2:$J$173, 3,FALSE), IFERROR(VLOOKUP($A156,'Telstra ExDa'!$B$2:$K$310, 5,FALSE), IFERROR(VLOOKUP($A156,'Vocus RVC ExDa'!$C$2:$R$155, 9,FALSE), IFERROR(VLOOKUP($A156,'Fusion ExDa'!$B$2:$D$16, 0,FALSE), IFERROR(VLOOKUP($A156,'Exetel ExDa'!$C$2:$N$14, 6,FALSE), IFERROR(VLOOKUP($A156,'Infinet ExDa'!$B$2:$E$14, 0,FALSE), "Not Found"))))))))</f>
        <v>FTTB</v>
      </c>
      <c r="G156" t="str">
        <f>IFERROR(VLOOKUP($A156,'AAPT ExDa'!$B$2:$U$99, 5,FALSE), IFERROR(VLOOKUP($A156,'ABB ExDa'!$A$2:$N$184, 8,FALSE), IFERROR(VLOOKUP($A156,'Vocus SIT ExDa'!$B$2:$J$173, 6,FALSE), IFERROR(VLOOKUP($A156,'Telstra ExDa'!$B$2:$K$310, 0,FALSE), IFERROR(VLOOKUP($A156,'Vocus RVC ExDa'!$C$2:$R$155, 15,FALSE), IFERROR(VLOOKUP($A156,'Fusion ExDa'!$B$2:$D$16, 0,FALSE), IFERROR(VLOOKUP($A156,'Exetel ExDa'!$C$2:$N$14, 7,FALSE), IFERROR(VLOOKUP($A156,'Infinet ExDa'!$B$2:$E$14, 0,FALSE), "Not Found"))))))))</f>
        <v>120.88.117.3</v>
      </c>
      <c r="H156" t="str">
        <f>IFERROR(VLOOKUP($A156,'AAPT ExDa'!$B$2:$U$99, 6,FALSE), IFERROR(VLOOKUP($A156,'ABB ExDa'!$A$2:$N$184, 0,FALSE), IFERROR(VLOOKUP($A156,'Vocus SIT ExDa'!$B$2:$J$173, 0,FALSE), IFERROR(VLOOKUP($A156,'Telstra ExDa'!$B$2:$K$310, 0,FALSE), IFERROR(VLOOKUP($A156,'Vocus RVC ExDa'!$C$2:$R$155, 16,FALSE), IFERROR(VLOOKUP($A156,'Fusion ExDa'!$B$2:$D$16, 0,FALSE), IFERROR(VLOOKUP($A156,'Exetel ExDa'!$C$2:$N$14, 0,FALSE), IFERROR(VLOOKUP($A156,'Infinet ExDa'!$B$2:$E$14, 0,FALSE), "Not Found"))))))))</f>
        <v>Not Found</v>
      </c>
      <c r="I156" t="str">
        <f>IFERROR(VLOOKUP($A156,'AAPT ExDa'!$B$2:$U$99, 0,FALSE), IFERROR(VLOOKUP($A156,'ABB ExDa'!$A$2:$N$184, 0,FALSE), IFERROR(VLOOKUP($A156,'Vocus SIT ExDa'!$B$2:$J$173, 0,FALSE), IFERROR(VLOOKUP($A156,'Telstra ExDa'!$B$2:$K$310, 0,FALSE), IFERROR(VLOOKUP($A156,'Vocus RVC ExDa'!$C$2:$R$155, 0,FALSE), IFERROR(VLOOKUP($A156,'Fusion ExDa'!$B$2:$D$16, 0,FALSE), IFERROR(VLOOKUP($A156,'Exetel ExDa'!$C$2:$N$14, 8,FALSE), IFERROR(VLOOKUP($A156,'Infinet ExDa'!$B$2:$E$14, 0,FALSE), "Not Found"))))))))</f>
        <v>Not Found</v>
      </c>
      <c r="J156" t="str">
        <f>IFERROR(VLOOKUP($A156,'AAPT ExDa'!$B$2:$U$99, 7,FALSE), IFERROR(VLOOKUP($A156,'ABB ExDa'!$A$2:$N$184, 2,FALSE), IFERROR(VLOOKUP($A156,'Vocus SIT ExDa'!$B$2:$J$173, 0,FALSE), IFERROR(VLOOKUP($A156,'Telstra ExDa'!$B$2:$K$310, 7,FALSE), IFERROR(VLOOKUP($A156,'Vocus RVC ExDa'!$C$2:$R$155, 2,FALSE), IFERROR(VLOOKUP($A156,'Fusion ExDa'!$B$2:$D$16, 3,FALSE), IFERROR(VLOOKUP($A156,'Exetel ExDa'!$C$2:$N$14, 0,FALSE), IFERROR(VLOOKUP($A156,'Infinet ExDa'!$B$2:$E$14, 0,FALSE), "Not Found"))))))))</f>
        <v>UN 301, 10 MARKET ST, BRISBANE CITY QLD</v>
      </c>
      <c r="K156" t="str">
        <f>IFERROR(VLOOKUP($A156,'AAPT ExDa'!$B$2:$U$99, 12,FALSE), IFERROR(VLOOKUP($A156,'ABB ExDa'!$A$2:$N$184, 0,FALSE), IFERROR(VLOOKUP($A156,'Vocus SIT ExDa'!$B$2:$J$173, 0,FALSE), IFERROR(VLOOKUP($A156,'Telstra ExDa'!$B$2:$K$310, 0,FALSE), IFERROR(VLOOKUP($A156,'Vocus RVC ExDa'!$C$2:$R$155, 0,FALSE), IFERROR(VLOOKUP($A156,'Fusion ExDa'!$B$2:$D$16, 0,FALSE), IFERROR(VLOOKUP($A156,'Exetel ExDa'!$C$2:$N$14, 12,FALSE), IFERROR(VLOOKUP($A156,'Infinet ExDa'!$B$2:$E$14, 0,FALSE), "Not Found"))))))))</f>
        <v>Not Found</v>
      </c>
      <c r="L156" s="235" t="str">
        <f>IFERROR(VLOOKUP($A156,'AAPT ExDa'!$B$2:$U$99, 11,FALSE), IFERROR(VLOOKUP($A156,'ABB ExDa'!$A$2:$N$184, 9,FALSE), IFERROR(VLOOKUP($A156,'Vocus SIT ExDa'!$B$2:$J$173, 8,FALSE), IFERROR(VLOOKUP($A156,'Telstra ExDa'!$B$2:$K$310, 0,FALSE), IFERROR(VLOOKUP($A156,'Vocus RVC ExDa'!$C$2:$R$155, 0,FALSE), IFERROR(VLOOKUP($A156,'Fusion ExDa'!$B$2:$D$16, 0,FALSE), IFERROR(VLOOKUP($A156,'Exetel ExDa'!$C$2:$N$14, 9,FALSE), IFERROR(VLOOKUP($A156,'Infinet ExDa'!$B$2:$E$14, 0,FALSE), "Not Found"))))))))</f>
        <v>10 Oct 2024</v>
      </c>
      <c r="M156" s="234" t="str">
        <f>IFERROR(VLOOKUP($A156,'AAPT ExDa'!$B$2:$U$99, 0,FALSE), IFERROR(VLOOKUP($A156,'ABB ExDa'!$A$2:$N$184, 0,FALSE), IFERROR(VLOOKUP($A156,'Vocus SIT ExDa'!$B$2:$J$173, 0,FALSE), IFERROR(VLOOKUP($A156,'Telstra ExDa'!$B$2:$K$310, 0,FALSE), IFERROR(VLOOKUP($A156,'Vocus RVC ExDa'!$C$2:$R$155, 0,FALSE), IFERROR(VLOOKUP($A156,'Fusion ExDa'!$B$2:$D$16, 0,FALSE), IFERROR(VLOOKUP($A156,'Exetel ExDa'!$C$2:$N$14, 11,FALSE), IFERROR(VLOOKUP($A156,'Infinet ExDa'!$B$2:$E$14, 0,FALSE), "Not Found"))))))))</f>
        <v>Not Found</v>
      </c>
      <c r="N156" t="str">
        <f>IFERROR(VLOOKUP($A156,'AAPT ExDa'!$B$2:$U$99, 0,FALSE), IFERROR(VLOOKUP($A156,'ABB ExDa'!$A$2:$N$184, 13,FALSE), IFERROR(VLOOKUP($A156,'Vocus SIT ExDa'!$B$2:$J$173, 0,FALSE), IFERROR(VLOOKUP($A156,'Telstra ExDa'!$B$2:$K$310, 0,FALSE), IFERROR(VLOOKUP($A156,'Vocus RVC ExDa'!$C$2:$R$155, 0,FALSE), IFERROR(VLOOKUP($A156,'Fusion ExDa'!$B$2:$D$16, 0,FALSE), IFERROR(VLOOKUP($A156,'Exetel ExDa'!$C$2:$N$14, 0,FALSE), IFERROR(VLOOKUP($A156,'Infinet ExDa'!$B$2:$E$14, 0,FALSE), "Not Found"))))))))</f>
        <v>Sasboss/Datagate</v>
      </c>
    </row>
    <row r="157" spans="1:14">
      <c r="A157" t="str">
        <v>The Cheesecake Shop</v>
      </c>
      <c r="B157" t="str">
        <f>IFERROR(VLOOKUP(A157,'Exetel ExDa'!$C$2:$N$14,4,FALSE),"No Data")</f>
        <v>No Data</v>
      </c>
      <c r="C157" t="str">
        <f>IFERROR(VLOOKUP(A157,'AAPT ExDa'!$B$2:$U$99, 2,FALSE), IFERROR(VLOOKUP(A157,'ABB ExDa'!$A$2:$N$184, 2,FALSE), IFERROR(VLOOKUP(A157,'Vocus SIT ExDa'!$B$2:$J$173, 7,FALSE), IFERROR(VLOOKUP(A157,'Telstra ExDa'!$B$2:$K$310, 2,FALSE), IFERROR(VLOOKUP(A157,'Vocus RVC ExDa'!$C$2:$R$155, 3,FALSE), IFERROR(VLOOKUP(A157,'Fusion ExDa'!$B$2:$D$16, 2,FALSE), IFERROR(VLOOKUP(A157,'Exetel ExDa'!$C$2:$N$14, 2,FALSE), IFERROR(VLOOKUP(A157,'Infinet ExDa'!$B$2:$E$14, 2,FALSE), "Not Found"))))))))</f>
        <v>500 TORQUAY RD, ARMSTRONG CREEK VIC</v>
      </c>
      <c r="D157" t="str">
        <f>IFERROR(VLOOKUP($A157,'AAPT ExDa'!$B$2:$U$99, 15,FALSE), IFERROR(VLOOKUP($A157,'ABB ExDa'!$A$2:$N$184, 4,FALSE), IFERROR(VLOOKUP($A157,'Vocus SIT ExDa'!$B$2:$J$173, 5,FALSE), IFERROR(VLOOKUP($A157,'Telstra ExDa'!$B$2:$K$310, 8,FALSE), IFERROR(VLOOKUP($A157,'Vocus RVC ExDa'!$C$2:$R$155, 6,FALSE), IFERROR(VLOOKUP($A157,'Fusion ExDa'!$B$2:$D$16, 4,FALSE), IFERROR(VLOOKUP($A157,'Exetel ExDa'!$C$2:$N$14, 3,FALSE), IFERROR(VLOOKUP($A157,'Infinet ExDa'!$B$2:$E$14, 3,FALSE), "Not Found"))))))))</f>
        <v>ABB</v>
      </c>
      <c r="E157" t="str">
        <f>IFERROR(VLOOKUP($A157,'AAPT ExDa'!$B$2:$U$99, 3,FALSE), IFERROR(VLOOKUP($A157,'ABB ExDa'!$A$2:$N$184, 5,FALSE), IFERROR(VLOOKUP($A157,'Vocus SIT ExDa'!$B$2:$J$173, 2,FALSE), IFERROR(VLOOKUP($A157,'Telstra ExDa'!$B$2:$K$310, 4,FALSE), IFERROR(VLOOKUP($A157,'Vocus RVC ExDa'!$C$2:$R$155, 8,FALSE), IFERROR(VLOOKUP($A157,'Fusion ExDa'!$B$2:$D$16, 4,FALSE), IFERROR(VLOOKUP($A157,'Exetel ExDa'!$C$2:$N$14, 5,FALSE), IFERROR(VLOOKUP($A157,'Infinet ExDa'!$B$2:$E$14, 3,FALSE), "Not Found"))))))))</f>
        <v>NBN 25/10</v>
      </c>
      <c r="F157" t="str">
        <f>IFERROR(VLOOKUP($A157,'AAPT ExDa'!$B$2:$U$99, 4,FALSE), IFERROR(VLOOKUP($A157,'ABB ExDa'!$A$2:$N$184, 6,FALSE), IFERROR(VLOOKUP($A157,'Vocus SIT ExDa'!$B$2:$J$173, 3,FALSE), IFERROR(VLOOKUP($A157,'Telstra ExDa'!$B$2:$K$310, 5,FALSE), IFERROR(VLOOKUP($A157,'Vocus RVC ExDa'!$C$2:$R$155, 9,FALSE), IFERROR(VLOOKUP($A157,'Fusion ExDa'!$B$2:$D$16, 0,FALSE), IFERROR(VLOOKUP($A157,'Exetel ExDa'!$C$2:$N$14, 6,FALSE), IFERROR(VLOOKUP($A157,'Infinet ExDa'!$B$2:$E$14, 0,FALSE), "Not Found"))))))))</f>
        <v xml:space="preserve">Fibre </v>
      </c>
      <c r="G157" t="str">
        <f>IFERROR(VLOOKUP($A157,'AAPT ExDa'!$B$2:$U$99, 5,FALSE), IFERROR(VLOOKUP($A157,'ABB ExDa'!$A$2:$N$184, 8,FALSE), IFERROR(VLOOKUP($A157,'Vocus SIT ExDa'!$B$2:$J$173, 6,FALSE), IFERROR(VLOOKUP($A157,'Telstra ExDa'!$B$2:$K$310, 0,FALSE), IFERROR(VLOOKUP($A157,'Vocus RVC ExDa'!$C$2:$R$155, 15,FALSE), IFERROR(VLOOKUP($A157,'Fusion ExDa'!$B$2:$D$16, 0,FALSE), IFERROR(VLOOKUP($A157,'Exetel ExDa'!$C$2:$N$14, 7,FALSE), IFERROR(VLOOKUP($A157,'Infinet ExDa'!$B$2:$E$14, 0,FALSE), "Not Found"))))))))</f>
        <v>159.196.75.65</v>
      </c>
      <c r="H157" t="str">
        <f>IFERROR(VLOOKUP($A157,'AAPT ExDa'!$B$2:$U$99, 6,FALSE), IFERROR(VLOOKUP($A157,'ABB ExDa'!$A$2:$N$184, 0,FALSE), IFERROR(VLOOKUP($A157,'Vocus SIT ExDa'!$B$2:$J$173, 0,FALSE), IFERROR(VLOOKUP($A157,'Telstra ExDa'!$B$2:$K$310, 0,FALSE), IFERROR(VLOOKUP($A157,'Vocus RVC ExDa'!$C$2:$R$155, 16,FALSE), IFERROR(VLOOKUP($A157,'Fusion ExDa'!$B$2:$D$16, 0,FALSE), IFERROR(VLOOKUP($A157,'Exetel ExDa'!$C$2:$N$14, 0,FALSE), IFERROR(VLOOKUP($A157,'Infinet ExDa'!$B$2:$E$14, 0,FALSE), "Not Found"))))))))</f>
        <v>Not Found</v>
      </c>
      <c r="I157" t="str">
        <f>IFERROR(VLOOKUP($A157,'AAPT ExDa'!$B$2:$U$99, 0,FALSE), IFERROR(VLOOKUP($A157,'ABB ExDa'!$A$2:$N$184, 0,FALSE), IFERROR(VLOOKUP($A157,'Vocus SIT ExDa'!$B$2:$J$173, 0,FALSE), IFERROR(VLOOKUP($A157,'Telstra ExDa'!$B$2:$K$310, 0,FALSE), IFERROR(VLOOKUP($A157,'Vocus RVC ExDa'!$C$2:$R$155, 0,FALSE), IFERROR(VLOOKUP($A157,'Fusion ExDa'!$B$2:$D$16, 0,FALSE), IFERROR(VLOOKUP($A157,'Exetel ExDa'!$C$2:$N$14, 8,FALSE), IFERROR(VLOOKUP($A157,'Infinet ExDa'!$B$2:$E$14, 0,FALSE), "Not Found"))))))))</f>
        <v>Not Found</v>
      </c>
      <c r="J157" t="str">
        <f>IFERROR(VLOOKUP($A157,'AAPT ExDa'!$B$2:$U$99, 7,FALSE), IFERROR(VLOOKUP($A157,'ABB ExDa'!$A$2:$N$184, 2,FALSE), IFERROR(VLOOKUP($A157,'Vocus SIT ExDa'!$B$2:$J$173, 0,FALSE), IFERROR(VLOOKUP($A157,'Telstra ExDa'!$B$2:$K$310, 7,FALSE), IFERROR(VLOOKUP($A157,'Vocus RVC ExDa'!$C$2:$R$155, 2,FALSE), IFERROR(VLOOKUP($A157,'Fusion ExDa'!$B$2:$D$16, 3,FALSE), IFERROR(VLOOKUP($A157,'Exetel ExDa'!$C$2:$N$14, 0,FALSE), IFERROR(VLOOKUP($A157,'Infinet ExDa'!$B$2:$E$14, 0,FALSE), "Not Found"))))))))</f>
        <v>500 TORQUAY RD, ARMSTRONG CREEK VIC</v>
      </c>
      <c r="K157" t="str">
        <f>IFERROR(VLOOKUP($A157,'AAPT ExDa'!$B$2:$U$99, 12,FALSE), IFERROR(VLOOKUP($A157,'ABB ExDa'!$A$2:$N$184, 0,FALSE), IFERROR(VLOOKUP($A157,'Vocus SIT ExDa'!$B$2:$J$173, 0,FALSE), IFERROR(VLOOKUP($A157,'Telstra ExDa'!$B$2:$K$310, 0,FALSE), IFERROR(VLOOKUP($A157,'Vocus RVC ExDa'!$C$2:$R$155, 0,FALSE), IFERROR(VLOOKUP($A157,'Fusion ExDa'!$B$2:$D$16, 0,FALSE), IFERROR(VLOOKUP($A157,'Exetel ExDa'!$C$2:$N$14, 12,FALSE), IFERROR(VLOOKUP($A157,'Infinet ExDa'!$B$2:$E$14, 0,FALSE), "Not Found"))))))))</f>
        <v>Not Found</v>
      </c>
      <c r="L157" s="235" t="str">
        <f>IFERROR(VLOOKUP($A157,'AAPT ExDa'!$B$2:$U$99, 11,FALSE), IFERROR(VLOOKUP($A157,'ABB ExDa'!$A$2:$N$184, 9,FALSE), IFERROR(VLOOKUP($A157,'Vocus SIT ExDa'!$B$2:$J$173, 8,FALSE), IFERROR(VLOOKUP($A157,'Telstra ExDa'!$B$2:$K$310, 0,FALSE), IFERROR(VLOOKUP($A157,'Vocus RVC ExDa'!$C$2:$R$155, 0,FALSE), IFERROR(VLOOKUP($A157,'Fusion ExDa'!$B$2:$D$16, 0,FALSE), IFERROR(VLOOKUP($A157,'Exetel ExDa'!$C$2:$N$14, 9,FALSE), IFERROR(VLOOKUP($A157,'Infinet ExDa'!$B$2:$E$14, 0,FALSE), "Not Found"))))))))</f>
        <v>05 Nov 2024</v>
      </c>
      <c r="M157" s="234" t="str">
        <f>IFERROR(VLOOKUP($A157,'AAPT ExDa'!$B$2:$U$99, 0,FALSE), IFERROR(VLOOKUP($A157,'ABB ExDa'!$A$2:$N$184, 0,FALSE), IFERROR(VLOOKUP($A157,'Vocus SIT ExDa'!$B$2:$J$173, 0,FALSE), IFERROR(VLOOKUP($A157,'Telstra ExDa'!$B$2:$K$310, 0,FALSE), IFERROR(VLOOKUP($A157,'Vocus RVC ExDa'!$C$2:$R$155, 0,FALSE), IFERROR(VLOOKUP($A157,'Fusion ExDa'!$B$2:$D$16, 0,FALSE), IFERROR(VLOOKUP($A157,'Exetel ExDa'!$C$2:$N$14, 11,FALSE), IFERROR(VLOOKUP($A157,'Infinet ExDa'!$B$2:$E$14, 0,FALSE), "Not Found"))))))))</f>
        <v>Not Found</v>
      </c>
      <c r="N157" t="str">
        <f>IFERROR(VLOOKUP($A157,'AAPT ExDa'!$B$2:$U$99, 0,FALSE), IFERROR(VLOOKUP($A157,'ABB ExDa'!$A$2:$N$184, 13,FALSE), IFERROR(VLOOKUP($A157,'Vocus SIT ExDa'!$B$2:$J$173, 0,FALSE), IFERROR(VLOOKUP($A157,'Telstra ExDa'!$B$2:$K$310, 0,FALSE), IFERROR(VLOOKUP($A157,'Vocus RVC ExDa'!$C$2:$R$155, 0,FALSE), IFERROR(VLOOKUP($A157,'Fusion ExDa'!$B$2:$D$16, 0,FALSE), IFERROR(VLOOKUP($A157,'Exetel ExDa'!$C$2:$N$14, 0,FALSE), IFERROR(VLOOKUP($A157,'Infinet ExDa'!$B$2:$E$14, 0,FALSE), "Not Found"))))))))</f>
        <v>Onebill</v>
      </c>
    </row>
    <row r="158" spans="1:14">
      <c r="A158" t="str">
        <v xml:space="preserve">The Lune Co - Sydney Rosebery	</v>
      </c>
      <c r="B158" t="str">
        <f>IFERROR(VLOOKUP(A158,'Exetel ExDa'!$C$2:$N$14,4,FALSE),"No Data")</f>
        <v>No Data</v>
      </c>
      <c r="C158" t="str">
        <f>IFERROR(VLOOKUP(A158,'AAPT ExDa'!$B$2:$U$99, 2,FALSE), IFERROR(VLOOKUP(A158,'ABB ExDa'!$A$2:$N$184, 2,FALSE), IFERROR(VLOOKUP(A158,'Vocus SIT ExDa'!$B$2:$J$173, 7,FALSE), IFERROR(VLOOKUP(A158,'Telstra ExDa'!$B$2:$K$310, 2,FALSE), IFERROR(VLOOKUP(A158,'Vocus RVC ExDa'!$C$2:$R$155, 3,FALSE), IFERROR(VLOOKUP(A158,'Fusion ExDa'!$B$2:$D$16, 2,FALSE), IFERROR(VLOOKUP(A158,'Exetel ExDa'!$C$2:$N$14, 2,FALSE), IFERROR(VLOOKUP(A158,'Infinet ExDa'!$B$2:$E$14, 2,FALSE), "Not Found"))))))))</f>
        <v xml:space="preserve">OFFC T103, 115 DUNNING AV, ROSEBERY NSW	</v>
      </c>
      <c r="D158" t="str">
        <f>IFERROR(VLOOKUP($A158,'AAPT ExDa'!$B$2:$U$99, 15,FALSE), IFERROR(VLOOKUP($A158,'ABB ExDa'!$A$2:$N$184, 4,FALSE), IFERROR(VLOOKUP($A158,'Vocus SIT ExDa'!$B$2:$J$173, 5,FALSE), IFERROR(VLOOKUP($A158,'Telstra ExDa'!$B$2:$K$310, 8,FALSE), IFERROR(VLOOKUP($A158,'Vocus RVC ExDa'!$C$2:$R$155, 6,FALSE), IFERROR(VLOOKUP($A158,'Fusion ExDa'!$B$2:$D$16, 4,FALSE), IFERROR(VLOOKUP($A158,'Exetel ExDa'!$C$2:$N$14, 3,FALSE), IFERROR(VLOOKUP($A158,'Infinet ExDa'!$B$2:$E$14, 3,FALSE), "Not Found"))))))))</f>
        <v>ABB</v>
      </c>
      <c r="E158" t="str">
        <f>IFERROR(VLOOKUP($A158,'AAPT ExDa'!$B$2:$U$99, 3,FALSE), IFERROR(VLOOKUP($A158,'ABB ExDa'!$A$2:$N$184, 5,FALSE), IFERROR(VLOOKUP($A158,'Vocus SIT ExDa'!$B$2:$J$173, 2,FALSE), IFERROR(VLOOKUP($A158,'Telstra ExDa'!$B$2:$K$310, 4,FALSE), IFERROR(VLOOKUP($A158,'Vocus RVC ExDa'!$C$2:$R$155, 8,FALSE), IFERROR(VLOOKUP($A158,'Fusion ExDa'!$B$2:$D$16, 4,FALSE), IFERROR(VLOOKUP($A158,'Exetel ExDa'!$C$2:$N$14, 5,FALSE), IFERROR(VLOOKUP($A158,'Infinet ExDa'!$B$2:$E$14, 3,FALSE), "Not Found"))))))))</f>
        <v>NBN 100/40</v>
      </c>
      <c r="F158" t="str">
        <f>IFERROR(VLOOKUP($A158,'AAPT ExDa'!$B$2:$U$99, 4,FALSE), IFERROR(VLOOKUP($A158,'ABB ExDa'!$A$2:$N$184, 6,FALSE), IFERROR(VLOOKUP($A158,'Vocus SIT ExDa'!$B$2:$J$173, 3,FALSE), IFERROR(VLOOKUP($A158,'Telstra ExDa'!$B$2:$K$310, 5,FALSE), IFERROR(VLOOKUP($A158,'Vocus RVC ExDa'!$C$2:$R$155, 9,FALSE), IFERROR(VLOOKUP($A158,'Fusion ExDa'!$B$2:$D$16, 0,FALSE), IFERROR(VLOOKUP($A158,'Exetel ExDa'!$C$2:$N$14, 6,FALSE), IFERROR(VLOOKUP($A158,'Infinet ExDa'!$B$2:$E$14, 0,FALSE), "Not Found"))))))))</f>
        <v xml:space="preserve">Fibre </v>
      </c>
      <c r="G158" t="str">
        <f>IFERROR(VLOOKUP($A158,'AAPT ExDa'!$B$2:$U$99, 5,FALSE), IFERROR(VLOOKUP($A158,'ABB ExDa'!$A$2:$N$184, 8,FALSE), IFERROR(VLOOKUP($A158,'Vocus SIT ExDa'!$B$2:$J$173, 6,FALSE), IFERROR(VLOOKUP($A158,'Telstra ExDa'!$B$2:$K$310, 0,FALSE), IFERROR(VLOOKUP($A158,'Vocus RVC ExDa'!$C$2:$R$155, 15,FALSE), IFERROR(VLOOKUP($A158,'Fusion ExDa'!$B$2:$D$16, 0,FALSE), IFERROR(VLOOKUP($A158,'Exetel ExDa'!$C$2:$N$14, 7,FALSE), IFERROR(VLOOKUP($A158,'Infinet ExDa'!$B$2:$E$14, 0,FALSE), "Not Found"))))))))</f>
        <v>159.196.214.205</v>
      </c>
      <c r="H158" t="str">
        <f>IFERROR(VLOOKUP($A158,'AAPT ExDa'!$B$2:$U$99, 6,FALSE), IFERROR(VLOOKUP($A158,'ABB ExDa'!$A$2:$N$184, 0,FALSE), IFERROR(VLOOKUP($A158,'Vocus SIT ExDa'!$B$2:$J$173, 0,FALSE), IFERROR(VLOOKUP($A158,'Telstra ExDa'!$B$2:$K$310, 0,FALSE), IFERROR(VLOOKUP($A158,'Vocus RVC ExDa'!$C$2:$R$155, 16,FALSE), IFERROR(VLOOKUP($A158,'Fusion ExDa'!$B$2:$D$16, 0,FALSE), IFERROR(VLOOKUP($A158,'Exetel ExDa'!$C$2:$N$14, 0,FALSE), IFERROR(VLOOKUP($A158,'Infinet ExDa'!$B$2:$E$14, 0,FALSE), "Not Found"))))))))</f>
        <v>Not Found</v>
      </c>
      <c r="I158" t="str">
        <f>IFERROR(VLOOKUP($A158,'AAPT ExDa'!$B$2:$U$99, 0,FALSE), IFERROR(VLOOKUP($A158,'ABB ExDa'!$A$2:$N$184, 0,FALSE), IFERROR(VLOOKUP($A158,'Vocus SIT ExDa'!$B$2:$J$173, 0,FALSE), IFERROR(VLOOKUP($A158,'Telstra ExDa'!$B$2:$K$310, 0,FALSE), IFERROR(VLOOKUP($A158,'Vocus RVC ExDa'!$C$2:$R$155, 0,FALSE), IFERROR(VLOOKUP($A158,'Fusion ExDa'!$B$2:$D$16, 0,FALSE), IFERROR(VLOOKUP($A158,'Exetel ExDa'!$C$2:$N$14, 8,FALSE), IFERROR(VLOOKUP($A158,'Infinet ExDa'!$B$2:$E$14, 0,FALSE), "Not Found"))))))))</f>
        <v>Not Found</v>
      </c>
      <c r="J158" t="str">
        <f>IFERROR(VLOOKUP($A158,'AAPT ExDa'!$B$2:$U$99, 7,FALSE), IFERROR(VLOOKUP($A158,'ABB ExDa'!$A$2:$N$184, 2,FALSE), IFERROR(VLOOKUP($A158,'Vocus SIT ExDa'!$B$2:$J$173, 0,FALSE), IFERROR(VLOOKUP($A158,'Telstra ExDa'!$B$2:$K$310, 7,FALSE), IFERROR(VLOOKUP($A158,'Vocus RVC ExDa'!$C$2:$R$155, 2,FALSE), IFERROR(VLOOKUP($A158,'Fusion ExDa'!$B$2:$D$16, 3,FALSE), IFERROR(VLOOKUP($A158,'Exetel ExDa'!$C$2:$N$14, 0,FALSE), IFERROR(VLOOKUP($A158,'Infinet ExDa'!$B$2:$E$14, 0,FALSE), "Not Found"))))))))</f>
        <v xml:space="preserve">OFFC T103, 115 DUNNING AV, ROSEBERY NSW	</v>
      </c>
      <c r="K158" t="str">
        <f>IFERROR(VLOOKUP($A158,'AAPT ExDa'!$B$2:$U$99, 12,FALSE), IFERROR(VLOOKUP($A158,'ABB ExDa'!$A$2:$N$184, 0,FALSE), IFERROR(VLOOKUP($A158,'Vocus SIT ExDa'!$B$2:$J$173, 0,FALSE), IFERROR(VLOOKUP($A158,'Telstra ExDa'!$B$2:$K$310, 0,FALSE), IFERROR(VLOOKUP($A158,'Vocus RVC ExDa'!$C$2:$R$155, 0,FALSE), IFERROR(VLOOKUP($A158,'Fusion ExDa'!$B$2:$D$16, 0,FALSE), IFERROR(VLOOKUP($A158,'Exetel ExDa'!$C$2:$N$14, 12,FALSE), IFERROR(VLOOKUP($A158,'Infinet ExDa'!$B$2:$E$14, 0,FALSE), "Not Found"))))))))</f>
        <v>Not Found</v>
      </c>
      <c r="L158" s="235" t="str">
        <f>IFERROR(VLOOKUP($A158,'AAPT ExDa'!$B$2:$U$99, 11,FALSE), IFERROR(VLOOKUP($A158,'ABB ExDa'!$A$2:$N$184, 9,FALSE), IFERROR(VLOOKUP($A158,'Vocus SIT ExDa'!$B$2:$J$173, 8,FALSE), IFERROR(VLOOKUP($A158,'Telstra ExDa'!$B$2:$K$310, 0,FALSE), IFERROR(VLOOKUP($A158,'Vocus RVC ExDa'!$C$2:$R$155, 0,FALSE), IFERROR(VLOOKUP($A158,'Fusion ExDa'!$B$2:$D$16, 0,FALSE), IFERROR(VLOOKUP($A158,'Exetel ExDa'!$C$2:$N$14, 9,FALSE), IFERROR(VLOOKUP($A158,'Infinet ExDa'!$B$2:$E$14, 0,FALSE), "Not Found"))))))))</f>
        <v>18 Nov 2024</v>
      </c>
      <c r="M158" s="234" t="str">
        <f>IFERROR(VLOOKUP($A158,'AAPT ExDa'!$B$2:$U$99, 0,FALSE), IFERROR(VLOOKUP($A158,'ABB ExDa'!$A$2:$N$184, 0,FALSE), IFERROR(VLOOKUP($A158,'Vocus SIT ExDa'!$B$2:$J$173, 0,FALSE), IFERROR(VLOOKUP($A158,'Telstra ExDa'!$B$2:$K$310, 0,FALSE), IFERROR(VLOOKUP($A158,'Vocus RVC ExDa'!$C$2:$R$155, 0,FALSE), IFERROR(VLOOKUP($A158,'Fusion ExDa'!$B$2:$D$16, 0,FALSE), IFERROR(VLOOKUP($A158,'Exetel ExDa'!$C$2:$N$14, 11,FALSE), IFERROR(VLOOKUP($A158,'Infinet ExDa'!$B$2:$E$14, 0,FALSE), "Not Found"))))))))</f>
        <v>Not Found</v>
      </c>
      <c r="N158" t="str">
        <f>IFERROR(VLOOKUP($A158,'AAPT ExDa'!$B$2:$U$99, 0,FALSE), IFERROR(VLOOKUP($A158,'ABB ExDa'!$A$2:$N$184, 13,FALSE), IFERROR(VLOOKUP($A158,'Vocus SIT ExDa'!$B$2:$J$173, 0,FALSE), IFERROR(VLOOKUP($A158,'Telstra ExDa'!$B$2:$K$310, 0,FALSE), IFERROR(VLOOKUP($A158,'Vocus RVC ExDa'!$C$2:$R$155, 0,FALSE), IFERROR(VLOOKUP($A158,'Fusion ExDa'!$B$2:$D$16, 0,FALSE), IFERROR(VLOOKUP($A158,'Exetel ExDa'!$C$2:$N$14, 0,FALSE), IFERROR(VLOOKUP($A158,'Infinet ExDa'!$B$2:$E$14, 0,FALSE), "Not Found"))))))))</f>
        <v>Onebill</v>
      </c>
    </row>
    <row r="159" spans="1:14">
      <c r="A159" t="str">
        <v>The Yiros Shop Albion</v>
      </c>
      <c r="B159" t="str">
        <f>IFERROR(VLOOKUP(A159,'Exetel ExDa'!$C$2:$N$14,4,FALSE),"No Data")</f>
        <v>No Data</v>
      </c>
      <c r="C159" t="str">
        <f>IFERROR(VLOOKUP(A159,'AAPT ExDa'!$B$2:$U$99, 2,FALSE), IFERROR(VLOOKUP(A159,'ABB ExDa'!$A$2:$N$184, 2,FALSE), IFERROR(VLOOKUP(A159,'Vocus SIT ExDa'!$B$2:$J$173, 7,FALSE), IFERROR(VLOOKUP(A159,'Telstra ExDa'!$B$2:$K$310, 2,FALSE), IFERROR(VLOOKUP(A159,'Vocus RVC ExDa'!$C$2:$R$155, 3,FALSE), IFERROR(VLOOKUP(A159,'Fusion ExDa'!$B$2:$D$16, 2,FALSE), IFERROR(VLOOKUP(A159,'Exetel ExDa'!$C$2:$N$14, 2,FALSE), IFERROR(VLOOKUP(A159,'Infinet ExDa'!$B$2:$E$14, 2,FALSE), "Not Found"))))))))</f>
        <v>TNCY 6, 6 CROSBY RD, ALBION QLD</v>
      </c>
      <c r="D159" t="str">
        <f>IFERROR(VLOOKUP($A159,'AAPT ExDa'!$B$2:$U$99, 15,FALSE), IFERROR(VLOOKUP($A159,'ABB ExDa'!$A$2:$N$184, 4,FALSE), IFERROR(VLOOKUP($A159,'Vocus SIT ExDa'!$B$2:$J$173, 5,FALSE), IFERROR(VLOOKUP($A159,'Telstra ExDa'!$B$2:$K$310, 8,FALSE), IFERROR(VLOOKUP($A159,'Vocus RVC ExDa'!$C$2:$R$155, 6,FALSE), IFERROR(VLOOKUP($A159,'Fusion ExDa'!$B$2:$D$16, 4,FALSE), IFERROR(VLOOKUP($A159,'Exetel ExDa'!$C$2:$N$14, 3,FALSE), IFERROR(VLOOKUP($A159,'Infinet ExDa'!$B$2:$E$14, 3,FALSE), "Not Found"))))))))</f>
        <v>ABB</v>
      </c>
      <c r="E159" t="str">
        <f>IFERROR(VLOOKUP($A159,'AAPT ExDa'!$B$2:$U$99, 3,FALSE), IFERROR(VLOOKUP($A159,'ABB ExDa'!$A$2:$N$184, 5,FALSE), IFERROR(VLOOKUP($A159,'Vocus SIT ExDa'!$B$2:$J$173, 2,FALSE), IFERROR(VLOOKUP($A159,'Telstra ExDa'!$B$2:$K$310, 4,FALSE), IFERROR(VLOOKUP($A159,'Vocus RVC ExDa'!$C$2:$R$155, 8,FALSE), IFERROR(VLOOKUP($A159,'Fusion ExDa'!$B$2:$D$16, 4,FALSE), IFERROR(VLOOKUP($A159,'Exetel ExDa'!$C$2:$N$14, 5,FALSE), IFERROR(VLOOKUP($A159,'Infinet ExDa'!$B$2:$E$14, 3,FALSE), "Not Found"))))))))</f>
        <v>NBN 50/20</v>
      </c>
      <c r="F159" t="str">
        <f>IFERROR(VLOOKUP($A159,'AAPT ExDa'!$B$2:$U$99, 4,FALSE), IFERROR(VLOOKUP($A159,'ABB ExDa'!$A$2:$N$184, 6,FALSE), IFERROR(VLOOKUP($A159,'Vocus SIT ExDa'!$B$2:$J$173, 3,FALSE), IFERROR(VLOOKUP($A159,'Telstra ExDa'!$B$2:$K$310, 5,FALSE), IFERROR(VLOOKUP($A159,'Vocus RVC ExDa'!$C$2:$R$155, 9,FALSE), IFERROR(VLOOKUP($A159,'Fusion ExDa'!$B$2:$D$16, 0,FALSE), IFERROR(VLOOKUP($A159,'Exetel ExDa'!$C$2:$N$14, 6,FALSE), IFERROR(VLOOKUP($A159,'Infinet ExDa'!$B$2:$E$14, 0,FALSE), "Not Found"))))))))</f>
        <v>Fibre</v>
      </c>
      <c r="G159" t="str">
        <f>IFERROR(VLOOKUP($A159,'AAPT ExDa'!$B$2:$U$99, 5,FALSE), IFERROR(VLOOKUP($A159,'ABB ExDa'!$A$2:$N$184, 8,FALSE), IFERROR(VLOOKUP($A159,'Vocus SIT ExDa'!$B$2:$J$173, 6,FALSE), IFERROR(VLOOKUP($A159,'Telstra ExDa'!$B$2:$K$310, 0,FALSE), IFERROR(VLOOKUP($A159,'Vocus RVC ExDa'!$C$2:$R$155, 15,FALSE), IFERROR(VLOOKUP($A159,'Fusion ExDa'!$B$2:$D$16, 0,FALSE), IFERROR(VLOOKUP($A159,'Exetel ExDa'!$C$2:$N$14, 7,FALSE), IFERROR(VLOOKUP($A159,'Infinet ExDa'!$B$2:$E$14, 0,FALSE), "Not Found"))))))))</f>
        <v>180.181.215.213</v>
      </c>
      <c r="H159">
        <f>IFERROR(VLOOKUP($A159,'AAPT ExDa'!$B$2:$U$99, 6,FALSE), IFERROR(VLOOKUP($A159,'ABB ExDa'!$A$2:$N$184, 0,FALSE), IFERROR(VLOOKUP($A159,'Vocus SIT ExDa'!$B$2:$J$173, 0,FALSE), IFERROR(VLOOKUP($A159,'Telstra ExDa'!$B$2:$K$310, 0,FALSE), IFERROR(VLOOKUP($A159,'Vocus RVC ExDa'!$C$2:$R$155, 16,FALSE), IFERROR(VLOOKUP($A159,'Fusion ExDa'!$B$2:$D$16, 0,FALSE), IFERROR(VLOOKUP($A159,'Exetel ExDa'!$C$2:$N$14, 0,FALSE), IFERROR(VLOOKUP($A159,'Infinet ExDa'!$B$2:$E$14, 0,FALSE), "Not Found"))))))))</f>
        <v>0</v>
      </c>
      <c r="I159" t="str">
        <f>IFERROR(VLOOKUP($A159,'AAPT ExDa'!$B$2:$U$99, 0,FALSE), IFERROR(VLOOKUP($A159,'ABB ExDa'!$A$2:$N$184, 0,FALSE), IFERROR(VLOOKUP($A159,'Vocus SIT ExDa'!$B$2:$J$173, 0,FALSE), IFERROR(VLOOKUP($A159,'Telstra ExDa'!$B$2:$K$310, 0,FALSE), IFERROR(VLOOKUP($A159,'Vocus RVC ExDa'!$C$2:$R$155, 0,FALSE), IFERROR(VLOOKUP($A159,'Fusion ExDa'!$B$2:$D$16, 0,FALSE), IFERROR(VLOOKUP($A159,'Exetel ExDa'!$C$2:$N$14, 8,FALSE), IFERROR(VLOOKUP($A159,'Infinet ExDa'!$B$2:$E$14, 0,FALSE), "Not Found"))))))))</f>
        <v>Not Found</v>
      </c>
      <c r="J159" t="str">
        <f>IFERROR(VLOOKUP($A159,'AAPT ExDa'!$B$2:$U$99, 7,FALSE), IFERROR(VLOOKUP($A159,'ABB ExDa'!$A$2:$N$184, 2,FALSE), IFERROR(VLOOKUP($A159,'Vocus SIT ExDa'!$B$2:$J$173, 0,FALSE), IFERROR(VLOOKUP($A159,'Telstra ExDa'!$B$2:$K$310, 7,FALSE), IFERROR(VLOOKUP($A159,'Vocus RVC ExDa'!$C$2:$R$155, 2,FALSE), IFERROR(VLOOKUP($A159,'Fusion ExDa'!$B$2:$D$16, 3,FALSE), IFERROR(VLOOKUP($A159,'Exetel ExDa'!$C$2:$N$14, 0,FALSE), IFERROR(VLOOKUP($A159,'Infinet ExDa'!$B$2:$E$14, 0,FALSE), "Not Found"))))))))</f>
        <v>TNCY 6, 6 CROSBY RD, ALBION QLD</v>
      </c>
      <c r="K159" t="str">
        <f>IFERROR(VLOOKUP($A159,'AAPT ExDa'!$B$2:$U$99, 12,FALSE), IFERROR(VLOOKUP($A159,'ABB ExDa'!$A$2:$N$184, 0,FALSE), IFERROR(VLOOKUP($A159,'Vocus SIT ExDa'!$B$2:$J$173, 0,FALSE), IFERROR(VLOOKUP($A159,'Telstra ExDa'!$B$2:$K$310, 0,FALSE), IFERROR(VLOOKUP($A159,'Vocus RVC ExDa'!$C$2:$R$155, 0,FALSE), IFERROR(VLOOKUP($A159,'Fusion ExDa'!$B$2:$D$16, 0,FALSE), IFERROR(VLOOKUP($A159,'Exetel ExDa'!$C$2:$N$14, 12,FALSE), IFERROR(VLOOKUP($A159,'Infinet ExDa'!$B$2:$E$14, 0,FALSE), "Not Found"))))))))</f>
        <v>Not Found</v>
      </c>
      <c r="L159" s="235" t="str">
        <f>IFERROR(VLOOKUP($A159,'AAPT ExDa'!$B$2:$U$99, 11,FALSE), IFERROR(VLOOKUP($A159,'ABB ExDa'!$A$2:$N$184, 9,FALSE), IFERROR(VLOOKUP($A159,'Vocus SIT ExDa'!$B$2:$J$173, 8,FALSE), IFERROR(VLOOKUP($A159,'Telstra ExDa'!$B$2:$K$310, 0,FALSE), IFERROR(VLOOKUP($A159,'Vocus RVC ExDa'!$C$2:$R$155, 0,FALSE), IFERROR(VLOOKUP($A159,'Fusion ExDa'!$B$2:$D$16, 0,FALSE), IFERROR(VLOOKUP($A159,'Exetel ExDa'!$C$2:$N$14, 9,FALSE), IFERROR(VLOOKUP($A159,'Infinet ExDa'!$B$2:$E$14, 0,FALSE), "Not Found"))))))))</f>
        <v>02 Aug 2025</v>
      </c>
      <c r="M159" s="234" t="str">
        <f>IFERROR(VLOOKUP($A159,'AAPT ExDa'!$B$2:$U$99, 0,FALSE), IFERROR(VLOOKUP($A159,'ABB ExDa'!$A$2:$N$184, 0,FALSE), IFERROR(VLOOKUP($A159,'Vocus SIT ExDa'!$B$2:$J$173, 0,FALSE), IFERROR(VLOOKUP($A159,'Telstra ExDa'!$B$2:$K$310, 0,FALSE), IFERROR(VLOOKUP($A159,'Vocus RVC ExDa'!$C$2:$R$155, 0,FALSE), IFERROR(VLOOKUP($A159,'Fusion ExDa'!$B$2:$D$16, 0,FALSE), IFERROR(VLOOKUP($A159,'Exetel ExDa'!$C$2:$N$14, 11,FALSE), IFERROR(VLOOKUP($A159,'Infinet ExDa'!$B$2:$E$14, 0,FALSE), "Not Found"))))))))</f>
        <v>Not Found</v>
      </c>
      <c r="N159" t="str">
        <f>IFERROR(VLOOKUP($A159,'AAPT ExDa'!$B$2:$U$99, 0,FALSE), IFERROR(VLOOKUP($A159,'ABB ExDa'!$A$2:$N$184, 13,FALSE), IFERROR(VLOOKUP($A159,'Vocus SIT ExDa'!$B$2:$J$173, 0,FALSE), IFERROR(VLOOKUP($A159,'Telstra ExDa'!$B$2:$K$310, 0,FALSE), IFERROR(VLOOKUP($A159,'Vocus RVC ExDa'!$C$2:$R$155, 0,FALSE), IFERROR(VLOOKUP($A159,'Fusion ExDa'!$B$2:$D$16, 0,FALSE), IFERROR(VLOOKUP($A159,'Exetel ExDa'!$C$2:$N$14, 0,FALSE), IFERROR(VLOOKUP($A159,'Infinet ExDa'!$B$2:$E$14, 0,FALSE), "Not Found"))))))))</f>
        <v>Onebill</v>
      </c>
    </row>
    <row r="160" spans="1:14">
      <c r="A160" t="str">
        <v>The Yiros Shop Beenleigh</v>
      </c>
      <c r="B160" t="str">
        <f>IFERROR(VLOOKUP(A160,'Exetel ExDa'!$C$2:$N$14,4,FALSE),"No Data")</f>
        <v>No Data</v>
      </c>
      <c r="C160" t="str">
        <f>IFERROR(VLOOKUP(A160,'AAPT ExDa'!$B$2:$U$99, 2,FALSE), IFERROR(VLOOKUP(A160,'ABB ExDa'!$A$2:$N$184, 2,FALSE), IFERROR(VLOOKUP(A160,'Vocus SIT ExDa'!$B$2:$J$173, 7,FALSE), IFERROR(VLOOKUP(A160,'Telstra ExDa'!$B$2:$K$310, 2,FALSE), IFERROR(VLOOKUP(A160,'Vocus RVC ExDa'!$C$2:$R$155, 3,FALSE), IFERROR(VLOOKUP(A160,'Fusion ExDa'!$B$2:$D$16, 2,FALSE), IFERROR(VLOOKUP(A160,'Exetel ExDa'!$C$2:$N$14, 2,FALSE), IFERROR(VLOOKUP(A160,'Infinet ExDa'!$B$2:$E$14, 2,FALSE), "Not Found"))))))))</f>
        <v>149 GEORGE ST, BEENLEIGH QLD</v>
      </c>
      <c r="D160" t="str">
        <f>IFERROR(VLOOKUP($A160,'AAPT ExDa'!$B$2:$U$99, 15,FALSE), IFERROR(VLOOKUP($A160,'ABB ExDa'!$A$2:$N$184, 4,FALSE), IFERROR(VLOOKUP($A160,'Vocus SIT ExDa'!$B$2:$J$173, 5,FALSE), IFERROR(VLOOKUP($A160,'Telstra ExDa'!$B$2:$K$310, 8,FALSE), IFERROR(VLOOKUP($A160,'Vocus RVC ExDa'!$C$2:$R$155, 6,FALSE), IFERROR(VLOOKUP($A160,'Fusion ExDa'!$B$2:$D$16, 4,FALSE), IFERROR(VLOOKUP($A160,'Exetel ExDa'!$C$2:$N$14, 3,FALSE), IFERROR(VLOOKUP($A160,'Infinet ExDa'!$B$2:$E$14, 3,FALSE), "Not Found"))))))))</f>
        <v>ABB</v>
      </c>
      <c r="E160" t="str">
        <f>IFERROR(VLOOKUP($A160,'AAPT ExDa'!$B$2:$U$99, 3,FALSE), IFERROR(VLOOKUP($A160,'ABB ExDa'!$A$2:$N$184, 5,FALSE), IFERROR(VLOOKUP($A160,'Vocus SIT ExDa'!$B$2:$J$173, 2,FALSE), IFERROR(VLOOKUP($A160,'Telstra ExDa'!$B$2:$K$310, 4,FALSE), IFERROR(VLOOKUP($A160,'Vocus RVC ExDa'!$C$2:$R$155, 8,FALSE), IFERROR(VLOOKUP($A160,'Fusion ExDa'!$B$2:$D$16, 4,FALSE), IFERROR(VLOOKUP($A160,'Exetel ExDa'!$C$2:$N$14, 5,FALSE), IFERROR(VLOOKUP($A160,'Infinet ExDa'!$B$2:$E$14, 3,FALSE), "Not Found"))))))))</f>
        <v>NBN 25/10</v>
      </c>
      <c r="F160" t="str">
        <f>IFERROR(VLOOKUP($A160,'AAPT ExDa'!$B$2:$U$99, 4,FALSE), IFERROR(VLOOKUP($A160,'ABB ExDa'!$A$2:$N$184, 6,FALSE), IFERROR(VLOOKUP($A160,'Vocus SIT ExDa'!$B$2:$J$173, 3,FALSE), IFERROR(VLOOKUP($A160,'Telstra ExDa'!$B$2:$K$310, 5,FALSE), IFERROR(VLOOKUP($A160,'Vocus RVC ExDa'!$C$2:$R$155, 9,FALSE), IFERROR(VLOOKUP($A160,'Fusion ExDa'!$B$2:$D$16, 0,FALSE), IFERROR(VLOOKUP($A160,'Exetel ExDa'!$C$2:$N$14, 6,FALSE), IFERROR(VLOOKUP($A160,'Infinet ExDa'!$B$2:$E$14, 0,FALSE), "Not Found"))))))))</f>
        <v>FTTC</v>
      </c>
      <c r="G160" t="str">
        <f>IFERROR(VLOOKUP($A160,'AAPT ExDa'!$B$2:$U$99, 5,FALSE), IFERROR(VLOOKUP($A160,'ABB ExDa'!$A$2:$N$184, 8,FALSE), IFERROR(VLOOKUP($A160,'Vocus SIT ExDa'!$B$2:$J$173, 6,FALSE), IFERROR(VLOOKUP($A160,'Telstra ExDa'!$B$2:$K$310, 0,FALSE), IFERROR(VLOOKUP($A160,'Vocus RVC ExDa'!$C$2:$R$155, 15,FALSE), IFERROR(VLOOKUP($A160,'Fusion ExDa'!$B$2:$D$16, 0,FALSE), IFERROR(VLOOKUP($A160,'Exetel ExDa'!$C$2:$N$14, 7,FALSE), IFERROR(VLOOKUP($A160,'Infinet ExDa'!$B$2:$E$14, 0,FALSE), "Not Found"))))))))</f>
        <v>180.150.104.142</v>
      </c>
      <c r="H160" t="str">
        <f>IFERROR(VLOOKUP($A160,'AAPT ExDa'!$B$2:$U$99, 6,FALSE), IFERROR(VLOOKUP($A160,'ABB ExDa'!$A$2:$N$184, 0,FALSE), IFERROR(VLOOKUP($A160,'Vocus SIT ExDa'!$B$2:$J$173, 0,FALSE), IFERROR(VLOOKUP($A160,'Telstra ExDa'!$B$2:$K$310, 0,FALSE), IFERROR(VLOOKUP($A160,'Vocus RVC ExDa'!$C$2:$R$155, 16,FALSE), IFERROR(VLOOKUP($A160,'Fusion ExDa'!$B$2:$D$16, 0,FALSE), IFERROR(VLOOKUP($A160,'Exetel ExDa'!$C$2:$N$14, 0,FALSE), IFERROR(VLOOKUP($A160,'Infinet ExDa'!$B$2:$E$14, 0,FALSE), "Not Found"))))))))</f>
        <v>Not Found</v>
      </c>
      <c r="I160" t="str">
        <f>IFERROR(VLOOKUP($A160,'AAPT ExDa'!$B$2:$U$99, 0,FALSE), IFERROR(VLOOKUP($A160,'ABB ExDa'!$A$2:$N$184, 0,FALSE), IFERROR(VLOOKUP($A160,'Vocus SIT ExDa'!$B$2:$J$173, 0,FALSE), IFERROR(VLOOKUP($A160,'Telstra ExDa'!$B$2:$K$310, 0,FALSE), IFERROR(VLOOKUP($A160,'Vocus RVC ExDa'!$C$2:$R$155, 0,FALSE), IFERROR(VLOOKUP($A160,'Fusion ExDa'!$B$2:$D$16, 0,FALSE), IFERROR(VLOOKUP($A160,'Exetel ExDa'!$C$2:$N$14, 8,FALSE), IFERROR(VLOOKUP($A160,'Infinet ExDa'!$B$2:$E$14, 0,FALSE), "Not Found"))))))))</f>
        <v>Not Found</v>
      </c>
      <c r="J160" t="str">
        <f>IFERROR(VLOOKUP($A160,'AAPT ExDa'!$B$2:$U$99, 7,FALSE), IFERROR(VLOOKUP($A160,'ABB ExDa'!$A$2:$N$184, 2,FALSE), IFERROR(VLOOKUP($A160,'Vocus SIT ExDa'!$B$2:$J$173, 0,FALSE), IFERROR(VLOOKUP($A160,'Telstra ExDa'!$B$2:$K$310, 7,FALSE), IFERROR(VLOOKUP($A160,'Vocus RVC ExDa'!$C$2:$R$155, 2,FALSE), IFERROR(VLOOKUP($A160,'Fusion ExDa'!$B$2:$D$16, 3,FALSE), IFERROR(VLOOKUP($A160,'Exetel ExDa'!$C$2:$N$14, 0,FALSE), IFERROR(VLOOKUP($A160,'Infinet ExDa'!$B$2:$E$14, 0,FALSE), "Not Found"))))))))</f>
        <v>149 GEORGE ST, BEENLEIGH QLD</v>
      </c>
      <c r="K160" t="str">
        <f>IFERROR(VLOOKUP($A160,'AAPT ExDa'!$B$2:$U$99, 12,FALSE), IFERROR(VLOOKUP($A160,'ABB ExDa'!$A$2:$N$184, 0,FALSE), IFERROR(VLOOKUP($A160,'Vocus SIT ExDa'!$B$2:$J$173, 0,FALSE), IFERROR(VLOOKUP($A160,'Telstra ExDa'!$B$2:$K$310, 0,FALSE), IFERROR(VLOOKUP($A160,'Vocus RVC ExDa'!$C$2:$R$155, 0,FALSE), IFERROR(VLOOKUP($A160,'Fusion ExDa'!$B$2:$D$16, 0,FALSE), IFERROR(VLOOKUP($A160,'Exetel ExDa'!$C$2:$N$14, 12,FALSE), IFERROR(VLOOKUP($A160,'Infinet ExDa'!$B$2:$E$14, 0,FALSE), "Not Found"))))))))</f>
        <v>Not Found</v>
      </c>
      <c r="L160" s="235" t="str">
        <f>IFERROR(VLOOKUP($A160,'AAPT ExDa'!$B$2:$U$99, 11,FALSE), IFERROR(VLOOKUP($A160,'ABB ExDa'!$A$2:$N$184, 9,FALSE), IFERROR(VLOOKUP($A160,'Vocus SIT ExDa'!$B$2:$J$173, 8,FALSE), IFERROR(VLOOKUP($A160,'Telstra ExDa'!$B$2:$K$310, 0,FALSE), IFERROR(VLOOKUP($A160,'Vocus RVC ExDa'!$C$2:$R$155, 0,FALSE), IFERROR(VLOOKUP($A160,'Fusion ExDa'!$B$2:$D$16, 0,FALSE), IFERROR(VLOOKUP($A160,'Exetel ExDa'!$C$2:$N$14, 9,FALSE), IFERROR(VLOOKUP($A160,'Infinet ExDa'!$B$2:$E$14, 0,FALSE), "Not Found"))))))))</f>
        <v>20 Feb 2025</v>
      </c>
      <c r="M160" s="234" t="str">
        <f>IFERROR(VLOOKUP($A160,'AAPT ExDa'!$B$2:$U$99, 0,FALSE), IFERROR(VLOOKUP($A160,'ABB ExDa'!$A$2:$N$184, 0,FALSE), IFERROR(VLOOKUP($A160,'Vocus SIT ExDa'!$B$2:$J$173, 0,FALSE), IFERROR(VLOOKUP($A160,'Telstra ExDa'!$B$2:$K$310, 0,FALSE), IFERROR(VLOOKUP($A160,'Vocus RVC ExDa'!$C$2:$R$155, 0,FALSE), IFERROR(VLOOKUP($A160,'Fusion ExDa'!$B$2:$D$16, 0,FALSE), IFERROR(VLOOKUP($A160,'Exetel ExDa'!$C$2:$N$14, 11,FALSE), IFERROR(VLOOKUP($A160,'Infinet ExDa'!$B$2:$E$14, 0,FALSE), "Not Found"))))))))</f>
        <v>Not Found</v>
      </c>
      <c r="N160" t="str">
        <f>IFERROR(VLOOKUP($A160,'AAPT ExDa'!$B$2:$U$99, 0,FALSE), IFERROR(VLOOKUP($A160,'ABB ExDa'!$A$2:$N$184, 13,FALSE), IFERROR(VLOOKUP($A160,'Vocus SIT ExDa'!$B$2:$J$173, 0,FALSE), IFERROR(VLOOKUP($A160,'Telstra ExDa'!$B$2:$K$310, 0,FALSE), IFERROR(VLOOKUP($A160,'Vocus RVC ExDa'!$C$2:$R$155, 0,FALSE), IFERROR(VLOOKUP($A160,'Fusion ExDa'!$B$2:$D$16, 0,FALSE), IFERROR(VLOOKUP($A160,'Exetel ExDa'!$C$2:$N$14, 0,FALSE), IFERROR(VLOOKUP($A160,'Infinet ExDa'!$B$2:$E$14, 0,FALSE), "Not Found"))))))))</f>
        <v>Onebill</v>
      </c>
    </row>
    <row r="161" spans="1:14">
      <c r="A161" t="str">
        <v>The Yiros Shop Berrinba</v>
      </c>
      <c r="B161" t="str">
        <f>IFERROR(VLOOKUP(A161,'Exetel ExDa'!$C$2:$N$14,4,FALSE),"No Data")</f>
        <v>No Data</v>
      </c>
      <c r="C161" t="str">
        <f>IFERROR(VLOOKUP(A161,'AAPT ExDa'!$B$2:$U$99, 2,FALSE), IFERROR(VLOOKUP(A161,'ABB ExDa'!$A$2:$N$184, 2,FALSE), IFERROR(VLOOKUP(A161,'Vocus SIT ExDa'!$B$2:$J$173, 7,FALSE), IFERROR(VLOOKUP(A161,'Telstra ExDa'!$B$2:$K$310, 2,FALSE), IFERROR(VLOOKUP(A161,'Vocus RVC ExDa'!$C$2:$R$155, 3,FALSE), IFERROR(VLOOKUP(A161,'Fusion ExDa'!$B$2:$D$16, 2,FALSE), IFERROR(VLOOKUP(A161,'Exetel ExDa'!$C$2:$N$14, 2,FALSE), IFERROR(VLOOKUP(A161,'Infinet ExDa'!$B$2:$E$14, 2,FALSE), "Not Found"))))))))</f>
        <v>SHOP 2, 188 WAYNE GOSS DR, BERRINBA QLD</v>
      </c>
      <c r="D161" t="str">
        <f>IFERROR(VLOOKUP($A161,'AAPT ExDa'!$B$2:$U$99, 15,FALSE), IFERROR(VLOOKUP($A161,'ABB ExDa'!$A$2:$N$184, 4,FALSE), IFERROR(VLOOKUP($A161,'Vocus SIT ExDa'!$B$2:$J$173, 5,FALSE), IFERROR(VLOOKUP($A161,'Telstra ExDa'!$B$2:$K$310, 8,FALSE), IFERROR(VLOOKUP($A161,'Vocus RVC ExDa'!$C$2:$R$155, 6,FALSE), IFERROR(VLOOKUP($A161,'Fusion ExDa'!$B$2:$D$16, 4,FALSE), IFERROR(VLOOKUP($A161,'Exetel ExDa'!$C$2:$N$14, 3,FALSE), IFERROR(VLOOKUP($A161,'Infinet ExDa'!$B$2:$E$14, 3,FALSE), "Not Found"))))))))</f>
        <v>ABB</v>
      </c>
      <c r="E161" t="str">
        <f>IFERROR(VLOOKUP($A161,'AAPT ExDa'!$B$2:$U$99, 3,FALSE), IFERROR(VLOOKUP($A161,'ABB ExDa'!$A$2:$N$184, 5,FALSE), IFERROR(VLOOKUP($A161,'Vocus SIT ExDa'!$B$2:$J$173, 2,FALSE), IFERROR(VLOOKUP($A161,'Telstra ExDa'!$B$2:$K$310, 4,FALSE), IFERROR(VLOOKUP($A161,'Vocus RVC ExDa'!$C$2:$R$155, 8,FALSE), IFERROR(VLOOKUP($A161,'Fusion ExDa'!$B$2:$D$16, 4,FALSE), IFERROR(VLOOKUP($A161,'Exetel ExDa'!$C$2:$N$14, 5,FALSE), IFERROR(VLOOKUP($A161,'Infinet ExDa'!$B$2:$E$14, 3,FALSE), "Not Found"))))))))</f>
        <v>NBN 25/10</v>
      </c>
      <c r="F161" t="str">
        <f>IFERROR(VLOOKUP($A161,'AAPT ExDa'!$B$2:$U$99, 4,FALSE), IFERROR(VLOOKUP($A161,'ABB ExDa'!$A$2:$N$184, 6,FALSE), IFERROR(VLOOKUP($A161,'Vocus SIT ExDa'!$B$2:$J$173, 3,FALSE), IFERROR(VLOOKUP($A161,'Telstra ExDa'!$B$2:$K$310, 5,FALSE), IFERROR(VLOOKUP($A161,'Vocus RVC ExDa'!$C$2:$R$155, 9,FALSE), IFERROR(VLOOKUP($A161,'Fusion ExDa'!$B$2:$D$16, 0,FALSE), IFERROR(VLOOKUP($A161,'Exetel ExDa'!$C$2:$N$14, 6,FALSE), IFERROR(VLOOKUP($A161,'Infinet ExDa'!$B$2:$E$14, 0,FALSE), "Not Found"))))))))</f>
        <v xml:space="preserve">Fibre </v>
      </c>
      <c r="G161" t="str">
        <f>IFERROR(VLOOKUP($A161,'AAPT ExDa'!$B$2:$U$99, 5,FALSE), IFERROR(VLOOKUP($A161,'ABB ExDa'!$A$2:$N$184, 8,FALSE), IFERROR(VLOOKUP($A161,'Vocus SIT ExDa'!$B$2:$J$173, 6,FALSE), IFERROR(VLOOKUP($A161,'Telstra ExDa'!$B$2:$K$310, 0,FALSE), IFERROR(VLOOKUP($A161,'Vocus RVC ExDa'!$C$2:$R$155, 15,FALSE), IFERROR(VLOOKUP($A161,'Fusion ExDa'!$B$2:$D$16, 0,FALSE), IFERROR(VLOOKUP($A161,'Exetel ExDa'!$C$2:$N$14, 7,FALSE), IFERROR(VLOOKUP($A161,'Infinet ExDa'!$B$2:$E$14, 0,FALSE), "Not Found"))))))))</f>
        <v>144.6.110.28</v>
      </c>
      <c r="H161" t="str">
        <f>IFERROR(VLOOKUP($A161,'AAPT ExDa'!$B$2:$U$99, 6,FALSE), IFERROR(VLOOKUP($A161,'ABB ExDa'!$A$2:$N$184, 0,FALSE), IFERROR(VLOOKUP($A161,'Vocus SIT ExDa'!$B$2:$J$173, 0,FALSE), IFERROR(VLOOKUP($A161,'Telstra ExDa'!$B$2:$K$310, 0,FALSE), IFERROR(VLOOKUP($A161,'Vocus RVC ExDa'!$C$2:$R$155, 16,FALSE), IFERROR(VLOOKUP($A161,'Fusion ExDa'!$B$2:$D$16, 0,FALSE), IFERROR(VLOOKUP($A161,'Exetel ExDa'!$C$2:$N$14, 0,FALSE), IFERROR(VLOOKUP($A161,'Infinet ExDa'!$B$2:$E$14, 0,FALSE), "Not Found"))))))))</f>
        <v>Not Found</v>
      </c>
      <c r="I161" t="str">
        <f>IFERROR(VLOOKUP($A161,'AAPT ExDa'!$B$2:$U$99, 0,FALSE), IFERROR(VLOOKUP($A161,'ABB ExDa'!$A$2:$N$184, 0,FALSE), IFERROR(VLOOKUP($A161,'Vocus SIT ExDa'!$B$2:$J$173, 0,FALSE), IFERROR(VLOOKUP($A161,'Telstra ExDa'!$B$2:$K$310, 0,FALSE), IFERROR(VLOOKUP($A161,'Vocus RVC ExDa'!$C$2:$R$155, 0,FALSE), IFERROR(VLOOKUP($A161,'Fusion ExDa'!$B$2:$D$16, 0,FALSE), IFERROR(VLOOKUP($A161,'Exetel ExDa'!$C$2:$N$14, 8,FALSE), IFERROR(VLOOKUP($A161,'Infinet ExDa'!$B$2:$E$14, 0,FALSE), "Not Found"))))))))</f>
        <v>Not Found</v>
      </c>
      <c r="J161" t="str">
        <f>IFERROR(VLOOKUP($A161,'AAPT ExDa'!$B$2:$U$99, 7,FALSE), IFERROR(VLOOKUP($A161,'ABB ExDa'!$A$2:$N$184, 2,FALSE), IFERROR(VLOOKUP($A161,'Vocus SIT ExDa'!$B$2:$J$173, 0,FALSE), IFERROR(VLOOKUP($A161,'Telstra ExDa'!$B$2:$K$310, 7,FALSE), IFERROR(VLOOKUP($A161,'Vocus RVC ExDa'!$C$2:$R$155, 2,FALSE), IFERROR(VLOOKUP($A161,'Fusion ExDa'!$B$2:$D$16, 3,FALSE), IFERROR(VLOOKUP($A161,'Exetel ExDa'!$C$2:$N$14, 0,FALSE), IFERROR(VLOOKUP($A161,'Infinet ExDa'!$B$2:$E$14, 0,FALSE), "Not Found"))))))))</f>
        <v>SHOP 2, 188 WAYNE GOSS DR, BERRINBA QLD</v>
      </c>
      <c r="K161" t="str">
        <f>IFERROR(VLOOKUP($A161,'AAPT ExDa'!$B$2:$U$99, 12,FALSE), IFERROR(VLOOKUP($A161,'ABB ExDa'!$A$2:$N$184, 0,FALSE), IFERROR(VLOOKUP($A161,'Vocus SIT ExDa'!$B$2:$J$173, 0,FALSE), IFERROR(VLOOKUP($A161,'Telstra ExDa'!$B$2:$K$310, 0,FALSE), IFERROR(VLOOKUP($A161,'Vocus RVC ExDa'!$C$2:$R$155, 0,FALSE), IFERROR(VLOOKUP($A161,'Fusion ExDa'!$B$2:$D$16, 0,FALSE), IFERROR(VLOOKUP($A161,'Exetel ExDa'!$C$2:$N$14, 12,FALSE), IFERROR(VLOOKUP($A161,'Infinet ExDa'!$B$2:$E$14, 0,FALSE), "Not Found"))))))))</f>
        <v>Not Found</v>
      </c>
      <c r="L161" s="235" t="str">
        <f>IFERROR(VLOOKUP($A161,'AAPT ExDa'!$B$2:$U$99, 11,FALSE), IFERROR(VLOOKUP($A161,'ABB ExDa'!$A$2:$N$184, 9,FALSE), IFERROR(VLOOKUP($A161,'Vocus SIT ExDa'!$B$2:$J$173, 8,FALSE), IFERROR(VLOOKUP($A161,'Telstra ExDa'!$B$2:$K$310, 0,FALSE), IFERROR(VLOOKUP($A161,'Vocus RVC ExDa'!$C$2:$R$155, 0,FALSE), IFERROR(VLOOKUP($A161,'Fusion ExDa'!$B$2:$D$16, 0,FALSE), IFERROR(VLOOKUP($A161,'Exetel ExDa'!$C$2:$N$14, 9,FALSE), IFERROR(VLOOKUP($A161,'Infinet ExDa'!$B$2:$E$14, 0,FALSE), "Not Found"))))))))</f>
        <v>18 Dec 2023</v>
      </c>
      <c r="M161" s="234" t="str">
        <f>IFERROR(VLOOKUP($A161,'AAPT ExDa'!$B$2:$U$99, 0,FALSE), IFERROR(VLOOKUP($A161,'ABB ExDa'!$A$2:$N$184, 0,FALSE), IFERROR(VLOOKUP($A161,'Vocus SIT ExDa'!$B$2:$J$173, 0,FALSE), IFERROR(VLOOKUP($A161,'Telstra ExDa'!$B$2:$K$310, 0,FALSE), IFERROR(VLOOKUP($A161,'Vocus RVC ExDa'!$C$2:$R$155, 0,FALSE), IFERROR(VLOOKUP($A161,'Fusion ExDa'!$B$2:$D$16, 0,FALSE), IFERROR(VLOOKUP($A161,'Exetel ExDa'!$C$2:$N$14, 11,FALSE), IFERROR(VLOOKUP($A161,'Infinet ExDa'!$B$2:$E$14, 0,FALSE), "Not Found"))))))))</f>
        <v>Not Found</v>
      </c>
      <c r="N161" t="str">
        <f>IFERROR(VLOOKUP($A161,'AAPT ExDa'!$B$2:$U$99, 0,FALSE), IFERROR(VLOOKUP($A161,'ABB ExDa'!$A$2:$N$184, 13,FALSE), IFERROR(VLOOKUP($A161,'Vocus SIT ExDa'!$B$2:$J$173, 0,FALSE), IFERROR(VLOOKUP($A161,'Telstra ExDa'!$B$2:$K$310, 0,FALSE), IFERROR(VLOOKUP($A161,'Vocus RVC ExDa'!$C$2:$R$155, 0,FALSE), IFERROR(VLOOKUP($A161,'Fusion ExDa'!$B$2:$D$16, 0,FALSE), IFERROR(VLOOKUP($A161,'Exetel ExDa'!$C$2:$N$14, 0,FALSE), IFERROR(VLOOKUP($A161,'Infinet ExDa'!$B$2:$E$14, 0,FALSE), "Not Found"))))))))</f>
        <v>Onebill</v>
      </c>
    </row>
    <row r="162" spans="1:14">
      <c r="A162" t="str">
        <v>The Yiros Shop Burleigh</v>
      </c>
      <c r="B162" t="str">
        <f>IFERROR(VLOOKUP(A162,'Exetel ExDa'!$C$2:$N$14,4,FALSE),"No Data")</f>
        <v>No Data</v>
      </c>
      <c r="C162" t="str">
        <f>IFERROR(VLOOKUP(A162,'AAPT ExDa'!$B$2:$U$99, 2,FALSE), IFERROR(VLOOKUP(A162,'ABB ExDa'!$A$2:$N$184, 2,FALSE), IFERROR(VLOOKUP(A162,'Vocus SIT ExDa'!$B$2:$J$173, 7,FALSE), IFERROR(VLOOKUP(A162,'Telstra ExDa'!$B$2:$K$310, 2,FALSE), IFERROR(VLOOKUP(A162,'Vocus RVC ExDa'!$C$2:$R$155, 3,FALSE), IFERROR(VLOOKUP(A162,'Fusion ExDa'!$B$2:$D$16, 2,FALSE), IFERROR(VLOOKUP(A162,'Exetel ExDa'!$C$2:$N$14, 2,FALSE), IFERROR(VLOOKUP(A162,'Infinet ExDa'!$B$2:$E$14, 2,FALSE), "Not Found"))))))))</f>
        <v>UN 5, 27 CONNOR ST, BURLEIGH HEADS QLD</v>
      </c>
      <c r="D162" t="str">
        <f>IFERROR(VLOOKUP($A162,'AAPT ExDa'!$B$2:$U$99, 15,FALSE), IFERROR(VLOOKUP($A162,'ABB ExDa'!$A$2:$N$184, 4,FALSE), IFERROR(VLOOKUP($A162,'Vocus SIT ExDa'!$B$2:$J$173, 5,FALSE), IFERROR(VLOOKUP($A162,'Telstra ExDa'!$B$2:$K$310, 8,FALSE), IFERROR(VLOOKUP($A162,'Vocus RVC ExDa'!$C$2:$R$155, 6,FALSE), IFERROR(VLOOKUP($A162,'Fusion ExDa'!$B$2:$D$16, 4,FALSE), IFERROR(VLOOKUP($A162,'Exetel ExDa'!$C$2:$N$14, 3,FALSE), IFERROR(VLOOKUP($A162,'Infinet ExDa'!$B$2:$E$14, 3,FALSE), "Not Found"))))))))</f>
        <v>ABB</v>
      </c>
      <c r="E162" t="str">
        <f>IFERROR(VLOOKUP($A162,'AAPT ExDa'!$B$2:$U$99, 3,FALSE), IFERROR(VLOOKUP($A162,'ABB ExDa'!$A$2:$N$184, 5,FALSE), IFERROR(VLOOKUP($A162,'Vocus SIT ExDa'!$B$2:$J$173, 2,FALSE), IFERROR(VLOOKUP($A162,'Telstra ExDa'!$B$2:$K$310, 4,FALSE), IFERROR(VLOOKUP($A162,'Vocus RVC ExDa'!$C$2:$R$155, 8,FALSE), IFERROR(VLOOKUP($A162,'Fusion ExDa'!$B$2:$D$16, 4,FALSE), IFERROR(VLOOKUP($A162,'Exetel ExDa'!$C$2:$N$14, 5,FALSE), IFERROR(VLOOKUP($A162,'Infinet ExDa'!$B$2:$E$14, 3,FALSE), "Not Found"))))))))</f>
        <v>NBN 100/40</v>
      </c>
      <c r="F162" t="str">
        <f>IFERROR(VLOOKUP($A162,'AAPT ExDa'!$B$2:$U$99, 4,FALSE), IFERROR(VLOOKUP($A162,'ABB ExDa'!$A$2:$N$184, 6,FALSE), IFERROR(VLOOKUP($A162,'Vocus SIT ExDa'!$B$2:$J$173, 3,FALSE), IFERROR(VLOOKUP($A162,'Telstra ExDa'!$B$2:$K$310, 5,FALSE), IFERROR(VLOOKUP($A162,'Vocus RVC ExDa'!$C$2:$R$155, 9,FALSE), IFERROR(VLOOKUP($A162,'Fusion ExDa'!$B$2:$D$16, 0,FALSE), IFERROR(VLOOKUP($A162,'Exetel ExDa'!$C$2:$N$14, 6,FALSE), IFERROR(VLOOKUP($A162,'Infinet ExDa'!$B$2:$E$14, 0,FALSE), "Not Found"))))))))</f>
        <v>HFC</v>
      </c>
      <c r="G162" t="str">
        <f>IFERROR(VLOOKUP($A162,'AAPT ExDa'!$B$2:$U$99, 5,FALSE), IFERROR(VLOOKUP($A162,'ABB ExDa'!$A$2:$N$184, 8,FALSE), IFERROR(VLOOKUP($A162,'Vocus SIT ExDa'!$B$2:$J$173, 6,FALSE), IFERROR(VLOOKUP($A162,'Telstra ExDa'!$B$2:$K$310, 0,FALSE), IFERROR(VLOOKUP($A162,'Vocus RVC ExDa'!$C$2:$R$155, 15,FALSE), IFERROR(VLOOKUP($A162,'Fusion ExDa'!$B$2:$D$16, 0,FALSE), IFERROR(VLOOKUP($A162,'Exetel ExDa'!$C$2:$N$14, 7,FALSE), IFERROR(VLOOKUP($A162,'Infinet ExDa'!$B$2:$E$14, 0,FALSE), "Not Found"))))))))</f>
        <v>180.181.218.3</v>
      </c>
      <c r="H162" t="str">
        <f>IFERROR(VLOOKUP($A162,'AAPT ExDa'!$B$2:$U$99, 6,FALSE), IFERROR(VLOOKUP($A162,'ABB ExDa'!$A$2:$N$184, 0,FALSE), IFERROR(VLOOKUP($A162,'Vocus SIT ExDa'!$B$2:$J$173, 0,FALSE), IFERROR(VLOOKUP($A162,'Telstra ExDa'!$B$2:$K$310, 0,FALSE), IFERROR(VLOOKUP($A162,'Vocus RVC ExDa'!$C$2:$R$155, 16,FALSE), IFERROR(VLOOKUP($A162,'Fusion ExDa'!$B$2:$D$16, 0,FALSE), IFERROR(VLOOKUP($A162,'Exetel ExDa'!$C$2:$N$14, 0,FALSE), IFERROR(VLOOKUP($A162,'Infinet ExDa'!$B$2:$E$14, 0,FALSE), "Not Found"))))))))</f>
        <v>Not Found</v>
      </c>
      <c r="I162" t="str">
        <f>IFERROR(VLOOKUP($A162,'AAPT ExDa'!$B$2:$U$99, 0,FALSE), IFERROR(VLOOKUP($A162,'ABB ExDa'!$A$2:$N$184, 0,FALSE), IFERROR(VLOOKUP($A162,'Vocus SIT ExDa'!$B$2:$J$173, 0,FALSE), IFERROR(VLOOKUP($A162,'Telstra ExDa'!$B$2:$K$310, 0,FALSE), IFERROR(VLOOKUP($A162,'Vocus RVC ExDa'!$C$2:$R$155, 0,FALSE), IFERROR(VLOOKUP($A162,'Fusion ExDa'!$B$2:$D$16, 0,FALSE), IFERROR(VLOOKUP($A162,'Exetel ExDa'!$C$2:$N$14, 8,FALSE), IFERROR(VLOOKUP($A162,'Infinet ExDa'!$B$2:$E$14, 0,FALSE), "Not Found"))))))))</f>
        <v>Not Found</v>
      </c>
      <c r="J162" t="str">
        <f>IFERROR(VLOOKUP($A162,'AAPT ExDa'!$B$2:$U$99, 7,FALSE), IFERROR(VLOOKUP($A162,'ABB ExDa'!$A$2:$N$184, 2,FALSE), IFERROR(VLOOKUP($A162,'Vocus SIT ExDa'!$B$2:$J$173, 0,FALSE), IFERROR(VLOOKUP($A162,'Telstra ExDa'!$B$2:$K$310, 7,FALSE), IFERROR(VLOOKUP($A162,'Vocus RVC ExDa'!$C$2:$R$155, 2,FALSE), IFERROR(VLOOKUP($A162,'Fusion ExDa'!$B$2:$D$16, 3,FALSE), IFERROR(VLOOKUP($A162,'Exetel ExDa'!$C$2:$N$14, 0,FALSE), IFERROR(VLOOKUP($A162,'Infinet ExDa'!$B$2:$E$14, 0,FALSE), "Not Found"))))))))</f>
        <v>UN 5, 27 CONNOR ST, BURLEIGH HEADS QLD</v>
      </c>
      <c r="K162" t="str">
        <f>IFERROR(VLOOKUP($A162,'AAPT ExDa'!$B$2:$U$99, 12,FALSE), IFERROR(VLOOKUP($A162,'ABB ExDa'!$A$2:$N$184, 0,FALSE), IFERROR(VLOOKUP($A162,'Vocus SIT ExDa'!$B$2:$J$173, 0,FALSE), IFERROR(VLOOKUP($A162,'Telstra ExDa'!$B$2:$K$310, 0,FALSE), IFERROR(VLOOKUP($A162,'Vocus RVC ExDa'!$C$2:$R$155, 0,FALSE), IFERROR(VLOOKUP($A162,'Fusion ExDa'!$B$2:$D$16, 0,FALSE), IFERROR(VLOOKUP($A162,'Exetel ExDa'!$C$2:$N$14, 12,FALSE), IFERROR(VLOOKUP($A162,'Infinet ExDa'!$B$2:$E$14, 0,FALSE), "Not Found"))))))))</f>
        <v>Not Found</v>
      </c>
      <c r="L162" s="235" t="str">
        <f>IFERROR(VLOOKUP($A162,'AAPT ExDa'!$B$2:$U$99, 11,FALSE), IFERROR(VLOOKUP($A162,'ABB ExDa'!$A$2:$N$184, 9,FALSE), IFERROR(VLOOKUP($A162,'Vocus SIT ExDa'!$B$2:$J$173, 8,FALSE), IFERROR(VLOOKUP($A162,'Telstra ExDa'!$B$2:$K$310, 0,FALSE), IFERROR(VLOOKUP($A162,'Vocus RVC ExDa'!$C$2:$R$155, 0,FALSE), IFERROR(VLOOKUP($A162,'Fusion ExDa'!$B$2:$D$16, 0,FALSE), IFERROR(VLOOKUP($A162,'Exetel ExDa'!$C$2:$N$14, 9,FALSE), IFERROR(VLOOKUP($A162,'Infinet ExDa'!$B$2:$E$14, 0,FALSE), "Not Found"))))))))</f>
        <v>1 Sept 2025</v>
      </c>
      <c r="M162" s="234" t="str">
        <f>IFERROR(VLOOKUP($A162,'AAPT ExDa'!$B$2:$U$99, 0,FALSE), IFERROR(VLOOKUP($A162,'ABB ExDa'!$A$2:$N$184, 0,FALSE), IFERROR(VLOOKUP($A162,'Vocus SIT ExDa'!$B$2:$J$173, 0,FALSE), IFERROR(VLOOKUP($A162,'Telstra ExDa'!$B$2:$K$310, 0,FALSE), IFERROR(VLOOKUP($A162,'Vocus RVC ExDa'!$C$2:$R$155, 0,FALSE), IFERROR(VLOOKUP($A162,'Fusion ExDa'!$B$2:$D$16, 0,FALSE), IFERROR(VLOOKUP($A162,'Exetel ExDa'!$C$2:$N$14, 11,FALSE), IFERROR(VLOOKUP($A162,'Infinet ExDa'!$B$2:$E$14, 0,FALSE), "Not Found"))))))))</f>
        <v>Not Found</v>
      </c>
      <c r="N162" t="str">
        <f>IFERROR(VLOOKUP($A162,'AAPT ExDa'!$B$2:$U$99, 0,FALSE), IFERROR(VLOOKUP($A162,'ABB ExDa'!$A$2:$N$184, 13,FALSE), IFERROR(VLOOKUP($A162,'Vocus SIT ExDa'!$B$2:$J$173, 0,FALSE), IFERROR(VLOOKUP($A162,'Telstra ExDa'!$B$2:$K$310, 0,FALSE), IFERROR(VLOOKUP($A162,'Vocus RVC ExDa'!$C$2:$R$155, 0,FALSE), IFERROR(VLOOKUP($A162,'Fusion ExDa'!$B$2:$D$16, 0,FALSE), IFERROR(VLOOKUP($A162,'Exetel ExDa'!$C$2:$N$14, 0,FALSE), IFERROR(VLOOKUP($A162,'Infinet ExDa'!$B$2:$E$14, 0,FALSE), "Not Found"))))))))</f>
        <v>Onebill</v>
      </c>
    </row>
    <row r="163" spans="1:14">
      <c r="A163" t="str">
        <v>The Yiros Shop Cannon Hill</v>
      </c>
      <c r="B163" t="str">
        <f>IFERROR(VLOOKUP(A163,'Exetel ExDa'!$C$2:$N$14,4,FALSE),"No Data")</f>
        <v>No Data</v>
      </c>
      <c r="C163" t="str">
        <f>IFERROR(VLOOKUP(A163,'AAPT ExDa'!$B$2:$U$99, 2,FALSE), IFERROR(VLOOKUP(A163,'ABB ExDa'!$A$2:$N$184, 2,FALSE), IFERROR(VLOOKUP(A163,'Vocus SIT ExDa'!$B$2:$J$173, 7,FALSE), IFERROR(VLOOKUP(A163,'Telstra ExDa'!$B$2:$K$310, 2,FALSE), IFERROR(VLOOKUP(A163,'Vocus RVC ExDa'!$C$2:$R$155, 3,FALSE), IFERROR(VLOOKUP(A163,'Fusion ExDa'!$B$2:$D$16, 2,FALSE), IFERROR(VLOOKUP(A163,'Exetel ExDa'!$C$2:$N$14, 2,FALSE), IFERROR(VLOOKUP(A163,'Infinet ExDa'!$B$2:$E$14, 2,FALSE), "Not Found"))))))))</f>
        <v>UN 8A, 29 SOUTHGATE AV, CANNON HILL QLD</v>
      </c>
      <c r="D163" t="str">
        <f>IFERROR(VLOOKUP($A163,'AAPT ExDa'!$B$2:$U$99, 15,FALSE), IFERROR(VLOOKUP($A163,'ABB ExDa'!$A$2:$N$184, 4,FALSE), IFERROR(VLOOKUP($A163,'Vocus SIT ExDa'!$B$2:$J$173, 5,FALSE), IFERROR(VLOOKUP($A163,'Telstra ExDa'!$B$2:$K$310, 8,FALSE), IFERROR(VLOOKUP($A163,'Vocus RVC ExDa'!$C$2:$R$155, 6,FALSE), IFERROR(VLOOKUP($A163,'Fusion ExDa'!$B$2:$D$16, 4,FALSE), IFERROR(VLOOKUP($A163,'Exetel ExDa'!$C$2:$N$14, 3,FALSE), IFERROR(VLOOKUP($A163,'Infinet ExDa'!$B$2:$E$14, 3,FALSE), "Not Found"))))))))</f>
        <v>ABB</v>
      </c>
      <c r="E163" t="str">
        <f>IFERROR(VLOOKUP($A163,'AAPT ExDa'!$B$2:$U$99, 3,FALSE), IFERROR(VLOOKUP($A163,'ABB ExDa'!$A$2:$N$184, 5,FALSE), IFERROR(VLOOKUP($A163,'Vocus SIT ExDa'!$B$2:$J$173, 2,FALSE), IFERROR(VLOOKUP($A163,'Telstra ExDa'!$B$2:$K$310, 4,FALSE), IFERROR(VLOOKUP($A163,'Vocus RVC ExDa'!$C$2:$R$155, 8,FALSE), IFERROR(VLOOKUP($A163,'Fusion ExDa'!$B$2:$D$16, 4,FALSE), IFERROR(VLOOKUP($A163,'Exetel ExDa'!$C$2:$N$14, 5,FALSE), IFERROR(VLOOKUP($A163,'Infinet ExDa'!$B$2:$E$14, 3,FALSE), "Not Found"))))))))</f>
        <v>NBN 50/20</v>
      </c>
      <c r="F163" t="str">
        <f>IFERROR(VLOOKUP($A163,'AAPT ExDa'!$B$2:$U$99, 4,FALSE), IFERROR(VLOOKUP($A163,'ABB ExDa'!$A$2:$N$184, 6,FALSE), IFERROR(VLOOKUP($A163,'Vocus SIT ExDa'!$B$2:$J$173, 3,FALSE), IFERROR(VLOOKUP($A163,'Telstra ExDa'!$B$2:$K$310, 5,FALSE), IFERROR(VLOOKUP($A163,'Vocus RVC ExDa'!$C$2:$R$155, 9,FALSE), IFERROR(VLOOKUP($A163,'Fusion ExDa'!$B$2:$D$16, 0,FALSE), IFERROR(VLOOKUP($A163,'Exetel ExDa'!$C$2:$N$14, 6,FALSE), IFERROR(VLOOKUP($A163,'Infinet ExDa'!$B$2:$E$14, 0,FALSE), "Not Found"))))))))</f>
        <v>FTTN</v>
      </c>
      <c r="G163" t="str">
        <f>IFERROR(VLOOKUP($A163,'AAPT ExDa'!$B$2:$U$99, 5,FALSE), IFERROR(VLOOKUP($A163,'ABB ExDa'!$A$2:$N$184, 8,FALSE), IFERROR(VLOOKUP($A163,'Vocus SIT ExDa'!$B$2:$J$173, 6,FALSE), IFERROR(VLOOKUP($A163,'Telstra ExDa'!$B$2:$K$310, 0,FALSE), IFERROR(VLOOKUP($A163,'Vocus RVC ExDa'!$C$2:$R$155, 15,FALSE), IFERROR(VLOOKUP($A163,'Fusion ExDa'!$B$2:$D$16, 0,FALSE), IFERROR(VLOOKUP($A163,'Exetel ExDa'!$C$2:$N$14, 7,FALSE), IFERROR(VLOOKUP($A163,'Infinet ExDa'!$B$2:$E$14, 0,FALSE), "Not Found"))))))))</f>
        <v>180.181.212.2</v>
      </c>
      <c r="H163" t="str">
        <f>IFERROR(VLOOKUP($A163,'AAPT ExDa'!$B$2:$U$99, 6,FALSE), IFERROR(VLOOKUP($A163,'ABB ExDa'!$A$2:$N$184, 0,FALSE), IFERROR(VLOOKUP($A163,'Vocus SIT ExDa'!$B$2:$J$173, 0,FALSE), IFERROR(VLOOKUP($A163,'Telstra ExDa'!$B$2:$K$310, 0,FALSE), IFERROR(VLOOKUP($A163,'Vocus RVC ExDa'!$C$2:$R$155, 16,FALSE), IFERROR(VLOOKUP($A163,'Fusion ExDa'!$B$2:$D$16, 0,FALSE), IFERROR(VLOOKUP($A163,'Exetel ExDa'!$C$2:$N$14, 0,FALSE), IFERROR(VLOOKUP($A163,'Infinet ExDa'!$B$2:$E$14, 0,FALSE), "Not Found"))))))))</f>
        <v>Not Found</v>
      </c>
      <c r="I163" t="str">
        <f>IFERROR(VLOOKUP($A163,'AAPT ExDa'!$B$2:$U$99, 0,FALSE), IFERROR(VLOOKUP($A163,'ABB ExDa'!$A$2:$N$184, 0,FALSE), IFERROR(VLOOKUP($A163,'Vocus SIT ExDa'!$B$2:$J$173, 0,FALSE), IFERROR(VLOOKUP($A163,'Telstra ExDa'!$B$2:$K$310, 0,FALSE), IFERROR(VLOOKUP($A163,'Vocus RVC ExDa'!$C$2:$R$155, 0,FALSE), IFERROR(VLOOKUP($A163,'Fusion ExDa'!$B$2:$D$16, 0,FALSE), IFERROR(VLOOKUP($A163,'Exetel ExDa'!$C$2:$N$14, 8,FALSE), IFERROR(VLOOKUP($A163,'Infinet ExDa'!$B$2:$E$14, 0,FALSE), "Not Found"))))))))</f>
        <v>Not Found</v>
      </c>
      <c r="J163" t="str">
        <f>IFERROR(VLOOKUP($A163,'AAPT ExDa'!$B$2:$U$99, 7,FALSE), IFERROR(VLOOKUP($A163,'ABB ExDa'!$A$2:$N$184, 2,FALSE), IFERROR(VLOOKUP($A163,'Vocus SIT ExDa'!$B$2:$J$173, 0,FALSE), IFERROR(VLOOKUP($A163,'Telstra ExDa'!$B$2:$K$310, 7,FALSE), IFERROR(VLOOKUP($A163,'Vocus RVC ExDa'!$C$2:$R$155, 2,FALSE), IFERROR(VLOOKUP($A163,'Fusion ExDa'!$B$2:$D$16, 3,FALSE), IFERROR(VLOOKUP($A163,'Exetel ExDa'!$C$2:$N$14, 0,FALSE), IFERROR(VLOOKUP($A163,'Infinet ExDa'!$B$2:$E$14, 0,FALSE), "Not Found"))))))))</f>
        <v>UN 8A, 29 SOUTHGATE AV, CANNON HILL QLD</v>
      </c>
      <c r="K163" t="str">
        <f>IFERROR(VLOOKUP($A163,'AAPT ExDa'!$B$2:$U$99, 12,FALSE), IFERROR(VLOOKUP($A163,'ABB ExDa'!$A$2:$N$184, 0,FALSE), IFERROR(VLOOKUP($A163,'Vocus SIT ExDa'!$B$2:$J$173, 0,FALSE), IFERROR(VLOOKUP($A163,'Telstra ExDa'!$B$2:$K$310, 0,FALSE), IFERROR(VLOOKUP($A163,'Vocus RVC ExDa'!$C$2:$R$155, 0,FALSE), IFERROR(VLOOKUP($A163,'Fusion ExDa'!$B$2:$D$16, 0,FALSE), IFERROR(VLOOKUP($A163,'Exetel ExDa'!$C$2:$N$14, 12,FALSE), IFERROR(VLOOKUP($A163,'Infinet ExDa'!$B$2:$E$14, 0,FALSE), "Not Found"))))))))</f>
        <v>Not Found</v>
      </c>
      <c r="L163" s="235" t="str">
        <f>IFERROR(VLOOKUP($A163,'AAPT ExDa'!$B$2:$U$99, 11,FALSE), IFERROR(VLOOKUP($A163,'ABB ExDa'!$A$2:$N$184, 9,FALSE), IFERROR(VLOOKUP($A163,'Vocus SIT ExDa'!$B$2:$J$173, 8,FALSE), IFERROR(VLOOKUP($A163,'Telstra ExDa'!$B$2:$K$310, 0,FALSE), IFERROR(VLOOKUP($A163,'Vocus RVC ExDa'!$C$2:$R$155, 0,FALSE), IFERROR(VLOOKUP($A163,'Fusion ExDa'!$B$2:$D$16, 0,FALSE), IFERROR(VLOOKUP($A163,'Exetel ExDa'!$C$2:$N$14, 9,FALSE), IFERROR(VLOOKUP($A163,'Infinet ExDa'!$B$2:$E$14, 0,FALSE), "Not Found"))))))))</f>
        <v>20 June 2025</v>
      </c>
      <c r="M163" s="234" t="str">
        <f>IFERROR(VLOOKUP($A163,'AAPT ExDa'!$B$2:$U$99, 0,FALSE), IFERROR(VLOOKUP($A163,'ABB ExDa'!$A$2:$N$184, 0,FALSE), IFERROR(VLOOKUP($A163,'Vocus SIT ExDa'!$B$2:$J$173, 0,FALSE), IFERROR(VLOOKUP($A163,'Telstra ExDa'!$B$2:$K$310, 0,FALSE), IFERROR(VLOOKUP($A163,'Vocus RVC ExDa'!$C$2:$R$155, 0,FALSE), IFERROR(VLOOKUP($A163,'Fusion ExDa'!$B$2:$D$16, 0,FALSE), IFERROR(VLOOKUP($A163,'Exetel ExDa'!$C$2:$N$14, 11,FALSE), IFERROR(VLOOKUP($A163,'Infinet ExDa'!$B$2:$E$14, 0,FALSE), "Not Found"))))))))</f>
        <v>Not Found</v>
      </c>
      <c r="N163" t="str">
        <f>IFERROR(VLOOKUP($A163,'AAPT ExDa'!$B$2:$U$99, 0,FALSE), IFERROR(VLOOKUP($A163,'ABB ExDa'!$A$2:$N$184, 13,FALSE), IFERROR(VLOOKUP($A163,'Vocus SIT ExDa'!$B$2:$J$173, 0,FALSE), IFERROR(VLOOKUP($A163,'Telstra ExDa'!$B$2:$K$310, 0,FALSE), IFERROR(VLOOKUP($A163,'Vocus RVC ExDa'!$C$2:$R$155, 0,FALSE), IFERROR(VLOOKUP($A163,'Fusion ExDa'!$B$2:$D$16, 0,FALSE), IFERROR(VLOOKUP($A163,'Exetel ExDa'!$C$2:$N$14, 0,FALSE), IFERROR(VLOOKUP($A163,'Infinet ExDa'!$B$2:$E$14, 0,FALSE), "Not Found"))))))))</f>
        <v>Onebill</v>
      </c>
    </row>
    <row r="164" spans="1:14">
      <c r="A164" t="str">
        <v>The Yiros Shop Capalaba</v>
      </c>
      <c r="B164" t="str">
        <f>IFERROR(VLOOKUP(A164,'Exetel ExDa'!$C$2:$N$14,4,FALSE),"No Data")</f>
        <v>No Data</v>
      </c>
      <c r="C164" t="str">
        <f>IFERROR(VLOOKUP(A164,'AAPT ExDa'!$B$2:$U$99, 2,FALSE), IFERROR(VLOOKUP(A164,'ABB ExDa'!$A$2:$N$184, 2,FALSE), IFERROR(VLOOKUP(A164,'Vocus SIT ExDa'!$B$2:$J$173, 7,FALSE), IFERROR(VLOOKUP(A164,'Telstra ExDa'!$B$2:$K$310, 2,FALSE), IFERROR(VLOOKUP(A164,'Vocus RVC ExDa'!$C$2:$R$155, 3,FALSE), IFERROR(VLOOKUP(A164,'Fusion ExDa'!$B$2:$D$16, 2,FALSE), IFERROR(VLOOKUP(A164,'Exetel ExDa'!$C$2:$N$14, 2,FALSE), IFERROR(VLOOKUP(A164,'Infinet ExDa'!$B$2:$E$14, 2,FALSE), "Not Found"))))))))</f>
        <v>SHOP IDF-3B, 108 OLD CLEVELAND RD, CAPALABA QLD</v>
      </c>
      <c r="D164" t="str">
        <f>IFERROR(VLOOKUP($A164,'AAPT ExDa'!$B$2:$U$99, 15,FALSE), IFERROR(VLOOKUP($A164,'ABB ExDa'!$A$2:$N$184, 4,FALSE), IFERROR(VLOOKUP($A164,'Vocus SIT ExDa'!$B$2:$J$173, 5,FALSE), IFERROR(VLOOKUP($A164,'Telstra ExDa'!$B$2:$K$310, 8,FALSE), IFERROR(VLOOKUP($A164,'Vocus RVC ExDa'!$C$2:$R$155, 6,FALSE), IFERROR(VLOOKUP($A164,'Fusion ExDa'!$B$2:$D$16, 4,FALSE), IFERROR(VLOOKUP($A164,'Exetel ExDa'!$C$2:$N$14, 3,FALSE), IFERROR(VLOOKUP($A164,'Infinet ExDa'!$B$2:$E$14, 3,FALSE), "Not Found"))))))))</f>
        <v>ABB</v>
      </c>
      <c r="E164" t="str">
        <f>IFERROR(VLOOKUP($A164,'AAPT ExDa'!$B$2:$U$99, 3,FALSE), IFERROR(VLOOKUP($A164,'ABB ExDa'!$A$2:$N$184, 5,FALSE), IFERROR(VLOOKUP($A164,'Vocus SIT ExDa'!$B$2:$J$173, 2,FALSE), IFERROR(VLOOKUP($A164,'Telstra ExDa'!$B$2:$K$310, 4,FALSE), IFERROR(VLOOKUP($A164,'Vocus RVC ExDa'!$C$2:$R$155, 8,FALSE), IFERROR(VLOOKUP($A164,'Fusion ExDa'!$B$2:$D$16, 4,FALSE), IFERROR(VLOOKUP($A164,'Exetel ExDa'!$C$2:$N$14, 5,FALSE), IFERROR(VLOOKUP($A164,'Infinet ExDa'!$B$2:$E$14, 3,FALSE), "Not Found"))))))))</f>
        <v>NBN 100/40</v>
      </c>
      <c r="F164" t="str">
        <f>IFERROR(VLOOKUP($A164,'AAPT ExDa'!$B$2:$U$99, 4,FALSE), IFERROR(VLOOKUP($A164,'ABB ExDa'!$A$2:$N$184, 6,FALSE), IFERROR(VLOOKUP($A164,'Vocus SIT ExDa'!$B$2:$J$173, 3,FALSE), IFERROR(VLOOKUP($A164,'Telstra ExDa'!$B$2:$K$310, 5,FALSE), IFERROR(VLOOKUP($A164,'Vocus RVC ExDa'!$C$2:$R$155, 9,FALSE), IFERROR(VLOOKUP($A164,'Fusion ExDa'!$B$2:$D$16, 0,FALSE), IFERROR(VLOOKUP($A164,'Exetel ExDa'!$C$2:$N$14, 6,FALSE), IFERROR(VLOOKUP($A164,'Infinet ExDa'!$B$2:$E$14, 0,FALSE), "Not Found"))))))))</f>
        <v>Fibre</v>
      </c>
      <c r="G164" t="str">
        <f>IFERROR(VLOOKUP($A164,'AAPT ExDa'!$B$2:$U$99, 5,FALSE), IFERROR(VLOOKUP($A164,'ABB ExDa'!$A$2:$N$184, 8,FALSE), IFERROR(VLOOKUP($A164,'Vocus SIT ExDa'!$B$2:$J$173, 6,FALSE), IFERROR(VLOOKUP($A164,'Telstra ExDa'!$B$2:$K$310, 0,FALSE), IFERROR(VLOOKUP($A164,'Vocus RVC ExDa'!$C$2:$R$155, 15,FALSE), IFERROR(VLOOKUP($A164,'Fusion ExDa'!$B$2:$D$16, 0,FALSE), IFERROR(VLOOKUP($A164,'Exetel ExDa'!$C$2:$N$14, 7,FALSE), IFERROR(VLOOKUP($A164,'Infinet ExDa'!$B$2:$E$14, 0,FALSE), "Not Found"))))))))</f>
        <v>180.181.214.54</v>
      </c>
      <c r="H164">
        <f>IFERROR(VLOOKUP($A164,'AAPT ExDa'!$B$2:$U$99, 6,FALSE), IFERROR(VLOOKUP($A164,'ABB ExDa'!$A$2:$N$184, 0,FALSE), IFERROR(VLOOKUP($A164,'Vocus SIT ExDa'!$B$2:$J$173, 0,FALSE), IFERROR(VLOOKUP($A164,'Telstra ExDa'!$B$2:$K$310, 0,FALSE), IFERROR(VLOOKUP($A164,'Vocus RVC ExDa'!$C$2:$R$155, 16,FALSE), IFERROR(VLOOKUP($A164,'Fusion ExDa'!$B$2:$D$16, 0,FALSE), IFERROR(VLOOKUP($A164,'Exetel ExDa'!$C$2:$N$14, 0,FALSE), IFERROR(VLOOKUP($A164,'Infinet ExDa'!$B$2:$E$14, 0,FALSE), "Not Found"))))))))</f>
        <v>0</v>
      </c>
      <c r="I164" t="str">
        <f>IFERROR(VLOOKUP($A164,'AAPT ExDa'!$B$2:$U$99, 0,FALSE), IFERROR(VLOOKUP($A164,'ABB ExDa'!$A$2:$N$184, 0,FALSE), IFERROR(VLOOKUP($A164,'Vocus SIT ExDa'!$B$2:$J$173, 0,FALSE), IFERROR(VLOOKUP($A164,'Telstra ExDa'!$B$2:$K$310, 0,FALSE), IFERROR(VLOOKUP($A164,'Vocus RVC ExDa'!$C$2:$R$155, 0,FALSE), IFERROR(VLOOKUP($A164,'Fusion ExDa'!$B$2:$D$16, 0,FALSE), IFERROR(VLOOKUP($A164,'Exetel ExDa'!$C$2:$N$14, 8,FALSE), IFERROR(VLOOKUP($A164,'Infinet ExDa'!$B$2:$E$14, 0,FALSE), "Not Found"))))))))</f>
        <v>Not Found</v>
      </c>
      <c r="J164" t="str">
        <f>IFERROR(VLOOKUP($A164,'AAPT ExDa'!$B$2:$U$99, 7,FALSE), IFERROR(VLOOKUP($A164,'ABB ExDa'!$A$2:$N$184, 2,FALSE), IFERROR(VLOOKUP($A164,'Vocus SIT ExDa'!$B$2:$J$173, 0,FALSE), IFERROR(VLOOKUP($A164,'Telstra ExDa'!$B$2:$K$310, 7,FALSE), IFERROR(VLOOKUP($A164,'Vocus RVC ExDa'!$C$2:$R$155, 2,FALSE), IFERROR(VLOOKUP($A164,'Fusion ExDa'!$B$2:$D$16, 3,FALSE), IFERROR(VLOOKUP($A164,'Exetel ExDa'!$C$2:$N$14, 0,FALSE), IFERROR(VLOOKUP($A164,'Infinet ExDa'!$B$2:$E$14, 0,FALSE), "Not Found"))))))))</f>
        <v>SHOP IDF-3B, 108 OLD CLEVELAND RD, CAPALABA QLD</v>
      </c>
      <c r="K164" t="str">
        <f>IFERROR(VLOOKUP($A164,'AAPT ExDa'!$B$2:$U$99, 12,FALSE), IFERROR(VLOOKUP($A164,'ABB ExDa'!$A$2:$N$184, 0,FALSE), IFERROR(VLOOKUP($A164,'Vocus SIT ExDa'!$B$2:$J$173, 0,FALSE), IFERROR(VLOOKUP($A164,'Telstra ExDa'!$B$2:$K$310, 0,FALSE), IFERROR(VLOOKUP($A164,'Vocus RVC ExDa'!$C$2:$R$155, 0,FALSE), IFERROR(VLOOKUP($A164,'Fusion ExDa'!$B$2:$D$16, 0,FALSE), IFERROR(VLOOKUP($A164,'Exetel ExDa'!$C$2:$N$14, 12,FALSE), IFERROR(VLOOKUP($A164,'Infinet ExDa'!$B$2:$E$14, 0,FALSE), "Not Found"))))))))</f>
        <v>Not Found</v>
      </c>
      <c r="L164" s="235" t="str">
        <f>IFERROR(VLOOKUP($A164,'AAPT ExDa'!$B$2:$U$99, 11,FALSE), IFERROR(VLOOKUP($A164,'ABB ExDa'!$A$2:$N$184, 9,FALSE), IFERROR(VLOOKUP($A164,'Vocus SIT ExDa'!$B$2:$J$173, 8,FALSE), IFERROR(VLOOKUP($A164,'Telstra ExDa'!$B$2:$K$310, 0,FALSE), IFERROR(VLOOKUP($A164,'Vocus RVC ExDa'!$C$2:$R$155, 0,FALSE), IFERROR(VLOOKUP($A164,'Fusion ExDa'!$B$2:$D$16, 0,FALSE), IFERROR(VLOOKUP($A164,'Exetel ExDa'!$C$2:$N$14, 9,FALSE), IFERROR(VLOOKUP($A164,'Infinet ExDa'!$B$2:$E$14, 0,FALSE), "Not Found"))))))))</f>
        <v>22 July 2025</v>
      </c>
      <c r="M164" s="234" t="str">
        <f>IFERROR(VLOOKUP($A164,'AAPT ExDa'!$B$2:$U$99, 0,FALSE), IFERROR(VLOOKUP($A164,'ABB ExDa'!$A$2:$N$184, 0,FALSE), IFERROR(VLOOKUP($A164,'Vocus SIT ExDa'!$B$2:$J$173, 0,FALSE), IFERROR(VLOOKUP($A164,'Telstra ExDa'!$B$2:$K$310, 0,FALSE), IFERROR(VLOOKUP($A164,'Vocus RVC ExDa'!$C$2:$R$155, 0,FALSE), IFERROR(VLOOKUP($A164,'Fusion ExDa'!$B$2:$D$16, 0,FALSE), IFERROR(VLOOKUP($A164,'Exetel ExDa'!$C$2:$N$14, 11,FALSE), IFERROR(VLOOKUP($A164,'Infinet ExDa'!$B$2:$E$14, 0,FALSE), "Not Found"))))))))</f>
        <v>Not Found</v>
      </c>
      <c r="N164" t="str">
        <f>IFERROR(VLOOKUP($A164,'AAPT ExDa'!$B$2:$U$99, 0,FALSE), IFERROR(VLOOKUP($A164,'ABB ExDa'!$A$2:$N$184, 13,FALSE), IFERROR(VLOOKUP($A164,'Vocus SIT ExDa'!$B$2:$J$173, 0,FALSE), IFERROR(VLOOKUP($A164,'Telstra ExDa'!$B$2:$K$310, 0,FALSE), IFERROR(VLOOKUP($A164,'Vocus RVC ExDa'!$C$2:$R$155, 0,FALSE), IFERROR(VLOOKUP($A164,'Fusion ExDa'!$B$2:$D$16, 0,FALSE), IFERROR(VLOOKUP($A164,'Exetel ExDa'!$C$2:$N$14, 0,FALSE), IFERROR(VLOOKUP($A164,'Infinet ExDa'!$B$2:$E$14, 0,FALSE), "Not Found"))))))))</f>
        <v>Onebill</v>
      </c>
    </row>
    <row r="165" spans="1:14">
      <c r="A165" t="str">
        <v>The Yiros Shop Chermside</v>
      </c>
      <c r="B165" t="str">
        <f>IFERROR(VLOOKUP(A165,'Exetel ExDa'!$C$2:$N$14,4,FALSE),"No Data")</f>
        <v>No Data</v>
      </c>
      <c r="C165" t="str">
        <f>IFERROR(VLOOKUP(A165,'AAPT ExDa'!$B$2:$U$99, 2,FALSE), IFERROR(VLOOKUP(A165,'ABB ExDa'!$A$2:$N$184, 2,FALSE), IFERROR(VLOOKUP(A165,'Vocus SIT ExDa'!$B$2:$J$173, 7,FALSE), IFERROR(VLOOKUP(A165,'Telstra ExDa'!$B$2:$K$310, 2,FALSE), IFERROR(VLOOKUP(A165,'Vocus RVC ExDa'!$C$2:$R$155, 3,FALSE), IFERROR(VLOOKUP(A165,'Fusion ExDa'!$B$2:$D$16, 2,FALSE), IFERROR(VLOOKUP(A165,'Exetel ExDa'!$C$2:$N$14, 2,FALSE), IFERROR(VLOOKUP(A165,'Infinet ExDa'!$B$2:$E$14, 2,FALSE), "Not Found"))))))))</f>
        <v>CHERMSIDE SHOPPING CENTRE SHOP R2A, 395 HAMILTON RD, CHERMSIDE QLD</v>
      </c>
      <c r="D165" t="str">
        <f>IFERROR(VLOOKUP($A165,'AAPT ExDa'!$B$2:$U$99, 15,FALSE), IFERROR(VLOOKUP($A165,'ABB ExDa'!$A$2:$N$184, 4,FALSE), IFERROR(VLOOKUP($A165,'Vocus SIT ExDa'!$B$2:$J$173, 5,FALSE), IFERROR(VLOOKUP($A165,'Telstra ExDa'!$B$2:$K$310, 8,FALSE), IFERROR(VLOOKUP($A165,'Vocus RVC ExDa'!$C$2:$R$155, 6,FALSE), IFERROR(VLOOKUP($A165,'Fusion ExDa'!$B$2:$D$16, 4,FALSE), IFERROR(VLOOKUP($A165,'Exetel ExDa'!$C$2:$N$14, 3,FALSE), IFERROR(VLOOKUP($A165,'Infinet ExDa'!$B$2:$E$14, 3,FALSE), "Not Found"))))))))</f>
        <v>ABB</v>
      </c>
      <c r="E165" t="str">
        <f>IFERROR(VLOOKUP($A165,'AAPT ExDa'!$B$2:$U$99, 3,FALSE), IFERROR(VLOOKUP($A165,'ABB ExDa'!$A$2:$N$184, 5,FALSE), IFERROR(VLOOKUP($A165,'Vocus SIT ExDa'!$B$2:$J$173, 2,FALSE), IFERROR(VLOOKUP($A165,'Telstra ExDa'!$B$2:$K$310, 4,FALSE), IFERROR(VLOOKUP($A165,'Vocus RVC ExDa'!$C$2:$R$155, 8,FALSE), IFERROR(VLOOKUP($A165,'Fusion ExDa'!$B$2:$D$16, 4,FALSE), IFERROR(VLOOKUP($A165,'Exetel ExDa'!$C$2:$N$14, 5,FALSE), IFERROR(VLOOKUP($A165,'Infinet ExDa'!$B$2:$E$14, 3,FALSE), "Not Found"))))))))</f>
        <v>NBN 50/20</v>
      </c>
      <c r="F165" t="str">
        <f>IFERROR(VLOOKUP($A165,'AAPT ExDa'!$B$2:$U$99, 4,FALSE), IFERROR(VLOOKUP($A165,'ABB ExDa'!$A$2:$N$184, 6,FALSE), IFERROR(VLOOKUP($A165,'Vocus SIT ExDa'!$B$2:$J$173, 3,FALSE), IFERROR(VLOOKUP($A165,'Telstra ExDa'!$B$2:$K$310, 5,FALSE), IFERROR(VLOOKUP($A165,'Vocus RVC ExDa'!$C$2:$R$155, 9,FALSE), IFERROR(VLOOKUP($A165,'Fusion ExDa'!$B$2:$D$16, 0,FALSE), IFERROR(VLOOKUP($A165,'Exetel ExDa'!$C$2:$N$14, 6,FALSE), IFERROR(VLOOKUP($A165,'Infinet ExDa'!$B$2:$E$14, 0,FALSE), "Not Found"))))))))</f>
        <v>FTTB</v>
      </c>
      <c r="G165" t="str">
        <f>IFERROR(VLOOKUP($A165,'AAPT ExDa'!$B$2:$U$99, 5,FALSE), IFERROR(VLOOKUP($A165,'ABB ExDa'!$A$2:$N$184, 8,FALSE), IFERROR(VLOOKUP($A165,'Vocus SIT ExDa'!$B$2:$J$173, 6,FALSE), IFERROR(VLOOKUP($A165,'Telstra ExDa'!$B$2:$K$310, 0,FALSE), IFERROR(VLOOKUP($A165,'Vocus RVC ExDa'!$C$2:$R$155, 15,FALSE), IFERROR(VLOOKUP($A165,'Fusion ExDa'!$B$2:$D$16, 0,FALSE), IFERROR(VLOOKUP($A165,'Exetel ExDa'!$C$2:$N$14, 7,FALSE), IFERROR(VLOOKUP($A165,'Infinet ExDa'!$B$2:$E$14, 0,FALSE), "Not Found"))))))))</f>
        <v>144.6.250.2</v>
      </c>
      <c r="H165" t="str">
        <f>IFERROR(VLOOKUP($A165,'AAPT ExDa'!$B$2:$U$99, 6,FALSE), IFERROR(VLOOKUP($A165,'ABB ExDa'!$A$2:$N$184, 0,FALSE), IFERROR(VLOOKUP($A165,'Vocus SIT ExDa'!$B$2:$J$173, 0,FALSE), IFERROR(VLOOKUP($A165,'Telstra ExDa'!$B$2:$K$310, 0,FALSE), IFERROR(VLOOKUP($A165,'Vocus RVC ExDa'!$C$2:$R$155, 16,FALSE), IFERROR(VLOOKUP($A165,'Fusion ExDa'!$B$2:$D$16, 0,FALSE), IFERROR(VLOOKUP($A165,'Exetel ExDa'!$C$2:$N$14, 0,FALSE), IFERROR(VLOOKUP($A165,'Infinet ExDa'!$B$2:$E$14, 0,FALSE), "Not Found"))))))))</f>
        <v>Not Found</v>
      </c>
      <c r="I165" t="str">
        <f>IFERROR(VLOOKUP($A165,'AAPT ExDa'!$B$2:$U$99, 0,FALSE), IFERROR(VLOOKUP($A165,'ABB ExDa'!$A$2:$N$184, 0,FALSE), IFERROR(VLOOKUP($A165,'Vocus SIT ExDa'!$B$2:$J$173, 0,FALSE), IFERROR(VLOOKUP($A165,'Telstra ExDa'!$B$2:$K$310, 0,FALSE), IFERROR(VLOOKUP($A165,'Vocus RVC ExDa'!$C$2:$R$155, 0,FALSE), IFERROR(VLOOKUP($A165,'Fusion ExDa'!$B$2:$D$16, 0,FALSE), IFERROR(VLOOKUP($A165,'Exetel ExDa'!$C$2:$N$14, 8,FALSE), IFERROR(VLOOKUP($A165,'Infinet ExDa'!$B$2:$E$14, 0,FALSE), "Not Found"))))))))</f>
        <v>Not Found</v>
      </c>
      <c r="J165" t="str">
        <f>IFERROR(VLOOKUP($A165,'AAPT ExDa'!$B$2:$U$99, 7,FALSE), IFERROR(VLOOKUP($A165,'ABB ExDa'!$A$2:$N$184, 2,FALSE), IFERROR(VLOOKUP($A165,'Vocus SIT ExDa'!$B$2:$J$173, 0,FALSE), IFERROR(VLOOKUP($A165,'Telstra ExDa'!$B$2:$K$310, 7,FALSE), IFERROR(VLOOKUP($A165,'Vocus RVC ExDa'!$C$2:$R$155, 2,FALSE), IFERROR(VLOOKUP($A165,'Fusion ExDa'!$B$2:$D$16, 3,FALSE), IFERROR(VLOOKUP($A165,'Exetel ExDa'!$C$2:$N$14, 0,FALSE), IFERROR(VLOOKUP($A165,'Infinet ExDa'!$B$2:$E$14, 0,FALSE), "Not Found"))))))))</f>
        <v>CHERMSIDE SHOPPING CENTRE SHOP R2A, 395 HAMILTON RD, CHERMSIDE QLD</v>
      </c>
      <c r="K165" t="str">
        <f>IFERROR(VLOOKUP($A165,'AAPT ExDa'!$B$2:$U$99, 12,FALSE), IFERROR(VLOOKUP($A165,'ABB ExDa'!$A$2:$N$184, 0,FALSE), IFERROR(VLOOKUP($A165,'Vocus SIT ExDa'!$B$2:$J$173, 0,FALSE), IFERROR(VLOOKUP($A165,'Telstra ExDa'!$B$2:$K$310, 0,FALSE), IFERROR(VLOOKUP($A165,'Vocus RVC ExDa'!$C$2:$R$155, 0,FALSE), IFERROR(VLOOKUP($A165,'Fusion ExDa'!$B$2:$D$16, 0,FALSE), IFERROR(VLOOKUP($A165,'Exetel ExDa'!$C$2:$N$14, 12,FALSE), IFERROR(VLOOKUP($A165,'Infinet ExDa'!$B$2:$E$14, 0,FALSE), "Not Found"))))))))</f>
        <v>Not Found</v>
      </c>
      <c r="L165" s="235" t="str">
        <f>IFERROR(VLOOKUP($A165,'AAPT ExDa'!$B$2:$U$99, 11,FALSE), IFERROR(VLOOKUP($A165,'ABB ExDa'!$A$2:$N$184, 9,FALSE), IFERROR(VLOOKUP($A165,'Vocus SIT ExDa'!$B$2:$J$173, 8,FALSE), IFERROR(VLOOKUP($A165,'Telstra ExDa'!$B$2:$K$310, 0,FALSE), IFERROR(VLOOKUP($A165,'Vocus RVC ExDa'!$C$2:$R$155, 0,FALSE), IFERROR(VLOOKUP($A165,'Fusion ExDa'!$B$2:$D$16, 0,FALSE), IFERROR(VLOOKUP($A165,'Exetel ExDa'!$C$2:$N$14, 9,FALSE), IFERROR(VLOOKUP($A165,'Infinet ExDa'!$B$2:$E$14, 0,FALSE), "Not Found"))))))))</f>
        <v>04 June 2025</v>
      </c>
      <c r="M165" s="234" t="str">
        <f>IFERROR(VLOOKUP($A165,'AAPT ExDa'!$B$2:$U$99, 0,FALSE), IFERROR(VLOOKUP($A165,'ABB ExDa'!$A$2:$N$184, 0,FALSE), IFERROR(VLOOKUP($A165,'Vocus SIT ExDa'!$B$2:$J$173, 0,FALSE), IFERROR(VLOOKUP($A165,'Telstra ExDa'!$B$2:$K$310, 0,FALSE), IFERROR(VLOOKUP($A165,'Vocus RVC ExDa'!$C$2:$R$155, 0,FALSE), IFERROR(VLOOKUP($A165,'Fusion ExDa'!$B$2:$D$16, 0,FALSE), IFERROR(VLOOKUP($A165,'Exetel ExDa'!$C$2:$N$14, 11,FALSE), IFERROR(VLOOKUP($A165,'Infinet ExDa'!$B$2:$E$14, 0,FALSE), "Not Found"))))))))</f>
        <v>Not Found</v>
      </c>
      <c r="N165" t="str">
        <f>IFERROR(VLOOKUP($A165,'AAPT ExDa'!$B$2:$U$99, 0,FALSE), IFERROR(VLOOKUP($A165,'ABB ExDa'!$A$2:$N$184, 13,FALSE), IFERROR(VLOOKUP($A165,'Vocus SIT ExDa'!$B$2:$J$173, 0,FALSE), IFERROR(VLOOKUP($A165,'Telstra ExDa'!$B$2:$K$310, 0,FALSE), IFERROR(VLOOKUP($A165,'Vocus RVC ExDa'!$C$2:$R$155, 0,FALSE), IFERROR(VLOOKUP($A165,'Fusion ExDa'!$B$2:$D$16, 0,FALSE), IFERROR(VLOOKUP($A165,'Exetel ExDa'!$C$2:$N$14, 0,FALSE), IFERROR(VLOOKUP($A165,'Infinet ExDa'!$B$2:$E$14, 0,FALSE), "Not Found"))))))))</f>
        <v>Onebill</v>
      </c>
    </row>
    <row r="166" spans="1:14">
      <c r="A166" t="str">
        <v>The Yiros Shop Factory Unit</v>
      </c>
      <c r="B166" t="str">
        <f>IFERROR(VLOOKUP(A166,'Exetel ExDa'!$C$2:$N$14,4,FALSE),"No Data")</f>
        <v>No Data</v>
      </c>
      <c r="C166" t="str">
        <f>IFERROR(VLOOKUP(A166,'AAPT ExDa'!$B$2:$U$99, 2,FALSE), IFERROR(VLOOKUP(A166,'ABB ExDa'!$A$2:$N$184, 2,FALSE), IFERROR(VLOOKUP(A166,'Vocus SIT ExDa'!$B$2:$J$173, 7,FALSE), IFERROR(VLOOKUP(A166,'Telstra ExDa'!$B$2:$K$310, 2,FALSE), IFERROR(VLOOKUP(A166,'Vocus RVC ExDa'!$C$2:$R$155, 3,FALSE), IFERROR(VLOOKUP(A166,'Fusion ExDa'!$B$2:$D$16, 2,FALSE), IFERROR(VLOOKUP(A166,'Exetel ExDa'!$C$2:$N$14, 2,FALSE), IFERROR(VLOOKUP(A166,'Infinet ExDa'!$B$2:$E$14, 2,FALSE), "Not Found"))))))))</f>
        <v>SHOP 4, 166 ABBOTSFORD RD, BOWEN HILLS QLD</v>
      </c>
      <c r="D166" t="str">
        <f>IFERROR(VLOOKUP($A166,'AAPT ExDa'!$B$2:$U$99, 15,FALSE), IFERROR(VLOOKUP($A166,'ABB ExDa'!$A$2:$N$184, 4,FALSE), IFERROR(VLOOKUP($A166,'Vocus SIT ExDa'!$B$2:$J$173, 5,FALSE), IFERROR(VLOOKUP($A166,'Telstra ExDa'!$B$2:$K$310, 8,FALSE), IFERROR(VLOOKUP($A166,'Vocus RVC ExDa'!$C$2:$R$155, 6,FALSE), IFERROR(VLOOKUP($A166,'Fusion ExDa'!$B$2:$D$16, 4,FALSE), IFERROR(VLOOKUP($A166,'Exetel ExDa'!$C$2:$N$14, 3,FALSE), IFERROR(VLOOKUP($A166,'Infinet ExDa'!$B$2:$E$14, 3,FALSE), "Not Found"))))))))</f>
        <v>ABB</v>
      </c>
      <c r="E166" t="str">
        <f>IFERROR(VLOOKUP($A166,'AAPT ExDa'!$B$2:$U$99, 3,FALSE), IFERROR(VLOOKUP($A166,'ABB ExDa'!$A$2:$N$184, 5,FALSE), IFERROR(VLOOKUP($A166,'Vocus SIT ExDa'!$B$2:$J$173, 2,FALSE), IFERROR(VLOOKUP($A166,'Telstra ExDa'!$B$2:$K$310, 4,FALSE), IFERROR(VLOOKUP($A166,'Vocus RVC ExDa'!$C$2:$R$155, 8,FALSE), IFERROR(VLOOKUP($A166,'Fusion ExDa'!$B$2:$D$16, 4,FALSE), IFERROR(VLOOKUP($A166,'Exetel ExDa'!$C$2:$N$14, 5,FALSE), IFERROR(VLOOKUP($A166,'Infinet ExDa'!$B$2:$E$14, 3,FALSE), "Not Found"))))))))</f>
        <v>NBN 100/40</v>
      </c>
      <c r="F166" t="str">
        <f>IFERROR(VLOOKUP($A166,'AAPT ExDa'!$B$2:$U$99, 4,FALSE), IFERROR(VLOOKUP($A166,'ABB ExDa'!$A$2:$N$184, 6,FALSE), IFERROR(VLOOKUP($A166,'Vocus SIT ExDa'!$B$2:$J$173, 3,FALSE), IFERROR(VLOOKUP($A166,'Telstra ExDa'!$B$2:$K$310, 5,FALSE), IFERROR(VLOOKUP($A166,'Vocus RVC ExDa'!$C$2:$R$155, 9,FALSE), IFERROR(VLOOKUP($A166,'Fusion ExDa'!$B$2:$D$16, 0,FALSE), IFERROR(VLOOKUP($A166,'Exetel ExDa'!$C$2:$N$14, 6,FALSE), IFERROR(VLOOKUP($A166,'Infinet ExDa'!$B$2:$E$14, 0,FALSE), "Not Found"))))))))</f>
        <v>FTTC</v>
      </c>
      <c r="G166" t="str">
        <f>IFERROR(VLOOKUP($A166,'AAPT ExDa'!$B$2:$U$99, 5,FALSE), IFERROR(VLOOKUP($A166,'ABB ExDa'!$A$2:$N$184, 8,FALSE), IFERROR(VLOOKUP($A166,'Vocus SIT ExDa'!$B$2:$J$173, 6,FALSE), IFERROR(VLOOKUP($A166,'Telstra ExDa'!$B$2:$K$310, 0,FALSE), IFERROR(VLOOKUP($A166,'Vocus RVC ExDa'!$C$2:$R$155, 15,FALSE), IFERROR(VLOOKUP($A166,'Fusion ExDa'!$B$2:$D$16, 0,FALSE), IFERROR(VLOOKUP($A166,'Exetel ExDa'!$C$2:$N$14, 7,FALSE), IFERROR(VLOOKUP($A166,'Infinet ExDa'!$B$2:$E$14, 0,FALSE), "Not Found"))))))))</f>
        <v>159.196.1.15</v>
      </c>
      <c r="H166" t="str">
        <f>IFERROR(VLOOKUP($A166,'AAPT ExDa'!$B$2:$U$99, 6,FALSE), IFERROR(VLOOKUP($A166,'ABB ExDa'!$A$2:$N$184, 0,FALSE), IFERROR(VLOOKUP($A166,'Vocus SIT ExDa'!$B$2:$J$173, 0,FALSE), IFERROR(VLOOKUP($A166,'Telstra ExDa'!$B$2:$K$310, 0,FALSE), IFERROR(VLOOKUP($A166,'Vocus RVC ExDa'!$C$2:$R$155, 16,FALSE), IFERROR(VLOOKUP($A166,'Fusion ExDa'!$B$2:$D$16, 0,FALSE), IFERROR(VLOOKUP($A166,'Exetel ExDa'!$C$2:$N$14, 0,FALSE), IFERROR(VLOOKUP($A166,'Infinet ExDa'!$B$2:$E$14, 0,FALSE), "Not Found"))))))))</f>
        <v>Not Found</v>
      </c>
      <c r="I166" t="str">
        <f>IFERROR(VLOOKUP($A166,'AAPT ExDa'!$B$2:$U$99, 0,FALSE), IFERROR(VLOOKUP($A166,'ABB ExDa'!$A$2:$N$184, 0,FALSE), IFERROR(VLOOKUP($A166,'Vocus SIT ExDa'!$B$2:$J$173, 0,FALSE), IFERROR(VLOOKUP($A166,'Telstra ExDa'!$B$2:$K$310, 0,FALSE), IFERROR(VLOOKUP($A166,'Vocus RVC ExDa'!$C$2:$R$155, 0,FALSE), IFERROR(VLOOKUP($A166,'Fusion ExDa'!$B$2:$D$16, 0,FALSE), IFERROR(VLOOKUP($A166,'Exetel ExDa'!$C$2:$N$14, 8,FALSE), IFERROR(VLOOKUP($A166,'Infinet ExDa'!$B$2:$E$14, 0,FALSE), "Not Found"))))))))</f>
        <v>Not Found</v>
      </c>
      <c r="J166" t="str">
        <f>IFERROR(VLOOKUP($A166,'AAPT ExDa'!$B$2:$U$99, 7,FALSE), IFERROR(VLOOKUP($A166,'ABB ExDa'!$A$2:$N$184, 2,FALSE), IFERROR(VLOOKUP($A166,'Vocus SIT ExDa'!$B$2:$J$173, 0,FALSE), IFERROR(VLOOKUP($A166,'Telstra ExDa'!$B$2:$K$310, 7,FALSE), IFERROR(VLOOKUP($A166,'Vocus RVC ExDa'!$C$2:$R$155, 2,FALSE), IFERROR(VLOOKUP($A166,'Fusion ExDa'!$B$2:$D$16, 3,FALSE), IFERROR(VLOOKUP($A166,'Exetel ExDa'!$C$2:$N$14, 0,FALSE), IFERROR(VLOOKUP($A166,'Infinet ExDa'!$B$2:$E$14, 0,FALSE), "Not Found"))))))))</f>
        <v>SHOP 4, 166 ABBOTSFORD RD, BOWEN HILLS QLD</v>
      </c>
      <c r="K166" t="str">
        <f>IFERROR(VLOOKUP($A166,'AAPT ExDa'!$B$2:$U$99, 12,FALSE), IFERROR(VLOOKUP($A166,'ABB ExDa'!$A$2:$N$184, 0,FALSE), IFERROR(VLOOKUP($A166,'Vocus SIT ExDa'!$B$2:$J$173, 0,FALSE), IFERROR(VLOOKUP($A166,'Telstra ExDa'!$B$2:$K$310, 0,FALSE), IFERROR(VLOOKUP($A166,'Vocus RVC ExDa'!$C$2:$R$155, 0,FALSE), IFERROR(VLOOKUP($A166,'Fusion ExDa'!$B$2:$D$16, 0,FALSE), IFERROR(VLOOKUP($A166,'Exetel ExDa'!$C$2:$N$14, 12,FALSE), IFERROR(VLOOKUP($A166,'Infinet ExDa'!$B$2:$E$14, 0,FALSE), "Not Found"))))))))</f>
        <v>Not Found</v>
      </c>
      <c r="L166" s="235" t="str">
        <f>IFERROR(VLOOKUP($A166,'AAPT ExDa'!$B$2:$U$99, 11,FALSE), IFERROR(VLOOKUP($A166,'ABB ExDa'!$A$2:$N$184, 9,FALSE), IFERROR(VLOOKUP($A166,'Vocus SIT ExDa'!$B$2:$J$173, 8,FALSE), IFERROR(VLOOKUP($A166,'Telstra ExDa'!$B$2:$K$310, 0,FALSE), IFERROR(VLOOKUP($A166,'Vocus RVC ExDa'!$C$2:$R$155, 0,FALSE), IFERROR(VLOOKUP($A166,'Fusion ExDa'!$B$2:$D$16, 0,FALSE), IFERROR(VLOOKUP($A166,'Exetel ExDa'!$C$2:$N$14, 9,FALSE), IFERROR(VLOOKUP($A166,'Infinet ExDa'!$B$2:$E$14, 0,FALSE), "Not Found"))))))))</f>
        <v>Unopened</v>
      </c>
      <c r="M166" s="234" t="str">
        <f>IFERROR(VLOOKUP($A166,'AAPT ExDa'!$B$2:$U$99, 0,FALSE), IFERROR(VLOOKUP($A166,'ABB ExDa'!$A$2:$N$184, 0,FALSE), IFERROR(VLOOKUP($A166,'Vocus SIT ExDa'!$B$2:$J$173, 0,FALSE), IFERROR(VLOOKUP($A166,'Telstra ExDa'!$B$2:$K$310, 0,FALSE), IFERROR(VLOOKUP($A166,'Vocus RVC ExDa'!$C$2:$R$155, 0,FALSE), IFERROR(VLOOKUP($A166,'Fusion ExDa'!$B$2:$D$16, 0,FALSE), IFERROR(VLOOKUP($A166,'Exetel ExDa'!$C$2:$N$14, 11,FALSE), IFERROR(VLOOKUP($A166,'Infinet ExDa'!$B$2:$E$14, 0,FALSE), "Not Found"))))))))</f>
        <v>Not Found</v>
      </c>
      <c r="N166" t="str">
        <f>IFERROR(VLOOKUP($A166,'AAPT ExDa'!$B$2:$U$99, 0,FALSE), IFERROR(VLOOKUP($A166,'ABB ExDa'!$A$2:$N$184, 13,FALSE), IFERROR(VLOOKUP($A166,'Vocus SIT ExDa'!$B$2:$J$173, 0,FALSE), IFERROR(VLOOKUP($A166,'Telstra ExDa'!$B$2:$K$310, 0,FALSE), IFERROR(VLOOKUP($A166,'Vocus RVC ExDa'!$C$2:$R$155, 0,FALSE), IFERROR(VLOOKUP($A166,'Fusion ExDa'!$B$2:$D$16, 0,FALSE), IFERROR(VLOOKUP($A166,'Exetel ExDa'!$C$2:$N$14, 0,FALSE), IFERROR(VLOOKUP($A166,'Infinet ExDa'!$B$2:$E$14, 0,FALSE), "Not Found"))))))))</f>
        <v>Onebill</v>
      </c>
    </row>
    <row r="167" spans="1:14">
      <c r="A167" t="str">
        <v>The Yiros Shop Jindalee</v>
      </c>
      <c r="B167" t="str">
        <f>IFERROR(VLOOKUP(A167,'Exetel ExDa'!$C$2:$N$14,4,FALSE),"No Data")</f>
        <v>No Data</v>
      </c>
      <c r="C167" t="str">
        <f>IFERROR(VLOOKUP(A167,'AAPT ExDa'!$B$2:$U$99, 2,FALSE), IFERROR(VLOOKUP(A167,'ABB ExDa'!$A$2:$N$184, 2,FALSE), IFERROR(VLOOKUP(A167,'Vocus SIT ExDa'!$B$2:$J$173, 7,FALSE), IFERROR(VLOOKUP(A167,'Telstra ExDa'!$B$2:$K$310, 2,FALSE), IFERROR(VLOOKUP(A167,'Vocus RVC ExDa'!$C$2:$R$155, 3,FALSE), IFERROR(VLOOKUP(A167,'Fusion ExDa'!$B$2:$D$16, 2,FALSE), IFERROR(VLOOKUP(A167,'Exetel ExDa'!$C$2:$N$14, 2,FALSE), IFERROR(VLOOKUP(A167,'Infinet ExDa'!$B$2:$E$14, 2,FALSE), "Not Found"))))))))</f>
        <v>SHOP 47, 16 AMAZONS PL, JINDALEE QLD</v>
      </c>
      <c r="D167" t="str">
        <f>IFERROR(VLOOKUP($A167,'AAPT ExDa'!$B$2:$U$99, 15,FALSE), IFERROR(VLOOKUP($A167,'ABB ExDa'!$A$2:$N$184, 4,FALSE), IFERROR(VLOOKUP($A167,'Vocus SIT ExDa'!$B$2:$J$173, 5,FALSE), IFERROR(VLOOKUP($A167,'Telstra ExDa'!$B$2:$K$310, 8,FALSE), IFERROR(VLOOKUP($A167,'Vocus RVC ExDa'!$C$2:$R$155, 6,FALSE), IFERROR(VLOOKUP($A167,'Fusion ExDa'!$B$2:$D$16, 4,FALSE), IFERROR(VLOOKUP($A167,'Exetel ExDa'!$C$2:$N$14, 3,FALSE), IFERROR(VLOOKUP($A167,'Infinet ExDa'!$B$2:$E$14, 3,FALSE), "Not Found"))))))))</f>
        <v>ABB</v>
      </c>
      <c r="E167" t="str">
        <f>IFERROR(VLOOKUP($A167,'AAPT ExDa'!$B$2:$U$99, 3,FALSE), IFERROR(VLOOKUP($A167,'ABB ExDa'!$A$2:$N$184, 5,FALSE), IFERROR(VLOOKUP($A167,'Vocus SIT ExDa'!$B$2:$J$173, 2,FALSE), IFERROR(VLOOKUP($A167,'Telstra ExDa'!$B$2:$K$310, 4,FALSE), IFERROR(VLOOKUP($A167,'Vocus RVC ExDa'!$C$2:$R$155, 8,FALSE), IFERROR(VLOOKUP($A167,'Fusion ExDa'!$B$2:$D$16, 4,FALSE), IFERROR(VLOOKUP($A167,'Exetel ExDa'!$C$2:$N$14, 5,FALSE), IFERROR(VLOOKUP($A167,'Infinet ExDa'!$B$2:$E$14, 3,FALSE), "Not Found"))))))))</f>
        <v>NBN 25/10</v>
      </c>
      <c r="F167" t="str">
        <f>IFERROR(VLOOKUP($A167,'AAPT ExDa'!$B$2:$U$99, 4,FALSE), IFERROR(VLOOKUP($A167,'ABB ExDa'!$A$2:$N$184, 6,FALSE), IFERROR(VLOOKUP($A167,'Vocus SIT ExDa'!$B$2:$J$173, 3,FALSE), IFERROR(VLOOKUP($A167,'Telstra ExDa'!$B$2:$K$310, 5,FALSE), IFERROR(VLOOKUP($A167,'Vocus RVC ExDa'!$C$2:$R$155, 9,FALSE), IFERROR(VLOOKUP($A167,'Fusion ExDa'!$B$2:$D$16, 0,FALSE), IFERROR(VLOOKUP($A167,'Exetel ExDa'!$C$2:$N$14, 6,FALSE), IFERROR(VLOOKUP($A167,'Infinet ExDa'!$B$2:$E$14, 0,FALSE), "Not Found"))))))))</f>
        <v>FTTN</v>
      </c>
      <c r="G167" t="str">
        <f>IFERROR(VLOOKUP($A167,'AAPT ExDa'!$B$2:$U$99, 5,FALSE), IFERROR(VLOOKUP($A167,'ABB ExDa'!$A$2:$N$184, 8,FALSE), IFERROR(VLOOKUP($A167,'Vocus SIT ExDa'!$B$2:$J$173, 6,FALSE), IFERROR(VLOOKUP($A167,'Telstra ExDa'!$B$2:$K$310, 0,FALSE), IFERROR(VLOOKUP($A167,'Vocus RVC ExDa'!$C$2:$R$155, 15,FALSE), IFERROR(VLOOKUP($A167,'Fusion ExDa'!$B$2:$D$16, 0,FALSE), IFERROR(VLOOKUP($A167,'Exetel ExDa'!$C$2:$N$14, 7,FALSE), IFERROR(VLOOKUP($A167,'Infinet ExDa'!$B$2:$E$14, 0,FALSE), "Not Found"))))))))</f>
        <v>180.181.208.243</v>
      </c>
      <c r="H167">
        <f>IFERROR(VLOOKUP($A167,'AAPT ExDa'!$B$2:$U$99, 6,FALSE), IFERROR(VLOOKUP($A167,'ABB ExDa'!$A$2:$N$184, 0,FALSE), IFERROR(VLOOKUP($A167,'Vocus SIT ExDa'!$B$2:$J$173, 0,FALSE), IFERROR(VLOOKUP($A167,'Telstra ExDa'!$B$2:$K$310, 0,FALSE), IFERROR(VLOOKUP($A167,'Vocus RVC ExDa'!$C$2:$R$155, 16,FALSE), IFERROR(VLOOKUP($A167,'Fusion ExDa'!$B$2:$D$16, 0,FALSE), IFERROR(VLOOKUP($A167,'Exetel ExDa'!$C$2:$N$14, 0,FALSE), IFERROR(VLOOKUP($A167,'Infinet ExDa'!$B$2:$E$14, 0,FALSE), "Not Found"))))))))</f>
        <v>0</v>
      </c>
      <c r="I167" t="str">
        <f>IFERROR(VLOOKUP($A167,'AAPT ExDa'!$B$2:$U$99, 0,FALSE), IFERROR(VLOOKUP($A167,'ABB ExDa'!$A$2:$N$184, 0,FALSE), IFERROR(VLOOKUP($A167,'Vocus SIT ExDa'!$B$2:$J$173, 0,FALSE), IFERROR(VLOOKUP($A167,'Telstra ExDa'!$B$2:$K$310, 0,FALSE), IFERROR(VLOOKUP($A167,'Vocus RVC ExDa'!$C$2:$R$155, 0,FALSE), IFERROR(VLOOKUP($A167,'Fusion ExDa'!$B$2:$D$16, 0,FALSE), IFERROR(VLOOKUP($A167,'Exetel ExDa'!$C$2:$N$14, 8,FALSE), IFERROR(VLOOKUP($A167,'Infinet ExDa'!$B$2:$E$14, 0,FALSE), "Not Found"))))))))</f>
        <v>Not Found</v>
      </c>
      <c r="J167" t="str">
        <f>IFERROR(VLOOKUP($A167,'AAPT ExDa'!$B$2:$U$99, 7,FALSE), IFERROR(VLOOKUP($A167,'ABB ExDa'!$A$2:$N$184, 2,FALSE), IFERROR(VLOOKUP($A167,'Vocus SIT ExDa'!$B$2:$J$173, 0,FALSE), IFERROR(VLOOKUP($A167,'Telstra ExDa'!$B$2:$K$310, 7,FALSE), IFERROR(VLOOKUP($A167,'Vocus RVC ExDa'!$C$2:$R$155, 2,FALSE), IFERROR(VLOOKUP($A167,'Fusion ExDa'!$B$2:$D$16, 3,FALSE), IFERROR(VLOOKUP($A167,'Exetel ExDa'!$C$2:$N$14, 0,FALSE), IFERROR(VLOOKUP($A167,'Infinet ExDa'!$B$2:$E$14, 0,FALSE), "Not Found"))))))))</f>
        <v>SHOP 47, 16 AMAZONS PL, JINDALEE QLD</v>
      </c>
      <c r="K167" t="str">
        <f>IFERROR(VLOOKUP($A167,'AAPT ExDa'!$B$2:$U$99, 12,FALSE), IFERROR(VLOOKUP($A167,'ABB ExDa'!$A$2:$N$184, 0,FALSE), IFERROR(VLOOKUP($A167,'Vocus SIT ExDa'!$B$2:$J$173, 0,FALSE), IFERROR(VLOOKUP($A167,'Telstra ExDa'!$B$2:$K$310, 0,FALSE), IFERROR(VLOOKUP($A167,'Vocus RVC ExDa'!$C$2:$R$155, 0,FALSE), IFERROR(VLOOKUP($A167,'Fusion ExDa'!$B$2:$D$16, 0,FALSE), IFERROR(VLOOKUP($A167,'Exetel ExDa'!$C$2:$N$14, 12,FALSE), IFERROR(VLOOKUP($A167,'Infinet ExDa'!$B$2:$E$14, 0,FALSE), "Not Found"))))))))</f>
        <v>Not Found</v>
      </c>
      <c r="L167" s="235" t="str">
        <f>IFERROR(VLOOKUP($A167,'AAPT ExDa'!$B$2:$U$99, 11,FALSE), IFERROR(VLOOKUP($A167,'ABB ExDa'!$A$2:$N$184, 9,FALSE), IFERROR(VLOOKUP($A167,'Vocus SIT ExDa'!$B$2:$J$173, 8,FALSE), IFERROR(VLOOKUP($A167,'Telstra ExDa'!$B$2:$K$310, 0,FALSE), IFERROR(VLOOKUP($A167,'Vocus RVC ExDa'!$C$2:$R$155, 0,FALSE), IFERROR(VLOOKUP($A167,'Fusion ExDa'!$B$2:$D$16, 0,FALSE), IFERROR(VLOOKUP($A167,'Exetel ExDa'!$C$2:$N$14, 9,FALSE), IFERROR(VLOOKUP($A167,'Infinet ExDa'!$B$2:$E$14, 0,FALSE), "Not Found"))))))))</f>
        <v>20 May2025</v>
      </c>
      <c r="M167" s="234" t="str">
        <f>IFERROR(VLOOKUP($A167,'AAPT ExDa'!$B$2:$U$99, 0,FALSE), IFERROR(VLOOKUP($A167,'ABB ExDa'!$A$2:$N$184, 0,FALSE), IFERROR(VLOOKUP($A167,'Vocus SIT ExDa'!$B$2:$J$173, 0,FALSE), IFERROR(VLOOKUP($A167,'Telstra ExDa'!$B$2:$K$310, 0,FALSE), IFERROR(VLOOKUP($A167,'Vocus RVC ExDa'!$C$2:$R$155, 0,FALSE), IFERROR(VLOOKUP($A167,'Fusion ExDa'!$B$2:$D$16, 0,FALSE), IFERROR(VLOOKUP($A167,'Exetel ExDa'!$C$2:$N$14, 11,FALSE), IFERROR(VLOOKUP($A167,'Infinet ExDa'!$B$2:$E$14, 0,FALSE), "Not Found"))))))))</f>
        <v>Not Found</v>
      </c>
      <c r="N167" t="str">
        <f>IFERROR(VLOOKUP($A167,'AAPT ExDa'!$B$2:$U$99, 0,FALSE), IFERROR(VLOOKUP($A167,'ABB ExDa'!$A$2:$N$184, 13,FALSE), IFERROR(VLOOKUP($A167,'Vocus SIT ExDa'!$B$2:$J$173, 0,FALSE), IFERROR(VLOOKUP($A167,'Telstra ExDa'!$B$2:$K$310, 0,FALSE), IFERROR(VLOOKUP($A167,'Vocus RVC ExDa'!$C$2:$R$155, 0,FALSE), IFERROR(VLOOKUP($A167,'Fusion ExDa'!$B$2:$D$16, 0,FALSE), IFERROR(VLOOKUP($A167,'Exetel ExDa'!$C$2:$N$14, 0,FALSE), IFERROR(VLOOKUP($A167,'Infinet ExDa'!$B$2:$E$14, 0,FALSE), "Not Found"))))))))</f>
        <v>Onebill</v>
      </c>
    </row>
    <row r="168" spans="1:14">
      <c r="A168" t="str">
        <v>The Yiros Shop Morayfield</v>
      </c>
      <c r="B168" t="str">
        <f>IFERROR(VLOOKUP(A168,'Exetel ExDa'!$C$2:$N$14,4,FALSE),"No Data")</f>
        <v>No Data</v>
      </c>
      <c r="C168" t="str">
        <f>IFERROR(VLOOKUP(A168,'AAPT ExDa'!$B$2:$U$99, 2,FALSE), IFERROR(VLOOKUP(A168,'ABB ExDa'!$A$2:$N$184, 2,FALSE), IFERROR(VLOOKUP(A168,'Vocus SIT ExDa'!$B$2:$J$173, 7,FALSE), IFERROR(VLOOKUP(A168,'Telstra ExDa'!$B$2:$K$310, 2,FALSE), IFERROR(VLOOKUP(A168,'Vocus RVC ExDa'!$C$2:$R$155, 3,FALSE), IFERROR(VLOOKUP(A168,'Fusion ExDa'!$B$2:$D$16, 2,FALSE), IFERROR(VLOOKUP(A168,'Exetel ExDa'!$C$2:$N$14, 2,FALSE), IFERROR(VLOOKUP(A168,'Infinet ExDa'!$B$2:$E$14, 2,FALSE), "Not Found"))))))))</f>
        <v>SHOP 1, 369 MORAYFIELD RD, MORAYFIELD QLD</v>
      </c>
      <c r="D168" t="str">
        <f>IFERROR(VLOOKUP($A168,'AAPT ExDa'!$B$2:$U$99, 15,FALSE), IFERROR(VLOOKUP($A168,'ABB ExDa'!$A$2:$N$184, 4,FALSE), IFERROR(VLOOKUP($A168,'Vocus SIT ExDa'!$B$2:$J$173, 5,FALSE), IFERROR(VLOOKUP($A168,'Telstra ExDa'!$B$2:$K$310, 8,FALSE), IFERROR(VLOOKUP($A168,'Vocus RVC ExDa'!$C$2:$R$155, 6,FALSE), IFERROR(VLOOKUP($A168,'Fusion ExDa'!$B$2:$D$16, 4,FALSE), IFERROR(VLOOKUP($A168,'Exetel ExDa'!$C$2:$N$14, 3,FALSE), IFERROR(VLOOKUP($A168,'Infinet ExDa'!$B$2:$E$14, 3,FALSE), "Not Found"))))))))</f>
        <v>ABB</v>
      </c>
      <c r="E168" t="str">
        <f>IFERROR(VLOOKUP($A168,'AAPT ExDa'!$B$2:$U$99, 3,FALSE), IFERROR(VLOOKUP($A168,'ABB ExDa'!$A$2:$N$184, 5,FALSE), IFERROR(VLOOKUP($A168,'Vocus SIT ExDa'!$B$2:$J$173, 2,FALSE), IFERROR(VLOOKUP($A168,'Telstra ExDa'!$B$2:$K$310, 4,FALSE), IFERROR(VLOOKUP($A168,'Vocus RVC ExDa'!$C$2:$R$155, 8,FALSE), IFERROR(VLOOKUP($A168,'Fusion ExDa'!$B$2:$D$16, 4,FALSE), IFERROR(VLOOKUP($A168,'Exetel ExDa'!$C$2:$N$14, 5,FALSE), IFERROR(VLOOKUP($A168,'Infinet ExDa'!$B$2:$E$14, 3,FALSE), "Not Found"))))))))</f>
        <v>NBN 50/20</v>
      </c>
      <c r="F168" t="str">
        <f>IFERROR(VLOOKUP($A168,'AAPT ExDa'!$B$2:$U$99, 4,FALSE), IFERROR(VLOOKUP($A168,'ABB ExDa'!$A$2:$N$184, 6,FALSE), IFERROR(VLOOKUP($A168,'Vocus SIT ExDa'!$B$2:$J$173, 3,FALSE), IFERROR(VLOOKUP($A168,'Telstra ExDa'!$B$2:$K$310, 5,FALSE), IFERROR(VLOOKUP($A168,'Vocus RVC ExDa'!$C$2:$R$155, 9,FALSE), IFERROR(VLOOKUP($A168,'Fusion ExDa'!$B$2:$D$16, 0,FALSE), IFERROR(VLOOKUP($A168,'Exetel ExDa'!$C$2:$N$14, 6,FALSE), IFERROR(VLOOKUP($A168,'Infinet ExDa'!$B$2:$E$14, 0,FALSE), "Not Found"))))))))</f>
        <v>FTTN</v>
      </c>
      <c r="G168" t="str">
        <f>IFERROR(VLOOKUP($A168,'AAPT ExDa'!$B$2:$U$99, 5,FALSE), IFERROR(VLOOKUP($A168,'ABB ExDa'!$A$2:$N$184, 8,FALSE), IFERROR(VLOOKUP($A168,'Vocus SIT ExDa'!$B$2:$J$173, 6,FALSE), IFERROR(VLOOKUP($A168,'Telstra ExDa'!$B$2:$K$310, 0,FALSE), IFERROR(VLOOKUP($A168,'Vocus RVC ExDa'!$C$2:$R$155, 15,FALSE), IFERROR(VLOOKUP($A168,'Fusion ExDa'!$B$2:$D$16, 0,FALSE), IFERROR(VLOOKUP($A168,'Exetel ExDa'!$C$2:$N$14, 7,FALSE), IFERROR(VLOOKUP($A168,'Infinet ExDa'!$B$2:$E$14, 0,FALSE), "Not Found"))))))))</f>
        <v>144.6.255.236</v>
      </c>
      <c r="H168">
        <f>IFERROR(VLOOKUP($A168,'AAPT ExDa'!$B$2:$U$99, 6,FALSE), IFERROR(VLOOKUP($A168,'ABB ExDa'!$A$2:$N$184, 0,FALSE), IFERROR(VLOOKUP($A168,'Vocus SIT ExDa'!$B$2:$J$173, 0,FALSE), IFERROR(VLOOKUP($A168,'Telstra ExDa'!$B$2:$K$310, 0,FALSE), IFERROR(VLOOKUP($A168,'Vocus RVC ExDa'!$C$2:$R$155, 16,FALSE), IFERROR(VLOOKUP($A168,'Fusion ExDa'!$B$2:$D$16, 0,FALSE), IFERROR(VLOOKUP($A168,'Exetel ExDa'!$C$2:$N$14, 0,FALSE), IFERROR(VLOOKUP($A168,'Infinet ExDa'!$B$2:$E$14, 0,FALSE), "Not Found"))))))))</f>
        <v>0</v>
      </c>
      <c r="I168" t="str">
        <f>IFERROR(VLOOKUP($A168,'AAPT ExDa'!$B$2:$U$99, 0,FALSE), IFERROR(VLOOKUP($A168,'ABB ExDa'!$A$2:$N$184, 0,FALSE), IFERROR(VLOOKUP($A168,'Vocus SIT ExDa'!$B$2:$J$173, 0,FALSE), IFERROR(VLOOKUP($A168,'Telstra ExDa'!$B$2:$K$310, 0,FALSE), IFERROR(VLOOKUP($A168,'Vocus RVC ExDa'!$C$2:$R$155, 0,FALSE), IFERROR(VLOOKUP($A168,'Fusion ExDa'!$B$2:$D$16, 0,FALSE), IFERROR(VLOOKUP($A168,'Exetel ExDa'!$C$2:$N$14, 8,FALSE), IFERROR(VLOOKUP($A168,'Infinet ExDa'!$B$2:$E$14, 0,FALSE), "Not Found"))))))))</f>
        <v>Not Found</v>
      </c>
      <c r="J168" t="str">
        <f>IFERROR(VLOOKUP($A168,'AAPT ExDa'!$B$2:$U$99, 7,FALSE), IFERROR(VLOOKUP($A168,'ABB ExDa'!$A$2:$N$184, 2,FALSE), IFERROR(VLOOKUP($A168,'Vocus SIT ExDa'!$B$2:$J$173, 0,FALSE), IFERROR(VLOOKUP($A168,'Telstra ExDa'!$B$2:$K$310, 7,FALSE), IFERROR(VLOOKUP($A168,'Vocus RVC ExDa'!$C$2:$R$155, 2,FALSE), IFERROR(VLOOKUP($A168,'Fusion ExDa'!$B$2:$D$16, 3,FALSE), IFERROR(VLOOKUP($A168,'Exetel ExDa'!$C$2:$N$14, 0,FALSE), IFERROR(VLOOKUP($A168,'Infinet ExDa'!$B$2:$E$14, 0,FALSE), "Not Found"))))))))</f>
        <v>SHOP 1, 369 MORAYFIELD RD, MORAYFIELD QLD</v>
      </c>
      <c r="K168" t="str">
        <f>IFERROR(VLOOKUP($A168,'AAPT ExDa'!$B$2:$U$99, 12,FALSE), IFERROR(VLOOKUP($A168,'ABB ExDa'!$A$2:$N$184, 0,FALSE), IFERROR(VLOOKUP($A168,'Vocus SIT ExDa'!$B$2:$J$173, 0,FALSE), IFERROR(VLOOKUP($A168,'Telstra ExDa'!$B$2:$K$310, 0,FALSE), IFERROR(VLOOKUP($A168,'Vocus RVC ExDa'!$C$2:$R$155, 0,FALSE), IFERROR(VLOOKUP($A168,'Fusion ExDa'!$B$2:$D$16, 0,FALSE), IFERROR(VLOOKUP($A168,'Exetel ExDa'!$C$2:$N$14, 12,FALSE), IFERROR(VLOOKUP($A168,'Infinet ExDa'!$B$2:$E$14, 0,FALSE), "Not Found"))))))))</f>
        <v>Not Found</v>
      </c>
      <c r="L168" s="235" t="str">
        <f>IFERROR(VLOOKUP($A168,'AAPT ExDa'!$B$2:$U$99, 11,FALSE), IFERROR(VLOOKUP($A168,'ABB ExDa'!$A$2:$N$184, 9,FALSE), IFERROR(VLOOKUP($A168,'Vocus SIT ExDa'!$B$2:$J$173, 8,FALSE), IFERROR(VLOOKUP($A168,'Telstra ExDa'!$B$2:$K$310, 0,FALSE), IFERROR(VLOOKUP($A168,'Vocus RVC ExDa'!$C$2:$R$155, 0,FALSE), IFERROR(VLOOKUP($A168,'Fusion ExDa'!$B$2:$D$16, 0,FALSE), IFERROR(VLOOKUP($A168,'Exetel ExDa'!$C$2:$N$14, 9,FALSE), IFERROR(VLOOKUP($A168,'Infinet ExDa'!$B$2:$E$14, 0,FALSE), "Not Found"))))))))</f>
        <v>05 Feb 2025</v>
      </c>
      <c r="M168" s="234" t="str">
        <f>IFERROR(VLOOKUP($A168,'AAPT ExDa'!$B$2:$U$99, 0,FALSE), IFERROR(VLOOKUP($A168,'ABB ExDa'!$A$2:$N$184, 0,FALSE), IFERROR(VLOOKUP($A168,'Vocus SIT ExDa'!$B$2:$J$173, 0,FALSE), IFERROR(VLOOKUP($A168,'Telstra ExDa'!$B$2:$K$310, 0,FALSE), IFERROR(VLOOKUP($A168,'Vocus RVC ExDa'!$C$2:$R$155, 0,FALSE), IFERROR(VLOOKUP($A168,'Fusion ExDa'!$B$2:$D$16, 0,FALSE), IFERROR(VLOOKUP($A168,'Exetel ExDa'!$C$2:$N$14, 11,FALSE), IFERROR(VLOOKUP($A168,'Infinet ExDa'!$B$2:$E$14, 0,FALSE), "Not Found"))))))))</f>
        <v>Not Found</v>
      </c>
      <c r="N168" t="str">
        <f>IFERROR(VLOOKUP($A168,'AAPT ExDa'!$B$2:$U$99, 0,FALSE), IFERROR(VLOOKUP($A168,'ABB ExDa'!$A$2:$N$184, 13,FALSE), IFERROR(VLOOKUP($A168,'Vocus SIT ExDa'!$B$2:$J$173, 0,FALSE), IFERROR(VLOOKUP($A168,'Telstra ExDa'!$B$2:$K$310, 0,FALSE), IFERROR(VLOOKUP($A168,'Vocus RVC ExDa'!$C$2:$R$155, 0,FALSE), IFERROR(VLOOKUP($A168,'Fusion ExDa'!$B$2:$D$16, 0,FALSE), IFERROR(VLOOKUP($A168,'Exetel ExDa'!$C$2:$N$14, 0,FALSE), IFERROR(VLOOKUP($A168,'Infinet ExDa'!$B$2:$E$14, 0,FALSE), "Not Found"))))))))</f>
        <v>Onebill</v>
      </c>
    </row>
    <row r="169" spans="1:14">
      <c r="A169" t="str">
        <v>The Yiros Shop Newmarket</v>
      </c>
      <c r="B169" t="str">
        <f>IFERROR(VLOOKUP(A169,'Exetel ExDa'!$C$2:$N$14,4,FALSE),"No Data")</f>
        <v>No Data</v>
      </c>
      <c r="C169" t="str">
        <f>IFERROR(VLOOKUP(A169,'AAPT ExDa'!$B$2:$U$99, 2,FALSE), IFERROR(VLOOKUP(A169,'ABB ExDa'!$A$2:$N$184, 2,FALSE), IFERROR(VLOOKUP(A169,'Vocus SIT ExDa'!$B$2:$J$173, 7,FALSE), IFERROR(VLOOKUP(A169,'Telstra ExDa'!$B$2:$K$310, 2,FALSE), IFERROR(VLOOKUP(A169,'Vocus RVC ExDa'!$C$2:$R$155, 3,FALSE), IFERROR(VLOOKUP(A169,'Fusion ExDa'!$B$2:$D$16, 2,FALSE), IFERROR(VLOOKUP(A169,'Exetel ExDa'!$C$2:$N$14, 2,FALSE), IFERROR(VLOOKUP(A169,'Infinet ExDa'!$B$2:$E$14, 2,FALSE), "Not Found"))))))))</f>
        <v>SHOP 131, 400 NEWMARKET RD, NEWMARKET QLD</v>
      </c>
      <c r="D169">
        <f>IFERROR(VLOOKUP($A169,'AAPT ExDa'!$B$2:$U$99, 15,FALSE), IFERROR(VLOOKUP($A169,'ABB ExDa'!$A$2:$N$184, 4,FALSE), IFERROR(VLOOKUP($A169,'Vocus SIT ExDa'!$B$2:$J$173, 5,FALSE), IFERROR(VLOOKUP($A169,'Telstra ExDa'!$B$2:$K$310, 8,FALSE), IFERROR(VLOOKUP($A169,'Vocus RVC ExDa'!$C$2:$R$155, 6,FALSE), IFERROR(VLOOKUP($A169,'Fusion ExDa'!$B$2:$D$16, 4,FALSE), IFERROR(VLOOKUP($A169,'Exetel ExDa'!$C$2:$N$14, 3,FALSE), IFERROR(VLOOKUP($A169,'Infinet ExDa'!$B$2:$E$14, 3,FALSE), "Not Found"))))))))</f>
        <v>0</v>
      </c>
      <c r="E169" t="str">
        <f>IFERROR(VLOOKUP($A169,'AAPT ExDa'!$B$2:$U$99, 3,FALSE), IFERROR(VLOOKUP($A169,'ABB ExDa'!$A$2:$N$184, 5,FALSE), IFERROR(VLOOKUP($A169,'Vocus SIT ExDa'!$B$2:$J$173, 2,FALSE), IFERROR(VLOOKUP($A169,'Telstra ExDa'!$B$2:$K$310, 4,FALSE), IFERROR(VLOOKUP($A169,'Vocus RVC ExDa'!$C$2:$R$155, 8,FALSE), IFERROR(VLOOKUP($A169,'Fusion ExDa'!$B$2:$D$16, 4,FALSE), IFERROR(VLOOKUP($A169,'Exetel ExDa'!$C$2:$N$14, 5,FALSE), IFERROR(VLOOKUP($A169,'Infinet ExDa'!$B$2:$E$14, 3,FALSE), "Not Found"))))))))</f>
        <v>NBN 50/20</v>
      </c>
      <c r="F169" t="str">
        <f>IFERROR(VLOOKUP($A169,'AAPT ExDa'!$B$2:$U$99, 4,FALSE), IFERROR(VLOOKUP($A169,'ABB ExDa'!$A$2:$N$184, 6,FALSE), IFERROR(VLOOKUP($A169,'Vocus SIT ExDa'!$B$2:$J$173, 3,FALSE), IFERROR(VLOOKUP($A169,'Telstra ExDa'!$B$2:$K$310, 5,FALSE), IFERROR(VLOOKUP($A169,'Vocus RVC ExDa'!$C$2:$R$155, 9,FALSE), IFERROR(VLOOKUP($A169,'Fusion ExDa'!$B$2:$D$16, 0,FALSE), IFERROR(VLOOKUP($A169,'Exetel ExDa'!$C$2:$N$14, 6,FALSE), IFERROR(VLOOKUP($A169,'Infinet ExDa'!$B$2:$E$14, 0,FALSE), "Not Found"))))))))</f>
        <v>FTTB</v>
      </c>
      <c r="G169" t="str">
        <f>IFERROR(VLOOKUP($A169,'AAPT ExDa'!$B$2:$U$99, 5,FALSE), IFERROR(VLOOKUP($A169,'ABB ExDa'!$A$2:$N$184, 8,FALSE), IFERROR(VLOOKUP($A169,'Vocus SIT ExDa'!$B$2:$J$173, 6,FALSE), IFERROR(VLOOKUP($A169,'Telstra ExDa'!$B$2:$K$310, 0,FALSE), IFERROR(VLOOKUP($A169,'Vocus RVC ExDa'!$C$2:$R$155, 15,FALSE), IFERROR(VLOOKUP($A169,'Fusion ExDa'!$B$2:$D$16, 0,FALSE), IFERROR(VLOOKUP($A169,'Exetel ExDa'!$C$2:$N$14, 7,FALSE), IFERROR(VLOOKUP($A169,'Infinet ExDa'!$B$2:$E$14, 0,FALSE), "Not Found"))))))))</f>
        <v>180.181.219.27</v>
      </c>
      <c r="H169">
        <f>IFERROR(VLOOKUP($A169,'AAPT ExDa'!$B$2:$U$99, 6,FALSE), IFERROR(VLOOKUP($A169,'ABB ExDa'!$A$2:$N$184, 0,FALSE), IFERROR(VLOOKUP($A169,'Vocus SIT ExDa'!$B$2:$J$173, 0,FALSE), IFERROR(VLOOKUP($A169,'Telstra ExDa'!$B$2:$K$310, 0,FALSE), IFERROR(VLOOKUP($A169,'Vocus RVC ExDa'!$C$2:$R$155, 16,FALSE), IFERROR(VLOOKUP($A169,'Fusion ExDa'!$B$2:$D$16, 0,FALSE), IFERROR(VLOOKUP($A169,'Exetel ExDa'!$C$2:$N$14, 0,FALSE), IFERROR(VLOOKUP($A169,'Infinet ExDa'!$B$2:$E$14, 0,FALSE), "Not Found"))))))))</f>
        <v>0</v>
      </c>
      <c r="I169" t="str">
        <f>IFERROR(VLOOKUP($A169,'AAPT ExDa'!$B$2:$U$99, 0,FALSE), IFERROR(VLOOKUP($A169,'ABB ExDa'!$A$2:$N$184, 0,FALSE), IFERROR(VLOOKUP($A169,'Vocus SIT ExDa'!$B$2:$J$173, 0,FALSE), IFERROR(VLOOKUP($A169,'Telstra ExDa'!$B$2:$K$310, 0,FALSE), IFERROR(VLOOKUP($A169,'Vocus RVC ExDa'!$C$2:$R$155, 0,FALSE), IFERROR(VLOOKUP($A169,'Fusion ExDa'!$B$2:$D$16, 0,FALSE), IFERROR(VLOOKUP($A169,'Exetel ExDa'!$C$2:$N$14, 8,FALSE), IFERROR(VLOOKUP($A169,'Infinet ExDa'!$B$2:$E$14, 0,FALSE), "Not Found"))))))))</f>
        <v>Not Found</v>
      </c>
      <c r="J169" t="str">
        <f>IFERROR(VLOOKUP($A169,'AAPT ExDa'!$B$2:$U$99, 7,FALSE), IFERROR(VLOOKUP($A169,'ABB ExDa'!$A$2:$N$184, 2,FALSE), IFERROR(VLOOKUP($A169,'Vocus SIT ExDa'!$B$2:$J$173, 0,FALSE), IFERROR(VLOOKUP($A169,'Telstra ExDa'!$B$2:$K$310, 7,FALSE), IFERROR(VLOOKUP($A169,'Vocus RVC ExDa'!$C$2:$R$155, 2,FALSE), IFERROR(VLOOKUP($A169,'Fusion ExDa'!$B$2:$D$16, 3,FALSE), IFERROR(VLOOKUP($A169,'Exetel ExDa'!$C$2:$N$14, 0,FALSE), IFERROR(VLOOKUP($A169,'Infinet ExDa'!$B$2:$E$14, 0,FALSE), "Not Found"))))))))</f>
        <v>SHOP 131, 400 NEWMARKET RD, NEWMARKET QLD</v>
      </c>
      <c r="K169" t="str">
        <f>IFERROR(VLOOKUP($A169,'AAPT ExDa'!$B$2:$U$99, 12,FALSE), IFERROR(VLOOKUP($A169,'ABB ExDa'!$A$2:$N$184, 0,FALSE), IFERROR(VLOOKUP($A169,'Vocus SIT ExDa'!$B$2:$J$173, 0,FALSE), IFERROR(VLOOKUP($A169,'Telstra ExDa'!$B$2:$K$310, 0,FALSE), IFERROR(VLOOKUP($A169,'Vocus RVC ExDa'!$C$2:$R$155, 0,FALSE), IFERROR(VLOOKUP($A169,'Fusion ExDa'!$B$2:$D$16, 0,FALSE), IFERROR(VLOOKUP($A169,'Exetel ExDa'!$C$2:$N$14, 12,FALSE), IFERROR(VLOOKUP($A169,'Infinet ExDa'!$B$2:$E$14, 0,FALSE), "Not Found"))))))))</f>
        <v>Not Found</v>
      </c>
      <c r="L169" s="235" t="str">
        <f>IFERROR(VLOOKUP($A169,'AAPT ExDa'!$B$2:$U$99, 11,FALSE), IFERROR(VLOOKUP($A169,'ABB ExDa'!$A$2:$N$184, 9,FALSE), IFERROR(VLOOKUP($A169,'Vocus SIT ExDa'!$B$2:$J$173, 8,FALSE), IFERROR(VLOOKUP($A169,'Telstra ExDa'!$B$2:$K$310, 0,FALSE), IFERROR(VLOOKUP($A169,'Vocus RVC ExDa'!$C$2:$R$155, 0,FALSE), IFERROR(VLOOKUP($A169,'Fusion ExDa'!$B$2:$D$16, 0,FALSE), IFERROR(VLOOKUP($A169,'Exetel ExDa'!$C$2:$N$14, 9,FALSE), IFERROR(VLOOKUP($A169,'Infinet ExDa'!$B$2:$E$14, 0,FALSE), "Not Found"))))))))</f>
        <v>9 Sept 2025</v>
      </c>
      <c r="M169" s="234" t="str">
        <f>IFERROR(VLOOKUP($A169,'AAPT ExDa'!$B$2:$U$99, 0,FALSE), IFERROR(VLOOKUP($A169,'ABB ExDa'!$A$2:$N$184, 0,FALSE), IFERROR(VLOOKUP($A169,'Vocus SIT ExDa'!$B$2:$J$173, 0,FALSE), IFERROR(VLOOKUP($A169,'Telstra ExDa'!$B$2:$K$310, 0,FALSE), IFERROR(VLOOKUP($A169,'Vocus RVC ExDa'!$C$2:$R$155, 0,FALSE), IFERROR(VLOOKUP($A169,'Fusion ExDa'!$B$2:$D$16, 0,FALSE), IFERROR(VLOOKUP($A169,'Exetel ExDa'!$C$2:$N$14, 11,FALSE), IFERROR(VLOOKUP($A169,'Infinet ExDa'!$B$2:$E$14, 0,FALSE), "Not Found"))))))))</f>
        <v>Not Found</v>
      </c>
      <c r="N169" t="str">
        <f>IFERROR(VLOOKUP($A169,'AAPT ExDa'!$B$2:$U$99, 0,FALSE), IFERROR(VLOOKUP($A169,'ABB ExDa'!$A$2:$N$184, 13,FALSE), IFERROR(VLOOKUP($A169,'Vocus SIT ExDa'!$B$2:$J$173, 0,FALSE), IFERROR(VLOOKUP($A169,'Telstra ExDa'!$B$2:$K$310, 0,FALSE), IFERROR(VLOOKUP($A169,'Vocus RVC ExDa'!$C$2:$R$155, 0,FALSE), IFERROR(VLOOKUP($A169,'Fusion ExDa'!$B$2:$D$16, 0,FALSE), IFERROR(VLOOKUP($A169,'Exetel ExDa'!$C$2:$N$14, 0,FALSE), IFERROR(VLOOKUP($A169,'Infinet ExDa'!$B$2:$E$14, 0,FALSE), "Not Found"))))))))</f>
        <v>Onebill</v>
      </c>
    </row>
    <row r="170" spans="1:14">
      <c r="A170" t="str">
        <v>The Yiros Shop North Lakes</v>
      </c>
      <c r="B170" t="str">
        <f>IFERROR(VLOOKUP(A170,'Exetel ExDa'!$C$2:$N$14,4,FALSE),"No Data")</f>
        <v>No Data</v>
      </c>
      <c r="C170" t="str">
        <f>IFERROR(VLOOKUP(A170,'AAPT ExDa'!$B$2:$U$99, 2,FALSE), IFERROR(VLOOKUP(A170,'ABB ExDa'!$A$2:$N$184, 2,FALSE), IFERROR(VLOOKUP(A170,'Vocus SIT ExDa'!$B$2:$J$173, 7,FALSE), IFERROR(VLOOKUP(A170,'Telstra ExDa'!$B$2:$K$310, 2,FALSE), IFERROR(VLOOKUP(A170,'Vocus RVC ExDa'!$C$2:$R$155, 3,FALSE), IFERROR(VLOOKUP(A170,'Fusion ExDa'!$B$2:$D$16, 2,FALSE), IFERROR(VLOOKUP(A170,'Exetel ExDa'!$C$2:$N$14, 2,FALSE), IFERROR(VLOOKUP(A170,'Infinet ExDa'!$B$2:$E$14, 2,FALSE), "Not Found"))))))))</f>
        <v>SHOP 2, 2 MASON ST, NORTH LAKES QLD</v>
      </c>
      <c r="D170" t="str">
        <f>IFERROR(VLOOKUP($A170,'AAPT ExDa'!$B$2:$U$99, 15,FALSE), IFERROR(VLOOKUP($A170,'ABB ExDa'!$A$2:$N$184, 4,FALSE), IFERROR(VLOOKUP($A170,'Vocus SIT ExDa'!$B$2:$J$173, 5,FALSE), IFERROR(VLOOKUP($A170,'Telstra ExDa'!$B$2:$K$310, 8,FALSE), IFERROR(VLOOKUP($A170,'Vocus RVC ExDa'!$C$2:$R$155, 6,FALSE), IFERROR(VLOOKUP($A170,'Fusion ExDa'!$B$2:$D$16, 4,FALSE), IFERROR(VLOOKUP($A170,'Exetel ExDa'!$C$2:$N$14, 3,FALSE), IFERROR(VLOOKUP($A170,'Infinet ExDa'!$B$2:$E$14, 3,FALSE), "Not Found"))))))))</f>
        <v>ABB</v>
      </c>
      <c r="E170" t="str">
        <f>IFERROR(VLOOKUP($A170,'AAPT ExDa'!$B$2:$U$99, 3,FALSE), IFERROR(VLOOKUP($A170,'ABB ExDa'!$A$2:$N$184, 5,FALSE), IFERROR(VLOOKUP($A170,'Vocus SIT ExDa'!$B$2:$J$173, 2,FALSE), IFERROR(VLOOKUP($A170,'Telstra ExDa'!$B$2:$K$310, 4,FALSE), IFERROR(VLOOKUP($A170,'Vocus RVC ExDa'!$C$2:$R$155, 8,FALSE), IFERROR(VLOOKUP($A170,'Fusion ExDa'!$B$2:$D$16, 4,FALSE), IFERROR(VLOOKUP($A170,'Exetel ExDa'!$C$2:$N$14, 5,FALSE), IFERROR(VLOOKUP($A170,'Infinet ExDa'!$B$2:$E$14, 3,FALSE), "Not Found"))))))))</f>
        <v>NBN 100/40</v>
      </c>
      <c r="F170" t="str">
        <f>IFERROR(VLOOKUP($A170,'AAPT ExDa'!$B$2:$U$99, 4,FALSE), IFERROR(VLOOKUP($A170,'ABB ExDa'!$A$2:$N$184, 6,FALSE), IFERROR(VLOOKUP($A170,'Vocus SIT ExDa'!$B$2:$J$173, 3,FALSE), IFERROR(VLOOKUP($A170,'Telstra ExDa'!$B$2:$K$310, 5,FALSE), IFERROR(VLOOKUP($A170,'Vocus RVC ExDa'!$C$2:$R$155, 9,FALSE), IFERROR(VLOOKUP($A170,'Fusion ExDa'!$B$2:$D$16, 0,FALSE), IFERROR(VLOOKUP($A170,'Exetel ExDa'!$C$2:$N$14, 6,FALSE), IFERROR(VLOOKUP($A170,'Infinet ExDa'!$B$2:$E$14, 0,FALSE), "Not Found"))))))))</f>
        <v>FTTN</v>
      </c>
      <c r="G170" t="str">
        <f>IFERROR(VLOOKUP($A170,'AAPT ExDa'!$B$2:$U$99, 5,FALSE), IFERROR(VLOOKUP($A170,'ABB ExDa'!$A$2:$N$184, 8,FALSE), IFERROR(VLOOKUP($A170,'Vocus SIT ExDa'!$B$2:$J$173, 6,FALSE), IFERROR(VLOOKUP($A170,'Telstra ExDa'!$B$2:$K$310, 0,FALSE), IFERROR(VLOOKUP($A170,'Vocus RVC ExDa'!$C$2:$R$155, 15,FALSE), IFERROR(VLOOKUP($A170,'Fusion ExDa'!$B$2:$D$16, 0,FALSE), IFERROR(VLOOKUP($A170,'Exetel ExDa'!$C$2:$N$14, 7,FALSE), IFERROR(VLOOKUP($A170,'Infinet ExDa'!$B$2:$E$14, 0,FALSE), "Not Found"))))))))</f>
        <v>159.196.31.236</v>
      </c>
      <c r="H170">
        <f>IFERROR(VLOOKUP($A170,'AAPT ExDa'!$B$2:$U$99, 6,FALSE), IFERROR(VLOOKUP($A170,'ABB ExDa'!$A$2:$N$184, 0,FALSE), IFERROR(VLOOKUP($A170,'Vocus SIT ExDa'!$B$2:$J$173, 0,FALSE), IFERROR(VLOOKUP($A170,'Telstra ExDa'!$B$2:$K$310, 0,FALSE), IFERROR(VLOOKUP($A170,'Vocus RVC ExDa'!$C$2:$R$155, 16,FALSE), IFERROR(VLOOKUP($A170,'Fusion ExDa'!$B$2:$D$16, 0,FALSE), IFERROR(VLOOKUP($A170,'Exetel ExDa'!$C$2:$N$14, 0,FALSE), IFERROR(VLOOKUP($A170,'Infinet ExDa'!$B$2:$E$14, 0,FALSE), "Not Found"))))))))</f>
        <v>0</v>
      </c>
      <c r="I170" t="str">
        <f>IFERROR(VLOOKUP($A170,'AAPT ExDa'!$B$2:$U$99, 0,FALSE), IFERROR(VLOOKUP($A170,'ABB ExDa'!$A$2:$N$184, 0,FALSE), IFERROR(VLOOKUP($A170,'Vocus SIT ExDa'!$B$2:$J$173, 0,FALSE), IFERROR(VLOOKUP($A170,'Telstra ExDa'!$B$2:$K$310, 0,FALSE), IFERROR(VLOOKUP($A170,'Vocus RVC ExDa'!$C$2:$R$155, 0,FALSE), IFERROR(VLOOKUP($A170,'Fusion ExDa'!$B$2:$D$16, 0,FALSE), IFERROR(VLOOKUP($A170,'Exetel ExDa'!$C$2:$N$14, 8,FALSE), IFERROR(VLOOKUP($A170,'Infinet ExDa'!$B$2:$E$14, 0,FALSE), "Not Found"))))))))</f>
        <v>Not Found</v>
      </c>
      <c r="J170" t="str">
        <f>IFERROR(VLOOKUP($A170,'AAPT ExDa'!$B$2:$U$99, 7,FALSE), IFERROR(VLOOKUP($A170,'ABB ExDa'!$A$2:$N$184, 2,FALSE), IFERROR(VLOOKUP($A170,'Vocus SIT ExDa'!$B$2:$J$173, 0,FALSE), IFERROR(VLOOKUP($A170,'Telstra ExDa'!$B$2:$K$310, 7,FALSE), IFERROR(VLOOKUP($A170,'Vocus RVC ExDa'!$C$2:$R$155, 2,FALSE), IFERROR(VLOOKUP($A170,'Fusion ExDa'!$B$2:$D$16, 3,FALSE), IFERROR(VLOOKUP($A170,'Exetel ExDa'!$C$2:$N$14, 0,FALSE), IFERROR(VLOOKUP($A170,'Infinet ExDa'!$B$2:$E$14, 0,FALSE), "Not Found"))))))))</f>
        <v>SHOP 2, 2 MASON ST, NORTH LAKES QLD</v>
      </c>
      <c r="K170" t="str">
        <f>IFERROR(VLOOKUP($A170,'AAPT ExDa'!$B$2:$U$99, 12,FALSE), IFERROR(VLOOKUP($A170,'ABB ExDa'!$A$2:$N$184, 0,FALSE), IFERROR(VLOOKUP($A170,'Vocus SIT ExDa'!$B$2:$J$173, 0,FALSE), IFERROR(VLOOKUP($A170,'Telstra ExDa'!$B$2:$K$310, 0,FALSE), IFERROR(VLOOKUP($A170,'Vocus RVC ExDa'!$C$2:$R$155, 0,FALSE), IFERROR(VLOOKUP($A170,'Fusion ExDa'!$B$2:$D$16, 0,FALSE), IFERROR(VLOOKUP($A170,'Exetel ExDa'!$C$2:$N$14, 12,FALSE), IFERROR(VLOOKUP($A170,'Infinet ExDa'!$B$2:$E$14, 0,FALSE), "Not Found"))))))))</f>
        <v>Not Found</v>
      </c>
      <c r="L170" s="235" t="str">
        <f>IFERROR(VLOOKUP($A170,'AAPT ExDa'!$B$2:$U$99, 11,FALSE), IFERROR(VLOOKUP($A170,'ABB ExDa'!$A$2:$N$184, 9,FALSE), IFERROR(VLOOKUP($A170,'Vocus SIT ExDa'!$B$2:$J$173, 8,FALSE), IFERROR(VLOOKUP($A170,'Telstra ExDa'!$B$2:$K$310, 0,FALSE), IFERROR(VLOOKUP($A170,'Vocus RVC ExDa'!$C$2:$R$155, 0,FALSE), IFERROR(VLOOKUP($A170,'Fusion ExDa'!$B$2:$D$16, 0,FALSE), IFERROR(VLOOKUP($A170,'Exetel ExDa'!$C$2:$N$14, 9,FALSE), IFERROR(VLOOKUP($A170,'Infinet ExDa'!$B$2:$E$14, 0,FALSE), "Not Found"))))))))</f>
        <v>26 March 2025</v>
      </c>
      <c r="M170" s="234" t="str">
        <f>IFERROR(VLOOKUP($A170,'AAPT ExDa'!$B$2:$U$99, 0,FALSE), IFERROR(VLOOKUP($A170,'ABB ExDa'!$A$2:$N$184, 0,FALSE), IFERROR(VLOOKUP($A170,'Vocus SIT ExDa'!$B$2:$J$173, 0,FALSE), IFERROR(VLOOKUP($A170,'Telstra ExDa'!$B$2:$K$310, 0,FALSE), IFERROR(VLOOKUP($A170,'Vocus RVC ExDa'!$C$2:$R$155, 0,FALSE), IFERROR(VLOOKUP($A170,'Fusion ExDa'!$B$2:$D$16, 0,FALSE), IFERROR(VLOOKUP($A170,'Exetel ExDa'!$C$2:$N$14, 11,FALSE), IFERROR(VLOOKUP($A170,'Infinet ExDa'!$B$2:$E$14, 0,FALSE), "Not Found"))))))))</f>
        <v>Not Found</v>
      </c>
      <c r="N170" t="str">
        <f>IFERROR(VLOOKUP($A170,'AAPT ExDa'!$B$2:$U$99, 0,FALSE), IFERROR(VLOOKUP($A170,'ABB ExDa'!$A$2:$N$184, 13,FALSE), IFERROR(VLOOKUP($A170,'Vocus SIT ExDa'!$B$2:$J$173, 0,FALSE), IFERROR(VLOOKUP($A170,'Telstra ExDa'!$B$2:$K$310, 0,FALSE), IFERROR(VLOOKUP($A170,'Vocus RVC ExDa'!$C$2:$R$155, 0,FALSE), IFERROR(VLOOKUP($A170,'Fusion ExDa'!$B$2:$D$16, 0,FALSE), IFERROR(VLOOKUP($A170,'Exetel ExDa'!$C$2:$N$14, 0,FALSE), IFERROR(VLOOKUP($A170,'Infinet ExDa'!$B$2:$E$14, 0,FALSE), "Not Found"))))))))</f>
        <v>Onebill</v>
      </c>
    </row>
    <row r="171" spans="1:14">
      <c r="A171" t="str">
        <v>The Yiros Shop Office</v>
      </c>
      <c r="B171" t="str">
        <f>IFERROR(VLOOKUP(A171,'Exetel ExDa'!$C$2:$N$14,4,FALSE),"No Data")</f>
        <v>No Data</v>
      </c>
      <c r="C171" t="str">
        <f>IFERROR(VLOOKUP(A171,'AAPT ExDa'!$B$2:$U$99, 2,FALSE), IFERROR(VLOOKUP(A171,'ABB ExDa'!$A$2:$N$184, 2,FALSE), IFERROR(VLOOKUP(A171,'Vocus SIT ExDa'!$B$2:$J$173, 7,FALSE), IFERROR(VLOOKUP(A171,'Telstra ExDa'!$B$2:$K$310, 2,FALSE), IFERROR(VLOOKUP(A171,'Vocus RVC ExDa'!$C$2:$R$155, 3,FALSE), IFERROR(VLOOKUP(A171,'Fusion ExDa'!$B$2:$D$16, 2,FALSE), IFERROR(VLOOKUP(A171,'Exetel ExDa'!$C$2:$N$14, 2,FALSE), IFERROR(VLOOKUP(A171,'Infinet ExDa'!$B$2:$E$14, 2,FALSE), "Not Found"))))))))</f>
        <v>SHOP 2.1, 74 TRIBUNE ST, SOUTH BRISBANE QLD</v>
      </c>
      <c r="D171" t="str">
        <f>IFERROR(VLOOKUP($A171,'AAPT ExDa'!$B$2:$U$99, 15,FALSE), IFERROR(VLOOKUP($A171,'ABB ExDa'!$A$2:$N$184, 4,FALSE), IFERROR(VLOOKUP($A171,'Vocus SIT ExDa'!$B$2:$J$173, 5,FALSE), IFERROR(VLOOKUP($A171,'Telstra ExDa'!$B$2:$K$310, 8,FALSE), IFERROR(VLOOKUP($A171,'Vocus RVC ExDa'!$C$2:$R$155, 6,FALSE), IFERROR(VLOOKUP($A171,'Fusion ExDa'!$B$2:$D$16, 4,FALSE), IFERROR(VLOOKUP($A171,'Exetel ExDa'!$C$2:$N$14, 3,FALSE), IFERROR(VLOOKUP($A171,'Infinet ExDa'!$B$2:$E$14, 3,FALSE), "Not Found"))))))))</f>
        <v>ABB</v>
      </c>
      <c r="E171" t="str">
        <f>IFERROR(VLOOKUP($A171,'AAPT ExDa'!$B$2:$U$99, 3,FALSE), IFERROR(VLOOKUP($A171,'ABB ExDa'!$A$2:$N$184, 5,FALSE), IFERROR(VLOOKUP($A171,'Vocus SIT ExDa'!$B$2:$J$173, 2,FALSE), IFERROR(VLOOKUP($A171,'Telstra ExDa'!$B$2:$K$310, 4,FALSE), IFERROR(VLOOKUP($A171,'Vocus RVC ExDa'!$C$2:$R$155, 8,FALSE), IFERROR(VLOOKUP($A171,'Fusion ExDa'!$B$2:$D$16, 4,FALSE), IFERROR(VLOOKUP($A171,'Exetel ExDa'!$C$2:$N$14, 5,FALSE), IFERROR(VLOOKUP($A171,'Infinet ExDa'!$B$2:$E$14, 3,FALSE), "Not Found"))))))))</f>
        <v>NBN 100/40</v>
      </c>
      <c r="F171" t="str">
        <f>IFERROR(VLOOKUP($A171,'AAPT ExDa'!$B$2:$U$99, 4,FALSE), IFERROR(VLOOKUP($A171,'ABB ExDa'!$A$2:$N$184, 6,FALSE), IFERROR(VLOOKUP($A171,'Vocus SIT ExDa'!$B$2:$J$173, 3,FALSE), IFERROR(VLOOKUP($A171,'Telstra ExDa'!$B$2:$K$310, 5,FALSE), IFERROR(VLOOKUP($A171,'Vocus RVC ExDa'!$C$2:$R$155, 9,FALSE), IFERROR(VLOOKUP($A171,'Fusion ExDa'!$B$2:$D$16, 0,FALSE), IFERROR(VLOOKUP($A171,'Exetel ExDa'!$C$2:$N$14, 6,FALSE), IFERROR(VLOOKUP($A171,'Infinet ExDa'!$B$2:$E$14, 0,FALSE), "Not Found"))))))))</f>
        <v xml:space="preserve">Fibre </v>
      </c>
      <c r="G171" t="str">
        <f>IFERROR(VLOOKUP($A171,'AAPT ExDa'!$B$2:$U$99, 5,FALSE), IFERROR(VLOOKUP($A171,'ABB ExDa'!$A$2:$N$184, 8,FALSE), IFERROR(VLOOKUP($A171,'Vocus SIT ExDa'!$B$2:$J$173, 6,FALSE), IFERROR(VLOOKUP($A171,'Telstra ExDa'!$B$2:$K$310, 0,FALSE), IFERROR(VLOOKUP($A171,'Vocus RVC ExDa'!$C$2:$R$155, 15,FALSE), IFERROR(VLOOKUP($A171,'Fusion ExDa'!$B$2:$D$16, 0,FALSE), IFERROR(VLOOKUP($A171,'Exetel ExDa'!$C$2:$N$14, 7,FALSE), IFERROR(VLOOKUP($A171,'Infinet ExDa'!$B$2:$E$14, 0,FALSE), "Not Found"))))))))</f>
        <v>144.6.107.103</v>
      </c>
      <c r="H171" t="str">
        <f>IFERROR(VLOOKUP($A171,'AAPT ExDa'!$B$2:$U$99, 6,FALSE), IFERROR(VLOOKUP($A171,'ABB ExDa'!$A$2:$N$184, 0,FALSE), IFERROR(VLOOKUP($A171,'Vocus SIT ExDa'!$B$2:$J$173, 0,FALSE), IFERROR(VLOOKUP($A171,'Telstra ExDa'!$B$2:$K$310, 0,FALSE), IFERROR(VLOOKUP($A171,'Vocus RVC ExDa'!$C$2:$R$155, 16,FALSE), IFERROR(VLOOKUP($A171,'Fusion ExDa'!$B$2:$D$16, 0,FALSE), IFERROR(VLOOKUP($A171,'Exetel ExDa'!$C$2:$N$14, 0,FALSE), IFERROR(VLOOKUP($A171,'Infinet ExDa'!$B$2:$E$14, 0,FALSE), "Not Found"))))))))</f>
        <v>Not Found</v>
      </c>
      <c r="I171" t="str">
        <f>IFERROR(VLOOKUP($A171,'AAPT ExDa'!$B$2:$U$99, 0,FALSE), IFERROR(VLOOKUP($A171,'ABB ExDa'!$A$2:$N$184, 0,FALSE), IFERROR(VLOOKUP($A171,'Vocus SIT ExDa'!$B$2:$J$173, 0,FALSE), IFERROR(VLOOKUP($A171,'Telstra ExDa'!$B$2:$K$310, 0,FALSE), IFERROR(VLOOKUP($A171,'Vocus RVC ExDa'!$C$2:$R$155, 0,FALSE), IFERROR(VLOOKUP($A171,'Fusion ExDa'!$B$2:$D$16, 0,FALSE), IFERROR(VLOOKUP($A171,'Exetel ExDa'!$C$2:$N$14, 8,FALSE), IFERROR(VLOOKUP($A171,'Infinet ExDa'!$B$2:$E$14, 0,FALSE), "Not Found"))))))))</f>
        <v>Not Found</v>
      </c>
      <c r="J171" t="str">
        <f>IFERROR(VLOOKUP($A171,'AAPT ExDa'!$B$2:$U$99, 7,FALSE), IFERROR(VLOOKUP($A171,'ABB ExDa'!$A$2:$N$184, 2,FALSE), IFERROR(VLOOKUP($A171,'Vocus SIT ExDa'!$B$2:$J$173, 0,FALSE), IFERROR(VLOOKUP($A171,'Telstra ExDa'!$B$2:$K$310, 7,FALSE), IFERROR(VLOOKUP($A171,'Vocus RVC ExDa'!$C$2:$R$155, 2,FALSE), IFERROR(VLOOKUP($A171,'Fusion ExDa'!$B$2:$D$16, 3,FALSE), IFERROR(VLOOKUP($A171,'Exetel ExDa'!$C$2:$N$14, 0,FALSE), IFERROR(VLOOKUP($A171,'Infinet ExDa'!$B$2:$E$14, 0,FALSE), "Not Found"))))))))</f>
        <v>SHOP 2.1, 74 TRIBUNE ST, SOUTH BRISBANE QLD</v>
      </c>
      <c r="K171" t="str">
        <f>IFERROR(VLOOKUP($A171,'AAPT ExDa'!$B$2:$U$99, 12,FALSE), IFERROR(VLOOKUP($A171,'ABB ExDa'!$A$2:$N$184, 0,FALSE), IFERROR(VLOOKUP($A171,'Vocus SIT ExDa'!$B$2:$J$173, 0,FALSE), IFERROR(VLOOKUP($A171,'Telstra ExDa'!$B$2:$K$310, 0,FALSE), IFERROR(VLOOKUP($A171,'Vocus RVC ExDa'!$C$2:$R$155, 0,FALSE), IFERROR(VLOOKUP($A171,'Fusion ExDa'!$B$2:$D$16, 0,FALSE), IFERROR(VLOOKUP($A171,'Exetel ExDa'!$C$2:$N$14, 12,FALSE), IFERROR(VLOOKUP($A171,'Infinet ExDa'!$B$2:$E$14, 0,FALSE), "Not Found"))))))))</f>
        <v>Not Found</v>
      </c>
      <c r="L171" s="235" t="str">
        <f>IFERROR(VLOOKUP($A171,'AAPT ExDa'!$B$2:$U$99, 11,FALSE), IFERROR(VLOOKUP($A171,'ABB ExDa'!$A$2:$N$184, 9,FALSE), IFERROR(VLOOKUP($A171,'Vocus SIT ExDa'!$B$2:$J$173, 8,FALSE), IFERROR(VLOOKUP($A171,'Telstra ExDa'!$B$2:$K$310, 0,FALSE), IFERROR(VLOOKUP($A171,'Vocus RVC ExDa'!$C$2:$R$155, 0,FALSE), IFERROR(VLOOKUP($A171,'Fusion ExDa'!$B$2:$D$16, 0,FALSE), IFERROR(VLOOKUP($A171,'Exetel ExDa'!$C$2:$N$14, 9,FALSE), IFERROR(VLOOKUP($A171,'Infinet ExDa'!$B$2:$E$14, 0,FALSE), "Not Found"))))))))</f>
        <v>26 Oct 2023</v>
      </c>
      <c r="M171" s="234" t="str">
        <f>IFERROR(VLOOKUP($A171,'AAPT ExDa'!$B$2:$U$99, 0,FALSE), IFERROR(VLOOKUP($A171,'ABB ExDa'!$A$2:$N$184, 0,FALSE), IFERROR(VLOOKUP($A171,'Vocus SIT ExDa'!$B$2:$J$173, 0,FALSE), IFERROR(VLOOKUP($A171,'Telstra ExDa'!$B$2:$K$310, 0,FALSE), IFERROR(VLOOKUP($A171,'Vocus RVC ExDa'!$C$2:$R$155, 0,FALSE), IFERROR(VLOOKUP($A171,'Fusion ExDa'!$B$2:$D$16, 0,FALSE), IFERROR(VLOOKUP($A171,'Exetel ExDa'!$C$2:$N$14, 11,FALSE), IFERROR(VLOOKUP($A171,'Infinet ExDa'!$B$2:$E$14, 0,FALSE), "Not Found"))))))))</f>
        <v>Not Found</v>
      </c>
      <c r="N171" t="str">
        <f>IFERROR(VLOOKUP($A171,'AAPT ExDa'!$B$2:$U$99, 0,FALSE), IFERROR(VLOOKUP($A171,'ABB ExDa'!$A$2:$N$184, 13,FALSE), IFERROR(VLOOKUP($A171,'Vocus SIT ExDa'!$B$2:$J$173, 0,FALSE), IFERROR(VLOOKUP($A171,'Telstra ExDa'!$B$2:$K$310, 0,FALSE), IFERROR(VLOOKUP($A171,'Vocus RVC ExDa'!$C$2:$R$155, 0,FALSE), IFERROR(VLOOKUP($A171,'Fusion ExDa'!$B$2:$D$16, 0,FALSE), IFERROR(VLOOKUP($A171,'Exetel ExDa'!$C$2:$N$14, 0,FALSE), IFERROR(VLOOKUP($A171,'Infinet ExDa'!$B$2:$E$14, 0,FALSE), "Not Found"))))))))</f>
        <v>Onebill</v>
      </c>
    </row>
    <row r="172" spans="1:14">
      <c r="A172" t="str">
        <v>The Yiros Shop Southport</v>
      </c>
      <c r="B172" t="str">
        <f>IFERROR(VLOOKUP(A172,'Exetel ExDa'!$C$2:$N$14,4,FALSE),"No Data")</f>
        <v>No Data</v>
      </c>
      <c r="C172" t="str">
        <f>IFERROR(VLOOKUP(A172,'AAPT ExDa'!$B$2:$U$99, 2,FALSE), IFERROR(VLOOKUP(A172,'ABB ExDa'!$A$2:$N$184, 2,FALSE), IFERROR(VLOOKUP(A172,'Vocus SIT ExDa'!$B$2:$J$173, 7,FALSE), IFERROR(VLOOKUP(A172,'Telstra ExDa'!$B$2:$K$310, 2,FALSE), IFERROR(VLOOKUP(A172,'Vocus RVC ExDa'!$C$2:$R$155, 3,FALSE), IFERROR(VLOOKUP(A172,'Fusion ExDa'!$B$2:$D$16, 2,FALSE), IFERROR(VLOOKUP(A172,'Exetel ExDa'!$C$2:$N$14, 2,FALSE), IFERROR(VLOOKUP(A172,'Infinet ExDa'!$B$2:$E$14, 2,FALSE), "Not Found"))))))))</f>
        <v>TNCY T06, 115 QUEEN ST, SOUTHPORT QLD</v>
      </c>
      <c r="D172" t="str">
        <f>IFERROR(VLOOKUP($A172,'AAPT ExDa'!$B$2:$U$99, 15,FALSE), IFERROR(VLOOKUP($A172,'ABB ExDa'!$A$2:$N$184, 4,FALSE), IFERROR(VLOOKUP($A172,'Vocus SIT ExDa'!$B$2:$J$173, 5,FALSE), IFERROR(VLOOKUP($A172,'Telstra ExDa'!$B$2:$K$310, 8,FALSE), IFERROR(VLOOKUP($A172,'Vocus RVC ExDa'!$C$2:$R$155, 6,FALSE), IFERROR(VLOOKUP($A172,'Fusion ExDa'!$B$2:$D$16, 4,FALSE), IFERROR(VLOOKUP($A172,'Exetel ExDa'!$C$2:$N$14, 3,FALSE), IFERROR(VLOOKUP($A172,'Infinet ExDa'!$B$2:$E$14, 3,FALSE), "Not Found"))))))))</f>
        <v>ABB</v>
      </c>
      <c r="E172" t="str">
        <f>IFERROR(VLOOKUP($A172,'AAPT ExDa'!$B$2:$U$99, 3,FALSE), IFERROR(VLOOKUP($A172,'ABB ExDa'!$A$2:$N$184, 5,FALSE), IFERROR(VLOOKUP($A172,'Vocus SIT ExDa'!$B$2:$J$173, 2,FALSE), IFERROR(VLOOKUP($A172,'Telstra ExDa'!$B$2:$K$310, 4,FALSE), IFERROR(VLOOKUP($A172,'Vocus RVC ExDa'!$C$2:$R$155, 8,FALSE), IFERROR(VLOOKUP($A172,'Fusion ExDa'!$B$2:$D$16, 4,FALSE), IFERROR(VLOOKUP($A172,'Exetel ExDa'!$C$2:$N$14, 5,FALSE), IFERROR(VLOOKUP($A172,'Infinet ExDa'!$B$2:$E$14, 3,FALSE), "Not Found"))))))))</f>
        <v>NBN 25/10</v>
      </c>
      <c r="F172" t="str">
        <f>IFERROR(VLOOKUP($A172,'AAPT ExDa'!$B$2:$U$99, 4,FALSE), IFERROR(VLOOKUP($A172,'ABB ExDa'!$A$2:$N$184, 6,FALSE), IFERROR(VLOOKUP($A172,'Vocus SIT ExDa'!$B$2:$J$173, 3,FALSE), IFERROR(VLOOKUP($A172,'Telstra ExDa'!$B$2:$K$310, 5,FALSE), IFERROR(VLOOKUP($A172,'Vocus RVC ExDa'!$C$2:$R$155, 9,FALSE), IFERROR(VLOOKUP($A172,'Fusion ExDa'!$B$2:$D$16, 0,FALSE), IFERROR(VLOOKUP($A172,'Exetel ExDa'!$C$2:$N$14, 6,FALSE), IFERROR(VLOOKUP($A172,'Infinet ExDa'!$B$2:$E$14, 0,FALSE), "Not Found"))))))))</f>
        <v xml:space="preserve">Fibre </v>
      </c>
      <c r="G172" t="str">
        <f>IFERROR(VLOOKUP($A172,'AAPT ExDa'!$B$2:$U$99, 5,FALSE), IFERROR(VLOOKUP($A172,'ABB ExDa'!$A$2:$N$184, 8,FALSE), IFERROR(VLOOKUP($A172,'Vocus SIT ExDa'!$B$2:$J$173, 6,FALSE), IFERROR(VLOOKUP($A172,'Telstra ExDa'!$B$2:$K$310, 0,FALSE), IFERROR(VLOOKUP($A172,'Vocus RVC ExDa'!$C$2:$R$155, 15,FALSE), IFERROR(VLOOKUP($A172,'Fusion ExDa'!$B$2:$D$16, 0,FALSE), IFERROR(VLOOKUP($A172,'Exetel ExDa'!$C$2:$N$14, 7,FALSE), IFERROR(VLOOKUP($A172,'Infinet ExDa'!$B$2:$E$14, 0,FALSE), "Not Found"))))))))</f>
        <v>144.6.248.117</v>
      </c>
      <c r="H172" t="str">
        <f>IFERROR(VLOOKUP($A172,'AAPT ExDa'!$B$2:$U$99, 6,FALSE), IFERROR(VLOOKUP($A172,'ABB ExDa'!$A$2:$N$184, 0,FALSE), IFERROR(VLOOKUP($A172,'Vocus SIT ExDa'!$B$2:$J$173, 0,FALSE), IFERROR(VLOOKUP($A172,'Telstra ExDa'!$B$2:$K$310, 0,FALSE), IFERROR(VLOOKUP($A172,'Vocus RVC ExDa'!$C$2:$R$155, 16,FALSE), IFERROR(VLOOKUP($A172,'Fusion ExDa'!$B$2:$D$16, 0,FALSE), IFERROR(VLOOKUP($A172,'Exetel ExDa'!$C$2:$N$14, 0,FALSE), IFERROR(VLOOKUP($A172,'Infinet ExDa'!$B$2:$E$14, 0,FALSE), "Not Found"))))))))</f>
        <v>Not Found</v>
      </c>
      <c r="I172" t="str">
        <f>IFERROR(VLOOKUP($A172,'AAPT ExDa'!$B$2:$U$99, 0,FALSE), IFERROR(VLOOKUP($A172,'ABB ExDa'!$A$2:$N$184, 0,FALSE), IFERROR(VLOOKUP($A172,'Vocus SIT ExDa'!$B$2:$J$173, 0,FALSE), IFERROR(VLOOKUP($A172,'Telstra ExDa'!$B$2:$K$310, 0,FALSE), IFERROR(VLOOKUP($A172,'Vocus RVC ExDa'!$C$2:$R$155, 0,FALSE), IFERROR(VLOOKUP($A172,'Fusion ExDa'!$B$2:$D$16, 0,FALSE), IFERROR(VLOOKUP($A172,'Exetel ExDa'!$C$2:$N$14, 8,FALSE), IFERROR(VLOOKUP($A172,'Infinet ExDa'!$B$2:$E$14, 0,FALSE), "Not Found"))))))))</f>
        <v>Not Found</v>
      </c>
      <c r="J172" t="str">
        <f>IFERROR(VLOOKUP($A172,'AAPT ExDa'!$B$2:$U$99, 7,FALSE), IFERROR(VLOOKUP($A172,'ABB ExDa'!$A$2:$N$184, 2,FALSE), IFERROR(VLOOKUP($A172,'Vocus SIT ExDa'!$B$2:$J$173, 0,FALSE), IFERROR(VLOOKUP($A172,'Telstra ExDa'!$B$2:$K$310, 7,FALSE), IFERROR(VLOOKUP($A172,'Vocus RVC ExDa'!$C$2:$R$155, 2,FALSE), IFERROR(VLOOKUP($A172,'Fusion ExDa'!$B$2:$D$16, 3,FALSE), IFERROR(VLOOKUP($A172,'Exetel ExDa'!$C$2:$N$14, 0,FALSE), IFERROR(VLOOKUP($A172,'Infinet ExDa'!$B$2:$E$14, 0,FALSE), "Not Found"))))))))</f>
        <v>TNCY T06, 115 QUEEN ST, SOUTHPORT QLD</v>
      </c>
      <c r="K172" t="str">
        <f>IFERROR(VLOOKUP($A172,'AAPT ExDa'!$B$2:$U$99, 12,FALSE), IFERROR(VLOOKUP($A172,'ABB ExDa'!$A$2:$N$184, 0,FALSE), IFERROR(VLOOKUP($A172,'Vocus SIT ExDa'!$B$2:$J$173, 0,FALSE), IFERROR(VLOOKUP($A172,'Telstra ExDa'!$B$2:$K$310, 0,FALSE), IFERROR(VLOOKUP($A172,'Vocus RVC ExDa'!$C$2:$R$155, 0,FALSE), IFERROR(VLOOKUP($A172,'Fusion ExDa'!$B$2:$D$16, 0,FALSE), IFERROR(VLOOKUP($A172,'Exetel ExDa'!$C$2:$N$14, 12,FALSE), IFERROR(VLOOKUP($A172,'Infinet ExDa'!$B$2:$E$14, 0,FALSE), "Not Found"))))))))</f>
        <v>Not Found</v>
      </c>
      <c r="L172" s="235" t="str">
        <f>IFERROR(VLOOKUP($A172,'AAPT ExDa'!$B$2:$U$99, 11,FALSE), IFERROR(VLOOKUP($A172,'ABB ExDa'!$A$2:$N$184, 9,FALSE), IFERROR(VLOOKUP($A172,'Vocus SIT ExDa'!$B$2:$J$173, 8,FALSE), IFERROR(VLOOKUP($A172,'Telstra ExDa'!$B$2:$K$310, 0,FALSE), IFERROR(VLOOKUP($A172,'Vocus RVC ExDa'!$C$2:$R$155, 0,FALSE), IFERROR(VLOOKUP($A172,'Fusion ExDa'!$B$2:$D$16, 0,FALSE), IFERROR(VLOOKUP($A172,'Exetel ExDa'!$C$2:$N$14, 9,FALSE), IFERROR(VLOOKUP($A172,'Infinet ExDa'!$B$2:$E$14, 0,FALSE), "Not Found"))))))))</f>
        <v>12 Nov 2024</v>
      </c>
      <c r="M172" s="234" t="str">
        <f>IFERROR(VLOOKUP($A172,'AAPT ExDa'!$B$2:$U$99, 0,FALSE), IFERROR(VLOOKUP($A172,'ABB ExDa'!$A$2:$N$184, 0,FALSE), IFERROR(VLOOKUP($A172,'Vocus SIT ExDa'!$B$2:$J$173, 0,FALSE), IFERROR(VLOOKUP($A172,'Telstra ExDa'!$B$2:$K$310, 0,FALSE), IFERROR(VLOOKUP($A172,'Vocus RVC ExDa'!$C$2:$R$155, 0,FALSE), IFERROR(VLOOKUP($A172,'Fusion ExDa'!$B$2:$D$16, 0,FALSE), IFERROR(VLOOKUP($A172,'Exetel ExDa'!$C$2:$N$14, 11,FALSE), IFERROR(VLOOKUP($A172,'Infinet ExDa'!$B$2:$E$14, 0,FALSE), "Not Found"))))))))</f>
        <v>Not Found</v>
      </c>
      <c r="N172" t="str">
        <f>IFERROR(VLOOKUP($A172,'AAPT ExDa'!$B$2:$U$99, 0,FALSE), IFERROR(VLOOKUP($A172,'ABB ExDa'!$A$2:$N$184, 13,FALSE), IFERROR(VLOOKUP($A172,'Vocus SIT ExDa'!$B$2:$J$173, 0,FALSE), IFERROR(VLOOKUP($A172,'Telstra ExDa'!$B$2:$K$310, 0,FALSE), IFERROR(VLOOKUP($A172,'Vocus RVC ExDa'!$C$2:$R$155, 0,FALSE), IFERROR(VLOOKUP($A172,'Fusion ExDa'!$B$2:$D$16, 0,FALSE), IFERROR(VLOOKUP($A172,'Exetel ExDa'!$C$2:$N$14, 0,FALSE), IFERROR(VLOOKUP($A172,'Infinet ExDa'!$B$2:$E$14, 0,FALSE), "Not Found"))))))))</f>
        <v>Onebill</v>
      </c>
    </row>
    <row r="173" spans="1:14">
      <c r="A173" t="str">
        <v>The Yiros Shop Stafford</v>
      </c>
      <c r="B173" t="str">
        <f>IFERROR(VLOOKUP(A173,'Exetel ExDa'!$C$2:$N$14,4,FALSE),"No Data")</f>
        <v>No Data</v>
      </c>
      <c r="C173" t="str">
        <f>IFERROR(VLOOKUP(A173,'AAPT ExDa'!$B$2:$U$99, 2,FALSE), IFERROR(VLOOKUP(A173,'ABB ExDa'!$A$2:$N$184, 2,FALSE), IFERROR(VLOOKUP(A173,'Vocus SIT ExDa'!$B$2:$J$173, 7,FALSE), IFERROR(VLOOKUP(A173,'Telstra ExDa'!$B$2:$K$310, 2,FALSE), IFERROR(VLOOKUP(A173,'Vocus RVC ExDa'!$C$2:$R$155, 3,FALSE), IFERROR(VLOOKUP(A173,'Fusion ExDa'!$B$2:$D$16, 2,FALSE), IFERROR(VLOOKUP(A173,'Exetel ExDa'!$C$2:$N$14, 2,FALSE), IFERROR(VLOOKUP(A173,'Infinet ExDa'!$B$2:$E$14, 2,FALSE), "Not Found"))))))))</f>
        <v>Shop 8, 240 Stafford Rd, Stafford QLD</v>
      </c>
      <c r="D173" t="str">
        <f>IFERROR(VLOOKUP($A173,'AAPT ExDa'!$B$2:$U$99, 15,FALSE), IFERROR(VLOOKUP($A173,'ABB ExDa'!$A$2:$N$184, 4,FALSE), IFERROR(VLOOKUP($A173,'Vocus SIT ExDa'!$B$2:$J$173, 5,FALSE), IFERROR(VLOOKUP($A173,'Telstra ExDa'!$B$2:$K$310, 8,FALSE), IFERROR(VLOOKUP($A173,'Vocus RVC ExDa'!$C$2:$R$155, 6,FALSE), IFERROR(VLOOKUP($A173,'Fusion ExDa'!$B$2:$D$16, 4,FALSE), IFERROR(VLOOKUP($A173,'Exetel ExDa'!$C$2:$N$14, 3,FALSE), IFERROR(VLOOKUP($A173,'Infinet ExDa'!$B$2:$E$14, 3,FALSE), "Not Found"))))))))</f>
        <v>ABB</v>
      </c>
      <c r="E173" t="str">
        <f>IFERROR(VLOOKUP($A173,'AAPT ExDa'!$B$2:$U$99, 3,FALSE), IFERROR(VLOOKUP($A173,'ABB ExDa'!$A$2:$N$184, 5,FALSE), IFERROR(VLOOKUP($A173,'Vocus SIT ExDa'!$B$2:$J$173, 2,FALSE), IFERROR(VLOOKUP($A173,'Telstra ExDa'!$B$2:$K$310, 4,FALSE), IFERROR(VLOOKUP($A173,'Vocus RVC ExDa'!$C$2:$R$155, 8,FALSE), IFERROR(VLOOKUP($A173,'Fusion ExDa'!$B$2:$D$16, 4,FALSE), IFERROR(VLOOKUP($A173,'Exetel ExDa'!$C$2:$N$14, 5,FALSE), IFERROR(VLOOKUP($A173,'Infinet ExDa'!$B$2:$E$14, 3,FALSE), "Not Found"))))))))</f>
        <v>NBN 50/20</v>
      </c>
      <c r="F173" t="str">
        <f>IFERROR(VLOOKUP($A173,'AAPT ExDa'!$B$2:$U$99, 4,FALSE), IFERROR(VLOOKUP($A173,'ABB ExDa'!$A$2:$N$184, 6,FALSE), IFERROR(VLOOKUP($A173,'Vocus SIT ExDa'!$B$2:$J$173, 3,FALSE), IFERROR(VLOOKUP($A173,'Telstra ExDa'!$B$2:$K$310, 5,FALSE), IFERROR(VLOOKUP($A173,'Vocus RVC ExDa'!$C$2:$R$155, 9,FALSE), IFERROR(VLOOKUP($A173,'Fusion ExDa'!$B$2:$D$16, 0,FALSE), IFERROR(VLOOKUP($A173,'Exetel ExDa'!$C$2:$N$14, 6,FALSE), IFERROR(VLOOKUP($A173,'Infinet ExDa'!$B$2:$E$14, 0,FALSE), "Not Found"))))))))</f>
        <v>HFC</v>
      </c>
      <c r="G173" t="str">
        <f>IFERROR(VLOOKUP($A173,'AAPT ExDa'!$B$2:$U$99, 5,FALSE), IFERROR(VLOOKUP($A173,'ABB ExDa'!$A$2:$N$184, 8,FALSE), IFERROR(VLOOKUP($A173,'Vocus SIT ExDa'!$B$2:$J$173, 6,FALSE), IFERROR(VLOOKUP($A173,'Telstra ExDa'!$B$2:$K$310, 0,FALSE), IFERROR(VLOOKUP($A173,'Vocus RVC ExDa'!$C$2:$R$155, 15,FALSE), IFERROR(VLOOKUP($A173,'Fusion ExDa'!$B$2:$D$16, 0,FALSE), IFERROR(VLOOKUP($A173,'Exetel ExDa'!$C$2:$N$14, 7,FALSE), IFERROR(VLOOKUP($A173,'Infinet ExDa'!$B$2:$E$14, 0,FALSE), "Not Found"))))))))</f>
        <v>144.6.123.91</v>
      </c>
      <c r="H173" t="str">
        <f>IFERROR(VLOOKUP($A173,'AAPT ExDa'!$B$2:$U$99, 6,FALSE), IFERROR(VLOOKUP($A173,'ABB ExDa'!$A$2:$N$184, 0,FALSE), IFERROR(VLOOKUP($A173,'Vocus SIT ExDa'!$B$2:$J$173, 0,FALSE), IFERROR(VLOOKUP($A173,'Telstra ExDa'!$B$2:$K$310, 0,FALSE), IFERROR(VLOOKUP($A173,'Vocus RVC ExDa'!$C$2:$R$155, 16,FALSE), IFERROR(VLOOKUP($A173,'Fusion ExDa'!$B$2:$D$16, 0,FALSE), IFERROR(VLOOKUP($A173,'Exetel ExDa'!$C$2:$N$14, 0,FALSE), IFERROR(VLOOKUP($A173,'Infinet ExDa'!$B$2:$E$14, 0,FALSE), "Not Found"))))))))</f>
        <v>Not Found</v>
      </c>
      <c r="I173" t="str">
        <f>IFERROR(VLOOKUP($A173,'AAPT ExDa'!$B$2:$U$99, 0,FALSE), IFERROR(VLOOKUP($A173,'ABB ExDa'!$A$2:$N$184, 0,FALSE), IFERROR(VLOOKUP($A173,'Vocus SIT ExDa'!$B$2:$J$173, 0,FALSE), IFERROR(VLOOKUP($A173,'Telstra ExDa'!$B$2:$K$310, 0,FALSE), IFERROR(VLOOKUP($A173,'Vocus RVC ExDa'!$C$2:$R$155, 0,FALSE), IFERROR(VLOOKUP($A173,'Fusion ExDa'!$B$2:$D$16, 0,FALSE), IFERROR(VLOOKUP($A173,'Exetel ExDa'!$C$2:$N$14, 8,FALSE), IFERROR(VLOOKUP($A173,'Infinet ExDa'!$B$2:$E$14, 0,FALSE), "Not Found"))))))))</f>
        <v>Not Found</v>
      </c>
      <c r="J173" t="str">
        <f>IFERROR(VLOOKUP($A173,'AAPT ExDa'!$B$2:$U$99, 7,FALSE), IFERROR(VLOOKUP($A173,'ABB ExDa'!$A$2:$N$184, 2,FALSE), IFERROR(VLOOKUP($A173,'Vocus SIT ExDa'!$B$2:$J$173, 0,FALSE), IFERROR(VLOOKUP($A173,'Telstra ExDa'!$B$2:$K$310, 7,FALSE), IFERROR(VLOOKUP($A173,'Vocus RVC ExDa'!$C$2:$R$155, 2,FALSE), IFERROR(VLOOKUP($A173,'Fusion ExDa'!$B$2:$D$16, 3,FALSE), IFERROR(VLOOKUP($A173,'Exetel ExDa'!$C$2:$N$14, 0,FALSE), IFERROR(VLOOKUP($A173,'Infinet ExDa'!$B$2:$E$14, 0,FALSE), "Not Found"))))))))</f>
        <v>Shop 8, 240 Stafford Rd, Stafford QLD</v>
      </c>
      <c r="K173" t="str">
        <f>IFERROR(VLOOKUP($A173,'AAPT ExDa'!$B$2:$U$99, 12,FALSE), IFERROR(VLOOKUP($A173,'ABB ExDa'!$A$2:$N$184, 0,FALSE), IFERROR(VLOOKUP($A173,'Vocus SIT ExDa'!$B$2:$J$173, 0,FALSE), IFERROR(VLOOKUP($A173,'Telstra ExDa'!$B$2:$K$310, 0,FALSE), IFERROR(VLOOKUP($A173,'Vocus RVC ExDa'!$C$2:$R$155, 0,FALSE), IFERROR(VLOOKUP($A173,'Fusion ExDa'!$B$2:$D$16, 0,FALSE), IFERROR(VLOOKUP($A173,'Exetel ExDa'!$C$2:$N$14, 12,FALSE), IFERROR(VLOOKUP($A173,'Infinet ExDa'!$B$2:$E$14, 0,FALSE), "Not Found"))))))))</f>
        <v>Not Found</v>
      </c>
      <c r="L173" s="235" t="str">
        <f>IFERROR(VLOOKUP($A173,'AAPT ExDa'!$B$2:$U$99, 11,FALSE), IFERROR(VLOOKUP($A173,'ABB ExDa'!$A$2:$N$184, 9,FALSE), IFERROR(VLOOKUP($A173,'Vocus SIT ExDa'!$B$2:$J$173, 8,FALSE), IFERROR(VLOOKUP($A173,'Telstra ExDa'!$B$2:$K$310, 0,FALSE), IFERROR(VLOOKUP($A173,'Vocus RVC ExDa'!$C$2:$R$155, 0,FALSE), IFERROR(VLOOKUP($A173,'Fusion ExDa'!$B$2:$D$16, 0,FALSE), IFERROR(VLOOKUP($A173,'Exetel ExDa'!$C$2:$N$14, 9,FALSE), IFERROR(VLOOKUP($A173,'Infinet ExDa'!$B$2:$E$14, 0,FALSE), "Not Found"))))))))</f>
        <v>18 Sept 2025</v>
      </c>
      <c r="M173" s="234" t="str">
        <f>IFERROR(VLOOKUP($A173,'AAPT ExDa'!$B$2:$U$99, 0,FALSE), IFERROR(VLOOKUP($A173,'ABB ExDa'!$A$2:$N$184, 0,FALSE), IFERROR(VLOOKUP($A173,'Vocus SIT ExDa'!$B$2:$J$173, 0,FALSE), IFERROR(VLOOKUP($A173,'Telstra ExDa'!$B$2:$K$310, 0,FALSE), IFERROR(VLOOKUP($A173,'Vocus RVC ExDa'!$C$2:$R$155, 0,FALSE), IFERROR(VLOOKUP($A173,'Fusion ExDa'!$B$2:$D$16, 0,FALSE), IFERROR(VLOOKUP($A173,'Exetel ExDa'!$C$2:$N$14, 11,FALSE), IFERROR(VLOOKUP($A173,'Infinet ExDa'!$B$2:$E$14, 0,FALSE), "Not Found"))))))))</f>
        <v>Not Found</v>
      </c>
      <c r="N173" t="str">
        <f>IFERROR(VLOOKUP($A173,'AAPT ExDa'!$B$2:$U$99, 0,FALSE), IFERROR(VLOOKUP($A173,'ABB ExDa'!$A$2:$N$184, 13,FALSE), IFERROR(VLOOKUP($A173,'Vocus SIT ExDa'!$B$2:$J$173, 0,FALSE), IFERROR(VLOOKUP($A173,'Telstra ExDa'!$B$2:$K$310, 0,FALSE), IFERROR(VLOOKUP($A173,'Vocus RVC ExDa'!$C$2:$R$155, 0,FALSE), IFERROR(VLOOKUP($A173,'Fusion ExDa'!$B$2:$D$16, 0,FALSE), IFERROR(VLOOKUP($A173,'Exetel ExDa'!$C$2:$N$14, 0,FALSE), IFERROR(VLOOKUP($A173,'Infinet ExDa'!$B$2:$E$14, 0,FALSE), "Not Found"))))))))</f>
        <v>Onebill</v>
      </c>
    </row>
    <row r="174" spans="1:14">
      <c r="A174" t="str">
        <v>The Yiros Shop Valley Metro</v>
      </c>
      <c r="B174" t="str">
        <f>IFERROR(VLOOKUP(A174,'Exetel ExDa'!$C$2:$N$14,4,FALSE),"No Data")</f>
        <v>No Data</v>
      </c>
      <c r="C174" t="str">
        <f>IFERROR(VLOOKUP(A174,'AAPT ExDa'!$B$2:$U$99, 2,FALSE), IFERROR(VLOOKUP(A174,'ABB ExDa'!$A$2:$N$184, 2,FALSE), IFERROR(VLOOKUP(A174,'Vocus SIT ExDa'!$B$2:$J$173, 7,FALSE), IFERROR(VLOOKUP(A174,'Telstra ExDa'!$B$2:$K$310, 2,FALSE), IFERROR(VLOOKUP(A174,'Vocus RVC ExDa'!$C$2:$R$155, 3,FALSE), IFERROR(VLOOKUP(A174,'Fusion ExDa'!$B$2:$D$16, 2,FALSE), IFERROR(VLOOKUP(A174,'Exetel ExDa'!$C$2:$N$14, 2,FALSE), IFERROR(VLOOKUP(A174,'Infinet ExDa'!$B$2:$E$14, 2,FALSE), "Not Found"))))))))</f>
        <v>Valley Centre Plaza Shop 8, 230 Brunswick St, Fortitude Valley QLD</v>
      </c>
      <c r="D174" t="str">
        <f>IFERROR(VLOOKUP($A174,'AAPT ExDa'!$B$2:$U$99, 15,FALSE), IFERROR(VLOOKUP($A174,'ABB ExDa'!$A$2:$N$184, 4,FALSE), IFERROR(VLOOKUP($A174,'Vocus SIT ExDa'!$B$2:$J$173, 5,FALSE), IFERROR(VLOOKUP($A174,'Telstra ExDa'!$B$2:$K$310, 8,FALSE), IFERROR(VLOOKUP($A174,'Vocus RVC ExDa'!$C$2:$R$155, 6,FALSE), IFERROR(VLOOKUP($A174,'Fusion ExDa'!$B$2:$D$16, 4,FALSE), IFERROR(VLOOKUP($A174,'Exetel ExDa'!$C$2:$N$14, 3,FALSE), IFERROR(VLOOKUP($A174,'Infinet ExDa'!$B$2:$E$14, 3,FALSE), "Not Found"))))))))</f>
        <v>ABB</v>
      </c>
      <c r="E174" t="str">
        <f>IFERROR(VLOOKUP($A174,'AAPT ExDa'!$B$2:$U$99, 3,FALSE), IFERROR(VLOOKUP($A174,'ABB ExDa'!$A$2:$N$184, 5,FALSE), IFERROR(VLOOKUP($A174,'Vocus SIT ExDa'!$B$2:$J$173, 2,FALSE), IFERROR(VLOOKUP($A174,'Telstra ExDa'!$B$2:$K$310, 4,FALSE), IFERROR(VLOOKUP($A174,'Vocus RVC ExDa'!$C$2:$R$155, 8,FALSE), IFERROR(VLOOKUP($A174,'Fusion ExDa'!$B$2:$D$16, 4,FALSE), IFERROR(VLOOKUP($A174,'Exetel ExDa'!$C$2:$N$14, 5,FALSE), IFERROR(VLOOKUP($A174,'Infinet ExDa'!$B$2:$E$14, 3,FALSE), "Not Found"))))))))</f>
        <v>NBN 50/20</v>
      </c>
      <c r="F174" t="str">
        <f>IFERROR(VLOOKUP($A174,'AAPT ExDa'!$B$2:$U$99, 4,FALSE), IFERROR(VLOOKUP($A174,'ABB ExDa'!$A$2:$N$184, 6,FALSE), IFERROR(VLOOKUP($A174,'Vocus SIT ExDa'!$B$2:$J$173, 3,FALSE), IFERROR(VLOOKUP($A174,'Telstra ExDa'!$B$2:$K$310, 5,FALSE), IFERROR(VLOOKUP($A174,'Vocus RVC ExDa'!$C$2:$R$155, 9,FALSE), IFERROR(VLOOKUP($A174,'Fusion ExDa'!$B$2:$D$16, 0,FALSE), IFERROR(VLOOKUP($A174,'Exetel ExDa'!$C$2:$N$14, 6,FALSE), IFERROR(VLOOKUP($A174,'Infinet ExDa'!$B$2:$E$14, 0,FALSE), "Not Found"))))))))</f>
        <v>FTTB</v>
      </c>
      <c r="G174" t="str">
        <f>IFERROR(VLOOKUP($A174,'AAPT ExDa'!$B$2:$U$99, 5,FALSE), IFERROR(VLOOKUP($A174,'ABB ExDa'!$A$2:$N$184, 8,FALSE), IFERROR(VLOOKUP($A174,'Vocus SIT ExDa'!$B$2:$J$173, 6,FALSE), IFERROR(VLOOKUP($A174,'Telstra ExDa'!$B$2:$K$310, 0,FALSE), IFERROR(VLOOKUP($A174,'Vocus RVC ExDa'!$C$2:$R$155, 15,FALSE), IFERROR(VLOOKUP($A174,'Fusion ExDa'!$B$2:$D$16, 0,FALSE), IFERROR(VLOOKUP($A174,'Exetel ExDa'!$C$2:$N$14, 7,FALSE), IFERROR(VLOOKUP($A174,'Infinet ExDa'!$B$2:$E$14, 0,FALSE), "Not Found"))))))))</f>
        <v>180.181.211.244</v>
      </c>
      <c r="H174" t="str">
        <f>IFERROR(VLOOKUP($A174,'AAPT ExDa'!$B$2:$U$99, 6,FALSE), IFERROR(VLOOKUP($A174,'ABB ExDa'!$A$2:$N$184, 0,FALSE), IFERROR(VLOOKUP($A174,'Vocus SIT ExDa'!$B$2:$J$173, 0,FALSE), IFERROR(VLOOKUP($A174,'Telstra ExDa'!$B$2:$K$310, 0,FALSE), IFERROR(VLOOKUP($A174,'Vocus RVC ExDa'!$C$2:$R$155, 16,FALSE), IFERROR(VLOOKUP($A174,'Fusion ExDa'!$B$2:$D$16, 0,FALSE), IFERROR(VLOOKUP($A174,'Exetel ExDa'!$C$2:$N$14, 0,FALSE), IFERROR(VLOOKUP($A174,'Infinet ExDa'!$B$2:$E$14, 0,FALSE), "Not Found"))))))))</f>
        <v>Not Found</v>
      </c>
      <c r="I174" t="str">
        <f>IFERROR(VLOOKUP($A174,'AAPT ExDa'!$B$2:$U$99, 0,FALSE), IFERROR(VLOOKUP($A174,'ABB ExDa'!$A$2:$N$184, 0,FALSE), IFERROR(VLOOKUP($A174,'Vocus SIT ExDa'!$B$2:$J$173, 0,FALSE), IFERROR(VLOOKUP($A174,'Telstra ExDa'!$B$2:$K$310, 0,FALSE), IFERROR(VLOOKUP($A174,'Vocus RVC ExDa'!$C$2:$R$155, 0,FALSE), IFERROR(VLOOKUP($A174,'Fusion ExDa'!$B$2:$D$16, 0,FALSE), IFERROR(VLOOKUP($A174,'Exetel ExDa'!$C$2:$N$14, 8,FALSE), IFERROR(VLOOKUP($A174,'Infinet ExDa'!$B$2:$E$14, 0,FALSE), "Not Found"))))))))</f>
        <v>Not Found</v>
      </c>
      <c r="J174" t="str">
        <f>IFERROR(VLOOKUP($A174,'AAPT ExDa'!$B$2:$U$99, 7,FALSE), IFERROR(VLOOKUP($A174,'ABB ExDa'!$A$2:$N$184, 2,FALSE), IFERROR(VLOOKUP($A174,'Vocus SIT ExDa'!$B$2:$J$173, 0,FALSE), IFERROR(VLOOKUP($A174,'Telstra ExDa'!$B$2:$K$310, 7,FALSE), IFERROR(VLOOKUP($A174,'Vocus RVC ExDa'!$C$2:$R$155, 2,FALSE), IFERROR(VLOOKUP($A174,'Fusion ExDa'!$B$2:$D$16, 3,FALSE), IFERROR(VLOOKUP($A174,'Exetel ExDa'!$C$2:$N$14, 0,FALSE), IFERROR(VLOOKUP($A174,'Infinet ExDa'!$B$2:$E$14, 0,FALSE), "Not Found"))))))))</f>
        <v>Valley Centre Plaza Shop 8, 230 Brunswick St, Fortitude Valley QLD</v>
      </c>
      <c r="K174" t="str">
        <f>IFERROR(VLOOKUP($A174,'AAPT ExDa'!$B$2:$U$99, 12,FALSE), IFERROR(VLOOKUP($A174,'ABB ExDa'!$A$2:$N$184, 0,FALSE), IFERROR(VLOOKUP($A174,'Vocus SIT ExDa'!$B$2:$J$173, 0,FALSE), IFERROR(VLOOKUP($A174,'Telstra ExDa'!$B$2:$K$310, 0,FALSE), IFERROR(VLOOKUP($A174,'Vocus RVC ExDa'!$C$2:$R$155, 0,FALSE), IFERROR(VLOOKUP($A174,'Fusion ExDa'!$B$2:$D$16, 0,FALSE), IFERROR(VLOOKUP($A174,'Exetel ExDa'!$C$2:$N$14, 12,FALSE), IFERROR(VLOOKUP($A174,'Infinet ExDa'!$B$2:$E$14, 0,FALSE), "Not Found"))))))))</f>
        <v>Not Found</v>
      </c>
      <c r="L174" s="235" t="str">
        <f>IFERROR(VLOOKUP($A174,'AAPT ExDa'!$B$2:$U$99, 11,FALSE), IFERROR(VLOOKUP($A174,'ABB ExDa'!$A$2:$N$184, 9,FALSE), IFERROR(VLOOKUP($A174,'Vocus SIT ExDa'!$B$2:$J$173, 8,FALSE), IFERROR(VLOOKUP($A174,'Telstra ExDa'!$B$2:$K$310, 0,FALSE), IFERROR(VLOOKUP($A174,'Vocus RVC ExDa'!$C$2:$R$155, 0,FALSE), IFERROR(VLOOKUP($A174,'Fusion ExDa'!$B$2:$D$16, 0,FALSE), IFERROR(VLOOKUP($A174,'Exetel ExDa'!$C$2:$N$14, 9,FALSE), IFERROR(VLOOKUP($A174,'Infinet ExDa'!$B$2:$E$14, 0,FALSE), "Not Found"))))))))</f>
        <v>18 Sept 2025</v>
      </c>
      <c r="M174" s="234" t="str">
        <f>IFERROR(VLOOKUP($A174,'AAPT ExDa'!$B$2:$U$99, 0,FALSE), IFERROR(VLOOKUP($A174,'ABB ExDa'!$A$2:$N$184, 0,FALSE), IFERROR(VLOOKUP($A174,'Vocus SIT ExDa'!$B$2:$J$173, 0,FALSE), IFERROR(VLOOKUP($A174,'Telstra ExDa'!$B$2:$K$310, 0,FALSE), IFERROR(VLOOKUP($A174,'Vocus RVC ExDa'!$C$2:$R$155, 0,FALSE), IFERROR(VLOOKUP($A174,'Fusion ExDa'!$B$2:$D$16, 0,FALSE), IFERROR(VLOOKUP($A174,'Exetel ExDa'!$C$2:$N$14, 11,FALSE), IFERROR(VLOOKUP($A174,'Infinet ExDa'!$B$2:$E$14, 0,FALSE), "Not Found"))))))))</f>
        <v>Not Found</v>
      </c>
      <c r="N174" t="str">
        <f>IFERROR(VLOOKUP($A174,'AAPT ExDa'!$B$2:$U$99, 0,FALSE), IFERROR(VLOOKUP($A174,'ABB ExDa'!$A$2:$N$184, 13,FALSE), IFERROR(VLOOKUP($A174,'Vocus SIT ExDa'!$B$2:$J$173, 0,FALSE), IFERROR(VLOOKUP($A174,'Telstra ExDa'!$B$2:$K$310, 0,FALSE), IFERROR(VLOOKUP($A174,'Vocus RVC ExDa'!$C$2:$R$155, 0,FALSE), IFERROR(VLOOKUP($A174,'Fusion ExDa'!$B$2:$D$16, 0,FALSE), IFERROR(VLOOKUP($A174,'Exetel ExDa'!$C$2:$N$14, 0,FALSE), IFERROR(VLOOKUP($A174,'Infinet ExDa'!$B$2:$E$14, 0,FALSE), "Not Found"))))))))</f>
        <v>Onebill</v>
      </c>
    </row>
    <row r="175" spans="1:14">
      <c r="A175" t="str">
        <v>Travellers Group</v>
      </c>
      <c r="B175" t="str">
        <f>IFERROR(VLOOKUP(A175,'Exetel ExDa'!$C$2:$N$14,4,FALSE),"No Data")</f>
        <v>No Data</v>
      </c>
      <c r="C175" t="str">
        <f>IFERROR(VLOOKUP(A175,'AAPT ExDa'!$B$2:$U$99, 2,FALSE), IFERROR(VLOOKUP(A175,'ABB ExDa'!$A$2:$N$184, 2,FALSE), IFERROR(VLOOKUP(A175,'Vocus SIT ExDa'!$B$2:$J$173, 7,FALSE), IFERROR(VLOOKUP(A175,'Telstra ExDa'!$B$2:$K$310, 2,FALSE), IFERROR(VLOOKUP(A175,'Vocus RVC ExDa'!$C$2:$R$155, 3,FALSE), IFERROR(VLOOKUP(A175,'Fusion ExDa'!$B$2:$D$16, 2,FALSE), IFERROR(VLOOKUP(A175,'Exetel ExDa'!$C$2:$N$14, 2,FALSE), IFERROR(VLOOKUP(A175,'Infinet ExDa'!$B$2:$E$14, 2,FALSE), "Not Found"))))))))</f>
        <v>21 BOLSOVER ST, ROCKHAMPTON CITY QLD</v>
      </c>
      <c r="D175" t="str">
        <f>IFERROR(VLOOKUP($A175,'AAPT ExDa'!$B$2:$U$99, 15,FALSE), IFERROR(VLOOKUP($A175,'ABB ExDa'!$A$2:$N$184, 4,FALSE), IFERROR(VLOOKUP($A175,'Vocus SIT ExDa'!$B$2:$J$173, 5,FALSE), IFERROR(VLOOKUP($A175,'Telstra ExDa'!$B$2:$K$310, 8,FALSE), IFERROR(VLOOKUP($A175,'Vocus RVC ExDa'!$C$2:$R$155, 6,FALSE), IFERROR(VLOOKUP($A175,'Fusion ExDa'!$B$2:$D$16, 4,FALSE), IFERROR(VLOOKUP($A175,'Exetel ExDa'!$C$2:$N$14, 3,FALSE), IFERROR(VLOOKUP($A175,'Infinet ExDa'!$B$2:$E$14, 3,FALSE), "Not Found"))))))))</f>
        <v>ABB</v>
      </c>
      <c r="E175" t="str">
        <f>IFERROR(VLOOKUP($A175,'AAPT ExDa'!$B$2:$U$99, 3,FALSE), IFERROR(VLOOKUP($A175,'ABB ExDa'!$A$2:$N$184, 5,FALSE), IFERROR(VLOOKUP($A175,'Vocus SIT ExDa'!$B$2:$J$173, 2,FALSE), IFERROR(VLOOKUP($A175,'Telstra ExDa'!$B$2:$K$310, 4,FALSE), IFERROR(VLOOKUP($A175,'Vocus RVC ExDa'!$C$2:$R$155, 8,FALSE), IFERROR(VLOOKUP($A175,'Fusion ExDa'!$B$2:$D$16, 4,FALSE), IFERROR(VLOOKUP($A175,'Exetel ExDa'!$C$2:$N$14, 5,FALSE), IFERROR(VLOOKUP($A175,'Infinet ExDa'!$B$2:$E$14, 3,FALSE), "Not Found"))))))))</f>
        <v>NBN 500/200</v>
      </c>
      <c r="F175" t="str">
        <f>IFERROR(VLOOKUP($A175,'AAPT ExDa'!$B$2:$U$99, 4,FALSE), IFERROR(VLOOKUP($A175,'ABB ExDa'!$A$2:$N$184, 6,FALSE), IFERROR(VLOOKUP($A175,'Vocus SIT ExDa'!$B$2:$J$173, 3,FALSE), IFERROR(VLOOKUP($A175,'Telstra ExDa'!$B$2:$K$310, 5,FALSE), IFERROR(VLOOKUP($A175,'Vocus RVC ExDa'!$C$2:$R$155, 9,FALSE), IFERROR(VLOOKUP($A175,'Fusion ExDa'!$B$2:$D$16, 0,FALSE), IFERROR(VLOOKUP($A175,'Exetel ExDa'!$C$2:$N$14, 6,FALSE), IFERROR(VLOOKUP($A175,'Infinet ExDa'!$B$2:$E$14, 0,FALSE), "Not Found"))))))))</f>
        <v>FIbre</v>
      </c>
      <c r="G175" t="str">
        <f>IFERROR(VLOOKUP($A175,'AAPT ExDa'!$B$2:$U$99, 5,FALSE), IFERROR(VLOOKUP($A175,'ABB ExDa'!$A$2:$N$184, 8,FALSE), IFERROR(VLOOKUP($A175,'Vocus SIT ExDa'!$B$2:$J$173, 6,FALSE), IFERROR(VLOOKUP($A175,'Telstra ExDa'!$B$2:$K$310, 0,FALSE), IFERROR(VLOOKUP($A175,'Vocus RVC ExDa'!$C$2:$R$155, 15,FALSE), IFERROR(VLOOKUP($A175,'Fusion ExDa'!$B$2:$D$16, 0,FALSE), IFERROR(VLOOKUP($A175,'Exetel ExDa'!$C$2:$N$14, 7,FALSE), IFERROR(VLOOKUP($A175,'Infinet ExDa'!$B$2:$E$14, 0,FALSE), "Not Found"))))))))</f>
        <v>167.179.168.126</v>
      </c>
      <c r="H175" t="str">
        <f>IFERROR(VLOOKUP($A175,'AAPT ExDa'!$B$2:$U$99, 6,FALSE), IFERROR(VLOOKUP($A175,'ABB ExDa'!$A$2:$N$184, 0,FALSE), IFERROR(VLOOKUP($A175,'Vocus SIT ExDa'!$B$2:$J$173, 0,FALSE), IFERROR(VLOOKUP($A175,'Telstra ExDa'!$B$2:$K$310, 0,FALSE), IFERROR(VLOOKUP($A175,'Vocus RVC ExDa'!$C$2:$R$155, 16,FALSE), IFERROR(VLOOKUP($A175,'Fusion ExDa'!$B$2:$D$16, 0,FALSE), IFERROR(VLOOKUP($A175,'Exetel ExDa'!$C$2:$N$14, 0,FALSE), IFERROR(VLOOKUP($A175,'Infinet ExDa'!$B$2:$E$14, 0,FALSE), "Not Found"))))))))</f>
        <v>Not Found</v>
      </c>
      <c r="I175" t="str">
        <f>IFERROR(VLOOKUP($A175,'AAPT ExDa'!$B$2:$U$99, 0,FALSE), IFERROR(VLOOKUP($A175,'ABB ExDa'!$A$2:$N$184, 0,FALSE), IFERROR(VLOOKUP($A175,'Vocus SIT ExDa'!$B$2:$J$173, 0,FALSE), IFERROR(VLOOKUP($A175,'Telstra ExDa'!$B$2:$K$310, 0,FALSE), IFERROR(VLOOKUP($A175,'Vocus RVC ExDa'!$C$2:$R$155, 0,FALSE), IFERROR(VLOOKUP($A175,'Fusion ExDa'!$B$2:$D$16, 0,FALSE), IFERROR(VLOOKUP($A175,'Exetel ExDa'!$C$2:$N$14, 8,FALSE), IFERROR(VLOOKUP($A175,'Infinet ExDa'!$B$2:$E$14, 0,FALSE), "Not Found"))))))))</f>
        <v>Not Found</v>
      </c>
      <c r="J175" t="str">
        <f>IFERROR(VLOOKUP($A175,'AAPT ExDa'!$B$2:$U$99, 7,FALSE), IFERROR(VLOOKUP($A175,'ABB ExDa'!$A$2:$N$184, 2,FALSE), IFERROR(VLOOKUP($A175,'Vocus SIT ExDa'!$B$2:$J$173, 0,FALSE), IFERROR(VLOOKUP($A175,'Telstra ExDa'!$B$2:$K$310, 7,FALSE), IFERROR(VLOOKUP($A175,'Vocus RVC ExDa'!$C$2:$R$155, 2,FALSE), IFERROR(VLOOKUP($A175,'Fusion ExDa'!$B$2:$D$16, 3,FALSE), IFERROR(VLOOKUP($A175,'Exetel ExDa'!$C$2:$N$14, 0,FALSE), IFERROR(VLOOKUP($A175,'Infinet ExDa'!$B$2:$E$14, 0,FALSE), "Not Found"))))))))</f>
        <v>21 BOLSOVER ST, ROCKHAMPTON CITY QLD</v>
      </c>
      <c r="K175" t="str">
        <f>IFERROR(VLOOKUP($A175,'AAPT ExDa'!$B$2:$U$99, 12,FALSE), IFERROR(VLOOKUP($A175,'ABB ExDa'!$A$2:$N$184, 0,FALSE), IFERROR(VLOOKUP($A175,'Vocus SIT ExDa'!$B$2:$J$173, 0,FALSE), IFERROR(VLOOKUP($A175,'Telstra ExDa'!$B$2:$K$310, 0,FALSE), IFERROR(VLOOKUP($A175,'Vocus RVC ExDa'!$C$2:$R$155, 0,FALSE), IFERROR(VLOOKUP($A175,'Fusion ExDa'!$B$2:$D$16, 0,FALSE), IFERROR(VLOOKUP($A175,'Exetel ExDa'!$C$2:$N$14, 12,FALSE), IFERROR(VLOOKUP($A175,'Infinet ExDa'!$B$2:$E$14, 0,FALSE), "Not Found"))))))))</f>
        <v>Not Found</v>
      </c>
      <c r="L175" s="235" t="str">
        <f>IFERROR(VLOOKUP($A175,'AAPT ExDa'!$B$2:$U$99, 11,FALSE), IFERROR(VLOOKUP($A175,'ABB ExDa'!$A$2:$N$184, 9,FALSE), IFERROR(VLOOKUP($A175,'Vocus SIT ExDa'!$B$2:$J$173, 8,FALSE), IFERROR(VLOOKUP($A175,'Telstra ExDa'!$B$2:$K$310, 0,FALSE), IFERROR(VLOOKUP($A175,'Vocus RVC ExDa'!$C$2:$R$155, 0,FALSE), IFERROR(VLOOKUP($A175,'Fusion ExDa'!$B$2:$D$16, 0,FALSE), IFERROR(VLOOKUP($A175,'Exetel ExDa'!$C$2:$N$14, 9,FALSE), IFERROR(VLOOKUP($A175,'Infinet ExDa'!$B$2:$E$14, 0,FALSE), "Not Found"))))))))</f>
        <v>02 Oct 2025</v>
      </c>
      <c r="M175" s="234" t="str">
        <f>IFERROR(VLOOKUP($A175,'AAPT ExDa'!$B$2:$U$99, 0,FALSE), IFERROR(VLOOKUP($A175,'ABB ExDa'!$A$2:$N$184, 0,FALSE), IFERROR(VLOOKUP($A175,'Vocus SIT ExDa'!$B$2:$J$173, 0,FALSE), IFERROR(VLOOKUP($A175,'Telstra ExDa'!$B$2:$K$310, 0,FALSE), IFERROR(VLOOKUP($A175,'Vocus RVC ExDa'!$C$2:$R$155, 0,FALSE), IFERROR(VLOOKUP($A175,'Fusion ExDa'!$B$2:$D$16, 0,FALSE), IFERROR(VLOOKUP($A175,'Exetel ExDa'!$C$2:$N$14, 11,FALSE), IFERROR(VLOOKUP($A175,'Infinet ExDa'!$B$2:$E$14, 0,FALSE), "Not Found"))))))))</f>
        <v>Not Found</v>
      </c>
      <c r="N175">
        <f>IFERROR(VLOOKUP($A175,'AAPT ExDa'!$B$2:$U$99, 0,FALSE), IFERROR(VLOOKUP($A175,'ABB ExDa'!$A$2:$N$184, 13,FALSE), IFERROR(VLOOKUP($A175,'Vocus SIT ExDa'!$B$2:$J$173, 0,FALSE), IFERROR(VLOOKUP($A175,'Telstra ExDa'!$B$2:$K$310, 0,FALSE), IFERROR(VLOOKUP($A175,'Vocus RVC ExDa'!$C$2:$R$155, 0,FALSE), IFERROR(VLOOKUP($A175,'Fusion ExDa'!$B$2:$D$16, 0,FALSE), IFERROR(VLOOKUP($A175,'Exetel ExDa'!$C$2:$N$14, 0,FALSE), IFERROR(VLOOKUP($A175,'Infinet ExDa'!$B$2:$E$14, 0,FALSE), "Not Found"))))))))</f>
        <v>0</v>
      </c>
    </row>
    <row r="176" spans="1:14">
      <c r="A176" t="str">
        <v>Travellers Motels Office</v>
      </c>
      <c r="B176" t="str">
        <f>IFERROR(VLOOKUP(A176,'Exetel ExDa'!$C$2:$N$14,4,FALSE),"No Data")</f>
        <v>No Data</v>
      </c>
      <c r="C176" t="str">
        <f>IFERROR(VLOOKUP(A176,'AAPT ExDa'!$B$2:$U$99, 2,FALSE), IFERROR(VLOOKUP(A176,'ABB ExDa'!$A$2:$N$184, 2,FALSE), IFERROR(VLOOKUP(A176,'Vocus SIT ExDa'!$B$2:$J$173, 7,FALSE), IFERROR(VLOOKUP(A176,'Telstra ExDa'!$B$2:$K$310, 2,FALSE), IFERROR(VLOOKUP(A176,'Vocus RVC ExDa'!$C$2:$R$155, 3,FALSE), IFERROR(VLOOKUP(A176,'Fusion ExDa'!$B$2:$D$16, 2,FALSE), IFERROR(VLOOKUP(A176,'Exetel ExDa'!$C$2:$N$14, 2,FALSE), IFERROR(VLOOKUP(A176,'Infinet ExDa'!$B$2:$E$14, 2,FALSE), "Not Found"))))))))</f>
        <v>OFFC 14A, 100 EDWARD ST, BRISBANE CITY QLD</v>
      </c>
      <c r="D176" t="str">
        <f>IFERROR(VLOOKUP($A176,'AAPT ExDa'!$B$2:$U$99, 15,FALSE), IFERROR(VLOOKUP($A176,'ABB ExDa'!$A$2:$N$184, 4,FALSE), IFERROR(VLOOKUP($A176,'Vocus SIT ExDa'!$B$2:$J$173, 5,FALSE), IFERROR(VLOOKUP($A176,'Telstra ExDa'!$B$2:$K$310, 8,FALSE), IFERROR(VLOOKUP($A176,'Vocus RVC ExDa'!$C$2:$R$155, 6,FALSE), IFERROR(VLOOKUP($A176,'Fusion ExDa'!$B$2:$D$16, 4,FALSE), IFERROR(VLOOKUP($A176,'Exetel ExDa'!$C$2:$N$14, 3,FALSE), IFERROR(VLOOKUP($A176,'Infinet ExDa'!$B$2:$E$14, 3,FALSE), "Not Found"))))))))</f>
        <v>ABB</v>
      </c>
      <c r="E176" t="str">
        <f>IFERROR(VLOOKUP($A176,'AAPT ExDa'!$B$2:$U$99, 3,FALSE), IFERROR(VLOOKUP($A176,'ABB ExDa'!$A$2:$N$184, 5,FALSE), IFERROR(VLOOKUP($A176,'Vocus SIT ExDa'!$B$2:$J$173, 2,FALSE), IFERROR(VLOOKUP($A176,'Telstra ExDa'!$B$2:$K$310, 4,FALSE), IFERROR(VLOOKUP($A176,'Vocus RVC ExDa'!$C$2:$R$155, 8,FALSE), IFERROR(VLOOKUP($A176,'Fusion ExDa'!$B$2:$D$16, 4,FALSE), IFERROR(VLOOKUP($A176,'Exetel ExDa'!$C$2:$N$14, 5,FALSE), IFERROR(VLOOKUP($A176,'Infinet ExDa'!$B$2:$E$14, 3,FALSE), "Not Found"))))))))</f>
        <v>NBN 100/40</v>
      </c>
      <c r="F176" t="str">
        <f>IFERROR(VLOOKUP($A176,'AAPT ExDa'!$B$2:$U$99, 4,FALSE), IFERROR(VLOOKUP($A176,'ABB ExDa'!$A$2:$N$184, 6,FALSE), IFERROR(VLOOKUP($A176,'Vocus SIT ExDa'!$B$2:$J$173, 3,FALSE), IFERROR(VLOOKUP($A176,'Telstra ExDa'!$B$2:$K$310, 5,FALSE), IFERROR(VLOOKUP($A176,'Vocus RVC ExDa'!$C$2:$R$155, 9,FALSE), IFERROR(VLOOKUP($A176,'Fusion ExDa'!$B$2:$D$16, 0,FALSE), IFERROR(VLOOKUP($A176,'Exetel ExDa'!$C$2:$N$14, 6,FALSE), IFERROR(VLOOKUP($A176,'Infinet ExDa'!$B$2:$E$14, 0,FALSE), "Not Found"))))))))</f>
        <v>FTTB</v>
      </c>
      <c r="G176" t="str">
        <f>IFERROR(VLOOKUP($A176,'AAPT ExDa'!$B$2:$U$99, 5,FALSE), IFERROR(VLOOKUP($A176,'ABB ExDa'!$A$2:$N$184, 8,FALSE), IFERROR(VLOOKUP($A176,'Vocus SIT ExDa'!$B$2:$J$173, 6,FALSE), IFERROR(VLOOKUP($A176,'Telstra ExDa'!$B$2:$K$310, 0,FALSE), IFERROR(VLOOKUP($A176,'Vocus RVC ExDa'!$C$2:$R$155, 15,FALSE), IFERROR(VLOOKUP($A176,'Fusion ExDa'!$B$2:$D$16, 0,FALSE), IFERROR(VLOOKUP($A176,'Exetel ExDa'!$C$2:$N$14, 7,FALSE), IFERROR(VLOOKUP($A176,'Infinet ExDa'!$B$2:$E$14, 0,FALSE), "Not Found"))))))))</f>
        <v>144.6.121.6</v>
      </c>
      <c r="H176" t="str">
        <f>IFERROR(VLOOKUP($A176,'AAPT ExDa'!$B$2:$U$99, 6,FALSE), IFERROR(VLOOKUP($A176,'ABB ExDa'!$A$2:$N$184, 0,FALSE), IFERROR(VLOOKUP($A176,'Vocus SIT ExDa'!$B$2:$J$173, 0,FALSE), IFERROR(VLOOKUP($A176,'Telstra ExDa'!$B$2:$K$310, 0,FALSE), IFERROR(VLOOKUP($A176,'Vocus RVC ExDa'!$C$2:$R$155, 16,FALSE), IFERROR(VLOOKUP($A176,'Fusion ExDa'!$B$2:$D$16, 0,FALSE), IFERROR(VLOOKUP($A176,'Exetel ExDa'!$C$2:$N$14, 0,FALSE), IFERROR(VLOOKUP($A176,'Infinet ExDa'!$B$2:$E$14, 0,FALSE), "Not Found"))))))))</f>
        <v>Not Found</v>
      </c>
      <c r="I176" t="str">
        <f>IFERROR(VLOOKUP($A176,'AAPT ExDa'!$B$2:$U$99, 0,FALSE), IFERROR(VLOOKUP($A176,'ABB ExDa'!$A$2:$N$184, 0,FALSE), IFERROR(VLOOKUP($A176,'Vocus SIT ExDa'!$B$2:$J$173, 0,FALSE), IFERROR(VLOOKUP($A176,'Telstra ExDa'!$B$2:$K$310, 0,FALSE), IFERROR(VLOOKUP($A176,'Vocus RVC ExDa'!$C$2:$R$155, 0,FALSE), IFERROR(VLOOKUP($A176,'Fusion ExDa'!$B$2:$D$16, 0,FALSE), IFERROR(VLOOKUP($A176,'Exetel ExDa'!$C$2:$N$14, 8,FALSE), IFERROR(VLOOKUP($A176,'Infinet ExDa'!$B$2:$E$14, 0,FALSE), "Not Found"))))))))</f>
        <v>Not Found</v>
      </c>
      <c r="J176" t="str">
        <f>IFERROR(VLOOKUP($A176,'AAPT ExDa'!$B$2:$U$99, 7,FALSE), IFERROR(VLOOKUP($A176,'ABB ExDa'!$A$2:$N$184, 2,FALSE), IFERROR(VLOOKUP($A176,'Vocus SIT ExDa'!$B$2:$J$173, 0,FALSE), IFERROR(VLOOKUP($A176,'Telstra ExDa'!$B$2:$K$310, 7,FALSE), IFERROR(VLOOKUP($A176,'Vocus RVC ExDa'!$C$2:$R$155, 2,FALSE), IFERROR(VLOOKUP($A176,'Fusion ExDa'!$B$2:$D$16, 3,FALSE), IFERROR(VLOOKUP($A176,'Exetel ExDa'!$C$2:$N$14, 0,FALSE), IFERROR(VLOOKUP($A176,'Infinet ExDa'!$B$2:$E$14, 0,FALSE), "Not Found"))))))))</f>
        <v>OFFC 14A, 100 EDWARD ST, BRISBANE CITY QLD</v>
      </c>
      <c r="K176" t="str">
        <f>IFERROR(VLOOKUP($A176,'AAPT ExDa'!$B$2:$U$99, 12,FALSE), IFERROR(VLOOKUP($A176,'ABB ExDa'!$A$2:$N$184, 0,FALSE), IFERROR(VLOOKUP($A176,'Vocus SIT ExDa'!$B$2:$J$173, 0,FALSE), IFERROR(VLOOKUP($A176,'Telstra ExDa'!$B$2:$K$310, 0,FALSE), IFERROR(VLOOKUP($A176,'Vocus RVC ExDa'!$C$2:$R$155, 0,FALSE), IFERROR(VLOOKUP($A176,'Fusion ExDa'!$B$2:$D$16, 0,FALSE), IFERROR(VLOOKUP($A176,'Exetel ExDa'!$C$2:$N$14, 12,FALSE), IFERROR(VLOOKUP($A176,'Infinet ExDa'!$B$2:$E$14, 0,FALSE), "Not Found"))))))))</f>
        <v>Not Found</v>
      </c>
      <c r="L176" s="235" t="str">
        <f>IFERROR(VLOOKUP($A176,'AAPT ExDa'!$B$2:$U$99, 11,FALSE), IFERROR(VLOOKUP($A176,'ABB ExDa'!$A$2:$N$184, 9,FALSE), IFERROR(VLOOKUP($A176,'Vocus SIT ExDa'!$B$2:$J$173, 8,FALSE), IFERROR(VLOOKUP($A176,'Telstra ExDa'!$B$2:$K$310, 0,FALSE), IFERROR(VLOOKUP($A176,'Vocus RVC ExDa'!$C$2:$R$155, 0,FALSE), IFERROR(VLOOKUP($A176,'Fusion ExDa'!$B$2:$D$16, 0,FALSE), IFERROR(VLOOKUP($A176,'Exetel ExDa'!$C$2:$N$14, 9,FALSE), IFERROR(VLOOKUP($A176,'Infinet ExDa'!$B$2:$E$14, 0,FALSE), "Not Found"))))))))</f>
        <v>18 April 2024</v>
      </c>
      <c r="M176" s="234" t="str">
        <f>IFERROR(VLOOKUP($A176,'AAPT ExDa'!$B$2:$U$99, 0,FALSE), IFERROR(VLOOKUP($A176,'ABB ExDa'!$A$2:$N$184, 0,FALSE), IFERROR(VLOOKUP($A176,'Vocus SIT ExDa'!$B$2:$J$173, 0,FALSE), IFERROR(VLOOKUP($A176,'Telstra ExDa'!$B$2:$K$310, 0,FALSE), IFERROR(VLOOKUP($A176,'Vocus RVC ExDa'!$C$2:$R$155, 0,FALSE), IFERROR(VLOOKUP($A176,'Fusion ExDa'!$B$2:$D$16, 0,FALSE), IFERROR(VLOOKUP($A176,'Exetel ExDa'!$C$2:$N$14, 11,FALSE), IFERROR(VLOOKUP($A176,'Infinet ExDa'!$B$2:$E$14, 0,FALSE), "Not Found"))))))))</f>
        <v>Not Found</v>
      </c>
      <c r="N176">
        <f>IFERROR(VLOOKUP($A176,'AAPT ExDa'!$B$2:$U$99, 0,FALSE), IFERROR(VLOOKUP($A176,'ABB ExDa'!$A$2:$N$184, 13,FALSE), IFERROR(VLOOKUP($A176,'Vocus SIT ExDa'!$B$2:$J$173, 0,FALSE), IFERROR(VLOOKUP($A176,'Telstra ExDa'!$B$2:$K$310, 0,FALSE), IFERROR(VLOOKUP($A176,'Vocus RVC ExDa'!$C$2:$R$155, 0,FALSE), IFERROR(VLOOKUP($A176,'Fusion ExDa'!$B$2:$D$16, 0,FALSE), IFERROR(VLOOKUP($A176,'Exetel ExDa'!$C$2:$N$14, 0,FALSE), IFERROR(VLOOKUP($A176,'Infinet ExDa'!$B$2:$E$14, 0,FALSE), "Not Found"))))))))</f>
        <v>0</v>
      </c>
    </row>
    <row r="177" spans="1:14">
      <c r="A177" t="str">
        <v>Wattle Court Homes</v>
      </c>
      <c r="B177" t="str">
        <f>IFERROR(VLOOKUP(A177,'Exetel ExDa'!$C$2:$N$14,4,FALSE),"No Data")</f>
        <v>No Data</v>
      </c>
      <c r="C177" t="str">
        <f>IFERROR(VLOOKUP(A177,'AAPT ExDa'!$B$2:$U$99, 2,FALSE), IFERROR(VLOOKUP(A177,'ABB ExDa'!$A$2:$N$184, 2,FALSE), IFERROR(VLOOKUP(A177,'Vocus SIT ExDa'!$B$2:$J$173, 7,FALSE), IFERROR(VLOOKUP(A177,'Telstra ExDa'!$B$2:$K$310, 2,FALSE), IFERROR(VLOOKUP(A177,'Vocus RVC ExDa'!$C$2:$R$155, 3,FALSE), IFERROR(VLOOKUP(A177,'Fusion ExDa'!$B$2:$D$16, 2,FALSE), IFERROR(VLOOKUP(A177,'Exetel ExDa'!$C$2:$N$14, 2,FALSE), IFERROR(VLOOKUP(A177,'Infinet ExDa'!$B$2:$E$14, 2,FALSE), "Not Found"))))))))</f>
        <v>ELOUERA TOWERS UN 1, 81 SIXTH AV, MAROOCHYDORE QLD</v>
      </c>
      <c r="D177" t="str">
        <f>IFERROR(VLOOKUP($A177,'AAPT ExDa'!$B$2:$U$99, 15,FALSE), IFERROR(VLOOKUP($A177,'ABB ExDa'!$A$2:$N$184, 4,FALSE), IFERROR(VLOOKUP($A177,'Vocus SIT ExDa'!$B$2:$J$173, 5,FALSE), IFERROR(VLOOKUP($A177,'Telstra ExDa'!$B$2:$K$310, 8,FALSE), IFERROR(VLOOKUP($A177,'Vocus RVC ExDa'!$C$2:$R$155, 6,FALSE), IFERROR(VLOOKUP($A177,'Fusion ExDa'!$B$2:$D$16, 4,FALSE), IFERROR(VLOOKUP($A177,'Exetel ExDa'!$C$2:$N$14, 3,FALSE), IFERROR(VLOOKUP($A177,'Infinet ExDa'!$B$2:$E$14, 3,FALSE), "Not Found"))))))))</f>
        <v>ABB</v>
      </c>
      <c r="E177" t="str">
        <f>IFERROR(VLOOKUP($A177,'AAPT ExDa'!$B$2:$U$99, 3,FALSE), IFERROR(VLOOKUP($A177,'ABB ExDa'!$A$2:$N$184, 5,FALSE), IFERROR(VLOOKUP($A177,'Vocus SIT ExDa'!$B$2:$J$173, 2,FALSE), IFERROR(VLOOKUP($A177,'Telstra ExDa'!$B$2:$K$310, 4,FALSE), IFERROR(VLOOKUP($A177,'Vocus RVC ExDa'!$C$2:$R$155, 8,FALSE), IFERROR(VLOOKUP($A177,'Fusion ExDa'!$B$2:$D$16, 4,FALSE), IFERROR(VLOOKUP($A177,'Exetel ExDa'!$C$2:$N$14, 5,FALSE), IFERROR(VLOOKUP($A177,'Infinet ExDa'!$B$2:$E$14, 3,FALSE), "Not Found"))))))))</f>
        <v>NBN 100/40</v>
      </c>
      <c r="F177" t="str">
        <f>IFERROR(VLOOKUP($A177,'AAPT ExDa'!$B$2:$U$99, 4,FALSE), IFERROR(VLOOKUP($A177,'ABB ExDa'!$A$2:$N$184, 6,FALSE), IFERROR(VLOOKUP($A177,'Vocus SIT ExDa'!$B$2:$J$173, 3,FALSE), IFERROR(VLOOKUP($A177,'Telstra ExDa'!$B$2:$K$310, 5,FALSE), IFERROR(VLOOKUP($A177,'Vocus RVC ExDa'!$C$2:$R$155, 9,FALSE), IFERROR(VLOOKUP($A177,'Fusion ExDa'!$B$2:$D$16, 0,FALSE), IFERROR(VLOOKUP($A177,'Exetel ExDa'!$C$2:$N$14, 6,FALSE), IFERROR(VLOOKUP($A177,'Infinet ExDa'!$B$2:$E$14, 0,FALSE), "Not Found"))))))))</f>
        <v xml:space="preserve">FTTN </v>
      </c>
      <c r="G177" t="str">
        <f>IFERROR(VLOOKUP($A177,'AAPT ExDa'!$B$2:$U$99, 5,FALSE), IFERROR(VLOOKUP($A177,'ABB ExDa'!$A$2:$N$184, 8,FALSE), IFERROR(VLOOKUP($A177,'Vocus SIT ExDa'!$B$2:$J$173, 6,FALSE), IFERROR(VLOOKUP($A177,'Telstra ExDa'!$B$2:$K$310, 0,FALSE), IFERROR(VLOOKUP($A177,'Vocus RVC ExDa'!$C$2:$R$155, 15,FALSE), IFERROR(VLOOKUP($A177,'Fusion ExDa'!$B$2:$D$16, 0,FALSE), IFERROR(VLOOKUP($A177,'Exetel ExDa'!$C$2:$N$14, 7,FALSE), IFERROR(VLOOKUP($A177,'Infinet ExDa'!$B$2:$E$14, 0,FALSE), "Not Found"))))))))</f>
        <v>144.6.125.131</v>
      </c>
      <c r="H177" t="str">
        <f>IFERROR(VLOOKUP($A177,'AAPT ExDa'!$B$2:$U$99, 6,FALSE), IFERROR(VLOOKUP($A177,'ABB ExDa'!$A$2:$N$184, 0,FALSE), IFERROR(VLOOKUP($A177,'Vocus SIT ExDa'!$B$2:$J$173, 0,FALSE), IFERROR(VLOOKUP($A177,'Telstra ExDa'!$B$2:$K$310, 0,FALSE), IFERROR(VLOOKUP($A177,'Vocus RVC ExDa'!$C$2:$R$155, 16,FALSE), IFERROR(VLOOKUP($A177,'Fusion ExDa'!$B$2:$D$16, 0,FALSE), IFERROR(VLOOKUP($A177,'Exetel ExDa'!$C$2:$N$14, 0,FALSE), IFERROR(VLOOKUP($A177,'Infinet ExDa'!$B$2:$E$14, 0,FALSE), "Not Found"))))))))</f>
        <v>Not Found</v>
      </c>
      <c r="I177" t="str">
        <f>IFERROR(VLOOKUP($A177,'AAPT ExDa'!$B$2:$U$99, 0,FALSE), IFERROR(VLOOKUP($A177,'ABB ExDa'!$A$2:$N$184, 0,FALSE), IFERROR(VLOOKUP($A177,'Vocus SIT ExDa'!$B$2:$J$173, 0,FALSE), IFERROR(VLOOKUP($A177,'Telstra ExDa'!$B$2:$K$310, 0,FALSE), IFERROR(VLOOKUP($A177,'Vocus RVC ExDa'!$C$2:$R$155, 0,FALSE), IFERROR(VLOOKUP($A177,'Fusion ExDa'!$B$2:$D$16, 0,FALSE), IFERROR(VLOOKUP($A177,'Exetel ExDa'!$C$2:$N$14, 8,FALSE), IFERROR(VLOOKUP($A177,'Infinet ExDa'!$B$2:$E$14, 0,FALSE), "Not Found"))))))))</f>
        <v>Not Found</v>
      </c>
      <c r="J177" t="str">
        <f>IFERROR(VLOOKUP($A177,'AAPT ExDa'!$B$2:$U$99, 7,FALSE), IFERROR(VLOOKUP($A177,'ABB ExDa'!$A$2:$N$184, 2,FALSE), IFERROR(VLOOKUP($A177,'Vocus SIT ExDa'!$B$2:$J$173, 0,FALSE), IFERROR(VLOOKUP($A177,'Telstra ExDa'!$B$2:$K$310, 7,FALSE), IFERROR(VLOOKUP($A177,'Vocus RVC ExDa'!$C$2:$R$155, 2,FALSE), IFERROR(VLOOKUP($A177,'Fusion ExDa'!$B$2:$D$16, 3,FALSE), IFERROR(VLOOKUP($A177,'Exetel ExDa'!$C$2:$N$14, 0,FALSE), IFERROR(VLOOKUP($A177,'Infinet ExDa'!$B$2:$E$14, 0,FALSE), "Not Found"))))))))</f>
        <v>ELOUERA TOWERS UN 1, 81 SIXTH AV, MAROOCHYDORE QLD</v>
      </c>
      <c r="K177" t="str">
        <f>IFERROR(VLOOKUP($A177,'AAPT ExDa'!$B$2:$U$99, 12,FALSE), IFERROR(VLOOKUP($A177,'ABB ExDa'!$A$2:$N$184, 0,FALSE), IFERROR(VLOOKUP($A177,'Vocus SIT ExDa'!$B$2:$J$173, 0,FALSE), IFERROR(VLOOKUP($A177,'Telstra ExDa'!$B$2:$K$310, 0,FALSE), IFERROR(VLOOKUP($A177,'Vocus RVC ExDa'!$C$2:$R$155, 0,FALSE), IFERROR(VLOOKUP($A177,'Fusion ExDa'!$B$2:$D$16, 0,FALSE), IFERROR(VLOOKUP($A177,'Exetel ExDa'!$C$2:$N$14, 12,FALSE), IFERROR(VLOOKUP($A177,'Infinet ExDa'!$B$2:$E$14, 0,FALSE), "Not Found"))))))))</f>
        <v>Not Found</v>
      </c>
      <c r="L177" s="235" t="str">
        <f>IFERROR(VLOOKUP($A177,'AAPT ExDa'!$B$2:$U$99, 11,FALSE), IFERROR(VLOOKUP($A177,'ABB ExDa'!$A$2:$N$184, 9,FALSE), IFERROR(VLOOKUP($A177,'Vocus SIT ExDa'!$B$2:$J$173, 8,FALSE), IFERROR(VLOOKUP($A177,'Telstra ExDa'!$B$2:$K$310, 0,FALSE), IFERROR(VLOOKUP($A177,'Vocus RVC ExDa'!$C$2:$R$155, 0,FALSE), IFERROR(VLOOKUP($A177,'Fusion ExDa'!$B$2:$D$16, 0,FALSE), IFERROR(VLOOKUP($A177,'Exetel ExDa'!$C$2:$N$14, 9,FALSE), IFERROR(VLOOKUP($A177,'Infinet ExDa'!$B$2:$E$14, 0,FALSE), "Not Found"))))))))</f>
        <v>02 July 2024</v>
      </c>
      <c r="M177" s="234" t="str">
        <f>IFERROR(VLOOKUP($A177,'AAPT ExDa'!$B$2:$U$99, 0,FALSE), IFERROR(VLOOKUP($A177,'ABB ExDa'!$A$2:$N$184, 0,FALSE), IFERROR(VLOOKUP($A177,'Vocus SIT ExDa'!$B$2:$J$173, 0,FALSE), IFERROR(VLOOKUP($A177,'Telstra ExDa'!$B$2:$K$310, 0,FALSE), IFERROR(VLOOKUP($A177,'Vocus RVC ExDa'!$C$2:$R$155, 0,FALSE), IFERROR(VLOOKUP($A177,'Fusion ExDa'!$B$2:$D$16, 0,FALSE), IFERROR(VLOOKUP($A177,'Exetel ExDa'!$C$2:$N$14, 11,FALSE), IFERROR(VLOOKUP($A177,'Infinet ExDa'!$B$2:$E$14, 0,FALSE), "Not Found"))))))))</f>
        <v>Not Found</v>
      </c>
      <c r="N177">
        <f>IFERROR(VLOOKUP($A177,'AAPT ExDa'!$B$2:$U$99, 0,FALSE), IFERROR(VLOOKUP($A177,'ABB ExDa'!$A$2:$N$184, 13,FALSE), IFERROR(VLOOKUP($A177,'Vocus SIT ExDa'!$B$2:$J$173, 0,FALSE), IFERROR(VLOOKUP($A177,'Telstra ExDa'!$B$2:$K$310, 0,FALSE), IFERROR(VLOOKUP($A177,'Vocus RVC ExDa'!$C$2:$R$155, 0,FALSE), IFERROR(VLOOKUP($A177,'Fusion ExDa'!$B$2:$D$16, 0,FALSE), IFERROR(VLOOKUP($A177,'Exetel ExDa'!$C$2:$N$14, 0,FALSE), IFERROR(VLOOKUP($A177,'Infinet ExDa'!$B$2:$E$14, 0,FALSE), "Not Found"))))))))</f>
        <v>0</v>
      </c>
    </row>
    <row r="178" spans="1:14">
      <c r="A178" t="str">
        <v>Wineology</v>
      </c>
      <c r="B178" t="str">
        <f>IFERROR(VLOOKUP(A178,'Exetel ExDa'!$C$2:$N$14,4,FALSE),"No Data")</f>
        <v>No Data</v>
      </c>
      <c r="C178" t="str">
        <f>IFERROR(VLOOKUP(A178,'AAPT ExDa'!$B$2:$U$99, 2,FALSE), IFERROR(VLOOKUP(A178,'ABB ExDa'!$A$2:$N$184, 2,FALSE), IFERROR(VLOOKUP(A178,'Vocus SIT ExDa'!$B$2:$J$173, 7,FALSE), IFERROR(VLOOKUP(A178,'Telstra ExDa'!$B$2:$K$310, 2,FALSE), IFERROR(VLOOKUP(A178,'Vocus RVC ExDa'!$C$2:$R$155, 3,FALSE), IFERROR(VLOOKUP(A178,'Fusion ExDa'!$B$2:$D$16, 2,FALSE), IFERROR(VLOOKUP(A178,'Exetel ExDa'!$C$2:$N$14, 2,FALSE), IFERROR(VLOOKUP(A178,'Infinet ExDa'!$B$2:$E$14, 2,FALSE), "Not Found"))))))))</f>
        <v>UN 3, 471 ADELAIDE ST, BRISBANE CITY QLD</v>
      </c>
      <c r="D178" t="str">
        <f>IFERROR(VLOOKUP($A178,'AAPT ExDa'!$B$2:$U$99, 15,FALSE), IFERROR(VLOOKUP($A178,'ABB ExDa'!$A$2:$N$184, 4,FALSE), IFERROR(VLOOKUP($A178,'Vocus SIT ExDa'!$B$2:$J$173, 5,FALSE), IFERROR(VLOOKUP($A178,'Telstra ExDa'!$B$2:$K$310, 8,FALSE), IFERROR(VLOOKUP($A178,'Vocus RVC ExDa'!$C$2:$R$155, 6,FALSE), IFERROR(VLOOKUP($A178,'Fusion ExDa'!$B$2:$D$16, 4,FALSE), IFERROR(VLOOKUP($A178,'Exetel ExDa'!$C$2:$N$14, 3,FALSE), IFERROR(VLOOKUP($A178,'Infinet ExDa'!$B$2:$E$14, 3,FALSE), "Not Found"))))))))</f>
        <v>ABB</v>
      </c>
      <c r="E178" t="str">
        <f>IFERROR(VLOOKUP($A178,'AAPT ExDa'!$B$2:$U$99, 3,FALSE), IFERROR(VLOOKUP($A178,'ABB ExDa'!$A$2:$N$184, 5,FALSE), IFERROR(VLOOKUP($A178,'Vocus SIT ExDa'!$B$2:$J$173, 2,FALSE), IFERROR(VLOOKUP($A178,'Telstra ExDa'!$B$2:$K$310, 4,FALSE), IFERROR(VLOOKUP($A178,'Vocus RVC ExDa'!$C$2:$R$155, 8,FALSE), IFERROR(VLOOKUP($A178,'Fusion ExDa'!$B$2:$D$16, 4,FALSE), IFERROR(VLOOKUP($A178,'Exetel ExDa'!$C$2:$N$14, 5,FALSE), IFERROR(VLOOKUP($A178,'Infinet ExDa'!$B$2:$E$14, 3,FALSE), "Not Found"))))))))</f>
        <v>NBN 50/20</v>
      </c>
      <c r="F178" t="str">
        <f>IFERROR(VLOOKUP($A178,'AAPT ExDa'!$B$2:$U$99, 4,FALSE), IFERROR(VLOOKUP($A178,'ABB ExDa'!$A$2:$N$184, 6,FALSE), IFERROR(VLOOKUP($A178,'Vocus SIT ExDa'!$B$2:$J$173, 3,FALSE), IFERROR(VLOOKUP($A178,'Telstra ExDa'!$B$2:$K$310, 5,FALSE), IFERROR(VLOOKUP($A178,'Vocus RVC ExDa'!$C$2:$R$155, 9,FALSE), IFERROR(VLOOKUP($A178,'Fusion ExDa'!$B$2:$D$16, 0,FALSE), IFERROR(VLOOKUP($A178,'Exetel ExDa'!$C$2:$N$14, 6,FALSE), IFERROR(VLOOKUP($A178,'Infinet ExDa'!$B$2:$E$14, 0,FALSE), "Not Found"))))))))</f>
        <v>FTTC</v>
      </c>
      <c r="G178" t="str">
        <f>IFERROR(VLOOKUP($A178,'AAPT ExDa'!$B$2:$U$99, 5,FALSE), IFERROR(VLOOKUP($A178,'ABB ExDa'!$A$2:$N$184, 8,FALSE), IFERROR(VLOOKUP($A178,'Vocus SIT ExDa'!$B$2:$J$173, 6,FALSE), IFERROR(VLOOKUP($A178,'Telstra ExDa'!$B$2:$K$310, 0,FALSE), IFERROR(VLOOKUP($A178,'Vocus RVC ExDa'!$C$2:$R$155, 15,FALSE), IFERROR(VLOOKUP($A178,'Fusion ExDa'!$B$2:$D$16, 0,FALSE), IFERROR(VLOOKUP($A178,'Exetel ExDa'!$C$2:$N$14, 7,FALSE), IFERROR(VLOOKUP($A178,'Infinet ExDa'!$B$2:$E$14, 0,FALSE), "Not Found"))))))))</f>
        <v>167.179.170.141</v>
      </c>
      <c r="H178" t="str">
        <f>IFERROR(VLOOKUP($A178,'AAPT ExDa'!$B$2:$U$99, 6,FALSE), IFERROR(VLOOKUP($A178,'ABB ExDa'!$A$2:$N$184, 0,FALSE), IFERROR(VLOOKUP($A178,'Vocus SIT ExDa'!$B$2:$J$173, 0,FALSE), IFERROR(VLOOKUP($A178,'Telstra ExDa'!$B$2:$K$310, 0,FALSE), IFERROR(VLOOKUP($A178,'Vocus RVC ExDa'!$C$2:$R$155, 16,FALSE), IFERROR(VLOOKUP($A178,'Fusion ExDa'!$B$2:$D$16, 0,FALSE), IFERROR(VLOOKUP($A178,'Exetel ExDa'!$C$2:$N$14, 0,FALSE), IFERROR(VLOOKUP($A178,'Infinet ExDa'!$B$2:$E$14, 0,FALSE), "Not Found"))))))))</f>
        <v>Not Found</v>
      </c>
      <c r="I178" t="str">
        <f>IFERROR(VLOOKUP($A178,'AAPT ExDa'!$B$2:$U$99, 0,FALSE), IFERROR(VLOOKUP($A178,'ABB ExDa'!$A$2:$N$184, 0,FALSE), IFERROR(VLOOKUP($A178,'Vocus SIT ExDa'!$B$2:$J$173, 0,FALSE), IFERROR(VLOOKUP($A178,'Telstra ExDa'!$B$2:$K$310, 0,FALSE), IFERROR(VLOOKUP($A178,'Vocus RVC ExDa'!$C$2:$R$155, 0,FALSE), IFERROR(VLOOKUP($A178,'Fusion ExDa'!$B$2:$D$16, 0,FALSE), IFERROR(VLOOKUP($A178,'Exetel ExDa'!$C$2:$N$14, 8,FALSE), IFERROR(VLOOKUP($A178,'Infinet ExDa'!$B$2:$E$14, 0,FALSE), "Not Found"))))))))</f>
        <v>Not Found</v>
      </c>
      <c r="J178" t="str">
        <f>IFERROR(VLOOKUP($A178,'AAPT ExDa'!$B$2:$U$99, 7,FALSE), IFERROR(VLOOKUP($A178,'ABB ExDa'!$A$2:$N$184, 2,FALSE), IFERROR(VLOOKUP($A178,'Vocus SIT ExDa'!$B$2:$J$173, 0,FALSE), IFERROR(VLOOKUP($A178,'Telstra ExDa'!$B$2:$K$310, 7,FALSE), IFERROR(VLOOKUP($A178,'Vocus RVC ExDa'!$C$2:$R$155, 2,FALSE), IFERROR(VLOOKUP($A178,'Fusion ExDa'!$B$2:$D$16, 3,FALSE), IFERROR(VLOOKUP($A178,'Exetel ExDa'!$C$2:$N$14, 0,FALSE), IFERROR(VLOOKUP($A178,'Infinet ExDa'!$B$2:$E$14, 0,FALSE), "Not Found"))))))))</f>
        <v>UN 3, 471 ADELAIDE ST, BRISBANE CITY QLD</v>
      </c>
      <c r="K178" t="str">
        <f>IFERROR(VLOOKUP($A178,'AAPT ExDa'!$B$2:$U$99, 12,FALSE), IFERROR(VLOOKUP($A178,'ABB ExDa'!$A$2:$N$184, 0,FALSE), IFERROR(VLOOKUP($A178,'Vocus SIT ExDa'!$B$2:$J$173, 0,FALSE), IFERROR(VLOOKUP($A178,'Telstra ExDa'!$B$2:$K$310, 0,FALSE), IFERROR(VLOOKUP($A178,'Vocus RVC ExDa'!$C$2:$R$155, 0,FALSE), IFERROR(VLOOKUP($A178,'Fusion ExDa'!$B$2:$D$16, 0,FALSE), IFERROR(VLOOKUP($A178,'Exetel ExDa'!$C$2:$N$14, 12,FALSE), IFERROR(VLOOKUP($A178,'Infinet ExDa'!$B$2:$E$14, 0,FALSE), "Not Found"))))))))</f>
        <v>Not Found</v>
      </c>
      <c r="L178" s="235" t="str">
        <f>IFERROR(VLOOKUP($A178,'AAPT ExDa'!$B$2:$U$99, 11,FALSE), IFERROR(VLOOKUP($A178,'ABB ExDa'!$A$2:$N$184, 9,FALSE), IFERROR(VLOOKUP($A178,'Vocus SIT ExDa'!$B$2:$J$173, 8,FALSE), IFERROR(VLOOKUP($A178,'Telstra ExDa'!$B$2:$K$310, 0,FALSE), IFERROR(VLOOKUP($A178,'Vocus RVC ExDa'!$C$2:$R$155, 0,FALSE), IFERROR(VLOOKUP($A178,'Fusion ExDa'!$B$2:$D$16, 0,FALSE), IFERROR(VLOOKUP($A178,'Exetel ExDa'!$C$2:$N$14, 9,FALSE), IFERROR(VLOOKUP($A178,'Infinet ExDa'!$B$2:$E$14, 0,FALSE), "Not Found"))))))))</f>
        <v>06 Oct 2022</v>
      </c>
      <c r="M178" s="234" t="str">
        <f>IFERROR(VLOOKUP($A178,'AAPT ExDa'!$B$2:$U$99, 0,FALSE), IFERROR(VLOOKUP($A178,'ABB ExDa'!$A$2:$N$184, 0,FALSE), IFERROR(VLOOKUP($A178,'Vocus SIT ExDa'!$B$2:$J$173, 0,FALSE), IFERROR(VLOOKUP($A178,'Telstra ExDa'!$B$2:$K$310, 0,FALSE), IFERROR(VLOOKUP($A178,'Vocus RVC ExDa'!$C$2:$R$155, 0,FALSE), IFERROR(VLOOKUP($A178,'Fusion ExDa'!$B$2:$D$16, 0,FALSE), IFERROR(VLOOKUP($A178,'Exetel ExDa'!$C$2:$N$14, 11,FALSE), IFERROR(VLOOKUP($A178,'Infinet ExDa'!$B$2:$E$14, 0,FALSE), "Not Found"))))))))</f>
        <v>Not Found</v>
      </c>
      <c r="N178">
        <f>IFERROR(VLOOKUP($A178,'AAPT ExDa'!$B$2:$U$99, 0,FALSE), IFERROR(VLOOKUP($A178,'ABB ExDa'!$A$2:$N$184, 13,FALSE), IFERROR(VLOOKUP($A178,'Vocus SIT ExDa'!$B$2:$J$173, 0,FALSE), IFERROR(VLOOKUP($A178,'Telstra ExDa'!$B$2:$K$310, 0,FALSE), IFERROR(VLOOKUP($A178,'Vocus RVC ExDa'!$C$2:$R$155, 0,FALSE), IFERROR(VLOOKUP($A178,'Fusion ExDa'!$B$2:$D$16, 0,FALSE), IFERROR(VLOOKUP($A178,'Exetel ExDa'!$C$2:$N$14, 0,FALSE), IFERROR(VLOOKUP($A178,'Infinet ExDa'!$B$2:$E$14, 0,FALSE), "Not Found"))))))))</f>
        <v>0</v>
      </c>
    </row>
    <row r="179" spans="1:14">
      <c r="A179" t="str">
        <v>Woodlands</v>
      </c>
      <c r="B179" t="str">
        <f>IFERROR(VLOOKUP(A179,'Exetel ExDa'!$C$2:$N$14,4,FALSE),"No Data")</f>
        <v>No Data</v>
      </c>
      <c r="C179" t="str">
        <f>IFERROR(VLOOKUP(A179,'AAPT ExDa'!$B$2:$U$99, 2,FALSE), IFERROR(VLOOKUP(A179,'ABB ExDa'!$A$2:$N$184, 2,FALSE), IFERROR(VLOOKUP(A179,'Vocus SIT ExDa'!$B$2:$J$173, 7,FALSE), IFERROR(VLOOKUP(A179,'Telstra ExDa'!$B$2:$K$310, 2,FALSE), IFERROR(VLOOKUP(A179,'Vocus RVC ExDa'!$C$2:$R$155, 3,FALSE), IFERROR(VLOOKUP(A179,'Fusion ExDa'!$B$2:$D$16, 2,FALSE), IFERROR(VLOOKUP(A179,'Exetel ExDa'!$C$2:$N$14, 2,FALSE), IFERROR(VLOOKUP(A179,'Infinet ExDa'!$B$2:$E$14, 2,FALSE), "Not Found"))))))))</f>
        <v>2814 OLD GYMPIE RD, BEERWAH QLD</v>
      </c>
      <c r="D179" t="str">
        <f>IFERROR(VLOOKUP($A179,'AAPT ExDa'!$B$2:$U$99, 15,FALSE), IFERROR(VLOOKUP($A179,'ABB ExDa'!$A$2:$N$184, 4,FALSE), IFERROR(VLOOKUP($A179,'Vocus SIT ExDa'!$B$2:$J$173, 5,FALSE), IFERROR(VLOOKUP($A179,'Telstra ExDa'!$B$2:$K$310, 8,FALSE), IFERROR(VLOOKUP($A179,'Vocus RVC ExDa'!$C$2:$R$155, 6,FALSE), IFERROR(VLOOKUP($A179,'Fusion ExDa'!$B$2:$D$16, 4,FALSE), IFERROR(VLOOKUP($A179,'Exetel ExDa'!$C$2:$N$14, 3,FALSE), IFERROR(VLOOKUP($A179,'Infinet ExDa'!$B$2:$E$14, 3,FALSE), "Not Found"))))))))</f>
        <v>ABB</v>
      </c>
      <c r="E179" t="str">
        <f>IFERROR(VLOOKUP($A179,'AAPT ExDa'!$B$2:$U$99, 3,FALSE), IFERROR(VLOOKUP($A179,'ABB ExDa'!$A$2:$N$184, 5,FALSE), IFERROR(VLOOKUP($A179,'Vocus SIT ExDa'!$B$2:$J$173, 2,FALSE), IFERROR(VLOOKUP($A179,'Telstra ExDa'!$B$2:$K$310, 4,FALSE), IFERROR(VLOOKUP($A179,'Vocus RVC ExDa'!$C$2:$R$155, 8,FALSE), IFERROR(VLOOKUP($A179,'Fusion ExDa'!$B$2:$D$16, 4,FALSE), IFERROR(VLOOKUP($A179,'Exetel ExDa'!$C$2:$N$14, 5,FALSE), IFERROR(VLOOKUP($A179,'Infinet ExDa'!$B$2:$E$14, 3,FALSE), "Not Found"))))))))</f>
        <v>NBN 250/20</v>
      </c>
      <c r="F179" t="str">
        <f>IFERROR(VLOOKUP($A179,'AAPT ExDa'!$B$2:$U$99, 4,FALSE), IFERROR(VLOOKUP($A179,'ABB ExDa'!$A$2:$N$184, 6,FALSE), IFERROR(VLOOKUP($A179,'Vocus SIT ExDa'!$B$2:$J$173, 3,FALSE), IFERROR(VLOOKUP($A179,'Telstra ExDa'!$B$2:$K$310, 5,FALSE), IFERROR(VLOOKUP($A179,'Vocus RVC ExDa'!$C$2:$R$155, 9,FALSE), IFERROR(VLOOKUP($A179,'Fusion ExDa'!$B$2:$D$16, 0,FALSE), IFERROR(VLOOKUP($A179,'Exetel ExDa'!$C$2:$N$14, 6,FALSE), IFERROR(VLOOKUP($A179,'Infinet ExDa'!$B$2:$E$14, 0,FALSE), "Not Found"))))))))</f>
        <v>Fixed Wireless</v>
      </c>
      <c r="G179" t="str">
        <f>IFERROR(VLOOKUP($A179,'AAPT ExDa'!$B$2:$U$99, 5,FALSE), IFERROR(VLOOKUP($A179,'ABB ExDa'!$A$2:$N$184, 8,FALSE), IFERROR(VLOOKUP($A179,'Vocus SIT ExDa'!$B$2:$J$173, 6,FALSE), IFERROR(VLOOKUP($A179,'Telstra ExDa'!$B$2:$K$310, 0,FALSE), IFERROR(VLOOKUP($A179,'Vocus RVC ExDa'!$C$2:$R$155, 15,FALSE), IFERROR(VLOOKUP($A179,'Fusion ExDa'!$B$2:$D$16, 0,FALSE), IFERROR(VLOOKUP($A179,'Exetel ExDa'!$C$2:$N$14, 7,FALSE), IFERROR(VLOOKUP($A179,'Infinet ExDa'!$B$2:$E$14, 0,FALSE), "Not Found"))))))))</f>
        <v>144.6.241.224</v>
      </c>
      <c r="H179" t="str">
        <f>IFERROR(VLOOKUP($A179,'AAPT ExDa'!$B$2:$U$99, 6,FALSE), IFERROR(VLOOKUP($A179,'ABB ExDa'!$A$2:$N$184, 0,FALSE), IFERROR(VLOOKUP($A179,'Vocus SIT ExDa'!$B$2:$J$173, 0,FALSE), IFERROR(VLOOKUP($A179,'Telstra ExDa'!$B$2:$K$310, 0,FALSE), IFERROR(VLOOKUP($A179,'Vocus RVC ExDa'!$C$2:$R$155, 16,FALSE), IFERROR(VLOOKUP($A179,'Fusion ExDa'!$B$2:$D$16, 0,FALSE), IFERROR(VLOOKUP($A179,'Exetel ExDa'!$C$2:$N$14, 0,FALSE), IFERROR(VLOOKUP($A179,'Infinet ExDa'!$B$2:$E$14, 0,FALSE), "Not Found"))))))))</f>
        <v>Not Found</v>
      </c>
      <c r="I179" t="str">
        <f>IFERROR(VLOOKUP($A179,'AAPT ExDa'!$B$2:$U$99, 0,FALSE), IFERROR(VLOOKUP($A179,'ABB ExDa'!$A$2:$N$184, 0,FALSE), IFERROR(VLOOKUP($A179,'Vocus SIT ExDa'!$B$2:$J$173, 0,FALSE), IFERROR(VLOOKUP($A179,'Telstra ExDa'!$B$2:$K$310, 0,FALSE), IFERROR(VLOOKUP($A179,'Vocus RVC ExDa'!$C$2:$R$155, 0,FALSE), IFERROR(VLOOKUP($A179,'Fusion ExDa'!$B$2:$D$16, 0,FALSE), IFERROR(VLOOKUP($A179,'Exetel ExDa'!$C$2:$N$14, 8,FALSE), IFERROR(VLOOKUP($A179,'Infinet ExDa'!$B$2:$E$14, 0,FALSE), "Not Found"))))))))</f>
        <v>Not Found</v>
      </c>
      <c r="J179" t="str">
        <f>IFERROR(VLOOKUP($A179,'AAPT ExDa'!$B$2:$U$99, 7,FALSE), IFERROR(VLOOKUP($A179,'ABB ExDa'!$A$2:$N$184, 2,FALSE), IFERROR(VLOOKUP($A179,'Vocus SIT ExDa'!$B$2:$J$173, 0,FALSE), IFERROR(VLOOKUP($A179,'Telstra ExDa'!$B$2:$K$310, 7,FALSE), IFERROR(VLOOKUP($A179,'Vocus RVC ExDa'!$C$2:$R$155, 2,FALSE), IFERROR(VLOOKUP($A179,'Fusion ExDa'!$B$2:$D$16, 3,FALSE), IFERROR(VLOOKUP($A179,'Exetel ExDa'!$C$2:$N$14, 0,FALSE), IFERROR(VLOOKUP($A179,'Infinet ExDa'!$B$2:$E$14, 0,FALSE), "Not Found"))))))))</f>
        <v>2814 OLD GYMPIE RD, BEERWAH QLD</v>
      </c>
      <c r="K179" t="str">
        <f>IFERROR(VLOOKUP($A179,'AAPT ExDa'!$B$2:$U$99, 12,FALSE), IFERROR(VLOOKUP($A179,'ABB ExDa'!$A$2:$N$184, 0,FALSE), IFERROR(VLOOKUP($A179,'Vocus SIT ExDa'!$B$2:$J$173, 0,FALSE), IFERROR(VLOOKUP($A179,'Telstra ExDa'!$B$2:$K$310, 0,FALSE), IFERROR(VLOOKUP($A179,'Vocus RVC ExDa'!$C$2:$R$155, 0,FALSE), IFERROR(VLOOKUP($A179,'Fusion ExDa'!$B$2:$D$16, 0,FALSE), IFERROR(VLOOKUP($A179,'Exetel ExDa'!$C$2:$N$14, 12,FALSE), IFERROR(VLOOKUP($A179,'Infinet ExDa'!$B$2:$E$14, 0,FALSE), "Not Found"))))))))</f>
        <v>Not Found</v>
      </c>
      <c r="L179" s="235" t="str">
        <f>IFERROR(VLOOKUP($A179,'AAPT ExDa'!$B$2:$U$99, 11,FALSE), IFERROR(VLOOKUP($A179,'ABB ExDa'!$A$2:$N$184, 9,FALSE), IFERROR(VLOOKUP($A179,'Vocus SIT ExDa'!$B$2:$J$173, 8,FALSE), IFERROR(VLOOKUP($A179,'Telstra ExDa'!$B$2:$K$310, 0,FALSE), IFERROR(VLOOKUP($A179,'Vocus RVC ExDa'!$C$2:$R$155, 0,FALSE), IFERROR(VLOOKUP($A179,'Fusion ExDa'!$B$2:$D$16, 0,FALSE), IFERROR(VLOOKUP($A179,'Exetel ExDa'!$C$2:$N$14, 9,FALSE), IFERROR(VLOOKUP($A179,'Infinet ExDa'!$B$2:$E$14, 0,FALSE), "Not Found"))))))))</f>
        <v>16 May 2025</v>
      </c>
      <c r="M179" s="234" t="str">
        <f>IFERROR(VLOOKUP($A179,'AAPT ExDa'!$B$2:$U$99, 0,FALSE), IFERROR(VLOOKUP($A179,'ABB ExDa'!$A$2:$N$184, 0,FALSE), IFERROR(VLOOKUP($A179,'Vocus SIT ExDa'!$B$2:$J$173, 0,FALSE), IFERROR(VLOOKUP($A179,'Telstra ExDa'!$B$2:$K$310, 0,FALSE), IFERROR(VLOOKUP($A179,'Vocus RVC ExDa'!$C$2:$R$155, 0,FALSE), IFERROR(VLOOKUP($A179,'Fusion ExDa'!$B$2:$D$16, 0,FALSE), IFERROR(VLOOKUP($A179,'Exetel ExDa'!$C$2:$N$14, 11,FALSE), IFERROR(VLOOKUP($A179,'Infinet ExDa'!$B$2:$E$14, 0,FALSE), "Not Found"))))))))</f>
        <v>Not Found</v>
      </c>
      <c r="N179">
        <f>IFERROR(VLOOKUP($A179,'AAPT ExDa'!$B$2:$U$99, 0,FALSE), IFERROR(VLOOKUP($A179,'ABB ExDa'!$A$2:$N$184, 13,FALSE), IFERROR(VLOOKUP($A179,'Vocus SIT ExDa'!$B$2:$J$173, 0,FALSE), IFERROR(VLOOKUP($A179,'Telstra ExDa'!$B$2:$K$310, 0,FALSE), IFERROR(VLOOKUP($A179,'Vocus RVC ExDa'!$C$2:$R$155, 0,FALSE), IFERROR(VLOOKUP($A179,'Fusion ExDa'!$B$2:$D$16, 0,FALSE), IFERROR(VLOOKUP($A179,'Exetel ExDa'!$C$2:$N$14, 0,FALSE), IFERROR(VLOOKUP($A179,'Infinet ExDa'!$B$2:$E$14, 0,FALSE), "Not Found"))))))))</f>
        <v>0</v>
      </c>
    </row>
    <row r="180" spans="1:14">
      <c r="A180" t="str">
        <v>Woodlands Enterprise</v>
      </c>
      <c r="B180" t="str">
        <f>IFERROR(VLOOKUP(A180,'Exetel ExDa'!$C$2:$N$14,4,FALSE),"No Data")</f>
        <v>No Data</v>
      </c>
      <c r="C180" t="str">
        <f>IFERROR(VLOOKUP(A180,'AAPT ExDa'!$B$2:$U$99, 2,FALSE), IFERROR(VLOOKUP(A180,'ABB ExDa'!$A$2:$N$184, 2,FALSE), IFERROR(VLOOKUP(A180,'Vocus SIT ExDa'!$B$2:$J$173, 7,FALSE), IFERROR(VLOOKUP(A180,'Telstra ExDa'!$B$2:$K$310, 2,FALSE), IFERROR(VLOOKUP(A180,'Vocus RVC ExDa'!$C$2:$R$155, 3,FALSE), IFERROR(VLOOKUP(A180,'Fusion ExDa'!$B$2:$D$16, 2,FALSE), IFERROR(VLOOKUP(A180,'Exetel ExDa'!$C$2:$N$14, 2,FALSE), IFERROR(VLOOKUP(A180,'Infinet ExDa'!$B$2:$E$14, 2,FALSE), "Not Found"))))))))</f>
        <v>2814 OLD GYMPIE RD, BEERWAH QLD</v>
      </c>
      <c r="D180" t="str">
        <f>IFERROR(VLOOKUP($A180,'AAPT ExDa'!$B$2:$U$99, 15,FALSE), IFERROR(VLOOKUP($A180,'ABB ExDa'!$A$2:$N$184, 4,FALSE), IFERROR(VLOOKUP($A180,'Vocus SIT ExDa'!$B$2:$J$173, 5,FALSE), IFERROR(VLOOKUP($A180,'Telstra ExDa'!$B$2:$K$310, 8,FALSE), IFERROR(VLOOKUP($A180,'Vocus RVC ExDa'!$C$2:$R$155, 6,FALSE), IFERROR(VLOOKUP($A180,'Fusion ExDa'!$B$2:$D$16, 4,FALSE), IFERROR(VLOOKUP($A180,'Exetel ExDa'!$C$2:$N$14, 3,FALSE), IFERROR(VLOOKUP($A180,'Infinet ExDa'!$B$2:$E$14, 3,FALSE), "Not Found"))))))))</f>
        <v>ABB</v>
      </c>
      <c r="E180" t="str">
        <f>IFERROR(VLOOKUP($A180,'AAPT ExDa'!$B$2:$U$99, 3,FALSE), IFERROR(VLOOKUP($A180,'ABB ExDa'!$A$2:$N$184, 5,FALSE), IFERROR(VLOOKUP($A180,'Vocus SIT ExDa'!$B$2:$J$173, 2,FALSE), IFERROR(VLOOKUP($A180,'Telstra ExDa'!$B$2:$K$310, 4,FALSE), IFERROR(VLOOKUP($A180,'Vocus RVC ExDa'!$C$2:$R$155, 8,FALSE), IFERROR(VLOOKUP($A180,'Fusion ExDa'!$B$2:$D$16, 4,FALSE), IFERROR(VLOOKUP($A180,'Exetel ExDa'!$C$2:$N$14, 5,FALSE), IFERROR(VLOOKUP($A180,'Infinet ExDa'!$B$2:$E$14, 3,FALSE), "Not Found"))))))))</f>
        <v>NBN 250/20</v>
      </c>
      <c r="F180" t="str">
        <f>IFERROR(VLOOKUP($A180,'AAPT ExDa'!$B$2:$U$99, 4,FALSE), IFERROR(VLOOKUP($A180,'ABB ExDa'!$A$2:$N$184, 6,FALSE), IFERROR(VLOOKUP($A180,'Vocus SIT ExDa'!$B$2:$J$173, 3,FALSE), IFERROR(VLOOKUP($A180,'Telstra ExDa'!$B$2:$K$310, 5,FALSE), IFERROR(VLOOKUP($A180,'Vocus RVC ExDa'!$C$2:$R$155, 9,FALSE), IFERROR(VLOOKUP($A180,'Fusion ExDa'!$B$2:$D$16, 0,FALSE), IFERROR(VLOOKUP($A180,'Exetel ExDa'!$C$2:$N$14, 6,FALSE), IFERROR(VLOOKUP($A180,'Infinet ExDa'!$B$2:$E$14, 0,FALSE), "Not Found"))))))))</f>
        <v>Fixed Wireless</v>
      </c>
      <c r="G180" t="str">
        <f>IFERROR(VLOOKUP($A180,'AAPT ExDa'!$B$2:$U$99, 5,FALSE), IFERROR(VLOOKUP($A180,'ABB ExDa'!$A$2:$N$184, 8,FALSE), IFERROR(VLOOKUP($A180,'Vocus SIT ExDa'!$B$2:$J$173, 6,FALSE), IFERROR(VLOOKUP($A180,'Telstra ExDa'!$B$2:$K$310, 0,FALSE), IFERROR(VLOOKUP($A180,'Vocus RVC ExDa'!$C$2:$R$155, 15,FALSE), IFERROR(VLOOKUP($A180,'Fusion ExDa'!$B$2:$D$16, 0,FALSE), IFERROR(VLOOKUP($A180,'Exetel ExDa'!$C$2:$N$14, 7,FALSE), IFERROR(VLOOKUP($A180,'Infinet ExDa'!$B$2:$E$14, 0,FALSE), "Not Found"))))))))</f>
        <v>180.150.107.31</v>
      </c>
      <c r="H180" t="str">
        <f>IFERROR(VLOOKUP($A180,'AAPT ExDa'!$B$2:$U$99, 6,FALSE), IFERROR(VLOOKUP($A180,'ABB ExDa'!$A$2:$N$184, 0,FALSE), IFERROR(VLOOKUP($A180,'Vocus SIT ExDa'!$B$2:$J$173, 0,FALSE), IFERROR(VLOOKUP($A180,'Telstra ExDa'!$B$2:$K$310, 0,FALSE), IFERROR(VLOOKUP($A180,'Vocus RVC ExDa'!$C$2:$R$155, 16,FALSE), IFERROR(VLOOKUP($A180,'Fusion ExDa'!$B$2:$D$16, 0,FALSE), IFERROR(VLOOKUP($A180,'Exetel ExDa'!$C$2:$N$14, 0,FALSE), IFERROR(VLOOKUP($A180,'Infinet ExDa'!$B$2:$E$14, 0,FALSE), "Not Found"))))))))</f>
        <v>Not Found</v>
      </c>
      <c r="I180" t="str">
        <f>IFERROR(VLOOKUP($A180,'AAPT ExDa'!$B$2:$U$99, 0,FALSE), IFERROR(VLOOKUP($A180,'ABB ExDa'!$A$2:$N$184, 0,FALSE), IFERROR(VLOOKUP($A180,'Vocus SIT ExDa'!$B$2:$J$173, 0,FALSE), IFERROR(VLOOKUP($A180,'Telstra ExDa'!$B$2:$K$310, 0,FALSE), IFERROR(VLOOKUP($A180,'Vocus RVC ExDa'!$C$2:$R$155, 0,FALSE), IFERROR(VLOOKUP($A180,'Fusion ExDa'!$B$2:$D$16, 0,FALSE), IFERROR(VLOOKUP($A180,'Exetel ExDa'!$C$2:$N$14, 8,FALSE), IFERROR(VLOOKUP($A180,'Infinet ExDa'!$B$2:$E$14, 0,FALSE), "Not Found"))))))))</f>
        <v>Not Found</v>
      </c>
      <c r="J180" t="str">
        <f>IFERROR(VLOOKUP($A180,'AAPT ExDa'!$B$2:$U$99, 7,FALSE), IFERROR(VLOOKUP($A180,'ABB ExDa'!$A$2:$N$184, 2,FALSE), IFERROR(VLOOKUP($A180,'Vocus SIT ExDa'!$B$2:$J$173, 0,FALSE), IFERROR(VLOOKUP($A180,'Telstra ExDa'!$B$2:$K$310, 7,FALSE), IFERROR(VLOOKUP($A180,'Vocus RVC ExDa'!$C$2:$R$155, 2,FALSE), IFERROR(VLOOKUP($A180,'Fusion ExDa'!$B$2:$D$16, 3,FALSE), IFERROR(VLOOKUP($A180,'Exetel ExDa'!$C$2:$N$14, 0,FALSE), IFERROR(VLOOKUP($A180,'Infinet ExDa'!$B$2:$E$14, 0,FALSE), "Not Found"))))))))</f>
        <v>2814 OLD GYMPIE RD, BEERWAH QLD</v>
      </c>
      <c r="K180" t="str">
        <f>IFERROR(VLOOKUP($A180,'AAPT ExDa'!$B$2:$U$99, 12,FALSE), IFERROR(VLOOKUP($A180,'ABB ExDa'!$A$2:$N$184, 0,FALSE), IFERROR(VLOOKUP($A180,'Vocus SIT ExDa'!$B$2:$J$173, 0,FALSE), IFERROR(VLOOKUP($A180,'Telstra ExDa'!$B$2:$K$310, 0,FALSE), IFERROR(VLOOKUP($A180,'Vocus RVC ExDa'!$C$2:$R$155, 0,FALSE), IFERROR(VLOOKUP($A180,'Fusion ExDa'!$B$2:$D$16, 0,FALSE), IFERROR(VLOOKUP($A180,'Exetel ExDa'!$C$2:$N$14, 12,FALSE), IFERROR(VLOOKUP($A180,'Infinet ExDa'!$B$2:$E$14, 0,FALSE), "Not Found"))))))))</f>
        <v>Not Found</v>
      </c>
      <c r="L180" s="235" t="str">
        <f>IFERROR(VLOOKUP($A180,'AAPT ExDa'!$B$2:$U$99, 11,FALSE), IFERROR(VLOOKUP($A180,'ABB ExDa'!$A$2:$N$184, 9,FALSE), IFERROR(VLOOKUP($A180,'Vocus SIT ExDa'!$B$2:$J$173, 8,FALSE), IFERROR(VLOOKUP($A180,'Telstra ExDa'!$B$2:$K$310, 0,FALSE), IFERROR(VLOOKUP($A180,'Vocus RVC ExDa'!$C$2:$R$155, 0,FALSE), IFERROR(VLOOKUP($A180,'Fusion ExDa'!$B$2:$D$16, 0,FALSE), IFERROR(VLOOKUP($A180,'Exetel ExDa'!$C$2:$N$14, 9,FALSE), IFERROR(VLOOKUP($A180,'Infinet ExDa'!$B$2:$E$14, 0,FALSE), "Not Found"))))))))</f>
        <v>22 Feb 2025</v>
      </c>
      <c r="M180" s="234" t="str">
        <f>IFERROR(VLOOKUP($A180,'AAPT ExDa'!$B$2:$U$99, 0,FALSE), IFERROR(VLOOKUP($A180,'ABB ExDa'!$A$2:$N$184, 0,FALSE), IFERROR(VLOOKUP($A180,'Vocus SIT ExDa'!$B$2:$J$173, 0,FALSE), IFERROR(VLOOKUP($A180,'Telstra ExDa'!$B$2:$K$310, 0,FALSE), IFERROR(VLOOKUP($A180,'Vocus RVC ExDa'!$C$2:$R$155, 0,FALSE), IFERROR(VLOOKUP($A180,'Fusion ExDa'!$B$2:$D$16, 0,FALSE), IFERROR(VLOOKUP($A180,'Exetel ExDa'!$C$2:$N$14, 11,FALSE), IFERROR(VLOOKUP($A180,'Infinet ExDa'!$B$2:$E$14, 0,FALSE), "Not Found"))))))))</f>
        <v>Not Found</v>
      </c>
      <c r="N180">
        <f>IFERROR(VLOOKUP($A180,'AAPT ExDa'!$B$2:$U$99, 0,FALSE), IFERROR(VLOOKUP($A180,'ABB ExDa'!$A$2:$N$184, 13,FALSE), IFERROR(VLOOKUP($A180,'Vocus SIT ExDa'!$B$2:$J$173, 0,FALSE), IFERROR(VLOOKUP($A180,'Telstra ExDa'!$B$2:$K$310, 0,FALSE), IFERROR(VLOOKUP($A180,'Vocus RVC ExDa'!$C$2:$R$155, 0,FALSE), IFERROR(VLOOKUP($A180,'Fusion ExDa'!$B$2:$D$16, 0,FALSE), IFERROR(VLOOKUP($A180,'Exetel ExDa'!$C$2:$N$14, 0,FALSE), IFERROR(VLOOKUP($A180,'Infinet ExDa'!$B$2:$E$14, 0,FALSE), "Not Found"))))))))</f>
        <v>0</v>
      </c>
    </row>
    <row r="181" spans="1:14">
      <c r="A181" t="str">
        <v>Xtend Outdoors (Aussie Traveler)</v>
      </c>
      <c r="B181" t="str">
        <f>IFERROR(VLOOKUP(A181,'Exetel ExDa'!$C$2:$N$14,4,FALSE),"No Data")</f>
        <v>No Data</v>
      </c>
      <c r="C181" t="str">
        <f>IFERROR(VLOOKUP(A181,'AAPT ExDa'!$B$2:$U$99, 2,FALSE), IFERROR(VLOOKUP(A181,'ABB ExDa'!$A$2:$N$184, 2,FALSE), IFERROR(VLOOKUP(A181,'Vocus SIT ExDa'!$B$2:$J$173, 7,FALSE), IFERROR(VLOOKUP(A181,'Telstra ExDa'!$B$2:$K$310, 2,FALSE), IFERROR(VLOOKUP(A181,'Vocus RVC ExDa'!$C$2:$R$155, 3,FALSE), IFERROR(VLOOKUP(A181,'Fusion ExDa'!$B$2:$D$16, 2,FALSE), IFERROR(VLOOKUP(A181,'Exetel ExDa'!$C$2:$N$14, 2,FALSE), IFERROR(VLOOKUP(A181,'Infinet ExDa'!$B$2:$E$14, 2,FALSE), "Not Found"))))))))</f>
        <v>LOT 19 PALMETTO ST, CHEVALLUM QLD</v>
      </c>
      <c r="D181" t="str">
        <f>IFERROR(VLOOKUP($A181,'AAPT ExDa'!$B$2:$U$99, 15,FALSE), IFERROR(VLOOKUP($A181,'ABB ExDa'!$A$2:$N$184, 4,FALSE), IFERROR(VLOOKUP($A181,'Vocus SIT ExDa'!$B$2:$J$173, 5,FALSE), IFERROR(VLOOKUP($A181,'Telstra ExDa'!$B$2:$K$310, 8,FALSE), IFERROR(VLOOKUP($A181,'Vocus RVC ExDa'!$C$2:$R$155, 6,FALSE), IFERROR(VLOOKUP($A181,'Fusion ExDa'!$B$2:$D$16, 4,FALSE), IFERROR(VLOOKUP($A181,'Exetel ExDa'!$C$2:$N$14, 3,FALSE), IFERROR(VLOOKUP($A181,'Infinet ExDa'!$B$2:$E$14, 3,FALSE), "Not Found"))))))))</f>
        <v>ABB</v>
      </c>
      <c r="E181" t="str">
        <f>IFERROR(VLOOKUP($A181,'AAPT ExDa'!$B$2:$U$99, 3,FALSE), IFERROR(VLOOKUP($A181,'ABB ExDa'!$A$2:$N$184, 5,FALSE), IFERROR(VLOOKUP($A181,'Vocus SIT ExDa'!$B$2:$J$173, 2,FALSE), IFERROR(VLOOKUP($A181,'Telstra ExDa'!$B$2:$K$310, 4,FALSE), IFERROR(VLOOKUP($A181,'Vocus RVC ExDa'!$C$2:$R$155, 8,FALSE), IFERROR(VLOOKUP($A181,'Fusion ExDa'!$B$2:$D$16, 4,FALSE), IFERROR(VLOOKUP($A181,'Exetel ExDa'!$C$2:$N$14, 5,FALSE), IFERROR(VLOOKUP($A181,'Infinet ExDa'!$B$2:$E$14, 3,FALSE), "Not Found"))))))))</f>
        <v>NBN 250/100</v>
      </c>
      <c r="F181" t="str">
        <f>IFERROR(VLOOKUP($A181,'AAPT ExDa'!$B$2:$U$99, 4,FALSE), IFERROR(VLOOKUP($A181,'ABB ExDa'!$A$2:$N$184, 6,FALSE), IFERROR(VLOOKUP($A181,'Vocus SIT ExDa'!$B$2:$J$173, 3,FALSE), IFERROR(VLOOKUP($A181,'Telstra ExDa'!$B$2:$K$310, 5,FALSE), IFERROR(VLOOKUP($A181,'Vocus RVC ExDa'!$C$2:$R$155, 9,FALSE), IFERROR(VLOOKUP($A181,'Fusion ExDa'!$B$2:$D$16, 0,FALSE), IFERROR(VLOOKUP($A181,'Exetel ExDa'!$C$2:$N$14, 6,FALSE), IFERROR(VLOOKUP($A181,'Infinet ExDa'!$B$2:$E$14, 0,FALSE), "Not Found"))))))))</f>
        <v xml:space="preserve">Fibre </v>
      </c>
      <c r="G181" t="str">
        <f>IFERROR(VLOOKUP($A181,'AAPT ExDa'!$B$2:$U$99, 5,FALSE), IFERROR(VLOOKUP($A181,'ABB ExDa'!$A$2:$N$184, 8,FALSE), IFERROR(VLOOKUP($A181,'Vocus SIT ExDa'!$B$2:$J$173, 6,FALSE), IFERROR(VLOOKUP($A181,'Telstra ExDa'!$B$2:$K$310, 0,FALSE), IFERROR(VLOOKUP($A181,'Vocus RVC ExDa'!$C$2:$R$155, 15,FALSE), IFERROR(VLOOKUP($A181,'Fusion ExDa'!$B$2:$D$16, 0,FALSE), IFERROR(VLOOKUP($A181,'Exetel ExDa'!$C$2:$N$14, 7,FALSE), IFERROR(VLOOKUP($A181,'Infinet ExDa'!$B$2:$E$14, 0,FALSE), "Not Found"))))))))</f>
        <v>144.6.96.219</v>
      </c>
      <c r="H181" t="str">
        <f>IFERROR(VLOOKUP($A181,'AAPT ExDa'!$B$2:$U$99, 6,FALSE), IFERROR(VLOOKUP($A181,'ABB ExDa'!$A$2:$N$184, 0,FALSE), IFERROR(VLOOKUP($A181,'Vocus SIT ExDa'!$B$2:$J$173, 0,FALSE), IFERROR(VLOOKUP($A181,'Telstra ExDa'!$B$2:$K$310, 0,FALSE), IFERROR(VLOOKUP($A181,'Vocus RVC ExDa'!$C$2:$R$155, 16,FALSE), IFERROR(VLOOKUP($A181,'Fusion ExDa'!$B$2:$D$16, 0,FALSE), IFERROR(VLOOKUP($A181,'Exetel ExDa'!$C$2:$N$14, 0,FALSE), IFERROR(VLOOKUP($A181,'Infinet ExDa'!$B$2:$E$14, 0,FALSE), "Not Found"))))))))</f>
        <v>Not Found</v>
      </c>
      <c r="I181" t="str">
        <f>IFERROR(VLOOKUP($A181,'AAPT ExDa'!$B$2:$U$99, 0,FALSE), IFERROR(VLOOKUP($A181,'ABB ExDa'!$A$2:$N$184, 0,FALSE), IFERROR(VLOOKUP($A181,'Vocus SIT ExDa'!$B$2:$J$173, 0,FALSE), IFERROR(VLOOKUP($A181,'Telstra ExDa'!$B$2:$K$310, 0,FALSE), IFERROR(VLOOKUP($A181,'Vocus RVC ExDa'!$C$2:$R$155, 0,FALSE), IFERROR(VLOOKUP($A181,'Fusion ExDa'!$B$2:$D$16, 0,FALSE), IFERROR(VLOOKUP($A181,'Exetel ExDa'!$C$2:$N$14, 8,FALSE), IFERROR(VLOOKUP($A181,'Infinet ExDa'!$B$2:$E$14, 0,FALSE), "Not Found"))))))))</f>
        <v>Not Found</v>
      </c>
      <c r="J181" t="str">
        <f>IFERROR(VLOOKUP($A181,'AAPT ExDa'!$B$2:$U$99, 7,FALSE), IFERROR(VLOOKUP($A181,'ABB ExDa'!$A$2:$N$184, 2,FALSE), IFERROR(VLOOKUP($A181,'Vocus SIT ExDa'!$B$2:$J$173, 0,FALSE), IFERROR(VLOOKUP($A181,'Telstra ExDa'!$B$2:$K$310, 7,FALSE), IFERROR(VLOOKUP($A181,'Vocus RVC ExDa'!$C$2:$R$155, 2,FALSE), IFERROR(VLOOKUP($A181,'Fusion ExDa'!$B$2:$D$16, 3,FALSE), IFERROR(VLOOKUP($A181,'Exetel ExDa'!$C$2:$N$14, 0,FALSE), IFERROR(VLOOKUP($A181,'Infinet ExDa'!$B$2:$E$14, 0,FALSE), "Not Found"))))))))</f>
        <v>LOT 19 PALMETTO ST, CHEVALLUM QLD</v>
      </c>
      <c r="K181" t="str">
        <f>IFERROR(VLOOKUP($A181,'AAPT ExDa'!$B$2:$U$99, 12,FALSE), IFERROR(VLOOKUP($A181,'ABB ExDa'!$A$2:$N$184, 0,FALSE), IFERROR(VLOOKUP($A181,'Vocus SIT ExDa'!$B$2:$J$173, 0,FALSE), IFERROR(VLOOKUP($A181,'Telstra ExDa'!$B$2:$K$310, 0,FALSE), IFERROR(VLOOKUP($A181,'Vocus RVC ExDa'!$C$2:$R$155, 0,FALSE), IFERROR(VLOOKUP($A181,'Fusion ExDa'!$B$2:$D$16, 0,FALSE), IFERROR(VLOOKUP($A181,'Exetel ExDa'!$C$2:$N$14, 12,FALSE), IFERROR(VLOOKUP($A181,'Infinet ExDa'!$B$2:$E$14, 0,FALSE), "Not Found"))))))))</f>
        <v>Not Found</v>
      </c>
      <c r="L181" s="235" t="str">
        <f>IFERROR(VLOOKUP($A181,'AAPT ExDa'!$B$2:$U$99, 11,FALSE), IFERROR(VLOOKUP($A181,'ABB ExDa'!$A$2:$N$184, 9,FALSE), IFERROR(VLOOKUP($A181,'Vocus SIT ExDa'!$B$2:$J$173, 8,FALSE), IFERROR(VLOOKUP($A181,'Telstra ExDa'!$B$2:$K$310, 0,FALSE), IFERROR(VLOOKUP($A181,'Vocus RVC ExDa'!$C$2:$R$155, 0,FALSE), IFERROR(VLOOKUP($A181,'Fusion ExDa'!$B$2:$D$16, 0,FALSE), IFERROR(VLOOKUP($A181,'Exetel ExDa'!$C$2:$N$14, 9,FALSE), IFERROR(VLOOKUP($A181,'Infinet ExDa'!$B$2:$E$14, 0,FALSE), "Not Found"))))))))</f>
        <v>15 May 2023</v>
      </c>
      <c r="M181" s="234" t="str">
        <f>IFERROR(VLOOKUP($A181,'AAPT ExDa'!$B$2:$U$99, 0,FALSE), IFERROR(VLOOKUP($A181,'ABB ExDa'!$A$2:$N$184, 0,FALSE), IFERROR(VLOOKUP($A181,'Vocus SIT ExDa'!$B$2:$J$173, 0,FALSE), IFERROR(VLOOKUP($A181,'Telstra ExDa'!$B$2:$K$310, 0,FALSE), IFERROR(VLOOKUP($A181,'Vocus RVC ExDa'!$C$2:$R$155, 0,FALSE), IFERROR(VLOOKUP($A181,'Fusion ExDa'!$B$2:$D$16, 0,FALSE), IFERROR(VLOOKUP($A181,'Exetel ExDa'!$C$2:$N$14, 11,FALSE), IFERROR(VLOOKUP($A181,'Infinet ExDa'!$B$2:$E$14, 0,FALSE), "Not Found"))))))))</f>
        <v>Not Found</v>
      </c>
      <c r="N181">
        <f>IFERROR(VLOOKUP($A181,'AAPT ExDa'!$B$2:$U$99, 0,FALSE), IFERROR(VLOOKUP($A181,'ABB ExDa'!$A$2:$N$184, 13,FALSE), IFERROR(VLOOKUP($A181,'Vocus SIT ExDa'!$B$2:$J$173, 0,FALSE), IFERROR(VLOOKUP($A181,'Telstra ExDa'!$B$2:$K$310, 0,FALSE), IFERROR(VLOOKUP($A181,'Vocus RVC ExDa'!$C$2:$R$155, 0,FALSE), IFERROR(VLOOKUP($A181,'Fusion ExDa'!$B$2:$D$16, 0,FALSE), IFERROR(VLOOKUP($A181,'Exetel ExDa'!$C$2:$N$14, 0,FALSE), IFERROR(VLOOKUP($A181,'Infinet ExDa'!$B$2:$E$14, 0,FALSE), "Not Found"))))))))</f>
        <v>0</v>
      </c>
    </row>
    <row r="182" spans="1:14">
      <c r="A182" t="str">
        <v>Yallungah Boutique Hotel</v>
      </c>
      <c r="B182" t="str">
        <f>IFERROR(VLOOKUP(A182,'Exetel ExDa'!$C$2:$N$14,4,FALSE),"No Data")</f>
        <v>No Data</v>
      </c>
      <c r="C182" t="str">
        <f>IFERROR(VLOOKUP(A182,'AAPT ExDa'!$B$2:$U$99, 2,FALSE), IFERROR(VLOOKUP(A182,'ABB ExDa'!$A$2:$N$184, 2,FALSE), IFERROR(VLOOKUP(A182,'Vocus SIT ExDa'!$B$2:$J$173, 7,FALSE), IFERROR(VLOOKUP(A182,'Telstra ExDa'!$B$2:$K$310, 2,FALSE), IFERROR(VLOOKUP(A182,'Vocus RVC ExDa'!$C$2:$R$155, 3,FALSE), IFERROR(VLOOKUP(A182,'Fusion ExDa'!$B$2:$D$16, 2,FALSE), IFERROR(VLOOKUP(A182,'Exetel ExDa'!$C$2:$N$14, 2,FALSE), IFERROR(VLOOKUP(A182,'Infinet ExDa'!$B$2:$E$14, 2,FALSE), "Not Found"))))))))</f>
        <v>62 BYNG ST, ORANGE NSW</v>
      </c>
      <c r="D182" t="str">
        <f>IFERROR(VLOOKUP($A182,'AAPT ExDa'!$B$2:$U$99, 15,FALSE), IFERROR(VLOOKUP($A182,'ABB ExDa'!$A$2:$N$184, 4,FALSE), IFERROR(VLOOKUP($A182,'Vocus SIT ExDa'!$B$2:$J$173, 5,FALSE), IFERROR(VLOOKUP($A182,'Telstra ExDa'!$B$2:$K$310, 8,FALSE), IFERROR(VLOOKUP($A182,'Vocus RVC ExDa'!$C$2:$R$155, 6,FALSE), IFERROR(VLOOKUP($A182,'Fusion ExDa'!$B$2:$D$16, 4,FALSE), IFERROR(VLOOKUP($A182,'Exetel ExDa'!$C$2:$N$14, 3,FALSE), IFERROR(VLOOKUP($A182,'Infinet ExDa'!$B$2:$E$14, 3,FALSE), "Not Found"))))))))</f>
        <v>ABB</v>
      </c>
      <c r="E182" t="str">
        <f>IFERROR(VLOOKUP($A182,'AAPT ExDa'!$B$2:$U$99, 3,FALSE), IFERROR(VLOOKUP($A182,'ABB ExDa'!$A$2:$N$184, 5,FALSE), IFERROR(VLOOKUP($A182,'Vocus SIT ExDa'!$B$2:$J$173, 2,FALSE), IFERROR(VLOOKUP($A182,'Telstra ExDa'!$B$2:$K$310, 4,FALSE), IFERROR(VLOOKUP($A182,'Vocus RVC ExDa'!$C$2:$R$155, 8,FALSE), IFERROR(VLOOKUP($A182,'Fusion ExDa'!$B$2:$D$16, 4,FALSE), IFERROR(VLOOKUP($A182,'Exetel ExDa'!$C$2:$N$14, 5,FALSE), IFERROR(VLOOKUP($A182,'Infinet ExDa'!$B$2:$E$14, 3,FALSE), "Not Found"))))))))</f>
        <v>NBN 500/200</v>
      </c>
      <c r="F182" t="str">
        <f>IFERROR(VLOOKUP($A182,'AAPT ExDa'!$B$2:$U$99, 4,FALSE), IFERROR(VLOOKUP($A182,'ABB ExDa'!$A$2:$N$184, 6,FALSE), IFERROR(VLOOKUP($A182,'Vocus SIT ExDa'!$B$2:$J$173, 3,FALSE), IFERROR(VLOOKUP($A182,'Telstra ExDa'!$B$2:$K$310, 5,FALSE), IFERROR(VLOOKUP($A182,'Vocus RVC ExDa'!$C$2:$R$155, 9,FALSE), IFERROR(VLOOKUP($A182,'Fusion ExDa'!$B$2:$D$16, 0,FALSE), IFERROR(VLOOKUP($A182,'Exetel ExDa'!$C$2:$N$14, 6,FALSE), IFERROR(VLOOKUP($A182,'Infinet ExDa'!$B$2:$E$14, 0,FALSE), "Not Found"))))))))</f>
        <v>FIbre</v>
      </c>
      <c r="G182" t="str">
        <f>IFERROR(VLOOKUP($A182,'AAPT ExDa'!$B$2:$U$99, 5,FALSE), IFERROR(VLOOKUP($A182,'ABB ExDa'!$A$2:$N$184, 8,FALSE), IFERROR(VLOOKUP($A182,'Vocus SIT ExDa'!$B$2:$J$173, 6,FALSE), IFERROR(VLOOKUP($A182,'Telstra ExDa'!$B$2:$K$310, 0,FALSE), IFERROR(VLOOKUP($A182,'Vocus RVC ExDa'!$C$2:$R$155, 15,FALSE), IFERROR(VLOOKUP($A182,'Fusion ExDa'!$B$2:$D$16, 0,FALSE), IFERROR(VLOOKUP($A182,'Exetel ExDa'!$C$2:$N$14, 7,FALSE), IFERROR(VLOOKUP($A182,'Infinet ExDa'!$B$2:$E$14, 0,FALSE), "Not Found"))))))))</f>
        <v>180.181.233.48</v>
      </c>
      <c r="H182" t="str">
        <f>IFERROR(VLOOKUP($A182,'AAPT ExDa'!$B$2:$U$99, 6,FALSE), IFERROR(VLOOKUP($A182,'ABB ExDa'!$A$2:$N$184, 0,FALSE), IFERROR(VLOOKUP($A182,'Vocus SIT ExDa'!$B$2:$J$173, 0,FALSE), IFERROR(VLOOKUP($A182,'Telstra ExDa'!$B$2:$K$310, 0,FALSE), IFERROR(VLOOKUP($A182,'Vocus RVC ExDa'!$C$2:$R$155, 16,FALSE), IFERROR(VLOOKUP($A182,'Fusion ExDa'!$B$2:$D$16, 0,FALSE), IFERROR(VLOOKUP($A182,'Exetel ExDa'!$C$2:$N$14, 0,FALSE), IFERROR(VLOOKUP($A182,'Infinet ExDa'!$B$2:$E$14, 0,FALSE), "Not Found"))))))))</f>
        <v>Not Found</v>
      </c>
      <c r="I182" t="str">
        <f>IFERROR(VLOOKUP($A182,'AAPT ExDa'!$B$2:$U$99, 0,FALSE), IFERROR(VLOOKUP($A182,'ABB ExDa'!$A$2:$N$184, 0,FALSE), IFERROR(VLOOKUP($A182,'Vocus SIT ExDa'!$B$2:$J$173, 0,FALSE), IFERROR(VLOOKUP($A182,'Telstra ExDa'!$B$2:$K$310, 0,FALSE), IFERROR(VLOOKUP($A182,'Vocus RVC ExDa'!$C$2:$R$155, 0,FALSE), IFERROR(VLOOKUP($A182,'Fusion ExDa'!$B$2:$D$16, 0,FALSE), IFERROR(VLOOKUP($A182,'Exetel ExDa'!$C$2:$N$14, 8,FALSE), IFERROR(VLOOKUP($A182,'Infinet ExDa'!$B$2:$E$14, 0,FALSE), "Not Found"))))))))</f>
        <v>Not Found</v>
      </c>
      <c r="J182" t="str">
        <f>IFERROR(VLOOKUP($A182,'AAPT ExDa'!$B$2:$U$99, 7,FALSE), IFERROR(VLOOKUP($A182,'ABB ExDa'!$A$2:$N$184, 2,FALSE), IFERROR(VLOOKUP($A182,'Vocus SIT ExDa'!$B$2:$J$173, 0,FALSE), IFERROR(VLOOKUP($A182,'Telstra ExDa'!$B$2:$K$310, 7,FALSE), IFERROR(VLOOKUP($A182,'Vocus RVC ExDa'!$C$2:$R$155, 2,FALSE), IFERROR(VLOOKUP($A182,'Fusion ExDa'!$B$2:$D$16, 3,FALSE), IFERROR(VLOOKUP($A182,'Exetel ExDa'!$C$2:$N$14, 0,FALSE), IFERROR(VLOOKUP($A182,'Infinet ExDa'!$B$2:$E$14, 0,FALSE), "Not Found"))))))))</f>
        <v>62 BYNG ST, ORANGE NSW</v>
      </c>
      <c r="K182" t="str">
        <f>IFERROR(VLOOKUP($A182,'AAPT ExDa'!$B$2:$U$99, 12,FALSE), IFERROR(VLOOKUP($A182,'ABB ExDa'!$A$2:$N$184, 0,FALSE), IFERROR(VLOOKUP($A182,'Vocus SIT ExDa'!$B$2:$J$173, 0,FALSE), IFERROR(VLOOKUP($A182,'Telstra ExDa'!$B$2:$K$310, 0,FALSE), IFERROR(VLOOKUP($A182,'Vocus RVC ExDa'!$C$2:$R$155, 0,FALSE), IFERROR(VLOOKUP($A182,'Fusion ExDa'!$B$2:$D$16, 0,FALSE), IFERROR(VLOOKUP($A182,'Exetel ExDa'!$C$2:$N$14, 12,FALSE), IFERROR(VLOOKUP($A182,'Infinet ExDa'!$B$2:$E$14, 0,FALSE), "Not Found"))))))))</f>
        <v>Not Found</v>
      </c>
      <c r="L182" s="235" t="str">
        <f>IFERROR(VLOOKUP($A182,'AAPT ExDa'!$B$2:$U$99, 11,FALSE), IFERROR(VLOOKUP($A182,'ABB ExDa'!$A$2:$N$184, 9,FALSE), IFERROR(VLOOKUP($A182,'Vocus SIT ExDa'!$B$2:$J$173, 8,FALSE), IFERROR(VLOOKUP($A182,'Telstra ExDa'!$B$2:$K$310, 0,FALSE), IFERROR(VLOOKUP($A182,'Vocus RVC ExDa'!$C$2:$R$155, 0,FALSE), IFERROR(VLOOKUP($A182,'Fusion ExDa'!$B$2:$D$16, 0,FALSE), IFERROR(VLOOKUP($A182,'Exetel ExDa'!$C$2:$N$14, 9,FALSE), IFERROR(VLOOKUP($A182,'Infinet ExDa'!$B$2:$E$14, 0,FALSE), "Not Found"))))))))</f>
        <v>16 Oct 2025</v>
      </c>
      <c r="M182" s="234" t="str">
        <f>IFERROR(VLOOKUP($A182,'AAPT ExDa'!$B$2:$U$99, 0,FALSE), IFERROR(VLOOKUP($A182,'ABB ExDa'!$A$2:$N$184, 0,FALSE), IFERROR(VLOOKUP($A182,'Vocus SIT ExDa'!$B$2:$J$173, 0,FALSE), IFERROR(VLOOKUP($A182,'Telstra ExDa'!$B$2:$K$310, 0,FALSE), IFERROR(VLOOKUP($A182,'Vocus RVC ExDa'!$C$2:$R$155, 0,FALSE), IFERROR(VLOOKUP($A182,'Fusion ExDa'!$B$2:$D$16, 0,FALSE), IFERROR(VLOOKUP($A182,'Exetel ExDa'!$C$2:$N$14, 11,FALSE), IFERROR(VLOOKUP($A182,'Infinet ExDa'!$B$2:$E$14, 0,FALSE), "Not Found"))))))))</f>
        <v>Not Found</v>
      </c>
      <c r="N182">
        <f>IFERROR(VLOOKUP($A182,'AAPT ExDa'!$B$2:$U$99, 0,FALSE), IFERROR(VLOOKUP($A182,'ABB ExDa'!$A$2:$N$184, 13,FALSE), IFERROR(VLOOKUP($A182,'Vocus SIT ExDa'!$B$2:$J$173, 0,FALSE), IFERROR(VLOOKUP($A182,'Telstra ExDa'!$B$2:$K$310, 0,FALSE), IFERROR(VLOOKUP($A182,'Vocus RVC ExDa'!$C$2:$R$155, 0,FALSE), IFERROR(VLOOKUP($A182,'Fusion ExDa'!$B$2:$D$16, 0,FALSE), IFERROR(VLOOKUP($A182,'Exetel ExDa'!$C$2:$N$14, 0,FALSE), IFERROR(VLOOKUP($A182,'Infinet ExDa'!$B$2:$E$14, 0,FALSE), "Not Found"))))))))</f>
        <v>0</v>
      </c>
    </row>
    <row r="183" spans="1:14">
      <c r="A183" t="str">
        <v>Zambrero Albury</v>
      </c>
      <c r="B183" t="str">
        <f>IFERROR(VLOOKUP(A183,'Exetel ExDa'!$C$2:$N$14,4,FALSE),"No Data")</f>
        <v>No Data</v>
      </c>
      <c r="C183" t="str">
        <f>IFERROR(VLOOKUP(A183,'AAPT ExDa'!$B$2:$U$99, 2,FALSE), IFERROR(VLOOKUP(A183,'ABB ExDa'!$A$2:$N$184, 2,FALSE), IFERROR(VLOOKUP(A183,'Vocus SIT ExDa'!$B$2:$J$173, 7,FALSE), IFERROR(VLOOKUP(A183,'Telstra ExDa'!$B$2:$K$310, 2,FALSE), IFERROR(VLOOKUP(A183,'Vocus RVC ExDa'!$C$2:$R$155, 3,FALSE), IFERROR(VLOOKUP(A183,'Fusion ExDa'!$B$2:$D$16, 2,FALSE), IFERROR(VLOOKUP(A183,'Exetel ExDa'!$C$2:$N$14, 2,FALSE), IFERROR(VLOOKUP(A183,'Infinet ExDa'!$B$2:$E$14, 2,FALSE), "Not Found"))))))))</f>
        <v>461B Dean St, Albury NSW</v>
      </c>
      <c r="D183" t="str">
        <f>IFERROR(VLOOKUP($A183,'AAPT ExDa'!$B$2:$U$99, 15,FALSE), IFERROR(VLOOKUP($A183,'ABB ExDa'!$A$2:$N$184, 4,FALSE), IFERROR(VLOOKUP($A183,'Vocus SIT ExDa'!$B$2:$J$173, 5,FALSE), IFERROR(VLOOKUP($A183,'Telstra ExDa'!$B$2:$K$310, 8,FALSE), IFERROR(VLOOKUP($A183,'Vocus RVC ExDa'!$C$2:$R$155, 6,FALSE), IFERROR(VLOOKUP($A183,'Fusion ExDa'!$B$2:$D$16, 4,FALSE), IFERROR(VLOOKUP($A183,'Exetel ExDa'!$C$2:$N$14, 3,FALSE), IFERROR(VLOOKUP($A183,'Infinet ExDa'!$B$2:$E$14, 3,FALSE), "Not Found"))))))))</f>
        <v>ABB</v>
      </c>
      <c r="E183" t="str">
        <f>IFERROR(VLOOKUP($A183,'AAPT ExDa'!$B$2:$U$99, 3,FALSE), IFERROR(VLOOKUP($A183,'ABB ExDa'!$A$2:$N$184, 5,FALSE), IFERROR(VLOOKUP($A183,'Vocus SIT ExDa'!$B$2:$J$173, 2,FALSE), IFERROR(VLOOKUP($A183,'Telstra ExDa'!$B$2:$K$310, 4,FALSE), IFERROR(VLOOKUP($A183,'Vocus RVC ExDa'!$C$2:$R$155, 8,FALSE), IFERROR(VLOOKUP($A183,'Fusion ExDa'!$B$2:$D$16, 4,FALSE), IFERROR(VLOOKUP($A183,'Exetel ExDa'!$C$2:$N$14, 5,FALSE), IFERROR(VLOOKUP($A183,'Infinet ExDa'!$B$2:$E$14, 3,FALSE), "Not Found"))))))))</f>
        <v xml:space="preserve">NBN 25/10 </v>
      </c>
      <c r="F183" t="str">
        <f>IFERROR(VLOOKUP($A183,'AAPT ExDa'!$B$2:$U$99, 4,FALSE), IFERROR(VLOOKUP($A183,'ABB ExDa'!$A$2:$N$184, 6,FALSE), IFERROR(VLOOKUP($A183,'Vocus SIT ExDa'!$B$2:$J$173, 3,FALSE), IFERROR(VLOOKUP($A183,'Telstra ExDa'!$B$2:$K$310, 5,FALSE), IFERROR(VLOOKUP($A183,'Vocus RVC ExDa'!$C$2:$R$155, 9,FALSE), IFERROR(VLOOKUP($A183,'Fusion ExDa'!$B$2:$D$16, 0,FALSE), IFERROR(VLOOKUP($A183,'Exetel ExDa'!$C$2:$N$14, 6,FALSE), IFERROR(VLOOKUP($A183,'Infinet ExDa'!$B$2:$E$14, 0,FALSE), "Not Found"))))))))</f>
        <v>FTTN</v>
      </c>
      <c r="G183" t="str">
        <f>IFERROR(VLOOKUP($A183,'AAPT ExDa'!$B$2:$U$99, 5,FALSE), IFERROR(VLOOKUP($A183,'ABB ExDa'!$A$2:$N$184, 8,FALSE), IFERROR(VLOOKUP($A183,'Vocus SIT ExDa'!$B$2:$J$173, 6,FALSE), IFERROR(VLOOKUP($A183,'Telstra ExDa'!$B$2:$K$310, 0,FALSE), IFERROR(VLOOKUP($A183,'Vocus RVC ExDa'!$C$2:$R$155, 15,FALSE), IFERROR(VLOOKUP($A183,'Fusion ExDa'!$B$2:$D$16, 0,FALSE), IFERROR(VLOOKUP($A183,'Exetel ExDa'!$C$2:$N$14, 7,FALSE), IFERROR(VLOOKUP($A183,'Infinet ExDa'!$B$2:$E$14, 0,FALSE), "Not Found"))))))))</f>
        <v>144.6.224.43</v>
      </c>
      <c r="H183" t="str">
        <f>IFERROR(VLOOKUP($A183,'AAPT ExDa'!$B$2:$U$99, 6,FALSE), IFERROR(VLOOKUP($A183,'ABB ExDa'!$A$2:$N$184, 0,FALSE), IFERROR(VLOOKUP($A183,'Vocus SIT ExDa'!$B$2:$J$173, 0,FALSE), IFERROR(VLOOKUP($A183,'Telstra ExDa'!$B$2:$K$310, 0,FALSE), IFERROR(VLOOKUP($A183,'Vocus RVC ExDa'!$C$2:$R$155, 16,FALSE), IFERROR(VLOOKUP($A183,'Fusion ExDa'!$B$2:$D$16, 0,FALSE), IFERROR(VLOOKUP($A183,'Exetel ExDa'!$C$2:$N$14, 0,FALSE), IFERROR(VLOOKUP($A183,'Infinet ExDa'!$B$2:$E$14, 0,FALSE), "Not Found"))))))))</f>
        <v>Not Found</v>
      </c>
      <c r="I183" t="str">
        <f>IFERROR(VLOOKUP($A183,'AAPT ExDa'!$B$2:$U$99, 0,FALSE), IFERROR(VLOOKUP($A183,'ABB ExDa'!$A$2:$N$184, 0,FALSE), IFERROR(VLOOKUP($A183,'Vocus SIT ExDa'!$B$2:$J$173, 0,FALSE), IFERROR(VLOOKUP($A183,'Telstra ExDa'!$B$2:$K$310, 0,FALSE), IFERROR(VLOOKUP($A183,'Vocus RVC ExDa'!$C$2:$R$155, 0,FALSE), IFERROR(VLOOKUP($A183,'Fusion ExDa'!$B$2:$D$16, 0,FALSE), IFERROR(VLOOKUP($A183,'Exetel ExDa'!$C$2:$N$14, 8,FALSE), IFERROR(VLOOKUP($A183,'Infinet ExDa'!$B$2:$E$14, 0,FALSE), "Not Found"))))))))</f>
        <v>Not Found</v>
      </c>
      <c r="J183" t="str">
        <f>IFERROR(VLOOKUP($A183,'AAPT ExDa'!$B$2:$U$99, 7,FALSE), IFERROR(VLOOKUP($A183,'ABB ExDa'!$A$2:$N$184, 2,FALSE), IFERROR(VLOOKUP($A183,'Vocus SIT ExDa'!$B$2:$J$173, 0,FALSE), IFERROR(VLOOKUP($A183,'Telstra ExDa'!$B$2:$K$310, 7,FALSE), IFERROR(VLOOKUP($A183,'Vocus RVC ExDa'!$C$2:$R$155, 2,FALSE), IFERROR(VLOOKUP($A183,'Fusion ExDa'!$B$2:$D$16, 3,FALSE), IFERROR(VLOOKUP($A183,'Exetel ExDa'!$C$2:$N$14, 0,FALSE), IFERROR(VLOOKUP($A183,'Infinet ExDa'!$B$2:$E$14, 0,FALSE), "Not Found"))))))))</f>
        <v>461B Dean St, Albury NSW</v>
      </c>
      <c r="K183" t="str">
        <f>IFERROR(VLOOKUP($A183,'AAPT ExDa'!$B$2:$U$99, 12,FALSE), IFERROR(VLOOKUP($A183,'ABB ExDa'!$A$2:$N$184, 0,FALSE), IFERROR(VLOOKUP($A183,'Vocus SIT ExDa'!$B$2:$J$173, 0,FALSE), IFERROR(VLOOKUP($A183,'Telstra ExDa'!$B$2:$K$310, 0,FALSE), IFERROR(VLOOKUP($A183,'Vocus RVC ExDa'!$C$2:$R$155, 0,FALSE), IFERROR(VLOOKUP($A183,'Fusion ExDa'!$B$2:$D$16, 0,FALSE), IFERROR(VLOOKUP($A183,'Exetel ExDa'!$C$2:$N$14, 12,FALSE), IFERROR(VLOOKUP($A183,'Infinet ExDa'!$B$2:$E$14, 0,FALSE), "Not Found"))))))))</f>
        <v>Not Found</v>
      </c>
      <c r="L183" s="235" t="str">
        <f>IFERROR(VLOOKUP($A183,'AAPT ExDa'!$B$2:$U$99, 11,FALSE), IFERROR(VLOOKUP($A183,'ABB ExDa'!$A$2:$N$184, 9,FALSE), IFERROR(VLOOKUP($A183,'Vocus SIT ExDa'!$B$2:$J$173, 8,FALSE), IFERROR(VLOOKUP($A183,'Telstra ExDa'!$B$2:$K$310, 0,FALSE), IFERROR(VLOOKUP($A183,'Vocus RVC ExDa'!$C$2:$R$155, 0,FALSE), IFERROR(VLOOKUP($A183,'Fusion ExDa'!$B$2:$D$16, 0,FALSE), IFERROR(VLOOKUP($A183,'Exetel ExDa'!$C$2:$N$14, 9,FALSE), IFERROR(VLOOKUP($A183,'Infinet ExDa'!$B$2:$E$14, 0,FALSE), "Not Found"))))))))</f>
        <v>18 Sept 2025</v>
      </c>
      <c r="M183" s="234" t="str">
        <f>IFERROR(VLOOKUP($A183,'AAPT ExDa'!$B$2:$U$99, 0,FALSE), IFERROR(VLOOKUP($A183,'ABB ExDa'!$A$2:$N$184, 0,FALSE), IFERROR(VLOOKUP($A183,'Vocus SIT ExDa'!$B$2:$J$173, 0,FALSE), IFERROR(VLOOKUP($A183,'Telstra ExDa'!$B$2:$K$310, 0,FALSE), IFERROR(VLOOKUP($A183,'Vocus RVC ExDa'!$C$2:$R$155, 0,FALSE), IFERROR(VLOOKUP($A183,'Fusion ExDa'!$B$2:$D$16, 0,FALSE), IFERROR(VLOOKUP($A183,'Exetel ExDa'!$C$2:$N$14, 11,FALSE), IFERROR(VLOOKUP($A183,'Infinet ExDa'!$B$2:$E$14, 0,FALSE), "Not Found"))))))))</f>
        <v>Not Found</v>
      </c>
      <c r="N183" t="str">
        <f>IFERROR(VLOOKUP($A183,'AAPT ExDa'!$B$2:$U$99, 0,FALSE), IFERROR(VLOOKUP($A183,'ABB ExDa'!$A$2:$N$184, 13,FALSE), IFERROR(VLOOKUP($A183,'Vocus SIT ExDa'!$B$2:$J$173, 0,FALSE), IFERROR(VLOOKUP($A183,'Telstra ExDa'!$B$2:$K$310, 0,FALSE), IFERROR(VLOOKUP($A183,'Vocus RVC ExDa'!$C$2:$R$155, 0,FALSE), IFERROR(VLOOKUP($A183,'Fusion ExDa'!$B$2:$D$16, 0,FALSE), IFERROR(VLOOKUP($A183,'Exetel ExDa'!$C$2:$N$14, 0,FALSE), IFERROR(VLOOKUP($A183,'Infinet ExDa'!$B$2:$E$14, 0,FALSE), "Not Found"))))))))</f>
        <v>Onebill</v>
      </c>
    </row>
    <row r="184" spans="1:14">
      <c r="A184" t="str">
        <v>Zambrero Balaclava</v>
      </c>
      <c r="B184" t="str">
        <f>IFERROR(VLOOKUP(A184,'Exetel ExDa'!$C$2:$N$14,4,FALSE),"No Data")</f>
        <v>No Data</v>
      </c>
      <c r="C184" t="str">
        <f>IFERROR(VLOOKUP(A184,'AAPT ExDa'!$B$2:$U$99, 2,FALSE), IFERROR(VLOOKUP(A184,'ABB ExDa'!$A$2:$N$184, 2,FALSE), IFERROR(VLOOKUP(A184,'Vocus SIT ExDa'!$B$2:$J$173, 7,FALSE), IFERROR(VLOOKUP(A184,'Telstra ExDa'!$B$2:$K$310, 2,FALSE), IFERROR(VLOOKUP(A184,'Vocus RVC ExDa'!$C$2:$R$155, 3,FALSE), IFERROR(VLOOKUP(A184,'Fusion ExDa'!$B$2:$D$16, 2,FALSE), IFERROR(VLOOKUP(A184,'Exetel ExDa'!$C$2:$N$14, 2,FALSE), IFERROR(VLOOKUP(A184,'Infinet ExDa'!$B$2:$E$14, 2,FALSE), "Not Found"))))))))</f>
        <v>254 CARLISLE ST, BALACLAVA VIC</v>
      </c>
      <c r="D184" t="str">
        <f>IFERROR(VLOOKUP($A184,'AAPT ExDa'!$B$2:$U$99, 15,FALSE), IFERROR(VLOOKUP($A184,'ABB ExDa'!$A$2:$N$184, 4,FALSE), IFERROR(VLOOKUP($A184,'Vocus SIT ExDa'!$B$2:$J$173, 5,FALSE), IFERROR(VLOOKUP($A184,'Telstra ExDa'!$B$2:$K$310, 8,FALSE), IFERROR(VLOOKUP($A184,'Vocus RVC ExDa'!$C$2:$R$155, 6,FALSE), IFERROR(VLOOKUP($A184,'Fusion ExDa'!$B$2:$D$16, 4,FALSE), IFERROR(VLOOKUP($A184,'Exetel ExDa'!$C$2:$N$14, 3,FALSE), IFERROR(VLOOKUP($A184,'Infinet ExDa'!$B$2:$E$14, 3,FALSE), "Not Found"))))))))</f>
        <v>ABB</v>
      </c>
      <c r="E184" t="str">
        <f>IFERROR(VLOOKUP($A184,'AAPT ExDa'!$B$2:$U$99, 3,FALSE), IFERROR(VLOOKUP($A184,'ABB ExDa'!$A$2:$N$184, 5,FALSE), IFERROR(VLOOKUP($A184,'Vocus SIT ExDa'!$B$2:$J$173, 2,FALSE), IFERROR(VLOOKUP($A184,'Telstra ExDa'!$B$2:$K$310, 4,FALSE), IFERROR(VLOOKUP($A184,'Vocus RVC ExDa'!$C$2:$R$155, 8,FALSE), IFERROR(VLOOKUP($A184,'Fusion ExDa'!$B$2:$D$16, 4,FALSE), IFERROR(VLOOKUP($A184,'Exetel ExDa'!$C$2:$N$14, 5,FALSE), IFERROR(VLOOKUP($A184,'Infinet ExDa'!$B$2:$E$14, 3,FALSE), "Not Found"))))))))</f>
        <v>NBN 25/10</v>
      </c>
      <c r="F184" t="str">
        <f>IFERROR(VLOOKUP($A184,'AAPT ExDa'!$B$2:$U$99, 4,FALSE), IFERROR(VLOOKUP($A184,'ABB ExDa'!$A$2:$N$184, 6,FALSE), IFERROR(VLOOKUP($A184,'Vocus SIT ExDa'!$B$2:$J$173, 3,FALSE), IFERROR(VLOOKUP($A184,'Telstra ExDa'!$B$2:$K$310, 5,FALSE), IFERROR(VLOOKUP($A184,'Vocus RVC ExDa'!$C$2:$R$155, 9,FALSE), IFERROR(VLOOKUP($A184,'Fusion ExDa'!$B$2:$D$16, 0,FALSE), IFERROR(VLOOKUP($A184,'Exetel ExDa'!$C$2:$N$14, 6,FALSE), IFERROR(VLOOKUP($A184,'Infinet ExDa'!$B$2:$E$14, 0,FALSE), "Not Found"))))))))</f>
        <v>HFC</v>
      </c>
      <c r="G184" t="str">
        <f>IFERROR(VLOOKUP($A184,'AAPT ExDa'!$B$2:$U$99, 5,FALSE), IFERROR(VLOOKUP($A184,'ABB ExDa'!$A$2:$N$184, 8,FALSE), IFERROR(VLOOKUP($A184,'Vocus SIT ExDa'!$B$2:$J$173, 6,FALSE), IFERROR(VLOOKUP($A184,'Telstra ExDa'!$B$2:$K$310, 0,FALSE), IFERROR(VLOOKUP($A184,'Vocus RVC ExDa'!$C$2:$R$155, 15,FALSE), IFERROR(VLOOKUP($A184,'Fusion ExDa'!$B$2:$D$16, 0,FALSE), IFERROR(VLOOKUP($A184,'Exetel ExDa'!$C$2:$N$14, 7,FALSE), IFERROR(VLOOKUP($A184,'Infinet ExDa'!$B$2:$E$14, 0,FALSE), "Not Found"))))))))</f>
        <v>159.196.221.125</v>
      </c>
      <c r="H184">
        <f>IFERROR(VLOOKUP($A184,'AAPT ExDa'!$B$2:$U$99, 6,FALSE), IFERROR(VLOOKUP($A184,'ABB ExDa'!$A$2:$N$184, 0,FALSE), IFERROR(VLOOKUP($A184,'Vocus SIT ExDa'!$B$2:$J$173, 0,FALSE), IFERROR(VLOOKUP($A184,'Telstra ExDa'!$B$2:$K$310, 0,FALSE), IFERROR(VLOOKUP($A184,'Vocus RVC ExDa'!$C$2:$R$155, 16,FALSE), IFERROR(VLOOKUP($A184,'Fusion ExDa'!$B$2:$D$16, 0,FALSE), IFERROR(VLOOKUP($A184,'Exetel ExDa'!$C$2:$N$14, 0,FALSE), IFERROR(VLOOKUP($A184,'Infinet ExDa'!$B$2:$E$14, 0,FALSE), "Not Found"))))))))</f>
        <v>0</v>
      </c>
      <c r="I184" t="str">
        <f>IFERROR(VLOOKUP($A184,'AAPT ExDa'!$B$2:$U$99, 0,FALSE), IFERROR(VLOOKUP($A184,'ABB ExDa'!$A$2:$N$184, 0,FALSE), IFERROR(VLOOKUP($A184,'Vocus SIT ExDa'!$B$2:$J$173, 0,FALSE), IFERROR(VLOOKUP($A184,'Telstra ExDa'!$B$2:$K$310, 0,FALSE), IFERROR(VLOOKUP($A184,'Vocus RVC ExDa'!$C$2:$R$155, 0,FALSE), IFERROR(VLOOKUP($A184,'Fusion ExDa'!$B$2:$D$16, 0,FALSE), IFERROR(VLOOKUP($A184,'Exetel ExDa'!$C$2:$N$14, 8,FALSE), IFERROR(VLOOKUP($A184,'Infinet ExDa'!$B$2:$E$14, 0,FALSE), "Not Found"))))))))</f>
        <v>Not Found</v>
      </c>
      <c r="J184" t="str">
        <f>IFERROR(VLOOKUP($A184,'AAPT ExDa'!$B$2:$U$99, 7,FALSE), IFERROR(VLOOKUP($A184,'ABB ExDa'!$A$2:$N$184, 2,FALSE), IFERROR(VLOOKUP($A184,'Vocus SIT ExDa'!$B$2:$J$173, 0,FALSE), IFERROR(VLOOKUP($A184,'Telstra ExDa'!$B$2:$K$310, 7,FALSE), IFERROR(VLOOKUP($A184,'Vocus RVC ExDa'!$C$2:$R$155, 2,FALSE), IFERROR(VLOOKUP($A184,'Fusion ExDa'!$B$2:$D$16, 3,FALSE), IFERROR(VLOOKUP($A184,'Exetel ExDa'!$C$2:$N$14, 0,FALSE), IFERROR(VLOOKUP($A184,'Infinet ExDa'!$B$2:$E$14, 0,FALSE), "Not Found"))))))))</f>
        <v>254 CARLISLE ST, BALACLAVA VIC</v>
      </c>
      <c r="K184" t="str">
        <f>IFERROR(VLOOKUP($A184,'AAPT ExDa'!$B$2:$U$99, 12,FALSE), IFERROR(VLOOKUP($A184,'ABB ExDa'!$A$2:$N$184, 0,FALSE), IFERROR(VLOOKUP($A184,'Vocus SIT ExDa'!$B$2:$J$173, 0,FALSE), IFERROR(VLOOKUP($A184,'Telstra ExDa'!$B$2:$K$310, 0,FALSE), IFERROR(VLOOKUP($A184,'Vocus RVC ExDa'!$C$2:$R$155, 0,FALSE), IFERROR(VLOOKUP($A184,'Fusion ExDa'!$B$2:$D$16, 0,FALSE), IFERROR(VLOOKUP($A184,'Exetel ExDa'!$C$2:$N$14, 12,FALSE), IFERROR(VLOOKUP($A184,'Infinet ExDa'!$B$2:$E$14, 0,FALSE), "Not Found"))))))))</f>
        <v>Not Found</v>
      </c>
      <c r="L184" s="235" t="str">
        <f>IFERROR(VLOOKUP($A184,'AAPT ExDa'!$B$2:$U$99, 11,FALSE), IFERROR(VLOOKUP($A184,'ABB ExDa'!$A$2:$N$184, 9,FALSE), IFERROR(VLOOKUP($A184,'Vocus SIT ExDa'!$B$2:$J$173, 8,FALSE), IFERROR(VLOOKUP($A184,'Telstra ExDa'!$B$2:$K$310, 0,FALSE), IFERROR(VLOOKUP($A184,'Vocus RVC ExDa'!$C$2:$R$155, 0,FALSE), IFERROR(VLOOKUP($A184,'Fusion ExDa'!$B$2:$D$16, 0,FALSE), IFERROR(VLOOKUP($A184,'Exetel ExDa'!$C$2:$N$14, 9,FALSE), IFERROR(VLOOKUP($A184,'Infinet ExDa'!$B$2:$E$14, 0,FALSE), "Not Found"))))))))</f>
        <v>31 March 2025</v>
      </c>
      <c r="M184" s="234" t="str">
        <f>IFERROR(VLOOKUP($A184,'AAPT ExDa'!$B$2:$U$99, 0,FALSE), IFERROR(VLOOKUP($A184,'ABB ExDa'!$A$2:$N$184, 0,FALSE), IFERROR(VLOOKUP($A184,'Vocus SIT ExDa'!$B$2:$J$173, 0,FALSE), IFERROR(VLOOKUP($A184,'Telstra ExDa'!$B$2:$K$310, 0,FALSE), IFERROR(VLOOKUP($A184,'Vocus RVC ExDa'!$C$2:$R$155, 0,FALSE), IFERROR(VLOOKUP($A184,'Fusion ExDa'!$B$2:$D$16, 0,FALSE), IFERROR(VLOOKUP($A184,'Exetel ExDa'!$C$2:$N$14, 11,FALSE), IFERROR(VLOOKUP($A184,'Infinet ExDa'!$B$2:$E$14, 0,FALSE), "Not Found"))))))))</f>
        <v>Not Found</v>
      </c>
      <c r="N184" t="str">
        <f>IFERROR(VLOOKUP($A184,'AAPT ExDa'!$B$2:$U$99, 0,FALSE), IFERROR(VLOOKUP($A184,'ABB ExDa'!$A$2:$N$184, 13,FALSE), IFERROR(VLOOKUP($A184,'Vocus SIT ExDa'!$B$2:$J$173, 0,FALSE), IFERROR(VLOOKUP($A184,'Telstra ExDa'!$B$2:$K$310, 0,FALSE), IFERROR(VLOOKUP($A184,'Vocus RVC ExDa'!$C$2:$R$155, 0,FALSE), IFERROR(VLOOKUP($A184,'Fusion ExDa'!$B$2:$D$16, 0,FALSE), IFERROR(VLOOKUP($A184,'Exetel ExDa'!$C$2:$N$14, 0,FALSE), IFERROR(VLOOKUP($A184,'Infinet ExDa'!$B$2:$E$14, 0,FALSE), "Not Found"))))))))</f>
        <v>Onebill</v>
      </c>
    </row>
    <row r="185" spans="1:14">
      <c r="A185" t="str">
        <v>Zambrero Balnarring</v>
      </c>
      <c r="B185" t="str">
        <f>IFERROR(VLOOKUP(A185,'Exetel ExDa'!$C$2:$N$14,4,FALSE),"No Data")</f>
        <v>No Data</v>
      </c>
      <c r="C185" t="str">
        <f>IFERROR(VLOOKUP(A185,'AAPT ExDa'!$B$2:$U$99, 2,FALSE), IFERROR(VLOOKUP(A185,'ABB ExDa'!$A$2:$N$184, 2,FALSE), IFERROR(VLOOKUP(A185,'Vocus SIT ExDa'!$B$2:$J$173, 7,FALSE), IFERROR(VLOOKUP(A185,'Telstra ExDa'!$B$2:$K$310, 2,FALSE), IFERROR(VLOOKUP(A185,'Vocus RVC ExDa'!$C$2:$R$155, 3,FALSE), IFERROR(VLOOKUP(A185,'Fusion ExDa'!$B$2:$D$16, 2,FALSE), IFERROR(VLOOKUP(A185,'Exetel ExDa'!$C$2:$N$14, 2,FALSE), IFERROR(VLOOKUP(A185,'Infinet ExDa'!$B$2:$E$14, 2,FALSE), "Not Found"))))))))</f>
        <v>SHOP 8, 3050 FRANKSTON-FLINDERS RD, BALNARRING VIC</v>
      </c>
      <c r="D185" t="str">
        <f>IFERROR(VLOOKUP($A185,'AAPT ExDa'!$B$2:$U$99, 15,FALSE), IFERROR(VLOOKUP($A185,'ABB ExDa'!$A$2:$N$184, 4,FALSE), IFERROR(VLOOKUP($A185,'Vocus SIT ExDa'!$B$2:$J$173, 5,FALSE), IFERROR(VLOOKUP($A185,'Telstra ExDa'!$B$2:$K$310, 8,FALSE), IFERROR(VLOOKUP($A185,'Vocus RVC ExDa'!$C$2:$R$155, 6,FALSE), IFERROR(VLOOKUP($A185,'Fusion ExDa'!$B$2:$D$16, 4,FALSE), IFERROR(VLOOKUP($A185,'Exetel ExDa'!$C$2:$N$14, 3,FALSE), IFERROR(VLOOKUP($A185,'Infinet ExDa'!$B$2:$E$14, 3,FALSE), "Not Found"))))))))</f>
        <v>ABB</v>
      </c>
      <c r="E185" t="str">
        <f>IFERROR(VLOOKUP($A185,'AAPT ExDa'!$B$2:$U$99, 3,FALSE), IFERROR(VLOOKUP($A185,'ABB ExDa'!$A$2:$N$184, 5,FALSE), IFERROR(VLOOKUP($A185,'Vocus SIT ExDa'!$B$2:$J$173, 2,FALSE), IFERROR(VLOOKUP($A185,'Telstra ExDa'!$B$2:$K$310, 4,FALSE), IFERROR(VLOOKUP($A185,'Vocus RVC ExDa'!$C$2:$R$155, 8,FALSE), IFERROR(VLOOKUP($A185,'Fusion ExDa'!$B$2:$D$16, 4,FALSE), IFERROR(VLOOKUP($A185,'Exetel ExDa'!$C$2:$N$14, 5,FALSE), IFERROR(VLOOKUP($A185,'Infinet ExDa'!$B$2:$E$14, 3,FALSE), "Not Found"))))))))</f>
        <v>NBN 25/10</v>
      </c>
      <c r="F185" t="str">
        <f>IFERROR(VLOOKUP($A185,'AAPT ExDa'!$B$2:$U$99, 4,FALSE), IFERROR(VLOOKUP($A185,'ABB ExDa'!$A$2:$N$184, 6,FALSE), IFERROR(VLOOKUP($A185,'Vocus SIT ExDa'!$B$2:$J$173, 3,FALSE), IFERROR(VLOOKUP($A185,'Telstra ExDa'!$B$2:$K$310, 5,FALSE), IFERROR(VLOOKUP($A185,'Vocus RVC ExDa'!$C$2:$R$155, 9,FALSE), IFERROR(VLOOKUP($A185,'Fusion ExDa'!$B$2:$D$16, 0,FALSE), IFERROR(VLOOKUP($A185,'Exetel ExDa'!$C$2:$N$14, 6,FALSE), IFERROR(VLOOKUP($A185,'Infinet ExDa'!$B$2:$E$14, 0,FALSE), "Not Found"))))))))</f>
        <v xml:space="preserve">FTTN </v>
      </c>
      <c r="G185" t="str">
        <f>IFERROR(VLOOKUP($A185,'AAPT ExDa'!$B$2:$U$99, 5,FALSE), IFERROR(VLOOKUP($A185,'ABB ExDa'!$A$2:$N$184, 8,FALSE), IFERROR(VLOOKUP($A185,'Vocus SIT ExDa'!$B$2:$J$173, 6,FALSE), IFERROR(VLOOKUP($A185,'Telstra ExDa'!$B$2:$K$310, 0,FALSE), IFERROR(VLOOKUP($A185,'Vocus RVC ExDa'!$C$2:$R$155, 15,FALSE), IFERROR(VLOOKUP($A185,'Fusion ExDa'!$B$2:$D$16, 0,FALSE), IFERROR(VLOOKUP($A185,'Exetel ExDa'!$C$2:$N$14, 7,FALSE), IFERROR(VLOOKUP($A185,'Infinet ExDa'!$B$2:$E$14, 0,FALSE), "Not Found"))))))))</f>
        <v>144.6.84.176</v>
      </c>
      <c r="H185" t="str">
        <f>IFERROR(VLOOKUP($A185,'AAPT ExDa'!$B$2:$U$99, 6,FALSE), IFERROR(VLOOKUP($A185,'ABB ExDa'!$A$2:$N$184, 0,FALSE), IFERROR(VLOOKUP($A185,'Vocus SIT ExDa'!$B$2:$J$173, 0,FALSE), IFERROR(VLOOKUP($A185,'Telstra ExDa'!$B$2:$K$310, 0,FALSE), IFERROR(VLOOKUP($A185,'Vocus RVC ExDa'!$C$2:$R$155, 16,FALSE), IFERROR(VLOOKUP($A185,'Fusion ExDa'!$B$2:$D$16, 0,FALSE), IFERROR(VLOOKUP($A185,'Exetel ExDa'!$C$2:$N$14, 0,FALSE), IFERROR(VLOOKUP($A185,'Infinet ExDa'!$B$2:$E$14, 0,FALSE), "Not Found"))))))))</f>
        <v>Not Found</v>
      </c>
      <c r="I185" t="str">
        <f>IFERROR(VLOOKUP($A185,'AAPT ExDa'!$B$2:$U$99, 0,FALSE), IFERROR(VLOOKUP($A185,'ABB ExDa'!$A$2:$N$184, 0,FALSE), IFERROR(VLOOKUP($A185,'Vocus SIT ExDa'!$B$2:$J$173, 0,FALSE), IFERROR(VLOOKUP($A185,'Telstra ExDa'!$B$2:$K$310, 0,FALSE), IFERROR(VLOOKUP($A185,'Vocus RVC ExDa'!$C$2:$R$155, 0,FALSE), IFERROR(VLOOKUP($A185,'Fusion ExDa'!$B$2:$D$16, 0,FALSE), IFERROR(VLOOKUP($A185,'Exetel ExDa'!$C$2:$N$14, 8,FALSE), IFERROR(VLOOKUP($A185,'Infinet ExDa'!$B$2:$E$14, 0,FALSE), "Not Found"))))))))</f>
        <v>Not Found</v>
      </c>
      <c r="J185" t="str">
        <f>IFERROR(VLOOKUP($A185,'AAPT ExDa'!$B$2:$U$99, 7,FALSE), IFERROR(VLOOKUP($A185,'ABB ExDa'!$A$2:$N$184, 2,FALSE), IFERROR(VLOOKUP($A185,'Vocus SIT ExDa'!$B$2:$J$173, 0,FALSE), IFERROR(VLOOKUP($A185,'Telstra ExDa'!$B$2:$K$310, 7,FALSE), IFERROR(VLOOKUP($A185,'Vocus RVC ExDa'!$C$2:$R$155, 2,FALSE), IFERROR(VLOOKUP($A185,'Fusion ExDa'!$B$2:$D$16, 3,FALSE), IFERROR(VLOOKUP($A185,'Exetel ExDa'!$C$2:$N$14, 0,FALSE), IFERROR(VLOOKUP($A185,'Infinet ExDa'!$B$2:$E$14, 0,FALSE), "Not Found"))))))))</f>
        <v>SHOP 8, 3050 FRANKSTON-FLINDERS RD, BALNARRING VIC</v>
      </c>
      <c r="K185" t="str">
        <f>IFERROR(VLOOKUP($A185,'AAPT ExDa'!$B$2:$U$99, 12,FALSE), IFERROR(VLOOKUP($A185,'ABB ExDa'!$A$2:$N$184, 0,FALSE), IFERROR(VLOOKUP($A185,'Vocus SIT ExDa'!$B$2:$J$173, 0,FALSE), IFERROR(VLOOKUP($A185,'Telstra ExDa'!$B$2:$K$310, 0,FALSE), IFERROR(VLOOKUP($A185,'Vocus RVC ExDa'!$C$2:$R$155, 0,FALSE), IFERROR(VLOOKUP($A185,'Fusion ExDa'!$B$2:$D$16, 0,FALSE), IFERROR(VLOOKUP($A185,'Exetel ExDa'!$C$2:$N$14, 12,FALSE), IFERROR(VLOOKUP($A185,'Infinet ExDa'!$B$2:$E$14, 0,FALSE), "Not Found"))))))))</f>
        <v>Not Found</v>
      </c>
      <c r="L185" s="235" t="str">
        <f>IFERROR(VLOOKUP($A185,'AAPT ExDa'!$B$2:$U$99, 11,FALSE), IFERROR(VLOOKUP($A185,'ABB ExDa'!$A$2:$N$184, 9,FALSE), IFERROR(VLOOKUP($A185,'Vocus SIT ExDa'!$B$2:$J$173, 8,FALSE), IFERROR(VLOOKUP($A185,'Telstra ExDa'!$B$2:$K$310, 0,FALSE), IFERROR(VLOOKUP($A185,'Vocus RVC ExDa'!$C$2:$R$155, 0,FALSE), IFERROR(VLOOKUP($A185,'Fusion ExDa'!$B$2:$D$16, 0,FALSE), IFERROR(VLOOKUP($A185,'Exetel ExDa'!$C$2:$N$14, 9,FALSE), IFERROR(VLOOKUP($A185,'Infinet ExDa'!$B$2:$E$14, 0,FALSE), "Not Found"))))))))</f>
        <v>05 Dec 2023</v>
      </c>
      <c r="M185" s="234" t="str">
        <f>IFERROR(VLOOKUP($A185,'AAPT ExDa'!$B$2:$U$99, 0,FALSE), IFERROR(VLOOKUP($A185,'ABB ExDa'!$A$2:$N$184, 0,FALSE), IFERROR(VLOOKUP($A185,'Vocus SIT ExDa'!$B$2:$J$173, 0,FALSE), IFERROR(VLOOKUP($A185,'Telstra ExDa'!$B$2:$K$310, 0,FALSE), IFERROR(VLOOKUP($A185,'Vocus RVC ExDa'!$C$2:$R$155, 0,FALSE), IFERROR(VLOOKUP($A185,'Fusion ExDa'!$B$2:$D$16, 0,FALSE), IFERROR(VLOOKUP($A185,'Exetel ExDa'!$C$2:$N$14, 11,FALSE), IFERROR(VLOOKUP($A185,'Infinet ExDa'!$B$2:$E$14, 0,FALSE), "Not Found"))))))))</f>
        <v>Not Found</v>
      </c>
      <c r="N185" t="str">
        <f>IFERROR(VLOOKUP($A185,'AAPT ExDa'!$B$2:$U$99, 0,FALSE), IFERROR(VLOOKUP($A185,'ABB ExDa'!$A$2:$N$184, 13,FALSE), IFERROR(VLOOKUP($A185,'Vocus SIT ExDa'!$B$2:$J$173, 0,FALSE), IFERROR(VLOOKUP($A185,'Telstra ExDa'!$B$2:$K$310, 0,FALSE), IFERROR(VLOOKUP($A185,'Vocus RVC ExDa'!$C$2:$R$155, 0,FALSE), IFERROR(VLOOKUP($A185,'Fusion ExDa'!$B$2:$D$16, 0,FALSE), IFERROR(VLOOKUP($A185,'Exetel ExDa'!$C$2:$N$14, 0,FALSE), IFERROR(VLOOKUP($A185,'Infinet ExDa'!$B$2:$E$14, 0,FALSE), "Not Found"))))))))</f>
        <v>Onebill</v>
      </c>
    </row>
    <row r="186" spans="1:14">
      <c r="A186" t="str">
        <v>Zambrero Banksia Grove</v>
      </c>
      <c r="B186" t="str">
        <f>IFERROR(VLOOKUP(A186,'Exetel ExDa'!$C$2:$N$14,4,FALSE),"No Data")</f>
        <v>No Data</v>
      </c>
      <c r="C186" t="str">
        <f>IFERROR(VLOOKUP(A186,'AAPT ExDa'!$B$2:$U$99, 2,FALSE), IFERROR(VLOOKUP(A186,'ABB ExDa'!$A$2:$N$184, 2,FALSE), IFERROR(VLOOKUP(A186,'Vocus SIT ExDa'!$B$2:$J$173, 7,FALSE), IFERROR(VLOOKUP(A186,'Telstra ExDa'!$B$2:$K$310, 2,FALSE), IFERROR(VLOOKUP(A186,'Vocus RVC ExDa'!$C$2:$R$155, 3,FALSE), IFERROR(VLOOKUP(A186,'Fusion ExDa'!$B$2:$D$16, 2,FALSE), IFERROR(VLOOKUP(A186,'Exetel ExDa'!$C$2:$N$14, 2,FALSE), IFERROR(VLOOKUP(A186,'Infinet ExDa'!$B$2:$E$14, 2,FALSE), "Not Found"))))))))</f>
        <v>BANKSIA GROVE VILLAGE TNCY 11, 1001 JOONDALUP DR, BANKSIA GROVE WA</v>
      </c>
      <c r="D186" t="str">
        <f>IFERROR(VLOOKUP($A186,'AAPT ExDa'!$B$2:$U$99, 15,FALSE), IFERROR(VLOOKUP($A186,'ABB ExDa'!$A$2:$N$184, 4,FALSE), IFERROR(VLOOKUP($A186,'Vocus SIT ExDa'!$B$2:$J$173, 5,FALSE), IFERROR(VLOOKUP($A186,'Telstra ExDa'!$B$2:$K$310, 8,FALSE), IFERROR(VLOOKUP($A186,'Vocus RVC ExDa'!$C$2:$R$155, 6,FALSE), IFERROR(VLOOKUP($A186,'Fusion ExDa'!$B$2:$D$16, 4,FALSE), IFERROR(VLOOKUP($A186,'Exetel ExDa'!$C$2:$N$14, 3,FALSE), IFERROR(VLOOKUP($A186,'Infinet ExDa'!$B$2:$E$14, 3,FALSE), "Not Found"))))))))</f>
        <v>ABB</v>
      </c>
      <c r="E186" t="str">
        <f>IFERROR(VLOOKUP($A186,'AAPT ExDa'!$B$2:$U$99, 3,FALSE), IFERROR(VLOOKUP($A186,'ABB ExDa'!$A$2:$N$184, 5,FALSE), IFERROR(VLOOKUP($A186,'Vocus SIT ExDa'!$B$2:$J$173, 2,FALSE), IFERROR(VLOOKUP($A186,'Telstra ExDa'!$B$2:$K$310, 4,FALSE), IFERROR(VLOOKUP($A186,'Vocus RVC ExDa'!$C$2:$R$155, 8,FALSE), IFERROR(VLOOKUP($A186,'Fusion ExDa'!$B$2:$D$16, 4,FALSE), IFERROR(VLOOKUP($A186,'Exetel ExDa'!$C$2:$N$14, 5,FALSE), IFERROR(VLOOKUP($A186,'Infinet ExDa'!$B$2:$E$14, 3,FALSE), "Not Found"))))))))</f>
        <v>NBN 100/40</v>
      </c>
      <c r="F186" t="str">
        <f>IFERROR(VLOOKUP($A186,'AAPT ExDa'!$B$2:$U$99, 4,FALSE), IFERROR(VLOOKUP($A186,'ABB ExDa'!$A$2:$N$184, 6,FALSE), IFERROR(VLOOKUP($A186,'Vocus SIT ExDa'!$B$2:$J$173, 3,FALSE), IFERROR(VLOOKUP($A186,'Telstra ExDa'!$B$2:$K$310, 5,FALSE), IFERROR(VLOOKUP($A186,'Vocus RVC ExDa'!$C$2:$R$155, 9,FALSE), IFERROR(VLOOKUP($A186,'Fusion ExDa'!$B$2:$D$16, 0,FALSE), IFERROR(VLOOKUP($A186,'Exetel ExDa'!$C$2:$N$14, 6,FALSE), IFERROR(VLOOKUP($A186,'Infinet ExDa'!$B$2:$E$14, 0,FALSE), "Not Found"))))))))</f>
        <v>FTTB</v>
      </c>
      <c r="G186" t="str">
        <f>IFERROR(VLOOKUP($A186,'AAPT ExDa'!$B$2:$U$99, 5,FALSE), IFERROR(VLOOKUP($A186,'ABB ExDa'!$A$2:$N$184, 8,FALSE), IFERROR(VLOOKUP($A186,'Vocus SIT ExDa'!$B$2:$J$173, 6,FALSE), IFERROR(VLOOKUP($A186,'Telstra ExDa'!$B$2:$K$310, 0,FALSE), IFERROR(VLOOKUP($A186,'Vocus RVC ExDa'!$C$2:$R$155, 15,FALSE), IFERROR(VLOOKUP($A186,'Fusion ExDa'!$B$2:$D$16, 0,FALSE), IFERROR(VLOOKUP($A186,'Exetel ExDa'!$C$2:$N$14, 7,FALSE), IFERROR(VLOOKUP($A186,'Infinet ExDa'!$B$2:$E$14, 0,FALSE), "Not Found"))))))))</f>
        <v>144.6.157.252</v>
      </c>
      <c r="H186">
        <f>IFERROR(VLOOKUP($A186,'AAPT ExDa'!$B$2:$U$99, 6,FALSE), IFERROR(VLOOKUP($A186,'ABB ExDa'!$A$2:$N$184, 0,FALSE), IFERROR(VLOOKUP($A186,'Vocus SIT ExDa'!$B$2:$J$173, 0,FALSE), IFERROR(VLOOKUP($A186,'Telstra ExDa'!$B$2:$K$310, 0,FALSE), IFERROR(VLOOKUP($A186,'Vocus RVC ExDa'!$C$2:$R$155, 16,FALSE), IFERROR(VLOOKUP($A186,'Fusion ExDa'!$B$2:$D$16, 0,FALSE), IFERROR(VLOOKUP($A186,'Exetel ExDa'!$C$2:$N$14, 0,FALSE), IFERROR(VLOOKUP($A186,'Infinet ExDa'!$B$2:$E$14, 0,FALSE), "Not Found"))))))))</f>
        <v>0</v>
      </c>
      <c r="I186" t="str">
        <f>IFERROR(VLOOKUP($A186,'AAPT ExDa'!$B$2:$U$99, 0,FALSE), IFERROR(VLOOKUP($A186,'ABB ExDa'!$A$2:$N$184, 0,FALSE), IFERROR(VLOOKUP($A186,'Vocus SIT ExDa'!$B$2:$J$173, 0,FALSE), IFERROR(VLOOKUP($A186,'Telstra ExDa'!$B$2:$K$310, 0,FALSE), IFERROR(VLOOKUP($A186,'Vocus RVC ExDa'!$C$2:$R$155, 0,FALSE), IFERROR(VLOOKUP($A186,'Fusion ExDa'!$B$2:$D$16, 0,FALSE), IFERROR(VLOOKUP($A186,'Exetel ExDa'!$C$2:$N$14, 8,FALSE), IFERROR(VLOOKUP($A186,'Infinet ExDa'!$B$2:$E$14, 0,FALSE), "Not Found"))))))))</f>
        <v>Not Found</v>
      </c>
      <c r="J186" t="str">
        <f>IFERROR(VLOOKUP($A186,'AAPT ExDa'!$B$2:$U$99, 7,FALSE), IFERROR(VLOOKUP($A186,'ABB ExDa'!$A$2:$N$184, 2,FALSE), IFERROR(VLOOKUP($A186,'Vocus SIT ExDa'!$B$2:$J$173, 0,FALSE), IFERROR(VLOOKUP($A186,'Telstra ExDa'!$B$2:$K$310, 7,FALSE), IFERROR(VLOOKUP($A186,'Vocus RVC ExDa'!$C$2:$R$155, 2,FALSE), IFERROR(VLOOKUP($A186,'Fusion ExDa'!$B$2:$D$16, 3,FALSE), IFERROR(VLOOKUP($A186,'Exetel ExDa'!$C$2:$N$14, 0,FALSE), IFERROR(VLOOKUP($A186,'Infinet ExDa'!$B$2:$E$14, 0,FALSE), "Not Found"))))))))</f>
        <v>BANKSIA GROVE VILLAGE TNCY 11, 1001 JOONDALUP DR, BANKSIA GROVE WA</v>
      </c>
      <c r="K186" t="str">
        <f>IFERROR(VLOOKUP($A186,'AAPT ExDa'!$B$2:$U$99, 12,FALSE), IFERROR(VLOOKUP($A186,'ABB ExDa'!$A$2:$N$184, 0,FALSE), IFERROR(VLOOKUP($A186,'Vocus SIT ExDa'!$B$2:$J$173, 0,FALSE), IFERROR(VLOOKUP($A186,'Telstra ExDa'!$B$2:$K$310, 0,FALSE), IFERROR(VLOOKUP($A186,'Vocus RVC ExDa'!$C$2:$R$155, 0,FALSE), IFERROR(VLOOKUP($A186,'Fusion ExDa'!$B$2:$D$16, 0,FALSE), IFERROR(VLOOKUP($A186,'Exetel ExDa'!$C$2:$N$14, 12,FALSE), IFERROR(VLOOKUP($A186,'Infinet ExDa'!$B$2:$E$14, 0,FALSE), "Not Found"))))))))</f>
        <v>Not Found</v>
      </c>
      <c r="L186" s="235" t="str">
        <f>IFERROR(VLOOKUP($A186,'AAPT ExDa'!$B$2:$U$99, 11,FALSE), IFERROR(VLOOKUP($A186,'ABB ExDa'!$A$2:$N$184, 9,FALSE), IFERROR(VLOOKUP($A186,'Vocus SIT ExDa'!$B$2:$J$173, 8,FALSE), IFERROR(VLOOKUP($A186,'Telstra ExDa'!$B$2:$K$310, 0,FALSE), IFERROR(VLOOKUP($A186,'Vocus RVC ExDa'!$C$2:$R$155, 0,FALSE), IFERROR(VLOOKUP($A186,'Fusion ExDa'!$B$2:$D$16, 0,FALSE), IFERROR(VLOOKUP($A186,'Exetel ExDa'!$C$2:$N$14, 9,FALSE), IFERROR(VLOOKUP($A186,'Infinet ExDa'!$B$2:$E$14, 0,FALSE), "Not Found"))))))))</f>
        <v>9 Sept 2025</v>
      </c>
      <c r="M186" s="234" t="str">
        <f>IFERROR(VLOOKUP($A186,'AAPT ExDa'!$B$2:$U$99, 0,FALSE), IFERROR(VLOOKUP($A186,'ABB ExDa'!$A$2:$N$184, 0,FALSE), IFERROR(VLOOKUP($A186,'Vocus SIT ExDa'!$B$2:$J$173, 0,FALSE), IFERROR(VLOOKUP($A186,'Telstra ExDa'!$B$2:$K$310, 0,FALSE), IFERROR(VLOOKUP($A186,'Vocus RVC ExDa'!$C$2:$R$155, 0,FALSE), IFERROR(VLOOKUP($A186,'Fusion ExDa'!$B$2:$D$16, 0,FALSE), IFERROR(VLOOKUP($A186,'Exetel ExDa'!$C$2:$N$14, 11,FALSE), IFERROR(VLOOKUP($A186,'Infinet ExDa'!$B$2:$E$14, 0,FALSE), "Not Found"))))))))</f>
        <v>Not Found</v>
      </c>
      <c r="N186" t="str">
        <f>IFERROR(VLOOKUP($A186,'AAPT ExDa'!$B$2:$U$99, 0,FALSE), IFERROR(VLOOKUP($A186,'ABB ExDa'!$A$2:$N$184, 13,FALSE), IFERROR(VLOOKUP($A186,'Vocus SIT ExDa'!$B$2:$J$173, 0,FALSE), IFERROR(VLOOKUP($A186,'Telstra ExDa'!$B$2:$K$310, 0,FALSE), IFERROR(VLOOKUP($A186,'Vocus RVC ExDa'!$C$2:$R$155, 0,FALSE), IFERROR(VLOOKUP($A186,'Fusion ExDa'!$B$2:$D$16, 0,FALSE), IFERROR(VLOOKUP($A186,'Exetel ExDa'!$C$2:$N$14, 0,FALSE), IFERROR(VLOOKUP($A186,'Infinet ExDa'!$B$2:$E$14, 0,FALSE), "Not Found"))))))))</f>
        <v>Onebill</v>
      </c>
    </row>
    <row r="187" spans="1:14">
      <c r="A187" t="str">
        <v>Zambrero Beldon</v>
      </c>
      <c r="B187" t="str">
        <f>IFERROR(VLOOKUP(A187,'Exetel ExDa'!$C$2:$N$14,4,FALSE),"No Data")</f>
        <v>No Data</v>
      </c>
      <c r="C187" t="str">
        <f>IFERROR(VLOOKUP(A187,'AAPT ExDa'!$B$2:$U$99, 2,FALSE), IFERROR(VLOOKUP(A187,'ABB ExDa'!$A$2:$N$184, 2,FALSE), IFERROR(VLOOKUP(A187,'Vocus SIT ExDa'!$B$2:$J$173, 7,FALSE), IFERROR(VLOOKUP(A187,'Telstra ExDa'!$B$2:$K$310, 2,FALSE), IFERROR(VLOOKUP(A187,'Vocus RVC ExDa'!$C$2:$R$155, 3,FALSE), IFERROR(VLOOKUP(A187,'Fusion ExDa'!$B$2:$D$16, 2,FALSE), IFERROR(VLOOKUP(A187,'Exetel ExDa'!$C$2:$N$14, 2,FALSE), IFERROR(VLOOKUP(A187,'Infinet ExDa'!$B$2:$E$14, 2,FALSE), "Not Found"))))))))</f>
        <v>BELRIDGE SHOPPING CENTRE UN 4, 36 GWENDOLINE DR, BELDON WA</v>
      </c>
      <c r="D187" t="str">
        <f>IFERROR(VLOOKUP($A187,'AAPT ExDa'!$B$2:$U$99, 15,FALSE), IFERROR(VLOOKUP($A187,'ABB ExDa'!$A$2:$N$184, 4,FALSE), IFERROR(VLOOKUP($A187,'Vocus SIT ExDa'!$B$2:$J$173, 5,FALSE), IFERROR(VLOOKUP($A187,'Telstra ExDa'!$B$2:$K$310, 8,FALSE), IFERROR(VLOOKUP($A187,'Vocus RVC ExDa'!$C$2:$R$155, 6,FALSE), IFERROR(VLOOKUP($A187,'Fusion ExDa'!$B$2:$D$16, 4,FALSE), IFERROR(VLOOKUP($A187,'Exetel ExDa'!$C$2:$N$14, 3,FALSE), IFERROR(VLOOKUP($A187,'Infinet ExDa'!$B$2:$E$14, 3,FALSE), "Not Found"))))))))</f>
        <v>ABB</v>
      </c>
      <c r="E187" t="str">
        <f>IFERROR(VLOOKUP($A187,'AAPT ExDa'!$B$2:$U$99, 3,FALSE), IFERROR(VLOOKUP($A187,'ABB ExDa'!$A$2:$N$184, 5,FALSE), IFERROR(VLOOKUP($A187,'Vocus SIT ExDa'!$B$2:$J$173, 2,FALSE), IFERROR(VLOOKUP($A187,'Telstra ExDa'!$B$2:$K$310, 4,FALSE), IFERROR(VLOOKUP($A187,'Vocus RVC ExDa'!$C$2:$R$155, 8,FALSE), IFERROR(VLOOKUP($A187,'Fusion ExDa'!$B$2:$D$16, 4,FALSE), IFERROR(VLOOKUP($A187,'Exetel ExDa'!$C$2:$N$14, 5,FALSE), IFERROR(VLOOKUP($A187,'Infinet ExDa'!$B$2:$E$14, 3,FALSE), "Not Found"))))))))</f>
        <v>NBN 100/20</v>
      </c>
      <c r="F187" t="str">
        <f>IFERROR(VLOOKUP($A187,'AAPT ExDa'!$B$2:$U$99, 4,FALSE), IFERROR(VLOOKUP($A187,'ABB ExDa'!$A$2:$N$184, 6,FALSE), IFERROR(VLOOKUP($A187,'Vocus SIT ExDa'!$B$2:$J$173, 3,FALSE), IFERROR(VLOOKUP($A187,'Telstra ExDa'!$B$2:$K$310, 5,FALSE), IFERROR(VLOOKUP($A187,'Vocus RVC ExDa'!$C$2:$R$155, 9,FALSE), IFERROR(VLOOKUP($A187,'Fusion ExDa'!$B$2:$D$16, 0,FALSE), IFERROR(VLOOKUP($A187,'Exetel ExDa'!$C$2:$N$14, 6,FALSE), IFERROR(VLOOKUP($A187,'Infinet ExDa'!$B$2:$E$14, 0,FALSE), "Not Found"))))))))</f>
        <v>HFC</v>
      </c>
      <c r="G187" t="str">
        <f>IFERROR(VLOOKUP($A187,'AAPT ExDa'!$B$2:$U$99, 5,FALSE), IFERROR(VLOOKUP($A187,'ABB ExDa'!$A$2:$N$184, 8,FALSE), IFERROR(VLOOKUP($A187,'Vocus SIT ExDa'!$B$2:$J$173, 6,FALSE), IFERROR(VLOOKUP($A187,'Telstra ExDa'!$B$2:$K$310, 0,FALSE), IFERROR(VLOOKUP($A187,'Vocus RVC ExDa'!$C$2:$R$155, 15,FALSE), IFERROR(VLOOKUP($A187,'Fusion ExDa'!$B$2:$D$16, 0,FALSE), IFERROR(VLOOKUP($A187,'Exetel ExDa'!$C$2:$N$14, 7,FALSE), IFERROR(VLOOKUP($A187,'Infinet ExDa'!$B$2:$E$14, 0,FALSE), "Not Found"))))))))</f>
        <v>61.245.132.106</v>
      </c>
      <c r="H187">
        <f>IFERROR(VLOOKUP($A187,'AAPT ExDa'!$B$2:$U$99, 6,FALSE), IFERROR(VLOOKUP($A187,'ABB ExDa'!$A$2:$N$184, 0,FALSE), IFERROR(VLOOKUP($A187,'Vocus SIT ExDa'!$B$2:$J$173, 0,FALSE), IFERROR(VLOOKUP($A187,'Telstra ExDa'!$B$2:$K$310, 0,FALSE), IFERROR(VLOOKUP($A187,'Vocus RVC ExDa'!$C$2:$R$155, 16,FALSE), IFERROR(VLOOKUP($A187,'Fusion ExDa'!$B$2:$D$16, 0,FALSE), IFERROR(VLOOKUP($A187,'Exetel ExDa'!$C$2:$N$14, 0,FALSE), IFERROR(VLOOKUP($A187,'Infinet ExDa'!$B$2:$E$14, 0,FALSE), "Not Found"))))))))</f>
        <v>0</v>
      </c>
      <c r="I187" t="str">
        <f>IFERROR(VLOOKUP($A187,'AAPT ExDa'!$B$2:$U$99, 0,FALSE), IFERROR(VLOOKUP($A187,'ABB ExDa'!$A$2:$N$184, 0,FALSE), IFERROR(VLOOKUP($A187,'Vocus SIT ExDa'!$B$2:$J$173, 0,FALSE), IFERROR(VLOOKUP($A187,'Telstra ExDa'!$B$2:$K$310, 0,FALSE), IFERROR(VLOOKUP($A187,'Vocus RVC ExDa'!$C$2:$R$155, 0,FALSE), IFERROR(VLOOKUP($A187,'Fusion ExDa'!$B$2:$D$16, 0,FALSE), IFERROR(VLOOKUP($A187,'Exetel ExDa'!$C$2:$N$14, 8,FALSE), IFERROR(VLOOKUP($A187,'Infinet ExDa'!$B$2:$E$14, 0,FALSE), "Not Found"))))))))</f>
        <v>Not Found</v>
      </c>
      <c r="J187" t="str">
        <f>IFERROR(VLOOKUP($A187,'AAPT ExDa'!$B$2:$U$99, 7,FALSE), IFERROR(VLOOKUP($A187,'ABB ExDa'!$A$2:$N$184, 2,FALSE), IFERROR(VLOOKUP($A187,'Vocus SIT ExDa'!$B$2:$J$173, 0,FALSE), IFERROR(VLOOKUP($A187,'Telstra ExDa'!$B$2:$K$310, 7,FALSE), IFERROR(VLOOKUP($A187,'Vocus RVC ExDa'!$C$2:$R$155, 2,FALSE), IFERROR(VLOOKUP($A187,'Fusion ExDa'!$B$2:$D$16, 3,FALSE), IFERROR(VLOOKUP($A187,'Exetel ExDa'!$C$2:$N$14, 0,FALSE), IFERROR(VLOOKUP($A187,'Infinet ExDa'!$B$2:$E$14, 0,FALSE), "Not Found"))))))))</f>
        <v>BELRIDGE SHOPPING CENTRE UN 4, 36 GWENDOLINE DR, BELDON WA</v>
      </c>
      <c r="K187" t="str">
        <f>IFERROR(VLOOKUP($A187,'AAPT ExDa'!$B$2:$U$99, 12,FALSE), IFERROR(VLOOKUP($A187,'ABB ExDa'!$A$2:$N$184, 0,FALSE), IFERROR(VLOOKUP($A187,'Vocus SIT ExDa'!$B$2:$J$173, 0,FALSE), IFERROR(VLOOKUP($A187,'Telstra ExDa'!$B$2:$K$310, 0,FALSE), IFERROR(VLOOKUP($A187,'Vocus RVC ExDa'!$C$2:$R$155, 0,FALSE), IFERROR(VLOOKUP($A187,'Fusion ExDa'!$B$2:$D$16, 0,FALSE), IFERROR(VLOOKUP($A187,'Exetel ExDa'!$C$2:$N$14, 12,FALSE), IFERROR(VLOOKUP($A187,'Infinet ExDa'!$B$2:$E$14, 0,FALSE), "Not Found"))))))))</f>
        <v>Not Found</v>
      </c>
      <c r="L187" s="235" t="str">
        <f>IFERROR(VLOOKUP($A187,'AAPT ExDa'!$B$2:$U$99, 11,FALSE), IFERROR(VLOOKUP($A187,'ABB ExDa'!$A$2:$N$184, 9,FALSE), IFERROR(VLOOKUP($A187,'Vocus SIT ExDa'!$B$2:$J$173, 8,FALSE), IFERROR(VLOOKUP($A187,'Telstra ExDa'!$B$2:$K$310, 0,FALSE), IFERROR(VLOOKUP($A187,'Vocus RVC ExDa'!$C$2:$R$155, 0,FALSE), IFERROR(VLOOKUP($A187,'Fusion ExDa'!$B$2:$D$16, 0,FALSE), IFERROR(VLOOKUP($A187,'Exetel ExDa'!$C$2:$N$14, 9,FALSE), IFERROR(VLOOKUP($A187,'Infinet ExDa'!$B$2:$E$14, 0,FALSE), "Not Found"))))))))</f>
        <v>17 July 2025</v>
      </c>
      <c r="M187" s="234" t="str">
        <f>IFERROR(VLOOKUP($A187,'AAPT ExDa'!$B$2:$U$99, 0,FALSE), IFERROR(VLOOKUP($A187,'ABB ExDa'!$A$2:$N$184, 0,FALSE), IFERROR(VLOOKUP($A187,'Vocus SIT ExDa'!$B$2:$J$173, 0,FALSE), IFERROR(VLOOKUP($A187,'Telstra ExDa'!$B$2:$K$310, 0,FALSE), IFERROR(VLOOKUP($A187,'Vocus RVC ExDa'!$C$2:$R$155, 0,FALSE), IFERROR(VLOOKUP($A187,'Fusion ExDa'!$B$2:$D$16, 0,FALSE), IFERROR(VLOOKUP($A187,'Exetel ExDa'!$C$2:$N$14, 11,FALSE), IFERROR(VLOOKUP($A187,'Infinet ExDa'!$B$2:$E$14, 0,FALSE), "Not Found"))))))))</f>
        <v>Not Found</v>
      </c>
      <c r="N187" t="str">
        <f>IFERROR(VLOOKUP($A187,'AAPT ExDa'!$B$2:$U$99, 0,FALSE), IFERROR(VLOOKUP($A187,'ABB ExDa'!$A$2:$N$184, 13,FALSE), IFERROR(VLOOKUP($A187,'Vocus SIT ExDa'!$B$2:$J$173, 0,FALSE), IFERROR(VLOOKUP($A187,'Telstra ExDa'!$B$2:$K$310, 0,FALSE), IFERROR(VLOOKUP($A187,'Vocus RVC ExDa'!$C$2:$R$155, 0,FALSE), IFERROR(VLOOKUP($A187,'Fusion ExDa'!$B$2:$D$16, 0,FALSE), IFERROR(VLOOKUP($A187,'Exetel ExDa'!$C$2:$N$14, 0,FALSE), IFERROR(VLOOKUP($A187,'Infinet ExDa'!$B$2:$E$14, 0,FALSE), "Not Found"))))))))</f>
        <v>Onebill</v>
      </c>
    </row>
    <row r="188" spans="1:14">
      <c r="A188" t="str">
        <v>Zambrero Bentleigh</v>
      </c>
      <c r="B188" t="str">
        <f>IFERROR(VLOOKUP(A188,'Exetel ExDa'!$C$2:$N$14,4,FALSE),"No Data")</f>
        <v>No Data</v>
      </c>
      <c r="C188" t="str">
        <f>IFERROR(VLOOKUP(A188,'AAPT ExDa'!$B$2:$U$99, 2,FALSE), IFERROR(VLOOKUP(A188,'ABB ExDa'!$A$2:$N$184, 2,FALSE), IFERROR(VLOOKUP(A188,'Vocus SIT ExDa'!$B$2:$J$173, 7,FALSE), IFERROR(VLOOKUP(A188,'Telstra ExDa'!$B$2:$K$310, 2,FALSE), IFERROR(VLOOKUP(A188,'Vocus RVC ExDa'!$C$2:$R$155, 3,FALSE), IFERROR(VLOOKUP(A188,'Fusion ExDa'!$B$2:$D$16, 2,FALSE), IFERROR(VLOOKUP(A188,'Exetel ExDa'!$C$2:$N$14, 2,FALSE), IFERROR(VLOOKUP(A188,'Infinet ExDa'!$B$2:$E$14, 2,FALSE), "Not Found"))))))))</f>
        <v>476 CENTRE RD, BENTLEIGH VIC</v>
      </c>
      <c r="D188" t="str">
        <f>IFERROR(VLOOKUP($A188,'AAPT ExDa'!$B$2:$U$99, 15,FALSE), IFERROR(VLOOKUP($A188,'ABB ExDa'!$A$2:$N$184, 4,FALSE), IFERROR(VLOOKUP($A188,'Vocus SIT ExDa'!$B$2:$J$173, 5,FALSE), IFERROR(VLOOKUP($A188,'Telstra ExDa'!$B$2:$K$310, 8,FALSE), IFERROR(VLOOKUP($A188,'Vocus RVC ExDa'!$C$2:$R$155, 6,FALSE), IFERROR(VLOOKUP($A188,'Fusion ExDa'!$B$2:$D$16, 4,FALSE), IFERROR(VLOOKUP($A188,'Exetel ExDa'!$C$2:$N$14, 3,FALSE), IFERROR(VLOOKUP($A188,'Infinet ExDa'!$B$2:$E$14, 3,FALSE), "Not Found"))))))))</f>
        <v>ABB</v>
      </c>
      <c r="E188" t="str">
        <f>IFERROR(VLOOKUP($A188,'AAPT ExDa'!$B$2:$U$99, 3,FALSE), IFERROR(VLOOKUP($A188,'ABB ExDa'!$A$2:$N$184, 5,FALSE), IFERROR(VLOOKUP($A188,'Vocus SIT ExDa'!$B$2:$J$173, 2,FALSE), IFERROR(VLOOKUP($A188,'Telstra ExDa'!$B$2:$K$310, 4,FALSE), IFERROR(VLOOKUP($A188,'Vocus RVC ExDa'!$C$2:$R$155, 8,FALSE), IFERROR(VLOOKUP($A188,'Fusion ExDa'!$B$2:$D$16, 4,FALSE), IFERROR(VLOOKUP($A188,'Exetel ExDa'!$C$2:$N$14, 5,FALSE), IFERROR(VLOOKUP($A188,'Infinet ExDa'!$B$2:$E$14, 3,FALSE), "Not Found"))))))))</f>
        <v>NBN 100/40</v>
      </c>
      <c r="F188" t="str">
        <f>IFERROR(VLOOKUP($A188,'AAPT ExDa'!$B$2:$U$99, 4,FALSE), IFERROR(VLOOKUP($A188,'ABB ExDa'!$A$2:$N$184, 6,FALSE), IFERROR(VLOOKUP($A188,'Vocus SIT ExDa'!$B$2:$J$173, 3,FALSE), IFERROR(VLOOKUP($A188,'Telstra ExDa'!$B$2:$K$310, 5,FALSE), IFERROR(VLOOKUP($A188,'Vocus RVC ExDa'!$C$2:$R$155, 9,FALSE), IFERROR(VLOOKUP($A188,'Fusion ExDa'!$B$2:$D$16, 0,FALSE), IFERROR(VLOOKUP($A188,'Exetel ExDa'!$C$2:$N$14, 6,FALSE), IFERROR(VLOOKUP($A188,'Infinet ExDa'!$B$2:$E$14, 0,FALSE), "Not Found"))))))))</f>
        <v xml:space="preserve">Fibre </v>
      </c>
      <c r="G188" t="str">
        <f>IFERROR(VLOOKUP($A188,'AAPT ExDa'!$B$2:$U$99, 5,FALSE), IFERROR(VLOOKUP($A188,'ABB ExDa'!$A$2:$N$184, 8,FALSE), IFERROR(VLOOKUP($A188,'Vocus SIT ExDa'!$B$2:$J$173, 6,FALSE), IFERROR(VLOOKUP($A188,'Telstra ExDa'!$B$2:$K$310, 0,FALSE), IFERROR(VLOOKUP($A188,'Vocus RVC ExDa'!$C$2:$R$155, 15,FALSE), IFERROR(VLOOKUP($A188,'Fusion ExDa'!$B$2:$D$16, 0,FALSE), IFERROR(VLOOKUP($A188,'Exetel ExDa'!$C$2:$N$14, 7,FALSE), IFERROR(VLOOKUP($A188,'Infinet ExDa'!$B$2:$E$14, 0,FALSE), "Not Found"))))))))</f>
        <v>180.181.192.46</v>
      </c>
      <c r="H188">
        <f>IFERROR(VLOOKUP($A188,'AAPT ExDa'!$B$2:$U$99, 6,FALSE), IFERROR(VLOOKUP($A188,'ABB ExDa'!$A$2:$N$184, 0,FALSE), IFERROR(VLOOKUP($A188,'Vocus SIT ExDa'!$B$2:$J$173, 0,FALSE), IFERROR(VLOOKUP($A188,'Telstra ExDa'!$B$2:$K$310, 0,FALSE), IFERROR(VLOOKUP($A188,'Vocus RVC ExDa'!$C$2:$R$155, 16,FALSE), IFERROR(VLOOKUP($A188,'Fusion ExDa'!$B$2:$D$16, 0,FALSE), IFERROR(VLOOKUP($A188,'Exetel ExDa'!$C$2:$N$14, 0,FALSE), IFERROR(VLOOKUP($A188,'Infinet ExDa'!$B$2:$E$14, 0,FALSE), "Not Found"))))))))</f>
        <v>0</v>
      </c>
      <c r="I188" t="str">
        <f>IFERROR(VLOOKUP($A188,'AAPT ExDa'!$B$2:$U$99, 0,FALSE), IFERROR(VLOOKUP($A188,'ABB ExDa'!$A$2:$N$184, 0,FALSE), IFERROR(VLOOKUP($A188,'Vocus SIT ExDa'!$B$2:$J$173, 0,FALSE), IFERROR(VLOOKUP($A188,'Telstra ExDa'!$B$2:$K$310, 0,FALSE), IFERROR(VLOOKUP($A188,'Vocus RVC ExDa'!$C$2:$R$155, 0,FALSE), IFERROR(VLOOKUP($A188,'Fusion ExDa'!$B$2:$D$16, 0,FALSE), IFERROR(VLOOKUP($A188,'Exetel ExDa'!$C$2:$N$14, 8,FALSE), IFERROR(VLOOKUP($A188,'Infinet ExDa'!$B$2:$E$14, 0,FALSE), "Not Found"))))))))</f>
        <v>Not Found</v>
      </c>
      <c r="J188" t="str">
        <f>IFERROR(VLOOKUP($A188,'AAPT ExDa'!$B$2:$U$99, 7,FALSE), IFERROR(VLOOKUP($A188,'ABB ExDa'!$A$2:$N$184, 2,FALSE), IFERROR(VLOOKUP($A188,'Vocus SIT ExDa'!$B$2:$J$173, 0,FALSE), IFERROR(VLOOKUP($A188,'Telstra ExDa'!$B$2:$K$310, 7,FALSE), IFERROR(VLOOKUP($A188,'Vocus RVC ExDa'!$C$2:$R$155, 2,FALSE), IFERROR(VLOOKUP($A188,'Fusion ExDa'!$B$2:$D$16, 3,FALSE), IFERROR(VLOOKUP($A188,'Exetel ExDa'!$C$2:$N$14, 0,FALSE), IFERROR(VLOOKUP($A188,'Infinet ExDa'!$B$2:$E$14, 0,FALSE), "Not Found"))))))))</f>
        <v>476 CENTRE RD, BENTLEIGH VIC</v>
      </c>
      <c r="K188" t="str">
        <f>IFERROR(VLOOKUP($A188,'AAPT ExDa'!$B$2:$U$99, 12,FALSE), IFERROR(VLOOKUP($A188,'ABB ExDa'!$A$2:$N$184, 0,FALSE), IFERROR(VLOOKUP($A188,'Vocus SIT ExDa'!$B$2:$J$173, 0,FALSE), IFERROR(VLOOKUP($A188,'Telstra ExDa'!$B$2:$K$310, 0,FALSE), IFERROR(VLOOKUP($A188,'Vocus RVC ExDa'!$C$2:$R$155, 0,FALSE), IFERROR(VLOOKUP($A188,'Fusion ExDa'!$B$2:$D$16, 0,FALSE), IFERROR(VLOOKUP($A188,'Exetel ExDa'!$C$2:$N$14, 12,FALSE), IFERROR(VLOOKUP($A188,'Infinet ExDa'!$B$2:$E$14, 0,FALSE), "Not Found"))))))))</f>
        <v>Not Found</v>
      </c>
      <c r="L188" s="235" t="str">
        <f>IFERROR(VLOOKUP($A188,'AAPT ExDa'!$B$2:$U$99, 11,FALSE), IFERROR(VLOOKUP($A188,'ABB ExDa'!$A$2:$N$184, 9,FALSE), IFERROR(VLOOKUP($A188,'Vocus SIT ExDa'!$B$2:$J$173, 8,FALSE), IFERROR(VLOOKUP($A188,'Telstra ExDa'!$B$2:$K$310, 0,FALSE), IFERROR(VLOOKUP($A188,'Vocus RVC ExDa'!$C$2:$R$155, 0,FALSE), IFERROR(VLOOKUP($A188,'Fusion ExDa'!$B$2:$D$16, 0,FALSE), IFERROR(VLOOKUP($A188,'Exetel ExDa'!$C$2:$N$14, 9,FALSE), IFERROR(VLOOKUP($A188,'Infinet ExDa'!$B$2:$E$14, 0,FALSE), "Not Found"))))))))</f>
        <v>28 Feb 2025</v>
      </c>
      <c r="M188" s="234" t="str">
        <f>IFERROR(VLOOKUP($A188,'AAPT ExDa'!$B$2:$U$99, 0,FALSE), IFERROR(VLOOKUP($A188,'ABB ExDa'!$A$2:$N$184, 0,FALSE), IFERROR(VLOOKUP($A188,'Vocus SIT ExDa'!$B$2:$J$173, 0,FALSE), IFERROR(VLOOKUP($A188,'Telstra ExDa'!$B$2:$K$310, 0,FALSE), IFERROR(VLOOKUP($A188,'Vocus RVC ExDa'!$C$2:$R$155, 0,FALSE), IFERROR(VLOOKUP($A188,'Fusion ExDa'!$B$2:$D$16, 0,FALSE), IFERROR(VLOOKUP($A188,'Exetel ExDa'!$C$2:$N$14, 11,FALSE), IFERROR(VLOOKUP($A188,'Infinet ExDa'!$B$2:$E$14, 0,FALSE), "Not Found"))))))))</f>
        <v>Not Found</v>
      </c>
      <c r="N188" t="str">
        <f>IFERROR(VLOOKUP($A188,'AAPT ExDa'!$B$2:$U$99, 0,FALSE), IFERROR(VLOOKUP($A188,'ABB ExDa'!$A$2:$N$184, 13,FALSE), IFERROR(VLOOKUP($A188,'Vocus SIT ExDa'!$B$2:$J$173, 0,FALSE), IFERROR(VLOOKUP($A188,'Telstra ExDa'!$B$2:$K$310, 0,FALSE), IFERROR(VLOOKUP($A188,'Vocus RVC ExDa'!$C$2:$R$155, 0,FALSE), IFERROR(VLOOKUP($A188,'Fusion ExDa'!$B$2:$D$16, 0,FALSE), IFERROR(VLOOKUP($A188,'Exetel ExDa'!$C$2:$N$14, 0,FALSE), IFERROR(VLOOKUP($A188,'Infinet ExDa'!$B$2:$E$14, 0,FALSE), "Not Found"))))))))</f>
        <v>Onebill</v>
      </c>
    </row>
    <row r="189" spans="1:14">
      <c r="A189" t="str">
        <v>Zambrero Bentleigh</v>
      </c>
      <c r="B189" t="str">
        <f>IFERROR(VLOOKUP(A189,'Exetel ExDa'!$C$2:$N$14,4,FALSE),"No Data")</f>
        <v>No Data</v>
      </c>
      <c r="C189" t="str">
        <f>IFERROR(VLOOKUP(A189,'AAPT ExDa'!$B$2:$U$99, 2,FALSE), IFERROR(VLOOKUP(A189,'ABB ExDa'!$A$2:$N$184, 2,FALSE), IFERROR(VLOOKUP(A189,'Vocus SIT ExDa'!$B$2:$J$173, 7,FALSE), IFERROR(VLOOKUP(A189,'Telstra ExDa'!$B$2:$K$310, 2,FALSE), IFERROR(VLOOKUP(A189,'Vocus RVC ExDa'!$C$2:$R$155, 3,FALSE), IFERROR(VLOOKUP(A189,'Fusion ExDa'!$B$2:$D$16, 2,FALSE), IFERROR(VLOOKUP(A189,'Exetel ExDa'!$C$2:$N$14, 2,FALSE), IFERROR(VLOOKUP(A189,'Infinet ExDa'!$B$2:$E$14, 2,FALSE), "Not Found"))))))))</f>
        <v>476 CENTRE RD, BENTLEIGH VIC</v>
      </c>
      <c r="D189" t="str">
        <f>IFERROR(VLOOKUP($A189,'AAPT ExDa'!$B$2:$U$99, 15,FALSE), IFERROR(VLOOKUP($A189,'ABB ExDa'!$A$2:$N$184, 4,FALSE), IFERROR(VLOOKUP($A189,'Vocus SIT ExDa'!$B$2:$J$173, 5,FALSE), IFERROR(VLOOKUP($A189,'Telstra ExDa'!$B$2:$K$310, 8,FALSE), IFERROR(VLOOKUP($A189,'Vocus RVC ExDa'!$C$2:$R$155, 6,FALSE), IFERROR(VLOOKUP($A189,'Fusion ExDa'!$B$2:$D$16, 4,FALSE), IFERROR(VLOOKUP($A189,'Exetel ExDa'!$C$2:$N$14, 3,FALSE), IFERROR(VLOOKUP($A189,'Infinet ExDa'!$B$2:$E$14, 3,FALSE), "Not Found"))))))))</f>
        <v>ABB</v>
      </c>
      <c r="E189" t="str">
        <f>IFERROR(VLOOKUP($A189,'AAPT ExDa'!$B$2:$U$99, 3,FALSE), IFERROR(VLOOKUP($A189,'ABB ExDa'!$A$2:$N$184, 5,FALSE), IFERROR(VLOOKUP($A189,'Vocus SIT ExDa'!$B$2:$J$173, 2,FALSE), IFERROR(VLOOKUP($A189,'Telstra ExDa'!$B$2:$K$310, 4,FALSE), IFERROR(VLOOKUP($A189,'Vocus RVC ExDa'!$C$2:$R$155, 8,FALSE), IFERROR(VLOOKUP($A189,'Fusion ExDa'!$B$2:$D$16, 4,FALSE), IFERROR(VLOOKUP($A189,'Exetel ExDa'!$C$2:$N$14, 5,FALSE), IFERROR(VLOOKUP($A189,'Infinet ExDa'!$B$2:$E$14, 3,FALSE), "Not Found"))))))))</f>
        <v>NBN 100/40</v>
      </c>
      <c r="F189" t="str">
        <f>IFERROR(VLOOKUP($A189,'AAPT ExDa'!$B$2:$U$99, 4,FALSE), IFERROR(VLOOKUP($A189,'ABB ExDa'!$A$2:$N$184, 6,FALSE), IFERROR(VLOOKUP($A189,'Vocus SIT ExDa'!$B$2:$J$173, 3,FALSE), IFERROR(VLOOKUP($A189,'Telstra ExDa'!$B$2:$K$310, 5,FALSE), IFERROR(VLOOKUP($A189,'Vocus RVC ExDa'!$C$2:$R$155, 9,FALSE), IFERROR(VLOOKUP($A189,'Fusion ExDa'!$B$2:$D$16, 0,FALSE), IFERROR(VLOOKUP($A189,'Exetel ExDa'!$C$2:$N$14, 6,FALSE), IFERROR(VLOOKUP($A189,'Infinet ExDa'!$B$2:$E$14, 0,FALSE), "Not Found"))))))))</f>
        <v xml:space="preserve">Fibre </v>
      </c>
      <c r="G189" t="str">
        <f>IFERROR(VLOOKUP($A189,'AAPT ExDa'!$B$2:$U$99, 5,FALSE), IFERROR(VLOOKUP($A189,'ABB ExDa'!$A$2:$N$184, 8,FALSE), IFERROR(VLOOKUP($A189,'Vocus SIT ExDa'!$B$2:$J$173, 6,FALSE), IFERROR(VLOOKUP($A189,'Telstra ExDa'!$B$2:$K$310, 0,FALSE), IFERROR(VLOOKUP($A189,'Vocus RVC ExDa'!$C$2:$R$155, 15,FALSE), IFERROR(VLOOKUP($A189,'Fusion ExDa'!$B$2:$D$16, 0,FALSE), IFERROR(VLOOKUP($A189,'Exetel ExDa'!$C$2:$N$14, 7,FALSE), IFERROR(VLOOKUP($A189,'Infinet ExDa'!$B$2:$E$14, 0,FALSE), "Not Found"))))))))</f>
        <v>180.181.192.46</v>
      </c>
      <c r="H189">
        <f>IFERROR(VLOOKUP($A189,'AAPT ExDa'!$B$2:$U$99, 6,FALSE), IFERROR(VLOOKUP($A189,'ABB ExDa'!$A$2:$N$184, 0,FALSE), IFERROR(VLOOKUP($A189,'Vocus SIT ExDa'!$B$2:$J$173, 0,FALSE), IFERROR(VLOOKUP($A189,'Telstra ExDa'!$B$2:$K$310, 0,FALSE), IFERROR(VLOOKUP($A189,'Vocus RVC ExDa'!$C$2:$R$155, 16,FALSE), IFERROR(VLOOKUP($A189,'Fusion ExDa'!$B$2:$D$16, 0,FALSE), IFERROR(VLOOKUP($A189,'Exetel ExDa'!$C$2:$N$14, 0,FALSE), IFERROR(VLOOKUP($A189,'Infinet ExDa'!$B$2:$E$14, 0,FALSE), "Not Found"))))))))</f>
        <v>0</v>
      </c>
      <c r="I189" t="str">
        <f>IFERROR(VLOOKUP($A189,'AAPT ExDa'!$B$2:$U$99, 0,FALSE), IFERROR(VLOOKUP($A189,'ABB ExDa'!$A$2:$N$184, 0,FALSE), IFERROR(VLOOKUP($A189,'Vocus SIT ExDa'!$B$2:$J$173, 0,FALSE), IFERROR(VLOOKUP($A189,'Telstra ExDa'!$B$2:$K$310, 0,FALSE), IFERROR(VLOOKUP($A189,'Vocus RVC ExDa'!$C$2:$R$155, 0,FALSE), IFERROR(VLOOKUP($A189,'Fusion ExDa'!$B$2:$D$16, 0,FALSE), IFERROR(VLOOKUP($A189,'Exetel ExDa'!$C$2:$N$14, 8,FALSE), IFERROR(VLOOKUP($A189,'Infinet ExDa'!$B$2:$E$14, 0,FALSE), "Not Found"))))))))</f>
        <v>Not Found</v>
      </c>
      <c r="J189" t="str">
        <f>IFERROR(VLOOKUP($A189,'AAPT ExDa'!$B$2:$U$99, 7,FALSE), IFERROR(VLOOKUP($A189,'ABB ExDa'!$A$2:$N$184, 2,FALSE), IFERROR(VLOOKUP($A189,'Vocus SIT ExDa'!$B$2:$J$173, 0,FALSE), IFERROR(VLOOKUP($A189,'Telstra ExDa'!$B$2:$K$310, 7,FALSE), IFERROR(VLOOKUP($A189,'Vocus RVC ExDa'!$C$2:$R$155, 2,FALSE), IFERROR(VLOOKUP($A189,'Fusion ExDa'!$B$2:$D$16, 3,FALSE), IFERROR(VLOOKUP($A189,'Exetel ExDa'!$C$2:$N$14, 0,FALSE), IFERROR(VLOOKUP($A189,'Infinet ExDa'!$B$2:$E$14, 0,FALSE), "Not Found"))))))))</f>
        <v>476 CENTRE RD, BENTLEIGH VIC</v>
      </c>
      <c r="K189" t="str">
        <f>IFERROR(VLOOKUP($A189,'AAPT ExDa'!$B$2:$U$99, 12,FALSE), IFERROR(VLOOKUP($A189,'ABB ExDa'!$A$2:$N$184, 0,FALSE), IFERROR(VLOOKUP($A189,'Vocus SIT ExDa'!$B$2:$J$173, 0,FALSE), IFERROR(VLOOKUP($A189,'Telstra ExDa'!$B$2:$K$310, 0,FALSE), IFERROR(VLOOKUP($A189,'Vocus RVC ExDa'!$C$2:$R$155, 0,FALSE), IFERROR(VLOOKUP($A189,'Fusion ExDa'!$B$2:$D$16, 0,FALSE), IFERROR(VLOOKUP($A189,'Exetel ExDa'!$C$2:$N$14, 12,FALSE), IFERROR(VLOOKUP($A189,'Infinet ExDa'!$B$2:$E$14, 0,FALSE), "Not Found"))))))))</f>
        <v>Not Found</v>
      </c>
      <c r="L189" s="235" t="str">
        <f>IFERROR(VLOOKUP($A189,'AAPT ExDa'!$B$2:$U$99, 11,FALSE), IFERROR(VLOOKUP($A189,'ABB ExDa'!$A$2:$N$184, 9,FALSE), IFERROR(VLOOKUP($A189,'Vocus SIT ExDa'!$B$2:$J$173, 8,FALSE), IFERROR(VLOOKUP($A189,'Telstra ExDa'!$B$2:$K$310, 0,FALSE), IFERROR(VLOOKUP($A189,'Vocus RVC ExDa'!$C$2:$R$155, 0,FALSE), IFERROR(VLOOKUP($A189,'Fusion ExDa'!$B$2:$D$16, 0,FALSE), IFERROR(VLOOKUP($A189,'Exetel ExDa'!$C$2:$N$14, 9,FALSE), IFERROR(VLOOKUP($A189,'Infinet ExDa'!$B$2:$E$14, 0,FALSE), "Not Found"))))))))</f>
        <v>28 Feb 2025</v>
      </c>
      <c r="M189" s="234" t="str">
        <f>IFERROR(VLOOKUP($A189,'AAPT ExDa'!$B$2:$U$99, 0,FALSE), IFERROR(VLOOKUP($A189,'ABB ExDa'!$A$2:$N$184, 0,FALSE), IFERROR(VLOOKUP($A189,'Vocus SIT ExDa'!$B$2:$J$173, 0,FALSE), IFERROR(VLOOKUP($A189,'Telstra ExDa'!$B$2:$K$310, 0,FALSE), IFERROR(VLOOKUP($A189,'Vocus RVC ExDa'!$C$2:$R$155, 0,FALSE), IFERROR(VLOOKUP($A189,'Fusion ExDa'!$B$2:$D$16, 0,FALSE), IFERROR(VLOOKUP($A189,'Exetel ExDa'!$C$2:$N$14, 11,FALSE), IFERROR(VLOOKUP($A189,'Infinet ExDa'!$B$2:$E$14, 0,FALSE), "Not Found"))))))))</f>
        <v>Not Found</v>
      </c>
      <c r="N189" t="str">
        <f>IFERROR(VLOOKUP($A189,'AAPT ExDa'!$B$2:$U$99, 0,FALSE), IFERROR(VLOOKUP($A189,'ABB ExDa'!$A$2:$N$184, 13,FALSE), IFERROR(VLOOKUP($A189,'Vocus SIT ExDa'!$B$2:$J$173, 0,FALSE), IFERROR(VLOOKUP($A189,'Telstra ExDa'!$B$2:$K$310, 0,FALSE), IFERROR(VLOOKUP($A189,'Vocus RVC ExDa'!$C$2:$R$155, 0,FALSE), IFERROR(VLOOKUP($A189,'Fusion ExDa'!$B$2:$D$16, 0,FALSE), IFERROR(VLOOKUP($A189,'Exetel ExDa'!$C$2:$N$14, 0,FALSE), IFERROR(VLOOKUP($A189,'Infinet ExDa'!$B$2:$E$14, 0,FALSE), "Not Found"))))))))</f>
        <v>Onebill</v>
      </c>
    </row>
    <row r="190" spans="1:14">
      <c r="A190" t="str">
        <v>Zambrero Broadbeach</v>
      </c>
      <c r="B190" t="str">
        <f>IFERROR(VLOOKUP(A190,'Exetel ExDa'!$C$2:$N$14,4,FALSE),"No Data")</f>
        <v>No Data</v>
      </c>
      <c r="C190" t="str">
        <f>IFERROR(VLOOKUP(A190,'AAPT ExDa'!$B$2:$U$99, 2,FALSE), IFERROR(VLOOKUP(A190,'ABB ExDa'!$A$2:$N$184, 2,FALSE), IFERROR(VLOOKUP(A190,'Vocus SIT ExDa'!$B$2:$J$173, 7,FALSE), IFERROR(VLOOKUP(A190,'Telstra ExDa'!$B$2:$K$310, 2,FALSE), IFERROR(VLOOKUP(A190,'Vocus RVC ExDa'!$C$2:$R$155, 3,FALSE), IFERROR(VLOOKUP(A190,'Fusion ExDa'!$B$2:$D$16, 2,FALSE), IFERROR(VLOOKUP(A190,'Exetel ExDa'!$C$2:$N$14, 2,FALSE), IFERROR(VLOOKUP(A190,'Infinet ExDa'!$B$2:$E$14, 2,FALSE), "Not Found"))))))))</f>
        <v>SHOP 11, 90 SURF PDE, BROADBEACH QLD</v>
      </c>
      <c r="D190" t="str">
        <f>IFERROR(VLOOKUP($A190,'AAPT ExDa'!$B$2:$U$99, 15,FALSE), IFERROR(VLOOKUP($A190,'ABB ExDa'!$A$2:$N$184, 4,FALSE), IFERROR(VLOOKUP($A190,'Vocus SIT ExDa'!$B$2:$J$173, 5,FALSE), IFERROR(VLOOKUP($A190,'Telstra ExDa'!$B$2:$K$310, 8,FALSE), IFERROR(VLOOKUP($A190,'Vocus RVC ExDa'!$C$2:$R$155, 6,FALSE), IFERROR(VLOOKUP($A190,'Fusion ExDa'!$B$2:$D$16, 4,FALSE), IFERROR(VLOOKUP($A190,'Exetel ExDa'!$C$2:$N$14, 3,FALSE), IFERROR(VLOOKUP($A190,'Infinet ExDa'!$B$2:$E$14, 3,FALSE), "Not Found"))))))))</f>
        <v>ABB</v>
      </c>
      <c r="E190" t="str">
        <f>IFERROR(VLOOKUP($A190,'AAPT ExDa'!$B$2:$U$99, 3,FALSE), IFERROR(VLOOKUP($A190,'ABB ExDa'!$A$2:$N$184, 5,FALSE), IFERROR(VLOOKUP($A190,'Vocus SIT ExDa'!$B$2:$J$173, 2,FALSE), IFERROR(VLOOKUP($A190,'Telstra ExDa'!$B$2:$K$310, 4,FALSE), IFERROR(VLOOKUP($A190,'Vocus RVC ExDa'!$C$2:$R$155, 8,FALSE), IFERROR(VLOOKUP($A190,'Fusion ExDa'!$B$2:$D$16, 4,FALSE), IFERROR(VLOOKUP($A190,'Exetel ExDa'!$C$2:$N$14, 5,FALSE), IFERROR(VLOOKUP($A190,'Infinet ExDa'!$B$2:$E$14, 3,FALSE), "Not Found"))))))))</f>
        <v>NBN 25/10</v>
      </c>
      <c r="F190" t="str">
        <f>IFERROR(VLOOKUP($A190,'AAPT ExDa'!$B$2:$U$99, 4,FALSE), IFERROR(VLOOKUP($A190,'ABB ExDa'!$A$2:$N$184, 6,FALSE), IFERROR(VLOOKUP($A190,'Vocus SIT ExDa'!$B$2:$J$173, 3,FALSE), IFERROR(VLOOKUP($A190,'Telstra ExDa'!$B$2:$K$310, 5,FALSE), IFERROR(VLOOKUP($A190,'Vocus RVC ExDa'!$C$2:$R$155, 9,FALSE), IFERROR(VLOOKUP($A190,'Fusion ExDa'!$B$2:$D$16, 0,FALSE), IFERROR(VLOOKUP($A190,'Exetel ExDa'!$C$2:$N$14, 6,FALSE), IFERROR(VLOOKUP($A190,'Infinet ExDa'!$B$2:$E$14, 0,FALSE), "Not Found"))))))))</f>
        <v>FTTB</v>
      </c>
      <c r="G190" t="str">
        <f>IFERROR(VLOOKUP($A190,'AAPT ExDa'!$B$2:$U$99, 5,FALSE), IFERROR(VLOOKUP($A190,'ABB ExDa'!$A$2:$N$184, 8,FALSE), IFERROR(VLOOKUP($A190,'Vocus SIT ExDa'!$B$2:$J$173, 6,FALSE), IFERROR(VLOOKUP($A190,'Telstra ExDa'!$B$2:$K$310, 0,FALSE), IFERROR(VLOOKUP($A190,'Vocus RVC ExDa'!$C$2:$R$155, 15,FALSE), IFERROR(VLOOKUP($A190,'Fusion ExDa'!$B$2:$D$16, 0,FALSE), IFERROR(VLOOKUP($A190,'Exetel ExDa'!$C$2:$N$14, 7,FALSE), IFERROR(VLOOKUP($A190,'Infinet ExDa'!$B$2:$E$14, 0,FALSE), "Not Found"))))))))</f>
        <v>180.181.209.156</v>
      </c>
      <c r="H190" t="str">
        <f>IFERROR(VLOOKUP($A190,'AAPT ExDa'!$B$2:$U$99, 6,FALSE), IFERROR(VLOOKUP($A190,'ABB ExDa'!$A$2:$N$184, 0,FALSE), IFERROR(VLOOKUP($A190,'Vocus SIT ExDa'!$B$2:$J$173, 0,FALSE), IFERROR(VLOOKUP($A190,'Telstra ExDa'!$B$2:$K$310, 0,FALSE), IFERROR(VLOOKUP($A190,'Vocus RVC ExDa'!$C$2:$R$155, 16,FALSE), IFERROR(VLOOKUP($A190,'Fusion ExDa'!$B$2:$D$16, 0,FALSE), IFERROR(VLOOKUP($A190,'Exetel ExDa'!$C$2:$N$14, 0,FALSE), IFERROR(VLOOKUP($A190,'Infinet ExDa'!$B$2:$E$14, 0,FALSE), "Not Found"))))))))</f>
        <v>Not Found</v>
      </c>
      <c r="I190" t="str">
        <f>IFERROR(VLOOKUP($A190,'AAPT ExDa'!$B$2:$U$99, 0,FALSE), IFERROR(VLOOKUP($A190,'ABB ExDa'!$A$2:$N$184, 0,FALSE), IFERROR(VLOOKUP($A190,'Vocus SIT ExDa'!$B$2:$J$173, 0,FALSE), IFERROR(VLOOKUP($A190,'Telstra ExDa'!$B$2:$K$310, 0,FALSE), IFERROR(VLOOKUP($A190,'Vocus RVC ExDa'!$C$2:$R$155, 0,FALSE), IFERROR(VLOOKUP($A190,'Fusion ExDa'!$B$2:$D$16, 0,FALSE), IFERROR(VLOOKUP($A190,'Exetel ExDa'!$C$2:$N$14, 8,FALSE), IFERROR(VLOOKUP($A190,'Infinet ExDa'!$B$2:$E$14, 0,FALSE), "Not Found"))))))))</f>
        <v>Not Found</v>
      </c>
      <c r="J190" t="str">
        <f>IFERROR(VLOOKUP($A190,'AAPT ExDa'!$B$2:$U$99, 7,FALSE), IFERROR(VLOOKUP($A190,'ABB ExDa'!$A$2:$N$184, 2,FALSE), IFERROR(VLOOKUP($A190,'Vocus SIT ExDa'!$B$2:$J$173, 0,FALSE), IFERROR(VLOOKUP($A190,'Telstra ExDa'!$B$2:$K$310, 7,FALSE), IFERROR(VLOOKUP($A190,'Vocus RVC ExDa'!$C$2:$R$155, 2,FALSE), IFERROR(VLOOKUP($A190,'Fusion ExDa'!$B$2:$D$16, 3,FALSE), IFERROR(VLOOKUP($A190,'Exetel ExDa'!$C$2:$N$14, 0,FALSE), IFERROR(VLOOKUP($A190,'Infinet ExDa'!$B$2:$E$14, 0,FALSE), "Not Found"))))))))</f>
        <v>SHOP 11, 90 SURF PDE, BROADBEACH QLD</v>
      </c>
      <c r="K190" t="str">
        <f>IFERROR(VLOOKUP($A190,'AAPT ExDa'!$B$2:$U$99, 12,FALSE), IFERROR(VLOOKUP($A190,'ABB ExDa'!$A$2:$N$184, 0,FALSE), IFERROR(VLOOKUP($A190,'Vocus SIT ExDa'!$B$2:$J$173, 0,FALSE), IFERROR(VLOOKUP($A190,'Telstra ExDa'!$B$2:$K$310, 0,FALSE), IFERROR(VLOOKUP($A190,'Vocus RVC ExDa'!$C$2:$R$155, 0,FALSE), IFERROR(VLOOKUP($A190,'Fusion ExDa'!$B$2:$D$16, 0,FALSE), IFERROR(VLOOKUP($A190,'Exetel ExDa'!$C$2:$N$14, 12,FALSE), IFERROR(VLOOKUP($A190,'Infinet ExDa'!$B$2:$E$14, 0,FALSE), "Not Found"))))))))</f>
        <v>Not Found</v>
      </c>
      <c r="L190" s="235" t="str">
        <f>IFERROR(VLOOKUP($A190,'AAPT ExDa'!$B$2:$U$99, 11,FALSE), IFERROR(VLOOKUP($A190,'ABB ExDa'!$A$2:$N$184, 9,FALSE), IFERROR(VLOOKUP($A190,'Vocus SIT ExDa'!$B$2:$J$173, 8,FALSE), IFERROR(VLOOKUP($A190,'Telstra ExDa'!$B$2:$K$310, 0,FALSE), IFERROR(VLOOKUP($A190,'Vocus RVC ExDa'!$C$2:$R$155, 0,FALSE), IFERROR(VLOOKUP($A190,'Fusion ExDa'!$B$2:$D$16, 0,FALSE), IFERROR(VLOOKUP($A190,'Exetel ExDa'!$C$2:$N$14, 9,FALSE), IFERROR(VLOOKUP($A190,'Infinet ExDa'!$B$2:$E$14, 0,FALSE), "Not Found"))))))))</f>
        <v>23 June 2025</v>
      </c>
      <c r="M190" s="234" t="str">
        <f>IFERROR(VLOOKUP($A190,'AAPT ExDa'!$B$2:$U$99, 0,FALSE), IFERROR(VLOOKUP($A190,'ABB ExDa'!$A$2:$N$184, 0,FALSE), IFERROR(VLOOKUP($A190,'Vocus SIT ExDa'!$B$2:$J$173, 0,FALSE), IFERROR(VLOOKUP($A190,'Telstra ExDa'!$B$2:$K$310, 0,FALSE), IFERROR(VLOOKUP($A190,'Vocus RVC ExDa'!$C$2:$R$155, 0,FALSE), IFERROR(VLOOKUP($A190,'Fusion ExDa'!$B$2:$D$16, 0,FALSE), IFERROR(VLOOKUP($A190,'Exetel ExDa'!$C$2:$N$14, 11,FALSE), IFERROR(VLOOKUP($A190,'Infinet ExDa'!$B$2:$E$14, 0,FALSE), "Not Found"))))))))</f>
        <v>Not Found</v>
      </c>
      <c r="N190" t="str">
        <f>IFERROR(VLOOKUP($A190,'AAPT ExDa'!$B$2:$U$99, 0,FALSE), IFERROR(VLOOKUP($A190,'ABB ExDa'!$A$2:$N$184, 13,FALSE), IFERROR(VLOOKUP($A190,'Vocus SIT ExDa'!$B$2:$J$173, 0,FALSE), IFERROR(VLOOKUP($A190,'Telstra ExDa'!$B$2:$K$310, 0,FALSE), IFERROR(VLOOKUP($A190,'Vocus RVC ExDa'!$C$2:$R$155, 0,FALSE), IFERROR(VLOOKUP($A190,'Fusion ExDa'!$B$2:$D$16, 0,FALSE), IFERROR(VLOOKUP($A190,'Exetel ExDa'!$C$2:$N$14, 0,FALSE), IFERROR(VLOOKUP($A190,'Infinet ExDa'!$B$2:$E$14, 0,FALSE), "Not Found"))))))))</f>
        <v>Onebill</v>
      </c>
    </row>
    <row r="191" spans="1:14">
      <c r="A191" t="str">
        <v>Zambrero Buranda</v>
      </c>
      <c r="B191" t="str">
        <f>IFERROR(VLOOKUP(A191,'Exetel ExDa'!$C$2:$N$14,4,FALSE),"No Data")</f>
        <v>No Data</v>
      </c>
      <c r="C191" t="str">
        <f>IFERROR(VLOOKUP(A191,'AAPT ExDa'!$B$2:$U$99, 2,FALSE), IFERROR(VLOOKUP(A191,'ABB ExDa'!$A$2:$N$184, 2,FALSE), IFERROR(VLOOKUP(A191,'Vocus SIT ExDa'!$B$2:$J$173, 7,FALSE), IFERROR(VLOOKUP(A191,'Telstra ExDa'!$B$2:$K$310, 2,FALSE), IFERROR(VLOOKUP(A191,'Vocus RVC ExDa'!$C$2:$R$155, 3,FALSE), IFERROR(VLOOKUP(A191,'Fusion ExDa'!$B$2:$D$16, 2,FALSE), IFERROR(VLOOKUP(A191,'Exetel ExDa'!$C$2:$N$14, 2,FALSE), IFERROR(VLOOKUP(A191,'Infinet ExDa'!$B$2:$E$14, 2,FALSE), "Not Found"))))))))</f>
        <v>SHOP 22, 248 IPSWICH RD, WOOLLOONGABBA QLD</v>
      </c>
      <c r="D191" t="str">
        <f>IFERROR(VLOOKUP($A191,'AAPT ExDa'!$B$2:$U$99, 15,FALSE), IFERROR(VLOOKUP($A191,'ABB ExDa'!$A$2:$N$184, 4,FALSE), IFERROR(VLOOKUP($A191,'Vocus SIT ExDa'!$B$2:$J$173, 5,FALSE), IFERROR(VLOOKUP($A191,'Telstra ExDa'!$B$2:$K$310, 8,FALSE), IFERROR(VLOOKUP($A191,'Vocus RVC ExDa'!$C$2:$R$155, 6,FALSE), IFERROR(VLOOKUP($A191,'Fusion ExDa'!$B$2:$D$16, 4,FALSE), IFERROR(VLOOKUP($A191,'Exetel ExDa'!$C$2:$N$14, 3,FALSE), IFERROR(VLOOKUP($A191,'Infinet ExDa'!$B$2:$E$14, 3,FALSE), "Not Found"))))))))</f>
        <v>ABB</v>
      </c>
      <c r="E191" t="str">
        <f>IFERROR(VLOOKUP($A191,'AAPT ExDa'!$B$2:$U$99, 3,FALSE), IFERROR(VLOOKUP($A191,'ABB ExDa'!$A$2:$N$184, 5,FALSE), IFERROR(VLOOKUP($A191,'Vocus SIT ExDa'!$B$2:$J$173, 2,FALSE), IFERROR(VLOOKUP($A191,'Telstra ExDa'!$B$2:$K$310, 4,FALSE), IFERROR(VLOOKUP($A191,'Vocus RVC ExDa'!$C$2:$R$155, 8,FALSE), IFERROR(VLOOKUP($A191,'Fusion ExDa'!$B$2:$D$16, 4,FALSE), IFERROR(VLOOKUP($A191,'Exetel ExDa'!$C$2:$N$14, 5,FALSE), IFERROR(VLOOKUP($A191,'Infinet ExDa'!$B$2:$E$14, 3,FALSE), "Not Found"))))))))</f>
        <v>NBN 25/10</v>
      </c>
      <c r="F191" t="str">
        <f>IFERROR(VLOOKUP($A191,'AAPT ExDa'!$B$2:$U$99, 4,FALSE), IFERROR(VLOOKUP($A191,'ABB ExDa'!$A$2:$N$184, 6,FALSE), IFERROR(VLOOKUP($A191,'Vocus SIT ExDa'!$B$2:$J$173, 3,FALSE), IFERROR(VLOOKUP($A191,'Telstra ExDa'!$B$2:$K$310, 5,FALSE), IFERROR(VLOOKUP($A191,'Vocus RVC ExDa'!$C$2:$R$155, 9,FALSE), IFERROR(VLOOKUP($A191,'Fusion ExDa'!$B$2:$D$16, 0,FALSE), IFERROR(VLOOKUP($A191,'Exetel ExDa'!$C$2:$N$14, 6,FALSE), IFERROR(VLOOKUP($A191,'Infinet ExDa'!$B$2:$E$14, 0,FALSE), "Not Found"))))))))</f>
        <v>FTTB</v>
      </c>
      <c r="G191" t="str">
        <f>IFERROR(VLOOKUP($A191,'AAPT ExDa'!$B$2:$U$99, 5,FALSE), IFERROR(VLOOKUP($A191,'ABB ExDa'!$A$2:$N$184, 8,FALSE), IFERROR(VLOOKUP($A191,'Vocus SIT ExDa'!$B$2:$J$173, 6,FALSE), IFERROR(VLOOKUP($A191,'Telstra ExDa'!$B$2:$K$310, 0,FALSE), IFERROR(VLOOKUP($A191,'Vocus RVC ExDa'!$C$2:$R$155, 15,FALSE), IFERROR(VLOOKUP($A191,'Fusion ExDa'!$B$2:$D$16, 0,FALSE), IFERROR(VLOOKUP($A191,'Exetel ExDa'!$C$2:$N$14, 7,FALSE), IFERROR(VLOOKUP($A191,'Infinet ExDa'!$B$2:$E$14, 0,FALSE), "Not Found"))))))))</f>
        <v>180.181.218.5</v>
      </c>
      <c r="H191" t="str">
        <f>IFERROR(VLOOKUP($A191,'AAPT ExDa'!$B$2:$U$99, 6,FALSE), IFERROR(VLOOKUP($A191,'ABB ExDa'!$A$2:$N$184, 0,FALSE), IFERROR(VLOOKUP($A191,'Vocus SIT ExDa'!$B$2:$J$173, 0,FALSE), IFERROR(VLOOKUP($A191,'Telstra ExDa'!$B$2:$K$310, 0,FALSE), IFERROR(VLOOKUP($A191,'Vocus RVC ExDa'!$C$2:$R$155, 16,FALSE), IFERROR(VLOOKUP($A191,'Fusion ExDa'!$B$2:$D$16, 0,FALSE), IFERROR(VLOOKUP($A191,'Exetel ExDa'!$C$2:$N$14, 0,FALSE), IFERROR(VLOOKUP($A191,'Infinet ExDa'!$B$2:$E$14, 0,FALSE), "Not Found"))))))))</f>
        <v>Not Found</v>
      </c>
      <c r="I191" t="str">
        <f>IFERROR(VLOOKUP($A191,'AAPT ExDa'!$B$2:$U$99, 0,FALSE), IFERROR(VLOOKUP($A191,'ABB ExDa'!$A$2:$N$184, 0,FALSE), IFERROR(VLOOKUP($A191,'Vocus SIT ExDa'!$B$2:$J$173, 0,FALSE), IFERROR(VLOOKUP($A191,'Telstra ExDa'!$B$2:$K$310, 0,FALSE), IFERROR(VLOOKUP($A191,'Vocus RVC ExDa'!$C$2:$R$155, 0,FALSE), IFERROR(VLOOKUP($A191,'Fusion ExDa'!$B$2:$D$16, 0,FALSE), IFERROR(VLOOKUP($A191,'Exetel ExDa'!$C$2:$N$14, 8,FALSE), IFERROR(VLOOKUP($A191,'Infinet ExDa'!$B$2:$E$14, 0,FALSE), "Not Found"))))))))</f>
        <v>Not Found</v>
      </c>
      <c r="J191" t="str">
        <f>IFERROR(VLOOKUP($A191,'AAPT ExDa'!$B$2:$U$99, 7,FALSE), IFERROR(VLOOKUP($A191,'ABB ExDa'!$A$2:$N$184, 2,FALSE), IFERROR(VLOOKUP($A191,'Vocus SIT ExDa'!$B$2:$J$173, 0,FALSE), IFERROR(VLOOKUP($A191,'Telstra ExDa'!$B$2:$K$310, 7,FALSE), IFERROR(VLOOKUP($A191,'Vocus RVC ExDa'!$C$2:$R$155, 2,FALSE), IFERROR(VLOOKUP($A191,'Fusion ExDa'!$B$2:$D$16, 3,FALSE), IFERROR(VLOOKUP($A191,'Exetel ExDa'!$C$2:$N$14, 0,FALSE), IFERROR(VLOOKUP($A191,'Infinet ExDa'!$B$2:$E$14, 0,FALSE), "Not Found"))))))))</f>
        <v>SHOP 22, 248 IPSWICH RD, WOOLLOONGABBA QLD</v>
      </c>
      <c r="K191" t="str">
        <f>IFERROR(VLOOKUP($A191,'AAPT ExDa'!$B$2:$U$99, 12,FALSE), IFERROR(VLOOKUP($A191,'ABB ExDa'!$A$2:$N$184, 0,FALSE), IFERROR(VLOOKUP($A191,'Vocus SIT ExDa'!$B$2:$J$173, 0,FALSE), IFERROR(VLOOKUP($A191,'Telstra ExDa'!$B$2:$K$310, 0,FALSE), IFERROR(VLOOKUP($A191,'Vocus RVC ExDa'!$C$2:$R$155, 0,FALSE), IFERROR(VLOOKUP($A191,'Fusion ExDa'!$B$2:$D$16, 0,FALSE), IFERROR(VLOOKUP($A191,'Exetel ExDa'!$C$2:$N$14, 12,FALSE), IFERROR(VLOOKUP($A191,'Infinet ExDa'!$B$2:$E$14, 0,FALSE), "Not Found"))))))))</f>
        <v>Not Found</v>
      </c>
      <c r="L191" s="235" t="str">
        <f>IFERROR(VLOOKUP($A191,'AAPT ExDa'!$B$2:$U$99, 11,FALSE), IFERROR(VLOOKUP($A191,'ABB ExDa'!$A$2:$N$184, 9,FALSE), IFERROR(VLOOKUP($A191,'Vocus SIT ExDa'!$B$2:$J$173, 8,FALSE), IFERROR(VLOOKUP($A191,'Telstra ExDa'!$B$2:$K$310, 0,FALSE), IFERROR(VLOOKUP($A191,'Vocus RVC ExDa'!$C$2:$R$155, 0,FALSE), IFERROR(VLOOKUP($A191,'Fusion ExDa'!$B$2:$D$16, 0,FALSE), IFERROR(VLOOKUP($A191,'Exetel ExDa'!$C$2:$N$14, 9,FALSE), IFERROR(VLOOKUP($A191,'Infinet ExDa'!$B$2:$E$14, 0,FALSE), "Not Found"))))))))</f>
        <v>1 Sept 2025</v>
      </c>
      <c r="M191" s="234" t="str">
        <f>IFERROR(VLOOKUP($A191,'AAPT ExDa'!$B$2:$U$99, 0,FALSE), IFERROR(VLOOKUP($A191,'ABB ExDa'!$A$2:$N$184, 0,FALSE), IFERROR(VLOOKUP($A191,'Vocus SIT ExDa'!$B$2:$J$173, 0,FALSE), IFERROR(VLOOKUP($A191,'Telstra ExDa'!$B$2:$K$310, 0,FALSE), IFERROR(VLOOKUP($A191,'Vocus RVC ExDa'!$C$2:$R$155, 0,FALSE), IFERROR(VLOOKUP($A191,'Fusion ExDa'!$B$2:$D$16, 0,FALSE), IFERROR(VLOOKUP($A191,'Exetel ExDa'!$C$2:$N$14, 11,FALSE), IFERROR(VLOOKUP($A191,'Infinet ExDa'!$B$2:$E$14, 0,FALSE), "Not Found"))))))))</f>
        <v>Not Found</v>
      </c>
      <c r="N191" t="str">
        <f>IFERROR(VLOOKUP($A191,'AAPT ExDa'!$B$2:$U$99, 0,FALSE), IFERROR(VLOOKUP($A191,'ABB ExDa'!$A$2:$N$184, 13,FALSE), IFERROR(VLOOKUP($A191,'Vocus SIT ExDa'!$B$2:$J$173, 0,FALSE), IFERROR(VLOOKUP($A191,'Telstra ExDa'!$B$2:$K$310, 0,FALSE), IFERROR(VLOOKUP($A191,'Vocus RVC ExDa'!$C$2:$R$155, 0,FALSE), IFERROR(VLOOKUP($A191,'Fusion ExDa'!$B$2:$D$16, 0,FALSE), IFERROR(VLOOKUP($A191,'Exetel ExDa'!$C$2:$N$14, 0,FALSE), IFERROR(VLOOKUP($A191,'Infinet ExDa'!$B$2:$E$14, 0,FALSE), "Not Found"))))))))</f>
        <v>Onebill</v>
      </c>
    </row>
    <row r="192" spans="1:14">
      <c r="A192" t="str">
        <v>Zambrero Burleigh Heads</v>
      </c>
      <c r="B192" t="str">
        <f>IFERROR(VLOOKUP(A192,'Exetel ExDa'!$C$2:$N$14,4,FALSE),"No Data")</f>
        <v>No Data</v>
      </c>
      <c r="C192" t="str">
        <f>IFERROR(VLOOKUP(A192,'AAPT ExDa'!$B$2:$U$99, 2,FALSE), IFERROR(VLOOKUP(A192,'ABB ExDa'!$A$2:$N$184, 2,FALSE), IFERROR(VLOOKUP(A192,'Vocus SIT ExDa'!$B$2:$J$173, 7,FALSE), IFERROR(VLOOKUP(A192,'Telstra ExDa'!$B$2:$K$310, 2,FALSE), IFERROR(VLOOKUP(A192,'Vocus RVC ExDa'!$C$2:$R$155, 3,FALSE), IFERROR(VLOOKUP(A192,'Fusion ExDa'!$B$2:$D$16, 2,FALSE), IFERROR(VLOOKUP(A192,'Exetel ExDa'!$C$2:$N$14, 2,FALSE), IFERROR(VLOOKUP(A192,'Infinet ExDa'!$B$2:$E$14, 2,FALSE), "Not Found"))))))))</f>
        <v>3 CONNOR ST, BURLEIGH HEADS QLD</v>
      </c>
      <c r="D192" t="str">
        <f>IFERROR(VLOOKUP($A192,'AAPT ExDa'!$B$2:$U$99, 15,FALSE), IFERROR(VLOOKUP($A192,'ABB ExDa'!$A$2:$N$184, 4,FALSE), IFERROR(VLOOKUP($A192,'Vocus SIT ExDa'!$B$2:$J$173, 5,FALSE), IFERROR(VLOOKUP($A192,'Telstra ExDa'!$B$2:$K$310, 8,FALSE), IFERROR(VLOOKUP($A192,'Vocus RVC ExDa'!$C$2:$R$155, 6,FALSE), IFERROR(VLOOKUP($A192,'Fusion ExDa'!$B$2:$D$16, 4,FALSE), IFERROR(VLOOKUP($A192,'Exetel ExDa'!$C$2:$N$14, 3,FALSE), IFERROR(VLOOKUP($A192,'Infinet ExDa'!$B$2:$E$14, 3,FALSE), "Not Found"))))))))</f>
        <v>ABB</v>
      </c>
      <c r="E192" t="str">
        <f>IFERROR(VLOOKUP($A192,'AAPT ExDa'!$B$2:$U$99, 3,FALSE), IFERROR(VLOOKUP($A192,'ABB ExDa'!$A$2:$N$184, 5,FALSE), IFERROR(VLOOKUP($A192,'Vocus SIT ExDa'!$B$2:$J$173, 2,FALSE), IFERROR(VLOOKUP($A192,'Telstra ExDa'!$B$2:$K$310, 4,FALSE), IFERROR(VLOOKUP($A192,'Vocus RVC ExDa'!$C$2:$R$155, 8,FALSE), IFERROR(VLOOKUP($A192,'Fusion ExDa'!$B$2:$D$16, 4,FALSE), IFERROR(VLOOKUP($A192,'Exetel ExDa'!$C$2:$N$14, 5,FALSE), IFERROR(VLOOKUP($A192,'Infinet ExDa'!$B$2:$E$14, 3,FALSE), "Not Found"))))))))</f>
        <v>NBN 25/10</v>
      </c>
      <c r="F192" t="str">
        <f>IFERROR(VLOOKUP($A192,'AAPT ExDa'!$B$2:$U$99, 4,FALSE), IFERROR(VLOOKUP($A192,'ABB ExDa'!$A$2:$N$184, 6,FALSE), IFERROR(VLOOKUP($A192,'Vocus SIT ExDa'!$B$2:$J$173, 3,FALSE), IFERROR(VLOOKUP($A192,'Telstra ExDa'!$B$2:$K$310, 5,FALSE), IFERROR(VLOOKUP($A192,'Vocus RVC ExDa'!$C$2:$R$155, 9,FALSE), IFERROR(VLOOKUP($A192,'Fusion ExDa'!$B$2:$D$16, 0,FALSE), IFERROR(VLOOKUP($A192,'Exetel ExDa'!$C$2:$N$14, 6,FALSE), IFERROR(VLOOKUP($A192,'Infinet ExDa'!$B$2:$E$14, 0,FALSE), "Not Found"))))))))</f>
        <v>HFC</v>
      </c>
      <c r="G192" t="str">
        <f>IFERROR(VLOOKUP($A192,'AAPT ExDa'!$B$2:$U$99, 5,FALSE), IFERROR(VLOOKUP($A192,'ABB ExDa'!$A$2:$N$184, 8,FALSE), IFERROR(VLOOKUP($A192,'Vocus SIT ExDa'!$B$2:$J$173, 6,FALSE), IFERROR(VLOOKUP($A192,'Telstra ExDa'!$B$2:$K$310, 0,FALSE), IFERROR(VLOOKUP($A192,'Vocus RVC ExDa'!$C$2:$R$155, 15,FALSE), IFERROR(VLOOKUP($A192,'Fusion ExDa'!$B$2:$D$16, 0,FALSE), IFERROR(VLOOKUP($A192,'Exetel ExDa'!$C$2:$N$14, 7,FALSE), IFERROR(VLOOKUP($A192,'Infinet ExDa'!$B$2:$E$14, 0,FALSE), "Not Found"))))))))</f>
        <v>144.6.240.144</v>
      </c>
      <c r="H192" t="str">
        <f>IFERROR(VLOOKUP($A192,'AAPT ExDa'!$B$2:$U$99, 6,FALSE), IFERROR(VLOOKUP($A192,'ABB ExDa'!$A$2:$N$184, 0,FALSE), IFERROR(VLOOKUP($A192,'Vocus SIT ExDa'!$B$2:$J$173, 0,FALSE), IFERROR(VLOOKUP($A192,'Telstra ExDa'!$B$2:$K$310, 0,FALSE), IFERROR(VLOOKUP($A192,'Vocus RVC ExDa'!$C$2:$R$155, 16,FALSE), IFERROR(VLOOKUP($A192,'Fusion ExDa'!$B$2:$D$16, 0,FALSE), IFERROR(VLOOKUP($A192,'Exetel ExDa'!$C$2:$N$14, 0,FALSE), IFERROR(VLOOKUP($A192,'Infinet ExDa'!$B$2:$E$14, 0,FALSE), "Not Found"))))))))</f>
        <v>Not Found</v>
      </c>
      <c r="I192" t="str">
        <f>IFERROR(VLOOKUP($A192,'AAPT ExDa'!$B$2:$U$99, 0,FALSE), IFERROR(VLOOKUP($A192,'ABB ExDa'!$A$2:$N$184, 0,FALSE), IFERROR(VLOOKUP($A192,'Vocus SIT ExDa'!$B$2:$J$173, 0,FALSE), IFERROR(VLOOKUP($A192,'Telstra ExDa'!$B$2:$K$310, 0,FALSE), IFERROR(VLOOKUP($A192,'Vocus RVC ExDa'!$C$2:$R$155, 0,FALSE), IFERROR(VLOOKUP($A192,'Fusion ExDa'!$B$2:$D$16, 0,FALSE), IFERROR(VLOOKUP($A192,'Exetel ExDa'!$C$2:$N$14, 8,FALSE), IFERROR(VLOOKUP($A192,'Infinet ExDa'!$B$2:$E$14, 0,FALSE), "Not Found"))))))))</f>
        <v>Not Found</v>
      </c>
      <c r="J192" t="str">
        <f>IFERROR(VLOOKUP($A192,'AAPT ExDa'!$B$2:$U$99, 7,FALSE), IFERROR(VLOOKUP($A192,'ABB ExDa'!$A$2:$N$184, 2,FALSE), IFERROR(VLOOKUP($A192,'Vocus SIT ExDa'!$B$2:$J$173, 0,FALSE), IFERROR(VLOOKUP($A192,'Telstra ExDa'!$B$2:$K$310, 7,FALSE), IFERROR(VLOOKUP($A192,'Vocus RVC ExDa'!$C$2:$R$155, 2,FALSE), IFERROR(VLOOKUP($A192,'Fusion ExDa'!$B$2:$D$16, 3,FALSE), IFERROR(VLOOKUP($A192,'Exetel ExDa'!$C$2:$N$14, 0,FALSE), IFERROR(VLOOKUP($A192,'Infinet ExDa'!$B$2:$E$14, 0,FALSE), "Not Found"))))))))</f>
        <v>3 CONNOR ST, BURLEIGH HEADS QLD</v>
      </c>
      <c r="K192" t="str">
        <f>IFERROR(VLOOKUP($A192,'AAPT ExDa'!$B$2:$U$99, 12,FALSE), IFERROR(VLOOKUP($A192,'ABB ExDa'!$A$2:$N$184, 0,FALSE), IFERROR(VLOOKUP($A192,'Vocus SIT ExDa'!$B$2:$J$173, 0,FALSE), IFERROR(VLOOKUP($A192,'Telstra ExDa'!$B$2:$K$310, 0,FALSE), IFERROR(VLOOKUP($A192,'Vocus RVC ExDa'!$C$2:$R$155, 0,FALSE), IFERROR(VLOOKUP($A192,'Fusion ExDa'!$B$2:$D$16, 0,FALSE), IFERROR(VLOOKUP($A192,'Exetel ExDa'!$C$2:$N$14, 12,FALSE), IFERROR(VLOOKUP($A192,'Infinet ExDa'!$B$2:$E$14, 0,FALSE), "Not Found"))))))))</f>
        <v>Not Found</v>
      </c>
      <c r="L192" s="235" t="str">
        <f>IFERROR(VLOOKUP($A192,'AAPT ExDa'!$B$2:$U$99, 11,FALSE), IFERROR(VLOOKUP($A192,'ABB ExDa'!$A$2:$N$184, 9,FALSE), IFERROR(VLOOKUP($A192,'Vocus SIT ExDa'!$B$2:$J$173, 8,FALSE), IFERROR(VLOOKUP($A192,'Telstra ExDa'!$B$2:$K$310, 0,FALSE), IFERROR(VLOOKUP($A192,'Vocus RVC ExDa'!$C$2:$R$155, 0,FALSE), IFERROR(VLOOKUP($A192,'Fusion ExDa'!$B$2:$D$16, 0,FALSE), IFERROR(VLOOKUP($A192,'Exetel ExDa'!$C$2:$N$14, 9,FALSE), IFERROR(VLOOKUP($A192,'Infinet ExDa'!$B$2:$E$14, 0,FALSE), "Not Found"))))))))</f>
        <v>19 Dec 2024</v>
      </c>
      <c r="M192" s="234" t="str">
        <f>IFERROR(VLOOKUP($A192,'AAPT ExDa'!$B$2:$U$99, 0,FALSE), IFERROR(VLOOKUP($A192,'ABB ExDa'!$A$2:$N$184, 0,FALSE), IFERROR(VLOOKUP($A192,'Vocus SIT ExDa'!$B$2:$J$173, 0,FALSE), IFERROR(VLOOKUP($A192,'Telstra ExDa'!$B$2:$K$310, 0,FALSE), IFERROR(VLOOKUP($A192,'Vocus RVC ExDa'!$C$2:$R$155, 0,FALSE), IFERROR(VLOOKUP($A192,'Fusion ExDa'!$B$2:$D$16, 0,FALSE), IFERROR(VLOOKUP($A192,'Exetel ExDa'!$C$2:$N$14, 11,FALSE), IFERROR(VLOOKUP($A192,'Infinet ExDa'!$B$2:$E$14, 0,FALSE), "Not Found"))))))))</f>
        <v>Not Found</v>
      </c>
      <c r="N192" t="str">
        <f>IFERROR(VLOOKUP($A192,'AAPT ExDa'!$B$2:$U$99, 0,FALSE), IFERROR(VLOOKUP($A192,'ABB ExDa'!$A$2:$N$184, 13,FALSE), IFERROR(VLOOKUP($A192,'Vocus SIT ExDa'!$B$2:$J$173, 0,FALSE), IFERROR(VLOOKUP($A192,'Telstra ExDa'!$B$2:$K$310, 0,FALSE), IFERROR(VLOOKUP($A192,'Vocus RVC ExDa'!$C$2:$R$155, 0,FALSE), IFERROR(VLOOKUP($A192,'Fusion ExDa'!$B$2:$D$16, 0,FALSE), IFERROR(VLOOKUP($A192,'Exetel ExDa'!$C$2:$N$14, 0,FALSE), IFERROR(VLOOKUP($A192,'Infinet ExDa'!$B$2:$E$14, 0,FALSE), "Not Found"))))))))</f>
        <v>Onebill</v>
      </c>
    </row>
    <row r="193" spans="1:14">
      <c r="A193" t="str">
        <v>Zambrero Busselton</v>
      </c>
      <c r="B193" t="str">
        <f>IFERROR(VLOOKUP(A193,'Exetel ExDa'!$C$2:$N$14,4,FALSE),"No Data")</f>
        <v>No Data</v>
      </c>
      <c r="C193" t="str">
        <f>IFERROR(VLOOKUP(A193,'AAPT ExDa'!$B$2:$U$99, 2,FALSE), IFERROR(VLOOKUP(A193,'ABB ExDa'!$A$2:$N$184, 2,FALSE), IFERROR(VLOOKUP(A193,'Vocus SIT ExDa'!$B$2:$J$173, 7,FALSE), IFERROR(VLOOKUP(A193,'Telstra ExDa'!$B$2:$K$310, 2,FALSE), IFERROR(VLOOKUP(A193,'Vocus RVC ExDa'!$C$2:$R$155, 3,FALSE), IFERROR(VLOOKUP(A193,'Fusion ExDa'!$B$2:$D$16, 2,FALSE), IFERROR(VLOOKUP(A193,'Exetel ExDa'!$C$2:$N$14, 2,FALSE), IFERROR(VLOOKUP(A193,'Infinet ExDa'!$B$2:$E$14, 2,FALSE), "Not Found"))))))))</f>
        <v>SHOP T3, 3 ALBERT ST, BUSSELTON WA</v>
      </c>
      <c r="D193" t="str">
        <f>IFERROR(VLOOKUP($A193,'AAPT ExDa'!$B$2:$U$99, 15,FALSE), IFERROR(VLOOKUP($A193,'ABB ExDa'!$A$2:$N$184, 4,FALSE), IFERROR(VLOOKUP($A193,'Vocus SIT ExDa'!$B$2:$J$173, 5,FALSE), IFERROR(VLOOKUP($A193,'Telstra ExDa'!$B$2:$K$310, 8,FALSE), IFERROR(VLOOKUP($A193,'Vocus RVC ExDa'!$C$2:$R$155, 6,FALSE), IFERROR(VLOOKUP($A193,'Fusion ExDa'!$B$2:$D$16, 4,FALSE), IFERROR(VLOOKUP($A193,'Exetel ExDa'!$C$2:$N$14, 3,FALSE), IFERROR(VLOOKUP($A193,'Infinet ExDa'!$B$2:$E$14, 3,FALSE), "Not Found"))))))))</f>
        <v>ABB</v>
      </c>
      <c r="E193" t="str">
        <f>IFERROR(VLOOKUP($A193,'AAPT ExDa'!$B$2:$U$99, 3,FALSE), IFERROR(VLOOKUP($A193,'ABB ExDa'!$A$2:$N$184, 5,FALSE), IFERROR(VLOOKUP($A193,'Vocus SIT ExDa'!$B$2:$J$173, 2,FALSE), IFERROR(VLOOKUP($A193,'Telstra ExDa'!$B$2:$K$310, 4,FALSE), IFERROR(VLOOKUP($A193,'Vocus RVC ExDa'!$C$2:$R$155, 8,FALSE), IFERROR(VLOOKUP($A193,'Fusion ExDa'!$B$2:$D$16, 4,FALSE), IFERROR(VLOOKUP($A193,'Exetel ExDa'!$C$2:$N$14, 5,FALSE), IFERROR(VLOOKUP($A193,'Infinet ExDa'!$B$2:$E$14, 3,FALSE), "Not Found"))))))))</f>
        <v>NBN 25/10</v>
      </c>
      <c r="F193" t="str">
        <f>IFERROR(VLOOKUP($A193,'AAPT ExDa'!$B$2:$U$99, 4,FALSE), IFERROR(VLOOKUP($A193,'ABB ExDa'!$A$2:$N$184, 6,FALSE), IFERROR(VLOOKUP($A193,'Vocus SIT ExDa'!$B$2:$J$173, 3,FALSE), IFERROR(VLOOKUP($A193,'Telstra ExDa'!$B$2:$K$310, 5,FALSE), IFERROR(VLOOKUP($A193,'Vocus RVC ExDa'!$C$2:$R$155, 9,FALSE), IFERROR(VLOOKUP($A193,'Fusion ExDa'!$B$2:$D$16, 0,FALSE), IFERROR(VLOOKUP($A193,'Exetel ExDa'!$C$2:$N$14, 6,FALSE), IFERROR(VLOOKUP($A193,'Infinet ExDa'!$B$2:$E$14, 0,FALSE), "Not Found"))))))))</f>
        <v>FTTN</v>
      </c>
      <c r="G193" t="str">
        <f>IFERROR(VLOOKUP($A193,'AAPT ExDa'!$B$2:$U$99, 5,FALSE), IFERROR(VLOOKUP($A193,'ABB ExDa'!$A$2:$N$184, 8,FALSE), IFERROR(VLOOKUP($A193,'Vocus SIT ExDa'!$B$2:$J$173, 6,FALSE), IFERROR(VLOOKUP($A193,'Telstra ExDa'!$B$2:$K$310, 0,FALSE), IFERROR(VLOOKUP($A193,'Vocus RVC ExDa'!$C$2:$R$155, 15,FALSE), IFERROR(VLOOKUP($A193,'Fusion ExDa'!$B$2:$D$16, 0,FALSE), IFERROR(VLOOKUP($A193,'Exetel ExDa'!$C$2:$N$14, 7,FALSE), IFERROR(VLOOKUP($A193,'Infinet ExDa'!$B$2:$E$14, 0,FALSE), "Not Found"))))))))</f>
        <v>180.150.87.146</v>
      </c>
      <c r="H193" t="str">
        <f>IFERROR(VLOOKUP($A193,'AAPT ExDa'!$B$2:$U$99, 6,FALSE), IFERROR(VLOOKUP($A193,'ABB ExDa'!$A$2:$N$184, 0,FALSE), IFERROR(VLOOKUP($A193,'Vocus SIT ExDa'!$B$2:$J$173, 0,FALSE), IFERROR(VLOOKUP($A193,'Telstra ExDa'!$B$2:$K$310, 0,FALSE), IFERROR(VLOOKUP($A193,'Vocus RVC ExDa'!$C$2:$R$155, 16,FALSE), IFERROR(VLOOKUP($A193,'Fusion ExDa'!$B$2:$D$16, 0,FALSE), IFERROR(VLOOKUP($A193,'Exetel ExDa'!$C$2:$N$14, 0,FALSE), IFERROR(VLOOKUP($A193,'Infinet ExDa'!$B$2:$E$14, 0,FALSE), "Not Found"))))))))</f>
        <v>Not Found</v>
      </c>
      <c r="I193" t="str">
        <f>IFERROR(VLOOKUP($A193,'AAPT ExDa'!$B$2:$U$99, 0,FALSE), IFERROR(VLOOKUP($A193,'ABB ExDa'!$A$2:$N$184, 0,FALSE), IFERROR(VLOOKUP($A193,'Vocus SIT ExDa'!$B$2:$J$173, 0,FALSE), IFERROR(VLOOKUP($A193,'Telstra ExDa'!$B$2:$K$310, 0,FALSE), IFERROR(VLOOKUP($A193,'Vocus RVC ExDa'!$C$2:$R$155, 0,FALSE), IFERROR(VLOOKUP($A193,'Fusion ExDa'!$B$2:$D$16, 0,FALSE), IFERROR(VLOOKUP($A193,'Exetel ExDa'!$C$2:$N$14, 8,FALSE), IFERROR(VLOOKUP($A193,'Infinet ExDa'!$B$2:$E$14, 0,FALSE), "Not Found"))))))))</f>
        <v>Not Found</v>
      </c>
      <c r="J193" t="str">
        <f>IFERROR(VLOOKUP($A193,'AAPT ExDa'!$B$2:$U$99, 7,FALSE), IFERROR(VLOOKUP($A193,'ABB ExDa'!$A$2:$N$184, 2,FALSE), IFERROR(VLOOKUP($A193,'Vocus SIT ExDa'!$B$2:$J$173, 0,FALSE), IFERROR(VLOOKUP($A193,'Telstra ExDa'!$B$2:$K$310, 7,FALSE), IFERROR(VLOOKUP($A193,'Vocus RVC ExDa'!$C$2:$R$155, 2,FALSE), IFERROR(VLOOKUP($A193,'Fusion ExDa'!$B$2:$D$16, 3,FALSE), IFERROR(VLOOKUP($A193,'Exetel ExDa'!$C$2:$N$14, 0,FALSE), IFERROR(VLOOKUP($A193,'Infinet ExDa'!$B$2:$E$14, 0,FALSE), "Not Found"))))))))</f>
        <v>SHOP T3, 3 ALBERT ST, BUSSELTON WA</v>
      </c>
      <c r="K193" t="str">
        <f>IFERROR(VLOOKUP($A193,'AAPT ExDa'!$B$2:$U$99, 12,FALSE), IFERROR(VLOOKUP($A193,'ABB ExDa'!$A$2:$N$184, 0,FALSE), IFERROR(VLOOKUP($A193,'Vocus SIT ExDa'!$B$2:$J$173, 0,FALSE), IFERROR(VLOOKUP($A193,'Telstra ExDa'!$B$2:$K$310, 0,FALSE), IFERROR(VLOOKUP($A193,'Vocus RVC ExDa'!$C$2:$R$155, 0,FALSE), IFERROR(VLOOKUP($A193,'Fusion ExDa'!$B$2:$D$16, 0,FALSE), IFERROR(VLOOKUP($A193,'Exetel ExDa'!$C$2:$N$14, 12,FALSE), IFERROR(VLOOKUP($A193,'Infinet ExDa'!$B$2:$E$14, 0,FALSE), "Not Found"))))))))</f>
        <v>Not Found</v>
      </c>
      <c r="L193" s="235" t="str">
        <f>IFERROR(VLOOKUP($A193,'AAPT ExDa'!$B$2:$U$99, 11,FALSE), IFERROR(VLOOKUP($A193,'ABB ExDa'!$A$2:$N$184, 9,FALSE), IFERROR(VLOOKUP($A193,'Vocus SIT ExDa'!$B$2:$J$173, 8,FALSE), IFERROR(VLOOKUP($A193,'Telstra ExDa'!$B$2:$K$310, 0,FALSE), IFERROR(VLOOKUP($A193,'Vocus RVC ExDa'!$C$2:$R$155, 0,FALSE), IFERROR(VLOOKUP($A193,'Fusion ExDa'!$B$2:$D$16, 0,FALSE), IFERROR(VLOOKUP($A193,'Exetel ExDa'!$C$2:$N$14, 9,FALSE), IFERROR(VLOOKUP($A193,'Infinet ExDa'!$B$2:$E$14, 0,FALSE), "Not Found"))))))))</f>
        <v>28 Dec 2024</v>
      </c>
      <c r="M193" s="234" t="str">
        <f>IFERROR(VLOOKUP($A193,'AAPT ExDa'!$B$2:$U$99, 0,FALSE), IFERROR(VLOOKUP($A193,'ABB ExDa'!$A$2:$N$184, 0,FALSE), IFERROR(VLOOKUP($A193,'Vocus SIT ExDa'!$B$2:$J$173, 0,FALSE), IFERROR(VLOOKUP($A193,'Telstra ExDa'!$B$2:$K$310, 0,FALSE), IFERROR(VLOOKUP($A193,'Vocus RVC ExDa'!$C$2:$R$155, 0,FALSE), IFERROR(VLOOKUP($A193,'Fusion ExDa'!$B$2:$D$16, 0,FALSE), IFERROR(VLOOKUP($A193,'Exetel ExDa'!$C$2:$N$14, 11,FALSE), IFERROR(VLOOKUP($A193,'Infinet ExDa'!$B$2:$E$14, 0,FALSE), "Not Found"))))))))</f>
        <v>Not Found</v>
      </c>
      <c r="N193" t="str">
        <f>IFERROR(VLOOKUP($A193,'AAPT ExDa'!$B$2:$U$99, 0,FALSE), IFERROR(VLOOKUP($A193,'ABB ExDa'!$A$2:$N$184, 13,FALSE), IFERROR(VLOOKUP($A193,'Vocus SIT ExDa'!$B$2:$J$173, 0,FALSE), IFERROR(VLOOKUP($A193,'Telstra ExDa'!$B$2:$K$310, 0,FALSE), IFERROR(VLOOKUP($A193,'Vocus RVC ExDa'!$C$2:$R$155, 0,FALSE), IFERROR(VLOOKUP($A193,'Fusion ExDa'!$B$2:$D$16, 0,FALSE), IFERROR(VLOOKUP($A193,'Exetel ExDa'!$C$2:$N$14, 0,FALSE), IFERROR(VLOOKUP($A193,'Infinet ExDa'!$B$2:$E$14, 0,FALSE), "Not Found"))))))))</f>
        <v>Onebill</v>
      </c>
    </row>
    <row r="194" spans="1:14">
      <c r="A194" t="str">
        <v>Zambrero Caroline Springs</v>
      </c>
      <c r="B194" t="str">
        <f>IFERROR(VLOOKUP(A194,'Exetel ExDa'!$C$2:$N$14,4,FALSE),"No Data")</f>
        <v>No Data</v>
      </c>
      <c r="C194" t="str">
        <f>IFERROR(VLOOKUP(A194,'AAPT ExDa'!$B$2:$U$99, 2,FALSE), IFERROR(VLOOKUP(A194,'ABB ExDa'!$A$2:$N$184, 2,FALSE), IFERROR(VLOOKUP(A194,'Vocus SIT ExDa'!$B$2:$J$173, 7,FALSE), IFERROR(VLOOKUP(A194,'Telstra ExDa'!$B$2:$K$310, 2,FALSE), IFERROR(VLOOKUP(A194,'Vocus RVC ExDa'!$C$2:$R$155, 3,FALSE), IFERROR(VLOOKUP(A194,'Fusion ExDa'!$B$2:$D$16, 2,FALSE), IFERROR(VLOOKUP(A194,'Exetel ExDa'!$C$2:$N$14, 2,FALSE), IFERROR(VLOOKUP(A194,'Infinet ExDa'!$B$2:$E$14, 2,FALSE), "Not Found"))))))))</f>
        <v>SHOP 11, 13 LAKE ST, CAROLINE SPRINGS VIC</v>
      </c>
      <c r="D194" t="str">
        <f>IFERROR(VLOOKUP($A194,'AAPT ExDa'!$B$2:$U$99, 15,FALSE), IFERROR(VLOOKUP($A194,'ABB ExDa'!$A$2:$N$184, 4,FALSE), IFERROR(VLOOKUP($A194,'Vocus SIT ExDa'!$B$2:$J$173, 5,FALSE), IFERROR(VLOOKUP($A194,'Telstra ExDa'!$B$2:$K$310, 8,FALSE), IFERROR(VLOOKUP($A194,'Vocus RVC ExDa'!$C$2:$R$155, 6,FALSE), IFERROR(VLOOKUP($A194,'Fusion ExDa'!$B$2:$D$16, 4,FALSE), IFERROR(VLOOKUP($A194,'Exetel ExDa'!$C$2:$N$14, 3,FALSE), IFERROR(VLOOKUP($A194,'Infinet ExDa'!$B$2:$E$14, 3,FALSE), "Not Found"))))))))</f>
        <v>ABB</v>
      </c>
      <c r="E194" t="str">
        <f>IFERROR(VLOOKUP($A194,'AAPT ExDa'!$B$2:$U$99, 3,FALSE), IFERROR(VLOOKUP($A194,'ABB ExDa'!$A$2:$N$184, 5,FALSE), IFERROR(VLOOKUP($A194,'Vocus SIT ExDa'!$B$2:$J$173, 2,FALSE), IFERROR(VLOOKUP($A194,'Telstra ExDa'!$B$2:$K$310, 4,FALSE), IFERROR(VLOOKUP($A194,'Vocus RVC ExDa'!$C$2:$R$155, 8,FALSE), IFERROR(VLOOKUP($A194,'Fusion ExDa'!$B$2:$D$16, 4,FALSE), IFERROR(VLOOKUP($A194,'Exetel ExDa'!$C$2:$N$14, 5,FALSE), IFERROR(VLOOKUP($A194,'Infinet ExDa'!$B$2:$E$14, 3,FALSE), "Not Found"))))))))</f>
        <v>NBN 25/10</v>
      </c>
      <c r="F194" t="str">
        <f>IFERROR(VLOOKUP($A194,'AAPT ExDa'!$B$2:$U$99, 4,FALSE), IFERROR(VLOOKUP($A194,'ABB ExDa'!$A$2:$N$184, 6,FALSE), IFERROR(VLOOKUP($A194,'Vocus SIT ExDa'!$B$2:$J$173, 3,FALSE), IFERROR(VLOOKUP($A194,'Telstra ExDa'!$B$2:$K$310, 5,FALSE), IFERROR(VLOOKUP($A194,'Vocus RVC ExDa'!$C$2:$R$155, 9,FALSE), IFERROR(VLOOKUP($A194,'Fusion ExDa'!$B$2:$D$16, 0,FALSE), IFERROR(VLOOKUP($A194,'Exetel ExDa'!$C$2:$N$14, 6,FALSE), IFERROR(VLOOKUP($A194,'Infinet ExDa'!$B$2:$E$14, 0,FALSE), "Not Found"))))))))</f>
        <v>FTTN</v>
      </c>
      <c r="G194" t="str">
        <f>IFERROR(VLOOKUP($A194,'AAPT ExDa'!$B$2:$U$99, 5,FALSE), IFERROR(VLOOKUP($A194,'ABB ExDa'!$A$2:$N$184, 8,FALSE), IFERROR(VLOOKUP($A194,'Vocus SIT ExDa'!$B$2:$J$173, 6,FALSE), IFERROR(VLOOKUP($A194,'Telstra ExDa'!$B$2:$K$310, 0,FALSE), IFERROR(VLOOKUP($A194,'Vocus RVC ExDa'!$C$2:$R$155, 15,FALSE), IFERROR(VLOOKUP($A194,'Fusion ExDa'!$B$2:$D$16, 0,FALSE), IFERROR(VLOOKUP($A194,'Exetel ExDa'!$C$2:$N$14, 7,FALSE), IFERROR(VLOOKUP($A194,'Infinet ExDa'!$B$2:$E$14, 0,FALSE), "Not Found"))))))))</f>
        <v>144.6.185.112</v>
      </c>
      <c r="H194" t="str">
        <f>IFERROR(VLOOKUP($A194,'AAPT ExDa'!$B$2:$U$99, 6,FALSE), IFERROR(VLOOKUP($A194,'ABB ExDa'!$A$2:$N$184, 0,FALSE), IFERROR(VLOOKUP($A194,'Vocus SIT ExDa'!$B$2:$J$173, 0,FALSE), IFERROR(VLOOKUP($A194,'Telstra ExDa'!$B$2:$K$310, 0,FALSE), IFERROR(VLOOKUP($A194,'Vocus RVC ExDa'!$C$2:$R$155, 16,FALSE), IFERROR(VLOOKUP($A194,'Fusion ExDa'!$B$2:$D$16, 0,FALSE), IFERROR(VLOOKUP($A194,'Exetel ExDa'!$C$2:$N$14, 0,FALSE), IFERROR(VLOOKUP($A194,'Infinet ExDa'!$B$2:$E$14, 0,FALSE), "Not Found"))))))))</f>
        <v>Not Found</v>
      </c>
      <c r="I194" t="str">
        <f>IFERROR(VLOOKUP($A194,'AAPT ExDa'!$B$2:$U$99, 0,FALSE), IFERROR(VLOOKUP($A194,'ABB ExDa'!$A$2:$N$184, 0,FALSE), IFERROR(VLOOKUP($A194,'Vocus SIT ExDa'!$B$2:$J$173, 0,FALSE), IFERROR(VLOOKUP($A194,'Telstra ExDa'!$B$2:$K$310, 0,FALSE), IFERROR(VLOOKUP($A194,'Vocus RVC ExDa'!$C$2:$R$155, 0,FALSE), IFERROR(VLOOKUP($A194,'Fusion ExDa'!$B$2:$D$16, 0,FALSE), IFERROR(VLOOKUP($A194,'Exetel ExDa'!$C$2:$N$14, 8,FALSE), IFERROR(VLOOKUP($A194,'Infinet ExDa'!$B$2:$E$14, 0,FALSE), "Not Found"))))))))</f>
        <v>Not Found</v>
      </c>
      <c r="J194" t="str">
        <f>IFERROR(VLOOKUP($A194,'AAPT ExDa'!$B$2:$U$99, 7,FALSE), IFERROR(VLOOKUP($A194,'ABB ExDa'!$A$2:$N$184, 2,FALSE), IFERROR(VLOOKUP($A194,'Vocus SIT ExDa'!$B$2:$J$173, 0,FALSE), IFERROR(VLOOKUP($A194,'Telstra ExDa'!$B$2:$K$310, 7,FALSE), IFERROR(VLOOKUP($A194,'Vocus RVC ExDa'!$C$2:$R$155, 2,FALSE), IFERROR(VLOOKUP($A194,'Fusion ExDa'!$B$2:$D$16, 3,FALSE), IFERROR(VLOOKUP($A194,'Exetel ExDa'!$C$2:$N$14, 0,FALSE), IFERROR(VLOOKUP($A194,'Infinet ExDa'!$B$2:$E$14, 0,FALSE), "Not Found"))))))))</f>
        <v>SHOP 11, 13 LAKE ST, CAROLINE SPRINGS VIC</v>
      </c>
      <c r="K194" t="str">
        <f>IFERROR(VLOOKUP($A194,'AAPT ExDa'!$B$2:$U$99, 12,FALSE), IFERROR(VLOOKUP($A194,'ABB ExDa'!$A$2:$N$184, 0,FALSE), IFERROR(VLOOKUP($A194,'Vocus SIT ExDa'!$B$2:$J$173, 0,FALSE), IFERROR(VLOOKUP($A194,'Telstra ExDa'!$B$2:$K$310, 0,FALSE), IFERROR(VLOOKUP($A194,'Vocus RVC ExDa'!$C$2:$R$155, 0,FALSE), IFERROR(VLOOKUP($A194,'Fusion ExDa'!$B$2:$D$16, 0,FALSE), IFERROR(VLOOKUP($A194,'Exetel ExDa'!$C$2:$N$14, 12,FALSE), IFERROR(VLOOKUP($A194,'Infinet ExDa'!$B$2:$E$14, 0,FALSE), "Not Found"))))))))</f>
        <v>Not Found</v>
      </c>
      <c r="L194" s="235" t="str">
        <f>IFERROR(VLOOKUP($A194,'AAPT ExDa'!$B$2:$U$99, 11,FALSE), IFERROR(VLOOKUP($A194,'ABB ExDa'!$A$2:$N$184, 9,FALSE), IFERROR(VLOOKUP($A194,'Vocus SIT ExDa'!$B$2:$J$173, 8,FALSE), IFERROR(VLOOKUP($A194,'Telstra ExDa'!$B$2:$K$310, 0,FALSE), IFERROR(VLOOKUP($A194,'Vocus RVC ExDa'!$C$2:$R$155, 0,FALSE), IFERROR(VLOOKUP($A194,'Fusion ExDa'!$B$2:$D$16, 0,FALSE), IFERROR(VLOOKUP($A194,'Exetel ExDa'!$C$2:$N$14, 9,FALSE), IFERROR(VLOOKUP($A194,'Infinet ExDa'!$B$2:$E$14, 0,FALSE), "Not Found"))))))))</f>
        <v>29 Nov 2024</v>
      </c>
      <c r="M194" s="234" t="str">
        <f>IFERROR(VLOOKUP($A194,'AAPT ExDa'!$B$2:$U$99, 0,FALSE), IFERROR(VLOOKUP($A194,'ABB ExDa'!$A$2:$N$184, 0,FALSE), IFERROR(VLOOKUP($A194,'Vocus SIT ExDa'!$B$2:$J$173, 0,FALSE), IFERROR(VLOOKUP($A194,'Telstra ExDa'!$B$2:$K$310, 0,FALSE), IFERROR(VLOOKUP($A194,'Vocus RVC ExDa'!$C$2:$R$155, 0,FALSE), IFERROR(VLOOKUP($A194,'Fusion ExDa'!$B$2:$D$16, 0,FALSE), IFERROR(VLOOKUP($A194,'Exetel ExDa'!$C$2:$N$14, 11,FALSE), IFERROR(VLOOKUP($A194,'Infinet ExDa'!$B$2:$E$14, 0,FALSE), "Not Found"))))))))</f>
        <v>Not Found</v>
      </c>
      <c r="N194" t="str">
        <f>IFERROR(VLOOKUP($A194,'AAPT ExDa'!$B$2:$U$99, 0,FALSE), IFERROR(VLOOKUP($A194,'ABB ExDa'!$A$2:$N$184, 13,FALSE), IFERROR(VLOOKUP($A194,'Vocus SIT ExDa'!$B$2:$J$173, 0,FALSE), IFERROR(VLOOKUP($A194,'Telstra ExDa'!$B$2:$K$310, 0,FALSE), IFERROR(VLOOKUP($A194,'Vocus RVC ExDa'!$C$2:$R$155, 0,FALSE), IFERROR(VLOOKUP($A194,'Fusion ExDa'!$B$2:$D$16, 0,FALSE), IFERROR(VLOOKUP($A194,'Exetel ExDa'!$C$2:$N$14, 0,FALSE), IFERROR(VLOOKUP($A194,'Infinet ExDa'!$B$2:$E$14, 0,FALSE), "Not Found"))))))))</f>
        <v>Onebill</v>
      </c>
    </row>
    <row r="195" spans="1:14">
      <c r="A195" t="str">
        <v>Zambrero Casey Central</v>
      </c>
      <c r="B195" t="str">
        <f>IFERROR(VLOOKUP(A195,'Exetel ExDa'!$C$2:$N$14,4,FALSE),"No Data")</f>
        <v>No Data</v>
      </c>
      <c r="C195" t="str">
        <f>IFERROR(VLOOKUP(A195,'AAPT ExDa'!$B$2:$U$99, 2,FALSE), IFERROR(VLOOKUP(A195,'ABB ExDa'!$A$2:$N$184, 2,FALSE), IFERROR(VLOOKUP(A195,'Vocus SIT ExDa'!$B$2:$J$173, 7,FALSE), IFERROR(VLOOKUP(A195,'Telstra ExDa'!$B$2:$K$310, 2,FALSE), IFERROR(VLOOKUP(A195,'Vocus RVC ExDa'!$C$2:$R$155, 3,FALSE), IFERROR(VLOOKUP(A195,'Fusion ExDa'!$B$2:$D$16, 2,FALSE), IFERROR(VLOOKUP(A195,'Exetel ExDa'!$C$2:$N$14, 2,FALSE), IFERROR(VLOOKUP(A195,'Infinet ExDa'!$B$2:$E$14, 2,FALSE), "Not Found"))))))))</f>
        <v>SHOP F116A, 400 CRANBOURNE RD, NARRE WARREN SOUTH VIC</v>
      </c>
      <c r="D195" t="str">
        <f>IFERROR(VLOOKUP($A195,'AAPT ExDa'!$B$2:$U$99, 15,FALSE), IFERROR(VLOOKUP($A195,'ABB ExDa'!$A$2:$N$184, 4,FALSE), IFERROR(VLOOKUP($A195,'Vocus SIT ExDa'!$B$2:$J$173, 5,FALSE), IFERROR(VLOOKUP($A195,'Telstra ExDa'!$B$2:$K$310, 8,FALSE), IFERROR(VLOOKUP($A195,'Vocus RVC ExDa'!$C$2:$R$155, 6,FALSE), IFERROR(VLOOKUP($A195,'Fusion ExDa'!$B$2:$D$16, 4,FALSE), IFERROR(VLOOKUP($A195,'Exetel ExDa'!$C$2:$N$14, 3,FALSE), IFERROR(VLOOKUP($A195,'Infinet ExDa'!$B$2:$E$14, 3,FALSE), "Not Found"))))))))</f>
        <v>ABB</v>
      </c>
      <c r="E195" t="str">
        <f>IFERROR(VLOOKUP($A195,'AAPT ExDa'!$B$2:$U$99, 3,FALSE), IFERROR(VLOOKUP($A195,'ABB ExDa'!$A$2:$N$184, 5,FALSE), IFERROR(VLOOKUP($A195,'Vocus SIT ExDa'!$B$2:$J$173, 2,FALSE), IFERROR(VLOOKUP($A195,'Telstra ExDa'!$B$2:$K$310, 4,FALSE), IFERROR(VLOOKUP($A195,'Vocus RVC ExDa'!$C$2:$R$155, 8,FALSE), IFERROR(VLOOKUP($A195,'Fusion ExDa'!$B$2:$D$16, 4,FALSE), IFERROR(VLOOKUP($A195,'Exetel ExDa'!$C$2:$N$14, 5,FALSE), IFERROR(VLOOKUP($A195,'Infinet ExDa'!$B$2:$E$14, 3,FALSE), "Not Found"))))))))</f>
        <v>NBN 25/10</v>
      </c>
      <c r="F195" t="str">
        <f>IFERROR(VLOOKUP($A195,'AAPT ExDa'!$B$2:$U$99, 4,FALSE), IFERROR(VLOOKUP($A195,'ABB ExDa'!$A$2:$N$184, 6,FALSE), IFERROR(VLOOKUP($A195,'Vocus SIT ExDa'!$B$2:$J$173, 3,FALSE), IFERROR(VLOOKUP($A195,'Telstra ExDa'!$B$2:$K$310, 5,FALSE), IFERROR(VLOOKUP($A195,'Vocus RVC ExDa'!$C$2:$R$155, 9,FALSE), IFERROR(VLOOKUP($A195,'Fusion ExDa'!$B$2:$D$16, 0,FALSE), IFERROR(VLOOKUP($A195,'Exetel ExDa'!$C$2:$N$14, 6,FALSE), IFERROR(VLOOKUP($A195,'Infinet ExDa'!$B$2:$E$14, 0,FALSE), "Not Found"))))))))</f>
        <v>FTTN</v>
      </c>
      <c r="G195" t="str">
        <f>IFERROR(VLOOKUP($A195,'AAPT ExDa'!$B$2:$U$99, 5,FALSE), IFERROR(VLOOKUP($A195,'ABB ExDa'!$A$2:$N$184, 8,FALSE), IFERROR(VLOOKUP($A195,'Vocus SIT ExDa'!$B$2:$J$173, 6,FALSE), IFERROR(VLOOKUP($A195,'Telstra ExDa'!$B$2:$K$310, 0,FALSE), IFERROR(VLOOKUP($A195,'Vocus RVC ExDa'!$C$2:$R$155, 15,FALSE), IFERROR(VLOOKUP($A195,'Fusion ExDa'!$B$2:$D$16, 0,FALSE), IFERROR(VLOOKUP($A195,'Exetel ExDa'!$C$2:$N$14, 7,FALSE), IFERROR(VLOOKUP($A195,'Infinet ExDa'!$B$2:$E$14, 0,FALSE), "Not Found"))))))))</f>
        <v>180.181.200.214</v>
      </c>
      <c r="H195">
        <f>IFERROR(VLOOKUP($A195,'AAPT ExDa'!$B$2:$U$99, 6,FALSE), IFERROR(VLOOKUP($A195,'ABB ExDa'!$A$2:$N$184, 0,FALSE), IFERROR(VLOOKUP($A195,'Vocus SIT ExDa'!$B$2:$J$173, 0,FALSE), IFERROR(VLOOKUP($A195,'Telstra ExDa'!$B$2:$K$310, 0,FALSE), IFERROR(VLOOKUP($A195,'Vocus RVC ExDa'!$C$2:$R$155, 16,FALSE), IFERROR(VLOOKUP($A195,'Fusion ExDa'!$B$2:$D$16, 0,FALSE), IFERROR(VLOOKUP($A195,'Exetel ExDa'!$C$2:$N$14, 0,FALSE), IFERROR(VLOOKUP($A195,'Infinet ExDa'!$B$2:$E$14, 0,FALSE), "Not Found"))))))))</f>
        <v>0</v>
      </c>
      <c r="I195" t="str">
        <f>IFERROR(VLOOKUP($A195,'AAPT ExDa'!$B$2:$U$99, 0,FALSE), IFERROR(VLOOKUP($A195,'ABB ExDa'!$A$2:$N$184, 0,FALSE), IFERROR(VLOOKUP($A195,'Vocus SIT ExDa'!$B$2:$J$173, 0,FALSE), IFERROR(VLOOKUP($A195,'Telstra ExDa'!$B$2:$K$310, 0,FALSE), IFERROR(VLOOKUP($A195,'Vocus RVC ExDa'!$C$2:$R$155, 0,FALSE), IFERROR(VLOOKUP($A195,'Fusion ExDa'!$B$2:$D$16, 0,FALSE), IFERROR(VLOOKUP($A195,'Exetel ExDa'!$C$2:$N$14, 8,FALSE), IFERROR(VLOOKUP($A195,'Infinet ExDa'!$B$2:$E$14, 0,FALSE), "Not Found"))))))))</f>
        <v>Not Found</v>
      </c>
      <c r="J195" t="str">
        <f>IFERROR(VLOOKUP($A195,'AAPT ExDa'!$B$2:$U$99, 7,FALSE), IFERROR(VLOOKUP($A195,'ABB ExDa'!$A$2:$N$184, 2,FALSE), IFERROR(VLOOKUP($A195,'Vocus SIT ExDa'!$B$2:$J$173, 0,FALSE), IFERROR(VLOOKUP($A195,'Telstra ExDa'!$B$2:$K$310, 7,FALSE), IFERROR(VLOOKUP($A195,'Vocus RVC ExDa'!$C$2:$R$155, 2,FALSE), IFERROR(VLOOKUP($A195,'Fusion ExDa'!$B$2:$D$16, 3,FALSE), IFERROR(VLOOKUP($A195,'Exetel ExDa'!$C$2:$N$14, 0,FALSE), IFERROR(VLOOKUP($A195,'Infinet ExDa'!$B$2:$E$14, 0,FALSE), "Not Found"))))))))</f>
        <v>SHOP F116A, 400 CRANBOURNE RD, NARRE WARREN SOUTH VIC</v>
      </c>
      <c r="K195" t="str">
        <f>IFERROR(VLOOKUP($A195,'AAPT ExDa'!$B$2:$U$99, 12,FALSE), IFERROR(VLOOKUP($A195,'ABB ExDa'!$A$2:$N$184, 0,FALSE), IFERROR(VLOOKUP($A195,'Vocus SIT ExDa'!$B$2:$J$173, 0,FALSE), IFERROR(VLOOKUP($A195,'Telstra ExDa'!$B$2:$K$310, 0,FALSE), IFERROR(VLOOKUP($A195,'Vocus RVC ExDa'!$C$2:$R$155, 0,FALSE), IFERROR(VLOOKUP($A195,'Fusion ExDa'!$B$2:$D$16, 0,FALSE), IFERROR(VLOOKUP($A195,'Exetel ExDa'!$C$2:$N$14, 12,FALSE), IFERROR(VLOOKUP($A195,'Infinet ExDa'!$B$2:$E$14, 0,FALSE), "Not Found"))))))))</f>
        <v>Not Found</v>
      </c>
      <c r="L195" s="235" t="str">
        <f>IFERROR(VLOOKUP($A195,'AAPT ExDa'!$B$2:$U$99, 11,FALSE), IFERROR(VLOOKUP($A195,'ABB ExDa'!$A$2:$N$184, 9,FALSE), IFERROR(VLOOKUP($A195,'Vocus SIT ExDa'!$B$2:$J$173, 8,FALSE), IFERROR(VLOOKUP($A195,'Telstra ExDa'!$B$2:$K$310, 0,FALSE), IFERROR(VLOOKUP($A195,'Vocus RVC ExDa'!$C$2:$R$155, 0,FALSE), IFERROR(VLOOKUP($A195,'Fusion ExDa'!$B$2:$D$16, 0,FALSE), IFERROR(VLOOKUP($A195,'Exetel ExDa'!$C$2:$N$14, 9,FALSE), IFERROR(VLOOKUP($A195,'Infinet ExDa'!$B$2:$E$14, 0,FALSE), "Not Found"))))))))</f>
        <v>05 Aug 2025</v>
      </c>
      <c r="M195" s="234" t="str">
        <f>IFERROR(VLOOKUP($A195,'AAPT ExDa'!$B$2:$U$99, 0,FALSE), IFERROR(VLOOKUP($A195,'ABB ExDa'!$A$2:$N$184, 0,FALSE), IFERROR(VLOOKUP($A195,'Vocus SIT ExDa'!$B$2:$J$173, 0,FALSE), IFERROR(VLOOKUP($A195,'Telstra ExDa'!$B$2:$K$310, 0,FALSE), IFERROR(VLOOKUP($A195,'Vocus RVC ExDa'!$C$2:$R$155, 0,FALSE), IFERROR(VLOOKUP($A195,'Fusion ExDa'!$B$2:$D$16, 0,FALSE), IFERROR(VLOOKUP($A195,'Exetel ExDa'!$C$2:$N$14, 11,FALSE), IFERROR(VLOOKUP($A195,'Infinet ExDa'!$B$2:$E$14, 0,FALSE), "Not Found"))))))))</f>
        <v>Not Found</v>
      </c>
      <c r="N195" t="str">
        <f>IFERROR(VLOOKUP($A195,'AAPT ExDa'!$B$2:$U$99, 0,FALSE), IFERROR(VLOOKUP($A195,'ABB ExDa'!$A$2:$N$184, 13,FALSE), IFERROR(VLOOKUP($A195,'Vocus SIT ExDa'!$B$2:$J$173, 0,FALSE), IFERROR(VLOOKUP($A195,'Telstra ExDa'!$B$2:$K$310, 0,FALSE), IFERROR(VLOOKUP($A195,'Vocus RVC ExDa'!$C$2:$R$155, 0,FALSE), IFERROR(VLOOKUP($A195,'Fusion ExDa'!$B$2:$D$16, 0,FALSE), IFERROR(VLOOKUP($A195,'Exetel ExDa'!$C$2:$N$14, 0,FALSE), IFERROR(VLOOKUP($A195,'Infinet ExDa'!$B$2:$E$14, 0,FALSE), "Not Found"))))))))</f>
        <v>Onebill</v>
      </c>
    </row>
    <row r="196" spans="1:14">
      <c r="A196" t="str">
        <v>Zambrero Coolum</v>
      </c>
      <c r="B196" t="str">
        <f>IFERROR(VLOOKUP(A196,'Exetel ExDa'!$C$2:$N$14,4,FALSE),"No Data")</f>
        <v>No Data</v>
      </c>
      <c r="C196" t="str">
        <f>IFERROR(VLOOKUP(A196,'AAPT ExDa'!$B$2:$U$99, 2,FALSE), IFERROR(VLOOKUP(A196,'ABB ExDa'!$A$2:$N$184, 2,FALSE), IFERROR(VLOOKUP(A196,'Vocus SIT ExDa'!$B$2:$J$173, 7,FALSE), IFERROR(VLOOKUP(A196,'Telstra ExDa'!$B$2:$K$310, 2,FALSE), IFERROR(VLOOKUP(A196,'Vocus RVC ExDa'!$C$2:$R$155, 3,FALSE), IFERROR(VLOOKUP(A196,'Fusion ExDa'!$B$2:$D$16, 2,FALSE), IFERROR(VLOOKUP(A196,'Exetel ExDa'!$C$2:$N$14, 2,FALSE), IFERROR(VLOOKUP(A196,'Infinet ExDa'!$B$2:$E$14, 2,FALSE), "Not Found"))))))))</f>
        <v>SEA COOLUM SHOP 2, 1796 DAVID LOW WAY, COOLUM BEACH QLD</v>
      </c>
      <c r="D196" t="str">
        <f>IFERROR(VLOOKUP($A196,'AAPT ExDa'!$B$2:$U$99, 15,FALSE), IFERROR(VLOOKUP($A196,'ABB ExDa'!$A$2:$N$184, 4,FALSE), IFERROR(VLOOKUP($A196,'Vocus SIT ExDa'!$B$2:$J$173, 5,FALSE), IFERROR(VLOOKUP($A196,'Telstra ExDa'!$B$2:$K$310, 8,FALSE), IFERROR(VLOOKUP($A196,'Vocus RVC ExDa'!$C$2:$R$155, 6,FALSE), IFERROR(VLOOKUP($A196,'Fusion ExDa'!$B$2:$D$16, 4,FALSE), IFERROR(VLOOKUP($A196,'Exetel ExDa'!$C$2:$N$14, 3,FALSE), IFERROR(VLOOKUP($A196,'Infinet ExDa'!$B$2:$E$14, 3,FALSE), "Not Found"))))))))</f>
        <v>ABB</v>
      </c>
      <c r="E196" t="str">
        <f>IFERROR(VLOOKUP($A196,'AAPT ExDa'!$B$2:$U$99, 3,FALSE), IFERROR(VLOOKUP($A196,'ABB ExDa'!$A$2:$N$184, 5,FALSE), IFERROR(VLOOKUP($A196,'Vocus SIT ExDa'!$B$2:$J$173, 2,FALSE), IFERROR(VLOOKUP($A196,'Telstra ExDa'!$B$2:$K$310, 4,FALSE), IFERROR(VLOOKUP($A196,'Vocus RVC ExDa'!$C$2:$R$155, 8,FALSE), IFERROR(VLOOKUP($A196,'Fusion ExDa'!$B$2:$D$16, 4,FALSE), IFERROR(VLOOKUP($A196,'Exetel ExDa'!$C$2:$N$14, 5,FALSE), IFERROR(VLOOKUP($A196,'Infinet ExDa'!$B$2:$E$14, 3,FALSE), "Not Found"))))))))</f>
        <v>NBN 50/20</v>
      </c>
      <c r="F196" t="str">
        <f>IFERROR(VLOOKUP($A196,'AAPT ExDa'!$B$2:$U$99, 4,FALSE), IFERROR(VLOOKUP($A196,'ABB ExDa'!$A$2:$N$184, 6,FALSE), IFERROR(VLOOKUP($A196,'Vocus SIT ExDa'!$B$2:$J$173, 3,FALSE), IFERROR(VLOOKUP($A196,'Telstra ExDa'!$B$2:$K$310, 5,FALSE), IFERROR(VLOOKUP($A196,'Vocus RVC ExDa'!$C$2:$R$155, 9,FALSE), IFERROR(VLOOKUP($A196,'Fusion ExDa'!$B$2:$D$16, 0,FALSE), IFERROR(VLOOKUP($A196,'Exetel ExDa'!$C$2:$N$14, 6,FALSE), IFERROR(VLOOKUP($A196,'Infinet ExDa'!$B$2:$E$14, 0,FALSE), "Not Found"))))))))</f>
        <v xml:space="preserve">FTTN </v>
      </c>
      <c r="G196" t="str">
        <f>IFERROR(VLOOKUP($A196,'AAPT ExDa'!$B$2:$U$99, 5,FALSE), IFERROR(VLOOKUP($A196,'ABB ExDa'!$A$2:$N$184, 8,FALSE), IFERROR(VLOOKUP($A196,'Vocus SIT ExDa'!$B$2:$J$173, 6,FALSE), IFERROR(VLOOKUP($A196,'Telstra ExDa'!$B$2:$K$310, 0,FALSE), IFERROR(VLOOKUP($A196,'Vocus RVC ExDa'!$C$2:$R$155, 15,FALSE), IFERROR(VLOOKUP($A196,'Fusion ExDa'!$B$2:$D$16, 0,FALSE), IFERROR(VLOOKUP($A196,'Exetel ExDa'!$C$2:$N$14, 7,FALSE), IFERROR(VLOOKUP($A196,'Infinet ExDa'!$B$2:$E$14, 0,FALSE), "Not Found"))))))))</f>
        <v>159.196.4.248</v>
      </c>
      <c r="H196" t="str">
        <f>IFERROR(VLOOKUP($A196,'AAPT ExDa'!$B$2:$U$99, 6,FALSE), IFERROR(VLOOKUP($A196,'ABB ExDa'!$A$2:$N$184, 0,FALSE), IFERROR(VLOOKUP($A196,'Vocus SIT ExDa'!$B$2:$J$173, 0,FALSE), IFERROR(VLOOKUP($A196,'Telstra ExDa'!$B$2:$K$310, 0,FALSE), IFERROR(VLOOKUP($A196,'Vocus RVC ExDa'!$C$2:$R$155, 16,FALSE), IFERROR(VLOOKUP($A196,'Fusion ExDa'!$B$2:$D$16, 0,FALSE), IFERROR(VLOOKUP($A196,'Exetel ExDa'!$C$2:$N$14, 0,FALSE), IFERROR(VLOOKUP($A196,'Infinet ExDa'!$B$2:$E$14, 0,FALSE), "Not Found"))))))))</f>
        <v>Not Found</v>
      </c>
      <c r="I196" t="str">
        <f>IFERROR(VLOOKUP($A196,'AAPT ExDa'!$B$2:$U$99, 0,FALSE), IFERROR(VLOOKUP($A196,'ABB ExDa'!$A$2:$N$184, 0,FALSE), IFERROR(VLOOKUP($A196,'Vocus SIT ExDa'!$B$2:$J$173, 0,FALSE), IFERROR(VLOOKUP($A196,'Telstra ExDa'!$B$2:$K$310, 0,FALSE), IFERROR(VLOOKUP($A196,'Vocus RVC ExDa'!$C$2:$R$155, 0,FALSE), IFERROR(VLOOKUP($A196,'Fusion ExDa'!$B$2:$D$16, 0,FALSE), IFERROR(VLOOKUP($A196,'Exetel ExDa'!$C$2:$N$14, 8,FALSE), IFERROR(VLOOKUP($A196,'Infinet ExDa'!$B$2:$E$14, 0,FALSE), "Not Found"))))))))</f>
        <v>Not Found</v>
      </c>
      <c r="J196" t="str">
        <f>IFERROR(VLOOKUP($A196,'AAPT ExDa'!$B$2:$U$99, 7,FALSE), IFERROR(VLOOKUP($A196,'ABB ExDa'!$A$2:$N$184, 2,FALSE), IFERROR(VLOOKUP($A196,'Vocus SIT ExDa'!$B$2:$J$173, 0,FALSE), IFERROR(VLOOKUP($A196,'Telstra ExDa'!$B$2:$K$310, 7,FALSE), IFERROR(VLOOKUP($A196,'Vocus RVC ExDa'!$C$2:$R$155, 2,FALSE), IFERROR(VLOOKUP($A196,'Fusion ExDa'!$B$2:$D$16, 3,FALSE), IFERROR(VLOOKUP($A196,'Exetel ExDa'!$C$2:$N$14, 0,FALSE), IFERROR(VLOOKUP($A196,'Infinet ExDa'!$B$2:$E$14, 0,FALSE), "Not Found"))))))))</f>
        <v>SEA COOLUM SHOP 2, 1796 DAVID LOW WAY, COOLUM BEACH QLD</v>
      </c>
      <c r="K196" t="str">
        <f>IFERROR(VLOOKUP($A196,'AAPT ExDa'!$B$2:$U$99, 12,FALSE), IFERROR(VLOOKUP($A196,'ABB ExDa'!$A$2:$N$184, 0,FALSE), IFERROR(VLOOKUP($A196,'Vocus SIT ExDa'!$B$2:$J$173, 0,FALSE), IFERROR(VLOOKUP($A196,'Telstra ExDa'!$B$2:$K$310, 0,FALSE), IFERROR(VLOOKUP($A196,'Vocus RVC ExDa'!$C$2:$R$155, 0,FALSE), IFERROR(VLOOKUP($A196,'Fusion ExDa'!$B$2:$D$16, 0,FALSE), IFERROR(VLOOKUP($A196,'Exetel ExDa'!$C$2:$N$14, 12,FALSE), IFERROR(VLOOKUP($A196,'Infinet ExDa'!$B$2:$E$14, 0,FALSE), "Not Found"))))))))</f>
        <v>Not Found</v>
      </c>
      <c r="L196" s="235" t="str">
        <f>IFERROR(VLOOKUP($A196,'AAPT ExDa'!$B$2:$U$99, 11,FALSE), IFERROR(VLOOKUP($A196,'ABB ExDa'!$A$2:$N$184, 9,FALSE), IFERROR(VLOOKUP($A196,'Vocus SIT ExDa'!$B$2:$J$173, 8,FALSE), IFERROR(VLOOKUP($A196,'Telstra ExDa'!$B$2:$K$310, 0,FALSE), IFERROR(VLOOKUP($A196,'Vocus RVC ExDa'!$C$2:$R$155, 0,FALSE), IFERROR(VLOOKUP($A196,'Fusion ExDa'!$B$2:$D$16, 0,FALSE), IFERROR(VLOOKUP($A196,'Exetel ExDa'!$C$2:$N$14, 9,FALSE), IFERROR(VLOOKUP($A196,'Infinet ExDa'!$B$2:$E$14, 0,FALSE), "Not Found"))))))))</f>
        <v>14 Dec 2023</v>
      </c>
      <c r="M196" s="234" t="str">
        <f>IFERROR(VLOOKUP($A196,'AAPT ExDa'!$B$2:$U$99, 0,FALSE), IFERROR(VLOOKUP($A196,'ABB ExDa'!$A$2:$N$184, 0,FALSE), IFERROR(VLOOKUP($A196,'Vocus SIT ExDa'!$B$2:$J$173, 0,FALSE), IFERROR(VLOOKUP($A196,'Telstra ExDa'!$B$2:$K$310, 0,FALSE), IFERROR(VLOOKUP($A196,'Vocus RVC ExDa'!$C$2:$R$155, 0,FALSE), IFERROR(VLOOKUP($A196,'Fusion ExDa'!$B$2:$D$16, 0,FALSE), IFERROR(VLOOKUP($A196,'Exetel ExDa'!$C$2:$N$14, 11,FALSE), IFERROR(VLOOKUP($A196,'Infinet ExDa'!$B$2:$E$14, 0,FALSE), "Not Found"))))))))</f>
        <v>Not Found</v>
      </c>
      <c r="N196" t="str">
        <f>IFERROR(VLOOKUP($A196,'AAPT ExDa'!$B$2:$U$99, 0,FALSE), IFERROR(VLOOKUP($A196,'ABB ExDa'!$A$2:$N$184, 13,FALSE), IFERROR(VLOOKUP($A196,'Vocus SIT ExDa'!$B$2:$J$173, 0,FALSE), IFERROR(VLOOKUP($A196,'Telstra ExDa'!$B$2:$K$310, 0,FALSE), IFERROR(VLOOKUP($A196,'Vocus RVC ExDa'!$C$2:$R$155, 0,FALSE), IFERROR(VLOOKUP($A196,'Fusion ExDa'!$B$2:$D$16, 0,FALSE), IFERROR(VLOOKUP($A196,'Exetel ExDa'!$C$2:$N$14, 0,FALSE), IFERROR(VLOOKUP($A196,'Infinet ExDa'!$B$2:$E$14, 0,FALSE), "Not Found"))))))))</f>
        <v>Onebill</v>
      </c>
    </row>
    <row r="197" spans="1:14">
      <c r="A197" t="str">
        <v>Zambrero Coomera Square</v>
      </c>
      <c r="B197" t="str">
        <f>IFERROR(VLOOKUP(A197,'Exetel ExDa'!$C$2:$N$14,4,FALSE),"No Data")</f>
        <v>No Data</v>
      </c>
      <c r="C197" t="str">
        <f>IFERROR(VLOOKUP(A197,'AAPT ExDa'!$B$2:$U$99, 2,FALSE), IFERROR(VLOOKUP(A197,'ABB ExDa'!$A$2:$N$184, 2,FALSE), IFERROR(VLOOKUP(A197,'Vocus SIT ExDa'!$B$2:$J$173, 7,FALSE), IFERROR(VLOOKUP(A197,'Telstra ExDa'!$B$2:$K$310, 2,FALSE), IFERROR(VLOOKUP(A197,'Vocus RVC ExDa'!$C$2:$R$155, 3,FALSE), IFERROR(VLOOKUP(A197,'Fusion ExDa'!$B$2:$D$16, 2,FALSE), IFERROR(VLOOKUP(A197,'Exetel ExDa'!$C$2:$N$14, 2,FALSE), IFERROR(VLOOKUP(A197,'Infinet ExDa'!$B$2:$E$14, 2,FALSE), "Not Found"))))))))</f>
        <v>SHOP 1C, 2 CITY CENTRE DR, UPPER COOMERA QLD</v>
      </c>
      <c r="D197" t="str">
        <f>IFERROR(VLOOKUP($A197,'AAPT ExDa'!$B$2:$U$99, 15,FALSE), IFERROR(VLOOKUP($A197,'ABB ExDa'!$A$2:$N$184, 4,FALSE), IFERROR(VLOOKUP($A197,'Vocus SIT ExDa'!$B$2:$J$173, 5,FALSE), IFERROR(VLOOKUP($A197,'Telstra ExDa'!$B$2:$K$310, 8,FALSE), IFERROR(VLOOKUP($A197,'Vocus RVC ExDa'!$C$2:$R$155, 6,FALSE), IFERROR(VLOOKUP($A197,'Fusion ExDa'!$B$2:$D$16, 4,FALSE), IFERROR(VLOOKUP($A197,'Exetel ExDa'!$C$2:$N$14, 3,FALSE), IFERROR(VLOOKUP($A197,'Infinet ExDa'!$B$2:$E$14, 3,FALSE), "Not Found"))))))))</f>
        <v>ABB</v>
      </c>
      <c r="E197" t="str">
        <f>IFERROR(VLOOKUP($A197,'AAPT ExDa'!$B$2:$U$99, 3,FALSE), IFERROR(VLOOKUP($A197,'ABB ExDa'!$A$2:$N$184, 5,FALSE), IFERROR(VLOOKUP($A197,'Vocus SIT ExDa'!$B$2:$J$173, 2,FALSE), IFERROR(VLOOKUP($A197,'Telstra ExDa'!$B$2:$K$310, 4,FALSE), IFERROR(VLOOKUP($A197,'Vocus RVC ExDa'!$C$2:$R$155, 8,FALSE), IFERROR(VLOOKUP($A197,'Fusion ExDa'!$B$2:$D$16, 4,FALSE), IFERROR(VLOOKUP($A197,'Exetel ExDa'!$C$2:$N$14, 5,FALSE), IFERROR(VLOOKUP($A197,'Infinet ExDa'!$B$2:$E$14, 3,FALSE), "Not Found"))))))))</f>
        <v>NBN 50/20</v>
      </c>
      <c r="F197" t="str">
        <f>IFERROR(VLOOKUP($A197,'AAPT ExDa'!$B$2:$U$99, 4,FALSE), IFERROR(VLOOKUP($A197,'ABB ExDa'!$A$2:$N$184, 6,FALSE), IFERROR(VLOOKUP($A197,'Vocus SIT ExDa'!$B$2:$J$173, 3,FALSE), IFERROR(VLOOKUP($A197,'Telstra ExDa'!$B$2:$K$310, 5,FALSE), IFERROR(VLOOKUP($A197,'Vocus RVC ExDa'!$C$2:$R$155, 9,FALSE), IFERROR(VLOOKUP($A197,'Fusion ExDa'!$B$2:$D$16, 0,FALSE), IFERROR(VLOOKUP($A197,'Exetel ExDa'!$C$2:$N$14, 6,FALSE), IFERROR(VLOOKUP($A197,'Infinet ExDa'!$B$2:$E$14, 0,FALSE), "Not Found"))))))))</f>
        <v xml:space="preserve">FTTN </v>
      </c>
      <c r="G197" t="str">
        <f>IFERROR(VLOOKUP($A197,'AAPT ExDa'!$B$2:$U$99, 5,FALSE), IFERROR(VLOOKUP($A197,'ABB ExDa'!$A$2:$N$184, 8,FALSE), IFERROR(VLOOKUP($A197,'Vocus SIT ExDa'!$B$2:$J$173, 6,FALSE), IFERROR(VLOOKUP($A197,'Telstra ExDa'!$B$2:$K$310, 0,FALSE), IFERROR(VLOOKUP($A197,'Vocus RVC ExDa'!$C$2:$R$155, 15,FALSE), IFERROR(VLOOKUP($A197,'Fusion ExDa'!$B$2:$D$16, 0,FALSE), IFERROR(VLOOKUP($A197,'Exetel ExDa'!$C$2:$N$14, 7,FALSE), IFERROR(VLOOKUP($A197,'Infinet ExDa'!$B$2:$E$14, 0,FALSE), "Not Found"))))))))</f>
        <v>144.6.123.138</v>
      </c>
      <c r="H197">
        <f>IFERROR(VLOOKUP($A197,'AAPT ExDa'!$B$2:$U$99, 6,FALSE), IFERROR(VLOOKUP($A197,'ABB ExDa'!$A$2:$N$184, 0,FALSE), IFERROR(VLOOKUP($A197,'Vocus SIT ExDa'!$B$2:$J$173, 0,FALSE), IFERROR(VLOOKUP($A197,'Telstra ExDa'!$B$2:$K$310, 0,FALSE), IFERROR(VLOOKUP($A197,'Vocus RVC ExDa'!$C$2:$R$155, 16,FALSE), IFERROR(VLOOKUP($A197,'Fusion ExDa'!$B$2:$D$16, 0,FALSE), IFERROR(VLOOKUP($A197,'Exetel ExDa'!$C$2:$N$14, 0,FALSE), IFERROR(VLOOKUP($A197,'Infinet ExDa'!$B$2:$E$14, 0,FALSE), "Not Found"))))))))</f>
        <v>0</v>
      </c>
      <c r="I197" t="str">
        <f>IFERROR(VLOOKUP($A197,'AAPT ExDa'!$B$2:$U$99, 0,FALSE), IFERROR(VLOOKUP($A197,'ABB ExDa'!$A$2:$N$184, 0,FALSE), IFERROR(VLOOKUP($A197,'Vocus SIT ExDa'!$B$2:$J$173, 0,FALSE), IFERROR(VLOOKUP($A197,'Telstra ExDa'!$B$2:$K$310, 0,FALSE), IFERROR(VLOOKUP($A197,'Vocus RVC ExDa'!$C$2:$R$155, 0,FALSE), IFERROR(VLOOKUP($A197,'Fusion ExDa'!$B$2:$D$16, 0,FALSE), IFERROR(VLOOKUP($A197,'Exetel ExDa'!$C$2:$N$14, 8,FALSE), IFERROR(VLOOKUP($A197,'Infinet ExDa'!$B$2:$E$14, 0,FALSE), "Not Found"))))))))</f>
        <v>Not Found</v>
      </c>
      <c r="J197" t="str">
        <f>IFERROR(VLOOKUP($A197,'AAPT ExDa'!$B$2:$U$99, 7,FALSE), IFERROR(VLOOKUP($A197,'ABB ExDa'!$A$2:$N$184, 2,FALSE), IFERROR(VLOOKUP($A197,'Vocus SIT ExDa'!$B$2:$J$173, 0,FALSE), IFERROR(VLOOKUP($A197,'Telstra ExDa'!$B$2:$K$310, 7,FALSE), IFERROR(VLOOKUP($A197,'Vocus RVC ExDa'!$C$2:$R$155, 2,FALSE), IFERROR(VLOOKUP($A197,'Fusion ExDa'!$B$2:$D$16, 3,FALSE), IFERROR(VLOOKUP($A197,'Exetel ExDa'!$C$2:$N$14, 0,FALSE), IFERROR(VLOOKUP($A197,'Infinet ExDa'!$B$2:$E$14, 0,FALSE), "Not Found"))))))))</f>
        <v>SHOP 1C, 2 CITY CENTRE DR, UPPER COOMERA QLD</v>
      </c>
      <c r="K197" t="str">
        <f>IFERROR(VLOOKUP($A197,'AAPT ExDa'!$B$2:$U$99, 12,FALSE), IFERROR(VLOOKUP($A197,'ABB ExDa'!$A$2:$N$184, 0,FALSE), IFERROR(VLOOKUP($A197,'Vocus SIT ExDa'!$B$2:$J$173, 0,FALSE), IFERROR(VLOOKUP($A197,'Telstra ExDa'!$B$2:$K$310, 0,FALSE), IFERROR(VLOOKUP($A197,'Vocus RVC ExDa'!$C$2:$R$155, 0,FALSE), IFERROR(VLOOKUP($A197,'Fusion ExDa'!$B$2:$D$16, 0,FALSE), IFERROR(VLOOKUP($A197,'Exetel ExDa'!$C$2:$N$14, 12,FALSE), IFERROR(VLOOKUP($A197,'Infinet ExDa'!$B$2:$E$14, 0,FALSE), "Not Found"))))))))</f>
        <v>Not Found</v>
      </c>
      <c r="L197" s="235" t="str">
        <f>IFERROR(VLOOKUP($A197,'AAPT ExDa'!$B$2:$U$99, 11,FALSE), IFERROR(VLOOKUP($A197,'ABB ExDa'!$A$2:$N$184, 9,FALSE), IFERROR(VLOOKUP($A197,'Vocus SIT ExDa'!$B$2:$J$173, 8,FALSE), IFERROR(VLOOKUP($A197,'Telstra ExDa'!$B$2:$K$310, 0,FALSE), IFERROR(VLOOKUP($A197,'Vocus RVC ExDa'!$C$2:$R$155, 0,FALSE), IFERROR(VLOOKUP($A197,'Fusion ExDa'!$B$2:$D$16, 0,FALSE), IFERROR(VLOOKUP($A197,'Exetel ExDa'!$C$2:$N$14, 9,FALSE), IFERROR(VLOOKUP($A197,'Infinet ExDa'!$B$2:$E$14, 0,FALSE), "Not Found"))))))))</f>
        <v>05 June 2024</v>
      </c>
      <c r="M197" s="234" t="str">
        <f>IFERROR(VLOOKUP($A197,'AAPT ExDa'!$B$2:$U$99, 0,FALSE), IFERROR(VLOOKUP($A197,'ABB ExDa'!$A$2:$N$184, 0,FALSE), IFERROR(VLOOKUP($A197,'Vocus SIT ExDa'!$B$2:$J$173, 0,FALSE), IFERROR(VLOOKUP($A197,'Telstra ExDa'!$B$2:$K$310, 0,FALSE), IFERROR(VLOOKUP($A197,'Vocus RVC ExDa'!$C$2:$R$155, 0,FALSE), IFERROR(VLOOKUP($A197,'Fusion ExDa'!$B$2:$D$16, 0,FALSE), IFERROR(VLOOKUP($A197,'Exetel ExDa'!$C$2:$N$14, 11,FALSE), IFERROR(VLOOKUP($A197,'Infinet ExDa'!$B$2:$E$14, 0,FALSE), "Not Found"))))))))</f>
        <v>Not Found</v>
      </c>
      <c r="N197" t="str">
        <f>IFERROR(VLOOKUP($A197,'AAPT ExDa'!$B$2:$U$99, 0,FALSE), IFERROR(VLOOKUP($A197,'ABB ExDa'!$A$2:$N$184, 13,FALSE), IFERROR(VLOOKUP($A197,'Vocus SIT ExDa'!$B$2:$J$173, 0,FALSE), IFERROR(VLOOKUP($A197,'Telstra ExDa'!$B$2:$K$310, 0,FALSE), IFERROR(VLOOKUP($A197,'Vocus RVC ExDa'!$C$2:$R$155, 0,FALSE), IFERROR(VLOOKUP($A197,'Fusion ExDa'!$B$2:$D$16, 0,FALSE), IFERROR(VLOOKUP($A197,'Exetel ExDa'!$C$2:$N$14, 0,FALSE), IFERROR(VLOOKUP($A197,'Infinet ExDa'!$B$2:$E$14, 0,FALSE), "Not Found"))))))))</f>
        <v>Onebill</v>
      </c>
    </row>
    <row r="198" spans="1:14">
      <c r="A198" t="str">
        <v>Zambrero Cronulla</v>
      </c>
      <c r="B198" t="str">
        <f>IFERROR(VLOOKUP(A198,'Exetel ExDa'!$C$2:$N$14,4,FALSE),"No Data")</f>
        <v>No Data</v>
      </c>
      <c r="C198" t="str">
        <f>IFERROR(VLOOKUP(A198,'AAPT ExDa'!$B$2:$U$99, 2,FALSE), IFERROR(VLOOKUP(A198,'ABB ExDa'!$A$2:$N$184, 2,FALSE), IFERROR(VLOOKUP(A198,'Vocus SIT ExDa'!$B$2:$J$173, 7,FALSE), IFERROR(VLOOKUP(A198,'Telstra ExDa'!$B$2:$K$310, 2,FALSE), IFERROR(VLOOKUP(A198,'Vocus RVC ExDa'!$C$2:$R$155, 3,FALSE), IFERROR(VLOOKUP(A198,'Fusion ExDa'!$B$2:$D$16, 2,FALSE), IFERROR(VLOOKUP(A198,'Exetel ExDa'!$C$2:$N$14, 2,FALSE), IFERROR(VLOOKUP(A198,'Infinet ExDa'!$B$2:$E$14, 2,FALSE), "Not Found"))))))))</f>
        <v>93 CRONULLA ST, CRONULLA NSW</v>
      </c>
      <c r="D198" t="str">
        <f>IFERROR(VLOOKUP($A198,'AAPT ExDa'!$B$2:$U$99, 15,FALSE), IFERROR(VLOOKUP($A198,'ABB ExDa'!$A$2:$N$184, 4,FALSE), IFERROR(VLOOKUP($A198,'Vocus SIT ExDa'!$B$2:$J$173, 5,FALSE), IFERROR(VLOOKUP($A198,'Telstra ExDa'!$B$2:$K$310, 8,FALSE), IFERROR(VLOOKUP($A198,'Vocus RVC ExDa'!$C$2:$R$155, 6,FALSE), IFERROR(VLOOKUP($A198,'Fusion ExDa'!$B$2:$D$16, 4,FALSE), IFERROR(VLOOKUP($A198,'Exetel ExDa'!$C$2:$N$14, 3,FALSE), IFERROR(VLOOKUP($A198,'Infinet ExDa'!$B$2:$E$14, 3,FALSE), "Not Found"))))))))</f>
        <v>ABB</v>
      </c>
      <c r="E198" t="str">
        <f>IFERROR(VLOOKUP($A198,'AAPT ExDa'!$B$2:$U$99, 3,FALSE), IFERROR(VLOOKUP($A198,'ABB ExDa'!$A$2:$N$184, 5,FALSE), IFERROR(VLOOKUP($A198,'Vocus SIT ExDa'!$B$2:$J$173, 2,FALSE), IFERROR(VLOOKUP($A198,'Telstra ExDa'!$B$2:$K$310, 4,FALSE), IFERROR(VLOOKUP($A198,'Vocus RVC ExDa'!$C$2:$R$155, 8,FALSE), IFERROR(VLOOKUP($A198,'Fusion ExDa'!$B$2:$D$16, 4,FALSE), IFERROR(VLOOKUP($A198,'Exetel ExDa'!$C$2:$N$14, 5,FALSE), IFERROR(VLOOKUP($A198,'Infinet ExDa'!$B$2:$E$14, 3,FALSE), "Not Found"))))))))</f>
        <v>NBN 25/10</v>
      </c>
      <c r="F198" t="str">
        <f>IFERROR(VLOOKUP($A198,'AAPT ExDa'!$B$2:$U$99, 4,FALSE), IFERROR(VLOOKUP($A198,'ABB ExDa'!$A$2:$N$184, 6,FALSE), IFERROR(VLOOKUP($A198,'Vocus SIT ExDa'!$B$2:$J$173, 3,FALSE), IFERROR(VLOOKUP($A198,'Telstra ExDa'!$B$2:$K$310, 5,FALSE), IFERROR(VLOOKUP($A198,'Vocus RVC ExDa'!$C$2:$R$155, 9,FALSE), IFERROR(VLOOKUP($A198,'Fusion ExDa'!$B$2:$D$16, 0,FALSE), IFERROR(VLOOKUP($A198,'Exetel ExDa'!$C$2:$N$14, 6,FALSE), IFERROR(VLOOKUP($A198,'Infinet ExDa'!$B$2:$E$14, 0,FALSE), "Not Found"))))))))</f>
        <v>FTTN</v>
      </c>
      <c r="G198" t="str">
        <f>IFERROR(VLOOKUP($A198,'AAPT ExDa'!$B$2:$U$99, 5,FALSE), IFERROR(VLOOKUP($A198,'ABB ExDa'!$A$2:$N$184, 8,FALSE), IFERROR(VLOOKUP($A198,'Vocus SIT ExDa'!$B$2:$J$173, 6,FALSE), IFERROR(VLOOKUP($A198,'Telstra ExDa'!$B$2:$K$310, 0,FALSE), IFERROR(VLOOKUP($A198,'Vocus RVC ExDa'!$C$2:$R$155, 15,FALSE), IFERROR(VLOOKUP($A198,'Fusion ExDa'!$B$2:$D$16, 0,FALSE), IFERROR(VLOOKUP($A198,'Exetel ExDa'!$C$2:$N$14, 7,FALSE), IFERROR(VLOOKUP($A198,'Infinet ExDa'!$B$2:$E$14, 0,FALSE), "Not Found"))))))))</f>
        <v>144.6.15.170</v>
      </c>
      <c r="H198" t="str">
        <f>IFERROR(VLOOKUP($A198,'AAPT ExDa'!$B$2:$U$99, 6,FALSE), IFERROR(VLOOKUP($A198,'ABB ExDa'!$A$2:$N$184, 0,FALSE), IFERROR(VLOOKUP($A198,'Vocus SIT ExDa'!$B$2:$J$173, 0,FALSE), IFERROR(VLOOKUP($A198,'Telstra ExDa'!$B$2:$K$310, 0,FALSE), IFERROR(VLOOKUP($A198,'Vocus RVC ExDa'!$C$2:$R$155, 16,FALSE), IFERROR(VLOOKUP($A198,'Fusion ExDa'!$B$2:$D$16, 0,FALSE), IFERROR(VLOOKUP($A198,'Exetel ExDa'!$C$2:$N$14, 0,FALSE), IFERROR(VLOOKUP($A198,'Infinet ExDa'!$B$2:$E$14, 0,FALSE), "Not Found"))))))))</f>
        <v>Not Found</v>
      </c>
      <c r="I198" t="str">
        <f>IFERROR(VLOOKUP($A198,'AAPT ExDa'!$B$2:$U$99, 0,FALSE), IFERROR(VLOOKUP($A198,'ABB ExDa'!$A$2:$N$184, 0,FALSE), IFERROR(VLOOKUP($A198,'Vocus SIT ExDa'!$B$2:$J$173, 0,FALSE), IFERROR(VLOOKUP($A198,'Telstra ExDa'!$B$2:$K$310, 0,FALSE), IFERROR(VLOOKUP($A198,'Vocus RVC ExDa'!$C$2:$R$155, 0,FALSE), IFERROR(VLOOKUP($A198,'Fusion ExDa'!$B$2:$D$16, 0,FALSE), IFERROR(VLOOKUP($A198,'Exetel ExDa'!$C$2:$N$14, 8,FALSE), IFERROR(VLOOKUP($A198,'Infinet ExDa'!$B$2:$E$14, 0,FALSE), "Not Found"))))))))</f>
        <v>Not Found</v>
      </c>
      <c r="J198" t="str">
        <f>IFERROR(VLOOKUP($A198,'AAPT ExDa'!$B$2:$U$99, 7,FALSE), IFERROR(VLOOKUP($A198,'ABB ExDa'!$A$2:$N$184, 2,FALSE), IFERROR(VLOOKUP($A198,'Vocus SIT ExDa'!$B$2:$J$173, 0,FALSE), IFERROR(VLOOKUP($A198,'Telstra ExDa'!$B$2:$K$310, 7,FALSE), IFERROR(VLOOKUP($A198,'Vocus RVC ExDa'!$C$2:$R$155, 2,FALSE), IFERROR(VLOOKUP($A198,'Fusion ExDa'!$B$2:$D$16, 3,FALSE), IFERROR(VLOOKUP($A198,'Exetel ExDa'!$C$2:$N$14, 0,FALSE), IFERROR(VLOOKUP($A198,'Infinet ExDa'!$B$2:$E$14, 0,FALSE), "Not Found"))))))))</f>
        <v>93 CRONULLA ST, CRONULLA NSW</v>
      </c>
      <c r="K198" t="str">
        <f>IFERROR(VLOOKUP($A198,'AAPT ExDa'!$B$2:$U$99, 12,FALSE), IFERROR(VLOOKUP($A198,'ABB ExDa'!$A$2:$N$184, 0,FALSE), IFERROR(VLOOKUP($A198,'Vocus SIT ExDa'!$B$2:$J$173, 0,FALSE), IFERROR(VLOOKUP($A198,'Telstra ExDa'!$B$2:$K$310, 0,FALSE), IFERROR(VLOOKUP($A198,'Vocus RVC ExDa'!$C$2:$R$155, 0,FALSE), IFERROR(VLOOKUP($A198,'Fusion ExDa'!$B$2:$D$16, 0,FALSE), IFERROR(VLOOKUP($A198,'Exetel ExDa'!$C$2:$N$14, 12,FALSE), IFERROR(VLOOKUP($A198,'Infinet ExDa'!$B$2:$E$14, 0,FALSE), "Not Found"))))))))</f>
        <v>Not Found</v>
      </c>
      <c r="L198" s="235" t="str">
        <f>IFERROR(VLOOKUP($A198,'AAPT ExDa'!$B$2:$U$99, 11,FALSE), IFERROR(VLOOKUP($A198,'ABB ExDa'!$A$2:$N$184, 9,FALSE), IFERROR(VLOOKUP($A198,'Vocus SIT ExDa'!$B$2:$J$173, 8,FALSE), IFERROR(VLOOKUP($A198,'Telstra ExDa'!$B$2:$K$310, 0,FALSE), IFERROR(VLOOKUP($A198,'Vocus RVC ExDa'!$C$2:$R$155, 0,FALSE), IFERROR(VLOOKUP($A198,'Fusion ExDa'!$B$2:$D$16, 0,FALSE), IFERROR(VLOOKUP($A198,'Exetel ExDa'!$C$2:$N$14, 9,FALSE), IFERROR(VLOOKUP($A198,'Infinet ExDa'!$B$2:$E$14, 0,FALSE), "Not Found"))))))))</f>
        <v>08 May 2025</v>
      </c>
      <c r="M198" s="234" t="str">
        <f>IFERROR(VLOOKUP($A198,'AAPT ExDa'!$B$2:$U$99, 0,FALSE), IFERROR(VLOOKUP($A198,'ABB ExDa'!$A$2:$N$184, 0,FALSE), IFERROR(VLOOKUP($A198,'Vocus SIT ExDa'!$B$2:$J$173, 0,FALSE), IFERROR(VLOOKUP($A198,'Telstra ExDa'!$B$2:$K$310, 0,FALSE), IFERROR(VLOOKUP($A198,'Vocus RVC ExDa'!$C$2:$R$155, 0,FALSE), IFERROR(VLOOKUP($A198,'Fusion ExDa'!$B$2:$D$16, 0,FALSE), IFERROR(VLOOKUP($A198,'Exetel ExDa'!$C$2:$N$14, 11,FALSE), IFERROR(VLOOKUP($A198,'Infinet ExDa'!$B$2:$E$14, 0,FALSE), "Not Found"))))))))</f>
        <v>Not Found</v>
      </c>
      <c r="N198" t="str">
        <f>IFERROR(VLOOKUP($A198,'AAPT ExDa'!$B$2:$U$99, 0,FALSE), IFERROR(VLOOKUP($A198,'ABB ExDa'!$A$2:$N$184, 13,FALSE), IFERROR(VLOOKUP($A198,'Vocus SIT ExDa'!$B$2:$J$173, 0,FALSE), IFERROR(VLOOKUP($A198,'Telstra ExDa'!$B$2:$K$310, 0,FALSE), IFERROR(VLOOKUP($A198,'Vocus RVC ExDa'!$C$2:$R$155, 0,FALSE), IFERROR(VLOOKUP($A198,'Fusion ExDa'!$B$2:$D$16, 0,FALSE), IFERROR(VLOOKUP($A198,'Exetel ExDa'!$C$2:$N$14, 0,FALSE), IFERROR(VLOOKUP($A198,'Infinet ExDa'!$B$2:$E$14, 0,FALSE), "Not Found"))))))))</f>
        <v>Onebill</v>
      </c>
    </row>
    <row r="199" spans="1:14">
      <c r="A199" t="str">
        <v>Zambrero Currambine</v>
      </c>
      <c r="B199" t="str">
        <f>IFERROR(VLOOKUP(A199,'Exetel ExDa'!$C$2:$N$14,4,FALSE),"No Data")</f>
        <v>No Data</v>
      </c>
      <c r="C199" t="str">
        <f>IFERROR(VLOOKUP(A199,'AAPT ExDa'!$B$2:$U$99, 2,FALSE), IFERROR(VLOOKUP(A199,'ABB ExDa'!$A$2:$N$184, 2,FALSE), IFERROR(VLOOKUP(A199,'Vocus SIT ExDa'!$B$2:$J$173, 7,FALSE), IFERROR(VLOOKUP(A199,'Telstra ExDa'!$B$2:$K$310, 2,FALSE), IFERROR(VLOOKUP(A199,'Vocus RVC ExDa'!$C$2:$R$155, 3,FALSE), IFERROR(VLOOKUP(A199,'Fusion ExDa'!$B$2:$D$16, 2,FALSE), IFERROR(VLOOKUP(A199,'Exetel ExDa'!$C$2:$N$14, 2,FALSE), IFERROR(VLOOKUP(A199,'Infinet ExDa'!$B$2:$E$14, 2,FALSE), "Not Found"))))))))</f>
        <v>CURRAMBINE CENTRAL SHOP SP110, 1244 MARMION AV, CURRAMBINE WA</v>
      </c>
      <c r="D199" t="str">
        <f>IFERROR(VLOOKUP($A199,'AAPT ExDa'!$B$2:$U$99, 15,FALSE), IFERROR(VLOOKUP($A199,'ABB ExDa'!$A$2:$N$184, 4,FALSE), IFERROR(VLOOKUP($A199,'Vocus SIT ExDa'!$B$2:$J$173, 5,FALSE), IFERROR(VLOOKUP($A199,'Telstra ExDa'!$B$2:$K$310, 8,FALSE), IFERROR(VLOOKUP($A199,'Vocus RVC ExDa'!$C$2:$R$155, 6,FALSE), IFERROR(VLOOKUP($A199,'Fusion ExDa'!$B$2:$D$16, 4,FALSE), IFERROR(VLOOKUP($A199,'Exetel ExDa'!$C$2:$N$14, 3,FALSE), IFERROR(VLOOKUP($A199,'Infinet ExDa'!$B$2:$E$14, 3,FALSE), "Not Found"))))))))</f>
        <v>ABB</v>
      </c>
      <c r="E199" t="str">
        <f>IFERROR(VLOOKUP($A199,'AAPT ExDa'!$B$2:$U$99, 3,FALSE), IFERROR(VLOOKUP($A199,'ABB ExDa'!$A$2:$N$184, 5,FALSE), IFERROR(VLOOKUP($A199,'Vocus SIT ExDa'!$B$2:$J$173, 2,FALSE), IFERROR(VLOOKUP($A199,'Telstra ExDa'!$B$2:$K$310, 4,FALSE), IFERROR(VLOOKUP($A199,'Vocus RVC ExDa'!$C$2:$R$155, 8,FALSE), IFERROR(VLOOKUP($A199,'Fusion ExDa'!$B$2:$D$16, 4,FALSE), IFERROR(VLOOKUP($A199,'Exetel ExDa'!$C$2:$N$14, 5,FALSE), IFERROR(VLOOKUP($A199,'Infinet ExDa'!$B$2:$E$14, 3,FALSE), "Not Found"))))))))</f>
        <v>NBN 100/40</v>
      </c>
      <c r="F199" t="str">
        <f>IFERROR(VLOOKUP($A199,'AAPT ExDa'!$B$2:$U$99, 4,FALSE), IFERROR(VLOOKUP($A199,'ABB ExDa'!$A$2:$N$184, 6,FALSE), IFERROR(VLOOKUP($A199,'Vocus SIT ExDa'!$B$2:$J$173, 3,FALSE), IFERROR(VLOOKUP($A199,'Telstra ExDa'!$B$2:$K$310, 5,FALSE), IFERROR(VLOOKUP($A199,'Vocus RVC ExDa'!$C$2:$R$155, 9,FALSE), IFERROR(VLOOKUP($A199,'Fusion ExDa'!$B$2:$D$16, 0,FALSE), IFERROR(VLOOKUP($A199,'Exetel ExDa'!$C$2:$N$14, 6,FALSE), IFERROR(VLOOKUP($A199,'Infinet ExDa'!$B$2:$E$14, 0,FALSE), "Not Found"))))))))</f>
        <v xml:space="preserve">FTTN </v>
      </c>
      <c r="G199" t="str">
        <f>IFERROR(VLOOKUP($A199,'AAPT ExDa'!$B$2:$U$99, 5,FALSE), IFERROR(VLOOKUP($A199,'ABB ExDa'!$A$2:$N$184, 8,FALSE), IFERROR(VLOOKUP($A199,'Vocus SIT ExDa'!$B$2:$J$173, 6,FALSE), IFERROR(VLOOKUP($A199,'Telstra ExDa'!$B$2:$K$310, 0,FALSE), IFERROR(VLOOKUP($A199,'Vocus RVC ExDa'!$C$2:$R$155, 15,FALSE), IFERROR(VLOOKUP($A199,'Fusion ExDa'!$B$2:$D$16, 0,FALSE), IFERROR(VLOOKUP($A199,'Exetel ExDa'!$C$2:$N$14, 7,FALSE), IFERROR(VLOOKUP($A199,'Infinet ExDa'!$B$2:$E$14, 0,FALSE), "Not Found"))))))))</f>
        <v>103.94.50.85</v>
      </c>
      <c r="H199" t="str">
        <f>IFERROR(VLOOKUP($A199,'AAPT ExDa'!$B$2:$U$99, 6,FALSE), IFERROR(VLOOKUP($A199,'ABB ExDa'!$A$2:$N$184, 0,FALSE), IFERROR(VLOOKUP($A199,'Vocus SIT ExDa'!$B$2:$J$173, 0,FALSE), IFERROR(VLOOKUP($A199,'Telstra ExDa'!$B$2:$K$310, 0,FALSE), IFERROR(VLOOKUP($A199,'Vocus RVC ExDa'!$C$2:$R$155, 16,FALSE), IFERROR(VLOOKUP($A199,'Fusion ExDa'!$B$2:$D$16, 0,FALSE), IFERROR(VLOOKUP($A199,'Exetel ExDa'!$C$2:$N$14, 0,FALSE), IFERROR(VLOOKUP($A199,'Infinet ExDa'!$B$2:$E$14, 0,FALSE), "Not Found"))))))))</f>
        <v>Not Found</v>
      </c>
      <c r="I199" t="str">
        <f>IFERROR(VLOOKUP($A199,'AAPT ExDa'!$B$2:$U$99, 0,FALSE), IFERROR(VLOOKUP($A199,'ABB ExDa'!$A$2:$N$184, 0,FALSE), IFERROR(VLOOKUP($A199,'Vocus SIT ExDa'!$B$2:$J$173, 0,FALSE), IFERROR(VLOOKUP($A199,'Telstra ExDa'!$B$2:$K$310, 0,FALSE), IFERROR(VLOOKUP($A199,'Vocus RVC ExDa'!$C$2:$R$155, 0,FALSE), IFERROR(VLOOKUP($A199,'Fusion ExDa'!$B$2:$D$16, 0,FALSE), IFERROR(VLOOKUP($A199,'Exetel ExDa'!$C$2:$N$14, 8,FALSE), IFERROR(VLOOKUP($A199,'Infinet ExDa'!$B$2:$E$14, 0,FALSE), "Not Found"))))))))</f>
        <v>Not Found</v>
      </c>
      <c r="J199" t="str">
        <f>IFERROR(VLOOKUP($A199,'AAPT ExDa'!$B$2:$U$99, 7,FALSE), IFERROR(VLOOKUP($A199,'ABB ExDa'!$A$2:$N$184, 2,FALSE), IFERROR(VLOOKUP($A199,'Vocus SIT ExDa'!$B$2:$J$173, 0,FALSE), IFERROR(VLOOKUP($A199,'Telstra ExDa'!$B$2:$K$310, 7,FALSE), IFERROR(VLOOKUP($A199,'Vocus RVC ExDa'!$C$2:$R$155, 2,FALSE), IFERROR(VLOOKUP($A199,'Fusion ExDa'!$B$2:$D$16, 3,FALSE), IFERROR(VLOOKUP($A199,'Exetel ExDa'!$C$2:$N$14, 0,FALSE), IFERROR(VLOOKUP($A199,'Infinet ExDa'!$B$2:$E$14, 0,FALSE), "Not Found"))))))))</f>
        <v>CURRAMBINE CENTRAL SHOP SP110, 1244 MARMION AV, CURRAMBINE WA</v>
      </c>
      <c r="K199" t="str">
        <f>IFERROR(VLOOKUP($A199,'AAPT ExDa'!$B$2:$U$99, 12,FALSE), IFERROR(VLOOKUP($A199,'ABB ExDa'!$A$2:$N$184, 0,FALSE), IFERROR(VLOOKUP($A199,'Vocus SIT ExDa'!$B$2:$J$173, 0,FALSE), IFERROR(VLOOKUP($A199,'Telstra ExDa'!$B$2:$K$310, 0,FALSE), IFERROR(VLOOKUP($A199,'Vocus RVC ExDa'!$C$2:$R$155, 0,FALSE), IFERROR(VLOOKUP($A199,'Fusion ExDa'!$B$2:$D$16, 0,FALSE), IFERROR(VLOOKUP($A199,'Exetel ExDa'!$C$2:$N$14, 12,FALSE), IFERROR(VLOOKUP($A199,'Infinet ExDa'!$B$2:$E$14, 0,FALSE), "Not Found"))))))))</f>
        <v>Not Found</v>
      </c>
      <c r="L199" s="235" t="str">
        <f>IFERROR(VLOOKUP($A199,'AAPT ExDa'!$B$2:$U$99, 11,FALSE), IFERROR(VLOOKUP($A199,'ABB ExDa'!$A$2:$N$184, 9,FALSE), IFERROR(VLOOKUP($A199,'Vocus SIT ExDa'!$B$2:$J$173, 8,FALSE), IFERROR(VLOOKUP($A199,'Telstra ExDa'!$B$2:$K$310, 0,FALSE), IFERROR(VLOOKUP($A199,'Vocus RVC ExDa'!$C$2:$R$155, 0,FALSE), IFERROR(VLOOKUP($A199,'Fusion ExDa'!$B$2:$D$16, 0,FALSE), IFERROR(VLOOKUP($A199,'Exetel ExDa'!$C$2:$N$14, 9,FALSE), IFERROR(VLOOKUP($A199,'Infinet ExDa'!$B$2:$E$14, 0,FALSE), "Not Found"))))))))</f>
        <v>15 July 2024</v>
      </c>
      <c r="M199" s="234" t="str">
        <f>IFERROR(VLOOKUP($A199,'AAPT ExDa'!$B$2:$U$99, 0,FALSE), IFERROR(VLOOKUP($A199,'ABB ExDa'!$A$2:$N$184, 0,FALSE), IFERROR(VLOOKUP($A199,'Vocus SIT ExDa'!$B$2:$J$173, 0,FALSE), IFERROR(VLOOKUP($A199,'Telstra ExDa'!$B$2:$K$310, 0,FALSE), IFERROR(VLOOKUP($A199,'Vocus RVC ExDa'!$C$2:$R$155, 0,FALSE), IFERROR(VLOOKUP($A199,'Fusion ExDa'!$B$2:$D$16, 0,FALSE), IFERROR(VLOOKUP($A199,'Exetel ExDa'!$C$2:$N$14, 11,FALSE), IFERROR(VLOOKUP($A199,'Infinet ExDa'!$B$2:$E$14, 0,FALSE), "Not Found"))))))))</f>
        <v>Not Found</v>
      </c>
      <c r="N199" t="str">
        <f>IFERROR(VLOOKUP($A199,'AAPT ExDa'!$B$2:$U$99, 0,FALSE), IFERROR(VLOOKUP($A199,'ABB ExDa'!$A$2:$N$184, 13,FALSE), IFERROR(VLOOKUP($A199,'Vocus SIT ExDa'!$B$2:$J$173, 0,FALSE), IFERROR(VLOOKUP($A199,'Telstra ExDa'!$B$2:$K$310, 0,FALSE), IFERROR(VLOOKUP($A199,'Vocus RVC ExDa'!$C$2:$R$155, 0,FALSE), IFERROR(VLOOKUP($A199,'Fusion ExDa'!$B$2:$D$16, 0,FALSE), IFERROR(VLOOKUP($A199,'Exetel ExDa'!$C$2:$N$14, 0,FALSE), IFERROR(VLOOKUP($A199,'Infinet ExDa'!$B$2:$E$14, 0,FALSE), "Not Found"))))))))</f>
        <v>Onebill</v>
      </c>
    </row>
    <row r="200" spans="1:14">
      <c r="A200" t="str">
        <v>Zambrero Currumbin</v>
      </c>
      <c r="B200" t="str">
        <f>IFERROR(VLOOKUP(A200,'Exetel ExDa'!$C$2:$N$14,4,FALSE),"No Data")</f>
        <v>No Data</v>
      </c>
      <c r="C200" t="str">
        <f>IFERROR(VLOOKUP(A200,'AAPT ExDa'!$B$2:$U$99, 2,FALSE), IFERROR(VLOOKUP(A200,'ABB ExDa'!$A$2:$N$184, 2,FALSE), IFERROR(VLOOKUP(A200,'Vocus SIT ExDa'!$B$2:$J$173, 7,FALSE), IFERROR(VLOOKUP(A200,'Telstra ExDa'!$B$2:$K$310, 2,FALSE), IFERROR(VLOOKUP(A200,'Vocus RVC ExDa'!$C$2:$R$155, 3,FALSE), IFERROR(VLOOKUP(A200,'Fusion ExDa'!$B$2:$D$16, 2,FALSE), IFERROR(VLOOKUP(A200,'Exetel ExDa'!$C$2:$N$14, 2,FALSE), IFERROR(VLOOKUP(A200,'Infinet ExDa'!$B$2:$E$14, 2,FALSE), "Not Found"))))))))</f>
        <v>HAYTER COURT SHOP 1B, 1 STEWART RD, CURRUMBIN WATERS QLD</v>
      </c>
      <c r="D200" t="str">
        <f>IFERROR(VLOOKUP($A200,'AAPT ExDa'!$B$2:$U$99, 15,FALSE), IFERROR(VLOOKUP($A200,'ABB ExDa'!$A$2:$N$184, 4,FALSE), IFERROR(VLOOKUP($A200,'Vocus SIT ExDa'!$B$2:$J$173, 5,FALSE), IFERROR(VLOOKUP($A200,'Telstra ExDa'!$B$2:$K$310, 8,FALSE), IFERROR(VLOOKUP($A200,'Vocus RVC ExDa'!$C$2:$R$155, 6,FALSE), IFERROR(VLOOKUP($A200,'Fusion ExDa'!$B$2:$D$16, 4,FALSE), IFERROR(VLOOKUP($A200,'Exetel ExDa'!$C$2:$N$14, 3,FALSE), IFERROR(VLOOKUP($A200,'Infinet ExDa'!$B$2:$E$14, 3,FALSE), "Not Found"))))))))</f>
        <v>ABB</v>
      </c>
      <c r="E200" t="str">
        <f>IFERROR(VLOOKUP($A200,'AAPT ExDa'!$B$2:$U$99, 3,FALSE), IFERROR(VLOOKUP($A200,'ABB ExDa'!$A$2:$N$184, 5,FALSE), IFERROR(VLOOKUP($A200,'Vocus SIT ExDa'!$B$2:$J$173, 2,FALSE), IFERROR(VLOOKUP($A200,'Telstra ExDa'!$B$2:$K$310, 4,FALSE), IFERROR(VLOOKUP($A200,'Vocus RVC ExDa'!$C$2:$R$155, 8,FALSE), IFERROR(VLOOKUP($A200,'Fusion ExDa'!$B$2:$D$16, 4,FALSE), IFERROR(VLOOKUP($A200,'Exetel ExDa'!$C$2:$N$14, 5,FALSE), IFERROR(VLOOKUP($A200,'Infinet ExDa'!$B$2:$E$14, 3,FALSE), "Not Found"))))))))</f>
        <v>NBN 25/10</v>
      </c>
      <c r="F200" t="str">
        <f>IFERROR(VLOOKUP($A200,'AAPT ExDa'!$B$2:$U$99, 4,FALSE), IFERROR(VLOOKUP($A200,'ABB ExDa'!$A$2:$N$184, 6,FALSE), IFERROR(VLOOKUP($A200,'Vocus SIT ExDa'!$B$2:$J$173, 3,FALSE), IFERROR(VLOOKUP($A200,'Telstra ExDa'!$B$2:$K$310, 5,FALSE), IFERROR(VLOOKUP($A200,'Vocus RVC ExDa'!$C$2:$R$155, 9,FALSE), IFERROR(VLOOKUP($A200,'Fusion ExDa'!$B$2:$D$16, 0,FALSE), IFERROR(VLOOKUP($A200,'Exetel ExDa'!$C$2:$N$14, 6,FALSE), IFERROR(VLOOKUP($A200,'Infinet ExDa'!$B$2:$E$14, 0,FALSE), "Not Found"))))))))</f>
        <v xml:space="preserve">Fibre </v>
      </c>
      <c r="G200" t="str">
        <f>IFERROR(VLOOKUP($A200,'AAPT ExDa'!$B$2:$U$99, 5,FALSE), IFERROR(VLOOKUP($A200,'ABB ExDa'!$A$2:$N$184, 8,FALSE), IFERROR(VLOOKUP($A200,'Vocus SIT ExDa'!$B$2:$J$173, 6,FALSE), IFERROR(VLOOKUP($A200,'Telstra ExDa'!$B$2:$K$310, 0,FALSE), IFERROR(VLOOKUP($A200,'Vocus RVC ExDa'!$C$2:$R$155, 15,FALSE), IFERROR(VLOOKUP($A200,'Fusion ExDa'!$B$2:$D$16, 0,FALSE), IFERROR(VLOOKUP($A200,'Exetel ExDa'!$C$2:$N$14, 7,FALSE), IFERROR(VLOOKUP($A200,'Infinet ExDa'!$B$2:$E$14, 0,FALSE), "Not Found"))))))))</f>
        <v>144.6.107.124</v>
      </c>
      <c r="H200" t="str">
        <f>IFERROR(VLOOKUP($A200,'AAPT ExDa'!$B$2:$U$99, 6,FALSE), IFERROR(VLOOKUP($A200,'ABB ExDa'!$A$2:$N$184, 0,FALSE), IFERROR(VLOOKUP($A200,'Vocus SIT ExDa'!$B$2:$J$173, 0,FALSE), IFERROR(VLOOKUP($A200,'Telstra ExDa'!$B$2:$K$310, 0,FALSE), IFERROR(VLOOKUP($A200,'Vocus RVC ExDa'!$C$2:$R$155, 16,FALSE), IFERROR(VLOOKUP($A200,'Fusion ExDa'!$B$2:$D$16, 0,FALSE), IFERROR(VLOOKUP($A200,'Exetel ExDa'!$C$2:$N$14, 0,FALSE), IFERROR(VLOOKUP($A200,'Infinet ExDa'!$B$2:$E$14, 0,FALSE), "Not Found"))))))))</f>
        <v>Not Found</v>
      </c>
      <c r="I200" t="str">
        <f>IFERROR(VLOOKUP($A200,'AAPT ExDa'!$B$2:$U$99, 0,FALSE), IFERROR(VLOOKUP($A200,'ABB ExDa'!$A$2:$N$184, 0,FALSE), IFERROR(VLOOKUP($A200,'Vocus SIT ExDa'!$B$2:$J$173, 0,FALSE), IFERROR(VLOOKUP($A200,'Telstra ExDa'!$B$2:$K$310, 0,FALSE), IFERROR(VLOOKUP($A200,'Vocus RVC ExDa'!$C$2:$R$155, 0,FALSE), IFERROR(VLOOKUP($A200,'Fusion ExDa'!$B$2:$D$16, 0,FALSE), IFERROR(VLOOKUP($A200,'Exetel ExDa'!$C$2:$N$14, 8,FALSE), IFERROR(VLOOKUP($A200,'Infinet ExDa'!$B$2:$E$14, 0,FALSE), "Not Found"))))))))</f>
        <v>Not Found</v>
      </c>
      <c r="J200" t="str">
        <f>IFERROR(VLOOKUP($A200,'AAPT ExDa'!$B$2:$U$99, 7,FALSE), IFERROR(VLOOKUP($A200,'ABB ExDa'!$A$2:$N$184, 2,FALSE), IFERROR(VLOOKUP($A200,'Vocus SIT ExDa'!$B$2:$J$173, 0,FALSE), IFERROR(VLOOKUP($A200,'Telstra ExDa'!$B$2:$K$310, 7,FALSE), IFERROR(VLOOKUP($A200,'Vocus RVC ExDa'!$C$2:$R$155, 2,FALSE), IFERROR(VLOOKUP($A200,'Fusion ExDa'!$B$2:$D$16, 3,FALSE), IFERROR(VLOOKUP($A200,'Exetel ExDa'!$C$2:$N$14, 0,FALSE), IFERROR(VLOOKUP($A200,'Infinet ExDa'!$B$2:$E$14, 0,FALSE), "Not Found"))))))))</f>
        <v>HAYTER COURT SHOP 1B, 1 STEWART RD, CURRUMBIN WATERS QLD</v>
      </c>
      <c r="K200" t="str">
        <f>IFERROR(VLOOKUP($A200,'AAPT ExDa'!$B$2:$U$99, 12,FALSE), IFERROR(VLOOKUP($A200,'ABB ExDa'!$A$2:$N$184, 0,FALSE), IFERROR(VLOOKUP($A200,'Vocus SIT ExDa'!$B$2:$J$173, 0,FALSE), IFERROR(VLOOKUP($A200,'Telstra ExDa'!$B$2:$K$310, 0,FALSE), IFERROR(VLOOKUP($A200,'Vocus RVC ExDa'!$C$2:$R$155, 0,FALSE), IFERROR(VLOOKUP($A200,'Fusion ExDa'!$B$2:$D$16, 0,FALSE), IFERROR(VLOOKUP($A200,'Exetel ExDa'!$C$2:$N$14, 12,FALSE), IFERROR(VLOOKUP($A200,'Infinet ExDa'!$B$2:$E$14, 0,FALSE), "Not Found"))))))))</f>
        <v>Not Found</v>
      </c>
      <c r="L200" s="235" t="str">
        <f>IFERROR(VLOOKUP($A200,'AAPT ExDa'!$B$2:$U$99, 11,FALSE), IFERROR(VLOOKUP($A200,'ABB ExDa'!$A$2:$N$184, 9,FALSE), IFERROR(VLOOKUP($A200,'Vocus SIT ExDa'!$B$2:$J$173, 8,FALSE), IFERROR(VLOOKUP($A200,'Telstra ExDa'!$B$2:$K$310, 0,FALSE), IFERROR(VLOOKUP($A200,'Vocus RVC ExDa'!$C$2:$R$155, 0,FALSE), IFERROR(VLOOKUP($A200,'Fusion ExDa'!$B$2:$D$16, 0,FALSE), IFERROR(VLOOKUP($A200,'Exetel ExDa'!$C$2:$N$14, 9,FALSE), IFERROR(VLOOKUP($A200,'Infinet ExDa'!$B$2:$E$14, 0,FALSE), "Not Found"))))))))</f>
        <v>27 Oct 2023</v>
      </c>
      <c r="M200" s="234" t="str">
        <f>IFERROR(VLOOKUP($A200,'AAPT ExDa'!$B$2:$U$99, 0,FALSE), IFERROR(VLOOKUP($A200,'ABB ExDa'!$A$2:$N$184, 0,FALSE), IFERROR(VLOOKUP($A200,'Vocus SIT ExDa'!$B$2:$J$173, 0,FALSE), IFERROR(VLOOKUP($A200,'Telstra ExDa'!$B$2:$K$310, 0,FALSE), IFERROR(VLOOKUP($A200,'Vocus RVC ExDa'!$C$2:$R$155, 0,FALSE), IFERROR(VLOOKUP($A200,'Fusion ExDa'!$B$2:$D$16, 0,FALSE), IFERROR(VLOOKUP($A200,'Exetel ExDa'!$C$2:$N$14, 11,FALSE), IFERROR(VLOOKUP($A200,'Infinet ExDa'!$B$2:$E$14, 0,FALSE), "Not Found"))))))))</f>
        <v>Not Found</v>
      </c>
      <c r="N200" t="str">
        <f>IFERROR(VLOOKUP($A200,'AAPT ExDa'!$B$2:$U$99, 0,FALSE), IFERROR(VLOOKUP($A200,'ABB ExDa'!$A$2:$N$184, 13,FALSE), IFERROR(VLOOKUP($A200,'Vocus SIT ExDa'!$B$2:$J$173, 0,FALSE), IFERROR(VLOOKUP($A200,'Telstra ExDa'!$B$2:$K$310, 0,FALSE), IFERROR(VLOOKUP($A200,'Vocus RVC ExDa'!$C$2:$R$155, 0,FALSE), IFERROR(VLOOKUP($A200,'Fusion ExDa'!$B$2:$D$16, 0,FALSE), IFERROR(VLOOKUP($A200,'Exetel ExDa'!$C$2:$N$14, 0,FALSE), IFERROR(VLOOKUP($A200,'Infinet ExDa'!$B$2:$E$14, 0,FALSE), "Not Found"))))))))</f>
        <v>Onebill</v>
      </c>
    </row>
    <row r="201" spans="1:14">
      <c r="A201" t="str">
        <v>Zambrero Deception Bay</v>
      </c>
      <c r="B201" t="str">
        <f>IFERROR(VLOOKUP(A201,'Exetel ExDa'!$C$2:$N$14,4,FALSE),"No Data")</f>
        <v>No Data</v>
      </c>
      <c r="C201" t="str">
        <f>IFERROR(VLOOKUP(A201,'AAPT ExDa'!$B$2:$U$99, 2,FALSE), IFERROR(VLOOKUP(A201,'ABB ExDa'!$A$2:$N$184, 2,FALSE), IFERROR(VLOOKUP(A201,'Vocus SIT ExDa'!$B$2:$J$173, 7,FALSE), IFERROR(VLOOKUP(A201,'Telstra ExDa'!$B$2:$K$310, 2,FALSE), IFERROR(VLOOKUP(A201,'Vocus RVC ExDa'!$C$2:$R$155, 3,FALSE), IFERROR(VLOOKUP(A201,'Fusion ExDa'!$B$2:$D$16, 2,FALSE), IFERROR(VLOOKUP(A201,'Exetel ExDa'!$C$2:$N$14, 2,FALSE), IFERROR(VLOOKUP(A201,'Infinet ExDa'!$B$2:$E$14, 2,FALSE), "Not Found"))))))))</f>
        <v>378 DECEPTION BAY RD, DECEPTION BAY QLD</v>
      </c>
      <c r="D201" t="str">
        <f>IFERROR(VLOOKUP($A201,'AAPT ExDa'!$B$2:$U$99, 15,FALSE), IFERROR(VLOOKUP($A201,'ABB ExDa'!$A$2:$N$184, 4,FALSE), IFERROR(VLOOKUP($A201,'Vocus SIT ExDa'!$B$2:$J$173, 5,FALSE), IFERROR(VLOOKUP($A201,'Telstra ExDa'!$B$2:$K$310, 8,FALSE), IFERROR(VLOOKUP($A201,'Vocus RVC ExDa'!$C$2:$R$155, 6,FALSE), IFERROR(VLOOKUP($A201,'Fusion ExDa'!$B$2:$D$16, 4,FALSE), IFERROR(VLOOKUP($A201,'Exetel ExDa'!$C$2:$N$14, 3,FALSE), IFERROR(VLOOKUP($A201,'Infinet ExDa'!$B$2:$E$14, 3,FALSE), "Not Found"))))))))</f>
        <v>ABB</v>
      </c>
      <c r="E201" t="str">
        <f>IFERROR(VLOOKUP($A201,'AAPT ExDa'!$B$2:$U$99, 3,FALSE), IFERROR(VLOOKUP($A201,'ABB ExDa'!$A$2:$N$184, 5,FALSE), IFERROR(VLOOKUP($A201,'Vocus SIT ExDa'!$B$2:$J$173, 2,FALSE), IFERROR(VLOOKUP($A201,'Telstra ExDa'!$B$2:$K$310, 4,FALSE), IFERROR(VLOOKUP($A201,'Vocus RVC ExDa'!$C$2:$R$155, 8,FALSE), IFERROR(VLOOKUP($A201,'Fusion ExDa'!$B$2:$D$16, 4,FALSE), IFERROR(VLOOKUP($A201,'Exetel ExDa'!$C$2:$N$14, 5,FALSE), IFERROR(VLOOKUP($A201,'Infinet ExDa'!$B$2:$E$14, 3,FALSE), "Not Found"))))))))</f>
        <v>NBN 25/10</v>
      </c>
      <c r="F201" t="str">
        <f>IFERROR(VLOOKUP($A201,'AAPT ExDa'!$B$2:$U$99, 4,FALSE), IFERROR(VLOOKUP($A201,'ABB ExDa'!$A$2:$N$184, 6,FALSE), IFERROR(VLOOKUP($A201,'Vocus SIT ExDa'!$B$2:$J$173, 3,FALSE), IFERROR(VLOOKUP($A201,'Telstra ExDa'!$B$2:$K$310, 5,FALSE), IFERROR(VLOOKUP($A201,'Vocus RVC ExDa'!$C$2:$R$155, 9,FALSE), IFERROR(VLOOKUP($A201,'Fusion ExDa'!$B$2:$D$16, 0,FALSE), IFERROR(VLOOKUP($A201,'Exetel ExDa'!$C$2:$N$14, 6,FALSE), IFERROR(VLOOKUP($A201,'Infinet ExDa'!$B$2:$E$14, 0,FALSE), "Not Found"))))))))</f>
        <v>FTTC</v>
      </c>
      <c r="G201" t="str">
        <f>IFERROR(VLOOKUP($A201,'AAPT ExDa'!$B$2:$U$99, 5,FALSE), IFERROR(VLOOKUP($A201,'ABB ExDa'!$A$2:$N$184, 8,FALSE), IFERROR(VLOOKUP($A201,'Vocus SIT ExDa'!$B$2:$J$173, 6,FALSE), IFERROR(VLOOKUP($A201,'Telstra ExDa'!$B$2:$K$310, 0,FALSE), IFERROR(VLOOKUP($A201,'Vocus RVC ExDa'!$C$2:$R$155, 15,FALSE), IFERROR(VLOOKUP($A201,'Fusion ExDa'!$B$2:$D$16, 0,FALSE), IFERROR(VLOOKUP($A201,'Exetel ExDa'!$C$2:$N$14, 7,FALSE), IFERROR(VLOOKUP($A201,'Infinet ExDa'!$B$2:$E$14, 0,FALSE), "Not Found"))))))))</f>
        <v>180.181.211.206</v>
      </c>
      <c r="H201">
        <f>IFERROR(VLOOKUP($A201,'AAPT ExDa'!$B$2:$U$99, 6,FALSE), IFERROR(VLOOKUP($A201,'ABB ExDa'!$A$2:$N$184, 0,FALSE), IFERROR(VLOOKUP($A201,'Vocus SIT ExDa'!$B$2:$J$173, 0,FALSE), IFERROR(VLOOKUP($A201,'Telstra ExDa'!$B$2:$K$310, 0,FALSE), IFERROR(VLOOKUP($A201,'Vocus RVC ExDa'!$C$2:$R$155, 16,FALSE), IFERROR(VLOOKUP($A201,'Fusion ExDa'!$B$2:$D$16, 0,FALSE), IFERROR(VLOOKUP($A201,'Exetel ExDa'!$C$2:$N$14, 0,FALSE), IFERROR(VLOOKUP($A201,'Infinet ExDa'!$B$2:$E$14, 0,FALSE), "Not Found"))))))))</f>
        <v>0</v>
      </c>
      <c r="I201" t="str">
        <f>IFERROR(VLOOKUP($A201,'AAPT ExDa'!$B$2:$U$99, 0,FALSE), IFERROR(VLOOKUP($A201,'ABB ExDa'!$A$2:$N$184, 0,FALSE), IFERROR(VLOOKUP($A201,'Vocus SIT ExDa'!$B$2:$J$173, 0,FALSE), IFERROR(VLOOKUP($A201,'Telstra ExDa'!$B$2:$K$310, 0,FALSE), IFERROR(VLOOKUP($A201,'Vocus RVC ExDa'!$C$2:$R$155, 0,FALSE), IFERROR(VLOOKUP($A201,'Fusion ExDa'!$B$2:$D$16, 0,FALSE), IFERROR(VLOOKUP($A201,'Exetel ExDa'!$C$2:$N$14, 8,FALSE), IFERROR(VLOOKUP($A201,'Infinet ExDa'!$B$2:$E$14, 0,FALSE), "Not Found"))))))))</f>
        <v>Not Found</v>
      </c>
      <c r="J201" t="str">
        <f>IFERROR(VLOOKUP($A201,'AAPT ExDa'!$B$2:$U$99, 7,FALSE), IFERROR(VLOOKUP($A201,'ABB ExDa'!$A$2:$N$184, 2,FALSE), IFERROR(VLOOKUP($A201,'Vocus SIT ExDa'!$B$2:$J$173, 0,FALSE), IFERROR(VLOOKUP($A201,'Telstra ExDa'!$B$2:$K$310, 7,FALSE), IFERROR(VLOOKUP($A201,'Vocus RVC ExDa'!$C$2:$R$155, 2,FALSE), IFERROR(VLOOKUP($A201,'Fusion ExDa'!$B$2:$D$16, 3,FALSE), IFERROR(VLOOKUP($A201,'Exetel ExDa'!$C$2:$N$14, 0,FALSE), IFERROR(VLOOKUP($A201,'Infinet ExDa'!$B$2:$E$14, 0,FALSE), "Not Found"))))))))</f>
        <v>378 DECEPTION BAY RD, DECEPTION BAY QLD</v>
      </c>
      <c r="K201" t="str">
        <f>IFERROR(VLOOKUP($A201,'AAPT ExDa'!$B$2:$U$99, 12,FALSE), IFERROR(VLOOKUP($A201,'ABB ExDa'!$A$2:$N$184, 0,FALSE), IFERROR(VLOOKUP($A201,'Vocus SIT ExDa'!$B$2:$J$173, 0,FALSE), IFERROR(VLOOKUP($A201,'Telstra ExDa'!$B$2:$K$310, 0,FALSE), IFERROR(VLOOKUP($A201,'Vocus RVC ExDa'!$C$2:$R$155, 0,FALSE), IFERROR(VLOOKUP($A201,'Fusion ExDa'!$B$2:$D$16, 0,FALSE), IFERROR(VLOOKUP($A201,'Exetel ExDa'!$C$2:$N$14, 12,FALSE), IFERROR(VLOOKUP($A201,'Infinet ExDa'!$B$2:$E$14, 0,FALSE), "Not Found"))))))))</f>
        <v>Not Found</v>
      </c>
      <c r="L201" s="235" t="str">
        <f>IFERROR(VLOOKUP($A201,'AAPT ExDa'!$B$2:$U$99, 11,FALSE), IFERROR(VLOOKUP($A201,'ABB ExDa'!$A$2:$N$184, 9,FALSE), IFERROR(VLOOKUP($A201,'Vocus SIT ExDa'!$B$2:$J$173, 8,FALSE), IFERROR(VLOOKUP($A201,'Telstra ExDa'!$B$2:$K$310, 0,FALSE), IFERROR(VLOOKUP($A201,'Vocus RVC ExDa'!$C$2:$R$155, 0,FALSE), IFERROR(VLOOKUP($A201,'Fusion ExDa'!$B$2:$D$16, 0,FALSE), IFERROR(VLOOKUP($A201,'Exetel ExDa'!$C$2:$N$14, 9,FALSE), IFERROR(VLOOKUP($A201,'Infinet ExDa'!$B$2:$E$14, 0,FALSE), "Not Found"))))))))</f>
        <v>03 Aug 2025</v>
      </c>
      <c r="M201" s="234" t="str">
        <f>IFERROR(VLOOKUP($A201,'AAPT ExDa'!$B$2:$U$99, 0,FALSE), IFERROR(VLOOKUP($A201,'ABB ExDa'!$A$2:$N$184, 0,FALSE), IFERROR(VLOOKUP($A201,'Vocus SIT ExDa'!$B$2:$J$173, 0,FALSE), IFERROR(VLOOKUP($A201,'Telstra ExDa'!$B$2:$K$310, 0,FALSE), IFERROR(VLOOKUP($A201,'Vocus RVC ExDa'!$C$2:$R$155, 0,FALSE), IFERROR(VLOOKUP($A201,'Fusion ExDa'!$B$2:$D$16, 0,FALSE), IFERROR(VLOOKUP($A201,'Exetel ExDa'!$C$2:$N$14, 11,FALSE), IFERROR(VLOOKUP($A201,'Infinet ExDa'!$B$2:$E$14, 0,FALSE), "Not Found"))))))))</f>
        <v>Not Found</v>
      </c>
      <c r="N201" t="str">
        <f>IFERROR(VLOOKUP($A201,'AAPT ExDa'!$B$2:$U$99, 0,FALSE), IFERROR(VLOOKUP($A201,'ABB ExDa'!$A$2:$N$184, 13,FALSE), IFERROR(VLOOKUP($A201,'Vocus SIT ExDa'!$B$2:$J$173, 0,FALSE), IFERROR(VLOOKUP($A201,'Telstra ExDa'!$B$2:$K$310, 0,FALSE), IFERROR(VLOOKUP($A201,'Vocus RVC ExDa'!$C$2:$R$155, 0,FALSE), IFERROR(VLOOKUP($A201,'Fusion ExDa'!$B$2:$D$16, 0,FALSE), IFERROR(VLOOKUP($A201,'Exetel ExDa'!$C$2:$N$14, 0,FALSE), IFERROR(VLOOKUP($A201,'Infinet ExDa'!$B$2:$E$14, 0,FALSE), "Not Found"))))))))</f>
        <v>Onebill</v>
      </c>
    </row>
    <row r="202" spans="1:14">
      <c r="A202" t="str">
        <v>Zambrero East Perth</v>
      </c>
      <c r="B202" t="str">
        <f>IFERROR(VLOOKUP(A202,'Exetel ExDa'!$C$2:$N$14,4,FALSE),"No Data")</f>
        <v>No Data</v>
      </c>
      <c r="C202" t="str">
        <f>IFERROR(VLOOKUP(A202,'AAPT ExDa'!$B$2:$U$99, 2,FALSE), IFERROR(VLOOKUP(A202,'ABB ExDa'!$A$2:$N$184, 2,FALSE), IFERROR(VLOOKUP(A202,'Vocus SIT ExDa'!$B$2:$J$173, 7,FALSE), IFERROR(VLOOKUP(A202,'Telstra ExDa'!$B$2:$K$310, 2,FALSE), IFERROR(VLOOKUP(A202,'Vocus RVC ExDa'!$C$2:$R$155, 3,FALSE), IFERROR(VLOOKUP(A202,'Fusion ExDa'!$B$2:$D$16, 2,FALSE), IFERROR(VLOOKUP(A202,'Exetel ExDa'!$C$2:$N$14, 2,FALSE), IFERROR(VLOOKUP(A202,'Infinet ExDa'!$B$2:$E$14, 2,FALSE), "Not Found"))))))))</f>
        <v>HYATT COMPLEX UN L3-07, 99 ADELAIDE TCE, EAST PERTH WA</v>
      </c>
      <c r="D202" t="str">
        <f>IFERROR(VLOOKUP($A202,'AAPT ExDa'!$B$2:$U$99, 15,FALSE), IFERROR(VLOOKUP($A202,'ABB ExDa'!$A$2:$N$184, 4,FALSE), IFERROR(VLOOKUP($A202,'Vocus SIT ExDa'!$B$2:$J$173, 5,FALSE), IFERROR(VLOOKUP($A202,'Telstra ExDa'!$B$2:$K$310, 8,FALSE), IFERROR(VLOOKUP($A202,'Vocus RVC ExDa'!$C$2:$R$155, 6,FALSE), IFERROR(VLOOKUP($A202,'Fusion ExDa'!$B$2:$D$16, 4,FALSE), IFERROR(VLOOKUP($A202,'Exetel ExDa'!$C$2:$N$14, 3,FALSE), IFERROR(VLOOKUP($A202,'Infinet ExDa'!$B$2:$E$14, 3,FALSE), "Not Found"))))))))</f>
        <v>ABB</v>
      </c>
      <c r="E202" t="str">
        <f>IFERROR(VLOOKUP($A202,'AAPT ExDa'!$B$2:$U$99, 3,FALSE), IFERROR(VLOOKUP($A202,'ABB ExDa'!$A$2:$N$184, 5,FALSE), IFERROR(VLOOKUP($A202,'Vocus SIT ExDa'!$B$2:$J$173, 2,FALSE), IFERROR(VLOOKUP($A202,'Telstra ExDa'!$B$2:$K$310, 4,FALSE), IFERROR(VLOOKUP($A202,'Vocus RVC ExDa'!$C$2:$R$155, 8,FALSE), IFERROR(VLOOKUP($A202,'Fusion ExDa'!$B$2:$D$16, 4,FALSE), IFERROR(VLOOKUP($A202,'Exetel ExDa'!$C$2:$N$14, 5,FALSE), IFERROR(VLOOKUP($A202,'Infinet ExDa'!$B$2:$E$14, 3,FALSE), "Not Found"))))))))</f>
        <v>NBN 25/10</v>
      </c>
      <c r="F202" t="str">
        <f>IFERROR(VLOOKUP($A202,'AAPT ExDa'!$B$2:$U$99, 4,FALSE), IFERROR(VLOOKUP($A202,'ABB ExDa'!$A$2:$N$184, 6,FALSE), IFERROR(VLOOKUP($A202,'Vocus SIT ExDa'!$B$2:$J$173, 3,FALSE), IFERROR(VLOOKUP($A202,'Telstra ExDa'!$B$2:$K$310, 5,FALSE), IFERROR(VLOOKUP($A202,'Vocus RVC ExDa'!$C$2:$R$155, 9,FALSE), IFERROR(VLOOKUP($A202,'Fusion ExDa'!$B$2:$D$16, 0,FALSE), IFERROR(VLOOKUP($A202,'Exetel ExDa'!$C$2:$N$14, 6,FALSE), IFERROR(VLOOKUP($A202,'Infinet ExDa'!$B$2:$E$14, 0,FALSE), "Not Found"))))))))</f>
        <v>FTTB</v>
      </c>
      <c r="G202" t="str">
        <f>IFERROR(VLOOKUP($A202,'AAPT ExDa'!$B$2:$U$99, 5,FALSE), IFERROR(VLOOKUP($A202,'ABB ExDa'!$A$2:$N$184, 8,FALSE), IFERROR(VLOOKUP($A202,'Vocus SIT ExDa'!$B$2:$J$173, 6,FALSE), IFERROR(VLOOKUP($A202,'Telstra ExDa'!$B$2:$K$310, 0,FALSE), IFERROR(VLOOKUP($A202,'Vocus RVC ExDa'!$C$2:$R$155, 15,FALSE), IFERROR(VLOOKUP($A202,'Fusion ExDa'!$B$2:$D$16, 0,FALSE), IFERROR(VLOOKUP($A202,'Exetel ExDa'!$C$2:$N$14, 7,FALSE), IFERROR(VLOOKUP($A202,'Infinet ExDa'!$B$2:$E$14, 0,FALSE), "Not Found"))))))))</f>
        <v>144.6.148.123</v>
      </c>
      <c r="H202" t="str">
        <f>IFERROR(VLOOKUP($A202,'AAPT ExDa'!$B$2:$U$99, 6,FALSE), IFERROR(VLOOKUP($A202,'ABB ExDa'!$A$2:$N$184, 0,FALSE), IFERROR(VLOOKUP($A202,'Vocus SIT ExDa'!$B$2:$J$173, 0,FALSE), IFERROR(VLOOKUP($A202,'Telstra ExDa'!$B$2:$K$310, 0,FALSE), IFERROR(VLOOKUP($A202,'Vocus RVC ExDa'!$C$2:$R$155, 16,FALSE), IFERROR(VLOOKUP($A202,'Fusion ExDa'!$B$2:$D$16, 0,FALSE), IFERROR(VLOOKUP($A202,'Exetel ExDa'!$C$2:$N$14, 0,FALSE), IFERROR(VLOOKUP($A202,'Infinet ExDa'!$B$2:$E$14, 0,FALSE), "Not Found"))))))))</f>
        <v>Not Found</v>
      </c>
      <c r="I202" t="str">
        <f>IFERROR(VLOOKUP($A202,'AAPT ExDa'!$B$2:$U$99, 0,FALSE), IFERROR(VLOOKUP($A202,'ABB ExDa'!$A$2:$N$184, 0,FALSE), IFERROR(VLOOKUP($A202,'Vocus SIT ExDa'!$B$2:$J$173, 0,FALSE), IFERROR(VLOOKUP($A202,'Telstra ExDa'!$B$2:$K$310, 0,FALSE), IFERROR(VLOOKUP($A202,'Vocus RVC ExDa'!$C$2:$R$155, 0,FALSE), IFERROR(VLOOKUP($A202,'Fusion ExDa'!$B$2:$D$16, 0,FALSE), IFERROR(VLOOKUP($A202,'Exetel ExDa'!$C$2:$N$14, 8,FALSE), IFERROR(VLOOKUP($A202,'Infinet ExDa'!$B$2:$E$14, 0,FALSE), "Not Found"))))))))</f>
        <v>Not Found</v>
      </c>
      <c r="J202" t="str">
        <f>IFERROR(VLOOKUP($A202,'AAPT ExDa'!$B$2:$U$99, 7,FALSE), IFERROR(VLOOKUP($A202,'ABB ExDa'!$A$2:$N$184, 2,FALSE), IFERROR(VLOOKUP($A202,'Vocus SIT ExDa'!$B$2:$J$173, 0,FALSE), IFERROR(VLOOKUP($A202,'Telstra ExDa'!$B$2:$K$310, 7,FALSE), IFERROR(VLOOKUP($A202,'Vocus RVC ExDa'!$C$2:$R$155, 2,FALSE), IFERROR(VLOOKUP($A202,'Fusion ExDa'!$B$2:$D$16, 3,FALSE), IFERROR(VLOOKUP($A202,'Exetel ExDa'!$C$2:$N$14, 0,FALSE), IFERROR(VLOOKUP($A202,'Infinet ExDa'!$B$2:$E$14, 0,FALSE), "Not Found"))))))))</f>
        <v>HYATT COMPLEX UN L3-07, 99 ADELAIDE TCE, EAST PERTH WA</v>
      </c>
      <c r="K202" t="str">
        <f>IFERROR(VLOOKUP($A202,'AAPT ExDa'!$B$2:$U$99, 12,FALSE), IFERROR(VLOOKUP($A202,'ABB ExDa'!$A$2:$N$184, 0,FALSE), IFERROR(VLOOKUP($A202,'Vocus SIT ExDa'!$B$2:$J$173, 0,FALSE), IFERROR(VLOOKUP($A202,'Telstra ExDa'!$B$2:$K$310, 0,FALSE), IFERROR(VLOOKUP($A202,'Vocus RVC ExDa'!$C$2:$R$155, 0,FALSE), IFERROR(VLOOKUP($A202,'Fusion ExDa'!$B$2:$D$16, 0,FALSE), IFERROR(VLOOKUP($A202,'Exetel ExDa'!$C$2:$N$14, 12,FALSE), IFERROR(VLOOKUP($A202,'Infinet ExDa'!$B$2:$E$14, 0,FALSE), "Not Found"))))))))</f>
        <v>Not Found</v>
      </c>
      <c r="L202" s="235" t="str">
        <f>IFERROR(VLOOKUP($A202,'AAPT ExDa'!$B$2:$U$99, 11,FALSE), IFERROR(VLOOKUP($A202,'ABB ExDa'!$A$2:$N$184, 9,FALSE), IFERROR(VLOOKUP($A202,'Vocus SIT ExDa'!$B$2:$J$173, 8,FALSE), IFERROR(VLOOKUP($A202,'Telstra ExDa'!$B$2:$K$310, 0,FALSE), IFERROR(VLOOKUP($A202,'Vocus RVC ExDa'!$C$2:$R$155, 0,FALSE), IFERROR(VLOOKUP($A202,'Fusion ExDa'!$B$2:$D$16, 0,FALSE), IFERROR(VLOOKUP($A202,'Exetel ExDa'!$C$2:$N$14, 9,FALSE), IFERROR(VLOOKUP($A202,'Infinet ExDa'!$B$2:$E$14, 0,FALSE), "Not Found"))))))))</f>
        <v>04 Nov 2024</v>
      </c>
      <c r="M202" s="234" t="str">
        <f>IFERROR(VLOOKUP($A202,'AAPT ExDa'!$B$2:$U$99, 0,FALSE), IFERROR(VLOOKUP($A202,'ABB ExDa'!$A$2:$N$184, 0,FALSE), IFERROR(VLOOKUP($A202,'Vocus SIT ExDa'!$B$2:$J$173, 0,FALSE), IFERROR(VLOOKUP($A202,'Telstra ExDa'!$B$2:$K$310, 0,FALSE), IFERROR(VLOOKUP($A202,'Vocus RVC ExDa'!$C$2:$R$155, 0,FALSE), IFERROR(VLOOKUP($A202,'Fusion ExDa'!$B$2:$D$16, 0,FALSE), IFERROR(VLOOKUP($A202,'Exetel ExDa'!$C$2:$N$14, 11,FALSE), IFERROR(VLOOKUP($A202,'Infinet ExDa'!$B$2:$E$14, 0,FALSE), "Not Found"))))))))</f>
        <v>Not Found</v>
      </c>
      <c r="N202" t="str">
        <f>IFERROR(VLOOKUP($A202,'AAPT ExDa'!$B$2:$U$99, 0,FALSE), IFERROR(VLOOKUP($A202,'ABB ExDa'!$A$2:$N$184, 13,FALSE), IFERROR(VLOOKUP($A202,'Vocus SIT ExDa'!$B$2:$J$173, 0,FALSE), IFERROR(VLOOKUP($A202,'Telstra ExDa'!$B$2:$K$310, 0,FALSE), IFERROR(VLOOKUP($A202,'Vocus RVC ExDa'!$C$2:$R$155, 0,FALSE), IFERROR(VLOOKUP($A202,'Fusion ExDa'!$B$2:$D$16, 0,FALSE), IFERROR(VLOOKUP($A202,'Exetel ExDa'!$C$2:$N$14, 0,FALSE), IFERROR(VLOOKUP($A202,'Infinet ExDa'!$B$2:$E$14, 0,FALSE), "Not Found"))))))))</f>
        <v>Onebill</v>
      </c>
    </row>
    <row r="203" spans="1:14">
      <c r="A203" t="str">
        <v>Zambrero Elizabeth St</v>
      </c>
      <c r="B203" t="str">
        <f>IFERROR(VLOOKUP(A203,'Exetel ExDa'!$C$2:$N$14,4,FALSE),"No Data")</f>
        <v>No Data</v>
      </c>
      <c r="C203" t="str">
        <f>IFERROR(VLOOKUP(A203,'AAPT ExDa'!$B$2:$U$99, 2,FALSE), IFERROR(VLOOKUP(A203,'ABB ExDa'!$A$2:$N$184, 2,FALSE), IFERROR(VLOOKUP(A203,'Vocus SIT ExDa'!$B$2:$J$173, 7,FALSE), IFERROR(VLOOKUP(A203,'Telstra ExDa'!$B$2:$K$310, 2,FALSE), IFERROR(VLOOKUP(A203,'Vocus RVC ExDa'!$C$2:$R$155, 3,FALSE), IFERROR(VLOOKUP(A203,'Fusion ExDa'!$B$2:$D$16, 2,FALSE), IFERROR(VLOOKUP(A203,'Exetel ExDa'!$C$2:$N$14, 2,FALSE), IFERROR(VLOOKUP(A203,'Infinet ExDa'!$B$2:$E$14, 2,FALSE), "Not Found"))))))))</f>
        <v>SHOP 2, 97 ELIZABETH ST, MELBOURNE VIC</v>
      </c>
      <c r="D203" t="str">
        <f>IFERROR(VLOOKUP($A203,'AAPT ExDa'!$B$2:$U$99, 15,FALSE), IFERROR(VLOOKUP($A203,'ABB ExDa'!$A$2:$N$184, 4,FALSE), IFERROR(VLOOKUP($A203,'Vocus SIT ExDa'!$B$2:$J$173, 5,FALSE), IFERROR(VLOOKUP($A203,'Telstra ExDa'!$B$2:$K$310, 8,FALSE), IFERROR(VLOOKUP($A203,'Vocus RVC ExDa'!$C$2:$R$155, 6,FALSE), IFERROR(VLOOKUP($A203,'Fusion ExDa'!$B$2:$D$16, 4,FALSE), IFERROR(VLOOKUP($A203,'Exetel ExDa'!$C$2:$N$14, 3,FALSE), IFERROR(VLOOKUP($A203,'Infinet ExDa'!$B$2:$E$14, 3,FALSE), "Not Found"))))))))</f>
        <v>ABB</v>
      </c>
      <c r="E203" t="str">
        <f>IFERROR(VLOOKUP($A203,'AAPT ExDa'!$B$2:$U$99, 3,FALSE), IFERROR(VLOOKUP($A203,'ABB ExDa'!$A$2:$N$184, 5,FALSE), IFERROR(VLOOKUP($A203,'Vocus SIT ExDa'!$B$2:$J$173, 2,FALSE), IFERROR(VLOOKUP($A203,'Telstra ExDa'!$B$2:$K$310, 4,FALSE), IFERROR(VLOOKUP($A203,'Vocus RVC ExDa'!$C$2:$R$155, 8,FALSE), IFERROR(VLOOKUP($A203,'Fusion ExDa'!$B$2:$D$16, 4,FALSE), IFERROR(VLOOKUP($A203,'Exetel ExDa'!$C$2:$N$14, 5,FALSE), IFERROR(VLOOKUP($A203,'Infinet ExDa'!$B$2:$E$14, 3,FALSE), "Not Found"))))))))</f>
        <v>NBN 25/10</v>
      </c>
      <c r="F203" t="str">
        <f>IFERROR(VLOOKUP($A203,'AAPT ExDa'!$B$2:$U$99, 4,FALSE), IFERROR(VLOOKUP($A203,'ABB ExDa'!$A$2:$N$184, 6,FALSE), IFERROR(VLOOKUP($A203,'Vocus SIT ExDa'!$B$2:$J$173, 3,FALSE), IFERROR(VLOOKUP($A203,'Telstra ExDa'!$B$2:$K$310, 5,FALSE), IFERROR(VLOOKUP($A203,'Vocus RVC ExDa'!$C$2:$R$155, 9,FALSE), IFERROR(VLOOKUP($A203,'Fusion ExDa'!$B$2:$D$16, 0,FALSE), IFERROR(VLOOKUP($A203,'Exetel ExDa'!$C$2:$N$14, 6,FALSE), IFERROR(VLOOKUP($A203,'Infinet ExDa'!$B$2:$E$14, 0,FALSE), "Not Found"))))))))</f>
        <v>FTTB</v>
      </c>
      <c r="G203" t="str">
        <f>IFERROR(VLOOKUP($A203,'AAPT ExDa'!$B$2:$U$99, 5,FALSE), IFERROR(VLOOKUP($A203,'ABB ExDa'!$A$2:$N$184, 8,FALSE), IFERROR(VLOOKUP($A203,'Vocus SIT ExDa'!$B$2:$J$173, 6,FALSE), IFERROR(VLOOKUP($A203,'Telstra ExDa'!$B$2:$K$310, 0,FALSE), IFERROR(VLOOKUP($A203,'Vocus RVC ExDa'!$C$2:$R$155, 15,FALSE), IFERROR(VLOOKUP($A203,'Fusion ExDa'!$B$2:$D$16, 0,FALSE), IFERROR(VLOOKUP($A203,'Exetel ExDa'!$C$2:$N$14, 7,FALSE), IFERROR(VLOOKUP($A203,'Infinet ExDa'!$B$2:$E$14, 0,FALSE), "Not Found"))))))))</f>
        <v>144.6.90.91</v>
      </c>
      <c r="H203">
        <f>IFERROR(VLOOKUP($A203,'AAPT ExDa'!$B$2:$U$99, 6,FALSE), IFERROR(VLOOKUP($A203,'ABB ExDa'!$A$2:$N$184, 0,FALSE), IFERROR(VLOOKUP($A203,'Vocus SIT ExDa'!$B$2:$J$173, 0,FALSE), IFERROR(VLOOKUP($A203,'Telstra ExDa'!$B$2:$K$310, 0,FALSE), IFERROR(VLOOKUP($A203,'Vocus RVC ExDa'!$C$2:$R$155, 16,FALSE), IFERROR(VLOOKUP($A203,'Fusion ExDa'!$B$2:$D$16, 0,FALSE), IFERROR(VLOOKUP($A203,'Exetel ExDa'!$C$2:$N$14, 0,FALSE), IFERROR(VLOOKUP($A203,'Infinet ExDa'!$B$2:$E$14, 0,FALSE), "Not Found"))))))))</f>
        <v>0</v>
      </c>
      <c r="I203" t="str">
        <f>IFERROR(VLOOKUP($A203,'AAPT ExDa'!$B$2:$U$99, 0,FALSE), IFERROR(VLOOKUP($A203,'ABB ExDa'!$A$2:$N$184, 0,FALSE), IFERROR(VLOOKUP($A203,'Vocus SIT ExDa'!$B$2:$J$173, 0,FALSE), IFERROR(VLOOKUP($A203,'Telstra ExDa'!$B$2:$K$310, 0,FALSE), IFERROR(VLOOKUP($A203,'Vocus RVC ExDa'!$C$2:$R$155, 0,FALSE), IFERROR(VLOOKUP($A203,'Fusion ExDa'!$B$2:$D$16, 0,FALSE), IFERROR(VLOOKUP($A203,'Exetel ExDa'!$C$2:$N$14, 8,FALSE), IFERROR(VLOOKUP($A203,'Infinet ExDa'!$B$2:$E$14, 0,FALSE), "Not Found"))))))))</f>
        <v>Not Found</v>
      </c>
      <c r="J203" t="str">
        <f>IFERROR(VLOOKUP($A203,'AAPT ExDa'!$B$2:$U$99, 7,FALSE), IFERROR(VLOOKUP($A203,'ABB ExDa'!$A$2:$N$184, 2,FALSE), IFERROR(VLOOKUP($A203,'Vocus SIT ExDa'!$B$2:$J$173, 0,FALSE), IFERROR(VLOOKUP($A203,'Telstra ExDa'!$B$2:$K$310, 7,FALSE), IFERROR(VLOOKUP($A203,'Vocus RVC ExDa'!$C$2:$R$155, 2,FALSE), IFERROR(VLOOKUP($A203,'Fusion ExDa'!$B$2:$D$16, 3,FALSE), IFERROR(VLOOKUP($A203,'Exetel ExDa'!$C$2:$N$14, 0,FALSE), IFERROR(VLOOKUP($A203,'Infinet ExDa'!$B$2:$E$14, 0,FALSE), "Not Found"))))))))</f>
        <v>SHOP 2, 97 ELIZABETH ST, MELBOURNE VIC</v>
      </c>
      <c r="K203" t="str">
        <f>IFERROR(VLOOKUP($A203,'AAPT ExDa'!$B$2:$U$99, 12,FALSE), IFERROR(VLOOKUP($A203,'ABB ExDa'!$A$2:$N$184, 0,FALSE), IFERROR(VLOOKUP($A203,'Vocus SIT ExDa'!$B$2:$J$173, 0,FALSE), IFERROR(VLOOKUP($A203,'Telstra ExDa'!$B$2:$K$310, 0,FALSE), IFERROR(VLOOKUP($A203,'Vocus RVC ExDa'!$C$2:$R$155, 0,FALSE), IFERROR(VLOOKUP($A203,'Fusion ExDa'!$B$2:$D$16, 0,FALSE), IFERROR(VLOOKUP($A203,'Exetel ExDa'!$C$2:$N$14, 12,FALSE), IFERROR(VLOOKUP($A203,'Infinet ExDa'!$B$2:$E$14, 0,FALSE), "Not Found"))))))))</f>
        <v>Not Found</v>
      </c>
      <c r="L203" s="235" t="str">
        <f>IFERROR(VLOOKUP($A203,'AAPT ExDa'!$B$2:$U$99, 11,FALSE), IFERROR(VLOOKUP($A203,'ABB ExDa'!$A$2:$N$184, 9,FALSE), IFERROR(VLOOKUP($A203,'Vocus SIT ExDa'!$B$2:$J$173, 8,FALSE), IFERROR(VLOOKUP($A203,'Telstra ExDa'!$B$2:$K$310, 0,FALSE), IFERROR(VLOOKUP($A203,'Vocus RVC ExDa'!$C$2:$R$155, 0,FALSE), IFERROR(VLOOKUP($A203,'Fusion ExDa'!$B$2:$D$16, 0,FALSE), IFERROR(VLOOKUP($A203,'Exetel ExDa'!$C$2:$N$14, 9,FALSE), IFERROR(VLOOKUP($A203,'Infinet ExDa'!$B$2:$E$14, 0,FALSE), "Not Found"))))))))</f>
        <v>15 Mar 2024</v>
      </c>
      <c r="M203" s="234" t="str">
        <f>IFERROR(VLOOKUP($A203,'AAPT ExDa'!$B$2:$U$99, 0,FALSE), IFERROR(VLOOKUP($A203,'ABB ExDa'!$A$2:$N$184, 0,FALSE), IFERROR(VLOOKUP($A203,'Vocus SIT ExDa'!$B$2:$J$173, 0,FALSE), IFERROR(VLOOKUP($A203,'Telstra ExDa'!$B$2:$K$310, 0,FALSE), IFERROR(VLOOKUP($A203,'Vocus RVC ExDa'!$C$2:$R$155, 0,FALSE), IFERROR(VLOOKUP($A203,'Fusion ExDa'!$B$2:$D$16, 0,FALSE), IFERROR(VLOOKUP($A203,'Exetel ExDa'!$C$2:$N$14, 11,FALSE), IFERROR(VLOOKUP($A203,'Infinet ExDa'!$B$2:$E$14, 0,FALSE), "Not Found"))))))))</f>
        <v>Not Found</v>
      </c>
      <c r="N203" t="str">
        <f>IFERROR(VLOOKUP($A203,'AAPT ExDa'!$B$2:$U$99, 0,FALSE), IFERROR(VLOOKUP($A203,'ABB ExDa'!$A$2:$N$184, 13,FALSE), IFERROR(VLOOKUP($A203,'Vocus SIT ExDa'!$B$2:$J$173, 0,FALSE), IFERROR(VLOOKUP($A203,'Telstra ExDa'!$B$2:$K$310, 0,FALSE), IFERROR(VLOOKUP($A203,'Vocus RVC ExDa'!$C$2:$R$155, 0,FALSE), IFERROR(VLOOKUP($A203,'Fusion ExDa'!$B$2:$D$16, 0,FALSE), IFERROR(VLOOKUP($A203,'Exetel ExDa'!$C$2:$N$14, 0,FALSE), IFERROR(VLOOKUP($A203,'Infinet ExDa'!$B$2:$E$14, 0,FALSE), "Not Found"))))))))</f>
        <v>Onebill</v>
      </c>
    </row>
    <row r="204" spans="1:14">
      <c r="A204" t="str">
        <v>Zambrero Everton Park</v>
      </c>
      <c r="B204" t="str">
        <f>IFERROR(VLOOKUP(A204,'Exetel ExDa'!$C$2:$N$14,4,FALSE),"No Data")</f>
        <v>No Data</v>
      </c>
      <c r="C204" t="str">
        <f>IFERROR(VLOOKUP(A204,'AAPT ExDa'!$B$2:$U$99, 2,FALSE), IFERROR(VLOOKUP(A204,'ABB ExDa'!$A$2:$N$184, 2,FALSE), IFERROR(VLOOKUP(A204,'Vocus SIT ExDa'!$B$2:$J$173, 7,FALSE), IFERROR(VLOOKUP(A204,'Telstra ExDa'!$B$2:$K$310, 2,FALSE), IFERROR(VLOOKUP(A204,'Vocus RVC ExDa'!$C$2:$R$155, 3,FALSE), IFERROR(VLOOKUP(A204,'Fusion ExDa'!$B$2:$D$16, 2,FALSE), IFERROR(VLOOKUP(A204,'Exetel ExDa'!$C$2:$N$14, 2,FALSE), IFERROR(VLOOKUP(A204,'Infinet ExDa'!$B$2:$E$14, 2,FALSE), "Not Found"))))))))</f>
        <v>SHOP T3-4, 768 STAFFORD RD, EVERTON PARK QLD</v>
      </c>
      <c r="D204" t="str">
        <f>IFERROR(VLOOKUP($A204,'AAPT ExDa'!$B$2:$U$99, 15,FALSE), IFERROR(VLOOKUP($A204,'ABB ExDa'!$A$2:$N$184, 4,FALSE), IFERROR(VLOOKUP($A204,'Vocus SIT ExDa'!$B$2:$J$173, 5,FALSE), IFERROR(VLOOKUP($A204,'Telstra ExDa'!$B$2:$K$310, 8,FALSE), IFERROR(VLOOKUP($A204,'Vocus RVC ExDa'!$C$2:$R$155, 6,FALSE), IFERROR(VLOOKUP($A204,'Fusion ExDa'!$B$2:$D$16, 4,FALSE), IFERROR(VLOOKUP($A204,'Exetel ExDa'!$C$2:$N$14, 3,FALSE), IFERROR(VLOOKUP($A204,'Infinet ExDa'!$B$2:$E$14, 3,FALSE), "Not Found"))))))))</f>
        <v>ABB</v>
      </c>
      <c r="E204" t="str">
        <f>IFERROR(VLOOKUP($A204,'AAPT ExDa'!$B$2:$U$99, 3,FALSE), IFERROR(VLOOKUP($A204,'ABB ExDa'!$A$2:$N$184, 5,FALSE), IFERROR(VLOOKUP($A204,'Vocus SIT ExDa'!$B$2:$J$173, 2,FALSE), IFERROR(VLOOKUP($A204,'Telstra ExDa'!$B$2:$K$310, 4,FALSE), IFERROR(VLOOKUP($A204,'Vocus RVC ExDa'!$C$2:$R$155, 8,FALSE), IFERROR(VLOOKUP($A204,'Fusion ExDa'!$B$2:$D$16, 4,FALSE), IFERROR(VLOOKUP($A204,'Exetel ExDa'!$C$2:$N$14, 5,FALSE), IFERROR(VLOOKUP($A204,'Infinet ExDa'!$B$2:$E$14, 3,FALSE), "Not Found"))))))))</f>
        <v>NBN 25/10</v>
      </c>
      <c r="F204" t="str">
        <f>IFERROR(VLOOKUP($A204,'AAPT ExDa'!$B$2:$U$99, 4,FALSE), IFERROR(VLOOKUP($A204,'ABB ExDa'!$A$2:$N$184, 6,FALSE), IFERROR(VLOOKUP($A204,'Vocus SIT ExDa'!$B$2:$J$173, 3,FALSE), IFERROR(VLOOKUP($A204,'Telstra ExDa'!$B$2:$K$310, 5,FALSE), IFERROR(VLOOKUP($A204,'Vocus RVC ExDa'!$C$2:$R$155, 9,FALSE), IFERROR(VLOOKUP($A204,'Fusion ExDa'!$B$2:$D$16, 0,FALSE), IFERROR(VLOOKUP($A204,'Exetel ExDa'!$C$2:$N$14, 6,FALSE), IFERROR(VLOOKUP($A204,'Infinet ExDa'!$B$2:$E$14, 0,FALSE), "Not Found"))))))))</f>
        <v>FTTN</v>
      </c>
      <c r="G204" t="str">
        <f>IFERROR(VLOOKUP($A204,'AAPT ExDa'!$B$2:$U$99, 5,FALSE), IFERROR(VLOOKUP($A204,'ABB ExDa'!$A$2:$N$184, 8,FALSE), IFERROR(VLOOKUP($A204,'Vocus SIT ExDa'!$B$2:$J$173, 6,FALSE), IFERROR(VLOOKUP($A204,'Telstra ExDa'!$B$2:$K$310, 0,FALSE), IFERROR(VLOOKUP($A204,'Vocus RVC ExDa'!$C$2:$R$155, 15,FALSE), IFERROR(VLOOKUP($A204,'Fusion ExDa'!$B$2:$D$16, 0,FALSE), IFERROR(VLOOKUP($A204,'Exetel ExDa'!$C$2:$N$14, 7,FALSE), IFERROR(VLOOKUP($A204,'Infinet ExDa'!$B$2:$E$14, 0,FALSE), "Not Found"))))))))</f>
        <v>144.6.100.204</v>
      </c>
      <c r="H204">
        <f>IFERROR(VLOOKUP($A204,'AAPT ExDa'!$B$2:$U$99, 6,FALSE), IFERROR(VLOOKUP($A204,'ABB ExDa'!$A$2:$N$184, 0,FALSE), IFERROR(VLOOKUP($A204,'Vocus SIT ExDa'!$B$2:$J$173, 0,FALSE), IFERROR(VLOOKUP($A204,'Telstra ExDa'!$B$2:$K$310, 0,FALSE), IFERROR(VLOOKUP($A204,'Vocus RVC ExDa'!$C$2:$R$155, 16,FALSE), IFERROR(VLOOKUP($A204,'Fusion ExDa'!$B$2:$D$16, 0,FALSE), IFERROR(VLOOKUP($A204,'Exetel ExDa'!$C$2:$N$14, 0,FALSE), IFERROR(VLOOKUP($A204,'Infinet ExDa'!$B$2:$E$14, 0,FALSE), "Not Found"))))))))</f>
        <v>0</v>
      </c>
      <c r="I204" t="str">
        <f>IFERROR(VLOOKUP($A204,'AAPT ExDa'!$B$2:$U$99, 0,FALSE), IFERROR(VLOOKUP($A204,'ABB ExDa'!$A$2:$N$184, 0,FALSE), IFERROR(VLOOKUP($A204,'Vocus SIT ExDa'!$B$2:$J$173, 0,FALSE), IFERROR(VLOOKUP($A204,'Telstra ExDa'!$B$2:$K$310, 0,FALSE), IFERROR(VLOOKUP($A204,'Vocus RVC ExDa'!$C$2:$R$155, 0,FALSE), IFERROR(VLOOKUP($A204,'Fusion ExDa'!$B$2:$D$16, 0,FALSE), IFERROR(VLOOKUP($A204,'Exetel ExDa'!$C$2:$N$14, 8,FALSE), IFERROR(VLOOKUP($A204,'Infinet ExDa'!$B$2:$E$14, 0,FALSE), "Not Found"))))))))</f>
        <v>Not Found</v>
      </c>
      <c r="J204" t="str">
        <f>IFERROR(VLOOKUP($A204,'AAPT ExDa'!$B$2:$U$99, 7,FALSE), IFERROR(VLOOKUP($A204,'ABB ExDa'!$A$2:$N$184, 2,FALSE), IFERROR(VLOOKUP($A204,'Vocus SIT ExDa'!$B$2:$J$173, 0,FALSE), IFERROR(VLOOKUP($A204,'Telstra ExDa'!$B$2:$K$310, 7,FALSE), IFERROR(VLOOKUP($A204,'Vocus RVC ExDa'!$C$2:$R$155, 2,FALSE), IFERROR(VLOOKUP($A204,'Fusion ExDa'!$B$2:$D$16, 3,FALSE), IFERROR(VLOOKUP($A204,'Exetel ExDa'!$C$2:$N$14, 0,FALSE), IFERROR(VLOOKUP($A204,'Infinet ExDa'!$B$2:$E$14, 0,FALSE), "Not Found"))))))))</f>
        <v>SHOP T3-4, 768 STAFFORD RD, EVERTON PARK QLD</v>
      </c>
      <c r="K204" t="str">
        <f>IFERROR(VLOOKUP($A204,'AAPT ExDa'!$B$2:$U$99, 12,FALSE), IFERROR(VLOOKUP($A204,'ABB ExDa'!$A$2:$N$184, 0,FALSE), IFERROR(VLOOKUP($A204,'Vocus SIT ExDa'!$B$2:$J$173, 0,FALSE), IFERROR(VLOOKUP($A204,'Telstra ExDa'!$B$2:$K$310, 0,FALSE), IFERROR(VLOOKUP($A204,'Vocus RVC ExDa'!$C$2:$R$155, 0,FALSE), IFERROR(VLOOKUP($A204,'Fusion ExDa'!$B$2:$D$16, 0,FALSE), IFERROR(VLOOKUP($A204,'Exetel ExDa'!$C$2:$N$14, 12,FALSE), IFERROR(VLOOKUP($A204,'Infinet ExDa'!$B$2:$E$14, 0,FALSE), "Not Found"))))))))</f>
        <v>Not Found</v>
      </c>
      <c r="L204" s="235" t="str">
        <f>IFERROR(VLOOKUP($A204,'AAPT ExDa'!$B$2:$U$99, 11,FALSE), IFERROR(VLOOKUP($A204,'ABB ExDa'!$A$2:$N$184, 9,FALSE), IFERROR(VLOOKUP($A204,'Vocus SIT ExDa'!$B$2:$J$173, 8,FALSE), IFERROR(VLOOKUP($A204,'Telstra ExDa'!$B$2:$K$310, 0,FALSE), IFERROR(VLOOKUP($A204,'Vocus RVC ExDa'!$C$2:$R$155, 0,FALSE), IFERROR(VLOOKUP($A204,'Fusion ExDa'!$B$2:$D$16, 0,FALSE), IFERROR(VLOOKUP($A204,'Exetel ExDa'!$C$2:$N$14, 9,FALSE), IFERROR(VLOOKUP($A204,'Infinet ExDa'!$B$2:$E$14, 0,FALSE), "Not Found"))))))))</f>
        <v>17 July 2025</v>
      </c>
      <c r="M204" s="234" t="str">
        <f>IFERROR(VLOOKUP($A204,'AAPT ExDa'!$B$2:$U$99, 0,FALSE), IFERROR(VLOOKUP($A204,'ABB ExDa'!$A$2:$N$184, 0,FALSE), IFERROR(VLOOKUP($A204,'Vocus SIT ExDa'!$B$2:$J$173, 0,FALSE), IFERROR(VLOOKUP($A204,'Telstra ExDa'!$B$2:$K$310, 0,FALSE), IFERROR(VLOOKUP($A204,'Vocus RVC ExDa'!$C$2:$R$155, 0,FALSE), IFERROR(VLOOKUP($A204,'Fusion ExDa'!$B$2:$D$16, 0,FALSE), IFERROR(VLOOKUP($A204,'Exetel ExDa'!$C$2:$N$14, 11,FALSE), IFERROR(VLOOKUP($A204,'Infinet ExDa'!$B$2:$E$14, 0,FALSE), "Not Found"))))))))</f>
        <v>Not Found</v>
      </c>
      <c r="N204" t="str">
        <f>IFERROR(VLOOKUP($A204,'AAPT ExDa'!$B$2:$U$99, 0,FALSE), IFERROR(VLOOKUP($A204,'ABB ExDa'!$A$2:$N$184, 13,FALSE), IFERROR(VLOOKUP($A204,'Vocus SIT ExDa'!$B$2:$J$173, 0,FALSE), IFERROR(VLOOKUP($A204,'Telstra ExDa'!$B$2:$K$310, 0,FALSE), IFERROR(VLOOKUP($A204,'Vocus RVC ExDa'!$C$2:$R$155, 0,FALSE), IFERROR(VLOOKUP($A204,'Fusion ExDa'!$B$2:$D$16, 0,FALSE), IFERROR(VLOOKUP($A204,'Exetel ExDa'!$C$2:$N$14, 0,FALSE), IFERROR(VLOOKUP($A204,'Infinet ExDa'!$B$2:$E$14, 0,FALSE), "Not Found"))))))))</f>
        <v>Onebill</v>
      </c>
    </row>
    <row r="205" spans="1:14">
      <c r="A205" t="str">
        <v>Zambrero Fairfield</v>
      </c>
      <c r="B205" t="str">
        <f>IFERROR(VLOOKUP(A205,'Exetel ExDa'!$C$2:$N$14,4,FALSE),"No Data")</f>
        <v>No Data</v>
      </c>
      <c r="C205" t="str">
        <f>IFERROR(VLOOKUP(A205,'AAPT ExDa'!$B$2:$U$99, 2,FALSE), IFERROR(VLOOKUP(A205,'ABB ExDa'!$A$2:$N$184, 2,FALSE), IFERROR(VLOOKUP(A205,'Vocus SIT ExDa'!$B$2:$J$173, 7,FALSE), IFERROR(VLOOKUP(A205,'Telstra ExDa'!$B$2:$K$310, 2,FALSE), IFERROR(VLOOKUP(A205,'Vocus RVC ExDa'!$C$2:$R$155, 3,FALSE), IFERROR(VLOOKUP(A205,'Fusion ExDa'!$B$2:$D$16, 2,FALSE), IFERROR(VLOOKUP(A205,'Exetel ExDa'!$C$2:$N$14, 2,FALSE), IFERROR(VLOOKUP(A205,'Infinet ExDa'!$B$2:$E$14, 2,FALSE), "Not Found"))))))))</f>
        <v>134A STATION ST, FAIRFIELD VIC</v>
      </c>
      <c r="D205" t="str">
        <f>IFERROR(VLOOKUP($A205,'AAPT ExDa'!$B$2:$U$99, 15,FALSE), IFERROR(VLOOKUP($A205,'ABB ExDa'!$A$2:$N$184, 4,FALSE), IFERROR(VLOOKUP($A205,'Vocus SIT ExDa'!$B$2:$J$173, 5,FALSE), IFERROR(VLOOKUP($A205,'Telstra ExDa'!$B$2:$K$310, 8,FALSE), IFERROR(VLOOKUP($A205,'Vocus RVC ExDa'!$C$2:$R$155, 6,FALSE), IFERROR(VLOOKUP($A205,'Fusion ExDa'!$B$2:$D$16, 4,FALSE), IFERROR(VLOOKUP($A205,'Exetel ExDa'!$C$2:$N$14, 3,FALSE), IFERROR(VLOOKUP($A205,'Infinet ExDa'!$B$2:$E$14, 3,FALSE), "Not Found"))))))))</f>
        <v>ABB</v>
      </c>
      <c r="E205" t="str">
        <f>IFERROR(VLOOKUP($A205,'AAPT ExDa'!$B$2:$U$99, 3,FALSE), IFERROR(VLOOKUP($A205,'ABB ExDa'!$A$2:$N$184, 5,FALSE), IFERROR(VLOOKUP($A205,'Vocus SIT ExDa'!$B$2:$J$173, 2,FALSE), IFERROR(VLOOKUP($A205,'Telstra ExDa'!$B$2:$K$310, 4,FALSE), IFERROR(VLOOKUP($A205,'Vocus RVC ExDa'!$C$2:$R$155, 8,FALSE), IFERROR(VLOOKUP($A205,'Fusion ExDa'!$B$2:$D$16, 4,FALSE), IFERROR(VLOOKUP($A205,'Exetel ExDa'!$C$2:$N$14, 5,FALSE), IFERROR(VLOOKUP($A205,'Infinet ExDa'!$B$2:$E$14, 3,FALSE), "Not Found"))))))))</f>
        <v>NBN 50/20</v>
      </c>
      <c r="F205" t="str">
        <f>IFERROR(VLOOKUP($A205,'AAPT ExDa'!$B$2:$U$99, 4,FALSE), IFERROR(VLOOKUP($A205,'ABB ExDa'!$A$2:$N$184, 6,FALSE), IFERROR(VLOOKUP($A205,'Vocus SIT ExDa'!$B$2:$J$173, 3,FALSE), IFERROR(VLOOKUP($A205,'Telstra ExDa'!$B$2:$K$310, 5,FALSE), IFERROR(VLOOKUP($A205,'Vocus RVC ExDa'!$C$2:$R$155, 9,FALSE), IFERROR(VLOOKUP($A205,'Fusion ExDa'!$B$2:$D$16, 0,FALSE), IFERROR(VLOOKUP($A205,'Exetel ExDa'!$C$2:$N$14, 6,FALSE), IFERROR(VLOOKUP($A205,'Infinet ExDa'!$B$2:$E$14, 0,FALSE), "Not Found"))))))))</f>
        <v>HFC</v>
      </c>
      <c r="G205" t="str">
        <f>IFERROR(VLOOKUP($A205,'AAPT ExDa'!$B$2:$U$99, 5,FALSE), IFERROR(VLOOKUP($A205,'ABB ExDa'!$A$2:$N$184, 8,FALSE), IFERROR(VLOOKUP($A205,'Vocus SIT ExDa'!$B$2:$J$173, 6,FALSE), IFERROR(VLOOKUP($A205,'Telstra ExDa'!$B$2:$K$310, 0,FALSE), IFERROR(VLOOKUP($A205,'Vocus RVC ExDa'!$C$2:$R$155, 15,FALSE), IFERROR(VLOOKUP($A205,'Fusion ExDa'!$B$2:$D$16, 0,FALSE), IFERROR(VLOOKUP($A205,'Exetel ExDa'!$C$2:$N$14, 7,FALSE), IFERROR(VLOOKUP($A205,'Infinet ExDa'!$B$2:$E$14, 0,FALSE), "Not Found"))))))))</f>
        <v>119.18.30.244</v>
      </c>
      <c r="H205" t="str">
        <f>IFERROR(VLOOKUP($A205,'AAPT ExDa'!$B$2:$U$99, 6,FALSE), IFERROR(VLOOKUP($A205,'ABB ExDa'!$A$2:$N$184, 0,FALSE), IFERROR(VLOOKUP($A205,'Vocus SIT ExDa'!$B$2:$J$173, 0,FALSE), IFERROR(VLOOKUP($A205,'Telstra ExDa'!$B$2:$K$310, 0,FALSE), IFERROR(VLOOKUP($A205,'Vocus RVC ExDa'!$C$2:$R$155, 16,FALSE), IFERROR(VLOOKUP($A205,'Fusion ExDa'!$B$2:$D$16, 0,FALSE), IFERROR(VLOOKUP($A205,'Exetel ExDa'!$C$2:$N$14, 0,FALSE), IFERROR(VLOOKUP($A205,'Infinet ExDa'!$B$2:$E$14, 0,FALSE), "Not Found"))))))))</f>
        <v>Not Found</v>
      </c>
      <c r="I205" t="str">
        <f>IFERROR(VLOOKUP($A205,'AAPT ExDa'!$B$2:$U$99, 0,FALSE), IFERROR(VLOOKUP($A205,'ABB ExDa'!$A$2:$N$184, 0,FALSE), IFERROR(VLOOKUP($A205,'Vocus SIT ExDa'!$B$2:$J$173, 0,FALSE), IFERROR(VLOOKUP($A205,'Telstra ExDa'!$B$2:$K$310, 0,FALSE), IFERROR(VLOOKUP($A205,'Vocus RVC ExDa'!$C$2:$R$155, 0,FALSE), IFERROR(VLOOKUP($A205,'Fusion ExDa'!$B$2:$D$16, 0,FALSE), IFERROR(VLOOKUP($A205,'Exetel ExDa'!$C$2:$N$14, 8,FALSE), IFERROR(VLOOKUP($A205,'Infinet ExDa'!$B$2:$E$14, 0,FALSE), "Not Found"))))))))</f>
        <v>Not Found</v>
      </c>
      <c r="J205" t="str">
        <f>IFERROR(VLOOKUP($A205,'AAPT ExDa'!$B$2:$U$99, 7,FALSE), IFERROR(VLOOKUP($A205,'ABB ExDa'!$A$2:$N$184, 2,FALSE), IFERROR(VLOOKUP($A205,'Vocus SIT ExDa'!$B$2:$J$173, 0,FALSE), IFERROR(VLOOKUP($A205,'Telstra ExDa'!$B$2:$K$310, 7,FALSE), IFERROR(VLOOKUP($A205,'Vocus RVC ExDa'!$C$2:$R$155, 2,FALSE), IFERROR(VLOOKUP($A205,'Fusion ExDa'!$B$2:$D$16, 3,FALSE), IFERROR(VLOOKUP($A205,'Exetel ExDa'!$C$2:$N$14, 0,FALSE), IFERROR(VLOOKUP($A205,'Infinet ExDa'!$B$2:$E$14, 0,FALSE), "Not Found"))))))))</f>
        <v>134A STATION ST, FAIRFIELD VIC</v>
      </c>
      <c r="K205" t="str">
        <f>IFERROR(VLOOKUP($A205,'AAPT ExDa'!$B$2:$U$99, 12,FALSE), IFERROR(VLOOKUP($A205,'ABB ExDa'!$A$2:$N$184, 0,FALSE), IFERROR(VLOOKUP($A205,'Vocus SIT ExDa'!$B$2:$J$173, 0,FALSE), IFERROR(VLOOKUP($A205,'Telstra ExDa'!$B$2:$K$310, 0,FALSE), IFERROR(VLOOKUP($A205,'Vocus RVC ExDa'!$C$2:$R$155, 0,FALSE), IFERROR(VLOOKUP($A205,'Fusion ExDa'!$B$2:$D$16, 0,FALSE), IFERROR(VLOOKUP($A205,'Exetel ExDa'!$C$2:$N$14, 12,FALSE), IFERROR(VLOOKUP($A205,'Infinet ExDa'!$B$2:$E$14, 0,FALSE), "Not Found"))))))))</f>
        <v>Not Found</v>
      </c>
      <c r="L205" s="235" t="str">
        <f>IFERROR(VLOOKUP($A205,'AAPT ExDa'!$B$2:$U$99, 11,FALSE), IFERROR(VLOOKUP($A205,'ABB ExDa'!$A$2:$N$184, 9,FALSE), IFERROR(VLOOKUP($A205,'Vocus SIT ExDa'!$B$2:$J$173, 8,FALSE), IFERROR(VLOOKUP($A205,'Telstra ExDa'!$B$2:$K$310, 0,FALSE), IFERROR(VLOOKUP($A205,'Vocus RVC ExDa'!$C$2:$R$155, 0,FALSE), IFERROR(VLOOKUP($A205,'Fusion ExDa'!$B$2:$D$16, 0,FALSE), IFERROR(VLOOKUP($A205,'Exetel ExDa'!$C$2:$N$14, 9,FALSE), IFERROR(VLOOKUP($A205,'Infinet ExDa'!$B$2:$E$14, 0,FALSE), "Not Found"))))))))</f>
        <v>07 Aug 2024</v>
      </c>
      <c r="M205" s="234" t="str">
        <f>IFERROR(VLOOKUP($A205,'AAPT ExDa'!$B$2:$U$99, 0,FALSE), IFERROR(VLOOKUP($A205,'ABB ExDa'!$A$2:$N$184, 0,FALSE), IFERROR(VLOOKUP($A205,'Vocus SIT ExDa'!$B$2:$J$173, 0,FALSE), IFERROR(VLOOKUP($A205,'Telstra ExDa'!$B$2:$K$310, 0,FALSE), IFERROR(VLOOKUP($A205,'Vocus RVC ExDa'!$C$2:$R$155, 0,FALSE), IFERROR(VLOOKUP($A205,'Fusion ExDa'!$B$2:$D$16, 0,FALSE), IFERROR(VLOOKUP($A205,'Exetel ExDa'!$C$2:$N$14, 11,FALSE), IFERROR(VLOOKUP($A205,'Infinet ExDa'!$B$2:$E$14, 0,FALSE), "Not Found"))))))))</f>
        <v>Not Found</v>
      </c>
      <c r="N205" t="str">
        <f>IFERROR(VLOOKUP($A205,'AAPT ExDa'!$B$2:$U$99, 0,FALSE), IFERROR(VLOOKUP($A205,'ABB ExDa'!$A$2:$N$184, 13,FALSE), IFERROR(VLOOKUP($A205,'Vocus SIT ExDa'!$B$2:$J$173, 0,FALSE), IFERROR(VLOOKUP($A205,'Telstra ExDa'!$B$2:$K$310, 0,FALSE), IFERROR(VLOOKUP($A205,'Vocus RVC ExDa'!$C$2:$R$155, 0,FALSE), IFERROR(VLOOKUP($A205,'Fusion ExDa'!$B$2:$D$16, 0,FALSE), IFERROR(VLOOKUP($A205,'Exetel ExDa'!$C$2:$N$14, 0,FALSE), IFERROR(VLOOKUP($A205,'Infinet ExDa'!$B$2:$E$14, 0,FALSE), "Not Found"))))))))</f>
        <v>Onebill</v>
      </c>
    </row>
    <row r="206" spans="1:14">
      <c r="A206" t="str">
        <v>Zambrero Forrestfield</v>
      </c>
      <c r="B206" t="str">
        <f>IFERROR(VLOOKUP(A206,'Exetel ExDa'!$C$2:$N$14,4,FALSE),"No Data")</f>
        <v>No Data</v>
      </c>
      <c r="C206" t="str">
        <f>IFERROR(VLOOKUP(A206,'AAPT ExDa'!$B$2:$U$99, 2,FALSE), IFERROR(VLOOKUP(A206,'ABB ExDa'!$A$2:$N$184, 2,FALSE), IFERROR(VLOOKUP(A206,'Vocus SIT ExDa'!$B$2:$J$173, 7,FALSE), IFERROR(VLOOKUP(A206,'Telstra ExDa'!$B$2:$K$310, 2,FALSE), IFERROR(VLOOKUP(A206,'Vocus RVC ExDa'!$C$2:$R$155, 3,FALSE), IFERROR(VLOOKUP(A206,'Fusion ExDa'!$B$2:$D$16, 2,FALSE), IFERROR(VLOOKUP(A206,'Exetel ExDa'!$C$2:$N$14, 2,FALSE), IFERROR(VLOOKUP(A206,'Infinet ExDa'!$B$2:$E$14, 2,FALSE), "Not Found"))))))))</f>
        <v>FORRESTFIELD FORUM SHOP 23M, 20 STRELITZIA AV, FORRESTFIELD WA</v>
      </c>
      <c r="D206" t="str">
        <f>IFERROR(VLOOKUP($A206,'AAPT ExDa'!$B$2:$U$99, 15,FALSE), IFERROR(VLOOKUP($A206,'ABB ExDa'!$A$2:$N$184, 4,FALSE), IFERROR(VLOOKUP($A206,'Vocus SIT ExDa'!$B$2:$J$173, 5,FALSE), IFERROR(VLOOKUP($A206,'Telstra ExDa'!$B$2:$K$310, 8,FALSE), IFERROR(VLOOKUP($A206,'Vocus RVC ExDa'!$C$2:$R$155, 6,FALSE), IFERROR(VLOOKUP($A206,'Fusion ExDa'!$B$2:$D$16, 4,FALSE), IFERROR(VLOOKUP($A206,'Exetel ExDa'!$C$2:$N$14, 3,FALSE), IFERROR(VLOOKUP($A206,'Infinet ExDa'!$B$2:$E$14, 3,FALSE), "Not Found"))))))))</f>
        <v>ABB</v>
      </c>
      <c r="E206" t="str">
        <f>IFERROR(VLOOKUP($A206,'AAPT ExDa'!$B$2:$U$99, 3,FALSE), IFERROR(VLOOKUP($A206,'ABB ExDa'!$A$2:$N$184, 5,FALSE), IFERROR(VLOOKUP($A206,'Vocus SIT ExDa'!$B$2:$J$173, 2,FALSE), IFERROR(VLOOKUP($A206,'Telstra ExDa'!$B$2:$K$310, 4,FALSE), IFERROR(VLOOKUP($A206,'Vocus RVC ExDa'!$C$2:$R$155, 8,FALSE), IFERROR(VLOOKUP($A206,'Fusion ExDa'!$B$2:$D$16, 4,FALSE), IFERROR(VLOOKUP($A206,'Exetel ExDa'!$C$2:$N$14, 5,FALSE), IFERROR(VLOOKUP($A206,'Infinet ExDa'!$B$2:$E$14, 3,FALSE), "Not Found"))))))))</f>
        <v>NBN 25/10</v>
      </c>
      <c r="F206" t="str">
        <f>IFERROR(VLOOKUP($A206,'AAPT ExDa'!$B$2:$U$99, 4,FALSE), IFERROR(VLOOKUP($A206,'ABB ExDa'!$A$2:$N$184, 6,FALSE), IFERROR(VLOOKUP($A206,'Vocus SIT ExDa'!$B$2:$J$173, 3,FALSE), IFERROR(VLOOKUP($A206,'Telstra ExDa'!$B$2:$K$310, 5,FALSE), IFERROR(VLOOKUP($A206,'Vocus RVC ExDa'!$C$2:$R$155, 9,FALSE), IFERROR(VLOOKUP($A206,'Fusion ExDa'!$B$2:$D$16, 0,FALSE), IFERROR(VLOOKUP($A206,'Exetel ExDa'!$C$2:$N$14, 6,FALSE), IFERROR(VLOOKUP($A206,'Infinet ExDa'!$B$2:$E$14, 0,FALSE), "Not Found"))))))))</f>
        <v>FTTN</v>
      </c>
      <c r="G206" t="str">
        <f>IFERROR(VLOOKUP($A206,'AAPT ExDa'!$B$2:$U$99, 5,FALSE), IFERROR(VLOOKUP($A206,'ABB ExDa'!$A$2:$N$184, 8,FALSE), IFERROR(VLOOKUP($A206,'Vocus SIT ExDa'!$B$2:$J$173, 6,FALSE), IFERROR(VLOOKUP($A206,'Telstra ExDa'!$B$2:$K$310, 0,FALSE), IFERROR(VLOOKUP($A206,'Vocus RVC ExDa'!$C$2:$R$155, 15,FALSE), IFERROR(VLOOKUP($A206,'Fusion ExDa'!$B$2:$D$16, 0,FALSE), IFERROR(VLOOKUP($A206,'Exetel ExDa'!$C$2:$N$14, 7,FALSE), IFERROR(VLOOKUP($A206,'Infinet ExDa'!$B$2:$E$14, 0,FALSE), "Not Found"))))))))</f>
        <v>103.94.48.227</v>
      </c>
      <c r="H206" t="str">
        <f>IFERROR(VLOOKUP($A206,'AAPT ExDa'!$B$2:$U$99, 6,FALSE), IFERROR(VLOOKUP($A206,'ABB ExDa'!$A$2:$N$184, 0,FALSE), IFERROR(VLOOKUP($A206,'Vocus SIT ExDa'!$B$2:$J$173, 0,FALSE), IFERROR(VLOOKUP($A206,'Telstra ExDa'!$B$2:$K$310, 0,FALSE), IFERROR(VLOOKUP($A206,'Vocus RVC ExDa'!$C$2:$R$155, 16,FALSE), IFERROR(VLOOKUP($A206,'Fusion ExDa'!$B$2:$D$16, 0,FALSE), IFERROR(VLOOKUP($A206,'Exetel ExDa'!$C$2:$N$14, 0,FALSE), IFERROR(VLOOKUP($A206,'Infinet ExDa'!$B$2:$E$14, 0,FALSE), "Not Found"))))))))</f>
        <v>Not Found</v>
      </c>
      <c r="I206" t="str">
        <f>IFERROR(VLOOKUP($A206,'AAPT ExDa'!$B$2:$U$99, 0,FALSE), IFERROR(VLOOKUP($A206,'ABB ExDa'!$A$2:$N$184, 0,FALSE), IFERROR(VLOOKUP($A206,'Vocus SIT ExDa'!$B$2:$J$173, 0,FALSE), IFERROR(VLOOKUP($A206,'Telstra ExDa'!$B$2:$K$310, 0,FALSE), IFERROR(VLOOKUP($A206,'Vocus RVC ExDa'!$C$2:$R$155, 0,FALSE), IFERROR(VLOOKUP($A206,'Fusion ExDa'!$B$2:$D$16, 0,FALSE), IFERROR(VLOOKUP($A206,'Exetel ExDa'!$C$2:$N$14, 8,FALSE), IFERROR(VLOOKUP($A206,'Infinet ExDa'!$B$2:$E$14, 0,FALSE), "Not Found"))))))))</f>
        <v>Not Found</v>
      </c>
      <c r="J206" t="str">
        <f>IFERROR(VLOOKUP($A206,'AAPT ExDa'!$B$2:$U$99, 7,FALSE), IFERROR(VLOOKUP($A206,'ABB ExDa'!$A$2:$N$184, 2,FALSE), IFERROR(VLOOKUP($A206,'Vocus SIT ExDa'!$B$2:$J$173, 0,FALSE), IFERROR(VLOOKUP($A206,'Telstra ExDa'!$B$2:$K$310, 7,FALSE), IFERROR(VLOOKUP($A206,'Vocus RVC ExDa'!$C$2:$R$155, 2,FALSE), IFERROR(VLOOKUP($A206,'Fusion ExDa'!$B$2:$D$16, 3,FALSE), IFERROR(VLOOKUP($A206,'Exetel ExDa'!$C$2:$N$14, 0,FALSE), IFERROR(VLOOKUP($A206,'Infinet ExDa'!$B$2:$E$14, 0,FALSE), "Not Found"))))))))</f>
        <v>FORRESTFIELD FORUM SHOP 23M, 20 STRELITZIA AV, FORRESTFIELD WA</v>
      </c>
      <c r="K206" t="str">
        <f>IFERROR(VLOOKUP($A206,'AAPT ExDa'!$B$2:$U$99, 12,FALSE), IFERROR(VLOOKUP($A206,'ABB ExDa'!$A$2:$N$184, 0,FALSE), IFERROR(VLOOKUP($A206,'Vocus SIT ExDa'!$B$2:$J$173, 0,FALSE), IFERROR(VLOOKUP($A206,'Telstra ExDa'!$B$2:$K$310, 0,FALSE), IFERROR(VLOOKUP($A206,'Vocus RVC ExDa'!$C$2:$R$155, 0,FALSE), IFERROR(VLOOKUP($A206,'Fusion ExDa'!$B$2:$D$16, 0,FALSE), IFERROR(VLOOKUP($A206,'Exetel ExDa'!$C$2:$N$14, 12,FALSE), IFERROR(VLOOKUP($A206,'Infinet ExDa'!$B$2:$E$14, 0,FALSE), "Not Found"))))))))</f>
        <v>Not Found</v>
      </c>
      <c r="L206" s="235" t="str">
        <f>IFERROR(VLOOKUP($A206,'AAPT ExDa'!$B$2:$U$99, 11,FALSE), IFERROR(VLOOKUP($A206,'ABB ExDa'!$A$2:$N$184, 9,FALSE), IFERROR(VLOOKUP($A206,'Vocus SIT ExDa'!$B$2:$J$173, 8,FALSE), IFERROR(VLOOKUP($A206,'Telstra ExDa'!$B$2:$K$310, 0,FALSE), IFERROR(VLOOKUP($A206,'Vocus RVC ExDa'!$C$2:$R$155, 0,FALSE), IFERROR(VLOOKUP($A206,'Fusion ExDa'!$B$2:$D$16, 0,FALSE), IFERROR(VLOOKUP($A206,'Exetel ExDa'!$C$2:$N$14, 9,FALSE), IFERROR(VLOOKUP($A206,'Infinet ExDa'!$B$2:$E$14, 0,FALSE), "Not Found"))))))))</f>
        <v>30 Sept 2025</v>
      </c>
      <c r="M206" s="234" t="str">
        <f>IFERROR(VLOOKUP($A206,'AAPT ExDa'!$B$2:$U$99, 0,FALSE), IFERROR(VLOOKUP($A206,'ABB ExDa'!$A$2:$N$184, 0,FALSE), IFERROR(VLOOKUP($A206,'Vocus SIT ExDa'!$B$2:$J$173, 0,FALSE), IFERROR(VLOOKUP($A206,'Telstra ExDa'!$B$2:$K$310, 0,FALSE), IFERROR(VLOOKUP($A206,'Vocus RVC ExDa'!$C$2:$R$155, 0,FALSE), IFERROR(VLOOKUP($A206,'Fusion ExDa'!$B$2:$D$16, 0,FALSE), IFERROR(VLOOKUP($A206,'Exetel ExDa'!$C$2:$N$14, 11,FALSE), IFERROR(VLOOKUP($A206,'Infinet ExDa'!$B$2:$E$14, 0,FALSE), "Not Found"))))))))</f>
        <v>Not Found</v>
      </c>
      <c r="N206" t="str">
        <f>IFERROR(VLOOKUP($A206,'AAPT ExDa'!$B$2:$U$99, 0,FALSE), IFERROR(VLOOKUP($A206,'ABB ExDa'!$A$2:$N$184, 13,FALSE), IFERROR(VLOOKUP($A206,'Vocus SIT ExDa'!$B$2:$J$173, 0,FALSE), IFERROR(VLOOKUP($A206,'Telstra ExDa'!$B$2:$K$310, 0,FALSE), IFERROR(VLOOKUP($A206,'Vocus RVC ExDa'!$C$2:$R$155, 0,FALSE), IFERROR(VLOOKUP($A206,'Fusion ExDa'!$B$2:$D$16, 0,FALSE), IFERROR(VLOOKUP($A206,'Exetel ExDa'!$C$2:$N$14, 0,FALSE), IFERROR(VLOOKUP($A206,'Infinet ExDa'!$B$2:$E$14, 0,FALSE), "Not Found"))))))))</f>
        <v>Onebill</v>
      </c>
    </row>
    <row r="207" spans="1:14">
      <c r="A207" t="str">
        <v>Zambrero Gold Coast University Hospital</v>
      </c>
      <c r="B207" t="str">
        <f>IFERROR(VLOOKUP(A207,'Exetel ExDa'!$C$2:$N$14,4,FALSE),"No Data")</f>
        <v>No Data</v>
      </c>
      <c r="C207" t="str">
        <f>IFERROR(VLOOKUP(A207,'AAPT ExDa'!$B$2:$U$99, 2,FALSE), IFERROR(VLOOKUP(A207,'ABB ExDa'!$A$2:$N$184, 2,FALSE), IFERROR(VLOOKUP(A207,'Vocus SIT ExDa'!$B$2:$J$173, 7,FALSE), IFERROR(VLOOKUP(A207,'Telstra ExDa'!$B$2:$K$310, 2,FALSE), IFERROR(VLOOKUP(A207,'Vocus RVC ExDa'!$C$2:$R$155, 3,FALSE), IFERROR(VLOOKUP(A207,'Fusion ExDa'!$B$2:$D$16, 2,FALSE), IFERROR(VLOOKUP(A207,'Exetel ExDa'!$C$2:$N$14, 2,FALSE), IFERROR(VLOOKUP(A207,'Infinet ExDa'!$B$2:$E$14, 2,FALSE), "Not Found"))))))))</f>
        <v>TNCY 8A, 1 HOSPITAL BVD, SOUTHPORT QLD</v>
      </c>
      <c r="D207" t="str">
        <f>IFERROR(VLOOKUP($A207,'AAPT ExDa'!$B$2:$U$99, 15,FALSE), IFERROR(VLOOKUP($A207,'ABB ExDa'!$A$2:$N$184, 4,FALSE), IFERROR(VLOOKUP($A207,'Vocus SIT ExDa'!$B$2:$J$173, 5,FALSE), IFERROR(VLOOKUP($A207,'Telstra ExDa'!$B$2:$K$310, 8,FALSE), IFERROR(VLOOKUP($A207,'Vocus RVC ExDa'!$C$2:$R$155, 6,FALSE), IFERROR(VLOOKUP($A207,'Fusion ExDa'!$B$2:$D$16, 4,FALSE), IFERROR(VLOOKUP($A207,'Exetel ExDa'!$C$2:$N$14, 3,FALSE), IFERROR(VLOOKUP($A207,'Infinet ExDa'!$B$2:$E$14, 3,FALSE), "Not Found"))))))))</f>
        <v>ABB</v>
      </c>
      <c r="E207" t="str">
        <f>IFERROR(VLOOKUP($A207,'AAPT ExDa'!$B$2:$U$99, 3,FALSE), IFERROR(VLOOKUP($A207,'ABB ExDa'!$A$2:$N$184, 5,FALSE), IFERROR(VLOOKUP($A207,'Vocus SIT ExDa'!$B$2:$J$173, 2,FALSE), IFERROR(VLOOKUP($A207,'Telstra ExDa'!$B$2:$K$310, 4,FALSE), IFERROR(VLOOKUP($A207,'Vocus RVC ExDa'!$C$2:$R$155, 8,FALSE), IFERROR(VLOOKUP($A207,'Fusion ExDa'!$B$2:$D$16, 4,FALSE), IFERROR(VLOOKUP($A207,'Exetel ExDa'!$C$2:$N$14, 5,FALSE), IFERROR(VLOOKUP($A207,'Infinet ExDa'!$B$2:$E$14, 3,FALSE), "Not Found"))))))))</f>
        <v>NBN 25/10</v>
      </c>
      <c r="F207" t="str">
        <f>IFERROR(VLOOKUP($A207,'AAPT ExDa'!$B$2:$U$99, 4,FALSE), IFERROR(VLOOKUP($A207,'ABB ExDa'!$A$2:$N$184, 6,FALSE), IFERROR(VLOOKUP($A207,'Vocus SIT ExDa'!$B$2:$J$173, 3,FALSE), IFERROR(VLOOKUP($A207,'Telstra ExDa'!$B$2:$K$310, 5,FALSE), IFERROR(VLOOKUP($A207,'Vocus RVC ExDa'!$C$2:$R$155, 9,FALSE), IFERROR(VLOOKUP($A207,'Fusion ExDa'!$B$2:$D$16, 0,FALSE), IFERROR(VLOOKUP($A207,'Exetel ExDa'!$C$2:$N$14, 6,FALSE), IFERROR(VLOOKUP($A207,'Infinet ExDa'!$B$2:$E$14, 0,FALSE), "Not Found"))))))))</f>
        <v>FTTB</v>
      </c>
      <c r="G207" t="str">
        <f>IFERROR(VLOOKUP($A207,'AAPT ExDa'!$B$2:$U$99, 5,FALSE), IFERROR(VLOOKUP($A207,'ABB ExDa'!$A$2:$N$184, 8,FALSE), IFERROR(VLOOKUP($A207,'Vocus SIT ExDa'!$B$2:$J$173, 6,FALSE), IFERROR(VLOOKUP($A207,'Telstra ExDa'!$B$2:$K$310, 0,FALSE), IFERROR(VLOOKUP($A207,'Vocus RVC ExDa'!$C$2:$R$155, 15,FALSE), IFERROR(VLOOKUP($A207,'Fusion ExDa'!$B$2:$D$16, 0,FALSE), IFERROR(VLOOKUP($A207,'Exetel ExDa'!$C$2:$N$14, 7,FALSE), IFERROR(VLOOKUP($A207,'Infinet ExDa'!$B$2:$E$14, 0,FALSE), "Not Found"))))))))</f>
        <v>144.6.251.121</v>
      </c>
      <c r="H207" t="str">
        <f>IFERROR(VLOOKUP($A207,'AAPT ExDa'!$B$2:$U$99, 6,FALSE), IFERROR(VLOOKUP($A207,'ABB ExDa'!$A$2:$N$184, 0,FALSE), IFERROR(VLOOKUP($A207,'Vocus SIT ExDa'!$B$2:$J$173, 0,FALSE), IFERROR(VLOOKUP($A207,'Telstra ExDa'!$B$2:$K$310, 0,FALSE), IFERROR(VLOOKUP($A207,'Vocus RVC ExDa'!$C$2:$R$155, 16,FALSE), IFERROR(VLOOKUP($A207,'Fusion ExDa'!$B$2:$D$16, 0,FALSE), IFERROR(VLOOKUP($A207,'Exetel ExDa'!$C$2:$N$14, 0,FALSE), IFERROR(VLOOKUP($A207,'Infinet ExDa'!$B$2:$E$14, 0,FALSE), "Not Found"))))))))</f>
        <v>Not Found</v>
      </c>
      <c r="I207" t="str">
        <f>IFERROR(VLOOKUP($A207,'AAPT ExDa'!$B$2:$U$99, 0,FALSE), IFERROR(VLOOKUP($A207,'ABB ExDa'!$A$2:$N$184, 0,FALSE), IFERROR(VLOOKUP($A207,'Vocus SIT ExDa'!$B$2:$J$173, 0,FALSE), IFERROR(VLOOKUP($A207,'Telstra ExDa'!$B$2:$K$310, 0,FALSE), IFERROR(VLOOKUP($A207,'Vocus RVC ExDa'!$C$2:$R$155, 0,FALSE), IFERROR(VLOOKUP($A207,'Fusion ExDa'!$B$2:$D$16, 0,FALSE), IFERROR(VLOOKUP($A207,'Exetel ExDa'!$C$2:$N$14, 8,FALSE), IFERROR(VLOOKUP($A207,'Infinet ExDa'!$B$2:$E$14, 0,FALSE), "Not Found"))))))))</f>
        <v>Not Found</v>
      </c>
      <c r="J207" t="str">
        <f>IFERROR(VLOOKUP($A207,'AAPT ExDa'!$B$2:$U$99, 7,FALSE), IFERROR(VLOOKUP($A207,'ABB ExDa'!$A$2:$N$184, 2,FALSE), IFERROR(VLOOKUP($A207,'Vocus SIT ExDa'!$B$2:$J$173, 0,FALSE), IFERROR(VLOOKUP($A207,'Telstra ExDa'!$B$2:$K$310, 7,FALSE), IFERROR(VLOOKUP($A207,'Vocus RVC ExDa'!$C$2:$R$155, 2,FALSE), IFERROR(VLOOKUP($A207,'Fusion ExDa'!$B$2:$D$16, 3,FALSE), IFERROR(VLOOKUP($A207,'Exetel ExDa'!$C$2:$N$14, 0,FALSE), IFERROR(VLOOKUP($A207,'Infinet ExDa'!$B$2:$E$14, 0,FALSE), "Not Found"))))))))</f>
        <v>TNCY 8A, 1 HOSPITAL BVD, SOUTHPORT QLD</v>
      </c>
      <c r="K207" t="str">
        <f>IFERROR(VLOOKUP($A207,'AAPT ExDa'!$B$2:$U$99, 12,FALSE), IFERROR(VLOOKUP($A207,'ABB ExDa'!$A$2:$N$184, 0,FALSE), IFERROR(VLOOKUP($A207,'Vocus SIT ExDa'!$B$2:$J$173, 0,FALSE), IFERROR(VLOOKUP($A207,'Telstra ExDa'!$B$2:$K$310, 0,FALSE), IFERROR(VLOOKUP($A207,'Vocus RVC ExDa'!$C$2:$R$155, 0,FALSE), IFERROR(VLOOKUP($A207,'Fusion ExDa'!$B$2:$D$16, 0,FALSE), IFERROR(VLOOKUP($A207,'Exetel ExDa'!$C$2:$N$14, 12,FALSE), IFERROR(VLOOKUP($A207,'Infinet ExDa'!$B$2:$E$14, 0,FALSE), "Not Found"))))))))</f>
        <v>Not Found</v>
      </c>
      <c r="L207" s="235" t="str">
        <f>IFERROR(VLOOKUP($A207,'AAPT ExDa'!$B$2:$U$99, 11,FALSE), IFERROR(VLOOKUP($A207,'ABB ExDa'!$A$2:$N$184, 9,FALSE), IFERROR(VLOOKUP($A207,'Vocus SIT ExDa'!$B$2:$J$173, 8,FALSE), IFERROR(VLOOKUP($A207,'Telstra ExDa'!$B$2:$K$310, 0,FALSE), IFERROR(VLOOKUP($A207,'Vocus RVC ExDa'!$C$2:$R$155, 0,FALSE), IFERROR(VLOOKUP($A207,'Fusion ExDa'!$B$2:$D$16, 0,FALSE), IFERROR(VLOOKUP($A207,'Exetel ExDa'!$C$2:$N$14, 9,FALSE), IFERROR(VLOOKUP($A207,'Infinet ExDa'!$B$2:$E$14, 0,FALSE), "Not Found"))))))))</f>
        <v>17 Dec 2024</v>
      </c>
      <c r="M207" s="234" t="str">
        <f>IFERROR(VLOOKUP($A207,'AAPT ExDa'!$B$2:$U$99, 0,FALSE), IFERROR(VLOOKUP($A207,'ABB ExDa'!$A$2:$N$184, 0,FALSE), IFERROR(VLOOKUP($A207,'Vocus SIT ExDa'!$B$2:$J$173, 0,FALSE), IFERROR(VLOOKUP($A207,'Telstra ExDa'!$B$2:$K$310, 0,FALSE), IFERROR(VLOOKUP($A207,'Vocus RVC ExDa'!$C$2:$R$155, 0,FALSE), IFERROR(VLOOKUP($A207,'Fusion ExDa'!$B$2:$D$16, 0,FALSE), IFERROR(VLOOKUP($A207,'Exetel ExDa'!$C$2:$N$14, 11,FALSE), IFERROR(VLOOKUP($A207,'Infinet ExDa'!$B$2:$E$14, 0,FALSE), "Not Found"))))))))</f>
        <v>Not Found</v>
      </c>
      <c r="N207" t="str">
        <f>IFERROR(VLOOKUP($A207,'AAPT ExDa'!$B$2:$U$99, 0,FALSE), IFERROR(VLOOKUP($A207,'ABB ExDa'!$A$2:$N$184, 13,FALSE), IFERROR(VLOOKUP($A207,'Vocus SIT ExDa'!$B$2:$J$173, 0,FALSE), IFERROR(VLOOKUP($A207,'Telstra ExDa'!$B$2:$K$310, 0,FALSE), IFERROR(VLOOKUP($A207,'Vocus RVC ExDa'!$C$2:$R$155, 0,FALSE), IFERROR(VLOOKUP($A207,'Fusion ExDa'!$B$2:$D$16, 0,FALSE), IFERROR(VLOOKUP($A207,'Exetel ExDa'!$C$2:$N$14, 0,FALSE), IFERROR(VLOOKUP($A207,'Infinet ExDa'!$B$2:$E$14, 0,FALSE), "Not Found"))))))))</f>
        <v>Onebill</v>
      </c>
    </row>
    <row r="208" spans="1:14">
      <c r="A208" t="str">
        <v>Zambrero Hawthorn</v>
      </c>
      <c r="B208" t="str">
        <f>IFERROR(VLOOKUP(A208,'Exetel ExDa'!$C$2:$N$14,4,FALSE),"No Data")</f>
        <v>No Data</v>
      </c>
      <c r="C208" t="str">
        <f>IFERROR(VLOOKUP(A208,'AAPT ExDa'!$B$2:$U$99, 2,FALSE), IFERROR(VLOOKUP(A208,'ABB ExDa'!$A$2:$N$184, 2,FALSE), IFERROR(VLOOKUP(A208,'Vocus SIT ExDa'!$B$2:$J$173, 7,FALSE), IFERROR(VLOOKUP(A208,'Telstra ExDa'!$B$2:$K$310, 2,FALSE), IFERROR(VLOOKUP(A208,'Vocus RVC ExDa'!$C$2:$R$155, 3,FALSE), IFERROR(VLOOKUP(A208,'Fusion ExDa'!$B$2:$D$16, 2,FALSE), IFERROR(VLOOKUP(A208,'Exetel ExDa'!$C$2:$N$14, 2,FALSE), IFERROR(VLOOKUP(A208,'Infinet ExDa'!$B$2:$E$14, 2,FALSE), "Not Found"))))))))</f>
        <v>UN 1, 672 GLENFERRIE RD, HAWTHORN VIC</v>
      </c>
      <c r="D208" t="str">
        <f>IFERROR(VLOOKUP($A208,'AAPT ExDa'!$B$2:$U$99, 15,FALSE), IFERROR(VLOOKUP($A208,'ABB ExDa'!$A$2:$N$184, 4,FALSE), IFERROR(VLOOKUP($A208,'Vocus SIT ExDa'!$B$2:$J$173, 5,FALSE), IFERROR(VLOOKUP($A208,'Telstra ExDa'!$B$2:$K$310, 8,FALSE), IFERROR(VLOOKUP($A208,'Vocus RVC ExDa'!$C$2:$R$155, 6,FALSE), IFERROR(VLOOKUP($A208,'Fusion ExDa'!$B$2:$D$16, 4,FALSE), IFERROR(VLOOKUP($A208,'Exetel ExDa'!$C$2:$N$14, 3,FALSE), IFERROR(VLOOKUP($A208,'Infinet ExDa'!$B$2:$E$14, 3,FALSE), "Not Found"))))))))</f>
        <v>ABB</v>
      </c>
      <c r="E208" t="str">
        <f>IFERROR(VLOOKUP($A208,'AAPT ExDa'!$B$2:$U$99, 3,FALSE), IFERROR(VLOOKUP($A208,'ABB ExDa'!$A$2:$N$184, 5,FALSE), IFERROR(VLOOKUP($A208,'Vocus SIT ExDa'!$B$2:$J$173, 2,FALSE), IFERROR(VLOOKUP($A208,'Telstra ExDa'!$B$2:$K$310, 4,FALSE), IFERROR(VLOOKUP($A208,'Vocus RVC ExDa'!$C$2:$R$155, 8,FALSE), IFERROR(VLOOKUP($A208,'Fusion ExDa'!$B$2:$D$16, 4,FALSE), IFERROR(VLOOKUP($A208,'Exetel ExDa'!$C$2:$N$14, 5,FALSE), IFERROR(VLOOKUP($A208,'Infinet ExDa'!$B$2:$E$14, 3,FALSE), "Not Found"))))))))</f>
        <v>NBN 25/10</v>
      </c>
      <c r="F208" t="str">
        <f>IFERROR(VLOOKUP($A208,'AAPT ExDa'!$B$2:$U$99, 4,FALSE), IFERROR(VLOOKUP($A208,'ABB ExDa'!$A$2:$N$184, 6,FALSE), IFERROR(VLOOKUP($A208,'Vocus SIT ExDa'!$B$2:$J$173, 3,FALSE), IFERROR(VLOOKUP($A208,'Telstra ExDa'!$B$2:$K$310, 5,FALSE), IFERROR(VLOOKUP($A208,'Vocus RVC ExDa'!$C$2:$R$155, 9,FALSE), IFERROR(VLOOKUP($A208,'Fusion ExDa'!$B$2:$D$16, 0,FALSE), IFERROR(VLOOKUP($A208,'Exetel ExDa'!$C$2:$N$14, 6,FALSE), IFERROR(VLOOKUP($A208,'Infinet ExDa'!$B$2:$E$14, 0,FALSE), "Not Found"))))))))</f>
        <v>FTTC</v>
      </c>
      <c r="G208" t="str">
        <f>IFERROR(VLOOKUP($A208,'AAPT ExDa'!$B$2:$U$99, 5,FALSE), IFERROR(VLOOKUP($A208,'ABB ExDa'!$A$2:$N$184, 8,FALSE), IFERROR(VLOOKUP($A208,'Vocus SIT ExDa'!$B$2:$J$173, 6,FALSE), IFERROR(VLOOKUP($A208,'Telstra ExDa'!$B$2:$K$310, 0,FALSE), IFERROR(VLOOKUP($A208,'Vocus RVC ExDa'!$C$2:$R$155, 15,FALSE), IFERROR(VLOOKUP($A208,'Fusion ExDa'!$B$2:$D$16, 0,FALSE), IFERROR(VLOOKUP($A208,'Exetel ExDa'!$C$2:$N$14, 7,FALSE), IFERROR(VLOOKUP($A208,'Infinet ExDa'!$B$2:$E$14, 0,FALSE), "Not Found"))))))))</f>
        <v>121.200.28.216</v>
      </c>
      <c r="H208">
        <f>IFERROR(VLOOKUP($A208,'AAPT ExDa'!$B$2:$U$99, 6,FALSE), IFERROR(VLOOKUP($A208,'ABB ExDa'!$A$2:$N$184, 0,FALSE), IFERROR(VLOOKUP($A208,'Vocus SIT ExDa'!$B$2:$J$173, 0,FALSE), IFERROR(VLOOKUP($A208,'Telstra ExDa'!$B$2:$K$310, 0,FALSE), IFERROR(VLOOKUP($A208,'Vocus RVC ExDa'!$C$2:$R$155, 16,FALSE), IFERROR(VLOOKUP($A208,'Fusion ExDa'!$B$2:$D$16, 0,FALSE), IFERROR(VLOOKUP($A208,'Exetel ExDa'!$C$2:$N$14, 0,FALSE), IFERROR(VLOOKUP($A208,'Infinet ExDa'!$B$2:$E$14, 0,FALSE), "Not Found"))))))))</f>
        <v>0</v>
      </c>
      <c r="I208" t="str">
        <f>IFERROR(VLOOKUP($A208,'AAPT ExDa'!$B$2:$U$99, 0,FALSE), IFERROR(VLOOKUP($A208,'ABB ExDa'!$A$2:$N$184, 0,FALSE), IFERROR(VLOOKUP($A208,'Vocus SIT ExDa'!$B$2:$J$173, 0,FALSE), IFERROR(VLOOKUP($A208,'Telstra ExDa'!$B$2:$K$310, 0,FALSE), IFERROR(VLOOKUP($A208,'Vocus RVC ExDa'!$C$2:$R$155, 0,FALSE), IFERROR(VLOOKUP($A208,'Fusion ExDa'!$B$2:$D$16, 0,FALSE), IFERROR(VLOOKUP($A208,'Exetel ExDa'!$C$2:$N$14, 8,FALSE), IFERROR(VLOOKUP($A208,'Infinet ExDa'!$B$2:$E$14, 0,FALSE), "Not Found"))))))))</f>
        <v>Not Found</v>
      </c>
      <c r="J208" t="str">
        <f>IFERROR(VLOOKUP($A208,'AAPT ExDa'!$B$2:$U$99, 7,FALSE), IFERROR(VLOOKUP($A208,'ABB ExDa'!$A$2:$N$184, 2,FALSE), IFERROR(VLOOKUP($A208,'Vocus SIT ExDa'!$B$2:$J$173, 0,FALSE), IFERROR(VLOOKUP($A208,'Telstra ExDa'!$B$2:$K$310, 7,FALSE), IFERROR(VLOOKUP($A208,'Vocus RVC ExDa'!$C$2:$R$155, 2,FALSE), IFERROR(VLOOKUP($A208,'Fusion ExDa'!$B$2:$D$16, 3,FALSE), IFERROR(VLOOKUP($A208,'Exetel ExDa'!$C$2:$N$14, 0,FALSE), IFERROR(VLOOKUP($A208,'Infinet ExDa'!$B$2:$E$14, 0,FALSE), "Not Found"))))))))</f>
        <v>UN 1, 672 GLENFERRIE RD, HAWTHORN VIC</v>
      </c>
      <c r="K208" t="str">
        <f>IFERROR(VLOOKUP($A208,'AAPT ExDa'!$B$2:$U$99, 12,FALSE), IFERROR(VLOOKUP($A208,'ABB ExDa'!$A$2:$N$184, 0,FALSE), IFERROR(VLOOKUP($A208,'Vocus SIT ExDa'!$B$2:$J$173, 0,FALSE), IFERROR(VLOOKUP($A208,'Telstra ExDa'!$B$2:$K$310, 0,FALSE), IFERROR(VLOOKUP($A208,'Vocus RVC ExDa'!$C$2:$R$155, 0,FALSE), IFERROR(VLOOKUP($A208,'Fusion ExDa'!$B$2:$D$16, 0,FALSE), IFERROR(VLOOKUP($A208,'Exetel ExDa'!$C$2:$N$14, 12,FALSE), IFERROR(VLOOKUP($A208,'Infinet ExDa'!$B$2:$E$14, 0,FALSE), "Not Found"))))))))</f>
        <v>Not Found</v>
      </c>
      <c r="L208" s="235" t="str">
        <f>IFERROR(VLOOKUP($A208,'AAPT ExDa'!$B$2:$U$99, 11,FALSE), IFERROR(VLOOKUP($A208,'ABB ExDa'!$A$2:$N$184, 9,FALSE), IFERROR(VLOOKUP($A208,'Vocus SIT ExDa'!$B$2:$J$173, 8,FALSE), IFERROR(VLOOKUP($A208,'Telstra ExDa'!$B$2:$K$310, 0,FALSE), IFERROR(VLOOKUP($A208,'Vocus RVC ExDa'!$C$2:$R$155, 0,FALSE), IFERROR(VLOOKUP($A208,'Fusion ExDa'!$B$2:$D$16, 0,FALSE), IFERROR(VLOOKUP($A208,'Exetel ExDa'!$C$2:$N$14, 9,FALSE), IFERROR(VLOOKUP($A208,'Infinet ExDa'!$B$2:$E$14, 0,FALSE), "Not Found"))))))))</f>
        <v>10 Sept 2024</v>
      </c>
      <c r="M208" s="234" t="str">
        <f>IFERROR(VLOOKUP($A208,'AAPT ExDa'!$B$2:$U$99, 0,FALSE), IFERROR(VLOOKUP($A208,'ABB ExDa'!$A$2:$N$184, 0,FALSE), IFERROR(VLOOKUP($A208,'Vocus SIT ExDa'!$B$2:$J$173, 0,FALSE), IFERROR(VLOOKUP($A208,'Telstra ExDa'!$B$2:$K$310, 0,FALSE), IFERROR(VLOOKUP($A208,'Vocus RVC ExDa'!$C$2:$R$155, 0,FALSE), IFERROR(VLOOKUP($A208,'Fusion ExDa'!$B$2:$D$16, 0,FALSE), IFERROR(VLOOKUP($A208,'Exetel ExDa'!$C$2:$N$14, 11,FALSE), IFERROR(VLOOKUP($A208,'Infinet ExDa'!$B$2:$E$14, 0,FALSE), "Not Found"))))))))</f>
        <v>Not Found</v>
      </c>
      <c r="N208" t="str">
        <f>IFERROR(VLOOKUP($A208,'AAPT ExDa'!$B$2:$U$99, 0,FALSE), IFERROR(VLOOKUP($A208,'ABB ExDa'!$A$2:$N$184, 13,FALSE), IFERROR(VLOOKUP($A208,'Vocus SIT ExDa'!$B$2:$J$173, 0,FALSE), IFERROR(VLOOKUP($A208,'Telstra ExDa'!$B$2:$K$310, 0,FALSE), IFERROR(VLOOKUP($A208,'Vocus RVC ExDa'!$C$2:$R$155, 0,FALSE), IFERROR(VLOOKUP($A208,'Fusion ExDa'!$B$2:$D$16, 0,FALSE), IFERROR(VLOOKUP($A208,'Exetel ExDa'!$C$2:$N$14, 0,FALSE), IFERROR(VLOOKUP($A208,'Infinet ExDa'!$B$2:$E$14, 0,FALSE), "Not Found"))))))))</f>
        <v>Onebill</v>
      </c>
    </row>
    <row r="209" spans="1:14">
      <c r="A209" t="str">
        <v>Zambrero Karratha</v>
      </c>
      <c r="B209" t="str">
        <f>IFERROR(VLOOKUP(A209,'Exetel ExDa'!$C$2:$N$14,4,FALSE),"No Data")</f>
        <v>No Data</v>
      </c>
      <c r="C209" t="str">
        <f>IFERROR(VLOOKUP(A209,'AAPT ExDa'!$B$2:$U$99, 2,FALSE), IFERROR(VLOOKUP(A209,'ABB ExDa'!$A$2:$N$184, 2,FALSE), IFERROR(VLOOKUP(A209,'Vocus SIT ExDa'!$B$2:$J$173, 7,FALSE), IFERROR(VLOOKUP(A209,'Telstra ExDa'!$B$2:$K$310, 2,FALSE), IFERROR(VLOOKUP(A209,'Vocus RVC ExDa'!$C$2:$R$155, 3,FALSE), IFERROR(VLOOKUP(A209,'Fusion ExDa'!$B$2:$D$16, 2,FALSE), IFERROR(VLOOKUP(A209,'Exetel ExDa'!$C$2:$N$14, 2,FALSE), IFERROR(VLOOKUP(A209,'Infinet ExDa'!$B$2:$E$14, 2,FALSE), "Not Found"))))))))</f>
        <v>KARRATHA CITY SHOPPING CENTRE SHOP 1, 16 SHARPE AV, KARRATHA WA</v>
      </c>
      <c r="D209" t="str">
        <f>IFERROR(VLOOKUP($A209,'AAPT ExDa'!$B$2:$U$99, 15,FALSE), IFERROR(VLOOKUP($A209,'ABB ExDa'!$A$2:$N$184, 4,FALSE), IFERROR(VLOOKUP($A209,'Vocus SIT ExDa'!$B$2:$J$173, 5,FALSE), IFERROR(VLOOKUP($A209,'Telstra ExDa'!$B$2:$K$310, 8,FALSE), IFERROR(VLOOKUP($A209,'Vocus RVC ExDa'!$C$2:$R$155, 6,FALSE), IFERROR(VLOOKUP($A209,'Fusion ExDa'!$B$2:$D$16, 4,FALSE), IFERROR(VLOOKUP($A209,'Exetel ExDa'!$C$2:$N$14, 3,FALSE), IFERROR(VLOOKUP($A209,'Infinet ExDa'!$B$2:$E$14, 3,FALSE), "Not Found"))))))))</f>
        <v>ABB</v>
      </c>
      <c r="E209" t="str">
        <f>IFERROR(VLOOKUP($A209,'AAPT ExDa'!$B$2:$U$99, 3,FALSE), IFERROR(VLOOKUP($A209,'ABB ExDa'!$A$2:$N$184, 5,FALSE), IFERROR(VLOOKUP($A209,'Vocus SIT ExDa'!$B$2:$J$173, 2,FALSE), IFERROR(VLOOKUP($A209,'Telstra ExDa'!$B$2:$K$310, 4,FALSE), IFERROR(VLOOKUP($A209,'Vocus RVC ExDa'!$C$2:$R$155, 8,FALSE), IFERROR(VLOOKUP($A209,'Fusion ExDa'!$B$2:$D$16, 4,FALSE), IFERROR(VLOOKUP($A209,'Exetel ExDa'!$C$2:$N$14, 5,FALSE), IFERROR(VLOOKUP($A209,'Infinet ExDa'!$B$2:$E$14, 3,FALSE), "Not Found"))))))))</f>
        <v>NBN 25/10</v>
      </c>
      <c r="F209" t="str">
        <f>IFERROR(VLOOKUP($A209,'AAPT ExDa'!$B$2:$U$99, 4,FALSE), IFERROR(VLOOKUP($A209,'ABB ExDa'!$A$2:$N$184, 6,FALSE), IFERROR(VLOOKUP($A209,'Vocus SIT ExDa'!$B$2:$J$173, 3,FALSE), IFERROR(VLOOKUP($A209,'Telstra ExDa'!$B$2:$K$310, 5,FALSE), IFERROR(VLOOKUP($A209,'Vocus RVC ExDa'!$C$2:$R$155, 9,FALSE), IFERROR(VLOOKUP($A209,'Fusion ExDa'!$B$2:$D$16, 0,FALSE), IFERROR(VLOOKUP($A209,'Exetel ExDa'!$C$2:$N$14, 6,FALSE), IFERROR(VLOOKUP($A209,'Infinet ExDa'!$B$2:$E$14, 0,FALSE), "Not Found"))))))))</f>
        <v>FTTN</v>
      </c>
      <c r="G209" t="str">
        <f>IFERROR(VLOOKUP($A209,'AAPT ExDa'!$B$2:$U$99, 5,FALSE), IFERROR(VLOOKUP($A209,'ABB ExDa'!$A$2:$N$184, 8,FALSE), IFERROR(VLOOKUP($A209,'Vocus SIT ExDa'!$B$2:$J$173, 6,FALSE), IFERROR(VLOOKUP($A209,'Telstra ExDa'!$B$2:$K$310, 0,FALSE), IFERROR(VLOOKUP($A209,'Vocus RVC ExDa'!$C$2:$R$155, 15,FALSE), IFERROR(VLOOKUP($A209,'Fusion ExDa'!$B$2:$D$16, 0,FALSE), IFERROR(VLOOKUP($A209,'Exetel ExDa'!$C$2:$N$14, 7,FALSE), IFERROR(VLOOKUP($A209,'Infinet ExDa'!$B$2:$E$14, 0,FALSE), "Not Found"))))))))</f>
        <v>144.6.158.89</v>
      </c>
      <c r="H209">
        <f>IFERROR(VLOOKUP($A209,'AAPT ExDa'!$B$2:$U$99, 6,FALSE), IFERROR(VLOOKUP($A209,'ABB ExDa'!$A$2:$N$184, 0,FALSE), IFERROR(VLOOKUP($A209,'Vocus SIT ExDa'!$B$2:$J$173, 0,FALSE), IFERROR(VLOOKUP($A209,'Telstra ExDa'!$B$2:$K$310, 0,FALSE), IFERROR(VLOOKUP($A209,'Vocus RVC ExDa'!$C$2:$R$155, 16,FALSE), IFERROR(VLOOKUP($A209,'Fusion ExDa'!$B$2:$D$16, 0,FALSE), IFERROR(VLOOKUP($A209,'Exetel ExDa'!$C$2:$N$14, 0,FALSE), IFERROR(VLOOKUP($A209,'Infinet ExDa'!$B$2:$E$14, 0,FALSE), "Not Found"))))))))</f>
        <v>0</v>
      </c>
      <c r="I209" t="str">
        <f>IFERROR(VLOOKUP($A209,'AAPT ExDa'!$B$2:$U$99, 0,FALSE), IFERROR(VLOOKUP($A209,'ABB ExDa'!$A$2:$N$184, 0,FALSE), IFERROR(VLOOKUP($A209,'Vocus SIT ExDa'!$B$2:$J$173, 0,FALSE), IFERROR(VLOOKUP($A209,'Telstra ExDa'!$B$2:$K$310, 0,FALSE), IFERROR(VLOOKUP($A209,'Vocus RVC ExDa'!$C$2:$R$155, 0,FALSE), IFERROR(VLOOKUP($A209,'Fusion ExDa'!$B$2:$D$16, 0,FALSE), IFERROR(VLOOKUP($A209,'Exetel ExDa'!$C$2:$N$14, 8,FALSE), IFERROR(VLOOKUP($A209,'Infinet ExDa'!$B$2:$E$14, 0,FALSE), "Not Found"))))))))</f>
        <v>Not Found</v>
      </c>
      <c r="J209" t="str">
        <f>IFERROR(VLOOKUP($A209,'AAPT ExDa'!$B$2:$U$99, 7,FALSE), IFERROR(VLOOKUP($A209,'ABB ExDa'!$A$2:$N$184, 2,FALSE), IFERROR(VLOOKUP($A209,'Vocus SIT ExDa'!$B$2:$J$173, 0,FALSE), IFERROR(VLOOKUP($A209,'Telstra ExDa'!$B$2:$K$310, 7,FALSE), IFERROR(VLOOKUP($A209,'Vocus RVC ExDa'!$C$2:$R$155, 2,FALSE), IFERROR(VLOOKUP($A209,'Fusion ExDa'!$B$2:$D$16, 3,FALSE), IFERROR(VLOOKUP($A209,'Exetel ExDa'!$C$2:$N$14, 0,FALSE), IFERROR(VLOOKUP($A209,'Infinet ExDa'!$B$2:$E$14, 0,FALSE), "Not Found"))))))))</f>
        <v>KARRATHA CITY SHOPPING CENTRE SHOP 1, 16 SHARPE AV, KARRATHA WA</v>
      </c>
      <c r="K209" t="str">
        <f>IFERROR(VLOOKUP($A209,'AAPT ExDa'!$B$2:$U$99, 12,FALSE), IFERROR(VLOOKUP($A209,'ABB ExDa'!$A$2:$N$184, 0,FALSE), IFERROR(VLOOKUP($A209,'Vocus SIT ExDa'!$B$2:$J$173, 0,FALSE), IFERROR(VLOOKUP($A209,'Telstra ExDa'!$B$2:$K$310, 0,FALSE), IFERROR(VLOOKUP($A209,'Vocus RVC ExDa'!$C$2:$R$155, 0,FALSE), IFERROR(VLOOKUP($A209,'Fusion ExDa'!$B$2:$D$16, 0,FALSE), IFERROR(VLOOKUP($A209,'Exetel ExDa'!$C$2:$N$14, 12,FALSE), IFERROR(VLOOKUP($A209,'Infinet ExDa'!$B$2:$E$14, 0,FALSE), "Not Found"))))))))</f>
        <v>Not Found</v>
      </c>
      <c r="L209" s="235" t="str">
        <f>IFERROR(VLOOKUP($A209,'AAPT ExDa'!$B$2:$U$99, 11,FALSE), IFERROR(VLOOKUP($A209,'ABB ExDa'!$A$2:$N$184, 9,FALSE), IFERROR(VLOOKUP($A209,'Vocus SIT ExDa'!$B$2:$J$173, 8,FALSE), IFERROR(VLOOKUP($A209,'Telstra ExDa'!$B$2:$K$310, 0,FALSE), IFERROR(VLOOKUP($A209,'Vocus RVC ExDa'!$C$2:$R$155, 0,FALSE), IFERROR(VLOOKUP($A209,'Fusion ExDa'!$B$2:$D$16, 0,FALSE), IFERROR(VLOOKUP($A209,'Exetel ExDa'!$C$2:$N$14, 9,FALSE), IFERROR(VLOOKUP($A209,'Infinet ExDa'!$B$2:$E$14, 0,FALSE), "Not Found"))))))))</f>
        <v>15 Sept 2025</v>
      </c>
      <c r="M209" s="234" t="str">
        <f>IFERROR(VLOOKUP($A209,'AAPT ExDa'!$B$2:$U$99, 0,FALSE), IFERROR(VLOOKUP($A209,'ABB ExDa'!$A$2:$N$184, 0,FALSE), IFERROR(VLOOKUP($A209,'Vocus SIT ExDa'!$B$2:$J$173, 0,FALSE), IFERROR(VLOOKUP($A209,'Telstra ExDa'!$B$2:$K$310, 0,FALSE), IFERROR(VLOOKUP($A209,'Vocus RVC ExDa'!$C$2:$R$155, 0,FALSE), IFERROR(VLOOKUP($A209,'Fusion ExDa'!$B$2:$D$16, 0,FALSE), IFERROR(VLOOKUP($A209,'Exetel ExDa'!$C$2:$N$14, 11,FALSE), IFERROR(VLOOKUP($A209,'Infinet ExDa'!$B$2:$E$14, 0,FALSE), "Not Found"))))))))</f>
        <v>Not Found</v>
      </c>
      <c r="N209" t="str">
        <f>IFERROR(VLOOKUP($A209,'AAPT ExDa'!$B$2:$U$99, 0,FALSE), IFERROR(VLOOKUP($A209,'ABB ExDa'!$A$2:$N$184, 13,FALSE), IFERROR(VLOOKUP($A209,'Vocus SIT ExDa'!$B$2:$J$173, 0,FALSE), IFERROR(VLOOKUP($A209,'Telstra ExDa'!$B$2:$K$310, 0,FALSE), IFERROR(VLOOKUP($A209,'Vocus RVC ExDa'!$C$2:$R$155, 0,FALSE), IFERROR(VLOOKUP($A209,'Fusion ExDa'!$B$2:$D$16, 0,FALSE), IFERROR(VLOOKUP($A209,'Exetel ExDa'!$C$2:$N$14, 0,FALSE), IFERROR(VLOOKUP($A209,'Infinet ExDa'!$B$2:$E$14, 0,FALSE), "Not Found"))))))))</f>
        <v>Onebill</v>
      </c>
    </row>
    <row r="210" spans="1:14">
      <c r="A210" t="str">
        <v>Zambrero Keilor Downs</v>
      </c>
      <c r="B210" t="str">
        <f>IFERROR(VLOOKUP(A210,'Exetel ExDa'!$C$2:$N$14,4,FALSE),"No Data")</f>
        <v>No Data</v>
      </c>
      <c r="C210" t="str">
        <f>IFERROR(VLOOKUP(A210,'AAPT ExDa'!$B$2:$U$99, 2,FALSE), IFERROR(VLOOKUP(A210,'ABB ExDa'!$A$2:$N$184, 2,FALSE), IFERROR(VLOOKUP(A210,'Vocus SIT ExDa'!$B$2:$J$173, 7,FALSE), IFERROR(VLOOKUP(A210,'Telstra ExDa'!$B$2:$K$310, 2,FALSE), IFERROR(VLOOKUP(A210,'Vocus RVC ExDa'!$C$2:$R$155, 3,FALSE), IFERROR(VLOOKUP(A210,'Fusion ExDa'!$B$2:$D$16, 2,FALSE), IFERROR(VLOOKUP(A210,'Exetel ExDa'!$C$2:$N$14, 2,FALSE), IFERROR(VLOOKUP(A210,'Infinet ExDa'!$B$2:$E$14, 2,FALSE), "Not Found"))))))))</f>
        <v>SHOP G-038, 80 TAYLORS RD, KEILOR DOWNS VIC</v>
      </c>
      <c r="D210" t="str">
        <f>IFERROR(VLOOKUP($A210,'AAPT ExDa'!$B$2:$U$99, 15,FALSE), IFERROR(VLOOKUP($A210,'ABB ExDa'!$A$2:$N$184, 4,FALSE), IFERROR(VLOOKUP($A210,'Vocus SIT ExDa'!$B$2:$J$173, 5,FALSE), IFERROR(VLOOKUP($A210,'Telstra ExDa'!$B$2:$K$310, 8,FALSE), IFERROR(VLOOKUP($A210,'Vocus RVC ExDa'!$C$2:$R$155, 6,FALSE), IFERROR(VLOOKUP($A210,'Fusion ExDa'!$B$2:$D$16, 4,FALSE), IFERROR(VLOOKUP($A210,'Exetel ExDa'!$C$2:$N$14, 3,FALSE), IFERROR(VLOOKUP($A210,'Infinet ExDa'!$B$2:$E$14, 3,FALSE), "Not Found"))))))))</f>
        <v>ABB</v>
      </c>
      <c r="E210" t="str">
        <f>IFERROR(VLOOKUP($A210,'AAPT ExDa'!$B$2:$U$99, 3,FALSE), IFERROR(VLOOKUP($A210,'ABB ExDa'!$A$2:$N$184, 5,FALSE), IFERROR(VLOOKUP($A210,'Vocus SIT ExDa'!$B$2:$J$173, 2,FALSE), IFERROR(VLOOKUP($A210,'Telstra ExDa'!$B$2:$K$310, 4,FALSE), IFERROR(VLOOKUP($A210,'Vocus RVC ExDa'!$C$2:$R$155, 8,FALSE), IFERROR(VLOOKUP($A210,'Fusion ExDa'!$B$2:$D$16, 4,FALSE), IFERROR(VLOOKUP($A210,'Exetel ExDa'!$C$2:$N$14, 5,FALSE), IFERROR(VLOOKUP($A210,'Infinet ExDa'!$B$2:$E$14, 3,FALSE), "Not Found"))))))))</f>
        <v>NBN 25/10</v>
      </c>
      <c r="F210" t="str">
        <f>IFERROR(VLOOKUP($A210,'AAPT ExDa'!$B$2:$U$99, 4,FALSE), IFERROR(VLOOKUP($A210,'ABB ExDa'!$A$2:$N$184, 6,FALSE), IFERROR(VLOOKUP($A210,'Vocus SIT ExDa'!$B$2:$J$173, 3,FALSE), IFERROR(VLOOKUP($A210,'Telstra ExDa'!$B$2:$K$310, 5,FALSE), IFERROR(VLOOKUP($A210,'Vocus RVC ExDa'!$C$2:$R$155, 9,FALSE), IFERROR(VLOOKUP($A210,'Fusion ExDa'!$B$2:$D$16, 0,FALSE), IFERROR(VLOOKUP($A210,'Exetel ExDa'!$C$2:$N$14, 6,FALSE), IFERROR(VLOOKUP($A210,'Infinet ExDa'!$B$2:$E$14, 0,FALSE), "Not Found"))))))))</f>
        <v>FTTB</v>
      </c>
      <c r="G210" t="str">
        <f>IFERROR(VLOOKUP($A210,'AAPT ExDa'!$B$2:$U$99, 5,FALSE), IFERROR(VLOOKUP($A210,'ABB ExDa'!$A$2:$N$184, 8,FALSE), IFERROR(VLOOKUP($A210,'Vocus SIT ExDa'!$B$2:$J$173, 6,FALSE), IFERROR(VLOOKUP($A210,'Telstra ExDa'!$B$2:$K$310, 0,FALSE), IFERROR(VLOOKUP($A210,'Vocus RVC ExDa'!$C$2:$R$155, 15,FALSE), IFERROR(VLOOKUP($A210,'Fusion ExDa'!$B$2:$D$16, 0,FALSE), IFERROR(VLOOKUP($A210,'Exetel ExDa'!$C$2:$N$14, 7,FALSE), IFERROR(VLOOKUP($A210,'Infinet ExDa'!$B$2:$E$14, 0,FALSE), "Not Found"))))))))</f>
        <v>144.6.190.31</v>
      </c>
      <c r="H210">
        <f>IFERROR(VLOOKUP($A210,'AAPT ExDa'!$B$2:$U$99, 6,FALSE), IFERROR(VLOOKUP($A210,'ABB ExDa'!$A$2:$N$184, 0,FALSE), IFERROR(VLOOKUP($A210,'Vocus SIT ExDa'!$B$2:$J$173, 0,FALSE), IFERROR(VLOOKUP($A210,'Telstra ExDa'!$B$2:$K$310, 0,FALSE), IFERROR(VLOOKUP($A210,'Vocus RVC ExDa'!$C$2:$R$155, 16,FALSE), IFERROR(VLOOKUP($A210,'Fusion ExDa'!$B$2:$D$16, 0,FALSE), IFERROR(VLOOKUP($A210,'Exetel ExDa'!$C$2:$N$14, 0,FALSE), IFERROR(VLOOKUP($A210,'Infinet ExDa'!$B$2:$E$14, 0,FALSE), "Not Found"))))))))</f>
        <v>0</v>
      </c>
      <c r="I210" t="str">
        <f>IFERROR(VLOOKUP($A210,'AAPT ExDa'!$B$2:$U$99, 0,FALSE), IFERROR(VLOOKUP($A210,'ABB ExDa'!$A$2:$N$184, 0,FALSE), IFERROR(VLOOKUP($A210,'Vocus SIT ExDa'!$B$2:$J$173, 0,FALSE), IFERROR(VLOOKUP($A210,'Telstra ExDa'!$B$2:$K$310, 0,FALSE), IFERROR(VLOOKUP($A210,'Vocus RVC ExDa'!$C$2:$R$155, 0,FALSE), IFERROR(VLOOKUP($A210,'Fusion ExDa'!$B$2:$D$16, 0,FALSE), IFERROR(VLOOKUP($A210,'Exetel ExDa'!$C$2:$N$14, 8,FALSE), IFERROR(VLOOKUP($A210,'Infinet ExDa'!$B$2:$E$14, 0,FALSE), "Not Found"))))))))</f>
        <v>Not Found</v>
      </c>
      <c r="J210" t="str">
        <f>IFERROR(VLOOKUP($A210,'AAPT ExDa'!$B$2:$U$99, 7,FALSE), IFERROR(VLOOKUP($A210,'ABB ExDa'!$A$2:$N$184, 2,FALSE), IFERROR(VLOOKUP($A210,'Vocus SIT ExDa'!$B$2:$J$173, 0,FALSE), IFERROR(VLOOKUP($A210,'Telstra ExDa'!$B$2:$K$310, 7,FALSE), IFERROR(VLOOKUP($A210,'Vocus RVC ExDa'!$C$2:$R$155, 2,FALSE), IFERROR(VLOOKUP($A210,'Fusion ExDa'!$B$2:$D$16, 3,FALSE), IFERROR(VLOOKUP($A210,'Exetel ExDa'!$C$2:$N$14, 0,FALSE), IFERROR(VLOOKUP($A210,'Infinet ExDa'!$B$2:$E$14, 0,FALSE), "Not Found"))))))))</f>
        <v>SHOP G-038, 80 TAYLORS RD, KEILOR DOWNS VIC</v>
      </c>
      <c r="K210" t="str">
        <f>IFERROR(VLOOKUP($A210,'AAPT ExDa'!$B$2:$U$99, 12,FALSE), IFERROR(VLOOKUP($A210,'ABB ExDa'!$A$2:$N$184, 0,FALSE), IFERROR(VLOOKUP($A210,'Vocus SIT ExDa'!$B$2:$J$173, 0,FALSE), IFERROR(VLOOKUP($A210,'Telstra ExDa'!$B$2:$K$310, 0,FALSE), IFERROR(VLOOKUP($A210,'Vocus RVC ExDa'!$C$2:$R$155, 0,FALSE), IFERROR(VLOOKUP($A210,'Fusion ExDa'!$B$2:$D$16, 0,FALSE), IFERROR(VLOOKUP($A210,'Exetel ExDa'!$C$2:$N$14, 12,FALSE), IFERROR(VLOOKUP($A210,'Infinet ExDa'!$B$2:$E$14, 0,FALSE), "Not Found"))))))))</f>
        <v>Not Found</v>
      </c>
      <c r="L210" s="235" t="str">
        <f>IFERROR(VLOOKUP($A210,'AAPT ExDa'!$B$2:$U$99, 11,FALSE), IFERROR(VLOOKUP($A210,'ABB ExDa'!$A$2:$N$184, 9,FALSE), IFERROR(VLOOKUP($A210,'Vocus SIT ExDa'!$B$2:$J$173, 8,FALSE), IFERROR(VLOOKUP($A210,'Telstra ExDa'!$B$2:$K$310, 0,FALSE), IFERROR(VLOOKUP($A210,'Vocus RVC ExDa'!$C$2:$R$155, 0,FALSE), IFERROR(VLOOKUP($A210,'Fusion ExDa'!$B$2:$D$16, 0,FALSE), IFERROR(VLOOKUP($A210,'Exetel ExDa'!$C$2:$N$14, 9,FALSE), IFERROR(VLOOKUP($A210,'Infinet ExDa'!$B$2:$E$14, 0,FALSE), "Not Found"))))))))</f>
        <v>05 May 2025</v>
      </c>
      <c r="M210" s="234" t="str">
        <f>IFERROR(VLOOKUP($A210,'AAPT ExDa'!$B$2:$U$99, 0,FALSE), IFERROR(VLOOKUP($A210,'ABB ExDa'!$A$2:$N$184, 0,FALSE), IFERROR(VLOOKUP($A210,'Vocus SIT ExDa'!$B$2:$J$173, 0,FALSE), IFERROR(VLOOKUP($A210,'Telstra ExDa'!$B$2:$K$310, 0,FALSE), IFERROR(VLOOKUP($A210,'Vocus RVC ExDa'!$C$2:$R$155, 0,FALSE), IFERROR(VLOOKUP($A210,'Fusion ExDa'!$B$2:$D$16, 0,FALSE), IFERROR(VLOOKUP($A210,'Exetel ExDa'!$C$2:$N$14, 11,FALSE), IFERROR(VLOOKUP($A210,'Infinet ExDa'!$B$2:$E$14, 0,FALSE), "Not Found"))))))))</f>
        <v>Not Found</v>
      </c>
      <c r="N210" t="str">
        <f>IFERROR(VLOOKUP($A210,'AAPT ExDa'!$B$2:$U$99, 0,FALSE), IFERROR(VLOOKUP($A210,'ABB ExDa'!$A$2:$N$184, 13,FALSE), IFERROR(VLOOKUP($A210,'Vocus SIT ExDa'!$B$2:$J$173, 0,FALSE), IFERROR(VLOOKUP($A210,'Telstra ExDa'!$B$2:$K$310, 0,FALSE), IFERROR(VLOOKUP($A210,'Vocus RVC ExDa'!$C$2:$R$155, 0,FALSE), IFERROR(VLOOKUP($A210,'Fusion ExDa'!$B$2:$D$16, 0,FALSE), IFERROR(VLOOKUP($A210,'Exetel ExDa'!$C$2:$N$14, 0,FALSE), IFERROR(VLOOKUP($A210,'Infinet ExDa'!$B$2:$E$14, 0,FALSE), "Not Found"))))))))</f>
        <v>Onebill</v>
      </c>
    </row>
    <row r="211" spans="1:14">
      <c r="A211" t="str">
        <v>Zambrero Malvern</v>
      </c>
      <c r="B211" t="str">
        <f>IFERROR(VLOOKUP(A211,'Exetel ExDa'!$C$2:$N$14,4,FALSE),"No Data")</f>
        <v>No Data</v>
      </c>
      <c r="C211" t="str">
        <f>IFERROR(VLOOKUP(A211,'AAPT ExDa'!$B$2:$U$99, 2,FALSE), IFERROR(VLOOKUP(A211,'ABB ExDa'!$A$2:$N$184, 2,FALSE), IFERROR(VLOOKUP(A211,'Vocus SIT ExDa'!$B$2:$J$173, 7,FALSE), IFERROR(VLOOKUP(A211,'Telstra ExDa'!$B$2:$K$310, 2,FALSE), IFERROR(VLOOKUP(A211,'Vocus RVC ExDa'!$C$2:$R$155, 3,FALSE), IFERROR(VLOOKUP(A211,'Fusion ExDa'!$B$2:$D$16, 2,FALSE), IFERROR(VLOOKUP(A211,'Exetel ExDa'!$C$2:$N$14, 2,FALSE), IFERROR(VLOOKUP(A211,'Infinet ExDa'!$B$2:$E$14, 2,FALSE), "Not Found"))))))))</f>
        <v>206 GLENFERRIE RD, MALVERN VIC</v>
      </c>
      <c r="D211" t="str">
        <f>IFERROR(VLOOKUP($A211,'AAPT ExDa'!$B$2:$U$99, 15,FALSE), IFERROR(VLOOKUP($A211,'ABB ExDa'!$A$2:$N$184, 4,FALSE), IFERROR(VLOOKUP($A211,'Vocus SIT ExDa'!$B$2:$J$173, 5,FALSE), IFERROR(VLOOKUP($A211,'Telstra ExDa'!$B$2:$K$310, 8,FALSE), IFERROR(VLOOKUP($A211,'Vocus RVC ExDa'!$C$2:$R$155, 6,FALSE), IFERROR(VLOOKUP($A211,'Fusion ExDa'!$B$2:$D$16, 4,FALSE), IFERROR(VLOOKUP($A211,'Exetel ExDa'!$C$2:$N$14, 3,FALSE), IFERROR(VLOOKUP($A211,'Infinet ExDa'!$B$2:$E$14, 3,FALSE), "Not Found"))))))))</f>
        <v>ABB</v>
      </c>
      <c r="E211" t="str">
        <f>IFERROR(VLOOKUP($A211,'AAPT ExDa'!$B$2:$U$99, 3,FALSE), IFERROR(VLOOKUP($A211,'ABB ExDa'!$A$2:$N$184, 5,FALSE), IFERROR(VLOOKUP($A211,'Vocus SIT ExDa'!$B$2:$J$173, 2,FALSE), IFERROR(VLOOKUP($A211,'Telstra ExDa'!$B$2:$K$310, 4,FALSE), IFERROR(VLOOKUP($A211,'Vocus RVC ExDa'!$C$2:$R$155, 8,FALSE), IFERROR(VLOOKUP($A211,'Fusion ExDa'!$B$2:$D$16, 4,FALSE), IFERROR(VLOOKUP($A211,'Exetel ExDa'!$C$2:$N$14, 5,FALSE), IFERROR(VLOOKUP($A211,'Infinet ExDa'!$B$2:$E$14, 3,FALSE), "Not Found"))))))))</f>
        <v>NBN 25/10</v>
      </c>
      <c r="F211" t="str">
        <f>IFERROR(VLOOKUP($A211,'AAPT ExDa'!$B$2:$U$99, 4,FALSE), IFERROR(VLOOKUP($A211,'ABB ExDa'!$A$2:$N$184, 6,FALSE), IFERROR(VLOOKUP($A211,'Vocus SIT ExDa'!$B$2:$J$173, 3,FALSE), IFERROR(VLOOKUP($A211,'Telstra ExDa'!$B$2:$K$310, 5,FALSE), IFERROR(VLOOKUP($A211,'Vocus RVC ExDa'!$C$2:$R$155, 9,FALSE), IFERROR(VLOOKUP($A211,'Fusion ExDa'!$B$2:$D$16, 0,FALSE), IFERROR(VLOOKUP($A211,'Exetel ExDa'!$C$2:$N$14, 6,FALSE), IFERROR(VLOOKUP($A211,'Infinet ExDa'!$B$2:$E$14, 0,FALSE), "Not Found"))))))))</f>
        <v>HFC</v>
      </c>
      <c r="G211" t="str">
        <f>IFERROR(VLOOKUP($A211,'AAPT ExDa'!$B$2:$U$99, 5,FALSE), IFERROR(VLOOKUP($A211,'ABB ExDa'!$A$2:$N$184, 8,FALSE), IFERROR(VLOOKUP($A211,'Vocus SIT ExDa'!$B$2:$J$173, 6,FALSE), IFERROR(VLOOKUP($A211,'Telstra ExDa'!$B$2:$K$310, 0,FALSE), IFERROR(VLOOKUP($A211,'Vocus RVC ExDa'!$C$2:$R$155, 15,FALSE), IFERROR(VLOOKUP($A211,'Fusion ExDa'!$B$2:$D$16, 0,FALSE), IFERROR(VLOOKUP($A211,'Exetel ExDa'!$C$2:$N$14, 7,FALSE), IFERROR(VLOOKUP($A211,'Infinet ExDa'!$B$2:$E$14, 0,FALSE), "Not Found"))))))))</f>
        <v>144.6.66.78</v>
      </c>
      <c r="H211">
        <f>IFERROR(VLOOKUP($A211,'AAPT ExDa'!$B$2:$U$99, 6,FALSE), IFERROR(VLOOKUP($A211,'ABB ExDa'!$A$2:$N$184, 0,FALSE), IFERROR(VLOOKUP($A211,'Vocus SIT ExDa'!$B$2:$J$173, 0,FALSE), IFERROR(VLOOKUP($A211,'Telstra ExDa'!$B$2:$K$310, 0,FALSE), IFERROR(VLOOKUP($A211,'Vocus RVC ExDa'!$C$2:$R$155, 16,FALSE), IFERROR(VLOOKUP($A211,'Fusion ExDa'!$B$2:$D$16, 0,FALSE), IFERROR(VLOOKUP($A211,'Exetel ExDa'!$C$2:$N$14, 0,FALSE), IFERROR(VLOOKUP($A211,'Infinet ExDa'!$B$2:$E$14, 0,FALSE), "Not Found"))))))))</f>
        <v>0</v>
      </c>
      <c r="I211" t="str">
        <f>IFERROR(VLOOKUP($A211,'AAPT ExDa'!$B$2:$U$99, 0,FALSE), IFERROR(VLOOKUP($A211,'ABB ExDa'!$A$2:$N$184, 0,FALSE), IFERROR(VLOOKUP($A211,'Vocus SIT ExDa'!$B$2:$J$173, 0,FALSE), IFERROR(VLOOKUP($A211,'Telstra ExDa'!$B$2:$K$310, 0,FALSE), IFERROR(VLOOKUP($A211,'Vocus RVC ExDa'!$C$2:$R$155, 0,FALSE), IFERROR(VLOOKUP($A211,'Fusion ExDa'!$B$2:$D$16, 0,FALSE), IFERROR(VLOOKUP($A211,'Exetel ExDa'!$C$2:$N$14, 8,FALSE), IFERROR(VLOOKUP($A211,'Infinet ExDa'!$B$2:$E$14, 0,FALSE), "Not Found"))))))))</f>
        <v>Not Found</v>
      </c>
      <c r="J211" t="str">
        <f>IFERROR(VLOOKUP($A211,'AAPT ExDa'!$B$2:$U$99, 7,FALSE), IFERROR(VLOOKUP($A211,'ABB ExDa'!$A$2:$N$184, 2,FALSE), IFERROR(VLOOKUP($A211,'Vocus SIT ExDa'!$B$2:$J$173, 0,FALSE), IFERROR(VLOOKUP($A211,'Telstra ExDa'!$B$2:$K$310, 7,FALSE), IFERROR(VLOOKUP($A211,'Vocus RVC ExDa'!$C$2:$R$155, 2,FALSE), IFERROR(VLOOKUP($A211,'Fusion ExDa'!$B$2:$D$16, 3,FALSE), IFERROR(VLOOKUP($A211,'Exetel ExDa'!$C$2:$N$14, 0,FALSE), IFERROR(VLOOKUP($A211,'Infinet ExDa'!$B$2:$E$14, 0,FALSE), "Not Found"))))))))</f>
        <v>206 GLENFERRIE RD, MALVERN VIC</v>
      </c>
      <c r="K211" t="str">
        <f>IFERROR(VLOOKUP($A211,'AAPT ExDa'!$B$2:$U$99, 12,FALSE), IFERROR(VLOOKUP($A211,'ABB ExDa'!$A$2:$N$184, 0,FALSE), IFERROR(VLOOKUP($A211,'Vocus SIT ExDa'!$B$2:$J$173, 0,FALSE), IFERROR(VLOOKUP($A211,'Telstra ExDa'!$B$2:$K$310, 0,FALSE), IFERROR(VLOOKUP($A211,'Vocus RVC ExDa'!$C$2:$R$155, 0,FALSE), IFERROR(VLOOKUP($A211,'Fusion ExDa'!$B$2:$D$16, 0,FALSE), IFERROR(VLOOKUP($A211,'Exetel ExDa'!$C$2:$N$14, 12,FALSE), IFERROR(VLOOKUP($A211,'Infinet ExDa'!$B$2:$E$14, 0,FALSE), "Not Found"))))))))</f>
        <v>Not Found</v>
      </c>
      <c r="L211" s="235" t="str">
        <f>IFERROR(VLOOKUP($A211,'AAPT ExDa'!$B$2:$U$99, 11,FALSE), IFERROR(VLOOKUP($A211,'ABB ExDa'!$A$2:$N$184, 9,FALSE), IFERROR(VLOOKUP($A211,'Vocus SIT ExDa'!$B$2:$J$173, 8,FALSE), IFERROR(VLOOKUP($A211,'Telstra ExDa'!$B$2:$K$310, 0,FALSE), IFERROR(VLOOKUP($A211,'Vocus RVC ExDa'!$C$2:$R$155, 0,FALSE), IFERROR(VLOOKUP($A211,'Fusion ExDa'!$B$2:$D$16, 0,FALSE), IFERROR(VLOOKUP($A211,'Exetel ExDa'!$C$2:$N$14, 9,FALSE), IFERROR(VLOOKUP($A211,'Infinet ExDa'!$B$2:$E$14, 0,FALSE), "Not Found"))))))))</f>
        <v>24 May 2024</v>
      </c>
      <c r="M211" s="234" t="str">
        <f>IFERROR(VLOOKUP($A211,'AAPT ExDa'!$B$2:$U$99, 0,FALSE), IFERROR(VLOOKUP($A211,'ABB ExDa'!$A$2:$N$184, 0,FALSE), IFERROR(VLOOKUP($A211,'Vocus SIT ExDa'!$B$2:$J$173, 0,FALSE), IFERROR(VLOOKUP($A211,'Telstra ExDa'!$B$2:$K$310, 0,FALSE), IFERROR(VLOOKUP($A211,'Vocus RVC ExDa'!$C$2:$R$155, 0,FALSE), IFERROR(VLOOKUP($A211,'Fusion ExDa'!$B$2:$D$16, 0,FALSE), IFERROR(VLOOKUP($A211,'Exetel ExDa'!$C$2:$N$14, 11,FALSE), IFERROR(VLOOKUP($A211,'Infinet ExDa'!$B$2:$E$14, 0,FALSE), "Not Found"))))))))</f>
        <v>Not Found</v>
      </c>
      <c r="N211" t="str">
        <f>IFERROR(VLOOKUP($A211,'AAPT ExDa'!$B$2:$U$99, 0,FALSE), IFERROR(VLOOKUP($A211,'ABB ExDa'!$A$2:$N$184, 13,FALSE), IFERROR(VLOOKUP($A211,'Vocus SIT ExDa'!$B$2:$J$173, 0,FALSE), IFERROR(VLOOKUP($A211,'Telstra ExDa'!$B$2:$K$310, 0,FALSE), IFERROR(VLOOKUP($A211,'Vocus RVC ExDa'!$C$2:$R$155, 0,FALSE), IFERROR(VLOOKUP($A211,'Fusion ExDa'!$B$2:$D$16, 0,FALSE), IFERROR(VLOOKUP($A211,'Exetel ExDa'!$C$2:$N$14, 0,FALSE), IFERROR(VLOOKUP($A211,'Infinet ExDa'!$B$2:$E$14, 0,FALSE), "Not Found"))))))))</f>
        <v>Onebill</v>
      </c>
    </row>
    <row r="212" spans="1:14">
      <c r="A212" t="str">
        <v>Zambrero Midland</v>
      </c>
      <c r="B212" t="str">
        <f>IFERROR(VLOOKUP(A212,'Exetel ExDa'!$C$2:$N$14,4,FALSE),"No Data")</f>
        <v>No Data</v>
      </c>
      <c r="C212" t="str">
        <f>IFERROR(VLOOKUP(A212,'AAPT ExDa'!$B$2:$U$99, 2,FALSE), IFERROR(VLOOKUP(A212,'ABB ExDa'!$A$2:$N$184, 2,FALSE), IFERROR(VLOOKUP(A212,'Vocus SIT ExDa'!$B$2:$J$173, 7,FALSE), IFERROR(VLOOKUP(A212,'Telstra ExDa'!$B$2:$K$310, 2,FALSE), IFERROR(VLOOKUP(A212,'Vocus RVC ExDa'!$C$2:$R$155, 3,FALSE), IFERROR(VLOOKUP(A212,'Fusion ExDa'!$B$2:$D$16, 2,FALSE), IFERROR(VLOOKUP(A212,'Exetel ExDa'!$C$2:$N$14, 2,FALSE), IFERROR(VLOOKUP(A212,'Infinet ExDa'!$B$2:$E$14, 2,FALSE), "Not Found"))))))))</f>
        <v>16A LLOYD ST, MIDLAND WA</v>
      </c>
      <c r="D212" t="str">
        <f>IFERROR(VLOOKUP($A212,'AAPT ExDa'!$B$2:$U$99, 15,FALSE), IFERROR(VLOOKUP($A212,'ABB ExDa'!$A$2:$N$184, 4,FALSE), IFERROR(VLOOKUP($A212,'Vocus SIT ExDa'!$B$2:$J$173, 5,FALSE), IFERROR(VLOOKUP($A212,'Telstra ExDa'!$B$2:$K$310, 8,FALSE), IFERROR(VLOOKUP($A212,'Vocus RVC ExDa'!$C$2:$R$155, 6,FALSE), IFERROR(VLOOKUP($A212,'Fusion ExDa'!$B$2:$D$16, 4,FALSE), IFERROR(VLOOKUP($A212,'Exetel ExDa'!$C$2:$N$14, 3,FALSE), IFERROR(VLOOKUP($A212,'Infinet ExDa'!$B$2:$E$14, 3,FALSE), "Not Found"))))))))</f>
        <v>ABB</v>
      </c>
      <c r="E212" t="str">
        <f>IFERROR(VLOOKUP($A212,'AAPT ExDa'!$B$2:$U$99, 3,FALSE), IFERROR(VLOOKUP($A212,'ABB ExDa'!$A$2:$N$184, 5,FALSE), IFERROR(VLOOKUP($A212,'Vocus SIT ExDa'!$B$2:$J$173, 2,FALSE), IFERROR(VLOOKUP($A212,'Telstra ExDa'!$B$2:$K$310, 4,FALSE), IFERROR(VLOOKUP($A212,'Vocus RVC ExDa'!$C$2:$R$155, 8,FALSE), IFERROR(VLOOKUP($A212,'Fusion ExDa'!$B$2:$D$16, 4,FALSE), IFERROR(VLOOKUP($A212,'Exetel ExDa'!$C$2:$N$14, 5,FALSE), IFERROR(VLOOKUP($A212,'Infinet ExDa'!$B$2:$E$14, 3,FALSE), "Not Found"))))))))</f>
        <v>NBN 100/40</v>
      </c>
      <c r="F212" t="str">
        <f>IFERROR(VLOOKUP($A212,'AAPT ExDa'!$B$2:$U$99, 4,FALSE), IFERROR(VLOOKUP($A212,'ABB ExDa'!$A$2:$N$184, 6,FALSE), IFERROR(VLOOKUP($A212,'Vocus SIT ExDa'!$B$2:$J$173, 3,FALSE), IFERROR(VLOOKUP($A212,'Telstra ExDa'!$B$2:$K$310, 5,FALSE), IFERROR(VLOOKUP($A212,'Vocus RVC ExDa'!$C$2:$R$155, 9,FALSE), IFERROR(VLOOKUP($A212,'Fusion ExDa'!$B$2:$D$16, 0,FALSE), IFERROR(VLOOKUP($A212,'Exetel ExDa'!$C$2:$N$14, 6,FALSE), IFERROR(VLOOKUP($A212,'Infinet ExDa'!$B$2:$E$14, 0,FALSE), "Not Found"))))))))</f>
        <v xml:space="preserve">FTTN </v>
      </c>
      <c r="G212" t="str">
        <f>IFERROR(VLOOKUP($A212,'AAPT ExDa'!$B$2:$U$99, 5,FALSE), IFERROR(VLOOKUP($A212,'ABB ExDa'!$A$2:$N$184, 8,FALSE), IFERROR(VLOOKUP($A212,'Vocus SIT ExDa'!$B$2:$J$173, 6,FALSE), IFERROR(VLOOKUP($A212,'Telstra ExDa'!$B$2:$K$310, 0,FALSE), IFERROR(VLOOKUP($A212,'Vocus RVC ExDa'!$C$2:$R$155, 15,FALSE), IFERROR(VLOOKUP($A212,'Fusion ExDa'!$B$2:$D$16, 0,FALSE), IFERROR(VLOOKUP($A212,'Exetel ExDa'!$C$2:$N$14, 7,FALSE), IFERROR(VLOOKUP($A212,'Infinet ExDa'!$B$2:$E$14, 0,FALSE), "Not Found"))))))))</f>
        <v>159.196.80.166</v>
      </c>
      <c r="H212" t="str">
        <f>IFERROR(VLOOKUP($A212,'AAPT ExDa'!$B$2:$U$99, 6,FALSE), IFERROR(VLOOKUP($A212,'ABB ExDa'!$A$2:$N$184, 0,FALSE), IFERROR(VLOOKUP($A212,'Vocus SIT ExDa'!$B$2:$J$173, 0,FALSE), IFERROR(VLOOKUP($A212,'Telstra ExDa'!$B$2:$K$310, 0,FALSE), IFERROR(VLOOKUP($A212,'Vocus RVC ExDa'!$C$2:$R$155, 16,FALSE), IFERROR(VLOOKUP($A212,'Fusion ExDa'!$B$2:$D$16, 0,FALSE), IFERROR(VLOOKUP($A212,'Exetel ExDa'!$C$2:$N$14, 0,FALSE), IFERROR(VLOOKUP($A212,'Infinet ExDa'!$B$2:$E$14, 0,FALSE), "Not Found"))))))))</f>
        <v>Not Found</v>
      </c>
      <c r="I212" t="str">
        <f>IFERROR(VLOOKUP($A212,'AAPT ExDa'!$B$2:$U$99, 0,FALSE), IFERROR(VLOOKUP($A212,'ABB ExDa'!$A$2:$N$184, 0,FALSE), IFERROR(VLOOKUP($A212,'Vocus SIT ExDa'!$B$2:$J$173, 0,FALSE), IFERROR(VLOOKUP($A212,'Telstra ExDa'!$B$2:$K$310, 0,FALSE), IFERROR(VLOOKUP($A212,'Vocus RVC ExDa'!$C$2:$R$155, 0,FALSE), IFERROR(VLOOKUP($A212,'Fusion ExDa'!$B$2:$D$16, 0,FALSE), IFERROR(VLOOKUP($A212,'Exetel ExDa'!$C$2:$N$14, 8,FALSE), IFERROR(VLOOKUP($A212,'Infinet ExDa'!$B$2:$E$14, 0,FALSE), "Not Found"))))))))</f>
        <v>Not Found</v>
      </c>
      <c r="J212" t="str">
        <f>IFERROR(VLOOKUP($A212,'AAPT ExDa'!$B$2:$U$99, 7,FALSE), IFERROR(VLOOKUP($A212,'ABB ExDa'!$A$2:$N$184, 2,FALSE), IFERROR(VLOOKUP($A212,'Vocus SIT ExDa'!$B$2:$J$173, 0,FALSE), IFERROR(VLOOKUP($A212,'Telstra ExDa'!$B$2:$K$310, 7,FALSE), IFERROR(VLOOKUP($A212,'Vocus RVC ExDa'!$C$2:$R$155, 2,FALSE), IFERROR(VLOOKUP($A212,'Fusion ExDa'!$B$2:$D$16, 3,FALSE), IFERROR(VLOOKUP($A212,'Exetel ExDa'!$C$2:$N$14, 0,FALSE), IFERROR(VLOOKUP($A212,'Infinet ExDa'!$B$2:$E$14, 0,FALSE), "Not Found"))))))))</f>
        <v>16A LLOYD ST, MIDLAND WA</v>
      </c>
      <c r="K212" t="str">
        <f>IFERROR(VLOOKUP($A212,'AAPT ExDa'!$B$2:$U$99, 12,FALSE), IFERROR(VLOOKUP($A212,'ABB ExDa'!$A$2:$N$184, 0,FALSE), IFERROR(VLOOKUP($A212,'Vocus SIT ExDa'!$B$2:$J$173, 0,FALSE), IFERROR(VLOOKUP($A212,'Telstra ExDa'!$B$2:$K$310, 0,FALSE), IFERROR(VLOOKUP($A212,'Vocus RVC ExDa'!$C$2:$R$155, 0,FALSE), IFERROR(VLOOKUP($A212,'Fusion ExDa'!$B$2:$D$16, 0,FALSE), IFERROR(VLOOKUP($A212,'Exetel ExDa'!$C$2:$N$14, 12,FALSE), IFERROR(VLOOKUP($A212,'Infinet ExDa'!$B$2:$E$14, 0,FALSE), "Not Found"))))))))</f>
        <v>Not Found</v>
      </c>
      <c r="L212" s="235" t="str">
        <f>IFERROR(VLOOKUP($A212,'AAPT ExDa'!$B$2:$U$99, 11,FALSE), IFERROR(VLOOKUP($A212,'ABB ExDa'!$A$2:$N$184, 9,FALSE), IFERROR(VLOOKUP($A212,'Vocus SIT ExDa'!$B$2:$J$173, 8,FALSE), IFERROR(VLOOKUP($A212,'Telstra ExDa'!$B$2:$K$310, 0,FALSE), IFERROR(VLOOKUP($A212,'Vocus RVC ExDa'!$C$2:$R$155, 0,FALSE), IFERROR(VLOOKUP($A212,'Fusion ExDa'!$B$2:$D$16, 0,FALSE), IFERROR(VLOOKUP($A212,'Exetel ExDa'!$C$2:$N$14, 9,FALSE), IFERROR(VLOOKUP($A212,'Infinet ExDa'!$B$2:$E$14, 0,FALSE), "Not Found"))))))))</f>
        <v>04 April 2024</v>
      </c>
      <c r="M212" s="234" t="str">
        <f>IFERROR(VLOOKUP($A212,'AAPT ExDa'!$B$2:$U$99, 0,FALSE), IFERROR(VLOOKUP($A212,'ABB ExDa'!$A$2:$N$184, 0,FALSE), IFERROR(VLOOKUP($A212,'Vocus SIT ExDa'!$B$2:$J$173, 0,FALSE), IFERROR(VLOOKUP($A212,'Telstra ExDa'!$B$2:$K$310, 0,FALSE), IFERROR(VLOOKUP($A212,'Vocus RVC ExDa'!$C$2:$R$155, 0,FALSE), IFERROR(VLOOKUP($A212,'Fusion ExDa'!$B$2:$D$16, 0,FALSE), IFERROR(VLOOKUP($A212,'Exetel ExDa'!$C$2:$N$14, 11,FALSE), IFERROR(VLOOKUP($A212,'Infinet ExDa'!$B$2:$E$14, 0,FALSE), "Not Found"))))))))</f>
        <v>Not Found</v>
      </c>
      <c r="N212" t="str">
        <f>IFERROR(VLOOKUP($A212,'AAPT ExDa'!$B$2:$U$99, 0,FALSE), IFERROR(VLOOKUP($A212,'ABB ExDa'!$A$2:$N$184, 13,FALSE), IFERROR(VLOOKUP($A212,'Vocus SIT ExDa'!$B$2:$J$173, 0,FALSE), IFERROR(VLOOKUP($A212,'Telstra ExDa'!$B$2:$K$310, 0,FALSE), IFERROR(VLOOKUP($A212,'Vocus RVC ExDa'!$C$2:$R$155, 0,FALSE), IFERROR(VLOOKUP($A212,'Fusion ExDa'!$B$2:$D$16, 0,FALSE), IFERROR(VLOOKUP($A212,'Exetel ExDa'!$C$2:$N$14, 0,FALSE), IFERROR(VLOOKUP($A212,'Infinet ExDa'!$B$2:$E$14, 0,FALSE), "Not Found"))))))))</f>
        <v>Onebill</v>
      </c>
    </row>
    <row r="213" spans="1:14">
      <c r="A213" t="str">
        <v>Zambrero MINCHINBURY</v>
      </c>
      <c r="B213" t="str">
        <f>IFERROR(VLOOKUP(A213,'Exetel ExDa'!$C$2:$N$14,4,FALSE),"No Data")</f>
        <v>No Data</v>
      </c>
      <c r="C213" t="str">
        <f>IFERROR(VLOOKUP(A213,'AAPT ExDa'!$B$2:$U$99, 2,FALSE), IFERROR(VLOOKUP(A213,'ABB ExDa'!$A$2:$N$184, 2,FALSE), IFERROR(VLOOKUP(A213,'Vocus SIT ExDa'!$B$2:$J$173, 7,FALSE), IFERROR(VLOOKUP(A213,'Telstra ExDa'!$B$2:$K$310, 2,FALSE), IFERROR(VLOOKUP(A213,'Vocus RVC ExDa'!$C$2:$R$155, 3,FALSE), IFERROR(VLOOKUP(A213,'Fusion ExDa'!$B$2:$D$16, 2,FALSE), IFERROR(VLOOKUP(A213,'Exetel ExDa'!$C$2:$N$14, 2,FALSE), IFERROR(VLOOKUP(A213,'Infinet ExDa'!$B$2:$E$14, 2,FALSE), "Not Found"))))))))</f>
        <v>OFFC T17, 11 JOHN HINES AV, MINCHINBURY NSW</v>
      </c>
      <c r="D213" t="str">
        <f>IFERROR(VLOOKUP($A213,'AAPT ExDa'!$B$2:$U$99, 15,FALSE), IFERROR(VLOOKUP($A213,'ABB ExDa'!$A$2:$N$184, 4,FALSE), IFERROR(VLOOKUP($A213,'Vocus SIT ExDa'!$B$2:$J$173, 5,FALSE), IFERROR(VLOOKUP($A213,'Telstra ExDa'!$B$2:$K$310, 8,FALSE), IFERROR(VLOOKUP($A213,'Vocus RVC ExDa'!$C$2:$R$155, 6,FALSE), IFERROR(VLOOKUP($A213,'Fusion ExDa'!$B$2:$D$16, 4,FALSE), IFERROR(VLOOKUP($A213,'Exetel ExDa'!$C$2:$N$14, 3,FALSE), IFERROR(VLOOKUP($A213,'Infinet ExDa'!$B$2:$E$14, 3,FALSE), "Not Found"))))))))</f>
        <v>ABB</v>
      </c>
      <c r="E213" t="str">
        <f>IFERROR(VLOOKUP($A213,'AAPT ExDa'!$B$2:$U$99, 3,FALSE), IFERROR(VLOOKUP($A213,'ABB ExDa'!$A$2:$N$184, 5,FALSE), IFERROR(VLOOKUP($A213,'Vocus SIT ExDa'!$B$2:$J$173, 2,FALSE), IFERROR(VLOOKUP($A213,'Telstra ExDa'!$B$2:$K$310, 4,FALSE), IFERROR(VLOOKUP($A213,'Vocus RVC ExDa'!$C$2:$R$155, 8,FALSE), IFERROR(VLOOKUP($A213,'Fusion ExDa'!$B$2:$D$16, 4,FALSE), IFERROR(VLOOKUP($A213,'Exetel ExDa'!$C$2:$N$14, 5,FALSE), IFERROR(VLOOKUP($A213,'Infinet ExDa'!$B$2:$E$14, 3,FALSE), "Not Found"))))))))</f>
        <v>NBN 25/10</v>
      </c>
      <c r="F213" t="str">
        <f>IFERROR(VLOOKUP($A213,'AAPT ExDa'!$B$2:$U$99, 4,FALSE), IFERROR(VLOOKUP($A213,'ABB ExDa'!$A$2:$N$184, 6,FALSE), IFERROR(VLOOKUP($A213,'Vocus SIT ExDa'!$B$2:$J$173, 3,FALSE), IFERROR(VLOOKUP($A213,'Telstra ExDa'!$B$2:$K$310, 5,FALSE), IFERROR(VLOOKUP($A213,'Vocus RVC ExDa'!$C$2:$R$155, 9,FALSE), IFERROR(VLOOKUP($A213,'Fusion ExDa'!$B$2:$D$16, 0,FALSE), IFERROR(VLOOKUP($A213,'Exetel ExDa'!$C$2:$N$14, 6,FALSE), IFERROR(VLOOKUP($A213,'Infinet ExDa'!$B$2:$E$14, 0,FALSE), "Not Found"))))))))</f>
        <v xml:space="preserve">Fibre </v>
      </c>
      <c r="G213" t="str">
        <f>IFERROR(VLOOKUP($A213,'AAPT ExDa'!$B$2:$U$99, 5,FALSE), IFERROR(VLOOKUP($A213,'ABB ExDa'!$A$2:$N$184, 8,FALSE), IFERROR(VLOOKUP($A213,'Vocus SIT ExDa'!$B$2:$J$173, 6,FALSE), IFERROR(VLOOKUP($A213,'Telstra ExDa'!$B$2:$K$310, 0,FALSE), IFERROR(VLOOKUP($A213,'Vocus RVC ExDa'!$C$2:$R$155, 15,FALSE), IFERROR(VLOOKUP($A213,'Fusion ExDa'!$B$2:$D$16, 0,FALSE), IFERROR(VLOOKUP($A213,'Exetel ExDa'!$C$2:$N$14, 7,FALSE), IFERROR(VLOOKUP($A213,'Infinet ExDa'!$B$2:$E$14, 0,FALSE), "Not Found"))))))))</f>
        <v>144.6.202.189</v>
      </c>
      <c r="H213" t="str">
        <f>IFERROR(VLOOKUP($A213,'AAPT ExDa'!$B$2:$U$99, 6,FALSE), IFERROR(VLOOKUP($A213,'ABB ExDa'!$A$2:$N$184, 0,FALSE), IFERROR(VLOOKUP($A213,'Vocus SIT ExDa'!$B$2:$J$173, 0,FALSE), IFERROR(VLOOKUP($A213,'Telstra ExDa'!$B$2:$K$310, 0,FALSE), IFERROR(VLOOKUP($A213,'Vocus RVC ExDa'!$C$2:$R$155, 16,FALSE), IFERROR(VLOOKUP($A213,'Fusion ExDa'!$B$2:$D$16, 0,FALSE), IFERROR(VLOOKUP($A213,'Exetel ExDa'!$C$2:$N$14, 0,FALSE), IFERROR(VLOOKUP($A213,'Infinet ExDa'!$B$2:$E$14, 0,FALSE), "Not Found"))))))))</f>
        <v>Not Found</v>
      </c>
      <c r="I213" t="str">
        <f>IFERROR(VLOOKUP($A213,'AAPT ExDa'!$B$2:$U$99, 0,FALSE), IFERROR(VLOOKUP($A213,'ABB ExDa'!$A$2:$N$184, 0,FALSE), IFERROR(VLOOKUP($A213,'Vocus SIT ExDa'!$B$2:$J$173, 0,FALSE), IFERROR(VLOOKUP($A213,'Telstra ExDa'!$B$2:$K$310, 0,FALSE), IFERROR(VLOOKUP($A213,'Vocus RVC ExDa'!$C$2:$R$155, 0,FALSE), IFERROR(VLOOKUP($A213,'Fusion ExDa'!$B$2:$D$16, 0,FALSE), IFERROR(VLOOKUP($A213,'Exetel ExDa'!$C$2:$N$14, 8,FALSE), IFERROR(VLOOKUP($A213,'Infinet ExDa'!$B$2:$E$14, 0,FALSE), "Not Found"))))))))</f>
        <v>Not Found</v>
      </c>
      <c r="J213" t="str">
        <f>IFERROR(VLOOKUP($A213,'AAPT ExDa'!$B$2:$U$99, 7,FALSE), IFERROR(VLOOKUP($A213,'ABB ExDa'!$A$2:$N$184, 2,FALSE), IFERROR(VLOOKUP($A213,'Vocus SIT ExDa'!$B$2:$J$173, 0,FALSE), IFERROR(VLOOKUP($A213,'Telstra ExDa'!$B$2:$K$310, 7,FALSE), IFERROR(VLOOKUP($A213,'Vocus RVC ExDa'!$C$2:$R$155, 2,FALSE), IFERROR(VLOOKUP($A213,'Fusion ExDa'!$B$2:$D$16, 3,FALSE), IFERROR(VLOOKUP($A213,'Exetel ExDa'!$C$2:$N$14, 0,FALSE), IFERROR(VLOOKUP($A213,'Infinet ExDa'!$B$2:$E$14, 0,FALSE), "Not Found"))))))))</f>
        <v>OFFC T17, 11 JOHN HINES AV, MINCHINBURY NSW</v>
      </c>
      <c r="K213" t="str">
        <f>IFERROR(VLOOKUP($A213,'AAPT ExDa'!$B$2:$U$99, 12,FALSE), IFERROR(VLOOKUP($A213,'ABB ExDa'!$A$2:$N$184, 0,FALSE), IFERROR(VLOOKUP($A213,'Vocus SIT ExDa'!$B$2:$J$173, 0,FALSE), IFERROR(VLOOKUP($A213,'Telstra ExDa'!$B$2:$K$310, 0,FALSE), IFERROR(VLOOKUP($A213,'Vocus RVC ExDa'!$C$2:$R$155, 0,FALSE), IFERROR(VLOOKUP($A213,'Fusion ExDa'!$B$2:$D$16, 0,FALSE), IFERROR(VLOOKUP($A213,'Exetel ExDa'!$C$2:$N$14, 12,FALSE), IFERROR(VLOOKUP($A213,'Infinet ExDa'!$B$2:$E$14, 0,FALSE), "Not Found"))))))))</f>
        <v>Not Found</v>
      </c>
      <c r="L213" s="235" t="str">
        <f>IFERROR(VLOOKUP($A213,'AAPT ExDa'!$B$2:$U$99, 11,FALSE), IFERROR(VLOOKUP($A213,'ABB ExDa'!$A$2:$N$184, 9,FALSE), IFERROR(VLOOKUP($A213,'Vocus SIT ExDa'!$B$2:$J$173, 8,FALSE), IFERROR(VLOOKUP($A213,'Telstra ExDa'!$B$2:$K$310, 0,FALSE), IFERROR(VLOOKUP($A213,'Vocus RVC ExDa'!$C$2:$R$155, 0,FALSE), IFERROR(VLOOKUP($A213,'Fusion ExDa'!$B$2:$D$16, 0,FALSE), IFERROR(VLOOKUP($A213,'Exetel ExDa'!$C$2:$N$14, 9,FALSE), IFERROR(VLOOKUP($A213,'Infinet ExDa'!$B$2:$E$14, 0,FALSE), "Not Found"))))))))</f>
        <v>30 May 2024</v>
      </c>
      <c r="M213" s="234" t="str">
        <f>IFERROR(VLOOKUP($A213,'AAPT ExDa'!$B$2:$U$99, 0,FALSE), IFERROR(VLOOKUP($A213,'ABB ExDa'!$A$2:$N$184, 0,FALSE), IFERROR(VLOOKUP($A213,'Vocus SIT ExDa'!$B$2:$J$173, 0,FALSE), IFERROR(VLOOKUP($A213,'Telstra ExDa'!$B$2:$K$310, 0,FALSE), IFERROR(VLOOKUP($A213,'Vocus RVC ExDa'!$C$2:$R$155, 0,FALSE), IFERROR(VLOOKUP($A213,'Fusion ExDa'!$B$2:$D$16, 0,FALSE), IFERROR(VLOOKUP($A213,'Exetel ExDa'!$C$2:$N$14, 11,FALSE), IFERROR(VLOOKUP($A213,'Infinet ExDa'!$B$2:$E$14, 0,FALSE), "Not Found"))))))))</f>
        <v>Not Found</v>
      </c>
      <c r="N213" t="str">
        <f>IFERROR(VLOOKUP($A213,'AAPT ExDa'!$B$2:$U$99, 0,FALSE), IFERROR(VLOOKUP($A213,'ABB ExDa'!$A$2:$N$184, 13,FALSE), IFERROR(VLOOKUP($A213,'Vocus SIT ExDa'!$B$2:$J$173, 0,FALSE), IFERROR(VLOOKUP($A213,'Telstra ExDa'!$B$2:$K$310, 0,FALSE), IFERROR(VLOOKUP($A213,'Vocus RVC ExDa'!$C$2:$R$155, 0,FALSE), IFERROR(VLOOKUP($A213,'Fusion ExDa'!$B$2:$D$16, 0,FALSE), IFERROR(VLOOKUP($A213,'Exetel ExDa'!$C$2:$N$14, 0,FALSE), IFERROR(VLOOKUP($A213,'Infinet ExDa'!$B$2:$E$14, 0,FALSE), "Not Found"))))))))</f>
        <v>Onebill</v>
      </c>
    </row>
    <row r="214" spans="1:14">
      <c r="A214" t="str">
        <v>Zambrero Mindarie</v>
      </c>
      <c r="B214" t="str">
        <f>IFERROR(VLOOKUP(A214,'Exetel ExDa'!$C$2:$N$14,4,FALSE),"No Data")</f>
        <v>No Data</v>
      </c>
      <c r="C214" t="str">
        <f>IFERROR(VLOOKUP(A214,'AAPT ExDa'!$B$2:$U$99, 2,FALSE), IFERROR(VLOOKUP(A214,'ABB ExDa'!$A$2:$N$184, 2,FALSE), IFERROR(VLOOKUP(A214,'Vocus SIT ExDa'!$B$2:$J$173, 7,FALSE), IFERROR(VLOOKUP(A214,'Telstra ExDa'!$B$2:$K$310, 2,FALSE), IFERROR(VLOOKUP(A214,'Vocus RVC ExDa'!$C$2:$R$155, 3,FALSE), IFERROR(VLOOKUP(A214,'Fusion ExDa'!$B$2:$D$16, 2,FALSE), IFERROR(VLOOKUP(A214,'Exetel ExDa'!$C$2:$N$14, 2,FALSE), IFERROR(VLOOKUP(A214,'Infinet ExDa'!$B$2:$E$14, 2,FALSE), "Not Found"))))))))</f>
        <v>SHOP 2, 3 BERGEN WAY, MINDARIE WA</v>
      </c>
      <c r="D214" t="str">
        <f>IFERROR(VLOOKUP($A214,'AAPT ExDa'!$B$2:$U$99, 15,FALSE), IFERROR(VLOOKUP($A214,'ABB ExDa'!$A$2:$N$184, 4,FALSE), IFERROR(VLOOKUP($A214,'Vocus SIT ExDa'!$B$2:$J$173, 5,FALSE), IFERROR(VLOOKUP($A214,'Telstra ExDa'!$B$2:$K$310, 8,FALSE), IFERROR(VLOOKUP($A214,'Vocus RVC ExDa'!$C$2:$R$155, 6,FALSE), IFERROR(VLOOKUP($A214,'Fusion ExDa'!$B$2:$D$16, 4,FALSE), IFERROR(VLOOKUP($A214,'Exetel ExDa'!$C$2:$N$14, 3,FALSE), IFERROR(VLOOKUP($A214,'Infinet ExDa'!$B$2:$E$14, 3,FALSE), "Not Found"))))))))</f>
        <v>ABB</v>
      </c>
      <c r="E214" t="str">
        <f>IFERROR(VLOOKUP($A214,'AAPT ExDa'!$B$2:$U$99, 3,FALSE), IFERROR(VLOOKUP($A214,'ABB ExDa'!$A$2:$N$184, 5,FALSE), IFERROR(VLOOKUP($A214,'Vocus SIT ExDa'!$B$2:$J$173, 2,FALSE), IFERROR(VLOOKUP($A214,'Telstra ExDa'!$B$2:$K$310, 4,FALSE), IFERROR(VLOOKUP($A214,'Vocus RVC ExDa'!$C$2:$R$155, 8,FALSE), IFERROR(VLOOKUP($A214,'Fusion ExDa'!$B$2:$D$16, 4,FALSE), IFERROR(VLOOKUP($A214,'Exetel ExDa'!$C$2:$N$14, 5,FALSE), IFERROR(VLOOKUP($A214,'Infinet ExDa'!$B$2:$E$14, 3,FALSE), "Not Found"))))))))</f>
        <v>NBN 100/40</v>
      </c>
      <c r="F214" t="str">
        <f>IFERROR(VLOOKUP($A214,'AAPT ExDa'!$B$2:$U$99, 4,FALSE), IFERROR(VLOOKUP($A214,'ABB ExDa'!$A$2:$N$184, 6,FALSE), IFERROR(VLOOKUP($A214,'Vocus SIT ExDa'!$B$2:$J$173, 3,FALSE), IFERROR(VLOOKUP($A214,'Telstra ExDa'!$B$2:$K$310, 5,FALSE), IFERROR(VLOOKUP($A214,'Vocus RVC ExDa'!$C$2:$R$155, 9,FALSE), IFERROR(VLOOKUP($A214,'Fusion ExDa'!$B$2:$D$16, 0,FALSE), IFERROR(VLOOKUP($A214,'Exetel ExDa'!$C$2:$N$14, 6,FALSE), IFERROR(VLOOKUP($A214,'Infinet ExDa'!$B$2:$E$14, 0,FALSE), "Not Found"))))))))</f>
        <v xml:space="preserve">FTTN </v>
      </c>
      <c r="G214" t="str">
        <f>IFERROR(VLOOKUP($A214,'AAPT ExDa'!$B$2:$U$99, 5,FALSE), IFERROR(VLOOKUP($A214,'ABB ExDa'!$A$2:$N$184, 8,FALSE), IFERROR(VLOOKUP($A214,'Vocus SIT ExDa'!$B$2:$J$173, 6,FALSE), IFERROR(VLOOKUP($A214,'Telstra ExDa'!$B$2:$K$310, 0,FALSE), IFERROR(VLOOKUP($A214,'Vocus RVC ExDa'!$C$2:$R$155, 15,FALSE), IFERROR(VLOOKUP($A214,'Fusion ExDa'!$B$2:$D$16, 0,FALSE), IFERROR(VLOOKUP($A214,'Exetel ExDa'!$C$2:$N$14, 7,FALSE), IFERROR(VLOOKUP($A214,'Infinet ExDa'!$B$2:$E$14, 0,FALSE), "Not Found"))))))))</f>
        <v>144.6.137.54</v>
      </c>
      <c r="H214" t="str">
        <f>IFERROR(VLOOKUP($A214,'AAPT ExDa'!$B$2:$U$99, 6,FALSE), IFERROR(VLOOKUP($A214,'ABB ExDa'!$A$2:$N$184, 0,FALSE), IFERROR(VLOOKUP($A214,'Vocus SIT ExDa'!$B$2:$J$173, 0,FALSE), IFERROR(VLOOKUP($A214,'Telstra ExDa'!$B$2:$K$310, 0,FALSE), IFERROR(VLOOKUP($A214,'Vocus RVC ExDa'!$C$2:$R$155, 16,FALSE), IFERROR(VLOOKUP($A214,'Fusion ExDa'!$B$2:$D$16, 0,FALSE), IFERROR(VLOOKUP($A214,'Exetel ExDa'!$C$2:$N$14, 0,FALSE), IFERROR(VLOOKUP($A214,'Infinet ExDa'!$B$2:$E$14, 0,FALSE), "Not Found"))))))))</f>
        <v>Not Found</v>
      </c>
      <c r="I214" t="str">
        <f>IFERROR(VLOOKUP($A214,'AAPT ExDa'!$B$2:$U$99, 0,FALSE), IFERROR(VLOOKUP($A214,'ABB ExDa'!$A$2:$N$184, 0,FALSE), IFERROR(VLOOKUP($A214,'Vocus SIT ExDa'!$B$2:$J$173, 0,FALSE), IFERROR(VLOOKUP($A214,'Telstra ExDa'!$B$2:$K$310, 0,FALSE), IFERROR(VLOOKUP($A214,'Vocus RVC ExDa'!$C$2:$R$155, 0,FALSE), IFERROR(VLOOKUP($A214,'Fusion ExDa'!$B$2:$D$16, 0,FALSE), IFERROR(VLOOKUP($A214,'Exetel ExDa'!$C$2:$N$14, 8,FALSE), IFERROR(VLOOKUP($A214,'Infinet ExDa'!$B$2:$E$14, 0,FALSE), "Not Found"))))))))</f>
        <v>Not Found</v>
      </c>
      <c r="J214" t="str">
        <f>IFERROR(VLOOKUP($A214,'AAPT ExDa'!$B$2:$U$99, 7,FALSE), IFERROR(VLOOKUP($A214,'ABB ExDa'!$A$2:$N$184, 2,FALSE), IFERROR(VLOOKUP($A214,'Vocus SIT ExDa'!$B$2:$J$173, 0,FALSE), IFERROR(VLOOKUP($A214,'Telstra ExDa'!$B$2:$K$310, 7,FALSE), IFERROR(VLOOKUP($A214,'Vocus RVC ExDa'!$C$2:$R$155, 2,FALSE), IFERROR(VLOOKUP($A214,'Fusion ExDa'!$B$2:$D$16, 3,FALSE), IFERROR(VLOOKUP($A214,'Exetel ExDa'!$C$2:$N$14, 0,FALSE), IFERROR(VLOOKUP($A214,'Infinet ExDa'!$B$2:$E$14, 0,FALSE), "Not Found"))))))))</f>
        <v>SHOP 2, 3 BERGEN WAY, MINDARIE WA</v>
      </c>
      <c r="K214" t="str">
        <f>IFERROR(VLOOKUP($A214,'AAPT ExDa'!$B$2:$U$99, 12,FALSE), IFERROR(VLOOKUP($A214,'ABB ExDa'!$A$2:$N$184, 0,FALSE), IFERROR(VLOOKUP($A214,'Vocus SIT ExDa'!$B$2:$J$173, 0,FALSE), IFERROR(VLOOKUP($A214,'Telstra ExDa'!$B$2:$K$310, 0,FALSE), IFERROR(VLOOKUP($A214,'Vocus RVC ExDa'!$C$2:$R$155, 0,FALSE), IFERROR(VLOOKUP($A214,'Fusion ExDa'!$B$2:$D$16, 0,FALSE), IFERROR(VLOOKUP($A214,'Exetel ExDa'!$C$2:$N$14, 12,FALSE), IFERROR(VLOOKUP($A214,'Infinet ExDa'!$B$2:$E$14, 0,FALSE), "Not Found"))))))))</f>
        <v>Not Found</v>
      </c>
      <c r="L214" s="235" t="str">
        <f>IFERROR(VLOOKUP($A214,'AAPT ExDa'!$B$2:$U$99, 11,FALSE), IFERROR(VLOOKUP($A214,'ABB ExDa'!$A$2:$N$184, 9,FALSE), IFERROR(VLOOKUP($A214,'Vocus SIT ExDa'!$B$2:$J$173, 8,FALSE), IFERROR(VLOOKUP($A214,'Telstra ExDa'!$B$2:$K$310, 0,FALSE), IFERROR(VLOOKUP($A214,'Vocus RVC ExDa'!$C$2:$R$155, 0,FALSE), IFERROR(VLOOKUP($A214,'Fusion ExDa'!$B$2:$D$16, 0,FALSE), IFERROR(VLOOKUP($A214,'Exetel ExDa'!$C$2:$N$14, 9,FALSE), IFERROR(VLOOKUP($A214,'Infinet ExDa'!$B$2:$E$14, 0,FALSE), "Not Found"))))))))</f>
        <v>04 April 2024</v>
      </c>
      <c r="M214" s="234" t="str">
        <f>IFERROR(VLOOKUP($A214,'AAPT ExDa'!$B$2:$U$99, 0,FALSE), IFERROR(VLOOKUP($A214,'ABB ExDa'!$A$2:$N$184, 0,FALSE), IFERROR(VLOOKUP($A214,'Vocus SIT ExDa'!$B$2:$J$173, 0,FALSE), IFERROR(VLOOKUP($A214,'Telstra ExDa'!$B$2:$K$310, 0,FALSE), IFERROR(VLOOKUP($A214,'Vocus RVC ExDa'!$C$2:$R$155, 0,FALSE), IFERROR(VLOOKUP($A214,'Fusion ExDa'!$B$2:$D$16, 0,FALSE), IFERROR(VLOOKUP($A214,'Exetel ExDa'!$C$2:$N$14, 11,FALSE), IFERROR(VLOOKUP($A214,'Infinet ExDa'!$B$2:$E$14, 0,FALSE), "Not Found"))))))))</f>
        <v>Not Found</v>
      </c>
      <c r="N214" t="str">
        <f>IFERROR(VLOOKUP($A214,'AAPT ExDa'!$B$2:$U$99, 0,FALSE), IFERROR(VLOOKUP($A214,'ABB ExDa'!$A$2:$N$184, 13,FALSE), IFERROR(VLOOKUP($A214,'Vocus SIT ExDa'!$B$2:$J$173, 0,FALSE), IFERROR(VLOOKUP($A214,'Telstra ExDa'!$B$2:$K$310, 0,FALSE), IFERROR(VLOOKUP($A214,'Vocus RVC ExDa'!$C$2:$R$155, 0,FALSE), IFERROR(VLOOKUP($A214,'Fusion ExDa'!$B$2:$D$16, 0,FALSE), IFERROR(VLOOKUP($A214,'Exetel ExDa'!$C$2:$N$14, 0,FALSE), IFERROR(VLOOKUP($A214,'Infinet ExDa'!$B$2:$E$14, 0,FALSE), "Not Found"))))))))</f>
        <v>Onebill</v>
      </c>
    </row>
    <row r="215" spans="1:14">
      <c r="A215" t="str">
        <v>Zambrero Mooloolaba</v>
      </c>
      <c r="B215" t="str">
        <f>IFERROR(VLOOKUP(A215,'Exetel ExDa'!$C$2:$N$14,4,FALSE),"No Data")</f>
        <v>No Data</v>
      </c>
      <c r="C215" t="str">
        <f>IFERROR(VLOOKUP(A215,'AAPT ExDa'!$B$2:$U$99, 2,FALSE), IFERROR(VLOOKUP(A215,'ABB ExDa'!$A$2:$N$184, 2,FALSE), IFERROR(VLOOKUP(A215,'Vocus SIT ExDa'!$B$2:$J$173, 7,FALSE), IFERROR(VLOOKUP(A215,'Telstra ExDa'!$B$2:$K$310, 2,FALSE), IFERROR(VLOOKUP(A215,'Vocus RVC ExDa'!$C$2:$R$155, 3,FALSE), IFERROR(VLOOKUP(A215,'Fusion ExDa'!$B$2:$D$16, 2,FALSE), IFERROR(VLOOKUP(A215,'Exetel ExDa'!$C$2:$N$14, 2,FALSE), IFERROR(VLOOKUP(A215,'Infinet ExDa'!$B$2:$E$14, 2,FALSE), "Not Found"))))))))</f>
        <v>SHOP 5, 87 MOOLOOLABA ESP, MOOLOOLABA QLD</v>
      </c>
      <c r="D215" t="str">
        <f>IFERROR(VLOOKUP($A215,'AAPT ExDa'!$B$2:$U$99, 15,FALSE), IFERROR(VLOOKUP($A215,'ABB ExDa'!$A$2:$N$184, 4,FALSE), IFERROR(VLOOKUP($A215,'Vocus SIT ExDa'!$B$2:$J$173, 5,FALSE), IFERROR(VLOOKUP($A215,'Telstra ExDa'!$B$2:$K$310, 8,FALSE), IFERROR(VLOOKUP($A215,'Vocus RVC ExDa'!$C$2:$R$155, 6,FALSE), IFERROR(VLOOKUP($A215,'Fusion ExDa'!$B$2:$D$16, 4,FALSE), IFERROR(VLOOKUP($A215,'Exetel ExDa'!$C$2:$N$14, 3,FALSE), IFERROR(VLOOKUP($A215,'Infinet ExDa'!$B$2:$E$14, 3,FALSE), "Not Found"))))))))</f>
        <v>ABB</v>
      </c>
      <c r="E215" t="str">
        <f>IFERROR(VLOOKUP($A215,'AAPT ExDa'!$B$2:$U$99, 3,FALSE), IFERROR(VLOOKUP($A215,'ABB ExDa'!$A$2:$N$184, 5,FALSE), IFERROR(VLOOKUP($A215,'Vocus SIT ExDa'!$B$2:$J$173, 2,FALSE), IFERROR(VLOOKUP($A215,'Telstra ExDa'!$B$2:$K$310, 4,FALSE), IFERROR(VLOOKUP($A215,'Vocus RVC ExDa'!$C$2:$R$155, 8,FALSE), IFERROR(VLOOKUP($A215,'Fusion ExDa'!$B$2:$D$16, 4,FALSE), IFERROR(VLOOKUP($A215,'Exetel ExDa'!$C$2:$N$14, 5,FALSE), IFERROR(VLOOKUP($A215,'Infinet ExDa'!$B$2:$E$14, 3,FALSE), "Not Found"))))))))</f>
        <v>NBN 25/10</v>
      </c>
      <c r="F215" t="str">
        <f>IFERROR(VLOOKUP($A215,'AAPT ExDa'!$B$2:$U$99, 4,FALSE), IFERROR(VLOOKUP($A215,'ABB ExDa'!$A$2:$N$184, 6,FALSE), IFERROR(VLOOKUP($A215,'Vocus SIT ExDa'!$B$2:$J$173, 3,FALSE), IFERROR(VLOOKUP($A215,'Telstra ExDa'!$B$2:$K$310, 5,FALSE), IFERROR(VLOOKUP($A215,'Vocus RVC ExDa'!$C$2:$R$155, 9,FALSE), IFERROR(VLOOKUP($A215,'Fusion ExDa'!$B$2:$D$16, 0,FALSE), IFERROR(VLOOKUP($A215,'Exetel ExDa'!$C$2:$N$14, 6,FALSE), IFERROR(VLOOKUP($A215,'Infinet ExDa'!$B$2:$E$14, 0,FALSE), "Not Found"))))))))</f>
        <v>FTTN</v>
      </c>
      <c r="G215" t="str">
        <f>IFERROR(VLOOKUP($A215,'AAPT ExDa'!$B$2:$U$99, 5,FALSE), IFERROR(VLOOKUP($A215,'ABB ExDa'!$A$2:$N$184, 8,FALSE), IFERROR(VLOOKUP($A215,'Vocus SIT ExDa'!$B$2:$J$173, 6,FALSE), IFERROR(VLOOKUP($A215,'Telstra ExDa'!$B$2:$K$310, 0,FALSE), IFERROR(VLOOKUP($A215,'Vocus RVC ExDa'!$C$2:$R$155, 15,FALSE), IFERROR(VLOOKUP($A215,'Fusion ExDa'!$B$2:$D$16, 0,FALSE), IFERROR(VLOOKUP($A215,'Exetel ExDa'!$C$2:$N$14, 7,FALSE), IFERROR(VLOOKUP($A215,'Infinet ExDa'!$B$2:$E$14, 0,FALSE), "Not Found"))))))))</f>
        <v>159.196.208.225</v>
      </c>
      <c r="H215">
        <f>IFERROR(VLOOKUP($A215,'AAPT ExDa'!$B$2:$U$99, 6,FALSE), IFERROR(VLOOKUP($A215,'ABB ExDa'!$A$2:$N$184, 0,FALSE), IFERROR(VLOOKUP($A215,'Vocus SIT ExDa'!$B$2:$J$173, 0,FALSE), IFERROR(VLOOKUP($A215,'Telstra ExDa'!$B$2:$K$310, 0,FALSE), IFERROR(VLOOKUP($A215,'Vocus RVC ExDa'!$C$2:$R$155, 16,FALSE), IFERROR(VLOOKUP($A215,'Fusion ExDa'!$B$2:$D$16, 0,FALSE), IFERROR(VLOOKUP($A215,'Exetel ExDa'!$C$2:$N$14, 0,FALSE), IFERROR(VLOOKUP($A215,'Infinet ExDa'!$B$2:$E$14, 0,FALSE), "Not Found"))))))))</f>
        <v>0</v>
      </c>
      <c r="I215" t="str">
        <f>IFERROR(VLOOKUP($A215,'AAPT ExDa'!$B$2:$U$99, 0,FALSE), IFERROR(VLOOKUP($A215,'ABB ExDa'!$A$2:$N$184, 0,FALSE), IFERROR(VLOOKUP($A215,'Vocus SIT ExDa'!$B$2:$J$173, 0,FALSE), IFERROR(VLOOKUP($A215,'Telstra ExDa'!$B$2:$K$310, 0,FALSE), IFERROR(VLOOKUP($A215,'Vocus RVC ExDa'!$C$2:$R$155, 0,FALSE), IFERROR(VLOOKUP($A215,'Fusion ExDa'!$B$2:$D$16, 0,FALSE), IFERROR(VLOOKUP($A215,'Exetel ExDa'!$C$2:$N$14, 8,FALSE), IFERROR(VLOOKUP($A215,'Infinet ExDa'!$B$2:$E$14, 0,FALSE), "Not Found"))))))))</f>
        <v>Not Found</v>
      </c>
      <c r="J215" t="str">
        <f>IFERROR(VLOOKUP($A215,'AAPT ExDa'!$B$2:$U$99, 7,FALSE), IFERROR(VLOOKUP($A215,'ABB ExDa'!$A$2:$N$184, 2,FALSE), IFERROR(VLOOKUP($A215,'Vocus SIT ExDa'!$B$2:$J$173, 0,FALSE), IFERROR(VLOOKUP($A215,'Telstra ExDa'!$B$2:$K$310, 7,FALSE), IFERROR(VLOOKUP($A215,'Vocus RVC ExDa'!$C$2:$R$155, 2,FALSE), IFERROR(VLOOKUP($A215,'Fusion ExDa'!$B$2:$D$16, 3,FALSE), IFERROR(VLOOKUP($A215,'Exetel ExDa'!$C$2:$N$14, 0,FALSE), IFERROR(VLOOKUP($A215,'Infinet ExDa'!$B$2:$E$14, 0,FALSE), "Not Found"))))))))</f>
        <v>SHOP 5, 87 MOOLOOLABA ESP, MOOLOOLABA QLD</v>
      </c>
      <c r="K215" t="str">
        <f>IFERROR(VLOOKUP($A215,'AAPT ExDa'!$B$2:$U$99, 12,FALSE), IFERROR(VLOOKUP($A215,'ABB ExDa'!$A$2:$N$184, 0,FALSE), IFERROR(VLOOKUP($A215,'Vocus SIT ExDa'!$B$2:$J$173, 0,FALSE), IFERROR(VLOOKUP($A215,'Telstra ExDa'!$B$2:$K$310, 0,FALSE), IFERROR(VLOOKUP($A215,'Vocus RVC ExDa'!$C$2:$R$155, 0,FALSE), IFERROR(VLOOKUP($A215,'Fusion ExDa'!$B$2:$D$16, 0,FALSE), IFERROR(VLOOKUP($A215,'Exetel ExDa'!$C$2:$N$14, 12,FALSE), IFERROR(VLOOKUP($A215,'Infinet ExDa'!$B$2:$E$14, 0,FALSE), "Not Found"))))))))</f>
        <v>Not Found</v>
      </c>
      <c r="L215" s="235" t="str">
        <f>IFERROR(VLOOKUP($A215,'AAPT ExDa'!$B$2:$U$99, 11,FALSE), IFERROR(VLOOKUP($A215,'ABB ExDa'!$A$2:$N$184, 9,FALSE), IFERROR(VLOOKUP($A215,'Vocus SIT ExDa'!$B$2:$J$173, 8,FALSE), IFERROR(VLOOKUP($A215,'Telstra ExDa'!$B$2:$K$310, 0,FALSE), IFERROR(VLOOKUP($A215,'Vocus RVC ExDa'!$C$2:$R$155, 0,FALSE), IFERROR(VLOOKUP($A215,'Fusion ExDa'!$B$2:$D$16, 0,FALSE), IFERROR(VLOOKUP($A215,'Exetel ExDa'!$C$2:$N$14, 9,FALSE), IFERROR(VLOOKUP($A215,'Infinet ExDa'!$B$2:$E$14, 0,FALSE), "Not Found"))))))))</f>
        <v>14 March 2025</v>
      </c>
      <c r="M215" s="234" t="str">
        <f>IFERROR(VLOOKUP($A215,'AAPT ExDa'!$B$2:$U$99, 0,FALSE), IFERROR(VLOOKUP($A215,'ABB ExDa'!$A$2:$N$184, 0,FALSE), IFERROR(VLOOKUP($A215,'Vocus SIT ExDa'!$B$2:$J$173, 0,FALSE), IFERROR(VLOOKUP($A215,'Telstra ExDa'!$B$2:$K$310, 0,FALSE), IFERROR(VLOOKUP($A215,'Vocus RVC ExDa'!$C$2:$R$155, 0,FALSE), IFERROR(VLOOKUP($A215,'Fusion ExDa'!$B$2:$D$16, 0,FALSE), IFERROR(VLOOKUP($A215,'Exetel ExDa'!$C$2:$N$14, 11,FALSE), IFERROR(VLOOKUP($A215,'Infinet ExDa'!$B$2:$E$14, 0,FALSE), "Not Found"))))))))</f>
        <v>Not Found</v>
      </c>
      <c r="N215" t="str">
        <f>IFERROR(VLOOKUP($A215,'AAPT ExDa'!$B$2:$U$99, 0,FALSE), IFERROR(VLOOKUP($A215,'ABB ExDa'!$A$2:$N$184, 13,FALSE), IFERROR(VLOOKUP($A215,'Vocus SIT ExDa'!$B$2:$J$173, 0,FALSE), IFERROR(VLOOKUP($A215,'Telstra ExDa'!$B$2:$K$310, 0,FALSE), IFERROR(VLOOKUP($A215,'Vocus RVC ExDa'!$C$2:$R$155, 0,FALSE), IFERROR(VLOOKUP($A215,'Fusion ExDa'!$B$2:$D$16, 0,FALSE), IFERROR(VLOOKUP($A215,'Exetel ExDa'!$C$2:$N$14, 0,FALSE), IFERROR(VLOOKUP($A215,'Infinet ExDa'!$B$2:$E$14, 0,FALSE), "Not Found"))))))))</f>
        <v>Onebill</v>
      </c>
    </row>
    <row r="216" spans="1:14">
      <c r="A216" t="str">
        <v>Zambrero Morayfield</v>
      </c>
      <c r="B216" t="str">
        <f>IFERROR(VLOOKUP(A216,'Exetel ExDa'!$C$2:$N$14,4,FALSE),"No Data")</f>
        <v>No Data</v>
      </c>
      <c r="C216" t="str">
        <f>IFERROR(VLOOKUP(A216,'AAPT ExDa'!$B$2:$U$99, 2,FALSE), IFERROR(VLOOKUP(A216,'ABB ExDa'!$A$2:$N$184, 2,FALSE), IFERROR(VLOOKUP(A216,'Vocus SIT ExDa'!$B$2:$J$173, 7,FALSE), IFERROR(VLOOKUP(A216,'Telstra ExDa'!$B$2:$K$310, 2,FALSE), IFERROR(VLOOKUP(A216,'Vocus RVC ExDa'!$C$2:$R$155, 3,FALSE), IFERROR(VLOOKUP(A216,'Fusion ExDa'!$B$2:$D$16, 2,FALSE), IFERROR(VLOOKUP(A216,'Exetel ExDa'!$C$2:$N$14, 2,FALSE), IFERROR(VLOOKUP(A216,'Infinet ExDa'!$B$2:$E$14, 2,FALSE), "Not Found"))))))))</f>
        <v>SHOP 4E, 171 MORAYFIELD RD, MORAYFIELD QLD</v>
      </c>
      <c r="D216" t="str">
        <f>IFERROR(VLOOKUP($A216,'AAPT ExDa'!$B$2:$U$99, 15,FALSE), IFERROR(VLOOKUP($A216,'ABB ExDa'!$A$2:$N$184, 4,FALSE), IFERROR(VLOOKUP($A216,'Vocus SIT ExDa'!$B$2:$J$173, 5,FALSE), IFERROR(VLOOKUP($A216,'Telstra ExDa'!$B$2:$K$310, 8,FALSE), IFERROR(VLOOKUP($A216,'Vocus RVC ExDa'!$C$2:$R$155, 6,FALSE), IFERROR(VLOOKUP($A216,'Fusion ExDa'!$B$2:$D$16, 4,FALSE), IFERROR(VLOOKUP($A216,'Exetel ExDa'!$C$2:$N$14, 3,FALSE), IFERROR(VLOOKUP($A216,'Infinet ExDa'!$B$2:$E$14, 3,FALSE), "Not Found"))))))))</f>
        <v>ABB</v>
      </c>
      <c r="E216" t="str">
        <f>IFERROR(VLOOKUP($A216,'AAPT ExDa'!$B$2:$U$99, 3,FALSE), IFERROR(VLOOKUP($A216,'ABB ExDa'!$A$2:$N$184, 5,FALSE), IFERROR(VLOOKUP($A216,'Vocus SIT ExDa'!$B$2:$J$173, 2,FALSE), IFERROR(VLOOKUP($A216,'Telstra ExDa'!$B$2:$K$310, 4,FALSE), IFERROR(VLOOKUP($A216,'Vocus RVC ExDa'!$C$2:$R$155, 8,FALSE), IFERROR(VLOOKUP($A216,'Fusion ExDa'!$B$2:$D$16, 4,FALSE), IFERROR(VLOOKUP($A216,'Exetel ExDa'!$C$2:$N$14, 5,FALSE), IFERROR(VLOOKUP($A216,'Infinet ExDa'!$B$2:$E$14, 3,FALSE), "Not Found"))))))))</f>
        <v>NBN 25/10</v>
      </c>
      <c r="F216" t="str">
        <f>IFERROR(VLOOKUP($A216,'AAPT ExDa'!$B$2:$U$99, 4,FALSE), IFERROR(VLOOKUP($A216,'ABB ExDa'!$A$2:$N$184, 6,FALSE), IFERROR(VLOOKUP($A216,'Vocus SIT ExDa'!$B$2:$J$173, 3,FALSE), IFERROR(VLOOKUP($A216,'Telstra ExDa'!$B$2:$K$310, 5,FALSE), IFERROR(VLOOKUP($A216,'Vocus RVC ExDa'!$C$2:$R$155, 9,FALSE), IFERROR(VLOOKUP($A216,'Fusion ExDa'!$B$2:$D$16, 0,FALSE), IFERROR(VLOOKUP($A216,'Exetel ExDa'!$C$2:$N$14, 6,FALSE), IFERROR(VLOOKUP($A216,'Infinet ExDa'!$B$2:$E$14, 0,FALSE), "Not Found"))))))))</f>
        <v>FTTN</v>
      </c>
      <c r="G216" t="str">
        <f>IFERROR(VLOOKUP($A216,'AAPT ExDa'!$B$2:$U$99, 5,FALSE), IFERROR(VLOOKUP($A216,'ABB ExDa'!$A$2:$N$184, 8,FALSE), IFERROR(VLOOKUP($A216,'Vocus SIT ExDa'!$B$2:$J$173, 6,FALSE), IFERROR(VLOOKUP($A216,'Telstra ExDa'!$B$2:$K$310, 0,FALSE), IFERROR(VLOOKUP($A216,'Vocus RVC ExDa'!$C$2:$R$155, 15,FALSE), IFERROR(VLOOKUP($A216,'Fusion ExDa'!$B$2:$D$16, 0,FALSE), IFERROR(VLOOKUP($A216,'Exetel ExDa'!$C$2:$N$14, 7,FALSE), IFERROR(VLOOKUP($A216,'Infinet ExDa'!$B$2:$E$14, 0,FALSE), "Not Found"))))))))</f>
        <v>159.196.5.173</v>
      </c>
      <c r="H216" t="str">
        <f>IFERROR(VLOOKUP($A216,'AAPT ExDa'!$B$2:$U$99, 6,FALSE), IFERROR(VLOOKUP($A216,'ABB ExDa'!$A$2:$N$184, 0,FALSE), IFERROR(VLOOKUP($A216,'Vocus SIT ExDa'!$B$2:$J$173, 0,FALSE), IFERROR(VLOOKUP($A216,'Telstra ExDa'!$B$2:$K$310, 0,FALSE), IFERROR(VLOOKUP($A216,'Vocus RVC ExDa'!$C$2:$R$155, 16,FALSE), IFERROR(VLOOKUP($A216,'Fusion ExDa'!$B$2:$D$16, 0,FALSE), IFERROR(VLOOKUP($A216,'Exetel ExDa'!$C$2:$N$14, 0,FALSE), IFERROR(VLOOKUP($A216,'Infinet ExDa'!$B$2:$E$14, 0,FALSE), "Not Found"))))))))</f>
        <v>Not Found</v>
      </c>
      <c r="I216" t="str">
        <f>IFERROR(VLOOKUP($A216,'AAPT ExDa'!$B$2:$U$99, 0,FALSE), IFERROR(VLOOKUP($A216,'ABB ExDa'!$A$2:$N$184, 0,FALSE), IFERROR(VLOOKUP($A216,'Vocus SIT ExDa'!$B$2:$J$173, 0,FALSE), IFERROR(VLOOKUP($A216,'Telstra ExDa'!$B$2:$K$310, 0,FALSE), IFERROR(VLOOKUP($A216,'Vocus RVC ExDa'!$C$2:$R$155, 0,FALSE), IFERROR(VLOOKUP($A216,'Fusion ExDa'!$B$2:$D$16, 0,FALSE), IFERROR(VLOOKUP($A216,'Exetel ExDa'!$C$2:$N$14, 8,FALSE), IFERROR(VLOOKUP($A216,'Infinet ExDa'!$B$2:$E$14, 0,FALSE), "Not Found"))))))))</f>
        <v>Not Found</v>
      </c>
      <c r="J216" t="str">
        <f>IFERROR(VLOOKUP($A216,'AAPT ExDa'!$B$2:$U$99, 7,FALSE), IFERROR(VLOOKUP($A216,'ABB ExDa'!$A$2:$N$184, 2,FALSE), IFERROR(VLOOKUP($A216,'Vocus SIT ExDa'!$B$2:$J$173, 0,FALSE), IFERROR(VLOOKUP($A216,'Telstra ExDa'!$B$2:$K$310, 7,FALSE), IFERROR(VLOOKUP($A216,'Vocus RVC ExDa'!$C$2:$R$155, 2,FALSE), IFERROR(VLOOKUP($A216,'Fusion ExDa'!$B$2:$D$16, 3,FALSE), IFERROR(VLOOKUP($A216,'Exetel ExDa'!$C$2:$N$14, 0,FALSE), IFERROR(VLOOKUP($A216,'Infinet ExDa'!$B$2:$E$14, 0,FALSE), "Not Found"))))))))</f>
        <v>SHOP 4E, 171 MORAYFIELD RD, MORAYFIELD QLD</v>
      </c>
      <c r="K216" t="str">
        <f>IFERROR(VLOOKUP($A216,'AAPT ExDa'!$B$2:$U$99, 12,FALSE), IFERROR(VLOOKUP($A216,'ABB ExDa'!$A$2:$N$184, 0,FALSE), IFERROR(VLOOKUP($A216,'Vocus SIT ExDa'!$B$2:$J$173, 0,FALSE), IFERROR(VLOOKUP($A216,'Telstra ExDa'!$B$2:$K$310, 0,FALSE), IFERROR(VLOOKUP($A216,'Vocus RVC ExDa'!$C$2:$R$155, 0,FALSE), IFERROR(VLOOKUP($A216,'Fusion ExDa'!$B$2:$D$16, 0,FALSE), IFERROR(VLOOKUP($A216,'Exetel ExDa'!$C$2:$N$14, 12,FALSE), IFERROR(VLOOKUP($A216,'Infinet ExDa'!$B$2:$E$14, 0,FALSE), "Not Found"))))))))</f>
        <v>Not Found</v>
      </c>
      <c r="L216" s="235" t="str">
        <f>IFERROR(VLOOKUP($A216,'AAPT ExDa'!$B$2:$U$99, 11,FALSE), IFERROR(VLOOKUP($A216,'ABB ExDa'!$A$2:$N$184, 9,FALSE), IFERROR(VLOOKUP($A216,'Vocus SIT ExDa'!$B$2:$J$173, 8,FALSE), IFERROR(VLOOKUP($A216,'Telstra ExDa'!$B$2:$K$310, 0,FALSE), IFERROR(VLOOKUP($A216,'Vocus RVC ExDa'!$C$2:$R$155, 0,FALSE), IFERROR(VLOOKUP($A216,'Fusion ExDa'!$B$2:$D$16, 0,FALSE), IFERROR(VLOOKUP($A216,'Exetel ExDa'!$C$2:$N$14, 9,FALSE), IFERROR(VLOOKUP($A216,'Infinet ExDa'!$B$2:$E$14, 0,FALSE), "Not Found"))))))))</f>
        <v>25 Sept 2025</v>
      </c>
      <c r="M216" s="234" t="str">
        <f>IFERROR(VLOOKUP($A216,'AAPT ExDa'!$B$2:$U$99, 0,FALSE), IFERROR(VLOOKUP($A216,'ABB ExDa'!$A$2:$N$184, 0,FALSE), IFERROR(VLOOKUP($A216,'Vocus SIT ExDa'!$B$2:$J$173, 0,FALSE), IFERROR(VLOOKUP($A216,'Telstra ExDa'!$B$2:$K$310, 0,FALSE), IFERROR(VLOOKUP($A216,'Vocus RVC ExDa'!$C$2:$R$155, 0,FALSE), IFERROR(VLOOKUP($A216,'Fusion ExDa'!$B$2:$D$16, 0,FALSE), IFERROR(VLOOKUP($A216,'Exetel ExDa'!$C$2:$N$14, 11,FALSE), IFERROR(VLOOKUP($A216,'Infinet ExDa'!$B$2:$E$14, 0,FALSE), "Not Found"))))))))</f>
        <v>Not Found</v>
      </c>
      <c r="N216" t="str">
        <f>IFERROR(VLOOKUP($A216,'AAPT ExDa'!$B$2:$U$99, 0,FALSE), IFERROR(VLOOKUP($A216,'ABB ExDa'!$A$2:$N$184, 13,FALSE), IFERROR(VLOOKUP($A216,'Vocus SIT ExDa'!$B$2:$J$173, 0,FALSE), IFERROR(VLOOKUP($A216,'Telstra ExDa'!$B$2:$K$310, 0,FALSE), IFERROR(VLOOKUP($A216,'Vocus RVC ExDa'!$C$2:$R$155, 0,FALSE), IFERROR(VLOOKUP($A216,'Fusion ExDa'!$B$2:$D$16, 0,FALSE), IFERROR(VLOOKUP($A216,'Exetel ExDa'!$C$2:$N$14, 0,FALSE), IFERROR(VLOOKUP($A216,'Infinet ExDa'!$B$2:$E$14, 0,FALSE), "Not Found"))))))))</f>
        <v>Onebill</v>
      </c>
    </row>
    <row r="217" spans="1:14">
      <c r="A217" t="str">
        <v>Zambrero Murdoch</v>
      </c>
      <c r="B217" t="str">
        <f>IFERROR(VLOOKUP(A217,'Exetel ExDa'!$C$2:$N$14,4,FALSE),"No Data")</f>
        <v>No Data</v>
      </c>
      <c r="C217" t="str">
        <f>IFERROR(VLOOKUP(A217,'AAPT ExDa'!$B$2:$U$99, 2,FALSE), IFERROR(VLOOKUP(A217,'ABB ExDa'!$A$2:$N$184, 2,FALSE), IFERROR(VLOOKUP(A217,'Vocus SIT ExDa'!$B$2:$J$173, 7,FALSE), IFERROR(VLOOKUP(A217,'Telstra ExDa'!$B$2:$K$310, 2,FALSE), IFERROR(VLOOKUP(A217,'Vocus RVC ExDa'!$C$2:$R$155, 3,FALSE), IFERROR(VLOOKUP(A217,'Fusion ExDa'!$B$2:$D$16, 2,FALSE), IFERROR(VLOOKUP(A217,'Exetel ExDa'!$C$2:$N$14, 2,FALSE), IFERROR(VLOOKUP(A217,'Infinet ExDa'!$B$2:$E$14, 2,FALSE), "Not Found"))))))))</f>
        <v>SHOP 9, 48 BARRY MARSHALL PDE, MURDOCH WA</v>
      </c>
      <c r="D217" t="str">
        <f>IFERROR(VLOOKUP($A217,'AAPT ExDa'!$B$2:$U$99, 15,FALSE), IFERROR(VLOOKUP($A217,'ABB ExDa'!$A$2:$N$184, 4,FALSE), IFERROR(VLOOKUP($A217,'Vocus SIT ExDa'!$B$2:$J$173, 5,FALSE), IFERROR(VLOOKUP($A217,'Telstra ExDa'!$B$2:$K$310, 8,FALSE), IFERROR(VLOOKUP($A217,'Vocus RVC ExDa'!$C$2:$R$155, 6,FALSE), IFERROR(VLOOKUP($A217,'Fusion ExDa'!$B$2:$D$16, 4,FALSE), IFERROR(VLOOKUP($A217,'Exetel ExDa'!$C$2:$N$14, 3,FALSE), IFERROR(VLOOKUP($A217,'Infinet ExDa'!$B$2:$E$14, 3,FALSE), "Not Found"))))))))</f>
        <v>ABB</v>
      </c>
      <c r="E217" t="str">
        <f>IFERROR(VLOOKUP($A217,'AAPT ExDa'!$B$2:$U$99, 3,FALSE), IFERROR(VLOOKUP($A217,'ABB ExDa'!$A$2:$N$184, 5,FALSE), IFERROR(VLOOKUP($A217,'Vocus SIT ExDa'!$B$2:$J$173, 2,FALSE), IFERROR(VLOOKUP($A217,'Telstra ExDa'!$B$2:$K$310, 4,FALSE), IFERROR(VLOOKUP($A217,'Vocus RVC ExDa'!$C$2:$R$155, 8,FALSE), IFERROR(VLOOKUP($A217,'Fusion ExDa'!$B$2:$D$16, 4,FALSE), IFERROR(VLOOKUP($A217,'Exetel ExDa'!$C$2:$N$14, 5,FALSE), IFERROR(VLOOKUP($A217,'Infinet ExDa'!$B$2:$E$14, 3,FALSE), "Not Found"))))))))</f>
        <v>NBN 25/10</v>
      </c>
      <c r="F217" t="str">
        <f>IFERROR(VLOOKUP($A217,'AAPT ExDa'!$B$2:$U$99, 4,FALSE), IFERROR(VLOOKUP($A217,'ABB ExDa'!$A$2:$N$184, 6,FALSE), IFERROR(VLOOKUP($A217,'Vocus SIT ExDa'!$B$2:$J$173, 3,FALSE), IFERROR(VLOOKUP($A217,'Telstra ExDa'!$B$2:$K$310, 5,FALSE), IFERROR(VLOOKUP($A217,'Vocus RVC ExDa'!$C$2:$R$155, 9,FALSE), IFERROR(VLOOKUP($A217,'Fusion ExDa'!$B$2:$D$16, 0,FALSE), IFERROR(VLOOKUP($A217,'Exetel ExDa'!$C$2:$N$14, 6,FALSE), IFERROR(VLOOKUP($A217,'Infinet ExDa'!$B$2:$E$14, 0,FALSE), "Not Found"))))))))</f>
        <v xml:space="preserve">Fibre </v>
      </c>
      <c r="G217" t="str">
        <f>IFERROR(VLOOKUP($A217,'AAPT ExDa'!$B$2:$U$99, 5,FALSE), IFERROR(VLOOKUP($A217,'ABB ExDa'!$A$2:$N$184, 8,FALSE), IFERROR(VLOOKUP($A217,'Vocus SIT ExDa'!$B$2:$J$173, 6,FALSE), IFERROR(VLOOKUP($A217,'Telstra ExDa'!$B$2:$K$310, 0,FALSE), IFERROR(VLOOKUP($A217,'Vocus RVC ExDa'!$C$2:$R$155, 15,FALSE), IFERROR(VLOOKUP($A217,'Fusion ExDa'!$B$2:$D$16, 0,FALSE), IFERROR(VLOOKUP($A217,'Exetel ExDa'!$C$2:$N$14, 7,FALSE), IFERROR(VLOOKUP($A217,'Infinet ExDa'!$B$2:$E$14, 0,FALSE), "Not Found"))))))))</f>
        <v>144.6.146.99</v>
      </c>
      <c r="H217" t="str">
        <f>IFERROR(VLOOKUP($A217,'AAPT ExDa'!$B$2:$U$99, 6,FALSE), IFERROR(VLOOKUP($A217,'ABB ExDa'!$A$2:$N$184, 0,FALSE), IFERROR(VLOOKUP($A217,'Vocus SIT ExDa'!$B$2:$J$173, 0,FALSE), IFERROR(VLOOKUP($A217,'Telstra ExDa'!$B$2:$K$310, 0,FALSE), IFERROR(VLOOKUP($A217,'Vocus RVC ExDa'!$C$2:$R$155, 16,FALSE), IFERROR(VLOOKUP($A217,'Fusion ExDa'!$B$2:$D$16, 0,FALSE), IFERROR(VLOOKUP($A217,'Exetel ExDa'!$C$2:$N$14, 0,FALSE), IFERROR(VLOOKUP($A217,'Infinet ExDa'!$B$2:$E$14, 0,FALSE), "Not Found"))))))))</f>
        <v>Not Found</v>
      </c>
      <c r="I217" t="str">
        <f>IFERROR(VLOOKUP($A217,'AAPT ExDa'!$B$2:$U$99, 0,FALSE), IFERROR(VLOOKUP($A217,'ABB ExDa'!$A$2:$N$184, 0,FALSE), IFERROR(VLOOKUP($A217,'Vocus SIT ExDa'!$B$2:$J$173, 0,FALSE), IFERROR(VLOOKUP($A217,'Telstra ExDa'!$B$2:$K$310, 0,FALSE), IFERROR(VLOOKUP($A217,'Vocus RVC ExDa'!$C$2:$R$155, 0,FALSE), IFERROR(VLOOKUP($A217,'Fusion ExDa'!$B$2:$D$16, 0,FALSE), IFERROR(VLOOKUP($A217,'Exetel ExDa'!$C$2:$N$14, 8,FALSE), IFERROR(VLOOKUP($A217,'Infinet ExDa'!$B$2:$E$14, 0,FALSE), "Not Found"))))))))</f>
        <v>Not Found</v>
      </c>
      <c r="J217" t="str">
        <f>IFERROR(VLOOKUP($A217,'AAPT ExDa'!$B$2:$U$99, 7,FALSE), IFERROR(VLOOKUP($A217,'ABB ExDa'!$A$2:$N$184, 2,FALSE), IFERROR(VLOOKUP($A217,'Vocus SIT ExDa'!$B$2:$J$173, 0,FALSE), IFERROR(VLOOKUP($A217,'Telstra ExDa'!$B$2:$K$310, 7,FALSE), IFERROR(VLOOKUP($A217,'Vocus RVC ExDa'!$C$2:$R$155, 2,FALSE), IFERROR(VLOOKUP($A217,'Fusion ExDa'!$B$2:$D$16, 3,FALSE), IFERROR(VLOOKUP($A217,'Exetel ExDa'!$C$2:$N$14, 0,FALSE), IFERROR(VLOOKUP($A217,'Infinet ExDa'!$B$2:$E$14, 0,FALSE), "Not Found"))))))))</f>
        <v>SHOP 9, 48 BARRY MARSHALL PDE, MURDOCH WA</v>
      </c>
      <c r="K217" t="str">
        <f>IFERROR(VLOOKUP($A217,'AAPT ExDa'!$B$2:$U$99, 12,FALSE), IFERROR(VLOOKUP($A217,'ABB ExDa'!$A$2:$N$184, 0,FALSE), IFERROR(VLOOKUP($A217,'Vocus SIT ExDa'!$B$2:$J$173, 0,FALSE), IFERROR(VLOOKUP($A217,'Telstra ExDa'!$B$2:$K$310, 0,FALSE), IFERROR(VLOOKUP($A217,'Vocus RVC ExDa'!$C$2:$R$155, 0,FALSE), IFERROR(VLOOKUP($A217,'Fusion ExDa'!$B$2:$D$16, 0,FALSE), IFERROR(VLOOKUP($A217,'Exetel ExDa'!$C$2:$N$14, 12,FALSE), IFERROR(VLOOKUP($A217,'Infinet ExDa'!$B$2:$E$14, 0,FALSE), "Not Found"))))))))</f>
        <v>Not Found</v>
      </c>
      <c r="L217" s="235" t="str">
        <f>IFERROR(VLOOKUP($A217,'AAPT ExDa'!$B$2:$U$99, 11,FALSE), IFERROR(VLOOKUP($A217,'ABB ExDa'!$A$2:$N$184, 9,FALSE), IFERROR(VLOOKUP($A217,'Vocus SIT ExDa'!$B$2:$J$173, 8,FALSE), IFERROR(VLOOKUP($A217,'Telstra ExDa'!$B$2:$K$310, 0,FALSE), IFERROR(VLOOKUP($A217,'Vocus RVC ExDa'!$C$2:$R$155, 0,FALSE), IFERROR(VLOOKUP($A217,'Fusion ExDa'!$B$2:$D$16, 0,FALSE), IFERROR(VLOOKUP($A217,'Exetel ExDa'!$C$2:$N$14, 9,FALSE), IFERROR(VLOOKUP($A217,'Infinet ExDa'!$B$2:$E$14, 0,FALSE), "Not Found"))))))))</f>
        <v>04 Nov 2024</v>
      </c>
      <c r="M217" s="234" t="str">
        <f>IFERROR(VLOOKUP($A217,'AAPT ExDa'!$B$2:$U$99, 0,FALSE), IFERROR(VLOOKUP($A217,'ABB ExDa'!$A$2:$N$184, 0,FALSE), IFERROR(VLOOKUP($A217,'Vocus SIT ExDa'!$B$2:$J$173, 0,FALSE), IFERROR(VLOOKUP($A217,'Telstra ExDa'!$B$2:$K$310, 0,FALSE), IFERROR(VLOOKUP($A217,'Vocus RVC ExDa'!$C$2:$R$155, 0,FALSE), IFERROR(VLOOKUP($A217,'Fusion ExDa'!$B$2:$D$16, 0,FALSE), IFERROR(VLOOKUP($A217,'Exetel ExDa'!$C$2:$N$14, 11,FALSE), IFERROR(VLOOKUP($A217,'Infinet ExDa'!$B$2:$E$14, 0,FALSE), "Not Found"))))))))</f>
        <v>Not Found</v>
      </c>
      <c r="N217" t="str">
        <f>IFERROR(VLOOKUP($A217,'AAPT ExDa'!$B$2:$U$99, 0,FALSE), IFERROR(VLOOKUP($A217,'ABB ExDa'!$A$2:$N$184, 13,FALSE), IFERROR(VLOOKUP($A217,'Vocus SIT ExDa'!$B$2:$J$173, 0,FALSE), IFERROR(VLOOKUP($A217,'Telstra ExDa'!$B$2:$K$310, 0,FALSE), IFERROR(VLOOKUP($A217,'Vocus RVC ExDa'!$C$2:$R$155, 0,FALSE), IFERROR(VLOOKUP($A217,'Fusion ExDa'!$B$2:$D$16, 0,FALSE), IFERROR(VLOOKUP($A217,'Exetel ExDa'!$C$2:$N$14, 0,FALSE), IFERROR(VLOOKUP($A217,'Infinet ExDa'!$B$2:$E$14, 0,FALSE), "Not Found"))))))))</f>
        <v>Onebill</v>
      </c>
    </row>
    <row r="218" spans="1:14">
      <c r="A218" t="str">
        <v>Zambrero Nedlands</v>
      </c>
      <c r="B218" t="str">
        <f>IFERROR(VLOOKUP(A218,'Exetel ExDa'!$C$2:$N$14,4,FALSE),"No Data")</f>
        <v>No Data</v>
      </c>
      <c r="C218" t="str">
        <f>IFERROR(VLOOKUP(A218,'AAPT ExDa'!$B$2:$U$99, 2,FALSE), IFERROR(VLOOKUP(A218,'ABB ExDa'!$A$2:$N$184, 2,FALSE), IFERROR(VLOOKUP(A218,'Vocus SIT ExDa'!$B$2:$J$173, 7,FALSE), IFERROR(VLOOKUP(A218,'Telstra ExDa'!$B$2:$K$310, 2,FALSE), IFERROR(VLOOKUP(A218,'Vocus RVC ExDa'!$C$2:$R$155, 3,FALSE), IFERROR(VLOOKUP(A218,'Fusion ExDa'!$B$2:$D$16, 2,FALSE), IFERROR(VLOOKUP(A218,'Exetel ExDa'!$C$2:$N$14, 2,FALSE), IFERROR(VLOOKUP(A218,'Infinet ExDa'!$B$2:$E$14, 2,FALSE), "Not Found"))))))))</f>
        <v>11 BROADWAY , NEDLANDS WA</v>
      </c>
      <c r="D218" t="str">
        <f>IFERROR(VLOOKUP($A218,'AAPT ExDa'!$B$2:$U$99, 15,FALSE), IFERROR(VLOOKUP($A218,'ABB ExDa'!$A$2:$N$184, 4,FALSE), IFERROR(VLOOKUP($A218,'Vocus SIT ExDa'!$B$2:$J$173, 5,FALSE), IFERROR(VLOOKUP($A218,'Telstra ExDa'!$B$2:$K$310, 8,FALSE), IFERROR(VLOOKUP($A218,'Vocus RVC ExDa'!$C$2:$R$155, 6,FALSE), IFERROR(VLOOKUP($A218,'Fusion ExDa'!$B$2:$D$16, 4,FALSE), IFERROR(VLOOKUP($A218,'Exetel ExDa'!$C$2:$N$14, 3,FALSE), IFERROR(VLOOKUP($A218,'Infinet ExDa'!$B$2:$E$14, 3,FALSE), "Not Found"))))))))</f>
        <v>ABB</v>
      </c>
      <c r="E218" t="str">
        <f>IFERROR(VLOOKUP($A218,'AAPT ExDa'!$B$2:$U$99, 3,FALSE), IFERROR(VLOOKUP($A218,'ABB ExDa'!$A$2:$N$184, 5,FALSE), IFERROR(VLOOKUP($A218,'Vocus SIT ExDa'!$B$2:$J$173, 2,FALSE), IFERROR(VLOOKUP($A218,'Telstra ExDa'!$B$2:$K$310, 4,FALSE), IFERROR(VLOOKUP($A218,'Vocus RVC ExDa'!$C$2:$R$155, 8,FALSE), IFERROR(VLOOKUP($A218,'Fusion ExDa'!$B$2:$D$16, 4,FALSE), IFERROR(VLOOKUP($A218,'Exetel ExDa'!$C$2:$N$14, 5,FALSE), IFERROR(VLOOKUP($A218,'Infinet ExDa'!$B$2:$E$14, 3,FALSE), "Not Found"))))))))</f>
        <v>NBN 50/20</v>
      </c>
      <c r="F218" t="str">
        <f>IFERROR(VLOOKUP($A218,'AAPT ExDa'!$B$2:$U$99, 4,FALSE), IFERROR(VLOOKUP($A218,'ABB ExDa'!$A$2:$N$184, 6,FALSE), IFERROR(VLOOKUP($A218,'Vocus SIT ExDa'!$B$2:$J$173, 3,FALSE), IFERROR(VLOOKUP($A218,'Telstra ExDa'!$B$2:$K$310, 5,FALSE), IFERROR(VLOOKUP($A218,'Vocus RVC ExDa'!$C$2:$R$155, 9,FALSE), IFERROR(VLOOKUP($A218,'Fusion ExDa'!$B$2:$D$16, 0,FALSE), IFERROR(VLOOKUP($A218,'Exetel ExDa'!$C$2:$N$14, 6,FALSE), IFERROR(VLOOKUP($A218,'Infinet ExDa'!$B$2:$E$14, 0,FALSE), "Not Found"))))))))</f>
        <v>HFC</v>
      </c>
      <c r="G218" t="str">
        <f>IFERROR(VLOOKUP($A218,'AAPT ExDa'!$B$2:$U$99, 5,FALSE), IFERROR(VLOOKUP($A218,'ABB ExDa'!$A$2:$N$184, 8,FALSE), IFERROR(VLOOKUP($A218,'Vocus SIT ExDa'!$B$2:$J$173, 6,FALSE), IFERROR(VLOOKUP($A218,'Telstra ExDa'!$B$2:$K$310, 0,FALSE), IFERROR(VLOOKUP($A218,'Vocus RVC ExDa'!$C$2:$R$155, 15,FALSE), IFERROR(VLOOKUP($A218,'Fusion ExDa'!$B$2:$D$16, 0,FALSE), IFERROR(VLOOKUP($A218,'Exetel ExDa'!$C$2:$N$14, 7,FALSE), IFERROR(VLOOKUP($A218,'Infinet ExDa'!$B$2:$E$14, 0,FALSE), "Not Found"))))))))</f>
        <v>144.6.136.42</v>
      </c>
      <c r="H218" t="str">
        <f>IFERROR(VLOOKUP($A218,'AAPT ExDa'!$B$2:$U$99, 6,FALSE), IFERROR(VLOOKUP($A218,'ABB ExDa'!$A$2:$N$184, 0,FALSE), IFERROR(VLOOKUP($A218,'Vocus SIT ExDa'!$B$2:$J$173, 0,FALSE), IFERROR(VLOOKUP($A218,'Telstra ExDa'!$B$2:$K$310, 0,FALSE), IFERROR(VLOOKUP($A218,'Vocus RVC ExDa'!$C$2:$R$155, 16,FALSE), IFERROR(VLOOKUP($A218,'Fusion ExDa'!$B$2:$D$16, 0,FALSE), IFERROR(VLOOKUP($A218,'Exetel ExDa'!$C$2:$N$14, 0,FALSE), IFERROR(VLOOKUP($A218,'Infinet ExDa'!$B$2:$E$14, 0,FALSE), "Not Found"))))))))</f>
        <v>Not Found</v>
      </c>
      <c r="I218" t="str">
        <f>IFERROR(VLOOKUP($A218,'AAPT ExDa'!$B$2:$U$99, 0,FALSE), IFERROR(VLOOKUP($A218,'ABB ExDa'!$A$2:$N$184, 0,FALSE), IFERROR(VLOOKUP($A218,'Vocus SIT ExDa'!$B$2:$J$173, 0,FALSE), IFERROR(VLOOKUP($A218,'Telstra ExDa'!$B$2:$K$310, 0,FALSE), IFERROR(VLOOKUP($A218,'Vocus RVC ExDa'!$C$2:$R$155, 0,FALSE), IFERROR(VLOOKUP($A218,'Fusion ExDa'!$B$2:$D$16, 0,FALSE), IFERROR(VLOOKUP($A218,'Exetel ExDa'!$C$2:$N$14, 8,FALSE), IFERROR(VLOOKUP($A218,'Infinet ExDa'!$B$2:$E$14, 0,FALSE), "Not Found"))))))))</f>
        <v>Not Found</v>
      </c>
      <c r="J218" t="str">
        <f>IFERROR(VLOOKUP($A218,'AAPT ExDa'!$B$2:$U$99, 7,FALSE), IFERROR(VLOOKUP($A218,'ABB ExDa'!$A$2:$N$184, 2,FALSE), IFERROR(VLOOKUP($A218,'Vocus SIT ExDa'!$B$2:$J$173, 0,FALSE), IFERROR(VLOOKUP($A218,'Telstra ExDa'!$B$2:$K$310, 7,FALSE), IFERROR(VLOOKUP($A218,'Vocus RVC ExDa'!$C$2:$R$155, 2,FALSE), IFERROR(VLOOKUP($A218,'Fusion ExDa'!$B$2:$D$16, 3,FALSE), IFERROR(VLOOKUP($A218,'Exetel ExDa'!$C$2:$N$14, 0,FALSE), IFERROR(VLOOKUP($A218,'Infinet ExDa'!$B$2:$E$14, 0,FALSE), "Not Found"))))))))</f>
        <v>11 BROADWAY , NEDLANDS WA</v>
      </c>
      <c r="K218" t="str">
        <f>IFERROR(VLOOKUP($A218,'AAPT ExDa'!$B$2:$U$99, 12,FALSE), IFERROR(VLOOKUP($A218,'ABB ExDa'!$A$2:$N$184, 0,FALSE), IFERROR(VLOOKUP($A218,'Vocus SIT ExDa'!$B$2:$J$173, 0,FALSE), IFERROR(VLOOKUP($A218,'Telstra ExDa'!$B$2:$K$310, 0,FALSE), IFERROR(VLOOKUP($A218,'Vocus RVC ExDa'!$C$2:$R$155, 0,FALSE), IFERROR(VLOOKUP($A218,'Fusion ExDa'!$B$2:$D$16, 0,FALSE), IFERROR(VLOOKUP($A218,'Exetel ExDa'!$C$2:$N$14, 12,FALSE), IFERROR(VLOOKUP($A218,'Infinet ExDa'!$B$2:$E$14, 0,FALSE), "Not Found"))))))))</f>
        <v>Not Found</v>
      </c>
      <c r="L218" s="235" t="str">
        <f>IFERROR(VLOOKUP($A218,'AAPT ExDa'!$B$2:$U$99, 11,FALSE), IFERROR(VLOOKUP($A218,'ABB ExDa'!$A$2:$N$184, 9,FALSE), IFERROR(VLOOKUP($A218,'Vocus SIT ExDa'!$B$2:$J$173, 8,FALSE), IFERROR(VLOOKUP($A218,'Telstra ExDa'!$B$2:$K$310, 0,FALSE), IFERROR(VLOOKUP($A218,'Vocus RVC ExDa'!$C$2:$R$155, 0,FALSE), IFERROR(VLOOKUP($A218,'Fusion ExDa'!$B$2:$D$16, 0,FALSE), IFERROR(VLOOKUP($A218,'Exetel ExDa'!$C$2:$N$14, 9,FALSE), IFERROR(VLOOKUP($A218,'Infinet ExDa'!$B$2:$E$14, 0,FALSE), "Not Found"))))))))</f>
        <v>18 Mar 2024</v>
      </c>
      <c r="M218" s="234" t="str">
        <f>IFERROR(VLOOKUP($A218,'AAPT ExDa'!$B$2:$U$99, 0,FALSE), IFERROR(VLOOKUP($A218,'ABB ExDa'!$A$2:$N$184, 0,FALSE), IFERROR(VLOOKUP($A218,'Vocus SIT ExDa'!$B$2:$J$173, 0,FALSE), IFERROR(VLOOKUP($A218,'Telstra ExDa'!$B$2:$K$310, 0,FALSE), IFERROR(VLOOKUP($A218,'Vocus RVC ExDa'!$C$2:$R$155, 0,FALSE), IFERROR(VLOOKUP($A218,'Fusion ExDa'!$B$2:$D$16, 0,FALSE), IFERROR(VLOOKUP($A218,'Exetel ExDa'!$C$2:$N$14, 11,FALSE), IFERROR(VLOOKUP($A218,'Infinet ExDa'!$B$2:$E$14, 0,FALSE), "Not Found"))))))))</f>
        <v>Not Found</v>
      </c>
      <c r="N218" t="str">
        <f>IFERROR(VLOOKUP($A218,'AAPT ExDa'!$B$2:$U$99, 0,FALSE), IFERROR(VLOOKUP($A218,'ABB ExDa'!$A$2:$N$184, 13,FALSE), IFERROR(VLOOKUP($A218,'Vocus SIT ExDa'!$B$2:$J$173, 0,FALSE), IFERROR(VLOOKUP($A218,'Telstra ExDa'!$B$2:$K$310, 0,FALSE), IFERROR(VLOOKUP($A218,'Vocus RVC ExDa'!$C$2:$R$155, 0,FALSE), IFERROR(VLOOKUP($A218,'Fusion ExDa'!$B$2:$D$16, 0,FALSE), IFERROR(VLOOKUP($A218,'Exetel ExDa'!$C$2:$N$14, 0,FALSE), IFERROR(VLOOKUP($A218,'Infinet ExDa'!$B$2:$E$14, 0,FALSE), "Not Found"))))))))</f>
        <v>Onebill</v>
      </c>
    </row>
    <row r="219" spans="1:14">
      <c r="A219" t="str">
        <v>Zambrero NORTH PERTH WA</v>
      </c>
      <c r="B219" t="str">
        <f>IFERROR(VLOOKUP(A219,'Exetel ExDa'!$C$2:$N$14,4,FALSE),"No Data")</f>
        <v>No Data</v>
      </c>
      <c r="C219" t="str">
        <f>IFERROR(VLOOKUP(A219,'AAPT ExDa'!$B$2:$U$99, 2,FALSE), IFERROR(VLOOKUP(A219,'ABB ExDa'!$A$2:$N$184, 2,FALSE), IFERROR(VLOOKUP(A219,'Vocus SIT ExDa'!$B$2:$J$173, 7,FALSE), IFERROR(VLOOKUP(A219,'Telstra ExDa'!$B$2:$K$310, 2,FALSE), IFERROR(VLOOKUP(A219,'Vocus RVC ExDa'!$C$2:$R$155, 3,FALSE), IFERROR(VLOOKUP(A219,'Fusion ExDa'!$B$2:$D$16, 2,FALSE), IFERROR(VLOOKUP(A219,'Exetel ExDa'!$C$2:$N$14, 2,FALSE), IFERROR(VLOOKUP(A219,'Infinet ExDa'!$B$2:$E$14, 2,FALSE), "Not Found"))))))))</f>
        <v>UN 1, 7 SCARBOROUGH BEACH RD, NORTH PERTH WA</v>
      </c>
      <c r="D219" t="str">
        <f>IFERROR(VLOOKUP($A219,'AAPT ExDa'!$B$2:$U$99, 15,FALSE), IFERROR(VLOOKUP($A219,'ABB ExDa'!$A$2:$N$184, 4,FALSE), IFERROR(VLOOKUP($A219,'Vocus SIT ExDa'!$B$2:$J$173, 5,FALSE), IFERROR(VLOOKUP($A219,'Telstra ExDa'!$B$2:$K$310, 8,FALSE), IFERROR(VLOOKUP($A219,'Vocus RVC ExDa'!$C$2:$R$155, 6,FALSE), IFERROR(VLOOKUP($A219,'Fusion ExDa'!$B$2:$D$16, 4,FALSE), IFERROR(VLOOKUP($A219,'Exetel ExDa'!$C$2:$N$14, 3,FALSE), IFERROR(VLOOKUP($A219,'Infinet ExDa'!$B$2:$E$14, 3,FALSE), "Not Found"))))))))</f>
        <v>ABB</v>
      </c>
      <c r="E219" t="str">
        <f>IFERROR(VLOOKUP($A219,'AAPT ExDa'!$B$2:$U$99, 3,FALSE), IFERROR(VLOOKUP($A219,'ABB ExDa'!$A$2:$N$184, 5,FALSE), IFERROR(VLOOKUP($A219,'Vocus SIT ExDa'!$B$2:$J$173, 2,FALSE), IFERROR(VLOOKUP($A219,'Telstra ExDa'!$B$2:$K$310, 4,FALSE), IFERROR(VLOOKUP($A219,'Vocus RVC ExDa'!$C$2:$R$155, 8,FALSE), IFERROR(VLOOKUP($A219,'Fusion ExDa'!$B$2:$D$16, 4,FALSE), IFERROR(VLOOKUP($A219,'Exetel ExDa'!$C$2:$N$14, 5,FALSE), IFERROR(VLOOKUP($A219,'Infinet ExDa'!$B$2:$E$14, 3,FALSE), "Not Found"))))))))</f>
        <v>NBN 50/20</v>
      </c>
      <c r="F219" t="str">
        <f>IFERROR(VLOOKUP($A219,'AAPT ExDa'!$B$2:$U$99, 4,FALSE), IFERROR(VLOOKUP($A219,'ABB ExDa'!$A$2:$N$184, 6,FALSE), IFERROR(VLOOKUP($A219,'Vocus SIT ExDa'!$B$2:$J$173, 3,FALSE), IFERROR(VLOOKUP($A219,'Telstra ExDa'!$B$2:$K$310, 5,FALSE), IFERROR(VLOOKUP($A219,'Vocus RVC ExDa'!$C$2:$R$155, 9,FALSE), IFERROR(VLOOKUP($A219,'Fusion ExDa'!$B$2:$D$16, 0,FALSE), IFERROR(VLOOKUP($A219,'Exetel ExDa'!$C$2:$N$14, 6,FALSE), IFERROR(VLOOKUP($A219,'Infinet ExDa'!$B$2:$E$14, 0,FALSE), "Not Found"))))))))</f>
        <v>FTTC</v>
      </c>
      <c r="G219" t="str">
        <f>IFERROR(VLOOKUP($A219,'AAPT ExDa'!$B$2:$U$99, 5,FALSE), IFERROR(VLOOKUP($A219,'ABB ExDa'!$A$2:$N$184, 8,FALSE), IFERROR(VLOOKUP($A219,'Vocus SIT ExDa'!$B$2:$J$173, 6,FALSE), IFERROR(VLOOKUP($A219,'Telstra ExDa'!$B$2:$K$310, 0,FALSE), IFERROR(VLOOKUP($A219,'Vocus RVC ExDa'!$C$2:$R$155, 15,FALSE), IFERROR(VLOOKUP($A219,'Fusion ExDa'!$B$2:$D$16, 0,FALSE), IFERROR(VLOOKUP($A219,'Exetel ExDa'!$C$2:$N$14, 7,FALSE), IFERROR(VLOOKUP($A219,'Infinet ExDa'!$B$2:$E$14, 0,FALSE), "Not Found"))))))))</f>
        <v>144.6.137.143</v>
      </c>
      <c r="H219" t="str">
        <f>IFERROR(VLOOKUP($A219,'AAPT ExDa'!$B$2:$U$99, 6,FALSE), IFERROR(VLOOKUP($A219,'ABB ExDa'!$A$2:$N$184, 0,FALSE), IFERROR(VLOOKUP($A219,'Vocus SIT ExDa'!$B$2:$J$173, 0,FALSE), IFERROR(VLOOKUP($A219,'Telstra ExDa'!$B$2:$K$310, 0,FALSE), IFERROR(VLOOKUP($A219,'Vocus RVC ExDa'!$C$2:$R$155, 16,FALSE), IFERROR(VLOOKUP($A219,'Fusion ExDa'!$B$2:$D$16, 0,FALSE), IFERROR(VLOOKUP($A219,'Exetel ExDa'!$C$2:$N$14, 0,FALSE), IFERROR(VLOOKUP($A219,'Infinet ExDa'!$B$2:$E$14, 0,FALSE), "Not Found"))))))))</f>
        <v>Not Found</v>
      </c>
      <c r="I219" t="str">
        <f>IFERROR(VLOOKUP($A219,'AAPT ExDa'!$B$2:$U$99, 0,FALSE), IFERROR(VLOOKUP($A219,'ABB ExDa'!$A$2:$N$184, 0,FALSE), IFERROR(VLOOKUP($A219,'Vocus SIT ExDa'!$B$2:$J$173, 0,FALSE), IFERROR(VLOOKUP($A219,'Telstra ExDa'!$B$2:$K$310, 0,FALSE), IFERROR(VLOOKUP($A219,'Vocus RVC ExDa'!$C$2:$R$155, 0,FALSE), IFERROR(VLOOKUP($A219,'Fusion ExDa'!$B$2:$D$16, 0,FALSE), IFERROR(VLOOKUP($A219,'Exetel ExDa'!$C$2:$N$14, 8,FALSE), IFERROR(VLOOKUP($A219,'Infinet ExDa'!$B$2:$E$14, 0,FALSE), "Not Found"))))))))</f>
        <v>Not Found</v>
      </c>
      <c r="J219" t="str">
        <f>IFERROR(VLOOKUP($A219,'AAPT ExDa'!$B$2:$U$99, 7,FALSE), IFERROR(VLOOKUP($A219,'ABB ExDa'!$A$2:$N$184, 2,FALSE), IFERROR(VLOOKUP($A219,'Vocus SIT ExDa'!$B$2:$J$173, 0,FALSE), IFERROR(VLOOKUP($A219,'Telstra ExDa'!$B$2:$K$310, 7,FALSE), IFERROR(VLOOKUP($A219,'Vocus RVC ExDa'!$C$2:$R$155, 2,FALSE), IFERROR(VLOOKUP($A219,'Fusion ExDa'!$B$2:$D$16, 3,FALSE), IFERROR(VLOOKUP($A219,'Exetel ExDa'!$C$2:$N$14, 0,FALSE), IFERROR(VLOOKUP($A219,'Infinet ExDa'!$B$2:$E$14, 0,FALSE), "Not Found"))))))))</f>
        <v>UN 1, 7 SCARBOROUGH BEACH RD, NORTH PERTH WA</v>
      </c>
      <c r="K219" t="str">
        <f>IFERROR(VLOOKUP($A219,'AAPT ExDa'!$B$2:$U$99, 12,FALSE), IFERROR(VLOOKUP($A219,'ABB ExDa'!$A$2:$N$184, 0,FALSE), IFERROR(VLOOKUP($A219,'Vocus SIT ExDa'!$B$2:$J$173, 0,FALSE), IFERROR(VLOOKUP($A219,'Telstra ExDa'!$B$2:$K$310, 0,FALSE), IFERROR(VLOOKUP($A219,'Vocus RVC ExDa'!$C$2:$R$155, 0,FALSE), IFERROR(VLOOKUP($A219,'Fusion ExDa'!$B$2:$D$16, 0,FALSE), IFERROR(VLOOKUP($A219,'Exetel ExDa'!$C$2:$N$14, 12,FALSE), IFERROR(VLOOKUP($A219,'Infinet ExDa'!$B$2:$E$14, 0,FALSE), "Not Found"))))))))</f>
        <v>Not Found</v>
      </c>
      <c r="L219" s="235" t="str">
        <f>IFERROR(VLOOKUP($A219,'AAPT ExDa'!$B$2:$U$99, 11,FALSE), IFERROR(VLOOKUP($A219,'ABB ExDa'!$A$2:$N$184, 9,FALSE), IFERROR(VLOOKUP($A219,'Vocus SIT ExDa'!$B$2:$J$173, 8,FALSE), IFERROR(VLOOKUP($A219,'Telstra ExDa'!$B$2:$K$310, 0,FALSE), IFERROR(VLOOKUP($A219,'Vocus RVC ExDa'!$C$2:$R$155, 0,FALSE), IFERROR(VLOOKUP($A219,'Fusion ExDa'!$B$2:$D$16, 0,FALSE), IFERROR(VLOOKUP($A219,'Exetel ExDa'!$C$2:$N$14, 9,FALSE), IFERROR(VLOOKUP($A219,'Infinet ExDa'!$B$2:$E$14, 0,FALSE), "Not Found"))))))))</f>
        <v>17 April 2024</v>
      </c>
      <c r="M219" s="234" t="str">
        <f>IFERROR(VLOOKUP($A219,'AAPT ExDa'!$B$2:$U$99, 0,FALSE), IFERROR(VLOOKUP($A219,'ABB ExDa'!$A$2:$N$184, 0,FALSE), IFERROR(VLOOKUP($A219,'Vocus SIT ExDa'!$B$2:$J$173, 0,FALSE), IFERROR(VLOOKUP($A219,'Telstra ExDa'!$B$2:$K$310, 0,FALSE), IFERROR(VLOOKUP($A219,'Vocus RVC ExDa'!$C$2:$R$155, 0,FALSE), IFERROR(VLOOKUP($A219,'Fusion ExDa'!$B$2:$D$16, 0,FALSE), IFERROR(VLOOKUP($A219,'Exetel ExDa'!$C$2:$N$14, 11,FALSE), IFERROR(VLOOKUP($A219,'Infinet ExDa'!$B$2:$E$14, 0,FALSE), "Not Found"))))))))</f>
        <v>Not Found</v>
      </c>
      <c r="N219" t="str">
        <f>IFERROR(VLOOKUP($A219,'AAPT ExDa'!$B$2:$U$99, 0,FALSE), IFERROR(VLOOKUP($A219,'ABB ExDa'!$A$2:$N$184, 13,FALSE), IFERROR(VLOOKUP($A219,'Vocus SIT ExDa'!$B$2:$J$173, 0,FALSE), IFERROR(VLOOKUP($A219,'Telstra ExDa'!$B$2:$K$310, 0,FALSE), IFERROR(VLOOKUP($A219,'Vocus RVC ExDa'!$C$2:$R$155, 0,FALSE), IFERROR(VLOOKUP($A219,'Fusion ExDa'!$B$2:$D$16, 0,FALSE), IFERROR(VLOOKUP($A219,'Exetel ExDa'!$C$2:$N$14, 0,FALSE), IFERROR(VLOOKUP($A219,'Infinet ExDa'!$B$2:$E$14, 0,FALSE), "Not Found"))))))))</f>
        <v>Onebill</v>
      </c>
    </row>
    <row r="220" spans="1:14">
      <c r="A220" t="str">
        <v>Zambrero Ocean Grove</v>
      </c>
      <c r="B220" t="str">
        <f>IFERROR(VLOOKUP(A220,'Exetel ExDa'!$C$2:$N$14,4,FALSE),"No Data")</f>
        <v>No Data</v>
      </c>
      <c r="C220" t="str">
        <f>IFERROR(VLOOKUP(A220,'AAPT ExDa'!$B$2:$U$99, 2,FALSE), IFERROR(VLOOKUP(A220,'ABB ExDa'!$A$2:$N$184, 2,FALSE), IFERROR(VLOOKUP(A220,'Vocus SIT ExDa'!$B$2:$J$173, 7,FALSE), IFERROR(VLOOKUP(A220,'Telstra ExDa'!$B$2:$K$310, 2,FALSE), IFERROR(VLOOKUP(A220,'Vocus RVC ExDa'!$C$2:$R$155, 3,FALSE), IFERROR(VLOOKUP(A220,'Fusion ExDa'!$B$2:$D$16, 2,FALSE), IFERROR(VLOOKUP(A220,'Exetel ExDa'!$C$2:$N$14, 2,FALSE), IFERROR(VLOOKUP(A220,'Infinet ExDa'!$B$2:$E$14, 2,FALSE), "Not Found"))))))))</f>
        <v>UN 24, 12 COASTAL BVD, OCEAN GROVE VIC</v>
      </c>
      <c r="D220" t="str">
        <f>IFERROR(VLOOKUP($A220,'AAPT ExDa'!$B$2:$U$99, 15,FALSE), IFERROR(VLOOKUP($A220,'ABB ExDa'!$A$2:$N$184, 4,FALSE), IFERROR(VLOOKUP($A220,'Vocus SIT ExDa'!$B$2:$J$173, 5,FALSE), IFERROR(VLOOKUP($A220,'Telstra ExDa'!$B$2:$K$310, 8,FALSE), IFERROR(VLOOKUP($A220,'Vocus RVC ExDa'!$C$2:$R$155, 6,FALSE), IFERROR(VLOOKUP($A220,'Fusion ExDa'!$B$2:$D$16, 4,FALSE), IFERROR(VLOOKUP($A220,'Exetel ExDa'!$C$2:$N$14, 3,FALSE), IFERROR(VLOOKUP($A220,'Infinet ExDa'!$B$2:$E$14, 3,FALSE), "Not Found"))))))))</f>
        <v>ABB</v>
      </c>
      <c r="E220" t="str">
        <f>IFERROR(VLOOKUP($A220,'AAPT ExDa'!$B$2:$U$99, 3,FALSE), IFERROR(VLOOKUP($A220,'ABB ExDa'!$A$2:$N$184, 5,FALSE), IFERROR(VLOOKUP($A220,'Vocus SIT ExDa'!$B$2:$J$173, 2,FALSE), IFERROR(VLOOKUP($A220,'Telstra ExDa'!$B$2:$K$310, 4,FALSE), IFERROR(VLOOKUP($A220,'Vocus RVC ExDa'!$C$2:$R$155, 8,FALSE), IFERROR(VLOOKUP($A220,'Fusion ExDa'!$B$2:$D$16, 4,FALSE), IFERROR(VLOOKUP($A220,'Exetel ExDa'!$C$2:$N$14, 5,FALSE), IFERROR(VLOOKUP($A220,'Infinet ExDa'!$B$2:$E$14, 3,FALSE), "Not Found"))))))))</f>
        <v>NBN25/10</v>
      </c>
      <c r="F220" t="str">
        <f>IFERROR(VLOOKUP($A220,'AAPT ExDa'!$B$2:$U$99, 4,FALSE), IFERROR(VLOOKUP($A220,'ABB ExDa'!$A$2:$N$184, 6,FALSE), IFERROR(VLOOKUP($A220,'Vocus SIT ExDa'!$B$2:$J$173, 3,FALSE), IFERROR(VLOOKUP($A220,'Telstra ExDa'!$B$2:$K$310, 5,FALSE), IFERROR(VLOOKUP($A220,'Vocus RVC ExDa'!$C$2:$R$155, 9,FALSE), IFERROR(VLOOKUP($A220,'Fusion ExDa'!$B$2:$D$16, 0,FALSE), IFERROR(VLOOKUP($A220,'Exetel ExDa'!$C$2:$N$14, 6,FALSE), IFERROR(VLOOKUP($A220,'Infinet ExDa'!$B$2:$E$14, 0,FALSE), "Not Found"))))))))</f>
        <v xml:space="preserve">Fibre </v>
      </c>
      <c r="G220" t="str">
        <f>IFERROR(VLOOKUP($A220,'AAPT ExDa'!$B$2:$U$99, 5,FALSE), IFERROR(VLOOKUP($A220,'ABB ExDa'!$A$2:$N$184, 8,FALSE), IFERROR(VLOOKUP($A220,'Vocus SIT ExDa'!$B$2:$J$173, 6,FALSE), IFERROR(VLOOKUP($A220,'Telstra ExDa'!$B$2:$K$310, 0,FALSE), IFERROR(VLOOKUP($A220,'Vocus RVC ExDa'!$C$2:$R$155, 15,FALSE), IFERROR(VLOOKUP($A220,'Fusion ExDa'!$B$2:$D$16, 0,FALSE), IFERROR(VLOOKUP($A220,'Exetel ExDa'!$C$2:$N$14, 7,FALSE), IFERROR(VLOOKUP($A220,'Infinet ExDa'!$B$2:$E$14, 0,FALSE), "Not Found"))))))))</f>
        <v>144.6.184.36</v>
      </c>
      <c r="H220">
        <f>IFERROR(VLOOKUP($A220,'AAPT ExDa'!$B$2:$U$99, 6,FALSE), IFERROR(VLOOKUP($A220,'ABB ExDa'!$A$2:$N$184, 0,FALSE), IFERROR(VLOOKUP($A220,'Vocus SIT ExDa'!$B$2:$J$173, 0,FALSE), IFERROR(VLOOKUP($A220,'Telstra ExDa'!$B$2:$K$310, 0,FALSE), IFERROR(VLOOKUP($A220,'Vocus RVC ExDa'!$C$2:$R$155, 16,FALSE), IFERROR(VLOOKUP($A220,'Fusion ExDa'!$B$2:$D$16, 0,FALSE), IFERROR(VLOOKUP($A220,'Exetel ExDa'!$C$2:$N$14, 0,FALSE), IFERROR(VLOOKUP($A220,'Infinet ExDa'!$B$2:$E$14, 0,FALSE), "Not Found"))))))))</f>
        <v>0</v>
      </c>
      <c r="I220" t="str">
        <f>IFERROR(VLOOKUP($A220,'AAPT ExDa'!$B$2:$U$99, 0,FALSE), IFERROR(VLOOKUP($A220,'ABB ExDa'!$A$2:$N$184, 0,FALSE), IFERROR(VLOOKUP($A220,'Vocus SIT ExDa'!$B$2:$J$173, 0,FALSE), IFERROR(VLOOKUP($A220,'Telstra ExDa'!$B$2:$K$310, 0,FALSE), IFERROR(VLOOKUP($A220,'Vocus RVC ExDa'!$C$2:$R$155, 0,FALSE), IFERROR(VLOOKUP($A220,'Fusion ExDa'!$B$2:$D$16, 0,FALSE), IFERROR(VLOOKUP($A220,'Exetel ExDa'!$C$2:$N$14, 8,FALSE), IFERROR(VLOOKUP($A220,'Infinet ExDa'!$B$2:$E$14, 0,FALSE), "Not Found"))))))))</f>
        <v>Not Found</v>
      </c>
      <c r="J220" t="str">
        <f>IFERROR(VLOOKUP($A220,'AAPT ExDa'!$B$2:$U$99, 7,FALSE), IFERROR(VLOOKUP($A220,'ABB ExDa'!$A$2:$N$184, 2,FALSE), IFERROR(VLOOKUP($A220,'Vocus SIT ExDa'!$B$2:$J$173, 0,FALSE), IFERROR(VLOOKUP($A220,'Telstra ExDa'!$B$2:$K$310, 7,FALSE), IFERROR(VLOOKUP($A220,'Vocus RVC ExDa'!$C$2:$R$155, 2,FALSE), IFERROR(VLOOKUP($A220,'Fusion ExDa'!$B$2:$D$16, 3,FALSE), IFERROR(VLOOKUP($A220,'Exetel ExDa'!$C$2:$N$14, 0,FALSE), IFERROR(VLOOKUP($A220,'Infinet ExDa'!$B$2:$E$14, 0,FALSE), "Not Found"))))))))</f>
        <v>UN 24, 12 COASTAL BVD, OCEAN GROVE VIC</v>
      </c>
      <c r="K220" t="str">
        <f>IFERROR(VLOOKUP($A220,'AAPT ExDa'!$B$2:$U$99, 12,FALSE), IFERROR(VLOOKUP($A220,'ABB ExDa'!$A$2:$N$184, 0,FALSE), IFERROR(VLOOKUP($A220,'Vocus SIT ExDa'!$B$2:$J$173, 0,FALSE), IFERROR(VLOOKUP($A220,'Telstra ExDa'!$B$2:$K$310, 0,FALSE), IFERROR(VLOOKUP($A220,'Vocus RVC ExDa'!$C$2:$R$155, 0,FALSE), IFERROR(VLOOKUP($A220,'Fusion ExDa'!$B$2:$D$16, 0,FALSE), IFERROR(VLOOKUP($A220,'Exetel ExDa'!$C$2:$N$14, 12,FALSE), IFERROR(VLOOKUP($A220,'Infinet ExDa'!$B$2:$E$14, 0,FALSE), "Not Found"))))))))</f>
        <v>Not Found</v>
      </c>
      <c r="L220" s="235" t="str">
        <f>IFERROR(VLOOKUP($A220,'AAPT ExDa'!$B$2:$U$99, 11,FALSE), IFERROR(VLOOKUP($A220,'ABB ExDa'!$A$2:$N$184, 9,FALSE), IFERROR(VLOOKUP($A220,'Vocus SIT ExDa'!$B$2:$J$173, 8,FALSE), IFERROR(VLOOKUP($A220,'Telstra ExDa'!$B$2:$K$310, 0,FALSE), IFERROR(VLOOKUP($A220,'Vocus RVC ExDa'!$C$2:$R$155, 0,FALSE), IFERROR(VLOOKUP($A220,'Fusion ExDa'!$B$2:$D$16, 0,FALSE), IFERROR(VLOOKUP($A220,'Exetel ExDa'!$C$2:$N$14, 9,FALSE), IFERROR(VLOOKUP($A220,'Infinet ExDa'!$B$2:$E$14, 0,FALSE), "Not Found"))))))))</f>
        <v>18 Nov 2024</v>
      </c>
      <c r="M220" s="234" t="str">
        <f>IFERROR(VLOOKUP($A220,'AAPT ExDa'!$B$2:$U$99, 0,FALSE), IFERROR(VLOOKUP($A220,'ABB ExDa'!$A$2:$N$184, 0,FALSE), IFERROR(VLOOKUP($A220,'Vocus SIT ExDa'!$B$2:$J$173, 0,FALSE), IFERROR(VLOOKUP($A220,'Telstra ExDa'!$B$2:$K$310, 0,FALSE), IFERROR(VLOOKUP($A220,'Vocus RVC ExDa'!$C$2:$R$155, 0,FALSE), IFERROR(VLOOKUP($A220,'Fusion ExDa'!$B$2:$D$16, 0,FALSE), IFERROR(VLOOKUP($A220,'Exetel ExDa'!$C$2:$N$14, 11,FALSE), IFERROR(VLOOKUP($A220,'Infinet ExDa'!$B$2:$E$14, 0,FALSE), "Not Found"))))))))</f>
        <v>Not Found</v>
      </c>
      <c r="N220" t="str">
        <f>IFERROR(VLOOKUP($A220,'AAPT ExDa'!$B$2:$U$99, 0,FALSE), IFERROR(VLOOKUP($A220,'ABB ExDa'!$A$2:$N$184, 13,FALSE), IFERROR(VLOOKUP($A220,'Vocus SIT ExDa'!$B$2:$J$173, 0,FALSE), IFERROR(VLOOKUP($A220,'Telstra ExDa'!$B$2:$K$310, 0,FALSE), IFERROR(VLOOKUP($A220,'Vocus RVC ExDa'!$C$2:$R$155, 0,FALSE), IFERROR(VLOOKUP($A220,'Fusion ExDa'!$B$2:$D$16, 0,FALSE), IFERROR(VLOOKUP($A220,'Exetel ExDa'!$C$2:$N$14, 0,FALSE), IFERROR(VLOOKUP($A220,'Infinet ExDa'!$B$2:$E$14, 0,FALSE), "Not Found"))))))))</f>
        <v>Onebill</v>
      </c>
    </row>
    <row r="221" spans="1:14">
      <c r="A221" t="str">
        <v>Zambrero Orange</v>
      </c>
      <c r="B221" t="str">
        <f>IFERROR(VLOOKUP(A221,'Exetel ExDa'!$C$2:$N$14,4,FALSE),"No Data")</f>
        <v>No Data</v>
      </c>
      <c r="C221" t="str">
        <f>IFERROR(VLOOKUP(A221,'AAPT ExDa'!$B$2:$U$99, 2,FALSE), IFERROR(VLOOKUP(A221,'ABB ExDa'!$A$2:$N$184, 2,FALSE), IFERROR(VLOOKUP(A221,'Vocus SIT ExDa'!$B$2:$J$173, 7,FALSE), IFERROR(VLOOKUP(A221,'Telstra ExDa'!$B$2:$K$310, 2,FALSE), IFERROR(VLOOKUP(A221,'Vocus RVC ExDa'!$C$2:$R$155, 3,FALSE), IFERROR(VLOOKUP(A221,'Fusion ExDa'!$B$2:$D$16, 2,FALSE), IFERROR(VLOOKUP(A221,'Exetel ExDa'!$C$2:$N$14, 2,FALSE), IFERROR(VLOOKUP(A221,'Infinet ExDa'!$B$2:$E$14, 2,FALSE), "Not Found"))))))))</f>
        <v>ORANGE CENTRAL SHOP 43, 227 SUMMER ST, ORANGE NSW</v>
      </c>
      <c r="D221" t="str">
        <f>IFERROR(VLOOKUP($A221,'AAPT ExDa'!$B$2:$U$99, 15,FALSE), IFERROR(VLOOKUP($A221,'ABB ExDa'!$A$2:$N$184, 4,FALSE), IFERROR(VLOOKUP($A221,'Vocus SIT ExDa'!$B$2:$J$173, 5,FALSE), IFERROR(VLOOKUP($A221,'Telstra ExDa'!$B$2:$K$310, 8,FALSE), IFERROR(VLOOKUP($A221,'Vocus RVC ExDa'!$C$2:$R$155, 6,FALSE), IFERROR(VLOOKUP($A221,'Fusion ExDa'!$B$2:$D$16, 4,FALSE), IFERROR(VLOOKUP($A221,'Exetel ExDa'!$C$2:$N$14, 3,FALSE), IFERROR(VLOOKUP($A221,'Infinet ExDa'!$B$2:$E$14, 3,FALSE), "Not Found"))))))))</f>
        <v>ABB</v>
      </c>
      <c r="E221">
        <f>IFERROR(VLOOKUP($A221,'AAPT ExDa'!$B$2:$U$99, 3,FALSE), IFERROR(VLOOKUP($A221,'ABB ExDa'!$A$2:$N$184, 5,FALSE), IFERROR(VLOOKUP($A221,'Vocus SIT ExDa'!$B$2:$J$173, 2,FALSE), IFERROR(VLOOKUP($A221,'Telstra ExDa'!$B$2:$K$310, 4,FALSE), IFERROR(VLOOKUP($A221,'Vocus RVC ExDa'!$C$2:$R$155, 8,FALSE), IFERROR(VLOOKUP($A221,'Fusion ExDa'!$B$2:$D$16, 4,FALSE), IFERROR(VLOOKUP($A221,'Exetel ExDa'!$C$2:$N$14, 5,FALSE), IFERROR(VLOOKUP($A221,'Infinet ExDa'!$B$2:$E$14, 3,FALSE), "Not Found"))))))))</f>
        <v>0</v>
      </c>
      <c r="F221" t="str">
        <f>IFERROR(VLOOKUP($A221,'AAPT ExDa'!$B$2:$U$99, 4,FALSE), IFERROR(VLOOKUP($A221,'ABB ExDa'!$A$2:$N$184, 6,FALSE), IFERROR(VLOOKUP($A221,'Vocus SIT ExDa'!$B$2:$J$173, 3,FALSE), IFERROR(VLOOKUP($A221,'Telstra ExDa'!$B$2:$K$310, 5,FALSE), IFERROR(VLOOKUP($A221,'Vocus RVC ExDa'!$C$2:$R$155, 9,FALSE), IFERROR(VLOOKUP($A221,'Fusion ExDa'!$B$2:$D$16, 0,FALSE), IFERROR(VLOOKUP($A221,'Exetel ExDa'!$C$2:$N$14, 6,FALSE), IFERROR(VLOOKUP($A221,'Infinet ExDa'!$B$2:$E$14, 0,FALSE), "Not Found"))))))))</f>
        <v xml:space="preserve">FTTN </v>
      </c>
      <c r="G221" t="str">
        <f>IFERROR(VLOOKUP($A221,'AAPT ExDa'!$B$2:$U$99, 5,FALSE), IFERROR(VLOOKUP($A221,'ABB ExDa'!$A$2:$N$184, 8,FALSE), IFERROR(VLOOKUP($A221,'Vocus SIT ExDa'!$B$2:$J$173, 6,FALSE), IFERROR(VLOOKUP($A221,'Telstra ExDa'!$B$2:$K$310, 0,FALSE), IFERROR(VLOOKUP($A221,'Vocus RVC ExDa'!$C$2:$R$155, 15,FALSE), IFERROR(VLOOKUP($A221,'Fusion ExDa'!$B$2:$D$16, 0,FALSE), IFERROR(VLOOKUP($A221,'Exetel ExDa'!$C$2:$N$14, 7,FALSE), IFERROR(VLOOKUP($A221,'Infinet ExDa'!$B$2:$E$14, 0,FALSE), "Not Found"))))))))</f>
        <v>167.179.175.113</v>
      </c>
      <c r="H221" t="str">
        <f>IFERROR(VLOOKUP($A221,'AAPT ExDa'!$B$2:$U$99, 6,FALSE), IFERROR(VLOOKUP($A221,'ABB ExDa'!$A$2:$N$184, 0,FALSE), IFERROR(VLOOKUP($A221,'Vocus SIT ExDa'!$B$2:$J$173, 0,FALSE), IFERROR(VLOOKUP($A221,'Telstra ExDa'!$B$2:$K$310, 0,FALSE), IFERROR(VLOOKUP($A221,'Vocus RVC ExDa'!$C$2:$R$155, 16,FALSE), IFERROR(VLOOKUP($A221,'Fusion ExDa'!$B$2:$D$16, 0,FALSE), IFERROR(VLOOKUP($A221,'Exetel ExDa'!$C$2:$N$14, 0,FALSE), IFERROR(VLOOKUP($A221,'Infinet ExDa'!$B$2:$E$14, 0,FALSE), "Not Found"))))))))</f>
        <v>Not Found</v>
      </c>
      <c r="I221" t="str">
        <f>IFERROR(VLOOKUP($A221,'AAPT ExDa'!$B$2:$U$99, 0,FALSE), IFERROR(VLOOKUP($A221,'ABB ExDa'!$A$2:$N$184, 0,FALSE), IFERROR(VLOOKUP($A221,'Vocus SIT ExDa'!$B$2:$J$173, 0,FALSE), IFERROR(VLOOKUP($A221,'Telstra ExDa'!$B$2:$K$310, 0,FALSE), IFERROR(VLOOKUP($A221,'Vocus RVC ExDa'!$C$2:$R$155, 0,FALSE), IFERROR(VLOOKUP($A221,'Fusion ExDa'!$B$2:$D$16, 0,FALSE), IFERROR(VLOOKUP($A221,'Exetel ExDa'!$C$2:$N$14, 8,FALSE), IFERROR(VLOOKUP($A221,'Infinet ExDa'!$B$2:$E$14, 0,FALSE), "Not Found"))))))))</f>
        <v>Not Found</v>
      </c>
      <c r="J221" t="str">
        <f>IFERROR(VLOOKUP($A221,'AAPT ExDa'!$B$2:$U$99, 7,FALSE), IFERROR(VLOOKUP($A221,'ABB ExDa'!$A$2:$N$184, 2,FALSE), IFERROR(VLOOKUP($A221,'Vocus SIT ExDa'!$B$2:$J$173, 0,FALSE), IFERROR(VLOOKUP($A221,'Telstra ExDa'!$B$2:$K$310, 7,FALSE), IFERROR(VLOOKUP($A221,'Vocus RVC ExDa'!$C$2:$R$155, 2,FALSE), IFERROR(VLOOKUP($A221,'Fusion ExDa'!$B$2:$D$16, 3,FALSE), IFERROR(VLOOKUP($A221,'Exetel ExDa'!$C$2:$N$14, 0,FALSE), IFERROR(VLOOKUP($A221,'Infinet ExDa'!$B$2:$E$14, 0,FALSE), "Not Found"))))))))</f>
        <v>ORANGE CENTRAL SHOP 43, 227 SUMMER ST, ORANGE NSW</v>
      </c>
      <c r="K221" t="str">
        <f>IFERROR(VLOOKUP($A221,'AAPT ExDa'!$B$2:$U$99, 12,FALSE), IFERROR(VLOOKUP($A221,'ABB ExDa'!$A$2:$N$184, 0,FALSE), IFERROR(VLOOKUP($A221,'Vocus SIT ExDa'!$B$2:$J$173, 0,FALSE), IFERROR(VLOOKUP($A221,'Telstra ExDa'!$B$2:$K$310, 0,FALSE), IFERROR(VLOOKUP($A221,'Vocus RVC ExDa'!$C$2:$R$155, 0,FALSE), IFERROR(VLOOKUP($A221,'Fusion ExDa'!$B$2:$D$16, 0,FALSE), IFERROR(VLOOKUP($A221,'Exetel ExDa'!$C$2:$N$14, 12,FALSE), IFERROR(VLOOKUP($A221,'Infinet ExDa'!$B$2:$E$14, 0,FALSE), "Not Found"))))))))</f>
        <v>Not Found</v>
      </c>
      <c r="L221" s="235" t="str">
        <f>IFERROR(VLOOKUP($A221,'AAPT ExDa'!$B$2:$U$99, 11,FALSE), IFERROR(VLOOKUP($A221,'ABB ExDa'!$A$2:$N$184, 9,FALSE), IFERROR(VLOOKUP($A221,'Vocus SIT ExDa'!$B$2:$J$173, 8,FALSE), IFERROR(VLOOKUP($A221,'Telstra ExDa'!$B$2:$K$310, 0,FALSE), IFERROR(VLOOKUP($A221,'Vocus RVC ExDa'!$C$2:$R$155, 0,FALSE), IFERROR(VLOOKUP($A221,'Fusion ExDa'!$B$2:$D$16, 0,FALSE), IFERROR(VLOOKUP($A221,'Exetel ExDa'!$C$2:$N$14, 9,FALSE), IFERROR(VLOOKUP($A221,'Infinet ExDa'!$B$2:$E$14, 0,FALSE), "Not Found"))))))))</f>
        <v>07 Aug 2024</v>
      </c>
      <c r="M221" s="234" t="str">
        <f>IFERROR(VLOOKUP($A221,'AAPT ExDa'!$B$2:$U$99, 0,FALSE), IFERROR(VLOOKUP($A221,'ABB ExDa'!$A$2:$N$184, 0,FALSE), IFERROR(VLOOKUP($A221,'Vocus SIT ExDa'!$B$2:$J$173, 0,FALSE), IFERROR(VLOOKUP($A221,'Telstra ExDa'!$B$2:$K$310, 0,FALSE), IFERROR(VLOOKUP($A221,'Vocus RVC ExDa'!$C$2:$R$155, 0,FALSE), IFERROR(VLOOKUP($A221,'Fusion ExDa'!$B$2:$D$16, 0,FALSE), IFERROR(VLOOKUP($A221,'Exetel ExDa'!$C$2:$N$14, 11,FALSE), IFERROR(VLOOKUP($A221,'Infinet ExDa'!$B$2:$E$14, 0,FALSE), "Not Found"))))))))</f>
        <v>Not Found</v>
      </c>
      <c r="N221" t="str">
        <f>IFERROR(VLOOKUP($A221,'AAPT ExDa'!$B$2:$U$99, 0,FALSE), IFERROR(VLOOKUP($A221,'ABB ExDa'!$A$2:$N$184, 13,FALSE), IFERROR(VLOOKUP($A221,'Vocus SIT ExDa'!$B$2:$J$173, 0,FALSE), IFERROR(VLOOKUP($A221,'Telstra ExDa'!$B$2:$K$310, 0,FALSE), IFERROR(VLOOKUP($A221,'Vocus RVC ExDa'!$C$2:$R$155, 0,FALSE), IFERROR(VLOOKUP($A221,'Fusion ExDa'!$B$2:$D$16, 0,FALSE), IFERROR(VLOOKUP($A221,'Exetel ExDa'!$C$2:$N$14, 0,FALSE), IFERROR(VLOOKUP($A221,'Infinet ExDa'!$B$2:$E$14, 0,FALSE), "Not Found"))))))))</f>
        <v>Onebill</v>
      </c>
    </row>
    <row r="222" spans="1:14">
      <c r="A222" t="str">
        <v>Zambrero Port Pirie</v>
      </c>
      <c r="B222" t="str">
        <f>IFERROR(VLOOKUP(A222,'Exetel ExDa'!$C$2:$N$14,4,FALSE),"No Data")</f>
        <v>No Data</v>
      </c>
      <c r="C222" t="str">
        <f>IFERROR(VLOOKUP(A222,'AAPT ExDa'!$B$2:$U$99, 2,FALSE), IFERROR(VLOOKUP(A222,'ABB ExDa'!$A$2:$N$184, 2,FALSE), IFERROR(VLOOKUP(A222,'Vocus SIT ExDa'!$B$2:$J$173, 7,FALSE), IFERROR(VLOOKUP(A222,'Telstra ExDa'!$B$2:$K$310, 2,FALSE), IFERROR(VLOOKUP(A222,'Vocus RVC ExDa'!$C$2:$R$155, 3,FALSE), IFERROR(VLOOKUP(A222,'Fusion ExDa'!$B$2:$D$16, 2,FALSE), IFERROR(VLOOKUP(A222,'Exetel ExDa'!$C$2:$N$14, 2,FALSE), IFERROR(VLOOKUP(A222,'Infinet ExDa'!$B$2:$E$14, 2,FALSE), "Not Found"))))))))</f>
        <v>200 ELLEN ST, PORT PIRIE SA</v>
      </c>
      <c r="D222" t="str">
        <f>IFERROR(VLOOKUP($A222,'AAPT ExDa'!$B$2:$U$99, 15,FALSE), IFERROR(VLOOKUP($A222,'ABB ExDa'!$A$2:$N$184, 4,FALSE), IFERROR(VLOOKUP($A222,'Vocus SIT ExDa'!$B$2:$J$173, 5,FALSE), IFERROR(VLOOKUP($A222,'Telstra ExDa'!$B$2:$K$310, 8,FALSE), IFERROR(VLOOKUP($A222,'Vocus RVC ExDa'!$C$2:$R$155, 6,FALSE), IFERROR(VLOOKUP($A222,'Fusion ExDa'!$B$2:$D$16, 4,FALSE), IFERROR(VLOOKUP($A222,'Exetel ExDa'!$C$2:$N$14, 3,FALSE), IFERROR(VLOOKUP($A222,'Infinet ExDa'!$B$2:$E$14, 3,FALSE), "Not Found"))))))))</f>
        <v>ABB</v>
      </c>
      <c r="E222" t="str">
        <f>IFERROR(VLOOKUP($A222,'AAPT ExDa'!$B$2:$U$99, 3,FALSE), IFERROR(VLOOKUP($A222,'ABB ExDa'!$A$2:$N$184, 5,FALSE), IFERROR(VLOOKUP($A222,'Vocus SIT ExDa'!$B$2:$J$173, 2,FALSE), IFERROR(VLOOKUP($A222,'Telstra ExDa'!$B$2:$K$310, 4,FALSE), IFERROR(VLOOKUP($A222,'Vocus RVC ExDa'!$C$2:$R$155, 8,FALSE), IFERROR(VLOOKUP($A222,'Fusion ExDa'!$B$2:$D$16, 4,FALSE), IFERROR(VLOOKUP($A222,'Exetel ExDa'!$C$2:$N$14, 5,FALSE), IFERROR(VLOOKUP($A222,'Infinet ExDa'!$B$2:$E$14, 3,FALSE), "Not Found"))))))))</f>
        <v>NBN 25/10</v>
      </c>
      <c r="F222" t="str">
        <f>IFERROR(VLOOKUP($A222,'AAPT ExDa'!$B$2:$U$99, 4,FALSE), IFERROR(VLOOKUP($A222,'ABB ExDa'!$A$2:$N$184, 6,FALSE), IFERROR(VLOOKUP($A222,'Vocus SIT ExDa'!$B$2:$J$173, 3,FALSE), IFERROR(VLOOKUP($A222,'Telstra ExDa'!$B$2:$K$310, 5,FALSE), IFERROR(VLOOKUP($A222,'Vocus RVC ExDa'!$C$2:$R$155, 9,FALSE), IFERROR(VLOOKUP($A222,'Fusion ExDa'!$B$2:$D$16, 0,FALSE), IFERROR(VLOOKUP($A222,'Exetel ExDa'!$C$2:$N$14, 6,FALSE), IFERROR(VLOOKUP($A222,'Infinet ExDa'!$B$2:$E$14, 0,FALSE), "Not Found"))))))))</f>
        <v xml:space="preserve">FTTN </v>
      </c>
      <c r="G222" t="str">
        <f>IFERROR(VLOOKUP($A222,'AAPT ExDa'!$B$2:$U$99, 5,FALSE), IFERROR(VLOOKUP($A222,'ABB ExDa'!$A$2:$N$184, 8,FALSE), IFERROR(VLOOKUP($A222,'Vocus SIT ExDa'!$B$2:$J$173, 6,FALSE), IFERROR(VLOOKUP($A222,'Telstra ExDa'!$B$2:$K$310, 0,FALSE), IFERROR(VLOOKUP($A222,'Vocus RVC ExDa'!$C$2:$R$155, 15,FALSE), IFERROR(VLOOKUP($A222,'Fusion ExDa'!$B$2:$D$16, 0,FALSE), IFERROR(VLOOKUP($A222,'Exetel ExDa'!$C$2:$N$14, 7,FALSE), IFERROR(VLOOKUP($A222,'Infinet ExDa'!$B$2:$E$14, 0,FALSE), "Not Found"))))))))</f>
        <v>144.6.21.182</v>
      </c>
      <c r="H222" t="str">
        <f>IFERROR(VLOOKUP($A222,'AAPT ExDa'!$B$2:$U$99, 6,FALSE), IFERROR(VLOOKUP($A222,'ABB ExDa'!$A$2:$N$184, 0,FALSE), IFERROR(VLOOKUP($A222,'Vocus SIT ExDa'!$B$2:$J$173, 0,FALSE), IFERROR(VLOOKUP($A222,'Telstra ExDa'!$B$2:$K$310, 0,FALSE), IFERROR(VLOOKUP($A222,'Vocus RVC ExDa'!$C$2:$R$155, 16,FALSE), IFERROR(VLOOKUP($A222,'Fusion ExDa'!$B$2:$D$16, 0,FALSE), IFERROR(VLOOKUP($A222,'Exetel ExDa'!$C$2:$N$14, 0,FALSE), IFERROR(VLOOKUP($A222,'Infinet ExDa'!$B$2:$E$14, 0,FALSE), "Not Found"))))))))</f>
        <v>Not Found</v>
      </c>
      <c r="I222" t="str">
        <f>IFERROR(VLOOKUP($A222,'AAPT ExDa'!$B$2:$U$99, 0,FALSE), IFERROR(VLOOKUP($A222,'ABB ExDa'!$A$2:$N$184, 0,FALSE), IFERROR(VLOOKUP($A222,'Vocus SIT ExDa'!$B$2:$J$173, 0,FALSE), IFERROR(VLOOKUP($A222,'Telstra ExDa'!$B$2:$K$310, 0,FALSE), IFERROR(VLOOKUP($A222,'Vocus RVC ExDa'!$C$2:$R$155, 0,FALSE), IFERROR(VLOOKUP($A222,'Fusion ExDa'!$B$2:$D$16, 0,FALSE), IFERROR(VLOOKUP($A222,'Exetel ExDa'!$C$2:$N$14, 8,FALSE), IFERROR(VLOOKUP($A222,'Infinet ExDa'!$B$2:$E$14, 0,FALSE), "Not Found"))))))))</f>
        <v>Not Found</v>
      </c>
      <c r="J222" t="str">
        <f>IFERROR(VLOOKUP($A222,'AAPT ExDa'!$B$2:$U$99, 7,FALSE), IFERROR(VLOOKUP($A222,'ABB ExDa'!$A$2:$N$184, 2,FALSE), IFERROR(VLOOKUP($A222,'Vocus SIT ExDa'!$B$2:$J$173, 0,FALSE), IFERROR(VLOOKUP($A222,'Telstra ExDa'!$B$2:$K$310, 7,FALSE), IFERROR(VLOOKUP($A222,'Vocus RVC ExDa'!$C$2:$R$155, 2,FALSE), IFERROR(VLOOKUP($A222,'Fusion ExDa'!$B$2:$D$16, 3,FALSE), IFERROR(VLOOKUP($A222,'Exetel ExDa'!$C$2:$N$14, 0,FALSE), IFERROR(VLOOKUP($A222,'Infinet ExDa'!$B$2:$E$14, 0,FALSE), "Not Found"))))))))</f>
        <v>200 ELLEN ST, PORT PIRIE SA</v>
      </c>
      <c r="K222" t="str">
        <f>IFERROR(VLOOKUP($A222,'AAPT ExDa'!$B$2:$U$99, 12,FALSE), IFERROR(VLOOKUP($A222,'ABB ExDa'!$A$2:$N$184, 0,FALSE), IFERROR(VLOOKUP($A222,'Vocus SIT ExDa'!$B$2:$J$173, 0,FALSE), IFERROR(VLOOKUP($A222,'Telstra ExDa'!$B$2:$K$310, 0,FALSE), IFERROR(VLOOKUP($A222,'Vocus RVC ExDa'!$C$2:$R$155, 0,FALSE), IFERROR(VLOOKUP($A222,'Fusion ExDa'!$B$2:$D$16, 0,FALSE), IFERROR(VLOOKUP($A222,'Exetel ExDa'!$C$2:$N$14, 12,FALSE), IFERROR(VLOOKUP($A222,'Infinet ExDa'!$B$2:$E$14, 0,FALSE), "Not Found"))))))))</f>
        <v>Not Found</v>
      </c>
      <c r="L222" s="235" t="str">
        <f>IFERROR(VLOOKUP($A222,'AAPT ExDa'!$B$2:$U$99, 11,FALSE), IFERROR(VLOOKUP($A222,'ABB ExDa'!$A$2:$N$184, 9,FALSE), IFERROR(VLOOKUP($A222,'Vocus SIT ExDa'!$B$2:$J$173, 8,FALSE), IFERROR(VLOOKUP($A222,'Telstra ExDa'!$B$2:$K$310, 0,FALSE), IFERROR(VLOOKUP($A222,'Vocus RVC ExDa'!$C$2:$R$155, 0,FALSE), IFERROR(VLOOKUP($A222,'Fusion ExDa'!$B$2:$D$16, 0,FALSE), IFERROR(VLOOKUP($A222,'Exetel ExDa'!$C$2:$N$14, 9,FALSE), IFERROR(VLOOKUP($A222,'Infinet ExDa'!$B$2:$E$14, 0,FALSE), "Not Found"))))))))</f>
        <v>02 April 2024</v>
      </c>
      <c r="M222" s="234" t="str">
        <f>IFERROR(VLOOKUP($A222,'AAPT ExDa'!$B$2:$U$99, 0,FALSE), IFERROR(VLOOKUP($A222,'ABB ExDa'!$A$2:$N$184, 0,FALSE), IFERROR(VLOOKUP($A222,'Vocus SIT ExDa'!$B$2:$J$173, 0,FALSE), IFERROR(VLOOKUP($A222,'Telstra ExDa'!$B$2:$K$310, 0,FALSE), IFERROR(VLOOKUP($A222,'Vocus RVC ExDa'!$C$2:$R$155, 0,FALSE), IFERROR(VLOOKUP($A222,'Fusion ExDa'!$B$2:$D$16, 0,FALSE), IFERROR(VLOOKUP($A222,'Exetel ExDa'!$C$2:$N$14, 11,FALSE), IFERROR(VLOOKUP($A222,'Infinet ExDa'!$B$2:$E$14, 0,FALSE), "Not Found"))))))))</f>
        <v>Not Found</v>
      </c>
      <c r="N222" t="str">
        <f>IFERROR(VLOOKUP($A222,'AAPT ExDa'!$B$2:$U$99, 0,FALSE), IFERROR(VLOOKUP($A222,'ABB ExDa'!$A$2:$N$184, 13,FALSE), IFERROR(VLOOKUP($A222,'Vocus SIT ExDa'!$B$2:$J$173, 0,FALSE), IFERROR(VLOOKUP($A222,'Telstra ExDa'!$B$2:$K$310, 0,FALSE), IFERROR(VLOOKUP($A222,'Vocus RVC ExDa'!$C$2:$R$155, 0,FALSE), IFERROR(VLOOKUP($A222,'Fusion ExDa'!$B$2:$D$16, 0,FALSE), IFERROR(VLOOKUP($A222,'Exetel ExDa'!$C$2:$N$14, 0,FALSE), IFERROR(VLOOKUP($A222,'Infinet ExDa'!$B$2:$E$14, 0,FALSE), "Not Found"))))))))</f>
        <v>Onebill</v>
      </c>
    </row>
    <row r="223" spans="1:14">
      <c r="A223" t="str">
        <v>Zambrero Richmond</v>
      </c>
      <c r="B223" t="str">
        <f>IFERROR(VLOOKUP(A223,'Exetel ExDa'!$C$2:$N$14,4,FALSE),"No Data")</f>
        <v>No Data</v>
      </c>
      <c r="C223" t="str">
        <f>IFERROR(VLOOKUP(A223,'AAPT ExDa'!$B$2:$U$99, 2,FALSE), IFERROR(VLOOKUP(A223,'ABB ExDa'!$A$2:$N$184, 2,FALSE), IFERROR(VLOOKUP(A223,'Vocus SIT ExDa'!$B$2:$J$173, 7,FALSE), IFERROR(VLOOKUP(A223,'Telstra ExDa'!$B$2:$K$310, 2,FALSE), IFERROR(VLOOKUP(A223,'Vocus RVC ExDa'!$C$2:$R$155, 3,FALSE), IFERROR(VLOOKUP(A223,'Fusion ExDa'!$B$2:$D$16, 2,FALSE), IFERROR(VLOOKUP(A223,'Exetel ExDa'!$C$2:$N$14, 2,FALSE), IFERROR(VLOOKUP(A223,'Infinet ExDa'!$B$2:$E$14, 2,FALSE), "Not Found"))))))))</f>
        <v>166 SWAN ST, CREMORNE VIC</v>
      </c>
      <c r="D223" t="str">
        <f>IFERROR(VLOOKUP($A223,'AAPT ExDa'!$B$2:$U$99, 15,FALSE), IFERROR(VLOOKUP($A223,'ABB ExDa'!$A$2:$N$184, 4,FALSE), IFERROR(VLOOKUP($A223,'Vocus SIT ExDa'!$B$2:$J$173, 5,FALSE), IFERROR(VLOOKUP($A223,'Telstra ExDa'!$B$2:$K$310, 8,FALSE), IFERROR(VLOOKUP($A223,'Vocus RVC ExDa'!$C$2:$R$155, 6,FALSE), IFERROR(VLOOKUP($A223,'Fusion ExDa'!$B$2:$D$16, 4,FALSE), IFERROR(VLOOKUP($A223,'Exetel ExDa'!$C$2:$N$14, 3,FALSE), IFERROR(VLOOKUP($A223,'Infinet ExDa'!$B$2:$E$14, 3,FALSE), "Not Found"))))))))</f>
        <v>ABB</v>
      </c>
      <c r="E223" t="str">
        <f>IFERROR(VLOOKUP($A223,'AAPT ExDa'!$B$2:$U$99, 3,FALSE), IFERROR(VLOOKUP($A223,'ABB ExDa'!$A$2:$N$184, 5,FALSE), IFERROR(VLOOKUP($A223,'Vocus SIT ExDa'!$B$2:$J$173, 2,FALSE), IFERROR(VLOOKUP($A223,'Telstra ExDa'!$B$2:$K$310, 4,FALSE), IFERROR(VLOOKUP($A223,'Vocus RVC ExDa'!$C$2:$R$155, 8,FALSE), IFERROR(VLOOKUP($A223,'Fusion ExDa'!$B$2:$D$16, 4,FALSE), IFERROR(VLOOKUP($A223,'Exetel ExDa'!$C$2:$N$14, 5,FALSE), IFERROR(VLOOKUP($A223,'Infinet ExDa'!$B$2:$E$14, 3,FALSE), "Not Found"))))))))</f>
        <v>NBN 25/10</v>
      </c>
      <c r="F223" t="str">
        <f>IFERROR(VLOOKUP($A223,'AAPT ExDa'!$B$2:$U$99, 4,FALSE), IFERROR(VLOOKUP($A223,'ABB ExDa'!$A$2:$N$184, 6,FALSE), IFERROR(VLOOKUP($A223,'Vocus SIT ExDa'!$B$2:$J$173, 3,FALSE), IFERROR(VLOOKUP($A223,'Telstra ExDa'!$B$2:$K$310, 5,FALSE), IFERROR(VLOOKUP($A223,'Vocus RVC ExDa'!$C$2:$R$155, 9,FALSE), IFERROR(VLOOKUP($A223,'Fusion ExDa'!$B$2:$D$16, 0,FALSE), IFERROR(VLOOKUP($A223,'Exetel ExDa'!$C$2:$N$14, 6,FALSE), IFERROR(VLOOKUP($A223,'Infinet ExDa'!$B$2:$E$14, 0,FALSE), "Not Found"))))))))</f>
        <v>FTTC</v>
      </c>
      <c r="G223" t="str">
        <f>IFERROR(VLOOKUP($A223,'AAPT ExDa'!$B$2:$U$99, 5,FALSE), IFERROR(VLOOKUP($A223,'ABB ExDa'!$A$2:$N$184, 8,FALSE), IFERROR(VLOOKUP($A223,'Vocus SIT ExDa'!$B$2:$J$173, 6,FALSE), IFERROR(VLOOKUP($A223,'Telstra ExDa'!$B$2:$K$310, 0,FALSE), IFERROR(VLOOKUP($A223,'Vocus RVC ExDa'!$C$2:$R$155, 15,FALSE), IFERROR(VLOOKUP($A223,'Fusion ExDa'!$B$2:$D$16, 0,FALSE), IFERROR(VLOOKUP($A223,'Exetel ExDa'!$C$2:$N$14, 7,FALSE), IFERROR(VLOOKUP($A223,'Infinet ExDa'!$B$2:$E$14, 0,FALSE), "Not Found"))))))))</f>
        <v>144.6.84.18</v>
      </c>
      <c r="H223" t="str">
        <f>IFERROR(VLOOKUP($A223,'AAPT ExDa'!$B$2:$U$99, 6,FALSE), IFERROR(VLOOKUP($A223,'ABB ExDa'!$A$2:$N$184, 0,FALSE), IFERROR(VLOOKUP($A223,'Vocus SIT ExDa'!$B$2:$J$173, 0,FALSE), IFERROR(VLOOKUP($A223,'Telstra ExDa'!$B$2:$K$310, 0,FALSE), IFERROR(VLOOKUP($A223,'Vocus RVC ExDa'!$C$2:$R$155, 16,FALSE), IFERROR(VLOOKUP($A223,'Fusion ExDa'!$B$2:$D$16, 0,FALSE), IFERROR(VLOOKUP($A223,'Exetel ExDa'!$C$2:$N$14, 0,FALSE), IFERROR(VLOOKUP($A223,'Infinet ExDa'!$B$2:$E$14, 0,FALSE), "Not Found"))))))))</f>
        <v>Not Found</v>
      </c>
      <c r="I223" t="str">
        <f>IFERROR(VLOOKUP($A223,'AAPT ExDa'!$B$2:$U$99, 0,FALSE), IFERROR(VLOOKUP($A223,'ABB ExDa'!$A$2:$N$184, 0,FALSE), IFERROR(VLOOKUP($A223,'Vocus SIT ExDa'!$B$2:$J$173, 0,FALSE), IFERROR(VLOOKUP($A223,'Telstra ExDa'!$B$2:$K$310, 0,FALSE), IFERROR(VLOOKUP($A223,'Vocus RVC ExDa'!$C$2:$R$155, 0,FALSE), IFERROR(VLOOKUP($A223,'Fusion ExDa'!$B$2:$D$16, 0,FALSE), IFERROR(VLOOKUP($A223,'Exetel ExDa'!$C$2:$N$14, 8,FALSE), IFERROR(VLOOKUP($A223,'Infinet ExDa'!$B$2:$E$14, 0,FALSE), "Not Found"))))))))</f>
        <v>Not Found</v>
      </c>
      <c r="J223" t="str">
        <f>IFERROR(VLOOKUP($A223,'AAPT ExDa'!$B$2:$U$99, 7,FALSE), IFERROR(VLOOKUP($A223,'ABB ExDa'!$A$2:$N$184, 2,FALSE), IFERROR(VLOOKUP($A223,'Vocus SIT ExDa'!$B$2:$J$173, 0,FALSE), IFERROR(VLOOKUP($A223,'Telstra ExDa'!$B$2:$K$310, 7,FALSE), IFERROR(VLOOKUP($A223,'Vocus RVC ExDa'!$C$2:$R$155, 2,FALSE), IFERROR(VLOOKUP($A223,'Fusion ExDa'!$B$2:$D$16, 3,FALSE), IFERROR(VLOOKUP($A223,'Exetel ExDa'!$C$2:$N$14, 0,FALSE), IFERROR(VLOOKUP($A223,'Infinet ExDa'!$B$2:$E$14, 0,FALSE), "Not Found"))))))))</f>
        <v>166 SWAN ST, CREMORNE VIC</v>
      </c>
      <c r="K223" t="str">
        <f>IFERROR(VLOOKUP($A223,'AAPT ExDa'!$B$2:$U$99, 12,FALSE), IFERROR(VLOOKUP($A223,'ABB ExDa'!$A$2:$N$184, 0,FALSE), IFERROR(VLOOKUP($A223,'Vocus SIT ExDa'!$B$2:$J$173, 0,FALSE), IFERROR(VLOOKUP($A223,'Telstra ExDa'!$B$2:$K$310, 0,FALSE), IFERROR(VLOOKUP($A223,'Vocus RVC ExDa'!$C$2:$R$155, 0,FALSE), IFERROR(VLOOKUP($A223,'Fusion ExDa'!$B$2:$D$16, 0,FALSE), IFERROR(VLOOKUP($A223,'Exetel ExDa'!$C$2:$N$14, 12,FALSE), IFERROR(VLOOKUP($A223,'Infinet ExDa'!$B$2:$E$14, 0,FALSE), "Not Found"))))))))</f>
        <v>Not Found</v>
      </c>
      <c r="L223" s="235" t="str">
        <f>IFERROR(VLOOKUP($A223,'AAPT ExDa'!$B$2:$U$99, 11,FALSE), IFERROR(VLOOKUP($A223,'ABB ExDa'!$A$2:$N$184, 9,FALSE), IFERROR(VLOOKUP($A223,'Vocus SIT ExDa'!$B$2:$J$173, 8,FALSE), IFERROR(VLOOKUP($A223,'Telstra ExDa'!$B$2:$K$310, 0,FALSE), IFERROR(VLOOKUP($A223,'Vocus RVC ExDa'!$C$2:$R$155, 0,FALSE), IFERROR(VLOOKUP($A223,'Fusion ExDa'!$B$2:$D$16, 0,FALSE), IFERROR(VLOOKUP($A223,'Exetel ExDa'!$C$2:$N$14, 9,FALSE), IFERROR(VLOOKUP($A223,'Infinet ExDa'!$B$2:$E$14, 0,FALSE), "Not Found"))))))))</f>
        <v>28 April 2025</v>
      </c>
      <c r="M223" s="234" t="str">
        <f>IFERROR(VLOOKUP($A223,'AAPT ExDa'!$B$2:$U$99, 0,FALSE), IFERROR(VLOOKUP($A223,'ABB ExDa'!$A$2:$N$184, 0,FALSE), IFERROR(VLOOKUP($A223,'Vocus SIT ExDa'!$B$2:$J$173, 0,FALSE), IFERROR(VLOOKUP($A223,'Telstra ExDa'!$B$2:$K$310, 0,FALSE), IFERROR(VLOOKUP($A223,'Vocus RVC ExDa'!$C$2:$R$155, 0,FALSE), IFERROR(VLOOKUP($A223,'Fusion ExDa'!$B$2:$D$16, 0,FALSE), IFERROR(VLOOKUP($A223,'Exetel ExDa'!$C$2:$N$14, 11,FALSE), IFERROR(VLOOKUP($A223,'Infinet ExDa'!$B$2:$E$14, 0,FALSE), "Not Found"))))))))</f>
        <v>Not Found</v>
      </c>
      <c r="N223" t="str">
        <f>IFERROR(VLOOKUP($A223,'AAPT ExDa'!$B$2:$U$99, 0,FALSE), IFERROR(VLOOKUP($A223,'ABB ExDa'!$A$2:$N$184, 13,FALSE), IFERROR(VLOOKUP($A223,'Vocus SIT ExDa'!$B$2:$J$173, 0,FALSE), IFERROR(VLOOKUP($A223,'Telstra ExDa'!$B$2:$K$310, 0,FALSE), IFERROR(VLOOKUP($A223,'Vocus RVC ExDa'!$C$2:$R$155, 0,FALSE), IFERROR(VLOOKUP($A223,'Fusion ExDa'!$B$2:$D$16, 0,FALSE), IFERROR(VLOOKUP($A223,'Exetel ExDa'!$C$2:$N$14, 0,FALSE), IFERROR(VLOOKUP($A223,'Infinet ExDa'!$B$2:$E$14, 0,FALSE), "Not Found"))))))))</f>
        <v>Onebill</v>
      </c>
    </row>
    <row r="224" spans="1:14">
      <c r="A224" t="str">
        <v>Zambrero Sanctuary Lakes</v>
      </c>
      <c r="B224" t="str">
        <f>IFERROR(VLOOKUP(A224,'Exetel ExDa'!$C$2:$N$14,4,FALSE),"No Data")</f>
        <v>No Data</v>
      </c>
      <c r="C224" t="str">
        <f>IFERROR(VLOOKUP(A224,'AAPT ExDa'!$B$2:$U$99, 2,FALSE), IFERROR(VLOOKUP(A224,'ABB ExDa'!$A$2:$N$184, 2,FALSE), IFERROR(VLOOKUP(A224,'Vocus SIT ExDa'!$B$2:$J$173, 7,FALSE), IFERROR(VLOOKUP(A224,'Telstra ExDa'!$B$2:$K$310, 2,FALSE), IFERROR(VLOOKUP(A224,'Vocus RVC ExDa'!$C$2:$R$155, 3,FALSE), IFERROR(VLOOKUP(A224,'Fusion ExDa'!$B$2:$D$16, 2,FALSE), IFERROR(VLOOKUP(A224,'Exetel ExDa'!$C$2:$N$14, 2,FALSE), IFERROR(VLOOKUP(A224,'Infinet ExDa'!$B$2:$E$14, 2,FALSE), "Not Found"))))))))</f>
        <v>SHOP 39, 300 POINT COOK RD, POINT COOK VIC</v>
      </c>
      <c r="D224" t="str">
        <f>IFERROR(VLOOKUP($A224,'AAPT ExDa'!$B$2:$U$99, 15,FALSE), IFERROR(VLOOKUP($A224,'ABB ExDa'!$A$2:$N$184, 4,FALSE), IFERROR(VLOOKUP($A224,'Vocus SIT ExDa'!$B$2:$J$173, 5,FALSE), IFERROR(VLOOKUP($A224,'Telstra ExDa'!$B$2:$K$310, 8,FALSE), IFERROR(VLOOKUP($A224,'Vocus RVC ExDa'!$C$2:$R$155, 6,FALSE), IFERROR(VLOOKUP($A224,'Fusion ExDa'!$B$2:$D$16, 4,FALSE), IFERROR(VLOOKUP($A224,'Exetel ExDa'!$C$2:$N$14, 3,FALSE), IFERROR(VLOOKUP($A224,'Infinet ExDa'!$B$2:$E$14, 3,FALSE), "Not Found"))))))))</f>
        <v>ABB</v>
      </c>
      <c r="E224" t="str">
        <f>IFERROR(VLOOKUP($A224,'AAPT ExDa'!$B$2:$U$99, 3,FALSE), IFERROR(VLOOKUP($A224,'ABB ExDa'!$A$2:$N$184, 5,FALSE), IFERROR(VLOOKUP($A224,'Vocus SIT ExDa'!$B$2:$J$173, 2,FALSE), IFERROR(VLOOKUP($A224,'Telstra ExDa'!$B$2:$K$310, 4,FALSE), IFERROR(VLOOKUP($A224,'Vocus RVC ExDa'!$C$2:$R$155, 8,FALSE), IFERROR(VLOOKUP($A224,'Fusion ExDa'!$B$2:$D$16, 4,FALSE), IFERROR(VLOOKUP($A224,'Exetel ExDa'!$C$2:$N$14, 5,FALSE), IFERROR(VLOOKUP($A224,'Infinet ExDa'!$B$2:$E$14, 3,FALSE), "Not Found"))))))))</f>
        <v>NBN 25/10</v>
      </c>
      <c r="F224" t="str">
        <f>IFERROR(VLOOKUP($A224,'AAPT ExDa'!$B$2:$U$99, 4,FALSE), IFERROR(VLOOKUP($A224,'ABB ExDa'!$A$2:$N$184, 6,FALSE), IFERROR(VLOOKUP($A224,'Vocus SIT ExDa'!$B$2:$J$173, 3,FALSE), IFERROR(VLOOKUP($A224,'Telstra ExDa'!$B$2:$K$310, 5,FALSE), IFERROR(VLOOKUP($A224,'Vocus RVC ExDa'!$C$2:$R$155, 9,FALSE), IFERROR(VLOOKUP($A224,'Fusion ExDa'!$B$2:$D$16, 0,FALSE), IFERROR(VLOOKUP($A224,'Exetel ExDa'!$C$2:$N$14, 6,FALSE), IFERROR(VLOOKUP($A224,'Infinet ExDa'!$B$2:$E$14, 0,FALSE), "Not Found"))))))))</f>
        <v>FTTB</v>
      </c>
      <c r="G224" t="str">
        <f>IFERROR(VLOOKUP($A224,'AAPT ExDa'!$B$2:$U$99, 5,FALSE), IFERROR(VLOOKUP($A224,'ABB ExDa'!$A$2:$N$184, 8,FALSE), IFERROR(VLOOKUP($A224,'Vocus SIT ExDa'!$B$2:$J$173, 6,FALSE), IFERROR(VLOOKUP($A224,'Telstra ExDa'!$B$2:$K$310, 0,FALSE), IFERROR(VLOOKUP($A224,'Vocus RVC ExDa'!$C$2:$R$155, 15,FALSE), IFERROR(VLOOKUP($A224,'Fusion ExDa'!$B$2:$D$16, 0,FALSE), IFERROR(VLOOKUP($A224,'Exetel ExDa'!$C$2:$N$14, 7,FALSE), IFERROR(VLOOKUP($A224,'Infinet ExDa'!$B$2:$E$14, 0,FALSE), "Not Found"))))))))</f>
        <v>159.196.217.224</v>
      </c>
      <c r="H224" t="str">
        <f>IFERROR(VLOOKUP($A224,'AAPT ExDa'!$B$2:$U$99, 6,FALSE), IFERROR(VLOOKUP($A224,'ABB ExDa'!$A$2:$N$184, 0,FALSE), IFERROR(VLOOKUP($A224,'Vocus SIT ExDa'!$B$2:$J$173, 0,FALSE), IFERROR(VLOOKUP($A224,'Telstra ExDa'!$B$2:$K$310, 0,FALSE), IFERROR(VLOOKUP($A224,'Vocus RVC ExDa'!$C$2:$R$155, 16,FALSE), IFERROR(VLOOKUP($A224,'Fusion ExDa'!$B$2:$D$16, 0,FALSE), IFERROR(VLOOKUP($A224,'Exetel ExDa'!$C$2:$N$14, 0,FALSE), IFERROR(VLOOKUP($A224,'Infinet ExDa'!$B$2:$E$14, 0,FALSE), "Not Found"))))))))</f>
        <v>Not Found</v>
      </c>
      <c r="I224" t="str">
        <f>IFERROR(VLOOKUP($A224,'AAPT ExDa'!$B$2:$U$99, 0,FALSE), IFERROR(VLOOKUP($A224,'ABB ExDa'!$A$2:$N$184, 0,FALSE), IFERROR(VLOOKUP($A224,'Vocus SIT ExDa'!$B$2:$J$173, 0,FALSE), IFERROR(VLOOKUP($A224,'Telstra ExDa'!$B$2:$K$310, 0,FALSE), IFERROR(VLOOKUP($A224,'Vocus RVC ExDa'!$C$2:$R$155, 0,FALSE), IFERROR(VLOOKUP($A224,'Fusion ExDa'!$B$2:$D$16, 0,FALSE), IFERROR(VLOOKUP($A224,'Exetel ExDa'!$C$2:$N$14, 8,FALSE), IFERROR(VLOOKUP($A224,'Infinet ExDa'!$B$2:$E$14, 0,FALSE), "Not Found"))))))))</f>
        <v>Not Found</v>
      </c>
      <c r="J224" t="str">
        <f>IFERROR(VLOOKUP($A224,'AAPT ExDa'!$B$2:$U$99, 7,FALSE), IFERROR(VLOOKUP($A224,'ABB ExDa'!$A$2:$N$184, 2,FALSE), IFERROR(VLOOKUP($A224,'Vocus SIT ExDa'!$B$2:$J$173, 0,FALSE), IFERROR(VLOOKUP($A224,'Telstra ExDa'!$B$2:$K$310, 7,FALSE), IFERROR(VLOOKUP($A224,'Vocus RVC ExDa'!$C$2:$R$155, 2,FALSE), IFERROR(VLOOKUP($A224,'Fusion ExDa'!$B$2:$D$16, 3,FALSE), IFERROR(VLOOKUP($A224,'Exetel ExDa'!$C$2:$N$14, 0,FALSE), IFERROR(VLOOKUP($A224,'Infinet ExDa'!$B$2:$E$14, 0,FALSE), "Not Found"))))))))</f>
        <v>SHOP 39, 300 POINT COOK RD, POINT COOK VIC</v>
      </c>
      <c r="K224" t="str">
        <f>IFERROR(VLOOKUP($A224,'AAPT ExDa'!$B$2:$U$99, 12,FALSE), IFERROR(VLOOKUP($A224,'ABB ExDa'!$A$2:$N$184, 0,FALSE), IFERROR(VLOOKUP($A224,'Vocus SIT ExDa'!$B$2:$J$173, 0,FALSE), IFERROR(VLOOKUP($A224,'Telstra ExDa'!$B$2:$K$310, 0,FALSE), IFERROR(VLOOKUP($A224,'Vocus RVC ExDa'!$C$2:$R$155, 0,FALSE), IFERROR(VLOOKUP($A224,'Fusion ExDa'!$B$2:$D$16, 0,FALSE), IFERROR(VLOOKUP($A224,'Exetel ExDa'!$C$2:$N$14, 12,FALSE), IFERROR(VLOOKUP($A224,'Infinet ExDa'!$B$2:$E$14, 0,FALSE), "Not Found"))))))))</f>
        <v>Not Found</v>
      </c>
      <c r="L224" s="235" t="str">
        <f>IFERROR(VLOOKUP($A224,'AAPT ExDa'!$B$2:$U$99, 11,FALSE), IFERROR(VLOOKUP($A224,'ABB ExDa'!$A$2:$N$184, 9,FALSE), IFERROR(VLOOKUP($A224,'Vocus SIT ExDa'!$B$2:$J$173, 8,FALSE), IFERROR(VLOOKUP($A224,'Telstra ExDa'!$B$2:$K$310, 0,FALSE), IFERROR(VLOOKUP($A224,'Vocus RVC ExDa'!$C$2:$R$155, 0,FALSE), IFERROR(VLOOKUP($A224,'Fusion ExDa'!$B$2:$D$16, 0,FALSE), IFERROR(VLOOKUP($A224,'Exetel ExDa'!$C$2:$N$14, 9,FALSE), IFERROR(VLOOKUP($A224,'Infinet ExDa'!$B$2:$E$14, 0,FALSE), "Not Found"))))))))</f>
        <v>19 Dec 2024</v>
      </c>
      <c r="M224" s="234" t="str">
        <f>IFERROR(VLOOKUP($A224,'AAPT ExDa'!$B$2:$U$99, 0,FALSE), IFERROR(VLOOKUP($A224,'ABB ExDa'!$A$2:$N$184, 0,FALSE), IFERROR(VLOOKUP($A224,'Vocus SIT ExDa'!$B$2:$J$173, 0,FALSE), IFERROR(VLOOKUP($A224,'Telstra ExDa'!$B$2:$K$310, 0,FALSE), IFERROR(VLOOKUP($A224,'Vocus RVC ExDa'!$C$2:$R$155, 0,FALSE), IFERROR(VLOOKUP($A224,'Fusion ExDa'!$B$2:$D$16, 0,FALSE), IFERROR(VLOOKUP($A224,'Exetel ExDa'!$C$2:$N$14, 11,FALSE), IFERROR(VLOOKUP($A224,'Infinet ExDa'!$B$2:$E$14, 0,FALSE), "Not Found"))))))))</f>
        <v>Not Found</v>
      </c>
      <c r="N224" t="str">
        <f>IFERROR(VLOOKUP($A224,'AAPT ExDa'!$B$2:$U$99, 0,FALSE), IFERROR(VLOOKUP($A224,'ABB ExDa'!$A$2:$N$184, 13,FALSE), IFERROR(VLOOKUP($A224,'Vocus SIT ExDa'!$B$2:$J$173, 0,FALSE), IFERROR(VLOOKUP($A224,'Telstra ExDa'!$B$2:$K$310, 0,FALSE), IFERROR(VLOOKUP($A224,'Vocus RVC ExDa'!$C$2:$R$155, 0,FALSE), IFERROR(VLOOKUP($A224,'Fusion ExDa'!$B$2:$D$16, 0,FALSE), IFERROR(VLOOKUP($A224,'Exetel ExDa'!$C$2:$N$14, 0,FALSE), IFERROR(VLOOKUP($A224,'Infinet ExDa'!$B$2:$E$14, 0,FALSE), "Not Found"))))))))</f>
        <v>Onebill</v>
      </c>
    </row>
    <row r="225" spans="1:14">
      <c r="A225" t="str">
        <v>Zambrero Scarborough</v>
      </c>
      <c r="B225" t="str">
        <f>IFERROR(VLOOKUP(A225,'Exetel ExDa'!$C$2:$N$14,4,FALSE),"No Data")</f>
        <v>No Data</v>
      </c>
      <c r="C225" t="str">
        <f>IFERROR(VLOOKUP(A225,'AAPT ExDa'!$B$2:$U$99, 2,FALSE), IFERROR(VLOOKUP(A225,'ABB ExDa'!$A$2:$N$184, 2,FALSE), IFERROR(VLOOKUP(A225,'Vocus SIT ExDa'!$B$2:$J$173, 7,FALSE), IFERROR(VLOOKUP(A225,'Telstra ExDa'!$B$2:$K$310, 2,FALSE), IFERROR(VLOOKUP(A225,'Vocus RVC ExDa'!$C$2:$R$155, 3,FALSE), IFERROR(VLOOKUP(A225,'Fusion ExDa'!$B$2:$D$16, 2,FALSE), IFERROR(VLOOKUP(A225,'Exetel ExDa'!$C$2:$N$14, 2,FALSE), IFERROR(VLOOKUP(A225,'Infinet ExDa'!$B$2:$E$14, 2,FALSE), "Not Found"))))))))</f>
        <v>SHOP 10, 148 THE ESPLANADE , SCARBOROUGH WA</v>
      </c>
      <c r="D225" t="str">
        <f>IFERROR(VLOOKUP($A225,'AAPT ExDa'!$B$2:$U$99, 15,FALSE), IFERROR(VLOOKUP($A225,'ABB ExDa'!$A$2:$N$184, 4,FALSE), IFERROR(VLOOKUP($A225,'Vocus SIT ExDa'!$B$2:$J$173, 5,FALSE), IFERROR(VLOOKUP($A225,'Telstra ExDa'!$B$2:$K$310, 8,FALSE), IFERROR(VLOOKUP($A225,'Vocus RVC ExDa'!$C$2:$R$155, 6,FALSE), IFERROR(VLOOKUP($A225,'Fusion ExDa'!$B$2:$D$16, 4,FALSE), IFERROR(VLOOKUP($A225,'Exetel ExDa'!$C$2:$N$14, 3,FALSE), IFERROR(VLOOKUP($A225,'Infinet ExDa'!$B$2:$E$14, 3,FALSE), "Not Found"))))))))</f>
        <v>ABB</v>
      </c>
      <c r="E225" t="str">
        <f>IFERROR(VLOOKUP($A225,'AAPT ExDa'!$B$2:$U$99, 3,FALSE), IFERROR(VLOOKUP($A225,'ABB ExDa'!$A$2:$N$184, 5,FALSE), IFERROR(VLOOKUP($A225,'Vocus SIT ExDa'!$B$2:$J$173, 2,FALSE), IFERROR(VLOOKUP($A225,'Telstra ExDa'!$B$2:$K$310, 4,FALSE), IFERROR(VLOOKUP($A225,'Vocus RVC ExDa'!$C$2:$R$155, 8,FALSE), IFERROR(VLOOKUP($A225,'Fusion ExDa'!$B$2:$D$16, 4,FALSE), IFERROR(VLOOKUP($A225,'Exetel ExDa'!$C$2:$N$14, 5,FALSE), IFERROR(VLOOKUP($A225,'Infinet ExDa'!$B$2:$E$14, 3,FALSE), "Not Found"))))))))</f>
        <v>NBN 25/10</v>
      </c>
      <c r="F225" t="str">
        <f>IFERROR(VLOOKUP($A225,'AAPT ExDa'!$B$2:$U$99, 4,FALSE), IFERROR(VLOOKUP($A225,'ABB ExDa'!$A$2:$N$184, 6,FALSE), IFERROR(VLOOKUP($A225,'Vocus SIT ExDa'!$B$2:$J$173, 3,FALSE), IFERROR(VLOOKUP($A225,'Telstra ExDa'!$B$2:$K$310, 5,FALSE), IFERROR(VLOOKUP($A225,'Vocus RVC ExDa'!$C$2:$R$155, 9,FALSE), IFERROR(VLOOKUP($A225,'Fusion ExDa'!$B$2:$D$16, 0,FALSE), IFERROR(VLOOKUP($A225,'Exetel ExDa'!$C$2:$N$14, 6,FALSE), IFERROR(VLOOKUP($A225,'Infinet ExDa'!$B$2:$E$14, 0,FALSE), "Not Found"))))))))</f>
        <v xml:space="preserve">FTTN </v>
      </c>
      <c r="G225" t="str">
        <f>IFERROR(VLOOKUP($A225,'AAPT ExDa'!$B$2:$U$99, 5,FALSE), IFERROR(VLOOKUP($A225,'ABB ExDa'!$A$2:$N$184, 8,FALSE), IFERROR(VLOOKUP($A225,'Vocus SIT ExDa'!$B$2:$J$173, 6,FALSE), IFERROR(VLOOKUP($A225,'Telstra ExDa'!$B$2:$K$310, 0,FALSE), IFERROR(VLOOKUP($A225,'Vocus RVC ExDa'!$C$2:$R$155, 15,FALSE), IFERROR(VLOOKUP($A225,'Fusion ExDa'!$B$2:$D$16, 0,FALSE), IFERROR(VLOOKUP($A225,'Exetel ExDa'!$C$2:$N$14, 7,FALSE), IFERROR(VLOOKUP($A225,'Infinet ExDa'!$B$2:$E$14, 0,FALSE), "Not Found"))))))))</f>
        <v>144.6.149.196</v>
      </c>
      <c r="H225">
        <f>IFERROR(VLOOKUP($A225,'AAPT ExDa'!$B$2:$U$99, 6,FALSE), IFERROR(VLOOKUP($A225,'ABB ExDa'!$A$2:$N$184, 0,FALSE), IFERROR(VLOOKUP($A225,'Vocus SIT ExDa'!$B$2:$J$173, 0,FALSE), IFERROR(VLOOKUP($A225,'Telstra ExDa'!$B$2:$K$310, 0,FALSE), IFERROR(VLOOKUP($A225,'Vocus RVC ExDa'!$C$2:$R$155, 16,FALSE), IFERROR(VLOOKUP($A225,'Fusion ExDa'!$B$2:$D$16, 0,FALSE), IFERROR(VLOOKUP($A225,'Exetel ExDa'!$C$2:$N$14, 0,FALSE), IFERROR(VLOOKUP($A225,'Infinet ExDa'!$B$2:$E$14, 0,FALSE), "Not Found"))))))))</f>
        <v>0</v>
      </c>
      <c r="I225" t="str">
        <f>IFERROR(VLOOKUP($A225,'AAPT ExDa'!$B$2:$U$99, 0,FALSE), IFERROR(VLOOKUP($A225,'ABB ExDa'!$A$2:$N$184, 0,FALSE), IFERROR(VLOOKUP($A225,'Vocus SIT ExDa'!$B$2:$J$173, 0,FALSE), IFERROR(VLOOKUP($A225,'Telstra ExDa'!$B$2:$K$310, 0,FALSE), IFERROR(VLOOKUP($A225,'Vocus RVC ExDa'!$C$2:$R$155, 0,FALSE), IFERROR(VLOOKUP($A225,'Fusion ExDa'!$B$2:$D$16, 0,FALSE), IFERROR(VLOOKUP($A225,'Exetel ExDa'!$C$2:$N$14, 8,FALSE), IFERROR(VLOOKUP($A225,'Infinet ExDa'!$B$2:$E$14, 0,FALSE), "Not Found"))))))))</f>
        <v>Not Found</v>
      </c>
      <c r="J225" t="str">
        <f>IFERROR(VLOOKUP($A225,'AAPT ExDa'!$B$2:$U$99, 7,FALSE), IFERROR(VLOOKUP($A225,'ABB ExDa'!$A$2:$N$184, 2,FALSE), IFERROR(VLOOKUP($A225,'Vocus SIT ExDa'!$B$2:$J$173, 0,FALSE), IFERROR(VLOOKUP($A225,'Telstra ExDa'!$B$2:$K$310, 7,FALSE), IFERROR(VLOOKUP($A225,'Vocus RVC ExDa'!$C$2:$R$155, 2,FALSE), IFERROR(VLOOKUP($A225,'Fusion ExDa'!$B$2:$D$16, 3,FALSE), IFERROR(VLOOKUP($A225,'Exetel ExDa'!$C$2:$N$14, 0,FALSE), IFERROR(VLOOKUP($A225,'Infinet ExDa'!$B$2:$E$14, 0,FALSE), "Not Found"))))))))</f>
        <v>SHOP 10, 148 THE ESPLANADE , SCARBOROUGH WA</v>
      </c>
      <c r="K225" t="str">
        <f>IFERROR(VLOOKUP($A225,'AAPT ExDa'!$B$2:$U$99, 12,FALSE), IFERROR(VLOOKUP($A225,'ABB ExDa'!$A$2:$N$184, 0,FALSE), IFERROR(VLOOKUP($A225,'Vocus SIT ExDa'!$B$2:$J$173, 0,FALSE), IFERROR(VLOOKUP($A225,'Telstra ExDa'!$B$2:$K$310, 0,FALSE), IFERROR(VLOOKUP($A225,'Vocus RVC ExDa'!$C$2:$R$155, 0,FALSE), IFERROR(VLOOKUP($A225,'Fusion ExDa'!$B$2:$D$16, 0,FALSE), IFERROR(VLOOKUP($A225,'Exetel ExDa'!$C$2:$N$14, 12,FALSE), IFERROR(VLOOKUP($A225,'Infinet ExDa'!$B$2:$E$14, 0,FALSE), "Not Found"))))))))</f>
        <v>Not Found</v>
      </c>
      <c r="L225" s="235" t="str">
        <f>IFERROR(VLOOKUP($A225,'AAPT ExDa'!$B$2:$U$99, 11,FALSE), IFERROR(VLOOKUP($A225,'ABB ExDa'!$A$2:$N$184, 9,FALSE), IFERROR(VLOOKUP($A225,'Vocus SIT ExDa'!$B$2:$J$173, 8,FALSE), IFERROR(VLOOKUP($A225,'Telstra ExDa'!$B$2:$K$310, 0,FALSE), IFERROR(VLOOKUP($A225,'Vocus RVC ExDa'!$C$2:$R$155, 0,FALSE), IFERROR(VLOOKUP($A225,'Fusion ExDa'!$B$2:$D$16, 0,FALSE), IFERROR(VLOOKUP($A225,'Exetel ExDa'!$C$2:$N$14, 9,FALSE), IFERROR(VLOOKUP($A225,'Infinet ExDa'!$B$2:$E$14, 0,FALSE), "Not Found"))))))))</f>
        <v>27 Nov 2024</v>
      </c>
      <c r="M225" s="234" t="str">
        <f>IFERROR(VLOOKUP($A225,'AAPT ExDa'!$B$2:$U$99, 0,FALSE), IFERROR(VLOOKUP($A225,'ABB ExDa'!$A$2:$N$184, 0,FALSE), IFERROR(VLOOKUP($A225,'Vocus SIT ExDa'!$B$2:$J$173, 0,FALSE), IFERROR(VLOOKUP($A225,'Telstra ExDa'!$B$2:$K$310, 0,FALSE), IFERROR(VLOOKUP($A225,'Vocus RVC ExDa'!$C$2:$R$155, 0,FALSE), IFERROR(VLOOKUP($A225,'Fusion ExDa'!$B$2:$D$16, 0,FALSE), IFERROR(VLOOKUP($A225,'Exetel ExDa'!$C$2:$N$14, 11,FALSE), IFERROR(VLOOKUP($A225,'Infinet ExDa'!$B$2:$E$14, 0,FALSE), "Not Found"))))))))</f>
        <v>Not Found</v>
      </c>
      <c r="N225" t="str">
        <f>IFERROR(VLOOKUP($A225,'AAPT ExDa'!$B$2:$U$99, 0,FALSE), IFERROR(VLOOKUP($A225,'ABB ExDa'!$A$2:$N$184, 13,FALSE), IFERROR(VLOOKUP($A225,'Vocus SIT ExDa'!$B$2:$J$173, 0,FALSE), IFERROR(VLOOKUP($A225,'Telstra ExDa'!$B$2:$K$310, 0,FALSE), IFERROR(VLOOKUP($A225,'Vocus RVC ExDa'!$C$2:$R$155, 0,FALSE), IFERROR(VLOOKUP($A225,'Fusion ExDa'!$B$2:$D$16, 0,FALSE), IFERROR(VLOOKUP($A225,'Exetel ExDa'!$C$2:$N$14, 0,FALSE), IFERROR(VLOOKUP($A225,'Infinet ExDa'!$B$2:$E$14, 0,FALSE), "Not Found"))))))))</f>
        <v>Onebill</v>
      </c>
    </row>
    <row r="226" spans="1:14">
      <c r="A226" t="str">
        <v>Zambrero Shoreline</v>
      </c>
      <c r="B226" t="str">
        <f>IFERROR(VLOOKUP(A226,'Exetel ExDa'!$C$2:$N$14,4,FALSE),"No Data")</f>
        <v>No Data</v>
      </c>
      <c r="C226" t="str">
        <f>IFERROR(VLOOKUP(A226,'AAPT ExDa'!$B$2:$U$99, 2,FALSE), IFERROR(VLOOKUP(A226,'ABB ExDa'!$A$2:$N$184, 2,FALSE), IFERROR(VLOOKUP(A226,'Vocus SIT ExDa'!$B$2:$J$173, 7,FALSE), IFERROR(VLOOKUP(A226,'Telstra ExDa'!$B$2:$K$310, 2,FALSE), IFERROR(VLOOKUP(A226,'Vocus RVC ExDa'!$C$2:$R$155, 3,FALSE), IFERROR(VLOOKUP(A226,'Fusion ExDa'!$B$2:$D$16, 2,FALSE), IFERROR(VLOOKUP(A226,'Exetel ExDa'!$C$2:$N$14, 2,FALSE), IFERROR(VLOOKUP(A226,'Infinet ExDa'!$B$2:$E$14, 2,FALSE), "Not Found"))))))))</f>
        <v>SHOP 11, 6 SHORELINE DR, HOWRAH TAS</v>
      </c>
      <c r="D226" t="str">
        <f>IFERROR(VLOOKUP($A226,'AAPT ExDa'!$B$2:$U$99, 15,FALSE), IFERROR(VLOOKUP($A226,'ABB ExDa'!$A$2:$N$184, 4,FALSE), IFERROR(VLOOKUP($A226,'Vocus SIT ExDa'!$B$2:$J$173, 5,FALSE), IFERROR(VLOOKUP($A226,'Telstra ExDa'!$B$2:$K$310, 8,FALSE), IFERROR(VLOOKUP($A226,'Vocus RVC ExDa'!$C$2:$R$155, 6,FALSE), IFERROR(VLOOKUP($A226,'Fusion ExDa'!$B$2:$D$16, 4,FALSE), IFERROR(VLOOKUP($A226,'Exetel ExDa'!$C$2:$N$14, 3,FALSE), IFERROR(VLOOKUP($A226,'Infinet ExDa'!$B$2:$E$14, 3,FALSE), "Not Found"))))))))</f>
        <v>ABB</v>
      </c>
      <c r="E226" t="str">
        <f>IFERROR(VLOOKUP($A226,'AAPT ExDa'!$B$2:$U$99, 3,FALSE), IFERROR(VLOOKUP($A226,'ABB ExDa'!$A$2:$N$184, 5,FALSE), IFERROR(VLOOKUP($A226,'Vocus SIT ExDa'!$B$2:$J$173, 2,FALSE), IFERROR(VLOOKUP($A226,'Telstra ExDa'!$B$2:$K$310, 4,FALSE), IFERROR(VLOOKUP($A226,'Vocus RVC ExDa'!$C$2:$R$155, 8,FALSE), IFERROR(VLOOKUP($A226,'Fusion ExDa'!$B$2:$D$16, 4,FALSE), IFERROR(VLOOKUP($A226,'Exetel ExDa'!$C$2:$N$14, 5,FALSE), IFERROR(VLOOKUP($A226,'Infinet ExDa'!$B$2:$E$14, 3,FALSE), "Not Found"))))))))</f>
        <v>NBN 25/10</v>
      </c>
      <c r="F226" t="str">
        <f>IFERROR(VLOOKUP($A226,'AAPT ExDa'!$B$2:$U$99, 4,FALSE), IFERROR(VLOOKUP($A226,'ABB ExDa'!$A$2:$N$184, 6,FALSE), IFERROR(VLOOKUP($A226,'Vocus SIT ExDa'!$B$2:$J$173, 3,FALSE), IFERROR(VLOOKUP($A226,'Telstra ExDa'!$B$2:$K$310, 5,FALSE), IFERROR(VLOOKUP($A226,'Vocus RVC ExDa'!$C$2:$R$155, 9,FALSE), IFERROR(VLOOKUP($A226,'Fusion ExDa'!$B$2:$D$16, 0,FALSE), IFERROR(VLOOKUP($A226,'Exetel ExDa'!$C$2:$N$14, 6,FALSE), IFERROR(VLOOKUP($A226,'Infinet ExDa'!$B$2:$E$14, 0,FALSE), "Not Found"))))))))</f>
        <v xml:space="preserve">FTTN </v>
      </c>
      <c r="G226" t="str">
        <f>IFERROR(VLOOKUP($A226,'AAPT ExDa'!$B$2:$U$99, 5,FALSE), IFERROR(VLOOKUP($A226,'ABB ExDa'!$A$2:$N$184, 8,FALSE), IFERROR(VLOOKUP($A226,'Vocus SIT ExDa'!$B$2:$J$173, 6,FALSE), IFERROR(VLOOKUP($A226,'Telstra ExDa'!$B$2:$K$310, 0,FALSE), IFERROR(VLOOKUP($A226,'Vocus RVC ExDa'!$C$2:$R$155, 15,FALSE), IFERROR(VLOOKUP($A226,'Fusion ExDa'!$B$2:$D$16, 0,FALSE), IFERROR(VLOOKUP($A226,'Exetel ExDa'!$C$2:$N$14, 7,FALSE), IFERROR(VLOOKUP($A226,'Infinet ExDa'!$B$2:$E$14, 0,FALSE), "Not Found"))))))))</f>
        <v>167.179.135.228</v>
      </c>
      <c r="H226" t="str">
        <f>IFERROR(VLOOKUP($A226,'AAPT ExDa'!$B$2:$U$99, 6,FALSE), IFERROR(VLOOKUP($A226,'ABB ExDa'!$A$2:$N$184, 0,FALSE), IFERROR(VLOOKUP($A226,'Vocus SIT ExDa'!$B$2:$J$173, 0,FALSE), IFERROR(VLOOKUP($A226,'Telstra ExDa'!$B$2:$K$310, 0,FALSE), IFERROR(VLOOKUP($A226,'Vocus RVC ExDa'!$C$2:$R$155, 16,FALSE), IFERROR(VLOOKUP($A226,'Fusion ExDa'!$B$2:$D$16, 0,FALSE), IFERROR(VLOOKUP($A226,'Exetel ExDa'!$C$2:$N$14, 0,FALSE), IFERROR(VLOOKUP($A226,'Infinet ExDa'!$B$2:$E$14, 0,FALSE), "Not Found"))))))))</f>
        <v>Not Found</v>
      </c>
      <c r="I226" t="str">
        <f>IFERROR(VLOOKUP($A226,'AAPT ExDa'!$B$2:$U$99, 0,FALSE), IFERROR(VLOOKUP($A226,'ABB ExDa'!$A$2:$N$184, 0,FALSE), IFERROR(VLOOKUP($A226,'Vocus SIT ExDa'!$B$2:$J$173, 0,FALSE), IFERROR(VLOOKUP($A226,'Telstra ExDa'!$B$2:$K$310, 0,FALSE), IFERROR(VLOOKUP($A226,'Vocus RVC ExDa'!$C$2:$R$155, 0,FALSE), IFERROR(VLOOKUP($A226,'Fusion ExDa'!$B$2:$D$16, 0,FALSE), IFERROR(VLOOKUP($A226,'Exetel ExDa'!$C$2:$N$14, 8,FALSE), IFERROR(VLOOKUP($A226,'Infinet ExDa'!$B$2:$E$14, 0,FALSE), "Not Found"))))))))</f>
        <v>Not Found</v>
      </c>
      <c r="J226" t="str">
        <f>IFERROR(VLOOKUP($A226,'AAPT ExDa'!$B$2:$U$99, 7,FALSE), IFERROR(VLOOKUP($A226,'ABB ExDa'!$A$2:$N$184, 2,FALSE), IFERROR(VLOOKUP($A226,'Vocus SIT ExDa'!$B$2:$J$173, 0,FALSE), IFERROR(VLOOKUP($A226,'Telstra ExDa'!$B$2:$K$310, 7,FALSE), IFERROR(VLOOKUP($A226,'Vocus RVC ExDa'!$C$2:$R$155, 2,FALSE), IFERROR(VLOOKUP($A226,'Fusion ExDa'!$B$2:$D$16, 3,FALSE), IFERROR(VLOOKUP($A226,'Exetel ExDa'!$C$2:$N$14, 0,FALSE), IFERROR(VLOOKUP($A226,'Infinet ExDa'!$B$2:$E$14, 0,FALSE), "Not Found"))))))))</f>
        <v>SHOP 11, 6 SHORELINE DR, HOWRAH TAS</v>
      </c>
      <c r="K226" t="str">
        <f>IFERROR(VLOOKUP($A226,'AAPT ExDa'!$B$2:$U$99, 12,FALSE), IFERROR(VLOOKUP($A226,'ABB ExDa'!$A$2:$N$184, 0,FALSE), IFERROR(VLOOKUP($A226,'Vocus SIT ExDa'!$B$2:$J$173, 0,FALSE), IFERROR(VLOOKUP($A226,'Telstra ExDa'!$B$2:$K$310, 0,FALSE), IFERROR(VLOOKUP($A226,'Vocus RVC ExDa'!$C$2:$R$155, 0,FALSE), IFERROR(VLOOKUP($A226,'Fusion ExDa'!$B$2:$D$16, 0,FALSE), IFERROR(VLOOKUP($A226,'Exetel ExDa'!$C$2:$N$14, 12,FALSE), IFERROR(VLOOKUP($A226,'Infinet ExDa'!$B$2:$E$14, 0,FALSE), "Not Found"))))))))</f>
        <v>Not Found</v>
      </c>
      <c r="L226" s="235" t="str">
        <f>IFERROR(VLOOKUP($A226,'AAPT ExDa'!$B$2:$U$99, 11,FALSE), IFERROR(VLOOKUP($A226,'ABB ExDa'!$A$2:$N$184, 9,FALSE), IFERROR(VLOOKUP($A226,'Vocus SIT ExDa'!$B$2:$J$173, 8,FALSE), IFERROR(VLOOKUP($A226,'Telstra ExDa'!$B$2:$K$310, 0,FALSE), IFERROR(VLOOKUP($A226,'Vocus RVC ExDa'!$C$2:$R$155, 0,FALSE), IFERROR(VLOOKUP($A226,'Fusion ExDa'!$B$2:$D$16, 0,FALSE), IFERROR(VLOOKUP($A226,'Exetel ExDa'!$C$2:$N$14, 9,FALSE), IFERROR(VLOOKUP($A226,'Infinet ExDa'!$B$2:$E$14, 0,FALSE), "Not Found"))))))))</f>
        <v>01 Mar 2024</v>
      </c>
      <c r="M226" s="234" t="str">
        <f>IFERROR(VLOOKUP($A226,'AAPT ExDa'!$B$2:$U$99, 0,FALSE), IFERROR(VLOOKUP($A226,'ABB ExDa'!$A$2:$N$184, 0,FALSE), IFERROR(VLOOKUP($A226,'Vocus SIT ExDa'!$B$2:$J$173, 0,FALSE), IFERROR(VLOOKUP($A226,'Telstra ExDa'!$B$2:$K$310, 0,FALSE), IFERROR(VLOOKUP($A226,'Vocus RVC ExDa'!$C$2:$R$155, 0,FALSE), IFERROR(VLOOKUP($A226,'Fusion ExDa'!$B$2:$D$16, 0,FALSE), IFERROR(VLOOKUP($A226,'Exetel ExDa'!$C$2:$N$14, 11,FALSE), IFERROR(VLOOKUP($A226,'Infinet ExDa'!$B$2:$E$14, 0,FALSE), "Not Found"))))))))</f>
        <v>Not Found</v>
      </c>
      <c r="N226" t="str">
        <f>IFERROR(VLOOKUP($A226,'AAPT ExDa'!$B$2:$U$99, 0,FALSE), IFERROR(VLOOKUP($A226,'ABB ExDa'!$A$2:$N$184, 13,FALSE), IFERROR(VLOOKUP($A226,'Vocus SIT ExDa'!$B$2:$J$173, 0,FALSE), IFERROR(VLOOKUP($A226,'Telstra ExDa'!$B$2:$K$310, 0,FALSE), IFERROR(VLOOKUP($A226,'Vocus RVC ExDa'!$C$2:$R$155, 0,FALSE), IFERROR(VLOOKUP($A226,'Fusion ExDa'!$B$2:$D$16, 0,FALSE), IFERROR(VLOOKUP($A226,'Exetel ExDa'!$C$2:$N$14, 0,FALSE), IFERROR(VLOOKUP($A226,'Infinet ExDa'!$B$2:$E$14, 0,FALSE), "Not Found"))))))))</f>
        <v>Onebill</v>
      </c>
    </row>
    <row r="227" spans="1:14">
      <c r="A227" t="str">
        <v>Zambrero Sippy Downs</v>
      </c>
      <c r="B227" t="str">
        <f>IFERROR(VLOOKUP(A227,'Exetel ExDa'!$C$2:$N$14,4,FALSE),"No Data")</f>
        <v>No Data</v>
      </c>
      <c r="C227" t="str">
        <f>IFERROR(VLOOKUP(A227,'AAPT ExDa'!$B$2:$U$99, 2,FALSE), IFERROR(VLOOKUP(A227,'ABB ExDa'!$A$2:$N$184, 2,FALSE), IFERROR(VLOOKUP(A227,'Vocus SIT ExDa'!$B$2:$J$173, 7,FALSE), IFERROR(VLOOKUP(A227,'Telstra ExDa'!$B$2:$K$310, 2,FALSE), IFERROR(VLOOKUP(A227,'Vocus RVC ExDa'!$C$2:$R$155, 3,FALSE), IFERROR(VLOOKUP(A227,'Fusion ExDa'!$B$2:$D$16, 2,FALSE), IFERROR(VLOOKUP(A227,'Exetel ExDa'!$C$2:$N$14, 2,FALSE), IFERROR(VLOOKUP(A227,'Infinet ExDa'!$B$2:$E$14, 2,FALSE), "Not Found"))))))))</f>
        <v>TNCY 6, 123 SIPPY DOWNS DR, SIPPY DOWNS QLD</v>
      </c>
      <c r="D227" t="str">
        <f>IFERROR(VLOOKUP($A227,'AAPT ExDa'!$B$2:$U$99, 15,FALSE), IFERROR(VLOOKUP($A227,'ABB ExDa'!$A$2:$N$184, 4,FALSE), IFERROR(VLOOKUP($A227,'Vocus SIT ExDa'!$B$2:$J$173, 5,FALSE), IFERROR(VLOOKUP($A227,'Telstra ExDa'!$B$2:$K$310, 8,FALSE), IFERROR(VLOOKUP($A227,'Vocus RVC ExDa'!$C$2:$R$155, 6,FALSE), IFERROR(VLOOKUP($A227,'Fusion ExDa'!$B$2:$D$16, 4,FALSE), IFERROR(VLOOKUP($A227,'Exetel ExDa'!$C$2:$N$14, 3,FALSE), IFERROR(VLOOKUP($A227,'Infinet ExDa'!$B$2:$E$14, 3,FALSE), "Not Found"))))))))</f>
        <v>ABB</v>
      </c>
      <c r="E227" t="str">
        <f>IFERROR(VLOOKUP($A227,'AAPT ExDa'!$B$2:$U$99, 3,FALSE), IFERROR(VLOOKUP($A227,'ABB ExDa'!$A$2:$N$184, 5,FALSE), IFERROR(VLOOKUP($A227,'Vocus SIT ExDa'!$B$2:$J$173, 2,FALSE), IFERROR(VLOOKUP($A227,'Telstra ExDa'!$B$2:$K$310, 4,FALSE), IFERROR(VLOOKUP($A227,'Vocus RVC ExDa'!$C$2:$R$155, 8,FALSE), IFERROR(VLOOKUP($A227,'Fusion ExDa'!$B$2:$D$16, 4,FALSE), IFERROR(VLOOKUP($A227,'Exetel ExDa'!$C$2:$N$14, 5,FALSE), IFERROR(VLOOKUP($A227,'Infinet ExDa'!$B$2:$E$14, 3,FALSE), "Not Found"))))))))</f>
        <v>NBN 25/10</v>
      </c>
      <c r="F227" t="str">
        <f>IFERROR(VLOOKUP($A227,'AAPT ExDa'!$B$2:$U$99, 4,FALSE), IFERROR(VLOOKUP($A227,'ABB ExDa'!$A$2:$N$184, 6,FALSE), IFERROR(VLOOKUP($A227,'Vocus SIT ExDa'!$B$2:$J$173, 3,FALSE), IFERROR(VLOOKUP($A227,'Telstra ExDa'!$B$2:$K$310, 5,FALSE), IFERROR(VLOOKUP($A227,'Vocus RVC ExDa'!$C$2:$R$155, 9,FALSE), IFERROR(VLOOKUP($A227,'Fusion ExDa'!$B$2:$D$16, 0,FALSE), IFERROR(VLOOKUP($A227,'Exetel ExDa'!$C$2:$N$14, 6,FALSE), IFERROR(VLOOKUP($A227,'Infinet ExDa'!$B$2:$E$14, 0,FALSE), "Not Found"))))))))</f>
        <v xml:space="preserve">Fibre </v>
      </c>
      <c r="G227" t="str">
        <f>IFERROR(VLOOKUP($A227,'AAPT ExDa'!$B$2:$U$99, 5,FALSE), IFERROR(VLOOKUP($A227,'ABB ExDa'!$A$2:$N$184, 8,FALSE), IFERROR(VLOOKUP($A227,'Vocus SIT ExDa'!$B$2:$J$173, 6,FALSE), IFERROR(VLOOKUP($A227,'Telstra ExDa'!$B$2:$K$310, 0,FALSE), IFERROR(VLOOKUP($A227,'Vocus RVC ExDa'!$C$2:$R$155, 15,FALSE), IFERROR(VLOOKUP($A227,'Fusion ExDa'!$B$2:$D$16, 0,FALSE), IFERROR(VLOOKUP($A227,'Exetel ExDa'!$C$2:$N$14, 7,FALSE), IFERROR(VLOOKUP($A227,'Infinet ExDa'!$B$2:$E$14, 0,FALSE), "Not Found"))))))))</f>
        <v>144.6.248.118</v>
      </c>
      <c r="H227" t="str">
        <f>IFERROR(VLOOKUP($A227,'AAPT ExDa'!$B$2:$U$99, 6,FALSE), IFERROR(VLOOKUP($A227,'ABB ExDa'!$A$2:$N$184, 0,FALSE), IFERROR(VLOOKUP($A227,'Vocus SIT ExDa'!$B$2:$J$173, 0,FALSE), IFERROR(VLOOKUP($A227,'Telstra ExDa'!$B$2:$K$310, 0,FALSE), IFERROR(VLOOKUP($A227,'Vocus RVC ExDa'!$C$2:$R$155, 16,FALSE), IFERROR(VLOOKUP($A227,'Fusion ExDa'!$B$2:$D$16, 0,FALSE), IFERROR(VLOOKUP($A227,'Exetel ExDa'!$C$2:$N$14, 0,FALSE), IFERROR(VLOOKUP($A227,'Infinet ExDa'!$B$2:$E$14, 0,FALSE), "Not Found"))))))))</f>
        <v>Not Found</v>
      </c>
      <c r="I227" t="str">
        <f>IFERROR(VLOOKUP($A227,'AAPT ExDa'!$B$2:$U$99, 0,FALSE), IFERROR(VLOOKUP($A227,'ABB ExDa'!$A$2:$N$184, 0,FALSE), IFERROR(VLOOKUP($A227,'Vocus SIT ExDa'!$B$2:$J$173, 0,FALSE), IFERROR(VLOOKUP($A227,'Telstra ExDa'!$B$2:$K$310, 0,FALSE), IFERROR(VLOOKUP($A227,'Vocus RVC ExDa'!$C$2:$R$155, 0,FALSE), IFERROR(VLOOKUP($A227,'Fusion ExDa'!$B$2:$D$16, 0,FALSE), IFERROR(VLOOKUP($A227,'Exetel ExDa'!$C$2:$N$14, 8,FALSE), IFERROR(VLOOKUP($A227,'Infinet ExDa'!$B$2:$E$14, 0,FALSE), "Not Found"))))))))</f>
        <v>Not Found</v>
      </c>
      <c r="J227" t="str">
        <f>IFERROR(VLOOKUP($A227,'AAPT ExDa'!$B$2:$U$99, 7,FALSE), IFERROR(VLOOKUP($A227,'ABB ExDa'!$A$2:$N$184, 2,FALSE), IFERROR(VLOOKUP($A227,'Vocus SIT ExDa'!$B$2:$J$173, 0,FALSE), IFERROR(VLOOKUP($A227,'Telstra ExDa'!$B$2:$K$310, 7,FALSE), IFERROR(VLOOKUP($A227,'Vocus RVC ExDa'!$C$2:$R$155, 2,FALSE), IFERROR(VLOOKUP($A227,'Fusion ExDa'!$B$2:$D$16, 3,FALSE), IFERROR(VLOOKUP($A227,'Exetel ExDa'!$C$2:$N$14, 0,FALSE), IFERROR(VLOOKUP($A227,'Infinet ExDa'!$B$2:$E$14, 0,FALSE), "Not Found"))))))))</f>
        <v>TNCY 6, 123 SIPPY DOWNS DR, SIPPY DOWNS QLD</v>
      </c>
      <c r="K227" t="str">
        <f>IFERROR(VLOOKUP($A227,'AAPT ExDa'!$B$2:$U$99, 12,FALSE), IFERROR(VLOOKUP($A227,'ABB ExDa'!$A$2:$N$184, 0,FALSE), IFERROR(VLOOKUP($A227,'Vocus SIT ExDa'!$B$2:$J$173, 0,FALSE), IFERROR(VLOOKUP($A227,'Telstra ExDa'!$B$2:$K$310, 0,FALSE), IFERROR(VLOOKUP($A227,'Vocus RVC ExDa'!$C$2:$R$155, 0,FALSE), IFERROR(VLOOKUP($A227,'Fusion ExDa'!$B$2:$D$16, 0,FALSE), IFERROR(VLOOKUP($A227,'Exetel ExDa'!$C$2:$N$14, 12,FALSE), IFERROR(VLOOKUP($A227,'Infinet ExDa'!$B$2:$E$14, 0,FALSE), "Not Found"))))))))</f>
        <v>Not Found</v>
      </c>
      <c r="L227" s="235" t="str">
        <f>IFERROR(VLOOKUP($A227,'AAPT ExDa'!$B$2:$U$99, 11,FALSE), IFERROR(VLOOKUP($A227,'ABB ExDa'!$A$2:$N$184, 9,FALSE), IFERROR(VLOOKUP($A227,'Vocus SIT ExDa'!$B$2:$J$173, 8,FALSE), IFERROR(VLOOKUP($A227,'Telstra ExDa'!$B$2:$K$310, 0,FALSE), IFERROR(VLOOKUP($A227,'Vocus RVC ExDa'!$C$2:$R$155, 0,FALSE), IFERROR(VLOOKUP($A227,'Fusion ExDa'!$B$2:$D$16, 0,FALSE), IFERROR(VLOOKUP($A227,'Exetel ExDa'!$C$2:$N$14, 9,FALSE), IFERROR(VLOOKUP($A227,'Infinet ExDa'!$B$2:$E$14, 0,FALSE), "Not Found"))))))))</f>
        <v>12 Nov 2024</v>
      </c>
      <c r="M227" s="234" t="str">
        <f>IFERROR(VLOOKUP($A227,'AAPT ExDa'!$B$2:$U$99, 0,FALSE), IFERROR(VLOOKUP($A227,'ABB ExDa'!$A$2:$N$184, 0,FALSE), IFERROR(VLOOKUP($A227,'Vocus SIT ExDa'!$B$2:$J$173, 0,FALSE), IFERROR(VLOOKUP($A227,'Telstra ExDa'!$B$2:$K$310, 0,FALSE), IFERROR(VLOOKUP($A227,'Vocus RVC ExDa'!$C$2:$R$155, 0,FALSE), IFERROR(VLOOKUP($A227,'Fusion ExDa'!$B$2:$D$16, 0,FALSE), IFERROR(VLOOKUP($A227,'Exetel ExDa'!$C$2:$N$14, 11,FALSE), IFERROR(VLOOKUP($A227,'Infinet ExDa'!$B$2:$E$14, 0,FALSE), "Not Found"))))))))</f>
        <v>Not Found</v>
      </c>
      <c r="N227" t="str">
        <f>IFERROR(VLOOKUP($A227,'AAPT ExDa'!$B$2:$U$99, 0,FALSE), IFERROR(VLOOKUP($A227,'ABB ExDa'!$A$2:$N$184, 13,FALSE), IFERROR(VLOOKUP($A227,'Vocus SIT ExDa'!$B$2:$J$173, 0,FALSE), IFERROR(VLOOKUP($A227,'Telstra ExDa'!$B$2:$K$310, 0,FALSE), IFERROR(VLOOKUP($A227,'Vocus RVC ExDa'!$C$2:$R$155, 0,FALSE), IFERROR(VLOOKUP($A227,'Fusion ExDa'!$B$2:$D$16, 0,FALSE), IFERROR(VLOOKUP($A227,'Exetel ExDa'!$C$2:$N$14, 0,FALSE), IFERROR(VLOOKUP($A227,'Infinet ExDa'!$B$2:$E$14, 0,FALSE), "Not Found"))))))))</f>
        <v>Onebill</v>
      </c>
    </row>
    <row r="228" spans="1:14">
      <c r="A228" t="str">
        <v>Zambrero ST Albans DT</v>
      </c>
      <c r="B228" t="str">
        <f>IFERROR(VLOOKUP(A228,'Exetel ExDa'!$C$2:$N$14,4,FALSE),"No Data")</f>
        <v>No Data</v>
      </c>
      <c r="C228" t="str">
        <f>IFERROR(VLOOKUP(A228,'AAPT ExDa'!$B$2:$U$99, 2,FALSE), IFERROR(VLOOKUP(A228,'ABB ExDa'!$A$2:$N$184, 2,FALSE), IFERROR(VLOOKUP(A228,'Vocus SIT ExDa'!$B$2:$J$173, 7,FALSE), IFERROR(VLOOKUP(A228,'Telstra ExDa'!$B$2:$K$310, 2,FALSE), IFERROR(VLOOKUP(A228,'Vocus RVC ExDa'!$C$2:$R$155, 3,FALSE), IFERROR(VLOOKUP(A228,'Fusion ExDa'!$B$2:$D$16, 2,FALSE), IFERROR(VLOOKUP(A228,'Exetel ExDa'!$C$2:$N$14, 2,FALSE), IFERROR(VLOOKUP(A228,'Infinet ExDa'!$B$2:$E$14, 2,FALSE), "Not Found"))))))))</f>
        <v>UN 3, 53 SUNSHINE AV, ST ALBANS VIC</v>
      </c>
      <c r="D228" t="str">
        <f>IFERROR(VLOOKUP($A228,'AAPT ExDa'!$B$2:$U$99, 15,FALSE), IFERROR(VLOOKUP($A228,'ABB ExDa'!$A$2:$N$184, 4,FALSE), IFERROR(VLOOKUP($A228,'Vocus SIT ExDa'!$B$2:$J$173, 5,FALSE), IFERROR(VLOOKUP($A228,'Telstra ExDa'!$B$2:$K$310, 8,FALSE), IFERROR(VLOOKUP($A228,'Vocus RVC ExDa'!$C$2:$R$155, 6,FALSE), IFERROR(VLOOKUP($A228,'Fusion ExDa'!$B$2:$D$16, 4,FALSE), IFERROR(VLOOKUP($A228,'Exetel ExDa'!$C$2:$N$14, 3,FALSE), IFERROR(VLOOKUP($A228,'Infinet ExDa'!$B$2:$E$14, 3,FALSE), "Not Found"))))))))</f>
        <v>ABB</v>
      </c>
      <c r="E228" t="str">
        <f>IFERROR(VLOOKUP($A228,'AAPT ExDa'!$B$2:$U$99, 3,FALSE), IFERROR(VLOOKUP($A228,'ABB ExDa'!$A$2:$N$184, 5,FALSE), IFERROR(VLOOKUP($A228,'Vocus SIT ExDa'!$B$2:$J$173, 2,FALSE), IFERROR(VLOOKUP($A228,'Telstra ExDa'!$B$2:$K$310, 4,FALSE), IFERROR(VLOOKUP($A228,'Vocus RVC ExDa'!$C$2:$R$155, 8,FALSE), IFERROR(VLOOKUP($A228,'Fusion ExDa'!$B$2:$D$16, 4,FALSE), IFERROR(VLOOKUP($A228,'Exetel ExDa'!$C$2:$N$14, 5,FALSE), IFERROR(VLOOKUP($A228,'Infinet ExDa'!$B$2:$E$14, 3,FALSE), "Not Found"))))))))</f>
        <v>NBN 25/10</v>
      </c>
      <c r="F228" t="str">
        <f>IFERROR(VLOOKUP($A228,'AAPT ExDa'!$B$2:$U$99, 4,FALSE), IFERROR(VLOOKUP($A228,'ABB ExDa'!$A$2:$N$184, 6,FALSE), IFERROR(VLOOKUP($A228,'Vocus SIT ExDa'!$B$2:$J$173, 3,FALSE), IFERROR(VLOOKUP($A228,'Telstra ExDa'!$B$2:$K$310, 5,FALSE), IFERROR(VLOOKUP($A228,'Vocus RVC ExDa'!$C$2:$R$155, 9,FALSE), IFERROR(VLOOKUP($A228,'Fusion ExDa'!$B$2:$D$16, 0,FALSE), IFERROR(VLOOKUP($A228,'Exetel ExDa'!$C$2:$N$14, 6,FALSE), IFERROR(VLOOKUP($A228,'Infinet ExDa'!$B$2:$E$14, 0,FALSE), "Not Found"))))))))</f>
        <v>Fibre</v>
      </c>
      <c r="G228" t="str">
        <f>IFERROR(VLOOKUP($A228,'AAPT ExDa'!$B$2:$U$99, 5,FALSE), IFERROR(VLOOKUP($A228,'ABB ExDa'!$A$2:$N$184, 8,FALSE), IFERROR(VLOOKUP($A228,'Vocus SIT ExDa'!$B$2:$J$173, 6,FALSE), IFERROR(VLOOKUP($A228,'Telstra ExDa'!$B$2:$K$310, 0,FALSE), IFERROR(VLOOKUP($A228,'Vocus RVC ExDa'!$C$2:$R$155, 15,FALSE), IFERROR(VLOOKUP($A228,'Fusion ExDa'!$B$2:$D$16, 0,FALSE), IFERROR(VLOOKUP($A228,'Exetel ExDa'!$C$2:$N$14, 7,FALSE), IFERROR(VLOOKUP($A228,'Infinet ExDa'!$B$2:$E$14, 0,FALSE), "Not Found"))))))))</f>
        <v>180.181.193.212</v>
      </c>
      <c r="H228" t="str">
        <f>IFERROR(VLOOKUP($A228,'AAPT ExDa'!$B$2:$U$99, 6,FALSE), IFERROR(VLOOKUP($A228,'ABB ExDa'!$A$2:$N$184, 0,FALSE), IFERROR(VLOOKUP($A228,'Vocus SIT ExDa'!$B$2:$J$173, 0,FALSE), IFERROR(VLOOKUP($A228,'Telstra ExDa'!$B$2:$K$310, 0,FALSE), IFERROR(VLOOKUP($A228,'Vocus RVC ExDa'!$C$2:$R$155, 16,FALSE), IFERROR(VLOOKUP($A228,'Fusion ExDa'!$B$2:$D$16, 0,FALSE), IFERROR(VLOOKUP($A228,'Exetel ExDa'!$C$2:$N$14, 0,FALSE), IFERROR(VLOOKUP($A228,'Infinet ExDa'!$B$2:$E$14, 0,FALSE), "Not Found"))))))))</f>
        <v>Not Found</v>
      </c>
      <c r="I228" t="str">
        <f>IFERROR(VLOOKUP($A228,'AAPT ExDa'!$B$2:$U$99, 0,FALSE), IFERROR(VLOOKUP($A228,'ABB ExDa'!$A$2:$N$184, 0,FALSE), IFERROR(VLOOKUP($A228,'Vocus SIT ExDa'!$B$2:$J$173, 0,FALSE), IFERROR(VLOOKUP($A228,'Telstra ExDa'!$B$2:$K$310, 0,FALSE), IFERROR(VLOOKUP($A228,'Vocus RVC ExDa'!$C$2:$R$155, 0,FALSE), IFERROR(VLOOKUP($A228,'Fusion ExDa'!$B$2:$D$16, 0,FALSE), IFERROR(VLOOKUP($A228,'Exetel ExDa'!$C$2:$N$14, 8,FALSE), IFERROR(VLOOKUP($A228,'Infinet ExDa'!$B$2:$E$14, 0,FALSE), "Not Found"))))))))</f>
        <v>Not Found</v>
      </c>
      <c r="J228" t="str">
        <f>IFERROR(VLOOKUP($A228,'AAPT ExDa'!$B$2:$U$99, 7,FALSE), IFERROR(VLOOKUP($A228,'ABB ExDa'!$A$2:$N$184, 2,FALSE), IFERROR(VLOOKUP($A228,'Vocus SIT ExDa'!$B$2:$J$173, 0,FALSE), IFERROR(VLOOKUP($A228,'Telstra ExDa'!$B$2:$K$310, 7,FALSE), IFERROR(VLOOKUP($A228,'Vocus RVC ExDa'!$C$2:$R$155, 2,FALSE), IFERROR(VLOOKUP($A228,'Fusion ExDa'!$B$2:$D$16, 3,FALSE), IFERROR(VLOOKUP($A228,'Exetel ExDa'!$C$2:$N$14, 0,FALSE), IFERROR(VLOOKUP($A228,'Infinet ExDa'!$B$2:$E$14, 0,FALSE), "Not Found"))))))))</f>
        <v>UN 3, 53 SUNSHINE AV, ST ALBANS VIC</v>
      </c>
      <c r="K228" t="str">
        <f>IFERROR(VLOOKUP($A228,'AAPT ExDa'!$B$2:$U$99, 12,FALSE), IFERROR(VLOOKUP($A228,'ABB ExDa'!$A$2:$N$184, 0,FALSE), IFERROR(VLOOKUP($A228,'Vocus SIT ExDa'!$B$2:$J$173, 0,FALSE), IFERROR(VLOOKUP($A228,'Telstra ExDa'!$B$2:$K$310, 0,FALSE), IFERROR(VLOOKUP($A228,'Vocus RVC ExDa'!$C$2:$R$155, 0,FALSE), IFERROR(VLOOKUP($A228,'Fusion ExDa'!$B$2:$D$16, 0,FALSE), IFERROR(VLOOKUP($A228,'Exetel ExDa'!$C$2:$N$14, 12,FALSE), IFERROR(VLOOKUP($A228,'Infinet ExDa'!$B$2:$E$14, 0,FALSE), "Not Found"))))))))</f>
        <v>Not Found</v>
      </c>
      <c r="L228" s="235" t="str">
        <f>IFERROR(VLOOKUP($A228,'AAPT ExDa'!$B$2:$U$99, 11,FALSE), IFERROR(VLOOKUP($A228,'ABB ExDa'!$A$2:$N$184, 9,FALSE), IFERROR(VLOOKUP($A228,'Vocus SIT ExDa'!$B$2:$J$173, 8,FALSE), IFERROR(VLOOKUP($A228,'Telstra ExDa'!$B$2:$K$310, 0,FALSE), IFERROR(VLOOKUP($A228,'Vocus RVC ExDa'!$C$2:$R$155, 0,FALSE), IFERROR(VLOOKUP($A228,'Fusion ExDa'!$B$2:$D$16, 0,FALSE), IFERROR(VLOOKUP($A228,'Exetel ExDa'!$C$2:$N$14, 9,FALSE), IFERROR(VLOOKUP($A228,'Infinet ExDa'!$B$2:$E$14, 0,FALSE), "Not Found"))))))))</f>
        <v>24 June 2025</v>
      </c>
      <c r="M228" s="234" t="str">
        <f>IFERROR(VLOOKUP($A228,'AAPT ExDa'!$B$2:$U$99, 0,FALSE), IFERROR(VLOOKUP($A228,'ABB ExDa'!$A$2:$N$184, 0,FALSE), IFERROR(VLOOKUP($A228,'Vocus SIT ExDa'!$B$2:$J$173, 0,FALSE), IFERROR(VLOOKUP($A228,'Telstra ExDa'!$B$2:$K$310, 0,FALSE), IFERROR(VLOOKUP($A228,'Vocus RVC ExDa'!$C$2:$R$155, 0,FALSE), IFERROR(VLOOKUP($A228,'Fusion ExDa'!$B$2:$D$16, 0,FALSE), IFERROR(VLOOKUP($A228,'Exetel ExDa'!$C$2:$N$14, 11,FALSE), IFERROR(VLOOKUP($A228,'Infinet ExDa'!$B$2:$E$14, 0,FALSE), "Not Found"))))))))</f>
        <v>Not Found</v>
      </c>
      <c r="N228" t="str">
        <f>IFERROR(VLOOKUP($A228,'AAPT ExDa'!$B$2:$U$99, 0,FALSE), IFERROR(VLOOKUP($A228,'ABB ExDa'!$A$2:$N$184, 13,FALSE), IFERROR(VLOOKUP($A228,'Vocus SIT ExDa'!$B$2:$J$173, 0,FALSE), IFERROR(VLOOKUP($A228,'Telstra ExDa'!$B$2:$K$310, 0,FALSE), IFERROR(VLOOKUP($A228,'Vocus RVC ExDa'!$C$2:$R$155, 0,FALSE), IFERROR(VLOOKUP($A228,'Fusion ExDa'!$B$2:$D$16, 0,FALSE), IFERROR(VLOOKUP($A228,'Exetel ExDa'!$C$2:$N$14, 0,FALSE), IFERROR(VLOOKUP($A228,'Infinet ExDa'!$B$2:$E$14, 0,FALSE), "Not Found"))))))))</f>
        <v>Onebill</v>
      </c>
    </row>
    <row r="229" spans="1:14">
      <c r="A229" t="str">
        <v>Zambrero Subiaco</v>
      </c>
      <c r="B229" t="str">
        <f>IFERROR(VLOOKUP(A229,'Exetel ExDa'!$C$2:$N$14,4,FALSE),"No Data")</f>
        <v>No Data</v>
      </c>
      <c r="C229" t="str">
        <f>IFERROR(VLOOKUP(A229,'AAPT ExDa'!$B$2:$U$99, 2,FALSE), IFERROR(VLOOKUP(A229,'ABB ExDa'!$A$2:$N$184, 2,FALSE), IFERROR(VLOOKUP(A229,'Vocus SIT ExDa'!$B$2:$J$173, 7,FALSE), IFERROR(VLOOKUP(A229,'Telstra ExDa'!$B$2:$K$310, 2,FALSE), IFERROR(VLOOKUP(A229,'Vocus RVC ExDa'!$C$2:$R$155, 3,FALSE), IFERROR(VLOOKUP(A229,'Fusion ExDa'!$B$2:$D$16, 2,FALSE), IFERROR(VLOOKUP(A229,'Exetel ExDa'!$C$2:$N$14, 2,FALSE), IFERROR(VLOOKUP(A229,'Infinet ExDa'!$B$2:$E$14, 2,FALSE), "Not Found"))))))))</f>
        <v>SHOP 3, 50 SUBIACO SQUARE RD, SUBIACO WA</v>
      </c>
      <c r="D229" t="str">
        <f>IFERROR(VLOOKUP($A229,'AAPT ExDa'!$B$2:$U$99, 15,FALSE), IFERROR(VLOOKUP($A229,'ABB ExDa'!$A$2:$N$184, 4,FALSE), IFERROR(VLOOKUP($A229,'Vocus SIT ExDa'!$B$2:$J$173, 5,FALSE), IFERROR(VLOOKUP($A229,'Telstra ExDa'!$B$2:$K$310, 8,FALSE), IFERROR(VLOOKUP($A229,'Vocus RVC ExDa'!$C$2:$R$155, 6,FALSE), IFERROR(VLOOKUP($A229,'Fusion ExDa'!$B$2:$D$16, 4,FALSE), IFERROR(VLOOKUP($A229,'Exetel ExDa'!$C$2:$N$14, 3,FALSE), IFERROR(VLOOKUP($A229,'Infinet ExDa'!$B$2:$E$14, 3,FALSE), "Not Found"))))))))</f>
        <v>ABB</v>
      </c>
      <c r="E229" t="str">
        <f>IFERROR(VLOOKUP($A229,'AAPT ExDa'!$B$2:$U$99, 3,FALSE), IFERROR(VLOOKUP($A229,'ABB ExDa'!$A$2:$N$184, 5,FALSE), IFERROR(VLOOKUP($A229,'Vocus SIT ExDa'!$B$2:$J$173, 2,FALSE), IFERROR(VLOOKUP($A229,'Telstra ExDa'!$B$2:$K$310, 4,FALSE), IFERROR(VLOOKUP($A229,'Vocus RVC ExDa'!$C$2:$R$155, 8,FALSE), IFERROR(VLOOKUP($A229,'Fusion ExDa'!$B$2:$D$16, 4,FALSE), IFERROR(VLOOKUP($A229,'Exetel ExDa'!$C$2:$N$14, 5,FALSE), IFERROR(VLOOKUP($A229,'Infinet ExDa'!$B$2:$E$14, 3,FALSE), "Not Found"))))))))</f>
        <v>NBN 100/40</v>
      </c>
      <c r="F229" t="str">
        <f>IFERROR(VLOOKUP($A229,'AAPT ExDa'!$B$2:$U$99, 4,FALSE), IFERROR(VLOOKUP($A229,'ABB ExDa'!$A$2:$N$184, 6,FALSE), IFERROR(VLOOKUP($A229,'Vocus SIT ExDa'!$B$2:$J$173, 3,FALSE), IFERROR(VLOOKUP($A229,'Telstra ExDa'!$B$2:$K$310, 5,FALSE), IFERROR(VLOOKUP($A229,'Vocus RVC ExDa'!$C$2:$R$155, 9,FALSE), IFERROR(VLOOKUP($A229,'Fusion ExDa'!$B$2:$D$16, 0,FALSE), IFERROR(VLOOKUP($A229,'Exetel ExDa'!$C$2:$N$14, 6,FALSE), IFERROR(VLOOKUP($A229,'Infinet ExDa'!$B$2:$E$14, 0,FALSE), "Not Found"))))))))</f>
        <v>FTTN</v>
      </c>
      <c r="G229" t="str">
        <f>IFERROR(VLOOKUP($A229,'AAPT ExDa'!$B$2:$U$99, 5,FALSE), IFERROR(VLOOKUP($A229,'ABB ExDa'!$A$2:$N$184, 8,FALSE), IFERROR(VLOOKUP($A229,'Vocus SIT ExDa'!$B$2:$J$173, 6,FALSE), IFERROR(VLOOKUP($A229,'Telstra ExDa'!$B$2:$K$310, 0,FALSE), IFERROR(VLOOKUP($A229,'Vocus RVC ExDa'!$C$2:$R$155, 15,FALSE), IFERROR(VLOOKUP($A229,'Fusion ExDa'!$B$2:$D$16, 0,FALSE), IFERROR(VLOOKUP($A229,'Exetel ExDa'!$C$2:$N$14, 7,FALSE), IFERROR(VLOOKUP($A229,'Infinet ExDa'!$B$2:$E$14, 0,FALSE), "Not Found"))))))))</f>
        <v>144.6.134.87</v>
      </c>
      <c r="H229">
        <f>IFERROR(VLOOKUP($A229,'AAPT ExDa'!$B$2:$U$99, 6,FALSE), IFERROR(VLOOKUP($A229,'ABB ExDa'!$A$2:$N$184, 0,FALSE), IFERROR(VLOOKUP($A229,'Vocus SIT ExDa'!$B$2:$J$173, 0,FALSE), IFERROR(VLOOKUP($A229,'Telstra ExDa'!$B$2:$K$310, 0,FALSE), IFERROR(VLOOKUP($A229,'Vocus RVC ExDa'!$C$2:$R$155, 16,FALSE), IFERROR(VLOOKUP($A229,'Fusion ExDa'!$B$2:$D$16, 0,FALSE), IFERROR(VLOOKUP($A229,'Exetel ExDa'!$C$2:$N$14, 0,FALSE), IFERROR(VLOOKUP($A229,'Infinet ExDa'!$B$2:$E$14, 0,FALSE), "Not Found"))))))))</f>
        <v>0</v>
      </c>
      <c r="I229" t="str">
        <f>IFERROR(VLOOKUP($A229,'AAPT ExDa'!$B$2:$U$99, 0,FALSE), IFERROR(VLOOKUP($A229,'ABB ExDa'!$A$2:$N$184, 0,FALSE), IFERROR(VLOOKUP($A229,'Vocus SIT ExDa'!$B$2:$J$173, 0,FALSE), IFERROR(VLOOKUP($A229,'Telstra ExDa'!$B$2:$K$310, 0,FALSE), IFERROR(VLOOKUP($A229,'Vocus RVC ExDa'!$C$2:$R$155, 0,FALSE), IFERROR(VLOOKUP($A229,'Fusion ExDa'!$B$2:$D$16, 0,FALSE), IFERROR(VLOOKUP($A229,'Exetel ExDa'!$C$2:$N$14, 8,FALSE), IFERROR(VLOOKUP($A229,'Infinet ExDa'!$B$2:$E$14, 0,FALSE), "Not Found"))))))))</f>
        <v>Not Found</v>
      </c>
      <c r="J229" t="str">
        <f>IFERROR(VLOOKUP($A229,'AAPT ExDa'!$B$2:$U$99, 7,FALSE), IFERROR(VLOOKUP($A229,'ABB ExDa'!$A$2:$N$184, 2,FALSE), IFERROR(VLOOKUP($A229,'Vocus SIT ExDa'!$B$2:$J$173, 0,FALSE), IFERROR(VLOOKUP($A229,'Telstra ExDa'!$B$2:$K$310, 7,FALSE), IFERROR(VLOOKUP($A229,'Vocus RVC ExDa'!$C$2:$R$155, 2,FALSE), IFERROR(VLOOKUP($A229,'Fusion ExDa'!$B$2:$D$16, 3,FALSE), IFERROR(VLOOKUP($A229,'Exetel ExDa'!$C$2:$N$14, 0,FALSE), IFERROR(VLOOKUP($A229,'Infinet ExDa'!$B$2:$E$14, 0,FALSE), "Not Found"))))))))</f>
        <v>SHOP 3, 50 SUBIACO SQUARE RD, SUBIACO WA</v>
      </c>
      <c r="K229" t="str">
        <f>IFERROR(VLOOKUP($A229,'AAPT ExDa'!$B$2:$U$99, 12,FALSE), IFERROR(VLOOKUP($A229,'ABB ExDa'!$A$2:$N$184, 0,FALSE), IFERROR(VLOOKUP($A229,'Vocus SIT ExDa'!$B$2:$J$173, 0,FALSE), IFERROR(VLOOKUP($A229,'Telstra ExDa'!$B$2:$K$310, 0,FALSE), IFERROR(VLOOKUP($A229,'Vocus RVC ExDa'!$C$2:$R$155, 0,FALSE), IFERROR(VLOOKUP($A229,'Fusion ExDa'!$B$2:$D$16, 0,FALSE), IFERROR(VLOOKUP($A229,'Exetel ExDa'!$C$2:$N$14, 12,FALSE), IFERROR(VLOOKUP($A229,'Infinet ExDa'!$B$2:$E$14, 0,FALSE), "Not Found"))))))))</f>
        <v>Not Found</v>
      </c>
      <c r="L229" s="235" t="str">
        <f>IFERROR(VLOOKUP($A229,'AAPT ExDa'!$B$2:$U$99, 11,FALSE), IFERROR(VLOOKUP($A229,'ABB ExDa'!$A$2:$N$184, 9,FALSE), IFERROR(VLOOKUP($A229,'Vocus SIT ExDa'!$B$2:$J$173, 8,FALSE), IFERROR(VLOOKUP($A229,'Telstra ExDa'!$B$2:$K$310, 0,FALSE), IFERROR(VLOOKUP($A229,'Vocus RVC ExDa'!$C$2:$R$155, 0,FALSE), IFERROR(VLOOKUP($A229,'Fusion ExDa'!$B$2:$D$16, 0,FALSE), IFERROR(VLOOKUP($A229,'Exetel ExDa'!$C$2:$N$14, 9,FALSE), IFERROR(VLOOKUP($A229,'Infinet ExDa'!$B$2:$E$14, 0,FALSE), "Not Found"))))))))</f>
        <v>10 April 2025</v>
      </c>
      <c r="M229" s="234" t="str">
        <f>IFERROR(VLOOKUP($A229,'AAPT ExDa'!$B$2:$U$99, 0,FALSE), IFERROR(VLOOKUP($A229,'ABB ExDa'!$A$2:$N$184, 0,FALSE), IFERROR(VLOOKUP($A229,'Vocus SIT ExDa'!$B$2:$J$173, 0,FALSE), IFERROR(VLOOKUP($A229,'Telstra ExDa'!$B$2:$K$310, 0,FALSE), IFERROR(VLOOKUP($A229,'Vocus RVC ExDa'!$C$2:$R$155, 0,FALSE), IFERROR(VLOOKUP($A229,'Fusion ExDa'!$B$2:$D$16, 0,FALSE), IFERROR(VLOOKUP($A229,'Exetel ExDa'!$C$2:$N$14, 11,FALSE), IFERROR(VLOOKUP($A229,'Infinet ExDa'!$B$2:$E$14, 0,FALSE), "Not Found"))))))))</f>
        <v>Not Found</v>
      </c>
      <c r="N229" t="str">
        <f>IFERROR(VLOOKUP($A229,'AAPT ExDa'!$B$2:$U$99, 0,FALSE), IFERROR(VLOOKUP($A229,'ABB ExDa'!$A$2:$N$184, 13,FALSE), IFERROR(VLOOKUP($A229,'Vocus SIT ExDa'!$B$2:$J$173, 0,FALSE), IFERROR(VLOOKUP($A229,'Telstra ExDa'!$B$2:$K$310, 0,FALSE), IFERROR(VLOOKUP($A229,'Vocus RVC ExDa'!$C$2:$R$155, 0,FALSE), IFERROR(VLOOKUP($A229,'Fusion ExDa'!$B$2:$D$16, 0,FALSE), IFERROR(VLOOKUP($A229,'Exetel ExDa'!$C$2:$N$14, 0,FALSE), IFERROR(VLOOKUP($A229,'Infinet ExDa'!$B$2:$E$14, 0,FALSE), "Not Found"))))))))</f>
        <v>Onebill</v>
      </c>
    </row>
    <row r="230" spans="1:14">
      <c r="A230" t="str">
        <v>Zambrero Sunbury</v>
      </c>
      <c r="B230" t="str">
        <f>IFERROR(VLOOKUP(A230,'Exetel ExDa'!$C$2:$N$14,4,FALSE),"No Data")</f>
        <v>No Data</v>
      </c>
      <c r="C230" t="str">
        <f>IFERROR(VLOOKUP(A230,'AAPT ExDa'!$B$2:$U$99, 2,FALSE), IFERROR(VLOOKUP(A230,'ABB ExDa'!$A$2:$N$184, 2,FALSE), IFERROR(VLOOKUP(A230,'Vocus SIT ExDa'!$B$2:$J$173, 7,FALSE), IFERROR(VLOOKUP(A230,'Telstra ExDa'!$B$2:$K$310, 2,FALSE), IFERROR(VLOOKUP(A230,'Vocus RVC ExDa'!$C$2:$R$155, 3,FALSE), IFERROR(VLOOKUP(A230,'Fusion ExDa'!$B$2:$D$16, 2,FALSE), IFERROR(VLOOKUP(A230,'Exetel ExDa'!$C$2:$N$14, 2,FALSE), IFERROR(VLOOKUP(A230,'Infinet ExDa'!$B$2:$E$14, 2,FALSE), "Not Found"))))))))</f>
        <v>SHOP 6, 40 EVANS ST, SUNBURY VIC</v>
      </c>
      <c r="D230" t="str">
        <f>IFERROR(VLOOKUP($A230,'AAPT ExDa'!$B$2:$U$99, 15,FALSE), IFERROR(VLOOKUP($A230,'ABB ExDa'!$A$2:$N$184, 4,FALSE), IFERROR(VLOOKUP($A230,'Vocus SIT ExDa'!$B$2:$J$173, 5,FALSE), IFERROR(VLOOKUP($A230,'Telstra ExDa'!$B$2:$K$310, 8,FALSE), IFERROR(VLOOKUP($A230,'Vocus RVC ExDa'!$C$2:$R$155, 6,FALSE), IFERROR(VLOOKUP($A230,'Fusion ExDa'!$B$2:$D$16, 4,FALSE), IFERROR(VLOOKUP($A230,'Exetel ExDa'!$C$2:$N$14, 3,FALSE), IFERROR(VLOOKUP($A230,'Infinet ExDa'!$B$2:$E$14, 3,FALSE), "Not Found"))))))))</f>
        <v>ABB</v>
      </c>
      <c r="E230" t="str">
        <f>IFERROR(VLOOKUP($A230,'AAPT ExDa'!$B$2:$U$99, 3,FALSE), IFERROR(VLOOKUP($A230,'ABB ExDa'!$A$2:$N$184, 5,FALSE), IFERROR(VLOOKUP($A230,'Vocus SIT ExDa'!$B$2:$J$173, 2,FALSE), IFERROR(VLOOKUP($A230,'Telstra ExDa'!$B$2:$K$310, 4,FALSE), IFERROR(VLOOKUP($A230,'Vocus RVC ExDa'!$C$2:$R$155, 8,FALSE), IFERROR(VLOOKUP($A230,'Fusion ExDa'!$B$2:$D$16, 4,FALSE), IFERROR(VLOOKUP($A230,'Exetel ExDa'!$C$2:$N$14, 5,FALSE), IFERROR(VLOOKUP($A230,'Infinet ExDa'!$B$2:$E$14, 3,FALSE), "Not Found"))))))))</f>
        <v>NBN 25/10</v>
      </c>
      <c r="F230" t="str">
        <f>IFERROR(VLOOKUP($A230,'AAPT ExDa'!$B$2:$U$99, 4,FALSE), IFERROR(VLOOKUP($A230,'ABB ExDa'!$A$2:$N$184, 6,FALSE), IFERROR(VLOOKUP($A230,'Vocus SIT ExDa'!$B$2:$J$173, 3,FALSE), IFERROR(VLOOKUP($A230,'Telstra ExDa'!$B$2:$K$310, 5,FALSE), IFERROR(VLOOKUP($A230,'Vocus RVC ExDa'!$C$2:$R$155, 9,FALSE), IFERROR(VLOOKUP($A230,'Fusion ExDa'!$B$2:$D$16, 0,FALSE), IFERROR(VLOOKUP($A230,'Exetel ExDa'!$C$2:$N$14, 6,FALSE), IFERROR(VLOOKUP($A230,'Infinet ExDa'!$B$2:$E$14, 0,FALSE), "Not Found"))))))))</f>
        <v xml:space="preserve">FTTN </v>
      </c>
      <c r="G230" t="str">
        <f>IFERROR(VLOOKUP($A230,'AAPT ExDa'!$B$2:$U$99, 5,FALSE), IFERROR(VLOOKUP($A230,'ABB ExDa'!$A$2:$N$184, 8,FALSE), IFERROR(VLOOKUP($A230,'Vocus SIT ExDa'!$B$2:$J$173, 6,FALSE), IFERROR(VLOOKUP($A230,'Telstra ExDa'!$B$2:$K$310, 0,FALSE), IFERROR(VLOOKUP($A230,'Vocus RVC ExDa'!$C$2:$R$155, 15,FALSE), IFERROR(VLOOKUP($A230,'Fusion ExDa'!$B$2:$D$16, 0,FALSE), IFERROR(VLOOKUP($A230,'Exetel ExDa'!$C$2:$N$14, 7,FALSE), IFERROR(VLOOKUP($A230,'Infinet ExDa'!$B$2:$E$14, 0,FALSE), "Not Found"))))))))</f>
        <v>144.6.85.141</v>
      </c>
      <c r="H230" t="str">
        <f>IFERROR(VLOOKUP($A230,'AAPT ExDa'!$B$2:$U$99, 6,FALSE), IFERROR(VLOOKUP($A230,'ABB ExDa'!$A$2:$N$184, 0,FALSE), IFERROR(VLOOKUP($A230,'Vocus SIT ExDa'!$B$2:$J$173, 0,FALSE), IFERROR(VLOOKUP($A230,'Telstra ExDa'!$B$2:$K$310, 0,FALSE), IFERROR(VLOOKUP($A230,'Vocus RVC ExDa'!$C$2:$R$155, 16,FALSE), IFERROR(VLOOKUP($A230,'Fusion ExDa'!$B$2:$D$16, 0,FALSE), IFERROR(VLOOKUP($A230,'Exetel ExDa'!$C$2:$N$14, 0,FALSE), IFERROR(VLOOKUP($A230,'Infinet ExDa'!$B$2:$E$14, 0,FALSE), "Not Found"))))))))</f>
        <v>Not Found</v>
      </c>
      <c r="I230" t="str">
        <f>IFERROR(VLOOKUP($A230,'AAPT ExDa'!$B$2:$U$99, 0,FALSE), IFERROR(VLOOKUP($A230,'ABB ExDa'!$A$2:$N$184, 0,FALSE), IFERROR(VLOOKUP($A230,'Vocus SIT ExDa'!$B$2:$J$173, 0,FALSE), IFERROR(VLOOKUP($A230,'Telstra ExDa'!$B$2:$K$310, 0,FALSE), IFERROR(VLOOKUP($A230,'Vocus RVC ExDa'!$C$2:$R$155, 0,FALSE), IFERROR(VLOOKUP($A230,'Fusion ExDa'!$B$2:$D$16, 0,FALSE), IFERROR(VLOOKUP($A230,'Exetel ExDa'!$C$2:$N$14, 8,FALSE), IFERROR(VLOOKUP($A230,'Infinet ExDa'!$B$2:$E$14, 0,FALSE), "Not Found"))))))))</f>
        <v>Not Found</v>
      </c>
      <c r="J230" t="str">
        <f>IFERROR(VLOOKUP($A230,'AAPT ExDa'!$B$2:$U$99, 7,FALSE), IFERROR(VLOOKUP($A230,'ABB ExDa'!$A$2:$N$184, 2,FALSE), IFERROR(VLOOKUP($A230,'Vocus SIT ExDa'!$B$2:$J$173, 0,FALSE), IFERROR(VLOOKUP($A230,'Telstra ExDa'!$B$2:$K$310, 7,FALSE), IFERROR(VLOOKUP($A230,'Vocus RVC ExDa'!$C$2:$R$155, 2,FALSE), IFERROR(VLOOKUP($A230,'Fusion ExDa'!$B$2:$D$16, 3,FALSE), IFERROR(VLOOKUP($A230,'Exetel ExDa'!$C$2:$N$14, 0,FALSE), IFERROR(VLOOKUP($A230,'Infinet ExDa'!$B$2:$E$14, 0,FALSE), "Not Found"))))))))</f>
        <v>SHOP 6, 40 EVANS ST, SUNBURY VIC</v>
      </c>
      <c r="K230" t="str">
        <f>IFERROR(VLOOKUP($A230,'AAPT ExDa'!$B$2:$U$99, 12,FALSE), IFERROR(VLOOKUP($A230,'ABB ExDa'!$A$2:$N$184, 0,FALSE), IFERROR(VLOOKUP($A230,'Vocus SIT ExDa'!$B$2:$J$173, 0,FALSE), IFERROR(VLOOKUP($A230,'Telstra ExDa'!$B$2:$K$310, 0,FALSE), IFERROR(VLOOKUP($A230,'Vocus RVC ExDa'!$C$2:$R$155, 0,FALSE), IFERROR(VLOOKUP($A230,'Fusion ExDa'!$B$2:$D$16, 0,FALSE), IFERROR(VLOOKUP($A230,'Exetel ExDa'!$C$2:$N$14, 12,FALSE), IFERROR(VLOOKUP($A230,'Infinet ExDa'!$B$2:$E$14, 0,FALSE), "Not Found"))))))))</f>
        <v>Not Found</v>
      </c>
      <c r="L230" s="235" t="str">
        <f>IFERROR(VLOOKUP($A230,'AAPT ExDa'!$B$2:$U$99, 11,FALSE), IFERROR(VLOOKUP($A230,'ABB ExDa'!$A$2:$N$184, 9,FALSE), IFERROR(VLOOKUP($A230,'Vocus SIT ExDa'!$B$2:$J$173, 8,FALSE), IFERROR(VLOOKUP($A230,'Telstra ExDa'!$B$2:$K$310, 0,FALSE), IFERROR(VLOOKUP($A230,'Vocus RVC ExDa'!$C$2:$R$155, 0,FALSE), IFERROR(VLOOKUP($A230,'Fusion ExDa'!$B$2:$D$16, 0,FALSE), IFERROR(VLOOKUP($A230,'Exetel ExDa'!$C$2:$N$14, 9,FALSE), IFERROR(VLOOKUP($A230,'Infinet ExDa'!$B$2:$E$14, 0,FALSE), "Not Found"))))))))</f>
        <v>27 June 2024</v>
      </c>
      <c r="M230" s="234" t="str">
        <f>IFERROR(VLOOKUP($A230,'AAPT ExDa'!$B$2:$U$99, 0,FALSE), IFERROR(VLOOKUP($A230,'ABB ExDa'!$A$2:$N$184, 0,FALSE), IFERROR(VLOOKUP($A230,'Vocus SIT ExDa'!$B$2:$J$173, 0,FALSE), IFERROR(VLOOKUP($A230,'Telstra ExDa'!$B$2:$K$310, 0,FALSE), IFERROR(VLOOKUP($A230,'Vocus RVC ExDa'!$C$2:$R$155, 0,FALSE), IFERROR(VLOOKUP($A230,'Fusion ExDa'!$B$2:$D$16, 0,FALSE), IFERROR(VLOOKUP($A230,'Exetel ExDa'!$C$2:$N$14, 11,FALSE), IFERROR(VLOOKUP($A230,'Infinet ExDa'!$B$2:$E$14, 0,FALSE), "Not Found"))))))))</f>
        <v>Not Found</v>
      </c>
      <c r="N230" t="str">
        <f>IFERROR(VLOOKUP($A230,'AAPT ExDa'!$B$2:$U$99, 0,FALSE), IFERROR(VLOOKUP($A230,'ABB ExDa'!$A$2:$N$184, 13,FALSE), IFERROR(VLOOKUP($A230,'Vocus SIT ExDa'!$B$2:$J$173, 0,FALSE), IFERROR(VLOOKUP($A230,'Telstra ExDa'!$B$2:$K$310, 0,FALSE), IFERROR(VLOOKUP($A230,'Vocus RVC ExDa'!$C$2:$R$155, 0,FALSE), IFERROR(VLOOKUP($A230,'Fusion ExDa'!$B$2:$D$16, 0,FALSE), IFERROR(VLOOKUP($A230,'Exetel ExDa'!$C$2:$N$14, 0,FALSE), IFERROR(VLOOKUP($A230,'Infinet ExDa'!$B$2:$E$14, 0,FALSE), "Not Found"))))))))</f>
        <v>Onebill</v>
      </c>
    </row>
    <row r="231" spans="1:14">
      <c r="A231" t="str">
        <v>Zambrero Sunshine Plaza</v>
      </c>
      <c r="B231" t="str">
        <f>IFERROR(VLOOKUP(A231,'Exetel ExDa'!$C$2:$N$14,4,FALSE),"No Data")</f>
        <v>No Data</v>
      </c>
      <c r="C231" t="str">
        <f>IFERROR(VLOOKUP(A231,'AAPT ExDa'!$B$2:$U$99, 2,FALSE), IFERROR(VLOOKUP(A231,'ABB ExDa'!$A$2:$N$184, 2,FALSE), IFERROR(VLOOKUP(A231,'Vocus SIT ExDa'!$B$2:$J$173, 7,FALSE), IFERROR(VLOOKUP(A231,'Telstra ExDa'!$B$2:$K$310, 2,FALSE), IFERROR(VLOOKUP(A231,'Vocus RVC ExDa'!$C$2:$R$155, 3,FALSE), IFERROR(VLOOKUP(A231,'Fusion ExDa'!$B$2:$D$16, 2,FALSE), IFERROR(VLOOKUP(A231,'Exetel ExDa'!$C$2:$N$14, 2,FALSE), IFERROR(VLOOKUP(A231,'Infinet ExDa'!$B$2:$E$14, 2,FALSE), "Not Found"))))))))</f>
        <v>SUNSHINE PLAZA SHOP 91A, 154 HORTON PDE, MAROOCHYDORE QLD</v>
      </c>
      <c r="D231" t="str">
        <f>IFERROR(VLOOKUP($A231,'AAPT ExDa'!$B$2:$U$99, 15,FALSE), IFERROR(VLOOKUP($A231,'ABB ExDa'!$A$2:$N$184, 4,FALSE), IFERROR(VLOOKUP($A231,'Vocus SIT ExDa'!$B$2:$J$173, 5,FALSE), IFERROR(VLOOKUP($A231,'Telstra ExDa'!$B$2:$K$310, 8,FALSE), IFERROR(VLOOKUP($A231,'Vocus RVC ExDa'!$C$2:$R$155, 6,FALSE), IFERROR(VLOOKUP($A231,'Fusion ExDa'!$B$2:$D$16, 4,FALSE), IFERROR(VLOOKUP($A231,'Exetel ExDa'!$C$2:$N$14, 3,FALSE), IFERROR(VLOOKUP($A231,'Infinet ExDa'!$B$2:$E$14, 3,FALSE), "Not Found"))))))))</f>
        <v>ABB</v>
      </c>
      <c r="E231" t="str">
        <f>IFERROR(VLOOKUP($A231,'AAPT ExDa'!$B$2:$U$99, 3,FALSE), IFERROR(VLOOKUP($A231,'ABB ExDa'!$A$2:$N$184, 5,FALSE), IFERROR(VLOOKUP($A231,'Vocus SIT ExDa'!$B$2:$J$173, 2,FALSE), IFERROR(VLOOKUP($A231,'Telstra ExDa'!$B$2:$K$310, 4,FALSE), IFERROR(VLOOKUP($A231,'Vocus RVC ExDa'!$C$2:$R$155, 8,FALSE), IFERROR(VLOOKUP($A231,'Fusion ExDa'!$B$2:$D$16, 4,FALSE), IFERROR(VLOOKUP($A231,'Exetel ExDa'!$C$2:$N$14, 5,FALSE), IFERROR(VLOOKUP($A231,'Infinet ExDa'!$B$2:$E$14, 3,FALSE), "Not Found"))))))))</f>
        <v>NBN 25/10</v>
      </c>
      <c r="F231" t="str">
        <f>IFERROR(VLOOKUP($A231,'AAPT ExDa'!$B$2:$U$99, 4,FALSE), IFERROR(VLOOKUP($A231,'ABB ExDa'!$A$2:$N$184, 6,FALSE), IFERROR(VLOOKUP($A231,'Vocus SIT ExDa'!$B$2:$J$173, 3,FALSE), IFERROR(VLOOKUP($A231,'Telstra ExDa'!$B$2:$K$310, 5,FALSE), IFERROR(VLOOKUP($A231,'Vocus RVC ExDa'!$C$2:$R$155, 9,FALSE), IFERROR(VLOOKUP($A231,'Fusion ExDa'!$B$2:$D$16, 0,FALSE), IFERROR(VLOOKUP($A231,'Exetel ExDa'!$C$2:$N$14, 6,FALSE), IFERROR(VLOOKUP($A231,'Infinet ExDa'!$B$2:$E$14, 0,FALSE), "Not Found"))))))))</f>
        <v>FTTB</v>
      </c>
      <c r="G231" t="str">
        <f>IFERROR(VLOOKUP($A231,'AAPT ExDa'!$B$2:$U$99, 5,FALSE), IFERROR(VLOOKUP($A231,'ABB ExDa'!$A$2:$N$184, 8,FALSE), IFERROR(VLOOKUP($A231,'Vocus SIT ExDa'!$B$2:$J$173, 6,FALSE), IFERROR(VLOOKUP($A231,'Telstra ExDa'!$B$2:$K$310, 0,FALSE), IFERROR(VLOOKUP($A231,'Vocus RVC ExDa'!$C$2:$R$155, 15,FALSE), IFERROR(VLOOKUP($A231,'Fusion ExDa'!$B$2:$D$16, 0,FALSE), IFERROR(VLOOKUP($A231,'Exetel ExDa'!$C$2:$N$14, 7,FALSE), IFERROR(VLOOKUP($A231,'Infinet ExDa'!$B$2:$E$14, 0,FALSE), "Not Found"))))))))</f>
        <v>144.6.121.167</v>
      </c>
      <c r="H231" t="str">
        <f>IFERROR(VLOOKUP($A231,'AAPT ExDa'!$B$2:$U$99, 6,FALSE), IFERROR(VLOOKUP($A231,'ABB ExDa'!$A$2:$N$184, 0,FALSE), IFERROR(VLOOKUP($A231,'Vocus SIT ExDa'!$B$2:$J$173, 0,FALSE), IFERROR(VLOOKUP($A231,'Telstra ExDa'!$B$2:$K$310, 0,FALSE), IFERROR(VLOOKUP($A231,'Vocus RVC ExDa'!$C$2:$R$155, 16,FALSE), IFERROR(VLOOKUP($A231,'Fusion ExDa'!$B$2:$D$16, 0,FALSE), IFERROR(VLOOKUP($A231,'Exetel ExDa'!$C$2:$N$14, 0,FALSE), IFERROR(VLOOKUP($A231,'Infinet ExDa'!$B$2:$E$14, 0,FALSE), "Not Found"))))))))</f>
        <v>Not Found</v>
      </c>
      <c r="I231" t="str">
        <f>IFERROR(VLOOKUP($A231,'AAPT ExDa'!$B$2:$U$99, 0,FALSE), IFERROR(VLOOKUP($A231,'ABB ExDa'!$A$2:$N$184, 0,FALSE), IFERROR(VLOOKUP($A231,'Vocus SIT ExDa'!$B$2:$J$173, 0,FALSE), IFERROR(VLOOKUP($A231,'Telstra ExDa'!$B$2:$K$310, 0,FALSE), IFERROR(VLOOKUP($A231,'Vocus RVC ExDa'!$C$2:$R$155, 0,FALSE), IFERROR(VLOOKUP($A231,'Fusion ExDa'!$B$2:$D$16, 0,FALSE), IFERROR(VLOOKUP($A231,'Exetel ExDa'!$C$2:$N$14, 8,FALSE), IFERROR(VLOOKUP($A231,'Infinet ExDa'!$B$2:$E$14, 0,FALSE), "Not Found"))))))))</f>
        <v>Not Found</v>
      </c>
      <c r="J231" t="str">
        <f>IFERROR(VLOOKUP($A231,'AAPT ExDa'!$B$2:$U$99, 7,FALSE), IFERROR(VLOOKUP($A231,'ABB ExDa'!$A$2:$N$184, 2,FALSE), IFERROR(VLOOKUP($A231,'Vocus SIT ExDa'!$B$2:$J$173, 0,FALSE), IFERROR(VLOOKUP($A231,'Telstra ExDa'!$B$2:$K$310, 7,FALSE), IFERROR(VLOOKUP($A231,'Vocus RVC ExDa'!$C$2:$R$155, 2,FALSE), IFERROR(VLOOKUP($A231,'Fusion ExDa'!$B$2:$D$16, 3,FALSE), IFERROR(VLOOKUP($A231,'Exetel ExDa'!$C$2:$N$14, 0,FALSE), IFERROR(VLOOKUP($A231,'Infinet ExDa'!$B$2:$E$14, 0,FALSE), "Not Found"))))))))</f>
        <v>SUNSHINE PLAZA SHOP 91A, 154 HORTON PDE, MAROOCHYDORE QLD</v>
      </c>
      <c r="K231" t="str">
        <f>IFERROR(VLOOKUP($A231,'AAPT ExDa'!$B$2:$U$99, 12,FALSE), IFERROR(VLOOKUP($A231,'ABB ExDa'!$A$2:$N$184, 0,FALSE), IFERROR(VLOOKUP($A231,'Vocus SIT ExDa'!$B$2:$J$173, 0,FALSE), IFERROR(VLOOKUP($A231,'Telstra ExDa'!$B$2:$K$310, 0,FALSE), IFERROR(VLOOKUP($A231,'Vocus RVC ExDa'!$C$2:$R$155, 0,FALSE), IFERROR(VLOOKUP($A231,'Fusion ExDa'!$B$2:$D$16, 0,FALSE), IFERROR(VLOOKUP($A231,'Exetel ExDa'!$C$2:$N$14, 12,FALSE), IFERROR(VLOOKUP($A231,'Infinet ExDa'!$B$2:$E$14, 0,FALSE), "Not Found"))))))))</f>
        <v>Not Found</v>
      </c>
      <c r="L231" s="235" t="str">
        <f>IFERROR(VLOOKUP($A231,'AAPT ExDa'!$B$2:$U$99, 11,FALSE), IFERROR(VLOOKUP($A231,'ABB ExDa'!$A$2:$N$184, 9,FALSE), IFERROR(VLOOKUP($A231,'Vocus SIT ExDa'!$B$2:$J$173, 8,FALSE), IFERROR(VLOOKUP($A231,'Telstra ExDa'!$B$2:$K$310, 0,FALSE), IFERROR(VLOOKUP($A231,'Vocus RVC ExDa'!$C$2:$R$155, 0,FALSE), IFERROR(VLOOKUP($A231,'Fusion ExDa'!$B$2:$D$16, 0,FALSE), IFERROR(VLOOKUP($A231,'Exetel ExDa'!$C$2:$N$14, 9,FALSE), IFERROR(VLOOKUP($A231,'Infinet ExDa'!$B$2:$E$14, 0,FALSE), "Not Found"))))))))</f>
        <v>14 May 2024</v>
      </c>
      <c r="M231" s="234" t="str">
        <f>IFERROR(VLOOKUP($A231,'AAPT ExDa'!$B$2:$U$99, 0,FALSE), IFERROR(VLOOKUP($A231,'ABB ExDa'!$A$2:$N$184, 0,FALSE), IFERROR(VLOOKUP($A231,'Vocus SIT ExDa'!$B$2:$J$173, 0,FALSE), IFERROR(VLOOKUP($A231,'Telstra ExDa'!$B$2:$K$310, 0,FALSE), IFERROR(VLOOKUP($A231,'Vocus RVC ExDa'!$C$2:$R$155, 0,FALSE), IFERROR(VLOOKUP($A231,'Fusion ExDa'!$B$2:$D$16, 0,FALSE), IFERROR(VLOOKUP($A231,'Exetel ExDa'!$C$2:$N$14, 11,FALSE), IFERROR(VLOOKUP($A231,'Infinet ExDa'!$B$2:$E$14, 0,FALSE), "Not Found"))))))))</f>
        <v>Not Found</v>
      </c>
      <c r="N231" t="str">
        <f>IFERROR(VLOOKUP($A231,'AAPT ExDa'!$B$2:$U$99, 0,FALSE), IFERROR(VLOOKUP($A231,'ABB ExDa'!$A$2:$N$184, 13,FALSE), IFERROR(VLOOKUP($A231,'Vocus SIT ExDa'!$B$2:$J$173, 0,FALSE), IFERROR(VLOOKUP($A231,'Telstra ExDa'!$B$2:$K$310, 0,FALSE), IFERROR(VLOOKUP($A231,'Vocus RVC ExDa'!$C$2:$R$155, 0,FALSE), IFERROR(VLOOKUP($A231,'Fusion ExDa'!$B$2:$D$16, 0,FALSE), IFERROR(VLOOKUP($A231,'Exetel ExDa'!$C$2:$N$14, 0,FALSE), IFERROR(VLOOKUP($A231,'Infinet ExDa'!$B$2:$E$14, 0,FALSE), "Not Found"))))))))</f>
        <v>Onebill</v>
      </c>
    </row>
    <row r="232" spans="1:14">
      <c r="A232" t="str">
        <v>Zambrero Sutherland</v>
      </c>
      <c r="B232" t="str">
        <f>IFERROR(VLOOKUP(A232,'Exetel ExDa'!$C$2:$N$14,4,FALSE),"No Data")</f>
        <v>No Data</v>
      </c>
      <c r="C232" t="str">
        <f>IFERROR(VLOOKUP(A232,'AAPT ExDa'!$B$2:$U$99, 2,FALSE), IFERROR(VLOOKUP(A232,'ABB ExDa'!$A$2:$N$184, 2,FALSE), IFERROR(VLOOKUP(A232,'Vocus SIT ExDa'!$B$2:$J$173, 7,FALSE), IFERROR(VLOOKUP(A232,'Telstra ExDa'!$B$2:$K$310, 2,FALSE), IFERROR(VLOOKUP(A232,'Vocus RVC ExDa'!$C$2:$R$155, 3,FALSE), IFERROR(VLOOKUP(A232,'Fusion ExDa'!$B$2:$D$16, 2,FALSE), IFERROR(VLOOKUP(A232,'Exetel ExDa'!$C$2:$N$14, 2,FALSE), IFERROR(VLOOKUP(A232,'Infinet ExDa'!$B$2:$E$14, 2,FALSE), "Not Found"))))))))</f>
        <v>778 OLD PRINCES HWY, SUTHERLAND NSW</v>
      </c>
      <c r="D232" t="str">
        <f>IFERROR(VLOOKUP($A232,'AAPT ExDa'!$B$2:$U$99, 15,FALSE), IFERROR(VLOOKUP($A232,'ABB ExDa'!$A$2:$N$184, 4,FALSE), IFERROR(VLOOKUP($A232,'Vocus SIT ExDa'!$B$2:$J$173, 5,FALSE), IFERROR(VLOOKUP($A232,'Telstra ExDa'!$B$2:$K$310, 8,FALSE), IFERROR(VLOOKUP($A232,'Vocus RVC ExDa'!$C$2:$R$155, 6,FALSE), IFERROR(VLOOKUP($A232,'Fusion ExDa'!$B$2:$D$16, 4,FALSE), IFERROR(VLOOKUP($A232,'Exetel ExDa'!$C$2:$N$14, 3,FALSE), IFERROR(VLOOKUP($A232,'Infinet ExDa'!$B$2:$E$14, 3,FALSE), "Not Found"))))))))</f>
        <v>ABB</v>
      </c>
      <c r="E232" t="str">
        <f>IFERROR(VLOOKUP($A232,'AAPT ExDa'!$B$2:$U$99, 3,FALSE), IFERROR(VLOOKUP($A232,'ABB ExDa'!$A$2:$N$184, 5,FALSE), IFERROR(VLOOKUP($A232,'Vocus SIT ExDa'!$B$2:$J$173, 2,FALSE), IFERROR(VLOOKUP($A232,'Telstra ExDa'!$B$2:$K$310, 4,FALSE), IFERROR(VLOOKUP($A232,'Vocus RVC ExDa'!$C$2:$R$155, 8,FALSE), IFERROR(VLOOKUP($A232,'Fusion ExDa'!$B$2:$D$16, 4,FALSE), IFERROR(VLOOKUP($A232,'Exetel ExDa'!$C$2:$N$14, 5,FALSE), IFERROR(VLOOKUP($A232,'Infinet ExDa'!$B$2:$E$14, 3,FALSE), "Not Found"))))))))</f>
        <v>NBN 25/10</v>
      </c>
      <c r="F232" t="str">
        <f>IFERROR(VLOOKUP($A232,'AAPT ExDa'!$B$2:$U$99, 4,FALSE), IFERROR(VLOOKUP($A232,'ABB ExDa'!$A$2:$N$184, 6,FALSE), IFERROR(VLOOKUP($A232,'Vocus SIT ExDa'!$B$2:$J$173, 3,FALSE), IFERROR(VLOOKUP($A232,'Telstra ExDa'!$B$2:$K$310, 5,FALSE), IFERROR(VLOOKUP($A232,'Vocus RVC ExDa'!$C$2:$R$155, 9,FALSE), IFERROR(VLOOKUP($A232,'Fusion ExDa'!$B$2:$D$16, 0,FALSE), IFERROR(VLOOKUP($A232,'Exetel ExDa'!$C$2:$N$14, 6,FALSE), IFERROR(VLOOKUP($A232,'Infinet ExDa'!$B$2:$E$14, 0,FALSE), "Not Found"))))))))</f>
        <v>FTTC</v>
      </c>
      <c r="G232" t="str">
        <f>IFERROR(VLOOKUP($A232,'AAPT ExDa'!$B$2:$U$99, 5,FALSE), IFERROR(VLOOKUP($A232,'ABB ExDa'!$A$2:$N$184, 8,FALSE), IFERROR(VLOOKUP($A232,'Vocus SIT ExDa'!$B$2:$J$173, 6,FALSE), IFERROR(VLOOKUP($A232,'Telstra ExDa'!$B$2:$K$310, 0,FALSE), IFERROR(VLOOKUP($A232,'Vocus RVC ExDa'!$C$2:$R$155, 15,FALSE), IFERROR(VLOOKUP($A232,'Fusion ExDa'!$B$2:$D$16, 0,FALSE), IFERROR(VLOOKUP($A232,'Exetel ExDa'!$C$2:$N$14, 7,FALSE), IFERROR(VLOOKUP($A232,'Infinet ExDa'!$B$2:$E$14, 0,FALSE), "Not Found"))))))))</f>
        <v>180.181.236.118</v>
      </c>
      <c r="H232">
        <f>IFERROR(VLOOKUP($A232,'AAPT ExDa'!$B$2:$U$99, 6,FALSE), IFERROR(VLOOKUP($A232,'ABB ExDa'!$A$2:$N$184, 0,FALSE), IFERROR(VLOOKUP($A232,'Vocus SIT ExDa'!$B$2:$J$173, 0,FALSE), IFERROR(VLOOKUP($A232,'Telstra ExDa'!$B$2:$K$310, 0,FALSE), IFERROR(VLOOKUP($A232,'Vocus RVC ExDa'!$C$2:$R$155, 16,FALSE), IFERROR(VLOOKUP($A232,'Fusion ExDa'!$B$2:$D$16, 0,FALSE), IFERROR(VLOOKUP($A232,'Exetel ExDa'!$C$2:$N$14, 0,FALSE), IFERROR(VLOOKUP($A232,'Infinet ExDa'!$B$2:$E$14, 0,FALSE), "Not Found"))))))))</f>
        <v>0</v>
      </c>
      <c r="I232" t="str">
        <f>IFERROR(VLOOKUP($A232,'AAPT ExDa'!$B$2:$U$99, 0,FALSE), IFERROR(VLOOKUP($A232,'ABB ExDa'!$A$2:$N$184, 0,FALSE), IFERROR(VLOOKUP($A232,'Vocus SIT ExDa'!$B$2:$J$173, 0,FALSE), IFERROR(VLOOKUP($A232,'Telstra ExDa'!$B$2:$K$310, 0,FALSE), IFERROR(VLOOKUP($A232,'Vocus RVC ExDa'!$C$2:$R$155, 0,FALSE), IFERROR(VLOOKUP($A232,'Fusion ExDa'!$B$2:$D$16, 0,FALSE), IFERROR(VLOOKUP($A232,'Exetel ExDa'!$C$2:$N$14, 8,FALSE), IFERROR(VLOOKUP($A232,'Infinet ExDa'!$B$2:$E$14, 0,FALSE), "Not Found"))))))))</f>
        <v>Not Found</v>
      </c>
      <c r="J232" t="str">
        <f>IFERROR(VLOOKUP($A232,'AAPT ExDa'!$B$2:$U$99, 7,FALSE), IFERROR(VLOOKUP($A232,'ABB ExDa'!$A$2:$N$184, 2,FALSE), IFERROR(VLOOKUP($A232,'Vocus SIT ExDa'!$B$2:$J$173, 0,FALSE), IFERROR(VLOOKUP($A232,'Telstra ExDa'!$B$2:$K$310, 7,FALSE), IFERROR(VLOOKUP($A232,'Vocus RVC ExDa'!$C$2:$R$155, 2,FALSE), IFERROR(VLOOKUP($A232,'Fusion ExDa'!$B$2:$D$16, 3,FALSE), IFERROR(VLOOKUP($A232,'Exetel ExDa'!$C$2:$N$14, 0,FALSE), IFERROR(VLOOKUP($A232,'Infinet ExDa'!$B$2:$E$14, 0,FALSE), "Not Found"))))))))</f>
        <v>778 OLD PRINCES HWY, SUTHERLAND NSW</v>
      </c>
      <c r="K232" t="str">
        <f>IFERROR(VLOOKUP($A232,'AAPT ExDa'!$B$2:$U$99, 12,FALSE), IFERROR(VLOOKUP($A232,'ABB ExDa'!$A$2:$N$184, 0,FALSE), IFERROR(VLOOKUP($A232,'Vocus SIT ExDa'!$B$2:$J$173, 0,FALSE), IFERROR(VLOOKUP($A232,'Telstra ExDa'!$B$2:$K$310, 0,FALSE), IFERROR(VLOOKUP($A232,'Vocus RVC ExDa'!$C$2:$R$155, 0,FALSE), IFERROR(VLOOKUP($A232,'Fusion ExDa'!$B$2:$D$16, 0,FALSE), IFERROR(VLOOKUP($A232,'Exetel ExDa'!$C$2:$N$14, 12,FALSE), IFERROR(VLOOKUP($A232,'Infinet ExDa'!$B$2:$E$14, 0,FALSE), "Not Found"))))))))</f>
        <v>Not Found</v>
      </c>
      <c r="L232" s="235" t="str">
        <f>IFERROR(VLOOKUP($A232,'AAPT ExDa'!$B$2:$U$99, 11,FALSE), IFERROR(VLOOKUP($A232,'ABB ExDa'!$A$2:$N$184, 9,FALSE), IFERROR(VLOOKUP($A232,'Vocus SIT ExDa'!$B$2:$J$173, 8,FALSE), IFERROR(VLOOKUP($A232,'Telstra ExDa'!$B$2:$K$310, 0,FALSE), IFERROR(VLOOKUP($A232,'Vocus RVC ExDa'!$C$2:$R$155, 0,FALSE), IFERROR(VLOOKUP($A232,'Fusion ExDa'!$B$2:$D$16, 0,FALSE), IFERROR(VLOOKUP($A232,'Exetel ExDa'!$C$2:$N$14, 9,FALSE), IFERROR(VLOOKUP($A232,'Infinet ExDa'!$B$2:$E$14, 0,FALSE), "Not Found"))))))))</f>
        <v>18 Sept 2025</v>
      </c>
      <c r="M232" s="234" t="str">
        <f>IFERROR(VLOOKUP($A232,'AAPT ExDa'!$B$2:$U$99, 0,FALSE), IFERROR(VLOOKUP($A232,'ABB ExDa'!$A$2:$N$184, 0,FALSE), IFERROR(VLOOKUP($A232,'Vocus SIT ExDa'!$B$2:$J$173, 0,FALSE), IFERROR(VLOOKUP($A232,'Telstra ExDa'!$B$2:$K$310, 0,FALSE), IFERROR(VLOOKUP($A232,'Vocus RVC ExDa'!$C$2:$R$155, 0,FALSE), IFERROR(VLOOKUP($A232,'Fusion ExDa'!$B$2:$D$16, 0,FALSE), IFERROR(VLOOKUP($A232,'Exetel ExDa'!$C$2:$N$14, 11,FALSE), IFERROR(VLOOKUP($A232,'Infinet ExDa'!$B$2:$E$14, 0,FALSE), "Not Found"))))))))</f>
        <v>Not Found</v>
      </c>
      <c r="N232" t="str">
        <f>IFERROR(VLOOKUP($A232,'AAPT ExDa'!$B$2:$U$99, 0,FALSE), IFERROR(VLOOKUP($A232,'ABB ExDa'!$A$2:$N$184, 13,FALSE), IFERROR(VLOOKUP($A232,'Vocus SIT ExDa'!$B$2:$J$173, 0,FALSE), IFERROR(VLOOKUP($A232,'Telstra ExDa'!$B$2:$K$310, 0,FALSE), IFERROR(VLOOKUP($A232,'Vocus RVC ExDa'!$C$2:$R$155, 0,FALSE), IFERROR(VLOOKUP($A232,'Fusion ExDa'!$B$2:$D$16, 0,FALSE), IFERROR(VLOOKUP($A232,'Exetel ExDa'!$C$2:$N$14, 0,FALSE), IFERROR(VLOOKUP($A232,'Infinet ExDa'!$B$2:$E$14, 0,FALSE), "Not Found"))))))))</f>
        <v>Onebill</v>
      </c>
    </row>
    <row r="233" spans="1:14">
      <c r="A233" t="str">
        <v>Zambrero Swan View</v>
      </c>
      <c r="B233" t="str">
        <f>IFERROR(VLOOKUP(A233,'Exetel ExDa'!$C$2:$N$14,4,FALSE),"No Data")</f>
        <v>No Data</v>
      </c>
      <c r="C233" t="str">
        <f>IFERROR(VLOOKUP(A233,'AAPT ExDa'!$B$2:$U$99, 2,FALSE), IFERROR(VLOOKUP(A233,'ABB ExDa'!$A$2:$N$184, 2,FALSE), IFERROR(VLOOKUP(A233,'Vocus SIT ExDa'!$B$2:$J$173, 7,FALSE), IFERROR(VLOOKUP(A233,'Telstra ExDa'!$B$2:$K$310, 2,FALSE), IFERROR(VLOOKUP(A233,'Vocus RVC ExDa'!$C$2:$R$155, 3,FALSE), IFERROR(VLOOKUP(A233,'Fusion ExDa'!$B$2:$D$16, 2,FALSE), IFERROR(VLOOKUP(A233,'Exetel ExDa'!$C$2:$N$14, 2,FALSE), IFERROR(VLOOKUP(A233,'Infinet ExDa'!$B$2:$E$14, 2,FALSE), "Not Found"))))))))</f>
        <v>DARLING RIDGE SHOPPING CENTRE UN 9, 309 MORRISON RD, SWAN VIEW WA</v>
      </c>
      <c r="D233" t="str">
        <f>IFERROR(VLOOKUP($A233,'AAPT ExDa'!$B$2:$U$99, 15,FALSE), IFERROR(VLOOKUP($A233,'ABB ExDa'!$A$2:$N$184, 4,FALSE), IFERROR(VLOOKUP($A233,'Vocus SIT ExDa'!$B$2:$J$173, 5,FALSE), IFERROR(VLOOKUP($A233,'Telstra ExDa'!$B$2:$K$310, 8,FALSE), IFERROR(VLOOKUP($A233,'Vocus RVC ExDa'!$C$2:$R$155, 6,FALSE), IFERROR(VLOOKUP($A233,'Fusion ExDa'!$B$2:$D$16, 4,FALSE), IFERROR(VLOOKUP($A233,'Exetel ExDa'!$C$2:$N$14, 3,FALSE), IFERROR(VLOOKUP($A233,'Infinet ExDa'!$B$2:$E$14, 3,FALSE), "Not Found"))))))))</f>
        <v>ABB</v>
      </c>
      <c r="E233" t="str">
        <f>IFERROR(VLOOKUP($A233,'AAPT ExDa'!$B$2:$U$99, 3,FALSE), IFERROR(VLOOKUP($A233,'ABB ExDa'!$A$2:$N$184, 5,FALSE), IFERROR(VLOOKUP($A233,'Vocus SIT ExDa'!$B$2:$J$173, 2,FALSE), IFERROR(VLOOKUP($A233,'Telstra ExDa'!$B$2:$K$310, 4,FALSE), IFERROR(VLOOKUP($A233,'Vocus RVC ExDa'!$C$2:$R$155, 8,FALSE), IFERROR(VLOOKUP($A233,'Fusion ExDa'!$B$2:$D$16, 4,FALSE), IFERROR(VLOOKUP($A233,'Exetel ExDa'!$C$2:$N$14, 5,FALSE), IFERROR(VLOOKUP($A233,'Infinet ExDa'!$B$2:$E$14, 3,FALSE), "Not Found"))))))))</f>
        <v>NBN 100/40</v>
      </c>
      <c r="F233" t="str">
        <f>IFERROR(VLOOKUP($A233,'AAPT ExDa'!$B$2:$U$99, 4,FALSE), IFERROR(VLOOKUP($A233,'ABB ExDa'!$A$2:$N$184, 6,FALSE), IFERROR(VLOOKUP($A233,'Vocus SIT ExDa'!$B$2:$J$173, 3,FALSE), IFERROR(VLOOKUP($A233,'Telstra ExDa'!$B$2:$K$310, 5,FALSE), IFERROR(VLOOKUP($A233,'Vocus RVC ExDa'!$C$2:$R$155, 9,FALSE), IFERROR(VLOOKUP($A233,'Fusion ExDa'!$B$2:$D$16, 0,FALSE), IFERROR(VLOOKUP($A233,'Exetel ExDa'!$C$2:$N$14, 6,FALSE), IFERROR(VLOOKUP($A233,'Infinet ExDa'!$B$2:$E$14, 0,FALSE), "Not Found"))))))))</f>
        <v>FTTC</v>
      </c>
      <c r="G233" t="str">
        <f>IFERROR(VLOOKUP($A233,'AAPT ExDa'!$B$2:$U$99, 5,FALSE), IFERROR(VLOOKUP($A233,'ABB ExDa'!$A$2:$N$184, 8,FALSE), IFERROR(VLOOKUP($A233,'Vocus SIT ExDa'!$B$2:$J$173, 6,FALSE), IFERROR(VLOOKUP($A233,'Telstra ExDa'!$B$2:$K$310, 0,FALSE), IFERROR(VLOOKUP($A233,'Vocus RVC ExDa'!$C$2:$R$155, 15,FALSE), IFERROR(VLOOKUP($A233,'Fusion ExDa'!$B$2:$D$16, 0,FALSE), IFERROR(VLOOKUP($A233,'Exetel ExDa'!$C$2:$N$14, 7,FALSE), IFERROR(VLOOKUP($A233,'Infinet ExDa'!$B$2:$E$14, 0,FALSE), "Not Found"))))))))</f>
        <v>144.6.144.19</v>
      </c>
      <c r="H233" t="str">
        <f>IFERROR(VLOOKUP($A233,'AAPT ExDa'!$B$2:$U$99, 6,FALSE), IFERROR(VLOOKUP($A233,'ABB ExDa'!$A$2:$N$184, 0,FALSE), IFERROR(VLOOKUP($A233,'Vocus SIT ExDa'!$B$2:$J$173, 0,FALSE), IFERROR(VLOOKUP($A233,'Telstra ExDa'!$B$2:$K$310, 0,FALSE), IFERROR(VLOOKUP($A233,'Vocus RVC ExDa'!$C$2:$R$155, 16,FALSE), IFERROR(VLOOKUP($A233,'Fusion ExDa'!$B$2:$D$16, 0,FALSE), IFERROR(VLOOKUP($A233,'Exetel ExDa'!$C$2:$N$14, 0,FALSE), IFERROR(VLOOKUP($A233,'Infinet ExDa'!$B$2:$E$14, 0,FALSE), "Not Found"))))))))</f>
        <v>Not Found</v>
      </c>
      <c r="I233" t="str">
        <f>IFERROR(VLOOKUP($A233,'AAPT ExDa'!$B$2:$U$99, 0,FALSE), IFERROR(VLOOKUP($A233,'ABB ExDa'!$A$2:$N$184, 0,FALSE), IFERROR(VLOOKUP($A233,'Vocus SIT ExDa'!$B$2:$J$173, 0,FALSE), IFERROR(VLOOKUP($A233,'Telstra ExDa'!$B$2:$K$310, 0,FALSE), IFERROR(VLOOKUP($A233,'Vocus RVC ExDa'!$C$2:$R$155, 0,FALSE), IFERROR(VLOOKUP($A233,'Fusion ExDa'!$B$2:$D$16, 0,FALSE), IFERROR(VLOOKUP($A233,'Exetel ExDa'!$C$2:$N$14, 8,FALSE), IFERROR(VLOOKUP($A233,'Infinet ExDa'!$B$2:$E$14, 0,FALSE), "Not Found"))))))))</f>
        <v>Not Found</v>
      </c>
      <c r="J233" t="str">
        <f>IFERROR(VLOOKUP($A233,'AAPT ExDa'!$B$2:$U$99, 7,FALSE), IFERROR(VLOOKUP($A233,'ABB ExDa'!$A$2:$N$184, 2,FALSE), IFERROR(VLOOKUP($A233,'Vocus SIT ExDa'!$B$2:$J$173, 0,FALSE), IFERROR(VLOOKUP($A233,'Telstra ExDa'!$B$2:$K$310, 7,FALSE), IFERROR(VLOOKUP($A233,'Vocus RVC ExDa'!$C$2:$R$155, 2,FALSE), IFERROR(VLOOKUP($A233,'Fusion ExDa'!$B$2:$D$16, 3,FALSE), IFERROR(VLOOKUP($A233,'Exetel ExDa'!$C$2:$N$14, 0,FALSE), IFERROR(VLOOKUP($A233,'Infinet ExDa'!$B$2:$E$14, 0,FALSE), "Not Found"))))))))</f>
        <v>DARLING RIDGE SHOPPING CENTRE UN 9, 309 MORRISON RD, SWAN VIEW WA</v>
      </c>
      <c r="K233" t="str">
        <f>IFERROR(VLOOKUP($A233,'AAPT ExDa'!$B$2:$U$99, 12,FALSE), IFERROR(VLOOKUP($A233,'ABB ExDa'!$A$2:$N$184, 0,FALSE), IFERROR(VLOOKUP($A233,'Vocus SIT ExDa'!$B$2:$J$173, 0,FALSE), IFERROR(VLOOKUP($A233,'Telstra ExDa'!$B$2:$K$310, 0,FALSE), IFERROR(VLOOKUP($A233,'Vocus RVC ExDa'!$C$2:$R$155, 0,FALSE), IFERROR(VLOOKUP($A233,'Fusion ExDa'!$B$2:$D$16, 0,FALSE), IFERROR(VLOOKUP($A233,'Exetel ExDa'!$C$2:$N$14, 12,FALSE), IFERROR(VLOOKUP($A233,'Infinet ExDa'!$B$2:$E$14, 0,FALSE), "Not Found"))))))))</f>
        <v>Not Found</v>
      </c>
      <c r="L233" s="235" t="str">
        <f>IFERROR(VLOOKUP($A233,'AAPT ExDa'!$B$2:$U$99, 11,FALSE), IFERROR(VLOOKUP($A233,'ABB ExDa'!$A$2:$N$184, 9,FALSE), IFERROR(VLOOKUP($A233,'Vocus SIT ExDa'!$B$2:$J$173, 8,FALSE), IFERROR(VLOOKUP($A233,'Telstra ExDa'!$B$2:$K$310, 0,FALSE), IFERROR(VLOOKUP($A233,'Vocus RVC ExDa'!$C$2:$R$155, 0,FALSE), IFERROR(VLOOKUP($A233,'Fusion ExDa'!$B$2:$D$16, 0,FALSE), IFERROR(VLOOKUP($A233,'Exetel ExDa'!$C$2:$N$14, 9,FALSE), IFERROR(VLOOKUP($A233,'Infinet ExDa'!$B$2:$E$14, 0,FALSE), "Not Found"))))))))</f>
        <v>17 July 2024</v>
      </c>
      <c r="M233" s="234" t="str">
        <f>IFERROR(VLOOKUP($A233,'AAPT ExDa'!$B$2:$U$99, 0,FALSE), IFERROR(VLOOKUP($A233,'ABB ExDa'!$A$2:$N$184, 0,FALSE), IFERROR(VLOOKUP($A233,'Vocus SIT ExDa'!$B$2:$J$173, 0,FALSE), IFERROR(VLOOKUP($A233,'Telstra ExDa'!$B$2:$K$310, 0,FALSE), IFERROR(VLOOKUP($A233,'Vocus RVC ExDa'!$C$2:$R$155, 0,FALSE), IFERROR(VLOOKUP($A233,'Fusion ExDa'!$B$2:$D$16, 0,FALSE), IFERROR(VLOOKUP($A233,'Exetel ExDa'!$C$2:$N$14, 11,FALSE), IFERROR(VLOOKUP($A233,'Infinet ExDa'!$B$2:$E$14, 0,FALSE), "Not Found"))))))))</f>
        <v>Not Found</v>
      </c>
      <c r="N233" t="str">
        <f>IFERROR(VLOOKUP($A233,'AAPT ExDa'!$B$2:$U$99, 0,FALSE), IFERROR(VLOOKUP($A233,'ABB ExDa'!$A$2:$N$184, 13,FALSE), IFERROR(VLOOKUP($A233,'Vocus SIT ExDa'!$B$2:$J$173, 0,FALSE), IFERROR(VLOOKUP($A233,'Telstra ExDa'!$B$2:$K$310, 0,FALSE), IFERROR(VLOOKUP($A233,'Vocus RVC ExDa'!$C$2:$R$155, 0,FALSE), IFERROR(VLOOKUP($A233,'Fusion ExDa'!$B$2:$D$16, 0,FALSE), IFERROR(VLOOKUP($A233,'Exetel ExDa'!$C$2:$N$14, 0,FALSE), IFERROR(VLOOKUP($A233,'Infinet ExDa'!$B$2:$E$14, 0,FALSE), "Not Found"))))))))</f>
        <v>Onebill</v>
      </c>
    </row>
    <row r="234" spans="1:14">
      <c r="A234" t="str">
        <v>Zambrero Warwick</v>
      </c>
      <c r="B234" t="str">
        <f>IFERROR(VLOOKUP(A234,'Exetel ExDa'!$C$2:$N$14,4,FALSE),"No Data")</f>
        <v>No Data</v>
      </c>
      <c r="C234" t="str">
        <f>IFERROR(VLOOKUP(A234,'AAPT ExDa'!$B$2:$U$99, 2,FALSE), IFERROR(VLOOKUP(A234,'ABB ExDa'!$A$2:$N$184, 2,FALSE), IFERROR(VLOOKUP(A234,'Vocus SIT ExDa'!$B$2:$J$173, 7,FALSE), IFERROR(VLOOKUP(A234,'Telstra ExDa'!$B$2:$K$310, 2,FALSE), IFERROR(VLOOKUP(A234,'Vocus RVC ExDa'!$C$2:$R$155, 3,FALSE), IFERROR(VLOOKUP(A234,'Fusion ExDa'!$B$2:$D$16, 2,FALSE), IFERROR(VLOOKUP(A234,'Exetel ExDa'!$C$2:$N$14, 2,FALSE), IFERROR(VLOOKUP(A234,'Infinet ExDa'!$B$2:$E$14, 2,FALSE), "Not Found"))))))))</f>
        <v>WARWICK ENTERTAINMENT CENTRE UN 14, 639 BEACH RD, WARWICK WA</v>
      </c>
      <c r="D234" t="str">
        <f>IFERROR(VLOOKUP($A234,'AAPT ExDa'!$B$2:$U$99, 15,FALSE), IFERROR(VLOOKUP($A234,'ABB ExDa'!$A$2:$N$184, 4,FALSE), IFERROR(VLOOKUP($A234,'Vocus SIT ExDa'!$B$2:$J$173, 5,FALSE), IFERROR(VLOOKUP($A234,'Telstra ExDa'!$B$2:$K$310, 8,FALSE), IFERROR(VLOOKUP($A234,'Vocus RVC ExDa'!$C$2:$R$155, 6,FALSE), IFERROR(VLOOKUP($A234,'Fusion ExDa'!$B$2:$D$16, 4,FALSE), IFERROR(VLOOKUP($A234,'Exetel ExDa'!$C$2:$N$14, 3,FALSE), IFERROR(VLOOKUP($A234,'Infinet ExDa'!$B$2:$E$14, 3,FALSE), "Not Found"))))))))</f>
        <v>ABB</v>
      </c>
      <c r="E234" t="str">
        <f>IFERROR(VLOOKUP($A234,'AAPT ExDa'!$B$2:$U$99, 3,FALSE), IFERROR(VLOOKUP($A234,'ABB ExDa'!$A$2:$N$184, 5,FALSE), IFERROR(VLOOKUP($A234,'Vocus SIT ExDa'!$B$2:$J$173, 2,FALSE), IFERROR(VLOOKUP($A234,'Telstra ExDa'!$B$2:$K$310, 4,FALSE), IFERROR(VLOOKUP($A234,'Vocus RVC ExDa'!$C$2:$R$155, 8,FALSE), IFERROR(VLOOKUP($A234,'Fusion ExDa'!$B$2:$D$16, 4,FALSE), IFERROR(VLOOKUP($A234,'Exetel ExDa'!$C$2:$N$14, 5,FALSE), IFERROR(VLOOKUP($A234,'Infinet ExDa'!$B$2:$E$14, 3,FALSE), "Not Found"))))))))</f>
        <v>NBN 100/40</v>
      </c>
      <c r="F234" t="str">
        <f>IFERROR(VLOOKUP($A234,'AAPT ExDa'!$B$2:$U$99, 4,FALSE), IFERROR(VLOOKUP($A234,'ABB ExDa'!$A$2:$N$184, 6,FALSE), IFERROR(VLOOKUP($A234,'Vocus SIT ExDa'!$B$2:$J$173, 3,FALSE), IFERROR(VLOOKUP($A234,'Telstra ExDa'!$B$2:$K$310, 5,FALSE), IFERROR(VLOOKUP($A234,'Vocus RVC ExDa'!$C$2:$R$155, 9,FALSE), IFERROR(VLOOKUP($A234,'Fusion ExDa'!$B$2:$D$16, 0,FALSE), IFERROR(VLOOKUP($A234,'Exetel ExDa'!$C$2:$N$14, 6,FALSE), IFERROR(VLOOKUP($A234,'Infinet ExDa'!$B$2:$E$14, 0,FALSE), "Not Found"))))))))</f>
        <v>FTTB</v>
      </c>
      <c r="G234" t="str">
        <f>IFERROR(VLOOKUP($A234,'AAPT ExDa'!$B$2:$U$99, 5,FALSE), IFERROR(VLOOKUP($A234,'ABB ExDa'!$A$2:$N$184, 8,FALSE), IFERROR(VLOOKUP($A234,'Vocus SIT ExDa'!$B$2:$J$173, 6,FALSE), IFERROR(VLOOKUP($A234,'Telstra ExDa'!$B$2:$K$310, 0,FALSE), IFERROR(VLOOKUP($A234,'Vocus RVC ExDa'!$C$2:$R$155, 15,FALSE), IFERROR(VLOOKUP($A234,'Fusion ExDa'!$B$2:$D$16, 0,FALSE), IFERROR(VLOOKUP($A234,'Exetel ExDa'!$C$2:$N$14, 7,FALSE), IFERROR(VLOOKUP($A234,'Infinet ExDa'!$B$2:$E$14, 0,FALSE), "Not Found"))))))))</f>
        <v>159.196.89.49</v>
      </c>
      <c r="H234" t="str">
        <f>IFERROR(VLOOKUP($A234,'AAPT ExDa'!$B$2:$U$99, 6,FALSE), IFERROR(VLOOKUP($A234,'ABB ExDa'!$A$2:$N$184, 0,FALSE), IFERROR(VLOOKUP($A234,'Vocus SIT ExDa'!$B$2:$J$173, 0,FALSE), IFERROR(VLOOKUP($A234,'Telstra ExDa'!$B$2:$K$310, 0,FALSE), IFERROR(VLOOKUP($A234,'Vocus RVC ExDa'!$C$2:$R$155, 16,FALSE), IFERROR(VLOOKUP($A234,'Fusion ExDa'!$B$2:$D$16, 0,FALSE), IFERROR(VLOOKUP($A234,'Exetel ExDa'!$C$2:$N$14, 0,FALSE), IFERROR(VLOOKUP($A234,'Infinet ExDa'!$B$2:$E$14, 0,FALSE), "Not Found"))))))))</f>
        <v>Not Found</v>
      </c>
      <c r="I234" t="str">
        <f>IFERROR(VLOOKUP($A234,'AAPT ExDa'!$B$2:$U$99, 0,FALSE), IFERROR(VLOOKUP($A234,'ABB ExDa'!$A$2:$N$184, 0,FALSE), IFERROR(VLOOKUP($A234,'Vocus SIT ExDa'!$B$2:$J$173, 0,FALSE), IFERROR(VLOOKUP($A234,'Telstra ExDa'!$B$2:$K$310, 0,FALSE), IFERROR(VLOOKUP($A234,'Vocus RVC ExDa'!$C$2:$R$155, 0,FALSE), IFERROR(VLOOKUP($A234,'Fusion ExDa'!$B$2:$D$16, 0,FALSE), IFERROR(VLOOKUP($A234,'Exetel ExDa'!$C$2:$N$14, 8,FALSE), IFERROR(VLOOKUP($A234,'Infinet ExDa'!$B$2:$E$14, 0,FALSE), "Not Found"))))))))</f>
        <v>Not Found</v>
      </c>
      <c r="J234" t="str">
        <f>IFERROR(VLOOKUP($A234,'AAPT ExDa'!$B$2:$U$99, 7,FALSE), IFERROR(VLOOKUP($A234,'ABB ExDa'!$A$2:$N$184, 2,FALSE), IFERROR(VLOOKUP($A234,'Vocus SIT ExDa'!$B$2:$J$173, 0,FALSE), IFERROR(VLOOKUP($A234,'Telstra ExDa'!$B$2:$K$310, 7,FALSE), IFERROR(VLOOKUP($A234,'Vocus RVC ExDa'!$C$2:$R$155, 2,FALSE), IFERROR(VLOOKUP($A234,'Fusion ExDa'!$B$2:$D$16, 3,FALSE), IFERROR(VLOOKUP($A234,'Exetel ExDa'!$C$2:$N$14, 0,FALSE), IFERROR(VLOOKUP($A234,'Infinet ExDa'!$B$2:$E$14, 0,FALSE), "Not Found"))))))))</f>
        <v>WARWICK ENTERTAINMENT CENTRE UN 14, 639 BEACH RD, WARWICK WA</v>
      </c>
      <c r="K234" t="str">
        <f>IFERROR(VLOOKUP($A234,'AAPT ExDa'!$B$2:$U$99, 12,FALSE), IFERROR(VLOOKUP($A234,'ABB ExDa'!$A$2:$N$184, 0,FALSE), IFERROR(VLOOKUP($A234,'Vocus SIT ExDa'!$B$2:$J$173, 0,FALSE), IFERROR(VLOOKUP($A234,'Telstra ExDa'!$B$2:$K$310, 0,FALSE), IFERROR(VLOOKUP($A234,'Vocus RVC ExDa'!$C$2:$R$155, 0,FALSE), IFERROR(VLOOKUP($A234,'Fusion ExDa'!$B$2:$D$16, 0,FALSE), IFERROR(VLOOKUP($A234,'Exetel ExDa'!$C$2:$N$14, 12,FALSE), IFERROR(VLOOKUP($A234,'Infinet ExDa'!$B$2:$E$14, 0,FALSE), "Not Found"))))))))</f>
        <v>Not Found</v>
      </c>
      <c r="L234" s="235" t="str">
        <f>IFERROR(VLOOKUP($A234,'AAPT ExDa'!$B$2:$U$99, 11,FALSE), IFERROR(VLOOKUP($A234,'ABB ExDa'!$A$2:$N$184, 9,FALSE), IFERROR(VLOOKUP($A234,'Vocus SIT ExDa'!$B$2:$J$173, 8,FALSE), IFERROR(VLOOKUP($A234,'Telstra ExDa'!$B$2:$K$310, 0,FALSE), IFERROR(VLOOKUP($A234,'Vocus RVC ExDa'!$C$2:$R$155, 0,FALSE), IFERROR(VLOOKUP($A234,'Fusion ExDa'!$B$2:$D$16, 0,FALSE), IFERROR(VLOOKUP($A234,'Exetel ExDa'!$C$2:$N$14, 9,FALSE), IFERROR(VLOOKUP($A234,'Infinet ExDa'!$B$2:$E$14, 0,FALSE), "Not Found"))))))))</f>
        <v>30 Oct 2023</v>
      </c>
      <c r="M234" s="234" t="str">
        <f>IFERROR(VLOOKUP($A234,'AAPT ExDa'!$B$2:$U$99, 0,FALSE), IFERROR(VLOOKUP($A234,'ABB ExDa'!$A$2:$N$184, 0,FALSE), IFERROR(VLOOKUP($A234,'Vocus SIT ExDa'!$B$2:$J$173, 0,FALSE), IFERROR(VLOOKUP($A234,'Telstra ExDa'!$B$2:$K$310, 0,FALSE), IFERROR(VLOOKUP($A234,'Vocus RVC ExDa'!$C$2:$R$155, 0,FALSE), IFERROR(VLOOKUP($A234,'Fusion ExDa'!$B$2:$D$16, 0,FALSE), IFERROR(VLOOKUP($A234,'Exetel ExDa'!$C$2:$N$14, 11,FALSE), IFERROR(VLOOKUP($A234,'Infinet ExDa'!$B$2:$E$14, 0,FALSE), "Not Found"))))))))</f>
        <v>Not Found</v>
      </c>
      <c r="N234" t="str">
        <f>IFERROR(VLOOKUP($A234,'AAPT ExDa'!$B$2:$U$99, 0,FALSE), IFERROR(VLOOKUP($A234,'ABB ExDa'!$A$2:$N$184, 13,FALSE), IFERROR(VLOOKUP($A234,'Vocus SIT ExDa'!$B$2:$J$173, 0,FALSE), IFERROR(VLOOKUP($A234,'Telstra ExDa'!$B$2:$K$310, 0,FALSE), IFERROR(VLOOKUP($A234,'Vocus RVC ExDa'!$C$2:$R$155, 0,FALSE), IFERROR(VLOOKUP($A234,'Fusion ExDa'!$B$2:$D$16, 0,FALSE), IFERROR(VLOOKUP($A234,'Exetel ExDa'!$C$2:$N$14, 0,FALSE), IFERROR(VLOOKUP($A234,'Infinet ExDa'!$B$2:$E$14, 0,FALSE), "Not Found"))))))))</f>
        <v>Onebill</v>
      </c>
    </row>
    <row r="235" spans="1:14">
      <c r="A235" t="str">
        <v>Zambrero Waterloo</v>
      </c>
      <c r="B235" t="str">
        <f>IFERROR(VLOOKUP(A235,'Exetel ExDa'!$C$2:$N$14,4,FALSE),"No Data")</f>
        <v>No Data</v>
      </c>
      <c r="C235" t="str">
        <f>IFERROR(VLOOKUP(A235,'AAPT ExDa'!$B$2:$U$99, 2,FALSE), IFERROR(VLOOKUP(A235,'ABB ExDa'!$A$2:$N$184, 2,FALSE), IFERROR(VLOOKUP(A235,'Vocus SIT ExDa'!$B$2:$J$173, 7,FALSE), IFERROR(VLOOKUP(A235,'Telstra ExDa'!$B$2:$K$310, 2,FALSE), IFERROR(VLOOKUP(A235,'Vocus RVC ExDa'!$C$2:$R$155, 3,FALSE), IFERROR(VLOOKUP(A235,'Fusion ExDa'!$B$2:$D$16, 2,FALSE), IFERROR(VLOOKUP(A235,'Exetel ExDa'!$C$2:$N$14, 2,FALSE), IFERROR(VLOOKUP(A235,'Infinet ExDa'!$B$2:$E$14, 2,FALSE), "Not Found"))))))))</f>
        <v>SHOP CR6, 3 ARCHIBALD AV, WATERLOO NSW</v>
      </c>
      <c r="D235" t="str">
        <f>IFERROR(VLOOKUP($A235,'AAPT ExDa'!$B$2:$U$99, 15,FALSE), IFERROR(VLOOKUP($A235,'ABB ExDa'!$A$2:$N$184, 4,FALSE), IFERROR(VLOOKUP($A235,'Vocus SIT ExDa'!$B$2:$J$173, 5,FALSE), IFERROR(VLOOKUP($A235,'Telstra ExDa'!$B$2:$K$310, 8,FALSE), IFERROR(VLOOKUP($A235,'Vocus RVC ExDa'!$C$2:$R$155, 6,FALSE), IFERROR(VLOOKUP($A235,'Fusion ExDa'!$B$2:$D$16, 4,FALSE), IFERROR(VLOOKUP($A235,'Exetel ExDa'!$C$2:$N$14, 3,FALSE), IFERROR(VLOOKUP($A235,'Infinet ExDa'!$B$2:$E$14, 3,FALSE), "Not Found"))))))))</f>
        <v>ABB</v>
      </c>
      <c r="E235" t="str">
        <f>IFERROR(VLOOKUP($A235,'AAPT ExDa'!$B$2:$U$99, 3,FALSE), IFERROR(VLOOKUP($A235,'ABB ExDa'!$A$2:$N$184, 5,FALSE), IFERROR(VLOOKUP($A235,'Vocus SIT ExDa'!$B$2:$J$173, 2,FALSE), IFERROR(VLOOKUP($A235,'Telstra ExDa'!$B$2:$K$310, 4,FALSE), IFERROR(VLOOKUP($A235,'Vocus RVC ExDa'!$C$2:$R$155, 8,FALSE), IFERROR(VLOOKUP($A235,'Fusion ExDa'!$B$2:$D$16, 4,FALSE), IFERROR(VLOOKUP($A235,'Exetel ExDa'!$C$2:$N$14, 5,FALSE), IFERROR(VLOOKUP($A235,'Infinet ExDa'!$B$2:$E$14, 3,FALSE), "Not Found"))))))))</f>
        <v>NBN 25/10</v>
      </c>
      <c r="F235" t="str">
        <f>IFERROR(VLOOKUP($A235,'AAPT ExDa'!$B$2:$U$99, 4,FALSE), IFERROR(VLOOKUP($A235,'ABB ExDa'!$A$2:$N$184, 6,FALSE), IFERROR(VLOOKUP($A235,'Vocus SIT ExDa'!$B$2:$J$173, 3,FALSE), IFERROR(VLOOKUP($A235,'Telstra ExDa'!$B$2:$K$310, 5,FALSE), IFERROR(VLOOKUP($A235,'Vocus RVC ExDa'!$C$2:$R$155, 9,FALSE), IFERROR(VLOOKUP($A235,'Fusion ExDa'!$B$2:$D$16, 0,FALSE), IFERROR(VLOOKUP($A235,'Exetel ExDa'!$C$2:$N$14, 6,FALSE), IFERROR(VLOOKUP($A235,'Infinet ExDa'!$B$2:$E$14, 0,FALSE), "Not Found"))))))))</f>
        <v xml:space="preserve">Fibre </v>
      </c>
      <c r="G235" t="str">
        <f>IFERROR(VLOOKUP($A235,'AAPT ExDa'!$B$2:$U$99, 5,FALSE), IFERROR(VLOOKUP($A235,'ABB ExDa'!$A$2:$N$184, 8,FALSE), IFERROR(VLOOKUP($A235,'Vocus SIT ExDa'!$B$2:$J$173, 6,FALSE), IFERROR(VLOOKUP($A235,'Telstra ExDa'!$B$2:$K$310, 0,FALSE), IFERROR(VLOOKUP($A235,'Vocus RVC ExDa'!$C$2:$R$155, 15,FALSE), IFERROR(VLOOKUP($A235,'Fusion ExDa'!$B$2:$D$16, 0,FALSE), IFERROR(VLOOKUP($A235,'Exetel ExDa'!$C$2:$N$14, 7,FALSE), IFERROR(VLOOKUP($A235,'Infinet ExDa'!$B$2:$E$14, 0,FALSE), "Not Found"))))))))</f>
        <v>144.6.239.144</v>
      </c>
      <c r="H235">
        <f>IFERROR(VLOOKUP($A235,'AAPT ExDa'!$B$2:$U$99, 6,FALSE), IFERROR(VLOOKUP($A235,'ABB ExDa'!$A$2:$N$184, 0,FALSE), IFERROR(VLOOKUP($A235,'Vocus SIT ExDa'!$B$2:$J$173, 0,FALSE), IFERROR(VLOOKUP($A235,'Telstra ExDa'!$B$2:$K$310, 0,FALSE), IFERROR(VLOOKUP($A235,'Vocus RVC ExDa'!$C$2:$R$155, 16,FALSE), IFERROR(VLOOKUP($A235,'Fusion ExDa'!$B$2:$D$16, 0,FALSE), IFERROR(VLOOKUP($A235,'Exetel ExDa'!$C$2:$N$14, 0,FALSE), IFERROR(VLOOKUP($A235,'Infinet ExDa'!$B$2:$E$14, 0,FALSE), "Not Found"))))))))</f>
        <v>0</v>
      </c>
      <c r="I235" t="str">
        <f>IFERROR(VLOOKUP($A235,'AAPT ExDa'!$B$2:$U$99, 0,FALSE), IFERROR(VLOOKUP($A235,'ABB ExDa'!$A$2:$N$184, 0,FALSE), IFERROR(VLOOKUP($A235,'Vocus SIT ExDa'!$B$2:$J$173, 0,FALSE), IFERROR(VLOOKUP($A235,'Telstra ExDa'!$B$2:$K$310, 0,FALSE), IFERROR(VLOOKUP($A235,'Vocus RVC ExDa'!$C$2:$R$155, 0,FALSE), IFERROR(VLOOKUP($A235,'Fusion ExDa'!$B$2:$D$16, 0,FALSE), IFERROR(VLOOKUP($A235,'Exetel ExDa'!$C$2:$N$14, 8,FALSE), IFERROR(VLOOKUP($A235,'Infinet ExDa'!$B$2:$E$14, 0,FALSE), "Not Found"))))))))</f>
        <v>Not Found</v>
      </c>
      <c r="J235" t="str">
        <f>IFERROR(VLOOKUP($A235,'AAPT ExDa'!$B$2:$U$99, 7,FALSE), IFERROR(VLOOKUP($A235,'ABB ExDa'!$A$2:$N$184, 2,FALSE), IFERROR(VLOOKUP($A235,'Vocus SIT ExDa'!$B$2:$J$173, 0,FALSE), IFERROR(VLOOKUP($A235,'Telstra ExDa'!$B$2:$K$310, 7,FALSE), IFERROR(VLOOKUP($A235,'Vocus RVC ExDa'!$C$2:$R$155, 2,FALSE), IFERROR(VLOOKUP($A235,'Fusion ExDa'!$B$2:$D$16, 3,FALSE), IFERROR(VLOOKUP($A235,'Exetel ExDa'!$C$2:$N$14, 0,FALSE), IFERROR(VLOOKUP($A235,'Infinet ExDa'!$B$2:$E$14, 0,FALSE), "Not Found"))))))))</f>
        <v>SHOP CR6, 3 ARCHIBALD AV, WATERLOO NSW</v>
      </c>
      <c r="K235" t="str">
        <f>IFERROR(VLOOKUP($A235,'AAPT ExDa'!$B$2:$U$99, 12,FALSE), IFERROR(VLOOKUP($A235,'ABB ExDa'!$A$2:$N$184, 0,FALSE), IFERROR(VLOOKUP($A235,'Vocus SIT ExDa'!$B$2:$J$173, 0,FALSE), IFERROR(VLOOKUP($A235,'Telstra ExDa'!$B$2:$K$310, 0,FALSE), IFERROR(VLOOKUP($A235,'Vocus RVC ExDa'!$C$2:$R$155, 0,FALSE), IFERROR(VLOOKUP($A235,'Fusion ExDa'!$B$2:$D$16, 0,FALSE), IFERROR(VLOOKUP($A235,'Exetel ExDa'!$C$2:$N$14, 12,FALSE), IFERROR(VLOOKUP($A235,'Infinet ExDa'!$B$2:$E$14, 0,FALSE), "Not Found"))))))))</f>
        <v>Not Found</v>
      </c>
      <c r="L235" s="235" t="str">
        <f>IFERROR(VLOOKUP($A235,'AAPT ExDa'!$B$2:$U$99, 11,FALSE), IFERROR(VLOOKUP($A235,'ABB ExDa'!$A$2:$N$184, 9,FALSE), IFERROR(VLOOKUP($A235,'Vocus SIT ExDa'!$B$2:$J$173, 8,FALSE), IFERROR(VLOOKUP($A235,'Telstra ExDa'!$B$2:$K$310, 0,FALSE), IFERROR(VLOOKUP($A235,'Vocus RVC ExDa'!$C$2:$R$155, 0,FALSE), IFERROR(VLOOKUP($A235,'Fusion ExDa'!$B$2:$D$16, 0,FALSE), IFERROR(VLOOKUP($A235,'Exetel ExDa'!$C$2:$N$14, 9,FALSE), IFERROR(VLOOKUP($A235,'Infinet ExDa'!$B$2:$E$14, 0,FALSE), "Not Found"))))))))</f>
        <v>26 Feb 2025</v>
      </c>
      <c r="M235" s="234" t="str">
        <f>IFERROR(VLOOKUP($A235,'AAPT ExDa'!$B$2:$U$99, 0,FALSE), IFERROR(VLOOKUP($A235,'ABB ExDa'!$A$2:$N$184, 0,FALSE), IFERROR(VLOOKUP($A235,'Vocus SIT ExDa'!$B$2:$J$173, 0,FALSE), IFERROR(VLOOKUP($A235,'Telstra ExDa'!$B$2:$K$310, 0,FALSE), IFERROR(VLOOKUP($A235,'Vocus RVC ExDa'!$C$2:$R$155, 0,FALSE), IFERROR(VLOOKUP($A235,'Fusion ExDa'!$B$2:$D$16, 0,FALSE), IFERROR(VLOOKUP($A235,'Exetel ExDa'!$C$2:$N$14, 11,FALSE), IFERROR(VLOOKUP($A235,'Infinet ExDa'!$B$2:$E$14, 0,FALSE), "Not Found"))))))))</f>
        <v>Not Found</v>
      </c>
      <c r="N235" t="str">
        <f>IFERROR(VLOOKUP($A235,'AAPT ExDa'!$B$2:$U$99, 0,FALSE), IFERROR(VLOOKUP($A235,'ABB ExDa'!$A$2:$N$184, 13,FALSE), IFERROR(VLOOKUP($A235,'Vocus SIT ExDa'!$B$2:$J$173, 0,FALSE), IFERROR(VLOOKUP($A235,'Telstra ExDa'!$B$2:$K$310, 0,FALSE), IFERROR(VLOOKUP($A235,'Vocus RVC ExDa'!$C$2:$R$155, 0,FALSE), IFERROR(VLOOKUP($A235,'Fusion ExDa'!$B$2:$D$16, 0,FALSE), IFERROR(VLOOKUP($A235,'Exetel ExDa'!$C$2:$N$14, 0,FALSE), IFERROR(VLOOKUP($A235,'Infinet ExDa'!$B$2:$E$14, 0,FALSE), "Not Found"))))))))</f>
        <v>Onebill</v>
      </c>
    </row>
    <row r="236" spans="1:14">
      <c r="A236" t="str">
        <v>Zambrero Willetton</v>
      </c>
      <c r="B236" t="str">
        <f>IFERROR(VLOOKUP(A236,'Exetel ExDa'!$C$2:$N$14,4,FALSE),"No Data")</f>
        <v>No Data</v>
      </c>
      <c r="C236" t="str">
        <f>IFERROR(VLOOKUP(A236,'AAPT ExDa'!$B$2:$U$99, 2,FALSE), IFERROR(VLOOKUP(A236,'ABB ExDa'!$A$2:$N$184, 2,FALSE), IFERROR(VLOOKUP(A236,'Vocus SIT ExDa'!$B$2:$J$173, 7,FALSE), IFERROR(VLOOKUP(A236,'Telstra ExDa'!$B$2:$K$310, 2,FALSE), IFERROR(VLOOKUP(A236,'Vocus RVC ExDa'!$C$2:$R$155, 3,FALSE), IFERROR(VLOOKUP(A236,'Fusion ExDa'!$B$2:$D$16, 2,FALSE), IFERROR(VLOOKUP(A236,'Exetel ExDa'!$C$2:$N$14, 2,FALSE), IFERROR(VLOOKUP(A236,'Infinet ExDa'!$B$2:$E$14, 2,FALSE), "Not Found"))))))))</f>
        <v>BURRENDAH TAVERN , 47 BURRENDAH BVD, WILLETTON WA</v>
      </c>
      <c r="D236" t="str">
        <f>IFERROR(VLOOKUP($A236,'AAPT ExDa'!$B$2:$U$99, 15,FALSE), IFERROR(VLOOKUP($A236,'ABB ExDa'!$A$2:$N$184, 4,FALSE), IFERROR(VLOOKUP($A236,'Vocus SIT ExDa'!$B$2:$J$173, 5,FALSE), IFERROR(VLOOKUP($A236,'Telstra ExDa'!$B$2:$K$310, 8,FALSE), IFERROR(VLOOKUP($A236,'Vocus RVC ExDa'!$C$2:$R$155, 6,FALSE), IFERROR(VLOOKUP($A236,'Fusion ExDa'!$B$2:$D$16, 4,FALSE), IFERROR(VLOOKUP($A236,'Exetel ExDa'!$C$2:$N$14, 3,FALSE), IFERROR(VLOOKUP($A236,'Infinet ExDa'!$B$2:$E$14, 3,FALSE), "Not Found"))))))))</f>
        <v>ABB</v>
      </c>
      <c r="E236" t="str">
        <f>IFERROR(VLOOKUP($A236,'AAPT ExDa'!$B$2:$U$99, 3,FALSE), IFERROR(VLOOKUP($A236,'ABB ExDa'!$A$2:$N$184, 5,FALSE), IFERROR(VLOOKUP($A236,'Vocus SIT ExDa'!$B$2:$J$173, 2,FALSE), IFERROR(VLOOKUP($A236,'Telstra ExDa'!$B$2:$K$310, 4,FALSE), IFERROR(VLOOKUP($A236,'Vocus RVC ExDa'!$C$2:$R$155, 8,FALSE), IFERROR(VLOOKUP($A236,'Fusion ExDa'!$B$2:$D$16, 4,FALSE), IFERROR(VLOOKUP($A236,'Exetel ExDa'!$C$2:$N$14, 5,FALSE), IFERROR(VLOOKUP($A236,'Infinet ExDa'!$B$2:$E$14, 3,FALSE), "Not Found"))))))))</f>
        <v>NBN 50/20</v>
      </c>
      <c r="F236" t="str">
        <f>IFERROR(VLOOKUP($A236,'AAPT ExDa'!$B$2:$U$99, 4,FALSE), IFERROR(VLOOKUP($A236,'ABB ExDa'!$A$2:$N$184, 6,FALSE), IFERROR(VLOOKUP($A236,'Vocus SIT ExDa'!$B$2:$J$173, 3,FALSE), IFERROR(VLOOKUP($A236,'Telstra ExDa'!$B$2:$K$310, 5,FALSE), IFERROR(VLOOKUP($A236,'Vocus RVC ExDa'!$C$2:$R$155, 9,FALSE), IFERROR(VLOOKUP($A236,'Fusion ExDa'!$B$2:$D$16, 0,FALSE), IFERROR(VLOOKUP($A236,'Exetel ExDa'!$C$2:$N$14, 6,FALSE), IFERROR(VLOOKUP($A236,'Infinet ExDa'!$B$2:$E$14, 0,FALSE), "Not Found"))))))))</f>
        <v>HFC</v>
      </c>
      <c r="G236" t="str">
        <f>IFERROR(VLOOKUP($A236,'AAPT ExDa'!$B$2:$U$99, 5,FALSE), IFERROR(VLOOKUP($A236,'ABB ExDa'!$A$2:$N$184, 8,FALSE), IFERROR(VLOOKUP($A236,'Vocus SIT ExDa'!$B$2:$J$173, 6,FALSE), IFERROR(VLOOKUP($A236,'Telstra ExDa'!$B$2:$K$310, 0,FALSE), IFERROR(VLOOKUP($A236,'Vocus RVC ExDa'!$C$2:$R$155, 15,FALSE), IFERROR(VLOOKUP($A236,'Fusion ExDa'!$B$2:$D$16, 0,FALSE), IFERROR(VLOOKUP($A236,'Exetel ExDa'!$C$2:$N$14, 7,FALSE), IFERROR(VLOOKUP($A236,'Infinet ExDa'!$B$2:$E$14, 0,FALSE), "Not Found"))))))))</f>
        <v>144.6.156.5</v>
      </c>
      <c r="H236">
        <f>IFERROR(VLOOKUP($A236,'AAPT ExDa'!$B$2:$U$99, 6,FALSE), IFERROR(VLOOKUP($A236,'ABB ExDa'!$A$2:$N$184, 0,FALSE), IFERROR(VLOOKUP($A236,'Vocus SIT ExDa'!$B$2:$J$173, 0,FALSE), IFERROR(VLOOKUP($A236,'Telstra ExDa'!$B$2:$K$310, 0,FALSE), IFERROR(VLOOKUP($A236,'Vocus RVC ExDa'!$C$2:$R$155, 16,FALSE), IFERROR(VLOOKUP($A236,'Fusion ExDa'!$B$2:$D$16, 0,FALSE), IFERROR(VLOOKUP($A236,'Exetel ExDa'!$C$2:$N$14, 0,FALSE), IFERROR(VLOOKUP($A236,'Infinet ExDa'!$B$2:$E$14, 0,FALSE), "Not Found"))))))))</f>
        <v>0</v>
      </c>
      <c r="I236" t="str">
        <f>IFERROR(VLOOKUP($A236,'AAPT ExDa'!$B$2:$U$99, 0,FALSE), IFERROR(VLOOKUP($A236,'ABB ExDa'!$A$2:$N$184, 0,FALSE), IFERROR(VLOOKUP($A236,'Vocus SIT ExDa'!$B$2:$J$173, 0,FALSE), IFERROR(VLOOKUP($A236,'Telstra ExDa'!$B$2:$K$310, 0,FALSE), IFERROR(VLOOKUP($A236,'Vocus RVC ExDa'!$C$2:$R$155, 0,FALSE), IFERROR(VLOOKUP($A236,'Fusion ExDa'!$B$2:$D$16, 0,FALSE), IFERROR(VLOOKUP($A236,'Exetel ExDa'!$C$2:$N$14, 8,FALSE), IFERROR(VLOOKUP($A236,'Infinet ExDa'!$B$2:$E$14, 0,FALSE), "Not Found"))))))))</f>
        <v>Not Found</v>
      </c>
      <c r="J236" t="str">
        <f>IFERROR(VLOOKUP($A236,'AAPT ExDa'!$B$2:$U$99, 7,FALSE), IFERROR(VLOOKUP($A236,'ABB ExDa'!$A$2:$N$184, 2,FALSE), IFERROR(VLOOKUP($A236,'Vocus SIT ExDa'!$B$2:$J$173, 0,FALSE), IFERROR(VLOOKUP($A236,'Telstra ExDa'!$B$2:$K$310, 7,FALSE), IFERROR(VLOOKUP($A236,'Vocus RVC ExDa'!$C$2:$R$155, 2,FALSE), IFERROR(VLOOKUP($A236,'Fusion ExDa'!$B$2:$D$16, 3,FALSE), IFERROR(VLOOKUP($A236,'Exetel ExDa'!$C$2:$N$14, 0,FALSE), IFERROR(VLOOKUP($A236,'Infinet ExDa'!$B$2:$E$14, 0,FALSE), "Not Found"))))))))</f>
        <v>BURRENDAH TAVERN , 47 BURRENDAH BVD, WILLETTON WA</v>
      </c>
      <c r="K236" t="str">
        <f>IFERROR(VLOOKUP($A236,'AAPT ExDa'!$B$2:$U$99, 12,FALSE), IFERROR(VLOOKUP($A236,'ABB ExDa'!$A$2:$N$184, 0,FALSE), IFERROR(VLOOKUP($A236,'Vocus SIT ExDa'!$B$2:$J$173, 0,FALSE), IFERROR(VLOOKUP($A236,'Telstra ExDa'!$B$2:$K$310, 0,FALSE), IFERROR(VLOOKUP($A236,'Vocus RVC ExDa'!$C$2:$R$155, 0,FALSE), IFERROR(VLOOKUP($A236,'Fusion ExDa'!$B$2:$D$16, 0,FALSE), IFERROR(VLOOKUP($A236,'Exetel ExDa'!$C$2:$N$14, 12,FALSE), IFERROR(VLOOKUP($A236,'Infinet ExDa'!$B$2:$E$14, 0,FALSE), "Not Found"))))))))</f>
        <v>Not Found</v>
      </c>
      <c r="L236" s="235" t="str">
        <f>IFERROR(VLOOKUP($A236,'AAPT ExDa'!$B$2:$U$99, 11,FALSE), IFERROR(VLOOKUP($A236,'ABB ExDa'!$A$2:$N$184, 9,FALSE), IFERROR(VLOOKUP($A236,'Vocus SIT ExDa'!$B$2:$J$173, 8,FALSE), IFERROR(VLOOKUP($A236,'Telstra ExDa'!$B$2:$K$310, 0,FALSE), IFERROR(VLOOKUP($A236,'Vocus RVC ExDa'!$C$2:$R$155, 0,FALSE), IFERROR(VLOOKUP($A236,'Fusion ExDa'!$B$2:$D$16, 0,FALSE), IFERROR(VLOOKUP($A236,'Exetel ExDa'!$C$2:$N$14, 9,FALSE), IFERROR(VLOOKUP($A236,'Infinet ExDa'!$B$2:$E$14, 0,FALSE), "Not Found"))))))))</f>
        <v>16 Sept 2025</v>
      </c>
      <c r="M236" s="234" t="str">
        <f>IFERROR(VLOOKUP($A236,'AAPT ExDa'!$B$2:$U$99, 0,FALSE), IFERROR(VLOOKUP($A236,'ABB ExDa'!$A$2:$N$184, 0,FALSE), IFERROR(VLOOKUP($A236,'Vocus SIT ExDa'!$B$2:$J$173, 0,FALSE), IFERROR(VLOOKUP($A236,'Telstra ExDa'!$B$2:$K$310, 0,FALSE), IFERROR(VLOOKUP($A236,'Vocus RVC ExDa'!$C$2:$R$155, 0,FALSE), IFERROR(VLOOKUP($A236,'Fusion ExDa'!$B$2:$D$16, 0,FALSE), IFERROR(VLOOKUP($A236,'Exetel ExDa'!$C$2:$N$14, 11,FALSE), IFERROR(VLOOKUP($A236,'Infinet ExDa'!$B$2:$E$14, 0,FALSE), "Not Found"))))))))</f>
        <v>Not Found</v>
      </c>
      <c r="N236" t="str">
        <f>IFERROR(VLOOKUP($A236,'AAPT ExDa'!$B$2:$U$99, 0,FALSE), IFERROR(VLOOKUP($A236,'ABB ExDa'!$A$2:$N$184, 13,FALSE), IFERROR(VLOOKUP($A236,'Vocus SIT ExDa'!$B$2:$J$173, 0,FALSE), IFERROR(VLOOKUP($A236,'Telstra ExDa'!$B$2:$K$310, 0,FALSE), IFERROR(VLOOKUP($A236,'Vocus RVC ExDa'!$C$2:$R$155, 0,FALSE), IFERROR(VLOOKUP($A236,'Fusion ExDa'!$B$2:$D$16, 0,FALSE), IFERROR(VLOOKUP($A236,'Exetel ExDa'!$C$2:$N$14, 0,FALSE), IFERROR(VLOOKUP($A236,'Infinet ExDa'!$B$2:$E$14, 0,FALSE), "Not Found"))))))))</f>
        <v>Onebill</v>
      </c>
    </row>
    <row r="237" spans="1:14">
      <c r="A237" t="str">
        <v>Zambrero Wodonga</v>
      </c>
      <c r="B237" t="str">
        <f>IFERROR(VLOOKUP(A237,'Exetel ExDa'!$C$2:$N$14,4,FALSE),"No Data")</f>
        <v>No Data</v>
      </c>
      <c r="C237" t="str">
        <f>IFERROR(VLOOKUP(A237,'AAPT ExDa'!$B$2:$U$99, 2,FALSE), IFERROR(VLOOKUP(A237,'ABB ExDa'!$A$2:$N$184, 2,FALSE), IFERROR(VLOOKUP(A237,'Vocus SIT ExDa'!$B$2:$J$173, 7,FALSE), IFERROR(VLOOKUP(A237,'Telstra ExDa'!$B$2:$K$310, 2,FALSE), IFERROR(VLOOKUP(A237,'Vocus RVC ExDa'!$C$2:$R$155, 3,FALSE), IFERROR(VLOOKUP(A237,'Fusion ExDa'!$B$2:$D$16, 2,FALSE), IFERROR(VLOOKUP(A237,'Exetel ExDa'!$C$2:$N$14, 2,FALSE), IFERROR(VLOOKUP(A237,'Infinet ExDa'!$B$2:$E$14, 2,FALSE), "Not Found"))))))))</f>
        <v>154 HIGH ST, WODONGA VIC</v>
      </c>
      <c r="D237" t="str">
        <f>IFERROR(VLOOKUP($A237,'AAPT ExDa'!$B$2:$U$99, 15,FALSE), IFERROR(VLOOKUP($A237,'ABB ExDa'!$A$2:$N$184, 4,FALSE), IFERROR(VLOOKUP($A237,'Vocus SIT ExDa'!$B$2:$J$173, 5,FALSE), IFERROR(VLOOKUP($A237,'Telstra ExDa'!$B$2:$K$310, 8,FALSE), IFERROR(VLOOKUP($A237,'Vocus RVC ExDa'!$C$2:$R$155, 6,FALSE), IFERROR(VLOOKUP($A237,'Fusion ExDa'!$B$2:$D$16, 4,FALSE), IFERROR(VLOOKUP($A237,'Exetel ExDa'!$C$2:$N$14, 3,FALSE), IFERROR(VLOOKUP($A237,'Infinet ExDa'!$B$2:$E$14, 3,FALSE), "Not Found"))))))))</f>
        <v>ABB</v>
      </c>
      <c r="E237" t="str">
        <f>IFERROR(VLOOKUP($A237,'AAPT ExDa'!$B$2:$U$99, 3,FALSE), IFERROR(VLOOKUP($A237,'ABB ExDa'!$A$2:$N$184, 5,FALSE), IFERROR(VLOOKUP($A237,'Vocus SIT ExDa'!$B$2:$J$173, 2,FALSE), IFERROR(VLOOKUP($A237,'Telstra ExDa'!$B$2:$K$310, 4,FALSE), IFERROR(VLOOKUP($A237,'Vocus RVC ExDa'!$C$2:$R$155, 8,FALSE), IFERROR(VLOOKUP($A237,'Fusion ExDa'!$B$2:$D$16, 4,FALSE), IFERROR(VLOOKUP($A237,'Exetel ExDa'!$C$2:$N$14, 5,FALSE), IFERROR(VLOOKUP($A237,'Infinet ExDa'!$B$2:$E$14, 3,FALSE), "Not Found"))))))))</f>
        <v>NBN25/10</v>
      </c>
      <c r="F237" t="str">
        <f>IFERROR(VLOOKUP($A237,'AAPT ExDa'!$B$2:$U$99, 4,FALSE), IFERROR(VLOOKUP($A237,'ABB ExDa'!$A$2:$N$184, 6,FALSE), IFERROR(VLOOKUP($A237,'Vocus SIT ExDa'!$B$2:$J$173, 3,FALSE), IFERROR(VLOOKUP($A237,'Telstra ExDa'!$B$2:$K$310, 5,FALSE), IFERROR(VLOOKUP($A237,'Vocus RVC ExDa'!$C$2:$R$155, 9,FALSE), IFERROR(VLOOKUP($A237,'Fusion ExDa'!$B$2:$D$16, 0,FALSE), IFERROR(VLOOKUP($A237,'Exetel ExDa'!$C$2:$N$14, 6,FALSE), IFERROR(VLOOKUP($A237,'Infinet ExDa'!$B$2:$E$14, 0,FALSE), "Not Found"))))))))</f>
        <v xml:space="preserve">FTTN </v>
      </c>
      <c r="G237" t="str">
        <f>IFERROR(VLOOKUP($A237,'AAPT ExDa'!$B$2:$U$99, 5,FALSE), IFERROR(VLOOKUP($A237,'ABB ExDa'!$A$2:$N$184, 8,FALSE), IFERROR(VLOOKUP($A237,'Vocus SIT ExDa'!$B$2:$J$173, 6,FALSE), IFERROR(VLOOKUP($A237,'Telstra ExDa'!$B$2:$K$310, 0,FALSE), IFERROR(VLOOKUP($A237,'Vocus RVC ExDa'!$C$2:$R$155, 15,FALSE), IFERROR(VLOOKUP($A237,'Fusion ExDa'!$B$2:$D$16, 0,FALSE), IFERROR(VLOOKUP($A237,'Exetel ExDa'!$C$2:$N$14, 7,FALSE), IFERROR(VLOOKUP($A237,'Infinet ExDa'!$B$2:$E$14, 0,FALSE), "Not Found"))))))))</f>
        <v>144.6.207.42</v>
      </c>
      <c r="H237" t="str">
        <f>IFERROR(VLOOKUP($A237,'AAPT ExDa'!$B$2:$U$99, 6,FALSE), IFERROR(VLOOKUP($A237,'ABB ExDa'!$A$2:$N$184, 0,FALSE), IFERROR(VLOOKUP($A237,'Vocus SIT ExDa'!$B$2:$J$173, 0,FALSE), IFERROR(VLOOKUP($A237,'Telstra ExDa'!$B$2:$K$310, 0,FALSE), IFERROR(VLOOKUP($A237,'Vocus RVC ExDa'!$C$2:$R$155, 16,FALSE), IFERROR(VLOOKUP($A237,'Fusion ExDa'!$B$2:$D$16, 0,FALSE), IFERROR(VLOOKUP($A237,'Exetel ExDa'!$C$2:$N$14, 0,FALSE), IFERROR(VLOOKUP($A237,'Infinet ExDa'!$B$2:$E$14, 0,FALSE), "Not Found"))))))))</f>
        <v>Not Found</v>
      </c>
      <c r="I237" t="str">
        <f>IFERROR(VLOOKUP($A237,'AAPT ExDa'!$B$2:$U$99, 0,FALSE), IFERROR(VLOOKUP($A237,'ABB ExDa'!$A$2:$N$184, 0,FALSE), IFERROR(VLOOKUP($A237,'Vocus SIT ExDa'!$B$2:$J$173, 0,FALSE), IFERROR(VLOOKUP($A237,'Telstra ExDa'!$B$2:$K$310, 0,FALSE), IFERROR(VLOOKUP($A237,'Vocus RVC ExDa'!$C$2:$R$155, 0,FALSE), IFERROR(VLOOKUP($A237,'Fusion ExDa'!$B$2:$D$16, 0,FALSE), IFERROR(VLOOKUP($A237,'Exetel ExDa'!$C$2:$N$14, 8,FALSE), IFERROR(VLOOKUP($A237,'Infinet ExDa'!$B$2:$E$14, 0,FALSE), "Not Found"))))))))</f>
        <v>Not Found</v>
      </c>
      <c r="J237" t="str">
        <f>IFERROR(VLOOKUP($A237,'AAPT ExDa'!$B$2:$U$99, 7,FALSE), IFERROR(VLOOKUP($A237,'ABB ExDa'!$A$2:$N$184, 2,FALSE), IFERROR(VLOOKUP($A237,'Vocus SIT ExDa'!$B$2:$J$173, 0,FALSE), IFERROR(VLOOKUP($A237,'Telstra ExDa'!$B$2:$K$310, 7,FALSE), IFERROR(VLOOKUP($A237,'Vocus RVC ExDa'!$C$2:$R$155, 2,FALSE), IFERROR(VLOOKUP($A237,'Fusion ExDa'!$B$2:$D$16, 3,FALSE), IFERROR(VLOOKUP($A237,'Exetel ExDa'!$C$2:$N$14, 0,FALSE), IFERROR(VLOOKUP($A237,'Infinet ExDa'!$B$2:$E$14, 0,FALSE), "Not Found"))))))))</f>
        <v>154 HIGH ST, WODONGA VIC</v>
      </c>
      <c r="K237" t="str">
        <f>IFERROR(VLOOKUP($A237,'AAPT ExDa'!$B$2:$U$99, 12,FALSE), IFERROR(VLOOKUP($A237,'ABB ExDa'!$A$2:$N$184, 0,FALSE), IFERROR(VLOOKUP($A237,'Vocus SIT ExDa'!$B$2:$J$173, 0,FALSE), IFERROR(VLOOKUP($A237,'Telstra ExDa'!$B$2:$K$310, 0,FALSE), IFERROR(VLOOKUP($A237,'Vocus RVC ExDa'!$C$2:$R$155, 0,FALSE), IFERROR(VLOOKUP($A237,'Fusion ExDa'!$B$2:$D$16, 0,FALSE), IFERROR(VLOOKUP($A237,'Exetel ExDa'!$C$2:$N$14, 12,FALSE), IFERROR(VLOOKUP($A237,'Infinet ExDa'!$B$2:$E$14, 0,FALSE), "Not Found"))))))))</f>
        <v>Not Found</v>
      </c>
      <c r="L237" s="235" t="str">
        <f>IFERROR(VLOOKUP($A237,'AAPT ExDa'!$B$2:$U$99, 11,FALSE), IFERROR(VLOOKUP($A237,'ABB ExDa'!$A$2:$N$184, 9,FALSE), IFERROR(VLOOKUP($A237,'Vocus SIT ExDa'!$B$2:$J$173, 8,FALSE), IFERROR(VLOOKUP($A237,'Telstra ExDa'!$B$2:$K$310, 0,FALSE), IFERROR(VLOOKUP($A237,'Vocus RVC ExDa'!$C$2:$R$155, 0,FALSE), IFERROR(VLOOKUP($A237,'Fusion ExDa'!$B$2:$D$16, 0,FALSE), IFERROR(VLOOKUP($A237,'Exetel ExDa'!$C$2:$N$14, 9,FALSE), IFERROR(VLOOKUP($A237,'Infinet ExDa'!$B$2:$E$14, 0,FALSE), "Not Found"))))))))</f>
        <v>26 July 2024</v>
      </c>
      <c r="M237" s="234" t="str">
        <f>IFERROR(VLOOKUP($A237,'AAPT ExDa'!$B$2:$U$99, 0,FALSE), IFERROR(VLOOKUP($A237,'ABB ExDa'!$A$2:$N$184, 0,FALSE), IFERROR(VLOOKUP($A237,'Vocus SIT ExDa'!$B$2:$J$173, 0,FALSE), IFERROR(VLOOKUP($A237,'Telstra ExDa'!$B$2:$K$310, 0,FALSE), IFERROR(VLOOKUP($A237,'Vocus RVC ExDa'!$C$2:$R$155, 0,FALSE), IFERROR(VLOOKUP($A237,'Fusion ExDa'!$B$2:$D$16, 0,FALSE), IFERROR(VLOOKUP($A237,'Exetel ExDa'!$C$2:$N$14, 11,FALSE), IFERROR(VLOOKUP($A237,'Infinet ExDa'!$B$2:$E$14, 0,FALSE), "Not Found"))))))))</f>
        <v>Not Found</v>
      </c>
      <c r="N237" t="str">
        <f>IFERROR(VLOOKUP($A237,'AAPT ExDa'!$B$2:$U$99, 0,FALSE), IFERROR(VLOOKUP($A237,'ABB ExDa'!$A$2:$N$184, 13,FALSE), IFERROR(VLOOKUP($A237,'Vocus SIT ExDa'!$B$2:$J$173, 0,FALSE), IFERROR(VLOOKUP($A237,'Telstra ExDa'!$B$2:$K$310, 0,FALSE), IFERROR(VLOOKUP($A237,'Vocus RVC ExDa'!$C$2:$R$155, 0,FALSE), IFERROR(VLOOKUP($A237,'Fusion ExDa'!$B$2:$D$16, 0,FALSE), IFERROR(VLOOKUP($A237,'Exetel ExDa'!$C$2:$N$14, 0,FALSE), IFERROR(VLOOKUP($A237,'Infinet ExDa'!$B$2:$E$14, 0,FALSE), "Not Found"))))))))</f>
        <v>Onebill</v>
      </c>
    </row>
    <row r="238" spans="1:14">
      <c r="A238" t="str">
        <v>Zambrero Wodonga East</v>
      </c>
      <c r="B238" t="str">
        <f>IFERROR(VLOOKUP(A238,'Exetel ExDa'!$C$2:$N$14,4,FALSE),"No Data")</f>
        <v>No Data</v>
      </c>
      <c r="C238" t="str">
        <f>IFERROR(VLOOKUP(A238,'AAPT ExDa'!$B$2:$U$99, 2,FALSE), IFERROR(VLOOKUP(A238,'ABB ExDa'!$A$2:$N$184, 2,FALSE), IFERROR(VLOOKUP(A238,'Vocus SIT ExDa'!$B$2:$J$173, 7,FALSE), IFERROR(VLOOKUP(A238,'Telstra ExDa'!$B$2:$K$310, 2,FALSE), IFERROR(VLOOKUP(A238,'Vocus RVC ExDa'!$C$2:$R$155, 3,FALSE), IFERROR(VLOOKUP(A238,'Fusion ExDa'!$B$2:$D$16, 2,FALSE), IFERROR(VLOOKUP(A238,'Exetel ExDa'!$C$2:$N$14, 2,FALSE), IFERROR(VLOOKUP(A238,'Infinet ExDa'!$B$2:$E$14, 2,FALSE), "Not Found"))))))))</f>
        <v>TNCY 3, 4353 ANZAC PDE, WODONGA VIC</v>
      </c>
      <c r="D238" t="str">
        <f>IFERROR(VLOOKUP($A238,'AAPT ExDa'!$B$2:$U$99, 15,FALSE), IFERROR(VLOOKUP($A238,'ABB ExDa'!$A$2:$N$184, 4,FALSE), IFERROR(VLOOKUP($A238,'Vocus SIT ExDa'!$B$2:$J$173, 5,FALSE), IFERROR(VLOOKUP($A238,'Telstra ExDa'!$B$2:$K$310, 8,FALSE), IFERROR(VLOOKUP($A238,'Vocus RVC ExDa'!$C$2:$R$155, 6,FALSE), IFERROR(VLOOKUP($A238,'Fusion ExDa'!$B$2:$D$16, 4,FALSE), IFERROR(VLOOKUP($A238,'Exetel ExDa'!$C$2:$N$14, 3,FALSE), IFERROR(VLOOKUP($A238,'Infinet ExDa'!$B$2:$E$14, 3,FALSE), "Not Found"))))))))</f>
        <v>ABB</v>
      </c>
      <c r="E238" t="str">
        <f>IFERROR(VLOOKUP($A238,'AAPT ExDa'!$B$2:$U$99, 3,FALSE), IFERROR(VLOOKUP($A238,'ABB ExDa'!$A$2:$N$184, 5,FALSE), IFERROR(VLOOKUP($A238,'Vocus SIT ExDa'!$B$2:$J$173, 2,FALSE), IFERROR(VLOOKUP($A238,'Telstra ExDa'!$B$2:$K$310, 4,FALSE), IFERROR(VLOOKUP($A238,'Vocus RVC ExDa'!$C$2:$R$155, 8,FALSE), IFERROR(VLOOKUP($A238,'Fusion ExDa'!$B$2:$D$16, 4,FALSE), IFERROR(VLOOKUP($A238,'Exetel ExDa'!$C$2:$N$14, 5,FALSE), IFERROR(VLOOKUP($A238,'Infinet ExDa'!$B$2:$E$14, 3,FALSE), "Not Found"))))))))</f>
        <v>NBN 25/10</v>
      </c>
      <c r="F238" t="str">
        <f>IFERROR(VLOOKUP($A238,'AAPT ExDa'!$B$2:$U$99, 4,FALSE), IFERROR(VLOOKUP($A238,'ABB ExDa'!$A$2:$N$184, 6,FALSE), IFERROR(VLOOKUP($A238,'Vocus SIT ExDa'!$B$2:$J$173, 3,FALSE), IFERROR(VLOOKUP($A238,'Telstra ExDa'!$B$2:$K$310, 5,FALSE), IFERROR(VLOOKUP($A238,'Vocus RVC ExDa'!$C$2:$R$155, 9,FALSE), IFERROR(VLOOKUP($A238,'Fusion ExDa'!$B$2:$D$16, 0,FALSE), IFERROR(VLOOKUP($A238,'Exetel ExDa'!$C$2:$N$14, 6,FALSE), IFERROR(VLOOKUP($A238,'Infinet ExDa'!$B$2:$E$14, 0,FALSE), "Not Found"))))))))</f>
        <v xml:space="preserve">Fibre </v>
      </c>
      <c r="G238" t="str">
        <f>IFERROR(VLOOKUP($A238,'AAPT ExDa'!$B$2:$U$99, 5,FALSE), IFERROR(VLOOKUP($A238,'ABB ExDa'!$A$2:$N$184, 8,FALSE), IFERROR(VLOOKUP($A238,'Vocus SIT ExDa'!$B$2:$J$173, 6,FALSE), IFERROR(VLOOKUP($A238,'Telstra ExDa'!$B$2:$K$310, 0,FALSE), IFERROR(VLOOKUP($A238,'Vocus RVC ExDa'!$C$2:$R$155, 15,FALSE), IFERROR(VLOOKUP($A238,'Fusion ExDa'!$B$2:$D$16, 0,FALSE), IFERROR(VLOOKUP($A238,'Exetel ExDa'!$C$2:$N$14, 7,FALSE), IFERROR(VLOOKUP($A238,'Infinet ExDa'!$B$2:$E$14, 0,FALSE), "Not Found"))))))))</f>
        <v>144.6.203.105</v>
      </c>
      <c r="H238">
        <f>IFERROR(VLOOKUP($A238,'AAPT ExDa'!$B$2:$U$99, 6,FALSE), IFERROR(VLOOKUP($A238,'ABB ExDa'!$A$2:$N$184, 0,FALSE), IFERROR(VLOOKUP($A238,'Vocus SIT ExDa'!$B$2:$J$173, 0,FALSE), IFERROR(VLOOKUP($A238,'Telstra ExDa'!$B$2:$K$310, 0,FALSE), IFERROR(VLOOKUP($A238,'Vocus RVC ExDa'!$C$2:$R$155, 16,FALSE), IFERROR(VLOOKUP($A238,'Fusion ExDa'!$B$2:$D$16, 0,FALSE), IFERROR(VLOOKUP($A238,'Exetel ExDa'!$C$2:$N$14, 0,FALSE), IFERROR(VLOOKUP($A238,'Infinet ExDa'!$B$2:$E$14, 0,FALSE), "Not Found"))))))))</f>
        <v>0</v>
      </c>
      <c r="I238" t="str">
        <f>IFERROR(VLOOKUP($A238,'AAPT ExDa'!$B$2:$U$99, 0,FALSE), IFERROR(VLOOKUP($A238,'ABB ExDa'!$A$2:$N$184, 0,FALSE), IFERROR(VLOOKUP($A238,'Vocus SIT ExDa'!$B$2:$J$173, 0,FALSE), IFERROR(VLOOKUP($A238,'Telstra ExDa'!$B$2:$K$310, 0,FALSE), IFERROR(VLOOKUP($A238,'Vocus RVC ExDa'!$C$2:$R$155, 0,FALSE), IFERROR(VLOOKUP($A238,'Fusion ExDa'!$B$2:$D$16, 0,FALSE), IFERROR(VLOOKUP($A238,'Exetel ExDa'!$C$2:$N$14, 8,FALSE), IFERROR(VLOOKUP($A238,'Infinet ExDa'!$B$2:$E$14, 0,FALSE), "Not Found"))))))))</f>
        <v>Not Found</v>
      </c>
      <c r="J238" t="str">
        <f>IFERROR(VLOOKUP($A238,'AAPT ExDa'!$B$2:$U$99, 7,FALSE), IFERROR(VLOOKUP($A238,'ABB ExDa'!$A$2:$N$184, 2,FALSE), IFERROR(VLOOKUP($A238,'Vocus SIT ExDa'!$B$2:$J$173, 0,FALSE), IFERROR(VLOOKUP($A238,'Telstra ExDa'!$B$2:$K$310, 7,FALSE), IFERROR(VLOOKUP($A238,'Vocus RVC ExDa'!$C$2:$R$155, 2,FALSE), IFERROR(VLOOKUP($A238,'Fusion ExDa'!$B$2:$D$16, 3,FALSE), IFERROR(VLOOKUP($A238,'Exetel ExDa'!$C$2:$N$14, 0,FALSE), IFERROR(VLOOKUP($A238,'Infinet ExDa'!$B$2:$E$14, 0,FALSE), "Not Found"))))))))</f>
        <v>TNCY 3, 4353 ANZAC PDE, WODONGA VIC</v>
      </c>
      <c r="K238" t="str">
        <f>IFERROR(VLOOKUP($A238,'AAPT ExDa'!$B$2:$U$99, 12,FALSE), IFERROR(VLOOKUP($A238,'ABB ExDa'!$A$2:$N$184, 0,FALSE), IFERROR(VLOOKUP($A238,'Vocus SIT ExDa'!$B$2:$J$173, 0,FALSE), IFERROR(VLOOKUP($A238,'Telstra ExDa'!$B$2:$K$310, 0,FALSE), IFERROR(VLOOKUP($A238,'Vocus RVC ExDa'!$C$2:$R$155, 0,FALSE), IFERROR(VLOOKUP($A238,'Fusion ExDa'!$B$2:$D$16, 0,FALSE), IFERROR(VLOOKUP($A238,'Exetel ExDa'!$C$2:$N$14, 12,FALSE), IFERROR(VLOOKUP($A238,'Infinet ExDa'!$B$2:$E$14, 0,FALSE), "Not Found"))))))))</f>
        <v>Not Found</v>
      </c>
      <c r="L238" s="235" t="str">
        <f>IFERROR(VLOOKUP($A238,'AAPT ExDa'!$B$2:$U$99, 11,FALSE), IFERROR(VLOOKUP($A238,'ABB ExDa'!$A$2:$N$184, 9,FALSE), IFERROR(VLOOKUP($A238,'Vocus SIT ExDa'!$B$2:$J$173, 8,FALSE), IFERROR(VLOOKUP($A238,'Telstra ExDa'!$B$2:$K$310, 0,FALSE), IFERROR(VLOOKUP($A238,'Vocus RVC ExDa'!$C$2:$R$155, 0,FALSE), IFERROR(VLOOKUP($A238,'Fusion ExDa'!$B$2:$D$16, 0,FALSE), IFERROR(VLOOKUP($A238,'Exetel ExDa'!$C$2:$N$14, 9,FALSE), IFERROR(VLOOKUP($A238,'Infinet ExDa'!$B$2:$E$14, 0,FALSE), "Not Found"))))))))</f>
        <v>24 June 2024</v>
      </c>
      <c r="M238" s="234" t="str">
        <f>IFERROR(VLOOKUP($A238,'AAPT ExDa'!$B$2:$U$99, 0,FALSE), IFERROR(VLOOKUP($A238,'ABB ExDa'!$A$2:$N$184, 0,FALSE), IFERROR(VLOOKUP($A238,'Vocus SIT ExDa'!$B$2:$J$173, 0,FALSE), IFERROR(VLOOKUP($A238,'Telstra ExDa'!$B$2:$K$310, 0,FALSE), IFERROR(VLOOKUP($A238,'Vocus RVC ExDa'!$C$2:$R$155, 0,FALSE), IFERROR(VLOOKUP($A238,'Fusion ExDa'!$B$2:$D$16, 0,FALSE), IFERROR(VLOOKUP($A238,'Exetel ExDa'!$C$2:$N$14, 11,FALSE), IFERROR(VLOOKUP($A238,'Infinet ExDa'!$B$2:$E$14, 0,FALSE), "Not Found"))))))))</f>
        <v>Not Found</v>
      </c>
      <c r="N238" t="str">
        <f>IFERROR(VLOOKUP($A238,'AAPT ExDa'!$B$2:$U$99, 0,FALSE), IFERROR(VLOOKUP($A238,'ABB ExDa'!$A$2:$N$184, 13,FALSE), IFERROR(VLOOKUP($A238,'Vocus SIT ExDa'!$B$2:$J$173, 0,FALSE), IFERROR(VLOOKUP($A238,'Telstra ExDa'!$B$2:$K$310, 0,FALSE), IFERROR(VLOOKUP($A238,'Vocus RVC ExDa'!$C$2:$R$155, 0,FALSE), IFERROR(VLOOKUP($A238,'Fusion ExDa'!$B$2:$D$16, 0,FALSE), IFERROR(VLOOKUP($A238,'Exetel ExDa'!$C$2:$N$14, 0,FALSE), IFERROR(VLOOKUP($A238,'Infinet ExDa'!$B$2:$E$14, 0,FALSE), "Not Found"))))))))</f>
        <v>Onebill</v>
      </c>
    </row>
    <row r="239" spans="1:14">
      <c r="A239" t="str">
        <v>Zambrero Wyoming</v>
      </c>
      <c r="B239" t="str">
        <f>IFERROR(VLOOKUP(A239,'Exetel ExDa'!$C$2:$N$14,4,FALSE),"No Data")</f>
        <v>No Data</v>
      </c>
      <c r="C239" t="str">
        <f>IFERROR(VLOOKUP(A239,'AAPT ExDa'!$B$2:$U$99, 2,FALSE), IFERROR(VLOOKUP(A239,'ABB ExDa'!$A$2:$N$184, 2,FALSE), IFERROR(VLOOKUP(A239,'Vocus SIT ExDa'!$B$2:$J$173, 7,FALSE), IFERROR(VLOOKUP(A239,'Telstra ExDa'!$B$2:$K$310, 2,FALSE), IFERROR(VLOOKUP(A239,'Vocus RVC ExDa'!$C$2:$R$155, 3,FALSE), IFERROR(VLOOKUP(A239,'Fusion ExDa'!$B$2:$D$16, 2,FALSE), IFERROR(VLOOKUP(A239,'Exetel ExDa'!$C$2:$N$14, 2,FALSE), IFERROR(VLOOKUP(A239,'Infinet ExDa'!$B$2:$E$14, 2,FALSE), "Not Found"))))))))</f>
        <v>459 PACIFIC HWY, WYOMING NSW</v>
      </c>
      <c r="D239" t="str">
        <f>IFERROR(VLOOKUP($A239,'AAPT ExDa'!$B$2:$U$99, 15,FALSE), IFERROR(VLOOKUP($A239,'ABB ExDa'!$A$2:$N$184, 4,FALSE), IFERROR(VLOOKUP($A239,'Vocus SIT ExDa'!$B$2:$J$173, 5,FALSE), IFERROR(VLOOKUP($A239,'Telstra ExDa'!$B$2:$K$310, 8,FALSE), IFERROR(VLOOKUP($A239,'Vocus RVC ExDa'!$C$2:$R$155, 6,FALSE), IFERROR(VLOOKUP($A239,'Fusion ExDa'!$B$2:$D$16, 4,FALSE), IFERROR(VLOOKUP($A239,'Exetel ExDa'!$C$2:$N$14, 3,FALSE), IFERROR(VLOOKUP($A239,'Infinet ExDa'!$B$2:$E$14, 3,FALSE), "Not Found"))))))))</f>
        <v>ABB</v>
      </c>
      <c r="E239" t="str">
        <f>IFERROR(VLOOKUP($A239,'AAPT ExDa'!$B$2:$U$99, 3,FALSE), IFERROR(VLOOKUP($A239,'ABB ExDa'!$A$2:$N$184, 5,FALSE), IFERROR(VLOOKUP($A239,'Vocus SIT ExDa'!$B$2:$J$173, 2,FALSE), IFERROR(VLOOKUP($A239,'Telstra ExDa'!$B$2:$K$310, 4,FALSE), IFERROR(VLOOKUP($A239,'Vocus RVC ExDa'!$C$2:$R$155, 8,FALSE), IFERROR(VLOOKUP($A239,'Fusion ExDa'!$B$2:$D$16, 4,FALSE), IFERROR(VLOOKUP($A239,'Exetel ExDa'!$C$2:$N$14, 5,FALSE), IFERROR(VLOOKUP($A239,'Infinet ExDa'!$B$2:$E$14, 3,FALSE), "Not Found"))))))))</f>
        <v>NBN 25/10</v>
      </c>
      <c r="F239" t="str">
        <f>IFERROR(VLOOKUP($A239,'AAPT ExDa'!$B$2:$U$99, 4,FALSE), IFERROR(VLOOKUP($A239,'ABB ExDa'!$A$2:$N$184, 6,FALSE), IFERROR(VLOOKUP($A239,'Vocus SIT ExDa'!$B$2:$J$173, 3,FALSE), IFERROR(VLOOKUP($A239,'Telstra ExDa'!$B$2:$K$310, 5,FALSE), IFERROR(VLOOKUP($A239,'Vocus RVC ExDa'!$C$2:$R$155, 9,FALSE), IFERROR(VLOOKUP($A239,'Fusion ExDa'!$B$2:$D$16, 0,FALSE), IFERROR(VLOOKUP($A239,'Exetel ExDa'!$C$2:$N$14, 6,FALSE), IFERROR(VLOOKUP($A239,'Infinet ExDa'!$B$2:$E$14, 0,FALSE), "Not Found"))))))))</f>
        <v xml:space="preserve">Fibre </v>
      </c>
      <c r="G239" t="str">
        <f>IFERROR(VLOOKUP($A239,'AAPT ExDa'!$B$2:$U$99, 5,FALSE), IFERROR(VLOOKUP($A239,'ABB ExDa'!$A$2:$N$184, 8,FALSE), IFERROR(VLOOKUP($A239,'Vocus SIT ExDa'!$B$2:$J$173, 6,FALSE), IFERROR(VLOOKUP($A239,'Telstra ExDa'!$B$2:$K$310, 0,FALSE), IFERROR(VLOOKUP($A239,'Vocus RVC ExDa'!$C$2:$R$155, 15,FALSE), IFERROR(VLOOKUP($A239,'Fusion ExDa'!$B$2:$D$16, 0,FALSE), IFERROR(VLOOKUP($A239,'Exetel ExDa'!$C$2:$N$14, 7,FALSE), IFERROR(VLOOKUP($A239,'Infinet ExDa'!$B$2:$E$14, 0,FALSE), "Not Found"))))))))</f>
        <v>144.6.237.123</v>
      </c>
      <c r="H239" t="str">
        <f>IFERROR(VLOOKUP($A239,'AAPT ExDa'!$B$2:$U$99, 6,FALSE), IFERROR(VLOOKUP($A239,'ABB ExDa'!$A$2:$N$184, 0,FALSE), IFERROR(VLOOKUP($A239,'Vocus SIT ExDa'!$B$2:$J$173, 0,FALSE), IFERROR(VLOOKUP($A239,'Telstra ExDa'!$B$2:$K$310, 0,FALSE), IFERROR(VLOOKUP($A239,'Vocus RVC ExDa'!$C$2:$R$155, 16,FALSE), IFERROR(VLOOKUP($A239,'Fusion ExDa'!$B$2:$D$16, 0,FALSE), IFERROR(VLOOKUP($A239,'Exetel ExDa'!$C$2:$N$14, 0,FALSE), IFERROR(VLOOKUP($A239,'Infinet ExDa'!$B$2:$E$14, 0,FALSE), "Not Found"))))))))</f>
        <v>Not Found</v>
      </c>
      <c r="I239" t="str">
        <f>IFERROR(VLOOKUP($A239,'AAPT ExDa'!$B$2:$U$99, 0,FALSE), IFERROR(VLOOKUP($A239,'ABB ExDa'!$A$2:$N$184, 0,FALSE), IFERROR(VLOOKUP($A239,'Vocus SIT ExDa'!$B$2:$J$173, 0,FALSE), IFERROR(VLOOKUP($A239,'Telstra ExDa'!$B$2:$K$310, 0,FALSE), IFERROR(VLOOKUP($A239,'Vocus RVC ExDa'!$C$2:$R$155, 0,FALSE), IFERROR(VLOOKUP($A239,'Fusion ExDa'!$B$2:$D$16, 0,FALSE), IFERROR(VLOOKUP($A239,'Exetel ExDa'!$C$2:$N$14, 8,FALSE), IFERROR(VLOOKUP($A239,'Infinet ExDa'!$B$2:$E$14, 0,FALSE), "Not Found"))))))))</f>
        <v>Not Found</v>
      </c>
      <c r="J239" t="str">
        <f>IFERROR(VLOOKUP($A239,'AAPT ExDa'!$B$2:$U$99, 7,FALSE), IFERROR(VLOOKUP($A239,'ABB ExDa'!$A$2:$N$184, 2,FALSE), IFERROR(VLOOKUP($A239,'Vocus SIT ExDa'!$B$2:$J$173, 0,FALSE), IFERROR(VLOOKUP($A239,'Telstra ExDa'!$B$2:$K$310, 7,FALSE), IFERROR(VLOOKUP($A239,'Vocus RVC ExDa'!$C$2:$R$155, 2,FALSE), IFERROR(VLOOKUP($A239,'Fusion ExDa'!$B$2:$D$16, 3,FALSE), IFERROR(VLOOKUP($A239,'Exetel ExDa'!$C$2:$N$14, 0,FALSE), IFERROR(VLOOKUP($A239,'Infinet ExDa'!$B$2:$E$14, 0,FALSE), "Not Found"))))))))</f>
        <v>459 PACIFIC HWY, WYOMING NSW</v>
      </c>
      <c r="K239" t="str">
        <f>IFERROR(VLOOKUP($A239,'AAPT ExDa'!$B$2:$U$99, 12,FALSE), IFERROR(VLOOKUP($A239,'ABB ExDa'!$A$2:$N$184, 0,FALSE), IFERROR(VLOOKUP($A239,'Vocus SIT ExDa'!$B$2:$J$173, 0,FALSE), IFERROR(VLOOKUP($A239,'Telstra ExDa'!$B$2:$K$310, 0,FALSE), IFERROR(VLOOKUP($A239,'Vocus RVC ExDa'!$C$2:$R$155, 0,FALSE), IFERROR(VLOOKUP($A239,'Fusion ExDa'!$B$2:$D$16, 0,FALSE), IFERROR(VLOOKUP($A239,'Exetel ExDa'!$C$2:$N$14, 12,FALSE), IFERROR(VLOOKUP($A239,'Infinet ExDa'!$B$2:$E$14, 0,FALSE), "Not Found"))))))))</f>
        <v>Not Found</v>
      </c>
      <c r="L239" s="235" t="str">
        <f>IFERROR(VLOOKUP($A239,'AAPT ExDa'!$B$2:$U$99, 11,FALSE), IFERROR(VLOOKUP($A239,'ABB ExDa'!$A$2:$N$184, 9,FALSE), IFERROR(VLOOKUP($A239,'Vocus SIT ExDa'!$B$2:$J$173, 8,FALSE), IFERROR(VLOOKUP($A239,'Telstra ExDa'!$B$2:$K$310, 0,FALSE), IFERROR(VLOOKUP($A239,'Vocus RVC ExDa'!$C$2:$R$155, 0,FALSE), IFERROR(VLOOKUP($A239,'Fusion ExDa'!$B$2:$D$16, 0,FALSE), IFERROR(VLOOKUP($A239,'Exetel ExDa'!$C$2:$N$14, 9,FALSE), IFERROR(VLOOKUP($A239,'Infinet ExDa'!$B$2:$E$14, 0,FALSE), "Not Found"))))))))</f>
        <v>20 Dec 2024</v>
      </c>
      <c r="M239" s="234" t="str">
        <f>IFERROR(VLOOKUP($A239,'AAPT ExDa'!$B$2:$U$99, 0,FALSE), IFERROR(VLOOKUP($A239,'ABB ExDa'!$A$2:$N$184, 0,FALSE), IFERROR(VLOOKUP($A239,'Vocus SIT ExDa'!$B$2:$J$173, 0,FALSE), IFERROR(VLOOKUP($A239,'Telstra ExDa'!$B$2:$K$310, 0,FALSE), IFERROR(VLOOKUP($A239,'Vocus RVC ExDa'!$C$2:$R$155, 0,FALSE), IFERROR(VLOOKUP($A239,'Fusion ExDa'!$B$2:$D$16, 0,FALSE), IFERROR(VLOOKUP($A239,'Exetel ExDa'!$C$2:$N$14, 11,FALSE), IFERROR(VLOOKUP($A239,'Infinet ExDa'!$B$2:$E$14, 0,FALSE), "Not Found"))))))))</f>
        <v>Not Found</v>
      </c>
      <c r="N239" t="str">
        <f>IFERROR(VLOOKUP($A239,'AAPT ExDa'!$B$2:$U$99, 0,FALSE), IFERROR(VLOOKUP($A239,'ABB ExDa'!$A$2:$N$184, 13,FALSE), IFERROR(VLOOKUP($A239,'Vocus SIT ExDa'!$B$2:$J$173, 0,FALSE), IFERROR(VLOOKUP($A239,'Telstra ExDa'!$B$2:$K$310, 0,FALSE), IFERROR(VLOOKUP($A239,'Vocus RVC ExDa'!$C$2:$R$155, 0,FALSE), IFERROR(VLOOKUP($A239,'Fusion ExDa'!$B$2:$D$16, 0,FALSE), IFERROR(VLOOKUP($A239,'Exetel ExDa'!$C$2:$N$14, 0,FALSE), IFERROR(VLOOKUP($A239,'Infinet ExDa'!$B$2:$E$14, 0,FALSE), "Not Found"))))))))</f>
        <v>Onebill</v>
      </c>
    </row>
    <row r="240" spans="1:14">
      <c r="A240" t="str">
        <v>Zambrero Yanchep</v>
      </c>
      <c r="B240" t="str">
        <f>IFERROR(VLOOKUP(A240,'Exetel ExDa'!$C$2:$N$14,4,FALSE),"No Data")</f>
        <v>No Data</v>
      </c>
      <c r="C240" t="str">
        <f>IFERROR(VLOOKUP(A240,'AAPT ExDa'!$B$2:$U$99, 2,FALSE), IFERROR(VLOOKUP(A240,'ABB ExDa'!$A$2:$N$184, 2,FALSE), IFERROR(VLOOKUP(A240,'Vocus SIT ExDa'!$B$2:$J$173, 7,FALSE), IFERROR(VLOOKUP(A240,'Telstra ExDa'!$B$2:$K$310, 2,FALSE), IFERROR(VLOOKUP(A240,'Vocus RVC ExDa'!$C$2:$R$155, 3,FALSE), IFERROR(VLOOKUP(A240,'Fusion ExDa'!$B$2:$D$16, 2,FALSE), IFERROR(VLOOKUP(A240,'Exetel ExDa'!$C$2:$N$14, 2,FALSE), IFERROR(VLOOKUP(A240,'Infinet ExDa'!$B$2:$E$14, 2,FALSE), "Not Found"))))))))</f>
        <v>TNCY 02, 2 PEONY BVD, YANCHEP WA</v>
      </c>
      <c r="D240" t="str">
        <f>IFERROR(VLOOKUP($A240,'AAPT ExDa'!$B$2:$U$99, 15,FALSE), IFERROR(VLOOKUP($A240,'ABB ExDa'!$A$2:$N$184, 4,FALSE), IFERROR(VLOOKUP($A240,'Vocus SIT ExDa'!$B$2:$J$173, 5,FALSE), IFERROR(VLOOKUP($A240,'Telstra ExDa'!$B$2:$K$310, 8,FALSE), IFERROR(VLOOKUP($A240,'Vocus RVC ExDa'!$C$2:$R$155, 6,FALSE), IFERROR(VLOOKUP($A240,'Fusion ExDa'!$B$2:$D$16, 4,FALSE), IFERROR(VLOOKUP($A240,'Exetel ExDa'!$C$2:$N$14, 3,FALSE), IFERROR(VLOOKUP($A240,'Infinet ExDa'!$B$2:$E$14, 3,FALSE), "Not Found"))))))))</f>
        <v>ABB</v>
      </c>
      <c r="E240" t="str">
        <f>IFERROR(VLOOKUP($A240,'AAPT ExDa'!$B$2:$U$99, 3,FALSE), IFERROR(VLOOKUP($A240,'ABB ExDa'!$A$2:$N$184, 5,FALSE), IFERROR(VLOOKUP($A240,'Vocus SIT ExDa'!$B$2:$J$173, 2,FALSE), IFERROR(VLOOKUP($A240,'Telstra ExDa'!$B$2:$K$310, 4,FALSE), IFERROR(VLOOKUP($A240,'Vocus RVC ExDa'!$C$2:$R$155, 8,FALSE), IFERROR(VLOOKUP($A240,'Fusion ExDa'!$B$2:$D$16, 4,FALSE), IFERROR(VLOOKUP($A240,'Exetel ExDa'!$C$2:$N$14, 5,FALSE), IFERROR(VLOOKUP($A240,'Infinet ExDa'!$B$2:$E$14, 3,FALSE), "Not Found"))))))))</f>
        <v>NBN 100/40</v>
      </c>
      <c r="F240" t="str">
        <f>IFERROR(VLOOKUP($A240,'AAPT ExDa'!$B$2:$U$99, 4,FALSE), IFERROR(VLOOKUP($A240,'ABB ExDa'!$A$2:$N$184, 6,FALSE), IFERROR(VLOOKUP($A240,'Vocus SIT ExDa'!$B$2:$J$173, 3,FALSE), IFERROR(VLOOKUP($A240,'Telstra ExDa'!$B$2:$K$310, 5,FALSE), IFERROR(VLOOKUP($A240,'Vocus RVC ExDa'!$C$2:$R$155, 9,FALSE), IFERROR(VLOOKUP($A240,'Fusion ExDa'!$B$2:$D$16, 0,FALSE), IFERROR(VLOOKUP($A240,'Exetel ExDa'!$C$2:$N$14, 6,FALSE), IFERROR(VLOOKUP($A240,'Infinet ExDa'!$B$2:$E$14, 0,FALSE), "Not Found"))))))))</f>
        <v xml:space="preserve">Fibre </v>
      </c>
      <c r="G240" t="str">
        <f>IFERROR(VLOOKUP($A240,'AAPT ExDa'!$B$2:$U$99, 5,FALSE), IFERROR(VLOOKUP($A240,'ABB ExDa'!$A$2:$N$184, 8,FALSE), IFERROR(VLOOKUP($A240,'Vocus SIT ExDa'!$B$2:$J$173, 6,FALSE), IFERROR(VLOOKUP($A240,'Telstra ExDa'!$B$2:$K$310, 0,FALSE), IFERROR(VLOOKUP($A240,'Vocus RVC ExDa'!$C$2:$R$155, 15,FALSE), IFERROR(VLOOKUP($A240,'Fusion ExDa'!$B$2:$D$16, 0,FALSE), IFERROR(VLOOKUP($A240,'Exetel ExDa'!$C$2:$N$14, 7,FALSE), IFERROR(VLOOKUP($A240,'Infinet ExDa'!$B$2:$E$14, 0,FALSE), "Not Found"))))))))</f>
        <v>144.6.129.100</v>
      </c>
      <c r="H240" t="str">
        <f>IFERROR(VLOOKUP($A240,'AAPT ExDa'!$B$2:$U$99, 6,FALSE), IFERROR(VLOOKUP($A240,'ABB ExDa'!$A$2:$N$184, 0,FALSE), IFERROR(VLOOKUP($A240,'Vocus SIT ExDa'!$B$2:$J$173, 0,FALSE), IFERROR(VLOOKUP($A240,'Telstra ExDa'!$B$2:$K$310, 0,FALSE), IFERROR(VLOOKUP($A240,'Vocus RVC ExDa'!$C$2:$R$155, 16,FALSE), IFERROR(VLOOKUP($A240,'Fusion ExDa'!$B$2:$D$16, 0,FALSE), IFERROR(VLOOKUP($A240,'Exetel ExDa'!$C$2:$N$14, 0,FALSE), IFERROR(VLOOKUP($A240,'Infinet ExDa'!$B$2:$E$14, 0,FALSE), "Not Found"))))))))</f>
        <v>Not Found</v>
      </c>
      <c r="I240" t="str">
        <f>IFERROR(VLOOKUP($A240,'AAPT ExDa'!$B$2:$U$99, 0,FALSE), IFERROR(VLOOKUP($A240,'ABB ExDa'!$A$2:$N$184, 0,FALSE), IFERROR(VLOOKUP($A240,'Vocus SIT ExDa'!$B$2:$J$173, 0,FALSE), IFERROR(VLOOKUP($A240,'Telstra ExDa'!$B$2:$K$310, 0,FALSE), IFERROR(VLOOKUP($A240,'Vocus RVC ExDa'!$C$2:$R$155, 0,FALSE), IFERROR(VLOOKUP($A240,'Fusion ExDa'!$B$2:$D$16, 0,FALSE), IFERROR(VLOOKUP($A240,'Exetel ExDa'!$C$2:$N$14, 8,FALSE), IFERROR(VLOOKUP($A240,'Infinet ExDa'!$B$2:$E$14, 0,FALSE), "Not Found"))))))))</f>
        <v>Not Found</v>
      </c>
      <c r="J240" t="str">
        <f>IFERROR(VLOOKUP($A240,'AAPT ExDa'!$B$2:$U$99, 7,FALSE), IFERROR(VLOOKUP($A240,'ABB ExDa'!$A$2:$N$184, 2,FALSE), IFERROR(VLOOKUP($A240,'Vocus SIT ExDa'!$B$2:$J$173, 0,FALSE), IFERROR(VLOOKUP($A240,'Telstra ExDa'!$B$2:$K$310, 7,FALSE), IFERROR(VLOOKUP($A240,'Vocus RVC ExDa'!$C$2:$R$155, 2,FALSE), IFERROR(VLOOKUP($A240,'Fusion ExDa'!$B$2:$D$16, 3,FALSE), IFERROR(VLOOKUP($A240,'Exetel ExDa'!$C$2:$N$14, 0,FALSE), IFERROR(VLOOKUP($A240,'Infinet ExDa'!$B$2:$E$14, 0,FALSE), "Not Found"))))))))</f>
        <v>TNCY 02, 2 PEONY BVD, YANCHEP WA</v>
      </c>
      <c r="K240" t="str">
        <f>IFERROR(VLOOKUP($A240,'AAPT ExDa'!$B$2:$U$99, 12,FALSE), IFERROR(VLOOKUP($A240,'ABB ExDa'!$A$2:$N$184, 0,FALSE), IFERROR(VLOOKUP($A240,'Vocus SIT ExDa'!$B$2:$J$173, 0,FALSE), IFERROR(VLOOKUP($A240,'Telstra ExDa'!$B$2:$K$310, 0,FALSE), IFERROR(VLOOKUP($A240,'Vocus RVC ExDa'!$C$2:$R$155, 0,FALSE), IFERROR(VLOOKUP($A240,'Fusion ExDa'!$B$2:$D$16, 0,FALSE), IFERROR(VLOOKUP($A240,'Exetel ExDa'!$C$2:$N$14, 12,FALSE), IFERROR(VLOOKUP($A240,'Infinet ExDa'!$B$2:$E$14, 0,FALSE), "Not Found"))))))))</f>
        <v>Not Found</v>
      </c>
      <c r="L240" s="235" t="str">
        <f>IFERROR(VLOOKUP($A240,'AAPT ExDa'!$B$2:$U$99, 11,FALSE), IFERROR(VLOOKUP($A240,'ABB ExDa'!$A$2:$N$184, 9,FALSE), IFERROR(VLOOKUP($A240,'Vocus SIT ExDa'!$B$2:$J$173, 8,FALSE), IFERROR(VLOOKUP($A240,'Telstra ExDa'!$B$2:$K$310, 0,FALSE), IFERROR(VLOOKUP($A240,'Vocus RVC ExDa'!$C$2:$R$155, 0,FALSE), IFERROR(VLOOKUP($A240,'Fusion ExDa'!$B$2:$D$16, 0,FALSE), IFERROR(VLOOKUP($A240,'Exetel ExDa'!$C$2:$N$14, 9,FALSE), IFERROR(VLOOKUP($A240,'Infinet ExDa'!$B$2:$E$14, 0,FALSE), "Not Found"))))))))</f>
        <v>10 Jan 2024</v>
      </c>
      <c r="M240" s="234" t="str">
        <f>IFERROR(VLOOKUP($A240,'AAPT ExDa'!$B$2:$U$99, 0,FALSE), IFERROR(VLOOKUP($A240,'ABB ExDa'!$A$2:$N$184, 0,FALSE), IFERROR(VLOOKUP($A240,'Vocus SIT ExDa'!$B$2:$J$173, 0,FALSE), IFERROR(VLOOKUP($A240,'Telstra ExDa'!$B$2:$K$310, 0,FALSE), IFERROR(VLOOKUP($A240,'Vocus RVC ExDa'!$C$2:$R$155, 0,FALSE), IFERROR(VLOOKUP($A240,'Fusion ExDa'!$B$2:$D$16, 0,FALSE), IFERROR(VLOOKUP($A240,'Exetel ExDa'!$C$2:$N$14, 11,FALSE), IFERROR(VLOOKUP($A240,'Infinet ExDa'!$B$2:$E$14, 0,FALSE), "Not Found"))))))))</f>
        <v>Not Found</v>
      </c>
      <c r="N240" t="str">
        <f>IFERROR(VLOOKUP($A240,'AAPT ExDa'!$B$2:$U$99, 0,FALSE), IFERROR(VLOOKUP($A240,'ABB ExDa'!$A$2:$N$184, 13,FALSE), IFERROR(VLOOKUP($A240,'Vocus SIT ExDa'!$B$2:$J$173, 0,FALSE), IFERROR(VLOOKUP($A240,'Telstra ExDa'!$B$2:$K$310, 0,FALSE), IFERROR(VLOOKUP($A240,'Vocus RVC ExDa'!$C$2:$R$155, 0,FALSE), IFERROR(VLOOKUP($A240,'Fusion ExDa'!$B$2:$D$16, 0,FALSE), IFERROR(VLOOKUP($A240,'Exetel ExDa'!$C$2:$N$14, 0,FALSE), IFERROR(VLOOKUP($A240,'Infinet ExDa'!$B$2:$E$14, 0,FALSE), "Not Found"))))))))</f>
        <v>Onebill</v>
      </c>
    </row>
    <row r="241" spans="1:14">
      <c r="A241" t="str">
        <v>Zambrero Yarraville</v>
      </c>
      <c r="B241" t="str">
        <f>IFERROR(VLOOKUP(A241,'Exetel ExDa'!$C$2:$N$14,4,FALSE),"No Data")</f>
        <v>No Data</v>
      </c>
      <c r="C241" t="str">
        <f>IFERROR(VLOOKUP(A241,'AAPT ExDa'!$B$2:$U$99, 2,FALSE), IFERROR(VLOOKUP(A241,'ABB ExDa'!$A$2:$N$184, 2,FALSE), IFERROR(VLOOKUP(A241,'Vocus SIT ExDa'!$B$2:$J$173, 7,FALSE), IFERROR(VLOOKUP(A241,'Telstra ExDa'!$B$2:$K$310, 2,FALSE), IFERROR(VLOOKUP(A241,'Vocus RVC ExDa'!$C$2:$R$155, 3,FALSE), IFERROR(VLOOKUP(A241,'Fusion ExDa'!$B$2:$D$16, 2,FALSE), IFERROR(VLOOKUP(A241,'Exetel ExDa'!$C$2:$N$14, 2,FALSE), IFERROR(VLOOKUP(A241,'Infinet ExDa'!$B$2:$E$14, 2,FALSE), "Not Found"))))))))</f>
        <v>27A ANDERSON ST, YARRAVILLE VIC</v>
      </c>
      <c r="D241" t="str">
        <f>IFERROR(VLOOKUP($A241,'AAPT ExDa'!$B$2:$U$99, 15,FALSE), IFERROR(VLOOKUP($A241,'ABB ExDa'!$A$2:$N$184, 4,FALSE), IFERROR(VLOOKUP($A241,'Vocus SIT ExDa'!$B$2:$J$173, 5,FALSE), IFERROR(VLOOKUP($A241,'Telstra ExDa'!$B$2:$K$310, 8,FALSE), IFERROR(VLOOKUP($A241,'Vocus RVC ExDa'!$C$2:$R$155, 6,FALSE), IFERROR(VLOOKUP($A241,'Fusion ExDa'!$B$2:$D$16, 4,FALSE), IFERROR(VLOOKUP($A241,'Exetel ExDa'!$C$2:$N$14, 3,FALSE), IFERROR(VLOOKUP($A241,'Infinet ExDa'!$B$2:$E$14, 3,FALSE), "Not Found"))))))))</f>
        <v>ABB</v>
      </c>
      <c r="E241" t="str">
        <f>IFERROR(VLOOKUP($A241,'AAPT ExDa'!$B$2:$U$99, 3,FALSE), IFERROR(VLOOKUP($A241,'ABB ExDa'!$A$2:$N$184, 5,FALSE), IFERROR(VLOOKUP($A241,'Vocus SIT ExDa'!$B$2:$J$173, 2,FALSE), IFERROR(VLOOKUP($A241,'Telstra ExDa'!$B$2:$K$310, 4,FALSE), IFERROR(VLOOKUP($A241,'Vocus RVC ExDa'!$C$2:$R$155, 8,FALSE), IFERROR(VLOOKUP($A241,'Fusion ExDa'!$B$2:$D$16, 4,FALSE), IFERROR(VLOOKUP($A241,'Exetel ExDa'!$C$2:$N$14, 5,FALSE), IFERROR(VLOOKUP($A241,'Infinet ExDa'!$B$2:$E$14, 3,FALSE), "Not Found"))))))))</f>
        <v>NBN 25/10</v>
      </c>
      <c r="F241" t="str">
        <f>IFERROR(VLOOKUP($A241,'AAPT ExDa'!$B$2:$U$99, 4,FALSE), IFERROR(VLOOKUP($A241,'ABB ExDa'!$A$2:$N$184, 6,FALSE), IFERROR(VLOOKUP($A241,'Vocus SIT ExDa'!$B$2:$J$173, 3,FALSE), IFERROR(VLOOKUP($A241,'Telstra ExDa'!$B$2:$K$310, 5,FALSE), IFERROR(VLOOKUP($A241,'Vocus RVC ExDa'!$C$2:$R$155, 9,FALSE), IFERROR(VLOOKUP($A241,'Fusion ExDa'!$B$2:$D$16, 0,FALSE), IFERROR(VLOOKUP($A241,'Exetel ExDa'!$C$2:$N$14, 6,FALSE), IFERROR(VLOOKUP($A241,'Infinet ExDa'!$B$2:$E$14, 0,FALSE), "Not Found"))))))))</f>
        <v xml:space="preserve">Fibre </v>
      </c>
      <c r="G241" t="str">
        <f>IFERROR(VLOOKUP($A241,'AAPT ExDa'!$B$2:$U$99, 5,FALSE), IFERROR(VLOOKUP($A241,'ABB ExDa'!$A$2:$N$184, 8,FALSE), IFERROR(VLOOKUP($A241,'Vocus SIT ExDa'!$B$2:$J$173, 6,FALSE), IFERROR(VLOOKUP($A241,'Telstra ExDa'!$B$2:$K$310, 0,FALSE), IFERROR(VLOOKUP($A241,'Vocus RVC ExDa'!$C$2:$R$155, 15,FALSE), IFERROR(VLOOKUP($A241,'Fusion ExDa'!$B$2:$D$16, 0,FALSE), IFERROR(VLOOKUP($A241,'Exetel ExDa'!$C$2:$N$14, 7,FALSE), IFERROR(VLOOKUP($A241,'Infinet ExDa'!$B$2:$E$14, 0,FALSE), "Not Found"))))))))</f>
        <v>144.6.216.156</v>
      </c>
      <c r="H241" t="str">
        <f>IFERROR(VLOOKUP($A241,'AAPT ExDa'!$B$2:$U$99, 6,FALSE), IFERROR(VLOOKUP($A241,'ABB ExDa'!$A$2:$N$184, 0,FALSE), IFERROR(VLOOKUP($A241,'Vocus SIT ExDa'!$B$2:$J$173, 0,FALSE), IFERROR(VLOOKUP($A241,'Telstra ExDa'!$B$2:$K$310, 0,FALSE), IFERROR(VLOOKUP($A241,'Vocus RVC ExDa'!$C$2:$R$155, 16,FALSE), IFERROR(VLOOKUP($A241,'Fusion ExDa'!$B$2:$D$16, 0,FALSE), IFERROR(VLOOKUP($A241,'Exetel ExDa'!$C$2:$N$14, 0,FALSE), IFERROR(VLOOKUP($A241,'Infinet ExDa'!$B$2:$E$14, 0,FALSE), "Not Found"))))))))</f>
        <v>Not Found</v>
      </c>
      <c r="I241" t="str">
        <f>IFERROR(VLOOKUP($A241,'AAPT ExDa'!$B$2:$U$99, 0,FALSE), IFERROR(VLOOKUP($A241,'ABB ExDa'!$A$2:$N$184, 0,FALSE), IFERROR(VLOOKUP($A241,'Vocus SIT ExDa'!$B$2:$J$173, 0,FALSE), IFERROR(VLOOKUP($A241,'Telstra ExDa'!$B$2:$K$310, 0,FALSE), IFERROR(VLOOKUP($A241,'Vocus RVC ExDa'!$C$2:$R$155, 0,FALSE), IFERROR(VLOOKUP($A241,'Fusion ExDa'!$B$2:$D$16, 0,FALSE), IFERROR(VLOOKUP($A241,'Exetel ExDa'!$C$2:$N$14, 8,FALSE), IFERROR(VLOOKUP($A241,'Infinet ExDa'!$B$2:$E$14, 0,FALSE), "Not Found"))))))))</f>
        <v>Not Found</v>
      </c>
      <c r="J241" t="str">
        <f>IFERROR(VLOOKUP($A241,'AAPT ExDa'!$B$2:$U$99, 7,FALSE), IFERROR(VLOOKUP($A241,'ABB ExDa'!$A$2:$N$184, 2,FALSE), IFERROR(VLOOKUP($A241,'Vocus SIT ExDa'!$B$2:$J$173, 0,FALSE), IFERROR(VLOOKUP($A241,'Telstra ExDa'!$B$2:$K$310, 7,FALSE), IFERROR(VLOOKUP($A241,'Vocus RVC ExDa'!$C$2:$R$155, 2,FALSE), IFERROR(VLOOKUP($A241,'Fusion ExDa'!$B$2:$D$16, 3,FALSE), IFERROR(VLOOKUP($A241,'Exetel ExDa'!$C$2:$N$14, 0,FALSE), IFERROR(VLOOKUP($A241,'Infinet ExDa'!$B$2:$E$14, 0,FALSE), "Not Found"))))))))</f>
        <v>27A ANDERSON ST, YARRAVILLE VIC</v>
      </c>
      <c r="K241" t="str">
        <f>IFERROR(VLOOKUP($A241,'AAPT ExDa'!$B$2:$U$99, 12,FALSE), IFERROR(VLOOKUP($A241,'ABB ExDa'!$A$2:$N$184, 0,FALSE), IFERROR(VLOOKUP($A241,'Vocus SIT ExDa'!$B$2:$J$173, 0,FALSE), IFERROR(VLOOKUP($A241,'Telstra ExDa'!$B$2:$K$310, 0,FALSE), IFERROR(VLOOKUP($A241,'Vocus RVC ExDa'!$C$2:$R$155, 0,FALSE), IFERROR(VLOOKUP($A241,'Fusion ExDa'!$B$2:$D$16, 0,FALSE), IFERROR(VLOOKUP($A241,'Exetel ExDa'!$C$2:$N$14, 12,FALSE), IFERROR(VLOOKUP($A241,'Infinet ExDa'!$B$2:$E$14, 0,FALSE), "Not Found"))))))))</f>
        <v>Not Found</v>
      </c>
      <c r="L241" s="235" t="str">
        <f>IFERROR(VLOOKUP($A241,'AAPT ExDa'!$B$2:$U$99, 11,FALSE), IFERROR(VLOOKUP($A241,'ABB ExDa'!$A$2:$N$184, 9,FALSE), IFERROR(VLOOKUP($A241,'Vocus SIT ExDa'!$B$2:$J$173, 8,FALSE), IFERROR(VLOOKUP($A241,'Telstra ExDa'!$B$2:$K$310, 0,FALSE), IFERROR(VLOOKUP($A241,'Vocus RVC ExDa'!$C$2:$R$155, 0,FALSE), IFERROR(VLOOKUP($A241,'Fusion ExDa'!$B$2:$D$16, 0,FALSE), IFERROR(VLOOKUP($A241,'Exetel ExDa'!$C$2:$N$14, 9,FALSE), IFERROR(VLOOKUP($A241,'Infinet ExDa'!$B$2:$E$14, 0,FALSE), "Not Found"))))))))</f>
        <v>05 Sept 2024</v>
      </c>
      <c r="M241" s="234" t="str">
        <f>IFERROR(VLOOKUP($A241,'AAPT ExDa'!$B$2:$U$99, 0,FALSE), IFERROR(VLOOKUP($A241,'ABB ExDa'!$A$2:$N$184, 0,FALSE), IFERROR(VLOOKUP($A241,'Vocus SIT ExDa'!$B$2:$J$173, 0,FALSE), IFERROR(VLOOKUP($A241,'Telstra ExDa'!$B$2:$K$310, 0,FALSE), IFERROR(VLOOKUP($A241,'Vocus RVC ExDa'!$C$2:$R$155, 0,FALSE), IFERROR(VLOOKUP($A241,'Fusion ExDa'!$B$2:$D$16, 0,FALSE), IFERROR(VLOOKUP($A241,'Exetel ExDa'!$C$2:$N$14, 11,FALSE), IFERROR(VLOOKUP($A241,'Infinet ExDa'!$B$2:$E$14, 0,FALSE), "Not Found"))))))))</f>
        <v>Not Found</v>
      </c>
      <c r="N241" t="str">
        <f>IFERROR(VLOOKUP($A241,'AAPT ExDa'!$B$2:$U$99, 0,FALSE), IFERROR(VLOOKUP($A241,'ABB ExDa'!$A$2:$N$184, 13,FALSE), IFERROR(VLOOKUP($A241,'Vocus SIT ExDa'!$B$2:$J$173, 0,FALSE), IFERROR(VLOOKUP($A241,'Telstra ExDa'!$B$2:$K$310, 0,FALSE), IFERROR(VLOOKUP($A241,'Vocus RVC ExDa'!$C$2:$R$155, 0,FALSE), IFERROR(VLOOKUP($A241,'Fusion ExDa'!$B$2:$D$16, 0,FALSE), IFERROR(VLOOKUP($A241,'Exetel ExDa'!$C$2:$N$14, 0,FALSE), IFERROR(VLOOKUP($A241,'Infinet ExDa'!$B$2:$E$14, 0,FALSE), "Not Found"))))))))</f>
        <v>Onebill</v>
      </c>
    </row>
    <row r="242" spans="1:14">
      <c r="A242">
        <v>0</v>
      </c>
      <c r="B242" t="str">
        <f>IFERROR(VLOOKUP(A242,'Exetel ExDa'!$C$2:$N$14,4,FALSE),"No Data")</f>
        <v>No Data</v>
      </c>
      <c r="C242" t="str">
        <f>IFERROR(VLOOKUP(A242,'AAPT ExDa'!$B$2:$U$99, 2,FALSE), IFERROR(VLOOKUP(A242,'ABB ExDa'!$A$2:$N$184, 2,FALSE), IFERROR(VLOOKUP(A242,'Vocus SIT ExDa'!$B$2:$J$173, 7,FALSE), IFERROR(VLOOKUP(A242,'Telstra ExDa'!$B$2:$K$310, 2,FALSE), IFERROR(VLOOKUP(A242,'Vocus RVC ExDa'!$C$2:$R$155, 3,FALSE), IFERROR(VLOOKUP(A242,'Fusion ExDa'!$B$2:$D$16, 2,FALSE), IFERROR(VLOOKUP(A242,'Exetel ExDa'!$C$2:$N$14, 2,FALSE), IFERROR(VLOOKUP(A242,'Infinet ExDa'!$B$2:$E$14, 2,FALSE), "Not Found"))))))))</f>
        <v>Not Found</v>
      </c>
      <c r="D242" t="str">
        <f>IFERROR(VLOOKUP($A242,'AAPT ExDa'!$B$2:$U$99, 15,FALSE), IFERROR(VLOOKUP($A242,'ABB ExDa'!$A$2:$N$184, 4,FALSE), IFERROR(VLOOKUP($A242,'Vocus SIT ExDa'!$B$2:$J$173, 5,FALSE), IFERROR(VLOOKUP($A242,'Telstra ExDa'!$B$2:$K$310, 8,FALSE), IFERROR(VLOOKUP($A242,'Vocus RVC ExDa'!$C$2:$R$155, 6,FALSE), IFERROR(VLOOKUP($A242,'Fusion ExDa'!$B$2:$D$16, 4,FALSE), IFERROR(VLOOKUP($A242,'Exetel ExDa'!$C$2:$N$14, 3,FALSE), IFERROR(VLOOKUP($A242,'Infinet ExDa'!$B$2:$E$14, 3,FALSE), "Not Found"))))))))</f>
        <v>Not Found</v>
      </c>
      <c r="E242" t="str">
        <f>IFERROR(VLOOKUP($A242,'AAPT ExDa'!$B$2:$U$99, 3,FALSE), IFERROR(VLOOKUP($A242,'ABB ExDa'!$A$2:$N$184, 5,FALSE), IFERROR(VLOOKUP($A242,'Vocus SIT ExDa'!$B$2:$J$173, 2,FALSE), IFERROR(VLOOKUP($A242,'Telstra ExDa'!$B$2:$K$310, 4,FALSE), IFERROR(VLOOKUP($A242,'Vocus RVC ExDa'!$C$2:$R$155, 8,FALSE), IFERROR(VLOOKUP($A242,'Fusion ExDa'!$B$2:$D$16, 4,FALSE), IFERROR(VLOOKUP($A242,'Exetel ExDa'!$C$2:$N$14, 5,FALSE), IFERROR(VLOOKUP($A242,'Infinet ExDa'!$B$2:$E$14, 3,FALSE), "Not Found"))))))))</f>
        <v>Not Found</v>
      </c>
      <c r="F242" t="str">
        <f>IFERROR(VLOOKUP($A242,'AAPT ExDa'!$B$2:$U$99, 4,FALSE), IFERROR(VLOOKUP($A242,'ABB ExDa'!$A$2:$N$184, 6,FALSE), IFERROR(VLOOKUP($A242,'Vocus SIT ExDa'!$B$2:$J$173, 3,FALSE), IFERROR(VLOOKUP($A242,'Telstra ExDa'!$B$2:$K$310, 5,FALSE), IFERROR(VLOOKUP($A242,'Vocus RVC ExDa'!$C$2:$R$155, 9,FALSE), IFERROR(VLOOKUP($A242,'Fusion ExDa'!$B$2:$D$16, 0,FALSE), IFERROR(VLOOKUP($A242,'Exetel ExDa'!$C$2:$N$14, 6,FALSE), IFERROR(VLOOKUP($A242,'Infinet ExDa'!$B$2:$E$14, 0,FALSE), "Not Found"))))))))</f>
        <v>Not Found</v>
      </c>
      <c r="G242" t="str">
        <f>IFERROR(VLOOKUP($A242,'AAPT ExDa'!$B$2:$U$99, 5,FALSE), IFERROR(VLOOKUP($A242,'ABB ExDa'!$A$2:$N$184, 8,FALSE), IFERROR(VLOOKUP($A242,'Vocus SIT ExDa'!$B$2:$J$173, 6,FALSE), IFERROR(VLOOKUP($A242,'Telstra ExDa'!$B$2:$K$310, 0,FALSE), IFERROR(VLOOKUP($A242,'Vocus RVC ExDa'!$C$2:$R$155, 15,FALSE), IFERROR(VLOOKUP($A242,'Fusion ExDa'!$B$2:$D$16, 0,FALSE), IFERROR(VLOOKUP($A242,'Exetel ExDa'!$C$2:$N$14, 7,FALSE), IFERROR(VLOOKUP($A242,'Infinet ExDa'!$B$2:$E$14, 0,FALSE), "Not Found"))))))))</f>
        <v>Not Found</v>
      </c>
      <c r="H242" t="str">
        <f>IFERROR(VLOOKUP($A242,'AAPT ExDa'!$B$2:$U$99, 6,FALSE), IFERROR(VLOOKUP($A242,'ABB ExDa'!$A$2:$N$184, 0,FALSE), IFERROR(VLOOKUP($A242,'Vocus SIT ExDa'!$B$2:$J$173, 0,FALSE), IFERROR(VLOOKUP($A242,'Telstra ExDa'!$B$2:$K$310, 0,FALSE), IFERROR(VLOOKUP($A242,'Vocus RVC ExDa'!$C$2:$R$155, 16,FALSE), IFERROR(VLOOKUP($A242,'Fusion ExDa'!$B$2:$D$16, 0,FALSE), IFERROR(VLOOKUP($A242,'Exetel ExDa'!$C$2:$N$14, 0,FALSE), IFERROR(VLOOKUP($A242,'Infinet ExDa'!$B$2:$E$14, 0,FALSE), "Not Found"))))))))</f>
        <v>Not Found</v>
      </c>
      <c r="I242" t="str">
        <f>IFERROR(VLOOKUP($A242,'AAPT ExDa'!$B$2:$U$99, 0,FALSE), IFERROR(VLOOKUP($A242,'ABB ExDa'!$A$2:$N$184, 0,FALSE), IFERROR(VLOOKUP($A242,'Vocus SIT ExDa'!$B$2:$J$173, 0,FALSE), IFERROR(VLOOKUP($A242,'Telstra ExDa'!$B$2:$K$310, 0,FALSE), IFERROR(VLOOKUP($A242,'Vocus RVC ExDa'!$C$2:$R$155, 0,FALSE), IFERROR(VLOOKUP($A242,'Fusion ExDa'!$B$2:$D$16, 0,FALSE), IFERROR(VLOOKUP($A242,'Exetel ExDa'!$C$2:$N$14, 8,FALSE), IFERROR(VLOOKUP($A242,'Infinet ExDa'!$B$2:$E$14, 0,FALSE), "Not Found"))))))))</f>
        <v>Not Found</v>
      </c>
      <c r="J242" t="str">
        <f>IFERROR(VLOOKUP($A242,'AAPT ExDa'!$B$2:$U$99, 7,FALSE), IFERROR(VLOOKUP($A242,'ABB ExDa'!$A$2:$N$184, 2,FALSE), IFERROR(VLOOKUP($A242,'Vocus SIT ExDa'!$B$2:$J$173, 0,FALSE), IFERROR(VLOOKUP($A242,'Telstra ExDa'!$B$2:$K$310, 7,FALSE), IFERROR(VLOOKUP($A242,'Vocus RVC ExDa'!$C$2:$R$155, 2,FALSE), IFERROR(VLOOKUP($A242,'Fusion ExDa'!$B$2:$D$16, 3,FALSE), IFERROR(VLOOKUP($A242,'Exetel ExDa'!$C$2:$N$14, 0,FALSE), IFERROR(VLOOKUP($A242,'Infinet ExDa'!$B$2:$E$14, 0,FALSE), "Not Found"))))))))</f>
        <v>Not Found</v>
      </c>
      <c r="K242" t="str">
        <f>IFERROR(VLOOKUP($A242,'AAPT ExDa'!$B$2:$U$99, 12,FALSE), IFERROR(VLOOKUP($A242,'ABB ExDa'!$A$2:$N$184, 0,FALSE), IFERROR(VLOOKUP($A242,'Vocus SIT ExDa'!$B$2:$J$173, 0,FALSE), IFERROR(VLOOKUP($A242,'Telstra ExDa'!$B$2:$K$310, 0,FALSE), IFERROR(VLOOKUP($A242,'Vocus RVC ExDa'!$C$2:$R$155, 0,FALSE), IFERROR(VLOOKUP($A242,'Fusion ExDa'!$B$2:$D$16, 0,FALSE), IFERROR(VLOOKUP($A242,'Exetel ExDa'!$C$2:$N$14, 12,FALSE), IFERROR(VLOOKUP($A242,'Infinet ExDa'!$B$2:$E$14, 0,FALSE), "Not Found"))))))))</f>
        <v>Not Found</v>
      </c>
      <c r="L242" s="235" t="str">
        <f>IFERROR(VLOOKUP($A242,'AAPT ExDa'!$B$2:$U$99, 11,FALSE), IFERROR(VLOOKUP($A242,'ABB ExDa'!$A$2:$N$184, 9,FALSE), IFERROR(VLOOKUP($A242,'Vocus SIT ExDa'!$B$2:$J$173, 8,FALSE), IFERROR(VLOOKUP($A242,'Telstra ExDa'!$B$2:$K$310, 0,FALSE), IFERROR(VLOOKUP($A242,'Vocus RVC ExDa'!$C$2:$R$155, 0,FALSE), IFERROR(VLOOKUP($A242,'Fusion ExDa'!$B$2:$D$16, 0,FALSE), IFERROR(VLOOKUP($A242,'Exetel ExDa'!$C$2:$N$14, 9,FALSE), IFERROR(VLOOKUP($A242,'Infinet ExDa'!$B$2:$E$14, 0,FALSE), "Not Found"))))))))</f>
        <v>Not Found</v>
      </c>
      <c r="M242" s="234" t="str">
        <f>IFERROR(VLOOKUP($A242,'AAPT ExDa'!$B$2:$U$99, 0,FALSE), IFERROR(VLOOKUP($A242,'ABB ExDa'!$A$2:$N$184, 0,FALSE), IFERROR(VLOOKUP($A242,'Vocus SIT ExDa'!$B$2:$J$173, 0,FALSE), IFERROR(VLOOKUP($A242,'Telstra ExDa'!$B$2:$K$310, 0,FALSE), IFERROR(VLOOKUP($A242,'Vocus RVC ExDa'!$C$2:$R$155, 0,FALSE), IFERROR(VLOOKUP($A242,'Fusion ExDa'!$B$2:$D$16, 0,FALSE), IFERROR(VLOOKUP($A242,'Exetel ExDa'!$C$2:$N$14, 11,FALSE), IFERROR(VLOOKUP($A242,'Infinet ExDa'!$B$2:$E$14, 0,FALSE), "Not Found"))))))))</f>
        <v>Not Found</v>
      </c>
      <c r="N242" t="str">
        <f>IFERROR(VLOOKUP($A242,'AAPT ExDa'!$B$2:$U$99, 0,FALSE), IFERROR(VLOOKUP($A242,'ABB ExDa'!$A$2:$N$184, 13,FALSE), IFERROR(VLOOKUP($A242,'Vocus SIT ExDa'!$B$2:$J$173, 0,FALSE), IFERROR(VLOOKUP($A242,'Telstra ExDa'!$B$2:$K$310, 0,FALSE), IFERROR(VLOOKUP($A242,'Vocus RVC ExDa'!$C$2:$R$155, 0,FALSE), IFERROR(VLOOKUP($A242,'Fusion ExDa'!$B$2:$D$16, 0,FALSE), IFERROR(VLOOKUP($A242,'Exetel ExDa'!$C$2:$N$14, 0,FALSE), IFERROR(VLOOKUP($A242,'Infinet ExDa'!$B$2:$E$14, 0,FALSE), "Not Found"))))))))</f>
        <v>Not Found</v>
      </c>
    </row>
    <row r="243" spans="1:14">
      <c r="A243" t="str">
        <v xml:space="preserve">Sparrow Early Learning Coolamon </v>
      </c>
      <c r="B243" t="str">
        <f>IFERROR(VLOOKUP(A243,'Exetel ExDa'!$C$2:$N$14,4,FALSE),"No Data")</f>
        <v>No Data</v>
      </c>
      <c r="C243" t="str">
        <f>IFERROR(VLOOKUP(A243,'AAPT ExDa'!$B$2:$U$99, 2,FALSE), IFERROR(VLOOKUP(A243,'ABB ExDa'!$A$2:$N$184, 2,FALSE), IFERROR(VLOOKUP(A243,'Vocus SIT ExDa'!$B$2:$J$173, 7,FALSE), IFERROR(VLOOKUP(A243,'Telstra ExDa'!$B$2:$K$310, 2,FALSE), IFERROR(VLOOKUP(A243,'Vocus RVC ExDa'!$C$2:$R$155, 3,FALSE), IFERROR(VLOOKUP(A243,'Fusion ExDa'!$B$2:$D$16, 2,FALSE), IFERROR(VLOOKUP(A243,'Exetel ExDa'!$C$2:$N$14, 2,FALSE), IFERROR(VLOOKUP(A243,'Infinet ExDa'!$B$2:$E$14, 2,FALSE), "Not Found"))))))))</f>
        <v>136 COOLAMON BVD, ELLENBROOK WA</v>
      </c>
      <c r="D243" t="str">
        <f>IFERROR(VLOOKUP($A243,'AAPT ExDa'!$B$2:$U$99, 15,FALSE), IFERROR(VLOOKUP($A243,'ABB ExDa'!$A$2:$N$184, 4,FALSE), IFERROR(VLOOKUP($A243,'Vocus SIT ExDa'!$B$2:$J$173, 5,FALSE), IFERROR(VLOOKUP($A243,'Telstra ExDa'!$B$2:$K$310, 8,FALSE), IFERROR(VLOOKUP($A243,'Vocus RVC ExDa'!$C$2:$R$155, 6,FALSE), IFERROR(VLOOKUP($A243,'Fusion ExDa'!$B$2:$D$16, 4,FALSE), IFERROR(VLOOKUP($A243,'Exetel ExDa'!$C$2:$N$14, 3,FALSE), IFERROR(VLOOKUP($A243,'Infinet ExDa'!$B$2:$E$14, 3,FALSE), "Not Found"))))))))</f>
        <v>ABB</v>
      </c>
      <c r="E243" t="str">
        <f>IFERROR(VLOOKUP($A243,'AAPT ExDa'!$B$2:$U$99, 3,FALSE), IFERROR(VLOOKUP($A243,'ABB ExDa'!$A$2:$N$184, 5,FALSE), IFERROR(VLOOKUP($A243,'Vocus SIT ExDa'!$B$2:$J$173, 2,FALSE), IFERROR(VLOOKUP($A243,'Telstra ExDa'!$B$2:$K$310, 4,FALSE), IFERROR(VLOOKUP($A243,'Vocus RVC ExDa'!$C$2:$R$155, 8,FALSE), IFERROR(VLOOKUP($A243,'Fusion ExDa'!$B$2:$D$16, 4,FALSE), IFERROR(VLOOKUP($A243,'Exetel ExDa'!$C$2:$N$14, 5,FALSE), IFERROR(VLOOKUP($A243,'Infinet ExDa'!$B$2:$E$14, 3,FALSE), "Not Found"))))))))</f>
        <v>NBN 100/40</v>
      </c>
      <c r="F243" t="str">
        <f>IFERROR(VLOOKUP($A243,'AAPT ExDa'!$B$2:$U$99, 4,FALSE), IFERROR(VLOOKUP($A243,'ABB ExDa'!$A$2:$N$184, 6,FALSE), IFERROR(VLOOKUP($A243,'Vocus SIT ExDa'!$B$2:$J$173, 3,FALSE), IFERROR(VLOOKUP($A243,'Telstra ExDa'!$B$2:$K$310, 5,FALSE), IFERROR(VLOOKUP($A243,'Vocus RVC ExDa'!$C$2:$R$155, 9,FALSE), IFERROR(VLOOKUP($A243,'Fusion ExDa'!$B$2:$D$16, 0,FALSE), IFERROR(VLOOKUP($A243,'Exetel ExDa'!$C$2:$N$14, 6,FALSE), IFERROR(VLOOKUP($A243,'Infinet ExDa'!$B$2:$E$14, 0,FALSE), "Not Found"))))))))</f>
        <v xml:space="preserve">Fibre </v>
      </c>
      <c r="G243" t="str">
        <f>IFERROR(VLOOKUP($A243,'AAPT ExDa'!$B$2:$U$99, 5,FALSE), IFERROR(VLOOKUP($A243,'ABB ExDa'!$A$2:$N$184, 8,FALSE), IFERROR(VLOOKUP($A243,'Vocus SIT ExDa'!$B$2:$J$173, 6,FALSE), IFERROR(VLOOKUP($A243,'Telstra ExDa'!$B$2:$K$310, 0,FALSE), IFERROR(VLOOKUP($A243,'Vocus RVC ExDa'!$C$2:$R$155, 15,FALSE), IFERROR(VLOOKUP($A243,'Fusion ExDa'!$B$2:$D$16, 0,FALSE), IFERROR(VLOOKUP($A243,'Exetel ExDa'!$C$2:$N$14, 7,FALSE), IFERROR(VLOOKUP($A243,'Infinet ExDa'!$B$2:$E$14, 0,FALSE), "Not Found"))))))))</f>
        <v>157.211.4.130</v>
      </c>
      <c r="H243" t="str">
        <f>IFERROR(VLOOKUP($A243,'AAPT ExDa'!$B$2:$U$99, 6,FALSE), IFERROR(VLOOKUP($A243,'ABB ExDa'!$A$2:$N$184, 0,FALSE), IFERROR(VLOOKUP($A243,'Vocus SIT ExDa'!$B$2:$J$173, 0,FALSE), IFERROR(VLOOKUP($A243,'Telstra ExDa'!$B$2:$K$310, 0,FALSE), IFERROR(VLOOKUP($A243,'Vocus RVC ExDa'!$C$2:$R$155, 16,FALSE), IFERROR(VLOOKUP($A243,'Fusion ExDa'!$B$2:$D$16, 0,FALSE), IFERROR(VLOOKUP($A243,'Exetel ExDa'!$C$2:$N$14, 0,FALSE), IFERROR(VLOOKUP($A243,'Infinet ExDa'!$B$2:$E$14, 0,FALSE), "Not Found"))))))))</f>
        <v>Not Found</v>
      </c>
      <c r="I243" t="str">
        <f>IFERROR(VLOOKUP($A243,'AAPT ExDa'!$B$2:$U$99, 0,FALSE), IFERROR(VLOOKUP($A243,'ABB ExDa'!$A$2:$N$184, 0,FALSE), IFERROR(VLOOKUP($A243,'Vocus SIT ExDa'!$B$2:$J$173, 0,FALSE), IFERROR(VLOOKUP($A243,'Telstra ExDa'!$B$2:$K$310, 0,FALSE), IFERROR(VLOOKUP($A243,'Vocus RVC ExDa'!$C$2:$R$155, 0,FALSE), IFERROR(VLOOKUP($A243,'Fusion ExDa'!$B$2:$D$16, 0,FALSE), IFERROR(VLOOKUP($A243,'Exetel ExDa'!$C$2:$N$14, 8,FALSE), IFERROR(VLOOKUP($A243,'Infinet ExDa'!$B$2:$E$14, 0,FALSE), "Not Found"))))))))</f>
        <v>Not Found</v>
      </c>
      <c r="J243" t="str">
        <f>IFERROR(VLOOKUP($A243,'AAPT ExDa'!$B$2:$U$99, 7,FALSE), IFERROR(VLOOKUP($A243,'ABB ExDa'!$A$2:$N$184, 2,FALSE), IFERROR(VLOOKUP($A243,'Vocus SIT ExDa'!$B$2:$J$173, 0,FALSE), IFERROR(VLOOKUP($A243,'Telstra ExDa'!$B$2:$K$310, 7,FALSE), IFERROR(VLOOKUP($A243,'Vocus RVC ExDa'!$C$2:$R$155, 2,FALSE), IFERROR(VLOOKUP($A243,'Fusion ExDa'!$B$2:$D$16, 3,FALSE), IFERROR(VLOOKUP($A243,'Exetel ExDa'!$C$2:$N$14, 0,FALSE), IFERROR(VLOOKUP($A243,'Infinet ExDa'!$B$2:$E$14, 0,FALSE), "Not Found"))))))))</f>
        <v>136 COOLAMON BVD, ELLENBROOK WA</v>
      </c>
      <c r="K243" t="str">
        <f>IFERROR(VLOOKUP($A243,'AAPT ExDa'!$B$2:$U$99, 12,FALSE), IFERROR(VLOOKUP($A243,'ABB ExDa'!$A$2:$N$184, 0,FALSE), IFERROR(VLOOKUP($A243,'Vocus SIT ExDa'!$B$2:$J$173, 0,FALSE), IFERROR(VLOOKUP($A243,'Telstra ExDa'!$B$2:$K$310, 0,FALSE), IFERROR(VLOOKUP($A243,'Vocus RVC ExDa'!$C$2:$R$155, 0,FALSE), IFERROR(VLOOKUP($A243,'Fusion ExDa'!$B$2:$D$16, 0,FALSE), IFERROR(VLOOKUP($A243,'Exetel ExDa'!$C$2:$N$14, 12,FALSE), IFERROR(VLOOKUP($A243,'Infinet ExDa'!$B$2:$E$14, 0,FALSE), "Not Found"))))))))</f>
        <v>Not Found</v>
      </c>
      <c r="L243" s="235" t="str">
        <f>IFERROR(VLOOKUP($A243,'AAPT ExDa'!$B$2:$U$99, 11,FALSE), IFERROR(VLOOKUP($A243,'ABB ExDa'!$A$2:$N$184, 9,FALSE), IFERROR(VLOOKUP($A243,'Vocus SIT ExDa'!$B$2:$J$173, 8,FALSE), IFERROR(VLOOKUP($A243,'Telstra ExDa'!$B$2:$K$310, 0,FALSE), IFERROR(VLOOKUP($A243,'Vocus RVC ExDa'!$C$2:$R$155, 0,FALSE), IFERROR(VLOOKUP($A243,'Fusion ExDa'!$B$2:$D$16, 0,FALSE), IFERROR(VLOOKUP($A243,'Exetel ExDa'!$C$2:$N$14, 9,FALSE), IFERROR(VLOOKUP($A243,'Infinet ExDa'!$B$2:$E$14, 0,FALSE), "Not Found"))))))))</f>
        <v>23 Oct 2025</v>
      </c>
      <c r="M243" s="234" t="str">
        <f>IFERROR(VLOOKUP($A243,'AAPT ExDa'!$B$2:$U$99, 0,FALSE), IFERROR(VLOOKUP($A243,'ABB ExDa'!$A$2:$N$184, 0,FALSE), IFERROR(VLOOKUP($A243,'Vocus SIT ExDa'!$B$2:$J$173, 0,FALSE), IFERROR(VLOOKUP($A243,'Telstra ExDa'!$B$2:$K$310, 0,FALSE), IFERROR(VLOOKUP($A243,'Vocus RVC ExDa'!$C$2:$R$155, 0,FALSE), IFERROR(VLOOKUP($A243,'Fusion ExDa'!$B$2:$D$16, 0,FALSE), IFERROR(VLOOKUP($A243,'Exetel ExDa'!$C$2:$N$14, 11,FALSE), IFERROR(VLOOKUP($A243,'Infinet ExDa'!$B$2:$E$14, 0,FALSE), "Not Found"))))))))</f>
        <v>Not Found</v>
      </c>
      <c r="N243">
        <f>IFERROR(VLOOKUP($A243,'AAPT ExDa'!$B$2:$U$99, 0,FALSE), IFERROR(VLOOKUP($A243,'ABB ExDa'!$A$2:$N$184, 13,FALSE), IFERROR(VLOOKUP($A243,'Vocus SIT ExDa'!$B$2:$J$173, 0,FALSE), IFERROR(VLOOKUP($A243,'Telstra ExDa'!$B$2:$K$310, 0,FALSE), IFERROR(VLOOKUP($A243,'Vocus RVC ExDa'!$C$2:$R$155, 0,FALSE), IFERROR(VLOOKUP($A243,'Fusion ExDa'!$B$2:$D$16, 0,FALSE), IFERROR(VLOOKUP($A243,'Exetel ExDa'!$C$2:$N$14, 0,FALSE), IFERROR(VLOOKUP($A243,'Infinet ExDa'!$B$2:$E$14, 0,FALSE), "Not Found"))))))))</f>
        <v>0</v>
      </c>
    </row>
    <row r="244" spans="1:14">
      <c r="A244" t="str">
        <v>The Yiros Shop Molendinar</v>
      </c>
      <c r="B244" t="str">
        <f>IFERROR(VLOOKUP(A244,'Exetel ExDa'!$C$2:$N$14,4,FALSE),"No Data")</f>
        <v>No Data</v>
      </c>
      <c r="C244" t="str">
        <f>IFERROR(VLOOKUP(A244,'AAPT ExDa'!$B$2:$U$99, 2,FALSE), IFERROR(VLOOKUP(A244,'ABB ExDa'!$A$2:$N$184, 2,FALSE), IFERROR(VLOOKUP(A244,'Vocus SIT ExDa'!$B$2:$J$173, 7,FALSE), IFERROR(VLOOKUP(A244,'Telstra ExDa'!$B$2:$K$310, 2,FALSE), IFERROR(VLOOKUP(A244,'Vocus RVC ExDa'!$C$2:$R$155, 3,FALSE), IFERROR(VLOOKUP(A244,'Fusion ExDa'!$B$2:$D$16, 2,FALSE), IFERROR(VLOOKUP(A244,'Exetel ExDa'!$C$2:$N$14, 2,FALSE), IFERROR(VLOOKUP(A244,'Infinet ExDa'!$B$2:$E$14, 2,FALSE), "Not Found"))))))))</f>
        <v>SHOP FAST FOOD, 383 SOUTHPORT NERANG RD, MOLENDINAR QLD</v>
      </c>
      <c r="D244" t="str">
        <f>IFERROR(VLOOKUP($A244,'AAPT ExDa'!$B$2:$U$99, 15,FALSE), IFERROR(VLOOKUP($A244,'ABB ExDa'!$A$2:$N$184, 4,FALSE), IFERROR(VLOOKUP($A244,'Vocus SIT ExDa'!$B$2:$J$173, 5,FALSE), IFERROR(VLOOKUP($A244,'Telstra ExDa'!$B$2:$K$310, 8,FALSE), IFERROR(VLOOKUP($A244,'Vocus RVC ExDa'!$C$2:$R$155, 6,FALSE), IFERROR(VLOOKUP($A244,'Fusion ExDa'!$B$2:$D$16, 4,FALSE), IFERROR(VLOOKUP($A244,'Exetel ExDa'!$C$2:$N$14, 3,FALSE), IFERROR(VLOOKUP($A244,'Infinet ExDa'!$B$2:$E$14, 3,FALSE), "Not Found"))))))))</f>
        <v>ABB</v>
      </c>
      <c r="E244" t="str">
        <f>IFERROR(VLOOKUP($A244,'AAPT ExDa'!$B$2:$U$99, 3,FALSE), IFERROR(VLOOKUP($A244,'ABB ExDa'!$A$2:$N$184, 5,FALSE), IFERROR(VLOOKUP($A244,'Vocus SIT ExDa'!$B$2:$J$173, 2,FALSE), IFERROR(VLOOKUP($A244,'Telstra ExDa'!$B$2:$K$310, 4,FALSE), IFERROR(VLOOKUP($A244,'Vocus RVC ExDa'!$C$2:$R$155, 8,FALSE), IFERROR(VLOOKUP($A244,'Fusion ExDa'!$B$2:$D$16, 4,FALSE), IFERROR(VLOOKUP($A244,'Exetel ExDa'!$C$2:$N$14, 5,FALSE), IFERROR(VLOOKUP($A244,'Infinet ExDa'!$B$2:$E$14, 3,FALSE), "Not Found"))))))))</f>
        <v>NBN 100/40</v>
      </c>
      <c r="F244" t="str">
        <f>IFERROR(VLOOKUP($A244,'AAPT ExDa'!$B$2:$U$99, 4,FALSE), IFERROR(VLOOKUP($A244,'ABB ExDa'!$A$2:$N$184, 6,FALSE), IFERROR(VLOOKUP($A244,'Vocus SIT ExDa'!$B$2:$J$173, 3,FALSE), IFERROR(VLOOKUP($A244,'Telstra ExDa'!$B$2:$K$310, 5,FALSE), IFERROR(VLOOKUP($A244,'Vocus RVC ExDa'!$C$2:$R$155, 9,FALSE), IFERROR(VLOOKUP($A244,'Fusion ExDa'!$B$2:$D$16, 0,FALSE), IFERROR(VLOOKUP($A244,'Exetel ExDa'!$C$2:$N$14, 6,FALSE), IFERROR(VLOOKUP($A244,'Infinet ExDa'!$B$2:$E$14, 0,FALSE), "Not Found"))))))))</f>
        <v xml:space="preserve">Fibre </v>
      </c>
      <c r="G244" t="str">
        <f>IFERROR(VLOOKUP($A244,'AAPT ExDa'!$B$2:$U$99, 5,FALSE), IFERROR(VLOOKUP($A244,'ABB ExDa'!$A$2:$N$184, 8,FALSE), IFERROR(VLOOKUP($A244,'Vocus SIT ExDa'!$B$2:$J$173, 6,FALSE), IFERROR(VLOOKUP($A244,'Telstra ExDa'!$B$2:$K$310, 0,FALSE), IFERROR(VLOOKUP($A244,'Vocus RVC ExDa'!$C$2:$R$155, 15,FALSE), IFERROR(VLOOKUP($A244,'Fusion ExDa'!$B$2:$D$16, 0,FALSE), IFERROR(VLOOKUP($A244,'Exetel ExDa'!$C$2:$N$14, 7,FALSE), IFERROR(VLOOKUP($A244,'Infinet ExDa'!$B$2:$E$14, 0,FALSE), "Not Found"))))))))</f>
        <v>157.211.2.255</v>
      </c>
      <c r="H244" t="str">
        <f>IFERROR(VLOOKUP($A244,'AAPT ExDa'!$B$2:$U$99, 6,FALSE), IFERROR(VLOOKUP($A244,'ABB ExDa'!$A$2:$N$184, 0,FALSE), IFERROR(VLOOKUP($A244,'Vocus SIT ExDa'!$B$2:$J$173, 0,FALSE), IFERROR(VLOOKUP($A244,'Telstra ExDa'!$B$2:$K$310, 0,FALSE), IFERROR(VLOOKUP($A244,'Vocus RVC ExDa'!$C$2:$R$155, 16,FALSE), IFERROR(VLOOKUP($A244,'Fusion ExDa'!$B$2:$D$16, 0,FALSE), IFERROR(VLOOKUP($A244,'Exetel ExDa'!$C$2:$N$14, 0,FALSE), IFERROR(VLOOKUP($A244,'Infinet ExDa'!$B$2:$E$14, 0,FALSE), "Not Found"))))))))</f>
        <v>Not Found</v>
      </c>
      <c r="I244" t="str">
        <f>IFERROR(VLOOKUP($A244,'AAPT ExDa'!$B$2:$U$99, 0,FALSE), IFERROR(VLOOKUP($A244,'ABB ExDa'!$A$2:$N$184, 0,FALSE), IFERROR(VLOOKUP($A244,'Vocus SIT ExDa'!$B$2:$J$173, 0,FALSE), IFERROR(VLOOKUP($A244,'Telstra ExDa'!$B$2:$K$310, 0,FALSE), IFERROR(VLOOKUP($A244,'Vocus RVC ExDa'!$C$2:$R$155, 0,FALSE), IFERROR(VLOOKUP($A244,'Fusion ExDa'!$B$2:$D$16, 0,FALSE), IFERROR(VLOOKUP($A244,'Exetel ExDa'!$C$2:$N$14, 8,FALSE), IFERROR(VLOOKUP($A244,'Infinet ExDa'!$B$2:$E$14, 0,FALSE), "Not Found"))))))))</f>
        <v>Not Found</v>
      </c>
      <c r="J244" t="str">
        <f>IFERROR(VLOOKUP($A244,'AAPT ExDa'!$B$2:$U$99, 7,FALSE), IFERROR(VLOOKUP($A244,'ABB ExDa'!$A$2:$N$184, 2,FALSE), IFERROR(VLOOKUP($A244,'Vocus SIT ExDa'!$B$2:$J$173, 0,FALSE), IFERROR(VLOOKUP($A244,'Telstra ExDa'!$B$2:$K$310, 7,FALSE), IFERROR(VLOOKUP($A244,'Vocus RVC ExDa'!$C$2:$R$155, 2,FALSE), IFERROR(VLOOKUP($A244,'Fusion ExDa'!$B$2:$D$16, 3,FALSE), IFERROR(VLOOKUP($A244,'Exetel ExDa'!$C$2:$N$14, 0,FALSE), IFERROR(VLOOKUP($A244,'Infinet ExDa'!$B$2:$E$14, 0,FALSE), "Not Found"))))))))</f>
        <v>SHOP FAST FOOD, 383 SOUTHPORT NERANG RD, MOLENDINAR QLD</v>
      </c>
      <c r="K244" t="str">
        <f>IFERROR(VLOOKUP($A244,'AAPT ExDa'!$B$2:$U$99, 12,FALSE), IFERROR(VLOOKUP($A244,'ABB ExDa'!$A$2:$N$184, 0,FALSE), IFERROR(VLOOKUP($A244,'Vocus SIT ExDa'!$B$2:$J$173, 0,FALSE), IFERROR(VLOOKUP($A244,'Telstra ExDa'!$B$2:$K$310, 0,FALSE), IFERROR(VLOOKUP($A244,'Vocus RVC ExDa'!$C$2:$R$155, 0,FALSE), IFERROR(VLOOKUP($A244,'Fusion ExDa'!$B$2:$D$16, 0,FALSE), IFERROR(VLOOKUP($A244,'Exetel ExDa'!$C$2:$N$14, 12,FALSE), IFERROR(VLOOKUP($A244,'Infinet ExDa'!$B$2:$E$14, 0,FALSE), "Not Found"))))))))</f>
        <v>Not Found</v>
      </c>
      <c r="L244" s="235" t="str">
        <f>IFERROR(VLOOKUP($A244,'AAPT ExDa'!$B$2:$U$99, 11,FALSE), IFERROR(VLOOKUP($A244,'ABB ExDa'!$A$2:$N$184, 9,FALSE), IFERROR(VLOOKUP($A244,'Vocus SIT ExDa'!$B$2:$J$173, 8,FALSE), IFERROR(VLOOKUP($A244,'Telstra ExDa'!$B$2:$K$310, 0,FALSE), IFERROR(VLOOKUP($A244,'Vocus RVC ExDa'!$C$2:$R$155, 0,FALSE), IFERROR(VLOOKUP($A244,'Fusion ExDa'!$B$2:$D$16, 0,FALSE), IFERROR(VLOOKUP($A244,'Exetel ExDa'!$C$2:$N$14, 9,FALSE), IFERROR(VLOOKUP($A244,'Infinet ExDa'!$B$2:$E$14, 0,FALSE), "Not Found"))))))))</f>
        <v>27 Oct 2025</v>
      </c>
      <c r="M244" s="234" t="str">
        <f>IFERROR(VLOOKUP($A244,'AAPT ExDa'!$B$2:$U$99, 0,FALSE), IFERROR(VLOOKUP($A244,'ABB ExDa'!$A$2:$N$184, 0,FALSE), IFERROR(VLOOKUP($A244,'Vocus SIT ExDa'!$B$2:$J$173, 0,FALSE), IFERROR(VLOOKUP($A244,'Telstra ExDa'!$B$2:$K$310, 0,FALSE), IFERROR(VLOOKUP($A244,'Vocus RVC ExDa'!$C$2:$R$155, 0,FALSE), IFERROR(VLOOKUP($A244,'Fusion ExDa'!$B$2:$D$16, 0,FALSE), IFERROR(VLOOKUP($A244,'Exetel ExDa'!$C$2:$N$14, 11,FALSE), IFERROR(VLOOKUP($A244,'Infinet ExDa'!$B$2:$E$14, 0,FALSE), "Not Found"))))))))</f>
        <v>Not Found</v>
      </c>
      <c r="N244" t="str">
        <f>IFERROR(VLOOKUP($A244,'AAPT ExDa'!$B$2:$U$99, 0,FALSE), IFERROR(VLOOKUP($A244,'ABB ExDa'!$A$2:$N$184, 13,FALSE), IFERROR(VLOOKUP($A244,'Vocus SIT ExDa'!$B$2:$J$173, 0,FALSE), IFERROR(VLOOKUP($A244,'Telstra ExDa'!$B$2:$K$310, 0,FALSE), IFERROR(VLOOKUP($A244,'Vocus RVC ExDa'!$C$2:$R$155, 0,FALSE), IFERROR(VLOOKUP($A244,'Fusion ExDa'!$B$2:$D$16, 0,FALSE), IFERROR(VLOOKUP($A244,'Exetel ExDa'!$C$2:$N$14, 0,FALSE), IFERROR(VLOOKUP($A244,'Infinet ExDa'!$B$2:$E$14, 0,FALSE), "Not Found"))))))))</f>
        <v>Onebill</v>
      </c>
    </row>
    <row r="245" spans="1:14">
      <c r="A245" t="str">
        <v xml:space="preserve">Zambrero Brabham	</v>
      </c>
      <c r="B245" t="str">
        <f>IFERROR(VLOOKUP(A245,'Exetel ExDa'!$C$2:$N$14,4,FALSE),"No Data")</f>
        <v>No Data</v>
      </c>
      <c r="C245" t="str">
        <f>IFERROR(VLOOKUP(A245,'AAPT ExDa'!$B$2:$U$99, 2,FALSE), IFERROR(VLOOKUP(A245,'ABB ExDa'!$A$2:$N$184, 2,FALSE), IFERROR(VLOOKUP(A245,'Vocus SIT ExDa'!$B$2:$J$173, 7,FALSE), IFERROR(VLOOKUP(A245,'Telstra ExDa'!$B$2:$K$310, 2,FALSE), IFERROR(VLOOKUP(A245,'Vocus RVC ExDa'!$C$2:$R$155, 3,FALSE), IFERROR(VLOOKUP(A245,'Fusion ExDa'!$B$2:$D$16, 2,FALSE), IFERROR(VLOOKUP(A245,'Exetel ExDa'!$C$2:$N$14, 2,FALSE), IFERROR(VLOOKUP(A245,'Infinet ExDa'!$B$2:$E$14, 2,FALSE), "Not Found"))))))))</f>
        <v>TNCY 8, 100 EVERGLADES AV, BRABHAM WA</v>
      </c>
      <c r="D245" t="str">
        <f>IFERROR(VLOOKUP($A245,'AAPT ExDa'!$B$2:$U$99, 15,FALSE), IFERROR(VLOOKUP($A245,'ABB ExDa'!$A$2:$N$184, 4,FALSE), IFERROR(VLOOKUP($A245,'Vocus SIT ExDa'!$B$2:$J$173, 5,FALSE), IFERROR(VLOOKUP($A245,'Telstra ExDa'!$B$2:$K$310, 8,FALSE), IFERROR(VLOOKUP($A245,'Vocus RVC ExDa'!$C$2:$R$155, 6,FALSE), IFERROR(VLOOKUP($A245,'Fusion ExDa'!$B$2:$D$16, 4,FALSE), IFERROR(VLOOKUP($A245,'Exetel ExDa'!$C$2:$N$14, 3,FALSE), IFERROR(VLOOKUP($A245,'Infinet ExDa'!$B$2:$E$14, 3,FALSE), "Not Found"))))))))</f>
        <v>ABB</v>
      </c>
      <c r="E245" t="str">
        <f>IFERROR(VLOOKUP($A245,'AAPT ExDa'!$B$2:$U$99, 3,FALSE), IFERROR(VLOOKUP($A245,'ABB ExDa'!$A$2:$N$184, 5,FALSE), IFERROR(VLOOKUP($A245,'Vocus SIT ExDa'!$B$2:$J$173, 2,FALSE), IFERROR(VLOOKUP($A245,'Telstra ExDa'!$B$2:$K$310, 4,FALSE), IFERROR(VLOOKUP($A245,'Vocus RVC ExDa'!$C$2:$R$155, 8,FALSE), IFERROR(VLOOKUP($A245,'Fusion ExDa'!$B$2:$D$16, 4,FALSE), IFERROR(VLOOKUP($A245,'Exetel ExDa'!$C$2:$N$14, 5,FALSE), IFERROR(VLOOKUP($A245,'Infinet ExDa'!$B$2:$E$14, 3,FALSE), "Not Found"))))))))</f>
        <v>NBN 25/10</v>
      </c>
      <c r="F245" t="str">
        <f>IFERROR(VLOOKUP($A245,'AAPT ExDa'!$B$2:$U$99, 4,FALSE), IFERROR(VLOOKUP($A245,'ABB ExDa'!$A$2:$N$184, 6,FALSE), IFERROR(VLOOKUP($A245,'Vocus SIT ExDa'!$B$2:$J$173, 3,FALSE), IFERROR(VLOOKUP($A245,'Telstra ExDa'!$B$2:$K$310, 5,FALSE), IFERROR(VLOOKUP($A245,'Vocus RVC ExDa'!$C$2:$R$155, 9,FALSE), IFERROR(VLOOKUP($A245,'Fusion ExDa'!$B$2:$D$16, 0,FALSE), IFERROR(VLOOKUP($A245,'Exetel ExDa'!$C$2:$N$14, 6,FALSE), IFERROR(VLOOKUP($A245,'Infinet ExDa'!$B$2:$E$14, 0,FALSE), "Not Found"))))))))</f>
        <v xml:space="preserve">Fibre </v>
      </c>
      <c r="G245" t="str">
        <f>IFERROR(VLOOKUP($A245,'AAPT ExDa'!$B$2:$U$99, 5,FALSE), IFERROR(VLOOKUP($A245,'ABB ExDa'!$A$2:$N$184, 8,FALSE), IFERROR(VLOOKUP($A245,'Vocus SIT ExDa'!$B$2:$J$173, 6,FALSE), IFERROR(VLOOKUP($A245,'Telstra ExDa'!$B$2:$K$310, 0,FALSE), IFERROR(VLOOKUP($A245,'Vocus RVC ExDa'!$C$2:$R$155, 15,FALSE), IFERROR(VLOOKUP($A245,'Fusion ExDa'!$B$2:$D$16, 0,FALSE), IFERROR(VLOOKUP($A245,'Exetel ExDa'!$C$2:$N$14, 7,FALSE), IFERROR(VLOOKUP($A245,'Infinet ExDa'!$B$2:$E$14, 0,FALSE), "Not Found"))))))))</f>
        <v>144.6.136.50</v>
      </c>
      <c r="H245" t="str">
        <f>IFERROR(VLOOKUP($A245,'AAPT ExDa'!$B$2:$U$99, 6,FALSE), IFERROR(VLOOKUP($A245,'ABB ExDa'!$A$2:$N$184, 0,FALSE), IFERROR(VLOOKUP($A245,'Vocus SIT ExDa'!$B$2:$J$173, 0,FALSE), IFERROR(VLOOKUP($A245,'Telstra ExDa'!$B$2:$K$310, 0,FALSE), IFERROR(VLOOKUP($A245,'Vocus RVC ExDa'!$C$2:$R$155, 16,FALSE), IFERROR(VLOOKUP($A245,'Fusion ExDa'!$B$2:$D$16, 0,FALSE), IFERROR(VLOOKUP($A245,'Exetel ExDa'!$C$2:$N$14, 0,FALSE), IFERROR(VLOOKUP($A245,'Infinet ExDa'!$B$2:$E$14, 0,FALSE), "Not Found"))))))))</f>
        <v>Not Found</v>
      </c>
      <c r="I245" t="str">
        <f>IFERROR(VLOOKUP($A245,'AAPT ExDa'!$B$2:$U$99, 0,FALSE), IFERROR(VLOOKUP($A245,'ABB ExDa'!$A$2:$N$184, 0,FALSE), IFERROR(VLOOKUP($A245,'Vocus SIT ExDa'!$B$2:$J$173, 0,FALSE), IFERROR(VLOOKUP($A245,'Telstra ExDa'!$B$2:$K$310, 0,FALSE), IFERROR(VLOOKUP($A245,'Vocus RVC ExDa'!$C$2:$R$155, 0,FALSE), IFERROR(VLOOKUP($A245,'Fusion ExDa'!$B$2:$D$16, 0,FALSE), IFERROR(VLOOKUP($A245,'Exetel ExDa'!$C$2:$N$14, 8,FALSE), IFERROR(VLOOKUP($A245,'Infinet ExDa'!$B$2:$E$14, 0,FALSE), "Not Found"))))))))</f>
        <v>Not Found</v>
      </c>
      <c r="J245" t="str">
        <f>IFERROR(VLOOKUP($A245,'AAPT ExDa'!$B$2:$U$99, 7,FALSE), IFERROR(VLOOKUP($A245,'ABB ExDa'!$A$2:$N$184, 2,FALSE), IFERROR(VLOOKUP($A245,'Vocus SIT ExDa'!$B$2:$J$173, 0,FALSE), IFERROR(VLOOKUP($A245,'Telstra ExDa'!$B$2:$K$310, 7,FALSE), IFERROR(VLOOKUP($A245,'Vocus RVC ExDa'!$C$2:$R$155, 2,FALSE), IFERROR(VLOOKUP($A245,'Fusion ExDa'!$B$2:$D$16, 3,FALSE), IFERROR(VLOOKUP($A245,'Exetel ExDa'!$C$2:$N$14, 0,FALSE), IFERROR(VLOOKUP($A245,'Infinet ExDa'!$B$2:$E$14, 0,FALSE), "Not Found"))))))))</f>
        <v>TNCY 8, 100 EVERGLADES AV, BRABHAM WA</v>
      </c>
      <c r="K245" t="str">
        <f>IFERROR(VLOOKUP($A245,'AAPT ExDa'!$B$2:$U$99, 12,FALSE), IFERROR(VLOOKUP($A245,'ABB ExDa'!$A$2:$N$184, 0,FALSE), IFERROR(VLOOKUP($A245,'Vocus SIT ExDa'!$B$2:$J$173, 0,FALSE), IFERROR(VLOOKUP($A245,'Telstra ExDa'!$B$2:$K$310, 0,FALSE), IFERROR(VLOOKUP($A245,'Vocus RVC ExDa'!$C$2:$R$155, 0,FALSE), IFERROR(VLOOKUP($A245,'Fusion ExDa'!$B$2:$D$16, 0,FALSE), IFERROR(VLOOKUP($A245,'Exetel ExDa'!$C$2:$N$14, 12,FALSE), IFERROR(VLOOKUP($A245,'Infinet ExDa'!$B$2:$E$14, 0,FALSE), "Not Found"))))))))</f>
        <v>Not Found</v>
      </c>
      <c r="L245" s="235" t="str">
        <f>IFERROR(VLOOKUP($A245,'AAPT ExDa'!$B$2:$U$99, 11,FALSE), IFERROR(VLOOKUP($A245,'ABB ExDa'!$A$2:$N$184, 9,FALSE), IFERROR(VLOOKUP($A245,'Vocus SIT ExDa'!$B$2:$J$173, 8,FALSE), IFERROR(VLOOKUP($A245,'Telstra ExDa'!$B$2:$K$310, 0,FALSE), IFERROR(VLOOKUP($A245,'Vocus RVC ExDa'!$C$2:$R$155, 0,FALSE), IFERROR(VLOOKUP($A245,'Fusion ExDa'!$B$2:$D$16, 0,FALSE), IFERROR(VLOOKUP($A245,'Exetel ExDa'!$C$2:$N$14, 9,FALSE), IFERROR(VLOOKUP($A245,'Infinet ExDa'!$B$2:$E$14, 0,FALSE), "Not Found"))))))))</f>
        <v>28 Oct 2025</v>
      </c>
      <c r="M245" s="234" t="str">
        <f>IFERROR(VLOOKUP($A245,'AAPT ExDa'!$B$2:$U$99, 0,FALSE), IFERROR(VLOOKUP($A245,'ABB ExDa'!$A$2:$N$184, 0,FALSE), IFERROR(VLOOKUP($A245,'Vocus SIT ExDa'!$B$2:$J$173, 0,FALSE), IFERROR(VLOOKUP($A245,'Telstra ExDa'!$B$2:$K$310, 0,FALSE), IFERROR(VLOOKUP($A245,'Vocus RVC ExDa'!$C$2:$R$155, 0,FALSE), IFERROR(VLOOKUP($A245,'Fusion ExDa'!$B$2:$D$16, 0,FALSE), IFERROR(VLOOKUP($A245,'Exetel ExDa'!$C$2:$N$14, 11,FALSE), IFERROR(VLOOKUP($A245,'Infinet ExDa'!$B$2:$E$14, 0,FALSE), "Not Found"))))))))</f>
        <v>Not Found</v>
      </c>
      <c r="N245" t="str">
        <f>IFERROR(VLOOKUP($A245,'AAPT ExDa'!$B$2:$U$99, 0,FALSE), IFERROR(VLOOKUP($A245,'ABB ExDa'!$A$2:$N$184, 13,FALSE), IFERROR(VLOOKUP($A245,'Vocus SIT ExDa'!$B$2:$J$173, 0,FALSE), IFERROR(VLOOKUP($A245,'Telstra ExDa'!$B$2:$K$310, 0,FALSE), IFERROR(VLOOKUP($A245,'Vocus RVC ExDa'!$C$2:$R$155, 0,FALSE), IFERROR(VLOOKUP($A245,'Fusion ExDa'!$B$2:$D$16, 0,FALSE), IFERROR(VLOOKUP($A245,'Exetel ExDa'!$C$2:$N$14, 0,FALSE), IFERROR(VLOOKUP($A245,'Infinet ExDa'!$B$2:$E$14, 0,FALSE), "Not Found"))))))))</f>
        <v>Onebill</v>
      </c>
    </row>
    <row r="246" spans="1:14">
      <c r="A246" t="str">
        <v>Sparrow Early Learning Alkimos</v>
      </c>
      <c r="B246" t="str">
        <f>IFERROR(VLOOKUP(A246,'Exetel ExDa'!$C$2:$N$14,4,FALSE),"No Data")</f>
        <v>No Data</v>
      </c>
      <c r="C246" t="str">
        <f>IFERROR(VLOOKUP(A246,'AAPT ExDa'!$B$2:$U$99, 2,FALSE), IFERROR(VLOOKUP(A246,'ABB ExDa'!$A$2:$N$184, 2,FALSE), IFERROR(VLOOKUP(A246,'Vocus SIT ExDa'!$B$2:$J$173, 7,FALSE), IFERROR(VLOOKUP(A246,'Telstra ExDa'!$B$2:$K$310, 2,FALSE), IFERROR(VLOOKUP(A246,'Vocus RVC ExDa'!$C$2:$R$155, 3,FALSE), IFERROR(VLOOKUP(A246,'Fusion ExDa'!$B$2:$D$16, 2,FALSE), IFERROR(VLOOKUP(A246,'Exetel ExDa'!$C$2:$N$14, 2,FALSE), IFERROR(VLOOKUP(A246,'Infinet ExDa'!$B$2:$E$14, 2,FALSE), "Not Found"))))))))</f>
        <v xml:space="preserve"> Unit 3, 3 BULWARK AVENUE, ALKIMOS WA </v>
      </c>
      <c r="D246" t="str">
        <f>IFERROR(VLOOKUP($A246,'AAPT ExDa'!$B$2:$U$99, 15,FALSE), IFERROR(VLOOKUP($A246,'ABB ExDa'!$A$2:$N$184, 4,FALSE), IFERROR(VLOOKUP($A246,'Vocus SIT ExDa'!$B$2:$J$173, 5,FALSE), IFERROR(VLOOKUP($A246,'Telstra ExDa'!$B$2:$K$310, 8,FALSE), IFERROR(VLOOKUP($A246,'Vocus RVC ExDa'!$C$2:$R$155, 6,FALSE), IFERROR(VLOOKUP($A246,'Fusion ExDa'!$B$2:$D$16, 4,FALSE), IFERROR(VLOOKUP($A246,'Exetel ExDa'!$C$2:$N$14, 3,FALSE), IFERROR(VLOOKUP($A246,'Infinet ExDa'!$B$2:$E$14, 3,FALSE), "Not Found"))))))))</f>
        <v>ABB</v>
      </c>
      <c r="E246" t="str">
        <f>IFERROR(VLOOKUP($A246,'AAPT ExDa'!$B$2:$U$99, 3,FALSE), IFERROR(VLOOKUP($A246,'ABB ExDa'!$A$2:$N$184, 5,FALSE), IFERROR(VLOOKUP($A246,'Vocus SIT ExDa'!$B$2:$J$173, 2,FALSE), IFERROR(VLOOKUP($A246,'Telstra ExDa'!$B$2:$K$310, 4,FALSE), IFERROR(VLOOKUP($A246,'Vocus RVC ExDa'!$C$2:$R$155, 8,FALSE), IFERROR(VLOOKUP($A246,'Fusion ExDa'!$B$2:$D$16, 4,FALSE), IFERROR(VLOOKUP($A246,'Exetel ExDa'!$C$2:$N$14, 5,FALSE), IFERROR(VLOOKUP($A246,'Infinet ExDa'!$B$2:$E$14, 3,FALSE), "Not Found"))))))))</f>
        <v>Opticomm 100/20</v>
      </c>
      <c r="F246" t="str">
        <f>IFERROR(VLOOKUP($A246,'AAPT ExDa'!$B$2:$U$99, 4,FALSE), IFERROR(VLOOKUP($A246,'ABB ExDa'!$A$2:$N$184, 6,FALSE), IFERROR(VLOOKUP($A246,'Vocus SIT ExDa'!$B$2:$J$173, 3,FALSE), IFERROR(VLOOKUP($A246,'Telstra ExDa'!$B$2:$K$310, 5,FALSE), IFERROR(VLOOKUP($A246,'Vocus RVC ExDa'!$C$2:$R$155, 9,FALSE), IFERROR(VLOOKUP($A246,'Fusion ExDa'!$B$2:$D$16, 0,FALSE), IFERROR(VLOOKUP($A246,'Exetel ExDa'!$C$2:$N$14, 6,FALSE), IFERROR(VLOOKUP($A246,'Infinet ExDa'!$B$2:$E$14, 0,FALSE), "Not Found"))))))))</f>
        <v>159.196.138.252</v>
      </c>
      <c r="G246">
        <f>IFERROR(VLOOKUP($A246,'AAPT ExDa'!$B$2:$U$99, 5,FALSE), IFERROR(VLOOKUP($A246,'ABB ExDa'!$A$2:$N$184, 8,FALSE), IFERROR(VLOOKUP($A246,'Vocus SIT ExDa'!$B$2:$J$173, 6,FALSE), IFERROR(VLOOKUP($A246,'Telstra ExDa'!$B$2:$K$310, 0,FALSE), IFERROR(VLOOKUP($A246,'Vocus RVC ExDa'!$C$2:$R$155, 15,FALSE), IFERROR(VLOOKUP($A246,'Fusion ExDa'!$B$2:$D$16, 0,FALSE), IFERROR(VLOOKUP($A246,'Exetel ExDa'!$C$2:$N$14, 7,FALSE), IFERROR(VLOOKUP($A246,'Infinet ExDa'!$B$2:$E$14, 0,FALSE), "Not Found"))))))))</f>
        <v>0</v>
      </c>
      <c r="H246" t="str">
        <f>IFERROR(VLOOKUP($A246,'AAPT ExDa'!$B$2:$U$99, 6,FALSE), IFERROR(VLOOKUP($A246,'ABB ExDa'!$A$2:$N$184, 0,FALSE), IFERROR(VLOOKUP($A246,'Vocus SIT ExDa'!$B$2:$J$173, 0,FALSE), IFERROR(VLOOKUP($A246,'Telstra ExDa'!$B$2:$K$310, 0,FALSE), IFERROR(VLOOKUP($A246,'Vocus RVC ExDa'!$C$2:$R$155, 16,FALSE), IFERROR(VLOOKUP($A246,'Fusion ExDa'!$B$2:$D$16, 0,FALSE), IFERROR(VLOOKUP($A246,'Exetel ExDa'!$C$2:$N$14, 0,FALSE), IFERROR(VLOOKUP($A246,'Infinet ExDa'!$B$2:$E$14, 0,FALSE), "Not Found"))))))))</f>
        <v>Not Found</v>
      </c>
      <c r="I246" t="str">
        <f>IFERROR(VLOOKUP($A246,'AAPT ExDa'!$B$2:$U$99, 0,FALSE), IFERROR(VLOOKUP($A246,'ABB ExDa'!$A$2:$N$184, 0,FALSE), IFERROR(VLOOKUP($A246,'Vocus SIT ExDa'!$B$2:$J$173, 0,FALSE), IFERROR(VLOOKUP($A246,'Telstra ExDa'!$B$2:$K$310, 0,FALSE), IFERROR(VLOOKUP($A246,'Vocus RVC ExDa'!$C$2:$R$155, 0,FALSE), IFERROR(VLOOKUP($A246,'Fusion ExDa'!$B$2:$D$16, 0,FALSE), IFERROR(VLOOKUP($A246,'Exetel ExDa'!$C$2:$N$14, 8,FALSE), IFERROR(VLOOKUP($A246,'Infinet ExDa'!$B$2:$E$14, 0,FALSE), "Not Found"))))))))</f>
        <v>Not Found</v>
      </c>
      <c r="J246" t="str">
        <f>IFERROR(VLOOKUP($A246,'AAPT ExDa'!$B$2:$U$99, 7,FALSE), IFERROR(VLOOKUP($A246,'ABB ExDa'!$A$2:$N$184, 2,FALSE), IFERROR(VLOOKUP($A246,'Vocus SIT ExDa'!$B$2:$J$173, 0,FALSE), IFERROR(VLOOKUP($A246,'Telstra ExDa'!$B$2:$K$310, 7,FALSE), IFERROR(VLOOKUP($A246,'Vocus RVC ExDa'!$C$2:$R$155, 2,FALSE), IFERROR(VLOOKUP($A246,'Fusion ExDa'!$B$2:$D$16, 3,FALSE), IFERROR(VLOOKUP($A246,'Exetel ExDa'!$C$2:$N$14, 0,FALSE), IFERROR(VLOOKUP($A246,'Infinet ExDa'!$B$2:$E$14, 0,FALSE), "Not Found"))))))))</f>
        <v xml:space="preserve"> Unit 3, 3 BULWARK AVENUE, ALKIMOS WA </v>
      </c>
      <c r="K246" t="str">
        <f>IFERROR(VLOOKUP($A246,'AAPT ExDa'!$B$2:$U$99, 12,FALSE), IFERROR(VLOOKUP($A246,'ABB ExDa'!$A$2:$N$184, 0,FALSE), IFERROR(VLOOKUP($A246,'Vocus SIT ExDa'!$B$2:$J$173, 0,FALSE), IFERROR(VLOOKUP($A246,'Telstra ExDa'!$B$2:$K$310, 0,FALSE), IFERROR(VLOOKUP($A246,'Vocus RVC ExDa'!$C$2:$R$155, 0,FALSE), IFERROR(VLOOKUP($A246,'Fusion ExDa'!$B$2:$D$16, 0,FALSE), IFERROR(VLOOKUP($A246,'Exetel ExDa'!$C$2:$N$14, 12,FALSE), IFERROR(VLOOKUP($A246,'Infinet ExDa'!$B$2:$E$14, 0,FALSE), "Not Found"))))))))</f>
        <v>Not Found</v>
      </c>
      <c r="L246" s="235">
        <f>IFERROR(VLOOKUP($A246,'AAPT ExDa'!$B$2:$U$99, 11,FALSE), IFERROR(VLOOKUP($A246,'ABB ExDa'!$A$2:$N$184, 9,FALSE), IFERROR(VLOOKUP($A246,'Vocus SIT ExDa'!$B$2:$J$173, 8,FALSE), IFERROR(VLOOKUP($A246,'Telstra ExDa'!$B$2:$K$310, 0,FALSE), IFERROR(VLOOKUP($A246,'Vocus RVC ExDa'!$C$2:$R$155, 0,FALSE), IFERROR(VLOOKUP($A246,'Fusion ExDa'!$B$2:$D$16, 0,FALSE), IFERROR(VLOOKUP($A246,'Exetel ExDa'!$C$2:$N$14, 9,FALSE), IFERROR(VLOOKUP($A246,'Infinet ExDa'!$B$2:$E$14, 0,FALSE), "Not Found"))))))))</f>
        <v>0</v>
      </c>
      <c r="M246" s="234" t="str">
        <f>IFERROR(VLOOKUP($A246,'AAPT ExDa'!$B$2:$U$99, 0,FALSE), IFERROR(VLOOKUP($A246,'ABB ExDa'!$A$2:$N$184, 0,FALSE), IFERROR(VLOOKUP($A246,'Vocus SIT ExDa'!$B$2:$J$173, 0,FALSE), IFERROR(VLOOKUP($A246,'Telstra ExDa'!$B$2:$K$310, 0,FALSE), IFERROR(VLOOKUP($A246,'Vocus RVC ExDa'!$C$2:$R$155, 0,FALSE), IFERROR(VLOOKUP($A246,'Fusion ExDa'!$B$2:$D$16, 0,FALSE), IFERROR(VLOOKUP($A246,'Exetel ExDa'!$C$2:$N$14, 11,FALSE), IFERROR(VLOOKUP($A246,'Infinet ExDa'!$B$2:$E$14, 0,FALSE), "Not Found"))))))))</f>
        <v>Not Found</v>
      </c>
      <c r="N246">
        <f>IFERROR(VLOOKUP($A246,'AAPT ExDa'!$B$2:$U$99, 0,FALSE), IFERROR(VLOOKUP($A246,'ABB ExDa'!$A$2:$N$184, 13,FALSE), IFERROR(VLOOKUP($A246,'Vocus SIT ExDa'!$B$2:$J$173, 0,FALSE), IFERROR(VLOOKUP($A246,'Telstra ExDa'!$B$2:$K$310, 0,FALSE), IFERROR(VLOOKUP($A246,'Vocus RVC ExDa'!$C$2:$R$155, 0,FALSE), IFERROR(VLOOKUP($A246,'Fusion ExDa'!$B$2:$D$16, 0,FALSE), IFERROR(VLOOKUP($A246,'Exetel ExDa'!$C$2:$N$14, 0,FALSE), IFERROR(VLOOKUP($A246,'Infinet ExDa'!$B$2:$E$14, 0,FALSE), "Not Found"))))))))</f>
        <v>0</v>
      </c>
    </row>
    <row r="247" spans="1:14">
      <c r="A247" t="str">
        <v xml:space="preserve">Healthy Dynamics </v>
      </c>
      <c r="B247" t="str">
        <f>IFERROR(VLOOKUP(A247,'Exetel ExDa'!$C$2:$N$14,4,FALSE),"No Data")</f>
        <v>No Data</v>
      </c>
      <c r="C247" t="str">
        <f>IFERROR(VLOOKUP(A247,'AAPT ExDa'!$B$2:$U$99, 2,FALSE), IFERROR(VLOOKUP(A247,'ABB ExDa'!$A$2:$N$184, 2,FALSE), IFERROR(VLOOKUP(A247,'Vocus SIT ExDa'!$B$2:$J$173, 7,FALSE), IFERROR(VLOOKUP(A247,'Telstra ExDa'!$B$2:$K$310, 2,FALSE), IFERROR(VLOOKUP(A247,'Vocus RVC ExDa'!$C$2:$R$155, 3,FALSE), IFERROR(VLOOKUP(A247,'Fusion ExDa'!$B$2:$D$16, 2,FALSE), IFERROR(VLOOKUP(A247,'Exetel ExDa'!$C$2:$N$14, 2,FALSE), IFERROR(VLOOKUP(A247,'Infinet ExDa'!$B$2:$E$14, 2,FALSE), "Not Found"))))))))</f>
        <v>Unit 1, 304 MONTAGUE ROAD, WEST END QLD</v>
      </c>
      <c r="D247" t="str">
        <f>IFERROR(VLOOKUP($A247,'AAPT ExDa'!$B$2:$U$99, 15,FALSE), IFERROR(VLOOKUP($A247,'ABB ExDa'!$A$2:$N$184, 4,FALSE), IFERROR(VLOOKUP($A247,'Vocus SIT ExDa'!$B$2:$J$173, 5,FALSE), IFERROR(VLOOKUP($A247,'Telstra ExDa'!$B$2:$K$310, 8,FALSE), IFERROR(VLOOKUP($A247,'Vocus RVC ExDa'!$C$2:$R$155, 6,FALSE), IFERROR(VLOOKUP($A247,'Fusion ExDa'!$B$2:$D$16, 4,FALSE), IFERROR(VLOOKUP($A247,'Exetel ExDa'!$C$2:$N$14, 3,FALSE), IFERROR(VLOOKUP($A247,'Infinet ExDa'!$B$2:$E$14, 3,FALSE), "Not Found"))))))))</f>
        <v>ABB</v>
      </c>
      <c r="E247" t="str">
        <f>IFERROR(VLOOKUP($A247,'AAPT ExDa'!$B$2:$U$99, 3,FALSE), IFERROR(VLOOKUP($A247,'ABB ExDa'!$A$2:$N$184, 5,FALSE), IFERROR(VLOOKUP($A247,'Vocus SIT ExDa'!$B$2:$J$173, 2,FALSE), IFERROR(VLOOKUP($A247,'Telstra ExDa'!$B$2:$K$310, 4,FALSE), IFERROR(VLOOKUP($A247,'Vocus RVC ExDa'!$C$2:$R$155, 8,FALSE), IFERROR(VLOOKUP($A247,'Fusion ExDa'!$B$2:$D$16, 4,FALSE), IFERROR(VLOOKUP($A247,'Exetel ExDa'!$C$2:$N$14, 5,FALSE), IFERROR(VLOOKUP($A247,'Infinet ExDa'!$B$2:$E$14, 3,FALSE), "Not Found"))))))))</f>
        <v>Opticomm 100/40</v>
      </c>
      <c r="F247" t="str">
        <f>IFERROR(VLOOKUP($A247,'AAPT ExDa'!$B$2:$U$99, 4,FALSE), IFERROR(VLOOKUP($A247,'ABB ExDa'!$A$2:$N$184, 6,FALSE), IFERROR(VLOOKUP($A247,'Vocus SIT ExDa'!$B$2:$J$173, 3,FALSE), IFERROR(VLOOKUP($A247,'Telstra ExDa'!$B$2:$K$310, 5,FALSE), IFERROR(VLOOKUP($A247,'Vocus RVC ExDa'!$C$2:$R$155, 9,FALSE), IFERROR(VLOOKUP($A247,'Fusion ExDa'!$B$2:$D$16, 0,FALSE), IFERROR(VLOOKUP($A247,'Exetel ExDa'!$C$2:$N$14, 6,FALSE), IFERROR(VLOOKUP($A247,'Infinet ExDa'!$B$2:$E$14, 0,FALSE), "Not Found"))))))))</f>
        <v>167.179.181.116</v>
      </c>
      <c r="G247">
        <f>IFERROR(VLOOKUP($A247,'AAPT ExDa'!$B$2:$U$99, 5,FALSE), IFERROR(VLOOKUP($A247,'ABB ExDa'!$A$2:$N$184, 8,FALSE), IFERROR(VLOOKUP($A247,'Vocus SIT ExDa'!$B$2:$J$173, 6,FALSE), IFERROR(VLOOKUP($A247,'Telstra ExDa'!$B$2:$K$310, 0,FALSE), IFERROR(VLOOKUP($A247,'Vocus RVC ExDa'!$C$2:$R$155, 15,FALSE), IFERROR(VLOOKUP($A247,'Fusion ExDa'!$B$2:$D$16, 0,FALSE), IFERROR(VLOOKUP($A247,'Exetel ExDa'!$C$2:$N$14, 7,FALSE), IFERROR(VLOOKUP($A247,'Infinet ExDa'!$B$2:$E$14, 0,FALSE), "Not Found"))))))))</f>
        <v>0</v>
      </c>
      <c r="H247" t="str">
        <f>IFERROR(VLOOKUP($A247,'AAPT ExDa'!$B$2:$U$99, 6,FALSE), IFERROR(VLOOKUP($A247,'ABB ExDa'!$A$2:$N$184, 0,FALSE), IFERROR(VLOOKUP($A247,'Vocus SIT ExDa'!$B$2:$J$173, 0,FALSE), IFERROR(VLOOKUP($A247,'Telstra ExDa'!$B$2:$K$310, 0,FALSE), IFERROR(VLOOKUP($A247,'Vocus RVC ExDa'!$C$2:$R$155, 16,FALSE), IFERROR(VLOOKUP($A247,'Fusion ExDa'!$B$2:$D$16, 0,FALSE), IFERROR(VLOOKUP($A247,'Exetel ExDa'!$C$2:$N$14, 0,FALSE), IFERROR(VLOOKUP($A247,'Infinet ExDa'!$B$2:$E$14, 0,FALSE), "Not Found"))))))))</f>
        <v>Not Found</v>
      </c>
      <c r="I247" t="str">
        <f>IFERROR(VLOOKUP($A247,'AAPT ExDa'!$B$2:$U$99, 0,FALSE), IFERROR(VLOOKUP($A247,'ABB ExDa'!$A$2:$N$184, 0,FALSE), IFERROR(VLOOKUP($A247,'Vocus SIT ExDa'!$B$2:$J$173, 0,FALSE), IFERROR(VLOOKUP($A247,'Telstra ExDa'!$B$2:$K$310, 0,FALSE), IFERROR(VLOOKUP($A247,'Vocus RVC ExDa'!$C$2:$R$155, 0,FALSE), IFERROR(VLOOKUP($A247,'Fusion ExDa'!$B$2:$D$16, 0,FALSE), IFERROR(VLOOKUP($A247,'Exetel ExDa'!$C$2:$N$14, 8,FALSE), IFERROR(VLOOKUP($A247,'Infinet ExDa'!$B$2:$E$14, 0,FALSE), "Not Found"))))))))</f>
        <v>Not Found</v>
      </c>
      <c r="J247" t="str">
        <f>IFERROR(VLOOKUP($A247,'AAPT ExDa'!$B$2:$U$99, 7,FALSE), IFERROR(VLOOKUP($A247,'ABB ExDa'!$A$2:$N$184, 2,FALSE), IFERROR(VLOOKUP($A247,'Vocus SIT ExDa'!$B$2:$J$173, 0,FALSE), IFERROR(VLOOKUP($A247,'Telstra ExDa'!$B$2:$K$310, 7,FALSE), IFERROR(VLOOKUP($A247,'Vocus RVC ExDa'!$C$2:$R$155, 2,FALSE), IFERROR(VLOOKUP($A247,'Fusion ExDa'!$B$2:$D$16, 3,FALSE), IFERROR(VLOOKUP($A247,'Exetel ExDa'!$C$2:$N$14, 0,FALSE), IFERROR(VLOOKUP($A247,'Infinet ExDa'!$B$2:$E$14, 0,FALSE), "Not Found"))))))))</f>
        <v>Unit 1, 304 MONTAGUE ROAD, WEST END QLD</v>
      </c>
      <c r="K247" t="str">
        <f>IFERROR(VLOOKUP($A247,'AAPT ExDa'!$B$2:$U$99, 12,FALSE), IFERROR(VLOOKUP($A247,'ABB ExDa'!$A$2:$N$184, 0,FALSE), IFERROR(VLOOKUP($A247,'Vocus SIT ExDa'!$B$2:$J$173, 0,FALSE), IFERROR(VLOOKUP($A247,'Telstra ExDa'!$B$2:$K$310, 0,FALSE), IFERROR(VLOOKUP($A247,'Vocus RVC ExDa'!$C$2:$R$155, 0,FALSE), IFERROR(VLOOKUP($A247,'Fusion ExDa'!$B$2:$D$16, 0,FALSE), IFERROR(VLOOKUP($A247,'Exetel ExDa'!$C$2:$N$14, 12,FALSE), IFERROR(VLOOKUP($A247,'Infinet ExDa'!$B$2:$E$14, 0,FALSE), "Not Found"))))))))</f>
        <v>Not Found</v>
      </c>
      <c r="L247" s="235">
        <f>IFERROR(VLOOKUP($A247,'AAPT ExDa'!$B$2:$U$99, 11,FALSE), IFERROR(VLOOKUP($A247,'ABB ExDa'!$A$2:$N$184, 9,FALSE), IFERROR(VLOOKUP($A247,'Vocus SIT ExDa'!$B$2:$J$173, 8,FALSE), IFERROR(VLOOKUP($A247,'Telstra ExDa'!$B$2:$K$310, 0,FALSE), IFERROR(VLOOKUP($A247,'Vocus RVC ExDa'!$C$2:$R$155, 0,FALSE), IFERROR(VLOOKUP($A247,'Fusion ExDa'!$B$2:$D$16, 0,FALSE), IFERROR(VLOOKUP($A247,'Exetel ExDa'!$C$2:$N$14, 9,FALSE), IFERROR(VLOOKUP($A247,'Infinet ExDa'!$B$2:$E$14, 0,FALSE), "Not Found"))))))))</f>
        <v>0</v>
      </c>
      <c r="M247" s="234" t="str">
        <f>IFERROR(VLOOKUP($A247,'AAPT ExDa'!$B$2:$U$99, 0,FALSE), IFERROR(VLOOKUP($A247,'ABB ExDa'!$A$2:$N$184, 0,FALSE), IFERROR(VLOOKUP($A247,'Vocus SIT ExDa'!$B$2:$J$173, 0,FALSE), IFERROR(VLOOKUP($A247,'Telstra ExDa'!$B$2:$K$310, 0,FALSE), IFERROR(VLOOKUP($A247,'Vocus RVC ExDa'!$C$2:$R$155, 0,FALSE), IFERROR(VLOOKUP($A247,'Fusion ExDa'!$B$2:$D$16, 0,FALSE), IFERROR(VLOOKUP($A247,'Exetel ExDa'!$C$2:$N$14, 11,FALSE), IFERROR(VLOOKUP($A247,'Infinet ExDa'!$B$2:$E$14, 0,FALSE), "Not Found"))))))))</f>
        <v>Not Found</v>
      </c>
      <c r="N247">
        <f>IFERROR(VLOOKUP($A247,'AAPT ExDa'!$B$2:$U$99, 0,FALSE), IFERROR(VLOOKUP($A247,'ABB ExDa'!$A$2:$N$184, 13,FALSE), IFERROR(VLOOKUP($A247,'Vocus SIT ExDa'!$B$2:$J$173, 0,FALSE), IFERROR(VLOOKUP($A247,'Telstra ExDa'!$B$2:$K$310, 0,FALSE), IFERROR(VLOOKUP($A247,'Vocus RVC ExDa'!$C$2:$R$155, 0,FALSE), IFERROR(VLOOKUP($A247,'Fusion ExDa'!$B$2:$D$16, 0,FALSE), IFERROR(VLOOKUP($A247,'Exetel ExDa'!$C$2:$N$14, 0,FALSE), IFERROR(VLOOKUP($A247,'Infinet ExDa'!$B$2:$E$14, 0,FALSE), "Not Found"))))))))</f>
        <v>0</v>
      </c>
    </row>
    <row r="248" spans="1:14">
      <c r="A248" t="str">
        <v>Nodo Southbank</v>
      </c>
      <c r="B248" t="str">
        <f>IFERROR(VLOOKUP(A248,'Exetel ExDa'!$C$2:$N$14,4,FALSE),"No Data")</f>
        <v>No Data</v>
      </c>
      <c r="C248" t="str">
        <f>IFERROR(VLOOKUP(A248,'AAPT ExDa'!$B$2:$U$99, 2,FALSE), IFERROR(VLOOKUP(A248,'ABB ExDa'!$A$2:$N$184, 2,FALSE), IFERROR(VLOOKUP(A248,'Vocus SIT ExDa'!$B$2:$J$173, 7,FALSE), IFERROR(VLOOKUP(A248,'Telstra ExDa'!$B$2:$K$310, 2,FALSE), IFERROR(VLOOKUP(A248,'Vocus RVC ExDa'!$C$2:$R$155, 3,FALSE), IFERROR(VLOOKUP(A248,'Fusion ExDa'!$B$2:$D$16, 2,FALSE), IFERROR(VLOOKUP(A248,'Exetel ExDa'!$C$2:$N$14, 2,FALSE), IFERROR(VLOOKUP(A248,'Infinet ExDa'!$B$2:$E$14, 2,FALSE), "Not Found"))))))))</f>
        <v xml:space="preserve">Shop 65, 114 GREY STREET, SOUTH BRISBANE QLD </v>
      </c>
      <c r="D248" t="str">
        <f>IFERROR(VLOOKUP($A248,'AAPT ExDa'!$B$2:$U$99, 15,FALSE), IFERROR(VLOOKUP($A248,'ABB ExDa'!$A$2:$N$184, 4,FALSE), IFERROR(VLOOKUP($A248,'Vocus SIT ExDa'!$B$2:$J$173, 5,FALSE), IFERROR(VLOOKUP($A248,'Telstra ExDa'!$B$2:$K$310, 8,FALSE), IFERROR(VLOOKUP($A248,'Vocus RVC ExDa'!$C$2:$R$155, 6,FALSE), IFERROR(VLOOKUP($A248,'Fusion ExDa'!$B$2:$D$16, 4,FALSE), IFERROR(VLOOKUP($A248,'Exetel ExDa'!$C$2:$N$14, 3,FALSE), IFERROR(VLOOKUP($A248,'Infinet ExDa'!$B$2:$E$14, 3,FALSE), "Not Found"))))))))</f>
        <v>ABB</v>
      </c>
      <c r="E248" t="str">
        <f>IFERROR(VLOOKUP($A248,'AAPT ExDa'!$B$2:$U$99, 3,FALSE), IFERROR(VLOOKUP($A248,'ABB ExDa'!$A$2:$N$184, 5,FALSE), IFERROR(VLOOKUP($A248,'Vocus SIT ExDa'!$B$2:$J$173, 2,FALSE), IFERROR(VLOOKUP($A248,'Telstra ExDa'!$B$2:$K$310, 4,FALSE), IFERROR(VLOOKUP($A248,'Vocus RVC ExDa'!$C$2:$R$155, 8,FALSE), IFERROR(VLOOKUP($A248,'Fusion ExDa'!$B$2:$D$16, 4,FALSE), IFERROR(VLOOKUP($A248,'Exetel ExDa'!$C$2:$N$14, 5,FALSE), IFERROR(VLOOKUP($A248,'Infinet ExDa'!$B$2:$E$14, 3,FALSE), "Not Found"))))))))</f>
        <v>Opticomm 25/10</v>
      </c>
      <c r="F248" t="str">
        <f>IFERROR(VLOOKUP($A248,'AAPT ExDa'!$B$2:$U$99, 4,FALSE), IFERROR(VLOOKUP($A248,'ABB ExDa'!$A$2:$N$184, 6,FALSE), IFERROR(VLOOKUP($A248,'Vocus SIT ExDa'!$B$2:$J$173, 3,FALSE), IFERROR(VLOOKUP($A248,'Telstra ExDa'!$B$2:$K$310, 5,FALSE), IFERROR(VLOOKUP($A248,'Vocus RVC ExDa'!$C$2:$R$155, 9,FALSE), IFERROR(VLOOKUP($A248,'Fusion ExDa'!$B$2:$D$16, 0,FALSE), IFERROR(VLOOKUP($A248,'Exetel ExDa'!$C$2:$N$14, 6,FALSE), IFERROR(VLOOKUP($A248,'Infinet ExDa'!$B$2:$E$14, 0,FALSE), "Not Found"))))))))</f>
        <v>167.179.183.221</v>
      </c>
      <c r="G248" t="str">
        <f>IFERROR(VLOOKUP($A248,'AAPT ExDa'!$B$2:$U$99, 5,FALSE), IFERROR(VLOOKUP($A248,'ABB ExDa'!$A$2:$N$184, 8,FALSE), IFERROR(VLOOKUP($A248,'Vocus SIT ExDa'!$B$2:$J$173, 6,FALSE), IFERROR(VLOOKUP($A248,'Telstra ExDa'!$B$2:$K$310, 0,FALSE), IFERROR(VLOOKUP($A248,'Vocus RVC ExDa'!$C$2:$R$155, 15,FALSE), IFERROR(VLOOKUP($A248,'Fusion ExDa'!$B$2:$D$16, 0,FALSE), IFERROR(VLOOKUP($A248,'Exetel ExDa'!$C$2:$N$14, 7,FALSE), IFERROR(VLOOKUP($A248,'Infinet ExDa'!$B$2:$E$14, 0,FALSE), "Not Found"))))))))</f>
        <v>no usage yet</v>
      </c>
      <c r="H248" t="str">
        <f>IFERROR(VLOOKUP($A248,'AAPT ExDa'!$B$2:$U$99, 6,FALSE), IFERROR(VLOOKUP($A248,'ABB ExDa'!$A$2:$N$184, 0,FALSE), IFERROR(VLOOKUP($A248,'Vocus SIT ExDa'!$B$2:$J$173, 0,FALSE), IFERROR(VLOOKUP($A248,'Telstra ExDa'!$B$2:$K$310, 0,FALSE), IFERROR(VLOOKUP($A248,'Vocus RVC ExDa'!$C$2:$R$155, 16,FALSE), IFERROR(VLOOKUP($A248,'Fusion ExDa'!$B$2:$D$16, 0,FALSE), IFERROR(VLOOKUP($A248,'Exetel ExDa'!$C$2:$N$14, 0,FALSE), IFERROR(VLOOKUP($A248,'Infinet ExDa'!$B$2:$E$14, 0,FALSE), "Not Found"))))))))</f>
        <v>Not Found</v>
      </c>
      <c r="I248" t="str">
        <f>IFERROR(VLOOKUP($A248,'AAPT ExDa'!$B$2:$U$99, 0,FALSE), IFERROR(VLOOKUP($A248,'ABB ExDa'!$A$2:$N$184, 0,FALSE), IFERROR(VLOOKUP($A248,'Vocus SIT ExDa'!$B$2:$J$173, 0,FALSE), IFERROR(VLOOKUP($A248,'Telstra ExDa'!$B$2:$K$310, 0,FALSE), IFERROR(VLOOKUP($A248,'Vocus RVC ExDa'!$C$2:$R$155, 0,FALSE), IFERROR(VLOOKUP($A248,'Fusion ExDa'!$B$2:$D$16, 0,FALSE), IFERROR(VLOOKUP($A248,'Exetel ExDa'!$C$2:$N$14, 8,FALSE), IFERROR(VLOOKUP($A248,'Infinet ExDa'!$B$2:$E$14, 0,FALSE), "Not Found"))))))))</f>
        <v>Not Found</v>
      </c>
      <c r="J248" t="str">
        <f>IFERROR(VLOOKUP($A248,'AAPT ExDa'!$B$2:$U$99, 7,FALSE), IFERROR(VLOOKUP($A248,'ABB ExDa'!$A$2:$N$184, 2,FALSE), IFERROR(VLOOKUP($A248,'Vocus SIT ExDa'!$B$2:$J$173, 0,FALSE), IFERROR(VLOOKUP($A248,'Telstra ExDa'!$B$2:$K$310, 7,FALSE), IFERROR(VLOOKUP($A248,'Vocus RVC ExDa'!$C$2:$R$155, 2,FALSE), IFERROR(VLOOKUP($A248,'Fusion ExDa'!$B$2:$D$16, 3,FALSE), IFERROR(VLOOKUP($A248,'Exetel ExDa'!$C$2:$N$14, 0,FALSE), IFERROR(VLOOKUP($A248,'Infinet ExDa'!$B$2:$E$14, 0,FALSE), "Not Found"))))))))</f>
        <v xml:space="preserve">Shop 65, 114 GREY STREET, SOUTH BRISBANE QLD </v>
      </c>
      <c r="K248" t="str">
        <f>IFERROR(VLOOKUP($A248,'AAPT ExDa'!$B$2:$U$99, 12,FALSE), IFERROR(VLOOKUP($A248,'ABB ExDa'!$A$2:$N$184, 0,FALSE), IFERROR(VLOOKUP($A248,'Vocus SIT ExDa'!$B$2:$J$173, 0,FALSE), IFERROR(VLOOKUP($A248,'Telstra ExDa'!$B$2:$K$310, 0,FALSE), IFERROR(VLOOKUP($A248,'Vocus RVC ExDa'!$C$2:$R$155, 0,FALSE), IFERROR(VLOOKUP($A248,'Fusion ExDa'!$B$2:$D$16, 0,FALSE), IFERROR(VLOOKUP($A248,'Exetel ExDa'!$C$2:$N$14, 12,FALSE), IFERROR(VLOOKUP($A248,'Infinet ExDa'!$B$2:$E$14, 0,FALSE), "Not Found"))))))))</f>
        <v>Not Found</v>
      </c>
      <c r="L248" s="235">
        <f>IFERROR(VLOOKUP($A248,'AAPT ExDa'!$B$2:$U$99, 11,FALSE), IFERROR(VLOOKUP($A248,'ABB ExDa'!$A$2:$N$184, 9,FALSE), IFERROR(VLOOKUP($A248,'Vocus SIT ExDa'!$B$2:$J$173, 8,FALSE), IFERROR(VLOOKUP($A248,'Telstra ExDa'!$B$2:$K$310, 0,FALSE), IFERROR(VLOOKUP($A248,'Vocus RVC ExDa'!$C$2:$R$155, 0,FALSE), IFERROR(VLOOKUP($A248,'Fusion ExDa'!$B$2:$D$16, 0,FALSE), IFERROR(VLOOKUP($A248,'Exetel ExDa'!$C$2:$N$14, 9,FALSE), IFERROR(VLOOKUP($A248,'Infinet ExDa'!$B$2:$E$14, 0,FALSE), "Not Found"))))))))</f>
        <v>0</v>
      </c>
      <c r="M248" s="234" t="str">
        <f>IFERROR(VLOOKUP($A248,'AAPT ExDa'!$B$2:$U$99, 0,FALSE), IFERROR(VLOOKUP($A248,'ABB ExDa'!$A$2:$N$184, 0,FALSE), IFERROR(VLOOKUP($A248,'Vocus SIT ExDa'!$B$2:$J$173, 0,FALSE), IFERROR(VLOOKUP($A248,'Telstra ExDa'!$B$2:$K$310, 0,FALSE), IFERROR(VLOOKUP($A248,'Vocus RVC ExDa'!$C$2:$R$155, 0,FALSE), IFERROR(VLOOKUP($A248,'Fusion ExDa'!$B$2:$D$16, 0,FALSE), IFERROR(VLOOKUP($A248,'Exetel ExDa'!$C$2:$N$14, 11,FALSE), IFERROR(VLOOKUP($A248,'Infinet ExDa'!$B$2:$E$14, 0,FALSE), "Not Found"))))))))</f>
        <v>Not Found</v>
      </c>
      <c r="N248" t="str">
        <f>IFERROR(VLOOKUP($A248,'AAPT ExDa'!$B$2:$U$99, 0,FALSE), IFERROR(VLOOKUP($A248,'ABB ExDa'!$A$2:$N$184, 13,FALSE), IFERROR(VLOOKUP($A248,'Vocus SIT ExDa'!$B$2:$J$173, 0,FALSE), IFERROR(VLOOKUP($A248,'Telstra ExDa'!$B$2:$K$310, 0,FALSE), IFERROR(VLOOKUP($A248,'Vocus RVC ExDa'!$C$2:$R$155, 0,FALSE), IFERROR(VLOOKUP($A248,'Fusion ExDa'!$B$2:$D$16, 0,FALSE), IFERROR(VLOOKUP($A248,'Exetel ExDa'!$C$2:$N$14, 0,FALSE), IFERROR(VLOOKUP($A248,'Infinet ExDa'!$B$2:$E$14, 0,FALSE), "Not Found"))))))))</f>
        <v>Onebill</v>
      </c>
    </row>
    <row r="249" spans="1:14">
      <c r="A249" t="str">
        <v>Zambrero Mater</v>
      </c>
      <c r="B249" t="str">
        <f>IFERROR(VLOOKUP(A249,'Exetel ExDa'!$C$2:$N$14,4,FALSE),"No Data")</f>
        <v>No Data</v>
      </c>
      <c r="C249" t="str">
        <f>IFERROR(VLOOKUP(A249,'AAPT ExDa'!$B$2:$U$99, 2,FALSE), IFERROR(VLOOKUP(A249,'ABB ExDa'!$A$2:$N$184, 2,FALSE), IFERROR(VLOOKUP(A249,'Vocus SIT ExDa'!$B$2:$J$173, 7,FALSE), IFERROR(VLOOKUP(A249,'Telstra ExDa'!$B$2:$K$310, 2,FALSE), IFERROR(VLOOKUP(A249,'Vocus RVC ExDa'!$C$2:$R$155, 3,FALSE), IFERROR(VLOOKUP(A249,'Fusion ExDa'!$B$2:$D$16, 2,FALSE), IFERROR(VLOOKUP(A249,'Exetel ExDa'!$C$2:$N$14, 2,FALSE), IFERROR(VLOOKUP(A249,'Infinet ExDa'!$B$2:$E$14, 2,FALSE), "Not Found"))))))))</f>
        <v>Unit 126, 50 Marshall STREET, Burnett Heads QLD</v>
      </c>
      <c r="D249" t="str">
        <f>IFERROR(VLOOKUP($A249,'AAPT ExDa'!$B$2:$U$99, 15,FALSE), IFERROR(VLOOKUP($A249,'ABB ExDa'!$A$2:$N$184, 4,FALSE), IFERROR(VLOOKUP($A249,'Vocus SIT ExDa'!$B$2:$J$173, 5,FALSE), IFERROR(VLOOKUP($A249,'Telstra ExDa'!$B$2:$K$310, 8,FALSE), IFERROR(VLOOKUP($A249,'Vocus RVC ExDa'!$C$2:$R$155, 6,FALSE), IFERROR(VLOOKUP($A249,'Fusion ExDa'!$B$2:$D$16, 4,FALSE), IFERROR(VLOOKUP($A249,'Exetel ExDa'!$C$2:$N$14, 3,FALSE), IFERROR(VLOOKUP($A249,'Infinet ExDa'!$B$2:$E$14, 3,FALSE), "Not Found"))))))))</f>
        <v>ABB</v>
      </c>
      <c r="E249" t="str">
        <f>IFERROR(VLOOKUP($A249,'AAPT ExDa'!$B$2:$U$99, 3,FALSE), IFERROR(VLOOKUP($A249,'ABB ExDa'!$A$2:$N$184, 5,FALSE), IFERROR(VLOOKUP($A249,'Vocus SIT ExDa'!$B$2:$J$173, 2,FALSE), IFERROR(VLOOKUP($A249,'Telstra ExDa'!$B$2:$K$310, 4,FALSE), IFERROR(VLOOKUP($A249,'Vocus RVC ExDa'!$C$2:$R$155, 8,FALSE), IFERROR(VLOOKUP($A249,'Fusion ExDa'!$B$2:$D$16, 4,FALSE), IFERROR(VLOOKUP($A249,'Exetel ExDa'!$C$2:$N$14, 5,FALSE), IFERROR(VLOOKUP($A249,'Infinet ExDa'!$B$2:$E$14, 3,FALSE), "Not Found"))))))))</f>
        <v>Opticomm 50/20</v>
      </c>
      <c r="F249" t="str">
        <f>IFERROR(VLOOKUP($A249,'AAPT ExDa'!$B$2:$U$99, 4,FALSE), IFERROR(VLOOKUP($A249,'ABB ExDa'!$A$2:$N$184, 6,FALSE), IFERROR(VLOOKUP($A249,'Vocus SIT ExDa'!$B$2:$J$173, 3,FALSE), IFERROR(VLOOKUP($A249,'Telstra ExDa'!$B$2:$K$310, 5,FALSE), IFERROR(VLOOKUP($A249,'Vocus RVC ExDa'!$C$2:$R$155, 9,FALSE), IFERROR(VLOOKUP($A249,'Fusion ExDa'!$B$2:$D$16, 0,FALSE), IFERROR(VLOOKUP($A249,'Exetel ExDa'!$C$2:$N$14, 6,FALSE), IFERROR(VLOOKUP($A249,'Infinet ExDa'!$B$2:$E$14, 0,FALSE), "Not Found"))))))))</f>
        <v>167.179.164.35</v>
      </c>
      <c r="G249">
        <f>IFERROR(VLOOKUP($A249,'AAPT ExDa'!$B$2:$U$99, 5,FALSE), IFERROR(VLOOKUP($A249,'ABB ExDa'!$A$2:$N$184, 8,FALSE), IFERROR(VLOOKUP($A249,'Vocus SIT ExDa'!$B$2:$J$173, 6,FALSE), IFERROR(VLOOKUP($A249,'Telstra ExDa'!$B$2:$K$310, 0,FALSE), IFERROR(VLOOKUP($A249,'Vocus RVC ExDa'!$C$2:$R$155, 15,FALSE), IFERROR(VLOOKUP($A249,'Fusion ExDa'!$B$2:$D$16, 0,FALSE), IFERROR(VLOOKUP($A249,'Exetel ExDa'!$C$2:$N$14, 7,FALSE), IFERROR(VLOOKUP($A249,'Infinet ExDa'!$B$2:$E$14, 0,FALSE), "Not Found"))))))))</f>
        <v>0</v>
      </c>
      <c r="H249" t="str">
        <f>IFERROR(VLOOKUP($A249,'AAPT ExDa'!$B$2:$U$99, 6,FALSE), IFERROR(VLOOKUP($A249,'ABB ExDa'!$A$2:$N$184, 0,FALSE), IFERROR(VLOOKUP($A249,'Vocus SIT ExDa'!$B$2:$J$173, 0,FALSE), IFERROR(VLOOKUP($A249,'Telstra ExDa'!$B$2:$K$310, 0,FALSE), IFERROR(VLOOKUP($A249,'Vocus RVC ExDa'!$C$2:$R$155, 16,FALSE), IFERROR(VLOOKUP($A249,'Fusion ExDa'!$B$2:$D$16, 0,FALSE), IFERROR(VLOOKUP($A249,'Exetel ExDa'!$C$2:$N$14, 0,FALSE), IFERROR(VLOOKUP($A249,'Infinet ExDa'!$B$2:$E$14, 0,FALSE), "Not Found"))))))))</f>
        <v>Not Found</v>
      </c>
      <c r="I249" t="str">
        <f>IFERROR(VLOOKUP($A249,'AAPT ExDa'!$B$2:$U$99, 0,FALSE), IFERROR(VLOOKUP($A249,'ABB ExDa'!$A$2:$N$184, 0,FALSE), IFERROR(VLOOKUP($A249,'Vocus SIT ExDa'!$B$2:$J$173, 0,FALSE), IFERROR(VLOOKUP($A249,'Telstra ExDa'!$B$2:$K$310, 0,FALSE), IFERROR(VLOOKUP($A249,'Vocus RVC ExDa'!$C$2:$R$155, 0,FALSE), IFERROR(VLOOKUP($A249,'Fusion ExDa'!$B$2:$D$16, 0,FALSE), IFERROR(VLOOKUP($A249,'Exetel ExDa'!$C$2:$N$14, 8,FALSE), IFERROR(VLOOKUP($A249,'Infinet ExDa'!$B$2:$E$14, 0,FALSE), "Not Found"))))))))</f>
        <v>Not Found</v>
      </c>
      <c r="J249" t="str">
        <f>IFERROR(VLOOKUP($A249,'AAPT ExDa'!$B$2:$U$99, 7,FALSE), IFERROR(VLOOKUP($A249,'ABB ExDa'!$A$2:$N$184, 2,FALSE), IFERROR(VLOOKUP($A249,'Vocus SIT ExDa'!$B$2:$J$173, 0,FALSE), IFERROR(VLOOKUP($A249,'Telstra ExDa'!$B$2:$K$310, 7,FALSE), IFERROR(VLOOKUP($A249,'Vocus RVC ExDa'!$C$2:$R$155, 2,FALSE), IFERROR(VLOOKUP($A249,'Fusion ExDa'!$B$2:$D$16, 3,FALSE), IFERROR(VLOOKUP($A249,'Exetel ExDa'!$C$2:$N$14, 0,FALSE), IFERROR(VLOOKUP($A249,'Infinet ExDa'!$B$2:$E$14, 0,FALSE), "Not Found"))))))))</f>
        <v>Unit 126, 50 Marshall STREET, Burnett Heads QLD</v>
      </c>
      <c r="K249" t="str">
        <f>IFERROR(VLOOKUP($A249,'AAPT ExDa'!$B$2:$U$99, 12,FALSE), IFERROR(VLOOKUP($A249,'ABB ExDa'!$A$2:$N$184, 0,FALSE), IFERROR(VLOOKUP($A249,'Vocus SIT ExDa'!$B$2:$J$173, 0,FALSE), IFERROR(VLOOKUP($A249,'Telstra ExDa'!$B$2:$K$310, 0,FALSE), IFERROR(VLOOKUP($A249,'Vocus RVC ExDa'!$C$2:$R$155, 0,FALSE), IFERROR(VLOOKUP($A249,'Fusion ExDa'!$B$2:$D$16, 0,FALSE), IFERROR(VLOOKUP($A249,'Exetel ExDa'!$C$2:$N$14, 12,FALSE), IFERROR(VLOOKUP($A249,'Infinet ExDa'!$B$2:$E$14, 0,FALSE), "Not Found"))))))))</f>
        <v>Not Found</v>
      </c>
      <c r="L249" s="235">
        <f>IFERROR(VLOOKUP($A249,'AAPT ExDa'!$B$2:$U$99, 11,FALSE), IFERROR(VLOOKUP($A249,'ABB ExDa'!$A$2:$N$184, 9,FALSE), IFERROR(VLOOKUP($A249,'Vocus SIT ExDa'!$B$2:$J$173, 8,FALSE), IFERROR(VLOOKUP($A249,'Telstra ExDa'!$B$2:$K$310, 0,FALSE), IFERROR(VLOOKUP($A249,'Vocus RVC ExDa'!$C$2:$R$155, 0,FALSE), IFERROR(VLOOKUP($A249,'Fusion ExDa'!$B$2:$D$16, 0,FALSE), IFERROR(VLOOKUP($A249,'Exetel ExDa'!$C$2:$N$14, 9,FALSE), IFERROR(VLOOKUP($A249,'Infinet ExDa'!$B$2:$E$14, 0,FALSE), "Not Found"))))))))</f>
        <v>0</v>
      </c>
      <c r="M249" s="234" t="str">
        <f>IFERROR(VLOOKUP($A249,'AAPT ExDa'!$B$2:$U$99, 0,FALSE), IFERROR(VLOOKUP($A249,'ABB ExDa'!$A$2:$N$184, 0,FALSE), IFERROR(VLOOKUP($A249,'Vocus SIT ExDa'!$B$2:$J$173, 0,FALSE), IFERROR(VLOOKUP($A249,'Telstra ExDa'!$B$2:$K$310, 0,FALSE), IFERROR(VLOOKUP($A249,'Vocus RVC ExDa'!$C$2:$R$155, 0,FALSE), IFERROR(VLOOKUP($A249,'Fusion ExDa'!$B$2:$D$16, 0,FALSE), IFERROR(VLOOKUP($A249,'Exetel ExDa'!$C$2:$N$14, 11,FALSE), IFERROR(VLOOKUP($A249,'Infinet ExDa'!$B$2:$E$14, 0,FALSE), "Not Found"))))))))</f>
        <v>Not Found</v>
      </c>
      <c r="N249" t="str">
        <f>IFERROR(VLOOKUP($A249,'AAPT ExDa'!$B$2:$U$99, 0,FALSE), IFERROR(VLOOKUP($A249,'ABB ExDa'!$A$2:$N$184, 13,FALSE), IFERROR(VLOOKUP($A249,'Vocus SIT ExDa'!$B$2:$J$173, 0,FALSE), IFERROR(VLOOKUP($A249,'Telstra ExDa'!$B$2:$K$310, 0,FALSE), IFERROR(VLOOKUP($A249,'Vocus RVC ExDa'!$C$2:$R$155, 0,FALSE), IFERROR(VLOOKUP($A249,'Fusion ExDa'!$B$2:$D$16, 0,FALSE), IFERROR(VLOOKUP($A249,'Exetel ExDa'!$C$2:$N$14, 0,FALSE), IFERROR(VLOOKUP($A249,'Infinet ExDa'!$B$2:$E$14, 0,FALSE), "Not Found"))))))))</f>
        <v>Onebill</v>
      </c>
    </row>
    <row r="250" spans="1:14">
      <c r="A250" t="str">
        <v>Renovo Solutions</v>
      </c>
      <c r="B250" t="str">
        <f>IFERROR(VLOOKUP(A250,'Exetel ExDa'!$C$2:$N$14,4,FALSE),"No Data")</f>
        <v>No Data</v>
      </c>
      <c r="C250" t="str">
        <f>IFERROR(VLOOKUP(A250,'AAPT ExDa'!$B$2:$U$99, 2,FALSE), IFERROR(VLOOKUP(A250,'ABB ExDa'!$A$2:$N$184, 2,FALSE), IFERROR(VLOOKUP(A250,'Vocus SIT ExDa'!$B$2:$J$173, 7,FALSE), IFERROR(VLOOKUP(A250,'Telstra ExDa'!$B$2:$K$310, 2,FALSE), IFERROR(VLOOKUP(A250,'Vocus RVC ExDa'!$C$2:$R$155, 3,FALSE), IFERROR(VLOOKUP(A250,'Fusion ExDa'!$B$2:$D$16, 2,FALSE), IFERROR(VLOOKUP(A250,'Exetel ExDa'!$C$2:$N$14, 2,FALSE), IFERROR(VLOOKUP(A250,'Infinet ExDa'!$B$2:$E$14, 2,FALSE), "Not Found"))))))))</f>
        <v>42 MANNING ST, SOUTH BRISBANE QLD</v>
      </c>
      <c r="D250" t="str">
        <f>IFERROR(VLOOKUP($A250,'AAPT ExDa'!$B$2:$U$99, 15,FALSE), IFERROR(VLOOKUP($A250,'ABB ExDa'!$A$2:$N$184, 4,FALSE), IFERROR(VLOOKUP($A250,'Vocus SIT ExDa'!$B$2:$J$173, 5,FALSE), IFERROR(VLOOKUP($A250,'Telstra ExDa'!$B$2:$K$310, 8,FALSE), IFERROR(VLOOKUP($A250,'Vocus RVC ExDa'!$C$2:$R$155, 6,FALSE), IFERROR(VLOOKUP($A250,'Fusion ExDa'!$B$2:$D$16, 4,FALSE), IFERROR(VLOOKUP($A250,'Exetel ExDa'!$C$2:$N$14, 3,FALSE), IFERROR(VLOOKUP($A250,'Infinet ExDa'!$B$2:$E$14, 3,FALSE), "Not Found"))))))))</f>
        <v>ABB</v>
      </c>
      <c r="E250" t="str">
        <f>IFERROR(VLOOKUP($A250,'AAPT ExDa'!$B$2:$U$99, 3,FALSE), IFERROR(VLOOKUP($A250,'ABB ExDa'!$A$2:$N$184, 5,FALSE), IFERROR(VLOOKUP($A250,'Vocus SIT ExDa'!$B$2:$J$173, 2,FALSE), IFERROR(VLOOKUP($A250,'Telstra ExDa'!$B$2:$K$310, 4,FALSE), IFERROR(VLOOKUP($A250,'Vocus RVC ExDa'!$C$2:$R$155, 8,FALSE), IFERROR(VLOOKUP($A250,'Fusion ExDa'!$B$2:$D$16, 4,FALSE), IFERROR(VLOOKUP($A250,'Exetel ExDa'!$C$2:$N$14, 5,FALSE), IFERROR(VLOOKUP($A250,'Infinet ExDa'!$B$2:$E$14, 3,FALSE), "Not Found"))))))))</f>
        <v>1000Mbps Low CoS</v>
      </c>
      <c r="F250" t="str">
        <f>IFERROR(VLOOKUP($A250,'AAPT ExDa'!$B$2:$U$99, 4,FALSE), IFERROR(VLOOKUP($A250,'ABB ExDa'!$A$2:$N$184, 6,FALSE), IFERROR(VLOOKUP($A250,'Vocus SIT ExDa'!$B$2:$J$173, 3,FALSE), IFERROR(VLOOKUP($A250,'Telstra ExDa'!$B$2:$K$310, 5,FALSE), IFERROR(VLOOKUP($A250,'Vocus RVC ExDa'!$C$2:$R$155, 9,FALSE), IFERROR(VLOOKUP($A250,'Fusion ExDa'!$B$2:$D$16, 0,FALSE), IFERROR(VLOOKUP($A250,'Exetel ExDa'!$C$2:$N$14, 6,FALSE), IFERROR(VLOOKUP($A250,'Infinet ExDa'!$B$2:$E$14, 0,FALSE), "Not Found"))))))))</f>
        <v>180.181.211.122</v>
      </c>
      <c r="G250">
        <f>IFERROR(VLOOKUP($A250,'AAPT ExDa'!$B$2:$U$99, 5,FALSE), IFERROR(VLOOKUP($A250,'ABB ExDa'!$A$2:$N$184, 8,FALSE), IFERROR(VLOOKUP($A250,'Vocus SIT ExDa'!$B$2:$J$173, 6,FALSE), IFERROR(VLOOKUP($A250,'Telstra ExDa'!$B$2:$K$310, 0,FALSE), IFERROR(VLOOKUP($A250,'Vocus RVC ExDa'!$C$2:$R$155, 15,FALSE), IFERROR(VLOOKUP($A250,'Fusion ExDa'!$B$2:$D$16, 0,FALSE), IFERROR(VLOOKUP($A250,'Exetel ExDa'!$C$2:$N$14, 7,FALSE), IFERROR(VLOOKUP($A250,'Infinet ExDa'!$B$2:$E$14, 0,FALSE), "Not Found"))))))))</f>
        <v>0</v>
      </c>
      <c r="H250" t="str">
        <f>IFERROR(VLOOKUP($A250,'AAPT ExDa'!$B$2:$U$99, 6,FALSE), IFERROR(VLOOKUP($A250,'ABB ExDa'!$A$2:$N$184, 0,FALSE), IFERROR(VLOOKUP($A250,'Vocus SIT ExDa'!$B$2:$J$173, 0,FALSE), IFERROR(VLOOKUP($A250,'Telstra ExDa'!$B$2:$K$310, 0,FALSE), IFERROR(VLOOKUP($A250,'Vocus RVC ExDa'!$C$2:$R$155, 16,FALSE), IFERROR(VLOOKUP($A250,'Fusion ExDa'!$B$2:$D$16, 0,FALSE), IFERROR(VLOOKUP($A250,'Exetel ExDa'!$C$2:$N$14, 0,FALSE), IFERROR(VLOOKUP($A250,'Infinet ExDa'!$B$2:$E$14, 0,FALSE), "Not Found"))))))))</f>
        <v>Not Found</v>
      </c>
      <c r="I250" t="str">
        <f>IFERROR(VLOOKUP($A250,'AAPT ExDa'!$B$2:$U$99, 0,FALSE), IFERROR(VLOOKUP($A250,'ABB ExDa'!$A$2:$N$184, 0,FALSE), IFERROR(VLOOKUP($A250,'Vocus SIT ExDa'!$B$2:$J$173, 0,FALSE), IFERROR(VLOOKUP($A250,'Telstra ExDa'!$B$2:$K$310, 0,FALSE), IFERROR(VLOOKUP($A250,'Vocus RVC ExDa'!$C$2:$R$155, 0,FALSE), IFERROR(VLOOKUP($A250,'Fusion ExDa'!$B$2:$D$16, 0,FALSE), IFERROR(VLOOKUP($A250,'Exetel ExDa'!$C$2:$N$14, 8,FALSE), IFERROR(VLOOKUP($A250,'Infinet ExDa'!$B$2:$E$14, 0,FALSE), "Not Found"))))))))</f>
        <v>Not Found</v>
      </c>
      <c r="J250" t="str">
        <f>IFERROR(VLOOKUP($A250,'AAPT ExDa'!$B$2:$U$99, 7,FALSE), IFERROR(VLOOKUP($A250,'ABB ExDa'!$A$2:$N$184, 2,FALSE), IFERROR(VLOOKUP($A250,'Vocus SIT ExDa'!$B$2:$J$173, 0,FALSE), IFERROR(VLOOKUP($A250,'Telstra ExDa'!$B$2:$K$310, 7,FALSE), IFERROR(VLOOKUP($A250,'Vocus RVC ExDa'!$C$2:$R$155, 2,FALSE), IFERROR(VLOOKUP($A250,'Fusion ExDa'!$B$2:$D$16, 3,FALSE), IFERROR(VLOOKUP($A250,'Exetel ExDa'!$C$2:$N$14, 0,FALSE), IFERROR(VLOOKUP($A250,'Infinet ExDa'!$B$2:$E$14, 0,FALSE), "Not Found"))))))))</f>
        <v>42 MANNING ST, SOUTH BRISBANE QLD</v>
      </c>
      <c r="K250" t="str">
        <f>IFERROR(VLOOKUP($A250,'AAPT ExDa'!$B$2:$U$99, 12,FALSE), IFERROR(VLOOKUP($A250,'ABB ExDa'!$A$2:$N$184, 0,FALSE), IFERROR(VLOOKUP($A250,'Vocus SIT ExDa'!$B$2:$J$173, 0,FALSE), IFERROR(VLOOKUP($A250,'Telstra ExDa'!$B$2:$K$310, 0,FALSE), IFERROR(VLOOKUP($A250,'Vocus RVC ExDa'!$C$2:$R$155, 0,FALSE), IFERROR(VLOOKUP($A250,'Fusion ExDa'!$B$2:$D$16, 0,FALSE), IFERROR(VLOOKUP($A250,'Exetel ExDa'!$C$2:$N$14, 12,FALSE), IFERROR(VLOOKUP($A250,'Infinet ExDa'!$B$2:$E$14, 0,FALSE), "Not Found"))))))))</f>
        <v>Not Found</v>
      </c>
      <c r="L250" s="235">
        <f>IFERROR(VLOOKUP($A250,'AAPT ExDa'!$B$2:$U$99, 11,FALSE), IFERROR(VLOOKUP($A250,'ABB ExDa'!$A$2:$N$184, 9,FALSE), IFERROR(VLOOKUP($A250,'Vocus SIT ExDa'!$B$2:$J$173, 8,FALSE), IFERROR(VLOOKUP($A250,'Telstra ExDa'!$B$2:$K$310, 0,FALSE), IFERROR(VLOOKUP($A250,'Vocus RVC ExDa'!$C$2:$R$155, 0,FALSE), IFERROR(VLOOKUP($A250,'Fusion ExDa'!$B$2:$D$16, 0,FALSE), IFERROR(VLOOKUP($A250,'Exetel ExDa'!$C$2:$N$14, 9,FALSE), IFERROR(VLOOKUP($A250,'Infinet ExDa'!$B$2:$E$14, 0,FALSE), "Not Found"))))))))</f>
        <v>0</v>
      </c>
      <c r="M250" s="234" t="str">
        <f>IFERROR(VLOOKUP($A250,'AAPT ExDa'!$B$2:$U$99, 0,FALSE), IFERROR(VLOOKUP($A250,'ABB ExDa'!$A$2:$N$184, 0,FALSE), IFERROR(VLOOKUP($A250,'Vocus SIT ExDa'!$B$2:$J$173, 0,FALSE), IFERROR(VLOOKUP($A250,'Telstra ExDa'!$B$2:$K$310, 0,FALSE), IFERROR(VLOOKUP($A250,'Vocus RVC ExDa'!$C$2:$R$155, 0,FALSE), IFERROR(VLOOKUP($A250,'Fusion ExDa'!$B$2:$D$16, 0,FALSE), IFERROR(VLOOKUP($A250,'Exetel ExDa'!$C$2:$N$14, 11,FALSE), IFERROR(VLOOKUP($A250,'Infinet ExDa'!$B$2:$E$14, 0,FALSE), "Not Found"))))))))</f>
        <v>Not Found</v>
      </c>
      <c r="N250">
        <f>IFERROR(VLOOKUP($A250,'AAPT ExDa'!$B$2:$U$99, 0,FALSE), IFERROR(VLOOKUP($A250,'ABB ExDa'!$A$2:$N$184, 13,FALSE), IFERROR(VLOOKUP($A250,'Vocus SIT ExDa'!$B$2:$J$173, 0,FALSE), IFERROR(VLOOKUP($A250,'Telstra ExDa'!$B$2:$K$310, 0,FALSE), IFERROR(VLOOKUP($A250,'Vocus RVC ExDa'!$C$2:$R$155, 0,FALSE), IFERROR(VLOOKUP($A250,'Fusion ExDa'!$B$2:$D$16, 0,FALSE), IFERROR(VLOOKUP($A250,'Exetel ExDa'!$C$2:$N$14, 0,FALSE), IFERROR(VLOOKUP($A250,'Infinet ExDa'!$B$2:$E$14, 0,FALSE), "Not Found"))))))))</f>
        <v>0</v>
      </c>
    </row>
    <row r="251" spans="1:14">
      <c r="A251" t="str">
        <v>GBA Rockhampton</v>
      </c>
      <c r="B251" t="str">
        <f>IFERROR(VLOOKUP(A251,'Exetel ExDa'!$C$2:$N$14,4,FALSE),"No Data")</f>
        <v>No Data</v>
      </c>
      <c r="C251" t="str">
        <f>IFERROR(VLOOKUP(A251,'AAPT ExDa'!$B$2:$U$99, 2,FALSE), IFERROR(VLOOKUP(A251,'ABB ExDa'!$A$2:$N$184, 2,FALSE), IFERROR(VLOOKUP(A251,'Vocus SIT ExDa'!$B$2:$J$173, 7,FALSE), IFERROR(VLOOKUP(A251,'Telstra ExDa'!$B$2:$K$310, 2,FALSE), IFERROR(VLOOKUP(A251,'Vocus RVC ExDa'!$C$2:$R$155, 3,FALSE), IFERROR(VLOOKUP(A251,'Fusion ExDa'!$B$2:$D$16, 2,FALSE), IFERROR(VLOOKUP(A251,'Exetel ExDa'!$C$2:$N$14, 2,FALSE), IFERROR(VLOOKUP(A251,'Infinet ExDa'!$B$2:$E$14, 2,FALSE), "Not Found"))))))))</f>
        <v>SE 2, 74 VICTORIA PDE, ROCKHAMPTON CITY QLD</v>
      </c>
      <c r="D251" t="str">
        <f>IFERROR(VLOOKUP($A251,'AAPT ExDa'!$B$2:$U$99, 15,FALSE), IFERROR(VLOOKUP($A251,'ABB ExDa'!$A$2:$N$184, 4,FALSE), IFERROR(VLOOKUP($A251,'Vocus SIT ExDa'!$B$2:$J$173, 5,FALSE), IFERROR(VLOOKUP($A251,'Telstra ExDa'!$B$2:$K$310, 8,FALSE), IFERROR(VLOOKUP($A251,'Vocus RVC ExDa'!$C$2:$R$155, 6,FALSE), IFERROR(VLOOKUP($A251,'Fusion ExDa'!$B$2:$D$16, 4,FALSE), IFERROR(VLOOKUP($A251,'Exetel ExDa'!$C$2:$N$14, 3,FALSE), IFERROR(VLOOKUP($A251,'Infinet ExDa'!$B$2:$E$14, 3,FALSE), "Not Found"))))))))</f>
        <v>ABB</v>
      </c>
      <c r="E251" t="str">
        <f>IFERROR(VLOOKUP($A251,'AAPT ExDa'!$B$2:$U$99, 3,FALSE), IFERROR(VLOOKUP($A251,'ABB ExDa'!$A$2:$N$184, 5,FALSE), IFERROR(VLOOKUP($A251,'Vocus SIT ExDa'!$B$2:$J$173, 2,FALSE), IFERROR(VLOOKUP($A251,'Telstra ExDa'!$B$2:$K$310, 4,FALSE), IFERROR(VLOOKUP($A251,'Vocus RVC ExDa'!$C$2:$R$155, 8,FALSE), IFERROR(VLOOKUP($A251,'Fusion ExDa'!$B$2:$D$16, 4,FALSE), IFERROR(VLOOKUP($A251,'Exetel ExDa'!$C$2:$N$14, 5,FALSE), IFERROR(VLOOKUP($A251,'Infinet ExDa'!$B$2:$E$14, 3,FALSE), "Not Found"))))))))</f>
        <v>NBN 100/40</v>
      </c>
      <c r="F251" t="str">
        <f>IFERROR(VLOOKUP($A251,'AAPT ExDa'!$B$2:$U$99, 4,FALSE), IFERROR(VLOOKUP($A251,'ABB ExDa'!$A$2:$N$184, 6,FALSE), IFERROR(VLOOKUP($A251,'Vocus SIT ExDa'!$B$2:$J$173, 3,FALSE), IFERROR(VLOOKUP($A251,'Telstra ExDa'!$B$2:$K$310, 5,FALSE), IFERROR(VLOOKUP($A251,'Vocus RVC ExDa'!$C$2:$R$155, 9,FALSE), IFERROR(VLOOKUP($A251,'Fusion ExDa'!$B$2:$D$16, 0,FALSE), IFERROR(VLOOKUP($A251,'Exetel ExDa'!$C$2:$N$14, 6,FALSE), IFERROR(VLOOKUP($A251,'Infinet ExDa'!$B$2:$E$14, 0,FALSE), "Not Found"))))))))</f>
        <v xml:space="preserve">FTTN </v>
      </c>
      <c r="G251" t="str">
        <f>IFERROR(VLOOKUP($A251,'AAPT ExDa'!$B$2:$U$99, 5,FALSE), IFERROR(VLOOKUP($A251,'ABB ExDa'!$A$2:$N$184, 8,FALSE), IFERROR(VLOOKUP($A251,'Vocus SIT ExDa'!$B$2:$J$173, 6,FALSE), IFERROR(VLOOKUP($A251,'Telstra ExDa'!$B$2:$K$310, 0,FALSE), IFERROR(VLOOKUP($A251,'Vocus RVC ExDa'!$C$2:$R$155, 15,FALSE), IFERROR(VLOOKUP($A251,'Fusion ExDa'!$B$2:$D$16, 0,FALSE), IFERROR(VLOOKUP($A251,'Exetel ExDa'!$C$2:$N$14, 7,FALSE), IFERROR(VLOOKUP($A251,'Infinet ExDa'!$B$2:$E$14, 0,FALSE), "Not Found"))))))))</f>
        <v>144.6.127.36</v>
      </c>
      <c r="H251" t="str">
        <f>IFERROR(VLOOKUP($A251,'AAPT ExDa'!$B$2:$U$99, 6,FALSE), IFERROR(VLOOKUP($A251,'ABB ExDa'!$A$2:$N$184, 0,FALSE), IFERROR(VLOOKUP($A251,'Vocus SIT ExDa'!$B$2:$J$173, 0,FALSE), IFERROR(VLOOKUP($A251,'Telstra ExDa'!$B$2:$K$310, 0,FALSE), IFERROR(VLOOKUP($A251,'Vocus RVC ExDa'!$C$2:$R$155, 16,FALSE), IFERROR(VLOOKUP($A251,'Fusion ExDa'!$B$2:$D$16, 0,FALSE), IFERROR(VLOOKUP($A251,'Exetel ExDa'!$C$2:$N$14, 0,FALSE), IFERROR(VLOOKUP($A251,'Infinet ExDa'!$B$2:$E$14, 0,FALSE), "Not Found"))))))))</f>
        <v>Not Found</v>
      </c>
      <c r="I251" t="str">
        <f>IFERROR(VLOOKUP($A251,'AAPT ExDa'!$B$2:$U$99, 0,FALSE), IFERROR(VLOOKUP($A251,'ABB ExDa'!$A$2:$N$184, 0,FALSE), IFERROR(VLOOKUP($A251,'Vocus SIT ExDa'!$B$2:$J$173, 0,FALSE), IFERROR(VLOOKUP($A251,'Telstra ExDa'!$B$2:$K$310, 0,FALSE), IFERROR(VLOOKUP($A251,'Vocus RVC ExDa'!$C$2:$R$155, 0,FALSE), IFERROR(VLOOKUP($A251,'Fusion ExDa'!$B$2:$D$16, 0,FALSE), IFERROR(VLOOKUP($A251,'Exetel ExDa'!$C$2:$N$14, 8,FALSE), IFERROR(VLOOKUP($A251,'Infinet ExDa'!$B$2:$E$14, 0,FALSE), "Not Found"))))))))</f>
        <v>Not Found</v>
      </c>
      <c r="J251" t="str">
        <f>IFERROR(VLOOKUP($A251,'AAPT ExDa'!$B$2:$U$99, 7,FALSE), IFERROR(VLOOKUP($A251,'ABB ExDa'!$A$2:$N$184, 2,FALSE), IFERROR(VLOOKUP($A251,'Vocus SIT ExDa'!$B$2:$J$173, 0,FALSE), IFERROR(VLOOKUP($A251,'Telstra ExDa'!$B$2:$K$310, 7,FALSE), IFERROR(VLOOKUP($A251,'Vocus RVC ExDa'!$C$2:$R$155, 2,FALSE), IFERROR(VLOOKUP($A251,'Fusion ExDa'!$B$2:$D$16, 3,FALSE), IFERROR(VLOOKUP($A251,'Exetel ExDa'!$C$2:$N$14, 0,FALSE), IFERROR(VLOOKUP($A251,'Infinet ExDa'!$B$2:$E$14, 0,FALSE), "Not Found"))))))))</f>
        <v>SE 2, 74 VICTORIA PDE, ROCKHAMPTON CITY QLD</v>
      </c>
      <c r="K251" t="str">
        <f>IFERROR(VLOOKUP($A251,'AAPT ExDa'!$B$2:$U$99, 12,FALSE), IFERROR(VLOOKUP($A251,'ABB ExDa'!$A$2:$N$184, 0,FALSE), IFERROR(VLOOKUP($A251,'Vocus SIT ExDa'!$B$2:$J$173, 0,FALSE), IFERROR(VLOOKUP($A251,'Telstra ExDa'!$B$2:$K$310, 0,FALSE), IFERROR(VLOOKUP($A251,'Vocus RVC ExDa'!$C$2:$R$155, 0,FALSE), IFERROR(VLOOKUP($A251,'Fusion ExDa'!$B$2:$D$16, 0,FALSE), IFERROR(VLOOKUP($A251,'Exetel ExDa'!$C$2:$N$14, 12,FALSE), IFERROR(VLOOKUP($A251,'Infinet ExDa'!$B$2:$E$14, 0,FALSE), "Not Found"))))))))</f>
        <v>Not Found</v>
      </c>
      <c r="L251" s="235" t="str">
        <f>IFERROR(VLOOKUP($A251,'AAPT ExDa'!$B$2:$U$99, 11,FALSE), IFERROR(VLOOKUP($A251,'ABB ExDa'!$A$2:$N$184, 9,FALSE), IFERROR(VLOOKUP($A251,'Vocus SIT ExDa'!$B$2:$J$173, 8,FALSE), IFERROR(VLOOKUP($A251,'Telstra ExDa'!$B$2:$K$310, 0,FALSE), IFERROR(VLOOKUP($A251,'Vocus RVC ExDa'!$C$2:$R$155, 0,FALSE), IFERROR(VLOOKUP($A251,'Fusion ExDa'!$B$2:$D$16, 0,FALSE), IFERROR(VLOOKUP($A251,'Exetel ExDa'!$C$2:$N$14, 9,FALSE), IFERROR(VLOOKUP($A251,'Infinet ExDa'!$B$2:$E$14, 0,FALSE), "Not Found"))))))))</f>
        <v>26 July 2024</v>
      </c>
      <c r="M251" s="234" t="str">
        <f>IFERROR(VLOOKUP($A251,'AAPT ExDa'!$B$2:$U$99, 0,FALSE), IFERROR(VLOOKUP($A251,'ABB ExDa'!$A$2:$N$184, 0,FALSE), IFERROR(VLOOKUP($A251,'Vocus SIT ExDa'!$B$2:$J$173, 0,FALSE), IFERROR(VLOOKUP($A251,'Telstra ExDa'!$B$2:$K$310, 0,FALSE), IFERROR(VLOOKUP($A251,'Vocus RVC ExDa'!$C$2:$R$155, 0,FALSE), IFERROR(VLOOKUP($A251,'Fusion ExDa'!$B$2:$D$16, 0,FALSE), IFERROR(VLOOKUP($A251,'Exetel ExDa'!$C$2:$N$14, 11,FALSE), IFERROR(VLOOKUP($A251,'Infinet ExDa'!$B$2:$E$14, 0,FALSE), "Not Found"))))))))</f>
        <v>Not Found</v>
      </c>
      <c r="N251" t="str">
        <f>IFERROR(VLOOKUP($A251,'AAPT ExDa'!$B$2:$U$99, 0,FALSE), IFERROR(VLOOKUP($A251,'ABB ExDa'!$A$2:$N$184, 13,FALSE), IFERROR(VLOOKUP($A251,'Vocus SIT ExDa'!$B$2:$J$173, 0,FALSE), IFERROR(VLOOKUP($A251,'Telstra ExDa'!$B$2:$K$310, 0,FALSE), IFERROR(VLOOKUP($A251,'Vocus RVC ExDa'!$C$2:$R$155, 0,FALSE), IFERROR(VLOOKUP($A251,'Fusion ExDa'!$B$2:$D$16, 0,FALSE), IFERROR(VLOOKUP($A251,'Exetel ExDa'!$C$2:$N$14, 0,FALSE), IFERROR(VLOOKUP($A251,'Infinet ExDa'!$B$2:$E$14, 0,FALSE), "Not Found"))))))))</f>
        <v>Sasboss</v>
      </c>
    </row>
    <row r="252" spans="1:14">
      <c r="A252" t="str">
        <v>GBA Emerald</v>
      </c>
      <c r="B252" t="str">
        <f>IFERROR(VLOOKUP(A252,'Exetel ExDa'!$C$2:$N$14,4,FALSE),"No Data")</f>
        <v>No Data</v>
      </c>
      <c r="C252" t="str">
        <f>IFERROR(VLOOKUP(A252,'AAPT ExDa'!$B$2:$U$99, 2,FALSE), IFERROR(VLOOKUP(A252,'ABB ExDa'!$A$2:$N$184, 2,FALSE), IFERROR(VLOOKUP(A252,'Vocus SIT ExDa'!$B$2:$J$173, 7,FALSE), IFERROR(VLOOKUP(A252,'Telstra ExDa'!$B$2:$K$310, 2,FALSE), IFERROR(VLOOKUP(A252,'Vocus RVC ExDa'!$C$2:$R$155, 3,FALSE), IFERROR(VLOOKUP(A252,'Fusion ExDa'!$B$2:$D$16, 2,FALSE), IFERROR(VLOOKUP(A252,'Exetel ExDa'!$C$2:$N$14, 2,FALSE), IFERROR(VLOOKUP(A252,'Infinet ExDa'!$B$2:$E$14, 2,FALSE), "Not Found"))))))))</f>
        <v>5 CHURCH LANE, EMERALD QLD</v>
      </c>
      <c r="D252" t="str">
        <f>IFERROR(VLOOKUP($A252,'AAPT ExDa'!$B$2:$U$99, 15,FALSE), IFERROR(VLOOKUP($A252,'ABB ExDa'!$A$2:$N$184, 4,FALSE), IFERROR(VLOOKUP($A252,'Vocus SIT ExDa'!$B$2:$J$173, 5,FALSE), IFERROR(VLOOKUP($A252,'Telstra ExDa'!$B$2:$K$310, 8,FALSE), IFERROR(VLOOKUP($A252,'Vocus RVC ExDa'!$C$2:$R$155, 6,FALSE), IFERROR(VLOOKUP($A252,'Fusion ExDa'!$B$2:$D$16, 4,FALSE), IFERROR(VLOOKUP($A252,'Exetel ExDa'!$C$2:$N$14, 3,FALSE), IFERROR(VLOOKUP($A252,'Infinet ExDa'!$B$2:$E$14, 3,FALSE), "Not Found"))))))))</f>
        <v>ABB</v>
      </c>
      <c r="E252" t="str">
        <f>IFERROR(VLOOKUP($A252,'AAPT ExDa'!$B$2:$U$99, 3,FALSE), IFERROR(VLOOKUP($A252,'ABB ExDa'!$A$2:$N$184, 5,FALSE), IFERROR(VLOOKUP($A252,'Vocus SIT ExDa'!$B$2:$J$173, 2,FALSE), IFERROR(VLOOKUP($A252,'Telstra ExDa'!$B$2:$K$310, 4,FALSE), IFERROR(VLOOKUP($A252,'Vocus RVC ExDa'!$C$2:$R$155, 8,FALSE), IFERROR(VLOOKUP($A252,'Fusion ExDa'!$B$2:$D$16, 4,FALSE), IFERROR(VLOOKUP($A252,'Exetel ExDa'!$C$2:$N$14, 5,FALSE), IFERROR(VLOOKUP($A252,'Infinet ExDa'!$B$2:$E$14, 3,FALSE), "Not Found"))))))))</f>
        <v>1000Mbps Low CoS</v>
      </c>
      <c r="F252" t="str">
        <f>IFERROR(VLOOKUP($A252,'AAPT ExDa'!$B$2:$U$99, 4,FALSE), IFERROR(VLOOKUP($A252,'ABB ExDa'!$A$2:$N$184, 6,FALSE), IFERROR(VLOOKUP($A252,'Vocus SIT ExDa'!$B$2:$J$173, 3,FALSE), IFERROR(VLOOKUP($A252,'Telstra ExDa'!$B$2:$K$310, 5,FALSE), IFERROR(VLOOKUP($A252,'Vocus RVC ExDa'!$C$2:$R$155, 9,FALSE), IFERROR(VLOOKUP($A252,'Fusion ExDa'!$B$2:$D$16, 0,FALSE), IFERROR(VLOOKUP($A252,'Exetel ExDa'!$C$2:$N$14, 6,FALSE), IFERROR(VLOOKUP($A252,'Infinet ExDa'!$B$2:$E$14, 0,FALSE), "Not Found"))))))))</f>
        <v>180.181.210.204</v>
      </c>
      <c r="G252" t="str">
        <f>IFERROR(VLOOKUP($A252,'AAPT ExDa'!$B$2:$U$99, 5,FALSE), IFERROR(VLOOKUP($A252,'ABB ExDa'!$A$2:$N$184, 8,FALSE), IFERROR(VLOOKUP($A252,'Vocus SIT ExDa'!$B$2:$J$173, 6,FALSE), IFERROR(VLOOKUP($A252,'Telstra ExDa'!$B$2:$K$310, 0,FALSE), IFERROR(VLOOKUP($A252,'Vocus RVC ExDa'!$C$2:$R$155, 15,FALSE), IFERROR(VLOOKUP($A252,'Fusion ExDa'!$B$2:$D$16, 0,FALSE), IFERROR(VLOOKUP($A252,'Exetel ExDa'!$C$2:$N$14, 7,FALSE), IFERROR(VLOOKUP($A252,'Infinet ExDa'!$B$2:$E$14, 0,FALSE), "Not Found"))))))))</f>
        <v>12 Months</v>
      </c>
      <c r="H252" t="str">
        <f>IFERROR(VLOOKUP($A252,'AAPT ExDa'!$B$2:$U$99, 6,FALSE), IFERROR(VLOOKUP($A252,'ABB ExDa'!$A$2:$N$184, 0,FALSE), IFERROR(VLOOKUP($A252,'Vocus SIT ExDa'!$B$2:$J$173, 0,FALSE), IFERROR(VLOOKUP($A252,'Telstra ExDa'!$B$2:$K$310, 0,FALSE), IFERROR(VLOOKUP($A252,'Vocus RVC ExDa'!$C$2:$R$155, 16,FALSE), IFERROR(VLOOKUP($A252,'Fusion ExDa'!$B$2:$D$16, 0,FALSE), IFERROR(VLOOKUP($A252,'Exetel ExDa'!$C$2:$N$14, 0,FALSE), IFERROR(VLOOKUP($A252,'Infinet ExDa'!$B$2:$E$14, 0,FALSE), "Not Found"))))))))</f>
        <v>Not Found</v>
      </c>
      <c r="I252" t="str">
        <f>IFERROR(VLOOKUP($A252,'AAPT ExDa'!$B$2:$U$99, 0,FALSE), IFERROR(VLOOKUP($A252,'ABB ExDa'!$A$2:$N$184, 0,FALSE), IFERROR(VLOOKUP($A252,'Vocus SIT ExDa'!$B$2:$J$173, 0,FALSE), IFERROR(VLOOKUP($A252,'Telstra ExDa'!$B$2:$K$310, 0,FALSE), IFERROR(VLOOKUP($A252,'Vocus RVC ExDa'!$C$2:$R$155, 0,FALSE), IFERROR(VLOOKUP($A252,'Fusion ExDa'!$B$2:$D$16, 0,FALSE), IFERROR(VLOOKUP($A252,'Exetel ExDa'!$C$2:$N$14, 8,FALSE), IFERROR(VLOOKUP($A252,'Infinet ExDa'!$B$2:$E$14, 0,FALSE), "Not Found"))))))))</f>
        <v>Not Found</v>
      </c>
      <c r="J252" t="str">
        <f>IFERROR(VLOOKUP($A252,'AAPT ExDa'!$B$2:$U$99, 7,FALSE), IFERROR(VLOOKUP($A252,'ABB ExDa'!$A$2:$N$184, 2,FALSE), IFERROR(VLOOKUP($A252,'Vocus SIT ExDa'!$B$2:$J$173, 0,FALSE), IFERROR(VLOOKUP($A252,'Telstra ExDa'!$B$2:$K$310, 7,FALSE), IFERROR(VLOOKUP($A252,'Vocus RVC ExDa'!$C$2:$R$155, 2,FALSE), IFERROR(VLOOKUP($A252,'Fusion ExDa'!$B$2:$D$16, 3,FALSE), IFERROR(VLOOKUP($A252,'Exetel ExDa'!$C$2:$N$14, 0,FALSE), IFERROR(VLOOKUP($A252,'Infinet ExDa'!$B$2:$E$14, 0,FALSE), "Not Found"))))))))</f>
        <v>5 CHURCH LANE, EMERALD QLD</v>
      </c>
      <c r="K252" t="str">
        <f>IFERROR(VLOOKUP($A252,'AAPT ExDa'!$B$2:$U$99, 12,FALSE), IFERROR(VLOOKUP($A252,'ABB ExDa'!$A$2:$N$184, 0,FALSE), IFERROR(VLOOKUP($A252,'Vocus SIT ExDa'!$B$2:$J$173, 0,FALSE), IFERROR(VLOOKUP($A252,'Telstra ExDa'!$B$2:$K$310, 0,FALSE), IFERROR(VLOOKUP($A252,'Vocus RVC ExDa'!$C$2:$R$155, 0,FALSE), IFERROR(VLOOKUP($A252,'Fusion ExDa'!$B$2:$D$16, 0,FALSE), IFERROR(VLOOKUP($A252,'Exetel ExDa'!$C$2:$N$14, 12,FALSE), IFERROR(VLOOKUP($A252,'Infinet ExDa'!$B$2:$E$14, 0,FALSE), "Not Found"))))))))</f>
        <v>Not Found</v>
      </c>
      <c r="L252" s="235" t="str">
        <f>IFERROR(VLOOKUP($A252,'AAPT ExDa'!$B$2:$U$99, 11,FALSE), IFERROR(VLOOKUP($A252,'ABB ExDa'!$A$2:$N$184, 9,FALSE), IFERROR(VLOOKUP($A252,'Vocus SIT ExDa'!$B$2:$J$173, 8,FALSE), IFERROR(VLOOKUP($A252,'Telstra ExDa'!$B$2:$K$310, 0,FALSE), IFERROR(VLOOKUP($A252,'Vocus RVC ExDa'!$C$2:$R$155, 0,FALSE), IFERROR(VLOOKUP($A252,'Fusion ExDa'!$B$2:$D$16, 0,FALSE), IFERROR(VLOOKUP($A252,'Exetel ExDa'!$C$2:$N$14, 9,FALSE), IFERROR(VLOOKUP($A252,'Infinet ExDa'!$B$2:$E$14, 0,FALSE), "Not Found"))))))))</f>
        <v>13 June 2026</v>
      </c>
      <c r="M252" s="234" t="str">
        <f>IFERROR(VLOOKUP($A252,'AAPT ExDa'!$B$2:$U$99, 0,FALSE), IFERROR(VLOOKUP($A252,'ABB ExDa'!$A$2:$N$184, 0,FALSE), IFERROR(VLOOKUP($A252,'Vocus SIT ExDa'!$B$2:$J$173, 0,FALSE), IFERROR(VLOOKUP($A252,'Telstra ExDa'!$B$2:$K$310, 0,FALSE), IFERROR(VLOOKUP($A252,'Vocus RVC ExDa'!$C$2:$R$155, 0,FALSE), IFERROR(VLOOKUP($A252,'Fusion ExDa'!$B$2:$D$16, 0,FALSE), IFERROR(VLOOKUP($A252,'Exetel ExDa'!$C$2:$N$14, 11,FALSE), IFERROR(VLOOKUP($A252,'Infinet ExDa'!$B$2:$E$14, 0,FALSE), "Not Found"))))))))</f>
        <v>Not Found</v>
      </c>
      <c r="N252">
        <f>IFERROR(VLOOKUP($A252,'AAPT ExDa'!$B$2:$U$99, 0,FALSE), IFERROR(VLOOKUP($A252,'ABB ExDa'!$A$2:$N$184, 13,FALSE), IFERROR(VLOOKUP($A252,'Vocus SIT ExDa'!$B$2:$J$173, 0,FALSE), IFERROR(VLOOKUP($A252,'Telstra ExDa'!$B$2:$K$310, 0,FALSE), IFERROR(VLOOKUP($A252,'Vocus RVC ExDa'!$C$2:$R$155, 0,FALSE), IFERROR(VLOOKUP($A252,'Fusion ExDa'!$B$2:$D$16, 0,FALSE), IFERROR(VLOOKUP($A252,'Exetel ExDa'!$C$2:$N$14, 0,FALSE), IFERROR(VLOOKUP($A252,'Infinet ExDa'!$B$2:$E$14, 0,FALSE), "Not Found"))))))))</f>
        <v>0</v>
      </c>
    </row>
    <row r="253" spans="1:14">
      <c r="A253" t="str">
        <v>Bell Criminal Lawyers</v>
      </c>
      <c r="B253" t="str">
        <f>IFERROR(VLOOKUP(A253,'Exetel ExDa'!$C$2:$N$14,4,FALSE),"No Data")</f>
        <v>No Data</v>
      </c>
      <c r="C253" t="str">
        <f>IFERROR(VLOOKUP(A253,'AAPT ExDa'!$B$2:$U$99, 2,FALSE), IFERROR(VLOOKUP(A253,'ABB ExDa'!$A$2:$N$184, 2,FALSE), IFERROR(VLOOKUP(A253,'Vocus SIT ExDa'!$B$2:$J$173, 7,FALSE), IFERROR(VLOOKUP(A253,'Telstra ExDa'!$B$2:$K$310, 2,FALSE), IFERROR(VLOOKUP(A253,'Vocus RVC ExDa'!$C$2:$R$155, 3,FALSE), IFERROR(VLOOKUP(A253,'Fusion ExDa'!$B$2:$D$16, 2,FALSE), IFERROR(VLOOKUP(A253,'Exetel ExDa'!$C$2:$N$14, 2,FALSE), IFERROR(VLOOKUP(A253,'Infinet ExDa'!$B$2:$E$14, 2,FALSE), "Not Found"))))))))</f>
        <v xml:space="preserve">	BP HOUSE OFFC 10C, 193 NORTH QY, BRISBANE CITY QLD</v>
      </c>
      <c r="D253" t="str">
        <f>IFERROR(VLOOKUP($A253,'AAPT ExDa'!$B$2:$U$99, 15,FALSE), IFERROR(VLOOKUP($A253,'ABB ExDa'!$A$2:$N$184, 4,FALSE), IFERROR(VLOOKUP($A253,'Vocus SIT ExDa'!$B$2:$J$173, 5,FALSE), IFERROR(VLOOKUP($A253,'Telstra ExDa'!$B$2:$K$310, 8,FALSE), IFERROR(VLOOKUP($A253,'Vocus RVC ExDa'!$C$2:$R$155, 6,FALSE), IFERROR(VLOOKUP($A253,'Fusion ExDa'!$B$2:$D$16, 4,FALSE), IFERROR(VLOOKUP($A253,'Exetel ExDa'!$C$2:$N$14, 3,FALSE), IFERROR(VLOOKUP($A253,'Infinet ExDa'!$B$2:$E$14, 3,FALSE), "Not Found"))))))))</f>
        <v>ABB</v>
      </c>
      <c r="E253" t="str">
        <f>IFERROR(VLOOKUP($A253,'AAPT ExDa'!$B$2:$U$99, 3,FALSE), IFERROR(VLOOKUP($A253,'ABB ExDa'!$A$2:$N$184, 5,FALSE), IFERROR(VLOOKUP($A253,'Vocus SIT ExDa'!$B$2:$J$173, 2,FALSE), IFERROR(VLOOKUP($A253,'Telstra ExDa'!$B$2:$K$310, 4,FALSE), IFERROR(VLOOKUP($A253,'Vocus RVC ExDa'!$C$2:$R$155, 8,FALSE), IFERROR(VLOOKUP($A253,'Fusion ExDa'!$B$2:$D$16, 4,FALSE), IFERROR(VLOOKUP($A253,'Exetel ExDa'!$C$2:$N$14, 5,FALSE), IFERROR(VLOOKUP($A253,'Infinet ExDa'!$B$2:$E$14, 3,FALSE), "Not Found"))))))))</f>
        <v>250Mbps Low CoS</v>
      </c>
      <c r="F253" t="str">
        <f>IFERROR(VLOOKUP($A253,'AAPT ExDa'!$B$2:$U$99, 4,FALSE), IFERROR(VLOOKUP($A253,'ABB ExDa'!$A$2:$N$184, 6,FALSE), IFERROR(VLOOKUP($A253,'Vocus SIT ExDa'!$B$2:$J$173, 3,FALSE), IFERROR(VLOOKUP($A253,'Telstra ExDa'!$B$2:$K$310, 5,FALSE), IFERROR(VLOOKUP($A253,'Vocus RVC ExDa'!$C$2:$R$155, 9,FALSE), IFERROR(VLOOKUP($A253,'Fusion ExDa'!$B$2:$D$16, 0,FALSE), IFERROR(VLOOKUP($A253,'Exetel ExDa'!$C$2:$N$14, 6,FALSE), IFERROR(VLOOKUP($A253,'Infinet ExDa'!$B$2:$E$14, 0,FALSE), "Not Found"))))))))</f>
        <v>144.6.112.116</v>
      </c>
      <c r="G253" t="str">
        <f>IFERROR(VLOOKUP($A253,'AAPT ExDa'!$B$2:$U$99, 5,FALSE), IFERROR(VLOOKUP($A253,'ABB ExDa'!$A$2:$N$184, 8,FALSE), IFERROR(VLOOKUP($A253,'Vocus SIT ExDa'!$B$2:$J$173, 6,FALSE), IFERROR(VLOOKUP($A253,'Telstra ExDa'!$B$2:$K$310, 0,FALSE), IFERROR(VLOOKUP($A253,'Vocus RVC ExDa'!$C$2:$R$155, 15,FALSE), IFERROR(VLOOKUP($A253,'Fusion ExDa'!$B$2:$D$16, 0,FALSE), IFERROR(VLOOKUP($A253,'Exetel ExDa'!$C$2:$N$14, 7,FALSE), IFERROR(VLOOKUP($A253,'Infinet ExDa'!$B$2:$E$14, 0,FALSE), "Not Found"))))))))</f>
        <v>36 Months</v>
      </c>
      <c r="H253" t="str">
        <f>IFERROR(VLOOKUP($A253,'AAPT ExDa'!$B$2:$U$99, 6,FALSE), IFERROR(VLOOKUP($A253,'ABB ExDa'!$A$2:$N$184, 0,FALSE), IFERROR(VLOOKUP($A253,'Vocus SIT ExDa'!$B$2:$J$173, 0,FALSE), IFERROR(VLOOKUP($A253,'Telstra ExDa'!$B$2:$K$310, 0,FALSE), IFERROR(VLOOKUP($A253,'Vocus RVC ExDa'!$C$2:$R$155, 16,FALSE), IFERROR(VLOOKUP($A253,'Fusion ExDa'!$B$2:$D$16, 0,FALSE), IFERROR(VLOOKUP($A253,'Exetel ExDa'!$C$2:$N$14, 0,FALSE), IFERROR(VLOOKUP($A253,'Infinet ExDa'!$B$2:$E$14, 0,FALSE), "Not Found"))))))))</f>
        <v>Not Found</v>
      </c>
      <c r="I253" t="str">
        <f>IFERROR(VLOOKUP($A253,'AAPT ExDa'!$B$2:$U$99, 0,FALSE), IFERROR(VLOOKUP($A253,'ABB ExDa'!$A$2:$N$184, 0,FALSE), IFERROR(VLOOKUP($A253,'Vocus SIT ExDa'!$B$2:$J$173, 0,FALSE), IFERROR(VLOOKUP($A253,'Telstra ExDa'!$B$2:$K$310, 0,FALSE), IFERROR(VLOOKUP($A253,'Vocus RVC ExDa'!$C$2:$R$155, 0,FALSE), IFERROR(VLOOKUP($A253,'Fusion ExDa'!$B$2:$D$16, 0,FALSE), IFERROR(VLOOKUP($A253,'Exetel ExDa'!$C$2:$N$14, 8,FALSE), IFERROR(VLOOKUP($A253,'Infinet ExDa'!$B$2:$E$14, 0,FALSE), "Not Found"))))))))</f>
        <v>Not Found</v>
      </c>
      <c r="J253" t="str">
        <f>IFERROR(VLOOKUP($A253,'AAPT ExDa'!$B$2:$U$99, 7,FALSE), IFERROR(VLOOKUP($A253,'ABB ExDa'!$A$2:$N$184, 2,FALSE), IFERROR(VLOOKUP($A253,'Vocus SIT ExDa'!$B$2:$J$173, 0,FALSE), IFERROR(VLOOKUP($A253,'Telstra ExDa'!$B$2:$K$310, 7,FALSE), IFERROR(VLOOKUP($A253,'Vocus RVC ExDa'!$C$2:$R$155, 2,FALSE), IFERROR(VLOOKUP($A253,'Fusion ExDa'!$B$2:$D$16, 3,FALSE), IFERROR(VLOOKUP($A253,'Exetel ExDa'!$C$2:$N$14, 0,FALSE), IFERROR(VLOOKUP($A253,'Infinet ExDa'!$B$2:$E$14, 0,FALSE), "Not Found"))))))))</f>
        <v xml:space="preserve">	BP HOUSE OFFC 10C, 193 NORTH QY, BRISBANE CITY QLD</v>
      </c>
      <c r="K253" t="str">
        <f>IFERROR(VLOOKUP($A253,'AAPT ExDa'!$B$2:$U$99, 12,FALSE), IFERROR(VLOOKUP($A253,'ABB ExDa'!$A$2:$N$184, 0,FALSE), IFERROR(VLOOKUP($A253,'Vocus SIT ExDa'!$B$2:$J$173, 0,FALSE), IFERROR(VLOOKUP($A253,'Telstra ExDa'!$B$2:$K$310, 0,FALSE), IFERROR(VLOOKUP($A253,'Vocus RVC ExDa'!$C$2:$R$155, 0,FALSE), IFERROR(VLOOKUP($A253,'Fusion ExDa'!$B$2:$D$16, 0,FALSE), IFERROR(VLOOKUP($A253,'Exetel ExDa'!$C$2:$N$14, 12,FALSE), IFERROR(VLOOKUP($A253,'Infinet ExDa'!$B$2:$E$14, 0,FALSE), "Not Found"))))))))</f>
        <v>Not Found</v>
      </c>
      <c r="L253" s="235" t="str">
        <f>IFERROR(VLOOKUP($A253,'AAPT ExDa'!$B$2:$U$99, 11,FALSE), IFERROR(VLOOKUP($A253,'ABB ExDa'!$A$2:$N$184, 9,FALSE), IFERROR(VLOOKUP($A253,'Vocus SIT ExDa'!$B$2:$J$173, 8,FALSE), IFERROR(VLOOKUP($A253,'Telstra ExDa'!$B$2:$K$310, 0,FALSE), IFERROR(VLOOKUP($A253,'Vocus RVC ExDa'!$C$2:$R$155, 0,FALSE), IFERROR(VLOOKUP($A253,'Fusion ExDa'!$B$2:$D$16, 0,FALSE), IFERROR(VLOOKUP($A253,'Exetel ExDa'!$C$2:$N$14, 9,FALSE), IFERROR(VLOOKUP($A253,'Infinet ExDa'!$B$2:$E$14, 0,FALSE), "Not Found"))))))))</f>
        <v>22 May 2028</v>
      </c>
      <c r="M253" s="234" t="str">
        <f>IFERROR(VLOOKUP($A253,'AAPT ExDa'!$B$2:$U$99, 0,FALSE), IFERROR(VLOOKUP($A253,'ABB ExDa'!$A$2:$N$184, 0,FALSE), IFERROR(VLOOKUP($A253,'Vocus SIT ExDa'!$B$2:$J$173, 0,FALSE), IFERROR(VLOOKUP($A253,'Telstra ExDa'!$B$2:$K$310, 0,FALSE), IFERROR(VLOOKUP($A253,'Vocus RVC ExDa'!$C$2:$R$155, 0,FALSE), IFERROR(VLOOKUP($A253,'Fusion ExDa'!$B$2:$D$16, 0,FALSE), IFERROR(VLOOKUP($A253,'Exetel ExDa'!$C$2:$N$14, 11,FALSE), IFERROR(VLOOKUP($A253,'Infinet ExDa'!$B$2:$E$14, 0,FALSE), "Not Found"))))))))</f>
        <v>Not Found</v>
      </c>
      <c r="N253">
        <f>IFERROR(VLOOKUP($A253,'AAPT ExDa'!$B$2:$U$99, 0,FALSE), IFERROR(VLOOKUP($A253,'ABB ExDa'!$A$2:$N$184, 13,FALSE), IFERROR(VLOOKUP($A253,'Vocus SIT ExDa'!$B$2:$J$173, 0,FALSE), IFERROR(VLOOKUP($A253,'Telstra ExDa'!$B$2:$K$310, 0,FALSE), IFERROR(VLOOKUP($A253,'Vocus RVC ExDa'!$C$2:$R$155, 0,FALSE), IFERROR(VLOOKUP($A253,'Fusion ExDa'!$B$2:$D$16, 0,FALSE), IFERROR(VLOOKUP($A253,'Exetel ExDa'!$C$2:$N$14, 0,FALSE), IFERROR(VLOOKUP($A253,'Infinet ExDa'!$B$2:$E$14, 0,FALSE), "Not Found"))))))))</f>
        <v>0</v>
      </c>
    </row>
    <row r="254" spans="1:14">
      <c r="A254" t="str">
        <v>GBA Barcaldine</v>
      </c>
      <c r="B254" t="str">
        <f>IFERROR(VLOOKUP(A254,'Exetel ExDa'!$C$2:$N$14,4,FALSE),"No Data")</f>
        <v>No Data</v>
      </c>
      <c r="C254" t="str">
        <f>IFERROR(VLOOKUP(A254,'AAPT ExDa'!$B$2:$U$99, 2,FALSE), IFERROR(VLOOKUP(A254,'ABB ExDa'!$A$2:$N$184, 2,FALSE), IFERROR(VLOOKUP(A254,'Vocus SIT ExDa'!$B$2:$J$173, 7,FALSE), IFERROR(VLOOKUP(A254,'Telstra ExDa'!$B$2:$K$310, 2,FALSE), IFERROR(VLOOKUP(A254,'Vocus RVC ExDa'!$C$2:$R$155, 3,FALSE), IFERROR(VLOOKUP(A254,'Fusion ExDa'!$B$2:$D$16, 2,FALSE), IFERROR(VLOOKUP(A254,'Exetel ExDa'!$C$2:$N$14, 2,FALSE), IFERROR(VLOOKUP(A254,'Infinet ExDa'!$B$2:$E$14, 2,FALSE), "Not Found"))))))))</f>
        <v>73 ELM ST, BARCALDINE QLD</v>
      </c>
      <c r="D254" t="str">
        <f>IFERROR(VLOOKUP($A254,'AAPT ExDa'!$B$2:$U$99, 15,FALSE), IFERROR(VLOOKUP($A254,'ABB ExDa'!$A$2:$N$184, 4,FALSE), IFERROR(VLOOKUP($A254,'Vocus SIT ExDa'!$B$2:$J$173, 5,FALSE), IFERROR(VLOOKUP($A254,'Telstra ExDa'!$B$2:$K$310, 8,FALSE), IFERROR(VLOOKUP($A254,'Vocus RVC ExDa'!$C$2:$R$155, 6,FALSE), IFERROR(VLOOKUP($A254,'Fusion ExDa'!$B$2:$D$16, 4,FALSE), IFERROR(VLOOKUP($A254,'Exetel ExDa'!$C$2:$N$14, 3,FALSE), IFERROR(VLOOKUP($A254,'Infinet ExDa'!$B$2:$E$14, 3,FALSE), "Not Found"))))))))</f>
        <v>ABB</v>
      </c>
      <c r="E254" t="str">
        <f>IFERROR(VLOOKUP($A254,'AAPT ExDa'!$B$2:$U$99, 3,FALSE), IFERROR(VLOOKUP($A254,'ABB ExDa'!$A$2:$N$184, 5,FALSE), IFERROR(VLOOKUP($A254,'Vocus SIT ExDa'!$B$2:$J$173, 2,FALSE), IFERROR(VLOOKUP($A254,'Telstra ExDa'!$B$2:$K$310, 4,FALSE), IFERROR(VLOOKUP($A254,'Vocus RVC ExDa'!$C$2:$R$155, 8,FALSE), IFERROR(VLOOKUP($A254,'Fusion ExDa'!$B$2:$D$16, 4,FALSE), IFERROR(VLOOKUP($A254,'Exetel ExDa'!$C$2:$N$14, 5,FALSE), IFERROR(VLOOKUP($A254,'Infinet ExDa'!$B$2:$E$14, 3,FALSE), "Not Found"))))))))</f>
        <v>NBN 100/40</v>
      </c>
      <c r="F254" t="str">
        <f>IFERROR(VLOOKUP($A254,'AAPT ExDa'!$B$2:$U$99, 4,FALSE), IFERROR(VLOOKUP($A254,'ABB ExDa'!$A$2:$N$184, 6,FALSE), IFERROR(VLOOKUP($A254,'Vocus SIT ExDa'!$B$2:$J$173, 3,FALSE), IFERROR(VLOOKUP($A254,'Telstra ExDa'!$B$2:$K$310, 5,FALSE), IFERROR(VLOOKUP($A254,'Vocus RVC ExDa'!$C$2:$R$155, 9,FALSE), IFERROR(VLOOKUP($A254,'Fusion ExDa'!$B$2:$D$16, 0,FALSE), IFERROR(VLOOKUP($A254,'Exetel ExDa'!$C$2:$N$14, 6,FALSE), IFERROR(VLOOKUP($A254,'Infinet ExDa'!$B$2:$E$14, 0,FALSE), "Not Found"))))))))</f>
        <v xml:space="preserve">FTTN </v>
      </c>
      <c r="G254" t="str">
        <f>IFERROR(VLOOKUP($A254,'AAPT ExDa'!$B$2:$U$99, 5,FALSE), IFERROR(VLOOKUP($A254,'ABB ExDa'!$A$2:$N$184, 8,FALSE), IFERROR(VLOOKUP($A254,'Vocus SIT ExDa'!$B$2:$J$173, 6,FALSE), IFERROR(VLOOKUP($A254,'Telstra ExDa'!$B$2:$K$310, 0,FALSE), IFERROR(VLOOKUP($A254,'Vocus RVC ExDa'!$C$2:$R$155, 15,FALSE), IFERROR(VLOOKUP($A254,'Fusion ExDa'!$B$2:$D$16, 0,FALSE), IFERROR(VLOOKUP($A254,'Exetel ExDa'!$C$2:$N$14, 7,FALSE), IFERROR(VLOOKUP($A254,'Infinet ExDa'!$B$2:$E$14, 0,FALSE), "Not Found"))))))))</f>
        <v>144.6.127.34</v>
      </c>
      <c r="H254" t="str">
        <f>IFERROR(VLOOKUP($A254,'AAPT ExDa'!$B$2:$U$99, 6,FALSE), IFERROR(VLOOKUP($A254,'ABB ExDa'!$A$2:$N$184, 0,FALSE), IFERROR(VLOOKUP($A254,'Vocus SIT ExDa'!$B$2:$J$173, 0,FALSE), IFERROR(VLOOKUP($A254,'Telstra ExDa'!$B$2:$K$310, 0,FALSE), IFERROR(VLOOKUP($A254,'Vocus RVC ExDa'!$C$2:$R$155, 16,FALSE), IFERROR(VLOOKUP($A254,'Fusion ExDa'!$B$2:$D$16, 0,FALSE), IFERROR(VLOOKUP($A254,'Exetel ExDa'!$C$2:$N$14, 0,FALSE), IFERROR(VLOOKUP($A254,'Infinet ExDa'!$B$2:$E$14, 0,FALSE), "Not Found"))))))))</f>
        <v>Not Found</v>
      </c>
      <c r="I254" t="str">
        <f>IFERROR(VLOOKUP($A254,'AAPT ExDa'!$B$2:$U$99, 0,FALSE), IFERROR(VLOOKUP($A254,'ABB ExDa'!$A$2:$N$184, 0,FALSE), IFERROR(VLOOKUP($A254,'Vocus SIT ExDa'!$B$2:$J$173, 0,FALSE), IFERROR(VLOOKUP($A254,'Telstra ExDa'!$B$2:$K$310, 0,FALSE), IFERROR(VLOOKUP($A254,'Vocus RVC ExDa'!$C$2:$R$155, 0,FALSE), IFERROR(VLOOKUP($A254,'Fusion ExDa'!$B$2:$D$16, 0,FALSE), IFERROR(VLOOKUP($A254,'Exetel ExDa'!$C$2:$N$14, 8,FALSE), IFERROR(VLOOKUP($A254,'Infinet ExDa'!$B$2:$E$14, 0,FALSE), "Not Found"))))))))</f>
        <v>Not Found</v>
      </c>
      <c r="J254" t="str">
        <f>IFERROR(VLOOKUP($A254,'AAPT ExDa'!$B$2:$U$99, 7,FALSE), IFERROR(VLOOKUP($A254,'ABB ExDa'!$A$2:$N$184, 2,FALSE), IFERROR(VLOOKUP($A254,'Vocus SIT ExDa'!$B$2:$J$173, 0,FALSE), IFERROR(VLOOKUP($A254,'Telstra ExDa'!$B$2:$K$310, 7,FALSE), IFERROR(VLOOKUP($A254,'Vocus RVC ExDa'!$C$2:$R$155, 2,FALSE), IFERROR(VLOOKUP($A254,'Fusion ExDa'!$B$2:$D$16, 3,FALSE), IFERROR(VLOOKUP($A254,'Exetel ExDa'!$C$2:$N$14, 0,FALSE), IFERROR(VLOOKUP($A254,'Infinet ExDa'!$B$2:$E$14, 0,FALSE), "Not Found"))))))))</f>
        <v>73 ELM ST, BARCALDINE QLD</v>
      </c>
      <c r="K254" t="str">
        <f>IFERROR(VLOOKUP($A254,'AAPT ExDa'!$B$2:$U$99, 12,FALSE), IFERROR(VLOOKUP($A254,'ABB ExDa'!$A$2:$N$184, 0,FALSE), IFERROR(VLOOKUP($A254,'Vocus SIT ExDa'!$B$2:$J$173, 0,FALSE), IFERROR(VLOOKUP($A254,'Telstra ExDa'!$B$2:$K$310, 0,FALSE), IFERROR(VLOOKUP($A254,'Vocus RVC ExDa'!$C$2:$R$155, 0,FALSE), IFERROR(VLOOKUP($A254,'Fusion ExDa'!$B$2:$D$16, 0,FALSE), IFERROR(VLOOKUP($A254,'Exetel ExDa'!$C$2:$N$14, 12,FALSE), IFERROR(VLOOKUP($A254,'Infinet ExDa'!$B$2:$E$14, 0,FALSE), "Not Found"))))))))</f>
        <v>Not Found</v>
      </c>
      <c r="L254" s="235" t="str">
        <f>IFERROR(VLOOKUP($A254,'AAPT ExDa'!$B$2:$U$99, 11,FALSE), IFERROR(VLOOKUP($A254,'ABB ExDa'!$A$2:$N$184, 9,FALSE), IFERROR(VLOOKUP($A254,'Vocus SIT ExDa'!$B$2:$J$173, 8,FALSE), IFERROR(VLOOKUP($A254,'Telstra ExDa'!$B$2:$K$310, 0,FALSE), IFERROR(VLOOKUP($A254,'Vocus RVC ExDa'!$C$2:$R$155, 0,FALSE), IFERROR(VLOOKUP($A254,'Fusion ExDa'!$B$2:$D$16, 0,FALSE), IFERROR(VLOOKUP($A254,'Exetel ExDa'!$C$2:$N$14, 9,FALSE), IFERROR(VLOOKUP($A254,'Infinet ExDa'!$B$2:$E$14, 0,FALSE), "Not Found"))))))))</f>
        <v>05 Aug 2024</v>
      </c>
      <c r="M254" s="234" t="str">
        <f>IFERROR(VLOOKUP($A254,'AAPT ExDa'!$B$2:$U$99, 0,FALSE), IFERROR(VLOOKUP($A254,'ABB ExDa'!$A$2:$N$184, 0,FALSE), IFERROR(VLOOKUP($A254,'Vocus SIT ExDa'!$B$2:$J$173, 0,FALSE), IFERROR(VLOOKUP($A254,'Telstra ExDa'!$B$2:$K$310, 0,FALSE), IFERROR(VLOOKUP($A254,'Vocus RVC ExDa'!$C$2:$R$155, 0,FALSE), IFERROR(VLOOKUP($A254,'Fusion ExDa'!$B$2:$D$16, 0,FALSE), IFERROR(VLOOKUP($A254,'Exetel ExDa'!$C$2:$N$14, 11,FALSE), IFERROR(VLOOKUP($A254,'Infinet ExDa'!$B$2:$E$14, 0,FALSE), "Not Found"))))))))</f>
        <v>Not Found</v>
      </c>
      <c r="N254" t="str">
        <f>IFERROR(VLOOKUP($A254,'AAPT ExDa'!$B$2:$U$99, 0,FALSE), IFERROR(VLOOKUP($A254,'ABB ExDa'!$A$2:$N$184, 13,FALSE), IFERROR(VLOOKUP($A254,'Vocus SIT ExDa'!$B$2:$J$173, 0,FALSE), IFERROR(VLOOKUP($A254,'Telstra ExDa'!$B$2:$K$310, 0,FALSE), IFERROR(VLOOKUP($A254,'Vocus RVC ExDa'!$C$2:$R$155, 0,FALSE), IFERROR(VLOOKUP($A254,'Fusion ExDa'!$B$2:$D$16, 0,FALSE), IFERROR(VLOOKUP($A254,'Exetel ExDa'!$C$2:$N$14, 0,FALSE), IFERROR(VLOOKUP($A254,'Infinet ExDa'!$B$2:$E$14, 0,FALSE), "Not Found"))))))))</f>
        <v>Sasboss</v>
      </c>
    </row>
    <row r="255" spans="1:14">
      <c r="A255" t="str">
        <v>Cirque Apartments</v>
      </c>
      <c r="B255" t="str">
        <f>IFERROR(VLOOKUP(A255,'Exetel ExDa'!$C$2:$N$14,4,FALSE),"No Data")</f>
        <v>No Data</v>
      </c>
      <c r="C255" t="str">
        <f>IFERROR(VLOOKUP(A255,'AAPT ExDa'!$B$2:$U$99, 2,FALSE), IFERROR(VLOOKUP(A255,'ABB ExDa'!$A$2:$N$184, 2,FALSE), IFERROR(VLOOKUP(A255,'Vocus SIT ExDa'!$B$2:$J$173, 7,FALSE), IFERROR(VLOOKUP(A255,'Telstra ExDa'!$B$2:$K$310, 2,FALSE), IFERROR(VLOOKUP(A255,'Vocus RVC ExDa'!$C$2:$R$155, 3,FALSE), IFERROR(VLOOKUP(A255,'Fusion ExDa'!$B$2:$D$16, 2,FALSE), IFERROR(VLOOKUP(A255,'Exetel ExDa'!$C$2:$N$14, 2,FALSE), IFERROR(VLOOKUP(A255,'Infinet ExDa'!$B$2:$E$14, 2,FALSE), "Not Found"))))))))</f>
        <v>ROOM COMMS FCTY, 776 BRUNSWICK ST, NEW FARM QLD</v>
      </c>
      <c r="D255" t="str">
        <f>IFERROR(VLOOKUP($A255,'AAPT ExDa'!$B$2:$U$99, 15,FALSE), IFERROR(VLOOKUP($A255,'ABB ExDa'!$A$2:$N$184, 4,FALSE), IFERROR(VLOOKUP($A255,'Vocus SIT ExDa'!$B$2:$J$173, 5,FALSE), IFERROR(VLOOKUP($A255,'Telstra ExDa'!$B$2:$K$310, 8,FALSE), IFERROR(VLOOKUP($A255,'Vocus RVC ExDa'!$C$2:$R$155, 6,FALSE), IFERROR(VLOOKUP($A255,'Fusion ExDa'!$B$2:$D$16, 4,FALSE), IFERROR(VLOOKUP($A255,'Exetel ExDa'!$C$2:$N$14, 3,FALSE), IFERROR(VLOOKUP($A255,'Infinet ExDa'!$B$2:$E$14, 3,FALSE), "Not Found"))))))))</f>
        <v>ABB</v>
      </c>
      <c r="E255" t="str">
        <f>IFERROR(VLOOKUP($A255,'AAPT ExDa'!$B$2:$U$99, 3,FALSE), IFERROR(VLOOKUP($A255,'ABB ExDa'!$A$2:$N$184, 5,FALSE), IFERROR(VLOOKUP($A255,'Vocus SIT ExDa'!$B$2:$J$173, 2,FALSE), IFERROR(VLOOKUP($A255,'Telstra ExDa'!$B$2:$K$310, 4,FALSE), IFERROR(VLOOKUP($A255,'Vocus RVC ExDa'!$C$2:$R$155, 8,FALSE), IFERROR(VLOOKUP($A255,'Fusion ExDa'!$B$2:$D$16, 4,FALSE), IFERROR(VLOOKUP($A255,'Exetel ExDa'!$C$2:$N$14, 5,FALSE), IFERROR(VLOOKUP($A255,'Infinet ExDa'!$B$2:$E$14, 3,FALSE), "Not Found"))))))))</f>
        <v>500Mbps Low CoS</v>
      </c>
      <c r="F255" t="str">
        <f>IFERROR(VLOOKUP($A255,'AAPT ExDa'!$B$2:$U$99, 4,FALSE), IFERROR(VLOOKUP($A255,'ABB ExDa'!$A$2:$N$184, 6,FALSE), IFERROR(VLOOKUP($A255,'Vocus SIT ExDa'!$B$2:$J$173, 3,FALSE), IFERROR(VLOOKUP($A255,'Telstra ExDa'!$B$2:$K$310, 5,FALSE), IFERROR(VLOOKUP($A255,'Vocus RVC ExDa'!$C$2:$R$155, 9,FALSE), IFERROR(VLOOKUP($A255,'Fusion ExDa'!$B$2:$D$16, 0,FALSE), IFERROR(VLOOKUP($A255,'Exetel ExDa'!$C$2:$N$14, 6,FALSE), IFERROR(VLOOKUP($A255,'Infinet ExDa'!$B$2:$E$14, 0,FALSE), "Not Found"))))))))</f>
        <v>144.6.249.90</v>
      </c>
      <c r="G255" t="str">
        <f>IFERROR(VLOOKUP($A255,'AAPT ExDa'!$B$2:$U$99, 5,FALSE), IFERROR(VLOOKUP($A255,'ABB ExDa'!$A$2:$N$184, 8,FALSE), IFERROR(VLOOKUP($A255,'Vocus SIT ExDa'!$B$2:$J$173, 6,FALSE), IFERROR(VLOOKUP($A255,'Telstra ExDa'!$B$2:$K$310, 0,FALSE), IFERROR(VLOOKUP($A255,'Vocus RVC ExDa'!$C$2:$R$155, 15,FALSE), IFERROR(VLOOKUP($A255,'Fusion ExDa'!$B$2:$D$16, 0,FALSE), IFERROR(VLOOKUP($A255,'Exetel ExDa'!$C$2:$N$14, 7,FALSE), IFERROR(VLOOKUP($A255,'Infinet ExDa'!$B$2:$E$14, 0,FALSE), "Not Found"))))))))</f>
        <v>36 Months</v>
      </c>
      <c r="H255" t="str">
        <f>IFERROR(VLOOKUP($A255,'AAPT ExDa'!$B$2:$U$99, 6,FALSE), IFERROR(VLOOKUP($A255,'ABB ExDa'!$A$2:$N$184, 0,FALSE), IFERROR(VLOOKUP($A255,'Vocus SIT ExDa'!$B$2:$J$173, 0,FALSE), IFERROR(VLOOKUP($A255,'Telstra ExDa'!$B$2:$K$310, 0,FALSE), IFERROR(VLOOKUP($A255,'Vocus RVC ExDa'!$C$2:$R$155, 16,FALSE), IFERROR(VLOOKUP($A255,'Fusion ExDa'!$B$2:$D$16, 0,FALSE), IFERROR(VLOOKUP($A255,'Exetel ExDa'!$C$2:$N$14, 0,FALSE), IFERROR(VLOOKUP($A255,'Infinet ExDa'!$B$2:$E$14, 0,FALSE), "Not Found"))))))))</f>
        <v>Not Found</v>
      </c>
      <c r="I255" t="str">
        <f>IFERROR(VLOOKUP($A255,'AAPT ExDa'!$B$2:$U$99, 0,FALSE), IFERROR(VLOOKUP($A255,'ABB ExDa'!$A$2:$N$184, 0,FALSE), IFERROR(VLOOKUP($A255,'Vocus SIT ExDa'!$B$2:$J$173, 0,FALSE), IFERROR(VLOOKUP($A255,'Telstra ExDa'!$B$2:$K$310, 0,FALSE), IFERROR(VLOOKUP($A255,'Vocus RVC ExDa'!$C$2:$R$155, 0,FALSE), IFERROR(VLOOKUP($A255,'Fusion ExDa'!$B$2:$D$16, 0,FALSE), IFERROR(VLOOKUP($A255,'Exetel ExDa'!$C$2:$N$14, 8,FALSE), IFERROR(VLOOKUP($A255,'Infinet ExDa'!$B$2:$E$14, 0,FALSE), "Not Found"))))))))</f>
        <v>Not Found</v>
      </c>
      <c r="J255" t="str">
        <f>IFERROR(VLOOKUP($A255,'AAPT ExDa'!$B$2:$U$99, 7,FALSE), IFERROR(VLOOKUP($A255,'ABB ExDa'!$A$2:$N$184, 2,FALSE), IFERROR(VLOOKUP($A255,'Vocus SIT ExDa'!$B$2:$J$173, 0,FALSE), IFERROR(VLOOKUP($A255,'Telstra ExDa'!$B$2:$K$310, 7,FALSE), IFERROR(VLOOKUP($A255,'Vocus RVC ExDa'!$C$2:$R$155, 2,FALSE), IFERROR(VLOOKUP($A255,'Fusion ExDa'!$B$2:$D$16, 3,FALSE), IFERROR(VLOOKUP($A255,'Exetel ExDa'!$C$2:$N$14, 0,FALSE), IFERROR(VLOOKUP($A255,'Infinet ExDa'!$B$2:$E$14, 0,FALSE), "Not Found"))))))))</f>
        <v>ROOM COMMS FCTY, 776 BRUNSWICK ST, NEW FARM QLD</v>
      </c>
      <c r="K255" t="str">
        <f>IFERROR(VLOOKUP($A255,'AAPT ExDa'!$B$2:$U$99, 12,FALSE), IFERROR(VLOOKUP($A255,'ABB ExDa'!$A$2:$N$184, 0,FALSE), IFERROR(VLOOKUP($A255,'Vocus SIT ExDa'!$B$2:$J$173, 0,FALSE), IFERROR(VLOOKUP($A255,'Telstra ExDa'!$B$2:$K$310, 0,FALSE), IFERROR(VLOOKUP($A255,'Vocus RVC ExDa'!$C$2:$R$155, 0,FALSE), IFERROR(VLOOKUP($A255,'Fusion ExDa'!$B$2:$D$16, 0,FALSE), IFERROR(VLOOKUP($A255,'Exetel ExDa'!$C$2:$N$14, 12,FALSE), IFERROR(VLOOKUP($A255,'Infinet ExDa'!$B$2:$E$14, 0,FALSE), "Not Found"))))))))</f>
        <v>Not Found</v>
      </c>
      <c r="L255" s="235" t="str">
        <f>IFERROR(VLOOKUP($A255,'AAPT ExDa'!$B$2:$U$99, 11,FALSE), IFERROR(VLOOKUP($A255,'ABB ExDa'!$A$2:$N$184, 9,FALSE), IFERROR(VLOOKUP($A255,'Vocus SIT ExDa'!$B$2:$J$173, 8,FALSE), IFERROR(VLOOKUP($A255,'Telstra ExDa'!$B$2:$K$310, 0,FALSE), IFERROR(VLOOKUP($A255,'Vocus RVC ExDa'!$C$2:$R$155, 0,FALSE), IFERROR(VLOOKUP($A255,'Fusion ExDa'!$B$2:$D$16, 0,FALSE), IFERROR(VLOOKUP($A255,'Exetel ExDa'!$C$2:$N$14, 9,FALSE), IFERROR(VLOOKUP($A255,'Infinet ExDa'!$B$2:$E$14, 0,FALSE), "Not Found"))))))))</f>
        <v>25 Nov 2027</v>
      </c>
      <c r="M255" s="234" t="str">
        <f>IFERROR(VLOOKUP($A255,'AAPT ExDa'!$B$2:$U$99, 0,FALSE), IFERROR(VLOOKUP($A255,'ABB ExDa'!$A$2:$N$184, 0,FALSE), IFERROR(VLOOKUP($A255,'Vocus SIT ExDa'!$B$2:$J$173, 0,FALSE), IFERROR(VLOOKUP($A255,'Telstra ExDa'!$B$2:$K$310, 0,FALSE), IFERROR(VLOOKUP($A255,'Vocus RVC ExDa'!$C$2:$R$155, 0,FALSE), IFERROR(VLOOKUP($A255,'Fusion ExDa'!$B$2:$D$16, 0,FALSE), IFERROR(VLOOKUP($A255,'Exetel ExDa'!$C$2:$N$14, 11,FALSE), IFERROR(VLOOKUP($A255,'Infinet ExDa'!$B$2:$E$14, 0,FALSE), "Not Found"))))))))</f>
        <v>Not Found</v>
      </c>
      <c r="N255">
        <f>IFERROR(VLOOKUP($A255,'AAPT ExDa'!$B$2:$U$99, 0,FALSE), IFERROR(VLOOKUP($A255,'ABB ExDa'!$A$2:$N$184, 13,FALSE), IFERROR(VLOOKUP($A255,'Vocus SIT ExDa'!$B$2:$J$173, 0,FALSE), IFERROR(VLOOKUP($A255,'Telstra ExDa'!$B$2:$K$310, 0,FALSE), IFERROR(VLOOKUP($A255,'Vocus RVC ExDa'!$C$2:$R$155, 0,FALSE), IFERROR(VLOOKUP($A255,'Fusion ExDa'!$B$2:$D$16, 0,FALSE), IFERROR(VLOOKUP($A255,'Exetel ExDa'!$C$2:$N$14, 0,FALSE), IFERROR(VLOOKUP($A255,'Infinet ExDa'!$B$2:$E$14, 0,FALSE), "Not Found"))))))))</f>
        <v>0</v>
      </c>
    </row>
    <row r="256" spans="1:14">
      <c r="A256" t="str">
        <v>LFF HENDRA</v>
      </c>
      <c r="B256" t="str">
        <f>IFERROR(VLOOKUP(A256,'Exetel ExDa'!$C$2:$N$14,4,FALSE),"No Data")</f>
        <v>No Data</v>
      </c>
      <c r="C256" t="str">
        <f>IFERROR(VLOOKUP(A256,'AAPT ExDa'!$B$2:$U$99, 2,FALSE), IFERROR(VLOOKUP(A256,'ABB ExDa'!$A$2:$N$184, 2,FALSE), IFERROR(VLOOKUP(A256,'Vocus SIT ExDa'!$B$2:$J$173, 7,FALSE), IFERROR(VLOOKUP(A256,'Telstra ExDa'!$B$2:$K$310, 2,FALSE), IFERROR(VLOOKUP(A256,'Vocus RVC ExDa'!$C$2:$R$155, 3,FALSE), IFERROR(VLOOKUP(A256,'Fusion ExDa'!$B$2:$D$16, 2,FALSE), IFERROR(VLOOKUP(A256,'Exetel ExDa'!$C$2:$N$14, 2,FALSE), IFERROR(VLOOKUP(A256,'Infinet ExDa'!$B$2:$E$14, 2,FALSE), "Not Found"))))))))</f>
        <v>400 NUDGEE RD, HENDRA QLD</v>
      </c>
      <c r="D256" t="str">
        <f>IFERROR(VLOOKUP($A256,'AAPT ExDa'!$B$2:$U$99, 15,FALSE), IFERROR(VLOOKUP($A256,'ABB ExDa'!$A$2:$N$184, 4,FALSE), IFERROR(VLOOKUP($A256,'Vocus SIT ExDa'!$B$2:$J$173, 5,FALSE), IFERROR(VLOOKUP($A256,'Telstra ExDa'!$B$2:$K$310, 8,FALSE), IFERROR(VLOOKUP($A256,'Vocus RVC ExDa'!$C$2:$R$155, 6,FALSE), IFERROR(VLOOKUP($A256,'Fusion ExDa'!$B$2:$D$16, 4,FALSE), IFERROR(VLOOKUP($A256,'Exetel ExDa'!$C$2:$N$14, 3,FALSE), IFERROR(VLOOKUP($A256,'Infinet ExDa'!$B$2:$E$14, 3,FALSE), "Not Found"))))))))</f>
        <v>ABB</v>
      </c>
      <c r="E256" t="str">
        <f>IFERROR(VLOOKUP($A256,'AAPT ExDa'!$B$2:$U$99, 3,FALSE), IFERROR(VLOOKUP($A256,'ABB ExDa'!$A$2:$N$184, 5,FALSE), IFERROR(VLOOKUP($A256,'Vocus SIT ExDa'!$B$2:$J$173, 2,FALSE), IFERROR(VLOOKUP($A256,'Telstra ExDa'!$B$2:$K$310, 4,FALSE), IFERROR(VLOOKUP($A256,'Vocus RVC ExDa'!$C$2:$R$155, 8,FALSE), IFERROR(VLOOKUP($A256,'Fusion ExDa'!$B$2:$D$16, 4,FALSE), IFERROR(VLOOKUP($A256,'Exetel ExDa'!$C$2:$N$14, 5,FALSE), IFERROR(VLOOKUP($A256,'Infinet ExDa'!$B$2:$E$14, 3,FALSE), "Not Found"))))))))</f>
        <v>250Mbps High CoS</v>
      </c>
      <c r="F256" t="str">
        <f>IFERROR(VLOOKUP($A256,'AAPT ExDa'!$B$2:$U$99, 4,FALSE), IFERROR(VLOOKUP($A256,'ABB ExDa'!$A$2:$N$184, 6,FALSE), IFERROR(VLOOKUP($A256,'Vocus SIT ExDa'!$B$2:$J$173, 3,FALSE), IFERROR(VLOOKUP($A256,'Telstra ExDa'!$B$2:$K$310, 5,FALSE), IFERROR(VLOOKUP($A256,'Vocus RVC ExDa'!$C$2:$R$155, 9,FALSE), IFERROR(VLOOKUP($A256,'Fusion ExDa'!$B$2:$D$16, 0,FALSE), IFERROR(VLOOKUP($A256,'Exetel ExDa'!$C$2:$N$14, 6,FALSE), IFERROR(VLOOKUP($A256,'Infinet ExDa'!$B$2:$E$14, 0,FALSE), "Not Found"))))))))</f>
        <v>120.88.113.199</v>
      </c>
      <c r="G256" t="str">
        <f>IFERROR(VLOOKUP($A256,'AAPT ExDa'!$B$2:$U$99, 5,FALSE), IFERROR(VLOOKUP($A256,'ABB ExDa'!$A$2:$N$184, 8,FALSE), IFERROR(VLOOKUP($A256,'Vocus SIT ExDa'!$B$2:$J$173, 6,FALSE), IFERROR(VLOOKUP($A256,'Telstra ExDa'!$B$2:$K$310, 0,FALSE), IFERROR(VLOOKUP($A256,'Vocus RVC ExDa'!$C$2:$R$155, 15,FALSE), IFERROR(VLOOKUP($A256,'Fusion ExDa'!$B$2:$D$16, 0,FALSE), IFERROR(VLOOKUP($A256,'Exetel ExDa'!$C$2:$N$14, 7,FALSE), IFERROR(VLOOKUP($A256,'Infinet ExDa'!$B$2:$E$14, 0,FALSE), "Not Found"))))))))</f>
        <v>36 Months</v>
      </c>
      <c r="H256" t="str">
        <f>IFERROR(VLOOKUP($A256,'AAPT ExDa'!$B$2:$U$99, 6,FALSE), IFERROR(VLOOKUP($A256,'ABB ExDa'!$A$2:$N$184, 0,FALSE), IFERROR(VLOOKUP($A256,'Vocus SIT ExDa'!$B$2:$J$173, 0,FALSE), IFERROR(VLOOKUP($A256,'Telstra ExDa'!$B$2:$K$310, 0,FALSE), IFERROR(VLOOKUP($A256,'Vocus RVC ExDa'!$C$2:$R$155, 16,FALSE), IFERROR(VLOOKUP($A256,'Fusion ExDa'!$B$2:$D$16, 0,FALSE), IFERROR(VLOOKUP($A256,'Exetel ExDa'!$C$2:$N$14, 0,FALSE), IFERROR(VLOOKUP($A256,'Infinet ExDa'!$B$2:$E$14, 0,FALSE), "Not Found"))))))))</f>
        <v>Not Found</v>
      </c>
      <c r="I256" t="str">
        <f>IFERROR(VLOOKUP($A256,'AAPT ExDa'!$B$2:$U$99, 0,FALSE), IFERROR(VLOOKUP($A256,'ABB ExDa'!$A$2:$N$184, 0,FALSE), IFERROR(VLOOKUP($A256,'Vocus SIT ExDa'!$B$2:$J$173, 0,FALSE), IFERROR(VLOOKUP($A256,'Telstra ExDa'!$B$2:$K$310, 0,FALSE), IFERROR(VLOOKUP($A256,'Vocus RVC ExDa'!$C$2:$R$155, 0,FALSE), IFERROR(VLOOKUP($A256,'Fusion ExDa'!$B$2:$D$16, 0,FALSE), IFERROR(VLOOKUP($A256,'Exetel ExDa'!$C$2:$N$14, 8,FALSE), IFERROR(VLOOKUP($A256,'Infinet ExDa'!$B$2:$E$14, 0,FALSE), "Not Found"))))))))</f>
        <v>Not Found</v>
      </c>
      <c r="J256" t="str">
        <f>IFERROR(VLOOKUP($A256,'AAPT ExDa'!$B$2:$U$99, 7,FALSE), IFERROR(VLOOKUP($A256,'ABB ExDa'!$A$2:$N$184, 2,FALSE), IFERROR(VLOOKUP($A256,'Vocus SIT ExDa'!$B$2:$J$173, 0,FALSE), IFERROR(VLOOKUP($A256,'Telstra ExDa'!$B$2:$K$310, 7,FALSE), IFERROR(VLOOKUP($A256,'Vocus RVC ExDa'!$C$2:$R$155, 2,FALSE), IFERROR(VLOOKUP($A256,'Fusion ExDa'!$B$2:$D$16, 3,FALSE), IFERROR(VLOOKUP($A256,'Exetel ExDa'!$C$2:$N$14, 0,FALSE), IFERROR(VLOOKUP($A256,'Infinet ExDa'!$B$2:$E$14, 0,FALSE), "Not Found"))))))))</f>
        <v>400 NUDGEE RD, HENDRA QLD</v>
      </c>
      <c r="K256" t="str">
        <f>IFERROR(VLOOKUP($A256,'AAPT ExDa'!$B$2:$U$99, 12,FALSE), IFERROR(VLOOKUP($A256,'ABB ExDa'!$A$2:$N$184, 0,FALSE), IFERROR(VLOOKUP($A256,'Vocus SIT ExDa'!$B$2:$J$173, 0,FALSE), IFERROR(VLOOKUP($A256,'Telstra ExDa'!$B$2:$K$310, 0,FALSE), IFERROR(VLOOKUP($A256,'Vocus RVC ExDa'!$C$2:$R$155, 0,FALSE), IFERROR(VLOOKUP($A256,'Fusion ExDa'!$B$2:$D$16, 0,FALSE), IFERROR(VLOOKUP($A256,'Exetel ExDa'!$C$2:$N$14, 12,FALSE), IFERROR(VLOOKUP($A256,'Infinet ExDa'!$B$2:$E$14, 0,FALSE), "Not Found"))))))))</f>
        <v>Not Found</v>
      </c>
      <c r="L256" s="235" t="str">
        <f>IFERROR(VLOOKUP($A256,'AAPT ExDa'!$B$2:$U$99, 11,FALSE), IFERROR(VLOOKUP($A256,'ABB ExDa'!$A$2:$N$184, 9,FALSE), IFERROR(VLOOKUP($A256,'Vocus SIT ExDa'!$B$2:$J$173, 8,FALSE), IFERROR(VLOOKUP($A256,'Telstra ExDa'!$B$2:$K$310, 0,FALSE), IFERROR(VLOOKUP($A256,'Vocus RVC ExDa'!$C$2:$R$155, 0,FALSE), IFERROR(VLOOKUP($A256,'Fusion ExDa'!$B$2:$D$16, 0,FALSE), IFERROR(VLOOKUP($A256,'Exetel ExDa'!$C$2:$N$14, 9,FALSE), IFERROR(VLOOKUP($A256,'Infinet ExDa'!$B$2:$E$14, 0,FALSE), "Not Found"))))))))</f>
        <v>29 Oct 2027</v>
      </c>
      <c r="M256" s="234" t="str">
        <f>IFERROR(VLOOKUP($A256,'AAPT ExDa'!$B$2:$U$99, 0,FALSE), IFERROR(VLOOKUP($A256,'ABB ExDa'!$A$2:$N$184, 0,FALSE), IFERROR(VLOOKUP($A256,'Vocus SIT ExDa'!$B$2:$J$173, 0,FALSE), IFERROR(VLOOKUP($A256,'Telstra ExDa'!$B$2:$K$310, 0,FALSE), IFERROR(VLOOKUP($A256,'Vocus RVC ExDa'!$C$2:$R$155, 0,FALSE), IFERROR(VLOOKUP($A256,'Fusion ExDa'!$B$2:$D$16, 0,FALSE), IFERROR(VLOOKUP($A256,'Exetel ExDa'!$C$2:$N$14, 11,FALSE), IFERROR(VLOOKUP($A256,'Infinet ExDa'!$B$2:$E$14, 0,FALSE), "Not Found"))))))))</f>
        <v>Not Found</v>
      </c>
      <c r="N256">
        <f>IFERROR(VLOOKUP($A256,'AAPT ExDa'!$B$2:$U$99, 0,FALSE), IFERROR(VLOOKUP($A256,'ABB ExDa'!$A$2:$N$184, 13,FALSE), IFERROR(VLOOKUP($A256,'Vocus SIT ExDa'!$B$2:$J$173, 0,FALSE), IFERROR(VLOOKUP($A256,'Telstra ExDa'!$B$2:$K$310, 0,FALSE), IFERROR(VLOOKUP($A256,'Vocus RVC ExDa'!$C$2:$R$155, 0,FALSE), IFERROR(VLOOKUP($A256,'Fusion ExDa'!$B$2:$D$16, 0,FALSE), IFERROR(VLOOKUP($A256,'Exetel ExDa'!$C$2:$N$14, 0,FALSE), IFERROR(VLOOKUP($A256,'Infinet ExDa'!$B$2:$E$14, 0,FALSE), "Not Found"))))))))</f>
        <v>0</v>
      </c>
    </row>
    <row r="257" spans="1:14">
      <c r="A257" t="str">
        <v>Norwest Strata Management</v>
      </c>
      <c r="B257" t="str">
        <f>IFERROR(VLOOKUP(A257,'Exetel ExDa'!$C$2:$N$14,4,FALSE),"No Data")</f>
        <v>No Data</v>
      </c>
      <c r="C257" t="str">
        <f>IFERROR(VLOOKUP(A257,'AAPT ExDa'!$B$2:$U$99, 2,FALSE), IFERROR(VLOOKUP(A257,'ABB ExDa'!$A$2:$N$184, 2,FALSE), IFERROR(VLOOKUP(A257,'Vocus SIT ExDa'!$B$2:$J$173, 7,FALSE), IFERROR(VLOOKUP(A257,'Telstra ExDa'!$B$2:$K$310, 2,FALSE), IFERROR(VLOOKUP(A257,'Vocus RVC ExDa'!$C$2:$R$155, 3,FALSE), IFERROR(VLOOKUP(A257,'Fusion ExDa'!$B$2:$D$16, 2,FALSE), IFERROR(VLOOKUP(A257,'Exetel ExDa'!$C$2:$N$14, 2,FALSE), IFERROR(VLOOKUP(A257,'Infinet ExDa'!$B$2:$E$14, 2,FALSE), "Not Found"))))))))</f>
        <v>BROOKHOLLOW UNIT 5, 40 BROOKHOLLOW AV, NORWEST NSW</v>
      </c>
      <c r="D257" t="str">
        <f>IFERROR(VLOOKUP($A257,'AAPT ExDa'!$B$2:$U$99, 15,FALSE), IFERROR(VLOOKUP($A257,'ABB ExDa'!$A$2:$N$184, 4,FALSE), IFERROR(VLOOKUP($A257,'Vocus SIT ExDa'!$B$2:$J$173, 5,FALSE), IFERROR(VLOOKUP($A257,'Telstra ExDa'!$B$2:$K$310, 8,FALSE), IFERROR(VLOOKUP($A257,'Vocus RVC ExDa'!$C$2:$R$155, 6,FALSE), IFERROR(VLOOKUP($A257,'Fusion ExDa'!$B$2:$D$16, 4,FALSE), IFERROR(VLOOKUP($A257,'Exetel ExDa'!$C$2:$N$14, 3,FALSE), IFERROR(VLOOKUP($A257,'Infinet ExDa'!$B$2:$E$14, 3,FALSE), "Not Found"))))))))</f>
        <v>ABB</v>
      </c>
      <c r="E257" t="str">
        <f>IFERROR(VLOOKUP($A257,'AAPT ExDa'!$B$2:$U$99, 3,FALSE), IFERROR(VLOOKUP($A257,'ABB ExDa'!$A$2:$N$184, 5,FALSE), IFERROR(VLOOKUP($A257,'Vocus SIT ExDa'!$B$2:$J$173, 2,FALSE), IFERROR(VLOOKUP($A257,'Telstra ExDa'!$B$2:$K$310, 4,FALSE), IFERROR(VLOOKUP($A257,'Vocus RVC ExDa'!$C$2:$R$155, 8,FALSE), IFERROR(VLOOKUP($A257,'Fusion ExDa'!$B$2:$D$16, 4,FALSE), IFERROR(VLOOKUP($A257,'Exetel ExDa'!$C$2:$N$14, 5,FALSE), IFERROR(VLOOKUP($A257,'Infinet ExDa'!$B$2:$E$14, 3,FALSE), "Not Found"))))))))</f>
        <v>500Mbps Low CoS</v>
      </c>
      <c r="F257" t="str">
        <f>IFERROR(VLOOKUP($A257,'AAPT ExDa'!$B$2:$U$99, 4,FALSE), IFERROR(VLOOKUP($A257,'ABB ExDa'!$A$2:$N$184, 6,FALSE), IFERROR(VLOOKUP($A257,'Vocus SIT ExDa'!$B$2:$J$173, 3,FALSE), IFERROR(VLOOKUP($A257,'Telstra ExDa'!$B$2:$K$310, 5,FALSE), IFERROR(VLOOKUP($A257,'Vocus RVC ExDa'!$C$2:$R$155, 9,FALSE), IFERROR(VLOOKUP($A257,'Fusion ExDa'!$B$2:$D$16, 0,FALSE), IFERROR(VLOOKUP($A257,'Exetel ExDa'!$C$2:$N$14, 6,FALSE), IFERROR(VLOOKUP($A257,'Infinet ExDa'!$B$2:$E$14, 0,FALSE), "Not Found"))))))))</f>
        <v>144.6.47.44</v>
      </c>
      <c r="G257" t="str">
        <f>IFERROR(VLOOKUP($A257,'AAPT ExDa'!$B$2:$U$99, 5,FALSE), IFERROR(VLOOKUP($A257,'ABB ExDa'!$A$2:$N$184, 8,FALSE), IFERROR(VLOOKUP($A257,'Vocus SIT ExDa'!$B$2:$J$173, 6,FALSE), IFERROR(VLOOKUP($A257,'Telstra ExDa'!$B$2:$K$310, 0,FALSE), IFERROR(VLOOKUP($A257,'Vocus RVC ExDa'!$C$2:$R$155, 15,FALSE), IFERROR(VLOOKUP($A257,'Fusion ExDa'!$B$2:$D$16, 0,FALSE), IFERROR(VLOOKUP($A257,'Exetel ExDa'!$C$2:$N$14, 7,FALSE), IFERROR(VLOOKUP($A257,'Infinet ExDa'!$B$2:$E$14, 0,FALSE), "Not Found"))))))))</f>
        <v>36 Months</v>
      </c>
      <c r="H257" t="str">
        <f>IFERROR(VLOOKUP($A257,'AAPT ExDa'!$B$2:$U$99, 6,FALSE), IFERROR(VLOOKUP($A257,'ABB ExDa'!$A$2:$N$184, 0,FALSE), IFERROR(VLOOKUP($A257,'Vocus SIT ExDa'!$B$2:$J$173, 0,FALSE), IFERROR(VLOOKUP($A257,'Telstra ExDa'!$B$2:$K$310, 0,FALSE), IFERROR(VLOOKUP($A257,'Vocus RVC ExDa'!$C$2:$R$155, 16,FALSE), IFERROR(VLOOKUP($A257,'Fusion ExDa'!$B$2:$D$16, 0,FALSE), IFERROR(VLOOKUP($A257,'Exetel ExDa'!$C$2:$N$14, 0,FALSE), IFERROR(VLOOKUP($A257,'Infinet ExDa'!$B$2:$E$14, 0,FALSE), "Not Found"))))))))</f>
        <v>Not Found</v>
      </c>
      <c r="I257" t="str">
        <f>IFERROR(VLOOKUP($A257,'AAPT ExDa'!$B$2:$U$99, 0,FALSE), IFERROR(VLOOKUP($A257,'ABB ExDa'!$A$2:$N$184, 0,FALSE), IFERROR(VLOOKUP($A257,'Vocus SIT ExDa'!$B$2:$J$173, 0,FALSE), IFERROR(VLOOKUP($A257,'Telstra ExDa'!$B$2:$K$310, 0,FALSE), IFERROR(VLOOKUP($A257,'Vocus RVC ExDa'!$C$2:$R$155, 0,FALSE), IFERROR(VLOOKUP($A257,'Fusion ExDa'!$B$2:$D$16, 0,FALSE), IFERROR(VLOOKUP($A257,'Exetel ExDa'!$C$2:$N$14, 8,FALSE), IFERROR(VLOOKUP($A257,'Infinet ExDa'!$B$2:$E$14, 0,FALSE), "Not Found"))))))))</f>
        <v>Not Found</v>
      </c>
      <c r="J257" t="str">
        <f>IFERROR(VLOOKUP($A257,'AAPT ExDa'!$B$2:$U$99, 7,FALSE), IFERROR(VLOOKUP($A257,'ABB ExDa'!$A$2:$N$184, 2,FALSE), IFERROR(VLOOKUP($A257,'Vocus SIT ExDa'!$B$2:$J$173, 0,FALSE), IFERROR(VLOOKUP($A257,'Telstra ExDa'!$B$2:$K$310, 7,FALSE), IFERROR(VLOOKUP($A257,'Vocus RVC ExDa'!$C$2:$R$155, 2,FALSE), IFERROR(VLOOKUP($A257,'Fusion ExDa'!$B$2:$D$16, 3,FALSE), IFERROR(VLOOKUP($A257,'Exetel ExDa'!$C$2:$N$14, 0,FALSE), IFERROR(VLOOKUP($A257,'Infinet ExDa'!$B$2:$E$14, 0,FALSE), "Not Found"))))))))</f>
        <v>BROOKHOLLOW UNIT 5, 40 BROOKHOLLOW AV, NORWEST NSW</v>
      </c>
      <c r="K257" t="str">
        <f>IFERROR(VLOOKUP($A257,'AAPT ExDa'!$B$2:$U$99, 12,FALSE), IFERROR(VLOOKUP($A257,'ABB ExDa'!$A$2:$N$184, 0,FALSE), IFERROR(VLOOKUP($A257,'Vocus SIT ExDa'!$B$2:$J$173, 0,FALSE), IFERROR(VLOOKUP($A257,'Telstra ExDa'!$B$2:$K$310, 0,FALSE), IFERROR(VLOOKUP($A257,'Vocus RVC ExDa'!$C$2:$R$155, 0,FALSE), IFERROR(VLOOKUP($A257,'Fusion ExDa'!$B$2:$D$16, 0,FALSE), IFERROR(VLOOKUP($A257,'Exetel ExDa'!$C$2:$N$14, 12,FALSE), IFERROR(VLOOKUP($A257,'Infinet ExDa'!$B$2:$E$14, 0,FALSE), "Not Found"))))))))</f>
        <v>Not Found</v>
      </c>
      <c r="L257" s="235" t="str">
        <f>IFERROR(VLOOKUP($A257,'AAPT ExDa'!$B$2:$U$99, 11,FALSE), IFERROR(VLOOKUP($A257,'ABB ExDa'!$A$2:$N$184, 9,FALSE), IFERROR(VLOOKUP($A257,'Vocus SIT ExDa'!$B$2:$J$173, 8,FALSE), IFERROR(VLOOKUP($A257,'Telstra ExDa'!$B$2:$K$310, 0,FALSE), IFERROR(VLOOKUP($A257,'Vocus RVC ExDa'!$C$2:$R$155, 0,FALSE), IFERROR(VLOOKUP($A257,'Fusion ExDa'!$B$2:$D$16, 0,FALSE), IFERROR(VLOOKUP($A257,'Exetel ExDa'!$C$2:$N$14, 9,FALSE), IFERROR(VLOOKUP($A257,'Infinet ExDa'!$B$2:$E$14, 0,FALSE), "Not Found"))))))))</f>
        <v>27 Sept 2026</v>
      </c>
      <c r="M257" s="234" t="str">
        <f>IFERROR(VLOOKUP($A257,'AAPT ExDa'!$B$2:$U$99, 0,FALSE), IFERROR(VLOOKUP($A257,'ABB ExDa'!$A$2:$N$184, 0,FALSE), IFERROR(VLOOKUP($A257,'Vocus SIT ExDa'!$B$2:$J$173, 0,FALSE), IFERROR(VLOOKUP($A257,'Telstra ExDa'!$B$2:$K$310, 0,FALSE), IFERROR(VLOOKUP($A257,'Vocus RVC ExDa'!$C$2:$R$155, 0,FALSE), IFERROR(VLOOKUP($A257,'Fusion ExDa'!$B$2:$D$16, 0,FALSE), IFERROR(VLOOKUP($A257,'Exetel ExDa'!$C$2:$N$14, 11,FALSE), IFERROR(VLOOKUP($A257,'Infinet ExDa'!$B$2:$E$14, 0,FALSE), "Not Found"))))))))</f>
        <v>Not Found</v>
      </c>
      <c r="N257">
        <f>IFERROR(VLOOKUP($A257,'AAPT ExDa'!$B$2:$U$99, 0,FALSE), IFERROR(VLOOKUP($A257,'ABB ExDa'!$A$2:$N$184, 13,FALSE), IFERROR(VLOOKUP($A257,'Vocus SIT ExDa'!$B$2:$J$173, 0,FALSE), IFERROR(VLOOKUP($A257,'Telstra ExDa'!$B$2:$K$310, 0,FALSE), IFERROR(VLOOKUP($A257,'Vocus RVC ExDa'!$C$2:$R$155, 0,FALSE), IFERROR(VLOOKUP($A257,'Fusion ExDa'!$B$2:$D$16, 0,FALSE), IFERROR(VLOOKUP($A257,'Exetel ExDa'!$C$2:$N$14, 0,FALSE), IFERROR(VLOOKUP($A257,'Infinet ExDa'!$B$2:$E$14, 0,FALSE), "Not Found"))))))))</f>
        <v>0</v>
      </c>
    </row>
    <row r="258" spans="1:14">
      <c r="A258" t="str">
        <v>Fox and Thomas Business Lawyers</v>
      </c>
      <c r="B258" t="str">
        <f>IFERROR(VLOOKUP(A258,'Exetel ExDa'!$C$2:$N$14,4,FALSE),"No Data")</f>
        <v>No Data</v>
      </c>
      <c r="C258" t="str">
        <f>IFERROR(VLOOKUP(A258,'AAPT ExDa'!$B$2:$U$99, 2,FALSE), IFERROR(VLOOKUP(A258,'ABB ExDa'!$A$2:$N$184, 2,FALSE), IFERROR(VLOOKUP(A258,'Vocus SIT ExDa'!$B$2:$J$173, 7,FALSE), IFERROR(VLOOKUP(A258,'Telstra ExDa'!$B$2:$K$310, 2,FALSE), IFERROR(VLOOKUP(A258,'Vocus RVC ExDa'!$C$2:$R$155, 3,FALSE), IFERROR(VLOOKUP(A258,'Fusion ExDa'!$B$2:$D$16, 2,FALSE), IFERROR(VLOOKUP(A258,'Exetel ExDa'!$C$2:$N$14, 2,FALSE), IFERROR(VLOOKUP(A258,'Infinet ExDa'!$B$2:$E$14, 2,FALSE), "Not Found"))))))))</f>
        <v>36 MARSHALL ST, GOONDIWINDI QLD</v>
      </c>
      <c r="D258" t="str">
        <f>IFERROR(VLOOKUP($A258,'AAPT ExDa'!$B$2:$U$99, 15,FALSE), IFERROR(VLOOKUP($A258,'ABB ExDa'!$A$2:$N$184, 4,FALSE), IFERROR(VLOOKUP($A258,'Vocus SIT ExDa'!$B$2:$J$173, 5,FALSE), IFERROR(VLOOKUP($A258,'Telstra ExDa'!$B$2:$K$310, 8,FALSE), IFERROR(VLOOKUP($A258,'Vocus RVC ExDa'!$C$2:$R$155, 6,FALSE), IFERROR(VLOOKUP($A258,'Fusion ExDa'!$B$2:$D$16, 4,FALSE), IFERROR(VLOOKUP($A258,'Exetel ExDa'!$C$2:$N$14, 3,FALSE), IFERROR(VLOOKUP($A258,'Infinet ExDa'!$B$2:$E$14, 3,FALSE), "Not Found"))))))))</f>
        <v>ABB</v>
      </c>
      <c r="E258" t="str">
        <f>IFERROR(VLOOKUP($A258,'AAPT ExDa'!$B$2:$U$99, 3,FALSE), IFERROR(VLOOKUP($A258,'ABB ExDa'!$A$2:$N$184, 5,FALSE), IFERROR(VLOOKUP($A258,'Vocus SIT ExDa'!$B$2:$J$173, 2,FALSE), IFERROR(VLOOKUP($A258,'Telstra ExDa'!$B$2:$K$310, 4,FALSE), IFERROR(VLOOKUP($A258,'Vocus RVC ExDa'!$C$2:$R$155, 8,FALSE), IFERROR(VLOOKUP($A258,'Fusion ExDa'!$B$2:$D$16, 4,FALSE), IFERROR(VLOOKUP($A258,'Exetel ExDa'!$C$2:$N$14, 5,FALSE), IFERROR(VLOOKUP($A258,'Infinet ExDa'!$B$2:$E$14, 3,FALSE), "Not Found"))))))))</f>
        <v>500Mbps Low CoS</v>
      </c>
      <c r="F258" t="str">
        <f>IFERROR(VLOOKUP($A258,'AAPT ExDa'!$B$2:$U$99, 4,FALSE), IFERROR(VLOOKUP($A258,'ABB ExDa'!$A$2:$N$184, 6,FALSE), IFERROR(VLOOKUP($A258,'Vocus SIT ExDa'!$B$2:$J$173, 3,FALSE), IFERROR(VLOOKUP($A258,'Telstra ExDa'!$B$2:$K$310, 5,FALSE), IFERROR(VLOOKUP($A258,'Vocus RVC ExDa'!$C$2:$R$155, 9,FALSE), IFERROR(VLOOKUP($A258,'Fusion ExDa'!$B$2:$D$16, 0,FALSE), IFERROR(VLOOKUP($A258,'Exetel ExDa'!$C$2:$N$14, 6,FALSE), IFERROR(VLOOKUP($A258,'Infinet ExDa'!$B$2:$E$14, 0,FALSE), "Not Found"))))))))</f>
        <v>144.6.100.231</v>
      </c>
      <c r="G258" t="str">
        <f>IFERROR(VLOOKUP($A258,'AAPT ExDa'!$B$2:$U$99, 5,FALSE), IFERROR(VLOOKUP($A258,'ABB ExDa'!$A$2:$N$184, 8,FALSE), IFERROR(VLOOKUP($A258,'Vocus SIT ExDa'!$B$2:$J$173, 6,FALSE), IFERROR(VLOOKUP($A258,'Telstra ExDa'!$B$2:$K$310, 0,FALSE), IFERROR(VLOOKUP($A258,'Vocus RVC ExDa'!$C$2:$R$155, 15,FALSE), IFERROR(VLOOKUP($A258,'Fusion ExDa'!$B$2:$D$16, 0,FALSE), IFERROR(VLOOKUP($A258,'Exetel ExDa'!$C$2:$N$14, 7,FALSE), IFERROR(VLOOKUP($A258,'Infinet ExDa'!$B$2:$E$14, 0,FALSE), "Not Found"))))))))</f>
        <v>36 Months</v>
      </c>
      <c r="H258" t="str">
        <f>IFERROR(VLOOKUP($A258,'AAPT ExDa'!$B$2:$U$99, 6,FALSE), IFERROR(VLOOKUP($A258,'ABB ExDa'!$A$2:$N$184, 0,FALSE), IFERROR(VLOOKUP($A258,'Vocus SIT ExDa'!$B$2:$J$173, 0,FALSE), IFERROR(VLOOKUP($A258,'Telstra ExDa'!$B$2:$K$310, 0,FALSE), IFERROR(VLOOKUP($A258,'Vocus RVC ExDa'!$C$2:$R$155, 16,FALSE), IFERROR(VLOOKUP($A258,'Fusion ExDa'!$B$2:$D$16, 0,FALSE), IFERROR(VLOOKUP($A258,'Exetel ExDa'!$C$2:$N$14, 0,FALSE), IFERROR(VLOOKUP($A258,'Infinet ExDa'!$B$2:$E$14, 0,FALSE), "Not Found"))))))))</f>
        <v>Not Found</v>
      </c>
      <c r="I258" t="str">
        <f>IFERROR(VLOOKUP($A258,'AAPT ExDa'!$B$2:$U$99, 0,FALSE), IFERROR(VLOOKUP($A258,'ABB ExDa'!$A$2:$N$184, 0,FALSE), IFERROR(VLOOKUP($A258,'Vocus SIT ExDa'!$B$2:$J$173, 0,FALSE), IFERROR(VLOOKUP($A258,'Telstra ExDa'!$B$2:$K$310, 0,FALSE), IFERROR(VLOOKUP($A258,'Vocus RVC ExDa'!$C$2:$R$155, 0,FALSE), IFERROR(VLOOKUP($A258,'Fusion ExDa'!$B$2:$D$16, 0,FALSE), IFERROR(VLOOKUP($A258,'Exetel ExDa'!$C$2:$N$14, 8,FALSE), IFERROR(VLOOKUP($A258,'Infinet ExDa'!$B$2:$E$14, 0,FALSE), "Not Found"))))))))</f>
        <v>Not Found</v>
      </c>
      <c r="J258" t="str">
        <f>IFERROR(VLOOKUP($A258,'AAPT ExDa'!$B$2:$U$99, 7,FALSE), IFERROR(VLOOKUP($A258,'ABB ExDa'!$A$2:$N$184, 2,FALSE), IFERROR(VLOOKUP($A258,'Vocus SIT ExDa'!$B$2:$J$173, 0,FALSE), IFERROR(VLOOKUP($A258,'Telstra ExDa'!$B$2:$K$310, 7,FALSE), IFERROR(VLOOKUP($A258,'Vocus RVC ExDa'!$C$2:$R$155, 2,FALSE), IFERROR(VLOOKUP($A258,'Fusion ExDa'!$B$2:$D$16, 3,FALSE), IFERROR(VLOOKUP($A258,'Exetel ExDa'!$C$2:$N$14, 0,FALSE), IFERROR(VLOOKUP($A258,'Infinet ExDa'!$B$2:$E$14, 0,FALSE), "Not Found"))))))))</f>
        <v>36 MARSHALL ST, GOONDIWINDI QLD</v>
      </c>
      <c r="K258" t="str">
        <f>IFERROR(VLOOKUP($A258,'AAPT ExDa'!$B$2:$U$99, 12,FALSE), IFERROR(VLOOKUP($A258,'ABB ExDa'!$A$2:$N$184, 0,FALSE), IFERROR(VLOOKUP($A258,'Vocus SIT ExDa'!$B$2:$J$173, 0,FALSE), IFERROR(VLOOKUP($A258,'Telstra ExDa'!$B$2:$K$310, 0,FALSE), IFERROR(VLOOKUP($A258,'Vocus RVC ExDa'!$C$2:$R$155, 0,FALSE), IFERROR(VLOOKUP($A258,'Fusion ExDa'!$B$2:$D$16, 0,FALSE), IFERROR(VLOOKUP($A258,'Exetel ExDa'!$C$2:$N$14, 12,FALSE), IFERROR(VLOOKUP($A258,'Infinet ExDa'!$B$2:$E$14, 0,FALSE), "Not Found"))))))))</f>
        <v>Not Found</v>
      </c>
      <c r="L258" s="235" t="str">
        <f>IFERROR(VLOOKUP($A258,'AAPT ExDa'!$B$2:$U$99, 11,FALSE), IFERROR(VLOOKUP($A258,'ABB ExDa'!$A$2:$N$184, 9,FALSE), IFERROR(VLOOKUP($A258,'Vocus SIT ExDa'!$B$2:$J$173, 8,FALSE), IFERROR(VLOOKUP($A258,'Telstra ExDa'!$B$2:$K$310, 0,FALSE), IFERROR(VLOOKUP($A258,'Vocus RVC ExDa'!$C$2:$R$155, 0,FALSE), IFERROR(VLOOKUP($A258,'Fusion ExDa'!$B$2:$D$16, 0,FALSE), IFERROR(VLOOKUP($A258,'Exetel ExDa'!$C$2:$N$14, 9,FALSE), IFERROR(VLOOKUP($A258,'Infinet ExDa'!$B$2:$E$14, 0,FALSE), "Not Found"))))))))</f>
        <v>28 Aug 2026</v>
      </c>
      <c r="M258" s="234" t="str">
        <f>IFERROR(VLOOKUP($A258,'AAPT ExDa'!$B$2:$U$99, 0,FALSE), IFERROR(VLOOKUP($A258,'ABB ExDa'!$A$2:$N$184, 0,FALSE), IFERROR(VLOOKUP($A258,'Vocus SIT ExDa'!$B$2:$J$173, 0,FALSE), IFERROR(VLOOKUP($A258,'Telstra ExDa'!$B$2:$K$310, 0,FALSE), IFERROR(VLOOKUP($A258,'Vocus RVC ExDa'!$C$2:$R$155, 0,FALSE), IFERROR(VLOOKUP($A258,'Fusion ExDa'!$B$2:$D$16, 0,FALSE), IFERROR(VLOOKUP($A258,'Exetel ExDa'!$C$2:$N$14, 11,FALSE), IFERROR(VLOOKUP($A258,'Infinet ExDa'!$B$2:$E$14, 0,FALSE), "Not Found"))))))))</f>
        <v>Not Found</v>
      </c>
      <c r="N258">
        <f>IFERROR(VLOOKUP($A258,'AAPT ExDa'!$B$2:$U$99, 0,FALSE), IFERROR(VLOOKUP($A258,'ABB ExDa'!$A$2:$N$184, 13,FALSE), IFERROR(VLOOKUP($A258,'Vocus SIT ExDa'!$B$2:$J$173, 0,FALSE), IFERROR(VLOOKUP($A258,'Telstra ExDa'!$B$2:$K$310, 0,FALSE), IFERROR(VLOOKUP($A258,'Vocus RVC ExDa'!$C$2:$R$155, 0,FALSE), IFERROR(VLOOKUP($A258,'Fusion ExDa'!$B$2:$D$16, 0,FALSE), IFERROR(VLOOKUP($A258,'Exetel ExDa'!$C$2:$N$14, 0,FALSE), IFERROR(VLOOKUP($A258,'Infinet ExDa'!$B$2:$E$14, 0,FALSE), "Not Found"))))))))</f>
        <v>0</v>
      </c>
    </row>
    <row r="259" spans="1:14">
      <c r="A259" t="str">
        <v>Brewdog New Office</v>
      </c>
      <c r="B259" t="str">
        <f>IFERROR(VLOOKUP(A259,'Exetel ExDa'!$C$2:$N$14,4,FALSE),"No Data")</f>
        <v>No Data</v>
      </c>
      <c r="C259" t="str">
        <f>IFERROR(VLOOKUP(A259,'AAPT ExDa'!$B$2:$U$99, 2,FALSE), IFERROR(VLOOKUP(A259,'ABB ExDa'!$A$2:$N$184, 2,FALSE), IFERROR(VLOOKUP(A259,'Vocus SIT ExDa'!$B$2:$J$173, 7,FALSE), IFERROR(VLOOKUP(A259,'Telstra ExDa'!$B$2:$K$310, 2,FALSE), IFERROR(VLOOKUP(A259,'Vocus RVC ExDa'!$C$2:$R$155, 3,FALSE), IFERROR(VLOOKUP(A259,'Fusion ExDa'!$B$2:$D$16, 2,FALSE), IFERROR(VLOOKUP(A259,'Exetel ExDa'!$C$2:$N$14, 2,FALSE), IFERROR(VLOOKUP(A259,'Infinet ExDa'!$B$2:$E$14, 2,FALSE), "Not Found"))))))))</f>
        <v>235 BRUNSWICK ST, FORTITUDE VALLEY QLD</v>
      </c>
      <c r="D259" t="str">
        <f>IFERROR(VLOOKUP($A259,'AAPT ExDa'!$B$2:$U$99, 15,FALSE), IFERROR(VLOOKUP($A259,'ABB ExDa'!$A$2:$N$184, 4,FALSE), IFERROR(VLOOKUP($A259,'Vocus SIT ExDa'!$B$2:$J$173, 5,FALSE), IFERROR(VLOOKUP($A259,'Telstra ExDa'!$B$2:$K$310, 8,FALSE), IFERROR(VLOOKUP($A259,'Vocus RVC ExDa'!$C$2:$R$155, 6,FALSE), IFERROR(VLOOKUP($A259,'Fusion ExDa'!$B$2:$D$16, 4,FALSE), IFERROR(VLOOKUP($A259,'Exetel ExDa'!$C$2:$N$14, 3,FALSE), IFERROR(VLOOKUP($A259,'Infinet ExDa'!$B$2:$E$14, 3,FALSE), "Not Found"))))))))</f>
        <v>ABB</v>
      </c>
      <c r="E259" t="str">
        <f>IFERROR(VLOOKUP($A259,'AAPT ExDa'!$B$2:$U$99, 3,FALSE), IFERROR(VLOOKUP($A259,'ABB ExDa'!$A$2:$N$184, 5,FALSE), IFERROR(VLOOKUP($A259,'Vocus SIT ExDa'!$B$2:$J$173, 2,FALSE), IFERROR(VLOOKUP($A259,'Telstra ExDa'!$B$2:$K$310, 4,FALSE), IFERROR(VLOOKUP($A259,'Vocus RVC ExDa'!$C$2:$R$155, 8,FALSE), IFERROR(VLOOKUP($A259,'Fusion ExDa'!$B$2:$D$16, 4,FALSE), IFERROR(VLOOKUP($A259,'Exetel ExDa'!$C$2:$N$14, 5,FALSE), IFERROR(VLOOKUP($A259,'Infinet ExDa'!$B$2:$E$14, 3,FALSE), "Not Found"))))))))</f>
        <v>1000Mbps Low CoS</v>
      </c>
      <c r="F259" t="str">
        <f>IFERROR(VLOOKUP($A259,'AAPT ExDa'!$B$2:$U$99, 4,FALSE), IFERROR(VLOOKUP($A259,'ABB ExDa'!$A$2:$N$184, 6,FALSE), IFERROR(VLOOKUP($A259,'Vocus SIT ExDa'!$B$2:$J$173, 3,FALSE), IFERROR(VLOOKUP($A259,'Telstra ExDa'!$B$2:$K$310, 5,FALSE), IFERROR(VLOOKUP($A259,'Vocus RVC ExDa'!$C$2:$R$155, 9,FALSE), IFERROR(VLOOKUP($A259,'Fusion ExDa'!$B$2:$D$16, 0,FALSE), IFERROR(VLOOKUP($A259,'Exetel ExDa'!$C$2:$N$14, 6,FALSE), IFERROR(VLOOKUP($A259,'Infinet ExDa'!$B$2:$E$14, 0,FALSE), "Not Found"))))))))</f>
        <v>159.196.7.167</v>
      </c>
      <c r="G259" t="str">
        <f>IFERROR(VLOOKUP($A259,'AAPT ExDa'!$B$2:$U$99, 5,FALSE), IFERROR(VLOOKUP($A259,'ABB ExDa'!$A$2:$N$184, 8,FALSE), IFERROR(VLOOKUP($A259,'Vocus SIT ExDa'!$B$2:$J$173, 6,FALSE), IFERROR(VLOOKUP($A259,'Telstra ExDa'!$B$2:$K$310, 0,FALSE), IFERROR(VLOOKUP($A259,'Vocus RVC ExDa'!$C$2:$R$155, 15,FALSE), IFERROR(VLOOKUP($A259,'Fusion ExDa'!$B$2:$D$16, 0,FALSE), IFERROR(VLOOKUP($A259,'Exetel ExDa'!$C$2:$N$14, 7,FALSE), IFERROR(VLOOKUP($A259,'Infinet ExDa'!$B$2:$E$14, 0,FALSE), "Not Found"))))))))</f>
        <v>36 Months</v>
      </c>
      <c r="H259" t="str">
        <f>IFERROR(VLOOKUP($A259,'AAPT ExDa'!$B$2:$U$99, 6,FALSE), IFERROR(VLOOKUP($A259,'ABB ExDa'!$A$2:$N$184, 0,FALSE), IFERROR(VLOOKUP($A259,'Vocus SIT ExDa'!$B$2:$J$173, 0,FALSE), IFERROR(VLOOKUP($A259,'Telstra ExDa'!$B$2:$K$310, 0,FALSE), IFERROR(VLOOKUP($A259,'Vocus RVC ExDa'!$C$2:$R$155, 16,FALSE), IFERROR(VLOOKUP($A259,'Fusion ExDa'!$B$2:$D$16, 0,FALSE), IFERROR(VLOOKUP($A259,'Exetel ExDa'!$C$2:$N$14, 0,FALSE), IFERROR(VLOOKUP($A259,'Infinet ExDa'!$B$2:$E$14, 0,FALSE), "Not Found"))))))))</f>
        <v>Not Found</v>
      </c>
      <c r="I259" t="str">
        <f>IFERROR(VLOOKUP($A259,'AAPT ExDa'!$B$2:$U$99, 0,FALSE), IFERROR(VLOOKUP($A259,'ABB ExDa'!$A$2:$N$184, 0,FALSE), IFERROR(VLOOKUP($A259,'Vocus SIT ExDa'!$B$2:$J$173, 0,FALSE), IFERROR(VLOOKUP($A259,'Telstra ExDa'!$B$2:$K$310, 0,FALSE), IFERROR(VLOOKUP($A259,'Vocus RVC ExDa'!$C$2:$R$155, 0,FALSE), IFERROR(VLOOKUP($A259,'Fusion ExDa'!$B$2:$D$16, 0,FALSE), IFERROR(VLOOKUP($A259,'Exetel ExDa'!$C$2:$N$14, 8,FALSE), IFERROR(VLOOKUP($A259,'Infinet ExDa'!$B$2:$E$14, 0,FALSE), "Not Found"))))))))</f>
        <v>Not Found</v>
      </c>
      <c r="J259" t="str">
        <f>IFERROR(VLOOKUP($A259,'AAPT ExDa'!$B$2:$U$99, 7,FALSE), IFERROR(VLOOKUP($A259,'ABB ExDa'!$A$2:$N$184, 2,FALSE), IFERROR(VLOOKUP($A259,'Vocus SIT ExDa'!$B$2:$J$173, 0,FALSE), IFERROR(VLOOKUP($A259,'Telstra ExDa'!$B$2:$K$310, 7,FALSE), IFERROR(VLOOKUP($A259,'Vocus RVC ExDa'!$C$2:$R$155, 2,FALSE), IFERROR(VLOOKUP($A259,'Fusion ExDa'!$B$2:$D$16, 3,FALSE), IFERROR(VLOOKUP($A259,'Exetel ExDa'!$C$2:$N$14, 0,FALSE), IFERROR(VLOOKUP($A259,'Infinet ExDa'!$B$2:$E$14, 0,FALSE), "Not Found"))))))))</f>
        <v>235 BRUNSWICK ST, FORTITUDE VALLEY QLD</v>
      </c>
      <c r="K259" t="str">
        <f>IFERROR(VLOOKUP($A259,'AAPT ExDa'!$B$2:$U$99, 12,FALSE), IFERROR(VLOOKUP($A259,'ABB ExDa'!$A$2:$N$184, 0,FALSE), IFERROR(VLOOKUP($A259,'Vocus SIT ExDa'!$B$2:$J$173, 0,FALSE), IFERROR(VLOOKUP($A259,'Telstra ExDa'!$B$2:$K$310, 0,FALSE), IFERROR(VLOOKUP($A259,'Vocus RVC ExDa'!$C$2:$R$155, 0,FALSE), IFERROR(VLOOKUP($A259,'Fusion ExDa'!$B$2:$D$16, 0,FALSE), IFERROR(VLOOKUP($A259,'Exetel ExDa'!$C$2:$N$14, 12,FALSE), IFERROR(VLOOKUP($A259,'Infinet ExDa'!$B$2:$E$14, 0,FALSE), "Not Found"))))))))</f>
        <v>Not Found</v>
      </c>
      <c r="L259" s="235" t="str">
        <f>IFERROR(VLOOKUP($A259,'AAPT ExDa'!$B$2:$U$99, 11,FALSE), IFERROR(VLOOKUP($A259,'ABB ExDa'!$A$2:$N$184, 9,FALSE), IFERROR(VLOOKUP($A259,'Vocus SIT ExDa'!$B$2:$J$173, 8,FALSE), IFERROR(VLOOKUP($A259,'Telstra ExDa'!$B$2:$K$310, 0,FALSE), IFERROR(VLOOKUP($A259,'Vocus RVC ExDa'!$C$2:$R$155, 0,FALSE), IFERROR(VLOOKUP($A259,'Fusion ExDa'!$B$2:$D$16, 0,FALSE), IFERROR(VLOOKUP($A259,'Exetel ExDa'!$C$2:$N$14, 9,FALSE), IFERROR(VLOOKUP($A259,'Infinet ExDa'!$B$2:$E$14, 0,FALSE), "Not Found"))))))))</f>
        <v>20 Dec 2025</v>
      </c>
      <c r="M259" s="234" t="str">
        <f>IFERROR(VLOOKUP($A259,'AAPT ExDa'!$B$2:$U$99, 0,FALSE), IFERROR(VLOOKUP($A259,'ABB ExDa'!$A$2:$N$184, 0,FALSE), IFERROR(VLOOKUP($A259,'Vocus SIT ExDa'!$B$2:$J$173, 0,FALSE), IFERROR(VLOOKUP($A259,'Telstra ExDa'!$B$2:$K$310, 0,FALSE), IFERROR(VLOOKUP($A259,'Vocus RVC ExDa'!$C$2:$R$155, 0,FALSE), IFERROR(VLOOKUP($A259,'Fusion ExDa'!$B$2:$D$16, 0,FALSE), IFERROR(VLOOKUP($A259,'Exetel ExDa'!$C$2:$N$14, 11,FALSE), IFERROR(VLOOKUP($A259,'Infinet ExDa'!$B$2:$E$14, 0,FALSE), "Not Found"))))))))</f>
        <v>Not Found</v>
      </c>
      <c r="N259">
        <f>IFERROR(VLOOKUP($A259,'AAPT ExDa'!$B$2:$U$99, 0,FALSE), IFERROR(VLOOKUP($A259,'ABB ExDa'!$A$2:$N$184, 13,FALSE), IFERROR(VLOOKUP($A259,'Vocus SIT ExDa'!$B$2:$J$173, 0,FALSE), IFERROR(VLOOKUP($A259,'Telstra ExDa'!$B$2:$K$310, 0,FALSE), IFERROR(VLOOKUP($A259,'Vocus RVC ExDa'!$C$2:$R$155, 0,FALSE), IFERROR(VLOOKUP($A259,'Fusion ExDa'!$B$2:$D$16, 0,FALSE), IFERROR(VLOOKUP($A259,'Exetel ExDa'!$C$2:$N$14, 0,FALSE), IFERROR(VLOOKUP($A259,'Infinet ExDa'!$B$2:$E$14, 0,FALSE), "Not Found"))))))))</f>
        <v>0</v>
      </c>
    </row>
    <row r="260" spans="1:14">
      <c r="A260" t="str">
        <v>Aussie Traveller Clontarf</v>
      </c>
      <c r="B260" t="str">
        <f>IFERROR(VLOOKUP(A260,'Exetel ExDa'!$C$2:$N$14,4,FALSE),"No Data")</f>
        <v>No Data</v>
      </c>
      <c r="C260" t="str">
        <f>IFERROR(VLOOKUP(A260,'AAPT ExDa'!$B$2:$U$99, 2,FALSE), IFERROR(VLOOKUP(A260,'ABB ExDa'!$A$2:$N$184, 2,FALSE), IFERROR(VLOOKUP(A260,'Vocus SIT ExDa'!$B$2:$J$173, 7,FALSE), IFERROR(VLOOKUP(A260,'Telstra ExDa'!$B$2:$K$310, 2,FALSE), IFERROR(VLOOKUP(A260,'Vocus RVC ExDa'!$C$2:$R$155, 3,FALSE), IFERROR(VLOOKUP(A260,'Fusion ExDa'!$B$2:$D$16, 2,FALSE), IFERROR(VLOOKUP(A260,'Exetel ExDa'!$C$2:$N$14, 2,FALSE), IFERROR(VLOOKUP(A260,'Infinet ExDa'!$B$2:$E$14, 2,FALSE), "Not Found"))))))))</f>
        <v>11 OASIS CT, CLONTARF QLD</v>
      </c>
      <c r="D260" t="str">
        <f>IFERROR(VLOOKUP($A260,'AAPT ExDa'!$B$2:$U$99, 15,FALSE), IFERROR(VLOOKUP($A260,'ABB ExDa'!$A$2:$N$184, 4,FALSE), IFERROR(VLOOKUP($A260,'Vocus SIT ExDa'!$B$2:$J$173, 5,FALSE), IFERROR(VLOOKUP($A260,'Telstra ExDa'!$B$2:$K$310, 8,FALSE), IFERROR(VLOOKUP($A260,'Vocus RVC ExDa'!$C$2:$R$155, 6,FALSE), IFERROR(VLOOKUP($A260,'Fusion ExDa'!$B$2:$D$16, 4,FALSE), IFERROR(VLOOKUP($A260,'Exetel ExDa'!$C$2:$N$14, 3,FALSE), IFERROR(VLOOKUP($A260,'Infinet ExDa'!$B$2:$E$14, 3,FALSE), "Not Found"))))))))</f>
        <v>ABB</v>
      </c>
      <c r="E260" t="str">
        <f>IFERROR(VLOOKUP($A260,'AAPT ExDa'!$B$2:$U$99, 3,FALSE), IFERROR(VLOOKUP($A260,'ABB ExDa'!$A$2:$N$184, 5,FALSE), IFERROR(VLOOKUP($A260,'Vocus SIT ExDa'!$B$2:$J$173, 2,FALSE), IFERROR(VLOOKUP($A260,'Telstra ExDa'!$B$2:$K$310, 4,FALSE), IFERROR(VLOOKUP($A260,'Vocus RVC ExDa'!$C$2:$R$155, 8,FALSE), IFERROR(VLOOKUP($A260,'Fusion ExDa'!$B$2:$D$16, 4,FALSE), IFERROR(VLOOKUP($A260,'Exetel ExDa'!$C$2:$N$14, 5,FALSE), IFERROR(VLOOKUP($A260,'Infinet ExDa'!$B$2:$E$14, 3,FALSE), "Not Found"))))))))</f>
        <v>250Mbps Low CoS</v>
      </c>
      <c r="F260" t="str">
        <f>IFERROR(VLOOKUP($A260,'AAPT ExDa'!$B$2:$U$99, 4,FALSE), IFERROR(VLOOKUP($A260,'ABB ExDa'!$A$2:$N$184, 6,FALSE), IFERROR(VLOOKUP($A260,'Vocus SIT ExDa'!$B$2:$J$173, 3,FALSE), IFERROR(VLOOKUP($A260,'Telstra ExDa'!$B$2:$K$310, 5,FALSE), IFERROR(VLOOKUP($A260,'Vocus RVC ExDa'!$C$2:$R$155, 9,FALSE), IFERROR(VLOOKUP($A260,'Fusion ExDa'!$B$2:$D$16, 0,FALSE), IFERROR(VLOOKUP($A260,'Exetel ExDa'!$C$2:$N$14, 6,FALSE), IFERROR(VLOOKUP($A260,'Infinet ExDa'!$B$2:$E$14, 0,FALSE), "Not Found"))))))))</f>
        <v>167.179.170.168</v>
      </c>
      <c r="G260" t="str">
        <f>IFERROR(VLOOKUP($A260,'AAPT ExDa'!$B$2:$U$99, 5,FALSE), IFERROR(VLOOKUP($A260,'ABB ExDa'!$A$2:$N$184, 8,FALSE), IFERROR(VLOOKUP($A260,'Vocus SIT ExDa'!$B$2:$J$173, 6,FALSE), IFERROR(VLOOKUP($A260,'Telstra ExDa'!$B$2:$K$310, 0,FALSE), IFERROR(VLOOKUP($A260,'Vocus RVC ExDa'!$C$2:$R$155, 15,FALSE), IFERROR(VLOOKUP($A260,'Fusion ExDa'!$B$2:$D$16, 0,FALSE), IFERROR(VLOOKUP($A260,'Exetel ExDa'!$C$2:$N$14, 7,FALSE), IFERROR(VLOOKUP($A260,'Infinet ExDa'!$B$2:$E$14, 0,FALSE), "Not Found"))))))))</f>
        <v>36 Months</v>
      </c>
      <c r="H260" t="str">
        <f>IFERROR(VLOOKUP($A260,'AAPT ExDa'!$B$2:$U$99, 6,FALSE), IFERROR(VLOOKUP($A260,'ABB ExDa'!$A$2:$N$184, 0,FALSE), IFERROR(VLOOKUP($A260,'Vocus SIT ExDa'!$B$2:$J$173, 0,FALSE), IFERROR(VLOOKUP($A260,'Telstra ExDa'!$B$2:$K$310, 0,FALSE), IFERROR(VLOOKUP($A260,'Vocus RVC ExDa'!$C$2:$R$155, 16,FALSE), IFERROR(VLOOKUP($A260,'Fusion ExDa'!$B$2:$D$16, 0,FALSE), IFERROR(VLOOKUP($A260,'Exetel ExDa'!$C$2:$N$14, 0,FALSE), IFERROR(VLOOKUP($A260,'Infinet ExDa'!$B$2:$E$14, 0,FALSE), "Not Found"))))))))</f>
        <v>Not Found</v>
      </c>
      <c r="I260" t="str">
        <f>IFERROR(VLOOKUP($A260,'AAPT ExDa'!$B$2:$U$99, 0,FALSE), IFERROR(VLOOKUP($A260,'ABB ExDa'!$A$2:$N$184, 0,FALSE), IFERROR(VLOOKUP($A260,'Vocus SIT ExDa'!$B$2:$J$173, 0,FALSE), IFERROR(VLOOKUP($A260,'Telstra ExDa'!$B$2:$K$310, 0,FALSE), IFERROR(VLOOKUP($A260,'Vocus RVC ExDa'!$C$2:$R$155, 0,FALSE), IFERROR(VLOOKUP($A260,'Fusion ExDa'!$B$2:$D$16, 0,FALSE), IFERROR(VLOOKUP($A260,'Exetel ExDa'!$C$2:$N$14, 8,FALSE), IFERROR(VLOOKUP($A260,'Infinet ExDa'!$B$2:$E$14, 0,FALSE), "Not Found"))))))))</f>
        <v>Not Found</v>
      </c>
      <c r="J260" t="str">
        <f>IFERROR(VLOOKUP($A260,'AAPT ExDa'!$B$2:$U$99, 7,FALSE), IFERROR(VLOOKUP($A260,'ABB ExDa'!$A$2:$N$184, 2,FALSE), IFERROR(VLOOKUP($A260,'Vocus SIT ExDa'!$B$2:$J$173, 0,FALSE), IFERROR(VLOOKUP($A260,'Telstra ExDa'!$B$2:$K$310, 7,FALSE), IFERROR(VLOOKUP($A260,'Vocus RVC ExDa'!$C$2:$R$155, 2,FALSE), IFERROR(VLOOKUP($A260,'Fusion ExDa'!$B$2:$D$16, 3,FALSE), IFERROR(VLOOKUP($A260,'Exetel ExDa'!$C$2:$N$14, 0,FALSE), IFERROR(VLOOKUP($A260,'Infinet ExDa'!$B$2:$E$14, 0,FALSE), "Not Found"))))))))</f>
        <v>11 OASIS CT, CLONTARF QLD</v>
      </c>
      <c r="K260" t="str">
        <f>IFERROR(VLOOKUP($A260,'AAPT ExDa'!$B$2:$U$99, 12,FALSE), IFERROR(VLOOKUP($A260,'ABB ExDa'!$A$2:$N$184, 0,FALSE), IFERROR(VLOOKUP($A260,'Vocus SIT ExDa'!$B$2:$J$173, 0,FALSE), IFERROR(VLOOKUP($A260,'Telstra ExDa'!$B$2:$K$310, 0,FALSE), IFERROR(VLOOKUP($A260,'Vocus RVC ExDa'!$C$2:$R$155, 0,FALSE), IFERROR(VLOOKUP($A260,'Fusion ExDa'!$B$2:$D$16, 0,FALSE), IFERROR(VLOOKUP($A260,'Exetel ExDa'!$C$2:$N$14, 12,FALSE), IFERROR(VLOOKUP($A260,'Infinet ExDa'!$B$2:$E$14, 0,FALSE), "Not Found"))))))))</f>
        <v>Not Found</v>
      </c>
      <c r="L260" s="235" t="str">
        <f>IFERROR(VLOOKUP($A260,'AAPT ExDa'!$B$2:$U$99, 11,FALSE), IFERROR(VLOOKUP($A260,'ABB ExDa'!$A$2:$N$184, 9,FALSE), IFERROR(VLOOKUP($A260,'Vocus SIT ExDa'!$B$2:$J$173, 8,FALSE), IFERROR(VLOOKUP($A260,'Telstra ExDa'!$B$2:$K$310, 0,FALSE), IFERROR(VLOOKUP($A260,'Vocus RVC ExDa'!$C$2:$R$155, 0,FALSE), IFERROR(VLOOKUP($A260,'Fusion ExDa'!$B$2:$D$16, 0,FALSE), IFERROR(VLOOKUP($A260,'Exetel ExDa'!$C$2:$N$14, 9,FALSE), IFERROR(VLOOKUP($A260,'Infinet ExDa'!$B$2:$E$14, 0,FALSE), "Not Found"))))))))</f>
        <v>17 Nov 2025</v>
      </c>
      <c r="M260" s="234" t="str">
        <f>IFERROR(VLOOKUP($A260,'AAPT ExDa'!$B$2:$U$99, 0,FALSE), IFERROR(VLOOKUP($A260,'ABB ExDa'!$A$2:$N$184, 0,FALSE), IFERROR(VLOOKUP($A260,'Vocus SIT ExDa'!$B$2:$J$173, 0,FALSE), IFERROR(VLOOKUP($A260,'Telstra ExDa'!$B$2:$K$310, 0,FALSE), IFERROR(VLOOKUP($A260,'Vocus RVC ExDa'!$C$2:$R$155, 0,FALSE), IFERROR(VLOOKUP($A260,'Fusion ExDa'!$B$2:$D$16, 0,FALSE), IFERROR(VLOOKUP($A260,'Exetel ExDa'!$C$2:$N$14, 11,FALSE), IFERROR(VLOOKUP($A260,'Infinet ExDa'!$B$2:$E$14, 0,FALSE), "Not Found"))))))))</f>
        <v>Not Found</v>
      </c>
      <c r="N260">
        <f>IFERROR(VLOOKUP($A260,'AAPT ExDa'!$B$2:$U$99, 0,FALSE), IFERROR(VLOOKUP($A260,'ABB ExDa'!$A$2:$N$184, 13,FALSE), IFERROR(VLOOKUP($A260,'Vocus SIT ExDa'!$B$2:$J$173, 0,FALSE), IFERROR(VLOOKUP($A260,'Telstra ExDa'!$B$2:$K$310, 0,FALSE), IFERROR(VLOOKUP($A260,'Vocus RVC ExDa'!$C$2:$R$155, 0,FALSE), IFERROR(VLOOKUP($A260,'Fusion ExDa'!$B$2:$D$16, 0,FALSE), IFERROR(VLOOKUP($A260,'Exetel ExDa'!$C$2:$N$14, 0,FALSE), IFERROR(VLOOKUP($A260,'Infinet ExDa'!$B$2:$E$14, 0,FALSE), "Not Found"))))))))</f>
        <v>0</v>
      </c>
    </row>
    <row r="261" spans="1:14">
      <c r="A261" t="str">
        <v>Aussie Traveller Melbourne</v>
      </c>
      <c r="B261" t="str">
        <f>IFERROR(VLOOKUP(A261,'Exetel ExDa'!$C$2:$N$14,4,FALSE),"No Data")</f>
        <v>No Data</v>
      </c>
      <c r="C261" t="str">
        <f>IFERROR(VLOOKUP(A261,'AAPT ExDa'!$B$2:$U$99, 2,FALSE), IFERROR(VLOOKUP(A261,'ABB ExDa'!$A$2:$N$184, 2,FALSE), IFERROR(VLOOKUP(A261,'Vocus SIT ExDa'!$B$2:$J$173, 7,FALSE), IFERROR(VLOOKUP(A261,'Telstra ExDa'!$B$2:$K$310, 2,FALSE), IFERROR(VLOOKUP(A261,'Vocus RVC ExDa'!$C$2:$R$155, 3,FALSE), IFERROR(VLOOKUP(A261,'Fusion ExDa'!$B$2:$D$16, 2,FALSE), IFERROR(VLOOKUP(A261,'Exetel ExDa'!$C$2:$N$14, 2,FALSE), IFERROR(VLOOKUP(A261,'Infinet ExDa'!$B$2:$E$14, 2,FALSE), "Not Found"))))))))</f>
        <v>233 235 BARRY RD, CAMPBELLFIELD VIC</v>
      </c>
      <c r="D261" t="str">
        <f>IFERROR(VLOOKUP($A261,'AAPT ExDa'!$B$2:$U$99, 15,FALSE), IFERROR(VLOOKUP($A261,'ABB ExDa'!$A$2:$N$184, 4,FALSE), IFERROR(VLOOKUP($A261,'Vocus SIT ExDa'!$B$2:$J$173, 5,FALSE), IFERROR(VLOOKUP($A261,'Telstra ExDa'!$B$2:$K$310, 8,FALSE), IFERROR(VLOOKUP($A261,'Vocus RVC ExDa'!$C$2:$R$155, 6,FALSE), IFERROR(VLOOKUP($A261,'Fusion ExDa'!$B$2:$D$16, 4,FALSE), IFERROR(VLOOKUP($A261,'Exetel ExDa'!$C$2:$N$14, 3,FALSE), IFERROR(VLOOKUP($A261,'Infinet ExDa'!$B$2:$E$14, 3,FALSE), "Not Found"))))))))</f>
        <v>ABB</v>
      </c>
      <c r="E261" t="str">
        <f>IFERROR(VLOOKUP($A261,'AAPT ExDa'!$B$2:$U$99, 3,FALSE), IFERROR(VLOOKUP($A261,'ABB ExDa'!$A$2:$N$184, 5,FALSE), IFERROR(VLOOKUP($A261,'Vocus SIT ExDa'!$B$2:$J$173, 2,FALSE), IFERROR(VLOOKUP($A261,'Telstra ExDa'!$B$2:$K$310, 4,FALSE), IFERROR(VLOOKUP($A261,'Vocus RVC ExDa'!$C$2:$R$155, 8,FALSE), IFERROR(VLOOKUP($A261,'Fusion ExDa'!$B$2:$D$16, 4,FALSE), IFERROR(VLOOKUP($A261,'Exetel ExDa'!$C$2:$N$14, 5,FALSE), IFERROR(VLOOKUP($A261,'Infinet ExDa'!$B$2:$E$14, 3,FALSE), "Not Found"))))))))</f>
        <v>250Mbps Low CoS</v>
      </c>
      <c r="F261" t="str">
        <f>IFERROR(VLOOKUP($A261,'AAPT ExDa'!$B$2:$U$99, 4,FALSE), IFERROR(VLOOKUP($A261,'ABB ExDa'!$A$2:$N$184, 6,FALSE), IFERROR(VLOOKUP($A261,'Vocus SIT ExDa'!$B$2:$J$173, 3,FALSE), IFERROR(VLOOKUP($A261,'Telstra ExDa'!$B$2:$K$310, 5,FALSE), IFERROR(VLOOKUP($A261,'Vocus RVC ExDa'!$C$2:$R$155, 9,FALSE), IFERROR(VLOOKUP($A261,'Fusion ExDa'!$B$2:$D$16, 0,FALSE), IFERROR(VLOOKUP($A261,'Exetel ExDa'!$C$2:$N$14, 6,FALSE), IFERROR(VLOOKUP($A261,'Infinet ExDa'!$B$2:$E$14, 0,FALSE), "Not Found"))))))))</f>
        <v>159.196.71.208</v>
      </c>
      <c r="G261" t="str">
        <f>IFERROR(VLOOKUP($A261,'AAPT ExDa'!$B$2:$U$99, 5,FALSE), IFERROR(VLOOKUP($A261,'ABB ExDa'!$A$2:$N$184, 8,FALSE), IFERROR(VLOOKUP($A261,'Vocus SIT ExDa'!$B$2:$J$173, 6,FALSE), IFERROR(VLOOKUP($A261,'Telstra ExDa'!$B$2:$K$310, 0,FALSE), IFERROR(VLOOKUP($A261,'Vocus RVC ExDa'!$C$2:$R$155, 15,FALSE), IFERROR(VLOOKUP($A261,'Fusion ExDa'!$B$2:$D$16, 0,FALSE), IFERROR(VLOOKUP($A261,'Exetel ExDa'!$C$2:$N$14, 7,FALSE), IFERROR(VLOOKUP($A261,'Infinet ExDa'!$B$2:$E$14, 0,FALSE), "Not Found"))))))))</f>
        <v>36 Months</v>
      </c>
      <c r="H261" t="str">
        <f>IFERROR(VLOOKUP($A261,'AAPT ExDa'!$B$2:$U$99, 6,FALSE), IFERROR(VLOOKUP($A261,'ABB ExDa'!$A$2:$N$184, 0,FALSE), IFERROR(VLOOKUP($A261,'Vocus SIT ExDa'!$B$2:$J$173, 0,FALSE), IFERROR(VLOOKUP($A261,'Telstra ExDa'!$B$2:$K$310, 0,FALSE), IFERROR(VLOOKUP($A261,'Vocus RVC ExDa'!$C$2:$R$155, 16,FALSE), IFERROR(VLOOKUP($A261,'Fusion ExDa'!$B$2:$D$16, 0,FALSE), IFERROR(VLOOKUP($A261,'Exetel ExDa'!$C$2:$N$14, 0,FALSE), IFERROR(VLOOKUP($A261,'Infinet ExDa'!$B$2:$E$14, 0,FALSE), "Not Found"))))))))</f>
        <v>Not Found</v>
      </c>
      <c r="I261" t="str">
        <f>IFERROR(VLOOKUP($A261,'AAPT ExDa'!$B$2:$U$99, 0,FALSE), IFERROR(VLOOKUP($A261,'ABB ExDa'!$A$2:$N$184, 0,FALSE), IFERROR(VLOOKUP($A261,'Vocus SIT ExDa'!$B$2:$J$173, 0,FALSE), IFERROR(VLOOKUP($A261,'Telstra ExDa'!$B$2:$K$310, 0,FALSE), IFERROR(VLOOKUP($A261,'Vocus RVC ExDa'!$C$2:$R$155, 0,FALSE), IFERROR(VLOOKUP($A261,'Fusion ExDa'!$B$2:$D$16, 0,FALSE), IFERROR(VLOOKUP($A261,'Exetel ExDa'!$C$2:$N$14, 8,FALSE), IFERROR(VLOOKUP($A261,'Infinet ExDa'!$B$2:$E$14, 0,FALSE), "Not Found"))))))))</f>
        <v>Not Found</v>
      </c>
      <c r="J261" t="str">
        <f>IFERROR(VLOOKUP($A261,'AAPT ExDa'!$B$2:$U$99, 7,FALSE), IFERROR(VLOOKUP($A261,'ABB ExDa'!$A$2:$N$184, 2,FALSE), IFERROR(VLOOKUP($A261,'Vocus SIT ExDa'!$B$2:$J$173, 0,FALSE), IFERROR(VLOOKUP($A261,'Telstra ExDa'!$B$2:$K$310, 7,FALSE), IFERROR(VLOOKUP($A261,'Vocus RVC ExDa'!$C$2:$R$155, 2,FALSE), IFERROR(VLOOKUP($A261,'Fusion ExDa'!$B$2:$D$16, 3,FALSE), IFERROR(VLOOKUP($A261,'Exetel ExDa'!$C$2:$N$14, 0,FALSE), IFERROR(VLOOKUP($A261,'Infinet ExDa'!$B$2:$E$14, 0,FALSE), "Not Found"))))))))</f>
        <v>233 235 BARRY RD, CAMPBELLFIELD VIC</v>
      </c>
      <c r="K261" t="str">
        <f>IFERROR(VLOOKUP($A261,'AAPT ExDa'!$B$2:$U$99, 12,FALSE), IFERROR(VLOOKUP($A261,'ABB ExDa'!$A$2:$N$184, 0,FALSE), IFERROR(VLOOKUP($A261,'Vocus SIT ExDa'!$B$2:$J$173, 0,FALSE), IFERROR(VLOOKUP($A261,'Telstra ExDa'!$B$2:$K$310, 0,FALSE), IFERROR(VLOOKUP($A261,'Vocus RVC ExDa'!$C$2:$R$155, 0,FALSE), IFERROR(VLOOKUP($A261,'Fusion ExDa'!$B$2:$D$16, 0,FALSE), IFERROR(VLOOKUP($A261,'Exetel ExDa'!$C$2:$N$14, 12,FALSE), IFERROR(VLOOKUP($A261,'Infinet ExDa'!$B$2:$E$14, 0,FALSE), "Not Found"))))))))</f>
        <v>Not Found</v>
      </c>
      <c r="L261" s="235" t="str">
        <f>IFERROR(VLOOKUP($A261,'AAPT ExDa'!$B$2:$U$99, 11,FALSE), IFERROR(VLOOKUP($A261,'ABB ExDa'!$A$2:$N$184, 9,FALSE), IFERROR(VLOOKUP($A261,'Vocus SIT ExDa'!$B$2:$J$173, 8,FALSE), IFERROR(VLOOKUP($A261,'Telstra ExDa'!$B$2:$K$310, 0,FALSE), IFERROR(VLOOKUP($A261,'Vocus RVC ExDa'!$C$2:$R$155, 0,FALSE), IFERROR(VLOOKUP($A261,'Fusion ExDa'!$B$2:$D$16, 0,FALSE), IFERROR(VLOOKUP($A261,'Exetel ExDa'!$C$2:$N$14, 9,FALSE), IFERROR(VLOOKUP($A261,'Infinet ExDa'!$B$2:$E$14, 0,FALSE), "Not Found"))))))))</f>
        <v>07 Nov 2025</v>
      </c>
      <c r="M261" s="234" t="str">
        <f>IFERROR(VLOOKUP($A261,'AAPT ExDa'!$B$2:$U$99, 0,FALSE), IFERROR(VLOOKUP($A261,'ABB ExDa'!$A$2:$N$184, 0,FALSE), IFERROR(VLOOKUP($A261,'Vocus SIT ExDa'!$B$2:$J$173, 0,FALSE), IFERROR(VLOOKUP($A261,'Telstra ExDa'!$B$2:$K$310, 0,FALSE), IFERROR(VLOOKUP($A261,'Vocus RVC ExDa'!$C$2:$R$155, 0,FALSE), IFERROR(VLOOKUP($A261,'Fusion ExDa'!$B$2:$D$16, 0,FALSE), IFERROR(VLOOKUP($A261,'Exetel ExDa'!$C$2:$N$14, 11,FALSE), IFERROR(VLOOKUP($A261,'Infinet ExDa'!$B$2:$E$14, 0,FALSE), "Not Found"))))))))</f>
        <v>Not Found</v>
      </c>
      <c r="N261">
        <f>IFERROR(VLOOKUP($A261,'AAPT ExDa'!$B$2:$U$99, 0,FALSE), IFERROR(VLOOKUP($A261,'ABB ExDa'!$A$2:$N$184, 13,FALSE), IFERROR(VLOOKUP($A261,'Vocus SIT ExDa'!$B$2:$J$173, 0,FALSE), IFERROR(VLOOKUP($A261,'Telstra ExDa'!$B$2:$K$310, 0,FALSE), IFERROR(VLOOKUP($A261,'Vocus RVC ExDa'!$C$2:$R$155, 0,FALSE), IFERROR(VLOOKUP($A261,'Fusion ExDa'!$B$2:$D$16, 0,FALSE), IFERROR(VLOOKUP($A261,'Exetel ExDa'!$C$2:$N$14, 0,FALSE), IFERROR(VLOOKUP($A261,'Infinet ExDa'!$B$2:$E$14, 0,FALSE), "Not Found"))))))))</f>
        <v>0</v>
      </c>
    </row>
    <row r="262" spans="1:14">
      <c r="A262" t="str">
        <v>The Bay Apartments</v>
      </c>
      <c r="B262" t="str">
        <f>IFERROR(VLOOKUP(A262,'Exetel ExDa'!$C$2:$N$14,4,FALSE),"No Data")</f>
        <v>No Data</v>
      </c>
      <c r="C262" t="str">
        <f>IFERROR(VLOOKUP(A262,'AAPT ExDa'!$B$2:$U$99, 2,FALSE), IFERROR(VLOOKUP(A262,'ABB ExDa'!$A$2:$N$184, 2,FALSE), IFERROR(VLOOKUP(A262,'Vocus SIT ExDa'!$B$2:$J$173, 7,FALSE), IFERROR(VLOOKUP(A262,'Telstra ExDa'!$B$2:$K$310, 2,FALSE), IFERROR(VLOOKUP(A262,'Vocus RVC ExDa'!$C$2:$R$155, 3,FALSE), IFERROR(VLOOKUP(A262,'Fusion ExDa'!$B$2:$D$16, 2,FALSE), IFERROR(VLOOKUP(A262,'Exetel ExDa'!$C$2:$N$14, 2,FALSE), IFERROR(VLOOKUP(A262,'Infinet ExDa'!$B$2:$E$14, 2,FALSE), "Not Found"))))))))</f>
        <v>THE BAY , 371 CHARLTON ESP, SCARNESS QLD</v>
      </c>
      <c r="D262" t="str">
        <f>IFERROR(VLOOKUP($A262,'AAPT ExDa'!$B$2:$U$99, 15,FALSE), IFERROR(VLOOKUP($A262,'ABB ExDa'!$A$2:$N$184, 4,FALSE), IFERROR(VLOOKUP($A262,'Vocus SIT ExDa'!$B$2:$J$173, 5,FALSE), IFERROR(VLOOKUP($A262,'Telstra ExDa'!$B$2:$K$310, 8,FALSE), IFERROR(VLOOKUP($A262,'Vocus RVC ExDa'!$C$2:$R$155, 6,FALSE), IFERROR(VLOOKUP($A262,'Fusion ExDa'!$B$2:$D$16, 4,FALSE), IFERROR(VLOOKUP($A262,'Exetel ExDa'!$C$2:$N$14, 3,FALSE), IFERROR(VLOOKUP($A262,'Infinet ExDa'!$B$2:$E$14, 3,FALSE), "Not Found"))))))))</f>
        <v>ABB</v>
      </c>
      <c r="E262" t="str">
        <f>IFERROR(VLOOKUP($A262,'AAPT ExDa'!$B$2:$U$99, 3,FALSE), IFERROR(VLOOKUP($A262,'ABB ExDa'!$A$2:$N$184, 5,FALSE), IFERROR(VLOOKUP($A262,'Vocus SIT ExDa'!$B$2:$J$173, 2,FALSE), IFERROR(VLOOKUP($A262,'Telstra ExDa'!$B$2:$K$310, 4,FALSE), IFERROR(VLOOKUP($A262,'Vocus RVC ExDa'!$C$2:$R$155, 8,FALSE), IFERROR(VLOOKUP($A262,'Fusion ExDa'!$B$2:$D$16, 4,FALSE), IFERROR(VLOOKUP($A262,'Exetel ExDa'!$C$2:$N$14, 5,FALSE), IFERROR(VLOOKUP($A262,'Infinet ExDa'!$B$2:$E$14, 3,FALSE), "Not Found"))))))))</f>
        <v>1000Mbps High CoS</v>
      </c>
      <c r="F262" t="str">
        <f>IFERROR(VLOOKUP($A262,'AAPT ExDa'!$B$2:$U$99, 4,FALSE), IFERROR(VLOOKUP($A262,'ABB ExDa'!$A$2:$N$184, 6,FALSE), IFERROR(VLOOKUP($A262,'Vocus SIT ExDa'!$B$2:$J$173, 3,FALSE), IFERROR(VLOOKUP($A262,'Telstra ExDa'!$B$2:$K$310, 5,FALSE), IFERROR(VLOOKUP($A262,'Vocus RVC ExDa'!$C$2:$R$155, 9,FALSE), IFERROR(VLOOKUP($A262,'Fusion ExDa'!$B$2:$D$16, 0,FALSE), IFERROR(VLOOKUP($A262,'Exetel ExDa'!$C$2:$N$14, 6,FALSE), IFERROR(VLOOKUP($A262,'Infinet ExDa'!$B$2:$E$14, 0,FALSE), "Not Found"))))))))</f>
        <v>159.196.60.197</v>
      </c>
      <c r="G262" t="str">
        <f>IFERROR(VLOOKUP($A262,'AAPT ExDa'!$B$2:$U$99, 5,FALSE), IFERROR(VLOOKUP($A262,'ABB ExDa'!$A$2:$N$184, 8,FALSE), IFERROR(VLOOKUP($A262,'Vocus SIT ExDa'!$B$2:$J$173, 6,FALSE), IFERROR(VLOOKUP($A262,'Telstra ExDa'!$B$2:$K$310, 0,FALSE), IFERROR(VLOOKUP($A262,'Vocus RVC ExDa'!$C$2:$R$155, 15,FALSE), IFERROR(VLOOKUP($A262,'Fusion ExDa'!$B$2:$D$16, 0,FALSE), IFERROR(VLOOKUP($A262,'Exetel ExDa'!$C$2:$N$14, 7,FALSE), IFERROR(VLOOKUP($A262,'Infinet ExDa'!$B$2:$E$14, 0,FALSE), "Not Found"))))))))</f>
        <v>Month to month</v>
      </c>
      <c r="H262" t="str">
        <f>IFERROR(VLOOKUP($A262,'AAPT ExDa'!$B$2:$U$99, 6,FALSE), IFERROR(VLOOKUP($A262,'ABB ExDa'!$A$2:$N$184, 0,FALSE), IFERROR(VLOOKUP($A262,'Vocus SIT ExDa'!$B$2:$J$173, 0,FALSE), IFERROR(VLOOKUP($A262,'Telstra ExDa'!$B$2:$K$310, 0,FALSE), IFERROR(VLOOKUP($A262,'Vocus RVC ExDa'!$C$2:$R$155, 16,FALSE), IFERROR(VLOOKUP($A262,'Fusion ExDa'!$B$2:$D$16, 0,FALSE), IFERROR(VLOOKUP($A262,'Exetel ExDa'!$C$2:$N$14, 0,FALSE), IFERROR(VLOOKUP($A262,'Infinet ExDa'!$B$2:$E$14, 0,FALSE), "Not Found"))))))))</f>
        <v>Not Found</v>
      </c>
      <c r="I262" t="str">
        <f>IFERROR(VLOOKUP($A262,'AAPT ExDa'!$B$2:$U$99, 0,FALSE), IFERROR(VLOOKUP($A262,'ABB ExDa'!$A$2:$N$184, 0,FALSE), IFERROR(VLOOKUP($A262,'Vocus SIT ExDa'!$B$2:$J$173, 0,FALSE), IFERROR(VLOOKUP($A262,'Telstra ExDa'!$B$2:$K$310, 0,FALSE), IFERROR(VLOOKUP($A262,'Vocus RVC ExDa'!$C$2:$R$155, 0,FALSE), IFERROR(VLOOKUP($A262,'Fusion ExDa'!$B$2:$D$16, 0,FALSE), IFERROR(VLOOKUP($A262,'Exetel ExDa'!$C$2:$N$14, 8,FALSE), IFERROR(VLOOKUP($A262,'Infinet ExDa'!$B$2:$E$14, 0,FALSE), "Not Found"))))))))</f>
        <v>Not Found</v>
      </c>
      <c r="J262" t="str">
        <f>IFERROR(VLOOKUP($A262,'AAPT ExDa'!$B$2:$U$99, 7,FALSE), IFERROR(VLOOKUP($A262,'ABB ExDa'!$A$2:$N$184, 2,FALSE), IFERROR(VLOOKUP($A262,'Vocus SIT ExDa'!$B$2:$J$173, 0,FALSE), IFERROR(VLOOKUP($A262,'Telstra ExDa'!$B$2:$K$310, 7,FALSE), IFERROR(VLOOKUP($A262,'Vocus RVC ExDa'!$C$2:$R$155, 2,FALSE), IFERROR(VLOOKUP($A262,'Fusion ExDa'!$B$2:$D$16, 3,FALSE), IFERROR(VLOOKUP($A262,'Exetel ExDa'!$C$2:$N$14, 0,FALSE), IFERROR(VLOOKUP($A262,'Infinet ExDa'!$B$2:$E$14, 0,FALSE), "Not Found"))))))))</f>
        <v>THE BAY , 371 CHARLTON ESP, SCARNESS QLD</v>
      </c>
      <c r="K262" t="str">
        <f>IFERROR(VLOOKUP($A262,'AAPT ExDa'!$B$2:$U$99, 12,FALSE), IFERROR(VLOOKUP($A262,'ABB ExDa'!$A$2:$N$184, 0,FALSE), IFERROR(VLOOKUP($A262,'Vocus SIT ExDa'!$B$2:$J$173, 0,FALSE), IFERROR(VLOOKUP($A262,'Telstra ExDa'!$B$2:$K$310, 0,FALSE), IFERROR(VLOOKUP($A262,'Vocus RVC ExDa'!$C$2:$R$155, 0,FALSE), IFERROR(VLOOKUP($A262,'Fusion ExDa'!$B$2:$D$16, 0,FALSE), IFERROR(VLOOKUP($A262,'Exetel ExDa'!$C$2:$N$14, 12,FALSE), IFERROR(VLOOKUP($A262,'Infinet ExDa'!$B$2:$E$14, 0,FALSE), "Not Found"))))))))</f>
        <v>Not Found</v>
      </c>
      <c r="L262" s="235" t="str">
        <f>IFERROR(VLOOKUP($A262,'AAPT ExDa'!$B$2:$U$99, 11,FALSE), IFERROR(VLOOKUP($A262,'ABB ExDa'!$A$2:$N$184, 9,FALSE), IFERROR(VLOOKUP($A262,'Vocus SIT ExDa'!$B$2:$J$173, 8,FALSE), IFERROR(VLOOKUP($A262,'Telstra ExDa'!$B$2:$K$310, 0,FALSE), IFERROR(VLOOKUP($A262,'Vocus RVC ExDa'!$C$2:$R$155, 0,FALSE), IFERROR(VLOOKUP($A262,'Fusion ExDa'!$B$2:$D$16, 0,FALSE), IFERROR(VLOOKUP($A262,'Exetel ExDa'!$C$2:$N$14, 9,FALSE), IFERROR(VLOOKUP($A262,'Infinet ExDa'!$B$2:$E$14, 0,FALSE), "Not Found"))))))))</f>
        <v>-</v>
      </c>
      <c r="M262" s="234" t="str">
        <f>IFERROR(VLOOKUP($A262,'AAPT ExDa'!$B$2:$U$99, 0,FALSE), IFERROR(VLOOKUP($A262,'ABB ExDa'!$A$2:$N$184, 0,FALSE), IFERROR(VLOOKUP($A262,'Vocus SIT ExDa'!$B$2:$J$173, 0,FALSE), IFERROR(VLOOKUP($A262,'Telstra ExDa'!$B$2:$K$310, 0,FALSE), IFERROR(VLOOKUP($A262,'Vocus RVC ExDa'!$C$2:$R$155, 0,FALSE), IFERROR(VLOOKUP($A262,'Fusion ExDa'!$B$2:$D$16, 0,FALSE), IFERROR(VLOOKUP($A262,'Exetel ExDa'!$C$2:$N$14, 11,FALSE), IFERROR(VLOOKUP($A262,'Infinet ExDa'!$B$2:$E$14, 0,FALSE), "Not Found"))))))))</f>
        <v>Not Found</v>
      </c>
      <c r="N262">
        <f>IFERROR(VLOOKUP($A262,'AAPT ExDa'!$B$2:$U$99, 0,FALSE), IFERROR(VLOOKUP($A262,'ABB ExDa'!$A$2:$N$184, 13,FALSE), IFERROR(VLOOKUP($A262,'Vocus SIT ExDa'!$B$2:$J$173, 0,FALSE), IFERROR(VLOOKUP($A262,'Telstra ExDa'!$B$2:$K$310, 0,FALSE), IFERROR(VLOOKUP($A262,'Vocus RVC ExDa'!$C$2:$R$155, 0,FALSE), IFERROR(VLOOKUP($A262,'Fusion ExDa'!$B$2:$D$16, 0,FALSE), IFERROR(VLOOKUP($A262,'Exetel ExDa'!$C$2:$N$14, 0,FALSE), IFERROR(VLOOKUP($A262,'Infinet ExDa'!$B$2:$E$14, 0,FALSE), "Not Found"))))))))</f>
        <v>0</v>
      </c>
    </row>
    <row r="263" spans="1:14">
      <c r="A263" t="str">
        <v>Troocoo</v>
      </c>
      <c r="B263" t="str">
        <f>IFERROR(VLOOKUP(A263,'Exetel ExDa'!$C$2:$N$14,4,FALSE),"No Data")</f>
        <v>No Data</v>
      </c>
      <c r="C263" t="str">
        <f>IFERROR(VLOOKUP(A263,'AAPT ExDa'!$B$2:$U$99, 2,FALSE), IFERROR(VLOOKUP(A263,'ABB ExDa'!$A$2:$N$184, 2,FALSE), IFERROR(VLOOKUP(A263,'Vocus SIT ExDa'!$B$2:$J$173, 7,FALSE), IFERROR(VLOOKUP(A263,'Telstra ExDa'!$B$2:$K$310, 2,FALSE), IFERROR(VLOOKUP(A263,'Vocus RVC ExDa'!$C$2:$R$155, 3,FALSE), IFERROR(VLOOKUP(A263,'Fusion ExDa'!$B$2:$D$16, 2,FALSE), IFERROR(VLOOKUP(A263,'Exetel ExDa'!$C$2:$N$14, 2,FALSE), IFERROR(VLOOKUP(A263,'Infinet ExDa'!$B$2:$E$14, 2,FALSE), "Not Found"))))))))</f>
        <v>OFFC 17 123 EAGLE ST BRISBANE CITY QLD 4000 BRISBANE CITY</v>
      </c>
      <c r="D263" t="str">
        <f>IFERROR(VLOOKUP($A263,'AAPT ExDa'!$B$2:$U$99, 15,FALSE), IFERROR(VLOOKUP($A263,'ABB ExDa'!$A$2:$N$184, 4,FALSE), IFERROR(VLOOKUP($A263,'Vocus SIT ExDa'!$B$2:$J$173, 5,FALSE), IFERROR(VLOOKUP($A263,'Telstra ExDa'!$B$2:$K$310, 8,FALSE), IFERROR(VLOOKUP($A263,'Vocus RVC ExDa'!$C$2:$R$155, 6,FALSE), IFERROR(VLOOKUP($A263,'Fusion ExDa'!$B$2:$D$16, 4,FALSE), IFERROR(VLOOKUP($A263,'Exetel ExDa'!$C$2:$N$14, 3,FALSE), IFERROR(VLOOKUP($A263,'Infinet ExDa'!$B$2:$E$14, 3,FALSE), "Not Found"))))))))</f>
        <v>ABB</v>
      </c>
      <c r="E263" t="str">
        <f>IFERROR(VLOOKUP($A263,'AAPT ExDa'!$B$2:$U$99, 3,FALSE), IFERROR(VLOOKUP($A263,'ABB ExDa'!$A$2:$N$184, 5,FALSE), IFERROR(VLOOKUP($A263,'Vocus SIT ExDa'!$B$2:$J$173, 2,FALSE), IFERROR(VLOOKUP($A263,'Telstra ExDa'!$B$2:$K$310, 4,FALSE), IFERROR(VLOOKUP($A263,'Vocus RVC ExDa'!$C$2:$R$155, 8,FALSE), IFERROR(VLOOKUP($A263,'Fusion ExDa'!$B$2:$D$16, 4,FALSE), IFERROR(VLOOKUP($A263,'Exetel ExDa'!$C$2:$N$14, 5,FALSE), IFERROR(VLOOKUP($A263,'Infinet ExDa'!$B$2:$E$14, 3,FALSE), "Not Found"))))))))</f>
        <v>500Mbps/500Mbps</v>
      </c>
      <c r="F263" t="str">
        <f>IFERROR(VLOOKUP($A263,'AAPT ExDa'!$B$2:$U$99, 4,FALSE), IFERROR(VLOOKUP($A263,'ABB ExDa'!$A$2:$N$184, 6,FALSE), IFERROR(VLOOKUP($A263,'Vocus SIT ExDa'!$B$2:$J$173, 3,FALSE), IFERROR(VLOOKUP($A263,'Telstra ExDa'!$B$2:$K$310, 5,FALSE), IFERROR(VLOOKUP($A263,'Vocus RVC ExDa'!$C$2:$R$155, 9,FALSE), IFERROR(VLOOKUP($A263,'Fusion ExDa'!$B$2:$D$16, 0,FALSE), IFERROR(VLOOKUP($A263,'Exetel ExDa'!$C$2:$N$14, 6,FALSE), IFERROR(VLOOKUP($A263,'Infinet ExDa'!$B$2:$E$14, 0,FALSE), "Not Found"))))))))</f>
        <v>144.6.119.250/31</v>
      </c>
      <c r="G263" t="str">
        <f>IFERROR(VLOOKUP($A263,'AAPT ExDa'!$B$2:$U$99, 5,FALSE), IFERROR(VLOOKUP($A263,'ABB ExDa'!$A$2:$N$184, 8,FALSE), IFERROR(VLOOKUP($A263,'Vocus SIT ExDa'!$B$2:$J$173, 6,FALSE), IFERROR(VLOOKUP($A263,'Telstra ExDa'!$B$2:$K$310, 0,FALSE), IFERROR(VLOOKUP($A263,'Vocus RVC ExDa'!$C$2:$R$155, 15,FALSE), IFERROR(VLOOKUP($A263,'Fusion ExDa'!$B$2:$D$16, 0,FALSE), IFERROR(VLOOKUP($A263,'Exetel ExDa'!$C$2:$N$14, 7,FALSE), IFERROR(VLOOKUP($A263,'Infinet ExDa'!$B$2:$E$14, 0,FALSE), "Not Found"))))))))</f>
        <v>36 months</v>
      </c>
      <c r="H263" t="str">
        <f>IFERROR(VLOOKUP($A263,'AAPT ExDa'!$B$2:$U$99, 6,FALSE), IFERROR(VLOOKUP($A263,'ABB ExDa'!$A$2:$N$184, 0,FALSE), IFERROR(VLOOKUP($A263,'Vocus SIT ExDa'!$B$2:$J$173, 0,FALSE), IFERROR(VLOOKUP($A263,'Telstra ExDa'!$B$2:$K$310, 0,FALSE), IFERROR(VLOOKUP($A263,'Vocus RVC ExDa'!$C$2:$R$155, 16,FALSE), IFERROR(VLOOKUP($A263,'Fusion ExDa'!$B$2:$D$16, 0,FALSE), IFERROR(VLOOKUP($A263,'Exetel ExDa'!$C$2:$N$14, 0,FALSE), IFERROR(VLOOKUP($A263,'Infinet ExDa'!$B$2:$E$14, 0,FALSE), "Not Found"))))))))</f>
        <v>Not Found</v>
      </c>
      <c r="I263" t="str">
        <f>IFERROR(VLOOKUP($A263,'AAPT ExDa'!$B$2:$U$99, 0,FALSE), IFERROR(VLOOKUP($A263,'ABB ExDa'!$A$2:$N$184, 0,FALSE), IFERROR(VLOOKUP($A263,'Vocus SIT ExDa'!$B$2:$J$173, 0,FALSE), IFERROR(VLOOKUP($A263,'Telstra ExDa'!$B$2:$K$310, 0,FALSE), IFERROR(VLOOKUP($A263,'Vocus RVC ExDa'!$C$2:$R$155, 0,FALSE), IFERROR(VLOOKUP($A263,'Fusion ExDa'!$B$2:$D$16, 0,FALSE), IFERROR(VLOOKUP($A263,'Exetel ExDa'!$C$2:$N$14, 8,FALSE), IFERROR(VLOOKUP($A263,'Infinet ExDa'!$B$2:$E$14, 0,FALSE), "Not Found"))))))))</f>
        <v>Not Found</v>
      </c>
      <c r="J263" t="str">
        <f>IFERROR(VLOOKUP($A263,'AAPT ExDa'!$B$2:$U$99, 7,FALSE), IFERROR(VLOOKUP($A263,'ABB ExDa'!$A$2:$N$184, 2,FALSE), IFERROR(VLOOKUP($A263,'Vocus SIT ExDa'!$B$2:$J$173, 0,FALSE), IFERROR(VLOOKUP($A263,'Telstra ExDa'!$B$2:$K$310, 7,FALSE), IFERROR(VLOOKUP($A263,'Vocus RVC ExDa'!$C$2:$R$155, 2,FALSE), IFERROR(VLOOKUP($A263,'Fusion ExDa'!$B$2:$D$16, 3,FALSE), IFERROR(VLOOKUP($A263,'Exetel ExDa'!$C$2:$N$14, 0,FALSE), IFERROR(VLOOKUP($A263,'Infinet ExDa'!$B$2:$E$14, 0,FALSE), "Not Found"))))))))</f>
        <v>OFFC 17 123 EAGLE ST BRISBANE CITY QLD 4000 BRISBANE CITY</v>
      </c>
      <c r="K263" t="str">
        <f>IFERROR(VLOOKUP($A263,'AAPT ExDa'!$B$2:$U$99, 12,FALSE), IFERROR(VLOOKUP($A263,'ABB ExDa'!$A$2:$N$184, 0,FALSE), IFERROR(VLOOKUP($A263,'Vocus SIT ExDa'!$B$2:$J$173, 0,FALSE), IFERROR(VLOOKUP($A263,'Telstra ExDa'!$B$2:$K$310, 0,FALSE), IFERROR(VLOOKUP($A263,'Vocus RVC ExDa'!$C$2:$R$155, 0,FALSE), IFERROR(VLOOKUP($A263,'Fusion ExDa'!$B$2:$D$16, 0,FALSE), IFERROR(VLOOKUP($A263,'Exetel ExDa'!$C$2:$N$14, 12,FALSE), IFERROR(VLOOKUP($A263,'Infinet ExDa'!$B$2:$E$14, 0,FALSE), "Not Found"))))))))</f>
        <v>Not Found</v>
      </c>
      <c r="L263" s="235" t="str">
        <f>IFERROR(VLOOKUP($A263,'AAPT ExDa'!$B$2:$U$99, 11,FALSE), IFERROR(VLOOKUP($A263,'ABB ExDa'!$A$2:$N$184, 9,FALSE), IFERROR(VLOOKUP($A263,'Vocus SIT ExDa'!$B$2:$J$173, 8,FALSE), IFERROR(VLOOKUP($A263,'Telstra ExDa'!$B$2:$K$310, 0,FALSE), IFERROR(VLOOKUP($A263,'Vocus RVC ExDa'!$C$2:$R$155, 0,FALSE), IFERROR(VLOOKUP($A263,'Fusion ExDa'!$B$2:$D$16, 0,FALSE), IFERROR(VLOOKUP($A263,'Exetel ExDa'!$C$2:$N$14, 9,FALSE), IFERROR(VLOOKUP($A263,'Infinet ExDa'!$B$2:$E$14, 0,FALSE), "Not Found"))))))))</f>
        <v>24 Sept 2028</v>
      </c>
      <c r="M263" s="234" t="str">
        <f>IFERROR(VLOOKUP($A263,'AAPT ExDa'!$B$2:$U$99, 0,FALSE), IFERROR(VLOOKUP($A263,'ABB ExDa'!$A$2:$N$184, 0,FALSE), IFERROR(VLOOKUP($A263,'Vocus SIT ExDa'!$B$2:$J$173, 0,FALSE), IFERROR(VLOOKUP($A263,'Telstra ExDa'!$B$2:$K$310, 0,FALSE), IFERROR(VLOOKUP($A263,'Vocus RVC ExDa'!$C$2:$R$155, 0,FALSE), IFERROR(VLOOKUP($A263,'Fusion ExDa'!$B$2:$D$16, 0,FALSE), IFERROR(VLOOKUP($A263,'Exetel ExDa'!$C$2:$N$14, 11,FALSE), IFERROR(VLOOKUP($A263,'Infinet ExDa'!$B$2:$E$14, 0,FALSE), "Not Found"))))))))</f>
        <v>Not Found</v>
      </c>
      <c r="N263">
        <f>IFERROR(VLOOKUP($A263,'AAPT ExDa'!$B$2:$U$99, 0,FALSE), IFERROR(VLOOKUP($A263,'ABB ExDa'!$A$2:$N$184, 13,FALSE), IFERROR(VLOOKUP($A263,'Vocus SIT ExDa'!$B$2:$J$173, 0,FALSE), IFERROR(VLOOKUP($A263,'Telstra ExDa'!$B$2:$K$310, 0,FALSE), IFERROR(VLOOKUP($A263,'Vocus RVC ExDa'!$C$2:$R$155, 0,FALSE), IFERROR(VLOOKUP($A263,'Fusion ExDa'!$B$2:$D$16, 0,FALSE), IFERROR(VLOOKUP($A263,'Exetel ExDa'!$C$2:$N$14, 0,FALSE), IFERROR(VLOOKUP($A263,'Infinet ExDa'!$B$2:$E$14, 0,FALSE), "Not Found"))))))))</f>
        <v>0</v>
      </c>
    </row>
    <row r="264" spans="1:14">
      <c r="A264" t="str">
        <v>Talisman</v>
      </c>
      <c r="B264" t="str">
        <f>IFERROR(VLOOKUP(A264,'Exetel ExDa'!$C$2:$N$14,4,FALSE),"No Data")</f>
        <v>No Data</v>
      </c>
      <c r="C264" t="str">
        <f>IFERROR(VLOOKUP(A264,'AAPT ExDa'!$B$2:$U$99, 2,FALSE), IFERROR(VLOOKUP(A264,'ABB ExDa'!$A$2:$N$184, 2,FALSE), IFERROR(VLOOKUP(A264,'Vocus SIT ExDa'!$B$2:$J$173, 7,FALSE), IFERROR(VLOOKUP(A264,'Telstra ExDa'!$B$2:$K$310, 2,FALSE), IFERROR(VLOOKUP(A264,'Vocus RVC ExDa'!$C$2:$R$155, 3,FALSE), IFERROR(VLOOKUP(A264,'Fusion ExDa'!$B$2:$D$16, 2,FALSE), IFERROR(VLOOKUP(A264,'Exetel ExDa'!$C$2:$N$14, 2,FALSE), IFERROR(VLOOKUP(A264,'Infinet ExDa'!$B$2:$E$14, 2,FALSE), "Not Found"))))))))</f>
        <v>UN 301, 10 MARKET ST, BRISBANE CITY QLD</v>
      </c>
      <c r="D264" t="str">
        <f>IFERROR(VLOOKUP($A264,'AAPT ExDa'!$B$2:$U$99, 15,FALSE), IFERROR(VLOOKUP($A264,'ABB ExDa'!$A$2:$N$184, 4,FALSE), IFERROR(VLOOKUP($A264,'Vocus SIT ExDa'!$B$2:$J$173, 5,FALSE), IFERROR(VLOOKUP($A264,'Telstra ExDa'!$B$2:$K$310, 8,FALSE), IFERROR(VLOOKUP($A264,'Vocus RVC ExDa'!$C$2:$R$155, 6,FALSE), IFERROR(VLOOKUP($A264,'Fusion ExDa'!$B$2:$D$16, 4,FALSE), IFERROR(VLOOKUP($A264,'Exetel ExDa'!$C$2:$N$14, 3,FALSE), IFERROR(VLOOKUP($A264,'Infinet ExDa'!$B$2:$E$14, 3,FALSE), "Not Found"))))))))</f>
        <v>ABB</v>
      </c>
      <c r="E264" t="str">
        <f>IFERROR(VLOOKUP($A264,'AAPT ExDa'!$B$2:$U$99, 3,FALSE), IFERROR(VLOOKUP($A264,'ABB ExDa'!$A$2:$N$184, 5,FALSE), IFERROR(VLOOKUP($A264,'Vocus SIT ExDa'!$B$2:$J$173, 2,FALSE), IFERROR(VLOOKUP($A264,'Telstra ExDa'!$B$2:$K$310, 4,FALSE), IFERROR(VLOOKUP($A264,'Vocus RVC ExDa'!$C$2:$R$155, 8,FALSE), IFERROR(VLOOKUP($A264,'Fusion ExDa'!$B$2:$D$16, 4,FALSE), IFERROR(VLOOKUP($A264,'Exetel ExDa'!$C$2:$N$14, 5,FALSE), IFERROR(VLOOKUP($A264,'Infinet ExDa'!$B$2:$E$14, 3,FALSE), "Not Found"))))))))</f>
        <v>NBN 100/40</v>
      </c>
      <c r="F264" t="str">
        <f>IFERROR(VLOOKUP($A264,'AAPT ExDa'!$B$2:$U$99, 4,FALSE), IFERROR(VLOOKUP($A264,'ABB ExDa'!$A$2:$N$184, 6,FALSE), IFERROR(VLOOKUP($A264,'Vocus SIT ExDa'!$B$2:$J$173, 3,FALSE), IFERROR(VLOOKUP($A264,'Telstra ExDa'!$B$2:$K$310, 5,FALSE), IFERROR(VLOOKUP($A264,'Vocus RVC ExDa'!$C$2:$R$155, 9,FALSE), IFERROR(VLOOKUP($A264,'Fusion ExDa'!$B$2:$D$16, 0,FALSE), IFERROR(VLOOKUP($A264,'Exetel ExDa'!$C$2:$N$14, 6,FALSE), IFERROR(VLOOKUP($A264,'Infinet ExDa'!$B$2:$E$14, 0,FALSE), "Not Found"))))))))</f>
        <v>FTTB</v>
      </c>
      <c r="G264" t="str">
        <f>IFERROR(VLOOKUP($A264,'AAPT ExDa'!$B$2:$U$99, 5,FALSE), IFERROR(VLOOKUP($A264,'ABB ExDa'!$A$2:$N$184, 8,FALSE), IFERROR(VLOOKUP($A264,'Vocus SIT ExDa'!$B$2:$J$173, 6,FALSE), IFERROR(VLOOKUP($A264,'Telstra ExDa'!$B$2:$K$310, 0,FALSE), IFERROR(VLOOKUP($A264,'Vocus RVC ExDa'!$C$2:$R$155, 15,FALSE), IFERROR(VLOOKUP($A264,'Fusion ExDa'!$B$2:$D$16, 0,FALSE), IFERROR(VLOOKUP($A264,'Exetel ExDa'!$C$2:$N$14, 7,FALSE), IFERROR(VLOOKUP($A264,'Infinet ExDa'!$B$2:$E$14, 0,FALSE), "Not Found"))))))))</f>
        <v>120.88.117.3</v>
      </c>
      <c r="H264" t="str">
        <f>IFERROR(VLOOKUP($A264,'AAPT ExDa'!$B$2:$U$99, 6,FALSE), IFERROR(VLOOKUP($A264,'ABB ExDa'!$A$2:$N$184, 0,FALSE), IFERROR(VLOOKUP($A264,'Vocus SIT ExDa'!$B$2:$J$173, 0,FALSE), IFERROR(VLOOKUP($A264,'Telstra ExDa'!$B$2:$K$310, 0,FALSE), IFERROR(VLOOKUP($A264,'Vocus RVC ExDa'!$C$2:$R$155, 16,FALSE), IFERROR(VLOOKUP($A264,'Fusion ExDa'!$B$2:$D$16, 0,FALSE), IFERROR(VLOOKUP($A264,'Exetel ExDa'!$C$2:$N$14, 0,FALSE), IFERROR(VLOOKUP($A264,'Infinet ExDa'!$B$2:$E$14, 0,FALSE), "Not Found"))))))))</f>
        <v>Not Found</v>
      </c>
      <c r="I264" t="str">
        <f>IFERROR(VLOOKUP($A264,'AAPT ExDa'!$B$2:$U$99, 0,FALSE), IFERROR(VLOOKUP($A264,'ABB ExDa'!$A$2:$N$184, 0,FALSE), IFERROR(VLOOKUP($A264,'Vocus SIT ExDa'!$B$2:$J$173, 0,FALSE), IFERROR(VLOOKUP($A264,'Telstra ExDa'!$B$2:$K$310, 0,FALSE), IFERROR(VLOOKUP($A264,'Vocus RVC ExDa'!$C$2:$R$155, 0,FALSE), IFERROR(VLOOKUP($A264,'Fusion ExDa'!$B$2:$D$16, 0,FALSE), IFERROR(VLOOKUP($A264,'Exetel ExDa'!$C$2:$N$14, 8,FALSE), IFERROR(VLOOKUP($A264,'Infinet ExDa'!$B$2:$E$14, 0,FALSE), "Not Found"))))))))</f>
        <v>Not Found</v>
      </c>
      <c r="J264" t="str">
        <f>IFERROR(VLOOKUP($A264,'AAPT ExDa'!$B$2:$U$99, 7,FALSE), IFERROR(VLOOKUP($A264,'ABB ExDa'!$A$2:$N$184, 2,FALSE), IFERROR(VLOOKUP($A264,'Vocus SIT ExDa'!$B$2:$J$173, 0,FALSE), IFERROR(VLOOKUP($A264,'Telstra ExDa'!$B$2:$K$310, 7,FALSE), IFERROR(VLOOKUP($A264,'Vocus RVC ExDa'!$C$2:$R$155, 2,FALSE), IFERROR(VLOOKUP($A264,'Fusion ExDa'!$B$2:$D$16, 3,FALSE), IFERROR(VLOOKUP($A264,'Exetel ExDa'!$C$2:$N$14, 0,FALSE), IFERROR(VLOOKUP($A264,'Infinet ExDa'!$B$2:$E$14, 0,FALSE), "Not Found"))))))))</f>
        <v>UN 301, 10 MARKET ST, BRISBANE CITY QLD</v>
      </c>
      <c r="K264" t="str">
        <f>IFERROR(VLOOKUP($A264,'AAPT ExDa'!$B$2:$U$99, 12,FALSE), IFERROR(VLOOKUP($A264,'ABB ExDa'!$A$2:$N$184, 0,FALSE), IFERROR(VLOOKUP($A264,'Vocus SIT ExDa'!$B$2:$J$173, 0,FALSE), IFERROR(VLOOKUP($A264,'Telstra ExDa'!$B$2:$K$310, 0,FALSE), IFERROR(VLOOKUP($A264,'Vocus RVC ExDa'!$C$2:$R$155, 0,FALSE), IFERROR(VLOOKUP($A264,'Fusion ExDa'!$B$2:$D$16, 0,FALSE), IFERROR(VLOOKUP($A264,'Exetel ExDa'!$C$2:$N$14, 12,FALSE), IFERROR(VLOOKUP($A264,'Infinet ExDa'!$B$2:$E$14, 0,FALSE), "Not Found"))))))))</f>
        <v>Not Found</v>
      </c>
      <c r="L264" s="235" t="str">
        <f>IFERROR(VLOOKUP($A264,'AAPT ExDa'!$B$2:$U$99, 11,FALSE), IFERROR(VLOOKUP($A264,'ABB ExDa'!$A$2:$N$184, 9,FALSE), IFERROR(VLOOKUP($A264,'Vocus SIT ExDa'!$B$2:$J$173, 8,FALSE), IFERROR(VLOOKUP($A264,'Telstra ExDa'!$B$2:$K$310, 0,FALSE), IFERROR(VLOOKUP($A264,'Vocus RVC ExDa'!$C$2:$R$155, 0,FALSE), IFERROR(VLOOKUP($A264,'Fusion ExDa'!$B$2:$D$16, 0,FALSE), IFERROR(VLOOKUP($A264,'Exetel ExDa'!$C$2:$N$14, 9,FALSE), IFERROR(VLOOKUP($A264,'Infinet ExDa'!$B$2:$E$14, 0,FALSE), "Not Found"))))))))</f>
        <v>10 Oct 2024</v>
      </c>
      <c r="M264" s="234" t="str">
        <f>IFERROR(VLOOKUP($A264,'AAPT ExDa'!$B$2:$U$99, 0,FALSE), IFERROR(VLOOKUP($A264,'ABB ExDa'!$A$2:$N$184, 0,FALSE), IFERROR(VLOOKUP($A264,'Vocus SIT ExDa'!$B$2:$J$173, 0,FALSE), IFERROR(VLOOKUP($A264,'Telstra ExDa'!$B$2:$K$310, 0,FALSE), IFERROR(VLOOKUP($A264,'Vocus RVC ExDa'!$C$2:$R$155, 0,FALSE), IFERROR(VLOOKUP($A264,'Fusion ExDa'!$B$2:$D$16, 0,FALSE), IFERROR(VLOOKUP($A264,'Exetel ExDa'!$C$2:$N$14, 11,FALSE), IFERROR(VLOOKUP($A264,'Infinet ExDa'!$B$2:$E$14, 0,FALSE), "Not Found"))))))))</f>
        <v>Not Found</v>
      </c>
      <c r="N264" t="str">
        <f>IFERROR(VLOOKUP($A264,'AAPT ExDa'!$B$2:$U$99, 0,FALSE), IFERROR(VLOOKUP($A264,'ABB ExDa'!$A$2:$N$184, 13,FALSE), IFERROR(VLOOKUP($A264,'Vocus SIT ExDa'!$B$2:$J$173, 0,FALSE), IFERROR(VLOOKUP($A264,'Telstra ExDa'!$B$2:$K$310, 0,FALSE), IFERROR(VLOOKUP($A264,'Vocus RVC ExDa'!$C$2:$R$155, 0,FALSE), IFERROR(VLOOKUP($A264,'Fusion ExDa'!$B$2:$D$16, 0,FALSE), IFERROR(VLOOKUP($A264,'Exetel ExDa'!$C$2:$N$14, 0,FALSE), IFERROR(VLOOKUP($A264,'Infinet ExDa'!$B$2:$E$14, 0,FALSE), "Not Found"))))))))</f>
        <v>Sasboss/Datagate</v>
      </c>
    </row>
    <row r="265" spans="1:14">
      <c r="A265" t="str">
        <v>CPM Brisbane Office</v>
      </c>
      <c r="B265" t="str">
        <f>IFERROR(VLOOKUP(A265,'Exetel ExDa'!$C$2:$N$14,4,FALSE),"No Data")</f>
        <v>No Data</v>
      </c>
      <c r="C265" t="str">
        <f>IFERROR(VLOOKUP(A265,'AAPT ExDa'!$B$2:$U$99, 2,FALSE), IFERROR(VLOOKUP(A265,'ABB ExDa'!$A$2:$N$184, 2,FALSE), IFERROR(VLOOKUP(A265,'Vocus SIT ExDa'!$B$2:$J$173, 7,FALSE), IFERROR(VLOOKUP(A265,'Telstra ExDa'!$B$2:$K$310, 2,FALSE), IFERROR(VLOOKUP(A265,'Vocus RVC ExDa'!$C$2:$R$155, 3,FALSE), IFERROR(VLOOKUP(A265,'Fusion ExDa'!$B$2:$D$16, 2,FALSE), IFERROR(VLOOKUP(A265,'Exetel ExDa'!$C$2:$N$14, 2,FALSE), IFERROR(VLOOKUP(A265,'Infinet ExDa'!$B$2:$E$14, 2,FALSE), "Not Found"))))))))</f>
        <v>STE 2, LEVEL 8, 100 Creek ST Brisbane QLD 4000 Brisbane</v>
      </c>
      <c r="D265" t="str">
        <f>IFERROR(VLOOKUP($A265,'AAPT ExDa'!$B$2:$U$99, 15,FALSE), IFERROR(VLOOKUP($A265,'ABB ExDa'!$A$2:$N$184, 4,FALSE), IFERROR(VLOOKUP($A265,'Vocus SIT ExDa'!$B$2:$J$173, 5,FALSE), IFERROR(VLOOKUP($A265,'Telstra ExDa'!$B$2:$K$310, 8,FALSE), IFERROR(VLOOKUP($A265,'Vocus RVC ExDa'!$C$2:$R$155, 6,FALSE), IFERROR(VLOOKUP($A265,'Fusion ExDa'!$B$2:$D$16, 4,FALSE), IFERROR(VLOOKUP($A265,'Exetel ExDa'!$C$2:$N$14, 3,FALSE), IFERROR(VLOOKUP($A265,'Infinet ExDa'!$B$2:$E$14, 3,FALSE), "Not Found"))))))))</f>
        <v>ABB</v>
      </c>
      <c r="E265" t="str">
        <f>IFERROR(VLOOKUP($A265,'AAPT ExDa'!$B$2:$U$99, 3,FALSE), IFERROR(VLOOKUP($A265,'ABB ExDa'!$A$2:$N$184, 5,FALSE), IFERROR(VLOOKUP($A265,'Vocus SIT ExDa'!$B$2:$J$173, 2,FALSE), IFERROR(VLOOKUP($A265,'Telstra ExDa'!$B$2:$K$310, 4,FALSE), IFERROR(VLOOKUP($A265,'Vocus RVC ExDa'!$C$2:$R$155, 8,FALSE), IFERROR(VLOOKUP($A265,'Fusion ExDa'!$B$2:$D$16, 4,FALSE), IFERROR(VLOOKUP($A265,'Exetel ExDa'!$C$2:$N$14, 5,FALSE), IFERROR(VLOOKUP($A265,'Infinet ExDa'!$B$2:$E$14, 3,FALSE), "Not Found"))))))))</f>
        <v>0Mbps/0Mbps</v>
      </c>
      <c r="F265" t="str">
        <f>IFERROR(VLOOKUP($A265,'AAPT ExDa'!$B$2:$U$99, 4,FALSE), IFERROR(VLOOKUP($A265,'ABB ExDa'!$A$2:$N$184, 6,FALSE), IFERROR(VLOOKUP($A265,'Vocus SIT ExDa'!$B$2:$J$173, 3,FALSE), IFERROR(VLOOKUP($A265,'Telstra ExDa'!$B$2:$K$310, 5,FALSE), IFERROR(VLOOKUP($A265,'Vocus RVC ExDa'!$C$2:$R$155, 9,FALSE), IFERROR(VLOOKUP($A265,'Fusion ExDa'!$B$2:$D$16, 0,FALSE), IFERROR(VLOOKUP($A265,'Exetel ExDa'!$C$2:$N$14, 6,FALSE), IFERROR(VLOOKUP($A265,'Infinet ExDa'!$B$2:$E$14, 0,FALSE), "Not Found"))))))))</f>
        <v>159.196.39.124/31</v>
      </c>
      <c r="G265" t="str">
        <f>IFERROR(VLOOKUP($A265,'AAPT ExDa'!$B$2:$U$99, 5,FALSE), IFERROR(VLOOKUP($A265,'ABB ExDa'!$A$2:$N$184, 8,FALSE), IFERROR(VLOOKUP($A265,'Vocus SIT ExDa'!$B$2:$J$173, 6,FALSE), IFERROR(VLOOKUP($A265,'Telstra ExDa'!$B$2:$K$310, 0,FALSE), IFERROR(VLOOKUP($A265,'Vocus RVC ExDa'!$C$2:$R$155, 15,FALSE), IFERROR(VLOOKUP($A265,'Fusion ExDa'!$B$2:$D$16, 0,FALSE), IFERROR(VLOOKUP($A265,'Exetel ExDa'!$C$2:$N$14, 7,FALSE), IFERROR(VLOOKUP($A265,'Infinet ExDa'!$B$2:$E$14, 0,FALSE), "Not Found"))))))))</f>
        <v>36 months</v>
      </c>
      <c r="H265" t="str">
        <f>IFERROR(VLOOKUP($A265,'AAPT ExDa'!$B$2:$U$99, 6,FALSE), IFERROR(VLOOKUP($A265,'ABB ExDa'!$A$2:$N$184, 0,FALSE), IFERROR(VLOOKUP($A265,'Vocus SIT ExDa'!$B$2:$J$173, 0,FALSE), IFERROR(VLOOKUP($A265,'Telstra ExDa'!$B$2:$K$310, 0,FALSE), IFERROR(VLOOKUP($A265,'Vocus RVC ExDa'!$C$2:$R$155, 16,FALSE), IFERROR(VLOOKUP($A265,'Fusion ExDa'!$B$2:$D$16, 0,FALSE), IFERROR(VLOOKUP($A265,'Exetel ExDa'!$C$2:$N$14, 0,FALSE), IFERROR(VLOOKUP($A265,'Infinet ExDa'!$B$2:$E$14, 0,FALSE), "Not Found"))))))))</f>
        <v>Not Found</v>
      </c>
      <c r="I265" t="str">
        <f>IFERROR(VLOOKUP($A265,'AAPT ExDa'!$B$2:$U$99, 0,FALSE), IFERROR(VLOOKUP($A265,'ABB ExDa'!$A$2:$N$184, 0,FALSE), IFERROR(VLOOKUP($A265,'Vocus SIT ExDa'!$B$2:$J$173, 0,FALSE), IFERROR(VLOOKUP($A265,'Telstra ExDa'!$B$2:$K$310, 0,FALSE), IFERROR(VLOOKUP($A265,'Vocus RVC ExDa'!$C$2:$R$155, 0,FALSE), IFERROR(VLOOKUP($A265,'Fusion ExDa'!$B$2:$D$16, 0,FALSE), IFERROR(VLOOKUP($A265,'Exetel ExDa'!$C$2:$N$14, 8,FALSE), IFERROR(VLOOKUP($A265,'Infinet ExDa'!$B$2:$E$14, 0,FALSE), "Not Found"))))))))</f>
        <v>Not Found</v>
      </c>
      <c r="J265" t="str">
        <f>IFERROR(VLOOKUP($A265,'AAPT ExDa'!$B$2:$U$99, 7,FALSE), IFERROR(VLOOKUP($A265,'ABB ExDa'!$A$2:$N$184, 2,FALSE), IFERROR(VLOOKUP($A265,'Vocus SIT ExDa'!$B$2:$J$173, 0,FALSE), IFERROR(VLOOKUP($A265,'Telstra ExDa'!$B$2:$K$310, 7,FALSE), IFERROR(VLOOKUP($A265,'Vocus RVC ExDa'!$C$2:$R$155, 2,FALSE), IFERROR(VLOOKUP($A265,'Fusion ExDa'!$B$2:$D$16, 3,FALSE), IFERROR(VLOOKUP($A265,'Exetel ExDa'!$C$2:$N$14, 0,FALSE), IFERROR(VLOOKUP($A265,'Infinet ExDa'!$B$2:$E$14, 0,FALSE), "Not Found"))))))))</f>
        <v>STE 2, LEVEL 8, 100 Creek ST Brisbane QLD 4000 Brisbane</v>
      </c>
      <c r="K265" t="str">
        <f>IFERROR(VLOOKUP($A265,'AAPT ExDa'!$B$2:$U$99, 12,FALSE), IFERROR(VLOOKUP($A265,'ABB ExDa'!$A$2:$N$184, 0,FALSE), IFERROR(VLOOKUP($A265,'Vocus SIT ExDa'!$B$2:$J$173, 0,FALSE), IFERROR(VLOOKUP($A265,'Telstra ExDa'!$B$2:$K$310, 0,FALSE), IFERROR(VLOOKUP($A265,'Vocus RVC ExDa'!$C$2:$R$155, 0,FALSE), IFERROR(VLOOKUP($A265,'Fusion ExDa'!$B$2:$D$16, 0,FALSE), IFERROR(VLOOKUP($A265,'Exetel ExDa'!$C$2:$N$14, 12,FALSE), IFERROR(VLOOKUP($A265,'Infinet ExDa'!$B$2:$E$14, 0,FALSE), "Not Found"))))))))</f>
        <v>Not Found</v>
      </c>
      <c r="L265" s="235" t="str">
        <f>IFERROR(VLOOKUP($A265,'AAPT ExDa'!$B$2:$U$99, 11,FALSE), IFERROR(VLOOKUP($A265,'ABB ExDa'!$A$2:$N$184, 9,FALSE), IFERROR(VLOOKUP($A265,'Vocus SIT ExDa'!$B$2:$J$173, 8,FALSE), IFERROR(VLOOKUP($A265,'Telstra ExDa'!$B$2:$K$310, 0,FALSE), IFERROR(VLOOKUP($A265,'Vocus RVC ExDa'!$C$2:$R$155, 0,FALSE), IFERROR(VLOOKUP($A265,'Fusion ExDa'!$B$2:$D$16, 0,FALSE), IFERROR(VLOOKUP($A265,'Exetel ExDa'!$C$2:$N$14, 9,FALSE), IFERROR(VLOOKUP($A265,'Infinet ExDa'!$B$2:$E$14, 0,FALSE), "Not Found"))))))))</f>
        <v>05 Feb 2027</v>
      </c>
      <c r="M265" s="234" t="str">
        <f>IFERROR(VLOOKUP($A265,'AAPT ExDa'!$B$2:$U$99, 0,FALSE), IFERROR(VLOOKUP($A265,'ABB ExDa'!$A$2:$N$184, 0,FALSE), IFERROR(VLOOKUP($A265,'Vocus SIT ExDa'!$B$2:$J$173, 0,FALSE), IFERROR(VLOOKUP($A265,'Telstra ExDa'!$B$2:$K$310, 0,FALSE), IFERROR(VLOOKUP($A265,'Vocus RVC ExDa'!$C$2:$R$155, 0,FALSE), IFERROR(VLOOKUP($A265,'Fusion ExDa'!$B$2:$D$16, 0,FALSE), IFERROR(VLOOKUP($A265,'Exetel ExDa'!$C$2:$N$14, 11,FALSE), IFERROR(VLOOKUP($A265,'Infinet ExDa'!$B$2:$E$14, 0,FALSE), "Not Found"))))))))</f>
        <v>Not Found</v>
      </c>
      <c r="N265">
        <f>IFERROR(VLOOKUP($A265,'AAPT ExDa'!$B$2:$U$99, 0,FALSE), IFERROR(VLOOKUP($A265,'ABB ExDa'!$A$2:$N$184, 13,FALSE), IFERROR(VLOOKUP($A265,'Vocus SIT ExDa'!$B$2:$J$173, 0,FALSE), IFERROR(VLOOKUP($A265,'Telstra ExDa'!$B$2:$K$310, 0,FALSE), IFERROR(VLOOKUP($A265,'Vocus RVC ExDa'!$C$2:$R$155, 0,FALSE), IFERROR(VLOOKUP($A265,'Fusion ExDa'!$B$2:$D$16, 0,FALSE), IFERROR(VLOOKUP($A265,'Exetel ExDa'!$C$2:$N$14, 0,FALSE), IFERROR(VLOOKUP($A265,'Infinet ExDa'!$B$2:$E$14, 0,FALSE), "Not Found"))))))))</f>
        <v>0</v>
      </c>
    </row>
    <row r="266" spans="1:14">
      <c r="A266" t="str">
        <v>Zambrero Minchinbury</v>
      </c>
      <c r="B266" t="str">
        <f>IFERROR(VLOOKUP(A266,'Exetel ExDa'!$C$2:$N$14,4,FALSE),"No Data")</f>
        <v>No Data</v>
      </c>
      <c r="C266" t="str">
        <f>IFERROR(VLOOKUP(A266,'AAPT ExDa'!$B$2:$U$99, 2,FALSE), IFERROR(VLOOKUP(A266,'ABB ExDa'!$A$2:$N$184, 2,FALSE), IFERROR(VLOOKUP(A266,'Vocus SIT ExDa'!$B$2:$J$173, 7,FALSE), IFERROR(VLOOKUP(A266,'Telstra ExDa'!$B$2:$K$310, 2,FALSE), IFERROR(VLOOKUP(A266,'Vocus RVC ExDa'!$C$2:$R$155, 3,FALSE), IFERROR(VLOOKUP(A266,'Fusion ExDa'!$B$2:$D$16, 2,FALSE), IFERROR(VLOOKUP(A266,'Exetel ExDa'!$C$2:$N$14, 2,FALSE), IFERROR(VLOOKUP(A266,'Infinet ExDa'!$B$2:$E$14, 2,FALSE), "Not Found"))))))))</f>
        <v>OFFC T17, 11 JOHN HINES AV, MINCHINBURY NSW</v>
      </c>
      <c r="D266" t="str">
        <f>IFERROR(VLOOKUP($A266,'AAPT ExDa'!$B$2:$U$99, 15,FALSE), IFERROR(VLOOKUP($A266,'ABB ExDa'!$A$2:$N$184, 4,FALSE), IFERROR(VLOOKUP($A266,'Vocus SIT ExDa'!$B$2:$J$173, 5,FALSE), IFERROR(VLOOKUP($A266,'Telstra ExDa'!$B$2:$K$310, 8,FALSE), IFERROR(VLOOKUP($A266,'Vocus RVC ExDa'!$C$2:$R$155, 6,FALSE), IFERROR(VLOOKUP($A266,'Fusion ExDa'!$B$2:$D$16, 4,FALSE), IFERROR(VLOOKUP($A266,'Exetel ExDa'!$C$2:$N$14, 3,FALSE), IFERROR(VLOOKUP($A266,'Infinet ExDa'!$B$2:$E$14, 3,FALSE), "Not Found"))))))))</f>
        <v>ABB</v>
      </c>
      <c r="E266" t="str">
        <f>IFERROR(VLOOKUP($A266,'AAPT ExDa'!$B$2:$U$99, 3,FALSE), IFERROR(VLOOKUP($A266,'ABB ExDa'!$A$2:$N$184, 5,FALSE), IFERROR(VLOOKUP($A266,'Vocus SIT ExDa'!$B$2:$J$173, 2,FALSE), IFERROR(VLOOKUP($A266,'Telstra ExDa'!$B$2:$K$310, 4,FALSE), IFERROR(VLOOKUP($A266,'Vocus RVC ExDa'!$C$2:$R$155, 8,FALSE), IFERROR(VLOOKUP($A266,'Fusion ExDa'!$B$2:$D$16, 4,FALSE), IFERROR(VLOOKUP($A266,'Exetel ExDa'!$C$2:$N$14, 5,FALSE), IFERROR(VLOOKUP($A266,'Infinet ExDa'!$B$2:$E$14, 3,FALSE), "Not Found"))))))))</f>
        <v>NBN 25/10</v>
      </c>
      <c r="F266" t="str">
        <f>IFERROR(VLOOKUP($A266,'AAPT ExDa'!$B$2:$U$99, 4,FALSE), IFERROR(VLOOKUP($A266,'ABB ExDa'!$A$2:$N$184, 6,FALSE), IFERROR(VLOOKUP($A266,'Vocus SIT ExDa'!$B$2:$J$173, 3,FALSE), IFERROR(VLOOKUP($A266,'Telstra ExDa'!$B$2:$K$310, 5,FALSE), IFERROR(VLOOKUP($A266,'Vocus RVC ExDa'!$C$2:$R$155, 9,FALSE), IFERROR(VLOOKUP($A266,'Fusion ExDa'!$B$2:$D$16, 0,FALSE), IFERROR(VLOOKUP($A266,'Exetel ExDa'!$C$2:$N$14, 6,FALSE), IFERROR(VLOOKUP($A266,'Infinet ExDa'!$B$2:$E$14, 0,FALSE), "Not Found"))))))))</f>
        <v xml:space="preserve">Fibre </v>
      </c>
      <c r="G266" t="str">
        <f>IFERROR(VLOOKUP($A266,'AAPT ExDa'!$B$2:$U$99, 5,FALSE), IFERROR(VLOOKUP($A266,'ABB ExDa'!$A$2:$N$184, 8,FALSE), IFERROR(VLOOKUP($A266,'Vocus SIT ExDa'!$B$2:$J$173, 6,FALSE), IFERROR(VLOOKUP($A266,'Telstra ExDa'!$B$2:$K$310, 0,FALSE), IFERROR(VLOOKUP($A266,'Vocus RVC ExDa'!$C$2:$R$155, 15,FALSE), IFERROR(VLOOKUP($A266,'Fusion ExDa'!$B$2:$D$16, 0,FALSE), IFERROR(VLOOKUP($A266,'Exetel ExDa'!$C$2:$N$14, 7,FALSE), IFERROR(VLOOKUP($A266,'Infinet ExDa'!$B$2:$E$14, 0,FALSE), "Not Found"))))))))</f>
        <v>144.6.202.189</v>
      </c>
      <c r="H266" t="str">
        <f>IFERROR(VLOOKUP($A266,'AAPT ExDa'!$B$2:$U$99, 6,FALSE), IFERROR(VLOOKUP($A266,'ABB ExDa'!$A$2:$N$184, 0,FALSE), IFERROR(VLOOKUP($A266,'Vocus SIT ExDa'!$B$2:$J$173, 0,FALSE), IFERROR(VLOOKUP($A266,'Telstra ExDa'!$B$2:$K$310, 0,FALSE), IFERROR(VLOOKUP($A266,'Vocus RVC ExDa'!$C$2:$R$155, 16,FALSE), IFERROR(VLOOKUP($A266,'Fusion ExDa'!$B$2:$D$16, 0,FALSE), IFERROR(VLOOKUP($A266,'Exetel ExDa'!$C$2:$N$14, 0,FALSE), IFERROR(VLOOKUP($A266,'Infinet ExDa'!$B$2:$E$14, 0,FALSE), "Not Found"))))))))</f>
        <v>Not Found</v>
      </c>
      <c r="I266" t="str">
        <f>IFERROR(VLOOKUP($A266,'AAPT ExDa'!$B$2:$U$99, 0,FALSE), IFERROR(VLOOKUP($A266,'ABB ExDa'!$A$2:$N$184, 0,FALSE), IFERROR(VLOOKUP($A266,'Vocus SIT ExDa'!$B$2:$J$173, 0,FALSE), IFERROR(VLOOKUP($A266,'Telstra ExDa'!$B$2:$K$310, 0,FALSE), IFERROR(VLOOKUP($A266,'Vocus RVC ExDa'!$C$2:$R$155, 0,FALSE), IFERROR(VLOOKUP($A266,'Fusion ExDa'!$B$2:$D$16, 0,FALSE), IFERROR(VLOOKUP($A266,'Exetel ExDa'!$C$2:$N$14, 8,FALSE), IFERROR(VLOOKUP($A266,'Infinet ExDa'!$B$2:$E$14, 0,FALSE), "Not Found"))))))))</f>
        <v>Not Found</v>
      </c>
      <c r="J266" t="str">
        <f>IFERROR(VLOOKUP($A266,'AAPT ExDa'!$B$2:$U$99, 7,FALSE), IFERROR(VLOOKUP($A266,'ABB ExDa'!$A$2:$N$184, 2,FALSE), IFERROR(VLOOKUP($A266,'Vocus SIT ExDa'!$B$2:$J$173, 0,FALSE), IFERROR(VLOOKUP($A266,'Telstra ExDa'!$B$2:$K$310, 7,FALSE), IFERROR(VLOOKUP($A266,'Vocus RVC ExDa'!$C$2:$R$155, 2,FALSE), IFERROR(VLOOKUP($A266,'Fusion ExDa'!$B$2:$D$16, 3,FALSE), IFERROR(VLOOKUP($A266,'Exetel ExDa'!$C$2:$N$14, 0,FALSE), IFERROR(VLOOKUP($A266,'Infinet ExDa'!$B$2:$E$14, 0,FALSE), "Not Found"))))))))</f>
        <v>OFFC T17, 11 JOHN HINES AV, MINCHINBURY NSW</v>
      </c>
      <c r="K266" t="str">
        <f>IFERROR(VLOOKUP($A266,'AAPT ExDa'!$B$2:$U$99, 12,FALSE), IFERROR(VLOOKUP($A266,'ABB ExDa'!$A$2:$N$184, 0,FALSE), IFERROR(VLOOKUP($A266,'Vocus SIT ExDa'!$B$2:$J$173, 0,FALSE), IFERROR(VLOOKUP($A266,'Telstra ExDa'!$B$2:$K$310, 0,FALSE), IFERROR(VLOOKUP($A266,'Vocus RVC ExDa'!$C$2:$R$155, 0,FALSE), IFERROR(VLOOKUP($A266,'Fusion ExDa'!$B$2:$D$16, 0,FALSE), IFERROR(VLOOKUP($A266,'Exetel ExDa'!$C$2:$N$14, 12,FALSE), IFERROR(VLOOKUP($A266,'Infinet ExDa'!$B$2:$E$14, 0,FALSE), "Not Found"))))))))</f>
        <v>Not Found</v>
      </c>
      <c r="L266" s="235" t="str">
        <f>IFERROR(VLOOKUP($A266,'AAPT ExDa'!$B$2:$U$99, 11,FALSE), IFERROR(VLOOKUP($A266,'ABB ExDa'!$A$2:$N$184, 9,FALSE), IFERROR(VLOOKUP($A266,'Vocus SIT ExDa'!$B$2:$J$173, 8,FALSE), IFERROR(VLOOKUP($A266,'Telstra ExDa'!$B$2:$K$310, 0,FALSE), IFERROR(VLOOKUP($A266,'Vocus RVC ExDa'!$C$2:$R$155, 0,FALSE), IFERROR(VLOOKUP($A266,'Fusion ExDa'!$B$2:$D$16, 0,FALSE), IFERROR(VLOOKUP($A266,'Exetel ExDa'!$C$2:$N$14, 9,FALSE), IFERROR(VLOOKUP($A266,'Infinet ExDa'!$B$2:$E$14, 0,FALSE), "Not Found"))))))))</f>
        <v>30 May 2024</v>
      </c>
      <c r="M266" s="234" t="str">
        <f>IFERROR(VLOOKUP($A266,'AAPT ExDa'!$B$2:$U$99, 0,FALSE), IFERROR(VLOOKUP($A266,'ABB ExDa'!$A$2:$N$184, 0,FALSE), IFERROR(VLOOKUP($A266,'Vocus SIT ExDa'!$B$2:$J$173, 0,FALSE), IFERROR(VLOOKUP($A266,'Telstra ExDa'!$B$2:$K$310, 0,FALSE), IFERROR(VLOOKUP($A266,'Vocus RVC ExDa'!$C$2:$R$155, 0,FALSE), IFERROR(VLOOKUP($A266,'Fusion ExDa'!$B$2:$D$16, 0,FALSE), IFERROR(VLOOKUP($A266,'Exetel ExDa'!$C$2:$N$14, 11,FALSE), IFERROR(VLOOKUP($A266,'Infinet ExDa'!$B$2:$E$14, 0,FALSE), "Not Found"))))))))</f>
        <v>Not Found</v>
      </c>
      <c r="N266" t="str">
        <f>IFERROR(VLOOKUP($A266,'AAPT ExDa'!$B$2:$U$99, 0,FALSE), IFERROR(VLOOKUP($A266,'ABB ExDa'!$A$2:$N$184, 13,FALSE), IFERROR(VLOOKUP($A266,'Vocus SIT ExDa'!$B$2:$J$173, 0,FALSE), IFERROR(VLOOKUP($A266,'Telstra ExDa'!$B$2:$K$310, 0,FALSE), IFERROR(VLOOKUP($A266,'Vocus RVC ExDa'!$C$2:$R$155, 0,FALSE), IFERROR(VLOOKUP($A266,'Fusion ExDa'!$B$2:$D$16, 0,FALSE), IFERROR(VLOOKUP($A266,'Exetel ExDa'!$C$2:$N$14, 0,FALSE), IFERROR(VLOOKUP($A266,'Infinet ExDa'!$B$2:$E$14, 0,FALSE), "Not Found"))))))))</f>
        <v>Onebill</v>
      </c>
    </row>
    <row r="267" spans="1:14">
      <c r="A267" t="str">
        <v>Zambrero Malvern</v>
      </c>
      <c r="B267" t="str">
        <f>IFERROR(VLOOKUP(A267,'Exetel ExDa'!$C$2:$N$14,4,FALSE),"No Data")</f>
        <v>No Data</v>
      </c>
      <c r="C267" t="str">
        <f>IFERROR(VLOOKUP(A267,'AAPT ExDa'!$B$2:$U$99, 2,FALSE), IFERROR(VLOOKUP(A267,'ABB ExDa'!$A$2:$N$184, 2,FALSE), IFERROR(VLOOKUP(A267,'Vocus SIT ExDa'!$B$2:$J$173, 7,FALSE), IFERROR(VLOOKUP(A267,'Telstra ExDa'!$B$2:$K$310, 2,FALSE), IFERROR(VLOOKUP(A267,'Vocus RVC ExDa'!$C$2:$R$155, 3,FALSE), IFERROR(VLOOKUP(A267,'Fusion ExDa'!$B$2:$D$16, 2,FALSE), IFERROR(VLOOKUP(A267,'Exetel ExDa'!$C$2:$N$14, 2,FALSE), IFERROR(VLOOKUP(A267,'Infinet ExDa'!$B$2:$E$14, 2,FALSE), "Not Found"))))))))</f>
        <v>206 GLENFERRIE RD, MALVERN VIC</v>
      </c>
      <c r="D267" t="str">
        <f>IFERROR(VLOOKUP($A267,'AAPT ExDa'!$B$2:$U$99, 15,FALSE), IFERROR(VLOOKUP($A267,'ABB ExDa'!$A$2:$N$184, 4,FALSE), IFERROR(VLOOKUP($A267,'Vocus SIT ExDa'!$B$2:$J$173, 5,FALSE), IFERROR(VLOOKUP($A267,'Telstra ExDa'!$B$2:$K$310, 8,FALSE), IFERROR(VLOOKUP($A267,'Vocus RVC ExDa'!$C$2:$R$155, 6,FALSE), IFERROR(VLOOKUP($A267,'Fusion ExDa'!$B$2:$D$16, 4,FALSE), IFERROR(VLOOKUP($A267,'Exetel ExDa'!$C$2:$N$14, 3,FALSE), IFERROR(VLOOKUP($A267,'Infinet ExDa'!$B$2:$E$14, 3,FALSE), "Not Found"))))))))</f>
        <v>ABB</v>
      </c>
      <c r="E267" t="str">
        <f>IFERROR(VLOOKUP($A267,'AAPT ExDa'!$B$2:$U$99, 3,FALSE), IFERROR(VLOOKUP($A267,'ABB ExDa'!$A$2:$N$184, 5,FALSE), IFERROR(VLOOKUP($A267,'Vocus SIT ExDa'!$B$2:$J$173, 2,FALSE), IFERROR(VLOOKUP($A267,'Telstra ExDa'!$B$2:$K$310, 4,FALSE), IFERROR(VLOOKUP($A267,'Vocus RVC ExDa'!$C$2:$R$155, 8,FALSE), IFERROR(VLOOKUP($A267,'Fusion ExDa'!$B$2:$D$16, 4,FALSE), IFERROR(VLOOKUP($A267,'Exetel ExDa'!$C$2:$N$14, 5,FALSE), IFERROR(VLOOKUP($A267,'Infinet ExDa'!$B$2:$E$14, 3,FALSE), "Not Found"))))))))</f>
        <v>NBN 25/10</v>
      </c>
      <c r="F267" t="str">
        <f>IFERROR(VLOOKUP($A267,'AAPT ExDa'!$B$2:$U$99, 4,FALSE), IFERROR(VLOOKUP($A267,'ABB ExDa'!$A$2:$N$184, 6,FALSE), IFERROR(VLOOKUP($A267,'Vocus SIT ExDa'!$B$2:$J$173, 3,FALSE), IFERROR(VLOOKUP($A267,'Telstra ExDa'!$B$2:$K$310, 5,FALSE), IFERROR(VLOOKUP($A267,'Vocus RVC ExDa'!$C$2:$R$155, 9,FALSE), IFERROR(VLOOKUP($A267,'Fusion ExDa'!$B$2:$D$16, 0,FALSE), IFERROR(VLOOKUP($A267,'Exetel ExDa'!$C$2:$N$14, 6,FALSE), IFERROR(VLOOKUP($A267,'Infinet ExDa'!$B$2:$E$14, 0,FALSE), "Not Found"))))))))</f>
        <v>HFC</v>
      </c>
      <c r="G267" t="str">
        <f>IFERROR(VLOOKUP($A267,'AAPT ExDa'!$B$2:$U$99, 5,FALSE), IFERROR(VLOOKUP($A267,'ABB ExDa'!$A$2:$N$184, 8,FALSE), IFERROR(VLOOKUP($A267,'Vocus SIT ExDa'!$B$2:$J$173, 6,FALSE), IFERROR(VLOOKUP($A267,'Telstra ExDa'!$B$2:$K$310, 0,FALSE), IFERROR(VLOOKUP($A267,'Vocus RVC ExDa'!$C$2:$R$155, 15,FALSE), IFERROR(VLOOKUP($A267,'Fusion ExDa'!$B$2:$D$16, 0,FALSE), IFERROR(VLOOKUP($A267,'Exetel ExDa'!$C$2:$N$14, 7,FALSE), IFERROR(VLOOKUP($A267,'Infinet ExDa'!$B$2:$E$14, 0,FALSE), "Not Found"))))))))</f>
        <v>144.6.66.78</v>
      </c>
      <c r="H267">
        <f>IFERROR(VLOOKUP($A267,'AAPT ExDa'!$B$2:$U$99, 6,FALSE), IFERROR(VLOOKUP($A267,'ABB ExDa'!$A$2:$N$184, 0,FALSE), IFERROR(VLOOKUP($A267,'Vocus SIT ExDa'!$B$2:$J$173, 0,FALSE), IFERROR(VLOOKUP($A267,'Telstra ExDa'!$B$2:$K$310, 0,FALSE), IFERROR(VLOOKUP($A267,'Vocus RVC ExDa'!$C$2:$R$155, 16,FALSE), IFERROR(VLOOKUP($A267,'Fusion ExDa'!$B$2:$D$16, 0,FALSE), IFERROR(VLOOKUP($A267,'Exetel ExDa'!$C$2:$N$14, 0,FALSE), IFERROR(VLOOKUP($A267,'Infinet ExDa'!$B$2:$E$14, 0,FALSE), "Not Found"))))))))</f>
        <v>0</v>
      </c>
      <c r="I267" t="str">
        <f>IFERROR(VLOOKUP($A267,'AAPT ExDa'!$B$2:$U$99, 0,FALSE), IFERROR(VLOOKUP($A267,'ABB ExDa'!$A$2:$N$184, 0,FALSE), IFERROR(VLOOKUP($A267,'Vocus SIT ExDa'!$B$2:$J$173, 0,FALSE), IFERROR(VLOOKUP($A267,'Telstra ExDa'!$B$2:$K$310, 0,FALSE), IFERROR(VLOOKUP($A267,'Vocus RVC ExDa'!$C$2:$R$155, 0,FALSE), IFERROR(VLOOKUP($A267,'Fusion ExDa'!$B$2:$D$16, 0,FALSE), IFERROR(VLOOKUP($A267,'Exetel ExDa'!$C$2:$N$14, 8,FALSE), IFERROR(VLOOKUP($A267,'Infinet ExDa'!$B$2:$E$14, 0,FALSE), "Not Found"))))))))</f>
        <v>Not Found</v>
      </c>
      <c r="J267" t="str">
        <f>IFERROR(VLOOKUP($A267,'AAPT ExDa'!$B$2:$U$99, 7,FALSE), IFERROR(VLOOKUP($A267,'ABB ExDa'!$A$2:$N$184, 2,FALSE), IFERROR(VLOOKUP($A267,'Vocus SIT ExDa'!$B$2:$J$173, 0,FALSE), IFERROR(VLOOKUP($A267,'Telstra ExDa'!$B$2:$K$310, 7,FALSE), IFERROR(VLOOKUP($A267,'Vocus RVC ExDa'!$C$2:$R$155, 2,FALSE), IFERROR(VLOOKUP($A267,'Fusion ExDa'!$B$2:$D$16, 3,FALSE), IFERROR(VLOOKUP($A267,'Exetel ExDa'!$C$2:$N$14, 0,FALSE), IFERROR(VLOOKUP($A267,'Infinet ExDa'!$B$2:$E$14, 0,FALSE), "Not Found"))))))))</f>
        <v>206 GLENFERRIE RD, MALVERN VIC</v>
      </c>
      <c r="K267" t="str">
        <f>IFERROR(VLOOKUP($A267,'AAPT ExDa'!$B$2:$U$99, 12,FALSE), IFERROR(VLOOKUP($A267,'ABB ExDa'!$A$2:$N$184, 0,FALSE), IFERROR(VLOOKUP($A267,'Vocus SIT ExDa'!$B$2:$J$173, 0,FALSE), IFERROR(VLOOKUP($A267,'Telstra ExDa'!$B$2:$K$310, 0,FALSE), IFERROR(VLOOKUP($A267,'Vocus RVC ExDa'!$C$2:$R$155, 0,FALSE), IFERROR(VLOOKUP($A267,'Fusion ExDa'!$B$2:$D$16, 0,FALSE), IFERROR(VLOOKUP($A267,'Exetel ExDa'!$C$2:$N$14, 12,FALSE), IFERROR(VLOOKUP($A267,'Infinet ExDa'!$B$2:$E$14, 0,FALSE), "Not Found"))))))))</f>
        <v>Not Found</v>
      </c>
      <c r="L267" s="235" t="str">
        <f>IFERROR(VLOOKUP($A267,'AAPT ExDa'!$B$2:$U$99, 11,FALSE), IFERROR(VLOOKUP($A267,'ABB ExDa'!$A$2:$N$184, 9,FALSE), IFERROR(VLOOKUP($A267,'Vocus SIT ExDa'!$B$2:$J$173, 8,FALSE), IFERROR(VLOOKUP($A267,'Telstra ExDa'!$B$2:$K$310, 0,FALSE), IFERROR(VLOOKUP($A267,'Vocus RVC ExDa'!$C$2:$R$155, 0,FALSE), IFERROR(VLOOKUP($A267,'Fusion ExDa'!$B$2:$D$16, 0,FALSE), IFERROR(VLOOKUP($A267,'Exetel ExDa'!$C$2:$N$14, 9,FALSE), IFERROR(VLOOKUP($A267,'Infinet ExDa'!$B$2:$E$14, 0,FALSE), "Not Found"))))))))</f>
        <v>24 May 2024</v>
      </c>
      <c r="M267" s="234" t="str">
        <f>IFERROR(VLOOKUP($A267,'AAPT ExDa'!$B$2:$U$99, 0,FALSE), IFERROR(VLOOKUP($A267,'ABB ExDa'!$A$2:$N$184, 0,FALSE), IFERROR(VLOOKUP($A267,'Vocus SIT ExDa'!$B$2:$J$173, 0,FALSE), IFERROR(VLOOKUP($A267,'Telstra ExDa'!$B$2:$K$310, 0,FALSE), IFERROR(VLOOKUP($A267,'Vocus RVC ExDa'!$C$2:$R$155, 0,FALSE), IFERROR(VLOOKUP($A267,'Fusion ExDa'!$B$2:$D$16, 0,FALSE), IFERROR(VLOOKUP($A267,'Exetel ExDa'!$C$2:$N$14, 11,FALSE), IFERROR(VLOOKUP($A267,'Infinet ExDa'!$B$2:$E$14, 0,FALSE), "Not Found"))))))))</f>
        <v>Not Found</v>
      </c>
      <c r="N267" t="str">
        <f>IFERROR(VLOOKUP($A267,'AAPT ExDa'!$B$2:$U$99, 0,FALSE), IFERROR(VLOOKUP($A267,'ABB ExDa'!$A$2:$N$184, 13,FALSE), IFERROR(VLOOKUP($A267,'Vocus SIT ExDa'!$B$2:$J$173, 0,FALSE), IFERROR(VLOOKUP($A267,'Telstra ExDa'!$B$2:$K$310, 0,FALSE), IFERROR(VLOOKUP($A267,'Vocus RVC ExDa'!$C$2:$R$155, 0,FALSE), IFERROR(VLOOKUP($A267,'Fusion ExDa'!$B$2:$D$16, 0,FALSE), IFERROR(VLOOKUP($A267,'Exetel ExDa'!$C$2:$N$14, 0,FALSE), IFERROR(VLOOKUP($A267,'Infinet ExDa'!$B$2:$E$14, 0,FALSE), "Not Found"))))))))</f>
        <v>Onebill</v>
      </c>
    </row>
    <row r="268" spans="1:14">
      <c r="A268" t="str">
        <v>Zambrero North Perth</v>
      </c>
      <c r="B268" t="str">
        <f>IFERROR(VLOOKUP(A268,'Exetel ExDa'!$C$2:$N$14,4,FALSE),"No Data")</f>
        <v>No Data</v>
      </c>
      <c r="C268" t="str">
        <f>IFERROR(VLOOKUP(A268,'AAPT ExDa'!$B$2:$U$99, 2,FALSE), IFERROR(VLOOKUP(A268,'ABB ExDa'!$A$2:$N$184, 2,FALSE), IFERROR(VLOOKUP(A268,'Vocus SIT ExDa'!$B$2:$J$173, 7,FALSE), IFERROR(VLOOKUP(A268,'Telstra ExDa'!$B$2:$K$310, 2,FALSE), IFERROR(VLOOKUP(A268,'Vocus RVC ExDa'!$C$2:$R$155, 3,FALSE), IFERROR(VLOOKUP(A268,'Fusion ExDa'!$B$2:$D$16, 2,FALSE), IFERROR(VLOOKUP(A268,'Exetel ExDa'!$C$2:$N$14, 2,FALSE), IFERROR(VLOOKUP(A268,'Infinet ExDa'!$B$2:$E$14, 2,FALSE), "Not Found"))))))))</f>
        <v>UNIT 1, 7 SCARBOROUGH BEACH RD, NORTH PERTH WA</v>
      </c>
      <c r="D268" t="str">
        <f>IFERROR(VLOOKUP($A268,'AAPT ExDa'!$B$2:$U$99, 15,FALSE), IFERROR(VLOOKUP($A268,'ABB ExDa'!$A$2:$N$184, 4,FALSE), IFERROR(VLOOKUP($A268,'Vocus SIT ExDa'!$B$2:$J$173, 5,FALSE), IFERROR(VLOOKUP($A268,'Telstra ExDa'!$B$2:$K$310, 8,FALSE), IFERROR(VLOOKUP($A268,'Vocus RVC ExDa'!$C$2:$R$155, 6,FALSE), IFERROR(VLOOKUP($A268,'Fusion ExDa'!$B$2:$D$16, 4,FALSE), IFERROR(VLOOKUP($A268,'Exetel ExDa'!$C$2:$N$14, 3,FALSE), IFERROR(VLOOKUP($A268,'Infinet ExDa'!$B$2:$E$14, 3,FALSE), "Not Found"))))))))</f>
        <v>ABB</v>
      </c>
      <c r="E268" t="str">
        <f>IFERROR(VLOOKUP($A268,'AAPT ExDa'!$B$2:$U$99, 3,FALSE), IFERROR(VLOOKUP($A268,'ABB ExDa'!$A$2:$N$184, 5,FALSE), IFERROR(VLOOKUP($A268,'Vocus SIT ExDa'!$B$2:$J$173, 2,FALSE), IFERROR(VLOOKUP($A268,'Telstra ExDa'!$B$2:$K$310, 4,FALSE), IFERROR(VLOOKUP($A268,'Vocus RVC ExDa'!$C$2:$R$155, 8,FALSE), IFERROR(VLOOKUP($A268,'Fusion ExDa'!$B$2:$D$16, 4,FALSE), IFERROR(VLOOKUP($A268,'Exetel ExDa'!$C$2:$N$14, 5,FALSE), IFERROR(VLOOKUP($A268,'Infinet ExDa'!$B$2:$E$14, 3,FALSE), "Not Found"))))))))</f>
        <v>4G Broadband Backup</v>
      </c>
      <c r="F268" t="str">
        <f>IFERROR(VLOOKUP($A268,'AAPT ExDa'!$B$2:$U$99, 4,FALSE), IFERROR(VLOOKUP($A268,'ABB ExDa'!$A$2:$N$184, 6,FALSE), IFERROR(VLOOKUP($A268,'Vocus SIT ExDa'!$B$2:$J$173, 3,FALSE), IFERROR(VLOOKUP($A268,'Telstra ExDa'!$B$2:$K$310, 5,FALSE), IFERROR(VLOOKUP($A268,'Vocus RVC ExDa'!$C$2:$R$155, 9,FALSE), IFERROR(VLOOKUP($A268,'Fusion ExDa'!$B$2:$D$16, 0,FALSE), IFERROR(VLOOKUP($A268,'Exetel ExDa'!$C$2:$N$14, 6,FALSE), IFERROR(VLOOKUP($A268,'Infinet ExDa'!$B$2:$E$14, 0,FALSE), "Not Found"))))))))</f>
        <v>16 Apr 2024</v>
      </c>
      <c r="G268">
        <f>IFERROR(VLOOKUP($A268,'AAPT ExDa'!$B$2:$U$99, 5,FALSE), IFERROR(VLOOKUP($A268,'ABB ExDa'!$A$2:$N$184, 8,FALSE), IFERROR(VLOOKUP($A268,'Vocus SIT ExDa'!$B$2:$J$173, 6,FALSE), IFERROR(VLOOKUP($A268,'Telstra ExDa'!$B$2:$K$310, 0,FALSE), IFERROR(VLOOKUP($A268,'Vocus RVC ExDa'!$C$2:$R$155, 15,FALSE), IFERROR(VLOOKUP($A268,'Fusion ExDa'!$B$2:$D$16, 0,FALSE), IFERROR(VLOOKUP($A268,'Exetel ExDa'!$C$2:$N$14, 7,FALSE), IFERROR(VLOOKUP($A268,'Infinet ExDa'!$B$2:$E$14, 0,FALSE), "Not Found"))))))))</f>
        <v>0</v>
      </c>
      <c r="H268" t="str">
        <f>IFERROR(VLOOKUP($A268,'AAPT ExDa'!$B$2:$U$99, 6,FALSE), IFERROR(VLOOKUP($A268,'ABB ExDa'!$A$2:$N$184, 0,FALSE), IFERROR(VLOOKUP($A268,'Vocus SIT ExDa'!$B$2:$J$173, 0,FALSE), IFERROR(VLOOKUP($A268,'Telstra ExDa'!$B$2:$K$310, 0,FALSE), IFERROR(VLOOKUP($A268,'Vocus RVC ExDa'!$C$2:$R$155, 16,FALSE), IFERROR(VLOOKUP($A268,'Fusion ExDa'!$B$2:$D$16, 0,FALSE), IFERROR(VLOOKUP($A268,'Exetel ExDa'!$C$2:$N$14, 0,FALSE), IFERROR(VLOOKUP($A268,'Infinet ExDa'!$B$2:$E$14, 0,FALSE), "Not Found"))))))))</f>
        <v>Not Found</v>
      </c>
      <c r="I268" t="str">
        <f>IFERROR(VLOOKUP($A268,'AAPT ExDa'!$B$2:$U$99, 0,FALSE), IFERROR(VLOOKUP($A268,'ABB ExDa'!$A$2:$N$184, 0,FALSE), IFERROR(VLOOKUP($A268,'Vocus SIT ExDa'!$B$2:$J$173, 0,FALSE), IFERROR(VLOOKUP($A268,'Telstra ExDa'!$B$2:$K$310, 0,FALSE), IFERROR(VLOOKUP($A268,'Vocus RVC ExDa'!$C$2:$R$155, 0,FALSE), IFERROR(VLOOKUP($A268,'Fusion ExDa'!$B$2:$D$16, 0,FALSE), IFERROR(VLOOKUP($A268,'Exetel ExDa'!$C$2:$N$14, 8,FALSE), IFERROR(VLOOKUP($A268,'Infinet ExDa'!$B$2:$E$14, 0,FALSE), "Not Found"))))))))</f>
        <v>Not Found</v>
      </c>
      <c r="J268" t="str">
        <f>IFERROR(VLOOKUP($A268,'AAPT ExDa'!$B$2:$U$99, 7,FALSE), IFERROR(VLOOKUP($A268,'ABB ExDa'!$A$2:$N$184, 2,FALSE), IFERROR(VLOOKUP($A268,'Vocus SIT ExDa'!$B$2:$J$173, 0,FALSE), IFERROR(VLOOKUP($A268,'Telstra ExDa'!$B$2:$K$310, 7,FALSE), IFERROR(VLOOKUP($A268,'Vocus RVC ExDa'!$C$2:$R$155, 2,FALSE), IFERROR(VLOOKUP($A268,'Fusion ExDa'!$B$2:$D$16, 3,FALSE), IFERROR(VLOOKUP($A268,'Exetel ExDa'!$C$2:$N$14, 0,FALSE), IFERROR(VLOOKUP($A268,'Infinet ExDa'!$B$2:$E$14, 0,FALSE), "Not Found"))))))))</f>
        <v>UNIT 1, 7 SCARBOROUGH BEACH RD, NORTH PERTH WA</v>
      </c>
      <c r="K268" t="str">
        <f>IFERROR(VLOOKUP($A268,'AAPT ExDa'!$B$2:$U$99, 12,FALSE), IFERROR(VLOOKUP($A268,'ABB ExDa'!$A$2:$N$184, 0,FALSE), IFERROR(VLOOKUP($A268,'Vocus SIT ExDa'!$B$2:$J$173, 0,FALSE), IFERROR(VLOOKUP($A268,'Telstra ExDa'!$B$2:$K$310, 0,FALSE), IFERROR(VLOOKUP($A268,'Vocus RVC ExDa'!$C$2:$R$155, 0,FALSE), IFERROR(VLOOKUP($A268,'Fusion ExDa'!$B$2:$D$16, 0,FALSE), IFERROR(VLOOKUP($A268,'Exetel ExDa'!$C$2:$N$14, 12,FALSE), IFERROR(VLOOKUP($A268,'Infinet ExDa'!$B$2:$E$14, 0,FALSE), "Not Found"))))))))</f>
        <v>Not Found</v>
      </c>
      <c r="L268" s="235">
        <f>IFERROR(VLOOKUP($A268,'AAPT ExDa'!$B$2:$U$99, 11,FALSE), IFERROR(VLOOKUP($A268,'ABB ExDa'!$A$2:$N$184, 9,FALSE), IFERROR(VLOOKUP($A268,'Vocus SIT ExDa'!$B$2:$J$173, 8,FALSE), IFERROR(VLOOKUP($A268,'Telstra ExDa'!$B$2:$K$310, 0,FALSE), IFERROR(VLOOKUP($A268,'Vocus RVC ExDa'!$C$2:$R$155, 0,FALSE), IFERROR(VLOOKUP($A268,'Fusion ExDa'!$B$2:$D$16, 0,FALSE), IFERROR(VLOOKUP($A268,'Exetel ExDa'!$C$2:$N$14, 9,FALSE), IFERROR(VLOOKUP($A268,'Infinet ExDa'!$B$2:$E$14, 0,FALSE), "Not Found"))))))))</f>
        <v>0</v>
      </c>
      <c r="M268" s="234" t="str">
        <f>IFERROR(VLOOKUP($A268,'AAPT ExDa'!$B$2:$U$99, 0,FALSE), IFERROR(VLOOKUP($A268,'ABB ExDa'!$A$2:$N$184, 0,FALSE), IFERROR(VLOOKUP($A268,'Vocus SIT ExDa'!$B$2:$J$173, 0,FALSE), IFERROR(VLOOKUP($A268,'Telstra ExDa'!$B$2:$K$310, 0,FALSE), IFERROR(VLOOKUP($A268,'Vocus RVC ExDa'!$C$2:$R$155, 0,FALSE), IFERROR(VLOOKUP($A268,'Fusion ExDa'!$B$2:$D$16, 0,FALSE), IFERROR(VLOOKUP($A268,'Exetel ExDa'!$C$2:$N$14, 11,FALSE), IFERROR(VLOOKUP($A268,'Infinet ExDa'!$B$2:$E$14, 0,FALSE), "Not Found"))))))))</f>
        <v>Not Found</v>
      </c>
      <c r="N268" t="str">
        <f>IFERROR(VLOOKUP($A268,'AAPT ExDa'!$B$2:$U$99, 0,FALSE), IFERROR(VLOOKUP($A268,'ABB ExDa'!$A$2:$N$184, 13,FALSE), IFERROR(VLOOKUP($A268,'Vocus SIT ExDa'!$B$2:$J$173, 0,FALSE), IFERROR(VLOOKUP($A268,'Telstra ExDa'!$B$2:$K$310, 0,FALSE), IFERROR(VLOOKUP($A268,'Vocus RVC ExDa'!$C$2:$R$155, 0,FALSE), IFERROR(VLOOKUP($A268,'Fusion ExDa'!$B$2:$D$16, 0,FALSE), IFERROR(VLOOKUP($A268,'Exetel ExDa'!$C$2:$N$14, 0,FALSE), IFERROR(VLOOKUP($A268,'Infinet ExDa'!$B$2:$E$14, 0,FALSE), "Not Found"))))))))</f>
        <v>Onebill</v>
      </c>
    </row>
    <row r="269" spans="1:14">
      <c r="A269" t="str">
        <v>Zambrero Sunshine Plaza</v>
      </c>
      <c r="B269" t="str">
        <f>IFERROR(VLOOKUP(A269,'Exetel ExDa'!$C$2:$N$14,4,FALSE),"No Data")</f>
        <v>No Data</v>
      </c>
      <c r="C269" t="str">
        <f>IFERROR(VLOOKUP(A269,'AAPT ExDa'!$B$2:$U$99, 2,FALSE), IFERROR(VLOOKUP(A269,'ABB ExDa'!$A$2:$N$184, 2,FALSE), IFERROR(VLOOKUP(A269,'Vocus SIT ExDa'!$B$2:$J$173, 7,FALSE), IFERROR(VLOOKUP(A269,'Telstra ExDa'!$B$2:$K$310, 2,FALSE), IFERROR(VLOOKUP(A269,'Vocus RVC ExDa'!$C$2:$R$155, 3,FALSE), IFERROR(VLOOKUP(A269,'Fusion ExDa'!$B$2:$D$16, 2,FALSE), IFERROR(VLOOKUP(A269,'Exetel ExDa'!$C$2:$N$14, 2,FALSE), IFERROR(VLOOKUP(A269,'Infinet ExDa'!$B$2:$E$14, 2,FALSE), "Not Found"))))))))</f>
        <v>SUNSHINE PLAZA SHOP 91A, 154 HORTON PDE, MAROOCHYDORE QLD</v>
      </c>
      <c r="D269" t="str">
        <f>IFERROR(VLOOKUP($A269,'AAPT ExDa'!$B$2:$U$99, 15,FALSE), IFERROR(VLOOKUP($A269,'ABB ExDa'!$A$2:$N$184, 4,FALSE), IFERROR(VLOOKUP($A269,'Vocus SIT ExDa'!$B$2:$J$173, 5,FALSE), IFERROR(VLOOKUP($A269,'Telstra ExDa'!$B$2:$K$310, 8,FALSE), IFERROR(VLOOKUP($A269,'Vocus RVC ExDa'!$C$2:$R$155, 6,FALSE), IFERROR(VLOOKUP($A269,'Fusion ExDa'!$B$2:$D$16, 4,FALSE), IFERROR(VLOOKUP($A269,'Exetel ExDa'!$C$2:$N$14, 3,FALSE), IFERROR(VLOOKUP($A269,'Infinet ExDa'!$B$2:$E$14, 3,FALSE), "Not Found"))))))))</f>
        <v>ABB</v>
      </c>
      <c r="E269" t="str">
        <f>IFERROR(VLOOKUP($A269,'AAPT ExDa'!$B$2:$U$99, 3,FALSE), IFERROR(VLOOKUP($A269,'ABB ExDa'!$A$2:$N$184, 5,FALSE), IFERROR(VLOOKUP($A269,'Vocus SIT ExDa'!$B$2:$J$173, 2,FALSE), IFERROR(VLOOKUP($A269,'Telstra ExDa'!$B$2:$K$310, 4,FALSE), IFERROR(VLOOKUP($A269,'Vocus RVC ExDa'!$C$2:$R$155, 8,FALSE), IFERROR(VLOOKUP($A269,'Fusion ExDa'!$B$2:$D$16, 4,FALSE), IFERROR(VLOOKUP($A269,'Exetel ExDa'!$C$2:$N$14, 5,FALSE), IFERROR(VLOOKUP($A269,'Infinet ExDa'!$B$2:$E$14, 3,FALSE), "Not Found"))))))))</f>
        <v>NBN 25/10</v>
      </c>
      <c r="F269" t="str">
        <f>IFERROR(VLOOKUP($A269,'AAPT ExDa'!$B$2:$U$99, 4,FALSE), IFERROR(VLOOKUP($A269,'ABB ExDa'!$A$2:$N$184, 6,FALSE), IFERROR(VLOOKUP($A269,'Vocus SIT ExDa'!$B$2:$J$173, 3,FALSE), IFERROR(VLOOKUP($A269,'Telstra ExDa'!$B$2:$K$310, 5,FALSE), IFERROR(VLOOKUP($A269,'Vocus RVC ExDa'!$C$2:$R$155, 9,FALSE), IFERROR(VLOOKUP($A269,'Fusion ExDa'!$B$2:$D$16, 0,FALSE), IFERROR(VLOOKUP($A269,'Exetel ExDa'!$C$2:$N$14, 6,FALSE), IFERROR(VLOOKUP($A269,'Infinet ExDa'!$B$2:$E$14, 0,FALSE), "Not Found"))))))))</f>
        <v>FTTB</v>
      </c>
      <c r="G269" t="str">
        <f>IFERROR(VLOOKUP($A269,'AAPT ExDa'!$B$2:$U$99, 5,FALSE), IFERROR(VLOOKUP($A269,'ABB ExDa'!$A$2:$N$184, 8,FALSE), IFERROR(VLOOKUP($A269,'Vocus SIT ExDa'!$B$2:$J$173, 6,FALSE), IFERROR(VLOOKUP($A269,'Telstra ExDa'!$B$2:$K$310, 0,FALSE), IFERROR(VLOOKUP($A269,'Vocus RVC ExDa'!$C$2:$R$155, 15,FALSE), IFERROR(VLOOKUP($A269,'Fusion ExDa'!$B$2:$D$16, 0,FALSE), IFERROR(VLOOKUP($A269,'Exetel ExDa'!$C$2:$N$14, 7,FALSE), IFERROR(VLOOKUP($A269,'Infinet ExDa'!$B$2:$E$14, 0,FALSE), "Not Found"))))))))</f>
        <v>144.6.121.167</v>
      </c>
      <c r="H269" t="str">
        <f>IFERROR(VLOOKUP($A269,'AAPT ExDa'!$B$2:$U$99, 6,FALSE), IFERROR(VLOOKUP($A269,'ABB ExDa'!$A$2:$N$184, 0,FALSE), IFERROR(VLOOKUP($A269,'Vocus SIT ExDa'!$B$2:$J$173, 0,FALSE), IFERROR(VLOOKUP($A269,'Telstra ExDa'!$B$2:$K$310, 0,FALSE), IFERROR(VLOOKUP($A269,'Vocus RVC ExDa'!$C$2:$R$155, 16,FALSE), IFERROR(VLOOKUP($A269,'Fusion ExDa'!$B$2:$D$16, 0,FALSE), IFERROR(VLOOKUP($A269,'Exetel ExDa'!$C$2:$N$14, 0,FALSE), IFERROR(VLOOKUP($A269,'Infinet ExDa'!$B$2:$E$14, 0,FALSE), "Not Found"))))))))</f>
        <v>Not Found</v>
      </c>
      <c r="I269" t="str">
        <f>IFERROR(VLOOKUP($A269,'AAPT ExDa'!$B$2:$U$99, 0,FALSE), IFERROR(VLOOKUP($A269,'ABB ExDa'!$A$2:$N$184, 0,FALSE), IFERROR(VLOOKUP($A269,'Vocus SIT ExDa'!$B$2:$J$173, 0,FALSE), IFERROR(VLOOKUP($A269,'Telstra ExDa'!$B$2:$K$310, 0,FALSE), IFERROR(VLOOKUP($A269,'Vocus RVC ExDa'!$C$2:$R$155, 0,FALSE), IFERROR(VLOOKUP($A269,'Fusion ExDa'!$B$2:$D$16, 0,FALSE), IFERROR(VLOOKUP($A269,'Exetel ExDa'!$C$2:$N$14, 8,FALSE), IFERROR(VLOOKUP($A269,'Infinet ExDa'!$B$2:$E$14, 0,FALSE), "Not Found"))))))))</f>
        <v>Not Found</v>
      </c>
      <c r="J269" t="str">
        <f>IFERROR(VLOOKUP($A269,'AAPT ExDa'!$B$2:$U$99, 7,FALSE), IFERROR(VLOOKUP($A269,'ABB ExDa'!$A$2:$N$184, 2,FALSE), IFERROR(VLOOKUP($A269,'Vocus SIT ExDa'!$B$2:$J$173, 0,FALSE), IFERROR(VLOOKUP($A269,'Telstra ExDa'!$B$2:$K$310, 7,FALSE), IFERROR(VLOOKUP($A269,'Vocus RVC ExDa'!$C$2:$R$155, 2,FALSE), IFERROR(VLOOKUP($A269,'Fusion ExDa'!$B$2:$D$16, 3,FALSE), IFERROR(VLOOKUP($A269,'Exetel ExDa'!$C$2:$N$14, 0,FALSE), IFERROR(VLOOKUP($A269,'Infinet ExDa'!$B$2:$E$14, 0,FALSE), "Not Found"))))))))</f>
        <v>SUNSHINE PLAZA SHOP 91A, 154 HORTON PDE, MAROOCHYDORE QLD</v>
      </c>
      <c r="K269" t="str">
        <f>IFERROR(VLOOKUP($A269,'AAPT ExDa'!$B$2:$U$99, 12,FALSE), IFERROR(VLOOKUP($A269,'ABB ExDa'!$A$2:$N$184, 0,FALSE), IFERROR(VLOOKUP($A269,'Vocus SIT ExDa'!$B$2:$J$173, 0,FALSE), IFERROR(VLOOKUP($A269,'Telstra ExDa'!$B$2:$K$310, 0,FALSE), IFERROR(VLOOKUP($A269,'Vocus RVC ExDa'!$C$2:$R$155, 0,FALSE), IFERROR(VLOOKUP($A269,'Fusion ExDa'!$B$2:$D$16, 0,FALSE), IFERROR(VLOOKUP($A269,'Exetel ExDa'!$C$2:$N$14, 12,FALSE), IFERROR(VLOOKUP($A269,'Infinet ExDa'!$B$2:$E$14, 0,FALSE), "Not Found"))))))))</f>
        <v>Not Found</v>
      </c>
      <c r="L269" s="235" t="str">
        <f>IFERROR(VLOOKUP($A269,'AAPT ExDa'!$B$2:$U$99, 11,FALSE), IFERROR(VLOOKUP($A269,'ABB ExDa'!$A$2:$N$184, 9,FALSE), IFERROR(VLOOKUP($A269,'Vocus SIT ExDa'!$B$2:$J$173, 8,FALSE), IFERROR(VLOOKUP($A269,'Telstra ExDa'!$B$2:$K$310, 0,FALSE), IFERROR(VLOOKUP($A269,'Vocus RVC ExDa'!$C$2:$R$155, 0,FALSE), IFERROR(VLOOKUP($A269,'Fusion ExDa'!$B$2:$D$16, 0,FALSE), IFERROR(VLOOKUP($A269,'Exetel ExDa'!$C$2:$N$14, 9,FALSE), IFERROR(VLOOKUP($A269,'Infinet ExDa'!$B$2:$E$14, 0,FALSE), "Not Found"))))))))</f>
        <v>14 May 2024</v>
      </c>
      <c r="M269" s="234" t="str">
        <f>IFERROR(VLOOKUP($A269,'AAPT ExDa'!$B$2:$U$99, 0,FALSE), IFERROR(VLOOKUP($A269,'ABB ExDa'!$A$2:$N$184, 0,FALSE), IFERROR(VLOOKUP($A269,'Vocus SIT ExDa'!$B$2:$J$173, 0,FALSE), IFERROR(VLOOKUP($A269,'Telstra ExDa'!$B$2:$K$310, 0,FALSE), IFERROR(VLOOKUP($A269,'Vocus RVC ExDa'!$C$2:$R$155, 0,FALSE), IFERROR(VLOOKUP($A269,'Fusion ExDa'!$B$2:$D$16, 0,FALSE), IFERROR(VLOOKUP($A269,'Exetel ExDa'!$C$2:$N$14, 11,FALSE), IFERROR(VLOOKUP($A269,'Infinet ExDa'!$B$2:$E$14, 0,FALSE), "Not Found"))))))))</f>
        <v>Not Found</v>
      </c>
      <c r="N269" t="str">
        <f>IFERROR(VLOOKUP($A269,'AAPT ExDa'!$B$2:$U$99, 0,FALSE), IFERROR(VLOOKUP($A269,'ABB ExDa'!$A$2:$N$184, 13,FALSE), IFERROR(VLOOKUP($A269,'Vocus SIT ExDa'!$B$2:$J$173, 0,FALSE), IFERROR(VLOOKUP($A269,'Telstra ExDa'!$B$2:$K$310, 0,FALSE), IFERROR(VLOOKUP($A269,'Vocus RVC ExDa'!$C$2:$R$155, 0,FALSE), IFERROR(VLOOKUP($A269,'Fusion ExDa'!$B$2:$D$16, 0,FALSE), IFERROR(VLOOKUP($A269,'Exetel ExDa'!$C$2:$N$14, 0,FALSE), IFERROR(VLOOKUP($A269,'Infinet ExDa'!$B$2:$E$14, 0,FALSE), "Not Found"))))))))</f>
        <v>Onebill</v>
      </c>
    </row>
    <row r="270" spans="1:14">
      <c r="A270" t="str">
        <v>Zambrero Port Pirie</v>
      </c>
      <c r="B270" t="str">
        <f>IFERROR(VLOOKUP(A270,'Exetel ExDa'!$C$2:$N$14,4,FALSE),"No Data")</f>
        <v>No Data</v>
      </c>
      <c r="C270" t="str">
        <f>IFERROR(VLOOKUP(A270,'AAPT ExDa'!$B$2:$U$99, 2,FALSE), IFERROR(VLOOKUP(A270,'ABB ExDa'!$A$2:$N$184, 2,FALSE), IFERROR(VLOOKUP(A270,'Vocus SIT ExDa'!$B$2:$J$173, 7,FALSE), IFERROR(VLOOKUP(A270,'Telstra ExDa'!$B$2:$K$310, 2,FALSE), IFERROR(VLOOKUP(A270,'Vocus RVC ExDa'!$C$2:$R$155, 3,FALSE), IFERROR(VLOOKUP(A270,'Fusion ExDa'!$B$2:$D$16, 2,FALSE), IFERROR(VLOOKUP(A270,'Exetel ExDa'!$C$2:$N$14, 2,FALSE), IFERROR(VLOOKUP(A270,'Infinet ExDa'!$B$2:$E$14, 2,FALSE), "Not Found"))))))))</f>
        <v>200 ELLEN ST, PORT PIRIE SA</v>
      </c>
      <c r="D270" t="str">
        <f>IFERROR(VLOOKUP($A270,'AAPT ExDa'!$B$2:$U$99, 15,FALSE), IFERROR(VLOOKUP($A270,'ABB ExDa'!$A$2:$N$184, 4,FALSE), IFERROR(VLOOKUP($A270,'Vocus SIT ExDa'!$B$2:$J$173, 5,FALSE), IFERROR(VLOOKUP($A270,'Telstra ExDa'!$B$2:$K$310, 8,FALSE), IFERROR(VLOOKUP($A270,'Vocus RVC ExDa'!$C$2:$R$155, 6,FALSE), IFERROR(VLOOKUP($A270,'Fusion ExDa'!$B$2:$D$16, 4,FALSE), IFERROR(VLOOKUP($A270,'Exetel ExDa'!$C$2:$N$14, 3,FALSE), IFERROR(VLOOKUP($A270,'Infinet ExDa'!$B$2:$E$14, 3,FALSE), "Not Found"))))))))</f>
        <v>ABB</v>
      </c>
      <c r="E270" t="str">
        <f>IFERROR(VLOOKUP($A270,'AAPT ExDa'!$B$2:$U$99, 3,FALSE), IFERROR(VLOOKUP($A270,'ABB ExDa'!$A$2:$N$184, 5,FALSE), IFERROR(VLOOKUP($A270,'Vocus SIT ExDa'!$B$2:$J$173, 2,FALSE), IFERROR(VLOOKUP($A270,'Telstra ExDa'!$B$2:$K$310, 4,FALSE), IFERROR(VLOOKUP($A270,'Vocus RVC ExDa'!$C$2:$R$155, 8,FALSE), IFERROR(VLOOKUP($A270,'Fusion ExDa'!$B$2:$D$16, 4,FALSE), IFERROR(VLOOKUP($A270,'Exetel ExDa'!$C$2:$N$14, 5,FALSE), IFERROR(VLOOKUP($A270,'Infinet ExDa'!$B$2:$E$14, 3,FALSE), "Not Found"))))))))</f>
        <v>NBN 25/10</v>
      </c>
      <c r="F270" t="str">
        <f>IFERROR(VLOOKUP($A270,'AAPT ExDa'!$B$2:$U$99, 4,FALSE), IFERROR(VLOOKUP($A270,'ABB ExDa'!$A$2:$N$184, 6,FALSE), IFERROR(VLOOKUP($A270,'Vocus SIT ExDa'!$B$2:$J$173, 3,FALSE), IFERROR(VLOOKUP($A270,'Telstra ExDa'!$B$2:$K$310, 5,FALSE), IFERROR(VLOOKUP($A270,'Vocus RVC ExDa'!$C$2:$R$155, 9,FALSE), IFERROR(VLOOKUP($A270,'Fusion ExDa'!$B$2:$D$16, 0,FALSE), IFERROR(VLOOKUP($A270,'Exetel ExDa'!$C$2:$N$14, 6,FALSE), IFERROR(VLOOKUP($A270,'Infinet ExDa'!$B$2:$E$14, 0,FALSE), "Not Found"))))))))</f>
        <v xml:space="preserve">FTTN </v>
      </c>
      <c r="G270" t="str">
        <f>IFERROR(VLOOKUP($A270,'AAPT ExDa'!$B$2:$U$99, 5,FALSE), IFERROR(VLOOKUP($A270,'ABB ExDa'!$A$2:$N$184, 8,FALSE), IFERROR(VLOOKUP($A270,'Vocus SIT ExDa'!$B$2:$J$173, 6,FALSE), IFERROR(VLOOKUP($A270,'Telstra ExDa'!$B$2:$K$310, 0,FALSE), IFERROR(VLOOKUP($A270,'Vocus RVC ExDa'!$C$2:$R$155, 15,FALSE), IFERROR(VLOOKUP($A270,'Fusion ExDa'!$B$2:$D$16, 0,FALSE), IFERROR(VLOOKUP($A270,'Exetel ExDa'!$C$2:$N$14, 7,FALSE), IFERROR(VLOOKUP($A270,'Infinet ExDa'!$B$2:$E$14, 0,FALSE), "Not Found"))))))))</f>
        <v>144.6.21.182</v>
      </c>
      <c r="H270" t="str">
        <f>IFERROR(VLOOKUP($A270,'AAPT ExDa'!$B$2:$U$99, 6,FALSE), IFERROR(VLOOKUP($A270,'ABB ExDa'!$A$2:$N$184, 0,FALSE), IFERROR(VLOOKUP($A270,'Vocus SIT ExDa'!$B$2:$J$173, 0,FALSE), IFERROR(VLOOKUP($A270,'Telstra ExDa'!$B$2:$K$310, 0,FALSE), IFERROR(VLOOKUP($A270,'Vocus RVC ExDa'!$C$2:$R$155, 16,FALSE), IFERROR(VLOOKUP($A270,'Fusion ExDa'!$B$2:$D$16, 0,FALSE), IFERROR(VLOOKUP($A270,'Exetel ExDa'!$C$2:$N$14, 0,FALSE), IFERROR(VLOOKUP($A270,'Infinet ExDa'!$B$2:$E$14, 0,FALSE), "Not Found"))))))))</f>
        <v>Not Found</v>
      </c>
      <c r="I270" t="str">
        <f>IFERROR(VLOOKUP($A270,'AAPT ExDa'!$B$2:$U$99, 0,FALSE), IFERROR(VLOOKUP($A270,'ABB ExDa'!$A$2:$N$184, 0,FALSE), IFERROR(VLOOKUP($A270,'Vocus SIT ExDa'!$B$2:$J$173, 0,FALSE), IFERROR(VLOOKUP($A270,'Telstra ExDa'!$B$2:$K$310, 0,FALSE), IFERROR(VLOOKUP($A270,'Vocus RVC ExDa'!$C$2:$R$155, 0,FALSE), IFERROR(VLOOKUP($A270,'Fusion ExDa'!$B$2:$D$16, 0,FALSE), IFERROR(VLOOKUP($A270,'Exetel ExDa'!$C$2:$N$14, 8,FALSE), IFERROR(VLOOKUP($A270,'Infinet ExDa'!$B$2:$E$14, 0,FALSE), "Not Found"))))))))</f>
        <v>Not Found</v>
      </c>
      <c r="J270" t="str">
        <f>IFERROR(VLOOKUP($A270,'AAPT ExDa'!$B$2:$U$99, 7,FALSE), IFERROR(VLOOKUP($A270,'ABB ExDa'!$A$2:$N$184, 2,FALSE), IFERROR(VLOOKUP($A270,'Vocus SIT ExDa'!$B$2:$J$173, 0,FALSE), IFERROR(VLOOKUP($A270,'Telstra ExDa'!$B$2:$K$310, 7,FALSE), IFERROR(VLOOKUP($A270,'Vocus RVC ExDa'!$C$2:$R$155, 2,FALSE), IFERROR(VLOOKUP($A270,'Fusion ExDa'!$B$2:$D$16, 3,FALSE), IFERROR(VLOOKUP($A270,'Exetel ExDa'!$C$2:$N$14, 0,FALSE), IFERROR(VLOOKUP($A270,'Infinet ExDa'!$B$2:$E$14, 0,FALSE), "Not Found"))))))))</f>
        <v>200 ELLEN ST, PORT PIRIE SA</v>
      </c>
      <c r="K270" t="str">
        <f>IFERROR(VLOOKUP($A270,'AAPT ExDa'!$B$2:$U$99, 12,FALSE), IFERROR(VLOOKUP($A270,'ABB ExDa'!$A$2:$N$184, 0,FALSE), IFERROR(VLOOKUP($A270,'Vocus SIT ExDa'!$B$2:$J$173, 0,FALSE), IFERROR(VLOOKUP($A270,'Telstra ExDa'!$B$2:$K$310, 0,FALSE), IFERROR(VLOOKUP($A270,'Vocus RVC ExDa'!$C$2:$R$155, 0,FALSE), IFERROR(VLOOKUP($A270,'Fusion ExDa'!$B$2:$D$16, 0,FALSE), IFERROR(VLOOKUP($A270,'Exetel ExDa'!$C$2:$N$14, 12,FALSE), IFERROR(VLOOKUP($A270,'Infinet ExDa'!$B$2:$E$14, 0,FALSE), "Not Found"))))))))</f>
        <v>Not Found</v>
      </c>
      <c r="L270" s="235" t="str">
        <f>IFERROR(VLOOKUP($A270,'AAPT ExDa'!$B$2:$U$99, 11,FALSE), IFERROR(VLOOKUP($A270,'ABB ExDa'!$A$2:$N$184, 9,FALSE), IFERROR(VLOOKUP($A270,'Vocus SIT ExDa'!$B$2:$J$173, 8,FALSE), IFERROR(VLOOKUP($A270,'Telstra ExDa'!$B$2:$K$310, 0,FALSE), IFERROR(VLOOKUP($A270,'Vocus RVC ExDa'!$C$2:$R$155, 0,FALSE), IFERROR(VLOOKUP($A270,'Fusion ExDa'!$B$2:$D$16, 0,FALSE), IFERROR(VLOOKUP($A270,'Exetel ExDa'!$C$2:$N$14, 9,FALSE), IFERROR(VLOOKUP($A270,'Infinet ExDa'!$B$2:$E$14, 0,FALSE), "Not Found"))))))))</f>
        <v>02 April 2024</v>
      </c>
      <c r="M270" s="234" t="str">
        <f>IFERROR(VLOOKUP($A270,'AAPT ExDa'!$B$2:$U$99, 0,FALSE), IFERROR(VLOOKUP($A270,'ABB ExDa'!$A$2:$N$184, 0,FALSE), IFERROR(VLOOKUP($A270,'Vocus SIT ExDa'!$B$2:$J$173, 0,FALSE), IFERROR(VLOOKUP($A270,'Telstra ExDa'!$B$2:$K$310, 0,FALSE), IFERROR(VLOOKUP($A270,'Vocus RVC ExDa'!$C$2:$R$155, 0,FALSE), IFERROR(VLOOKUP($A270,'Fusion ExDa'!$B$2:$D$16, 0,FALSE), IFERROR(VLOOKUP($A270,'Exetel ExDa'!$C$2:$N$14, 11,FALSE), IFERROR(VLOOKUP($A270,'Infinet ExDa'!$B$2:$E$14, 0,FALSE), "Not Found"))))))))</f>
        <v>Not Found</v>
      </c>
      <c r="N270" t="str">
        <f>IFERROR(VLOOKUP($A270,'AAPT ExDa'!$B$2:$U$99, 0,FALSE), IFERROR(VLOOKUP($A270,'ABB ExDa'!$A$2:$N$184, 13,FALSE), IFERROR(VLOOKUP($A270,'Vocus SIT ExDa'!$B$2:$J$173, 0,FALSE), IFERROR(VLOOKUP($A270,'Telstra ExDa'!$B$2:$K$310, 0,FALSE), IFERROR(VLOOKUP($A270,'Vocus RVC ExDa'!$C$2:$R$155, 0,FALSE), IFERROR(VLOOKUP($A270,'Fusion ExDa'!$B$2:$D$16, 0,FALSE), IFERROR(VLOOKUP($A270,'Exetel ExDa'!$C$2:$N$14, 0,FALSE), IFERROR(VLOOKUP($A270,'Infinet ExDa'!$B$2:$E$14, 0,FALSE), "Not Found"))))))))</f>
        <v>Onebill</v>
      </c>
    </row>
    <row r="271" spans="1:14">
      <c r="A271" t="str">
        <v>Zambrero Midland</v>
      </c>
      <c r="B271" t="str">
        <f>IFERROR(VLOOKUP(A271,'Exetel ExDa'!$C$2:$N$14,4,FALSE),"No Data")</f>
        <v>No Data</v>
      </c>
      <c r="C271" t="str">
        <f>IFERROR(VLOOKUP(A271,'AAPT ExDa'!$B$2:$U$99, 2,FALSE), IFERROR(VLOOKUP(A271,'ABB ExDa'!$A$2:$N$184, 2,FALSE), IFERROR(VLOOKUP(A271,'Vocus SIT ExDa'!$B$2:$J$173, 7,FALSE), IFERROR(VLOOKUP(A271,'Telstra ExDa'!$B$2:$K$310, 2,FALSE), IFERROR(VLOOKUP(A271,'Vocus RVC ExDa'!$C$2:$R$155, 3,FALSE), IFERROR(VLOOKUP(A271,'Fusion ExDa'!$B$2:$D$16, 2,FALSE), IFERROR(VLOOKUP(A271,'Exetel ExDa'!$C$2:$N$14, 2,FALSE), IFERROR(VLOOKUP(A271,'Infinet ExDa'!$B$2:$E$14, 2,FALSE), "Not Found"))))))))</f>
        <v>16A LLOYD ST, MIDLAND WA</v>
      </c>
      <c r="D271" t="str">
        <f>IFERROR(VLOOKUP($A271,'AAPT ExDa'!$B$2:$U$99, 15,FALSE), IFERROR(VLOOKUP($A271,'ABB ExDa'!$A$2:$N$184, 4,FALSE), IFERROR(VLOOKUP($A271,'Vocus SIT ExDa'!$B$2:$J$173, 5,FALSE), IFERROR(VLOOKUP($A271,'Telstra ExDa'!$B$2:$K$310, 8,FALSE), IFERROR(VLOOKUP($A271,'Vocus RVC ExDa'!$C$2:$R$155, 6,FALSE), IFERROR(VLOOKUP($A271,'Fusion ExDa'!$B$2:$D$16, 4,FALSE), IFERROR(VLOOKUP($A271,'Exetel ExDa'!$C$2:$N$14, 3,FALSE), IFERROR(VLOOKUP($A271,'Infinet ExDa'!$B$2:$E$14, 3,FALSE), "Not Found"))))))))</f>
        <v>ABB</v>
      </c>
      <c r="E271" t="str">
        <f>IFERROR(VLOOKUP($A271,'AAPT ExDa'!$B$2:$U$99, 3,FALSE), IFERROR(VLOOKUP($A271,'ABB ExDa'!$A$2:$N$184, 5,FALSE), IFERROR(VLOOKUP($A271,'Vocus SIT ExDa'!$B$2:$J$173, 2,FALSE), IFERROR(VLOOKUP($A271,'Telstra ExDa'!$B$2:$K$310, 4,FALSE), IFERROR(VLOOKUP($A271,'Vocus RVC ExDa'!$C$2:$R$155, 8,FALSE), IFERROR(VLOOKUP($A271,'Fusion ExDa'!$B$2:$D$16, 4,FALSE), IFERROR(VLOOKUP($A271,'Exetel ExDa'!$C$2:$N$14, 5,FALSE), IFERROR(VLOOKUP($A271,'Infinet ExDa'!$B$2:$E$14, 3,FALSE), "Not Found"))))))))</f>
        <v>NBN 100/40</v>
      </c>
      <c r="F271" t="str">
        <f>IFERROR(VLOOKUP($A271,'AAPT ExDa'!$B$2:$U$99, 4,FALSE), IFERROR(VLOOKUP($A271,'ABB ExDa'!$A$2:$N$184, 6,FALSE), IFERROR(VLOOKUP($A271,'Vocus SIT ExDa'!$B$2:$J$173, 3,FALSE), IFERROR(VLOOKUP($A271,'Telstra ExDa'!$B$2:$K$310, 5,FALSE), IFERROR(VLOOKUP($A271,'Vocus RVC ExDa'!$C$2:$R$155, 9,FALSE), IFERROR(VLOOKUP($A271,'Fusion ExDa'!$B$2:$D$16, 0,FALSE), IFERROR(VLOOKUP($A271,'Exetel ExDa'!$C$2:$N$14, 6,FALSE), IFERROR(VLOOKUP($A271,'Infinet ExDa'!$B$2:$E$14, 0,FALSE), "Not Found"))))))))</f>
        <v xml:space="preserve">FTTN </v>
      </c>
      <c r="G271" t="str">
        <f>IFERROR(VLOOKUP($A271,'AAPT ExDa'!$B$2:$U$99, 5,FALSE), IFERROR(VLOOKUP($A271,'ABB ExDa'!$A$2:$N$184, 8,FALSE), IFERROR(VLOOKUP($A271,'Vocus SIT ExDa'!$B$2:$J$173, 6,FALSE), IFERROR(VLOOKUP($A271,'Telstra ExDa'!$B$2:$K$310, 0,FALSE), IFERROR(VLOOKUP($A271,'Vocus RVC ExDa'!$C$2:$R$155, 15,FALSE), IFERROR(VLOOKUP($A271,'Fusion ExDa'!$B$2:$D$16, 0,FALSE), IFERROR(VLOOKUP($A271,'Exetel ExDa'!$C$2:$N$14, 7,FALSE), IFERROR(VLOOKUP($A271,'Infinet ExDa'!$B$2:$E$14, 0,FALSE), "Not Found"))))))))</f>
        <v>159.196.80.166</v>
      </c>
      <c r="H271" t="str">
        <f>IFERROR(VLOOKUP($A271,'AAPT ExDa'!$B$2:$U$99, 6,FALSE), IFERROR(VLOOKUP($A271,'ABB ExDa'!$A$2:$N$184, 0,FALSE), IFERROR(VLOOKUP($A271,'Vocus SIT ExDa'!$B$2:$J$173, 0,FALSE), IFERROR(VLOOKUP($A271,'Telstra ExDa'!$B$2:$K$310, 0,FALSE), IFERROR(VLOOKUP($A271,'Vocus RVC ExDa'!$C$2:$R$155, 16,FALSE), IFERROR(VLOOKUP($A271,'Fusion ExDa'!$B$2:$D$16, 0,FALSE), IFERROR(VLOOKUP($A271,'Exetel ExDa'!$C$2:$N$14, 0,FALSE), IFERROR(VLOOKUP($A271,'Infinet ExDa'!$B$2:$E$14, 0,FALSE), "Not Found"))))))))</f>
        <v>Not Found</v>
      </c>
      <c r="I271" t="str">
        <f>IFERROR(VLOOKUP($A271,'AAPT ExDa'!$B$2:$U$99, 0,FALSE), IFERROR(VLOOKUP($A271,'ABB ExDa'!$A$2:$N$184, 0,FALSE), IFERROR(VLOOKUP($A271,'Vocus SIT ExDa'!$B$2:$J$173, 0,FALSE), IFERROR(VLOOKUP($A271,'Telstra ExDa'!$B$2:$K$310, 0,FALSE), IFERROR(VLOOKUP($A271,'Vocus RVC ExDa'!$C$2:$R$155, 0,FALSE), IFERROR(VLOOKUP($A271,'Fusion ExDa'!$B$2:$D$16, 0,FALSE), IFERROR(VLOOKUP($A271,'Exetel ExDa'!$C$2:$N$14, 8,FALSE), IFERROR(VLOOKUP($A271,'Infinet ExDa'!$B$2:$E$14, 0,FALSE), "Not Found"))))))))</f>
        <v>Not Found</v>
      </c>
      <c r="J271" t="str">
        <f>IFERROR(VLOOKUP($A271,'AAPT ExDa'!$B$2:$U$99, 7,FALSE), IFERROR(VLOOKUP($A271,'ABB ExDa'!$A$2:$N$184, 2,FALSE), IFERROR(VLOOKUP($A271,'Vocus SIT ExDa'!$B$2:$J$173, 0,FALSE), IFERROR(VLOOKUP($A271,'Telstra ExDa'!$B$2:$K$310, 7,FALSE), IFERROR(VLOOKUP($A271,'Vocus RVC ExDa'!$C$2:$R$155, 2,FALSE), IFERROR(VLOOKUP($A271,'Fusion ExDa'!$B$2:$D$16, 3,FALSE), IFERROR(VLOOKUP($A271,'Exetel ExDa'!$C$2:$N$14, 0,FALSE), IFERROR(VLOOKUP($A271,'Infinet ExDa'!$B$2:$E$14, 0,FALSE), "Not Found"))))))))</f>
        <v>16A LLOYD ST, MIDLAND WA</v>
      </c>
      <c r="K271" t="str">
        <f>IFERROR(VLOOKUP($A271,'AAPT ExDa'!$B$2:$U$99, 12,FALSE), IFERROR(VLOOKUP($A271,'ABB ExDa'!$A$2:$N$184, 0,FALSE), IFERROR(VLOOKUP($A271,'Vocus SIT ExDa'!$B$2:$J$173, 0,FALSE), IFERROR(VLOOKUP($A271,'Telstra ExDa'!$B$2:$K$310, 0,FALSE), IFERROR(VLOOKUP($A271,'Vocus RVC ExDa'!$C$2:$R$155, 0,FALSE), IFERROR(VLOOKUP($A271,'Fusion ExDa'!$B$2:$D$16, 0,FALSE), IFERROR(VLOOKUP($A271,'Exetel ExDa'!$C$2:$N$14, 12,FALSE), IFERROR(VLOOKUP($A271,'Infinet ExDa'!$B$2:$E$14, 0,FALSE), "Not Found"))))))))</f>
        <v>Not Found</v>
      </c>
      <c r="L271" s="235" t="str">
        <f>IFERROR(VLOOKUP($A271,'AAPT ExDa'!$B$2:$U$99, 11,FALSE), IFERROR(VLOOKUP($A271,'ABB ExDa'!$A$2:$N$184, 9,FALSE), IFERROR(VLOOKUP($A271,'Vocus SIT ExDa'!$B$2:$J$173, 8,FALSE), IFERROR(VLOOKUP($A271,'Telstra ExDa'!$B$2:$K$310, 0,FALSE), IFERROR(VLOOKUP($A271,'Vocus RVC ExDa'!$C$2:$R$155, 0,FALSE), IFERROR(VLOOKUP($A271,'Fusion ExDa'!$B$2:$D$16, 0,FALSE), IFERROR(VLOOKUP($A271,'Exetel ExDa'!$C$2:$N$14, 9,FALSE), IFERROR(VLOOKUP($A271,'Infinet ExDa'!$B$2:$E$14, 0,FALSE), "Not Found"))))))))</f>
        <v>04 April 2024</v>
      </c>
      <c r="M271" s="234" t="str">
        <f>IFERROR(VLOOKUP($A271,'AAPT ExDa'!$B$2:$U$99, 0,FALSE), IFERROR(VLOOKUP($A271,'ABB ExDa'!$A$2:$N$184, 0,FALSE), IFERROR(VLOOKUP($A271,'Vocus SIT ExDa'!$B$2:$J$173, 0,FALSE), IFERROR(VLOOKUP($A271,'Telstra ExDa'!$B$2:$K$310, 0,FALSE), IFERROR(VLOOKUP($A271,'Vocus RVC ExDa'!$C$2:$R$155, 0,FALSE), IFERROR(VLOOKUP($A271,'Fusion ExDa'!$B$2:$D$16, 0,FALSE), IFERROR(VLOOKUP($A271,'Exetel ExDa'!$C$2:$N$14, 11,FALSE), IFERROR(VLOOKUP($A271,'Infinet ExDa'!$B$2:$E$14, 0,FALSE), "Not Found"))))))))</f>
        <v>Not Found</v>
      </c>
      <c r="N271" t="str">
        <f>IFERROR(VLOOKUP($A271,'AAPT ExDa'!$B$2:$U$99, 0,FALSE), IFERROR(VLOOKUP($A271,'ABB ExDa'!$A$2:$N$184, 13,FALSE), IFERROR(VLOOKUP($A271,'Vocus SIT ExDa'!$B$2:$J$173, 0,FALSE), IFERROR(VLOOKUP($A271,'Telstra ExDa'!$B$2:$K$310, 0,FALSE), IFERROR(VLOOKUP($A271,'Vocus RVC ExDa'!$C$2:$R$155, 0,FALSE), IFERROR(VLOOKUP($A271,'Fusion ExDa'!$B$2:$D$16, 0,FALSE), IFERROR(VLOOKUP($A271,'Exetel ExDa'!$C$2:$N$14, 0,FALSE), IFERROR(VLOOKUP($A271,'Infinet ExDa'!$B$2:$E$14, 0,FALSE), "Not Found"))))))))</f>
        <v>Onebill</v>
      </c>
    </row>
    <row r="272" spans="1:14">
      <c r="A272" t="str">
        <v>Zambrero Mindarie</v>
      </c>
      <c r="B272" t="str">
        <f>IFERROR(VLOOKUP(A272,'Exetel ExDa'!$C$2:$N$14,4,FALSE),"No Data")</f>
        <v>No Data</v>
      </c>
      <c r="C272" t="str">
        <f>IFERROR(VLOOKUP(A272,'AAPT ExDa'!$B$2:$U$99, 2,FALSE), IFERROR(VLOOKUP(A272,'ABB ExDa'!$A$2:$N$184, 2,FALSE), IFERROR(VLOOKUP(A272,'Vocus SIT ExDa'!$B$2:$J$173, 7,FALSE), IFERROR(VLOOKUP(A272,'Telstra ExDa'!$B$2:$K$310, 2,FALSE), IFERROR(VLOOKUP(A272,'Vocus RVC ExDa'!$C$2:$R$155, 3,FALSE), IFERROR(VLOOKUP(A272,'Fusion ExDa'!$B$2:$D$16, 2,FALSE), IFERROR(VLOOKUP(A272,'Exetel ExDa'!$C$2:$N$14, 2,FALSE), IFERROR(VLOOKUP(A272,'Infinet ExDa'!$B$2:$E$14, 2,FALSE), "Not Found"))))))))</f>
        <v>SHOP 2, 3 BERGEN WAY, MINDARIE WA</v>
      </c>
      <c r="D272" t="str">
        <f>IFERROR(VLOOKUP($A272,'AAPT ExDa'!$B$2:$U$99, 15,FALSE), IFERROR(VLOOKUP($A272,'ABB ExDa'!$A$2:$N$184, 4,FALSE), IFERROR(VLOOKUP($A272,'Vocus SIT ExDa'!$B$2:$J$173, 5,FALSE), IFERROR(VLOOKUP($A272,'Telstra ExDa'!$B$2:$K$310, 8,FALSE), IFERROR(VLOOKUP($A272,'Vocus RVC ExDa'!$C$2:$R$155, 6,FALSE), IFERROR(VLOOKUP($A272,'Fusion ExDa'!$B$2:$D$16, 4,FALSE), IFERROR(VLOOKUP($A272,'Exetel ExDa'!$C$2:$N$14, 3,FALSE), IFERROR(VLOOKUP($A272,'Infinet ExDa'!$B$2:$E$14, 3,FALSE), "Not Found"))))))))</f>
        <v>ABB</v>
      </c>
      <c r="E272" t="str">
        <f>IFERROR(VLOOKUP($A272,'AAPT ExDa'!$B$2:$U$99, 3,FALSE), IFERROR(VLOOKUP($A272,'ABB ExDa'!$A$2:$N$184, 5,FALSE), IFERROR(VLOOKUP($A272,'Vocus SIT ExDa'!$B$2:$J$173, 2,FALSE), IFERROR(VLOOKUP($A272,'Telstra ExDa'!$B$2:$K$310, 4,FALSE), IFERROR(VLOOKUP($A272,'Vocus RVC ExDa'!$C$2:$R$155, 8,FALSE), IFERROR(VLOOKUP($A272,'Fusion ExDa'!$B$2:$D$16, 4,FALSE), IFERROR(VLOOKUP($A272,'Exetel ExDa'!$C$2:$N$14, 5,FALSE), IFERROR(VLOOKUP($A272,'Infinet ExDa'!$B$2:$E$14, 3,FALSE), "Not Found"))))))))</f>
        <v>NBN 100/40</v>
      </c>
      <c r="F272" t="str">
        <f>IFERROR(VLOOKUP($A272,'AAPT ExDa'!$B$2:$U$99, 4,FALSE), IFERROR(VLOOKUP($A272,'ABB ExDa'!$A$2:$N$184, 6,FALSE), IFERROR(VLOOKUP($A272,'Vocus SIT ExDa'!$B$2:$J$173, 3,FALSE), IFERROR(VLOOKUP($A272,'Telstra ExDa'!$B$2:$K$310, 5,FALSE), IFERROR(VLOOKUP($A272,'Vocus RVC ExDa'!$C$2:$R$155, 9,FALSE), IFERROR(VLOOKUP($A272,'Fusion ExDa'!$B$2:$D$16, 0,FALSE), IFERROR(VLOOKUP($A272,'Exetel ExDa'!$C$2:$N$14, 6,FALSE), IFERROR(VLOOKUP($A272,'Infinet ExDa'!$B$2:$E$14, 0,FALSE), "Not Found"))))))))</f>
        <v xml:space="preserve">FTTN </v>
      </c>
      <c r="G272" t="str">
        <f>IFERROR(VLOOKUP($A272,'AAPT ExDa'!$B$2:$U$99, 5,FALSE), IFERROR(VLOOKUP($A272,'ABB ExDa'!$A$2:$N$184, 8,FALSE), IFERROR(VLOOKUP($A272,'Vocus SIT ExDa'!$B$2:$J$173, 6,FALSE), IFERROR(VLOOKUP($A272,'Telstra ExDa'!$B$2:$K$310, 0,FALSE), IFERROR(VLOOKUP($A272,'Vocus RVC ExDa'!$C$2:$R$155, 15,FALSE), IFERROR(VLOOKUP($A272,'Fusion ExDa'!$B$2:$D$16, 0,FALSE), IFERROR(VLOOKUP($A272,'Exetel ExDa'!$C$2:$N$14, 7,FALSE), IFERROR(VLOOKUP($A272,'Infinet ExDa'!$B$2:$E$14, 0,FALSE), "Not Found"))))))))</f>
        <v>144.6.137.54</v>
      </c>
      <c r="H272" t="str">
        <f>IFERROR(VLOOKUP($A272,'AAPT ExDa'!$B$2:$U$99, 6,FALSE), IFERROR(VLOOKUP($A272,'ABB ExDa'!$A$2:$N$184, 0,FALSE), IFERROR(VLOOKUP($A272,'Vocus SIT ExDa'!$B$2:$J$173, 0,FALSE), IFERROR(VLOOKUP($A272,'Telstra ExDa'!$B$2:$K$310, 0,FALSE), IFERROR(VLOOKUP($A272,'Vocus RVC ExDa'!$C$2:$R$155, 16,FALSE), IFERROR(VLOOKUP($A272,'Fusion ExDa'!$B$2:$D$16, 0,FALSE), IFERROR(VLOOKUP($A272,'Exetel ExDa'!$C$2:$N$14, 0,FALSE), IFERROR(VLOOKUP($A272,'Infinet ExDa'!$B$2:$E$14, 0,FALSE), "Not Found"))))))))</f>
        <v>Not Found</v>
      </c>
      <c r="I272" t="str">
        <f>IFERROR(VLOOKUP($A272,'AAPT ExDa'!$B$2:$U$99, 0,FALSE), IFERROR(VLOOKUP($A272,'ABB ExDa'!$A$2:$N$184, 0,FALSE), IFERROR(VLOOKUP($A272,'Vocus SIT ExDa'!$B$2:$J$173, 0,FALSE), IFERROR(VLOOKUP($A272,'Telstra ExDa'!$B$2:$K$310, 0,FALSE), IFERROR(VLOOKUP($A272,'Vocus RVC ExDa'!$C$2:$R$155, 0,FALSE), IFERROR(VLOOKUP($A272,'Fusion ExDa'!$B$2:$D$16, 0,FALSE), IFERROR(VLOOKUP($A272,'Exetel ExDa'!$C$2:$N$14, 8,FALSE), IFERROR(VLOOKUP($A272,'Infinet ExDa'!$B$2:$E$14, 0,FALSE), "Not Found"))))))))</f>
        <v>Not Found</v>
      </c>
      <c r="J272" t="str">
        <f>IFERROR(VLOOKUP($A272,'AAPT ExDa'!$B$2:$U$99, 7,FALSE), IFERROR(VLOOKUP($A272,'ABB ExDa'!$A$2:$N$184, 2,FALSE), IFERROR(VLOOKUP($A272,'Vocus SIT ExDa'!$B$2:$J$173, 0,FALSE), IFERROR(VLOOKUP($A272,'Telstra ExDa'!$B$2:$K$310, 7,FALSE), IFERROR(VLOOKUP($A272,'Vocus RVC ExDa'!$C$2:$R$155, 2,FALSE), IFERROR(VLOOKUP($A272,'Fusion ExDa'!$B$2:$D$16, 3,FALSE), IFERROR(VLOOKUP($A272,'Exetel ExDa'!$C$2:$N$14, 0,FALSE), IFERROR(VLOOKUP($A272,'Infinet ExDa'!$B$2:$E$14, 0,FALSE), "Not Found"))))))))</f>
        <v>SHOP 2, 3 BERGEN WAY, MINDARIE WA</v>
      </c>
      <c r="K272" t="str">
        <f>IFERROR(VLOOKUP($A272,'AAPT ExDa'!$B$2:$U$99, 12,FALSE), IFERROR(VLOOKUP($A272,'ABB ExDa'!$A$2:$N$184, 0,FALSE), IFERROR(VLOOKUP($A272,'Vocus SIT ExDa'!$B$2:$J$173, 0,FALSE), IFERROR(VLOOKUP($A272,'Telstra ExDa'!$B$2:$K$310, 0,FALSE), IFERROR(VLOOKUP($A272,'Vocus RVC ExDa'!$C$2:$R$155, 0,FALSE), IFERROR(VLOOKUP($A272,'Fusion ExDa'!$B$2:$D$16, 0,FALSE), IFERROR(VLOOKUP($A272,'Exetel ExDa'!$C$2:$N$14, 12,FALSE), IFERROR(VLOOKUP($A272,'Infinet ExDa'!$B$2:$E$14, 0,FALSE), "Not Found"))))))))</f>
        <v>Not Found</v>
      </c>
      <c r="L272" s="235" t="str">
        <f>IFERROR(VLOOKUP($A272,'AAPT ExDa'!$B$2:$U$99, 11,FALSE), IFERROR(VLOOKUP($A272,'ABB ExDa'!$A$2:$N$184, 9,FALSE), IFERROR(VLOOKUP($A272,'Vocus SIT ExDa'!$B$2:$J$173, 8,FALSE), IFERROR(VLOOKUP($A272,'Telstra ExDa'!$B$2:$K$310, 0,FALSE), IFERROR(VLOOKUP($A272,'Vocus RVC ExDa'!$C$2:$R$155, 0,FALSE), IFERROR(VLOOKUP($A272,'Fusion ExDa'!$B$2:$D$16, 0,FALSE), IFERROR(VLOOKUP($A272,'Exetel ExDa'!$C$2:$N$14, 9,FALSE), IFERROR(VLOOKUP($A272,'Infinet ExDa'!$B$2:$E$14, 0,FALSE), "Not Found"))))))))</f>
        <v>04 April 2024</v>
      </c>
      <c r="M272" s="234" t="str">
        <f>IFERROR(VLOOKUP($A272,'AAPT ExDa'!$B$2:$U$99, 0,FALSE), IFERROR(VLOOKUP($A272,'ABB ExDa'!$A$2:$N$184, 0,FALSE), IFERROR(VLOOKUP($A272,'Vocus SIT ExDa'!$B$2:$J$173, 0,FALSE), IFERROR(VLOOKUP($A272,'Telstra ExDa'!$B$2:$K$310, 0,FALSE), IFERROR(VLOOKUP($A272,'Vocus RVC ExDa'!$C$2:$R$155, 0,FALSE), IFERROR(VLOOKUP($A272,'Fusion ExDa'!$B$2:$D$16, 0,FALSE), IFERROR(VLOOKUP($A272,'Exetel ExDa'!$C$2:$N$14, 11,FALSE), IFERROR(VLOOKUP($A272,'Infinet ExDa'!$B$2:$E$14, 0,FALSE), "Not Found"))))))))</f>
        <v>Not Found</v>
      </c>
      <c r="N272" t="str">
        <f>IFERROR(VLOOKUP($A272,'AAPT ExDa'!$B$2:$U$99, 0,FALSE), IFERROR(VLOOKUP($A272,'ABB ExDa'!$A$2:$N$184, 13,FALSE), IFERROR(VLOOKUP($A272,'Vocus SIT ExDa'!$B$2:$J$173, 0,FALSE), IFERROR(VLOOKUP($A272,'Telstra ExDa'!$B$2:$K$310, 0,FALSE), IFERROR(VLOOKUP($A272,'Vocus RVC ExDa'!$C$2:$R$155, 0,FALSE), IFERROR(VLOOKUP($A272,'Fusion ExDa'!$B$2:$D$16, 0,FALSE), IFERROR(VLOOKUP($A272,'Exetel ExDa'!$C$2:$N$14, 0,FALSE), IFERROR(VLOOKUP($A272,'Infinet ExDa'!$B$2:$E$14, 0,FALSE), "Not Found"))))))))</f>
        <v>Onebill</v>
      </c>
    </row>
    <row r="273" spans="1:14">
      <c r="A273" t="str">
        <v>Zambrero Nedlands</v>
      </c>
      <c r="B273" t="str">
        <f>IFERROR(VLOOKUP(A273,'Exetel ExDa'!$C$2:$N$14,4,FALSE),"No Data")</f>
        <v>No Data</v>
      </c>
      <c r="C273" t="str">
        <f>IFERROR(VLOOKUP(A273,'AAPT ExDa'!$B$2:$U$99, 2,FALSE), IFERROR(VLOOKUP(A273,'ABB ExDa'!$A$2:$N$184, 2,FALSE), IFERROR(VLOOKUP(A273,'Vocus SIT ExDa'!$B$2:$J$173, 7,FALSE), IFERROR(VLOOKUP(A273,'Telstra ExDa'!$B$2:$K$310, 2,FALSE), IFERROR(VLOOKUP(A273,'Vocus RVC ExDa'!$C$2:$R$155, 3,FALSE), IFERROR(VLOOKUP(A273,'Fusion ExDa'!$B$2:$D$16, 2,FALSE), IFERROR(VLOOKUP(A273,'Exetel ExDa'!$C$2:$N$14, 2,FALSE), IFERROR(VLOOKUP(A273,'Infinet ExDa'!$B$2:$E$14, 2,FALSE), "Not Found"))))))))</f>
        <v>11 BROADWAY , NEDLANDS WA</v>
      </c>
      <c r="D273" t="str">
        <f>IFERROR(VLOOKUP($A273,'AAPT ExDa'!$B$2:$U$99, 15,FALSE), IFERROR(VLOOKUP($A273,'ABB ExDa'!$A$2:$N$184, 4,FALSE), IFERROR(VLOOKUP($A273,'Vocus SIT ExDa'!$B$2:$J$173, 5,FALSE), IFERROR(VLOOKUP($A273,'Telstra ExDa'!$B$2:$K$310, 8,FALSE), IFERROR(VLOOKUP($A273,'Vocus RVC ExDa'!$C$2:$R$155, 6,FALSE), IFERROR(VLOOKUP($A273,'Fusion ExDa'!$B$2:$D$16, 4,FALSE), IFERROR(VLOOKUP($A273,'Exetel ExDa'!$C$2:$N$14, 3,FALSE), IFERROR(VLOOKUP($A273,'Infinet ExDa'!$B$2:$E$14, 3,FALSE), "Not Found"))))))))</f>
        <v>ABB</v>
      </c>
      <c r="E273" t="str">
        <f>IFERROR(VLOOKUP($A273,'AAPT ExDa'!$B$2:$U$99, 3,FALSE), IFERROR(VLOOKUP($A273,'ABB ExDa'!$A$2:$N$184, 5,FALSE), IFERROR(VLOOKUP($A273,'Vocus SIT ExDa'!$B$2:$J$173, 2,FALSE), IFERROR(VLOOKUP($A273,'Telstra ExDa'!$B$2:$K$310, 4,FALSE), IFERROR(VLOOKUP($A273,'Vocus RVC ExDa'!$C$2:$R$155, 8,FALSE), IFERROR(VLOOKUP($A273,'Fusion ExDa'!$B$2:$D$16, 4,FALSE), IFERROR(VLOOKUP($A273,'Exetel ExDa'!$C$2:$N$14, 5,FALSE), IFERROR(VLOOKUP($A273,'Infinet ExDa'!$B$2:$E$14, 3,FALSE), "Not Found"))))))))</f>
        <v>NBN 50/20</v>
      </c>
      <c r="F273" t="str">
        <f>IFERROR(VLOOKUP($A273,'AAPT ExDa'!$B$2:$U$99, 4,FALSE), IFERROR(VLOOKUP($A273,'ABB ExDa'!$A$2:$N$184, 6,FALSE), IFERROR(VLOOKUP($A273,'Vocus SIT ExDa'!$B$2:$J$173, 3,FALSE), IFERROR(VLOOKUP($A273,'Telstra ExDa'!$B$2:$K$310, 5,FALSE), IFERROR(VLOOKUP($A273,'Vocus RVC ExDa'!$C$2:$R$155, 9,FALSE), IFERROR(VLOOKUP($A273,'Fusion ExDa'!$B$2:$D$16, 0,FALSE), IFERROR(VLOOKUP($A273,'Exetel ExDa'!$C$2:$N$14, 6,FALSE), IFERROR(VLOOKUP($A273,'Infinet ExDa'!$B$2:$E$14, 0,FALSE), "Not Found"))))))))</f>
        <v>HFC</v>
      </c>
      <c r="G273" t="str">
        <f>IFERROR(VLOOKUP($A273,'AAPT ExDa'!$B$2:$U$99, 5,FALSE), IFERROR(VLOOKUP($A273,'ABB ExDa'!$A$2:$N$184, 8,FALSE), IFERROR(VLOOKUP($A273,'Vocus SIT ExDa'!$B$2:$J$173, 6,FALSE), IFERROR(VLOOKUP($A273,'Telstra ExDa'!$B$2:$K$310, 0,FALSE), IFERROR(VLOOKUP($A273,'Vocus RVC ExDa'!$C$2:$R$155, 15,FALSE), IFERROR(VLOOKUP($A273,'Fusion ExDa'!$B$2:$D$16, 0,FALSE), IFERROR(VLOOKUP($A273,'Exetel ExDa'!$C$2:$N$14, 7,FALSE), IFERROR(VLOOKUP($A273,'Infinet ExDa'!$B$2:$E$14, 0,FALSE), "Not Found"))))))))</f>
        <v>144.6.136.42</v>
      </c>
      <c r="H273" t="str">
        <f>IFERROR(VLOOKUP($A273,'AAPT ExDa'!$B$2:$U$99, 6,FALSE), IFERROR(VLOOKUP($A273,'ABB ExDa'!$A$2:$N$184, 0,FALSE), IFERROR(VLOOKUP($A273,'Vocus SIT ExDa'!$B$2:$J$173, 0,FALSE), IFERROR(VLOOKUP($A273,'Telstra ExDa'!$B$2:$K$310, 0,FALSE), IFERROR(VLOOKUP($A273,'Vocus RVC ExDa'!$C$2:$R$155, 16,FALSE), IFERROR(VLOOKUP($A273,'Fusion ExDa'!$B$2:$D$16, 0,FALSE), IFERROR(VLOOKUP($A273,'Exetel ExDa'!$C$2:$N$14, 0,FALSE), IFERROR(VLOOKUP($A273,'Infinet ExDa'!$B$2:$E$14, 0,FALSE), "Not Found"))))))))</f>
        <v>Not Found</v>
      </c>
      <c r="I273" t="str">
        <f>IFERROR(VLOOKUP($A273,'AAPT ExDa'!$B$2:$U$99, 0,FALSE), IFERROR(VLOOKUP($A273,'ABB ExDa'!$A$2:$N$184, 0,FALSE), IFERROR(VLOOKUP($A273,'Vocus SIT ExDa'!$B$2:$J$173, 0,FALSE), IFERROR(VLOOKUP($A273,'Telstra ExDa'!$B$2:$K$310, 0,FALSE), IFERROR(VLOOKUP($A273,'Vocus RVC ExDa'!$C$2:$R$155, 0,FALSE), IFERROR(VLOOKUP($A273,'Fusion ExDa'!$B$2:$D$16, 0,FALSE), IFERROR(VLOOKUP($A273,'Exetel ExDa'!$C$2:$N$14, 8,FALSE), IFERROR(VLOOKUP($A273,'Infinet ExDa'!$B$2:$E$14, 0,FALSE), "Not Found"))))))))</f>
        <v>Not Found</v>
      </c>
      <c r="J273" t="str">
        <f>IFERROR(VLOOKUP($A273,'AAPT ExDa'!$B$2:$U$99, 7,FALSE), IFERROR(VLOOKUP($A273,'ABB ExDa'!$A$2:$N$184, 2,FALSE), IFERROR(VLOOKUP($A273,'Vocus SIT ExDa'!$B$2:$J$173, 0,FALSE), IFERROR(VLOOKUP($A273,'Telstra ExDa'!$B$2:$K$310, 7,FALSE), IFERROR(VLOOKUP($A273,'Vocus RVC ExDa'!$C$2:$R$155, 2,FALSE), IFERROR(VLOOKUP($A273,'Fusion ExDa'!$B$2:$D$16, 3,FALSE), IFERROR(VLOOKUP($A273,'Exetel ExDa'!$C$2:$N$14, 0,FALSE), IFERROR(VLOOKUP($A273,'Infinet ExDa'!$B$2:$E$14, 0,FALSE), "Not Found"))))))))</f>
        <v>11 BROADWAY , NEDLANDS WA</v>
      </c>
      <c r="K273" t="str">
        <f>IFERROR(VLOOKUP($A273,'AAPT ExDa'!$B$2:$U$99, 12,FALSE), IFERROR(VLOOKUP($A273,'ABB ExDa'!$A$2:$N$184, 0,FALSE), IFERROR(VLOOKUP($A273,'Vocus SIT ExDa'!$B$2:$J$173, 0,FALSE), IFERROR(VLOOKUP($A273,'Telstra ExDa'!$B$2:$K$310, 0,FALSE), IFERROR(VLOOKUP($A273,'Vocus RVC ExDa'!$C$2:$R$155, 0,FALSE), IFERROR(VLOOKUP($A273,'Fusion ExDa'!$B$2:$D$16, 0,FALSE), IFERROR(VLOOKUP($A273,'Exetel ExDa'!$C$2:$N$14, 12,FALSE), IFERROR(VLOOKUP($A273,'Infinet ExDa'!$B$2:$E$14, 0,FALSE), "Not Found"))))))))</f>
        <v>Not Found</v>
      </c>
      <c r="L273" s="235" t="str">
        <f>IFERROR(VLOOKUP($A273,'AAPT ExDa'!$B$2:$U$99, 11,FALSE), IFERROR(VLOOKUP($A273,'ABB ExDa'!$A$2:$N$184, 9,FALSE), IFERROR(VLOOKUP($A273,'Vocus SIT ExDa'!$B$2:$J$173, 8,FALSE), IFERROR(VLOOKUP($A273,'Telstra ExDa'!$B$2:$K$310, 0,FALSE), IFERROR(VLOOKUP($A273,'Vocus RVC ExDa'!$C$2:$R$155, 0,FALSE), IFERROR(VLOOKUP($A273,'Fusion ExDa'!$B$2:$D$16, 0,FALSE), IFERROR(VLOOKUP($A273,'Exetel ExDa'!$C$2:$N$14, 9,FALSE), IFERROR(VLOOKUP($A273,'Infinet ExDa'!$B$2:$E$14, 0,FALSE), "Not Found"))))))))</f>
        <v>18 Mar 2024</v>
      </c>
      <c r="M273" s="234" t="str">
        <f>IFERROR(VLOOKUP($A273,'AAPT ExDa'!$B$2:$U$99, 0,FALSE), IFERROR(VLOOKUP($A273,'ABB ExDa'!$A$2:$N$184, 0,FALSE), IFERROR(VLOOKUP($A273,'Vocus SIT ExDa'!$B$2:$J$173, 0,FALSE), IFERROR(VLOOKUP($A273,'Telstra ExDa'!$B$2:$K$310, 0,FALSE), IFERROR(VLOOKUP($A273,'Vocus RVC ExDa'!$C$2:$R$155, 0,FALSE), IFERROR(VLOOKUP($A273,'Fusion ExDa'!$B$2:$D$16, 0,FALSE), IFERROR(VLOOKUP($A273,'Exetel ExDa'!$C$2:$N$14, 11,FALSE), IFERROR(VLOOKUP($A273,'Infinet ExDa'!$B$2:$E$14, 0,FALSE), "Not Found"))))))))</f>
        <v>Not Found</v>
      </c>
      <c r="N273" t="str">
        <f>IFERROR(VLOOKUP($A273,'AAPT ExDa'!$B$2:$U$99, 0,FALSE), IFERROR(VLOOKUP($A273,'ABB ExDa'!$A$2:$N$184, 13,FALSE), IFERROR(VLOOKUP($A273,'Vocus SIT ExDa'!$B$2:$J$173, 0,FALSE), IFERROR(VLOOKUP($A273,'Telstra ExDa'!$B$2:$K$310, 0,FALSE), IFERROR(VLOOKUP($A273,'Vocus RVC ExDa'!$C$2:$R$155, 0,FALSE), IFERROR(VLOOKUP($A273,'Fusion ExDa'!$B$2:$D$16, 0,FALSE), IFERROR(VLOOKUP($A273,'Exetel ExDa'!$C$2:$N$14, 0,FALSE), IFERROR(VLOOKUP($A273,'Infinet ExDa'!$B$2:$E$14, 0,FALSE), "Not Found"))))))))</f>
        <v>Onebill</v>
      </c>
    </row>
    <row r="274" spans="1:14">
      <c r="A274" t="str">
        <v>Zambrero Malvern 2</v>
      </c>
      <c r="B274" t="str">
        <f>IFERROR(VLOOKUP(A274,'Exetel ExDa'!$C$2:$N$14,4,FALSE),"No Data")</f>
        <v>No Data</v>
      </c>
      <c r="C274" t="str">
        <f>IFERROR(VLOOKUP(A274,'AAPT ExDa'!$B$2:$U$99, 2,FALSE), IFERROR(VLOOKUP(A274,'ABB ExDa'!$A$2:$N$184, 2,FALSE), IFERROR(VLOOKUP(A274,'Vocus SIT ExDa'!$B$2:$J$173, 7,FALSE), IFERROR(VLOOKUP(A274,'Telstra ExDa'!$B$2:$K$310, 2,FALSE), IFERROR(VLOOKUP(A274,'Vocus RVC ExDa'!$C$2:$R$155, 3,FALSE), IFERROR(VLOOKUP(A274,'Fusion ExDa'!$B$2:$D$16, 2,FALSE), IFERROR(VLOOKUP(A274,'Exetel ExDa'!$C$2:$N$14, 2,FALSE), IFERROR(VLOOKUP(A274,'Infinet ExDa'!$B$2:$E$14, 2,FALSE), "Not Found"))))))))</f>
        <v>206 GLENFERRIE RD, MALVERN VIC</v>
      </c>
      <c r="D274" t="str">
        <f>IFERROR(VLOOKUP($A274,'AAPT ExDa'!$B$2:$U$99, 15,FALSE), IFERROR(VLOOKUP($A274,'ABB ExDa'!$A$2:$N$184, 4,FALSE), IFERROR(VLOOKUP($A274,'Vocus SIT ExDa'!$B$2:$J$173, 5,FALSE), IFERROR(VLOOKUP($A274,'Telstra ExDa'!$B$2:$K$310, 8,FALSE), IFERROR(VLOOKUP($A274,'Vocus RVC ExDa'!$C$2:$R$155, 6,FALSE), IFERROR(VLOOKUP($A274,'Fusion ExDa'!$B$2:$D$16, 4,FALSE), IFERROR(VLOOKUP($A274,'Exetel ExDa'!$C$2:$N$14, 3,FALSE), IFERROR(VLOOKUP($A274,'Infinet ExDa'!$B$2:$E$14, 3,FALSE), "Not Found"))))))))</f>
        <v>ABB</v>
      </c>
      <c r="E274" t="str">
        <f>IFERROR(VLOOKUP($A274,'AAPT ExDa'!$B$2:$U$99, 3,FALSE), IFERROR(VLOOKUP($A274,'ABB ExDa'!$A$2:$N$184, 5,FALSE), IFERROR(VLOOKUP($A274,'Vocus SIT ExDa'!$B$2:$J$173, 2,FALSE), IFERROR(VLOOKUP($A274,'Telstra ExDa'!$B$2:$K$310, 4,FALSE), IFERROR(VLOOKUP($A274,'Vocus RVC ExDa'!$C$2:$R$155, 8,FALSE), IFERROR(VLOOKUP($A274,'Fusion ExDa'!$B$2:$D$16, 4,FALSE), IFERROR(VLOOKUP($A274,'Exetel ExDa'!$C$2:$N$14, 5,FALSE), IFERROR(VLOOKUP($A274,'Infinet ExDa'!$B$2:$E$14, 3,FALSE), "Not Found"))))))))</f>
        <v>4G Broadband Backup</v>
      </c>
      <c r="F274" t="str">
        <f>IFERROR(VLOOKUP($A274,'AAPT ExDa'!$B$2:$U$99, 4,FALSE), IFERROR(VLOOKUP($A274,'ABB ExDa'!$A$2:$N$184, 6,FALSE), IFERROR(VLOOKUP($A274,'Vocus SIT ExDa'!$B$2:$J$173, 3,FALSE), IFERROR(VLOOKUP($A274,'Telstra ExDa'!$B$2:$K$310, 5,FALSE), IFERROR(VLOOKUP($A274,'Vocus RVC ExDa'!$C$2:$R$155, 9,FALSE), IFERROR(VLOOKUP($A274,'Fusion ExDa'!$B$2:$D$16, 0,FALSE), IFERROR(VLOOKUP($A274,'Exetel ExDa'!$C$2:$N$14, 6,FALSE), IFERROR(VLOOKUP($A274,'Infinet ExDa'!$B$2:$E$14, 0,FALSE), "Not Found"))))))))</f>
        <v>29 Feb 2024</v>
      </c>
      <c r="G274">
        <f>IFERROR(VLOOKUP($A274,'AAPT ExDa'!$B$2:$U$99, 5,FALSE), IFERROR(VLOOKUP($A274,'ABB ExDa'!$A$2:$N$184, 8,FALSE), IFERROR(VLOOKUP($A274,'Vocus SIT ExDa'!$B$2:$J$173, 6,FALSE), IFERROR(VLOOKUP($A274,'Telstra ExDa'!$B$2:$K$310, 0,FALSE), IFERROR(VLOOKUP($A274,'Vocus RVC ExDa'!$C$2:$R$155, 15,FALSE), IFERROR(VLOOKUP($A274,'Fusion ExDa'!$B$2:$D$16, 0,FALSE), IFERROR(VLOOKUP($A274,'Exetel ExDa'!$C$2:$N$14, 7,FALSE), IFERROR(VLOOKUP($A274,'Infinet ExDa'!$B$2:$E$14, 0,FALSE), "Not Found"))))))))</f>
        <v>0</v>
      </c>
      <c r="H274" t="str">
        <f>IFERROR(VLOOKUP($A274,'AAPT ExDa'!$B$2:$U$99, 6,FALSE), IFERROR(VLOOKUP($A274,'ABB ExDa'!$A$2:$N$184, 0,FALSE), IFERROR(VLOOKUP($A274,'Vocus SIT ExDa'!$B$2:$J$173, 0,FALSE), IFERROR(VLOOKUP($A274,'Telstra ExDa'!$B$2:$K$310, 0,FALSE), IFERROR(VLOOKUP($A274,'Vocus RVC ExDa'!$C$2:$R$155, 16,FALSE), IFERROR(VLOOKUP($A274,'Fusion ExDa'!$B$2:$D$16, 0,FALSE), IFERROR(VLOOKUP($A274,'Exetel ExDa'!$C$2:$N$14, 0,FALSE), IFERROR(VLOOKUP($A274,'Infinet ExDa'!$B$2:$E$14, 0,FALSE), "Not Found"))))))))</f>
        <v>Not Found</v>
      </c>
      <c r="I274" t="str">
        <f>IFERROR(VLOOKUP($A274,'AAPT ExDa'!$B$2:$U$99, 0,FALSE), IFERROR(VLOOKUP($A274,'ABB ExDa'!$A$2:$N$184, 0,FALSE), IFERROR(VLOOKUP($A274,'Vocus SIT ExDa'!$B$2:$J$173, 0,FALSE), IFERROR(VLOOKUP($A274,'Telstra ExDa'!$B$2:$K$310, 0,FALSE), IFERROR(VLOOKUP($A274,'Vocus RVC ExDa'!$C$2:$R$155, 0,FALSE), IFERROR(VLOOKUP($A274,'Fusion ExDa'!$B$2:$D$16, 0,FALSE), IFERROR(VLOOKUP($A274,'Exetel ExDa'!$C$2:$N$14, 8,FALSE), IFERROR(VLOOKUP($A274,'Infinet ExDa'!$B$2:$E$14, 0,FALSE), "Not Found"))))))))</f>
        <v>Not Found</v>
      </c>
      <c r="J274" t="str">
        <f>IFERROR(VLOOKUP($A274,'AAPT ExDa'!$B$2:$U$99, 7,FALSE), IFERROR(VLOOKUP($A274,'ABB ExDa'!$A$2:$N$184, 2,FALSE), IFERROR(VLOOKUP($A274,'Vocus SIT ExDa'!$B$2:$J$173, 0,FALSE), IFERROR(VLOOKUP($A274,'Telstra ExDa'!$B$2:$K$310, 7,FALSE), IFERROR(VLOOKUP($A274,'Vocus RVC ExDa'!$C$2:$R$155, 2,FALSE), IFERROR(VLOOKUP($A274,'Fusion ExDa'!$B$2:$D$16, 3,FALSE), IFERROR(VLOOKUP($A274,'Exetel ExDa'!$C$2:$N$14, 0,FALSE), IFERROR(VLOOKUP($A274,'Infinet ExDa'!$B$2:$E$14, 0,FALSE), "Not Found"))))))))</f>
        <v>206 GLENFERRIE RD, MALVERN VIC</v>
      </c>
      <c r="K274" t="str">
        <f>IFERROR(VLOOKUP($A274,'AAPT ExDa'!$B$2:$U$99, 12,FALSE), IFERROR(VLOOKUP($A274,'ABB ExDa'!$A$2:$N$184, 0,FALSE), IFERROR(VLOOKUP($A274,'Vocus SIT ExDa'!$B$2:$J$173, 0,FALSE), IFERROR(VLOOKUP($A274,'Telstra ExDa'!$B$2:$K$310, 0,FALSE), IFERROR(VLOOKUP($A274,'Vocus RVC ExDa'!$C$2:$R$155, 0,FALSE), IFERROR(VLOOKUP($A274,'Fusion ExDa'!$B$2:$D$16, 0,FALSE), IFERROR(VLOOKUP($A274,'Exetel ExDa'!$C$2:$N$14, 12,FALSE), IFERROR(VLOOKUP($A274,'Infinet ExDa'!$B$2:$E$14, 0,FALSE), "Not Found"))))))))</f>
        <v>Not Found</v>
      </c>
      <c r="L274" s="235">
        <f>IFERROR(VLOOKUP($A274,'AAPT ExDa'!$B$2:$U$99, 11,FALSE), IFERROR(VLOOKUP($A274,'ABB ExDa'!$A$2:$N$184, 9,FALSE), IFERROR(VLOOKUP($A274,'Vocus SIT ExDa'!$B$2:$J$173, 8,FALSE), IFERROR(VLOOKUP($A274,'Telstra ExDa'!$B$2:$K$310, 0,FALSE), IFERROR(VLOOKUP($A274,'Vocus RVC ExDa'!$C$2:$R$155, 0,FALSE), IFERROR(VLOOKUP($A274,'Fusion ExDa'!$B$2:$D$16, 0,FALSE), IFERROR(VLOOKUP($A274,'Exetel ExDa'!$C$2:$N$14, 9,FALSE), IFERROR(VLOOKUP($A274,'Infinet ExDa'!$B$2:$E$14, 0,FALSE), "Not Found"))))))))</f>
        <v>0</v>
      </c>
      <c r="M274" s="234" t="str">
        <f>IFERROR(VLOOKUP($A274,'AAPT ExDa'!$B$2:$U$99, 0,FALSE), IFERROR(VLOOKUP($A274,'ABB ExDa'!$A$2:$N$184, 0,FALSE), IFERROR(VLOOKUP($A274,'Vocus SIT ExDa'!$B$2:$J$173, 0,FALSE), IFERROR(VLOOKUP($A274,'Telstra ExDa'!$B$2:$K$310, 0,FALSE), IFERROR(VLOOKUP($A274,'Vocus RVC ExDa'!$C$2:$R$155, 0,FALSE), IFERROR(VLOOKUP($A274,'Fusion ExDa'!$B$2:$D$16, 0,FALSE), IFERROR(VLOOKUP($A274,'Exetel ExDa'!$C$2:$N$14, 11,FALSE), IFERROR(VLOOKUP($A274,'Infinet ExDa'!$B$2:$E$14, 0,FALSE), "Not Found"))))))))</f>
        <v>Not Found</v>
      </c>
      <c r="N274" t="str">
        <f>IFERROR(VLOOKUP($A274,'AAPT ExDa'!$B$2:$U$99, 0,FALSE), IFERROR(VLOOKUP($A274,'ABB ExDa'!$A$2:$N$184, 13,FALSE), IFERROR(VLOOKUP($A274,'Vocus SIT ExDa'!$B$2:$J$173, 0,FALSE), IFERROR(VLOOKUP($A274,'Telstra ExDa'!$B$2:$K$310, 0,FALSE), IFERROR(VLOOKUP($A274,'Vocus RVC ExDa'!$C$2:$R$155, 0,FALSE), IFERROR(VLOOKUP($A274,'Fusion ExDa'!$B$2:$D$16, 0,FALSE), IFERROR(VLOOKUP($A274,'Exetel ExDa'!$C$2:$N$14, 0,FALSE), IFERROR(VLOOKUP($A274,'Infinet ExDa'!$B$2:$E$14, 0,FALSE), "Not Found"))))))))</f>
        <v>Onebill</v>
      </c>
    </row>
    <row r="275" spans="1:14">
      <c r="A275" t="str">
        <v>Zambrero Shoreline</v>
      </c>
      <c r="B275" t="str">
        <f>IFERROR(VLOOKUP(A275,'Exetel ExDa'!$C$2:$N$14,4,FALSE),"No Data")</f>
        <v>No Data</v>
      </c>
      <c r="C275" t="str">
        <f>IFERROR(VLOOKUP(A275,'AAPT ExDa'!$B$2:$U$99, 2,FALSE), IFERROR(VLOOKUP(A275,'ABB ExDa'!$A$2:$N$184, 2,FALSE), IFERROR(VLOOKUP(A275,'Vocus SIT ExDa'!$B$2:$J$173, 7,FALSE), IFERROR(VLOOKUP(A275,'Telstra ExDa'!$B$2:$K$310, 2,FALSE), IFERROR(VLOOKUP(A275,'Vocus RVC ExDa'!$C$2:$R$155, 3,FALSE), IFERROR(VLOOKUP(A275,'Fusion ExDa'!$B$2:$D$16, 2,FALSE), IFERROR(VLOOKUP(A275,'Exetel ExDa'!$C$2:$N$14, 2,FALSE), IFERROR(VLOOKUP(A275,'Infinet ExDa'!$B$2:$E$14, 2,FALSE), "Not Found"))))))))</f>
        <v>SHOP 11, 6 SHORELINE DR, HOWRAH TAS</v>
      </c>
      <c r="D275" t="str">
        <f>IFERROR(VLOOKUP($A275,'AAPT ExDa'!$B$2:$U$99, 15,FALSE), IFERROR(VLOOKUP($A275,'ABB ExDa'!$A$2:$N$184, 4,FALSE), IFERROR(VLOOKUP($A275,'Vocus SIT ExDa'!$B$2:$J$173, 5,FALSE), IFERROR(VLOOKUP($A275,'Telstra ExDa'!$B$2:$K$310, 8,FALSE), IFERROR(VLOOKUP($A275,'Vocus RVC ExDa'!$C$2:$R$155, 6,FALSE), IFERROR(VLOOKUP($A275,'Fusion ExDa'!$B$2:$D$16, 4,FALSE), IFERROR(VLOOKUP($A275,'Exetel ExDa'!$C$2:$N$14, 3,FALSE), IFERROR(VLOOKUP($A275,'Infinet ExDa'!$B$2:$E$14, 3,FALSE), "Not Found"))))))))</f>
        <v>ABB</v>
      </c>
      <c r="E275" t="str">
        <f>IFERROR(VLOOKUP($A275,'AAPT ExDa'!$B$2:$U$99, 3,FALSE), IFERROR(VLOOKUP($A275,'ABB ExDa'!$A$2:$N$184, 5,FALSE), IFERROR(VLOOKUP($A275,'Vocus SIT ExDa'!$B$2:$J$173, 2,FALSE), IFERROR(VLOOKUP($A275,'Telstra ExDa'!$B$2:$K$310, 4,FALSE), IFERROR(VLOOKUP($A275,'Vocus RVC ExDa'!$C$2:$R$155, 8,FALSE), IFERROR(VLOOKUP($A275,'Fusion ExDa'!$B$2:$D$16, 4,FALSE), IFERROR(VLOOKUP($A275,'Exetel ExDa'!$C$2:$N$14, 5,FALSE), IFERROR(VLOOKUP($A275,'Infinet ExDa'!$B$2:$E$14, 3,FALSE), "Not Found"))))))))</f>
        <v>NBN 25/10</v>
      </c>
      <c r="F275" t="str">
        <f>IFERROR(VLOOKUP($A275,'AAPT ExDa'!$B$2:$U$99, 4,FALSE), IFERROR(VLOOKUP($A275,'ABB ExDa'!$A$2:$N$184, 6,FALSE), IFERROR(VLOOKUP($A275,'Vocus SIT ExDa'!$B$2:$J$173, 3,FALSE), IFERROR(VLOOKUP($A275,'Telstra ExDa'!$B$2:$K$310, 5,FALSE), IFERROR(VLOOKUP($A275,'Vocus RVC ExDa'!$C$2:$R$155, 9,FALSE), IFERROR(VLOOKUP($A275,'Fusion ExDa'!$B$2:$D$16, 0,FALSE), IFERROR(VLOOKUP($A275,'Exetel ExDa'!$C$2:$N$14, 6,FALSE), IFERROR(VLOOKUP($A275,'Infinet ExDa'!$B$2:$E$14, 0,FALSE), "Not Found"))))))))</f>
        <v xml:space="preserve">FTTN </v>
      </c>
      <c r="G275" t="str">
        <f>IFERROR(VLOOKUP($A275,'AAPT ExDa'!$B$2:$U$99, 5,FALSE), IFERROR(VLOOKUP($A275,'ABB ExDa'!$A$2:$N$184, 8,FALSE), IFERROR(VLOOKUP($A275,'Vocus SIT ExDa'!$B$2:$J$173, 6,FALSE), IFERROR(VLOOKUP($A275,'Telstra ExDa'!$B$2:$K$310, 0,FALSE), IFERROR(VLOOKUP($A275,'Vocus RVC ExDa'!$C$2:$R$155, 15,FALSE), IFERROR(VLOOKUP($A275,'Fusion ExDa'!$B$2:$D$16, 0,FALSE), IFERROR(VLOOKUP($A275,'Exetel ExDa'!$C$2:$N$14, 7,FALSE), IFERROR(VLOOKUP($A275,'Infinet ExDa'!$B$2:$E$14, 0,FALSE), "Not Found"))))))))</f>
        <v>167.179.135.228</v>
      </c>
      <c r="H275" t="str">
        <f>IFERROR(VLOOKUP($A275,'AAPT ExDa'!$B$2:$U$99, 6,FALSE), IFERROR(VLOOKUP($A275,'ABB ExDa'!$A$2:$N$184, 0,FALSE), IFERROR(VLOOKUP($A275,'Vocus SIT ExDa'!$B$2:$J$173, 0,FALSE), IFERROR(VLOOKUP($A275,'Telstra ExDa'!$B$2:$K$310, 0,FALSE), IFERROR(VLOOKUP($A275,'Vocus RVC ExDa'!$C$2:$R$155, 16,FALSE), IFERROR(VLOOKUP($A275,'Fusion ExDa'!$B$2:$D$16, 0,FALSE), IFERROR(VLOOKUP($A275,'Exetel ExDa'!$C$2:$N$14, 0,FALSE), IFERROR(VLOOKUP($A275,'Infinet ExDa'!$B$2:$E$14, 0,FALSE), "Not Found"))))))))</f>
        <v>Not Found</v>
      </c>
      <c r="I275" t="str">
        <f>IFERROR(VLOOKUP($A275,'AAPT ExDa'!$B$2:$U$99, 0,FALSE), IFERROR(VLOOKUP($A275,'ABB ExDa'!$A$2:$N$184, 0,FALSE), IFERROR(VLOOKUP($A275,'Vocus SIT ExDa'!$B$2:$J$173, 0,FALSE), IFERROR(VLOOKUP($A275,'Telstra ExDa'!$B$2:$K$310, 0,FALSE), IFERROR(VLOOKUP($A275,'Vocus RVC ExDa'!$C$2:$R$155, 0,FALSE), IFERROR(VLOOKUP($A275,'Fusion ExDa'!$B$2:$D$16, 0,FALSE), IFERROR(VLOOKUP($A275,'Exetel ExDa'!$C$2:$N$14, 8,FALSE), IFERROR(VLOOKUP($A275,'Infinet ExDa'!$B$2:$E$14, 0,FALSE), "Not Found"))))))))</f>
        <v>Not Found</v>
      </c>
      <c r="J275" t="str">
        <f>IFERROR(VLOOKUP($A275,'AAPT ExDa'!$B$2:$U$99, 7,FALSE), IFERROR(VLOOKUP($A275,'ABB ExDa'!$A$2:$N$184, 2,FALSE), IFERROR(VLOOKUP($A275,'Vocus SIT ExDa'!$B$2:$J$173, 0,FALSE), IFERROR(VLOOKUP($A275,'Telstra ExDa'!$B$2:$K$310, 7,FALSE), IFERROR(VLOOKUP($A275,'Vocus RVC ExDa'!$C$2:$R$155, 2,FALSE), IFERROR(VLOOKUP($A275,'Fusion ExDa'!$B$2:$D$16, 3,FALSE), IFERROR(VLOOKUP($A275,'Exetel ExDa'!$C$2:$N$14, 0,FALSE), IFERROR(VLOOKUP($A275,'Infinet ExDa'!$B$2:$E$14, 0,FALSE), "Not Found"))))))))</f>
        <v>SHOP 11, 6 SHORELINE DR, HOWRAH TAS</v>
      </c>
      <c r="K275" t="str">
        <f>IFERROR(VLOOKUP($A275,'AAPT ExDa'!$B$2:$U$99, 12,FALSE), IFERROR(VLOOKUP($A275,'ABB ExDa'!$A$2:$N$184, 0,FALSE), IFERROR(VLOOKUP($A275,'Vocus SIT ExDa'!$B$2:$J$173, 0,FALSE), IFERROR(VLOOKUP($A275,'Telstra ExDa'!$B$2:$K$310, 0,FALSE), IFERROR(VLOOKUP($A275,'Vocus RVC ExDa'!$C$2:$R$155, 0,FALSE), IFERROR(VLOOKUP($A275,'Fusion ExDa'!$B$2:$D$16, 0,FALSE), IFERROR(VLOOKUP($A275,'Exetel ExDa'!$C$2:$N$14, 12,FALSE), IFERROR(VLOOKUP($A275,'Infinet ExDa'!$B$2:$E$14, 0,FALSE), "Not Found"))))))))</f>
        <v>Not Found</v>
      </c>
      <c r="L275" s="235" t="str">
        <f>IFERROR(VLOOKUP($A275,'AAPT ExDa'!$B$2:$U$99, 11,FALSE), IFERROR(VLOOKUP($A275,'ABB ExDa'!$A$2:$N$184, 9,FALSE), IFERROR(VLOOKUP($A275,'Vocus SIT ExDa'!$B$2:$J$173, 8,FALSE), IFERROR(VLOOKUP($A275,'Telstra ExDa'!$B$2:$K$310, 0,FALSE), IFERROR(VLOOKUP($A275,'Vocus RVC ExDa'!$C$2:$R$155, 0,FALSE), IFERROR(VLOOKUP($A275,'Fusion ExDa'!$B$2:$D$16, 0,FALSE), IFERROR(VLOOKUP($A275,'Exetel ExDa'!$C$2:$N$14, 9,FALSE), IFERROR(VLOOKUP($A275,'Infinet ExDa'!$B$2:$E$14, 0,FALSE), "Not Found"))))))))</f>
        <v>01 Mar 2024</v>
      </c>
      <c r="M275" s="234" t="str">
        <f>IFERROR(VLOOKUP($A275,'AAPT ExDa'!$B$2:$U$99, 0,FALSE), IFERROR(VLOOKUP($A275,'ABB ExDa'!$A$2:$N$184, 0,FALSE), IFERROR(VLOOKUP($A275,'Vocus SIT ExDa'!$B$2:$J$173, 0,FALSE), IFERROR(VLOOKUP($A275,'Telstra ExDa'!$B$2:$K$310, 0,FALSE), IFERROR(VLOOKUP($A275,'Vocus RVC ExDa'!$C$2:$R$155, 0,FALSE), IFERROR(VLOOKUP($A275,'Fusion ExDa'!$B$2:$D$16, 0,FALSE), IFERROR(VLOOKUP($A275,'Exetel ExDa'!$C$2:$N$14, 11,FALSE), IFERROR(VLOOKUP($A275,'Infinet ExDa'!$B$2:$E$14, 0,FALSE), "Not Found"))))))))</f>
        <v>Not Found</v>
      </c>
      <c r="N275" t="str">
        <f>IFERROR(VLOOKUP($A275,'AAPT ExDa'!$B$2:$U$99, 0,FALSE), IFERROR(VLOOKUP($A275,'ABB ExDa'!$A$2:$N$184, 13,FALSE), IFERROR(VLOOKUP($A275,'Vocus SIT ExDa'!$B$2:$J$173, 0,FALSE), IFERROR(VLOOKUP($A275,'Telstra ExDa'!$B$2:$K$310, 0,FALSE), IFERROR(VLOOKUP($A275,'Vocus RVC ExDa'!$C$2:$R$155, 0,FALSE), IFERROR(VLOOKUP($A275,'Fusion ExDa'!$B$2:$D$16, 0,FALSE), IFERROR(VLOOKUP($A275,'Exetel ExDa'!$C$2:$N$14, 0,FALSE), IFERROR(VLOOKUP($A275,'Infinet ExDa'!$B$2:$E$14, 0,FALSE), "Not Found"))))))))</f>
        <v>Onebill</v>
      </c>
    </row>
    <row r="276" spans="1:14">
      <c r="A276" t="str">
        <v>Zambrero Currumbin</v>
      </c>
      <c r="B276" t="str">
        <f>IFERROR(VLOOKUP(A276,'Exetel ExDa'!$C$2:$N$14,4,FALSE),"No Data")</f>
        <v>No Data</v>
      </c>
      <c r="C276" t="str">
        <f>IFERROR(VLOOKUP(A276,'AAPT ExDa'!$B$2:$U$99, 2,FALSE), IFERROR(VLOOKUP(A276,'ABB ExDa'!$A$2:$N$184, 2,FALSE), IFERROR(VLOOKUP(A276,'Vocus SIT ExDa'!$B$2:$J$173, 7,FALSE), IFERROR(VLOOKUP(A276,'Telstra ExDa'!$B$2:$K$310, 2,FALSE), IFERROR(VLOOKUP(A276,'Vocus RVC ExDa'!$C$2:$R$155, 3,FALSE), IFERROR(VLOOKUP(A276,'Fusion ExDa'!$B$2:$D$16, 2,FALSE), IFERROR(VLOOKUP(A276,'Exetel ExDa'!$C$2:$N$14, 2,FALSE), IFERROR(VLOOKUP(A276,'Infinet ExDa'!$B$2:$E$14, 2,FALSE), "Not Found"))))))))</f>
        <v>HAYTER COURT SHOP 1B, 1 STEWART RD, CURRUMBIN WATERS QLD</v>
      </c>
      <c r="D276" t="str">
        <f>IFERROR(VLOOKUP($A276,'AAPT ExDa'!$B$2:$U$99, 15,FALSE), IFERROR(VLOOKUP($A276,'ABB ExDa'!$A$2:$N$184, 4,FALSE), IFERROR(VLOOKUP($A276,'Vocus SIT ExDa'!$B$2:$J$173, 5,FALSE), IFERROR(VLOOKUP($A276,'Telstra ExDa'!$B$2:$K$310, 8,FALSE), IFERROR(VLOOKUP($A276,'Vocus RVC ExDa'!$C$2:$R$155, 6,FALSE), IFERROR(VLOOKUP($A276,'Fusion ExDa'!$B$2:$D$16, 4,FALSE), IFERROR(VLOOKUP($A276,'Exetel ExDa'!$C$2:$N$14, 3,FALSE), IFERROR(VLOOKUP($A276,'Infinet ExDa'!$B$2:$E$14, 3,FALSE), "Not Found"))))))))</f>
        <v>ABB</v>
      </c>
      <c r="E276" t="str">
        <f>IFERROR(VLOOKUP($A276,'AAPT ExDa'!$B$2:$U$99, 3,FALSE), IFERROR(VLOOKUP($A276,'ABB ExDa'!$A$2:$N$184, 5,FALSE), IFERROR(VLOOKUP($A276,'Vocus SIT ExDa'!$B$2:$J$173, 2,FALSE), IFERROR(VLOOKUP($A276,'Telstra ExDa'!$B$2:$K$310, 4,FALSE), IFERROR(VLOOKUP($A276,'Vocus RVC ExDa'!$C$2:$R$155, 8,FALSE), IFERROR(VLOOKUP($A276,'Fusion ExDa'!$B$2:$D$16, 4,FALSE), IFERROR(VLOOKUP($A276,'Exetel ExDa'!$C$2:$N$14, 5,FALSE), IFERROR(VLOOKUP($A276,'Infinet ExDa'!$B$2:$E$14, 3,FALSE), "Not Found"))))))))</f>
        <v>NBN 25/10</v>
      </c>
      <c r="F276" t="str">
        <f>IFERROR(VLOOKUP($A276,'AAPT ExDa'!$B$2:$U$99, 4,FALSE), IFERROR(VLOOKUP($A276,'ABB ExDa'!$A$2:$N$184, 6,FALSE), IFERROR(VLOOKUP($A276,'Vocus SIT ExDa'!$B$2:$J$173, 3,FALSE), IFERROR(VLOOKUP($A276,'Telstra ExDa'!$B$2:$K$310, 5,FALSE), IFERROR(VLOOKUP($A276,'Vocus RVC ExDa'!$C$2:$R$155, 9,FALSE), IFERROR(VLOOKUP($A276,'Fusion ExDa'!$B$2:$D$16, 0,FALSE), IFERROR(VLOOKUP($A276,'Exetel ExDa'!$C$2:$N$14, 6,FALSE), IFERROR(VLOOKUP($A276,'Infinet ExDa'!$B$2:$E$14, 0,FALSE), "Not Found"))))))))</f>
        <v xml:space="preserve">Fibre </v>
      </c>
      <c r="G276" t="str">
        <f>IFERROR(VLOOKUP($A276,'AAPT ExDa'!$B$2:$U$99, 5,FALSE), IFERROR(VLOOKUP($A276,'ABB ExDa'!$A$2:$N$184, 8,FALSE), IFERROR(VLOOKUP($A276,'Vocus SIT ExDa'!$B$2:$J$173, 6,FALSE), IFERROR(VLOOKUP($A276,'Telstra ExDa'!$B$2:$K$310, 0,FALSE), IFERROR(VLOOKUP($A276,'Vocus RVC ExDa'!$C$2:$R$155, 15,FALSE), IFERROR(VLOOKUP($A276,'Fusion ExDa'!$B$2:$D$16, 0,FALSE), IFERROR(VLOOKUP($A276,'Exetel ExDa'!$C$2:$N$14, 7,FALSE), IFERROR(VLOOKUP($A276,'Infinet ExDa'!$B$2:$E$14, 0,FALSE), "Not Found"))))))))</f>
        <v>144.6.107.124</v>
      </c>
      <c r="H276" t="str">
        <f>IFERROR(VLOOKUP($A276,'AAPT ExDa'!$B$2:$U$99, 6,FALSE), IFERROR(VLOOKUP($A276,'ABB ExDa'!$A$2:$N$184, 0,FALSE), IFERROR(VLOOKUP($A276,'Vocus SIT ExDa'!$B$2:$J$173, 0,FALSE), IFERROR(VLOOKUP($A276,'Telstra ExDa'!$B$2:$K$310, 0,FALSE), IFERROR(VLOOKUP($A276,'Vocus RVC ExDa'!$C$2:$R$155, 16,FALSE), IFERROR(VLOOKUP($A276,'Fusion ExDa'!$B$2:$D$16, 0,FALSE), IFERROR(VLOOKUP($A276,'Exetel ExDa'!$C$2:$N$14, 0,FALSE), IFERROR(VLOOKUP($A276,'Infinet ExDa'!$B$2:$E$14, 0,FALSE), "Not Found"))))))))</f>
        <v>Not Found</v>
      </c>
      <c r="I276" t="str">
        <f>IFERROR(VLOOKUP($A276,'AAPT ExDa'!$B$2:$U$99, 0,FALSE), IFERROR(VLOOKUP($A276,'ABB ExDa'!$A$2:$N$184, 0,FALSE), IFERROR(VLOOKUP($A276,'Vocus SIT ExDa'!$B$2:$J$173, 0,FALSE), IFERROR(VLOOKUP($A276,'Telstra ExDa'!$B$2:$K$310, 0,FALSE), IFERROR(VLOOKUP($A276,'Vocus RVC ExDa'!$C$2:$R$155, 0,FALSE), IFERROR(VLOOKUP($A276,'Fusion ExDa'!$B$2:$D$16, 0,FALSE), IFERROR(VLOOKUP($A276,'Exetel ExDa'!$C$2:$N$14, 8,FALSE), IFERROR(VLOOKUP($A276,'Infinet ExDa'!$B$2:$E$14, 0,FALSE), "Not Found"))))))))</f>
        <v>Not Found</v>
      </c>
      <c r="J276" t="str">
        <f>IFERROR(VLOOKUP($A276,'AAPT ExDa'!$B$2:$U$99, 7,FALSE), IFERROR(VLOOKUP($A276,'ABB ExDa'!$A$2:$N$184, 2,FALSE), IFERROR(VLOOKUP($A276,'Vocus SIT ExDa'!$B$2:$J$173, 0,FALSE), IFERROR(VLOOKUP($A276,'Telstra ExDa'!$B$2:$K$310, 7,FALSE), IFERROR(VLOOKUP($A276,'Vocus RVC ExDa'!$C$2:$R$155, 2,FALSE), IFERROR(VLOOKUP($A276,'Fusion ExDa'!$B$2:$D$16, 3,FALSE), IFERROR(VLOOKUP($A276,'Exetel ExDa'!$C$2:$N$14, 0,FALSE), IFERROR(VLOOKUP($A276,'Infinet ExDa'!$B$2:$E$14, 0,FALSE), "Not Found"))))))))</f>
        <v>HAYTER COURT SHOP 1B, 1 STEWART RD, CURRUMBIN WATERS QLD</v>
      </c>
      <c r="K276" t="str">
        <f>IFERROR(VLOOKUP($A276,'AAPT ExDa'!$B$2:$U$99, 12,FALSE), IFERROR(VLOOKUP($A276,'ABB ExDa'!$A$2:$N$184, 0,FALSE), IFERROR(VLOOKUP($A276,'Vocus SIT ExDa'!$B$2:$J$173, 0,FALSE), IFERROR(VLOOKUP($A276,'Telstra ExDa'!$B$2:$K$310, 0,FALSE), IFERROR(VLOOKUP($A276,'Vocus RVC ExDa'!$C$2:$R$155, 0,FALSE), IFERROR(VLOOKUP($A276,'Fusion ExDa'!$B$2:$D$16, 0,FALSE), IFERROR(VLOOKUP($A276,'Exetel ExDa'!$C$2:$N$14, 12,FALSE), IFERROR(VLOOKUP($A276,'Infinet ExDa'!$B$2:$E$14, 0,FALSE), "Not Found"))))))))</f>
        <v>Not Found</v>
      </c>
      <c r="L276" s="235" t="str">
        <f>IFERROR(VLOOKUP($A276,'AAPT ExDa'!$B$2:$U$99, 11,FALSE), IFERROR(VLOOKUP($A276,'ABB ExDa'!$A$2:$N$184, 9,FALSE), IFERROR(VLOOKUP($A276,'Vocus SIT ExDa'!$B$2:$J$173, 8,FALSE), IFERROR(VLOOKUP($A276,'Telstra ExDa'!$B$2:$K$310, 0,FALSE), IFERROR(VLOOKUP($A276,'Vocus RVC ExDa'!$C$2:$R$155, 0,FALSE), IFERROR(VLOOKUP($A276,'Fusion ExDa'!$B$2:$D$16, 0,FALSE), IFERROR(VLOOKUP($A276,'Exetel ExDa'!$C$2:$N$14, 9,FALSE), IFERROR(VLOOKUP($A276,'Infinet ExDa'!$B$2:$E$14, 0,FALSE), "Not Found"))))))))</f>
        <v>27 Oct 2023</v>
      </c>
      <c r="M276" s="234" t="str">
        <f>IFERROR(VLOOKUP($A276,'AAPT ExDa'!$B$2:$U$99, 0,FALSE), IFERROR(VLOOKUP($A276,'ABB ExDa'!$A$2:$N$184, 0,FALSE), IFERROR(VLOOKUP($A276,'Vocus SIT ExDa'!$B$2:$J$173, 0,FALSE), IFERROR(VLOOKUP($A276,'Telstra ExDa'!$B$2:$K$310, 0,FALSE), IFERROR(VLOOKUP($A276,'Vocus RVC ExDa'!$C$2:$R$155, 0,FALSE), IFERROR(VLOOKUP($A276,'Fusion ExDa'!$B$2:$D$16, 0,FALSE), IFERROR(VLOOKUP($A276,'Exetel ExDa'!$C$2:$N$14, 11,FALSE), IFERROR(VLOOKUP($A276,'Infinet ExDa'!$B$2:$E$14, 0,FALSE), "Not Found"))))))))</f>
        <v>Not Found</v>
      </c>
      <c r="N276" t="str">
        <f>IFERROR(VLOOKUP($A276,'AAPT ExDa'!$B$2:$U$99, 0,FALSE), IFERROR(VLOOKUP($A276,'ABB ExDa'!$A$2:$N$184, 13,FALSE), IFERROR(VLOOKUP($A276,'Vocus SIT ExDa'!$B$2:$J$173, 0,FALSE), IFERROR(VLOOKUP($A276,'Telstra ExDa'!$B$2:$K$310, 0,FALSE), IFERROR(VLOOKUP($A276,'Vocus RVC ExDa'!$C$2:$R$155, 0,FALSE), IFERROR(VLOOKUP($A276,'Fusion ExDa'!$B$2:$D$16, 0,FALSE), IFERROR(VLOOKUP($A276,'Exetel ExDa'!$C$2:$N$14, 0,FALSE), IFERROR(VLOOKUP($A276,'Infinet ExDa'!$B$2:$E$14, 0,FALSE), "Not Found"))))))))</f>
        <v>Onebill</v>
      </c>
    </row>
    <row r="277" spans="1:14">
      <c r="A277" t="str">
        <v>Nodo Southbank</v>
      </c>
      <c r="B277" t="str">
        <f>IFERROR(VLOOKUP(A277,'Exetel ExDa'!$C$2:$N$14,4,FALSE),"No Data")</f>
        <v>No Data</v>
      </c>
      <c r="C277" t="str">
        <f>IFERROR(VLOOKUP(A277,'AAPT ExDa'!$B$2:$U$99, 2,FALSE), IFERROR(VLOOKUP(A277,'ABB ExDa'!$A$2:$N$184, 2,FALSE), IFERROR(VLOOKUP(A277,'Vocus SIT ExDa'!$B$2:$J$173, 7,FALSE), IFERROR(VLOOKUP(A277,'Telstra ExDa'!$B$2:$K$310, 2,FALSE), IFERROR(VLOOKUP(A277,'Vocus RVC ExDa'!$C$2:$R$155, 3,FALSE), IFERROR(VLOOKUP(A277,'Fusion ExDa'!$B$2:$D$16, 2,FALSE), IFERROR(VLOOKUP(A277,'Exetel ExDa'!$C$2:$N$14, 2,FALSE), IFERROR(VLOOKUP(A277,'Infinet ExDa'!$B$2:$E$14, 2,FALSE), "Not Found"))))))))</f>
        <v xml:space="preserve">Shop 65, 114 GREY STREET, SOUTH BRISBANE QLD </v>
      </c>
      <c r="D277" t="str">
        <f>IFERROR(VLOOKUP($A277,'AAPT ExDa'!$B$2:$U$99, 15,FALSE), IFERROR(VLOOKUP($A277,'ABB ExDa'!$A$2:$N$184, 4,FALSE), IFERROR(VLOOKUP($A277,'Vocus SIT ExDa'!$B$2:$J$173, 5,FALSE), IFERROR(VLOOKUP($A277,'Telstra ExDa'!$B$2:$K$310, 8,FALSE), IFERROR(VLOOKUP($A277,'Vocus RVC ExDa'!$C$2:$R$155, 6,FALSE), IFERROR(VLOOKUP($A277,'Fusion ExDa'!$B$2:$D$16, 4,FALSE), IFERROR(VLOOKUP($A277,'Exetel ExDa'!$C$2:$N$14, 3,FALSE), IFERROR(VLOOKUP($A277,'Infinet ExDa'!$B$2:$E$14, 3,FALSE), "Not Found"))))))))</f>
        <v>ABB</v>
      </c>
      <c r="E277" t="str">
        <f>IFERROR(VLOOKUP($A277,'AAPT ExDa'!$B$2:$U$99, 3,FALSE), IFERROR(VLOOKUP($A277,'ABB ExDa'!$A$2:$N$184, 5,FALSE), IFERROR(VLOOKUP($A277,'Vocus SIT ExDa'!$B$2:$J$173, 2,FALSE), IFERROR(VLOOKUP($A277,'Telstra ExDa'!$B$2:$K$310, 4,FALSE), IFERROR(VLOOKUP($A277,'Vocus RVC ExDa'!$C$2:$R$155, 8,FALSE), IFERROR(VLOOKUP($A277,'Fusion ExDa'!$B$2:$D$16, 4,FALSE), IFERROR(VLOOKUP($A277,'Exetel ExDa'!$C$2:$N$14, 5,FALSE), IFERROR(VLOOKUP($A277,'Infinet ExDa'!$B$2:$E$14, 3,FALSE), "Not Found"))))))))</f>
        <v>Opticomm 25/10</v>
      </c>
      <c r="F277" t="str">
        <f>IFERROR(VLOOKUP($A277,'AAPT ExDa'!$B$2:$U$99, 4,FALSE), IFERROR(VLOOKUP($A277,'ABB ExDa'!$A$2:$N$184, 6,FALSE), IFERROR(VLOOKUP($A277,'Vocus SIT ExDa'!$B$2:$J$173, 3,FALSE), IFERROR(VLOOKUP($A277,'Telstra ExDa'!$B$2:$K$310, 5,FALSE), IFERROR(VLOOKUP($A277,'Vocus RVC ExDa'!$C$2:$R$155, 9,FALSE), IFERROR(VLOOKUP($A277,'Fusion ExDa'!$B$2:$D$16, 0,FALSE), IFERROR(VLOOKUP($A277,'Exetel ExDa'!$C$2:$N$14, 6,FALSE), IFERROR(VLOOKUP($A277,'Infinet ExDa'!$B$2:$E$14, 0,FALSE), "Not Found"))))))))</f>
        <v>167.179.183.221</v>
      </c>
      <c r="G277" t="str">
        <f>IFERROR(VLOOKUP($A277,'AAPT ExDa'!$B$2:$U$99, 5,FALSE), IFERROR(VLOOKUP($A277,'ABB ExDa'!$A$2:$N$184, 8,FALSE), IFERROR(VLOOKUP($A277,'Vocus SIT ExDa'!$B$2:$J$173, 6,FALSE), IFERROR(VLOOKUP($A277,'Telstra ExDa'!$B$2:$K$310, 0,FALSE), IFERROR(VLOOKUP($A277,'Vocus RVC ExDa'!$C$2:$R$155, 15,FALSE), IFERROR(VLOOKUP($A277,'Fusion ExDa'!$B$2:$D$16, 0,FALSE), IFERROR(VLOOKUP($A277,'Exetel ExDa'!$C$2:$N$14, 7,FALSE), IFERROR(VLOOKUP($A277,'Infinet ExDa'!$B$2:$E$14, 0,FALSE), "Not Found"))))))))</f>
        <v>no usage yet</v>
      </c>
      <c r="H277" t="str">
        <f>IFERROR(VLOOKUP($A277,'AAPT ExDa'!$B$2:$U$99, 6,FALSE), IFERROR(VLOOKUP($A277,'ABB ExDa'!$A$2:$N$184, 0,FALSE), IFERROR(VLOOKUP($A277,'Vocus SIT ExDa'!$B$2:$J$173, 0,FALSE), IFERROR(VLOOKUP($A277,'Telstra ExDa'!$B$2:$K$310, 0,FALSE), IFERROR(VLOOKUP($A277,'Vocus RVC ExDa'!$C$2:$R$155, 16,FALSE), IFERROR(VLOOKUP($A277,'Fusion ExDa'!$B$2:$D$16, 0,FALSE), IFERROR(VLOOKUP($A277,'Exetel ExDa'!$C$2:$N$14, 0,FALSE), IFERROR(VLOOKUP($A277,'Infinet ExDa'!$B$2:$E$14, 0,FALSE), "Not Found"))))))))</f>
        <v>Not Found</v>
      </c>
      <c r="I277" t="str">
        <f>IFERROR(VLOOKUP($A277,'AAPT ExDa'!$B$2:$U$99, 0,FALSE), IFERROR(VLOOKUP($A277,'ABB ExDa'!$A$2:$N$184, 0,FALSE), IFERROR(VLOOKUP($A277,'Vocus SIT ExDa'!$B$2:$J$173, 0,FALSE), IFERROR(VLOOKUP($A277,'Telstra ExDa'!$B$2:$K$310, 0,FALSE), IFERROR(VLOOKUP($A277,'Vocus RVC ExDa'!$C$2:$R$155, 0,FALSE), IFERROR(VLOOKUP($A277,'Fusion ExDa'!$B$2:$D$16, 0,FALSE), IFERROR(VLOOKUP($A277,'Exetel ExDa'!$C$2:$N$14, 8,FALSE), IFERROR(VLOOKUP($A277,'Infinet ExDa'!$B$2:$E$14, 0,FALSE), "Not Found"))))))))</f>
        <v>Not Found</v>
      </c>
      <c r="J277" t="str">
        <f>IFERROR(VLOOKUP($A277,'AAPT ExDa'!$B$2:$U$99, 7,FALSE), IFERROR(VLOOKUP($A277,'ABB ExDa'!$A$2:$N$184, 2,FALSE), IFERROR(VLOOKUP($A277,'Vocus SIT ExDa'!$B$2:$J$173, 0,FALSE), IFERROR(VLOOKUP($A277,'Telstra ExDa'!$B$2:$K$310, 7,FALSE), IFERROR(VLOOKUP($A277,'Vocus RVC ExDa'!$C$2:$R$155, 2,FALSE), IFERROR(VLOOKUP($A277,'Fusion ExDa'!$B$2:$D$16, 3,FALSE), IFERROR(VLOOKUP($A277,'Exetel ExDa'!$C$2:$N$14, 0,FALSE), IFERROR(VLOOKUP($A277,'Infinet ExDa'!$B$2:$E$14, 0,FALSE), "Not Found"))))))))</f>
        <v xml:space="preserve">Shop 65, 114 GREY STREET, SOUTH BRISBANE QLD </v>
      </c>
      <c r="K277" t="str">
        <f>IFERROR(VLOOKUP($A277,'AAPT ExDa'!$B$2:$U$99, 12,FALSE), IFERROR(VLOOKUP($A277,'ABB ExDa'!$A$2:$N$184, 0,FALSE), IFERROR(VLOOKUP($A277,'Vocus SIT ExDa'!$B$2:$J$173, 0,FALSE), IFERROR(VLOOKUP($A277,'Telstra ExDa'!$B$2:$K$310, 0,FALSE), IFERROR(VLOOKUP($A277,'Vocus RVC ExDa'!$C$2:$R$155, 0,FALSE), IFERROR(VLOOKUP($A277,'Fusion ExDa'!$B$2:$D$16, 0,FALSE), IFERROR(VLOOKUP($A277,'Exetel ExDa'!$C$2:$N$14, 12,FALSE), IFERROR(VLOOKUP($A277,'Infinet ExDa'!$B$2:$E$14, 0,FALSE), "Not Found"))))))))</f>
        <v>Not Found</v>
      </c>
      <c r="L277" s="235">
        <f>IFERROR(VLOOKUP($A277,'AAPT ExDa'!$B$2:$U$99, 11,FALSE), IFERROR(VLOOKUP($A277,'ABB ExDa'!$A$2:$N$184, 9,FALSE), IFERROR(VLOOKUP($A277,'Vocus SIT ExDa'!$B$2:$J$173, 8,FALSE), IFERROR(VLOOKUP($A277,'Telstra ExDa'!$B$2:$K$310, 0,FALSE), IFERROR(VLOOKUP($A277,'Vocus RVC ExDa'!$C$2:$R$155, 0,FALSE), IFERROR(VLOOKUP($A277,'Fusion ExDa'!$B$2:$D$16, 0,FALSE), IFERROR(VLOOKUP($A277,'Exetel ExDa'!$C$2:$N$14, 9,FALSE), IFERROR(VLOOKUP($A277,'Infinet ExDa'!$B$2:$E$14, 0,FALSE), "Not Found"))))))))</f>
        <v>0</v>
      </c>
      <c r="M277" s="234" t="str">
        <f>IFERROR(VLOOKUP($A277,'AAPT ExDa'!$B$2:$U$99, 0,FALSE), IFERROR(VLOOKUP($A277,'ABB ExDa'!$A$2:$N$184, 0,FALSE), IFERROR(VLOOKUP($A277,'Vocus SIT ExDa'!$B$2:$J$173, 0,FALSE), IFERROR(VLOOKUP($A277,'Telstra ExDa'!$B$2:$K$310, 0,FALSE), IFERROR(VLOOKUP($A277,'Vocus RVC ExDa'!$C$2:$R$155, 0,FALSE), IFERROR(VLOOKUP($A277,'Fusion ExDa'!$B$2:$D$16, 0,FALSE), IFERROR(VLOOKUP($A277,'Exetel ExDa'!$C$2:$N$14, 11,FALSE), IFERROR(VLOOKUP($A277,'Infinet ExDa'!$B$2:$E$14, 0,FALSE), "Not Found"))))))))</f>
        <v>Not Found</v>
      </c>
      <c r="N277" t="str">
        <f>IFERROR(VLOOKUP($A277,'AAPT ExDa'!$B$2:$U$99, 0,FALSE), IFERROR(VLOOKUP($A277,'ABB ExDa'!$A$2:$N$184, 13,FALSE), IFERROR(VLOOKUP($A277,'Vocus SIT ExDa'!$B$2:$J$173, 0,FALSE), IFERROR(VLOOKUP($A277,'Telstra ExDa'!$B$2:$K$310, 0,FALSE), IFERROR(VLOOKUP($A277,'Vocus RVC ExDa'!$C$2:$R$155, 0,FALSE), IFERROR(VLOOKUP($A277,'Fusion ExDa'!$B$2:$D$16, 0,FALSE), IFERROR(VLOOKUP($A277,'Exetel ExDa'!$C$2:$N$14, 0,FALSE), IFERROR(VLOOKUP($A277,'Infinet ExDa'!$B$2:$E$14, 0,FALSE), "Not Found"))))))))</f>
        <v>Onebill</v>
      </c>
    </row>
    <row r="278" spans="1:14">
      <c r="A278" t="str">
        <v>The Yiros Shop Berrinba</v>
      </c>
      <c r="B278" t="str">
        <f>IFERROR(VLOOKUP(A278,'Exetel ExDa'!$C$2:$N$14,4,FALSE),"No Data")</f>
        <v>No Data</v>
      </c>
      <c r="C278" t="str">
        <f>IFERROR(VLOOKUP(A278,'AAPT ExDa'!$B$2:$U$99, 2,FALSE), IFERROR(VLOOKUP(A278,'ABB ExDa'!$A$2:$N$184, 2,FALSE), IFERROR(VLOOKUP(A278,'Vocus SIT ExDa'!$B$2:$J$173, 7,FALSE), IFERROR(VLOOKUP(A278,'Telstra ExDa'!$B$2:$K$310, 2,FALSE), IFERROR(VLOOKUP(A278,'Vocus RVC ExDa'!$C$2:$R$155, 3,FALSE), IFERROR(VLOOKUP(A278,'Fusion ExDa'!$B$2:$D$16, 2,FALSE), IFERROR(VLOOKUP(A278,'Exetel ExDa'!$C$2:$N$14, 2,FALSE), IFERROR(VLOOKUP(A278,'Infinet ExDa'!$B$2:$E$14, 2,FALSE), "Not Found"))))))))</f>
        <v>SHOP 2, 188 WAYNE GOSS DR, BERRINBA QLD</v>
      </c>
      <c r="D278" t="str">
        <f>IFERROR(VLOOKUP($A278,'AAPT ExDa'!$B$2:$U$99, 15,FALSE), IFERROR(VLOOKUP($A278,'ABB ExDa'!$A$2:$N$184, 4,FALSE), IFERROR(VLOOKUP($A278,'Vocus SIT ExDa'!$B$2:$J$173, 5,FALSE), IFERROR(VLOOKUP($A278,'Telstra ExDa'!$B$2:$K$310, 8,FALSE), IFERROR(VLOOKUP($A278,'Vocus RVC ExDa'!$C$2:$R$155, 6,FALSE), IFERROR(VLOOKUP($A278,'Fusion ExDa'!$B$2:$D$16, 4,FALSE), IFERROR(VLOOKUP($A278,'Exetel ExDa'!$C$2:$N$14, 3,FALSE), IFERROR(VLOOKUP($A278,'Infinet ExDa'!$B$2:$E$14, 3,FALSE), "Not Found"))))))))</f>
        <v>ABB</v>
      </c>
      <c r="E278" t="str">
        <f>IFERROR(VLOOKUP($A278,'AAPT ExDa'!$B$2:$U$99, 3,FALSE), IFERROR(VLOOKUP($A278,'ABB ExDa'!$A$2:$N$184, 5,FALSE), IFERROR(VLOOKUP($A278,'Vocus SIT ExDa'!$B$2:$J$173, 2,FALSE), IFERROR(VLOOKUP($A278,'Telstra ExDa'!$B$2:$K$310, 4,FALSE), IFERROR(VLOOKUP($A278,'Vocus RVC ExDa'!$C$2:$R$155, 8,FALSE), IFERROR(VLOOKUP($A278,'Fusion ExDa'!$B$2:$D$16, 4,FALSE), IFERROR(VLOOKUP($A278,'Exetel ExDa'!$C$2:$N$14, 5,FALSE), IFERROR(VLOOKUP($A278,'Infinet ExDa'!$B$2:$E$14, 3,FALSE), "Not Found"))))))))</f>
        <v>NBN 25/10</v>
      </c>
      <c r="F278" t="str">
        <f>IFERROR(VLOOKUP($A278,'AAPT ExDa'!$B$2:$U$99, 4,FALSE), IFERROR(VLOOKUP($A278,'ABB ExDa'!$A$2:$N$184, 6,FALSE), IFERROR(VLOOKUP($A278,'Vocus SIT ExDa'!$B$2:$J$173, 3,FALSE), IFERROR(VLOOKUP($A278,'Telstra ExDa'!$B$2:$K$310, 5,FALSE), IFERROR(VLOOKUP($A278,'Vocus RVC ExDa'!$C$2:$R$155, 9,FALSE), IFERROR(VLOOKUP($A278,'Fusion ExDa'!$B$2:$D$16, 0,FALSE), IFERROR(VLOOKUP($A278,'Exetel ExDa'!$C$2:$N$14, 6,FALSE), IFERROR(VLOOKUP($A278,'Infinet ExDa'!$B$2:$E$14, 0,FALSE), "Not Found"))))))))</f>
        <v xml:space="preserve">Fibre </v>
      </c>
      <c r="G278" t="str">
        <f>IFERROR(VLOOKUP($A278,'AAPT ExDa'!$B$2:$U$99, 5,FALSE), IFERROR(VLOOKUP($A278,'ABB ExDa'!$A$2:$N$184, 8,FALSE), IFERROR(VLOOKUP($A278,'Vocus SIT ExDa'!$B$2:$J$173, 6,FALSE), IFERROR(VLOOKUP($A278,'Telstra ExDa'!$B$2:$K$310, 0,FALSE), IFERROR(VLOOKUP($A278,'Vocus RVC ExDa'!$C$2:$R$155, 15,FALSE), IFERROR(VLOOKUP($A278,'Fusion ExDa'!$B$2:$D$16, 0,FALSE), IFERROR(VLOOKUP($A278,'Exetel ExDa'!$C$2:$N$14, 7,FALSE), IFERROR(VLOOKUP($A278,'Infinet ExDa'!$B$2:$E$14, 0,FALSE), "Not Found"))))))))</f>
        <v>144.6.110.28</v>
      </c>
      <c r="H278" t="str">
        <f>IFERROR(VLOOKUP($A278,'AAPT ExDa'!$B$2:$U$99, 6,FALSE), IFERROR(VLOOKUP($A278,'ABB ExDa'!$A$2:$N$184, 0,FALSE), IFERROR(VLOOKUP($A278,'Vocus SIT ExDa'!$B$2:$J$173, 0,FALSE), IFERROR(VLOOKUP($A278,'Telstra ExDa'!$B$2:$K$310, 0,FALSE), IFERROR(VLOOKUP($A278,'Vocus RVC ExDa'!$C$2:$R$155, 16,FALSE), IFERROR(VLOOKUP($A278,'Fusion ExDa'!$B$2:$D$16, 0,FALSE), IFERROR(VLOOKUP($A278,'Exetel ExDa'!$C$2:$N$14, 0,FALSE), IFERROR(VLOOKUP($A278,'Infinet ExDa'!$B$2:$E$14, 0,FALSE), "Not Found"))))))))</f>
        <v>Not Found</v>
      </c>
      <c r="I278" t="str">
        <f>IFERROR(VLOOKUP($A278,'AAPT ExDa'!$B$2:$U$99, 0,FALSE), IFERROR(VLOOKUP($A278,'ABB ExDa'!$A$2:$N$184, 0,FALSE), IFERROR(VLOOKUP($A278,'Vocus SIT ExDa'!$B$2:$J$173, 0,FALSE), IFERROR(VLOOKUP($A278,'Telstra ExDa'!$B$2:$K$310, 0,FALSE), IFERROR(VLOOKUP($A278,'Vocus RVC ExDa'!$C$2:$R$155, 0,FALSE), IFERROR(VLOOKUP($A278,'Fusion ExDa'!$B$2:$D$16, 0,FALSE), IFERROR(VLOOKUP($A278,'Exetel ExDa'!$C$2:$N$14, 8,FALSE), IFERROR(VLOOKUP($A278,'Infinet ExDa'!$B$2:$E$14, 0,FALSE), "Not Found"))))))))</f>
        <v>Not Found</v>
      </c>
      <c r="J278" t="str">
        <f>IFERROR(VLOOKUP($A278,'AAPT ExDa'!$B$2:$U$99, 7,FALSE), IFERROR(VLOOKUP($A278,'ABB ExDa'!$A$2:$N$184, 2,FALSE), IFERROR(VLOOKUP($A278,'Vocus SIT ExDa'!$B$2:$J$173, 0,FALSE), IFERROR(VLOOKUP($A278,'Telstra ExDa'!$B$2:$K$310, 7,FALSE), IFERROR(VLOOKUP($A278,'Vocus RVC ExDa'!$C$2:$R$155, 2,FALSE), IFERROR(VLOOKUP($A278,'Fusion ExDa'!$B$2:$D$16, 3,FALSE), IFERROR(VLOOKUP($A278,'Exetel ExDa'!$C$2:$N$14, 0,FALSE), IFERROR(VLOOKUP($A278,'Infinet ExDa'!$B$2:$E$14, 0,FALSE), "Not Found"))))))))</f>
        <v>SHOP 2, 188 WAYNE GOSS DR, BERRINBA QLD</v>
      </c>
      <c r="K278" t="str">
        <f>IFERROR(VLOOKUP($A278,'AAPT ExDa'!$B$2:$U$99, 12,FALSE), IFERROR(VLOOKUP($A278,'ABB ExDa'!$A$2:$N$184, 0,FALSE), IFERROR(VLOOKUP($A278,'Vocus SIT ExDa'!$B$2:$J$173, 0,FALSE), IFERROR(VLOOKUP($A278,'Telstra ExDa'!$B$2:$K$310, 0,FALSE), IFERROR(VLOOKUP($A278,'Vocus RVC ExDa'!$C$2:$R$155, 0,FALSE), IFERROR(VLOOKUP($A278,'Fusion ExDa'!$B$2:$D$16, 0,FALSE), IFERROR(VLOOKUP($A278,'Exetel ExDa'!$C$2:$N$14, 12,FALSE), IFERROR(VLOOKUP($A278,'Infinet ExDa'!$B$2:$E$14, 0,FALSE), "Not Found"))))))))</f>
        <v>Not Found</v>
      </c>
      <c r="L278" s="235" t="str">
        <f>IFERROR(VLOOKUP($A278,'AAPT ExDa'!$B$2:$U$99, 11,FALSE), IFERROR(VLOOKUP($A278,'ABB ExDa'!$A$2:$N$184, 9,FALSE), IFERROR(VLOOKUP($A278,'Vocus SIT ExDa'!$B$2:$J$173, 8,FALSE), IFERROR(VLOOKUP($A278,'Telstra ExDa'!$B$2:$K$310, 0,FALSE), IFERROR(VLOOKUP($A278,'Vocus RVC ExDa'!$C$2:$R$155, 0,FALSE), IFERROR(VLOOKUP($A278,'Fusion ExDa'!$B$2:$D$16, 0,FALSE), IFERROR(VLOOKUP($A278,'Exetel ExDa'!$C$2:$N$14, 9,FALSE), IFERROR(VLOOKUP($A278,'Infinet ExDa'!$B$2:$E$14, 0,FALSE), "Not Found"))))))))</f>
        <v>18 Dec 2023</v>
      </c>
      <c r="M278" s="234" t="str">
        <f>IFERROR(VLOOKUP($A278,'AAPT ExDa'!$B$2:$U$99, 0,FALSE), IFERROR(VLOOKUP($A278,'ABB ExDa'!$A$2:$N$184, 0,FALSE), IFERROR(VLOOKUP($A278,'Vocus SIT ExDa'!$B$2:$J$173, 0,FALSE), IFERROR(VLOOKUP($A278,'Telstra ExDa'!$B$2:$K$310, 0,FALSE), IFERROR(VLOOKUP($A278,'Vocus RVC ExDa'!$C$2:$R$155, 0,FALSE), IFERROR(VLOOKUP($A278,'Fusion ExDa'!$B$2:$D$16, 0,FALSE), IFERROR(VLOOKUP($A278,'Exetel ExDa'!$C$2:$N$14, 11,FALSE), IFERROR(VLOOKUP($A278,'Infinet ExDa'!$B$2:$E$14, 0,FALSE), "Not Found"))))))))</f>
        <v>Not Found</v>
      </c>
      <c r="N278" t="str">
        <f>IFERROR(VLOOKUP($A278,'AAPT ExDa'!$B$2:$U$99, 0,FALSE), IFERROR(VLOOKUP($A278,'ABB ExDa'!$A$2:$N$184, 13,FALSE), IFERROR(VLOOKUP($A278,'Vocus SIT ExDa'!$B$2:$J$173, 0,FALSE), IFERROR(VLOOKUP($A278,'Telstra ExDa'!$B$2:$K$310, 0,FALSE), IFERROR(VLOOKUP($A278,'Vocus RVC ExDa'!$C$2:$R$155, 0,FALSE), IFERROR(VLOOKUP($A278,'Fusion ExDa'!$B$2:$D$16, 0,FALSE), IFERROR(VLOOKUP($A278,'Exetel ExDa'!$C$2:$N$14, 0,FALSE), IFERROR(VLOOKUP($A278,'Infinet ExDa'!$B$2:$E$14, 0,FALSE), "Not Found"))))))))</f>
        <v>Onebill</v>
      </c>
    </row>
    <row r="279" spans="1:14">
      <c r="A279" t="str">
        <v>Zambrero Balnarring</v>
      </c>
      <c r="B279" t="str">
        <f>IFERROR(VLOOKUP(A279,'Exetel ExDa'!$C$2:$N$14,4,FALSE),"No Data")</f>
        <v>No Data</v>
      </c>
      <c r="C279" t="str">
        <f>IFERROR(VLOOKUP(A279,'AAPT ExDa'!$B$2:$U$99, 2,FALSE), IFERROR(VLOOKUP(A279,'ABB ExDa'!$A$2:$N$184, 2,FALSE), IFERROR(VLOOKUP(A279,'Vocus SIT ExDa'!$B$2:$J$173, 7,FALSE), IFERROR(VLOOKUP(A279,'Telstra ExDa'!$B$2:$K$310, 2,FALSE), IFERROR(VLOOKUP(A279,'Vocus RVC ExDa'!$C$2:$R$155, 3,FALSE), IFERROR(VLOOKUP(A279,'Fusion ExDa'!$B$2:$D$16, 2,FALSE), IFERROR(VLOOKUP(A279,'Exetel ExDa'!$C$2:$N$14, 2,FALSE), IFERROR(VLOOKUP(A279,'Infinet ExDa'!$B$2:$E$14, 2,FALSE), "Not Found"))))))))</f>
        <v>SHOP 8, 3050 FRANKSTON-FLINDERS RD, BALNARRING VIC</v>
      </c>
      <c r="D279" t="str">
        <f>IFERROR(VLOOKUP($A279,'AAPT ExDa'!$B$2:$U$99, 15,FALSE), IFERROR(VLOOKUP($A279,'ABB ExDa'!$A$2:$N$184, 4,FALSE), IFERROR(VLOOKUP($A279,'Vocus SIT ExDa'!$B$2:$J$173, 5,FALSE), IFERROR(VLOOKUP($A279,'Telstra ExDa'!$B$2:$K$310, 8,FALSE), IFERROR(VLOOKUP($A279,'Vocus RVC ExDa'!$C$2:$R$155, 6,FALSE), IFERROR(VLOOKUP($A279,'Fusion ExDa'!$B$2:$D$16, 4,FALSE), IFERROR(VLOOKUP($A279,'Exetel ExDa'!$C$2:$N$14, 3,FALSE), IFERROR(VLOOKUP($A279,'Infinet ExDa'!$B$2:$E$14, 3,FALSE), "Not Found"))))))))</f>
        <v>ABB</v>
      </c>
      <c r="E279" t="str">
        <f>IFERROR(VLOOKUP($A279,'AAPT ExDa'!$B$2:$U$99, 3,FALSE), IFERROR(VLOOKUP($A279,'ABB ExDa'!$A$2:$N$184, 5,FALSE), IFERROR(VLOOKUP($A279,'Vocus SIT ExDa'!$B$2:$J$173, 2,FALSE), IFERROR(VLOOKUP($A279,'Telstra ExDa'!$B$2:$K$310, 4,FALSE), IFERROR(VLOOKUP($A279,'Vocus RVC ExDa'!$C$2:$R$155, 8,FALSE), IFERROR(VLOOKUP($A279,'Fusion ExDa'!$B$2:$D$16, 4,FALSE), IFERROR(VLOOKUP($A279,'Exetel ExDa'!$C$2:$N$14, 5,FALSE), IFERROR(VLOOKUP($A279,'Infinet ExDa'!$B$2:$E$14, 3,FALSE), "Not Found"))))))))</f>
        <v>NBN 25/10</v>
      </c>
      <c r="F279" t="str">
        <f>IFERROR(VLOOKUP($A279,'AAPT ExDa'!$B$2:$U$99, 4,FALSE), IFERROR(VLOOKUP($A279,'ABB ExDa'!$A$2:$N$184, 6,FALSE), IFERROR(VLOOKUP($A279,'Vocus SIT ExDa'!$B$2:$J$173, 3,FALSE), IFERROR(VLOOKUP($A279,'Telstra ExDa'!$B$2:$K$310, 5,FALSE), IFERROR(VLOOKUP($A279,'Vocus RVC ExDa'!$C$2:$R$155, 9,FALSE), IFERROR(VLOOKUP($A279,'Fusion ExDa'!$B$2:$D$16, 0,FALSE), IFERROR(VLOOKUP($A279,'Exetel ExDa'!$C$2:$N$14, 6,FALSE), IFERROR(VLOOKUP($A279,'Infinet ExDa'!$B$2:$E$14, 0,FALSE), "Not Found"))))))))</f>
        <v xml:space="preserve">FTTN </v>
      </c>
      <c r="G279" t="str">
        <f>IFERROR(VLOOKUP($A279,'AAPT ExDa'!$B$2:$U$99, 5,FALSE), IFERROR(VLOOKUP($A279,'ABB ExDa'!$A$2:$N$184, 8,FALSE), IFERROR(VLOOKUP($A279,'Vocus SIT ExDa'!$B$2:$J$173, 6,FALSE), IFERROR(VLOOKUP($A279,'Telstra ExDa'!$B$2:$K$310, 0,FALSE), IFERROR(VLOOKUP($A279,'Vocus RVC ExDa'!$C$2:$R$155, 15,FALSE), IFERROR(VLOOKUP($A279,'Fusion ExDa'!$B$2:$D$16, 0,FALSE), IFERROR(VLOOKUP($A279,'Exetel ExDa'!$C$2:$N$14, 7,FALSE), IFERROR(VLOOKUP($A279,'Infinet ExDa'!$B$2:$E$14, 0,FALSE), "Not Found"))))))))</f>
        <v>144.6.84.176</v>
      </c>
      <c r="H279" t="str">
        <f>IFERROR(VLOOKUP($A279,'AAPT ExDa'!$B$2:$U$99, 6,FALSE), IFERROR(VLOOKUP($A279,'ABB ExDa'!$A$2:$N$184, 0,FALSE), IFERROR(VLOOKUP($A279,'Vocus SIT ExDa'!$B$2:$J$173, 0,FALSE), IFERROR(VLOOKUP($A279,'Telstra ExDa'!$B$2:$K$310, 0,FALSE), IFERROR(VLOOKUP($A279,'Vocus RVC ExDa'!$C$2:$R$155, 16,FALSE), IFERROR(VLOOKUP($A279,'Fusion ExDa'!$B$2:$D$16, 0,FALSE), IFERROR(VLOOKUP($A279,'Exetel ExDa'!$C$2:$N$14, 0,FALSE), IFERROR(VLOOKUP($A279,'Infinet ExDa'!$B$2:$E$14, 0,FALSE), "Not Found"))))))))</f>
        <v>Not Found</v>
      </c>
      <c r="I279" t="str">
        <f>IFERROR(VLOOKUP($A279,'AAPT ExDa'!$B$2:$U$99, 0,FALSE), IFERROR(VLOOKUP($A279,'ABB ExDa'!$A$2:$N$184, 0,FALSE), IFERROR(VLOOKUP($A279,'Vocus SIT ExDa'!$B$2:$J$173, 0,FALSE), IFERROR(VLOOKUP($A279,'Telstra ExDa'!$B$2:$K$310, 0,FALSE), IFERROR(VLOOKUP($A279,'Vocus RVC ExDa'!$C$2:$R$155, 0,FALSE), IFERROR(VLOOKUP($A279,'Fusion ExDa'!$B$2:$D$16, 0,FALSE), IFERROR(VLOOKUP($A279,'Exetel ExDa'!$C$2:$N$14, 8,FALSE), IFERROR(VLOOKUP($A279,'Infinet ExDa'!$B$2:$E$14, 0,FALSE), "Not Found"))))))))</f>
        <v>Not Found</v>
      </c>
      <c r="J279" t="str">
        <f>IFERROR(VLOOKUP($A279,'AAPT ExDa'!$B$2:$U$99, 7,FALSE), IFERROR(VLOOKUP($A279,'ABB ExDa'!$A$2:$N$184, 2,FALSE), IFERROR(VLOOKUP($A279,'Vocus SIT ExDa'!$B$2:$J$173, 0,FALSE), IFERROR(VLOOKUP($A279,'Telstra ExDa'!$B$2:$K$310, 7,FALSE), IFERROR(VLOOKUP($A279,'Vocus RVC ExDa'!$C$2:$R$155, 2,FALSE), IFERROR(VLOOKUP($A279,'Fusion ExDa'!$B$2:$D$16, 3,FALSE), IFERROR(VLOOKUP($A279,'Exetel ExDa'!$C$2:$N$14, 0,FALSE), IFERROR(VLOOKUP($A279,'Infinet ExDa'!$B$2:$E$14, 0,FALSE), "Not Found"))))))))</f>
        <v>SHOP 8, 3050 FRANKSTON-FLINDERS RD, BALNARRING VIC</v>
      </c>
      <c r="K279" t="str">
        <f>IFERROR(VLOOKUP($A279,'AAPT ExDa'!$B$2:$U$99, 12,FALSE), IFERROR(VLOOKUP($A279,'ABB ExDa'!$A$2:$N$184, 0,FALSE), IFERROR(VLOOKUP($A279,'Vocus SIT ExDa'!$B$2:$J$173, 0,FALSE), IFERROR(VLOOKUP($A279,'Telstra ExDa'!$B$2:$K$310, 0,FALSE), IFERROR(VLOOKUP($A279,'Vocus RVC ExDa'!$C$2:$R$155, 0,FALSE), IFERROR(VLOOKUP($A279,'Fusion ExDa'!$B$2:$D$16, 0,FALSE), IFERROR(VLOOKUP($A279,'Exetel ExDa'!$C$2:$N$14, 12,FALSE), IFERROR(VLOOKUP($A279,'Infinet ExDa'!$B$2:$E$14, 0,FALSE), "Not Found"))))))))</f>
        <v>Not Found</v>
      </c>
      <c r="L279" s="235" t="str">
        <f>IFERROR(VLOOKUP($A279,'AAPT ExDa'!$B$2:$U$99, 11,FALSE), IFERROR(VLOOKUP($A279,'ABB ExDa'!$A$2:$N$184, 9,FALSE), IFERROR(VLOOKUP($A279,'Vocus SIT ExDa'!$B$2:$J$173, 8,FALSE), IFERROR(VLOOKUP($A279,'Telstra ExDa'!$B$2:$K$310, 0,FALSE), IFERROR(VLOOKUP($A279,'Vocus RVC ExDa'!$C$2:$R$155, 0,FALSE), IFERROR(VLOOKUP($A279,'Fusion ExDa'!$B$2:$D$16, 0,FALSE), IFERROR(VLOOKUP($A279,'Exetel ExDa'!$C$2:$N$14, 9,FALSE), IFERROR(VLOOKUP($A279,'Infinet ExDa'!$B$2:$E$14, 0,FALSE), "Not Found"))))))))</f>
        <v>05 Dec 2023</v>
      </c>
      <c r="M279" s="234" t="str">
        <f>IFERROR(VLOOKUP($A279,'AAPT ExDa'!$B$2:$U$99, 0,FALSE), IFERROR(VLOOKUP($A279,'ABB ExDa'!$A$2:$N$184, 0,FALSE), IFERROR(VLOOKUP($A279,'Vocus SIT ExDa'!$B$2:$J$173, 0,FALSE), IFERROR(VLOOKUP($A279,'Telstra ExDa'!$B$2:$K$310, 0,FALSE), IFERROR(VLOOKUP($A279,'Vocus RVC ExDa'!$C$2:$R$155, 0,FALSE), IFERROR(VLOOKUP($A279,'Fusion ExDa'!$B$2:$D$16, 0,FALSE), IFERROR(VLOOKUP($A279,'Exetel ExDa'!$C$2:$N$14, 11,FALSE), IFERROR(VLOOKUP($A279,'Infinet ExDa'!$B$2:$E$14, 0,FALSE), "Not Found"))))))))</f>
        <v>Not Found</v>
      </c>
      <c r="N279" t="str">
        <f>IFERROR(VLOOKUP($A279,'AAPT ExDa'!$B$2:$U$99, 0,FALSE), IFERROR(VLOOKUP($A279,'ABB ExDa'!$A$2:$N$184, 13,FALSE), IFERROR(VLOOKUP($A279,'Vocus SIT ExDa'!$B$2:$J$173, 0,FALSE), IFERROR(VLOOKUP($A279,'Telstra ExDa'!$B$2:$K$310, 0,FALSE), IFERROR(VLOOKUP($A279,'Vocus RVC ExDa'!$C$2:$R$155, 0,FALSE), IFERROR(VLOOKUP($A279,'Fusion ExDa'!$B$2:$D$16, 0,FALSE), IFERROR(VLOOKUP($A279,'Exetel ExDa'!$C$2:$N$14, 0,FALSE), IFERROR(VLOOKUP($A279,'Infinet ExDa'!$B$2:$E$14, 0,FALSE), "Not Found"))))))))</f>
        <v>Onebill</v>
      </c>
    </row>
    <row r="280" spans="1:14">
      <c r="A280" t="str">
        <v>Zambrero Coolum</v>
      </c>
      <c r="B280" t="str">
        <f>IFERROR(VLOOKUP(A280,'Exetel ExDa'!$C$2:$N$14,4,FALSE),"No Data")</f>
        <v>No Data</v>
      </c>
      <c r="C280" t="str">
        <f>IFERROR(VLOOKUP(A280,'AAPT ExDa'!$B$2:$U$99, 2,FALSE), IFERROR(VLOOKUP(A280,'ABB ExDa'!$A$2:$N$184, 2,FALSE), IFERROR(VLOOKUP(A280,'Vocus SIT ExDa'!$B$2:$J$173, 7,FALSE), IFERROR(VLOOKUP(A280,'Telstra ExDa'!$B$2:$K$310, 2,FALSE), IFERROR(VLOOKUP(A280,'Vocus RVC ExDa'!$C$2:$R$155, 3,FALSE), IFERROR(VLOOKUP(A280,'Fusion ExDa'!$B$2:$D$16, 2,FALSE), IFERROR(VLOOKUP(A280,'Exetel ExDa'!$C$2:$N$14, 2,FALSE), IFERROR(VLOOKUP(A280,'Infinet ExDa'!$B$2:$E$14, 2,FALSE), "Not Found"))))))))</f>
        <v>SEA COOLUM SHOP 2, 1796 DAVID LOW WAY, COOLUM BEACH QLD</v>
      </c>
      <c r="D280" t="str">
        <f>IFERROR(VLOOKUP($A280,'AAPT ExDa'!$B$2:$U$99, 15,FALSE), IFERROR(VLOOKUP($A280,'ABB ExDa'!$A$2:$N$184, 4,FALSE), IFERROR(VLOOKUP($A280,'Vocus SIT ExDa'!$B$2:$J$173, 5,FALSE), IFERROR(VLOOKUP($A280,'Telstra ExDa'!$B$2:$K$310, 8,FALSE), IFERROR(VLOOKUP($A280,'Vocus RVC ExDa'!$C$2:$R$155, 6,FALSE), IFERROR(VLOOKUP($A280,'Fusion ExDa'!$B$2:$D$16, 4,FALSE), IFERROR(VLOOKUP($A280,'Exetel ExDa'!$C$2:$N$14, 3,FALSE), IFERROR(VLOOKUP($A280,'Infinet ExDa'!$B$2:$E$14, 3,FALSE), "Not Found"))))))))</f>
        <v>ABB</v>
      </c>
      <c r="E280" t="str">
        <f>IFERROR(VLOOKUP($A280,'AAPT ExDa'!$B$2:$U$99, 3,FALSE), IFERROR(VLOOKUP($A280,'ABB ExDa'!$A$2:$N$184, 5,FALSE), IFERROR(VLOOKUP($A280,'Vocus SIT ExDa'!$B$2:$J$173, 2,FALSE), IFERROR(VLOOKUP($A280,'Telstra ExDa'!$B$2:$K$310, 4,FALSE), IFERROR(VLOOKUP($A280,'Vocus RVC ExDa'!$C$2:$R$155, 8,FALSE), IFERROR(VLOOKUP($A280,'Fusion ExDa'!$B$2:$D$16, 4,FALSE), IFERROR(VLOOKUP($A280,'Exetel ExDa'!$C$2:$N$14, 5,FALSE), IFERROR(VLOOKUP($A280,'Infinet ExDa'!$B$2:$E$14, 3,FALSE), "Not Found"))))))))</f>
        <v>NBN 50/20</v>
      </c>
      <c r="F280" t="str">
        <f>IFERROR(VLOOKUP($A280,'AAPT ExDa'!$B$2:$U$99, 4,FALSE), IFERROR(VLOOKUP($A280,'ABB ExDa'!$A$2:$N$184, 6,FALSE), IFERROR(VLOOKUP($A280,'Vocus SIT ExDa'!$B$2:$J$173, 3,FALSE), IFERROR(VLOOKUP($A280,'Telstra ExDa'!$B$2:$K$310, 5,FALSE), IFERROR(VLOOKUP($A280,'Vocus RVC ExDa'!$C$2:$R$155, 9,FALSE), IFERROR(VLOOKUP($A280,'Fusion ExDa'!$B$2:$D$16, 0,FALSE), IFERROR(VLOOKUP($A280,'Exetel ExDa'!$C$2:$N$14, 6,FALSE), IFERROR(VLOOKUP($A280,'Infinet ExDa'!$B$2:$E$14, 0,FALSE), "Not Found"))))))))</f>
        <v xml:space="preserve">FTTN </v>
      </c>
      <c r="G280" t="str">
        <f>IFERROR(VLOOKUP($A280,'AAPT ExDa'!$B$2:$U$99, 5,FALSE), IFERROR(VLOOKUP($A280,'ABB ExDa'!$A$2:$N$184, 8,FALSE), IFERROR(VLOOKUP($A280,'Vocus SIT ExDa'!$B$2:$J$173, 6,FALSE), IFERROR(VLOOKUP($A280,'Telstra ExDa'!$B$2:$K$310, 0,FALSE), IFERROR(VLOOKUP($A280,'Vocus RVC ExDa'!$C$2:$R$155, 15,FALSE), IFERROR(VLOOKUP($A280,'Fusion ExDa'!$B$2:$D$16, 0,FALSE), IFERROR(VLOOKUP($A280,'Exetel ExDa'!$C$2:$N$14, 7,FALSE), IFERROR(VLOOKUP($A280,'Infinet ExDa'!$B$2:$E$14, 0,FALSE), "Not Found"))))))))</f>
        <v>159.196.4.248</v>
      </c>
      <c r="H280" t="str">
        <f>IFERROR(VLOOKUP($A280,'AAPT ExDa'!$B$2:$U$99, 6,FALSE), IFERROR(VLOOKUP($A280,'ABB ExDa'!$A$2:$N$184, 0,FALSE), IFERROR(VLOOKUP($A280,'Vocus SIT ExDa'!$B$2:$J$173, 0,FALSE), IFERROR(VLOOKUP($A280,'Telstra ExDa'!$B$2:$K$310, 0,FALSE), IFERROR(VLOOKUP($A280,'Vocus RVC ExDa'!$C$2:$R$155, 16,FALSE), IFERROR(VLOOKUP($A280,'Fusion ExDa'!$B$2:$D$16, 0,FALSE), IFERROR(VLOOKUP($A280,'Exetel ExDa'!$C$2:$N$14, 0,FALSE), IFERROR(VLOOKUP($A280,'Infinet ExDa'!$B$2:$E$14, 0,FALSE), "Not Found"))))))))</f>
        <v>Not Found</v>
      </c>
      <c r="I280" t="str">
        <f>IFERROR(VLOOKUP($A280,'AAPT ExDa'!$B$2:$U$99, 0,FALSE), IFERROR(VLOOKUP($A280,'ABB ExDa'!$A$2:$N$184, 0,FALSE), IFERROR(VLOOKUP($A280,'Vocus SIT ExDa'!$B$2:$J$173, 0,FALSE), IFERROR(VLOOKUP($A280,'Telstra ExDa'!$B$2:$K$310, 0,FALSE), IFERROR(VLOOKUP($A280,'Vocus RVC ExDa'!$C$2:$R$155, 0,FALSE), IFERROR(VLOOKUP($A280,'Fusion ExDa'!$B$2:$D$16, 0,FALSE), IFERROR(VLOOKUP($A280,'Exetel ExDa'!$C$2:$N$14, 8,FALSE), IFERROR(VLOOKUP($A280,'Infinet ExDa'!$B$2:$E$14, 0,FALSE), "Not Found"))))))))</f>
        <v>Not Found</v>
      </c>
      <c r="J280" t="str">
        <f>IFERROR(VLOOKUP($A280,'AAPT ExDa'!$B$2:$U$99, 7,FALSE), IFERROR(VLOOKUP($A280,'ABB ExDa'!$A$2:$N$184, 2,FALSE), IFERROR(VLOOKUP($A280,'Vocus SIT ExDa'!$B$2:$J$173, 0,FALSE), IFERROR(VLOOKUP($A280,'Telstra ExDa'!$B$2:$K$310, 7,FALSE), IFERROR(VLOOKUP($A280,'Vocus RVC ExDa'!$C$2:$R$155, 2,FALSE), IFERROR(VLOOKUP($A280,'Fusion ExDa'!$B$2:$D$16, 3,FALSE), IFERROR(VLOOKUP($A280,'Exetel ExDa'!$C$2:$N$14, 0,FALSE), IFERROR(VLOOKUP($A280,'Infinet ExDa'!$B$2:$E$14, 0,FALSE), "Not Found"))))))))</f>
        <v>SEA COOLUM SHOP 2, 1796 DAVID LOW WAY, COOLUM BEACH QLD</v>
      </c>
      <c r="K280" t="str">
        <f>IFERROR(VLOOKUP($A280,'AAPT ExDa'!$B$2:$U$99, 12,FALSE), IFERROR(VLOOKUP($A280,'ABB ExDa'!$A$2:$N$184, 0,FALSE), IFERROR(VLOOKUP($A280,'Vocus SIT ExDa'!$B$2:$J$173, 0,FALSE), IFERROR(VLOOKUP($A280,'Telstra ExDa'!$B$2:$K$310, 0,FALSE), IFERROR(VLOOKUP($A280,'Vocus RVC ExDa'!$C$2:$R$155, 0,FALSE), IFERROR(VLOOKUP($A280,'Fusion ExDa'!$B$2:$D$16, 0,FALSE), IFERROR(VLOOKUP($A280,'Exetel ExDa'!$C$2:$N$14, 12,FALSE), IFERROR(VLOOKUP($A280,'Infinet ExDa'!$B$2:$E$14, 0,FALSE), "Not Found"))))))))</f>
        <v>Not Found</v>
      </c>
      <c r="L280" s="235" t="str">
        <f>IFERROR(VLOOKUP($A280,'AAPT ExDa'!$B$2:$U$99, 11,FALSE), IFERROR(VLOOKUP($A280,'ABB ExDa'!$A$2:$N$184, 9,FALSE), IFERROR(VLOOKUP($A280,'Vocus SIT ExDa'!$B$2:$J$173, 8,FALSE), IFERROR(VLOOKUP($A280,'Telstra ExDa'!$B$2:$K$310, 0,FALSE), IFERROR(VLOOKUP($A280,'Vocus RVC ExDa'!$C$2:$R$155, 0,FALSE), IFERROR(VLOOKUP($A280,'Fusion ExDa'!$B$2:$D$16, 0,FALSE), IFERROR(VLOOKUP($A280,'Exetel ExDa'!$C$2:$N$14, 9,FALSE), IFERROR(VLOOKUP($A280,'Infinet ExDa'!$B$2:$E$14, 0,FALSE), "Not Found"))))))))</f>
        <v>14 Dec 2023</v>
      </c>
      <c r="M280" s="234" t="str">
        <f>IFERROR(VLOOKUP($A280,'AAPT ExDa'!$B$2:$U$99, 0,FALSE), IFERROR(VLOOKUP($A280,'ABB ExDa'!$A$2:$N$184, 0,FALSE), IFERROR(VLOOKUP($A280,'Vocus SIT ExDa'!$B$2:$J$173, 0,FALSE), IFERROR(VLOOKUP($A280,'Telstra ExDa'!$B$2:$K$310, 0,FALSE), IFERROR(VLOOKUP($A280,'Vocus RVC ExDa'!$C$2:$R$155, 0,FALSE), IFERROR(VLOOKUP($A280,'Fusion ExDa'!$B$2:$D$16, 0,FALSE), IFERROR(VLOOKUP($A280,'Exetel ExDa'!$C$2:$N$14, 11,FALSE), IFERROR(VLOOKUP($A280,'Infinet ExDa'!$B$2:$E$14, 0,FALSE), "Not Found"))))))))</f>
        <v>Not Found</v>
      </c>
      <c r="N280" t="str">
        <f>IFERROR(VLOOKUP($A280,'AAPT ExDa'!$B$2:$U$99, 0,FALSE), IFERROR(VLOOKUP($A280,'ABB ExDa'!$A$2:$N$184, 13,FALSE), IFERROR(VLOOKUP($A280,'Vocus SIT ExDa'!$B$2:$J$173, 0,FALSE), IFERROR(VLOOKUP($A280,'Telstra ExDa'!$B$2:$K$310, 0,FALSE), IFERROR(VLOOKUP($A280,'Vocus RVC ExDa'!$C$2:$R$155, 0,FALSE), IFERROR(VLOOKUP($A280,'Fusion ExDa'!$B$2:$D$16, 0,FALSE), IFERROR(VLOOKUP($A280,'Exetel ExDa'!$C$2:$N$14, 0,FALSE), IFERROR(VLOOKUP($A280,'Infinet ExDa'!$B$2:$E$14, 0,FALSE), "Not Found"))))))))</f>
        <v>Onebill</v>
      </c>
    </row>
    <row r="281" spans="1:14">
      <c r="A281" t="str">
        <v>Zambrero Warwick</v>
      </c>
      <c r="B281" t="str">
        <f>IFERROR(VLOOKUP(A281,'Exetel ExDa'!$C$2:$N$14,4,FALSE),"No Data")</f>
        <v>No Data</v>
      </c>
      <c r="C281" t="str">
        <f>IFERROR(VLOOKUP(A281,'AAPT ExDa'!$B$2:$U$99, 2,FALSE), IFERROR(VLOOKUP(A281,'ABB ExDa'!$A$2:$N$184, 2,FALSE), IFERROR(VLOOKUP(A281,'Vocus SIT ExDa'!$B$2:$J$173, 7,FALSE), IFERROR(VLOOKUP(A281,'Telstra ExDa'!$B$2:$K$310, 2,FALSE), IFERROR(VLOOKUP(A281,'Vocus RVC ExDa'!$C$2:$R$155, 3,FALSE), IFERROR(VLOOKUP(A281,'Fusion ExDa'!$B$2:$D$16, 2,FALSE), IFERROR(VLOOKUP(A281,'Exetel ExDa'!$C$2:$N$14, 2,FALSE), IFERROR(VLOOKUP(A281,'Infinet ExDa'!$B$2:$E$14, 2,FALSE), "Not Found"))))))))</f>
        <v>WARWICK ENTERTAINMENT CENTRE UN 14, 639 BEACH RD, WARWICK WA</v>
      </c>
      <c r="D281" t="str">
        <f>IFERROR(VLOOKUP($A281,'AAPT ExDa'!$B$2:$U$99, 15,FALSE), IFERROR(VLOOKUP($A281,'ABB ExDa'!$A$2:$N$184, 4,FALSE), IFERROR(VLOOKUP($A281,'Vocus SIT ExDa'!$B$2:$J$173, 5,FALSE), IFERROR(VLOOKUP($A281,'Telstra ExDa'!$B$2:$K$310, 8,FALSE), IFERROR(VLOOKUP($A281,'Vocus RVC ExDa'!$C$2:$R$155, 6,FALSE), IFERROR(VLOOKUP($A281,'Fusion ExDa'!$B$2:$D$16, 4,FALSE), IFERROR(VLOOKUP($A281,'Exetel ExDa'!$C$2:$N$14, 3,FALSE), IFERROR(VLOOKUP($A281,'Infinet ExDa'!$B$2:$E$14, 3,FALSE), "Not Found"))))))))</f>
        <v>ABB</v>
      </c>
      <c r="E281" t="str">
        <f>IFERROR(VLOOKUP($A281,'AAPT ExDa'!$B$2:$U$99, 3,FALSE), IFERROR(VLOOKUP($A281,'ABB ExDa'!$A$2:$N$184, 5,FALSE), IFERROR(VLOOKUP($A281,'Vocus SIT ExDa'!$B$2:$J$173, 2,FALSE), IFERROR(VLOOKUP($A281,'Telstra ExDa'!$B$2:$K$310, 4,FALSE), IFERROR(VLOOKUP($A281,'Vocus RVC ExDa'!$C$2:$R$155, 8,FALSE), IFERROR(VLOOKUP($A281,'Fusion ExDa'!$B$2:$D$16, 4,FALSE), IFERROR(VLOOKUP($A281,'Exetel ExDa'!$C$2:$N$14, 5,FALSE), IFERROR(VLOOKUP($A281,'Infinet ExDa'!$B$2:$E$14, 3,FALSE), "Not Found"))))))))</f>
        <v>NBN 100/40</v>
      </c>
      <c r="F281" t="str">
        <f>IFERROR(VLOOKUP($A281,'AAPT ExDa'!$B$2:$U$99, 4,FALSE), IFERROR(VLOOKUP($A281,'ABB ExDa'!$A$2:$N$184, 6,FALSE), IFERROR(VLOOKUP($A281,'Vocus SIT ExDa'!$B$2:$J$173, 3,FALSE), IFERROR(VLOOKUP($A281,'Telstra ExDa'!$B$2:$K$310, 5,FALSE), IFERROR(VLOOKUP($A281,'Vocus RVC ExDa'!$C$2:$R$155, 9,FALSE), IFERROR(VLOOKUP($A281,'Fusion ExDa'!$B$2:$D$16, 0,FALSE), IFERROR(VLOOKUP($A281,'Exetel ExDa'!$C$2:$N$14, 6,FALSE), IFERROR(VLOOKUP($A281,'Infinet ExDa'!$B$2:$E$14, 0,FALSE), "Not Found"))))))))</f>
        <v>FTTB</v>
      </c>
      <c r="G281" t="str">
        <f>IFERROR(VLOOKUP($A281,'AAPT ExDa'!$B$2:$U$99, 5,FALSE), IFERROR(VLOOKUP($A281,'ABB ExDa'!$A$2:$N$184, 8,FALSE), IFERROR(VLOOKUP($A281,'Vocus SIT ExDa'!$B$2:$J$173, 6,FALSE), IFERROR(VLOOKUP($A281,'Telstra ExDa'!$B$2:$K$310, 0,FALSE), IFERROR(VLOOKUP($A281,'Vocus RVC ExDa'!$C$2:$R$155, 15,FALSE), IFERROR(VLOOKUP($A281,'Fusion ExDa'!$B$2:$D$16, 0,FALSE), IFERROR(VLOOKUP($A281,'Exetel ExDa'!$C$2:$N$14, 7,FALSE), IFERROR(VLOOKUP($A281,'Infinet ExDa'!$B$2:$E$14, 0,FALSE), "Not Found"))))))))</f>
        <v>159.196.89.49</v>
      </c>
      <c r="H281" t="str">
        <f>IFERROR(VLOOKUP($A281,'AAPT ExDa'!$B$2:$U$99, 6,FALSE), IFERROR(VLOOKUP($A281,'ABB ExDa'!$A$2:$N$184, 0,FALSE), IFERROR(VLOOKUP($A281,'Vocus SIT ExDa'!$B$2:$J$173, 0,FALSE), IFERROR(VLOOKUP($A281,'Telstra ExDa'!$B$2:$K$310, 0,FALSE), IFERROR(VLOOKUP($A281,'Vocus RVC ExDa'!$C$2:$R$155, 16,FALSE), IFERROR(VLOOKUP($A281,'Fusion ExDa'!$B$2:$D$16, 0,FALSE), IFERROR(VLOOKUP($A281,'Exetel ExDa'!$C$2:$N$14, 0,FALSE), IFERROR(VLOOKUP($A281,'Infinet ExDa'!$B$2:$E$14, 0,FALSE), "Not Found"))))))))</f>
        <v>Not Found</v>
      </c>
      <c r="I281" t="str">
        <f>IFERROR(VLOOKUP($A281,'AAPT ExDa'!$B$2:$U$99, 0,FALSE), IFERROR(VLOOKUP($A281,'ABB ExDa'!$A$2:$N$184, 0,FALSE), IFERROR(VLOOKUP($A281,'Vocus SIT ExDa'!$B$2:$J$173, 0,FALSE), IFERROR(VLOOKUP($A281,'Telstra ExDa'!$B$2:$K$310, 0,FALSE), IFERROR(VLOOKUP($A281,'Vocus RVC ExDa'!$C$2:$R$155, 0,FALSE), IFERROR(VLOOKUP($A281,'Fusion ExDa'!$B$2:$D$16, 0,FALSE), IFERROR(VLOOKUP($A281,'Exetel ExDa'!$C$2:$N$14, 8,FALSE), IFERROR(VLOOKUP($A281,'Infinet ExDa'!$B$2:$E$14, 0,FALSE), "Not Found"))))))))</f>
        <v>Not Found</v>
      </c>
      <c r="J281" t="str">
        <f>IFERROR(VLOOKUP($A281,'AAPT ExDa'!$B$2:$U$99, 7,FALSE), IFERROR(VLOOKUP($A281,'ABB ExDa'!$A$2:$N$184, 2,FALSE), IFERROR(VLOOKUP($A281,'Vocus SIT ExDa'!$B$2:$J$173, 0,FALSE), IFERROR(VLOOKUP($A281,'Telstra ExDa'!$B$2:$K$310, 7,FALSE), IFERROR(VLOOKUP($A281,'Vocus RVC ExDa'!$C$2:$R$155, 2,FALSE), IFERROR(VLOOKUP($A281,'Fusion ExDa'!$B$2:$D$16, 3,FALSE), IFERROR(VLOOKUP($A281,'Exetel ExDa'!$C$2:$N$14, 0,FALSE), IFERROR(VLOOKUP($A281,'Infinet ExDa'!$B$2:$E$14, 0,FALSE), "Not Found"))))))))</f>
        <v>WARWICK ENTERTAINMENT CENTRE UN 14, 639 BEACH RD, WARWICK WA</v>
      </c>
      <c r="K281" t="str">
        <f>IFERROR(VLOOKUP($A281,'AAPT ExDa'!$B$2:$U$99, 12,FALSE), IFERROR(VLOOKUP($A281,'ABB ExDa'!$A$2:$N$184, 0,FALSE), IFERROR(VLOOKUP($A281,'Vocus SIT ExDa'!$B$2:$J$173, 0,FALSE), IFERROR(VLOOKUP($A281,'Telstra ExDa'!$B$2:$K$310, 0,FALSE), IFERROR(VLOOKUP($A281,'Vocus RVC ExDa'!$C$2:$R$155, 0,FALSE), IFERROR(VLOOKUP($A281,'Fusion ExDa'!$B$2:$D$16, 0,FALSE), IFERROR(VLOOKUP($A281,'Exetel ExDa'!$C$2:$N$14, 12,FALSE), IFERROR(VLOOKUP($A281,'Infinet ExDa'!$B$2:$E$14, 0,FALSE), "Not Found"))))))))</f>
        <v>Not Found</v>
      </c>
      <c r="L281" s="235" t="str">
        <f>IFERROR(VLOOKUP($A281,'AAPT ExDa'!$B$2:$U$99, 11,FALSE), IFERROR(VLOOKUP($A281,'ABB ExDa'!$A$2:$N$184, 9,FALSE), IFERROR(VLOOKUP($A281,'Vocus SIT ExDa'!$B$2:$J$173, 8,FALSE), IFERROR(VLOOKUP($A281,'Telstra ExDa'!$B$2:$K$310, 0,FALSE), IFERROR(VLOOKUP($A281,'Vocus RVC ExDa'!$C$2:$R$155, 0,FALSE), IFERROR(VLOOKUP($A281,'Fusion ExDa'!$B$2:$D$16, 0,FALSE), IFERROR(VLOOKUP($A281,'Exetel ExDa'!$C$2:$N$14, 9,FALSE), IFERROR(VLOOKUP($A281,'Infinet ExDa'!$B$2:$E$14, 0,FALSE), "Not Found"))))))))</f>
        <v>30 Oct 2023</v>
      </c>
      <c r="M281" s="234" t="str">
        <f>IFERROR(VLOOKUP($A281,'AAPT ExDa'!$B$2:$U$99, 0,FALSE), IFERROR(VLOOKUP($A281,'ABB ExDa'!$A$2:$N$184, 0,FALSE), IFERROR(VLOOKUP($A281,'Vocus SIT ExDa'!$B$2:$J$173, 0,FALSE), IFERROR(VLOOKUP($A281,'Telstra ExDa'!$B$2:$K$310, 0,FALSE), IFERROR(VLOOKUP($A281,'Vocus RVC ExDa'!$C$2:$R$155, 0,FALSE), IFERROR(VLOOKUP($A281,'Fusion ExDa'!$B$2:$D$16, 0,FALSE), IFERROR(VLOOKUP($A281,'Exetel ExDa'!$C$2:$N$14, 11,FALSE), IFERROR(VLOOKUP($A281,'Infinet ExDa'!$B$2:$E$14, 0,FALSE), "Not Found"))))))))</f>
        <v>Not Found</v>
      </c>
      <c r="N281" t="str">
        <f>IFERROR(VLOOKUP($A281,'AAPT ExDa'!$B$2:$U$99, 0,FALSE), IFERROR(VLOOKUP($A281,'ABB ExDa'!$A$2:$N$184, 13,FALSE), IFERROR(VLOOKUP($A281,'Vocus SIT ExDa'!$B$2:$J$173, 0,FALSE), IFERROR(VLOOKUP($A281,'Telstra ExDa'!$B$2:$K$310, 0,FALSE), IFERROR(VLOOKUP($A281,'Vocus RVC ExDa'!$C$2:$R$155, 0,FALSE), IFERROR(VLOOKUP($A281,'Fusion ExDa'!$B$2:$D$16, 0,FALSE), IFERROR(VLOOKUP($A281,'Exetel ExDa'!$C$2:$N$14, 0,FALSE), IFERROR(VLOOKUP($A281,'Infinet ExDa'!$B$2:$E$14, 0,FALSE), "Not Found"))))))))</f>
        <v>Onebill</v>
      </c>
    </row>
    <row r="282" spans="1:14">
      <c r="A282" t="str">
        <v>The Yiros Shop Head Office</v>
      </c>
      <c r="B282" t="str">
        <f>IFERROR(VLOOKUP(A282,'Exetel ExDa'!$C$2:$N$14,4,FALSE),"No Data")</f>
        <v>No Data</v>
      </c>
      <c r="C282" t="str">
        <f>IFERROR(VLOOKUP(A282,'AAPT ExDa'!$B$2:$U$99, 2,FALSE), IFERROR(VLOOKUP(A282,'ABB ExDa'!$A$2:$N$184, 2,FALSE), IFERROR(VLOOKUP(A282,'Vocus SIT ExDa'!$B$2:$J$173, 7,FALSE), IFERROR(VLOOKUP(A282,'Telstra ExDa'!$B$2:$K$310, 2,FALSE), IFERROR(VLOOKUP(A282,'Vocus RVC ExDa'!$C$2:$R$155, 3,FALSE), IFERROR(VLOOKUP(A282,'Fusion ExDa'!$B$2:$D$16, 2,FALSE), IFERROR(VLOOKUP(A282,'Exetel ExDa'!$C$2:$N$14, 2,FALSE), IFERROR(VLOOKUP(A282,'Infinet ExDa'!$B$2:$E$14, 2,FALSE), "Not Found"))))))))</f>
        <v>SHOP 2.1, 74 TRIBUNE ST, SOUTH BRISBANE QLD</v>
      </c>
      <c r="D282" t="str">
        <f>IFERROR(VLOOKUP($A282,'AAPT ExDa'!$B$2:$U$99, 15,FALSE), IFERROR(VLOOKUP($A282,'ABB ExDa'!$A$2:$N$184, 4,FALSE), IFERROR(VLOOKUP($A282,'Vocus SIT ExDa'!$B$2:$J$173, 5,FALSE), IFERROR(VLOOKUP($A282,'Telstra ExDa'!$B$2:$K$310, 8,FALSE), IFERROR(VLOOKUP($A282,'Vocus RVC ExDa'!$C$2:$R$155, 6,FALSE), IFERROR(VLOOKUP($A282,'Fusion ExDa'!$B$2:$D$16, 4,FALSE), IFERROR(VLOOKUP($A282,'Exetel ExDa'!$C$2:$N$14, 3,FALSE), IFERROR(VLOOKUP($A282,'Infinet ExDa'!$B$2:$E$14, 3,FALSE), "Not Found"))))))))</f>
        <v>ABB</v>
      </c>
      <c r="E282" t="str">
        <f>IFERROR(VLOOKUP($A282,'AAPT ExDa'!$B$2:$U$99, 3,FALSE), IFERROR(VLOOKUP($A282,'ABB ExDa'!$A$2:$N$184, 5,FALSE), IFERROR(VLOOKUP($A282,'Vocus SIT ExDa'!$B$2:$J$173, 2,FALSE), IFERROR(VLOOKUP($A282,'Telstra ExDa'!$B$2:$K$310, 4,FALSE), IFERROR(VLOOKUP($A282,'Vocus RVC ExDa'!$C$2:$R$155, 8,FALSE), IFERROR(VLOOKUP($A282,'Fusion ExDa'!$B$2:$D$16, 4,FALSE), IFERROR(VLOOKUP($A282,'Exetel ExDa'!$C$2:$N$14, 5,FALSE), IFERROR(VLOOKUP($A282,'Infinet ExDa'!$B$2:$E$14, 3,FALSE), "Not Found"))))))))</f>
        <v>4G Broadband Backup</v>
      </c>
      <c r="F282" t="str">
        <f>IFERROR(VLOOKUP($A282,'AAPT ExDa'!$B$2:$U$99, 4,FALSE), IFERROR(VLOOKUP($A282,'ABB ExDa'!$A$2:$N$184, 6,FALSE), IFERROR(VLOOKUP($A282,'Vocus SIT ExDa'!$B$2:$J$173, 3,FALSE), IFERROR(VLOOKUP($A282,'Telstra ExDa'!$B$2:$K$310, 5,FALSE), IFERROR(VLOOKUP($A282,'Vocus RVC ExDa'!$C$2:$R$155, 9,FALSE), IFERROR(VLOOKUP($A282,'Fusion ExDa'!$B$2:$D$16, 0,FALSE), IFERROR(VLOOKUP($A282,'Exetel ExDa'!$C$2:$N$14, 6,FALSE), IFERROR(VLOOKUP($A282,'Infinet ExDa'!$B$2:$E$14, 0,FALSE), "Not Found"))))))))</f>
        <v>25 Oct 2023</v>
      </c>
      <c r="G282">
        <f>IFERROR(VLOOKUP($A282,'AAPT ExDa'!$B$2:$U$99, 5,FALSE), IFERROR(VLOOKUP($A282,'ABB ExDa'!$A$2:$N$184, 8,FALSE), IFERROR(VLOOKUP($A282,'Vocus SIT ExDa'!$B$2:$J$173, 6,FALSE), IFERROR(VLOOKUP($A282,'Telstra ExDa'!$B$2:$K$310, 0,FALSE), IFERROR(VLOOKUP($A282,'Vocus RVC ExDa'!$C$2:$R$155, 15,FALSE), IFERROR(VLOOKUP($A282,'Fusion ExDa'!$B$2:$D$16, 0,FALSE), IFERROR(VLOOKUP($A282,'Exetel ExDa'!$C$2:$N$14, 7,FALSE), IFERROR(VLOOKUP($A282,'Infinet ExDa'!$B$2:$E$14, 0,FALSE), "Not Found"))))))))</f>
        <v>0</v>
      </c>
      <c r="H282" t="str">
        <f>IFERROR(VLOOKUP($A282,'AAPT ExDa'!$B$2:$U$99, 6,FALSE), IFERROR(VLOOKUP($A282,'ABB ExDa'!$A$2:$N$184, 0,FALSE), IFERROR(VLOOKUP($A282,'Vocus SIT ExDa'!$B$2:$J$173, 0,FALSE), IFERROR(VLOOKUP($A282,'Telstra ExDa'!$B$2:$K$310, 0,FALSE), IFERROR(VLOOKUP($A282,'Vocus RVC ExDa'!$C$2:$R$155, 16,FALSE), IFERROR(VLOOKUP($A282,'Fusion ExDa'!$B$2:$D$16, 0,FALSE), IFERROR(VLOOKUP($A282,'Exetel ExDa'!$C$2:$N$14, 0,FALSE), IFERROR(VLOOKUP($A282,'Infinet ExDa'!$B$2:$E$14, 0,FALSE), "Not Found"))))))))</f>
        <v>Not Found</v>
      </c>
      <c r="I282" t="str">
        <f>IFERROR(VLOOKUP($A282,'AAPT ExDa'!$B$2:$U$99, 0,FALSE), IFERROR(VLOOKUP($A282,'ABB ExDa'!$A$2:$N$184, 0,FALSE), IFERROR(VLOOKUP($A282,'Vocus SIT ExDa'!$B$2:$J$173, 0,FALSE), IFERROR(VLOOKUP($A282,'Telstra ExDa'!$B$2:$K$310, 0,FALSE), IFERROR(VLOOKUP($A282,'Vocus RVC ExDa'!$C$2:$R$155, 0,FALSE), IFERROR(VLOOKUP($A282,'Fusion ExDa'!$B$2:$D$16, 0,FALSE), IFERROR(VLOOKUP($A282,'Exetel ExDa'!$C$2:$N$14, 8,FALSE), IFERROR(VLOOKUP($A282,'Infinet ExDa'!$B$2:$E$14, 0,FALSE), "Not Found"))))))))</f>
        <v>Not Found</v>
      </c>
      <c r="J282" t="str">
        <f>IFERROR(VLOOKUP($A282,'AAPT ExDa'!$B$2:$U$99, 7,FALSE), IFERROR(VLOOKUP($A282,'ABB ExDa'!$A$2:$N$184, 2,FALSE), IFERROR(VLOOKUP($A282,'Vocus SIT ExDa'!$B$2:$J$173, 0,FALSE), IFERROR(VLOOKUP($A282,'Telstra ExDa'!$B$2:$K$310, 7,FALSE), IFERROR(VLOOKUP($A282,'Vocus RVC ExDa'!$C$2:$R$155, 2,FALSE), IFERROR(VLOOKUP($A282,'Fusion ExDa'!$B$2:$D$16, 3,FALSE), IFERROR(VLOOKUP($A282,'Exetel ExDa'!$C$2:$N$14, 0,FALSE), IFERROR(VLOOKUP($A282,'Infinet ExDa'!$B$2:$E$14, 0,FALSE), "Not Found"))))))))</f>
        <v>SHOP 2.1, 74 TRIBUNE ST, SOUTH BRISBANE QLD</v>
      </c>
      <c r="K282" t="str">
        <f>IFERROR(VLOOKUP($A282,'AAPT ExDa'!$B$2:$U$99, 12,FALSE), IFERROR(VLOOKUP($A282,'ABB ExDa'!$A$2:$N$184, 0,FALSE), IFERROR(VLOOKUP($A282,'Vocus SIT ExDa'!$B$2:$J$173, 0,FALSE), IFERROR(VLOOKUP($A282,'Telstra ExDa'!$B$2:$K$310, 0,FALSE), IFERROR(VLOOKUP($A282,'Vocus RVC ExDa'!$C$2:$R$155, 0,FALSE), IFERROR(VLOOKUP($A282,'Fusion ExDa'!$B$2:$D$16, 0,FALSE), IFERROR(VLOOKUP($A282,'Exetel ExDa'!$C$2:$N$14, 12,FALSE), IFERROR(VLOOKUP($A282,'Infinet ExDa'!$B$2:$E$14, 0,FALSE), "Not Found"))))))))</f>
        <v>Not Found</v>
      </c>
      <c r="L282" s="235">
        <f>IFERROR(VLOOKUP($A282,'AAPT ExDa'!$B$2:$U$99, 11,FALSE), IFERROR(VLOOKUP($A282,'ABB ExDa'!$A$2:$N$184, 9,FALSE), IFERROR(VLOOKUP($A282,'Vocus SIT ExDa'!$B$2:$J$173, 8,FALSE), IFERROR(VLOOKUP($A282,'Telstra ExDa'!$B$2:$K$310, 0,FALSE), IFERROR(VLOOKUP($A282,'Vocus RVC ExDa'!$C$2:$R$155, 0,FALSE), IFERROR(VLOOKUP($A282,'Fusion ExDa'!$B$2:$D$16, 0,FALSE), IFERROR(VLOOKUP($A282,'Exetel ExDa'!$C$2:$N$14, 9,FALSE), IFERROR(VLOOKUP($A282,'Infinet ExDa'!$B$2:$E$14, 0,FALSE), "Not Found"))))))))</f>
        <v>0</v>
      </c>
      <c r="M282" s="234" t="str">
        <f>IFERROR(VLOOKUP($A282,'AAPT ExDa'!$B$2:$U$99, 0,FALSE), IFERROR(VLOOKUP($A282,'ABB ExDa'!$A$2:$N$184, 0,FALSE), IFERROR(VLOOKUP($A282,'Vocus SIT ExDa'!$B$2:$J$173, 0,FALSE), IFERROR(VLOOKUP($A282,'Telstra ExDa'!$B$2:$K$310, 0,FALSE), IFERROR(VLOOKUP($A282,'Vocus RVC ExDa'!$C$2:$R$155, 0,FALSE), IFERROR(VLOOKUP($A282,'Fusion ExDa'!$B$2:$D$16, 0,FALSE), IFERROR(VLOOKUP($A282,'Exetel ExDa'!$C$2:$N$14, 11,FALSE), IFERROR(VLOOKUP($A282,'Infinet ExDa'!$B$2:$E$14, 0,FALSE), "Not Found"))))))))</f>
        <v>Not Found</v>
      </c>
      <c r="N282" t="str">
        <f>IFERROR(VLOOKUP($A282,'AAPT ExDa'!$B$2:$U$99, 0,FALSE), IFERROR(VLOOKUP($A282,'ABB ExDa'!$A$2:$N$184, 13,FALSE), IFERROR(VLOOKUP($A282,'Vocus SIT ExDa'!$B$2:$J$173, 0,FALSE), IFERROR(VLOOKUP($A282,'Telstra ExDa'!$B$2:$K$310, 0,FALSE), IFERROR(VLOOKUP($A282,'Vocus RVC ExDa'!$C$2:$R$155, 0,FALSE), IFERROR(VLOOKUP($A282,'Fusion ExDa'!$B$2:$D$16, 0,FALSE), IFERROR(VLOOKUP($A282,'Exetel ExDa'!$C$2:$N$14, 0,FALSE), IFERROR(VLOOKUP($A282,'Infinet ExDa'!$B$2:$E$14, 0,FALSE), "Not Found"))))))))</f>
        <v>Onebill</v>
      </c>
    </row>
    <row r="283" spans="1:14">
      <c r="A283">
        <v>0</v>
      </c>
      <c r="B283" t="str">
        <f>IFERROR(VLOOKUP(A283,'Exetel ExDa'!$C$2:$N$14,4,FALSE),"No Data")</f>
        <v>No Data</v>
      </c>
      <c r="C283" t="str">
        <f>IFERROR(VLOOKUP(A283,'AAPT ExDa'!$B$2:$U$99, 2,FALSE), IFERROR(VLOOKUP(A283,'ABB ExDa'!$A$2:$N$184, 2,FALSE), IFERROR(VLOOKUP(A283,'Vocus SIT ExDa'!$B$2:$J$173, 7,FALSE), IFERROR(VLOOKUP(A283,'Telstra ExDa'!$B$2:$K$310, 2,FALSE), IFERROR(VLOOKUP(A283,'Vocus RVC ExDa'!$C$2:$R$155, 3,FALSE), IFERROR(VLOOKUP(A283,'Fusion ExDa'!$B$2:$D$16, 2,FALSE), IFERROR(VLOOKUP(A283,'Exetel ExDa'!$C$2:$N$14, 2,FALSE), IFERROR(VLOOKUP(A283,'Infinet ExDa'!$B$2:$E$14, 2,FALSE), "Not Found"))))))))</f>
        <v>Not Found</v>
      </c>
      <c r="D283" t="str">
        <f>IFERROR(VLOOKUP($A283,'AAPT ExDa'!$B$2:$U$99, 15,FALSE), IFERROR(VLOOKUP($A283,'ABB ExDa'!$A$2:$N$184, 4,FALSE), IFERROR(VLOOKUP($A283,'Vocus SIT ExDa'!$B$2:$J$173, 5,FALSE), IFERROR(VLOOKUP($A283,'Telstra ExDa'!$B$2:$K$310, 8,FALSE), IFERROR(VLOOKUP($A283,'Vocus RVC ExDa'!$C$2:$R$155, 6,FALSE), IFERROR(VLOOKUP($A283,'Fusion ExDa'!$B$2:$D$16, 4,FALSE), IFERROR(VLOOKUP($A283,'Exetel ExDa'!$C$2:$N$14, 3,FALSE), IFERROR(VLOOKUP($A283,'Infinet ExDa'!$B$2:$E$14, 3,FALSE), "Not Found"))))))))</f>
        <v>Not Found</v>
      </c>
      <c r="E283" t="str">
        <f>IFERROR(VLOOKUP($A283,'AAPT ExDa'!$B$2:$U$99, 3,FALSE), IFERROR(VLOOKUP($A283,'ABB ExDa'!$A$2:$N$184, 5,FALSE), IFERROR(VLOOKUP($A283,'Vocus SIT ExDa'!$B$2:$J$173, 2,FALSE), IFERROR(VLOOKUP($A283,'Telstra ExDa'!$B$2:$K$310, 4,FALSE), IFERROR(VLOOKUP($A283,'Vocus RVC ExDa'!$C$2:$R$155, 8,FALSE), IFERROR(VLOOKUP($A283,'Fusion ExDa'!$B$2:$D$16, 4,FALSE), IFERROR(VLOOKUP($A283,'Exetel ExDa'!$C$2:$N$14, 5,FALSE), IFERROR(VLOOKUP($A283,'Infinet ExDa'!$B$2:$E$14, 3,FALSE), "Not Found"))))))))</f>
        <v>Not Found</v>
      </c>
      <c r="F283" t="str">
        <f>IFERROR(VLOOKUP($A283,'AAPT ExDa'!$B$2:$U$99, 4,FALSE), IFERROR(VLOOKUP($A283,'ABB ExDa'!$A$2:$N$184, 6,FALSE), IFERROR(VLOOKUP($A283,'Vocus SIT ExDa'!$B$2:$J$173, 3,FALSE), IFERROR(VLOOKUP($A283,'Telstra ExDa'!$B$2:$K$310, 5,FALSE), IFERROR(VLOOKUP($A283,'Vocus RVC ExDa'!$C$2:$R$155, 9,FALSE), IFERROR(VLOOKUP($A283,'Fusion ExDa'!$B$2:$D$16, 0,FALSE), IFERROR(VLOOKUP($A283,'Exetel ExDa'!$C$2:$N$14, 6,FALSE), IFERROR(VLOOKUP($A283,'Infinet ExDa'!$B$2:$E$14, 0,FALSE), "Not Found"))))))))</f>
        <v>Not Found</v>
      </c>
      <c r="G283" t="str">
        <f>IFERROR(VLOOKUP($A283,'AAPT ExDa'!$B$2:$U$99, 5,FALSE), IFERROR(VLOOKUP($A283,'ABB ExDa'!$A$2:$N$184, 8,FALSE), IFERROR(VLOOKUP($A283,'Vocus SIT ExDa'!$B$2:$J$173, 6,FALSE), IFERROR(VLOOKUP($A283,'Telstra ExDa'!$B$2:$K$310, 0,FALSE), IFERROR(VLOOKUP($A283,'Vocus RVC ExDa'!$C$2:$R$155, 15,FALSE), IFERROR(VLOOKUP($A283,'Fusion ExDa'!$B$2:$D$16, 0,FALSE), IFERROR(VLOOKUP($A283,'Exetel ExDa'!$C$2:$N$14, 7,FALSE), IFERROR(VLOOKUP($A283,'Infinet ExDa'!$B$2:$E$14, 0,FALSE), "Not Found"))))))))</f>
        <v>Not Found</v>
      </c>
      <c r="H283" t="str">
        <f>IFERROR(VLOOKUP($A283,'AAPT ExDa'!$B$2:$U$99, 6,FALSE), IFERROR(VLOOKUP($A283,'ABB ExDa'!$A$2:$N$184, 0,FALSE), IFERROR(VLOOKUP($A283,'Vocus SIT ExDa'!$B$2:$J$173, 0,FALSE), IFERROR(VLOOKUP($A283,'Telstra ExDa'!$B$2:$K$310, 0,FALSE), IFERROR(VLOOKUP($A283,'Vocus RVC ExDa'!$C$2:$R$155, 16,FALSE), IFERROR(VLOOKUP($A283,'Fusion ExDa'!$B$2:$D$16, 0,FALSE), IFERROR(VLOOKUP($A283,'Exetel ExDa'!$C$2:$N$14, 0,FALSE), IFERROR(VLOOKUP($A283,'Infinet ExDa'!$B$2:$E$14, 0,FALSE), "Not Found"))))))))</f>
        <v>Not Found</v>
      </c>
      <c r="I283" t="str">
        <f>IFERROR(VLOOKUP($A283,'AAPT ExDa'!$B$2:$U$99, 0,FALSE), IFERROR(VLOOKUP($A283,'ABB ExDa'!$A$2:$N$184, 0,FALSE), IFERROR(VLOOKUP($A283,'Vocus SIT ExDa'!$B$2:$J$173, 0,FALSE), IFERROR(VLOOKUP($A283,'Telstra ExDa'!$B$2:$K$310, 0,FALSE), IFERROR(VLOOKUP($A283,'Vocus RVC ExDa'!$C$2:$R$155, 0,FALSE), IFERROR(VLOOKUP($A283,'Fusion ExDa'!$B$2:$D$16, 0,FALSE), IFERROR(VLOOKUP($A283,'Exetel ExDa'!$C$2:$N$14, 8,FALSE), IFERROR(VLOOKUP($A283,'Infinet ExDa'!$B$2:$E$14, 0,FALSE), "Not Found"))))))))</f>
        <v>Not Found</v>
      </c>
      <c r="J283" t="str">
        <f>IFERROR(VLOOKUP($A283,'AAPT ExDa'!$B$2:$U$99, 7,FALSE), IFERROR(VLOOKUP($A283,'ABB ExDa'!$A$2:$N$184, 2,FALSE), IFERROR(VLOOKUP($A283,'Vocus SIT ExDa'!$B$2:$J$173, 0,FALSE), IFERROR(VLOOKUP($A283,'Telstra ExDa'!$B$2:$K$310, 7,FALSE), IFERROR(VLOOKUP($A283,'Vocus RVC ExDa'!$C$2:$R$155, 2,FALSE), IFERROR(VLOOKUP($A283,'Fusion ExDa'!$B$2:$D$16, 3,FALSE), IFERROR(VLOOKUP($A283,'Exetel ExDa'!$C$2:$N$14, 0,FALSE), IFERROR(VLOOKUP($A283,'Infinet ExDa'!$B$2:$E$14, 0,FALSE), "Not Found"))))))))</f>
        <v>Not Found</v>
      </c>
      <c r="K283" t="str">
        <f>IFERROR(VLOOKUP($A283,'AAPT ExDa'!$B$2:$U$99, 12,FALSE), IFERROR(VLOOKUP($A283,'ABB ExDa'!$A$2:$N$184, 0,FALSE), IFERROR(VLOOKUP($A283,'Vocus SIT ExDa'!$B$2:$J$173, 0,FALSE), IFERROR(VLOOKUP($A283,'Telstra ExDa'!$B$2:$K$310, 0,FALSE), IFERROR(VLOOKUP($A283,'Vocus RVC ExDa'!$C$2:$R$155, 0,FALSE), IFERROR(VLOOKUP($A283,'Fusion ExDa'!$B$2:$D$16, 0,FALSE), IFERROR(VLOOKUP($A283,'Exetel ExDa'!$C$2:$N$14, 12,FALSE), IFERROR(VLOOKUP($A283,'Infinet ExDa'!$B$2:$E$14, 0,FALSE), "Not Found"))))))))</f>
        <v>Not Found</v>
      </c>
      <c r="L283" s="235" t="str">
        <f>IFERROR(VLOOKUP($A283,'AAPT ExDa'!$B$2:$U$99, 11,FALSE), IFERROR(VLOOKUP($A283,'ABB ExDa'!$A$2:$N$184, 9,FALSE), IFERROR(VLOOKUP($A283,'Vocus SIT ExDa'!$B$2:$J$173, 8,FALSE), IFERROR(VLOOKUP($A283,'Telstra ExDa'!$B$2:$K$310, 0,FALSE), IFERROR(VLOOKUP($A283,'Vocus RVC ExDa'!$C$2:$R$155, 0,FALSE), IFERROR(VLOOKUP($A283,'Fusion ExDa'!$B$2:$D$16, 0,FALSE), IFERROR(VLOOKUP($A283,'Exetel ExDa'!$C$2:$N$14, 9,FALSE), IFERROR(VLOOKUP($A283,'Infinet ExDa'!$B$2:$E$14, 0,FALSE), "Not Found"))))))))</f>
        <v>Not Found</v>
      </c>
      <c r="M283" s="234" t="str">
        <f>IFERROR(VLOOKUP($A283,'AAPT ExDa'!$B$2:$U$99, 0,FALSE), IFERROR(VLOOKUP($A283,'ABB ExDa'!$A$2:$N$184, 0,FALSE), IFERROR(VLOOKUP($A283,'Vocus SIT ExDa'!$B$2:$J$173, 0,FALSE), IFERROR(VLOOKUP($A283,'Telstra ExDa'!$B$2:$K$310, 0,FALSE), IFERROR(VLOOKUP($A283,'Vocus RVC ExDa'!$C$2:$R$155, 0,FALSE), IFERROR(VLOOKUP($A283,'Fusion ExDa'!$B$2:$D$16, 0,FALSE), IFERROR(VLOOKUP($A283,'Exetel ExDa'!$C$2:$N$14, 11,FALSE), IFERROR(VLOOKUP($A283,'Infinet ExDa'!$B$2:$E$14, 0,FALSE), "Not Found"))))))))</f>
        <v>Not Found</v>
      </c>
      <c r="N283" t="str">
        <f>IFERROR(VLOOKUP($A283,'AAPT ExDa'!$B$2:$U$99, 0,FALSE), IFERROR(VLOOKUP($A283,'ABB ExDa'!$A$2:$N$184, 13,FALSE), IFERROR(VLOOKUP($A283,'Vocus SIT ExDa'!$B$2:$J$173, 0,FALSE), IFERROR(VLOOKUP($A283,'Telstra ExDa'!$B$2:$K$310, 0,FALSE), IFERROR(VLOOKUP($A283,'Vocus RVC ExDa'!$C$2:$R$155, 0,FALSE), IFERROR(VLOOKUP($A283,'Fusion ExDa'!$B$2:$D$16, 0,FALSE), IFERROR(VLOOKUP($A283,'Exetel ExDa'!$C$2:$N$14, 0,FALSE), IFERROR(VLOOKUP($A283,'Infinet ExDa'!$B$2:$E$14, 0,FALSE), "Not Found"))))))))</f>
        <v>Not Found</v>
      </c>
    </row>
    <row r="284" spans="1:14">
      <c r="A284">
        <v>0</v>
      </c>
      <c r="B284" t="str">
        <f>IFERROR(VLOOKUP(A284,'Exetel ExDa'!$C$2:$N$14,4,FALSE),"No Data")</f>
        <v>No Data</v>
      </c>
      <c r="C284" t="str">
        <f>IFERROR(VLOOKUP(A284,'AAPT ExDa'!$B$2:$U$99, 2,FALSE), IFERROR(VLOOKUP(A284,'ABB ExDa'!$A$2:$N$184, 2,FALSE), IFERROR(VLOOKUP(A284,'Vocus SIT ExDa'!$B$2:$J$173, 7,FALSE), IFERROR(VLOOKUP(A284,'Telstra ExDa'!$B$2:$K$310, 2,FALSE), IFERROR(VLOOKUP(A284,'Vocus RVC ExDa'!$C$2:$R$155, 3,FALSE), IFERROR(VLOOKUP(A284,'Fusion ExDa'!$B$2:$D$16, 2,FALSE), IFERROR(VLOOKUP(A284,'Exetel ExDa'!$C$2:$N$14, 2,FALSE), IFERROR(VLOOKUP(A284,'Infinet ExDa'!$B$2:$E$14, 2,FALSE), "Not Found"))))))))</f>
        <v>Not Found</v>
      </c>
      <c r="D284" t="str">
        <f>IFERROR(VLOOKUP($A284,'AAPT ExDa'!$B$2:$U$99, 15,FALSE), IFERROR(VLOOKUP($A284,'ABB ExDa'!$A$2:$N$184, 4,FALSE), IFERROR(VLOOKUP($A284,'Vocus SIT ExDa'!$B$2:$J$173, 5,FALSE), IFERROR(VLOOKUP($A284,'Telstra ExDa'!$B$2:$K$310, 8,FALSE), IFERROR(VLOOKUP($A284,'Vocus RVC ExDa'!$C$2:$R$155, 6,FALSE), IFERROR(VLOOKUP($A284,'Fusion ExDa'!$B$2:$D$16, 4,FALSE), IFERROR(VLOOKUP($A284,'Exetel ExDa'!$C$2:$N$14, 3,FALSE), IFERROR(VLOOKUP($A284,'Infinet ExDa'!$B$2:$E$14, 3,FALSE), "Not Found"))))))))</f>
        <v>Not Found</v>
      </c>
      <c r="E284" t="str">
        <f>IFERROR(VLOOKUP($A284,'AAPT ExDa'!$B$2:$U$99, 3,FALSE), IFERROR(VLOOKUP($A284,'ABB ExDa'!$A$2:$N$184, 5,FALSE), IFERROR(VLOOKUP($A284,'Vocus SIT ExDa'!$B$2:$J$173, 2,FALSE), IFERROR(VLOOKUP($A284,'Telstra ExDa'!$B$2:$K$310, 4,FALSE), IFERROR(VLOOKUP($A284,'Vocus RVC ExDa'!$C$2:$R$155, 8,FALSE), IFERROR(VLOOKUP($A284,'Fusion ExDa'!$B$2:$D$16, 4,FALSE), IFERROR(VLOOKUP($A284,'Exetel ExDa'!$C$2:$N$14, 5,FALSE), IFERROR(VLOOKUP($A284,'Infinet ExDa'!$B$2:$E$14, 3,FALSE), "Not Found"))))))))</f>
        <v>Not Found</v>
      </c>
      <c r="F284" t="str">
        <f>IFERROR(VLOOKUP($A284,'AAPT ExDa'!$B$2:$U$99, 4,FALSE), IFERROR(VLOOKUP($A284,'ABB ExDa'!$A$2:$N$184, 6,FALSE), IFERROR(VLOOKUP($A284,'Vocus SIT ExDa'!$B$2:$J$173, 3,FALSE), IFERROR(VLOOKUP($A284,'Telstra ExDa'!$B$2:$K$310, 5,FALSE), IFERROR(VLOOKUP($A284,'Vocus RVC ExDa'!$C$2:$R$155, 9,FALSE), IFERROR(VLOOKUP($A284,'Fusion ExDa'!$B$2:$D$16, 0,FALSE), IFERROR(VLOOKUP($A284,'Exetel ExDa'!$C$2:$N$14, 6,FALSE), IFERROR(VLOOKUP($A284,'Infinet ExDa'!$B$2:$E$14, 0,FALSE), "Not Found"))))))))</f>
        <v>Not Found</v>
      </c>
      <c r="G284" t="str">
        <f>IFERROR(VLOOKUP($A284,'AAPT ExDa'!$B$2:$U$99, 5,FALSE), IFERROR(VLOOKUP($A284,'ABB ExDa'!$A$2:$N$184, 8,FALSE), IFERROR(VLOOKUP($A284,'Vocus SIT ExDa'!$B$2:$J$173, 6,FALSE), IFERROR(VLOOKUP($A284,'Telstra ExDa'!$B$2:$K$310, 0,FALSE), IFERROR(VLOOKUP($A284,'Vocus RVC ExDa'!$C$2:$R$155, 15,FALSE), IFERROR(VLOOKUP($A284,'Fusion ExDa'!$B$2:$D$16, 0,FALSE), IFERROR(VLOOKUP($A284,'Exetel ExDa'!$C$2:$N$14, 7,FALSE), IFERROR(VLOOKUP($A284,'Infinet ExDa'!$B$2:$E$14, 0,FALSE), "Not Found"))))))))</f>
        <v>Not Found</v>
      </c>
      <c r="H284" t="str">
        <f>IFERROR(VLOOKUP($A284,'AAPT ExDa'!$B$2:$U$99, 6,FALSE), IFERROR(VLOOKUP($A284,'ABB ExDa'!$A$2:$N$184, 0,FALSE), IFERROR(VLOOKUP($A284,'Vocus SIT ExDa'!$B$2:$J$173, 0,FALSE), IFERROR(VLOOKUP($A284,'Telstra ExDa'!$B$2:$K$310, 0,FALSE), IFERROR(VLOOKUP($A284,'Vocus RVC ExDa'!$C$2:$R$155, 16,FALSE), IFERROR(VLOOKUP($A284,'Fusion ExDa'!$B$2:$D$16, 0,FALSE), IFERROR(VLOOKUP($A284,'Exetel ExDa'!$C$2:$N$14, 0,FALSE), IFERROR(VLOOKUP($A284,'Infinet ExDa'!$B$2:$E$14, 0,FALSE), "Not Found"))))))))</f>
        <v>Not Found</v>
      </c>
      <c r="I284" t="str">
        <f>IFERROR(VLOOKUP($A284,'AAPT ExDa'!$B$2:$U$99, 0,FALSE), IFERROR(VLOOKUP($A284,'ABB ExDa'!$A$2:$N$184, 0,FALSE), IFERROR(VLOOKUP($A284,'Vocus SIT ExDa'!$B$2:$J$173, 0,FALSE), IFERROR(VLOOKUP($A284,'Telstra ExDa'!$B$2:$K$310, 0,FALSE), IFERROR(VLOOKUP($A284,'Vocus RVC ExDa'!$C$2:$R$155, 0,FALSE), IFERROR(VLOOKUP($A284,'Fusion ExDa'!$B$2:$D$16, 0,FALSE), IFERROR(VLOOKUP($A284,'Exetel ExDa'!$C$2:$N$14, 8,FALSE), IFERROR(VLOOKUP($A284,'Infinet ExDa'!$B$2:$E$14, 0,FALSE), "Not Found"))))))))</f>
        <v>Not Found</v>
      </c>
      <c r="J284" t="str">
        <f>IFERROR(VLOOKUP($A284,'AAPT ExDa'!$B$2:$U$99, 7,FALSE), IFERROR(VLOOKUP($A284,'ABB ExDa'!$A$2:$N$184, 2,FALSE), IFERROR(VLOOKUP($A284,'Vocus SIT ExDa'!$B$2:$J$173, 0,FALSE), IFERROR(VLOOKUP($A284,'Telstra ExDa'!$B$2:$K$310, 7,FALSE), IFERROR(VLOOKUP($A284,'Vocus RVC ExDa'!$C$2:$R$155, 2,FALSE), IFERROR(VLOOKUP($A284,'Fusion ExDa'!$B$2:$D$16, 3,FALSE), IFERROR(VLOOKUP($A284,'Exetel ExDa'!$C$2:$N$14, 0,FALSE), IFERROR(VLOOKUP($A284,'Infinet ExDa'!$B$2:$E$14, 0,FALSE), "Not Found"))))))))</f>
        <v>Not Found</v>
      </c>
      <c r="K284" t="str">
        <f>IFERROR(VLOOKUP($A284,'AAPT ExDa'!$B$2:$U$99, 12,FALSE), IFERROR(VLOOKUP($A284,'ABB ExDa'!$A$2:$N$184, 0,FALSE), IFERROR(VLOOKUP($A284,'Vocus SIT ExDa'!$B$2:$J$173, 0,FALSE), IFERROR(VLOOKUP($A284,'Telstra ExDa'!$B$2:$K$310, 0,FALSE), IFERROR(VLOOKUP($A284,'Vocus RVC ExDa'!$C$2:$R$155, 0,FALSE), IFERROR(VLOOKUP($A284,'Fusion ExDa'!$B$2:$D$16, 0,FALSE), IFERROR(VLOOKUP($A284,'Exetel ExDa'!$C$2:$N$14, 12,FALSE), IFERROR(VLOOKUP($A284,'Infinet ExDa'!$B$2:$E$14, 0,FALSE), "Not Found"))))))))</f>
        <v>Not Found</v>
      </c>
      <c r="L284" s="235" t="str">
        <f>IFERROR(VLOOKUP($A284,'AAPT ExDa'!$B$2:$U$99, 11,FALSE), IFERROR(VLOOKUP($A284,'ABB ExDa'!$A$2:$N$184, 9,FALSE), IFERROR(VLOOKUP($A284,'Vocus SIT ExDa'!$B$2:$J$173, 8,FALSE), IFERROR(VLOOKUP($A284,'Telstra ExDa'!$B$2:$K$310, 0,FALSE), IFERROR(VLOOKUP($A284,'Vocus RVC ExDa'!$C$2:$R$155, 0,FALSE), IFERROR(VLOOKUP($A284,'Fusion ExDa'!$B$2:$D$16, 0,FALSE), IFERROR(VLOOKUP($A284,'Exetel ExDa'!$C$2:$N$14, 9,FALSE), IFERROR(VLOOKUP($A284,'Infinet ExDa'!$B$2:$E$14, 0,FALSE), "Not Found"))))))))</f>
        <v>Not Found</v>
      </c>
      <c r="M284" s="234" t="str">
        <f>IFERROR(VLOOKUP($A284,'AAPT ExDa'!$B$2:$U$99, 0,FALSE), IFERROR(VLOOKUP($A284,'ABB ExDa'!$A$2:$N$184, 0,FALSE), IFERROR(VLOOKUP($A284,'Vocus SIT ExDa'!$B$2:$J$173, 0,FALSE), IFERROR(VLOOKUP($A284,'Telstra ExDa'!$B$2:$K$310, 0,FALSE), IFERROR(VLOOKUP($A284,'Vocus RVC ExDa'!$C$2:$R$155, 0,FALSE), IFERROR(VLOOKUP($A284,'Fusion ExDa'!$B$2:$D$16, 0,FALSE), IFERROR(VLOOKUP($A284,'Exetel ExDa'!$C$2:$N$14, 11,FALSE), IFERROR(VLOOKUP($A284,'Infinet ExDa'!$B$2:$E$14, 0,FALSE), "Not Found"))))))))</f>
        <v>Not Found</v>
      </c>
      <c r="N284" t="str">
        <f>IFERROR(VLOOKUP($A284,'AAPT ExDa'!$B$2:$U$99, 0,FALSE), IFERROR(VLOOKUP($A284,'ABB ExDa'!$A$2:$N$184, 13,FALSE), IFERROR(VLOOKUP($A284,'Vocus SIT ExDa'!$B$2:$J$173, 0,FALSE), IFERROR(VLOOKUP($A284,'Telstra ExDa'!$B$2:$K$310, 0,FALSE), IFERROR(VLOOKUP($A284,'Vocus RVC ExDa'!$C$2:$R$155, 0,FALSE), IFERROR(VLOOKUP($A284,'Fusion ExDa'!$B$2:$D$16, 0,FALSE), IFERROR(VLOOKUP($A284,'Exetel ExDa'!$C$2:$N$14, 0,FALSE), IFERROR(VLOOKUP($A284,'Infinet ExDa'!$B$2:$E$14, 0,FALSE), "Not Found"))))))))</f>
        <v>Not Found</v>
      </c>
    </row>
    <row r="285" spans="1:14">
      <c r="A285" t="str">
        <v>Emergency Medicine Foundation</v>
      </c>
      <c r="B285" t="str">
        <f>IFERROR(VLOOKUP(A285,'Exetel ExDa'!$C$2:$N$14,4,FALSE),"No Data")</f>
        <v>No Data</v>
      </c>
      <c r="C285" t="str">
        <f>IFERROR(VLOOKUP(A285,'AAPT ExDa'!$B$2:$U$99, 2,FALSE), IFERROR(VLOOKUP(A285,'ABB ExDa'!$A$2:$N$184, 2,FALSE), IFERROR(VLOOKUP(A285,'Vocus SIT ExDa'!$B$2:$J$173, 7,FALSE), IFERROR(VLOOKUP(A285,'Telstra ExDa'!$B$2:$K$310, 2,FALSE), IFERROR(VLOOKUP(A285,'Vocus RVC ExDa'!$C$2:$R$155, 3,FALSE), IFERROR(VLOOKUP(A285,'Fusion ExDa'!$B$2:$D$16, 2,FALSE), IFERROR(VLOOKUP(A285,'Exetel ExDa'!$C$2:$N$14, 2,FALSE), IFERROR(VLOOKUP(A285,'Infinet ExDa'!$B$2:$E$14, 2,FALSE), "Not Found"))))))))</f>
        <v>Level 1D, 60 Enterprise Place , TINGALPA QLD 4174</v>
      </c>
      <c r="D285" t="str">
        <f>IFERROR(VLOOKUP($A285,'AAPT ExDa'!$B$2:$U$99, 15,FALSE), IFERROR(VLOOKUP($A285,'ABB ExDa'!$A$2:$N$184, 4,FALSE), IFERROR(VLOOKUP($A285,'Vocus SIT ExDa'!$B$2:$J$173, 5,FALSE), IFERROR(VLOOKUP($A285,'Telstra ExDa'!$B$2:$K$310, 8,FALSE), IFERROR(VLOOKUP($A285,'Vocus RVC ExDa'!$C$2:$R$155, 6,FALSE), IFERROR(VLOOKUP($A285,'Fusion ExDa'!$B$2:$D$16, 4,FALSE), IFERROR(VLOOKUP($A285,'Exetel ExDa'!$C$2:$N$14, 3,FALSE), IFERROR(VLOOKUP($A285,'Infinet ExDa'!$B$2:$E$14, 3,FALSE), "Not Found"))))))))</f>
        <v>Vocus SIT</v>
      </c>
      <c r="E285" t="str">
        <f>IFERROR(VLOOKUP($A285,'AAPT ExDa'!$B$2:$U$99, 3,FALSE), IFERROR(VLOOKUP($A285,'ABB ExDa'!$A$2:$N$184, 5,FALSE), IFERROR(VLOOKUP($A285,'Vocus SIT ExDa'!$B$2:$J$173, 2,FALSE), IFERROR(VLOOKUP($A285,'Telstra ExDa'!$B$2:$K$310, 4,FALSE), IFERROR(VLOOKUP($A285,'Vocus RVC ExDa'!$C$2:$R$155, 8,FALSE), IFERROR(VLOOKUP($A285,'Fusion ExDa'!$B$2:$D$16, 4,FALSE), IFERROR(VLOOKUP($A285,'Exetel ExDa'!$C$2:$N$14, 5,FALSE), IFERROR(VLOOKUP($A285,'Infinet ExDa'!$B$2:$E$14, 3,FALSE), "Not Found"))))))))</f>
        <v>Voice Service</v>
      </c>
      <c r="F285" t="str">
        <f>IFERROR(VLOOKUP($A285,'AAPT ExDa'!$B$2:$U$99, 4,FALSE), IFERROR(VLOOKUP($A285,'ABB ExDa'!$A$2:$N$184, 6,FALSE), IFERROR(VLOOKUP($A285,'Vocus SIT ExDa'!$B$2:$J$173, 3,FALSE), IFERROR(VLOOKUP($A285,'Telstra ExDa'!$B$2:$K$310, 5,FALSE), IFERROR(VLOOKUP($A285,'Vocus RVC ExDa'!$C$2:$R$155, 9,FALSE), IFERROR(VLOOKUP($A285,'Fusion ExDa'!$B$2:$D$16, 0,FALSE), IFERROR(VLOOKUP($A285,'Exetel ExDa'!$C$2:$N$14, 6,FALSE), IFERROR(VLOOKUP($A285,'Infinet ExDa'!$B$2:$E$14, 0,FALSE), "Not Found"))))))))</f>
        <v>0731128668</v>
      </c>
      <c r="G285" t="str">
        <f>IFERROR(VLOOKUP($A285,'AAPT ExDa'!$B$2:$U$99, 5,FALSE), IFERROR(VLOOKUP($A285,'ABB ExDa'!$A$2:$N$184, 8,FALSE), IFERROR(VLOOKUP($A285,'Vocus SIT ExDa'!$B$2:$J$173, 6,FALSE), IFERROR(VLOOKUP($A285,'Telstra ExDa'!$B$2:$K$310, 0,FALSE), IFERROR(VLOOKUP($A285,'Vocus RVC ExDa'!$C$2:$R$155, 15,FALSE), IFERROR(VLOOKUP($A285,'Fusion ExDa'!$B$2:$D$16, 0,FALSE), IFERROR(VLOOKUP($A285,'Exetel ExDa'!$C$2:$N$14, 7,FALSE), IFERROR(VLOOKUP($A285,'Infinet ExDa'!$B$2:$E$14, 0,FALSE), "Not Found"))))))))</f>
        <v>IP Tel Order - Smile Tel - 05/07/2024
Voice (5 Mbps) - Level 1D, 60 Enterprise Place , TINGALPA QLD 4173</v>
      </c>
      <c r="H285" t="str">
        <f>IFERROR(VLOOKUP($A285,'AAPT ExDa'!$B$2:$U$99, 6,FALSE), IFERROR(VLOOKUP($A285,'ABB ExDa'!$A$2:$N$184, 0,FALSE), IFERROR(VLOOKUP($A285,'Vocus SIT ExDa'!$B$2:$J$173, 0,FALSE), IFERROR(VLOOKUP($A285,'Telstra ExDa'!$B$2:$K$310, 0,FALSE), IFERROR(VLOOKUP($A285,'Vocus RVC ExDa'!$C$2:$R$155, 16,FALSE), IFERROR(VLOOKUP($A285,'Fusion ExDa'!$B$2:$D$16, 0,FALSE), IFERROR(VLOOKUP($A285,'Exetel ExDa'!$C$2:$N$14, 0,FALSE), IFERROR(VLOOKUP($A285,'Infinet ExDa'!$B$2:$E$14, 0,FALSE), "Not Found"))))))))</f>
        <v>Not Found</v>
      </c>
      <c r="I285" t="str">
        <f>IFERROR(VLOOKUP($A285,'AAPT ExDa'!$B$2:$U$99, 0,FALSE), IFERROR(VLOOKUP($A285,'ABB ExDa'!$A$2:$N$184, 0,FALSE), IFERROR(VLOOKUP($A285,'Vocus SIT ExDa'!$B$2:$J$173, 0,FALSE), IFERROR(VLOOKUP($A285,'Telstra ExDa'!$B$2:$K$310, 0,FALSE), IFERROR(VLOOKUP($A285,'Vocus RVC ExDa'!$C$2:$R$155, 0,FALSE), IFERROR(VLOOKUP($A285,'Fusion ExDa'!$B$2:$D$16, 0,FALSE), IFERROR(VLOOKUP($A285,'Exetel ExDa'!$C$2:$N$14, 8,FALSE), IFERROR(VLOOKUP($A285,'Infinet ExDa'!$B$2:$E$14, 0,FALSE), "Not Found"))))))))</f>
        <v>Not Found</v>
      </c>
      <c r="J285" t="str">
        <f>IFERROR(VLOOKUP($A285,'AAPT ExDa'!$B$2:$U$99, 7,FALSE), IFERROR(VLOOKUP($A285,'ABB ExDa'!$A$2:$N$184, 2,FALSE), IFERROR(VLOOKUP($A285,'Vocus SIT ExDa'!$B$2:$J$173, 0,FALSE), IFERROR(VLOOKUP($A285,'Telstra ExDa'!$B$2:$K$310, 7,FALSE), IFERROR(VLOOKUP($A285,'Vocus RVC ExDa'!$C$2:$R$155, 2,FALSE), IFERROR(VLOOKUP($A285,'Fusion ExDa'!$B$2:$D$16, 3,FALSE), IFERROR(VLOOKUP($A285,'Exetel ExDa'!$C$2:$N$14, 0,FALSE), IFERROR(VLOOKUP($A285,'Infinet ExDa'!$B$2:$E$14, 0,FALSE), "Not Found"))))))))</f>
        <v>Not Found</v>
      </c>
      <c r="K285" t="str">
        <f>IFERROR(VLOOKUP($A285,'AAPT ExDa'!$B$2:$U$99, 12,FALSE), IFERROR(VLOOKUP($A285,'ABB ExDa'!$A$2:$N$184, 0,FALSE), IFERROR(VLOOKUP($A285,'Vocus SIT ExDa'!$B$2:$J$173, 0,FALSE), IFERROR(VLOOKUP($A285,'Telstra ExDa'!$B$2:$K$310, 0,FALSE), IFERROR(VLOOKUP($A285,'Vocus RVC ExDa'!$C$2:$R$155, 0,FALSE), IFERROR(VLOOKUP($A285,'Fusion ExDa'!$B$2:$D$16, 0,FALSE), IFERROR(VLOOKUP($A285,'Exetel ExDa'!$C$2:$N$14, 12,FALSE), IFERROR(VLOOKUP($A285,'Infinet ExDa'!$B$2:$E$14, 0,FALSE), "Not Found"))))))))</f>
        <v>Not Found</v>
      </c>
      <c r="L285" s="235">
        <f>IFERROR(VLOOKUP($A285,'AAPT ExDa'!$B$2:$U$99, 11,FALSE), IFERROR(VLOOKUP($A285,'ABB ExDa'!$A$2:$N$184, 9,FALSE), IFERROR(VLOOKUP($A285,'Vocus SIT ExDa'!$B$2:$J$173, 8,FALSE), IFERROR(VLOOKUP($A285,'Telstra ExDa'!$B$2:$K$310, 0,FALSE), IFERROR(VLOOKUP($A285,'Vocus RVC ExDa'!$C$2:$R$155, 0,FALSE), IFERROR(VLOOKUP($A285,'Fusion ExDa'!$B$2:$D$16, 0,FALSE), IFERROR(VLOOKUP($A285,'Exetel ExDa'!$C$2:$N$14, 9,FALSE), IFERROR(VLOOKUP($A285,'Infinet ExDa'!$B$2:$E$14, 0,FALSE), "Not Found"))))))))</f>
        <v>45603</v>
      </c>
      <c r="M285" s="234" t="str">
        <f>IFERROR(VLOOKUP($A285,'AAPT ExDa'!$B$2:$U$99, 0,FALSE), IFERROR(VLOOKUP($A285,'ABB ExDa'!$A$2:$N$184, 0,FALSE), IFERROR(VLOOKUP($A285,'Vocus SIT ExDa'!$B$2:$J$173, 0,FALSE), IFERROR(VLOOKUP($A285,'Telstra ExDa'!$B$2:$K$310, 0,FALSE), IFERROR(VLOOKUP($A285,'Vocus RVC ExDa'!$C$2:$R$155, 0,FALSE), IFERROR(VLOOKUP($A285,'Fusion ExDa'!$B$2:$D$16, 0,FALSE), IFERROR(VLOOKUP($A285,'Exetel ExDa'!$C$2:$N$14, 11,FALSE), IFERROR(VLOOKUP($A285,'Infinet ExDa'!$B$2:$E$14, 0,FALSE), "Not Found"))))))))</f>
        <v>Not Found</v>
      </c>
      <c r="N285" t="str">
        <f>IFERROR(VLOOKUP($A285,'AAPT ExDa'!$B$2:$U$99, 0,FALSE), IFERROR(VLOOKUP($A285,'ABB ExDa'!$A$2:$N$184, 13,FALSE), IFERROR(VLOOKUP($A285,'Vocus SIT ExDa'!$B$2:$J$173, 0,FALSE), IFERROR(VLOOKUP($A285,'Telstra ExDa'!$B$2:$K$310, 0,FALSE), IFERROR(VLOOKUP($A285,'Vocus RVC ExDa'!$C$2:$R$155, 0,FALSE), IFERROR(VLOOKUP($A285,'Fusion ExDa'!$B$2:$D$16, 0,FALSE), IFERROR(VLOOKUP($A285,'Exetel ExDa'!$C$2:$N$14, 0,FALSE), IFERROR(VLOOKUP($A285,'Infinet ExDa'!$B$2:$E$14, 0,FALSE), "Not Found"))))))))</f>
        <v>Not Found</v>
      </c>
    </row>
    <row r="286" spans="1:14">
      <c r="A286">
        <v>0</v>
      </c>
      <c r="B286" t="str">
        <f>IFERROR(VLOOKUP(A286,'Exetel ExDa'!$C$2:$N$14,4,FALSE),"No Data")</f>
        <v>No Data</v>
      </c>
      <c r="C286" t="str">
        <f>IFERROR(VLOOKUP(A286,'AAPT ExDa'!$B$2:$U$99, 2,FALSE), IFERROR(VLOOKUP(A286,'ABB ExDa'!$A$2:$N$184, 2,FALSE), IFERROR(VLOOKUP(A286,'Vocus SIT ExDa'!$B$2:$J$173, 7,FALSE), IFERROR(VLOOKUP(A286,'Telstra ExDa'!$B$2:$K$310, 2,FALSE), IFERROR(VLOOKUP(A286,'Vocus RVC ExDa'!$C$2:$R$155, 3,FALSE), IFERROR(VLOOKUP(A286,'Fusion ExDa'!$B$2:$D$16, 2,FALSE), IFERROR(VLOOKUP(A286,'Exetel ExDa'!$C$2:$N$14, 2,FALSE), IFERROR(VLOOKUP(A286,'Infinet ExDa'!$B$2:$E$14, 2,FALSE), "Not Found"))))))))</f>
        <v>Not Found</v>
      </c>
      <c r="D286" t="str">
        <f>IFERROR(VLOOKUP($A286,'AAPT ExDa'!$B$2:$U$99, 15,FALSE), IFERROR(VLOOKUP($A286,'ABB ExDa'!$A$2:$N$184, 4,FALSE), IFERROR(VLOOKUP($A286,'Vocus SIT ExDa'!$B$2:$J$173, 5,FALSE), IFERROR(VLOOKUP($A286,'Telstra ExDa'!$B$2:$K$310, 8,FALSE), IFERROR(VLOOKUP($A286,'Vocus RVC ExDa'!$C$2:$R$155, 6,FALSE), IFERROR(VLOOKUP($A286,'Fusion ExDa'!$B$2:$D$16, 4,FALSE), IFERROR(VLOOKUP($A286,'Exetel ExDa'!$C$2:$N$14, 3,FALSE), IFERROR(VLOOKUP($A286,'Infinet ExDa'!$B$2:$E$14, 3,FALSE), "Not Found"))))))))</f>
        <v>Not Found</v>
      </c>
      <c r="E286" t="str">
        <f>IFERROR(VLOOKUP($A286,'AAPT ExDa'!$B$2:$U$99, 3,FALSE), IFERROR(VLOOKUP($A286,'ABB ExDa'!$A$2:$N$184, 5,FALSE), IFERROR(VLOOKUP($A286,'Vocus SIT ExDa'!$B$2:$J$173, 2,FALSE), IFERROR(VLOOKUP($A286,'Telstra ExDa'!$B$2:$K$310, 4,FALSE), IFERROR(VLOOKUP($A286,'Vocus RVC ExDa'!$C$2:$R$155, 8,FALSE), IFERROR(VLOOKUP($A286,'Fusion ExDa'!$B$2:$D$16, 4,FALSE), IFERROR(VLOOKUP($A286,'Exetel ExDa'!$C$2:$N$14, 5,FALSE), IFERROR(VLOOKUP($A286,'Infinet ExDa'!$B$2:$E$14, 3,FALSE), "Not Found"))))))))</f>
        <v>Not Found</v>
      </c>
      <c r="F286" t="str">
        <f>IFERROR(VLOOKUP($A286,'AAPT ExDa'!$B$2:$U$99, 4,FALSE), IFERROR(VLOOKUP($A286,'ABB ExDa'!$A$2:$N$184, 6,FALSE), IFERROR(VLOOKUP($A286,'Vocus SIT ExDa'!$B$2:$J$173, 3,FALSE), IFERROR(VLOOKUP($A286,'Telstra ExDa'!$B$2:$K$310, 5,FALSE), IFERROR(VLOOKUP($A286,'Vocus RVC ExDa'!$C$2:$R$155, 9,FALSE), IFERROR(VLOOKUP($A286,'Fusion ExDa'!$B$2:$D$16, 0,FALSE), IFERROR(VLOOKUP($A286,'Exetel ExDa'!$C$2:$N$14, 6,FALSE), IFERROR(VLOOKUP($A286,'Infinet ExDa'!$B$2:$E$14, 0,FALSE), "Not Found"))))))))</f>
        <v>Not Found</v>
      </c>
      <c r="G286" t="str">
        <f>IFERROR(VLOOKUP($A286,'AAPT ExDa'!$B$2:$U$99, 5,FALSE), IFERROR(VLOOKUP($A286,'ABB ExDa'!$A$2:$N$184, 8,FALSE), IFERROR(VLOOKUP($A286,'Vocus SIT ExDa'!$B$2:$J$173, 6,FALSE), IFERROR(VLOOKUP($A286,'Telstra ExDa'!$B$2:$K$310, 0,FALSE), IFERROR(VLOOKUP($A286,'Vocus RVC ExDa'!$C$2:$R$155, 15,FALSE), IFERROR(VLOOKUP($A286,'Fusion ExDa'!$B$2:$D$16, 0,FALSE), IFERROR(VLOOKUP($A286,'Exetel ExDa'!$C$2:$N$14, 7,FALSE), IFERROR(VLOOKUP($A286,'Infinet ExDa'!$B$2:$E$14, 0,FALSE), "Not Found"))))))))</f>
        <v>Not Found</v>
      </c>
      <c r="H286" t="str">
        <f>IFERROR(VLOOKUP($A286,'AAPT ExDa'!$B$2:$U$99, 6,FALSE), IFERROR(VLOOKUP($A286,'ABB ExDa'!$A$2:$N$184, 0,FALSE), IFERROR(VLOOKUP($A286,'Vocus SIT ExDa'!$B$2:$J$173, 0,FALSE), IFERROR(VLOOKUP($A286,'Telstra ExDa'!$B$2:$K$310, 0,FALSE), IFERROR(VLOOKUP($A286,'Vocus RVC ExDa'!$C$2:$R$155, 16,FALSE), IFERROR(VLOOKUP($A286,'Fusion ExDa'!$B$2:$D$16, 0,FALSE), IFERROR(VLOOKUP($A286,'Exetel ExDa'!$C$2:$N$14, 0,FALSE), IFERROR(VLOOKUP($A286,'Infinet ExDa'!$B$2:$E$14, 0,FALSE), "Not Found"))))))))</f>
        <v>Not Found</v>
      </c>
      <c r="I286" t="str">
        <f>IFERROR(VLOOKUP($A286,'AAPT ExDa'!$B$2:$U$99, 0,FALSE), IFERROR(VLOOKUP($A286,'ABB ExDa'!$A$2:$N$184, 0,FALSE), IFERROR(VLOOKUP($A286,'Vocus SIT ExDa'!$B$2:$J$173, 0,FALSE), IFERROR(VLOOKUP($A286,'Telstra ExDa'!$B$2:$K$310, 0,FALSE), IFERROR(VLOOKUP($A286,'Vocus RVC ExDa'!$C$2:$R$155, 0,FALSE), IFERROR(VLOOKUP($A286,'Fusion ExDa'!$B$2:$D$16, 0,FALSE), IFERROR(VLOOKUP($A286,'Exetel ExDa'!$C$2:$N$14, 8,FALSE), IFERROR(VLOOKUP($A286,'Infinet ExDa'!$B$2:$E$14, 0,FALSE), "Not Found"))))))))</f>
        <v>Not Found</v>
      </c>
      <c r="J286" t="str">
        <f>IFERROR(VLOOKUP($A286,'AAPT ExDa'!$B$2:$U$99, 7,FALSE), IFERROR(VLOOKUP($A286,'ABB ExDa'!$A$2:$N$184, 2,FALSE), IFERROR(VLOOKUP($A286,'Vocus SIT ExDa'!$B$2:$J$173, 0,FALSE), IFERROR(VLOOKUP($A286,'Telstra ExDa'!$B$2:$K$310, 7,FALSE), IFERROR(VLOOKUP($A286,'Vocus RVC ExDa'!$C$2:$R$155, 2,FALSE), IFERROR(VLOOKUP($A286,'Fusion ExDa'!$B$2:$D$16, 3,FALSE), IFERROR(VLOOKUP($A286,'Exetel ExDa'!$C$2:$N$14, 0,FALSE), IFERROR(VLOOKUP($A286,'Infinet ExDa'!$B$2:$E$14, 0,FALSE), "Not Found"))))))))</f>
        <v>Not Found</v>
      </c>
      <c r="K286" t="str">
        <f>IFERROR(VLOOKUP($A286,'AAPT ExDa'!$B$2:$U$99, 12,FALSE), IFERROR(VLOOKUP($A286,'ABB ExDa'!$A$2:$N$184, 0,FALSE), IFERROR(VLOOKUP($A286,'Vocus SIT ExDa'!$B$2:$J$173, 0,FALSE), IFERROR(VLOOKUP($A286,'Telstra ExDa'!$B$2:$K$310, 0,FALSE), IFERROR(VLOOKUP($A286,'Vocus RVC ExDa'!$C$2:$R$155, 0,FALSE), IFERROR(VLOOKUP($A286,'Fusion ExDa'!$B$2:$D$16, 0,FALSE), IFERROR(VLOOKUP($A286,'Exetel ExDa'!$C$2:$N$14, 12,FALSE), IFERROR(VLOOKUP($A286,'Infinet ExDa'!$B$2:$E$14, 0,FALSE), "Not Found"))))))))</f>
        <v>Not Found</v>
      </c>
      <c r="L286" s="235" t="str">
        <f>IFERROR(VLOOKUP($A286,'AAPT ExDa'!$B$2:$U$99, 11,FALSE), IFERROR(VLOOKUP($A286,'ABB ExDa'!$A$2:$N$184, 9,FALSE), IFERROR(VLOOKUP($A286,'Vocus SIT ExDa'!$B$2:$J$173, 8,FALSE), IFERROR(VLOOKUP($A286,'Telstra ExDa'!$B$2:$K$310, 0,FALSE), IFERROR(VLOOKUP($A286,'Vocus RVC ExDa'!$C$2:$R$155, 0,FALSE), IFERROR(VLOOKUP($A286,'Fusion ExDa'!$B$2:$D$16, 0,FALSE), IFERROR(VLOOKUP($A286,'Exetel ExDa'!$C$2:$N$14, 9,FALSE), IFERROR(VLOOKUP($A286,'Infinet ExDa'!$B$2:$E$14, 0,FALSE), "Not Found"))))))))</f>
        <v>Not Found</v>
      </c>
      <c r="M286" s="234" t="str">
        <f>IFERROR(VLOOKUP($A286,'AAPT ExDa'!$B$2:$U$99, 0,FALSE), IFERROR(VLOOKUP($A286,'ABB ExDa'!$A$2:$N$184, 0,FALSE), IFERROR(VLOOKUP($A286,'Vocus SIT ExDa'!$B$2:$J$173, 0,FALSE), IFERROR(VLOOKUP($A286,'Telstra ExDa'!$B$2:$K$310, 0,FALSE), IFERROR(VLOOKUP($A286,'Vocus RVC ExDa'!$C$2:$R$155, 0,FALSE), IFERROR(VLOOKUP($A286,'Fusion ExDa'!$B$2:$D$16, 0,FALSE), IFERROR(VLOOKUP($A286,'Exetel ExDa'!$C$2:$N$14, 11,FALSE), IFERROR(VLOOKUP($A286,'Infinet ExDa'!$B$2:$E$14, 0,FALSE), "Not Found"))))))))</f>
        <v>Not Found</v>
      </c>
      <c r="N286" t="str">
        <f>IFERROR(VLOOKUP($A286,'AAPT ExDa'!$B$2:$U$99, 0,FALSE), IFERROR(VLOOKUP($A286,'ABB ExDa'!$A$2:$N$184, 13,FALSE), IFERROR(VLOOKUP($A286,'Vocus SIT ExDa'!$B$2:$J$173, 0,FALSE), IFERROR(VLOOKUP($A286,'Telstra ExDa'!$B$2:$K$310, 0,FALSE), IFERROR(VLOOKUP($A286,'Vocus RVC ExDa'!$C$2:$R$155, 0,FALSE), IFERROR(VLOOKUP($A286,'Fusion ExDa'!$B$2:$D$16, 0,FALSE), IFERROR(VLOOKUP($A286,'Exetel ExDa'!$C$2:$N$14, 0,FALSE), IFERROR(VLOOKUP($A286,'Infinet ExDa'!$B$2:$E$14, 0,FALSE), "Not Found"))))))))</f>
        <v>Not Found</v>
      </c>
    </row>
    <row r="287" spans="1:14">
      <c r="A287" t="str">
        <v>Red Roo Australia</v>
      </c>
      <c r="B287" t="str">
        <f>IFERROR(VLOOKUP(A287,'Exetel ExDa'!$C$2:$N$14,4,FALSE),"No Data")</f>
        <v>No Data</v>
      </c>
      <c r="C287" t="str">
        <f>IFERROR(VLOOKUP(A287,'AAPT ExDa'!$B$2:$U$99, 2,FALSE), IFERROR(VLOOKUP(A287,'ABB ExDa'!$A$2:$N$184, 2,FALSE), IFERROR(VLOOKUP(A287,'Vocus SIT ExDa'!$B$2:$J$173, 7,FALSE), IFERROR(VLOOKUP(A287,'Telstra ExDa'!$B$2:$K$310, 2,FALSE), IFERROR(VLOOKUP(A287,'Vocus RVC ExDa'!$C$2:$R$155, 3,FALSE), IFERROR(VLOOKUP(A287,'Fusion ExDa'!$B$2:$D$16, 2,FALSE), IFERROR(VLOOKUP(A287,'Exetel ExDa'!$C$2:$N$14, 2,FALSE), IFERROR(VLOOKUP(A287,'Infinet ExDa'!$B$2:$E$14, 2,FALSE), "Not Found"))))))))</f>
        <v>Level 1D, 60 Enterprise Place, Tingalpa QLD 4174</v>
      </c>
      <c r="D287" t="str">
        <f>IFERROR(VLOOKUP($A287,'AAPT ExDa'!$B$2:$U$99, 15,FALSE), IFERROR(VLOOKUP($A287,'ABB ExDa'!$A$2:$N$184, 4,FALSE), IFERROR(VLOOKUP($A287,'Vocus SIT ExDa'!$B$2:$J$173, 5,FALSE), IFERROR(VLOOKUP($A287,'Telstra ExDa'!$B$2:$K$310, 8,FALSE), IFERROR(VLOOKUP($A287,'Vocus RVC ExDa'!$C$2:$R$155, 6,FALSE), IFERROR(VLOOKUP($A287,'Fusion ExDa'!$B$2:$D$16, 4,FALSE), IFERROR(VLOOKUP($A287,'Exetel ExDa'!$C$2:$N$14, 3,FALSE), IFERROR(VLOOKUP($A287,'Infinet ExDa'!$B$2:$E$14, 3,FALSE), "Not Found"))))))))</f>
        <v>Vocus SIT</v>
      </c>
      <c r="E287" t="str">
        <f>IFERROR(VLOOKUP($A287,'AAPT ExDa'!$B$2:$U$99, 3,FALSE), IFERROR(VLOOKUP($A287,'ABB ExDa'!$A$2:$N$184, 5,FALSE), IFERROR(VLOOKUP($A287,'Vocus SIT ExDa'!$B$2:$J$173, 2,FALSE), IFERROR(VLOOKUP($A287,'Telstra ExDa'!$B$2:$K$310, 4,FALSE), IFERROR(VLOOKUP($A287,'Vocus RVC ExDa'!$C$2:$R$155, 8,FALSE), IFERROR(VLOOKUP($A287,'Fusion ExDa'!$B$2:$D$16, 4,FALSE), IFERROR(VLOOKUP($A287,'Exetel ExDa'!$C$2:$N$14, 5,FALSE), IFERROR(VLOOKUP($A287,'Infinet ExDa'!$B$2:$E$14, 3,FALSE), "Not Found"))))))))</f>
        <v>Voice Service</v>
      </c>
      <c r="F287" t="str">
        <f>IFERROR(VLOOKUP($A287,'AAPT ExDa'!$B$2:$U$99, 4,FALSE), IFERROR(VLOOKUP($A287,'ABB ExDa'!$A$2:$N$184, 6,FALSE), IFERROR(VLOOKUP($A287,'Vocus SIT ExDa'!$B$2:$J$173, 3,FALSE), IFERROR(VLOOKUP($A287,'Telstra ExDa'!$B$2:$K$310, 5,FALSE), IFERROR(VLOOKUP($A287,'Vocus RVC ExDa'!$C$2:$R$155, 9,FALSE), IFERROR(VLOOKUP($A287,'Fusion ExDa'!$B$2:$D$16, 0,FALSE), IFERROR(VLOOKUP($A287,'Exetel ExDa'!$C$2:$N$14, 6,FALSE), IFERROR(VLOOKUP($A287,'Infinet ExDa'!$B$2:$E$14, 0,FALSE), "Not Found"))))))))</f>
        <v>0732558755
0731534563
0736330230
0731534561</v>
      </c>
      <c r="G287" t="str">
        <f>IFERROR(VLOOKUP($A287,'AAPT ExDa'!$B$2:$U$99, 5,FALSE), IFERROR(VLOOKUP($A287,'ABB ExDa'!$A$2:$N$184, 8,FALSE), IFERROR(VLOOKUP($A287,'Vocus SIT ExDa'!$B$2:$J$173, 6,FALSE), IFERROR(VLOOKUP($A287,'Telstra ExDa'!$B$2:$K$310, 0,FALSE), IFERROR(VLOOKUP($A287,'Vocus RVC ExDa'!$C$2:$R$155, 15,FALSE), IFERROR(VLOOKUP($A287,'Fusion ExDa'!$B$2:$D$16, 0,FALSE), IFERROR(VLOOKUP($A287,'Exetel ExDa'!$C$2:$N$14, 7,FALSE), IFERROR(VLOOKUP($A287,'Infinet ExDa'!$B$2:$E$14, 0,FALSE), "Not Found"))))))))</f>
        <v>IP Tel Order - Smile Tel - 18/04/2024
Voice (5 Mbps) - Level 1D, 60 Enterprise Place, Tingalpa QLD 4173</v>
      </c>
      <c r="H287" t="str">
        <f>IFERROR(VLOOKUP($A287,'AAPT ExDa'!$B$2:$U$99, 6,FALSE), IFERROR(VLOOKUP($A287,'ABB ExDa'!$A$2:$N$184, 0,FALSE), IFERROR(VLOOKUP($A287,'Vocus SIT ExDa'!$B$2:$J$173, 0,FALSE), IFERROR(VLOOKUP($A287,'Telstra ExDa'!$B$2:$K$310, 0,FALSE), IFERROR(VLOOKUP($A287,'Vocus RVC ExDa'!$C$2:$R$155, 16,FALSE), IFERROR(VLOOKUP($A287,'Fusion ExDa'!$B$2:$D$16, 0,FALSE), IFERROR(VLOOKUP($A287,'Exetel ExDa'!$C$2:$N$14, 0,FALSE), IFERROR(VLOOKUP($A287,'Infinet ExDa'!$B$2:$E$14, 0,FALSE), "Not Found"))))))))</f>
        <v>Not Found</v>
      </c>
      <c r="I287" t="str">
        <f>IFERROR(VLOOKUP($A287,'AAPT ExDa'!$B$2:$U$99, 0,FALSE), IFERROR(VLOOKUP($A287,'ABB ExDa'!$A$2:$N$184, 0,FALSE), IFERROR(VLOOKUP($A287,'Vocus SIT ExDa'!$B$2:$J$173, 0,FALSE), IFERROR(VLOOKUP($A287,'Telstra ExDa'!$B$2:$K$310, 0,FALSE), IFERROR(VLOOKUP($A287,'Vocus RVC ExDa'!$C$2:$R$155, 0,FALSE), IFERROR(VLOOKUP($A287,'Fusion ExDa'!$B$2:$D$16, 0,FALSE), IFERROR(VLOOKUP($A287,'Exetel ExDa'!$C$2:$N$14, 8,FALSE), IFERROR(VLOOKUP($A287,'Infinet ExDa'!$B$2:$E$14, 0,FALSE), "Not Found"))))))))</f>
        <v>Not Found</v>
      </c>
      <c r="J287" t="str">
        <f>IFERROR(VLOOKUP($A287,'AAPT ExDa'!$B$2:$U$99, 7,FALSE), IFERROR(VLOOKUP($A287,'ABB ExDa'!$A$2:$N$184, 2,FALSE), IFERROR(VLOOKUP($A287,'Vocus SIT ExDa'!$B$2:$J$173, 0,FALSE), IFERROR(VLOOKUP($A287,'Telstra ExDa'!$B$2:$K$310, 7,FALSE), IFERROR(VLOOKUP($A287,'Vocus RVC ExDa'!$C$2:$R$155, 2,FALSE), IFERROR(VLOOKUP($A287,'Fusion ExDa'!$B$2:$D$16, 3,FALSE), IFERROR(VLOOKUP($A287,'Exetel ExDa'!$C$2:$N$14, 0,FALSE), IFERROR(VLOOKUP($A287,'Infinet ExDa'!$B$2:$E$14, 0,FALSE), "Not Found"))))))))</f>
        <v>Not Found</v>
      </c>
      <c r="K287" t="str">
        <f>IFERROR(VLOOKUP($A287,'AAPT ExDa'!$B$2:$U$99, 12,FALSE), IFERROR(VLOOKUP($A287,'ABB ExDa'!$A$2:$N$184, 0,FALSE), IFERROR(VLOOKUP($A287,'Vocus SIT ExDa'!$B$2:$J$173, 0,FALSE), IFERROR(VLOOKUP($A287,'Telstra ExDa'!$B$2:$K$310, 0,FALSE), IFERROR(VLOOKUP($A287,'Vocus RVC ExDa'!$C$2:$R$155, 0,FALSE), IFERROR(VLOOKUP($A287,'Fusion ExDa'!$B$2:$D$16, 0,FALSE), IFERROR(VLOOKUP($A287,'Exetel ExDa'!$C$2:$N$14, 12,FALSE), IFERROR(VLOOKUP($A287,'Infinet ExDa'!$B$2:$E$14, 0,FALSE), "Not Found"))))))))</f>
        <v>Not Found</v>
      </c>
      <c r="L287" s="235" t="str">
        <f>IFERROR(VLOOKUP($A287,'AAPT ExDa'!$B$2:$U$99, 11,FALSE), IFERROR(VLOOKUP($A287,'ABB ExDa'!$A$2:$N$184, 9,FALSE), IFERROR(VLOOKUP($A287,'Vocus SIT ExDa'!$B$2:$J$173, 8,FALSE), IFERROR(VLOOKUP($A287,'Telstra ExDa'!$B$2:$K$310, 0,FALSE), IFERROR(VLOOKUP($A287,'Vocus RVC ExDa'!$C$2:$R$155, 0,FALSE), IFERROR(VLOOKUP($A287,'Fusion ExDa'!$B$2:$D$16, 0,FALSE), IFERROR(VLOOKUP($A287,'Exetel ExDa'!$C$2:$N$14, 9,FALSE), IFERROR(VLOOKUP($A287,'Infinet ExDa'!$B$2:$E$14, 0,FALSE), "Not Found"))))))))</f>
        <v>13/06/2024</v>
      </c>
      <c r="M287" s="234" t="str">
        <f>IFERROR(VLOOKUP($A287,'AAPT ExDa'!$B$2:$U$99, 0,FALSE), IFERROR(VLOOKUP($A287,'ABB ExDa'!$A$2:$N$184, 0,FALSE), IFERROR(VLOOKUP($A287,'Vocus SIT ExDa'!$B$2:$J$173, 0,FALSE), IFERROR(VLOOKUP($A287,'Telstra ExDa'!$B$2:$K$310, 0,FALSE), IFERROR(VLOOKUP($A287,'Vocus RVC ExDa'!$C$2:$R$155, 0,FALSE), IFERROR(VLOOKUP($A287,'Fusion ExDa'!$B$2:$D$16, 0,FALSE), IFERROR(VLOOKUP($A287,'Exetel ExDa'!$C$2:$N$14, 11,FALSE), IFERROR(VLOOKUP($A287,'Infinet ExDa'!$B$2:$E$14, 0,FALSE), "Not Found"))))))))</f>
        <v>Not Found</v>
      </c>
      <c r="N287" t="str">
        <f>IFERROR(VLOOKUP($A287,'AAPT ExDa'!$B$2:$U$99, 0,FALSE), IFERROR(VLOOKUP($A287,'ABB ExDa'!$A$2:$N$184, 13,FALSE), IFERROR(VLOOKUP($A287,'Vocus SIT ExDa'!$B$2:$J$173, 0,FALSE), IFERROR(VLOOKUP($A287,'Telstra ExDa'!$B$2:$K$310, 0,FALSE), IFERROR(VLOOKUP($A287,'Vocus RVC ExDa'!$C$2:$R$155, 0,FALSE), IFERROR(VLOOKUP($A287,'Fusion ExDa'!$B$2:$D$16, 0,FALSE), IFERROR(VLOOKUP($A287,'Exetel ExDa'!$C$2:$N$14, 0,FALSE), IFERROR(VLOOKUP($A287,'Infinet ExDa'!$B$2:$E$14, 0,FALSE), "Not Found"))))))))</f>
        <v>Not Found</v>
      </c>
    </row>
    <row r="288" spans="1:14">
      <c r="A288" t="str">
        <v>Swara</v>
      </c>
      <c r="B288" t="str">
        <f>IFERROR(VLOOKUP(A288,'Exetel ExDa'!$C$2:$N$14,4,FALSE),"No Data")</f>
        <v>No Data</v>
      </c>
      <c r="C288" t="str">
        <f>IFERROR(VLOOKUP(A288,'AAPT ExDa'!$B$2:$U$99, 2,FALSE), IFERROR(VLOOKUP(A288,'ABB ExDa'!$A$2:$N$184, 2,FALSE), IFERROR(VLOOKUP(A288,'Vocus SIT ExDa'!$B$2:$J$173, 7,FALSE), IFERROR(VLOOKUP(A288,'Telstra ExDa'!$B$2:$K$310, 2,FALSE), IFERROR(VLOOKUP(A288,'Vocus RVC ExDa'!$C$2:$R$155, 3,FALSE), IFERROR(VLOOKUP(A288,'Fusion ExDa'!$B$2:$D$16, 2,FALSE), IFERROR(VLOOKUP(A288,'Exetel ExDa'!$C$2:$N$14, 2,FALSE), IFERROR(VLOOKUP(A288,'Infinet ExDa'!$B$2:$E$14, 2,FALSE), "Not Found"))))))))</f>
        <v>Level 1D, 60 Enterprise Place, Tingalpa QLD 4174</v>
      </c>
      <c r="D288" t="str">
        <f>IFERROR(VLOOKUP($A288,'AAPT ExDa'!$B$2:$U$99, 15,FALSE), IFERROR(VLOOKUP($A288,'ABB ExDa'!$A$2:$N$184, 4,FALSE), IFERROR(VLOOKUP($A288,'Vocus SIT ExDa'!$B$2:$J$173, 5,FALSE), IFERROR(VLOOKUP($A288,'Telstra ExDa'!$B$2:$K$310, 8,FALSE), IFERROR(VLOOKUP($A288,'Vocus RVC ExDa'!$C$2:$R$155, 6,FALSE), IFERROR(VLOOKUP($A288,'Fusion ExDa'!$B$2:$D$16, 4,FALSE), IFERROR(VLOOKUP($A288,'Exetel ExDa'!$C$2:$N$14, 3,FALSE), IFERROR(VLOOKUP($A288,'Infinet ExDa'!$B$2:$E$14, 3,FALSE), "Not Found"))))))))</f>
        <v>Vocus SIT</v>
      </c>
      <c r="E288" t="str">
        <f>IFERROR(VLOOKUP($A288,'AAPT ExDa'!$B$2:$U$99, 3,FALSE), IFERROR(VLOOKUP($A288,'ABB ExDa'!$A$2:$N$184, 5,FALSE), IFERROR(VLOOKUP($A288,'Vocus SIT ExDa'!$B$2:$J$173, 2,FALSE), IFERROR(VLOOKUP($A288,'Telstra ExDa'!$B$2:$K$310, 4,FALSE), IFERROR(VLOOKUP($A288,'Vocus RVC ExDa'!$C$2:$R$155, 8,FALSE), IFERROR(VLOOKUP($A288,'Fusion ExDa'!$B$2:$D$16, 4,FALSE), IFERROR(VLOOKUP($A288,'Exetel ExDa'!$C$2:$N$14, 5,FALSE), IFERROR(VLOOKUP($A288,'Infinet ExDa'!$B$2:$E$14, 3,FALSE), "Not Found"))))))))</f>
        <v>Voice Service</v>
      </c>
      <c r="F288" t="str">
        <f>IFERROR(VLOOKUP($A288,'AAPT ExDa'!$B$2:$U$99, 4,FALSE), IFERROR(VLOOKUP($A288,'ABB ExDa'!$A$2:$N$184, 6,FALSE), IFERROR(VLOOKUP($A288,'Vocus SIT ExDa'!$B$2:$J$173, 3,FALSE), IFERROR(VLOOKUP($A288,'Telstra ExDa'!$B$2:$K$310, 5,FALSE), IFERROR(VLOOKUP($A288,'Vocus RVC ExDa'!$C$2:$R$155, 9,FALSE), IFERROR(VLOOKUP($A288,'Fusion ExDa'!$B$2:$D$16, 0,FALSE), IFERROR(VLOOKUP($A288,'Exetel ExDa'!$C$2:$N$14, 6,FALSE), IFERROR(VLOOKUP($A288,'Infinet ExDa'!$B$2:$E$14, 0,FALSE), "Not Found"))))))))</f>
        <v>0733914119
0733910900
0733910922</v>
      </c>
      <c r="G288" t="str">
        <f>IFERROR(VLOOKUP($A288,'AAPT ExDa'!$B$2:$U$99, 5,FALSE), IFERROR(VLOOKUP($A288,'ABB ExDa'!$A$2:$N$184, 8,FALSE), IFERROR(VLOOKUP($A288,'Vocus SIT ExDa'!$B$2:$J$173, 6,FALSE), IFERROR(VLOOKUP($A288,'Telstra ExDa'!$B$2:$K$310, 0,FALSE), IFERROR(VLOOKUP($A288,'Vocus RVC ExDa'!$C$2:$R$155, 15,FALSE), IFERROR(VLOOKUP($A288,'Fusion ExDa'!$B$2:$D$16, 0,FALSE), IFERROR(VLOOKUP($A288,'Exetel ExDa'!$C$2:$N$14, 7,FALSE), IFERROR(VLOOKUP($A288,'Infinet ExDa'!$B$2:$E$14, 0,FALSE), "Not Found"))))))))</f>
        <v>IP Tel Order - Smile Tel - 03/04/2024 - 591822  - SWARA porting
Voice (5 Mbps) - Level 1D, 60 Enterprise Place, Tingalpa QLD 4173</v>
      </c>
      <c r="H288" t="str">
        <f>IFERROR(VLOOKUP($A288,'AAPT ExDa'!$B$2:$U$99, 6,FALSE), IFERROR(VLOOKUP($A288,'ABB ExDa'!$A$2:$N$184, 0,FALSE), IFERROR(VLOOKUP($A288,'Vocus SIT ExDa'!$B$2:$J$173, 0,FALSE), IFERROR(VLOOKUP($A288,'Telstra ExDa'!$B$2:$K$310, 0,FALSE), IFERROR(VLOOKUP($A288,'Vocus RVC ExDa'!$C$2:$R$155, 16,FALSE), IFERROR(VLOOKUP($A288,'Fusion ExDa'!$B$2:$D$16, 0,FALSE), IFERROR(VLOOKUP($A288,'Exetel ExDa'!$C$2:$N$14, 0,FALSE), IFERROR(VLOOKUP($A288,'Infinet ExDa'!$B$2:$E$14, 0,FALSE), "Not Found"))))))))</f>
        <v>Not Found</v>
      </c>
      <c r="I288" t="str">
        <f>IFERROR(VLOOKUP($A288,'AAPT ExDa'!$B$2:$U$99, 0,FALSE), IFERROR(VLOOKUP($A288,'ABB ExDa'!$A$2:$N$184, 0,FALSE), IFERROR(VLOOKUP($A288,'Vocus SIT ExDa'!$B$2:$J$173, 0,FALSE), IFERROR(VLOOKUP($A288,'Telstra ExDa'!$B$2:$K$310, 0,FALSE), IFERROR(VLOOKUP($A288,'Vocus RVC ExDa'!$C$2:$R$155, 0,FALSE), IFERROR(VLOOKUP($A288,'Fusion ExDa'!$B$2:$D$16, 0,FALSE), IFERROR(VLOOKUP($A288,'Exetel ExDa'!$C$2:$N$14, 8,FALSE), IFERROR(VLOOKUP($A288,'Infinet ExDa'!$B$2:$E$14, 0,FALSE), "Not Found"))))))))</f>
        <v>Not Found</v>
      </c>
      <c r="J288" t="str">
        <f>IFERROR(VLOOKUP($A288,'AAPT ExDa'!$B$2:$U$99, 7,FALSE), IFERROR(VLOOKUP($A288,'ABB ExDa'!$A$2:$N$184, 2,FALSE), IFERROR(VLOOKUP($A288,'Vocus SIT ExDa'!$B$2:$J$173, 0,FALSE), IFERROR(VLOOKUP($A288,'Telstra ExDa'!$B$2:$K$310, 7,FALSE), IFERROR(VLOOKUP($A288,'Vocus RVC ExDa'!$C$2:$R$155, 2,FALSE), IFERROR(VLOOKUP($A288,'Fusion ExDa'!$B$2:$D$16, 3,FALSE), IFERROR(VLOOKUP($A288,'Exetel ExDa'!$C$2:$N$14, 0,FALSE), IFERROR(VLOOKUP($A288,'Infinet ExDa'!$B$2:$E$14, 0,FALSE), "Not Found"))))))))</f>
        <v>Not Found</v>
      </c>
      <c r="K288" t="str">
        <f>IFERROR(VLOOKUP($A288,'AAPT ExDa'!$B$2:$U$99, 12,FALSE), IFERROR(VLOOKUP($A288,'ABB ExDa'!$A$2:$N$184, 0,FALSE), IFERROR(VLOOKUP($A288,'Vocus SIT ExDa'!$B$2:$J$173, 0,FALSE), IFERROR(VLOOKUP($A288,'Telstra ExDa'!$B$2:$K$310, 0,FALSE), IFERROR(VLOOKUP($A288,'Vocus RVC ExDa'!$C$2:$R$155, 0,FALSE), IFERROR(VLOOKUP($A288,'Fusion ExDa'!$B$2:$D$16, 0,FALSE), IFERROR(VLOOKUP($A288,'Exetel ExDa'!$C$2:$N$14, 12,FALSE), IFERROR(VLOOKUP($A288,'Infinet ExDa'!$B$2:$E$14, 0,FALSE), "Not Found"))))))))</f>
        <v>Not Found</v>
      </c>
      <c r="L288" s="235">
        <f>IFERROR(VLOOKUP($A288,'AAPT ExDa'!$B$2:$U$99, 11,FALSE), IFERROR(VLOOKUP($A288,'ABB ExDa'!$A$2:$N$184, 9,FALSE), IFERROR(VLOOKUP($A288,'Vocus SIT ExDa'!$B$2:$J$173, 8,FALSE), IFERROR(VLOOKUP($A288,'Telstra ExDa'!$B$2:$K$310, 0,FALSE), IFERROR(VLOOKUP($A288,'Vocus RVC ExDa'!$C$2:$R$155, 0,FALSE), IFERROR(VLOOKUP($A288,'Fusion ExDa'!$B$2:$D$16, 0,FALSE), IFERROR(VLOOKUP($A288,'Exetel ExDa'!$C$2:$N$14, 9,FALSE), IFERROR(VLOOKUP($A288,'Infinet ExDa'!$B$2:$E$14, 0,FALSE), "Not Found"))))))))</f>
        <v>45329</v>
      </c>
      <c r="M288" s="234" t="str">
        <f>IFERROR(VLOOKUP($A288,'AAPT ExDa'!$B$2:$U$99, 0,FALSE), IFERROR(VLOOKUP($A288,'ABB ExDa'!$A$2:$N$184, 0,FALSE), IFERROR(VLOOKUP($A288,'Vocus SIT ExDa'!$B$2:$J$173, 0,FALSE), IFERROR(VLOOKUP($A288,'Telstra ExDa'!$B$2:$K$310, 0,FALSE), IFERROR(VLOOKUP($A288,'Vocus RVC ExDa'!$C$2:$R$155, 0,FALSE), IFERROR(VLOOKUP($A288,'Fusion ExDa'!$B$2:$D$16, 0,FALSE), IFERROR(VLOOKUP($A288,'Exetel ExDa'!$C$2:$N$14, 11,FALSE), IFERROR(VLOOKUP($A288,'Infinet ExDa'!$B$2:$E$14, 0,FALSE), "Not Found"))))))))</f>
        <v>Not Found</v>
      </c>
      <c r="N288" t="str">
        <f>IFERROR(VLOOKUP($A288,'AAPT ExDa'!$B$2:$U$99, 0,FALSE), IFERROR(VLOOKUP($A288,'ABB ExDa'!$A$2:$N$184, 13,FALSE), IFERROR(VLOOKUP($A288,'Vocus SIT ExDa'!$B$2:$J$173, 0,FALSE), IFERROR(VLOOKUP($A288,'Telstra ExDa'!$B$2:$K$310, 0,FALSE), IFERROR(VLOOKUP($A288,'Vocus RVC ExDa'!$C$2:$R$155, 0,FALSE), IFERROR(VLOOKUP($A288,'Fusion ExDa'!$B$2:$D$16, 0,FALSE), IFERROR(VLOOKUP($A288,'Exetel ExDa'!$C$2:$N$14, 0,FALSE), IFERROR(VLOOKUP($A288,'Infinet ExDa'!$B$2:$E$14, 0,FALSE), "Not Found"))))))))</f>
        <v>Not Found</v>
      </c>
    </row>
    <row r="289" spans="1:14">
      <c r="A289" t="str">
        <v>Salter (exact site needed)</v>
      </c>
      <c r="B289" t="str">
        <f>IFERROR(VLOOKUP(A289,'Exetel ExDa'!$C$2:$N$14,4,FALSE),"No Data")</f>
        <v>No Data</v>
      </c>
      <c r="C289" t="str">
        <f>IFERROR(VLOOKUP(A289,'AAPT ExDa'!$B$2:$U$99, 2,FALSE), IFERROR(VLOOKUP(A289,'ABB ExDa'!$A$2:$N$184, 2,FALSE), IFERROR(VLOOKUP(A289,'Vocus SIT ExDa'!$B$2:$J$173, 7,FALSE), IFERROR(VLOOKUP(A289,'Telstra ExDa'!$B$2:$K$310, 2,FALSE), IFERROR(VLOOKUP(A289,'Vocus RVC ExDa'!$C$2:$R$155, 3,FALSE), IFERROR(VLOOKUP(A289,'Fusion ExDa'!$B$2:$D$16, 2,FALSE), IFERROR(VLOOKUP(A289,'Exetel ExDa'!$C$2:$N$14, 2,FALSE), IFERROR(VLOOKUP(A289,'Infinet ExDa'!$B$2:$E$14, 2,FALSE), "Not Found"))))))))</f>
        <v>Level 1D, 60 Enterprise Place, Tingalpa QLD 4174</v>
      </c>
      <c r="D289" t="str">
        <f>IFERROR(VLOOKUP($A289,'AAPT ExDa'!$B$2:$U$99, 15,FALSE), IFERROR(VLOOKUP($A289,'ABB ExDa'!$A$2:$N$184, 4,FALSE), IFERROR(VLOOKUP($A289,'Vocus SIT ExDa'!$B$2:$J$173, 5,FALSE), IFERROR(VLOOKUP($A289,'Telstra ExDa'!$B$2:$K$310, 8,FALSE), IFERROR(VLOOKUP($A289,'Vocus RVC ExDa'!$C$2:$R$155, 6,FALSE), IFERROR(VLOOKUP($A289,'Fusion ExDa'!$B$2:$D$16, 4,FALSE), IFERROR(VLOOKUP($A289,'Exetel ExDa'!$C$2:$N$14, 3,FALSE), IFERROR(VLOOKUP($A289,'Infinet ExDa'!$B$2:$E$14, 3,FALSE), "Not Found"))))))))</f>
        <v>Vocus SIT</v>
      </c>
      <c r="E289" t="str">
        <f>IFERROR(VLOOKUP($A289,'AAPT ExDa'!$B$2:$U$99, 3,FALSE), IFERROR(VLOOKUP($A289,'ABB ExDa'!$A$2:$N$184, 5,FALSE), IFERROR(VLOOKUP($A289,'Vocus SIT ExDa'!$B$2:$J$173, 2,FALSE), IFERROR(VLOOKUP($A289,'Telstra ExDa'!$B$2:$K$310, 4,FALSE), IFERROR(VLOOKUP($A289,'Vocus RVC ExDa'!$C$2:$R$155, 8,FALSE), IFERROR(VLOOKUP($A289,'Fusion ExDa'!$B$2:$D$16, 4,FALSE), IFERROR(VLOOKUP($A289,'Exetel ExDa'!$C$2:$N$14, 5,FALSE), IFERROR(VLOOKUP($A289,'Infinet ExDa'!$B$2:$E$14, 3,FALSE), "Not Found"))))))))</f>
        <v>Voice Service</v>
      </c>
      <c r="F289" t="str">
        <f>IFERROR(VLOOKUP($A289,'AAPT ExDa'!$B$2:$U$99, 4,FALSE), IFERROR(VLOOKUP($A289,'ABB ExDa'!$A$2:$N$184, 6,FALSE), IFERROR(VLOOKUP($A289,'Vocus SIT ExDa'!$B$2:$J$173, 3,FALSE), IFERROR(VLOOKUP($A289,'Telstra ExDa'!$B$2:$K$310, 5,FALSE), IFERROR(VLOOKUP($A289,'Vocus RVC ExDa'!$C$2:$R$155, 9,FALSE), IFERROR(VLOOKUP($A289,'Fusion ExDa'!$B$2:$D$16, 0,FALSE), IFERROR(VLOOKUP($A289,'Exetel ExDa'!$C$2:$N$14, 6,FALSE), IFERROR(VLOOKUP($A289,'Infinet ExDa'!$B$2:$E$14, 0,FALSE), "Not Found"))))))))</f>
        <v>n/a</v>
      </c>
      <c r="G289" t="str">
        <f>IFERROR(VLOOKUP($A289,'AAPT ExDa'!$B$2:$U$99, 5,FALSE), IFERROR(VLOOKUP($A289,'ABB ExDa'!$A$2:$N$184, 8,FALSE), IFERROR(VLOOKUP($A289,'Vocus SIT ExDa'!$B$2:$J$173, 6,FALSE), IFERROR(VLOOKUP($A289,'Telstra ExDa'!$B$2:$K$310, 0,FALSE), IFERROR(VLOOKUP($A289,'Vocus RVC ExDa'!$C$2:$R$155, 15,FALSE), IFERROR(VLOOKUP($A289,'Fusion ExDa'!$B$2:$D$16, 0,FALSE), IFERROR(VLOOKUP($A289,'Exetel ExDa'!$C$2:$N$14, 7,FALSE), IFERROR(VLOOKUP($A289,'Infinet ExDa'!$B$2:$E$14, 0,FALSE), "Not Found"))))))))</f>
        <v>IP Tel Order - Smile Tel - 03/04/2024 - 592190 Salter
IP Tel with Webex Basic (Reseller)
Voice (5 Mbps) - Level 1D, 60 Enterprise Place, Tingalpa QLD 4173</v>
      </c>
      <c r="H289" t="str">
        <f>IFERROR(VLOOKUP($A289,'AAPT ExDa'!$B$2:$U$99, 6,FALSE), IFERROR(VLOOKUP($A289,'ABB ExDa'!$A$2:$N$184, 0,FALSE), IFERROR(VLOOKUP($A289,'Vocus SIT ExDa'!$B$2:$J$173, 0,FALSE), IFERROR(VLOOKUP($A289,'Telstra ExDa'!$B$2:$K$310, 0,FALSE), IFERROR(VLOOKUP($A289,'Vocus RVC ExDa'!$C$2:$R$155, 16,FALSE), IFERROR(VLOOKUP($A289,'Fusion ExDa'!$B$2:$D$16, 0,FALSE), IFERROR(VLOOKUP($A289,'Exetel ExDa'!$C$2:$N$14, 0,FALSE), IFERROR(VLOOKUP($A289,'Infinet ExDa'!$B$2:$E$14, 0,FALSE), "Not Found"))))))))</f>
        <v>Not Found</v>
      </c>
      <c r="I289" t="str">
        <f>IFERROR(VLOOKUP($A289,'AAPT ExDa'!$B$2:$U$99, 0,FALSE), IFERROR(VLOOKUP($A289,'ABB ExDa'!$A$2:$N$184, 0,FALSE), IFERROR(VLOOKUP($A289,'Vocus SIT ExDa'!$B$2:$J$173, 0,FALSE), IFERROR(VLOOKUP($A289,'Telstra ExDa'!$B$2:$K$310, 0,FALSE), IFERROR(VLOOKUP($A289,'Vocus RVC ExDa'!$C$2:$R$155, 0,FALSE), IFERROR(VLOOKUP($A289,'Fusion ExDa'!$B$2:$D$16, 0,FALSE), IFERROR(VLOOKUP($A289,'Exetel ExDa'!$C$2:$N$14, 8,FALSE), IFERROR(VLOOKUP($A289,'Infinet ExDa'!$B$2:$E$14, 0,FALSE), "Not Found"))))))))</f>
        <v>Not Found</v>
      </c>
      <c r="J289" t="str">
        <f>IFERROR(VLOOKUP($A289,'AAPT ExDa'!$B$2:$U$99, 7,FALSE), IFERROR(VLOOKUP($A289,'ABB ExDa'!$A$2:$N$184, 2,FALSE), IFERROR(VLOOKUP($A289,'Vocus SIT ExDa'!$B$2:$J$173, 0,FALSE), IFERROR(VLOOKUP($A289,'Telstra ExDa'!$B$2:$K$310, 7,FALSE), IFERROR(VLOOKUP($A289,'Vocus RVC ExDa'!$C$2:$R$155, 2,FALSE), IFERROR(VLOOKUP($A289,'Fusion ExDa'!$B$2:$D$16, 3,FALSE), IFERROR(VLOOKUP($A289,'Exetel ExDa'!$C$2:$N$14, 0,FALSE), IFERROR(VLOOKUP($A289,'Infinet ExDa'!$B$2:$E$14, 0,FALSE), "Not Found"))))))))</f>
        <v>Not Found</v>
      </c>
      <c r="K289" t="str">
        <f>IFERROR(VLOOKUP($A289,'AAPT ExDa'!$B$2:$U$99, 12,FALSE), IFERROR(VLOOKUP($A289,'ABB ExDa'!$A$2:$N$184, 0,FALSE), IFERROR(VLOOKUP($A289,'Vocus SIT ExDa'!$B$2:$J$173, 0,FALSE), IFERROR(VLOOKUP($A289,'Telstra ExDa'!$B$2:$K$310, 0,FALSE), IFERROR(VLOOKUP($A289,'Vocus RVC ExDa'!$C$2:$R$155, 0,FALSE), IFERROR(VLOOKUP($A289,'Fusion ExDa'!$B$2:$D$16, 0,FALSE), IFERROR(VLOOKUP($A289,'Exetel ExDa'!$C$2:$N$14, 12,FALSE), IFERROR(VLOOKUP($A289,'Infinet ExDa'!$B$2:$E$14, 0,FALSE), "Not Found"))))))))</f>
        <v>Not Found</v>
      </c>
      <c r="L289" s="235">
        <f>IFERROR(VLOOKUP($A289,'AAPT ExDa'!$B$2:$U$99, 11,FALSE), IFERROR(VLOOKUP($A289,'ABB ExDa'!$A$2:$N$184, 9,FALSE), IFERROR(VLOOKUP($A289,'Vocus SIT ExDa'!$B$2:$J$173, 8,FALSE), IFERROR(VLOOKUP($A289,'Telstra ExDa'!$B$2:$K$310, 0,FALSE), IFERROR(VLOOKUP($A289,'Vocus RVC ExDa'!$C$2:$R$155, 0,FALSE), IFERROR(VLOOKUP($A289,'Fusion ExDa'!$B$2:$D$16, 0,FALSE), IFERROR(VLOOKUP($A289,'Exetel ExDa'!$C$2:$N$14, 9,FALSE), IFERROR(VLOOKUP($A289,'Infinet ExDa'!$B$2:$E$14, 0,FALSE), "Not Found"))))))))</f>
        <v>45386</v>
      </c>
      <c r="M289" s="234" t="str">
        <f>IFERROR(VLOOKUP($A289,'AAPT ExDa'!$B$2:$U$99, 0,FALSE), IFERROR(VLOOKUP($A289,'ABB ExDa'!$A$2:$N$184, 0,FALSE), IFERROR(VLOOKUP($A289,'Vocus SIT ExDa'!$B$2:$J$173, 0,FALSE), IFERROR(VLOOKUP($A289,'Telstra ExDa'!$B$2:$K$310, 0,FALSE), IFERROR(VLOOKUP($A289,'Vocus RVC ExDa'!$C$2:$R$155, 0,FALSE), IFERROR(VLOOKUP($A289,'Fusion ExDa'!$B$2:$D$16, 0,FALSE), IFERROR(VLOOKUP($A289,'Exetel ExDa'!$C$2:$N$14, 11,FALSE), IFERROR(VLOOKUP($A289,'Infinet ExDa'!$B$2:$E$14, 0,FALSE), "Not Found"))))))))</f>
        <v>Not Found</v>
      </c>
      <c r="N289" t="str">
        <f>IFERROR(VLOOKUP($A289,'AAPT ExDa'!$B$2:$U$99, 0,FALSE), IFERROR(VLOOKUP($A289,'ABB ExDa'!$A$2:$N$184, 13,FALSE), IFERROR(VLOOKUP($A289,'Vocus SIT ExDa'!$B$2:$J$173, 0,FALSE), IFERROR(VLOOKUP($A289,'Telstra ExDa'!$B$2:$K$310, 0,FALSE), IFERROR(VLOOKUP($A289,'Vocus RVC ExDa'!$C$2:$R$155, 0,FALSE), IFERROR(VLOOKUP($A289,'Fusion ExDa'!$B$2:$D$16, 0,FALSE), IFERROR(VLOOKUP($A289,'Exetel ExDa'!$C$2:$N$14, 0,FALSE), IFERROR(VLOOKUP($A289,'Infinet ExDa'!$B$2:$E$14, 0,FALSE), "Not Found"))))))))</f>
        <v>Not Found</v>
      </c>
    </row>
    <row r="290" spans="1:14">
      <c r="A290" t="str">
        <v>Red Roo Australia</v>
      </c>
      <c r="B290" t="str">
        <f>IFERROR(VLOOKUP(A290,'Exetel ExDa'!$C$2:$N$14,4,FALSE),"No Data")</f>
        <v>No Data</v>
      </c>
      <c r="C290" t="str">
        <f>IFERROR(VLOOKUP(A290,'AAPT ExDa'!$B$2:$U$99, 2,FALSE), IFERROR(VLOOKUP(A290,'ABB ExDa'!$A$2:$N$184, 2,FALSE), IFERROR(VLOOKUP(A290,'Vocus SIT ExDa'!$B$2:$J$173, 7,FALSE), IFERROR(VLOOKUP(A290,'Telstra ExDa'!$B$2:$K$310, 2,FALSE), IFERROR(VLOOKUP(A290,'Vocus RVC ExDa'!$C$2:$R$155, 3,FALSE), IFERROR(VLOOKUP(A290,'Fusion ExDa'!$B$2:$D$16, 2,FALSE), IFERROR(VLOOKUP(A290,'Exetel ExDa'!$C$2:$N$14, 2,FALSE), IFERROR(VLOOKUP(A290,'Infinet ExDa'!$B$2:$E$14, 2,FALSE), "Not Found"))))))))</f>
        <v>Level 1D, 60 Enterprise Place, Tingalpa QLD 4174</v>
      </c>
      <c r="D290" t="str">
        <f>IFERROR(VLOOKUP($A290,'AAPT ExDa'!$B$2:$U$99, 15,FALSE), IFERROR(VLOOKUP($A290,'ABB ExDa'!$A$2:$N$184, 4,FALSE), IFERROR(VLOOKUP($A290,'Vocus SIT ExDa'!$B$2:$J$173, 5,FALSE), IFERROR(VLOOKUP($A290,'Telstra ExDa'!$B$2:$K$310, 8,FALSE), IFERROR(VLOOKUP($A290,'Vocus RVC ExDa'!$C$2:$R$155, 6,FALSE), IFERROR(VLOOKUP($A290,'Fusion ExDa'!$B$2:$D$16, 4,FALSE), IFERROR(VLOOKUP($A290,'Exetel ExDa'!$C$2:$N$14, 3,FALSE), IFERROR(VLOOKUP($A290,'Infinet ExDa'!$B$2:$E$14, 3,FALSE), "Not Found"))))))))</f>
        <v>Vocus SIT</v>
      </c>
      <c r="E290" t="str">
        <f>IFERROR(VLOOKUP($A290,'AAPT ExDa'!$B$2:$U$99, 3,FALSE), IFERROR(VLOOKUP($A290,'ABB ExDa'!$A$2:$N$184, 5,FALSE), IFERROR(VLOOKUP($A290,'Vocus SIT ExDa'!$B$2:$J$173, 2,FALSE), IFERROR(VLOOKUP($A290,'Telstra ExDa'!$B$2:$K$310, 4,FALSE), IFERROR(VLOOKUP($A290,'Vocus RVC ExDa'!$C$2:$R$155, 8,FALSE), IFERROR(VLOOKUP($A290,'Fusion ExDa'!$B$2:$D$16, 4,FALSE), IFERROR(VLOOKUP($A290,'Exetel ExDa'!$C$2:$N$14, 5,FALSE), IFERROR(VLOOKUP($A290,'Infinet ExDa'!$B$2:$E$14, 3,FALSE), "Not Found"))))))))</f>
        <v>Voice Service</v>
      </c>
      <c r="F290" t="str">
        <f>IFERROR(VLOOKUP($A290,'AAPT ExDa'!$B$2:$U$99, 4,FALSE), IFERROR(VLOOKUP($A290,'ABB ExDa'!$A$2:$N$184, 6,FALSE), IFERROR(VLOOKUP($A290,'Vocus SIT ExDa'!$B$2:$J$173, 3,FALSE), IFERROR(VLOOKUP($A290,'Telstra ExDa'!$B$2:$K$310, 5,FALSE), IFERROR(VLOOKUP($A290,'Vocus RVC ExDa'!$C$2:$R$155, 9,FALSE), IFERROR(VLOOKUP($A290,'Fusion ExDa'!$B$2:$D$16, 0,FALSE), IFERROR(VLOOKUP($A290,'Exetel ExDa'!$C$2:$N$14, 6,FALSE), IFERROR(VLOOKUP($A290,'Infinet ExDa'!$B$2:$E$14, 0,FALSE), "Not Found"))))))))</f>
        <v>0732558755
0731534563
0736330230
0731534561</v>
      </c>
      <c r="G290" t="str">
        <f>IFERROR(VLOOKUP($A290,'AAPT ExDa'!$B$2:$U$99, 5,FALSE), IFERROR(VLOOKUP($A290,'ABB ExDa'!$A$2:$N$184, 8,FALSE), IFERROR(VLOOKUP($A290,'Vocus SIT ExDa'!$B$2:$J$173, 6,FALSE), IFERROR(VLOOKUP($A290,'Telstra ExDa'!$B$2:$K$310, 0,FALSE), IFERROR(VLOOKUP($A290,'Vocus RVC ExDa'!$C$2:$R$155, 15,FALSE), IFERROR(VLOOKUP($A290,'Fusion ExDa'!$B$2:$D$16, 0,FALSE), IFERROR(VLOOKUP($A290,'Exetel ExDa'!$C$2:$N$14, 7,FALSE), IFERROR(VLOOKUP($A290,'Infinet ExDa'!$B$2:$E$14, 0,FALSE), "Not Found"))))))))</f>
        <v>IP Tel Order - Smile Tel - 18/04/2024
Voice (5 Mbps) - Level 1D, 60 Enterprise Place, Tingalpa QLD 4173</v>
      </c>
      <c r="H290" t="str">
        <f>IFERROR(VLOOKUP($A290,'AAPT ExDa'!$B$2:$U$99, 6,FALSE), IFERROR(VLOOKUP($A290,'ABB ExDa'!$A$2:$N$184, 0,FALSE), IFERROR(VLOOKUP($A290,'Vocus SIT ExDa'!$B$2:$J$173, 0,FALSE), IFERROR(VLOOKUP($A290,'Telstra ExDa'!$B$2:$K$310, 0,FALSE), IFERROR(VLOOKUP($A290,'Vocus RVC ExDa'!$C$2:$R$155, 16,FALSE), IFERROR(VLOOKUP($A290,'Fusion ExDa'!$B$2:$D$16, 0,FALSE), IFERROR(VLOOKUP($A290,'Exetel ExDa'!$C$2:$N$14, 0,FALSE), IFERROR(VLOOKUP($A290,'Infinet ExDa'!$B$2:$E$14, 0,FALSE), "Not Found"))))))))</f>
        <v>Not Found</v>
      </c>
      <c r="I290" t="str">
        <f>IFERROR(VLOOKUP($A290,'AAPT ExDa'!$B$2:$U$99, 0,FALSE), IFERROR(VLOOKUP($A290,'ABB ExDa'!$A$2:$N$184, 0,FALSE), IFERROR(VLOOKUP($A290,'Vocus SIT ExDa'!$B$2:$J$173, 0,FALSE), IFERROR(VLOOKUP($A290,'Telstra ExDa'!$B$2:$K$310, 0,FALSE), IFERROR(VLOOKUP($A290,'Vocus RVC ExDa'!$C$2:$R$155, 0,FALSE), IFERROR(VLOOKUP($A290,'Fusion ExDa'!$B$2:$D$16, 0,FALSE), IFERROR(VLOOKUP($A290,'Exetel ExDa'!$C$2:$N$14, 8,FALSE), IFERROR(VLOOKUP($A290,'Infinet ExDa'!$B$2:$E$14, 0,FALSE), "Not Found"))))))))</f>
        <v>Not Found</v>
      </c>
      <c r="J290" t="str">
        <f>IFERROR(VLOOKUP($A290,'AAPT ExDa'!$B$2:$U$99, 7,FALSE), IFERROR(VLOOKUP($A290,'ABB ExDa'!$A$2:$N$184, 2,FALSE), IFERROR(VLOOKUP($A290,'Vocus SIT ExDa'!$B$2:$J$173, 0,FALSE), IFERROR(VLOOKUP($A290,'Telstra ExDa'!$B$2:$K$310, 7,FALSE), IFERROR(VLOOKUP($A290,'Vocus RVC ExDa'!$C$2:$R$155, 2,FALSE), IFERROR(VLOOKUP($A290,'Fusion ExDa'!$B$2:$D$16, 3,FALSE), IFERROR(VLOOKUP($A290,'Exetel ExDa'!$C$2:$N$14, 0,FALSE), IFERROR(VLOOKUP($A290,'Infinet ExDa'!$B$2:$E$14, 0,FALSE), "Not Found"))))))))</f>
        <v>Not Found</v>
      </c>
      <c r="K290" t="str">
        <f>IFERROR(VLOOKUP($A290,'AAPT ExDa'!$B$2:$U$99, 12,FALSE), IFERROR(VLOOKUP($A290,'ABB ExDa'!$A$2:$N$184, 0,FALSE), IFERROR(VLOOKUP($A290,'Vocus SIT ExDa'!$B$2:$J$173, 0,FALSE), IFERROR(VLOOKUP($A290,'Telstra ExDa'!$B$2:$K$310, 0,FALSE), IFERROR(VLOOKUP($A290,'Vocus RVC ExDa'!$C$2:$R$155, 0,FALSE), IFERROR(VLOOKUP($A290,'Fusion ExDa'!$B$2:$D$16, 0,FALSE), IFERROR(VLOOKUP($A290,'Exetel ExDa'!$C$2:$N$14, 12,FALSE), IFERROR(VLOOKUP($A290,'Infinet ExDa'!$B$2:$E$14, 0,FALSE), "Not Found"))))))))</f>
        <v>Not Found</v>
      </c>
      <c r="L290" s="235" t="str">
        <f>IFERROR(VLOOKUP($A290,'AAPT ExDa'!$B$2:$U$99, 11,FALSE), IFERROR(VLOOKUP($A290,'ABB ExDa'!$A$2:$N$184, 9,FALSE), IFERROR(VLOOKUP($A290,'Vocus SIT ExDa'!$B$2:$J$173, 8,FALSE), IFERROR(VLOOKUP($A290,'Telstra ExDa'!$B$2:$K$310, 0,FALSE), IFERROR(VLOOKUP($A290,'Vocus RVC ExDa'!$C$2:$R$155, 0,FALSE), IFERROR(VLOOKUP($A290,'Fusion ExDa'!$B$2:$D$16, 0,FALSE), IFERROR(VLOOKUP($A290,'Exetel ExDa'!$C$2:$N$14, 9,FALSE), IFERROR(VLOOKUP($A290,'Infinet ExDa'!$B$2:$E$14, 0,FALSE), "Not Found"))))))))</f>
        <v>13/06/2024</v>
      </c>
      <c r="M290" s="234" t="str">
        <f>IFERROR(VLOOKUP($A290,'AAPT ExDa'!$B$2:$U$99, 0,FALSE), IFERROR(VLOOKUP($A290,'ABB ExDa'!$A$2:$N$184, 0,FALSE), IFERROR(VLOOKUP($A290,'Vocus SIT ExDa'!$B$2:$J$173, 0,FALSE), IFERROR(VLOOKUP($A290,'Telstra ExDa'!$B$2:$K$310, 0,FALSE), IFERROR(VLOOKUP($A290,'Vocus RVC ExDa'!$C$2:$R$155, 0,FALSE), IFERROR(VLOOKUP($A290,'Fusion ExDa'!$B$2:$D$16, 0,FALSE), IFERROR(VLOOKUP($A290,'Exetel ExDa'!$C$2:$N$14, 11,FALSE), IFERROR(VLOOKUP($A290,'Infinet ExDa'!$B$2:$E$14, 0,FALSE), "Not Found"))))))))</f>
        <v>Not Found</v>
      </c>
      <c r="N290" t="str">
        <f>IFERROR(VLOOKUP($A290,'AAPT ExDa'!$B$2:$U$99, 0,FALSE), IFERROR(VLOOKUP($A290,'ABB ExDa'!$A$2:$N$184, 13,FALSE), IFERROR(VLOOKUP($A290,'Vocus SIT ExDa'!$B$2:$J$173, 0,FALSE), IFERROR(VLOOKUP($A290,'Telstra ExDa'!$B$2:$K$310, 0,FALSE), IFERROR(VLOOKUP($A290,'Vocus RVC ExDa'!$C$2:$R$155, 0,FALSE), IFERROR(VLOOKUP($A290,'Fusion ExDa'!$B$2:$D$16, 0,FALSE), IFERROR(VLOOKUP($A290,'Exetel ExDa'!$C$2:$N$14, 0,FALSE), IFERROR(VLOOKUP($A290,'Infinet ExDa'!$B$2:$E$14, 0,FALSE), "Not Found"))))))))</f>
        <v>Not Found</v>
      </c>
    </row>
    <row r="291" spans="1:14">
      <c r="A291" t="str">
        <v>Red Roo Australia</v>
      </c>
      <c r="B291" t="str">
        <f>IFERROR(VLOOKUP(A291,'Exetel ExDa'!$C$2:$N$14,4,FALSE),"No Data")</f>
        <v>No Data</v>
      </c>
      <c r="C291" t="str">
        <f>IFERROR(VLOOKUP(A291,'AAPT ExDa'!$B$2:$U$99, 2,FALSE), IFERROR(VLOOKUP(A291,'ABB ExDa'!$A$2:$N$184, 2,FALSE), IFERROR(VLOOKUP(A291,'Vocus SIT ExDa'!$B$2:$J$173, 7,FALSE), IFERROR(VLOOKUP(A291,'Telstra ExDa'!$B$2:$K$310, 2,FALSE), IFERROR(VLOOKUP(A291,'Vocus RVC ExDa'!$C$2:$R$155, 3,FALSE), IFERROR(VLOOKUP(A291,'Fusion ExDa'!$B$2:$D$16, 2,FALSE), IFERROR(VLOOKUP(A291,'Exetel ExDa'!$C$2:$N$14, 2,FALSE), IFERROR(VLOOKUP(A291,'Infinet ExDa'!$B$2:$E$14, 2,FALSE), "Not Found"))))))))</f>
        <v>Level 1D, 60 Enterprise Place, Tingalpa QLD 4174</v>
      </c>
      <c r="D291" t="str">
        <f>IFERROR(VLOOKUP($A291,'AAPT ExDa'!$B$2:$U$99, 15,FALSE), IFERROR(VLOOKUP($A291,'ABB ExDa'!$A$2:$N$184, 4,FALSE), IFERROR(VLOOKUP($A291,'Vocus SIT ExDa'!$B$2:$J$173, 5,FALSE), IFERROR(VLOOKUP($A291,'Telstra ExDa'!$B$2:$K$310, 8,FALSE), IFERROR(VLOOKUP($A291,'Vocus RVC ExDa'!$C$2:$R$155, 6,FALSE), IFERROR(VLOOKUP($A291,'Fusion ExDa'!$B$2:$D$16, 4,FALSE), IFERROR(VLOOKUP($A291,'Exetel ExDa'!$C$2:$N$14, 3,FALSE), IFERROR(VLOOKUP($A291,'Infinet ExDa'!$B$2:$E$14, 3,FALSE), "Not Found"))))))))</f>
        <v>Vocus SIT</v>
      </c>
      <c r="E291" t="str">
        <f>IFERROR(VLOOKUP($A291,'AAPT ExDa'!$B$2:$U$99, 3,FALSE), IFERROR(VLOOKUP($A291,'ABB ExDa'!$A$2:$N$184, 5,FALSE), IFERROR(VLOOKUP($A291,'Vocus SIT ExDa'!$B$2:$J$173, 2,FALSE), IFERROR(VLOOKUP($A291,'Telstra ExDa'!$B$2:$K$310, 4,FALSE), IFERROR(VLOOKUP($A291,'Vocus RVC ExDa'!$C$2:$R$155, 8,FALSE), IFERROR(VLOOKUP($A291,'Fusion ExDa'!$B$2:$D$16, 4,FALSE), IFERROR(VLOOKUP($A291,'Exetel ExDa'!$C$2:$N$14, 5,FALSE), IFERROR(VLOOKUP($A291,'Infinet ExDa'!$B$2:$E$14, 3,FALSE), "Not Found"))))))))</f>
        <v>Voice Service</v>
      </c>
      <c r="F291" t="str">
        <f>IFERROR(VLOOKUP($A291,'AAPT ExDa'!$B$2:$U$99, 4,FALSE), IFERROR(VLOOKUP($A291,'ABB ExDa'!$A$2:$N$184, 6,FALSE), IFERROR(VLOOKUP($A291,'Vocus SIT ExDa'!$B$2:$J$173, 3,FALSE), IFERROR(VLOOKUP($A291,'Telstra ExDa'!$B$2:$K$310, 5,FALSE), IFERROR(VLOOKUP($A291,'Vocus RVC ExDa'!$C$2:$R$155, 9,FALSE), IFERROR(VLOOKUP($A291,'Fusion ExDa'!$B$2:$D$16, 0,FALSE), IFERROR(VLOOKUP($A291,'Exetel ExDa'!$C$2:$N$14, 6,FALSE), IFERROR(VLOOKUP($A291,'Infinet ExDa'!$B$2:$E$14, 0,FALSE), "Not Found"))))))))</f>
        <v>0732558755
0731534563
0736330230
0731534561</v>
      </c>
      <c r="G291" t="str">
        <f>IFERROR(VLOOKUP($A291,'AAPT ExDa'!$B$2:$U$99, 5,FALSE), IFERROR(VLOOKUP($A291,'ABB ExDa'!$A$2:$N$184, 8,FALSE), IFERROR(VLOOKUP($A291,'Vocus SIT ExDa'!$B$2:$J$173, 6,FALSE), IFERROR(VLOOKUP($A291,'Telstra ExDa'!$B$2:$K$310, 0,FALSE), IFERROR(VLOOKUP($A291,'Vocus RVC ExDa'!$C$2:$R$155, 15,FALSE), IFERROR(VLOOKUP($A291,'Fusion ExDa'!$B$2:$D$16, 0,FALSE), IFERROR(VLOOKUP($A291,'Exetel ExDa'!$C$2:$N$14, 7,FALSE), IFERROR(VLOOKUP($A291,'Infinet ExDa'!$B$2:$E$14, 0,FALSE), "Not Found"))))))))</f>
        <v>IP Tel Order - Smile Tel - 18/04/2024
Voice (5 Mbps) - Level 1D, 60 Enterprise Place, Tingalpa QLD 4173</v>
      </c>
      <c r="H291" t="str">
        <f>IFERROR(VLOOKUP($A291,'AAPT ExDa'!$B$2:$U$99, 6,FALSE), IFERROR(VLOOKUP($A291,'ABB ExDa'!$A$2:$N$184, 0,FALSE), IFERROR(VLOOKUP($A291,'Vocus SIT ExDa'!$B$2:$J$173, 0,FALSE), IFERROR(VLOOKUP($A291,'Telstra ExDa'!$B$2:$K$310, 0,FALSE), IFERROR(VLOOKUP($A291,'Vocus RVC ExDa'!$C$2:$R$155, 16,FALSE), IFERROR(VLOOKUP($A291,'Fusion ExDa'!$B$2:$D$16, 0,FALSE), IFERROR(VLOOKUP($A291,'Exetel ExDa'!$C$2:$N$14, 0,FALSE), IFERROR(VLOOKUP($A291,'Infinet ExDa'!$B$2:$E$14, 0,FALSE), "Not Found"))))))))</f>
        <v>Not Found</v>
      </c>
      <c r="I291" t="str">
        <f>IFERROR(VLOOKUP($A291,'AAPT ExDa'!$B$2:$U$99, 0,FALSE), IFERROR(VLOOKUP($A291,'ABB ExDa'!$A$2:$N$184, 0,FALSE), IFERROR(VLOOKUP($A291,'Vocus SIT ExDa'!$B$2:$J$173, 0,FALSE), IFERROR(VLOOKUP($A291,'Telstra ExDa'!$B$2:$K$310, 0,FALSE), IFERROR(VLOOKUP($A291,'Vocus RVC ExDa'!$C$2:$R$155, 0,FALSE), IFERROR(VLOOKUP($A291,'Fusion ExDa'!$B$2:$D$16, 0,FALSE), IFERROR(VLOOKUP($A291,'Exetel ExDa'!$C$2:$N$14, 8,FALSE), IFERROR(VLOOKUP($A291,'Infinet ExDa'!$B$2:$E$14, 0,FALSE), "Not Found"))))))))</f>
        <v>Not Found</v>
      </c>
      <c r="J291" t="str">
        <f>IFERROR(VLOOKUP($A291,'AAPT ExDa'!$B$2:$U$99, 7,FALSE), IFERROR(VLOOKUP($A291,'ABB ExDa'!$A$2:$N$184, 2,FALSE), IFERROR(VLOOKUP($A291,'Vocus SIT ExDa'!$B$2:$J$173, 0,FALSE), IFERROR(VLOOKUP($A291,'Telstra ExDa'!$B$2:$K$310, 7,FALSE), IFERROR(VLOOKUP($A291,'Vocus RVC ExDa'!$C$2:$R$155, 2,FALSE), IFERROR(VLOOKUP($A291,'Fusion ExDa'!$B$2:$D$16, 3,FALSE), IFERROR(VLOOKUP($A291,'Exetel ExDa'!$C$2:$N$14, 0,FALSE), IFERROR(VLOOKUP($A291,'Infinet ExDa'!$B$2:$E$14, 0,FALSE), "Not Found"))))))))</f>
        <v>Not Found</v>
      </c>
      <c r="K291" t="str">
        <f>IFERROR(VLOOKUP($A291,'AAPT ExDa'!$B$2:$U$99, 12,FALSE), IFERROR(VLOOKUP($A291,'ABB ExDa'!$A$2:$N$184, 0,FALSE), IFERROR(VLOOKUP($A291,'Vocus SIT ExDa'!$B$2:$J$173, 0,FALSE), IFERROR(VLOOKUP($A291,'Telstra ExDa'!$B$2:$K$310, 0,FALSE), IFERROR(VLOOKUP($A291,'Vocus RVC ExDa'!$C$2:$R$155, 0,FALSE), IFERROR(VLOOKUP($A291,'Fusion ExDa'!$B$2:$D$16, 0,FALSE), IFERROR(VLOOKUP($A291,'Exetel ExDa'!$C$2:$N$14, 12,FALSE), IFERROR(VLOOKUP($A291,'Infinet ExDa'!$B$2:$E$14, 0,FALSE), "Not Found"))))))))</f>
        <v>Not Found</v>
      </c>
      <c r="L291" s="235" t="str">
        <f>IFERROR(VLOOKUP($A291,'AAPT ExDa'!$B$2:$U$99, 11,FALSE), IFERROR(VLOOKUP($A291,'ABB ExDa'!$A$2:$N$184, 9,FALSE), IFERROR(VLOOKUP($A291,'Vocus SIT ExDa'!$B$2:$J$173, 8,FALSE), IFERROR(VLOOKUP($A291,'Telstra ExDa'!$B$2:$K$310, 0,FALSE), IFERROR(VLOOKUP($A291,'Vocus RVC ExDa'!$C$2:$R$155, 0,FALSE), IFERROR(VLOOKUP($A291,'Fusion ExDa'!$B$2:$D$16, 0,FALSE), IFERROR(VLOOKUP($A291,'Exetel ExDa'!$C$2:$N$14, 9,FALSE), IFERROR(VLOOKUP($A291,'Infinet ExDa'!$B$2:$E$14, 0,FALSE), "Not Found"))))))))</f>
        <v>13/06/2024</v>
      </c>
      <c r="M291" s="234" t="str">
        <f>IFERROR(VLOOKUP($A291,'AAPT ExDa'!$B$2:$U$99, 0,FALSE), IFERROR(VLOOKUP($A291,'ABB ExDa'!$A$2:$N$184, 0,FALSE), IFERROR(VLOOKUP($A291,'Vocus SIT ExDa'!$B$2:$J$173, 0,FALSE), IFERROR(VLOOKUP($A291,'Telstra ExDa'!$B$2:$K$310, 0,FALSE), IFERROR(VLOOKUP($A291,'Vocus RVC ExDa'!$C$2:$R$155, 0,FALSE), IFERROR(VLOOKUP($A291,'Fusion ExDa'!$B$2:$D$16, 0,FALSE), IFERROR(VLOOKUP($A291,'Exetel ExDa'!$C$2:$N$14, 11,FALSE), IFERROR(VLOOKUP($A291,'Infinet ExDa'!$B$2:$E$14, 0,FALSE), "Not Found"))))))))</f>
        <v>Not Found</v>
      </c>
      <c r="N291" t="str">
        <f>IFERROR(VLOOKUP($A291,'AAPT ExDa'!$B$2:$U$99, 0,FALSE), IFERROR(VLOOKUP($A291,'ABB ExDa'!$A$2:$N$184, 13,FALSE), IFERROR(VLOOKUP($A291,'Vocus SIT ExDa'!$B$2:$J$173, 0,FALSE), IFERROR(VLOOKUP($A291,'Telstra ExDa'!$B$2:$K$310, 0,FALSE), IFERROR(VLOOKUP($A291,'Vocus RVC ExDa'!$C$2:$R$155, 0,FALSE), IFERROR(VLOOKUP($A291,'Fusion ExDa'!$B$2:$D$16, 0,FALSE), IFERROR(VLOOKUP($A291,'Exetel ExDa'!$C$2:$N$14, 0,FALSE), IFERROR(VLOOKUP($A291,'Infinet ExDa'!$B$2:$E$14, 0,FALSE), "Not Found"))))))))</f>
        <v>Not Found</v>
      </c>
    </row>
    <row r="292" spans="1:14">
      <c r="A292" t="str">
        <v>Swara</v>
      </c>
      <c r="B292" t="str">
        <f>IFERROR(VLOOKUP(A292,'Exetel ExDa'!$C$2:$N$14,4,FALSE),"No Data")</f>
        <v>No Data</v>
      </c>
      <c r="C292" t="str">
        <f>IFERROR(VLOOKUP(A292,'AAPT ExDa'!$B$2:$U$99, 2,FALSE), IFERROR(VLOOKUP(A292,'ABB ExDa'!$A$2:$N$184, 2,FALSE), IFERROR(VLOOKUP(A292,'Vocus SIT ExDa'!$B$2:$J$173, 7,FALSE), IFERROR(VLOOKUP(A292,'Telstra ExDa'!$B$2:$K$310, 2,FALSE), IFERROR(VLOOKUP(A292,'Vocus RVC ExDa'!$C$2:$R$155, 3,FALSE), IFERROR(VLOOKUP(A292,'Fusion ExDa'!$B$2:$D$16, 2,FALSE), IFERROR(VLOOKUP(A292,'Exetel ExDa'!$C$2:$N$14, 2,FALSE), IFERROR(VLOOKUP(A292,'Infinet ExDa'!$B$2:$E$14, 2,FALSE), "Not Found"))))))))</f>
        <v>Level 1D, 60 Enterprise Place, Tingalpa QLD 4174</v>
      </c>
      <c r="D292" t="str">
        <f>IFERROR(VLOOKUP($A292,'AAPT ExDa'!$B$2:$U$99, 15,FALSE), IFERROR(VLOOKUP($A292,'ABB ExDa'!$A$2:$N$184, 4,FALSE), IFERROR(VLOOKUP($A292,'Vocus SIT ExDa'!$B$2:$J$173, 5,FALSE), IFERROR(VLOOKUP($A292,'Telstra ExDa'!$B$2:$K$310, 8,FALSE), IFERROR(VLOOKUP($A292,'Vocus RVC ExDa'!$C$2:$R$155, 6,FALSE), IFERROR(VLOOKUP($A292,'Fusion ExDa'!$B$2:$D$16, 4,FALSE), IFERROR(VLOOKUP($A292,'Exetel ExDa'!$C$2:$N$14, 3,FALSE), IFERROR(VLOOKUP($A292,'Infinet ExDa'!$B$2:$E$14, 3,FALSE), "Not Found"))))))))</f>
        <v>Vocus SIT</v>
      </c>
      <c r="E292" t="str">
        <f>IFERROR(VLOOKUP($A292,'AAPT ExDa'!$B$2:$U$99, 3,FALSE), IFERROR(VLOOKUP($A292,'ABB ExDa'!$A$2:$N$184, 5,FALSE), IFERROR(VLOOKUP($A292,'Vocus SIT ExDa'!$B$2:$J$173, 2,FALSE), IFERROR(VLOOKUP($A292,'Telstra ExDa'!$B$2:$K$310, 4,FALSE), IFERROR(VLOOKUP($A292,'Vocus RVC ExDa'!$C$2:$R$155, 8,FALSE), IFERROR(VLOOKUP($A292,'Fusion ExDa'!$B$2:$D$16, 4,FALSE), IFERROR(VLOOKUP($A292,'Exetel ExDa'!$C$2:$N$14, 5,FALSE), IFERROR(VLOOKUP($A292,'Infinet ExDa'!$B$2:$E$14, 3,FALSE), "Not Found"))))))))</f>
        <v>Voice Service</v>
      </c>
      <c r="F292" t="str">
        <f>IFERROR(VLOOKUP($A292,'AAPT ExDa'!$B$2:$U$99, 4,FALSE), IFERROR(VLOOKUP($A292,'ABB ExDa'!$A$2:$N$184, 6,FALSE), IFERROR(VLOOKUP($A292,'Vocus SIT ExDa'!$B$2:$J$173, 3,FALSE), IFERROR(VLOOKUP($A292,'Telstra ExDa'!$B$2:$K$310, 5,FALSE), IFERROR(VLOOKUP($A292,'Vocus RVC ExDa'!$C$2:$R$155, 9,FALSE), IFERROR(VLOOKUP($A292,'Fusion ExDa'!$B$2:$D$16, 0,FALSE), IFERROR(VLOOKUP($A292,'Exetel ExDa'!$C$2:$N$14, 6,FALSE), IFERROR(VLOOKUP($A292,'Infinet ExDa'!$B$2:$E$14, 0,FALSE), "Not Found"))))))))</f>
        <v>0733914119
0733910900
0733910922</v>
      </c>
      <c r="G292" t="str">
        <f>IFERROR(VLOOKUP($A292,'AAPT ExDa'!$B$2:$U$99, 5,FALSE), IFERROR(VLOOKUP($A292,'ABB ExDa'!$A$2:$N$184, 8,FALSE), IFERROR(VLOOKUP($A292,'Vocus SIT ExDa'!$B$2:$J$173, 6,FALSE), IFERROR(VLOOKUP($A292,'Telstra ExDa'!$B$2:$K$310, 0,FALSE), IFERROR(VLOOKUP($A292,'Vocus RVC ExDa'!$C$2:$R$155, 15,FALSE), IFERROR(VLOOKUP($A292,'Fusion ExDa'!$B$2:$D$16, 0,FALSE), IFERROR(VLOOKUP($A292,'Exetel ExDa'!$C$2:$N$14, 7,FALSE), IFERROR(VLOOKUP($A292,'Infinet ExDa'!$B$2:$E$14, 0,FALSE), "Not Found"))))))))</f>
        <v>IP Tel Order - Smile Tel - 03/04/2024 - 591822  - SWARA porting
Voice (5 Mbps) - Level 1D, 60 Enterprise Place, Tingalpa QLD 4173</v>
      </c>
      <c r="H292" t="str">
        <f>IFERROR(VLOOKUP($A292,'AAPT ExDa'!$B$2:$U$99, 6,FALSE), IFERROR(VLOOKUP($A292,'ABB ExDa'!$A$2:$N$184, 0,FALSE), IFERROR(VLOOKUP($A292,'Vocus SIT ExDa'!$B$2:$J$173, 0,FALSE), IFERROR(VLOOKUP($A292,'Telstra ExDa'!$B$2:$K$310, 0,FALSE), IFERROR(VLOOKUP($A292,'Vocus RVC ExDa'!$C$2:$R$155, 16,FALSE), IFERROR(VLOOKUP($A292,'Fusion ExDa'!$B$2:$D$16, 0,FALSE), IFERROR(VLOOKUP($A292,'Exetel ExDa'!$C$2:$N$14, 0,FALSE), IFERROR(VLOOKUP($A292,'Infinet ExDa'!$B$2:$E$14, 0,FALSE), "Not Found"))))))))</f>
        <v>Not Found</v>
      </c>
      <c r="I292" t="str">
        <f>IFERROR(VLOOKUP($A292,'AAPT ExDa'!$B$2:$U$99, 0,FALSE), IFERROR(VLOOKUP($A292,'ABB ExDa'!$A$2:$N$184, 0,FALSE), IFERROR(VLOOKUP($A292,'Vocus SIT ExDa'!$B$2:$J$173, 0,FALSE), IFERROR(VLOOKUP($A292,'Telstra ExDa'!$B$2:$K$310, 0,FALSE), IFERROR(VLOOKUP($A292,'Vocus RVC ExDa'!$C$2:$R$155, 0,FALSE), IFERROR(VLOOKUP($A292,'Fusion ExDa'!$B$2:$D$16, 0,FALSE), IFERROR(VLOOKUP($A292,'Exetel ExDa'!$C$2:$N$14, 8,FALSE), IFERROR(VLOOKUP($A292,'Infinet ExDa'!$B$2:$E$14, 0,FALSE), "Not Found"))))))))</f>
        <v>Not Found</v>
      </c>
      <c r="J292" t="str">
        <f>IFERROR(VLOOKUP($A292,'AAPT ExDa'!$B$2:$U$99, 7,FALSE), IFERROR(VLOOKUP($A292,'ABB ExDa'!$A$2:$N$184, 2,FALSE), IFERROR(VLOOKUP($A292,'Vocus SIT ExDa'!$B$2:$J$173, 0,FALSE), IFERROR(VLOOKUP($A292,'Telstra ExDa'!$B$2:$K$310, 7,FALSE), IFERROR(VLOOKUP($A292,'Vocus RVC ExDa'!$C$2:$R$155, 2,FALSE), IFERROR(VLOOKUP($A292,'Fusion ExDa'!$B$2:$D$16, 3,FALSE), IFERROR(VLOOKUP($A292,'Exetel ExDa'!$C$2:$N$14, 0,FALSE), IFERROR(VLOOKUP($A292,'Infinet ExDa'!$B$2:$E$14, 0,FALSE), "Not Found"))))))))</f>
        <v>Not Found</v>
      </c>
      <c r="K292" t="str">
        <f>IFERROR(VLOOKUP($A292,'AAPT ExDa'!$B$2:$U$99, 12,FALSE), IFERROR(VLOOKUP($A292,'ABB ExDa'!$A$2:$N$184, 0,FALSE), IFERROR(VLOOKUP($A292,'Vocus SIT ExDa'!$B$2:$J$173, 0,FALSE), IFERROR(VLOOKUP($A292,'Telstra ExDa'!$B$2:$K$310, 0,FALSE), IFERROR(VLOOKUP($A292,'Vocus RVC ExDa'!$C$2:$R$155, 0,FALSE), IFERROR(VLOOKUP($A292,'Fusion ExDa'!$B$2:$D$16, 0,FALSE), IFERROR(VLOOKUP($A292,'Exetel ExDa'!$C$2:$N$14, 12,FALSE), IFERROR(VLOOKUP($A292,'Infinet ExDa'!$B$2:$E$14, 0,FALSE), "Not Found"))))))))</f>
        <v>Not Found</v>
      </c>
      <c r="L292" s="235">
        <f>IFERROR(VLOOKUP($A292,'AAPT ExDa'!$B$2:$U$99, 11,FALSE), IFERROR(VLOOKUP($A292,'ABB ExDa'!$A$2:$N$184, 9,FALSE), IFERROR(VLOOKUP($A292,'Vocus SIT ExDa'!$B$2:$J$173, 8,FALSE), IFERROR(VLOOKUP($A292,'Telstra ExDa'!$B$2:$K$310, 0,FALSE), IFERROR(VLOOKUP($A292,'Vocus RVC ExDa'!$C$2:$R$155, 0,FALSE), IFERROR(VLOOKUP($A292,'Fusion ExDa'!$B$2:$D$16, 0,FALSE), IFERROR(VLOOKUP($A292,'Exetel ExDa'!$C$2:$N$14, 9,FALSE), IFERROR(VLOOKUP($A292,'Infinet ExDa'!$B$2:$E$14, 0,FALSE), "Not Found"))))))))</f>
        <v>45329</v>
      </c>
      <c r="M292" s="234" t="str">
        <f>IFERROR(VLOOKUP($A292,'AAPT ExDa'!$B$2:$U$99, 0,FALSE), IFERROR(VLOOKUP($A292,'ABB ExDa'!$A$2:$N$184, 0,FALSE), IFERROR(VLOOKUP($A292,'Vocus SIT ExDa'!$B$2:$J$173, 0,FALSE), IFERROR(VLOOKUP($A292,'Telstra ExDa'!$B$2:$K$310, 0,FALSE), IFERROR(VLOOKUP($A292,'Vocus RVC ExDa'!$C$2:$R$155, 0,FALSE), IFERROR(VLOOKUP($A292,'Fusion ExDa'!$B$2:$D$16, 0,FALSE), IFERROR(VLOOKUP($A292,'Exetel ExDa'!$C$2:$N$14, 11,FALSE), IFERROR(VLOOKUP($A292,'Infinet ExDa'!$B$2:$E$14, 0,FALSE), "Not Found"))))))))</f>
        <v>Not Found</v>
      </c>
      <c r="N292" t="str">
        <f>IFERROR(VLOOKUP($A292,'AAPT ExDa'!$B$2:$U$99, 0,FALSE), IFERROR(VLOOKUP($A292,'ABB ExDa'!$A$2:$N$184, 13,FALSE), IFERROR(VLOOKUP($A292,'Vocus SIT ExDa'!$B$2:$J$173, 0,FALSE), IFERROR(VLOOKUP($A292,'Telstra ExDa'!$B$2:$K$310, 0,FALSE), IFERROR(VLOOKUP($A292,'Vocus RVC ExDa'!$C$2:$R$155, 0,FALSE), IFERROR(VLOOKUP($A292,'Fusion ExDa'!$B$2:$D$16, 0,FALSE), IFERROR(VLOOKUP($A292,'Exetel ExDa'!$C$2:$N$14, 0,FALSE), IFERROR(VLOOKUP($A292,'Infinet ExDa'!$B$2:$E$14, 0,FALSE), "Not Found"))))))))</f>
        <v>Not Found</v>
      </c>
    </row>
    <row r="293" spans="1:14">
      <c r="A293" t="str">
        <v>Varsity Apartments</v>
      </c>
      <c r="B293" t="str">
        <f>IFERROR(VLOOKUP(A293,'Exetel ExDa'!$C$2:$N$14,4,FALSE),"No Data")</f>
        <v>No Data</v>
      </c>
      <c r="C293" t="str">
        <f>IFERROR(VLOOKUP(A293,'AAPT ExDa'!$B$2:$U$99, 2,FALSE), IFERROR(VLOOKUP(A293,'ABB ExDa'!$A$2:$N$184, 2,FALSE), IFERROR(VLOOKUP(A293,'Vocus SIT ExDa'!$B$2:$J$173, 7,FALSE), IFERROR(VLOOKUP(A293,'Telstra ExDa'!$B$2:$K$310, 2,FALSE), IFERROR(VLOOKUP(A293,'Vocus RVC ExDa'!$C$2:$R$155, 3,FALSE), IFERROR(VLOOKUP(A293,'Fusion ExDa'!$B$2:$D$16, 2,FALSE), IFERROR(VLOOKUP(A293,'Exetel ExDa'!$C$2:$N$14, 2,FALSE), IFERROR(VLOOKUP(A293,'Infinet ExDa'!$B$2:$E$14, 2,FALSE), "Not Found"))))))))</f>
        <v>Unit 34 8 Varsityview Court, Sippy Downs Qld 4556 Australia</v>
      </c>
      <c r="D293" t="str">
        <f>IFERROR(VLOOKUP($A293,'AAPT ExDa'!$B$2:$U$99, 15,FALSE), IFERROR(VLOOKUP($A293,'ABB ExDa'!$A$2:$N$184, 4,FALSE), IFERROR(VLOOKUP($A293,'Vocus SIT ExDa'!$B$2:$J$173, 5,FALSE), IFERROR(VLOOKUP($A293,'Telstra ExDa'!$B$2:$K$310, 8,FALSE), IFERROR(VLOOKUP($A293,'Vocus RVC ExDa'!$C$2:$R$155, 6,FALSE), IFERROR(VLOOKUP($A293,'Fusion ExDa'!$B$2:$D$16, 4,FALSE), IFERROR(VLOOKUP($A293,'Exetel ExDa'!$C$2:$N$14, 3,FALSE), IFERROR(VLOOKUP($A293,'Infinet ExDa'!$B$2:$E$14, 3,FALSE), "Not Found"))))))))</f>
        <v>Vocus SIT</v>
      </c>
      <c r="E293" t="str">
        <f>IFERROR(VLOOKUP($A293,'AAPT ExDa'!$B$2:$U$99, 3,FALSE), IFERROR(VLOOKUP($A293,'ABB ExDa'!$A$2:$N$184, 5,FALSE), IFERROR(VLOOKUP($A293,'Vocus SIT ExDa'!$B$2:$J$173, 2,FALSE), IFERROR(VLOOKUP($A293,'Telstra ExDa'!$B$2:$K$310, 4,FALSE), IFERROR(VLOOKUP($A293,'Vocus RVC ExDa'!$C$2:$R$155, 8,FALSE), IFERROR(VLOOKUP($A293,'Fusion ExDa'!$B$2:$D$16, 4,FALSE), IFERROR(VLOOKUP($A293,'Exetel ExDa'!$C$2:$N$14, 5,FALSE), IFERROR(VLOOKUP($A293,'Infinet ExDa'!$B$2:$E$14, 3,FALSE), "Not Found"))))))))</f>
        <v>Vocus Business Unlimited (AUD)</v>
      </c>
      <c r="F293">
        <f>IFERROR(VLOOKUP($A293,'AAPT ExDa'!$B$2:$U$99, 4,FALSE), IFERROR(VLOOKUP($A293,'ABB ExDa'!$A$2:$N$184, 6,FALSE), IFERROR(VLOOKUP($A293,'Vocus SIT ExDa'!$B$2:$J$173, 3,FALSE), IFERROR(VLOOKUP($A293,'Telstra ExDa'!$B$2:$K$310, 5,FALSE), IFERROR(VLOOKUP($A293,'Vocus RVC ExDa'!$C$2:$R$155, 9,FALSE), IFERROR(VLOOKUP($A293,'Fusion ExDa'!$B$2:$D$16, 0,FALSE), IFERROR(VLOOKUP($A293,'Exetel ExDa'!$C$2:$N$14, 6,FALSE), IFERROR(VLOOKUP($A293,'Infinet ExDa'!$B$2:$E$14, 0,FALSE), "Not Found"))))))))</f>
        <v>0</v>
      </c>
      <c r="G293" t="str">
        <f>IFERROR(VLOOKUP($A293,'AAPT ExDa'!$B$2:$U$99, 5,FALSE), IFERROR(VLOOKUP($A293,'ABB ExDa'!$A$2:$N$184, 8,FALSE), IFERROR(VLOOKUP($A293,'Vocus SIT ExDa'!$B$2:$J$173, 6,FALSE), IFERROR(VLOOKUP($A293,'Telstra ExDa'!$B$2:$K$310, 0,FALSE), IFERROR(VLOOKUP($A293,'Vocus RVC ExDa'!$C$2:$R$155, 15,FALSE), IFERROR(VLOOKUP($A293,'Fusion ExDa'!$B$2:$D$16, 0,FALSE), IFERROR(VLOOKUP($A293,'Exetel ExDa'!$C$2:$N$14, 7,FALSE), IFERROR(VLOOKUP($A293,'Infinet ExDa'!$B$2:$E$14, 0,FALSE), "Not Found"))))))))</f>
        <v>1000 mbps Vocus Business Unlimited 
Unit 34 8 Varsityview Court, Sippy Downs Qld 4556 Australia</v>
      </c>
      <c r="H293" t="str">
        <f>IFERROR(VLOOKUP($A293,'AAPT ExDa'!$B$2:$U$99, 6,FALSE), IFERROR(VLOOKUP($A293,'ABB ExDa'!$A$2:$N$184, 0,FALSE), IFERROR(VLOOKUP($A293,'Vocus SIT ExDa'!$B$2:$J$173, 0,FALSE), IFERROR(VLOOKUP($A293,'Telstra ExDa'!$B$2:$K$310, 0,FALSE), IFERROR(VLOOKUP($A293,'Vocus RVC ExDa'!$C$2:$R$155, 16,FALSE), IFERROR(VLOOKUP($A293,'Fusion ExDa'!$B$2:$D$16, 0,FALSE), IFERROR(VLOOKUP($A293,'Exetel ExDa'!$C$2:$N$14, 0,FALSE), IFERROR(VLOOKUP($A293,'Infinet ExDa'!$B$2:$E$14, 0,FALSE), "Not Found"))))))))</f>
        <v>Not Found</v>
      </c>
      <c r="I293" t="str">
        <f>IFERROR(VLOOKUP($A293,'AAPT ExDa'!$B$2:$U$99, 0,FALSE), IFERROR(VLOOKUP($A293,'ABB ExDa'!$A$2:$N$184, 0,FALSE), IFERROR(VLOOKUP($A293,'Vocus SIT ExDa'!$B$2:$J$173, 0,FALSE), IFERROR(VLOOKUP($A293,'Telstra ExDa'!$B$2:$K$310, 0,FALSE), IFERROR(VLOOKUP($A293,'Vocus RVC ExDa'!$C$2:$R$155, 0,FALSE), IFERROR(VLOOKUP($A293,'Fusion ExDa'!$B$2:$D$16, 0,FALSE), IFERROR(VLOOKUP($A293,'Exetel ExDa'!$C$2:$N$14, 8,FALSE), IFERROR(VLOOKUP($A293,'Infinet ExDa'!$B$2:$E$14, 0,FALSE), "Not Found"))))))))</f>
        <v>Not Found</v>
      </c>
      <c r="J293" t="str">
        <f>IFERROR(VLOOKUP($A293,'AAPT ExDa'!$B$2:$U$99, 7,FALSE), IFERROR(VLOOKUP($A293,'ABB ExDa'!$A$2:$N$184, 2,FALSE), IFERROR(VLOOKUP($A293,'Vocus SIT ExDa'!$B$2:$J$173, 0,FALSE), IFERROR(VLOOKUP($A293,'Telstra ExDa'!$B$2:$K$310, 7,FALSE), IFERROR(VLOOKUP($A293,'Vocus RVC ExDa'!$C$2:$R$155, 2,FALSE), IFERROR(VLOOKUP($A293,'Fusion ExDa'!$B$2:$D$16, 3,FALSE), IFERROR(VLOOKUP($A293,'Exetel ExDa'!$C$2:$N$14, 0,FALSE), IFERROR(VLOOKUP($A293,'Infinet ExDa'!$B$2:$E$14, 0,FALSE), "Not Found"))))))))</f>
        <v>Not Found</v>
      </c>
      <c r="K293" t="str">
        <f>IFERROR(VLOOKUP($A293,'AAPT ExDa'!$B$2:$U$99, 12,FALSE), IFERROR(VLOOKUP($A293,'ABB ExDa'!$A$2:$N$184, 0,FALSE), IFERROR(VLOOKUP($A293,'Vocus SIT ExDa'!$B$2:$J$173, 0,FALSE), IFERROR(VLOOKUP($A293,'Telstra ExDa'!$B$2:$K$310, 0,FALSE), IFERROR(VLOOKUP($A293,'Vocus RVC ExDa'!$C$2:$R$155, 0,FALSE), IFERROR(VLOOKUP($A293,'Fusion ExDa'!$B$2:$D$16, 0,FALSE), IFERROR(VLOOKUP($A293,'Exetel ExDa'!$C$2:$N$14, 12,FALSE), IFERROR(VLOOKUP($A293,'Infinet ExDa'!$B$2:$E$14, 0,FALSE), "Not Found"))))))))</f>
        <v>Not Found</v>
      </c>
      <c r="L293" s="235">
        <f>IFERROR(VLOOKUP($A293,'AAPT ExDa'!$B$2:$U$99, 11,FALSE), IFERROR(VLOOKUP($A293,'ABB ExDa'!$A$2:$N$184, 9,FALSE), IFERROR(VLOOKUP($A293,'Vocus SIT ExDa'!$B$2:$J$173, 8,FALSE), IFERROR(VLOOKUP($A293,'Telstra ExDa'!$B$2:$K$310, 0,FALSE), IFERROR(VLOOKUP($A293,'Vocus RVC ExDa'!$C$2:$R$155, 0,FALSE), IFERROR(VLOOKUP($A293,'Fusion ExDa'!$B$2:$D$16, 0,FALSE), IFERROR(VLOOKUP($A293,'Exetel ExDa'!$C$2:$N$14, 9,FALSE), IFERROR(VLOOKUP($A293,'Infinet ExDa'!$B$2:$E$14, 0,FALSE), "Not Found"))))))))</f>
        <v>45386</v>
      </c>
      <c r="M293" s="234" t="str">
        <f>IFERROR(VLOOKUP($A293,'AAPT ExDa'!$B$2:$U$99, 0,FALSE), IFERROR(VLOOKUP($A293,'ABB ExDa'!$A$2:$N$184, 0,FALSE), IFERROR(VLOOKUP($A293,'Vocus SIT ExDa'!$B$2:$J$173, 0,FALSE), IFERROR(VLOOKUP($A293,'Telstra ExDa'!$B$2:$K$310, 0,FALSE), IFERROR(VLOOKUP($A293,'Vocus RVC ExDa'!$C$2:$R$155, 0,FALSE), IFERROR(VLOOKUP($A293,'Fusion ExDa'!$B$2:$D$16, 0,FALSE), IFERROR(VLOOKUP($A293,'Exetel ExDa'!$C$2:$N$14, 11,FALSE), IFERROR(VLOOKUP($A293,'Infinet ExDa'!$B$2:$E$14, 0,FALSE), "Not Found"))))))))</f>
        <v>Not Found</v>
      </c>
      <c r="N293" t="str">
        <f>IFERROR(VLOOKUP($A293,'AAPT ExDa'!$B$2:$U$99, 0,FALSE), IFERROR(VLOOKUP($A293,'ABB ExDa'!$A$2:$N$184, 13,FALSE), IFERROR(VLOOKUP($A293,'Vocus SIT ExDa'!$B$2:$J$173, 0,FALSE), IFERROR(VLOOKUP($A293,'Telstra ExDa'!$B$2:$K$310, 0,FALSE), IFERROR(VLOOKUP($A293,'Vocus RVC ExDa'!$C$2:$R$155, 0,FALSE), IFERROR(VLOOKUP($A293,'Fusion ExDa'!$B$2:$D$16, 0,FALSE), IFERROR(VLOOKUP($A293,'Exetel ExDa'!$C$2:$N$14, 0,FALSE), IFERROR(VLOOKUP($A293,'Infinet ExDa'!$B$2:$E$14, 0,FALSE), "Not Found"))))))))</f>
        <v>Not Found</v>
      </c>
    </row>
    <row r="294" spans="1:14">
      <c r="A294" t="str">
        <v>CPM Squirrel Energy</v>
      </c>
      <c r="B294" t="str">
        <f>IFERROR(VLOOKUP(A294,'Exetel ExDa'!$C$2:$N$14,4,FALSE),"No Data")</f>
        <v>No Data</v>
      </c>
      <c r="C294" t="str">
        <f>IFERROR(VLOOKUP(A294,'AAPT ExDa'!$B$2:$U$99, 2,FALSE), IFERROR(VLOOKUP(A294,'ABB ExDa'!$A$2:$N$184, 2,FALSE), IFERROR(VLOOKUP(A294,'Vocus SIT ExDa'!$B$2:$J$173, 7,FALSE), IFERROR(VLOOKUP(A294,'Telstra ExDa'!$B$2:$K$310, 2,FALSE), IFERROR(VLOOKUP(A294,'Vocus RVC ExDa'!$C$2:$R$155, 3,FALSE), IFERROR(VLOOKUP(A294,'Fusion ExDa'!$B$2:$D$16, 2,FALSE), IFERROR(VLOOKUP(A294,'Exetel ExDa'!$C$2:$N$14, 2,FALSE), IFERROR(VLOOKUP(A294,'Infinet ExDa'!$B$2:$E$14, 2,FALSE), "Not Found"))))))))</f>
        <v>Level 1D, 60 Enterprise Place , TINGALPA QLD 4174</v>
      </c>
      <c r="D294" t="str">
        <f>IFERROR(VLOOKUP($A294,'AAPT ExDa'!$B$2:$U$99, 15,FALSE), IFERROR(VLOOKUP($A294,'ABB ExDa'!$A$2:$N$184, 4,FALSE), IFERROR(VLOOKUP($A294,'Vocus SIT ExDa'!$B$2:$J$173, 5,FALSE), IFERROR(VLOOKUP($A294,'Telstra ExDa'!$B$2:$K$310, 8,FALSE), IFERROR(VLOOKUP($A294,'Vocus RVC ExDa'!$C$2:$R$155, 6,FALSE), IFERROR(VLOOKUP($A294,'Fusion ExDa'!$B$2:$D$16, 4,FALSE), IFERROR(VLOOKUP($A294,'Exetel ExDa'!$C$2:$N$14, 3,FALSE), IFERROR(VLOOKUP($A294,'Infinet ExDa'!$B$2:$E$14, 3,FALSE), "Not Found"))))))))</f>
        <v>Vocus SIT</v>
      </c>
      <c r="E294" t="str">
        <f>IFERROR(VLOOKUP($A294,'AAPT ExDa'!$B$2:$U$99, 3,FALSE), IFERROR(VLOOKUP($A294,'ABB ExDa'!$A$2:$N$184, 5,FALSE), IFERROR(VLOOKUP($A294,'Vocus SIT ExDa'!$B$2:$J$173, 2,FALSE), IFERROR(VLOOKUP($A294,'Telstra ExDa'!$B$2:$K$310, 4,FALSE), IFERROR(VLOOKUP($A294,'Vocus RVC ExDa'!$C$2:$R$155, 8,FALSE), IFERROR(VLOOKUP($A294,'Fusion ExDa'!$B$2:$D$16, 4,FALSE), IFERROR(VLOOKUP($A294,'Exetel ExDa'!$C$2:$N$14, 5,FALSE), IFERROR(VLOOKUP($A294,'Infinet ExDa'!$B$2:$E$14, 3,FALSE), "Not Found"))))))))</f>
        <v>Voice Service</v>
      </c>
      <c r="F294">
        <f>IFERROR(VLOOKUP($A294,'AAPT ExDa'!$B$2:$U$99, 4,FALSE), IFERROR(VLOOKUP($A294,'ABB ExDa'!$A$2:$N$184, 6,FALSE), IFERROR(VLOOKUP($A294,'Vocus SIT ExDa'!$B$2:$J$173, 3,FALSE), IFERROR(VLOOKUP($A294,'Telstra ExDa'!$B$2:$K$310, 5,FALSE), IFERROR(VLOOKUP($A294,'Vocus RVC ExDa'!$C$2:$R$155, 9,FALSE), IFERROR(VLOOKUP($A294,'Fusion ExDa'!$B$2:$D$16, 0,FALSE), IFERROR(VLOOKUP($A294,'Exetel ExDa'!$C$2:$N$14, 6,FALSE), IFERROR(VLOOKUP($A294,'Infinet ExDa'!$B$2:$E$14, 0,FALSE), "Not Found"))))))))</f>
        <v>0</v>
      </c>
      <c r="G294" t="str">
        <f>IFERROR(VLOOKUP($A294,'AAPT ExDa'!$B$2:$U$99, 5,FALSE), IFERROR(VLOOKUP($A294,'ABB ExDa'!$A$2:$N$184, 8,FALSE), IFERROR(VLOOKUP($A294,'Vocus SIT ExDa'!$B$2:$J$173, 6,FALSE), IFERROR(VLOOKUP($A294,'Telstra ExDa'!$B$2:$K$310, 0,FALSE), IFERROR(VLOOKUP($A294,'Vocus RVC ExDa'!$C$2:$R$155, 15,FALSE), IFERROR(VLOOKUP($A294,'Fusion ExDa'!$B$2:$D$16, 0,FALSE), IFERROR(VLOOKUP($A294,'Exetel ExDa'!$C$2:$N$14, 7,FALSE), IFERROR(VLOOKUP($A294,'Infinet ExDa'!$B$2:$E$14, 0,FALSE), "Not Found"))))))))</f>
        <v>Smile Tel (TINGALPA, QLD) - Vocus IP Tel [CPM Squirrel Energy]
Voice (5 Mbps) - Level 1D, 60 Enterprise Place , TINGALPA QLD 4173</v>
      </c>
      <c r="H294" t="str">
        <f>IFERROR(VLOOKUP($A294,'AAPT ExDa'!$B$2:$U$99, 6,FALSE), IFERROR(VLOOKUP($A294,'ABB ExDa'!$A$2:$N$184, 0,FALSE), IFERROR(VLOOKUP($A294,'Vocus SIT ExDa'!$B$2:$J$173, 0,FALSE), IFERROR(VLOOKUP($A294,'Telstra ExDa'!$B$2:$K$310, 0,FALSE), IFERROR(VLOOKUP($A294,'Vocus RVC ExDa'!$C$2:$R$155, 16,FALSE), IFERROR(VLOOKUP($A294,'Fusion ExDa'!$B$2:$D$16, 0,FALSE), IFERROR(VLOOKUP($A294,'Exetel ExDa'!$C$2:$N$14, 0,FALSE), IFERROR(VLOOKUP($A294,'Infinet ExDa'!$B$2:$E$14, 0,FALSE), "Not Found"))))))))</f>
        <v>Not Found</v>
      </c>
      <c r="I294" t="str">
        <f>IFERROR(VLOOKUP($A294,'AAPT ExDa'!$B$2:$U$99, 0,FALSE), IFERROR(VLOOKUP($A294,'ABB ExDa'!$A$2:$N$184, 0,FALSE), IFERROR(VLOOKUP($A294,'Vocus SIT ExDa'!$B$2:$J$173, 0,FALSE), IFERROR(VLOOKUP($A294,'Telstra ExDa'!$B$2:$K$310, 0,FALSE), IFERROR(VLOOKUP($A294,'Vocus RVC ExDa'!$C$2:$R$155, 0,FALSE), IFERROR(VLOOKUP($A294,'Fusion ExDa'!$B$2:$D$16, 0,FALSE), IFERROR(VLOOKUP($A294,'Exetel ExDa'!$C$2:$N$14, 8,FALSE), IFERROR(VLOOKUP($A294,'Infinet ExDa'!$B$2:$E$14, 0,FALSE), "Not Found"))))))))</f>
        <v>Not Found</v>
      </c>
      <c r="J294" t="str">
        <f>IFERROR(VLOOKUP($A294,'AAPT ExDa'!$B$2:$U$99, 7,FALSE), IFERROR(VLOOKUP($A294,'ABB ExDa'!$A$2:$N$184, 2,FALSE), IFERROR(VLOOKUP($A294,'Vocus SIT ExDa'!$B$2:$J$173, 0,FALSE), IFERROR(VLOOKUP($A294,'Telstra ExDa'!$B$2:$K$310, 7,FALSE), IFERROR(VLOOKUP($A294,'Vocus RVC ExDa'!$C$2:$R$155, 2,FALSE), IFERROR(VLOOKUP($A294,'Fusion ExDa'!$B$2:$D$16, 3,FALSE), IFERROR(VLOOKUP($A294,'Exetel ExDa'!$C$2:$N$14, 0,FALSE), IFERROR(VLOOKUP($A294,'Infinet ExDa'!$B$2:$E$14, 0,FALSE), "Not Found"))))))))</f>
        <v>Not Found</v>
      </c>
      <c r="K294" t="str">
        <f>IFERROR(VLOOKUP($A294,'AAPT ExDa'!$B$2:$U$99, 12,FALSE), IFERROR(VLOOKUP($A294,'ABB ExDa'!$A$2:$N$184, 0,FALSE), IFERROR(VLOOKUP($A294,'Vocus SIT ExDa'!$B$2:$J$173, 0,FALSE), IFERROR(VLOOKUP($A294,'Telstra ExDa'!$B$2:$K$310, 0,FALSE), IFERROR(VLOOKUP($A294,'Vocus RVC ExDa'!$C$2:$R$155, 0,FALSE), IFERROR(VLOOKUP($A294,'Fusion ExDa'!$B$2:$D$16, 0,FALSE), IFERROR(VLOOKUP($A294,'Exetel ExDa'!$C$2:$N$14, 12,FALSE), IFERROR(VLOOKUP($A294,'Infinet ExDa'!$B$2:$E$14, 0,FALSE), "Not Found"))))))))</f>
        <v>Not Found</v>
      </c>
      <c r="L294" s="235" t="str">
        <f>IFERROR(VLOOKUP($A294,'AAPT ExDa'!$B$2:$U$99, 11,FALSE), IFERROR(VLOOKUP($A294,'ABB ExDa'!$A$2:$N$184, 9,FALSE), IFERROR(VLOOKUP($A294,'Vocus SIT ExDa'!$B$2:$J$173, 8,FALSE), IFERROR(VLOOKUP($A294,'Telstra ExDa'!$B$2:$K$310, 0,FALSE), IFERROR(VLOOKUP($A294,'Vocus RVC ExDa'!$C$2:$R$155, 0,FALSE), IFERROR(VLOOKUP($A294,'Fusion ExDa'!$B$2:$D$16, 0,FALSE), IFERROR(VLOOKUP($A294,'Exetel ExDa'!$C$2:$N$14, 9,FALSE), IFERROR(VLOOKUP($A294,'Infinet ExDa'!$B$2:$E$14, 0,FALSE), "Not Found"))))))))</f>
        <v>19/12/2023</v>
      </c>
      <c r="M294" s="234" t="str">
        <f>IFERROR(VLOOKUP($A294,'AAPT ExDa'!$B$2:$U$99, 0,FALSE), IFERROR(VLOOKUP($A294,'ABB ExDa'!$A$2:$N$184, 0,FALSE), IFERROR(VLOOKUP($A294,'Vocus SIT ExDa'!$B$2:$J$173, 0,FALSE), IFERROR(VLOOKUP($A294,'Telstra ExDa'!$B$2:$K$310, 0,FALSE), IFERROR(VLOOKUP($A294,'Vocus RVC ExDa'!$C$2:$R$155, 0,FALSE), IFERROR(VLOOKUP($A294,'Fusion ExDa'!$B$2:$D$16, 0,FALSE), IFERROR(VLOOKUP($A294,'Exetel ExDa'!$C$2:$N$14, 11,FALSE), IFERROR(VLOOKUP($A294,'Infinet ExDa'!$B$2:$E$14, 0,FALSE), "Not Found"))))))))</f>
        <v>Not Found</v>
      </c>
      <c r="N294" t="str">
        <f>IFERROR(VLOOKUP($A294,'AAPT ExDa'!$B$2:$U$99, 0,FALSE), IFERROR(VLOOKUP($A294,'ABB ExDa'!$A$2:$N$184, 13,FALSE), IFERROR(VLOOKUP($A294,'Vocus SIT ExDa'!$B$2:$J$173, 0,FALSE), IFERROR(VLOOKUP($A294,'Telstra ExDa'!$B$2:$K$310, 0,FALSE), IFERROR(VLOOKUP($A294,'Vocus RVC ExDa'!$C$2:$R$155, 0,FALSE), IFERROR(VLOOKUP($A294,'Fusion ExDa'!$B$2:$D$16, 0,FALSE), IFERROR(VLOOKUP($A294,'Exetel ExDa'!$C$2:$N$14, 0,FALSE), IFERROR(VLOOKUP($A294,'Infinet ExDa'!$B$2:$E$14, 0,FALSE), "Not Found"))))))))</f>
        <v>Not Found</v>
      </c>
    </row>
    <row r="295" spans="1:14">
      <c r="A295">
        <v>0</v>
      </c>
      <c r="B295" t="str">
        <f>IFERROR(VLOOKUP(A295,'Exetel ExDa'!$C$2:$N$14,4,FALSE),"No Data")</f>
        <v>No Data</v>
      </c>
      <c r="C295" t="str">
        <f>IFERROR(VLOOKUP(A295,'AAPT ExDa'!$B$2:$U$99, 2,FALSE), IFERROR(VLOOKUP(A295,'ABB ExDa'!$A$2:$N$184, 2,FALSE), IFERROR(VLOOKUP(A295,'Vocus SIT ExDa'!$B$2:$J$173, 7,FALSE), IFERROR(VLOOKUP(A295,'Telstra ExDa'!$B$2:$K$310, 2,FALSE), IFERROR(VLOOKUP(A295,'Vocus RVC ExDa'!$C$2:$R$155, 3,FALSE), IFERROR(VLOOKUP(A295,'Fusion ExDa'!$B$2:$D$16, 2,FALSE), IFERROR(VLOOKUP(A295,'Exetel ExDa'!$C$2:$N$14, 2,FALSE), IFERROR(VLOOKUP(A295,'Infinet ExDa'!$B$2:$E$14, 2,FALSE), "Not Found"))))))))</f>
        <v>Not Found</v>
      </c>
      <c r="D295" t="str">
        <f>IFERROR(VLOOKUP($A295,'AAPT ExDa'!$B$2:$U$99, 15,FALSE), IFERROR(VLOOKUP($A295,'ABB ExDa'!$A$2:$N$184, 4,FALSE), IFERROR(VLOOKUP($A295,'Vocus SIT ExDa'!$B$2:$J$173, 5,FALSE), IFERROR(VLOOKUP($A295,'Telstra ExDa'!$B$2:$K$310, 8,FALSE), IFERROR(VLOOKUP($A295,'Vocus RVC ExDa'!$C$2:$R$155, 6,FALSE), IFERROR(VLOOKUP($A295,'Fusion ExDa'!$B$2:$D$16, 4,FALSE), IFERROR(VLOOKUP($A295,'Exetel ExDa'!$C$2:$N$14, 3,FALSE), IFERROR(VLOOKUP($A295,'Infinet ExDa'!$B$2:$E$14, 3,FALSE), "Not Found"))))))))</f>
        <v>Not Found</v>
      </c>
      <c r="E295" t="str">
        <f>IFERROR(VLOOKUP($A295,'AAPT ExDa'!$B$2:$U$99, 3,FALSE), IFERROR(VLOOKUP($A295,'ABB ExDa'!$A$2:$N$184, 5,FALSE), IFERROR(VLOOKUP($A295,'Vocus SIT ExDa'!$B$2:$J$173, 2,FALSE), IFERROR(VLOOKUP($A295,'Telstra ExDa'!$B$2:$K$310, 4,FALSE), IFERROR(VLOOKUP($A295,'Vocus RVC ExDa'!$C$2:$R$155, 8,FALSE), IFERROR(VLOOKUP($A295,'Fusion ExDa'!$B$2:$D$16, 4,FALSE), IFERROR(VLOOKUP($A295,'Exetel ExDa'!$C$2:$N$14, 5,FALSE), IFERROR(VLOOKUP($A295,'Infinet ExDa'!$B$2:$E$14, 3,FALSE), "Not Found"))))))))</f>
        <v>Not Found</v>
      </c>
      <c r="F295" t="str">
        <f>IFERROR(VLOOKUP($A295,'AAPT ExDa'!$B$2:$U$99, 4,FALSE), IFERROR(VLOOKUP($A295,'ABB ExDa'!$A$2:$N$184, 6,FALSE), IFERROR(VLOOKUP($A295,'Vocus SIT ExDa'!$B$2:$J$173, 3,FALSE), IFERROR(VLOOKUP($A295,'Telstra ExDa'!$B$2:$K$310, 5,FALSE), IFERROR(VLOOKUP($A295,'Vocus RVC ExDa'!$C$2:$R$155, 9,FALSE), IFERROR(VLOOKUP($A295,'Fusion ExDa'!$B$2:$D$16, 0,FALSE), IFERROR(VLOOKUP($A295,'Exetel ExDa'!$C$2:$N$14, 6,FALSE), IFERROR(VLOOKUP($A295,'Infinet ExDa'!$B$2:$E$14, 0,FALSE), "Not Found"))))))))</f>
        <v>Not Found</v>
      </c>
      <c r="G295" t="str">
        <f>IFERROR(VLOOKUP($A295,'AAPT ExDa'!$B$2:$U$99, 5,FALSE), IFERROR(VLOOKUP($A295,'ABB ExDa'!$A$2:$N$184, 8,FALSE), IFERROR(VLOOKUP($A295,'Vocus SIT ExDa'!$B$2:$J$173, 6,FALSE), IFERROR(VLOOKUP($A295,'Telstra ExDa'!$B$2:$K$310, 0,FALSE), IFERROR(VLOOKUP($A295,'Vocus RVC ExDa'!$C$2:$R$155, 15,FALSE), IFERROR(VLOOKUP($A295,'Fusion ExDa'!$B$2:$D$16, 0,FALSE), IFERROR(VLOOKUP($A295,'Exetel ExDa'!$C$2:$N$14, 7,FALSE), IFERROR(VLOOKUP($A295,'Infinet ExDa'!$B$2:$E$14, 0,FALSE), "Not Found"))))))))</f>
        <v>Not Found</v>
      </c>
      <c r="H295" t="str">
        <f>IFERROR(VLOOKUP($A295,'AAPT ExDa'!$B$2:$U$99, 6,FALSE), IFERROR(VLOOKUP($A295,'ABB ExDa'!$A$2:$N$184, 0,FALSE), IFERROR(VLOOKUP($A295,'Vocus SIT ExDa'!$B$2:$J$173, 0,FALSE), IFERROR(VLOOKUP($A295,'Telstra ExDa'!$B$2:$K$310, 0,FALSE), IFERROR(VLOOKUP($A295,'Vocus RVC ExDa'!$C$2:$R$155, 16,FALSE), IFERROR(VLOOKUP($A295,'Fusion ExDa'!$B$2:$D$16, 0,FALSE), IFERROR(VLOOKUP($A295,'Exetel ExDa'!$C$2:$N$14, 0,FALSE), IFERROR(VLOOKUP($A295,'Infinet ExDa'!$B$2:$E$14, 0,FALSE), "Not Found"))))))))</f>
        <v>Not Found</v>
      </c>
      <c r="I295" t="str">
        <f>IFERROR(VLOOKUP($A295,'AAPT ExDa'!$B$2:$U$99, 0,FALSE), IFERROR(VLOOKUP($A295,'ABB ExDa'!$A$2:$N$184, 0,FALSE), IFERROR(VLOOKUP($A295,'Vocus SIT ExDa'!$B$2:$J$173, 0,FALSE), IFERROR(VLOOKUP($A295,'Telstra ExDa'!$B$2:$K$310, 0,FALSE), IFERROR(VLOOKUP($A295,'Vocus RVC ExDa'!$C$2:$R$155, 0,FALSE), IFERROR(VLOOKUP($A295,'Fusion ExDa'!$B$2:$D$16, 0,FALSE), IFERROR(VLOOKUP($A295,'Exetel ExDa'!$C$2:$N$14, 8,FALSE), IFERROR(VLOOKUP($A295,'Infinet ExDa'!$B$2:$E$14, 0,FALSE), "Not Found"))))))))</f>
        <v>Not Found</v>
      </c>
      <c r="J295" t="str">
        <f>IFERROR(VLOOKUP($A295,'AAPT ExDa'!$B$2:$U$99, 7,FALSE), IFERROR(VLOOKUP($A295,'ABB ExDa'!$A$2:$N$184, 2,FALSE), IFERROR(VLOOKUP($A295,'Vocus SIT ExDa'!$B$2:$J$173, 0,FALSE), IFERROR(VLOOKUP($A295,'Telstra ExDa'!$B$2:$K$310, 7,FALSE), IFERROR(VLOOKUP($A295,'Vocus RVC ExDa'!$C$2:$R$155, 2,FALSE), IFERROR(VLOOKUP($A295,'Fusion ExDa'!$B$2:$D$16, 3,FALSE), IFERROR(VLOOKUP($A295,'Exetel ExDa'!$C$2:$N$14, 0,FALSE), IFERROR(VLOOKUP($A295,'Infinet ExDa'!$B$2:$E$14, 0,FALSE), "Not Found"))))))))</f>
        <v>Not Found</v>
      </c>
      <c r="K295" t="str">
        <f>IFERROR(VLOOKUP($A295,'AAPT ExDa'!$B$2:$U$99, 12,FALSE), IFERROR(VLOOKUP($A295,'ABB ExDa'!$A$2:$N$184, 0,FALSE), IFERROR(VLOOKUP($A295,'Vocus SIT ExDa'!$B$2:$J$173, 0,FALSE), IFERROR(VLOOKUP($A295,'Telstra ExDa'!$B$2:$K$310, 0,FALSE), IFERROR(VLOOKUP($A295,'Vocus RVC ExDa'!$C$2:$R$155, 0,FALSE), IFERROR(VLOOKUP($A295,'Fusion ExDa'!$B$2:$D$16, 0,FALSE), IFERROR(VLOOKUP($A295,'Exetel ExDa'!$C$2:$N$14, 12,FALSE), IFERROR(VLOOKUP($A295,'Infinet ExDa'!$B$2:$E$14, 0,FALSE), "Not Found"))))))))</f>
        <v>Not Found</v>
      </c>
      <c r="L295" s="235" t="str">
        <f>IFERROR(VLOOKUP($A295,'AAPT ExDa'!$B$2:$U$99, 11,FALSE), IFERROR(VLOOKUP($A295,'ABB ExDa'!$A$2:$N$184, 9,FALSE), IFERROR(VLOOKUP($A295,'Vocus SIT ExDa'!$B$2:$J$173, 8,FALSE), IFERROR(VLOOKUP($A295,'Telstra ExDa'!$B$2:$K$310, 0,FALSE), IFERROR(VLOOKUP($A295,'Vocus RVC ExDa'!$C$2:$R$155, 0,FALSE), IFERROR(VLOOKUP($A295,'Fusion ExDa'!$B$2:$D$16, 0,FALSE), IFERROR(VLOOKUP($A295,'Exetel ExDa'!$C$2:$N$14, 9,FALSE), IFERROR(VLOOKUP($A295,'Infinet ExDa'!$B$2:$E$14, 0,FALSE), "Not Found"))))))))</f>
        <v>Not Found</v>
      </c>
      <c r="M295" s="234" t="str">
        <f>IFERROR(VLOOKUP($A295,'AAPT ExDa'!$B$2:$U$99, 0,FALSE), IFERROR(VLOOKUP($A295,'ABB ExDa'!$A$2:$N$184, 0,FALSE), IFERROR(VLOOKUP($A295,'Vocus SIT ExDa'!$B$2:$J$173, 0,FALSE), IFERROR(VLOOKUP($A295,'Telstra ExDa'!$B$2:$K$310, 0,FALSE), IFERROR(VLOOKUP($A295,'Vocus RVC ExDa'!$C$2:$R$155, 0,FALSE), IFERROR(VLOOKUP($A295,'Fusion ExDa'!$B$2:$D$16, 0,FALSE), IFERROR(VLOOKUP($A295,'Exetel ExDa'!$C$2:$N$14, 11,FALSE), IFERROR(VLOOKUP($A295,'Infinet ExDa'!$B$2:$E$14, 0,FALSE), "Not Found"))))))))</f>
        <v>Not Found</v>
      </c>
      <c r="N295" t="str">
        <f>IFERROR(VLOOKUP($A295,'AAPT ExDa'!$B$2:$U$99, 0,FALSE), IFERROR(VLOOKUP($A295,'ABB ExDa'!$A$2:$N$184, 13,FALSE), IFERROR(VLOOKUP($A295,'Vocus SIT ExDa'!$B$2:$J$173, 0,FALSE), IFERROR(VLOOKUP($A295,'Telstra ExDa'!$B$2:$K$310, 0,FALSE), IFERROR(VLOOKUP($A295,'Vocus RVC ExDa'!$C$2:$R$155, 0,FALSE), IFERROR(VLOOKUP($A295,'Fusion ExDa'!$B$2:$D$16, 0,FALSE), IFERROR(VLOOKUP($A295,'Exetel ExDa'!$C$2:$N$14, 0,FALSE), IFERROR(VLOOKUP($A295,'Infinet ExDa'!$B$2:$E$14, 0,FALSE), "Not Found"))))))))</f>
        <v>Not Found</v>
      </c>
    </row>
    <row r="296" spans="1:14">
      <c r="A296" t="str">
        <v>ASG Newcastle</v>
      </c>
      <c r="B296" t="str">
        <f>IFERROR(VLOOKUP(A296,'Exetel ExDa'!$C$2:$N$14,4,FALSE),"No Data")</f>
        <v>No Data</v>
      </c>
      <c r="C296" t="str">
        <f>IFERROR(VLOOKUP(A296,'AAPT ExDa'!$B$2:$U$99, 2,FALSE), IFERROR(VLOOKUP(A296,'ABB ExDa'!$A$2:$N$184, 2,FALSE), IFERROR(VLOOKUP(A296,'Vocus SIT ExDa'!$B$2:$J$173, 7,FALSE), IFERROR(VLOOKUP(A296,'Telstra ExDa'!$B$2:$K$310, 2,FALSE), IFERROR(VLOOKUP(A296,'Vocus RVC ExDa'!$C$2:$R$155, 3,FALSE), IFERROR(VLOOKUP(A296,'Fusion ExDa'!$B$2:$D$16, 2,FALSE), IFERROR(VLOOKUP(A296,'Exetel ExDa'!$C$2:$N$14, 2,FALSE), IFERROR(VLOOKUP(A296,'Infinet ExDa'!$B$2:$E$14, 2,FALSE), "Not Found"))))))))</f>
        <v>Level 1D, 60 Enterprise Place, Tingalpa QLD 4174</v>
      </c>
      <c r="D296" t="str">
        <f>IFERROR(VLOOKUP($A296,'AAPT ExDa'!$B$2:$U$99, 15,FALSE), IFERROR(VLOOKUP($A296,'ABB ExDa'!$A$2:$N$184, 4,FALSE), IFERROR(VLOOKUP($A296,'Vocus SIT ExDa'!$B$2:$J$173, 5,FALSE), IFERROR(VLOOKUP($A296,'Telstra ExDa'!$B$2:$K$310, 8,FALSE), IFERROR(VLOOKUP($A296,'Vocus RVC ExDa'!$C$2:$R$155, 6,FALSE), IFERROR(VLOOKUP($A296,'Fusion ExDa'!$B$2:$D$16, 4,FALSE), IFERROR(VLOOKUP($A296,'Exetel ExDa'!$C$2:$N$14, 3,FALSE), IFERROR(VLOOKUP($A296,'Infinet ExDa'!$B$2:$E$14, 3,FALSE), "Not Found"))))))))</f>
        <v>Vocus SIT</v>
      </c>
      <c r="E296" t="str">
        <f>IFERROR(VLOOKUP($A296,'AAPT ExDa'!$B$2:$U$99, 3,FALSE), IFERROR(VLOOKUP($A296,'ABB ExDa'!$A$2:$N$184, 5,FALSE), IFERROR(VLOOKUP($A296,'Vocus SIT ExDa'!$B$2:$J$173, 2,FALSE), IFERROR(VLOOKUP($A296,'Telstra ExDa'!$B$2:$K$310, 4,FALSE), IFERROR(VLOOKUP($A296,'Vocus RVC ExDa'!$C$2:$R$155, 8,FALSE), IFERROR(VLOOKUP($A296,'Fusion ExDa'!$B$2:$D$16, 4,FALSE), IFERROR(VLOOKUP($A296,'Exetel ExDa'!$C$2:$N$14, 5,FALSE), IFERROR(VLOOKUP($A296,'Infinet ExDa'!$B$2:$E$14, 3,FALSE), "Not Found"))))))))</f>
        <v>Voice Service</v>
      </c>
      <c r="F296">
        <f>IFERROR(VLOOKUP($A296,'AAPT ExDa'!$B$2:$U$99, 4,FALSE), IFERROR(VLOOKUP($A296,'ABB ExDa'!$A$2:$N$184, 6,FALSE), IFERROR(VLOOKUP($A296,'Vocus SIT ExDa'!$B$2:$J$173, 3,FALSE), IFERROR(VLOOKUP($A296,'Telstra ExDa'!$B$2:$K$310, 5,FALSE), IFERROR(VLOOKUP($A296,'Vocus RVC ExDa'!$C$2:$R$155, 9,FALSE), IFERROR(VLOOKUP($A296,'Fusion ExDa'!$B$2:$D$16, 0,FALSE), IFERROR(VLOOKUP($A296,'Exetel ExDa'!$C$2:$N$14, 6,FALSE), IFERROR(VLOOKUP($A296,'Infinet ExDa'!$B$2:$E$14, 0,FALSE), "Not Found"))))))))</f>
        <v>0</v>
      </c>
      <c r="G296" t="str">
        <f>IFERROR(VLOOKUP($A296,'AAPT ExDa'!$B$2:$U$99, 5,FALSE), IFERROR(VLOOKUP($A296,'ABB ExDa'!$A$2:$N$184, 8,FALSE), IFERROR(VLOOKUP($A296,'Vocus SIT ExDa'!$B$2:$J$173, 6,FALSE), IFERROR(VLOOKUP($A296,'Telstra ExDa'!$B$2:$K$310, 0,FALSE), IFERROR(VLOOKUP($A296,'Vocus RVC ExDa'!$C$2:$R$155, 15,FALSE), IFERROR(VLOOKUP($A296,'Fusion ExDa'!$B$2:$D$16, 0,FALSE), IFERROR(VLOOKUP($A296,'Exetel ExDa'!$C$2:$N$14, 7,FALSE), IFERROR(VLOOKUP($A296,'Infinet ExDa'!$B$2:$E$14, 0,FALSE), "Not Found"))))))))</f>
        <v>Smile Tel (Tingalpa , QLD) - Vocus IP Tel [ASG Newcastle]
4 IP Tel Standard (Reseller)
Voice (5 Mbps) - Level 1D, 60 Enterprise Place, Tingalpa QLD 4173</v>
      </c>
      <c r="H296" t="str">
        <f>IFERROR(VLOOKUP($A296,'AAPT ExDa'!$B$2:$U$99, 6,FALSE), IFERROR(VLOOKUP($A296,'ABB ExDa'!$A$2:$N$184, 0,FALSE), IFERROR(VLOOKUP($A296,'Vocus SIT ExDa'!$B$2:$J$173, 0,FALSE), IFERROR(VLOOKUP($A296,'Telstra ExDa'!$B$2:$K$310, 0,FALSE), IFERROR(VLOOKUP($A296,'Vocus RVC ExDa'!$C$2:$R$155, 16,FALSE), IFERROR(VLOOKUP($A296,'Fusion ExDa'!$B$2:$D$16, 0,FALSE), IFERROR(VLOOKUP($A296,'Exetel ExDa'!$C$2:$N$14, 0,FALSE), IFERROR(VLOOKUP($A296,'Infinet ExDa'!$B$2:$E$14, 0,FALSE), "Not Found"))))))))</f>
        <v>Not Found</v>
      </c>
      <c r="I296" t="str">
        <f>IFERROR(VLOOKUP($A296,'AAPT ExDa'!$B$2:$U$99, 0,FALSE), IFERROR(VLOOKUP($A296,'ABB ExDa'!$A$2:$N$184, 0,FALSE), IFERROR(VLOOKUP($A296,'Vocus SIT ExDa'!$B$2:$J$173, 0,FALSE), IFERROR(VLOOKUP($A296,'Telstra ExDa'!$B$2:$K$310, 0,FALSE), IFERROR(VLOOKUP($A296,'Vocus RVC ExDa'!$C$2:$R$155, 0,FALSE), IFERROR(VLOOKUP($A296,'Fusion ExDa'!$B$2:$D$16, 0,FALSE), IFERROR(VLOOKUP($A296,'Exetel ExDa'!$C$2:$N$14, 8,FALSE), IFERROR(VLOOKUP($A296,'Infinet ExDa'!$B$2:$E$14, 0,FALSE), "Not Found"))))))))</f>
        <v>Not Found</v>
      </c>
      <c r="J296" t="str">
        <f>IFERROR(VLOOKUP($A296,'AAPT ExDa'!$B$2:$U$99, 7,FALSE), IFERROR(VLOOKUP($A296,'ABB ExDa'!$A$2:$N$184, 2,FALSE), IFERROR(VLOOKUP($A296,'Vocus SIT ExDa'!$B$2:$J$173, 0,FALSE), IFERROR(VLOOKUP($A296,'Telstra ExDa'!$B$2:$K$310, 7,FALSE), IFERROR(VLOOKUP($A296,'Vocus RVC ExDa'!$C$2:$R$155, 2,FALSE), IFERROR(VLOOKUP($A296,'Fusion ExDa'!$B$2:$D$16, 3,FALSE), IFERROR(VLOOKUP($A296,'Exetel ExDa'!$C$2:$N$14, 0,FALSE), IFERROR(VLOOKUP($A296,'Infinet ExDa'!$B$2:$E$14, 0,FALSE), "Not Found"))))))))</f>
        <v>Not Found</v>
      </c>
      <c r="K296" t="str">
        <f>IFERROR(VLOOKUP($A296,'AAPT ExDa'!$B$2:$U$99, 12,FALSE), IFERROR(VLOOKUP($A296,'ABB ExDa'!$A$2:$N$184, 0,FALSE), IFERROR(VLOOKUP($A296,'Vocus SIT ExDa'!$B$2:$J$173, 0,FALSE), IFERROR(VLOOKUP($A296,'Telstra ExDa'!$B$2:$K$310, 0,FALSE), IFERROR(VLOOKUP($A296,'Vocus RVC ExDa'!$C$2:$R$155, 0,FALSE), IFERROR(VLOOKUP($A296,'Fusion ExDa'!$B$2:$D$16, 0,FALSE), IFERROR(VLOOKUP($A296,'Exetel ExDa'!$C$2:$N$14, 12,FALSE), IFERROR(VLOOKUP($A296,'Infinet ExDa'!$B$2:$E$14, 0,FALSE), "Not Found"))))))))</f>
        <v>Not Found</v>
      </c>
      <c r="L296" s="235" t="str">
        <f>IFERROR(VLOOKUP($A296,'AAPT ExDa'!$B$2:$U$99, 11,FALSE), IFERROR(VLOOKUP($A296,'ABB ExDa'!$A$2:$N$184, 9,FALSE), IFERROR(VLOOKUP($A296,'Vocus SIT ExDa'!$B$2:$J$173, 8,FALSE), IFERROR(VLOOKUP($A296,'Telstra ExDa'!$B$2:$K$310, 0,FALSE), IFERROR(VLOOKUP($A296,'Vocus RVC ExDa'!$C$2:$R$155, 0,FALSE), IFERROR(VLOOKUP($A296,'Fusion ExDa'!$B$2:$D$16, 0,FALSE), IFERROR(VLOOKUP($A296,'Exetel ExDa'!$C$2:$N$14, 9,FALSE), IFERROR(VLOOKUP($A296,'Infinet ExDa'!$B$2:$E$14, 0,FALSE), "Not Found"))))))))</f>
        <v>21/09/2023</v>
      </c>
      <c r="M296" s="234" t="str">
        <f>IFERROR(VLOOKUP($A296,'AAPT ExDa'!$B$2:$U$99, 0,FALSE), IFERROR(VLOOKUP($A296,'ABB ExDa'!$A$2:$N$184, 0,FALSE), IFERROR(VLOOKUP($A296,'Vocus SIT ExDa'!$B$2:$J$173, 0,FALSE), IFERROR(VLOOKUP($A296,'Telstra ExDa'!$B$2:$K$310, 0,FALSE), IFERROR(VLOOKUP($A296,'Vocus RVC ExDa'!$C$2:$R$155, 0,FALSE), IFERROR(VLOOKUP($A296,'Fusion ExDa'!$B$2:$D$16, 0,FALSE), IFERROR(VLOOKUP($A296,'Exetel ExDa'!$C$2:$N$14, 11,FALSE), IFERROR(VLOOKUP($A296,'Infinet ExDa'!$B$2:$E$14, 0,FALSE), "Not Found"))))))))</f>
        <v>Not Found</v>
      </c>
      <c r="N296" t="str">
        <f>IFERROR(VLOOKUP($A296,'AAPT ExDa'!$B$2:$U$99, 0,FALSE), IFERROR(VLOOKUP($A296,'ABB ExDa'!$A$2:$N$184, 13,FALSE), IFERROR(VLOOKUP($A296,'Vocus SIT ExDa'!$B$2:$J$173, 0,FALSE), IFERROR(VLOOKUP($A296,'Telstra ExDa'!$B$2:$K$310, 0,FALSE), IFERROR(VLOOKUP($A296,'Vocus RVC ExDa'!$C$2:$R$155, 0,FALSE), IFERROR(VLOOKUP($A296,'Fusion ExDa'!$B$2:$D$16, 0,FALSE), IFERROR(VLOOKUP($A296,'Exetel ExDa'!$C$2:$N$14, 0,FALSE), IFERROR(VLOOKUP($A296,'Infinet ExDa'!$B$2:$E$14, 0,FALSE), "Not Found"))))))))</f>
        <v>Not Found</v>
      </c>
    </row>
    <row r="297" spans="1:14">
      <c r="A297" t="str">
        <v>ASG Adelaide</v>
      </c>
      <c r="B297" t="str">
        <f>IFERROR(VLOOKUP(A297,'Exetel ExDa'!$C$2:$N$14,4,FALSE),"No Data")</f>
        <v>No Data</v>
      </c>
      <c r="C297" t="str">
        <f>IFERROR(VLOOKUP(A297,'AAPT ExDa'!$B$2:$U$99, 2,FALSE), IFERROR(VLOOKUP(A297,'ABB ExDa'!$A$2:$N$184, 2,FALSE), IFERROR(VLOOKUP(A297,'Vocus SIT ExDa'!$B$2:$J$173, 7,FALSE), IFERROR(VLOOKUP(A297,'Telstra ExDa'!$B$2:$K$310, 2,FALSE), IFERROR(VLOOKUP(A297,'Vocus RVC ExDa'!$C$2:$R$155, 3,FALSE), IFERROR(VLOOKUP(A297,'Fusion ExDa'!$B$2:$D$16, 2,FALSE), IFERROR(VLOOKUP(A297,'Exetel ExDa'!$C$2:$N$14, 2,FALSE), IFERROR(VLOOKUP(A297,'Infinet ExDa'!$B$2:$E$14, 2,FALSE), "Not Found"))))))))</f>
        <v>Level 1D, 60 Enterprise Place, Tingalpa QLD 4174</v>
      </c>
      <c r="D297" t="str">
        <f>IFERROR(VLOOKUP($A297,'AAPT ExDa'!$B$2:$U$99, 15,FALSE), IFERROR(VLOOKUP($A297,'ABB ExDa'!$A$2:$N$184, 4,FALSE), IFERROR(VLOOKUP($A297,'Vocus SIT ExDa'!$B$2:$J$173, 5,FALSE), IFERROR(VLOOKUP($A297,'Telstra ExDa'!$B$2:$K$310, 8,FALSE), IFERROR(VLOOKUP($A297,'Vocus RVC ExDa'!$C$2:$R$155, 6,FALSE), IFERROR(VLOOKUP($A297,'Fusion ExDa'!$B$2:$D$16, 4,FALSE), IFERROR(VLOOKUP($A297,'Exetel ExDa'!$C$2:$N$14, 3,FALSE), IFERROR(VLOOKUP($A297,'Infinet ExDa'!$B$2:$E$14, 3,FALSE), "Not Found"))))))))</f>
        <v>Vocus SIT</v>
      </c>
      <c r="E297" t="str">
        <f>IFERROR(VLOOKUP($A297,'AAPT ExDa'!$B$2:$U$99, 3,FALSE), IFERROR(VLOOKUP($A297,'ABB ExDa'!$A$2:$N$184, 5,FALSE), IFERROR(VLOOKUP($A297,'Vocus SIT ExDa'!$B$2:$J$173, 2,FALSE), IFERROR(VLOOKUP($A297,'Telstra ExDa'!$B$2:$K$310, 4,FALSE), IFERROR(VLOOKUP($A297,'Vocus RVC ExDa'!$C$2:$R$155, 8,FALSE), IFERROR(VLOOKUP($A297,'Fusion ExDa'!$B$2:$D$16, 4,FALSE), IFERROR(VLOOKUP($A297,'Exetel ExDa'!$C$2:$N$14, 5,FALSE), IFERROR(VLOOKUP($A297,'Infinet ExDa'!$B$2:$E$14, 3,FALSE), "Not Found"))))))))</f>
        <v>Voice Service</v>
      </c>
      <c r="F297">
        <f>IFERROR(VLOOKUP($A297,'AAPT ExDa'!$B$2:$U$99, 4,FALSE), IFERROR(VLOOKUP($A297,'ABB ExDa'!$A$2:$N$184, 6,FALSE), IFERROR(VLOOKUP($A297,'Vocus SIT ExDa'!$B$2:$J$173, 3,FALSE), IFERROR(VLOOKUP($A297,'Telstra ExDa'!$B$2:$K$310, 5,FALSE), IFERROR(VLOOKUP($A297,'Vocus RVC ExDa'!$C$2:$R$155, 9,FALSE), IFERROR(VLOOKUP($A297,'Fusion ExDa'!$B$2:$D$16, 0,FALSE), IFERROR(VLOOKUP($A297,'Exetel ExDa'!$C$2:$N$14, 6,FALSE), IFERROR(VLOOKUP($A297,'Infinet ExDa'!$B$2:$E$14, 0,FALSE), "Not Found"))))))))</f>
        <v>0</v>
      </c>
      <c r="G297" t="str">
        <f>IFERROR(VLOOKUP($A297,'AAPT ExDa'!$B$2:$U$99, 5,FALSE), IFERROR(VLOOKUP($A297,'ABB ExDa'!$A$2:$N$184, 8,FALSE), IFERROR(VLOOKUP($A297,'Vocus SIT ExDa'!$B$2:$J$173, 6,FALSE), IFERROR(VLOOKUP($A297,'Telstra ExDa'!$B$2:$K$310, 0,FALSE), IFERROR(VLOOKUP($A297,'Vocus RVC ExDa'!$C$2:$R$155, 15,FALSE), IFERROR(VLOOKUP($A297,'Fusion ExDa'!$B$2:$D$16, 0,FALSE), IFERROR(VLOOKUP($A297,'Exetel ExDa'!$C$2:$N$14, 7,FALSE), IFERROR(VLOOKUP($A297,'Infinet ExDa'!$B$2:$E$14, 0,FALSE), "Not Found"))))))))</f>
        <v>Smile Tel (Tingalpa , QLD) - Vocus IP Tel [ASG Adelaide]
9 IP Tel Standard (Reseller)
Voice (5 Mbps) - Level 1D, 60 Enterprise Place, Tingalpa QLD 4173</v>
      </c>
      <c r="H297" t="str">
        <f>IFERROR(VLOOKUP($A297,'AAPT ExDa'!$B$2:$U$99, 6,FALSE), IFERROR(VLOOKUP($A297,'ABB ExDa'!$A$2:$N$184, 0,FALSE), IFERROR(VLOOKUP($A297,'Vocus SIT ExDa'!$B$2:$J$173, 0,FALSE), IFERROR(VLOOKUP($A297,'Telstra ExDa'!$B$2:$K$310, 0,FALSE), IFERROR(VLOOKUP($A297,'Vocus RVC ExDa'!$C$2:$R$155, 16,FALSE), IFERROR(VLOOKUP($A297,'Fusion ExDa'!$B$2:$D$16, 0,FALSE), IFERROR(VLOOKUP($A297,'Exetel ExDa'!$C$2:$N$14, 0,FALSE), IFERROR(VLOOKUP($A297,'Infinet ExDa'!$B$2:$E$14, 0,FALSE), "Not Found"))))))))</f>
        <v>Not Found</v>
      </c>
      <c r="I297" t="str">
        <f>IFERROR(VLOOKUP($A297,'AAPT ExDa'!$B$2:$U$99, 0,FALSE), IFERROR(VLOOKUP($A297,'ABB ExDa'!$A$2:$N$184, 0,FALSE), IFERROR(VLOOKUP($A297,'Vocus SIT ExDa'!$B$2:$J$173, 0,FALSE), IFERROR(VLOOKUP($A297,'Telstra ExDa'!$B$2:$K$310, 0,FALSE), IFERROR(VLOOKUP($A297,'Vocus RVC ExDa'!$C$2:$R$155, 0,FALSE), IFERROR(VLOOKUP($A297,'Fusion ExDa'!$B$2:$D$16, 0,FALSE), IFERROR(VLOOKUP($A297,'Exetel ExDa'!$C$2:$N$14, 8,FALSE), IFERROR(VLOOKUP($A297,'Infinet ExDa'!$B$2:$E$14, 0,FALSE), "Not Found"))))))))</f>
        <v>Not Found</v>
      </c>
      <c r="J297" t="str">
        <f>IFERROR(VLOOKUP($A297,'AAPT ExDa'!$B$2:$U$99, 7,FALSE), IFERROR(VLOOKUP($A297,'ABB ExDa'!$A$2:$N$184, 2,FALSE), IFERROR(VLOOKUP($A297,'Vocus SIT ExDa'!$B$2:$J$173, 0,FALSE), IFERROR(VLOOKUP($A297,'Telstra ExDa'!$B$2:$K$310, 7,FALSE), IFERROR(VLOOKUP($A297,'Vocus RVC ExDa'!$C$2:$R$155, 2,FALSE), IFERROR(VLOOKUP($A297,'Fusion ExDa'!$B$2:$D$16, 3,FALSE), IFERROR(VLOOKUP($A297,'Exetel ExDa'!$C$2:$N$14, 0,FALSE), IFERROR(VLOOKUP($A297,'Infinet ExDa'!$B$2:$E$14, 0,FALSE), "Not Found"))))))))</f>
        <v>Not Found</v>
      </c>
      <c r="K297" t="str">
        <f>IFERROR(VLOOKUP($A297,'AAPT ExDa'!$B$2:$U$99, 12,FALSE), IFERROR(VLOOKUP($A297,'ABB ExDa'!$A$2:$N$184, 0,FALSE), IFERROR(VLOOKUP($A297,'Vocus SIT ExDa'!$B$2:$J$173, 0,FALSE), IFERROR(VLOOKUP($A297,'Telstra ExDa'!$B$2:$K$310, 0,FALSE), IFERROR(VLOOKUP($A297,'Vocus RVC ExDa'!$C$2:$R$155, 0,FALSE), IFERROR(VLOOKUP($A297,'Fusion ExDa'!$B$2:$D$16, 0,FALSE), IFERROR(VLOOKUP($A297,'Exetel ExDa'!$C$2:$N$14, 12,FALSE), IFERROR(VLOOKUP($A297,'Infinet ExDa'!$B$2:$E$14, 0,FALSE), "Not Found"))))))))</f>
        <v>Not Found</v>
      </c>
      <c r="L297" s="235" t="str">
        <f>IFERROR(VLOOKUP($A297,'AAPT ExDa'!$B$2:$U$99, 11,FALSE), IFERROR(VLOOKUP($A297,'ABB ExDa'!$A$2:$N$184, 9,FALSE), IFERROR(VLOOKUP($A297,'Vocus SIT ExDa'!$B$2:$J$173, 8,FALSE), IFERROR(VLOOKUP($A297,'Telstra ExDa'!$B$2:$K$310, 0,FALSE), IFERROR(VLOOKUP($A297,'Vocus RVC ExDa'!$C$2:$R$155, 0,FALSE), IFERROR(VLOOKUP($A297,'Fusion ExDa'!$B$2:$D$16, 0,FALSE), IFERROR(VLOOKUP($A297,'Exetel ExDa'!$C$2:$N$14, 9,FALSE), IFERROR(VLOOKUP($A297,'Infinet ExDa'!$B$2:$E$14, 0,FALSE), "Not Found"))))))))</f>
        <v>21/09/2023</v>
      </c>
      <c r="M297" s="234" t="str">
        <f>IFERROR(VLOOKUP($A297,'AAPT ExDa'!$B$2:$U$99, 0,FALSE), IFERROR(VLOOKUP($A297,'ABB ExDa'!$A$2:$N$184, 0,FALSE), IFERROR(VLOOKUP($A297,'Vocus SIT ExDa'!$B$2:$J$173, 0,FALSE), IFERROR(VLOOKUP($A297,'Telstra ExDa'!$B$2:$K$310, 0,FALSE), IFERROR(VLOOKUP($A297,'Vocus RVC ExDa'!$C$2:$R$155, 0,FALSE), IFERROR(VLOOKUP($A297,'Fusion ExDa'!$B$2:$D$16, 0,FALSE), IFERROR(VLOOKUP($A297,'Exetel ExDa'!$C$2:$N$14, 11,FALSE), IFERROR(VLOOKUP($A297,'Infinet ExDa'!$B$2:$E$14, 0,FALSE), "Not Found"))))))))</f>
        <v>Not Found</v>
      </c>
      <c r="N297" t="str">
        <f>IFERROR(VLOOKUP($A297,'AAPT ExDa'!$B$2:$U$99, 0,FALSE), IFERROR(VLOOKUP($A297,'ABB ExDa'!$A$2:$N$184, 13,FALSE), IFERROR(VLOOKUP($A297,'Vocus SIT ExDa'!$B$2:$J$173, 0,FALSE), IFERROR(VLOOKUP($A297,'Telstra ExDa'!$B$2:$K$310, 0,FALSE), IFERROR(VLOOKUP($A297,'Vocus RVC ExDa'!$C$2:$R$155, 0,FALSE), IFERROR(VLOOKUP($A297,'Fusion ExDa'!$B$2:$D$16, 0,FALSE), IFERROR(VLOOKUP($A297,'Exetel ExDa'!$C$2:$N$14, 0,FALSE), IFERROR(VLOOKUP($A297,'Infinet ExDa'!$B$2:$E$14, 0,FALSE), "Not Found"))))))))</f>
        <v>Not Found</v>
      </c>
    </row>
    <row r="298" spans="1:14">
      <c r="A298" t="str">
        <v>Spicers (check exact site)</v>
      </c>
      <c r="B298" t="str">
        <f>IFERROR(VLOOKUP(A298,'Exetel ExDa'!$C$2:$N$14,4,FALSE),"No Data")</f>
        <v>No Data</v>
      </c>
      <c r="C298" t="str">
        <f>IFERROR(VLOOKUP(A298,'AAPT ExDa'!$B$2:$U$99, 2,FALSE), IFERROR(VLOOKUP(A298,'ABB ExDa'!$A$2:$N$184, 2,FALSE), IFERROR(VLOOKUP(A298,'Vocus SIT ExDa'!$B$2:$J$173, 7,FALSE), IFERROR(VLOOKUP(A298,'Telstra ExDa'!$B$2:$K$310, 2,FALSE), IFERROR(VLOOKUP(A298,'Vocus RVC ExDa'!$C$2:$R$155, 3,FALSE), IFERROR(VLOOKUP(A298,'Fusion ExDa'!$B$2:$D$16, 2,FALSE), IFERROR(VLOOKUP(A298,'Exetel ExDa'!$C$2:$N$14, 2,FALSE), IFERROR(VLOOKUP(A298,'Infinet ExDa'!$B$2:$E$14, 2,FALSE), "Not Found"))))))))</f>
        <v>Level 1D, 60 Enterprise Place, Tingalpa QLD 4174</v>
      </c>
      <c r="D298" t="str">
        <f>IFERROR(VLOOKUP($A298,'AAPT ExDa'!$B$2:$U$99, 15,FALSE), IFERROR(VLOOKUP($A298,'ABB ExDa'!$A$2:$N$184, 4,FALSE), IFERROR(VLOOKUP($A298,'Vocus SIT ExDa'!$B$2:$J$173, 5,FALSE), IFERROR(VLOOKUP($A298,'Telstra ExDa'!$B$2:$K$310, 8,FALSE), IFERROR(VLOOKUP($A298,'Vocus RVC ExDa'!$C$2:$R$155, 6,FALSE), IFERROR(VLOOKUP($A298,'Fusion ExDa'!$B$2:$D$16, 4,FALSE), IFERROR(VLOOKUP($A298,'Exetel ExDa'!$C$2:$N$14, 3,FALSE), IFERROR(VLOOKUP($A298,'Infinet ExDa'!$B$2:$E$14, 3,FALSE), "Not Found"))))))))</f>
        <v>Vocus SIT</v>
      </c>
      <c r="E298" t="str">
        <f>IFERROR(VLOOKUP($A298,'AAPT ExDa'!$B$2:$U$99, 3,FALSE), IFERROR(VLOOKUP($A298,'ABB ExDa'!$A$2:$N$184, 5,FALSE), IFERROR(VLOOKUP($A298,'Vocus SIT ExDa'!$B$2:$J$173, 2,FALSE), IFERROR(VLOOKUP($A298,'Telstra ExDa'!$B$2:$K$310, 4,FALSE), IFERROR(VLOOKUP($A298,'Vocus RVC ExDa'!$C$2:$R$155, 8,FALSE), IFERROR(VLOOKUP($A298,'Fusion ExDa'!$B$2:$D$16, 4,FALSE), IFERROR(VLOOKUP($A298,'Exetel ExDa'!$C$2:$N$14, 5,FALSE), IFERROR(VLOOKUP($A298,'Infinet ExDa'!$B$2:$E$14, 3,FALSE), "Not Found"))))))))</f>
        <v>Voice Service</v>
      </c>
      <c r="F298">
        <f>IFERROR(VLOOKUP($A298,'AAPT ExDa'!$B$2:$U$99, 4,FALSE), IFERROR(VLOOKUP($A298,'ABB ExDa'!$A$2:$N$184, 6,FALSE), IFERROR(VLOOKUP($A298,'Vocus SIT ExDa'!$B$2:$J$173, 3,FALSE), IFERROR(VLOOKUP($A298,'Telstra ExDa'!$B$2:$K$310, 5,FALSE), IFERROR(VLOOKUP($A298,'Vocus RVC ExDa'!$C$2:$R$155, 9,FALSE), IFERROR(VLOOKUP($A298,'Fusion ExDa'!$B$2:$D$16, 0,FALSE), IFERROR(VLOOKUP($A298,'Exetel ExDa'!$C$2:$N$14, 6,FALSE), IFERROR(VLOOKUP($A298,'Infinet ExDa'!$B$2:$E$14, 0,FALSE), "Not Found"))))))))</f>
        <v>0</v>
      </c>
      <c r="G298" t="str">
        <f>IFERROR(VLOOKUP($A298,'AAPT ExDa'!$B$2:$U$99, 5,FALSE), IFERROR(VLOOKUP($A298,'ABB ExDa'!$A$2:$N$184, 8,FALSE), IFERROR(VLOOKUP($A298,'Vocus SIT ExDa'!$B$2:$J$173, 6,FALSE), IFERROR(VLOOKUP($A298,'Telstra ExDa'!$B$2:$K$310, 0,FALSE), IFERROR(VLOOKUP($A298,'Vocus RVC ExDa'!$C$2:$R$155, 15,FALSE), IFERROR(VLOOKUP($A298,'Fusion ExDa'!$B$2:$D$16, 0,FALSE), IFERROR(VLOOKUP($A298,'Exetel ExDa'!$C$2:$N$14, 7,FALSE), IFERROR(VLOOKUP($A298,'Infinet ExDa'!$B$2:$E$14, 0,FALSE), "Not Found"))))))))</f>
        <v>Smile Tel (Tingalpa , QLD) - Vocus IP Tel [Spicers]
IP Tel with Webex Basic (Reseller)
Voice (5 Mbps) - Level 1D, 60 Enterprise Place, Tingalpa QLD 4173</v>
      </c>
      <c r="H298" t="str">
        <f>IFERROR(VLOOKUP($A298,'AAPT ExDa'!$B$2:$U$99, 6,FALSE), IFERROR(VLOOKUP($A298,'ABB ExDa'!$A$2:$N$184, 0,FALSE), IFERROR(VLOOKUP($A298,'Vocus SIT ExDa'!$B$2:$J$173, 0,FALSE), IFERROR(VLOOKUP($A298,'Telstra ExDa'!$B$2:$K$310, 0,FALSE), IFERROR(VLOOKUP($A298,'Vocus RVC ExDa'!$C$2:$R$155, 16,FALSE), IFERROR(VLOOKUP($A298,'Fusion ExDa'!$B$2:$D$16, 0,FALSE), IFERROR(VLOOKUP($A298,'Exetel ExDa'!$C$2:$N$14, 0,FALSE), IFERROR(VLOOKUP($A298,'Infinet ExDa'!$B$2:$E$14, 0,FALSE), "Not Found"))))))))</f>
        <v>Not Found</v>
      </c>
      <c r="I298" t="str">
        <f>IFERROR(VLOOKUP($A298,'AAPT ExDa'!$B$2:$U$99, 0,FALSE), IFERROR(VLOOKUP($A298,'ABB ExDa'!$A$2:$N$184, 0,FALSE), IFERROR(VLOOKUP($A298,'Vocus SIT ExDa'!$B$2:$J$173, 0,FALSE), IFERROR(VLOOKUP($A298,'Telstra ExDa'!$B$2:$K$310, 0,FALSE), IFERROR(VLOOKUP($A298,'Vocus RVC ExDa'!$C$2:$R$155, 0,FALSE), IFERROR(VLOOKUP($A298,'Fusion ExDa'!$B$2:$D$16, 0,FALSE), IFERROR(VLOOKUP($A298,'Exetel ExDa'!$C$2:$N$14, 8,FALSE), IFERROR(VLOOKUP($A298,'Infinet ExDa'!$B$2:$E$14, 0,FALSE), "Not Found"))))))))</f>
        <v>Not Found</v>
      </c>
      <c r="J298" t="str">
        <f>IFERROR(VLOOKUP($A298,'AAPT ExDa'!$B$2:$U$99, 7,FALSE), IFERROR(VLOOKUP($A298,'ABB ExDa'!$A$2:$N$184, 2,FALSE), IFERROR(VLOOKUP($A298,'Vocus SIT ExDa'!$B$2:$J$173, 0,FALSE), IFERROR(VLOOKUP($A298,'Telstra ExDa'!$B$2:$K$310, 7,FALSE), IFERROR(VLOOKUP($A298,'Vocus RVC ExDa'!$C$2:$R$155, 2,FALSE), IFERROR(VLOOKUP($A298,'Fusion ExDa'!$B$2:$D$16, 3,FALSE), IFERROR(VLOOKUP($A298,'Exetel ExDa'!$C$2:$N$14, 0,FALSE), IFERROR(VLOOKUP($A298,'Infinet ExDa'!$B$2:$E$14, 0,FALSE), "Not Found"))))))))</f>
        <v>Not Found</v>
      </c>
      <c r="K298" t="str">
        <f>IFERROR(VLOOKUP($A298,'AAPT ExDa'!$B$2:$U$99, 12,FALSE), IFERROR(VLOOKUP($A298,'ABB ExDa'!$A$2:$N$184, 0,FALSE), IFERROR(VLOOKUP($A298,'Vocus SIT ExDa'!$B$2:$J$173, 0,FALSE), IFERROR(VLOOKUP($A298,'Telstra ExDa'!$B$2:$K$310, 0,FALSE), IFERROR(VLOOKUP($A298,'Vocus RVC ExDa'!$C$2:$R$155, 0,FALSE), IFERROR(VLOOKUP($A298,'Fusion ExDa'!$B$2:$D$16, 0,FALSE), IFERROR(VLOOKUP($A298,'Exetel ExDa'!$C$2:$N$14, 12,FALSE), IFERROR(VLOOKUP($A298,'Infinet ExDa'!$B$2:$E$14, 0,FALSE), "Not Found"))))))))</f>
        <v>Not Found</v>
      </c>
      <c r="L298" s="235" t="str">
        <f>IFERROR(VLOOKUP($A298,'AAPT ExDa'!$B$2:$U$99, 11,FALSE), IFERROR(VLOOKUP($A298,'ABB ExDa'!$A$2:$N$184, 9,FALSE), IFERROR(VLOOKUP($A298,'Vocus SIT ExDa'!$B$2:$J$173, 8,FALSE), IFERROR(VLOOKUP($A298,'Telstra ExDa'!$B$2:$K$310, 0,FALSE), IFERROR(VLOOKUP($A298,'Vocus RVC ExDa'!$C$2:$R$155, 0,FALSE), IFERROR(VLOOKUP($A298,'Fusion ExDa'!$B$2:$D$16, 0,FALSE), IFERROR(VLOOKUP($A298,'Exetel ExDa'!$C$2:$N$14, 9,FALSE), IFERROR(VLOOKUP($A298,'Infinet ExDa'!$B$2:$E$14, 0,FALSE), "Not Found"))))))))</f>
        <v>31/08/2023</v>
      </c>
      <c r="M298" s="234" t="str">
        <f>IFERROR(VLOOKUP($A298,'AAPT ExDa'!$B$2:$U$99, 0,FALSE), IFERROR(VLOOKUP($A298,'ABB ExDa'!$A$2:$N$184, 0,FALSE), IFERROR(VLOOKUP($A298,'Vocus SIT ExDa'!$B$2:$J$173, 0,FALSE), IFERROR(VLOOKUP($A298,'Telstra ExDa'!$B$2:$K$310, 0,FALSE), IFERROR(VLOOKUP($A298,'Vocus RVC ExDa'!$C$2:$R$155, 0,FALSE), IFERROR(VLOOKUP($A298,'Fusion ExDa'!$B$2:$D$16, 0,FALSE), IFERROR(VLOOKUP($A298,'Exetel ExDa'!$C$2:$N$14, 11,FALSE), IFERROR(VLOOKUP($A298,'Infinet ExDa'!$B$2:$E$14, 0,FALSE), "Not Found"))))))))</f>
        <v>Not Found</v>
      </c>
      <c r="N298" t="str">
        <f>IFERROR(VLOOKUP($A298,'AAPT ExDa'!$B$2:$U$99, 0,FALSE), IFERROR(VLOOKUP($A298,'ABB ExDa'!$A$2:$N$184, 13,FALSE), IFERROR(VLOOKUP($A298,'Vocus SIT ExDa'!$B$2:$J$173, 0,FALSE), IFERROR(VLOOKUP($A298,'Telstra ExDa'!$B$2:$K$310, 0,FALSE), IFERROR(VLOOKUP($A298,'Vocus RVC ExDa'!$C$2:$R$155, 0,FALSE), IFERROR(VLOOKUP($A298,'Fusion ExDa'!$B$2:$D$16, 0,FALSE), IFERROR(VLOOKUP($A298,'Exetel ExDa'!$C$2:$N$14, 0,FALSE), IFERROR(VLOOKUP($A298,'Infinet ExDa'!$B$2:$E$14, 0,FALSE), "Not Found"))))))))</f>
        <v>Not Found</v>
      </c>
    </row>
    <row r="299" spans="1:14">
      <c r="A299" t="str">
        <v>Smile IT</v>
      </c>
      <c r="B299" t="str">
        <f>IFERROR(VLOOKUP(A299,'Exetel ExDa'!$C$2:$N$14,4,FALSE),"No Data")</f>
        <v>0701561050</v>
      </c>
      <c r="C299">
        <f>IFERROR(VLOOKUP(A299,'AAPT ExDa'!$B$2:$U$99, 2,FALSE), IFERROR(VLOOKUP(A299,'ABB ExDa'!$A$2:$N$184, 2,FALSE), IFERROR(VLOOKUP(A299,'Vocus SIT ExDa'!$B$2:$J$173, 7,FALSE), IFERROR(VLOOKUP(A299,'Telstra ExDa'!$B$2:$K$310, 2,FALSE), IFERROR(VLOOKUP(A299,'Vocus RVC ExDa'!$C$2:$R$155, 3,FALSE), IFERROR(VLOOKUP(A299,'Fusion ExDa'!$B$2:$D$16, 2,FALSE), IFERROR(VLOOKUP(A299,'Exetel ExDa'!$C$2:$N$14, 2,FALSE), IFERROR(VLOOKUP(A299,'Infinet ExDa'!$B$2:$E$14, 2,FALSE), "Not Found"))))))))</f>
        <v>0</v>
      </c>
      <c r="D299" t="str">
        <f>IFERROR(VLOOKUP($A299,'AAPT ExDa'!$B$2:$U$99, 15,FALSE), IFERROR(VLOOKUP($A299,'ABB ExDa'!$A$2:$N$184, 4,FALSE), IFERROR(VLOOKUP($A299,'Vocus SIT ExDa'!$B$2:$J$173, 5,FALSE), IFERROR(VLOOKUP($A299,'Telstra ExDa'!$B$2:$K$310, 8,FALSE), IFERROR(VLOOKUP($A299,'Vocus RVC ExDa'!$C$2:$R$155, 6,FALSE), IFERROR(VLOOKUP($A299,'Fusion ExDa'!$B$2:$D$16, 4,FALSE), IFERROR(VLOOKUP($A299,'Exetel ExDa'!$C$2:$N$14, 3,FALSE), IFERROR(VLOOKUP($A299,'Infinet ExDa'!$B$2:$E$14, 3,FALSE), "Not Found"))))))))</f>
        <v>AAPT</v>
      </c>
      <c r="E299" t="str">
        <f>IFERROR(VLOOKUP($A299,'AAPT ExDa'!$B$2:$U$99, 3,FALSE), IFERROR(VLOOKUP($A299,'ABB ExDa'!$A$2:$N$184, 5,FALSE), IFERROR(VLOOKUP($A299,'Vocus SIT ExDa'!$B$2:$J$173, 2,FALSE), IFERROR(VLOOKUP($A299,'Telstra ExDa'!$B$2:$K$310, 4,FALSE), IFERROR(VLOOKUP($A299,'Vocus RVC ExDa'!$C$2:$R$155, 8,FALSE), IFERROR(VLOOKUP($A299,'Fusion ExDa'!$B$2:$D$16, 4,FALSE), IFERROR(VLOOKUP($A299,'Exetel ExDa'!$C$2:$N$14, 5,FALSE), IFERROR(VLOOKUP($A299,'Infinet ExDa'!$B$2:$E$14, 3,FALSE), "Not Found"))))))))</f>
        <v>IP-Line</v>
      </c>
      <c r="F299" t="str">
        <f>IFERROR(VLOOKUP($A299,'AAPT ExDa'!$B$2:$U$99, 4,FALSE), IFERROR(VLOOKUP($A299,'ABB ExDa'!$A$2:$N$184, 6,FALSE), IFERROR(VLOOKUP($A299,'Vocus SIT ExDa'!$B$2:$J$173, 3,FALSE), IFERROR(VLOOKUP($A299,'Telstra ExDa'!$B$2:$K$310, 5,FALSE), IFERROR(VLOOKUP($A299,'Vocus RVC ExDa'!$C$2:$R$155, 9,FALSE), IFERROR(VLOOKUP($A299,'Fusion ExDa'!$B$2:$D$16, 0,FALSE), IFERROR(VLOOKUP($A299,'Exetel ExDa'!$C$2:$N$14, 6,FALSE), IFERROR(VLOOKUP($A299,'Infinet ExDa'!$B$2:$E$14, 0,FALSE), "Not Found"))))))))</f>
        <v>IP-Line Link</v>
      </c>
      <c r="G299" t="str">
        <f>IFERROR(VLOOKUP($A299,'AAPT ExDa'!$B$2:$U$99, 5,FALSE), IFERROR(VLOOKUP($A299,'ABB ExDa'!$A$2:$N$184, 8,FALSE), IFERROR(VLOOKUP($A299,'Vocus SIT ExDa'!$B$2:$J$173, 6,FALSE), IFERROR(VLOOKUP($A299,'Telstra ExDa'!$B$2:$K$310, 0,FALSE), IFERROR(VLOOKUP($A299,'Vocus RVC ExDa'!$C$2:$R$155, 15,FALSE), IFERROR(VLOOKUP($A299,'Fusion ExDa'!$B$2:$D$16, 0,FALSE), IFERROR(VLOOKUP($A299,'Exetel ExDa'!$C$2:$N$14, 7,FALSE), IFERROR(VLOOKUP($A299,'Infinet ExDa'!$B$2:$E$14, 0,FALSE), "Not Found"))))))))</f>
        <v>Connecting IP-Line 6023265 to Access 100773541</v>
      </c>
      <c r="H299" t="str">
        <f>IFERROR(VLOOKUP($A299,'AAPT ExDa'!$B$2:$U$99, 6,FALSE), IFERROR(VLOOKUP($A299,'ABB ExDa'!$A$2:$N$184, 0,FALSE), IFERROR(VLOOKUP($A299,'Vocus SIT ExDa'!$B$2:$J$173, 0,FALSE), IFERROR(VLOOKUP($A299,'Telstra ExDa'!$B$2:$K$310, 0,FALSE), IFERROR(VLOOKUP($A299,'Vocus RVC ExDa'!$C$2:$R$155, 16,FALSE), IFERROR(VLOOKUP($A299,'Fusion ExDa'!$B$2:$D$16, 0,FALSE), IFERROR(VLOOKUP($A299,'Exetel ExDa'!$C$2:$N$14, 0,FALSE), IFERROR(VLOOKUP($A299,'Infinet ExDa'!$B$2:$E$14, 0,FALSE), "Not Found"))))))))</f>
        <v>Up to 100/40Mbps; AVC ID:AVC000141025780</v>
      </c>
      <c r="I299">
        <f>IFERROR(VLOOKUP($A299,'AAPT ExDa'!$B$2:$U$99, 0,FALSE), IFERROR(VLOOKUP($A299,'ABB ExDa'!$A$2:$N$184, 0,FALSE), IFERROR(VLOOKUP($A299,'Vocus SIT ExDa'!$B$2:$J$173, 0,FALSE), IFERROR(VLOOKUP($A299,'Telstra ExDa'!$B$2:$K$310, 0,FALSE), IFERROR(VLOOKUP($A299,'Vocus RVC ExDa'!$C$2:$R$155, 0,FALSE), IFERROR(VLOOKUP($A299,'Fusion ExDa'!$B$2:$D$16, 0,FALSE), IFERROR(VLOOKUP($A299,'Exetel ExDa'!$C$2:$N$14, 8,FALSE), IFERROR(VLOOKUP($A299,'Infinet ExDa'!$B$2:$E$14, 0,FALSE), "Not Found"))))))))</f>
        <v>0</v>
      </c>
      <c r="J299" t="str">
        <f>IFERROR(VLOOKUP($A299,'AAPT ExDa'!$B$2:$U$99, 7,FALSE), IFERROR(VLOOKUP($A299,'ABB ExDa'!$A$2:$N$184, 2,FALSE), IFERROR(VLOOKUP($A299,'Vocus SIT ExDa'!$B$2:$J$173, 0,FALSE), IFERROR(VLOOKUP($A299,'Telstra ExDa'!$B$2:$K$310, 7,FALSE), IFERROR(VLOOKUP($A299,'Vocus RVC ExDa'!$C$2:$R$155, 2,FALSE), IFERROR(VLOOKUP($A299,'Fusion ExDa'!$B$2:$D$16, 3,FALSE), IFERROR(VLOOKUP($A299,'Exetel ExDa'!$C$2:$N$14, 0,FALSE), IFERROR(VLOOKUP($A299,'Infinet ExDa'!$B$2:$E$14, 0,FALSE), "Not Found"))))))))</f>
        <v>AVC000141025780</v>
      </c>
      <c r="K299" t="str">
        <f>IFERROR(VLOOKUP($A299,'AAPT ExDa'!$B$2:$U$99, 12,FALSE), IFERROR(VLOOKUP($A299,'ABB ExDa'!$A$2:$N$184, 0,FALSE), IFERROR(VLOOKUP($A299,'Vocus SIT ExDa'!$B$2:$J$173, 0,FALSE), IFERROR(VLOOKUP($A299,'Telstra ExDa'!$B$2:$K$310, 0,FALSE), IFERROR(VLOOKUP($A299,'Vocus RVC ExDa'!$C$2:$R$155, 0,FALSE), IFERROR(VLOOKUP($A299,'Fusion ExDa'!$B$2:$D$16, 0,FALSE), IFERROR(VLOOKUP($A299,'Exetel ExDa'!$C$2:$N$14, 12,FALSE), IFERROR(VLOOKUP($A299,'Infinet ExDa'!$B$2:$E$14, 0,FALSE), "Not Found"))))))))</f>
        <v>12 Months</v>
      </c>
      <c r="L299" s="235">
        <f>IFERROR(VLOOKUP($A299,'AAPT ExDa'!$B$2:$U$99, 11,FALSE), IFERROR(VLOOKUP($A299,'ABB ExDa'!$A$2:$N$184, 9,FALSE), IFERROR(VLOOKUP($A299,'Vocus SIT ExDa'!$B$2:$J$173, 8,FALSE), IFERROR(VLOOKUP($A299,'Telstra ExDa'!$B$2:$K$310, 0,FALSE), IFERROR(VLOOKUP($A299,'Vocus RVC ExDa'!$C$2:$R$155, 0,FALSE), IFERROR(VLOOKUP($A299,'Fusion ExDa'!$B$2:$D$16, 0,FALSE), IFERROR(VLOOKUP($A299,'Exetel ExDa'!$C$2:$N$14, 9,FALSE), IFERROR(VLOOKUP($A299,'Infinet ExDa'!$B$2:$E$14, 0,FALSE), "Not Found"))))))))</f>
        <v>44297</v>
      </c>
      <c r="M299" s="234">
        <f>IFERROR(VLOOKUP($A299,'AAPT ExDa'!$B$2:$U$99, 0,FALSE), IFERROR(VLOOKUP($A299,'ABB ExDa'!$A$2:$N$184, 0,FALSE), IFERROR(VLOOKUP($A299,'Vocus SIT ExDa'!$B$2:$J$173, 0,FALSE), IFERROR(VLOOKUP($A299,'Telstra ExDa'!$B$2:$K$310, 0,FALSE), IFERROR(VLOOKUP($A299,'Vocus RVC ExDa'!$C$2:$R$155, 0,FALSE), IFERROR(VLOOKUP($A299,'Fusion ExDa'!$B$2:$D$16, 0,FALSE), IFERROR(VLOOKUP($A299,'Exetel ExDa'!$C$2:$N$14, 11,FALSE), IFERROR(VLOOKUP($A299,'Infinet ExDa'!$B$2:$E$14, 0,FALSE), "Not Found"))))))))</f>
        <v>0</v>
      </c>
      <c r="N299" t="str">
        <f>IFERROR(VLOOKUP($A299,'AAPT ExDa'!$B$2:$U$99, 0,FALSE), IFERROR(VLOOKUP($A299,'ABB ExDa'!$A$2:$N$184, 13,FALSE), IFERROR(VLOOKUP($A299,'Vocus SIT ExDa'!$B$2:$J$173, 0,FALSE), IFERROR(VLOOKUP($A299,'Telstra ExDa'!$B$2:$K$310, 0,FALSE), IFERROR(VLOOKUP($A299,'Vocus RVC ExDa'!$C$2:$R$155, 0,FALSE), IFERROR(VLOOKUP($A299,'Fusion ExDa'!$B$2:$D$16, 0,FALSE), IFERROR(VLOOKUP($A299,'Exetel ExDa'!$C$2:$N$14, 0,FALSE), IFERROR(VLOOKUP($A299,'Infinet ExDa'!$B$2:$E$14, 0,FALSE), "Not Found"))))))))</f>
        <v>Not Found</v>
      </c>
    </row>
    <row r="300" spans="1:14">
      <c r="A300" t="str">
        <v>Smile IT</v>
      </c>
      <c r="B300" t="str">
        <f>IFERROR(VLOOKUP(A300,'Exetel ExDa'!$C$2:$N$14,4,FALSE),"No Data")</f>
        <v>0701561050</v>
      </c>
      <c r="C300">
        <f>IFERROR(VLOOKUP(A300,'AAPT ExDa'!$B$2:$U$99, 2,FALSE), IFERROR(VLOOKUP(A300,'ABB ExDa'!$A$2:$N$184, 2,FALSE), IFERROR(VLOOKUP(A300,'Vocus SIT ExDa'!$B$2:$J$173, 7,FALSE), IFERROR(VLOOKUP(A300,'Telstra ExDa'!$B$2:$K$310, 2,FALSE), IFERROR(VLOOKUP(A300,'Vocus RVC ExDa'!$C$2:$R$155, 3,FALSE), IFERROR(VLOOKUP(A300,'Fusion ExDa'!$B$2:$D$16, 2,FALSE), IFERROR(VLOOKUP(A300,'Exetel ExDa'!$C$2:$N$14, 2,FALSE), IFERROR(VLOOKUP(A300,'Infinet ExDa'!$B$2:$E$14, 2,FALSE), "Not Found"))))))))</f>
        <v>0</v>
      </c>
      <c r="D300" t="str">
        <f>IFERROR(VLOOKUP($A300,'AAPT ExDa'!$B$2:$U$99, 15,FALSE), IFERROR(VLOOKUP($A300,'ABB ExDa'!$A$2:$N$184, 4,FALSE), IFERROR(VLOOKUP($A300,'Vocus SIT ExDa'!$B$2:$J$173, 5,FALSE), IFERROR(VLOOKUP($A300,'Telstra ExDa'!$B$2:$K$310, 8,FALSE), IFERROR(VLOOKUP($A300,'Vocus RVC ExDa'!$C$2:$R$155, 6,FALSE), IFERROR(VLOOKUP($A300,'Fusion ExDa'!$B$2:$D$16, 4,FALSE), IFERROR(VLOOKUP($A300,'Exetel ExDa'!$C$2:$N$14, 3,FALSE), IFERROR(VLOOKUP($A300,'Infinet ExDa'!$B$2:$E$14, 3,FALSE), "Not Found"))))))))</f>
        <v>AAPT</v>
      </c>
      <c r="E300" t="str">
        <f>IFERROR(VLOOKUP($A300,'AAPT ExDa'!$B$2:$U$99, 3,FALSE), IFERROR(VLOOKUP($A300,'ABB ExDa'!$A$2:$N$184, 5,FALSE), IFERROR(VLOOKUP($A300,'Vocus SIT ExDa'!$B$2:$J$173, 2,FALSE), IFERROR(VLOOKUP($A300,'Telstra ExDa'!$B$2:$K$310, 4,FALSE), IFERROR(VLOOKUP($A300,'Vocus RVC ExDa'!$C$2:$R$155, 8,FALSE), IFERROR(VLOOKUP($A300,'Fusion ExDa'!$B$2:$D$16, 4,FALSE), IFERROR(VLOOKUP($A300,'Exetel ExDa'!$C$2:$N$14, 5,FALSE), IFERROR(VLOOKUP($A300,'Infinet ExDa'!$B$2:$E$14, 3,FALSE), "Not Found"))))))))</f>
        <v>IP-Line</v>
      </c>
      <c r="F300" t="str">
        <f>IFERROR(VLOOKUP($A300,'AAPT ExDa'!$B$2:$U$99, 4,FALSE), IFERROR(VLOOKUP($A300,'ABB ExDa'!$A$2:$N$184, 6,FALSE), IFERROR(VLOOKUP($A300,'Vocus SIT ExDa'!$B$2:$J$173, 3,FALSE), IFERROR(VLOOKUP($A300,'Telstra ExDa'!$B$2:$K$310, 5,FALSE), IFERROR(VLOOKUP($A300,'Vocus RVC ExDa'!$C$2:$R$155, 9,FALSE), IFERROR(VLOOKUP($A300,'Fusion ExDa'!$B$2:$D$16, 0,FALSE), IFERROR(VLOOKUP($A300,'Exetel ExDa'!$C$2:$N$14, 6,FALSE), IFERROR(VLOOKUP($A300,'Infinet ExDa'!$B$2:$E$14, 0,FALSE), "Not Found"))))))))</f>
        <v>IP-Line Link</v>
      </c>
      <c r="G300" t="str">
        <f>IFERROR(VLOOKUP($A300,'AAPT ExDa'!$B$2:$U$99, 5,FALSE), IFERROR(VLOOKUP($A300,'ABB ExDa'!$A$2:$N$184, 8,FALSE), IFERROR(VLOOKUP($A300,'Vocus SIT ExDa'!$B$2:$J$173, 6,FALSE), IFERROR(VLOOKUP($A300,'Telstra ExDa'!$B$2:$K$310, 0,FALSE), IFERROR(VLOOKUP($A300,'Vocus RVC ExDa'!$C$2:$R$155, 15,FALSE), IFERROR(VLOOKUP($A300,'Fusion ExDa'!$B$2:$D$16, 0,FALSE), IFERROR(VLOOKUP($A300,'Exetel ExDa'!$C$2:$N$14, 7,FALSE), IFERROR(VLOOKUP($A300,'Infinet ExDa'!$B$2:$E$14, 0,FALSE), "Not Found"))))))))</f>
        <v>Connecting IP-Line 6023265 to Access 100773541</v>
      </c>
      <c r="H300" t="str">
        <f>IFERROR(VLOOKUP($A300,'AAPT ExDa'!$B$2:$U$99, 6,FALSE), IFERROR(VLOOKUP($A300,'ABB ExDa'!$A$2:$N$184, 0,FALSE), IFERROR(VLOOKUP($A300,'Vocus SIT ExDa'!$B$2:$J$173, 0,FALSE), IFERROR(VLOOKUP($A300,'Telstra ExDa'!$B$2:$K$310, 0,FALSE), IFERROR(VLOOKUP($A300,'Vocus RVC ExDa'!$C$2:$R$155, 16,FALSE), IFERROR(VLOOKUP($A300,'Fusion ExDa'!$B$2:$D$16, 0,FALSE), IFERROR(VLOOKUP($A300,'Exetel ExDa'!$C$2:$N$14, 0,FALSE), IFERROR(VLOOKUP($A300,'Infinet ExDa'!$B$2:$E$14, 0,FALSE), "Not Found"))))))))</f>
        <v>Up to 100/40Mbps; AVC ID:AVC000141025780</v>
      </c>
      <c r="I300">
        <f>IFERROR(VLOOKUP($A300,'AAPT ExDa'!$B$2:$U$99, 0,FALSE), IFERROR(VLOOKUP($A300,'ABB ExDa'!$A$2:$N$184, 0,FALSE), IFERROR(VLOOKUP($A300,'Vocus SIT ExDa'!$B$2:$J$173, 0,FALSE), IFERROR(VLOOKUP($A300,'Telstra ExDa'!$B$2:$K$310, 0,FALSE), IFERROR(VLOOKUP($A300,'Vocus RVC ExDa'!$C$2:$R$155, 0,FALSE), IFERROR(VLOOKUP($A300,'Fusion ExDa'!$B$2:$D$16, 0,FALSE), IFERROR(VLOOKUP($A300,'Exetel ExDa'!$C$2:$N$14, 8,FALSE), IFERROR(VLOOKUP($A300,'Infinet ExDa'!$B$2:$E$14, 0,FALSE), "Not Found"))))))))</f>
        <v>0</v>
      </c>
      <c r="J300" t="str">
        <f>IFERROR(VLOOKUP($A300,'AAPT ExDa'!$B$2:$U$99, 7,FALSE), IFERROR(VLOOKUP($A300,'ABB ExDa'!$A$2:$N$184, 2,FALSE), IFERROR(VLOOKUP($A300,'Vocus SIT ExDa'!$B$2:$J$173, 0,FALSE), IFERROR(VLOOKUP($A300,'Telstra ExDa'!$B$2:$K$310, 7,FALSE), IFERROR(VLOOKUP($A300,'Vocus RVC ExDa'!$C$2:$R$155, 2,FALSE), IFERROR(VLOOKUP($A300,'Fusion ExDa'!$B$2:$D$16, 3,FALSE), IFERROR(VLOOKUP($A300,'Exetel ExDa'!$C$2:$N$14, 0,FALSE), IFERROR(VLOOKUP($A300,'Infinet ExDa'!$B$2:$E$14, 0,FALSE), "Not Found"))))))))</f>
        <v>AVC000141025780</v>
      </c>
      <c r="K300" t="str">
        <f>IFERROR(VLOOKUP($A300,'AAPT ExDa'!$B$2:$U$99, 12,FALSE), IFERROR(VLOOKUP($A300,'ABB ExDa'!$A$2:$N$184, 0,FALSE), IFERROR(VLOOKUP($A300,'Vocus SIT ExDa'!$B$2:$J$173, 0,FALSE), IFERROR(VLOOKUP($A300,'Telstra ExDa'!$B$2:$K$310, 0,FALSE), IFERROR(VLOOKUP($A300,'Vocus RVC ExDa'!$C$2:$R$155, 0,FALSE), IFERROR(VLOOKUP($A300,'Fusion ExDa'!$B$2:$D$16, 0,FALSE), IFERROR(VLOOKUP($A300,'Exetel ExDa'!$C$2:$N$14, 12,FALSE), IFERROR(VLOOKUP($A300,'Infinet ExDa'!$B$2:$E$14, 0,FALSE), "Not Found"))))))))</f>
        <v>12 Months</v>
      </c>
      <c r="L300" s="235">
        <f>IFERROR(VLOOKUP($A300,'AAPT ExDa'!$B$2:$U$99, 11,FALSE), IFERROR(VLOOKUP($A300,'ABB ExDa'!$A$2:$N$184, 9,FALSE), IFERROR(VLOOKUP($A300,'Vocus SIT ExDa'!$B$2:$J$173, 8,FALSE), IFERROR(VLOOKUP($A300,'Telstra ExDa'!$B$2:$K$310, 0,FALSE), IFERROR(VLOOKUP($A300,'Vocus RVC ExDa'!$C$2:$R$155, 0,FALSE), IFERROR(VLOOKUP($A300,'Fusion ExDa'!$B$2:$D$16, 0,FALSE), IFERROR(VLOOKUP($A300,'Exetel ExDa'!$C$2:$N$14, 9,FALSE), IFERROR(VLOOKUP($A300,'Infinet ExDa'!$B$2:$E$14, 0,FALSE), "Not Found"))))))))</f>
        <v>44297</v>
      </c>
      <c r="M300" s="234">
        <f>IFERROR(VLOOKUP($A300,'AAPT ExDa'!$B$2:$U$99, 0,FALSE), IFERROR(VLOOKUP($A300,'ABB ExDa'!$A$2:$N$184, 0,FALSE), IFERROR(VLOOKUP($A300,'Vocus SIT ExDa'!$B$2:$J$173, 0,FALSE), IFERROR(VLOOKUP($A300,'Telstra ExDa'!$B$2:$K$310, 0,FALSE), IFERROR(VLOOKUP($A300,'Vocus RVC ExDa'!$C$2:$R$155, 0,FALSE), IFERROR(VLOOKUP($A300,'Fusion ExDa'!$B$2:$D$16, 0,FALSE), IFERROR(VLOOKUP($A300,'Exetel ExDa'!$C$2:$N$14, 11,FALSE), IFERROR(VLOOKUP($A300,'Infinet ExDa'!$B$2:$E$14, 0,FALSE), "Not Found"))))))))</f>
        <v>0</v>
      </c>
      <c r="N300" t="str">
        <f>IFERROR(VLOOKUP($A300,'AAPT ExDa'!$B$2:$U$99, 0,FALSE), IFERROR(VLOOKUP($A300,'ABB ExDa'!$A$2:$N$184, 13,FALSE), IFERROR(VLOOKUP($A300,'Vocus SIT ExDa'!$B$2:$J$173, 0,FALSE), IFERROR(VLOOKUP($A300,'Telstra ExDa'!$B$2:$K$310, 0,FALSE), IFERROR(VLOOKUP($A300,'Vocus RVC ExDa'!$C$2:$R$155, 0,FALSE), IFERROR(VLOOKUP($A300,'Fusion ExDa'!$B$2:$D$16, 0,FALSE), IFERROR(VLOOKUP($A300,'Exetel ExDa'!$C$2:$N$14, 0,FALSE), IFERROR(VLOOKUP($A300,'Infinet ExDa'!$B$2:$E$14, 0,FALSE), "Not Found"))))))))</f>
        <v>Not Found</v>
      </c>
    </row>
    <row r="301" spans="1:14">
      <c r="A301" t="str">
        <v>Smile IT</v>
      </c>
      <c r="B301" t="str">
        <f>IFERROR(VLOOKUP(A301,'Exetel ExDa'!$C$2:$N$14,4,FALSE),"No Data")</f>
        <v>0701561050</v>
      </c>
      <c r="C301">
        <f>IFERROR(VLOOKUP(A301,'AAPT ExDa'!$B$2:$U$99, 2,FALSE), IFERROR(VLOOKUP(A301,'ABB ExDa'!$A$2:$N$184, 2,FALSE), IFERROR(VLOOKUP(A301,'Vocus SIT ExDa'!$B$2:$J$173, 7,FALSE), IFERROR(VLOOKUP(A301,'Telstra ExDa'!$B$2:$K$310, 2,FALSE), IFERROR(VLOOKUP(A301,'Vocus RVC ExDa'!$C$2:$R$155, 3,FALSE), IFERROR(VLOOKUP(A301,'Fusion ExDa'!$B$2:$D$16, 2,FALSE), IFERROR(VLOOKUP(A301,'Exetel ExDa'!$C$2:$N$14, 2,FALSE), IFERROR(VLOOKUP(A301,'Infinet ExDa'!$B$2:$E$14, 2,FALSE), "Not Found"))))))))</f>
        <v>0</v>
      </c>
      <c r="D301" t="str">
        <f>IFERROR(VLOOKUP($A301,'AAPT ExDa'!$B$2:$U$99, 15,FALSE), IFERROR(VLOOKUP($A301,'ABB ExDa'!$A$2:$N$184, 4,FALSE), IFERROR(VLOOKUP($A301,'Vocus SIT ExDa'!$B$2:$J$173, 5,FALSE), IFERROR(VLOOKUP($A301,'Telstra ExDa'!$B$2:$K$310, 8,FALSE), IFERROR(VLOOKUP($A301,'Vocus RVC ExDa'!$C$2:$R$155, 6,FALSE), IFERROR(VLOOKUP($A301,'Fusion ExDa'!$B$2:$D$16, 4,FALSE), IFERROR(VLOOKUP($A301,'Exetel ExDa'!$C$2:$N$14, 3,FALSE), IFERROR(VLOOKUP($A301,'Infinet ExDa'!$B$2:$E$14, 3,FALSE), "Not Found"))))))))</f>
        <v>AAPT</v>
      </c>
      <c r="E301" t="str">
        <f>IFERROR(VLOOKUP($A301,'AAPT ExDa'!$B$2:$U$99, 3,FALSE), IFERROR(VLOOKUP($A301,'ABB ExDa'!$A$2:$N$184, 5,FALSE), IFERROR(VLOOKUP($A301,'Vocus SIT ExDa'!$B$2:$J$173, 2,FALSE), IFERROR(VLOOKUP($A301,'Telstra ExDa'!$B$2:$K$310, 4,FALSE), IFERROR(VLOOKUP($A301,'Vocus RVC ExDa'!$C$2:$R$155, 8,FALSE), IFERROR(VLOOKUP($A301,'Fusion ExDa'!$B$2:$D$16, 4,FALSE), IFERROR(VLOOKUP($A301,'Exetel ExDa'!$C$2:$N$14, 5,FALSE), IFERROR(VLOOKUP($A301,'Infinet ExDa'!$B$2:$E$14, 3,FALSE), "Not Found"))))))))</f>
        <v>IP-Line</v>
      </c>
      <c r="F301" t="str">
        <f>IFERROR(VLOOKUP($A301,'AAPT ExDa'!$B$2:$U$99, 4,FALSE), IFERROR(VLOOKUP($A301,'ABB ExDa'!$A$2:$N$184, 6,FALSE), IFERROR(VLOOKUP($A301,'Vocus SIT ExDa'!$B$2:$J$173, 3,FALSE), IFERROR(VLOOKUP($A301,'Telstra ExDa'!$B$2:$K$310, 5,FALSE), IFERROR(VLOOKUP($A301,'Vocus RVC ExDa'!$C$2:$R$155, 9,FALSE), IFERROR(VLOOKUP($A301,'Fusion ExDa'!$B$2:$D$16, 0,FALSE), IFERROR(VLOOKUP($A301,'Exetel ExDa'!$C$2:$N$14, 6,FALSE), IFERROR(VLOOKUP($A301,'Infinet ExDa'!$B$2:$E$14, 0,FALSE), "Not Found"))))))))</f>
        <v>IP-Line Link</v>
      </c>
      <c r="G301" t="str">
        <f>IFERROR(VLOOKUP($A301,'AAPT ExDa'!$B$2:$U$99, 5,FALSE), IFERROR(VLOOKUP($A301,'ABB ExDa'!$A$2:$N$184, 8,FALSE), IFERROR(VLOOKUP($A301,'Vocus SIT ExDa'!$B$2:$J$173, 6,FALSE), IFERROR(VLOOKUP($A301,'Telstra ExDa'!$B$2:$K$310, 0,FALSE), IFERROR(VLOOKUP($A301,'Vocus RVC ExDa'!$C$2:$R$155, 15,FALSE), IFERROR(VLOOKUP($A301,'Fusion ExDa'!$B$2:$D$16, 0,FALSE), IFERROR(VLOOKUP($A301,'Exetel ExDa'!$C$2:$N$14, 7,FALSE), IFERROR(VLOOKUP($A301,'Infinet ExDa'!$B$2:$E$14, 0,FALSE), "Not Found"))))))))</f>
        <v>Connecting IP-Line 6023265 to Access 100773541</v>
      </c>
      <c r="H301" t="str">
        <f>IFERROR(VLOOKUP($A301,'AAPT ExDa'!$B$2:$U$99, 6,FALSE), IFERROR(VLOOKUP($A301,'ABB ExDa'!$A$2:$N$184, 0,FALSE), IFERROR(VLOOKUP($A301,'Vocus SIT ExDa'!$B$2:$J$173, 0,FALSE), IFERROR(VLOOKUP($A301,'Telstra ExDa'!$B$2:$K$310, 0,FALSE), IFERROR(VLOOKUP($A301,'Vocus RVC ExDa'!$C$2:$R$155, 16,FALSE), IFERROR(VLOOKUP($A301,'Fusion ExDa'!$B$2:$D$16, 0,FALSE), IFERROR(VLOOKUP($A301,'Exetel ExDa'!$C$2:$N$14, 0,FALSE), IFERROR(VLOOKUP($A301,'Infinet ExDa'!$B$2:$E$14, 0,FALSE), "Not Found"))))))))</f>
        <v>Up to 100/40Mbps; AVC ID:AVC000141025780</v>
      </c>
      <c r="I301">
        <f>IFERROR(VLOOKUP($A301,'AAPT ExDa'!$B$2:$U$99, 0,FALSE), IFERROR(VLOOKUP($A301,'ABB ExDa'!$A$2:$N$184, 0,FALSE), IFERROR(VLOOKUP($A301,'Vocus SIT ExDa'!$B$2:$J$173, 0,FALSE), IFERROR(VLOOKUP($A301,'Telstra ExDa'!$B$2:$K$310, 0,FALSE), IFERROR(VLOOKUP($A301,'Vocus RVC ExDa'!$C$2:$R$155, 0,FALSE), IFERROR(VLOOKUP($A301,'Fusion ExDa'!$B$2:$D$16, 0,FALSE), IFERROR(VLOOKUP($A301,'Exetel ExDa'!$C$2:$N$14, 8,FALSE), IFERROR(VLOOKUP($A301,'Infinet ExDa'!$B$2:$E$14, 0,FALSE), "Not Found"))))))))</f>
        <v>0</v>
      </c>
      <c r="J301" t="str">
        <f>IFERROR(VLOOKUP($A301,'AAPT ExDa'!$B$2:$U$99, 7,FALSE), IFERROR(VLOOKUP($A301,'ABB ExDa'!$A$2:$N$184, 2,FALSE), IFERROR(VLOOKUP($A301,'Vocus SIT ExDa'!$B$2:$J$173, 0,FALSE), IFERROR(VLOOKUP($A301,'Telstra ExDa'!$B$2:$K$310, 7,FALSE), IFERROR(VLOOKUP($A301,'Vocus RVC ExDa'!$C$2:$R$155, 2,FALSE), IFERROR(VLOOKUP($A301,'Fusion ExDa'!$B$2:$D$16, 3,FALSE), IFERROR(VLOOKUP($A301,'Exetel ExDa'!$C$2:$N$14, 0,FALSE), IFERROR(VLOOKUP($A301,'Infinet ExDa'!$B$2:$E$14, 0,FALSE), "Not Found"))))))))</f>
        <v>AVC000141025780</v>
      </c>
      <c r="K301" t="str">
        <f>IFERROR(VLOOKUP($A301,'AAPT ExDa'!$B$2:$U$99, 12,FALSE), IFERROR(VLOOKUP($A301,'ABB ExDa'!$A$2:$N$184, 0,FALSE), IFERROR(VLOOKUP($A301,'Vocus SIT ExDa'!$B$2:$J$173, 0,FALSE), IFERROR(VLOOKUP($A301,'Telstra ExDa'!$B$2:$K$310, 0,FALSE), IFERROR(VLOOKUP($A301,'Vocus RVC ExDa'!$C$2:$R$155, 0,FALSE), IFERROR(VLOOKUP($A301,'Fusion ExDa'!$B$2:$D$16, 0,FALSE), IFERROR(VLOOKUP($A301,'Exetel ExDa'!$C$2:$N$14, 12,FALSE), IFERROR(VLOOKUP($A301,'Infinet ExDa'!$B$2:$E$14, 0,FALSE), "Not Found"))))))))</f>
        <v>12 Months</v>
      </c>
      <c r="L301" s="235">
        <f>IFERROR(VLOOKUP($A301,'AAPT ExDa'!$B$2:$U$99, 11,FALSE), IFERROR(VLOOKUP($A301,'ABB ExDa'!$A$2:$N$184, 9,FALSE), IFERROR(VLOOKUP($A301,'Vocus SIT ExDa'!$B$2:$J$173, 8,FALSE), IFERROR(VLOOKUP($A301,'Telstra ExDa'!$B$2:$K$310, 0,FALSE), IFERROR(VLOOKUP($A301,'Vocus RVC ExDa'!$C$2:$R$155, 0,FALSE), IFERROR(VLOOKUP($A301,'Fusion ExDa'!$B$2:$D$16, 0,FALSE), IFERROR(VLOOKUP($A301,'Exetel ExDa'!$C$2:$N$14, 9,FALSE), IFERROR(VLOOKUP($A301,'Infinet ExDa'!$B$2:$E$14, 0,FALSE), "Not Found"))))))))</f>
        <v>44297</v>
      </c>
      <c r="M301" s="234">
        <f>IFERROR(VLOOKUP($A301,'AAPT ExDa'!$B$2:$U$99, 0,FALSE), IFERROR(VLOOKUP($A301,'ABB ExDa'!$A$2:$N$184, 0,FALSE), IFERROR(VLOOKUP($A301,'Vocus SIT ExDa'!$B$2:$J$173, 0,FALSE), IFERROR(VLOOKUP($A301,'Telstra ExDa'!$B$2:$K$310, 0,FALSE), IFERROR(VLOOKUP($A301,'Vocus RVC ExDa'!$C$2:$R$155, 0,FALSE), IFERROR(VLOOKUP($A301,'Fusion ExDa'!$B$2:$D$16, 0,FALSE), IFERROR(VLOOKUP($A301,'Exetel ExDa'!$C$2:$N$14, 11,FALSE), IFERROR(VLOOKUP($A301,'Infinet ExDa'!$B$2:$E$14, 0,FALSE), "Not Found"))))))))</f>
        <v>0</v>
      </c>
      <c r="N301" t="str">
        <f>IFERROR(VLOOKUP($A301,'AAPT ExDa'!$B$2:$U$99, 0,FALSE), IFERROR(VLOOKUP($A301,'ABB ExDa'!$A$2:$N$184, 13,FALSE), IFERROR(VLOOKUP($A301,'Vocus SIT ExDa'!$B$2:$J$173, 0,FALSE), IFERROR(VLOOKUP($A301,'Telstra ExDa'!$B$2:$K$310, 0,FALSE), IFERROR(VLOOKUP($A301,'Vocus RVC ExDa'!$C$2:$R$155, 0,FALSE), IFERROR(VLOOKUP($A301,'Fusion ExDa'!$B$2:$D$16, 0,FALSE), IFERROR(VLOOKUP($A301,'Exetel ExDa'!$C$2:$N$14, 0,FALSE), IFERROR(VLOOKUP($A301,'Infinet ExDa'!$B$2:$E$14, 0,FALSE), "Not Found"))))))))</f>
        <v>Not Found</v>
      </c>
    </row>
    <row r="302" spans="1:14">
      <c r="A302" t="str">
        <v>Action Smart Group</v>
      </c>
      <c r="B302" t="str">
        <f>IFERROR(VLOOKUP(A302,'Exetel ExDa'!$C$2:$N$14,4,FALSE),"No Data")</f>
        <v>No Data</v>
      </c>
      <c r="C302" t="str">
        <f>IFERROR(VLOOKUP(A302,'AAPT ExDa'!$B$2:$U$99, 2,FALSE), IFERROR(VLOOKUP(A302,'ABB ExDa'!$A$2:$N$184, 2,FALSE), IFERROR(VLOOKUP(A302,'Vocus SIT ExDa'!$B$2:$J$173, 7,FALSE), IFERROR(VLOOKUP(A302,'Telstra ExDa'!$B$2:$K$310, 2,FALSE), IFERROR(VLOOKUP(A302,'Vocus RVC ExDa'!$C$2:$R$155, 3,FALSE), IFERROR(VLOOKUP(A302,'Fusion ExDa'!$B$2:$D$16, 2,FALSE), IFERROR(VLOOKUP(A302,'Exetel ExDa'!$C$2:$N$14, 2,FALSE), IFERROR(VLOOKUP(A302,'Infinet ExDa'!$B$2:$E$14, 2,FALSE), "Not Found"))))))))</f>
        <v>37 access avenue, YATALA QLD 4208</v>
      </c>
      <c r="D302" t="str">
        <f>IFERROR(VLOOKUP($A302,'AAPT ExDa'!$B$2:$U$99, 15,FALSE), IFERROR(VLOOKUP($A302,'ABB ExDa'!$A$2:$N$184, 4,FALSE), IFERROR(VLOOKUP($A302,'Vocus SIT ExDa'!$B$2:$J$173, 5,FALSE), IFERROR(VLOOKUP($A302,'Telstra ExDa'!$B$2:$K$310, 8,FALSE), IFERROR(VLOOKUP($A302,'Vocus RVC ExDa'!$C$2:$R$155, 6,FALSE), IFERROR(VLOOKUP($A302,'Fusion ExDa'!$B$2:$D$16, 4,FALSE), IFERROR(VLOOKUP($A302,'Exetel ExDa'!$C$2:$N$14, 3,FALSE), IFERROR(VLOOKUP($A302,'Infinet ExDa'!$B$2:$E$14, 3,FALSE), "Not Found"))))))))</f>
        <v>Vocus SIT</v>
      </c>
      <c r="E302" t="str">
        <f>IFERROR(VLOOKUP($A302,'AAPT ExDa'!$B$2:$U$99, 3,FALSE), IFERROR(VLOOKUP($A302,'ABB ExDa'!$A$2:$N$184, 5,FALSE), IFERROR(VLOOKUP($A302,'Vocus SIT ExDa'!$B$2:$J$173, 2,FALSE), IFERROR(VLOOKUP($A302,'Telstra ExDa'!$B$2:$K$310, 4,FALSE), IFERROR(VLOOKUP($A302,'Vocus RVC ExDa'!$C$2:$R$155, 8,FALSE), IFERROR(VLOOKUP($A302,'Fusion ExDa'!$B$2:$D$16, 4,FALSE), IFERROR(VLOOKUP($A302,'Exetel ExDa'!$C$2:$N$14, 5,FALSE), IFERROR(VLOOKUP($A302,'Infinet ExDa'!$B$2:$E$14, 3,FALSE), "Not Found"))))))))</f>
        <v>Voice Service</v>
      </c>
      <c r="F302">
        <f>IFERROR(VLOOKUP($A302,'AAPT ExDa'!$B$2:$U$99, 4,FALSE), IFERROR(VLOOKUP($A302,'ABB ExDa'!$A$2:$N$184, 6,FALSE), IFERROR(VLOOKUP($A302,'Vocus SIT ExDa'!$B$2:$J$173, 3,FALSE), IFERROR(VLOOKUP($A302,'Telstra ExDa'!$B$2:$K$310, 5,FALSE), IFERROR(VLOOKUP($A302,'Vocus RVC ExDa'!$C$2:$R$155, 9,FALSE), IFERROR(VLOOKUP($A302,'Fusion ExDa'!$B$2:$D$16, 0,FALSE), IFERROR(VLOOKUP($A302,'Exetel ExDa'!$C$2:$N$14, 6,FALSE), IFERROR(VLOOKUP($A302,'Infinet ExDa'!$B$2:$E$14, 0,FALSE), "Not Found"))))))))</f>
        <v>0</v>
      </c>
      <c r="G302" t="str">
        <f>IFERROR(VLOOKUP($A302,'AAPT ExDa'!$B$2:$U$99, 5,FALSE), IFERROR(VLOOKUP($A302,'ABB ExDa'!$A$2:$N$184, 8,FALSE), IFERROR(VLOOKUP($A302,'Vocus SIT ExDa'!$B$2:$J$173, 6,FALSE), IFERROR(VLOOKUP($A302,'Telstra ExDa'!$B$2:$K$310, 0,FALSE), IFERROR(VLOOKUP($A302,'Vocus RVC ExDa'!$C$2:$R$155, 15,FALSE), IFERROR(VLOOKUP($A302,'Fusion ExDa'!$B$2:$D$16, 0,FALSE), IFERROR(VLOOKUP($A302,'Exetel ExDa'!$C$2:$N$14, 7,FALSE), IFERROR(VLOOKUP($A302,'Infinet ExDa'!$B$2:$E$14, 0,FALSE), "Not Found"))))))))</f>
        <v>Smile Tel (YATALA, QLD) - Vocus IP Tel [Action Smart Group]
Voice (5 Mbps) - 37 access avenue, YATALA QLD 4207</v>
      </c>
      <c r="H302" t="str">
        <f>IFERROR(VLOOKUP($A302,'AAPT ExDa'!$B$2:$U$99, 6,FALSE), IFERROR(VLOOKUP($A302,'ABB ExDa'!$A$2:$N$184, 0,FALSE), IFERROR(VLOOKUP($A302,'Vocus SIT ExDa'!$B$2:$J$173, 0,FALSE), IFERROR(VLOOKUP($A302,'Telstra ExDa'!$B$2:$K$310, 0,FALSE), IFERROR(VLOOKUP($A302,'Vocus RVC ExDa'!$C$2:$R$155, 16,FALSE), IFERROR(VLOOKUP($A302,'Fusion ExDa'!$B$2:$D$16, 0,FALSE), IFERROR(VLOOKUP($A302,'Exetel ExDa'!$C$2:$N$14, 0,FALSE), IFERROR(VLOOKUP($A302,'Infinet ExDa'!$B$2:$E$14, 0,FALSE), "Not Found"))))))))</f>
        <v>Not Found</v>
      </c>
      <c r="I302" t="str">
        <f>IFERROR(VLOOKUP($A302,'AAPT ExDa'!$B$2:$U$99, 0,FALSE), IFERROR(VLOOKUP($A302,'ABB ExDa'!$A$2:$N$184, 0,FALSE), IFERROR(VLOOKUP($A302,'Vocus SIT ExDa'!$B$2:$J$173, 0,FALSE), IFERROR(VLOOKUP($A302,'Telstra ExDa'!$B$2:$K$310, 0,FALSE), IFERROR(VLOOKUP($A302,'Vocus RVC ExDa'!$C$2:$R$155, 0,FALSE), IFERROR(VLOOKUP($A302,'Fusion ExDa'!$B$2:$D$16, 0,FALSE), IFERROR(VLOOKUP($A302,'Exetel ExDa'!$C$2:$N$14, 8,FALSE), IFERROR(VLOOKUP($A302,'Infinet ExDa'!$B$2:$E$14, 0,FALSE), "Not Found"))))))))</f>
        <v>Not Found</v>
      </c>
      <c r="J302" t="str">
        <f>IFERROR(VLOOKUP($A302,'AAPT ExDa'!$B$2:$U$99, 7,FALSE), IFERROR(VLOOKUP($A302,'ABB ExDa'!$A$2:$N$184, 2,FALSE), IFERROR(VLOOKUP($A302,'Vocus SIT ExDa'!$B$2:$J$173, 0,FALSE), IFERROR(VLOOKUP($A302,'Telstra ExDa'!$B$2:$K$310, 7,FALSE), IFERROR(VLOOKUP($A302,'Vocus RVC ExDa'!$C$2:$R$155, 2,FALSE), IFERROR(VLOOKUP($A302,'Fusion ExDa'!$B$2:$D$16, 3,FALSE), IFERROR(VLOOKUP($A302,'Exetel ExDa'!$C$2:$N$14, 0,FALSE), IFERROR(VLOOKUP($A302,'Infinet ExDa'!$B$2:$E$14, 0,FALSE), "Not Found"))))))))</f>
        <v>Not Found</v>
      </c>
      <c r="K302" t="str">
        <f>IFERROR(VLOOKUP($A302,'AAPT ExDa'!$B$2:$U$99, 12,FALSE), IFERROR(VLOOKUP($A302,'ABB ExDa'!$A$2:$N$184, 0,FALSE), IFERROR(VLOOKUP($A302,'Vocus SIT ExDa'!$B$2:$J$173, 0,FALSE), IFERROR(VLOOKUP($A302,'Telstra ExDa'!$B$2:$K$310, 0,FALSE), IFERROR(VLOOKUP($A302,'Vocus RVC ExDa'!$C$2:$R$155, 0,FALSE), IFERROR(VLOOKUP($A302,'Fusion ExDa'!$B$2:$D$16, 0,FALSE), IFERROR(VLOOKUP($A302,'Exetel ExDa'!$C$2:$N$14, 12,FALSE), IFERROR(VLOOKUP($A302,'Infinet ExDa'!$B$2:$E$14, 0,FALSE), "Not Found"))))))))</f>
        <v>Not Found</v>
      </c>
      <c r="L302" s="235" t="str">
        <f>IFERROR(VLOOKUP($A302,'AAPT ExDa'!$B$2:$U$99, 11,FALSE), IFERROR(VLOOKUP($A302,'ABB ExDa'!$A$2:$N$184, 9,FALSE), IFERROR(VLOOKUP($A302,'Vocus SIT ExDa'!$B$2:$J$173, 8,FALSE), IFERROR(VLOOKUP($A302,'Telstra ExDa'!$B$2:$K$310, 0,FALSE), IFERROR(VLOOKUP($A302,'Vocus RVC ExDa'!$C$2:$R$155, 0,FALSE), IFERROR(VLOOKUP($A302,'Fusion ExDa'!$B$2:$D$16, 0,FALSE), IFERROR(VLOOKUP($A302,'Exetel ExDa'!$C$2:$N$14, 9,FALSE), IFERROR(VLOOKUP($A302,'Infinet ExDa'!$B$2:$E$14, 0,FALSE), "Not Found"))))))))</f>
        <v>25/07/2023</v>
      </c>
      <c r="M302" s="234" t="str">
        <f>IFERROR(VLOOKUP($A302,'AAPT ExDa'!$B$2:$U$99, 0,FALSE), IFERROR(VLOOKUP($A302,'ABB ExDa'!$A$2:$N$184, 0,FALSE), IFERROR(VLOOKUP($A302,'Vocus SIT ExDa'!$B$2:$J$173, 0,FALSE), IFERROR(VLOOKUP($A302,'Telstra ExDa'!$B$2:$K$310, 0,FALSE), IFERROR(VLOOKUP($A302,'Vocus RVC ExDa'!$C$2:$R$155, 0,FALSE), IFERROR(VLOOKUP($A302,'Fusion ExDa'!$B$2:$D$16, 0,FALSE), IFERROR(VLOOKUP($A302,'Exetel ExDa'!$C$2:$N$14, 11,FALSE), IFERROR(VLOOKUP($A302,'Infinet ExDa'!$B$2:$E$14, 0,FALSE), "Not Found"))))))))</f>
        <v>Not Found</v>
      </c>
      <c r="N302" t="str">
        <f>IFERROR(VLOOKUP($A302,'AAPT ExDa'!$B$2:$U$99, 0,FALSE), IFERROR(VLOOKUP($A302,'ABB ExDa'!$A$2:$N$184, 13,FALSE), IFERROR(VLOOKUP($A302,'Vocus SIT ExDa'!$B$2:$J$173, 0,FALSE), IFERROR(VLOOKUP($A302,'Telstra ExDa'!$B$2:$K$310, 0,FALSE), IFERROR(VLOOKUP($A302,'Vocus RVC ExDa'!$C$2:$R$155, 0,FALSE), IFERROR(VLOOKUP($A302,'Fusion ExDa'!$B$2:$D$16, 0,FALSE), IFERROR(VLOOKUP($A302,'Exetel ExDa'!$C$2:$N$14, 0,FALSE), IFERROR(VLOOKUP($A302,'Infinet ExDa'!$B$2:$E$14, 0,FALSE), "Not Found"))))))))</f>
        <v>Not Found</v>
      </c>
    </row>
    <row r="303" spans="1:14">
      <c r="A303" t="str">
        <v>Queensland Children's Gastroenterology</v>
      </c>
      <c r="B303" t="str">
        <f>IFERROR(VLOOKUP(A303,'Exetel ExDa'!$C$2:$N$14,4,FALSE),"No Data")</f>
        <v>No Data</v>
      </c>
      <c r="C303" t="str">
        <f>IFERROR(VLOOKUP(A303,'AAPT ExDa'!$B$2:$U$99, 2,FALSE), IFERROR(VLOOKUP(A303,'ABB ExDa'!$A$2:$N$184, 2,FALSE), IFERROR(VLOOKUP(A303,'Vocus SIT ExDa'!$B$2:$J$173, 7,FALSE), IFERROR(VLOOKUP(A303,'Telstra ExDa'!$B$2:$K$310, 2,FALSE), IFERROR(VLOOKUP(A303,'Vocus RVC ExDa'!$C$2:$R$155, 3,FALSE), IFERROR(VLOOKUP(A303,'Fusion ExDa'!$B$2:$D$16, 2,FALSE), IFERROR(VLOOKUP(A303,'Exetel ExDa'!$C$2:$N$14, 2,FALSE), IFERROR(VLOOKUP(A303,'Infinet ExDa'!$B$2:$E$14, 2,FALSE), "Not Found"))))))))</f>
        <v>537 stanley street, SOUTH BRISBANE QLD 4102</v>
      </c>
      <c r="D303" t="str">
        <f>IFERROR(VLOOKUP($A303,'AAPT ExDa'!$B$2:$U$99, 15,FALSE), IFERROR(VLOOKUP($A303,'ABB ExDa'!$A$2:$N$184, 4,FALSE), IFERROR(VLOOKUP($A303,'Vocus SIT ExDa'!$B$2:$J$173, 5,FALSE), IFERROR(VLOOKUP($A303,'Telstra ExDa'!$B$2:$K$310, 8,FALSE), IFERROR(VLOOKUP($A303,'Vocus RVC ExDa'!$C$2:$R$155, 6,FALSE), IFERROR(VLOOKUP($A303,'Fusion ExDa'!$B$2:$D$16, 4,FALSE), IFERROR(VLOOKUP($A303,'Exetel ExDa'!$C$2:$N$14, 3,FALSE), IFERROR(VLOOKUP($A303,'Infinet ExDa'!$B$2:$E$14, 3,FALSE), "Not Found"))))))))</f>
        <v>Vocus SIT</v>
      </c>
      <c r="E303" t="str">
        <f>IFERROR(VLOOKUP($A303,'AAPT ExDa'!$B$2:$U$99, 3,FALSE), IFERROR(VLOOKUP($A303,'ABB ExDa'!$A$2:$N$184, 5,FALSE), IFERROR(VLOOKUP($A303,'Vocus SIT ExDa'!$B$2:$J$173, 2,FALSE), IFERROR(VLOOKUP($A303,'Telstra ExDa'!$B$2:$K$310, 4,FALSE), IFERROR(VLOOKUP($A303,'Vocus RVC ExDa'!$C$2:$R$155, 8,FALSE), IFERROR(VLOOKUP($A303,'Fusion ExDa'!$B$2:$D$16, 4,FALSE), IFERROR(VLOOKUP($A303,'Exetel ExDa'!$C$2:$N$14, 5,FALSE), IFERROR(VLOOKUP($A303,'Infinet ExDa'!$B$2:$E$14, 3,FALSE), "Not Found"))))))))</f>
        <v>Voice Service</v>
      </c>
      <c r="F303">
        <f>IFERROR(VLOOKUP($A303,'AAPT ExDa'!$B$2:$U$99, 4,FALSE), IFERROR(VLOOKUP($A303,'ABB ExDa'!$A$2:$N$184, 6,FALSE), IFERROR(VLOOKUP($A303,'Vocus SIT ExDa'!$B$2:$J$173, 3,FALSE), IFERROR(VLOOKUP($A303,'Telstra ExDa'!$B$2:$K$310, 5,FALSE), IFERROR(VLOOKUP($A303,'Vocus RVC ExDa'!$C$2:$R$155, 9,FALSE), IFERROR(VLOOKUP($A303,'Fusion ExDa'!$B$2:$D$16, 0,FALSE), IFERROR(VLOOKUP($A303,'Exetel ExDa'!$C$2:$N$14, 6,FALSE), IFERROR(VLOOKUP($A303,'Infinet ExDa'!$B$2:$E$14, 0,FALSE), "Not Found"))))))))</f>
        <v>0</v>
      </c>
      <c r="G303" t="str">
        <f>IFERROR(VLOOKUP($A303,'AAPT ExDa'!$B$2:$U$99, 5,FALSE), IFERROR(VLOOKUP($A303,'ABB ExDa'!$A$2:$N$184, 8,FALSE), IFERROR(VLOOKUP($A303,'Vocus SIT ExDa'!$B$2:$J$173, 6,FALSE), IFERROR(VLOOKUP($A303,'Telstra ExDa'!$B$2:$K$310, 0,FALSE), IFERROR(VLOOKUP($A303,'Vocus RVC ExDa'!$C$2:$R$155, 15,FALSE), IFERROR(VLOOKUP($A303,'Fusion ExDa'!$B$2:$D$16, 0,FALSE), IFERROR(VLOOKUP($A303,'Exetel ExDa'!$C$2:$N$14, 7,FALSE), IFERROR(VLOOKUP($A303,'Infinet ExDa'!$B$2:$E$14, 0,FALSE), "Not Found"))))))))</f>
        <v>Smile Tel (SOUTH BRISBANE, QLD) - Vocus IP Tel [Queensland Children's Gastroenterology]
Voice (5 Mbps) - 537 stanley street, SOUTH BRISBANE QLD 4101</v>
      </c>
      <c r="H303" t="str">
        <f>IFERROR(VLOOKUP($A303,'AAPT ExDa'!$B$2:$U$99, 6,FALSE), IFERROR(VLOOKUP($A303,'ABB ExDa'!$A$2:$N$184, 0,FALSE), IFERROR(VLOOKUP($A303,'Vocus SIT ExDa'!$B$2:$J$173, 0,FALSE), IFERROR(VLOOKUP($A303,'Telstra ExDa'!$B$2:$K$310, 0,FALSE), IFERROR(VLOOKUP($A303,'Vocus RVC ExDa'!$C$2:$R$155, 16,FALSE), IFERROR(VLOOKUP($A303,'Fusion ExDa'!$B$2:$D$16, 0,FALSE), IFERROR(VLOOKUP($A303,'Exetel ExDa'!$C$2:$N$14, 0,FALSE), IFERROR(VLOOKUP($A303,'Infinet ExDa'!$B$2:$E$14, 0,FALSE), "Not Found"))))))))</f>
        <v>Not Found</v>
      </c>
      <c r="I303" t="str">
        <f>IFERROR(VLOOKUP($A303,'AAPT ExDa'!$B$2:$U$99, 0,FALSE), IFERROR(VLOOKUP($A303,'ABB ExDa'!$A$2:$N$184, 0,FALSE), IFERROR(VLOOKUP($A303,'Vocus SIT ExDa'!$B$2:$J$173, 0,FALSE), IFERROR(VLOOKUP($A303,'Telstra ExDa'!$B$2:$K$310, 0,FALSE), IFERROR(VLOOKUP($A303,'Vocus RVC ExDa'!$C$2:$R$155, 0,FALSE), IFERROR(VLOOKUP($A303,'Fusion ExDa'!$B$2:$D$16, 0,FALSE), IFERROR(VLOOKUP($A303,'Exetel ExDa'!$C$2:$N$14, 8,FALSE), IFERROR(VLOOKUP($A303,'Infinet ExDa'!$B$2:$E$14, 0,FALSE), "Not Found"))))))))</f>
        <v>Not Found</v>
      </c>
      <c r="J303" t="str">
        <f>IFERROR(VLOOKUP($A303,'AAPT ExDa'!$B$2:$U$99, 7,FALSE), IFERROR(VLOOKUP($A303,'ABB ExDa'!$A$2:$N$184, 2,FALSE), IFERROR(VLOOKUP($A303,'Vocus SIT ExDa'!$B$2:$J$173, 0,FALSE), IFERROR(VLOOKUP($A303,'Telstra ExDa'!$B$2:$K$310, 7,FALSE), IFERROR(VLOOKUP($A303,'Vocus RVC ExDa'!$C$2:$R$155, 2,FALSE), IFERROR(VLOOKUP($A303,'Fusion ExDa'!$B$2:$D$16, 3,FALSE), IFERROR(VLOOKUP($A303,'Exetel ExDa'!$C$2:$N$14, 0,FALSE), IFERROR(VLOOKUP($A303,'Infinet ExDa'!$B$2:$E$14, 0,FALSE), "Not Found"))))))))</f>
        <v>Not Found</v>
      </c>
      <c r="K303" t="str">
        <f>IFERROR(VLOOKUP($A303,'AAPT ExDa'!$B$2:$U$99, 12,FALSE), IFERROR(VLOOKUP($A303,'ABB ExDa'!$A$2:$N$184, 0,FALSE), IFERROR(VLOOKUP($A303,'Vocus SIT ExDa'!$B$2:$J$173, 0,FALSE), IFERROR(VLOOKUP($A303,'Telstra ExDa'!$B$2:$K$310, 0,FALSE), IFERROR(VLOOKUP($A303,'Vocus RVC ExDa'!$C$2:$R$155, 0,FALSE), IFERROR(VLOOKUP($A303,'Fusion ExDa'!$B$2:$D$16, 0,FALSE), IFERROR(VLOOKUP($A303,'Exetel ExDa'!$C$2:$N$14, 12,FALSE), IFERROR(VLOOKUP($A303,'Infinet ExDa'!$B$2:$E$14, 0,FALSE), "Not Found"))))))))</f>
        <v>Not Found</v>
      </c>
      <c r="L303" s="235" t="str">
        <f>IFERROR(VLOOKUP($A303,'AAPT ExDa'!$B$2:$U$99, 11,FALSE), IFERROR(VLOOKUP($A303,'ABB ExDa'!$A$2:$N$184, 9,FALSE), IFERROR(VLOOKUP($A303,'Vocus SIT ExDa'!$B$2:$J$173, 8,FALSE), IFERROR(VLOOKUP($A303,'Telstra ExDa'!$B$2:$K$310, 0,FALSE), IFERROR(VLOOKUP($A303,'Vocus RVC ExDa'!$C$2:$R$155, 0,FALSE), IFERROR(VLOOKUP($A303,'Fusion ExDa'!$B$2:$D$16, 0,FALSE), IFERROR(VLOOKUP($A303,'Exetel ExDa'!$C$2:$N$14, 9,FALSE), IFERROR(VLOOKUP($A303,'Infinet ExDa'!$B$2:$E$14, 0,FALSE), "Not Found"))))))))</f>
        <v>20/07/2023</v>
      </c>
      <c r="M303" s="234" t="str">
        <f>IFERROR(VLOOKUP($A303,'AAPT ExDa'!$B$2:$U$99, 0,FALSE), IFERROR(VLOOKUP($A303,'ABB ExDa'!$A$2:$N$184, 0,FALSE), IFERROR(VLOOKUP($A303,'Vocus SIT ExDa'!$B$2:$J$173, 0,FALSE), IFERROR(VLOOKUP($A303,'Telstra ExDa'!$B$2:$K$310, 0,FALSE), IFERROR(VLOOKUP($A303,'Vocus RVC ExDa'!$C$2:$R$155, 0,FALSE), IFERROR(VLOOKUP($A303,'Fusion ExDa'!$B$2:$D$16, 0,FALSE), IFERROR(VLOOKUP($A303,'Exetel ExDa'!$C$2:$N$14, 11,FALSE), IFERROR(VLOOKUP($A303,'Infinet ExDa'!$B$2:$E$14, 0,FALSE), "Not Found"))))))))</f>
        <v>Not Found</v>
      </c>
      <c r="N303" t="str">
        <f>IFERROR(VLOOKUP($A303,'AAPT ExDa'!$B$2:$U$99, 0,FALSE), IFERROR(VLOOKUP($A303,'ABB ExDa'!$A$2:$N$184, 13,FALSE), IFERROR(VLOOKUP($A303,'Vocus SIT ExDa'!$B$2:$J$173, 0,FALSE), IFERROR(VLOOKUP($A303,'Telstra ExDa'!$B$2:$K$310, 0,FALSE), IFERROR(VLOOKUP($A303,'Vocus RVC ExDa'!$C$2:$R$155, 0,FALSE), IFERROR(VLOOKUP($A303,'Fusion ExDa'!$B$2:$D$16, 0,FALSE), IFERROR(VLOOKUP($A303,'Exetel ExDa'!$C$2:$N$14, 0,FALSE), IFERROR(VLOOKUP($A303,'Infinet ExDa'!$B$2:$E$14, 0,FALSE), "Not Found"))))))))</f>
        <v>Not Found</v>
      </c>
    </row>
    <row r="304" spans="1:14">
      <c r="A304" t="str">
        <v>Smile IT</v>
      </c>
      <c r="B304" t="str">
        <f>IFERROR(VLOOKUP(A304,'Exetel ExDa'!$C$2:$N$14,4,FALSE),"No Data")</f>
        <v>0701561050</v>
      </c>
      <c r="C304">
        <f>IFERROR(VLOOKUP(A304,'AAPT ExDa'!$B$2:$U$99, 2,FALSE), IFERROR(VLOOKUP(A304,'ABB ExDa'!$A$2:$N$184, 2,FALSE), IFERROR(VLOOKUP(A304,'Vocus SIT ExDa'!$B$2:$J$173, 7,FALSE), IFERROR(VLOOKUP(A304,'Telstra ExDa'!$B$2:$K$310, 2,FALSE), IFERROR(VLOOKUP(A304,'Vocus RVC ExDa'!$C$2:$R$155, 3,FALSE), IFERROR(VLOOKUP(A304,'Fusion ExDa'!$B$2:$D$16, 2,FALSE), IFERROR(VLOOKUP(A304,'Exetel ExDa'!$C$2:$N$14, 2,FALSE), IFERROR(VLOOKUP(A304,'Infinet ExDa'!$B$2:$E$14, 2,FALSE), "Not Found"))))))))</f>
        <v>0</v>
      </c>
      <c r="D304" t="str">
        <f>IFERROR(VLOOKUP($A304,'AAPT ExDa'!$B$2:$U$99, 15,FALSE), IFERROR(VLOOKUP($A304,'ABB ExDa'!$A$2:$N$184, 4,FALSE), IFERROR(VLOOKUP($A304,'Vocus SIT ExDa'!$B$2:$J$173, 5,FALSE), IFERROR(VLOOKUP($A304,'Telstra ExDa'!$B$2:$K$310, 8,FALSE), IFERROR(VLOOKUP($A304,'Vocus RVC ExDa'!$C$2:$R$155, 6,FALSE), IFERROR(VLOOKUP($A304,'Fusion ExDa'!$B$2:$D$16, 4,FALSE), IFERROR(VLOOKUP($A304,'Exetel ExDa'!$C$2:$N$14, 3,FALSE), IFERROR(VLOOKUP($A304,'Infinet ExDa'!$B$2:$E$14, 3,FALSE), "Not Found"))))))))</f>
        <v>AAPT</v>
      </c>
      <c r="E304" t="str">
        <f>IFERROR(VLOOKUP($A304,'AAPT ExDa'!$B$2:$U$99, 3,FALSE), IFERROR(VLOOKUP($A304,'ABB ExDa'!$A$2:$N$184, 5,FALSE), IFERROR(VLOOKUP($A304,'Vocus SIT ExDa'!$B$2:$J$173, 2,FALSE), IFERROR(VLOOKUP($A304,'Telstra ExDa'!$B$2:$K$310, 4,FALSE), IFERROR(VLOOKUP($A304,'Vocus RVC ExDa'!$C$2:$R$155, 8,FALSE), IFERROR(VLOOKUP($A304,'Fusion ExDa'!$B$2:$D$16, 4,FALSE), IFERROR(VLOOKUP($A304,'Exetel ExDa'!$C$2:$N$14, 5,FALSE), IFERROR(VLOOKUP($A304,'Infinet ExDa'!$B$2:$E$14, 3,FALSE), "Not Found"))))))))</f>
        <v>IP-Line</v>
      </c>
      <c r="F304" t="str">
        <f>IFERROR(VLOOKUP($A304,'AAPT ExDa'!$B$2:$U$99, 4,FALSE), IFERROR(VLOOKUP($A304,'ABB ExDa'!$A$2:$N$184, 6,FALSE), IFERROR(VLOOKUP($A304,'Vocus SIT ExDa'!$B$2:$J$173, 3,FALSE), IFERROR(VLOOKUP($A304,'Telstra ExDa'!$B$2:$K$310, 5,FALSE), IFERROR(VLOOKUP($A304,'Vocus RVC ExDa'!$C$2:$R$155, 9,FALSE), IFERROR(VLOOKUP($A304,'Fusion ExDa'!$B$2:$D$16, 0,FALSE), IFERROR(VLOOKUP($A304,'Exetel ExDa'!$C$2:$N$14, 6,FALSE), IFERROR(VLOOKUP($A304,'Infinet ExDa'!$B$2:$E$14, 0,FALSE), "Not Found"))))))))</f>
        <v>IP-Line Link</v>
      </c>
      <c r="G304" t="str">
        <f>IFERROR(VLOOKUP($A304,'AAPT ExDa'!$B$2:$U$99, 5,FALSE), IFERROR(VLOOKUP($A304,'ABB ExDa'!$A$2:$N$184, 8,FALSE), IFERROR(VLOOKUP($A304,'Vocus SIT ExDa'!$B$2:$J$173, 6,FALSE), IFERROR(VLOOKUP($A304,'Telstra ExDa'!$B$2:$K$310, 0,FALSE), IFERROR(VLOOKUP($A304,'Vocus RVC ExDa'!$C$2:$R$155, 15,FALSE), IFERROR(VLOOKUP($A304,'Fusion ExDa'!$B$2:$D$16, 0,FALSE), IFERROR(VLOOKUP($A304,'Exetel ExDa'!$C$2:$N$14, 7,FALSE), IFERROR(VLOOKUP($A304,'Infinet ExDa'!$B$2:$E$14, 0,FALSE), "Not Found"))))))))</f>
        <v>Connecting IP-Line 6023265 to Access 100773541</v>
      </c>
      <c r="H304" t="str">
        <f>IFERROR(VLOOKUP($A304,'AAPT ExDa'!$B$2:$U$99, 6,FALSE), IFERROR(VLOOKUP($A304,'ABB ExDa'!$A$2:$N$184, 0,FALSE), IFERROR(VLOOKUP($A304,'Vocus SIT ExDa'!$B$2:$J$173, 0,FALSE), IFERROR(VLOOKUP($A304,'Telstra ExDa'!$B$2:$K$310, 0,FALSE), IFERROR(VLOOKUP($A304,'Vocus RVC ExDa'!$C$2:$R$155, 16,FALSE), IFERROR(VLOOKUP($A304,'Fusion ExDa'!$B$2:$D$16, 0,FALSE), IFERROR(VLOOKUP($A304,'Exetel ExDa'!$C$2:$N$14, 0,FALSE), IFERROR(VLOOKUP($A304,'Infinet ExDa'!$B$2:$E$14, 0,FALSE), "Not Found"))))))))</f>
        <v>Up to 100/40Mbps; AVC ID:AVC000141025780</v>
      </c>
      <c r="I304">
        <f>IFERROR(VLOOKUP($A304,'AAPT ExDa'!$B$2:$U$99, 0,FALSE), IFERROR(VLOOKUP($A304,'ABB ExDa'!$A$2:$N$184, 0,FALSE), IFERROR(VLOOKUP($A304,'Vocus SIT ExDa'!$B$2:$J$173, 0,FALSE), IFERROR(VLOOKUP($A304,'Telstra ExDa'!$B$2:$K$310, 0,FALSE), IFERROR(VLOOKUP($A304,'Vocus RVC ExDa'!$C$2:$R$155, 0,FALSE), IFERROR(VLOOKUP($A304,'Fusion ExDa'!$B$2:$D$16, 0,FALSE), IFERROR(VLOOKUP($A304,'Exetel ExDa'!$C$2:$N$14, 8,FALSE), IFERROR(VLOOKUP($A304,'Infinet ExDa'!$B$2:$E$14, 0,FALSE), "Not Found"))))))))</f>
        <v>0</v>
      </c>
      <c r="J304" t="str">
        <f>IFERROR(VLOOKUP($A304,'AAPT ExDa'!$B$2:$U$99, 7,FALSE), IFERROR(VLOOKUP($A304,'ABB ExDa'!$A$2:$N$184, 2,FALSE), IFERROR(VLOOKUP($A304,'Vocus SIT ExDa'!$B$2:$J$173, 0,FALSE), IFERROR(VLOOKUP($A304,'Telstra ExDa'!$B$2:$K$310, 7,FALSE), IFERROR(VLOOKUP($A304,'Vocus RVC ExDa'!$C$2:$R$155, 2,FALSE), IFERROR(VLOOKUP($A304,'Fusion ExDa'!$B$2:$D$16, 3,FALSE), IFERROR(VLOOKUP($A304,'Exetel ExDa'!$C$2:$N$14, 0,FALSE), IFERROR(VLOOKUP($A304,'Infinet ExDa'!$B$2:$E$14, 0,FALSE), "Not Found"))))))))</f>
        <v>AVC000141025780</v>
      </c>
      <c r="K304" t="str">
        <f>IFERROR(VLOOKUP($A304,'AAPT ExDa'!$B$2:$U$99, 12,FALSE), IFERROR(VLOOKUP($A304,'ABB ExDa'!$A$2:$N$184, 0,FALSE), IFERROR(VLOOKUP($A304,'Vocus SIT ExDa'!$B$2:$J$173, 0,FALSE), IFERROR(VLOOKUP($A304,'Telstra ExDa'!$B$2:$K$310, 0,FALSE), IFERROR(VLOOKUP($A304,'Vocus RVC ExDa'!$C$2:$R$155, 0,FALSE), IFERROR(VLOOKUP($A304,'Fusion ExDa'!$B$2:$D$16, 0,FALSE), IFERROR(VLOOKUP($A304,'Exetel ExDa'!$C$2:$N$14, 12,FALSE), IFERROR(VLOOKUP($A304,'Infinet ExDa'!$B$2:$E$14, 0,FALSE), "Not Found"))))))))</f>
        <v>12 Months</v>
      </c>
      <c r="L304" s="235">
        <f>IFERROR(VLOOKUP($A304,'AAPT ExDa'!$B$2:$U$99, 11,FALSE), IFERROR(VLOOKUP($A304,'ABB ExDa'!$A$2:$N$184, 9,FALSE), IFERROR(VLOOKUP($A304,'Vocus SIT ExDa'!$B$2:$J$173, 8,FALSE), IFERROR(VLOOKUP($A304,'Telstra ExDa'!$B$2:$K$310, 0,FALSE), IFERROR(VLOOKUP($A304,'Vocus RVC ExDa'!$C$2:$R$155, 0,FALSE), IFERROR(VLOOKUP($A304,'Fusion ExDa'!$B$2:$D$16, 0,FALSE), IFERROR(VLOOKUP($A304,'Exetel ExDa'!$C$2:$N$14, 9,FALSE), IFERROR(VLOOKUP($A304,'Infinet ExDa'!$B$2:$E$14, 0,FALSE), "Not Found"))))))))</f>
        <v>44297</v>
      </c>
      <c r="M304" s="234">
        <f>IFERROR(VLOOKUP($A304,'AAPT ExDa'!$B$2:$U$99, 0,FALSE), IFERROR(VLOOKUP($A304,'ABB ExDa'!$A$2:$N$184, 0,FALSE), IFERROR(VLOOKUP($A304,'Vocus SIT ExDa'!$B$2:$J$173, 0,FALSE), IFERROR(VLOOKUP($A304,'Telstra ExDa'!$B$2:$K$310, 0,FALSE), IFERROR(VLOOKUP($A304,'Vocus RVC ExDa'!$C$2:$R$155, 0,FALSE), IFERROR(VLOOKUP($A304,'Fusion ExDa'!$B$2:$D$16, 0,FALSE), IFERROR(VLOOKUP($A304,'Exetel ExDa'!$C$2:$N$14, 11,FALSE), IFERROR(VLOOKUP($A304,'Infinet ExDa'!$B$2:$E$14, 0,FALSE), "Not Found"))))))))</f>
        <v>0</v>
      </c>
      <c r="N304" t="str">
        <f>IFERROR(VLOOKUP($A304,'AAPT ExDa'!$B$2:$U$99, 0,FALSE), IFERROR(VLOOKUP($A304,'ABB ExDa'!$A$2:$N$184, 13,FALSE), IFERROR(VLOOKUP($A304,'Vocus SIT ExDa'!$B$2:$J$173, 0,FALSE), IFERROR(VLOOKUP($A304,'Telstra ExDa'!$B$2:$K$310, 0,FALSE), IFERROR(VLOOKUP($A304,'Vocus RVC ExDa'!$C$2:$R$155, 0,FALSE), IFERROR(VLOOKUP($A304,'Fusion ExDa'!$B$2:$D$16, 0,FALSE), IFERROR(VLOOKUP($A304,'Exetel ExDa'!$C$2:$N$14, 0,FALSE), IFERROR(VLOOKUP($A304,'Infinet ExDa'!$B$2:$E$14, 0,FALSE), "Not Found"))))))))</f>
        <v>Not Found</v>
      </c>
    </row>
    <row r="305" spans="1:14">
      <c r="A305" t="str">
        <v>Smile IT</v>
      </c>
      <c r="B305" t="str">
        <f>IFERROR(VLOOKUP(A305,'Exetel ExDa'!$C$2:$N$14,4,FALSE),"No Data")</f>
        <v>0701561050</v>
      </c>
      <c r="C305">
        <f>IFERROR(VLOOKUP(A305,'AAPT ExDa'!$B$2:$U$99, 2,FALSE), IFERROR(VLOOKUP(A305,'ABB ExDa'!$A$2:$N$184, 2,FALSE), IFERROR(VLOOKUP(A305,'Vocus SIT ExDa'!$B$2:$J$173, 7,FALSE), IFERROR(VLOOKUP(A305,'Telstra ExDa'!$B$2:$K$310, 2,FALSE), IFERROR(VLOOKUP(A305,'Vocus RVC ExDa'!$C$2:$R$155, 3,FALSE), IFERROR(VLOOKUP(A305,'Fusion ExDa'!$B$2:$D$16, 2,FALSE), IFERROR(VLOOKUP(A305,'Exetel ExDa'!$C$2:$N$14, 2,FALSE), IFERROR(VLOOKUP(A305,'Infinet ExDa'!$B$2:$E$14, 2,FALSE), "Not Found"))))))))</f>
        <v>0</v>
      </c>
      <c r="D305" t="str">
        <f>IFERROR(VLOOKUP($A305,'AAPT ExDa'!$B$2:$U$99, 15,FALSE), IFERROR(VLOOKUP($A305,'ABB ExDa'!$A$2:$N$184, 4,FALSE), IFERROR(VLOOKUP($A305,'Vocus SIT ExDa'!$B$2:$J$173, 5,FALSE), IFERROR(VLOOKUP($A305,'Telstra ExDa'!$B$2:$K$310, 8,FALSE), IFERROR(VLOOKUP($A305,'Vocus RVC ExDa'!$C$2:$R$155, 6,FALSE), IFERROR(VLOOKUP($A305,'Fusion ExDa'!$B$2:$D$16, 4,FALSE), IFERROR(VLOOKUP($A305,'Exetel ExDa'!$C$2:$N$14, 3,FALSE), IFERROR(VLOOKUP($A305,'Infinet ExDa'!$B$2:$E$14, 3,FALSE), "Not Found"))))))))</f>
        <v>AAPT</v>
      </c>
      <c r="E305" t="str">
        <f>IFERROR(VLOOKUP($A305,'AAPT ExDa'!$B$2:$U$99, 3,FALSE), IFERROR(VLOOKUP($A305,'ABB ExDa'!$A$2:$N$184, 5,FALSE), IFERROR(VLOOKUP($A305,'Vocus SIT ExDa'!$B$2:$J$173, 2,FALSE), IFERROR(VLOOKUP($A305,'Telstra ExDa'!$B$2:$K$310, 4,FALSE), IFERROR(VLOOKUP($A305,'Vocus RVC ExDa'!$C$2:$R$155, 8,FALSE), IFERROR(VLOOKUP($A305,'Fusion ExDa'!$B$2:$D$16, 4,FALSE), IFERROR(VLOOKUP($A305,'Exetel ExDa'!$C$2:$N$14, 5,FALSE), IFERROR(VLOOKUP($A305,'Infinet ExDa'!$B$2:$E$14, 3,FALSE), "Not Found"))))))))</f>
        <v>IP-Line</v>
      </c>
      <c r="F305" t="str">
        <f>IFERROR(VLOOKUP($A305,'AAPT ExDa'!$B$2:$U$99, 4,FALSE), IFERROR(VLOOKUP($A305,'ABB ExDa'!$A$2:$N$184, 6,FALSE), IFERROR(VLOOKUP($A305,'Vocus SIT ExDa'!$B$2:$J$173, 3,FALSE), IFERROR(VLOOKUP($A305,'Telstra ExDa'!$B$2:$K$310, 5,FALSE), IFERROR(VLOOKUP($A305,'Vocus RVC ExDa'!$C$2:$R$155, 9,FALSE), IFERROR(VLOOKUP($A305,'Fusion ExDa'!$B$2:$D$16, 0,FALSE), IFERROR(VLOOKUP($A305,'Exetel ExDa'!$C$2:$N$14, 6,FALSE), IFERROR(VLOOKUP($A305,'Infinet ExDa'!$B$2:$E$14, 0,FALSE), "Not Found"))))))))</f>
        <v>IP-Line Link</v>
      </c>
      <c r="G305" t="str">
        <f>IFERROR(VLOOKUP($A305,'AAPT ExDa'!$B$2:$U$99, 5,FALSE), IFERROR(VLOOKUP($A305,'ABB ExDa'!$A$2:$N$184, 8,FALSE), IFERROR(VLOOKUP($A305,'Vocus SIT ExDa'!$B$2:$J$173, 6,FALSE), IFERROR(VLOOKUP($A305,'Telstra ExDa'!$B$2:$K$310, 0,FALSE), IFERROR(VLOOKUP($A305,'Vocus RVC ExDa'!$C$2:$R$155, 15,FALSE), IFERROR(VLOOKUP($A305,'Fusion ExDa'!$B$2:$D$16, 0,FALSE), IFERROR(VLOOKUP($A305,'Exetel ExDa'!$C$2:$N$14, 7,FALSE), IFERROR(VLOOKUP($A305,'Infinet ExDa'!$B$2:$E$14, 0,FALSE), "Not Found"))))))))</f>
        <v>Connecting IP-Line 6023265 to Access 100773541</v>
      </c>
      <c r="H305" t="str">
        <f>IFERROR(VLOOKUP($A305,'AAPT ExDa'!$B$2:$U$99, 6,FALSE), IFERROR(VLOOKUP($A305,'ABB ExDa'!$A$2:$N$184, 0,FALSE), IFERROR(VLOOKUP($A305,'Vocus SIT ExDa'!$B$2:$J$173, 0,FALSE), IFERROR(VLOOKUP($A305,'Telstra ExDa'!$B$2:$K$310, 0,FALSE), IFERROR(VLOOKUP($A305,'Vocus RVC ExDa'!$C$2:$R$155, 16,FALSE), IFERROR(VLOOKUP($A305,'Fusion ExDa'!$B$2:$D$16, 0,FALSE), IFERROR(VLOOKUP($A305,'Exetel ExDa'!$C$2:$N$14, 0,FALSE), IFERROR(VLOOKUP($A305,'Infinet ExDa'!$B$2:$E$14, 0,FALSE), "Not Found"))))))))</f>
        <v>Up to 100/40Mbps; AVC ID:AVC000141025780</v>
      </c>
      <c r="I305">
        <f>IFERROR(VLOOKUP($A305,'AAPT ExDa'!$B$2:$U$99, 0,FALSE), IFERROR(VLOOKUP($A305,'ABB ExDa'!$A$2:$N$184, 0,FALSE), IFERROR(VLOOKUP($A305,'Vocus SIT ExDa'!$B$2:$J$173, 0,FALSE), IFERROR(VLOOKUP($A305,'Telstra ExDa'!$B$2:$K$310, 0,FALSE), IFERROR(VLOOKUP($A305,'Vocus RVC ExDa'!$C$2:$R$155, 0,FALSE), IFERROR(VLOOKUP($A305,'Fusion ExDa'!$B$2:$D$16, 0,FALSE), IFERROR(VLOOKUP($A305,'Exetel ExDa'!$C$2:$N$14, 8,FALSE), IFERROR(VLOOKUP($A305,'Infinet ExDa'!$B$2:$E$14, 0,FALSE), "Not Found"))))))))</f>
        <v>0</v>
      </c>
      <c r="J305" t="str">
        <f>IFERROR(VLOOKUP($A305,'AAPT ExDa'!$B$2:$U$99, 7,FALSE), IFERROR(VLOOKUP($A305,'ABB ExDa'!$A$2:$N$184, 2,FALSE), IFERROR(VLOOKUP($A305,'Vocus SIT ExDa'!$B$2:$J$173, 0,FALSE), IFERROR(VLOOKUP($A305,'Telstra ExDa'!$B$2:$K$310, 7,FALSE), IFERROR(VLOOKUP($A305,'Vocus RVC ExDa'!$C$2:$R$155, 2,FALSE), IFERROR(VLOOKUP($A305,'Fusion ExDa'!$B$2:$D$16, 3,FALSE), IFERROR(VLOOKUP($A305,'Exetel ExDa'!$C$2:$N$14, 0,FALSE), IFERROR(VLOOKUP($A305,'Infinet ExDa'!$B$2:$E$14, 0,FALSE), "Not Found"))))))))</f>
        <v>AVC000141025780</v>
      </c>
      <c r="K305" t="str">
        <f>IFERROR(VLOOKUP($A305,'AAPT ExDa'!$B$2:$U$99, 12,FALSE), IFERROR(VLOOKUP($A305,'ABB ExDa'!$A$2:$N$184, 0,FALSE), IFERROR(VLOOKUP($A305,'Vocus SIT ExDa'!$B$2:$J$173, 0,FALSE), IFERROR(VLOOKUP($A305,'Telstra ExDa'!$B$2:$K$310, 0,FALSE), IFERROR(VLOOKUP($A305,'Vocus RVC ExDa'!$C$2:$R$155, 0,FALSE), IFERROR(VLOOKUP($A305,'Fusion ExDa'!$B$2:$D$16, 0,FALSE), IFERROR(VLOOKUP($A305,'Exetel ExDa'!$C$2:$N$14, 12,FALSE), IFERROR(VLOOKUP($A305,'Infinet ExDa'!$B$2:$E$14, 0,FALSE), "Not Found"))))))))</f>
        <v>12 Months</v>
      </c>
      <c r="L305" s="235">
        <f>IFERROR(VLOOKUP($A305,'AAPT ExDa'!$B$2:$U$99, 11,FALSE), IFERROR(VLOOKUP($A305,'ABB ExDa'!$A$2:$N$184, 9,FALSE), IFERROR(VLOOKUP($A305,'Vocus SIT ExDa'!$B$2:$J$173, 8,FALSE), IFERROR(VLOOKUP($A305,'Telstra ExDa'!$B$2:$K$310, 0,FALSE), IFERROR(VLOOKUP($A305,'Vocus RVC ExDa'!$C$2:$R$155, 0,FALSE), IFERROR(VLOOKUP($A305,'Fusion ExDa'!$B$2:$D$16, 0,FALSE), IFERROR(VLOOKUP($A305,'Exetel ExDa'!$C$2:$N$14, 9,FALSE), IFERROR(VLOOKUP($A305,'Infinet ExDa'!$B$2:$E$14, 0,FALSE), "Not Found"))))))))</f>
        <v>44297</v>
      </c>
      <c r="M305" s="234">
        <f>IFERROR(VLOOKUP($A305,'AAPT ExDa'!$B$2:$U$99, 0,FALSE), IFERROR(VLOOKUP($A305,'ABB ExDa'!$A$2:$N$184, 0,FALSE), IFERROR(VLOOKUP($A305,'Vocus SIT ExDa'!$B$2:$J$173, 0,FALSE), IFERROR(VLOOKUP($A305,'Telstra ExDa'!$B$2:$K$310, 0,FALSE), IFERROR(VLOOKUP($A305,'Vocus RVC ExDa'!$C$2:$R$155, 0,FALSE), IFERROR(VLOOKUP($A305,'Fusion ExDa'!$B$2:$D$16, 0,FALSE), IFERROR(VLOOKUP($A305,'Exetel ExDa'!$C$2:$N$14, 11,FALSE), IFERROR(VLOOKUP($A305,'Infinet ExDa'!$B$2:$E$14, 0,FALSE), "Not Found"))))))))</f>
        <v>0</v>
      </c>
      <c r="N305" t="str">
        <f>IFERROR(VLOOKUP($A305,'AAPT ExDa'!$B$2:$U$99, 0,FALSE), IFERROR(VLOOKUP($A305,'ABB ExDa'!$A$2:$N$184, 13,FALSE), IFERROR(VLOOKUP($A305,'Vocus SIT ExDa'!$B$2:$J$173, 0,FALSE), IFERROR(VLOOKUP($A305,'Telstra ExDa'!$B$2:$K$310, 0,FALSE), IFERROR(VLOOKUP($A305,'Vocus RVC ExDa'!$C$2:$R$155, 0,FALSE), IFERROR(VLOOKUP($A305,'Fusion ExDa'!$B$2:$D$16, 0,FALSE), IFERROR(VLOOKUP($A305,'Exetel ExDa'!$C$2:$N$14, 0,FALSE), IFERROR(VLOOKUP($A305,'Infinet ExDa'!$B$2:$E$14, 0,FALSE), "Not Found"))))))))</f>
        <v>Not Found</v>
      </c>
    </row>
    <row r="306" spans="1:14">
      <c r="A306" t="str">
        <v>Caravan Fix</v>
      </c>
      <c r="B306" t="str">
        <f>IFERROR(VLOOKUP(A306,'Exetel ExDa'!$C$2:$N$14,4,FALSE),"No Data")</f>
        <v>No Data</v>
      </c>
      <c r="C306" t="str">
        <f>IFERROR(VLOOKUP(A306,'AAPT ExDa'!$B$2:$U$99, 2,FALSE), IFERROR(VLOOKUP(A306,'ABB ExDa'!$A$2:$N$184, 2,FALSE), IFERROR(VLOOKUP(A306,'Vocus SIT ExDa'!$B$2:$J$173, 7,FALSE), IFERROR(VLOOKUP(A306,'Telstra ExDa'!$B$2:$K$310, 2,FALSE), IFERROR(VLOOKUP(A306,'Vocus RVC ExDa'!$C$2:$R$155, 3,FALSE), IFERROR(VLOOKUP(A306,'Fusion ExDa'!$B$2:$D$16, 2,FALSE), IFERROR(VLOOKUP(A306,'Exetel ExDa'!$C$2:$N$14, 2,FALSE), IFERROR(VLOOKUP(A306,'Infinet ExDa'!$B$2:$E$14, 2,FALSE), "Not Found"))))))))</f>
        <v>9 SOMERSET ROAD, GRACEMERE QLD 4703</v>
      </c>
      <c r="D306" t="str">
        <f>IFERROR(VLOOKUP($A306,'AAPT ExDa'!$B$2:$U$99, 15,FALSE), IFERROR(VLOOKUP($A306,'ABB ExDa'!$A$2:$N$184, 4,FALSE), IFERROR(VLOOKUP($A306,'Vocus SIT ExDa'!$B$2:$J$173, 5,FALSE), IFERROR(VLOOKUP($A306,'Telstra ExDa'!$B$2:$K$310, 8,FALSE), IFERROR(VLOOKUP($A306,'Vocus RVC ExDa'!$C$2:$R$155, 6,FALSE), IFERROR(VLOOKUP($A306,'Fusion ExDa'!$B$2:$D$16, 4,FALSE), IFERROR(VLOOKUP($A306,'Exetel ExDa'!$C$2:$N$14, 3,FALSE), IFERROR(VLOOKUP($A306,'Infinet ExDa'!$B$2:$E$14, 3,FALSE), "Not Found"))))))))</f>
        <v>Vocus SIT</v>
      </c>
      <c r="E306" t="str">
        <f>IFERROR(VLOOKUP($A306,'AAPT ExDa'!$B$2:$U$99, 3,FALSE), IFERROR(VLOOKUP($A306,'ABB ExDa'!$A$2:$N$184, 5,FALSE), IFERROR(VLOOKUP($A306,'Vocus SIT ExDa'!$B$2:$J$173, 2,FALSE), IFERROR(VLOOKUP($A306,'Telstra ExDa'!$B$2:$K$310, 4,FALSE), IFERROR(VLOOKUP($A306,'Vocus RVC ExDa'!$C$2:$R$155, 8,FALSE), IFERROR(VLOOKUP($A306,'Fusion ExDa'!$B$2:$D$16, 4,FALSE), IFERROR(VLOOKUP($A306,'Exetel ExDa'!$C$2:$N$14, 5,FALSE), IFERROR(VLOOKUP($A306,'Infinet ExDa'!$B$2:$E$14, 3,FALSE), "Not Found"))))))))</f>
        <v>Voice Service</v>
      </c>
      <c r="F306">
        <f>IFERROR(VLOOKUP($A306,'AAPT ExDa'!$B$2:$U$99, 4,FALSE), IFERROR(VLOOKUP($A306,'ABB ExDa'!$A$2:$N$184, 6,FALSE), IFERROR(VLOOKUP($A306,'Vocus SIT ExDa'!$B$2:$J$173, 3,FALSE), IFERROR(VLOOKUP($A306,'Telstra ExDa'!$B$2:$K$310, 5,FALSE), IFERROR(VLOOKUP($A306,'Vocus RVC ExDa'!$C$2:$R$155, 9,FALSE), IFERROR(VLOOKUP($A306,'Fusion ExDa'!$B$2:$D$16, 0,FALSE), IFERROR(VLOOKUP($A306,'Exetel ExDa'!$C$2:$N$14, 6,FALSE), IFERROR(VLOOKUP($A306,'Infinet ExDa'!$B$2:$E$14, 0,FALSE), "Not Found"))))))))</f>
        <v>0</v>
      </c>
      <c r="G306" t="str">
        <f>IFERROR(VLOOKUP($A306,'AAPT ExDa'!$B$2:$U$99, 5,FALSE), IFERROR(VLOOKUP($A306,'ABB ExDa'!$A$2:$N$184, 8,FALSE), IFERROR(VLOOKUP($A306,'Vocus SIT ExDa'!$B$2:$J$173, 6,FALSE), IFERROR(VLOOKUP($A306,'Telstra ExDa'!$B$2:$K$310, 0,FALSE), IFERROR(VLOOKUP($A306,'Vocus RVC ExDa'!$C$2:$R$155, 15,FALSE), IFERROR(VLOOKUP($A306,'Fusion ExDa'!$B$2:$D$16, 0,FALSE), IFERROR(VLOOKUP($A306,'Exetel ExDa'!$C$2:$N$14, 7,FALSE), IFERROR(VLOOKUP($A306,'Infinet ExDa'!$B$2:$E$14, 0,FALSE), "Not Found"))))))))</f>
        <v>Smile Tel (GRACEMERE, QLD) - Vocus IP Tel
Voice (5 Mbps) - -9 SOMERSET ROAD, GRACEMERE QLD 4702</v>
      </c>
      <c r="H306" t="str">
        <f>IFERROR(VLOOKUP($A306,'AAPT ExDa'!$B$2:$U$99, 6,FALSE), IFERROR(VLOOKUP($A306,'ABB ExDa'!$A$2:$N$184, 0,FALSE), IFERROR(VLOOKUP($A306,'Vocus SIT ExDa'!$B$2:$J$173, 0,FALSE), IFERROR(VLOOKUP($A306,'Telstra ExDa'!$B$2:$K$310, 0,FALSE), IFERROR(VLOOKUP($A306,'Vocus RVC ExDa'!$C$2:$R$155, 16,FALSE), IFERROR(VLOOKUP($A306,'Fusion ExDa'!$B$2:$D$16, 0,FALSE), IFERROR(VLOOKUP($A306,'Exetel ExDa'!$C$2:$N$14, 0,FALSE), IFERROR(VLOOKUP($A306,'Infinet ExDa'!$B$2:$E$14, 0,FALSE), "Not Found"))))))))</f>
        <v>Not Found</v>
      </c>
      <c r="I306" t="str">
        <f>IFERROR(VLOOKUP($A306,'AAPT ExDa'!$B$2:$U$99, 0,FALSE), IFERROR(VLOOKUP($A306,'ABB ExDa'!$A$2:$N$184, 0,FALSE), IFERROR(VLOOKUP($A306,'Vocus SIT ExDa'!$B$2:$J$173, 0,FALSE), IFERROR(VLOOKUP($A306,'Telstra ExDa'!$B$2:$K$310, 0,FALSE), IFERROR(VLOOKUP($A306,'Vocus RVC ExDa'!$C$2:$R$155, 0,FALSE), IFERROR(VLOOKUP($A306,'Fusion ExDa'!$B$2:$D$16, 0,FALSE), IFERROR(VLOOKUP($A306,'Exetel ExDa'!$C$2:$N$14, 8,FALSE), IFERROR(VLOOKUP($A306,'Infinet ExDa'!$B$2:$E$14, 0,FALSE), "Not Found"))))))))</f>
        <v>Not Found</v>
      </c>
      <c r="J306" t="str">
        <f>IFERROR(VLOOKUP($A306,'AAPT ExDa'!$B$2:$U$99, 7,FALSE), IFERROR(VLOOKUP($A306,'ABB ExDa'!$A$2:$N$184, 2,FALSE), IFERROR(VLOOKUP($A306,'Vocus SIT ExDa'!$B$2:$J$173, 0,FALSE), IFERROR(VLOOKUP($A306,'Telstra ExDa'!$B$2:$K$310, 7,FALSE), IFERROR(VLOOKUP($A306,'Vocus RVC ExDa'!$C$2:$R$155, 2,FALSE), IFERROR(VLOOKUP($A306,'Fusion ExDa'!$B$2:$D$16, 3,FALSE), IFERROR(VLOOKUP($A306,'Exetel ExDa'!$C$2:$N$14, 0,FALSE), IFERROR(VLOOKUP($A306,'Infinet ExDa'!$B$2:$E$14, 0,FALSE), "Not Found"))))))))</f>
        <v>Not Found</v>
      </c>
      <c r="K306" t="str">
        <f>IFERROR(VLOOKUP($A306,'AAPT ExDa'!$B$2:$U$99, 12,FALSE), IFERROR(VLOOKUP($A306,'ABB ExDa'!$A$2:$N$184, 0,FALSE), IFERROR(VLOOKUP($A306,'Vocus SIT ExDa'!$B$2:$J$173, 0,FALSE), IFERROR(VLOOKUP($A306,'Telstra ExDa'!$B$2:$K$310, 0,FALSE), IFERROR(VLOOKUP($A306,'Vocus RVC ExDa'!$C$2:$R$155, 0,FALSE), IFERROR(VLOOKUP($A306,'Fusion ExDa'!$B$2:$D$16, 0,FALSE), IFERROR(VLOOKUP($A306,'Exetel ExDa'!$C$2:$N$14, 12,FALSE), IFERROR(VLOOKUP($A306,'Infinet ExDa'!$B$2:$E$14, 0,FALSE), "Not Found"))))))))</f>
        <v>Not Found</v>
      </c>
      <c r="L306" s="235" t="str">
        <f>IFERROR(VLOOKUP($A306,'AAPT ExDa'!$B$2:$U$99, 11,FALSE), IFERROR(VLOOKUP($A306,'ABB ExDa'!$A$2:$N$184, 9,FALSE), IFERROR(VLOOKUP($A306,'Vocus SIT ExDa'!$B$2:$J$173, 8,FALSE), IFERROR(VLOOKUP($A306,'Telstra ExDa'!$B$2:$K$310, 0,FALSE), IFERROR(VLOOKUP($A306,'Vocus RVC ExDa'!$C$2:$R$155, 0,FALSE), IFERROR(VLOOKUP($A306,'Fusion ExDa'!$B$2:$D$16, 0,FALSE), IFERROR(VLOOKUP($A306,'Exetel ExDa'!$C$2:$N$14, 9,FALSE), IFERROR(VLOOKUP($A306,'Infinet ExDa'!$B$2:$E$14, 0,FALSE), "Not Found"))))))))</f>
        <v>17/07/2023</v>
      </c>
      <c r="M306" s="234" t="str">
        <f>IFERROR(VLOOKUP($A306,'AAPT ExDa'!$B$2:$U$99, 0,FALSE), IFERROR(VLOOKUP($A306,'ABB ExDa'!$A$2:$N$184, 0,FALSE), IFERROR(VLOOKUP($A306,'Vocus SIT ExDa'!$B$2:$J$173, 0,FALSE), IFERROR(VLOOKUP($A306,'Telstra ExDa'!$B$2:$K$310, 0,FALSE), IFERROR(VLOOKUP($A306,'Vocus RVC ExDa'!$C$2:$R$155, 0,FALSE), IFERROR(VLOOKUP($A306,'Fusion ExDa'!$B$2:$D$16, 0,FALSE), IFERROR(VLOOKUP($A306,'Exetel ExDa'!$C$2:$N$14, 11,FALSE), IFERROR(VLOOKUP($A306,'Infinet ExDa'!$B$2:$E$14, 0,FALSE), "Not Found"))))))))</f>
        <v>Not Found</v>
      </c>
      <c r="N306" t="str">
        <f>IFERROR(VLOOKUP($A306,'AAPT ExDa'!$B$2:$U$99, 0,FALSE), IFERROR(VLOOKUP($A306,'ABB ExDa'!$A$2:$N$184, 13,FALSE), IFERROR(VLOOKUP($A306,'Vocus SIT ExDa'!$B$2:$J$173, 0,FALSE), IFERROR(VLOOKUP($A306,'Telstra ExDa'!$B$2:$K$310, 0,FALSE), IFERROR(VLOOKUP($A306,'Vocus RVC ExDa'!$C$2:$R$155, 0,FALSE), IFERROR(VLOOKUP($A306,'Fusion ExDa'!$B$2:$D$16, 0,FALSE), IFERROR(VLOOKUP($A306,'Exetel ExDa'!$C$2:$N$14, 0,FALSE), IFERROR(VLOOKUP($A306,'Infinet ExDa'!$B$2:$E$14, 0,FALSE), "Not Found"))))))))</f>
        <v>Not Found</v>
      </c>
    </row>
    <row r="307" spans="1:14">
      <c r="A307" t="str">
        <v>Queensland Children's Gastroenterology</v>
      </c>
      <c r="B307" t="str">
        <f>IFERROR(VLOOKUP(A307,'Exetel ExDa'!$C$2:$N$14,4,FALSE),"No Data")</f>
        <v>No Data</v>
      </c>
      <c r="C307" t="str">
        <f>IFERROR(VLOOKUP(A307,'AAPT ExDa'!$B$2:$U$99, 2,FALSE), IFERROR(VLOOKUP(A307,'ABB ExDa'!$A$2:$N$184, 2,FALSE), IFERROR(VLOOKUP(A307,'Vocus SIT ExDa'!$B$2:$J$173, 7,FALSE), IFERROR(VLOOKUP(A307,'Telstra ExDa'!$B$2:$K$310, 2,FALSE), IFERROR(VLOOKUP(A307,'Vocus RVC ExDa'!$C$2:$R$155, 3,FALSE), IFERROR(VLOOKUP(A307,'Fusion ExDa'!$B$2:$D$16, 2,FALSE), IFERROR(VLOOKUP(A307,'Exetel ExDa'!$C$2:$N$14, 2,FALSE), IFERROR(VLOOKUP(A307,'Infinet ExDa'!$B$2:$E$14, 2,FALSE), "Not Found"))))))))</f>
        <v>537 stanley street, SOUTH BRISBANE QLD 4102</v>
      </c>
      <c r="D307" t="str">
        <f>IFERROR(VLOOKUP($A307,'AAPT ExDa'!$B$2:$U$99, 15,FALSE), IFERROR(VLOOKUP($A307,'ABB ExDa'!$A$2:$N$184, 4,FALSE), IFERROR(VLOOKUP($A307,'Vocus SIT ExDa'!$B$2:$J$173, 5,FALSE), IFERROR(VLOOKUP($A307,'Telstra ExDa'!$B$2:$K$310, 8,FALSE), IFERROR(VLOOKUP($A307,'Vocus RVC ExDa'!$C$2:$R$155, 6,FALSE), IFERROR(VLOOKUP($A307,'Fusion ExDa'!$B$2:$D$16, 4,FALSE), IFERROR(VLOOKUP($A307,'Exetel ExDa'!$C$2:$N$14, 3,FALSE), IFERROR(VLOOKUP($A307,'Infinet ExDa'!$B$2:$E$14, 3,FALSE), "Not Found"))))))))</f>
        <v>Vocus SIT</v>
      </c>
      <c r="E307" t="str">
        <f>IFERROR(VLOOKUP($A307,'AAPT ExDa'!$B$2:$U$99, 3,FALSE), IFERROR(VLOOKUP($A307,'ABB ExDa'!$A$2:$N$184, 5,FALSE), IFERROR(VLOOKUP($A307,'Vocus SIT ExDa'!$B$2:$J$173, 2,FALSE), IFERROR(VLOOKUP($A307,'Telstra ExDa'!$B$2:$K$310, 4,FALSE), IFERROR(VLOOKUP($A307,'Vocus RVC ExDa'!$C$2:$R$155, 8,FALSE), IFERROR(VLOOKUP($A307,'Fusion ExDa'!$B$2:$D$16, 4,FALSE), IFERROR(VLOOKUP($A307,'Exetel ExDa'!$C$2:$N$14, 5,FALSE), IFERROR(VLOOKUP($A307,'Infinet ExDa'!$B$2:$E$14, 3,FALSE), "Not Found"))))))))</f>
        <v>Voice Service</v>
      </c>
      <c r="F307">
        <f>IFERROR(VLOOKUP($A307,'AAPT ExDa'!$B$2:$U$99, 4,FALSE), IFERROR(VLOOKUP($A307,'ABB ExDa'!$A$2:$N$184, 6,FALSE), IFERROR(VLOOKUP($A307,'Vocus SIT ExDa'!$B$2:$J$173, 3,FALSE), IFERROR(VLOOKUP($A307,'Telstra ExDa'!$B$2:$K$310, 5,FALSE), IFERROR(VLOOKUP($A307,'Vocus RVC ExDa'!$C$2:$R$155, 9,FALSE), IFERROR(VLOOKUP($A307,'Fusion ExDa'!$B$2:$D$16, 0,FALSE), IFERROR(VLOOKUP($A307,'Exetel ExDa'!$C$2:$N$14, 6,FALSE), IFERROR(VLOOKUP($A307,'Infinet ExDa'!$B$2:$E$14, 0,FALSE), "Not Found"))))))))</f>
        <v>0</v>
      </c>
      <c r="G307" t="str">
        <f>IFERROR(VLOOKUP($A307,'AAPT ExDa'!$B$2:$U$99, 5,FALSE), IFERROR(VLOOKUP($A307,'ABB ExDa'!$A$2:$N$184, 8,FALSE), IFERROR(VLOOKUP($A307,'Vocus SIT ExDa'!$B$2:$J$173, 6,FALSE), IFERROR(VLOOKUP($A307,'Telstra ExDa'!$B$2:$K$310, 0,FALSE), IFERROR(VLOOKUP($A307,'Vocus RVC ExDa'!$C$2:$R$155, 15,FALSE), IFERROR(VLOOKUP($A307,'Fusion ExDa'!$B$2:$D$16, 0,FALSE), IFERROR(VLOOKUP($A307,'Exetel ExDa'!$C$2:$N$14, 7,FALSE), IFERROR(VLOOKUP($A307,'Infinet ExDa'!$B$2:$E$14, 0,FALSE), "Not Found"))))))))</f>
        <v>Smile Tel (SOUTH BRISBANE, QLD) - Vocus IP Tel [Queensland Children's Gastroenterology]
Voice (5 Mbps) - 537 stanley street, SOUTH BRISBANE QLD 4101</v>
      </c>
      <c r="H307" t="str">
        <f>IFERROR(VLOOKUP($A307,'AAPT ExDa'!$B$2:$U$99, 6,FALSE), IFERROR(VLOOKUP($A307,'ABB ExDa'!$A$2:$N$184, 0,FALSE), IFERROR(VLOOKUP($A307,'Vocus SIT ExDa'!$B$2:$J$173, 0,FALSE), IFERROR(VLOOKUP($A307,'Telstra ExDa'!$B$2:$K$310, 0,FALSE), IFERROR(VLOOKUP($A307,'Vocus RVC ExDa'!$C$2:$R$155, 16,FALSE), IFERROR(VLOOKUP($A307,'Fusion ExDa'!$B$2:$D$16, 0,FALSE), IFERROR(VLOOKUP($A307,'Exetel ExDa'!$C$2:$N$14, 0,FALSE), IFERROR(VLOOKUP($A307,'Infinet ExDa'!$B$2:$E$14, 0,FALSE), "Not Found"))))))))</f>
        <v>Not Found</v>
      </c>
      <c r="I307" t="str">
        <f>IFERROR(VLOOKUP($A307,'AAPT ExDa'!$B$2:$U$99, 0,FALSE), IFERROR(VLOOKUP($A307,'ABB ExDa'!$A$2:$N$184, 0,FALSE), IFERROR(VLOOKUP($A307,'Vocus SIT ExDa'!$B$2:$J$173, 0,FALSE), IFERROR(VLOOKUP($A307,'Telstra ExDa'!$B$2:$K$310, 0,FALSE), IFERROR(VLOOKUP($A307,'Vocus RVC ExDa'!$C$2:$R$155, 0,FALSE), IFERROR(VLOOKUP($A307,'Fusion ExDa'!$B$2:$D$16, 0,FALSE), IFERROR(VLOOKUP($A307,'Exetel ExDa'!$C$2:$N$14, 8,FALSE), IFERROR(VLOOKUP($A307,'Infinet ExDa'!$B$2:$E$14, 0,FALSE), "Not Found"))))))))</f>
        <v>Not Found</v>
      </c>
      <c r="J307" t="str">
        <f>IFERROR(VLOOKUP($A307,'AAPT ExDa'!$B$2:$U$99, 7,FALSE), IFERROR(VLOOKUP($A307,'ABB ExDa'!$A$2:$N$184, 2,FALSE), IFERROR(VLOOKUP($A307,'Vocus SIT ExDa'!$B$2:$J$173, 0,FALSE), IFERROR(VLOOKUP($A307,'Telstra ExDa'!$B$2:$K$310, 7,FALSE), IFERROR(VLOOKUP($A307,'Vocus RVC ExDa'!$C$2:$R$155, 2,FALSE), IFERROR(VLOOKUP($A307,'Fusion ExDa'!$B$2:$D$16, 3,FALSE), IFERROR(VLOOKUP($A307,'Exetel ExDa'!$C$2:$N$14, 0,FALSE), IFERROR(VLOOKUP($A307,'Infinet ExDa'!$B$2:$E$14, 0,FALSE), "Not Found"))))))))</f>
        <v>Not Found</v>
      </c>
      <c r="K307" t="str">
        <f>IFERROR(VLOOKUP($A307,'AAPT ExDa'!$B$2:$U$99, 12,FALSE), IFERROR(VLOOKUP($A307,'ABB ExDa'!$A$2:$N$184, 0,FALSE), IFERROR(VLOOKUP($A307,'Vocus SIT ExDa'!$B$2:$J$173, 0,FALSE), IFERROR(VLOOKUP($A307,'Telstra ExDa'!$B$2:$K$310, 0,FALSE), IFERROR(VLOOKUP($A307,'Vocus RVC ExDa'!$C$2:$R$155, 0,FALSE), IFERROR(VLOOKUP($A307,'Fusion ExDa'!$B$2:$D$16, 0,FALSE), IFERROR(VLOOKUP($A307,'Exetel ExDa'!$C$2:$N$14, 12,FALSE), IFERROR(VLOOKUP($A307,'Infinet ExDa'!$B$2:$E$14, 0,FALSE), "Not Found"))))))))</f>
        <v>Not Found</v>
      </c>
      <c r="L307" s="235" t="str">
        <f>IFERROR(VLOOKUP($A307,'AAPT ExDa'!$B$2:$U$99, 11,FALSE), IFERROR(VLOOKUP($A307,'ABB ExDa'!$A$2:$N$184, 9,FALSE), IFERROR(VLOOKUP($A307,'Vocus SIT ExDa'!$B$2:$J$173, 8,FALSE), IFERROR(VLOOKUP($A307,'Telstra ExDa'!$B$2:$K$310, 0,FALSE), IFERROR(VLOOKUP($A307,'Vocus RVC ExDa'!$C$2:$R$155, 0,FALSE), IFERROR(VLOOKUP($A307,'Fusion ExDa'!$B$2:$D$16, 0,FALSE), IFERROR(VLOOKUP($A307,'Exetel ExDa'!$C$2:$N$14, 9,FALSE), IFERROR(VLOOKUP($A307,'Infinet ExDa'!$B$2:$E$14, 0,FALSE), "Not Found"))))))))</f>
        <v>20/07/2023</v>
      </c>
      <c r="M307" s="234" t="str">
        <f>IFERROR(VLOOKUP($A307,'AAPT ExDa'!$B$2:$U$99, 0,FALSE), IFERROR(VLOOKUP($A307,'ABB ExDa'!$A$2:$N$184, 0,FALSE), IFERROR(VLOOKUP($A307,'Vocus SIT ExDa'!$B$2:$J$173, 0,FALSE), IFERROR(VLOOKUP($A307,'Telstra ExDa'!$B$2:$K$310, 0,FALSE), IFERROR(VLOOKUP($A307,'Vocus RVC ExDa'!$C$2:$R$155, 0,FALSE), IFERROR(VLOOKUP($A307,'Fusion ExDa'!$B$2:$D$16, 0,FALSE), IFERROR(VLOOKUP($A307,'Exetel ExDa'!$C$2:$N$14, 11,FALSE), IFERROR(VLOOKUP($A307,'Infinet ExDa'!$B$2:$E$14, 0,FALSE), "Not Found"))))))))</f>
        <v>Not Found</v>
      </c>
      <c r="N307" t="str">
        <f>IFERROR(VLOOKUP($A307,'AAPT ExDa'!$B$2:$U$99, 0,FALSE), IFERROR(VLOOKUP($A307,'ABB ExDa'!$A$2:$N$184, 13,FALSE), IFERROR(VLOOKUP($A307,'Vocus SIT ExDa'!$B$2:$J$173, 0,FALSE), IFERROR(VLOOKUP($A307,'Telstra ExDa'!$B$2:$K$310, 0,FALSE), IFERROR(VLOOKUP($A307,'Vocus RVC ExDa'!$C$2:$R$155, 0,FALSE), IFERROR(VLOOKUP($A307,'Fusion ExDa'!$B$2:$D$16, 0,FALSE), IFERROR(VLOOKUP($A307,'Exetel ExDa'!$C$2:$N$14, 0,FALSE), IFERROR(VLOOKUP($A307,'Infinet ExDa'!$B$2:$E$14, 0,FALSE), "Not Found"))))))))</f>
        <v>Not Found</v>
      </c>
    </row>
    <row r="308" spans="1:14">
      <c r="A308" t="str">
        <v>Smile IT</v>
      </c>
      <c r="B308" t="str">
        <f>IFERROR(VLOOKUP(A308,'Exetel ExDa'!$C$2:$N$14,4,FALSE),"No Data")</f>
        <v>0701561050</v>
      </c>
      <c r="C308">
        <f>IFERROR(VLOOKUP(A308,'AAPT ExDa'!$B$2:$U$99, 2,FALSE), IFERROR(VLOOKUP(A308,'ABB ExDa'!$A$2:$N$184, 2,FALSE), IFERROR(VLOOKUP(A308,'Vocus SIT ExDa'!$B$2:$J$173, 7,FALSE), IFERROR(VLOOKUP(A308,'Telstra ExDa'!$B$2:$K$310, 2,FALSE), IFERROR(VLOOKUP(A308,'Vocus RVC ExDa'!$C$2:$R$155, 3,FALSE), IFERROR(VLOOKUP(A308,'Fusion ExDa'!$B$2:$D$16, 2,FALSE), IFERROR(VLOOKUP(A308,'Exetel ExDa'!$C$2:$N$14, 2,FALSE), IFERROR(VLOOKUP(A308,'Infinet ExDa'!$B$2:$E$14, 2,FALSE), "Not Found"))))))))</f>
        <v>0</v>
      </c>
      <c r="D308" t="str">
        <f>IFERROR(VLOOKUP($A308,'AAPT ExDa'!$B$2:$U$99, 15,FALSE), IFERROR(VLOOKUP($A308,'ABB ExDa'!$A$2:$N$184, 4,FALSE), IFERROR(VLOOKUP($A308,'Vocus SIT ExDa'!$B$2:$J$173, 5,FALSE), IFERROR(VLOOKUP($A308,'Telstra ExDa'!$B$2:$K$310, 8,FALSE), IFERROR(VLOOKUP($A308,'Vocus RVC ExDa'!$C$2:$R$155, 6,FALSE), IFERROR(VLOOKUP($A308,'Fusion ExDa'!$B$2:$D$16, 4,FALSE), IFERROR(VLOOKUP($A308,'Exetel ExDa'!$C$2:$N$14, 3,FALSE), IFERROR(VLOOKUP($A308,'Infinet ExDa'!$B$2:$E$14, 3,FALSE), "Not Found"))))))))</f>
        <v>AAPT</v>
      </c>
      <c r="E308" t="str">
        <f>IFERROR(VLOOKUP($A308,'AAPT ExDa'!$B$2:$U$99, 3,FALSE), IFERROR(VLOOKUP($A308,'ABB ExDa'!$A$2:$N$184, 5,FALSE), IFERROR(VLOOKUP($A308,'Vocus SIT ExDa'!$B$2:$J$173, 2,FALSE), IFERROR(VLOOKUP($A308,'Telstra ExDa'!$B$2:$K$310, 4,FALSE), IFERROR(VLOOKUP($A308,'Vocus RVC ExDa'!$C$2:$R$155, 8,FALSE), IFERROR(VLOOKUP($A308,'Fusion ExDa'!$B$2:$D$16, 4,FALSE), IFERROR(VLOOKUP($A308,'Exetel ExDa'!$C$2:$N$14, 5,FALSE), IFERROR(VLOOKUP($A308,'Infinet ExDa'!$B$2:$E$14, 3,FALSE), "Not Found"))))))))</f>
        <v>IP-Line</v>
      </c>
      <c r="F308" t="str">
        <f>IFERROR(VLOOKUP($A308,'AAPT ExDa'!$B$2:$U$99, 4,FALSE), IFERROR(VLOOKUP($A308,'ABB ExDa'!$A$2:$N$184, 6,FALSE), IFERROR(VLOOKUP($A308,'Vocus SIT ExDa'!$B$2:$J$173, 3,FALSE), IFERROR(VLOOKUP($A308,'Telstra ExDa'!$B$2:$K$310, 5,FALSE), IFERROR(VLOOKUP($A308,'Vocus RVC ExDa'!$C$2:$R$155, 9,FALSE), IFERROR(VLOOKUP($A308,'Fusion ExDa'!$B$2:$D$16, 0,FALSE), IFERROR(VLOOKUP($A308,'Exetel ExDa'!$C$2:$N$14, 6,FALSE), IFERROR(VLOOKUP($A308,'Infinet ExDa'!$B$2:$E$14, 0,FALSE), "Not Found"))))))))</f>
        <v>IP-Line Link</v>
      </c>
      <c r="G308" t="str">
        <f>IFERROR(VLOOKUP($A308,'AAPT ExDa'!$B$2:$U$99, 5,FALSE), IFERROR(VLOOKUP($A308,'ABB ExDa'!$A$2:$N$184, 8,FALSE), IFERROR(VLOOKUP($A308,'Vocus SIT ExDa'!$B$2:$J$173, 6,FALSE), IFERROR(VLOOKUP($A308,'Telstra ExDa'!$B$2:$K$310, 0,FALSE), IFERROR(VLOOKUP($A308,'Vocus RVC ExDa'!$C$2:$R$155, 15,FALSE), IFERROR(VLOOKUP($A308,'Fusion ExDa'!$B$2:$D$16, 0,FALSE), IFERROR(VLOOKUP($A308,'Exetel ExDa'!$C$2:$N$14, 7,FALSE), IFERROR(VLOOKUP($A308,'Infinet ExDa'!$B$2:$E$14, 0,FALSE), "Not Found"))))))))</f>
        <v>Connecting IP-Line 6023265 to Access 100773541</v>
      </c>
      <c r="H308" t="str">
        <f>IFERROR(VLOOKUP($A308,'AAPT ExDa'!$B$2:$U$99, 6,FALSE), IFERROR(VLOOKUP($A308,'ABB ExDa'!$A$2:$N$184, 0,FALSE), IFERROR(VLOOKUP($A308,'Vocus SIT ExDa'!$B$2:$J$173, 0,FALSE), IFERROR(VLOOKUP($A308,'Telstra ExDa'!$B$2:$K$310, 0,FALSE), IFERROR(VLOOKUP($A308,'Vocus RVC ExDa'!$C$2:$R$155, 16,FALSE), IFERROR(VLOOKUP($A308,'Fusion ExDa'!$B$2:$D$16, 0,FALSE), IFERROR(VLOOKUP($A308,'Exetel ExDa'!$C$2:$N$14, 0,FALSE), IFERROR(VLOOKUP($A308,'Infinet ExDa'!$B$2:$E$14, 0,FALSE), "Not Found"))))))))</f>
        <v>Up to 100/40Mbps; AVC ID:AVC000141025780</v>
      </c>
      <c r="I308">
        <f>IFERROR(VLOOKUP($A308,'AAPT ExDa'!$B$2:$U$99, 0,FALSE), IFERROR(VLOOKUP($A308,'ABB ExDa'!$A$2:$N$184, 0,FALSE), IFERROR(VLOOKUP($A308,'Vocus SIT ExDa'!$B$2:$J$173, 0,FALSE), IFERROR(VLOOKUP($A308,'Telstra ExDa'!$B$2:$K$310, 0,FALSE), IFERROR(VLOOKUP($A308,'Vocus RVC ExDa'!$C$2:$R$155, 0,FALSE), IFERROR(VLOOKUP($A308,'Fusion ExDa'!$B$2:$D$16, 0,FALSE), IFERROR(VLOOKUP($A308,'Exetel ExDa'!$C$2:$N$14, 8,FALSE), IFERROR(VLOOKUP($A308,'Infinet ExDa'!$B$2:$E$14, 0,FALSE), "Not Found"))))))))</f>
        <v>0</v>
      </c>
      <c r="J308" t="str">
        <f>IFERROR(VLOOKUP($A308,'AAPT ExDa'!$B$2:$U$99, 7,FALSE), IFERROR(VLOOKUP($A308,'ABB ExDa'!$A$2:$N$184, 2,FALSE), IFERROR(VLOOKUP($A308,'Vocus SIT ExDa'!$B$2:$J$173, 0,FALSE), IFERROR(VLOOKUP($A308,'Telstra ExDa'!$B$2:$K$310, 7,FALSE), IFERROR(VLOOKUP($A308,'Vocus RVC ExDa'!$C$2:$R$155, 2,FALSE), IFERROR(VLOOKUP($A308,'Fusion ExDa'!$B$2:$D$16, 3,FALSE), IFERROR(VLOOKUP($A308,'Exetel ExDa'!$C$2:$N$14, 0,FALSE), IFERROR(VLOOKUP($A308,'Infinet ExDa'!$B$2:$E$14, 0,FALSE), "Not Found"))))))))</f>
        <v>AVC000141025780</v>
      </c>
      <c r="K308" t="str">
        <f>IFERROR(VLOOKUP($A308,'AAPT ExDa'!$B$2:$U$99, 12,FALSE), IFERROR(VLOOKUP($A308,'ABB ExDa'!$A$2:$N$184, 0,FALSE), IFERROR(VLOOKUP($A308,'Vocus SIT ExDa'!$B$2:$J$173, 0,FALSE), IFERROR(VLOOKUP($A308,'Telstra ExDa'!$B$2:$K$310, 0,FALSE), IFERROR(VLOOKUP($A308,'Vocus RVC ExDa'!$C$2:$R$155, 0,FALSE), IFERROR(VLOOKUP($A308,'Fusion ExDa'!$B$2:$D$16, 0,FALSE), IFERROR(VLOOKUP($A308,'Exetel ExDa'!$C$2:$N$14, 12,FALSE), IFERROR(VLOOKUP($A308,'Infinet ExDa'!$B$2:$E$14, 0,FALSE), "Not Found"))))))))</f>
        <v>12 Months</v>
      </c>
      <c r="L308" s="235">
        <f>IFERROR(VLOOKUP($A308,'AAPT ExDa'!$B$2:$U$99, 11,FALSE), IFERROR(VLOOKUP($A308,'ABB ExDa'!$A$2:$N$184, 9,FALSE), IFERROR(VLOOKUP($A308,'Vocus SIT ExDa'!$B$2:$J$173, 8,FALSE), IFERROR(VLOOKUP($A308,'Telstra ExDa'!$B$2:$K$310, 0,FALSE), IFERROR(VLOOKUP($A308,'Vocus RVC ExDa'!$C$2:$R$155, 0,FALSE), IFERROR(VLOOKUP($A308,'Fusion ExDa'!$B$2:$D$16, 0,FALSE), IFERROR(VLOOKUP($A308,'Exetel ExDa'!$C$2:$N$14, 9,FALSE), IFERROR(VLOOKUP($A308,'Infinet ExDa'!$B$2:$E$14, 0,FALSE), "Not Found"))))))))</f>
        <v>44297</v>
      </c>
      <c r="M308" s="234">
        <f>IFERROR(VLOOKUP($A308,'AAPT ExDa'!$B$2:$U$99, 0,FALSE), IFERROR(VLOOKUP($A308,'ABB ExDa'!$A$2:$N$184, 0,FALSE), IFERROR(VLOOKUP($A308,'Vocus SIT ExDa'!$B$2:$J$173, 0,FALSE), IFERROR(VLOOKUP($A308,'Telstra ExDa'!$B$2:$K$310, 0,FALSE), IFERROR(VLOOKUP($A308,'Vocus RVC ExDa'!$C$2:$R$155, 0,FALSE), IFERROR(VLOOKUP($A308,'Fusion ExDa'!$B$2:$D$16, 0,FALSE), IFERROR(VLOOKUP($A308,'Exetel ExDa'!$C$2:$N$14, 11,FALSE), IFERROR(VLOOKUP($A308,'Infinet ExDa'!$B$2:$E$14, 0,FALSE), "Not Found"))))))))</f>
        <v>0</v>
      </c>
      <c r="N308" t="str">
        <f>IFERROR(VLOOKUP($A308,'AAPT ExDa'!$B$2:$U$99, 0,FALSE), IFERROR(VLOOKUP($A308,'ABB ExDa'!$A$2:$N$184, 13,FALSE), IFERROR(VLOOKUP($A308,'Vocus SIT ExDa'!$B$2:$J$173, 0,FALSE), IFERROR(VLOOKUP($A308,'Telstra ExDa'!$B$2:$K$310, 0,FALSE), IFERROR(VLOOKUP($A308,'Vocus RVC ExDa'!$C$2:$R$155, 0,FALSE), IFERROR(VLOOKUP($A308,'Fusion ExDa'!$B$2:$D$16, 0,FALSE), IFERROR(VLOOKUP($A308,'Exetel ExDa'!$C$2:$N$14, 0,FALSE), IFERROR(VLOOKUP($A308,'Infinet ExDa'!$B$2:$E$14, 0,FALSE), "Not Found"))))))))</f>
        <v>Not Found</v>
      </c>
    </row>
    <row r="309" spans="1:14">
      <c r="A309">
        <v>0</v>
      </c>
      <c r="B309" t="str">
        <f>IFERROR(VLOOKUP(A309,'Exetel ExDa'!$C$2:$N$14,4,FALSE),"No Data")</f>
        <v>No Data</v>
      </c>
      <c r="C309" t="str">
        <f>IFERROR(VLOOKUP(A309,'AAPT ExDa'!$B$2:$U$99, 2,FALSE), IFERROR(VLOOKUP(A309,'ABB ExDa'!$A$2:$N$184, 2,FALSE), IFERROR(VLOOKUP(A309,'Vocus SIT ExDa'!$B$2:$J$173, 7,FALSE), IFERROR(VLOOKUP(A309,'Telstra ExDa'!$B$2:$K$310, 2,FALSE), IFERROR(VLOOKUP(A309,'Vocus RVC ExDa'!$C$2:$R$155, 3,FALSE), IFERROR(VLOOKUP(A309,'Fusion ExDa'!$B$2:$D$16, 2,FALSE), IFERROR(VLOOKUP(A309,'Exetel ExDa'!$C$2:$N$14, 2,FALSE), IFERROR(VLOOKUP(A309,'Infinet ExDa'!$B$2:$E$14, 2,FALSE), "Not Found"))))))))</f>
        <v>Not Found</v>
      </c>
      <c r="D309" t="str">
        <f>IFERROR(VLOOKUP($A309,'AAPT ExDa'!$B$2:$U$99, 15,FALSE), IFERROR(VLOOKUP($A309,'ABB ExDa'!$A$2:$N$184, 4,FALSE), IFERROR(VLOOKUP($A309,'Vocus SIT ExDa'!$B$2:$J$173, 5,FALSE), IFERROR(VLOOKUP($A309,'Telstra ExDa'!$B$2:$K$310, 8,FALSE), IFERROR(VLOOKUP($A309,'Vocus RVC ExDa'!$C$2:$R$155, 6,FALSE), IFERROR(VLOOKUP($A309,'Fusion ExDa'!$B$2:$D$16, 4,FALSE), IFERROR(VLOOKUP($A309,'Exetel ExDa'!$C$2:$N$14, 3,FALSE), IFERROR(VLOOKUP($A309,'Infinet ExDa'!$B$2:$E$14, 3,FALSE), "Not Found"))))))))</f>
        <v>Not Found</v>
      </c>
      <c r="E309" t="str">
        <f>IFERROR(VLOOKUP($A309,'AAPT ExDa'!$B$2:$U$99, 3,FALSE), IFERROR(VLOOKUP($A309,'ABB ExDa'!$A$2:$N$184, 5,FALSE), IFERROR(VLOOKUP($A309,'Vocus SIT ExDa'!$B$2:$J$173, 2,FALSE), IFERROR(VLOOKUP($A309,'Telstra ExDa'!$B$2:$K$310, 4,FALSE), IFERROR(VLOOKUP($A309,'Vocus RVC ExDa'!$C$2:$R$155, 8,FALSE), IFERROR(VLOOKUP($A309,'Fusion ExDa'!$B$2:$D$16, 4,FALSE), IFERROR(VLOOKUP($A309,'Exetel ExDa'!$C$2:$N$14, 5,FALSE), IFERROR(VLOOKUP($A309,'Infinet ExDa'!$B$2:$E$14, 3,FALSE), "Not Found"))))))))</f>
        <v>Not Found</v>
      </c>
      <c r="F309" t="str">
        <f>IFERROR(VLOOKUP($A309,'AAPT ExDa'!$B$2:$U$99, 4,FALSE), IFERROR(VLOOKUP($A309,'ABB ExDa'!$A$2:$N$184, 6,FALSE), IFERROR(VLOOKUP($A309,'Vocus SIT ExDa'!$B$2:$J$173, 3,FALSE), IFERROR(VLOOKUP($A309,'Telstra ExDa'!$B$2:$K$310, 5,FALSE), IFERROR(VLOOKUP($A309,'Vocus RVC ExDa'!$C$2:$R$155, 9,FALSE), IFERROR(VLOOKUP($A309,'Fusion ExDa'!$B$2:$D$16, 0,FALSE), IFERROR(VLOOKUP($A309,'Exetel ExDa'!$C$2:$N$14, 6,FALSE), IFERROR(VLOOKUP($A309,'Infinet ExDa'!$B$2:$E$14, 0,FALSE), "Not Found"))))))))</f>
        <v>Not Found</v>
      </c>
      <c r="G309" t="str">
        <f>IFERROR(VLOOKUP($A309,'AAPT ExDa'!$B$2:$U$99, 5,FALSE), IFERROR(VLOOKUP($A309,'ABB ExDa'!$A$2:$N$184, 8,FALSE), IFERROR(VLOOKUP($A309,'Vocus SIT ExDa'!$B$2:$J$173, 6,FALSE), IFERROR(VLOOKUP($A309,'Telstra ExDa'!$B$2:$K$310, 0,FALSE), IFERROR(VLOOKUP($A309,'Vocus RVC ExDa'!$C$2:$R$155, 15,FALSE), IFERROR(VLOOKUP($A309,'Fusion ExDa'!$B$2:$D$16, 0,FALSE), IFERROR(VLOOKUP($A309,'Exetel ExDa'!$C$2:$N$14, 7,FALSE), IFERROR(VLOOKUP($A309,'Infinet ExDa'!$B$2:$E$14, 0,FALSE), "Not Found"))))))))</f>
        <v>Not Found</v>
      </c>
      <c r="H309" t="str">
        <f>IFERROR(VLOOKUP($A309,'AAPT ExDa'!$B$2:$U$99, 6,FALSE), IFERROR(VLOOKUP($A309,'ABB ExDa'!$A$2:$N$184, 0,FALSE), IFERROR(VLOOKUP($A309,'Vocus SIT ExDa'!$B$2:$J$173, 0,FALSE), IFERROR(VLOOKUP($A309,'Telstra ExDa'!$B$2:$K$310, 0,FALSE), IFERROR(VLOOKUP($A309,'Vocus RVC ExDa'!$C$2:$R$155, 16,FALSE), IFERROR(VLOOKUP($A309,'Fusion ExDa'!$B$2:$D$16, 0,FALSE), IFERROR(VLOOKUP($A309,'Exetel ExDa'!$C$2:$N$14, 0,FALSE), IFERROR(VLOOKUP($A309,'Infinet ExDa'!$B$2:$E$14, 0,FALSE), "Not Found"))))))))</f>
        <v>Not Found</v>
      </c>
      <c r="I309" t="str">
        <f>IFERROR(VLOOKUP($A309,'AAPT ExDa'!$B$2:$U$99, 0,FALSE), IFERROR(VLOOKUP($A309,'ABB ExDa'!$A$2:$N$184, 0,FALSE), IFERROR(VLOOKUP($A309,'Vocus SIT ExDa'!$B$2:$J$173, 0,FALSE), IFERROR(VLOOKUP($A309,'Telstra ExDa'!$B$2:$K$310, 0,FALSE), IFERROR(VLOOKUP($A309,'Vocus RVC ExDa'!$C$2:$R$155, 0,FALSE), IFERROR(VLOOKUP($A309,'Fusion ExDa'!$B$2:$D$16, 0,FALSE), IFERROR(VLOOKUP($A309,'Exetel ExDa'!$C$2:$N$14, 8,FALSE), IFERROR(VLOOKUP($A309,'Infinet ExDa'!$B$2:$E$14, 0,FALSE), "Not Found"))))))))</f>
        <v>Not Found</v>
      </c>
      <c r="J309" t="str">
        <f>IFERROR(VLOOKUP($A309,'AAPT ExDa'!$B$2:$U$99, 7,FALSE), IFERROR(VLOOKUP($A309,'ABB ExDa'!$A$2:$N$184, 2,FALSE), IFERROR(VLOOKUP($A309,'Vocus SIT ExDa'!$B$2:$J$173, 0,FALSE), IFERROR(VLOOKUP($A309,'Telstra ExDa'!$B$2:$K$310, 7,FALSE), IFERROR(VLOOKUP($A309,'Vocus RVC ExDa'!$C$2:$R$155, 2,FALSE), IFERROR(VLOOKUP($A309,'Fusion ExDa'!$B$2:$D$16, 3,FALSE), IFERROR(VLOOKUP($A309,'Exetel ExDa'!$C$2:$N$14, 0,FALSE), IFERROR(VLOOKUP($A309,'Infinet ExDa'!$B$2:$E$14, 0,FALSE), "Not Found"))))))))</f>
        <v>Not Found</v>
      </c>
      <c r="K309" t="str">
        <f>IFERROR(VLOOKUP($A309,'AAPT ExDa'!$B$2:$U$99, 12,FALSE), IFERROR(VLOOKUP($A309,'ABB ExDa'!$A$2:$N$184, 0,FALSE), IFERROR(VLOOKUP($A309,'Vocus SIT ExDa'!$B$2:$J$173, 0,FALSE), IFERROR(VLOOKUP($A309,'Telstra ExDa'!$B$2:$K$310, 0,FALSE), IFERROR(VLOOKUP($A309,'Vocus RVC ExDa'!$C$2:$R$155, 0,FALSE), IFERROR(VLOOKUP($A309,'Fusion ExDa'!$B$2:$D$16, 0,FALSE), IFERROR(VLOOKUP($A309,'Exetel ExDa'!$C$2:$N$14, 12,FALSE), IFERROR(VLOOKUP($A309,'Infinet ExDa'!$B$2:$E$14, 0,FALSE), "Not Found"))))))))</f>
        <v>Not Found</v>
      </c>
      <c r="L309" s="235" t="str">
        <f>IFERROR(VLOOKUP($A309,'AAPT ExDa'!$B$2:$U$99, 11,FALSE), IFERROR(VLOOKUP($A309,'ABB ExDa'!$A$2:$N$184, 9,FALSE), IFERROR(VLOOKUP($A309,'Vocus SIT ExDa'!$B$2:$J$173, 8,FALSE), IFERROR(VLOOKUP($A309,'Telstra ExDa'!$B$2:$K$310, 0,FALSE), IFERROR(VLOOKUP($A309,'Vocus RVC ExDa'!$C$2:$R$155, 0,FALSE), IFERROR(VLOOKUP($A309,'Fusion ExDa'!$B$2:$D$16, 0,FALSE), IFERROR(VLOOKUP($A309,'Exetel ExDa'!$C$2:$N$14, 9,FALSE), IFERROR(VLOOKUP($A309,'Infinet ExDa'!$B$2:$E$14, 0,FALSE), "Not Found"))))))))</f>
        <v>Not Found</v>
      </c>
      <c r="M309" s="234" t="str">
        <f>IFERROR(VLOOKUP($A309,'AAPT ExDa'!$B$2:$U$99, 0,FALSE), IFERROR(VLOOKUP($A309,'ABB ExDa'!$A$2:$N$184, 0,FALSE), IFERROR(VLOOKUP($A309,'Vocus SIT ExDa'!$B$2:$J$173, 0,FALSE), IFERROR(VLOOKUP($A309,'Telstra ExDa'!$B$2:$K$310, 0,FALSE), IFERROR(VLOOKUP($A309,'Vocus RVC ExDa'!$C$2:$R$155, 0,FALSE), IFERROR(VLOOKUP($A309,'Fusion ExDa'!$B$2:$D$16, 0,FALSE), IFERROR(VLOOKUP($A309,'Exetel ExDa'!$C$2:$N$14, 11,FALSE), IFERROR(VLOOKUP($A309,'Infinet ExDa'!$B$2:$E$14, 0,FALSE), "Not Found"))))))))</f>
        <v>Not Found</v>
      </c>
      <c r="N309" t="str">
        <f>IFERROR(VLOOKUP($A309,'AAPT ExDa'!$B$2:$U$99, 0,FALSE), IFERROR(VLOOKUP($A309,'ABB ExDa'!$A$2:$N$184, 13,FALSE), IFERROR(VLOOKUP($A309,'Vocus SIT ExDa'!$B$2:$J$173, 0,FALSE), IFERROR(VLOOKUP($A309,'Telstra ExDa'!$B$2:$K$310, 0,FALSE), IFERROR(VLOOKUP($A309,'Vocus RVC ExDa'!$C$2:$R$155, 0,FALSE), IFERROR(VLOOKUP($A309,'Fusion ExDa'!$B$2:$D$16, 0,FALSE), IFERROR(VLOOKUP($A309,'Exetel ExDa'!$C$2:$N$14, 0,FALSE), IFERROR(VLOOKUP($A309,'Infinet ExDa'!$B$2:$E$14, 0,FALSE), "Not Found"))))))))</f>
        <v>Not Found</v>
      </c>
    </row>
    <row r="310" spans="1:14">
      <c r="A310" t="str">
        <v>Rockwell Technology/Specialist Hail Repairs</v>
      </c>
      <c r="B310" t="str">
        <f>IFERROR(VLOOKUP(A310,'Exetel ExDa'!$C$2:$N$14,4,FALSE),"No Data")</f>
        <v>No Data</v>
      </c>
      <c r="C310" t="str">
        <f>IFERROR(VLOOKUP(A310,'AAPT ExDa'!$B$2:$U$99, 2,FALSE), IFERROR(VLOOKUP(A310,'ABB ExDa'!$A$2:$N$184, 2,FALSE), IFERROR(VLOOKUP(A310,'Vocus SIT ExDa'!$B$2:$J$173, 7,FALSE), IFERROR(VLOOKUP(A310,'Telstra ExDa'!$B$2:$K$310, 2,FALSE), IFERROR(VLOOKUP(A310,'Vocus RVC ExDa'!$C$2:$R$155, 3,FALSE), IFERROR(VLOOKUP(A310,'Fusion ExDa'!$B$2:$D$16, 2,FALSE), IFERROR(VLOOKUP(A310,'Exetel ExDa'!$C$2:$N$14, 2,FALSE), IFERROR(VLOOKUP(A310,'Infinet ExDa'!$B$2:$E$14, 2,FALSE), "Not Found"))))))))</f>
        <v>37 access avenue, YATALA QLD 4208</v>
      </c>
      <c r="D310" t="str">
        <f>IFERROR(VLOOKUP($A310,'AAPT ExDa'!$B$2:$U$99, 15,FALSE), IFERROR(VLOOKUP($A310,'ABB ExDa'!$A$2:$N$184, 4,FALSE), IFERROR(VLOOKUP($A310,'Vocus SIT ExDa'!$B$2:$J$173, 5,FALSE), IFERROR(VLOOKUP($A310,'Telstra ExDa'!$B$2:$K$310, 8,FALSE), IFERROR(VLOOKUP($A310,'Vocus RVC ExDa'!$C$2:$R$155, 6,FALSE), IFERROR(VLOOKUP($A310,'Fusion ExDa'!$B$2:$D$16, 4,FALSE), IFERROR(VLOOKUP($A310,'Exetel ExDa'!$C$2:$N$14, 3,FALSE), IFERROR(VLOOKUP($A310,'Infinet ExDa'!$B$2:$E$14, 3,FALSE), "Not Found"))))))))</f>
        <v>Vocus SIT</v>
      </c>
      <c r="E310" t="str">
        <f>IFERROR(VLOOKUP($A310,'AAPT ExDa'!$B$2:$U$99, 3,FALSE), IFERROR(VLOOKUP($A310,'ABB ExDa'!$A$2:$N$184, 5,FALSE), IFERROR(VLOOKUP($A310,'Vocus SIT ExDa'!$B$2:$J$173, 2,FALSE), IFERROR(VLOOKUP($A310,'Telstra ExDa'!$B$2:$K$310, 4,FALSE), IFERROR(VLOOKUP($A310,'Vocus RVC ExDa'!$C$2:$R$155, 8,FALSE), IFERROR(VLOOKUP($A310,'Fusion ExDa'!$B$2:$D$16, 4,FALSE), IFERROR(VLOOKUP($A310,'Exetel ExDa'!$C$2:$N$14, 5,FALSE), IFERROR(VLOOKUP($A310,'Infinet ExDa'!$B$2:$E$14, 3,FALSE), "Not Found"))))))))</f>
        <v>Voice Service</v>
      </c>
      <c r="F310">
        <f>IFERROR(VLOOKUP($A310,'AAPT ExDa'!$B$2:$U$99, 4,FALSE), IFERROR(VLOOKUP($A310,'ABB ExDa'!$A$2:$N$184, 6,FALSE), IFERROR(VLOOKUP($A310,'Vocus SIT ExDa'!$B$2:$J$173, 3,FALSE), IFERROR(VLOOKUP($A310,'Telstra ExDa'!$B$2:$K$310, 5,FALSE), IFERROR(VLOOKUP($A310,'Vocus RVC ExDa'!$C$2:$R$155, 9,FALSE), IFERROR(VLOOKUP($A310,'Fusion ExDa'!$B$2:$D$16, 0,FALSE), IFERROR(VLOOKUP($A310,'Exetel ExDa'!$C$2:$N$14, 6,FALSE), IFERROR(VLOOKUP($A310,'Infinet ExDa'!$B$2:$E$14, 0,FALSE), "Not Found"))))))))</f>
        <v>0</v>
      </c>
      <c r="G310" t="str">
        <f>IFERROR(VLOOKUP($A310,'AAPT ExDa'!$B$2:$U$99, 5,FALSE), IFERROR(VLOOKUP($A310,'ABB ExDa'!$A$2:$N$184, 8,FALSE), IFERROR(VLOOKUP($A310,'Vocus SIT ExDa'!$B$2:$J$173, 6,FALSE), IFERROR(VLOOKUP($A310,'Telstra ExDa'!$B$2:$K$310, 0,FALSE), IFERROR(VLOOKUP($A310,'Vocus RVC ExDa'!$C$2:$R$155, 15,FALSE), IFERROR(VLOOKUP($A310,'Fusion ExDa'!$B$2:$D$16, 0,FALSE), IFERROR(VLOOKUP($A310,'Exetel ExDa'!$C$2:$N$14, 7,FALSE), IFERROR(VLOOKUP($A310,'Infinet ExDa'!$B$2:$E$14, 0,FALSE), "Not Found"))))))))</f>
        <v>Smile Tel (YATALA, QLD) - Vocus IP Tel
Voice (5 Mbps) - 37 access avenue, YATALA QLD 4207</v>
      </c>
      <c r="H310" t="str">
        <f>IFERROR(VLOOKUP($A310,'AAPT ExDa'!$B$2:$U$99, 6,FALSE), IFERROR(VLOOKUP($A310,'ABB ExDa'!$A$2:$N$184, 0,FALSE), IFERROR(VLOOKUP($A310,'Vocus SIT ExDa'!$B$2:$J$173, 0,FALSE), IFERROR(VLOOKUP($A310,'Telstra ExDa'!$B$2:$K$310, 0,FALSE), IFERROR(VLOOKUP($A310,'Vocus RVC ExDa'!$C$2:$R$155, 16,FALSE), IFERROR(VLOOKUP($A310,'Fusion ExDa'!$B$2:$D$16, 0,FALSE), IFERROR(VLOOKUP($A310,'Exetel ExDa'!$C$2:$N$14, 0,FALSE), IFERROR(VLOOKUP($A310,'Infinet ExDa'!$B$2:$E$14, 0,FALSE), "Not Found"))))))))</f>
        <v>Not Found</v>
      </c>
      <c r="I310" t="str">
        <f>IFERROR(VLOOKUP($A310,'AAPT ExDa'!$B$2:$U$99, 0,FALSE), IFERROR(VLOOKUP($A310,'ABB ExDa'!$A$2:$N$184, 0,FALSE), IFERROR(VLOOKUP($A310,'Vocus SIT ExDa'!$B$2:$J$173, 0,FALSE), IFERROR(VLOOKUP($A310,'Telstra ExDa'!$B$2:$K$310, 0,FALSE), IFERROR(VLOOKUP($A310,'Vocus RVC ExDa'!$C$2:$R$155, 0,FALSE), IFERROR(VLOOKUP($A310,'Fusion ExDa'!$B$2:$D$16, 0,FALSE), IFERROR(VLOOKUP($A310,'Exetel ExDa'!$C$2:$N$14, 8,FALSE), IFERROR(VLOOKUP($A310,'Infinet ExDa'!$B$2:$E$14, 0,FALSE), "Not Found"))))))))</f>
        <v>Not Found</v>
      </c>
      <c r="J310" t="str">
        <f>IFERROR(VLOOKUP($A310,'AAPT ExDa'!$B$2:$U$99, 7,FALSE), IFERROR(VLOOKUP($A310,'ABB ExDa'!$A$2:$N$184, 2,FALSE), IFERROR(VLOOKUP($A310,'Vocus SIT ExDa'!$B$2:$J$173, 0,FALSE), IFERROR(VLOOKUP($A310,'Telstra ExDa'!$B$2:$K$310, 7,FALSE), IFERROR(VLOOKUP($A310,'Vocus RVC ExDa'!$C$2:$R$155, 2,FALSE), IFERROR(VLOOKUP($A310,'Fusion ExDa'!$B$2:$D$16, 3,FALSE), IFERROR(VLOOKUP($A310,'Exetel ExDa'!$C$2:$N$14, 0,FALSE), IFERROR(VLOOKUP($A310,'Infinet ExDa'!$B$2:$E$14, 0,FALSE), "Not Found"))))))))</f>
        <v>Not Found</v>
      </c>
      <c r="K310" t="str">
        <f>IFERROR(VLOOKUP($A310,'AAPT ExDa'!$B$2:$U$99, 12,FALSE), IFERROR(VLOOKUP($A310,'ABB ExDa'!$A$2:$N$184, 0,FALSE), IFERROR(VLOOKUP($A310,'Vocus SIT ExDa'!$B$2:$J$173, 0,FALSE), IFERROR(VLOOKUP($A310,'Telstra ExDa'!$B$2:$K$310, 0,FALSE), IFERROR(VLOOKUP($A310,'Vocus RVC ExDa'!$C$2:$R$155, 0,FALSE), IFERROR(VLOOKUP($A310,'Fusion ExDa'!$B$2:$D$16, 0,FALSE), IFERROR(VLOOKUP($A310,'Exetel ExDa'!$C$2:$N$14, 12,FALSE), IFERROR(VLOOKUP($A310,'Infinet ExDa'!$B$2:$E$14, 0,FALSE), "Not Found"))))))))</f>
        <v>Not Found</v>
      </c>
      <c r="L310" s="235">
        <f>IFERROR(VLOOKUP($A310,'AAPT ExDa'!$B$2:$U$99, 11,FALSE), IFERROR(VLOOKUP($A310,'ABB ExDa'!$A$2:$N$184, 9,FALSE), IFERROR(VLOOKUP($A310,'Vocus SIT ExDa'!$B$2:$J$173, 8,FALSE), IFERROR(VLOOKUP($A310,'Telstra ExDa'!$B$2:$K$310, 0,FALSE), IFERROR(VLOOKUP($A310,'Vocus RVC ExDa'!$C$2:$R$155, 0,FALSE), IFERROR(VLOOKUP($A310,'Fusion ExDa'!$B$2:$D$16, 0,FALSE), IFERROR(VLOOKUP($A310,'Exetel ExDa'!$C$2:$N$14, 9,FALSE), IFERROR(VLOOKUP($A310,'Infinet ExDa'!$B$2:$E$14, 0,FALSE), "Not Found"))))))))</f>
        <v>45175</v>
      </c>
      <c r="M310" s="234" t="str">
        <f>IFERROR(VLOOKUP($A310,'AAPT ExDa'!$B$2:$U$99, 0,FALSE), IFERROR(VLOOKUP($A310,'ABB ExDa'!$A$2:$N$184, 0,FALSE), IFERROR(VLOOKUP($A310,'Vocus SIT ExDa'!$B$2:$J$173, 0,FALSE), IFERROR(VLOOKUP($A310,'Telstra ExDa'!$B$2:$K$310, 0,FALSE), IFERROR(VLOOKUP($A310,'Vocus RVC ExDa'!$C$2:$R$155, 0,FALSE), IFERROR(VLOOKUP($A310,'Fusion ExDa'!$B$2:$D$16, 0,FALSE), IFERROR(VLOOKUP($A310,'Exetel ExDa'!$C$2:$N$14, 11,FALSE), IFERROR(VLOOKUP($A310,'Infinet ExDa'!$B$2:$E$14, 0,FALSE), "Not Found"))))))))</f>
        <v>Not Found</v>
      </c>
      <c r="N310" t="str">
        <f>IFERROR(VLOOKUP($A310,'AAPT ExDa'!$B$2:$U$99, 0,FALSE), IFERROR(VLOOKUP($A310,'ABB ExDa'!$A$2:$N$184, 13,FALSE), IFERROR(VLOOKUP($A310,'Vocus SIT ExDa'!$B$2:$J$173, 0,FALSE), IFERROR(VLOOKUP($A310,'Telstra ExDa'!$B$2:$K$310, 0,FALSE), IFERROR(VLOOKUP($A310,'Vocus RVC ExDa'!$C$2:$R$155, 0,FALSE), IFERROR(VLOOKUP($A310,'Fusion ExDa'!$B$2:$D$16, 0,FALSE), IFERROR(VLOOKUP($A310,'Exetel ExDa'!$C$2:$N$14, 0,FALSE), IFERROR(VLOOKUP($A310,'Infinet ExDa'!$B$2:$E$14, 0,FALSE), "Not Found"))))))))</f>
        <v>Not Found</v>
      </c>
    </row>
    <row r="311" spans="1:14">
      <c r="A311" t="str">
        <v>Smile IT</v>
      </c>
      <c r="B311" t="str">
        <f>IFERROR(VLOOKUP(A311,'Exetel ExDa'!$C$2:$N$14,4,FALSE),"No Data")</f>
        <v>0701561050</v>
      </c>
      <c r="C311">
        <f>IFERROR(VLOOKUP(A311,'AAPT ExDa'!$B$2:$U$99, 2,FALSE), IFERROR(VLOOKUP(A311,'ABB ExDa'!$A$2:$N$184, 2,FALSE), IFERROR(VLOOKUP(A311,'Vocus SIT ExDa'!$B$2:$J$173, 7,FALSE), IFERROR(VLOOKUP(A311,'Telstra ExDa'!$B$2:$K$310, 2,FALSE), IFERROR(VLOOKUP(A311,'Vocus RVC ExDa'!$C$2:$R$155, 3,FALSE), IFERROR(VLOOKUP(A311,'Fusion ExDa'!$B$2:$D$16, 2,FALSE), IFERROR(VLOOKUP(A311,'Exetel ExDa'!$C$2:$N$14, 2,FALSE), IFERROR(VLOOKUP(A311,'Infinet ExDa'!$B$2:$E$14, 2,FALSE), "Not Found"))))))))</f>
        <v>0</v>
      </c>
      <c r="D311" t="str">
        <f>IFERROR(VLOOKUP($A311,'AAPT ExDa'!$B$2:$U$99, 15,FALSE), IFERROR(VLOOKUP($A311,'ABB ExDa'!$A$2:$N$184, 4,FALSE), IFERROR(VLOOKUP($A311,'Vocus SIT ExDa'!$B$2:$J$173, 5,FALSE), IFERROR(VLOOKUP($A311,'Telstra ExDa'!$B$2:$K$310, 8,FALSE), IFERROR(VLOOKUP($A311,'Vocus RVC ExDa'!$C$2:$R$155, 6,FALSE), IFERROR(VLOOKUP($A311,'Fusion ExDa'!$B$2:$D$16, 4,FALSE), IFERROR(VLOOKUP($A311,'Exetel ExDa'!$C$2:$N$14, 3,FALSE), IFERROR(VLOOKUP($A311,'Infinet ExDa'!$B$2:$E$14, 3,FALSE), "Not Found"))))))))</f>
        <v>AAPT</v>
      </c>
      <c r="E311" t="str">
        <f>IFERROR(VLOOKUP($A311,'AAPT ExDa'!$B$2:$U$99, 3,FALSE), IFERROR(VLOOKUP($A311,'ABB ExDa'!$A$2:$N$184, 5,FALSE), IFERROR(VLOOKUP($A311,'Vocus SIT ExDa'!$B$2:$J$173, 2,FALSE), IFERROR(VLOOKUP($A311,'Telstra ExDa'!$B$2:$K$310, 4,FALSE), IFERROR(VLOOKUP($A311,'Vocus RVC ExDa'!$C$2:$R$155, 8,FALSE), IFERROR(VLOOKUP($A311,'Fusion ExDa'!$B$2:$D$16, 4,FALSE), IFERROR(VLOOKUP($A311,'Exetel ExDa'!$C$2:$N$14, 5,FALSE), IFERROR(VLOOKUP($A311,'Infinet ExDa'!$B$2:$E$14, 3,FALSE), "Not Found"))))))))</f>
        <v>IP-Line</v>
      </c>
      <c r="F311" t="str">
        <f>IFERROR(VLOOKUP($A311,'AAPT ExDa'!$B$2:$U$99, 4,FALSE), IFERROR(VLOOKUP($A311,'ABB ExDa'!$A$2:$N$184, 6,FALSE), IFERROR(VLOOKUP($A311,'Vocus SIT ExDa'!$B$2:$J$173, 3,FALSE), IFERROR(VLOOKUP($A311,'Telstra ExDa'!$B$2:$K$310, 5,FALSE), IFERROR(VLOOKUP($A311,'Vocus RVC ExDa'!$C$2:$R$155, 9,FALSE), IFERROR(VLOOKUP($A311,'Fusion ExDa'!$B$2:$D$16, 0,FALSE), IFERROR(VLOOKUP($A311,'Exetel ExDa'!$C$2:$N$14, 6,FALSE), IFERROR(VLOOKUP($A311,'Infinet ExDa'!$B$2:$E$14, 0,FALSE), "Not Found"))))))))</f>
        <v>IP-Line Link</v>
      </c>
      <c r="G311" t="str">
        <f>IFERROR(VLOOKUP($A311,'AAPT ExDa'!$B$2:$U$99, 5,FALSE), IFERROR(VLOOKUP($A311,'ABB ExDa'!$A$2:$N$184, 8,FALSE), IFERROR(VLOOKUP($A311,'Vocus SIT ExDa'!$B$2:$J$173, 6,FALSE), IFERROR(VLOOKUP($A311,'Telstra ExDa'!$B$2:$K$310, 0,FALSE), IFERROR(VLOOKUP($A311,'Vocus RVC ExDa'!$C$2:$R$155, 15,FALSE), IFERROR(VLOOKUP($A311,'Fusion ExDa'!$B$2:$D$16, 0,FALSE), IFERROR(VLOOKUP($A311,'Exetel ExDa'!$C$2:$N$14, 7,FALSE), IFERROR(VLOOKUP($A311,'Infinet ExDa'!$B$2:$E$14, 0,FALSE), "Not Found"))))))))</f>
        <v>Connecting IP-Line 6023265 to Access 100773541</v>
      </c>
      <c r="H311" t="str">
        <f>IFERROR(VLOOKUP($A311,'AAPT ExDa'!$B$2:$U$99, 6,FALSE), IFERROR(VLOOKUP($A311,'ABB ExDa'!$A$2:$N$184, 0,FALSE), IFERROR(VLOOKUP($A311,'Vocus SIT ExDa'!$B$2:$J$173, 0,FALSE), IFERROR(VLOOKUP($A311,'Telstra ExDa'!$B$2:$K$310, 0,FALSE), IFERROR(VLOOKUP($A311,'Vocus RVC ExDa'!$C$2:$R$155, 16,FALSE), IFERROR(VLOOKUP($A311,'Fusion ExDa'!$B$2:$D$16, 0,FALSE), IFERROR(VLOOKUP($A311,'Exetel ExDa'!$C$2:$N$14, 0,FALSE), IFERROR(VLOOKUP($A311,'Infinet ExDa'!$B$2:$E$14, 0,FALSE), "Not Found"))))))))</f>
        <v>Up to 100/40Mbps; AVC ID:AVC000141025780</v>
      </c>
      <c r="I311">
        <f>IFERROR(VLOOKUP($A311,'AAPT ExDa'!$B$2:$U$99, 0,FALSE), IFERROR(VLOOKUP($A311,'ABB ExDa'!$A$2:$N$184, 0,FALSE), IFERROR(VLOOKUP($A311,'Vocus SIT ExDa'!$B$2:$J$173, 0,FALSE), IFERROR(VLOOKUP($A311,'Telstra ExDa'!$B$2:$K$310, 0,FALSE), IFERROR(VLOOKUP($A311,'Vocus RVC ExDa'!$C$2:$R$155, 0,FALSE), IFERROR(VLOOKUP($A311,'Fusion ExDa'!$B$2:$D$16, 0,FALSE), IFERROR(VLOOKUP($A311,'Exetel ExDa'!$C$2:$N$14, 8,FALSE), IFERROR(VLOOKUP($A311,'Infinet ExDa'!$B$2:$E$14, 0,FALSE), "Not Found"))))))))</f>
        <v>0</v>
      </c>
      <c r="J311" t="str">
        <f>IFERROR(VLOOKUP($A311,'AAPT ExDa'!$B$2:$U$99, 7,FALSE), IFERROR(VLOOKUP($A311,'ABB ExDa'!$A$2:$N$184, 2,FALSE), IFERROR(VLOOKUP($A311,'Vocus SIT ExDa'!$B$2:$J$173, 0,FALSE), IFERROR(VLOOKUP($A311,'Telstra ExDa'!$B$2:$K$310, 7,FALSE), IFERROR(VLOOKUP($A311,'Vocus RVC ExDa'!$C$2:$R$155, 2,FALSE), IFERROR(VLOOKUP($A311,'Fusion ExDa'!$B$2:$D$16, 3,FALSE), IFERROR(VLOOKUP($A311,'Exetel ExDa'!$C$2:$N$14, 0,FALSE), IFERROR(VLOOKUP($A311,'Infinet ExDa'!$B$2:$E$14, 0,FALSE), "Not Found"))))))))</f>
        <v>AVC000141025780</v>
      </c>
      <c r="K311" t="str">
        <f>IFERROR(VLOOKUP($A311,'AAPT ExDa'!$B$2:$U$99, 12,FALSE), IFERROR(VLOOKUP($A311,'ABB ExDa'!$A$2:$N$184, 0,FALSE), IFERROR(VLOOKUP($A311,'Vocus SIT ExDa'!$B$2:$J$173, 0,FALSE), IFERROR(VLOOKUP($A311,'Telstra ExDa'!$B$2:$K$310, 0,FALSE), IFERROR(VLOOKUP($A311,'Vocus RVC ExDa'!$C$2:$R$155, 0,FALSE), IFERROR(VLOOKUP($A311,'Fusion ExDa'!$B$2:$D$16, 0,FALSE), IFERROR(VLOOKUP($A311,'Exetel ExDa'!$C$2:$N$14, 12,FALSE), IFERROR(VLOOKUP($A311,'Infinet ExDa'!$B$2:$E$14, 0,FALSE), "Not Found"))))))))</f>
        <v>12 Months</v>
      </c>
      <c r="L311" s="235">
        <f>IFERROR(VLOOKUP($A311,'AAPT ExDa'!$B$2:$U$99, 11,FALSE), IFERROR(VLOOKUP($A311,'ABB ExDa'!$A$2:$N$184, 9,FALSE), IFERROR(VLOOKUP($A311,'Vocus SIT ExDa'!$B$2:$J$173, 8,FALSE), IFERROR(VLOOKUP($A311,'Telstra ExDa'!$B$2:$K$310, 0,FALSE), IFERROR(VLOOKUP($A311,'Vocus RVC ExDa'!$C$2:$R$155, 0,FALSE), IFERROR(VLOOKUP($A311,'Fusion ExDa'!$B$2:$D$16, 0,FALSE), IFERROR(VLOOKUP($A311,'Exetel ExDa'!$C$2:$N$14, 9,FALSE), IFERROR(VLOOKUP($A311,'Infinet ExDa'!$B$2:$E$14, 0,FALSE), "Not Found"))))))))</f>
        <v>44297</v>
      </c>
      <c r="M311" s="234">
        <f>IFERROR(VLOOKUP($A311,'AAPT ExDa'!$B$2:$U$99, 0,FALSE), IFERROR(VLOOKUP($A311,'ABB ExDa'!$A$2:$N$184, 0,FALSE), IFERROR(VLOOKUP($A311,'Vocus SIT ExDa'!$B$2:$J$173, 0,FALSE), IFERROR(VLOOKUP($A311,'Telstra ExDa'!$B$2:$K$310, 0,FALSE), IFERROR(VLOOKUP($A311,'Vocus RVC ExDa'!$C$2:$R$155, 0,FALSE), IFERROR(VLOOKUP($A311,'Fusion ExDa'!$B$2:$D$16, 0,FALSE), IFERROR(VLOOKUP($A311,'Exetel ExDa'!$C$2:$N$14, 11,FALSE), IFERROR(VLOOKUP($A311,'Infinet ExDa'!$B$2:$E$14, 0,FALSE), "Not Found"))))))))</f>
        <v>0</v>
      </c>
      <c r="N311" t="str">
        <f>IFERROR(VLOOKUP($A311,'AAPT ExDa'!$B$2:$U$99, 0,FALSE), IFERROR(VLOOKUP($A311,'ABB ExDa'!$A$2:$N$184, 13,FALSE), IFERROR(VLOOKUP($A311,'Vocus SIT ExDa'!$B$2:$J$173, 0,FALSE), IFERROR(VLOOKUP($A311,'Telstra ExDa'!$B$2:$K$310, 0,FALSE), IFERROR(VLOOKUP($A311,'Vocus RVC ExDa'!$C$2:$R$155, 0,FALSE), IFERROR(VLOOKUP($A311,'Fusion ExDa'!$B$2:$D$16, 0,FALSE), IFERROR(VLOOKUP($A311,'Exetel ExDa'!$C$2:$N$14, 0,FALSE), IFERROR(VLOOKUP($A311,'Infinet ExDa'!$B$2:$E$14, 0,FALSE), "Not Found"))))))))</f>
        <v>Not Found</v>
      </c>
    </row>
    <row r="312" spans="1:14">
      <c r="A312">
        <v>0</v>
      </c>
      <c r="B312" t="str">
        <f>IFERROR(VLOOKUP(A312,'Exetel ExDa'!$C$2:$N$14,4,FALSE),"No Data")</f>
        <v>No Data</v>
      </c>
      <c r="C312" t="str">
        <f>IFERROR(VLOOKUP(A312,'AAPT ExDa'!$B$2:$U$99, 2,FALSE), IFERROR(VLOOKUP(A312,'ABB ExDa'!$A$2:$N$184, 2,FALSE), IFERROR(VLOOKUP(A312,'Vocus SIT ExDa'!$B$2:$J$173, 7,FALSE), IFERROR(VLOOKUP(A312,'Telstra ExDa'!$B$2:$K$310, 2,FALSE), IFERROR(VLOOKUP(A312,'Vocus RVC ExDa'!$C$2:$R$155, 3,FALSE), IFERROR(VLOOKUP(A312,'Fusion ExDa'!$B$2:$D$16, 2,FALSE), IFERROR(VLOOKUP(A312,'Exetel ExDa'!$C$2:$N$14, 2,FALSE), IFERROR(VLOOKUP(A312,'Infinet ExDa'!$B$2:$E$14, 2,FALSE), "Not Found"))))))))</f>
        <v>Not Found</v>
      </c>
      <c r="D312" t="str">
        <f>IFERROR(VLOOKUP($A312,'AAPT ExDa'!$B$2:$U$99, 15,FALSE), IFERROR(VLOOKUP($A312,'ABB ExDa'!$A$2:$N$184, 4,FALSE), IFERROR(VLOOKUP($A312,'Vocus SIT ExDa'!$B$2:$J$173, 5,FALSE), IFERROR(VLOOKUP($A312,'Telstra ExDa'!$B$2:$K$310, 8,FALSE), IFERROR(VLOOKUP($A312,'Vocus RVC ExDa'!$C$2:$R$155, 6,FALSE), IFERROR(VLOOKUP($A312,'Fusion ExDa'!$B$2:$D$16, 4,FALSE), IFERROR(VLOOKUP($A312,'Exetel ExDa'!$C$2:$N$14, 3,FALSE), IFERROR(VLOOKUP($A312,'Infinet ExDa'!$B$2:$E$14, 3,FALSE), "Not Found"))))))))</f>
        <v>Not Found</v>
      </c>
      <c r="E312" t="str">
        <f>IFERROR(VLOOKUP($A312,'AAPT ExDa'!$B$2:$U$99, 3,FALSE), IFERROR(VLOOKUP($A312,'ABB ExDa'!$A$2:$N$184, 5,FALSE), IFERROR(VLOOKUP($A312,'Vocus SIT ExDa'!$B$2:$J$173, 2,FALSE), IFERROR(VLOOKUP($A312,'Telstra ExDa'!$B$2:$K$310, 4,FALSE), IFERROR(VLOOKUP($A312,'Vocus RVC ExDa'!$C$2:$R$155, 8,FALSE), IFERROR(VLOOKUP($A312,'Fusion ExDa'!$B$2:$D$16, 4,FALSE), IFERROR(VLOOKUP($A312,'Exetel ExDa'!$C$2:$N$14, 5,FALSE), IFERROR(VLOOKUP($A312,'Infinet ExDa'!$B$2:$E$14, 3,FALSE), "Not Found"))))))))</f>
        <v>Not Found</v>
      </c>
      <c r="F312" t="str">
        <f>IFERROR(VLOOKUP($A312,'AAPT ExDa'!$B$2:$U$99, 4,FALSE), IFERROR(VLOOKUP($A312,'ABB ExDa'!$A$2:$N$184, 6,FALSE), IFERROR(VLOOKUP($A312,'Vocus SIT ExDa'!$B$2:$J$173, 3,FALSE), IFERROR(VLOOKUP($A312,'Telstra ExDa'!$B$2:$K$310, 5,FALSE), IFERROR(VLOOKUP($A312,'Vocus RVC ExDa'!$C$2:$R$155, 9,FALSE), IFERROR(VLOOKUP($A312,'Fusion ExDa'!$B$2:$D$16, 0,FALSE), IFERROR(VLOOKUP($A312,'Exetel ExDa'!$C$2:$N$14, 6,FALSE), IFERROR(VLOOKUP($A312,'Infinet ExDa'!$B$2:$E$14, 0,FALSE), "Not Found"))))))))</f>
        <v>Not Found</v>
      </c>
      <c r="G312" t="str">
        <f>IFERROR(VLOOKUP($A312,'AAPT ExDa'!$B$2:$U$99, 5,FALSE), IFERROR(VLOOKUP($A312,'ABB ExDa'!$A$2:$N$184, 8,FALSE), IFERROR(VLOOKUP($A312,'Vocus SIT ExDa'!$B$2:$J$173, 6,FALSE), IFERROR(VLOOKUP($A312,'Telstra ExDa'!$B$2:$K$310, 0,FALSE), IFERROR(VLOOKUP($A312,'Vocus RVC ExDa'!$C$2:$R$155, 15,FALSE), IFERROR(VLOOKUP($A312,'Fusion ExDa'!$B$2:$D$16, 0,FALSE), IFERROR(VLOOKUP($A312,'Exetel ExDa'!$C$2:$N$14, 7,FALSE), IFERROR(VLOOKUP($A312,'Infinet ExDa'!$B$2:$E$14, 0,FALSE), "Not Found"))))))))</f>
        <v>Not Found</v>
      </c>
      <c r="H312" t="str">
        <f>IFERROR(VLOOKUP($A312,'AAPT ExDa'!$B$2:$U$99, 6,FALSE), IFERROR(VLOOKUP($A312,'ABB ExDa'!$A$2:$N$184, 0,FALSE), IFERROR(VLOOKUP($A312,'Vocus SIT ExDa'!$B$2:$J$173, 0,FALSE), IFERROR(VLOOKUP($A312,'Telstra ExDa'!$B$2:$K$310, 0,FALSE), IFERROR(VLOOKUP($A312,'Vocus RVC ExDa'!$C$2:$R$155, 16,FALSE), IFERROR(VLOOKUP($A312,'Fusion ExDa'!$B$2:$D$16, 0,FALSE), IFERROR(VLOOKUP($A312,'Exetel ExDa'!$C$2:$N$14, 0,FALSE), IFERROR(VLOOKUP($A312,'Infinet ExDa'!$B$2:$E$14, 0,FALSE), "Not Found"))))))))</f>
        <v>Not Found</v>
      </c>
      <c r="I312" t="str">
        <f>IFERROR(VLOOKUP($A312,'AAPT ExDa'!$B$2:$U$99, 0,FALSE), IFERROR(VLOOKUP($A312,'ABB ExDa'!$A$2:$N$184, 0,FALSE), IFERROR(VLOOKUP($A312,'Vocus SIT ExDa'!$B$2:$J$173, 0,FALSE), IFERROR(VLOOKUP($A312,'Telstra ExDa'!$B$2:$K$310, 0,FALSE), IFERROR(VLOOKUP($A312,'Vocus RVC ExDa'!$C$2:$R$155, 0,FALSE), IFERROR(VLOOKUP($A312,'Fusion ExDa'!$B$2:$D$16, 0,FALSE), IFERROR(VLOOKUP($A312,'Exetel ExDa'!$C$2:$N$14, 8,FALSE), IFERROR(VLOOKUP($A312,'Infinet ExDa'!$B$2:$E$14, 0,FALSE), "Not Found"))))))))</f>
        <v>Not Found</v>
      </c>
      <c r="J312" t="str">
        <f>IFERROR(VLOOKUP($A312,'AAPT ExDa'!$B$2:$U$99, 7,FALSE), IFERROR(VLOOKUP($A312,'ABB ExDa'!$A$2:$N$184, 2,FALSE), IFERROR(VLOOKUP($A312,'Vocus SIT ExDa'!$B$2:$J$173, 0,FALSE), IFERROR(VLOOKUP($A312,'Telstra ExDa'!$B$2:$K$310, 7,FALSE), IFERROR(VLOOKUP($A312,'Vocus RVC ExDa'!$C$2:$R$155, 2,FALSE), IFERROR(VLOOKUP($A312,'Fusion ExDa'!$B$2:$D$16, 3,FALSE), IFERROR(VLOOKUP($A312,'Exetel ExDa'!$C$2:$N$14, 0,FALSE), IFERROR(VLOOKUP($A312,'Infinet ExDa'!$B$2:$E$14, 0,FALSE), "Not Found"))))))))</f>
        <v>Not Found</v>
      </c>
      <c r="K312" t="str">
        <f>IFERROR(VLOOKUP($A312,'AAPT ExDa'!$B$2:$U$99, 12,FALSE), IFERROR(VLOOKUP($A312,'ABB ExDa'!$A$2:$N$184, 0,FALSE), IFERROR(VLOOKUP($A312,'Vocus SIT ExDa'!$B$2:$J$173, 0,FALSE), IFERROR(VLOOKUP($A312,'Telstra ExDa'!$B$2:$K$310, 0,FALSE), IFERROR(VLOOKUP($A312,'Vocus RVC ExDa'!$C$2:$R$155, 0,FALSE), IFERROR(VLOOKUP($A312,'Fusion ExDa'!$B$2:$D$16, 0,FALSE), IFERROR(VLOOKUP($A312,'Exetel ExDa'!$C$2:$N$14, 12,FALSE), IFERROR(VLOOKUP($A312,'Infinet ExDa'!$B$2:$E$14, 0,FALSE), "Not Found"))))))))</f>
        <v>Not Found</v>
      </c>
      <c r="L312" s="235" t="str">
        <f>IFERROR(VLOOKUP($A312,'AAPT ExDa'!$B$2:$U$99, 11,FALSE), IFERROR(VLOOKUP($A312,'ABB ExDa'!$A$2:$N$184, 9,FALSE), IFERROR(VLOOKUP($A312,'Vocus SIT ExDa'!$B$2:$J$173, 8,FALSE), IFERROR(VLOOKUP($A312,'Telstra ExDa'!$B$2:$K$310, 0,FALSE), IFERROR(VLOOKUP($A312,'Vocus RVC ExDa'!$C$2:$R$155, 0,FALSE), IFERROR(VLOOKUP($A312,'Fusion ExDa'!$B$2:$D$16, 0,FALSE), IFERROR(VLOOKUP($A312,'Exetel ExDa'!$C$2:$N$14, 9,FALSE), IFERROR(VLOOKUP($A312,'Infinet ExDa'!$B$2:$E$14, 0,FALSE), "Not Found"))))))))</f>
        <v>Not Found</v>
      </c>
      <c r="M312" s="234" t="str">
        <f>IFERROR(VLOOKUP($A312,'AAPT ExDa'!$B$2:$U$99, 0,FALSE), IFERROR(VLOOKUP($A312,'ABB ExDa'!$A$2:$N$184, 0,FALSE), IFERROR(VLOOKUP($A312,'Vocus SIT ExDa'!$B$2:$J$173, 0,FALSE), IFERROR(VLOOKUP($A312,'Telstra ExDa'!$B$2:$K$310, 0,FALSE), IFERROR(VLOOKUP($A312,'Vocus RVC ExDa'!$C$2:$R$155, 0,FALSE), IFERROR(VLOOKUP($A312,'Fusion ExDa'!$B$2:$D$16, 0,FALSE), IFERROR(VLOOKUP($A312,'Exetel ExDa'!$C$2:$N$14, 11,FALSE), IFERROR(VLOOKUP($A312,'Infinet ExDa'!$B$2:$E$14, 0,FALSE), "Not Found"))))))))</f>
        <v>Not Found</v>
      </c>
      <c r="N312" t="str">
        <f>IFERROR(VLOOKUP($A312,'AAPT ExDa'!$B$2:$U$99, 0,FALSE), IFERROR(VLOOKUP($A312,'ABB ExDa'!$A$2:$N$184, 13,FALSE), IFERROR(VLOOKUP($A312,'Vocus SIT ExDa'!$B$2:$J$173, 0,FALSE), IFERROR(VLOOKUP($A312,'Telstra ExDa'!$B$2:$K$310, 0,FALSE), IFERROR(VLOOKUP($A312,'Vocus RVC ExDa'!$C$2:$R$155, 0,FALSE), IFERROR(VLOOKUP($A312,'Fusion ExDa'!$B$2:$D$16, 0,FALSE), IFERROR(VLOOKUP($A312,'Exetel ExDa'!$C$2:$N$14, 0,FALSE), IFERROR(VLOOKUP($A312,'Infinet ExDa'!$B$2:$E$14, 0,FALSE), "Not Found"))))))))</f>
        <v>Not Found</v>
      </c>
    </row>
    <row r="313" spans="1:14">
      <c r="A313" t="str">
        <v>Action Smart Group</v>
      </c>
      <c r="B313" t="str">
        <f>IFERROR(VLOOKUP(A313,'Exetel ExDa'!$C$2:$N$14,4,FALSE),"No Data")</f>
        <v>No Data</v>
      </c>
      <c r="C313" t="str">
        <f>IFERROR(VLOOKUP(A313,'AAPT ExDa'!$B$2:$U$99, 2,FALSE), IFERROR(VLOOKUP(A313,'ABB ExDa'!$A$2:$N$184, 2,FALSE), IFERROR(VLOOKUP(A313,'Vocus SIT ExDa'!$B$2:$J$173, 7,FALSE), IFERROR(VLOOKUP(A313,'Telstra ExDa'!$B$2:$K$310, 2,FALSE), IFERROR(VLOOKUP(A313,'Vocus RVC ExDa'!$C$2:$R$155, 3,FALSE), IFERROR(VLOOKUP(A313,'Fusion ExDa'!$B$2:$D$16, 2,FALSE), IFERROR(VLOOKUP(A313,'Exetel ExDa'!$C$2:$N$14, 2,FALSE), IFERROR(VLOOKUP(A313,'Infinet ExDa'!$B$2:$E$14, 2,FALSE), "Not Found"))))))))</f>
        <v>37 access avenue, YATALA QLD 4208</v>
      </c>
      <c r="D313" t="str">
        <f>IFERROR(VLOOKUP($A313,'AAPT ExDa'!$B$2:$U$99, 15,FALSE), IFERROR(VLOOKUP($A313,'ABB ExDa'!$A$2:$N$184, 4,FALSE), IFERROR(VLOOKUP($A313,'Vocus SIT ExDa'!$B$2:$J$173, 5,FALSE), IFERROR(VLOOKUP($A313,'Telstra ExDa'!$B$2:$K$310, 8,FALSE), IFERROR(VLOOKUP($A313,'Vocus RVC ExDa'!$C$2:$R$155, 6,FALSE), IFERROR(VLOOKUP($A313,'Fusion ExDa'!$B$2:$D$16, 4,FALSE), IFERROR(VLOOKUP($A313,'Exetel ExDa'!$C$2:$N$14, 3,FALSE), IFERROR(VLOOKUP($A313,'Infinet ExDa'!$B$2:$E$14, 3,FALSE), "Not Found"))))))))</f>
        <v>Vocus SIT</v>
      </c>
      <c r="E313" t="str">
        <f>IFERROR(VLOOKUP($A313,'AAPT ExDa'!$B$2:$U$99, 3,FALSE), IFERROR(VLOOKUP($A313,'ABB ExDa'!$A$2:$N$184, 5,FALSE), IFERROR(VLOOKUP($A313,'Vocus SIT ExDa'!$B$2:$J$173, 2,FALSE), IFERROR(VLOOKUP($A313,'Telstra ExDa'!$B$2:$K$310, 4,FALSE), IFERROR(VLOOKUP($A313,'Vocus RVC ExDa'!$C$2:$R$155, 8,FALSE), IFERROR(VLOOKUP($A313,'Fusion ExDa'!$B$2:$D$16, 4,FALSE), IFERROR(VLOOKUP($A313,'Exetel ExDa'!$C$2:$N$14, 5,FALSE), IFERROR(VLOOKUP($A313,'Infinet ExDa'!$B$2:$E$14, 3,FALSE), "Not Found"))))))))</f>
        <v>Voice Service</v>
      </c>
      <c r="F313">
        <f>IFERROR(VLOOKUP($A313,'AAPT ExDa'!$B$2:$U$99, 4,FALSE), IFERROR(VLOOKUP($A313,'ABB ExDa'!$A$2:$N$184, 6,FALSE), IFERROR(VLOOKUP($A313,'Vocus SIT ExDa'!$B$2:$J$173, 3,FALSE), IFERROR(VLOOKUP($A313,'Telstra ExDa'!$B$2:$K$310, 5,FALSE), IFERROR(VLOOKUP($A313,'Vocus RVC ExDa'!$C$2:$R$155, 9,FALSE), IFERROR(VLOOKUP($A313,'Fusion ExDa'!$B$2:$D$16, 0,FALSE), IFERROR(VLOOKUP($A313,'Exetel ExDa'!$C$2:$N$14, 6,FALSE), IFERROR(VLOOKUP($A313,'Infinet ExDa'!$B$2:$E$14, 0,FALSE), "Not Found"))))))))</f>
        <v>0</v>
      </c>
      <c r="G313" t="str">
        <f>IFERROR(VLOOKUP($A313,'AAPT ExDa'!$B$2:$U$99, 5,FALSE), IFERROR(VLOOKUP($A313,'ABB ExDa'!$A$2:$N$184, 8,FALSE), IFERROR(VLOOKUP($A313,'Vocus SIT ExDa'!$B$2:$J$173, 6,FALSE), IFERROR(VLOOKUP($A313,'Telstra ExDa'!$B$2:$K$310, 0,FALSE), IFERROR(VLOOKUP($A313,'Vocus RVC ExDa'!$C$2:$R$155, 15,FALSE), IFERROR(VLOOKUP($A313,'Fusion ExDa'!$B$2:$D$16, 0,FALSE), IFERROR(VLOOKUP($A313,'Exetel ExDa'!$C$2:$N$14, 7,FALSE), IFERROR(VLOOKUP($A313,'Infinet ExDa'!$B$2:$E$14, 0,FALSE), "Not Found"))))))))</f>
        <v>Smile Tel (YATALA, QLD) - Vocus IP Tel [Action Smart Group]
Voice (5 Mbps) - 37 access avenue, YATALA QLD 4207</v>
      </c>
      <c r="H313" t="str">
        <f>IFERROR(VLOOKUP($A313,'AAPT ExDa'!$B$2:$U$99, 6,FALSE), IFERROR(VLOOKUP($A313,'ABB ExDa'!$A$2:$N$184, 0,FALSE), IFERROR(VLOOKUP($A313,'Vocus SIT ExDa'!$B$2:$J$173, 0,FALSE), IFERROR(VLOOKUP($A313,'Telstra ExDa'!$B$2:$K$310, 0,FALSE), IFERROR(VLOOKUP($A313,'Vocus RVC ExDa'!$C$2:$R$155, 16,FALSE), IFERROR(VLOOKUP($A313,'Fusion ExDa'!$B$2:$D$16, 0,FALSE), IFERROR(VLOOKUP($A313,'Exetel ExDa'!$C$2:$N$14, 0,FALSE), IFERROR(VLOOKUP($A313,'Infinet ExDa'!$B$2:$E$14, 0,FALSE), "Not Found"))))))))</f>
        <v>Not Found</v>
      </c>
      <c r="I313" t="str">
        <f>IFERROR(VLOOKUP($A313,'AAPT ExDa'!$B$2:$U$99, 0,FALSE), IFERROR(VLOOKUP($A313,'ABB ExDa'!$A$2:$N$184, 0,FALSE), IFERROR(VLOOKUP($A313,'Vocus SIT ExDa'!$B$2:$J$173, 0,FALSE), IFERROR(VLOOKUP($A313,'Telstra ExDa'!$B$2:$K$310, 0,FALSE), IFERROR(VLOOKUP($A313,'Vocus RVC ExDa'!$C$2:$R$155, 0,FALSE), IFERROR(VLOOKUP($A313,'Fusion ExDa'!$B$2:$D$16, 0,FALSE), IFERROR(VLOOKUP($A313,'Exetel ExDa'!$C$2:$N$14, 8,FALSE), IFERROR(VLOOKUP($A313,'Infinet ExDa'!$B$2:$E$14, 0,FALSE), "Not Found"))))))))</f>
        <v>Not Found</v>
      </c>
      <c r="J313" t="str">
        <f>IFERROR(VLOOKUP($A313,'AAPT ExDa'!$B$2:$U$99, 7,FALSE), IFERROR(VLOOKUP($A313,'ABB ExDa'!$A$2:$N$184, 2,FALSE), IFERROR(VLOOKUP($A313,'Vocus SIT ExDa'!$B$2:$J$173, 0,FALSE), IFERROR(VLOOKUP($A313,'Telstra ExDa'!$B$2:$K$310, 7,FALSE), IFERROR(VLOOKUP($A313,'Vocus RVC ExDa'!$C$2:$R$155, 2,FALSE), IFERROR(VLOOKUP($A313,'Fusion ExDa'!$B$2:$D$16, 3,FALSE), IFERROR(VLOOKUP($A313,'Exetel ExDa'!$C$2:$N$14, 0,FALSE), IFERROR(VLOOKUP($A313,'Infinet ExDa'!$B$2:$E$14, 0,FALSE), "Not Found"))))))))</f>
        <v>Not Found</v>
      </c>
      <c r="K313" t="str">
        <f>IFERROR(VLOOKUP($A313,'AAPT ExDa'!$B$2:$U$99, 12,FALSE), IFERROR(VLOOKUP($A313,'ABB ExDa'!$A$2:$N$184, 0,FALSE), IFERROR(VLOOKUP($A313,'Vocus SIT ExDa'!$B$2:$J$173, 0,FALSE), IFERROR(VLOOKUP($A313,'Telstra ExDa'!$B$2:$K$310, 0,FALSE), IFERROR(VLOOKUP($A313,'Vocus RVC ExDa'!$C$2:$R$155, 0,FALSE), IFERROR(VLOOKUP($A313,'Fusion ExDa'!$B$2:$D$16, 0,FALSE), IFERROR(VLOOKUP($A313,'Exetel ExDa'!$C$2:$N$14, 12,FALSE), IFERROR(VLOOKUP($A313,'Infinet ExDa'!$B$2:$E$14, 0,FALSE), "Not Found"))))))))</f>
        <v>Not Found</v>
      </c>
      <c r="L313" s="235" t="str">
        <f>IFERROR(VLOOKUP($A313,'AAPT ExDa'!$B$2:$U$99, 11,FALSE), IFERROR(VLOOKUP($A313,'ABB ExDa'!$A$2:$N$184, 9,FALSE), IFERROR(VLOOKUP($A313,'Vocus SIT ExDa'!$B$2:$J$173, 8,FALSE), IFERROR(VLOOKUP($A313,'Telstra ExDa'!$B$2:$K$310, 0,FALSE), IFERROR(VLOOKUP($A313,'Vocus RVC ExDa'!$C$2:$R$155, 0,FALSE), IFERROR(VLOOKUP($A313,'Fusion ExDa'!$B$2:$D$16, 0,FALSE), IFERROR(VLOOKUP($A313,'Exetel ExDa'!$C$2:$N$14, 9,FALSE), IFERROR(VLOOKUP($A313,'Infinet ExDa'!$B$2:$E$14, 0,FALSE), "Not Found"))))))))</f>
        <v>25/07/2023</v>
      </c>
      <c r="M313" s="234" t="str">
        <f>IFERROR(VLOOKUP($A313,'AAPT ExDa'!$B$2:$U$99, 0,FALSE), IFERROR(VLOOKUP($A313,'ABB ExDa'!$A$2:$N$184, 0,FALSE), IFERROR(VLOOKUP($A313,'Vocus SIT ExDa'!$B$2:$J$173, 0,FALSE), IFERROR(VLOOKUP($A313,'Telstra ExDa'!$B$2:$K$310, 0,FALSE), IFERROR(VLOOKUP($A313,'Vocus RVC ExDa'!$C$2:$R$155, 0,FALSE), IFERROR(VLOOKUP($A313,'Fusion ExDa'!$B$2:$D$16, 0,FALSE), IFERROR(VLOOKUP($A313,'Exetel ExDa'!$C$2:$N$14, 11,FALSE), IFERROR(VLOOKUP($A313,'Infinet ExDa'!$B$2:$E$14, 0,FALSE), "Not Found"))))))))</f>
        <v>Not Found</v>
      </c>
      <c r="N313" t="str">
        <f>IFERROR(VLOOKUP($A313,'AAPT ExDa'!$B$2:$U$99, 0,FALSE), IFERROR(VLOOKUP($A313,'ABB ExDa'!$A$2:$N$184, 13,FALSE), IFERROR(VLOOKUP($A313,'Vocus SIT ExDa'!$B$2:$J$173, 0,FALSE), IFERROR(VLOOKUP($A313,'Telstra ExDa'!$B$2:$K$310, 0,FALSE), IFERROR(VLOOKUP($A313,'Vocus RVC ExDa'!$C$2:$R$155, 0,FALSE), IFERROR(VLOOKUP($A313,'Fusion ExDa'!$B$2:$D$16, 0,FALSE), IFERROR(VLOOKUP($A313,'Exetel ExDa'!$C$2:$N$14, 0,FALSE), IFERROR(VLOOKUP($A313,'Infinet ExDa'!$B$2:$E$14, 0,FALSE), "Not Found"))))))))</f>
        <v>Not Found</v>
      </c>
    </row>
    <row r="314" spans="1:14">
      <c r="A314" t="str">
        <v>Branyan Early Learning Centre</v>
      </c>
      <c r="B314" t="str">
        <f>IFERROR(VLOOKUP(A314,'Exetel ExDa'!$C$2:$N$14,4,FALSE),"No Data")</f>
        <v>No Data</v>
      </c>
      <c r="C314" t="str">
        <f>IFERROR(VLOOKUP(A314,'AAPT ExDa'!$B$2:$U$99, 2,FALSE), IFERROR(VLOOKUP(A314,'ABB ExDa'!$A$2:$N$184, 2,FALSE), IFERROR(VLOOKUP(A314,'Vocus SIT ExDa'!$B$2:$J$173, 7,FALSE), IFERROR(VLOOKUP(A314,'Telstra ExDa'!$B$2:$K$310, 2,FALSE), IFERROR(VLOOKUP(A314,'Vocus RVC ExDa'!$C$2:$R$155, 3,FALSE), IFERROR(VLOOKUP(A314,'Fusion ExDa'!$B$2:$D$16, 2,FALSE), IFERROR(VLOOKUP(A314,'Exetel ExDa'!$C$2:$N$14, 2,FALSE), IFERROR(VLOOKUP(A314,'Infinet ExDa'!$B$2:$E$14, 2,FALSE), "Not Found"))))))))</f>
        <v>7 penny lane, BRANYAN QLD 4671</v>
      </c>
      <c r="D314" t="str">
        <f>IFERROR(VLOOKUP($A314,'AAPT ExDa'!$B$2:$U$99, 15,FALSE), IFERROR(VLOOKUP($A314,'ABB ExDa'!$A$2:$N$184, 4,FALSE), IFERROR(VLOOKUP($A314,'Vocus SIT ExDa'!$B$2:$J$173, 5,FALSE), IFERROR(VLOOKUP($A314,'Telstra ExDa'!$B$2:$K$310, 8,FALSE), IFERROR(VLOOKUP($A314,'Vocus RVC ExDa'!$C$2:$R$155, 6,FALSE), IFERROR(VLOOKUP($A314,'Fusion ExDa'!$B$2:$D$16, 4,FALSE), IFERROR(VLOOKUP($A314,'Exetel ExDa'!$C$2:$N$14, 3,FALSE), IFERROR(VLOOKUP($A314,'Infinet ExDa'!$B$2:$E$14, 3,FALSE), "Not Found"))))))))</f>
        <v>Vocus SIT</v>
      </c>
      <c r="E314" t="str">
        <f>IFERROR(VLOOKUP($A314,'AAPT ExDa'!$B$2:$U$99, 3,FALSE), IFERROR(VLOOKUP($A314,'ABB ExDa'!$A$2:$N$184, 5,FALSE), IFERROR(VLOOKUP($A314,'Vocus SIT ExDa'!$B$2:$J$173, 2,FALSE), IFERROR(VLOOKUP($A314,'Telstra ExDa'!$B$2:$K$310, 4,FALSE), IFERROR(VLOOKUP($A314,'Vocus RVC ExDa'!$C$2:$R$155, 8,FALSE), IFERROR(VLOOKUP($A314,'Fusion ExDa'!$B$2:$D$16, 4,FALSE), IFERROR(VLOOKUP($A314,'Exetel ExDa'!$C$2:$N$14, 5,FALSE), IFERROR(VLOOKUP($A314,'Infinet ExDa'!$B$2:$E$14, 3,FALSE), "Not Found"))))))))</f>
        <v>Voice Service</v>
      </c>
      <c r="F314">
        <f>IFERROR(VLOOKUP($A314,'AAPT ExDa'!$B$2:$U$99, 4,FALSE), IFERROR(VLOOKUP($A314,'ABB ExDa'!$A$2:$N$184, 6,FALSE), IFERROR(VLOOKUP($A314,'Vocus SIT ExDa'!$B$2:$J$173, 3,FALSE), IFERROR(VLOOKUP($A314,'Telstra ExDa'!$B$2:$K$310, 5,FALSE), IFERROR(VLOOKUP($A314,'Vocus RVC ExDa'!$C$2:$R$155, 9,FALSE), IFERROR(VLOOKUP($A314,'Fusion ExDa'!$B$2:$D$16, 0,FALSE), IFERROR(VLOOKUP($A314,'Exetel ExDa'!$C$2:$N$14, 6,FALSE), IFERROR(VLOOKUP($A314,'Infinet ExDa'!$B$2:$E$14, 0,FALSE), "Not Found"))))))))</f>
        <v>0</v>
      </c>
      <c r="G314" t="str">
        <f>IFERROR(VLOOKUP($A314,'AAPT ExDa'!$B$2:$U$99, 5,FALSE), IFERROR(VLOOKUP($A314,'ABB ExDa'!$A$2:$N$184, 8,FALSE), IFERROR(VLOOKUP($A314,'Vocus SIT ExDa'!$B$2:$J$173, 6,FALSE), IFERROR(VLOOKUP($A314,'Telstra ExDa'!$B$2:$K$310, 0,FALSE), IFERROR(VLOOKUP($A314,'Vocus RVC ExDa'!$C$2:$R$155, 15,FALSE), IFERROR(VLOOKUP($A314,'Fusion ExDa'!$B$2:$D$16, 0,FALSE), IFERROR(VLOOKUP($A314,'Exetel ExDa'!$C$2:$N$14, 7,FALSE), IFERROR(VLOOKUP($A314,'Infinet ExDa'!$B$2:$E$14, 0,FALSE), "Not Found"))))))))</f>
        <v>Smile Tel (BRANYAN, QLD) - Vocus IP Tel [Branyan Early Learning Centre]
	Voice (5 Mbps) - 7 penny lane, BRANYAN QLD 4670</v>
      </c>
      <c r="H314" t="str">
        <f>IFERROR(VLOOKUP($A314,'AAPT ExDa'!$B$2:$U$99, 6,FALSE), IFERROR(VLOOKUP($A314,'ABB ExDa'!$A$2:$N$184, 0,FALSE), IFERROR(VLOOKUP($A314,'Vocus SIT ExDa'!$B$2:$J$173, 0,FALSE), IFERROR(VLOOKUP($A314,'Telstra ExDa'!$B$2:$K$310, 0,FALSE), IFERROR(VLOOKUP($A314,'Vocus RVC ExDa'!$C$2:$R$155, 16,FALSE), IFERROR(VLOOKUP($A314,'Fusion ExDa'!$B$2:$D$16, 0,FALSE), IFERROR(VLOOKUP($A314,'Exetel ExDa'!$C$2:$N$14, 0,FALSE), IFERROR(VLOOKUP($A314,'Infinet ExDa'!$B$2:$E$14, 0,FALSE), "Not Found"))))))))</f>
        <v>Not Found</v>
      </c>
      <c r="I314" t="str">
        <f>IFERROR(VLOOKUP($A314,'AAPT ExDa'!$B$2:$U$99, 0,FALSE), IFERROR(VLOOKUP($A314,'ABB ExDa'!$A$2:$N$184, 0,FALSE), IFERROR(VLOOKUP($A314,'Vocus SIT ExDa'!$B$2:$J$173, 0,FALSE), IFERROR(VLOOKUP($A314,'Telstra ExDa'!$B$2:$K$310, 0,FALSE), IFERROR(VLOOKUP($A314,'Vocus RVC ExDa'!$C$2:$R$155, 0,FALSE), IFERROR(VLOOKUP($A314,'Fusion ExDa'!$B$2:$D$16, 0,FALSE), IFERROR(VLOOKUP($A314,'Exetel ExDa'!$C$2:$N$14, 8,FALSE), IFERROR(VLOOKUP($A314,'Infinet ExDa'!$B$2:$E$14, 0,FALSE), "Not Found"))))))))</f>
        <v>Not Found</v>
      </c>
      <c r="J314" t="str">
        <f>IFERROR(VLOOKUP($A314,'AAPT ExDa'!$B$2:$U$99, 7,FALSE), IFERROR(VLOOKUP($A314,'ABB ExDa'!$A$2:$N$184, 2,FALSE), IFERROR(VLOOKUP($A314,'Vocus SIT ExDa'!$B$2:$J$173, 0,FALSE), IFERROR(VLOOKUP($A314,'Telstra ExDa'!$B$2:$K$310, 7,FALSE), IFERROR(VLOOKUP($A314,'Vocus RVC ExDa'!$C$2:$R$155, 2,FALSE), IFERROR(VLOOKUP($A314,'Fusion ExDa'!$B$2:$D$16, 3,FALSE), IFERROR(VLOOKUP($A314,'Exetel ExDa'!$C$2:$N$14, 0,FALSE), IFERROR(VLOOKUP($A314,'Infinet ExDa'!$B$2:$E$14, 0,FALSE), "Not Found"))))))))</f>
        <v>Not Found</v>
      </c>
      <c r="K314" t="str">
        <f>IFERROR(VLOOKUP($A314,'AAPT ExDa'!$B$2:$U$99, 12,FALSE), IFERROR(VLOOKUP($A314,'ABB ExDa'!$A$2:$N$184, 0,FALSE), IFERROR(VLOOKUP($A314,'Vocus SIT ExDa'!$B$2:$J$173, 0,FALSE), IFERROR(VLOOKUP($A314,'Telstra ExDa'!$B$2:$K$310, 0,FALSE), IFERROR(VLOOKUP($A314,'Vocus RVC ExDa'!$C$2:$R$155, 0,FALSE), IFERROR(VLOOKUP($A314,'Fusion ExDa'!$B$2:$D$16, 0,FALSE), IFERROR(VLOOKUP($A314,'Exetel ExDa'!$C$2:$N$14, 12,FALSE), IFERROR(VLOOKUP($A314,'Infinet ExDa'!$B$2:$E$14, 0,FALSE), "Not Found"))))))))</f>
        <v>Not Found</v>
      </c>
      <c r="L314" s="235" t="str">
        <f>IFERROR(VLOOKUP($A314,'AAPT ExDa'!$B$2:$U$99, 11,FALSE), IFERROR(VLOOKUP($A314,'ABB ExDa'!$A$2:$N$184, 9,FALSE), IFERROR(VLOOKUP($A314,'Vocus SIT ExDa'!$B$2:$J$173, 8,FALSE), IFERROR(VLOOKUP($A314,'Telstra ExDa'!$B$2:$K$310, 0,FALSE), IFERROR(VLOOKUP($A314,'Vocus RVC ExDa'!$C$2:$R$155, 0,FALSE), IFERROR(VLOOKUP($A314,'Fusion ExDa'!$B$2:$D$16, 0,FALSE), IFERROR(VLOOKUP($A314,'Exetel ExDa'!$C$2:$N$14, 9,FALSE), IFERROR(VLOOKUP($A314,'Infinet ExDa'!$B$2:$E$14, 0,FALSE), "Not Found"))))))))</f>
        <v>18/05/2023</v>
      </c>
      <c r="M314" s="234" t="str">
        <f>IFERROR(VLOOKUP($A314,'AAPT ExDa'!$B$2:$U$99, 0,FALSE), IFERROR(VLOOKUP($A314,'ABB ExDa'!$A$2:$N$184, 0,FALSE), IFERROR(VLOOKUP($A314,'Vocus SIT ExDa'!$B$2:$J$173, 0,FALSE), IFERROR(VLOOKUP($A314,'Telstra ExDa'!$B$2:$K$310, 0,FALSE), IFERROR(VLOOKUP($A314,'Vocus RVC ExDa'!$C$2:$R$155, 0,FALSE), IFERROR(VLOOKUP($A314,'Fusion ExDa'!$B$2:$D$16, 0,FALSE), IFERROR(VLOOKUP($A314,'Exetel ExDa'!$C$2:$N$14, 11,FALSE), IFERROR(VLOOKUP($A314,'Infinet ExDa'!$B$2:$E$14, 0,FALSE), "Not Found"))))))))</f>
        <v>Not Found</v>
      </c>
      <c r="N314" t="str">
        <f>IFERROR(VLOOKUP($A314,'AAPT ExDa'!$B$2:$U$99, 0,FALSE), IFERROR(VLOOKUP($A314,'ABB ExDa'!$A$2:$N$184, 13,FALSE), IFERROR(VLOOKUP($A314,'Vocus SIT ExDa'!$B$2:$J$173, 0,FALSE), IFERROR(VLOOKUP($A314,'Telstra ExDa'!$B$2:$K$310, 0,FALSE), IFERROR(VLOOKUP($A314,'Vocus RVC ExDa'!$C$2:$R$155, 0,FALSE), IFERROR(VLOOKUP($A314,'Fusion ExDa'!$B$2:$D$16, 0,FALSE), IFERROR(VLOOKUP($A314,'Exetel ExDa'!$C$2:$N$14, 0,FALSE), IFERROR(VLOOKUP($A314,'Infinet ExDa'!$B$2:$E$14, 0,FALSE), "Not Found"))))))))</f>
        <v>Not Found</v>
      </c>
    </row>
    <row r="315" spans="1:14">
      <c r="A315">
        <v>0</v>
      </c>
      <c r="B315" t="str">
        <f>IFERROR(VLOOKUP(A315,'Exetel ExDa'!$C$2:$N$14,4,FALSE),"No Data")</f>
        <v>No Data</v>
      </c>
      <c r="C315" t="str">
        <f>IFERROR(VLOOKUP(A315,'AAPT ExDa'!$B$2:$U$99, 2,FALSE), IFERROR(VLOOKUP(A315,'ABB ExDa'!$A$2:$N$184, 2,FALSE), IFERROR(VLOOKUP(A315,'Vocus SIT ExDa'!$B$2:$J$173, 7,FALSE), IFERROR(VLOOKUP(A315,'Telstra ExDa'!$B$2:$K$310, 2,FALSE), IFERROR(VLOOKUP(A315,'Vocus RVC ExDa'!$C$2:$R$155, 3,FALSE), IFERROR(VLOOKUP(A315,'Fusion ExDa'!$B$2:$D$16, 2,FALSE), IFERROR(VLOOKUP(A315,'Exetel ExDa'!$C$2:$N$14, 2,FALSE), IFERROR(VLOOKUP(A315,'Infinet ExDa'!$B$2:$E$14, 2,FALSE), "Not Found"))))))))</f>
        <v>Not Found</v>
      </c>
      <c r="D315" t="str">
        <f>IFERROR(VLOOKUP($A315,'AAPT ExDa'!$B$2:$U$99, 15,FALSE), IFERROR(VLOOKUP($A315,'ABB ExDa'!$A$2:$N$184, 4,FALSE), IFERROR(VLOOKUP($A315,'Vocus SIT ExDa'!$B$2:$J$173, 5,FALSE), IFERROR(VLOOKUP($A315,'Telstra ExDa'!$B$2:$K$310, 8,FALSE), IFERROR(VLOOKUP($A315,'Vocus RVC ExDa'!$C$2:$R$155, 6,FALSE), IFERROR(VLOOKUP($A315,'Fusion ExDa'!$B$2:$D$16, 4,FALSE), IFERROR(VLOOKUP($A315,'Exetel ExDa'!$C$2:$N$14, 3,FALSE), IFERROR(VLOOKUP($A315,'Infinet ExDa'!$B$2:$E$14, 3,FALSE), "Not Found"))))))))</f>
        <v>Not Found</v>
      </c>
      <c r="E315" t="str">
        <f>IFERROR(VLOOKUP($A315,'AAPT ExDa'!$B$2:$U$99, 3,FALSE), IFERROR(VLOOKUP($A315,'ABB ExDa'!$A$2:$N$184, 5,FALSE), IFERROR(VLOOKUP($A315,'Vocus SIT ExDa'!$B$2:$J$173, 2,FALSE), IFERROR(VLOOKUP($A315,'Telstra ExDa'!$B$2:$K$310, 4,FALSE), IFERROR(VLOOKUP($A315,'Vocus RVC ExDa'!$C$2:$R$155, 8,FALSE), IFERROR(VLOOKUP($A315,'Fusion ExDa'!$B$2:$D$16, 4,FALSE), IFERROR(VLOOKUP($A315,'Exetel ExDa'!$C$2:$N$14, 5,FALSE), IFERROR(VLOOKUP($A315,'Infinet ExDa'!$B$2:$E$14, 3,FALSE), "Not Found"))))))))</f>
        <v>Not Found</v>
      </c>
      <c r="F315" t="str">
        <f>IFERROR(VLOOKUP($A315,'AAPT ExDa'!$B$2:$U$99, 4,FALSE), IFERROR(VLOOKUP($A315,'ABB ExDa'!$A$2:$N$184, 6,FALSE), IFERROR(VLOOKUP($A315,'Vocus SIT ExDa'!$B$2:$J$173, 3,FALSE), IFERROR(VLOOKUP($A315,'Telstra ExDa'!$B$2:$K$310, 5,FALSE), IFERROR(VLOOKUP($A315,'Vocus RVC ExDa'!$C$2:$R$155, 9,FALSE), IFERROR(VLOOKUP($A315,'Fusion ExDa'!$B$2:$D$16, 0,FALSE), IFERROR(VLOOKUP($A315,'Exetel ExDa'!$C$2:$N$14, 6,FALSE), IFERROR(VLOOKUP($A315,'Infinet ExDa'!$B$2:$E$14, 0,FALSE), "Not Found"))))))))</f>
        <v>Not Found</v>
      </c>
      <c r="G315" t="str">
        <f>IFERROR(VLOOKUP($A315,'AAPT ExDa'!$B$2:$U$99, 5,FALSE), IFERROR(VLOOKUP($A315,'ABB ExDa'!$A$2:$N$184, 8,FALSE), IFERROR(VLOOKUP($A315,'Vocus SIT ExDa'!$B$2:$J$173, 6,FALSE), IFERROR(VLOOKUP($A315,'Telstra ExDa'!$B$2:$K$310, 0,FALSE), IFERROR(VLOOKUP($A315,'Vocus RVC ExDa'!$C$2:$R$155, 15,FALSE), IFERROR(VLOOKUP($A315,'Fusion ExDa'!$B$2:$D$16, 0,FALSE), IFERROR(VLOOKUP($A315,'Exetel ExDa'!$C$2:$N$14, 7,FALSE), IFERROR(VLOOKUP($A315,'Infinet ExDa'!$B$2:$E$14, 0,FALSE), "Not Found"))))))))</f>
        <v>Not Found</v>
      </c>
      <c r="H315" t="str">
        <f>IFERROR(VLOOKUP($A315,'AAPT ExDa'!$B$2:$U$99, 6,FALSE), IFERROR(VLOOKUP($A315,'ABB ExDa'!$A$2:$N$184, 0,FALSE), IFERROR(VLOOKUP($A315,'Vocus SIT ExDa'!$B$2:$J$173, 0,FALSE), IFERROR(VLOOKUP($A315,'Telstra ExDa'!$B$2:$K$310, 0,FALSE), IFERROR(VLOOKUP($A315,'Vocus RVC ExDa'!$C$2:$R$155, 16,FALSE), IFERROR(VLOOKUP($A315,'Fusion ExDa'!$B$2:$D$16, 0,FALSE), IFERROR(VLOOKUP($A315,'Exetel ExDa'!$C$2:$N$14, 0,FALSE), IFERROR(VLOOKUP($A315,'Infinet ExDa'!$B$2:$E$14, 0,FALSE), "Not Found"))))))))</f>
        <v>Not Found</v>
      </c>
      <c r="I315" t="str">
        <f>IFERROR(VLOOKUP($A315,'AAPT ExDa'!$B$2:$U$99, 0,FALSE), IFERROR(VLOOKUP($A315,'ABB ExDa'!$A$2:$N$184, 0,FALSE), IFERROR(VLOOKUP($A315,'Vocus SIT ExDa'!$B$2:$J$173, 0,FALSE), IFERROR(VLOOKUP($A315,'Telstra ExDa'!$B$2:$K$310, 0,FALSE), IFERROR(VLOOKUP($A315,'Vocus RVC ExDa'!$C$2:$R$155, 0,FALSE), IFERROR(VLOOKUP($A315,'Fusion ExDa'!$B$2:$D$16, 0,FALSE), IFERROR(VLOOKUP($A315,'Exetel ExDa'!$C$2:$N$14, 8,FALSE), IFERROR(VLOOKUP($A315,'Infinet ExDa'!$B$2:$E$14, 0,FALSE), "Not Found"))))))))</f>
        <v>Not Found</v>
      </c>
      <c r="J315" t="str">
        <f>IFERROR(VLOOKUP($A315,'AAPT ExDa'!$B$2:$U$99, 7,FALSE), IFERROR(VLOOKUP($A315,'ABB ExDa'!$A$2:$N$184, 2,FALSE), IFERROR(VLOOKUP($A315,'Vocus SIT ExDa'!$B$2:$J$173, 0,FALSE), IFERROR(VLOOKUP($A315,'Telstra ExDa'!$B$2:$K$310, 7,FALSE), IFERROR(VLOOKUP($A315,'Vocus RVC ExDa'!$C$2:$R$155, 2,FALSE), IFERROR(VLOOKUP($A315,'Fusion ExDa'!$B$2:$D$16, 3,FALSE), IFERROR(VLOOKUP($A315,'Exetel ExDa'!$C$2:$N$14, 0,FALSE), IFERROR(VLOOKUP($A315,'Infinet ExDa'!$B$2:$E$14, 0,FALSE), "Not Found"))))))))</f>
        <v>Not Found</v>
      </c>
      <c r="K315" t="str">
        <f>IFERROR(VLOOKUP($A315,'AAPT ExDa'!$B$2:$U$99, 12,FALSE), IFERROR(VLOOKUP($A315,'ABB ExDa'!$A$2:$N$184, 0,FALSE), IFERROR(VLOOKUP($A315,'Vocus SIT ExDa'!$B$2:$J$173, 0,FALSE), IFERROR(VLOOKUP($A315,'Telstra ExDa'!$B$2:$K$310, 0,FALSE), IFERROR(VLOOKUP($A315,'Vocus RVC ExDa'!$C$2:$R$155, 0,FALSE), IFERROR(VLOOKUP($A315,'Fusion ExDa'!$B$2:$D$16, 0,FALSE), IFERROR(VLOOKUP($A315,'Exetel ExDa'!$C$2:$N$14, 12,FALSE), IFERROR(VLOOKUP($A315,'Infinet ExDa'!$B$2:$E$14, 0,FALSE), "Not Found"))))))))</f>
        <v>Not Found</v>
      </c>
      <c r="L315" s="235" t="str">
        <f>IFERROR(VLOOKUP($A315,'AAPT ExDa'!$B$2:$U$99, 11,FALSE), IFERROR(VLOOKUP($A315,'ABB ExDa'!$A$2:$N$184, 9,FALSE), IFERROR(VLOOKUP($A315,'Vocus SIT ExDa'!$B$2:$J$173, 8,FALSE), IFERROR(VLOOKUP($A315,'Telstra ExDa'!$B$2:$K$310, 0,FALSE), IFERROR(VLOOKUP($A315,'Vocus RVC ExDa'!$C$2:$R$155, 0,FALSE), IFERROR(VLOOKUP($A315,'Fusion ExDa'!$B$2:$D$16, 0,FALSE), IFERROR(VLOOKUP($A315,'Exetel ExDa'!$C$2:$N$14, 9,FALSE), IFERROR(VLOOKUP($A315,'Infinet ExDa'!$B$2:$E$14, 0,FALSE), "Not Found"))))))))</f>
        <v>Not Found</v>
      </c>
      <c r="M315" s="234" t="str">
        <f>IFERROR(VLOOKUP($A315,'AAPT ExDa'!$B$2:$U$99, 0,FALSE), IFERROR(VLOOKUP($A315,'ABB ExDa'!$A$2:$N$184, 0,FALSE), IFERROR(VLOOKUP($A315,'Vocus SIT ExDa'!$B$2:$J$173, 0,FALSE), IFERROR(VLOOKUP($A315,'Telstra ExDa'!$B$2:$K$310, 0,FALSE), IFERROR(VLOOKUP($A315,'Vocus RVC ExDa'!$C$2:$R$155, 0,FALSE), IFERROR(VLOOKUP($A315,'Fusion ExDa'!$B$2:$D$16, 0,FALSE), IFERROR(VLOOKUP($A315,'Exetel ExDa'!$C$2:$N$14, 11,FALSE), IFERROR(VLOOKUP($A315,'Infinet ExDa'!$B$2:$E$14, 0,FALSE), "Not Found"))))))))</f>
        <v>Not Found</v>
      </c>
      <c r="N315" t="str">
        <f>IFERROR(VLOOKUP($A315,'AAPT ExDa'!$B$2:$U$99, 0,FALSE), IFERROR(VLOOKUP($A315,'ABB ExDa'!$A$2:$N$184, 13,FALSE), IFERROR(VLOOKUP($A315,'Vocus SIT ExDa'!$B$2:$J$173, 0,FALSE), IFERROR(VLOOKUP($A315,'Telstra ExDa'!$B$2:$K$310, 0,FALSE), IFERROR(VLOOKUP($A315,'Vocus RVC ExDa'!$C$2:$R$155, 0,FALSE), IFERROR(VLOOKUP($A315,'Fusion ExDa'!$B$2:$D$16, 0,FALSE), IFERROR(VLOOKUP($A315,'Exetel ExDa'!$C$2:$N$14, 0,FALSE), IFERROR(VLOOKUP($A315,'Infinet ExDa'!$B$2:$E$14, 0,FALSE), "Not Found"))))))))</f>
        <v>Not Found</v>
      </c>
    </row>
    <row r="316" spans="1:14">
      <c r="A316" t="str">
        <v>Wattlestone</v>
      </c>
      <c r="B316" t="str">
        <f>IFERROR(VLOOKUP(A316,'Exetel ExDa'!$C$2:$N$14,4,FALSE),"No Data")</f>
        <v>No Data</v>
      </c>
      <c r="C316" t="str">
        <f>IFERROR(VLOOKUP(A316,'AAPT ExDa'!$B$2:$U$99, 2,FALSE), IFERROR(VLOOKUP(A316,'ABB ExDa'!$A$2:$N$184, 2,FALSE), IFERROR(VLOOKUP(A316,'Vocus SIT ExDa'!$B$2:$J$173, 7,FALSE), IFERROR(VLOOKUP(A316,'Telstra ExDa'!$B$2:$K$310, 2,FALSE), IFERROR(VLOOKUP(A316,'Vocus RVC ExDa'!$C$2:$R$155, 3,FALSE), IFERROR(VLOOKUP(A316,'Fusion ExDa'!$B$2:$D$16, 2,FALSE), IFERROR(VLOOKUP(A316,'Exetel ExDa'!$C$2:$N$14, 2,FALSE), IFERROR(VLOOKUP(A316,'Infinet ExDa'!$B$2:$E$14, 2,FALSE), "Not Found"))))))))</f>
        <v>16 MARIE STREET, MILTON QLD 4065</v>
      </c>
      <c r="D316" t="str">
        <f>IFERROR(VLOOKUP($A316,'AAPT ExDa'!$B$2:$U$99, 15,FALSE), IFERROR(VLOOKUP($A316,'ABB ExDa'!$A$2:$N$184, 4,FALSE), IFERROR(VLOOKUP($A316,'Vocus SIT ExDa'!$B$2:$J$173, 5,FALSE), IFERROR(VLOOKUP($A316,'Telstra ExDa'!$B$2:$K$310, 8,FALSE), IFERROR(VLOOKUP($A316,'Vocus RVC ExDa'!$C$2:$R$155, 6,FALSE), IFERROR(VLOOKUP($A316,'Fusion ExDa'!$B$2:$D$16, 4,FALSE), IFERROR(VLOOKUP($A316,'Exetel ExDa'!$C$2:$N$14, 3,FALSE), IFERROR(VLOOKUP($A316,'Infinet ExDa'!$B$2:$E$14, 3,FALSE), "Not Found"))))))))</f>
        <v>Vocus SIT</v>
      </c>
      <c r="E316" t="str">
        <f>IFERROR(VLOOKUP($A316,'AAPT ExDa'!$B$2:$U$99, 3,FALSE), IFERROR(VLOOKUP($A316,'ABB ExDa'!$A$2:$N$184, 5,FALSE), IFERROR(VLOOKUP($A316,'Vocus SIT ExDa'!$B$2:$J$173, 2,FALSE), IFERROR(VLOOKUP($A316,'Telstra ExDa'!$B$2:$K$310, 4,FALSE), IFERROR(VLOOKUP($A316,'Vocus RVC ExDa'!$C$2:$R$155, 8,FALSE), IFERROR(VLOOKUP($A316,'Fusion ExDa'!$B$2:$D$16, 4,FALSE), IFERROR(VLOOKUP($A316,'Exetel ExDa'!$C$2:$N$14, 5,FALSE), IFERROR(VLOOKUP($A316,'Infinet ExDa'!$B$2:$E$14, 3,FALSE), "Not Found"))))))))</f>
        <v>Voice Service</v>
      </c>
      <c r="F316">
        <f>IFERROR(VLOOKUP($A316,'AAPT ExDa'!$B$2:$U$99, 4,FALSE), IFERROR(VLOOKUP($A316,'ABB ExDa'!$A$2:$N$184, 6,FALSE), IFERROR(VLOOKUP($A316,'Vocus SIT ExDa'!$B$2:$J$173, 3,FALSE), IFERROR(VLOOKUP($A316,'Telstra ExDa'!$B$2:$K$310, 5,FALSE), IFERROR(VLOOKUP($A316,'Vocus RVC ExDa'!$C$2:$R$155, 9,FALSE), IFERROR(VLOOKUP($A316,'Fusion ExDa'!$B$2:$D$16, 0,FALSE), IFERROR(VLOOKUP($A316,'Exetel ExDa'!$C$2:$N$14, 6,FALSE), IFERROR(VLOOKUP($A316,'Infinet ExDa'!$B$2:$E$14, 0,FALSE), "Not Found"))))))))</f>
        <v>0</v>
      </c>
      <c r="G316" t="str">
        <f>IFERROR(VLOOKUP($A316,'AAPT ExDa'!$B$2:$U$99, 5,FALSE), IFERROR(VLOOKUP($A316,'ABB ExDa'!$A$2:$N$184, 8,FALSE), IFERROR(VLOOKUP($A316,'Vocus SIT ExDa'!$B$2:$J$173, 6,FALSE), IFERROR(VLOOKUP($A316,'Telstra ExDa'!$B$2:$K$310, 0,FALSE), IFERROR(VLOOKUP($A316,'Vocus RVC ExDa'!$C$2:$R$155, 15,FALSE), IFERROR(VLOOKUP($A316,'Fusion ExDa'!$B$2:$D$16, 0,FALSE), IFERROR(VLOOKUP($A316,'Exetel ExDa'!$C$2:$N$14, 7,FALSE), IFERROR(VLOOKUP($A316,'Infinet ExDa'!$B$2:$E$14, 0,FALSE), "Not Found"))))))))</f>
        <v>Smile Tel (MILTON, QLD) - Vocus IP Tel [Wattlestone]
IP Tel Standard (Reseller)
Voice (5 Mbps) - 16 MARIE STREET, MILTON QLD 4064</v>
      </c>
      <c r="H316" t="str">
        <f>IFERROR(VLOOKUP($A316,'AAPT ExDa'!$B$2:$U$99, 6,FALSE), IFERROR(VLOOKUP($A316,'ABB ExDa'!$A$2:$N$184, 0,FALSE), IFERROR(VLOOKUP($A316,'Vocus SIT ExDa'!$B$2:$J$173, 0,FALSE), IFERROR(VLOOKUP($A316,'Telstra ExDa'!$B$2:$K$310, 0,FALSE), IFERROR(VLOOKUP($A316,'Vocus RVC ExDa'!$C$2:$R$155, 16,FALSE), IFERROR(VLOOKUP($A316,'Fusion ExDa'!$B$2:$D$16, 0,FALSE), IFERROR(VLOOKUP($A316,'Exetel ExDa'!$C$2:$N$14, 0,FALSE), IFERROR(VLOOKUP($A316,'Infinet ExDa'!$B$2:$E$14, 0,FALSE), "Not Found"))))))))</f>
        <v>Not Found</v>
      </c>
      <c r="I316" t="str">
        <f>IFERROR(VLOOKUP($A316,'AAPT ExDa'!$B$2:$U$99, 0,FALSE), IFERROR(VLOOKUP($A316,'ABB ExDa'!$A$2:$N$184, 0,FALSE), IFERROR(VLOOKUP($A316,'Vocus SIT ExDa'!$B$2:$J$173, 0,FALSE), IFERROR(VLOOKUP($A316,'Telstra ExDa'!$B$2:$K$310, 0,FALSE), IFERROR(VLOOKUP($A316,'Vocus RVC ExDa'!$C$2:$R$155, 0,FALSE), IFERROR(VLOOKUP($A316,'Fusion ExDa'!$B$2:$D$16, 0,FALSE), IFERROR(VLOOKUP($A316,'Exetel ExDa'!$C$2:$N$14, 8,FALSE), IFERROR(VLOOKUP($A316,'Infinet ExDa'!$B$2:$E$14, 0,FALSE), "Not Found"))))))))</f>
        <v>Not Found</v>
      </c>
      <c r="J316" t="str">
        <f>IFERROR(VLOOKUP($A316,'AAPT ExDa'!$B$2:$U$99, 7,FALSE), IFERROR(VLOOKUP($A316,'ABB ExDa'!$A$2:$N$184, 2,FALSE), IFERROR(VLOOKUP($A316,'Vocus SIT ExDa'!$B$2:$J$173, 0,FALSE), IFERROR(VLOOKUP($A316,'Telstra ExDa'!$B$2:$K$310, 7,FALSE), IFERROR(VLOOKUP($A316,'Vocus RVC ExDa'!$C$2:$R$155, 2,FALSE), IFERROR(VLOOKUP($A316,'Fusion ExDa'!$B$2:$D$16, 3,FALSE), IFERROR(VLOOKUP($A316,'Exetel ExDa'!$C$2:$N$14, 0,FALSE), IFERROR(VLOOKUP($A316,'Infinet ExDa'!$B$2:$E$14, 0,FALSE), "Not Found"))))))))</f>
        <v>Not Found</v>
      </c>
      <c r="K316" t="str">
        <f>IFERROR(VLOOKUP($A316,'AAPT ExDa'!$B$2:$U$99, 12,FALSE), IFERROR(VLOOKUP($A316,'ABB ExDa'!$A$2:$N$184, 0,FALSE), IFERROR(VLOOKUP($A316,'Vocus SIT ExDa'!$B$2:$J$173, 0,FALSE), IFERROR(VLOOKUP($A316,'Telstra ExDa'!$B$2:$K$310, 0,FALSE), IFERROR(VLOOKUP($A316,'Vocus RVC ExDa'!$C$2:$R$155, 0,FALSE), IFERROR(VLOOKUP($A316,'Fusion ExDa'!$B$2:$D$16, 0,FALSE), IFERROR(VLOOKUP($A316,'Exetel ExDa'!$C$2:$N$14, 12,FALSE), IFERROR(VLOOKUP($A316,'Infinet ExDa'!$B$2:$E$14, 0,FALSE), "Not Found"))))))))</f>
        <v>Not Found</v>
      </c>
      <c r="L316" s="235" t="str">
        <f>IFERROR(VLOOKUP($A316,'AAPT ExDa'!$B$2:$U$99, 11,FALSE), IFERROR(VLOOKUP($A316,'ABB ExDa'!$A$2:$N$184, 9,FALSE), IFERROR(VLOOKUP($A316,'Vocus SIT ExDa'!$B$2:$J$173, 8,FALSE), IFERROR(VLOOKUP($A316,'Telstra ExDa'!$B$2:$K$310, 0,FALSE), IFERROR(VLOOKUP($A316,'Vocus RVC ExDa'!$C$2:$R$155, 0,FALSE), IFERROR(VLOOKUP($A316,'Fusion ExDa'!$B$2:$D$16, 0,FALSE), IFERROR(VLOOKUP($A316,'Exetel ExDa'!$C$2:$N$14, 9,FALSE), IFERROR(VLOOKUP($A316,'Infinet ExDa'!$B$2:$E$14, 0,FALSE), "Not Found"))))))))</f>
        <v>13/04/2023</v>
      </c>
      <c r="M316" s="234" t="str">
        <f>IFERROR(VLOOKUP($A316,'AAPT ExDa'!$B$2:$U$99, 0,FALSE), IFERROR(VLOOKUP($A316,'ABB ExDa'!$A$2:$N$184, 0,FALSE), IFERROR(VLOOKUP($A316,'Vocus SIT ExDa'!$B$2:$J$173, 0,FALSE), IFERROR(VLOOKUP($A316,'Telstra ExDa'!$B$2:$K$310, 0,FALSE), IFERROR(VLOOKUP($A316,'Vocus RVC ExDa'!$C$2:$R$155, 0,FALSE), IFERROR(VLOOKUP($A316,'Fusion ExDa'!$B$2:$D$16, 0,FALSE), IFERROR(VLOOKUP($A316,'Exetel ExDa'!$C$2:$N$14, 11,FALSE), IFERROR(VLOOKUP($A316,'Infinet ExDa'!$B$2:$E$14, 0,FALSE), "Not Found"))))))))</f>
        <v>Not Found</v>
      </c>
      <c r="N316" t="str">
        <f>IFERROR(VLOOKUP($A316,'AAPT ExDa'!$B$2:$U$99, 0,FALSE), IFERROR(VLOOKUP($A316,'ABB ExDa'!$A$2:$N$184, 13,FALSE), IFERROR(VLOOKUP($A316,'Vocus SIT ExDa'!$B$2:$J$173, 0,FALSE), IFERROR(VLOOKUP($A316,'Telstra ExDa'!$B$2:$K$310, 0,FALSE), IFERROR(VLOOKUP($A316,'Vocus RVC ExDa'!$C$2:$R$155, 0,FALSE), IFERROR(VLOOKUP($A316,'Fusion ExDa'!$B$2:$D$16, 0,FALSE), IFERROR(VLOOKUP($A316,'Exetel ExDa'!$C$2:$N$14, 0,FALSE), IFERROR(VLOOKUP($A316,'Infinet ExDa'!$B$2:$E$14, 0,FALSE), "Not Found"))))))))</f>
        <v>Not Found</v>
      </c>
    </row>
    <row r="317" spans="1:14">
      <c r="A317" t="str">
        <v>Coolum at the Beach</v>
      </c>
      <c r="B317" t="str">
        <f>IFERROR(VLOOKUP(A317,'Exetel ExDa'!$C$2:$N$14,4,FALSE),"No Data")</f>
        <v>No Data</v>
      </c>
      <c r="C317" t="str">
        <f>IFERROR(VLOOKUP(A317,'AAPT ExDa'!$B$2:$U$99, 2,FALSE), IFERROR(VLOOKUP(A317,'ABB ExDa'!$A$2:$N$184, 2,FALSE), IFERROR(VLOOKUP(A317,'Vocus SIT ExDa'!$B$2:$J$173, 7,FALSE), IFERROR(VLOOKUP(A317,'Telstra ExDa'!$B$2:$K$310, 2,FALSE), IFERROR(VLOOKUP(A317,'Vocus RVC ExDa'!$C$2:$R$155, 3,FALSE), IFERROR(VLOOKUP(A317,'Fusion ExDa'!$B$2:$D$16, 2,FALSE), IFERROR(VLOOKUP(A317,'Exetel ExDa'!$C$2:$N$14, 2,FALSE), IFERROR(VLOOKUP(A317,'Infinet ExDa'!$B$2:$E$14, 2,FALSE), "Not Found"))))))))</f>
        <v>2 Margaret Street, Coolum Beach Qld 4573 Australia</v>
      </c>
      <c r="D317" t="str">
        <f>IFERROR(VLOOKUP($A317,'AAPT ExDa'!$B$2:$U$99, 15,FALSE), IFERROR(VLOOKUP($A317,'ABB ExDa'!$A$2:$N$184, 4,FALSE), IFERROR(VLOOKUP($A317,'Vocus SIT ExDa'!$B$2:$J$173, 5,FALSE), IFERROR(VLOOKUP($A317,'Telstra ExDa'!$B$2:$K$310, 8,FALSE), IFERROR(VLOOKUP($A317,'Vocus RVC ExDa'!$C$2:$R$155, 6,FALSE), IFERROR(VLOOKUP($A317,'Fusion ExDa'!$B$2:$D$16, 4,FALSE), IFERROR(VLOOKUP($A317,'Exetel ExDa'!$C$2:$N$14, 3,FALSE), IFERROR(VLOOKUP($A317,'Infinet ExDa'!$B$2:$E$14, 3,FALSE), "Not Found"))))))))</f>
        <v>Vocus SIT</v>
      </c>
      <c r="E317" t="str">
        <f>IFERROR(VLOOKUP($A317,'AAPT ExDa'!$B$2:$U$99, 3,FALSE), IFERROR(VLOOKUP($A317,'ABB ExDa'!$A$2:$N$184, 5,FALSE), IFERROR(VLOOKUP($A317,'Vocus SIT ExDa'!$B$2:$J$173, 2,FALSE), IFERROR(VLOOKUP($A317,'Telstra ExDa'!$B$2:$K$310, 4,FALSE), IFERROR(VLOOKUP($A317,'Vocus RVC ExDa'!$C$2:$R$155, 8,FALSE), IFERROR(VLOOKUP($A317,'Fusion ExDa'!$B$2:$D$16, 4,FALSE), IFERROR(VLOOKUP($A317,'Exetel ExDa'!$C$2:$N$14, 5,FALSE), IFERROR(VLOOKUP($A317,'Infinet ExDa'!$B$2:$E$14, 3,FALSE), "Not Found"))))))))</f>
        <v>Vocus Business Unlimited (AUD)</v>
      </c>
      <c r="F317">
        <f>IFERROR(VLOOKUP($A317,'AAPT ExDa'!$B$2:$U$99, 4,FALSE), IFERROR(VLOOKUP($A317,'ABB ExDa'!$A$2:$N$184, 6,FALSE), IFERROR(VLOOKUP($A317,'Vocus SIT ExDa'!$B$2:$J$173, 3,FALSE), IFERROR(VLOOKUP($A317,'Telstra ExDa'!$B$2:$K$310, 5,FALSE), IFERROR(VLOOKUP($A317,'Vocus RVC ExDa'!$C$2:$R$155, 9,FALSE), IFERROR(VLOOKUP($A317,'Fusion ExDa'!$B$2:$D$16, 0,FALSE), IFERROR(VLOOKUP($A317,'Exetel ExDa'!$C$2:$N$14, 6,FALSE), IFERROR(VLOOKUP($A317,'Infinet ExDa'!$B$2:$E$14, 0,FALSE), "Not Found"))))))))</f>
        <v>0</v>
      </c>
      <c r="G317" t="str">
        <f>IFERROR(VLOOKUP($A317,'AAPT ExDa'!$B$2:$U$99, 5,FALSE), IFERROR(VLOOKUP($A317,'ABB ExDa'!$A$2:$N$184, 8,FALSE), IFERROR(VLOOKUP($A317,'Vocus SIT ExDa'!$B$2:$J$173, 6,FALSE), IFERROR(VLOOKUP($A317,'Telstra ExDa'!$B$2:$K$310, 0,FALSE), IFERROR(VLOOKUP($A317,'Vocus RVC ExDa'!$C$2:$R$155, 15,FALSE), IFERROR(VLOOKUP($A317,'Fusion ExDa'!$B$2:$D$16, 0,FALSE), IFERROR(VLOOKUP($A317,'Exetel ExDa'!$C$2:$N$14, 7,FALSE), IFERROR(VLOOKUP($A317,'Infinet ExDa'!$B$2:$E$14, 0,FALSE), "Not Found"))))))))</f>
        <v>1000 mbps Vocus Business Unlimited
2 Margaret Street, Coolum Beach Qld 4573 Australia</v>
      </c>
      <c r="H317" t="str">
        <f>IFERROR(VLOOKUP($A317,'AAPT ExDa'!$B$2:$U$99, 6,FALSE), IFERROR(VLOOKUP($A317,'ABB ExDa'!$A$2:$N$184, 0,FALSE), IFERROR(VLOOKUP($A317,'Vocus SIT ExDa'!$B$2:$J$173, 0,FALSE), IFERROR(VLOOKUP($A317,'Telstra ExDa'!$B$2:$K$310, 0,FALSE), IFERROR(VLOOKUP($A317,'Vocus RVC ExDa'!$C$2:$R$155, 16,FALSE), IFERROR(VLOOKUP($A317,'Fusion ExDa'!$B$2:$D$16, 0,FALSE), IFERROR(VLOOKUP($A317,'Exetel ExDa'!$C$2:$N$14, 0,FALSE), IFERROR(VLOOKUP($A317,'Infinet ExDa'!$B$2:$E$14, 0,FALSE), "Not Found"))))))))</f>
        <v>Not Found</v>
      </c>
      <c r="I317" t="str">
        <f>IFERROR(VLOOKUP($A317,'AAPT ExDa'!$B$2:$U$99, 0,FALSE), IFERROR(VLOOKUP($A317,'ABB ExDa'!$A$2:$N$184, 0,FALSE), IFERROR(VLOOKUP($A317,'Vocus SIT ExDa'!$B$2:$J$173, 0,FALSE), IFERROR(VLOOKUP($A317,'Telstra ExDa'!$B$2:$K$310, 0,FALSE), IFERROR(VLOOKUP($A317,'Vocus RVC ExDa'!$C$2:$R$155, 0,FALSE), IFERROR(VLOOKUP($A317,'Fusion ExDa'!$B$2:$D$16, 0,FALSE), IFERROR(VLOOKUP($A317,'Exetel ExDa'!$C$2:$N$14, 8,FALSE), IFERROR(VLOOKUP($A317,'Infinet ExDa'!$B$2:$E$14, 0,FALSE), "Not Found"))))))))</f>
        <v>Not Found</v>
      </c>
      <c r="J317" t="str">
        <f>IFERROR(VLOOKUP($A317,'AAPT ExDa'!$B$2:$U$99, 7,FALSE), IFERROR(VLOOKUP($A317,'ABB ExDa'!$A$2:$N$184, 2,FALSE), IFERROR(VLOOKUP($A317,'Vocus SIT ExDa'!$B$2:$J$173, 0,FALSE), IFERROR(VLOOKUP($A317,'Telstra ExDa'!$B$2:$K$310, 7,FALSE), IFERROR(VLOOKUP($A317,'Vocus RVC ExDa'!$C$2:$R$155, 2,FALSE), IFERROR(VLOOKUP($A317,'Fusion ExDa'!$B$2:$D$16, 3,FALSE), IFERROR(VLOOKUP($A317,'Exetel ExDa'!$C$2:$N$14, 0,FALSE), IFERROR(VLOOKUP($A317,'Infinet ExDa'!$B$2:$E$14, 0,FALSE), "Not Found"))))))))</f>
        <v>Not Found</v>
      </c>
      <c r="K317" t="str">
        <f>IFERROR(VLOOKUP($A317,'AAPT ExDa'!$B$2:$U$99, 12,FALSE), IFERROR(VLOOKUP($A317,'ABB ExDa'!$A$2:$N$184, 0,FALSE), IFERROR(VLOOKUP($A317,'Vocus SIT ExDa'!$B$2:$J$173, 0,FALSE), IFERROR(VLOOKUP($A317,'Telstra ExDa'!$B$2:$K$310, 0,FALSE), IFERROR(VLOOKUP($A317,'Vocus RVC ExDa'!$C$2:$R$155, 0,FALSE), IFERROR(VLOOKUP($A317,'Fusion ExDa'!$B$2:$D$16, 0,FALSE), IFERROR(VLOOKUP($A317,'Exetel ExDa'!$C$2:$N$14, 12,FALSE), IFERROR(VLOOKUP($A317,'Infinet ExDa'!$B$2:$E$14, 0,FALSE), "Not Found"))))))))</f>
        <v>Not Found</v>
      </c>
      <c r="L317" s="235" t="str">
        <f>IFERROR(VLOOKUP($A317,'AAPT ExDa'!$B$2:$U$99, 11,FALSE), IFERROR(VLOOKUP($A317,'ABB ExDa'!$A$2:$N$184, 9,FALSE), IFERROR(VLOOKUP($A317,'Vocus SIT ExDa'!$B$2:$J$173, 8,FALSE), IFERROR(VLOOKUP($A317,'Telstra ExDa'!$B$2:$K$310, 0,FALSE), IFERROR(VLOOKUP($A317,'Vocus RVC ExDa'!$C$2:$R$155, 0,FALSE), IFERROR(VLOOKUP($A317,'Fusion ExDa'!$B$2:$D$16, 0,FALSE), IFERROR(VLOOKUP($A317,'Exetel ExDa'!$C$2:$N$14, 9,FALSE), IFERROR(VLOOKUP($A317,'Infinet ExDa'!$B$2:$E$14, 0,FALSE), "Not Found"))))))))</f>
        <v>25/05/2023</v>
      </c>
      <c r="M317" s="234" t="str">
        <f>IFERROR(VLOOKUP($A317,'AAPT ExDa'!$B$2:$U$99, 0,FALSE), IFERROR(VLOOKUP($A317,'ABB ExDa'!$A$2:$N$184, 0,FALSE), IFERROR(VLOOKUP($A317,'Vocus SIT ExDa'!$B$2:$J$173, 0,FALSE), IFERROR(VLOOKUP($A317,'Telstra ExDa'!$B$2:$K$310, 0,FALSE), IFERROR(VLOOKUP($A317,'Vocus RVC ExDa'!$C$2:$R$155, 0,FALSE), IFERROR(VLOOKUP($A317,'Fusion ExDa'!$B$2:$D$16, 0,FALSE), IFERROR(VLOOKUP($A317,'Exetel ExDa'!$C$2:$N$14, 11,FALSE), IFERROR(VLOOKUP($A317,'Infinet ExDa'!$B$2:$E$14, 0,FALSE), "Not Found"))))))))</f>
        <v>Not Found</v>
      </c>
      <c r="N317" t="str">
        <f>IFERROR(VLOOKUP($A317,'AAPT ExDa'!$B$2:$U$99, 0,FALSE), IFERROR(VLOOKUP($A317,'ABB ExDa'!$A$2:$N$184, 13,FALSE), IFERROR(VLOOKUP($A317,'Vocus SIT ExDa'!$B$2:$J$173, 0,FALSE), IFERROR(VLOOKUP($A317,'Telstra ExDa'!$B$2:$K$310, 0,FALSE), IFERROR(VLOOKUP($A317,'Vocus RVC ExDa'!$C$2:$R$155, 0,FALSE), IFERROR(VLOOKUP($A317,'Fusion ExDa'!$B$2:$D$16, 0,FALSE), IFERROR(VLOOKUP($A317,'Exetel ExDa'!$C$2:$N$14, 0,FALSE), IFERROR(VLOOKUP($A317,'Infinet ExDa'!$B$2:$E$14, 0,FALSE), "Not Found"))))))))</f>
        <v>Not Found</v>
      </c>
    </row>
    <row r="318" spans="1:14">
      <c r="A318" t="str">
        <v>Wattlestone</v>
      </c>
      <c r="B318" t="str">
        <f>IFERROR(VLOOKUP(A318,'Exetel ExDa'!$C$2:$N$14,4,FALSE),"No Data")</f>
        <v>No Data</v>
      </c>
      <c r="C318" t="str">
        <f>IFERROR(VLOOKUP(A318,'AAPT ExDa'!$B$2:$U$99, 2,FALSE), IFERROR(VLOOKUP(A318,'ABB ExDa'!$A$2:$N$184, 2,FALSE), IFERROR(VLOOKUP(A318,'Vocus SIT ExDa'!$B$2:$J$173, 7,FALSE), IFERROR(VLOOKUP(A318,'Telstra ExDa'!$B$2:$K$310, 2,FALSE), IFERROR(VLOOKUP(A318,'Vocus RVC ExDa'!$C$2:$R$155, 3,FALSE), IFERROR(VLOOKUP(A318,'Fusion ExDa'!$B$2:$D$16, 2,FALSE), IFERROR(VLOOKUP(A318,'Exetel ExDa'!$C$2:$N$14, 2,FALSE), IFERROR(VLOOKUP(A318,'Infinet ExDa'!$B$2:$E$14, 2,FALSE), "Not Found"))))))))</f>
        <v>16 MARIE STREET, MILTON QLD 4065</v>
      </c>
      <c r="D318" t="str">
        <f>IFERROR(VLOOKUP($A318,'AAPT ExDa'!$B$2:$U$99, 15,FALSE), IFERROR(VLOOKUP($A318,'ABB ExDa'!$A$2:$N$184, 4,FALSE), IFERROR(VLOOKUP($A318,'Vocus SIT ExDa'!$B$2:$J$173, 5,FALSE), IFERROR(VLOOKUP($A318,'Telstra ExDa'!$B$2:$K$310, 8,FALSE), IFERROR(VLOOKUP($A318,'Vocus RVC ExDa'!$C$2:$R$155, 6,FALSE), IFERROR(VLOOKUP($A318,'Fusion ExDa'!$B$2:$D$16, 4,FALSE), IFERROR(VLOOKUP($A318,'Exetel ExDa'!$C$2:$N$14, 3,FALSE), IFERROR(VLOOKUP($A318,'Infinet ExDa'!$B$2:$E$14, 3,FALSE), "Not Found"))))))))</f>
        <v>Vocus SIT</v>
      </c>
      <c r="E318" t="str">
        <f>IFERROR(VLOOKUP($A318,'AAPT ExDa'!$B$2:$U$99, 3,FALSE), IFERROR(VLOOKUP($A318,'ABB ExDa'!$A$2:$N$184, 5,FALSE), IFERROR(VLOOKUP($A318,'Vocus SIT ExDa'!$B$2:$J$173, 2,FALSE), IFERROR(VLOOKUP($A318,'Telstra ExDa'!$B$2:$K$310, 4,FALSE), IFERROR(VLOOKUP($A318,'Vocus RVC ExDa'!$C$2:$R$155, 8,FALSE), IFERROR(VLOOKUP($A318,'Fusion ExDa'!$B$2:$D$16, 4,FALSE), IFERROR(VLOOKUP($A318,'Exetel ExDa'!$C$2:$N$14, 5,FALSE), IFERROR(VLOOKUP($A318,'Infinet ExDa'!$B$2:$E$14, 3,FALSE), "Not Found"))))))))</f>
        <v>Voice Service</v>
      </c>
      <c r="F318">
        <f>IFERROR(VLOOKUP($A318,'AAPT ExDa'!$B$2:$U$99, 4,FALSE), IFERROR(VLOOKUP($A318,'ABB ExDa'!$A$2:$N$184, 6,FALSE), IFERROR(VLOOKUP($A318,'Vocus SIT ExDa'!$B$2:$J$173, 3,FALSE), IFERROR(VLOOKUP($A318,'Telstra ExDa'!$B$2:$K$310, 5,FALSE), IFERROR(VLOOKUP($A318,'Vocus RVC ExDa'!$C$2:$R$155, 9,FALSE), IFERROR(VLOOKUP($A318,'Fusion ExDa'!$B$2:$D$16, 0,FALSE), IFERROR(VLOOKUP($A318,'Exetel ExDa'!$C$2:$N$14, 6,FALSE), IFERROR(VLOOKUP($A318,'Infinet ExDa'!$B$2:$E$14, 0,FALSE), "Not Found"))))))))</f>
        <v>0</v>
      </c>
      <c r="G318" t="str">
        <f>IFERROR(VLOOKUP($A318,'AAPT ExDa'!$B$2:$U$99, 5,FALSE), IFERROR(VLOOKUP($A318,'ABB ExDa'!$A$2:$N$184, 8,FALSE), IFERROR(VLOOKUP($A318,'Vocus SIT ExDa'!$B$2:$J$173, 6,FALSE), IFERROR(VLOOKUP($A318,'Telstra ExDa'!$B$2:$K$310, 0,FALSE), IFERROR(VLOOKUP($A318,'Vocus RVC ExDa'!$C$2:$R$155, 15,FALSE), IFERROR(VLOOKUP($A318,'Fusion ExDa'!$B$2:$D$16, 0,FALSE), IFERROR(VLOOKUP($A318,'Exetel ExDa'!$C$2:$N$14, 7,FALSE), IFERROR(VLOOKUP($A318,'Infinet ExDa'!$B$2:$E$14, 0,FALSE), "Not Found"))))))))</f>
        <v>Smile Tel (MILTON, QLD) - Vocus IP Tel [Wattlestone]
IP Tel Standard (Reseller)
Voice (5 Mbps) - 16 MARIE STREET, MILTON QLD 4064</v>
      </c>
      <c r="H318" t="str">
        <f>IFERROR(VLOOKUP($A318,'AAPT ExDa'!$B$2:$U$99, 6,FALSE), IFERROR(VLOOKUP($A318,'ABB ExDa'!$A$2:$N$184, 0,FALSE), IFERROR(VLOOKUP($A318,'Vocus SIT ExDa'!$B$2:$J$173, 0,FALSE), IFERROR(VLOOKUP($A318,'Telstra ExDa'!$B$2:$K$310, 0,FALSE), IFERROR(VLOOKUP($A318,'Vocus RVC ExDa'!$C$2:$R$155, 16,FALSE), IFERROR(VLOOKUP($A318,'Fusion ExDa'!$B$2:$D$16, 0,FALSE), IFERROR(VLOOKUP($A318,'Exetel ExDa'!$C$2:$N$14, 0,FALSE), IFERROR(VLOOKUP($A318,'Infinet ExDa'!$B$2:$E$14, 0,FALSE), "Not Found"))))))))</f>
        <v>Not Found</v>
      </c>
      <c r="I318" t="str">
        <f>IFERROR(VLOOKUP($A318,'AAPT ExDa'!$B$2:$U$99, 0,FALSE), IFERROR(VLOOKUP($A318,'ABB ExDa'!$A$2:$N$184, 0,FALSE), IFERROR(VLOOKUP($A318,'Vocus SIT ExDa'!$B$2:$J$173, 0,FALSE), IFERROR(VLOOKUP($A318,'Telstra ExDa'!$B$2:$K$310, 0,FALSE), IFERROR(VLOOKUP($A318,'Vocus RVC ExDa'!$C$2:$R$155, 0,FALSE), IFERROR(VLOOKUP($A318,'Fusion ExDa'!$B$2:$D$16, 0,FALSE), IFERROR(VLOOKUP($A318,'Exetel ExDa'!$C$2:$N$14, 8,FALSE), IFERROR(VLOOKUP($A318,'Infinet ExDa'!$B$2:$E$14, 0,FALSE), "Not Found"))))))))</f>
        <v>Not Found</v>
      </c>
      <c r="J318" t="str">
        <f>IFERROR(VLOOKUP($A318,'AAPT ExDa'!$B$2:$U$99, 7,FALSE), IFERROR(VLOOKUP($A318,'ABB ExDa'!$A$2:$N$184, 2,FALSE), IFERROR(VLOOKUP($A318,'Vocus SIT ExDa'!$B$2:$J$173, 0,FALSE), IFERROR(VLOOKUP($A318,'Telstra ExDa'!$B$2:$K$310, 7,FALSE), IFERROR(VLOOKUP($A318,'Vocus RVC ExDa'!$C$2:$R$155, 2,FALSE), IFERROR(VLOOKUP($A318,'Fusion ExDa'!$B$2:$D$16, 3,FALSE), IFERROR(VLOOKUP($A318,'Exetel ExDa'!$C$2:$N$14, 0,FALSE), IFERROR(VLOOKUP($A318,'Infinet ExDa'!$B$2:$E$14, 0,FALSE), "Not Found"))))))))</f>
        <v>Not Found</v>
      </c>
      <c r="K318" t="str">
        <f>IFERROR(VLOOKUP($A318,'AAPT ExDa'!$B$2:$U$99, 12,FALSE), IFERROR(VLOOKUP($A318,'ABB ExDa'!$A$2:$N$184, 0,FALSE), IFERROR(VLOOKUP($A318,'Vocus SIT ExDa'!$B$2:$J$173, 0,FALSE), IFERROR(VLOOKUP($A318,'Telstra ExDa'!$B$2:$K$310, 0,FALSE), IFERROR(VLOOKUP($A318,'Vocus RVC ExDa'!$C$2:$R$155, 0,FALSE), IFERROR(VLOOKUP($A318,'Fusion ExDa'!$B$2:$D$16, 0,FALSE), IFERROR(VLOOKUP($A318,'Exetel ExDa'!$C$2:$N$14, 12,FALSE), IFERROR(VLOOKUP($A318,'Infinet ExDa'!$B$2:$E$14, 0,FALSE), "Not Found"))))))))</f>
        <v>Not Found</v>
      </c>
      <c r="L318" s="235" t="str">
        <f>IFERROR(VLOOKUP($A318,'AAPT ExDa'!$B$2:$U$99, 11,FALSE), IFERROR(VLOOKUP($A318,'ABB ExDa'!$A$2:$N$184, 9,FALSE), IFERROR(VLOOKUP($A318,'Vocus SIT ExDa'!$B$2:$J$173, 8,FALSE), IFERROR(VLOOKUP($A318,'Telstra ExDa'!$B$2:$K$310, 0,FALSE), IFERROR(VLOOKUP($A318,'Vocus RVC ExDa'!$C$2:$R$155, 0,FALSE), IFERROR(VLOOKUP($A318,'Fusion ExDa'!$B$2:$D$16, 0,FALSE), IFERROR(VLOOKUP($A318,'Exetel ExDa'!$C$2:$N$14, 9,FALSE), IFERROR(VLOOKUP($A318,'Infinet ExDa'!$B$2:$E$14, 0,FALSE), "Not Found"))))))))</f>
        <v>13/04/2023</v>
      </c>
      <c r="M318" s="234" t="str">
        <f>IFERROR(VLOOKUP($A318,'AAPT ExDa'!$B$2:$U$99, 0,FALSE), IFERROR(VLOOKUP($A318,'ABB ExDa'!$A$2:$N$184, 0,FALSE), IFERROR(VLOOKUP($A318,'Vocus SIT ExDa'!$B$2:$J$173, 0,FALSE), IFERROR(VLOOKUP($A318,'Telstra ExDa'!$B$2:$K$310, 0,FALSE), IFERROR(VLOOKUP($A318,'Vocus RVC ExDa'!$C$2:$R$155, 0,FALSE), IFERROR(VLOOKUP($A318,'Fusion ExDa'!$B$2:$D$16, 0,FALSE), IFERROR(VLOOKUP($A318,'Exetel ExDa'!$C$2:$N$14, 11,FALSE), IFERROR(VLOOKUP($A318,'Infinet ExDa'!$B$2:$E$14, 0,FALSE), "Not Found"))))))))</f>
        <v>Not Found</v>
      </c>
      <c r="N318" t="str">
        <f>IFERROR(VLOOKUP($A318,'AAPT ExDa'!$B$2:$U$99, 0,FALSE), IFERROR(VLOOKUP($A318,'ABB ExDa'!$A$2:$N$184, 13,FALSE), IFERROR(VLOOKUP($A318,'Vocus SIT ExDa'!$B$2:$J$173, 0,FALSE), IFERROR(VLOOKUP($A318,'Telstra ExDa'!$B$2:$K$310, 0,FALSE), IFERROR(VLOOKUP($A318,'Vocus RVC ExDa'!$C$2:$R$155, 0,FALSE), IFERROR(VLOOKUP($A318,'Fusion ExDa'!$B$2:$D$16, 0,FALSE), IFERROR(VLOOKUP($A318,'Exetel ExDa'!$C$2:$N$14, 0,FALSE), IFERROR(VLOOKUP($A318,'Infinet ExDa'!$B$2:$E$14, 0,FALSE), "Not Found"))))))))</f>
        <v>Not Found</v>
      </c>
    </row>
    <row r="319" spans="1:14">
      <c r="A319" t="str">
        <v>Energy Pro Electrical</v>
      </c>
      <c r="B319" t="str">
        <f>IFERROR(VLOOKUP(A319,'Exetel ExDa'!$C$2:$N$14,4,FALSE),"No Data")</f>
        <v>No Data</v>
      </c>
      <c r="C319" t="str">
        <f>IFERROR(VLOOKUP(A319,'AAPT ExDa'!$B$2:$U$99, 2,FALSE), IFERROR(VLOOKUP(A319,'ABB ExDa'!$A$2:$N$184, 2,FALSE), IFERROR(VLOOKUP(A319,'Vocus SIT ExDa'!$B$2:$J$173, 7,FALSE), IFERROR(VLOOKUP(A319,'Telstra ExDa'!$B$2:$K$310, 2,FALSE), IFERROR(VLOOKUP(A319,'Vocus RVC ExDa'!$C$2:$R$155, 3,FALSE), IFERROR(VLOOKUP(A319,'Fusion ExDa'!$B$2:$D$16, 2,FALSE), IFERROR(VLOOKUP(A319,'Exetel ExDa'!$C$2:$N$14, 2,FALSE), IFERROR(VLOOKUP(A319,'Infinet ExDa'!$B$2:$E$14, 2,FALSE), "Not Found"))))))))</f>
        <v>60 enterprise place, TINGALPA QLD 4174</v>
      </c>
      <c r="D319" t="str">
        <f>IFERROR(VLOOKUP($A319,'AAPT ExDa'!$B$2:$U$99, 15,FALSE), IFERROR(VLOOKUP($A319,'ABB ExDa'!$A$2:$N$184, 4,FALSE), IFERROR(VLOOKUP($A319,'Vocus SIT ExDa'!$B$2:$J$173, 5,FALSE), IFERROR(VLOOKUP($A319,'Telstra ExDa'!$B$2:$K$310, 8,FALSE), IFERROR(VLOOKUP($A319,'Vocus RVC ExDa'!$C$2:$R$155, 6,FALSE), IFERROR(VLOOKUP($A319,'Fusion ExDa'!$B$2:$D$16, 4,FALSE), IFERROR(VLOOKUP($A319,'Exetel ExDa'!$C$2:$N$14, 3,FALSE), IFERROR(VLOOKUP($A319,'Infinet ExDa'!$B$2:$E$14, 3,FALSE), "Not Found"))))))))</f>
        <v>Vocus SIT</v>
      </c>
      <c r="E319" t="str">
        <f>IFERROR(VLOOKUP($A319,'AAPT ExDa'!$B$2:$U$99, 3,FALSE), IFERROR(VLOOKUP($A319,'ABB ExDa'!$A$2:$N$184, 5,FALSE), IFERROR(VLOOKUP($A319,'Vocus SIT ExDa'!$B$2:$J$173, 2,FALSE), IFERROR(VLOOKUP($A319,'Telstra ExDa'!$B$2:$K$310, 4,FALSE), IFERROR(VLOOKUP($A319,'Vocus RVC ExDa'!$C$2:$R$155, 8,FALSE), IFERROR(VLOOKUP($A319,'Fusion ExDa'!$B$2:$D$16, 4,FALSE), IFERROR(VLOOKUP($A319,'Exetel ExDa'!$C$2:$N$14, 5,FALSE), IFERROR(VLOOKUP($A319,'Infinet ExDa'!$B$2:$E$14, 3,FALSE), "Not Found"))))))))</f>
        <v>Voice Service</v>
      </c>
      <c r="F319">
        <f>IFERROR(VLOOKUP($A319,'AAPT ExDa'!$B$2:$U$99, 4,FALSE), IFERROR(VLOOKUP($A319,'ABB ExDa'!$A$2:$N$184, 6,FALSE), IFERROR(VLOOKUP($A319,'Vocus SIT ExDa'!$B$2:$J$173, 3,FALSE), IFERROR(VLOOKUP($A319,'Telstra ExDa'!$B$2:$K$310, 5,FALSE), IFERROR(VLOOKUP($A319,'Vocus RVC ExDa'!$C$2:$R$155, 9,FALSE), IFERROR(VLOOKUP($A319,'Fusion ExDa'!$B$2:$D$16, 0,FALSE), IFERROR(VLOOKUP($A319,'Exetel ExDa'!$C$2:$N$14, 6,FALSE), IFERROR(VLOOKUP($A319,'Infinet ExDa'!$B$2:$E$14, 0,FALSE), "Not Found"))))))))</f>
        <v>0</v>
      </c>
      <c r="G319" t="str">
        <f>IFERROR(VLOOKUP($A319,'AAPT ExDa'!$B$2:$U$99, 5,FALSE), IFERROR(VLOOKUP($A319,'ABB ExDa'!$A$2:$N$184, 8,FALSE), IFERROR(VLOOKUP($A319,'Vocus SIT ExDa'!$B$2:$J$173, 6,FALSE), IFERROR(VLOOKUP($A319,'Telstra ExDa'!$B$2:$K$310, 0,FALSE), IFERROR(VLOOKUP($A319,'Vocus RVC ExDa'!$C$2:$R$155, 15,FALSE), IFERROR(VLOOKUP($A319,'Fusion ExDa'!$B$2:$D$16, 0,FALSE), IFERROR(VLOOKUP($A319,'Exetel ExDa'!$C$2:$N$14, 7,FALSE), IFERROR(VLOOKUP($A319,'Infinet ExDa'!$B$2:$E$14, 0,FALSE), "Not Found"))))))))</f>
        <v>Smile Tel (TINGALPA, QLD) - Vocus IP Tel [Energy Pro Electrical]
3 IP Tel Premium (Reseller)
Voice (5 Mbps) - 60 enterprise place, TINGALPA QLD 4173</v>
      </c>
      <c r="H319" t="str">
        <f>IFERROR(VLOOKUP($A319,'AAPT ExDa'!$B$2:$U$99, 6,FALSE), IFERROR(VLOOKUP($A319,'ABB ExDa'!$A$2:$N$184, 0,FALSE), IFERROR(VLOOKUP($A319,'Vocus SIT ExDa'!$B$2:$J$173, 0,FALSE), IFERROR(VLOOKUP($A319,'Telstra ExDa'!$B$2:$K$310, 0,FALSE), IFERROR(VLOOKUP($A319,'Vocus RVC ExDa'!$C$2:$R$155, 16,FALSE), IFERROR(VLOOKUP($A319,'Fusion ExDa'!$B$2:$D$16, 0,FALSE), IFERROR(VLOOKUP($A319,'Exetel ExDa'!$C$2:$N$14, 0,FALSE), IFERROR(VLOOKUP($A319,'Infinet ExDa'!$B$2:$E$14, 0,FALSE), "Not Found"))))))))</f>
        <v>Not Found</v>
      </c>
      <c r="I319" t="str">
        <f>IFERROR(VLOOKUP($A319,'AAPT ExDa'!$B$2:$U$99, 0,FALSE), IFERROR(VLOOKUP($A319,'ABB ExDa'!$A$2:$N$184, 0,FALSE), IFERROR(VLOOKUP($A319,'Vocus SIT ExDa'!$B$2:$J$173, 0,FALSE), IFERROR(VLOOKUP($A319,'Telstra ExDa'!$B$2:$K$310, 0,FALSE), IFERROR(VLOOKUP($A319,'Vocus RVC ExDa'!$C$2:$R$155, 0,FALSE), IFERROR(VLOOKUP($A319,'Fusion ExDa'!$B$2:$D$16, 0,FALSE), IFERROR(VLOOKUP($A319,'Exetel ExDa'!$C$2:$N$14, 8,FALSE), IFERROR(VLOOKUP($A319,'Infinet ExDa'!$B$2:$E$14, 0,FALSE), "Not Found"))))))))</f>
        <v>Not Found</v>
      </c>
      <c r="J319" t="str">
        <f>IFERROR(VLOOKUP($A319,'AAPT ExDa'!$B$2:$U$99, 7,FALSE), IFERROR(VLOOKUP($A319,'ABB ExDa'!$A$2:$N$184, 2,FALSE), IFERROR(VLOOKUP($A319,'Vocus SIT ExDa'!$B$2:$J$173, 0,FALSE), IFERROR(VLOOKUP($A319,'Telstra ExDa'!$B$2:$K$310, 7,FALSE), IFERROR(VLOOKUP($A319,'Vocus RVC ExDa'!$C$2:$R$155, 2,FALSE), IFERROR(VLOOKUP($A319,'Fusion ExDa'!$B$2:$D$16, 3,FALSE), IFERROR(VLOOKUP($A319,'Exetel ExDa'!$C$2:$N$14, 0,FALSE), IFERROR(VLOOKUP($A319,'Infinet ExDa'!$B$2:$E$14, 0,FALSE), "Not Found"))))))))</f>
        <v>Not Found</v>
      </c>
      <c r="K319" t="str">
        <f>IFERROR(VLOOKUP($A319,'AAPT ExDa'!$B$2:$U$99, 12,FALSE), IFERROR(VLOOKUP($A319,'ABB ExDa'!$A$2:$N$184, 0,FALSE), IFERROR(VLOOKUP($A319,'Vocus SIT ExDa'!$B$2:$J$173, 0,FALSE), IFERROR(VLOOKUP($A319,'Telstra ExDa'!$B$2:$K$310, 0,FALSE), IFERROR(VLOOKUP($A319,'Vocus RVC ExDa'!$C$2:$R$155, 0,FALSE), IFERROR(VLOOKUP($A319,'Fusion ExDa'!$B$2:$D$16, 0,FALSE), IFERROR(VLOOKUP($A319,'Exetel ExDa'!$C$2:$N$14, 12,FALSE), IFERROR(VLOOKUP($A319,'Infinet ExDa'!$B$2:$E$14, 0,FALSE), "Not Found"))))))))</f>
        <v>Not Found</v>
      </c>
      <c r="L319" s="235" t="str">
        <f>IFERROR(VLOOKUP($A319,'AAPT ExDa'!$B$2:$U$99, 11,FALSE), IFERROR(VLOOKUP($A319,'ABB ExDa'!$A$2:$N$184, 9,FALSE), IFERROR(VLOOKUP($A319,'Vocus SIT ExDa'!$B$2:$J$173, 8,FALSE), IFERROR(VLOOKUP($A319,'Telstra ExDa'!$B$2:$K$310, 0,FALSE), IFERROR(VLOOKUP($A319,'Vocus RVC ExDa'!$C$2:$R$155, 0,FALSE), IFERROR(VLOOKUP($A319,'Fusion ExDa'!$B$2:$D$16, 0,FALSE), IFERROR(VLOOKUP($A319,'Exetel ExDa'!$C$2:$N$14, 9,FALSE), IFERROR(VLOOKUP($A319,'Infinet ExDa'!$B$2:$E$14, 0,FALSE), "Not Found"))))))))</f>
        <v>21/03/2023</v>
      </c>
      <c r="M319" s="234" t="str">
        <f>IFERROR(VLOOKUP($A319,'AAPT ExDa'!$B$2:$U$99, 0,FALSE), IFERROR(VLOOKUP($A319,'ABB ExDa'!$A$2:$N$184, 0,FALSE), IFERROR(VLOOKUP($A319,'Vocus SIT ExDa'!$B$2:$J$173, 0,FALSE), IFERROR(VLOOKUP($A319,'Telstra ExDa'!$B$2:$K$310, 0,FALSE), IFERROR(VLOOKUP($A319,'Vocus RVC ExDa'!$C$2:$R$155, 0,FALSE), IFERROR(VLOOKUP($A319,'Fusion ExDa'!$B$2:$D$16, 0,FALSE), IFERROR(VLOOKUP($A319,'Exetel ExDa'!$C$2:$N$14, 11,FALSE), IFERROR(VLOOKUP($A319,'Infinet ExDa'!$B$2:$E$14, 0,FALSE), "Not Found"))))))))</f>
        <v>Not Found</v>
      </c>
      <c r="N319" t="str">
        <f>IFERROR(VLOOKUP($A319,'AAPT ExDa'!$B$2:$U$99, 0,FALSE), IFERROR(VLOOKUP($A319,'ABB ExDa'!$A$2:$N$184, 13,FALSE), IFERROR(VLOOKUP($A319,'Vocus SIT ExDa'!$B$2:$J$173, 0,FALSE), IFERROR(VLOOKUP($A319,'Telstra ExDa'!$B$2:$K$310, 0,FALSE), IFERROR(VLOOKUP($A319,'Vocus RVC ExDa'!$C$2:$R$155, 0,FALSE), IFERROR(VLOOKUP($A319,'Fusion ExDa'!$B$2:$D$16, 0,FALSE), IFERROR(VLOOKUP($A319,'Exetel ExDa'!$C$2:$N$14, 0,FALSE), IFERROR(VLOOKUP($A319,'Infinet ExDa'!$B$2:$E$14, 0,FALSE), "Not Found"))))))))</f>
        <v>Not Found</v>
      </c>
    </row>
    <row r="320" spans="1:14">
      <c r="A320" t="str">
        <v>Spicers Sangoma</v>
      </c>
      <c r="B320" t="str">
        <f>IFERROR(VLOOKUP(A320,'Exetel ExDa'!$C$2:$N$14,4,FALSE),"No Data")</f>
        <v>No Data</v>
      </c>
      <c r="C320" t="str">
        <f>IFERROR(VLOOKUP(A320,'AAPT ExDa'!$B$2:$U$99, 2,FALSE), IFERROR(VLOOKUP(A320,'ABB ExDa'!$A$2:$N$184, 2,FALSE), IFERROR(VLOOKUP(A320,'Vocus SIT ExDa'!$B$2:$J$173, 7,FALSE), IFERROR(VLOOKUP(A320,'Telstra ExDa'!$B$2:$K$310, 2,FALSE), IFERROR(VLOOKUP(A320,'Vocus RVC ExDa'!$C$2:$R$155, 3,FALSE), IFERROR(VLOOKUP(A320,'Fusion ExDa'!$B$2:$D$16, 2,FALSE), IFERROR(VLOOKUP(A320,'Exetel ExDa'!$C$2:$N$14, 2,FALSE), IFERROR(VLOOKUP(A320,'Infinet ExDa'!$B$2:$E$14, 2,FALSE), "Not Found"))))))))</f>
        <v>Level 1D, 60 Enterprise Place, Tingalpa QLD 4174</v>
      </c>
      <c r="D320" t="str">
        <f>IFERROR(VLOOKUP($A320,'AAPT ExDa'!$B$2:$U$99, 15,FALSE), IFERROR(VLOOKUP($A320,'ABB ExDa'!$A$2:$N$184, 4,FALSE), IFERROR(VLOOKUP($A320,'Vocus SIT ExDa'!$B$2:$J$173, 5,FALSE), IFERROR(VLOOKUP($A320,'Telstra ExDa'!$B$2:$K$310, 8,FALSE), IFERROR(VLOOKUP($A320,'Vocus RVC ExDa'!$C$2:$R$155, 6,FALSE), IFERROR(VLOOKUP($A320,'Fusion ExDa'!$B$2:$D$16, 4,FALSE), IFERROR(VLOOKUP($A320,'Exetel ExDa'!$C$2:$N$14, 3,FALSE), IFERROR(VLOOKUP($A320,'Infinet ExDa'!$B$2:$E$14, 3,FALSE), "Not Found"))))))))</f>
        <v>Vocus SIT</v>
      </c>
      <c r="E320" t="str">
        <f>IFERROR(VLOOKUP($A320,'AAPT ExDa'!$B$2:$U$99, 3,FALSE), IFERROR(VLOOKUP($A320,'ABB ExDa'!$A$2:$N$184, 5,FALSE), IFERROR(VLOOKUP($A320,'Vocus SIT ExDa'!$B$2:$J$173, 2,FALSE), IFERROR(VLOOKUP($A320,'Telstra ExDa'!$B$2:$K$310, 4,FALSE), IFERROR(VLOOKUP($A320,'Vocus RVC ExDa'!$C$2:$R$155, 8,FALSE), IFERROR(VLOOKUP($A320,'Fusion ExDa'!$B$2:$D$16, 4,FALSE), IFERROR(VLOOKUP($A320,'Exetel ExDa'!$C$2:$N$14, 5,FALSE), IFERROR(VLOOKUP($A320,'Infinet ExDa'!$B$2:$E$14, 3,FALSE), "Not Found"))))))))</f>
        <v>Voice Service</v>
      </c>
      <c r="F320">
        <f>IFERROR(VLOOKUP($A320,'AAPT ExDa'!$B$2:$U$99, 4,FALSE), IFERROR(VLOOKUP($A320,'ABB ExDa'!$A$2:$N$184, 6,FALSE), IFERROR(VLOOKUP($A320,'Vocus SIT ExDa'!$B$2:$J$173, 3,FALSE), IFERROR(VLOOKUP($A320,'Telstra ExDa'!$B$2:$K$310, 5,FALSE), IFERROR(VLOOKUP($A320,'Vocus RVC ExDa'!$C$2:$R$155, 9,FALSE), IFERROR(VLOOKUP($A320,'Fusion ExDa'!$B$2:$D$16, 0,FALSE), IFERROR(VLOOKUP($A320,'Exetel ExDa'!$C$2:$N$14, 6,FALSE), IFERROR(VLOOKUP($A320,'Infinet ExDa'!$B$2:$E$14, 0,FALSE), "Not Found"))))))))</f>
        <v>0</v>
      </c>
      <c r="G320" t="str">
        <f>IFERROR(VLOOKUP($A320,'AAPT ExDa'!$B$2:$U$99, 5,FALSE), IFERROR(VLOOKUP($A320,'ABB ExDa'!$A$2:$N$184, 8,FALSE), IFERROR(VLOOKUP($A320,'Vocus SIT ExDa'!$B$2:$J$173, 6,FALSE), IFERROR(VLOOKUP($A320,'Telstra ExDa'!$B$2:$K$310, 0,FALSE), IFERROR(VLOOKUP($A320,'Vocus RVC ExDa'!$C$2:$R$155, 15,FALSE), IFERROR(VLOOKUP($A320,'Fusion ExDa'!$B$2:$D$16, 0,FALSE), IFERROR(VLOOKUP($A320,'Exetel ExDa'!$C$2:$N$14, 7,FALSE), IFERROR(VLOOKUP($A320,'Infinet ExDa'!$B$2:$E$14, 0,FALSE), "Not Found"))))))))</f>
        <v>Smile Tel (TINGALPA, QLD) - Vocus IP Tel [Spicers Sangoma]
8 IP Tel Basic (Reseller)
Voice (5 Mbps) - Level 1D, 60 Enterprise Place, TINGALPA QLD 4173</v>
      </c>
      <c r="H320" t="str">
        <f>IFERROR(VLOOKUP($A320,'AAPT ExDa'!$B$2:$U$99, 6,FALSE), IFERROR(VLOOKUP($A320,'ABB ExDa'!$A$2:$N$184, 0,FALSE), IFERROR(VLOOKUP($A320,'Vocus SIT ExDa'!$B$2:$J$173, 0,FALSE), IFERROR(VLOOKUP($A320,'Telstra ExDa'!$B$2:$K$310, 0,FALSE), IFERROR(VLOOKUP($A320,'Vocus RVC ExDa'!$C$2:$R$155, 16,FALSE), IFERROR(VLOOKUP($A320,'Fusion ExDa'!$B$2:$D$16, 0,FALSE), IFERROR(VLOOKUP($A320,'Exetel ExDa'!$C$2:$N$14, 0,FALSE), IFERROR(VLOOKUP($A320,'Infinet ExDa'!$B$2:$E$14, 0,FALSE), "Not Found"))))))))</f>
        <v>Not Found</v>
      </c>
      <c r="I320" t="str">
        <f>IFERROR(VLOOKUP($A320,'AAPT ExDa'!$B$2:$U$99, 0,FALSE), IFERROR(VLOOKUP($A320,'ABB ExDa'!$A$2:$N$184, 0,FALSE), IFERROR(VLOOKUP($A320,'Vocus SIT ExDa'!$B$2:$J$173, 0,FALSE), IFERROR(VLOOKUP($A320,'Telstra ExDa'!$B$2:$K$310, 0,FALSE), IFERROR(VLOOKUP($A320,'Vocus RVC ExDa'!$C$2:$R$155, 0,FALSE), IFERROR(VLOOKUP($A320,'Fusion ExDa'!$B$2:$D$16, 0,FALSE), IFERROR(VLOOKUP($A320,'Exetel ExDa'!$C$2:$N$14, 8,FALSE), IFERROR(VLOOKUP($A320,'Infinet ExDa'!$B$2:$E$14, 0,FALSE), "Not Found"))))))))</f>
        <v>Not Found</v>
      </c>
      <c r="J320" t="str">
        <f>IFERROR(VLOOKUP($A320,'AAPT ExDa'!$B$2:$U$99, 7,FALSE), IFERROR(VLOOKUP($A320,'ABB ExDa'!$A$2:$N$184, 2,FALSE), IFERROR(VLOOKUP($A320,'Vocus SIT ExDa'!$B$2:$J$173, 0,FALSE), IFERROR(VLOOKUP($A320,'Telstra ExDa'!$B$2:$K$310, 7,FALSE), IFERROR(VLOOKUP($A320,'Vocus RVC ExDa'!$C$2:$R$155, 2,FALSE), IFERROR(VLOOKUP($A320,'Fusion ExDa'!$B$2:$D$16, 3,FALSE), IFERROR(VLOOKUP($A320,'Exetel ExDa'!$C$2:$N$14, 0,FALSE), IFERROR(VLOOKUP($A320,'Infinet ExDa'!$B$2:$E$14, 0,FALSE), "Not Found"))))))))</f>
        <v>Not Found</v>
      </c>
      <c r="K320" t="str">
        <f>IFERROR(VLOOKUP($A320,'AAPT ExDa'!$B$2:$U$99, 12,FALSE), IFERROR(VLOOKUP($A320,'ABB ExDa'!$A$2:$N$184, 0,FALSE), IFERROR(VLOOKUP($A320,'Vocus SIT ExDa'!$B$2:$J$173, 0,FALSE), IFERROR(VLOOKUP($A320,'Telstra ExDa'!$B$2:$K$310, 0,FALSE), IFERROR(VLOOKUP($A320,'Vocus RVC ExDa'!$C$2:$R$155, 0,FALSE), IFERROR(VLOOKUP($A320,'Fusion ExDa'!$B$2:$D$16, 0,FALSE), IFERROR(VLOOKUP($A320,'Exetel ExDa'!$C$2:$N$14, 12,FALSE), IFERROR(VLOOKUP($A320,'Infinet ExDa'!$B$2:$E$14, 0,FALSE), "Not Found"))))))))</f>
        <v>Not Found</v>
      </c>
      <c r="L320" s="235" t="str">
        <f>IFERROR(VLOOKUP($A320,'AAPT ExDa'!$B$2:$U$99, 11,FALSE), IFERROR(VLOOKUP($A320,'ABB ExDa'!$A$2:$N$184, 9,FALSE), IFERROR(VLOOKUP($A320,'Vocus SIT ExDa'!$B$2:$J$173, 8,FALSE), IFERROR(VLOOKUP($A320,'Telstra ExDa'!$B$2:$K$310, 0,FALSE), IFERROR(VLOOKUP($A320,'Vocus RVC ExDa'!$C$2:$R$155, 0,FALSE), IFERROR(VLOOKUP($A320,'Fusion ExDa'!$B$2:$D$16, 0,FALSE), IFERROR(VLOOKUP($A320,'Exetel ExDa'!$C$2:$N$14, 9,FALSE), IFERROR(VLOOKUP($A320,'Infinet ExDa'!$B$2:$E$14, 0,FALSE), "Not Found"))))))))</f>
        <v>14/03/2023</v>
      </c>
      <c r="M320" s="234" t="str">
        <f>IFERROR(VLOOKUP($A320,'AAPT ExDa'!$B$2:$U$99, 0,FALSE), IFERROR(VLOOKUP($A320,'ABB ExDa'!$A$2:$N$184, 0,FALSE), IFERROR(VLOOKUP($A320,'Vocus SIT ExDa'!$B$2:$J$173, 0,FALSE), IFERROR(VLOOKUP($A320,'Telstra ExDa'!$B$2:$K$310, 0,FALSE), IFERROR(VLOOKUP($A320,'Vocus RVC ExDa'!$C$2:$R$155, 0,FALSE), IFERROR(VLOOKUP($A320,'Fusion ExDa'!$B$2:$D$16, 0,FALSE), IFERROR(VLOOKUP($A320,'Exetel ExDa'!$C$2:$N$14, 11,FALSE), IFERROR(VLOOKUP($A320,'Infinet ExDa'!$B$2:$E$14, 0,FALSE), "Not Found"))))))))</f>
        <v>Not Found</v>
      </c>
      <c r="N320" t="str">
        <f>IFERROR(VLOOKUP($A320,'AAPT ExDa'!$B$2:$U$99, 0,FALSE), IFERROR(VLOOKUP($A320,'ABB ExDa'!$A$2:$N$184, 13,FALSE), IFERROR(VLOOKUP($A320,'Vocus SIT ExDa'!$B$2:$J$173, 0,FALSE), IFERROR(VLOOKUP($A320,'Telstra ExDa'!$B$2:$K$310, 0,FALSE), IFERROR(VLOOKUP($A320,'Vocus RVC ExDa'!$C$2:$R$155, 0,FALSE), IFERROR(VLOOKUP($A320,'Fusion ExDa'!$B$2:$D$16, 0,FALSE), IFERROR(VLOOKUP($A320,'Exetel ExDa'!$C$2:$N$14, 0,FALSE), IFERROR(VLOOKUP($A320,'Infinet ExDa'!$B$2:$E$14, 0,FALSE), "Not Found"))))))))</f>
        <v>Not Found</v>
      </c>
    </row>
    <row r="321" spans="1:14">
      <c r="A321" t="str">
        <v>The Empowering Hive</v>
      </c>
      <c r="B321" t="str">
        <f>IFERROR(VLOOKUP(A321,'Exetel ExDa'!$C$2:$N$14,4,FALSE),"No Data")</f>
        <v>No Data</v>
      </c>
      <c r="C321" t="str">
        <f>IFERROR(VLOOKUP(A321,'AAPT ExDa'!$B$2:$U$99, 2,FALSE), IFERROR(VLOOKUP(A321,'ABB ExDa'!$A$2:$N$184, 2,FALSE), IFERROR(VLOOKUP(A321,'Vocus SIT ExDa'!$B$2:$J$173, 7,FALSE), IFERROR(VLOOKUP(A321,'Telstra ExDa'!$B$2:$K$310, 2,FALSE), IFERROR(VLOOKUP(A321,'Vocus RVC ExDa'!$C$2:$R$155, 3,FALSE), IFERROR(VLOOKUP(A321,'Fusion ExDa'!$B$2:$D$16, 2,FALSE), IFERROR(VLOOKUP(A321,'Exetel ExDa'!$C$2:$N$14, 2,FALSE), IFERROR(VLOOKUP(A321,'Infinet ExDa'!$B$2:$E$14, 2,FALSE), "Not Found"))))))))</f>
        <v>Level 1D, 60 Enterprise Place, Tingalpa QLD 4174</v>
      </c>
      <c r="D321" t="str">
        <f>IFERROR(VLOOKUP($A321,'AAPT ExDa'!$B$2:$U$99, 15,FALSE), IFERROR(VLOOKUP($A321,'ABB ExDa'!$A$2:$N$184, 4,FALSE), IFERROR(VLOOKUP($A321,'Vocus SIT ExDa'!$B$2:$J$173, 5,FALSE), IFERROR(VLOOKUP($A321,'Telstra ExDa'!$B$2:$K$310, 8,FALSE), IFERROR(VLOOKUP($A321,'Vocus RVC ExDa'!$C$2:$R$155, 6,FALSE), IFERROR(VLOOKUP($A321,'Fusion ExDa'!$B$2:$D$16, 4,FALSE), IFERROR(VLOOKUP($A321,'Exetel ExDa'!$C$2:$N$14, 3,FALSE), IFERROR(VLOOKUP($A321,'Infinet ExDa'!$B$2:$E$14, 3,FALSE), "Not Found"))))))))</f>
        <v>Vocus SIT</v>
      </c>
      <c r="E321" t="str">
        <f>IFERROR(VLOOKUP($A321,'AAPT ExDa'!$B$2:$U$99, 3,FALSE), IFERROR(VLOOKUP($A321,'ABB ExDa'!$A$2:$N$184, 5,FALSE), IFERROR(VLOOKUP($A321,'Vocus SIT ExDa'!$B$2:$J$173, 2,FALSE), IFERROR(VLOOKUP($A321,'Telstra ExDa'!$B$2:$K$310, 4,FALSE), IFERROR(VLOOKUP($A321,'Vocus RVC ExDa'!$C$2:$R$155, 8,FALSE), IFERROR(VLOOKUP($A321,'Fusion ExDa'!$B$2:$D$16, 4,FALSE), IFERROR(VLOOKUP($A321,'Exetel ExDa'!$C$2:$N$14, 5,FALSE), IFERROR(VLOOKUP($A321,'Infinet ExDa'!$B$2:$E$14, 3,FALSE), "Not Found"))))))))</f>
        <v>Voice Service</v>
      </c>
      <c r="F321">
        <f>IFERROR(VLOOKUP($A321,'AAPT ExDa'!$B$2:$U$99, 4,FALSE), IFERROR(VLOOKUP($A321,'ABB ExDa'!$A$2:$N$184, 6,FALSE), IFERROR(VLOOKUP($A321,'Vocus SIT ExDa'!$B$2:$J$173, 3,FALSE), IFERROR(VLOOKUP($A321,'Telstra ExDa'!$B$2:$K$310, 5,FALSE), IFERROR(VLOOKUP($A321,'Vocus RVC ExDa'!$C$2:$R$155, 9,FALSE), IFERROR(VLOOKUP($A321,'Fusion ExDa'!$B$2:$D$16, 0,FALSE), IFERROR(VLOOKUP($A321,'Exetel ExDa'!$C$2:$N$14, 6,FALSE), IFERROR(VLOOKUP($A321,'Infinet ExDa'!$B$2:$E$14, 0,FALSE), "Not Found"))))))))</f>
        <v>0</v>
      </c>
      <c r="G321" t="str">
        <f>IFERROR(VLOOKUP($A321,'AAPT ExDa'!$B$2:$U$99, 5,FALSE), IFERROR(VLOOKUP($A321,'ABB ExDa'!$A$2:$N$184, 8,FALSE), IFERROR(VLOOKUP($A321,'Vocus SIT ExDa'!$B$2:$J$173, 6,FALSE), IFERROR(VLOOKUP($A321,'Telstra ExDa'!$B$2:$K$310, 0,FALSE), IFERROR(VLOOKUP($A321,'Vocus RVC ExDa'!$C$2:$R$155, 15,FALSE), IFERROR(VLOOKUP($A321,'Fusion ExDa'!$B$2:$D$16, 0,FALSE), IFERROR(VLOOKUP($A321,'Exetel ExDa'!$C$2:$N$14, 7,FALSE), IFERROR(VLOOKUP($A321,'Infinet ExDa'!$B$2:$E$14, 0,FALSE), "Not Found"))))))))</f>
        <v>Smile Tel (Tingalpa , QLD) - Vocus IP Tel [The Empowering Hive]
IP Tel Voicemail
Voice (5 Mbps) - Level 1D, 60 Enterprise Place, Tingalpa QLD 4173</v>
      </c>
      <c r="H321" t="str">
        <f>IFERROR(VLOOKUP($A321,'AAPT ExDa'!$B$2:$U$99, 6,FALSE), IFERROR(VLOOKUP($A321,'ABB ExDa'!$A$2:$N$184, 0,FALSE), IFERROR(VLOOKUP($A321,'Vocus SIT ExDa'!$B$2:$J$173, 0,FALSE), IFERROR(VLOOKUP($A321,'Telstra ExDa'!$B$2:$K$310, 0,FALSE), IFERROR(VLOOKUP($A321,'Vocus RVC ExDa'!$C$2:$R$155, 16,FALSE), IFERROR(VLOOKUP($A321,'Fusion ExDa'!$B$2:$D$16, 0,FALSE), IFERROR(VLOOKUP($A321,'Exetel ExDa'!$C$2:$N$14, 0,FALSE), IFERROR(VLOOKUP($A321,'Infinet ExDa'!$B$2:$E$14, 0,FALSE), "Not Found"))))))))</f>
        <v>Not Found</v>
      </c>
      <c r="I321" t="str">
        <f>IFERROR(VLOOKUP($A321,'AAPT ExDa'!$B$2:$U$99, 0,FALSE), IFERROR(VLOOKUP($A321,'ABB ExDa'!$A$2:$N$184, 0,FALSE), IFERROR(VLOOKUP($A321,'Vocus SIT ExDa'!$B$2:$J$173, 0,FALSE), IFERROR(VLOOKUP($A321,'Telstra ExDa'!$B$2:$K$310, 0,FALSE), IFERROR(VLOOKUP($A321,'Vocus RVC ExDa'!$C$2:$R$155, 0,FALSE), IFERROR(VLOOKUP($A321,'Fusion ExDa'!$B$2:$D$16, 0,FALSE), IFERROR(VLOOKUP($A321,'Exetel ExDa'!$C$2:$N$14, 8,FALSE), IFERROR(VLOOKUP($A321,'Infinet ExDa'!$B$2:$E$14, 0,FALSE), "Not Found"))))))))</f>
        <v>Not Found</v>
      </c>
      <c r="J321" t="str">
        <f>IFERROR(VLOOKUP($A321,'AAPT ExDa'!$B$2:$U$99, 7,FALSE), IFERROR(VLOOKUP($A321,'ABB ExDa'!$A$2:$N$184, 2,FALSE), IFERROR(VLOOKUP($A321,'Vocus SIT ExDa'!$B$2:$J$173, 0,FALSE), IFERROR(VLOOKUP($A321,'Telstra ExDa'!$B$2:$K$310, 7,FALSE), IFERROR(VLOOKUP($A321,'Vocus RVC ExDa'!$C$2:$R$155, 2,FALSE), IFERROR(VLOOKUP($A321,'Fusion ExDa'!$B$2:$D$16, 3,FALSE), IFERROR(VLOOKUP($A321,'Exetel ExDa'!$C$2:$N$14, 0,FALSE), IFERROR(VLOOKUP($A321,'Infinet ExDa'!$B$2:$E$14, 0,FALSE), "Not Found"))))))))</f>
        <v>Not Found</v>
      </c>
      <c r="K321" t="str">
        <f>IFERROR(VLOOKUP($A321,'AAPT ExDa'!$B$2:$U$99, 12,FALSE), IFERROR(VLOOKUP($A321,'ABB ExDa'!$A$2:$N$184, 0,FALSE), IFERROR(VLOOKUP($A321,'Vocus SIT ExDa'!$B$2:$J$173, 0,FALSE), IFERROR(VLOOKUP($A321,'Telstra ExDa'!$B$2:$K$310, 0,FALSE), IFERROR(VLOOKUP($A321,'Vocus RVC ExDa'!$C$2:$R$155, 0,FALSE), IFERROR(VLOOKUP($A321,'Fusion ExDa'!$B$2:$D$16, 0,FALSE), IFERROR(VLOOKUP($A321,'Exetel ExDa'!$C$2:$N$14, 12,FALSE), IFERROR(VLOOKUP($A321,'Infinet ExDa'!$B$2:$E$14, 0,FALSE), "Not Found"))))))))</f>
        <v>Not Found</v>
      </c>
      <c r="L321" s="235">
        <f>IFERROR(VLOOKUP($A321,'AAPT ExDa'!$B$2:$U$99, 11,FALSE), IFERROR(VLOOKUP($A321,'ABB ExDa'!$A$2:$N$184, 9,FALSE), IFERROR(VLOOKUP($A321,'Vocus SIT ExDa'!$B$2:$J$173, 8,FALSE), IFERROR(VLOOKUP($A321,'Telstra ExDa'!$B$2:$K$310, 0,FALSE), IFERROR(VLOOKUP($A321,'Vocus RVC ExDa'!$C$2:$R$155, 0,FALSE), IFERROR(VLOOKUP($A321,'Fusion ExDa'!$B$2:$D$16, 0,FALSE), IFERROR(VLOOKUP($A321,'Exetel ExDa'!$C$2:$N$14, 9,FALSE), IFERROR(VLOOKUP($A321,'Infinet ExDa'!$B$2:$E$14, 0,FALSE), "Not Found"))))))))</f>
        <v>45110</v>
      </c>
      <c r="M321" s="234" t="str">
        <f>IFERROR(VLOOKUP($A321,'AAPT ExDa'!$B$2:$U$99, 0,FALSE), IFERROR(VLOOKUP($A321,'ABB ExDa'!$A$2:$N$184, 0,FALSE), IFERROR(VLOOKUP($A321,'Vocus SIT ExDa'!$B$2:$J$173, 0,FALSE), IFERROR(VLOOKUP($A321,'Telstra ExDa'!$B$2:$K$310, 0,FALSE), IFERROR(VLOOKUP($A321,'Vocus RVC ExDa'!$C$2:$R$155, 0,FALSE), IFERROR(VLOOKUP($A321,'Fusion ExDa'!$B$2:$D$16, 0,FALSE), IFERROR(VLOOKUP($A321,'Exetel ExDa'!$C$2:$N$14, 11,FALSE), IFERROR(VLOOKUP($A321,'Infinet ExDa'!$B$2:$E$14, 0,FALSE), "Not Found"))))))))</f>
        <v>Not Found</v>
      </c>
      <c r="N321" t="str">
        <f>IFERROR(VLOOKUP($A321,'AAPT ExDa'!$B$2:$U$99, 0,FALSE), IFERROR(VLOOKUP($A321,'ABB ExDa'!$A$2:$N$184, 13,FALSE), IFERROR(VLOOKUP($A321,'Vocus SIT ExDa'!$B$2:$J$173, 0,FALSE), IFERROR(VLOOKUP($A321,'Telstra ExDa'!$B$2:$K$310, 0,FALSE), IFERROR(VLOOKUP($A321,'Vocus RVC ExDa'!$C$2:$R$155, 0,FALSE), IFERROR(VLOOKUP($A321,'Fusion ExDa'!$B$2:$D$16, 0,FALSE), IFERROR(VLOOKUP($A321,'Exetel ExDa'!$C$2:$N$14, 0,FALSE), IFERROR(VLOOKUP($A321,'Infinet ExDa'!$B$2:$E$14, 0,FALSE), "Not Found"))))))))</f>
        <v>Not Found</v>
      </c>
    </row>
    <row r="322" spans="1:14">
      <c r="A322" t="str">
        <v>Smile IT</v>
      </c>
      <c r="B322" t="str">
        <f>IFERROR(VLOOKUP(A322,'Exetel ExDa'!$C$2:$N$14,4,FALSE),"No Data")</f>
        <v>0701561050</v>
      </c>
      <c r="C322">
        <f>IFERROR(VLOOKUP(A322,'AAPT ExDa'!$B$2:$U$99, 2,FALSE), IFERROR(VLOOKUP(A322,'ABB ExDa'!$A$2:$N$184, 2,FALSE), IFERROR(VLOOKUP(A322,'Vocus SIT ExDa'!$B$2:$J$173, 7,FALSE), IFERROR(VLOOKUP(A322,'Telstra ExDa'!$B$2:$K$310, 2,FALSE), IFERROR(VLOOKUP(A322,'Vocus RVC ExDa'!$C$2:$R$155, 3,FALSE), IFERROR(VLOOKUP(A322,'Fusion ExDa'!$B$2:$D$16, 2,FALSE), IFERROR(VLOOKUP(A322,'Exetel ExDa'!$C$2:$N$14, 2,FALSE), IFERROR(VLOOKUP(A322,'Infinet ExDa'!$B$2:$E$14, 2,FALSE), "Not Found"))))))))</f>
        <v>0</v>
      </c>
      <c r="D322" t="str">
        <f>IFERROR(VLOOKUP($A322,'AAPT ExDa'!$B$2:$U$99, 15,FALSE), IFERROR(VLOOKUP($A322,'ABB ExDa'!$A$2:$N$184, 4,FALSE), IFERROR(VLOOKUP($A322,'Vocus SIT ExDa'!$B$2:$J$173, 5,FALSE), IFERROR(VLOOKUP($A322,'Telstra ExDa'!$B$2:$K$310, 8,FALSE), IFERROR(VLOOKUP($A322,'Vocus RVC ExDa'!$C$2:$R$155, 6,FALSE), IFERROR(VLOOKUP($A322,'Fusion ExDa'!$B$2:$D$16, 4,FALSE), IFERROR(VLOOKUP($A322,'Exetel ExDa'!$C$2:$N$14, 3,FALSE), IFERROR(VLOOKUP($A322,'Infinet ExDa'!$B$2:$E$14, 3,FALSE), "Not Found"))))))))</f>
        <v>AAPT</v>
      </c>
      <c r="E322" t="str">
        <f>IFERROR(VLOOKUP($A322,'AAPT ExDa'!$B$2:$U$99, 3,FALSE), IFERROR(VLOOKUP($A322,'ABB ExDa'!$A$2:$N$184, 5,FALSE), IFERROR(VLOOKUP($A322,'Vocus SIT ExDa'!$B$2:$J$173, 2,FALSE), IFERROR(VLOOKUP($A322,'Telstra ExDa'!$B$2:$K$310, 4,FALSE), IFERROR(VLOOKUP($A322,'Vocus RVC ExDa'!$C$2:$R$155, 8,FALSE), IFERROR(VLOOKUP($A322,'Fusion ExDa'!$B$2:$D$16, 4,FALSE), IFERROR(VLOOKUP($A322,'Exetel ExDa'!$C$2:$N$14, 5,FALSE), IFERROR(VLOOKUP($A322,'Infinet ExDa'!$B$2:$E$14, 3,FALSE), "Not Found"))))))))</f>
        <v>IP-Line</v>
      </c>
      <c r="F322" t="str">
        <f>IFERROR(VLOOKUP($A322,'AAPT ExDa'!$B$2:$U$99, 4,FALSE), IFERROR(VLOOKUP($A322,'ABB ExDa'!$A$2:$N$184, 6,FALSE), IFERROR(VLOOKUP($A322,'Vocus SIT ExDa'!$B$2:$J$173, 3,FALSE), IFERROR(VLOOKUP($A322,'Telstra ExDa'!$B$2:$K$310, 5,FALSE), IFERROR(VLOOKUP($A322,'Vocus RVC ExDa'!$C$2:$R$155, 9,FALSE), IFERROR(VLOOKUP($A322,'Fusion ExDa'!$B$2:$D$16, 0,FALSE), IFERROR(VLOOKUP($A322,'Exetel ExDa'!$C$2:$N$14, 6,FALSE), IFERROR(VLOOKUP($A322,'Infinet ExDa'!$B$2:$E$14, 0,FALSE), "Not Found"))))))))</f>
        <v>IP-Line Link</v>
      </c>
      <c r="G322" t="str">
        <f>IFERROR(VLOOKUP($A322,'AAPT ExDa'!$B$2:$U$99, 5,FALSE), IFERROR(VLOOKUP($A322,'ABB ExDa'!$A$2:$N$184, 8,FALSE), IFERROR(VLOOKUP($A322,'Vocus SIT ExDa'!$B$2:$J$173, 6,FALSE), IFERROR(VLOOKUP($A322,'Telstra ExDa'!$B$2:$K$310, 0,FALSE), IFERROR(VLOOKUP($A322,'Vocus RVC ExDa'!$C$2:$R$155, 15,FALSE), IFERROR(VLOOKUP($A322,'Fusion ExDa'!$B$2:$D$16, 0,FALSE), IFERROR(VLOOKUP($A322,'Exetel ExDa'!$C$2:$N$14, 7,FALSE), IFERROR(VLOOKUP($A322,'Infinet ExDa'!$B$2:$E$14, 0,FALSE), "Not Found"))))))))</f>
        <v>Connecting IP-Line 6023265 to Access 100773541</v>
      </c>
      <c r="H322" t="str">
        <f>IFERROR(VLOOKUP($A322,'AAPT ExDa'!$B$2:$U$99, 6,FALSE), IFERROR(VLOOKUP($A322,'ABB ExDa'!$A$2:$N$184, 0,FALSE), IFERROR(VLOOKUP($A322,'Vocus SIT ExDa'!$B$2:$J$173, 0,FALSE), IFERROR(VLOOKUP($A322,'Telstra ExDa'!$B$2:$K$310, 0,FALSE), IFERROR(VLOOKUP($A322,'Vocus RVC ExDa'!$C$2:$R$155, 16,FALSE), IFERROR(VLOOKUP($A322,'Fusion ExDa'!$B$2:$D$16, 0,FALSE), IFERROR(VLOOKUP($A322,'Exetel ExDa'!$C$2:$N$14, 0,FALSE), IFERROR(VLOOKUP($A322,'Infinet ExDa'!$B$2:$E$14, 0,FALSE), "Not Found"))))))))</f>
        <v>Up to 100/40Mbps; AVC ID:AVC000141025780</v>
      </c>
      <c r="I322">
        <f>IFERROR(VLOOKUP($A322,'AAPT ExDa'!$B$2:$U$99, 0,FALSE), IFERROR(VLOOKUP($A322,'ABB ExDa'!$A$2:$N$184, 0,FALSE), IFERROR(VLOOKUP($A322,'Vocus SIT ExDa'!$B$2:$J$173, 0,FALSE), IFERROR(VLOOKUP($A322,'Telstra ExDa'!$B$2:$K$310, 0,FALSE), IFERROR(VLOOKUP($A322,'Vocus RVC ExDa'!$C$2:$R$155, 0,FALSE), IFERROR(VLOOKUP($A322,'Fusion ExDa'!$B$2:$D$16, 0,FALSE), IFERROR(VLOOKUP($A322,'Exetel ExDa'!$C$2:$N$14, 8,FALSE), IFERROR(VLOOKUP($A322,'Infinet ExDa'!$B$2:$E$14, 0,FALSE), "Not Found"))))))))</f>
        <v>0</v>
      </c>
      <c r="J322" t="str">
        <f>IFERROR(VLOOKUP($A322,'AAPT ExDa'!$B$2:$U$99, 7,FALSE), IFERROR(VLOOKUP($A322,'ABB ExDa'!$A$2:$N$184, 2,FALSE), IFERROR(VLOOKUP($A322,'Vocus SIT ExDa'!$B$2:$J$173, 0,FALSE), IFERROR(VLOOKUP($A322,'Telstra ExDa'!$B$2:$K$310, 7,FALSE), IFERROR(VLOOKUP($A322,'Vocus RVC ExDa'!$C$2:$R$155, 2,FALSE), IFERROR(VLOOKUP($A322,'Fusion ExDa'!$B$2:$D$16, 3,FALSE), IFERROR(VLOOKUP($A322,'Exetel ExDa'!$C$2:$N$14, 0,FALSE), IFERROR(VLOOKUP($A322,'Infinet ExDa'!$B$2:$E$14, 0,FALSE), "Not Found"))))))))</f>
        <v>AVC000141025780</v>
      </c>
      <c r="K322" t="str">
        <f>IFERROR(VLOOKUP($A322,'AAPT ExDa'!$B$2:$U$99, 12,FALSE), IFERROR(VLOOKUP($A322,'ABB ExDa'!$A$2:$N$184, 0,FALSE), IFERROR(VLOOKUP($A322,'Vocus SIT ExDa'!$B$2:$J$173, 0,FALSE), IFERROR(VLOOKUP($A322,'Telstra ExDa'!$B$2:$K$310, 0,FALSE), IFERROR(VLOOKUP($A322,'Vocus RVC ExDa'!$C$2:$R$155, 0,FALSE), IFERROR(VLOOKUP($A322,'Fusion ExDa'!$B$2:$D$16, 0,FALSE), IFERROR(VLOOKUP($A322,'Exetel ExDa'!$C$2:$N$14, 12,FALSE), IFERROR(VLOOKUP($A322,'Infinet ExDa'!$B$2:$E$14, 0,FALSE), "Not Found"))))))))</f>
        <v>12 Months</v>
      </c>
      <c r="L322" s="235">
        <f>IFERROR(VLOOKUP($A322,'AAPT ExDa'!$B$2:$U$99, 11,FALSE), IFERROR(VLOOKUP($A322,'ABB ExDa'!$A$2:$N$184, 9,FALSE), IFERROR(VLOOKUP($A322,'Vocus SIT ExDa'!$B$2:$J$173, 8,FALSE), IFERROR(VLOOKUP($A322,'Telstra ExDa'!$B$2:$K$310, 0,FALSE), IFERROR(VLOOKUP($A322,'Vocus RVC ExDa'!$C$2:$R$155, 0,FALSE), IFERROR(VLOOKUP($A322,'Fusion ExDa'!$B$2:$D$16, 0,FALSE), IFERROR(VLOOKUP($A322,'Exetel ExDa'!$C$2:$N$14, 9,FALSE), IFERROR(VLOOKUP($A322,'Infinet ExDa'!$B$2:$E$14, 0,FALSE), "Not Found"))))))))</f>
        <v>44297</v>
      </c>
      <c r="M322" s="234">
        <f>IFERROR(VLOOKUP($A322,'AAPT ExDa'!$B$2:$U$99, 0,FALSE), IFERROR(VLOOKUP($A322,'ABB ExDa'!$A$2:$N$184, 0,FALSE), IFERROR(VLOOKUP($A322,'Vocus SIT ExDa'!$B$2:$J$173, 0,FALSE), IFERROR(VLOOKUP($A322,'Telstra ExDa'!$B$2:$K$310, 0,FALSE), IFERROR(VLOOKUP($A322,'Vocus RVC ExDa'!$C$2:$R$155, 0,FALSE), IFERROR(VLOOKUP($A322,'Fusion ExDa'!$B$2:$D$16, 0,FALSE), IFERROR(VLOOKUP($A322,'Exetel ExDa'!$C$2:$N$14, 11,FALSE), IFERROR(VLOOKUP($A322,'Infinet ExDa'!$B$2:$E$14, 0,FALSE), "Not Found"))))))))</f>
        <v>0</v>
      </c>
      <c r="N322" t="str">
        <f>IFERROR(VLOOKUP($A322,'AAPT ExDa'!$B$2:$U$99, 0,FALSE), IFERROR(VLOOKUP($A322,'ABB ExDa'!$A$2:$N$184, 13,FALSE), IFERROR(VLOOKUP($A322,'Vocus SIT ExDa'!$B$2:$J$173, 0,FALSE), IFERROR(VLOOKUP($A322,'Telstra ExDa'!$B$2:$K$310, 0,FALSE), IFERROR(VLOOKUP($A322,'Vocus RVC ExDa'!$C$2:$R$155, 0,FALSE), IFERROR(VLOOKUP($A322,'Fusion ExDa'!$B$2:$D$16, 0,FALSE), IFERROR(VLOOKUP($A322,'Exetel ExDa'!$C$2:$N$14, 0,FALSE), IFERROR(VLOOKUP($A322,'Infinet ExDa'!$B$2:$E$14, 0,FALSE), "Not Found"))))))))</f>
        <v>Not Found</v>
      </c>
    </row>
    <row r="323" spans="1:14">
      <c r="A323" t="str">
        <v>Caravan &amp; RV Works</v>
      </c>
      <c r="B323" t="str">
        <f>IFERROR(VLOOKUP(A323,'Exetel ExDa'!$C$2:$N$14,4,FALSE),"No Data")</f>
        <v>No Data</v>
      </c>
      <c r="C323">
        <f>IFERROR(VLOOKUP(A323,'AAPT ExDa'!$B$2:$U$99, 2,FALSE), IFERROR(VLOOKUP(A323,'ABB ExDa'!$A$2:$N$184, 2,FALSE), IFERROR(VLOOKUP(A323,'Vocus SIT ExDa'!$B$2:$J$173, 7,FALSE), IFERROR(VLOOKUP(A323,'Telstra ExDa'!$B$2:$K$310, 2,FALSE), IFERROR(VLOOKUP(A323,'Vocus RVC ExDa'!$C$2:$R$155, 3,FALSE), IFERROR(VLOOKUP(A323,'Fusion ExDa'!$B$2:$D$16, 2,FALSE), IFERROR(VLOOKUP(A323,'Exetel ExDa'!$C$2:$N$14, 2,FALSE), IFERROR(VLOOKUP(A323,'Infinet ExDa'!$B$2:$E$14, 2,FALSE), "Not Found"))))))))</f>
        <v>0</v>
      </c>
      <c r="D323" t="str">
        <f>IFERROR(VLOOKUP($A323,'AAPT ExDa'!$B$2:$U$99, 15,FALSE), IFERROR(VLOOKUP($A323,'ABB ExDa'!$A$2:$N$184, 4,FALSE), IFERROR(VLOOKUP($A323,'Vocus SIT ExDa'!$B$2:$J$173, 5,FALSE), IFERROR(VLOOKUP($A323,'Telstra ExDa'!$B$2:$K$310, 8,FALSE), IFERROR(VLOOKUP($A323,'Vocus RVC ExDa'!$C$2:$R$155, 6,FALSE), IFERROR(VLOOKUP($A323,'Fusion ExDa'!$B$2:$D$16, 4,FALSE), IFERROR(VLOOKUP($A323,'Exetel ExDa'!$C$2:$N$14, 3,FALSE), IFERROR(VLOOKUP($A323,'Infinet ExDa'!$B$2:$E$14, 3,FALSE), "Not Found"))))))))</f>
        <v>AAPT</v>
      </c>
      <c r="E323" t="str">
        <f>IFERROR(VLOOKUP($A323,'AAPT ExDa'!$B$2:$U$99, 3,FALSE), IFERROR(VLOOKUP($A323,'ABB ExDa'!$A$2:$N$184, 5,FALSE), IFERROR(VLOOKUP($A323,'Vocus SIT ExDa'!$B$2:$J$173, 2,FALSE), IFERROR(VLOOKUP($A323,'Telstra ExDa'!$B$2:$K$310, 4,FALSE), IFERROR(VLOOKUP($A323,'Vocus RVC ExDa'!$C$2:$R$155, 8,FALSE), IFERROR(VLOOKUP($A323,'Fusion ExDa'!$B$2:$D$16, 4,FALSE), IFERROR(VLOOKUP($A323,'Exetel ExDa'!$C$2:$N$14, 5,FALSE), IFERROR(VLOOKUP($A323,'Infinet ExDa'!$B$2:$E$14, 3,FALSE), "Not Found"))))))))</f>
        <v>IP-Line</v>
      </c>
      <c r="F323" t="str">
        <f>IFERROR(VLOOKUP($A323,'AAPT ExDa'!$B$2:$U$99, 4,FALSE), IFERROR(VLOOKUP($A323,'ABB ExDa'!$A$2:$N$184, 6,FALSE), IFERROR(VLOOKUP($A323,'Vocus SIT ExDa'!$B$2:$J$173, 3,FALSE), IFERROR(VLOOKUP($A323,'Telstra ExDa'!$B$2:$K$310, 5,FALSE), IFERROR(VLOOKUP($A323,'Vocus RVC ExDa'!$C$2:$R$155, 9,FALSE), IFERROR(VLOOKUP($A323,'Fusion ExDa'!$B$2:$D$16, 0,FALSE), IFERROR(VLOOKUP($A323,'Exetel ExDa'!$C$2:$N$14, 6,FALSE), IFERROR(VLOOKUP($A323,'Infinet ExDa'!$B$2:$E$14, 0,FALSE), "Not Found"))))))))</f>
        <v>IP-Line Link</v>
      </c>
      <c r="G323" t="str">
        <f>IFERROR(VLOOKUP($A323,'AAPT ExDa'!$B$2:$U$99, 5,FALSE), IFERROR(VLOOKUP($A323,'ABB ExDa'!$A$2:$N$184, 8,FALSE), IFERROR(VLOOKUP($A323,'Vocus SIT ExDa'!$B$2:$J$173, 6,FALSE), IFERROR(VLOOKUP($A323,'Telstra ExDa'!$B$2:$K$310, 0,FALSE), IFERROR(VLOOKUP($A323,'Vocus RVC ExDa'!$C$2:$R$155, 15,FALSE), IFERROR(VLOOKUP($A323,'Fusion ExDa'!$B$2:$D$16, 0,FALSE), IFERROR(VLOOKUP($A323,'Exetel ExDa'!$C$2:$N$14, 7,FALSE), IFERROR(VLOOKUP($A323,'Infinet ExDa'!$B$2:$E$14, 0,FALSE), "Not Found"))))))))</f>
        <v>Connecting IP-Line 6023265 to Access 1818765</v>
      </c>
      <c r="H323" t="str">
        <f>IFERROR(VLOOKUP($A323,'AAPT ExDa'!$B$2:$U$99, 6,FALSE), IFERROR(VLOOKUP($A323,'ABB ExDa'!$A$2:$N$184, 0,FALSE), IFERROR(VLOOKUP($A323,'Vocus SIT ExDa'!$B$2:$J$173, 0,FALSE), IFERROR(VLOOKUP($A323,'Telstra ExDa'!$B$2:$K$310, 0,FALSE), IFERROR(VLOOKUP($A323,'Vocus RVC ExDa'!$C$2:$R$155, 16,FALSE), IFERROR(VLOOKUP($A323,'Fusion ExDa'!$B$2:$D$16, 0,FALSE), IFERROR(VLOOKUP($A323,'Exetel ExDa'!$C$2:$N$14, 0,FALSE), IFERROR(VLOOKUP($A323,'Infinet ExDa'!$B$2:$E$14, 0,FALSE), "Not Found"))))))))</f>
        <v>Up to 100/40Mbps; AVC ID:AVC000107543920</v>
      </c>
      <c r="I323" t="str">
        <f>IFERROR(VLOOKUP($A323,'AAPT ExDa'!$B$2:$U$99, 0,FALSE), IFERROR(VLOOKUP($A323,'ABB ExDa'!$A$2:$N$184, 0,FALSE), IFERROR(VLOOKUP($A323,'Vocus SIT ExDa'!$B$2:$J$173, 0,FALSE), IFERROR(VLOOKUP($A323,'Telstra ExDa'!$B$2:$K$310, 0,FALSE), IFERROR(VLOOKUP($A323,'Vocus RVC ExDa'!$C$2:$R$155, 0,FALSE), IFERROR(VLOOKUP($A323,'Fusion ExDa'!$B$2:$D$16, 0,FALSE), IFERROR(VLOOKUP($A323,'Exetel ExDa'!$C$2:$N$14, 8,FALSE), IFERROR(VLOOKUP($A323,'Infinet ExDa'!$B$2:$E$14, 0,FALSE), "Not Found"))))))))</f>
        <v>Not Found</v>
      </c>
      <c r="J323" t="str">
        <f>IFERROR(VLOOKUP($A323,'AAPT ExDa'!$B$2:$U$99, 7,FALSE), IFERROR(VLOOKUP($A323,'ABB ExDa'!$A$2:$N$184, 2,FALSE), IFERROR(VLOOKUP($A323,'Vocus SIT ExDa'!$B$2:$J$173, 0,FALSE), IFERROR(VLOOKUP($A323,'Telstra ExDa'!$B$2:$K$310, 7,FALSE), IFERROR(VLOOKUP($A323,'Vocus RVC ExDa'!$C$2:$R$155, 2,FALSE), IFERROR(VLOOKUP($A323,'Fusion ExDa'!$B$2:$D$16, 3,FALSE), IFERROR(VLOOKUP($A323,'Exetel ExDa'!$C$2:$N$14, 0,FALSE), IFERROR(VLOOKUP($A323,'Infinet ExDa'!$B$2:$E$14, 0,FALSE), "Not Found"))))))))</f>
        <v>AVC000107543920</v>
      </c>
      <c r="K323" t="str">
        <f>IFERROR(VLOOKUP($A323,'AAPT ExDa'!$B$2:$U$99, 12,FALSE), IFERROR(VLOOKUP($A323,'ABB ExDa'!$A$2:$N$184, 0,FALSE), IFERROR(VLOOKUP($A323,'Vocus SIT ExDa'!$B$2:$J$173, 0,FALSE), IFERROR(VLOOKUP($A323,'Telstra ExDa'!$B$2:$K$310, 0,FALSE), IFERROR(VLOOKUP($A323,'Vocus RVC ExDa'!$C$2:$R$155, 0,FALSE), IFERROR(VLOOKUP($A323,'Fusion ExDa'!$B$2:$D$16, 0,FALSE), IFERROR(VLOOKUP($A323,'Exetel ExDa'!$C$2:$N$14, 12,FALSE), IFERROR(VLOOKUP($A323,'Infinet ExDa'!$B$2:$E$14, 0,FALSE), "Not Found"))))))))</f>
        <v>24 Months</v>
      </c>
      <c r="L323" s="235" t="str">
        <f>IFERROR(VLOOKUP($A323,'AAPT ExDa'!$B$2:$U$99, 11,FALSE), IFERROR(VLOOKUP($A323,'ABB ExDa'!$A$2:$N$184, 9,FALSE), IFERROR(VLOOKUP($A323,'Vocus SIT ExDa'!$B$2:$J$173, 8,FALSE), IFERROR(VLOOKUP($A323,'Telstra ExDa'!$B$2:$K$310, 0,FALSE), IFERROR(VLOOKUP($A323,'Vocus RVC ExDa'!$C$2:$R$155, 0,FALSE), IFERROR(VLOOKUP($A323,'Fusion ExDa'!$B$2:$D$16, 0,FALSE), IFERROR(VLOOKUP($A323,'Exetel ExDa'!$C$2:$N$14, 9,FALSE), IFERROR(VLOOKUP($A323,'Infinet ExDa'!$B$2:$E$14, 0,FALSE), "Not Found"))))))))</f>
        <v>20/05/2020</v>
      </c>
      <c r="M323" s="234" t="str">
        <f>IFERROR(VLOOKUP($A323,'AAPT ExDa'!$B$2:$U$99, 0,FALSE), IFERROR(VLOOKUP($A323,'ABB ExDa'!$A$2:$N$184, 0,FALSE), IFERROR(VLOOKUP($A323,'Vocus SIT ExDa'!$B$2:$J$173, 0,FALSE), IFERROR(VLOOKUP($A323,'Telstra ExDa'!$B$2:$K$310, 0,FALSE), IFERROR(VLOOKUP($A323,'Vocus RVC ExDa'!$C$2:$R$155, 0,FALSE), IFERROR(VLOOKUP($A323,'Fusion ExDa'!$B$2:$D$16, 0,FALSE), IFERROR(VLOOKUP($A323,'Exetel ExDa'!$C$2:$N$14, 11,FALSE), IFERROR(VLOOKUP($A323,'Infinet ExDa'!$B$2:$E$14, 0,FALSE), "Not Found"))))))))</f>
        <v>Not Found</v>
      </c>
      <c r="N323" t="str">
        <f>IFERROR(VLOOKUP($A323,'AAPT ExDa'!$B$2:$U$99, 0,FALSE), IFERROR(VLOOKUP($A323,'ABB ExDa'!$A$2:$N$184, 13,FALSE), IFERROR(VLOOKUP($A323,'Vocus SIT ExDa'!$B$2:$J$173, 0,FALSE), IFERROR(VLOOKUP($A323,'Telstra ExDa'!$B$2:$K$310, 0,FALSE), IFERROR(VLOOKUP($A323,'Vocus RVC ExDa'!$C$2:$R$155, 0,FALSE), IFERROR(VLOOKUP($A323,'Fusion ExDa'!$B$2:$D$16, 0,FALSE), IFERROR(VLOOKUP($A323,'Exetel ExDa'!$C$2:$N$14, 0,FALSE), IFERROR(VLOOKUP($A323,'Infinet ExDa'!$B$2:$E$14, 0,FALSE), "Not Found"))))))))</f>
        <v>Not Found</v>
      </c>
    </row>
    <row r="324" spans="1:14">
      <c r="A324" t="str">
        <v>Smile IT</v>
      </c>
      <c r="B324" t="str">
        <f>IFERROR(VLOOKUP(A324,'Exetel ExDa'!$C$2:$N$14,4,FALSE),"No Data")</f>
        <v>0701561050</v>
      </c>
      <c r="C324">
        <f>IFERROR(VLOOKUP(A324,'AAPT ExDa'!$B$2:$U$99, 2,FALSE), IFERROR(VLOOKUP(A324,'ABB ExDa'!$A$2:$N$184, 2,FALSE), IFERROR(VLOOKUP(A324,'Vocus SIT ExDa'!$B$2:$J$173, 7,FALSE), IFERROR(VLOOKUP(A324,'Telstra ExDa'!$B$2:$K$310, 2,FALSE), IFERROR(VLOOKUP(A324,'Vocus RVC ExDa'!$C$2:$R$155, 3,FALSE), IFERROR(VLOOKUP(A324,'Fusion ExDa'!$B$2:$D$16, 2,FALSE), IFERROR(VLOOKUP(A324,'Exetel ExDa'!$C$2:$N$14, 2,FALSE), IFERROR(VLOOKUP(A324,'Infinet ExDa'!$B$2:$E$14, 2,FALSE), "Not Found"))))))))</f>
        <v>0</v>
      </c>
      <c r="D324" t="str">
        <f>IFERROR(VLOOKUP($A324,'AAPT ExDa'!$B$2:$U$99, 15,FALSE), IFERROR(VLOOKUP($A324,'ABB ExDa'!$A$2:$N$184, 4,FALSE), IFERROR(VLOOKUP($A324,'Vocus SIT ExDa'!$B$2:$J$173, 5,FALSE), IFERROR(VLOOKUP($A324,'Telstra ExDa'!$B$2:$K$310, 8,FALSE), IFERROR(VLOOKUP($A324,'Vocus RVC ExDa'!$C$2:$R$155, 6,FALSE), IFERROR(VLOOKUP($A324,'Fusion ExDa'!$B$2:$D$16, 4,FALSE), IFERROR(VLOOKUP($A324,'Exetel ExDa'!$C$2:$N$14, 3,FALSE), IFERROR(VLOOKUP($A324,'Infinet ExDa'!$B$2:$E$14, 3,FALSE), "Not Found"))))))))</f>
        <v>AAPT</v>
      </c>
      <c r="E324" t="str">
        <f>IFERROR(VLOOKUP($A324,'AAPT ExDa'!$B$2:$U$99, 3,FALSE), IFERROR(VLOOKUP($A324,'ABB ExDa'!$A$2:$N$184, 5,FALSE), IFERROR(VLOOKUP($A324,'Vocus SIT ExDa'!$B$2:$J$173, 2,FALSE), IFERROR(VLOOKUP($A324,'Telstra ExDa'!$B$2:$K$310, 4,FALSE), IFERROR(VLOOKUP($A324,'Vocus RVC ExDa'!$C$2:$R$155, 8,FALSE), IFERROR(VLOOKUP($A324,'Fusion ExDa'!$B$2:$D$16, 4,FALSE), IFERROR(VLOOKUP($A324,'Exetel ExDa'!$C$2:$N$14, 5,FALSE), IFERROR(VLOOKUP($A324,'Infinet ExDa'!$B$2:$E$14, 3,FALSE), "Not Found"))))))))</f>
        <v>IP-Line</v>
      </c>
      <c r="F324" t="str">
        <f>IFERROR(VLOOKUP($A324,'AAPT ExDa'!$B$2:$U$99, 4,FALSE), IFERROR(VLOOKUP($A324,'ABB ExDa'!$A$2:$N$184, 6,FALSE), IFERROR(VLOOKUP($A324,'Vocus SIT ExDa'!$B$2:$J$173, 3,FALSE), IFERROR(VLOOKUP($A324,'Telstra ExDa'!$B$2:$K$310, 5,FALSE), IFERROR(VLOOKUP($A324,'Vocus RVC ExDa'!$C$2:$R$155, 9,FALSE), IFERROR(VLOOKUP($A324,'Fusion ExDa'!$B$2:$D$16, 0,FALSE), IFERROR(VLOOKUP($A324,'Exetel ExDa'!$C$2:$N$14, 6,FALSE), IFERROR(VLOOKUP($A324,'Infinet ExDa'!$B$2:$E$14, 0,FALSE), "Not Found"))))))))</f>
        <v>IP-Line Link</v>
      </c>
      <c r="G324" t="str">
        <f>IFERROR(VLOOKUP($A324,'AAPT ExDa'!$B$2:$U$99, 5,FALSE), IFERROR(VLOOKUP($A324,'ABB ExDa'!$A$2:$N$184, 8,FALSE), IFERROR(VLOOKUP($A324,'Vocus SIT ExDa'!$B$2:$J$173, 6,FALSE), IFERROR(VLOOKUP($A324,'Telstra ExDa'!$B$2:$K$310, 0,FALSE), IFERROR(VLOOKUP($A324,'Vocus RVC ExDa'!$C$2:$R$155, 15,FALSE), IFERROR(VLOOKUP($A324,'Fusion ExDa'!$B$2:$D$16, 0,FALSE), IFERROR(VLOOKUP($A324,'Exetel ExDa'!$C$2:$N$14, 7,FALSE), IFERROR(VLOOKUP($A324,'Infinet ExDa'!$B$2:$E$14, 0,FALSE), "Not Found"))))))))</f>
        <v>Connecting IP-Line 6023265 to Access 100773541</v>
      </c>
      <c r="H324" t="str">
        <f>IFERROR(VLOOKUP($A324,'AAPT ExDa'!$B$2:$U$99, 6,FALSE), IFERROR(VLOOKUP($A324,'ABB ExDa'!$A$2:$N$184, 0,FALSE), IFERROR(VLOOKUP($A324,'Vocus SIT ExDa'!$B$2:$J$173, 0,FALSE), IFERROR(VLOOKUP($A324,'Telstra ExDa'!$B$2:$K$310, 0,FALSE), IFERROR(VLOOKUP($A324,'Vocus RVC ExDa'!$C$2:$R$155, 16,FALSE), IFERROR(VLOOKUP($A324,'Fusion ExDa'!$B$2:$D$16, 0,FALSE), IFERROR(VLOOKUP($A324,'Exetel ExDa'!$C$2:$N$14, 0,FALSE), IFERROR(VLOOKUP($A324,'Infinet ExDa'!$B$2:$E$14, 0,FALSE), "Not Found"))))))))</f>
        <v>Up to 100/40Mbps; AVC ID:AVC000141025780</v>
      </c>
      <c r="I324">
        <f>IFERROR(VLOOKUP($A324,'AAPT ExDa'!$B$2:$U$99, 0,FALSE), IFERROR(VLOOKUP($A324,'ABB ExDa'!$A$2:$N$184, 0,FALSE), IFERROR(VLOOKUP($A324,'Vocus SIT ExDa'!$B$2:$J$173, 0,FALSE), IFERROR(VLOOKUP($A324,'Telstra ExDa'!$B$2:$K$310, 0,FALSE), IFERROR(VLOOKUP($A324,'Vocus RVC ExDa'!$C$2:$R$155, 0,FALSE), IFERROR(VLOOKUP($A324,'Fusion ExDa'!$B$2:$D$16, 0,FALSE), IFERROR(VLOOKUP($A324,'Exetel ExDa'!$C$2:$N$14, 8,FALSE), IFERROR(VLOOKUP($A324,'Infinet ExDa'!$B$2:$E$14, 0,FALSE), "Not Found"))))))))</f>
        <v>0</v>
      </c>
      <c r="J324" t="str">
        <f>IFERROR(VLOOKUP($A324,'AAPT ExDa'!$B$2:$U$99, 7,FALSE), IFERROR(VLOOKUP($A324,'ABB ExDa'!$A$2:$N$184, 2,FALSE), IFERROR(VLOOKUP($A324,'Vocus SIT ExDa'!$B$2:$J$173, 0,FALSE), IFERROR(VLOOKUP($A324,'Telstra ExDa'!$B$2:$K$310, 7,FALSE), IFERROR(VLOOKUP($A324,'Vocus RVC ExDa'!$C$2:$R$155, 2,FALSE), IFERROR(VLOOKUP($A324,'Fusion ExDa'!$B$2:$D$16, 3,FALSE), IFERROR(VLOOKUP($A324,'Exetel ExDa'!$C$2:$N$14, 0,FALSE), IFERROR(VLOOKUP($A324,'Infinet ExDa'!$B$2:$E$14, 0,FALSE), "Not Found"))))))))</f>
        <v>AVC000141025780</v>
      </c>
      <c r="K324" t="str">
        <f>IFERROR(VLOOKUP($A324,'AAPT ExDa'!$B$2:$U$99, 12,FALSE), IFERROR(VLOOKUP($A324,'ABB ExDa'!$A$2:$N$184, 0,FALSE), IFERROR(VLOOKUP($A324,'Vocus SIT ExDa'!$B$2:$J$173, 0,FALSE), IFERROR(VLOOKUP($A324,'Telstra ExDa'!$B$2:$K$310, 0,FALSE), IFERROR(VLOOKUP($A324,'Vocus RVC ExDa'!$C$2:$R$155, 0,FALSE), IFERROR(VLOOKUP($A324,'Fusion ExDa'!$B$2:$D$16, 0,FALSE), IFERROR(VLOOKUP($A324,'Exetel ExDa'!$C$2:$N$14, 12,FALSE), IFERROR(VLOOKUP($A324,'Infinet ExDa'!$B$2:$E$14, 0,FALSE), "Not Found"))))))))</f>
        <v>12 Months</v>
      </c>
      <c r="L324" s="235">
        <f>IFERROR(VLOOKUP($A324,'AAPT ExDa'!$B$2:$U$99, 11,FALSE), IFERROR(VLOOKUP($A324,'ABB ExDa'!$A$2:$N$184, 9,FALSE), IFERROR(VLOOKUP($A324,'Vocus SIT ExDa'!$B$2:$J$173, 8,FALSE), IFERROR(VLOOKUP($A324,'Telstra ExDa'!$B$2:$K$310, 0,FALSE), IFERROR(VLOOKUP($A324,'Vocus RVC ExDa'!$C$2:$R$155, 0,FALSE), IFERROR(VLOOKUP($A324,'Fusion ExDa'!$B$2:$D$16, 0,FALSE), IFERROR(VLOOKUP($A324,'Exetel ExDa'!$C$2:$N$14, 9,FALSE), IFERROR(VLOOKUP($A324,'Infinet ExDa'!$B$2:$E$14, 0,FALSE), "Not Found"))))))))</f>
        <v>44297</v>
      </c>
      <c r="M324" s="234">
        <f>IFERROR(VLOOKUP($A324,'AAPT ExDa'!$B$2:$U$99, 0,FALSE), IFERROR(VLOOKUP($A324,'ABB ExDa'!$A$2:$N$184, 0,FALSE), IFERROR(VLOOKUP($A324,'Vocus SIT ExDa'!$B$2:$J$173, 0,FALSE), IFERROR(VLOOKUP($A324,'Telstra ExDa'!$B$2:$K$310, 0,FALSE), IFERROR(VLOOKUP($A324,'Vocus RVC ExDa'!$C$2:$R$155, 0,FALSE), IFERROR(VLOOKUP($A324,'Fusion ExDa'!$B$2:$D$16, 0,FALSE), IFERROR(VLOOKUP($A324,'Exetel ExDa'!$C$2:$N$14, 11,FALSE), IFERROR(VLOOKUP($A324,'Infinet ExDa'!$B$2:$E$14, 0,FALSE), "Not Found"))))))))</f>
        <v>0</v>
      </c>
      <c r="N324" t="str">
        <f>IFERROR(VLOOKUP($A324,'AAPT ExDa'!$B$2:$U$99, 0,FALSE), IFERROR(VLOOKUP($A324,'ABB ExDa'!$A$2:$N$184, 13,FALSE), IFERROR(VLOOKUP($A324,'Vocus SIT ExDa'!$B$2:$J$173, 0,FALSE), IFERROR(VLOOKUP($A324,'Telstra ExDa'!$B$2:$K$310, 0,FALSE), IFERROR(VLOOKUP($A324,'Vocus RVC ExDa'!$C$2:$R$155, 0,FALSE), IFERROR(VLOOKUP($A324,'Fusion ExDa'!$B$2:$D$16, 0,FALSE), IFERROR(VLOOKUP($A324,'Exetel ExDa'!$C$2:$N$14, 0,FALSE), IFERROR(VLOOKUP($A324,'Infinet ExDa'!$B$2:$E$14, 0,FALSE), "Not Found"))))))))</f>
        <v>Not Found</v>
      </c>
    </row>
    <row r="325" spans="1:14">
      <c r="A325" t="str">
        <v>Smile IT</v>
      </c>
      <c r="B325" t="str">
        <f>IFERROR(VLOOKUP(A325,'Exetel ExDa'!$C$2:$N$14,4,FALSE),"No Data")</f>
        <v>0701561050</v>
      </c>
      <c r="C325">
        <f>IFERROR(VLOOKUP(A325,'AAPT ExDa'!$B$2:$U$99, 2,FALSE), IFERROR(VLOOKUP(A325,'ABB ExDa'!$A$2:$N$184, 2,FALSE), IFERROR(VLOOKUP(A325,'Vocus SIT ExDa'!$B$2:$J$173, 7,FALSE), IFERROR(VLOOKUP(A325,'Telstra ExDa'!$B$2:$K$310, 2,FALSE), IFERROR(VLOOKUP(A325,'Vocus RVC ExDa'!$C$2:$R$155, 3,FALSE), IFERROR(VLOOKUP(A325,'Fusion ExDa'!$B$2:$D$16, 2,FALSE), IFERROR(VLOOKUP(A325,'Exetel ExDa'!$C$2:$N$14, 2,FALSE), IFERROR(VLOOKUP(A325,'Infinet ExDa'!$B$2:$E$14, 2,FALSE), "Not Found"))))))))</f>
        <v>0</v>
      </c>
      <c r="D325" t="str">
        <f>IFERROR(VLOOKUP($A325,'AAPT ExDa'!$B$2:$U$99, 15,FALSE), IFERROR(VLOOKUP($A325,'ABB ExDa'!$A$2:$N$184, 4,FALSE), IFERROR(VLOOKUP($A325,'Vocus SIT ExDa'!$B$2:$J$173, 5,FALSE), IFERROR(VLOOKUP($A325,'Telstra ExDa'!$B$2:$K$310, 8,FALSE), IFERROR(VLOOKUP($A325,'Vocus RVC ExDa'!$C$2:$R$155, 6,FALSE), IFERROR(VLOOKUP($A325,'Fusion ExDa'!$B$2:$D$16, 4,FALSE), IFERROR(VLOOKUP($A325,'Exetel ExDa'!$C$2:$N$14, 3,FALSE), IFERROR(VLOOKUP($A325,'Infinet ExDa'!$B$2:$E$14, 3,FALSE), "Not Found"))))))))</f>
        <v>AAPT</v>
      </c>
      <c r="E325" t="str">
        <f>IFERROR(VLOOKUP($A325,'AAPT ExDa'!$B$2:$U$99, 3,FALSE), IFERROR(VLOOKUP($A325,'ABB ExDa'!$A$2:$N$184, 5,FALSE), IFERROR(VLOOKUP($A325,'Vocus SIT ExDa'!$B$2:$J$173, 2,FALSE), IFERROR(VLOOKUP($A325,'Telstra ExDa'!$B$2:$K$310, 4,FALSE), IFERROR(VLOOKUP($A325,'Vocus RVC ExDa'!$C$2:$R$155, 8,FALSE), IFERROR(VLOOKUP($A325,'Fusion ExDa'!$B$2:$D$16, 4,FALSE), IFERROR(VLOOKUP($A325,'Exetel ExDa'!$C$2:$N$14, 5,FALSE), IFERROR(VLOOKUP($A325,'Infinet ExDa'!$B$2:$E$14, 3,FALSE), "Not Found"))))))))</f>
        <v>IP-Line</v>
      </c>
      <c r="F325" t="str">
        <f>IFERROR(VLOOKUP($A325,'AAPT ExDa'!$B$2:$U$99, 4,FALSE), IFERROR(VLOOKUP($A325,'ABB ExDa'!$A$2:$N$184, 6,FALSE), IFERROR(VLOOKUP($A325,'Vocus SIT ExDa'!$B$2:$J$173, 3,FALSE), IFERROR(VLOOKUP($A325,'Telstra ExDa'!$B$2:$K$310, 5,FALSE), IFERROR(VLOOKUP($A325,'Vocus RVC ExDa'!$C$2:$R$155, 9,FALSE), IFERROR(VLOOKUP($A325,'Fusion ExDa'!$B$2:$D$16, 0,FALSE), IFERROR(VLOOKUP($A325,'Exetel ExDa'!$C$2:$N$14, 6,FALSE), IFERROR(VLOOKUP($A325,'Infinet ExDa'!$B$2:$E$14, 0,FALSE), "Not Found"))))))))</f>
        <v>IP-Line Link</v>
      </c>
      <c r="G325" t="str">
        <f>IFERROR(VLOOKUP($A325,'AAPT ExDa'!$B$2:$U$99, 5,FALSE), IFERROR(VLOOKUP($A325,'ABB ExDa'!$A$2:$N$184, 8,FALSE), IFERROR(VLOOKUP($A325,'Vocus SIT ExDa'!$B$2:$J$173, 6,FALSE), IFERROR(VLOOKUP($A325,'Telstra ExDa'!$B$2:$K$310, 0,FALSE), IFERROR(VLOOKUP($A325,'Vocus RVC ExDa'!$C$2:$R$155, 15,FALSE), IFERROR(VLOOKUP($A325,'Fusion ExDa'!$B$2:$D$16, 0,FALSE), IFERROR(VLOOKUP($A325,'Exetel ExDa'!$C$2:$N$14, 7,FALSE), IFERROR(VLOOKUP($A325,'Infinet ExDa'!$B$2:$E$14, 0,FALSE), "Not Found"))))))))</f>
        <v>Connecting IP-Line 6023265 to Access 100773541</v>
      </c>
      <c r="H325" t="str">
        <f>IFERROR(VLOOKUP($A325,'AAPT ExDa'!$B$2:$U$99, 6,FALSE), IFERROR(VLOOKUP($A325,'ABB ExDa'!$A$2:$N$184, 0,FALSE), IFERROR(VLOOKUP($A325,'Vocus SIT ExDa'!$B$2:$J$173, 0,FALSE), IFERROR(VLOOKUP($A325,'Telstra ExDa'!$B$2:$K$310, 0,FALSE), IFERROR(VLOOKUP($A325,'Vocus RVC ExDa'!$C$2:$R$155, 16,FALSE), IFERROR(VLOOKUP($A325,'Fusion ExDa'!$B$2:$D$16, 0,FALSE), IFERROR(VLOOKUP($A325,'Exetel ExDa'!$C$2:$N$14, 0,FALSE), IFERROR(VLOOKUP($A325,'Infinet ExDa'!$B$2:$E$14, 0,FALSE), "Not Found"))))))))</f>
        <v>Up to 100/40Mbps; AVC ID:AVC000141025780</v>
      </c>
      <c r="I325">
        <f>IFERROR(VLOOKUP($A325,'AAPT ExDa'!$B$2:$U$99, 0,FALSE), IFERROR(VLOOKUP($A325,'ABB ExDa'!$A$2:$N$184, 0,FALSE), IFERROR(VLOOKUP($A325,'Vocus SIT ExDa'!$B$2:$J$173, 0,FALSE), IFERROR(VLOOKUP($A325,'Telstra ExDa'!$B$2:$K$310, 0,FALSE), IFERROR(VLOOKUP($A325,'Vocus RVC ExDa'!$C$2:$R$155, 0,FALSE), IFERROR(VLOOKUP($A325,'Fusion ExDa'!$B$2:$D$16, 0,FALSE), IFERROR(VLOOKUP($A325,'Exetel ExDa'!$C$2:$N$14, 8,FALSE), IFERROR(VLOOKUP($A325,'Infinet ExDa'!$B$2:$E$14, 0,FALSE), "Not Found"))))))))</f>
        <v>0</v>
      </c>
      <c r="J325" t="str">
        <f>IFERROR(VLOOKUP($A325,'AAPT ExDa'!$B$2:$U$99, 7,FALSE), IFERROR(VLOOKUP($A325,'ABB ExDa'!$A$2:$N$184, 2,FALSE), IFERROR(VLOOKUP($A325,'Vocus SIT ExDa'!$B$2:$J$173, 0,FALSE), IFERROR(VLOOKUP($A325,'Telstra ExDa'!$B$2:$K$310, 7,FALSE), IFERROR(VLOOKUP($A325,'Vocus RVC ExDa'!$C$2:$R$155, 2,FALSE), IFERROR(VLOOKUP($A325,'Fusion ExDa'!$B$2:$D$16, 3,FALSE), IFERROR(VLOOKUP($A325,'Exetel ExDa'!$C$2:$N$14, 0,FALSE), IFERROR(VLOOKUP($A325,'Infinet ExDa'!$B$2:$E$14, 0,FALSE), "Not Found"))))))))</f>
        <v>AVC000141025780</v>
      </c>
      <c r="K325" t="str">
        <f>IFERROR(VLOOKUP($A325,'AAPT ExDa'!$B$2:$U$99, 12,FALSE), IFERROR(VLOOKUP($A325,'ABB ExDa'!$A$2:$N$184, 0,FALSE), IFERROR(VLOOKUP($A325,'Vocus SIT ExDa'!$B$2:$J$173, 0,FALSE), IFERROR(VLOOKUP($A325,'Telstra ExDa'!$B$2:$K$310, 0,FALSE), IFERROR(VLOOKUP($A325,'Vocus RVC ExDa'!$C$2:$R$155, 0,FALSE), IFERROR(VLOOKUP($A325,'Fusion ExDa'!$B$2:$D$16, 0,FALSE), IFERROR(VLOOKUP($A325,'Exetel ExDa'!$C$2:$N$14, 12,FALSE), IFERROR(VLOOKUP($A325,'Infinet ExDa'!$B$2:$E$14, 0,FALSE), "Not Found"))))))))</f>
        <v>12 Months</v>
      </c>
      <c r="L325" s="235">
        <f>IFERROR(VLOOKUP($A325,'AAPT ExDa'!$B$2:$U$99, 11,FALSE), IFERROR(VLOOKUP($A325,'ABB ExDa'!$A$2:$N$184, 9,FALSE), IFERROR(VLOOKUP($A325,'Vocus SIT ExDa'!$B$2:$J$173, 8,FALSE), IFERROR(VLOOKUP($A325,'Telstra ExDa'!$B$2:$K$310, 0,FALSE), IFERROR(VLOOKUP($A325,'Vocus RVC ExDa'!$C$2:$R$155, 0,FALSE), IFERROR(VLOOKUP($A325,'Fusion ExDa'!$B$2:$D$16, 0,FALSE), IFERROR(VLOOKUP($A325,'Exetel ExDa'!$C$2:$N$14, 9,FALSE), IFERROR(VLOOKUP($A325,'Infinet ExDa'!$B$2:$E$14, 0,FALSE), "Not Found"))))))))</f>
        <v>44297</v>
      </c>
      <c r="M325" s="234">
        <f>IFERROR(VLOOKUP($A325,'AAPT ExDa'!$B$2:$U$99, 0,FALSE), IFERROR(VLOOKUP($A325,'ABB ExDa'!$A$2:$N$184, 0,FALSE), IFERROR(VLOOKUP($A325,'Vocus SIT ExDa'!$B$2:$J$173, 0,FALSE), IFERROR(VLOOKUP($A325,'Telstra ExDa'!$B$2:$K$310, 0,FALSE), IFERROR(VLOOKUP($A325,'Vocus RVC ExDa'!$C$2:$R$155, 0,FALSE), IFERROR(VLOOKUP($A325,'Fusion ExDa'!$B$2:$D$16, 0,FALSE), IFERROR(VLOOKUP($A325,'Exetel ExDa'!$C$2:$N$14, 11,FALSE), IFERROR(VLOOKUP($A325,'Infinet ExDa'!$B$2:$E$14, 0,FALSE), "Not Found"))))))))</f>
        <v>0</v>
      </c>
      <c r="N325" t="str">
        <f>IFERROR(VLOOKUP($A325,'AAPT ExDa'!$B$2:$U$99, 0,FALSE), IFERROR(VLOOKUP($A325,'ABB ExDa'!$A$2:$N$184, 13,FALSE), IFERROR(VLOOKUP($A325,'Vocus SIT ExDa'!$B$2:$J$173, 0,FALSE), IFERROR(VLOOKUP($A325,'Telstra ExDa'!$B$2:$K$310, 0,FALSE), IFERROR(VLOOKUP($A325,'Vocus RVC ExDa'!$C$2:$R$155, 0,FALSE), IFERROR(VLOOKUP($A325,'Fusion ExDa'!$B$2:$D$16, 0,FALSE), IFERROR(VLOOKUP($A325,'Exetel ExDa'!$C$2:$N$14, 0,FALSE), IFERROR(VLOOKUP($A325,'Infinet ExDa'!$B$2:$E$14, 0,FALSE), "Not Found"))))))))</f>
        <v>Not Found</v>
      </c>
    </row>
    <row r="326" spans="1:14">
      <c r="A326" t="str">
        <v>Lead Institute</v>
      </c>
      <c r="B326" t="str">
        <f>IFERROR(VLOOKUP(A326,'Exetel ExDa'!$C$2:$N$14,4,FALSE),"No Data")</f>
        <v>No Data</v>
      </c>
      <c r="C326" t="str">
        <f>IFERROR(VLOOKUP(A326,'AAPT ExDa'!$B$2:$U$99, 2,FALSE), IFERROR(VLOOKUP(A326,'ABB ExDa'!$A$2:$N$184, 2,FALSE), IFERROR(VLOOKUP(A326,'Vocus SIT ExDa'!$B$2:$J$173, 7,FALSE), IFERROR(VLOOKUP(A326,'Telstra ExDa'!$B$2:$K$310, 2,FALSE), IFERROR(VLOOKUP(A326,'Vocus RVC ExDa'!$C$2:$R$155, 3,FALSE), IFERROR(VLOOKUP(A326,'Fusion ExDa'!$B$2:$D$16, 2,FALSE), IFERROR(VLOOKUP(A326,'Exetel ExDa'!$C$2:$N$14, 2,FALSE), IFERROR(VLOOKUP(A326,'Infinet ExDa'!$B$2:$E$14, 2,FALSE), "Not Found"))))))))</f>
        <v>Level 1D, 60 Enterprise Place, Tingalpa QLD 4174</v>
      </c>
      <c r="D326" t="str">
        <f>IFERROR(VLOOKUP($A326,'AAPT ExDa'!$B$2:$U$99, 15,FALSE), IFERROR(VLOOKUP($A326,'ABB ExDa'!$A$2:$N$184, 4,FALSE), IFERROR(VLOOKUP($A326,'Vocus SIT ExDa'!$B$2:$J$173, 5,FALSE), IFERROR(VLOOKUP($A326,'Telstra ExDa'!$B$2:$K$310, 8,FALSE), IFERROR(VLOOKUP($A326,'Vocus RVC ExDa'!$C$2:$R$155, 6,FALSE), IFERROR(VLOOKUP($A326,'Fusion ExDa'!$B$2:$D$16, 4,FALSE), IFERROR(VLOOKUP($A326,'Exetel ExDa'!$C$2:$N$14, 3,FALSE), IFERROR(VLOOKUP($A326,'Infinet ExDa'!$B$2:$E$14, 3,FALSE), "Not Found"))))))))</f>
        <v>Vocus SIT</v>
      </c>
      <c r="E326" t="str">
        <f>IFERROR(VLOOKUP($A326,'AAPT ExDa'!$B$2:$U$99, 3,FALSE), IFERROR(VLOOKUP($A326,'ABB ExDa'!$A$2:$N$184, 5,FALSE), IFERROR(VLOOKUP($A326,'Vocus SIT ExDa'!$B$2:$J$173, 2,FALSE), IFERROR(VLOOKUP($A326,'Telstra ExDa'!$B$2:$K$310, 4,FALSE), IFERROR(VLOOKUP($A326,'Vocus RVC ExDa'!$C$2:$R$155, 8,FALSE), IFERROR(VLOOKUP($A326,'Fusion ExDa'!$B$2:$D$16, 4,FALSE), IFERROR(VLOOKUP($A326,'Exetel ExDa'!$C$2:$N$14, 5,FALSE), IFERROR(VLOOKUP($A326,'Infinet ExDa'!$B$2:$E$14, 3,FALSE), "Not Found"))))))))</f>
        <v>Voice Service</v>
      </c>
      <c r="F326" t="str">
        <f>IFERROR(VLOOKUP($A326,'AAPT ExDa'!$B$2:$U$99, 4,FALSE), IFERROR(VLOOKUP($A326,'ABB ExDa'!$A$2:$N$184, 6,FALSE), IFERROR(VLOOKUP($A326,'Vocus SIT ExDa'!$B$2:$J$173, 3,FALSE), IFERROR(VLOOKUP($A326,'Telstra ExDa'!$B$2:$K$310, 5,FALSE), IFERROR(VLOOKUP($A326,'Vocus RVC ExDa'!$C$2:$R$155, 9,FALSE), IFERROR(VLOOKUP($A326,'Fusion ExDa'!$B$2:$D$16, 0,FALSE), IFERROR(VLOOKUP($A326,'Exetel ExDa'!$C$2:$N$14, 6,FALSE), IFERROR(VLOOKUP($A326,'Infinet ExDa'!$B$2:$E$14, 0,FALSE), "Not Found"))))))))</f>
        <v>0756767766</v>
      </c>
      <c r="G326" t="str">
        <f>IFERROR(VLOOKUP($A326,'AAPT ExDa'!$B$2:$U$99, 5,FALSE), IFERROR(VLOOKUP($A326,'ABB ExDa'!$A$2:$N$184, 8,FALSE), IFERROR(VLOOKUP($A326,'Vocus SIT ExDa'!$B$2:$J$173, 6,FALSE), IFERROR(VLOOKUP($A326,'Telstra ExDa'!$B$2:$K$310, 0,FALSE), IFERROR(VLOOKUP($A326,'Vocus RVC ExDa'!$C$2:$R$155, 15,FALSE), IFERROR(VLOOKUP($A326,'Fusion ExDa'!$B$2:$D$16, 0,FALSE), IFERROR(VLOOKUP($A326,'Exetel ExDa'!$C$2:$N$14, 7,FALSE), IFERROR(VLOOKUP($A326,'Infinet ExDa'!$B$2:$E$14, 0,FALSE), "Not Found"))))))))</f>
        <v>IP Tel Order - Smile Tel - 03/02/2023
Voice (5 Mbps) - Level 1D, 60 Enterprise Place , Tingalpa QLD 4173</v>
      </c>
      <c r="H326" t="str">
        <f>IFERROR(VLOOKUP($A326,'AAPT ExDa'!$B$2:$U$99, 6,FALSE), IFERROR(VLOOKUP($A326,'ABB ExDa'!$A$2:$N$184, 0,FALSE), IFERROR(VLOOKUP($A326,'Vocus SIT ExDa'!$B$2:$J$173, 0,FALSE), IFERROR(VLOOKUP($A326,'Telstra ExDa'!$B$2:$K$310, 0,FALSE), IFERROR(VLOOKUP($A326,'Vocus RVC ExDa'!$C$2:$R$155, 16,FALSE), IFERROR(VLOOKUP($A326,'Fusion ExDa'!$B$2:$D$16, 0,FALSE), IFERROR(VLOOKUP($A326,'Exetel ExDa'!$C$2:$N$14, 0,FALSE), IFERROR(VLOOKUP($A326,'Infinet ExDa'!$B$2:$E$14, 0,FALSE), "Not Found"))))))))</f>
        <v>Not Found</v>
      </c>
      <c r="I326" t="str">
        <f>IFERROR(VLOOKUP($A326,'AAPT ExDa'!$B$2:$U$99, 0,FALSE), IFERROR(VLOOKUP($A326,'ABB ExDa'!$A$2:$N$184, 0,FALSE), IFERROR(VLOOKUP($A326,'Vocus SIT ExDa'!$B$2:$J$173, 0,FALSE), IFERROR(VLOOKUP($A326,'Telstra ExDa'!$B$2:$K$310, 0,FALSE), IFERROR(VLOOKUP($A326,'Vocus RVC ExDa'!$C$2:$R$155, 0,FALSE), IFERROR(VLOOKUP($A326,'Fusion ExDa'!$B$2:$D$16, 0,FALSE), IFERROR(VLOOKUP($A326,'Exetel ExDa'!$C$2:$N$14, 8,FALSE), IFERROR(VLOOKUP($A326,'Infinet ExDa'!$B$2:$E$14, 0,FALSE), "Not Found"))))))))</f>
        <v>Not Found</v>
      </c>
      <c r="J326" t="str">
        <f>IFERROR(VLOOKUP($A326,'AAPT ExDa'!$B$2:$U$99, 7,FALSE), IFERROR(VLOOKUP($A326,'ABB ExDa'!$A$2:$N$184, 2,FALSE), IFERROR(VLOOKUP($A326,'Vocus SIT ExDa'!$B$2:$J$173, 0,FALSE), IFERROR(VLOOKUP($A326,'Telstra ExDa'!$B$2:$K$310, 7,FALSE), IFERROR(VLOOKUP($A326,'Vocus RVC ExDa'!$C$2:$R$155, 2,FALSE), IFERROR(VLOOKUP($A326,'Fusion ExDa'!$B$2:$D$16, 3,FALSE), IFERROR(VLOOKUP($A326,'Exetel ExDa'!$C$2:$N$14, 0,FALSE), IFERROR(VLOOKUP($A326,'Infinet ExDa'!$B$2:$E$14, 0,FALSE), "Not Found"))))))))</f>
        <v>Not Found</v>
      </c>
      <c r="K326" t="str">
        <f>IFERROR(VLOOKUP($A326,'AAPT ExDa'!$B$2:$U$99, 12,FALSE), IFERROR(VLOOKUP($A326,'ABB ExDa'!$A$2:$N$184, 0,FALSE), IFERROR(VLOOKUP($A326,'Vocus SIT ExDa'!$B$2:$J$173, 0,FALSE), IFERROR(VLOOKUP($A326,'Telstra ExDa'!$B$2:$K$310, 0,FALSE), IFERROR(VLOOKUP($A326,'Vocus RVC ExDa'!$C$2:$R$155, 0,FALSE), IFERROR(VLOOKUP($A326,'Fusion ExDa'!$B$2:$D$16, 0,FALSE), IFERROR(VLOOKUP($A326,'Exetel ExDa'!$C$2:$N$14, 12,FALSE), IFERROR(VLOOKUP($A326,'Infinet ExDa'!$B$2:$E$14, 0,FALSE), "Not Found"))))))))</f>
        <v>Not Found</v>
      </c>
      <c r="L326" s="235">
        <f>IFERROR(VLOOKUP($A326,'AAPT ExDa'!$B$2:$U$99, 11,FALSE), IFERROR(VLOOKUP($A326,'ABB ExDa'!$A$2:$N$184, 9,FALSE), IFERROR(VLOOKUP($A326,'Vocus SIT ExDa'!$B$2:$J$173, 8,FALSE), IFERROR(VLOOKUP($A326,'Telstra ExDa'!$B$2:$K$310, 0,FALSE), IFERROR(VLOOKUP($A326,'Vocus RVC ExDa'!$C$2:$R$155, 0,FALSE), IFERROR(VLOOKUP($A326,'Fusion ExDa'!$B$2:$D$16, 0,FALSE), IFERROR(VLOOKUP($A326,'Exetel ExDa'!$C$2:$N$14, 9,FALSE), IFERROR(VLOOKUP($A326,'Infinet ExDa'!$B$2:$E$14, 0,FALSE), "Not Found"))))))))</f>
        <v>45201</v>
      </c>
      <c r="M326" s="234" t="str">
        <f>IFERROR(VLOOKUP($A326,'AAPT ExDa'!$B$2:$U$99, 0,FALSE), IFERROR(VLOOKUP($A326,'ABB ExDa'!$A$2:$N$184, 0,FALSE), IFERROR(VLOOKUP($A326,'Vocus SIT ExDa'!$B$2:$J$173, 0,FALSE), IFERROR(VLOOKUP($A326,'Telstra ExDa'!$B$2:$K$310, 0,FALSE), IFERROR(VLOOKUP($A326,'Vocus RVC ExDa'!$C$2:$R$155, 0,FALSE), IFERROR(VLOOKUP($A326,'Fusion ExDa'!$B$2:$D$16, 0,FALSE), IFERROR(VLOOKUP($A326,'Exetel ExDa'!$C$2:$N$14, 11,FALSE), IFERROR(VLOOKUP($A326,'Infinet ExDa'!$B$2:$E$14, 0,FALSE), "Not Found"))))))))</f>
        <v>Not Found</v>
      </c>
      <c r="N326" t="str">
        <f>IFERROR(VLOOKUP($A326,'AAPT ExDa'!$B$2:$U$99, 0,FALSE), IFERROR(VLOOKUP($A326,'ABB ExDa'!$A$2:$N$184, 13,FALSE), IFERROR(VLOOKUP($A326,'Vocus SIT ExDa'!$B$2:$J$173, 0,FALSE), IFERROR(VLOOKUP($A326,'Telstra ExDa'!$B$2:$K$310, 0,FALSE), IFERROR(VLOOKUP($A326,'Vocus RVC ExDa'!$C$2:$R$155, 0,FALSE), IFERROR(VLOOKUP($A326,'Fusion ExDa'!$B$2:$D$16, 0,FALSE), IFERROR(VLOOKUP($A326,'Exetel ExDa'!$C$2:$N$14, 0,FALSE), IFERROR(VLOOKUP($A326,'Infinet ExDa'!$B$2:$E$14, 0,FALSE), "Not Found"))))))))</f>
        <v>Not Found</v>
      </c>
    </row>
    <row r="327" spans="1:14">
      <c r="A327" t="str">
        <v>Action Smart</v>
      </c>
      <c r="B327" t="str">
        <f>IFERROR(VLOOKUP(A327,'Exetel ExDa'!$C$2:$N$14,4,FALSE),"No Data")</f>
        <v>No Data</v>
      </c>
      <c r="C327" t="str">
        <f>IFERROR(VLOOKUP(A327,'AAPT ExDa'!$B$2:$U$99, 2,FALSE), IFERROR(VLOOKUP(A327,'ABB ExDa'!$A$2:$N$184, 2,FALSE), IFERROR(VLOOKUP(A327,'Vocus SIT ExDa'!$B$2:$J$173, 7,FALSE), IFERROR(VLOOKUP(A327,'Telstra ExDa'!$B$2:$K$310, 2,FALSE), IFERROR(VLOOKUP(A327,'Vocus RVC ExDa'!$C$2:$R$155, 3,FALSE), IFERROR(VLOOKUP(A327,'Fusion ExDa'!$B$2:$D$16, 2,FALSE), IFERROR(VLOOKUP(A327,'Exetel ExDa'!$C$2:$N$14, 2,FALSE), IFERROR(VLOOKUP(A327,'Infinet ExDa'!$B$2:$E$14, 2,FALSE), "Not Found"))))))))</f>
        <v>Level 1D, 60 Enterprise Place, Tingalpa QLD 4174</v>
      </c>
      <c r="D327" t="str">
        <f>IFERROR(VLOOKUP($A327,'AAPT ExDa'!$B$2:$U$99, 15,FALSE), IFERROR(VLOOKUP($A327,'ABB ExDa'!$A$2:$N$184, 4,FALSE), IFERROR(VLOOKUP($A327,'Vocus SIT ExDa'!$B$2:$J$173, 5,FALSE), IFERROR(VLOOKUP($A327,'Telstra ExDa'!$B$2:$K$310, 8,FALSE), IFERROR(VLOOKUP($A327,'Vocus RVC ExDa'!$C$2:$R$155, 6,FALSE), IFERROR(VLOOKUP($A327,'Fusion ExDa'!$B$2:$D$16, 4,FALSE), IFERROR(VLOOKUP($A327,'Exetel ExDa'!$C$2:$N$14, 3,FALSE), IFERROR(VLOOKUP($A327,'Infinet ExDa'!$B$2:$E$14, 3,FALSE), "Not Found"))))))))</f>
        <v>Vocus SIT</v>
      </c>
      <c r="E327" t="str">
        <f>IFERROR(VLOOKUP($A327,'AAPT ExDa'!$B$2:$U$99, 3,FALSE), IFERROR(VLOOKUP($A327,'ABB ExDa'!$A$2:$N$184, 5,FALSE), IFERROR(VLOOKUP($A327,'Vocus SIT ExDa'!$B$2:$J$173, 2,FALSE), IFERROR(VLOOKUP($A327,'Telstra ExDa'!$B$2:$K$310, 4,FALSE), IFERROR(VLOOKUP($A327,'Vocus RVC ExDa'!$C$2:$R$155, 8,FALSE), IFERROR(VLOOKUP($A327,'Fusion ExDa'!$B$2:$D$16, 4,FALSE), IFERROR(VLOOKUP($A327,'Exetel ExDa'!$C$2:$N$14, 5,FALSE), IFERROR(VLOOKUP($A327,'Infinet ExDa'!$B$2:$E$14, 3,FALSE), "Not Found"))))))))</f>
        <v>Voice Service</v>
      </c>
      <c r="F327" t="str">
        <f>IFERROR(VLOOKUP($A327,'AAPT ExDa'!$B$2:$U$99, 4,FALSE), IFERROR(VLOOKUP($A327,'ABB ExDa'!$A$2:$N$184, 6,FALSE), IFERROR(VLOOKUP($A327,'Vocus SIT ExDa'!$B$2:$J$173, 3,FALSE), IFERROR(VLOOKUP($A327,'Telstra ExDa'!$B$2:$K$310, 5,FALSE), IFERROR(VLOOKUP($A327,'Vocus RVC ExDa'!$C$2:$R$155, 9,FALSE), IFERROR(VLOOKUP($A327,'Fusion ExDa'!$B$2:$D$16, 0,FALSE), IFERROR(VLOOKUP($A327,'Exetel ExDa'!$C$2:$N$14, 6,FALSE), IFERROR(VLOOKUP($A327,'Infinet ExDa'!$B$2:$E$14, 0,FALSE), "Not Found"))))))))</f>
        <v>0734627617
0734627618
0734627619
0748862250</v>
      </c>
      <c r="G327" t="str">
        <f>IFERROR(VLOOKUP($A327,'AAPT ExDa'!$B$2:$U$99, 5,FALSE), IFERROR(VLOOKUP($A327,'ABB ExDa'!$A$2:$N$184, 8,FALSE), IFERROR(VLOOKUP($A327,'Vocus SIT ExDa'!$B$2:$J$173, 6,FALSE), IFERROR(VLOOKUP($A327,'Telstra ExDa'!$B$2:$K$310, 0,FALSE), IFERROR(VLOOKUP($A327,'Vocus RVC ExDa'!$C$2:$R$155, 15,FALSE), IFERROR(VLOOKUP($A327,'Fusion ExDa'!$B$2:$D$16, 0,FALSE), IFERROR(VLOOKUP($A327,'Exetel ExDa'!$C$2:$N$14, 7,FALSE), IFERROR(VLOOKUP($A327,'Infinet ExDa'!$B$2:$E$14, 0,FALSE), "Not Found"))))))))</f>
        <v>IP Tel Order - Smile Tel - 03/02/2023
Voice (5 Mbps) - Level 1D, 60 Enterprise Place , Tingalpa QLD 4173</v>
      </c>
      <c r="H327" t="str">
        <f>IFERROR(VLOOKUP($A327,'AAPT ExDa'!$B$2:$U$99, 6,FALSE), IFERROR(VLOOKUP($A327,'ABB ExDa'!$A$2:$N$184, 0,FALSE), IFERROR(VLOOKUP($A327,'Vocus SIT ExDa'!$B$2:$J$173, 0,FALSE), IFERROR(VLOOKUP($A327,'Telstra ExDa'!$B$2:$K$310, 0,FALSE), IFERROR(VLOOKUP($A327,'Vocus RVC ExDa'!$C$2:$R$155, 16,FALSE), IFERROR(VLOOKUP($A327,'Fusion ExDa'!$B$2:$D$16, 0,FALSE), IFERROR(VLOOKUP($A327,'Exetel ExDa'!$C$2:$N$14, 0,FALSE), IFERROR(VLOOKUP($A327,'Infinet ExDa'!$B$2:$E$14, 0,FALSE), "Not Found"))))))))</f>
        <v>Not Found</v>
      </c>
      <c r="I327" t="str">
        <f>IFERROR(VLOOKUP($A327,'AAPT ExDa'!$B$2:$U$99, 0,FALSE), IFERROR(VLOOKUP($A327,'ABB ExDa'!$A$2:$N$184, 0,FALSE), IFERROR(VLOOKUP($A327,'Vocus SIT ExDa'!$B$2:$J$173, 0,FALSE), IFERROR(VLOOKUP($A327,'Telstra ExDa'!$B$2:$K$310, 0,FALSE), IFERROR(VLOOKUP($A327,'Vocus RVC ExDa'!$C$2:$R$155, 0,FALSE), IFERROR(VLOOKUP($A327,'Fusion ExDa'!$B$2:$D$16, 0,FALSE), IFERROR(VLOOKUP($A327,'Exetel ExDa'!$C$2:$N$14, 8,FALSE), IFERROR(VLOOKUP($A327,'Infinet ExDa'!$B$2:$E$14, 0,FALSE), "Not Found"))))))))</f>
        <v>Not Found</v>
      </c>
      <c r="J327" t="str">
        <f>IFERROR(VLOOKUP($A327,'AAPT ExDa'!$B$2:$U$99, 7,FALSE), IFERROR(VLOOKUP($A327,'ABB ExDa'!$A$2:$N$184, 2,FALSE), IFERROR(VLOOKUP($A327,'Vocus SIT ExDa'!$B$2:$J$173, 0,FALSE), IFERROR(VLOOKUP($A327,'Telstra ExDa'!$B$2:$K$310, 7,FALSE), IFERROR(VLOOKUP($A327,'Vocus RVC ExDa'!$C$2:$R$155, 2,FALSE), IFERROR(VLOOKUP($A327,'Fusion ExDa'!$B$2:$D$16, 3,FALSE), IFERROR(VLOOKUP($A327,'Exetel ExDa'!$C$2:$N$14, 0,FALSE), IFERROR(VLOOKUP($A327,'Infinet ExDa'!$B$2:$E$14, 0,FALSE), "Not Found"))))))))</f>
        <v>Not Found</v>
      </c>
      <c r="K327" t="str">
        <f>IFERROR(VLOOKUP($A327,'AAPT ExDa'!$B$2:$U$99, 12,FALSE), IFERROR(VLOOKUP($A327,'ABB ExDa'!$A$2:$N$184, 0,FALSE), IFERROR(VLOOKUP($A327,'Vocus SIT ExDa'!$B$2:$J$173, 0,FALSE), IFERROR(VLOOKUP($A327,'Telstra ExDa'!$B$2:$K$310, 0,FALSE), IFERROR(VLOOKUP($A327,'Vocus RVC ExDa'!$C$2:$R$155, 0,FALSE), IFERROR(VLOOKUP($A327,'Fusion ExDa'!$B$2:$D$16, 0,FALSE), IFERROR(VLOOKUP($A327,'Exetel ExDa'!$C$2:$N$14, 12,FALSE), IFERROR(VLOOKUP($A327,'Infinet ExDa'!$B$2:$E$14, 0,FALSE), "Not Found"))))))))</f>
        <v>Not Found</v>
      </c>
      <c r="L327" s="235" t="str">
        <f>IFERROR(VLOOKUP($A327,'AAPT ExDa'!$B$2:$U$99, 11,FALSE), IFERROR(VLOOKUP($A327,'ABB ExDa'!$A$2:$N$184, 9,FALSE), IFERROR(VLOOKUP($A327,'Vocus SIT ExDa'!$B$2:$J$173, 8,FALSE), IFERROR(VLOOKUP($A327,'Telstra ExDa'!$B$2:$K$310, 0,FALSE), IFERROR(VLOOKUP($A327,'Vocus RVC ExDa'!$C$2:$R$155, 0,FALSE), IFERROR(VLOOKUP($A327,'Fusion ExDa'!$B$2:$D$16, 0,FALSE), IFERROR(VLOOKUP($A327,'Exetel ExDa'!$C$2:$N$14, 9,FALSE), IFERROR(VLOOKUP($A327,'Infinet ExDa'!$B$2:$E$14, 0,FALSE), "Not Found"))))))))</f>
        <v>14/02/2023</v>
      </c>
      <c r="M327" s="234" t="str">
        <f>IFERROR(VLOOKUP($A327,'AAPT ExDa'!$B$2:$U$99, 0,FALSE), IFERROR(VLOOKUP($A327,'ABB ExDa'!$A$2:$N$184, 0,FALSE), IFERROR(VLOOKUP($A327,'Vocus SIT ExDa'!$B$2:$J$173, 0,FALSE), IFERROR(VLOOKUP($A327,'Telstra ExDa'!$B$2:$K$310, 0,FALSE), IFERROR(VLOOKUP($A327,'Vocus RVC ExDa'!$C$2:$R$155, 0,FALSE), IFERROR(VLOOKUP($A327,'Fusion ExDa'!$B$2:$D$16, 0,FALSE), IFERROR(VLOOKUP($A327,'Exetel ExDa'!$C$2:$N$14, 11,FALSE), IFERROR(VLOOKUP($A327,'Infinet ExDa'!$B$2:$E$14, 0,FALSE), "Not Found"))))))))</f>
        <v>Not Found</v>
      </c>
      <c r="N327" t="str">
        <f>IFERROR(VLOOKUP($A327,'AAPT ExDa'!$B$2:$U$99, 0,FALSE), IFERROR(VLOOKUP($A327,'ABB ExDa'!$A$2:$N$184, 13,FALSE), IFERROR(VLOOKUP($A327,'Vocus SIT ExDa'!$B$2:$J$173, 0,FALSE), IFERROR(VLOOKUP($A327,'Telstra ExDa'!$B$2:$K$310, 0,FALSE), IFERROR(VLOOKUP($A327,'Vocus RVC ExDa'!$C$2:$R$155, 0,FALSE), IFERROR(VLOOKUP($A327,'Fusion ExDa'!$B$2:$D$16, 0,FALSE), IFERROR(VLOOKUP($A327,'Exetel ExDa'!$C$2:$N$14, 0,FALSE), IFERROR(VLOOKUP($A327,'Infinet ExDa'!$B$2:$E$14, 0,FALSE), "Not Found"))))))))</f>
        <v>Not Found</v>
      </c>
    </row>
    <row r="328" spans="1:14">
      <c r="A328" t="str">
        <v>EcoLife Solutions</v>
      </c>
      <c r="B328" t="str">
        <f>IFERROR(VLOOKUP(A328,'Exetel ExDa'!$C$2:$N$14,4,FALSE),"No Data")</f>
        <v>No Data</v>
      </c>
      <c r="C328" t="str">
        <f>IFERROR(VLOOKUP(A328,'AAPT ExDa'!$B$2:$U$99, 2,FALSE), IFERROR(VLOOKUP(A328,'ABB ExDa'!$A$2:$N$184, 2,FALSE), IFERROR(VLOOKUP(A328,'Vocus SIT ExDa'!$B$2:$J$173, 7,FALSE), IFERROR(VLOOKUP(A328,'Telstra ExDa'!$B$2:$K$310, 2,FALSE), IFERROR(VLOOKUP(A328,'Vocus RVC ExDa'!$C$2:$R$155, 3,FALSE), IFERROR(VLOOKUP(A328,'Fusion ExDa'!$B$2:$D$16, 2,FALSE), IFERROR(VLOOKUP(A328,'Exetel ExDa'!$C$2:$N$14, 2,FALSE), IFERROR(VLOOKUP(A328,'Infinet ExDa'!$B$2:$E$14, 2,FALSE), "Not Found"))))))))</f>
        <v>Unit 1 23 Terrence Road, Brendale Qld 4500 Australia</v>
      </c>
      <c r="D328" t="str">
        <f>IFERROR(VLOOKUP($A328,'AAPT ExDa'!$B$2:$U$99, 15,FALSE), IFERROR(VLOOKUP($A328,'ABB ExDa'!$A$2:$N$184, 4,FALSE), IFERROR(VLOOKUP($A328,'Vocus SIT ExDa'!$B$2:$J$173, 5,FALSE), IFERROR(VLOOKUP($A328,'Telstra ExDa'!$B$2:$K$310, 8,FALSE), IFERROR(VLOOKUP($A328,'Vocus RVC ExDa'!$C$2:$R$155, 6,FALSE), IFERROR(VLOOKUP($A328,'Fusion ExDa'!$B$2:$D$16, 4,FALSE), IFERROR(VLOOKUP($A328,'Exetel ExDa'!$C$2:$N$14, 3,FALSE), IFERROR(VLOOKUP($A328,'Infinet ExDa'!$B$2:$E$14, 3,FALSE), "Not Found"))))))))</f>
        <v>Vocus SIT</v>
      </c>
      <c r="E328" t="str">
        <f>IFERROR(VLOOKUP($A328,'AAPT ExDa'!$B$2:$U$99, 3,FALSE), IFERROR(VLOOKUP($A328,'ABB ExDa'!$A$2:$N$184, 5,FALSE), IFERROR(VLOOKUP($A328,'Vocus SIT ExDa'!$B$2:$J$173, 2,FALSE), IFERROR(VLOOKUP($A328,'Telstra ExDa'!$B$2:$K$310, 4,FALSE), IFERROR(VLOOKUP($A328,'Vocus RVC ExDa'!$C$2:$R$155, 8,FALSE), IFERROR(VLOOKUP($A328,'Fusion ExDa'!$B$2:$D$16, 4,FALSE), IFERROR(VLOOKUP($A328,'Exetel ExDa'!$C$2:$N$14, 5,FALSE), IFERROR(VLOOKUP($A328,'Infinet ExDa'!$B$2:$E$14, 3,FALSE), "Not Found"))))))))</f>
        <v>Vocus Business Unlimited (AUD)</v>
      </c>
      <c r="F328">
        <f>IFERROR(VLOOKUP($A328,'AAPT ExDa'!$B$2:$U$99, 4,FALSE), IFERROR(VLOOKUP($A328,'ABB ExDa'!$A$2:$N$184, 6,FALSE), IFERROR(VLOOKUP($A328,'Vocus SIT ExDa'!$B$2:$J$173, 3,FALSE), IFERROR(VLOOKUP($A328,'Telstra ExDa'!$B$2:$K$310, 5,FALSE), IFERROR(VLOOKUP($A328,'Vocus RVC ExDa'!$C$2:$R$155, 9,FALSE), IFERROR(VLOOKUP($A328,'Fusion ExDa'!$B$2:$D$16, 0,FALSE), IFERROR(VLOOKUP($A328,'Exetel ExDa'!$C$2:$N$14, 6,FALSE), IFERROR(VLOOKUP($A328,'Infinet ExDa'!$B$2:$E$14, 0,FALSE), "Not Found"))))))))</f>
        <v>0</v>
      </c>
      <c r="G328" t="str">
        <f>IFERROR(VLOOKUP($A328,'AAPT ExDa'!$B$2:$U$99, 5,FALSE), IFERROR(VLOOKUP($A328,'ABB ExDa'!$A$2:$N$184, 8,FALSE), IFERROR(VLOOKUP($A328,'Vocus SIT ExDa'!$B$2:$J$173, 6,FALSE), IFERROR(VLOOKUP($A328,'Telstra ExDa'!$B$2:$K$310, 0,FALSE), IFERROR(VLOOKUP($A328,'Vocus RVC ExDa'!$C$2:$R$155, 15,FALSE), IFERROR(VLOOKUP($A328,'Fusion ExDa'!$B$2:$D$16, 0,FALSE), IFERROR(VLOOKUP($A328,'Exetel ExDa'!$C$2:$N$14, 7,FALSE), IFERROR(VLOOKUP($A328,'Infinet ExDa'!$B$2:$E$14, 0,FALSE), "Not Found"))))))))</f>
        <v>Vocus Business unlimited 100 Mbps
Unit 1 23 Terrence Road, Brendale Qld 4500 Australia</v>
      </c>
      <c r="H328" t="str">
        <f>IFERROR(VLOOKUP($A328,'AAPT ExDa'!$B$2:$U$99, 6,FALSE), IFERROR(VLOOKUP($A328,'ABB ExDa'!$A$2:$N$184, 0,FALSE), IFERROR(VLOOKUP($A328,'Vocus SIT ExDa'!$B$2:$J$173, 0,FALSE), IFERROR(VLOOKUP($A328,'Telstra ExDa'!$B$2:$K$310, 0,FALSE), IFERROR(VLOOKUP($A328,'Vocus RVC ExDa'!$C$2:$R$155, 16,FALSE), IFERROR(VLOOKUP($A328,'Fusion ExDa'!$B$2:$D$16, 0,FALSE), IFERROR(VLOOKUP($A328,'Exetel ExDa'!$C$2:$N$14, 0,FALSE), IFERROR(VLOOKUP($A328,'Infinet ExDa'!$B$2:$E$14, 0,FALSE), "Not Found"))))))))</f>
        <v>Not Found</v>
      </c>
      <c r="I328" t="str">
        <f>IFERROR(VLOOKUP($A328,'AAPT ExDa'!$B$2:$U$99, 0,FALSE), IFERROR(VLOOKUP($A328,'ABB ExDa'!$A$2:$N$184, 0,FALSE), IFERROR(VLOOKUP($A328,'Vocus SIT ExDa'!$B$2:$J$173, 0,FALSE), IFERROR(VLOOKUP($A328,'Telstra ExDa'!$B$2:$K$310, 0,FALSE), IFERROR(VLOOKUP($A328,'Vocus RVC ExDa'!$C$2:$R$155, 0,FALSE), IFERROR(VLOOKUP($A328,'Fusion ExDa'!$B$2:$D$16, 0,FALSE), IFERROR(VLOOKUP($A328,'Exetel ExDa'!$C$2:$N$14, 8,FALSE), IFERROR(VLOOKUP($A328,'Infinet ExDa'!$B$2:$E$14, 0,FALSE), "Not Found"))))))))</f>
        <v>Not Found</v>
      </c>
      <c r="J328" t="str">
        <f>IFERROR(VLOOKUP($A328,'AAPT ExDa'!$B$2:$U$99, 7,FALSE), IFERROR(VLOOKUP($A328,'ABB ExDa'!$A$2:$N$184, 2,FALSE), IFERROR(VLOOKUP($A328,'Vocus SIT ExDa'!$B$2:$J$173, 0,FALSE), IFERROR(VLOOKUP($A328,'Telstra ExDa'!$B$2:$K$310, 7,FALSE), IFERROR(VLOOKUP($A328,'Vocus RVC ExDa'!$C$2:$R$155, 2,FALSE), IFERROR(VLOOKUP($A328,'Fusion ExDa'!$B$2:$D$16, 3,FALSE), IFERROR(VLOOKUP($A328,'Exetel ExDa'!$C$2:$N$14, 0,FALSE), IFERROR(VLOOKUP($A328,'Infinet ExDa'!$B$2:$E$14, 0,FALSE), "Not Found"))))))))</f>
        <v>Not Found</v>
      </c>
      <c r="K328" t="str">
        <f>IFERROR(VLOOKUP($A328,'AAPT ExDa'!$B$2:$U$99, 12,FALSE), IFERROR(VLOOKUP($A328,'ABB ExDa'!$A$2:$N$184, 0,FALSE), IFERROR(VLOOKUP($A328,'Vocus SIT ExDa'!$B$2:$J$173, 0,FALSE), IFERROR(VLOOKUP($A328,'Telstra ExDa'!$B$2:$K$310, 0,FALSE), IFERROR(VLOOKUP($A328,'Vocus RVC ExDa'!$C$2:$R$155, 0,FALSE), IFERROR(VLOOKUP($A328,'Fusion ExDa'!$B$2:$D$16, 0,FALSE), IFERROR(VLOOKUP($A328,'Exetel ExDa'!$C$2:$N$14, 12,FALSE), IFERROR(VLOOKUP($A328,'Infinet ExDa'!$B$2:$E$14, 0,FALSE), "Not Found"))))))))</f>
        <v>Not Found</v>
      </c>
      <c r="L328" s="235">
        <f>IFERROR(VLOOKUP($A328,'AAPT ExDa'!$B$2:$U$99, 11,FALSE), IFERROR(VLOOKUP($A328,'ABB ExDa'!$A$2:$N$184, 9,FALSE), IFERROR(VLOOKUP($A328,'Vocus SIT ExDa'!$B$2:$J$173, 8,FALSE), IFERROR(VLOOKUP($A328,'Telstra ExDa'!$B$2:$K$310, 0,FALSE), IFERROR(VLOOKUP($A328,'Vocus RVC ExDa'!$C$2:$R$155, 0,FALSE), IFERROR(VLOOKUP($A328,'Fusion ExDa'!$B$2:$D$16, 0,FALSE), IFERROR(VLOOKUP($A328,'Exetel ExDa'!$C$2:$N$14, 9,FALSE), IFERROR(VLOOKUP($A328,'Infinet ExDa'!$B$2:$E$14, 0,FALSE), "Not Found"))))))))</f>
        <v>44988</v>
      </c>
      <c r="M328" s="234" t="str">
        <f>IFERROR(VLOOKUP($A328,'AAPT ExDa'!$B$2:$U$99, 0,FALSE), IFERROR(VLOOKUP($A328,'ABB ExDa'!$A$2:$N$184, 0,FALSE), IFERROR(VLOOKUP($A328,'Vocus SIT ExDa'!$B$2:$J$173, 0,FALSE), IFERROR(VLOOKUP($A328,'Telstra ExDa'!$B$2:$K$310, 0,FALSE), IFERROR(VLOOKUP($A328,'Vocus RVC ExDa'!$C$2:$R$155, 0,FALSE), IFERROR(VLOOKUP($A328,'Fusion ExDa'!$B$2:$D$16, 0,FALSE), IFERROR(VLOOKUP($A328,'Exetel ExDa'!$C$2:$N$14, 11,FALSE), IFERROR(VLOOKUP($A328,'Infinet ExDa'!$B$2:$E$14, 0,FALSE), "Not Found"))))))))</f>
        <v>Not Found</v>
      </c>
      <c r="N328" t="str">
        <f>IFERROR(VLOOKUP($A328,'AAPT ExDa'!$B$2:$U$99, 0,FALSE), IFERROR(VLOOKUP($A328,'ABB ExDa'!$A$2:$N$184, 13,FALSE), IFERROR(VLOOKUP($A328,'Vocus SIT ExDa'!$B$2:$J$173, 0,FALSE), IFERROR(VLOOKUP($A328,'Telstra ExDa'!$B$2:$K$310, 0,FALSE), IFERROR(VLOOKUP($A328,'Vocus RVC ExDa'!$C$2:$R$155, 0,FALSE), IFERROR(VLOOKUP($A328,'Fusion ExDa'!$B$2:$D$16, 0,FALSE), IFERROR(VLOOKUP($A328,'Exetel ExDa'!$C$2:$N$14, 0,FALSE), IFERROR(VLOOKUP($A328,'Infinet ExDa'!$B$2:$E$14, 0,FALSE), "Not Found"))))))))</f>
        <v>Not Found</v>
      </c>
    </row>
    <row r="329" spans="1:14">
      <c r="A329" t="str">
        <v>Allegra Property Management</v>
      </c>
      <c r="B329" t="str">
        <f>IFERROR(VLOOKUP(A329,'Exetel ExDa'!$C$2:$N$14,4,FALSE),"No Data")</f>
        <v>No Data</v>
      </c>
      <c r="C329" t="str">
        <f>IFERROR(VLOOKUP(A329,'AAPT ExDa'!$B$2:$U$99, 2,FALSE), IFERROR(VLOOKUP(A329,'ABB ExDa'!$A$2:$N$184, 2,FALSE), IFERROR(VLOOKUP(A329,'Vocus SIT ExDa'!$B$2:$J$173, 7,FALSE), IFERROR(VLOOKUP(A329,'Telstra ExDa'!$B$2:$K$310, 2,FALSE), IFERROR(VLOOKUP(A329,'Vocus RVC ExDa'!$C$2:$R$155, 3,FALSE), IFERROR(VLOOKUP(A329,'Fusion ExDa'!$B$2:$D$16, 2,FALSE), IFERROR(VLOOKUP(A329,'Exetel ExDa'!$C$2:$N$14, 2,FALSE), IFERROR(VLOOKUP(A329,'Infinet ExDa'!$B$2:$E$14, 2,FALSE), "Not Found"))))))))</f>
        <v>Unit 408/468 Esplanade, Torquay Qld 4655, Australia</v>
      </c>
      <c r="D329" t="str">
        <f>IFERROR(VLOOKUP($A329,'AAPT ExDa'!$B$2:$U$99, 15,FALSE), IFERROR(VLOOKUP($A329,'ABB ExDa'!$A$2:$N$184, 4,FALSE), IFERROR(VLOOKUP($A329,'Vocus SIT ExDa'!$B$2:$J$173, 5,FALSE), IFERROR(VLOOKUP($A329,'Telstra ExDa'!$B$2:$K$310, 8,FALSE), IFERROR(VLOOKUP($A329,'Vocus RVC ExDa'!$C$2:$R$155, 6,FALSE), IFERROR(VLOOKUP($A329,'Fusion ExDa'!$B$2:$D$16, 4,FALSE), IFERROR(VLOOKUP($A329,'Exetel ExDa'!$C$2:$N$14, 3,FALSE), IFERROR(VLOOKUP($A329,'Infinet ExDa'!$B$2:$E$14, 3,FALSE), "Not Found"))))))))</f>
        <v>Vocus SIT</v>
      </c>
      <c r="E329" t="str">
        <f>IFERROR(VLOOKUP($A329,'AAPT ExDa'!$B$2:$U$99, 3,FALSE), IFERROR(VLOOKUP($A329,'ABB ExDa'!$A$2:$N$184, 5,FALSE), IFERROR(VLOOKUP($A329,'Vocus SIT ExDa'!$B$2:$J$173, 2,FALSE), IFERROR(VLOOKUP($A329,'Telstra ExDa'!$B$2:$K$310, 4,FALSE), IFERROR(VLOOKUP($A329,'Vocus RVC ExDa'!$C$2:$R$155, 8,FALSE), IFERROR(VLOOKUP($A329,'Fusion ExDa'!$B$2:$D$16, 4,FALSE), IFERROR(VLOOKUP($A329,'Exetel ExDa'!$C$2:$N$14, 5,FALSE), IFERROR(VLOOKUP($A329,'Infinet ExDa'!$B$2:$E$14, 3,FALSE), "Not Found"))))))))</f>
        <v>Vocus Business Unlimited (AUD)</v>
      </c>
      <c r="F329">
        <f>IFERROR(VLOOKUP($A329,'AAPT ExDa'!$B$2:$U$99, 4,FALSE), IFERROR(VLOOKUP($A329,'ABB ExDa'!$A$2:$N$184, 6,FALSE), IFERROR(VLOOKUP($A329,'Vocus SIT ExDa'!$B$2:$J$173, 3,FALSE), IFERROR(VLOOKUP($A329,'Telstra ExDa'!$B$2:$K$310, 5,FALSE), IFERROR(VLOOKUP($A329,'Vocus RVC ExDa'!$C$2:$R$155, 9,FALSE), IFERROR(VLOOKUP($A329,'Fusion ExDa'!$B$2:$D$16, 0,FALSE), IFERROR(VLOOKUP($A329,'Exetel ExDa'!$C$2:$N$14, 6,FALSE), IFERROR(VLOOKUP($A329,'Infinet ExDa'!$B$2:$E$14, 0,FALSE), "Not Found"))))))))</f>
        <v>0</v>
      </c>
      <c r="G329" t="str">
        <f>IFERROR(VLOOKUP($A329,'AAPT ExDa'!$B$2:$U$99, 5,FALSE), IFERROR(VLOOKUP($A329,'ABB ExDa'!$A$2:$N$184, 8,FALSE), IFERROR(VLOOKUP($A329,'Vocus SIT ExDa'!$B$2:$J$173, 6,FALSE), IFERROR(VLOOKUP($A329,'Telstra ExDa'!$B$2:$K$310, 0,FALSE), IFERROR(VLOOKUP($A329,'Vocus RVC ExDa'!$C$2:$R$155, 15,FALSE), IFERROR(VLOOKUP($A329,'Fusion ExDa'!$B$2:$D$16, 0,FALSE), IFERROR(VLOOKUP($A329,'Exetel ExDa'!$C$2:$N$14, 7,FALSE), IFERROR(VLOOKUP($A329,'Infinet ExDa'!$B$2:$E$14, 0,FALSE), "Not Found"))))))))</f>
        <v>Vocus Business Unlimited 200 Mbps
Unit 408/Unit 408/468 Esplanade, Torquay Qld 4655, Australia</v>
      </c>
      <c r="H329" t="str">
        <f>IFERROR(VLOOKUP($A329,'AAPT ExDa'!$B$2:$U$99, 6,FALSE), IFERROR(VLOOKUP($A329,'ABB ExDa'!$A$2:$N$184, 0,FALSE), IFERROR(VLOOKUP($A329,'Vocus SIT ExDa'!$B$2:$J$173, 0,FALSE), IFERROR(VLOOKUP($A329,'Telstra ExDa'!$B$2:$K$310, 0,FALSE), IFERROR(VLOOKUP($A329,'Vocus RVC ExDa'!$C$2:$R$155, 16,FALSE), IFERROR(VLOOKUP($A329,'Fusion ExDa'!$B$2:$D$16, 0,FALSE), IFERROR(VLOOKUP($A329,'Exetel ExDa'!$C$2:$N$14, 0,FALSE), IFERROR(VLOOKUP($A329,'Infinet ExDa'!$B$2:$E$14, 0,FALSE), "Not Found"))))))))</f>
        <v>Not Found</v>
      </c>
      <c r="I329" t="str">
        <f>IFERROR(VLOOKUP($A329,'AAPT ExDa'!$B$2:$U$99, 0,FALSE), IFERROR(VLOOKUP($A329,'ABB ExDa'!$A$2:$N$184, 0,FALSE), IFERROR(VLOOKUP($A329,'Vocus SIT ExDa'!$B$2:$J$173, 0,FALSE), IFERROR(VLOOKUP($A329,'Telstra ExDa'!$B$2:$K$310, 0,FALSE), IFERROR(VLOOKUP($A329,'Vocus RVC ExDa'!$C$2:$R$155, 0,FALSE), IFERROR(VLOOKUP($A329,'Fusion ExDa'!$B$2:$D$16, 0,FALSE), IFERROR(VLOOKUP($A329,'Exetel ExDa'!$C$2:$N$14, 8,FALSE), IFERROR(VLOOKUP($A329,'Infinet ExDa'!$B$2:$E$14, 0,FALSE), "Not Found"))))))))</f>
        <v>Not Found</v>
      </c>
      <c r="J329" t="str">
        <f>IFERROR(VLOOKUP($A329,'AAPT ExDa'!$B$2:$U$99, 7,FALSE), IFERROR(VLOOKUP($A329,'ABB ExDa'!$A$2:$N$184, 2,FALSE), IFERROR(VLOOKUP($A329,'Vocus SIT ExDa'!$B$2:$J$173, 0,FALSE), IFERROR(VLOOKUP($A329,'Telstra ExDa'!$B$2:$K$310, 7,FALSE), IFERROR(VLOOKUP($A329,'Vocus RVC ExDa'!$C$2:$R$155, 2,FALSE), IFERROR(VLOOKUP($A329,'Fusion ExDa'!$B$2:$D$16, 3,FALSE), IFERROR(VLOOKUP($A329,'Exetel ExDa'!$C$2:$N$14, 0,FALSE), IFERROR(VLOOKUP($A329,'Infinet ExDa'!$B$2:$E$14, 0,FALSE), "Not Found"))))))))</f>
        <v>Not Found</v>
      </c>
      <c r="K329" t="str">
        <f>IFERROR(VLOOKUP($A329,'AAPT ExDa'!$B$2:$U$99, 12,FALSE), IFERROR(VLOOKUP($A329,'ABB ExDa'!$A$2:$N$184, 0,FALSE), IFERROR(VLOOKUP($A329,'Vocus SIT ExDa'!$B$2:$J$173, 0,FALSE), IFERROR(VLOOKUP($A329,'Telstra ExDa'!$B$2:$K$310, 0,FALSE), IFERROR(VLOOKUP($A329,'Vocus RVC ExDa'!$C$2:$R$155, 0,FALSE), IFERROR(VLOOKUP($A329,'Fusion ExDa'!$B$2:$D$16, 0,FALSE), IFERROR(VLOOKUP($A329,'Exetel ExDa'!$C$2:$N$14, 12,FALSE), IFERROR(VLOOKUP($A329,'Infinet ExDa'!$B$2:$E$14, 0,FALSE), "Not Found"))))))))</f>
        <v>Not Found</v>
      </c>
      <c r="L329" s="235" t="str">
        <f>IFERROR(VLOOKUP($A329,'AAPT ExDa'!$B$2:$U$99, 11,FALSE), IFERROR(VLOOKUP($A329,'ABB ExDa'!$A$2:$N$184, 9,FALSE), IFERROR(VLOOKUP($A329,'Vocus SIT ExDa'!$B$2:$J$173, 8,FALSE), IFERROR(VLOOKUP($A329,'Telstra ExDa'!$B$2:$K$310, 0,FALSE), IFERROR(VLOOKUP($A329,'Vocus RVC ExDa'!$C$2:$R$155, 0,FALSE), IFERROR(VLOOKUP($A329,'Fusion ExDa'!$B$2:$D$16, 0,FALSE), IFERROR(VLOOKUP($A329,'Exetel ExDa'!$C$2:$N$14, 9,FALSE), IFERROR(VLOOKUP($A329,'Infinet ExDa'!$B$2:$E$14, 0,FALSE), "Not Found"))))))))</f>
        <v>15/03/2023</v>
      </c>
      <c r="M329" s="234" t="str">
        <f>IFERROR(VLOOKUP($A329,'AAPT ExDa'!$B$2:$U$99, 0,FALSE), IFERROR(VLOOKUP($A329,'ABB ExDa'!$A$2:$N$184, 0,FALSE), IFERROR(VLOOKUP($A329,'Vocus SIT ExDa'!$B$2:$J$173, 0,FALSE), IFERROR(VLOOKUP($A329,'Telstra ExDa'!$B$2:$K$310, 0,FALSE), IFERROR(VLOOKUP($A329,'Vocus RVC ExDa'!$C$2:$R$155, 0,FALSE), IFERROR(VLOOKUP($A329,'Fusion ExDa'!$B$2:$D$16, 0,FALSE), IFERROR(VLOOKUP($A329,'Exetel ExDa'!$C$2:$N$14, 11,FALSE), IFERROR(VLOOKUP($A329,'Infinet ExDa'!$B$2:$E$14, 0,FALSE), "Not Found"))))))))</f>
        <v>Not Found</v>
      </c>
      <c r="N329" t="str">
        <f>IFERROR(VLOOKUP($A329,'AAPT ExDa'!$B$2:$U$99, 0,FALSE), IFERROR(VLOOKUP($A329,'ABB ExDa'!$A$2:$N$184, 13,FALSE), IFERROR(VLOOKUP($A329,'Vocus SIT ExDa'!$B$2:$J$173, 0,FALSE), IFERROR(VLOOKUP($A329,'Telstra ExDa'!$B$2:$K$310, 0,FALSE), IFERROR(VLOOKUP($A329,'Vocus RVC ExDa'!$C$2:$R$155, 0,FALSE), IFERROR(VLOOKUP($A329,'Fusion ExDa'!$B$2:$D$16, 0,FALSE), IFERROR(VLOOKUP($A329,'Exetel ExDa'!$C$2:$N$14, 0,FALSE), IFERROR(VLOOKUP($A329,'Infinet ExDa'!$B$2:$E$14, 0,FALSE), "Not Found"))))))))</f>
        <v>Not Found</v>
      </c>
    </row>
    <row r="330" spans="1:14">
      <c r="A330" t="str">
        <v>Smile IT</v>
      </c>
      <c r="B330" t="str">
        <f>IFERROR(VLOOKUP(A330,'Exetel ExDa'!$C$2:$N$14,4,FALSE),"No Data")</f>
        <v>0701561050</v>
      </c>
      <c r="C330">
        <f>IFERROR(VLOOKUP(A330,'AAPT ExDa'!$B$2:$U$99, 2,FALSE), IFERROR(VLOOKUP(A330,'ABB ExDa'!$A$2:$N$184, 2,FALSE), IFERROR(VLOOKUP(A330,'Vocus SIT ExDa'!$B$2:$J$173, 7,FALSE), IFERROR(VLOOKUP(A330,'Telstra ExDa'!$B$2:$K$310, 2,FALSE), IFERROR(VLOOKUP(A330,'Vocus RVC ExDa'!$C$2:$R$155, 3,FALSE), IFERROR(VLOOKUP(A330,'Fusion ExDa'!$B$2:$D$16, 2,FALSE), IFERROR(VLOOKUP(A330,'Exetel ExDa'!$C$2:$N$14, 2,FALSE), IFERROR(VLOOKUP(A330,'Infinet ExDa'!$B$2:$E$14, 2,FALSE), "Not Found"))))))))</f>
        <v>0</v>
      </c>
      <c r="D330" t="str">
        <f>IFERROR(VLOOKUP($A330,'AAPT ExDa'!$B$2:$U$99, 15,FALSE), IFERROR(VLOOKUP($A330,'ABB ExDa'!$A$2:$N$184, 4,FALSE), IFERROR(VLOOKUP($A330,'Vocus SIT ExDa'!$B$2:$J$173, 5,FALSE), IFERROR(VLOOKUP($A330,'Telstra ExDa'!$B$2:$K$310, 8,FALSE), IFERROR(VLOOKUP($A330,'Vocus RVC ExDa'!$C$2:$R$155, 6,FALSE), IFERROR(VLOOKUP($A330,'Fusion ExDa'!$B$2:$D$16, 4,FALSE), IFERROR(VLOOKUP($A330,'Exetel ExDa'!$C$2:$N$14, 3,FALSE), IFERROR(VLOOKUP($A330,'Infinet ExDa'!$B$2:$E$14, 3,FALSE), "Not Found"))))))))</f>
        <v>AAPT</v>
      </c>
      <c r="E330" t="str">
        <f>IFERROR(VLOOKUP($A330,'AAPT ExDa'!$B$2:$U$99, 3,FALSE), IFERROR(VLOOKUP($A330,'ABB ExDa'!$A$2:$N$184, 5,FALSE), IFERROR(VLOOKUP($A330,'Vocus SIT ExDa'!$B$2:$J$173, 2,FALSE), IFERROR(VLOOKUP($A330,'Telstra ExDa'!$B$2:$K$310, 4,FALSE), IFERROR(VLOOKUP($A330,'Vocus RVC ExDa'!$C$2:$R$155, 8,FALSE), IFERROR(VLOOKUP($A330,'Fusion ExDa'!$B$2:$D$16, 4,FALSE), IFERROR(VLOOKUP($A330,'Exetel ExDa'!$C$2:$N$14, 5,FALSE), IFERROR(VLOOKUP($A330,'Infinet ExDa'!$B$2:$E$14, 3,FALSE), "Not Found"))))))))</f>
        <v>IP-Line</v>
      </c>
      <c r="F330" t="str">
        <f>IFERROR(VLOOKUP($A330,'AAPT ExDa'!$B$2:$U$99, 4,FALSE), IFERROR(VLOOKUP($A330,'ABB ExDa'!$A$2:$N$184, 6,FALSE), IFERROR(VLOOKUP($A330,'Vocus SIT ExDa'!$B$2:$J$173, 3,FALSE), IFERROR(VLOOKUP($A330,'Telstra ExDa'!$B$2:$K$310, 5,FALSE), IFERROR(VLOOKUP($A330,'Vocus RVC ExDa'!$C$2:$R$155, 9,FALSE), IFERROR(VLOOKUP($A330,'Fusion ExDa'!$B$2:$D$16, 0,FALSE), IFERROR(VLOOKUP($A330,'Exetel ExDa'!$C$2:$N$14, 6,FALSE), IFERROR(VLOOKUP($A330,'Infinet ExDa'!$B$2:$E$14, 0,FALSE), "Not Found"))))))))</f>
        <v>IP-Line Link</v>
      </c>
      <c r="G330" t="str">
        <f>IFERROR(VLOOKUP($A330,'AAPT ExDa'!$B$2:$U$99, 5,FALSE), IFERROR(VLOOKUP($A330,'ABB ExDa'!$A$2:$N$184, 8,FALSE), IFERROR(VLOOKUP($A330,'Vocus SIT ExDa'!$B$2:$J$173, 6,FALSE), IFERROR(VLOOKUP($A330,'Telstra ExDa'!$B$2:$K$310, 0,FALSE), IFERROR(VLOOKUP($A330,'Vocus RVC ExDa'!$C$2:$R$155, 15,FALSE), IFERROR(VLOOKUP($A330,'Fusion ExDa'!$B$2:$D$16, 0,FALSE), IFERROR(VLOOKUP($A330,'Exetel ExDa'!$C$2:$N$14, 7,FALSE), IFERROR(VLOOKUP($A330,'Infinet ExDa'!$B$2:$E$14, 0,FALSE), "Not Found"))))))))</f>
        <v>Connecting IP-Line 6023265 to Access 100773541</v>
      </c>
      <c r="H330" t="str">
        <f>IFERROR(VLOOKUP($A330,'AAPT ExDa'!$B$2:$U$99, 6,FALSE), IFERROR(VLOOKUP($A330,'ABB ExDa'!$A$2:$N$184, 0,FALSE), IFERROR(VLOOKUP($A330,'Vocus SIT ExDa'!$B$2:$J$173, 0,FALSE), IFERROR(VLOOKUP($A330,'Telstra ExDa'!$B$2:$K$310, 0,FALSE), IFERROR(VLOOKUP($A330,'Vocus RVC ExDa'!$C$2:$R$155, 16,FALSE), IFERROR(VLOOKUP($A330,'Fusion ExDa'!$B$2:$D$16, 0,FALSE), IFERROR(VLOOKUP($A330,'Exetel ExDa'!$C$2:$N$14, 0,FALSE), IFERROR(VLOOKUP($A330,'Infinet ExDa'!$B$2:$E$14, 0,FALSE), "Not Found"))))))))</f>
        <v>Up to 100/40Mbps; AVC ID:AVC000141025780</v>
      </c>
      <c r="I330">
        <f>IFERROR(VLOOKUP($A330,'AAPT ExDa'!$B$2:$U$99, 0,FALSE), IFERROR(VLOOKUP($A330,'ABB ExDa'!$A$2:$N$184, 0,FALSE), IFERROR(VLOOKUP($A330,'Vocus SIT ExDa'!$B$2:$J$173, 0,FALSE), IFERROR(VLOOKUP($A330,'Telstra ExDa'!$B$2:$K$310, 0,FALSE), IFERROR(VLOOKUP($A330,'Vocus RVC ExDa'!$C$2:$R$155, 0,FALSE), IFERROR(VLOOKUP($A330,'Fusion ExDa'!$B$2:$D$16, 0,FALSE), IFERROR(VLOOKUP($A330,'Exetel ExDa'!$C$2:$N$14, 8,FALSE), IFERROR(VLOOKUP($A330,'Infinet ExDa'!$B$2:$E$14, 0,FALSE), "Not Found"))))))))</f>
        <v>0</v>
      </c>
      <c r="J330" t="str">
        <f>IFERROR(VLOOKUP($A330,'AAPT ExDa'!$B$2:$U$99, 7,FALSE), IFERROR(VLOOKUP($A330,'ABB ExDa'!$A$2:$N$184, 2,FALSE), IFERROR(VLOOKUP($A330,'Vocus SIT ExDa'!$B$2:$J$173, 0,FALSE), IFERROR(VLOOKUP($A330,'Telstra ExDa'!$B$2:$K$310, 7,FALSE), IFERROR(VLOOKUP($A330,'Vocus RVC ExDa'!$C$2:$R$155, 2,FALSE), IFERROR(VLOOKUP($A330,'Fusion ExDa'!$B$2:$D$16, 3,FALSE), IFERROR(VLOOKUP($A330,'Exetel ExDa'!$C$2:$N$14, 0,FALSE), IFERROR(VLOOKUP($A330,'Infinet ExDa'!$B$2:$E$14, 0,FALSE), "Not Found"))))))))</f>
        <v>AVC000141025780</v>
      </c>
      <c r="K330" t="str">
        <f>IFERROR(VLOOKUP($A330,'AAPT ExDa'!$B$2:$U$99, 12,FALSE), IFERROR(VLOOKUP($A330,'ABB ExDa'!$A$2:$N$184, 0,FALSE), IFERROR(VLOOKUP($A330,'Vocus SIT ExDa'!$B$2:$J$173, 0,FALSE), IFERROR(VLOOKUP($A330,'Telstra ExDa'!$B$2:$K$310, 0,FALSE), IFERROR(VLOOKUP($A330,'Vocus RVC ExDa'!$C$2:$R$155, 0,FALSE), IFERROR(VLOOKUP($A330,'Fusion ExDa'!$B$2:$D$16, 0,FALSE), IFERROR(VLOOKUP($A330,'Exetel ExDa'!$C$2:$N$14, 12,FALSE), IFERROR(VLOOKUP($A330,'Infinet ExDa'!$B$2:$E$14, 0,FALSE), "Not Found"))))))))</f>
        <v>12 Months</v>
      </c>
      <c r="L330" s="235">
        <f>IFERROR(VLOOKUP($A330,'AAPT ExDa'!$B$2:$U$99, 11,FALSE), IFERROR(VLOOKUP($A330,'ABB ExDa'!$A$2:$N$184, 9,FALSE), IFERROR(VLOOKUP($A330,'Vocus SIT ExDa'!$B$2:$J$173, 8,FALSE), IFERROR(VLOOKUP($A330,'Telstra ExDa'!$B$2:$K$310, 0,FALSE), IFERROR(VLOOKUP($A330,'Vocus RVC ExDa'!$C$2:$R$155, 0,FALSE), IFERROR(VLOOKUP($A330,'Fusion ExDa'!$B$2:$D$16, 0,FALSE), IFERROR(VLOOKUP($A330,'Exetel ExDa'!$C$2:$N$14, 9,FALSE), IFERROR(VLOOKUP($A330,'Infinet ExDa'!$B$2:$E$14, 0,FALSE), "Not Found"))))))))</f>
        <v>44297</v>
      </c>
      <c r="M330" s="234">
        <f>IFERROR(VLOOKUP($A330,'AAPT ExDa'!$B$2:$U$99, 0,FALSE), IFERROR(VLOOKUP($A330,'ABB ExDa'!$A$2:$N$184, 0,FALSE), IFERROR(VLOOKUP($A330,'Vocus SIT ExDa'!$B$2:$J$173, 0,FALSE), IFERROR(VLOOKUP($A330,'Telstra ExDa'!$B$2:$K$310, 0,FALSE), IFERROR(VLOOKUP($A330,'Vocus RVC ExDa'!$C$2:$R$155, 0,FALSE), IFERROR(VLOOKUP($A330,'Fusion ExDa'!$B$2:$D$16, 0,FALSE), IFERROR(VLOOKUP($A330,'Exetel ExDa'!$C$2:$N$14, 11,FALSE), IFERROR(VLOOKUP($A330,'Infinet ExDa'!$B$2:$E$14, 0,FALSE), "Not Found"))))))))</f>
        <v>0</v>
      </c>
      <c r="N330" t="str">
        <f>IFERROR(VLOOKUP($A330,'AAPT ExDa'!$B$2:$U$99, 0,FALSE), IFERROR(VLOOKUP($A330,'ABB ExDa'!$A$2:$N$184, 13,FALSE), IFERROR(VLOOKUP($A330,'Vocus SIT ExDa'!$B$2:$J$173, 0,FALSE), IFERROR(VLOOKUP($A330,'Telstra ExDa'!$B$2:$K$310, 0,FALSE), IFERROR(VLOOKUP($A330,'Vocus RVC ExDa'!$C$2:$R$155, 0,FALSE), IFERROR(VLOOKUP($A330,'Fusion ExDa'!$B$2:$D$16, 0,FALSE), IFERROR(VLOOKUP($A330,'Exetel ExDa'!$C$2:$N$14, 0,FALSE), IFERROR(VLOOKUP($A330,'Infinet ExDa'!$B$2:$E$14, 0,FALSE), "Not Found"))))))))</f>
        <v>Not Found</v>
      </c>
    </row>
    <row r="331" spans="1:14">
      <c r="A331" t="str">
        <v>Hanwha (Aus)</v>
      </c>
      <c r="B331" t="str">
        <f>IFERROR(VLOOKUP(A331,'Exetel ExDa'!$C$2:$N$14,4,FALSE),"No Data")</f>
        <v>No Data</v>
      </c>
      <c r="C331" t="str">
        <f>IFERROR(VLOOKUP(A331,'AAPT ExDa'!$B$2:$U$99, 2,FALSE), IFERROR(VLOOKUP(A331,'ABB ExDa'!$A$2:$N$184, 2,FALSE), IFERROR(VLOOKUP(A331,'Vocus SIT ExDa'!$B$2:$J$173, 7,FALSE), IFERROR(VLOOKUP(A331,'Telstra ExDa'!$B$2:$K$310, 2,FALSE), IFERROR(VLOOKUP(A331,'Vocus RVC ExDa'!$C$2:$R$155, 3,FALSE), IFERROR(VLOOKUP(A331,'Fusion ExDa'!$B$2:$D$16, 2,FALSE), IFERROR(VLOOKUP(A331,'Exetel ExDa'!$C$2:$N$14, 2,FALSE), IFERROR(VLOOKUP(A331,'Infinet ExDa'!$B$2:$E$14, 2,FALSE), "Not Found"))))))))</f>
        <v>Unit 1, 49 Miller Street, Murarrie QLD 4173</v>
      </c>
      <c r="D331" t="str">
        <f>IFERROR(VLOOKUP($A331,'AAPT ExDa'!$B$2:$U$99, 15,FALSE), IFERROR(VLOOKUP($A331,'ABB ExDa'!$A$2:$N$184, 4,FALSE), IFERROR(VLOOKUP($A331,'Vocus SIT ExDa'!$B$2:$J$173, 5,FALSE), IFERROR(VLOOKUP($A331,'Telstra ExDa'!$B$2:$K$310, 8,FALSE), IFERROR(VLOOKUP($A331,'Vocus RVC ExDa'!$C$2:$R$155, 6,FALSE), IFERROR(VLOOKUP($A331,'Fusion ExDa'!$B$2:$D$16, 4,FALSE), IFERROR(VLOOKUP($A331,'Exetel ExDa'!$C$2:$N$14, 3,FALSE), IFERROR(VLOOKUP($A331,'Infinet ExDa'!$B$2:$E$14, 3,FALSE), "Not Found"))))))))</f>
        <v>Vocus SIT</v>
      </c>
      <c r="E331" t="str">
        <f>IFERROR(VLOOKUP($A331,'AAPT ExDa'!$B$2:$U$99, 3,FALSE), IFERROR(VLOOKUP($A331,'ABB ExDa'!$A$2:$N$184, 5,FALSE), IFERROR(VLOOKUP($A331,'Vocus SIT ExDa'!$B$2:$J$173, 2,FALSE), IFERROR(VLOOKUP($A331,'Telstra ExDa'!$B$2:$K$310, 4,FALSE), IFERROR(VLOOKUP($A331,'Vocus RVC ExDa'!$C$2:$R$155, 8,FALSE), IFERROR(VLOOKUP($A331,'Fusion ExDa'!$B$2:$D$16, 4,FALSE), IFERROR(VLOOKUP($A331,'Exetel ExDa'!$C$2:$N$14, 5,FALSE), IFERROR(VLOOKUP($A331,'Infinet ExDa'!$B$2:$E$14, 3,FALSE), "Not Found"))))))))</f>
        <v>Voice Service</v>
      </c>
      <c r="F331" t="str">
        <f>IFERROR(VLOOKUP($A331,'AAPT ExDa'!$B$2:$U$99, 4,FALSE), IFERROR(VLOOKUP($A331,'ABB ExDa'!$A$2:$N$184, 6,FALSE), IFERROR(VLOOKUP($A331,'Vocus SIT ExDa'!$B$2:$J$173, 3,FALSE), IFERROR(VLOOKUP($A331,'Telstra ExDa'!$B$2:$K$310, 5,FALSE), IFERROR(VLOOKUP($A331,'Vocus RVC ExDa'!$C$2:$R$155, 9,FALSE), IFERROR(VLOOKUP($A331,'Fusion ExDa'!$B$2:$D$16, 0,FALSE), IFERROR(VLOOKUP($A331,'Exetel ExDa'!$C$2:$N$14, 6,FALSE), IFERROR(VLOOKUP($A331,'Infinet ExDa'!$B$2:$E$14, 0,FALSE), "Not Found"))))))))</f>
        <v>0734617350</v>
      </c>
      <c r="G331" t="str">
        <f>IFERROR(VLOOKUP($A331,'AAPT ExDa'!$B$2:$U$99, 5,FALSE), IFERROR(VLOOKUP($A331,'ABB ExDa'!$A$2:$N$184, 8,FALSE), IFERROR(VLOOKUP($A331,'Vocus SIT ExDa'!$B$2:$J$173, 6,FALSE), IFERROR(VLOOKUP($A331,'Telstra ExDa'!$B$2:$K$310, 0,FALSE), IFERROR(VLOOKUP($A331,'Vocus RVC ExDa'!$C$2:$R$155, 15,FALSE), IFERROR(VLOOKUP($A331,'Fusion ExDa'!$B$2:$D$16, 0,FALSE), IFERROR(VLOOKUP($A331,'Exetel ExDa'!$C$2:$N$14, 7,FALSE), IFERROR(VLOOKUP($A331,'Infinet ExDa'!$B$2:$E$14, 0,FALSE), "Not Found"))))))))</f>
        <v>IP Tel Order - Smile Tel - 13/12/2022
Voice (5 Mbps) - Unit 1, 49 Miller Street, Murarrie QLD 4172</v>
      </c>
      <c r="H331" t="str">
        <f>IFERROR(VLOOKUP($A331,'AAPT ExDa'!$B$2:$U$99, 6,FALSE), IFERROR(VLOOKUP($A331,'ABB ExDa'!$A$2:$N$184, 0,FALSE), IFERROR(VLOOKUP($A331,'Vocus SIT ExDa'!$B$2:$J$173, 0,FALSE), IFERROR(VLOOKUP($A331,'Telstra ExDa'!$B$2:$K$310, 0,FALSE), IFERROR(VLOOKUP($A331,'Vocus RVC ExDa'!$C$2:$R$155, 16,FALSE), IFERROR(VLOOKUP($A331,'Fusion ExDa'!$B$2:$D$16, 0,FALSE), IFERROR(VLOOKUP($A331,'Exetel ExDa'!$C$2:$N$14, 0,FALSE), IFERROR(VLOOKUP($A331,'Infinet ExDa'!$B$2:$E$14, 0,FALSE), "Not Found"))))))))</f>
        <v>Not Found</v>
      </c>
      <c r="I331" t="str">
        <f>IFERROR(VLOOKUP($A331,'AAPT ExDa'!$B$2:$U$99, 0,FALSE), IFERROR(VLOOKUP($A331,'ABB ExDa'!$A$2:$N$184, 0,FALSE), IFERROR(VLOOKUP($A331,'Vocus SIT ExDa'!$B$2:$J$173, 0,FALSE), IFERROR(VLOOKUP($A331,'Telstra ExDa'!$B$2:$K$310, 0,FALSE), IFERROR(VLOOKUP($A331,'Vocus RVC ExDa'!$C$2:$R$155, 0,FALSE), IFERROR(VLOOKUP($A331,'Fusion ExDa'!$B$2:$D$16, 0,FALSE), IFERROR(VLOOKUP($A331,'Exetel ExDa'!$C$2:$N$14, 8,FALSE), IFERROR(VLOOKUP($A331,'Infinet ExDa'!$B$2:$E$14, 0,FALSE), "Not Found"))))))))</f>
        <v>Not Found</v>
      </c>
      <c r="J331" t="str">
        <f>IFERROR(VLOOKUP($A331,'AAPT ExDa'!$B$2:$U$99, 7,FALSE), IFERROR(VLOOKUP($A331,'ABB ExDa'!$A$2:$N$184, 2,FALSE), IFERROR(VLOOKUP($A331,'Vocus SIT ExDa'!$B$2:$J$173, 0,FALSE), IFERROR(VLOOKUP($A331,'Telstra ExDa'!$B$2:$K$310, 7,FALSE), IFERROR(VLOOKUP($A331,'Vocus RVC ExDa'!$C$2:$R$155, 2,FALSE), IFERROR(VLOOKUP($A331,'Fusion ExDa'!$B$2:$D$16, 3,FALSE), IFERROR(VLOOKUP($A331,'Exetel ExDa'!$C$2:$N$14, 0,FALSE), IFERROR(VLOOKUP($A331,'Infinet ExDa'!$B$2:$E$14, 0,FALSE), "Not Found"))))))))</f>
        <v>Not Found</v>
      </c>
      <c r="K331" t="str">
        <f>IFERROR(VLOOKUP($A331,'AAPT ExDa'!$B$2:$U$99, 12,FALSE), IFERROR(VLOOKUP($A331,'ABB ExDa'!$A$2:$N$184, 0,FALSE), IFERROR(VLOOKUP($A331,'Vocus SIT ExDa'!$B$2:$J$173, 0,FALSE), IFERROR(VLOOKUP($A331,'Telstra ExDa'!$B$2:$K$310, 0,FALSE), IFERROR(VLOOKUP($A331,'Vocus RVC ExDa'!$C$2:$R$155, 0,FALSE), IFERROR(VLOOKUP($A331,'Fusion ExDa'!$B$2:$D$16, 0,FALSE), IFERROR(VLOOKUP($A331,'Exetel ExDa'!$C$2:$N$14, 12,FALSE), IFERROR(VLOOKUP($A331,'Infinet ExDa'!$B$2:$E$14, 0,FALSE), "Not Found"))))))))</f>
        <v>Not Found</v>
      </c>
      <c r="L331" s="235" t="str">
        <f>IFERROR(VLOOKUP($A331,'AAPT ExDa'!$B$2:$U$99, 11,FALSE), IFERROR(VLOOKUP($A331,'ABB ExDa'!$A$2:$N$184, 9,FALSE), IFERROR(VLOOKUP($A331,'Vocus SIT ExDa'!$B$2:$J$173, 8,FALSE), IFERROR(VLOOKUP($A331,'Telstra ExDa'!$B$2:$K$310, 0,FALSE), IFERROR(VLOOKUP($A331,'Vocus RVC ExDa'!$C$2:$R$155, 0,FALSE), IFERROR(VLOOKUP($A331,'Fusion ExDa'!$B$2:$D$16, 0,FALSE), IFERROR(VLOOKUP($A331,'Exetel ExDa'!$C$2:$N$14, 9,FALSE), IFERROR(VLOOKUP($A331,'Infinet ExDa'!$B$2:$E$14, 0,FALSE), "Not Found"))))))))</f>
        <v>21/12/2022</v>
      </c>
      <c r="M331" s="234" t="str">
        <f>IFERROR(VLOOKUP($A331,'AAPT ExDa'!$B$2:$U$99, 0,FALSE), IFERROR(VLOOKUP($A331,'ABB ExDa'!$A$2:$N$184, 0,FALSE), IFERROR(VLOOKUP($A331,'Vocus SIT ExDa'!$B$2:$J$173, 0,FALSE), IFERROR(VLOOKUP($A331,'Telstra ExDa'!$B$2:$K$310, 0,FALSE), IFERROR(VLOOKUP($A331,'Vocus RVC ExDa'!$C$2:$R$155, 0,FALSE), IFERROR(VLOOKUP($A331,'Fusion ExDa'!$B$2:$D$16, 0,FALSE), IFERROR(VLOOKUP($A331,'Exetel ExDa'!$C$2:$N$14, 11,FALSE), IFERROR(VLOOKUP($A331,'Infinet ExDa'!$B$2:$E$14, 0,FALSE), "Not Found"))))))))</f>
        <v>Not Found</v>
      </c>
      <c r="N331" t="str">
        <f>IFERROR(VLOOKUP($A331,'AAPT ExDa'!$B$2:$U$99, 0,FALSE), IFERROR(VLOOKUP($A331,'ABB ExDa'!$A$2:$N$184, 13,FALSE), IFERROR(VLOOKUP($A331,'Vocus SIT ExDa'!$B$2:$J$173, 0,FALSE), IFERROR(VLOOKUP($A331,'Telstra ExDa'!$B$2:$K$310, 0,FALSE), IFERROR(VLOOKUP($A331,'Vocus RVC ExDa'!$C$2:$R$155, 0,FALSE), IFERROR(VLOOKUP($A331,'Fusion ExDa'!$B$2:$D$16, 0,FALSE), IFERROR(VLOOKUP($A331,'Exetel ExDa'!$C$2:$N$14, 0,FALSE), IFERROR(VLOOKUP($A331,'Infinet ExDa'!$B$2:$E$14, 0,FALSE), "Not Found"))))))))</f>
        <v>Not Found</v>
      </c>
    </row>
    <row r="332" spans="1:14">
      <c r="A332" t="str">
        <v>Hanwha (Aus)</v>
      </c>
      <c r="B332" t="str">
        <f>IFERROR(VLOOKUP(A332,'Exetel ExDa'!$C$2:$N$14,4,FALSE),"No Data")</f>
        <v>No Data</v>
      </c>
      <c r="C332" t="str">
        <f>IFERROR(VLOOKUP(A332,'AAPT ExDa'!$B$2:$U$99, 2,FALSE), IFERROR(VLOOKUP(A332,'ABB ExDa'!$A$2:$N$184, 2,FALSE), IFERROR(VLOOKUP(A332,'Vocus SIT ExDa'!$B$2:$J$173, 7,FALSE), IFERROR(VLOOKUP(A332,'Telstra ExDa'!$B$2:$K$310, 2,FALSE), IFERROR(VLOOKUP(A332,'Vocus RVC ExDa'!$C$2:$R$155, 3,FALSE), IFERROR(VLOOKUP(A332,'Fusion ExDa'!$B$2:$D$16, 2,FALSE), IFERROR(VLOOKUP(A332,'Exetel ExDa'!$C$2:$N$14, 2,FALSE), IFERROR(VLOOKUP(A332,'Infinet ExDa'!$B$2:$E$14, 2,FALSE), "Not Found"))))))))</f>
        <v>Unit 1, 49 Miller Street, Murarrie QLD 4173</v>
      </c>
      <c r="D332" t="str">
        <f>IFERROR(VLOOKUP($A332,'AAPT ExDa'!$B$2:$U$99, 15,FALSE), IFERROR(VLOOKUP($A332,'ABB ExDa'!$A$2:$N$184, 4,FALSE), IFERROR(VLOOKUP($A332,'Vocus SIT ExDa'!$B$2:$J$173, 5,FALSE), IFERROR(VLOOKUP($A332,'Telstra ExDa'!$B$2:$K$310, 8,FALSE), IFERROR(VLOOKUP($A332,'Vocus RVC ExDa'!$C$2:$R$155, 6,FALSE), IFERROR(VLOOKUP($A332,'Fusion ExDa'!$B$2:$D$16, 4,FALSE), IFERROR(VLOOKUP($A332,'Exetel ExDa'!$C$2:$N$14, 3,FALSE), IFERROR(VLOOKUP($A332,'Infinet ExDa'!$B$2:$E$14, 3,FALSE), "Not Found"))))))))</f>
        <v>Vocus SIT</v>
      </c>
      <c r="E332" t="str">
        <f>IFERROR(VLOOKUP($A332,'AAPT ExDa'!$B$2:$U$99, 3,FALSE), IFERROR(VLOOKUP($A332,'ABB ExDa'!$A$2:$N$184, 5,FALSE), IFERROR(VLOOKUP($A332,'Vocus SIT ExDa'!$B$2:$J$173, 2,FALSE), IFERROR(VLOOKUP($A332,'Telstra ExDa'!$B$2:$K$310, 4,FALSE), IFERROR(VLOOKUP($A332,'Vocus RVC ExDa'!$C$2:$R$155, 8,FALSE), IFERROR(VLOOKUP($A332,'Fusion ExDa'!$B$2:$D$16, 4,FALSE), IFERROR(VLOOKUP($A332,'Exetel ExDa'!$C$2:$N$14, 5,FALSE), IFERROR(VLOOKUP($A332,'Infinet ExDa'!$B$2:$E$14, 3,FALSE), "Not Found"))))))))</f>
        <v>Voice Service</v>
      </c>
      <c r="F332" t="str">
        <f>IFERROR(VLOOKUP($A332,'AAPT ExDa'!$B$2:$U$99, 4,FALSE), IFERROR(VLOOKUP($A332,'ABB ExDa'!$A$2:$N$184, 6,FALSE), IFERROR(VLOOKUP($A332,'Vocus SIT ExDa'!$B$2:$J$173, 3,FALSE), IFERROR(VLOOKUP($A332,'Telstra ExDa'!$B$2:$K$310, 5,FALSE), IFERROR(VLOOKUP($A332,'Vocus RVC ExDa'!$C$2:$R$155, 9,FALSE), IFERROR(VLOOKUP($A332,'Fusion ExDa'!$B$2:$D$16, 0,FALSE), IFERROR(VLOOKUP($A332,'Exetel ExDa'!$C$2:$N$14, 6,FALSE), IFERROR(VLOOKUP($A332,'Infinet ExDa'!$B$2:$E$14, 0,FALSE), "Not Found"))))))))</f>
        <v>0734617350</v>
      </c>
      <c r="G332" t="str">
        <f>IFERROR(VLOOKUP($A332,'AAPT ExDa'!$B$2:$U$99, 5,FALSE), IFERROR(VLOOKUP($A332,'ABB ExDa'!$A$2:$N$184, 8,FALSE), IFERROR(VLOOKUP($A332,'Vocus SIT ExDa'!$B$2:$J$173, 6,FALSE), IFERROR(VLOOKUP($A332,'Telstra ExDa'!$B$2:$K$310, 0,FALSE), IFERROR(VLOOKUP($A332,'Vocus RVC ExDa'!$C$2:$R$155, 15,FALSE), IFERROR(VLOOKUP($A332,'Fusion ExDa'!$B$2:$D$16, 0,FALSE), IFERROR(VLOOKUP($A332,'Exetel ExDa'!$C$2:$N$14, 7,FALSE), IFERROR(VLOOKUP($A332,'Infinet ExDa'!$B$2:$E$14, 0,FALSE), "Not Found"))))))))</f>
        <v>IP Tel Order - Smile Tel - 13/12/2022
Voice (5 Mbps) - Unit 1, 49 Miller Street, Murarrie QLD 4172</v>
      </c>
      <c r="H332" t="str">
        <f>IFERROR(VLOOKUP($A332,'AAPT ExDa'!$B$2:$U$99, 6,FALSE), IFERROR(VLOOKUP($A332,'ABB ExDa'!$A$2:$N$184, 0,FALSE), IFERROR(VLOOKUP($A332,'Vocus SIT ExDa'!$B$2:$J$173, 0,FALSE), IFERROR(VLOOKUP($A332,'Telstra ExDa'!$B$2:$K$310, 0,FALSE), IFERROR(VLOOKUP($A332,'Vocus RVC ExDa'!$C$2:$R$155, 16,FALSE), IFERROR(VLOOKUP($A332,'Fusion ExDa'!$B$2:$D$16, 0,FALSE), IFERROR(VLOOKUP($A332,'Exetel ExDa'!$C$2:$N$14, 0,FALSE), IFERROR(VLOOKUP($A332,'Infinet ExDa'!$B$2:$E$14, 0,FALSE), "Not Found"))))))))</f>
        <v>Not Found</v>
      </c>
      <c r="I332" t="str">
        <f>IFERROR(VLOOKUP($A332,'AAPT ExDa'!$B$2:$U$99, 0,FALSE), IFERROR(VLOOKUP($A332,'ABB ExDa'!$A$2:$N$184, 0,FALSE), IFERROR(VLOOKUP($A332,'Vocus SIT ExDa'!$B$2:$J$173, 0,FALSE), IFERROR(VLOOKUP($A332,'Telstra ExDa'!$B$2:$K$310, 0,FALSE), IFERROR(VLOOKUP($A332,'Vocus RVC ExDa'!$C$2:$R$155, 0,FALSE), IFERROR(VLOOKUP($A332,'Fusion ExDa'!$B$2:$D$16, 0,FALSE), IFERROR(VLOOKUP($A332,'Exetel ExDa'!$C$2:$N$14, 8,FALSE), IFERROR(VLOOKUP($A332,'Infinet ExDa'!$B$2:$E$14, 0,FALSE), "Not Found"))))))))</f>
        <v>Not Found</v>
      </c>
      <c r="J332" t="str">
        <f>IFERROR(VLOOKUP($A332,'AAPT ExDa'!$B$2:$U$99, 7,FALSE), IFERROR(VLOOKUP($A332,'ABB ExDa'!$A$2:$N$184, 2,FALSE), IFERROR(VLOOKUP($A332,'Vocus SIT ExDa'!$B$2:$J$173, 0,FALSE), IFERROR(VLOOKUP($A332,'Telstra ExDa'!$B$2:$K$310, 7,FALSE), IFERROR(VLOOKUP($A332,'Vocus RVC ExDa'!$C$2:$R$155, 2,FALSE), IFERROR(VLOOKUP($A332,'Fusion ExDa'!$B$2:$D$16, 3,FALSE), IFERROR(VLOOKUP($A332,'Exetel ExDa'!$C$2:$N$14, 0,FALSE), IFERROR(VLOOKUP($A332,'Infinet ExDa'!$B$2:$E$14, 0,FALSE), "Not Found"))))))))</f>
        <v>Not Found</v>
      </c>
      <c r="K332" t="str">
        <f>IFERROR(VLOOKUP($A332,'AAPT ExDa'!$B$2:$U$99, 12,FALSE), IFERROR(VLOOKUP($A332,'ABB ExDa'!$A$2:$N$184, 0,FALSE), IFERROR(VLOOKUP($A332,'Vocus SIT ExDa'!$B$2:$J$173, 0,FALSE), IFERROR(VLOOKUP($A332,'Telstra ExDa'!$B$2:$K$310, 0,FALSE), IFERROR(VLOOKUP($A332,'Vocus RVC ExDa'!$C$2:$R$155, 0,FALSE), IFERROR(VLOOKUP($A332,'Fusion ExDa'!$B$2:$D$16, 0,FALSE), IFERROR(VLOOKUP($A332,'Exetel ExDa'!$C$2:$N$14, 12,FALSE), IFERROR(VLOOKUP($A332,'Infinet ExDa'!$B$2:$E$14, 0,FALSE), "Not Found"))))))))</f>
        <v>Not Found</v>
      </c>
      <c r="L332" s="235" t="str">
        <f>IFERROR(VLOOKUP($A332,'AAPT ExDa'!$B$2:$U$99, 11,FALSE), IFERROR(VLOOKUP($A332,'ABB ExDa'!$A$2:$N$184, 9,FALSE), IFERROR(VLOOKUP($A332,'Vocus SIT ExDa'!$B$2:$J$173, 8,FALSE), IFERROR(VLOOKUP($A332,'Telstra ExDa'!$B$2:$K$310, 0,FALSE), IFERROR(VLOOKUP($A332,'Vocus RVC ExDa'!$C$2:$R$155, 0,FALSE), IFERROR(VLOOKUP($A332,'Fusion ExDa'!$B$2:$D$16, 0,FALSE), IFERROR(VLOOKUP($A332,'Exetel ExDa'!$C$2:$N$14, 9,FALSE), IFERROR(VLOOKUP($A332,'Infinet ExDa'!$B$2:$E$14, 0,FALSE), "Not Found"))))))))</f>
        <v>21/12/2022</v>
      </c>
      <c r="M332" s="234" t="str">
        <f>IFERROR(VLOOKUP($A332,'AAPT ExDa'!$B$2:$U$99, 0,FALSE), IFERROR(VLOOKUP($A332,'ABB ExDa'!$A$2:$N$184, 0,FALSE), IFERROR(VLOOKUP($A332,'Vocus SIT ExDa'!$B$2:$J$173, 0,FALSE), IFERROR(VLOOKUP($A332,'Telstra ExDa'!$B$2:$K$310, 0,FALSE), IFERROR(VLOOKUP($A332,'Vocus RVC ExDa'!$C$2:$R$155, 0,FALSE), IFERROR(VLOOKUP($A332,'Fusion ExDa'!$B$2:$D$16, 0,FALSE), IFERROR(VLOOKUP($A332,'Exetel ExDa'!$C$2:$N$14, 11,FALSE), IFERROR(VLOOKUP($A332,'Infinet ExDa'!$B$2:$E$14, 0,FALSE), "Not Found"))))))))</f>
        <v>Not Found</v>
      </c>
      <c r="N332" t="str">
        <f>IFERROR(VLOOKUP($A332,'AAPT ExDa'!$B$2:$U$99, 0,FALSE), IFERROR(VLOOKUP($A332,'ABB ExDa'!$A$2:$N$184, 13,FALSE), IFERROR(VLOOKUP($A332,'Vocus SIT ExDa'!$B$2:$J$173, 0,FALSE), IFERROR(VLOOKUP($A332,'Telstra ExDa'!$B$2:$K$310, 0,FALSE), IFERROR(VLOOKUP($A332,'Vocus RVC ExDa'!$C$2:$R$155, 0,FALSE), IFERROR(VLOOKUP($A332,'Fusion ExDa'!$B$2:$D$16, 0,FALSE), IFERROR(VLOOKUP($A332,'Exetel ExDa'!$C$2:$N$14, 0,FALSE), IFERROR(VLOOKUP($A332,'Infinet ExDa'!$B$2:$E$14, 0,FALSE), "Not Found"))))))))</f>
        <v>Not Found</v>
      </c>
    </row>
    <row r="333" spans="1:14">
      <c r="A333" t="str">
        <v>Hanwha (Aus)</v>
      </c>
      <c r="B333" t="str">
        <f>IFERROR(VLOOKUP(A333,'Exetel ExDa'!$C$2:$N$14,4,FALSE),"No Data")</f>
        <v>No Data</v>
      </c>
      <c r="C333" t="str">
        <f>IFERROR(VLOOKUP(A333,'AAPT ExDa'!$B$2:$U$99, 2,FALSE), IFERROR(VLOOKUP(A333,'ABB ExDa'!$A$2:$N$184, 2,FALSE), IFERROR(VLOOKUP(A333,'Vocus SIT ExDa'!$B$2:$J$173, 7,FALSE), IFERROR(VLOOKUP(A333,'Telstra ExDa'!$B$2:$K$310, 2,FALSE), IFERROR(VLOOKUP(A333,'Vocus RVC ExDa'!$C$2:$R$155, 3,FALSE), IFERROR(VLOOKUP(A333,'Fusion ExDa'!$B$2:$D$16, 2,FALSE), IFERROR(VLOOKUP(A333,'Exetel ExDa'!$C$2:$N$14, 2,FALSE), IFERROR(VLOOKUP(A333,'Infinet ExDa'!$B$2:$E$14, 2,FALSE), "Not Found"))))))))</f>
        <v>Unit 1, 49 Miller Street, Murarrie QLD 4173</v>
      </c>
      <c r="D333" t="str">
        <f>IFERROR(VLOOKUP($A333,'AAPT ExDa'!$B$2:$U$99, 15,FALSE), IFERROR(VLOOKUP($A333,'ABB ExDa'!$A$2:$N$184, 4,FALSE), IFERROR(VLOOKUP($A333,'Vocus SIT ExDa'!$B$2:$J$173, 5,FALSE), IFERROR(VLOOKUP($A333,'Telstra ExDa'!$B$2:$K$310, 8,FALSE), IFERROR(VLOOKUP($A333,'Vocus RVC ExDa'!$C$2:$R$155, 6,FALSE), IFERROR(VLOOKUP($A333,'Fusion ExDa'!$B$2:$D$16, 4,FALSE), IFERROR(VLOOKUP($A333,'Exetel ExDa'!$C$2:$N$14, 3,FALSE), IFERROR(VLOOKUP($A333,'Infinet ExDa'!$B$2:$E$14, 3,FALSE), "Not Found"))))))))</f>
        <v>Vocus SIT</v>
      </c>
      <c r="E333" t="str">
        <f>IFERROR(VLOOKUP($A333,'AAPT ExDa'!$B$2:$U$99, 3,FALSE), IFERROR(VLOOKUP($A333,'ABB ExDa'!$A$2:$N$184, 5,FALSE), IFERROR(VLOOKUP($A333,'Vocus SIT ExDa'!$B$2:$J$173, 2,FALSE), IFERROR(VLOOKUP($A333,'Telstra ExDa'!$B$2:$K$310, 4,FALSE), IFERROR(VLOOKUP($A333,'Vocus RVC ExDa'!$C$2:$R$155, 8,FALSE), IFERROR(VLOOKUP($A333,'Fusion ExDa'!$B$2:$D$16, 4,FALSE), IFERROR(VLOOKUP($A333,'Exetel ExDa'!$C$2:$N$14, 5,FALSE), IFERROR(VLOOKUP($A333,'Infinet ExDa'!$B$2:$E$14, 3,FALSE), "Not Found"))))))))</f>
        <v>Voice Service</v>
      </c>
      <c r="F333" t="str">
        <f>IFERROR(VLOOKUP($A333,'AAPT ExDa'!$B$2:$U$99, 4,FALSE), IFERROR(VLOOKUP($A333,'ABB ExDa'!$A$2:$N$184, 6,FALSE), IFERROR(VLOOKUP($A333,'Vocus SIT ExDa'!$B$2:$J$173, 3,FALSE), IFERROR(VLOOKUP($A333,'Telstra ExDa'!$B$2:$K$310, 5,FALSE), IFERROR(VLOOKUP($A333,'Vocus RVC ExDa'!$C$2:$R$155, 9,FALSE), IFERROR(VLOOKUP($A333,'Fusion ExDa'!$B$2:$D$16, 0,FALSE), IFERROR(VLOOKUP($A333,'Exetel ExDa'!$C$2:$N$14, 6,FALSE), IFERROR(VLOOKUP($A333,'Infinet ExDa'!$B$2:$E$14, 0,FALSE), "Not Found"))))))))</f>
        <v>0734617350</v>
      </c>
      <c r="G333" t="str">
        <f>IFERROR(VLOOKUP($A333,'AAPT ExDa'!$B$2:$U$99, 5,FALSE), IFERROR(VLOOKUP($A333,'ABB ExDa'!$A$2:$N$184, 8,FALSE), IFERROR(VLOOKUP($A333,'Vocus SIT ExDa'!$B$2:$J$173, 6,FALSE), IFERROR(VLOOKUP($A333,'Telstra ExDa'!$B$2:$K$310, 0,FALSE), IFERROR(VLOOKUP($A333,'Vocus RVC ExDa'!$C$2:$R$155, 15,FALSE), IFERROR(VLOOKUP($A333,'Fusion ExDa'!$B$2:$D$16, 0,FALSE), IFERROR(VLOOKUP($A333,'Exetel ExDa'!$C$2:$N$14, 7,FALSE), IFERROR(VLOOKUP($A333,'Infinet ExDa'!$B$2:$E$14, 0,FALSE), "Not Found"))))))))</f>
        <v>IP Tel Order - Smile Tel - 13/12/2022
Voice (5 Mbps) - Unit 1, 49 Miller Street, Murarrie QLD 4172</v>
      </c>
      <c r="H333" t="str">
        <f>IFERROR(VLOOKUP($A333,'AAPT ExDa'!$B$2:$U$99, 6,FALSE), IFERROR(VLOOKUP($A333,'ABB ExDa'!$A$2:$N$184, 0,FALSE), IFERROR(VLOOKUP($A333,'Vocus SIT ExDa'!$B$2:$J$173, 0,FALSE), IFERROR(VLOOKUP($A333,'Telstra ExDa'!$B$2:$K$310, 0,FALSE), IFERROR(VLOOKUP($A333,'Vocus RVC ExDa'!$C$2:$R$155, 16,FALSE), IFERROR(VLOOKUP($A333,'Fusion ExDa'!$B$2:$D$16, 0,FALSE), IFERROR(VLOOKUP($A333,'Exetel ExDa'!$C$2:$N$14, 0,FALSE), IFERROR(VLOOKUP($A333,'Infinet ExDa'!$B$2:$E$14, 0,FALSE), "Not Found"))))))))</f>
        <v>Not Found</v>
      </c>
      <c r="I333" t="str">
        <f>IFERROR(VLOOKUP($A333,'AAPT ExDa'!$B$2:$U$99, 0,FALSE), IFERROR(VLOOKUP($A333,'ABB ExDa'!$A$2:$N$184, 0,FALSE), IFERROR(VLOOKUP($A333,'Vocus SIT ExDa'!$B$2:$J$173, 0,FALSE), IFERROR(VLOOKUP($A333,'Telstra ExDa'!$B$2:$K$310, 0,FALSE), IFERROR(VLOOKUP($A333,'Vocus RVC ExDa'!$C$2:$R$155, 0,FALSE), IFERROR(VLOOKUP($A333,'Fusion ExDa'!$B$2:$D$16, 0,FALSE), IFERROR(VLOOKUP($A333,'Exetel ExDa'!$C$2:$N$14, 8,FALSE), IFERROR(VLOOKUP($A333,'Infinet ExDa'!$B$2:$E$14, 0,FALSE), "Not Found"))))))))</f>
        <v>Not Found</v>
      </c>
      <c r="J333" t="str">
        <f>IFERROR(VLOOKUP($A333,'AAPT ExDa'!$B$2:$U$99, 7,FALSE), IFERROR(VLOOKUP($A333,'ABB ExDa'!$A$2:$N$184, 2,FALSE), IFERROR(VLOOKUP($A333,'Vocus SIT ExDa'!$B$2:$J$173, 0,FALSE), IFERROR(VLOOKUP($A333,'Telstra ExDa'!$B$2:$K$310, 7,FALSE), IFERROR(VLOOKUP($A333,'Vocus RVC ExDa'!$C$2:$R$155, 2,FALSE), IFERROR(VLOOKUP($A333,'Fusion ExDa'!$B$2:$D$16, 3,FALSE), IFERROR(VLOOKUP($A333,'Exetel ExDa'!$C$2:$N$14, 0,FALSE), IFERROR(VLOOKUP($A333,'Infinet ExDa'!$B$2:$E$14, 0,FALSE), "Not Found"))))))))</f>
        <v>Not Found</v>
      </c>
      <c r="K333" t="str">
        <f>IFERROR(VLOOKUP($A333,'AAPT ExDa'!$B$2:$U$99, 12,FALSE), IFERROR(VLOOKUP($A333,'ABB ExDa'!$A$2:$N$184, 0,FALSE), IFERROR(VLOOKUP($A333,'Vocus SIT ExDa'!$B$2:$J$173, 0,FALSE), IFERROR(VLOOKUP($A333,'Telstra ExDa'!$B$2:$K$310, 0,FALSE), IFERROR(VLOOKUP($A333,'Vocus RVC ExDa'!$C$2:$R$155, 0,FALSE), IFERROR(VLOOKUP($A333,'Fusion ExDa'!$B$2:$D$16, 0,FALSE), IFERROR(VLOOKUP($A333,'Exetel ExDa'!$C$2:$N$14, 12,FALSE), IFERROR(VLOOKUP($A333,'Infinet ExDa'!$B$2:$E$14, 0,FALSE), "Not Found"))))))))</f>
        <v>Not Found</v>
      </c>
      <c r="L333" s="235" t="str">
        <f>IFERROR(VLOOKUP($A333,'AAPT ExDa'!$B$2:$U$99, 11,FALSE), IFERROR(VLOOKUP($A333,'ABB ExDa'!$A$2:$N$184, 9,FALSE), IFERROR(VLOOKUP($A333,'Vocus SIT ExDa'!$B$2:$J$173, 8,FALSE), IFERROR(VLOOKUP($A333,'Telstra ExDa'!$B$2:$K$310, 0,FALSE), IFERROR(VLOOKUP($A333,'Vocus RVC ExDa'!$C$2:$R$155, 0,FALSE), IFERROR(VLOOKUP($A333,'Fusion ExDa'!$B$2:$D$16, 0,FALSE), IFERROR(VLOOKUP($A333,'Exetel ExDa'!$C$2:$N$14, 9,FALSE), IFERROR(VLOOKUP($A333,'Infinet ExDa'!$B$2:$E$14, 0,FALSE), "Not Found"))))))))</f>
        <v>21/12/2022</v>
      </c>
      <c r="M333" s="234" t="str">
        <f>IFERROR(VLOOKUP($A333,'AAPT ExDa'!$B$2:$U$99, 0,FALSE), IFERROR(VLOOKUP($A333,'ABB ExDa'!$A$2:$N$184, 0,FALSE), IFERROR(VLOOKUP($A333,'Vocus SIT ExDa'!$B$2:$J$173, 0,FALSE), IFERROR(VLOOKUP($A333,'Telstra ExDa'!$B$2:$K$310, 0,FALSE), IFERROR(VLOOKUP($A333,'Vocus RVC ExDa'!$C$2:$R$155, 0,FALSE), IFERROR(VLOOKUP($A333,'Fusion ExDa'!$B$2:$D$16, 0,FALSE), IFERROR(VLOOKUP($A333,'Exetel ExDa'!$C$2:$N$14, 11,FALSE), IFERROR(VLOOKUP($A333,'Infinet ExDa'!$B$2:$E$14, 0,FALSE), "Not Found"))))))))</f>
        <v>Not Found</v>
      </c>
      <c r="N333" t="str">
        <f>IFERROR(VLOOKUP($A333,'AAPT ExDa'!$B$2:$U$99, 0,FALSE), IFERROR(VLOOKUP($A333,'ABB ExDa'!$A$2:$N$184, 13,FALSE), IFERROR(VLOOKUP($A333,'Vocus SIT ExDa'!$B$2:$J$173, 0,FALSE), IFERROR(VLOOKUP($A333,'Telstra ExDa'!$B$2:$K$310, 0,FALSE), IFERROR(VLOOKUP($A333,'Vocus RVC ExDa'!$C$2:$R$155, 0,FALSE), IFERROR(VLOOKUP($A333,'Fusion ExDa'!$B$2:$D$16, 0,FALSE), IFERROR(VLOOKUP($A333,'Exetel ExDa'!$C$2:$N$14, 0,FALSE), IFERROR(VLOOKUP($A333,'Infinet ExDa'!$B$2:$E$14, 0,FALSE), "Not Found"))))))))</f>
        <v>Not Found</v>
      </c>
    </row>
    <row r="334" spans="1:14">
      <c r="A334" t="str">
        <v>Hanwha (Aus)</v>
      </c>
      <c r="B334" t="str">
        <f>IFERROR(VLOOKUP(A334,'Exetel ExDa'!$C$2:$N$14,4,FALSE),"No Data")</f>
        <v>No Data</v>
      </c>
      <c r="C334" t="str">
        <f>IFERROR(VLOOKUP(A334,'AAPT ExDa'!$B$2:$U$99, 2,FALSE), IFERROR(VLOOKUP(A334,'ABB ExDa'!$A$2:$N$184, 2,FALSE), IFERROR(VLOOKUP(A334,'Vocus SIT ExDa'!$B$2:$J$173, 7,FALSE), IFERROR(VLOOKUP(A334,'Telstra ExDa'!$B$2:$K$310, 2,FALSE), IFERROR(VLOOKUP(A334,'Vocus RVC ExDa'!$C$2:$R$155, 3,FALSE), IFERROR(VLOOKUP(A334,'Fusion ExDa'!$B$2:$D$16, 2,FALSE), IFERROR(VLOOKUP(A334,'Exetel ExDa'!$C$2:$N$14, 2,FALSE), IFERROR(VLOOKUP(A334,'Infinet ExDa'!$B$2:$E$14, 2,FALSE), "Not Found"))))))))</f>
        <v>Unit 1, 49 Miller Street, Murarrie QLD 4173</v>
      </c>
      <c r="D334" t="str">
        <f>IFERROR(VLOOKUP($A334,'AAPT ExDa'!$B$2:$U$99, 15,FALSE), IFERROR(VLOOKUP($A334,'ABB ExDa'!$A$2:$N$184, 4,FALSE), IFERROR(VLOOKUP($A334,'Vocus SIT ExDa'!$B$2:$J$173, 5,FALSE), IFERROR(VLOOKUP($A334,'Telstra ExDa'!$B$2:$K$310, 8,FALSE), IFERROR(VLOOKUP($A334,'Vocus RVC ExDa'!$C$2:$R$155, 6,FALSE), IFERROR(VLOOKUP($A334,'Fusion ExDa'!$B$2:$D$16, 4,FALSE), IFERROR(VLOOKUP($A334,'Exetel ExDa'!$C$2:$N$14, 3,FALSE), IFERROR(VLOOKUP($A334,'Infinet ExDa'!$B$2:$E$14, 3,FALSE), "Not Found"))))))))</f>
        <v>Vocus SIT</v>
      </c>
      <c r="E334" t="str">
        <f>IFERROR(VLOOKUP($A334,'AAPT ExDa'!$B$2:$U$99, 3,FALSE), IFERROR(VLOOKUP($A334,'ABB ExDa'!$A$2:$N$184, 5,FALSE), IFERROR(VLOOKUP($A334,'Vocus SIT ExDa'!$B$2:$J$173, 2,FALSE), IFERROR(VLOOKUP($A334,'Telstra ExDa'!$B$2:$K$310, 4,FALSE), IFERROR(VLOOKUP($A334,'Vocus RVC ExDa'!$C$2:$R$155, 8,FALSE), IFERROR(VLOOKUP($A334,'Fusion ExDa'!$B$2:$D$16, 4,FALSE), IFERROR(VLOOKUP($A334,'Exetel ExDa'!$C$2:$N$14, 5,FALSE), IFERROR(VLOOKUP($A334,'Infinet ExDa'!$B$2:$E$14, 3,FALSE), "Not Found"))))))))</f>
        <v>Voice Service</v>
      </c>
      <c r="F334" t="str">
        <f>IFERROR(VLOOKUP($A334,'AAPT ExDa'!$B$2:$U$99, 4,FALSE), IFERROR(VLOOKUP($A334,'ABB ExDa'!$A$2:$N$184, 6,FALSE), IFERROR(VLOOKUP($A334,'Vocus SIT ExDa'!$B$2:$J$173, 3,FALSE), IFERROR(VLOOKUP($A334,'Telstra ExDa'!$B$2:$K$310, 5,FALSE), IFERROR(VLOOKUP($A334,'Vocus RVC ExDa'!$C$2:$R$155, 9,FALSE), IFERROR(VLOOKUP($A334,'Fusion ExDa'!$B$2:$D$16, 0,FALSE), IFERROR(VLOOKUP($A334,'Exetel ExDa'!$C$2:$N$14, 6,FALSE), IFERROR(VLOOKUP($A334,'Infinet ExDa'!$B$2:$E$14, 0,FALSE), "Not Found"))))))))</f>
        <v>0734617350</v>
      </c>
      <c r="G334" t="str">
        <f>IFERROR(VLOOKUP($A334,'AAPT ExDa'!$B$2:$U$99, 5,FALSE), IFERROR(VLOOKUP($A334,'ABB ExDa'!$A$2:$N$184, 8,FALSE), IFERROR(VLOOKUP($A334,'Vocus SIT ExDa'!$B$2:$J$173, 6,FALSE), IFERROR(VLOOKUP($A334,'Telstra ExDa'!$B$2:$K$310, 0,FALSE), IFERROR(VLOOKUP($A334,'Vocus RVC ExDa'!$C$2:$R$155, 15,FALSE), IFERROR(VLOOKUP($A334,'Fusion ExDa'!$B$2:$D$16, 0,FALSE), IFERROR(VLOOKUP($A334,'Exetel ExDa'!$C$2:$N$14, 7,FALSE), IFERROR(VLOOKUP($A334,'Infinet ExDa'!$B$2:$E$14, 0,FALSE), "Not Found"))))))))</f>
        <v>IP Tel Order - Smile Tel - 13/12/2022
Voice (5 Mbps) - Unit 1, 49 Miller Street, Murarrie QLD 4172</v>
      </c>
      <c r="H334" t="str">
        <f>IFERROR(VLOOKUP($A334,'AAPT ExDa'!$B$2:$U$99, 6,FALSE), IFERROR(VLOOKUP($A334,'ABB ExDa'!$A$2:$N$184, 0,FALSE), IFERROR(VLOOKUP($A334,'Vocus SIT ExDa'!$B$2:$J$173, 0,FALSE), IFERROR(VLOOKUP($A334,'Telstra ExDa'!$B$2:$K$310, 0,FALSE), IFERROR(VLOOKUP($A334,'Vocus RVC ExDa'!$C$2:$R$155, 16,FALSE), IFERROR(VLOOKUP($A334,'Fusion ExDa'!$B$2:$D$16, 0,FALSE), IFERROR(VLOOKUP($A334,'Exetel ExDa'!$C$2:$N$14, 0,FALSE), IFERROR(VLOOKUP($A334,'Infinet ExDa'!$B$2:$E$14, 0,FALSE), "Not Found"))))))))</f>
        <v>Not Found</v>
      </c>
      <c r="I334" t="str">
        <f>IFERROR(VLOOKUP($A334,'AAPT ExDa'!$B$2:$U$99, 0,FALSE), IFERROR(VLOOKUP($A334,'ABB ExDa'!$A$2:$N$184, 0,FALSE), IFERROR(VLOOKUP($A334,'Vocus SIT ExDa'!$B$2:$J$173, 0,FALSE), IFERROR(VLOOKUP($A334,'Telstra ExDa'!$B$2:$K$310, 0,FALSE), IFERROR(VLOOKUP($A334,'Vocus RVC ExDa'!$C$2:$R$155, 0,FALSE), IFERROR(VLOOKUP($A334,'Fusion ExDa'!$B$2:$D$16, 0,FALSE), IFERROR(VLOOKUP($A334,'Exetel ExDa'!$C$2:$N$14, 8,FALSE), IFERROR(VLOOKUP($A334,'Infinet ExDa'!$B$2:$E$14, 0,FALSE), "Not Found"))))))))</f>
        <v>Not Found</v>
      </c>
      <c r="J334" t="str">
        <f>IFERROR(VLOOKUP($A334,'AAPT ExDa'!$B$2:$U$99, 7,FALSE), IFERROR(VLOOKUP($A334,'ABB ExDa'!$A$2:$N$184, 2,FALSE), IFERROR(VLOOKUP($A334,'Vocus SIT ExDa'!$B$2:$J$173, 0,FALSE), IFERROR(VLOOKUP($A334,'Telstra ExDa'!$B$2:$K$310, 7,FALSE), IFERROR(VLOOKUP($A334,'Vocus RVC ExDa'!$C$2:$R$155, 2,FALSE), IFERROR(VLOOKUP($A334,'Fusion ExDa'!$B$2:$D$16, 3,FALSE), IFERROR(VLOOKUP($A334,'Exetel ExDa'!$C$2:$N$14, 0,FALSE), IFERROR(VLOOKUP($A334,'Infinet ExDa'!$B$2:$E$14, 0,FALSE), "Not Found"))))))))</f>
        <v>Not Found</v>
      </c>
      <c r="K334" t="str">
        <f>IFERROR(VLOOKUP($A334,'AAPT ExDa'!$B$2:$U$99, 12,FALSE), IFERROR(VLOOKUP($A334,'ABB ExDa'!$A$2:$N$184, 0,FALSE), IFERROR(VLOOKUP($A334,'Vocus SIT ExDa'!$B$2:$J$173, 0,FALSE), IFERROR(VLOOKUP($A334,'Telstra ExDa'!$B$2:$K$310, 0,FALSE), IFERROR(VLOOKUP($A334,'Vocus RVC ExDa'!$C$2:$R$155, 0,FALSE), IFERROR(VLOOKUP($A334,'Fusion ExDa'!$B$2:$D$16, 0,FALSE), IFERROR(VLOOKUP($A334,'Exetel ExDa'!$C$2:$N$14, 12,FALSE), IFERROR(VLOOKUP($A334,'Infinet ExDa'!$B$2:$E$14, 0,FALSE), "Not Found"))))))))</f>
        <v>Not Found</v>
      </c>
      <c r="L334" s="235" t="str">
        <f>IFERROR(VLOOKUP($A334,'AAPT ExDa'!$B$2:$U$99, 11,FALSE), IFERROR(VLOOKUP($A334,'ABB ExDa'!$A$2:$N$184, 9,FALSE), IFERROR(VLOOKUP($A334,'Vocus SIT ExDa'!$B$2:$J$173, 8,FALSE), IFERROR(VLOOKUP($A334,'Telstra ExDa'!$B$2:$K$310, 0,FALSE), IFERROR(VLOOKUP($A334,'Vocus RVC ExDa'!$C$2:$R$155, 0,FALSE), IFERROR(VLOOKUP($A334,'Fusion ExDa'!$B$2:$D$16, 0,FALSE), IFERROR(VLOOKUP($A334,'Exetel ExDa'!$C$2:$N$14, 9,FALSE), IFERROR(VLOOKUP($A334,'Infinet ExDa'!$B$2:$E$14, 0,FALSE), "Not Found"))))))))</f>
        <v>21/12/2022</v>
      </c>
      <c r="M334" s="234" t="str">
        <f>IFERROR(VLOOKUP($A334,'AAPT ExDa'!$B$2:$U$99, 0,FALSE), IFERROR(VLOOKUP($A334,'ABB ExDa'!$A$2:$N$184, 0,FALSE), IFERROR(VLOOKUP($A334,'Vocus SIT ExDa'!$B$2:$J$173, 0,FALSE), IFERROR(VLOOKUP($A334,'Telstra ExDa'!$B$2:$K$310, 0,FALSE), IFERROR(VLOOKUP($A334,'Vocus RVC ExDa'!$C$2:$R$155, 0,FALSE), IFERROR(VLOOKUP($A334,'Fusion ExDa'!$B$2:$D$16, 0,FALSE), IFERROR(VLOOKUP($A334,'Exetel ExDa'!$C$2:$N$14, 11,FALSE), IFERROR(VLOOKUP($A334,'Infinet ExDa'!$B$2:$E$14, 0,FALSE), "Not Found"))))))))</f>
        <v>Not Found</v>
      </c>
      <c r="N334" t="str">
        <f>IFERROR(VLOOKUP($A334,'AAPT ExDa'!$B$2:$U$99, 0,FALSE), IFERROR(VLOOKUP($A334,'ABB ExDa'!$A$2:$N$184, 13,FALSE), IFERROR(VLOOKUP($A334,'Vocus SIT ExDa'!$B$2:$J$173, 0,FALSE), IFERROR(VLOOKUP($A334,'Telstra ExDa'!$B$2:$K$310, 0,FALSE), IFERROR(VLOOKUP($A334,'Vocus RVC ExDa'!$C$2:$R$155, 0,FALSE), IFERROR(VLOOKUP($A334,'Fusion ExDa'!$B$2:$D$16, 0,FALSE), IFERROR(VLOOKUP($A334,'Exetel ExDa'!$C$2:$N$14, 0,FALSE), IFERROR(VLOOKUP($A334,'Infinet ExDa'!$B$2:$E$14, 0,FALSE), "Not Found"))))))))</f>
        <v>Not Found</v>
      </c>
    </row>
    <row r="335" spans="1:14">
      <c r="A335" t="str">
        <v>Hanwha (Aus)</v>
      </c>
      <c r="B335" t="str">
        <f>IFERROR(VLOOKUP(A335,'Exetel ExDa'!$C$2:$N$14,4,FALSE),"No Data")</f>
        <v>No Data</v>
      </c>
      <c r="C335" t="str">
        <f>IFERROR(VLOOKUP(A335,'AAPT ExDa'!$B$2:$U$99, 2,FALSE), IFERROR(VLOOKUP(A335,'ABB ExDa'!$A$2:$N$184, 2,FALSE), IFERROR(VLOOKUP(A335,'Vocus SIT ExDa'!$B$2:$J$173, 7,FALSE), IFERROR(VLOOKUP(A335,'Telstra ExDa'!$B$2:$K$310, 2,FALSE), IFERROR(VLOOKUP(A335,'Vocus RVC ExDa'!$C$2:$R$155, 3,FALSE), IFERROR(VLOOKUP(A335,'Fusion ExDa'!$B$2:$D$16, 2,FALSE), IFERROR(VLOOKUP(A335,'Exetel ExDa'!$C$2:$N$14, 2,FALSE), IFERROR(VLOOKUP(A335,'Infinet ExDa'!$B$2:$E$14, 2,FALSE), "Not Found"))))))))</f>
        <v>Unit 1, 49 Miller Street, Murarrie QLD 4173</v>
      </c>
      <c r="D335" t="str">
        <f>IFERROR(VLOOKUP($A335,'AAPT ExDa'!$B$2:$U$99, 15,FALSE), IFERROR(VLOOKUP($A335,'ABB ExDa'!$A$2:$N$184, 4,FALSE), IFERROR(VLOOKUP($A335,'Vocus SIT ExDa'!$B$2:$J$173, 5,FALSE), IFERROR(VLOOKUP($A335,'Telstra ExDa'!$B$2:$K$310, 8,FALSE), IFERROR(VLOOKUP($A335,'Vocus RVC ExDa'!$C$2:$R$155, 6,FALSE), IFERROR(VLOOKUP($A335,'Fusion ExDa'!$B$2:$D$16, 4,FALSE), IFERROR(VLOOKUP($A335,'Exetel ExDa'!$C$2:$N$14, 3,FALSE), IFERROR(VLOOKUP($A335,'Infinet ExDa'!$B$2:$E$14, 3,FALSE), "Not Found"))))))))</f>
        <v>Vocus SIT</v>
      </c>
      <c r="E335" t="str">
        <f>IFERROR(VLOOKUP($A335,'AAPT ExDa'!$B$2:$U$99, 3,FALSE), IFERROR(VLOOKUP($A335,'ABB ExDa'!$A$2:$N$184, 5,FALSE), IFERROR(VLOOKUP($A335,'Vocus SIT ExDa'!$B$2:$J$173, 2,FALSE), IFERROR(VLOOKUP($A335,'Telstra ExDa'!$B$2:$K$310, 4,FALSE), IFERROR(VLOOKUP($A335,'Vocus RVC ExDa'!$C$2:$R$155, 8,FALSE), IFERROR(VLOOKUP($A335,'Fusion ExDa'!$B$2:$D$16, 4,FALSE), IFERROR(VLOOKUP($A335,'Exetel ExDa'!$C$2:$N$14, 5,FALSE), IFERROR(VLOOKUP($A335,'Infinet ExDa'!$B$2:$E$14, 3,FALSE), "Not Found"))))))))</f>
        <v>Voice Service</v>
      </c>
      <c r="F335" t="str">
        <f>IFERROR(VLOOKUP($A335,'AAPT ExDa'!$B$2:$U$99, 4,FALSE), IFERROR(VLOOKUP($A335,'ABB ExDa'!$A$2:$N$184, 6,FALSE), IFERROR(VLOOKUP($A335,'Vocus SIT ExDa'!$B$2:$J$173, 3,FALSE), IFERROR(VLOOKUP($A335,'Telstra ExDa'!$B$2:$K$310, 5,FALSE), IFERROR(VLOOKUP($A335,'Vocus RVC ExDa'!$C$2:$R$155, 9,FALSE), IFERROR(VLOOKUP($A335,'Fusion ExDa'!$B$2:$D$16, 0,FALSE), IFERROR(VLOOKUP($A335,'Exetel ExDa'!$C$2:$N$14, 6,FALSE), IFERROR(VLOOKUP($A335,'Infinet ExDa'!$B$2:$E$14, 0,FALSE), "Not Found"))))))))</f>
        <v>0734617350</v>
      </c>
      <c r="G335" t="str">
        <f>IFERROR(VLOOKUP($A335,'AAPT ExDa'!$B$2:$U$99, 5,FALSE), IFERROR(VLOOKUP($A335,'ABB ExDa'!$A$2:$N$184, 8,FALSE), IFERROR(VLOOKUP($A335,'Vocus SIT ExDa'!$B$2:$J$173, 6,FALSE), IFERROR(VLOOKUP($A335,'Telstra ExDa'!$B$2:$K$310, 0,FALSE), IFERROR(VLOOKUP($A335,'Vocus RVC ExDa'!$C$2:$R$155, 15,FALSE), IFERROR(VLOOKUP($A335,'Fusion ExDa'!$B$2:$D$16, 0,FALSE), IFERROR(VLOOKUP($A335,'Exetel ExDa'!$C$2:$N$14, 7,FALSE), IFERROR(VLOOKUP($A335,'Infinet ExDa'!$B$2:$E$14, 0,FALSE), "Not Found"))))))))</f>
        <v>IP Tel Order - Smile Tel - 13/12/2022
Voice (5 Mbps) - Unit 1, 49 Miller Street, Murarrie QLD 4172</v>
      </c>
      <c r="H335" t="str">
        <f>IFERROR(VLOOKUP($A335,'AAPT ExDa'!$B$2:$U$99, 6,FALSE), IFERROR(VLOOKUP($A335,'ABB ExDa'!$A$2:$N$184, 0,FALSE), IFERROR(VLOOKUP($A335,'Vocus SIT ExDa'!$B$2:$J$173, 0,FALSE), IFERROR(VLOOKUP($A335,'Telstra ExDa'!$B$2:$K$310, 0,FALSE), IFERROR(VLOOKUP($A335,'Vocus RVC ExDa'!$C$2:$R$155, 16,FALSE), IFERROR(VLOOKUP($A335,'Fusion ExDa'!$B$2:$D$16, 0,FALSE), IFERROR(VLOOKUP($A335,'Exetel ExDa'!$C$2:$N$14, 0,FALSE), IFERROR(VLOOKUP($A335,'Infinet ExDa'!$B$2:$E$14, 0,FALSE), "Not Found"))))))))</f>
        <v>Not Found</v>
      </c>
      <c r="I335" t="str">
        <f>IFERROR(VLOOKUP($A335,'AAPT ExDa'!$B$2:$U$99, 0,FALSE), IFERROR(VLOOKUP($A335,'ABB ExDa'!$A$2:$N$184, 0,FALSE), IFERROR(VLOOKUP($A335,'Vocus SIT ExDa'!$B$2:$J$173, 0,FALSE), IFERROR(VLOOKUP($A335,'Telstra ExDa'!$B$2:$K$310, 0,FALSE), IFERROR(VLOOKUP($A335,'Vocus RVC ExDa'!$C$2:$R$155, 0,FALSE), IFERROR(VLOOKUP($A335,'Fusion ExDa'!$B$2:$D$16, 0,FALSE), IFERROR(VLOOKUP($A335,'Exetel ExDa'!$C$2:$N$14, 8,FALSE), IFERROR(VLOOKUP($A335,'Infinet ExDa'!$B$2:$E$14, 0,FALSE), "Not Found"))))))))</f>
        <v>Not Found</v>
      </c>
      <c r="J335" t="str">
        <f>IFERROR(VLOOKUP($A335,'AAPT ExDa'!$B$2:$U$99, 7,FALSE), IFERROR(VLOOKUP($A335,'ABB ExDa'!$A$2:$N$184, 2,FALSE), IFERROR(VLOOKUP($A335,'Vocus SIT ExDa'!$B$2:$J$173, 0,FALSE), IFERROR(VLOOKUP($A335,'Telstra ExDa'!$B$2:$K$310, 7,FALSE), IFERROR(VLOOKUP($A335,'Vocus RVC ExDa'!$C$2:$R$155, 2,FALSE), IFERROR(VLOOKUP($A335,'Fusion ExDa'!$B$2:$D$16, 3,FALSE), IFERROR(VLOOKUP($A335,'Exetel ExDa'!$C$2:$N$14, 0,FALSE), IFERROR(VLOOKUP($A335,'Infinet ExDa'!$B$2:$E$14, 0,FALSE), "Not Found"))))))))</f>
        <v>Not Found</v>
      </c>
      <c r="K335" t="str">
        <f>IFERROR(VLOOKUP($A335,'AAPT ExDa'!$B$2:$U$99, 12,FALSE), IFERROR(VLOOKUP($A335,'ABB ExDa'!$A$2:$N$184, 0,FALSE), IFERROR(VLOOKUP($A335,'Vocus SIT ExDa'!$B$2:$J$173, 0,FALSE), IFERROR(VLOOKUP($A335,'Telstra ExDa'!$B$2:$K$310, 0,FALSE), IFERROR(VLOOKUP($A335,'Vocus RVC ExDa'!$C$2:$R$155, 0,FALSE), IFERROR(VLOOKUP($A335,'Fusion ExDa'!$B$2:$D$16, 0,FALSE), IFERROR(VLOOKUP($A335,'Exetel ExDa'!$C$2:$N$14, 12,FALSE), IFERROR(VLOOKUP($A335,'Infinet ExDa'!$B$2:$E$14, 0,FALSE), "Not Found"))))))))</f>
        <v>Not Found</v>
      </c>
      <c r="L335" s="235" t="str">
        <f>IFERROR(VLOOKUP($A335,'AAPT ExDa'!$B$2:$U$99, 11,FALSE), IFERROR(VLOOKUP($A335,'ABB ExDa'!$A$2:$N$184, 9,FALSE), IFERROR(VLOOKUP($A335,'Vocus SIT ExDa'!$B$2:$J$173, 8,FALSE), IFERROR(VLOOKUP($A335,'Telstra ExDa'!$B$2:$K$310, 0,FALSE), IFERROR(VLOOKUP($A335,'Vocus RVC ExDa'!$C$2:$R$155, 0,FALSE), IFERROR(VLOOKUP($A335,'Fusion ExDa'!$B$2:$D$16, 0,FALSE), IFERROR(VLOOKUP($A335,'Exetel ExDa'!$C$2:$N$14, 9,FALSE), IFERROR(VLOOKUP($A335,'Infinet ExDa'!$B$2:$E$14, 0,FALSE), "Not Found"))))))))</f>
        <v>21/12/2022</v>
      </c>
      <c r="M335" s="234" t="str">
        <f>IFERROR(VLOOKUP($A335,'AAPT ExDa'!$B$2:$U$99, 0,FALSE), IFERROR(VLOOKUP($A335,'ABB ExDa'!$A$2:$N$184, 0,FALSE), IFERROR(VLOOKUP($A335,'Vocus SIT ExDa'!$B$2:$J$173, 0,FALSE), IFERROR(VLOOKUP($A335,'Telstra ExDa'!$B$2:$K$310, 0,FALSE), IFERROR(VLOOKUP($A335,'Vocus RVC ExDa'!$C$2:$R$155, 0,FALSE), IFERROR(VLOOKUP($A335,'Fusion ExDa'!$B$2:$D$16, 0,FALSE), IFERROR(VLOOKUP($A335,'Exetel ExDa'!$C$2:$N$14, 11,FALSE), IFERROR(VLOOKUP($A335,'Infinet ExDa'!$B$2:$E$14, 0,FALSE), "Not Found"))))))))</f>
        <v>Not Found</v>
      </c>
      <c r="N335" t="str">
        <f>IFERROR(VLOOKUP($A335,'AAPT ExDa'!$B$2:$U$99, 0,FALSE), IFERROR(VLOOKUP($A335,'ABB ExDa'!$A$2:$N$184, 13,FALSE), IFERROR(VLOOKUP($A335,'Vocus SIT ExDa'!$B$2:$J$173, 0,FALSE), IFERROR(VLOOKUP($A335,'Telstra ExDa'!$B$2:$K$310, 0,FALSE), IFERROR(VLOOKUP($A335,'Vocus RVC ExDa'!$C$2:$R$155, 0,FALSE), IFERROR(VLOOKUP($A335,'Fusion ExDa'!$B$2:$D$16, 0,FALSE), IFERROR(VLOOKUP($A335,'Exetel ExDa'!$C$2:$N$14, 0,FALSE), IFERROR(VLOOKUP($A335,'Infinet ExDa'!$B$2:$E$14, 0,FALSE), "Not Found"))))))))</f>
        <v>Not Found</v>
      </c>
    </row>
    <row r="336" spans="1:14">
      <c r="A336" t="str">
        <v>Hanwha (Aus)</v>
      </c>
      <c r="B336" t="str">
        <f>IFERROR(VLOOKUP(A336,'Exetel ExDa'!$C$2:$N$14,4,FALSE),"No Data")</f>
        <v>No Data</v>
      </c>
      <c r="C336" t="str">
        <f>IFERROR(VLOOKUP(A336,'AAPT ExDa'!$B$2:$U$99, 2,FALSE), IFERROR(VLOOKUP(A336,'ABB ExDa'!$A$2:$N$184, 2,FALSE), IFERROR(VLOOKUP(A336,'Vocus SIT ExDa'!$B$2:$J$173, 7,FALSE), IFERROR(VLOOKUP(A336,'Telstra ExDa'!$B$2:$K$310, 2,FALSE), IFERROR(VLOOKUP(A336,'Vocus RVC ExDa'!$C$2:$R$155, 3,FALSE), IFERROR(VLOOKUP(A336,'Fusion ExDa'!$B$2:$D$16, 2,FALSE), IFERROR(VLOOKUP(A336,'Exetel ExDa'!$C$2:$N$14, 2,FALSE), IFERROR(VLOOKUP(A336,'Infinet ExDa'!$B$2:$E$14, 2,FALSE), "Not Found"))))))))</f>
        <v>Unit 1, 49 Miller Street, Murarrie QLD 4173</v>
      </c>
      <c r="D336" t="str">
        <f>IFERROR(VLOOKUP($A336,'AAPT ExDa'!$B$2:$U$99, 15,FALSE), IFERROR(VLOOKUP($A336,'ABB ExDa'!$A$2:$N$184, 4,FALSE), IFERROR(VLOOKUP($A336,'Vocus SIT ExDa'!$B$2:$J$173, 5,FALSE), IFERROR(VLOOKUP($A336,'Telstra ExDa'!$B$2:$K$310, 8,FALSE), IFERROR(VLOOKUP($A336,'Vocus RVC ExDa'!$C$2:$R$155, 6,FALSE), IFERROR(VLOOKUP($A336,'Fusion ExDa'!$B$2:$D$16, 4,FALSE), IFERROR(VLOOKUP($A336,'Exetel ExDa'!$C$2:$N$14, 3,FALSE), IFERROR(VLOOKUP($A336,'Infinet ExDa'!$B$2:$E$14, 3,FALSE), "Not Found"))))))))</f>
        <v>Vocus SIT</v>
      </c>
      <c r="E336" t="str">
        <f>IFERROR(VLOOKUP($A336,'AAPT ExDa'!$B$2:$U$99, 3,FALSE), IFERROR(VLOOKUP($A336,'ABB ExDa'!$A$2:$N$184, 5,FALSE), IFERROR(VLOOKUP($A336,'Vocus SIT ExDa'!$B$2:$J$173, 2,FALSE), IFERROR(VLOOKUP($A336,'Telstra ExDa'!$B$2:$K$310, 4,FALSE), IFERROR(VLOOKUP($A336,'Vocus RVC ExDa'!$C$2:$R$155, 8,FALSE), IFERROR(VLOOKUP($A336,'Fusion ExDa'!$B$2:$D$16, 4,FALSE), IFERROR(VLOOKUP($A336,'Exetel ExDa'!$C$2:$N$14, 5,FALSE), IFERROR(VLOOKUP($A336,'Infinet ExDa'!$B$2:$E$14, 3,FALSE), "Not Found"))))))))</f>
        <v>Voice Service</v>
      </c>
      <c r="F336" t="str">
        <f>IFERROR(VLOOKUP($A336,'AAPT ExDa'!$B$2:$U$99, 4,FALSE), IFERROR(VLOOKUP($A336,'ABB ExDa'!$A$2:$N$184, 6,FALSE), IFERROR(VLOOKUP($A336,'Vocus SIT ExDa'!$B$2:$J$173, 3,FALSE), IFERROR(VLOOKUP($A336,'Telstra ExDa'!$B$2:$K$310, 5,FALSE), IFERROR(VLOOKUP($A336,'Vocus RVC ExDa'!$C$2:$R$155, 9,FALSE), IFERROR(VLOOKUP($A336,'Fusion ExDa'!$B$2:$D$16, 0,FALSE), IFERROR(VLOOKUP($A336,'Exetel ExDa'!$C$2:$N$14, 6,FALSE), IFERROR(VLOOKUP($A336,'Infinet ExDa'!$B$2:$E$14, 0,FALSE), "Not Found"))))))))</f>
        <v>0734617350</v>
      </c>
      <c r="G336" t="str">
        <f>IFERROR(VLOOKUP($A336,'AAPT ExDa'!$B$2:$U$99, 5,FALSE), IFERROR(VLOOKUP($A336,'ABB ExDa'!$A$2:$N$184, 8,FALSE), IFERROR(VLOOKUP($A336,'Vocus SIT ExDa'!$B$2:$J$173, 6,FALSE), IFERROR(VLOOKUP($A336,'Telstra ExDa'!$B$2:$K$310, 0,FALSE), IFERROR(VLOOKUP($A336,'Vocus RVC ExDa'!$C$2:$R$155, 15,FALSE), IFERROR(VLOOKUP($A336,'Fusion ExDa'!$B$2:$D$16, 0,FALSE), IFERROR(VLOOKUP($A336,'Exetel ExDa'!$C$2:$N$14, 7,FALSE), IFERROR(VLOOKUP($A336,'Infinet ExDa'!$B$2:$E$14, 0,FALSE), "Not Found"))))))))</f>
        <v>IP Tel Order - Smile Tel - 13/12/2022
Voice (5 Mbps) - Unit 1, 49 Miller Street, Murarrie QLD 4172</v>
      </c>
      <c r="H336" t="str">
        <f>IFERROR(VLOOKUP($A336,'AAPT ExDa'!$B$2:$U$99, 6,FALSE), IFERROR(VLOOKUP($A336,'ABB ExDa'!$A$2:$N$184, 0,FALSE), IFERROR(VLOOKUP($A336,'Vocus SIT ExDa'!$B$2:$J$173, 0,FALSE), IFERROR(VLOOKUP($A336,'Telstra ExDa'!$B$2:$K$310, 0,FALSE), IFERROR(VLOOKUP($A336,'Vocus RVC ExDa'!$C$2:$R$155, 16,FALSE), IFERROR(VLOOKUP($A336,'Fusion ExDa'!$B$2:$D$16, 0,FALSE), IFERROR(VLOOKUP($A336,'Exetel ExDa'!$C$2:$N$14, 0,FALSE), IFERROR(VLOOKUP($A336,'Infinet ExDa'!$B$2:$E$14, 0,FALSE), "Not Found"))))))))</f>
        <v>Not Found</v>
      </c>
      <c r="I336" t="str">
        <f>IFERROR(VLOOKUP($A336,'AAPT ExDa'!$B$2:$U$99, 0,FALSE), IFERROR(VLOOKUP($A336,'ABB ExDa'!$A$2:$N$184, 0,FALSE), IFERROR(VLOOKUP($A336,'Vocus SIT ExDa'!$B$2:$J$173, 0,FALSE), IFERROR(VLOOKUP($A336,'Telstra ExDa'!$B$2:$K$310, 0,FALSE), IFERROR(VLOOKUP($A336,'Vocus RVC ExDa'!$C$2:$R$155, 0,FALSE), IFERROR(VLOOKUP($A336,'Fusion ExDa'!$B$2:$D$16, 0,FALSE), IFERROR(VLOOKUP($A336,'Exetel ExDa'!$C$2:$N$14, 8,FALSE), IFERROR(VLOOKUP($A336,'Infinet ExDa'!$B$2:$E$14, 0,FALSE), "Not Found"))))))))</f>
        <v>Not Found</v>
      </c>
      <c r="J336" t="str">
        <f>IFERROR(VLOOKUP($A336,'AAPT ExDa'!$B$2:$U$99, 7,FALSE), IFERROR(VLOOKUP($A336,'ABB ExDa'!$A$2:$N$184, 2,FALSE), IFERROR(VLOOKUP($A336,'Vocus SIT ExDa'!$B$2:$J$173, 0,FALSE), IFERROR(VLOOKUP($A336,'Telstra ExDa'!$B$2:$K$310, 7,FALSE), IFERROR(VLOOKUP($A336,'Vocus RVC ExDa'!$C$2:$R$155, 2,FALSE), IFERROR(VLOOKUP($A336,'Fusion ExDa'!$B$2:$D$16, 3,FALSE), IFERROR(VLOOKUP($A336,'Exetel ExDa'!$C$2:$N$14, 0,FALSE), IFERROR(VLOOKUP($A336,'Infinet ExDa'!$B$2:$E$14, 0,FALSE), "Not Found"))))))))</f>
        <v>Not Found</v>
      </c>
      <c r="K336" t="str">
        <f>IFERROR(VLOOKUP($A336,'AAPT ExDa'!$B$2:$U$99, 12,FALSE), IFERROR(VLOOKUP($A336,'ABB ExDa'!$A$2:$N$184, 0,FALSE), IFERROR(VLOOKUP($A336,'Vocus SIT ExDa'!$B$2:$J$173, 0,FALSE), IFERROR(VLOOKUP($A336,'Telstra ExDa'!$B$2:$K$310, 0,FALSE), IFERROR(VLOOKUP($A336,'Vocus RVC ExDa'!$C$2:$R$155, 0,FALSE), IFERROR(VLOOKUP($A336,'Fusion ExDa'!$B$2:$D$16, 0,FALSE), IFERROR(VLOOKUP($A336,'Exetel ExDa'!$C$2:$N$14, 12,FALSE), IFERROR(VLOOKUP($A336,'Infinet ExDa'!$B$2:$E$14, 0,FALSE), "Not Found"))))))))</f>
        <v>Not Found</v>
      </c>
      <c r="L336" s="235" t="str">
        <f>IFERROR(VLOOKUP($A336,'AAPT ExDa'!$B$2:$U$99, 11,FALSE), IFERROR(VLOOKUP($A336,'ABB ExDa'!$A$2:$N$184, 9,FALSE), IFERROR(VLOOKUP($A336,'Vocus SIT ExDa'!$B$2:$J$173, 8,FALSE), IFERROR(VLOOKUP($A336,'Telstra ExDa'!$B$2:$K$310, 0,FALSE), IFERROR(VLOOKUP($A336,'Vocus RVC ExDa'!$C$2:$R$155, 0,FALSE), IFERROR(VLOOKUP($A336,'Fusion ExDa'!$B$2:$D$16, 0,FALSE), IFERROR(VLOOKUP($A336,'Exetel ExDa'!$C$2:$N$14, 9,FALSE), IFERROR(VLOOKUP($A336,'Infinet ExDa'!$B$2:$E$14, 0,FALSE), "Not Found"))))))))</f>
        <v>21/12/2022</v>
      </c>
      <c r="M336" s="234" t="str">
        <f>IFERROR(VLOOKUP($A336,'AAPT ExDa'!$B$2:$U$99, 0,FALSE), IFERROR(VLOOKUP($A336,'ABB ExDa'!$A$2:$N$184, 0,FALSE), IFERROR(VLOOKUP($A336,'Vocus SIT ExDa'!$B$2:$J$173, 0,FALSE), IFERROR(VLOOKUP($A336,'Telstra ExDa'!$B$2:$K$310, 0,FALSE), IFERROR(VLOOKUP($A336,'Vocus RVC ExDa'!$C$2:$R$155, 0,FALSE), IFERROR(VLOOKUP($A336,'Fusion ExDa'!$B$2:$D$16, 0,FALSE), IFERROR(VLOOKUP($A336,'Exetel ExDa'!$C$2:$N$14, 11,FALSE), IFERROR(VLOOKUP($A336,'Infinet ExDa'!$B$2:$E$14, 0,FALSE), "Not Found"))))))))</f>
        <v>Not Found</v>
      </c>
      <c r="N336" t="str">
        <f>IFERROR(VLOOKUP($A336,'AAPT ExDa'!$B$2:$U$99, 0,FALSE), IFERROR(VLOOKUP($A336,'ABB ExDa'!$A$2:$N$184, 13,FALSE), IFERROR(VLOOKUP($A336,'Vocus SIT ExDa'!$B$2:$J$173, 0,FALSE), IFERROR(VLOOKUP($A336,'Telstra ExDa'!$B$2:$K$310, 0,FALSE), IFERROR(VLOOKUP($A336,'Vocus RVC ExDa'!$C$2:$R$155, 0,FALSE), IFERROR(VLOOKUP($A336,'Fusion ExDa'!$B$2:$D$16, 0,FALSE), IFERROR(VLOOKUP($A336,'Exetel ExDa'!$C$2:$N$14, 0,FALSE), IFERROR(VLOOKUP($A336,'Infinet ExDa'!$B$2:$E$14, 0,FALSE), "Not Found"))))))))</f>
        <v>Not Found</v>
      </c>
    </row>
    <row r="337" spans="1:14">
      <c r="A337" t="str">
        <v>CPM Advisory and Project Management</v>
      </c>
      <c r="B337" t="str">
        <f>IFERROR(VLOOKUP(A337,'Exetel ExDa'!$C$2:$N$14,4,FALSE),"No Data")</f>
        <v>No Data</v>
      </c>
      <c r="C337" t="str">
        <f>IFERROR(VLOOKUP(A337,'AAPT ExDa'!$B$2:$U$99, 2,FALSE), IFERROR(VLOOKUP(A337,'ABB ExDa'!$A$2:$N$184, 2,FALSE), IFERROR(VLOOKUP(A337,'Vocus SIT ExDa'!$B$2:$J$173, 7,FALSE), IFERROR(VLOOKUP(A337,'Telstra ExDa'!$B$2:$K$310, 2,FALSE), IFERROR(VLOOKUP(A337,'Vocus RVC ExDa'!$C$2:$R$155, 3,FALSE), IFERROR(VLOOKUP(A337,'Fusion ExDa'!$B$2:$D$16, 2,FALSE), IFERROR(VLOOKUP(A337,'Exetel ExDa'!$C$2:$N$14, 2,FALSE), IFERROR(VLOOKUP(A337,'Infinet ExDa'!$B$2:$E$14, 2,FALSE), "Not Found"))))))))</f>
        <v>Unit 1, 49 Miller Street, Murarrie QLD 4173</v>
      </c>
      <c r="D337" t="str">
        <f>IFERROR(VLOOKUP($A337,'AAPT ExDa'!$B$2:$U$99, 15,FALSE), IFERROR(VLOOKUP($A337,'ABB ExDa'!$A$2:$N$184, 4,FALSE), IFERROR(VLOOKUP($A337,'Vocus SIT ExDa'!$B$2:$J$173, 5,FALSE), IFERROR(VLOOKUP($A337,'Telstra ExDa'!$B$2:$K$310, 8,FALSE), IFERROR(VLOOKUP($A337,'Vocus RVC ExDa'!$C$2:$R$155, 6,FALSE), IFERROR(VLOOKUP($A337,'Fusion ExDa'!$B$2:$D$16, 4,FALSE), IFERROR(VLOOKUP($A337,'Exetel ExDa'!$C$2:$N$14, 3,FALSE), IFERROR(VLOOKUP($A337,'Infinet ExDa'!$B$2:$E$14, 3,FALSE), "Not Found"))))))))</f>
        <v>Vocus SIT</v>
      </c>
      <c r="E337" t="str">
        <f>IFERROR(VLOOKUP($A337,'AAPT ExDa'!$B$2:$U$99, 3,FALSE), IFERROR(VLOOKUP($A337,'ABB ExDa'!$A$2:$N$184, 5,FALSE), IFERROR(VLOOKUP($A337,'Vocus SIT ExDa'!$B$2:$J$173, 2,FALSE), IFERROR(VLOOKUP($A337,'Telstra ExDa'!$B$2:$K$310, 4,FALSE), IFERROR(VLOOKUP($A337,'Vocus RVC ExDa'!$C$2:$R$155, 8,FALSE), IFERROR(VLOOKUP($A337,'Fusion ExDa'!$B$2:$D$16, 4,FALSE), IFERROR(VLOOKUP($A337,'Exetel ExDa'!$C$2:$N$14, 5,FALSE), IFERROR(VLOOKUP($A337,'Infinet ExDa'!$B$2:$E$14, 3,FALSE), "Not Found"))))))))</f>
        <v>Voice Service</v>
      </c>
      <c r="F337" t="str">
        <f>IFERROR(VLOOKUP($A337,'AAPT ExDa'!$B$2:$U$99, 4,FALSE), IFERROR(VLOOKUP($A337,'ABB ExDa'!$A$2:$N$184, 6,FALSE), IFERROR(VLOOKUP($A337,'Vocus SIT ExDa'!$B$2:$J$173, 3,FALSE), IFERROR(VLOOKUP($A337,'Telstra ExDa'!$B$2:$K$310, 5,FALSE), IFERROR(VLOOKUP($A337,'Vocus RVC ExDa'!$C$2:$R$155, 9,FALSE), IFERROR(VLOOKUP($A337,'Fusion ExDa'!$B$2:$D$16, 0,FALSE), IFERROR(VLOOKUP($A337,'Exetel ExDa'!$C$2:$N$14, 6,FALSE), IFERROR(VLOOKUP($A337,'Infinet ExDa'!$B$2:$E$14, 0,FALSE), "Not Found"))))))))</f>
        <v>0730735250
0731851340
0732811004
0732811006
0732817591
0732829076
0738102527
0738102528
0738190261
0738190262
0738190264
0738190485</v>
      </c>
      <c r="G337" t="str">
        <f>IFERROR(VLOOKUP($A337,'AAPT ExDa'!$B$2:$U$99, 5,FALSE), IFERROR(VLOOKUP($A337,'ABB ExDa'!$A$2:$N$184, 8,FALSE), IFERROR(VLOOKUP($A337,'Vocus SIT ExDa'!$B$2:$J$173, 6,FALSE), IFERROR(VLOOKUP($A337,'Telstra ExDa'!$B$2:$K$310, 0,FALSE), IFERROR(VLOOKUP($A337,'Vocus RVC ExDa'!$C$2:$R$155, 15,FALSE), IFERROR(VLOOKUP($A337,'Fusion ExDa'!$B$2:$D$16, 0,FALSE), IFERROR(VLOOKUP($A337,'Exetel ExDa'!$C$2:$N$14, 7,FALSE), IFERROR(VLOOKUP($A337,'Infinet ExDa'!$B$2:$E$14, 0,FALSE), "Not Found"))))))))</f>
        <v>IP Tel Order - Smile Tel - 05/09/2022
Voice (5 Mbps) - Unit 1, 49 Miller Street, Murarrie QLD 4172</v>
      </c>
      <c r="H337" t="str">
        <f>IFERROR(VLOOKUP($A337,'AAPT ExDa'!$B$2:$U$99, 6,FALSE), IFERROR(VLOOKUP($A337,'ABB ExDa'!$A$2:$N$184, 0,FALSE), IFERROR(VLOOKUP($A337,'Vocus SIT ExDa'!$B$2:$J$173, 0,FALSE), IFERROR(VLOOKUP($A337,'Telstra ExDa'!$B$2:$K$310, 0,FALSE), IFERROR(VLOOKUP($A337,'Vocus RVC ExDa'!$C$2:$R$155, 16,FALSE), IFERROR(VLOOKUP($A337,'Fusion ExDa'!$B$2:$D$16, 0,FALSE), IFERROR(VLOOKUP($A337,'Exetel ExDa'!$C$2:$N$14, 0,FALSE), IFERROR(VLOOKUP($A337,'Infinet ExDa'!$B$2:$E$14, 0,FALSE), "Not Found"))))))))</f>
        <v>Not Found</v>
      </c>
      <c r="I337" t="str">
        <f>IFERROR(VLOOKUP($A337,'AAPT ExDa'!$B$2:$U$99, 0,FALSE), IFERROR(VLOOKUP($A337,'ABB ExDa'!$A$2:$N$184, 0,FALSE), IFERROR(VLOOKUP($A337,'Vocus SIT ExDa'!$B$2:$J$173, 0,FALSE), IFERROR(VLOOKUP($A337,'Telstra ExDa'!$B$2:$K$310, 0,FALSE), IFERROR(VLOOKUP($A337,'Vocus RVC ExDa'!$C$2:$R$155, 0,FALSE), IFERROR(VLOOKUP($A337,'Fusion ExDa'!$B$2:$D$16, 0,FALSE), IFERROR(VLOOKUP($A337,'Exetel ExDa'!$C$2:$N$14, 8,FALSE), IFERROR(VLOOKUP($A337,'Infinet ExDa'!$B$2:$E$14, 0,FALSE), "Not Found"))))))))</f>
        <v>Not Found</v>
      </c>
      <c r="J337" t="str">
        <f>IFERROR(VLOOKUP($A337,'AAPT ExDa'!$B$2:$U$99, 7,FALSE), IFERROR(VLOOKUP($A337,'ABB ExDa'!$A$2:$N$184, 2,FALSE), IFERROR(VLOOKUP($A337,'Vocus SIT ExDa'!$B$2:$J$173, 0,FALSE), IFERROR(VLOOKUP($A337,'Telstra ExDa'!$B$2:$K$310, 7,FALSE), IFERROR(VLOOKUP($A337,'Vocus RVC ExDa'!$C$2:$R$155, 2,FALSE), IFERROR(VLOOKUP($A337,'Fusion ExDa'!$B$2:$D$16, 3,FALSE), IFERROR(VLOOKUP($A337,'Exetel ExDa'!$C$2:$N$14, 0,FALSE), IFERROR(VLOOKUP($A337,'Infinet ExDa'!$B$2:$E$14, 0,FALSE), "Not Found"))))))))</f>
        <v>Not Found</v>
      </c>
      <c r="K337" t="str">
        <f>IFERROR(VLOOKUP($A337,'AAPT ExDa'!$B$2:$U$99, 12,FALSE), IFERROR(VLOOKUP($A337,'ABB ExDa'!$A$2:$N$184, 0,FALSE), IFERROR(VLOOKUP($A337,'Vocus SIT ExDa'!$B$2:$J$173, 0,FALSE), IFERROR(VLOOKUP($A337,'Telstra ExDa'!$B$2:$K$310, 0,FALSE), IFERROR(VLOOKUP($A337,'Vocus RVC ExDa'!$C$2:$R$155, 0,FALSE), IFERROR(VLOOKUP($A337,'Fusion ExDa'!$B$2:$D$16, 0,FALSE), IFERROR(VLOOKUP($A337,'Exetel ExDa'!$C$2:$N$14, 12,FALSE), IFERROR(VLOOKUP($A337,'Infinet ExDa'!$B$2:$E$14, 0,FALSE), "Not Found"))))))))</f>
        <v>Not Found</v>
      </c>
      <c r="L337" s="235" t="str">
        <f>IFERROR(VLOOKUP($A337,'AAPT ExDa'!$B$2:$U$99, 11,FALSE), IFERROR(VLOOKUP($A337,'ABB ExDa'!$A$2:$N$184, 9,FALSE), IFERROR(VLOOKUP($A337,'Vocus SIT ExDa'!$B$2:$J$173, 8,FALSE), IFERROR(VLOOKUP($A337,'Telstra ExDa'!$B$2:$K$310, 0,FALSE), IFERROR(VLOOKUP($A337,'Vocus RVC ExDa'!$C$2:$R$155, 0,FALSE), IFERROR(VLOOKUP($A337,'Fusion ExDa'!$B$2:$D$16, 0,FALSE), IFERROR(VLOOKUP($A337,'Exetel ExDa'!$C$2:$N$14, 9,FALSE), IFERROR(VLOOKUP($A337,'Infinet ExDa'!$B$2:$E$14, 0,FALSE), "Not Found"))))))))</f>
        <v>20/03/2025</v>
      </c>
      <c r="M337" s="234" t="str">
        <f>IFERROR(VLOOKUP($A337,'AAPT ExDa'!$B$2:$U$99, 0,FALSE), IFERROR(VLOOKUP($A337,'ABB ExDa'!$A$2:$N$184, 0,FALSE), IFERROR(VLOOKUP($A337,'Vocus SIT ExDa'!$B$2:$J$173, 0,FALSE), IFERROR(VLOOKUP($A337,'Telstra ExDa'!$B$2:$K$310, 0,FALSE), IFERROR(VLOOKUP($A337,'Vocus RVC ExDa'!$C$2:$R$155, 0,FALSE), IFERROR(VLOOKUP($A337,'Fusion ExDa'!$B$2:$D$16, 0,FALSE), IFERROR(VLOOKUP($A337,'Exetel ExDa'!$C$2:$N$14, 11,FALSE), IFERROR(VLOOKUP($A337,'Infinet ExDa'!$B$2:$E$14, 0,FALSE), "Not Found"))))))))</f>
        <v>Not Found</v>
      </c>
      <c r="N337" t="str">
        <f>IFERROR(VLOOKUP($A337,'AAPT ExDa'!$B$2:$U$99, 0,FALSE), IFERROR(VLOOKUP($A337,'ABB ExDa'!$A$2:$N$184, 13,FALSE), IFERROR(VLOOKUP($A337,'Vocus SIT ExDa'!$B$2:$J$173, 0,FALSE), IFERROR(VLOOKUP($A337,'Telstra ExDa'!$B$2:$K$310, 0,FALSE), IFERROR(VLOOKUP($A337,'Vocus RVC ExDa'!$C$2:$R$155, 0,FALSE), IFERROR(VLOOKUP($A337,'Fusion ExDa'!$B$2:$D$16, 0,FALSE), IFERROR(VLOOKUP($A337,'Exetel ExDa'!$C$2:$N$14, 0,FALSE), IFERROR(VLOOKUP($A337,'Infinet ExDa'!$B$2:$E$14, 0,FALSE), "Not Found"))))))))</f>
        <v>Not Found</v>
      </c>
    </row>
    <row r="338" spans="1:14">
      <c r="A338" t="str">
        <v>Hanwha (Aus)</v>
      </c>
      <c r="B338" t="str">
        <f>IFERROR(VLOOKUP(A338,'Exetel ExDa'!$C$2:$N$14,4,FALSE),"No Data")</f>
        <v>No Data</v>
      </c>
      <c r="C338" t="str">
        <f>IFERROR(VLOOKUP(A338,'AAPT ExDa'!$B$2:$U$99, 2,FALSE), IFERROR(VLOOKUP(A338,'ABB ExDa'!$A$2:$N$184, 2,FALSE), IFERROR(VLOOKUP(A338,'Vocus SIT ExDa'!$B$2:$J$173, 7,FALSE), IFERROR(VLOOKUP(A338,'Telstra ExDa'!$B$2:$K$310, 2,FALSE), IFERROR(VLOOKUP(A338,'Vocus RVC ExDa'!$C$2:$R$155, 3,FALSE), IFERROR(VLOOKUP(A338,'Fusion ExDa'!$B$2:$D$16, 2,FALSE), IFERROR(VLOOKUP(A338,'Exetel ExDa'!$C$2:$N$14, 2,FALSE), IFERROR(VLOOKUP(A338,'Infinet ExDa'!$B$2:$E$14, 2,FALSE), "Not Found"))))))))</f>
        <v>Unit 1, 49 Miller Street, Murarrie QLD 4173</v>
      </c>
      <c r="D338" t="str">
        <f>IFERROR(VLOOKUP($A338,'AAPT ExDa'!$B$2:$U$99, 15,FALSE), IFERROR(VLOOKUP($A338,'ABB ExDa'!$A$2:$N$184, 4,FALSE), IFERROR(VLOOKUP($A338,'Vocus SIT ExDa'!$B$2:$J$173, 5,FALSE), IFERROR(VLOOKUP($A338,'Telstra ExDa'!$B$2:$K$310, 8,FALSE), IFERROR(VLOOKUP($A338,'Vocus RVC ExDa'!$C$2:$R$155, 6,FALSE), IFERROR(VLOOKUP($A338,'Fusion ExDa'!$B$2:$D$16, 4,FALSE), IFERROR(VLOOKUP($A338,'Exetel ExDa'!$C$2:$N$14, 3,FALSE), IFERROR(VLOOKUP($A338,'Infinet ExDa'!$B$2:$E$14, 3,FALSE), "Not Found"))))))))</f>
        <v>Vocus SIT</v>
      </c>
      <c r="E338" t="str">
        <f>IFERROR(VLOOKUP($A338,'AAPT ExDa'!$B$2:$U$99, 3,FALSE), IFERROR(VLOOKUP($A338,'ABB ExDa'!$A$2:$N$184, 5,FALSE), IFERROR(VLOOKUP($A338,'Vocus SIT ExDa'!$B$2:$J$173, 2,FALSE), IFERROR(VLOOKUP($A338,'Telstra ExDa'!$B$2:$K$310, 4,FALSE), IFERROR(VLOOKUP($A338,'Vocus RVC ExDa'!$C$2:$R$155, 8,FALSE), IFERROR(VLOOKUP($A338,'Fusion ExDa'!$B$2:$D$16, 4,FALSE), IFERROR(VLOOKUP($A338,'Exetel ExDa'!$C$2:$N$14, 5,FALSE), IFERROR(VLOOKUP($A338,'Infinet ExDa'!$B$2:$E$14, 3,FALSE), "Not Found"))))))))</f>
        <v>Voice Service</v>
      </c>
      <c r="F338" t="str">
        <f>IFERROR(VLOOKUP($A338,'AAPT ExDa'!$B$2:$U$99, 4,FALSE), IFERROR(VLOOKUP($A338,'ABB ExDa'!$A$2:$N$184, 6,FALSE), IFERROR(VLOOKUP($A338,'Vocus SIT ExDa'!$B$2:$J$173, 3,FALSE), IFERROR(VLOOKUP($A338,'Telstra ExDa'!$B$2:$K$310, 5,FALSE), IFERROR(VLOOKUP($A338,'Vocus RVC ExDa'!$C$2:$R$155, 9,FALSE), IFERROR(VLOOKUP($A338,'Fusion ExDa'!$B$2:$D$16, 0,FALSE), IFERROR(VLOOKUP($A338,'Exetel ExDa'!$C$2:$N$14, 6,FALSE), IFERROR(VLOOKUP($A338,'Infinet ExDa'!$B$2:$E$14, 0,FALSE), "Not Found"))))))))</f>
        <v>0734617350</v>
      </c>
      <c r="G338" t="str">
        <f>IFERROR(VLOOKUP($A338,'AAPT ExDa'!$B$2:$U$99, 5,FALSE), IFERROR(VLOOKUP($A338,'ABB ExDa'!$A$2:$N$184, 8,FALSE), IFERROR(VLOOKUP($A338,'Vocus SIT ExDa'!$B$2:$J$173, 6,FALSE), IFERROR(VLOOKUP($A338,'Telstra ExDa'!$B$2:$K$310, 0,FALSE), IFERROR(VLOOKUP($A338,'Vocus RVC ExDa'!$C$2:$R$155, 15,FALSE), IFERROR(VLOOKUP($A338,'Fusion ExDa'!$B$2:$D$16, 0,FALSE), IFERROR(VLOOKUP($A338,'Exetel ExDa'!$C$2:$N$14, 7,FALSE), IFERROR(VLOOKUP($A338,'Infinet ExDa'!$B$2:$E$14, 0,FALSE), "Not Found"))))))))</f>
        <v>IP Tel Order - Smile Tel - 13/12/2022
Voice (5 Mbps) - Unit 1, 49 Miller Street, Murarrie QLD 4172</v>
      </c>
      <c r="H338" t="str">
        <f>IFERROR(VLOOKUP($A338,'AAPT ExDa'!$B$2:$U$99, 6,FALSE), IFERROR(VLOOKUP($A338,'ABB ExDa'!$A$2:$N$184, 0,FALSE), IFERROR(VLOOKUP($A338,'Vocus SIT ExDa'!$B$2:$J$173, 0,FALSE), IFERROR(VLOOKUP($A338,'Telstra ExDa'!$B$2:$K$310, 0,FALSE), IFERROR(VLOOKUP($A338,'Vocus RVC ExDa'!$C$2:$R$155, 16,FALSE), IFERROR(VLOOKUP($A338,'Fusion ExDa'!$B$2:$D$16, 0,FALSE), IFERROR(VLOOKUP($A338,'Exetel ExDa'!$C$2:$N$14, 0,FALSE), IFERROR(VLOOKUP($A338,'Infinet ExDa'!$B$2:$E$14, 0,FALSE), "Not Found"))))))))</f>
        <v>Not Found</v>
      </c>
      <c r="I338" t="str">
        <f>IFERROR(VLOOKUP($A338,'AAPT ExDa'!$B$2:$U$99, 0,FALSE), IFERROR(VLOOKUP($A338,'ABB ExDa'!$A$2:$N$184, 0,FALSE), IFERROR(VLOOKUP($A338,'Vocus SIT ExDa'!$B$2:$J$173, 0,FALSE), IFERROR(VLOOKUP($A338,'Telstra ExDa'!$B$2:$K$310, 0,FALSE), IFERROR(VLOOKUP($A338,'Vocus RVC ExDa'!$C$2:$R$155, 0,FALSE), IFERROR(VLOOKUP($A338,'Fusion ExDa'!$B$2:$D$16, 0,FALSE), IFERROR(VLOOKUP($A338,'Exetel ExDa'!$C$2:$N$14, 8,FALSE), IFERROR(VLOOKUP($A338,'Infinet ExDa'!$B$2:$E$14, 0,FALSE), "Not Found"))))))))</f>
        <v>Not Found</v>
      </c>
      <c r="J338" t="str">
        <f>IFERROR(VLOOKUP($A338,'AAPT ExDa'!$B$2:$U$99, 7,FALSE), IFERROR(VLOOKUP($A338,'ABB ExDa'!$A$2:$N$184, 2,FALSE), IFERROR(VLOOKUP($A338,'Vocus SIT ExDa'!$B$2:$J$173, 0,FALSE), IFERROR(VLOOKUP($A338,'Telstra ExDa'!$B$2:$K$310, 7,FALSE), IFERROR(VLOOKUP($A338,'Vocus RVC ExDa'!$C$2:$R$155, 2,FALSE), IFERROR(VLOOKUP($A338,'Fusion ExDa'!$B$2:$D$16, 3,FALSE), IFERROR(VLOOKUP($A338,'Exetel ExDa'!$C$2:$N$14, 0,FALSE), IFERROR(VLOOKUP($A338,'Infinet ExDa'!$B$2:$E$14, 0,FALSE), "Not Found"))))))))</f>
        <v>Not Found</v>
      </c>
      <c r="K338" t="str">
        <f>IFERROR(VLOOKUP($A338,'AAPT ExDa'!$B$2:$U$99, 12,FALSE), IFERROR(VLOOKUP($A338,'ABB ExDa'!$A$2:$N$184, 0,FALSE), IFERROR(VLOOKUP($A338,'Vocus SIT ExDa'!$B$2:$J$173, 0,FALSE), IFERROR(VLOOKUP($A338,'Telstra ExDa'!$B$2:$K$310, 0,FALSE), IFERROR(VLOOKUP($A338,'Vocus RVC ExDa'!$C$2:$R$155, 0,FALSE), IFERROR(VLOOKUP($A338,'Fusion ExDa'!$B$2:$D$16, 0,FALSE), IFERROR(VLOOKUP($A338,'Exetel ExDa'!$C$2:$N$14, 12,FALSE), IFERROR(VLOOKUP($A338,'Infinet ExDa'!$B$2:$E$14, 0,FALSE), "Not Found"))))))))</f>
        <v>Not Found</v>
      </c>
      <c r="L338" s="235" t="str">
        <f>IFERROR(VLOOKUP($A338,'AAPT ExDa'!$B$2:$U$99, 11,FALSE), IFERROR(VLOOKUP($A338,'ABB ExDa'!$A$2:$N$184, 9,FALSE), IFERROR(VLOOKUP($A338,'Vocus SIT ExDa'!$B$2:$J$173, 8,FALSE), IFERROR(VLOOKUP($A338,'Telstra ExDa'!$B$2:$K$310, 0,FALSE), IFERROR(VLOOKUP($A338,'Vocus RVC ExDa'!$C$2:$R$155, 0,FALSE), IFERROR(VLOOKUP($A338,'Fusion ExDa'!$B$2:$D$16, 0,FALSE), IFERROR(VLOOKUP($A338,'Exetel ExDa'!$C$2:$N$14, 9,FALSE), IFERROR(VLOOKUP($A338,'Infinet ExDa'!$B$2:$E$14, 0,FALSE), "Not Found"))))))))</f>
        <v>21/12/2022</v>
      </c>
      <c r="M338" s="234" t="str">
        <f>IFERROR(VLOOKUP($A338,'AAPT ExDa'!$B$2:$U$99, 0,FALSE), IFERROR(VLOOKUP($A338,'ABB ExDa'!$A$2:$N$184, 0,FALSE), IFERROR(VLOOKUP($A338,'Vocus SIT ExDa'!$B$2:$J$173, 0,FALSE), IFERROR(VLOOKUP($A338,'Telstra ExDa'!$B$2:$K$310, 0,FALSE), IFERROR(VLOOKUP($A338,'Vocus RVC ExDa'!$C$2:$R$155, 0,FALSE), IFERROR(VLOOKUP($A338,'Fusion ExDa'!$B$2:$D$16, 0,FALSE), IFERROR(VLOOKUP($A338,'Exetel ExDa'!$C$2:$N$14, 11,FALSE), IFERROR(VLOOKUP($A338,'Infinet ExDa'!$B$2:$E$14, 0,FALSE), "Not Found"))))))))</f>
        <v>Not Found</v>
      </c>
      <c r="N338" t="str">
        <f>IFERROR(VLOOKUP($A338,'AAPT ExDa'!$B$2:$U$99, 0,FALSE), IFERROR(VLOOKUP($A338,'ABB ExDa'!$A$2:$N$184, 13,FALSE), IFERROR(VLOOKUP($A338,'Vocus SIT ExDa'!$B$2:$J$173, 0,FALSE), IFERROR(VLOOKUP($A338,'Telstra ExDa'!$B$2:$K$310, 0,FALSE), IFERROR(VLOOKUP($A338,'Vocus RVC ExDa'!$C$2:$R$155, 0,FALSE), IFERROR(VLOOKUP($A338,'Fusion ExDa'!$B$2:$D$16, 0,FALSE), IFERROR(VLOOKUP($A338,'Exetel ExDa'!$C$2:$N$14, 0,FALSE), IFERROR(VLOOKUP($A338,'Infinet ExDa'!$B$2:$E$14, 0,FALSE), "Not Found"))))))))</f>
        <v>Not Found</v>
      </c>
    </row>
    <row r="339" spans="1:14">
      <c r="A339" t="str">
        <v>Tewantin Noosa Golf</v>
      </c>
      <c r="B339" t="str">
        <f>IFERROR(VLOOKUP(A339,'Exetel ExDa'!$C$2:$N$14,4,FALSE),"No Data")</f>
        <v>No Data</v>
      </c>
      <c r="C339" t="str">
        <f>IFERROR(VLOOKUP(A339,'AAPT ExDa'!$B$2:$U$99, 2,FALSE), IFERROR(VLOOKUP(A339,'ABB ExDa'!$A$2:$N$184, 2,FALSE), IFERROR(VLOOKUP(A339,'Vocus SIT ExDa'!$B$2:$J$173, 7,FALSE), IFERROR(VLOOKUP(A339,'Telstra ExDa'!$B$2:$K$310, 2,FALSE), IFERROR(VLOOKUP(A339,'Vocus RVC ExDa'!$C$2:$R$155, 3,FALSE), IFERROR(VLOOKUP(A339,'Fusion ExDa'!$B$2:$D$16, 2,FALSE), IFERROR(VLOOKUP(A339,'Exetel ExDa'!$C$2:$N$14, 2,FALSE), IFERROR(VLOOKUP(A339,'Infinet ExDa'!$B$2:$E$14, 2,FALSE), "Not Found"))))))))</f>
        <v>46A Cooroy Noosa Rd, Tewantin QLD 4565, Australia</v>
      </c>
      <c r="D339" t="str">
        <f>IFERROR(VLOOKUP($A339,'AAPT ExDa'!$B$2:$U$99, 15,FALSE), IFERROR(VLOOKUP($A339,'ABB ExDa'!$A$2:$N$184, 4,FALSE), IFERROR(VLOOKUP($A339,'Vocus SIT ExDa'!$B$2:$J$173, 5,FALSE), IFERROR(VLOOKUP($A339,'Telstra ExDa'!$B$2:$K$310, 8,FALSE), IFERROR(VLOOKUP($A339,'Vocus RVC ExDa'!$C$2:$R$155, 6,FALSE), IFERROR(VLOOKUP($A339,'Fusion ExDa'!$B$2:$D$16, 4,FALSE), IFERROR(VLOOKUP($A339,'Exetel ExDa'!$C$2:$N$14, 3,FALSE), IFERROR(VLOOKUP($A339,'Infinet ExDa'!$B$2:$E$14, 3,FALSE), "Not Found"))))))))</f>
        <v>Vocus SIT</v>
      </c>
      <c r="E339" t="str">
        <f>IFERROR(VLOOKUP($A339,'AAPT ExDa'!$B$2:$U$99, 3,FALSE), IFERROR(VLOOKUP($A339,'ABB ExDa'!$A$2:$N$184, 5,FALSE), IFERROR(VLOOKUP($A339,'Vocus SIT ExDa'!$B$2:$J$173, 2,FALSE), IFERROR(VLOOKUP($A339,'Telstra ExDa'!$B$2:$K$310, 4,FALSE), IFERROR(VLOOKUP($A339,'Vocus RVC ExDa'!$C$2:$R$155, 8,FALSE), IFERROR(VLOOKUP($A339,'Fusion ExDa'!$B$2:$D$16, 4,FALSE), IFERROR(VLOOKUP($A339,'Exetel ExDa'!$C$2:$N$14, 5,FALSE), IFERROR(VLOOKUP($A339,'Infinet ExDa'!$B$2:$E$14, 3,FALSE), "Not Found"))))))))</f>
        <v>Vocus Business Unlimited (AUD)</v>
      </c>
      <c r="F339">
        <f>IFERROR(VLOOKUP($A339,'AAPT ExDa'!$B$2:$U$99, 4,FALSE), IFERROR(VLOOKUP($A339,'ABB ExDa'!$A$2:$N$184, 6,FALSE), IFERROR(VLOOKUP($A339,'Vocus SIT ExDa'!$B$2:$J$173, 3,FALSE), IFERROR(VLOOKUP($A339,'Telstra ExDa'!$B$2:$K$310, 5,FALSE), IFERROR(VLOOKUP($A339,'Vocus RVC ExDa'!$C$2:$R$155, 9,FALSE), IFERROR(VLOOKUP($A339,'Fusion ExDa'!$B$2:$D$16, 0,FALSE), IFERROR(VLOOKUP($A339,'Exetel ExDa'!$C$2:$N$14, 6,FALSE), IFERROR(VLOOKUP($A339,'Infinet ExDa'!$B$2:$E$14, 0,FALSE), "Not Found"))))))))</f>
        <v>0</v>
      </c>
      <c r="G339" t="str">
        <f>IFERROR(VLOOKUP($A339,'AAPT ExDa'!$B$2:$U$99, 5,FALSE), IFERROR(VLOOKUP($A339,'ABB ExDa'!$A$2:$N$184, 8,FALSE), IFERROR(VLOOKUP($A339,'Vocus SIT ExDa'!$B$2:$J$173, 6,FALSE), IFERROR(VLOOKUP($A339,'Telstra ExDa'!$B$2:$K$310, 0,FALSE), IFERROR(VLOOKUP($A339,'Vocus RVC ExDa'!$C$2:$R$155, 15,FALSE), IFERROR(VLOOKUP($A339,'Fusion ExDa'!$B$2:$D$16, 0,FALSE), IFERROR(VLOOKUP($A339,'Exetel ExDa'!$C$2:$N$14, 7,FALSE), IFERROR(VLOOKUP($A339,'Infinet ExDa'!$B$2:$E$14, 0,FALSE), "Not Found"))))))))</f>
        <v>Vocus Business Unlimited 100Mbps
46A Cooroy Noosa Rd, Tewantin QLD 4565, Australia</v>
      </c>
      <c r="H339" t="str">
        <f>IFERROR(VLOOKUP($A339,'AAPT ExDa'!$B$2:$U$99, 6,FALSE), IFERROR(VLOOKUP($A339,'ABB ExDa'!$A$2:$N$184, 0,FALSE), IFERROR(VLOOKUP($A339,'Vocus SIT ExDa'!$B$2:$J$173, 0,FALSE), IFERROR(VLOOKUP($A339,'Telstra ExDa'!$B$2:$K$310, 0,FALSE), IFERROR(VLOOKUP($A339,'Vocus RVC ExDa'!$C$2:$R$155, 16,FALSE), IFERROR(VLOOKUP($A339,'Fusion ExDa'!$B$2:$D$16, 0,FALSE), IFERROR(VLOOKUP($A339,'Exetel ExDa'!$C$2:$N$14, 0,FALSE), IFERROR(VLOOKUP($A339,'Infinet ExDa'!$B$2:$E$14, 0,FALSE), "Not Found"))))))))</f>
        <v>Not Found</v>
      </c>
      <c r="I339" t="str">
        <f>IFERROR(VLOOKUP($A339,'AAPT ExDa'!$B$2:$U$99, 0,FALSE), IFERROR(VLOOKUP($A339,'ABB ExDa'!$A$2:$N$184, 0,FALSE), IFERROR(VLOOKUP($A339,'Vocus SIT ExDa'!$B$2:$J$173, 0,FALSE), IFERROR(VLOOKUP($A339,'Telstra ExDa'!$B$2:$K$310, 0,FALSE), IFERROR(VLOOKUP($A339,'Vocus RVC ExDa'!$C$2:$R$155, 0,FALSE), IFERROR(VLOOKUP($A339,'Fusion ExDa'!$B$2:$D$16, 0,FALSE), IFERROR(VLOOKUP($A339,'Exetel ExDa'!$C$2:$N$14, 8,FALSE), IFERROR(VLOOKUP($A339,'Infinet ExDa'!$B$2:$E$14, 0,FALSE), "Not Found"))))))))</f>
        <v>Not Found</v>
      </c>
      <c r="J339" t="str">
        <f>IFERROR(VLOOKUP($A339,'AAPT ExDa'!$B$2:$U$99, 7,FALSE), IFERROR(VLOOKUP($A339,'ABB ExDa'!$A$2:$N$184, 2,FALSE), IFERROR(VLOOKUP($A339,'Vocus SIT ExDa'!$B$2:$J$173, 0,FALSE), IFERROR(VLOOKUP($A339,'Telstra ExDa'!$B$2:$K$310, 7,FALSE), IFERROR(VLOOKUP($A339,'Vocus RVC ExDa'!$C$2:$R$155, 2,FALSE), IFERROR(VLOOKUP($A339,'Fusion ExDa'!$B$2:$D$16, 3,FALSE), IFERROR(VLOOKUP($A339,'Exetel ExDa'!$C$2:$N$14, 0,FALSE), IFERROR(VLOOKUP($A339,'Infinet ExDa'!$B$2:$E$14, 0,FALSE), "Not Found"))))))))</f>
        <v>Not Found</v>
      </c>
      <c r="K339" t="str">
        <f>IFERROR(VLOOKUP($A339,'AAPT ExDa'!$B$2:$U$99, 12,FALSE), IFERROR(VLOOKUP($A339,'ABB ExDa'!$A$2:$N$184, 0,FALSE), IFERROR(VLOOKUP($A339,'Vocus SIT ExDa'!$B$2:$J$173, 0,FALSE), IFERROR(VLOOKUP($A339,'Telstra ExDa'!$B$2:$K$310, 0,FALSE), IFERROR(VLOOKUP($A339,'Vocus RVC ExDa'!$C$2:$R$155, 0,FALSE), IFERROR(VLOOKUP($A339,'Fusion ExDa'!$B$2:$D$16, 0,FALSE), IFERROR(VLOOKUP($A339,'Exetel ExDa'!$C$2:$N$14, 12,FALSE), IFERROR(VLOOKUP($A339,'Infinet ExDa'!$B$2:$E$14, 0,FALSE), "Not Found"))))))))</f>
        <v>Not Found</v>
      </c>
      <c r="L339" s="235">
        <f>IFERROR(VLOOKUP($A339,'AAPT ExDa'!$B$2:$U$99, 11,FALSE), IFERROR(VLOOKUP($A339,'ABB ExDa'!$A$2:$N$184, 9,FALSE), IFERROR(VLOOKUP($A339,'Vocus SIT ExDa'!$B$2:$J$173, 8,FALSE), IFERROR(VLOOKUP($A339,'Telstra ExDa'!$B$2:$K$310, 0,FALSE), IFERROR(VLOOKUP($A339,'Vocus RVC ExDa'!$C$2:$R$155, 0,FALSE), IFERROR(VLOOKUP($A339,'Fusion ExDa'!$B$2:$D$16, 0,FALSE), IFERROR(VLOOKUP($A339,'Exetel ExDa'!$C$2:$N$14, 9,FALSE), IFERROR(VLOOKUP($A339,'Infinet ExDa'!$B$2:$E$14, 0,FALSE), "Not Found"))))))))</f>
        <v>44988</v>
      </c>
      <c r="M339" s="234" t="str">
        <f>IFERROR(VLOOKUP($A339,'AAPT ExDa'!$B$2:$U$99, 0,FALSE), IFERROR(VLOOKUP($A339,'ABB ExDa'!$A$2:$N$184, 0,FALSE), IFERROR(VLOOKUP($A339,'Vocus SIT ExDa'!$B$2:$J$173, 0,FALSE), IFERROR(VLOOKUP($A339,'Telstra ExDa'!$B$2:$K$310, 0,FALSE), IFERROR(VLOOKUP($A339,'Vocus RVC ExDa'!$C$2:$R$155, 0,FALSE), IFERROR(VLOOKUP($A339,'Fusion ExDa'!$B$2:$D$16, 0,FALSE), IFERROR(VLOOKUP($A339,'Exetel ExDa'!$C$2:$N$14, 11,FALSE), IFERROR(VLOOKUP($A339,'Infinet ExDa'!$B$2:$E$14, 0,FALSE), "Not Found"))))))))</f>
        <v>Not Found</v>
      </c>
      <c r="N339" t="str">
        <f>IFERROR(VLOOKUP($A339,'AAPT ExDa'!$B$2:$U$99, 0,FALSE), IFERROR(VLOOKUP($A339,'ABB ExDa'!$A$2:$N$184, 13,FALSE), IFERROR(VLOOKUP($A339,'Vocus SIT ExDa'!$B$2:$J$173, 0,FALSE), IFERROR(VLOOKUP($A339,'Telstra ExDa'!$B$2:$K$310, 0,FALSE), IFERROR(VLOOKUP($A339,'Vocus RVC ExDa'!$C$2:$R$155, 0,FALSE), IFERROR(VLOOKUP($A339,'Fusion ExDa'!$B$2:$D$16, 0,FALSE), IFERROR(VLOOKUP($A339,'Exetel ExDa'!$C$2:$N$14, 0,FALSE), IFERROR(VLOOKUP($A339,'Infinet ExDa'!$B$2:$E$14, 0,FALSE), "Not Found"))))))))</f>
        <v>Not Found</v>
      </c>
    </row>
    <row r="340" spans="1:14">
      <c r="A340">
        <v>0</v>
      </c>
      <c r="B340" t="str">
        <f>IFERROR(VLOOKUP(A340,'Exetel ExDa'!$C$2:$N$14,4,FALSE),"No Data")</f>
        <v>No Data</v>
      </c>
      <c r="C340" t="str">
        <f>IFERROR(VLOOKUP(A340,'AAPT ExDa'!$B$2:$U$99, 2,FALSE), IFERROR(VLOOKUP(A340,'ABB ExDa'!$A$2:$N$184, 2,FALSE), IFERROR(VLOOKUP(A340,'Vocus SIT ExDa'!$B$2:$J$173, 7,FALSE), IFERROR(VLOOKUP(A340,'Telstra ExDa'!$B$2:$K$310, 2,FALSE), IFERROR(VLOOKUP(A340,'Vocus RVC ExDa'!$C$2:$R$155, 3,FALSE), IFERROR(VLOOKUP(A340,'Fusion ExDa'!$B$2:$D$16, 2,FALSE), IFERROR(VLOOKUP(A340,'Exetel ExDa'!$C$2:$N$14, 2,FALSE), IFERROR(VLOOKUP(A340,'Infinet ExDa'!$B$2:$E$14, 2,FALSE), "Not Found"))))))))</f>
        <v>Not Found</v>
      </c>
      <c r="D340" t="str">
        <f>IFERROR(VLOOKUP($A340,'AAPT ExDa'!$B$2:$U$99, 15,FALSE), IFERROR(VLOOKUP($A340,'ABB ExDa'!$A$2:$N$184, 4,FALSE), IFERROR(VLOOKUP($A340,'Vocus SIT ExDa'!$B$2:$J$173, 5,FALSE), IFERROR(VLOOKUP($A340,'Telstra ExDa'!$B$2:$K$310, 8,FALSE), IFERROR(VLOOKUP($A340,'Vocus RVC ExDa'!$C$2:$R$155, 6,FALSE), IFERROR(VLOOKUP($A340,'Fusion ExDa'!$B$2:$D$16, 4,FALSE), IFERROR(VLOOKUP($A340,'Exetel ExDa'!$C$2:$N$14, 3,FALSE), IFERROR(VLOOKUP($A340,'Infinet ExDa'!$B$2:$E$14, 3,FALSE), "Not Found"))))))))</f>
        <v>Not Found</v>
      </c>
      <c r="E340" t="str">
        <f>IFERROR(VLOOKUP($A340,'AAPT ExDa'!$B$2:$U$99, 3,FALSE), IFERROR(VLOOKUP($A340,'ABB ExDa'!$A$2:$N$184, 5,FALSE), IFERROR(VLOOKUP($A340,'Vocus SIT ExDa'!$B$2:$J$173, 2,FALSE), IFERROR(VLOOKUP($A340,'Telstra ExDa'!$B$2:$K$310, 4,FALSE), IFERROR(VLOOKUP($A340,'Vocus RVC ExDa'!$C$2:$R$155, 8,FALSE), IFERROR(VLOOKUP($A340,'Fusion ExDa'!$B$2:$D$16, 4,FALSE), IFERROR(VLOOKUP($A340,'Exetel ExDa'!$C$2:$N$14, 5,FALSE), IFERROR(VLOOKUP($A340,'Infinet ExDa'!$B$2:$E$14, 3,FALSE), "Not Found"))))))))</f>
        <v>Not Found</v>
      </c>
      <c r="F340" t="str">
        <f>IFERROR(VLOOKUP($A340,'AAPT ExDa'!$B$2:$U$99, 4,FALSE), IFERROR(VLOOKUP($A340,'ABB ExDa'!$A$2:$N$184, 6,FALSE), IFERROR(VLOOKUP($A340,'Vocus SIT ExDa'!$B$2:$J$173, 3,FALSE), IFERROR(VLOOKUP($A340,'Telstra ExDa'!$B$2:$K$310, 5,FALSE), IFERROR(VLOOKUP($A340,'Vocus RVC ExDa'!$C$2:$R$155, 9,FALSE), IFERROR(VLOOKUP($A340,'Fusion ExDa'!$B$2:$D$16, 0,FALSE), IFERROR(VLOOKUP($A340,'Exetel ExDa'!$C$2:$N$14, 6,FALSE), IFERROR(VLOOKUP($A340,'Infinet ExDa'!$B$2:$E$14, 0,FALSE), "Not Found"))))))))</f>
        <v>Not Found</v>
      </c>
      <c r="G340" t="str">
        <f>IFERROR(VLOOKUP($A340,'AAPT ExDa'!$B$2:$U$99, 5,FALSE), IFERROR(VLOOKUP($A340,'ABB ExDa'!$A$2:$N$184, 8,FALSE), IFERROR(VLOOKUP($A340,'Vocus SIT ExDa'!$B$2:$J$173, 6,FALSE), IFERROR(VLOOKUP($A340,'Telstra ExDa'!$B$2:$K$310, 0,FALSE), IFERROR(VLOOKUP($A340,'Vocus RVC ExDa'!$C$2:$R$155, 15,FALSE), IFERROR(VLOOKUP($A340,'Fusion ExDa'!$B$2:$D$16, 0,FALSE), IFERROR(VLOOKUP($A340,'Exetel ExDa'!$C$2:$N$14, 7,FALSE), IFERROR(VLOOKUP($A340,'Infinet ExDa'!$B$2:$E$14, 0,FALSE), "Not Found"))))))))</f>
        <v>Not Found</v>
      </c>
      <c r="H340" t="str">
        <f>IFERROR(VLOOKUP($A340,'AAPT ExDa'!$B$2:$U$99, 6,FALSE), IFERROR(VLOOKUP($A340,'ABB ExDa'!$A$2:$N$184, 0,FALSE), IFERROR(VLOOKUP($A340,'Vocus SIT ExDa'!$B$2:$J$173, 0,FALSE), IFERROR(VLOOKUP($A340,'Telstra ExDa'!$B$2:$K$310, 0,FALSE), IFERROR(VLOOKUP($A340,'Vocus RVC ExDa'!$C$2:$R$155, 16,FALSE), IFERROR(VLOOKUP($A340,'Fusion ExDa'!$B$2:$D$16, 0,FALSE), IFERROR(VLOOKUP($A340,'Exetel ExDa'!$C$2:$N$14, 0,FALSE), IFERROR(VLOOKUP($A340,'Infinet ExDa'!$B$2:$E$14, 0,FALSE), "Not Found"))))))))</f>
        <v>Not Found</v>
      </c>
      <c r="I340" t="str">
        <f>IFERROR(VLOOKUP($A340,'AAPT ExDa'!$B$2:$U$99, 0,FALSE), IFERROR(VLOOKUP($A340,'ABB ExDa'!$A$2:$N$184, 0,FALSE), IFERROR(VLOOKUP($A340,'Vocus SIT ExDa'!$B$2:$J$173, 0,FALSE), IFERROR(VLOOKUP($A340,'Telstra ExDa'!$B$2:$K$310, 0,FALSE), IFERROR(VLOOKUP($A340,'Vocus RVC ExDa'!$C$2:$R$155, 0,FALSE), IFERROR(VLOOKUP($A340,'Fusion ExDa'!$B$2:$D$16, 0,FALSE), IFERROR(VLOOKUP($A340,'Exetel ExDa'!$C$2:$N$14, 8,FALSE), IFERROR(VLOOKUP($A340,'Infinet ExDa'!$B$2:$E$14, 0,FALSE), "Not Found"))))))))</f>
        <v>Not Found</v>
      </c>
      <c r="J340" t="str">
        <f>IFERROR(VLOOKUP($A340,'AAPT ExDa'!$B$2:$U$99, 7,FALSE), IFERROR(VLOOKUP($A340,'ABB ExDa'!$A$2:$N$184, 2,FALSE), IFERROR(VLOOKUP($A340,'Vocus SIT ExDa'!$B$2:$J$173, 0,FALSE), IFERROR(VLOOKUP($A340,'Telstra ExDa'!$B$2:$K$310, 7,FALSE), IFERROR(VLOOKUP($A340,'Vocus RVC ExDa'!$C$2:$R$155, 2,FALSE), IFERROR(VLOOKUP($A340,'Fusion ExDa'!$B$2:$D$16, 3,FALSE), IFERROR(VLOOKUP($A340,'Exetel ExDa'!$C$2:$N$14, 0,FALSE), IFERROR(VLOOKUP($A340,'Infinet ExDa'!$B$2:$E$14, 0,FALSE), "Not Found"))))))))</f>
        <v>Not Found</v>
      </c>
      <c r="K340" t="str">
        <f>IFERROR(VLOOKUP($A340,'AAPT ExDa'!$B$2:$U$99, 12,FALSE), IFERROR(VLOOKUP($A340,'ABB ExDa'!$A$2:$N$184, 0,FALSE), IFERROR(VLOOKUP($A340,'Vocus SIT ExDa'!$B$2:$J$173, 0,FALSE), IFERROR(VLOOKUP($A340,'Telstra ExDa'!$B$2:$K$310, 0,FALSE), IFERROR(VLOOKUP($A340,'Vocus RVC ExDa'!$C$2:$R$155, 0,FALSE), IFERROR(VLOOKUP($A340,'Fusion ExDa'!$B$2:$D$16, 0,FALSE), IFERROR(VLOOKUP($A340,'Exetel ExDa'!$C$2:$N$14, 12,FALSE), IFERROR(VLOOKUP($A340,'Infinet ExDa'!$B$2:$E$14, 0,FALSE), "Not Found"))))))))</f>
        <v>Not Found</v>
      </c>
      <c r="L340" s="235" t="str">
        <f>IFERROR(VLOOKUP($A340,'AAPT ExDa'!$B$2:$U$99, 11,FALSE), IFERROR(VLOOKUP($A340,'ABB ExDa'!$A$2:$N$184, 9,FALSE), IFERROR(VLOOKUP($A340,'Vocus SIT ExDa'!$B$2:$J$173, 8,FALSE), IFERROR(VLOOKUP($A340,'Telstra ExDa'!$B$2:$K$310, 0,FALSE), IFERROR(VLOOKUP($A340,'Vocus RVC ExDa'!$C$2:$R$155, 0,FALSE), IFERROR(VLOOKUP($A340,'Fusion ExDa'!$B$2:$D$16, 0,FALSE), IFERROR(VLOOKUP($A340,'Exetel ExDa'!$C$2:$N$14, 9,FALSE), IFERROR(VLOOKUP($A340,'Infinet ExDa'!$B$2:$E$14, 0,FALSE), "Not Found"))))))))</f>
        <v>Not Found</v>
      </c>
      <c r="M340" s="234" t="str">
        <f>IFERROR(VLOOKUP($A340,'AAPT ExDa'!$B$2:$U$99, 0,FALSE), IFERROR(VLOOKUP($A340,'ABB ExDa'!$A$2:$N$184, 0,FALSE), IFERROR(VLOOKUP($A340,'Vocus SIT ExDa'!$B$2:$J$173, 0,FALSE), IFERROR(VLOOKUP($A340,'Telstra ExDa'!$B$2:$K$310, 0,FALSE), IFERROR(VLOOKUP($A340,'Vocus RVC ExDa'!$C$2:$R$155, 0,FALSE), IFERROR(VLOOKUP($A340,'Fusion ExDa'!$B$2:$D$16, 0,FALSE), IFERROR(VLOOKUP($A340,'Exetel ExDa'!$C$2:$N$14, 11,FALSE), IFERROR(VLOOKUP($A340,'Infinet ExDa'!$B$2:$E$14, 0,FALSE), "Not Found"))))))))</f>
        <v>Not Found</v>
      </c>
      <c r="N340" t="str">
        <f>IFERROR(VLOOKUP($A340,'AAPT ExDa'!$B$2:$U$99, 0,FALSE), IFERROR(VLOOKUP($A340,'ABB ExDa'!$A$2:$N$184, 13,FALSE), IFERROR(VLOOKUP($A340,'Vocus SIT ExDa'!$B$2:$J$173, 0,FALSE), IFERROR(VLOOKUP($A340,'Telstra ExDa'!$B$2:$K$310, 0,FALSE), IFERROR(VLOOKUP($A340,'Vocus RVC ExDa'!$C$2:$R$155, 0,FALSE), IFERROR(VLOOKUP($A340,'Fusion ExDa'!$B$2:$D$16, 0,FALSE), IFERROR(VLOOKUP($A340,'Exetel ExDa'!$C$2:$N$14, 0,FALSE), IFERROR(VLOOKUP($A340,'Infinet ExDa'!$B$2:$E$14, 0,FALSE), "Not Found"))))))))</f>
        <v>Not Found</v>
      </c>
    </row>
    <row r="341" spans="1:14">
      <c r="A341">
        <v>0</v>
      </c>
      <c r="B341" t="str">
        <f>IFERROR(VLOOKUP(A341,'Exetel ExDa'!$C$2:$N$14,4,FALSE),"No Data")</f>
        <v>No Data</v>
      </c>
      <c r="C341" t="str">
        <f>IFERROR(VLOOKUP(A341,'AAPT ExDa'!$B$2:$U$99, 2,FALSE), IFERROR(VLOOKUP(A341,'ABB ExDa'!$A$2:$N$184, 2,FALSE), IFERROR(VLOOKUP(A341,'Vocus SIT ExDa'!$B$2:$J$173, 7,FALSE), IFERROR(VLOOKUP(A341,'Telstra ExDa'!$B$2:$K$310, 2,FALSE), IFERROR(VLOOKUP(A341,'Vocus RVC ExDa'!$C$2:$R$155, 3,FALSE), IFERROR(VLOOKUP(A341,'Fusion ExDa'!$B$2:$D$16, 2,FALSE), IFERROR(VLOOKUP(A341,'Exetel ExDa'!$C$2:$N$14, 2,FALSE), IFERROR(VLOOKUP(A341,'Infinet ExDa'!$B$2:$E$14, 2,FALSE), "Not Found"))))))))</f>
        <v>Not Found</v>
      </c>
      <c r="D341" t="str">
        <f>IFERROR(VLOOKUP($A341,'AAPT ExDa'!$B$2:$U$99, 15,FALSE), IFERROR(VLOOKUP($A341,'ABB ExDa'!$A$2:$N$184, 4,FALSE), IFERROR(VLOOKUP($A341,'Vocus SIT ExDa'!$B$2:$J$173, 5,FALSE), IFERROR(VLOOKUP($A341,'Telstra ExDa'!$B$2:$K$310, 8,FALSE), IFERROR(VLOOKUP($A341,'Vocus RVC ExDa'!$C$2:$R$155, 6,FALSE), IFERROR(VLOOKUP($A341,'Fusion ExDa'!$B$2:$D$16, 4,FALSE), IFERROR(VLOOKUP($A341,'Exetel ExDa'!$C$2:$N$14, 3,FALSE), IFERROR(VLOOKUP($A341,'Infinet ExDa'!$B$2:$E$14, 3,FALSE), "Not Found"))))))))</f>
        <v>Not Found</v>
      </c>
      <c r="E341" t="str">
        <f>IFERROR(VLOOKUP($A341,'AAPT ExDa'!$B$2:$U$99, 3,FALSE), IFERROR(VLOOKUP($A341,'ABB ExDa'!$A$2:$N$184, 5,FALSE), IFERROR(VLOOKUP($A341,'Vocus SIT ExDa'!$B$2:$J$173, 2,FALSE), IFERROR(VLOOKUP($A341,'Telstra ExDa'!$B$2:$K$310, 4,FALSE), IFERROR(VLOOKUP($A341,'Vocus RVC ExDa'!$C$2:$R$155, 8,FALSE), IFERROR(VLOOKUP($A341,'Fusion ExDa'!$B$2:$D$16, 4,FALSE), IFERROR(VLOOKUP($A341,'Exetel ExDa'!$C$2:$N$14, 5,FALSE), IFERROR(VLOOKUP($A341,'Infinet ExDa'!$B$2:$E$14, 3,FALSE), "Not Found"))))))))</f>
        <v>Not Found</v>
      </c>
      <c r="F341" t="str">
        <f>IFERROR(VLOOKUP($A341,'AAPT ExDa'!$B$2:$U$99, 4,FALSE), IFERROR(VLOOKUP($A341,'ABB ExDa'!$A$2:$N$184, 6,FALSE), IFERROR(VLOOKUP($A341,'Vocus SIT ExDa'!$B$2:$J$173, 3,FALSE), IFERROR(VLOOKUP($A341,'Telstra ExDa'!$B$2:$K$310, 5,FALSE), IFERROR(VLOOKUP($A341,'Vocus RVC ExDa'!$C$2:$R$155, 9,FALSE), IFERROR(VLOOKUP($A341,'Fusion ExDa'!$B$2:$D$16, 0,FALSE), IFERROR(VLOOKUP($A341,'Exetel ExDa'!$C$2:$N$14, 6,FALSE), IFERROR(VLOOKUP($A341,'Infinet ExDa'!$B$2:$E$14, 0,FALSE), "Not Found"))))))))</f>
        <v>Not Found</v>
      </c>
      <c r="G341" t="str">
        <f>IFERROR(VLOOKUP($A341,'AAPT ExDa'!$B$2:$U$99, 5,FALSE), IFERROR(VLOOKUP($A341,'ABB ExDa'!$A$2:$N$184, 8,FALSE), IFERROR(VLOOKUP($A341,'Vocus SIT ExDa'!$B$2:$J$173, 6,FALSE), IFERROR(VLOOKUP($A341,'Telstra ExDa'!$B$2:$K$310, 0,FALSE), IFERROR(VLOOKUP($A341,'Vocus RVC ExDa'!$C$2:$R$155, 15,FALSE), IFERROR(VLOOKUP($A341,'Fusion ExDa'!$B$2:$D$16, 0,FALSE), IFERROR(VLOOKUP($A341,'Exetel ExDa'!$C$2:$N$14, 7,FALSE), IFERROR(VLOOKUP($A341,'Infinet ExDa'!$B$2:$E$14, 0,FALSE), "Not Found"))))))))</f>
        <v>Not Found</v>
      </c>
      <c r="H341" t="str">
        <f>IFERROR(VLOOKUP($A341,'AAPT ExDa'!$B$2:$U$99, 6,FALSE), IFERROR(VLOOKUP($A341,'ABB ExDa'!$A$2:$N$184, 0,FALSE), IFERROR(VLOOKUP($A341,'Vocus SIT ExDa'!$B$2:$J$173, 0,FALSE), IFERROR(VLOOKUP($A341,'Telstra ExDa'!$B$2:$K$310, 0,FALSE), IFERROR(VLOOKUP($A341,'Vocus RVC ExDa'!$C$2:$R$155, 16,FALSE), IFERROR(VLOOKUP($A341,'Fusion ExDa'!$B$2:$D$16, 0,FALSE), IFERROR(VLOOKUP($A341,'Exetel ExDa'!$C$2:$N$14, 0,FALSE), IFERROR(VLOOKUP($A341,'Infinet ExDa'!$B$2:$E$14, 0,FALSE), "Not Found"))))))))</f>
        <v>Not Found</v>
      </c>
      <c r="I341" t="str">
        <f>IFERROR(VLOOKUP($A341,'AAPT ExDa'!$B$2:$U$99, 0,FALSE), IFERROR(VLOOKUP($A341,'ABB ExDa'!$A$2:$N$184, 0,FALSE), IFERROR(VLOOKUP($A341,'Vocus SIT ExDa'!$B$2:$J$173, 0,FALSE), IFERROR(VLOOKUP($A341,'Telstra ExDa'!$B$2:$K$310, 0,FALSE), IFERROR(VLOOKUP($A341,'Vocus RVC ExDa'!$C$2:$R$155, 0,FALSE), IFERROR(VLOOKUP($A341,'Fusion ExDa'!$B$2:$D$16, 0,FALSE), IFERROR(VLOOKUP($A341,'Exetel ExDa'!$C$2:$N$14, 8,FALSE), IFERROR(VLOOKUP($A341,'Infinet ExDa'!$B$2:$E$14, 0,FALSE), "Not Found"))))))))</f>
        <v>Not Found</v>
      </c>
      <c r="J341" t="str">
        <f>IFERROR(VLOOKUP($A341,'AAPT ExDa'!$B$2:$U$99, 7,FALSE), IFERROR(VLOOKUP($A341,'ABB ExDa'!$A$2:$N$184, 2,FALSE), IFERROR(VLOOKUP($A341,'Vocus SIT ExDa'!$B$2:$J$173, 0,FALSE), IFERROR(VLOOKUP($A341,'Telstra ExDa'!$B$2:$K$310, 7,FALSE), IFERROR(VLOOKUP($A341,'Vocus RVC ExDa'!$C$2:$R$155, 2,FALSE), IFERROR(VLOOKUP($A341,'Fusion ExDa'!$B$2:$D$16, 3,FALSE), IFERROR(VLOOKUP($A341,'Exetel ExDa'!$C$2:$N$14, 0,FALSE), IFERROR(VLOOKUP($A341,'Infinet ExDa'!$B$2:$E$14, 0,FALSE), "Not Found"))))))))</f>
        <v>Not Found</v>
      </c>
      <c r="K341" t="str">
        <f>IFERROR(VLOOKUP($A341,'AAPT ExDa'!$B$2:$U$99, 12,FALSE), IFERROR(VLOOKUP($A341,'ABB ExDa'!$A$2:$N$184, 0,FALSE), IFERROR(VLOOKUP($A341,'Vocus SIT ExDa'!$B$2:$J$173, 0,FALSE), IFERROR(VLOOKUP($A341,'Telstra ExDa'!$B$2:$K$310, 0,FALSE), IFERROR(VLOOKUP($A341,'Vocus RVC ExDa'!$C$2:$R$155, 0,FALSE), IFERROR(VLOOKUP($A341,'Fusion ExDa'!$B$2:$D$16, 0,FALSE), IFERROR(VLOOKUP($A341,'Exetel ExDa'!$C$2:$N$14, 12,FALSE), IFERROR(VLOOKUP($A341,'Infinet ExDa'!$B$2:$E$14, 0,FALSE), "Not Found"))))))))</f>
        <v>Not Found</v>
      </c>
      <c r="L341" s="235" t="str">
        <f>IFERROR(VLOOKUP($A341,'AAPT ExDa'!$B$2:$U$99, 11,FALSE), IFERROR(VLOOKUP($A341,'ABB ExDa'!$A$2:$N$184, 9,FALSE), IFERROR(VLOOKUP($A341,'Vocus SIT ExDa'!$B$2:$J$173, 8,FALSE), IFERROR(VLOOKUP($A341,'Telstra ExDa'!$B$2:$K$310, 0,FALSE), IFERROR(VLOOKUP($A341,'Vocus RVC ExDa'!$C$2:$R$155, 0,FALSE), IFERROR(VLOOKUP($A341,'Fusion ExDa'!$B$2:$D$16, 0,FALSE), IFERROR(VLOOKUP($A341,'Exetel ExDa'!$C$2:$N$14, 9,FALSE), IFERROR(VLOOKUP($A341,'Infinet ExDa'!$B$2:$E$14, 0,FALSE), "Not Found"))))))))</f>
        <v>Not Found</v>
      </c>
      <c r="M341" s="234" t="str">
        <f>IFERROR(VLOOKUP($A341,'AAPT ExDa'!$B$2:$U$99, 0,FALSE), IFERROR(VLOOKUP($A341,'ABB ExDa'!$A$2:$N$184, 0,FALSE), IFERROR(VLOOKUP($A341,'Vocus SIT ExDa'!$B$2:$J$173, 0,FALSE), IFERROR(VLOOKUP($A341,'Telstra ExDa'!$B$2:$K$310, 0,FALSE), IFERROR(VLOOKUP($A341,'Vocus RVC ExDa'!$C$2:$R$155, 0,FALSE), IFERROR(VLOOKUP($A341,'Fusion ExDa'!$B$2:$D$16, 0,FALSE), IFERROR(VLOOKUP($A341,'Exetel ExDa'!$C$2:$N$14, 11,FALSE), IFERROR(VLOOKUP($A341,'Infinet ExDa'!$B$2:$E$14, 0,FALSE), "Not Found"))))))))</f>
        <v>Not Found</v>
      </c>
      <c r="N341" t="str">
        <f>IFERROR(VLOOKUP($A341,'AAPT ExDa'!$B$2:$U$99, 0,FALSE), IFERROR(VLOOKUP($A341,'ABB ExDa'!$A$2:$N$184, 13,FALSE), IFERROR(VLOOKUP($A341,'Vocus SIT ExDa'!$B$2:$J$173, 0,FALSE), IFERROR(VLOOKUP($A341,'Telstra ExDa'!$B$2:$K$310, 0,FALSE), IFERROR(VLOOKUP($A341,'Vocus RVC ExDa'!$C$2:$R$155, 0,FALSE), IFERROR(VLOOKUP($A341,'Fusion ExDa'!$B$2:$D$16, 0,FALSE), IFERROR(VLOOKUP($A341,'Exetel ExDa'!$C$2:$N$14, 0,FALSE), IFERROR(VLOOKUP($A341,'Infinet ExDa'!$B$2:$E$14, 0,FALSE), "Not Found"))))))))</f>
        <v>Not Found</v>
      </c>
    </row>
    <row r="342" spans="1:14">
      <c r="A342">
        <v>0</v>
      </c>
      <c r="B342" t="str">
        <f>IFERROR(VLOOKUP(A342,'Exetel ExDa'!$C$2:$N$14,4,FALSE),"No Data")</f>
        <v>No Data</v>
      </c>
      <c r="C342" t="str">
        <f>IFERROR(VLOOKUP(A342,'AAPT ExDa'!$B$2:$U$99, 2,FALSE), IFERROR(VLOOKUP(A342,'ABB ExDa'!$A$2:$N$184, 2,FALSE), IFERROR(VLOOKUP(A342,'Vocus SIT ExDa'!$B$2:$J$173, 7,FALSE), IFERROR(VLOOKUP(A342,'Telstra ExDa'!$B$2:$K$310, 2,FALSE), IFERROR(VLOOKUP(A342,'Vocus RVC ExDa'!$C$2:$R$155, 3,FALSE), IFERROR(VLOOKUP(A342,'Fusion ExDa'!$B$2:$D$16, 2,FALSE), IFERROR(VLOOKUP(A342,'Exetel ExDa'!$C$2:$N$14, 2,FALSE), IFERROR(VLOOKUP(A342,'Infinet ExDa'!$B$2:$E$14, 2,FALSE), "Not Found"))))))))</f>
        <v>Not Found</v>
      </c>
      <c r="D342" t="str">
        <f>IFERROR(VLOOKUP($A342,'AAPT ExDa'!$B$2:$U$99, 15,FALSE), IFERROR(VLOOKUP($A342,'ABB ExDa'!$A$2:$N$184, 4,FALSE), IFERROR(VLOOKUP($A342,'Vocus SIT ExDa'!$B$2:$J$173, 5,FALSE), IFERROR(VLOOKUP($A342,'Telstra ExDa'!$B$2:$K$310, 8,FALSE), IFERROR(VLOOKUP($A342,'Vocus RVC ExDa'!$C$2:$R$155, 6,FALSE), IFERROR(VLOOKUP($A342,'Fusion ExDa'!$B$2:$D$16, 4,FALSE), IFERROR(VLOOKUP($A342,'Exetel ExDa'!$C$2:$N$14, 3,FALSE), IFERROR(VLOOKUP($A342,'Infinet ExDa'!$B$2:$E$14, 3,FALSE), "Not Found"))))))))</f>
        <v>Not Found</v>
      </c>
      <c r="E342" t="str">
        <f>IFERROR(VLOOKUP($A342,'AAPT ExDa'!$B$2:$U$99, 3,FALSE), IFERROR(VLOOKUP($A342,'ABB ExDa'!$A$2:$N$184, 5,FALSE), IFERROR(VLOOKUP($A342,'Vocus SIT ExDa'!$B$2:$J$173, 2,FALSE), IFERROR(VLOOKUP($A342,'Telstra ExDa'!$B$2:$K$310, 4,FALSE), IFERROR(VLOOKUP($A342,'Vocus RVC ExDa'!$C$2:$R$155, 8,FALSE), IFERROR(VLOOKUP($A342,'Fusion ExDa'!$B$2:$D$16, 4,FALSE), IFERROR(VLOOKUP($A342,'Exetel ExDa'!$C$2:$N$14, 5,FALSE), IFERROR(VLOOKUP($A342,'Infinet ExDa'!$B$2:$E$14, 3,FALSE), "Not Found"))))))))</f>
        <v>Not Found</v>
      </c>
      <c r="F342" t="str">
        <f>IFERROR(VLOOKUP($A342,'AAPT ExDa'!$B$2:$U$99, 4,FALSE), IFERROR(VLOOKUP($A342,'ABB ExDa'!$A$2:$N$184, 6,FALSE), IFERROR(VLOOKUP($A342,'Vocus SIT ExDa'!$B$2:$J$173, 3,FALSE), IFERROR(VLOOKUP($A342,'Telstra ExDa'!$B$2:$K$310, 5,FALSE), IFERROR(VLOOKUP($A342,'Vocus RVC ExDa'!$C$2:$R$155, 9,FALSE), IFERROR(VLOOKUP($A342,'Fusion ExDa'!$B$2:$D$16, 0,FALSE), IFERROR(VLOOKUP($A342,'Exetel ExDa'!$C$2:$N$14, 6,FALSE), IFERROR(VLOOKUP($A342,'Infinet ExDa'!$B$2:$E$14, 0,FALSE), "Not Found"))))))))</f>
        <v>Not Found</v>
      </c>
      <c r="G342" t="str">
        <f>IFERROR(VLOOKUP($A342,'AAPT ExDa'!$B$2:$U$99, 5,FALSE), IFERROR(VLOOKUP($A342,'ABB ExDa'!$A$2:$N$184, 8,FALSE), IFERROR(VLOOKUP($A342,'Vocus SIT ExDa'!$B$2:$J$173, 6,FALSE), IFERROR(VLOOKUP($A342,'Telstra ExDa'!$B$2:$K$310, 0,FALSE), IFERROR(VLOOKUP($A342,'Vocus RVC ExDa'!$C$2:$R$155, 15,FALSE), IFERROR(VLOOKUP($A342,'Fusion ExDa'!$B$2:$D$16, 0,FALSE), IFERROR(VLOOKUP($A342,'Exetel ExDa'!$C$2:$N$14, 7,FALSE), IFERROR(VLOOKUP($A342,'Infinet ExDa'!$B$2:$E$14, 0,FALSE), "Not Found"))))))))</f>
        <v>Not Found</v>
      </c>
      <c r="H342" t="str">
        <f>IFERROR(VLOOKUP($A342,'AAPT ExDa'!$B$2:$U$99, 6,FALSE), IFERROR(VLOOKUP($A342,'ABB ExDa'!$A$2:$N$184, 0,FALSE), IFERROR(VLOOKUP($A342,'Vocus SIT ExDa'!$B$2:$J$173, 0,FALSE), IFERROR(VLOOKUP($A342,'Telstra ExDa'!$B$2:$K$310, 0,FALSE), IFERROR(VLOOKUP($A342,'Vocus RVC ExDa'!$C$2:$R$155, 16,FALSE), IFERROR(VLOOKUP($A342,'Fusion ExDa'!$B$2:$D$16, 0,FALSE), IFERROR(VLOOKUP($A342,'Exetel ExDa'!$C$2:$N$14, 0,FALSE), IFERROR(VLOOKUP($A342,'Infinet ExDa'!$B$2:$E$14, 0,FALSE), "Not Found"))))))))</f>
        <v>Not Found</v>
      </c>
      <c r="I342" t="str">
        <f>IFERROR(VLOOKUP($A342,'AAPT ExDa'!$B$2:$U$99, 0,FALSE), IFERROR(VLOOKUP($A342,'ABB ExDa'!$A$2:$N$184, 0,FALSE), IFERROR(VLOOKUP($A342,'Vocus SIT ExDa'!$B$2:$J$173, 0,FALSE), IFERROR(VLOOKUP($A342,'Telstra ExDa'!$B$2:$K$310, 0,FALSE), IFERROR(VLOOKUP($A342,'Vocus RVC ExDa'!$C$2:$R$155, 0,FALSE), IFERROR(VLOOKUP($A342,'Fusion ExDa'!$B$2:$D$16, 0,FALSE), IFERROR(VLOOKUP($A342,'Exetel ExDa'!$C$2:$N$14, 8,FALSE), IFERROR(VLOOKUP($A342,'Infinet ExDa'!$B$2:$E$14, 0,FALSE), "Not Found"))))))))</f>
        <v>Not Found</v>
      </c>
      <c r="J342" t="str">
        <f>IFERROR(VLOOKUP($A342,'AAPT ExDa'!$B$2:$U$99, 7,FALSE), IFERROR(VLOOKUP($A342,'ABB ExDa'!$A$2:$N$184, 2,FALSE), IFERROR(VLOOKUP($A342,'Vocus SIT ExDa'!$B$2:$J$173, 0,FALSE), IFERROR(VLOOKUP($A342,'Telstra ExDa'!$B$2:$K$310, 7,FALSE), IFERROR(VLOOKUP($A342,'Vocus RVC ExDa'!$C$2:$R$155, 2,FALSE), IFERROR(VLOOKUP($A342,'Fusion ExDa'!$B$2:$D$16, 3,FALSE), IFERROR(VLOOKUP($A342,'Exetel ExDa'!$C$2:$N$14, 0,FALSE), IFERROR(VLOOKUP($A342,'Infinet ExDa'!$B$2:$E$14, 0,FALSE), "Not Found"))))))))</f>
        <v>Not Found</v>
      </c>
      <c r="K342" t="str">
        <f>IFERROR(VLOOKUP($A342,'AAPT ExDa'!$B$2:$U$99, 12,FALSE), IFERROR(VLOOKUP($A342,'ABB ExDa'!$A$2:$N$184, 0,FALSE), IFERROR(VLOOKUP($A342,'Vocus SIT ExDa'!$B$2:$J$173, 0,FALSE), IFERROR(VLOOKUP($A342,'Telstra ExDa'!$B$2:$K$310, 0,FALSE), IFERROR(VLOOKUP($A342,'Vocus RVC ExDa'!$C$2:$R$155, 0,FALSE), IFERROR(VLOOKUP($A342,'Fusion ExDa'!$B$2:$D$16, 0,FALSE), IFERROR(VLOOKUP($A342,'Exetel ExDa'!$C$2:$N$14, 12,FALSE), IFERROR(VLOOKUP($A342,'Infinet ExDa'!$B$2:$E$14, 0,FALSE), "Not Found"))))))))</f>
        <v>Not Found</v>
      </c>
      <c r="L342" s="235" t="str">
        <f>IFERROR(VLOOKUP($A342,'AAPT ExDa'!$B$2:$U$99, 11,FALSE), IFERROR(VLOOKUP($A342,'ABB ExDa'!$A$2:$N$184, 9,FALSE), IFERROR(VLOOKUP($A342,'Vocus SIT ExDa'!$B$2:$J$173, 8,FALSE), IFERROR(VLOOKUP($A342,'Telstra ExDa'!$B$2:$K$310, 0,FALSE), IFERROR(VLOOKUP($A342,'Vocus RVC ExDa'!$C$2:$R$155, 0,FALSE), IFERROR(VLOOKUP($A342,'Fusion ExDa'!$B$2:$D$16, 0,FALSE), IFERROR(VLOOKUP($A342,'Exetel ExDa'!$C$2:$N$14, 9,FALSE), IFERROR(VLOOKUP($A342,'Infinet ExDa'!$B$2:$E$14, 0,FALSE), "Not Found"))))))))</f>
        <v>Not Found</v>
      </c>
      <c r="M342" s="234" t="str">
        <f>IFERROR(VLOOKUP($A342,'AAPT ExDa'!$B$2:$U$99, 0,FALSE), IFERROR(VLOOKUP($A342,'ABB ExDa'!$A$2:$N$184, 0,FALSE), IFERROR(VLOOKUP($A342,'Vocus SIT ExDa'!$B$2:$J$173, 0,FALSE), IFERROR(VLOOKUP($A342,'Telstra ExDa'!$B$2:$K$310, 0,FALSE), IFERROR(VLOOKUP($A342,'Vocus RVC ExDa'!$C$2:$R$155, 0,FALSE), IFERROR(VLOOKUP($A342,'Fusion ExDa'!$B$2:$D$16, 0,FALSE), IFERROR(VLOOKUP($A342,'Exetel ExDa'!$C$2:$N$14, 11,FALSE), IFERROR(VLOOKUP($A342,'Infinet ExDa'!$B$2:$E$14, 0,FALSE), "Not Found"))))))))</f>
        <v>Not Found</v>
      </c>
      <c r="N342" t="str">
        <f>IFERROR(VLOOKUP($A342,'AAPT ExDa'!$B$2:$U$99, 0,FALSE), IFERROR(VLOOKUP($A342,'ABB ExDa'!$A$2:$N$184, 13,FALSE), IFERROR(VLOOKUP($A342,'Vocus SIT ExDa'!$B$2:$J$173, 0,FALSE), IFERROR(VLOOKUP($A342,'Telstra ExDa'!$B$2:$K$310, 0,FALSE), IFERROR(VLOOKUP($A342,'Vocus RVC ExDa'!$C$2:$R$155, 0,FALSE), IFERROR(VLOOKUP($A342,'Fusion ExDa'!$B$2:$D$16, 0,FALSE), IFERROR(VLOOKUP($A342,'Exetel ExDa'!$C$2:$N$14, 0,FALSE), IFERROR(VLOOKUP($A342,'Infinet ExDa'!$B$2:$E$14, 0,FALSE), "Not Found"))))))))</f>
        <v>Not Found</v>
      </c>
    </row>
    <row r="343" spans="1:14">
      <c r="A343">
        <v>0</v>
      </c>
      <c r="B343" t="str">
        <f>IFERROR(VLOOKUP(A343,'Exetel ExDa'!$C$2:$N$14,4,FALSE),"No Data")</f>
        <v>No Data</v>
      </c>
      <c r="C343" t="str">
        <f>IFERROR(VLOOKUP(A343,'AAPT ExDa'!$B$2:$U$99, 2,FALSE), IFERROR(VLOOKUP(A343,'ABB ExDa'!$A$2:$N$184, 2,FALSE), IFERROR(VLOOKUP(A343,'Vocus SIT ExDa'!$B$2:$J$173, 7,FALSE), IFERROR(VLOOKUP(A343,'Telstra ExDa'!$B$2:$K$310, 2,FALSE), IFERROR(VLOOKUP(A343,'Vocus RVC ExDa'!$C$2:$R$155, 3,FALSE), IFERROR(VLOOKUP(A343,'Fusion ExDa'!$B$2:$D$16, 2,FALSE), IFERROR(VLOOKUP(A343,'Exetel ExDa'!$C$2:$N$14, 2,FALSE), IFERROR(VLOOKUP(A343,'Infinet ExDa'!$B$2:$E$14, 2,FALSE), "Not Found"))))))))</f>
        <v>Not Found</v>
      </c>
      <c r="D343" t="str">
        <f>IFERROR(VLOOKUP($A343,'AAPT ExDa'!$B$2:$U$99, 15,FALSE), IFERROR(VLOOKUP($A343,'ABB ExDa'!$A$2:$N$184, 4,FALSE), IFERROR(VLOOKUP($A343,'Vocus SIT ExDa'!$B$2:$J$173, 5,FALSE), IFERROR(VLOOKUP($A343,'Telstra ExDa'!$B$2:$K$310, 8,FALSE), IFERROR(VLOOKUP($A343,'Vocus RVC ExDa'!$C$2:$R$155, 6,FALSE), IFERROR(VLOOKUP($A343,'Fusion ExDa'!$B$2:$D$16, 4,FALSE), IFERROR(VLOOKUP($A343,'Exetel ExDa'!$C$2:$N$14, 3,FALSE), IFERROR(VLOOKUP($A343,'Infinet ExDa'!$B$2:$E$14, 3,FALSE), "Not Found"))))))))</f>
        <v>Not Found</v>
      </c>
      <c r="E343" t="str">
        <f>IFERROR(VLOOKUP($A343,'AAPT ExDa'!$B$2:$U$99, 3,FALSE), IFERROR(VLOOKUP($A343,'ABB ExDa'!$A$2:$N$184, 5,FALSE), IFERROR(VLOOKUP($A343,'Vocus SIT ExDa'!$B$2:$J$173, 2,FALSE), IFERROR(VLOOKUP($A343,'Telstra ExDa'!$B$2:$K$310, 4,FALSE), IFERROR(VLOOKUP($A343,'Vocus RVC ExDa'!$C$2:$R$155, 8,FALSE), IFERROR(VLOOKUP($A343,'Fusion ExDa'!$B$2:$D$16, 4,FALSE), IFERROR(VLOOKUP($A343,'Exetel ExDa'!$C$2:$N$14, 5,FALSE), IFERROR(VLOOKUP($A343,'Infinet ExDa'!$B$2:$E$14, 3,FALSE), "Not Found"))))))))</f>
        <v>Not Found</v>
      </c>
      <c r="F343" t="str">
        <f>IFERROR(VLOOKUP($A343,'AAPT ExDa'!$B$2:$U$99, 4,FALSE), IFERROR(VLOOKUP($A343,'ABB ExDa'!$A$2:$N$184, 6,FALSE), IFERROR(VLOOKUP($A343,'Vocus SIT ExDa'!$B$2:$J$173, 3,FALSE), IFERROR(VLOOKUP($A343,'Telstra ExDa'!$B$2:$K$310, 5,FALSE), IFERROR(VLOOKUP($A343,'Vocus RVC ExDa'!$C$2:$R$155, 9,FALSE), IFERROR(VLOOKUP($A343,'Fusion ExDa'!$B$2:$D$16, 0,FALSE), IFERROR(VLOOKUP($A343,'Exetel ExDa'!$C$2:$N$14, 6,FALSE), IFERROR(VLOOKUP($A343,'Infinet ExDa'!$B$2:$E$14, 0,FALSE), "Not Found"))))))))</f>
        <v>Not Found</v>
      </c>
      <c r="G343" t="str">
        <f>IFERROR(VLOOKUP($A343,'AAPT ExDa'!$B$2:$U$99, 5,FALSE), IFERROR(VLOOKUP($A343,'ABB ExDa'!$A$2:$N$184, 8,FALSE), IFERROR(VLOOKUP($A343,'Vocus SIT ExDa'!$B$2:$J$173, 6,FALSE), IFERROR(VLOOKUP($A343,'Telstra ExDa'!$B$2:$K$310, 0,FALSE), IFERROR(VLOOKUP($A343,'Vocus RVC ExDa'!$C$2:$R$155, 15,FALSE), IFERROR(VLOOKUP($A343,'Fusion ExDa'!$B$2:$D$16, 0,FALSE), IFERROR(VLOOKUP($A343,'Exetel ExDa'!$C$2:$N$14, 7,FALSE), IFERROR(VLOOKUP($A343,'Infinet ExDa'!$B$2:$E$14, 0,FALSE), "Not Found"))))))))</f>
        <v>Not Found</v>
      </c>
      <c r="H343" t="str">
        <f>IFERROR(VLOOKUP($A343,'AAPT ExDa'!$B$2:$U$99, 6,FALSE), IFERROR(VLOOKUP($A343,'ABB ExDa'!$A$2:$N$184, 0,FALSE), IFERROR(VLOOKUP($A343,'Vocus SIT ExDa'!$B$2:$J$173, 0,FALSE), IFERROR(VLOOKUP($A343,'Telstra ExDa'!$B$2:$K$310, 0,FALSE), IFERROR(VLOOKUP($A343,'Vocus RVC ExDa'!$C$2:$R$155, 16,FALSE), IFERROR(VLOOKUP($A343,'Fusion ExDa'!$B$2:$D$16, 0,FALSE), IFERROR(VLOOKUP($A343,'Exetel ExDa'!$C$2:$N$14, 0,FALSE), IFERROR(VLOOKUP($A343,'Infinet ExDa'!$B$2:$E$14, 0,FALSE), "Not Found"))))))))</f>
        <v>Not Found</v>
      </c>
      <c r="I343" t="str">
        <f>IFERROR(VLOOKUP($A343,'AAPT ExDa'!$B$2:$U$99, 0,FALSE), IFERROR(VLOOKUP($A343,'ABB ExDa'!$A$2:$N$184, 0,FALSE), IFERROR(VLOOKUP($A343,'Vocus SIT ExDa'!$B$2:$J$173, 0,FALSE), IFERROR(VLOOKUP($A343,'Telstra ExDa'!$B$2:$K$310, 0,FALSE), IFERROR(VLOOKUP($A343,'Vocus RVC ExDa'!$C$2:$R$155, 0,FALSE), IFERROR(VLOOKUP($A343,'Fusion ExDa'!$B$2:$D$16, 0,FALSE), IFERROR(VLOOKUP($A343,'Exetel ExDa'!$C$2:$N$14, 8,FALSE), IFERROR(VLOOKUP($A343,'Infinet ExDa'!$B$2:$E$14, 0,FALSE), "Not Found"))))))))</f>
        <v>Not Found</v>
      </c>
      <c r="J343" t="str">
        <f>IFERROR(VLOOKUP($A343,'AAPT ExDa'!$B$2:$U$99, 7,FALSE), IFERROR(VLOOKUP($A343,'ABB ExDa'!$A$2:$N$184, 2,FALSE), IFERROR(VLOOKUP($A343,'Vocus SIT ExDa'!$B$2:$J$173, 0,FALSE), IFERROR(VLOOKUP($A343,'Telstra ExDa'!$B$2:$K$310, 7,FALSE), IFERROR(VLOOKUP($A343,'Vocus RVC ExDa'!$C$2:$R$155, 2,FALSE), IFERROR(VLOOKUP($A343,'Fusion ExDa'!$B$2:$D$16, 3,FALSE), IFERROR(VLOOKUP($A343,'Exetel ExDa'!$C$2:$N$14, 0,FALSE), IFERROR(VLOOKUP($A343,'Infinet ExDa'!$B$2:$E$14, 0,FALSE), "Not Found"))))))))</f>
        <v>Not Found</v>
      </c>
      <c r="K343" t="str">
        <f>IFERROR(VLOOKUP($A343,'AAPT ExDa'!$B$2:$U$99, 12,FALSE), IFERROR(VLOOKUP($A343,'ABB ExDa'!$A$2:$N$184, 0,FALSE), IFERROR(VLOOKUP($A343,'Vocus SIT ExDa'!$B$2:$J$173, 0,FALSE), IFERROR(VLOOKUP($A343,'Telstra ExDa'!$B$2:$K$310, 0,FALSE), IFERROR(VLOOKUP($A343,'Vocus RVC ExDa'!$C$2:$R$155, 0,FALSE), IFERROR(VLOOKUP($A343,'Fusion ExDa'!$B$2:$D$16, 0,FALSE), IFERROR(VLOOKUP($A343,'Exetel ExDa'!$C$2:$N$14, 12,FALSE), IFERROR(VLOOKUP($A343,'Infinet ExDa'!$B$2:$E$14, 0,FALSE), "Not Found"))))))))</f>
        <v>Not Found</v>
      </c>
      <c r="L343" s="235" t="str">
        <f>IFERROR(VLOOKUP($A343,'AAPT ExDa'!$B$2:$U$99, 11,FALSE), IFERROR(VLOOKUP($A343,'ABB ExDa'!$A$2:$N$184, 9,FALSE), IFERROR(VLOOKUP($A343,'Vocus SIT ExDa'!$B$2:$J$173, 8,FALSE), IFERROR(VLOOKUP($A343,'Telstra ExDa'!$B$2:$K$310, 0,FALSE), IFERROR(VLOOKUP($A343,'Vocus RVC ExDa'!$C$2:$R$155, 0,FALSE), IFERROR(VLOOKUP($A343,'Fusion ExDa'!$B$2:$D$16, 0,FALSE), IFERROR(VLOOKUP($A343,'Exetel ExDa'!$C$2:$N$14, 9,FALSE), IFERROR(VLOOKUP($A343,'Infinet ExDa'!$B$2:$E$14, 0,FALSE), "Not Found"))))))))</f>
        <v>Not Found</v>
      </c>
      <c r="M343" s="234" t="str">
        <f>IFERROR(VLOOKUP($A343,'AAPT ExDa'!$B$2:$U$99, 0,FALSE), IFERROR(VLOOKUP($A343,'ABB ExDa'!$A$2:$N$184, 0,FALSE), IFERROR(VLOOKUP($A343,'Vocus SIT ExDa'!$B$2:$J$173, 0,FALSE), IFERROR(VLOOKUP($A343,'Telstra ExDa'!$B$2:$K$310, 0,FALSE), IFERROR(VLOOKUP($A343,'Vocus RVC ExDa'!$C$2:$R$155, 0,FALSE), IFERROR(VLOOKUP($A343,'Fusion ExDa'!$B$2:$D$16, 0,FALSE), IFERROR(VLOOKUP($A343,'Exetel ExDa'!$C$2:$N$14, 11,FALSE), IFERROR(VLOOKUP($A343,'Infinet ExDa'!$B$2:$E$14, 0,FALSE), "Not Found"))))))))</f>
        <v>Not Found</v>
      </c>
      <c r="N343" t="str">
        <f>IFERROR(VLOOKUP($A343,'AAPT ExDa'!$B$2:$U$99, 0,FALSE), IFERROR(VLOOKUP($A343,'ABB ExDa'!$A$2:$N$184, 13,FALSE), IFERROR(VLOOKUP($A343,'Vocus SIT ExDa'!$B$2:$J$173, 0,FALSE), IFERROR(VLOOKUP($A343,'Telstra ExDa'!$B$2:$K$310, 0,FALSE), IFERROR(VLOOKUP($A343,'Vocus RVC ExDa'!$C$2:$R$155, 0,FALSE), IFERROR(VLOOKUP($A343,'Fusion ExDa'!$B$2:$D$16, 0,FALSE), IFERROR(VLOOKUP($A343,'Exetel ExDa'!$C$2:$N$14, 0,FALSE), IFERROR(VLOOKUP($A343,'Infinet ExDa'!$B$2:$E$14, 0,FALSE), "Not Found"))))))))</f>
        <v>Not Found</v>
      </c>
    </row>
    <row r="344" spans="1:14">
      <c r="A344">
        <v>0</v>
      </c>
      <c r="B344" t="str">
        <f>IFERROR(VLOOKUP(A344,'Exetel ExDa'!$C$2:$N$14,4,FALSE),"No Data")</f>
        <v>No Data</v>
      </c>
      <c r="C344" t="str">
        <f>IFERROR(VLOOKUP(A344,'AAPT ExDa'!$B$2:$U$99, 2,FALSE), IFERROR(VLOOKUP(A344,'ABB ExDa'!$A$2:$N$184, 2,FALSE), IFERROR(VLOOKUP(A344,'Vocus SIT ExDa'!$B$2:$J$173, 7,FALSE), IFERROR(VLOOKUP(A344,'Telstra ExDa'!$B$2:$K$310, 2,FALSE), IFERROR(VLOOKUP(A344,'Vocus RVC ExDa'!$C$2:$R$155, 3,FALSE), IFERROR(VLOOKUP(A344,'Fusion ExDa'!$B$2:$D$16, 2,FALSE), IFERROR(VLOOKUP(A344,'Exetel ExDa'!$C$2:$N$14, 2,FALSE), IFERROR(VLOOKUP(A344,'Infinet ExDa'!$B$2:$E$14, 2,FALSE), "Not Found"))))))))</f>
        <v>Not Found</v>
      </c>
      <c r="D344" t="str">
        <f>IFERROR(VLOOKUP($A344,'AAPT ExDa'!$B$2:$U$99, 15,FALSE), IFERROR(VLOOKUP($A344,'ABB ExDa'!$A$2:$N$184, 4,FALSE), IFERROR(VLOOKUP($A344,'Vocus SIT ExDa'!$B$2:$J$173, 5,FALSE), IFERROR(VLOOKUP($A344,'Telstra ExDa'!$B$2:$K$310, 8,FALSE), IFERROR(VLOOKUP($A344,'Vocus RVC ExDa'!$C$2:$R$155, 6,FALSE), IFERROR(VLOOKUP($A344,'Fusion ExDa'!$B$2:$D$16, 4,FALSE), IFERROR(VLOOKUP($A344,'Exetel ExDa'!$C$2:$N$14, 3,FALSE), IFERROR(VLOOKUP($A344,'Infinet ExDa'!$B$2:$E$14, 3,FALSE), "Not Found"))))))))</f>
        <v>Not Found</v>
      </c>
      <c r="E344" t="str">
        <f>IFERROR(VLOOKUP($A344,'AAPT ExDa'!$B$2:$U$99, 3,FALSE), IFERROR(VLOOKUP($A344,'ABB ExDa'!$A$2:$N$184, 5,FALSE), IFERROR(VLOOKUP($A344,'Vocus SIT ExDa'!$B$2:$J$173, 2,FALSE), IFERROR(VLOOKUP($A344,'Telstra ExDa'!$B$2:$K$310, 4,FALSE), IFERROR(VLOOKUP($A344,'Vocus RVC ExDa'!$C$2:$R$155, 8,FALSE), IFERROR(VLOOKUP($A344,'Fusion ExDa'!$B$2:$D$16, 4,FALSE), IFERROR(VLOOKUP($A344,'Exetel ExDa'!$C$2:$N$14, 5,FALSE), IFERROR(VLOOKUP($A344,'Infinet ExDa'!$B$2:$E$14, 3,FALSE), "Not Found"))))))))</f>
        <v>Not Found</v>
      </c>
      <c r="F344" t="str">
        <f>IFERROR(VLOOKUP($A344,'AAPT ExDa'!$B$2:$U$99, 4,FALSE), IFERROR(VLOOKUP($A344,'ABB ExDa'!$A$2:$N$184, 6,FALSE), IFERROR(VLOOKUP($A344,'Vocus SIT ExDa'!$B$2:$J$173, 3,FALSE), IFERROR(VLOOKUP($A344,'Telstra ExDa'!$B$2:$K$310, 5,FALSE), IFERROR(VLOOKUP($A344,'Vocus RVC ExDa'!$C$2:$R$155, 9,FALSE), IFERROR(VLOOKUP($A344,'Fusion ExDa'!$B$2:$D$16, 0,FALSE), IFERROR(VLOOKUP($A344,'Exetel ExDa'!$C$2:$N$14, 6,FALSE), IFERROR(VLOOKUP($A344,'Infinet ExDa'!$B$2:$E$14, 0,FALSE), "Not Found"))))))))</f>
        <v>Not Found</v>
      </c>
      <c r="G344" t="str">
        <f>IFERROR(VLOOKUP($A344,'AAPT ExDa'!$B$2:$U$99, 5,FALSE), IFERROR(VLOOKUP($A344,'ABB ExDa'!$A$2:$N$184, 8,FALSE), IFERROR(VLOOKUP($A344,'Vocus SIT ExDa'!$B$2:$J$173, 6,FALSE), IFERROR(VLOOKUP($A344,'Telstra ExDa'!$B$2:$K$310, 0,FALSE), IFERROR(VLOOKUP($A344,'Vocus RVC ExDa'!$C$2:$R$155, 15,FALSE), IFERROR(VLOOKUP($A344,'Fusion ExDa'!$B$2:$D$16, 0,FALSE), IFERROR(VLOOKUP($A344,'Exetel ExDa'!$C$2:$N$14, 7,FALSE), IFERROR(VLOOKUP($A344,'Infinet ExDa'!$B$2:$E$14, 0,FALSE), "Not Found"))))))))</f>
        <v>Not Found</v>
      </c>
      <c r="H344" t="str">
        <f>IFERROR(VLOOKUP($A344,'AAPT ExDa'!$B$2:$U$99, 6,FALSE), IFERROR(VLOOKUP($A344,'ABB ExDa'!$A$2:$N$184, 0,FALSE), IFERROR(VLOOKUP($A344,'Vocus SIT ExDa'!$B$2:$J$173, 0,FALSE), IFERROR(VLOOKUP($A344,'Telstra ExDa'!$B$2:$K$310, 0,FALSE), IFERROR(VLOOKUP($A344,'Vocus RVC ExDa'!$C$2:$R$155, 16,FALSE), IFERROR(VLOOKUP($A344,'Fusion ExDa'!$B$2:$D$16, 0,FALSE), IFERROR(VLOOKUP($A344,'Exetel ExDa'!$C$2:$N$14, 0,FALSE), IFERROR(VLOOKUP($A344,'Infinet ExDa'!$B$2:$E$14, 0,FALSE), "Not Found"))))))))</f>
        <v>Not Found</v>
      </c>
      <c r="I344" t="str">
        <f>IFERROR(VLOOKUP($A344,'AAPT ExDa'!$B$2:$U$99, 0,FALSE), IFERROR(VLOOKUP($A344,'ABB ExDa'!$A$2:$N$184, 0,FALSE), IFERROR(VLOOKUP($A344,'Vocus SIT ExDa'!$B$2:$J$173, 0,FALSE), IFERROR(VLOOKUP($A344,'Telstra ExDa'!$B$2:$K$310, 0,FALSE), IFERROR(VLOOKUP($A344,'Vocus RVC ExDa'!$C$2:$R$155, 0,FALSE), IFERROR(VLOOKUP($A344,'Fusion ExDa'!$B$2:$D$16, 0,FALSE), IFERROR(VLOOKUP($A344,'Exetel ExDa'!$C$2:$N$14, 8,FALSE), IFERROR(VLOOKUP($A344,'Infinet ExDa'!$B$2:$E$14, 0,FALSE), "Not Found"))))))))</f>
        <v>Not Found</v>
      </c>
      <c r="J344" t="str">
        <f>IFERROR(VLOOKUP($A344,'AAPT ExDa'!$B$2:$U$99, 7,FALSE), IFERROR(VLOOKUP($A344,'ABB ExDa'!$A$2:$N$184, 2,FALSE), IFERROR(VLOOKUP($A344,'Vocus SIT ExDa'!$B$2:$J$173, 0,FALSE), IFERROR(VLOOKUP($A344,'Telstra ExDa'!$B$2:$K$310, 7,FALSE), IFERROR(VLOOKUP($A344,'Vocus RVC ExDa'!$C$2:$R$155, 2,FALSE), IFERROR(VLOOKUP($A344,'Fusion ExDa'!$B$2:$D$16, 3,FALSE), IFERROR(VLOOKUP($A344,'Exetel ExDa'!$C$2:$N$14, 0,FALSE), IFERROR(VLOOKUP($A344,'Infinet ExDa'!$B$2:$E$14, 0,FALSE), "Not Found"))))))))</f>
        <v>Not Found</v>
      </c>
      <c r="K344" t="str">
        <f>IFERROR(VLOOKUP($A344,'AAPT ExDa'!$B$2:$U$99, 12,FALSE), IFERROR(VLOOKUP($A344,'ABB ExDa'!$A$2:$N$184, 0,FALSE), IFERROR(VLOOKUP($A344,'Vocus SIT ExDa'!$B$2:$J$173, 0,FALSE), IFERROR(VLOOKUP($A344,'Telstra ExDa'!$B$2:$K$310, 0,FALSE), IFERROR(VLOOKUP($A344,'Vocus RVC ExDa'!$C$2:$R$155, 0,FALSE), IFERROR(VLOOKUP($A344,'Fusion ExDa'!$B$2:$D$16, 0,FALSE), IFERROR(VLOOKUP($A344,'Exetel ExDa'!$C$2:$N$14, 12,FALSE), IFERROR(VLOOKUP($A344,'Infinet ExDa'!$B$2:$E$14, 0,FALSE), "Not Found"))))))))</f>
        <v>Not Found</v>
      </c>
      <c r="L344" s="235" t="str">
        <f>IFERROR(VLOOKUP($A344,'AAPT ExDa'!$B$2:$U$99, 11,FALSE), IFERROR(VLOOKUP($A344,'ABB ExDa'!$A$2:$N$184, 9,FALSE), IFERROR(VLOOKUP($A344,'Vocus SIT ExDa'!$B$2:$J$173, 8,FALSE), IFERROR(VLOOKUP($A344,'Telstra ExDa'!$B$2:$K$310, 0,FALSE), IFERROR(VLOOKUP($A344,'Vocus RVC ExDa'!$C$2:$R$155, 0,FALSE), IFERROR(VLOOKUP($A344,'Fusion ExDa'!$B$2:$D$16, 0,FALSE), IFERROR(VLOOKUP($A344,'Exetel ExDa'!$C$2:$N$14, 9,FALSE), IFERROR(VLOOKUP($A344,'Infinet ExDa'!$B$2:$E$14, 0,FALSE), "Not Found"))))))))</f>
        <v>Not Found</v>
      </c>
      <c r="M344" s="234" t="str">
        <f>IFERROR(VLOOKUP($A344,'AAPT ExDa'!$B$2:$U$99, 0,FALSE), IFERROR(VLOOKUP($A344,'ABB ExDa'!$A$2:$N$184, 0,FALSE), IFERROR(VLOOKUP($A344,'Vocus SIT ExDa'!$B$2:$J$173, 0,FALSE), IFERROR(VLOOKUP($A344,'Telstra ExDa'!$B$2:$K$310, 0,FALSE), IFERROR(VLOOKUP($A344,'Vocus RVC ExDa'!$C$2:$R$155, 0,FALSE), IFERROR(VLOOKUP($A344,'Fusion ExDa'!$B$2:$D$16, 0,FALSE), IFERROR(VLOOKUP($A344,'Exetel ExDa'!$C$2:$N$14, 11,FALSE), IFERROR(VLOOKUP($A344,'Infinet ExDa'!$B$2:$E$14, 0,FALSE), "Not Found"))))))))</f>
        <v>Not Found</v>
      </c>
      <c r="N344" t="str">
        <f>IFERROR(VLOOKUP($A344,'AAPT ExDa'!$B$2:$U$99, 0,FALSE), IFERROR(VLOOKUP($A344,'ABB ExDa'!$A$2:$N$184, 13,FALSE), IFERROR(VLOOKUP($A344,'Vocus SIT ExDa'!$B$2:$J$173, 0,FALSE), IFERROR(VLOOKUP($A344,'Telstra ExDa'!$B$2:$K$310, 0,FALSE), IFERROR(VLOOKUP($A344,'Vocus RVC ExDa'!$C$2:$R$155, 0,FALSE), IFERROR(VLOOKUP($A344,'Fusion ExDa'!$B$2:$D$16, 0,FALSE), IFERROR(VLOOKUP($A344,'Exetel ExDa'!$C$2:$N$14, 0,FALSE), IFERROR(VLOOKUP($A344,'Infinet ExDa'!$B$2:$E$14, 0,FALSE), "Not Found"))))))))</f>
        <v>Not Found</v>
      </c>
    </row>
    <row r="345" spans="1:14">
      <c r="A345">
        <v>0</v>
      </c>
      <c r="B345" t="str">
        <f>IFERROR(VLOOKUP(A345,'Exetel ExDa'!$C$2:$N$14,4,FALSE),"No Data")</f>
        <v>No Data</v>
      </c>
      <c r="C345" t="str">
        <f>IFERROR(VLOOKUP(A345,'AAPT ExDa'!$B$2:$U$99, 2,FALSE), IFERROR(VLOOKUP(A345,'ABB ExDa'!$A$2:$N$184, 2,FALSE), IFERROR(VLOOKUP(A345,'Vocus SIT ExDa'!$B$2:$J$173, 7,FALSE), IFERROR(VLOOKUP(A345,'Telstra ExDa'!$B$2:$K$310, 2,FALSE), IFERROR(VLOOKUP(A345,'Vocus RVC ExDa'!$C$2:$R$155, 3,FALSE), IFERROR(VLOOKUP(A345,'Fusion ExDa'!$B$2:$D$16, 2,FALSE), IFERROR(VLOOKUP(A345,'Exetel ExDa'!$C$2:$N$14, 2,FALSE), IFERROR(VLOOKUP(A345,'Infinet ExDa'!$B$2:$E$14, 2,FALSE), "Not Found"))))))))</f>
        <v>Not Found</v>
      </c>
      <c r="D345" t="str">
        <f>IFERROR(VLOOKUP($A345,'AAPT ExDa'!$B$2:$U$99, 15,FALSE), IFERROR(VLOOKUP($A345,'ABB ExDa'!$A$2:$N$184, 4,FALSE), IFERROR(VLOOKUP($A345,'Vocus SIT ExDa'!$B$2:$J$173, 5,FALSE), IFERROR(VLOOKUP($A345,'Telstra ExDa'!$B$2:$K$310, 8,FALSE), IFERROR(VLOOKUP($A345,'Vocus RVC ExDa'!$C$2:$R$155, 6,FALSE), IFERROR(VLOOKUP($A345,'Fusion ExDa'!$B$2:$D$16, 4,FALSE), IFERROR(VLOOKUP($A345,'Exetel ExDa'!$C$2:$N$14, 3,FALSE), IFERROR(VLOOKUP($A345,'Infinet ExDa'!$B$2:$E$14, 3,FALSE), "Not Found"))))))))</f>
        <v>Not Found</v>
      </c>
      <c r="E345" t="str">
        <f>IFERROR(VLOOKUP($A345,'AAPT ExDa'!$B$2:$U$99, 3,FALSE), IFERROR(VLOOKUP($A345,'ABB ExDa'!$A$2:$N$184, 5,FALSE), IFERROR(VLOOKUP($A345,'Vocus SIT ExDa'!$B$2:$J$173, 2,FALSE), IFERROR(VLOOKUP($A345,'Telstra ExDa'!$B$2:$K$310, 4,FALSE), IFERROR(VLOOKUP($A345,'Vocus RVC ExDa'!$C$2:$R$155, 8,FALSE), IFERROR(VLOOKUP($A345,'Fusion ExDa'!$B$2:$D$16, 4,FALSE), IFERROR(VLOOKUP($A345,'Exetel ExDa'!$C$2:$N$14, 5,FALSE), IFERROR(VLOOKUP($A345,'Infinet ExDa'!$B$2:$E$14, 3,FALSE), "Not Found"))))))))</f>
        <v>Not Found</v>
      </c>
      <c r="F345" t="str">
        <f>IFERROR(VLOOKUP($A345,'AAPT ExDa'!$B$2:$U$99, 4,FALSE), IFERROR(VLOOKUP($A345,'ABB ExDa'!$A$2:$N$184, 6,FALSE), IFERROR(VLOOKUP($A345,'Vocus SIT ExDa'!$B$2:$J$173, 3,FALSE), IFERROR(VLOOKUP($A345,'Telstra ExDa'!$B$2:$K$310, 5,FALSE), IFERROR(VLOOKUP($A345,'Vocus RVC ExDa'!$C$2:$R$155, 9,FALSE), IFERROR(VLOOKUP($A345,'Fusion ExDa'!$B$2:$D$16, 0,FALSE), IFERROR(VLOOKUP($A345,'Exetel ExDa'!$C$2:$N$14, 6,FALSE), IFERROR(VLOOKUP($A345,'Infinet ExDa'!$B$2:$E$14, 0,FALSE), "Not Found"))))))))</f>
        <v>Not Found</v>
      </c>
      <c r="G345" t="str">
        <f>IFERROR(VLOOKUP($A345,'AAPT ExDa'!$B$2:$U$99, 5,FALSE), IFERROR(VLOOKUP($A345,'ABB ExDa'!$A$2:$N$184, 8,FALSE), IFERROR(VLOOKUP($A345,'Vocus SIT ExDa'!$B$2:$J$173, 6,FALSE), IFERROR(VLOOKUP($A345,'Telstra ExDa'!$B$2:$K$310, 0,FALSE), IFERROR(VLOOKUP($A345,'Vocus RVC ExDa'!$C$2:$R$155, 15,FALSE), IFERROR(VLOOKUP($A345,'Fusion ExDa'!$B$2:$D$16, 0,FALSE), IFERROR(VLOOKUP($A345,'Exetel ExDa'!$C$2:$N$14, 7,FALSE), IFERROR(VLOOKUP($A345,'Infinet ExDa'!$B$2:$E$14, 0,FALSE), "Not Found"))))))))</f>
        <v>Not Found</v>
      </c>
      <c r="H345" t="str">
        <f>IFERROR(VLOOKUP($A345,'AAPT ExDa'!$B$2:$U$99, 6,FALSE), IFERROR(VLOOKUP($A345,'ABB ExDa'!$A$2:$N$184, 0,FALSE), IFERROR(VLOOKUP($A345,'Vocus SIT ExDa'!$B$2:$J$173, 0,FALSE), IFERROR(VLOOKUP($A345,'Telstra ExDa'!$B$2:$K$310, 0,FALSE), IFERROR(VLOOKUP($A345,'Vocus RVC ExDa'!$C$2:$R$155, 16,FALSE), IFERROR(VLOOKUP($A345,'Fusion ExDa'!$B$2:$D$16, 0,FALSE), IFERROR(VLOOKUP($A345,'Exetel ExDa'!$C$2:$N$14, 0,FALSE), IFERROR(VLOOKUP($A345,'Infinet ExDa'!$B$2:$E$14, 0,FALSE), "Not Found"))))))))</f>
        <v>Not Found</v>
      </c>
      <c r="I345" t="str">
        <f>IFERROR(VLOOKUP($A345,'AAPT ExDa'!$B$2:$U$99, 0,FALSE), IFERROR(VLOOKUP($A345,'ABB ExDa'!$A$2:$N$184, 0,FALSE), IFERROR(VLOOKUP($A345,'Vocus SIT ExDa'!$B$2:$J$173, 0,FALSE), IFERROR(VLOOKUP($A345,'Telstra ExDa'!$B$2:$K$310, 0,FALSE), IFERROR(VLOOKUP($A345,'Vocus RVC ExDa'!$C$2:$R$155, 0,FALSE), IFERROR(VLOOKUP($A345,'Fusion ExDa'!$B$2:$D$16, 0,FALSE), IFERROR(VLOOKUP($A345,'Exetel ExDa'!$C$2:$N$14, 8,FALSE), IFERROR(VLOOKUP($A345,'Infinet ExDa'!$B$2:$E$14, 0,FALSE), "Not Found"))))))))</f>
        <v>Not Found</v>
      </c>
      <c r="J345" t="str">
        <f>IFERROR(VLOOKUP($A345,'AAPT ExDa'!$B$2:$U$99, 7,FALSE), IFERROR(VLOOKUP($A345,'ABB ExDa'!$A$2:$N$184, 2,FALSE), IFERROR(VLOOKUP($A345,'Vocus SIT ExDa'!$B$2:$J$173, 0,FALSE), IFERROR(VLOOKUP($A345,'Telstra ExDa'!$B$2:$K$310, 7,FALSE), IFERROR(VLOOKUP($A345,'Vocus RVC ExDa'!$C$2:$R$155, 2,FALSE), IFERROR(VLOOKUP($A345,'Fusion ExDa'!$B$2:$D$16, 3,FALSE), IFERROR(VLOOKUP($A345,'Exetel ExDa'!$C$2:$N$14, 0,FALSE), IFERROR(VLOOKUP($A345,'Infinet ExDa'!$B$2:$E$14, 0,FALSE), "Not Found"))))))))</f>
        <v>Not Found</v>
      </c>
      <c r="K345" t="str">
        <f>IFERROR(VLOOKUP($A345,'AAPT ExDa'!$B$2:$U$99, 12,FALSE), IFERROR(VLOOKUP($A345,'ABB ExDa'!$A$2:$N$184, 0,FALSE), IFERROR(VLOOKUP($A345,'Vocus SIT ExDa'!$B$2:$J$173, 0,FALSE), IFERROR(VLOOKUP($A345,'Telstra ExDa'!$B$2:$K$310, 0,FALSE), IFERROR(VLOOKUP($A345,'Vocus RVC ExDa'!$C$2:$R$155, 0,FALSE), IFERROR(VLOOKUP($A345,'Fusion ExDa'!$B$2:$D$16, 0,FALSE), IFERROR(VLOOKUP($A345,'Exetel ExDa'!$C$2:$N$14, 12,FALSE), IFERROR(VLOOKUP($A345,'Infinet ExDa'!$B$2:$E$14, 0,FALSE), "Not Found"))))))))</f>
        <v>Not Found</v>
      </c>
      <c r="L345" s="235" t="str">
        <f>IFERROR(VLOOKUP($A345,'AAPT ExDa'!$B$2:$U$99, 11,FALSE), IFERROR(VLOOKUP($A345,'ABB ExDa'!$A$2:$N$184, 9,FALSE), IFERROR(VLOOKUP($A345,'Vocus SIT ExDa'!$B$2:$J$173, 8,FALSE), IFERROR(VLOOKUP($A345,'Telstra ExDa'!$B$2:$K$310, 0,FALSE), IFERROR(VLOOKUP($A345,'Vocus RVC ExDa'!$C$2:$R$155, 0,FALSE), IFERROR(VLOOKUP($A345,'Fusion ExDa'!$B$2:$D$16, 0,FALSE), IFERROR(VLOOKUP($A345,'Exetel ExDa'!$C$2:$N$14, 9,FALSE), IFERROR(VLOOKUP($A345,'Infinet ExDa'!$B$2:$E$14, 0,FALSE), "Not Found"))))))))</f>
        <v>Not Found</v>
      </c>
      <c r="M345" s="234" t="str">
        <f>IFERROR(VLOOKUP($A345,'AAPT ExDa'!$B$2:$U$99, 0,FALSE), IFERROR(VLOOKUP($A345,'ABB ExDa'!$A$2:$N$184, 0,FALSE), IFERROR(VLOOKUP($A345,'Vocus SIT ExDa'!$B$2:$J$173, 0,FALSE), IFERROR(VLOOKUP($A345,'Telstra ExDa'!$B$2:$K$310, 0,FALSE), IFERROR(VLOOKUP($A345,'Vocus RVC ExDa'!$C$2:$R$155, 0,FALSE), IFERROR(VLOOKUP($A345,'Fusion ExDa'!$B$2:$D$16, 0,FALSE), IFERROR(VLOOKUP($A345,'Exetel ExDa'!$C$2:$N$14, 11,FALSE), IFERROR(VLOOKUP($A345,'Infinet ExDa'!$B$2:$E$14, 0,FALSE), "Not Found"))))))))</f>
        <v>Not Found</v>
      </c>
      <c r="N345" t="str">
        <f>IFERROR(VLOOKUP($A345,'AAPT ExDa'!$B$2:$U$99, 0,FALSE), IFERROR(VLOOKUP($A345,'ABB ExDa'!$A$2:$N$184, 13,FALSE), IFERROR(VLOOKUP($A345,'Vocus SIT ExDa'!$B$2:$J$173, 0,FALSE), IFERROR(VLOOKUP($A345,'Telstra ExDa'!$B$2:$K$310, 0,FALSE), IFERROR(VLOOKUP($A345,'Vocus RVC ExDa'!$C$2:$R$155, 0,FALSE), IFERROR(VLOOKUP($A345,'Fusion ExDa'!$B$2:$D$16, 0,FALSE), IFERROR(VLOOKUP($A345,'Exetel ExDa'!$C$2:$N$14, 0,FALSE), IFERROR(VLOOKUP($A345,'Infinet ExDa'!$B$2:$E$14, 0,FALSE), "Not Found"))))))))</f>
        <v>Not Found</v>
      </c>
    </row>
    <row r="346" spans="1:14">
      <c r="A346">
        <v>0</v>
      </c>
      <c r="B346" t="str">
        <f>IFERROR(VLOOKUP(A346,'Exetel ExDa'!$C$2:$N$14,4,FALSE),"No Data")</f>
        <v>No Data</v>
      </c>
      <c r="C346" t="str">
        <f>IFERROR(VLOOKUP(A346,'AAPT ExDa'!$B$2:$U$99, 2,FALSE), IFERROR(VLOOKUP(A346,'ABB ExDa'!$A$2:$N$184, 2,FALSE), IFERROR(VLOOKUP(A346,'Vocus SIT ExDa'!$B$2:$J$173, 7,FALSE), IFERROR(VLOOKUP(A346,'Telstra ExDa'!$B$2:$K$310, 2,FALSE), IFERROR(VLOOKUP(A346,'Vocus RVC ExDa'!$C$2:$R$155, 3,FALSE), IFERROR(VLOOKUP(A346,'Fusion ExDa'!$B$2:$D$16, 2,FALSE), IFERROR(VLOOKUP(A346,'Exetel ExDa'!$C$2:$N$14, 2,FALSE), IFERROR(VLOOKUP(A346,'Infinet ExDa'!$B$2:$E$14, 2,FALSE), "Not Found"))))))))</f>
        <v>Not Found</v>
      </c>
      <c r="D346" t="str">
        <f>IFERROR(VLOOKUP($A346,'AAPT ExDa'!$B$2:$U$99, 15,FALSE), IFERROR(VLOOKUP($A346,'ABB ExDa'!$A$2:$N$184, 4,FALSE), IFERROR(VLOOKUP($A346,'Vocus SIT ExDa'!$B$2:$J$173, 5,FALSE), IFERROR(VLOOKUP($A346,'Telstra ExDa'!$B$2:$K$310, 8,FALSE), IFERROR(VLOOKUP($A346,'Vocus RVC ExDa'!$C$2:$R$155, 6,FALSE), IFERROR(VLOOKUP($A346,'Fusion ExDa'!$B$2:$D$16, 4,FALSE), IFERROR(VLOOKUP($A346,'Exetel ExDa'!$C$2:$N$14, 3,FALSE), IFERROR(VLOOKUP($A346,'Infinet ExDa'!$B$2:$E$14, 3,FALSE), "Not Found"))))))))</f>
        <v>Not Found</v>
      </c>
      <c r="E346" t="str">
        <f>IFERROR(VLOOKUP($A346,'AAPT ExDa'!$B$2:$U$99, 3,FALSE), IFERROR(VLOOKUP($A346,'ABB ExDa'!$A$2:$N$184, 5,FALSE), IFERROR(VLOOKUP($A346,'Vocus SIT ExDa'!$B$2:$J$173, 2,FALSE), IFERROR(VLOOKUP($A346,'Telstra ExDa'!$B$2:$K$310, 4,FALSE), IFERROR(VLOOKUP($A346,'Vocus RVC ExDa'!$C$2:$R$155, 8,FALSE), IFERROR(VLOOKUP($A346,'Fusion ExDa'!$B$2:$D$16, 4,FALSE), IFERROR(VLOOKUP($A346,'Exetel ExDa'!$C$2:$N$14, 5,FALSE), IFERROR(VLOOKUP($A346,'Infinet ExDa'!$B$2:$E$14, 3,FALSE), "Not Found"))))))))</f>
        <v>Not Found</v>
      </c>
      <c r="F346" t="str">
        <f>IFERROR(VLOOKUP($A346,'AAPT ExDa'!$B$2:$U$99, 4,FALSE), IFERROR(VLOOKUP($A346,'ABB ExDa'!$A$2:$N$184, 6,FALSE), IFERROR(VLOOKUP($A346,'Vocus SIT ExDa'!$B$2:$J$173, 3,FALSE), IFERROR(VLOOKUP($A346,'Telstra ExDa'!$B$2:$K$310, 5,FALSE), IFERROR(VLOOKUP($A346,'Vocus RVC ExDa'!$C$2:$R$155, 9,FALSE), IFERROR(VLOOKUP($A346,'Fusion ExDa'!$B$2:$D$16, 0,FALSE), IFERROR(VLOOKUP($A346,'Exetel ExDa'!$C$2:$N$14, 6,FALSE), IFERROR(VLOOKUP($A346,'Infinet ExDa'!$B$2:$E$14, 0,FALSE), "Not Found"))))))))</f>
        <v>Not Found</v>
      </c>
      <c r="G346" t="str">
        <f>IFERROR(VLOOKUP($A346,'AAPT ExDa'!$B$2:$U$99, 5,FALSE), IFERROR(VLOOKUP($A346,'ABB ExDa'!$A$2:$N$184, 8,FALSE), IFERROR(VLOOKUP($A346,'Vocus SIT ExDa'!$B$2:$J$173, 6,FALSE), IFERROR(VLOOKUP($A346,'Telstra ExDa'!$B$2:$K$310, 0,FALSE), IFERROR(VLOOKUP($A346,'Vocus RVC ExDa'!$C$2:$R$155, 15,FALSE), IFERROR(VLOOKUP($A346,'Fusion ExDa'!$B$2:$D$16, 0,FALSE), IFERROR(VLOOKUP($A346,'Exetel ExDa'!$C$2:$N$14, 7,FALSE), IFERROR(VLOOKUP($A346,'Infinet ExDa'!$B$2:$E$14, 0,FALSE), "Not Found"))))))))</f>
        <v>Not Found</v>
      </c>
      <c r="H346" t="str">
        <f>IFERROR(VLOOKUP($A346,'AAPT ExDa'!$B$2:$U$99, 6,FALSE), IFERROR(VLOOKUP($A346,'ABB ExDa'!$A$2:$N$184, 0,FALSE), IFERROR(VLOOKUP($A346,'Vocus SIT ExDa'!$B$2:$J$173, 0,FALSE), IFERROR(VLOOKUP($A346,'Telstra ExDa'!$B$2:$K$310, 0,FALSE), IFERROR(VLOOKUP($A346,'Vocus RVC ExDa'!$C$2:$R$155, 16,FALSE), IFERROR(VLOOKUP($A346,'Fusion ExDa'!$B$2:$D$16, 0,FALSE), IFERROR(VLOOKUP($A346,'Exetel ExDa'!$C$2:$N$14, 0,FALSE), IFERROR(VLOOKUP($A346,'Infinet ExDa'!$B$2:$E$14, 0,FALSE), "Not Found"))))))))</f>
        <v>Not Found</v>
      </c>
      <c r="I346" t="str">
        <f>IFERROR(VLOOKUP($A346,'AAPT ExDa'!$B$2:$U$99, 0,FALSE), IFERROR(VLOOKUP($A346,'ABB ExDa'!$A$2:$N$184, 0,FALSE), IFERROR(VLOOKUP($A346,'Vocus SIT ExDa'!$B$2:$J$173, 0,FALSE), IFERROR(VLOOKUP($A346,'Telstra ExDa'!$B$2:$K$310, 0,FALSE), IFERROR(VLOOKUP($A346,'Vocus RVC ExDa'!$C$2:$R$155, 0,FALSE), IFERROR(VLOOKUP($A346,'Fusion ExDa'!$B$2:$D$16, 0,FALSE), IFERROR(VLOOKUP($A346,'Exetel ExDa'!$C$2:$N$14, 8,FALSE), IFERROR(VLOOKUP($A346,'Infinet ExDa'!$B$2:$E$14, 0,FALSE), "Not Found"))))))))</f>
        <v>Not Found</v>
      </c>
      <c r="J346" t="str">
        <f>IFERROR(VLOOKUP($A346,'AAPT ExDa'!$B$2:$U$99, 7,FALSE), IFERROR(VLOOKUP($A346,'ABB ExDa'!$A$2:$N$184, 2,FALSE), IFERROR(VLOOKUP($A346,'Vocus SIT ExDa'!$B$2:$J$173, 0,FALSE), IFERROR(VLOOKUP($A346,'Telstra ExDa'!$B$2:$K$310, 7,FALSE), IFERROR(VLOOKUP($A346,'Vocus RVC ExDa'!$C$2:$R$155, 2,FALSE), IFERROR(VLOOKUP($A346,'Fusion ExDa'!$B$2:$D$16, 3,FALSE), IFERROR(VLOOKUP($A346,'Exetel ExDa'!$C$2:$N$14, 0,FALSE), IFERROR(VLOOKUP($A346,'Infinet ExDa'!$B$2:$E$14, 0,FALSE), "Not Found"))))))))</f>
        <v>Not Found</v>
      </c>
      <c r="K346" t="str">
        <f>IFERROR(VLOOKUP($A346,'AAPT ExDa'!$B$2:$U$99, 12,FALSE), IFERROR(VLOOKUP($A346,'ABB ExDa'!$A$2:$N$184, 0,FALSE), IFERROR(VLOOKUP($A346,'Vocus SIT ExDa'!$B$2:$J$173, 0,FALSE), IFERROR(VLOOKUP($A346,'Telstra ExDa'!$B$2:$K$310, 0,FALSE), IFERROR(VLOOKUP($A346,'Vocus RVC ExDa'!$C$2:$R$155, 0,FALSE), IFERROR(VLOOKUP($A346,'Fusion ExDa'!$B$2:$D$16, 0,FALSE), IFERROR(VLOOKUP($A346,'Exetel ExDa'!$C$2:$N$14, 12,FALSE), IFERROR(VLOOKUP($A346,'Infinet ExDa'!$B$2:$E$14, 0,FALSE), "Not Found"))))))))</f>
        <v>Not Found</v>
      </c>
      <c r="L346" s="235" t="str">
        <f>IFERROR(VLOOKUP($A346,'AAPT ExDa'!$B$2:$U$99, 11,FALSE), IFERROR(VLOOKUP($A346,'ABB ExDa'!$A$2:$N$184, 9,FALSE), IFERROR(VLOOKUP($A346,'Vocus SIT ExDa'!$B$2:$J$173, 8,FALSE), IFERROR(VLOOKUP($A346,'Telstra ExDa'!$B$2:$K$310, 0,FALSE), IFERROR(VLOOKUP($A346,'Vocus RVC ExDa'!$C$2:$R$155, 0,FALSE), IFERROR(VLOOKUP($A346,'Fusion ExDa'!$B$2:$D$16, 0,FALSE), IFERROR(VLOOKUP($A346,'Exetel ExDa'!$C$2:$N$14, 9,FALSE), IFERROR(VLOOKUP($A346,'Infinet ExDa'!$B$2:$E$14, 0,FALSE), "Not Found"))))))))</f>
        <v>Not Found</v>
      </c>
      <c r="M346" s="234" t="str">
        <f>IFERROR(VLOOKUP($A346,'AAPT ExDa'!$B$2:$U$99, 0,FALSE), IFERROR(VLOOKUP($A346,'ABB ExDa'!$A$2:$N$184, 0,FALSE), IFERROR(VLOOKUP($A346,'Vocus SIT ExDa'!$B$2:$J$173, 0,FALSE), IFERROR(VLOOKUP($A346,'Telstra ExDa'!$B$2:$K$310, 0,FALSE), IFERROR(VLOOKUP($A346,'Vocus RVC ExDa'!$C$2:$R$155, 0,FALSE), IFERROR(VLOOKUP($A346,'Fusion ExDa'!$B$2:$D$16, 0,FALSE), IFERROR(VLOOKUP($A346,'Exetel ExDa'!$C$2:$N$14, 11,FALSE), IFERROR(VLOOKUP($A346,'Infinet ExDa'!$B$2:$E$14, 0,FALSE), "Not Found"))))))))</f>
        <v>Not Found</v>
      </c>
      <c r="N346" t="str">
        <f>IFERROR(VLOOKUP($A346,'AAPT ExDa'!$B$2:$U$99, 0,FALSE), IFERROR(VLOOKUP($A346,'ABB ExDa'!$A$2:$N$184, 13,FALSE), IFERROR(VLOOKUP($A346,'Vocus SIT ExDa'!$B$2:$J$173, 0,FALSE), IFERROR(VLOOKUP($A346,'Telstra ExDa'!$B$2:$K$310, 0,FALSE), IFERROR(VLOOKUP($A346,'Vocus RVC ExDa'!$C$2:$R$155, 0,FALSE), IFERROR(VLOOKUP($A346,'Fusion ExDa'!$B$2:$D$16, 0,FALSE), IFERROR(VLOOKUP($A346,'Exetel ExDa'!$C$2:$N$14, 0,FALSE), IFERROR(VLOOKUP($A346,'Infinet ExDa'!$B$2:$E$14, 0,FALSE), "Not Found"))))))))</f>
        <v>Not Found</v>
      </c>
    </row>
    <row r="347" spans="1:14">
      <c r="A347">
        <v>0</v>
      </c>
      <c r="B347" t="str">
        <f>IFERROR(VLOOKUP(A347,'Exetel ExDa'!$C$2:$N$14,4,FALSE),"No Data")</f>
        <v>No Data</v>
      </c>
      <c r="C347" t="str">
        <f>IFERROR(VLOOKUP(A347,'AAPT ExDa'!$B$2:$U$99, 2,FALSE), IFERROR(VLOOKUP(A347,'ABB ExDa'!$A$2:$N$184, 2,FALSE), IFERROR(VLOOKUP(A347,'Vocus SIT ExDa'!$B$2:$J$173, 7,FALSE), IFERROR(VLOOKUP(A347,'Telstra ExDa'!$B$2:$K$310, 2,FALSE), IFERROR(VLOOKUP(A347,'Vocus RVC ExDa'!$C$2:$R$155, 3,FALSE), IFERROR(VLOOKUP(A347,'Fusion ExDa'!$B$2:$D$16, 2,FALSE), IFERROR(VLOOKUP(A347,'Exetel ExDa'!$C$2:$N$14, 2,FALSE), IFERROR(VLOOKUP(A347,'Infinet ExDa'!$B$2:$E$14, 2,FALSE), "Not Found"))))))))</f>
        <v>Not Found</v>
      </c>
      <c r="D347" t="str">
        <f>IFERROR(VLOOKUP($A347,'AAPT ExDa'!$B$2:$U$99, 15,FALSE), IFERROR(VLOOKUP($A347,'ABB ExDa'!$A$2:$N$184, 4,FALSE), IFERROR(VLOOKUP($A347,'Vocus SIT ExDa'!$B$2:$J$173, 5,FALSE), IFERROR(VLOOKUP($A347,'Telstra ExDa'!$B$2:$K$310, 8,FALSE), IFERROR(VLOOKUP($A347,'Vocus RVC ExDa'!$C$2:$R$155, 6,FALSE), IFERROR(VLOOKUP($A347,'Fusion ExDa'!$B$2:$D$16, 4,FALSE), IFERROR(VLOOKUP($A347,'Exetel ExDa'!$C$2:$N$14, 3,FALSE), IFERROR(VLOOKUP($A347,'Infinet ExDa'!$B$2:$E$14, 3,FALSE), "Not Found"))))))))</f>
        <v>Not Found</v>
      </c>
      <c r="E347" t="str">
        <f>IFERROR(VLOOKUP($A347,'AAPT ExDa'!$B$2:$U$99, 3,FALSE), IFERROR(VLOOKUP($A347,'ABB ExDa'!$A$2:$N$184, 5,FALSE), IFERROR(VLOOKUP($A347,'Vocus SIT ExDa'!$B$2:$J$173, 2,FALSE), IFERROR(VLOOKUP($A347,'Telstra ExDa'!$B$2:$K$310, 4,FALSE), IFERROR(VLOOKUP($A347,'Vocus RVC ExDa'!$C$2:$R$155, 8,FALSE), IFERROR(VLOOKUP($A347,'Fusion ExDa'!$B$2:$D$16, 4,FALSE), IFERROR(VLOOKUP($A347,'Exetel ExDa'!$C$2:$N$14, 5,FALSE), IFERROR(VLOOKUP($A347,'Infinet ExDa'!$B$2:$E$14, 3,FALSE), "Not Found"))))))))</f>
        <v>Not Found</v>
      </c>
      <c r="F347" t="str">
        <f>IFERROR(VLOOKUP($A347,'AAPT ExDa'!$B$2:$U$99, 4,FALSE), IFERROR(VLOOKUP($A347,'ABB ExDa'!$A$2:$N$184, 6,FALSE), IFERROR(VLOOKUP($A347,'Vocus SIT ExDa'!$B$2:$J$173, 3,FALSE), IFERROR(VLOOKUP($A347,'Telstra ExDa'!$B$2:$K$310, 5,FALSE), IFERROR(VLOOKUP($A347,'Vocus RVC ExDa'!$C$2:$R$155, 9,FALSE), IFERROR(VLOOKUP($A347,'Fusion ExDa'!$B$2:$D$16, 0,FALSE), IFERROR(VLOOKUP($A347,'Exetel ExDa'!$C$2:$N$14, 6,FALSE), IFERROR(VLOOKUP($A347,'Infinet ExDa'!$B$2:$E$14, 0,FALSE), "Not Found"))))))))</f>
        <v>Not Found</v>
      </c>
      <c r="G347" t="str">
        <f>IFERROR(VLOOKUP($A347,'AAPT ExDa'!$B$2:$U$99, 5,FALSE), IFERROR(VLOOKUP($A347,'ABB ExDa'!$A$2:$N$184, 8,FALSE), IFERROR(VLOOKUP($A347,'Vocus SIT ExDa'!$B$2:$J$173, 6,FALSE), IFERROR(VLOOKUP($A347,'Telstra ExDa'!$B$2:$K$310, 0,FALSE), IFERROR(VLOOKUP($A347,'Vocus RVC ExDa'!$C$2:$R$155, 15,FALSE), IFERROR(VLOOKUP($A347,'Fusion ExDa'!$B$2:$D$16, 0,FALSE), IFERROR(VLOOKUP($A347,'Exetel ExDa'!$C$2:$N$14, 7,FALSE), IFERROR(VLOOKUP($A347,'Infinet ExDa'!$B$2:$E$14, 0,FALSE), "Not Found"))))))))</f>
        <v>Not Found</v>
      </c>
      <c r="H347" t="str">
        <f>IFERROR(VLOOKUP($A347,'AAPT ExDa'!$B$2:$U$99, 6,FALSE), IFERROR(VLOOKUP($A347,'ABB ExDa'!$A$2:$N$184, 0,FALSE), IFERROR(VLOOKUP($A347,'Vocus SIT ExDa'!$B$2:$J$173, 0,FALSE), IFERROR(VLOOKUP($A347,'Telstra ExDa'!$B$2:$K$310, 0,FALSE), IFERROR(VLOOKUP($A347,'Vocus RVC ExDa'!$C$2:$R$155, 16,FALSE), IFERROR(VLOOKUP($A347,'Fusion ExDa'!$B$2:$D$16, 0,FALSE), IFERROR(VLOOKUP($A347,'Exetel ExDa'!$C$2:$N$14, 0,FALSE), IFERROR(VLOOKUP($A347,'Infinet ExDa'!$B$2:$E$14, 0,FALSE), "Not Found"))))))))</f>
        <v>Not Found</v>
      </c>
      <c r="I347" t="str">
        <f>IFERROR(VLOOKUP($A347,'AAPT ExDa'!$B$2:$U$99, 0,FALSE), IFERROR(VLOOKUP($A347,'ABB ExDa'!$A$2:$N$184, 0,FALSE), IFERROR(VLOOKUP($A347,'Vocus SIT ExDa'!$B$2:$J$173, 0,FALSE), IFERROR(VLOOKUP($A347,'Telstra ExDa'!$B$2:$K$310, 0,FALSE), IFERROR(VLOOKUP($A347,'Vocus RVC ExDa'!$C$2:$R$155, 0,FALSE), IFERROR(VLOOKUP($A347,'Fusion ExDa'!$B$2:$D$16, 0,FALSE), IFERROR(VLOOKUP($A347,'Exetel ExDa'!$C$2:$N$14, 8,FALSE), IFERROR(VLOOKUP($A347,'Infinet ExDa'!$B$2:$E$14, 0,FALSE), "Not Found"))))))))</f>
        <v>Not Found</v>
      </c>
      <c r="J347" t="str">
        <f>IFERROR(VLOOKUP($A347,'AAPT ExDa'!$B$2:$U$99, 7,FALSE), IFERROR(VLOOKUP($A347,'ABB ExDa'!$A$2:$N$184, 2,FALSE), IFERROR(VLOOKUP($A347,'Vocus SIT ExDa'!$B$2:$J$173, 0,FALSE), IFERROR(VLOOKUP($A347,'Telstra ExDa'!$B$2:$K$310, 7,FALSE), IFERROR(VLOOKUP($A347,'Vocus RVC ExDa'!$C$2:$R$155, 2,FALSE), IFERROR(VLOOKUP($A347,'Fusion ExDa'!$B$2:$D$16, 3,FALSE), IFERROR(VLOOKUP($A347,'Exetel ExDa'!$C$2:$N$14, 0,FALSE), IFERROR(VLOOKUP($A347,'Infinet ExDa'!$B$2:$E$14, 0,FALSE), "Not Found"))))))))</f>
        <v>Not Found</v>
      </c>
      <c r="K347" t="str">
        <f>IFERROR(VLOOKUP($A347,'AAPT ExDa'!$B$2:$U$99, 12,FALSE), IFERROR(VLOOKUP($A347,'ABB ExDa'!$A$2:$N$184, 0,FALSE), IFERROR(VLOOKUP($A347,'Vocus SIT ExDa'!$B$2:$J$173, 0,FALSE), IFERROR(VLOOKUP($A347,'Telstra ExDa'!$B$2:$K$310, 0,FALSE), IFERROR(VLOOKUP($A347,'Vocus RVC ExDa'!$C$2:$R$155, 0,FALSE), IFERROR(VLOOKUP($A347,'Fusion ExDa'!$B$2:$D$16, 0,FALSE), IFERROR(VLOOKUP($A347,'Exetel ExDa'!$C$2:$N$14, 12,FALSE), IFERROR(VLOOKUP($A347,'Infinet ExDa'!$B$2:$E$14, 0,FALSE), "Not Found"))))))))</f>
        <v>Not Found</v>
      </c>
      <c r="L347" s="235" t="str">
        <f>IFERROR(VLOOKUP($A347,'AAPT ExDa'!$B$2:$U$99, 11,FALSE), IFERROR(VLOOKUP($A347,'ABB ExDa'!$A$2:$N$184, 9,FALSE), IFERROR(VLOOKUP($A347,'Vocus SIT ExDa'!$B$2:$J$173, 8,FALSE), IFERROR(VLOOKUP($A347,'Telstra ExDa'!$B$2:$K$310, 0,FALSE), IFERROR(VLOOKUP($A347,'Vocus RVC ExDa'!$C$2:$R$155, 0,FALSE), IFERROR(VLOOKUP($A347,'Fusion ExDa'!$B$2:$D$16, 0,FALSE), IFERROR(VLOOKUP($A347,'Exetel ExDa'!$C$2:$N$14, 9,FALSE), IFERROR(VLOOKUP($A347,'Infinet ExDa'!$B$2:$E$14, 0,FALSE), "Not Found"))))))))</f>
        <v>Not Found</v>
      </c>
      <c r="M347" s="234" t="str">
        <f>IFERROR(VLOOKUP($A347,'AAPT ExDa'!$B$2:$U$99, 0,FALSE), IFERROR(VLOOKUP($A347,'ABB ExDa'!$A$2:$N$184, 0,FALSE), IFERROR(VLOOKUP($A347,'Vocus SIT ExDa'!$B$2:$J$173, 0,FALSE), IFERROR(VLOOKUP($A347,'Telstra ExDa'!$B$2:$K$310, 0,FALSE), IFERROR(VLOOKUP($A347,'Vocus RVC ExDa'!$C$2:$R$155, 0,FALSE), IFERROR(VLOOKUP($A347,'Fusion ExDa'!$B$2:$D$16, 0,FALSE), IFERROR(VLOOKUP($A347,'Exetel ExDa'!$C$2:$N$14, 11,FALSE), IFERROR(VLOOKUP($A347,'Infinet ExDa'!$B$2:$E$14, 0,FALSE), "Not Found"))))))))</f>
        <v>Not Found</v>
      </c>
      <c r="N347" t="str">
        <f>IFERROR(VLOOKUP($A347,'AAPT ExDa'!$B$2:$U$99, 0,FALSE), IFERROR(VLOOKUP($A347,'ABB ExDa'!$A$2:$N$184, 13,FALSE), IFERROR(VLOOKUP($A347,'Vocus SIT ExDa'!$B$2:$J$173, 0,FALSE), IFERROR(VLOOKUP($A347,'Telstra ExDa'!$B$2:$K$310, 0,FALSE), IFERROR(VLOOKUP($A347,'Vocus RVC ExDa'!$C$2:$R$155, 0,FALSE), IFERROR(VLOOKUP($A347,'Fusion ExDa'!$B$2:$D$16, 0,FALSE), IFERROR(VLOOKUP($A347,'Exetel ExDa'!$C$2:$N$14, 0,FALSE), IFERROR(VLOOKUP($A347,'Infinet ExDa'!$B$2:$E$14, 0,FALSE), "Not Found"))))))))</f>
        <v>Not Found</v>
      </c>
    </row>
    <row r="348" spans="1:14">
      <c r="A348" t="str">
        <v>River City Maintenance</v>
      </c>
      <c r="B348" t="str">
        <f>IFERROR(VLOOKUP(A348,'Exetel ExDa'!$C$2:$N$14,4,FALSE),"No Data")</f>
        <v>No Data</v>
      </c>
      <c r="C348">
        <f>IFERROR(VLOOKUP(A348,'AAPT ExDa'!$B$2:$U$99, 2,FALSE), IFERROR(VLOOKUP(A348,'ABB ExDa'!$A$2:$N$184, 2,FALSE), IFERROR(VLOOKUP(A348,'Vocus SIT ExDa'!$B$2:$J$173, 7,FALSE), IFERROR(VLOOKUP(A348,'Telstra ExDa'!$B$2:$K$310, 2,FALSE), IFERROR(VLOOKUP(A348,'Vocus RVC ExDa'!$C$2:$R$155, 3,FALSE), IFERROR(VLOOKUP(A348,'Fusion ExDa'!$B$2:$D$16, 2,FALSE), IFERROR(VLOOKUP(A348,'Exetel ExDa'!$C$2:$N$14, 2,FALSE), IFERROR(VLOOKUP(A348,'Infinet ExDa'!$B$2:$E$14, 2,FALSE), "Not Found"))))))))</f>
        <v>0</v>
      </c>
      <c r="D348" t="str">
        <f>IFERROR(VLOOKUP($A348,'AAPT ExDa'!$B$2:$U$99, 15,FALSE), IFERROR(VLOOKUP($A348,'ABB ExDa'!$A$2:$N$184, 4,FALSE), IFERROR(VLOOKUP($A348,'Vocus SIT ExDa'!$B$2:$J$173, 5,FALSE), IFERROR(VLOOKUP($A348,'Telstra ExDa'!$B$2:$K$310, 8,FALSE), IFERROR(VLOOKUP($A348,'Vocus RVC ExDa'!$C$2:$R$155, 6,FALSE), IFERROR(VLOOKUP($A348,'Fusion ExDa'!$B$2:$D$16, 4,FALSE), IFERROR(VLOOKUP($A348,'Exetel ExDa'!$C$2:$N$14, 3,FALSE), IFERROR(VLOOKUP($A348,'Infinet ExDa'!$B$2:$E$14, 3,FALSE), "Not Found"))))))))</f>
        <v>AAPT</v>
      </c>
      <c r="E348" t="str">
        <f>IFERROR(VLOOKUP($A348,'AAPT ExDa'!$B$2:$U$99, 3,FALSE), IFERROR(VLOOKUP($A348,'ABB ExDa'!$A$2:$N$184, 5,FALSE), IFERROR(VLOOKUP($A348,'Vocus SIT ExDa'!$B$2:$J$173, 2,FALSE), IFERROR(VLOOKUP($A348,'Telstra ExDa'!$B$2:$K$310, 4,FALSE), IFERROR(VLOOKUP($A348,'Vocus RVC ExDa'!$C$2:$R$155, 8,FALSE), IFERROR(VLOOKUP($A348,'Fusion ExDa'!$B$2:$D$16, 4,FALSE), IFERROR(VLOOKUP($A348,'Exetel ExDa'!$C$2:$N$14, 5,FALSE), IFERROR(VLOOKUP($A348,'Infinet ExDa'!$B$2:$E$14, 3,FALSE), "Not Found"))))))))</f>
        <v>IP-Line</v>
      </c>
      <c r="F348" t="str">
        <f>IFERROR(VLOOKUP($A348,'AAPT ExDa'!$B$2:$U$99, 4,FALSE), IFERROR(VLOOKUP($A348,'ABB ExDa'!$A$2:$N$184, 6,FALSE), IFERROR(VLOOKUP($A348,'Vocus SIT ExDa'!$B$2:$J$173, 3,FALSE), IFERROR(VLOOKUP($A348,'Telstra ExDa'!$B$2:$K$310, 5,FALSE), IFERROR(VLOOKUP($A348,'Vocus RVC ExDa'!$C$2:$R$155, 9,FALSE), IFERROR(VLOOKUP($A348,'Fusion ExDa'!$B$2:$D$16, 0,FALSE), IFERROR(VLOOKUP($A348,'Exetel ExDa'!$C$2:$N$14, 6,FALSE), IFERROR(VLOOKUP($A348,'Infinet ExDa'!$B$2:$E$14, 0,FALSE), "Not Found"))))))))</f>
        <v>IP-Line Link</v>
      </c>
      <c r="G348" t="str">
        <f>IFERROR(VLOOKUP($A348,'AAPT ExDa'!$B$2:$U$99, 5,FALSE), IFERROR(VLOOKUP($A348,'ABB ExDa'!$A$2:$N$184, 8,FALSE), IFERROR(VLOOKUP($A348,'Vocus SIT ExDa'!$B$2:$J$173, 6,FALSE), IFERROR(VLOOKUP($A348,'Telstra ExDa'!$B$2:$K$310, 0,FALSE), IFERROR(VLOOKUP($A348,'Vocus RVC ExDa'!$C$2:$R$155, 15,FALSE), IFERROR(VLOOKUP($A348,'Fusion ExDa'!$B$2:$D$16, 0,FALSE), IFERROR(VLOOKUP($A348,'Exetel ExDa'!$C$2:$N$14, 7,FALSE), IFERROR(VLOOKUP($A348,'Infinet ExDa'!$B$2:$E$14, 0,FALSE), "Not Found"))))))))</f>
        <v>Connecting IP-Line 6023265 to Access 1822685</v>
      </c>
      <c r="H348" t="str">
        <f>IFERROR(VLOOKUP($A348,'AAPT ExDa'!$B$2:$U$99, 6,FALSE), IFERROR(VLOOKUP($A348,'ABB ExDa'!$A$2:$N$184, 0,FALSE), IFERROR(VLOOKUP($A348,'Vocus SIT ExDa'!$B$2:$J$173, 0,FALSE), IFERROR(VLOOKUP($A348,'Telstra ExDa'!$B$2:$K$310, 0,FALSE), IFERROR(VLOOKUP($A348,'Vocus RVC ExDa'!$C$2:$R$155, 16,FALSE), IFERROR(VLOOKUP($A348,'Fusion ExDa'!$B$2:$D$16, 0,FALSE), IFERROR(VLOOKUP($A348,'Exetel ExDa'!$C$2:$N$14, 0,FALSE), IFERROR(VLOOKUP($A348,'Infinet ExDa'!$B$2:$E$14, 0,FALSE), "Not Found"))))))))</f>
        <v>Up to 100/40Mbps; AVC ID:AVC000109675882</v>
      </c>
      <c r="I348" t="str">
        <f>IFERROR(VLOOKUP($A348,'AAPT ExDa'!$B$2:$U$99, 0,FALSE), IFERROR(VLOOKUP($A348,'ABB ExDa'!$A$2:$N$184, 0,FALSE), IFERROR(VLOOKUP($A348,'Vocus SIT ExDa'!$B$2:$J$173, 0,FALSE), IFERROR(VLOOKUP($A348,'Telstra ExDa'!$B$2:$K$310, 0,FALSE), IFERROR(VLOOKUP($A348,'Vocus RVC ExDa'!$C$2:$R$155, 0,FALSE), IFERROR(VLOOKUP($A348,'Fusion ExDa'!$B$2:$D$16, 0,FALSE), IFERROR(VLOOKUP($A348,'Exetel ExDa'!$C$2:$N$14, 8,FALSE), IFERROR(VLOOKUP($A348,'Infinet ExDa'!$B$2:$E$14, 0,FALSE), "Not Found"))))))))</f>
        <v>Not Found</v>
      </c>
      <c r="J348" t="str">
        <f>IFERROR(VLOOKUP($A348,'AAPT ExDa'!$B$2:$U$99, 7,FALSE), IFERROR(VLOOKUP($A348,'ABB ExDa'!$A$2:$N$184, 2,FALSE), IFERROR(VLOOKUP($A348,'Vocus SIT ExDa'!$B$2:$J$173, 0,FALSE), IFERROR(VLOOKUP($A348,'Telstra ExDa'!$B$2:$K$310, 7,FALSE), IFERROR(VLOOKUP($A348,'Vocus RVC ExDa'!$C$2:$R$155, 2,FALSE), IFERROR(VLOOKUP($A348,'Fusion ExDa'!$B$2:$D$16, 3,FALSE), IFERROR(VLOOKUP($A348,'Exetel ExDa'!$C$2:$N$14, 0,FALSE), IFERROR(VLOOKUP($A348,'Infinet ExDa'!$B$2:$E$14, 0,FALSE), "Not Found"))))))))</f>
        <v>AVC000109675882</v>
      </c>
      <c r="K348" t="str">
        <f>IFERROR(VLOOKUP($A348,'AAPT ExDa'!$B$2:$U$99, 12,FALSE), IFERROR(VLOOKUP($A348,'ABB ExDa'!$A$2:$N$184, 0,FALSE), IFERROR(VLOOKUP($A348,'Vocus SIT ExDa'!$B$2:$J$173, 0,FALSE), IFERROR(VLOOKUP($A348,'Telstra ExDa'!$B$2:$K$310, 0,FALSE), IFERROR(VLOOKUP($A348,'Vocus RVC ExDa'!$C$2:$R$155, 0,FALSE), IFERROR(VLOOKUP($A348,'Fusion ExDa'!$B$2:$D$16, 0,FALSE), IFERROR(VLOOKUP($A348,'Exetel ExDa'!$C$2:$N$14, 12,FALSE), IFERROR(VLOOKUP($A348,'Infinet ExDa'!$B$2:$E$14, 0,FALSE), "Not Found"))))))))</f>
        <v>12 Months</v>
      </c>
      <c r="L348" s="235">
        <f>IFERROR(VLOOKUP($A348,'AAPT ExDa'!$B$2:$U$99, 11,FALSE), IFERROR(VLOOKUP($A348,'ABB ExDa'!$A$2:$N$184, 9,FALSE), IFERROR(VLOOKUP($A348,'Vocus SIT ExDa'!$B$2:$J$173, 8,FALSE), IFERROR(VLOOKUP($A348,'Telstra ExDa'!$B$2:$K$310, 0,FALSE), IFERROR(VLOOKUP($A348,'Vocus RVC ExDa'!$C$2:$R$155, 0,FALSE), IFERROR(VLOOKUP($A348,'Fusion ExDa'!$B$2:$D$16, 0,FALSE), IFERROR(VLOOKUP($A348,'Exetel ExDa'!$C$2:$N$14, 9,FALSE), IFERROR(VLOOKUP($A348,'Infinet ExDa'!$B$2:$E$14, 0,FALSE), "Not Found"))))))))</f>
        <v>43989</v>
      </c>
      <c r="M348" s="234" t="str">
        <f>IFERROR(VLOOKUP($A348,'AAPT ExDa'!$B$2:$U$99, 0,FALSE), IFERROR(VLOOKUP($A348,'ABB ExDa'!$A$2:$N$184, 0,FALSE), IFERROR(VLOOKUP($A348,'Vocus SIT ExDa'!$B$2:$J$173, 0,FALSE), IFERROR(VLOOKUP($A348,'Telstra ExDa'!$B$2:$K$310, 0,FALSE), IFERROR(VLOOKUP($A348,'Vocus RVC ExDa'!$C$2:$R$155, 0,FALSE), IFERROR(VLOOKUP($A348,'Fusion ExDa'!$B$2:$D$16, 0,FALSE), IFERROR(VLOOKUP($A348,'Exetel ExDa'!$C$2:$N$14, 11,FALSE), IFERROR(VLOOKUP($A348,'Infinet ExDa'!$B$2:$E$14, 0,FALSE), "Not Found"))))))))</f>
        <v>Not Found</v>
      </c>
      <c r="N348" t="str">
        <f>IFERROR(VLOOKUP($A348,'AAPT ExDa'!$B$2:$U$99, 0,FALSE), IFERROR(VLOOKUP($A348,'ABB ExDa'!$A$2:$N$184, 13,FALSE), IFERROR(VLOOKUP($A348,'Vocus SIT ExDa'!$B$2:$J$173, 0,FALSE), IFERROR(VLOOKUP($A348,'Telstra ExDa'!$B$2:$K$310, 0,FALSE), IFERROR(VLOOKUP($A348,'Vocus RVC ExDa'!$C$2:$R$155, 0,FALSE), IFERROR(VLOOKUP($A348,'Fusion ExDa'!$B$2:$D$16, 0,FALSE), IFERROR(VLOOKUP($A348,'Exetel ExDa'!$C$2:$N$14, 0,FALSE), IFERROR(VLOOKUP($A348,'Infinet ExDa'!$B$2:$E$14, 0,FALSE), "Not Found"))))))))</f>
        <v>Not Found</v>
      </c>
    </row>
    <row r="349" spans="1:14">
      <c r="A349">
        <v>0</v>
      </c>
      <c r="B349" t="str">
        <f>IFERROR(VLOOKUP(A349,'Exetel ExDa'!$C$2:$N$14,4,FALSE),"No Data")</f>
        <v>No Data</v>
      </c>
      <c r="C349" t="str">
        <f>IFERROR(VLOOKUP(A349,'AAPT ExDa'!$B$2:$U$99, 2,FALSE), IFERROR(VLOOKUP(A349,'ABB ExDa'!$A$2:$N$184, 2,FALSE), IFERROR(VLOOKUP(A349,'Vocus SIT ExDa'!$B$2:$J$173, 7,FALSE), IFERROR(VLOOKUP(A349,'Telstra ExDa'!$B$2:$K$310, 2,FALSE), IFERROR(VLOOKUP(A349,'Vocus RVC ExDa'!$C$2:$R$155, 3,FALSE), IFERROR(VLOOKUP(A349,'Fusion ExDa'!$B$2:$D$16, 2,FALSE), IFERROR(VLOOKUP(A349,'Exetel ExDa'!$C$2:$N$14, 2,FALSE), IFERROR(VLOOKUP(A349,'Infinet ExDa'!$B$2:$E$14, 2,FALSE), "Not Found"))))))))</f>
        <v>Not Found</v>
      </c>
      <c r="D349" t="str">
        <f>IFERROR(VLOOKUP($A349,'AAPT ExDa'!$B$2:$U$99, 15,FALSE), IFERROR(VLOOKUP($A349,'ABB ExDa'!$A$2:$N$184, 4,FALSE), IFERROR(VLOOKUP($A349,'Vocus SIT ExDa'!$B$2:$J$173, 5,FALSE), IFERROR(VLOOKUP($A349,'Telstra ExDa'!$B$2:$K$310, 8,FALSE), IFERROR(VLOOKUP($A349,'Vocus RVC ExDa'!$C$2:$R$155, 6,FALSE), IFERROR(VLOOKUP($A349,'Fusion ExDa'!$B$2:$D$16, 4,FALSE), IFERROR(VLOOKUP($A349,'Exetel ExDa'!$C$2:$N$14, 3,FALSE), IFERROR(VLOOKUP($A349,'Infinet ExDa'!$B$2:$E$14, 3,FALSE), "Not Found"))))))))</f>
        <v>Not Found</v>
      </c>
      <c r="E349" t="str">
        <f>IFERROR(VLOOKUP($A349,'AAPT ExDa'!$B$2:$U$99, 3,FALSE), IFERROR(VLOOKUP($A349,'ABB ExDa'!$A$2:$N$184, 5,FALSE), IFERROR(VLOOKUP($A349,'Vocus SIT ExDa'!$B$2:$J$173, 2,FALSE), IFERROR(VLOOKUP($A349,'Telstra ExDa'!$B$2:$K$310, 4,FALSE), IFERROR(VLOOKUP($A349,'Vocus RVC ExDa'!$C$2:$R$155, 8,FALSE), IFERROR(VLOOKUP($A349,'Fusion ExDa'!$B$2:$D$16, 4,FALSE), IFERROR(VLOOKUP($A349,'Exetel ExDa'!$C$2:$N$14, 5,FALSE), IFERROR(VLOOKUP($A349,'Infinet ExDa'!$B$2:$E$14, 3,FALSE), "Not Found"))))))))</f>
        <v>Not Found</v>
      </c>
      <c r="F349" t="str">
        <f>IFERROR(VLOOKUP($A349,'AAPT ExDa'!$B$2:$U$99, 4,FALSE), IFERROR(VLOOKUP($A349,'ABB ExDa'!$A$2:$N$184, 6,FALSE), IFERROR(VLOOKUP($A349,'Vocus SIT ExDa'!$B$2:$J$173, 3,FALSE), IFERROR(VLOOKUP($A349,'Telstra ExDa'!$B$2:$K$310, 5,FALSE), IFERROR(VLOOKUP($A349,'Vocus RVC ExDa'!$C$2:$R$155, 9,FALSE), IFERROR(VLOOKUP($A349,'Fusion ExDa'!$B$2:$D$16, 0,FALSE), IFERROR(VLOOKUP($A349,'Exetel ExDa'!$C$2:$N$14, 6,FALSE), IFERROR(VLOOKUP($A349,'Infinet ExDa'!$B$2:$E$14, 0,FALSE), "Not Found"))))))))</f>
        <v>Not Found</v>
      </c>
      <c r="G349" t="str">
        <f>IFERROR(VLOOKUP($A349,'AAPT ExDa'!$B$2:$U$99, 5,FALSE), IFERROR(VLOOKUP($A349,'ABB ExDa'!$A$2:$N$184, 8,FALSE), IFERROR(VLOOKUP($A349,'Vocus SIT ExDa'!$B$2:$J$173, 6,FALSE), IFERROR(VLOOKUP($A349,'Telstra ExDa'!$B$2:$K$310, 0,FALSE), IFERROR(VLOOKUP($A349,'Vocus RVC ExDa'!$C$2:$R$155, 15,FALSE), IFERROR(VLOOKUP($A349,'Fusion ExDa'!$B$2:$D$16, 0,FALSE), IFERROR(VLOOKUP($A349,'Exetel ExDa'!$C$2:$N$14, 7,FALSE), IFERROR(VLOOKUP($A349,'Infinet ExDa'!$B$2:$E$14, 0,FALSE), "Not Found"))))))))</f>
        <v>Not Found</v>
      </c>
      <c r="H349" t="str">
        <f>IFERROR(VLOOKUP($A349,'AAPT ExDa'!$B$2:$U$99, 6,FALSE), IFERROR(VLOOKUP($A349,'ABB ExDa'!$A$2:$N$184, 0,FALSE), IFERROR(VLOOKUP($A349,'Vocus SIT ExDa'!$B$2:$J$173, 0,FALSE), IFERROR(VLOOKUP($A349,'Telstra ExDa'!$B$2:$K$310, 0,FALSE), IFERROR(VLOOKUP($A349,'Vocus RVC ExDa'!$C$2:$R$155, 16,FALSE), IFERROR(VLOOKUP($A349,'Fusion ExDa'!$B$2:$D$16, 0,FALSE), IFERROR(VLOOKUP($A349,'Exetel ExDa'!$C$2:$N$14, 0,FALSE), IFERROR(VLOOKUP($A349,'Infinet ExDa'!$B$2:$E$14, 0,FALSE), "Not Found"))))))))</f>
        <v>Not Found</v>
      </c>
      <c r="I349" t="str">
        <f>IFERROR(VLOOKUP($A349,'AAPT ExDa'!$B$2:$U$99, 0,FALSE), IFERROR(VLOOKUP($A349,'ABB ExDa'!$A$2:$N$184, 0,FALSE), IFERROR(VLOOKUP($A349,'Vocus SIT ExDa'!$B$2:$J$173, 0,FALSE), IFERROR(VLOOKUP($A349,'Telstra ExDa'!$B$2:$K$310, 0,FALSE), IFERROR(VLOOKUP($A349,'Vocus RVC ExDa'!$C$2:$R$155, 0,FALSE), IFERROR(VLOOKUP($A349,'Fusion ExDa'!$B$2:$D$16, 0,FALSE), IFERROR(VLOOKUP($A349,'Exetel ExDa'!$C$2:$N$14, 8,FALSE), IFERROR(VLOOKUP($A349,'Infinet ExDa'!$B$2:$E$14, 0,FALSE), "Not Found"))))))))</f>
        <v>Not Found</v>
      </c>
      <c r="J349" t="str">
        <f>IFERROR(VLOOKUP($A349,'AAPT ExDa'!$B$2:$U$99, 7,FALSE), IFERROR(VLOOKUP($A349,'ABB ExDa'!$A$2:$N$184, 2,FALSE), IFERROR(VLOOKUP($A349,'Vocus SIT ExDa'!$B$2:$J$173, 0,FALSE), IFERROR(VLOOKUP($A349,'Telstra ExDa'!$B$2:$K$310, 7,FALSE), IFERROR(VLOOKUP($A349,'Vocus RVC ExDa'!$C$2:$R$155, 2,FALSE), IFERROR(VLOOKUP($A349,'Fusion ExDa'!$B$2:$D$16, 3,FALSE), IFERROR(VLOOKUP($A349,'Exetel ExDa'!$C$2:$N$14, 0,FALSE), IFERROR(VLOOKUP($A349,'Infinet ExDa'!$B$2:$E$14, 0,FALSE), "Not Found"))))))))</f>
        <v>Not Found</v>
      </c>
      <c r="K349" t="str">
        <f>IFERROR(VLOOKUP($A349,'AAPT ExDa'!$B$2:$U$99, 12,FALSE), IFERROR(VLOOKUP($A349,'ABB ExDa'!$A$2:$N$184, 0,FALSE), IFERROR(VLOOKUP($A349,'Vocus SIT ExDa'!$B$2:$J$173, 0,FALSE), IFERROR(VLOOKUP($A349,'Telstra ExDa'!$B$2:$K$310, 0,FALSE), IFERROR(VLOOKUP($A349,'Vocus RVC ExDa'!$C$2:$R$155, 0,FALSE), IFERROR(VLOOKUP($A349,'Fusion ExDa'!$B$2:$D$16, 0,FALSE), IFERROR(VLOOKUP($A349,'Exetel ExDa'!$C$2:$N$14, 12,FALSE), IFERROR(VLOOKUP($A349,'Infinet ExDa'!$B$2:$E$14, 0,FALSE), "Not Found"))))))))</f>
        <v>Not Found</v>
      </c>
      <c r="L349" s="235" t="str">
        <f>IFERROR(VLOOKUP($A349,'AAPT ExDa'!$B$2:$U$99, 11,FALSE), IFERROR(VLOOKUP($A349,'ABB ExDa'!$A$2:$N$184, 9,FALSE), IFERROR(VLOOKUP($A349,'Vocus SIT ExDa'!$B$2:$J$173, 8,FALSE), IFERROR(VLOOKUP($A349,'Telstra ExDa'!$B$2:$K$310, 0,FALSE), IFERROR(VLOOKUP($A349,'Vocus RVC ExDa'!$C$2:$R$155, 0,FALSE), IFERROR(VLOOKUP($A349,'Fusion ExDa'!$B$2:$D$16, 0,FALSE), IFERROR(VLOOKUP($A349,'Exetel ExDa'!$C$2:$N$14, 9,FALSE), IFERROR(VLOOKUP($A349,'Infinet ExDa'!$B$2:$E$14, 0,FALSE), "Not Found"))))))))</f>
        <v>Not Found</v>
      </c>
      <c r="M349" s="234" t="str">
        <f>IFERROR(VLOOKUP($A349,'AAPT ExDa'!$B$2:$U$99, 0,FALSE), IFERROR(VLOOKUP($A349,'ABB ExDa'!$A$2:$N$184, 0,FALSE), IFERROR(VLOOKUP($A349,'Vocus SIT ExDa'!$B$2:$J$173, 0,FALSE), IFERROR(VLOOKUP($A349,'Telstra ExDa'!$B$2:$K$310, 0,FALSE), IFERROR(VLOOKUP($A349,'Vocus RVC ExDa'!$C$2:$R$155, 0,FALSE), IFERROR(VLOOKUP($A349,'Fusion ExDa'!$B$2:$D$16, 0,FALSE), IFERROR(VLOOKUP($A349,'Exetel ExDa'!$C$2:$N$14, 11,FALSE), IFERROR(VLOOKUP($A349,'Infinet ExDa'!$B$2:$E$14, 0,FALSE), "Not Found"))))))))</f>
        <v>Not Found</v>
      </c>
      <c r="N349" t="str">
        <f>IFERROR(VLOOKUP($A349,'AAPT ExDa'!$B$2:$U$99, 0,FALSE), IFERROR(VLOOKUP($A349,'ABB ExDa'!$A$2:$N$184, 13,FALSE), IFERROR(VLOOKUP($A349,'Vocus SIT ExDa'!$B$2:$J$173, 0,FALSE), IFERROR(VLOOKUP($A349,'Telstra ExDa'!$B$2:$K$310, 0,FALSE), IFERROR(VLOOKUP($A349,'Vocus RVC ExDa'!$C$2:$R$155, 0,FALSE), IFERROR(VLOOKUP($A349,'Fusion ExDa'!$B$2:$D$16, 0,FALSE), IFERROR(VLOOKUP($A349,'Exetel ExDa'!$C$2:$N$14, 0,FALSE), IFERROR(VLOOKUP($A349,'Infinet ExDa'!$B$2:$E$14, 0,FALSE), "Not Found"))))))))</f>
        <v>Not Found</v>
      </c>
    </row>
    <row r="350" spans="1:14">
      <c r="A350">
        <v>0</v>
      </c>
      <c r="B350" t="str">
        <f>IFERROR(VLOOKUP(A350,'Exetel ExDa'!$C$2:$N$14,4,FALSE),"No Data")</f>
        <v>No Data</v>
      </c>
      <c r="C350" t="str">
        <f>IFERROR(VLOOKUP(A350,'AAPT ExDa'!$B$2:$U$99, 2,FALSE), IFERROR(VLOOKUP(A350,'ABB ExDa'!$A$2:$N$184, 2,FALSE), IFERROR(VLOOKUP(A350,'Vocus SIT ExDa'!$B$2:$J$173, 7,FALSE), IFERROR(VLOOKUP(A350,'Telstra ExDa'!$B$2:$K$310, 2,FALSE), IFERROR(VLOOKUP(A350,'Vocus RVC ExDa'!$C$2:$R$155, 3,FALSE), IFERROR(VLOOKUP(A350,'Fusion ExDa'!$B$2:$D$16, 2,FALSE), IFERROR(VLOOKUP(A350,'Exetel ExDa'!$C$2:$N$14, 2,FALSE), IFERROR(VLOOKUP(A350,'Infinet ExDa'!$B$2:$E$14, 2,FALSE), "Not Found"))))))))</f>
        <v>Not Found</v>
      </c>
      <c r="D350" t="str">
        <f>IFERROR(VLOOKUP($A350,'AAPT ExDa'!$B$2:$U$99, 15,FALSE), IFERROR(VLOOKUP($A350,'ABB ExDa'!$A$2:$N$184, 4,FALSE), IFERROR(VLOOKUP($A350,'Vocus SIT ExDa'!$B$2:$J$173, 5,FALSE), IFERROR(VLOOKUP($A350,'Telstra ExDa'!$B$2:$K$310, 8,FALSE), IFERROR(VLOOKUP($A350,'Vocus RVC ExDa'!$C$2:$R$155, 6,FALSE), IFERROR(VLOOKUP($A350,'Fusion ExDa'!$B$2:$D$16, 4,FALSE), IFERROR(VLOOKUP($A350,'Exetel ExDa'!$C$2:$N$14, 3,FALSE), IFERROR(VLOOKUP($A350,'Infinet ExDa'!$B$2:$E$14, 3,FALSE), "Not Found"))))))))</f>
        <v>Not Found</v>
      </c>
      <c r="E350" t="str">
        <f>IFERROR(VLOOKUP($A350,'AAPT ExDa'!$B$2:$U$99, 3,FALSE), IFERROR(VLOOKUP($A350,'ABB ExDa'!$A$2:$N$184, 5,FALSE), IFERROR(VLOOKUP($A350,'Vocus SIT ExDa'!$B$2:$J$173, 2,FALSE), IFERROR(VLOOKUP($A350,'Telstra ExDa'!$B$2:$K$310, 4,FALSE), IFERROR(VLOOKUP($A350,'Vocus RVC ExDa'!$C$2:$R$155, 8,FALSE), IFERROR(VLOOKUP($A350,'Fusion ExDa'!$B$2:$D$16, 4,FALSE), IFERROR(VLOOKUP($A350,'Exetel ExDa'!$C$2:$N$14, 5,FALSE), IFERROR(VLOOKUP($A350,'Infinet ExDa'!$B$2:$E$14, 3,FALSE), "Not Found"))))))))</f>
        <v>Not Found</v>
      </c>
      <c r="F350" t="str">
        <f>IFERROR(VLOOKUP($A350,'AAPT ExDa'!$B$2:$U$99, 4,FALSE), IFERROR(VLOOKUP($A350,'ABB ExDa'!$A$2:$N$184, 6,FALSE), IFERROR(VLOOKUP($A350,'Vocus SIT ExDa'!$B$2:$J$173, 3,FALSE), IFERROR(VLOOKUP($A350,'Telstra ExDa'!$B$2:$K$310, 5,FALSE), IFERROR(VLOOKUP($A350,'Vocus RVC ExDa'!$C$2:$R$155, 9,FALSE), IFERROR(VLOOKUP($A350,'Fusion ExDa'!$B$2:$D$16, 0,FALSE), IFERROR(VLOOKUP($A350,'Exetel ExDa'!$C$2:$N$14, 6,FALSE), IFERROR(VLOOKUP($A350,'Infinet ExDa'!$B$2:$E$14, 0,FALSE), "Not Found"))))))))</f>
        <v>Not Found</v>
      </c>
      <c r="G350" t="str">
        <f>IFERROR(VLOOKUP($A350,'AAPT ExDa'!$B$2:$U$99, 5,FALSE), IFERROR(VLOOKUP($A350,'ABB ExDa'!$A$2:$N$184, 8,FALSE), IFERROR(VLOOKUP($A350,'Vocus SIT ExDa'!$B$2:$J$173, 6,FALSE), IFERROR(VLOOKUP($A350,'Telstra ExDa'!$B$2:$K$310, 0,FALSE), IFERROR(VLOOKUP($A350,'Vocus RVC ExDa'!$C$2:$R$155, 15,FALSE), IFERROR(VLOOKUP($A350,'Fusion ExDa'!$B$2:$D$16, 0,FALSE), IFERROR(VLOOKUP($A350,'Exetel ExDa'!$C$2:$N$14, 7,FALSE), IFERROR(VLOOKUP($A350,'Infinet ExDa'!$B$2:$E$14, 0,FALSE), "Not Found"))))))))</f>
        <v>Not Found</v>
      </c>
      <c r="H350" t="str">
        <f>IFERROR(VLOOKUP($A350,'AAPT ExDa'!$B$2:$U$99, 6,FALSE), IFERROR(VLOOKUP($A350,'ABB ExDa'!$A$2:$N$184, 0,FALSE), IFERROR(VLOOKUP($A350,'Vocus SIT ExDa'!$B$2:$J$173, 0,FALSE), IFERROR(VLOOKUP($A350,'Telstra ExDa'!$B$2:$K$310, 0,FALSE), IFERROR(VLOOKUP($A350,'Vocus RVC ExDa'!$C$2:$R$155, 16,FALSE), IFERROR(VLOOKUP($A350,'Fusion ExDa'!$B$2:$D$16, 0,FALSE), IFERROR(VLOOKUP($A350,'Exetel ExDa'!$C$2:$N$14, 0,FALSE), IFERROR(VLOOKUP($A350,'Infinet ExDa'!$B$2:$E$14, 0,FALSE), "Not Found"))))))))</f>
        <v>Not Found</v>
      </c>
      <c r="I350" t="str">
        <f>IFERROR(VLOOKUP($A350,'AAPT ExDa'!$B$2:$U$99, 0,FALSE), IFERROR(VLOOKUP($A350,'ABB ExDa'!$A$2:$N$184, 0,FALSE), IFERROR(VLOOKUP($A350,'Vocus SIT ExDa'!$B$2:$J$173, 0,FALSE), IFERROR(VLOOKUP($A350,'Telstra ExDa'!$B$2:$K$310, 0,FALSE), IFERROR(VLOOKUP($A350,'Vocus RVC ExDa'!$C$2:$R$155, 0,FALSE), IFERROR(VLOOKUP($A350,'Fusion ExDa'!$B$2:$D$16, 0,FALSE), IFERROR(VLOOKUP($A350,'Exetel ExDa'!$C$2:$N$14, 8,FALSE), IFERROR(VLOOKUP($A350,'Infinet ExDa'!$B$2:$E$14, 0,FALSE), "Not Found"))))))))</f>
        <v>Not Found</v>
      </c>
      <c r="J350" t="str">
        <f>IFERROR(VLOOKUP($A350,'AAPT ExDa'!$B$2:$U$99, 7,FALSE), IFERROR(VLOOKUP($A350,'ABB ExDa'!$A$2:$N$184, 2,FALSE), IFERROR(VLOOKUP($A350,'Vocus SIT ExDa'!$B$2:$J$173, 0,FALSE), IFERROR(VLOOKUP($A350,'Telstra ExDa'!$B$2:$K$310, 7,FALSE), IFERROR(VLOOKUP($A350,'Vocus RVC ExDa'!$C$2:$R$155, 2,FALSE), IFERROR(VLOOKUP($A350,'Fusion ExDa'!$B$2:$D$16, 3,FALSE), IFERROR(VLOOKUP($A350,'Exetel ExDa'!$C$2:$N$14, 0,FALSE), IFERROR(VLOOKUP($A350,'Infinet ExDa'!$B$2:$E$14, 0,FALSE), "Not Found"))))))))</f>
        <v>Not Found</v>
      </c>
      <c r="K350" t="str">
        <f>IFERROR(VLOOKUP($A350,'AAPT ExDa'!$B$2:$U$99, 12,FALSE), IFERROR(VLOOKUP($A350,'ABB ExDa'!$A$2:$N$184, 0,FALSE), IFERROR(VLOOKUP($A350,'Vocus SIT ExDa'!$B$2:$J$173, 0,FALSE), IFERROR(VLOOKUP($A350,'Telstra ExDa'!$B$2:$K$310, 0,FALSE), IFERROR(VLOOKUP($A350,'Vocus RVC ExDa'!$C$2:$R$155, 0,FALSE), IFERROR(VLOOKUP($A350,'Fusion ExDa'!$B$2:$D$16, 0,FALSE), IFERROR(VLOOKUP($A350,'Exetel ExDa'!$C$2:$N$14, 12,FALSE), IFERROR(VLOOKUP($A350,'Infinet ExDa'!$B$2:$E$14, 0,FALSE), "Not Found"))))))))</f>
        <v>Not Found</v>
      </c>
      <c r="L350" s="235" t="str">
        <f>IFERROR(VLOOKUP($A350,'AAPT ExDa'!$B$2:$U$99, 11,FALSE), IFERROR(VLOOKUP($A350,'ABB ExDa'!$A$2:$N$184, 9,FALSE), IFERROR(VLOOKUP($A350,'Vocus SIT ExDa'!$B$2:$J$173, 8,FALSE), IFERROR(VLOOKUP($A350,'Telstra ExDa'!$B$2:$K$310, 0,FALSE), IFERROR(VLOOKUP($A350,'Vocus RVC ExDa'!$C$2:$R$155, 0,FALSE), IFERROR(VLOOKUP($A350,'Fusion ExDa'!$B$2:$D$16, 0,FALSE), IFERROR(VLOOKUP($A350,'Exetel ExDa'!$C$2:$N$14, 9,FALSE), IFERROR(VLOOKUP($A350,'Infinet ExDa'!$B$2:$E$14, 0,FALSE), "Not Found"))))))))</f>
        <v>Not Found</v>
      </c>
      <c r="M350" s="234" t="str">
        <f>IFERROR(VLOOKUP($A350,'AAPT ExDa'!$B$2:$U$99, 0,FALSE), IFERROR(VLOOKUP($A350,'ABB ExDa'!$A$2:$N$184, 0,FALSE), IFERROR(VLOOKUP($A350,'Vocus SIT ExDa'!$B$2:$J$173, 0,FALSE), IFERROR(VLOOKUP($A350,'Telstra ExDa'!$B$2:$K$310, 0,FALSE), IFERROR(VLOOKUP($A350,'Vocus RVC ExDa'!$C$2:$R$155, 0,FALSE), IFERROR(VLOOKUP($A350,'Fusion ExDa'!$B$2:$D$16, 0,FALSE), IFERROR(VLOOKUP($A350,'Exetel ExDa'!$C$2:$N$14, 11,FALSE), IFERROR(VLOOKUP($A350,'Infinet ExDa'!$B$2:$E$14, 0,FALSE), "Not Found"))))))))</f>
        <v>Not Found</v>
      </c>
      <c r="N350" t="str">
        <f>IFERROR(VLOOKUP($A350,'AAPT ExDa'!$B$2:$U$99, 0,FALSE), IFERROR(VLOOKUP($A350,'ABB ExDa'!$A$2:$N$184, 13,FALSE), IFERROR(VLOOKUP($A350,'Vocus SIT ExDa'!$B$2:$J$173, 0,FALSE), IFERROR(VLOOKUP($A350,'Telstra ExDa'!$B$2:$K$310, 0,FALSE), IFERROR(VLOOKUP($A350,'Vocus RVC ExDa'!$C$2:$R$155, 0,FALSE), IFERROR(VLOOKUP($A350,'Fusion ExDa'!$B$2:$D$16, 0,FALSE), IFERROR(VLOOKUP($A350,'Exetel ExDa'!$C$2:$N$14, 0,FALSE), IFERROR(VLOOKUP($A350,'Infinet ExDa'!$B$2:$E$14, 0,FALSE), "Not Found"))))))))</f>
        <v>Not Found</v>
      </c>
    </row>
    <row r="351" spans="1:14">
      <c r="A351" t="str">
        <v>Ausdocs Cleveland</v>
      </c>
      <c r="B351" t="str">
        <f>IFERROR(VLOOKUP(A351,'Exetel ExDa'!$C$2:$N$14,4,FALSE),"No Data")</f>
        <v>No Data</v>
      </c>
      <c r="C351" t="str">
        <f>IFERROR(VLOOKUP(A351,'AAPT ExDa'!$B$2:$U$99, 2,FALSE), IFERROR(VLOOKUP(A351,'ABB ExDa'!$A$2:$N$184, 2,FALSE), IFERROR(VLOOKUP(A351,'Vocus SIT ExDa'!$B$2:$J$173, 7,FALSE), IFERROR(VLOOKUP(A351,'Telstra ExDa'!$B$2:$K$310, 2,FALSE), IFERROR(VLOOKUP(A351,'Vocus RVC ExDa'!$C$2:$R$155, 3,FALSE), IFERROR(VLOOKUP(A351,'Fusion ExDa'!$B$2:$D$16, 2,FALSE), IFERROR(VLOOKUP(A351,'Exetel ExDa'!$C$2:$N$14, 2,FALSE), IFERROR(VLOOKUP(A351,'Infinet ExDa'!$B$2:$E$14, 2,FALSE), "Not Found"))))))))</f>
        <v>3 Bloomfield St, Cleveland QLD 4163, Australia</v>
      </c>
      <c r="D351" t="str">
        <f>IFERROR(VLOOKUP($A351,'AAPT ExDa'!$B$2:$U$99, 15,FALSE), IFERROR(VLOOKUP($A351,'ABB ExDa'!$A$2:$N$184, 4,FALSE), IFERROR(VLOOKUP($A351,'Vocus SIT ExDa'!$B$2:$J$173, 5,FALSE), IFERROR(VLOOKUP($A351,'Telstra ExDa'!$B$2:$K$310, 8,FALSE), IFERROR(VLOOKUP($A351,'Vocus RVC ExDa'!$C$2:$R$155, 6,FALSE), IFERROR(VLOOKUP($A351,'Fusion ExDa'!$B$2:$D$16, 4,FALSE), IFERROR(VLOOKUP($A351,'Exetel ExDa'!$C$2:$N$14, 3,FALSE), IFERROR(VLOOKUP($A351,'Infinet ExDa'!$B$2:$E$14, 3,FALSE), "Not Found"))))))))</f>
        <v>Vocus SIT</v>
      </c>
      <c r="E351" t="str">
        <f>IFERROR(VLOOKUP($A351,'AAPT ExDa'!$B$2:$U$99, 3,FALSE), IFERROR(VLOOKUP($A351,'ABB ExDa'!$A$2:$N$184, 5,FALSE), IFERROR(VLOOKUP($A351,'Vocus SIT ExDa'!$B$2:$J$173, 2,FALSE), IFERROR(VLOOKUP($A351,'Telstra ExDa'!$B$2:$K$310, 4,FALSE), IFERROR(VLOOKUP($A351,'Vocus RVC ExDa'!$C$2:$R$155, 8,FALSE), IFERROR(VLOOKUP($A351,'Fusion ExDa'!$B$2:$D$16, 4,FALSE), IFERROR(VLOOKUP($A351,'Exetel ExDa'!$C$2:$N$14, 5,FALSE), IFERROR(VLOOKUP($A351,'Infinet ExDa'!$B$2:$E$14, 3,FALSE), "Not Found"))))))))</f>
        <v>Vocus Business Unlimited (AUD)</v>
      </c>
      <c r="F351">
        <f>IFERROR(VLOOKUP($A351,'AAPT ExDa'!$B$2:$U$99, 4,FALSE), IFERROR(VLOOKUP($A351,'ABB ExDa'!$A$2:$N$184, 6,FALSE), IFERROR(VLOOKUP($A351,'Vocus SIT ExDa'!$B$2:$J$173, 3,FALSE), IFERROR(VLOOKUP($A351,'Telstra ExDa'!$B$2:$K$310, 5,FALSE), IFERROR(VLOOKUP($A351,'Vocus RVC ExDa'!$C$2:$R$155, 9,FALSE), IFERROR(VLOOKUP($A351,'Fusion ExDa'!$B$2:$D$16, 0,FALSE), IFERROR(VLOOKUP($A351,'Exetel ExDa'!$C$2:$N$14, 6,FALSE), IFERROR(VLOOKUP($A351,'Infinet ExDa'!$B$2:$E$14, 0,FALSE), "Not Found"))))))))</f>
        <v>0</v>
      </c>
      <c r="G351" t="str">
        <f>IFERROR(VLOOKUP($A351,'AAPT ExDa'!$B$2:$U$99, 5,FALSE), IFERROR(VLOOKUP($A351,'ABB ExDa'!$A$2:$N$184, 8,FALSE), IFERROR(VLOOKUP($A351,'Vocus SIT ExDa'!$B$2:$J$173, 6,FALSE), IFERROR(VLOOKUP($A351,'Telstra ExDa'!$B$2:$K$310, 0,FALSE), IFERROR(VLOOKUP($A351,'Vocus RVC ExDa'!$C$2:$R$155, 15,FALSE), IFERROR(VLOOKUP($A351,'Fusion ExDa'!$B$2:$D$16, 0,FALSE), IFERROR(VLOOKUP($A351,'Exetel ExDa'!$C$2:$N$14, 7,FALSE), IFERROR(VLOOKUP($A351,'Infinet ExDa'!$B$2:$E$14, 0,FALSE), "Not Found"))))))))</f>
        <v>2 Bloomfield St, Cleveland QLD 4163, Australia</v>
      </c>
      <c r="H351" t="str">
        <f>IFERROR(VLOOKUP($A351,'AAPT ExDa'!$B$2:$U$99, 6,FALSE), IFERROR(VLOOKUP($A351,'ABB ExDa'!$A$2:$N$184, 0,FALSE), IFERROR(VLOOKUP($A351,'Vocus SIT ExDa'!$B$2:$J$173, 0,FALSE), IFERROR(VLOOKUP($A351,'Telstra ExDa'!$B$2:$K$310, 0,FALSE), IFERROR(VLOOKUP($A351,'Vocus RVC ExDa'!$C$2:$R$155, 16,FALSE), IFERROR(VLOOKUP($A351,'Fusion ExDa'!$B$2:$D$16, 0,FALSE), IFERROR(VLOOKUP($A351,'Exetel ExDa'!$C$2:$N$14, 0,FALSE), IFERROR(VLOOKUP($A351,'Infinet ExDa'!$B$2:$E$14, 0,FALSE), "Not Found"))))))))</f>
        <v>Not Found</v>
      </c>
      <c r="I351" t="str">
        <f>IFERROR(VLOOKUP($A351,'AAPT ExDa'!$B$2:$U$99, 0,FALSE), IFERROR(VLOOKUP($A351,'ABB ExDa'!$A$2:$N$184, 0,FALSE), IFERROR(VLOOKUP($A351,'Vocus SIT ExDa'!$B$2:$J$173, 0,FALSE), IFERROR(VLOOKUP($A351,'Telstra ExDa'!$B$2:$K$310, 0,FALSE), IFERROR(VLOOKUP($A351,'Vocus RVC ExDa'!$C$2:$R$155, 0,FALSE), IFERROR(VLOOKUP($A351,'Fusion ExDa'!$B$2:$D$16, 0,FALSE), IFERROR(VLOOKUP($A351,'Exetel ExDa'!$C$2:$N$14, 8,FALSE), IFERROR(VLOOKUP($A351,'Infinet ExDa'!$B$2:$E$14, 0,FALSE), "Not Found"))))))))</f>
        <v>Not Found</v>
      </c>
      <c r="J351" t="str">
        <f>IFERROR(VLOOKUP($A351,'AAPT ExDa'!$B$2:$U$99, 7,FALSE), IFERROR(VLOOKUP($A351,'ABB ExDa'!$A$2:$N$184, 2,FALSE), IFERROR(VLOOKUP($A351,'Vocus SIT ExDa'!$B$2:$J$173, 0,FALSE), IFERROR(VLOOKUP($A351,'Telstra ExDa'!$B$2:$K$310, 7,FALSE), IFERROR(VLOOKUP($A351,'Vocus RVC ExDa'!$C$2:$R$155, 2,FALSE), IFERROR(VLOOKUP($A351,'Fusion ExDa'!$B$2:$D$16, 3,FALSE), IFERROR(VLOOKUP($A351,'Exetel ExDa'!$C$2:$N$14, 0,FALSE), IFERROR(VLOOKUP($A351,'Infinet ExDa'!$B$2:$E$14, 0,FALSE), "Not Found"))))))))</f>
        <v>Not Found</v>
      </c>
      <c r="K351" t="str">
        <f>IFERROR(VLOOKUP($A351,'AAPT ExDa'!$B$2:$U$99, 12,FALSE), IFERROR(VLOOKUP($A351,'ABB ExDa'!$A$2:$N$184, 0,FALSE), IFERROR(VLOOKUP($A351,'Vocus SIT ExDa'!$B$2:$J$173, 0,FALSE), IFERROR(VLOOKUP($A351,'Telstra ExDa'!$B$2:$K$310, 0,FALSE), IFERROR(VLOOKUP($A351,'Vocus RVC ExDa'!$C$2:$R$155, 0,FALSE), IFERROR(VLOOKUP($A351,'Fusion ExDa'!$B$2:$D$16, 0,FALSE), IFERROR(VLOOKUP($A351,'Exetel ExDa'!$C$2:$N$14, 12,FALSE), IFERROR(VLOOKUP($A351,'Infinet ExDa'!$B$2:$E$14, 0,FALSE), "Not Found"))))))))</f>
        <v>Not Found</v>
      </c>
      <c r="L351" s="235" t="str">
        <f>IFERROR(VLOOKUP($A351,'AAPT ExDa'!$B$2:$U$99, 11,FALSE), IFERROR(VLOOKUP($A351,'ABB ExDa'!$A$2:$N$184, 9,FALSE), IFERROR(VLOOKUP($A351,'Vocus SIT ExDa'!$B$2:$J$173, 8,FALSE), IFERROR(VLOOKUP($A351,'Telstra ExDa'!$B$2:$K$310, 0,FALSE), IFERROR(VLOOKUP($A351,'Vocus RVC ExDa'!$C$2:$R$155, 0,FALSE), IFERROR(VLOOKUP($A351,'Fusion ExDa'!$B$2:$D$16, 0,FALSE), IFERROR(VLOOKUP($A351,'Exetel ExDa'!$C$2:$N$14, 9,FALSE), IFERROR(VLOOKUP($A351,'Infinet ExDa'!$B$2:$E$14, 0,FALSE), "Not Found"))))))))</f>
        <v>19/05/2022</v>
      </c>
      <c r="M351" s="234" t="str">
        <f>IFERROR(VLOOKUP($A351,'AAPT ExDa'!$B$2:$U$99, 0,FALSE), IFERROR(VLOOKUP($A351,'ABB ExDa'!$A$2:$N$184, 0,FALSE), IFERROR(VLOOKUP($A351,'Vocus SIT ExDa'!$B$2:$J$173, 0,FALSE), IFERROR(VLOOKUP($A351,'Telstra ExDa'!$B$2:$K$310, 0,FALSE), IFERROR(VLOOKUP($A351,'Vocus RVC ExDa'!$C$2:$R$155, 0,FALSE), IFERROR(VLOOKUP($A351,'Fusion ExDa'!$B$2:$D$16, 0,FALSE), IFERROR(VLOOKUP($A351,'Exetel ExDa'!$C$2:$N$14, 11,FALSE), IFERROR(VLOOKUP($A351,'Infinet ExDa'!$B$2:$E$14, 0,FALSE), "Not Found"))))))))</f>
        <v>Not Found</v>
      </c>
      <c r="N351" t="str">
        <f>IFERROR(VLOOKUP($A351,'AAPT ExDa'!$B$2:$U$99, 0,FALSE), IFERROR(VLOOKUP($A351,'ABB ExDa'!$A$2:$N$184, 13,FALSE), IFERROR(VLOOKUP($A351,'Vocus SIT ExDa'!$B$2:$J$173, 0,FALSE), IFERROR(VLOOKUP($A351,'Telstra ExDa'!$B$2:$K$310, 0,FALSE), IFERROR(VLOOKUP($A351,'Vocus RVC ExDa'!$C$2:$R$155, 0,FALSE), IFERROR(VLOOKUP($A351,'Fusion ExDa'!$B$2:$D$16, 0,FALSE), IFERROR(VLOOKUP($A351,'Exetel ExDa'!$C$2:$N$14, 0,FALSE), IFERROR(VLOOKUP($A351,'Infinet ExDa'!$B$2:$E$14, 0,FALSE), "Not Found"))))))))</f>
        <v>Not Found</v>
      </c>
    </row>
    <row r="352" spans="1:14">
      <c r="A352">
        <v>0</v>
      </c>
      <c r="B352" t="str">
        <f>IFERROR(VLOOKUP(A352,'Exetel ExDa'!$C$2:$N$14,4,FALSE),"No Data")</f>
        <v>No Data</v>
      </c>
      <c r="C352" t="str">
        <f>IFERROR(VLOOKUP(A352,'AAPT ExDa'!$B$2:$U$99, 2,FALSE), IFERROR(VLOOKUP(A352,'ABB ExDa'!$A$2:$N$184, 2,FALSE), IFERROR(VLOOKUP(A352,'Vocus SIT ExDa'!$B$2:$J$173, 7,FALSE), IFERROR(VLOOKUP(A352,'Telstra ExDa'!$B$2:$K$310, 2,FALSE), IFERROR(VLOOKUP(A352,'Vocus RVC ExDa'!$C$2:$R$155, 3,FALSE), IFERROR(VLOOKUP(A352,'Fusion ExDa'!$B$2:$D$16, 2,FALSE), IFERROR(VLOOKUP(A352,'Exetel ExDa'!$C$2:$N$14, 2,FALSE), IFERROR(VLOOKUP(A352,'Infinet ExDa'!$B$2:$E$14, 2,FALSE), "Not Found"))))))))</f>
        <v>Not Found</v>
      </c>
      <c r="D352" t="str">
        <f>IFERROR(VLOOKUP($A352,'AAPT ExDa'!$B$2:$U$99, 15,FALSE), IFERROR(VLOOKUP($A352,'ABB ExDa'!$A$2:$N$184, 4,FALSE), IFERROR(VLOOKUP($A352,'Vocus SIT ExDa'!$B$2:$J$173, 5,FALSE), IFERROR(VLOOKUP($A352,'Telstra ExDa'!$B$2:$K$310, 8,FALSE), IFERROR(VLOOKUP($A352,'Vocus RVC ExDa'!$C$2:$R$155, 6,FALSE), IFERROR(VLOOKUP($A352,'Fusion ExDa'!$B$2:$D$16, 4,FALSE), IFERROR(VLOOKUP($A352,'Exetel ExDa'!$C$2:$N$14, 3,FALSE), IFERROR(VLOOKUP($A352,'Infinet ExDa'!$B$2:$E$14, 3,FALSE), "Not Found"))))))))</f>
        <v>Not Found</v>
      </c>
      <c r="E352" t="str">
        <f>IFERROR(VLOOKUP($A352,'AAPT ExDa'!$B$2:$U$99, 3,FALSE), IFERROR(VLOOKUP($A352,'ABB ExDa'!$A$2:$N$184, 5,FALSE), IFERROR(VLOOKUP($A352,'Vocus SIT ExDa'!$B$2:$J$173, 2,FALSE), IFERROR(VLOOKUP($A352,'Telstra ExDa'!$B$2:$K$310, 4,FALSE), IFERROR(VLOOKUP($A352,'Vocus RVC ExDa'!$C$2:$R$155, 8,FALSE), IFERROR(VLOOKUP($A352,'Fusion ExDa'!$B$2:$D$16, 4,FALSE), IFERROR(VLOOKUP($A352,'Exetel ExDa'!$C$2:$N$14, 5,FALSE), IFERROR(VLOOKUP($A352,'Infinet ExDa'!$B$2:$E$14, 3,FALSE), "Not Found"))))))))</f>
        <v>Not Found</v>
      </c>
      <c r="F352" t="str">
        <f>IFERROR(VLOOKUP($A352,'AAPT ExDa'!$B$2:$U$99, 4,FALSE), IFERROR(VLOOKUP($A352,'ABB ExDa'!$A$2:$N$184, 6,FALSE), IFERROR(VLOOKUP($A352,'Vocus SIT ExDa'!$B$2:$J$173, 3,FALSE), IFERROR(VLOOKUP($A352,'Telstra ExDa'!$B$2:$K$310, 5,FALSE), IFERROR(VLOOKUP($A352,'Vocus RVC ExDa'!$C$2:$R$155, 9,FALSE), IFERROR(VLOOKUP($A352,'Fusion ExDa'!$B$2:$D$16, 0,FALSE), IFERROR(VLOOKUP($A352,'Exetel ExDa'!$C$2:$N$14, 6,FALSE), IFERROR(VLOOKUP($A352,'Infinet ExDa'!$B$2:$E$14, 0,FALSE), "Not Found"))))))))</f>
        <v>Not Found</v>
      </c>
      <c r="G352" t="str">
        <f>IFERROR(VLOOKUP($A352,'AAPT ExDa'!$B$2:$U$99, 5,FALSE), IFERROR(VLOOKUP($A352,'ABB ExDa'!$A$2:$N$184, 8,FALSE), IFERROR(VLOOKUP($A352,'Vocus SIT ExDa'!$B$2:$J$173, 6,FALSE), IFERROR(VLOOKUP($A352,'Telstra ExDa'!$B$2:$K$310, 0,FALSE), IFERROR(VLOOKUP($A352,'Vocus RVC ExDa'!$C$2:$R$155, 15,FALSE), IFERROR(VLOOKUP($A352,'Fusion ExDa'!$B$2:$D$16, 0,FALSE), IFERROR(VLOOKUP($A352,'Exetel ExDa'!$C$2:$N$14, 7,FALSE), IFERROR(VLOOKUP($A352,'Infinet ExDa'!$B$2:$E$14, 0,FALSE), "Not Found"))))))))</f>
        <v>Not Found</v>
      </c>
      <c r="H352" t="str">
        <f>IFERROR(VLOOKUP($A352,'AAPT ExDa'!$B$2:$U$99, 6,FALSE), IFERROR(VLOOKUP($A352,'ABB ExDa'!$A$2:$N$184, 0,FALSE), IFERROR(VLOOKUP($A352,'Vocus SIT ExDa'!$B$2:$J$173, 0,FALSE), IFERROR(VLOOKUP($A352,'Telstra ExDa'!$B$2:$K$310, 0,FALSE), IFERROR(VLOOKUP($A352,'Vocus RVC ExDa'!$C$2:$R$155, 16,FALSE), IFERROR(VLOOKUP($A352,'Fusion ExDa'!$B$2:$D$16, 0,FALSE), IFERROR(VLOOKUP($A352,'Exetel ExDa'!$C$2:$N$14, 0,FALSE), IFERROR(VLOOKUP($A352,'Infinet ExDa'!$B$2:$E$14, 0,FALSE), "Not Found"))))))))</f>
        <v>Not Found</v>
      </c>
      <c r="I352" t="str">
        <f>IFERROR(VLOOKUP($A352,'AAPT ExDa'!$B$2:$U$99, 0,FALSE), IFERROR(VLOOKUP($A352,'ABB ExDa'!$A$2:$N$184, 0,FALSE), IFERROR(VLOOKUP($A352,'Vocus SIT ExDa'!$B$2:$J$173, 0,FALSE), IFERROR(VLOOKUP($A352,'Telstra ExDa'!$B$2:$K$310, 0,FALSE), IFERROR(VLOOKUP($A352,'Vocus RVC ExDa'!$C$2:$R$155, 0,FALSE), IFERROR(VLOOKUP($A352,'Fusion ExDa'!$B$2:$D$16, 0,FALSE), IFERROR(VLOOKUP($A352,'Exetel ExDa'!$C$2:$N$14, 8,FALSE), IFERROR(VLOOKUP($A352,'Infinet ExDa'!$B$2:$E$14, 0,FALSE), "Not Found"))))))))</f>
        <v>Not Found</v>
      </c>
      <c r="J352" t="str">
        <f>IFERROR(VLOOKUP($A352,'AAPT ExDa'!$B$2:$U$99, 7,FALSE), IFERROR(VLOOKUP($A352,'ABB ExDa'!$A$2:$N$184, 2,FALSE), IFERROR(VLOOKUP($A352,'Vocus SIT ExDa'!$B$2:$J$173, 0,FALSE), IFERROR(VLOOKUP($A352,'Telstra ExDa'!$B$2:$K$310, 7,FALSE), IFERROR(VLOOKUP($A352,'Vocus RVC ExDa'!$C$2:$R$155, 2,FALSE), IFERROR(VLOOKUP($A352,'Fusion ExDa'!$B$2:$D$16, 3,FALSE), IFERROR(VLOOKUP($A352,'Exetel ExDa'!$C$2:$N$14, 0,FALSE), IFERROR(VLOOKUP($A352,'Infinet ExDa'!$B$2:$E$14, 0,FALSE), "Not Found"))))))))</f>
        <v>Not Found</v>
      </c>
      <c r="K352" t="str">
        <f>IFERROR(VLOOKUP($A352,'AAPT ExDa'!$B$2:$U$99, 12,FALSE), IFERROR(VLOOKUP($A352,'ABB ExDa'!$A$2:$N$184, 0,FALSE), IFERROR(VLOOKUP($A352,'Vocus SIT ExDa'!$B$2:$J$173, 0,FALSE), IFERROR(VLOOKUP($A352,'Telstra ExDa'!$B$2:$K$310, 0,FALSE), IFERROR(VLOOKUP($A352,'Vocus RVC ExDa'!$C$2:$R$155, 0,FALSE), IFERROR(VLOOKUP($A352,'Fusion ExDa'!$B$2:$D$16, 0,FALSE), IFERROR(VLOOKUP($A352,'Exetel ExDa'!$C$2:$N$14, 12,FALSE), IFERROR(VLOOKUP($A352,'Infinet ExDa'!$B$2:$E$14, 0,FALSE), "Not Found"))))))))</f>
        <v>Not Found</v>
      </c>
      <c r="L352" s="235" t="str">
        <f>IFERROR(VLOOKUP($A352,'AAPT ExDa'!$B$2:$U$99, 11,FALSE), IFERROR(VLOOKUP($A352,'ABB ExDa'!$A$2:$N$184, 9,FALSE), IFERROR(VLOOKUP($A352,'Vocus SIT ExDa'!$B$2:$J$173, 8,FALSE), IFERROR(VLOOKUP($A352,'Telstra ExDa'!$B$2:$K$310, 0,FALSE), IFERROR(VLOOKUP($A352,'Vocus RVC ExDa'!$C$2:$R$155, 0,FALSE), IFERROR(VLOOKUP($A352,'Fusion ExDa'!$B$2:$D$16, 0,FALSE), IFERROR(VLOOKUP($A352,'Exetel ExDa'!$C$2:$N$14, 9,FALSE), IFERROR(VLOOKUP($A352,'Infinet ExDa'!$B$2:$E$14, 0,FALSE), "Not Found"))))))))</f>
        <v>Not Found</v>
      </c>
      <c r="M352" s="234" t="str">
        <f>IFERROR(VLOOKUP($A352,'AAPT ExDa'!$B$2:$U$99, 0,FALSE), IFERROR(VLOOKUP($A352,'ABB ExDa'!$A$2:$N$184, 0,FALSE), IFERROR(VLOOKUP($A352,'Vocus SIT ExDa'!$B$2:$J$173, 0,FALSE), IFERROR(VLOOKUP($A352,'Telstra ExDa'!$B$2:$K$310, 0,FALSE), IFERROR(VLOOKUP($A352,'Vocus RVC ExDa'!$C$2:$R$155, 0,FALSE), IFERROR(VLOOKUP($A352,'Fusion ExDa'!$B$2:$D$16, 0,FALSE), IFERROR(VLOOKUP($A352,'Exetel ExDa'!$C$2:$N$14, 11,FALSE), IFERROR(VLOOKUP($A352,'Infinet ExDa'!$B$2:$E$14, 0,FALSE), "Not Found"))))))))</f>
        <v>Not Found</v>
      </c>
      <c r="N352" t="str">
        <f>IFERROR(VLOOKUP($A352,'AAPT ExDa'!$B$2:$U$99, 0,FALSE), IFERROR(VLOOKUP($A352,'ABB ExDa'!$A$2:$N$184, 13,FALSE), IFERROR(VLOOKUP($A352,'Vocus SIT ExDa'!$B$2:$J$173, 0,FALSE), IFERROR(VLOOKUP($A352,'Telstra ExDa'!$B$2:$K$310, 0,FALSE), IFERROR(VLOOKUP($A352,'Vocus RVC ExDa'!$C$2:$R$155, 0,FALSE), IFERROR(VLOOKUP($A352,'Fusion ExDa'!$B$2:$D$16, 0,FALSE), IFERROR(VLOOKUP($A352,'Exetel ExDa'!$C$2:$N$14, 0,FALSE), IFERROR(VLOOKUP($A352,'Infinet ExDa'!$B$2:$E$14, 0,FALSE), "Not Found"))))))))</f>
        <v>Not Found</v>
      </c>
    </row>
    <row r="353" spans="1:14">
      <c r="A353" t="str">
        <v>Promogear</v>
      </c>
      <c r="B353" t="str">
        <f>IFERROR(VLOOKUP(A353,'Exetel ExDa'!$C$2:$N$14,4,FALSE),"No Data")</f>
        <v>No Data</v>
      </c>
      <c r="C353">
        <f>IFERROR(VLOOKUP(A353,'AAPT ExDa'!$B$2:$U$99, 2,FALSE), IFERROR(VLOOKUP(A353,'ABB ExDa'!$A$2:$N$184, 2,FALSE), IFERROR(VLOOKUP(A353,'Vocus SIT ExDa'!$B$2:$J$173, 7,FALSE), IFERROR(VLOOKUP(A353,'Telstra ExDa'!$B$2:$K$310, 2,FALSE), IFERROR(VLOOKUP(A353,'Vocus RVC ExDa'!$C$2:$R$155, 3,FALSE), IFERROR(VLOOKUP(A353,'Fusion ExDa'!$B$2:$D$16, 2,FALSE), IFERROR(VLOOKUP(A353,'Exetel ExDa'!$C$2:$N$14, 2,FALSE), IFERROR(VLOOKUP(A353,'Infinet ExDa'!$B$2:$E$14, 2,FALSE), "Not Found"))))))))</f>
        <v>0</v>
      </c>
      <c r="D353" t="str">
        <f>IFERROR(VLOOKUP($A353,'AAPT ExDa'!$B$2:$U$99, 15,FALSE), IFERROR(VLOOKUP($A353,'ABB ExDa'!$A$2:$N$184, 4,FALSE), IFERROR(VLOOKUP($A353,'Vocus SIT ExDa'!$B$2:$J$173, 5,FALSE), IFERROR(VLOOKUP($A353,'Telstra ExDa'!$B$2:$K$310, 8,FALSE), IFERROR(VLOOKUP($A353,'Vocus RVC ExDa'!$C$2:$R$155, 6,FALSE), IFERROR(VLOOKUP($A353,'Fusion ExDa'!$B$2:$D$16, 4,FALSE), IFERROR(VLOOKUP($A353,'Exetel ExDa'!$C$2:$N$14, 3,FALSE), IFERROR(VLOOKUP($A353,'Infinet ExDa'!$B$2:$E$14, 3,FALSE), "Not Found"))))))))</f>
        <v>AAPT</v>
      </c>
      <c r="E353" t="str">
        <f>IFERROR(VLOOKUP($A353,'AAPT ExDa'!$B$2:$U$99, 3,FALSE), IFERROR(VLOOKUP($A353,'ABB ExDa'!$A$2:$N$184, 5,FALSE), IFERROR(VLOOKUP($A353,'Vocus SIT ExDa'!$B$2:$J$173, 2,FALSE), IFERROR(VLOOKUP($A353,'Telstra ExDa'!$B$2:$K$310, 4,FALSE), IFERROR(VLOOKUP($A353,'Vocus RVC ExDa'!$C$2:$R$155, 8,FALSE), IFERROR(VLOOKUP($A353,'Fusion ExDa'!$B$2:$D$16, 4,FALSE), IFERROR(VLOOKUP($A353,'Exetel ExDa'!$C$2:$N$14, 5,FALSE), IFERROR(VLOOKUP($A353,'Infinet ExDa'!$B$2:$E$14, 3,FALSE), "Not Found"))))))))</f>
        <v>IP-Line</v>
      </c>
      <c r="F353" t="str">
        <f>IFERROR(VLOOKUP($A353,'AAPT ExDa'!$B$2:$U$99, 4,FALSE), IFERROR(VLOOKUP($A353,'ABB ExDa'!$A$2:$N$184, 6,FALSE), IFERROR(VLOOKUP($A353,'Vocus SIT ExDa'!$B$2:$J$173, 3,FALSE), IFERROR(VLOOKUP($A353,'Telstra ExDa'!$B$2:$K$310, 5,FALSE), IFERROR(VLOOKUP($A353,'Vocus RVC ExDa'!$C$2:$R$155, 9,FALSE), IFERROR(VLOOKUP($A353,'Fusion ExDa'!$B$2:$D$16, 0,FALSE), IFERROR(VLOOKUP($A353,'Exetel ExDa'!$C$2:$N$14, 6,FALSE), IFERROR(VLOOKUP($A353,'Infinet ExDa'!$B$2:$E$14, 0,FALSE), "Not Found"))))))))</f>
        <v>IP-Line</v>
      </c>
      <c r="G353">
        <f>IFERROR(VLOOKUP($A353,'AAPT ExDa'!$B$2:$U$99, 5,FALSE), IFERROR(VLOOKUP($A353,'ABB ExDa'!$A$2:$N$184, 8,FALSE), IFERROR(VLOOKUP($A353,'Vocus SIT ExDa'!$B$2:$J$173, 6,FALSE), IFERROR(VLOOKUP($A353,'Telstra ExDa'!$B$2:$K$310, 0,FALSE), IFERROR(VLOOKUP($A353,'Vocus RVC ExDa'!$C$2:$R$155, 15,FALSE), IFERROR(VLOOKUP($A353,'Fusion ExDa'!$B$2:$D$16, 0,FALSE), IFERROR(VLOOKUP($A353,'Exetel ExDa'!$C$2:$N$14, 7,FALSE), IFERROR(VLOOKUP($A353,'Infinet ExDa'!$B$2:$E$14, 0,FALSE), "Not Found"))))))))</f>
        <v>0</v>
      </c>
      <c r="H353">
        <f>IFERROR(VLOOKUP($A353,'AAPT ExDa'!$B$2:$U$99, 6,FALSE), IFERROR(VLOOKUP($A353,'ABB ExDa'!$A$2:$N$184, 0,FALSE), IFERROR(VLOOKUP($A353,'Vocus SIT ExDa'!$B$2:$J$173, 0,FALSE), IFERROR(VLOOKUP($A353,'Telstra ExDa'!$B$2:$K$310, 0,FALSE), IFERROR(VLOOKUP($A353,'Vocus RVC ExDa'!$C$2:$R$155, 16,FALSE), IFERROR(VLOOKUP($A353,'Fusion ExDa'!$B$2:$D$16, 0,FALSE), IFERROR(VLOOKUP($A353,'Exetel ExDa'!$C$2:$N$14, 0,FALSE), IFERROR(VLOOKUP($A353,'Infinet ExDa'!$B$2:$E$14, 0,FALSE), "Not Found"))))))))</f>
        <v>0</v>
      </c>
      <c r="I353" t="str">
        <f>IFERROR(VLOOKUP($A353,'AAPT ExDa'!$B$2:$U$99, 0,FALSE), IFERROR(VLOOKUP($A353,'ABB ExDa'!$A$2:$N$184, 0,FALSE), IFERROR(VLOOKUP($A353,'Vocus SIT ExDa'!$B$2:$J$173, 0,FALSE), IFERROR(VLOOKUP($A353,'Telstra ExDa'!$B$2:$K$310, 0,FALSE), IFERROR(VLOOKUP($A353,'Vocus RVC ExDa'!$C$2:$R$155, 0,FALSE), IFERROR(VLOOKUP($A353,'Fusion ExDa'!$B$2:$D$16, 0,FALSE), IFERROR(VLOOKUP($A353,'Exetel ExDa'!$C$2:$N$14, 8,FALSE), IFERROR(VLOOKUP($A353,'Infinet ExDa'!$B$2:$E$14, 0,FALSE), "Not Found"))))))))</f>
        <v>Not Found</v>
      </c>
      <c r="J353">
        <f>IFERROR(VLOOKUP($A353,'AAPT ExDa'!$B$2:$U$99, 7,FALSE), IFERROR(VLOOKUP($A353,'ABB ExDa'!$A$2:$N$184, 2,FALSE), IFERROR(VLOOKUP($A353,'Vocus SIT ExDa'!$B$2:$J$173, 0,FALSE), IFERROR(VLOOKUP($A353,'Telstra ExDa'!$B$2:$K$310, 7,FALSE), IFERROR(VLOOKUP($A353,'Vocus RVC ExDa'!$C$2:$R$155, 2,FALSE), IFERROR(VLOOKUP($A353,'Fusion ExDa'!$B$2:$D$16, 3,FALSE), IFERROR(VLOOKUP($A353,'Exetel ExDa'!$C$2:$N$14, 0,FALSE), IFERROR(VLOOKUP($A353,'Infinet ExDa'!$B$2:$E$14, 0,FALSE), "Not Found"))))))))</f>
        <v>0</v>
      </c>
      <c r="K353" t="str">
        <f>IFERROR(VLOOKUP($A353,'AAPT ExDa'!$B$2:$U$99, 12,FALSE), IFERROR(VLOOKUP($A353,'ABB ExDa'!$A$2:$N$184, 0,FALSE), IFERROR(VLOOKUP($A353,'Vocus SIT ExDa'!$B$2:$J$173, 0,FALSE), IFERROR(VLOOKUP($A353,'Telstra ExDa'!$B$2:$K$310, 0,FALSE), IFERROR(VLOOKUP($A353,'Vocus RVC ExDa'!$C$2:$R$155, 0,FALSE), IFERROR(VLOOKUP($A353,'Fusion ExDa'!$B$2:$D$16, 0,FALSE), IFERROR(VLOOKUP($A353,'Exetel ExDa'!$C$2:$N$14, 12,FALSE), IFERROR(VLOOKUP($A353,'Infinet ExDa'!$B$2:$E$14, 0,FALSE), "Not Found"))))))))</f>
        <v>12 Months</v>
      </c>
      <c r="L353" s="235" t="str">
        <f>IFERROR(VLOOKUP($A353,'AAPT ExDa'!$B$2:$U$99, 11,FALSE), IFERROR(VLOOKUP($A353,'ABB ExDa'!$A$2:$N$184, 9,FALSE), IFERROR(VLOOKUP($A353,'Vocus SIT ExDa'!$B$2:$J$173, 8,FALSE), IFERROR(VLOOKUP($A353,'Telstra ExDa'!$B$2:$K$310, 0,FALSE), IFERROR(VLOOKUP($A353,'Vocus RVC ExDa'!$C$2:$R$155, 0,FALSE), IFERROR(VLOOKUP($A353,'Fusion ExDa'!$B$2:$D$16, 0,FALSE), IFERROR(VLOOKUP($A353,'Exetel ExDa'!$C$2:$N$14, 9,FALSE), IFERROR(VLOOKUP($A353,'Infinet ExDa'!$B$2:$E$14, 0,FALSE), "Not Found"))))))))</f>
        <v>15/06/2021</v>
      </c>
      <c r="M353" s="234" t="str">
        <f>IFERROR(VLOOKUP($A353,'AAPT ExDa'!$B$2:$U$99, 0,FALSE), IFERROR(VLOOKUP($A353,'ABB ExDa'!$A$2:$N$184, 0,FALSE), IFERROR(VLOOKUP($A353,'Vocus SIT ExDa'!$B$2:$J$173, 0,FALSE), IFERROR(VLOOKUP($A353,'Telstra ExDa'!$B$2:$K$310, 0,FALSE), IFERROR(VLOOKUP($A353,'Vocus RVC ExDa'!$C$2:$R$155, 0,FALSE), IFERROR(VLOOKUP($A353,'Fusion ExDa'!$B$2:$D$16, 0,FALSE), IFERROR(VLOOKUP($A353,'Exetel ExDa'!$C$2:$N$14, 11,FALSE), IFERROR(VLOOKUP($A353,'Infinet ExDa'!$B$2:$E$14, 0,FALSE), "Not Found"))))))))</f>
        <v>Not Found</v>
      </c>
      <c r="N353" t="str">
        <f>IFERROR(VLOOKUP($A353,'AAPT ExDa'!$B$2:$U$99, 0,FALSE), IFERROR(VLOOKUP($A353,'ABB ExDa'!$A$2:$N$184, 13,FALSE), IFERROR(VLOOKUP($A353,'Vocus SIT ExDa'!$B$2:$J$173, 0,FALSE), IFERROR(VLOOKUP($A353,'Telstra ExDa'!$B$2:$K$310, 0,FALSE), IFERROR(VLOOKUP($A353,'Vocus RVC ExDa'!$C$2:$R$155, 0,FALSE), IFERROR(VLOOKUP($A353,'Fusion ExDa'!$B$2:$D$16, 0,FALSE), IFERROR(VLOOKUP($A353,'Exetel ExDa'!$C$2:$N$14, 0,FALSE), IFERROR(VLOOKUP($A353,'Infinet ExDa'!$B$2:$E$14, 0,FALSE), "Not Found"))))))))</f>
        <v>Sasboss/Datagate</v>
      </c>
    </row>
    <row r="354" spans="1:14">
      <c r="A354">
        <v>0</v>
      </c>
      <c r="B354" t="str">
        <f>IFERROR(VLOOKUP(A354,'Exetel ExDa'!$C$2:$N$14,4,FALSE),"No Data")</f>
        <v>No Data</v>
      </c>
      <c r="C354" t="str">
        <f>IFERROR(VLOOKUP(A354,'AAPT ExDa'!$B$2:$U$99, 2,FALSE), IFERROR(VLOOKUP(A354,'ABB ExDa'!$A$2:$N$184, 2,FALSE), IFERROR(VLOOKUP(A354,'Vocus SIT ExDa'!$B$2:$J$173, 7,FALSE), IFERROR(VLOOKUP(A354,'Telstra ExDa'!$B$2:$K$310, 2,FALSE), IFERROR(VLOOKUP(A354,'Vocus RVC ExDa'!$C$2:$R$155, 3,FALSE), IFERROR(VLOOKUP(A354,'Fusion ExDa'!$B$2:$D$16, 2,FALSE), IFERROR(VLOOKUP(A354,'Exetel ExDa'!$C$2:$N$14, 2,FALSE), IFERROR(VLOOKUP(A354,'Infinet ExDa'!$B$2:$E$14, 2,FALSE), "Not Found"))))))))</f>
        <v>Not Found</v>
      </c>
      <c r="D354" t="str">
        <f>IFERROR(VLOOKUP($A354,'AAPT ExDa'!$B$2:$U$99, 15,FALSE), IFERROR(VLOOKUP($A354,'ABB ExDa'!$A$2:$N$184, 4,FALSE), IFERROR(VLOOKUP($A354,'Vocus SIT ExDa'!$B$2:$J$173, 5,FALSE), IFERROR(VLOOKUP($A354,'Telstra ExDa'!$B$2:$K$310, 8,FALSE), IFERROR(VLOOKUP($A354,'Vocus RVC ExDa'!$C$2:$R$155, 6,FALSE), IFERROR(VLOOKUP($A354,'Fusion ExDa'!$B$2:$D$16, 4,FALSE), IFERROR(VLOOKUP($A354,'Exetel ExDa'!$C$2:$N$14, 3,FALSE), IFERROR(VLOOKUP($A354,'Infinet ExDa'!$B$2:$E$14, 3,FALSE), "Not Found"))))))))</f>
        <v>Not Found</v>
      </c>
      <c r="E354" t="str">
        <f>IFERROR(VLOOKUP($A354,'AAPT ExDa'!$B$2:$U$99, 3,FALSE), IFERROR(VLOOKUP($A354,'ABB ExDa'!$A$2:$N$184, 5,FALSE), IFERROR(VLOOKUP($A354,'Vocus SIT ExDa'!$B$2:$J$173, 2,FALSE), IFERROR(VLOOKUP($A354,'Telstra ExDa'!$B$2:$K$310, 4,FALSE), IFERROR(VLOOKUP($A354,'Vocus RVC ExDa'!$C$2:$R$155, 8,FALSE), IFERROR(VLOOKUP($A354,'Fusion ExDa'!$B$2:$D$16, 4,FALSE), IFERROR(VLOOKUP($A354,'Exetel ExDa'!$C$2:$N$14, 5,FALSE), IFERROR(VLOOKUP($A354,'Infinet ExDa'!$B$2:$E$14, 3,FALSE), "Not Found"))))))))</f>
        <v>Not Found</v>
      </c>
      <c r="F354" t="str">
        <f>IFERROR(VLOOKUP($A354,'AAPT ExDa'!$B$2:$U$99, 4,FALSE), IFERROR(VLOOKUP($A354,'ABB ExDa'!$A$2:$N$184, 6,FALSE), IFERROR(VLOOKUP($A354,'Vocus SIT ExDa'!$B$2:$J$173, 3,FALSE), IFERROR(VLOOKUP($A354,'Telstra ExDa'!$B$2:$K$310, 5,FALSE), IFERROR(VLOOKUP($A354,'Vocus RVC ExDa'!$C$2:$R$155, 9,FALSE), IFERROR(VLOOKUP($A354,'Fusion ExDa'!$B$2:$D$16, 0,FALSE), IFERROR(VLOOKUP($A354,'Exetel ExDa'!$C$2:$N$14, 6,FALSE), IFERROR(VLOOKUP($A354,'Infinet ExDa'!$B$2:$E$14, 0,FALSE), "Not Found"))))))))</f>
        <v>Not Found</v>
      </c>
      <c r="G354" t="str">
        <f>IFERROR(VLOOKUP($A354,'AAPT ExDa'!$B$2:$U$99, 5,FALSE), IFERROR(VLOOKUP($A354,'ABB ExDa'!$A$2:$N$184, 8,FALSE), IFERROR(VLOOKUP($A354,'Vocus SIT ExDa'!$B$2:$J$173, 6,FALSE), IFERROR(VLOOKUP($A354,'Telstra ExDa'!$B$2:$K$310, 0,FALSE), IFERROR(VLOOKUP($A354,'Vocus RVC ExDa'!$C$2:$R$155, 15,FALSE), IFERROR(VLOOKUP($A354,'Fusion ExDa'!$B$2:$D$16, 0,FALSE), IFERROR(VLOOKUP($A354,'Exetel ExDa'!$C$2:$N$14, 7,FALSE), IFERROR(VLOOKUP($A354,'Infinet ExDa'!$B$2:$E$14, 0,FALSE), "Not Found"))))))))</f>
        <v>Not Found</v>
      </c>
      <c r="H354" t="str">
        <f>IFERROR(VLOOKUP($A354,'AAPT ExDa'!$B$2:$U$99, 6,FALSE), IFERROR(VLOOKUP($A354,'ABB ExDa'!$A$2:$N$184, 0,FALSE), IFERROR(VLOOKUP($A354,'Vocus SIT ExDa'!$B$2:$J$173, 0,FALSE), IFERROR(VLOOKUP($A354,'Telstra ExDa'!$B$2:$K$310, 0,FALSE), IFERROR(VLOOKUP($A354,'Vocus RVC ExDa'!$C$2:$R$155, 16,FALSE), IFERROR(VLOOKUP($A354,'Fusion ExDa'!$B$2:$D$16, 0,FALSE), IFERROR(VLOOKUP($A354,'Exetel ExDa'!$C$2:$N$14, 0,FALSE), IFERROR(VLOOKUP($A354,'Infinet ExDa'!$B$2:$E$14, 0,FALSE), "Not Found"))))))))</f>
        <v>Not Found</v>
      </c>
      <c r="I354" t="str">
        <f>IFERROR(VLOOKUP($A354,'AAPT ExDa'!$B$2:$U$99, 0,FALSE), IFERROR(VLOOKUP($A354,'ABB ExDa'!$A$2:$N$184, 0,FALSE), IFERROR(VLOOKUP($A354,'Vocus SIT ExDa'!$B$2:$J$173, 0,FALSE), IFERROR(VLOOKUP($A354,'Telstra ExDa'!$B$2:$K$310, 0,FALSE), IFERROR(VLOOKUP($A354,'Vocus RVC ExDa'!$C$2:$R$155, 0,FALSE), IFERROR(VLOOKUP($A354,'Fusion ExDa'!$B$2:$D$16, 0,FALSE), IFERROR(VLOOKUP($A354,'Exetel ExDa'!$C$2:$N$14, 8,FALSE), IFERROR(VLOOKUP($A354,'Infinet ExDa'!$B$2:$E$14, 0,FALSE), "Not Found"))))))))</f>
        <v>Not Found</v>
      </c>
      <c r="J354" t="str">
        <f>IFERROR(VLOOKUP($A354,'AAPT ExDa'!$B$2:$U$99, 7,FALSE), IFERROR(VLOOKUP($A354,'ABB ExDa'!$A$2:$N$184, 2,FALSE), IFERROR(VLOOKUP($A354,'Vocus SIT ExDa'!$B$2:$J$173, 0,FALSE), IFERROR(VLOOKUP($A354,'Telstra ExDa'!$B$2:$K$310, 7,FALSE), IFERROR(VLOOKUP($A354,'Vocus RVC ExDa'!$C$2:$R$155, 2,FALSE), IFERROR(VLOOKUP($A354,'Fusion ExDa'!$B$2:$D$16, 3,FALSE), IFERROR(VLOOKUP($A354,'Exetel ExDa'!$C$2:$N$14, 0,FALSE), IFERROR(VLOOKUP($A354,'Infinet ExDa'!$B$2:$E$14, 0,FALSE), "Not Found"))))))))</f>
        <v>Not Found</v>
      </c>
      <c r="K354" t="str">
        <f>IFERROR(VLOOKUP($A354,'AAPT ExDa'!$B$2:$U$99, 12,FALSE), IFERROR(VLOOKUP($A354,'ABB ExDa'!$A$2:$N$184, 0,FALSE), IFERROR(VLOOKUP($A354,'Vocus SIT ExDa'!$B$2:$J$173, 0,FALSE), IFERROR(VLOOKUP($A354,'Telstra ExDa'!$B$2:$K$310, 0,FALSE), IFERROR(VLOOKUP($A354,'Vocus RVC ExDa'!$C$2:$R$155, 0,FALSE), IFERROR(VLOOKUP($A354,'Fusion ExDa'!$B$2:$D$16, 0,FALSE), IFERROR(VLOOKUP($A354,'Exetel ExDa'!$C$2:$N$14, 12,FALSE), IFERROR(VLOOKUP($A354,'Infinet ExDa'!$B$2:$E$14, 0,FALSE), "Not Found"))))))))</f>
        <v>Not Found</v>
      </c>
      <c r="L354" s="235" t="str">
        <f>IFERROR(VLOOKUP($A354,'AAPT ExDa'!$B$2:$U$99, 11,FALSE), IFERROR(VLOOKUP($A354,'ABB ExDa'!$A$2:$N$184, 9,FALSE), IFERROR(VLOOKUP($A354,'Vocus SIT ExDa'!$B$2:$J$173, 8,FALSE), IFERROR(VLOOKUP($A354,'Telstra ExDa'!$B$2:$K$310, 0,FALSE), IFERROR(VLOOKUP($A354,'Vocus RVC ExDa'!$C$2:$R$155, 0,FALSE), IFERROR(VLOOKUP($A354,'Fusion ExDa'!$B$2:$D$16, 0,FALSE), IFERROR(VLOOKUP($A354,'Exetel ExDa'!$C$2:$N$14, 9,FALSE), IFERROR(VLOOKUP($A354,'Infinet ExDa'!$B$2:$E$14, 0,FALSE), "Not Found"))))))))</f>
        <v>Not Found</v>
      </c>
      <c r="M354" s="234" t="str">
        <f>IFERROR(VLOOKUP($A354,'AAPT ExDa'!$B$2:$U$99, 0,FALSE), IFERROR(VLOOKUP($A354,'ABB ExDa'!$A$2:$N$184, 0,FALSE), IFERROR(VLOOKUP($A354,'Vocus SIT ExDa'!$B$2:$J$173, 0,FALSE), IFERROR(VLOOKUP($A354,'Telstra ExDa'!$B$2:$K$310, 0,FALSE), IFERROR(VLOOKUP($A354,'Vocus RVC ExDa'!$C$2:$R$155, 0,FALSE), IFERROR(VLOOKUP($A354,'Fusion ExDa'!$B$2:$D$16, 0,FALSE), IFERROR(VLOOKUP($A354,'Exetel ExDa'!$C$2:$N$14, 11,FALSE), IFERROR(VLOOKUP($A354,'Infinet ExDa'!$B$2:$E$14, 0,FALSE), "Not Found"))))))))</f>
        <v>Not Found</v>
      </c>
      <c r="N354" t="str">
        <f>IFERROR(VLOOKUP($A354,'AAPT ExDa'!$B$2:$U$99, 0,FALSE), IFERROR(VLOOKUP($A354,'ABB ExDa'!$A$2:$N$184, 13,FALSE), IFERROR(VLOOKUP($A354,'Vocus SIT ExDa'!$B$2:$J$173, 0,FALSE), IFERROR(VLOOKUP($A354,'Telstra ExDa'!$B$2:$K$310, 0,FALSE), IFERROR(VLOOKUP($A354,'Vocus RVC ExDa'!$C$2:$R$155, 0,FALSE), IFERROR(VLOOKUP($A354,'Fusion ExDa'!$B$2:$D$16, 0,FALSE), IFERROR(VLOOKUP($A354,'Exetel ExDa'!$C$2:$N$14, 0,FALSE), IFERROR(VLOOKUP($A354,'Infinet ExDa'!$B$2:$E$14, 0,FALSE), "Not Found"))))))))</f>
        <v>Not Found</v>
      </c>
    </row>
    <row r="355" spans="1:14">
      <c r="A355">
        <v>0</v>
      </c>
      <c r="B355" t="str">
        <f>IFERROR(VLOOKUP(A355,'Exetel ExDa'!$C$2:$N$14,4,FALSE),"No Data")</f>
        <v>No Data</v>
      </c>
      <c r="C355" t="str">
        <f>IFERROR(VLOOKUP(A355,'AAPT ExDa'!$B$2:$U$99, 2,FALSE), IFERROR(VLOOKUP(A355,'ABB ExDa'!$A$2:$N$184, 2,FALSE), IFERROR(VLOOKUP(A355,'Vocus SIT ExDa'!$B$2:$J$173, 7,FALSE), IFERROR(VLOOKUP(A355,'Telstra ExDa'!$B$2:$K$310, 2,FALSE), IFERROR(VLOOKUP(A355,'Vocus RVC ExDa'!$C$2:$R$155, 3,FALSE), IFERROR(VLOOKUP(A355,'Fusion ExDa'!$B$2:$D$16, 2,FALSE), IFERROR(VLOOKUP(A355,'Exetel ExDa'!$C$2:$N$14, 2,FALSE), IFERROR(VLOOKUP(A355,'Infinet ExDa'!$B$2:$E$14, 2,FALSE), "Not Found"))))))))</f>
        <v>Not Found</v>
      </c>
      <c r="D355" t="str">
        <f>IFERROR(VLOOKUP($A355,'AAPT ExDa'!$B$2:$U$99, 15,FALSE), IFERROR(VLOOKUP($A355,'ABB ExDa'!$A$2:$N$184, 4,FALSE), IFERROR(VLOOKUP($A355,'Vocus SIT ExDa'!$B$2:$J$173, 5,FALSE), IFERROR(VLOOKUP($A355,'Telstra ExDa'!$B$2:$K$310, 8,FALSE), IFERROR(VLOOKUP($A355,'Vocus RVC ExDa'!$C$2:$R$155, 6,FALSE), IFERROR(VLOOKUP($A355,'Fusion ExDa'!$B$2:$D$16, 4,FALSE), IFERROR(VLOOKUP($A355,'Exetel ExDa'!$C$2:$N$14, 3,FALSE), IFERROR(VLOOKUP($A355,'Infinet ExDa'!$B$2:$E$14, 3,FALSE), "Not Found"))))))))</f>
        <v>Not Found</v>
      </c>
      <c r="E355" t="str">
        <f>IFERROR(VLOOKUP($A355,'AAPT ExDa'!$B$2:$U$99, 3,FALSE), IFERROR(VLOOKUP($A355,'ABB ExDa'!$A$2:$N$184, 5,FALSE), IFERROR(VLOOKUP($A355,'Vocus SIT ExDa'!$B$2:$J$173, 2,FALSE), IFERROR(VLOOKUP($A355,'Telstra ExDa'!$B$2:$K$310, 4,FALSE), IFERROR(VLOOKUP($A355,'Vocus RVC ExDa'!$C$2:$R$155, 8,FALSE), IFERROR(VLOOKUP($A355,'Fusion ExDa'!$B$2:$D$16, 4,FALSE), IFERROR(VLOOKUP($A355,'Exetel ExDa'!$C$2:$N$14, 5,FALSE), IFERROR(VLOOKUP($A355,'Infinet ExDa'!$B$2:$E$14, 3,FALSE), "Not Found"))))))))</f>
        <v>Not Found</v>
      </c>
      <c r="F355" t="str">
        <f>IFERROR(VLOOKUP($A355,'AAPT ExDa'!$B$2:$U$99, 4,FALSE), IFERROR(VLOOKUP($A355,'ABB ExDa'!$A$2:$N$184, 6,FALSE), IFERROR(VLOOKUP($A355,'Vocus SIT ExDa'!$B$2:$J$173, 3,FALSE), IFERROR(VLOOKUP($A355,'Telstra ExDa'!$B$2:$K$310, 5,FALSE), IFERROR(VLOOKUP($A355,'Vocus RVC ExDa'!$C$2:$R$155, 9,FALSE), IFERROR(VLOOKUP($A355,'Fusion ExDa'!$B$2:$D$16, 0,FALSE), IFERROR(VLOOKUP($A355,'Exetel ExDa'!$C$2:$N$14, 6,FALSE), IFERROR(VLOOKUP($A355,'Infinet ExDa'!$B$2:$E$14, 0,FALSE), "Not Found"))))))))</f>
        <v>Not Found</v>
      </c>
      <c r="G355" t="str">
        <f>IFERROR(VLOOKUP($A355,'AAPT ExDa'!$B$2:$U$99, 5,FALSE), IFERROR(VLOOKUP($A355,'ABB ExDa'!$A$2:$N$184, 8,FALSE), IFERROR(VLOOKUP($A355,'Vocus SIT ExDa'!$B$2:$J$173, 6,FALSE), IFERROR(VLOOKUP($A355,'Telstra ExDa'!$B$2:$K$310, 0,FALSE), IFERROR(VLOOKUP($A355,'Vocus RVC ExDa'!$C$2:$R$155, 15,FALSE), IFERROR(VLOOKUP($A355,'Fusion ExDa'!$B$2:$D$16, 0,FALSE), IFERROR(VLOOKUP($A355,'Exetel ExDa'!$C$2:$N$14, 7,FALSE), IFERROR(VLOOKUP($A355,'Infinet ExDa'!$B$2:$E$14, 0,FALSE), "Not Found"))))))))</f>
        <v>Not Found</v>
      </c>
      <c r="H355" t="str">
        <f>IFERROR(VLOOKUP($A355,'AAPT ExDa'!$B$2:$U$99, 6,FALSE), IFERROR(VLOOKUP($A355,'ABB ExDa'!$A$2:$N$184, 0,FALSE), IFERROR(VLOOKUP($A355,'Vocus SIT ExDa'!$B$2:$J$173, 0,FALSE), IFERROR(VLOOKUP($A355,'Telstra ExDa'!$B$2:$K$310, 0,FALSE), IFERROR(VLOOKUP($A355,'Vocus RVC ExDa'!$C$2:$R$155, 16,FALSE), IFERROR(VLOOKUP($A355,'Fusion ExDa'!$B$2:$D$16, 0,FALSE), IFERROR(VLOOKUP($A355,'Exetel ExDa'!$C$2:$N$14, 0,FALSE), IFERROR(VLOOKUP($A355,'Infinet ExDa'!$B$2:$E$14, 0,FALSE), "Not Found"))))))))</f>
        <v>Not Found</v>
      </c>
      <c r="I355" t="str">
        <f>IFERROR(VLOOKUP($A355,'AAPT ExDa'!$B$2:$U$99, 0,FALSE), IFERROR(VLOOKUP($A355,'ABB ExDa'!$A$2:$N$184, 0,FALSE), IFERROR(VLOOKUP($A355,'Vocus SIT ExDa'!$B$2:$J$173, 0,FALSE), IFERROR(VLOOKUP($A355,'Telstra ExDa'!$B$2:$K$310, 0,FALSE), IFERROR(VLOOKUP($A355,'Vocus RVC ExDa'!$C$2:$R$155, 0,FALSE), IFERROR(VLOOKUP($A355,'Fusion ExDa'!$B$2:$D$16, 0,FALSE), IFERROR(VLOOKUP($A355,'Exetel ExDa'!$C$2:$N$14, 8,FALSE), IFERROR(VLOOKUP($A355,'Infinet ExDa'!$B$2:$E$14, 0,FALSE), "Not Found"))))))))</f>
        <v>Not Found</v>
      </c>
      <c r="J355" t="str">
        <f>IFERROR(VLOOKUP($A355,'AAPT ExDa'!$B$2:$U$99, 7,FALSE), IFERROR(VLOOKUP($A355,'ABB ExDa'!$A$2:$N$184, 2,FALSE), IFERROR(VLOOKUP($A355,'Vocus SIT ExDa'!$B$2:$J$173, 0,FALSE), IFERROR(VLOOKUP($A355,'Telstra ExDa'!$B$2:$K$310, 7,FALSE), IFERROR(VLOOKUP($A355,'Vocus RVC ExDa'!$C$2:$R$155, 2,FALSE), IFERROR(VLOOKUP($A355,'Fusion ExDa'!$B$2:$D$16, 3,FALSE), IFERROR(VLOOKUP($A355,'Exetel ExDa'!$C$2:$N$14, 0,FALSE), IFERROR(VLOOKUP($A355,'Infinet ExDa'!$B$2:$E$14, 0,FALSE), "Not Found"))))))))</f>
        <v>Not Found</v>
      </c>
      <c r="K355" t="str">
        <f>IFERROR(VLOOKUP($A355,'AAPT ExDa'!$B$2:$U$99, 12,FALSE), IFERROR(VLOOKUP($A355,'ABB ExDa'!$A$2:$N$184, 0,FALSE), IFERROR(VLOOKUP($A355,'Vocus SIT ExDa'!$B$2:$J$173, 0,FALSE), IFERROR(VLOOKUP($A355,'Telstra ExDa'!$B$2:$K$310, 0,FALSE), IFERROR(VLOOKUP($A355,'Vocus RVC ExDa'!$C$2:$R$155, 0,FALSE), IFERROR(VLOOKUP($A355,'Fusion ExDa'!$B$2:$D$16, 0,FALSE), IFERROR(VLOOKUP($A355,'Exetel ExDa'!$C$2:$N$14, 12,FALSE), IFERROR(VLOOKUP($A355,'Infinet ExDa'!$B$2:$E$14, 0,FALSE), "Not Found"))))))))</f>
        <v>Not Found</v>
      </c>
      <c r="L355" s="235" t="str">
        <f>IFERROR(VLOOKUP($A355,'AAPT ExDa'!$B$2:$U$99, 11,FALSE), IFERROR(VLOOKUP($A355,'ABB ExDa'!$A$2:$N$184, 9,FALSE), IFERROR(VLOOKUP($A355,'Vocus SIT ExDa'!$B$2:$J$173, 8,FALSE), IFERROR(VLOOKUP($A355,'Telstra ExDa'!$B$2:$K$310, 0,FALSE), IFERROR(VLOOKUP($A355,'Vocus RVC ExDa'!$C$2:$R$155, 0,FALSE), IFERROR(VLOOKUP($A355,'Fusion ExDa'!$B$2:$D$16, 0,FALSE), IFERROR(VLOOKUP($A355,'Exetel ExDa'!$C$2:$N$14, 9,FALSE), IFERROR(VLOOKUP($A355,'Infinet ExDa'!$B$2:$E$14, 0,FALSE), "Not Found"))))))))</f>
        <v>Not Found</v>
      </c>
      <c r="M355" s="234" t="str">
        <f>IFERROR(VLOOKUP($A355,'AAPT ExDa'!$B$2:$U$99, 0,FALSE), IFERROR(VLOOKUP($A355,'ABB ExDa'!$A$2:$N$184, 0,FALSE), IFERROR(VLOOKUP($A355,'Vocus SIT ExDa'!$B$2:$J$173, 0,FALSE), IFERROR(VLOOKUP($A355,'Telstra ExDa'!$B$2:$K$310, 0,FALSE), IFERROR(VLOOKUP($A355,'Vocus RVC ExDa'!$C$2:$R$155, 0,FALSE), IFERROR(VLOOKUP($A355,'Fusion ExDa'!$B$2:$D$16, 0,FALSE), IFERROR(VLOOKUP($A355,'Exetel ExDa'!$C$2:$N$14, 11,FALSE), IFERROR(VLOOKUP($A355,'Infinet ExDa'!$B$2:$E$14, 0,FALSE), "Not Found"))))))))</f>
        <v>Not Found</v>
      </c>
      <c r="N355" t="str">
        <f>IFERROR(VLOOKUP($A355,'AAPT ExDa'!$B$2:$U$99, 0,FALSE), IFERROR(VLOOKUP($A355,'ABB ExDa'!$A$2:$N$184, 13,FALSE), IFERROR(VLOOKUP($A355,'Vocus SIT ExDa'!$B$2:$J$173, 0,FALSE), IFERROR(VLOOKUP($A355,'Telstra ExDa'!$B$2:$K$310, 0,FALSE), IFERROR(VLOOKUP($A355,'Vocus RVC ExDa'!$C$2:$R$155, 0,FALSE), IFERROR(VLOOKUP($A355,'Fusion ExDa'!$B$2:$D$16, 0,FALSE), IFERROR(VLOOKUP($A355,'Exetel ExDa'!$C$2:$N$14, 0,FALSE), IFERROR(VLOOKUP($A355,'Infinet ExDa'!$B$2:$E$14, 0,FALSE), "Not Found"))))))))</f>
        <v>Not Found</v>
      </c>
    </row>
    <row r="356" spans="1:14">
      <c r="A356">
        <v>0</v>
      </c>
      <c r="B356" t="str">
        <f>IFERROR(VLOOKUP(A356,'Exetel ExDa'!$C$2:$N$14,4,FALSE),"No Data")</f>
        <v>No Data</v>
      </c>
      <c r="C356" t="str">
        <f>IFERROR(VLOOKUP(A356,'AAPT ExDa'!$B$2:$U$99, 2,FALSE), IFERROR(VLOOKUP(A356,'ABB ExDa'!$A$2:$N$184, 2,FALSE), IFERROR(VLOOKUP(A356,'Vocus SIT ExDa'!$B$2:$J$173, 7,FALSE), IFERROR(VLOOKUP(A356,'Telstra ExDa'!$B$2:$K$310, 2,FALSE), IFERROR(VLOOKUP(A356,'Vocus RVC ExDa'!$C$2:$R$155, 3,FALSE), IFERROR(VLOOKUP(A356,'Fusion ExDa'!$B$2:$D$16, 2,FALSE), IFERROR(VLOOKUP(A356,'Exetel ExDa'!$C$2:$N$14, 2,FALSE), IFERROR(VLOOKUP(A356,'Infinet ExDa'!$B$2:$E$14, 2,FALSE), "Not Found"))))))))</f>
        <v>Not Found</v>
      </c>
      <c r="D356" t="str">
        <f>IFERROR(VLOOKUP($A356,'AAPT ExDa'!$B$2:$U$99, 15,FALSE), IFERROR(VLOOKUP($A356,'ABB ExDa'!$A$2:$N$184, 4,FALSE), IFERROR(VLOOKUP($A356,'Vocus SIT ExDa'!$B$2:$J$173, 5,FALSE), IFERROR(VLOOKUP($A356,'Telstra ExDa'!$B$2:$K$310, 8,FALSE), IFERROR(VLOOKUP($A356,'Vocus RVC ExDa'!$C$2:$R$155, 6,FALSE), IFERROR(VLOOKUP($A356,'Fusion ExDa'!$B$2:$D$16, 4,FALSE), IFERROR(VLOOKUP($A356,'Exetel ExDa'!$C$2:$N$14, 3,FALSE), IFERROR(VLOOKUP($A356,'Infinet ExDa'!$B$2:$E$14, 3,FALSE), "Not Found"))))))))</f>
        <v>Not Found</v>
      </c>
      <c r="E356" t="str">
        <f>IFERROR(VLOOKUP($A356,'AAPT ExDa'!$B$2:$U$99, 3,FALSE), IFERROR(VLOOKUP($A356,'ABB ExDa'!$A$2:$N$184, 5,FALSE), IFERROR(VLOOKUP($A356,'Vocus SIT ExDa'!$B$2:$J$173, 2,FALSE), IFERROR(VLOOKUP($A356,'Telstra ExDa'!$B$2:$K$310, 4,FALSE), IFERROR(VLOOKUP($A356,'Vocus RVC ExDa'!$C$2:$R$155, 8,FALSE), IFERROR(VLOOKUP($A356,'Fusion ExDa'!$B$2:$D$16, 4,FALSE), IFERROR(VLOOKUP($A356,'Exetel ExDa'!$C$2:$N$14, 5,FALSE), IFERROR(VLOOKUP($A356,'Infinet ExDa'!$B$2:$E$14, 3,FALSE), "Not Found"))))))))</f>
        <v>Not Found</v>
      </c>
      <c r="F356" t="str">
        <f>IFERROR(VLOOKUP($A356,'AAPT ExDa'!$B$2:$U$99, 4,FALSE), IFERROR(VLOOKUP($A356,'ABB ExDa'!$A$2:$N$184, 6,FALSE), IFERROR(VLOOKUP($A356,'Vocus SIT ExDa'!$B$2:$J$173, 3,FALSE), IFERROR(VLOOKUP($A356,'Telstra ExDa'!$B$2:$K$310, 5,FALSE), IFERROR(VLOOKUP($A356,'Vocus RVC ExDa'!$C$2:$R$155, 9,FALSE), IFERROR(VLOOKUP($A356,'Fusion ExDa'!$B$2:$D$16, 0,FALSE), IFERROR(VLOOKUP($A356,'Exetel ExDa'!$C$2:$N$14, 6,FALSE), IFERROR(VLOOKUP($A356,'Infinet ExDa'!$B$2:$E$14, 0,FALSE), "Not Found"))))))))</f>
        <v>Not Found</v>
      </c>
      <c r="G356" t="str">
        <f>IFERROR(VLOOKUP($A356,'AAPT ExDa'!$B$2:$U$99, 5,FALSE), IFERROR(VLOOKUP($A356,'ABB ExDa'!$A$2:$N$184, 8,FALSE), IFERROR(VLOOKUP($A356,'Vocus SIT ExDa'!$B$2:$J$173, 6,FALSE), IFERROR(VLOOKUP($A356,'Telstra ExDa'!$B$2:$K$310, 0,FALSE), IFERROR(VLOOKUP($A356,'Vocus RVC ExDa'!$C$2:$R$155, 15,FALSE), IFERROR(VLOOKUP($A356,'Fusion ExDa'!$B$2:$D$16, 0,FALSE), IFERROR(VLOOKUP($A356,'Exetel ExDa'!$C$2:$N$14, 7,FALSE), IFERROR(VLOOKUP($A356,'Infinet ExDa'!$B$2:$E$14, 0,FALSE), "Not Found"))))))))</f>
        <v>Not Found</v>
      </c>
      <c r="H356" t="str">
        <f>IFERROR(VLOOKUP($A356,'AAPT ExDa'!$B$2:$U$99, 6,FALSE), IFERROR(VLOOKUP($A356,'ABB ExDa'!$A$2:$N$184, 0,FALSE), IFERROR(VLOOKUP($A356,'Vocus SIT ExDa'!$B$2:$J$173, 0,FALSE), IFERROR(VLOOKUP($A356,'Telstra ExDa'!$B$2:$K$310, 0,FALSE), IFERROR(VLOOKUP($A356,'Vocus RVC ExDa'!$C$2:$R$155, 16,FALSE), IFERROR(VLOOKUP($A356,'Fusion ExDa'!$B$2:$D$16, 0,FALSE), IFERROR(VLOOKUP($A356,'Exetel ExDa'!$C$2:$N$14, 0,FALSE), IFERROR(VLOOKUP($A356,'Infinet ExDa'!$B$2:$E$14, 0,FALSE), "Not Found"))))))))</f>
        <v>Not Found</v>
      </c>
      <c r="I356" t="str">
        <f>IFERROR(VLOOKUP($A356,'AAPT ExDa'!$B$2:$U$99, 0,FALSE), IFERROR(VLOOKUP($A356,'ABB ExDa'!$A$2:$N$184, 0,FALSE), IFERROR(VLOOKUP($A356,'Vocus SIT ExDa'!$B$2:$J$173, 0,FALSE), IFERROR(VLOOKUP($A356,'Telstra ExDa'!$B$2:$K$310, 0,FALSE), IFERROR(VLOOKUP($A356,'Vocus RVC ExDa'!$C$2:$R$155, 0,FALSE), IFERROR(VLOOKUP($A356,'Fusion ExDa'!$B$2:$D$16, 0,FALSE), IFERROR(VLOOKUP($A356,'Exetel ExDa'!$C$2:$N$14, 8,FALSE), IFERROR(VLOOKUP($A356,'Infinet ExDa'!$B$2:$E$14, 0,FALSE), "Not Found"))))))))</f>
        <v>Not Found</v>
      </c>
      <c r="J356" t="str">
        <f>IFERROR(VLOOKUP($A356,'AAPT ExDa'!$B$2:$U$99, 7,FALSE), IFERROR(VLOOKUP($A356,'ABB ExDa'!$A$2:$N$184, 2,FALSE), IFERROR(VLOOKUP($A356,'Vocus SIT ExDa'!$B$2:$J$173, 0,FALSE), IFERROR(VLOOKUP($A356,'Telstra ExDa'!$B$2:$K$310, 7,FALSE), IFERROR(VLOOKUP($A356,'Vocus RVC ExDa'!$C$2:$R$155, 2,FALSE), IFERROR(VLOOKUP($A356,'Fusion ExDa'!$B$2:$D$16, 3,FALSE), IFERROR(VLOOKUP($A356,'Exetel ExDa'!$C$2:$N$14, 0,FALSE), IFERROR(VLOOKUP($A356,'Infinet ExDa'!$B$2:$E$14, 0,FALSE), "Not Found"))))))))</f>
        <v>Not Found</v>
      </c>
      <c r="K356" t="str">
        <f>IFERROR(VLOOKUP($A356,'AAPT ExDa'!$B$2:$U$99, 12,FALSE), IFERROR(VLOOKUP($A356,'ABB ExDa'!$A$2:$N$184, 0,FALSE), IFERROR(VLOOKUP($A356,'Vocus SIT ExDa'!$B$2:$J$173, 0,FALSE), IFERROR(VLOOKUP($A356,'Telstra ExDa'!$B$2:$K$310, 0,FALSE), IFERROR(VLOOKUP($A356,'Vocus RVC ExDa'!$C$2:$R$155, 0,FALSE), IFERROR(VLOOKUP($A356,'Fusion ExDa'!$B$2:$D$16, 0,FALSE), IFERROR(VLOOKUP($A356,'Exetel ExDa'!$C$2:$N$14, 12,FALSE), IFERROR(VLOOKUP($A356,'Infinet ExDa'!$B$2:$E$14, 0,FALSE), "Not Found"))))))))</f>
        <v>Not Found</v>
      </c>
      <c r="L356" s="235" t="str">
        <f>IFERROR(VLOOKUP($A356,'AAPT ExDa'!$B$2:$U$99, 11,FALSE), IFERROR(VLOOKUP($A356,'ABB ExDa'!$A$2:$N$184, 9,FALSE), IFERROR(VLOOKUP($A356,'Vocus SIT ExDa'!$B$2:$J$173, 8,FALSE), IFERROR(VLOOKUP($A356,'Telstra ExDa'!$B$2:$K$310, 0,FALSE), IFERROR(VLOOKUP($A356,'Vocus RVC ExDa'!$C$2:$R$155, 0,FALSE), IFERROR(VLOOKUP($A356,'Fusion ExDa'!$B$2:$D$16, 0,FALSE), IFERROR(VLOOKUP($A356,'Exetel ExDa'!$C$2:$N$14, 9,FALSE), IFERROR(VLOOKUP($A356,'Infinet ExDa'!$B$2:$E$14, 0,FALSE), "Not Found"))))))))</f>
        <v>Not Found</v>
      </c>
      <c r="M356" s="234" t="str">
        <f>IFERROR(VLOOKUP($A356,'AAPT ExDa'!$B$2:$U$99, 0,FALSE), IFERROR(VLOOKUP($A356,'ABB ExDa'!$A$2:$N$184, 0,FALSE), IFERROR(VLOOKUP($A356,'Vocus SIT ExDa'!$B$2:$J$173, 0,FALSE), IFERROR(VLOOKUP($A356,'Telstra ExDa'!$B$2:$K$310, 0,FALSE), IFERROR(VLOOKUP($A356,'Vocus RVC ExDa'!$C$2:$R$155, 0,FALSE), IFERROR(VLOOKUP($A356,'Fusion ExDa'!$B$2:$D$16, 0,FALSE), IFERROR(VLOOKUP($A356,'Exetel ExDa'!$C$2:$N$14, 11,FALSE), IFERROR(VLOOKUP($A356,'Infinet ExDa'!$B$2:$E$14, 0,FALSE), "Not Found"))))))))</f>
        <v>Not Found</v>
      </c>
      <c r="N356" t="str">
        <f>IFERROR(VLOOKUP($A356,'AAPT ExDa'!$B$2:$U$99, 0,FALSE), IFERROR(VLOOKUP($A356,'ABB ExDa'!$A$2:$N$184, 13,FALSE), IFERROR(VLOOKUP($A356,'Vocus SIT ExDa'!$B$2:$J$173, 0,FALSE), IFERROR(VLOOKUP($A356,'Telstra ExDa'!$B$2:$K$310, 0,FALSE), IFERROR(VLOOKUP($A356,'Vocus RVC ExDa'!$C$2:$R$155, 0,FALSE), IFERROR(VLOOKUP($A356,'Fusion ExDa'!$B$2:$D$16, 0,FALSE), IFERROR(VLOOKUP($A356,'Exetel ExDa'!$C$2:$N$14, 0,FALSE), IFERROR(VLOOKUP($A356,'Infinet ExDa'!$B$2:$E$14, 0,FALSE), "Not Found"))))))))</f>
        <v>Not Found</v>
      </c>
    </row>
    <row r="357" spans="1:14">
      <c r="A357" t="str">
        <v>Talisman Partners</v>
      </c>
      <c r="B357" t="str">
        <f>IFERROR(VLOOKUP(A357,'Exetel ExDa'!$C$2:$N$14,4,FALSE),"No Data")</f>
        <v>No Data</v>
      </c>
      <c r="C357">
        <f>IFERROR(VLOOKUP(A357,'AAPT ExDa'!$B$2:$U$99, 2,FALSE), IFERROR(VLOOKUP(A357,'ABB ExDa'!$A$2:$N$184, 2,FALSE), IFERROR(VLOOKUP(A357,'Vocus SIT ExDa'!$B$2:$J$173, 7,FALSE), IFERROR(VLOOKUP(A357,'Telstra ExDa'!$B$2:$K$310, 2,FALSE), IFERROR(VLOOKUP(A357,'Vocus RVC ExDa'!$C$2:$R$155, 3,FALSE), IFERROR(VLOOKUP(A357,'Fusion ExDa'!$B$2:$D$16, 2,FALSE), IFERROR(VLOOKUP(A357,'Exetel ExDa'!$C$2:$N$14, 2,FALSE), IFERROR(VLOOKUP(A357,'Infinet ExDa'!$B$2:$E$14, 2,FALSE), "Not Found"))))))))</f>
        <v>0</v>
      </c>
      <c r="D357" t="str">
        <f>IFERROR(VLOOKUP($A357,'AAPT ExDa'!$B$2:$U$99, 15,FALSE), IFERROR(VLOOKUP($A357,'ABB ExDa'!$A$2:$N$184, 4,FALSE), IFERROR(VLOOKUP($A357,'Vocus SIT ExDa'!$B$2:$J$173, 5,FALSE), IFERROR(VLOOKUP($A357,'Telstra ExDa'!$B$2:$K$310, 8,FALSE), IFERROR(VLOOKUP($A357,'Vocus RVC ExDa'!$C$2:$R$155, 6,FALSE), IFERROR(VLOOKUP($A357,'Fusion ExDa'!$B$2:$D$16, 4,FALSE), IFERROR(VLOOKUP($A357,'Exetel ExDa'!$C$2:$N$14, 3,FALSE), IFERROR(VLOOKUP($A357,'Infinet ExDa'!$B$2:$E$14, 3,FALSE), "Not Found"))))))))</f>
        <v>Vocus SIT</v>
      </c>
      <c r="E357" t="str">
        <f>IFERROR(VLOOKUP($A357,'AAPT ExDa'!$B$2:$U$99, 3,FALSE), IFERROR(VLOOKUP($A357,'ABB ExDa'!$A$2:$N$184, 5,FALSE), IFERROR(VLOOKUP($A357,'Vocus SIT ExDa'!$B$2:$J$173, 2,FALSE), IFERROR(VLOOKUP($A357,'Telstra ExDa'!$B$2:$K$310, 4,FALSE), IFERROR(VLOOKUP($A357,'Vocus RVC ExDa'!$C$2:$R$155, 8,FALSE), IFERROR(VLOOKUP($A357,'Fusion ExDa'!$B$2:$D$16, 4,FALSE), IFERROR(VLOOKUP($A357,'Exetel ExDa'!$C$2:$N$14, 5,FALSE), IFERROR(VLOOKUP($A357,'Infinet ExDa'!$B$2:$E$14, 3,FALSE), "Not Found"))))))))</f>
        <v>Voice Service</v>
      </c>
      <c r="F357" t="str">
        <f>IFERROR(VLOOKUP($A357,'AAPT ExDa'!$B$2:$U$99, 4,FALSE), IFERROR(VLOOKUP($A357,'ABB ExDa'!$A$2:$N$184, 6,FALSE), IFERROR(VLOOKUP($A357,'Vocus SIT ExDa'!$B$2:$J$173, 3,FALSE), IFERROR(VLOOKUP($A357,'Telstra ExDa'!$B$2:$K$310, 5,FALSE), IFERROR(VLOOKUP($A357,'Vocus RVC ExDa'!$C$2:$R$155, 9,FALSE), IFERROR(VLOOKUP($A357,'Fusion ExDa'!$B$2:$D$16, 0,FALSE), IFERROR(VLOOKUP($A357,'Exetel ExDa'!$C$2:$N$14, 6,FALSE), IFERROR(VLOOKUP($A357,'Infinet ExDa'!$B$2:$E$14, 0,FALSE), "Not Found"))))))))</f>
        <v>0731127230</v>
      </c>
      <c r="G357" t="str">
        <f>IFERROR(VLOOKUP($A357,'AAPT ExDa'!$B$2:$U$99, 5,FALSE), IFERROR(VLOOKUP($A357,'ABB ExDa'!$A$2:$N$184, 8,FALSE), IFERROR(VLOOKUP($A357,'Vocus SIT ExDa'!$B$2:$J$173, 6,FALSE), IFERROR(VLOOKUP($A357,'Telstra ExDa'!$B$2:$K$310, 0,FALSE), IFERROR(VLOOKUP($A357,'Vocus RVC ExDa'!$C$2:$R$155, 15,FALSE), IFERROR(VLOOKUP($A357,'Fusion ExDa'!$B$2:$D$16, 0,FALSE), IFERROR(VLOOKUP($A357,'Exetel ExDa'!$C$2:$N$14, 7,FALSE), IFERROR(VLOOKUP($A357,'Infinet ExDa'!$B$2:$E$14, 0,FALSE), "Not Found"))))))))</f>
        <v>IP Tel Order - Smile Tel - 07/12/2021</v>
      </c>
      <c r="H357" t="str">
        <f>IFERROR(VLOOKUP($A357,'AAPT ExDa'!$B$2:$U$99, 6,FALSE), IFERROR(VLOOKUP($A357,'ABB ExDa'!$A$2:$N$184, 0,FALSE), IFERROR(VLOOKUP($A357,'Vocus SIT ExDa'!$B$2:$J$173, 0,FALSE), IFERROR(VLOOKUP($A357,'Telstra ExDa'!$B$2:$K$310, 0,FALSE), IFERROR(VLOOKUP($A357,'Vocus RVC ExDa'!$C$2:$R$155, 16,FALSE), IFERROR(VLOOKUP($A357,'Fusion ExDa'!$B$2:$D$16, 0,FALSE), IFERROR(VLOOKUP($A357,'Exetel ExDa'!$C$2:$N$14, 0,FALSE), IFERROR(VLOOKUP($A357,'Infinet ExDa'!$B$2:$E$14, 0,FALSE), "Not Found"))))))))</f>
        <v>Not Found</v>
      </c>
      <c r="I357" t="str">
        <f>IFERROR(VLOOKUP($A357,'AAPT ExDa'!$B$2:$U$99, 0,FALSE), IFERROR(VLOOKUP($A357,'ABB ExDa'!$A$2:$N$184, 0,FALSE), IFERROR(VLOOKUP($A357,'Vocus SIT ExDa'!$B$2:$J$173, 0,FALSE), IFERROR(VLOOKUP($A357,'Telstra ExDa'!$B$2:$K$310, 0,FALSE), IFERROR(VLOOKUP($A357,'Vocus RVC ExDa'!$C$2:$R$155, 0,FALSE), IFERROR(VLOOKUP($A357,'Fusion ExDa'!$B$2:$D$16, 0,FALSE), IFERROR(VLOOKUP($A357,'Exetel ExDa'!$C$2:$N$14, 8,FALSE), IFERROR(VLOOKUP($A357,'Infinet ExDa'!$B$2:$E$14, 0,FALSE), "Not Found"))))))))</f>
        <v>Not Found</v>
      </c>
      <c r="J357" t="str">
        <f>IFERROR(VLOOKUP($A357,'AAPT ExDa'!$B$2:$U$99, 7,FALSE), IFERROR(VLOOKUP($A357,'ABB ExDa'!$A$2:$N$184, 2,FALSE), IFERROR(VLOOKUP($A357,'Vocus SIT ExDa'!$B$2:$J$173, 0,FALSE), IFERROR(VLOOKUP($A357,'Telstra ExDa'!$B$2:$K$310, 7,FALSE), IFERROR(VLOOKUP($A357,'Vocus RVC ExDa'!$C$2:$R$155, 2,FALSE), IFERROR(VLOOKUP($A357,'Fusion ExDa'!$B$2:$D$16, 3,FALSE), IFERROR(VLOOKUP($A357,'Exetel ExDa'!$C$2:$N$14, 0,FALSE), IFERROR(VLOOKUP($A357,'Infinet ExDa'!$B$2:$E$14, 0,FALSE), "Not Found"))))))))</f>
        <v>Not Found</v>
      </c>
      <c r="K357" t="str">
        <f>IFERROR(VLOOKUP($A357,'AAPT ExDa'!$B$2:$U$99, 12,FALSE), IFERROR(VLOOKUP($A357,'ABB ExDa'!$A$2:$N$184, 0,FALSE), IFERROR(VLOOKUP($A357,'Vocus SIT ExDa'!$B$2:$J$173, 0,FALSE), IFERROR(VLOOKUP($A357,'Telstra ExDa'!$B$2:$K$310, 0,FALSE), IFERROR(VLOOKUP($A357,'Vocus RVC ExDa'!$C$2:$R$155, 0,FALSE), IFERROR(VLOOKUP($A357,'Fusion ExDa'!$B$2:$D$16, 0,FALSE), IFERROR(VLOOKUP($A357,'Exetel ExDa'!$C$2:$N$14, 12,FALSE), IFERROR(VLOOKUP($A357,'Infinet ExDa'!$B$2:$E$14, 0,FALSE), "Not Found"))))))))</f>
        <v>Not Found</v>
      </c>
      <c r="L357" s="235" t="str">
        <f>IFERROR(VLOOKUP($A357,'AAPT ExDa'!$B$2:$U$99, 11,FALSE), IFERROR(VLOOKUP($A357,'ABB ExDa'!$A$2:$N$184, 9,FALSE), IFERROR(VLOOKUP($A357,'Vocus SIT ExDa'!$B$2:$J$173, 8,FALSE), IFERROR(VLOOKUP($A357,'Telstra ExDa'!$B$2:$K$310, 0,FALSE), IFERROR(VLOOKUP($A357,'Vocus RVC ExDa'!$C$2:$R$155, 0,FALSE), IFERROR(VLOOKUP($A357,'Fusion ExDa'!$B$2:$D$16, 0,FALSE), IFERROR(VLOOKUP($A357,'Exetel ExDa'!$C$2:$N$14, 9,FALSE), IFERROR(VLOOKUP($A357,'Infinet ExDa'!$B$2:$E$14, 0,FALSE), "Not Found"))))))))</f>
        <v>13/12/2021</v>
      </c>
      <c r="M357" s="234" t="str">
        <f>IFERROR(VLOOKUP($A357,'AAPT ExDa'!$B$2:$U$99, 0,FALSE), IFERROR(VLOOKUP($A357,'ABB ExDa'!$A$2:$N$184, 0,FALSE), IFERROR(VLOOKUP($A357,'Vocus SIT ExDa'!$B$2:$J$173, 0,FALSE), IFERROR(VLOOKUP($A357,'Telstra ExDa'!$B$2:$K$310, 0,FALSE), IFERROR(VLOOKUP($A357,'Vocus RVC ExDa'!$C$2:$R$155, 0,FALSE), IFERROR(VLOOKUP($A357,'Fusion ExDa'!$B$2:$D$16, 0,FALSE), IFERROR(VLOOKUP($A357,'Exetel ExDa'!$C$2:$N$14, 11,FALSE), IFERROR(VLOOKUP($A357,'Infinet ExDa'!$B$2:$E$14, 0,FALSE), "Not Found"))))))))</f>
        <v>Not Found</v>
      </c>
      <c r="N357" t="str">
        <f>IFERROR(VLOOKUP($A357,'AAPT ExDa'!$B$2:$U$99, 0,FALSE), IFERROR(VLOOKUP($A357,'ABB ExDa'!$A$2:$N$184, 13,FALSE), IFERROR(VLOOKUP($A357,'Vocus SIT ExDa'!$B$2:$J$173, 0,FALSE), IFERROR(VLOOKUP($A357,'Telstra ExDa'!$B$2:$K$310, 0,FALSE), IFERROR(VLOOKUP($A357,'Vocus RVC ExDa'!$C$2:$R$155, 0,FALSE), IFERROR(VLOOKUP($A357,'Fusion ExDa'!$B$2:$D$16, 0,FALSE), IFERROR(VLOOKUP($A357,'Exetel ExDa'!$C$2:$N$14, 0,FALSE), IFERROR(VLOOKUP($A357,'Infinet ExDa'!$B$2:$E$14, 0,FALSE), "Not Found"))))))))</f>
        <v>Not Found</v>
      </c>
    </row>
    <row r="358" spans="1:14">
      <c r="A358" t="str">
        <v>Action Smart</v>
      </c>
      <c r="B358" t="str">
        <f>IFERROR(VLOOKUP(A358,'Exetel ExDa'!$C$2:$N$14,4,FALSE),"No Data")</f>
        <v>No Data</v>
      </c>
      <c r="C358" t="str">
        <f>IFERROR(VLOOKUP(A358,'AAPT ExDa'!$B$2:$U$99, 2,FALSE), IFERROR(VLOOKUP(A358,'ABB ExDa'!$A$2:$N$184, 2,FALSE), IFERROR(VLOOKUP(A358,'Vocus SIT ExDa'!$B$2:$J$173, 7,FALSE), IFERROR(VLOOKUP(A358,'Telstra ExDa'!$B$2:$K$310, 2,FALSE), IFERROR(VLOOKUP(A358,'Vocus RVC ExDa'!$C$2:$R$155, 3,FALSE), IFERROR(VLOOKUP(A358,'Fusion ExDa'!$B$2:$D$16, 2,FALSE), IFERROR(VLOOKUP(A358,'Exetel ExDa'!$C$2:$N$14, 2,FALSE), IFERROR(VLOOKUP(A358,'Infinet ExDa'!$B$2:$E$14, 2,FALSE), "Not Found"))))))))</f>
        <v>Level 1D, 60 Enterprise Place, Tingalpa QLD 4174</v>
      </c>
      <c r="D358" t="str">
        <f>IFERROR(VLOOKUP($A358,'AAPT ExDa'!$B$2:$U$99, 15,FALSE), IFERROR(VLOOKUP($A358,'ABB ExDa'!$A$2:$N$184, 4,FALSE), IFERROR(VLOOKUP($A358,'Vocus SIT ExDa'!$B$2:$J$173, 5,FALSE), IFERROR(VLOOKUP($A358,'Telstra ExDa'!$B$2:$K$310, 8,FALSE), IFERROR(VLOOKUP($A358,'Vocus RVC ExDa'!$C$2:$R$155, 6,FALSE), IFERROR(VLOOKUP($A358,'Fusion ExDa'!$B$2:$D$16, 4,FALSE), IFERROR(VLOOKUP($A358,'Exetel ExDa'!$C$2:$N$14, 3,FALSE), IFERROR(VLOOKUP($A358,'Infinet ExDa'!$B$2:$E$14, 3,FALSE), "Not Found"))))))))</f>
        <v>Vocus SIT</v>
      </c>
      <c r="E358" t="str">
        <f>IFERROR(VLOOKUP($A358,'AAPT ExDa'!$B$2:$U$99, 3,FALSE), IFERROR(VLOOKUP($A358,'ABB ExDa'!$A$2:$N$184, 5,FALSE), IFERROR(VLOOKUP($A358,'Vocus SIT ExDa'!$B$2:$J$173, 2,FALSE), IFERROR(VLOOKUP($A358,'Telstra ExDa'!$B$2:$K$310, 4,FALSE), IFERROR(VLOOKUP($A358,'Vocus RVC ExDa'!$C$2:$R$155, 8,FALSE), IFERROR(VLOOKUP($A358,'Fusion ExDa'!$B$2:$D$16, 4,FALSE), IFERROR(VLOOKUP($A358,'Exetel ExDa'!$C$2:$N$14, 5,FALSE), IFERROR(VLOOKUP($A358,'Infinet ExDa'!$B$2:$E$14, 3,FALSE), "Not Found"))))))))</f>
        <v>Voice Service</v>
      </c>
      <c r="F358" t="str">
        <f>IFERROR(VLOOKUP($A358,'AAPT ExDa'!$B$2:$U$99, 4,FALSE), IFERROR(VLOOKUP($A358,'ABB ExDa'!$A$2:$N$184, 6,FALSE), IFERROR(VLOOKUP($A358,'Vocus SIT ExDa'!$B$2:$J$173, 3,FALSE), IFERROR(VLOOKUP($A358,'Telstra ExDa'!$B$2:$K$310, 5,FALSE), IFERROR(VLOOKUP($A358,'Vocus RVC ExDa'!$C$2:$R$155, 9,FALSE), IFERROR(VLOOKUP($A358,'Fusion ExDa'!$B$2:$D$16, 0,FALSE), IFERROR(VLOOKUP($A358,'Exetel ExDa'!$C$2:$N$14, 6,FALSE), IFERROR(VLOOKUP($A358,'Infinet ExDa'!$B$2:$E$14, 0,FALSE), "Not Found"))))))))</f>
        <v>0734627617
0734627618
0734627619
0748862250</v>
      </c>
      <c r="G358" t="str">
        <f>IFERROR(VLOOKUP($A358,'AAPT ExDa'!$B$2:$U$99, 5,FALSE), IFERROR(VLOOKUP($A358,'ABB ExDa'!$A$2:$N$184, 8,FALSE), IFERROR(VLOOKUP($A358,'Vocus SIT ExDa'!$B$2:$J$173, 6,FALSE), IFERROR(VLOOKUP($A358,'Telstra ExDa'!$B$2:$K$310, 0,FALSE), IFERROR(VLOOKUP($A358,'Vocus RVC ExDa'!$C$2:$R$155, 15,FALSE), IFERROR(VLOOKUP($A358,'Fusion ExDa'!$B$2:$D$16, 0,FALSE), IFERROR(VLOOKUP($A358,'Exetel ExDa'!$C$2:$N$14, 7,FALSE), IFERROR(VLOOKUP($A358,'Infinet ExDa'!$B$2:$E$14, 0,FALSE), "Not Found"))))))))</f>
        <v>IP Tel Order - Smile Tel - 03/02/2023
Voice (5 Mbps) - Level 1D, 60 Enterprise Place , Tingalpa QLD 4173</v>
      </c>
      <c r="H358" t="str">
        <f>IFERROR(VLOOKUP($A358,'AAPT ExDa'!$B$2:$U$99, 6,FALSE), IFERROR(VLOOKUP($A358,'ABB ExDa'!$A$2:$N$184, 0,FALSE), IFERROR(VLOOKUP($A358,'Vocus SIT ExDa'!$B$2:$J$173, 0,FALSE), IFERROR(VLOOKUP($A358,'Telstra ExDa'!$B$2:$K$310, 0,FALSE), IFERROR(VLOOKUP($A358,'Vocus RVC ExDa'!$C$2:$R$155, 16,FALSE), IFERROR(VLOOKUP($A358,'Fusion ExDa'!$B$2:$D$16, 0,FALSE), IFERROR(VLOOKUP($A358,'Exetel ExDa'!$C$2:$N$14, 0,FALSE), IFERROR(VLOOKUP($A358,'Infinet ExDa'!$B$2:$E$14, 0,FALSE), "Not Found"))))))))</f>
        <v>Not Found</v>
      </c>
      <c r="I358" t="str">
        <f>IFERROR(VLOOKUP($A358,'AAPT ExDa'!$B$2:$U$99, 0,FALSE), IFERROR(VLOOKUP($A358,'ABB ExDa'!$A$2:$N$184, 0,FALSE), IFERROR(VLOOKUP($A358,'Vocus SIT ExDa'!$B$2:$J$173, 0,FALSE), IFERROR(VLOOKUP($A358,'Telstra ExDa'!$B$2:$K$310, 0,FALSE), IFERROR(VLOOKUP($A358,'Vocus RVC ExDa'!$C$2:$R$155, 0,FALSE), IFERROR(VLOOKUP($A358,'Fusion ExDa'!$B$2:$D$16, 0,FALSE), IFERROR(VLOOKUP($A358,'Exetel ExDa'!$C$2:$N$14, 8,FALSE), IFERROR(VLOOKUP($A358,'Infinet ExDa'!$B$2:$E$14, 0,FALSE), "Not Found"))))))))</f>
        <v>Not Found</v>
      </c>
      <c r="J358" t="str">
        <f>IFERROR(VLOOKUP($A358,'AAPT ExDa'!$B$2:$U$99, 7,FALSE), IFERROR(VLOOKUP($A358,'ABB ExDa'!$A$2:$N$184, 2,FALSE), IFERROR(VLOOKUP($A358,'Vocus SIT ExDa'!$B$2:$J$173, 0,FALSE), IFERROR(VLOOKUP($A358,'Telstra ExDa'!$B$2:$K$310, 7,FALSE), IFERROR(VLOOKUP($A358,'Vocus RVC ExDa'!$C$2:$R$155, 2,FALSE), IFERROR(VLOOKUP($A358,'Fusion ExDa'!$B$2:$D$16, 3,FALSE), IFERROR(VLOOKUP($A358,'Exetel ExDa'!$C$2:$N$14, 0,FALSE), IFERROR(VLOOKUP($A358,'Infinet ExDa'!$B$2:$E$14, 0,FALSE), "Not Found"))))))))</f>
        <v>Not Found</v>
      </c>
      <c r="K358" t="str">
        <f>IFERROR(VLOOKUP($A358,'AAPT ExDa'!$B$2:$U$99, 12,FALSE), IFERROR(VLOOKUP($A358,'ABB ExDa'!$A$2:$N$184, 0,FALSE), IFERROR(VLOOKUP($A358,'Vocus SIT ExDa'!$B$2:$J$173, 0,FALSE), IFERROR(VLOOKUP($A358,'Telstra ExDa'!$B$2:$K$310, 0,FALSE), IFERROR(VLOOKUP($A358,'Vocus RVC ExDa'!$C$2:$R$155, 0,FALSE), IFERROR(VLOOKUP($A358,'Fusion ExDa'!$B$2:$D$16, 0,FALSE), IFERROR(VLOOKUP($A358,'Exetel ExDa'!$C$2:$N$14, 12,FALSE), IFERROR(VLOOKUP($A358,'Infinet ExDa'!$B$2:$E$14, 0,FALSE), "Not Found"))))))))</f>
        <v>Not Found</v>
      </c>
      <c r="L358" s="235" t="str">
        <f>IFERROR(VLOOKUP($A358,'AAPT ExDa'!$B$2:$U$99, 11,FALSE), IFERROR(VLOOKUP($A358,'ABB ExDa'!$A$2:$N$184, 9,FALSE), IFERROR(VLOOKUP($A358,'Vocus SIT ExDa'!$B$2:$J$173, 8,FALSE), IFERROR(VLOOKUP($A358,'Telstra ExDa'!$B$2:$K$310, 0,FALSE), IFERROR(VLOOKUP($A358,'Vocus RVC ExDa'!$C$2:$R$155, 0,FALSE), IFERROR(VLOOKUP($A358,'Fusion ExDa'!$B$2:$D$16, 0,FALSE), IFERROR(VLOOKUP($A358,'Exetel ExDa'!$C$2:$N$14, 9,FALSE), IFERROR(VLOOKUP($A358,'Infinet ExDa'!$B$2:$E$14, 0,FALSE), "Not Found"))))))))</f>
        <v>14/02/2023</v>
      </c>
      <c r="M358" s="234" t="str">
        <f>IFERROR(VLOOKUP($A358,'AAPT ExDa'!$B$2:$U$99, 0,FALSE), IFERROR(VLOOKUP($A358,'ABB ExDa'!$A$2:$N$184, 0,FALSE), IFERROR(VLOOKUP($A358,'Vocus SIT ExDa'!$B$2:$J$173, 0,FALSE), IFERROR(VLOOKUP($A358,'Telstra ExDa'!$B$2:$K$310, 0,FALSE), IFERROR(VLOOKUP($A358,'Vocus RVC ExDa'!$C$2:$R$155, 0,FALSE), IFERROR(VLOOKUP($A358,'Fusion ExDa'!$B$2:$D$16, 0,FALSE), IFERROR(VLOOKUP($A358,'Exetel ExDa'!$C$2:$N$14, 11,FALSE), IFERROR(VLOOKUP($A358,'Infinet ExDa'!$B$2:$E$14, 0,FALSE), "Not Found"))))))))</f>
        <v>Not Found</v>
      </c>
      <c r="N358" t="str">
        <f>IFERROR(VLOOKUP($A358,'AAPT ExDa'!$B$2:$U$99, 0,FALSE), IFERROR(VLOOKUP($A358,'ABB ExDa'!$A$2:$N$184, 13,FALSE), IFERROR(VLOOKUP($A358,'Vocus SIT ExDa'!$B$2:$J$173, 0,FALSE), IFERROR(VLOOKUP($A358,'Telstra ExDa'!$B$2:$K$310, 0,FALSE), IFERROR(VLOOKUP($A358,'Vocus RVC ExDa'!$C$2:$R$155, 0,FALSE), IFERROR(VLOOKUP($A358,'Fusion ExDa'!$B$2:$D$16, 0,FALSE), IFERROR(VLOOKUP($A358,'Exetel ExDa'!$C$2:$N$14, 0,FALSE), IFERROR(VLOOKUP($A358,'Infinet ExDa'!$B$2:$E$14, 0,FALSE), "Not Found"))))))))</f>
        <v>Not Found</v>
      </c>
    </row>
    <row r="359" spans="1:14">
      <c r="A359">
        <v>0</v>
      </c>
      <c r="B359" t="str">
        <f>IFERROR(VLOOKUP(A359,'Exetel ExDa'!$C$2:$N$14,4,FALSE),"No Data")</f>
        <v>No Data</v>
      </c>
      <c r="C359" t="str">
        <f>IFERROR(VLOOKUP(A359,'AAPT ExDa'!$B$2:$U$99, 2,FALSE), IFERROR(VLOOKUP(A359,'ABB ExDa'!$A$2:$N$184, 2,FALSE), IFERROR(VLOOKUP(A359,'Vocus SIT ExDa'!$B$2:$J$173, 7,FALSE), IFERROR(VLOOKUP(A359,'Telstra ExDa'!$B$2:$K$310, 2,FALSE), IFERROR(VLOOKUP(A359,'Vocus RVC ExDa'!$C$2:$R$155, 3,FALSE), IFERROR(VLOOKUP(A359,'Fusion ExDa'!$B$2:$D$16, 2,FALSE), IFERROR(VLOOKUP(A359,'Exetel ExDa'!$C$2:$N$14, 2,FALSE), IFERROR(VLOOKUP(A359,'Infinet ExDa'!$B$2:$E$14, 2,FALSE), "Not Found"))))))))</f>
        <v>Not Found</v>
      </c>
      <c r="D359" t="str">
        <f>IFERROR(VLOOKUP($A359,'AAPT ExDa'!$B$2:$U$99, 15,FALSE), IFERROR(VLOOKUP($A359,'ABB ExDa'!$A$2:$N$184, 4,FALSE), IFERROR(VLOOKUP($A359,'Vocus SIT ExDa'!$B$2:$J$173, 5,FALSE), IFERROR(VLOOKUP($A359,'Telstra ExDa'!$B$2:$K$310, 8,FALSE), IFERROR(VLOOKUP($A359,'Vocus RVC ExDa'!$C$2:$R$155, 6,FALSE), IFERROR(VLOOKUP($A359,'Fusion ExDa'!$B$2:$D$16, 4,FALSE), IFERROR(VLOOKUP($A359,'Exetel ExDa'!$C$2:$N$14, 3,FALSE), IFERROR(VLOOKUP($A359,'Infinet ExDa'!$B$2:$E$14, 3,FALSE), "Not Found"))))))))</f>
        <v>Not Found</v>
      </c>
      <c r="E359" t="str">
        <f>IFERROR(VLOOKUP($A359,'AAPT ExDa'!$B$2:$U$99, 3,FALSE), IFERROR(VLOOKUP($A359,'ABB ExDa'!$A$2:$N$184, 5,FALSE), IFERROR(VLOOKUP($A359,'Vocus SIT ExDa'!$B$2:$J$173, 2,FALSE), IFERROR(VLOOKUP($A359,'Telstra ExDa'!$B$2:$K$310, 4,FALSE), IFERROR(VLOOKUP($A359,'Vocus RVC ExDa'!$C$2:$R$155, 8,FALSE), IFERROR(VLOOKUP($A359,'Fusion ExDa'!$B$2:$D$16, 4,FALSE), IFERROR(VLOOKUP($A359,'Exetel ExDa'!$C$2:$N$14, 5,FALSE), IFERROR(VLOOKUP($A359,'Infinet ExDa'!$B$2:$E$14, 3,FALSE), "Not Found"))))))))</f>
        <v>Not Found</v>
      </c>
      <c r="F359" t="str">
        <f>IFERROR(VLOOKUP($A359,'AAPT ExDa'!$B$2:$U$99, 4,FALSE), IFERROR(VLOOKUP($A359,'ABB ExDa'!$A$2:$N$184, 6,FALSE), IFERROR(VLOOKUP($A359,'Vocus SIT ExDa'!$B$2:$J$173, 3,FALSE), IFERROR(VLOOKUP($A359,'Telstra ExDa'!$B$2:$K$310, 5,FALSE), IFERROR(VLOOKUP($A359,'Vocus RVC ExDa'!$C$2:$R$155, 9,FALSE), IFERROR(VLOOKUP($A359,'Fusion ExDa'!$B$2:$D$16, 0,FALSE), IFERROR(VLOOKUP($A359,'Exetel ExDa'!$C$2:$N$14, 6,FALSE), IFERROR(VLOOKUP($A359,'Infinet ExDa'!$B$2:$E$14, 0,FALSE), "Not Found"))))))))</f>
        <v>Not Found</v>
      </c>
      <c r="G359" t="str">
        <f>IFERROR(VLOOKUP($A359,'AAPT ExDa'!$B$2:$U$99, 5,FALSE), IFERROR(VLOOKUP($A359,'ABB ExDa'!$A$2:$N$184, 8,FALSE), IFERROR(VLOOKUP($A359,'Vocus SIT ExDa'!$B$2:$J$173, 6,FALSE), IFERROR(VLOOKUP($A359,'Telstra ExDa'!$B$2:$K$310, 0,FALSE), IFERROR(VLOOKUP($A359,'Vocus RVC ExDa'!$C$2:$R$155, 15,FALSE), IFERROR(VLOOKUP($A359,'Fusion ExDa'!$B$2:$D$16, 0,FALSE), IFERROR(VLOOKUP($A359,'Exetel ExDa'!$C$2:$N$14, 7,FALSE), IFERROR(VLOOKUP($A359,'Infinet ExDa'!$B$2:$E$14, 0,FALSE), "Not Found"))))))))</f>
        <v>Not Found</v>
      </c>
      <c r="H359" t="str">
        <f>IFERROR(VLOOKUP($A359,'AAPT ExDa'!$B$2:$U$99, 6,FALSE), IFERROR(VLOOKUP($A359,'ABB ExDa'!$A$2:$N$184, 0,FALSE), IFERROR(VLOOKUP($A359,'Vocus SIT ExDa'!$B$2:$J$173, 0,FALSE), IFERROR(VLOOKUP($A359,'Telstra ExDa'!$B$2:$K$310, 0,FALSE), IFERROR(VLOOKUP($A359,'Vocus RVC ExDa'!$C$2:$R$155, 16,FALSE), IFERROR(VLOOKUP($A359,'Fusion ExDa'!$B$2:$D$16, 0,FALSE), IFERROR(VLOOKUP($A359,'Exetel ExDa'!$C$2:$N$14, 0,FALSE), IFERROR(VLOOKUP($A359,'Infinet ExDa'!$B$2:$E$14, 0,FALSE), "Not Found"))))))))</f>
        <v>Not Found</v>
      </c>
      <c r="I359" t="str">
        <f>IFERROR(VLOOKUP($A359,'AAPT ExDa'!$B$2:$U$99, 0,FALSE), IFERROR(VLOOKUP($A359,'ABB ExDa'!$A$2:$N$184, 0,FALSE), IFERROR(VLOOKUP($A359,'Vocus SIT ExDa'!$B$2:$J$173, 0,FALSE), IFERROR(VLOOKUP($A359,'Telstra ExDa'!$B$2:$K$310, 0,FALSE), IFERROR(VLOOKUP($A359,'Vocus RVC ExDa'!$C$2:$R$155, 0,FALSE), IFERROR(VLOOKUP($A359,'Fusion ExDa'!$B$2:$D$16, 0,FALSE), IFERROR(VLOOKUP($A359,'Exetel ExDa'!$C$2:$N$14, 8,FALSE), IFERROR(VLOOKUP($A359,'Infinet ExDa'!$B$2:$E$14, 0,FALSE), "Not Found"))))))))</f>
        <v>Not Found</v>
      </c>
      <c r="J359" t="str">
        <f>IFERROR(VLOOKUP($A359,'AAPT ExDa'!$B$2:$U$99, 7,FALSE), IFERROR(VLOOKUP($A359,'ABB ExDa'!$A$2:$N$184, 2,FALSE), IFERROR(VLOOKUP($A359,'Vocus SIT ExDa'!$B$2:$J$173, 0,FALSE), IFERROR(VLOOKUP($A359,'Telstra ExDa'!$B$2:$K$310, 7,FALSE), IFERROR(VLOOKUP($A359,'Vocus RVC ExDa'!$C$2:$R$155, 2,FALSE), IFERROR(VLOOKUP($A359,'Fusion ExDa'!$B$2:$D$16, 3,FALSE), IFERROR(VLOOKUP($A359,'Exetel ExDa'!$C$2:$N$14, 0,FALSE), IFERROR(VLOOKUP($A359,'Infinet ExDa'!$B$2:$E$14, 0,FALSE), "Not Found"))))))))</f>
        <v>Not Found</v>
      </c>
      <c r="K359" t="str">
        <f>IFERROR(VLOOKUP($A359,'AAPT ExDa'!$B$2:$U$99, 12,FALSE), IFERROR(VLOOKUP($A359,'ABB ExDa'!$A$2:$N$184, 0,FALSE), IFERROR(VLOOKUP($A359,'Vocus SIT ExDa'!$B$2:$J$173, 0,FALSE), IFERROR(VLOOKUP($A359,'Telstra ExDa'!$B$2:$K$310, 0,FALSE), IFERROR(VLOOKUP($A359,'Vocus RVC ExDa'!$C$2:$R$155, 0,FALSE), IFERROR(VLOOKUP($A359,'Fusion ExDa'!$B$2:$D$16, 0,FALSE), IFERROR(VLOOKUP($A359,'Exetel ExDa'!$C$2:$N$14, 12,FALSE), IFERROR(VLOOKUP($A359,'Infinet ExDa'!$B$2:$E$14, 0,FALSE), "Not Found"))))))))</f>
        <v>Not Found</v>
      </c>
      <c r="L359" s="235" t="str">
        <f>IFERROR(VLOOKUP($A359,'AAPT ExDa'!$B$2:$U$99, 11,FALSE), IFERROR(VLOOKUP($A359,'ABB ExDa'!$A$2:$N$184, 9,FALSE), IFERROR(VLOOKUP($A359,'Vocus SIT ExDa'!$B$2:$J$173, 8,FALSE), IFERROR(VLOOKUP($A359,'Telstra ExDa'!$B$2:$K$310, 0,FALSE), IFERROR(VLOOKUP($A359,'Vocus RVC ExDa'!$C$2:$R$155, 0,FALSE), IFERROR(VLOOKUP($A359,'Fusion ExDa'!$B$2:$D$16, 0,FALSE), IFERROR(VLOOKUP($A359,'Exetel ExDa'!$C$2:$N$14, 9,FALSE), IFERROR(VLOOKUP($A359,'Infinet ExDa'!$B$2:$E$14, 0,FALSE), "Not Found"))))))))</f>
        <v>Not Found</v>
      </c>
      <c r="M359" s="234" t="str">
        <f>IFERROR(VLOOKUP($A359,'AAPT ExDa'!$B$2:$U$99, 0,FALSE), IFERROR(VLOOKUP($A359,'ABB ExDa'!$A$2:$N$184, 0,FALSE), IFERROR(VLOOKUP($A359,'Vocus SIT ExDa'!$B$2:$J$173, 0,FALSE), IFERROR(VLOOKUP($A359,'Telstra ExDa'!$B$2:$K$310, 0,FALSE), IFERROR(VLOOKUP($A359,'Vocus RVC ExDa'!$C$2:$R$155, 0,FALSE), IFERROR(VLOOKUP($A359,'Fusion ExDa'!$B$2:$D$16, 0,FALSE), IFERROR(VLOOKUP($A359,'Exetel ExDa'!$C$2:$N$14, 11,FALSE), IFERROR(VLOOKUP($A359,'Infinet ExDa'!$B$2:$E$14, 0,FALSE), "Not Found"))))))))</f>
        <v>Not Found</v>
      </c>
      <c r="N359" t="str">
        <f>IFERROR(VLOOKUP($A359,'AAPT ExDa'!$B$2:$U$99, 0,FALSE), IFERROR(VLOOKUP($A359,'ABB ExDa'!$A$2:$N$184, 13,FALSE), IFERROR(VLOOKUP($A359,'Vocus SIT ExDa'!$B$2:$J$173, 0,FALSE), IFERROR(VLOOKUP($A359,'Telstra ExDa'!$B$2:$K$310, 0,FALSE), IFERROR(VLOOKUP($A359,'Vocus RVC ExDa'!$C$2:$R$155, 0,FALSE), IFERROR(VLOOKUP($A359,'Fusion ExDa'!$B$2:$D$16, 0,FALSE), IFERROR(VLOOKUP($A359,'Exetel ExDa'!$C$2:$N$14, 0,FALSE), IFERROR(VLOOKUP($A359,'Infinet ExDa'!$B$2:$E$14, 0,FALSE), "Not Found"))))))))</f>
        <v>Not Found</v>
      </c>
    </row>
    <row r="360" spans="1:14">
      <c r="A360" t="str">
        <v>Action Smart</v>
      </c>
      <c r="B360" t="str">
        <f>IFERROR(VLOOKUP(A360,'Exetel ExDa'!$C$2:$N$14,4,FALSE),"No Data")</f>
        <v>No Data</v>
      </c>
      <c r="C360" t="str">
        <f>IFERROR(VLOOKUP(A360,'AAPT ExDa'!$B$2:$U$99, 2,FALSE), IFERROR(VLOOKUP(A360,'ABB ExDa'!$A$2:$N$184, 2,FALSE), IFERROR(VLOOKUP(A360,'Vocus SIT ExDa'!$B$2:$J$173, 7,FALSE), IFERROR(VLOOKUP(A360,'Telstra ExDa'!$B$2:$K$310, 2,FALSE), IFERROR(VLOOKUP(A360,'Vocus RVC ExDa'!$C$2:$R$155, 3,FALSE), IFERROR(VLOOKUP(A360,'Fusion ExDa'!$B$2:$D$16, 2,FALSE), IFERROR(VLOOKUP(A360,'Exetel ExDa'!$C$2:$N$14, 2,FALSE), IFERROR(VLOOKUP(A360,'Infinet ExDa'!$B$2:$E$14, 2,FALSE), "Not Found"))))))))</f>
        <v>Level 1D, 60 Enterprise Place, Tingalpa QLD 4174</v>
      </c>
      <c r="D360" t="str">
        <f>IFERROR(VLOOKUP($A360,'AAPT ExDa'!$B$2:$U$99, 15,FALSE), IFERROR(VLOOKUP($A360,'ABB ExDa'!$A$2:$N$184, 4,FALSE), IFERROR(VLOOKUP($A360,'Vocus SIT ExDa'!$B$2:$J$173, 5,FALSE), IFERROR(VLOOKUP($A360,'Telstra ExDa'!$B$2:$K$310, 8,FALSE), IFERROR(VLOOKUP($A360,'Vocus RVC ExDa'!$C$2:$R$155, 6,FALSE), IFERROR(VLOOKUP($A360,'Fusion ExDa'!$B$2:$D$16, 4,FALSE), IFERROR(VLOOKUP($A360,'Exetel ExDa'!$C$2:$N$14, 3,FALSE), IFERROR(VLOOKUP($A360,'Infinet ExDa'!$B$2:$E$14, 3,FALSE), "Not Found"))))))))</f>
        <v>Vocus SIT</v>
      </c>
      <c r="E360" t="str">
        <f>IFERROR(VLOOKUP($A360,'AAPT ExDa'!$B$2:$U$99, 3,FALSE), IFERROR(VLOOKUP($A360,'ABB ExDa'!$A$2:$N$184, 5,FALSE), IFERROR(VLOOKUP($A360,'Vocus SIT ExDa'!$B$2:$J$173, 2,FALSE), IFERROR(VLOOKUP($A360,'Telstra ExDa'!$B$2:$K$310, 4,FALSE), IFERROR(VLOOKUP($A360,'Vocus RVC ExDa'!$C$2:$R$155, 8,FALSE), IFERROR(VLOOKUP($A360,'Fusion ExDa'!$B$2:$D$16, 4,FALSE), IFERROR(VLOOKUP($A360,'Exetel ExDa'!$C$2:$N$14, 5,FALSE), IFERROR(VLOOKUP($A360,'Infinet ExDa'!$B$2:$E$14, 3,FALSE), "Not Found"))))))))</f>
        <v>Voice Service</v>
      </c>
      <c r="F360" t="str">
        <f>IFERROR(VLOOKUP($A360,'AAPT ExDa'!$B$2:$U$99, 4,FALSE), IFERROR(VLOOKUP($A360,'ABB ExDa'!$A$2:$N$184, 6,FALSE), IFERROR(VLOOKUP($A360,'Vocus SIT ExDa'!$B$2:$J$173, 3,FALSE), IFERROR(VLOOKUP($A360,'Telstra ExDa'!$B$2:$K$310, 5,FALSE), IFERROR(VLOOKUP($A360,'Vocus RVC ExDa'!$C$2:$R$155, 9,FALSE), IFERROR(VLOOKUP($A360,'Fusion ExDa'!$B$2:$D$16, 0,FALSE), IFERROR(VLOOKUP($A360,'Exetel ExDa'!$C$2:$N$14, 6,FALSE), IFERROR(VLOOKUP($A360,'Infinet ExDa'!$B$2:$E$14, 0,FALSE), "Not Found"))))))))</f>
        <v>0734627617
0734627618
0734627619
0748862250</v>
      </c>
      <c r="G360" t="str">
        <f>IFERROR(VLOOKUP($A360,'AAPT ExDa'!$B$2:$U$99, 5,FALSE), IFERROR(VLOOKUP($A360,'ABB ExDa'!$A$2:$N$184, 8,FALSE), IFERROR(VLOOKUP($A360,'Vocus SIT ExDa'!$B$2:$J$173, 6,FALSE), IFERROR(VLOOKUP($A360,'Telstra ExDa'!$B$2:$K$310, 0,FALSE), IFERROR(VLOOKUP($A360,'Vocus RVC ExDa'!$C$2:$R$155, 15,FALSE), IFERROR(VLOOKUP($A360,'Fusion ExDa'!$B$2:$D$16, 0,FALSE), IFERROR(VLOOKUP($A360,'Exetel ExDa'!$C$2:$N$14, 7,FALSE), IFERROR(VLOOKUP($A360,'Infinet ExDa'!$B$2:$E$14, 0,FALSE), "Not Found"))))))))</f>
        <v>IP Tel Order - Smile Tel - 03/02/2023
Voice (5 Mbps) - Level 1D, 60 Enterprise Place , Tingalpa QLD 4173</v>
      </c>
      <c r="H360" t="str">
        <f>IFERROR(VLOOKUP($A360,'AAPT ExDa'!$B$2:$U$99, 6,FALSE), IFERROR(VLOOKUP($A360,'ABB ExDa'!$A$2:$N$184, 0,FALSE), IFERROR(VLOOKUP($A360,'Vocus SIT ExDa'!$B$2:$J$173, 0,FALSE), IFERROR(VLOOKUP($A360,'Telstra ExDa'!$B$2:$K$310, 0,FALSE), IFERROR(VLOOKUP($A360,'Vocus RVC ExDa'!$C$2:$R$155, 16,FALSE), IFERROR(VLOOKUP($A360,'Fusion ExDa'!$B$2:$D$16, 0,FALSE), IFERROR(VLOOKUP($A360,'Exetel ExDa'!$C$2:$N$14, 0,FALSE), IFERROR(VLOOKUP($A360,'Infinet ExDa'!$B$2:$E$14, 0,FALSE), "Not Found"))))))))</f>
        <v>Not Found</v>
      </c>
      <c r="I360" t="str">
        <f>IFERROR(VLOOKUP($A360,'AAPT ExDa'!$B$2:$U$99, 0,FALSE), IFERROR(VLOOKUP($A360,'ABB ExDa'!$A$2:$N$184, 0,FALSE), IFERROR(VLOOKUP($A360,'Vocus SIT ExDa'!$B$2:$J$173, 0,FALSE), IFERROR(VLOOKUP($A360,'Telstra ExDa'!$B$2:$K$310, 0,FALSE), IFERROR(VLOOKUP($A360,'Vocus RVC ExDa'!$C$2:$R$155, 0,FALSE), IFERROR(VLOOKUP($A360,'Fusion ExDa'!$B$2:$D$16, 0,FALSE), IFERROR(VLOOKUP($A360,'Exetel ExDa'!$C$2:$N$14, 8,FALSE), IFERROR(VLOOKUP($A360,'Infinet ExDa'!$B$2:$E$14, 0,FALSE), "Not Found"))))))))</f>
        <v>Not Found</v>
      </c>
      <c r="J360" t="str">
        <f>IFERROR(VLOOKUP($A360,'AAPT ExDa'!$B$2:$U$99, 7,FALSE), IFERROR(VLOOKUP($A360,'ABB ExDa'!$A$2:$N$184, 2,FALSE), IFERROR(VLOOKUP($A360,'Vocus SIT ExDa'!$B$2:$J$173, 0,FALSE), IFERROR(VLOOKUP($A360,'Telstra ExDa'!$B$2:$K$310, 7,FALSE), IFERROR(VLOOKUP($A360,'Vocus RVC ExDa'!$C$2:$R$155, 2,FALSE), IFERROR(VLOOKUP($A360,'Fusion ExDa'!$B$2:$D$16, 3,FALSE), IFERROR(VLOOKUP($A360,'Exetel ExDa'!$C$2:$N$14, 0,FALSE), IFERROR(VLOOKUP($A360,'Infinet ExDa'!$B$2:$E$14, 0,FALSE), "Not Found"))))))))</f>
        <v>Not Found</v>
      </c>
      <c r="K360" t="str">
        <f>IFERROR(VLOOKUP($A360,'AAPT ExDa'!$B$2:$U$99, 12,FALSE), IFERROR(VLOOKUP($A360,'ABB ExDa'!$A$2:$N$184, 0,FALSE), IFERROR(VLOOKUP($A360,'Vocus SIT ExDa'!$B$2:$J$173, 0,FALSE), IFERROR(VLOOKUP($A360,'Telstra ExDa'!$B$2:$K$310, 0,FALSE), IFERROR(VLOOKUP($A360,'Vocus RVC ExDa'!$C$2:$R$155, 0,FALSE), IFERROR(VLOOKUP($A360,'Fusion ExDa'!$B$2:$D$16, 0,FALSE), IFERROR(VLOOKUP($A360,'Exetel ExDa'!$C$2:$N$14, 12,FALSE), IFERROR(VLOOKUP($A360,'Infinet ExDa'!$B$2:$E$14, 0,FALSE), "Not Found"))))))))</f>
        <v>Not Found</v>
      </c>
      <c r="L360" s="235" t="str">
        <f>IFERROR(VLOOKUP($A360,'AAPT ExDa'!$B$2:$U$99, 11,FALSE), IFERROR(VLOOKUP($A360,'ABB ExDa'!$A$2:$N$184, 9,FALSE), IFERROR(VLOOKUP($A360,'Vocus SIT ExDa'!$B$2:$J$173, 8,FALSE), IFERROR(VLOOKUP($A360,'Telstra ExDa'!$B$2:$K$310, 0,FALSE), IFERROR(VLOOKUP($A360,'Vocus RVC ExDa'!$C$2:$R$155, 0,FALSE), IFERROR(VLOOKUP($A360,'Fusion ExDa'!$B$2:$D$16, 0,FALSE), IFERROR(VLOOKUP($A360,'Exetel ExDa'!$C$2:$N$14, 9,FALSE), IFERROR(VLOOKUP($A360,'Infinet ExDa'!$B$2:$E$14, 0,FALSE), "Not Found"))))))))</f>
        <v>14/02/2023</v>
      </c>
      <c r="M360" s="234" t="str">
        <f>IFERROR(VLOOKUP($A360,'AAPT ExDa'!$B$2:$U$99, 0,FALSE), IFERROR(VLOOKUP($A360,'ABB ExDa'!$A$2:$N$184, 0,FALSE), IFERROR(VLOOKUP($A360,'Vocus SIT ExDa'!$B$2:$J$173, 0,FALSE), IFERROR(VLOOKUP($A360,'Telstra ExDa'!$B$2:$K$310, 0,FALSE), IFERROR(VLOOKUP($A360,'Vocus RVC ExDa'!$C$2:$R$155, 0,FALSE), IFERROR(VLOOKUP($A360,'Fusion ExDa'!$B$2:$D$16, 0,FALSE), IFERROR(VLOOKUP($A360,'Exetel ExDa'!$C$2:$N$14, 11,FALSE), IFERROR(VLOOKUP($A360,'Infinet ExDa'!$B$2:$E$14, 0,FALSE), "Not Found"))))))))</f>
        <v>Not Found</v>
      </c>
      <c r="N360" t="str">
        <f>IFERROR(VLOOKUP($A360,'AAPT ExDa'!$B$2:$U$99, 0,FALSE), IFERROR(VLOOKUP($A360,'ABB ExDa'!$A$2:$N$184, 13,FALSE), IFERROR(VLOOKUP($A360,'Vocus SIT ExDa'!$B$2:$J$173, 0,FALSE), IFERROR(VLOOKUP($A360,'Telstra ExDa'!$B$2:$K$310, 0,FALSE), IFERROR(VLOOKUP($A360,'Vocus RVC ExDa'!$C$2:$R$155, 0,FALSE), IFERROR(VLOOKUP($A360,'Fusion ExDa'!$B$2:$D$16, 0,FALSE), IFERROR(VLOOKUP($A360,'Exetel ExDa'!$C$2:$N$14, 0,FALSE), IFERROR(VLOOKUP($A360,'Infinet ExDa'!$B$2:$E$14, 0,FALSE), "Not Found"))))))))</f>
        <v>Not Found</v>
      </c>
    </row>
    <row r="361" spans="1:14">
      <c r="A361">
        <v>0</v>
      </c>
      <c r="B361" t="str">
        <f>IFERROR(VLOOKUP(A361,'Exetel ExDa'!$C$2:$N$14,4,FALSE),"No Data")</f>
        <v>No Data</v>
      </c>
      <c r="C361" t="str">
        <f>IFERROR(VLOOKUP(A361,'AAPT ExDa'!$B$2:$U$99, 2,FALSE), IFERROR(VLOOKUP(A361,'ABB ExDa'!$A$2:$N$184, 2,FALSE), IFERROR(VLOOKUP(A361,'Vocus SIT ExDa'!$B$2:$J$173, 7,FALSE), IFERROR(VLOOKUP(A361,'Telstra ExDa'!$B$2:$K$310, 2,FALSE), IFERROR(VLOOKUP(A361,'Vocus RVC ExDa'!$C$2:$R$155, 3,FALSE), IFERROR(VLOOKUP(A361,'Fusion ExDa'!$B$2:$D$16, 2,FALSE), IFERROR(VLOOKUP(A361,'Exetel ExDa'!$C$2:$N$14, 2,FALSE), IFERROR(VLOOKUP(A361,'Infinet ExDa'!$B$2:$E$14, 2,FALSE), "Not Found"))))))))</f>
        <v>Not Found</v>
      </c>
      <c r="D361" t="str">
        <f>IFERROR(VLOOKUP($A361,'AAPT ExDa'!$B$2:$U$99, 15,FALSE), IFERROR(VLOOKUP($A361,'ABB ExDa'!$A$2:$N$184, 4,FALSE), IFERROR(VLOOKUP($A361,'Vocus SIT ExDa'!$B$2:$J$173, 5,FALSE), IFERROR(VLOOKUP($A361,'Telstra ExDa'!$B$2:$K$310, 8,FALSE), IFERROR(VLOOKUP($A361,'Vocus RVC ExDa'!$C$2:$R$155, 6,FALSE), IFERROR(VLOOKUP($A361,'Fusion ExDa'!$B$2:$D$16, 4,FALSE), IFERROR(VLOOKUP($A361,'Exetel ExDa'!$C$2:$N$14, 3,FALSE), IFERROR(VLOOKUP($A361,'Infinet ExDa'!$B$2:$E$14, 3,FALSE), "Not Found"))))))))</f>
        <v>Not Found</v>
      </c>
      <c r="E361" t="str">
        <f>IFERROR(VLOOKUP($A361,'AAPT ExDa'!$B$2:$U$99, 3,FALSE), IFERROR(VLOOKUP($A361,'ABB ExDa'!$A$2:$N$184, 5,FALSE), IFERROR(VLOOKUP($A361,'Vocus SIT ExDa'!$B$2:$J$173, 2,FALSE), IFERROR(VLOOKUP($A361,'Telstra ExDa'!$B$2:$K$310, 4,FALSE), IFERROR(VLOOKUP($A361,'Vocus RVC ExDa'!$C$2:$R$155, 8,FALSE), IFERROR(VLOOKUP($A361,'Fusion ExDa'!$B$2:$D$16, 4,FALSE), IFERROR(VLOOKUP($A361,'Exetel ExDa'!$C$2:$N$14, 5,FALSE), IFERROR(VLOOKUP($A361,'Infinet ExDa'!$B$2:$E$14, 3,FALSE), "Not Found"))))))))</f>
        <v>Not Found</v>
      </c>
      <c r="F361" t="str">
        <f>IFERROR(VLOOKUP($A361,'AAPT ExDa'!$B$2:$U$99, 4,FALSE), IFERROR(VLOOKUP($A361,'ABB ExDa'!$A$2:$N$184, 6,FALSE), IFERROR(VLOOKUP($A361,'Vocus SIT ExDa'!$B$2:$J$173, 3,FALSE), IFERROR(VLOOKUP($A361,'Telstra ExDa'!$B$2:$K$310, 5,FALSE), IFERROR(VLOOKUP($A361,'Vocus RVC ExDa'!$C$2:$R$155, 9,FALSE), IFERROR(VLOOKUP($A361,'Fusion ExDa'!$B$2:$D$16, 0,FALSE), IFERROR(VLOOKUP($A361,'Exetel ExDa'!$C$2:$N$14, 6,FALSE), IFERROR(VLOOKUP($A361,'Infinet ExDa'!$B$2:$E$14, 0,FALSE), "Not Found"))))))))</f>
        <v>Not Found</v>
      </c>
      <c r="G361" t="str">
        <f>IFERROR(VLOOKUP($A361,'AAPT ExDa'!$B$2:$U$99, 5,FALSE), IFERROR(VLOOKUP($A361,'ABB ExDa'!$A$2:$N$184, 8,FALSE), IFERROR(VLOOKUP($A361,'Vocus SIT ExDa'!$B$2:$J$173, 6,FALSE), IFERROR(VLOOKUP($A361,'Telstra ExDa'!$B$2:$K$310, 0,FALSE), IFERROR(VLOOKUP($A361,'Vocus RVC ExDa'!$C$2:$R$155, 15,FALSE), IFERROR(VLOOKUP($A361,'Fusion ExDa'!$B$2:$D$16, 0,FALSE), IFERROR(VLOOKUP($A361,'Exetel ExDa'!$C$2:$N$14, 7,FALSE), IFERROR(VLOOKUP($A361,'Infinet ExDa'!$B$2:$E$14, 0,FALSE), "Not Found"))))))))</f>
        <v>Not Found</v>
      </c>
      <c r="H361" t="str">
        <f>IFERROR(VLOOKUP($A361,'AAPT ExDa'!$B$2:$U$99, 6,FALSE), IFERROR(VLOOKUP($A361,'ABB ExDa'!$A$2:$N$184, 0,FALSE), IFERROR(VLOOKUP($A361,'Vocus SIT ExDa'!$B$2:$J$173, 0,FALSE), IFERROR(VLOOKUP($A361,'Telstra ExDa'!$B$2:$K$310, 0,FALSE), IFERROR(VLOOKUP($A361,'Vocus RVC ExDa'!$C$2:$R$155, 16,FALSE), IFERROR(VLOOKUP($A361,'Fusion ExDa'!$B$2:$D$16, 0,FALSE), IFERROR(VLOOKUP($A361,'Exetel ExDa'!$C$2:$N$14, 0,FALSE), IFERROR(VLOOKUP($A361,'Infinet ExDa'!$B$2:$E$14, 0,FALSE), "Not Found"))))))))</f>
        <v>Not Found</v>
      </c>
      <c r="I361" t="str">
        <f>IFERROR(VLOOKUP($A361,'AAPT ExDa'!$B$2:$U$99, 0,FALSE), IFERROR(VLOOKUP($A361,'ABB ExDa'!$A$2:$N$184, 0,FALSE), IFERROR(VLOOKUP($A361,'Vocus SIT ExDa'!$B$2:$J$173, 0,FALSE), IFERROR(VLOOKUP($A361,'Telstra ExDa'!$B$2:$K$310, 0,FALSE), IFERROR(VLOOKUP($A361,'Vocus RVC ExDa'!$C$2:$R$155, 0,FALSE), IFERROR(VLOOKUP($A361,'Fusion ExDa'!$B$2:$D$16, 0,FALSE), IFERROR(VLOOKUP($A361,'Exetel ExDa'!$C$2:$N$14, 8,FALSE), IFERROR(VLOOKUP($A361,'Infinet ExDa'!$B$2:$E$14, 0,FALSE), "Not Found"))))))))</f>
        <v>Not Found</v>
      </c>
      <c r="J361" t="str">
        <f>IFERROR(VLOOKUP($A361,'AAPT ExDa'!$B$2:$U$99, 7,FALSE), IFERROR(VLOOKUP($A361,'ABB ExDa'!$A$2:$N$184, 2,FALSE), IFERROR(VLOOKUP($A361,'Vocus SIT ExDa'!$B$2:$J$173, 0,FALSE), IFERROR(VLOOKUP($A361,'Telstra ExDa'!$B$2:$K$310, 7,FALSE), IFERROR(VLOOKUP($A361,'Vocus RVC ExDa'!$C$2:$R$155, 2,FALSE), IFERROR(VLOOKUP($A361,'Fusion ExDa'!$B$2:$D$16, 3,FALSE), IFERROR(VLOOKUP($A361,'Exetel ExDa'!$C$2:$N$14, 0,FALSE), IFERROR(VLOOKUP($A361,'Infinet ExDa'!$B$2:$E$14, 0,FALSE), "Not Found"))))))))</f>
        <v>Not Found</v>
      </c>
      <c r="K361" t="str">
        <f>IFERROR(VLOOKUP($A361,'AAPT ExDa'!$B$2:$U$99, 12,FALSE), IFERROR(VLOOKUP($A361,'ABB ExDa'!$A$2:$N$184, 0,FALSE), IFERROR(VLOOKUP($A361,'Vocus SIT ExDa'!$B$2:$J$173, 0,FALSE), IFERROR(VLOOKUP($A361,'Telstra ExDa'!$B$2:$K$310, 0,FALSE), IFERROR(VLOOKUP($A361,'Vocus RVC ExDa'!$C$2:$R$155, 0,FALSE), IFERROR(VLOOKUP($A361,'Fusion ExDa'!$B$2:$D$16, 0,FALSE), IFERROR(VLOOKUP($A361,'Exetel ExDa'!$C$2:$N$14, 12,FALSE), IFERROR(VLOOKUP($A361,'Infinet ExDa'!$B$2:$E$14, 0,FALSE), "Not Found"))))))))</f>
        <v>Not Found</v>
      </c>
      <c r="L361" s="235" t="str">
        <f>IFERROR(VLOOKUP($A361,'AAPT ExDa'!$B$2:$U$99, 11,FALSE), IFERROR(VLOOKUP($A361,'ABB ExDa'!$A$2:$N$184, 9,FALSE), IFERROR(VLOOKUP($A361,'Vocus SIT ExDa'!$B$2:$J$173, 8,FALSE), IFERROR(VLOOKUP($A361,'Telstra ExDa'!$B$2:$K$310, 0,FALSE), IFERROR(VLOOKUP($A361,'Vocus RVC ExDa'!$C$2:$R$155, 0,FALSE), IFERROR(VLOOKUP($A361,'Fusion ExDa'!$B$2:$D$16, 0,FALSE), IFERROR(VLOOKUP($A361,'Exetel ExDa'!$C$2:$N$14, 9,FALSE), IFERROR(VLOOKUP($A361,'Infinet ExDa'!$B$2:$E$14, 0,FALSE), "Not Found"))))))))</f>
        <v>Not Found</v>
      </c>
      <c r="M361" s="234" t="str">
        <f>IFERROR(VLOOKUP($A361,'AAPT ExDa'!$B$2:$U$99, 0,FALSE), IFERROR(VLOOKUP($A361,'ABB ExDa'!$A$2:$N$184, 0,FALSE), IFERROR(VLOOKUP($A361,'Vocus SIT ExDa'!$B$2:$J$173, 0,FALSE), IFERROR(VLOOKUP($A361,'Telstra ExDa'!$B$2:$K$310, 0,FALSE), IFERROR(VLOOKUP($A361,'Vocus RVC ExDa'!$C$2:$R$155, 0,FALSE), IFERROR(VLOOKUP($A361,'Fusion ExDa'!$B$2:$D$16, 0,FALSE), IFERROR(VLOOKUP($A361,'Exetel ExDa'!$C$2:$N$14, 11,FALSE), IFERROR(VLOOKUP($A361,'Infinet ExDa'!$B$2:$E$14, 0,FALSE), "Not Found"))))))))</f>
        <v>Not Found</v>
      </c>
      <c r="N361" t="str">
        <f>IFERROR(VLOOKUP($A361,'AAPT ExDa'!$B$2:$U$99, 0,FALSE), IFERROR(VLOOKUP($A361,'ABB ExDa'!$A$2:$N$184, 13,FALSE), IFERROR(VLOOKUP($A361,'Vocus SIT ExDa'!$B$2:$J$173, 0,FALSE), IFERROR(VLOOKUP($A361,'Telstra ExDa'!$B$2:$K$310, 0,FALSE), IFERROR(VLOOKUP($A361,'Vocus RVC ExDa'!$C$2:$R$155, 0,FALSE), IFERROR(VLOOKUP($A361,'Fusion ExDa'!$B$2:$D$16, 0,FALSE), IFERROR(VLOOKUP($A361,'Exetel ExDa'!$C$2:$N$14, 0,FALSE), IFERROR(VLOOKUP($A361,'Infinet ExDa'!$B$2:$E$14, 0,FALSE), "Not Found"))))))))</f>
        <v>Not Found</v>
      </c>
    </row>
    <row r="362" spans="1:14">
      <c r="A362">
        <v>0</v>
      </c>
      <c r="B362" t="str">
        <f>IFERROR(VLOOKUP(A362,'Exetel ExDa'!$C$2:$N$14,4,FALSE),"No Data")</f>
        <v>No Data</v>
      </c>
      <c r="C362" t="str">
        <f>IFERROR(VLOOKUP(A362,'AAPT ExDa'!$B$2:$U$99, 2,FALSE), IFERROR(VLOOKUP(A362,'ABB ExDa'!$A$2:$N$184, 2,FALSE), IFERROR(VLOOKUP(A362,'Vocus SIT ExDa'!$B$2:$J$173, 7,FALSE), IFERROR(VLOOKUP(A362,'Telstra ExDa'!$B$2:$K$310, 2,FALSE), IFERROR(VLOOKUP(A362,'Vocus RVC ExDa'!$C$2:$R$155, 3,FALSE), IFERROR(VLOOKUP(A362,'Fusion ExDa'!$B$2:$D$16, 2,FALSE), IFERROR(VLOOKUP(A362,'Exetel ExDa'!$C$2:$N$14, 2,FALSE), IFERROR(VLOOKUP(A362,'Infinet ExDa'!$B$2:$E$14, 2,FALSE), "Not Found"))))))))</f>
        <v>Not Found</v>
      </c>
      <c r="D362" t="str">
        <f>IFERROR(VLOOKUP($A362,'AAPT ExDa'!$B$2:$U$99, 15,FALSE), IFERROR(VLOOKUP($A362,'ABB ExDa'!$A$2:$N$184, 4,FALSE), IFERROR(VLOOKUP($A362,'Vocus SIT ExDa'!$B$2:$J$173, 5,FALSE), IFERROR(VLOOKUP($A362,'Telstra ExDa'!$B$2:$K$310, 8,FALSE), IFERROR(VLOOKUP($A362,'Vocus RVC ExDa'!$C$2:$R$155, 6,FALSE), IFERROR(VLOOKUP($A362,'Fusion ExDa'!$B$2:$D$16, 4,FALSE), IFERROR(VLOOKUP($A362,'Exetel ExDa'!$C$2:$N$14, 3,FALSE), IFERROR(VLOOKUP($A362,'Infinet ExDa'!$B$2:$E$14, 3,FALSE), "Not Found"))))))))</f>
        <v>Not Found</v>
      </c>
      <c r="E362" t="str">
        <f>IFERROR(VLOOKUP($A362,'AAPT ExDa'!$B$2:$U$99, 3,FALSE), IFERROR(VLOOKUP($A362,'ABB ExDa'!$A$2:$N$184, 5,FALSE), IFERROR(VLOOKUP($A362,'Vocus SIT ExDa'!$B$2:$J$173, 2,FALSE), IFERROR(VLOOKUP($A362,'Telstra ExDa'!$B$2:$K$310, 4,FALSE), IFERROR(VLOOKUP($A362,'Vocus RVC ExDa'!$C$2:$R$155, 8,FALSE), IFERROR(VLOOKUP($A362,'Fusion ExDa'!$B$2:$D$16, 4,FALSE), IFERROR(VLOOKUP($A362,'Exetel ExDa'!$C$2:$N$14, 5,FALSE), IFERROR(VLOOKUP($A362,'Infinet ExDa'!$B$2:$E$14, 3,FALSE), "Not Found"))))))))</f>
        <v>Not Found</v>
      </c>
      <c r="F362" t="str">
        <f>IFERROR(VLOOKUP($A362,'AAPT ExDa'!$B$2:$U$99, 4,FALSE), IFERROR(VLOOKUP($A362,'ABB ExDa'!$A$2:$N$184, 6,FALSE), IFERROR(VLOOKUP($A362,'Vocus SIT ExDa'!$B$2:$J$173, 3,FALSE), IFERROR(VLOOKUP($A362,'Telstra ExDa'!$B$2:$K$310, 5,FALSE), IFERROR(VLOOKUP($A362,'Vocus RVC ExDa'!$C$2:$R$155, 9,FALSE), IFERROR(VLOOKUP($A362,'Fusion ExDa'!$B$2:$D$16, 0,FALSE), IFERROR(VLOOKUP($A362,'Exetel ExDa'!$C$2:$N$14, 6,FALSE), IFERROR(VLOOKUP($A362,'Infinet ExDa'!$B$2:$E$14, 0,FALSE), "Not Found"))))))))</f>
        <v>Not Found</v>
      </c>
      <c r="G362" t="str">
        <f>IFERROR(VLOOKUP($A362,'AAPT ExDa'!$B$2:$U$99, 5,FALSE), IFERROR(VLOOKUP($A362,'ABB ExDa'!$A$2:$N$184, 8,FALSE), IFERROR(VLOOKUP($A362,'Vocus SIT ExDa'!$B$2:$J$173, 6,FALSE), IFERROR(VLOOKUP($A362,'Telstra ExDa'!$B$2:$K$310, 0,FALSE), IFERROR(VLOOKUP($A362,'Vocus RVC ExDa'!$C$2:$R$155, 15,FALSE), IFERROR(VLOOKUP($A362,'Fusion ExDa'!$B$2:$D$16, 0,FALSE), IFERROR(VLOOKUP($A362,'Exetel ExDa'!$C$2:$N$14, 7,FALSE), IFERROR(VLOOKUP($A362,'Infinet ExDa'!$B$2:$E$14, 0,FALSE), "Not Found"))))))))</f>
        <v>Not Found</v>
      </c>
      <c r="H362" t="str">
        <f>IFERROR(VLOOKUP($A362,'AAPT ExDa'!$B$2:$U$99, 6,FALSE), IFERROR(VLOOKUP($A362,'ABB ExDa'!$A$2:$N$184, 0,FALSE), IFERROR(VLOOKUP($A362,'Vocus SIT ExDa'!$B$2:$J$173, 0,FALSE), IFERROR(VLOOKUP($A362,'Telstra ExDa'!$B$2:$K$310, 0,FALSE), IFERROR(VLOOKUP($A362,'Vocus RVC ExDa'!$C$2:$R$155, 16,FALSE), IFERROR(VLOOKUP($A362,'Fusion ExDa'!$B$2:$D$16, 0,FALSE), IFERROR(VLOOKUP($A362,'Exetel ExDa'!$C$2:$N$14, 0,FALSE), IFERROR(VLOOKUP($A362,'Infinet ExDa'!$B$2:$E$14, 0,FALSE), "Not Found"))))))))</f>
        <v>Not Found</v>
      </c>
      <c r="I362" t="str">
        <f>IFERROR(VLOOKUP($A362,'AAPT ExDa'!$B$2:$U$99, 0,FALSE), IFERROR(VLOOKUP($A362,'ABB ExDa'!$A$2:$N$184, 0,FALSE), IFERROR(VLOOKUP($A362,'Vocus SIT ExDa'!$B$2:$J$173, 0,FALSE), IFERROR(VLOOKUP($A362,'Telstra ExDa'!$B$2:$K$310, 0,FALSE), IFERROR(VLOOKUP($A362,'Vocus RVC ExDa'!$C$2:$R$155, 0,FALSE), IFERROR(VLOOKUP($A362,'Fusion ExDa'!$B$2:$D$16, 0,FALSE), IFERROR(VLOOKUP($A362,'Exetel ExDa'!$C$2:$N$14, 8,FALSE), IFERROR(VLOOKUP($A362,'Infinet ExDa'!$B$2:$E$14, 0,FALSE), "Not Found"))))))))</f>
        <v>Not Found</v>
      </c>
      <c r="J362" t="str">
        <f>IFERROR(VLOOKUP($A362,'AAPT ExDa'!$B$2:$U$99, 7,FALSE), IFERROR(VLOOKUP($A362,'ABB ExDa'!$A$2:$N$184, 2,FALSE), IFERROR(VLOOKUP($A362,'Vocus SIT ExDa'!$B$2:$J$173, 0,FALSE), IFERROR(VLOOKUP($A362,'Telstra ExDa'!$B$2:$K$310, 7,FALSE), IFERROR(VLOOKUP($A362,'Vocus RVC ExDa'!$C$2:$R$155, 2,FALSE), IFERROR(VLOOKUP($A362,'Fusion ExDa'!$B$2:$D$16, 3,FALSE), IFERROR(VLOOKUP($A362,'Exetel ExDa'!$C$2:$N$14, 0,FALSE), IFERROR(VLOOKUP($A362,'Infinet ExDa'!$B$2:$E$14, 0,FALSE), "Not Found"))))))))</f>
        <v>Not Found</v>
      </c>
      <c r="K362" t="str">
        <f>IFERROR(VLOOKUP($A362,'AAPT ExDa'!$B$2:$U$99, 12,FALSE), IFERROR(VLOOKUP($A362,'ABB ExDa'!$A$2:$N$184, 0,FALSE), IFERROR(VLOOKUP($A362,'Vocus SIT ExDa'!$B$2:$J$173, 0,FALSE), IFERROR(VLOOKUP($A362,'Telstra ExDa'!$B$2:$K$310, 0,FALSE), IFERROR(VLOOKUP($A362,'Vocus RVC ExDa'!$C$2:$R$155, 0,FALSE), IFERROR(VLOOKUP($A362,'Fusion ExDa'!$B$2:$D$16, 0,FALSE), IFERROR(VLOOKUP($A362,'Exetel ExDa'!$C$2:$N$14, 12,FALSE), IFERROR(VLOOKUP($A362,'Infinet ExDa'!$B$2:$E$14, 0,FALSE), "Not Found"))))))))</f>
        <v>Not Found</v>
      </c>
      <c r="L362" s="235" t="str">
        <f>IFERROR(VLOOKUP($A362,'AAPT ExDa'!$B$2:$U$99, 11,FALSE), IFERROR(VLOOKUP($A362,'ABB ExDa'!$A$2:$N$184, 9,FALSE), IFERROR(VLOOKUP($A362,'Vocus SIT ExDa'!$B$2:$J$173, 8,FALSE), IFERROR(VLOOKUP($A362,'Telstra ExDa'!$B$2:$K$310, 0,FALSE), IFERROR(VLOOKUP($A362,'Vocus RVC ExDa'!$C$2:$R$155, 0,FALSE), IFERROR(VLOOKUP($A362,'Fusion ExDa'!$B$2:$D$16, 0,FALSE), IFERROR(VLOOKUP($A362,'Exetel ExDa'!$C$2:$N$14, 9,FALSE), IFERROR(VLOOKUP($A362,'Infinet ExDa'!$B$2:$E$14, 0,FALSE), "Not Found"))))))))</f>
        <v>Not Found</v>
      </c>
      <c r="M362" s="234" t="str">
        <f>IFERROR(VLOOKUP($A362,'AAPT ExDa'!$B$2:$U$99, 0,FALSE), IFERROR(VLOOKUP($A362,'ABB ExDa'!$A$2:$N$184, 0,FALSE), IFERROR(VLOOKUP($A362,'Vocus SIT ExDa'!$B$2:$J$173, 0,FALSE), IFERROR(VLOOKUP($A362,'Telstra ExDa'!$B$2:$K$310, 0,FALSE), IFERROR(VLOOKUP($A362,'Vocus RVC ExDa'!$C$2:$R$155, 0,FALSE), IFERROR(VLOOKUP($A362,'Fusion ExDa'!$B$2:$D$16, 0,FALSE), IFERROR(VLOOKUP($A362,'Exetel ExDa'!$C$2:$N$14, 11,FALSE), IFERROR(VLOOKUP($A362,'Infinet ExDa'!$B$2:$E$14, 0,FALSE), "Not Found"))))))))</f>
        <v>Not Found</v>
      </c>
      <c r="N362" t="str">
        <f>IFERROR(VLOOKUP($A362,'AAPT ExDa'!$B$2:$U$99, 0,FALSE), IFERROR(VLOOKUP($A362,'ABB ExDa'!$A$2:$N$184, 13,FALSE), IFERROR(VLOOKUP($A362,'Vocus SIT ExDa'!$B$2:$J$173, 0,FALSE), IFERROR(VLOOKUP($A362,'Telstra ExDa'!$B$2:$K$310, 0,FALSE), IFERROR(VLOOKUP($A362,'Vocus RVC ExDa'!$C$2:$R$155, 0,FALSE), IFERROR(VLOOKUP($A362,'Fusion ExDa'!$B$2:$D$16, 0,FALSE), IFERROR(VLOOKUP($A362,'Exetel ExDa'!$C$2:$N$14, 0,FALSE), IFERROR(VLOOKUP($A362,'Infinet ExDa'!$B$2:$E$14, 0,FALSE), "Not Found"))))))))</f>
        <v>Not Found</v>
      </c>
    </row>
    <row r="363" spans="1:14">
      <c r="A363">
        <v>0</v>
      </c>
      <c r="B363" t="str">
        <f>IFERROR(VLOOKUP(A363,'Exetel ExDa'!$C$2:$N$14,4,FALSE),"No Data")</f>
        <v>No Data</v>
      </c>
      <c r="C363" t="str">
        <f>IFERROR(VLOOKUP(A363,'AAPT ExDa'!$B$2:$U$99, 2,FALSE), IFERROR(VLOOKUP(A363,'ABB ExDa'!$A$2:$N$184, 2,FALSE), IFERROR(VLOOKUP(A363,'Vocus SIT ExDa'!$B$2:$J$173, 7,FALSE), IFERROR(VLOOKUP(A363,'Telstra ExDa'!$B$2:$K$310, 2,FALSE), IFERROR(VLOOKUP(A363,'Vocus RVC ExDa'!$C$2:$R$155, 3,FALSE), IFERROR(VLOOKUP(A363,'Fusion ExDa'!$B$2:$D$16, 2,FALSE), IFERROR(VLOOKUP(A363,'Exetel ExDa'!$C$2:$N$14, 2,FALSE), IFERROR(VLOOKUP(A363,'Infinet ExDa'!$B$2:$E$14, 2,FALSE), "Not Found"))))))))</f>
        <v>Not Found</v>
      </c>
      <c r="D363" t="str">
        <f>IFERROR(VLOOKUP($A363,'AAPT ExDa'!$B$2:$U$99, 15,FALSE), IFERROR(VLOOKUP($A363,'ABB ExDa'!$A$2:$N$184, 4,FALSE), IFERROR(VLOOKUP($A363,'Vocus SIT ExDa'!$B$2:$J$173, 5,FALSE), IFERROR(VLOOKUP($A363,'Telstra ExDa'!$B$2:$K$310, 8,FALSE), IFERROR(VLOOKUP($A363,'Vocus RVC ExDa'!$C$2:$R$155, 6,FALSE), IFERROR(VLOOKUP($A363,'Fusion ExDa'!$B$2:$D$16, 4,FALSE), IFERROR(VLOOKUP($A363,'Exetel ExDa'!$C$2:$N$14, 3,FALSE), IFERROR(VLOOKUP($A363,'Infinet ExDa'!$B$2:$E$14, 3,FALSE), "Not Found"))))))))</f>
        <v>Not Found</v>
      </c>
      <c r="E363" t="str">
        <f>IFERROR(VLOOKUP($A363,'AAPT ExDa'!$B$2:$U$99, 3,FALSE), IFERROR(VLOOKUP($A363,'ABB ExDa'!$A$2:$N$184, 5,FALSE), IFERROR(VLOOKUP($A363,'Vocus SIT ExDa'!$B$2:$J$173, 2,FALSE), IFERROR(VLOOKUP($A363,'Telstra ExDa'!$B$2:$K$310, 4,FALSE), IFERROR(VLOOKUP($A363,'Vocus RVC ExDa'!$C$2:$R$155, 8,FALSE), IFERROR(VLOOKUP($A363,'Fusion ExDa'!$B$2:$D$16, 4,FALSE), IFERROR(VLOOKUP($A363,'Exetel ExDa'!$C$2:$N$14, 5,FALSE), IFERROR(VLOOKUP($A363,'Infinet ExDa'!$B$2:$E$14, 3,FALSE), "Not Found"))))))))</f>
        <v>Not Found</v>
      </c>
      <c r="F363" t="str">
        <f>IFERROR(VLOOKUP($A363,'AAPT ExDa'!$B$2:$U$99, 4,FALSE), IFERROR(VLOOKUP($A363,'ABB ExDa'!$A$2:$N$184, 6,FALSE), IFERROR(VLOOKUP($A363,'Vocus SIT ExDa'!$B$2:$J$173, 3,FALSE), IFERROR(VLOOKUP($A363,'Telstra ExDa'!$B$2:$K$310, 5,FALSE), IFERROR(VLOOKUP($A363,'Vocus RVC ExDa'!$C$2:$R$155, 9,FALSE), IFERROR(VLOOKUP($A363,'Fusion ExDa'!$B$2:$D$16, 0,FALSE), IFERROR(VLOOKUP($A363,'Exetel ExDa'!$C$2:$N$14, 6,FALSE), IFERROR(VLOOKUP($A363,'Infinet ExDa'!$B$2:$E$14, 0,FALSE), "Not Found"))))))))</f>
        <v>Not Found</v>
      </c>
      <c r="G363" t="str">
        <f>IFERROR(VLOOKUP($A363,'AAPT ExDa'!$B$2:$U$99, 5,FALSE), IFERROR(VLOOKUP($A363,'ABB ExDa'!$A$2:$N$184, 8,FALSE), IFERROR(VLOOKUP($A363,'Vocus SIT ExDa'!$B$2:$J$173, 6,FALSE), IFERROR(VLOOKUP($A363,'Telstra ExDa'!$B$2:$K$310, 0,FALSE), IFERROR(VLOOKUP($A363,'Vocus RVC ExDa'!$C$2:$R$155, 15,FALSE), IFERROR(VLOOKUP($A363,'Fusion ExDa'!$B$2:$D$16, 0,FALSE), IFERROR(VLOOKUP($A363,'Exetel ExDa'!$C$2:$N$14, 7,FALSE), IFERROR(VLOOKUP($A363,'Infinet ExDa'!$B$2:$E$14, 0,FALSE), "Not Found"))))))))</f>
        <v>Not Found</v>
      </c>
      <c r="H363" t="str">
        <f>IFERROR(VLOOKUP($A363,'AAPT ExDa'!$B$2:$U$99, 6,FALSE), IFERROR(VLOOKUP($A363,'ABB ExDa'!$A$2:$N$184, 0,FALSE), IFERROR(VLOOKUP($A363,'Vocus SIT ExDa'!$B$2:$J$173, 0,FALSE), IFERROR(VLOOKUP($A363,'Telstra ExDa'!$B$2:$K$310, 0,FALSE), IFERROR(VLOOKUP($A363,'Vocus RVC ExDa'!$C$2:$R$155, 16,FALSE), IFERROR(VLOOKUP($A363,'Fusion ExDa'!$B$2:$D$16, 0,FALSE), IFERROR(VLOOKUP($A363,'Exetel ExDa'!$C$2:$N$14, 0,FALSE), IFERROR(VLOOKUP($A363,'Infinet ExDa'!$B$2:$E$14, 0,FALSE), "Not Found"))))))))</f>
        <v>Not Found</v>
      </c>
      <c r="I363" t="str">
        <f>IFERROR(VLOOKUP($A363,'AAPT ExDa'!$B$2:$U$99, 0,FALSE), IFERROR(VLOOKUP($A363,'ABB ExDa'!$A$2:$N$184, 0,FALSE), IFERROR(VLOOKUP($A363,'Vocus SIT ExDa'!$B$2:$J$173, 0,FALSE), IFERROR(VLOOKUP($A363,'Telstra ExDa'!$B$2:$K$310, 0,FALSE), IFERROR(VLOOKUP($A363,'Vocus RVC ExDa'!$C$2:$R$155, 0,FALSE), IFERROR(VLOOKUP($A363,'Fusion ExDa'!$B$2:$D$16, 0,FALSE), IFERROR(VLOOKUP($A363,'Exetel ExDa'!$C$2:$N$14, 8,FALSE), IFERROR(VLOOKUP($A363,'Infinet ExDa'!$B$2:$E$14, 0,FALSE), "Not Found"))))))))</f>
        <v>Not Found</v>
      </c>
      <c r="J363" t="str">
        <f>IFERROR(VLOOKUP($A363,'AAPT ExDa'!$B$2:$U$99, 7,FALSE), IFERROR(VLOOKUP($A363,'ABB ExDa'!$A$2:$N$184, 2,FALSE), IFERROR(VLOOKUP($A363,'Vocus SIT ExDa'!$B$2:$J$173, 0,FALSE), IFERROR(VLOOKUP($A363,'Telstra ExDa'!$B$2:$K$310, 7,FALSE), IFERROR(VLOOKUP($A363,'Vocus RVC ExDa'!$C$2:$R$155, 2,FALSE), IFERROR(VLOOKUP($A363,'Fusion ExDa'!$B$2:$D$16, 3,FALSE), IFERROR(VLOOKUP($A363,'Exetel ExDa'!$C$2:$N$14, 0,FALSE), IFERROR(VLOOKUP($A363,'Infinet ExDa'!$B$2:$E$14, 0,FALSE), "Not Found"))))))))</f>
        <v>Not Found</v>
      </c>
      <c r="K363" t="str">
        <f>IFERROR(VLOOKUP($A363,'AAPT ExDa'!$B$2:$U$99, 12,FALSE), IFERROR(VLOOKUP($A363,'ABB ExDa'!$A$2:$N$184, 0,FALSE), IFERROR(VLOOKUP($A363,'Vocus SIT ExDa'!$B$2:$J$173, 0,FALSE), IFERROR(VLOOKUP($A363,'Telstra ExDa'!$B$2:$K$310, 0,FALSE), IFERROR(VLOOKUP($A363,'Vocus RVC ExDa'!$C$2:$R$155, 0,FALSE), IFERROR(VLOOKUP($A363,'Fusion ExDa'!$B$2:$D$16, 0,FALSE), IFERROR(VLOOKUP($A363,'Exetel ExDa'!$C$2:$N$14, 12,FALSE), IFERROR(VLOOKUP($A363,'Infinet ExDa'!$B$2:$E$14, 0,FALSE), "Not Found"))))))))</f>
        <v>Not Found</v>
      </c>
      <c r="L363" s="235" t="str">
        <f>IFERROR(VLOOKUP($A363,'AAPT ExDa'!$B$2:$U$99, 11,FALSE), IFERROR(VLOOKUP($A363,'ABB ExDa'!$A$2:$N$184, 9,FALSE), IFERROR(VLOOKUP($A363,'Vocus SIT ExDa'!$B$2:$J$173, 8,FALSE), IFERROR(VLOOKUP($A363,'Telstra ExDa'!$B$2:$K$310, 0,FALSE), IFERROR(VLOOKUP($A363,'Vocus RVC ExDa'!$C$2:$R$155, 0,FALSE), IFERROR(VLOOKUP($A363,'Fusion ExDa'!$B$2:$D$16, 0,FALSE), IFERROR(VLOOKUP($A363,'Exetel ExDa'!$C$2:$N$14, 9,FALSE), IFERROR(VLOOKUP($A363,'Infinet ExDa'!$B$2:$E$14, 0,FALSE), "Not Found"))))))))</f>
        <v>Not Found</v>
      </c>
      <c r="M363" s="234" t="str">
        <f>IFERROR(VLOOKUP($A363,'AAPT ExDa'!$B$2:$U$99, 0,FALSE), IFERROR(VLOOKUP($A363,'ABB ExDa'!$A$2:$N$184, 0,FALSE), IFERROR(VLOOKUP($A363,'Vocus SIT ExDa'!$B$2:$J$173, 0,FALSE), IFERROR(VLOOKUP($A363,'Telstra ExDa'!$B$2:$K$310, 0,FALSE), IFERROR(VLOOKUP($A363,'Vocus RVC ExDa'!$C$2:$R$155, 0,FALSE), IFERROR(VLOOKUP($A363,'Fusion ExDa'!$B$2:$D$16, 0,FALSE), IFERROR(VLOOKUP($A363,'Exetel ExDa'!$C$2:$N$14, 11,FALSE), IFERROR(VLOOKUP($A363,'Infinet ExDa'!$B$2:$E$14, 0,FALSE), "Not Found"))))))))</f>
        <v>Not Found</v>
      </c>
      <c r="N363" t="str">
        <f>IFERROR(VLOOKUP($A363,'AAPT ExDa'!$B$2:$U$99, 0,FALSE), IFERROR(VLOOKUP($A363,'ABB ExDa'!$A$2:$N$184, 13,FALSE), IFERROR(VLOOKUP($A363,'Vocus SIT ExDa'!$B$2:$J$173, 0,FALSE), IFERROR(VLOOKUP($A363,'Telstra ExDa'!$B$2:$K$310, 0,FALSE), IFERROR(VLOOKUP($A363,'Vocus RVC ExDa'!$C$2:$R$155, 0,FALSE), IFERROR(VLOOKUP($A363,'Fusion ExDa'!$B$2:$D$16, 0,FALSE), IFERROR(VLOOKUP($A363,'Exetel ExDa'!$C$2:$N$14, 0,FALSE), IFERROR(VLOOKUP($A363,'Infinet ExDa'!$B$2:$E$14, 0,FALSE), "Not Found"))))))))</f>
        <v>Not Found</v>
      </c>
    </row>
    <row r="364" spans="1:14">
      <c r="A364">
        <v>0</v>
      </c>
      <c r="B364" t="str">
        <f>IFERROR(VLOOKUP(A364,'Exetel ExDa'!$C$2:$N$14,4,FALSE),"No Data")</f>
        <v>No Data</v>
      </c>
      <c r="C364" t="str">
        <f>IFERROR(VLOOKUP(A364,'AAPT ExDa'!$B$2:$U$99, 2,FALSE), IFERROR(VLOOKUP(A364,'ABB ExDa'!$A$2:$N$184, 2,FALSE), IFERROR(VLOOKUP(A364,'Vocus SIT ExDa'!$B$2:$J$173, 7,FALSE), IFERROR(VLOOKUP(A364,'Telstra ExDa'!$B$2:$K$310, 2,FALSE), IFERROR(VLOOKUP(A364,'Vocus RVC ExDa'!$C$2:$R$155, 3,FALSE), IFERROR(VLOOKUP(A364,'Fusion ExDa'!$B$2:$D$16, 2,FALSE), IFERROR(VLOOKUP(A364,'Exetel ExDa'!$C$2:$N$14, 2,FALSE), IFERROR(VLOOKUP(A364,'Infinet ExDa'!$B$2:$E$14, 2,FALSE), "Not Found"))))))))</f>
        <v>Not Found</v>
      </c>
      <c r="D364" t="str">
        <f>IFERROR(VLOOKUP($A364,'AAPT ExDa'!$B$2:$U$99, 15,FALSE), IFERROR(VLOOKUP($A364,'ABB ExDa'!$A$2:$N$184, 4,FALSE), IFERROR(VLOOKUP($A364,'Vocus SIT ExDa'!$B$2:$J$173, 5,FALSE), IFERROR(VLOOKUP($A364,'Telstra ExDa'!$B$2:$K$310, 8,FALSE), IFERROR(VLOOKUP($A364,'Vocus RVC ExDa'!$C$2:$R$155, 6,FALSE), IFERROR(VLOOKUP($A364,'Fusion ExDa'!$B$2:$D$16, 4,FALSE), IFERROR(VLOOKUP($A364,'Exetel ExDa'!$C$2:$N$14, 3,FALSE), IFERROR(VLOOKUP($A364,'Infinet ExDa'!$B$2:$E$14, 3,FALSE), "Not Found"))))))))</f>
        <v>Not Found</v>
      </c>
      <c r="E364" t="str">
        <f>IFERROR(VLOOKUP($A364,'AAPT ExDa'!$B$2:$U$99, 3,FALSE), IFERROR(VLOOKUP($A364,'ABB ExDa'!$A$2:$N$184, 5,FALSE), IFERROR(VLOOKUP($A364,'Vocus SIT ExDa'!$B$2:$J$173, 2,FALSE), IFERROR(VLOOKUP($A364,'Telstra ExDa'!$B$2:$K$310, 4,FALSE), IFERROR(VLOOKUP($A364,'Vocus RVC ExDa'!$C$2:$R$155, 8,FALSE), IFERROR(VLOOKUP($A364,'Fusion ExDa'!$B$2:$D$16, 4,FALSE), IFERROR(VLOOKUP($A364,'Exetel ExDa'!$C$2:$N$14, 5,FALSE), IFERROR(VLOOKUP($A364,'Infinet ExDa'!$B$2:$E$14, 3,FALSE), "Not Found"))))))))</f>
        <v>Not Found</v>
      </c>
      <c r="F364" t="str">
        <f>IFERROR(VLOOKUP($A364,'AAPT ExDa'!$B$2:$U$99, 4,FALSE), IFERROR(VLOOKUP($A364,'ABB ExDa'!$A$2:$N$184, 6,FALSE), IFERROR(VLOOKUP($A364,'Vocus SIT ExDa'!$B$2:$J$173, 3,FALSE), IFERROR(VLOOKUP($A364,'Telstra ExDa'!$B$2:$K$310, 5,FALSE), IFERROR(VLOOKUP($A364,'Vocus RVC ExDa'!$C$2:$R$155, 9,FALSE), IFERROR(VLOOKUP($A364,'Fusion ExDa'!$B$2:$D$16, 0,FALSE), IFERROR(VLOOKUP($A364,'Exetel ExDa'!$C$2:$N$14, 6,FALSE), IFERROR(VLOOKUP($A364,'Infinet ExDa'!$B$2:$E$14, 0,FALSE), "Not Found"))))))))</f>
        <v>Not Found</v>
      </c>
      <c r="G364" t="str">
        <f>IFERROR(VLOOKUP($A364,'AAPT ExDa'!$B$2:$U$99, 5,FALSE), IFERROR(VLOOKUP($A364,'ABB ExDa'!$A$2:$N$184, 8,FALSE), IFERROR(VLOOKUP($A364,'Vocus SIT ExDa'!$B$2:$J$173, 6,FALSE), IFERROR(VLOOKUP($A364,'Telstra ExDa'!$B$2:$K$310, 0,FALSE), IFERROR(VLOOKUP($A364,'Vocus RVC ExDa'!$C$2:$R$155, 15,FALSE), IFERROR(VLOOKUP($A364,'Fusion ExDa'!$B$2:$D$16, 0,FALSE), IFERROR(VLOOKUP($A364,'Exetel ExDa'!$C$2:$N$14, 7,FALSE), IFERROR(VLOOKUP($A364,'Infinet ExDa'!$B$2:$E$14, 0,FALSE), "Not Found"))))))))</f>
        <v>Not Found</v>
      </c>
      <c r="H364" t="str">
        <f>IFERROR(VLOOKUP($A364,'AAPT ExDa'!$B$2:$U$99, 6,FALSE), IFERROR(VLOOKUP($A364,'ABB ExDa'!$A$2:$N$184, 0,FALSE), IFERROR(VLOOKUP($A364,'Vocus SIT ExDa'!$B$2:$J$173, 0,FALSE), IFERROR(VLOOKUP($A364,'Telstra ExDa'!$B$2:$K$310, 0,FALSE), IFERROR(VLOOKUP($A364,'Vocus RVC ExDa'!$C$2:$R$155, 16,FALSE), IFERROR(VLOOKUP($A364,'Fusion ExDa'!$B$2:$D$16, 0,FALSE), IFERROR(VLOOKUP($A364,'Exetel ExDa'!$C$2:$N$14, 0,FALSE), IFERROR(VLOOKUP($A364,'Infinet ExDa'!$B$2:$E$14, 0,FALSE), "Not Found"))))))))</f>
        <v>Not Found</v>
      </c>
      <c r="I364" t="str">
        <f>IFERROR(VLOOKUP($A364,'AAPT ExDa'!$B$2:$U$99, 0,FALSE), IFERROR(VLOOKUP($A364,'ABB ExDa'!$A$2:$N$184, 0,FALSE), IFERROR(VLOOKUP($A364,'Vocus SIT ExDa'!$B$2:$J$173, 0,FALSE), IFERROR(VLOOKUP($A364,'Telstra ExDa'!$B$2:$K$310, 0,FALSE), IFERROR(VLOOKUP($A364,'Vocus RVC ExDa'!$C$2:$R$155, 0,FALSE), IFERROR(VLOOKUP($A364,'Fusion ExDa'!$B$2:$D$16, 0,FALSE), IFERROR(VLOOKUP($A364,'Exetel ExDa'!$C$2:$N$14, 8,FALSE), IFERROR(VLOOKUP($A364,'Infinet ExDa'!$B$2:$E$14, 0,FALSE), "Not Found"))))))))</f>
        <v>Not Found</v>
      </c>
      <c r="J364" t="str">
        <f>IFERROR(VLOOKUP($A364,'AAPT ExDa'!$B$2:$U$99, 7,FALSE), IFERROR(VLOOKUP($A364,'ABB ExDa'!$A$2:$N$184, 2,FALSE), IFERROR(VLOOKUP($A364,'Vocus SIT ExDa'!$B$2:$J$173, 0,FALSE), IFERROR(VLOOKUP($A364,'Telstra ExDa'!$B$2:$K$310, 7,FALSE), IFERROR(VLOOKUP($A364,'Vocus RVC ExDa'!$C$2:$R$155, 2,FALSE), IFERROR(VLOOKUP($A364,'Fusion ExDa'!$B$2:$D$16, 3,FALSE), IFERROR(VLOOKUP($A364,'Exetel ExDa'!$C$2:$N$14, 0,FALSE), IFERROR(VLOOKUP($A364,'Infinet ExDa'!$B$2:$E$14, 0,FALSE), "Not Found"))))))))</f>
        <v>Not Found</v>
      </c>
      <c r="K364" t="str">
        <f>IFERROR(VLOOKUP($A364,'AAPT ExDa'!$B$2:$U$99, 12,FALSE), IFERROR(VLOOKUP($A364,'ABB ExDa'!$A$2:$N$184, 0,FALSE), IFERROR(VLOOKUP($A364,'Vocus SIT ExDa'!$B$2:$J$173, 0,FALSE), IFERROR(VLOOKUP($A364,'Telstra ExDa'!$B$2:$K$310, 0,FALSE), IFERROR(VLOOKUP($A364,'Vocus RVC ExDa'!$C$2:$R$155, 0,FALSE), IFERROR(VLOOKUP($A364,'Fusion ExDa'!$B$2:$D$16, 0,FALSE), IFERROR(VLOOKUP($A364,'Exetel ExDa'!$C$2:$N$14, 12,FALSE), IFERROR(VLOOKUP($A364,'Infinet ExDa'!$B$2:$E$14, 0,FALSE), "Not Found"))))))))</f>
        <v>Not Found</v>
      </c>
      <c r="L364" s="235" t="str">
        <f>IFERROR(VLOOKUP($A364,'AAPT ExDa'!$B$2:$U$99, 11,FALSE), IFERROR(VLOOKUP($A364,'ABB ExDa'!$A$2:$N$184, 9,FALSE), IFERROR(VLOOKUP($A364,'Vocus SIT ExDa'!$B$2:$J$173, 8,FALSE), IFERROR(VLOOKUP($A364,'Telstra ExDa'!$B$2:$K$310, 0,FALSE), IFERROR(VLOOKUP($A364,'Vocus RVC ExDa'!$C$2:$R$155, 0,FALSE), IFERROR(VLOOKUP($A364,'Fusion ExDa'!$B$2:$D$16, 0,FALSE), IFERROR(VLOOKUP($A364,'Exetel ExDa'!$C$2:$N$14, 9,FALSE), IFERROR(VLOOKUP($A364,'Infinet ExDa'!$B$2:$E$14, 0,FALSE), "Not Found"))))))))</f>
        <v>Not Found</v>
      </c>
      <c r="M364" s="234" t="str">
        <f>IFERROR(VLOOKUP($A364,'AAPT ExDa'!$B$2:$U$99, 0,FALSE), IFERROR(VLOOKUP($A364,'ABB ExDa'!$A$2:$N$184, 0,FALSE), IFERROR(VLOOKUP($A364,'Vocus SIT ExDa'!$B$2:$J$173, 0,FALSE), IFERROR(VLOOKUP($A364,'Telstra ExDa'!$B$2:$K$310, 0,FALSE), IFERROR(VLOOKUP($A364,'Vocus RVC ExDa'!$C$2:$R$155, 0,FALSE), IFERROR(VLOOKUP($A364,'Fusion ExDa'!$B$2:$D$16, 0,FALSE), IFERROR(VLOOKUP($A364,'Exetel ExDa'!$C$2:$N$14, 11,FALSE), IFERROR(VLOOKUP($A364,'Infinet ExDa'!$B$2:$E$14, 0,FALSE), "Not Found"))))))))</f>
        <v>Not Found</v>
      </c>
      <c r="N364" t="str">
        <f>IFERROR(VLOOKUP($A364,'AAPT ExDa'!$B$2:$U$99, 0,FALSE), IFERROR(VLOOKUP($A364,'ABB ExDa'!$A$2:$N$184, 13,FALSE), IFERROR(VLOOKUP($A364,'Vocus SIT ExDa'!$B$2:$J$173, 0,FALSE), IFERROR(VLOOKUP($A364,'Telstra ExDa'!$B$2:$K$310, 0,FALSE), IFERROR(VLOOKUP($A364,'Vocus RVC ExDa'!$C$2:$R$155, 0,FALSE), IFERROR(VLOOKUP($A364,'Fusion ExDa'!$B$2:$D$16, 0,FALSE), IFERROR(VLOOKUP($A364,'Exetel ExDa'!$C$2:$N$14, 0,FALSE), IFERROR(VLOOKUP($A364,'Infinet ExDa'!$B$2:$E$14, 0,FALSE), "Not Found"))))))))</f>
        <v>Not Found</v>
      </c>
    </row>
    <row r="365" spans="1:14">
      <c r="A365">
        <v>0</v>
      </c>
      <c r="B365" t="str">
        <f>IFERROR(VLOOKUP(A365,'Exetel ExDa'!$C$2:$N$14,4,FALSE),"No Data")</f>
        <v>No Data</v>
      </c>
      <c r="C365" t="str">
        <f>IFERROR(VLOOKUP(A365,'AAPT ExDa'!$B$2:$U$99, 2,FALSE), IFERROR(VLOOKUP(A365,'ABB ExDa'!$A$2:$N$184, 2,FALSE), IFERROR(VLOOKUP(A365,'Vocus SIT ExDa'!$B$2:$J$173, 7,FALSE), IFERROR(VLOOKUP(A365,'Telstra ExDa'!$B$2:$K$310, 2,FALSE), IFERROR(VLOOKUP(A365,'Vocus RVC ExDa'!$C$2:$R$155, 3,FALSE), IFERROR(VLOOKUP(A365,'Fusion ExDa'!$B$2:$D$16, 2,FALSE), IFERROR(VLOOKUP(A365,'Exetel ExDa'!$C$2:$N$14, 2,FALSE), IFERROR(VLOOKUP(A365,'Infinet ExDa'!$B$2:$E$14, 2,FALSE), "Not Found"))))))))</f>
        <v>Not Found</v>
      </c>
      <c r="D365" t="str">
        <f>IFERROR(VLOOKUP($A365,'AAPT ExDa'!$B$2:$U$99, 15,FALSE), IFERROR(VLOOKUP($A365,'ABB ExDa'!$A$2:$N$184, 4,FALSE), IFERROR(VLOOKUP($A365,'Vocus SIT ExDa'!$B$2:$J$173, 5,FALSE), IFERROR(VLOOKUP($A365,'Telstra ExDa'!$B$2:$K$310, 8,FALSE), IFERROR(VLOOKUP($A365,'Vocus RVC ExDa'!$C$2:$R$155, 6,FALSE), IFERROR(VLOOKUP($A365,'Fusion ExDa'!$B$2:$D$16, 4,FALSE), IFERROR(VLOOKUP($A365,'Exetel ExDa'!$C$2:$N$14, 3,FALSE), IFERROR(VLOOKUP($A365,'Infinet ExDa'!$B$2:$E$14, 3,FALSE), "Not Found"))))))))</f>
        <v>Not Found</v>
      </c>
      <c r="E365" t="str">
        <f>IFERROR(VLOOKUP($A365,'AAPT ExDa'!$B$2:$U$99, 3,FALSE), IFERROR(VLOOKUP($A365,'ABB ExDa'!$A$2:$N$184, 5,FALSE), IFERROR(VLOOKUP($A365,'Vocus SIT ExDa'!$B$2:$J$173, 2,FALSE), IFERROR(VLOOKUP($A365,'Telstra ExDa'!$B$2:$K$310, 4,FALSE), IFERROR(VLOOKUP($A365,'Vocus RVC ExDa'!$C$2:$R$155, 8,FALSE), IFERROR(VLOOKUP($A365,'Fusion ExDa'!$B$2:$D$16, 4,FALSE), IFERROR(VLOOKUP($A365,'Exetel ExDa'!$C$2:$N$14, 5,FALSE), IFERROR(VLOOKUP($A365,'Infinet ExDa'!$B$2:$E$14, 3,FALSE), "Not Found"))))))))</f>
        <v>Not Found</v>
      </c>
      <c r="F365" t="str">
        <f>IFERROR(VLOOKUP($A365,'AAPT ExDa'!$B$2:$U$99, 4,FALSE), IFERROR(VLOOKUP($A365,'ABB ExDa'!$A$2:$N$184, 6,FALSE), IFERROR(VLOOKUP($A365,'Vocus SIT ExDa'!$B$2:$J$173, 3,FALSE), IFERROR(VLOOKUP($A365,'Telstra ExDa'!$B$2:$K$310, 5,FALSE), IFERROR(VLOOKUP($A365,'Vocus RVC ExDa'!$C$2:$R$155, 9,FALSE), IFERROR(VLOOKUP($A365,'Fusion ExDa'!$B$2:$D$16, 0,FALSE), IFERROR(VLOOKUP($A365,'Exetel ExDa'!$C$2:$N$14, 6,FALSE), IFERROR(VLOOKUP($A365,'Infinet ExDa'!$B$2:$E$14, 0,FALSE), "Not Found"))))))))</f>
        <v>Not Found</v>
      </c>
      <c r="G365" t="str">
        <f>IFERROR(VLOOKUP($A365,'AAPT ExDa'!$B$2:$U$99, 5,FALSE), IFERROR(VLOOKUP($A365,'ABB ExDa'!$A$2:$N$184, 8,FALSE), IFERROR(VLOOKUP($A365,'Vocus SIT ExDa'!$B$2:$J$173, 6,FALSE), IFERROR(VLOOKUP($A365,'Telstra ExDa'!$B$2:$K$310, 0,FALSE), IFERROR(VLOOKUP($A365,'Vocus RVC ExDa'!$C$2:$R$155, 15,FALSE), IFERROR(VLOOKUP($A365,'Fusion ExDa'!$B$2:$D$16, 0,FALSE), IFERROR(VLOOKUP($A365,'Exetel ExDa'!$C$2:$N$14, 7,FALSE), IFERROR(VLOOKUP($A365,'Infinet ExDa'!$B$2:$E$14, 0,FALSE), "Not Found"))))))))</f>
        <v>Not Found</v>
      </c>
      <c r="H365" t="str">
        <f>IFERROR(VLOOKUP($A365,'AAPT ExDa'!$B$2:$U$99, 6,FALSE), IFERROR(VLOOKUP($A365,'ABB ExDa'!$A$2:$N$184, 0,FALSE), IFERROR(VLOOKUP($A365,'Vocus SIT ExDa'!$B$2:$J$173, 0,FALSE), IFERROR(VLOOKUP($A365,'Telstra ExDa'!$B$2:$K$310, 0,FALSE), IFERROR(VLOOKUP($A365,'Vocus RVC ExDa'!$C$2:$R$155, 16,FALSE), IFERROR(VLOOKUP($A365,'Fusion ExDa'!$B$2:$D$16, 0,FALSE), IFERROR(VLOOKUP($A365,'Exetel ExDa'!$C$2:$N$14, 0,FALSE), IFERROR(VLOOKUP($A365,'Infinet ExDa'!$B$2:$E$14, 0,FALSE), "Not Found"))))))))</f>
        <v>Not Found</v>
      </c>
      <c r="I365" t="str">
        <f>IFERROR(VLOOKUP($A365,'AAPT ExDa'!$B$2:$U$99, 0,FALSE), IFERROR(VLOOKUP($A365,'ABB ExDa'!$A$2:$N$184, 0,FALSE), IFERROR(VLOOKUP($A365,'Vocus SIT ExDa'!$B$2:$J$173, 0,FALSE), IFERROR(VLOOKUP($A365,'Telstra ExDa'!$B$2:$K$310, 0,FALSE), IFERROR(VLOOKUP($A365,'Vocus RVC ExDa'!$C$2:$R$155, 0,FALSE), IFERROR(VLOOKUP($A365,'Fusion ExDa'!$B$2:$D$16, 0,FALSE), IFERROR(VLOOKUP($A365,'Exetel ExDa'!$C$2:$N$14, 8,FALSE), IFERROR(VLOOKUP($A365,'Infinet ExDa'!$B$2:$E$14, 0,FALSE), "Not Found"))))))))</f>
        <v>Not Found</v>
      </c>
      <c r="J365" t="str">
        <f>IFERROR(VLOOKUP($A365,'AAPT ExDa'!$B$2:$U$99, 7,FALSE), IFERROR(VLOOKUP($A365,'ABB ExDa'!$A$2:$N$184, 2,FALSE), IFERROR(VLOOKUP($A365,'Vocus SIT ExDa'!$B$2:$J$173, 0,FALSE), IFERROR(VLOOKUP($A365,'Telstra ExDa'!$B$2:$K$310, 7,FALSE), IFERROR(VLOOKUP($A365,'Vocus RVC ExDa'!$C$2:$R$155, 2,FALSE), IFERROR(VLOOKUP($A365,'Fusion ExDa'!$B$2:$D$16, 3,FALSE), IFERROR(VLOOKUP($A365,'Exetel ExDa'!$C$2:$N$14, 0,FALSE), IFERROR(VLOOKUP($A365,'Infinet ExDa'!$B$2:$E$14, 0,FALSE), "Not Found"))))))))</f>
        <v>Not Found</v>
      </c>
      <c r="K365" t="str">
        <f>IFERROR(VLOOKUP($A365,'AAPT ExDa'!$B$2:$U$99, 12,FALSE), IFERROR(VLOOKUP($A365,'ABB ExDa'!$A$2:$N$184, 0,FALSE), IFERROR(VLOOKUP($A365,'Vocus SIT ExDa'!$B$2:$J$173, 0,FALSE), IFERROR(VLOOKUP($A365,'Telstra ExDa'!$B$2:$K$310, 0,FALSE), IFERROR(VLOOKUP($A365,'Vocus RVC ExDa'!$C$2:$R$155, 0,FALSE), IFERROR(VLOOKUP($A365,'Fusion ExDa'!$B$2:$D$16, 0,FALSE), IFERROR(VLOOKUP($A365,'Exetel ExDa'!$C$2:$N$14, 12,FALSE), IFERROR(VLOOKUP($A365,'Infinet ExDa'!$B$2:$E$14, 0,FALSE), "Not Found"))))))))</f>
        <v>Not Found</v>
      </c>
      <c r="L365" s="235" t="str">
        <f>IFERROR(VLOOKUP($A365,'AAPT ExDa'!$B$2:$U$99, 11,FALSE), IFERROR(VLOOKUP($A365,'ABB ExDa'!$A$2:$N$184, 9,FALSE), IFERROR(VLOOKUP($A365,'Vocus SIT ExDa'!$B$2:$J$173, 8,FALSE), IFERROR(VLOOKUP($A365,'Telstra ExDa'!$B$2:$K$310, 0,FALSE), IFERROR(VLOOKUP($A365,'Vocus RVC ExDa'!$C$2:$R$155, 0,FALSE), IFERROR(VLOOKUP($A365,'Fusion ExDa'!$B$2:$D$16, 0,FALSE), IFERROR(VLOOKUP($A365,'Exetel ExDa'!$C$2:$N$14, 9,FALSE), IFERROR(VLOOKUP($A365,'Infinet ExDa'!$B$2:$E$14, 0,FALSE), "Not Found"))))))))</f>
        <v>Not Found</v>
      </c>
      <c r="M365" s="234" t="str">
        <f>IFERROR(VLOOKUP($A365,'AAPT ExDa'!$B$2:$U$99, 0,FALSE), IFERROR(VLOOKUP($A365,'ABB ExDa'!$A$2:$N$184, 0,FALSE), IFERROR(VLOOKUP($A365,'Vocus SIT ExDa'!$B$2:$J$173, 0,FALSE), IFERROR(VLOOKUP($A365,'Telstra ExDa'!$B$2:$K$310, 0,FALSE), IFERROR(VLOOKUP($A365,'Vocus RVC ExDa'!$C$2:$R$155, 0,FALSE), IFERROR(VLOOKUP($A365,'Fusion ExDa'!$B$2:$D$16, 0,FALSE), IFERROR(VLOOKUP($A365,'Exetel ExDa'!$C$2:$N$14, 11,FALSE), IFERROR(VLOOKUP($A365,'Infinet ExDa'!$B$2:$E$14, 0,FALSE), "Not Found"))))))))</f>
        <v>Not Found</v>
      </c>
      <c r="N365" t="str">
        <f>IFERROR(VLOOKUP($A365,'AAPT ExDa'!$B$2:$U$99, 0,FALSE), IFERROR(VLOOKUP($A365,'ABB ExDa'!$A$2:$N$184, 13,FALSE), IFERROR(VLOOKUP($A365,'Vocus SIT ExDa'!$B$2:$J$173, 0,FALSE), IFERROR(VLOOKUP($A365,'Telstra ExDa'!$B$2:$K$310, 0,FALSE), IFERROR(VLOOKUP($A365,'Vocus RVC ExDa'!$C$2:$R$155, 0,FALSE), IFERROR(VLOOKUP($A365,'Fusion ExDa'!$B$2:$D$16, 0,FALSE), IFERROR(VLOOKUP($A365,'Exetel ExDa'!$C$2:$N$14, 0,FALSE), IFERROR(VLOOKUP($A365,'Infinet ExDa'!$B$2:$E$14, 0,FALSE), "Not Found"))))))))</f>
        <v>Not Found</v>
      </c>
    </row>
    <row r="366" spans="1:14">
      <c r="A366">
        <v>0</v>
      </c>
      <c r="B366" t="str">
        <f>IFERROR(VLOOKUP(A366,'Exetel ExDa'!$C$2:$N$14,4,FALSE),"No Data")</f>
        <v>No Data</v>
      </c>
      <c r="C366" t="str">
        <f>IFERROR(VLOOKUP(A366,'AAPT ExDa'!$B$2:$U$99, 2,FALSE), IFERROR(VLOOKUP(A366,'ABB ExDa'!$A$2:$N$184, 2,FALSE), IFERROR(VLOOKUP(A366,'Vocus SIT ExDa'!$B$2:$J$173, 7,FALSE), IFERROR(VLOOKUP(A366,'Telstra ExDa'!$B$2:$K$310, 2,FALSE), IFERROR(VLOOKUP(A366,'Vocus RVC ExDa'!$C$2:$R$155, 3,FALSE), IFERROR(VLOOKUP(A366,'Fusion ExDa'!$B$2:$D$16, 2,FALSE), IFERROR(VLOOKUP(A366,'Exetel ExDa'!$C$2:$N$14, 2,FALSE), IFERROR(VLOOKUP(A366,'Infinet ExDa'!$B$2:$E$14, 2,FALSE), "Not Found"))))))))</f>
        <v>Not Found</v>
      </c>
      <c r="D366" t="str">
        <f>IFERROR(VLOOKUP($A366,'AAPT ExDa'!$B$2:$U$99, 15,FALSE), IFERROR(VLOOKUP($A366,'ABB ExDa'!$A$2:$N$184, 4,FALSE), IFERROR(VLOOKUP($A366,'Vocus SIT ExDa'!$B$2:$J$173, 5,FALSE), IFERROR(VLOOKUP($A366,'Telstra ExDa'!$B$2:$K$310, 8,FALSE), IFERROR(VLOOKUP($A366,'Vocus RVC ExDa'!$C$2:$R$155, 6,FALSE), IFERROR(VLOOKUP($A366,'Fusion ExDa'!$B$2:$D$16, 4,FALSE), IFERROR(VLOOKUP($A366,'Exetel ExDa'!$C$2:$N$14, 3,FALSE), IFERROR(VLOOKUP($A366,'Infinet ExDa'!$B$2:$E$14, 3,FALSE), "Not Found"))))))))</f>
        <v>Not Found</v>
      </c>
      <c r="E366" t="str">
        <f>IFERROR(VLOOKUP($A366,'AAPT ExDa'!$B$2:$U$99, 3,FALSE), IFERROR(VLOOKUP($A366,'ABB ExDa'!$A$2:$N$184, 5,FALSE), IFERROR(VLOOKUP($A366,'Vocus SIT ExDa'!$B$2:$J$173, 2,FALSE), IFERROR(VLOOKUP($A366,'Telstra ExDa'!$B$2:$K$310, 4,FALSE), IFERROR(VLOOKUP($A366,'Vocus RVC ExDa'!$C$2:$R$155, 8,FALSE), IFERROR(VLOOKUP($A366,'Fusion ExDa'!$B$2:$D$16, 4,FALSE), IFERROR(VLOOKUP($A366,'Exetel ExDa'!$C$2:$N$14, 5,FALSE), IFERROR(VLOOKUP($A366,'Infinet ExDa'!$B$2:$E$14, 3,FALSE), "Not Found"))))))))</f>
        <v>Not Found</v>
      </c>
      <c r="F366" t="str">
        <f>IFERROR(VLOOKUP($A366,'AAPT ExDa'!$B$2:$U$99, 4,FALSE), IFERROR(VLOOKUP($A366,'ABB ExDa'!$A$2:$N$184, 6,FALSE), IFERROR(VLOOKUP($A366,'Vocus SIT ExDa'!$B$2:$J$173, 3,FALSE), IFERROR(VLOOKUP($A366,'Telstra ExDa'!$B$2:$K$310, 5,FALSE), IFERROR(VLOOKUP($A366,'Vocus RVC ExDa'!$C$2:$R$155, 9,FALSE), IFERROR(VLOOKUP($A366,'Fusion ExDa'!$B$2:$D$16, 0,FALSE), IFERROR(VLOOKUP($A366,'Exetel ExDa'!$C$2:$N$14, 6,FALSE), IFERROR(VLOOKUP($A366,'Infinet ExDa'!$B$2:$E$14, 0,FALSE), "Not Found"))))))))</f>
        <v>Not Found</v>
      </c>
      <c r="G366" t="str">
        <f>IFERROR(VLOOKUP($A366,'AAPT ExDa'!$B$2:$U$99, 5,FALSE), IFERROR(VLOOKUP($A366,'ABB ExDa'!$A$2:$N$184, 8,FALSE), IFERROR(VLOOKUP($A366,'Vocus SIT ExDa'!$B$2:$J$173, 6,FALSE), IFERROR(VLOOKUP($A366,'Telstra ExDa'!$B$2:$K$310, 0,FALSE), IFERROR(VLOOKUP($A366,'Vocus RVC ExDa'!$C$2:$R$155, 15,FALSE), IFERROR(VLOOKUP($A366,'Fusion ExDa'!$B$2:$D$16, 0,FALSE), IFERROR(VLOOKUP($A366,'Exetel ExDa'!$C$2:$N$14, 7,FALSE), IFERROR(VLOOKUP($A366,'Infinet ExDa'!$B$2:$E$14, 0,FALSE), "Not Found"))))))))</f>
        <v>Not Found</v>
      </c>
      <c r="H366" t="str">
        <f>IFERROR(VLOOKUP($A366,'AAPT ExDa'!$B$2:$U$99, 6,FALSE), IFERROR(VLOOKUP($A366,'ABB ExDa'!$A$2:$N$184, 0,FALSE), IFERROR(VLOOKUP($A366,'Vocus SIT ExDa'!$B$2:$J$173, 0,FALSE), IFERROR(VLOOKUP($A366,'Telstra ExDa'!$B$2:$K$310, 0,FALSE), IFERROR(VLOOKUP($A366,'Vocus RVC ExDa'!$C$2:$R$155, 16,FALSE), IFERROR(VLOOKUP($A366,'Fusion ExDa'!$B$2:$D$16, 0,FALSE), IFERROR(VLOOKUP($A366,'Exetel ExDa'!$C$2:$N$14, 0,FALSE), IFERROR(VLOOKUP($A366,'Infinet ExDa'!$B$2:$E$14, 0,FALSE), "Not Found"))))))))</f>
        <v>Not Found</v>
      </c>
      <c r="I366" t="str">
        <f>IFERROR(VLOOKUP($A366,'AAPT ExDa'!$B$2:$U$99, 0,FALSE), IFERROR(VLOOKUP($A366,'ABB ExDa'!$A$2:$N$184, 0,FALSE), IFERROR(VLOOKUP($A366,'Vocus SIT ExDa'!$B$2:$J$173, 0,FALSE), IFERROR(VLOOKUP($A366,'Telstra ExDa'!$B$2:$K$310, 0,FALSE), IFERROR(VLOOKUP($A366,'Vocus RVC ExDa'!$C$2:$R$155, 0,FALSE), IFERROR(VLOOKUP($A366,'Fusion ExDa'!$B$2:$D$16, 0,FALSE), IFERROR(VLOOKUP($A366,'Exetel ExDa'!$C$2:$N$14, 8,FALSE), IFERROR(VLOOKUP($A366,'Infinet ExDa'!$B$2:$E$14, 0,FALSE), "Not Found"))))))))</f>
        <v>Not Found</v>
      </c>
      <c r="J366" t="str">
        <f>IFERROR(VLOOKUP($A366,'AAPT ExDa'!$B$2:$U$99, 7,FALSE), IFERROR(VLOOKUP($A366,'ABB ExDa'!$A$2:$N$184, 2,FALSE), IFERROR(VLOOKUP($A366,'Vocus SIT ExDa'!$B$2:$J$173, 0,FALSE), IFERROR(VLOOKUP($A366,'Telstra ExDa'!$B$2:$K$310, 7,FALSE), IFERROR(VLOOKUP($A366,'Vocus RVC ExDa'!$C$2:$R$155, 2,FALSE), IFERROR(VLOOKUP($A366,'Fusion ExDa'!$B$2:$D$16, 3,FALSE), IFERROR(VLOOKUP($A366,'Exetel ExDa'!$C$2:$N$14, 0,FALSE), IFERROR(VLOOKUP($A366,'Infinet ExDa'!$B$2:$E$14, 0,FALSE), "Not Found"))))))))</f>
        <v>Not Found</v>
      </c>
      <c r="K366" t="str">
        <f>IFERROR(VLOOKUP($A366,'AAPT ExDa'!$B$2:$U$99, 12,FALSE), IFERROR(VLOOKUP($A366,'ABB ExDa'!$A$2:$N$184, 0,FALSE), IFERROR(VLOOKUP($A366,'Vocus SIT ExDa'!$B$2:$J$173, 0,FALSE), IFERROR(VLOOKUP($A366,'Telstra ExDa'!$B$2:$K$310, 0,FALSE), IFERROR(VLOOKUP($A366,'Vocus RVC ExDa'!$C$2:$R$155, 0,FALSE), IFERROR(VLOOKUP($A366,'Fusion ExDa'!$B$2:$D$16, 0,FALSE), IFERROR(VLOOKUP($A366,'Exetel ExDa'!$C$2:$N$14, 12,FALSE), IFERROR(VLOOKUP($A366,'Infinet ExDa'!$B$2:$E$14, 0,FALSE), "Not Found"))))))))</f>
        <v>Not Found</v>
      </c>
      <c r="L366" s="235" t="str">
        <f>IFERROR(VLOOKUP($A366,'AAPT ExDa'!$B$2:$U$99, 11,FALSE), IFERROR(VLOOKUP($A366,'ABB ExDa'!$A$2:$N$184, 9,FALSE), IFERROR(VLOOKUP($A366,'Vocus SIT ExDa'!$B$2:$J$173, 8,FALSE), IFERROR(VLOOKUP($A366,'Telstra ExDa'!$B$2:$K$310, 0,FALSE), IFERROR(VLOOKUP($A366,'Vocus RVC ExDa'!$C$2:$R$155, 0,FALSE), IFERROR(VLOOKUP($A366,'Fusion ExDa'!$B$2:$D$16, 0,FALSE), IFERROR(VLOOKUP($A366,'Exetel ExDa'!$C$2:$N$14, 9,FALSE), IFERROR(VLOOKUP($A366,'Infinet ExDa'!$B$2:$E$14, 0,FALSE), "Not Found"))))))))</f>
        <v>Not Found</v>
      </c>
      <c r="M366" s="234" t="str">
        <f>IFERROR(VLOOKUP($A366,'AAPT ExDa'!$B$2:$U$99, 0,FALSE), IFERROR(VLOOKUP($A366,'ABB ExDa'!$A$2:$N$184, 0,FALSE), IFERROR(VLOOKUP($A366,'Vocus SIT ExDa'!$B$2:$J$173, 0,FALSE), IFERROR(VLOOKUP($A366,'Telstra ExDa'!$B$2:$K$310, 0,FALSE), IFERROR(VLOOKUP($A366,'Vocus RVC ExDa'!$C$2:$R$155, 0,FALSE), IFERROR(VLOOKUP($A366,'Fusion ExDa'!$B$2:$D$16, 0,FALSE), IFERROR(VLOOKUP($A366,'Exetel ExDa'!$C$2:$N$14, 11,FALSE), IFERROR(VLOOKUP($A366,'Infinet ExDa'!$B$2:$E$14, 0,FALSE), "Not Found"))))))))</f>
        <v>Not Found</v>
      </c>
      <c r="N366" t="str">
        <f>IFERROR(VLOOKUP($A366,'AAPT ExDa'!$B$2:$U$99, 0,FALSE), IFERROR(VLOOKUP($A366,'ABB ExDa'!$A$2:$N$184, 13,FALSE), IFERROR(VLOOKUP($A366,'Vocus SIT ExDa'!$B$2:$J$173, 0,FALSE), IFERROR(VLOOKUP($A366,'Telstra ExDa'!$B$2:$K$310, 0,FALSE), IFERROR(VLOOKUP($A366,'Vocus RVC ExDa'!$C$2:$R$155, 0,FALSE), IFERROR(VLOOKUP($A366,'Fusion ExDa'!$B$2:$D$16, 0,FALSE), IFERROR(VLOOKUP($A366,'Exetel ExDa'!$C$2:$N$14, 0,FALSE), IFERROR(VLOOKUP($A366,'Infinet ExDa'!$B$2:$E$14, 0,FALSE), "Not Found"))))))))</f>
        <v>Not Found</v>
      </c>
    </row>
    <row r="367" spans="1:14">
      <c r="A367">
        <v>0</v>
      </c>
      <c r="B367" t="str">
        <f>IFERROR(VLOOKUP(A367,'Exetel ExDa'!$C$2:$N$14,4,FALSE),"No Data")</f>
        <v>No Data</v>
      </c>
      <c r="C367" t="str">
        <f>IFERROR(VLOOKUP(A367,'AAPT ExDa'!$B$2:$U$99, 2,FALSE), IFERROR(VLOOKUP(A367,'ABB ExDa'!$A$2:$N$184, 2,FALSE), IFERROR(VLOOKUP(A367,'Vocus SIT ExDa'!$B$2:$J$173, 7,FALSE), IFERROR(VLOOKUP(A367,'Telstra ExDa'!$B$2:$K$310, 2,FALSE), IFERROR(VLOOKUP(A367,'Vocus RVC ExDa'!$C$2:$R$155, 3,FALSE), IFERROR(VLOOKUP(A367,'Fusion ExDa'!$B$2:$D$16, 2,FALSE), IFERROR(VLOOKUP(A367,'Exetel ExDa'!$C$2:$N$14, 2,FALSE), IFERROR(VLOOKUP(A367,'Infinet ExDa'!$B$2:$E$14, 2,FALSE), "Not Found"))))))))</f>
        <v>Not Found</v>
      </c>
      <c r="D367" t="str">
        <f>IFERROR(VLOOKUP($A367,'AAPT ExDa'!$B$2:$U$99, 15,FALSE), IFERROR(VLOOKUP($A367,'ABB ExDa'!$A$2:$N$184, 4,FALSE), IFERROR(VLOOKUP($A367,'Vocus SIT ExDa'!$B$2:$J$173, 5,FALSE), IFERROR(VLOOKUP($A367,'Telstra ExDa'!$B$2:$K$310, 8,FALSE), IFERROR(VLOOKUP($A367,'Vocus RVC ExDa'!$C$2:$R$155, 6,FALSE), IFERROR(VLOOKUP($A367,'Fusion ExDa'!$B$2:$D$16, 4,FALSE), IFERROR(VLOOKUP($A367,'Exetel ExDa'!$C$2:$N$14, 3,FALSE), IFERROR(VLOOKUP($A367,'Infinet ExDa'!$B$2:$E$14, 3,FALSE), "Not Found"))))))))</f>
        <v>Not Found</v>
      </c>
      <c r="E367" t="str">
        <f>IFERROR(VLOOKUP($A367,'AAPT ExDa'!$B$2:$U$99, 3,FALSE), IFERROR(VLOOKUP($A367,'ABB ExDa'!$A$2:$N$184, 5,FALSE), IFERROR(VLOOKUP($A367,'Vocus SIT ExDa'!$B$2:$J$173, 2,FALSE), IFERROR(VLOOKUP($A367,'Telstra ExDa'!$B$2:$K$310, 4,FALSE), IFERROR(VLOOKUP($A367,'Vocus RVC ExDa'!$C$2:$R$155, 8,FALSE), IFERROR(VLOOKUP($A367,'Fusion ExDa'!$B$2:$D$16, 4,FALSE), IFERROR(VLOOKUP($A367,'Exetel ExDa'!$C$2:$N$14, 5,FALSE), IFERROR(VLOOKUP($A367,'Infinet ExDa'!$B$2:$E$14, 3,FALSE), "Not Found"))))))))</f>
        <v>Not Found</v>
      </c>
      <c r="F367" t="str">
        <f>IFERROR(VLOOKUP($A367,'AAPT ExDa'!$B$2:$U$99, 4,FALSE), IFERROR(VLOOKUP($A367,'ABB ExDa'!$A$2:$N$184, 6,FALSE), IFERROR(VLOOKUP($A367,'Vocus SIT ExDa'!$B$2:$J$173, 3,FALSE), IFERROR(VLOOKUP($A367,'Telstra ExDa'!$B$2:$K$310, 5,FALSE), IFERROR(VLOOKUP($A367,'Vocus RVC ExDa'!$C$2:$R$155, 9,FALSE), IFERROR(VLOOKUP($A367,'Fusion ExDa'!$B$2:$D$16, 0,FALSE), IFERROR(VLOOKUP($A367,'Exetel ExDa'!$C$2:$N$14, 6,FALSE), IFERROR(VLOOKUP($A367,'Infinet ExDa'!$B$2:$E$14, 0,FALSE), "Not Found"))))))))</f>
        <v>Not Found</v>
      </c>
      <c r="G367" t="str">
        <f>IFERROR(VLOOKUP($A367,'AAPT ExDa'!$B$2:$U$99, 5,FALSE), IFERROR(VLOOKUP($A367,'ABB ExDa'!$A$2:$N$184, 8,FALSE), IFERROR(VLOOKUP($A367,'Vocus SIT ExDa'!$B$2:$J$173, 6,FALSE), IFERROR(VLOOKUP($A367,'Telstra ExDa'!$B$2:$K$310, 0,FALSE), IFERROR(VLOOKUP($A367,'Vocus RVC ExDa'!$C$2:$R$155, 15,FALSE), IFERROR(VLOOKUP($A367,'Fusion ExDa'!$B$2:$D$16, 0,FALSE), IFERROR(VLOOKUP($A367,'Exetel ExDa'!$C$2:$N$14, 7,FALSE), IFERROR(VLOOKUP($A367,'Infinet ExDa'!$B$2:$E$14, 0,FALSE), "Not Found"))))))))</f>
        <v>Not Found</v>
      </c>
      <c r="H367" t="str">
        <f>IFERROR(VLOOKUP($A367,'AAPT ExDa'!$B$2:$U$99, 6,FALSE), IFERROR(VLOOKUP($A367,'ABB ExDa'!$A$2:$N$184, 0,FALSE), IFERROR(VLOOKUP($A367,'Vocus SIT ExDa'!$B$2:$J$173, 0,FALSE), IFERROR(VLOOKUP($A367,'Telstra ExDa'!$B$2:$K$310, 0,FALSE), IFERROR(VLOOKUP($A367,'Vocus RVC ExDa'!$C$2:$R$155, 16,FALSE), IFERROR(VLOOKUP($A367,'Fusion ExDa'!$B$2:$D$16, 0,FALSE), IFERROR(VLOOKUP($A367,'Exetel ExDa'!$C$2:$N$14, 0,FALSE), IFERROR(VLOOKUP($A367,'Infinet ExDa'!$B$2:$E$14, 0,FALSE), "Not Found"))))))))</f>
        <v>Not Found</v>
      </c>
      <c r="I367" t="str">
        <f>IFERROR(VLOOKUP($A367,'AAPT ExDa'!$B$2:$U$99, 0,FALSE), IFERROR(VLOOKUP($A367,'ABB ExDa'!$A$2:$N$184, 0,FALSE), IFERROR(VLOOKUP($A367,'Vocus SIT ExDa'!$B$2:$J$173, 0,FALSE), IFERROR(VLOOKUP($A367,'Telstra ExDa'!$B$2:$K$310, 0,FALSE), IFERROR(VLOOKUP($A367,'Vocus RVC ExDa'!$C$2:$R$155, 0,FALSE), IFERROR(VLOOKUP($A367,'Fusion ExDa'!$B$2:$D$16, 0,FALSE), IFERROR(VLOOKUP($A367,'Exetel ExDa'!$C$2:$N$14, 8,FALSE), IFERROR(VLOOKUP($A367,'Infinet ExDa'!$B$2:$E$14, 0,FALSE), "Not Found"))))))))</f>
        <v>Not Found</v>
      </c>
      <c r="J367" t="str">
        <f>IFERROR(VLOOKUP($A367,'AAPT ExDa'!$B$2:$U$99, 7,FALSE), IFERROR(VLOOKUP($A367,'ABB ExDa'!$A$2:$N$184, 2,FALSE), IFERROR(VLOOKUP($A367,'Vocus SIT ExDa'!$B$2:$J$173, 0,FALSE), IFERROR(VLOOKUP($A367,'Telstra ExDa'!$B$2:$K$310, 7,FALSE), IFERROR(VLOOKUP($A367,'Vocus RVC ExDa'!$C$2:$R$155, 2,FALSE), IFERROR(VLOOKUP($A367,'Fusion ExDa'!$B$2:$D$16, 3,FALSE), IFERROR(VLOOKUP($A367,'Exetel ExDa'!$C$2:$N$14, 0,FALSE), IFERROR(VLOOKUP($A367,'Infinet ExDa'!$B$2:$E$14, 0,FALSE), "Not Found"))))))))</f>
        <v>Not Found</v>
      </c>
      <c r="K367" t="str">
        <f>IFERROR(VLOOKUP($A367,'AAPT ExDa'!$B$2:$U$99, 12,FALSE), IFERROR(VLOOKUP($A367,'ABB ExDa'!$A$2:$N$184, 0,FALSE), IFERROR(VLOOKUP($A367,'Vocus SIT ExDa'!$B$2:$J$173, 0,FALSE), IFERROR(VLOOKUP($A367,'Telstra ExDa'!$B$2:$K$310, 0,FALSE), IFERROR(VLOOKUP($A367,'Vocus RVC ExDa'!$C$2:$R$155, 0,FALSE), IFERROR(VLOOKUP($A367,'Fusion ExDa'!$B$2:$D$16, 0,FALSE), IFERROR(VLOOKUP($A367,'Exetel ExDa'!$C$2:$N$14, 12,FALSE), IFERROR(VLOOKUP($A367,'Infinet ExDa'!$B$2:$E$14, 0,FALSE), "Not Found"))))))))</f>
        <v>Not Found</v>
      </c>
      <c r="L367" s="235" t="str">
        <f>IFERROR(VLOOKUP($A367,'AAPT ExDa'!$B$2:$U$99, 11,FALSE), IFERROR(VLOOKUP($A367,'ABB ExDa'!$A$2:$N$184, 9,FALSE), IFERROR(VLOOKUP($A367,'Vocus SIT ExDa'!$B$2:$J$173, 8,FALSE), IFERROR(VLOOKUP($A367,'Telstra ExDa'!$B$2:$K$310, 0,FALSE), IFERROR(VLOOKUP($A367,'Vocus RVC ExDa'!$C$2:$R$155, 0,FALSE), IFERROR(VLOOKUP($A367,'Fusion ExDa'!$B$2:$D$16, 0,FALSE), IFERROR(VLOOKUP($A367,'Exetel ExDa'!$C$2:$N$14, 9,FALSE), IFERROR(VLOOKUP($A367,'Infinet ExDa'!$B$2:$E$14, 0,FALSE), "Not Found"))))))))</f>
        <v>Not Found</v>
      </c>
      <c r="M367" s="234" t="str">
        <f>IFERROR(VLOOKUP($A367,'AAPT ExDa'!$B$2:$U$99, 0,FALSE), IFERROR(VLOOKUP($A367,'ABB ExDa'!$A$2:$N$184, 0,FALSE), IFERROR(VLOOKUP($A367,'Vocus SIT ExDa'!$B$2:$J$173, 0,FALSE), IFERROR(VLOOKUP($A367,'Telstra ExDa'!$B$2:$K$310, 0,FALSE), IFERROR(VLOOKUP($A367,'Vocus RVC ExDa'!$C$2:$R$155, 0,FALSE), IFERROR(VLOOKUP($A367,'Fusion ExDa'!$B$2:$D$16, 0,FALSE), IFERROR(VLOOKUP($A367,'Exetel ExDa'!$C$2:$N$14, 11,FALSE), IFERROR(VLOOKUP($A367,'Infinet ExDa'!$B$2:$E$14, 0,FALSE), "Not Found"))))))))</f>
        <v>Not Found</v>
      </c>
      <c r="N367" t="str">
        <f>IFERROR(VLOOKUP($A367,'AAPT ExDa'!$B$2:$U$99, 0,FALSE), IFERROR(VLOOKUP($A367,'ABB ExDa'!$A$2:$N$184, 13,FALSE), IFERROR(VLOOKUP($A367,'Vocus SIT ExDa'!$B$2:$J$173, 0,FALSE), IFERROR(VLOOKUP($A367,'Telstra ExDa'!$B$2:$K$310, 0,FALSE), IFERROR(VLOOKUP($A367,'Vocus RVC ExDa'!$C$2:$R$155, 0,FALSE), IFERROR(VLOOKUP($A367,'Fusion ExDa'!$B$2:$D$16, 0,FALSE), IFERROR(VLOOKUP($A367,'Exetel ExDa'!$C$2:$N$14, 0,FALSE), IFERROR(VLOOKUP($A367,'Infinet ExDa'!$B$2:$E$14, 0,FALSE), "Not Found"))))))))</f>
        <v>Not Found</v>
      </c>
    </row>
    <row r="368" spans="1:14">
      <c r="A368" t="str">
        <v>LFF</v>
      </c>
      <c r="B368" t="str">
        <f>IFERROR(VLOOKUP(A368,'Exetel ExDa'!$C$2:$N$14,4,FALSE),"No Data")</f>
        <v>No Data</v>
      </c>
      <c r="C368">
        <f>IFERROR(VLOOKUP(A368,'AAPT ExDa'!$B$2:$U$99, 2,FALSE), IFERROR(VLOOKUP(A368,'ABB ExDa'!$A$2:$N$184, 2,FALSE), IFERROR(VLOOKUP(A368,'Vocus SIT ExDa'!$B$2:$J$173, 7,FALSE), IFERROR(VLOOKUP(A368,'Telstra ExDa'!$B$2:$K$310, 2,FALSE), IFERROR(VLOOKUP(A368,'Vocus RVC ExDa'!$C$2:$R$155, 3,FALSE), IFERROR(VLOOKUP(A368,'Fusion ExDa'!$B$2:$D$16, 2,FALSE), IFERROR(VLOOKUP(A368,'Exetel ExDa'!$C$2:$N$14, 2,FALSE), IFERROR(VLOOKUP(A368,'Infinet ExDa'!$B$2:$E$14, 2,FALSE), "Not Found"))))))))</f>
        <v>0</v>
      </c>
      <c r="D368" t="str">
        <f>IFERROR(VLOOKUP($A368,'AAPT ExDa'!$B$2:$U$99, 15,FALSE), IFERROR(VLOOKUP($A368,'ABB ExDa'!$A$2:$N$184, 4,FALSE), IFERROR(VLOOKUP($A368,'Vocus SIT ExDa'!$B$2:$J$173, 5,FALSE), IFERROR(VLOOKUP($A368,'Telstra ExDa'!$B$2:$K$310, 8,FALSE), IFERROR(VLOOKUP($A368,'Vocus RVC ExDa'!$C$2:$R$155, 6,FALSE), IFERROR(VLOOKUP($A368,'Fusion ExDa'!$B$2:$D$16, 4,FALSE), IFERROR(VLOOKUP($A368,'Exetel ExDa'!$C$2:$N$14, 3,FALSE), IFERROR(VLOOKUP($A368,'Infinet ExDa'!$B$2:$E$14, 3,FALSE), "Not Found"))))))))</f>
        <v>Vocus SIT</v>
      </c>
      <c r="E368" t="str">
        <f>IFERROR(VLOOKUP($A368,'AAPT ExDa'!$B$2:$U$99, 3,FALSE), IFERROR(VLOOKUP($A368,'ABB ExDa'!$A$2:$N$184, 5,FALSE), IFERROR(VLOOKUP($A368,'Vocus SIT ExDa'!$B$2:$J$173, 2,FALSE), IFERROR(VLOOKUP($A368,'Telstra ExDa'!$B$2:$K$310, 4,FALSE), IFERROR(VLOOKUP($A368,'Vocus RVC ExDa'!$C$2:$R$155, 8,FALSE), IFERROR(VLOOKUP($A368,'Fusion ExDa'!$B$2:$D$16, 4,FALSE), IFERROR(VLOOKUP($A368,'Exetel ExDa'!$C$2:$N$14, 5,FALSE), IFERROR(VLOOKUP($A368,'Infinet ExDa'!$B$2:$E$14, 3,FALSE), "Not Found"))))))))</f>
        <v>Voice Service</v>
      </c>
      <c r="F368" t="str">
        <f>IFERROR(VLOOKUP($A368,'AAPT ExDa'!$B$2:$U$99, 4,FALSE), IFERROR(VLOOKUP($A368,'ABB ExDa'!$A$2:$N$184, 6,FALSE), IFERROR(VLOOKUP($A368,'Vocus SIT ExDa'!$B$2:$J$173, 3,FALSE), IFERROR(VLOOKUP($A368,'Telstra ExDa'!$B$2:$K$310, 5,FALSE), IFERROR(VLOOKUP($A368,'Vocus RVC ExDa'!$C$2:$R$155, 9,FALSE), IFERROR(VLOOKUP($A368,'Fusion ExDa'!$B$2:$D$16, 0,FALSE), IFERROR(VLOOKUP($A368,'Exetel ExDa'!$C$2:$N$14, 6,FALSE), IFERROR(VLOOKUP($A368,'Infinet ExDa'!$B$2:$E$14, 0,FALSE), "Not Found"))))))))</f>
        <v>n/a</v>
      </c>
      <c r="G368" t="str">
        <f>IFERROR(VLOOKUP($A368,'AAPT ExDa'!$B$2:$U$99, 5,FALSE), IFERROR(VLOOKUP($A368,'ABB ExDa'!$A$2:$N$184, 8,FALSE), IFERROR(VLOOKUP($A368,'Vocus SIT ExDa'!$B$2:$J$173, 6,FALSE), IFERROR(VLOOKUP($A368,'Telstra ExDa'!$B$2:$K$310, 0,FALSE), IFERROR(VLOOKUP($A368,'Vocus RVC ExDa'!$C$2:$R$155, 15,FALSE), IFERROR(VLOOKUP($A368,'Fusion ExDa'!$B$2:$D$16, 0,FALSE), IFERROR(VLOOKUP($A368,'Exetel ExDa'!$C$2:$N$14, 7,FALSE), IFERROR(VLOOKUP($A368,'Infinet ExDa'!$B$2:$E$14, 0,FALSE), "Not Found"))))))))</f>
        <v>IP Tel Order - Smile Tel - 16/09/2021 - LFF</v>
      </c>
      <c r="H368" t="str">
        <f>IFERROR(VLOOKUP($A368,'AAPT ExDa'!$B$2:$U$99, 6,FALSE), IFERROR(VLOOKUP($A368,'ABB ExDa'!$A$2:$N$184, 0,FALSE), IFERROR(VLOOKUP($A368,'Vocus SIT ExDa'!$B$2:$J$173, 0,FALSE), IFERROR(VLOOKUP($A368,'Telstra ExDa'!$B$2:$K$310, 0,FALSE), IFERROR(VLOOKUP($A368,'Vocus RVC ExDa'!$C$2:$R$155, 16,FALSE), IFERROR(VLOOKUP($A368,'Fusion ExDa'!$B$2:$D$16, 0,FALSE), IFERROR(VLOOKUP($A368,'Exetel ExDa'!$C$2:$N$14, 0,FALSE), IFERROR(VLOOKUP($A368,'Infinet ExDa'!$B$2:$E$14, 0,FALSE), "Not Found"))))))))</f>
        <v>Not Found</v>
      </c>
      <c r="I368" t="str">
        <f>IFERROR(VLOOKUP($A368,'AAPT ExDa'!$B$2:$U$99, 0,FALSE), IFERROR(VLOOKUP($A368,'ABB ExDa'!$A$2:$N$184, 0,FALSE), IFERROR(VLOOKUP($A368,'Vocus SIT ExDa'!$B$2:$J$173, 0,FALSE), IFERROR(VLOOKUP($A368,'Telstra ExDa'!$B$2:$K$310, 0,FALSE), IFERROR(VLOOKUP($A368,'Vocus RVC ExDa'!$C$2:$R$155, 0,FALSE), IFERROR(VLOOKUP($A368,'Fusion ExDa'!$B$2:$D$16, 0,FALSE), IFERROR(VLOOKUP($A368,'Exetel ExDa'!$C$2:$N$14, 8,FALSE), IFERROR(VLOOKUP($A368,'Infinet ExDa'!$B$2:$E$14, 0,FALSE), "Not Found"))))))))</f>
        <v>Not Found</v>
      </c>
      <c r="J368" t="str">
        <f>IFERROR(VLOOKUP($A368,'AAPT ExDa'!$B$2:$U$99, 7,FALSE), IFERROR(VLOOKUP($A368,'ABB ExDa'!$A$2:$N$184, 2,FALSE), IFERROR(VLOOKUP($A368,'Vocus SIT ExDa'!$B$2:$J$173, 0,FALSE), IFERROR(VLOOKUP($A368,'Telstra ExDa'!$B$2:$K$310, 7,FALSE), IFERROR(VLOOKUP($A368,'Vocus RVC ExDa'!$C$2:$R$155, 2,FALSE), IFERROR(VLOOKUP($A368,'Fusion ExDa'!$B$2:$D$16, 3,FALSE), IFERROR(VLOOKUP($A368,'Exetel ExDa'!$C$2:$N$14, 0,FALSE), IFERROR(VLOOKUP($A368,'Infinet ExDa'!$B$2:$E$14, 0,FALSE), "Not Found"))))))))</f>
        <v>Not Found</v>
      </c>
      <c r="K368" t="str">
        <f>IFERROR(VLOOKUP($A368,'AAPT ExDa'!$B$2:$U$99, 12,FALSE), IFERROR(VLOOKUP($A368,'ABB ExDa'!$A$2:$N$184, 0,FALSE), IFERROR(VLOOKUP($A368,'Vocus SIT ExDa'!$B$2:$J$173, 0,FALSE), IFERROR(VLOOKUP($A368,'Telstra ExDa'!$B$2:$K$310, 0,FALSE), IFERROR(VLOOKUP($A368,'Vocus RVC ExDa'!$C$2:$R$155, 0,FALSE), IFERROR(VLOOKUP($A368,'Fusion ExDa'!$B$2:$D$16, 0,FALSE), IFERROR(VLOOKUP($A368,'Exetel ExDa'!$C$2:$N$14, 12,FALSE), IFERROR(VLOOKUP($A368,'Infinet ExDa'!$B$2:$E$14, 0,FALSE), "Not Found"))))))))</f>
        <v>Not Found</v>
      </c>
      <c r="L368" s="235" t="str">
        <f>IFERROR(VLOOKUP($A368,'AAPT ExDa'!$B$2:$U$99, 11,FALSE), IFERROR(VLOOKUP($A368,'ABB ExDa'!$A$2:$N$184, 9,FALSE), IFERROR(VLOOKUP($A368,'Vocus SIT ExDa'!$B$2:$J$173, 8,FALSE), IFERROR(VLOOKUP($A368,'Telstra ExDa'!$B$2:$K$310, 0,FALSE), IFERROR(VLOOKUP($A368,'Vocus RVC ExDa'!$C$2:$R$155, 0,FALSE), IFERROR(VLOOKUP($A368,'Fusion ExDa'!$B$2:$D$16, 0,FALSE), IFERROR(VLOOKUP($A368,'Exetel ExDa'!$C$2:$N$14, 9,FALSE), IFERROR(VLOOKUP($A368,'Infinet ExDa'!$B$2:$E$14, 0,FALSE), "Not Found"))))))))</f>
        <v>17/09/2021</v>
      </c>
      <c r="M368" s="234" t="str">
        <f>IFERROR(VLOOKUP($A368,'AAPT ExDa'!$B$2:$U$99, 0,FALSE), IFERROR(VLOOKUP($A368,'ABB ExDa'!$A$2:$N$184, 0,FALSE), IFERROR(VLOOKUP($A368,'Vocus SIT ExDa'!$B$2:$J$173, 0,FALSE), IFERROR(VLOOKUP($A368,'Telstra ExDa'!$B$2:$K$310, 0,FALSE), IFERROR(VLOOKUP($A368,'Vocus RVC ExDa'!$C$2:$R$155, 0,FALSE), IFERROR(VLOOKUP($A368,'Fusion ExDa'!$B$2:$D$16, 0,FALSE), IFERROR(VLOOKUP($A368,'Exetel ExDa'!$C$2:$N$14, 11,FALSE), IFERROR(VLOOKUP($A368,'Infinet ExDa'!$B$2:$E$14, 0,FALSE), "Not Found"))))))))</f>
        <v>Not Found</v>
      </c>
      <c r="N368" t="str">
        <f>IFERROR(VLOOKUP($A368,'AAPT ExDa'!$B$2:$U$99, 0,FALSE), IFERROR(VLOOKUP($A368,'ABB ExDa'!$A$2:$N$184, 13,FALSE), IFERROR(VLOOKUP($A368,'Vocus SIT ExDa'!$B$2:$J$173, 0,FALSE), IFERROR(VLOOKUP($A368,'Telstra ExDa'!$B$2:$K$310, 0,FALSE), IFERROR(VLOOKUP($A368,'Vocus RVC ExDa'!$C$2:$R$155, 0,FALSE), IFERROR(VLOOKUP($A368,'Fusion ExDa'!$B$2:$D$16, 0,FALSE), IFERROR(VLOOKUP($A368,'Exetel ExDa'!$C$2:$N$14, 0,FALSE), IFERROR(VLOOKUP($A368,'Infinet ExDa'!$B$2:$E$14, 0,FALSE), "Not Found"))))))))</f>
        <v>Not Found</v>
      </c>
    </row>
    <row r="369" spans="1:14">
      <c r="A369">
        <v>0</v>
      </c>
      <c r="B369" t="str">
        <f>IFERROR(VLOOKUP(A369,'Exetel ExDa'!$C$2:$N$14,4,FALSE),"No Data")</f>
        <v>No Data</v>
      </c>
      <c r="C369" t="str">
        <f>IFERROR(VLOOKUP(A369,'AAPT ExDa'!$B$2:$U$99, 2,FALSE), IFERROR(VLOOKUP(A369,'ABB ExDa'!$A$2:$N$184, 2,FALSE), IFERROR(VLOOKUP(A369,'Vocus SIT ExDa'!$B$2:$J$173, 7,FALSE), IFERROR(VLOOKUP(A369,'Telstra ExDa'!$B$2:$K$310, 2,FALSE), IFERROR(VLOOKUP(A369,'Vocus RVC ExDa'!$C$2:$R$155, 3,FALSE), IFERROR(VLOOKUP(A369,'Fusion ExDa'!$B$2:$D$16, 2,FALSE), IFERROR(VLOOKUP(A369,'Exetel ExDa'!$C$2:$N$14, 2,FALSE), IFERROR(VLOOKUP(A369,'Infinet ExDa'!$B$2:$E$14, 2,FALSE), "Not Found"))))))))</f>
        <v>Not Found</v>
      </c>
      <c r="D369" t="str">
        <f>IFERROR(VLOOKUP($A369,'AAPT ExDa'!$B$2:$U$99, 15,FALSE), IFERROR(VLOOKUP($A369,'ABB ExDa'!$A$2:$N$184, 4,FALSE), IFERROR(VLOOKUP($A369,'Vocus SIT ExDa'!$B$2:$J$173, 5,FALSE), IFERROR(VLOOKUP($A369,'Telstra ExDa'!$B$2:$K$310, 8,FALSE), IFERROR(VLOOKUP($A369,'Vocus RVC ExDa'!$C$2:$R$155, 6,FALSE), IFERROR(VLOOKUP($A369,'Fusion ExDa'!$B$2:$D$16, 4,FALSE), IFERROR(VLOOKUP($A369,'Exetel ExDa'!$C$2:$N$14, 3,FALSE), IFERROR(VLOOKUP($A369,'Infinet ExDa'!$B$2:$E$14, 3,FALSE), "Not Found"))))))))</f>
        <v>Not Found</v>
      </c>
      <c r="E369" t="str">
        <f>IFERROR(VLOOKUP($A369,'AAPT ExDa'!$B$2:$U$99, 3,FALSE), IFERROR(VLOOKUP($A369,'ABB ExDa'!$A$2:$N$184, 5,FALSE), IFERROR(VLOOKUP($A369,'Vocus SIT ExDa'!$B$2:$J$173, 2,FALSE), IFERROR(VLOOKUP($A369,'Telstra ExDa'!$B$2:$K$310, 4,FALSE), IFERROR(VLOOKUP($A369,'Vocus RVC ExDa'!$C$2:$R$155, 8,FALSE), IFERROR(VLOOKUP($A369,'Fusion ExDa'!$B$2:$D$16, 4,FALSE), IFERROR(VLOOKUP($A369,'Exetel ExDa'!$C$2:$N$14, 5,FALSE), IFERROR(VLOOKUP($A369,'Infinet ExDa'!$B$2:$E$14, 3,FALSE), "Not Found"))))))))</f>
        <v>Not Found</v>
      </c>
      <c r="F369" t="str">
        <f>IFERROR(VLOOKUP($A369,'AAPT ExDa'!$B$2:$U$99, 4,FALSE), IFERROR(VLOOKUP($A369,'ABB ExDa'!$A$2:$N$184, 6,FALSE), IFERROR(VLOOKUP($A369,'Vocus SIT ExDa'!$B$2:$J$173, 3,FALSE), IFERROR(VLOOKUP($A369,'Telstra ExDa'!$B$2:$K$310, 5,FALSE), IFERROR(VLOOKUP($A369,'Vocus RVC ExDa'!$C$2:$R$155, 9,FALSE), IFERROR(VLOOKUP($A369,'Fusion ExDa'!$B$2:$D$16, 0,FALSE), IFERROR(VLOOKUP($A369,'Exetel ExDa'!$C$2:$N$14, 6,FALSE), IFERROR(VLOOKUP($A369,'Infinet ExDa'!$B$2:$E$14, 0,FALSE), "Not Found"))))))))</f>
        <v>Not Found</v>
      </c>
      <c r="G369" t="str">
        <f>IFERROR(VLOOKUP($A369,'AAPT ExDa'!$B$2:$U$99, 5,FALSE), IFERROR(VLOOKUP($A369,'ABB ExDa'!$A$2:$N$184, 8,FALSE), IFERROR(VLOOKUP($A369,'Vocus SIT ExDa'!$B$2:$J$173, 6,FALSE), IFERROR(VLOOKUP($A369,'Telstra ExDa'!$B$2:$K$310, 0,FALSE), IFERROR(VLOOKUP($A369,'Vocus RVC ExDa'!$C$2:$R$155, 15,FALSE), IFERROR(VLOOKUP($A369,'Fusion ExDa'!$B$2:$D$16, 0,FALSE), IFERROR(VLOOKUP($A369,'Exetel ExDa'!$C$2:$N$14, 7,FALSE), IFERROR(VLOOKUP($A369,'Infinet ExDa'!$B$2:$E$14, 0,FALSE), "Not Found"))))))))</f>
        <v>Not Found</v>
      </c>
      <c r="H369" t="str">
        <f>IFERROR(VLOOKUP($A369,'AAPT ExDa'!$B$2:$U$99, 6,FALSE), IFERROR(VLOOKUP($A369,'ABB ExDa'!$A$2:$N$184, 0,FALSE), IFERROR(VLOOKUP($A369,'Vocus SIT ExDa'!$B$2:$J$173, 0,FALSE), IFERROR(VLOOKUP($A369,'Telstra ExDa'!$B$2:$K$310, 0,FALSE), IFERROR(VLOOKUP($A369,'Vocus RVC ExDa'!$C$2:$R$155, 16,FALSE), IFERROR(VLOOKUP($A369,'Fusion ExDa'!$B$2:$D$16, 0,FALSE), IFERROR(VLOOKUP($A369,'Exetel ExDa'!$C$2:$N$14, 0,FALSE), IFERROR(VLOOKUP($A369,'Infinet ExDa'!$B$2:$E$14, 0,FALSE), "Not Found"))))))))</f>
        <v>Not Found</v>
      </c>
      <c r="I369" t="str">
        <f>IFERROR(VLOOKUP($A369,'AAPT ExDa'!$B$2:$U$99, 0,FALSE), IFERROR(VLOOKUP($A369,'ABB ExDa'!$A$2:$N$184, 0,FALSE), IFERROR(VLOOKUP($A369,'Vocus SIT ExDa'!$B$2:$J$173, 0,FALSE), IFERROR(VLOOKUP($A369,'Telstra ExDa'!$B$2:$K$310, 0,FALSE), IFERROR(VLOOKUP($A369,'Vocus RVC ExDa'!$C$2:$R$155, 0,FALSE), IFERROR(VLOOKUP($A369,'Fusion ExDa'!$B$2:$D$16, 0,FALSE), IFERROR(VLOOKUP($A369,'Exetel ExDa'!$C$2:$N$14, 8,FALSE), IFERROR(VLOOKUP($A369,'Infinet ExDa'!$B$2:$E$14, 0,FALSE), "Not Found"))))))))</f>
        <v>Not Found</v>
      </c>
      <c r="J369" t="str">
        <f>IFERROR(VLOOKUP($A369,'AAPT ExDa'!$B$2:$U$99, 7,FALSE), IFERROR(VLOOKUP($A369,'ABB ExDa'!$A$2:$N$184, 2,FALSE), IFERROR(VLOOKUP($A369,'Vocus SIT ExDa'!$B$2:$J$173, 0,FALSE), IFERROR(VLOOKUP($A369,'Telstra ExDa'!$B$2:$K$310, 7,FALSE), IFERROR(VLOOKUP($A369,'Vocus RVC ExDa'!$C$2:$R$155, 2,FALSE), IFERROR(VLOOKUP($A369,'Fusion ExDa'!$B$2:$D$16, 3,FALSE), IFERROR(VLOOKUP($A369,'Exetel ExDa'!$C$2:$N$14, 0,FALSE), IFERROR(VLOOKUP($A369,'Infinet ExDa'!$B$2:$E$14, 0,FALSE), "Not Found"))))))))</f>
        <v>Not Found</v>
      </c>
      <c r="K369" t="str">
        <f>IFERROR(VLOOKUP($A369,'AAPT ExDa'!$B$2:$U$99, 12,FALSE), IFERROR(VLOOKUP($A369,'ABB ExDa'!$A$2:$N$184, 0,FALSE), IFERROR(VLOOKUP($A369,'Vocus SIT ExDa'!$B$2:$J$173, 0,FALSE), IFERROR(VLOOKUP($A369,'Telstra ExDa'!$B$2:$K$310, 0,FALSE), IFERROR(VLOOKUP($A369,'Vocus RVC ExDa'!$C$2:$R$155, 0,FALSE), IFERROR(VLOOKUP($A369,'Fusion ExDa'!$B$2:$D$16, 0,FALSE), IFERROR(VLOOKUP($A369,'Exetel ExDa'!$C$2:$N$14, 12,FALSE), IFERROR(VLOOKUP($A369,'Infinet ExDa'!$B$2:$E$14, 0,FALSE), "Not Found"))))))))</f>
        <v>Not Found</v>
      </c>
      <c r="L369" s="235" t="str">
        <f>IFERROR(VLOOKUP($A369,'AAPT ExDa'!$B$2:$U$99, 11,FALSE), IFERROR(VLOOKUP($A369,'ABB ExDa'!$A$2:$N$184, 9,FALSE), IFERROR(VLOOKUP($A369,'Vocus SIT ExDa'!$B$2:$J$173, 8,FALSE), IFERROR(VLOOKUP($A369,'Telstra ExDa'!$B$2:$K$310, 0,FALSE), IFERROR(VLOOKUP($A369,'Vocus RVC ExDa'!$C$2:$R$155, 0,FALSE), IFERROR(VLOOKUP($A369,'Fusion ExDa'!$B$2:$D$16, 0,FALSE), IFERROR(VLOOKUP($A369,'Exetel ExDa'!$C$2:$N$14, 9,FALSE), IFERROR(VLOOKUP($A369,'Infinet ExDa'!$B$2:$E$14, 0,FALSE), "Not Found"))))))))</f>
        <v>Not Found</v>
      </c>
      <c r="M369" s="234" t="str">
        <f>IFERROR(VLOOKUP($A369,'AAPT ExDa'!$B$2:$U$99, 0,FALSE), IFERROR(VLOOKUP($A369,'ABB ExDa'!$A$2:$N$184, 0,FALSE), IFERROR(VLOOKUP($A369,'Vocus SIT ExDa'!$B$2:$J$173, 0,FALSE), IFERROR(VLOOKUP($A369,'Telstra ExDa'!$B$2:$K$310, 0,FALSE), IFERROR(VLOOKUP($A369,'Vocus RVC ExDa'!$C$2:$R$155, 0,FALSE), IFERROR(VLOOKUP($A369,'Fusion ExDa'!$B$2:$D$16, 0,FALSE), IFERROR(VLOOKUP($A369,'Exetel ExDa'!$C$2:$N$14, 11,FALSE), IFERROR(VLOOKUP($A369,'Infinet ExDa'!$B$2:$E$14, 0,FALSE), "Not Found"))))))))</f>
        <v>Not Found</v>
      </c>
      <c r="N369" t="str">
        <f>IFERROR(VLOOKUP($A369,'AAPT ExDa'!$B$2:$U$99, 0,FALSE), IFERROR(VLOOKUP($A369,'ABB ExDa'!$A$2:$N$184, 13,FALSE), IFERROR(VLOOKUP($A369,'Vocus SIT ExDa'!$B$2:$J$173, 0,FALSE), IFERROR(VLOOKUP($A369,'Telstra ExDa'!$B$2:$K$310, 0,FALSE), IFERROR(VLOOKUP($A369,'Vocus RVC ExDa'!$C$2:$R$155, 0,FALSE), IFERROR(VLOOKUP($A369,'Fusion ExDa'!$B$2:$D$16, 0,FALSE), IFERROR(VLOOKUP($A369,'Exetel ExDa'!$C$2:$N$14, 0,FALSE), IFERROR(VLOOKUP($A369,'Infinet ExDa'!$B$2:$E$14, 0,FALSE), "Not Found"))))))))</f>
        <v>Not Found</v>
      </c>
    </row>
    <row r="370" spans="1:14">
      <c r="A370" t="str">
        <v>The Sycamore School</v>
      </c>
      <c r="B370" t="str">
        <f>IFERROR(VLOOKUP(A370,'Exetel ExDa'!$C$2:$N$14,4,FALSE),"No Data")</f>
        <v>No Data</v>
      </c>
      <c r="C370">
        <f>IFERROR(VLOOKUP(A370,'AAPT ExDa'!$B$2:$U$99, 2,FALSE), IFERROR(VLOOKUP(A370,'ABB ExDa'!$A$2:$N$184, 2,FALSE), IFERROR(VLOOKUP(A370,'Vocus SIT ExDa'!$B$2:$J$173, 7,FALSE), IFERROR(VLOOKUP(A370,'Telstra ExDa'!$B$2:$K$310, 2,FALSE), IFERROR(VLOOKUP(A370,'Vocus RVC ExDa'!$C$2:$R$155, 3,FALSE), IFERROR(VLOOKUP(A370,'Fusion ExDa'!$B$2:$D$16, 2,FALSE), IFERROR(VLOOKUP(A370,'Exetel ExDa'!$C$2:$N$14, 2,FALSE), IFERROR(VLOOKUP(A370,'Infinet ExDa'!$B$2:$E$14, 2,FALSE), "Not Found"))))))))</f>
        <v>0</v>
      </c>
      <c r="D370" t="str">
        <f>IFERROR(VLOOKUP($A370,'AAPT ExDa'!$B$2:$U$99, 15,FALSE), IFERROR(VLOOKUP($A370,'ABB ExDa'!$A$2:$N$184, 4,FALSE), IFERROR(VLOOKUP($A370,'Vocus SIT ExDa'!$B$2:$J$173, 5,FALSE), IFERROR(VLOOKUP($A370,'Telstra ExDa'!$B$2:$K$310, 8,FALSE), IFERROR(VLOOKUP($A370,'Vocus RVC ExDa'!$C$2:$R$155, 6,FALSE), IFERROR(VLOOKUP($A370,'Fusion ExDa'!$B$2:$D$16, 4,FALSE), IFERROR(VLOOKUP($A370,'Exetel ExDa'!$C$2:$N$14, 3,FALSE), IFERROR(VLOOKUP($A370,'Infinet ExDa'!$B$2:$E$14, 3,FALSE), "Not Found"))))))))</f>
        <v>Vocus SIT</v>
      </c>
      <c r="E370" t="str">
        <f>IFERROR(VLOOKUP($A370,'AAPT ExDa'!$B$2:$U$99, 3,FALSE), IFERROR(VLOOKUP($A370,'ABB ExDa'!$A$2:$N$184, 5,FALSE), IFERROR(VLOOKUP($A370,'Vocus SIT ExDa'!$B$2:$J$173, 2,FALSE), IFERROR(VLOOKUP($A370,'Telstra ExDa'!$B$2:$K$310, 4,FALSE), IFERROR(VLOOKUP($A370,'Vocus RVC ExDa'!$C$2:$R$155, 8,FALSE), IFERROR(VLOOKUP($A370,'Fusion ExDa'!$B$2:$D$16, 4,FALSE), IFERROR(VLOOKUP($A370,'Exetel ExDa'!$C$2:$N$14, 5,FALSE), IFERROR(VLOOKUP($A370,'Infinet ExDa'!$B$2:$E$14, 3,FALSE), "Not Found"))))))))</f>
        <v>Voice Service</v>
      </c>
      <c r="F370" t="str">
        <f>IFERROR(VLOOKUP($A370,'AAPT ExDa'!$B$2:$U$99, 4,FALSE), IFERROR(VLOOKUP($A370,'ABB ExDa'!$A$2:$N$184, 6,FALSE), IFERROR(VLOOKUP($A370,'Vocus SIT ExDa'!$B$2:$J$173, 3,FALSE), IFERROR(VLOOKUP($A370,'Telstra ExDa'!$B$2:$K$310, 5,FALSE), IFERROR(VLOOKUP($A370,'Vocus RVC ExDa'!$C$2:$R$155, 9,FALSE), IFERROR(VLOOKUP($A370,'Fusion ExDa'!$B$2:$D$16, 0,FALSE), IFERROR(VLOOKUP($A370,'Exetel ExDa'!$C$2:$N$14, 6,FALSE), IFERROR(VLOOKUP($A370,'Infinet ExDa'!$B$2:$E$14, 0,FALSE), "Not Found"))))))))</f>
        <v>0734627580</v>
      </c>
      <c r="G370" t="str">
        <f>IFERROR(VLOOKUP($A370,'AAPT ExDa'!$B$2:$U$99, 5,FALSE), IFERROR(VLOOKUP($A370,'ABB ExDa'!$A$2:$N$184, 8,FALSE), IFERROR(VLOOKUP($A370,'Vocus SIT ExDa'!$B$2:$J$173, 6,FALSE), IFERROR(VLOOKUP($A370,'Telstra ExDa'!$B$2:$K$310, 0,FALSE), IFERROR(VLOOKUP($A370,'Vocus RVC ExDa'!$C$2:$R$155, 15,FALSE), IFERROR(VLOOKUP($A370,'Fusion ExDa'!$B$2:$D$16, 0,FALSE), IFERROR(VLOOKUP($A370,'Exetel ExDa'!$C$2:$N$14, 7,FALSE), IFERROR(VLOOKUP($A370,'Infinet ExDa'!$B$2:$E$14, 0,FALSE), "Not Found"))))))))</f>
        <v>IP Tel Order - Smile Tel - 25/08/2021</v>
      </c>
      <c r="H370" t="str">
        <f>IFERROR(VLOOKUP($A370,'AAPT ExDa'!$B$2:$U$99, 6,FALSE), IFERROR(VLOOKUP($A370,'ABB ExDa'!$A$2:$N$184, 0,FALSE), IFERROR(VLOOKUP($A370,'Vocus SIT ExDa'!$B$2:$J$173, 0,FALSE), IFERROR(VLOOKUP($A370,'Telstra ExDa'!$B$2:$K$310, 0,FALSE), IFERROR(VLOOKUP($A370,'Vocus RVC ExDa'!$C$2:$R$155, 16,FALSE), IFERROR(VLOOKUP($A370,'Fusion ExDa'!$B$2:$D$16, 0,FALSE), IFERROR(VLOOKUP($A370,'Exetel ExDa'!$C$2:$N$14, 0,FALSE), IFERROR(VLOOKUP($A370,'Infinet ExDa'!$B$2:$E$14, 0,FALSE), "Not Found"))))))))</f>
        <v>Not Found</v>
      </c>
      <c r="I370" t="str">
        <f>IFERROR(VLOOKUP($A370,'AAPT ExDa'!$B$2:$U$99, 0,FALSE), IFERROR(VLOOKUP($A370,'ABB ExDa'!$A$2:$N$184, 0,FALSE), IFERROR(VLOOKUP($A370,'Vocus SIT ExDa'!$B$2:$J$173, 0,FALSE), IFERROR(VLOOKUP($A370,'Telstra ExDa'!$B$2:$K$310, 0,FALSE), IFERROR(VLOOKUP($A370,'Vocus RVC ExDa'!$C$2:$R$155, 0,FALSE), IFERROR(VLOOKUP($A370,'Fusion ExDa'!$B$2:$D$16, 0,FALSE), IFERROR(VLOOKUP($A370,'Exetel ExDa'!$C$2:$N$14, 8,FALSE), IFERROR(VLOOKUP($A370,'Infinet ExDa'!$B$2:$E$14, 0,FALSE), "Not Found"))))))))</f>
        <v>Not Found</v>
      </c>
      <c r="J370" t="str">
        <f>IFERROR(VLOOKUP($A370,'AAPT ExDa'!$B$2:$U$99, 7,FALSE), IFERROR(VLOOKUP($A370,'ABB ExDa'!$A$2:$N$184, 2,FALSE), IFERROR(VLOOKUP($A370,'Vocus SIT ExDa'!$B$2:$J$173, 0,FALSE), IFERROR(VLOOKUP($A370,'Telstra ExDa'!$B$2:$K$310, 7,FALSE), IFERROR(VLOOKUP($A370,'Vocus RVC ExDa'!$C$2:$R$155, 2,FALSE), IFERROR(VLOOKUP($A370,'Fusion ExDa'!$B$2:$D$16, 3,FALSE), IFERROR(VLOOKUP($A370,'Exetel ExDa'!$C$2:$N$14, 0,FALSE), IFERROR(VLOOKUP($A370,'Infinet ExDa'!$B$2:$E$14, 0,FALSE), "Not Found"))))))))</f>
        <v>Not Found</v>
      </c>
      <c r="K370" t="str">
        <f>IFERROR(VLOOKUP($A370,'AAPT ExDa'!$B$2:$U$99, 12,FALSE), IFERROR(VLOOKUP($A370,'ABB ExDa'!$A$2:$N$184, 0,FALSE), IFERROR(VLOOKUP($A370,'Vocus SIT ExDa'!$B$2:$J$173, 0,FALSE), IFERROR(VLOOKUP($A370,'Telstra ExDa'!$B$2:$K$310, 0,FALSE), IFERROR(VLOOKUP($A370,'Vocus RVC ExDa'!$C$2:$R$155, 0,FALSE), IFERROR(VLOOKUP($A370,'Fusion ExDa'!$B$2:$D$16, 0,FALSE), IFERROR(VLOOKUP($A370,'Exetel ExDa'!$C$2:$N$14, 12,FALSE), IFERROR(VLOOKUP($A370,'Infinet ExDa'!$B$2:$E$14, 0,FALSE), "Not Found"))))))))</f>
        <v>Not Found</v>
      </c>
      <c r="L370" s="235" t="str">
        <f>IFERROR(VLOOKUP($A370,'AAPT ExDa'!$B$2:$U$99, 11,FALSE), IFERROR(VLOOKUP($A370,'ABB ExDa'!$A$2:$N$184, 9,FALSE), IFERROR(VLOOKUP($A370,'Vocus SIT ExDa'!$B$2:$J$173, 8,FALSE), IFERROR(VLOOKUP($A370,'Telstra ExDa'!$B$2:$K$310, 0,FALSE), IFERROR(VLOOKUP($A370,'Vocus RVC ExDa'!$C$2:$R$155, 0,FALSE), IFERROR(VLOOKUP($A370,'Fusion ExDa'!$B$2:$D$16, 0,FALSE), IFERROR(VLOOKUP($A370,'Exetel ExDa'!$C$2:$N$14, 9,FALSE), IFERROR(VLOOKUP($A370,'Infinet ExDa'!$B$2:$E$14, 0,FALSE), "Not Found"))))))))</f>
        <v>30/08/2021</v>
      </c>
      <c r="M370" s="234" t="str">
        <f>IFERROR(VLOOKUP($A370,'AAPT ExDa'!$B$2:$U$99, 0,FALSE), IFERROR(VLOOKUP($A370,'ABB ExDa'!$A$2:$N$184, 0,FALSE), IFERROR(VLOOKUP($A370,'Vocus SIT ExDa'!$B$2:$J$173, 0,FALSE), IFERROR(VLOOKUP($A370,'Telstra ExDa'!$B$2:$K$310, 0,FALSE), IFERROR(VLOOKUP($A370,'Vocus RVC ExDa'!$C$2:$R$155, 0,FALSE), IFERROR(VLOOKUP($A370,'Fusion ExDa'!$B$2:$D$16, 0,FALSE), IFERROR(VLOOKUP($A370,'Exetel ExDa'!$C$2:$N$14, 11,FALSE), IFERROR(VLOOKUP($A370,'Infinet ExDa'!$B$2:$E$14, 0,FALSE), "Not Found"))))))))</f>
        <v>Not Found</v>
      </c>
      <c r="N370" t="str">
        <f>IFERROR(VLOOKUP($A370,'AAPT ExDa'!$B$2:$U$99, 0,FALSE), IFERROR(VLOOKUP($A370,'ABB ExDa'!$A$2:$N$184, 13,FALSE), IFERROR(VLOOKUP($A370,'Vocus SIT ExDa'!$B$2:$J$173, 0,FALSE), IFERROR(VLOOKUP($A370,'Telstra ExDa'!$B$2:$K$310, 0,FALSE), IFERROR(VLOOKUP($A370,'Vocus RVC ExDa'!$C$2:$R$155, 0,FALSE), IFERROR(VLOOKUP($A370,'Fusion ExDa'!$B$2:$D$16, 0,FALSE), IFERROR(VLOOKUP($A370,'Exetel ExDa'!$C$2:$N$14, 0,FALSE), IFERROR(VLOOKUP($A370,'Infinet ExDa'!$B$2:$E$14, 0,FALSE), "Not Found"))))))))</f>
        <v>Not Found</v>
      </c>
    </row>
    <row r="371" spans="1:14">
      <c r="A371" t="str">
        <v>Action Smart</v>
      </c>
      <c r="B371" t="str">
        <f>IFERROR(VLOOKUP(A371,'Exetel ExDa'!$C$2:$N$14,4,FALSE),"No Data")</f>
        <v>No Data</v>
      </c>
      <c r="C371" t="str">
        <f>IFERROR(VLOOKUP(A371,'AAPT ExDa'!$B$2:$U$99, 2,FALSE), IFERROR(VLOOKUP(A371,'ABB ExDa'!$A$2:$N$184, 2,FALSE), IFERROR(VLOOKUP(A371,'Vocus SIT ExDa'!$B$2:$J$173, 7,FALSE), IFERROR(VLOOKUP(A371,'Telstra ExDa'!$B$2:$K$310, 2,FALSE), IFERROR(VLOOKUP(A371,'Vocus RVC ExDa'!$C$2:$R$155, 3,FALSE), IFERROR(VLOOKUP(A371,'Fusion ExDa'!$B$2:$D$16, 2,FALSE), IFERROR(VLOOKUP(A371,'Exetel ExDa'!$C$2:$N$14, 2,FALSE), IFERROR(VLOOKUP(A371,'Infinet ExDa'!$B$2:$E$14, 2,FALSE), "Not Found"))))))))</f>
        <v>Level 1D, 60 Enterprise Place, Tingalpa QLD 4174</v>
      </c>
      <c r="D371" t="str">
        <f>IFERROR(VLOOKUP($A371,'AAPT ExDa'!$B$2:$U$99, 15,FALSE), IFERROR(VLOOKUP($A371,'ABB ExDa'!$A$2:$N$184, 4,FALSE), IFERROR(VLOOKUP($A371,'Vocus SIT ExDa'!$B$2:$J$173, 5,FALSE), IFERROR(VLOOKUP($A371,'Telstra ExDa'!$B$2:$K$310, 8,FALSE), IFERROR(VLOOKUP($A371,'Vocus RVC ExDa'!$C$2:$R$155, 6,FALSE), IFERROR(VLOOKUP($A371,'Fusion ExDa'!$B$2:$D$16, 4,FALSE), IFERROR(VLOOKUP($A371,'Exetel ExDa'!$C$2:$N$14, 3,FALSE), IFERROR(VLOOKUP($A371,'Infinet ExDa'!$B$2:$E$14, 3,FALSE), "Not Found"))))))))</f>
        <v>Vocus SIT</v>
      </c>
      <c r="E371" t="str">
        <f>IFERROR(VLOOKUP($A371,'AAPT ExDa'!$B$2:$U$99, 3,FALSE), IFERROR(VLOOKUP($A371,'ABB ExDa'!$A$2:$N$184, 5,FALSE), IFERROR(VLOOKUP($A371,'Vocus SIT ExDa'!$B$2:$J$173, 2,FALSE), IFERROR(VLOOKUP($A371,'Telstra ExDa'!$B$2:$K$310, 4,FALSE), IFERROR(VLOOKUP($A371,'Vocus RVC ExDa'!$C$2:$R$155, 8,FALSE), IFERROR(VLOOKUP($A371,'Fusion ExDa'!$B$2:$D$16, 4,FALSE), IFERROR(VLOOKUP($A371,'Exetel ExDa'!$C$2:$N$14, 5,FALSE), IFERROR(VLOOKUP($A371,'Infinet ExDa'!$B$2:$E$14, 3,FALSE), "Not Found"))))))))</f>
        <v>Voice Service</v>
      </c>
      <c r="F371" t="str">
        <f>IFERROR(VLOOKUP($A371,'AAPT ExDa'!$B$2:$U$99, 4,FALSE), IFERROR(VLOOKUP($A371,'ABB ExDa'!$A$2:$N$184, 6,FALSE), IFERROR(VLOOKUP($A371,'Vocus SIT ExDa'!$B$2:$J$173, 3,FALSE), IFERROR(VLOOKUP($A371,'Telstra ExDa'!$B$2:$K$310, 5,FALSE), IFERROR(VLOOKUP($A371,'Vocus RVC ExDa'!$C$2:$R$155, 9,FALSE), IFERROR(VLOOKUP($A371,'Fusion ExDa'!$B$2:$D$16, 0,FALSE), IFERROR(VLOOKUP($A371,'Exetel ExDa'!$C$2:$N$14, 6,FALSE), IFERROR(VLOOKUP($A371,'Infinet ExDa'!$B$2:$E$14, 0,FALSE), "Not Found"))))))))</f>
        <v>0734627617
0734627618
0734627619
0748862250</v>
      </c>
      <c r="G371" t="str">
        <f>IFERROR(VLOOKUP($A371,'AAPT ExDa'!$B$2:$U$99, 5,FALSE), IFERROR(VLOOKUP($A371,'ABB ExDa'!$A$2:$N$184, 8,FALSE), IFERROR(VLOOKUP($A371,'Vocus SIT ExDa'!$B$2:$J$173, 6,FALSE), IFERROR(VLOOKUP($A371,'Telstra ExDa'!$B$2:$K$310, 0,FALSE), IFERROR(VLOOKUP($A371,'Vocus RVC ExDa'!$C$2:$R$155, 15,FALSE), IFERROR(VLOOKUP($A371,'Fusion ExDa'!$B$2:$D$16, 0,FALSE), IFERROR(VLOOKUP($A371,'Exetel ExDa'!$C$2:$N$14, 7,FALSE), IFERROR(VLOOKUP($A371,'Infinet ExDa'!$B$2:$E$14, 0,FALSE), "Not Found"))))))))</f>
        <v>IP Tel Order - Smile Tel - 03/02/2023
Voice (5 Mbps) - Level 1D, 60 Enterprise Place , Tingalpa QLD 4173</v>
      </c>
      <c r="H371" t="str">
        <f>IFERROR(VLOOKUP($A371,'AAPT ExDa'!$B$2:$U$99, 6,FALSE), IFERROR(VLOOKUP($A371,'ABB ExDa'!$A$2:$N$184, 0,FALSE), IFERROR(VLOOKUP($A371,'Vocus SIT ExDa'!$B$2:$J$173, 0,FALSE), IFERROR(VLOOKUP($A371,'Telstra ExDa'!$B$2:$K$310, 0,FALSE), IFERROR(VLOOKUP($A371,'Vocus RVC ExDa'!$C$2:$R$155, 16,FALSE), IFERROR(VLOOKUP($A371,'Fusion ExDa'!$B$2:$D$16, 0,FALSE), IFERROR(VLOOKUP($A371,'Exetel ExDa'!$C$2:$N$14, 0,FALSE), IFERROR(VLOOKUP($A371,'Infinet ExDa'!$B$2:$E$14, 0,FALSE), "Not Found"))))))))</f>
        <v>Not Found</v>
      </c>
      <c r="I371" t="str">
        <f>IFERROR(VLOOKUP($A371,'AAPT ExDa'!$B$2:$U$99, 0,FALSE), IFERROR(VLOOKUP($A371,'ABB ExDa'!$A$2:$N$184, 0,FALSE), IFERROR(VLOOKUP($A371,'Vocus SIT ExDa'!$B$2:$J$173, 0,FALSE), IFERROR(VLOOKUP($A371,'Telstra ExDa'!$B$2:$K$310, 0,FALSE), IFERROR(VLOOKUP($A371,'Vocus RVC ExDa'!$C$2:$R$155, 0,FALSE), IFERROR(VLOOKUP($A371,'Fusion ExDa'!$B$2:$D$16, 0,FALSE), IFERROR(VLOOKUP($A371,'Exetel ExDa'!$C$2:$N$14, 8,FALSE), IFERROR(VLOOKUP($A371,'Infinet ExDa'!$B$2:$E$14, 0,FALSE), "Not Found"))))))))</f>
        <v>Not Found</v>
      </c>
      <c r="J371" t="str">
        <f>IFERROR(VLOOKUP($A371,'AAPT ExDa'!$B$2:$U$99, 7,FALSE), IFERROR(VLOOKUP($A371,'ABB ExDa'!$A$2:$N$184, 2,FALSE), IFERROR(VLOOKUP($A371,'Vocus SIT ExDa'!$B$2:$J$173, 0,FALSE), IFERROR(VLOOKUP($A371,'Telstra ExDa'!$B$2:$K$310, 7,FALSE), IFERROR(VLOOKUP($A371,'Vocus RVC ExDa'!$C$2:$R$155, 2,FALSE), IFERROR(VLOOKUP($A371,'Fusion ExDa'!$B$2:$D$16, 3,FALSE), IFERROR(VLOOKUP($A371,'Exetel ExDa'!$C$2:$N$14, 0,FALSE), IFERROR(VLOOKUP($A371,'Infinet ExDa'!$B$2:$E$14, 0,FALSE), "Not Found"))))))))</f>
        <v>Not Found</v>
      </c>
      <c r="K371" t="str">
        <f>IFERROR(VLOOKUP($A371,'AAPT ExDa'!$B$2:$U$99, 12,FALSE), IFERROR(VLOOKUP($A371,'ABB ExDa'!$A$2:$N$184, 0,FALSE), IFERROR(VLOOKUP($A371,'Vocus SIT ExDa'!$B$2:$J$173, 0,FALSE), IFERROR(VLOOKUP($A371,'Telstra ExDa'!$B$2:$K$310, 0,FALSE), IFERROR(VLOOKUP($A371,'Vocus RVC ExDa'!$C$2:$R$155, 0,FALSE), IFERROR(VLOOKUP($A371,'Fusion ExDa'!$B$2:$D$16, 0,FALSE), IFERROR(VLOOKUP($A371,'Exetel ExDa'!$C$2:$N$14, 12,FALSE), IFERROR(VLOOKUP($A371,'Infinet ExDa'!$B$2:$E$14, 0,FALSE), "Not Found"))))))))</f>
        <v>Not Found</v>
      </c>
      <c r="L371" s="235" t="str">
        <f>IFERROR(VLOOKUP($A371,'AAPT ExDa'!$B$2:$U$99, 11,FALSE), IFERROR(VLOOKUP($A371,'ABB ExDa'!$A$2:$N$184, 9,FALSE), IFERROR(VLOOKUP($A371,'Vocus SIT ExDa'!$B$2:$J$173, 8,FALSE), IFERROR(VLOOKUP($A371,'Telstra ExDa'!$B$2:$K$310, 0,FALSE), IFERROR(VLOOKUP($A371,'Vocus RVC ExDa'!$C$2:$R$155, 0,FALSE), IFERROR(VLOOKUP($A371,'Fusion ExDa'!$B$2:$D$16, 0,FALSE), IFERROR(VLOOKUP($A371,'Exetel ExDa'!$C$2:$N$14, 9,FALSE), IFERROR(VLOOKUP($A371,'Infinet ExDa'!$B$2:$E$14, 0,FALSE), "Not Found"))))))))</f>
        <v>14/02/2023</v>
      </c>
      <c r="M371" s="234" t="str">
        <f>IFERROR(VLOOKUP($A371,'AAPT ExDa'!$B$2:$U$99, 0,FALSE), IFERROR(VLOOKUP($A371,'ABB ExDa'!$A$2:$N$184, 0,FALSE), IFERROR(VLOOKUP($A371,'Vocus SIT ExDa'!$B$2:$J$173, 0,FALSE), IFERROR(VLOOKUP($A371,'Telstra ExDa'!$B$2:$K$310, 0,FALSE), IFERROR(VLOOKUP($A371,'Vocus RVC ExDa'!$C$2:$R$155, 0,FALSE), IFERROR(VLOOKUP($A371,'Fusion ExDa'!$B$2:$D$16, 0,FALSE), IFERROR(VLOOKUP($A371,'Exetel ExDa'!$C$2:$N$14, 11,FALSE), IFERROR(VLOOKUP($A371,'Infinet ExDa'!$B$2:$E$14, 0,FALSE), "Not Found"))))))))</f>
        <v>Not Found</v>
      </c>
      <c r="N371" t="str">
        <f>IFERROR(VLOOKUP($A371,'AAPT ExDa'!$B$2:$U$99, 0,FALSE), IFERROR(VLOOKUP($A371,'ABB ExDa'!$A$2:$N$184, 13,FALSE), IFERROR(VLOOKUP($A371,'Vocus SIT ExDa'!$B$2:$J$173, 0,FALSE), IFERROR(VLOOKUP($A371,'Telstra ExDa'!$B$2:$K$310, 0,FALSE), IFERROR(VLOOKUP($A371,'Vocus RVC ExDa'!$C$2:$R$155, 0,FALSE), IFERROR(VLOOKUP($A371,'Fusion ExDa'!$B$2:$D$16, 0,FALSE), IFERROR(VLOOKUP($A371,'Exetel ExDa'!$C$2:$N$14, 0,FALSE), IFERROR(VLOOKUP($A371,'Infinet ExDa'!$B$2:$E$14, 0,FALSE), "Not Found"))))))))</f>
        <v>Not Found</v>
      </c>
    </row>
    <row r="372" spans="1:14">
      <c r="A372">
        <v>0</v>
      </c>
      <c r="B372" t="str">
        <f>IFERROR(VLOOKUP(A372,'Exetel ExDa'!$C$2:$N$14,4,FALSE),"No Data")</f>
        <v>No Data</v>
      </c>
      <c r="C372" t="str">
        <f>IFERROR(VLOOKUP(A372,'AAPT ExDa'!$B$2:$U$99, 2,FALSE), IFERROR(VLOOKUP(A372,'ABB ExDa'!$A$2:$N$184, 2,FALSE), IFERROR(VLOOKUP(A372,'Vocus SIT ExDa'!$B$2:$J$173, 7,FALSE), IFERROR(VLOOKUP(A372,'Telstra ExDa'!$B$2:$K$310, 2,FALSE), IFERROR(VLOOKUP(A372,'Vocus RVC ExDa'!$C$2:$R$155, 3,FALSE), IFERROR(VLOOKUP(A372,'Fusion ExDa'!$B$2:$D$16, 2,FALSE), IFERROR(VLOOKUP(A372,'Exetel ExDa'!$C$2:$N$14, 2,FALSE), IFERROR(VLOOKUP(A372,'Infinet ExDa'!$B$2:$E$14, 2,FALSE), "Not Found"))))))))</f>
        <v>Not Found</v>
      </c>
      <c r="D372" t="str">
        <f>IFERROR(VLOOKUP($A372,'AAPT ExDa'!$B$2:$U$99, 15,FALSE), IFERROR(VLOOKUP($A372,'ABB ExDa'!$A$2:$N$184, 4,FALSE), IFERROR(VLOOKUP($A372,'Vocus SIT ExDa'!$B$2:$J$173, 5,FALSE), IFERROR(VLOOKUP($A372,'Telstra ExDa'!$B$2:$K$310, 8,FALSE), IFERROR(VLOOKUP($A372,'Vocus RVC ExDa'!$C$2:$R$155, 6,FALSE), IFERROR(VLOOKUP($A372,'Fusion ExDa'!$B$2:$D$16, 4,FALSE), IFERROR(VLOOKUP($A372,'Exetel ExDa'!$C$2:$N$14, 3,FALSE), IFERROR(VLOOKUP($A372,'Infinet ExDa'!$B$2:$E$14, 3,FALSE), "Not Found"))))))))</f>
        <v>Not Found</v>
      </c>
      <c r="E372" t="str">
        <f>IFERROR(VLOOKUP($A372,'AAPT ExDa'!$B$2:$U$99, 3,FALSE), IFERROR(VLOOKUP($A372,'ABB ExDa'!$A$2:$N$184, 5,FALSE), IFERROR(VLOOKUP($A372,'Vocus SIT ExDa'!$B$2:$J$173, 2,FALSE), IFERROR(VLOOKUP($A372,'Telstra ExDa'!$B$2:$K$310, 4,FALSE), IFERROR(VLOOKUP($A372,'Vocus RVC ExDa'!$C$2:$R$155, 8,FALSE), IFERROR(VLOOKUP($A372,'Fusion ExDa'!$B$2:$D$16, 4,FALSE), IFERROR(VLOOKUP($A372,'Exetel ExDa'!$C$2:$N$14, 5,FALSE), IFERROR(VLOOKUP($A372,'Infinet ExDa'!$B$2:$E$14, 3,FALSE), "Not Found"))))))))</f>
        <v>Not Found</v>
      </c>
      <c r="F372" t="str">
        <f>IFERROR(VLOOKUP($A372,'AAPT ExDa'!$B$2:$U$99, 4,FALSE), IFERROR(VLOOKUP($A372,'ABB ExDa'!$A$2:$N$184, 6,FALSE), IFERROR(VLOOKUP($A372,'Vocus SIT ExDa'!$B$2:$J$173, 3,FALSE), IFERROR(VLOOKUP($A372,'Telstra ExDa'!$B$2:$K$310, 5,FALSE), IFERROR(VLOOKUP($A372,'Vocus RVC ExDa'!$C$2:$R$155, 9,FALSE), IFERROR(VLOOKUP($A372,'Fusion ExDa'!$B$2:$D$16, 0,FALSE), IFERROR(VLOOKUP($A372,'Exetel ExDa'!$C$2:$N$14, 6,FALSE), IFERROR(VLOOKUP($A372,'Infinet ExDa'!$B$2:$E$14, 0,FALSE), "Not Found"))))))))</f>
        <v>Not Found</v>
      </c>
      <c r="G372" t="str">
        <f>IFERROR(VLOOKUP($A372,'AAPT ExDa'!$B$2:$U$99, 5,FALSE), IFERROR(VLOOKUP($A372,'ABB ExDa'!$A$2:$N$184, 8,FALSE), IFERROR(VLOOKUP($A372,'Vocus SIT ExDa'!$B$2:$J$173, 6,FALSE), IFERROR(VLOOKUP($A372,'Telstra ExDa'!$B$2:$K$310, 0,FALSE), IFERROR(VLOOKUP($A372,'Vocus RVC ExDa'!$C$2:$R$155, 15,FALSE), IFERROR(VLOOKUP($A372,'Fusion ExDa'!$B$2:$D$16, 0,FALSE), IFERROR(VLOOKUP($A372,'Exetel ExDa'!$C$2:$N$14, 7,FALSE), IFERROR(VLOOKUP($A372,'Infinet ExDa'!$B$2:$E$14, 0,FALSE), "Not Found"))))))))</f>
        <v>Not Found</v>
      </c>
      <c r="H372" t="str">
        <f>IFERROR(VLOOKUP($A372,'AAPT ExDa'!$B$2:$U$99, 6,FALSE), IFERROR(VLOOKUP($A372,'ABB ExDa'!$A$2:$N$184, 0,FALSE), IFERROR(VLOOKUP($A372,'Vocus SIT ExDa'!$B$2:$J$173, 0,FALSE), IFERROR(VLOOKUP($A372,'Telstra ExDa'!$B$2:$K$310, 0,FALSE), IFERROR(VLOOKUP($A372,'Vocus RVC ExDa'!$C$2:$R$155, 16,FALSE), IFERROR(VLOOKUP($A372,'Fusion ExDa'!$B$2:$D$16, 0,FALSE), IFERROR(VLOOKUP($A372,'Exetel ExDa'!$C$2:$N$14, 0,FALSE), IFERROR(VLOOKUP($A372,'Infinet ExDa'!$B$2:$E$14, 0,FALSE), "Not Found"))))))))</f>
        <v>Not Found</v>
      </c>
      <c r="I372" t="str">
        <f>IFERROR(VLOOKUP($A372,'AAPT ExDa'!$B$2:$U$99, 0,FALSE), IFERROR(VLOOKUP($A372,'ABB ExDa'!$A$2:$N$184, 0,FALSE), IFERROR(VLOOKUP($A372,'Vocus SIT ExDa'!$B$2:$J$173, 0,FALSE), IFERROR(VLOOKUP($A372,'Telstra ExDa'!$B$2:$K$310, 0,FALSE), IFERROR(VLOOKUP($A372,'Vocus RVC ExDa'!$C$2:$R$155, 0,FALSE), IFERROR(VLOOKUP($A372,'Fusion ExDa'!$B$2:$D$16, 0,FALSE), IFERROR(VLOOKUP($A372,'Exetel ExDa'!$C$2:$N$14, 8,FALSE), IFERROR(VLOOKUP($A372,'Infinet ExDa'!$B$2:$E$14, 0,FALSE), "Not Found"))))))))</f>
        <v>Not Found</v>
      </c>
      <c r="J372" t="str">
        <f>IFERROR(VLOOKUP($A372,'AAPT ExDa'!$B$2:$U$99, 7,FALSE), IFERROR(VLOOKUP($A372,'ABB ExDa'!$A$2:$N$184, 2,FALSE), IFERROR(VLOOKUP($A372,'Vocus SIT ExDa'!$B$2:$J$173, 0,FALSE), IFERROR(VLOOKUP($A372,'Telstra ExDa'!$B$2:$K$310, 7,FALSE), IFERROR(VLOOKUP($A372,'Vocus RVC ExDa'!$C$2:$R$155, 2,FALSE), IFERROR(VLOOKUP($A372,'Fusion ExDa'!$B$2:$D$16, 3,FALSE), IFERROR(VLOOKUP($A372,'Exetel ExDa'!$C$2:$N$14, 0,FALSE), IFERROR(VLOOKUP($A372,'Infinet ExDa'!$B$2:$E$14, 0,FALSE), "Not Found"))))))))</f>
        <v>Not Found</v>
      </c>
      <c r="K372" t="str">
        <f>IFERROR(VLOOKUP($A372,'AAPT ExDa'!$B$2:$U$99, 12,FALSE), IFERROR(VLOOKUP($A372,'ABB ExDa'!$A$2:$N$184, 0,FALSE), IFERROR(VLOOKUP($A372,'Vocus SIT ExDa'!$B$2:$J$173, 0,FALSE), IFERROR(VLOOKUP($A372,'Telstra ExDa'!$B$2:$K$310, 0,FALSE), IFERROR(VLOOKUP($A372,'Vocus RVC ExDa'!$C$2:$R$155, 0,FALSE), IFERROR(VLOOKUP($A372,'Fusion ExDa'!$B$2:$D$16, 0,FALSE), IFERROR(VLOOKUP($A372,'Exetel ExDa'!$C$2:$N$14, 12,FALSE), IFERROR(VLOOKUP($A372,'Infinet ExDa'!$B$2:$E$14, 0,FALSE), "Not Found"))))))))</f>
        <v>Not Found</v>
      </c>
      <c r="L372" s="235" t="str">
        <f>IFERROR(VLOOKUP($A372,'AAPT ExDa'!$B$2:$U$99, 11,FALSE), IFERROR(VLOOKUP($A372,'ABB ExDa'!$A$2:$N$184, 9,FALSE), IFERROR(VLOOKUP($A372,'Vocus SIT ExDa'!$B$2:$J$173, 8,FALSE), IFERROR(VLOOKUP($A372,'Telstra ExDa'!$B$2:$K$310, 0,FALSE), IFERROR(VLOOKUP($A372,'Vocus RVC ExDa'!$C$2:$R$155, 0,FALSE), IFERROR(VLOOKUP($A372,'Fusion ExDa'!$B$2:$D$16, 0,FALSE), IFERROR(VLOOKUP($A372,'Exetel ExDa'!$C$2:$N$14, 9,FALSE), IFERROR(VLOOKUP($A372,'Infinet ExDa'!$B$2:$E$14, 0,FALSE), "Not Found"))))))))</f>
        <v>Not Found</v>
      </c>
      <c r="M372" s="234" t="str">
        <f>IFERROR(VLOOKUP($A372,'AAPT ExDa'!$B$2:$U$99, 0,FALSE), IFERROR(VLOOKUP($A372,'ABB ExDa'!$A$2:$N$184, 0,FALSE), IFERROR(VLOOKUP($A372,'Vocus SIT ExDa'!$B$2:$J$173, 0,FALSE), IFERROR(VLOOKUP($A372,'Telstra ExDa'!$B$2:$K$310, 0,FALSE), IFERROR(VLOOKUP($A372,'Vocus RVC ExDa'!$C$2:$R$155, 0,FALSE), IFERROR(VLOOKUP($A372,'Fusion ExDa'!$B$2:$D$16, 0,FALSE), IFERROR(VLOOKUP($A372,'Exetel ExDa'!$C$2:$N$14, 11,FALSE), IFERROR(VLOOKUP($A372,'Infinet ExDa'!$B$2:$E$14, 0,FALSE), "Not Found"))))))))</f>
        <v>Not Found</v>
      </c>
      <c r="N372" t="str">
        <f>IFERROR(VLOOKUP($A372,'AAPT ExDa'!$B$2:$U$99, 0,FALSE), IFERROR(VLOOKUP($A372,'ABB ExDa'!$A$2:$N$184, 13,FALSE), IFERROR(VLOOKUP($A372,'Vocus SIT ExDa'!$B$2:$J$173, 0,FALSE), IFERROR(VLOOKUP($A372,'Telstra ExDa'!$B$2:$K$310, 0,FALSE), IFERROR(VLOOKUP($A372,'Vocus RVC ExDa'!$C$2:$R$155, 0,FALSE), IFERROR(VLOOKUP($A372,'Fusion ExDa'!$B$2:$D$16, 0,FALSE), IFERROR(VLOOKUP($A372,'Exetel ExDa'!$C$2:$N$14, 0,FALSE), IFERROR(VLOOKUP($A372,'Infinet ExDa'!$B$2:$E$14, 0,FALSE), "Not Found"))))))))</f>
        <v>Not Found</v>
      </c>
    </row>
    <row r="373" spans="1:14">
      <c r="A373">
        <v>0</v>
      </c>
      <c r="B373" t="str">
        <f>IFERROR(VLOOKUP(A373,'Exetel ExDa'!$C$2:$N$14,4,FALSE),"No Data")</f>
        <v>No Data</v>
      </c>
      <c r="C373" t="str">
        <f>IFERROR(VLOOKUP(A373,'AAPT ExDa'!$B$2:$U$99, 2,FALSE), IFERROR(VLOOKUP(A373,'ABB ExDa'!$A$2:$N$184, 2,FALSE), IFERROR(VLOOKUP(A373,'Vocus SIT ExDa'!$B$2:$J$173, 7,FALSE), IFERROR(VLOOKUP(A373,'Telstra ExDa'!$B$2:$K$310, 2,FALSE), IFERROR(VLOOKUP(A373,'Vocus RVC ExDa'!$C$2:$R$155, 3,FALSE), IFERROR(VLOOKUP(A373,'Fusion ExDa'!$B$2:$D$16, 2,FALSE), IFERROR(VLOOKUP(A373,'Exetel ExDa'!$C$2:$N$14, 2,FALSE), IFERROR(VLOOKUP(A373,'Infinet ExDa'!$B$2:$E$14, 2,FALSE), "Not Found"))))))))</f>
        <v>Not Found</v>
      </c>
      <c r="D373" t="str">
        <f>IFERROR(VLOOKUP($A373,'AAPT ExDa'!$B$2:$U$99, 15,FALSE), IFERROR(VLOOKUP($A373,'ABB ExDa'!$A$2:$N$184, 4,FALSE), IFERROR(VLOOKUP($A373,'Vocus SIT ExDa'!$B$2:$J$173, 5,FALSE), IFERROR(VLOOKUP($A373,'Telstra ExDa'!$B$2:$K$310, 8,FALSE), IFERROR(VLOOKUP($A373,'Vocus RVC ExDa'!$C$2:$R$155, 6,FALSE), IFERROR(VLOOKUP($A373,'Fusion ExDa'!$B$2:$D$16, 4,FALSE), IFERROR(VLOOKUP($A373,'Exetel ExDa'!$C$2:$N$14, 3,FALSE), IFERROR(VLOOKUP($A373,'Infinet ExDa'!$B$2:$E$14, 3,FALSE), "Not Found"))))))))</f>
        <v>Not Found</v>
      </c>
      <c r="E373" t="str">
        <f>IFERROR(VLOOKUP($A373,'AAPT ExDa'!$B$2:$U$99, 3,FALSE), IFERROR(VLOOKUP($A373,'ABB ExDa'!$A$2:$N$184, 5,FALSE), IFERROR(VLOOKUP($A373,'Vocus SIT ExDa'!$B$2:$J$173, 2,FALSE), IFERROR(VLOOKUP($A373,'Telstra ExDa'!$B$2:$K$310, 4,FALSE), IFERROR(VLOOKUP($A373,'Vocus RVC ExDa'!$C$2:$R$155, 8,FALSE), IFERROR(VLOOKUP($A373,'Fusion ExDa'!$B$2:$D$16, 4,FALSE), IFERROR(VLOOKUP($A373,'Exetel ExDa'!$C$2:$N$14, 5,FALSE), IFERROR(VLOOKUP($A373,'Infinet ExDa'!$B$2:$E$14, 3,FALSE), "Not Found"))))))))</f>
        <v>Not Found</v>
      </c>
      <c r="F373" t="str">
        <f>IFERROR(VLOOKUP($A373,'AAPT ExDa'!$B$2:$U$99, 4,FALSE), IFERROR(VLOOKUP($A373,'ABB ExDa'!$A$2:$N$184, 6,FALSE), IFERROR(VLOOKUP($A373,'Vocus SIT ExDa'!$B$2:$J$173, 3,FALSE), IFERROR(VLOOKUP($A373,'Telstra ExDa'!$B$2:$K$310, 5,FALSE), IFERROR(VLOOKUP($A373,'Vocus RVC ExDa'!$C$2:$R$155, 9,FALSE), IFERROR(VLOOKUP($A373,'Fusion ExDa'!$B$2:$D$16, 0,FALSE), IFERROR(VLOOKUP($A373,'Exetel ExDa'!$C$2:$N$14, 6,FALSE), IFERROR(VLOOKUP($A373,'Infinet ExDa'!$B$2:$E$14, 0,FALSE), "Not Found"))))))))</f>
        <v>Not Found</v>
      </c>
      <c r="G373" t="str">
        <f>IFERROR(VLOOKUP($A373,'AAPT ExDa'!$B$2:$U$99, 5,FALSE), IFERROR(VLOOKUP($A373,'ABB ExDa'!$A$2:$N$184, 8,FALSE), IFERROR(VLOOKUP($A373,'Vocus SIT ExDa'!$B$2:$J$173, 6,FALSE), IFERROR(VLOOKUP($A373,'Telstra ExDa'!$B$2:$K$310, 0,FALSE), IFERROR(VLOOKUP($A373,'Vocus RVC ExDa'!$C$2:$R$155, 15,FALSE), IFERROR(VLOOKUP($A373,'Fusion ExDa'!$B$2:$D$16, 0,FALSE), IFERROR(VLOOKUP($A373,'Exetel ExDa'!$C$2:$N$14, 7,FALSE), IFERROR(VLOOKUP($A373,'Infinet ExDa'!$B$2:$E$14, 0,FALSE), "Not Found"))))))))</f>
        <v>Not Found</v>
      </c>
      <c r="H373" t="str">
        <f>IFERROR(VLOOKUP($A373,'AAPT ExDa'!$B$2:$U$99, 6,FALSE), IFERROR(VLOOKUP($A373,'ABB ExDa'!$A$2:$N$184, 0,FALSE), IFERROR(VLOOKUP($A373,'Vocus SIT ExDa'!$B$2:$J$173, 0,FALSE), IFERROR(VLOOKUP($A373,'Telstra ExDa'!$B$2:$K$310, 0,FALSE), IFERROR(VLOOKUP($A373,'Vocus RVC ExDa'!$C$2:$R$155, 16,FALSE), IFERROR(VLOOKUP($A373,'Fusion ExDa'!$B$2:$D$16, 0,FALSE), IFERROR(VLOOKUP($A373,'Exetel ExDa'!$C$2:$N$14, 0,FALSE), IFERROR(VLOOKUP($A373,'Infinet ExDa'!$B$2:$E$14, 0,FALSE), "Not Found"))))))))</f>
        <v>Not Found</v>
      </c>
      <c r="I373" t="str">
        <f>IFERROR(VLOOKUP($A373,'AAPT ExDa'!$B$2:$U$99, 0,FALSE), IFERROR(VLOOKUP($A373,'ABB ExDa'!$A$2:$N$184, 0,FALSE), IFERROR(VLOOKUP($A373,'Vocus SIT ExDa'!$B$2:$J$173, 0,FALSE), IFERROR(VLOOKUP($A373,'Telstra ExDa'!$B$2:$K$310, 0,FALSE), IFERROR(VLOOKUP($A373,'Vocus RVC ExDa'!$C$2:$R$155, 0,FALSE), IFERROR(VLOOKUP($A373,'Fusion ExDa'!$B$2:$D$16, 0,FALSE), IFERROR(VLOOKUP($A373,'Exetel ExDa'!$C$2:$N$14, 8,FALSE), IFERROR(VLOOKUP($A373,'Infinet ExDa'!$B$2:$E$14, 0,FALSE), "Not Found"))))))))</f>
        <v>Not Found</v>
      </c>
      <c r="J373" t="str">
        <f>IFERROR(VLOOKUP($A373,'AAPT ExDa'!$B$2:$U$99, 7,FALSE), IFERROR(VLOOKUP($A373,'ABB ExDa'!$A$2:$N$184, 2,FALSE), IFERROR(VLOOKUP($A373,'Vocus SIT ExDa'!$B$2:$J$173, 0,FALSE), IFERROR(VLOOKUP($A373,'Telstra ExDa'!$B$2:$K$310, 7,FALSE), IFERROR(VLOOKUP($A373,'Vocus RVC ExDa'!$C$2:$R$155, 2,FALSE), IFERROR(VLOOKUP($A373,'Fusion ExDa'!$B$2:$D$16, 3,FALSE), IFERROR(VLOOKUP($A373,'Exetel ExDa'!$C$2:$N$14, 0,FALSE), IFERROR(VLOOKUP($A373,'Infinet ExDa'!$B$2:$E$14, 0,FALSE), "Not Found"))))))))</f>
        <v>Not Found</v>
      </c>
      <c r="K373" t="str">
        <f>IFERROR(VLOOKUP($A373,'AAPT ExDa'!$B$2:$U$99, 12,FALSE), IFERROR(VLOOKUP($A373,'ABB ExDa'!$A$2:$N$184, 0,FALSE), IFERROR(VLOOKUP($A373,'Vocus SIT ExDa'!$B$2:$J$173, 0,FALSE), IFERROR(VLOOKUP($A373,'Telstra ExDa'!$B$2:$K$310, 0,FALSE), IFERROR(VLOOKUP($A373,'Vocus RVC ExDa'!$C$2:$R$155, 0,FALSE), IFERROR(VLOOKUP($A373,'Fusion ExDa'!$B$2:$D$16, 0,FALSE), IFERROR(VLOOKUP($A373,'Exetel ExDa'!$C$2:$N$14, 12,FALSE), IFERROR(VLOOKUP($A373,'Infinet ExDa'!$B$2:$E$14, 0,FALSE), "Not Found"))))))))</f>
        <v>Not Found</v>
      </c>
      <c r="L373" s="235" t="str">
        <f>IFERROR(VLOOKUP($A373,'AAPT ExDa'!$B$2:$U$99, 11,FALSE), IFERROR(VLOOKUP($A373,'ABB ExDa'!$A$2:$N$184, 9,FALSE), IFERROR(VLOOKUP($A373,'Vocus SIT ExDa'!$B$2:$J$173, 8,FALSE), IFERROR(VLOOKUP($A373,'Telstra ExDa'!$B$2:$K$310, 0,FALSE), IFERROR(VLOOKUP($A373,'Vocus RVC ExDa'!$C$2:$R$155, 0,FALSE), IFERROR(VLOOKUP($A373,'Fusion ExDa'!$B$2:$D$16, 0,FALSE), IFERROR(VLOOKUP($A373,'Exetel ExDa'!$C$2:$N$14, 9,FALSE), IFERROR(VLOOKUP($A373,'Infinet ExDa'!$B$2:$E$14, 0,FALSE), "Not Found"))))))))</f>
        <v>Not Found</v>
      </c>
      <c r="M373" s="234" t="str">
        <f>IFERROR(VLOOKUP($A373,'AAPT ExDa'!$B$2:$U$99, 0,FALSE), IFERROR(VLOOKUP($A373,'ABB ExDa'!$A$2:$N$184, 0,FALSE), IFERROR(VLOOKUP($A373,'Vocus SIT ExDa'!$B$2:$J$173, 0,FALSE), IFERROR(VLOOKUP($A373,'Telstra ExDa'!$B$2:$K$310, 0,FALSE), IFERROR(VLOOKUP($A373,'Vocus RVC ExDa'!$C$2:$R$155, 0,FALSE), IFERROR(VLOOKUP($A373,'Fusion ExDa'!$B$2:$D$16, 0,FALSE), IFERROR(VLOOKUP($A373,'Exetel ExDa'!$C$2:$N$14, 11,FALSE), IFERROR(VLOOKUP($A373,'Infinet ExDa'!$B$2:$E$14, 0,FALSE), "Not Found"))))))))</f>
        <v>Not Found</v>
      </c>
      <c r="N373" t="str">
        <f>IFERROR(VLOOKUP($A373,'AAPT ExDa'!$B$2:$U$99, 0,FALSE), IFERROR(VLOOKUP($A373,'ABB ExDa'!$A$2:$N$184, 13,FALSE), IFERROR(VLOOKUP($A373,'Vocus SIT ExDa'!$B$2:$J$173, 0,FALSE), IFERROR(VLOOKUP($A373,'Telstra ExDa'!$B$2:$K$310, 0,FALSE), IFERROR(VLOOKUP($A373,'Vocus RVC ExDa'!$C$2:$R$155, 0,FALSE), IFERROR(VLOOKUP($A373,'Fusion ExDa'!$B$2:$D$16, 0,FALSE), IFERROR(VLOOKUP($A373,'Exetel ExDa'!$C$2:$N$14, 0,FALSE), IFERROR(VLOOKUP($A373,'Infinet ExDa'!$B$2:$E$14, 0,FALSE), "Not Found"))))))))</f>
        <v>Not Found</v>
      </c>
    </row>
    <row r="374" spans="1:14">
      <c r="A374">
        <v>0</v>
      </c>
      <c r="B374" t="str">
        <f>IFERROR(VLOOKUP(A374,'Exetel ExDa'!$C$2:$N$14,4,FALSE),"No Data")</f>
        <v>No Data</v>
      </c>
      <c r="C374" t="str">
        <f>IFERROR(VLOOKUP(A374,'AAPT ExDa'!$B$2:$U$99, 2,FALSE), IFERROR(VLOOKUP(A374,'ABB ExDa'!$A$2:$N$184, 2,FALSE), IFERROR(VLOOKUP(A374,'Vocus SIT ExDa'!$B$2:$J$173, 7,FALSE), IFERROR(VLOOKUP(A374,'Telstra ExDa'!$B$2:$K$310, 2,FALSE), IFERROR(VLOOKUP(A374,'Vocus RVC ExDa'!$C$2:$R$155, 3,FALSE), IFERROR(VLOOKUP(A374,'Fusion ExDa'!$B$2:$D$16, 2,FALSE), IFERROR(VLOOKUP(A374,'Exetel ExDa'!$C$2:$N$14, 2,FALSE), IFERROR(VLOOKUP(A374,'Infinet ExDa'!$B$2:$E$14, 2,FALSE), "Not Found"))))))))</f>
        <v>Not Found</v>
      </c>
      <c r="D374" t="str">
        <f>IFERROR(VLOOKUP($A374,'AAPT ExDa'!$B$2:$U$99, 15,FALSE), IFERROR(VLOOKUP($A374,'ABB ExDa'!$A$2:$N$184, 4,FALSE), IFERROR(VLOOKUP($A374,'Vocus SIT ExDa'!$B$2:$J$173, 5,FALSE), IFERROR(VLOOKUP($A374,'Telstra ExDa'!$B$2:$K$310, 8,FALSE), IFERROR(VLOOKUP($A374,'Vocus RVC ExDa'!$C$2:$R$155, 6,FALSE), IFERROR(VLOOKUP($A374,'Fusion ExDa'!$B$2:$D$16, 4,FALSE), IFERROR(VLOOKUP($A374,'Exetel ExDa'!$C$2:$N$14, 3,FALSE), IFERROR(VLOOKUP($A374,'Infinet ExDa'!$B$2:$E$14, 3,FALSE), "Not Found"))))))))</f>
        <v>Not Found</v>
      </c>
      <c r="E374" t="str">
        <f>IFERROR(VLOOKUP($A374,'AAPT ExDa'!$B$2:$U$99, 3,FALSE), IFERROR(VLOOKUP($A374,'ABB ExDa'!$A$2:$N$184, 5,FALSE), IFERROR(VLOOKUP($A374,'Vocus SIT ExDa'!$B$2:$J$173, 2,FALSE), IFERROR(VLOOKUP($A374,'Telstra ExDa'!$B$2:$K$310, 4,FALSE), IFERROR(VLOOKUP($A374,'Vocus RVC ExDa'!$C$2:$R$155, 8,FALSE), IFERROR(VLOOKUP($A374,'Fusion ExDa'!$B$2:$D$16, 4,FALSE), IFERROR(VLOOKUP($A374,'Exetel ExDa'!$C$2:$N$14, 5,FALSE), IFERROR(VLOOKUP($A374,'Infinet ExDa'!$B$2:$E$14, 3,FALSE), "Not Found"))))))))</f>
        <v>Not Found</v>
      </c>
      <c r="F374" t="str">
        <f>IFERROR(VLOOKUP($A374,'AAPT ExDa'!$B$2:$U$99, 4,FALSE), IFERROR(VLOOKUP($A374,'ABB ExDa'!$A$2:$N$184, 6,FALSE), IFERROR(VLOOKUP($A374,'Vocus SIT ExDa'!$B$2:$J$173, 3,FALSE), IFERROR(VLOOKUP($A374,'Telstra ExDa'!$B$2:$K$310, 5,FALSE), IFERROR(VLOOKUP($A374,'Vocus RVC ExDa'!$C$2:$R$155, 9,FALSE), IFERROR(VLOOKUP($A374,'Fusion ExDa'!$B$2:$D$16, 0,FALSE), IFERROR(VLOOKUP($A374,'Exetel ExDa'!$C$2:$N$14, 6,FALSE), IFERROR(VLOOKUP($A374,'Infinet ExDa'!$B$2:$E$14, 0,FALSE), "Not Found"))))))))</f>
        <v>Not Found</v>
      </c>
      <c r="G374" t="str">
        <f>IFERROR(VLOOKUP($A374,'AAPT ExDa'!$B$2:$U$99, 5,FALSE), IFERROR(VLOOKUP($A374,'ABB ExDa'!$A$2:$N$184, 8,FALSE), IFERROR(VLOOKUP($A374,'Vocus SIT ExDa'!$B$2:$J$173, 6,FALSE), IFERROR(VLOOKUP($A374,'Telstra ExDa'!$B$2:$K$310, 0,FALSE), IFERROR(VLOOKUP($A374,'Vocus RVC ExDa'!$C$2:$R$155, 15,FALSE), IFERROR(VLOOKUP($A374,'Fusion ExDa'!$B$2:$D$16, 0,FALSE), IFERROR(VLOOKUP($A374,'Exetel ExDa'!$C$2:$N$14, 7,FALSE), IFERROR(VLOOKUP($A374,'Infinet ExDa'!$B$2:$E$14, 0,FALSE), "Not Found"))))))))</f>
        <v>Not Found</v>
      </c>
      <c r="H374" t="str">
        <f>IFERROR(VLOOKUP($A374,'AAPT ExDa'!$B$2:$U$99, 6,FALSE), IFERROR(VLOOKUP($A374,'ABB ExDa'!$A$2:$N$184, 0,FALSE), IFERROR(VLOOKUP($A374,'Vocus SIT ExDa'!$B$2:$J$173, 0,FALSE), IFERROR(VLOOKUP($A374,'Telstra ExDa'!$B$2:$K$310, 0,FALSE), IFERROR(VLOOKUP($A374,'Vocus RVC ExDa'!$C$2:$R$155, 16,FALSE), IFERROR(VLOOKUP($A374,'Fusion ExDa'!$B$2:$D$16, 0,FALSE), IFERROR(VLOOKUP($A374,'Exetel ExDa'!$C$2:$N$14, 0,FALSE), IFERROR(VLOOKUP($A374,'Infinet ExDa'!$B$2:$E$14, 0,FALSE), "Not Found"))))))))</f>
        <v>Not Found</v>
      </c>
      <c r="I374" t="str">
        <f>IFERROR(VLOOKUP($A374,'AAPT ExDa'!$B$2:$U$99, 0,FALSE), IFERROR(VLOOKUP($A374,'ABB ExDa'!$A$2:$N$184, 0,FALSE), IFERROR(VLOOKUP($A374,'Vocus SIT ExDa'!$B$2:$J$173, 0,FALSE), IFERROR(VLOOKUP($A374,'Telstra ExDa'!$B$2:$K$310, 0,FALSE), IFERROR(VLOOKUP($A374,'Vocus RVC ExDa'!$C$2:$R$155, 0,FALSE), IFERROR(VLOOKUP($A374,'Fusion ExDa'!$B$2:$D$16, 0,FALSE), IFERROR(VLOOKUP($A374,'Exetel ExDa'!$C$2:$N$14, 8,FALSE), IFERROR(VLOOKUP($A374,'Infinet ExDa'!$B$2:$E$14, 0,FALSE), "Not Found"))))))))</f>
        <v>Not Found</v>
      </c>
      <c r="J374" t="str">
        <f>IFERROR(VLOOKUP($A374,'AAPT ExDa'!$B$2:$U$99, 7,FALSE), IFERROR(VLOOKUP($A374,'ABB ExDa'!$A$2:$N$184, 2,FALSE), IFERROR(VLOOKUP($A374,'Vocus SIT ExDa'!$B$2:$J$173, 0,FALSE), IFERROR(VLOOKUP($A374,'Telstra ExDa'!$B$2:$K$310, 7,FALSE), IFERROR(VLOOKUP($A374,'Vocus RVC ExDa'!$C$2:$R$155, 2,FALSE), IFERROR(VLOOKUP($A374,'Fusion ExDa'!$B$2:$D$16, 3,FALSE), IFERROR(VLOOKUP($A374,'Exetel ExDa'!$C$2:$N$14, 0,FALSE), IFERROR(VLOOKUP($A374,'Infinet ExDa'!$B$2:$E$14, 0,FALSE), "Not Found"))))))))</f>
        <v>Not Found</v>
      </c>
      <c r="K374" t="str">
        <f>IFERROR(VLOOKUP($A374,'AAPT ExDa'!$B$2:$U$99, 12,FALSE), IFERROR(VLOOKUP($A374,'ABB ExDa'!$A$2:$N$184, 0,FALSE), IFERROR(VLOOKUP($A374,'Vocus SIT ExDa'!$B$2:$J$173, 0,FALSE), IFERROR(VLOOKUP($A374,'Telstra ExDa'!$B$2:$K$310, 0,FALSE), IFERROR(VLOOKUP($A374,'Vocus RVC ExDa'!$C$2:$R$155, 0,FALSE), IFERROR(VLOOKUP($A374,'Fusion ExDa'!$B$2:$D$16, 0,FALSE), IFERROR(VLOOKUP($A374,'Exetel ExDa'!$C$2:$N$14, 12,FALSE), IFERROR(VLOOKUP($A374,'Infinet ExDa'!$B$2:$E$14, 0,FALSE), "Not Found"))))))))</f>
        <v>Not Found</v>
      </c>
      <c r="L374" s="235" t="str">
        <f>IFERROR(VLOOKUP($A374,'AAPT ExDa'!$B$2:$U$99, 11,FALSE), IFERROR(VLOOKUP($A374,'ABB ExDa'!$A$2:$N$184, 9,FALSE), IFERROR(VLOOKUP($A374,'Vocus SIT ExDa'!$B$2:$J$173, 8,FALSE), IFERROR(VLOOKUP($A374,'Telstra ExDa'!$B$2:$K$310, 0,FALSE), IFERROR(VLOOKUP($A374,'Vocus RVC ExDa'!$C$2:$R$155, 0,FALSE), IFERROR(VLOOKUP($A374,'Fusion ExDa'!$B$2:$D$16, 0,FALSE), IFERROR(VLOOKUP($A374,'Exetel ExDa'!$C$2:$N$14, 9,FALSE), IFERROR(VLOOKUP($A374,'Infinet ExDa'!$B$2:$E$14, 0,FALSE), "Not Found"))))))))</f>
        <v>Not Found</v>
      </c>
      <c r="M374" s="234" t="str">
        <f>IFERROR(VLOOKUP($A374,'AAPT ExDa'!$B$2:$U$99, 0,FALSE), IFERROR(VLOOKUP($A374,'ABB ExDa'!$A$2:$N$184, 0,FALSE), IFERROR(VLOOKUP($A374,'Vocus SIT ExDa'!$B$2:$J$173, 0,FALSE), IFERROR(VLOOKUP($A374,'Telstra ExDa'!$B$2:$K$310, 0,FALSE), IFERROR(VLOOKUP($A374,'Vocus RVC ExDa'!$C$2:$R$155, 0,FALSE), IFERROR(VLOOKUP($A374,'Fusion ExDa'!$B$2:$D$16, 0,FALSE), IFERROR(VLOOKUP($A374,'Exetel ExDa'!$C$2:$N$14, 11,FALSE), IFERROR(VLOOKUP($A374,'Infinet ExDa'!$B$2:$E$14, 0,FALSE), "Not Found"))))))))</f>
        <v>Not Found</v>
      </c>
      <c r="N374" t="str">
        <f>IFERROR(VLOOKUP($A374,'AAPT ExDa'!$B$2:$U$99, 0,FALSE), IFERROR(VLOOKUP($A374,'ABB ExDa'!$A$2:$N$184, 13,FALSE), IFERROR(VLOOKUP($A374,'Vocus SIT ExDa'!$B$2:$J$173, 0,FALSE), IFERROR(VLOOKUP($A374,'Telstra ExDa'!$B$2:$K$310, 0,FALSE), IFERROR(VLOOKUP($A374,'Vocus RVC ExDa'!$C$2:$R$155, 0,FALSE), IFERROR(VLOOKUP($A374,'Fusion ExDa'!$B$2:$D$16, 0,FALSE), IFERROR(VLOOKUP($A374,'Exetel ExDa'!$C$2:$N$14, 0,FALSE), IFERROR(VLOOKUP($A374,'Infinet ExDa'!$B$2:$E$14, 0,FALSE), "Not Found"))))))))</f>
        <v>Not Found</v>
      </c>
    </row>
    <row r="375" spans="1:14">
      <c r="A375" t="str">
        <v>T2 Electrical</v>
      </c>
      <c r="B375" t="str">
        <f>IFERROR(VLOOKUP(A375,'Exetel ExDa'!$C$2:$N$14,4,FALSE),"No Data")</f>
        <v>No Data</v>
      </c>
      <c r="C375">
        <f>IFERROR(VLOOKUP(A375,'AAPT ExDa'!$B$2:$U$99, 2,FALSE), IFERROR(VLOOKUP(A375,'ABB ExDa'!$A$2:$N$184, 2,FALSE), IFERROR(VLOOKUP(A375,'Vocus SIT ExDa'!$B$2:$J$173, 7,FALSE), IFERROR(VLOOKUP(A375,'Telstra ExDa'!$B$2:$K$310, 2,FALSE), IFERROR(VLOOKUP(A375,'Vocus RVC ExDa'!$C$2:$R$155, 3,FALSE), IFERROR(VLOOKUP(A375,'Fusion ExDa'!$B$2:$D$16, 2,FALSE), IFERROR(VLOOKUP(A375,'Exetel ExDa'!$C$2:$N$14, 2,FALSE), IFERROR(VLOOKUP(A375,'Infinet ExDa'!$B$2:$E$14, 2,FALSE), "Not Found"))))))))</f>
        <v>0</v>
      </c>
      <c r="D375" t="str">
        <f>IFERROR(VLOOKUP($A375,'AAPT ExDa'!$B$2:$U$99, 15,FALSE), IFERROR(VLOOKUP($A375,'ABB ExDa'!$A$2:$N$184, 4,FALSE), IFERROR(VLOOKUP($A375,'Vocus SIT ExDa'!$B$2:$J$173, 5,FALSE), IFERROR(VLOOKUP($A375,'Telstra ExDa'!$B$2:$K$310, 8,FALSE), IFERROR(VLOOKUP($A375,'Vocus RVC ExDa'!$C$2:$R$155, 6,FALSE), IFERROR(VLOOKUP($A375,'Fusion ExDa'!$B$2:$D$16, 4,FALSE), IFERROR(VLOOKUP($A375,'Exetel ExDa'!$C$2:$N$14, 3,FALSE), IFERROR(VLOOKUP($A375,'Infinet ExDa'!$B$2:$E$14, 3,FALSE), "Not Found"))))))))</f>
        <v>AAPT</v>
      </c>
      <c r="E375" t="str">
        <f>IFERROR(VLOOKUP($A375,'AAPT ExDa'!$B$2:$U$99, 3,FALSE), IFERROR(VLOOKUP($A375,'ABB ExDa'!$A$2:$N$184, 5,FALSE), IFERROR(VLOOKUP($A375,'Vocus SIT ExDa'!$B$2:$J$173, 2,FALSE), IFERROR(VLOOKUP($A375,'Telstra ExDa'!$B$2:$K$310, 4,FALSE), IFERROR(VLOOKUP($A375,'Vocus RVC ExDa'!$C$2:$R$155, 8,FALSE), IFERROR(VLOOKUP($A375,'Fusion ExDa'!$B$2:$D$16, 4,FALSE), IFERROR(VLOOKUP($A375,'Exetel ExDa'!$C$2:$N$14, 5,FALSE), IFERROR(VLOOKUP($A375,'Infinet ExDa'!$B$2:$E$14, 3,FALSE), "Not Found"))))))))</f>
        <v>IP-Line</v>
      </c>
      <c r="F375" t="str">
        <f>IFERROR(VLOOKUP($A375,'AAPT ExDa'!$B$2:$U$99, 4,FALSE), IFERROR(VLOOKUP($A375,'ABB ExDa'!$A$2:$N$184, 6,FALSE), IFERROR(VLOOKUP($A375,'Vocus SIT ExDa'!$B$2:$J$173, 3,FALSE), IFERROR(VLOOKUP($A375,'Telstra ExDa'!$B$2:$K$310, 5,FALSE), IFERROR(VLOOKUP($A375,'Vocus RVC ExDa'!$C$2:$R$155, 9,FALSE), IFERROR(VLOOKUP($A375,'Fusion ExDa'!$B$2:$D$16, 0,FALSE), IFERROR(VLOOKUP($A375,'Exetel ExDa'!$C$2:$N$14, 6,FALSE), IFERROR(VLOOKUP($A375,'Infinet ExDa'!$B$2:$E$14, 0,FALSE), "Not Found"))))))))</f>
        <v>IP-Line Link</v>
      </c>
      <c r="G375" t="str">
        <f>IFERROR(VLOOKUP($A375,'AAPT ExDa'!$B$2:$U$99, 5,FALSE), IFERROR(VLOOKUP($A375,'ABB ExDa'!$A$2:$N$184, 8,FALSE), IFERROR(VLOOKUP($A375,'Vocus SIT ExDa'!$B$2:$J$173, 6,FALSE), IFERROR(VLOOKUP($A375,'Telstra ExDa'!$B$2:$K$310, 0,FALSE), IFERROR(VLOOKUP($A375,'Vocus RVC ExDa'!$C$2:$R$155, 15,FALSE), IFERROR(VLOOKUP($A375,'Fusion ExDa'!$B$2:$D$16, 0,FALSE), IFERROR(VLOOKUP($A375,'Exetel ExDa'!$C$2:$N$14, 7,FALSE), IFERROR(VLOOKUP($A375,'Infinet ExDa'!$B$2:$E$14, 0,FALSE), "Not Found"))))))))</f>
        <v>Connecting IP-Line 6023265 to Access 1814827</v>
      </c>
      <c r="H375" t="str">
        <f>IFERROR(VLOOKUP($A375,'AAPT ExDa'!$B$2:$U$99, 6,FALSE), IFERROR(VLOOKUP($A375,'ABB ExDa'!$A$2:$N$184, 0,FALSE), IFERROR(VLOOKUP($A375,'Vocus SIT ExDa'!$B$2:$J$173, 0,FALSE), IFERROR(VLOOKUP($A375,'Telstra ExDa'!$B$2:$K$310, 0,FALSE), IFERROR(VLOOKUP($A375,'Vocus RVC ExDa'!$C$2:$R$155, 16,FALSE), IFERROR(VLOOKUP($A375,'Fusion ExDa'!$B$2:$D$16, 0,FALSE), IFERROR(VLOOKUP($A375,'Exetel ExDa'!$C$2:$N$14, 0,FALSE), IFERROR(VLOOKUP($A375,'Infinet ExDa'!$B$2:$E$14, 0,FALSE), "Not Found"))))))))</f>
        <v>Up to 100/40Mbps; AVC ID:AVC400024089343</v>
      </c>
      <c r="I375" t="str">
        <f>IFERROR(VLOOKUP($A375,'AAPT ExDa'!$B$2:$U$99, 0,FALSE), IFERROR(VLOOKUP($A375,'ABB ExDa'!$A$2:$N$184, 0,FALSE), IFERROR(VLOOKUP($A375,'Vocus SIT ExDa'!$B$2:$J$173, 0,FALSE), IFERROR(VLOOKUP($A375,'Telstra ExDa'!$B$2:$K$310, 0,FALSE), IFERROR(VLOOKUP($A375,'Vocus RVC ExDa'!$C$2:$R$155, 0,FALSE), IFERROR(VLOOKUP($A375,'Fusion ExDa'!$B$2:$D$16, 0,FALSE), IFERROR(VLOOKUP($A375,'Exetel ExDa'!$C$2:$N$14, 8,FALSE), IFERROR(VLOOKUP($A375,'Infinet ExDa'!$B$2:$E$14, 0,FALSE), "Not Found"))))))))</f>
        <v>Not Found</v>
      </c>
      <c r="J375" t="str">
        <f>IFERROR(VLOOKUP($A375,'AAPT ExDa'!$B$2:$U$99, 7,FALSE), IFERROR(VLOOKUP($A375,'ABB ExDa'!$A$2:$N$184, 2,FALSE), IFERROR(VLOOKUP($A375,'Vocus SIT ExDa'!$B$2:$J$173, 0,FALSE), IFERROR(VLOOKUP($A375,'Telstra ExDa'!$B$2:$K$310, 7,FALSE), IFERROR(VLOOKUP($A375,'Vocus RVC ExDa'!$C$2:$R$155, 2,FALSE), IFERROR(VLOOKUP($A375,'Fusion ExDa'!$B$2:$D$16, 3,FALSE), IFERROR(VLOOKUP($A375,'Exetel ExDa'!$C$2:$N$14, 0,FALSE), IFERROR(VLOOKUP($A375,'Infinet ExDa'!$B$2:$E$14, 0,FALSE), "Not Found"))))))))</f>
        <v>AVC400024089343</v>
      </c>
      <c r="K375" t="str">
        <f>IFERROR(VLOOKUP($A375,'AAPT ExDa'!$B$2:$U$99, 12,FALSE), IFERROR(VLOOKUP($A375,'ABB ExDa'!$A$2:$N$184, 0,FALSE), IFERROR(VLOOKUP($A375,'Vocus SIT ExDa'!$B$2:$J$173, 0,FALSE), IFERROR(VLOOKUP($A375,'Telstra ExDa'!$B$2:$K$310, 0,FALSE), IFERROR(VLOOKUP($A375,'Vocus RVC ExDa'!$C$2:$R$155, 0,FALSE), IFERROR(VLOOKUP($A375,'Fusion ExDa'!$B$2:$D$16, 0,FALSE), IFERROR(VLOOKUP($A375,'Exetel ExDa'!$C$2:$N$14, 12,FALSE), IFERROR(VLOOKUP($A375,'Infinet ExDa'!$B$2:$E$14, 0,FALSE), "Not Found"))))))))</f>
        <v>24 Months</v>
      </c>
      <c r="L375" s="235" t="str">
        <f>IFERROR(VLOOKUP($A375,'AAPT ExDa'!$B$2:$U$99, 11,FALSE), IFERROR(VLOOKUP($A375,'ABB ExDa'!$A$2:$N$184, 9,FALSE), IFERROR(VLOOKUP($A375,'Vocus SIT ExDa'!$B$2:$J$173, 8,FALSE), IFERROR(VLOOKUP($A375,'Telstra ExDa'!$B$2:$K$310, 0,FALSE), IFERROR(VLOOKUP($A375,'Vocus RVC ExDa'!$C$2:$R$155, 0,FALSE), IFERROR(VLOOKUP($A375,'Fusion ExDa'!$B$2:$D$16, 0,FALSE), IFERROR(VLOOKUP($A375,'Exetel ExDa'!$C$2:$N$14, 9,FALSE), IFERROR(VLOOKUP($A375,'Infinet ExDa'!$B$2:$E$14, 0,FALSE), "Not Found"))))))))</f>
        <v>19/03/2020</v>
      </c>
      <c r="M375" s="234" t="str">
        <f>IFERROR(VLOOKUP($A375,'AAPT ExDa'!$B$2:$U$99, 0,FALSE), IFERROR(VLOOKUP($A375,'ABB ExDa'!$A$2:$N$184, 0,FALSE), IFERROR(VLOOKUP($A375,'Vocus SIT ExDa'!$B$2:$J$173, 0,FALSE), IFERROR(VLOOKUP($A375,'Telstra ExDa'!$B$2:$K$310, 0,FALSE), IFERROR(VLOOKUP($A375,'Vocus RVC ExDa'!$C$2:$R$155, 0,FALSE), IFERROR(VLOOKUP($A375,'Fusion ExDa'!$B$2:$D$16, 0,FALSE), IFERROR(VLOOKUP($A375,'Exetel ExDa'!$C$2:$N$14, 11,FALSE), IFERROR(VLOOKUP($A375,'Infinet ExDa'!$B$2:$E$14, 0,FALSE), "Not Found"))))))))</f>
        <v>Not Found</v>
      </c>
      <c r="N375" t="str">
        <f>IFERROR(VLOOKUP($A375,'AAPT ExDa'!$B$2:$U$99, 0,FALSE), IFERROR(VLOOKUP($A375,'ABB ExDa'!$A$2:$N$184, 13,FALSE), IFERROR(VLOOKUP($A375,'Vocus SIT ExDa'!$B$2:$J$173, 0,FALSE), IFERROR(VLOOKUP($A375,'Telstra ExDa'!$B$2:$K$310, 0,FALSE), IFERROR(VLOOKUP($A375,'Vocus RVC ExDa'!$C$2:$R$155, 0,FALSE), IFERROR(VLOOKUP($A375,'Fusion ExDa'!$B$2:$D$16, 0,FALSE), IFERROR(VLOOKUP($A375,'Exetel ExDa'!$C$2:$N$14, 0,FALSE), IFERROR(VLOOKUP($A375,'Infinet ExDa'!$B$2:$E$14, 0,FALSE), "Not Found"))))))))</f>
        <v>Not Found</v>
      </c>
    </row>
    <row r="376" spans="1:14">
      <c r="A376" t="str">
        <v xml:space="preserve">Australian Computer Traders </v>
      </c>
      <c r="B376" t="str">
        <f>IFERROR(VLOOKUP(A376,'Exetel ExDa'!$C$2:$N$14,4,FALSE),"No Data")</f>
        <v>No Data</v>
      </c>
      <c r="C376">
        <f>IFERROR(VLOOKUP(A376,'AAPT ExDa'!$B$2:$U$99, 2,FALSE), IFERROR(VLOOKUP(A376,'ABB ExDa'!$A$2:$N$184, 2,FALSE), IFERROR(VLOOKUP(A376,'Vocus SIT ExDa'!$B$2:$J$173, 7,FALSE), IFERROR(VLOOKUP(A376,'Telstra ExDa'!$B$2:$K$310, 2,FALSE), IFERROR(VLOOKUP(A376,'Vocus RVC ExDa'!$C$2:$R$155, 3,FALSE), IFERROR(VLOOKUP(A376,'Fusion ExDa'!$B$2:$D$16, 2,FALSE), IFERROR(VLOOKUP(A376,'Exetel ExDa'!$C$2:$N$14, 2,FALSE), IFERROR(VLOOKUP(A376,'Infinet ExDa'!$B$2:$E$14, 2,FALSE), "Not Found"))))))))</f>
        <v>0</v>
      </c>
      <c r="D376" t="str">
        <f>IFERROR(VLOOKUP($A376,'AAPT ExDa'!$B$2:$U$99, 15,FALSE), IFERROR(VLOOKUP($A376,'ABB ExDa'!$A$2:$N$184, 4,FALSE), IFERROR(VLOOKUP($A376,'Vocus SIT ExDa'!$B$2:$J$173, 5,FALSE), IFERROR(VLOOKUP($A376,'Telstra ExDa'!$B$2:$K$310, 8,FALSE), IFERROR(VLOOKUP($A376,'Vocus RVC ExDa'!$C$2:$R$155, 6,FALSE), IFERROR(VLOOKUP($A376,'Fusion ExDa'!$B$2:$D$16, 4,FALSE), IFERROR(VLOOKUP($A376,'Exetel ExDa'!$C$2:$N$14, 3,FALSE), IFERROR(VLOOKUP($A376,'Infinet ExDa'!$B$2:$E$14, 3,FALSE), "Not Found"))))))))</f>
        <v>Vocus SIT</v>
      </c>
      <c r="E376" t="str">
        <f>IFERROR(VLOOKUP($A376,'AAPT ExDa'!$B$2:$U$99, 3,FALSE), IFERROR(VLOOKUP($A376,'ABB ExDa'!$A$2:$N$184, 5,FALSE), IFERROR(VLOOKUP($A376,'Vocus SIT ExDa'!$B$2:$J$173, 2,FALSE), IFERROR(VLOOKUP($A376,'Telstra ExDa'!$B$2:$K$310, 4,FALSE), IFERROR(VLOOKUP($A376,'Vocus RVC ExDa'!$C$2:$R$155, 8,FALSE), IFERROR(VLOOKUP($A376,'Fusion ExDa'!$B$2:$D$16, 4,FALSE), IFERROR(VLOOKUP($A376,'Exetel ExDa'!$C$2:$N$14, 5,FALSE), IFERROR(VLOOKUP($A376,'Infinet ExDa'!$B$2:$E$14, 3,FALSE), "Not Found"))))))))</f>
        <v>Voice Service</v>
      </c>
      <c r="F376" t="str">
        <f>IFERROR(VLOOKUP($A376,'AAPT ExDa'!$B$2:$U$99, 4,FALSE), IFERROR(VLOOKUP($A376,'ABB ExDa'!$A$2:$N$184, 6,FALSE), IFERROR(VLOOKUP($A376,'Vocus SIT ExDa'!$B$2:$J$173, 3,FALSE), IFERROR(VLOOKUP($A376,'Telstra ExDa'!$B$2:$K$310, 5,FALSE), IFERROR(VLOOKUP($A376,'Vocus RVC ExDa'!$C$2:$R$155, 9,FALSE), IFERROR(VLOOKUP($A376,'Fusion ExDa'!$B$2:$D$16, 0,FALSE), IFERROR(VLOOKUP($A376,'Exetel ExDa'!$C$2:$N$14, 6,FALSE), IFERROR(VLOOKUP($A376,'Infinet ExDa'!$B$2:$E$14, 0,FALSE), "Not Found"))))))))</f>
        <v>0733910000
0733913696
0733913981
0738912868
0738912942
0738913139
0738913140
0738913179
0738913291
0738916498
0738958475</v>
      </c>
      <c r="G376" t="str">
        <f>IFERROR(VLOOKUP($A376,'AAPT ExDa'!$B$2:$U$99, 5,FALSE), IFERROR(VLOOKUP($A376,'ABB ExDa'!$A$2:$N$184, 8,FALSE), IFERROR(VLOOKUP($A376,'Vocus SIT ExDa'!$B$2:$J$173, 6,FALSE), IFERROR(VLOOKUP($A376,'Telstra ExDa'!$B$2:$K$310, 0,FALSE), IFERROR(VLOOKUP($A376,'Vocus RVC ExDa'!$C$2:$R$155, 15,FALSE), IFERROR(VLOOKUP($A376,'Fusion ExDa'!$B$2:$D$16, 0,FALSE), IFERROR(VLOOKUP($A376,'Exetel ExDa'!$C$2:$N$14, 7,FALSE), IFERROR(VLOOKUP($A376,'Infinet ExDa'!$B$2:$E$14, 0,FALSE), "Not Found"))))))))</f>
        <v>IP Tel Order - Smile Tel - 27/05/2021</v>
      </c>
      <c r="H376" t="str">
        <f>IFERROR(VLOOKUP($A376,'AAPT ExDa'!$B$2:$U$99, 6,FALSE), IFERROR(VLOOKUP($A376,'ABB ExDa'!$A$2:$N$184, 0,FALSE), IFERROR(VLOOKUP($A376,'Vocus SIT ExDa'!$B$2:$J$173, 0,FALSE), IFERROR(VLOOKUP($A376,'Telstra ExDa'!$B$2:$K$310, 0,FALSE), IFERROR(VLOOKUP($A376,'Vocus RVC ExDa'!$C$2:$R$155, 16,FALSE), IFERROR(VLOOKUP($A376,'Fusion ExDa'!$B$2:$D$16, 0,FALSE), IFERROR(VLOOKUP($A376,'Exetel ExDa'!$C$2:$N$14, 0,FALSE), IFERROR(VLOOKUP($A376,'Infinet ExDa'!$B$2:$E$14, 0,FALSE), "Not Found"))))))))</f>
        <v>Not Found</v>
      </c>
      <c r="I376" t="str">
        <f>IFERROR(VLOOKUP($A376,'AAPT ExDa'!$B$2:$U$99, 0,FALSE), IFERROR(VLOOKUP($A376,'ABB ExDa'!$A$2:$N$184, 0,FALSE), IFERROR(VLOOKUP($A376,'Vocus SIT ExDa'!$B$2:$J$173, 0,FALSE), IFERROR(VLOOKUP($A376,'Telstra ExDa'!$B$2:$K$310, 0,FALSE), IFERROR(VLOOKUP($A376,'Vocus RVC ExDa'!$C$2:$R$155, 0,FALSE), IFERROR(VLOOKUP($A376,'Fusion ExDa'!$B$2:$D$16, 0,FALSE), IFERROR(VLOOKUP($A376,'Exetel ExDa'!$C$2:$N$14, 8,FALSE), IFERROR(VLOOKUP($A376,'Infinet ExDa'!$B$2:$E$14, 0,FALSE), "Not Found"))))))))</f>
        <v>Not Found</v>
      </c>
      <c r="J376" t="str">
        <f>IFERROR(VLOOKUP($A376,'AAPT ExDa'!$B$2:$U$99, 7,FALSE), IFERROR(VLOOKUP($A376,'ABB ExDa'!$A$2:$N$184, 2,FALSE), IFERROR(VLOOKUP($A376,'Vocus SIT ExDa'!$B$2:$J$173, 0,FALSE), IFERROR(VLOOKUP($A376,'Telstra ExDa'!$B$2:$K$310, 7,FALSE), IFERROR(VLOOKUP($A376,'Vocus RVC ExDa'!$C$2:$R$155, 2,FALSE), IFERROR(VLOOKUP($A376,'Fusion ExDa'!$B$2:$D$16, 3,FALSE), IFERROR(VLOOKUP($A376,'Exetel ExDa'!$C$2:$N$14, 0,FALSE), IFERROR(VLOOKUP($A376,'Infinet ExDa'!$B$2:$E$14, 0,FALSE), "Not Found"))))))))</f>
        <v>Not Found</v>
      </c>
      <c r="K376" t="str">
        <f>IFERROR(VLOOKUP($A376,'AAPT ExDa'!$B$2:$U$99, 12,FALSE), IFERROR(VLOOKUP($A376,'ABB ExDa'!$A$2:$N$184, 0,FALSE), IFERROR(VLOOKUP($A376,'Vocus SIT ExDa'!$B$2:$J$173, 0,FALSE), IFERROR(VLOOKUP($A376,'Telstra ExDa'!$B$2:$K$310, 0,FALSE), IFERROR(VLOOKUP($A376,'Vocus RVC ExDa'!$C$2:$R$155, 0,FALSE), IFERROR(VLOOKUP($A376,'Fusion ExDa'!$B$2:$D$16, 0,FALSE), IFERROR(VLOOKUP($A376,'Exetel ExDa'!$C$2:$N$14, 12,FALSE), IFERROR(VLOOKUP($A376,'Infinet ExDa'!$B$2:$E$14, 0,FALSE), "Not Found"))))))))</f>
        <v>Not Found</v>
      </c>
      <c r="L376" s="235">
        <f>IFERROR(VLOOKUP($A376,'AAPT ExDa'!$B$2:$U$99, 11,FALSE), IFERROR(VLOOKUP($A376,'ABB ExDa'!$A$2:$N$184, 9,FALSE), IFERROR(VLOOKUP($A376,'Vocus SIT ExDa'!$B$2:$J$173, 8,FALSE), IFERROR(VLOOKUP($A376,'Telstra ExDa'!$B$2:$K$310, 0,FALSE), IFERROR(VLOOKUP($A376,'Vocus RVC ExDa'!$C$2:$R$155, 0,FALSE), IFERROR(VLOOKUP($A376,'Fusion ExDa'!$B$2:$D$16, 0,FALSE), IFERROR(VLOOKUP($A376,'Exetel ExDa'!$C$2:$N$14, 9,FALSE), IFERROR(VLOOKUP($A376,'Infinet ExDa'!$B$2:$E$14, 0,FALSE), "Not Found"))))))))</f>
        <v>44264</v>
      </c>
      <c r="M376" s="234" t="str">
        <f>IFERROR(VLOOKUP($A376,'AAPT ExDa'!$B$2:$U$99, 0,FALSE), IFERROR(VLOOKUP($A376,'ABB ExDa'!$A$2:$N$184, 0,FALSE), IFERROR(VLOOKUP($A376,'Vocus SIT ExDa'!$B$2:$J$173, 0,FALSE), IFERROR(VLOOKUP($A376,'Telstra ExDa'!$B$2:$K$310, 0,FALSE), IFERROR(VLOOKUP($A376,'Vocus RVC ExDa'!$C$2:$R$155, 0,FALSE), IFERROR(VLOOKUP($A376,'Fusion ExDa'!$B$2:$D$16, 0,FALSE), IFERROR(VLOOKUP($A376,'Exetel ExDa'!$C$2:$N$14, 11,FALSE), IFERROR(VLOOKUP($A376,'Infinet ExDa'!$B$2:$E$14, 0,FALSE), "Not Found"))))))))</f>
        <v>Not Found</v>
      </c>
      <c r="N376" t="str">
        <f>IFERROR(VLOOKUP($A376,'AAPT ExDa'!$B$2:$U$99, 0,FALSE), IFERROR(VLOOKUP($A376,'ABB ExDa'!$A$2:$N$184, 13,FALSE), IFERROR(VLOOKUP($A376,'Vocus SIT ExDa'!$B$2:$J$173, 0,FALSE), IFERROR(VLOOKUP($A376,'Telstra ExDa'!$B$2:$K$310, 0,FALSE), IFERROR(VLOOKUP($A376,'Vocus RVC ExDa'!$C$2:$R$155, 0,FALSE), IFERROR(VLOOKUP($A376,'Fusion ExDa'!$B$2:$D$16, 0,FALSE), IFERROR(VLOOKUP($A376,'Exetel ExDa'!$C$2:$N$14, 0,FALSE), IFERROR(VLOOKUP($A376,'Infinet ExDa'!$B$2:$E$14, 0,FALSE), "Not Found"))))))))</f>
        <v>Not Found</v>
      </c>
    </row>
    <row r="377" spans="1:14">
      <c r="A377">
        <v>0</v>
      </c>
      <c r="B377" t="str">
        <f>IFERROR(VLOOKUP(A377,'Exetel ExDa'!$C$2:$N$14,4,FALSE),"No Data")</f>
        <v>No Data</v>
      </c>
      <c r="C377" t="str">
        <f>IFERROR(VLOOKUP(A377,'AAPT ExDa'!$B$2:$U$99, 2,FALSE), IFERROR(VLOOKUP(A377,'ABB ExDa'!$A$2:$N$184, 2,FALSE), IFERROR(VLOOKUP(A377,'Vocus SIT ExDa'!$B$2:$J$173, 7,FALSE), IFERROR(VLOOKUP(A377,'Telstra ExDa'!$B$2:$K$310, 2,FALSE), IFERROR(VLOOKUP(A377,'Vocus RVC ExDa'!$C$2:$R$155, 3,FALSE), IFERROR(VLOOKUP(A377,'Fusion ExDa'!$B$2:$D$16, 2,FALSE), IFERROR(VLOOKUP(A377,'Exetel ExDa'!$C$2:$N$14, 2,FALSE), IFERROR(VLOOKUP(A377,'Infinet ExDa'!$B$2:$E$14, 2,FALSE), "Not Found"))))))))</f>
        <v>Not Found</v>
      </c>
      <c r="D377" t="str">
        <f>IFERROR(VLOOKUP($A377,'AAPT ExDa'!$B$2:$U$99, 15,FALSE), IFERROR(VLOOKUP($A377,'ABB ExDa'!$A$2:$N$184, 4,FALSE), IFERROR(VLOOKUP($A377,'Vocus SIT ExDa'!$B$2:$J$173, 5,FALSE), IFERROR(VLOOKUP($A377,'Telstra ExDa'!$B$2:$K$310, 8,FALSE), IFERROR(VLOOKUP($A377,'Vocus RVC ExDa'!$C$2:$R$155, 6,FALSE), IFERROR(VLOOKUP($A377,'Fusion ExDa'!$B$2:$D$16, 4,FALSE), IFERROR(VLOOKUP($A377,'Exetel ExDa'!$C$2:$N$14, 3,FALSE), IFERROR(VLOOKUP($A377,'Infinet ExDa'!$B$2:$E$14, 3,FALSE), "Not Found"))))))))</f>
        <v>Not Found</v>
      </c>
      <c r="E377" t="str">
        <f>IFERROR(VLOOKUP($A377,'AAPT ExDa'!$B$2:$U$99, 3,FALSE), IFERROR(VLOOKUP($A377,'ABB ExDa'!$A$2:$N$184, 5,FALSE), IFERROR(VLOOKUP($A377,'Vocus SIT ExDa'!$B$2:$J$173, 2,FALSE), IFERROR(VLOOKUP($A377,'Telstra ExDa'!$B$2:$K$310, 4,FALSE), IFERROR(VLOOKUP($A377,'Vocus RVC ExDa'!$C$2:$R$155, 8,FALSE), IFERROR(VLOOKUP($A377,'Fusion ExDa'!$B$2:$D$16, 4,FALSE), IFERROR(VLOOKUP($A377,'Exetel ExDa'!$C$2:$N$14, 5,FALSE), IFERROR(VLOOKUP($A377,'Infinet ExDa'!$B$2:$E$14, 3,FALSE), "Not Found"))))))))</f>
        <v>Not Found</v>
      </c>
      <c r="F377" t="str">
        <f>IFERROR(VLOOKUP($A377,'AAPT ExDa'!$B$2:$U$99, 4,FALSE), IFERROR(VLOOKUP($A377,'ABB ExDa'!$A$2:$N$184, 6,FALSE), IFERROR(VLOOKUP($A377,'Vocus SIT ExDa'!$B$2:$J$173, 3,FALSE), IFERROR(VLOOKUP($A377,'Telstra ExDa'!$B$2:$K$310, 5,FALSE), IFERROR(VLOOKUP($A377,'Vocus RVC ExDa'!$C$2:$R$155, 9,FALSE), IFERROR(VLOOKUP($A377,'Fusion ExDa'!$B$2:$D$16, 0,FALSE), IFERROR(VLOOKUP($A377,'Exetel ExDa'!$C$2:$N$14, 6,FALSE), IFERROR(VLOOKUP($A377,'Infinet ExDa'!$B$2:$E$14, 0,FALSE), "Not Found"))))))))</f>
        <v>Not Found</v>
      </c>
      <c r="G377" t="str">
        <f>IFERROR(VLOOKUP($A377,'AAPT ExDa'!$B$2:$U$99, 5,FALSE), IFERROR(VLOOKUP($A377,'ABB ExDa'!$A$2:$N$184, 8,FALSE), IFERROR(VLOOKUP($A377,'Vocus SIT ExDa'!$B$2:$J$173, 6,FALSE), IFERROR(VLOOKUP($A377,'Telstra ExDa'!$B$2:$K$310, 0,FALSE), IFERROR(VLOOKUP($A377,'Vocus RVC ExDa'!$C$2:$R$155, 15,FALSE), IFERROR(VLOOKUP($A377,'Fusion ExDa'!$B$2:$D$16, 0,FALSE), IFERROR(VLOOKUP($A377,'Exetel ExDa'!$C$2:$N$14, 7,FALSE), IFERROR(VLOOKUP($A377,'Infinet ExDa'!$B$2:$E$14, 0,FALSE), "Not Found"))))))))</f>
        <v>Not Found</v>
      </c>
      <c r="H377" t="str">
        <f>IFERROR(VLOOKUP($A377,'AAPT ExDa'!$B$2:$U$99, 6,FALSE), IFERROR(VLOOKUP($A377,'ABB ExDa'!$A$2:$N$184, 0,FALSE), IFERROR(VLOOKUP($A377,'Vocus SIT ExDa'!$B$2:$J$173, 0,FALSE), IFERROR(VLOOKUP($A377,'Telstra ExDa'!$B$2:$K$310, 0,FALSE), IFERROR(VLOOKUP($A377,'Vocus RVC ExDa'!$C$2:$R$155, 16,FALSE), IFERROR(VLOOKUP($A377,'Fusion ExDa'!$B$2:$D$16, 0,FALSE), IFERROR(VLOOKUP($A377,'Exetel ExDa'!$C$2:$N$14, 0,FALSE), IFERROR(VLOOKUP($A377,'Infinet ExDa'!$B$2:$E$14, 0,FALSE), "Not Found"))))))))</f>
        <v>Not Found</v>
      </c>
      <c r="I377" t="str">
        <f>IFERROR(VLOOKUP($A377,'AAPT ExDa'!$B$2:$U$99, 0,FALSE), IFERROR(VLOOKUP($A377,'ABB ExDa'!$A$2:$N$184, 0,FALSE), IFERROR(VLOOKUP($A377,'Vocus SIT ExDa'!$B$2:$J$173, 0,FALSE), IFERROR(VLOOKUP($A377,'Telstra ExDa'!$B$2:$K$310, 0,FALSE), IFERROR(VLOOKUP($A377,'Vocus RVC ExDa'!$C$2:$R$155, 0,FALSE), IFERROR(VLOOKUP($A377,'Fusion ExDa'!$B$2:$D$16, 0,FALSE), IFERROR(VLOOKUP($A377,'Exetel ExDa'!$C$2:$N$14, 8,FALSE), IFERROR(VLOOKUP($A377,'Infinet ExDa'!$B$2:$E$14, 0,FALSE), "Not Found"))))))))</f>
        <v>Not Found</v>
      </c>
      <c r="J377" t="str">
        <f>IFERROR(VLOOKUP($A377,'AAPT ExDa'!$B$2:$U$99, 7,FALSE), IFERROR(VLOOKUP($A377,'ABB ExDa'!$A$2:$N$184, 2,FALSE), IFERROR(VLOOKUP($A377,'Vocus SIT ExDa'!$B$2:$J$173, 0,FALSE), IFERROR(VLOOKUP($A377,'Telstra ExDa'!$B$2:$K$310, 7,FALSE), IFERROR(VLOOKUP($A377,'Vocus RVC ExDa'!$C$2:$R$155, 2,FALSE), IFERROR(VLOOKUP($A377,'Fusion ExDa'!$B$2:$D$16, 3,FALSE), IFERROR(VLOOKUP($A377,'Exetel ExDa'!$C$2:$N$14, 0,FALSE), IFERROR(VLOOKUP($A377,'Infinet ExDa'!$B$2:$E$14, 0,FALSE), "Not Found"))))))))</f>
        <v>Not Found</v>
      </c>
      <c r="K377" t="str">
        <f>IFERROR(VLOOKUP($A377,'AAPT ExDa'!$B$2:$U$99, 12,FALSE), IFERROR(VLOOKUP($A377,'ABB ExDa'!$A$2:$N$184, 0,FALSE), IFERROR(VLOOKUP($A377,'Vocus SIT ExDa'!$B$2:$J$173, 0,FALSE), IFERROR(VLOOKUP($A377,'Telstra ExDa'!$B$2:$K$310, 0,FALSE), IFERROR(VLOOKUP($A377,'Vocus RVC ExDa'!$C$2:$R$155, 0,FALSE), IFERROR(VLOOKUP($A377,'Fusion ExDa'!$B$2:$D$16, 0,FALSE), IFERROR(VLOOKUP($A377,'Exetel ExDa'!$C$2:$N$14, 12,FALSE), IFERROR(VLOOKUP($A377,'Infinet ExDa'!$B$2:$E$14, 0,FALSE), "Not Found"))))))))</f>
        <v>Not Found</v>
      </c>
      <c r="L377" s="235" t="str">
        <f>IFERROR(VLOOKUP($A377,'AAPT ExDa'!$B$2:$U$99, 11,FALSE), IFERROR(VLOOKUP($A377,'ABB ExDa'!$A$2:$N$184, 9,FALSE), IFERROR(VLOOKUP($A377,'Vocus SIT ExDa'!$B$2:$J$173, 8,FALSE), IFERROR(VLOOKUP($A377,'Telstra ExDa'!$B$2:$K$310, 0,FALSE), IFERROR(VLOOKUP($A377,'Vocus RVC ExDa'!$C$2:$R$155, 0,FALSE), IFERROR(VLOOKUP($A377,'Fusion ExDa'!$B$2:$D$16, 0,FALSE), IFERROR(VLOOKUP($A377,'Exetel ExDa'!$C$2:$N$14, 9,FALSE), IFERROR(VLOOKUP($A377,'Infinet ExDa'!$B$2:$E$14, 0,FALSE), "Not Found"))))))))</f>
        <v>Not Found</v>
      </c>
      <c r="M377" s="234" t="str">
        <f>IFERROR(VLOOKUP($A377,'AAPT ExDa'!$B$2:$U$99, 0,FALSE), IFERROR(VLOOKUP($A377,'ABB ExDa'!$A$2:$N$184, 0,FALSE), IFERROR(VLOOKUP($A377,'Vocus SIT ExDa'!$B$2:$J$173, 0,FALSE), IFERROR(VLOOKUP($A377,'Telstra ExDa'!$B$2:$K$310, 0,FALSE), IFERROR(VLOOKUP($A377,'Vocus RVC ExDa'!$C$2:$R$155, 0,FALSE), IFERROR(VLOOKUP($A377,'Fusion ExDa'!$B$2:$D$16, 0,FALSE), IFERROR(VLOOKUP($A377,'Exetel ExDa'!$C$2:$N$14, 11,FALSE), IFERROR(VLOOKUP($A377,'Infinet ExDa'!$B$2:$E$14, 0,FALSE), "Not Found"))))))))</f>
        <v>Not Found</v>
      </c>
      <c r="N377" t="str">
        <f>IFERROR(VLOOKUP($A377,'AAPT ExDa'!$B$2:$U$99, 0,FALSE), IFERROR(VLOOKUP($A377,'ABB ExDa'!$A$2:$N$184, 13,FALSE), IFERROR(VLOOKUP($A377,'Vocus SIT ExDa'!$B$2:$J$173, 0,FALSE), IFERROR(VLOOKUP($A377,'Telstra ExDa'!$B$2:$K$310, 0,FALSE), IFERROR(VLOOKUP($A377,'Vocus RVC ExDa'!$C$2:$R$155, 0,FALSE), IFERROR(VLOOKUP($A377,'Fusion ExDa'!$B$2:$D$16, 0,FALSE), IFERROR(VLOOKUP($A377,'Exetel ExDa'!$C$2:$N$14, 0,FALSE), IFERROR(VLOOKUP($A377,'Infinet ExDa'!$B$2:$E$14, 0,FALSE), "Not Found"))))))))</f>
        <v>Not Found</v>
      </c>
    </row>
    <row r="378" spans="1:14">
      <c r="A378">
        <v>0</v>
      </c>
      <c r="B378" t="str">
        <f>IFERROR(VLOOKUP(A378,'Exetel ExDa'!$C$2:$N$14,4,FALSE),"No Data")</f>
        <v>No Data</v>
      </c>
      <c r="C378" t="str">
        <f>IFERROR(VLOOKUP(A378,'AAPT ExDa'!$B$2:$U$99, 2,FALSE), IFERROR(VLOOKUP(A378,'ABB ExDa'!$A$2:$N$184, 2,FALSE), IFERROR(VLOOKUP(A378,'Vocus SIT ExDa'!$B$2:$J$173, 7,FALSE), IFERROR(VLOOKUP(A378,'Telstra ExDa'!$B$2:$K$310, 2,FALSE), IFERROR(VLOOKUP(A378,'Vocus RVC ExDa'!$C$2:$R$155, 3,FALSE), IFERROR(VLOOKUP(A378,'Fusion ExDa'!$B$2:$D$16, 2,FALSE), IFERROR(VLOOKUP(A378,'Exetel ExDa'!$C$2:$N$14, 2,FALSE), IFERROR(VLOOKUP(A378,'Infinet ExDa'!$B$2:$E$14, 2,FALSE), "Not Found"))))))))</f>
        <v>Not Found</v>
      </c>
      <c r="D378" t="str">
        <f>IFERROR(VLOOKUP($A378,'AAPT ExDa'!$B$2:$U$99, 15,FALSE), IFERROR(VLOOKUP($A378,'ABB ExDa'!$A$2:$N$184, 4,FALSE), IFERROR(VLOOKUP($A378,'Vocus SIT ExDa'!$B$2:$J$173, 5,FALSE), IFERROR(VLOOKUP($A378,'Telstra ExDa'!$B$2:$K$310, 8,FALSE), IFERROR(VLOOKUP($A378,'Vocus RVC ExDa'!$C$2:$R$155, 6,FALSE), IFERROR(VLOOKUP($A378,'Fusion ExDa'!$B$2:$D$16, 4,FALSE), IFERROR(VLOOKUP($A378,'Exetel ExDa'!$C$2:$N$14, 3,FALSE), IFERROR(VLOOKUP($A378,'Infinet ExDa'!$B$2:$E$14, 3,FALSE), "Not Found"))))))))</f>
        <v>Not Found</v>
      </c>
      <c r="E378" t="str">
        <f>IFERROR(VLOOKUP($A378,'AAPT ExDa'!$B$2:$U$99, 3,FALSE), IFERROR(VLOOKUP($A378,'ABB ExDa'!$A$2:$N$184, 5,FALSE), IFERROR(VLOOKUP($A378,'Vocus SIT ExDa'!$B$2:$J$173, 2,FALSE), IFERROR(VLOOKUP($A378,'Telstra ExDa'!$B$2:$K$310, 4,FALSE), IFERROR(VLOOKUP($A378,'Vocus RVC ExDa'!$C$2:$R$155, 8,FALSE), IFERROR(VLOOKUP($A378,'Fusion ExDa'!$B$2:$D$16, 4,FALSE), IFERROR(VLOOKUP($A378,'Exetel ExDa'!$C$2:$N$14, 5,FALSE), IFERROR(VLOOKUP($A378,'Infinet ExDa'!$B$2:$E$14, 3,FALSE), "Not Found"))))))))</f>
        <v>Not Found</v>
      </c>
      <c r="F378" t="str">
        <f>IFERROR(VLOOKUP($A378,'AAPT ExDa'!$B$2:$U$99, 4,FALSE), IFERROR(VLOOKUP($A378,'ABB ExDa'!$A$2:$N$184, 6,FALSE), IFERROR(VLOOKUP($A378,'Vocus SIT ExDa'!$B$2:$J$173, 3,FALSE), IFERROR(VLOOKUP($A378,'Telstra ExDa'!$B$2:$K$310, 5,FALSE), IFERROR(VLOOKUP($A378,'Vocus RVC ExDa'!$C$2:$R$155, 9,FALSE), IFERROR(VLOOKUP($A378,'Fusion ExDa'!$B$2:$D$16, 0,FALSE), IFERROR(VLOOKUP($A378,'Exetel ExDa'!$C$2:$N$14, 6,FALSE), IFERROR(VLOOKUP($A378,'Infinet ExDa'!$B$2:$E$14, 0,FALSE), "Not Found"))))))))</f>
        <v>Not Found</v>
      </c>
      <c r="G378" t="str">
        <f>IFERROR(VLOOKUP($A378,'AAPT ExDa'!$B$2:$U$99, 5,FALSE), IFERROR(VLOOKUP($A378,'ABB ExDa'!$A$2:$N$184, 8,FALSE), IFERROR(VLOOKUP($A378,'Vocus SIT ExDa'!$B$2:$J$173, 6,FALSE), IFERROR(VLOOKUP($A378,'Telstra ExDa'!$B$2:$K$310, 0,FALSE), IFERROR(VLOOKUP($A378,'Vocus RVC ExDa'!$C$2:$R$155, 15,FALSE), IFERROR(VLOOKUP($A378,'Fusion ExDa'!$B$2:$D$16, 0,FALSE), IFERROR(VLOOKUP($A378,'Exetel ExDa'!$C$2:$N$14, 7,FALSE), IFERROR(VLOOKUP($A378,'Infinet ExDa'!$B$2:$E$14, 0,FALSE), "Not Found"))))))))</f>
        <v>Not Found</v>
      </c>
      <c r="H378" t="str">
        <f>IFERROR(VLOOKUP($A378,'AAPT ExDa'!$B$2:$U$99, 6,FALSE), IFERROR(VLOOKUP($A378,'ABB ExDa'!$A$2:$N$184, 0,FALSE), IFERROR(VLOOKUP($A378,'Vocus SIT ExDa'!$B$2:$J$173, 0,FALSE), IFERROR(VLOOKUP($A378,'Telstra ExDa'!$B$2:$K$310, 0,FALSE), IFERROR(VLOOKUP($A378,'Vocus RVC ExDa'!$C$2:$R$155, 16,FALSE), IFERROR(VLOOKUP($A378,'Fusion ExDa'!$B$2:$D$16, 0,FALSE), IFERROR(VLOOKUP($A378,'Exetel ExDa'!$C$2:$N$14, 0,FALSE), IFERROR(VLOOKUP($A378,'Infinet ExDa'!$B$2:$E$14, 0,FALSE), "Not Found"))))))))</f>
        <v>Not Found</v>
      </c>
      <c r="I378" t="str">
        <f>IFERROR(VLOOKUP($A378,'AAPT ExDa'!$B$2:$U$99, 0,FALSE), IFERROR(VLOOKUP($A378,'ABB ExDa'!$A$2:$N$184, 0,FALSE), IFERROR(VLOOKUP($A378,'Vocus SIT ExDa'!$B$2:$J$173, 0,FALSE), IFERROR(VLOOKUP($A378,'Telstra ExDa'!$B$2:$K$310, 0,FALSE), IFERROR(VLOOKUP($A378,'Vocus RVC ExDa'!$C$2:$R$155, 0,FALSE), IFERROR(VLOOKUP($A378,'Fusion ExDa'!$B$2:$D$16, 0,FALSE), IFERROR(VLOOKUP($A378,'Exetel ExDa'!$C$2:$N$14, 8,FALSE), IFERROR(VLOOKUP($A378,'Infinet ExDa'!$B$2:$E$14, 0,FALSE), "Not Found"))))))))</f>
        <v>Not Found</v>
      </c>
      <c r="J378" t="str">
        <f>IFERROR(VLOOKUP($A378,'AAPT ExDa'!$B$2:$U$99, 7,FALSE), IFERROR(VLOOKUP($A378,'ABB ExDa'!$A$2:$N$184, 2,FALSE), IFERROR(VLOOKUP($A378,'Vocus SIT ExDa'!$B$2:$J$173, 0,FALSE), IFERROR(VLOOKUP($A378,'Telstra ExDa'!$B$2:$K$310, 7,FALSE), IFERROR(VLOOKUP($A378,'Vocus RVC ExDa'!$C$2:$R$155, 2,FALSE), IFERROR(VLOOKUP($A378,'Fusion ExDa'!$B$2:$D$16, 3,FALSE), IFERROR(VLOOKUP($A378,'Exetel ExDa'!$C$2:$N$14, 0,FALSE), IFERROR(VLOOKUP($A378,'Infinet ExDa'!$B$2:$E$14, 0,FALSE), "Not Found"))))))))</f>
        <v>Not Found</v>
      </c>
      <c r="K378" t="str">
        <f>IFERROR(VLOOKUP($A378,'AAPT ExDa'!$B$2:$U$99, 12,FALSE), IFERROR(VLOOKUP($A378,'ABB ExDa'!$A$2:$N$184, 0,FALSE), IFERROR(VLOOKUP($A378,'Vocus SIT ExDa'!$B$2:$J$173, 0,FALSE), IFERROR(VLOOKUP($A378,'Telstra ExDa'!$B$2:$K$310, 0,FALSE), IFERROR(VLOOKUP($A378,'Vocus RVC ExDa'!$C$2:$R$155, 0,FALSE), IFERROR(VLOOKUP($A378,'Fusion ExDa'!$B$2:$D$16, 0,FALSE), IFERROR(VLOOKUP($A378,'Exetel ExDa'!$C$2:$N$14, 12,FALSE), IFERROR(VLOOKUP($A378,'Infinet ExDa'!$B$2:$E$14, 0,FALSE), "Not Found"))))))))</f>
        <v>Not Found</v>
      </c>
      <c r="L378" s="235" t="str">
        <f>IFERROR(VLOOKUP($A378,'AAPT ExDa'!$B$2:$U$99, 11,FALSE), IFERROR(VLOOKUP($A378,'ABB ExDa'!$A$2:$N$184, 9,FALSE), IFERROR(VLOOKUP($A378,'Vocus SIT ExDa'!$B$2:$J$173, 8,FALSE), IFERROR(VLOOKUP($A378,'Telstra ExDa'!$B$2:$K$310, 0,FALSE), IFERROR(VLOOKUP($A378,'Vocus RVC ExDa'!$C$2:$R$155, 0,FALSE), IFERROR(VLOOKUP($A378,'Fusion ExDa'!$B$2:$D$16, 0,FALSE), IFERROR(VLOOKUP($A378,'Exetel ExDa'!$C$2:$N$14, 9,FALSE), IFERROR(VLOOKUP($A378,'Infinet ExDa'!$B$2:$E$14, 0,FALSE), "Not Found"))))))))</f>
        <v>Not Found</v>
      </c>
      <c r="M378" s="234" t="str">
        <f>IFERROR(VLOOKUP($A378,'AAPT ExDa'!$B$2:$U$99, 0,FALSE), IFERROR(VLOOKUP($A378,'ABB ExDa'!$A$2:$N$184, 0,FALSE), IFERROR(VLOOKUP($A378,'Vocus SIT ExDa'!$B$2:$J$173, 0,FALSE), IFERROR(VLOOKUP($A378,'Telstra ExDa'!$B$2:$K$310, 0,FALSE), IFERROR(VLOOKUP($A378,'Vocus RVC ExDa'!$C$2:$R$155, 0,FALSE), IFERROR(VLOOKUP($A378,'Fusion ExDa'!$B$2:$D$16, 0,FALSE), IFERROR(VLOOKUP($A378,'Exetel ExDa'!$C$2:$N$14, 11,FALSE), IFERROR(VLOOKUP($A378,'Infinet ExDa'!$B$2:$E$14, 0,FALSE), "Not Found"))))))))</f>
        <v>Not Found</v>
      </c>
      <c r="N378" t="str">
        <f>IFERROR(VLOOKUP($A378,'AAPT ExDa'!$B$2:$U$99, 0,FALSE), IFERROR(VLOOKUP($A378,'ABB ExDa'!$A$2:$N$184, 13,FALSE), IFERROR(VLOOKUP($A378,'Vocus SIT ExDa'!$B$2:$J$173, 0,FALSE), IFERROR(VLOOKUP($A378,'Telstra ExDa'!$B$2:$K$310, 0,FALSE), IFERROR(VLOOKUP($A378,'Vocus RVC ExDa'!$C$2:$R$155, 0,FALSE), IFERROR(VLOOKUP($A378,'Fusion ExDa'!$B$2:$D$16, 0,FALSE), IFERROR(VLOOKUP($A378,'Exetel ExDa'!$C$2:$N$14, 0,FALSE), IFERROR(VLOOKUP($A378,'Infinet ExDa'!$B$2:$E$14, 0,FALSE), "Not Found"))))))))</f>
        <v>Not Found</v>
      </c>
    </row>
    <row r="379" spans="1:14">
      <c r="A379" t="str">
        <v>Turrisi Property</v>
      </c>
      <c r="B379" t="str">
        <f>IFERROR(VLOOKUP(A379,'Exetel ExDa'!$C$2:$N$14,4,FALSE),"No Data")</f>
        <v>No Data</v>
      </c>
      <c r="C379">
        <f>IFERROR(VLOOKUP(A379,'AAPT ExDa'!$B$2:$U$99, 2,FALSE), IFERROR(VLOOKUP(A379,'ABB ExDa'!$A$2:$N$184, 2,FALSE), IFERROR(VLOOKUP(A379,'Vocus SIT ExDa'!$B$2:$J$173, 7,FALSE), IFERROR(VLOOKUP(A379,'Telstra ExDa'!$B$2:$K$310, 2,FALSE), IFERROR(VLOOKUP(A379,'Vocus RVC ExDa'!$C$2:$R$155, 3,FALSE), IFERROR(VLOOKUP(A379,'Fusion ExDa'!$B$2:$D$16, 2,FALSE), IFERROR(VLOOKUP(A379,'Exetel ExDa'!$C$2:$N$14, 2,FALSE), IFERROR(VLOOKUP(A379,'Infinet ExDa'!$B$2:$E$14, 2,FALSE), "Not Found"))))))))</f>
        <v>0</v>
      </c>
      <c r="D379" t="str">
        <f>IFERROR(VLOOKUP($A379,'AAPT ExDa'!$B$2:$U$99, 15,FALSE), IFERROR(VLOOKUP($A379,'ABB ExDa'!$A$2:$N$184, 4,FALSE), IFERROR(VLOOKUP($A379,'Vocus SIT ExDa'!$B$2:$J$173, 5,FALSE), IFERROR(VLOOKUP($A379,'Telstra ExDa'!$B$2:$K$310, 8,FALSE), IFERROR(VLOOKUP($A379,'Vocus RVC ExDa'!$C$2:$R$155, 6,FALSE), IFERROR(VLOOKUP($A379,'Fusion ExDa'!$B$2:$D$16, 4,FALSE), IFERROR(VLOOKUP($A379,'Exetel ExDa'!$C$2:$N$14, 3,FALSE), IFERROR(VLOOKUP($A379,'Infinet ExDa'!$B$2:$E$14, 3,FALSE), "Not Found"))))))))</f>
        <v>Vocus SIT</v>
      </c>
      <c r="E379" t="str">
        <f>IFERROR(VLOOKUP($A379,'AAPT ExDa'!$B$2:$U$99, 3,FALSE), IFERROR(VLOOKUP($A379,'ABB ExDa'!$A$2:$N$184, 5,FALSE), IFERROR(VLOOKUP($A379,'Vocus SIT ExDa'!$B$2:$J$173, 2,FALSE), IFERROR(VLOOKUP($A379,'Telstra ExDa'!$B$2:$K$310, 4,FALSE), IFERROR(VLOOKUP($A379,'Vocus RVC ExDa'!$C$2:$R$155, 8,FALSE), IFERROR(VLOOKUP($A379,'Fusion ExDa'!$B$2:$D$16, 4,FALSE), IFERROR(VLOOKUP($A379,'Exetel ExDa'!$C$2:$N$14, 5,FALSE), IFERROR(VLOOKUP($A379,'Infinet ExDa'!$B$2:$E$14, 3,FALSE), "Not Found"))))))))</f>
        <v>Voice Service</v>
      </c>
      <c r="F379" t="str">
        <f>IFERROR(VLOOKUP($A379,'AAPT ExDa'!$B$2:$U$99, 4,FALSE), IFERROR(VLOOKUP($A379,'ABB ExDa'!$A$2:$N$184, 6,FALSE), IFERROR(VLOOKUP($A379,'Vocus SIT ExDa'!$B$2:$J$173, 3,FALSE), IFERROR(VLOOKUP($A379,'Telstra ExDa'!$B$2:$K$310, 5,FALSE), IFERROR(VLOOKUP($A379,'Vocus RVC ExDa'!$C$2:$R$155, 9,FALSE), IFERROR(VLOOKUP($A379,'Fusion ExDa'!$B$2:$D$16, 0,FALSE), IFERROR(VLOOKUP($A379,'Exetel ExDa'!$C$2:$N$14, 6,FALSE), IFERROR(VLOOKUP($A379,'Infinet ExDa'!$B$2:$E$14, 0,FALSE), "Not Found"))))))))</f>
        <v>0738912461</v>
      </c>
      <c r="G379" t="str">
        <f>IFERROR(VLOOKUP($A379,'AAPT ExDa'!$B$2:$U$99, 5,FALSE), IFERROR(VLOOKUP($A379,'ABB ExDa'!$A$2:$N$184, 8,FALSE), IFERROR(VLOOKUP($A379,'Vocus SIT ExDa'!$B$2:$J$173, 6,FALSE), IFERROR(VLOOKUP($A379,'Telstra ExDa'!$B$2:$K$310, 0,FALSE), IFERROR(VLOOKUP($A379,'Vocus RVC ExDa'!$C$2:$R$155, 15,FALSE), IFERROR(VLOOKUP($A379,'Fusion ExDa'!$B$2:$D$16, 0,FALSE), IFERROR(VLOOKUP($A379,'Exetel ExDa'!$C$2:$N$14, 7,FALSE), IFERROR(VLOOKUP($A379,'Infinet ExDa'!$B$2:$E$14, 0,FALSE), "Not Found"))))))))</f>
        <v>IP Tel Order - Smile Tel - 07/05/2021</v>
      </c>
      <c r="H379" t="str">
        <f>IFERROR(VLOOKUP($A379,'AAPT ExDa'!$B$2:$U$99, 6,FALSE), IFERROR(VLOOKUP($A379,'ABB ExDa'!$A$2:$N$184, 0,FALSE), IFERROR(VLOOKUP($A379,'Vocus SIT ExDa'!$B$2:$J$173, 0,FALSE), IFERROR(VLOOKUP($A379,'Telstra ExDa'!$B$2:$K$310, 0,FALSE), IFERROR(VLOOKUP($A379,'Vocus RVC ExDa'!$C$2:$R$155, 16,FALSE), IFERROR(VLOOKUP($A379,'Fusion ExDa'!$B$2:$D$16, 0,FALSE), IFERROR(VLOOKUP($A379,'Exetel ExDa'!$C$2:$N$14, 0,FALSE), IFERROR(VLOOKUP($A379,'Infinet ExDa'!$B$2:$E$14, 0,FALSE), "Not Found"))))))))</f>
        <v>Not Found</v>
      </c>
      <c r="I379" t="str">
        <f>IFERROR(VLOOKUP($A379,'AAPT ExDa'!$B$2:$U$99, 0,FALSE), IFERROR(VLOOKUP($A379,'ABB ExDa'!$A$2:$N$184, 0,FALSE), IFERROR(VLOOKUP($A379,'Vocus SIT ExDa'!$B$2:$J$173, 0,FALSE), IFERROR(VLOOKUP($A379,'Telstra ExDa'!$B$2:$K$310, 0,FALSE), IFERROR(VLOOKUP($A379,'Vocus RVC ExDa'!$C$2:$R$155, 0,FALSE), IFERROR(VLOOKUP($A379,'Fusion ExDa'!$B$2:$D$16, 0,FALSE), IFERROR(VLOOKUP($A379,'Exetel ExDa'!$C$2:$N$14, 8,FALSE), IFERROR(VLOOKUP($A379,'Infinet ExDa'!$B$2:$E$14, 0,FALSE), "Not Found"))))))))</f>
        <v>Not Found</v>
      </c>
      <c r="J379" t="str">
        <f>IFERROR(VLOOKUP($A379,'AAPT ExDa'!$B$2:$U$99, 7,FALSE), IFERROR(VLOOKUP($A379,'ABB ExDa'!$A$2:$N$184, 2,FALSE), IFERROR(VLOOKUP($A379,'Vocus SIT ExDa'!$B$2:$J$173, 0,FALSE), IFERROR(VLOOKUP($A379,'Telstra ExDa'!$B$2:$K$310, 7,FALSE), IFERROR(VLOOKUP($A379,'Vocus RVC ExDa'!$C$2:$R$155, 2,FALSE), IFERROR(VLOOKUP($A379,'Fusion ExDa'!$B$2:$D$16, 3,FALSE), IFERROR(VLOOKUP($A379,'Exetel ExDa'!$C$2:$N$14, 0,FALSE), IFERROR(VLOOKUP($A379,'Infinet ExDa'!$B$2:$E$14, 0,FALSE), "Not Found"))))))))</f>
        <v>Not Found</v>
      </c>
      <c r="K379" t="str">
        <f>IFERROR(VLOOKUP($A379,'AAPT ExDa'!$B$2:$U$99, 12,FALSE), IFERROR(VLOOKUP($A379,'ABB ExDa'!$A$2:$N$184, 0,FALSE), IFERROR(VLOOKUP($A379,'Vocus SIT ExDa'!$B$2:$J$173, 0,FALSE), IFERROR(VLOOKUP($A379,'Telstra ExDa'!$B$2:$K$310, 0,FALSE), IFERROR(VLOOKUP($A379,'Vocus RVC ExDa'!$C$2:$R$155, 0,FALSE), IFERROR(VLOOKUP($A379,'Fusion ExDa'!$B$2:$D$16, 0,FALSE), IFERROR(VLOOKUP($A379,'Exetel ExDa'!$C$2:$N$14, 12,FALSE), IFERROR(VLOOKUP($A379,'Infinet ExDa'!$B$2:$E$14, 0,FALSE), "Not Found"))))))))</f>
        <v>Not Found</v>
      </c>
      <c r="L379" s="235">
        <f>IFERROR(VLOOKUP($A379,'AAPT ExDa'!$B$2:$U$99, 11,FALSE), IFERROR(VLOOKUP($A379,'ABB ExDa'!$A$2:$N$184, 9,FALSE), IFERROR(VLOOKUP($A379,'Vocus SIT ExDa'!$B$2:$J$173, 8,FALSE), IFERROR(VLOOKUP($A379,'Telstra ExDa'!$B$2:$K$310, 0,FALSE), IFERROR(VLOOKUP($A379,'Vocus RVC ExDa'!$C$2:$R$155, 0,FALSE), IFERROR(VLOOKUP($A379,'Fusion ExDa'!$B$2:$D$16, 0,FALSE), IFERROR(VLOOKUP($A379,'Exetel ExDa'!$C$2:$N$14, 9,FALSE), IFERROR(VLOOKUP($A379,'Infinet ExDa'!$B$2:$E$14, 0,FALSE), "Not Found"))))))))</f>
        <v>44261</v>
      </c>
      <c r="M379" s="234" t="str">
        <f>IFERROR(VLOOKUP($A379,'AAPT ExDa'!$B$2:$U$99, 0,FALSE), IFERROR(VLOOKUP($A379,'ABB ExDa'!$A$2:$N$184, 0,FALSE), IFERROR(VLOOKUP($A379,'Vocus SIT ExDa'!$B$2:$J$173, 0,FALSE), IFERROR(VLOOKUP($A379,'Telstra ExDa'!$B$2:$K$310, 0,FALSE), IFERROR(VLOOKUP($A379,'Vocus RVC ExDa'!$C$2:$R$155, 0,FALSE), IFERROR(VLOOKUP($A379,'Fusion ExDa'!$B$2:$D$16, 0,FALSE), IFERROR(VLOOKUP($A379,'Exetel ExDa'!$C$2:$N$14, 11,FALSE), IFERROR(VLOOKUP($A379,'Infinet ExDa'!$B$2:$E$14, 0,FALSE), "Not Found"))))))))</f>
        <v>Not Found</v>
      </c>
      <c r="N379" t="str">
        <f>IFERROR(VLOOKUP($A379,'AAPT ExDa'!$B$2:$U$99, 0,FALSE), IFERROR(VLOOKUP($A379,'ABB ExDa'!$A$2:$N$184, 13,FALSE), IFERROR(VLOOKUP($A379,'Vocus SIT ExDa'!$B$2:$J$173, 0,FALSE), IFERROR(VLOOKUP($A379,'Telstra ExDa'!$B$2:$K$310, 0,FALSE), IFERROR(VLOOKUP($A379,'Vocus RVC ExDa'!$C$2:$R$155, 0,FALSE), IFERROR(VLOOKUP($A379,'Fusion ExDa'!$B$2:$D$16, 0,FALSE), IFERROR(VLOOKUP($A379,'Exetel ExDa'!$C$2:$N$14, 0,FALSE), IFERROR(VLOOKUP($A379,'Infinet ExDa'!$B$2:$E$14, 0,FALSE), "Not Found"))))))))</f>
        <v>Not Found</v>
      </c>
    </row>
    <row r="380" spans="1:14">
      <c r="A380" t="str">
        <v>Young Guns Container Crew</v>
      </c>
      <c r="B380" t="str">
        <f>IFERROR(VLOOKUP(A380,'Exetel ExDa'!$C$2:$N$14,4,FALSE),"No Data")</f>
        <v>No Data</v>
      </c>
      <c r="C380">
        <f>IFERROR(VLOOKUP(A380,'AAPT ExDa'!$B$2:$U$99, 2,FALSE), IFERROR(VLOOKUP(A380,'ABB ExDa'!$A$2:$N$184, 2,FALSE), IFERROR(VLOOKUP(A380,'Vocus SIT ExDa'!$B$2:$J$173, 7,FALSE), IFERROR(VLOOKUP(A380,'Telstra ExDa'!$B$2:$K$310, 2,FALSE), IFERROR(VLOOKUP(A380,'Vocus RVC ExDa'!$C$2:$R$155, 3,FALSE), IFERROR(VLOOKUP(A380,'Fusion ExDa'!$B$2:$D$16, 2,FALSE), IFERROR(VLOOKUP(A380,'Exetel ExDa'!$C$2:$N$14, 2,FALSE), IFERROR(VLOOKUP(A380,'Infinet ExDa'!$B$2:$E$14, 2,FALSE), "Not Found"))))))))</f>
        <v>0</v>
      </c>
      <c r="D380" t="str">
        <f>IFERROR(VLOOKUP($A380,'AAPT ExDa'!$B$2:$U$99, 15,FALSE), IFERROR(VLOOKUP($A380,'ABB ExDa'!$A$2:$N$184, 4,FALSE), IFERROR(VLOOKUP($A380,'Vocus SIT ExDa'!$B$2:$J$173, 5,FALSE), IFERROR(VLOOKUP($A380,'Telstra ExDa'!$B$2:$K$310, 8,FALSE), IFERROR(VLOOKUP($A380,'Vocus RVC ExDa'!$C$2:$R$155, 6,FALSE), IFERROR(VLOOKUP($A380,'Fusion ExDa'!$B$2:$D$16, 4,FALSE), IFERROR(VLOOKUP($A380,'Exetel ExDa'!$C$2:$N$14, 3,FALSE), IFERROR(VLOOKUP($A380,'Infinet ExDa'!$B$2:$E$14, 3,FALSE), "Not Found"))))))))</f>
        <v>Vocus SIT</v>
      </c>
      <c r="E380" t="str">
        <f>IFERROR(VLOOKUP($A380,'AAPT ExDa'!$B$2:$U$99, 3,FALSE), IFERROR(VLOOKUP($A380,'ABB ExDa'!$A$2:$N$184, 5,FALSE), IFERROR(VLOOKUP($A380,'Vocus SIT ExDa'!$B$2:$J$173, 2,FALSE), IFERROR(VLOOKUP($A380,'Telstra ExDa'!$B$2:$K$310, 4,FALSE), IFERROR(VLOOKUP($A380,'Vocus RVC ExDa'!$C$2:$R$155, 8,FALSE), IFERROR(VLOOKUP($A380,'Fusion ExDa'!$B$2:$D$16, 4,FALSE), IFERROR(VLOOKUP($A380,'Exetel ExDa'!$C$2:$N$14, 5,FALSE), IFERROR(VLOOKUP($A380,'Infinet ExDa'!$B$2:$E$14, 3,FALSE), "Not Found"))))))))</f>
        <v>Voice Service</v>
      </c>
      <c r="F380" t="str">
        <f>IFERROR(VLOOKUP($A380,'AAPT ExDa'!$B$2:$U$99, 4,FALSE), IFERROR(VLOOKUP($A380,'ABB ExDa'!$A$2:$N$184, 6,FALSE), IFERROR(VLOOKUP($A380,'Vocus SIT ExDa'!$B$2:$J$173, 3,FALSE), IFERROR(VLOOKUP($A380,'Telstra ExDa'!$B$2:$K$310, 5,FALSE), IFERROR(VLOOKUP($A380,'Vocus RVC ExDa'!$C$2:$R$155, 9,FALSE), IFERROR(VLOOKUP($A380,'Fusion ExDa'!$B$2:$D$16, 0,FALSE), IFERROR(VLOOKUP($A380,'Exetel ExDa'!$C$2:$N$14, 6,FALSE), IFERROR(VLOOKUP($A380,'Infinet ExDa'!$B$2:$E$14, 0,FALSE), "Not Found"))))))))</f>
        <v>0733932610</v>
      </c>
      <c r="G380" t="str">
        <f>IFERROR(VLOOKUP($A380,'AAPT ExDa'!$B$2:$U$99, 5,FALSE), IFERROR(VLOOKUP($A380,'ABB ExDa'!$A$2:$N$184, 8,FALSE), IFERROR(VLOOKUP($A380,'Vocus SIT ExDa'!$B$2:$J$173, 6,FALSE), IFERROR(VLOOKUP($A380,'Telstra ExDa'!$B$2:$K$310, 0,FALSE), IFERROR(VLOOKUP($A380,'Vocus RVC ExDa'!$C$2:$R$155, 15,FALSE), IFERROR(VLOOKUP($A380,'Fusion ExDa'!$B$2:$D$16, 0,FALSE), IFERROR(VLOOKUP($A380,'Exetel ExDa'!$C$2:$N$14, 7,FALSE), IFERROR(VLOOKUP($A380,'Infinet ExDa'!$B$2:$E$14, 0,FALSE), "Not Found"))))))))</f>
        <v>IP Tel Order - Smile Tel - 06/05/2021</v>
      </c>
      <c r="H380" t="str">
        <f>IFERROR(VLOOKUP($A380,'AAPT ExDa'!$B$2:$U$99, 6,FALSE), IFERROR(VLOOKUP($A380,'ABB ExDa'!$A$2:$N$184, 0,FALSE), IFERROR(VLOOKUP($A380,'Vocus SIT ExDa'!$B$2:$J$173, 0,FALSE), IFERROR(VLOOKUP($A380,'Telstra ExDa'!$B$2:$K$310, 0,FALSE), IFERROR(VLOOKUP($A380,'Vocus RVC ExDa'!$C$2:$R$155, 16,FALSE), IFERROR(VLOOKUP($A380,'Fusion ExDa'!$B$2:$D$16, 0,FALSE), IFERROR(VLOOKUP($A380,'Exetel ExDa'!$C$2:$N$14, 0,FALSE), IFERROR(VLOOKUP($A380,'Infinet ExDa'!$B$2:$E$14, 0,FALSE), "Not Found"))))))))</f>
        <v>Not Found</v>
      </c>
      <c r="I380" t="str">
        <f>IFERROR(VLOOKUP($A380,'AAPT ExDa'!$B$2:$U$99, 0,FALSE), IFERROR(VLOOKUP($A380,'ABB ExDa'!$A$2:$N$184, 0,FALSE), IFERROR(VLOOKUP($A380,'Vocus SIT ExDa'!$B$2:$J$173, 0,FALSE), IFERROR(VLOOKUP($A380,'Telstra ExDa'!$B$2:$K$310, 0,FALSE), IFERROR(VLOOKUP($A380,'Vocus RVC ExDa'!$C$2:$R$155, 0,FALSE), IFERROR(VLOOKUP($A380,'Fusion ExDa'!$B$2:$D$16, 0,FALSE), IFERROR(VLOOKUP($A380,'Exetel ExDa'!$C$2:$N$14, 8,FALSE), IFERROR(VLOOKUP($A380,'Infinet ExDa'!$B$2:$E$14, 0,FALSE), "Not Found"))))))))</f>
        <v>Not Found</v>
      </c>
      <c r="J380" t="str">
        <f>IFERROR(VLOOKUP($A380,'AAPT ExDa'!$B$2:$U$99, 7,FALSE), IFERROR(VLOOKUP($A380,'ABB ExDa'!$A$2:$N$184, 2,FALSE), IFERROR(VLOOKUP($A380,'Vocus SIT ExDa'!$B$2:$J$173, 0,FALSE), IFERROR(VLOOKUP($A380,'Telstra ExDa'!$B$2:$K$310, 7,FALSE), IFERROR(VLOOKUP($A380,'Vocus RVC ExDa'!$C$2:$R$155, 2,FALSE), IFERROR(VLOOKUP($A380,'Fusion ExDa'!$B$2:$D$16, 3,FALSE), IFERROR(VLOOKUP($A380,'Exetel ExDa'!$C$2:$N$14, 0,FALSE), IFERROR(VLOOKUP($A380,'Infinet ExDa'!$B$2:$E$14, 0,FALSE), "Not Found"))))))))</f>
        <v>Not Found</v>
      </c>
      <c r="K380" t="str">
        <f>IFERROR(VLOOKUP($A380,'AAPT ExDa'!$B$2:$U$99, 12,FALSE), IFERROR(VLOOKUP($A380,'ABB ExDa'!$A$2:$N$184, 0,FALSE), IFERROR(VLOOKUP($A380,'Vocus SIT ExDa'!$B$2:$J$173, 0,FALSE), IFERROR(VLOOKUP($A380,'Telstra ExDa'!$B$2:$K$310, 0,FALSE), IFERROR(VLOOKUP($A380,'Vocus RVC ExDa'!$C$2:$R$155, 0,FALSE), IFERROR(VLOOKUP($A380,'Fusion ExDa'!$B$2:$D$16, 0,FALSE), IFERROR(VLOOKUP($A380,'Exetel ExDa'!$C$2:$N$14, 12,FALSE), IFERROR(VLOOKUP($A380,'Infinet ExDa'!$B$2:$E$14, 0,FALSE), "Not Found"))))))))</f>
        <v>Not Found</v>
      </c>
      <c r="L380" s="235" t="str">
        <f>IFERROR(VLOOKUP($A380,'AAPT ExDa'!$B$2:$U$99, 11,FALSE), IFERROR(VLOOKUP($A380,'ABB ExDa'!$A$2:$N$184, 9,FALSE), IFERROR(VLOOKUP($A380,'Vocus SIT ExDa'!$B$2:$J$173, 8,FALSE), IFERROR(VLOOKUP($A380,'Telstra ExDa'!$B$2:$K$310, 0,FALSE), IFERROR(VLOOKUP($A380,'Vocus RVC ExDa'!$C$2:$R$155, 0,FALSE), IFERROR(VLOOKUP($A380,'Fusion ExDa'!$B$2:$D$16, 0,FALSE), IFERROR(VLOOKUP($A380,'Exetel ExDa'!$C$2:$N$14, 9,FALSE), IFERROR(VLOOKUP($A380,'Infinet ExDa'!$B$2:$E$14, 0,FALSE), "Not Found"))))))))</f>
        <v>21/05/2021</v>
      </c>
      <c r="M380" s="234" t="str">
        <f>IFERROR(VLOOKUP($A380,'AAPT ExDa'!$B$2:$U$99, 0,FALSE), IFERROR(VLOOKUP($A380,'ABB ExDa'!$A$2:$N$184, 0,FALSE), IFERROR(VLOOKUP($A380,'Vocus SIT ExDa'!$B$2:$J$173, 0,FALSE), IFERROR(VLOOKUP($A380,'Telstra ExDa'!$B$2:$K$310, 0,FALSE), IFERROR(VLOOKUP($A380,'Vocus RVC ExDa'!$C$2:$R$155, 0,FALSE), IFERROR(VLOOKUP($A380,'Fusion ExDa'!$B$2:$D$16, 0,FALSE), IFERROR(VLOOKUP($A380,'Exetel ExDa'!$C$2:$N$14, 11,FALSE), IFERROR(VLOOKUP($A380,'Infinet ExDa'!$B$2:$E$14, 0,FALSE), "Not Found"))))))))</f>
        <v>Not Found</v>
      </c>
      <c r="N380" t="str">
        <f>IFERROR(VLOOKUP($A380,'AAPT ExDa'!$B$2:$U$99, 0,FALSE), IFERROR(VLOOKUP($A380,'ABB ExDa'!$A$2:$N$184, 13,FALSE), IFERROR(VLOOKUP($A380,'Vocus SIT ExDa'!$B$2:$J$173, 0,FALSE), IFERROR(VLOOKUP($A380,'Telstra ExDa'!$B$2:$K$310, 0,FALSE), IFERROR(VLOOKUP($A380,'Vocus RVC ExDa'!$C$2:$R$155, 0,FALSE), IFERROR(VLOOKUP($A380,'Fusion ExDa'!$B$2:$D$16, 0,FALSE), IFERROR(VLOOKUP($A380,'Exetel ExDa'!$C$2:$N$14, 0,FALSE), IFERROR(VLOOKUP($A380,'Infinet ExDa'!$B$2:$E$14, 0,FALSE), "Not Found"))))))))</f>
        <v>Not Found</v>
      </c>
    </row>
    <row r="381" spans="1:14">
      <c r="A381">
        <v>0</v>
      </c>
      <c r="B381" t="str">
        <f>IFERROR(VLOOKUP(A381,'Exetel ExDa'!$C$2:$N$14,4,FALSE),"No Data")</f>
        <v>No Data</v>
      </c>
      <c r="C381" t="str">
        <f>IFERROR(VLOOKUP(A381,'AAPT ExDa'!$B$2:$U$99, 2,FALSE), IFERROR(VLOOKUP(A381,'ABB ExDa'!$A$2:$N$184, 2,FALSE), IFERROR(VLOOKUP(A381,'Vocus SIT ExDa'!$B$2:$J$173, 7,FALSE), IFERROR(VLOOKUP(A381,'Telstra ExDa'!$B$2:$K$310, 2,FALSE), IFERROR(VLOOKUP(A381,'Vocus RVC ExDa'!$C$2:$R$155, 3,FALSE), IFERROR(VLOOKUP(A381,'Fusion ExDa'!$B$2:$D$16, 2,FALSE), IFERROR(VLOOKUP(A381,'Exetel ExDa'!$C$2:$N$14, 2,FALSE), IFERROR(VLOOKUP(A381,'Infinet ExDa'!$B$2:$E$14, 2,FALSE), "Not Found"))))))))</f>
        <v>Not Found</v>
      </c>
      <c r="D381" t="str">
        <f>IFERROR(VLOOKUP($A381,'AAPT ExDa'!$B$2:$U$99, 15,FALSE), IFERROR(VLOOKUP($A381,'ABB ExDa'!$A$2:$N$184, 4,FALSE), IFERROR(VLOOKUP($A381,'Vocus SIT ExDa'!$B$2:$J$173, 5,FALSE), IFERROR(VLOOKUP($A381,'Telstra ExDa'!$B$2:$K$310, 8,FALSE), IFERROR(VLOOKUP($A381,'Vocus RVC ExDa'!$C$2:$R$155, 6,FALSE), IFERROR(VLOOKUP($A381,'Fusion ExDa'!$B$2:$D$16, 4,FALSE), IFERROR(VLOOKUP($A381,'Exetel ExDa'!$C$2:$N$14, 3,FALSE), IFERROR(VLOOKUP($A381,'Infinet ExDa'!$B$2:$E$14, 3,FALSE), "Not Found"))))))))</f>
        <v>Not Found</v>
      </c>
      <c r="E381" t="str">
        <f>IFERROR(VLOOKUP($A381,'AAPT ExDa'!$B$2:$U$99, 3,FALSE), IFERROR(VLOOKUP($A381,'ABB ExDa'!$A$2:$N$184, 5,FALSE), IFERROR(VLOOKUP($A381,'Vocus SIT ExDa'!$B$2:$J$173, 2,FALSE), IFERROR(VLOOKUP($A381,'Telstra ExDa'!$B$2:$K$310, 4,FALSE), IFERROR(VLOOKUP($A381,'Vocus RVC ExDa'!$C$2:$R$155, 8,FALSE), IFERROR(VLOOKUP($A381,'Fusion ExDa'!$B$2:$D$16, 4,FALSE), IFERROR(VLOOKUP($A381,'Exetel ExDa'!$C$2:$N$14, 5,FALSE), IFERROR(VLOOKUP($A381,'Infinet ExDa'!$B$2:$E$14, 3,FALSE), "Not Found"))))))))</f>
        <v>Not Found</v>
      </c>
      <c r="F381" t="str">
        <f>IFERROR(VLOOKUP($A381,'AAPT ExDa'!$B$2:$U$99, 4,FALSE), IFERROR(VLOOKUP($A381,'ABB ExDa'!$A$2:$N$184, 6,FALSE), IFERROR(VLOOKUP($A381,'Vocus SIT ExDa'!$B$2:$J$173, 3,FALSE), IFERROR(VLOOKUP($A381,'Telstra ExDa'!$B$2:$K$310, 5,FALSE), IFERROR(VLOOKUP($A381,'Vocus RVC ExDa'!$C$2:$R$155, 9,FALSE), IFERROR(VLOOKUP($A381,'Fusion ExDa'!$B$2:$D$16, 0,FALSE), IFERROR(VLOOKUP($A381,'Exetel ExDa'!$C$2:$N$14, 6,FALSE), IFERROR(VLOOKUP($A381,'Infinet ExDa'!$B$2:$E$14, 0,FALSE), "Not Found"))))))))</f>
        <v>Not Found</v>
      </c>
      <c r="G381" t="str">
        <f>IFERROR(VLOOKUP($A381,'AAPT ExDa'!$B$2:$U$99, 5,FALSE), IFERROR(VLOOKUP($A381,'ABB ExDa'!$A$2:$N$184, 8,FALSE), IFERROR(VLOOKUP($A381,'Vocus SIT ExDa'!$B$2:$J$173, 6,FALSE), IFERROR(VLOOKUP($A381,'Telstra ExDa'!$B$2:$K$310, 0,FALSE), IFERROR(VLOOKUP($A381,'Vocus RVC ExDa'!$C$2:$R$155, 15,FALSE), IFERROR(VLOOKUP($A381,'Fusion ExDa'!$B$2:$D$16, 0,FALSE), IFERROR(VLOOKUP($A381,'Exetel ExDa'!$C$2:$N$14, 7,FALSE), IFERROR(VLOOKUP($A381,'Infinet ExDa'!$B$2:$E$14, 0,FALSE), "Not Found"))))))))</f>
        <v>Not Found</v>
      </c>
      <c r="H381" t="str">
        <f>IFERROR(VLOOKUP($A381,'AAPT ExDa'!$B$2:$U$99, 6,FALSE), IFERROR(VLOOKUP($A381,'ABB ExDa'!$A$2:$N$184, 0,FALSE), IFERROR(VLOOKUP($A381,'Vocus SIT ExDa'!$B$2:$J$173, 0,FALSE), IFERROR(VLOOKUP($A381,'Telstra ExDa'!$B$2:$K$310, 0,FALSE), IFERROR(VLOOKUP($A381,'Vocus RVC ExDa'!$C$2:$R$155, 16,FALSE), IFERROR(VLOOKUP($A381,'Fusion ExDa'!$B$2:$D$16, 0,FALSE), IFERROR(VLOOKUP($A381,'Exetel ExDa'!$C$2:$N$14, 0,FALSE), IFERROR(VLOOKUP($A381,'Infinet ExDa'!$B$2:$E$14, 0,FALSE), "Not Found"))))))))</f>
        <v>Not Found</v>
      </c>
      <c r="I381" t="str">
        <f>IFERROR(VLOOKUP($A381,'AAPT ExDa'!$B$2:$U$99, 0,FALSE), IFERROR(VLOOKUP($A381,'ABB ExDa'!$A$2:$N$184, 0,FALSE), IFERROR(VLOOKUP($A381,'Vocus SIT ExDa'!$B$2:$J$173, 0,FALSE), IFERROR(VLOOKUP($A381,'Telstra ExDa'!$B$2:$K$310, 0,FALSE), IFERROR(VLOOKUP($A381,'Vocus RVC ExDa'!$C$2:$R$155, 0,FALSE), IFERROR(VLOOKUP($A381,'Fusion ExDa'!$B$2:$D$16, 0,FALSE), IFERROR(VLOOKUP($A381,'Exetel ExDa'!$C$2:$N$14, 8,FALSE), IFERROR(VLOOKUP($A381,'Infinet ExDa'!$B$2:$E$14, 0,FALSE), "Not Found"))))))))</f>
        <v>Not Found</v>
      </c>
      <c r="J381" t="str">
        <f>IFERROR(VLOOKUP($A381,'AAPT ExDa'!$B$2:$U$99, 7,FALSE), IFERROR(VLOOKUP($A381,'ABB ExDa'!$A$2:$N$184, 2,FALSE), IFERROR(VLOOKUP($A381,'Vocus SIT ExDa'!$B$2:$J$173, 0,FALSE), IFERROR(VLOOKUP($A381,'Telstra ExDa'!$B$2:$K$310, 7,FALSE), IFERROR(VLOOKUP($A381,'Vocus RVC ExDa'!$C$2:$R$155, 2,FALSE), IFERROR(VLOOKUP($A381,'Fusion ExDa'!$B$2:$D$16, 3,FALSE), IFERROR(VLOOKUP($A381,'Exetel ExDa'!$C$2:$N$14, 0,FALSE), IFERROR(VLOOKUP($A381,'Infinet ExDa'!$B$2:$E$14, 0,FALSE), "Not Found"))))))))</f>
        <v>Not Found</v>
      </c>
      <c r="K381" t="str">
        <f>IFERROR(VLOOKUP($A381,'AAPT ExDa'!$B$2:$U$99, 12,FALSE), IFERROR(VLOOKUP($A381,'ABB ExDa'!$A$2:$N$184, 0,FALSE), IFERROR(VLOOKUP($A381,'Vocus SIT ExDa'!$B$2:$J$173, 0,FALSE), IFERROR(VLOOKUP($A381,'Telstra ExDa'!$B$2:$K$310, 0,FALSE), IFERROR(VLOOKUP($A381,'Vocus RVC ExDa'!$C$2:$R$155, 0,FALSE), IFERROR(VLOOKUP($A381,'Fusion ExDa'!$B$2:$D$16, 0,FALSE), IFERROR(VLOOKUP($A381,'Exetel ExDa'!$C$2:$N$14, 12,FALSE), IFERROR(VLOOKUP($A381,'Infinet ExDa'!$B$2:$E$14, 0,FALSE), "Not Found"))))))))</f>
        <v>Not Found</v>
      </c>
      <c r="L381" s="235" t="str">
        <f>IFERROR(VLOOKUP($A381,'AAPT ExDa'!$B$2:$U$99, 11,FALSE), IFERROR(VLOOKUP($A381,'ABB ExDa'!$A$2:$N$184, 9,FALSE), IFERROR(VLOOKUP($A381,'Vocus SIT ExDa'!$B$2:$J$173, 8,FALSE), IFERROR(VLOOKUP($A381,'Telstra ExDa'!$B$2:$K$310, 0,FALSE), IFERROR(VLOOKUP($A381,'Vocus RVC ExDa'!$C$2:$R$155, 0,FALSE), IFERROR(VLOOKUP($A381,'Fusion ExDa'!$B$2:$D$16, 0,FALSE), IFERROR(VLOOKUP($A381,'Exetel ExDa'!$C$2:$N$14, 9,FALSE), IFERROR(VLOOKUP($A381,'Infinet ExDa'!$B$2:$E$14, 0,FALSE), "Not Found"))))))))</f>
        <v>Not Found</v>
      </c>
      <c r="M381" s="234" t="str">
        <f>IFERROR(VLOOKUP($A381,'AAPT ExDa'!$B$2:$U$99, 0,FALSE), IFERROR(VLOOKUP($A381,'ABB ExDa'!$A$2:$N$184, 0,FALSE), IFERROR(VLOOKUP($A381,'Vocus SIT ExDa'!$B$2:$J$173, 0,FALSE), IFERROR(VLOOKUP($A381,'Telstra ExDa'!$B$2:$K$310, 0,FALSE), IFERROR(VLOOKUP($A381,'Vocus RVC ExDa'!$C$2:$R$155, 0,FALSE), IFERROR(VLOOKUP($A381,'Fusion ExDa'!$B$2:$D$16, 0,FALSE), IFERROR(VLOOKUP($A381,'Exetel ExDa'!$C$2:$N$14, 11,FALSE), IFERROR(VLOOKUP($A381,'Infinet ExDa'!$B$2:$E$14, 0,FALSE), "Not Found"))))))))</f>
        <v>Not Found</v>
      </c>
      <c r="N381" t="str">
        <f>IFERROR(VLOOKUP($A381,'AAPT ExDa'!$B$2:$U$99, 0,FALSE), IFERROR(VLOOKUP($A381,'ABB ExDa'!$A$2:$N$184, 13,FALSE), IFERROR(VLOOKUP($A381,'Vocus SIT ExDa'!$B$2:$J$173, 0,FALSE), IFERROR(VLOOKUP($A381,'Telstra ExDa'!$B$2:$K$310, 0,FALSE), IFERROR(VLOOKUP($A381,'Vocus RVC ExDa'!$C$2:$R$155, 0,FALSE), IFERROR(VLOOKUP($A381,'Fusion ExDa'!$B$2:$D$16, 0,FALSE), IFERROR(VLOOKUP($A381,'Exetel ExDa'!$C$2:$N$14, 0,FALSE), IFERROR(VLOOKUP($A381,'Infinet ExDa'!$B$2:$E$14, 0,FALSE), "Not Found"))))))))</f>
        <v>Not Found</v>
      </c>
    </row>
    <row r="382" spans="1:14">
      <c r="A382">
        <v>0</v>
      </c>
      <c r="B382" t="str">
        <f>IFERROR(VLOOKUP(A382,'Exetel ExDa'!$C$2:$N$14,4,FALSE),"No Data")</f>
        <v>No Data</v>
      </c>
      <c r="C382" t="str">
        <f>IFERROR(VLOOKUP(A382,'AAPT ExDa'!$B$2:$U$99, 2,FALSE), IFERROR(VLOOKUP(A382,'ABB ExDa'!$A$2:$N$184, 2,FALSE), IFERROR(VLOOKUP(A382,'Vocus SIT ExDa'!$B$2:$J$173, 7,FALSE), IFERROR(VLOOKUP(A382,'Telstra ExDa'!$B$2:$K$310, 2,FALSE), IFERROR(VLOOKUP(A382,'Vocus RVC ExDa'!$C$2:$R$155, 3,FALSE), IFERROR(VLOOKUP(A382,'Fusion ExDa'!$B$2:$D$16, 2,FALSE), IFERROR(VLOOKUP(A382,'Exetel ExDa'!$C$2:$N$14, 2,FALSE), IFERROR(VLOOKUP(A382,'Infinet ExDa'!$B$2:$E$14, 2,FALSE), "Not Found"))))))))</f>
        <v>Not Found</v>
      </c>
      <c r="D382" t="str">
        <f>IFERROR(VLOOKUP($A382,'AAPT ExDa'!$B$2:$U$99, 15,FALSE), IFERROR(VLOOKUP($A382,'ABB ExDa'!$A$2:$N$184, 4,FALSE), IFERROR(VLOOKUP($A382,'Vocus SIT ExDa'!$B$2:$J$173, 5,FALSE), IFERROR(VLOOKUP($A382,'Telstra ExDa'!$B$2:$K$310, 8,FALSE), IFERROR(VLOOKUP($A382,'Vocus RVC ExDa'!$C$2:$R$155, 6,FALSE), IFERROR(VLOOKUP($A382,'Fusion ExDa'!$B$2:$D$16, 4,FALSE), IFERROR(VLOOKUP($A382,'Exetel ExDa'!$C$2:$N$14, 3,FALSE), IFERROR(VLOOKUP($A382,'Infinet ExDa'!$B$2:$E$14, 3,FALSE), "Not Found"))))))))</f>
        <v>Not Found</v>
      </c>
      <c r="E382" t="str">
        <f>IFERROR(VLOOKUP($A382,'AAPT ExDa'!$B$2:$U$99, 3,FALSE), IFERROR(VLOOKUP($A382,'ABB ExDa'!$A$2:$N$184, 5,FALSE), IFERROR(VLOOKUP($A382,'Vocus SIT ExDa'!$B$2:$J$173, 2,FALSE), IFERROR(VLOOKUP($A382,'Telstra ExDa'!$B$2:$K$310, 4,FALSE), IFERROR(VLOOKUP($A382,'Vocus RVC ExDa'!$C$2:$R$155, 8,FALSE), IFERROR(VLOOKUP($A382,'Fusion ExDa'!$B$2:$D$16, 4,FALSE), IFERROR(VLOOKUP($A382,'Exetel ExDa'!$C$2:$N$14, 5,FALSE), IFERROR(VLOOKUP($A382,'Infinet ExDa'!$B$2:$E$14, 3,FALSE), "Not Found"))))))))</f>
        <v>Not Found</v>
      </c>
      <c r="F382" t="str">
        <f>IFERROR(VLOOKUP($A382,'AAPT ExDa'!$B$2:$U$99, 4,FALSE), IFERROR(VLOOKUP($A382,'ABB ExDa'!$A$2:$N$184, 6,FALSE), IFERROR(VLOOKUP($A382,'Vocus SIT ExDa'!$B$2:$J$173, 3,FALSE), IFERROR(VLOOKUP($A382,'Telstra ExDa'!$B$2:$K$310, 5,FALSE), IFERROR(VLOOKUP($A382,'Vocus RVC ExDa'!$C$2:$R$155, 9,FALSE), IFERROR(VLOOKUP($A382,'Fusion ExDa'!$B$2:$D$16, 0,FALSE), IFERROR(VLOOKUP($A382,'Exetel ExDa'!$C$2:$N$14, 6,FALSE), IFERROR(VLOOKUP($A382,'Infinet ExDa'!$B$2:$E$14, 0,FALSE), "Not Found"))))))))</f>
        <v>Not Found</v>
      </c>
      <c r="G382" t="str">
        <f>IFERROR(VLOOKUP($A382,'AAPT ExDa'!$B$2:$U$99, 5,FALSE), IFERROR(VLOOKUP($A382,'ABB ExDa'!$A$2:$N$184, 8,FALSE), IFERROR(VLOOKUP($A382,'Vocus SIT ExDa'!$B$2:$J$173, 6,FALSE), IFERROR(VLOOKUP($A382,'Telstra ExDa'!$B$2:$K$310, 0,FALSE), IFERROR(VLOOKUP($A382,'Vocus RVC ExDa'!$C$2:$R$155, 15,FALSE), IFERROR(VLOOKUP($A382,'Fusion ExDa'!$B$2:$D$16, 0,FALSE), IFERROR(VLOOKUP($A382,'Exetel ExDa'!$C$2:$N$14, 7,FALSE), IFERROR(VLOOKUP($A382,'Infinet ExDa'!$B$2:$E$14, 0,FALSE), "Not Found"))))))))</f>
        <v>Not Found</v>
      </c>
      <c r="H382" t="str">
        <f>IFERROR(VLOOKUP($A382,'AAPT ExDa'!$B$2:$U$99, 6,FALSE), IFERROR(VLOOKUP($A382,'ABB ExDa'!$A$2:$N$184, 0,FALSE), IFERROR(VLOOKUP($A382,'Vocus SIT ExDa'!$B$2:$J$173, 0,FALSE), IFERROR(VLOOKUP($A382,'Telstra ExDa'!$B$2:$K$310, 0,FALSE), IFERROR(VLOOKUP($A382,'Vocus RVC ExDa'!$C$2:$R$155, 16,FALSE), IFERROR(VLOOKUP($A382,'Fusion ExDa'!$B$2:$D$16, 0,FALSE), IFERROR(VLOOKUP($A382,'Exetel ExDa'!$C$2:$N$14, 0,FALSE), IFERROR(VLOOKUP($A382,'Infinet ExDa'!$B$2:$E$14, 0,FALSE), "Not Found"))))))))</f>
        <v>Not Found</v>
      </c>
      <c r="I382" t="str">
        <f>IFERROR(VLOOKUP($A382,'AAPT ExDa'!$B$2:$U$99, 0,FALSE), IFERROR(VLOOKUP($A382,'ABB ExDa'!$A$2:$N$184, 0,FALSE), IFERROR(VLOOKUP($A382,'Vocus SIT ExDa'!$B$2:$J$173, 0,FALSE), IFERROR(VLOOKUP($A382,'Telstra ExDa'!$B$2:$K$310, 0,FALSE), IFERROR(VLOOKUP($A382,'Vocus RVC ExDa'!$C$2:$R$155, 0,FALSE), IFERROR(VLOOKUP($A382,'Fusion ExDa'!$B$2:$D$16, 0,FALSE), IFERROR(VLOOKUP($A382,'Exetel ExDa'!$C$2:$N$14, 8,FALSE), IFERROR(VLOOKUP($A382,'Infinet ExDa'!$B$2:$E$14, 0,FALSE), "Not Found"))))))))</f>
        <v>Not Found</v>
      </c>
      <c r="J382" t="str">
        <f>IFERROR(VLOOKUP($A382,'AAPT ExDa'!$B$2:$U$99, 7,FALSE), IFERROR(VLOOKUP($A382,'ABB ExDa'!$A$2:$N$184, 2,FALSE), IFERROR(VLOOKUP($A382,'Vocus SIT ExDa'!$B$2:$J$173, 0,FALSE), IFERROR(VLOOKUP($A382,'Telstra ExDa'!$B$2:$K$310, 7,FALSE), IFERROR(VLOOKUP($A382,'Vocus RVC ExDa'!$C$2:$R$155, 2,FALSE), IFERROR(VLOOKUP($A382,'Fusion ExDa'!$B$2:$D$16, 3,FALSE), IFERROR(VLOOKUP($A382,'Exetel ExDa'!$C$2:$N$14, 0,FALSE), IFERROR(VLOOKUP($A382,'Infinet ExDa'!$B$2:$E$14, 0,FALSE), "Not Found"))))))))</f>
        <v>Not Found</v>
      </c>
      <c r="K382" t="str">
        <f>IFERROR(VLOOKUP($A382,'AAPT ExDa'!$B$2:$U$99, 12,FALSE), IFERROR(VLOOKUP($A382,'ABB ExDa'!$A$2:$N$184, 0,FALSE), IFERROR(VLOOKUP($A382,'Vocus SIT ExDa'!$B$2:$J$173, 0,FALSE), IFERROR(VLOOKUP($A382,'Telstra ExDa'!$B$2:$K$310, 0,FALSE), IFERROR(VLOOKUP($A382,'Vocus RVC ExDa'!$C$2:$R$155, 0,FALSE), IFERROR(VLOOKUP($A382,'Fusion ExDa'!$B$2:$D$16, 0,FALSE), IFERROR(VLOOKUP($A382,'Exetel ExDa'!$C$2:$N$14, 12,FALSE), IFERROR(VLOOKUP($A382,'Infinet ExDa'!$B$2:$E$14, 0,FALSE), "Not Found"))))))))</f>
        <v>Not Found</v>
      </c>
      <c r="L382" s="235" t="str">
        <f>IFERROR(VLOOKUP($A382,'AAPT ExDa'!$B$2:$U$99, 11,FALSE), IFERROR(VLOOKUP($A382,'ABB ExDa'!$A$2:$N$184, 9,FALSE), IFERROR(VLOOKUP($A382,'Vocus SIT ExDa'!$B$2:$J$173, 8,FALSE), IFERROR(VLOOKUP($A382,'Telstra ExDa'!$B$2:$K$310, 0,FALSE), IFERROR(VLOOKUP($A382,'Vocus RVC ExDa'!$C$2:$R$155, 0,FALSE), IFERROR(VLOOKUP($A382,'Fusion ExDa'!$B$2:$D$16, 0,FALSE), IFERROR(VLOOKUP($A382,'Exetel ExDa'!$C$2:$N$14, 9,FALSE), IFERROR(VLOOKUP($A382,'Infinet ExDa'!$B$2:$E$14, 0,FALSE), "Not Found"))))))))</f>
        <v>Not Found</v>
      </c>
      <c r="M382" s="234" t="str">
        <f>IFERROR(VLOOKUP($A382,'AAPT ExDa'!$B$2:$U$99, 0,FALSE), IFERROR(VLOOKUP($A382,'ABB ExDa'!$A$2:$N$184, 0,FALSE), IFERROR(VLOOKUP($A382,'Vocus SIT ExDa'!$B$2:$J$173, 0,FALSE), IFERROR(VLOOKUP($A382,'Telstra ExDa'!$B$2:$K$310, 0,FALSE), IFERROR(VLOOKUP($A382,'Vocus RVC ExDa'!$C$2:$R$155, 0,FALSE), IFERROR(VLOOKUP($A382,'Fusion ExDa'!$B$2:$D$16, 0,FALSE), IFERROR(VLOOKUP($A382,'Exetel ExDa'!$C$2:$N$14, 11,FALSE), IFERROR(VLOOKUP($A382,'Infinet ExDa'!$B$2:$E$14, 0,FALSE), "Not Found"))))))))</f>
        <v>Not Found</v>
      </c>
      <c r="N382" t="str">
        <f>IFERROR(VLOOKUP($A382,'AAPT ExDa'!$B$2:$U$99, 0,FALSE), IFERROR(VLOOKUP($A382,'ABB ExDa'!$A$2:$N$184, 13,FALSE), IFERROR(VLOOKUP($A382,'Vocus SIT ExDa'!$B$2:$J$173, 0,FALSE), IFERROR(VLOOKUP($A382,'Telstra ExDa'!$B$2:$K$310, 0,FALSE), IFERROR(VLOOKUP($A382,'Vocus RVC ExDa'!$C$2:$R$155, 0,FALSE), IFERROR(VLOOKUP($A382,'Fusion ExDa'!$B$2:$D$16, 0,FALSE), IFERROR(VLOOKUP($A382,'Exetel ExDa'!$C$2:$N$14, 0,FALSE), IFERROR(VLOOKUP($A382,'Infinet ExDa'!$B$2:$E$14, 0,FALSE), "Not Found"))))))))</f>
        <v>Not Found</v>
      </c>
    </row>
    <row r="383" spans="1:14">
      <c r="A383" t="str">
        <v>Makris Group</v>
      </c>
      <c r="B383" t="str">
        <f>IFERROR(VLOOKUP(A383,'Exetel ExDa'!$C$2:$N$14,4,FALSE),"No Data")</f>
        <v>No Data</v>
      </c>
      <c r="C383">
        <f>IFERROR(VLOOKUP(A383,'AAPT ExDa'!$B$2:$U$99, 2,FALSE), IFERROR(VLOOKUP(A383,'ABB ExDa'!$A$2:$N$184, 2,FALSE), IFERROR(VLOOKUP(A383,'Vocus SIT ExDa'!$B$2:$J$173, 7,FALSE), IFERROR(VLOOKUP(A383,'Telstra ExDa'!$B$2:$K$310, 2,FALSE), IFERROR(VLOOKUP(A383,'Vocus RVC ExDa'!$C$2:$R$155, 3,FALSE), IFERROR(VLOOKUP(A383,'Fusion ExDa'!$B$2:$D$16, 2,FALSE), IFERROR(VLOOKUP(A383,'Exetel ExDa'!$C$2:$N$14, 2,FALSE), IFERROR(VLOOKUP(A383,'Infinet ExDa'!$B$2:$E$14, 2,FALSE), "Not Found"))))))))</f>
        <v>0</v>
      </c>
      <c r="D383" t="str">
        <f>IFERROR(VLOOKUP($A383,'AAPT ExDa'!$B$2:$U$99, 15,FALSE), IFERROR(VLOOKUP($A383,'ABB ExDa'!$A$2:$N$184, 4,FALSE), IFERROR(VLOOKUP($A383,'Vocus SIT ExDa'!$B$2:$J$173, 5,FALSE), IFERROR(VLOOKUP($A383,'Telstra ExDa'!$B$2:$K$310, 8,FALSE), IFERROR(VLOOKUP($A383,'Vocus RVC ExDa'!$C$2:$R$155, 6,FALSE), IFERROR(VLOOKUP($A383,'Fusion ExDa'!$B$2:$D$16, 4,FALSE), IFERROR(VLOOKUP($A383,'Exetel ExDa'!$C$2:$N$14, 3,FALSE), IFERROR(VLOOKUP($A383,'Infinet ExDa'!$B$2:$E$14, 3,FALSE), "Not Found"))))))))</f>
        <v>Vocus SIT</v>
      </c>
      <c r="E383" t="str">
        <f>IFERROR(VLOOKUP($A383,'AAPT ExDa'!$B$2:$U$99, 3,FALSE), IFERROR(VLOOKUP($A383,'ABB ExDa'!$A$2:$N$184, 5,FALSE), IFERROR(VLOOKUP($A383,'Vocus SIT ExDa'!$B$2:$J$173, 2,FALSE), IFERROR(VLOOKUP($A383,'Telstra ExDa'!$B$2:$K$310, 4,FALSE), IFERROR(VLOOKUP($A383,'Vocus RVC ExDa'!$C$2:$R$155, 8,FALSE), IFERROR(VLOOKUP($A383,'Fusion ExDa'!$B$2:$D$16, 4,FALSE), IFERROR(VLOOKUP($A383,'Exetel ExDa'!$C$2:$N$14, 5,FALSE), IFERROR(VLOOKUP($A383,'Infinet ExDa'!$B$2:$E$14, 3,FALSE), "Not Found"))))))))</f>
        <v>Voice Service</v>
      </c>
      <c r="F383" t="str">
        <f>IFERROR(VLOOKUP($A383,'AAPT ExDa'!$B$2:$U$99, 4,FALSE), IFERROR(VLOOKUP($A383,'ABB ExDa'!$A$2:$N$184, 6,FALSE), IFERROR(VLOOKUP($A383,'Vocus SIT ExDa'!$B$2:$J$173, 3,FALSE), IFERROR(VLOOKUP($A383,'Telstra ExDa'!$B$2:$K$310, 5,FALSE), IFERROR(VLOOKUP($A383,'Vocus RVC ExDa'!$C$2:$R$155, 9,FALSE), IFERROR(VLOOKUP($A383,'Fusion ExDa'!$B$2:$D$16, 0,FALSE), IFERROR(VLOOKUP($A383,'Exetel ExDa'!$C$2:$N$14, 6,FALSE), IFERROR(VLOOKUP($A383,'Infinet ExDa'!$B$2:$E$14, 0,FALSE), "Not Found"))))))))</f>
        <v>0884152800 to 0884152899</v>
      </c>
      <c r="G383" t="str">
        <f>IFERROR(VLOOKUP($A383,'AAPT ExDa'!$B$2:$U$99, 5,FALSE), IFERROR(VLOOKUP($A383,'ABB ExDa'!$A$2:$N$184, 8,FALSE), IFERROR(VLOOKUP($A383,'Vocus SIT ExDa'!$B$2:$J$173, 6,FALSE), IFERROR(VLOOKUP($A383,'Telstra ExDa'!$B$2:$K$310, 0,FALSE), IFERROR(VLOOKUP($A383,'Vocus RVC ExDa'!$C$2:$R$155, 15,FALSE), IFERROR(VLOOKUP($A383,'Fusion ExDa'!$B$2:$D$16, 0,FALSE), IFERROR(VLOOKUP($A383,'Exetel ExDa'!$C$2:$N$14, 7,FALSE), IFERROR(VLOOKUP($A383,'Infinet ExDa'!$B$2:$E$14, 0,FALSE), "Not Found"))))))))</f>
        <v>IP Tel Order - Smile Tel - 18/12/2020</v>
      </c>
      <c r="H383" t="str">
        <f>IFERROR(VLOOKUP($A383,'AAPT ExDa'!$B$2:$U$99, 6,FALSE), IFERROR(VLOOKUP($A383,'ABB ExDa'!$A$2:$N$184, 0,FALSE), IFERROR(VLOOKUP($A383,'Vocus SIT ExDa'!$B$2:$J$173, 0,FALSE), IFERROR(VLOOKUP($A383,'Telstra ExDa'!$B$2:$K$310, 0,FALSE), IFERROR(VLOOKUP($A383,'Vocus RVC ExDa'!$C$2:$R$155, 16,FALSE), IFERROR(VLOOKUP($A383,'Fusion ExDa'!$B$2:$D$16, 0,FALSE), IFERROR(VLOOKUP($A383,'Exetel ExDa'!$C$2:$N$14, 0,FALSE), IFERROR(VLOOKUP($A383,'Infinet ExDa'!$B$2:$E$14, 0,FALSE), "Not Found"))))))))</f>
        <v>Not Found</v>
      </c>
      <c r="I383" t="str">
        <f>IFERROR(VLOOKUP($A383,'AAPT ExDa'!$B$2:$U$99, 0,FALSE), IFERROR(VLOOKUP($A383,'ABB ExDa'!$A$2:$N$184, 0,FALSE), IFERROR(VLOOKUP($A383,'Vocus SIT ExDa'!$B$2:$J$173, 0,FALSE), IFERROR(VLOOKUP($A383,'Telstra ExDa'!$B$2:$K$310, 0,FALSE), IFERROR(VLOOKUP($A383,'Vocus RVC ExDa'!$C$2:$R$155, 0,FALSE), IFERROR(VLOOKUP($A383,'Fusion ExDa'!$B$2:$D$16, 0,FALSE), IFERROR(VLOOKUP($A383,'Exetel ExDa'!$C$2:$N$14, 8,FALSE), IFERROR(VLOOKUP($A383,'Infinet ExDa'!$B$2:$E$14, 0,FALSE), "Not Found"))))))))</f>
        <v>Not Found</v>
      </c>
      <c r="J383" t="str">
        <f>IFERROR(VLOOKUP($A383,'AAPT ExDa'!$B$2:$U$99, 7,FALSE), IFERROR(VLOOKUP($A383,'ABB ExDa'!$A$2:$N$184, 2,FALSE), IFERROR(VLOOKUP($A383,'Vocus SIT ExDa'!$B$2:$J$173, 0,FALSE), IFERROR(VLOOKUP($A383,'Telstra ExDa'!$B$2:$K$310, 7,FALSE), IFERROR(VLOOKUP($A383,'Vocus RVC ExDa'!$C$2:$R$155, 2,FALSE), IFERROR(VLOOKUP($A383,'Fusion ExDa'!$B$2:$D$16, 3,FALSE), IFERROR(VLOOKUP($A383,'Exetel ExDa'!$C$2:$N$14, 0,FALSE), IFERROR(VLOOKUP($A383,'Infinet ExDa'!$B$2:$E$14, 0,FALSE), "Not Found"))))))))</f>
        <v>Not Found</v>
      </c>
      <c r="K383" t="str">
        <f>IFERROR(VLOOKUP($A383,'AAPT ExDa'!$B$2:$U$99, 12,FALSE), IFERROR(VLOOKUP($A383,'ABB ExDa'!$A$2:$N$184, 0,FALSE), IFERROR(VLOOKUP($A383,'Vocus SIT ExDa'!$B$2:$J$173, 0,FALSE), IFERROR(VLOOKUP($A383,'Telstra ExDa'!$B$2:$K$310, 0,FALSE), IFERROR(VLOOKUP($A383,'Vocus RVC ExDa'!$C$2:$R$155, 0,FALSE), IFERROR(VLOOKUP($A383,'Fusion ExDa'!$B$2:$D$16, 0,FALSE), IFERROR(VLOOKUP($A383,'Exetel ExDa'!$C$2:$N$14, 12,FALSE), IFERROR(VLOOKUP($A383,'Infinet ExDa'!$B$2:$E$14, 0,FALSE), "Not Found"))))))))</f>
        <v>Not Found</v>
      </c>
      <c r="L383" s="235">
        <f>IFERROR(VLOOKUP($A383,'AAPT ExDa'!$B$2:$U$99, 11,FALSE), IFERROR(VLOOKUP($A383,'ABB ExDa'!$A$2:$N$184, 9,FALSE), IFERROR(VLOOKUP($A383,'Vocus SIT ExDa'!$B$2:$J$173, 8,FALSE), IFERROR(VLOOKUP($A383,'Telstra ExDa'!$B$2:$K$310, 0,FALSE), IFERROR(VLOOKUP($A383,'Vocus RVC ExDa'!$C$2:$R$155, 0,FALSE), IFERROR(VLOOKUP($A383,'Fusion ExDa'!$B$2:$D$16, 0,FALSE), IFERROR(VLOOKUP($A383,'Exetel ExDa'!$C$2:$N$14, 9,FALSE), IFERROR(VLOOKUP($A383,'Infinet ExDa'!$B$2:$E$14, 0,FALSE), "Not Found"))))))))</f>
        <v>44321</v>
      </c>
      <c r="M383" s="234" t="str">
        <f>IFERROR(VLOOKUP($A383,'AAPT ExDa'!$B$2:$U$99, 0,FALSE), IFERROR(VLOOKUP($A383,'ABB ExDa'!$A$2:$N$184, 0,FALSE), IFERROR(VLOOKUP($A383,'Vocus SIT ExDa'!$B$2:$J$173, 0,FALSE), IFERROR(VLOOKUP($A383,'Telstra ExDa'!$B$2:$K$310, 0,FALSE), IFERROR(VLOOKUP($A383,'Vocus RVC ExDa'!$C$2:$R$155, 0,FALSE), IFERROR(VLOOKUP($A383,'Fusion ExDa'!$B$2:$D$16, 0,FALSE), IFERROR(VLOOKUP($A383,'Exetel ExDa'!$C$2:$N$14, 11,FALSE), IFERROR(VLOOKUP($A383,'Infinet ExDa'!$B$2:$E$14, 0,FALSE), "Not Found"))))))))</f>
        <v>Not Found</v>
      </c>
      <c r="N383" t="str">
        <f>IFERROR(VLOOKUP($A383,'AAPT ExDa'!$B$2:$U$99, 0,FALSE), IFERROR(VLOOKUP($A383,'ABB ExDa'!$A$2:$N$184, 13,FALSE), IFERROR(VLOOKUP($A383,'Vocus SIT ExDa'!$B$2:$J$173, 0,FALSE), IFERROR(VLOOKUP($A383,'Telstra ExDa'!$B$2:$K$310, 0,FALSE), IFERROR(VLOOKUP($A383,'Vocus RVC ExDa'!$C$2:$R$155, 0,FALSE), IFERROR(VLOOKUP($A383,'Fusion ExDa'!$B$2:$D$16, 0,FALSE), IFERROR(VLOOKUP($A383,'Exetel ExDa'!$C$2:$N$14, 0,FALSE), IFERROR(VLOOKUP($A383,'Infinet ExDa'!$B$2:$E$14, 0,FALSE), "Not Found"))))))))</f>
        <v>Not Found</v>
      </c>
    </row>
    <row r="384" spans="1:14">
      <c r="A384">
        <v>0</v>
      </c>
      <c r="B384" t="str">
        <f>IFERROR(VLOOKUP(A384,'Exetel ExDa'!$C$2:$N$14,4,FALSE),"No Data")</f>
        <v>No Data</v>
      </c>
      <c r="C384" t="str">
        <f>IFERROR(VLOOKUP(A384,'AAPT ExDa'!$B$2:$U$99, 2,FALSE), IFERROR(VLOOKUP(A384,'ABB ExDa'!$A$2:$N$184, 2,FALSE), IFERROR(VLOOKUP(A384,'Vocus SIT ExDa'!$B$2:$J$173, 7,FALSE), IFERROR(VLOOKUP(A384,'Telstra ExDa'!$B$2:$K$310, 2,FALSE), IFERROR(VLOOKUP(A384,'Vocus RVC ExDa'!$C$2:$R$155, 3,FALSE), IFERROR(VLOOKUP(A384,'Fusion ExDa'!$B$2:$D$16, 2,FALSE), IFERROR(VLOOKUP(A384,'Exetel ExDa'!$C$2:$N$14, 2,FALSE), IFERROR(VLOOKUP(A384,'Infinet ExDa'!$B$2:$E$14, 2,FALSE), "Not Found"))))))))</f>
        <v>Not Found</v>
      </c>
      <c r="D384" t="str">
        <f>IFERROR(VLOOKUP($A384,'AAPT ExDa'!$B$2:$U$99, 15,FALSE), IFERROR(VLOOKUP($A384,'ABB ExDa'!$A$2:$N$184, 4,FALSE), IFERROR(VLOOKUP($A384,'Vocus SIT ExDa'!$B$2:$J$173, 5,FALSE), IFERROR(VLOOKUP($A384,'Telstra ExDa'!$B$2:$K$310, 8,FALSE), IFERROR(VLOOKUP($A384,'Vocus RVC ExDa'!$C$2:$R$155, 6,FALSE), IFERROR(VLOOKUP($A384,'Fusion ExDa'!$B$2:$D$16, 4,FALSE), IFERROR(VLOOKUP($A384,'Exetel ExDa'!$C$2:$N$14, 3,FALSE), IFERROR(VLOOKUP($A384,'Infinet ExDa'!$B$2:$E$14, 3,FALSE), "Not Found"))))))))</f>
        <v>Not Found</v>
      </c>
      <c r="E384" t="str">
        <f>IFERROR(VLOOKUP($A384,'AAPT ExDa'!$B$2:$U$99, 3,FALSE), IFERROR(VLOOKUP($A384,'ABB ExDa'!$A$2:$N$184, 5,FALSE), IFERROR(VLOOKUP($A384,'Vocus SIT ExDa'!$B$2:$J$173, 2,FALSE), IFERROR(VLOOKUP($A384,'Telstra ExDa'!$B$2:$K$310, 4,FALSE), IFERROR(VLOOKUP($A384,'Vocus RVC ExDa'!$C$2:$R$155, 8,FALSE), IFERROR(VLOOKUP($A384,'Fusion ExDa'!$B$2:$D$16, 4,FALSE), IFERROR(VLOOKUP($A384,'Exetel ExDa'!$C$2:$N$14, 5,FALSE), IFERROR(VLOOKUP($A384,'Infinet ExDa'!$B$2:$E$14, 3,FALSE), "Not Found"))))))))</f>
        <v>Not Found</v>
      </c>
      <c r="F384" t="str">
        <f>IFERROR(VLOOKUP($A384,'AAPT ExDa'!$B$2:$U$99, 4,FALSE), IFERROR(VLOOKUP($A384,'ABB ExDa'!$A$2:$N$184, 6,FALSE), IFERROR(VLOOKUP($A384,'Vocus SIT ExDa'!$B$2:$J$173, 3,FALSE), IFERROR(VLOOKUP($A384,'Telstra ExDa'!$B$2:$K$310, 5,FALSE), IFERROR(VLOOKUP($A384,'Vocus RVC ExDa'!$C$2:$R$155, 9,FALSE), IFERROR(VLOOKUP($A384,'Fusion ExDa'!$B$2:$D$16, 0,FALSE), IFERROR(VLOOKUP($A384,'Exetel ExDa'!$C$2:$N$14, 6,FALSE), IFERROR(VLOOKUP($A384,'Infinet ExDa'!$B$2:$E$14, 0,FALSE), "Not Found"))))))))</f>
        <v>Not Found</v>
      </c>
      <c r="G384" t="str">
        <f>IFERROR(VLOOKUP($A384,'AAPT ExDa'!$B$2:$U$99, 5,FALSE), IFERROR(VLOOKUP($A384,'ABB ExDa'!$A$2:$N$184, 8,FALSE), IFERROR(VLOOKUP($A384,'Vocus SIT ExDa'!$B$2:$J$173, 6,FALSE), IFERROR(VLOOKUP($A384,'Telstra ExDa'!$B$2:$K$310, 0,FALSE), IFERROR(VLOOKUP($A384,'Vocus RVC ExDa'!$C$2:$R$155, 15,FALSE), IFERROR(VLOOKUP($A384,'Fusion ExDa'!$B$2:$D$16, 0,FALSE), IFERROR(VLOOKUP($A384,'Exetel ExDa'!$C$2:$N$14, 7,FALSE), IFERROR(VLOOKUP($A384,'Infinet ExDa'!$B$2:$E$14, 0,FALSE), "Not Found"))))))))</f>
        <v>Not Found</v>
      </c>
      <c r="H384" t="str">
        <f>IFERROR(VLOOKUP($A384,'AAPT ExDa'!$B$2:$U$99, 6,FALSE), IFERROR(VLOOKUP($A384,'ABB ExDa'!$A$2:$N$184, 0,FALSE), IFERROR(VLOOKUP($A384,'Vocus SIT ExDa'!$B$2:$J$173, 0,FALSE), IFERROR(VLOOKUP($A384,'Telstra ExDa'!$B$2:$K$310, 0,FALSE), IFERROR(VLOOKUP($A384,'Vocus RVC ExDa'!$C$2:$R$155, 16,FALSE), IFERROR(VLOOKUP($A384,'Fusion ExDa'!$B$2:$D$16, 0,FALSE), IFERROR(VLOOKUP($A384,'Exetel ExDa'!$C$2:$N$14, 0,FALSE), IFERROR(VLOOKUP($A384,'Infinet ExDa'!$B$2:$E$14, 0,FALSE), "Not Found"))))))))</f>
        <v>Not Found</v>
      </c>
      <c r="I384" t="str">
        <f>IFERROR(VLOOKUP($A384,'AAPT ExDa'!$B$2:$U$99, 0,FALSE), IFERROR(VLOOKUP($A384,'ABB ExDa'!$A$2:$N$184, 0,FALSE), IFERROR(VLOOKUP($A384,'Vocus SIT ExDa'!$B$2:$J$173, 0,FALSE), IFERROR(VLOOKUP($A384,'Telstra ExDa'!$B$2:$K$310, 0,FALSE), IFERROR(VLOOKUP($A384,'Vocus RVC ExDa'!$C$2:$R$155, 0,FALSE), IFERROR(VLOOKUP($A384,'Fusion ExDa'!$B$2:$D$16, 0,FALSE), IFERROR(VLOOKUP($A384,'Exetel ExDa'!$C$2:$N$14, 8,FALSE), IFERROR(VLOOKUP($A384,'Infinet ExDa'!$B$2:$E$14, 0,FALSE), "Not Found"))))))))</f>
        <v>Not Found</v>
      </c>
      <c r="J384" t="str">
        <f>IFERROR(VLOOKUP($A384,'AAPT ExDa'!$B$2:$U$99, 7,FALSE), IFERROR(VLOOKUP($A384,'ABB ExDa'!$A$2:$N$184, 2,FALSE), IFERROR(VLOOKUP($A384,'Vocus SIT ExDa'!$B$2:$J$173, 0,FALSE), IFERROR(VLOOKUP($A384,'Telstra ExDa'!$B$2:$K$310, 7,FALSE), IFERROR(VLOOKUP($A384,'Vocus RVC ExDa'!$C$2:$R$155, 2,FALSE), IFERROR(VLOOKUP($A384,'Fusion ExDa'!$B$2:$D$16, 3,FALSE), IFERROR(VLOOKUP($A384,'Exetel ExDa'!$C$2:$N$14, 0,FALSE), IFERROR(VLOOKUP($A384,'Infinet ExDa'!$B$2:$E$14, 0,FALSE), "Not Found"))))))))</f>
        <v>Not Found</v>
      </c>
      <c r="K384" t="str">
        <f>IFERROR(VLOOKUP($A384,'AAPT ExDa'!$B$2:$U$99, 12,FALSE), IFERROR(VLOOKUP($A384,'ABB ExDa'!$A$2:$N$184, 0,FALSE), IFERROR(VLOOKUP($A384,'Vocus SIT ExDa'!$B$2:$J$173, 0,FALSE), IFERROR(VLOOKUP($A384,'Telstra ExDa'!$B$2:$K$310, 0,FALSE), IFERROR(VLOOKUP($A384,'Vocus RVC ExDa'!$C$2:$R$155, 0,FALSE), IFERROR(VLOOKUP($A384,'Fusion ExDa'!$B$2:$D$16, 0,FALSE), IFERROR(VLOOKUP($A384,'Exetel ExDa'!$C$2:$N$14, 12,FALSE), IFERROR(VLOOKUP($A384,'Infinet ExDa'!$B$2:$E$14, 0,FALSE), "Not Found"))))))))</f>
        <v>Not Found</v>
      </c>
      <c r="L384" s="235" t="str">
        <f>IFERROR(VLOOKUP($A384,'AAPT ExDa'!$B$2:$U$99, 11,FALSE), IFERROR(VLOOKUP($A384,'ABB ExDa'!$A$2:$N$184, 9,FALSE), IFERROR(VLOOKUP($A384,'Vocus SIT ExDa'!$B$2:$J$173, 8,FALSE), IFERROR(VLOOKUP($A384,'Telstra ExDa'!$B$2:$K$310, 0,FALSE), IFERROR(VLOOKUP($A384,'Vocus RVC ExDa'!$C$2:$R$155, 0,FALSE), IFERROR(VLOOKUP($A384,'Fusion ExDa'!$B$2:$D$16, 0,FALSE), IFERROR(VLOOKUP($A384,'Exetel ExDa'!$C$2:$N$14, 9,FALSE), IFERROR(VLOOKUP($A384,'Infinet ExDa'!$B$2:$E$14, 0,FALSE), "Not Found"))))))))</f>
        <v>Not Found</v>
      </c>
      <c r="M384" s="234" t="str">
        <f>IFERROR(VLOOKUP($A384,'AAPT ExDa'!$B$2:$U$99, 0,FALSE), IFERROR(VLOOKUP($A384,'ABB ExDa'!$A$2:$N$184, 0,FALSE), IFERROR(VLOOKUP($A384,'Vocus SIT ExDa'!$B$2:$J$173, 0,FALSE), IFERROR(VLOOKUP($A384,'Telstra ExDa'!$B$2:$K$310, 0,FALSE), IFERROR(VLOOKUP($A384,'Vocus RVC ExDa'!$C$2:$R$155, 0,FALSE), IFERROR(VLOOKUP($A384,'Fusion ExDa'!$B$2:$D$16, 0,FALSE), IFERROR(VLOOKUP($A384,'Exetel ExDa'!$C$2:$N$14, 11,FALSE), IFERROR(VLOOKUP($A384,'Infinet ExDa'!$B$2:$E$14, 0,FALSE), "Not Found"))))))))</f>
        <v>Not Found</v>
      </c>
      <c r="N384" t="str">
        <f>IFERROR(VLOOKUP($A384,'AAPT ExDa'!$B$2:$U$99, 0,FALSE), IFERROR(VLOOKUP($A384,'ABB ExDa'!$A$2:$N$184, 13,FALSE), IFERROR(VLOOKUP($A384,'Vocus SIT ExDa'!$B$2:$J$173, 0,FALSE), IFERROR(VLOOKUP($A384,'Telstra ExDa'!$B$2:$K$310, 0,FALSE), IFERROR(VLOOKUP($A384,'Vocus RVC ExDa'!$C$2:$R$155, 0,FALSE), IFERROR(VLOOKUP($A384,'Fusion ExDa'!$B$2:$D$16, 0,FALSE), IFERROR(VLOOKUP($A384,'Exetel ExDa'!$C$2:$N$14, 0,FALSE), IFERROR(VLOOKUP($A384,'Infinet ExDa'!$B$2:$E$14, 0,FALSE), "Not Found"))))))))</f>
        <v>Not Found</v>
      </c>
    </row>
    <row r="385" spans="1:14">
      <c r="A385">
        <v>0</v>
      </c>
      <c r="B385" t="str">
        <f>IFERROR(VLOOKUP(A385,'Exetel ExDa'!$C$2:$N$14,4,FALSE),"No Data")</f>
        <v>No Data</v>
      </c>
      <c r="C385" t="str">
        <f>IFERROR(VLOOKUP(A385,'AAPT ExDa'!$B$2:$U$99, 2,FALSE), IFERROR(VLOOKUP(A385,'ABB ExDa'!$A$2:$N$184, 2,FALSE), IFERROR(VLOOKUP(A385,'Vocus SIT ExDa'!$B$2:$J$173, 7,FALSE), IFERROR(VLOOKUP(A385,'Telstra ExDa'!$B$2:$K$310, 2,FALSE), IFERROR(VLOOKUP(A385,'Vocus RVC ExDa'!$C$2:$R$155, 3,FALSE), IFERROR(VLOOKUP(A385,'Fusion ExDa'!$B$2:$D$16, 2,FALSE), IFERROR(VLOOKUP(A385,'Exetel ExDa'!$C$2:$N$14, 2,FALSE), IFERROR(VLOOKUP(A385,'Infinet ExDa'!$B$2:$E$14, 2,FALSE), "Not Found"))))))))</f>
        <v>Not Found</v>
      </c>
      <c r="D385" t="str">
        <f>IFERROR(VLOOKUP($A385,'AAPT ExDa'!$B$2:$U$99, 15,FALSE), IFERROR(VLOOKUP($A385,'ABB ExDa'!$A$2:$N$184, 4,FALSE), IFERROR(VLOOKUP($A385,'Vocus SIT ExDa'!$B$2:$J$173, 5,FALSE), IFERROR(VLOOKUP($A385,'Telstra ExDa'!$B$2:$K$310, 8,FALSE), IFERROR(VLOOKUP($A385,'Vocus RVC ExDa'!$C$2:$R$155, 6,FALSE), IFERROR(VLOOKUP($A385,'Fusion ExDa'!$B$2:$D$16, 4,FALSE), IFERROR(VLOOKUP($A385,'Exetel ExDa'!$C$2:$N$14, 3,FALSE), IFERROR(VLOOKUP($A385,'Infinet ExDa'!$B$2:$E$14, 3,FALSE), "Not Found"))))))))</f>
        <v>Not Found</v>
      </c>
      <c r="E385" t="str">
        <f>IFERROR(VLOOKUP($A385,'AAPT ExDa'!$B$2:$U$99, 3,FALSE), IFERROR(VLOOKUP($A385,'ABB ExDa'!$A$2:$N$184, 5,FALSE), IFERROR(VLOOKUP($A385,'Vocus SIT ExDa'!$B$2:$J$173, 2,FALSE), IFERROR(VLOOKUP($A385,'Telstra ExDa'!$B$2:$K$310, 4,FALSE), IFERROR(VLOOKUP($A385,'Vocus RVC ExDa'!$C$2:$R$155, 8,FALSE), IFERROR(VLOOKUP($A385,'Fusion ExDa'!$B$2:$D$16, 4,FALSE), IFERROR(VLOOKUP($A385,'Exetel ExDa'!$C$2:$N$14, 5,FALSE), IFERROR(VLOOKUP($A385,'Infinet ExDa'!$B$2:$E$14, 3,FALSE), "Not Found"))))))))</f>
        <v>Not Found</v>
      </c>
      <c r="F385" t="str">
        <f>IFERROR(VLOOKUP($A385,'AAPT ExDa'!$B$2:$U$99, 4,FALSE), IFERROR(VLOOKUP($A385,'ABB ExDa'!$A$2:$N$184, 6,FALSE), IFERROR(VLOOKUP($A385,'Vocus SIT ExDa'!$B$2:$J$173, 3,FALSE), IFERROR(VLOOKUP($A385,'Telstra ExDa'!$B$2:$K$310, 5,FALSE), IFERROR(VLOOKUP($A385,'Vocus RVC ExDa'!$C$2:$R$155, 9,FALSE), IFERROR(VLOOKUP($A385,'Fusion ExDa'!$B$2:$D$16, 0,FALSE), IFERROR(VLOOKUP($A385,'Exetel ExDa'!$C$2:$N$14, 6,FALSE), IFERROR(VLOOKUP($A385,'Infinet ExDa'!$B$2:$E$14, 0,FALSE), "Not Found"))))))))</f>
        <v>Not Found</v>
      </c>
      <c r="G385" t="str">
        <f>IFERROR(VLOOKUP($A385,'AAPT ExDa'!$B$2:$U$99, 5,FALSE), IFERROR(VLOOKUP($A385,'ABB ExDa'!$A$2:$N$184, 8,FALSE), IFERROR(VLOOKUP($A385,'Vocus SIT ExDa'!$B$2:$J$173, 6,FALSE), IFERROR(VLOOKUP($A385,'Telstra ExDa'!$B$2:$K$310, 0,FALSE), IFERROR(VLOOKUP($A385,'Vocus RVC ExDa'!$C$2:$R$155, 15,FALSE), IFERROR(VLOOKUP($A385,'Fusion ExDa'!$B$2:$D$16, 0,FALSE), IFERROR(VLOOKUP($A385,'Exetel ExDa'!$C$2:$N$14, 7,FALSE), IFERROR(VLOOKUP($A385,'Infinet ExDa'!$B$2:$E$14, 0,FALSE), "Not Found"))))))))</f>
        <v>Not Found</v>
      </c>
      <c r="H385" t="str">
        <f>IFERROR(VLOOKUP($A385,'AAPT ExDa'!$B$2:$U$99, 6,FALSE), IFERROR(VLOOKUP($A385,'ABB ExDa'!$A$2:$N$184, 0,FALSE), IFERROR(VLOOKUP($A385,'Vocus SIT ExDa'!$B$2:$J$173, 0,FALSE), IFERROR(VLOOKUP($A385,'Telstra ExDa'!$B$2:$K$310, 0,FALSE), IFERROR(VLOOKUP($A385,'Vocus RVC ExDa'!$C$2:$R$155, 16,FALSE), IFERROR(VLOOKUP($A385,'Fusion ExDa'!$B$2:$D$16, 0,FALSE), IFERROR(VLOOKUP($A385,'Exetel ExDa'!$C$2:$N$14, 0,FALSE), IFERROR(VLOOKUP($A385,'Infinet ExDa'!$B$2:$E$14, 0,FALSE), "Not Found"))))))))</f>
        <v>Not Found</v>
      </c>
      <c r="I385" t="str">
        <f>IFERROR(VLOOKUP($A385,'AAPT ExDa'!$B$2:$U$99, 0,FALSE), IFERROR(VLOOKUP($A385,'ABB ExDa'!$A$2:$N$184, 0,FALSE), IFERROR(VLOOKUP($A385,'Vocus SIT ExDa'!$B$2:$J$173, 0,FALSE), IFERROR(VLOOKUP($A385,'Telstra ExDa'!$B$2:$K$310, 0,FALSE), IFERROR(VLOOKUP($A385,'Vocus RVC ExDa'!$C$2:$R$155, 0,FALSE), IFERROR(VLOOKUP($A385,'Fusion ExDa'!$B$2:$D$16, 0,FALSE), IFERROR(VLOOKUP($A385,'Exetel ExDa'!$C$2:$N$14, 8,FALSE), IFERROR(VLOOKUP($A385,'Infinet ExDa'!$B$2:$E$14, 0,FALSE), "Not Found"))))))))</f>
        <v>Not Found</v>
      </c>
      <c r="J385" t="str">
        <f>IFERROR(VLOOKUP($A385,'AAPT ExDa'!$B$2:$U$99, 7,FALSE), IFERROR(VLOOKUP($A385,'ABB ExDa'!$A$2:$N$184, 2,FALSE), IFERROR(VLOOKUP($A385,'Vocus SIT ExDa'!$B$2:$J$173, 0,FALSE), IFERROR(VLOOKUP($A385,'Telstra ExDa'!$B$2:$K$310, 7,FALSE), IFERROR(VLOOKUP($A385,'Vocus RVC ExDa'!$C$2:$R$155, 2,FALSE), IFERROR(VLOOKUP($A385,'Fusion ExDa'!$B$2:$D$16, 3,FALSE), IFERROR(VLOOKUP($A385,'Exetel ExDa'!$C$2:$N$14, 0,FALSE), IFERROR(VLOOKUP($A385,'Infinet ExDa'!$B$2:$E$14, 0,FALSE), "Not Found"))))))))</f>
        <v>Not Found</v>
      </c>
      <c r="K385" t="str">
        <f>IFERROR(VLOOKUP($A385,'AAPT ExDa'!$B$2:$U$99, 12,FALSE), IFERROR(VLOOKUP($A385,'ABB ExDa'!$A$2:$N$184, 0,FALSE), IFERROR(VLOOKUP($A385,'Vocus SIT ExDa'!$B$2:$J$173, 0,FALSE), IFERROR(VLOOKUP($A385,'Telstra ExDa'!$B$2:$K$310, 0,FALSE), IFERROR(VLOOKUP($A385,'Vocus RVC ExDa'!$C$2:$R$155, 0,FALSE), IFERROR(VLOOKUP($A385,'Fusion ExDa'!$B$2:$D$16, 0,FALSE), IFERROR(VLOOKUP($A385,'Exetel ExDa'!$C$2:$N$14, 12,FALSE), IFERROR(VLOOKUP($A385,'Infinet ExDa'!$B$2:$E$14, 0,FALSE), "Not Found"))))))))</f>
        <v>Not Found</v>
      </c>
      <c r="L385" s="235" t="str">
        <f>IFERROR(VLOOKUP($A385,'AAPT ExDa'!$B$2:$U$99, 11,FALSE), IFERROR(VLOOKUP($A385,'ABB ExDa'!$A$2:$N$184, 9,FALSE), IFERROR(VLOOKUP($A385,'Vocus SIT ExDa'!$B$2:$J$173, 8,FALSE), IFERROR(VLOOKUP($A385,'Telstra ExDa'!$B$2:$K$310, 0,FALSE), IFERROR(VLOOKUP($A385,'Vocus RVC ExDa'!$C$2:$R$155, 0,FALSE), IFERROR(VLOOKUP($A385,'Fusion ExDa'!$B$2:$D$16, 0,FALSE), IFERROR(VLOOKUP($A385,'Exetel ExDa'!$C$2:$N$14, 9,FALSE), IFERROR(VLOOKUP($A385,'Infinet ExDa'!$B$2:$E$14, 0,FALSE), "Not Found"))))))))</f>
        <v>Not Found</v>
      </c>
      <c r="M385" s="234" t="str">
        <f>IFERROR(VLOOKUP($A385,'AAPT ExDa'!$B$2:$U$99, 0,FALSE), IFERROR(VLOOKUP($A385,'ABB ExDa'!$A$2:$N$184, 0,FALSE), IFERROR(VLOOKUP($A385,'Vocus SIT ExDa'!$B$2:$J$173, 0,FALSE), IFERROR(VLOOKUP($A385,'Telstra ExDa'!$B$2:$K$310, 0,FALSE), IFERROR(VLOOKUP($A385,'Vocus RVC ExDa'!$C$2:$R$155, 0,FALSE), IFERROR(VLOOKUP($A385,'Fusion ExDa'!$B$2:$D$16, 0,FALSE), IFERROR(VLOOKUP($A385,'Exetel ExDa'!$C$2:$N$14, 11,FALSE), IFERROR(VLOOKUP($A385,'Infinet ExDa'!$B$2:$E$14, 0,FALSE), "Not Found"))))))))</f>
        <v>Not Found</v>
      </c>
      <c r="N385" t="str">
        <f>IFERROR(VLOOKUP($A385,'AAPT ExDa'!$B$2:$U$99, 0,FALSE), IFERROR(VLOOKUP($A385,'ABB ExDa'!$A$2:$N$184, 13,FALSE), IFERROR(VLOOKUP($A385,'Vocus SIT ExDa'!$B$2:$J$173, 0,FALSE), IFERROR(VLOOKUP($A385,'Telstra ExDa'!$B$2:$K$310, 0,FALSE), IFERROR(VLOOKUP($A385,'Vocus RVC ExDa'!$C$2:$R$155, 0,FALSE), IFERROR(VLOOKUP($A385,'Fusion ExDa'!$B$2:$D$16, 0,FALSE), IFERROR(VLOOKUP($A385,'Exetel ExDa'!$C$2:$N$14, 0,FALSE), IFERROR(VLOOKUP($A385,'Infinet ExDa'!$B$2:$E$14, 0,FALSE), "Not Found"))))))))</f>
        <v>Not Found</v>
      </c>
    </row>
    <row r="386" spans="1:14">
      <c r="A386">
        <v>0</v>
      </c>
      <c r="B386" t="str">
        <f>IFERROR(VLOOKUP(A386,'Exetel ExDa'!$C$2:$N$14,4,FALSE),"No Data")</f>
        <v>No Data</v>
      </c>
      <c r="C386" t="str">
        <f>IFERROR(VLOOKUP(A386,'AAPT ExDa'!$B$2:$U$99, 2,FALSE), IFERROR(VLOOKUP(A386,'ABB ExDa'!$A$2:$N$184, 2,FALSE), IFERROR(VLOOKUP(A386,'Vocus SIT ExDa'!$B$2:$J$173, 7,FALSE), IFERROR(VLOOKUP(A386,'Telstra ExDa'!$B$2:$K$310, 2,FALSE), IFERROR(VLOOKUP(A386,'Vocus RVC ExDa'!$C$2:$R$155, 3,FALSE), IFERROR(VLOOKUP(A386,'Fusion ExDa'!$B$2:$D$16, 2,FALSE), IFERROR(VLOOKUP(A386,'Exetel ExDa'!$C$2:$N$14, 2,FALSE), IFERROR(VLOOKUP(A386,'Infinet ExDa'!$B$2:$E$14, 2,FALSE), "Not Found"))))))))</f>
        <v>Not Found</v>
      </c>
      <c r="D386" t="str">
        <f>IFERROR(VLOOKUP($A386,'AAPT ExDa'!$B$2:$U$99, 15,FALSE), IFERROR(VLOOKUP($A386,'ABB ExDa'!$A$2:$N$184, 4,FALSE), IFERROR(VLOOKUP($A386,'Vocus SIT ExDa'!$B$2:$J$173, 5,FALSE), IFERROR(VLOOKUP($A386,'Telstra ExDa'!$B$2:$K$310, 8,FALSE), IFERROR(VLOOKUP($A386,'Vocus RVC ExDa'!$C$2:$R$155, 6,FALSE), IFERROR(VLOOKUP($A386,'Fusion ExDa'!$B$2:$D$16, 4,FALSE), IFERROR(VLOOKUP($A386,'Exetel ExDa'!$C$2:$N$14, 3,FALSE), IFERROR(VLOOKUP($A386,'Infinet ExDa'!$B$2:$E$14, 3,FALSE), "Not Found"))))))))</f>
        <v>Not Found</v>
      </c>
      <c r="E386" t="str">
        <f>IFERROR(VLOOKUP($A386,'AAPT ExDa'!$B$2:$U$99, 3,FALSE), IFERROR(VLOOKUP($A386,'ABB ExDa'!$A$2:$N$184, 5,FALSE), IFERROR(VLOOKUP($A386,'Vocus SIT ExDa'!$B$2:$J$173, 2,FALSE), IFERROR(VLOOKUP($A386,'Telstra ExDa'!$B$2:$K$310, 4,FALSE), IFERROR(VLOOKUP($A386,'Vocus RVC ExDa'!$C$2:$R$155, 8,FALSE), IFERROR(VLOOKUP($A386,'Fusion ExDa'!$B$2:$D$16, 4,FALSE), IFERROR(VLOOKUP($A386,'Exetel ExDa'!$C$2:$N$14, 5,FALSE), IFERROR(VLOOKUP($A386,'Infinet ExDa'!$B$2:$E$14, 3,FALSE), "Not Found"))))))))</f>
        <v>Not Found</v>
      </c>
      <c r="F386" t="str">
        <f>IFERROR(VLOOKUP($A386,'AAPT ExDa'!$B$2:$U$99, 4,FALSE), IFERROR(VLOOKUP($A386,'ABB ExDa'!$A$2:$N$184, 6,FALSE), IFERROR(VLOOKUP($A386,'Vocus SIT ExDa'!$B$2:$J$173, 3,FALSE), IFERROR(VLOOKUP($A386,'Telstra ExDa'!$B$2:$K$310, 5,FALSE), IFERROR(VLOOKUP($A386,'Vocus RVC ExDa'!$C$2:$R$155, 9,FALSE), IFERROR(VLOOKUP($A386,'Fusion ExDa'!$B$2:$D$16, 0,FALSE), IFERROR(VLOOKUP($A386,'Exetel ExDa'!$C$2:$N$14, 6,FALSE), IFERROR(VLOOKUP($A386,'Infinet ExDa'!$B$2:$E$14, 0,FALSE), "Not Found"))))))))</f>
        <v>Not Found</v>
      </c>
      <c r="G386" t="str">
        <f>IFERROR(VLOOKUP($A386,'AAPT ExDa'!$B$2:$U$99, 5,FALSE), IFERROR(VLOOKUP($A386,'ABB ExDa'!$A$2:$N$184, 8,FALSE), IFERROR(VLOOKUP($A386,'Vocus SIT ExDa'!$B$2:$J$173, 6,FALSE), IFERROR(VLOOKUP($A386,'Telstra ExDa'!$B$2:$K$310, 0,FALSE), IFERROR(VLOOKUP($A386,'Vocus RVC ExDa'!$C$2:$R$155, 15,FALSE), IFERROR(VLOOKUP($A386,'Fusion ExDa'!$B$2:$D$16, 0,FALSE), IFERROR(VLOOKUP($A386,'Exetel ExDa'!$C$2:$N$14, 7,FALSE), IFERROR(VLOOKUP($A386,'Infinet ExDa'!$B$2:$E$14, 0,FALSE), "Not Found"))))))))</f>
        <v>Not Found</v>
      </c>
      <c r="H386" t="str">
        <f>IFERROR(VLOOKUP($A386,'AAPT ExDa'!$B$2:$U$99, 6,FALSE), IFERROR(VLOOKUP($A386,'ABB ExDa'!$A$2:$N$184, 0,FALSE), IFERROR(VLOOKUP($A386,'Vocus SIT ExDa'!$B$2:$J$173, 0,FALSE), IFERROR(VLOOKUP($A386,'Telstra ExDa'!$B$2:$K$310, 0,FALSE), IFERROR(VLOOKUP($A386,'Vocus RVC ExDa'!$C$2:$R$155, 16,FALSE), IFERROR(VLOOKUP($A386,'Fusion ExDa'!$B$2:$D$16, 0,FALSE), IFERROR(VLOOKUP($A386,'Exetel ExDa'!$C$2:$N$14, 0,FALSE), IFERROR(VLOOKUP($A386,'Infinet ExDa'!$B$2:$E$14, 0,FALSE), "Not Found"))))))))</f>
        <v>Not Found</v>
      </c>
      <c r="I386" t="str">
        <f>IFERROR(VLOOKUP($A386,'AAPT ExDa'!$B$2:$U$99, 0,FALSE), IFERROR(VLOOKUP($A386,'ABB ExDa'!$A$2:$N$184, 0,FALSE), IFERROR(VLOOKUP($A386,'Vocus SIT ExDa'!$B$2:$J$173, 0,FALSE), IFERROR(VLOOKUP($A386,'Telstra ExDa'!$B$2:$K$310, 0,FALSE), IFERROR(VLOOKUP($A386,'Vocus RVC ExDa'!$C$2:$R$155, 0,FALSE), IFERROR(VLOOKUP($A386,'Fusion ExDa'!$B$2:$D$16, 0,FALSE), IFERROR(VLOOKUP($A386,'Exetel ExDa'!$C$2:$N$14, 8,FALSE), IFERROR(VLOOKUP($A386,'Infinet ExDa'!$B$2:$E$14, 0,FALSE), "Not Found"))))))))</f>
        <v>Not Found</v>
      </c>
      <c r="J386" t="str">
        <f>IFERROR(VLOOKUP($A386,'AAPT ExDa'!$B$2:$U$99, 7,FALSE), IFERROR(VLOOKUP($A386,'ABB ExDa'!$A$2:$N$184, 2,FALSE), IFERROR(VLOOKUP($A386,'Vocus SIT ExDa'!$B$2:$J$173, 0,FALSE), IFERROR(VLOOKUP($A386,'Telstra ExDa'!$B$2:$K$310, 7,FALSE), IFERROR(VLOOKUP($A386,'Vocus RVC ExDa'!$C$2:$R$155, 2,FALSE), IFERROR(VLOOKUP($A386,'Fusion ExDa'!$B$2:$D$16, 3,FALSE), IFERROR(VLOOKUP($A386,'Exetel ExDa'!$C$2:$N$14, 0,FALSE), IFERROR(VLOOKUP($A386,'Infinet ExDa'!$B$2:$E$14, 0,FALSE), "Not Found"))))))))</f>
        <v>Not Found</v>
      </c>
      <c r="K386" t="str">
        <f>IFERROR(VLOOKUP($A386,'AAPT ExDa'!$B$2:$U$99, 12,FALSE), IFERROR(VLOOKUP($A386,'ABB ExDa'!$A$2:$N$184, 0,FALSE), IFERROR(VLOOKUP($A386,'Vocus SIT ExDa'!$B$2:$J$173, 0,FALSE), IFERROR(VLOOKUP($A386,'Telstra ExDa'!$B$2:$K$310, 0,FALSE), IFERROR(VLOOKUP($A386,'Vocus RVC ExDa'!$C$2:$R$155, 0,FALSE), IFERROR(VLOOKUP($A386,'Fusion ExDa'!$B$2:$D$16, 0,FALSE), IFERROR(VLOOKUP($A386,'Exetel ExDa'!$C$2:$N$14, 12,FALSE), IFERROR(VLOOKUP($A386,'Infinet ExDa'!$B$2:$E$14, 0,FALSE), "Not Found"))))))))</f>
        <v>Not Found</v>
      </c>
      <c r="L386" s="235" t="str">
        <f>IFERROR(VLOOKUP($A386,'AAPT ExDa'!$B$2:$U$99, 11,FALSE), IFERROR(VLOOKUP($A386,'ABB ExDa'!$A$2:$N$184, 9,FALSE), IFERROR(VLOOKUP($A386,'Vocus SIT ExDa'!$B$2:$J$173, 8,FALSE), IFERROR(VLOOKUP($A386,'Telstra ExDa'!$B$2:$K$310, 0,FALSE), IFERROR(VLOOKUP($A386,'Vocus RVC ExDa'!$C$2:$R$155, 0,FALSE), IFERROR(VLOOKUP($A386,'Fusion ExDa'!$B$2:$D$16, 0,FALSE), IFERROR(VLOOKUP($A386,'Exetel ExDa'!$C$2:$N$14, 9,FALSE), IFERROR(VLOOKUP($A386,'Infinet ExDa'!$B$2:$E$14, 0,FALSE), "Not Found"))))))))</f>
        <v>Not Found</v>
      </c>
      <c r="M386" s="234" t="str">
        <f>IFERROR(VLOOKUP($A386,'AAPT ExDa'!$B$2:$U$99, 0,FALSE), IFERROR(VLOOKUP($A386,'ABB ExDa'!$A$2:$N$184, 0,FALSE), IFERROR(VLOOKUP($A386,'Vocus SIT ExDa'!$B$2:$J$173, 0,FALSE), IFERROR(VLOOKUP($A386,'Telstra ExDa'!$B$2:$K$310, 0,FALSE), IFERROR(VLOOKUP($A386,'Vocus RVC ExDa'!$C$2:$R$155, 0,FALSE), IFERROR(VLOOKUP($A386,'Fusion ExDa'!$B$2:$D$16, 0,FALSE), IFERROR(VLOOKUP($A386,'Exetel ExDa'!$C$2:$N$14, 11,FALSE), IFERROR(VLOOKUP($A386,'Infinet ExDa'!$B$2:$E$14, 0,FALSE), "Not Found"))))))))</f>
        <v>Not Found</v>
      </c>
      <c r="N386" t="str">
        <f>IFERROR(VLOOKUP($A386,'AAPT ExDa'!$B$2:$U$99, 0,FALSE), IFERROR(VLOOKUP($A386,'ABB ExDa'!$A$2:$N$184, 13,FALSE), IFERROR(VLOOKUP($A386,'Vocus SIT ExDa'!$B$2:$J$173, 0,FALSE), IFERROR(VLOOKUP($A386,'Telstra ExDa'!$B$2:$K$310, 0,FALSE), IFERROR(VLOOKUP($A386,'Vocus RVC ExDa'!$C$2:$R$155, 0,FALSE), IFERROR(VLOOKUP($A386,'Fusion ExDa'!$B$2:$D$16, 0,FALSE), IFERROR(VLOOKUP($A386,'Exetel ExDa'!$C$2:$N$14, 0,FALSE), IFERROR(VLOOKUP($A386,'Infinet ExDa'!$B$2:$E$14, 0,FALSE), "Not Found"))))))))</f>
        <v>Not Found</v>
      </c>
    </row>
    <row r="387" spans="1:14">
      <c r="A387">
        <v>0</v>
      </c>
      <c r="B387" t="str">
        <f>IFERROR(VLOOKUP(A387,'Exetel ExDa'!$C$2:$N$14,4,FALSE),"No Data")</f>
        <v>No Data</v>
      </c>
      <c r="C387" t="str">
        <f>IFERROR(VLOOKUP(A387,'AAPT ExDa'!$B$2:$U$99, 2,FALSE), IFERROR(VLOOKUP(A387,'ABB ExDa'!$A$2:$N$184, 2,FALSE), IFERROR(VLOOKUP(A387,'Vocus SIT ExDa'!$B$2:$J$173, 7,FALSE), IFERROR(VLOOKUP(A387,'Telstra ExDa'!$B$2:$K$310, 2,FALSE), IFERROR(VLOOKUP(A387,'Vocus RVC ExDa'!$C$2:$R$155, 3,FALSE), IFERROR(VLOOKUP(A387,'Fusion ExDa'!$B$2:$D$16, 2,FALSE), IFERROR(VLOOKUP(A387,'Exetel ExDa'!$C$2:$N$14, 2,FALSE), IFERROR(VLOOKUP(A387,'Infinet ExDa'!$B$2:$E$14, 2,FALSE), "Not Found"))))))))</f>
        <v>Not Found</v>
      </c>
      <c r="D387" t="str">
        <f>IFERROR(VLOOKUP($A387,'AAPT ExDa'!$B$2:$U$99, 15,FALSE), IFERROR(VLOOKUP($A387,'ABB ExDa'!$A$2:$N$184, 4,FALSE), IFERROR(VLOOKUP($A387,'Vocus SIT ExDa'!$B$2:$J$173, 5,FALSE), IFERROR(VLOOKUP($A387,'Telstra ExDa'!$B$2:$K$310, 8,FALSE), IFERROR(VLOOKUP($A387,'Vocus RVC ExDa'!$C$2:$R$155, 6,FALSE), IFERROR(VLOOKUP($A387,'Fusion ExDa'!$B$2:$D$16, 4,FALSE), IFERROR(VLOOKUP($A387,'Exetel ExDa'!$C$2:$N$14, 3,FALSE), IFERROR(VLOOKUP($A387,'Infinet ExDa'!$B$2:$E$14, 3,FALSE), "Not Found"))))))))</f>
        <v>Not Found</v>
      </c>
      <c r="E387" t="str">
        <f>IFERROR(VLOOKUP($A387,'AAPT ExDa'!$B$2:$U$99, 3,FALSE), IFERROR(VLOOKUP($A387,'ABB ExDa'!$A$2:$N$184, 5,FALSE), IFERROR(VLOOKUP($A387,'Vocus SIT ExDa'!$B$2:$J$173, 2,FALSE), IFERROR(VLOOKUP($A387,'Telstra ExDa'!$B$2:$K$310, 4,FALSE), IFERROR(VLOOKUP($A387,'Vocus RVC ExDa'!$C$2:$R$155, 8,FALSE), IFERROR(VLOOKUP($A387,'Fusion ExDa'!$B$2:$D$16, 4,FALSE), IFERROR(VLOOKUP($A387,'Exetel ExDa'!$C$2:$N$14, 5,FALSE), IFERROR(VLOOKUP($A387,'Infinet ExDa'!$B$2:$E$14, 3,FALSE), "Not Found"))))))))</f>
        <v>Not Found</v>
      </c>
      <c r="F387" t="str">
        <f>IFERROR(VLOOKUP($A387,'AAPT ExDa'!$B$2:$U$99, 4,FALSE), IFERROR(VLOOKUP($A387,'ABB ExDa'!$A$2:$N$184, 6,FALSE), IFERROR(VLOOKUP($A387,'Vocus SIT ExDa'!$B$2:$J$173, 3,FALSE), IFERROR(VLOOKUP($A387,'Telstra ExDa'!$B$2:$K$310, 5,FALSE), IFERROR(VLOOKUP($A387,'Vocus RVC ExDa'!$C$2:$R$155, 9,FALSE), IFERROR(VLOOKUP($A387,'Fusion ExDa'!$B$2:$D$16, 0,FALSE), IFERROR(VLOOKUP($A387,'Exetel ExDa'!$C$2:$N$14, 6,FALSE), IFERROR(VLOOKUP($A387,'Infinet ExDa'!$B$2:$E$14, 0,FALSE), "Not Found"))))))))</f>
        <v>Not Found</v>
      </c>
      <c r="G387" t="str">
        <f>IFERROR(VLOOKUP($A387,'AAPT ExDa'!$B$2:$U$99, 5,FALSE), IFERROR(VLOOKUP($A387,'ABB ExDa'!$A$2:$N$184, 8,FALSE), IFERROR(VLOOKUP($A387,'Vocus SIT ExDa'!$B$2:$J$173, 6,FALSE), IFERROR(VLOOKUP($A387,'Telstra ExDa'!$B$2:$K$310, 0,FALSE), IFERROR(VLOOKUP($A387,'Vocus RVC ExDa'!$C$2:$R$155, 15,FALSE), IFERROR(VLOOKUP($A387,'Fusion ExDa'!$B$2:$D$16, 0,FALSE), IFERROR(VLOOKUP($A387,'Exetel ExDa'!$C$2:$N$14, 7,FALSE), IFERROR(VLOOKUP($A387,'Infinet ExDa'!$B$2:$E$14, 0,FALSE), "Not Found"))))))))</f>
        <v>Not Found</v>
      </c>
      <c r="H387" t="str">
        <f>IFERROR(VLOOKUP($A387,'AAPT ExDa'!$B$2:$U$99, 6,FALSE), IFERROR(VLOOKUP($A387,'ABB ExDa'!$A$2:$N$184, 0,FALSE), IFERROR(VLOOKUP($A387,'Vocus SIT ExDa'!$B$2:$J$173, 0,FALSE), IFERROR(VLOOKUP($A387,'Telstra ExDa'!$B$2:$K$310, 0,FALSE), IFERROR(VLOOKUP($A387,'Vocus RVC ExDa'!$C$2:$R$155, 16,FALSE), IFERROR(VLOOKUP($A387,'Fusion ExDa'!$B$2:$D$16, 0,FALSE), IFERROR(VLOOKUP($A387,'Exetel ExDa'!$C$2:$N$14, 0,FALSE), IFERROR(VLOOKUP($A387,'Infinet ExDa'!$B$2:$E$14, 0,FALSE), "Not Found"))))))))</f>
        <v>Not Found</v>
      </c>
      <c r="I387" t="str">
        <f>IFERROR(VLOOKUP($A387,'AAPT ExDa'!$B$2:$U$99, 0,FALSE), IFERROR(VLOOKUP($A387,'ABB ExDa'!$A$2:$N$184, 0,FALSE), IFERROR(VLOOKUP($A387,'Vocus SIT ExDa'!$B$2:$J$173, 0,FALSE), IFERROR(VLOOKUP($A387,'Telstra ExDa'!$B$2:$K$310, 0,FALSE), IFERROR(VLOOKUP($A387,'Vocus RVC ExDa'!$C$2:$R$155, 0,FALSE), IFERROR(VLOOKUP($A387,'Fusion ExDa'!$B$2:$D$16, 0,FALSE), IFERROR(VLOOKUP($A387,'Exetel ExDa'!$C$2:$N$14, 8,FALSE), IFERROR(VLOOKUP($A387,'Infinet ExDa'!$B$2:$E$14, 0,FALSE), "Not Found"))))))))</f>
        <v>Not Found</v>
      </c>
      <c r="J387" t="str">
        <f>IFERROR(VLOOKUP($A387,'AAPT ExDa'!$B$2:$U$99, 7,FALSE), IFERROR(VLOOKUP($A387,'ABB ExDa'!$A$2:$N$184, 2,FALSE), IFERROR(VLOOKUP($A387,'Vocus SIT ExDa'!$B$2:$J$173, 0,FALSE), IFERROR(VLOOKUP($A387,'Telstra ExDa'!$B$2:$K$310, 7,FALSE), IFERROR(VLOOKUP($A387,'Vocus RVC ExDa'!$C$2:$R$155, 2,FALSE), IFERROR(VLOOKUP($A387,'Fusion ExDa'!$B$2:$D$16, 3,FALSE), IFERROR(VLOOKUP($A387,'Exetel ExDa'!$C$2:$N$14, 0,FALSE), IFERROR(VLOOKUP($A387,'Infinet ExDa'!$B$2:$E$14, 0,FALSE), "Not Found"))))))))</f>
        <v>Not Found</v>
      </c>
      <c r="K387" t="str">
        <f>IFERROR(VLOOKUP($A387,'AAPT ExDa'!$B$2:$U$99, 12,FALSE), IFERROR(VLOOKUP($A387,'ABB ExDa'!$A$2:$N$184, 0,FALSE), IFERROR(VLOOKUP($A387,'Vocus SIT ExDa'!$B$2:$J$173, 0,FALSE), IFERROR(VLOOKUP($A387,'Telstra ExDa'!$B$2:$K$310, 0,FALSE), IFERROR(VLOOKUP($A387,'Vocus RVC ExDa'!$C$2:$R$155, 0,FALSE), IFERROR(VLOOKUP($A387,'Fusion ExDa'!$B$2:$D$16, 0,FALSE), IFERROR(VLOOKUP($A387,'Exetel ExDa'!$C$2:$N$14, 12,FALSE), IFERROR(VLOOKUP($A387,'Infinet ExDa'!$B$2:$E$14, 0,FALSE), "Not Found"))))))))</f>
        <v>Not Found</v>
      </c>
      <c r="L387" s="235" t="str">
        <f>IFERROR(VLOOKUP($A387,'AAPT ExDa'!$B$2:$U$99, 11,FALSE), IFERROR(VLOOKUP($A387,'ABB ExDa'!$A$2:$N$184, 9,FALSE), IFERROR(VLOOKUP($A387,'Vocus SIT ExDa'!$B$2:$J$173, 8,FALSE), IFERROR(VLOOKUP($A387,'Telstra ExDa'!$B$2:$K$310, 0,FALSE), IFERROR(VLOOKUP($A387,'Vocus RVC ExDa'!$C$2:$R$155, 0,FALSE), IFERROR(VLOOKUP($A387,'Fusion ExDa'!$B$2:$D$16, 0,FALSE), IFERROR(VLOOKUP($A387,'Exetel ExDa'!$C$2:$N$14, 9,FALSE), IFERROR(VLOOKUP($A387,'Infinet ExDa'!$B$2:$E$14, 0,FALSE), "Not Found"))))))))</f>
        <v>Not Found</v>
      </c>
      <c r="M387" s="234" t="str">
        <f>IFERROR(VLOOKUP($A387,'AAPT ExDa'!$B$2:$U$99, 0,FALSE), IFERROR(VLOOKUP($A387,'ABB ExDa'!$A$2:$N$184, 0,FALSE), IFERROR(VLOOKUP($A387,'Vocus SIT ExDa'!$B$2:$J$173, 0,FALSE), IFERROR(VLOOKUP($A387,'Telstra ExDa'!$B$2:$K$310, 0,FALSE), IFERROR(VLOOKUP($A387,'Vocus RVC ExDa'!$C$2:$R$155, 0,FALSE), IFERROR(VLOOKUP($A387,'Fusion ExDa'!$B$2:$D$16, 0,FALSE), IFERROR(VLOOKUP($A387,'Exetel ExDa'!$C$2:$N$14, 11,FALSE), IFERROR(VLOOKUP($A387,'Infinet ExDa'!$B$2:$E$14, 0,FALSE), "Not Found"))))))))</f>
        <v>Not Found</v>
      </c>
      <c r="N387" t="str">
        <f>IFERROR(VLOOKUP($A387,'AAPT ExDa'!$B$2:$U$99, 0,FALSE), IFERROR(VLOOKUP($A387,'ABB ExDa'!$A$2:$N$184, 13,FALSE), IFERROR(VLOOKUP($A387,'Vocus SIT ExDa'!$B$2:$J$173, 0,FALSE), IFERROR(VLOOKUP($A387,'Telstra ExDa'!$B$2:$K$310, 0,FALSE), IFERROR(VLOOKUP($A387,'Vocus RVC ExDa'!$C$2:$R$155, 0,FALSE), IFERROR(VLOOKUP($A387,'Fusion ExDa'!$B$2:$D$16, 0,FALSE), IFERROR(VLOOKUP($A387,'Exetel ExDa'!$C$2:$N$14, 0,FALSE), IFERROR(VLOOKUP($A387,'Infinet ExDa'!$B$2:$E$14, 0,FALSE), "Not Found"))))))))</f>
        <v>Not Found</v>
      </c>
    </row>
    <row r="388" spans="1:14">
      <c r="A388">
        <v>0</v>
      </c>
      <c r="B388" t="str">
        <f>IFERROR(VLOOKUP(A388,'Exetel ExDa'!$C$2:$N$14,4,FALSE),"No Data")</f>
        <v>No Data</v>
      </c>
      <c r="C388" t="str">
        <f>IFERROR(VLOOKUP(A388,'AAPT ExDa'!$B$2:$U$99, 2,FALSE), IFERROR(VLOOKUP(A388,'ABB ExDa'!$A$2:$N$184, 2,FALSE), IFERROR(VLOOKUP(A388,'Vocus SIT ExDa'!$B$2:$J$173, 7,FALSE), IFERROR(VLOOKUP(A388,'Telstra ExDa'!$B$2:$K$310, 2,FALSE), IFERROR(VLOOKUP(A388,'Vocus RVC ExDa'!$C$2:$R$155, 3,FALSE), IFERROR(VLOOKUP(A388,'Fusion ExDa'!$B$2:$D$16, 2,FALSE), IFERROR(VLOOKUP(A388,'Exetel ExDa'!$C$2:$N$14, 2,FALSE), IFERROR(VLOOKUP(A388,'Infinet ExDa'!$B$2:$E$14, 2,FALSE), "Not Found"))))))))</f>
        <v>Not Found</v>
      </c>
      <c r="D388" t="str">
        <f>IFERROR(VLOOKUP($A388,'AAPT ExDa'!$B$2:$U$99, 15,FALSE), IFERROR(VLOOKUP($A388,'ABB ExDa'!$A$2:$N$184, 4,FALSE), IFERROR(VLOOKUP($A388,'Vocus SIT ExDa'!$B$2:$J$173, 5,FALSE), IFERROR(VLOOKUP($A388,'Telstra ExDa'!$B$2:$K$310, 8,FALSE), IFERROR(VLOOKUP($A388,'Vocus RVC ExDa'!$C$2:$R$155, 6,FALSE), IFERROR(VLOOKUP($A388,'Fusion ExDa'!$B$2:$D$16, 4,FALSE), IFERROR(VLOOKUP($A388,'Exetel ExDa'!$C$2:$N$14, 3,FALSE), IFERROR(VLOOKUP($A388,'Infinet ExDa'!$B$2:$E$14, 3,FALSE), "Not Found"))))))))</f>
        <v>Not Found</v>
      </c>
      <c r="E388" t="str">
        <f>IFERROR(VLOOKUP($A388,'AAPT ExDa'!$B$2:$U$99, 3,FALSE), IFERROR(VLOOKUP($A388,'ABB ExDa'!$A$2:$N$184, 5,FALSE), IFERROR(VLOOKUP($A388,'Vocus SIT ExDa'!$B$2:$J$173, 2,FALSE), IFERROR(VLOOKUP($A388,'Telstra ExDa'!$B$2:$K$310, 4,FALSE), IFERROR(VLOOKUP($A388,'Vocus RVC ExDa'!$C$2:$R$155, 8,FALSE), IFERROR(VLOOKUP($A388,'Fusion ExDa'!$B$2:$D$16, 4,FALSE), IFERROR(VLOOKUP($A388,'Exetel ExDa'!$C$2:$N$14, 5,FALSE), IFERROR(VLOOKUP($A388,'Infinet ExDa'!$B$2:$E$14, 3,FALSE), "Not Found"))))))))</f>
        <v>Not Found</v>
      </c>
      <c r="F388" t="str">
        <f>IFERROR(VLOOKUP($A388,'AAPT ExDa'!$B$2:$U$99, 4,FALSE), IFERROR(VLOOKUP($A388,'ABB ExDa'!$A$2:$N$184, 6,FALSE), IFERROR(VLOOKUP($A388,'Vocus SIT ExDa'!$B$2:$J$173, 3,FALSE), IFERROR(VLOOKUP($A388,'Telstra ExDa'!$B$2:$K$310, 5,FALSE), IFERROR(VLOOKUP($A388,'Vocus RVC ExDa'!$C$2:$R$155, 9,FALSE), IFERROR(VLOOKUP($A388,'Fusion ExDa'!$B$2:$D$16, 0,FALSE), IFERROR(VLOOKUP($A388,'Exetel ExDa'!$C$2:$N$14, 6,FALSE), IFERROR(VLOOKUP($A388,'Infinet ExDa'!$B$2:$E$14, 0,FALSE), "Not Found"))))))))</f>
        <v>Not Found</v>
      </c>
      <c r="G388" t="str">
        <f>IFERROR(VLOOKUP($A388,'AAPT ExDa'!$B$2:$U$99, 5,FALSE), IFERROR(VLOOKUP($A388,'ABB ExDa'!$A$2:$N$184, 8,FALSE), IFERROR(VLOOKUP($A388,'Vocus SIT ExDa'!$B$2:$J$173, 6,FALSE), IFERROR(VLOOKUP($A388,'Telstra ExDa'!$B$2:$K$310, 0,FALSE), IFERROR(VLOOKUP($A388,'Vocus RVC ExDa'!$C$2:$R$155, 15,FALSE), IFERROR(VLOOKUP($A388,'Fusion ExDa'!$B$2:$D$16, 0,FALSE), IFERROR(VLOOKUP($A388,'Exetel ExDa'!$C$2:$N$14, 7,FALSE), IFERROR(VLOOKUP($A388,'Infinet ExDa'!$B$2:$E$14, 0,FALSE), "Not Found"))))))))</f>
        <v>Not Found</v>
      </c>
      <c r="H388" t="str">
        <f>IFERROR(VLOOKUP($A388,'AAPT ExDa'!$B$2:$U$99, 6,FALSE), IFERROR(VLOOKUP($A388,'ABB ExDa'!$A$2:$N$184, 0,FALSE), IFERROR(VLOOKUP($A388,'Vocus SIT ExDa'!$B$2:$J$173, 0,FALSE), IFERROR(VLOOKUP($A388,'Telstra ExDa'!$B$2:$K$310, 0,FALSE), IFERROR(VLOOKUP($A388,'Vocus RVC ExDa'!$C$2:$R$155, 16,FALSE), IFERROR(VLOOKUP($A388,'Fusion ExDa'!$B$2:$D$16, 0,FALSE), IFERROR(VLOOKUP($A388,'Exetel ExDa'!$C$2:$N$14, 0,FALSE), IFERROR(VLOOKUP($A388,'Infinet ExDa'!$B$2:$E$14, 0,FALSE), "Not Found"))))))))</f>
        <v>Not Found</v>
      </c>
      <c r="I388" t="str">
        <f>IFERROR(VLOOKUP($A388,'AAPT ExDa'!$B$2:$U$99, 0,FALSE), IFERROR(VLOOKUP($A388,'ABB ExDa'!$A$2:$N$184, 0,FALSE), IFERROR(VLOOKUP($A388,'Vocus SIT ExDa'!$B$2:$J$173, 0,FALSE), IFERROR(VLOOKUP($A388,'Telstra ExDa'!$B$2:$K$310, 0,FALSE), IFERROR(VLOOKUP($A388,'Vocus RVC ExDa'!$C$2:$R$155, 0,FALSE), IFERROR(VLOOKUP($A388,'Fusion ExDa'!$B$2:$D$16, 0,FALSE), IFERROR(VLOOKUP($A388,'Exetel ExDa'!$C$2:$N$14, 8,FALSE), IFERROR(VLOOKUP($A388,'Infinet ExDa'!$B$2:$E$14, 0,FALSE), "Not Found"))))))))</f>
        <v>Not Found</v>
      </c>
      <c r="J388" t="str">
        <f>IFERROR(VLOOKUP($A388,'AAPT ExDa'!$B$2:$U$99, 7,FALSE), IFERROR(VLOOKUP($A388,'ABB ExDa'!$A$2:$N$184, 2,FALSE), IFERROR(VLOOKUP($A388,'Vocus SIT ExDa'!$B$2:$J$173, 0,FALSE), IFERROR(VLOOKUP($A388,'Telstra ExDa'!$B$2:$K$310, 7,FALSE), IFERROR(VLOOKUP($A388,'Vocus RVC ExDa'!$C$2:$R$155, 2,FALSE), IFERROR(VLOOKUP($A388,'Fusion ExDa'!$B$2:$D$16, 3,FALSE), IFERROR(VLOOKUP($A388,'Exetel ExDa'!$C$2:$N$14, 0,FALSE), IFERROR(VLOOKUP($A388,'Infinet ExDa'!$B$2:$E$14, 0,FALSE), "Not Found"))))))))</f>
        <v>Not Found</v>
      </c>
      <c r="K388" t="str">
        <f>IFERROR(VLOOKUP($A388,'AAPT ExDa'!$B$2:$U$99, 12,FALSE), IFERROR(VLOOKUP($A388,'ABB ExDa'!$A$2:$N$184, 0,FALSE), IFERROR(VLOOKUP($A388,'Vocus SIT ExDa'!$B$2:$J$173, 0,FALSE), IFERROR(VLOOKUP($A388,'Telstra ExDa'!$B$2:$K$310, 0,FALSE), IFERROR(VLOOKUP($A388,'Vocus RVC ExDa'!$C$2:$R$155, 0,FALSE), IFERROR(VLOOKUP($A388,'Fusion ExDa'!$B$2:$D$16, 0,FALSE), IFERROR(VLOOKUP($A388,'Exetel ExDa'!$C$2:$N$14, 12,FALSE), IFERROR(VLOOKUP($A388,'Infinet ExDa'!$B$2:$E$14, 0,FALSE), "Not Found"))))))))</f>
        <v>Not Found</v>
      </c>
      <c r="L388" s="235" t="str">
        <f>IFERROR(VLOOKUP($A388,'AAPT ExDa'!$B$2:$U$99, 11,FALSE), IFERROR(VLOOKUP($A388,'ABB ExDa'!$A$2:$N$184, 9,FALSE), IFERROR(VLOOKUP($A388,'Vocus SIT ExDa'!$B$2:$J$173, 8,FALSE), IFERROR(VLOOKUP($A388,'Telstra ExDa'!$B$2:$K$310, 0,FALSE), IFERROR(VLOOKUP($A388,'Vocus RVC ExDa'!$C$2:$R$155, 0,FALSE), IFERROR(VLOOKUP($A388,'Fusion ExDa'!$B$2:$D$16, 0,FALSE), IFERROR(VLOOKUP($A388,'Exetel ExDa'!$C$2:$N$14, 9,FALSE), IFERROR(VLOOKUP($A388,'Infinet ExDa'!$B$2:$E$14, 0,FALSE), "Not Found"))))))))</f>
        <v>Not Found</v>
      </c>
      <c r="M388" s="234" t="str">
        <f>IFERROR(VLOOKUP($A388,'AAPT ExDa'!$B$2:$U$99, 0,FALSE), IFERROR(VLOOKUP($A388,'ABB ExDa'!$A$2:$N$184, 0,FALSE), IFERROR(VLOOKUP($A388,'Vocus SIT ExDa'!$B$2:$J$173, 0,FALSE), IFERROR(VLOOKUP($A388,'Telstra ExDa'!$B$2:$K$310, 0,FALSE), IFERROR(VLOOKUP($A388,'Vocus RVC ExDa'!$C$2:$R$155, 0,FALSE), IFERROR(VLOOKUP($A388,'Fusion ExDa'!$B$2:$D$16, 0,FALSE), IFERROR(VLOOKUP($A388,'Exetel ExDa'!$C$2:$N$14, 11,FALSE), IFERROR(VLOOKUP($A388,'Infinet ExDa'!$B$2:$E$14, 0,FALSE), "Not Found"))))))))</f>
        <v>Not Found</v>
      </c>
      <c r="N388" t="str">
        <f>IFERROR(VLOOKUP($A388,'AAPT ExDa'!$B$2:$U$99, 0,FALSE), IFERROR(VLOOKUP($A388,'ABB ExDa'!$A$2:$N$184, 13,FALSE), IFERROR(VLOOKUP($A388,'Vocus SIT ExDa'!$B$2:$J$173, 0,FALSE), IFERROR(VLOOKUP($A388,'Telstra ExDa'!$B$2:$K$310, 0,FALSE), IFERROR(VLOOKUP($A388,'Vocus RVC ExDa'!$C$2:$R$155, 0,FALSE), IFERROR(VLOOKUP($A388,'Fusion ExDa'!$B$2:$D$16, 0,FALSE), IFERROR(VLOOKUP($A388,'Exetel ExDa'!$C$2:$N$14, 0,FALSE), IFERROR(VLOOKUP($A388,'Infinet ExDa'!$B$2:$E$14, 0,FALSE), "Not Found"))))))))</f>
        <v>Not Found</v>
      </c>
    </row>
    <row r="389" spans="1:14">
      <c r="A389">
        <v>0</v>
      </c>
      <c r="B389" t="str">
        <f>IFERROR(VLOOKUP(A389,'Exetel ExDa'!$C$2:$N$14,4,FALSE),"No Data")</f>
        <v>No Data</v>
      </c>
      <c r="C389" t="str">
        <f>IFERROR(VLOOKUP(A389,'AAPT ExDa'!$B$2:$U$99, 2,FALSE), IFERROR(VLOOKUP(A389,'ABB ExDa'!$A$2:$N$184, 2,FALSE), IFERROR(VLOOKUP(A389,'Vocus SIT ExDa'!$B$2:$J$173, 7,FALSE), IFERROR(VLOOKUP(A389,'Telstra ExDa'!$B$2:$K$310, 2,FALSE), IFERROR(VLOOKUP(A389,'Vocus RVC ExDa'!$C$2:$R$155, 3,FALSE), IFERROR(VLOOKUP(A389,'Fusion ExDa'!$B$2:$D$16, 2,FALSE), IFERROR(VLOOKUP(A389,'Exetel ExDa'!$C$2:$N$14, 2,FALSE), IFERROR(VLOOKUP(A389,'Infinet ExDa'!$B$2:$E$14, 2,FALSE), "Not Found"))))))))</f>
        <v>Not Found</v>
      </c>
      <c r="D389" t="str">
        <f>IFERROR(VLOOKUP($A389,'AAPT ExDa'!$B$2:$U$99, 15,FALSE), IFERROR(VLOOKUP($A389,'ABB ExDa'!$A$2:$N$184, 4,FALSE), IFERROR(VLOOKUP($A389,'Vocus SIT ExDa'!$B$2:$J$173, 5,FALSE), IFERROR(VLOOKUP($A389,'Telstra ExDa'!$B$2:$K$310, 8,FALSE), IFERROR(VLOOKUP($A389,'Vocus RVC ExDa'!$C$2:$R$155, 6,FALSE), IFERROR(VLOOKUP($A389,'Fusion ExDa'!$B$2:$D$16, 4,FALSE), IFERROR(VLOOKUP($A389,'Exetel ExDa'!$C$2:$N$14, 3,FALSE), IFERROR(VLOOKUP($A389,'Infinet ExDa'!$B$2:$E$14, 3,FALSE), "Not Found"))))))))</f>
        <v>Not Found</v>
      </c>
      <c r="E389" t="str">
        <f>IFERROR(VLOOKUP($A389,'AAPT ExDa'!$B$2:$U$99, 3,FALSE), IFERROR(VLOOKUP($A389,'ABB ExDa'!$A$2:$N$184, 5,FALSE), IFERROR(VLOOKUP($A389,'Vocus SIT ExDa'!$B$2:$J$173, 2,FALSE), IFERROR(VLOOKUP($A389,'Telstra ExDa'!$B$2:$K$310, 4,FALSE), IFERROR(VLOOKUP($A389,'Vocus RVC ExDa'!$C$2:$R$155, 8,FALSE), IFERROR(VLOOKUP($A389,'Fusion ExDa'!$B$2:$D$16, 4,FALSE), IFERROR(VLOOKUP($A389,'Exetel ExDa'!$C$2:$N$14, 5,FALSE), IFERROR(VLOOKUP($A389,'Infinet ExDa'!$B$2:$E$14, 3,FALSE), "Not Found"))))))))</f>
        <v>Not Found</v>
      </c>
      <c r="F389" t="str">
        <f>IFERROR(VLOOKUP($A389,'AAPT ExDa'!$B$2:$U$99, 4,FALSE), IFERROR(VLOOKUP($A389,'ABB ExDa'!$A$2:$N$184, 6,FALSE), IFERROR(VLOOKUP($A389,'Vocus SIT ExDa'!$B$2:$J$173, 3,FALSE), IFERROR(VLOOKUP($A389,'Telstra ExDa'!$B$2:$K$310, 5,FALSE), IFERROR(VLOOKUP($A389,'Vocus RVC ExDa'!$C$2:$R$155, 9,FALSE), IFERROR(VLOOKUP($A389,'Fusion ExDa'!$B$2:$D$16, 0,FALSE), IFERROR(VLOOKUP($A389,'Exetel ExDa'!$C$2:$N$14, 6,FALSE), IFERROR(VLOOKUP($A389,'Infinet ExDa'!$B$2:$E$14, 0,FALSE), "Not Found"))))))))</f>
        <v>Not Found</v>
      </c>
      <c r="G389" t="str">
        <f>IFERROR(VLOOKUP($A389,'AAPT ExDa'!$B$2:$U$99, 5,FALSE), IFERROR(VLOOKUP($A389,'ABB ExDa'!$A$2:$N$184, 8,FALSE), IFERROR(VLOOKUP($A389,'Vocus SIT ExDa'!$B$2:$J$173, 6,FALSE), IFERROR(VLOOKUP($A389,'Telstra ExDa'!$B$2:$K$310, 0,FALSE), IFERROR(VLOOKUP($A389,'Vocus RVC ExDa'!$C$2:$R$155, 15,FALSE), IFERROR(VLOOKUP($A389,'Fusion ExDa'!$B$2:$D$16, 0,FALSE), IFERROR(VLOOKUP($A389,'Exetel ExDa'!$C$2:$N$14, 7,FALSE), IFERROR(VLOOKUP($A389,'Infinet ExDa'!$B$2:$E$14, 0,FALSE), "Not Found"))))))))</f>
        <v>Not Found</v>
      </c>
      <c r="H389" t="str">
        <f>IFERROR(VLOOKUP($A389,'AAPT ExDa'!$B$2:$U$99, 6,FALSE), IFERROR(VLOOKUP($A389,'ABB ExDa'!$A$2:$N$184, 0,FALSE), IFERROR(VLOOKUP($A389,'Vocus SIT ExDa'!$B$2:$J$173, 0,FALSE), IFERROR(VLOOKUP($A389,'Telstra ExDa'!$B$2:$K$310, 0,FALSE), IFERROR(VLOOKUP($A389,'Vocus RVC ExDa'!$C$2:$R$155, 16,FALSE), IFERROR(VLOOKUP($A389,'Fusion ExDa'!$B$2:$D$16, 0,FALSE), IFERROR(VLOOKUP($A389,'Exetel ExDa'!$C$2:$N$14, 0,FALSE), IFERROR(VLOOKUP($A389,'Infinet ExDa'!$B$2:$E$14, 0,FALSE), "Not Found"))))))))</f>
        <v>Not Found</v>
      </c>
      <c r="I389" t="str">
        <f>IFERROR(VLOOKUP($A389,'AAPT ExDa'!$B$2:$U$99, 0,FALSE), IFERROR(VLOOKUP($A389,'ABB ExDa'!$A$2:$N$184, 0,FALSE), IFERROR(VLOOKUP($A389,'Vocus SIT ExDa'!$B$2:$J$173, 0,FALSE), IFERROR(VLOOKUP($A389,'Telstra ExDa'!$B$2:$K$310, 0,FALSE), IFERROR(VLOOKUP($A389,'Vocus RVC ExDa'!$C$2:$R$155, 0,FALSE), IFERROR(VLOOKUP($A389,'Fusion ExDa'!$B$2:$D$16, 0,FALSE), IFERROR(VLOOKUP($A389,'Exetel ExDa'!$C$2:$N$14, 8,FALSE), IFERROR(VLOOKUP($A389,'Infinet ExDa'!$B$2:$E$14, 0,FALSE), "Not Found"))))))))</f>
        <v>Not Found</v>
      </c>
      <c r="J389" t="str">
        <f>IFERROR(VLOOKUP($A389,'AAPT ExDa'!$B$2:$U$99, 7,FALSE), IFERROR(VLOOKUP($A389,'ABB ExDa'!$A$2:$N$184, 2,FALSE), IFERROR(VLOOKUP($A389,'Vocus SIT ExDa'!$B$2:$J$173, 0,FALSE), IFERROR(VLOOKUP($A389,'Telstra ExDa'!$B$2:$K$310, 7,FALSE), IFERROR(VLOOKUP($A389,'Vocus RVC ExDa'!$C$2:$R$155, 2,FALSE), IFERROR(VLOOKUP($A389,'Fusion ExDa'!$B$2:$D$16, 3,FALSE), IFERROR(VLOOKUP($A389,'Exetel ExDa'!$C$2:$N$14, 0,FALSE), IFERROR(VLOOKUP($A389,'Infinet ExDa'!$B$2:$E$14, 0,FALSE), "Not Found"))))))))</f>
        <v>Not Found</v>
      </c>
      <c r="K389" t="str">
        <f>IFERROR(VLOOKUP($A389,'AAPT ExDa'!$B$2:$U$99, 12,FALSE), IFERROR(VLOOKUP($A389,'ABB ExDa'!$A$2:$N$184, 0,FALSE), IFERROR(VLOOKUP($A389,'Vocus SIT ExDa'!$B$2:$J$173, 0,FALSE), IFERROR(VLOOKUP($A389,'Telstra ExDa'!$B$2:$K$310, 0,FALSE), IFERROR(VLOOKUP($A389,'Vocus RVC ExDa'!$C$2:$R$155, 0,FALSE), IFERROR(VLOOKUP($A389,'Fusion ExDa'!$B$2:$D$16, 0,FALSE), IFERROR(VLOOKUP($A389,'Exetel ExDa'!$C$2:$N$14, 12,FALSE), IFERROR(VLOOKUP($A389,'Infinet ExDa'!$B$2:$E$14, 0,FALSE), "Not Found"))))))))</f>
        <v>Not Found</v>
      </c>
      <c r="L389" s="235" t="str">
        <f>IFERROR(VLOOKUP($A389,'AAPT ExDa'!$B$2:$U$99, 11,FALSE), IFERROR(VLOOKUP($A389,'ABB ExDa'!$A$2:$N$184, 9,FALSE), IFERROR(VLOOKUP($A389,'Vocus SIT ExDa'!$B$2:$J$173, 8,FALSE), IFERROR(VLOOKUP($A389,'Telstra ExDa'!$B$2:$K$310, 0,FALSE), IFERROR(VLOOKUP($A389,'Vocus RVC ExDa'!$C$2:$R$155, 0,FALSE), IFERROR(VLOOKUP($A389,'Fusion ExDa'!$B$2:$D$16, 0,FALSE), IFERROR(VLOOKUP($A389,'Exetel ExDa'!$C$2:$N$14, 9,FALSE), IFERROR(VLOOKUP($A389,'Infinet ExDa'!$B$2:$E$14, 0,FALSE), "Not Found"))))))))</f>
        <v>Not Found</v>
      </c>
      <c r="M389" s="234" t="str">
        <f>IFERROR(VLOOKUP($A389,'AAPT ExDa'!$B$2:$U$99, 0,FALSE), IFERROR(VLOOKUP($A389,'ABB ExDa'!$A$2:$N$184, 0,FALSE), IFERROR(VLOOKUP($A389,'Vocus SIT ExDa'!$B$2:$J$173, 0,FALSE), IFERROR(VLOOKUP($A389,'Telstra ExDa'!$B$2:$K$310, 0,FALSE), IFERROR(VLOOKUP($A389,'Vocus RVC ExDa'!$C$2:$R$155, 0,FALSE), IFERROR(VLOOKUP($A389,'Fusion ExDa'!$B$2:$D$16, 0,FALSE), IFERROR(VLOOKUP($A389,'Exetel ExDa'!$C$2:$N$14, 11,FALSE), IFERROR(VLOOKUP($A389,'Infinet ExDa'!$B$2:$E$14, 0,FALSE), "Not Found"))))))))</f>
        <v>Not Found</v>
      </c>
      <c r="N389" t="str">
        <f>IFERROR(VLOOKUP($A389,'AAPT ExDa'!$B$2:$U$99, 0,FALSE), IFERROR(VLOOKUP($A389,'ABB ExDa'!$A$2:$N$184, 13,FALSE), IFERROR(VLOOKUP($A389,'Vocus SIT ExDa'!$B$2:$J$173, 0,FALSE), IFERROR(VLOOKUP($A389,'Telstra ExDa'!$B$2:$K$310, 0,FALSE), IFERROR(VLOOKUP($A389,'Vocus RVC ExDa'!$C$2:$R$155, 0,FALSE), IFERROR(VLOOKUP($A389,'Fusion ExDa'!$B$2:$D$16, 0,FALSE), IFERROR(VLOOKUP($A389,'Exetel ExDa'!$C$2:$N$14, 0,FALSE), IFERROR(VLOOKUP($A389,'Infinet ExDa'!$B$2:$E$14, 0,FALSE), "Not Found"))))))))</f>
        <v>Not Found</v>
      </c>
    </row>
    <row r="390" spans="1:14">
      <c r="A390" t="str">
        <v xml:space="preserve">Lead Institute </v>
      </c>
      <c r="B390" t="str">
        <f>IFERROR(VLOOKUP(A390,'Exetel ExDa'!$C$2:$N$14,4,FALSE),"No Data")</f>
        <v>No Data</v>
      </c>
      <c r="C390">
        <f>IFERROR(VLOOKUP(A390,'AAPT ExDa'!$B$2:$U$99, 2,FALSE), IFERROR(VLOOKUP(A390,'ABB ExDa'!$A$2:$N$184, 2,FALSE), IFERROR(VLOOKUP(A390,'Vocus SIT ExDa'!$B$2:$J$173, 7,FALSE), IFERROR(VLOOKUP(A390,'Telstra ExDa'!$B$2:$K$310, 2,FALSE), IFERROR(VLOOKUP(A390,'Vocus RVC ExDa'!$C$2:$R$155, 3,FALSE), IFERROR(VLOOKUP(A390,'Fusion ExDa'!$B$2:$D$16, 2,FALSE), IFERROR(VLOOKUP(A390,'Exetel ExDa'!$C$2:$N$14, 2,FALSE), IFERROR(VLOOKUP(A390,'Infinet ExDa'!$B$2:$E$14, 2,FALSE), "Not Found"))))))))</f>
        <v>0</v>
      </c>
      <c r="D390" t="str">
        <f>IFERROR(VLOOKUP($A390,'AAPT ExDa'!$B$2:$U$99, 15,FALSE), IFERROR(VLOOKUP($A390,'ABB ExDa'!$A$2:$N$184, 4,FALSE), IFERROR(VLOOKUP($A390,'Vocus SIT ExDa'!$B$2:$J$173, 5,FALSE), IFERROR(VLOOKUP($A390,'Telstra ExDa'!$B$2:$K$310, 8,FALSE), IFERROR(VLOOKUP($A390,'Vocus RVC ExDa'!$C$2:$R$155, 6,FALSE), IFERROR(VLOOKUP($A390,'Fusion ExDa'!$B$2:$D$16, 4,FALSE), IFERROR(VLOOKUP($A390,'Exetel ExDa'!$C$2:$N$14, 3,FALSE), IFERROR(VLOOKUP($A390,'Infinet ExDa'!$B$2:$E$14, 3,FALSE), "Not Found"))))))))</f>
        <v>Vocus SIT</v>
      </c>
      <c r="E390" t="str">
        <f>IFERROR(VLOOKUP($A390,'AAPT ExDa'!$B$2:$U$99, 3,FALSE), IFERROR(VLOOKUP($A390,'ABB ExDa'!$A$2:$N$184, 5,FALSE), IFERROR(VLOOKUP($A390,'Vocus SIT ExDa'!$B$2:$J$173, 2,FALSE), IFERROR(VLOOKUP($A390,'Telstra ExDa'!$B$2:$K$310, 4,FALSE), IFERROR(VLOOKUP($A390,'Vocus RVC ExDa'!$C$2:$R$155, 8,FALSE), IFERROR(VLOOKUP($A390,'Fusion ExDa'!$B$2:$D$16, 4,FALSE), IFERROR(VLOOKUP($A390,'Exetel ExDa'!$C$2:$N$14, 5,FALSE), IFERROR(VLOOKUP($A390,'Infinet ExDa'!$B$2:$E$14, 3,FALSE), "Not Found"))))))))</f>
        <v>Voice Service</v>
      </c>
      <c r="F390" t="str">
        <f>IFERROR(VLOOKUP($A390,'AAPT ExDa'!$B$2:$U$99, 4,FALSE), IFERROR(VLOOKUP($A390,'ABB ExDa'!$A$2:$N$184, 6,FALSE), IFERROR(VLOOKUP($A390,'Vocus SIT ExDa'!$B$2:$J$173, 3,FALSE), IFERROR(VLOOKUP($A390,'Telstra ExDa'!$B$2:$K$310, 5,FALSE), IFERROR(VLOOKUP($A390,'Vocus RVC ExDa'!$C$2:$R$155, 9,FALSE), IFERROR(VLOOKUP($A390,'Fusion ExDa'!$B$2:$D$16, 0,FALSE), IFERROR(VLOOKUP($A390,'Exetel ExDa'!$C$2:$N$14, 6,FALSE), IFERROR(VLOOKUP($A390,'Infinet ExDa'!$B$2:$E$14, 0,FALSE), "Not Found"))))))))</f>
        <v>0749696764
0733489099
0746333674
0756301992
0745662411
0731391628
0741608907
0741608908
0753141019
0731391629
0731391651
0731391678
0749142476
0731391820
0731391821
0731391822
0731391823
0731391824
0731391825
0731391826
0731391827
0731391828
0746338711
0746421059
0746421135
0749549643
0754994640
0746341020
0746334008
0746334455</v>
      </c>
      <c r="G390" t="str">
        <f>IFERROR(VLOOKUP($A390,'AAPT ExDa'!$B$2:$U$99, 5,FALSE), IFERROR(VLOOKUP($A390,'ABB ExDa'!$A$2:$N$184, 8,FALSE), IFERROR(VLOOKUP($A390,'Vocus SIT ExDa'!$B$2:$J$173, 6,FALSE), IFERROR(VLOOKUP($A390,'Telstra ExDa'!$B$2:$K$310, 0,FALSE), IFERROR(VLOOKUP($A390,'Vocus RVC ExDa'!$C$2:$R$155, 15,FALSE), IFERROR(VLOOKUP($A390,'Fusion ExDa'!$B$2:$D$16, 0,FALSE), IFERROR(VLOOKUP($A390,'Exetel ExDa'!$C$2:$N$14, 7,FALSE), IFERROR(VLOOKUP($A390,'Infinet ExDa'!$B$2:$E$14, 0,FALSE), "Not Found"))))))))</f>
        <v>IP Tel Order - Smile Tel - 16/11/2020</v>
      </c>
      <c r="H390" t="str">
        <f>IFERROR(VLOOKUP($A390,'AAPT ExDa'!$B$2:$U$99, 6,FALSE), IFERROR(VLOOKUP($A390,'ABB ExDa'!$A$2:$N$184, 0,FALSE), IFERROR(VLOOKUP($A390,'Vocus SIT ExDa'!$B$2:$J$173, 0,FALSE), IFERROR(VLOOKUP($A390,'Telstra ExDa'!$B$2:$K$310, 0,FALSE), IFERROR(VLOOKUP($A390,'Vocus RVC ExDa'!$C$2:$R$155, 16,FALSE), IFERROR(VLOOKUP($A390,'Fusion ExDa'!$B$2:$D$16, 0,FALSE), IFERROR(VLOOKUP($A390,'Exetel ExDa'!$C$2:$N$14, 0,FALSE), IFERROR(VLOOKUP($A390,'Infinet ExDa'!$B$2:$E$14, 0,FALSE), "Not Found"))))))))</f>
        <v>Not Found</v>
      </c>
      <c r="I390" t="str">
        <f>IFERROR(VLOOKUP($A390,'AAPT ExDa'!$B$2:$U$99, 0,FALSE), IFERROR(VLOOKUP($A390,'ABB ExDa'!$A$2:$N$184, 0,FALSE), IFERROR(VLOOKUP($A390,'Vocus SIT ExDa'!$B$2:$J$173, 0,FALSE), IFERROR(VLOOKUP($A390,'Telstra ExDa'!$B$2:$K$310, 0,FALSE), IFERROR(VLOOKUP($A390,'Vocus RVC ExDa'!$C$2:$R$155, 0,FALSE), IFERROR(VLOOKUP($A390,'Fusion ExDa'!$B$2:$D$16, 0,FALSE), IFERROR(VLOOKUP($A390,'Exetel ExDa'!$C$2:$N$14, 8,FALSE), IFERROR(VLOOKUP($A390,'Infinet ExDa'!$B$2:$E$14, 0,FALSE), "Not Found"))))))))</f>
        <v>Not Found</v>
      </c>
      <c r="J390" t="str">
        <f>IFERROR(VLOOKUP($A390,'AAPT ExDa'!$B$2:$U$99, 7,FALSE), IFERROR(VLOOKUP($A390,'ABB ExDa'!$A$2:$N$184, 2,FALSE), IFERROR(VLOOKUP($A390,'Vocus SIT ExDa'!$B$2:$J$173, 0,FALSE), IFERROR(VLOOKUP($A390,'Telstra ExDa'!$B$2:$K$310, 7,FALSE), IFERROR(VLOOKUP($A390,'Vocus RVC ExDa'!$C$2:$R$155, 2,FALSE), IFERROR(VLOOKUP($A390,'Fusion ExDa'!$B$2:$D$16, 3,FALSE), IFERROR(VLOOKUP($A390,'Exetel ExDa'!$C$2:$N$14, 0,FALSE), IFERROR(VLOOKUP($A390,'Infinet ExDa'!$B$2:$E$14, 0,FALSE), "Not Found"))))))))</f>
        <v>Not Found</v>
      </c>
      <c r="K390" t="str">
        <f>IFERROR(VLOOKUP($A390,'AAPT ExDa'!$B$2:$U$99, 12,FALSE), IFERROR(VLOOKUP($A390,'ABB ExDa'!$A$2:$N$184, 0,FALSE), IFERROR(VLOOKUP($A390,'Vocus SIT ExDa'!$B$2:$J$173, 0,FALSE), IFERROR(VLOOKUP($A390,'Telstra ExDa'!$B$2:$K$310, 0,FALSE), IFERROR(VLOOKUP($A390,'Vocus RVC ExDa'!$C$2:$R$155, 0,FALSE), IFERROR(VLOOKUP($A390,'Fusion ExDa'!$B$2:$D$16, 0,FALSE), IFERROR(VLOOKUP($A390,'Exetel ExDa'!$C$2:$N$14, 12,FALSE), IFERROR(VLOOKUP($A390,'Infinet ExDa'!$B$2:$E$14, 0,FALSE), "Not Found"))))))))</f>
        <v>Not Found</v>
      </c>
      <c r="L390" s="235" t="str">
        <f>IFERROR(VLOOKUP($A390,'AAPT ExDa'!$B$2:$U$99, 11,FALSE), IFERROR(VLOOKUP($A390,'ABB ExDa'!$A$2:$N$184, 9,FALSE), IFERROR(VLOOKUP($A390,'Vocus SIT ExDa'!$B$2:$J$173, 8,FALSE), IFERROR(VLOOKUP($A390,'Telstra ExDa'!$B$2:$K$310, 0,FALSE), IFERROR(VLOOKUP($A390,'Vocus RVC ExDa'!$C$2:$R$155, 0,FALSE), IFERROR(VLOOKUP($A390,'Fusion ExDa'!$B$2:$D$16, 0,FALSE), IFERROR(VLOOKUP($A390,'Exetel ExDa'!$C$2:$N$14, 9,FALSE), IFERROR(VLOOKUP($A390,'Infinet ExDa'!$B$2:$E$14, 0,FALSE), "Not Found"))))))))</f>
        <v>24/09/2024</v>
      </c>
      <c r="M390" s="234" t="str">
        <f>IFERROR(VLOOKUP($A390,'AAPT ExDa'!$B$2:$U$99, 0,FALSE), IFERROR(VLOOKUP($A390,'ABB ExDa'!$A$2:$N$184, 0,FALSE), IFERROR(VLOOKUP($A390,'Vocus SIT ExDa'!$B$2:$J$173, 0,FALSE), IFERROR(VLOOKUP($A390,'Telstra ExDa'!$B$2:$K$310, 0,FALSE), IFERROR(VLOOKUP($A390,'Vocus RVC ExDa'!$C$2:$R$155, 0,FALSE), IFERROR(VLOOKUP($A390,'Fusion ExDa'!$B$2:$D$16, 0,FALSE), IFERROR(VLOOKUP($A390,'Exetel ExDa'!$C$2:$N$14, 11,FALSE), IFERROR(VLOOKUP($A390,'Infinet ExDa'!$B$2:$E$14, 0,FALSE), "Not Found"))))))))</f>
        <v>Not Found</v>
      </c>
      <c r="N390" t="str">
        <f>IFERROR(VLOOKUP($A390,'AAPT ExDa'!$B$2:$U$99, 0,FALSE), IFERROR(VLOOKUP($A390,'ABB ExDa'!$A$2:$N$184, 13,FALSE), IFERROR(VLOOKUP($A390,'Vocus SIT ExDa'!$B$2:$J$173, 0,FALSE), IFERROR(VLOOKUP($A390,'Telstra ExDa'!$B$2:$K$310, 0,FALSE), IFERROR(VLOOKUP($A390,'Vocus RVC ExDa'!$C$2:$R$155, 0,FALSE), IFERROR(VLOOKUP($A390,'Fusion ExDa'!$B$2:$D$16, 0,FALSE), IFERROR(VLOOKUP($A390,'Exetel ExDa'!$C$2:$N$14, 0,FALSE), IFERROR(VLOOKUP($A390,'Infinet ExDa'!$B$2:$E$14, 0,FALSE), "Not Found"))))))))</f>
        <v>Not Found</v>
      </c>
    </row>
    <row r="391" spans="1:14">
      <c r="A391">
        <v>0</v>
      </c>
      <c r="B391" t="str">
        <f>IFERROR(VLOOKUP(A391,'Exetel ExDa'!$C$2:$N$14,4,FALSE),"No Data")</f>
        <v>No Data</v>
      </c>
      <c r="C391" t="str">
        <f>IFERROR(VLOOKUP(A391,'AAPT ExDa'!$B$2:$U$99, 2,FALSE), IFERROR(VLOOKUP(A391,'ABB ExDa'!$A$2:$N$184, 2,FALSE), IFERROR(VLOOKUP(A391,'Vocus SIT ExDa'!$B$2:$J$173, 7,FALSE), IFERROR(VLOOKUP(A391,'Telstra ExDa'!$B$2:$K$310, 2,FALSE), IFERROR(VLOOKUP(A391,'Vocus RVC ExDa'!$C$2:$R$155, 3,FALSE), IFERROR(VLOOKUP(A391,'Fusion ExDa'!$B$2:$D$16, 2,FALSE), IFERROR(VLOOKUP(A391,'Exetel ExDa'!$C$2:$N$14, 2,FALSE), IFERROR(VLOOKUP(A391,'Infinet ExDa'!$B$2:$E$14, 2,FALSE), "Not Found"))))))))</f>
        <v>Not Found</v>
      </c>
      <c r="D391" t="str">
        <f>IFERROR(VLOOKUP($A391,'AAPT ExDa'!$B$2:$U$99, 15,FALSE), IFERROR(VLOOKUP($A391,'ABB ExDa'!$A$2:$N$184, 4,FALSE), IFERROR(VLOOKUP($A391,'Vocus SIT ExDa'!$B$2:$J$173, 5,FALSE), IFERROR(VLOOKUP($A391,'Telstra ExDa'!$B$2:$K$310, 8,FALSE), IFERROR(VLOOKUP($A391,'Vocus RVC ExDa'!$C$2:$R$155, 6,FALSE), IFERROR(VLOOKUP($A391,'Fusion ExDa'!$B$2:$D$16, 4,FALSE), IFERROR(VLOOKUP($A391,'Exetel ExDa'!$C$2:$N$14, 3,FALSE), IFERROR(VLOOKUP($A391,'Infinet ExDa'!$B$2:$E$14, 3,FALSE), "Not Found"))))))))</f>
        <v>Not Found</v>
      </c>
      <c r="E391" t="str">
        <f>IFERROR(VLOOKUP($A391,'AAPT ExDa'!$B$2:$U$99, 3,FALSE), IFERROR(VLOOKUP($A391,'ABB ExDa'!$A$2:$N$184, 5,FALSE), IFERROR(VLOOKUP($A391,'Vocus SIT ExDa'!$B$2:$J$173, 2,FALSE), IFERROR(VLOOKUP($A391,'Telstra ExDa'!$B$2:$K$310, 4,FALSE), IFERROR(VLOOKUP($A391,'Vocus RVC ExDa'!$C$2:$R$155, 8,FALSE), IFERROR(VLOOKUP($A391,'Fusion ExDa'!$B$2:$D$16, 4,FALSE), IFERROR(VLOOKUP($A391,'Exetel ExDa'!$C$2:$N$14, 5,FALSE), IFERROR(VLOOKUP($A391,'Infinet ExDa'!$B$2:$E$14, 3,FALSE), "Not Found"))))))))</f>
        <v>Not Found</v>
      </c>
      <c r="F391" t="str">
        <f>IFERROR(VLOOKUP($A391,'AAPT ExDa'!$B$2:$U$99, 4,FALSE), IFERROR(VLOOKUP($A391,'ABB ExDa'!$A$2:$N$184, 6,FALSE), IFERROR(VLOOKUP($A391,'Vocus SIT ExDa'!$B$2:$J$173, 3,FALSE), IFERROR(VLOOKUP($A391,'Telstra ExDa'!$B$2:$K$310, 5,FALSE), IFERROR(VLOOKUP($A391,'Vocus RVC ExDa'!$C$2:$R$155, 9,FALSE), IFERROR(VLOOKUP($A391,'Fusion ExDa'!$B$2:$D$16, 0,FALSE), IFERROR(VLOOKUP($A391,'Exetel ExDa'!$C$2:$N$14, 6,FALSE), IFERROR(VLOOKUP($A391,'Infinet ExDa'!$B$2:$E$14, 0,FALSE), "Not Found"))))))))</f>
        <v>Not Found</v>
      </c>
      <c r="G391" t="str">
        <f>IFERROR(VLOOKUP($A391,'AAPT ExDa'!$B$2:$U$99, 5,FALSE), IFERROR(VLOOKUP($A391,'ABB ExDa'!$A$2:$N$184, 8,FALSE), IFERROR(VLOOKUP($A391,'Vocus SIT ExDa'!$B$2:$J$173, 6,FALSE), IFERROR(VLOOKUP($A391,'Telstra ExDa'!$B$2:$K$310, 0,FALSE), IFERROR(VLOOKUP($A391,'Vocus RVC ExDa'!$C$2:$R$155, 15,FALSE), IFERROR(VLOOKUP($A391,'Fusion ExDa'!$B$2:$D$16, 0,FALSE), IFERROR(VLOOKUP($A391,'Exetel ExDa'!$C$2:$N$14, 7,FALSE), IFERROR(VLOOKUP($A391,'Infinet ExDa'!$B$2:$E$14, 0,FALSE), "Not Found"))))))))</f>
        <v>Not Found</v>
      </c>
      <c r="H391" t="str">
        <f>IFERROR(VLOOKUP($A391,'AAPT ExDa'!$B$2:$U$99, 6,FALSE), IFERROR(VLOOKUP($A391,'ABB ExDa'!$A$2:$N$184, 0,FALSE), IFERROR(VLOOKUP($A391,'Vocus SIT ExDa'!$B$2:$J$173, 0,FALSE), IFERROR(VLOOKUP($A391,'Telstra ExDa'!$B$2:$K$310, 0,FALSE), IFERROR(VLOOKUP($A391,'Vocus RVC ExDa'!$C$2:$R$155, 16,FALSE), IFERROR(VLOOKUP($A391,'Fusion ExDa'!$B$2:$D$16, 0,FALSE), IFERROR(VLOOKUP($A391,'Exetel ExDa'!$C$2:$N$14, 0,FALSE), IFERROR(VLOOKUP($A391,'Infinet ExDa'!$B$2:$E$14, 0,FALSE), "Not Found"))))))))</f>
        <v>Not Found</v>
      </c>
      <c r="I391" t="str">
        <f>IFERROR(VLOOKUP($A391,'AAPT ExDa'!$B$2:$U$99, 0,FALSE), IFERROR(VLOOKUP($A391,'ABB ExDa'!$A$2:$N$184, 0,FALSE), IFERROR(VLOOKUP($A391,'Vocus SIT ExDa'!$B$2:$J$173, 0,FALSE), IFERROR(VLOOKUP($A391,'Telstra ExDa'!$B$2:$K$310, 0,FALSE), IFERROR(VLOOKUP($A391,'Vocus RVC ExDa'!$C$2:$R$155, 0,FALSE), IFERROR(VLOOKUP($A391,'Fusion ExDa'!$B$2:$D$16, 0,FALSE), IFERROR(VLOOKUP($A391,'Exetel ExDa'!$C$2:$N$14, 8,FALSE), IFERROR(VLOOKUP($A391,'Infinet ExDa'!$B$2:$E$14, 0,FALSE), "Not Found"))))))))</f>
        <v>Not Found</v>
      </c>
      <c r="J391" t="str">
        <f>IFERROR(VLOOKUP($A391,'AAPT ExDa'!$B$2:$U$99, 7,FALSE), IFERROR(VLOOKUP($A391,'ABB ExDa'!$A$2:$N$184, 2,FALSE), IFERROR(VLOOKUP($A391,'Vocus SIT ExDa'!$B$2:$J$173, 0,FALSE), IFERROR(VLOOKUP($A391,'Telstra ExDa'!$B$2:$K$310, 7,FALSE), IFERROR(VLOOKUP($A391,'Vocus RVC ExDa'!$C$2:$R$155, 2,FALSE), IFERROR(VLOOKUP($A391,'Fusion ExDa'!$B$2:$D$16, 3,FALSE), IFERROR(VLOOKUP($A391,'Exetel ExDa'!$C$2:$N$14, 0,FALSE), IFERROR(VLOOKUP($A391,'Infinet ExDa'!$B$2:$E$14, 0,FALSE), "Not Found"))))))))</f>
        <v>Not Found</v>
      </c>
      <c r="K391" t="str">
        <f>IFERROR(VLOOKUP($A391,'AAPT ExDa'!$B$2:$U$99, 12,FALSE), IFERROR(VLOOKUP($A391,'ABB ExDa'!$A$2:$N$184, 0,FALSE), IFERROR(VLOOKUP($A391,'Vocus SIT ExDa'!$B$2:$J$173, 0,FALSE), IFERROR(VLOOKUP($A391,'Telstra ExDa'!$B$2:$K$310, 0,FALSE), IFERROR(VLOOKUP($A391,'Vocus RVC ExDa'!$C$2:$R$155, 0,FALSE), IFERROR(VLOOKUP($A391,'Fusion ExDa'!$B$2:$D$16, 0,FALSE), IFERROR(VLOOKUP($A391,'Exetel ExDa'!$C$2:$N$14, 12,FALSE), IFERROR(VLOOKUP($A391,'Infinet ExDa'!$B$2:$E$14, 0,FALSE), "Not Found"))))))))</f>
        <v>Not Found</v>
      </c>
      <c r="L391" s="235" t="str">
        <f>IFERROR(VLOOKUP($A391,'AAPT ExDa'!$B$2:$U$99, 11,FALSE), IFERROR(VLOOKUP($A391,'ABB ExDa'!$A$2:$N$184, 9,FALSE), IFERROR(VLOOKUP($A391,'Vocus SIT ExDa'!$B$2:$J$173, 8,FALSE), IFERROR(VLOOKUP($A391,'Telstra ExDa'!$B$2:$K$310, 0,FALSE), IFERROR(VLOOKUP($A391,'Vocus RVC ExDa'!$C$2:$R$155, 0,FALSE), IFERROR(VLOOKUP($A391,'Fusion ExDa'!$B$2:$D$16, 0,FALSE), IFERROR(VLOOKUP($A391,'Exetel ExDa'!$C$2:$N$14, 9,FALSE), IFERROR(VLOOKUP($A391,'Infinet ExDa'!$B$2:$E$14, 0,FALSE), "Not Found"))))))))</f>
        <v>Not Found</v>
      </c>
      <c r="M391" s="234" t="str">
        <f>IFERROR(VLOOKUP($A391,'AAPT ExDa'!$B$2:$U$99, 0,FALSE), IFERROR(VLOOKUP($A391,'ABB ExDa'!$A$2:$N$184, 0,FALSE), IFERROR(VLOOKUP($A391,'Vocus SIT ExDa'!$B$2:$J$173, 0,FALSE), IFERROR(VLOOKUP($A391,'Telstra ExDa'!$B$2:$K$310, 0,FALSE), IFERROR(VLOOKUP($A391,'Vocus RVC ExDa'!$C$2:$R$155, 0,FALSE), IFERROR(VLOOKUP($A391,'Fusion ExDa'!$B$2:$D$16, 0,FALSE), IFERROR(VLOOKUP($A391,'Exetel ExDa'!$C$2:$N$14, 11,FALSE), IFERROR(VLOOKUP($A391,'Infinet ExDa'!$B$2:$E$14, 0,FALSE), "Not Found"))))))))</f>
        <v>Not Found</v>
      </c>
      <c r="N391" t="str">
        <f>IFERROR(VLOOKUP($A391,'AAPT ExDa'!$B$2:$U$99, 0,FALSE), IFERROR(VLOOKUP($A391,'ABB ExDa'!$A$2:$N$184, 13,FALSE), IFERROR(VLOOKUP($A391,'Vocus SIT ExDa'!$B$2:$J$173, 0,FALSE), IFERROR(VLOOKUP($A391,'Telstra ExDa'!$B$2:$K$310, 0,FALSE), IFERROR(VLOOKUP($A391,'Vocus RVC ExDa'!$C$2:$R$155, 0,FALSE), IFERROR(VLOOKUP($A391,'Fusion ExDa'!$B$2:$D$16, 0,FALSE), IFERROR(VLOOKUP($A391,'Exetel ExDa'!$C$2:$N$14, 0,FALSE), IFERROR(VLOOKUP($A391,'Infinet ExDa'!$B$2:$E$14, 0,FALSE), "Not Found"))))))))</f>
        <v>Not Found</v>
      </c>
    </row>
    <row r="392" spans="1:14">
      <c r="A392">
        <v>0</v>
      </c>
      <c r="B392" t="str">
        <f>IFERROR(VLOOKUP(A392,'Exetel ExDa'!$C$2:$N$14,4,FALSE),"No Data")</f>
        <v>No Data</v>
      </c>
      <c r="C392" t="str">
        <f>IFERROR(VLOOKUP(A392,'AAPT ExDa'!$B$2:$U$99, 2,FALSE), IFERROR(VLOOKUP(A392,'ABB ExDa'!$A$2:$N$184, 2,FALSE), IFERROR(VLOOKUP(A392,'Vocus SIT ExDa'!$B$2:$J$173, 7,FALSE), IFERROR(VLOOKUP(A392,'Telstra ExDa'!$B$2:$K$310, 2,FALSE), IFERROR(VLOOKUP(A392,'Vocus RVC ExDa'!$C$2:$R$155, 3,FALSE), IFERROR(VLOOKUP(A392,'Fusion ExDa'!$B$2:$D$16, 2,FALSE), IFERROR(VLOOKUP(A392,'Exetel ExDa'!$C$2:$N$14, 2,FALSE), IFERROR(VLOOKUP(A392,'Infinet ExDa'!$B$2:$E$14, 2,FALSE), "Not Found"))))))))</f>
        <v>Not Found</v>
      </c>
      <c r="D392" t="str">
        <f>IFERROR(VLOOKUP($A392,'AAPT ExDa'!$B$2:$U$99, 15,FALSE), IFERROR(VLOOKUP($A392,'ABB ExDa'!$A$2:$N$184, 4,FALSE), IFERROR(VLOOKUP($A392,'Vocus SIT ExDa'!$B$2:$J$173, 5,FALSE), IFERROR(VLOOKUP($A392,'Telstra ExDa'!$B$2:$K$310, 8,FALSE), IFERROR(VLOOKUP($A392,'Vocus RVC ExDa'!$C$2:$R$155, 6,FALSE), IFERROR(VLOOKUP($A392,'Fusion ExDa'!$B$2:$D$16, 4,FALSE), IFERROR(VLOOKUP($A392,'Exetel ExDa'!$C$2:$N$14, 3,FALSE), IFERROR(VLOOKUP($A392,'Infinet ExDa'!$B$2:$E$14, 3,FALSE), "Not Found"))))))))</f>
        <v>Not Found</v>
      </c>
      <c r="E392" t="str">
        <f>IFERROR(VLOOKUP($A392,'AAPT ExDa'!$B$2:$U$99, 3,FALSE), IFERROR(VLOOKUP($A392,'ABB ExDa'!$A$2:$N$184, 5,FALSE), IFERROR(VLOOKUP($A392,'Vocus SIT ExDa'!$B$2:$J$173, 2,FALSE), IFERROR(VLOOKUP($A392,'Telstra ExDa'!$B$2:$K$310, 4,FALSE), IFERROR(VLOOKUP($A392,'Vocus RVC ExDa'!$C$2:$R$155, 8,FALSE), IFERROR(VLOOKUP($A392,'Fusion ExDa'!$B$2:$D$16, 4,FALSE), IFERROR(VLOOKUP($A392,'Exetel ExDa'!$C$2:$N$14, 5,FALSE), IFERROR(VLOOKUP($A392,'Infinet ExDa'!$B$2:$E$14, 3,FALSE), "Not Found"))))))))</f>
        <v>Not Found</v>
      </c>
      <c r="F392" t="str">
        <f>IFERROR(VLOOKUP($A392,'AAPT ExDa'!$B$2:$U$99, 4,FALSE), IFERROR(VLOOKUP($A392,'ABB ExDa'!$A$2:$N$184, 6,FALSE), IFERROR(VLOOKUP($A392,'Vocus SIT ExDa'!$B$2:$J$173, 3,FALSE), IFERROR(VLOOKUP($A392,'Telstra ExDa'!$B$2:$K$310, 5,FALSE), IFERROR(VLOOKUP($A392,'Vocus RVC ExDa'!$C$2:$R$155, 9,FALSE), IFERROR(VLOOKUP($A392,'Fusion ExDa'!$B$2:$D$16, 0,FALSE), IFERROR(VLOOKUP($A392,'Exetel ExDa'!$C$2:$N$14, 6,FALSE), IFERROR(VLOOKUP($A392,'Infinet ExDa'!$B$2:$E$14, 0,FALSE), "Not Found"))))))))</f>
        <v>Not Found</v>
      </c>
      <c r="G392" t="str">
        <f>IFERROR(VLOOKUP($A392,'AAPT ExDa'!$B$2:$U$99, 5,FALSE), IFERROR(VLOOKUP($A392,'ABB ExDa'!$A$2:$N$184, 8,FALSE), IFERROR(VLOOKUP($A392,'Vocus SIT ExDa'!$B$2:$J$173, 6,FALSE), IFERROR(VLOOKUP($A392,'Telstra ExDa'!$B$2:$K$310, 0,FALSE), IFERROR(VLOOKUP($A392,'Vocus RVC ExDa'!$C$2:$R$155, 15,FALSE), IFERROR(VLOOKUP($A392,'Fusion ExDa'!$B$2:$D$16, 0,FALSE), IFERROR(VLOOKUP($A392,'Exetel ExDa'!$C$2:$N$14, 7,FALSE), IFERROR(VLOOKUP($A392,'Infinet ExDa'!$B$2:$E$14, 0,FALSE), "Not Found"))))))))</f>
        <v>Not Found</v>
      </c>
      <c r="H392" t="str">
        <f>IFERROR(VLOOKUP($A392,'AAPT ExDa'!$B$2:$U$99, 6,FALSE), IFERROR(VLOOKUP($A392,'ABB ExDa'!$A$2:$N$184, 0,FALSE), IFERROR(VLOOKUP($A392,'Vocus SIT ExDa'!$B$2:$J$173, 0,FALSE), IFERROR(VLOOKUP($A392,'Telstra ExDa'!$B$2:$K$310, 0,FALSE), IFERROR(VLOOKUP($A392,'Vocus RVC ExDa'!$C$2:$R$155, 16,FALSE), IFERROR(VLOOKUP($A392,'Fusion ExDa'!$B$2:$D$16, 0,FALSE), IFERROR(VLOOKUP($A392,'Exetel ExDa'!$C$2:$N$14, 0,FALSE), IFERROR(VLOOKUP($A392,'Infinet ExDa'!$B$2:$E$14, 0,FALSE), "Not Found"))))))))</f>
        <v>Not Found</v>
      </c>
      <c r="I392" t="str">
        <f>IFERROR(VLOOKUP($A392,'AAPT ExDa'!$B$2:$U$99, 0,FALSE), IFERROR(VLOOKUP($A392,'ABB ExDa'!$A$2:$N$184, 0,FALSE), IFERROR(VLOOKUP($A392,'Vocus SIT ExDa'!$B$2:$J$173, 0,FALSE), IFERROR(VLOOKUP($A392,'Telstra ExDa'!$B$2:$K$310, 0,FALSE), IFERROR(VLOOKUP($A392,'Vocus RVC ExDa'!$C$2:$R$155, 0,FALSE), IFERROR(VLOOKUP($A392,'Fusion ExDa'!$B$2:$D$16, 0,FALSE), IFERROR(VLOOKUP($A392,'Exetel ExDa'!$C$2:$N$14, 8,FALSE), IFERROR(VLOOKUP($A392,'Infinet ExDa'!$B$2:$E$14, 0,FALSE), "Not Found"))))))))</f>
        <v>Not Found</v>
      </c>
      <c r="J392" t="str">
        <f>IFERROR(VLOOKUP($A392,'AAPT ExDa'!$B$2:$U$99, 7,FALSE), IFERROR(VLOOKUP($A392,'ABB ExDa'!$A$2:$N$184, 2,FALSE), IFERROR(VLOOKUP($A392,'Vocus SIT ExDa'!$B$2:$J$173, 0,FALSE), IFERROR(VLOOKUP($A392,'Telstra ExDa'!$B$2:$K$310, 7,FALSE), IFERROR(VLOOKUP($A392,'Vocus RVC ExDa'!$C$2:$R$155, 2,FALSE), IFERROR(VLOOKUP($A392,'Fusion ExDa'!$B$2:$D$16, 3,FALSE), IFERROR(VLOOKUP($A392,'Exetel ExDa'!$C$2:$N$14, 0,FALSE), IFERROR(VLOOKUP($A392,'Infinet ExDa'!$B$2:$E$14, 0,FALSE), "Not Found"))))))))</f>
        <v>Not Found</v>
      </c>
      <c r="K392" t="str">
        <f>IFERROR(VLOOKUP($A392,'AAPT ExDa'!$B$2:$U$99, 12,FALSE), IFERROR(VLOOKUP($A392,'ABB ExDa'!$A$2:$N$184, 0,FALSE), IFERROR(VLOOKUP($A392,'Vocus SIT ExDa'!$B$2:$J$173, 0,FALSE), IFERROR(VLOOKUP($A392,'Telstra ExDa'!$B$2:$K$310, 0,FALSE), IFERROR(VLOOKUP($A392,'Vocus RVC ExDa'!$C$2:$R$155, 0,FALSE), IFERROR(VLOOKUP($A392,'Fusion ExDa'!$B$2:$D$16, 0,FALSE), IFERROR(VLOOKUP($A392,'Exetel ExDa'!$C$2:$N$14, 12,FALSE), IFERROR(VLOOKUP($A392,'Infinet ExDa'!$B$2:$E$14, 0,FALSE), "Not Found"))))))))</f>
        <v>Not Found</v>
      </c>
      <c r="L392" s="235" t="str">
        <f>IFERROR(VLOOKUP($A392,'AAPT ExDa'!$B$2:$U$99, 11,FALSE), IFERROR(VLOOKUP($A392,'ABB ExDa'!$A$2:$N$184, 9,FALSE), IFERROR(VLOOKUP($A392,'Vocus SIT ExDa'!$B$2:$J$173, 8,FALSE), IFERROR(VLOOKUP($A392,'Telstra ExDa'!$B$2:$K$310, 0,FALSE), IFERROR(VLOOKUP($A392,'Vocus RVC ExDa'!$C$2:$R$155, 0,FALSE), IFERROR(VLOOKUP($A392,'Fusion ExDa'!$B$2:$D$16, 0,FALSE), IFERROR(VLOOKUP($A392,'Exetel ExDa'!$C$2:$N$14, 9,FALSE), IFERROR(VLOOKUP($A392,'Infinet ExDa'!$B$2:$E$14, 0,FALSE), "Not Found"))))))))</f>
        <v>Not Found</v>
      </c>
      <c r="M392" s="234" t="str">
        <f>IFERROR(VLOOKUP($A392,'AAPT ExDa'!$B$2:$U$99, 0,FALSE), IFERROR(VLOOKUP($A392,'ABB ExDa'!$A$2:$N$184, 0,FALSE), IFERROR(VLOOKUP($A392,'Vocus SIT ExDa'!$B$2:$J$173, 0,FALSE), IFERROR(VLOOKUP($A392,'Telstra ExDa'!$B$2:$K$310, 0,FALSE), IFERROR(VLOOKUP($A392,'Vocus RVC ExDa'!$C$2:$R$155, 0,FALSE), IFERROR(VLOOKUP($A392,'Fusion ExDa'!$B$2:$D$16, 0,FALSE), IFERROR(VLOOKUP($A392,'Exetel ExDa'!$C$2:$N$14, 11,FALSE), IFERROR(VLOOKUP($A392,'Infinet ExDa'!$B$2:$E$14, 0,FALSE), "Not Found"))))))))</f>
        <v>Not Found</v>
      </c>
      <c r="N392" t="str">
        <f>IFERROR(VLOOKUP($A392,'AAPT ExDa'!$B$2:$U$99, 0,FALSE), IFERROR(VLOOKUP($A392,'ABB ExDa'!$A$2:$N$184, 13,FALSE), IFERROR(VLOOKUP($A392,'Vocus SIT ExDa'!$B$2:$J$173, 0,FALSE), IFERROR(VLOOKUP($A392,'Telstra ExDa'!$B$2:$K$310, 0,FALSE), IFERROR(VLOOKUP($A392,'Vocus RVC ExDa'!$C$2:$R$155, 0,FALSE), IFERROR(VLOOKUP($A392,'Fusion ExDa'!$B$2:$D$16, 0,FALSE), IFERROR(VLOOKUP($A392,'Exetel ExDa'!$C$2:$N$14, 0,FALSE), IFERROR(VLOOKUP($A392,'Infinet ExDa'!$B$2:$E$14, 0,FALSE), "Not Found"))))))))</f>
        <v>Not Found</v>
      </c>
    </row>
    <row r="393" spans="1:14">
      <c r="A393">
        <v>0</v>
      </c>
      <c r="B393" t="str">
        <f>IFERROR(VLOOKUP(A393,'Exetel ExDa'!$C$2:$N$14,4,FALSE),"No Data")</f>
        <v>No Data</v>
      </c>
      <c r="C393" t="str">
        <f>IFERROR(VLOOKUP(A393,'AAPT ExDa'!$B$2:$U$99, 2,FALSE), IFERROR(VLOOKUP(A393,'ABB ExDa'!$A$2:$N$184, 2,FALSE), IFERROR(VLOOKUP(A393,'Vocus SIT ExDa'!$B$2:$J$173, 7,FALSE), IFERROR(VLOOKUP(A393,'Telstra ExDa'!$B$2:$K$310, 2,FALSE), IFERROR(VLOOKUP(A393,'Vocus RVC ExDa'!$C$2:$R$155, 3,FALSE), IFERROR(VLOOKUP(A393,'Fusion ExDa'!$B$2:$D$16, 2,FALSE), IFERROR(VLOOKUP(A393,'Exetel ExDa'!$C$2:$N$14, 2,FALSE), IFERROR(VLOOKUP(A393,'Infinet ExDa'!$B$2:$E$14, 2,FALSE), "Not Found"))))))))</f>
        <v>Not Found</v>
      </c>
      <c r="D393" t="str">
        <f>IFERROR(VLOOKUP($A393,'AAPT ExDa'!$B$2:$U$99, 15,FALSE), IFERROR(VLOOKUP($A393,'ABB ExDa'!$A$2:$N$184, 4,FALSE), IFERROR(VLOOKUP($A393,'Vocus SIT ExDa'!$B$2:$J$173, 5,FALSE), IFERROR(VLOOKUP($A393,'Telstra ExDa'!$B$2:$K$310, 8,FALSE), IFERROR(VLOOKUP($A393,'Vocus RVC ExDa'!$C$2:$R$155, 6,FALSE), IFERROR(VLOOKUP($A393,'Fusion ExDa'!$B$2:$D$16, 4,FALSE), IFERROR(VLOOKUP($A393,'Exetel ExDa'!$C$2:$N$14, 3,FALSE), IFERROR(VLOOKUP($A393,'Infinet ExDa'!$B$2:$E$14, 3,FALSE), "Not Found"))))))))</f>
        <v>Not Found</v>
      </c>
      <c r="E393" t="str">
        <f>IFERROR(VLOOKUP($A393,'AAPT ExDa'!$B$2:$U$99, 3,FALSE), IFERROR(VLOOKUP($A393,'ABB ExDa'!$A$2:$N$184, 5,FALSE), IFERROR(VLOOKUP($A393,'Vocus SIT ExDa'!$B$2:$J$173, 2,FALSE), IFERROR(VLOOKUP($A393,'Telstra ExDa'!$B$2:$K$310, 4,FALSE), IFERROR(VLOOKUP($A393,'Vocus RVC ExDa'!$C$2:$R$155, 8,FALSE), IFERROR(VLOOKUP($A393,'Fusion ExDa'!$B$2:$D$16, 4,FALSE), IFERROR(VLOOKUP($A393,'Exetel ExDa'!$C$2:$N$14, 5,FALSE), IFERROR(VLOOKUP($A393,'Infinet ExDa'!$B$2:$E$14, 3,FALSE), "Not Found"))))))))</f>
        <v>Not Found</v>
      </c>
      <c r="F393" t="str">
        <f>IFERROR(VLOOKUP($A393,'AAPT ExDa'!$B$2:$U$99, 4,FALSE), IFERROR(VLOOKUP($A393,'ABB ExDa'!$A$2:$N$184, 6,FALSE), IFERROR(VLOOKUP($A393,'Vocus SIT ExDa'!$B$2:$J$173, 3,FALSE), IFERROR(VLOOKUP($A393,'Telstra ExDa'!$B$2:$K$310, 5,FALSE), IFERROR(VLOOKUP($A393,'Vocus RVC ExDa'!$C$2:$R$155, 9,FALSE), IFERROR(VLOOKUP($A393,'Fusion ExDa'!$B$2:$D$16, 0,FALSE), IFERROR(VLOOKUP($A393,'Exetel ExDa'!$C$2:$N$14, 6,FALSE), IFERROR(VLOOKUP($A393,'Infinet ExDa'!$B$2:$E$14, 0,FALSE), "Not Found"))))))))</f>
        <v>Not Found</v>
      </c>
      <c r="G393" t="str">
        <f>IFERROR(VLOOKUP($A393,'AAPT ExDa'!$B$2:$U$99, 5,FALSE), IFERROR(VLOOKUP($A393,'ABB ExDa'!$A$2:$N$184, 8,FALSE), IFERROR(VLOOKUP($A393,'Vocus SIT ExDa'!$B$2:$J$173, 6,FALSE), IFERROR(VLOOKUP($A393,'Telstra ExDa'!$B$2:$K$310, 0,FALSE), IFERROR(VLOOKUP($A393,'Vocus RVC ExDa'!$C$2:$R$155, 15,FALSE), IFERROR(VLOOKUP($A393,'Fusion ExDa'!$B$2:$D$16, 0,FALSE), IFERROR(VLOOKUP($A393,'Exetel ExDa'!$C$2:$N$14, 7,FALSE), IFERROR(VLOOKUP($A393,'Infinet ExDa'!$B$2:$E$14, 0,FALSE), "Not Found"))))))))</f>
        <v>Not Found</v>
      </c>
      <c r="H393" t="str">
        <f>IFERROR(VLOOKUP($A393,'AAPT ExDa'!$B$2:$U$99, 6,FALSE), IFERROR(VLOOKUP($A393,'ABB ExDa'!$A$2:$N$184, 0,FALSE), IFERROR(VLOOKUP($A393,'Vocus SIT ExDa'!$B$2:$J$173, 0,FALSE), IFERROR(VLOOKUP($A393,'Telstra ExDa'!$B$2:$K$310, 0,FALSE), IFERROR(VLOOKUP($A393,'Vocus RVC ExDa'!$C$2:$R$155, 16,FALSE), IFERROR(VLOOKUP($A393,'Fusion ExDa'!$B$2:$D$16, 0,FALSE), IFERROR(VLOOKUP($A393,'Exetel ExDa'!$C$2:$N$14, 0,FALSE), IFERROR(VLOOKUP($A393,'Infinet ExDa'!$B$2:$E$14, 0,FALSE), "Not Found"))))))))</f>
        <v>Not Found</v>
      </c>
      <c r="I393" t="str">
        <f>IFERROR(VLOOKUP($A393,'AAPT ExDa'!$B$2:$U$99, 0,FALSE), IFERROR(VLOOKUP($A393,'ABB ExDa'!$A$2:$N$184, 0,FALSE), IFERROR(VLOOKUP($A393,'Vocus SIT ExDa'!$B$2:$J$173, 0,FALSE), IFERROR(VLOOKUP($A393,'Telstra ExDa'!$B$2:$K$310, 0,FALSE), IFERROR(VLOOKUP($A393,'Vocus RVC ExDa'!$C$2:$R$155, 0,FALSE), IFERROR(VLOOKUP($A393,'Fusion ExDa'!$B$2:$D$16, 0,FALSE), IFERROR(VLOOKUP($A393,'Exetel ExDa'!$C$2:$N$14, 8,FALSE), IFERROR(VLOOKUP($A393,'Infinet ExDa'!$B$2:$E$14, 0,FALSE), "Not Found"))))))))</f>
        <v>Not Found</v>
      </c>
      <c r="J393" t="str">
        <f>IFERROR(VLOOKUP($A393,'AAPT ExDa'!$B$2:$U$99, 7,FALSE), IFERROR(VLOOKUP($A393,'ABB ExDa'!$A$2:$N$184, 2,FALSE), IFERROR(VLOOKUP($A393,'Vocus SIT ExDa'!$B$2:$J$173, 0,FALSE), IFERROR(VLOOKUP($A393,'Telstra ExDa'!$B$2:$K$310, 7,FALSE), IFERROR(VLOOKUP($A393,'Vocus RVC ExDa'!$C$2:$R$155, 2,FALSE), IFERROR(VLOOKUP($A393,'Fusion ExDa'!$B$2:$D$16, 3,FALSE), IFERROR(VLOOKUP($A393,'Exetel ExDa'!$C$2:$N$14, 0,FALSE), IFERROR(VLOOKUP($A393,'Infinet ExDa'!$B$2:$E$14, 0,FALSE), "Not Found"))))))))</f>
        <v>Not Found</v>
      </c>
      <c r="K393" t="str">
        <f>IFERROR(VLOOKUP($A393,'AAPT ExDa'!$B$2:$U$99, 12,FALSE), IFERROR(VLOOKUP($A393,'ABB ExDa'!$A$2:$N$184, 0,FALSE), IFERROR(VLOOKUP($A393,'Vocus SIT ExDa'!$B$2:$J$173, 0,FALSE), IFERROR(VLOOKUP($A393,'Telstra ExDa'!$B$2:$K$310, 0,FALSE), IFERROR(VLOOKUP($A393,'Vocus RVC ExDa'!$C$2:$R$155, 0,FALSE), IFERROR(VLOOKUP($A393,'Fusion ExDa'!$B$2:$D$16, 0,FALSE), IFERROR(VLOOKUP($A393,'Exetel ExDa'!$C$2:$N$14, 12,FALSE), IFERROR(VLOOKUP($A393,'Infinet ExDa'!$B$2:$E$14, 0,FALSE), "Not Found"))))))))</f>
        <v>Not Found</v>
      </c>
      <c r="L393" s="235" t="str">
        <f>IFERROR(VLOOKUP($A393,'AAPT ExDa'!$B$2:$U$99, 11,FALSE), IFERROR(VLOOKUP($A393,'ABB ExDa'!$A$2:$N$184, 9,FALSE), IFERROR(VLOOKUP($A393,'Vocus SIT ExDa'!$B$2:$J$173, 8,FALSE), IFERROR(VLOOKUP($A393,'Telstra ExDa'!$B$2:$K$310, 0,FALSE), IFERROR(VLOOKUP($A393,'Vocus RVC ExDa'!$C$2:$R$155, 0,FALSE), IFERROR(VLOOKUP($A393,'Fusion ExDa'!$B$2:$D$16, 0,FALSE), IFERROR(VLOOKUP($A393,'Exetel ExDa'!$C$2:$N$14, 9,FALSE), IFERROR(VLOOKUP($A393,'Infinet ExDa'!$B$2:$E$14, 0,FALSE), "Not Found"))))))))</f>
        <v>Not Found</v>
      </c>
      <c r="M393" s="234" t="str">
        <f>IFERROR(VLOOKUP($A393,'AAPT ExDa'!$B$2:$U$99, 0,FALSE), IFERROR(VLOOKUP($A393,'ABB ExDa'!$A$2:$N$184, 0,FALSE), IFERROR(VLOOKUP($A393,'Vocus SIT ExDa'!$B$2:$J$173, 0,FALSE), IFERROR(VLOOKUP($A393,'Telstra ExDa'!$B$2:$K$310, 0,FALSE), IFERROR(VLOOKUP($A393,'Vocus RVC ExDa'!$C$2:$R$155, 0,FALSE), IFERROR(VLOOKUP($A393,'Fusion ExDa'!$B$2:$D$16, 0,FALSE), IFERROR(VLOOKUP($A393,'Exetel ExDa'!$C$2:$N$14, 11,FALSE), IFERROR(VLOOKUP($A393,'Infinet ExDa'!$B$2:$E$14, 0,FALSE), "Not Found"))))))))</f>
        <v>Not Found</v>
      </c>
      <c r="N393" t="str">
        <f>IFERROR(VLOOKUP($A393,'AAPT ExDa'!$B$2:$U$99, 0,FALSE), IFERROR(VLOOKUP($A393,'ABB ExDa'!$A$2:$N$184, 13,FALSE), IFERROR(VLOOKUP($A393,'Vocus SIT ExDa'!$B$2:$J$173, 0,FALSE), IFERROR(VLOOKUP($A393,'Telstra ExDa'!$B$2:$K$310, 0,FALSE), IFERROR(VLOOKUP($A393,'Vocus RVC ExDa'!$C$2:$R$155, 0,FALSE), IFERROR(VLOOKUP($A393,'Fusion ExDa'!$B$2:$D$16, 0,FALSE), IFERROR(VLOOKUP($A393,'Exetel ExDa'!$C$2:$N$14, 0,FALSE), IFERROR(VLOOKUP($A393,'Infinet ExDa'!$B$2:$E$14, 0,FALSE), "Not Found"))))))))</f>
        <v>Not Found</v>
      </c>
    </row>
    <row r="394" spans="1:14">
      <c r="A394">
        <v>0</v>
      </c>
      <c r="B394" t="str">
        <f>IFERROR(VLOOKUP(A394,'Exetel ExDa'!$C$2:$N$14,4,FALSE),"No Data")</f>
        <v>No Data</v>
      </c>
      <c r="C394" t="str">
        <f>IFERROR(VLOOKUP(A394,'AAPT ExDa'!$B$2:$U$99, 2,FALSE), IFERROR(VLOOKUP(A394,'ABB ExDa'!$A$2:$N$184, 2,FALSE), IFERROR(VLOOKUP(A394,'Vocus SIT ExDa'!$B$2:$J$173, 7,FALSE), IFERROR(VLOOKUP(A394,'Telstra ExDa'!$B$2:$K$310, 2,FALSE), IFERROR(VLOOKUP(A394,'Vocus RVC ExDa'!$C$2:$R$155, 3,FALSE), IFERROR(VLOOKUP(A394,'Fusion ExDa'!$B$2:$D$16, 2,FALSE), IFERROR(VLOOKUP(A394,'Exetel ExDa'!$C$2:$N$14, 2,FALSE), IFERROR(VLOOKUP(A394,'Infinet ExDa'!$B$2:$E$14, 2,FALSE), "Not Found"))))))))</f>
        <v>Not Found</v>
      </c>
      <c r="D394" t="str">
        <f>IFERROR(VLOOKUP($A394,'AAPT ExDa'!$B$2:$U$99, 15,FALSE), IFERROR(VLOOKUP($A394,'ABB ExDa'!$A$2:$N$184, 4,FALSE), IFERROR(VLOOKUP($A394,'Vocus SIT ExDa'!$B$2:$J$173, 5,FALSE), IFERROR(VLOOKUP($A394,'Telstra ExDa'!$B$2:$K$310, 8,FALSE), IFERROR(VLOOKUP($A394,'Vocus RVC ExDa'!$C$2:$R$155, 6,FALSE), IFERROR(VLOOKUP($A394,'Fusion ExDa'!$B$2:$D$16, 4,FALSE), IFERROR(VLOOKUP($A394,'Exetel ExDa'!$C$2:$N$14, 3,FALSE), IFERROR(VLOOKUP($A394,'Infinet ExDa'!$B$2:$E$14, 3,FALSE), "Not Found"))))))))</f>
        <v>Not Found</v>
      </c>
      <c r="E394" t="str">
        <f>IFERROR(VLOOKUP($A394,'AAPT ExDa'!$B$2:$U$99, 3,FALSE), IFERROR(VLOOKUP($A394,'ABB ExDa'!$A$2:$N$184, 5,FALSE), IFERROR(VLOOKUP($A394,'Vocus SIT ExDa'!$B$2:$J$173, 2,FALSE), IFERROR(VLOOKUP($A394,'Telstra ExDa'!$B$2:$K$310, 4,FALSE), IFERROR(VLOOKUP($A394,'Vocus RVC ExDa'!$C$2:$R$155, 8,FALSE), IFERROR(VLOOKUP($A394,'Fusion ExDa'!$B$2:$D$16, 4,FALSE), IFERROR(VLOOKUP($A394,'Exetel ExDa'!$C$2:$N$14, 5,FALSE), IFERROR(VLOOKUP($A394,'Infinet ExDa'!$B$2:$E$14, 3,FALSE), "Not Found"))))))))</f>
        <v>Not Found</v>
      </c>
      <c r="F394" t="str">
        <f>IFERROR(VLOOKUP($A394,'AAPT ExDa'!$B$2:$U$99, 4,FALSE), IFERROR(VLOOKUP($A394,'ABB ExDa'!$A$2:$N$184, 6,FALSE), IFERROR(VLOOKUP($A394,'Vocus SIT ExDa'!$B$2:$J$173, 3,FALSE), IFERROR(VLOOKUP($A394,'Telstra ExDa'!$B$2:$K$310, 5,FALSE), IFERROR(VLOOKUP($A394,'Vocus RVC ExDa'!$C$2:$R$155, 9,FALSE), IFERROR(VLOOKUP($A394,'Fusion ExDa'!$B$2:$D$16, 0,FALSE), IFERROR(VLOOKUP($A394,'Exetel ExDa'!$C$2:$N$14, 6,FALSE), IFERROR(VLOOKUP($A394,'Infinet ExDa'!$B$2:$E$14, 0,FALSE), "Not Found"))))))))</f>
        <v>Not Found</v>
      </c>
      <c r="G394" t="str">
        <f>IFERROR(VLOOKUP($A394,'AAPT ExDa'!$B$2:$U$99, 5,FALSE), IFERROR(VLOOKUP($A394,'ABB ExDa'!$A$2:$N$184, 8,FALSE), IFERROR(VLOOKUP($A394,'Vocus SIT ExDa'!$B$2:$J$173, 6,FALSE), IFERROR(VLOOKUP($A394,'Telstra ExDa'!$B$2:$K$310, 0,FALSE), IFERROR(VLOOKUP($A394,'Vocus RVC ExDa'!$C$2:$R$155, 15,FALSE), IFERROR(VLOOKUP($A394,'Fusion ExDa'!$B$2:$D$16, 0,FALSE), IFERROR(VLOOKUP($A394,'Exetel ExDa'!$C$2:$N$14, 7,FALSE), IFERROR(VLOOKUP($A394,'Infinet ExDa'!$B$2:$E$14, 0,FALSE), "Not Found"))))))))</f>
        <v>Not Found</v>
      </c>
      <c r="H394" t="str">
        <f>IFERROR(VLOOKUP($A394,'AAPT ExDa'!$B$2:$U$99, 6,FALSE), IFERROR(VLOOKUP($A394,'ABB ExDa'!$A$2:$N$184, 0,FALSE), IFERROR(VLOOKUP($A394,'Vocus SIT ExDa'!$B$2:$J$173, 0,FALSE), IFERROR(VLOOKUP($A394,'Telstra ExDa'!$B$2:$K$310, 0,FALSE), IFERROR(VLOOKUP($A394,'Vocus RVC ExDa'!$C$2:$R$155, 16,FALSE), IFERROR(VLOOKUP($A394,'Fusion ExDa'!$B$2:$D$16, 0,FALSE), IFERROR(VLOOKUP($A394,'Exetel ExDa'!$C$2:$N$14, 0,FALSE), IFERROR(VLOOKUP($A394,'Infinet ExDa'!$B$2:$E$14, 0,FALSE), "Not Found"))))))))</f>
        <v>Not Found</v>
      </c>
      <c r="I394" t="str">
        <f>IFERROR(VLOOKUP($A394,'AAPT ExDa'!$B$2:$U$99, 0,FALSE), IFERROR(VLOOKUP($A394,'ABB ExDa'!$A$2:$N$184, 0,FALSE), IFERROR(VLOOKUP($A394,'Vocus SIT ExDa'!$B$2:$J$173, 0,FALSE), IFERROR(VLOOKUP($A394,'Telstra ExDa'!$B$2:$K$310, 0,FALSE), IFERROR(VLOOKUP($A394,'Vocus RVC ExDa'!$C$2:$R$155, 0,FALSE), IFERROR(VLOOKUP($A394,'Fusion ExDa'!$B$2:$D$16, 0,FALSE), IFERROR(VLOOKUP($A394,'Exetel ExDa'!$C$2:$N$14, 8,FALSE), IFERROR(VLOOKUP($A394,'Infinet ExDa'!$B$2:$E$14, 0,FALSE), "Not Found"))))))))</f>
        <v>Not Found</v>
      </c>
      <c r="J394" t="str">
        <f>IFERROR(VLOOKUP($A394,'AAPT ExDa'!$B$2:$U$99, 7,FALSE), IFERROR(VLOOKUP($A394,'ABB ExDa'!$A$2:$N$184, 2,FALSE), IFERROR(VLOOKUP($A394,'Vocus SIT ExDa'!$B$2:$J$173, 0,FALSE), IFERROR(VLOOKUP($A394,'Telstra ExDa'!$B$2:$K$310, 7,FALSE), IFERROR(VLOOKUP($A394,'Vocus RVC ExDa'!$C$2:$R$155, 2,FALSE), IFERROR(VLOOKUP($A394,'Fusion ExDa'!$B$2:$D$16, 3,FALSE), IFERROR(VLOOKUP($A394,'Exetel ExDa'!$C$2:$N$14, 0,FALSE), IFERROR(VLOOKUP($A394,'Infinet ExDa'!$B$2:$E$14, 0,FALSE), "Not Found"))))))))</f>
        <v>Not Found</v>
      </c>
      <c r="K394" t="str">
        <f>IFERROR(VLOOKUP($A394,'AAPT ExDa'!$B$2:$U$99, 12,FALSE), IFERROR(VLOOKUP($A394,'ABB ExDa'!$A$2:$N$184, 0,FALSE), IFERROR(VLOOKUP($A394,'Vocus SIT ExDa'!$B$2:$J$173, 0,FALSE), IFERROR(VLOOKUP($A394,'Telstra ExDa'!$B$2:$K$310, 0,FALSE), IFERROR(VLOOKUP($A394,'Vocus RVC ExDa'!$C$2:$R$155, 0,FALSE), IFERROR(VLOOKUP($A394,'Fusion ExDa'!$B$2:$D$16, 0,FALSE), IFERROR(VLOOKUP($A394,'Exetel ExDa'!$C$2:$N$14, 12,FALSE), IFERROR(VLOOKUP($A394,'Infinet ExDa'!$B$2:$E$14, 0,FALSE), "Not Found"))))))))</f>
        <v>Not Found</v>
      </c>
      <c r="L394" s="235" t="str">
        <f>IFERROR(VLOOKUP($A394,'AAPT ExDa'!$B$2:$U$99, 11,FALSE), IFERROR(VLOOKUP($A394,'ABB ExDa'!$A$2:$N$184, 9,FALSE), IFERROR(VLOOKUP($A394,'Vocus SIT ExDa'!$B$2:$J$173, 8,FALSE), IFERROR(VLOOKUP($A394,'Telstra ExDa'!$B$2:$K$310, 0,FALSE), IFERROR(VLOOKUP($A394,'Vocus RVC ExDa'!$C$2:$R$155, 0,FALSE), IFERROR(VLOOKUP($A394,'Fusion ExDa'!$B$2:$D$16, 0,FALSE), IFERROR(VLOOKUP($A394,'Exetel ExDa'!$C$2:$N$14, 9,FALSE), IFERROR(VLOOKUP($A394,'Infinet ExDa'!$B$2:$E$14, 0,FALSE), "Not Found"))))))))</f>
        <v>Not Found</v>
      </c>
      <c r="M394" s="234" t="str">
        <f>IFERROR(VLOOKUP($A394,'AAPT ExDa'!$B$2:$U$99, 0,FALSE), IFERROR(VLOOKUP($A394,'ABB ExDa'!$A$2:$N$184, 0,FALSE), IFERROR(VLOOKUP($A394,'Vocus SIT ExDa'!$B$2:$J$173, 0,FALSE), IFERROR(VLOOKUP($A394,'Telstra ExDa'!$B$2:$K$310, 0,FALSE), IFERROR(VLOOKUP($A394,'Vocus RVC ExDa'!$C$2:$R$155, 0,FALSE), IFERROR(VLOOKUP($A394,'Fusion ExDa'!$B$2:$D$16, 0,FALSE), IFERROR(VLOOKUP($A394,'Exetel ExDa'!$C$2:$N$14, 11,FALSE), IFERROR(VLOOKUP($A394,'Infinet ExDa'!$B$2:$E$14, 0,FALSE), "Not Found"))))))))</f>
        <v>Not Found</v>
      </c>
      <c r="N394" t="str">
        <f>IFERROR(VLOOKUP($A394,'AAPT ExDa'!$B$2:$U$99, 0,FALSE), IFERROR(VLOOKUP($A394,'ABB ExDa'!$A$2:$N$184, 13,FALSE), IFERROR(VLOOKUP($A394,'Vocus SIT ExDa'!$B$2:$J$173, 0,FALSE), IFERROR(VLOOKUP($A394,'Telstra ExDa'!$B$2:$K$310, 0,FALSE), IFERROR(VLOOKUP($A394,'Vocus RVC ExDa'!$C$2:$R$155, 0,FALSE), IFERROR(VLOOKUP($A394,'Fusion ExDa'!$B$2:$D$16, 0,FALSE), IFERROR(VLOOKUP($A394,'Exetel ExDa'!$C$2:$N$14, 0,FALSE), IFERROR(VLOOKUP($A394,'Infinet ExDa'!$B$2:$E$14, 0,FALSE), "Not Found"))))))))</f>
        <v>Not Found</v>
      </c>
    </row>
    <row r="395" spans="1:14">
      <c r="A395" t="str">
        <v>T2 Electrical</v>
      </c>
      <c r="B395" t="str">
        <f>IFERROR(VLOOKUP(A395,'Exetel ExDa'!$C$2:$N$14,4,FALSE),"No Data")</f>
        <v>No Data</v>
      </c>
      <c r="C395">
        <f>IFERROR(VLOOKUP(A395,'AAPT ExDa'!$B$2:$U$99, 2,FALSE), IFERROR(VLOOKUP(A395,'ABB ExDa'!$A$2:$N$184, 2,FALSE), IFERROR(VLOOKUP(A395,'Vocus SIT ExDa'!$B$2:$J$173, 7,FALSE), IFERROR(VLOOKUP(A395,'Telstra ExDa'!$B$2:$K$310, 2,FALSE), IFERROR(VLOOKUP(A395,'Vocus RVC ExDa'!$C$2:$R$155, 3,FALSE), IFERROR(VLOOKUP(A395,'Fusion ExDa'!$B$2:$D$16, 2,FALSE), IFERROR(VLOOKUP(A395,'Exetel ExDa'!$C$2:$N$14, 2,FALSE), IFERROR(VLOOKUP(A395,'Infinet ExDa'!$B$2:$E$14, 2,FALSE), "Not Found"))))))))</f>
        <v>0</v>
      </c>
      <c r="D395" t="str">
        <f>IFERROR(VLOOKUP($A395,'AAPT ExDa'!$B$2:$U$99, 15,FALSE), IFERROR(VLOOKUP($A395,'ABB ExDa'!$A$2:$N$184, 4,FALSE), IFERROR(VLOOKUP($A395,'Vocus SIT ExDa'!$B$2:$J$173, 5,FALSE), IFERROR(VLOOKUP($A395,'Telstra ExDa'!$B$2:$K$310, 8,FALSE), IFERROR(VLOOKUP($A395,'Vocus RVC ExDa'!$C$2:$R$155, 6,FALSE), IFERROR(VLOOKUP($A395,'Fusion ExDa'!$B$2:$D$16, 4,FALSE), IFERROR(VLOOKUP($A395,'Exetel ExDa'!$C$2:$N$14, 3,FALSE), IFERROR(VLOOKUP($A395,'Infinet ExDa'!$B$2:$E$14, 3,FALSE), "Not Found"))))))))</f>
        <v>AAPT</v>
      </c>
      <c r="E395" t="str">
        <f>IFERROR(VLOOKUP($A395,'AAPT ExDa'!$B$2:$U$99, 3,FALSE), IFERROR(VLOOKUP($A395,'ABB ExDa'!$A$2:$N$184, 5,FALSE), IFERROR(VLOOKUP($A395,'Vocus SIT ExDa'!$B$2:$J$173, 2,FALSE), IFERROR(VLOOKUP($A395,'Telstra ExDa'!$B$2:$K$310, 4,FALSE), IFERROR(VLOOKUP($A395,'Vocus RVC ExDa'!$C$2:$R$155, 8,FALSE), IFERROR(VLOOKUP($A395,'Fusion ExDa'!$B$2:$D$16, 4,FALSE), IFERROR(VLOOKUP($A395,'Exetel ExDa'!$C$2:$N$14, 5,FALSE), IFERROR(VLOOKUP($A395,'Infinet ExDa'!$B$2:$E$14, 3,FALSE), "Not Found"))))))))</f>
        <v>IP-Line</v>
      </c>
      <c r="F395" t="str">
        <f>IFERROR(VLOOKUP($A395,'AAPT ExDa'!$B$2:$U$99, 4,FALSE), IFERROR(VLOOKUP($A395,'ABB ExDa'!$A$2:$N$184, 6,FALSE), IFERROR(VLOOKUP($A395,'Vocus SIT ExDa'!$B$2:$J$173, 3,FALSE), IFERROR(VLOOKUP($A395,'Telstra ExDa'!$B$2:$K$310, 5,FALSE), IFERROR(VLOOKUP($A395,'Vocus RVC ExDa'!$C$2:$R$155, 9,FALSE), IFERROR(VLOOKUP($A395,'Fusion ExDa'!$B$2:$D$16, 0,FALSE), IFERROR(VLOOKUP($A395,'Exetel ExDa'!$C$2:$N$14, 6,FALSE), IFERROR(VLOOKUP($A395,'Infinet ExDa'!$B$2:$E$14, 0,FALSE), "Not Found"))))))))</f>
        <v>IP-Line Link</v>
      </c>
      <c r="G395" t="str">
        <f>IFERROR(VLOOKUP($A395,'AAPT ExDa'!$B$2:$U$99, 5,FALSE), IFERROR(VLOOKUP($A395,'ABB ExDa'!$A$2:$N$184, 8,FALSE), IFERROR(VLOOKUP($A395,'Vocus SIT ExDa'!$B$2:$J$173, 6,FALSE), IFERROR(VLOOKUP($A395,'Telstra ExDa'!$B$2:$K$310, 0,FALSE), IFERROR(VLOOKUP($A395,'Vocus RVC ExDa'!$C$2:$R$155, 15,FALSE), IFERROR(VLOOKUP($A395,'Fusion ExDa'!$B$2:$D$16, 0,FALSE), IFERROR(VLOOKUP($A395,'Exetel ExDa'!$C$2:$N$14, 7,FALSE), IFERROR(VLOOKUP($A395,'Infinet ExDa'!$B$2:$E$14, 0,FALSE), "Not Found"))))))))</f>
        <v>Connecting IP-Line 6023265 to Access 1814827</v>
      </c>
      <c r="H395" t="str">
        <f>IFERROR(VLOOKUP($A395,'AAPT ExDa'!$B$2:$U$99, 6,FALSE), IFERROR(VLOOKUP($A395,'ABB ExDa'!$A$2:$N$184, 0,FALSE), IFERROR(VLOOKUP($A395,'Vocus SIT ExDa'!$B$2:$J$173, 0,FALSE), IFERROR(VLOOKUP($A395,'Telstra ExDa'!$B$2:$K$310, 0,FALSE), IFERROR(VLOOKUP($A395,'Vocus RVC ExDa'!$C$2:$R$155, 16,FALSE), IFERROR(VLOOKUP($A395,'Fusion ExDa'!$B$2:$D$16, 0,FALSE), IFERROR(VLOOKUP($A395,'Exetel ExDa'!$C$2:$N$14, 0,FALSE), IFERROR(VLOOKUP($A395,'Infinet ExDa'!$B$2:$E$14, 0,FALSE), "Not Found"))))))))</f>
        <v>Up to 100/40Mbps; AVC ID:AVC400024089343</v>
      </c>
      <c r="I395" t="str">
        <f>IFERROR(VLOOKUP($A395,'AAPT ExDa'!$B$2:$U$99, 0,FALSE), IFERROR(VLOOKUP($A395,'ABB ExDa'!$A$2:$N$184, 0,FALSE), IFERROR(VLOOKUP($A395,'Vocus SIT ExDa'!$B$2:$J$173, 0,FALSE), IFERROR(VLOOKUP($A395,'Telstra ExDa'!$B$2:$K$310, 0,FALSE), IFERROR(VLOOKUP($A395,'Vocus RVC ExDa'!$C$2:$R$155, 0,FALSE), IFERROR(VLOOKUP($A395,'Fusion ExDa'!$B$2:$D$16, 0,FALSE), IFERROR(VLOOKUP($A395,'Exetel ExDa'!$C$2:$N$14, 8,FALSE), IFERROR(VLOOKUP($A395,'Infinet ExDa'!$B$2:$E$14, 0,FALSE), "Not Found"))))))))</f>
        <v>Not Found</v>
      </c>
      <c r="J395" t="str">
        <f>IFERROR(VLOOKUP($A395,'AAPT ExDa'!$B$2:$U$99, 7,FALSE), IFERROR(VLOOKUP($A395,'ABB ExDa'!$A$2:$N$184, 2,FALSE), IFERROR(VLOOKUP($A395,'Vocus SIT ExDa'!$B$2:$J$173, 0,FALSE), IFERROR(VLOOKUP($A395,'Telstra ExDa'!$B$2:$K$310, 7,FALSE), IFERROR(VLOOKUP($A395,'Vocus RVC ExDa'!$C$2:$R$155, 2,FALSE), IFERROR(VLOOKUP($A395,'Fusion ExDa'!$B$2:$D$16, 3,FALSE), IFERROR(VLOOKUP($A395,'Exetel ExDa'!$C$2:$N$14, 0,FALSE), IFERROR(VLOOKUP($A395,'Infinet ExDa'!$B$2:$E$14, 0,FALSE), "Not Found"))))))))</f>
        <v>AVC400024089343</v>
      </c>
      <c r="K395" t="str">
        <f>IFERROR(VLOOKUP($A395,'AAPT ExDa'!$B$2:$U$99, 12,FALSE), IFERROR(VLOOKUP($A395,'ABB ExDa'!$A$2:$N$184, 0,FALSE), IFERROR(VLOOKUP($A395,'Vocus SIT ExDa'!$B$2:$J$173, 0,FALSE), IFERROR(VLOOKUP($A395,'Telstra ExDa'!$B$2:$K$310, 0,FALSE), IFERROR(VLOOKUP($A395,'Vocus RVC ExDa'!$C$2:$R$155, 0,FALSE), IFERROR(VLOOKUP($A395,'Fusion ExDa'!$B$2:$D$16, 0,FALSE), IFERROR(VLOOKUP($A395,'Exetel ExDa'!$C$2:$N$14, 12,FALSE), IFERROR(VLOOKUP($A395,'Infinet ExDa'!$B$2:$E$14, 0,FALSE), "Not Found"))))))))</f>
        <v>24 Months</v>
      </c>
      <c r="L395" s="235" t="str">
        <f>IFERROR(VLOOKUP($A395,'AAPT ExDa'!$B$2:$U$99, 11,FALSE), IFERROR(VLOOKUP($A395,'ABB ExDa'!$A$2:$N$184, 9,FALSE), IFERROR(VLOOKUP($A395,'Vocus SIT ExDa'!$B$2:$J$173, 8,FALSE), IFERROR(VLOOKUP($A395,'Telstra ExDa'!$B$2:$K$310, 0,FALSE), IFERROR(VLOOKUP($A395,'Vocus RVC ExDa'!$C$2:$R$155, 0,FALSE), IFERROR(VLOOKUP($A395,'Fusion ExDa'!$B$2:$D$16, 0,FALSE), IFERROR(VLOOKUP($A395,'Exetel ExDa'!$C$2:$N$14, 9,FALSE), IFERROR(VLOOKUP($A395,'Infinet ExDa'!$B$2:$E$14, 0,FALSE), "Not Found"))))))))</f>
        <v>19/03/2020</v>
      </c>
      <c r="M395" s="234" t="str">
        <f>IFERROR(VLOOKUP($A395,'AAPT ExDa'!$B$2:$U$99, 0,FALSE), IFERROR(VLOOKUP($A395,'ABB ExDa'!$A$2:$N$184, 0,FALSE), IFERROR(VLOOKUP($A395,'Vocus SIT ExDa'!$B$2:$J$173, 0,FALSE), IFERROR(VLOOKUP($A395,'Telstra ExDa'!$B$2:$K$310, 0,FALSE), IFERROR(VLOOKUP($A395,'Vocus RVC ExDa'!$C$2:$R$155, 0,FALSE), IFERROR(VLOOKUP($A395,'Fusion ExDa'!$B$2:$D$16, 0,FALSE), IFERROR(VLOOKUP($A395,'Exetel ExDa'!$C$2:$N$14, 11,FALSE), IFERROR(VLOOKUP($A395,'Infinet ExDa'!$B$2:$E$14, 0,FALSE), "Not Found"))))))))</f>
        <v>Not Found</v>
      </c>
      <c r="N395" t="str">
        <f>IFERROR(VLOOKUP($A395,'AAPT ExDa'!$B$2:$U$99, 0,FALSE), IFERROR(VLOOKUP($A395,'ABB ExDa'!$A$2:$N$184, 13,FALSE), IFERROR(VLOOKUP($A395,'Vocus SIT ExDa'!$B$2:$J$173, 0,FALSE), IFERROR(VLOOKUP($A395,'Telstra ExDa'!$B$2:$K$310, 0,FALSE), IFERROR(VLOOKUP($A395,'Vocus RVC ExDa'!$C$2:$R$155, 0,FALSE), IFERROR(VLOOKUP($A395,'Fusion ExDa'!$B$2:$D$16, 0,FALSE), IFERROR(VLOOKUP($A395,'Exetel ExDa'!$C$2:$N$14, 0,FALSE), IFERROR(VLOOKUP($A395,'Infinet ExDa'!$B$2:$E$14, 0,FALSE), "Not Found"))))))))</f>
        <v>Not Found</v>
      </c>
    </row>
    <row r="396" spans="1:14">
      <c r="A396" t="str">
        <v>T2 Electrical</v>
      </c>
      <c r="B396" t="str">
        <f>IFERROR(VLOOKUP(A396,'Exetel ExDa'!$C$2:$N$14,4,FALSE),"No Data")</f>
        <v>No Data</v>
      </c>
      <c r="C396">
        <f>IFERROR(VLOOKUP(A396,'AAPT ExDa'!$B$2:$U$99, 2,FALSE), IFERROR(VLOOKUP(A396,'ABB ExDa'!$A$2:$N$184, 2,FALSE), IFERROR(VLOOKUP(A396,'Vocus SIT ExDa'!$B$2:$J$173, 7,FALSE), IFERROR(VLOOKUP(A396,'Telstra ExDa'!$B$2:$K$310, 2,FALSE), IFERROR(VLOOKUP(A396,'Vocus RVC ExDa'!$C$2:$R$155, 3,FALSE), IFERROR(VLOOKUP(A396,'Fusion ExDa'!$B$2:$D$16, 2,FALSE), IFERROR(VLOOKUP(A396,'Exetel ExDa'!$C$2:$N$14, 2,FALSE), IFERROR(VLOOKUP(A396,'Infinet ExDa'!$B$2:$E$14, 2,FALSE), "Not Found"))))))))</f>
        <v>0</v>
      </c>
      <c r="D396" t="str">
        <f>IFERROR(VLOOKUP($A396,'AAPT ExDa'!$B$2:$U$99, 15,FALSE), IFERROR(VLOOKUP($A396,'ABB ExDa'!$A$2:$N$184, 4,FALSE), IFERROR(VLOOKUP($A396,'Vocus SIT ExDa'!$B$2:$J$173, 5,FALSE), IFERROR(VLOOKUP($A396,'Telstra ExDa'!$B$2:$K$310, 8,FALSE), IFERROR(VLOOKUP($A396,'Vocus RVC ExDa'!$C$2:$R$155, 6,FALSE), IFERROR(VLOOKUP($A396,'Fusion ExDa'!$B$2:$D$16, 4,FALSE), IFERROR(VLOOKUP($A396,'Exetel ExDa'!$C$2:$N$14, 3,FALSE), IFERROR(VLOOKUP($A396,'Infinet ExDa'!$B$2:$E$14, 3,FALSE), "Not Found"))))))))</f>
        <v>AAPT</v>
      </c>
      <c r="E396" t="str">
        <f>IFERROR(VLOOKUP($A396,'AAPT ExDa'!$B$2:$U$99, 3,FALSE), IFERROR(VLOOKUP($A396,'ABB ExDa'!$A$2:$N$184, 5,FALSE), IFERROR(VLOOKUP($A396,'Vocus SIT ExDa'!$B$2:$J$173, 2,FALSE), IFERROR(VLOOKUP($A396,'Telstra ExDa'!$B$2:$K$310, 4,FALSE), IFERROR(VLOOKUP($A396,'Vocus RVC ExDa'!$C$2:$R$155, 8,FALSE), IFERROR(VLOOKUP($A396,'Fusion ExDa'!$B$2:$D$16, 4,FALSE), IFERROR(VLOOKUP($A396,'Exetel ExDa'!$C$2:$N$14, 5,FALSE), IFERROR(VLOOKUP($A396,'Infinet ExDa'!$B$2:$E$14, 3,FALSE), "Not Found"))))))))</f>
        <v>IP-Line</v>
      </c>
      <c r="F396" t="str">
        <f>IFERROR(VLOOKUP($A396,'AAPT ExDa'!$B$2:$U$99, 4,FALSE), IFERROR(VLOOKUP($A396,'ABB ExDa'!$A$2:$N$184, 6,FALSE), IFERROR(VLOOKUP($A396,'Vocus SIT ExDa'!$B$2:$J$173, 3,FALSE), IFERROR(VLOOKUP($A396,'Telstra ExDa'!$B$2:$K$310, 5,FALSE), IFERROR(VLOOKUP($A396,'Vocus RVC ExDa'!$C$2:$R$155, 9,FALSE), IFERROR(VLOOKUP($A396,'Fusion ExDa'!$B$2:$D$16, 0,FALSE), IFERROR(VLOOKUP($A396,'Exetel ExDa'!$C$2:$N$14, 6,FALSE), IFERROR(VLOOKUP($A396,'Infinet ExDa'!$B$2:$E$14, 0,FALSE), "Not Found"))))))))</f>
        <v>IP-Line Link</v>
      </c>
      <c r="G396" t="str">
        <f>IFERROR(VLOOKUP($A396,'AAPT ExDa'!$B$2:$U$99, 5,FALSE), IFERROR(VLOOKUP($A396,'ABB ExDa'!$A$2:$N$184, 8,FALSE), IFERROR(VLOOKUP($A396,'Vocus SIT ExDa'!$B$2:$J$173, 6,FALSE), IFERROR(VLOOKUP($A396,'Telstra ExDa'!$B$2:$K$310, 0,FALSE), IFERROR(VLOOKUP($A396,'Vocus RVC ExDa'!$C$2:$R$155, 15,FALSE), IFERROR(VLOOKUP($A396,'Fusion ExDa'!$B$2:$D$16, 0,FALSE), IFERROR(VLOOKUP($A396,'Exetel ExDa'!$C$2:$N$14, 7,FALSE), IFERROR(VLOOKUP($A396,'Infinet ExDa'!$B$2:$E$14, 0,FALSE), "Not Found"))))))))</f>
        <v>Connecting IP-Line 6023265 to Access 1814827</v>
      </c>
      <c r="H396" t="str">
        <f>IFERROR(VLOOKUP($A396,'AAPT ExDa'!$B$2:$U$99, 6,FALSE), IFERROR(VLOOKUP($A396,'ABB ExDa'!$A$2:$N$184, 0,FALSE), IFERROR(VLOOKUP($A396,'Vocus SIT ExDa'!$B$2:$J$173, 0,FALSE), IFERROR(VLOOKUP($A396,'Telstra ExDa'!$B$2:$K$310, 0,FALSE), IFERROR(VLOOKUP($A396,'Vocus RVC ExDa'!$C$2:$R$155, 16,FALSE), IFERROR(VLOOKUP($A396,'Fusion ExDa'!$B$2:$D$16, 0,FALSE), IFERROR(VLOOKUP($A396,'Exetel ExDa'!$C$2:$N$14, 0,FALSE), IFERROR(VLOOKUP($A396,'Infinet ExDa'!$B$2:$E$14, 0,FALSE), "Not Found"))))))))</f>
        <v>Up to 100/40Mbps; AVC ID:AVC400024089343</v>
      </c>
      <c r="I396" t="str">
        <f>IFERROR(VLOOKUP($A396,'AAPT ExDa'!$B$2:$U$99, 0,FALSE), IFERROR(VLOOKUP($A396,'ABB ExDa'!$A$2:$N$184, 0,FALSE), IFERROR(VLOOKUP($A396,'Vocus SIT ExDa'!$B$2:$J$173, 0,FALSE), IFERROR(VLOOKUP($A396,'Telstra ExDa'!$B$2:$K$310, 0,FALSE), IFERROR(VLOOKUP($A396,'Vocus RVC ExDa'!$C$2:$R$155, 0,FALSE), IFERROR(VLOOKUP($A396,'Fusion ExDa'!$B$2:$D$16, 0,FALSE), IFERROR(VLOOKUP($A396,'Exetel ExDa'!$C$2:$N$14, 8,FALSE), IFERROR(VLOOKUP($A396,'Infinet ExDa'!$B$2:$E$14, 0,FALSE), "Not Found"))))))))</f>
        <v>Not Found</v>
      </c>
      <c r="J396" t="str">
        <f>IFERROR(VLOOKUP($A396,'AAPT ExDa'!$B$2:$U$99, 7,FALSE), IFERROR(VLOOKUP($A396,'ABB ExDa'!$A$2:$N$184, 2,FALSE), IFERROR(VLOOKUP($A396,'Vocus SIT ExDa'!$B$2:$J$173, 0,FALSE), IFERROR(VLOOKUP($A396,'Telstra ExDa'!$B$2:$K$310, 7,FALSE), IFERROR(VLOOKUP($A396,'Vocus RVC ExDa'!$C$2:$R$155, 2,FALSE), IFERROR(VLOOKUP($A396,'Fusion ExDa'!$B$2:$D$16, 3,FALSE), IFERROR(VLOOKUP($A396,'Exetel ExDa'!$C$2:$N$14, 0,FALSE), IFERROR(VLOOKUP($A396,'Infinet ExDa'!$B$2:$E$14, 0,FALSE), "Not Found"))))))))</f>
        <v>AVC400024089343</v>
      </c>
      <c r="K396" t="str">
        <f>IFERROR(VLOOKUP($A396,'AAPT ExDa'!$B$2:$U$99, 12,FALSE), IFERROR(VLOOKUP($A396,'ABB ExDa'!$A$2:$N$184, 0,FALSE), IFERROR(VLOOKUP($A396,'Vocus SIT ExDa'!$B$2:$J$173, 0,FALSE), IFERROR(VLOOKUP($A396,'Telstra ExDa'!$B$2:$K$310, 0,FALSE), IFERROR(VLOOKUP($A396,'Vocus RVC ExDa'!$C$2:$R$155, 0,FALSE), IFERROR(VLOOKUP($A396,'Fusion ExDa'!$B$2:$D$16, 0,FALSE), IFERROR(VLOOKUP($A396,'Exetel ExDa'!$C$2:$N$14, 12,FALSE), IFERROR(VLOOKUP($A396,'Infinet ExDa'!$B$2:$E$14, 0,FALSE), "Not Found"))))))))</f>
        <v>24 Months</v>
      </c>
      <c r="L396" s="235" t="str">
        <f>IFERROR(VLOOKUP($A396,'AAPT ExDa'!$B$2:$U$99, 11,FALSE), IFERROR(VLOOKUP($A396,'ABB ExDa'!$A$2:$N$184, 9,FALSE), IFERROR(VLOOKUP($A396,'Vocus SIT ExDa'!$B$2:$J$173, 8,FALSE), IFERROR(VLOOKUP($A396,'Telstra ExDa'!$B$2:$K$310, 0,FALSE), IFERROR(VLOOKUP($A396,'Vocus RVC ExDa'!$C$2:$R$155, 0,FALSE), IFERROR(VLOOKUP($A396,'Fusion ExDa'!$B$2:$D$16, 0,FALSE), IFERROR(VLOOKUP($A396,'Exetel ExDa'!$C$2:$N$14, 9,FALSE), IFERROR(VLOOKUP($A396,'Infinet ExDa'!$B$2:$E$14, 0,FALSE), "Not Found"))))))))</f>
        <v>19/03/2020</v>
      </c>
      <c r="M396" s="234" t="str">
        <f>IFERROR(VLOOKUP($A396,'AAPT ExDa'!$B$2:$U$99, 0,FALSE), IFERROR(VLOOKUP($A396,'ABB ExDa'!$A$2:$N$184, 0,FALSE), IFERROR(VLOOKUP($A396,'Vocus SIT ExDa'!$B$2:$J$173, 0,FALSE), IFERROR(VLOOKUP($A396,'Telstra ExDa'!$B$2:$K$310, 0,FALSE), IFERROR(VLOOKUP($A396,'Vocus RVC ExDa'!$C$2:$R$155, 0,FALSE), IFERROR(VLOOKUP($A396,'Fusion ExDa'!$B$2:$D$16, 0,FALSE), IFERROR(VLOOKUP($A396,'Exetel ExDa'!$C$2:$N$14, 11,FALSE), IFERROR(VLOOKUP($A396,'Infinet ExDa'!$B$2:$E$14, 0,FALSE), "Not Found"))))))))</f>
        <v>Not Found</v>
      </c>
      <c r="N396" t="str">
        <f>IFERROR(VLOOKUP($A396,'AAPT ExDa'!$B$2:$U$99, 0,FALSE), IFERROR(VLOOKUP($A396,'ABB ExDa'!$A$2:$N$184, 13,FALSE), IFERROR(VLOOKUP($A396,'Vocus SIT ExDa'!$B$2:$J$173, 0,FALSE), IFERROR(VLOOKUP($A396,'Telstra ExDa'!$B$2:$K$310, 0,FALSE), IFERROR(VLOOKUP($A396,'Vocus RVC ExDa'!$C$2:$R$155, 0,FALSE), IFERROR(VLOOKUP($A396,'Fusion ExDa'!$B$2:$D$16, 0,FALSE), IFERROR(VLOOKUP($A396,'Exetel ExDa'!$C$2:$N$14, 0,FALSE), IFERROR(VLOOKUP($A396,'Infinet ExDa'!$B$2:$E$14, 0,FALSE), "Not Found"))))))))</f>
        <v>Not Found</v>
      </c>
    </row>
    <row r="397" spans="1:14">
      <c r="A397" t="str">
        <v xml:space="preserve">Lead Institute </v>
      </c>
      <c r="B397" t="str">
        <f>IFERROR(VLOOKUP(A397,'Exetel ExDa'!$C$2:$N$14,4,FALSE),"No Data")</f>
        <v>No Data</v>
      </c>
      <c r="C397">
        <f>IFERROR(VLOOKUP(A397,'AAPT ExDa'!$B$2:$U$99, 2,FALSE), IFERROR(VLOOKUP(A397,'ABB ExDa'!$A$2:$N$184, 2,FALSE), IFERROR(VLOOKUP(A397,'Vocus SIT ExDa'!$B$2:$J$173, 7,FALSE), IFERROR(VLOOKUP(A397,'Telstra ExDa'!$B$2:$K$310, 2,FALSE), IFERROR(VLOOKUP(A397,'Vocus RVC ExDa'!$C$2:$R$155, 3,FALSE), IFERROR(VLOOKUP(A397,'Fusion ExDa'!$B$2:$D$16, 2,FALSE), IFERROR(VLOOKUP(A397,'Exetel ExDa'!$C$2:$N$14, 2,FALSE), IFERROR(VLOOKUP(A397,'Infinet ExDa'!$B$2:$E$14, 2,FALSE), "Not Found"))))))))</f>
        <v>0</v>
      </c>
      <c r="D397" t="str">
        <f>IFERROR(VLOOKUP($A397,'AAPT ExDa'!$B$2:$U$99, 15,FALSE), IFERROR(VLOOKUP($A397,'ABB ExDa'!$A$2:$N$184, 4,FALSE), IFERROR(VLOOKUP($A397,'Vocus SIT ExDa'!$B$2:$J$173, 5,FALSE), IFERROR(VLOOKUP($A397,'Telstra ExDa'!$B$2:$K$310, 8,FALSE), IFERROR(VLOOKUP($A397,'Vocus RVC ExDa'!$C$2:$R$155, 6,FALSE), IFERROR(VLOOKUP($A397,'Fusion ExDa'!$B$2:$D$16, 4,FALSE), IFERROR(VLOOKUP($A397,'Exetel ExDa'!$C$2:$N$14, 3,FALSE), IFERROR(VLOOKUP($A397,'Infinet ExDa'!$B$2:$E$14, 3,FALSE), "Not Found"))))))))</f>
        <v>Vocus SIT</v>
      </c>
      <c r="E397" t="str">
        <f>IFERROR(VLOOKUP($A397,'AAPT ExDa'!$B$2:$U$99, 3,FALSE), IFERROR(VLOOKUP($A397,'ABB ExDa'!$A$2:$N$184, 5,FALSE), IFERROR(VLOOKUP($A397,'Vocus SIT ExDa'!$B$2:$J$173, 2,FALSE), IFERROR(VLOOKUP($A397,'Telstra ExDa'!$B$2:$K$310, 4,FALSE), IFERROR(VLOOKUP($A397,'Vocus RVC ExDa'!$C$2:$R$155, 8,FALSE), IFERROR(VLOOKUP($A397,'Fusion ExDa'!$B$2:$D$16, 4,FALSE), IFERROR(VLOOKUP($A397,'Exetel ExDa'!$C$2:$N$14, 5,FALSE), IFERROR(VLOOKUP($A397,'Infinet ExDa'!$B$2:$E$14, 3,FALSE), "Not Found"))))))))</f>
        <v>Voice Service</v>
      </c>
      <c r="F397" t="str">
        <f>IFERROR(VLOOKUP($A397,'AAPT ExDa'!$B$2:$U$99, 4,FALSE), IFERROR(VLOOKUP($A397,'ABB ExDa'!$A$2:$N$184, 6,FALSE), IFERROR(VLOOKUP($A397,'Vocus SIT ExDa'!$B$2:$J$173, 3,FALSE), IFERROR(VLOOKUP($A397,'Telstra ExDa'!$B$2:$K$310, 5,FALSE), IFERROR(VLOOKUP($A397,'Vocus RVC ExDa'!$C$2:$R$155, 9,FALSE), IFERROR(VLOOKUP($A397,'Fusion ExDa'!$B$2:$D$16, 0,FALSE), IFERROR(VLOOKUP($A397,'Exetel ExDa'!$C$2:$N$14, 6,FALSE), IFERROR(VLOOKUP($A397,'Infinet ExDa'!$B$2:$E$14, 0,FALSE), "Not Found"))))))))</f>
        <v>0749696764
0733489099
0746333674
0756301992
0745662411
0731391628
0741608907
0741608908
0753141019
0731391629
0731391651
0731391678
0749142476
0731391820
0731391821
0731391822
0731391823
0731391824
0731391825
0731391826
0731391827
0731391828
0746338711
0746421059
0746421135
0749549643
0754994640
0746341020
0746334008
0746334455</v>
      </c>
      <c r="G397" t="str">
        <f>IFERROR(VLOOKUP($A397,'AAPT ExDa'!$B$2:$U$99, 5,FALSE), IFERROR(VLOOKUP($A397,'ABB ExDa'!$A$2:$N$184, 8,FALSE), IFERROR(VLOOKUP($A397,'Vocus SIT ExDa'!$B$2:$J$173, 6,FALSE), IFERROR(VLOOKUP($A397,'Telstra ExDa'!$B$2:$K$310, 0,FALSE), IFERROR(VLOOKUP($A397,'Vocus RVC ExDa'!$C$2:$R$155, 15,FALSE), IFERROR(VLOOKUP($A397,'Fusion ExDa'!$B$2:$D$16, 0,FALSE), IFERROR(VLOOKUP($A397,'Exetel ExDa'!$C$2:$N$14, 7,FALSE), IFERROR(VLOOKUP($A397,'Infinet ExDa'!$B$2:$E$14, 0,FALSE), "Not Found"))))))))</f>
        <v>IP Tel Order - Smile Tel - 16/11/2020</v>
      </c>
      <c r="H397" t="str">
        <f>IFERROR(VLOOKUP($A397,'AAPT ExDa'!$B$2:$U$99, 6,FALSE), IFERROR(VLOOKUP($A397,'ABB ExDa'!$A$2:$N$184, 0,FALSE), IFERROR(VLOOKUP($A397,'Vocus SIT ExDa'!$B$2:$J$173, 0,FALSE), IFERROR(VLOOKUP($A397,'Telstra ExDa'!$B$2:$K$310, 0,FALSE), IFERROR(VLOOKUP($A397,'Vocus RVC ExDa'!$C$2:$R$155, 16,FALSE), IFERROR(VLOOKUP($A397,'Fusion ExDa'!$B$2:$D$16, 0,FALSE), IFERROR(VLOOKUP($A397,'Exetel ExDa'!$C$2:$N$14, 0,FALSE), IFERROR(VLOOKUP($A397,'Infinet ExDa'!$B$2:$E$14, 0,FALSE), "Not Found"))))))))</f>
        <v>Not Found</v>
      </c>
      <c r="I397" t="str">
        <f>IFERROR(VLOOKUP($A397,'AAPT ExDa'!$B$2:$U$99, 0,FALSE), IFERROR(VLOOKUP($A397,'ABB ExDa'!$A$2:$N$184, 0,FALSE), IFERROR(VLOOKUP($A397,'Vocus SIT ExDa'!$B$2:$J$173, 0,FALSE), IFERROR(VLOOKUP($A397,'Telstra ExDa'!$B$2:$K$310, 0,FALSE), IFERROR(VLOOKUP($A397,'Vocus RVC ExDa'!$C$2:$R$155, 0,FALSE), IFERROR(VLOOKUP($A397,'Fusion ExDa'!$B$2:$D$16, 0,FALSE), IFERROR(VLOOKUP($A397,'Exetel ExDa'!$C$2:$N$14, 8,FALSE), IFERROR(VLOOKUP($A397,'Infinet ExDa'!$B$2:$E$14, 0,FALSE), "Not Found"))))))))</f>
        <v>Not Found</v>
      </c>
      <c r="J397" t="str">
        <f>IFERROR(VLOOKUP($A397,'AAPT ExDa'!$B$2:$U$99, 7,FALSE), IFERROR(VLOOKUP($A397,'ABB ExDa'!$A$2:$N$184, 2,FALSE), IFERROR(VLOOKUP($A397,'Vocus SIT ExDa'!$B$2:$J$173, 0,FALSE), IFERROR(VLOOKUP($A397,'Telstra ExDa'!$B$2:$K$310, 7,FALSE), IFERROR(VLOOKUP($A397,'Vocus RVC ExDa'!$C$2:$R$155, 2,FALSE), IFERROR(VLOOKUP($A397,'Fusion ExDa'!$B$2:$D$16, 3,FALSE), IFERROR(VLOOKUP($A397,'Exetel ExDa'!$C$2:$N$14, 0,FALSE), IFERROR(VLOOKUP($A397,'Infinet ExDa'!$B$2:$E$14, 0,FALSE), "Not Found"))))))))</f>
        <v>Not Found</v>
      </c>
      <c r="K397" t="str">
        <f>IFERROR(VLOOKUP($A397,'AAPT ExDa'!$B$2:$U$99, 12,FALSE), IFERROR(VLOOKUP($A397,'ABB ExDa'!$A$2:$N$184, 0,FALSE), IFERROR(VLOOKUP($A397,'Vocus SIT ExDa'!$B$2:$J$173, 0,FALSE), IFERROR(VLOOKUP($A397,'Telstra ExDa'!$B$2:$K$310, 0,FALSE), IFERROR(VLOOKUP($A397,'Vocus RVC ExDa'!$C$2:$R$155, 0,FALSE), IFERROR(VLOOKUP($A397,'Fusion ExDa'!$B$2:$D$16, 0,FALSE), IFERROR(VLOOKUP($A397,'Exetel ExDa'!$C$2:$N$14, 12,FALSE), IFERROR(VLOOKUP($A397,'Infinet ExDa'!$B$2:$E$14, 0,FALSE), "Not Found"))))))))</f>
        <v>Not Found</v>
      </c>
      <c r="L397" s="235" t="str">
        <f>IFERROR(VLOOKUP($A397,'AAPT ExDa'!$B$2:$U$99, 11,FALSE), IFERROR(VLOOKUP($A397,'ABB ExDa'!$A$2:$N$184, 9,FALSE), IFERROR(VLOOKUP($A397,'Vocus SIT ExDa'!$B$2:$J$173, 8,FALSE), IFERROR(VLOOKUP($A397,'Telstra ExDa'!$B$2:$K$310, 0,FALSE), IFERROR(VLOOKUP($A397,'Vocus RVC ExDa'!$C$2:$R$155, 0,FALSE), IFERROR(VLOOKUP($A397,'Fusion ExDa'!$B$2:$D$16, 0,FALSE), IFERROR(VLOOKUP($A397,'Exetel ExDa'!$C$2:$N$14, 9,FALSE), IFERROR(VLOOKUP($A397,'Infinet ExDa'!$B$2:$E$14, 0,FALSE), "Not Found"))))))))</f>
        <v>24/09/2024</v>
      </c>
      <c r="M397" s="234" t="str">
        <f>IFERROR(VLOOKUP($A397,'AAPT ExDa'!$B$2:$U$99, 0,FALSE), IFERROR(VLOOKUP($A397,'ABB ExDa'!$A$2:$N$184, 0,FALSE), IFERROR(VLOOKUP($A397,'Vocus SIT ExDa'!$B$2:$J$173, 0,FALSE), IFERROR(VLOOKUP($A397,'Telstra ExDa'!$B$2:$K$310, 0,FALSE), IFERROR(VLOOKUP($A397,'Vocus RVC ExDa'!$C$2:$R$155, 0,FALSE), IFERROR(VLOOKUP($A397,'Fusion ExDa'!$B$2:$D$16, 0,FALSE), IFERROR(VLOOKUP($A397,'Exetel ExDa'!$C$2:$N$14, 11,FALSE), IFERROR(VLOOKUP($A397,'Infinet ExDa'!$B$2:$E$14, 0,FALSE), "Not Found"))))))))</f>
        <v>Not Found</v>
      </c>
      <c r="N397" t="str">
        <f>IFERROR(VLOOKUP($A397,'AAPT ExDa'!$B$2:$U$99, 0,FALSE), IFERROR(VLOOKUP($A397,'ABB ExDa'!$A$2:$N$184, 13,FALSE), IFERROR(VLOOKUP($A397,'Vocus SIT ExDa'!$B$2:$J$173, 0,FALSE), IFERROR(VLOOKUP($A397,'Telstra ExDa'!$B$2:$K$310, 0,FALSE), IFERROR(VLOOKUP($A397,'Vocus RVC ExDa'!$C$2:$R$155, 0,FALSE), IFERROR(VLOOKUP($A397,'Fusion ExDa'!$B$2:$D$16, 0,FALSE), IFERROR(VLOOKUP($A397,'Exetel ExDa'!$C$2:$N$14, 0,FALSE), IFERROR(VLOOKUP($A397,'Infinet ExDa'!$B$2:$E$14, 0,FALSE), "Not Found"))))))))</f>
        <v>Not Found</v>
      </c>
    </row>
    <row r="398" spans="1:14">
      <c r="A398">
        <v>0</v>
      </c>
      <c r="B398" t="str">
        <f>IFERROR(VLOOKUP(A398,'Exetel ExDa'!$C$2:$N$14,4,FALSE),"No Data")</f>
        <v>No Data</v>
      </c>
      <c r="C398" t="str">
        <f>IFERROR(VLOOKUP(A398,'AAPT ExDa'!$B$2:$U$99, 2,FALSE), IFERROR(VLOOKUP(A398,'ABB ExDa'!$A$2:$N$184, 2,FALSE), IFERROR(VLOOKUP(A398,'Vocus SIT ExDa'!$B$2:$J$173, 7,FALSE), IFERROR(VLOOKUP(A398,'Telstra ExDa'!$B$2:$K$310, 2,FALSE), IFERROR(VLOOKUP(A398,'Vocus RVC ExDa'!$C$2:$R$155, 3,FALSE), IFERROR(VLOOKUP(A398,'Fusion ExDa'!$B$2:$D$16, 2,FALSE), IFERROR(VLOOKUP(A398,'Exetel ExDa'!$C$2:$N$14, 2,FALSE), IFERROR(VLOOKUP(A398,'Infinet ExDa'!$B$2:$E$14, 2,FALSE), "Not Found"))))))))</f>
        <v>Not Found</v>
      </c>
      <c r="D398" t="str">
        <f>IFERROR(VLOOKUP($A398,'AAPT ExDa'!$B$2:$U$99, 15,FALSE), IFERROR(VLOOKUP($A398,'ABB ExDa'!$A$2:$N$184, 4,FALSE), IFERROR(VLOOKUP($A398,'Vocus SIT ExDa'!$B$2:$J$173, 5,FALSE), IFERROR(VLOOKUP($A398,'Telstra ExDa'!$B$2:$K$310, 8,FALSE), IFERROR(VLOOKUP($A398,'Vocus RVC ExDa'!$C$2:$R$155, 6,FALSE), IFERROR(VLOOKUP($A398,'Fusion ExDa'!$B$2:$D$16, 4,FALSE), IFERROR(VLOOKUP($A398,'Exetel ExDa'!$C$2:$N$14, 3,FALSE), IFERROR(VLOOKUP($A398,'Infinet ExDa'!$B$2:$E$14, 3,FALSE), "Not Found"))))))))</f>
        <v>Not Found</v>
      </c>
      <c r="E398" t="str">
        <f>IFERROR(VLOOKUP($A398,'AAPT ExDa'!$B$2:$U$99, 3,FALSE), IFERROR(VLOOKUP($A398,'ABB ExDa'!$A$2:$N$184, 5,FALSE), IFERROR(VLOOKUP($A398,'Vocus SIT ExDa'!$B$2:$J$173, 2,FALSE), IFERROR(VLOOKUP($A398,'Telstra ExDa'!$B$2:$K$310, 4,FALSE), IFERROR(VLOOKUP($A398,'Vocus RVC ExDa'!$C$2:$R$155, 8,FALSE), IFERROR(VLOOKUP($A398,'Fusion ExDa'!$B$2:$D$16, 4,FALSE), IFERROR(VLOOKUP($A398,'Exetel ExDa'!$C$2:$N$14, 5,FALSE), IFERROR(VLOOKUP($A398,'Infinet ExDa'!$B$2:$E$14, 3,FALSE), "Not Found"))))))))</f>
        <v>Not Found</v>
      </c>
      <c r="F398" t="str">
        <f>IFERROR(VLOOKUP($A398,'AAPT ExDa'!$B$2:$U$99, 4,FALSE), IFERROR(VLOOKUP($A398,'ABB ExDa'!$A$2:$N$184, 6,FALSE), IFERROR(VLOOKUP($A398,'Vocus SIT ExDa'!$B$2:$J$173, 3,FALSE), IFERROR(VLOOKUP($A398,'Telstra ExDa'!$B$2:$K$310, 5,FALSE), IFERROR(VLOOKUP($A398,'Vocus RVC ExDa'!$C$2:$R$155, 9,FALSE), IFERROR(VLOOKUP($A398,'Fusion ExDa'!$B$2:$D$16, 0,FALSE), IFERROR(VLOOKUP($A398,'Exetel ExDa'!$C$2:$N$14, 6,FALSE), IFERROR(VLOOKUP($A398,'Infinet ExDa'!$B$2:$E$14, 0,FALSE), "Not Found"))))))))</f>
        <v>Not Found</v>
      </c>
      <c r="G398" t="str">
        <f>IFERROR(VLOOKUP($A398,'AAPT ExDa'!$B$2:$U$99, 5,FALSE), IFERROR(VLOOKUP($A398,'ABB ExDa'!$A$2:$N$184, 8,FALSE), IFERROR(VLOOKUP($A398,'Vocus SIT ExDa'!$B$2:$J$173, 6,FALSE), IFERROR(VLOOKUP($A398,'Telstra ExDa'!$B$2:$K$310, 0,FALSE), IFERROR(VLOOKUP($A398,'Vocus RVC ExDa'!$C$2:$R$155, 15,FALSE), IFERROR(VLOOKUP($A398,'Fusion ExDa'!$B$2:$D$16, 0,FALSE), IFERROR(VLOOKUP($A398,'Exetel ExDa'!$C$2:$N$14, 7,FALSE), IFERROR(VLOOKUP($A398,'Infinet ExDa'!$B$2:$E$14, 0,FALSE), "Not Found"))))))))</f>
        <v>Not Found</v>
      </c>
      <c r="H398" t="str">
        <f>IFERROR(VLOOKUP($A398,'AAPT ExDa'!$B$2:$U$99, 6,FALSE), IFERROR(VLOOKUP($A398,'ABB ExDa'!$A$2:$N$184, 0,FALSE), IFERROR(VLOOKUP($A398,'Vocus SIT ExDa'!$B$2:$J$173, 0,FALSE), IFERROR(VLOOKUP($A398,'Telstra ExDa'!$B$2:$K$310, 0,FALSE), IFERROR(VLOOKUP($A398,'Vocus RVC ExDa'!$C$2:$R$155, 16,FALSE), IFERROR(VLOOKUP($A398,'Fusion ExDa'!$B$2:$D$16, 0,FALSE), IFERROR(VLOOKUP($A398,'Exetel ExDa'!$C$2:$N$14, 0,FALSE), IFERROR(VLOOKUP($A398,'Infinet ExDa'!$B$2:$E$14, 0,FALSE), "Not Found"))))))))</f>
        <v>Not Found</v>
      </c>
      <c r="I398" t="str">
        <f>IFERROR(VLOOKUP($A398,'AAPT ExDa'!$B$2:$U$99, 0,FALSE), IFERROR(VLOOKUP($A398,'ABB ExDa'!$A$2:$N$184, 0,FALSE), IFERROR(VLOOKUP($A398,'Vocus SIT ExDa'!$B$2:$J$173, 0,FALSE), IFERROR(VLOOKUP($A398,'Telstra ExDa'!$B$2:$K$310, 0,FALSE), IFERROR(VLOOKUP($A398,'Vocus RVC ExDa'!$C$2:$R$155, 0,FALSE), IFERROR(VLOOKUP($A398,'Fusion ExDa'!$B$2:$D$16, 0,FALSE), IFERROR(VLOOKUP($A398,'Exetel ExDa'!$C$2:$N$14, 8,FALSE), IFERROR(VLOOKUP($A398,'Infinet ExDa'!$B$2:$E$14, 0,FALSE), "Not Found"))))))))</f>
        <v>Not Found</v>
      </c>
      <c r="J398" t="str">
        <f>IFERROR(VLOOKUP($A398,'AAPT ExDa'!$B$2:$U$99, 7,FALSE), IFERROR(VLOOKUP($A398,'ABB ExDa'!$A$2:$N$184, 2,FALSE), IFERROR(VLOOKUP($A398,'Vocus SIT ExDa'!$B$2:$J$173, 0,FALSE), IFERROR(VLOOKUP($A398,'Telstra ExDa'!$B$2:$K$310, 7,FALSE), IFERROR(VLOOKUP($A398,'Vocus RVC ExDa'!$C$2:$R$155, 2,FALSE), IFERROR(VLOOKUP($A398,'Fusion ExDa'!$B$2:$D$16, 3,FALSE), IFERROR(VLOOKUP($A398,'Exetel ExDa'!$C$2:$N$14, 0,FALSE), IFERROR(VLOOKUP($A398,'Infinet ExDa'!$B$2:$E$14, 0,FALSE), "Not Found"))))))))</f>
        <v>Not Found</v>
      </c>
      <c r="K398" t="str">
        <f>IFERROR(VLOOKUP($A398,'AAPT ExDa'!$B$2:$U$99, 12,FALSE), IFERROR(VLOOKUP($A398,'ABB ExDa'!$A$2:$N$184, 0,FALSE), IFERROR(VLOOKUP($A398,'Vocus SIT ExDa'!$B$2:$J$173, 0,FALSE), IFERROR(VLOOKUP($A398,'Telstra ExDa'!$B$2:$K$310, 0,FALSE), IFERROR(VLOOKUP($A398,'Vocus RVC ExDa'!$C$2:$R$155, 0,FALSE), IFERROR(VLOOKUP($A398,'Fusion ExDa'!$B$2:$D$16, 0,FALSE), IFERROR(VLOOKUP($A398,'Exetel ExDa'!$C$2:$N$14, 12,FALSE), IFERROR(VLOOKUP($A398,'Infinet ExDa'!$B$2:$E$14, 0,FALSE), "Not Found"))))))))</f>
        <v>Not Found</v>
      </c>
      <c r="L398" s="235" t="str">
        <f>IFERROR(VLOOKUP($A398,'AAPT ExDa'!$B$2:$U$99, 11,FALSE), IFERROR(VLOOKUP($A398,'ABB ExDa'!$A$2:$N$184, 9,FALSE), IFERROR(VLOOKUP($A398,'Vocus SIT ExDa'!$B$2:$J$173, 8,FALSE), IFERROR(VLOOKUP($A398,'Telstra ExDa'!$B$2:$K$310, 0,FALSE), IFERROR(VLOOKUP($A398,'Vocus RVC ExDa'!$C$2:$R$155, 0,FALSE), IFERROR(VLOOKUP($A398,'Fusion ExDa'!$B$2:$D$16, 0,FALSE), IFERROR(VLOOKUP($A398,'Exetel ExDa'!$C$2:$N$14, 9,FALSE), IFERROR(VLOOKUP($A398,'Infinet ExDa'!$B$2:$E$14, 0,FALSE), "Not Found"))))))))</f>
        <v>Not Found</v>
      </c>
      <c r="M398" s="234" t="str">
        <f>IFERROR(VLOOKUP($A398,'AAPT ExDa'!$B$2:$U$99, 0,FALSE), IFERROR(VLOOKUP($A398,'ABB ExDa'!$A$2:$N$184, 0,FALSE), IFERROR(VLOOKUP($A398,'Vocus SIT ExDa'!$B$2:$J$173, 0,FALSE), IFERROR(VLOOKUP($A398,'Telstra ExDa'!$B$2:$K$310, 0,FALSE), IFERROR(VLOOKUP($A398,'Vocus RVC ExDa'!$C$2:$R$155, 0,FALSE), IFERROR(VLOOKUP($A398,'Fusion ExDa'!$B$2:$D$16, 0,FALSE), IFERROR(VLOOKUP($A398,'Exetel ExDa'!$C$2:$N$14, 11,FALSE), IFERROR(VLOOKUP($A398,'Infinet ExDa'!$B$2:$E$14, 0,FALSE), "Not Found"))))))))</f>
        <v>Not Found</v>
      </c>
      <c r="N398" t="str">
        <f>IFERROR(VLOOKUP($A398,'AAPT ExDa'!$B$2:$U$99, 0,FALSE), IFERROR(VLOOKUP($A398,'ABB ExDa'!$A$2:$N$184, 13,FALSE), IFERROR(VLOOKUP($A398,'Vocus SIT ExDa'!$B$2:$J$173, 0,FALSE), IFERROR(VLOOKUP($A398,'Telstra ExDa'!$B$2:$K$310, 0,FALSE), IFERROR(VLOOKUP($A398,'Vocus RVC ExDa'!$C$2:$R$155, 0,FALSE), IFERROR(VLOOKUP($A398,'Fusion ExDa'!$B$2:$D$16, 0,FALSE), IFERROR(VLOOKUP($A398,'Exetel ExDa'!$C$2:$N$14, 0,FALSE), IFERROR(VLOOKUP($A398,'Infinet ExDa'!$B$2:$E$14, 0,FALSE), "Not Found"))))))))</f>
        <v>Not Found</v>
      </c>
    </row>
    <row r="399" spans="1:14">
      <c r="A399">
        <v>0</v>
      </c>
      <c r="B399" t="str">
        <f>IFERROR(VLOOKUP(A399,'Exetel ExDa'!$C$2:$N$14,4,FALSE),"No Data")</f>
        <v>No Data</v>
      </c>
      <c r="C399" t="str">
        <f>IFERROR(VLOOKUP(A399,'AAPT ExDa'!$B$2:$U$99, 2,FALSE), IFERROR(VLOOKUP(A399,'ABB ExDa'!$A$2:$N$184, 2,FALSE), IFERROR(VLOOKUP(A399,'Vocus SIT ExDa'!$B$2:$J$173, 7,FALSE), IFERROR(VLOOKUP(A399,'Telstra ExDa'!$B$2:$K$310, 2,FALSE), IFERROR(VLOOKUP(A399,'Vocus RVC ExDa'!$C$2:$R$155, 3,FALSE), IFERROR(VLOOKUP(A399,'Fusion ExDa'!$B$2:$D$16, 2,FALSE), IFERROR(VLOOKUP(A399,'Exetel ExDa'!$C$2:$N$14, 2,FALSE), IFERROR(VLOOKUP(A399,'Infinet ExDa'!$B$2:$E$14, 2,FALSE), "Not Found"))))))))</f>
        <v>Not Found</v>
      </c>
      <c r="D399" t="str">
        <f>IFERROR(VLOOKUP($A399,'AAPT ExDa'!$B$2:$U$99, 15,FALSE), IFERROR(VLOOKUP($A399,'ABB ExDa'!$A$2:$N$184, 4,FALSE), IFERROR(VLOOKUP($A399,'Vocus SIT ExDa'!$B$2:$J$173, 5,FALSE), IFERROR(VLOOKUP($A399,'Telstra ExDa'!$B$2:$K$310, 8,FALSE), IFERROR(VLOOKUP($A399,'Vocus RVC ExDa'!$C$2:$R$155, 6,FALSE), IFERROR(VLOOKUP($A399,'Fusion ExDa'!$B$2:$D$16, 4,FALSE), IFERROR(VLOOKUP($A399,'Exetel ExDa'!$C$2:$N$14, 3,FALSE), IFERROR(VLOOKUP($A399,'Infinet ExDa'!$B$2:$E$14, 3,FALSE), "Not Found"))))))))</f>
        <v>Not Found</v>
      </c>
      <c r="E399" t="str">
        <f>IFERROR(VLOOKUP($A399,'AAPT ExDa'!$B$2:$U$99, 3,FALSE), IFERROR(VLOOKUP($A399,'ABB ExDa'!$A$2:$N$184, 5,FALSE), IFERROR(VLOOKUP($A399,'Vocus SIT ExDa'!$B$2:$J$173, 2,FALSE), IFERROR(VLOOKUP($A399,'Telstra ExDa'!$B$2:$K$310, 4,FALSE), IFERROR(VLOOKUP($A399,'Vocus RVC ExDa'!$C$2:$R$155, 8,FALSE), IFERROR(VLOOKUP($A399,'Fusion ExDa'!$B$2:$D$16, 4,FALSE), IFERROR(VLOOKUP($A399,'Exetel ExDa'!$C$2:$N$14, 5,FALSE), IFERROR(VLOOKUP($A399,'Infinet ExDa'!$B$2:$E$14, 3,FALSE), "Not Found"))))))))</f>
        <v>Not Found</v>
      </c>
      <c r="F399" t="str">
        <f>IFERROR(VLOOKUP($A399,'AAPT ExDa'!$B$2:$U$99, 4,FALSE), IFERROR(VLOOKUP($A399,'ABB ExDa'!$A$2:$N$184, 6,FALSE), IFERROR(VLOOKUP($A399,'Vocus SIT ExDa'!$B$2:$J$173, 3,FALSE), IFERROR(VLOOKUP($A399,'Telstra ExDa'!$B$2:$K$310, 5,FALSE), IFERROR(VLOOKUP($A399,'Vocus RVC ExDa'!$C$2:$R$155, 9,FALSE), IFERROR(VLOOKUP($A399,'Fusion ExDa'!$B$2:$D$16, 0,FALSE), IFERROR(VLOOKUP($A399,'Exetel ExDa'!$C$2:$N$14, 6,FALSE), IFERROR(VLOOKUP($A399,'Infinet ExDa'!$B$2:$E$14, 0,FALSE), "Not Found"))))))))</f>
        <v>Not Found</v>
      </c>
      <c r="G399" t="str">
        <f>IFERROR(VLOOKUP($A399,'AAPT ExDa'!$B$2:$U$99, 5,FALSE), IFERROR(VLOOKUP($A399,'ABB ExDa'!$A$2:$N$184, 8,FALSE), IFERROR(VLOOKUP($A399,'Vocus SIT ExDa'!$B$2:$J$173, 6,FALSE), IFERROR(VLOOKUP($A399,'Telstra ExDa'!$B$2:$K$310, 0,FALSE), IFERROR(VLOOKUP($A399,'Vocus RVC ExDa'!$C$2:$R$155, 15,FALSE), IFERROR(VLOOKUP($A399,'Fusion ExDa'!$B$2:$D$16, 0,FALSE), IFERROR(VLOOKUP($A399,'Exetel ExDa'!$C$2:$N$14, 7,FALSE), IFERROR(VLOOKUP($A399,'Infinet ExDa'!$B$2:$E$14, 0,FALSE), "Not Found"))))))))</f>
        <v>Not Found</v>
      </c>
      <c r="H399" t="str">
        <f>IFERROR(VLOOKUP($A399,'AAPT ExDa'!$B$2:$U$99, 6,FALSE), IFERROR(VLOOKUP($A399,'ABB ExDa'!$A$2:$N$184, 0,FALSE), IFERROR(VLOOKUP($A399,'Vocus SIT ExDa'!$B$2:$J$173, 0,FALSE), IFERROR(VLOOKUP($A399,'Telstra ExDa'!$B$2:$K$310, 0,FALSE), IFERROR(VLOOKUP($A399,'Vocus RVC ExDa'!$C$2:$R$155, 16,FALSE), IFERROR(VLOOKUP($A399,'Fusion ExDa'!$B$2:$D$16, 0,FALSE), IFERROR(VLOOKUP($A399,'Exetel ExDa'!$C$2:$N$14, 0,FALSE), IFERROR(VLOOKUP($A399,'Infinet ExDa'!$B$2:$E$14, 0,FALSE), "Not Found"))))))))</f>
        <v>Not Found</v>
      </c>
      <c r="I399" t="str">
        <f>IFERROR(VLOOKUP($A399,'AAPT ExDa'!$B$2:$U$99, 0,FALSE), IFERROR(VLOOKUP($A399,'ABB ExDa'!$A$2:$N$184, 0,FALSE), IFERROR(VLOOKUP($A399,'Vocus SIT ExDa'!$B$2:$J$173, 0,FALSE), IFERROR(VLOOKUP($A399,'Telstra ExDa'!$B$2:$K$310, 0,FALSE), IFERROR(VLOOKUP($A399,'Vocus RVC ExDa'!$C$2:$R$155, 0,FALSE), IFERROR(VLOOKUP($A399,'Fusion ExDa'!$B$2:$D$16, 0,FALSE), IFERROR(VLOOKUP($A399,'Exetel ExDa'!$C$2:$N$14, 8,FALSE), IFERROR(VLOOKUP($A399,'Infinet ExDa'!$B$2:$E$14, 0,FALSE), "Not Found"))))))))</f>
        <v>Not Found</v>
      </c>
      <c r="J399" t="str">
        <f>IFERROR(VLOOKUP($A399,'AAPT ExDa'!$B$2:$U$99, 7,FALSE), IFERROR(VLOOKUP($A399,'ABB ExDa'!$A$2:$N$184, 2,FALSE), IFERROR(VLOOKUP($A399,'Vocus SIT ExDa'!$B$2:$J$173, 0,FALSE), IFERROR(VLOOKUP($A399,'Telstra ExDa'!$B$2:$K$310, 7,FALSE), IFERROR(VLOOKUP($A399,'Vocus RVC ExDa'!$C$2:$R$155, 2,FALSE), IFERROR(VLOOKUP($A399,'Fusion ExDa'!$B$2:$D$16, 3,FALSE), IFERROR(VLOOKUP($A399,'Exetel ExDa'!$C$2:$N$14, 0,FALSE), IFERROR(VLOOKUP($A399,'Infinet ExDa'!$B$2:$E$14, 0,FALSE), "Not Found"))))))))</f>
        <v>Not Found</v>
      </c>
      <c r="K399" t="str">
        <f>IFERROR(VLOOKUP($A399,'AAPT ExDa'!$B$2:$U$99, 12,FALSE), IFERROR(VLOOKUP($A399,'ABB ExDa'!$A$2:$N$184, 0,FALSE), IFERROR(VLOOKUP($A399,'Vocus SIT ExDa'!$B$2:$J$173, 0,FALSE), IFERROR(VLOOKUP($A399,'Telstra ExDa'!$B$2:$K$310, 0,FALSE), IFERROR(VLOOKUP($A399,'Vocus RVC ExDa'!$C$2:$R$155, 0,FALSE), IFERROR(VLOOKUP($A399,'Fusion ExDa'!$B$2:$D$16, 0,FALSE), IFERROR(VLOOKUP($A399,'Exetel ExDa'!$C$2:$N$14, 12,FALSE), IFERROR(VLOOKUP($A399,'Infinet ExDa'!$B$2:$E$14, 0,FALSE), "Not Found"))))))))</f>
        <v>Not Found</v>
      </c>
      <c r="L399" s="235" t="str">
        <f>IFERROR(VLOOKUP($A399,'AAPT ExDa'!$B$2:$U$99, 11,FALSE), IFERROR(VLOOKUP($A399,'ABB ExDa'!$A$2:$N$184, 9,FALSE), IFERROR(VLOOKUP($A399,'Vocus SIT ExDa'!$B$2:$J$173, 8,FALSE), IFERROR(VLOOKUP($A399,'Telstra ExDa'!$B$2:$K$310, 0,FALSE), IFERROR(VLOOKUP($A399,'Vocus RVC ExDa'!$C$2:$R$155, 0,FALSE), IFERROR(VLOOKUP($A399,'Fusion ExDa'!$B$2:$D$16, 0,FALSE), IFERROR(VLOOKUP($A399,'Exetel ExDa'!$C$2:$N$14, 9,FALSE), IFERROR(VLOOKUP($A399,'Infinet ExDa'!$B$2:$E$14, 0,FALSE), "Not Found"))))))))</f>
        <v>Not Found</v>
      </c>
      <c r="M399" s="234" t="str">
        <f>IFERROR(VLOOKUP($A399,'AAPT ExDa'!$B$2:$U$99, 0,FALSE), IFERROR(VLOOKUP($A399,'ABB ExDa'!$A$2:$N$184, 0,FALSE), IFERROR(VLOOKUP($A399,'Vocus SIT ExDa'!$B$2:$J$173, 0,FALSE), IFERROR(VLOOKUP($A399,'Telstra ExDa'!$B$2:$K$310, 0,FALSE), IFERROR(VLOOKUP($A399,'Vocus RVC ExDa'!$C$2:$R$155, 0,FALSE), IFERROR(VLOOKUP($A399,'Fusion ExDa'!$B$2:$D$16, 0,FALSE), IFERROR(VLOOKUP($A399,'Exetel ExDa'!$C$2:$N$14, 11,FALSE), IFERROR(VLOOKUP($A399,'Infinet ExDa'!$B$2:$E$14, 0,FALSE), "Not Found"))))))))</f>
        <v>Not Found</v>
      </c>
      <c r="N399" t="str">
        <f>IFERROR(VLOOKUP($A399,'AAPT ExDa'!$B$2:$U$99, 0,FALSE), IFERROR(VLOOKUP($A399,'ABB ExDa'!$A$2:$N$184, 13,FALSE), IFERROR(VLOOKUP($A399,'Vocus SIT ExDa'!$B$2:$J$173, 0,FALSE), IFERROR(VLOOKUP($A399,'Telstra ExDa'!$B$2:$K$310, 0,FALSE), IFERROR(VLOOKUP($A399,'Vocus RVC ExDa'!$C$2:$R$155, 0,FALSE), IFERROR(VLOOKUP($A399,'Fusion ExDa'!$B$2:$D$16, 0,FALSE), IFERROR(VLOOKUP($A399,'Exetel ExDa'!$C$2:$N$14, 0,FALSE), IFERROR(VLOOKUP($A399,'Infinet ExDa'!$B$2:$E$14, 0,FALSE), "Not Found"))))))))</f>
        <v>Not Found</v>
      </c>
    </row>
    <row r="400" spans="1:14">
      <c r="A400" t="str">
        <v>Gateway Containers (Finnegan House)</v>
      </c>
      <c r="B400" t="str">
        <f>IFERROR(VLOOKUP(A400,'Exetel ExDa'!$C$2:$N$14,4,FALSE),"No Data")</f>
        <v>No Data</v>
      </c>
      <c r="C400" t="str">
        <f>IFERROR(VLOOKUP(A400,'AAPT ExDa'!$B$2:$U$99, 2,FALSE), IFERROR(VLOOKUP(A400,'ABB ExDa'!$A$2:$N$184, 2,FALSE), IFERROR(VLOOKUP(A400,'Vocus SIT ExDa'!$B$2:$J$173, 7,FALSE), IFERROR(VLOOKUP(A400,'Telstra ExDa'!$B$2:$K$310, 2,FALSE), IFERROR(VLOOKUP(A400,'Vocus RVC ExDa'!$C$2:$R$155, 3,FALSE), IFERROR(VLOOKUP(A400,'Fusion ExDa'!$B$2:$D$16, 2,FALSE), IFERROR(VLOOKUP(A400,'Exetel ExDa'!$C$2:$N$14, 2,FALSE), IFERROR(VLOOKUP(A400,'Infinet ExDa'!$B$2:$E$14, 2,FALSE), "Not Found"))))))))</f>
        <v>Unit 1, 49 Miller Street, Murarrie QLD 4173</v>
      </c>
      <c r="D400" t="str">
        <f>IFERROR(VLOOKUP($A400,'AAPT ExDa'!$B$2:$U$99, 15,FALSE), IFERROR(VLOOKUP($A400,'ABB ExDa'!$A$2:$N$184, 4,FALSE), IFERROR(VLOOKUP($A400,'Vocus SIT ExDa'!$B$2:$J$173, 5,FALSE), IFERROR(VLOOKUP($A400,'Telstra ExDa'!$B$2:$K$310, 8,FALSE), IFERROR(VLOOKUP($A400,'Vocus RVC ExDa'!$C$2:$R$155, 6,FALSE), IFERROR(VLOOKUP($A400,'Fusion ExDa'!$B$2:$D$16, 4,FALSE), IFERROR(VLOOKUP($A400,'Exetel ExDa'!$C$2:$N$14, 3,FALSE), IFERROR(VLOOKUP($A400,'Infinet ExDa'!$B$2:$E$14, 3,FALSE), "Not Found"))))))))</f>
        <v>Vocus SIT</v>
      </c>
      <c r="E400" t="str">
        <f>IFERROR(VLOOKUP($A400,'AAPT ExDa'!$B$2:$U$99, 3,FALSE), IFERROR(VLOOKUP($A400,'ABB ExDa'!$A$2:$N$184, 5,FALSE), IFERROR(VLOOKUP($A400,'Vocus SIT ExDa'!$B$2:$J$173, 2,FALSE), IFERROR(VLOOKUP($A400,'Telstra ExDa'!$B$2:$K$310, 4,FALSE), IFERROR(VLOOKUP($A400,'Vocus RVC ExDa'!$C$2:$R$155, 8,FALSE), IFERROR(VLOOKUP($A400,'Fusion ExDa'!$B$2:$D$16, 4,FALSE), IFERROR(VLOOKUP($A400,'Exetel ExDa'!$C$2:$N$14, 5,FALSE), IFERROR(VLOOKUP($A400,'Infinet ExDa'!$B$2:$E$14, 3,FALSE), "Not Found"))))))))</f>
        <v>Voice Service</v>
      </c>
      <c r="F400" t="str">
        <f>IFERROR(VLOOKUP($A400,'AAPT ExDa'!$B$2:$U$99, 4,FALSE), IFERROR(VLOOKUP($A400,'ABB ExDa'!$A$2:$N$184, 6,FALSE), IFERROR(VLOOKUP($A400,'Vocus SIT ExDa'!$B$2:$J$173, 3,FALSE), IFERROR(VLOOKUP($A400,'Telstra ExDa'!$B$2:$K$310, 5,FALSE), IFERROR(VLOOKUP($A400,'Vocus RVC ExDa'!$C$2:$R$155, 9,FALSE), IFERROR(VLOOKUP($A400,'Fusion ExDa'!$B$2:$D$16, 0,FALSE), IFERROR(VLOOKUP($A400,'Exetel ExDa'!$C$2:$N$14, 6,FALSE), IFERROR(VLOOKUP($A400,'Infinet ExDa'!$B$2:$E$14, 0,FALSE), "Not Found"))))))))</f>
        <v>0732063643</v>
      </c>
      <c r="G400" t="str">
        <f>IFERROR(VLOOKUP($A400,'AAPT ExDa'!$B$2:$U$99, 5,FALSE), IFERROR(VLOOKUP($A400,'ABB ExDa'!$A$2:$N$184, 8,FALSE), IFERROR(VLOOKUP($A400,'Vocus SIT ExDa'!$B$2:$J$173, 6,FALSE), IFERROR(VLOOKUP($A400,'Telstra ExDa'!$B$2:$K$310, 0,FALSE), IFERROR(VLOOKUP($A400,'Vocus RVC ExDa'!$C$2:$R$155, 15,FALSE), IFERROR(VLOOKUP($A400,'Fusion ExDa'!$B$2:$D$16, 0,FALSE), IFERROR(VLOOKUP($A400,'Exetel ExDa'!$C$2:$N$14, 7,FALSE), IFERROR(VLOOKUP($A400,'Infinet ExDa'!$B$2:$E$14, 0,FALSE), "Not Found"))))))))</f>
        <v>IP Tel Order - Smile Tel - 29/09/2020
Voice (5 Mbps) - Unit 1, 49 Miller Street, Murarrie QLD 4172</v>
      </c>
      <c r="H400" t="str">
        <f>IFERROR(VLOOKUP($A400,'AAPT ExDa'!$B$2:$U$99, 6,FALSE), IFERROR(VLOOKUP($A400,'ABB ExDa'!$A$2:$N$184, 0,FALSE), IFERROR(VLOOKUP($A400,'Vocus SIT ExDa'!$B$2:$J$173, 0,FALSE), IFERROR(VLOOKUP($A400,'Telstra ExDa'!$B$2:$K$310, 0,FALSE), IFERROR(VLOOKUP($A400,'Vocus RVC ExDa'!$C$2:$R$155, 16,FALSE), IFERROR(VLOOKUP($A400,'Fusion ExDa'!$B$2:$D$16, 0,FALSE), IFERROR(VLOOKUP($A400,'Exetel ExDa'!$C$2:$N$14, 0,FALSE), IFERROR(VLOOKUP($A400,'Infinet ExDa'!$B$2:$E$14, 0,FALSE), "Not Found"))))))))</f>
        <v>Not Found</v>
      </c>
      <c r="I400" t="str">
        <f>IFERROR(VLOOKUP($A400,'AAPT ExDa'!$B$2:$U$99, 0,FALSE), IFERROR(VLOOKUP($A400,'ABB ExDa'!$A$2:$N$184, 0,FALSE), IFERROR(VLOOKUP($A400,'Vocus SIT ExDa'!$B$2:$J$173, 0,FALSE), IFERROR(VLOOKUP($A400,'Telstra ExDa'!$B$2:$K$310, 0,FALSE), IFERROR(VLOOKUP($A400,'Vocus RVC ExDa'!$C$2:$R$155, 0,FALSE), IFERROR(VLOOKUP($A400,'Fusion ExDa'!$B$2:$D$16, 0,FALSE), IFERROR(VLOOKUP($A400,'Exetel ExDa'!$C$2:$N$14, 8,FALSE), IFERROR(VLOOKUP($A400,'Infinet ExDa'!$B$2:$E$14, 0,FALSE), "Not Found"))))))))</f>
        <v>Not Found</v>
      </c>
      <c r="J400" t="str">
        <f>IFERROR(VLOOKUP($A400,'AAPT ExDa'!$B$2:$U$99, 7,FALSE), IFERROR(VLOOKUP($A400,'ABB ExDa'!$A$2:$N$184, 2,FALSE), IFERROR(VLOOKUP($A400,'Vocus SIT ExDa'!$B$2:$J$173, 0,FALSE), IFERROR(VLOOKUP($A400,'Telstra ExDa'!$B$2:$K$310, 7,FALSE), IFERROR(VLOOKUP($A400,'Vocus RVC ExDa'!$C$2:$R$155, 2,FALSE), IFERROR(VLOOKUP($A400,'Fusion ExDa'!$B$2:$D$16, 3,FALSE), IFERROR(VLOOKUP($A400,'Exetel ExDa'!$C$2:$N$14, 0,FALSE), IFERROR(VLOOKUP($A400,'Infinet ExDa'!$B$2:$E$14, 0,FALSE), "Not Found"))))))))</f>
        <v>Not Found</v>
      </c>
      <c r="K400" t="str">
        <f>IFERROR(VLOOKUP($A400,'AAPT ExDa'!$B$2:$U$99, 12,FALSE), IFERROR(VLOOKUP($A400,'ABB ExDa'!$A$2:$N$184, 0,FALSE), IFERROR(VLOOKUP($A400,'Vocus SIT ExDa'!$B$2:$J$173, 0,FALSE), IFERROR(VLOOKUP($A400,'Telstra ExDa'!$B$2:$K$310, 0,FALSE), IFERROR(VLOOKUP($A400,'Vocus RVC ExDa'!$C$2:$R$155, 0,FALSE), IFERROR(VLOOKUP($A400,'Fusion ExDa'!$B$2:$D$16, 0,FALSE), IFERROR(VLOOKUP($A400,'Exetel ExDa'!$C$2:$N$14, 12,FALSE), IFERROR(VLOOKUP($A400,'Infinet ExDa'!$B$2:$E$14, 0,FALSE), "Not Found"))))))))</f>
        <v>Not Found</v>
      </c>
      <c r="L400" s="235" t="str">
        <f>IFERROR(VLOOKUP($A400,'AAPT ExDa'!$B$2:$U$99, 11,FALSE), IFERROR(VLOOKUP($A400,'ABB ExDa'!$A$2:$N$184, 9,FALSE), IFERROR(VLOOKUP($A400,'Vocus SIT ExDa'!$B$2:$J$173, 8,FALSE), IFERROR(VLOOKUP($A400,'Telstra ExDa'!$B$2:$K$310, 0,FALSE), IFERROR(VLOOKUP($A400,'Vocus RVC ExDa'!$C$2:$R$155, 0,FALSE), IFERROR(VLOOKUP($A400,'Fusion ExDa'!$B$2:$D$16, 0,FALSE), IFERROR(VLOOKUP($A400,'Exetel ExDa'!$C$2:$N$14, 9,FALSE), IFERROR(VLOOKUP($A400,'Infinet ExDa'!$B$2:$E$14, 0,FALSE), "Not Found"))))))))</f>
        <v>23/10/2020</v>
      </c>
      <c r="M400" s="234" t="str">
        <f>IFERROR(VLOOKUP($A400,'AAPT ExDa'!$B$2:$U$99, 0,FALSE), IFERROR(VLOOKUP($A400,'ABB ExDa'!$A$2:$N$184, 0,FALSE), IFERROR(VLOOKUP($A400,'Vocus SIT ExDa'!$B$2:$J$173, 0,FALSE), IFERROR(VLOOKUP($A400,'Telstra ExDa'!$B$2:$K$310, 0,FALSE), IFERROR(VLOOKUP($A400,'Vocus RVC ExDa'!$C$2:$R$155, 0,FALSE), IFERROR(VLOOKUP($A400,'Fusion ExDa'!$B$2:$D$16, 0,FALSE), IFERROR(VLOOKUP($A400,'Exetel ExDa'!$C$2:$N$14, 11,FALSE), IFERROR(VLOOKUP($A400,'Infinet ExDa'!$B$2:$E$14, 0,FALSE), "Not Found"))))))))</f>
        <v>Not Found</v>
      </c>
      <c r="N400" t="str">
        <f>IFERROR(VLOOKUP($A400,'AAPT ExDa'!$B$2:$U$99, 0,FALSE), IFERROR(VLOOKUP($A400,'ABB ExDa'!$A$2:$N$184, 13,FALSE), IFERROR(VLOOKUP($A400,'Vocus SIT ExDa'!$B$2:$J$173, 0,FALSE), IFERROR(VLOOKUP($A400,'Telstra ExDa'!$B$2:$K$310, 0,FALSE), IFERROR(VLOOKUP($A400,'Vocus RVC ExDa'!$C$2:$R$155, 0,FALSE), IFERROR(VLOOKUP($A400,'Fusion ExDa'!$B$2:$D$16, 0,FALSE), IFERROR(VLOOKUP($A400,'Exetel ExDa'!$C$2:$N$14, 0,FALSE), IFERROR(VLOOKUP($A400,'Infinet ExDa'!$B$2:$E$14, 0,FALSE), "Not Found"))))))))</f>
        <v>Not Found</v>
      </c>
    </row>
    <row r="401" spans="1:14">
      <c r="A401">
        <v>0</v>
      </c>
      <c r="B401" t="str">
        <f>IFERROR(VLOOKUP(A401,'Exetel ExDa'!$C$2:$N$14,4,FALSE),"No Data")</f>
        <v>No Data</v>
      </c>
      <c r="C401" t="str">
        <f>IFERROR(VLOOKUP(A401,'AAPT ExDa'!$B$2:$U$99, 2,FALSE), IFERROR(VLOOKUP(A401,'ABB ExDa'!$A$2:$N$184, 2,FALSE), IFERROR(VLOOKUP(A401,'Vocus SIT ExDa'!$B$2:$J$173, 7,FALSE), IFERROR(VLOOKUP(A401,'Telstra ExDa'!$B$2:$K$310, 2,FALSE), IFERROR(VLOOKUP(A401,'Vocus RVC ExDa'!$C$2:$R$155, 3,FALSE), IFERROR(VLOOKUP(A401,'Fusion ExDa'!$B$2:$D$16, 2,FALSE), IFERROR(VLOOKUP(A401,'Exetel ExDa'!$C$2:$N$14, 2,FALSE), IFERROR(VLOOKUP(A401,'Infinet ExDa'!$B$2:$E$14, 2,FALSE), "Not Found"))))))))</f>
        <v>Not Found</v>
      </c>
      <c r="D401" t="str">
        <f>IFERROR(VLOOKUP($A401,'AAPT ExDa'!$B$2:$U$99, 15,FALSE), IFERROR(VLOOKUP($A401,'ABB ExDa'!$A$2:$N$184, 4,FALSE), IFERROR(VLOOKUP($A401,'Vocus SIT ExDa'!$B$2:$J$173, 5,FALSE), IFERROR(VLOOKUP($A401,'Telstra ExDa'!$B$2:$K$310, 8,FALSE), IFERROR(VLOOKUP($A401,'Vocus RVC ExDa'!$C$2:$R$155, 6,FALSE), IFERROR(VLOOKUP($A401,'Fusion ExDa'!$B$2:$D$16, 4,FALSE), IFERROR(VLOOKUP($A401,'Exetel ExDa'!$C$2:$N$14, 3,FALSE), IFERROR(VLOOKUP($A401,'Infinet ExDa'!$B$2:$E$14, 3,FALSE), "Not Found"))))))))</f>
        <v>Not Found</v>
      </c>
      <c r="E401" t="str">
        <f>IFERROR(VLOOKUP($A401,'AAPT ExDa'!$B$2:$U$99, 3,FALSE), IFERROR(VLOOKUP($A401,'ABB ExDa'!$A$2:$N$184, 5,FALSE), IFERROR(VLOOKUP($A401,'Vocus SIT ExDa'!$B$2:$J$173, 2,FALSE), IFERROR(VLOOKUP($A401,'Telstra ExDa'!$B$2:$K$310, 4,FALSE), IFERROR(VLOOKUP($A401,'Vocus RVC ExDa'!$C$2:$R$155, 8,FALSE), IFERROR(VLOOKUP($A401,'Fusion ExDa'!$B$2:$D$16, 4,FALSE), IFERROR(VLOOKUP($A401,'Exetel ExDa'!$C$2:$N$14, 5,FALSE), IFERROR(VLOOKUP($A401,'Infinet ExDa'!$B$2:$E$14, 3,FALSE), "Not Found"))))))))</f>
        <v>Not Found</v>
      </c>
      <c r="F401" t="str">
        <f>IFERROR(VLOOKUP($A401,'AAPT ExDa'!$B$2:$U$99, 4,FALSE), IFERROR(VLOOKUP($A401,'ABB ExDa'!$A$2:$N$184, 6,FALSE), IFERROR(VLOOKUP($A401,'Vocus SIT ExDa'!$B$2:$J$173, 3,FALSE), IFERROR(VLOOKUP($A401,'Telstra ExDa'!$B$2:$K$310, 5,FALSE), IFERROR(VLOOKUP($A401,'Vocus RVC ExDa'!$C$2:$R$155, 9,FALSE), IFERROR(VLOOKUP($A401,'Fusion ExDa'!$B$2:$D$16, 0,FALSE), IFERROR(VLOOKUP($A401,'Exetel ExDa'!$C$2:$N$14, 6,FALSE), IFERROR(VLOOKUP($A401,'Infinet ExDa'!$B$2:$E$14, 0,FALSE), "Not Found"))))))))</f>
        <v>Not Found</v>
      </c>
      <c r="G401" t="str">
        <f>IFERROR(VLOOKUP($A401,'AAPT ExDa'!$B$2:$U$99, 5,FALSE), IFERROR(VLOOKUP($A401,'ABB ExDa'!$A$2:$N$184, 8,FALSE), IFERROR(VLOOKUP($A401,'Vocus SIT ExDa'!$B$2:$J$173, 6,FALSE), IFERROR(VLOOKUP($A401,'Telstra ExDa'!$B$2:$K$310, 0,FALSE), IFERROR(VLOOKUP($A401,'Vocus RVC ExDa'!$C$2:$R$155, 15,FALSE), IFERROR(VLOOKUP($A401,'Fusion ExDa'!$B$2:$D$16, 0,FALSE), IFERROR(VLOOKUP($A401,'Exetel ExDa'!$C$2:$N$14, 7,FALSE), IFERROR(VLOOKUP($A401,'Infinet ExDa'!$B$2:$E$14, 0,FALSE), "Not Found"))))))))</f>
        <v>Not Found</v>
      </c>
      <c r="H401" t="str">
        <f>IFERROR(VLOOKUP($A401,'AAPT ExDa'!$B$2:$U$99, 6,FALSE), IFERROR(VLOOKUP($A401,'ABB ExDa'!$A$2:$N$184, 0,FALSE), IFERROR(VLOOKUP($A401,'Vocus SIT ExDa'!$B$2:$J$173, 0,FALSE), IFERROR(VLOOKUP($A401,'Telstra ExDa'!$B$2:$K$310, 0,FALSE), IFERROR(VLOOKUP($A401,'Vocus RVC ExDa'!$C$2:$R$155, 16,FALSE), IFERROR(VLOOKUP($A401,'Fusion ExDa'!$B$2:$D$16, 0,FALSE), IFERROR(VLOOKUP($A401,'Exetel ExDa'!$C$2:$N$14, 0,FALSE), IFERROR(VLOOKUP($A401,'Infinet ExDa'!$B$2:$E$14, 0,FALSE), "Not Found"))))))))</f>
        <v>Not Found</v>
      </c>
      <c r="I401" t="str">
        <f>IFERROR(VLOOKUP($A401,'AAPT ExDa'!$B$2:$U$99, 0,FALSE), IFERROR(VLOOKUP($A401,'ABB ExDa'!$A$2:$N$184, 0,FALSE), IFERROR(VLOOKUP($A401,'Vocus SIT ExDa'!$B$2:$J$173, 0,FALSE), IFERROR(VLOOKUP($A401,'Telstra ExDa'!$B$2:$K$310, 0,FALSE), IFERROR(VLOOKUP($A401,'Vocus RVC ExDa'!$C$2:$R$155, 0,FALSE), IFERROR(VLOOKUP($A401,'Fusion ExDa'!$B$2:$D$16, 0,FALSE), IFERROR(VLOOKUP($A401,'Exetel ExDa'!$C$2:$N$14, 8,FALSE), IFERROR(VLOOKUP($A401,'Infinet ExDa'!$B$2:$E$14, 0,FALSE), "Not Found"))))))))</f>
        <v>Not Found</v>
      </c>
      <c r="J401" t="str">
        <f>IFERROR(VLOOKUP($A401,'AAPT ExDa'!$B$2:$U$99, 7,FALSE), IFERROR(VLOOKUP($A401,'ABB ExDa'!$A$2:$N$184, 2,FALSE), IFERROR(VLOOKUP($A401,'Vocus SIT ExDa'!$B$2:$J$173, 0,FALSE), IFERROR(VLOOKUP($A401,'Telstra ExDa'!$B$2:$K$310, 7,FALSE), IFERROR(VLOOKUP($A401,'Vocus RVC ExDa'!$C$2:$R$155, 2,FALSE), IFERROR(VLOOKUP($A401,'Fusion ExDa'!$B$2:$D$16, 3,FALSE), IFERROR(VLOOKUP($A401,'Exetel ExDa'!$C$2:$N$14, 0,FALSE), IFERROR(VLOOKUP($A401,'Infinet ExDa'!$B$2:$E$14, 0,FALSE), "Not Found"))))))))</f>
        <v>Not Found</v>
      </c>
      <c r="K401" t="str">
        <f>IFERROR(VLOOKUP($A401,'AAPT ExDa'!$B$2:$U$99, 12,FALSE), IFERROR(VLOOKUP($A401,'ABB ExDa'!$A$2:$N$184, 0,FALSE), IFERROR(VLOOKUP($A401,'Vocus SIT ExDa'!$B$2:$J$173, 0,FALSE), IFERROR(VLOOKUP($A401,'Telstra ExDa'!$B$2:$K$310, 0,FALSE), IFERROR(VLOOKUP($A401,'Vocus RVC ExDa'!$C$2:$R$155, 0,FALSE), IFERROR(VLOOKUP($A401,'Fusion ExDa'!$B$2:$D$16, 0,FALSE), IFERROR(VLOOKUP($A401,'Exetel ExDa'!$C$2:$N$14, 12,FALSE), IFERROR(VLOOKUP($A401,'Infinet ExDa'!$B$2:$E$14, 0,FALSE), "Not Found"))))))))</f>
        <v>Not Found</v>
      </c>
      <c r="L401" s="235" t="str">
        <f>IFERROR(VLOOKUP($A401,'AAPT ExDa'!$B$2:$U$99, 11,FALSE), IFERROR(VLOOKUP($A401,'ABB ExDa'!$A$2:$N$184, 9,FALSE), IFERROR(VLOOKUP($A401,'Vocus SIT ExDa'!$B$2:$J$173, 8,FALSE), IFERROR(VLOOKUP($A401,'Telstra ExDa'!$B$2:$K$310, 0,FALSE), IFERROR(VLOOKUP($A401,'Vocus RVC ExDa'!$C$2:$R$155, 0,FALSE), IFERROR(VLOOKUP($A401,'Fusion ExDa'!$B$2:$D$16, 0,FALSE), IFERROR(VLOOKUP($A401,'Exetel ExDa'!$C$2:$N$14, 9,FALSE), IFERROR(VLOOKUP($A401,'Infinet ExDa'!$B$2:$E$14, 0,FALSE), "Not Found"))))))))</f>
        <v>Not Found</v>
      </c>
      <c r="M401" s="234" t="str">
        <f>IFERROR(VLOOKUP($A401,'AAPT ExDa'!$B$2:$U$99, 0,FALSE), IFERROR(VLOOKUP($A401,'ABB ExDa'!$A$2:$N$184, 0,FALSE), IFERROR(VLOOKUP($A401,'Vocus SIT ExDa'!$B$2:$J$173, 0,FALSE), IFERROR(VLOOKUP($A401,'Telstra ExDa'!$B$2:$K$310, 0,FALSE), IFERROR(VLOOKUP($A401,'Vocus RVC ExDa'!$C$2:$R$155, 0,FALSE), IFERROR(VLOOKUP($A401,'Fusion ExDa'!$B$2:$D$16, 0,FALSE), IFERROR(VLOOKUP($A401,'Exetel ExDa'!$C$2:$N$14, 11,FALSE), IFERROR(VLOOKUP($A401,'Infinet ExDa'!$B$2:$E$14, 0,FALSE), "Not Found"))))))))</f>
        <v>Not Found</v>
      </c>
      <c r="N401" t="str">
        <f>IFERROR(VLOOKUP($A401,'AAPT ExDa'!$B$2:$U$99, 0,FALSE), IFERROR(VLOOKUP($A401,'ABB ExDa'!$A$2:$N$184, 13,FALSE), IFERROR(VLOOKUP($A401,'Vocus SIT ExDa'!$B$2:$J$173, 0,FALSE), IFERROR(VLOOKUP($A401,'Telstra ExDa'!$B$2:$K$310, 0,FALSE), IFERROR(VLOOKUP($A401,'Vocus RVC ExDa'!$C$2:$R$155, 0,FALSE), IFERROR(VLOOKUP($A401,'Fusion ExDa'!$B$2:$D$16, 0,FALSE), IFERROR(VLOOKUP($A401,'Exetel ExDa'!$C$2:$N$14, 0,FALSE), IFERROR(VLOOKUP($A401,'Infinet ExDa'!$B$2:$E$14, 0,FALSE), "Not Found"))))))))</f>
        <v>Not Found</v>
      </c>
    </row>
    <row r="402" spans="1:14">
      <c r="A402" t="str">
        <v>Promogear</v>
      </c>
      <c r="B402" t="str">
        <f>IFERROR(VLOOKUP(A402,'Exetel ExDa'!$C$2:$N$14,4,FALSE),"No Data")</f>
        <v>No Data</v>
      </c>
      <c r="C402">
        <f>IFERROR(VLOOKUP(A402,'AAPT ExDa'!$B$2:$U$99, 2,FALSE), IFERROR(VLOOKUP(A402,'ABB ExDa'!$A$2:$N$184, 2,FALSE), IFERROR(VLOOKUP(A402,'Vocus SIT ExDa'!$B$2:$J$173, 7,FALSE), IFERROR(VLOOKUP(A402,'Telstra ExDa'!$B$2:$K$310, 2,FALSE), IFERROR(VLOOKUP(A402,'Vocus RVC ExDa'!$C$2:$R$155, 3,FALSE), IFERROR(VLOOKUP(A402,'Fusion ExDa'!$B$2:$D$16, 2,FALSE), IFERROR(VLOOKUP(A402,'Exetel ExDa'!$C$2:$N$14, 2,FALSE), IFERROR(VLOOKUP(A402,'Infinet ExDa'!$B$2:$E$14, 2,FALSE), "Not Found"))))))))</f>
        <v>0</v>
      </c>
      <c r="D402" t="str">
        <f>IFERROR(VLOOKUP($A402,'AAPT ExDa'!$B$2:$U$99, 15,FALSE), IFERROR(VLOOKUP($A402,'ABB ExDa'!$A$2:$N$184, 4,FALSE), IFERROR(VLOOKUP($A402,'Vocus SIT ExDa'!$B$2:$J$173, 5,FALSE), IFERROR(VLOOKUP($A402,'Telstra ExDa'!$B$2:$K$310, 8,FALSE), IFERROR(VLOOKUP($A402,'Vocus RVC ExDa'!$C$2:$R$155, 6,FALSE), IFERROR(VLOOKUP($A402,'Fusion ExDa'!$B$2:$D$16, 4,FALSE), IFERROR(VLOOKUP($A402,'Exetel ExDa'!$C$2:$N$14, 3,FALSE), IFERROR(VLOOKUP($A402,'Infinet ExDa'!$B$2:$E$14, 3,FALSE), "Not Found"))))))))</f>
        <v>AAPT</v>
      </c>
      <c r="E402" t="str">
        <f>IFERROR(VLOOKUP($A402,'AAPT ExDa'!$B$2:$U$99, 3,FALSE), IFERROR(VLOOKUP($A402,'ABB ExDa'!$A$2:$N$184, 5,FALSE), IFERROR(VLOOKUP($A402,'Vocus SIT ExDa'!$B$2:$J$173, 2,FALSE), IFERROR(VLOOKUP($A402,'Telstra ExDa'!$B$2:$K$310, 4,FALSE), IFERROR(VLOOKUP($A402,'Vocus RVC ExDa'!$C$2:$R$155, 8,FALSE), IFERROR(VLOOKUP($A402,'Fusion ExDa'!$B$2:$D$16, 4,FALSE), IFERROR(VLOOKUP($A402,'Exetel ExDa'!$C$2:$N$14, 5,FALSE), IFERROR(VLOOKUP($A402,'Infinet ExDa'!$B$2:$E$14, 3,FALSE), "Not Found"))))))))</f>
        <v>IP-Line</v>
      </c>
      <c r="F402" t="str">
        <f>IFERROR(VLOOKUP($A402,'AAPT ExDa'!$B$2:$U$99, 4,FALSE), IFERROR(VLOOKUP($A402,'ABB ExDa'!$A$2:$N$184, 6,FALSE), IFERROR(VLOOKUP($A402,'Vocus SIT ExDa'!$B$2:$J$173, 3,FALSE), IFERROR(VLOOKUP($A402,'Telstra ExDa'!$B$2:$K$310, 5,FALSE), IFERROR(VLOOKUP($A402,'Vocus RVC ExDa'!$C$2:$R$155, 9,FALSE), IFERROR(VLOOKUP($A402,'Fusion ExDa'!$B$2:$D$16, 0,FALSE), IFERROR(VLOOKUP($A402,'Exetel ExDa'!$C$2:$N$14, 6,FALSE), IFERROR(VLOOKUP($A402,'Infinet ExDa'!$B$2:$E$14, 0,FALSE), "Not Found"))))))))</f>
        <v>IP-Line</v>
      </c>
      <c r="G402">
        <f>IFERROR(VLOOKUP($A402,'AAPT ExDa'!$B$2:$U$99, 5,FALSE), IFERROR(VLOOKUP($A402,'ABB ExDa'!$A$2:$N$184, 8,FALSE), IFERROR(VLOOKUP($A402,'Vocus SIT ExDa'!$B$2:$J$173, 6,FALSE), IFERROR(VLOOKUP($A402,'Telstra ExDa'!$B$2:$K$310, 0,FALSE), IFERROR(VLOOKUP($A402,'Vocus RVC ExDa'!$C$2:$R$155, 15,FALSE), IFERROR(VLOOKUP($A402,'Fusion ExDa'!$B$2:$D$16, 0,FALSE), IFERROR(VLOOKUP($A402,'Exetel ExDa'!$C$2:$N$14, 7,FALSE), IFERROR(VLOOKUP($A402,'Infinet ExDa'!$B$2:$E$14, 0,FALSE), "Not Found"))))))))</f>
        <v>0</v>
      </c>
      <c r="H402">
        <f>IFERROR(VLOOKUP($A402,'AAPT ExDa'!$B$2:$U$99, 6,FALSE), IFERROR(VLOOKUP($A402,'ABB ExDa'!$A$2:$N$184, 0,FALSE), IFERROR(VLOOKUP($A402,'Vocus SIT ExDa'!$B$2:$J$173, 0,FALSE), IFERROR(VLOOKUP($A402,'Telstra ExDa'!$B$2:$K$310, 0,FALSE), IFERROR(VLOOKUP($A402,'Vocus RVC ExDa'!$C$2:$R$155, 16,FALSE), IFERROR(VLOOKUP($A402,'Fusion ExDa'!$B$2:$D$16, 0,FALSE), IFERROR(VLOOKUP($A402,'Exetel ExDa'!$C$2:$N$14, 0,FALSE), IFERROR(VLOOKUP($A402,'Infinet ExDa'!$B$2:$E$14, 0,FALSE), "Not Found"))))))))</f>
        <v>0</v>
      </c>
      <c r="I402" t="str">
        <f>IFERROR(VLOOKUP($A402,'AAPT ExDa'!$B$2:$U$99, 0,FALSE), IFERROR(VLOOKUP($A402,'ABB ExDa'!$A$2:$N$184, 0,FALSE), IFERROR(VLOOKUP($A402,'Vocus SIT ExDa'!$B$2:$J$173, 0,FALSE), IFERROR(VLOOKUP($A402,'Telstra ExDa'!$B$2:$K$310, 0,FALSE), IFERROR(VLOOKUP($A402,'Vocus RVC ExDa'!$C$2:$R$155, 0,FALSE), IFERROR(VLOOKUP($A402,'Fusion ExDa'!$B$2:$D$16, 0,FALSE), IFERROR(VLOOKUP($A402,'Exetel ExDa'!$C$2:$N$14, 8,FALSE), IFERROR(VLOOKUP($A402,'Infinet ExDa'!$B$2:$E$14, 0,FALSE), "Not Found"))))))))</f>
        <v>Not Found</v>
      </c>
      <c r="J402">
        <f>IFERROR(VLOOKUP($A402,'AAPT ExDa'!$B$2:$U$99, 7,FALSE), IFERROR(VLOOKUP($A402,'ABB ExDa'!$A$2:$N$184, 2,FALSE), IFERROR(VLOOKUP($A402,'Vocus SIT ExDa'!$B$2:$J$173, 0,FALSE), IFERROR(VLOOKUP($A402,'Telstra ExDa'!$B$2:$K$310, 7,FALSE), IFERROR(VLOOKUP($A402,'Vocus RVC ExDa'!$C$2:$R$155, 2,FALSE), IFERROR(VLOOKUP($A402,'Fusion ExDa'!$B$2:$D$16, 3,FALSE), IFERROR(VLOOKUP($A402,'Exetel ExDa'!$C$2:$N$14, 0,FALSE), IFERROR(VLOOKUP($A402,'Infinet ExDa'!$B$2:$E$14, 0,FALSE), "Not Found"))))))))</f>
        <v>0</v>
      </c>
      <c r="K402" t="str">
        <f>IFERROR(VLOOKUP($A402,'AAPT ExDa'!$B$2:$U$99, 12,FALSE), IFERROR(VLOOKUP($A402,'ABB ExDa'!$A$2:$N$184, 0,FALSE), IFERROR(VLOOKUP($A402,'Vocus SIT ExDa'!$B$2:$J$173, 0,FALSE), IFERROR(VLOOKUP($A402,'Telstra ExDa'!$B$2:$K$310, 0,FALSE), IFERROR(VLOOKUP($A402,'Vocus RVC ExDa'!$C$2:$R$155, 0,FALSE), IFERROR(VLOOKUP($A402,'Fusion ExDa'!$B$2:$D$16, 0,FALSE), IFERROR(VLOOKUP($A402,'Exetel ExDa'!$C$2:$N$14, 12,FALSE), IFERROR(VLOOKUP($A402,'Infinet ExDa'!$B$2:$E$14, 0,FALSE), "Not Found"))))))))</f>
        <v>12 Months</v>
      </c>
      <c r="L402" s="235" t="str">
        <f>IFERROR(VLOOKUP($A402,'AAPT ExDa'!$B$2:$U$99, 11,FALSE), IFERROR(VLOOKUP($A402,'ABB ExDa'!$A$2:$N$184, 9,FALSE), IFERROR(VLOOKUP($A402,'Vocus SIT ExDa'!$B$2:$J$173, 8,FALSE), IFERROR(VLOOKUP($A402,'Telstra ExDa'!$B$2:$K$310, 0,FALSE), IFERROR(VLOOKUP($A402,'Vocus RVC ExDa'!$C$2:$R$155, 0,FALSE), IFERROR(VLOOKUP($A402,'Fusion ExDa'!$B$2:$D$16, 0,FALSE), IFERROR(VLOOKUP($A402,'Exetel ExDa'!$C$2:$N$14, 9,FALSE), IFERROR(VLOOKUP($A402,'Infinet ExDa'!$B$2:$E$14, 0,FALSE), "Not Found"))))))))</f>
        <v>15/06/2021</v>
      </c>
      <c r="M402" s="234" t="str">
        <f>IFERROR(VLOOKUP($A402,'AAPT ExDa'!$B$2:$U$99, 0,FALSE), IFERROR(VLOOKUP($A402,'ABB ExDa'!$A$2:$N$184, 0,FALSE), IFERROR(VLOOKUP($A402,'Vocus SIT ExDa'!$B$2:$J$173, 0,FALSE), IFERROR(VLOOKUP($A402,'Telstra ExDa'!$B$2:$K$310, 0,FALSE), IFERROR(VLOOKUP($A402,'Vocus RVC ExDa'!$C$2:$R$155, 0,FALSE), IFERROR(VLOOKUP($A402,'Fusion ExDa'!$B$2:$D$16, 0,FALSE), IFERROR(VLOOKUP($A402,'Exetel ExDa'!$C$2:$N$14, 11,FALSE), IFERROR(VLOOKUP($A402,'Infinet ExDa'!$B$2:$E$14, 0,FALSE), "Not Found"))))))))</f>
        <v>Not Found</v>
      </c>
      <c r="N402" t="str">
        <f>IFERROR(VLOOKUP($A402,'AAPT ExDa'!$B$2:$U$99, 0,FALSE), IFERROR(VLOOKUP($A402,'ABB ExDa'!$A$2:$N$184, 13,FALSE), IFERROR(VLOOKUP($A402,'Vocus SIT ExDa'!$B$2:$J$173, 0,FALSE), IFERROR(VLOOKUP($A402,'Telstra ExDa'!$B$2:$K$310, 0,FALSE), IFERROR(VLOOKUP($A402,'Vocus RVC ExDa'!$C$2:$R$155, 0,FALSE), IFERROR(VLOOKUP($A402,'Fusion ExDa'!$B$2:$D$16, 0,FALSE), IFERROR(VLOOKUP($A402,'Exetel ExDa'!$C$2:$N$14, 0,FALSE), IFERROR(VLOOKUP($A402,'Infinet ExDa'!$B$2:$E$14, 0,FALSE), "Not Found"))))))))</f>
        <v>Sasboss/Datagate</v>
      </c>
    </row>
    <row r="403" spans="1:14">
      <c r="A403" t="str">
        <v>Lead Institute (882)</v>
      </c>
      <c r="B403" t="str">
        <f>IFERROR(VLOOKUP(A403,'Exetel ExDa'!$C$2:$N$14,4,FALSE),"No Data")</f>
        <v>No Data</v>
      </c>
      <c r="C403" t="str">
        <f>IFERROR(VLOOKUP(A403,'AAPT ExDa'!$B$2:$U$99, 2,FALSE), IFERROR(VLOOKUP(A403,'ABB ExDa'!$A$2:$N$184, 2,FALSE), IFERROR(VLOOKUP(A403,'Vocus SIT ExDa'!$B$2:$J$173, 7,FALSE), IFERROR(VLOOKUP(A403,'Telstra ExDa'!$B$2:$K$310, 2,FALSE), IFERROR(VLOOKUP(A403,'Vocus RVC ExDa'!$C$2:$R$155, 3,FALSE), IFERROR(VLOOKUP(A403,'Fusion ExDa'!$B$2:$D$16, 2,FALSE), IFERROR(VLOOKUP(A403,'Exetel ExDa'!$C$2:$N$14, 2,FALSE), IFERROR(VLOOKUP(A403,'Infinet ExDa'!$B$2:$E$14, 2,FALSE), "Not Found"))))))))</f>
        <v>Unit 1, 49 Miller Street, Murarrie QLD 4173</v>
      </c>
      <c r="D403" t="str">
        <f>IFERROR(VLOOKUP($A403,'AAPT ExDa'!$B$2:$U$99, 15,FALSE), IFERROR(VLOOKUP($A403,'ABB ExDa'!$A$2:$N$184, 4,FALSE), IFERROR(VLOOKUP($A403,'Vocus SIT ExDa'!$B$2:$J$173, 5,FALSE), IFERROR(VLOOKUP($A403,'Telstra ExDa'!$B$2:$K$310, 8,FALSE), IFERROR(VLOOKUP($A403,'Vocus RVC ExDa'!$C$2:$R$155, 6,FALSE), IFERROR(VLOOKUP($A403,'Fusion ExDa'!$B$2:$D$16, 4,FALSE), IFERROR(VLOOKUP($A403,'Exetel ExDa'!$C$2:$N$14, 3,FALSE), IFERROR(VLOOKUP($A403,'Infinet ExDa'!$B$2:$E$14, 3,FALSE), "Not Found"))))))))</f>
        <v>Vocus SIT</v>
      </c>
      <c r="E403" t="str">
        <f>IFERROR(VLOOKUP($A403,'AAPT ExDa'!$B$2:$U$99, 3,FALSE), IFERROR(VLOOKUP($A403,'ABB ExDa'!$A$2:$N$184, 5,FALSE), IFERROR(VLOOKUP($A403,'Vocus SIT ExDa'!$B$2:$J$173, 2,FALSE), IFERROR(VLOOKUP($A403,'Telstra ExDa'!$B$2:$K$310, 4,FALSE), IFERROR(VLOOKUP($A403,'Vocus RVC ExDa'!$C$2:$R$155, 8,FALSE), IFERROR(VLOOKUP($A403,'Fusion ExDa'!$B$2:$D$16, 4,FALSE), IFERROR(VLOOKUP($A403,'Exetel ExDa'!$C$2:$N$14, 5,FALSE), IFERROR(VLOOKUP($A403,'Infinet ExDa'!$B$2:$E$14, 3,FALSE), "Not Found"))))))))</f>
        <v>Voice Service</v>
      </c>
      <c r="F403" t="str">
        <f>IFERROR(VLOOKUP($A403,'AAPT ExDa'!$B$2:$U$99, 4,FALSE), IFERROR(VLOOKUP($A403,'ABB ExDa'!$A$2:$N$184, 6,FALSE), IFERROR(VLOOKUP($A403,'Vocus SIT ExDa'!$B$2:$J$173, 3,FALSE), IFERROR(VLOOKUP($A403,'Telstra ExDa'!$B$2:$K$310, 5,FALSE), IFERROR(VLOOKUP($A403,'Vocus RVC ExDa'!$C$2:$R$155, 9,FALSE), IFERROR(VLOOKUP($A403,'Fusion ExDa'!$B$2:$D$16, 0,FALSE), IFERROR(VLOOKUP($A403,'Exetel ExDa'!$C$2:$N$14, 6,FALSE), IFERROR(VLOOKUP($A403,'Infinet ExDa'!$B$2:$E$14, 0,FALSE), "Not Found"))))))))</f>
        <v>0731127882
0730932699</v>
      </c>
      <c r="G403" t="str">
        <f>IFERROR(VLOOKUP($A403,'AAPT ExDa'!$B$2:$U$99, 5,FALSE), IFERROR(VLOOKUP($A403,'ABB ExDa'!$A$2:$N$184, 8,FALSE), IFERROR(VLOOKUP($A403,'Vocus SIT ExDa'!$B$2:$J$173, 6,FALSE), IFERROR(VLOOKUP($A403,'Telstra ExDa'!$B$2:$K$310, 0,FALSE), IFERROR(VLOOKUP($A403,'Vocus RVC ExDa'!$C$2:$R$155, 15,FALSE), IFERROR(VLOOKUP($A403,'Fusion ExDa'!$B$2:$D$16, 0,FALSE), IFERROR(VLOOKUP($A403,'Exetel ExDa'!$C$2:$N$14, 7,FALSE), IFERROR(VLOOKUP($A403,'Infinet ExDa'!$B$2:$E$14, 0,FALSE), "Not Found"))))))))</f>
        <v>IP Tel Order - Smile Tel - 22/06/2020
Voice (5 Mbps) - Unit 1, 49 Miller Street, Murarrie QLD 4172</v>
      </c>
      <c r="H403" t="str">
        <f>IFERROR(VLOOKUP($A403,'AAPT ExDa'!$B$2:$U$99, 6,FALSE), IFERROR(VLOOKUP($A403,'ABB ExDa'!$A$2:$N$184, 0,FALSE), IFERROR(VLOOKUP($A403,'Vocus SIT ExDa'!$B$2:$J$173, 0,FALSE), IFERROR(VLOOKUP($A403,'Telstra ExDa'!$B$2:$K$310, 0,FALSE), IFERROR(VLOOKUP($A403,'Vocus RVC ExDa'!$C$2:$R$155, 16,FALSE), IFERROR(VLOOKUP($A403,'Fusion ExDa'!$B$2:$D$16, 0,FALSE), IFERROR(VLOOKUP($A403,'Exetel ExDa'!$C$2:$N$14, 0,FALSE), IFERROR(VLOOKUP($A403,'Infinet ExDa'!$B$2:$E$14, 0,FALSE), "Not Found"))))))))</f>
        <v>Not Found</v>
      </c>
      <c r="I403" t="str">
        <f>IFERROR(VLOOKUP($A403,'AAPT ExDa'!$B$2:$U$99, 0,FALSE), IFERROR(VLOOKUP($A403,'ABB ExDa'!$A$2:$N$184, 0,FALSE), IFERROR(VLOOKUP($A403,'Vocus SIT ExDa'!$B$2:$J$173, 0,FALSE), IFERROR(VLOOKUP($A403,'Telstra ExDa'!$B$2:$K$310, 0,FALSE), IFERROR(VLOOKUP($A403,'Vocus RVC ExDa'!$C$2:$R$155, 0,FALSE), IFERROR(VLOOKUP($A403,'Fusion ExDa'!$B$2:$D$16, 0,FALSE), IFERROR(VLOOKUP($A403,'Exetel ExDa'!$C$2:$N$14, 8,FALSE), IFERROR(VLOOKUP($A403,'Infinet ExDa'!$B$2:$E$14, 0,FALSE), "Not Found"))))))))</f>
        <v>Not Found</v>
      </c>
      <c r="J403" t="str">
        <f>IFERROR(VLOOKUP($A403,'AAPT ExDa'!$B$2:$U$99, 7,FALSE), IFERROR(VLOOKUP($A403,'ABB ExDa'!$A$2:$N$184, 2,FALSE), IFERROR(VLOOKUP($A403,'Vocus SIT ExDa'!$B$2:$J$173, 0,FALSE), IFERROR(VLOOKUP($A403,'Telstra ExDa'!$B$2:$K$310, 7,FALSE), IFERROR(VLOOKUP($A403,'Vocus RVC ExDa'!$C$2:$R$155, 2,FALSE), IFERROR(VLOOKUP($A403,'Fusion ExDa'!$B$2:$D$16, 3,FALSE), IFERROR(VLOOKUP($A403,'Exetel ExDa'!$C$2:$N$14, 0,FALSE), IFERROR(VLOOKUP($A403,'Infinet ExDa'!$B$2:$E$14, 0,FALSE), "Not Found"))))))))</f>
        <v>Not Found</v>
      </c>
      <c r="K403" t="str">
        <f>IFERROR(VLOOKUP($A403,'AAPT ExDa'!$B$2:$U$99, 12,FALSE), IFERROR(VLOOKUP($A403,'ABB ExDa'!$A$2:$N$184, 0,FALSE), IFERROR(VLOOKUP($A403,'Vocus SIT ExDa'!$B$2:$J$173, 0,FALSE), IFERROR(VLOOKUP($A403,'Telstra ExDa'!$B$2:$K$310, 0,FALSE), IFERROR(VLOOKUP($A403,'Vocus RVC ExDa'!$C$2:$R$155, 0,FALSE), IFERROR(VLOOKUP($A403,'Fusion ExDa'!$B$2:$D$16, 0,FALSE), IFERROR(VLOOKUP($A403,'Exetel ExDa'!$C$2:$N$14, 12,FALSE), IFERROR(VLOOKUP($A403,'Infinet ExDa'!$B$2:$E$14, 0,FALSE), "Not Found"))))))))</f>
        <v>Not Found</v>
      </c>
      <c r="L403" s="235">
        <f>IFERROR(VLOOKUP($A403,'AAPT ExDa'!$B$2:$U$99, 11,FALSE), IFERROR(VLOOKUP($A403,'ABB ExDa'!$A$2:$N$184, 9,FALSE), IFERROR(VLOOKUP($A403,'Vocus SIT ExDa'!$B$2:$J$173, 8,FALSE), IFERROR(VLOOKUP($A403,'Telstra ExDa'!$B$2:$K$310, 0,FALSE), IFERROR(VLOOKUP($A403,'Vocus RVC ExDa'!$C$2:$R$155, 0,FALSE), IFERROR(VLOOKUP($A403,'Fusion ExDa'!$B$2:$D$16, 0,FALSE), IFERROR(VLOOKUP($A403,'Exetel ExDa'!$C$2:$N$14, 9,FALSE), IFERROR(VLOOKUP($A403,'Infinet ExDa'!$B$2:$E$14, 0,FALSE), "Not Found"))))))))</f>
        <v>43868</v>
      </c>
      <c r="M403" s="234" t="str">
        <f>IFERROR(VLOOKUP($A403,'AAPT ExDa'!$B$2:$U$99, 0,FALSE), IFERROR(VLOOKUP($A403,'ABB ExDa'!$A$2:$N$184, 0,FALSE), IFERROR(VLOOKUP($A403,'Vocus SIT ExDa'!$B$2:$J$173, 0,FALSE), IFERROR(VLOOKUP($A403,'Telstra ExDa'!$B$2:$K$310, 0,FALSE), IFERROR(VLOOKUP($A403,'Vocus RVC ExDa'!$C$2:$R$155, 0,FALSE), IFERROR(VLOOKUP($A403,'Fusion ExDa'!$B$2:$D$16, 0,FALSE), IFERROR(VLOOKUP($A403,'Exetel ExDa'!$C$2:$N$14, 11,FALSE), IFERROR(VLOOKUP($A403,'Infinet ExDa'!$B$2:$E$14, 0,FALSE), "Not Found"))))))))</f>
        <v>Not Found</v>
      </c>
      <c r="N403" t="str">
        <f>IFERROR(VLOOKUP($A403,'AAPT ExDa'!$B$2:$U$99, 0,FALSE), IFERROR(VLOOKUP($A403,'ABB ExDa'!$A$2:$N$184, 13,FALSE), IFERROR(VLOOKUP($A403,'Vocus SIT ExDa'!$B$2:$J$173, 0,FALSE), IFERROR(VLOOKUP($A403,'Telstra ExDa'!$B$2:$K$310, 0,FALSE), IFERROR(VLOOKUP($A403,'Vocus RVC ExDa'!$C$2:$R$155, 0,FALSE), IFERROR(VLOOKUP($A403,'Fusion ExDa'!$B$2:$D$16, 0,FALSE), IFERROR(VLOOKUP($A403,'Exetel ExDa'!$C$2:$N$14, 0,FALSE), IFERROR(VLOOKUP($A403,'Infinet ExDa'!$B$2:$E$14, 0,FALSE), "Not Found"))))))))</f>
        <v>Not Found</v>
      </c>
    </row>
    <row r="404" spans="1:14">
      <c r="A404" t="str">
        <v xml:space="preserve">Lead Institute </v>
      </c>
      <c r="B404" t="str">
        <f>IFERROR(VLOOKUP(A404,'Exetel ExDa'!$C$2:$N$14,4,FALSE),"No Data")</f>
        <v>No Data</v>
      </c>
      <c r="C404">
        <f>IFERROR(VLOOKUP(A404,'AAPT ExDa'!$B$2:$U$99, 2,FALSE), IFERROR(VLOOKUP(A404,'ABB ExDa'!$A$2:$N$184, 2,FALSE), IFERROR(VLOOKUP(A404,'Vocus SIT ExDa'!$B$2:$J$173, 7,FALSE), IFERROR(VLOOKUP(A404,'Telstra ExDa'!$B$2:$K$310, 2,FALSE), IFERROR(VLOOKUP(A404,'Vocus RVC ExDa'!$C$2:$R$155, 3,FALSE), IFERROR(VLOOKUP(A404,'Fusion ExDa'!$B$2:$D$16, 2,FALSE), IFERROR(VLOOKUP(A404,'Exetel ExDa'!$C$2:$N$14, 2,FALSE), IFERROR(VLOOKUP(A404,'Infinet ExDa'!$B$2:$E$14, 2,FALSE), "Not Found"))))))))</f>
        <v>0</v>
      </c>
      <c r="D404" t="str">
        <f>IFERROR(VLOOKUP($A404,'AAPT ExDa'!$B$2:$U$99, 15,FALSE), IFERROR(VLOOKUP($A404,'ABB ExDa'!$A$2:$N$184, 4,FALSE), IFERROR(VLOOKUP($A404,'Vocus SIT ExDa'!$B$2:$J$173, 5,FALSE), IFERROR(VLOOKUP($A404,'Telstra ExDa'!$B$2:$K$310, 8,FALSE), IFERROR(VLOOKUP($A404,'Vocus RVC ExDa'!$C$2:$R$155, 6,FALSE), IFERROR(VLOOKUP($A404,'Fusion ExDa'!$B$2:$D$16, 4,FALSE), IFERROR(VLOOKUP($A404,'Exetel ExDa'!$C$2:$N$14, 3,FALSE), IFERROR(VLOOKUP($A404,'Infinet ExDa'!$B$2:$E$14, 3,FALSE), "Not Found"))))))))</f>
        <v>Vocus SIT</v>
      </c>
      <c r="E404" t="str">
        <f>IFERROR(VLOOKUP($A404,'AAPT ExDa'!$B$2:$U$99, 3,FALSE), IFERROR(VLOOKUP($A404,'ABB ExDa'!$A$2:$N$184, 5,FALSE), IFERROR(VLOOKUP($A404,'Vocus SIT ExDa'!$B$2:$J$173, 2,FALSE), IFERROR(VLOOKUP($A404,'Telstra ExDa'!$B$2:$K$310, 4,FALSE), IFERROR(VLOOKUP($A404,'Vocus RVC ExDa'!$C$2:$R$155, 8,FALSE), IFERROR(VLOOKUP($A404,'Fusion ExDa'!$B$2:$D$16, 4,FALSE), IFERROR(VLOOKUP($A404,'Exetel ExDa'!$C$2:$N$14, 5,FALSE), IFERROR(VLOOKUP($A404,'Infinet ExDa'!$B$2:$E$14, 3,FALSE), "Not Found"))))))))</f>
        <v>Voice Service</v>
      </c>
      <c r="F404" t="str">
        <f>IFERROR(VLOOKUP($A404,'AAPT ExDa'!$B$2:$U$99, 4,FALSE), IFERROR(VLOOKUP($A404,'ABB ExDa'!$A$2:$N$184, 6,FALSE), IFERROR(VLOOKUP($A404,'Vocus SIT ExDa'!$B$2:$J$173, 3,FALSE), IFERROR(VLOOKUP($A404,'Telstra ExDa'!$B$2:$K$310, 5,FALSE), IFERROR(VLOOKUP($A404,'Vocus RVC ExDa'!$C$2:$R$155, 9,FALSE), IFERROR(VLOOKUP($A404,'Fusion ExDa'!$B$2:$D$16, 0,FALSE), IFERROR(VLOOKUP($A404,'Exetel ExDa'!$C$2:$N$14, 6,FALSE), IFERROR(VLOOKUP($A404,'Infinet ExDa'!$B$2:$E$14, 0,FALSE), "Not Found"))))))))</f>
        <v>0749696764
0733489099
0746333674
0756301992
0745662411
0731391628
0741608907
0741608908
0753141019
0731391629
0731391651
0731391678
0749142476
0731391820
0731391821
0731391822
0731391823
0731391824
0731391825
0731391826
0731391827
0731391828
0746338711
0746421059
0746421135
0749549643
0754994640
0746341020
0746334008
0746334455</v>
      </c>
      <c r="G404" t="str">
        <f>IFERROR(VLOOKUP($A404,'AAPT ExDa'!$B$2:$U$99, 5,FALSE), IFERROR(VLOOKUP($A404,'ABB ExDa'!$A$2:$N$184, 8,FALSE), IFERROR(VLOOKUP($A404,'Vocus SIT ExDa'!$B$2:$J$173, 6,FALSE), IFERROR(VLOOKUP($A404,'Telstra ExDa'!$B$2:$K$310, 0,FALSE), IFERROR(VLOOKUP($A404,'Vocus RVC ExDa'!$C$2:$R$155, 15,FALSE), IFERROR(VLOOKUP($A404,'Fusion ExDa'!$B$2:$D$16, 0,FALSE), IFERROR(VLOOKUP($A404,'Exetel ExDa'!$C$2:$N$14, 7,FALSE), IFERROR(VLOOKUP($A404,'Infinet ExDa'!$B$2:$E$14, 0,FALSE), "Not Found"))))))))</f>
        <v>IP Tel Order - Smile Tel - 16/11/2020</v>
      </c>
      <c r="H404" t="str">
        <f>IFERROR(VLOOKUP($A404,'AAPT ExDa'!$B$2:$U$99, 6,FALSE), IFERROR(VLOOKUP($A404,'ABB ExDa'!$A$2:$N$184, 0,FALSE), IFERROR(VLOOKUP($A404,'Vocus SIT ExDa'!$B$2:$J$173, 0,FALSE), IFERROR(VLOOKUP($A404,'Telstra ExDa'!$B$2:$K$310, 0,FALSE), IFERROR(VLOOKUP($A404,'Vocus RVC ExDa'!$C$2:$R$155, 16,FALSE), IFERROR(VLOOKUP($A404,'Fusion ExDa'!$B$2:$D$16, 0,FALSE), IFERROR(VLOOKUP($A404,'Exetel ExDa'!$C$2:$N$14, 0,FALSE), IFERROR(VLOOKUP($A404,'Infinet ExDa'!$B$2:$E$14, 0,FALSE), "Not Found"))))))))</f>
        <v>Not Found</v>
      </c>
      <c r="I404" t="str">
        <f>IFERROR(VLOOKUP($A404,'AAPT ExDa'!$B$2:$U$99, 0,FALSE), IFERROR(VLOOKUP($A404,'ABB ExDa'!$A$2:$N$184, 0,FALSE), IFERROR(VLOOKUP($A404,'Vocus SIT ExDa'!$B$2:$J$173, 0,FALSE), IFERROR(VLOOKUP($A404,'Telstra ExDa'!$B$2:$K$310, 0,FALSE), IFERROR(VLOOKUP($A404,'Vocus RVC ExDa'!$C$2:$R$155, 0,FALSE), IFERROR(VLOOKUP($A404,'Fusion ExDa'!$B$2:$D$16, 0,FALSE), IFERROR(VLOOKUP($A404,'Exetel ExDa'!$C$2:$N$14, 8,FALSE), IFERROR(VLOOKUP($A404,'Infinet ExDa'!$B$2:$E$14, 0,FALSE), "Not Found"))))))))</f>
        <v>Not Found</v>
      </c>
      <c r="J404" t="str">
        <f>IFERROR(VLOOKUP($A404,'AAPT ExDa'!$B$2:$U$99, 7,FALSE), IFERROR(VLOOKUP($A404,'ABB ExDa'!$A$2:$N$184, 2,FALSE), IFERROR(VLOOKUP($A404,'Vocus SIT ExDa'!$B$2:$J$173, 0,FALSE), IFERROR(VLOOKUP($A404,'Telstra ExDa'!$B$2:$K$310, 7,FALSE), IFERROR(VLOOKUP($A404,'Vocus RVC ExDa'!$C$2:$R$155, 2,FALSE), IFERROR(VLOOKUP($A404,'Fusion ExDa'!$B$2:$D$16, 3,FALSE), IFERROR(VLOOKUP($A404,'Exetel ExDa'!$C$2:$N$14, 0,FALSE), IFERROR(VLOOKUP($A404,'Infinet ExDa'!$B$2:$E$14, 0,FALSE), "Not Found"))))))))</f>
        <v>Not Found</v>
      </c>
      <c r="K404" t="str">
        <f>IFERROR(VLOOKUP($A404,'AAPT ExDa'!$B$2:$U$99, 12,FALSE), IFERROR(VLOOKUP($A404,'ABB ExDa'!$A$2:$N$184, 0,FALSE), IFERROR(VLOOKUP($A404,'Vocus SIT ExDa'!$B$2:$J$173, 0,FALSE), IFERROR(VLOOKUP($A404,'Telstra ExDa'!$B$2:$K$310, 0,FALSE), IFERROR(VLOOKUP($A404,'Vocus RVC ExDa'!$C$2:$R$155, 0,FALSE), IFERROR(VLOOKUP($A404,'Fusion ExDa'!$B$2:$D$16, 0,FALSE), IFERROR(VLOOKUP($A404,'Exetel ExDa'!$C$2:$N$14, 12,FALSE), IFERROR(VLOOKUP($A404,'Infinet ExDa'!$B$2:$E$14, 0,FALSE), "Not Found"))))))))</f>
        <v>Not Found</v>
      </c>
      <c r="L404" s="235" t="str">
        <f>IFERROR(VLOOKUP($A404,'AAPT ExDa'!$B$2:$U$99, 11,FALSE), IFERROR(VLOOKUP($A404,'ABB ExDa'!$A$2:$N$184, 9,FALSE), IFERROR(VLOOKUP($A404,'Vocus SIT ExDa'!$B$2:$J$173, 8,FALSE), IFERROR(VLOOKUP($A404,'Telstra ExDa'!$B$2:$K$310, 0,FALSE), IFERROR(VLOOKUP($A404,'Vocus RVC ExDa'!$C$2:$R$155, 0,FALSE), IFERROR(VLOOKUP($A404,'Fusion ExDa'!$B$2:$D$16, 0,FALSE), IFERROR(VLOOKUP($A404,'Exetel ExDa'!$C$2:$N$14, 9,FALSE), IFERROR(VLOOKUP($A404,'Infinet ExDa'!$B$2:$E$14, 0,FALSE), "Not Found"))))))))</f>
        <v>24/09/2024</v>
      </c>
      <c r="M404" s="234" t="str">
        <f>IFERROR(VLOOKUP($A404,'AAPT ExDa'!$B$2:$U$99, 0,FALSE), IFERROR(VLOOKUP($A404,'ABB ExDa'!$A$2:$N$184, 0,FALSE), IFERROR(VLOOKUP($A404,'Vocus SIT ExDa'!$B$2:$J$173, 0,FALSE), IFERROR(VLOOKUP($A404,'Telstra ExDa'!$B$2:$K$310, 0,FALSE), IFERROR(VLOOKUP($A404,'Vocus RVC ExDa'!$C$2:$R$155, 0,FALSE), IFERROR(VLOOKUP($A404,'Fusion ExDa'!$B$2:$D$16, 0,FALSE), IFERROR(VLOOKUP($A404,'Exetel ExDa'!$C$2:$N$14, 11,FALSE), IFERROR(VLOOKUP($A404,'Infinet ExDa'!$B$2:$E$14, 0,FALSE), "Not Found"))))))))</f>
        <v>Not Found</v>
      </c>
      <c r="N404" t="str">
        <f>IFERROR(VLOOKUP($A404,'AAPT ExDa'!$B$2:$U$99, 0,FALSE), IFERROR(VLOOKUP($A404,'ABB ExDa'!$A$2:$N$184, 13,FALSE), IFERROR(VLOOKUP($A404,'Vocus SIT ExDa'!$B$2:$J$173, 0,FALSE), IFERROR(VLOOKUP($A404,'Telstra ExDa'!$B$2:$K$310, 0,FALSE), IFERROR(VLOOKUP($A404,'Vocus RVC ExDa'!$C$2:$R$155, 0,FALSE), IFERROR(VLOOKUP($A404,'Fusion ExDa'!$B$2:$D$16, 0,FALSE), IFERROR(VLOOKUP($A404,'Exetel ExDa'!$C$2:$N$14, 0,FALSE), IFERROR(VLOOKUP($A404,'Infinet ExDa'!$B$2:$E$14, 0,FALSE), "Not Found"))))))))</f>
        <v>Not Found</v>
      </c>
    </row>
    <row r="405" spans="1:14">
      <c r="A405" t="str">
        <v>Action Smart</v>
      </c>
      <c r="B405" t="str">
        <f>IFERROR(VLOOKUP(A405,'Exetel ExDa'!$C$2:$N$14,4,FALSE),"No Data")</f>
        <v>No Data</v>
      </c>
      <c r="C405" t="str">
        <f>IFERROR(VLOOKUP(A405,'AAPT ExDa'!$B$2:$U$99, 2,FALSE), IFERROR(VLOOKUP(A405,'ABB ExDa'!$A$2:$N$184, 2,FALSE), IFERROR(VLOOKUP(A405,'Vocus SIT ExDa'!$B$2:$J$173, 7,FALSE), IFERROR(VLOOKUP(A405,'Telstra ExDa'!$B$2:$K$310, 2,FALSE), IFERROR(VLOOKUP(A405,'Vocus RVC ExDa'!$C$2:$R$155, 3,FALSE), IFERROR(VLOOKUP(A405,'Fusion ExDa'!$B$2:$D$16, 2,FALSE), IFERROR(VLOOKUP(A405,'Exetel ExDa'!$C$2:$N$14, 2,FALSE), IFERROR(VLOOKUP(A405,'Infinet ExDa'!$B$2:$E$14, 2,FALSE), "Not Found"))))))))</f>
        <v>Level 1D, 60 Enterprise Place, Tingalpa QLD 4174</v>
      </c>
      <c r="D405" t="str">
        <f>IFERROR(VLOOKUP($A405,'AAPT ExDa'!$B$2:$U$99, 15,FALSE), IFERROR(VLOOKUP($A405,'ABB ExDa'!$A$2:$N$184, 4,FALSE), IFERROR(VLOOKUP($A405,'Vocus SIT ExDa'!$B$2:$J$173, 5,FALSE), IFERROR(VLOOKUP($A405,'Telstra ExDa'!$B$2:$K$310, 8,FALSE), IFERROR(VLOOKUP($A405,'Vocus RVC ExDa'!$C$2:$R$155, 6,FALSE), IFERROR(VLOOKUP($A405,'Fusion ExDa'!$B$2:$D$16, 4,FALSE), IFERROR(VLOOKUP($A405,'Exetel ExDa'!$C$2:$N$14, 3,FALSE), IFERROR(VLOOKUP($A405,'Infinet ExDa'!$B$2:$E$14, 3,FALSE), "Not Found"))))))))</f>
        <v>Vocus SIT</v>
      </c>
      <c r="E405" t="str">
        <f>IFERROR(VLOOKUP($A405,'AAPT ExDa'!$B$2:$U$99, 3,FALSE), IFERROR(VLOOKUP($A405,'ABB ExDa'!$A$2:$N$184, 5,FALSE), IFERROR(VLOOKUP($A405,'Vocus SIT ExDa'!$B$2:$J$173, 2,FALSE), IFERROR(VLOOKUP($A405,'Telstra ExDa'!$B$2:$K$310, 4,FALSE), IFERROR(VLOOKUP($A405,'Vocus RVC ExDa'!$C$2:$R$155, 8,FALSE), IFERROR(VLOOKUP($A405,'Fusion ExDa'!$B$2:$D$16, 4,FALSE), IFERROR(VLOOKUP($A405,'Exetel ExDa'!$C$2:$N$14, 5,FALSE), IFERROR(VLOOKUP($A405,'Infinet ExDa'!$B$2:$E$14, 3,FALSE), "Not Found"))))))))</f>
        <v>Voice Service</v>
      </c>
      <c r="F405" t="str">
        <f>IFERROR(VLOOKUP($A405,'AAPT ExDa'!$B$2:$U$99, 4,FALSE), IFERROR(VLOOKUP($A405,'ABB ExDa'!$A$2:$N$184, 6,FALSE), IFERROR(VLOOKUP($A405,'Vocus SIT ExDa'!$B$2:$J$173, 3,FALSE), IFERROR(VLOOKUP($A405,'Telstra ExDa'!$B$2:$K$310, 5,FALSE), IFERROR(VLOOKUP($A405,'Vocus RVC ExDa'!$C$2:$R$155, 9,FALSE), IFERROR(VLOOKUP($A405,'Fusion ExDa'!$B$2:$D$16, 0,FALSE), IFERROR(VLOOKUP($A405,'Exetel ExDa'!$C$2:$N$14, 6,FALSE), IFERROR(VLOOKUP($A405,'Infinet ExDa'!$B$2:$E$14, 0,FALSE), "Not Found"))))))))</f>
        <v>0734627617
0734627618
0734627619
0748862250</v>
      </c>
      <c r="G405" t="str">
        <f>IFERROR(VLOOKUP($A405,'AAPT ExDa'!$B$2:$U$99, 5,FALSE), IFERROR(VLOOKUP($A405,'ABB ExDa'!$A$2:$N$184, 8,FALSE), IFERROR(VLOOKUP($A405,'Vocus SIT ExDa'!$B$2:$J$173, 6,FALSE), IFERROR(VLOOKUP($A405,'Telstra ExDa'!$B$2:$K$310, 0,FALSE), IFERROR(VLOOKUP($A405,'Vocus RVC ExDa'!$C$2:$R$155, 15,FALSE), IFERROR(VLOOKUP($A405,'Fusion ExDa'!$B$2:$D$16, 0,FALSE), IFERROR(VLOOKUP($A405,'Exetel ExDa'!$C$2:$N$14, 7,FALSE), IFERROR(VLOOKUP($A405,'Infinet ExDa'!$B$2:$E$14, 0,FALSE), "Not Found"))))))))</f>
        <v>IP Tel Order - Smile Tel - 03/02/2023
Voice (5 Mbps) - Level 1D, 60 Enterprise Place , Tingalpa QLD 4173</v>
      </c>
      <c r="H405" t="str">
        <f>IFERROR(VLOOKUP($A405,'AAPT ExDa'!$B$2:$U$99, 6,FALSE), IFERROR(VLOOKUP($A405,'ABB ExDa'!$A$2:$N$184, 0,FALSE), IFERROR(VLOOKUP($A405,'Vocus SIT ExDa'!$B$2:$J$173, 0,FALSE), IFERROR(VLOOKUP($A405,'Telstra ExDa'!$B$2:$K$310, 0,FALSE), IFERROR(VLOOKUP($A405,'Vocus RVC ExDa'!$C$2:$R$155, 16,FALSE), IFERROR(VLOOKUP($A405,'Fusion ExDa'!$B$2:$D$16, 0,FALSE), IFERROR(VLOOKUP($A405,'Exetel ExDa'!$C$2:$N$14, 0,FALSE), IFERROR(VLOOKUP($A405,'Infinet ExDa'!$B$2:$E$14, 0,FALSE), "Not Found"))))))))</f>
        <v>Not Found</v>
      </c>
      <c r="I405" t="str">
        <f>IFERROR(VLOOKUP($A405,'AAPT ExDa'!$B$2:$U$99, 0,FALSE), IFERROR(VLOOKUP($A405,'ABB ExDa'!$A$2:$N$184, 0,FALSE), IFERROR(VLOOKUP($A405,'Vocus SIT ExDa'!$B$2:$J$173, 0,FALSE), IFERROR(VLOOKUP($A405,'Telstra ExDa'!$B$2:$K$310, 0,FALSE), IFERROR(VLOOKUP($A405,'Vocus RVC ExDa'!$C$2:$R$155, 0,FALSE), IFERROR(VLOOKUP($A405,'Fusion ExDa'!$B$2:$D$16, 0,FALSE), IFERROR(VLOOKUP($A405,'Exetel ExDa'!$C$2:$N$14, 8,FALSE), IFERROR(VLOOKUP($A405,'Infinet ExDa'!$B$2:$E$14, 0,FALSE), "Not Found"))))))))</f>
        <v>Not Found</v>
      </c>
      <c r="J405" t="str">
        <f>IFERROR(VLOOKUP($A405,'AAPT ExDa'!$B$2:$U$99, 7,FALSE), IFERROR(VLOOKUP($A405,'ABB ExDa'!$A$2:$N$184, 2,FALSE), IFERROR(VLOOKUP($A405,'Vocus SIT ExDa'!$B$2:$J$173, 0,FALSE), IFERROR(VLOOKUP($A405,'Telstra ExDa'!$B$2:$K$310, 7,FALSE), IFERROR(VLOOKUP($A405,'Vocus RVC ExDa'!$C$2:$R$155, 2,FALSE), IFERROR(VLOOKUP($A405,'Fusion ExDa'!$B$2:$D$16, 3,FALSE), IFERROR(VLOOKUP($A405,'Exetel ExDa'!$C$2:$N$14, 0,FALSE), IFERROR(VLOOKUP($A405,'Infinet ExDa'!$B$2:$E$14, 0,FALSE), "Not Found"))))))))</f>
        <v>Not Found</v>
      </c>
      <c r="K405" t="str">
        <f>IFERROR(VLOOKUP($A405,'AAPT ExDa'!$B$2:$U$99, 12,FALSE), IFERROR(VLOOKUP($A405,'ABB ExDa'!$A$2:$N$184, 0,FALSE), IFERROR(VLOOKUP($A405,'Vocus SIT ExDa'!$B$2:$J$173, 0,FALSE), IFERROR(VLOOKUP($A405,'Telstra ExDa'!$B$2:$K$310, 0,FALSE), IFERROR(VLOOKUP($A405,'Vocus RVC ExDa'!$C$2:$R$155, 0,FALSE), IFERROR(VLOOKUP($A405,'Fusion ExDa'!$B$2:$D$16, 0,FALSE), IFERROR(VLOOKUP($A405,'Exetel ExDa'!$C$2:$N$14, 12,FALSE), IFERROR(VLOOKUP($A405,'Infinet ExDa'!$B$2:$E$14, 0,FALSE), "Not Found"))))))))</f>
        <v>Not Found</v>
      </c>
      <c r="L405" s="235" t="str">
        <f>IFERROR(VLOOKUP($A405,'AAPT ExDa'!$B$2:$U$99, 11,FALSE), IFERROR(VLOOKUP($A405,'ABB ExDa'!$A$2:$N$184, 9,FALSE), IFERROR(VLOOKUP($A405,'Vocus SIT ExDa'!$B$2:$J$173, 8,FALSE), IFERROR(VLOOKUP($A405,'Telstra ExDa'!$B$2:$K$310, 0,FALSE), IFERROR(VLOOKUP($A405,'Vocus RVC ExDa'!$C$2:$R$155, 0,FALSE), IFERROR(VLOOKUP($A405,'Fusion ExDa'!$B$2:$D$16, 0,FALSE), IFERROR(VLOOKUP($A405,'Exetel ExDa'!$C$2:$N$14, 9,FALSE), IFERROR(VLOOKUP($A405,'Infinet ExDa'!$B$2:$E$14, 0,FALSE), "Not Found"))))))))</f>
        <v>14/02/2023</v>
      </c>
      <c r="M405" s="234" t="str">
        <f>IFERROR(VLOOKUP($A405,'AAPT ExDa'!$B$2:$U$99, 0,FALSE), IFERROR(VLOOKUP($A405,'ABB ExDa'!$A$2:$N$184, 0,FALSE), IFERROR(VLOOKUP($A405,'Vocus SIT ExDa'!$B$2:$J$173, 0,FALSE), IFERROR(VLOOKUP($A405,'Telstra ExDa'!$B$2:$K$310, 0,FALSE), IFERROR(VLOOKUP($A405,'Vocus RVC ExDa'!$C$2:$R$155, 0,FALSE), IFERROR(VLOOKUP($A405,'Fusion ExDa'!$B$2:$D$16, 0,FALSE), IFERROR(VLOOKUP($A405,'Exetel ExDa'!$C$2:$N$14, 11,FALSE), IFERROR(VLOOKUP($A405,'Infinet ExDa'!$B$2:$E$14, 0,FALSE), "Not Found"))))))))</f>
        <v>Not Found</v>
      </c>
      <c r="N405" t="str">
        <f>IFERROR(VLOOKUP($A405,'AAPT ExDa'!$B$2:$U$99, 0,FALSE), IFERROR(VLOOKUP($A405,'ABB ExDa'!$A$2:$N$184, 13,FALSE), IFERROR(VLOOKUP($A405,'Vocus SIT ExDa'!$B$2:$J$173, 0,FALSE), IFERROR(VLOOKUP($A405,'Telstra ExDa'!$B$2:$K$310, 0,FALSE), IFERROR(VLOOKUP($A405,'Vocus RVC ExDa'!$C$2:$R$155, 0,FALSE), IFERROR(VLOOKUP($A405,'Fusion ExDa'!$B$2:$D$16, 0,FALSE), IFERROR(VLOOKUP($A405,'Exetel ExDa'!$C$2:$N$14, 0,FALSE), IFERROR(VLOOKUP($A405,'Infinet ExDa'!$B$2:$E$14, 0,FALSE), "Not Found"))))))))</f>
        <v>Not Found</v>
      </c>
    </row>
    <row r="406" spans="1:14">
      <c r="A406" t="str">
        <v>Spicers Clovelly</v>
      </c>
      <c r="B406" t="str">
        <f>IFERROR(VLOOKUP(A406,'Exetel ExDa'!$C$2:$N$14,4,FALSE),"No Data")</f>
        <v>No Data</v>
      </c>
      <c r="C406" t="str">
        <f>IFERROR(VLOOKUP(A406,'AAPT ExDa'!$B$2:$U$99, 2,FALSE), IFERROR(VLOOKUP(A406,'ABB ExDa'!$A$2:$N$184, 2,FALSE), IFERROR(VLOOKUP(A406,'Vocus SIT ExDa'!$B$2:$J$173, 7,FALSE), IFERROR(VLOOKUP(A406,'Telstra ExDa'!$B$2:$K$310, 2,FALSE), IFERROR(VLOOKUP(A406,'Vocus RVC ExDa'!$C$2:$R$155, 3,FALSE), IFERROR(VLOOKUP(A406,'Fusion ExDa'!$B$2:$D$16, 2,FALSE), IFERROR(VLOOKUP(A406,'Exetel ExDa'!$C$2:$N$14, 2,FALSE), IFERROR(VLOOKUP(A406,'Infinet ExDa'!$B$2:$E$14, 2,FALSE), "Not Found"))))))))</f>
        <v>Unit 1, 49 Miller Street, Murarrie QLD 4173</v>
      </c>
      <c r="D406" t="str">
        <f>IFERROR(VLOOKUP($A406,'AAPT ExDa'!$B$2:$U$99, 15,FALSE), IFERROR(VLOOKUP($A406,'ABB ExDa'!$A$2:$N$184, 4,FALSE), IFERROR(VLOOKUP($A406,'Vocus SIT ExDa'!$B$2:$J$173, 5,FALSE), IFERROR(VLOOKUP($A406,'Telstra ExDa'!$B$2:$K$310, 8,FALSE), IFERROR(VLOOKUP($A406,'Vocus RVC ExDa'!$C$2:$R$155, 6,FALSE), IFERROR(VLOOKUP($A406,'Fusion ExDa'!$B$2:$D$16, 4,FALSE), IFERROR(VLOOKUP($A406,'Exetel ExDa'!$C$2:$N$14, 3,FALSE), IFERROR(VLOOKUP($A406,'Infinet ExDa'!$B$2:$E$14, 3,FALSE), "Not Found"))))))))</f>
        <v>Vocus SIT</v>
      </c>
      <c r="E406" t="str">
        <f>IFERROR(VLOOKUP($A406,'AAPT ExDa'!$B$2:$U$99, 3,FALSE), IFERROR(VLOOKUP($A406,'ABB ExDa'!$A$2:$N$184, 5,FALSE), IFERROR(VLOOKUP($A406,'Vocus SIT ExDa'!$B$2:$J$173, 2,FALSE), IFERROR(VLOOKUP($A406,'Telstra ExDa'!$B$2:$K$310, 4,FALSE), IFERROR(VLOOKUP($A406,'Vocus RVC ExDa'!$C$2:$R$155, 8,FALSE), IFERROR(VLOOKUP($A406,'Fusion ExDa'!$B$2:$D$16, 4,FALSE), IFERROR(VLOOKUP($A406,'Exetel ExDa'!$C$2:$N$14, 5,FALSE), IFERROR(VLOOKUP($A406,'Infinet ExDa'!$B$2:$E$14, 3,FALSE), "Not Found"))))))))</f>
        <v>Voice Service</v>
      </c>
      <c r="F406" t="str">
        <f>IFERROR(VLOOKUP($A406,'AAPT ExDa'!$B$2:$U$99, 4,FALSE), IFERROR(VLOOKUP($A406,'ABB ExDa'!$A$2:$N$184, 6,FALSE), IFERROR(VLOOKUP($A406,'Vocus SIT ExDa'!$B$2:$J$173, 3,FALSE), IFERROR(VLOOKUP($A406,'Telstra ExDa'!$B$2:$K$310, 5,FALSE), IFERROR(VLOOKUP($A406,'Vocus RVC ExDa'!$C$2:$R$155, 9,FALSE), IFERROR(VLOOKUP($A406,'Fusion ExDa'!$B$2:$D$16, 0,FALSE), IFERROR(VLOOKUP($A406,'Exetel ExDa'!$C$2:$N$14, 6,FALSE), IFERROR(VLOOKUP($A406,'Infinet ExDa'!$B$2:$E$14, 0,FALSE), "Not Found"))))))))</f>
        <v>0754521100 to 0754521199</v>
      </c>
      <c r="G406" t="str">
        <f>IFERROR(VLOOKUP($A406,'AAPT ExDa'!$B$2:$U$99, 5,FALSE), IFERROR(VLOOKUP($A406,'ABB ExDa'!$A$2:$N$184, 8,FALSE), IFERROR(VLOOKUP($A406,'Vocus SIT ExDa'!$B$2:$J$173, 6,FALSE), IFERROR(VLOOKUP($A406,'Telstra ExDa'!$B$2:$K$310, 0,FALSE), IFERROR(VLOOKUP($A406,'Vocus RVC ExDa'!$C$2:$R$155, 15,FALSE), IFERROR(VLOOKUP($A406,'Fusion ExDa'!$B$2:$D$16, 0,FALSE), IFERROR(VLOOKUP($A406,'Exetel ExDa'!$C$2:$N$14, 7,FALSE), IFERROR(VLOOKUP($A406,'Infinet ExDa'!$B$2:$E$14, 0,FALSE), "Not Found"))))))))</f>
        <v>IP Tel Order - Smile Tel - 23/03/2020 - Spicers Clovelly
Voice (5 Mbps) - Unit 1, 49 Miller Street, Murarrie QLD 4172</v>
      </c>
      <c r="H406" t="str">
        <f>IFERROR(VLOOKUP($A406,'AAPT ExDa'!$B$2:$U$99, 6,FALSE), IFERROR(VLOOKUP($A406,'ABB ExDa'!$A$2:$N$184, 0,FALSE), IFERROR(VLOOKUP($A406,'Vocus SIT ExDa'!$B$2:$J$173, 0,FALSE), IFERROR(VLOOKUP($A406,'Telstra ExDa'!$B$2:$K$310, 0,FALSE), IFERROR(VLOOKUP($A406,'Vocus RVC ExDa'!$C$2:$R$155, 16,FALSE), IFERROR(VLOOKUP($A406,'Fusion ExDa'!$B$2:$D$16, 0,FALSE), IFERROR(VLOOKUP($A406,'Exetel ExDa'!$C$2:$N$14, 0,FALSE), IFERROR(VLOOKUP($A406,'Infinet ExDa'!$B$2:$E$14, 0,FALSE), "Not Found"))))))))</f>
        <v>Not Found</v>
      </c>
      <c r="I406" t="str">
        <f>IFERROR(VLOOKUP($A406,'AAPT ExDa'!$B$2:$U$99, 0,FALSE), IFERROR(VLOOKUP($A406,'ABB ExDa'!$A$2:$N$184, 0,FALSE), IFERROR(VLOOKUP($A406,'Vocus SIT ExDa'!$B$2:$J$173, 0,FALSE), IFERROR(VLOOKUP($A406,'Telstra ExDa'!$B$2:$K$310, 0,FALSE), IFERROR(VLOOKUP($A406,'Vocus RVC ExDa'!$C$2:$R$155, 0,FALSE), IFERROR(VLOOKUP($A406,'Fusion ExDa'!$B$2:$D$16, 0,FALSE), IFERROR(VLOOKUP($A406,'Exetel ExDa'!$C$2:$N$14, 8,FALSE), IFERROR(VLOOKUP($A406,'Infinet ExDa'!$B$2:$E$14, 0,FALSE), "Not Found"))))))))</f>
        <v>Not Found</v>
      </c>
      <c r="J406" t="str">
        <f>IFERROR(VLOOKUP($A406,'AAPT ExDa'!$B$2:$U$99, 7,FALSE), IFERROR(VLOOKUP($A406,'ABB ExDa'!$A$2:$N$184, 2,FALSE), IFERROR(VLOOKUP($A406,'Vocus SIT ExDa'!$B$2:$J$173, 0,FALSE), IFERROR(VLOOKUP($A406,'Telstra ExDa'!$B$2:$K$310, 7,FALSE), IFERROR(VLOOKUP($A406,'Vocus RVC ExDa'!$C$2:$R$155, 2,FALSE), IFERROR(VLOOKUP($A406,'Fusion ExDa'!$B$2:$D$16, 3,FALSE), IFERROR(VLOOKUP($A406,'Exetel ExDa'!$C$2:$N$14, 0,FALSE), IFERROR(VLOOKUP($A406,'Infinet ExDa'!$B$2:$E$14, 0,FALSE), "Not Found"))))))))</f>
        <v>Not Found</v>
      </c>
      <c r="K406" t="str">
        <f>IFERROR(VLOOKUP($A406,'AAPT ExDa'!$B$2:$U$99, 12,FALSE), IFERROR(VLOOKUP($A406,'ABB ExDa'!$A$2:$N$184, 0,FALSE), IFERROR(VLOOKUP($A406,'Vocus SIT ExDa'!$B$2:$J$173, 0,FALSE), IFERROR(VLOOKUP($A406,'Telstra ExDa'!$B$2:$K$310, 0,FALSE), IFERROR(VLOOKUP($A406,'Vocus RVC ExDa'!$C$2:$R$155, 0,FALSE), IFERROR(VLOOKUP($A406,'Fusion ExDa'!$B$2:$D$16, 0,FALSE), IFERROR(VLOOKUP($A406,'Exetel ExDa'!$C$2:$N$14, 12,FALSE), IFERROR(VLOOKUP($A406,'Infinet ExDa'!$B$2:$E$14, 0,FALSE), "Not Found"))))))))</f>
        <v>Not Found</v>
      </c>
      <c r="L406" s="235" t="str">
        <f>IFERROR(VLOOKUP($A406,'AAPT ExDa'!$B$2:$U$99, 11,FALSE), IFERROR(VLOOKUP($A406,'ABB ExDa'!$A$2:$N$184, 9,FALSE), IFERROR(VLOOKUP($A406,'Vocus SIT ExDa'!$B$2:$J$173, 8,FALSE), IFERROR(VLOOKUP($A406,'Telstra ExDa'!$B$2:$K$310, 0,FALSE), IFERROR(VLOOKUP($A406,'Vocus RVC ExDa'!$C$2:$R$155, 0,FALSE), IFERROR(VLOOKUP($A406,'Fusion ExDa'!$B$2:$D$16, 0,FALSE), IFERROR(VLOOKUP($A406,'Exetel ExDa'!$C$2:$N$14, 9,FALSE), IFERROR(VLOOKUP($A406,'Infinet ExDa'!$B$2:$E$14, 0,FALSE), "Not Found"))))))))</f>
        <v>20/07/2020</v>
      </c>
      <c r="M406" s="234" t="str">
        <f>IFERROR(VLOOKUP($A406,'AAPT ExDa'!$B$2:$U$99, 0,FALSE), IFERROR(VLOOKUP($A406,'ABB ExDa'!$A$2:$N$184, 0,FALSE), IFERROR(VLOOKUP($A406,'Vocus SIT ExDa'!$B$2:$J$173, 0,FALSE), IFERROR(VLOOKUP($A406,'Telstra ExDa'!$B$2:$K$310, 0,FALSE), IFERROR(VLOOKUP($A406,'Vocus RVC ExDa'!$C$2:$R$155, 0,FALSE), IFERROR(VLOOKUP($A406,'Fusion ExDa'!$B$2:$D$16, 0,FALSE), IFERROR(VLOOKUP($A406,'Exetel ExDa'!$C$2:$N$14, 11,FALSE), IFERROR(VLOOKUP($A406,'Infinet ExDa'!$B$2:$E$14, 0,FALSE), "Not Found"))))))))</f>
        <v>Not Found</v>
      </c>
      <c r="N406" t="str">
        <f>IFERROR(VLOOKUP($A406,'AAPT ExDa'!$B$2:$U$99, 0,FALSE), IFERROR(VLOOKUP($A406,'ABB ExDa'!$A$2:$N$184, 13,FALSE), IFERROR(VLOOKUP($A406,'Vocus SIT ExDa'!$B$2:$J$173, 0,FALSE), IFERROR(VLOOKUP($A406,'Telstra ExDa'!$B$2:$K$310, 0,FALSE), IFERROR(VLOOKUP($A406,'Vocus RVC ExDa'!$C$2:$R$155, 0,FALSE), IFERROR(VLOOKUP($A406,'Fusion ExDa'!$B$2:$D$16, 0,FALSE), IFERROR(VLOOKUP($A406,'Exetel ExDa'!$C$2:$N$14, 0,FALSE), IFERROR(VLOOKUP($A406,'Infinet ExDa'!$B$2:$E$14, 0,FALSE), "Not Found"))))))))</f>
        <v>Not Found</v>
      </c>
    </row>
    <row r="407" spans="1:14">
      <c r="A407" t="str">
        <v>CMC Property Management (511)
Australian Computer Traders (122)</v>
      </c>
      <c r="B407" t="str">
        <f>IFERROR(VLOOKUP(A407,'Exetel ExDa'!$C$2:$N$14,4,FALSE),"No Data")</f>
        <v>No Data</v>
      </c>
      <c r="C407" t="str">
        <f>IFERROR(VLOOKUP(A407,'AAPT ExDa'!$B$2:$U$99, 2,FALSE), IFERROR(VLOOKUP(A407,'ABB ExDa'!$A$2:$N$184, 2,FALSE), IFERROR(VLOOKUP(A407,'Vocus SIT ExDa'!$B$2:$J$173, 7,FALSE), IFERROR(VLOOKUP(A407,'Telstra ExDa'!$B$2:$K$310, 2,FALSE), IFERROR(VLOOKUP(A407,'Vocus RVC ExDa'!$C$2:$R$155, 3,FALSE), IFERROR(VLOOKUP(A407,'Fusion ExDa'!$B$2:$D$16, 2,FALSE), IFERROR(VLOOKUP(A407,'Exetel ExDa'!$C$2:$N$14, 2,FALSE), IFERROR(VLOOKUP(A407,'Infinet ExDa'!$B$2:$E$14, 2,FALSE), "Not Found"))))))))</f>
        <v>Unit 1, 49 Miller Street, Murarrie QLD 4173</v>
      </c>
      <c r="D407" t="str">
        <f>IFERROR(VLOOKUP($A407,'AAPT ExDa'!$B$2:$U$99, 15,FALSE), IFERROR(VLOOKUP($A407,'ABB ExDa'!$A$2:$N$184, 4,FALSE), IFERROR(VLOOKUP($A407,'Vocus SIT ExDa'!$B$2:$J$173, 5,FALSE), IFERROR(VLOOKUP($A407,'Telstra ExDa'!$B$2:$K$310, 8,FALSE), IFERROR(VLOOKUP($A407,'Vocus RVC ExDa'!$C$2:$R$155, 6,FALSE), IFERROR(VLOOKUP($A407,'Fusion ExDa'!$B$2:$D$16, 4,FALSE), IFERROR(VLOOKUP($A407,'Exetel ExDa'!$C$2:$N$14, 3,FALSE), IFERROR(VLOOKUP($A407,'Infinet ExDa'!$B$2:$E$14, 3,FALSE), "Not Found"))))))))</f>
        <v>Vocus SIT</v>
      </c>
      <c r="E407" t="str">
        <f>IFERROR(VLOOKUP($A407,'AAPT ExDa'!$B$2:$U$99, 3,FALSE), IFERROR(VLOOKUP($A407,'ABB ExDa'!$A$2:$N$184, 5,FALSE), IFERROR(VLOOKUP($A407,'Vocus SIT ExDa'!$B$2:$J$173, 2,FALSE), IFERROR(VLOOKUP($A407,'Telstra ExDa'!$B$2:$K$310, 4,FALSE), IFERROR(VLOOKUP($A407,'Vocus RVC ExDa'!$C$2:$R$155, 8,FALSE), IFERROR(VLOOKUP($A407,'Fusion ExDa'!$B$2:$D$16, 4,FALSE), IFERROR(VLOOKUP($A407,'Exetel ExDa'!$C$2:$N$14, 5,FALSE), IFERROR(VLOOKUP($A407,'Infinet ExDa'!$B$2:$E$14, 3,FALSE), "Not Found"))))))))</f>
        <v>Voice Service</v>
      </c>
      <c r="F407" t="str">
        <f>IFERROR(VLOOKUP($A407,'AAPT ExDa'!$B$2:$U$99, 4,FALSE), IFERROR(VLOOKUP($A407,'ABB ExDa'!$A$2:$N$184, 6,FALSE), IFERROR(VLOOKUP($A407,'Vocus SIT ExDa'!$B$2:$J$173, 3,FALSE), IFERROR(VLOOKUP($A407,'Telstra ExDa'!$B$2:$K$310, 5,FALSE), IFERROR(VLOOKUP($A407,'Vocus RVC ExDa'!$C$2:$R$155, 9,FALSE), IFERROR(VLOOKUP($A407,'Fusion ExDa'!$B$2:$D$16, 0,FALSE), IFERROR(VLOOKUP($A407,'Exetel ExDa'!$C$2:$N$14, 6,FALSE), IFERROR(VLOOKUP($A407,'Infinet ExDa'!$B$2:$E$14, 0,FALSE), "Not Found"))))))))</f>
        <v>0732055511
0732055122</v>
      </c>
      <c r="G407" t="str">
        <f>IFERROR(VLOOKUP($A407,'AAPT ExDa'!$B$2:$U$99, 5,FALSE), IFERROR(VLOOKUP($A407,'ABB ExDa'!$A$2:$N$184, 8,FALSE), IFERROR(VLOOKUP($A407,'Vocus SIT ExDa'!$B$2:$J$173, 6,FALSE), IFERROR(VLOOKUP($A407,'Telstra ExDa'!$B$2:$K$310, 0,FALSE), IFERROR(VLOOKUP($A407,'Vocus RVC ExDa'!$C$2:$R$155, 15,FALSE), IFERROR(VLOOKUP($A407,'Fusion ExDa'!$B$2:$D$16, 0,FALSE), IFERROR(VLOOKUP($A407,'Exetel ExDa'!$C$2:$N$14, 7,FALSE), IFERROR(VLOOKUP($A407,'Infinet ExDa'!$B$2:$E$14, 0,FALSE), "Not Found"))))))))</f>
        <v>IP Tel Order - Smile Tel - 30/01/2020
Voice (5 Mbps) - Unit 1, 49 Miller Street, Murarrie QLD 4172</v>
      </c>
      <c r="H407" t="str">
        <f>IFERROR(VLOOKUP($A407,'AAPT ExDa'!$B$2:$U$99, 6,FALSE), IFERROR(VLOOKUP($A407,'ABB ExDa'!$A$2:$N$184, 0,FALSE), IFERROR(VLOOKUP($A407,'Vocus SIT ExDa'!$B$2:$J$173, 0,FALSE), IFERROR(VLOOKUP($A407,'Telstra ExDa'!$B$2:$K$310, 0,FALSE), IFERROR(VLOOKUP($A407,'Vocus RVC ExDa'!$C$2:$R$155, 16,FALSE), IFERROR(VLOOKUP($A407,'Fusion ExDa'!$B$2:$D$16, 0,FALSE), IFERROR(VLOOKUP($A407,'Exetel ExDa'!$C$2:$N$14, 0,FALSE), IFERROR(VLOOKUP($A407,'Infinet ExDa'!$B$2:$E$14, 0,FALSE), "Not Found"))))))))</f>
        <v>Not Found</v>
      </c>
      <c r="I407" t="str">
        <f>IFERROR(VLOOKUP($A407,'AAPT ExDa'!$B$2:$U$99, 0,FALSE), IFERROR(VLOOKUP($A407,'ABB ExDa'!$A$2:$N$184, 0,FALSE), IFERROR(VLOOKUP($A407,'Vocus SIT ExDa'!$B$2:$J$173, 0,FALSE), IFERROR(VLOOKUP($A407,'Telstra ExDa'!$B$2:$K$310, 0,FALSE), IFERROR(VLOOKUP($A407,'Vocus RVC ExDa'!$C$2:$R$155, 0,FALSE), IFERROR(VLOOKUP($A407,'Fusion ExDa'!$B$2:$D$16, 0,FALSE), IFERROR(VLOOKUP($A407,'Exetel ExDa'!$C$2:$N$14, 8,FALSE), IFERROR(VLOOKUP($A407,'Infinet ExDa'!$B$2:$E$14, 0,FALSE), "Not Found"))))))))</f>
        <v>Not Found</v>
      </c>
      <c r="J407" t="str">
        <f>IFERROR(VLOOKUP($A407,'AAPT ExDa'!$B$2:$U$99, 7,FALSE), IFERROR(VLOOKUP($A407,'ABB ExDa'!$A$2:$N$184, 2,FALSE), IFERROR(VLOOKUP($A407,'Vocus SIT ExDa'!$B$2:$J$173, 0,FALSE), IFERROR(VLOOKUP($A407,'Telstra ExDa'!$B$2:$K$310, 7,FALSE), IFERROR(VLOOKUP($A407,'Vocus RVC ExDa'!$C$2:$R$155, 2,FALSE), IFERROR(VLOOKUP($A407,'Fusion ExDa'!$B$2:$D$16, 3,FALSE), IFERROR(VLOOKUP($A407,'Exetel ExDa'!$C$2:$N$14, 0,FALSE), IFERROR(VLOOKUP($A407,'Infinet ExDa'!$B$2:$E$14, 0,FALSE), "Not Found"))))))))</f>
        <v>Not Found</v>
      </c>
      <c r="K407" t="str">
        <f>IFERROR(VLOOKUP($A407,'AAPT ExDa'!$B$2:$U$99, 12,FALSE), IFERROR(VLOOKUP($A407,'ABB ExDa'!$A$2:$N$184, 0,FALSE), IFERROR(VLOOKUP($A407,'Vocus SIT ExDa'!$B$2:$J$173, 0,FALSE), IFERROR(VLOOKUP($A407,'Telstra ExDa'!$B$2:$K$310, 0,FALSE), IFERROR(VLOOKUP($A407,'Vocus RVC ExDa'!$C$2:$R$155, 0,FALSE), IFERROR(VLOOKUP($A407,'Fusion ExDa'!$B$2:$D$16, 0,FALSE), IFERROR(VLOOKUP($A407,'Exetel ExDa'!$C$2:$N$14, 12,FALSE), IFERROR(VLOOKUP($A407,'Infinet ExDa'!$B$2:$E$14, 0,FALSE), "Not Found"))))))))</f>
        <v>Not Found</v>
      </c>
      <c r="L407" s="235">
        <f>IFERROR(VLOOKUP($A407,'AAPT ExDa'!$B$2:$U$99, 11,FALSE), IFERROR(VLOOKUP($A407,'ABB ExDa'!$A$2:$N$184, 9,FALSE), IFERROR(VLOOKUP($A407,'Vocus SIT ExDa'!$B$2:$J$173, 8,FALSE), IFERROR(VLOOKUP($A407,'Telstra ExDa'!$B$2:$K$310, 0,FALSE), IFERROR(VLOOKUP($A407,'Vocus RVC ExDa'!$C$2:$R$155, 0,FALSE), IFERROR(VLOOKUP($A407,'Fusion ExDa'!$B$2:$D$16, 0,FALSE), IFERROR(VLOOKUP($A407,'Exetel ExDa'!$C$2:$N$14, 9,FALSE), IFERROR(VLOOKUP($A407,'Infinet ExDa'!$B$2:$E$14, 0,FALSE), "Not Found"))))))))</f>
        <v>43834</v>
      </c>
      <c r="M407" s="234" t="str">
        <f>IFERROR(VLOOKUP($A407,'AAPT ExDa'!$B$2:$U$99, 0,FALSE), IFERROR(VLOOKUP($A407,'ABB ExDa'!$A$2:$N$184, 0,FALSE), IFERROR(VLOOKUP($A407,'Vocus SIT ExDa'!$B$2:$J$173, 0,FALSE), IFERROR(VLOOKUP($A407,'Telstra ExDa'!$B$2:$K$310, 0,FALSE), IFERROR(VLOOKUP($A407,'Vocus RVC ExDa'!$C$2:$R$155, 0,FALSE), IFERROR(VLOOKUP($A407,'Fusion ExDa'!$B$2:$D$16, 0,FALSE), IFERROR(VLOOKUP($A407,'Exetel ExDa'!$C$2:$N$14, 11,FALSE), IFERROR(VLOOKUP($A407,'Infinet ExDa'!$B$2:$E$14, 0,FALSE), "Not Found"))))))))</f>
        <v>Not Found</v>
      </c>
      <c r="N407" t="str">
        <f>IFERROR(VLOOKUP($A407,'AAPT ExDa'!$B$2:$U$99, 0,FALSE), IFERROR(VLOOKUP($A407,'ABB ExDa'!$A$2:$N$184, 13,FALSE), IFERROR(VLOOKUP($A407,'Vocus SIT ExDa'!$B$2:$J$173, 0,FALSE), IFERROR(VLOOKUP($A407,'Telstra ExDa'!$B$2:$K$310, 0,FALSE), IFERROR(VLOOKUP($A407,'Vocus RVC ExDa'!$C$2:$R$155, 0,FALSE), IFERROR(VLOOKUP($A407,'Fusion ExDa'!$B$2:$D$16, 0,FALSE), IFERROR(VLOOKUP($A407,'Exetel ExDa'!$C$2:$N$14, 0,FALSE), IFERROR(VLOOKUP($A407,'Infinet ExDa'!$B$2:$E$14, 0,FALSE), "Not Found"))))))))</f>
        <v>Not Found</v>
      </c>
    </row>
    <row r="408" spans="1:14">
      <c r="A408" t="str">
        <v>Legrand AV Australia</v>
      </c>
      <c r="B408" t="str">
        <f>IFERROR(VLOOKUP(A408,'Exetel ExDa'!$C$2:$N$14,4,FALSE),"No Data")</f>
        <v>No Data</v>
      </c>
      <c r="C408" t="str">
        <f>IFERROR(VLOOKUP(A408,'AAPT ExDa'!$B$2:$U$99, 2,FALSE), IFERROR(VLOOKUP(A408,'ABB ExDa'!$A$2:$N$184, 2,FALSE), IFERROR(VLOOKUP(A408,'Vocus SIT ExDa'!$B$2:$J$173, 7,FALSE), IFERROR(VLOOKUP(A408,'Telstra ExDa'!$B$2:$K$310, 2,FALSE), IFERROR(VLOOKUP(A408,'Vocus RVC ExDa'!$C$2:$R$155, 3,FALSE), IFERROR(VLOOKUP(A408,'Fusion ExDa'!$B$2:$D$16, 2,FALSE), IFERROR(VLOOKUP(A408,'Exetel ExDa'!$C$2:$N$14, 2,FALSE), IFERROR(VLOOKUP(A408,'Infinet ExDa'!$B$2:$E$14, 2,FALSE), "Not Found"))))))))</f>
        <v>Unit 5, 28 Metroplex Avenue, MURARRIE QLD 4173</v>
      </c>
      <c r="D408" t="str">
        <f>IFERROR(VLOOKUP($A408,'AAPT ExDa'!$B$2:$U$99, 15,FALSE), IFERROR(VLOOKUP($A408,'ABB ExDa'!$A$2:$N$184, 4,FALSE), IFERROR(VLOOKUP($A408,'Vocus SIT ExDa'!$B$2:$J$173, 5,FALSE), IFERROR(VLOOKUP($A408,'Telstra ExDa'!$B$2:$K$310, 8,FALSE), IFERROR(VLOOKUP($A408,'Vocus RVC ExDa'!$C$2:$R$155, 6,FALSE), IFERROR(VLOOKUP($A408,'Fusion ExDa'!$B$2:$D$16, 4,FALSE), IFERROR(VLOOKUP($A408,'Exetel ExDa'!$C$2:$N$14, 3,FALSE), IFERROR(VLOOKUP($A408,'Infinet ExDa'!$B$2:$E$14, 3,FALSE), "Not Found"))))))))</f>
        <v>Vocus SIT</v>
      </c>
      <c r="E408" t="str">
        <f>IFERROR(VLOOKUP($A408,'AAPT ExDa'!$B$2:$U$99, 3,FALSE), IFERROR(VLOOKUP($A408,'ABB ExDa'!$A$2:$N$184, 5,FALSE), IFERROR(VLOOKUP($A408,'Vocus SIT ExDa'!$B$2:$J$173, 2,FALSE), IFERROR(VLOOKUP($A408,'Telstra ExDa'!$B$2:$K$310, 4,FALSE), IFERROR(VLOOKUP($A408,'Vocus RVC ExDa'!$C$2:$R$155, 8,FALSE), IFERROR(VLOOKUP($A408,'Fusion ExDa'!$B$2:$D$16, 4,FALSE), IFERROR(VLOOKUP($A408,'Exetel ExDa'!$C$2:$N$14, 5,FALSE), IFERROR(VLOOKUP($A408,'Infinet ExDa'!$B$2:$E$14, 3,FALSE), "Not Found"))))))))</f>
        <v>Voice Service</v>
      </c>
      <c r="F408" t="str">
        <f>IFERROR(VLOOKUP($A408,'AAPT ExDa'!$B$2:$U$99, 4,FALSE), IFERROR(VLOOKUP($A408,'ABB ExDa'!$A$2:$N$184, 6,FALSE), IFERROR(VLOOKUP($A408,'Vocus SIT ExDa'!$B$2:$J$173, 3,FALSE), IFERROR(VLOOKUP($A408,'Telstra ExDa'!$B$2:$K$310, 5,FALSE), IFERROR(VLOOKUP($A408,'Vocus RVC ExDa'!$C$2:$R$155, 9,FALSE), IFERROR(VLOOKUP($A408,'Fusion ExDa'!$B$2:$D$16, 0,FALSE), IFERROR(VLOOKUP($A408,'Exetel ExDa'!$C$2:$N$14, 6,FALSE), IFERROR(VLOOKUP($A408,'Infinet ExDa'!$B$2:$E$14, 0,FALSE), "Not Found"))))))))</f>
        <v>0732997000
0732997999</v>
      </c>
      <c r="G408" t="str">
        <f>IFERROR(VLOOKUP($A408,'AAPT ExDa'!$B$2:$U$99, 5,FALSE), IFERROR(VLOOKUP($A408,'ABB ExDa'!$A$2:$N$184, 8,FALSE), IFERROR(VLOOKUP($A408,'Vocus SIT ExDa'!$B$2:$J$173, 6,FALSE), IFERROR(VLOOKUP($A408,'Telstra ExDa'!$B$2:$K$310, 0,FALSE), IFERROR(VLOOKUP($A408,'Vocus RVC ExDa'!$C$2:$R$155, 15,FALSE), IFERROR(VLOOKUP($A408,'Fusion ExDa'!$B$2:$D$16, 0,FALSE), IFERROR(VLOOKUP($A408,'Exetel ExDa'!$C$2:$N$14, 7,FALSE), IFERROR(VLOOKUP($A408,'Infinet ExDa'!$B$2:$E$14, 0,FALSE), "Not Found"))))))))</f>
        <v>IP Tel Order - Smile Tel - 25/11/2019 - Milestone/Legrand
Voice (5 Mbps) - Unit 5, 28 Metroplex Avenue, MURARRIE QLD 4172</v>
      </c>
      <c r="H408" t="str">
        <f>IFERROR(VLOOKUP($A408,'AAPT ExDa'!$B$2:$U$99, 6,FALSE), IFERROR(VLOOKUP($A408,'ABB ExDa'!$A$2:$N$184, 0,FALSE), IFERROR(VLOOKUP($A408,'Vocus SIT ExDa'!$B$2:$J$173, 0,FALSE), IFERROR(VLOOKUP($A408,'Telstra ExDa'!$B$2:$K$310, 0,FALSE), IFERROR(VLOOKUP($A408,'Vocus RVC ExDa'!$C$2:$R$155, 16,FALSE), IFERROR(VLOOKUP($A408,'Fusion ExDa'!$B$2:$D$16, 0,FALSE), IFERROR(VLOOKUP($A408,'Exetel ExDa'!$C$2:$N$14, 0,FALSE), IFERROR(VLOOKUP($A408,'Infinet ExDa'!$B$2:$E$14, 0,FALSE), "Not Found"))))))))</f>
        <v>Not Found</v>
      </c>
      <c r="I408" t="str">
        <f>IFERROR(VLOOKUP($A408,'AAPT ExDa'!$B$2:$U$99, 0,FALSE), IFERROR(VLOOKUP($A408,'ABB ExDa'!$A$2:$N$184, 0,FALSE), IFERROR(VLOOKUP($A408,'Vocus SIT ExDa'!$B$2:$J$173, 0,FALSE), IFERROR(VLOOKUP($A408,'Telstra ExDa'!$B$2:$K$310, 0,FALSE), IFERROR(VLOOKUP($A408,'Vocus RVC ExDa'!$C$2:$R$155, 0,FALSE), IFERROR(VLOOKUP($A408,'Fusion ExDa'!$B$2:$D$16, 0,FALSE), IFERROR(VLOOKUP($A408,'Exetel ExDa'!$C$2:$N$14, 8,FALSE), IFERROR(VLOOKUP($A408,'Infinet ExDa'!$B$2:$E$14, 0,FALSE), "Not Found"))))))))</f>
        <v>Not Found</v>
      </c>
      <c r="J408" t="str">
        <f>IFERROR(VLOOKUP($A408,'AAPT ExDa'!$B$2:$U$99, 7,FALSE), IFERROR(VLOOKUP($A408,'ABB ExDa'!$A$2:$N$184, 2,FALSE), IFERROR(VLOOKUP($A408,'Vocus SIT ExDa'!$B$2:$J$173, 0,FALSE), IFERROR(VLOOKUP($A408,'Telstra ExDa'!$B$2:$K$310, 7,FALSE), IFERROR(VLOOKUP($A408,'Vocus RVC ExDa'!$C$2:$R$155, 2,FALSE), IFERROR(VLOOKUP($A408,'Fusion ExDa'!$B$2:$D$16, 3,FALSE), IFERROR(VLOOKUP($A408,'Exetel ExDa'!$C$2:$N$14, 0,FALSE), IFERROR(VLOOKUP($A408,'Infinet ExDa'!$B$2:$E$14, 0,FALSE), "Not Found"))))))))</f>
        <v>Not Found</v>
      </c>
      <c r="K408" t="str">
        <f>IFERROR(VLOOKUP($A408,'AAPT ExDa'!$B$2:$U$99, 12,FALSE), IFERROR(VLOOKUP($A408,'ABB ExDa'!$A$2:$N$184, 0,FALSE), IFERROR(VLOOKUP($A408,'Vocus SIT ExDa'!$B$2:$J$173, 0,FALSE), IFERROR(VLOOKUP($A408,'Telstra ExDa'!$B$2:$K$310, 0,FALSE), IFERROR(VLOOKUP($A408,'Vocus RVC ExDa'!$C$2:$R$155, 0,FALSE), IFERROR(VLOOKUP($A408,'Fusion ExDa'!$B$2:$D$16, 0,FALSE), IFERROR(VLOOKUP($A408,'Exetel ExDa'!$C$2:$N$14, 12,FALSE), IFERROR(VLOOKUP($A408,'Infinet ExDa'!$B$2:$E$14, 0,FALSE), "Not Found"))))))))</f>
        <v>Not Found</v>
      </c>
      <c r="L408" s="235">
        <f>IFERROR(VLOOKUP($A408,'AAPT ExDa'!$B$2:$U$99, 11,FALSE), IFERROR(VLOOKUP($A408,'ABB ExDa'!$A$2:$N$184, 9,FALSE), IFERROR(VLOOKUP($A408,'Vocus SIT ExDa'!$B$2:$J$173, 8,FALSE), IFERROR(VLOOKUP($A408,'Telstra ExDa'!$B$2:$K$310, 0,FALSE), IFERROR(VLOOKUP($A408,'Vocus RVC ExDa'!$C$2:$R$155, 0,FALSE), IFERROR(VLOOKUP($A408,'Fusion ExDa'!$B$2:$D$16, 0,FALSE), IFERROR(VLOOKUP($A408,'Exetel ExDa'!$C$2:$N$14, 9,FALSE), IFERROR(VLOOKUP($A408,'Infinet ExDa'!$B$2:$E$14, 0,FALSE), "Not Found"))))))))</f>
        <v>43892</v>
      </c>
      <c r="M408" s="234" t="str">
        <f>IFERROR(VLOOKUP($A408,'AAPT ExDa'!$B$2:$U$99, 0,FALSE), IFERROR(VLOOKUP($A408,'ABB ExDa'!$A$2:$N$184, 0,FALSE), IFERROR(VLOOKUP($A408,'Vocus SIT ExDa'!$B$2:$J$173, 0,FALSE), IFERROR(VLOOKUP($A408,'Telstra ExDa'!$B$2:$K$310, 0,FALSE), IFERROR(VLOOKUP($A408,'Vocus RVC ExDa'!$C$2:$R$155, 0,FALSE), IFERROR(VLOOKUP($A408,'Fusion ExDa'!$B$2:$D$16, 0,FALSE), IFERROR(VLOOKUP($A408,'Exetel ExDa'!$C$2:$N$14, 11,FALSE), IFERROR(VLOOKUP($A408,'Infinet ExDa'!$B$2:$E$14, 0,FALSE), "Not Found"))))))))</f>
        <v>Not Found</v>
      </c>
      <c r="N408" t="str">
        <f>IFERROR(VLOOKUP($A408,'AAPT ExDa'!$B$2:$U$99, 0,FALSE), IFERROR(VLOOKUP($A408,'ABB ExDa'!$A$2:$N$184, 13,FALSE), IFERROR(VLOOKUP($A408,'Vocus SIT ExDa'!$B$2:$J$173, 0,FALSE), IFERROR(VLOOKUP($A408,'Telstra ExDa'!$B$2:$K$310, 0,FALSE), IFERROR(VLOOKUP($A408,'Vocus RVC ExDa'!$C$2:$R$155, 0,FALSE), IFERROR(VLOOKUP($A408,'Fusion ExDa'!$B$2:$D$16, 0,FALSE), IFERROR(VLOOKUP($A408,'Exetel ExDa'!$C$2:$N$14, 0,FALSE), IFERROR(VLOOKUP($A408,'Infinet ExDa'!$B$2:$E$14, 0,FALSE), "Not Found"))))))))</f>
        <v>Not Found</v>
      </c>
    </row>
    <row r="409" spans="1:14">
      <c r="A409" t="str">
        <v>Nurturing Brain Potential</v>
      </c>
      <c r="B409" t="str">
        <f>IFERROR(VLOOKUP(A409,'Exetel ExDa'!$C$2:$N$14,4,FALSE),"No Data")</f>
        <v>No Data</v>
      </c>
      <c r="C409" t="str">
        <f>IFERROR(VLOOKUP(A409,'AAPT ExDa'!$B$2:$U$99, 2,FALSE), IFERROR(VLOOKUP(A409,'ABB ExDa'!$A$2:$N$184, 2,FALSE), IFERROR(VLOOKUP(A409,'Vocus SIT ExDa'!$B$2:$J$173, 7,FALSE), IFERROR(VLOOKUP(A409,'Telstra ExDa'!$B$2:$K$310, 2,FALSE), IFERROR(VLOOKUP(A409,'Vocus RVC ExDa'!$C$2:$R$155, 3,FALSE), IFERROR(VLOOKUP(A409,'Fusion ExDa'!$B$2:$D$16, 2,FALSE), IFERROR(VLOOKUP(A409,'Exetel ExDa'!$C$2:$N$14, 2,FALSE), IFERROR(VLOOKUP(A409,'Infinet ExDa'!$B$2:$E$14, 2,FALSE), "Not Found"))))))))</f>
        <v>Unit 5, 28 Metroplex Avenue, MURARRIE QLD 4173</v>
      </c>
      <c r="D409" t="str">
        <f>IFERROR(VLOOKUP($A409,'AAPT ExDa'!$B$2:$U$99, 15,FALSE), IFERROR(VLOOKUP($A409,'ABB ExDa'!$A$2:$N$184, 4,FALSE), IFERROR(VLOOKUP($A409,'Vocus SIT ExDa'!$B$2:$J$173, 5,FALSE), IFERROR(VLOOKUP($A409,'Telstra ExDa'!$B$2:$K$310, 8,FALSE), IFERROR(VLOOKUP($A409,'Vocus RVC ExDa'!$C$2:$R$155, 6,FALSE), IFERROR(VLOOKUP($A409,'Fusion ExDa'!$B$2:$D$16, 4,FALSE), IFERROR(VLOOKUP($A409,'Exetel ExDa'!$C$2:$N$14, 3,FALSE), IFERROR(VLOOKUP($A409,'Infinet ExDa'!$B$2:$E$14, 3,FALSE), "Not Found"))))))))</f>
        <v>Vocus SIT</v>
      </c>
      <c r="E409" t="str">
        <f>IFERROR(VLOOKUP($A409,'AAPT ExDa'!$B$2:$U$99, 3,FALSE), IFERROR(VLOOKUP($A409,'ABB ExDa'!$A$2:$N$184, 5,FALSE), IFERROR(VLOOKUP($A409,'Vocus SIT ExDa'!$B$2:$J$173, 2,FALSE), IFERROR(VLOOKUP($A409,'Telstra ExDa'!$B$2:$K$310, 4,FALSE), IFERROR(VLOOKUP($A409,'Vocus RVC ExDa'!$C$2:$R$155, 8,FALSE), IFERROR(VLOOKUP($A409,'Fusion ExDa'!$B$2:$D$16, 4,FALSE), IFERROR(VLOOKUP($A409,'Exetel ExDa'!$C$2:$N$14, 5,FALSE), IFERROR(VLOOKUP($A409,'Infinet ExDa'!$B$2:$E$14, 3,FALSE), "Not Found"))))))))</f>
        <v>Voice Service</v>
      </c>
      <c r="F409" t="str">
        <f>IFERROR(VLOOKUP($A409,'AAPT ExDa'!$B$2:$U$99, 4,FALSE), IFERROR(VLOOKUP($A409,'ABB ExDa'!$A$2:$N$184, 6,FALSE), IFERROR(VLOOKUP($A409,'Vocus SIT ExDa'!$B$2:$J$173, 3,FALSE), IFERROR(VLOOKUP($A409,'Telstra ExDa'!$B$2:$K$310, 5,FALSE), IFERROR(VLOOKUP($A409,'Vocus RVC ExDa'!$C$2:$R$155, 9,FALSE), IFERROR(VLOOKUP($A409,'Fusion ExDa'!$B$2:$D$16, 0,FALSE), IFERROR(VLOOKUP($A409,'Exetel ExDa'!$C$2:$N$14, 6,FALSE), IFERROR(VLOOKUP($A409,'Infinet ExDa'!$B$2:$E$14, 0,FALSE), "Not Found"))))))))</f>
        <v>0731127588</v>
      </c>
      <c r="G409" t="str">
        <f>IFERROR(VLOOKUP($A409,'AAPT ExDa'!$B$2:$U$99, 5,FALSE), IFERROR(VLOOKUP($A409,'ABB ExDa'!$A$2:$N$184, 8,FALSE), IFERROR(VLOOKUP($A409,'Vocus SIT ExDa'!$B$2:$J$173, 6,FALSE), IFERROR(VLOOKUP($A409,'Telstra ExDa'!$B$2:$K$310, 0,FALSE), IFERROR(VLOOKUP($A409,'Vocus RVC ExDa'!$C$2:$R$155, 15,FALSE), IFERROR(VLOOKUP($A409,'Fusion ExDa'!$B$2:$D$16, 0,FALSE), IFERROR(VLOOKUP($A409,'Exetel ExDa'!$C$2:$N$14, 7,FALSE), IFERROR(VLOOKUP($A409,'Infinet ExDa'!$B$2:$E$14, 0,FALSE), "Not Found"))))))))</f>
        <v>IP Tel Order - Smile Tel - 07/06/2019 [Nurturing Brain Potential]
Voice (5 Mbps) - Unit 5, 28 Metroplex Avenue, MURARRIE QLD 4172</v>
      </c>
      <c r="H409" t="str">
        <f>IFERROR(VLOOKUP($A409,'AAPT ExDa'!$B$2:$U$99, 6,FALSE), IFERROR(VLOOKUP($A409,'ABB ExDa'!$A$2:$N$184, 0,FALSE), IFERROR(VLOOKUP($A409,'Vocus SIT ExDa'!$B$2:$J$173, 0,FALSE), IFERROR(VLOOKUP($A409,'Telstra ExDa'!$B$2:$K$310, 0,FALSE), IFERROR(VLOOKUP($A409,'Vocus RVC ExDa'!$C$2:$R$155, 16,FALSE), IFERROR(VLOOKUP($A409,'Fusion ExDa'!$B$2:$D$16, 0,FALSE), IFERROR(VLOOKUP($A409,'Exetel ExDa'!$C$2:$N$14, 0,FALSE), IFERROR(VLOOKUP($A409,'Infinet ExDa'!$B$2:$E$14, 0,FALSE), "Not Found"))))))))</f>
        <v>Not Found</v>
      </c>
      <c r="I409" t="str">
        <f>IFERROR(VLOOKUP($A409,'AAPT ExDa'!$B$2:$U$99, 0,FALSE), IFERROR(VLOOKUP($A409,'ABB ExDa'!$A$2:$N$184, 0,FALSE), IFERROR(VLOOKUP($A409,'Vocus SIT ExDa'!$B$2:$J$173, 0,FALSE), IFERROR(VLOOKUP($A409,'Telstra ExDa'!$B$2:$K$310, 0,FALSE), IFERROR(VLOOKUP($A409,'Vocus RVC ExDa'!$C$2:$R$155, 0,FALSE), IFERROR(VLOOKUP($A409,'Fusion ExDa'!$B$2:$D$16, 0,FALSE), IFERROR(VLOOKUP($A409,'Exetel ExDa'!$C$2:$N$14, 8,FALSE), IFERROR(VLOOKUP($A409,'Infinet ExDa'!$B$2:$E$14, 0,FALSE), "Not Found"))))))))</f>
        <v>Not Found</v>
      </c>
      <c r="J409" t="str">
        <f>IFERROR(VLOOKUP($A409,'AAPT ExDa'!$B$2:$U$99, 7,FALSE), IFERROR(VLOOKUP($A409,'ABB ExDa'!$A$2:$N$184, 2,FALSE), IFERROR(VLOOKUP($A409,'Vocus SIT ExDa'!$B$2:$J$173, 0,FALSE), IFERROR(VLOOKUP($A409,'Telstra ExDa'!$B$2:$K$310, 7,FALSE), IFERROR(VLOOKUP($A409,'Vocus RVC ExDa'!$C$2:$R$155, 2,FALSE), IFERROR(VLOOKUP($A409,'Fusion ExDa'!$B$2:$D$16, 3,FALSE), IFERROR(VLOOKUP($A409,'Exetel ExDa'!$C$2:$N$14, 0,FALSE), IFERROR(VLOOKUP($A409,'Infinet ExDa'!$B$2:$E$14, 0,FALSE), "Not Found"))))))))</f>
        <v>Not Found</v>
      </c>
      <c r="K409" t="str">
        <f>IFERROR(VLOOKUP($A409,'AAPT ExDa'!$B$2:$U$99, 12,FALSE), IFERROR(VLOOKUP($A409,'ABB ExDa'!$A$2:$N$184, 0,FALSE), IFERROR(VLOOKUP($A409,'Vocus SIT ExDa'!$B$2:$J$173, 0,FALSE), IFERROR(VLOOKUP($A409,'Telstra ExDa'!$B$2:$K$310, 0,FALSE), IFERROR(VLOOKUP($A409,'Vocus RVC ExDa'!$C$2:$R$155, 0,FALSE), IFERROR(VLOOKUP($A409,'Fusion ExDa'!$B$2:$D$16, 0,FALSE), IFERROR(VLOOKUP($A409,'Exetel ExDa'!$C$2:$N$14, 12,FALSE), IFERROR(VLOOKUP($A409,'Infinet ExDa'!$B$2:$E$14, 0,FALSE), "Not Found"))))))))</f>
        <v>Not Found</v>
      </c>
      <c r="L409" s="235" t="str">
        <f>IFERROR(VLOOKUP($A409,'AAPT ExDa'!$B$2:$U$99, 11,FALSE), IFERROR(VLOOKUP($A409,'ABB ExDa'!$A$2:$N$184, 9,FALSE), IFERROR(VLOOKUP($A409,'Vocus SIT ExDa'!$B$2:$J$173, 8,FALSE), IFERROR(VLOOKUP($A409,'Telstra ExDa'!$B$2:$K$310, 0,FALSE), IFERROR(VLOOKUP($A409,'Vocus RVC ExDa'!$C$2:$R$155, 0,FALSE), IFERROR(VLOOKUP($A409,'Fusion ExDa'!$B$2:$D$16, 0,FALSE), IFERROR(VLOOKUP($A409,'Exetel ExDa'!$C$2:$N$14, 9,FALSE), IFERROR(VLOOKUP($A409,'Infinet ExDa'!$B$2:$E$14, 0,FALSE), "Not Found"))))))))</f>
        <v>13/06/2019</v>
      </c>
      <c r="M409" s="234" t="str">
        <f>IFERROR(VLOOKUP($A409,'AAPT ExDa'!$B$2:$U$99, 0,FALSE), IFERROR(VLOOKUP($A409,'ABB ExDa'!$A$2:$N$184, 0,FALSE), IFERROR(VLOOKUP($A409,'Vocus SIT ExDa'!$B$2:$J$173, 0,FALSE), IFERROR(VLOOKUP($A409,'Telstra ExDa'!$B$2:$K$310, 0,FALSE), IFERROR(VLOOKUP($A409,'Vocus RVC ExDa'!$C$2:$R$155, 0,FALSE), IFERROR(VLOOKUP($A409,'Fusion ExDa'!$B$2:$D$16, 0,FALSE), IFERROR(VLOOKUP($A409,'Exetel ExDa'!$C$2:$N$14, 11,FALSE), IFERROR(VLOOKUP($A409,'Infinet ExDa'!$B$2:$E$14, 0,FALSE), "Not Found"))))))))</f>
        <v>Not Found</v>
      </c>
      <c r="N409" t="str">
        <f>IFERROR(VLOOKUP($A409,'AAPT ExDa'!$B$2:$U$99, 0,FALSE), IFERROR(VLOOKUP($A409,'ABB ExDa'!$A$2:$N$184, 13,FALSE), IFERROR(VLOOKUP($A409,'Vocus SIT ExDa'!$B$2:$J$173, 0,FALSE), IFERROR(VLOOKUP($A409,'Telstra ExDa'!$B$2:$K$310, 0,FALSE), IFERROR(VLOOKUP($A409,'Vocus RVC ExDa'!$C$2:$R$155, 0,FALSE), IFERROR(VLOOKUP($A409,'Fusion ExDa'!$B$2:$D$16, 0,FALSE), IFERROR(VLOOKUP($A409,'Exetel ExDa'!$C$2:$N$14, 0,FALSE), IFERROR(VLOOKUP($A409,'Infinet ExDa'!$B$2:$E$14, 0,FALSE), "Not Found"))))))))</f>
        <v>Not Found</v>
      </c>
    </row>
    <row r="410" spans="1:14">
      <c r="A410" t="str">
        <v>STA Consulting Engineers</v>
      </c>
      <c r="B410" t="str">
        <f>IFERROR(VLOOKUP(A410,'Exetel ExDa'!$C$2:$N$14,4,FALSE),"No Data")</f>
        <v>No Data</v>
      </c>
      <c r="C410" t="str">
        <f>IFERROR(VLOOKUP(A410,'AAPT ExDa'!$B$2:$U$99, 2,FALSE), IFERROR(VLOOKUP(A410,'ABB ExDa'!$A$2:$N$184, 2,FALSE), IFERROR(VLOOKUP(A410,'Vocus SIT ExDa'!$B$2:$J$173, 7,FALSE), IFERROR(VLOOKUP(A410,'Telstra ExDa'!$B$2:$K$310, 2,FALSE), IFERROR(VLOOKUP(A410,'Vocus RVC ExDa'!$C$2:$R$155, 3,FALSE), IFERROR(VLOOKUP(A410,'Fusion ExDa'!$B$2:$D$16, 2,FALSE), IFERROR(VLOOKUP(A410,'Exetel ExDa'!$C$2:$N$14, 2,FALSE), IFERROR(VLOOKUP(A410,'Infinet ExDa'!$B$2:$E$14, 2,FALSE), "Not Found"))))))))</f>
        <v xml:space="preserve"> oTtherie</v>
      </c>
      <c r="D410" t="str">
        <f>IFERROR(VLOOKUP($A410,'AAPT ExDa'!$B$2:$U$99, 15,FALSE), IFERROR(VLOOKUP($A410,'ABB ExDa'!$A$2:$N$184, 4,FALSE), IFERROR(VLOOKUP($A410,'Vocus SIT ExDa'!$B$2:$J$173, 5,FALSE), IFERROR(VLOOKUP($A410,'Telstra ExDa'!$B$2:$K$310, 8,FALSE), IFERROR(VLOOKUP($A410,'Vocus RVC ExDa'!$C$2:$R$155, 6,FALSE), IFERROR(VLOOKUP($A410,'Fusion ExDa'!$B$2:$D$16, 4,FALSE), IFERROR(VLOOKUP($A410,'Exetel ExDa'!$C$2:$N$14, 3,FALSE), IFERROR(VLOOKUP($A410,'Infinet ExDa'!$B$2:$E$14, 3,FALSE), "Not Found"))))))))</f>
        <v>AAPT</v>
      </c>
      <c r="E410" t="str">
        <f>IFERROR(VLOOKUP($A410,'AAPT ExDa'!$B$2:$U$99, 3,FALSE), IFERROR(VLOOKUP($A410,'ABB ExDa'!$A$2:$N$184, 5,FALSE), IFERROR(VLOOKUP($A410,'Vocus SIT ExDa'!$B$2:$J$173, 2,FALSE), IFERROR(VLOOKUP($A410,'Telstra ExDa'!$B$2:$K$310, 4,FALSE), IFERROR(VLOOKUP($A410,'Vocus RVC ExDa'!$C$2:$R$155, 8,FALSE), IFERROR(VLOOKUP($A410,'Fusion ExDa'!$B$2:$D$16, 4,FALSE), IFERROR(VLOOKUP($A410,'Exetel ExDa'!$C$2:$N$14, 5,FALSE), IFERROR(VLOOKUP($A410,'Infinet ExDa'!$B$2:$E$14, 3,FALSE), "Not Found"))))))))</f>
        <v>FAST Fibre</v>
      </c>
      <c r="F410" t="str">
        <f>IFERROR(VLOOKUP($A410,'AAPT ExDa'!$B$2:$U$99, 4,FALSE), IFERROR(VLOOKUP($A410,'ABB ExDa'!$A$2:$N$184, 6,FALSE), IFERROR(VLOOKUP($A410,'Vocus SIT ExDa'!$B$2:$J$173, 3,FALSE), IFERROR(VLOOKUP($A410,'Telstra ExDa'!$B$2:$K$310, 5,FALSE), IFERROR(VLOOKUP($A410,'Vocus RVC ExDa'!$C$2:$R$155, 9,FALSE), IFERROR(VLOOKUP($A410,'Fusion ExDa'!$B$2:$D$16, 0,FALSE), IFERROR(VLOOKUP($A410,'Exetel ExDa'!$C$2:$N$14, 6,FALSE), IFERROR(VLOOKUP($A410,'Infinet ExDa'!$B$2:$E$14, 0,FALSE), "Not Found"))))))))</f>
        <v>FAST Fibre (NTU)</v>
      </c>
      <c r="G410">
        <f>IFERROR(VLOOKUP($A410,'AAPT ExDa'!$B$2:$U$99, 5,FALSE), IFERROR(VLOOKUP($A410,'ABB ExDa'!$A$2:$N$184, 8,FALSE), IFERROR(VLOOKUP($A410,'Vocus SIT ExDa'!$B$2:$J$173, 6,FALSE), IFERROR(VLOOKUP($A410,'Telstra ExDa'!$B$2:$K$310, 0,FALSE), IFERROR(VLOOKUP($A410,'Vocus RVC ExDa'!$C$2:$R$155, 15,FALSE), IFERROR(VLOOKUP($A410,'Fusion ExDa'!$B$2:$D$16, 0,FALSE), IFERROR(VLOOKUP($A410,'Exetel ExDa'!$C$2:$N$14, 7,FALSE), IFERROR(VLOOKUP($A410,'Infinet ExDa'!$B$2:$E$14, 0,FALSE), "Not Found"))))))))</f>
        <v>0</v>
      </c>
      <c r="H410" t="str">
        <f>IFERROR(VLOOKUP($A410,'AAPT ExDa'!$B$2:$U$99, 6,FALSE), IFERROR(VLOOKUP($A410,'ABB ExDa'!$A$2:$N$184, 0,FALSE), IFERROR(VLOOKUP($A410,'Vocus SIT ExDa'!$B$2:$J$173, 0,FALSE), IFERROR(VLOOKUP($A410,'Telstra ExDa'!$B$2:$K$310, 0,FALSE), IFERROR(VLOOKUP($A410,'Vocus RVC ExDa'!$C$2:$R$155, 16,FALSE), IFERROR(VLOOKUP($A410,'Fusion ExDa'!$B$2:$D$16, 0,FALSE), IFERROR(VLOOKUP($A410,'Exetel ExDa'!$C$2:$N$14, 0,FALSE), IFERROR(VLOOKUP($A410,'Infinet ExDa'!$B$2:$E$14, 0,FALSE), "Not Found"))))))))</f>
        <v>1000 Mbps; 48 Months</v>
      </c>
      <c r="I410" t="str">
        <f>IFERROR(VLOOKUP($A410,'AAPT ExDa'!$B$2:$U$99, 0,FALSE), IFERROR(VLOOKUP($A410,'ABB ExDa'!$A$2:$N$184, 0,FALSE), IFERROR(VLOOKUP($A410,'Vocus SIT ExDa'!$B$2:$J$173, 0,FALSE), IFERROR(VLOOKUP($A410,'Telstra ExDa'!$B$2:$K$310, 0,FALSE), IFERROR(VLOOKUP($A410,'Vocus RVC ExDa'!$C$2:$R$155, 0,FALSE), IFERROR(VLOOKUP($A410,'Fusion ExDa'!$B$2:$D$16, 0,FALSE), IFERROR(VLOOKUP($A410,'Exetel ExDa'!$C$2:$N$14, 8,FALSE), IFERROR(VLOOKUP($A410,'Infinet ExDa'!$B$2:$E$14, 0,FALSE), "Not Found"))))))))</f>
        <v>Not Found</v>
      </c>
      <c r="J410">
        <f>IFERROR(VLOOKUP($A410,'AAPT ExDa'!$B$2:$U$99, 7,FALSE), IFERROR(VLOOKUP($A410,'ABB ExDa'!$A$2:$N$184, 2,FALSE), IFERROR(VLOOKUP($A410,'Vocus SIT ExDa'!$B$2:$J$173, 0,FALSE), IFERROR(VLOOKUP($A410,'Telstra ExDa'!$B$2:$K$310, 7,FALSE), IFERROR(VLOOKUP($A410,'Vocus RVC ExDa'!$C$2:$R$155, 2,FALSE), IFERROR(VLOOKUP($A410,'Fusion ExDa'!$B$2:$D$16, 3,FALSE), IFERROR(VLOOKUP($A410,'Exetel ExDa'!$C$2:$N$14, 0,FALSE), IFERROR(VLOOKUP($A410,'Infinet ExDa'!$B$2:$E$14, 0,FALSE), "Not Found"))))))))</f>
        <v>0</v>
      </c>
      <c r="K410" t="str">
        <f>IFERROR(VLOOKUP($A410,'AAPT ExDa'!$B$2:$U$99, 12,FALSE), IFERROR(VLOOKUP($A410,'ABB ExDa'!$A$2:$N$184, 0,FALSE), IFERROR(VLOOKUP($A410,'Vocus SIT ExDa'!$B$2:$J$173, 0,FALSE), IFERROR(VLOOKUP($A410,'Telstra ExDa'!$B$2:$K$310, 0,FALSE), IFERROR(VLOOKUP($A410,'Vocus RVC ExDa'!$C$2:$R$155, 0,FALSE), IFERROR(VLOOKUP($A410,'Fusion ExDa'!$B$2:$D$16, 0,FALSE), IFERROR(VLOOKUP($A410,'Exetel ExDa'!$C$2:$N$14, 12,FALSE), IFERROR(VLOOKUP($A410,'Infinet ExDa'!$B$2:$E$14, 0,FALSE), "Not Found"))))))))</f>
        <v>48 Months</v>
      </c>
      <c r="L410" s="235">
        <f>IFERROR(VLOOKUP($A410,'AAPT ExDa'!$B$2:$U$99, 11,FALSE), IFERROR(VLOOKUP($A410,'ABB ExDa'!$A$2:$N$184, 9,FALSE), IFERROR(VLOOKUP($A410,'Vocus SIT ExDa'!$B$2:$J$173, 8,FALSE), IFERROR(VLOOKUP($A410,'Telstra ExDa'!$B$2:$K$310, 0,FALSE), IFERROR(VLOOKUP($A410,'Vocus RVC ExDa'!$C$2:$R$155, 0,FALSE), IFERROR(VLOOKUP($A410,'Fusion ExDa'!$B$2:$D$16, 0,FALSE), IFERROR(VLOOKUP($A410,'Exetel ExDa'!$C$2:$N$14, 9,FALSE), IFERROR(VLOOKUP($A410,'Infinet ExDa'!$B$2:$E$14, 0,FALSE), "Not Found"))))))))</f>
        <v>43961</v>
      </c>
      <c r="M410" s="234" t="str">
        <f>IFERROR(VLOOKUP($A410,'AAPT ExDa'!$B$2:$U$99, 0,FALSE), IFERROR(VLOOKUP($A410,'ABB ExDa'!$A$2:$N$184, 0,FALSE), IFERROR(VLOOKUP($A410,'Vocus SIT ExDa'!$B$2:$J$173, 0,FALSE), IFERROR(VLOOKUP($A410,'Telstra ExDa'!$B$2:$K$310, 0,FALSE), IFERROR(VLOOKUP($A410,'Vocus RVC ExDa'!$C$2:$R$155, 0,FALSE), IFERROR(VLOOKUP($A410,'Fusion ExDa'!$B$2:$D$16, 0,FALSE), IFERROR(VLOOKUP($A410,'Exetel ExDa'!$C$2:$N$14, 11,FALSE), IFERROR(VLOOKUP($A410,'Infinet ExDa'!$B$2:$E$14, 0,FALSE), "Not Found"))))))))</f>
        <v>Not Found</v>
      </c>
      <c r="N410" t="str">
        <f>IFERROR(VLOOKUP($A410,'AAPT ExDa'!$B$2:$U$99, 0,FALSE), IFERROR(VLOOKUP($A410,'ABB ExDa'!$A$2:$N$184, 13,FALSE), IFERROR(VLOOKUP($A410,'Vocus SIT ExDa'!$B$2:$J$173, 0,FALSE), IFERROR(VLOOKUP($A410,'Telstra ExDa'!$B$2:$K$310, 0,FALSE), IFERROR(VLOOKUP($A410,'Vocus RVC ExDa'!$C$2:$R$155, 0,FALSE), IFERROR(VLOOKUP($A410,'Fusion ExDa'!$B$2:$D$16, 0,FALSE), IFERROR(VLOOKUP($A410,'Exetel ExDa'!$C$2:$N$14, 0,FALSE), IFERROR(VLOOKUP($A410,'Infinet ExDa'!$B$2:$E$14, 0,FALSE), "Not Found"))))))))</f>
        <v>Not Found</v>
      </c>
    </row>
    <row r="411" spans="1:14">
      <c r="A411" t="str">
        <v>STA Consulting Engineers</v>
      </c>
      <c r="B411" t="str">
        <f>IFERROR(VLOOKUP(A411,'Exetel ExDa'!$C$2:$N$14,4,FALSE),"No Data")</f>
        <v>No Data</v>
      </c>
      <c r="C411" t="str">
        <f>IFERROR(VLOOKUP(A411,'AAPT ExDa'!$B$2:$U$99, 2,FALSE), IFERROR(VLOOKUP(A411,'ABB ExDa'!$A$2:$N$184, 2,FALSE), IFERROR(VLOOKUP(A411,'Vocus SIT ExDa'!$B$2:$J$173, 7,FALSE), IFERROR(VLOOKUP(A411,'Telstra ExDa'!$B$2:$K$310, 2,FALSE), IFERROR(VLOOKUP(A411,'Vocus RVC ExDa'!$C$2:$R$155, 3,FALSE), IFERROR(VLOOKUP(A411,'Fusion ExDa'!$B$2:$D$16, 2,FALSE), IFERROR(VLOOKUP(A411,'Exetel ExDa'!$C$2:$N$14, 2,FALSE), IFERROR(VLOOKUP(A411,'Infinet ExDa'!$B$2:$E$14, 2,FALSE), "Not Found"))))))))</f>
        <v xml:space="preserve"> oTtherie</v>
      </c>
      <c r="D411" t="str">
        <f>IFERROR(VLOOKUP($A411,'AAPT ExDa'!$B$2:$U$99, 15,FALSE), IFERROR(VLOOKUP($A411,'ABB ExDa'!$A$2:$N$184, 4,FALSE), IFERROR(VLOOKUP($A411,'Vocus SIT ExDa'!$B$2:$J$173, 5,FALSE), IFERROR(VLOOKUP($A411,'Telstra ExDa'!$B$2:$K$310, 8,FALSE), IFERROR(VLOOKUP($A411,'Vocus RVC ExDa'!$C$2:$R$155, 6,FALSE), IFERROR(VLOOKUP($A411,'Fusion ExDa'!$B$2:$D$16, 4,FALSE), IFERROR(VLOOKUP($A411,'Exetel ExDa'!$C$2:$N$14, 3,FALSE), IFERROR(VLOOKUP($A411,'Infinet ExDa'!$B$2:$E$14, 3,FALSE), "Not Found"))))))))</f>
        <v>AAPT</v>
      </c>
      <c r="E411" t="str">
        <f>IFERROR(VLOOKUP($A411,'AAPT ExDa'!$B$2:$U$99, 3,FALSE), IFERROR(VLOOKUP($A411,'ABB ExDa'!$A$2:$N$184, 5,FALSE), IFERROR(VLOOKUP($A411,'Vocus SIT ExDa'!$B$2:$J$173, 2,FALSE), IFERROR(VLOOKUP($A411,'Telstra ExDa'!$B$2:$K$310, 4,FALSE), IFERROR(VLOOKUP($A411,'Vocus RVC ExDa'!$C$2:$R$155, 8,FALSE), IFERROR(VLOOKUP($A411,'Fusion ExDa'!$B$2:$D$16, 4,FALSE), IFERROR(VLOOKUP($A411,'Exetel ExDa'!$C$2:$N$14, 5,FALSE), IFERROR(VLOOKUP($A411,'Infinet ExDa'!$B$2:$E$14, 3,FALSE), "Not Found"))))))))</f>
        <v>FAST Fibre</v>
      </c>
      <c r="F411" t="str">
        <f>IFERROR(VLOOKUP($A411,'AAPT ExDa'!$B$2:$U$99, 4,FALSE), IFERROR(VLOOKUP($A411,'ABB ExDa'!$A$2:$N$184, 6,FALSE), IFERROR(VLOOKUP($A411,'Vocus SIT ExDa'!$B$2:$J$173, 3,FALSE), IFERROR(VLOOKUP($A411,'Telstra ExDa'!$B$2:$K$310, 5,FALSE), IFERROR(VLOOKUP($A411,'Vocus RVC ExDa'!$C$2:$R$155, 9,FALSE), IFERROR(VLOOKUP($A411,'Fusion ExDa'!$B$2:$D$16, 0,FALSE), IFERROR(VLOOKUP($A411,'Exetel ExDa'!$C$2:$N$14, 6,FALSE), IFERROR(VLOOKUP($A411,'Infinet ExDa'!$B$2:$E$14, 0,FALSE), "Not Found"))))))))</f>
        <v>FAST Fibre (NTU)</v>
      </c>
      <c r="G411">
        <f>IFERROR(VLOOKUP($A411,'AAPT ExDa'!$B$2:$U$99, 5,FALSE), IFERROR(VLOOKUP($A411,'ABB ExDa'!$A$2:$N$184, 8,FALSE), IFERROR(VLOOKUP($A411,'Vocus SIT ExDa'!$B$2:$J$173, 6,FALSE), IFERROR(VLOOKUP($A411,'Telstra ExDa'!$B$2:$K$310, 0,FALSE), IFERROR(VLOOKUP($A411,'Vocus RVC ExDa'!$C$2:$R$155, 15,FALSE), IFERROR(VLOOKUP($A411,'Fusion ExDa'!$B$2:$D$16, 0,FALSE), IFERROR(VLOOKUP($A411,'Exetel ExDa'!$C$2:$N$14, 7,FALSE), IFERROR(VLOOKUP($A411,'Infinet ExDa'!$B$2:$E$14, 0,FALSE), "Not Found"))))))))</f>
        <v>0</v>
      </c>
      <c r="H411" t="str">
        <f>IFERROR(VLOOKUP($A411,'AAPT ExDa'!$B$2:$U$99, 6,FALSE), IFERROR(VLOOKUP($A411,'ABB ExDa'!$A$2:$N$184, 0,FALSE), IFERROR(VLOOKUP($A411,'Vocus SIT ExDa'!$B$2:$J$173, 0,FALSE), IFERROR(VLOOKUP($A411,'Telstra ExDa'!$B$2:$K$310, 0,FALSE), IFERROR(VLOOKUP($A411,'Vocus RVC ExDa'!$C$2:$R$155, 16,FALSE), IFERROR(VLOOKUP($A411,'Fusion ExDa'!$B$2:$D$16, 0,FALSE), IFERROR(VLOOKUP($A411,'Exetel ExDa'!$C$2:$N$14, 0,FALSE), IFERROR(VLOOKUP($A411,'Infinet ExDa'!$B$2:$E$14, 0,FALSE), "Not Found"))))))))</f>
        <v>1000 Mbps; 48 Months</v>
      </c>
      <c r="I411" t="str">
        <f>IFERROR(VLOOKUP($A411,'AAPT ExDa'!$B$2:$U$99, 0,FALSE), IFERROR(VLOOKUP($A411,'ABB ExDa'!$A$2:$N$184, 0,FALSE), IFERROR(VLOOKUP($A411,'Vocus SIT ExDa'!$B$2:$J$173, 0,FALSE), IFERROR(VLOOKUP($A411,'Telstra ExDa'!$B$2:$K$310, 0,FALSE), IFERROR(VLOOKUP($A411,'Vocus RVC ExDa'!$C$2:$R$155, 0,FALSE), IFERROR(VLOOKUP($A411,'Fusion ExDa'!$B$2:$D$16, 0,FALSE), IFERROR(VLOOKUP($A411,'Exetel ExDa'!$C$2:$N$14, 8,FALSE), IFERROR(VLOOKUP($A411,'Infinet ExDa'!$B$2:$E$14, 0,FALSE), "Not Found"))))))))</f>
        <v>Not Found</v>
      </c>
      <c r="J411">
        <f>IFERROR(VLOOKUP($A411,'AAPT ExDa'!$B$2:$U$99, 7,FALSE), IFERROR(VLOOKUP($A411,'ABB ExDa'!$A$2:$N$184, 2,FALSE), IFERROR(VLOOKUP($A411,'Vocus SIT ExDa'!$B$2:$J$173, 0,FALSE), IFERROR(VLOOKUP($A411,'Telstra ExDa'!$B$2:$K$310, 7,FALSE), IFERROR(VLOOKUP($A411,'Vocus RVC ExDa'!$C$2:$R$155, 2,FALSE), IFERROR(VLOOKUP($A411,'Fusion ExDa'!$B$2:$D$16, 3,FALSE), IFERROR(VLOOKUP($A411,'Exetel ExDa'!$C$2:$N$14, 0,FALSE), IFERROR(VLOOKUP($A411,'Infinet ExDa'!$B$2:$E$14, 0,FALSE), "Not Found"))))))))</f>
        <v>0</v>
      </c>
      <c r="K411" t="str">
        <f>IFERROR(VLOOKUP($A411,'AAPT ExDa'!$B$2:$U$99, 12,FALSE), IFERROR(VLOOKUP($A411,'ABB ExDa'!$A$2:$N$184, 0,FALSE), IFERROR(VLOOKUP($A411,'Vocus SIT ExDa'!$B$2:$J$173, 0,FALSE), IFERROR(VLOOKUP($A411,'Telstra ExDa'!$B$2:$K$310, 0,FALSE), IFERROR(VLOOKUP($A411,'Vocus RVC ExDa'!$C$2:$R$155, 0,FALSE), IFERROR(VLOOKUP($A411,'Fusion ExDa'!$B$2:$D$16, 0,FALSE), IFERROR(VLOOKUP($A411,'Exetel ExDa'!$C$2:$N$14, 12,FALSE), IFERROR(VLOOKUP($A411,'Infinet ExDa'!$B$2:$E$14, 0,FALSE), "Not Found"))))))))</f>
        <v>48 Months</v>
      </c>
      <c r="L411" s="235">
        <f>IFERROR(VLOOKUP($A411,'AAPT ExDa'!$B$2:$U$99, 11,FALSE), IFERROR(VLOOKUP($A411,'ABB ExDa'!$A$2:$N$184, 9,FALSE), IFERROR(VLOOKUP($A411,'Vocus SIT ExDa'!$B$2:$J$173, 8,FALSE), IFERROR(VLOOKUP($A411,'Telstra ExDa'!$B$2:$K$310, 0,FALSE), IFERROR(VLOOKUP($A411,'Vocus RVC ExDa'!$C$2:$R$155, 0,FALSE), IFERROR(VLOOKUP($A411,'Fusion ExDa'!$B$2:$D$16, 0,FALSE), IFERROR(VLOOKUP($A411,'Exetel ExDa'!$C$2:$N$14, 9,FALSE), IFERROR(VLOOKUP($A411,'Infinet ExDa'!$B$2:$E$14, 0,FALSE), "Not Found"))))))))</f>
        <v>43961</v>
      </c>
      <c r="M411" s="234" t="str">
        <f>IFERROR(VLOOKUP($A411,'AAPT ExDa'!$B$2:$U$99, 0,FALSE), IFERROR(VLOOKUP($A411,'ABB ExDa'!$A$2:$N$184, 0,FALSE), IFERROR(VLOOKUP($A411,'Vocus SIT ExDa'!$B$2:$J$173, 0,FALSE), IFERROR(VLOOKUP($A411,'Telstra ExDa'!$B$2:$K$310, 0,FALSE), IFERROR(VLOOKUP($A411,'Vocus RVC ExDa'!$C$2:$R$155, 0,FALSE), IFERROR(VLOOKUP($A411,'Fusion ExDa'!$B$2:$D$16, 0,FALSE), IFERROR(VLOOKUP($A411,'Exetel ExDa'!$C$2:$N$14, 11,FALSE), IFERROR(VLOOKUP($A411,'Infinet ExDa'!$B$2:$E$14, 0,FALSE), "Not Found"))))))))</f>
        <v>Not Found</v>
      </c>
      <c r="N411" t="str">
        <f>IFERROR(VLOOKUP($A411,'AAPT ExDa'!$B$2:$U$99, 0,FALSE), IFERROR(VLOOKUP($A411,'ABB ExDa'!$A$2:$N$184, 13,FALSE), IFERROR(VLOOKUP($A411,'Vocus SIT ExDa'!$B$2:$J$173, 0,FALSE), IFERROR(VLOOKUP($A411,'Telstra ExDa'!$B$2:$K$310, 0,FALSE), IFERROR(VLOOKUP($A411,'Vocus RVC ExDa'!$C$2:$R$155, 0,FALSE), IFERROR(VLOOKUP($A411,'Fusion ExDa'!$B$2:$D$16, 0,FALSE), IFERROR(VLOOKUP($A411,'Exetel ExDa'!$C$2:$N$14, 0,FALSE), IFERROR(VLOOKUP($A411,'Infinet ExDa'!$B$2:$E$14, 0,FALSE), "Not Found"))))))))</f>
        <v>Not Found</v>
      </c>
    </row>
    <row r="412" spans="1:14">
      <c r="A412" t="str">
        <v>STA Consulting Engineers</v>
      </c>
      <c r="B412" t="str">
        <f>IFERROR(VLOOKUP(A412,'Exetel ExDa'!$C$2:$N$14,4,FALSE),"No Data")</f>
        <v>No Data</v>
      </c>
      <c r="C412" t="str">
        <f>IFERROR(VLOOKUP(A412,'AAPT ExDa'!$B$2:$U$99, 2,FALSE), IFERROR(VLOOKUP(A412,'ABB ExDa'!$A$2:$N$184, 2,FALSE), IFERROR(VLOOKUP(A412,'Vocus SIT ExDa'!$B$2:$J$173, 7,FALSE), IFERROR(VLOOKUP(A412,'Telstra ExDa'!$B$2:$K$310, 2,FALSE), IFERROR(VLOOKUP(A412,'Vocus RVC ExDa'!$C$2:$R$155, 3,FALSE), IFERROR(VLOOKUP(A412,'Fusion ExDa'!$B$2:$D$16, 2,FALSE), IFERROR(VLOOKUP(A412,'Exetel ExDa'!$C$2:$N$14, 2,FALSE), IFERROR(VLOOKUP(A412,'Infinet ExDa'!$B$2:$E$14, 2,FALSE), "Not Found"))))))))</f>
        <v xml:space="preserve"> oTtherie</v>
      </c>
      <c r="D412" t="str">
        <f>IFERROR(VLOOKUP($A412,'AAPT ExDa'!$B$2:$U$99, 15,FALSE), IFERROR(VLOOKUP($A412,'ABB ExDa'!$A$2:$N$184, 4,FALSE), IFERROR(VLOOKUP($A412,'Vocus SIT ExDa'!$B$2:$J$173, 5,FALSE), IFERROR(VLOOKUP($A412,'Telstra ExDa'!$B$2:$K$310, 8,FALSE), IFERROR(VLOOKUP($A412,'Vocus RVC ExDa'!$C$2:$R$155, 6,FALSE), IFERROR(VLOOKUP($A412,'Fusion ExDa'!$B$2:$D$16, 4,FALSE), IFERROR(VLOOKUP($A412,'Exetel ExDa'!$C$2:$N$14, 3,FALSE), IFERROR(VLOOKUP($A412,'Infinet ExDa'!$B$2:$E$14, 3,FALSE), "Not Found"))))))))</f>
        <v>AAPT</v>
      </c>
      <c r="E412" t="str">
        <f>IFERROR(VLOOKUP($A412,'AAPT ExDa'!$B$2:$U$99, 3,FALSE), IFERROR(VLOOKUP($A412,'ABB ExDa'!$A$2:$N$184, 5,FALSE), IFERROR(VLOOKUP($A412,'Vocus SIT ExDa'!$B$2:$J$173, 2,FALSE), IFERROR(VLOOKUP($A412,'Telstra ExDa'!$B$2:$K$310, 4,FALSE), IFERROR(VLOOKUP($A412,'Vocus RVC ExDa'!$C$2:$R$155, 8,FALSE), IFERROR(VLOOKUP($A412,'Fusion ExDa'!$B$2:$D$16, 4,FALSE), IFERROR(VLOOKUP($A412,'Exetel ExDa'!$C$2:$N$14, 5,FALSE), IFERROR(VLOOKUP($A412,'Infinet ExDa'!$B$2:$E$14, 3,FALSE), "Not Found"))))))))</f>
        <v>FAST Fibre</v>
      </c>
      <c r="F412" t="str">
        <f>IFERROR(VLOOKUP($A412,'AAPT ExDa'!$B$2:$U$99, 4,FALSE), IFERROR(VLOOKUP($A412,'ABB ExDa'!$A$2:$N$184, 6,FALSE), IFERROR(VLOOKUP($A412,'Vocus SIT ExDa'!$B$2:$J$173, 3,FALSE), IFERROR(VLOOKUP($A412,'Telstra ExDa'!$B$2:$K$310, 5,FALSE), IFERROR(VLOOKUP($A412,'Vocus RVC ExDa'!$C$2:$R$155, 9,FALSE), IFERROR(VLOOKUP($A412,'Fusion ExDa'!$B$2:$D$16, 0,FALSE), IFERROR(VLOOKUP($A412,'Exetel ExDa'!$C$2:$N$14, 6,FALSE), IFERROR(VLOOKUP($A412,'Infinet ExDa'!$B$2:$E$14, 0,FALSE), "Not Found"))))))))</f>
        <v>FAST Fibre (NTU)</v>
      </c>
      <c r="G412">
        <f>IFERROR(VLOOKUP($A412,'AAPT ExDa'!$B$2:$U$99, 5,FALSE), IFERROR(VLOOKUP($A412,'ABB ExDa'!$A$2:$N$184, 8,FALSE), IFERROR(VLOOKUP($A412,'Vocus SIT ExDa'!$B$2:$J$173, 6,FALSE), IFERROR(VLOOKUP($A412,'Telstra ExDa'!$B$2:$K$310, 0,FALSE), IFERROR(VLOOKUP($A412,'Vocus RVC ExDa'!$C$2:$R$155, 15,FALSE), IFERROR(VLOOKUP($A412,'Fusion ExDa'!$B$2:$D$16, 0,FALSE), IFERROR(VLOOKUP($A412,'Exetel ExDa'!$C$2:$N$14, 7,FALSE), IFERROR(VLOOKUP($A412,'Infinet ExDa'!$B$2:$E$14, 0,FALSE), "Not Found"))))))))</f>
        <v>0</v>
      </c>
      <c r="H412" t="str">
        <f>IFERROR(VLOOKUP($A412,'AAPT ExDa'!$B$2:$U$99, 6,FALSE), IFERROR(VLOOKUP($A412,'ABB ExDa'!$A$2:$N$184, 0,FALSE), IFERROR(VLOOKUP($A412,'Vocus SIT ExDa'!$B$2:$J$173, 0,FALSE), IFERROR(VLOOKUP($A412,'Telstra ExDa'!$B$2:$K$310, 0,FALSE), IFERROR(VLOOKUP($A412,'Vocus RVC ExDa'!$C$2:$R$155, 16,FALSE), IFERROR(VLOOKUP($A412,'Fusion ExDa'!$B$2:$D$16, 0,FALSE), IFERROR(VLOOKUP($A412,'Exetel ExDa'!$C$2:$N$14, 0,FALSE), IFERROR(VLOOKUP($A412,'Infinet ExDa'!$B$2:$E$14, 0,FALSE), "Not Found"))))))))</f>
        <v>1000 Mbps; 48 Months</v>
      </c>
      <c r="I412" t="str">
        <f>IFERROR(VLOOKUP($A412,'AAPT ExDa'!$B$2:$U$99, 0,FALSE), IFERROR(VLOOKUP($A412,'ABB ExDa'!$A$2:$N$184, 0,FALSE), IFERROR(VLOOKUP($A412,'Vocus SIT ExDa'!$B$2:$J$173, 0,FALSE), IFERROR(VLOOKUP($A412,'Telstra ExDa'!$B$2:$K$310, 0,FALSE), IFERROR(VLOOKUP($A412,'Vocus RVC ExDa'!$C$2:$R$155, 0,FALSE), IFERROR(VLOOKUP($A412,'Fusion ExDa'!$B$2:$D$16, 0,FALSE), IFERROR(VLOOKUP($A412,'Exetel ExDa'!$C$2:$N$14, 8,FALSE), IFERROR(VLOOKUP($A412,'Infinet ExDa'!$B$2:$E$14, 0,FALSE), "Not Found"))))))))</f>
        <v>Not Found</v>
      </c>
      <c r="J412">
        <f>IFERROR(VLOOKUP($A412,'AAPT ExDa'!$B$2:$U$99, 7,FALSE), IFERROR(VLOOKUP($A412,'ABB ExDa'!$A$2:$N$184, 2,FALSE), IFERROR(VLOOKUP($A412,'Vocus SIT ExDa'!$B$2:$J$173, 0,FALSE), IFERROR(VLOOKUP($A412,'Telstra ExDa'!$B$2:$K$310, 7,FALSE), IFERROR(VLOOKUP($A412,'Vocus RVC ExDa'!$C$2:$R$155, 2,FALSE), IFERROR(VLOOKUP($A412,'Fusion ExDa'!$B$2:$D$16, 3,FALSE), IFERROR(VLOOKUP($A412,'Exetel ExDa'!$C$2:$N$14, 0,FALSE), IFERROR(VLOOKUP($A412,'Infinet ExDa'!$B$2:$E$14, 0,FALSE), "Not Found"))))))))</f>
        <v>0</v>
      </c>
      <c r="K412" t="str">
        <f>IFERROR(VLOOKUP($A412,'AAPT ExDa'!$B$2:$U$99, 12,FALSE), IFERROR(VLOOKUP($A412,'ABB ExDa'!$A$2:$N$184, 0,FALSE), IFERROR(VLOOKUP($A412,'Vocus SIT ExDa'!$B$2:$J$173, 0,FALSE), IFERROR(VLOOKUP($A412,'Telstra ExDa'!$B$2:$K$310, 0,FALSE), IFERROR(VLOOKUP($A412,'Vocus RVC ExDa'!$C$2:$R$155, 0,FALSE), IFERROR(VLOOKUP($A412,'Fusion ExDa'!$B$2:$D$16, 0,FALSE), IFERROR(VLOOKUP($A412,'Exetel ExDa'!$C$2:$N$14, 12,FALSE), IFERROR(VLOOKUP($A412,'Infinet ExDa'!$B$2:$E$14, 0,FALSE), "Not Found"))))))))</f>
        <v>48 Months</v>
      </c>
      <c r="L412" s="235">
        <f>IFERROR(VLOOKUP($A412,'AAPT ExDa'!$B$2:$U$99, 11,FALSE), IFERROR(VLOOKUP($A412,'ABB ExDa'!$A$2:$N$184, 9,FALSE), IFERROR(VLOOKUP($A412,'Vocus SIT ExDa'!$B$2:$J$173, 8,FALSE), IFERROR(VLOOKUP($A412,'Telstra ExDa'!$B$2:$K$310, 0,FALSE), IFERROR(VLOOKUP($A412,'Vocus RVC ExDa'!$C$2:$R$155, 0,FALSE), IFERROR(VLOOKUP($A412,'Fusion ExDa'!$B$2:$D$16, 0,FALSE), IFERROR(VLOOKUP($A412,'Exetel ExDa'!$C$2:$N$14, 9,FALSE), IFERROR(VLOOKUP($A412,'Infinet ExDa'!$B$2:$E$14, 0,FALSE), "Not Found"))))))))</f>
        <v>43961</v>
      </c>
      <c r="M412" s="234" t="str">
        <f>IFERROR(VLOOKUP($A412,'AAPT ExDa'!$B$2:$U$99, 0,FALSE), IFERROR(VLOOKUP($A412,'ABB ExDa'!$A$2:$N$184, 0,FALSE), IFERROR(VLOOKUP($A412,'Vocus SIT ExDa'!$B$2:$J$173, 0,FALSE), IFERROR(VLOOKUP($A412,'Telstra ExDa'!$B$2:$K$310, 0,FALSE), IFERROR(VLOOKUP($A412,'Vocus RVC ExDa'!$C$2:$R$155, 0,FALSE), IFERROR(VLOOKUP($A412,'Fusion ExDa'!$B$2:$D$16, 0,FALSE), IFERROR(VLOOKUP($A412,'Exetel ExDa'!$C$2:$N$14, 11,FALSE), IFERROR(VLOOKUP($A412,'Infinet ExDa'!$B$2:$E$14, 0,FALSE), "Not Found"))))))))</f>
        <v>Not Found</v>
      </c>
      <c r="N412" t="str">
        <f>IFERROR(VLOOKUP($A412,'AAPT ExDa'!$B$2:$U$99, 0,FALSE), IFERROR(VLOOKUP($A412,'ABB ExDa'!$A$2:$N$184, 13,FALSE), IFERROR(VLOOKUP($A412,'Vocus SIT ExDa'!$B$2:$J$173, 0,FALSE), IFERROR(VLOOKUP($A412,'Telstra ExDa'!$B$2:$K$310, 0,FALSE), IFERROR(VLOOKUP($A412,'Vocus RVC ExDa'!$C$2:$R$155, 0,FALSE), IFERROR(VLOOKUP($A412,'Fusion ExDa'!$B$2:$D$16, 0,FALSE), IFERROR(VLOOKUP($A412,'Exetel ExDa'!$C$2:$N$14, 0,FALSE), IFERROR(VLOOKUP($A412,'Infinet ExDa'!$B$2:$E$14, 0,FALSE), "Not Found"))))))))</f>
        <v>Not Found</v>
      </c>
    </row>
    <row r="413" spans="1:14">
      <c r="A413" t="str">
        <v>STA Consulting Engineers</v>
      </c>
      <c r="B413" t="str">
        <f>IFERROR(VLOOKUP(A413,'Exetel ExDa'!$C$2:$N$14,4,FALSE),"No Data")</f>
        <v>No Data</v>
      </c>
      <c r="C413" t="str">
        <f>IFERROR(VLOOKUP(A413,'AAPT ExDa'!$B$2:$U$99, 2,FALSE), IFERROR(VLOOKUP(A413,'ABB ExDa'!$A$2:$N$184, 2,FALSE), IFERROR(VLOOKUP(A413,'Vocus SIT ExDa'!$B$2:$J$173, 7,FALSE), IFERROR(VLOOKUP(A413,'Telstra ExDa'!$B$2:$K$310, 2,FALSE), IFERROR(VLOOKUP(A413,'Vocus RVC ExDa'!$C$2:$R$155, 3,FALSE), IFERROR(VLOOKUP(A413,'Fusion ExDa'!$B$2:$D$16, 2,FALSE), IFERROR(VLOOKUP(A413,'Exetel ExDa'!$C$2:$N$14, 2,FALSE), IFERROR(VLOOKUP(A413,'Infinet ExDa'!$B$2:$E$14, 2,FALSE), "Not Found"))))))))</f>
        <v xml:space="preserve"> oTtherie</v>
      </c>
      <c r="D413" t="str">
        <f>IFERROR(VLOOKUP($A413,'AAPT ExDa'!$B$2:$U$99, 15,FALSE), IFERROR(VLOOKUP($A413,'ABB ExDa'!$A$2:$N$184, 4,FALSE), IFERROR(VLOOKUP($A413,'Vocus SIT ExDa'!$B$2:$J$173, 5,FALSE), IFERROR(VLOOKUP($A413,'Telstra ExDa'!$B$2:$K$310, 8,FALSE), IFERROR(VLOOKUP($A413,'Vocus RVC ExDa'!$C$2:$R$155, 6,FALSE), IFERROR(VLOOKUP($A413,'Fusion ExDa'!$B$2:$D$16, 4,FALSE), IFERROR(VLOOKUP($A413,'Exetel ExDa'!$C$2:$N$14, 3,FALSE), IFERROR(VLOOKUP($A413,'Infinet ExDa'!$B$2:$E$14, 3,FALSE), "Not Found"))))))))</f>
        <v>AAPT</v>
      </c>
      <c r="E413" t="str">
        <f>IFERROR(VLOOKUP($A413,'AAPT ExDa'!$B$2:$U$99, 3,FALSE), IFERROR(VLOOKUP($A413,'ABB ExDa'!$A$2:$N$184, 5,FALSE), IFERROR(VLOOKUP($A413,'Vocus SIT ExDa'!$B$2:$J$173, 2,FALSE), IFERROR(VLOOKUP($A413,'Telstra ExDa'!$B$2:$K$310, 4,FALSE), IFERROR(VLOOKUP($A413,'Vocus RVC ExDa'!$C$2:$R$155, 8,FALSE), IFERROR(VLOOKUP($A413,'Fusion ExDa'!$B$2:$D$16, 4,FALSE), IFERROR(VLOOKUP($A413,'Exetel ExDa'!$C$2:$N$14, 5,FALSE), IFERROR(VLOOKUP($A413,'Infinet ExDa'!$B$2:$E$14, 3,FALSE), "Not Found"))))))))</f>
        <v>FAST Fibre</v>
      </c>
      <c r="F413" t="str">
        <f>IFERROR(VLOOKUP($A413,'AAPT ExDa'!$B$2:$U$99, 4,FALSE), IFERROR(VLOOKUP($A413,'ABB ExDa'!$A$2:$N$184, 6,FALSE), IFERROR(VLOOKUP($A413,'Vocus SIT ExDa'!$B$2:$J$173, 3,FALSE), IFERROR(VLOOKUP($A413,'Telstra ExDa'!$B$2:$K$310, 5,FALSE), IFERROR(VLOOKUP($A413,'Vocus RVC ExDa'!$C$2:$R$155, 9,FALSE), IFERROR(VLOOKUP($A413,'Fusion ExDa'!$B$2:$D$16, 0,FALSE), IFERROR(VLOOKUP($A413,'Exetel ExDa'!$C$2:$N$14, 6,FALSE), IFERROR(VLOOKUP($A413,'Infinet ExDa'!$B$2:$E$14, 0,FALSE), "Not Found"))))))))</f>
        <v>FAST Fibre (NTU)</v>
      </c>
      <c r="G413">
        <f>IFERROR(VLOOKUP($A413,'AAPT ExDa'!$B$2:$U$99, 5,FALSE), IFERROR(VLOOKUP($A413,'ABB ExDa'!$A$2:$N$184, 8,FALSE), IFERROR(VLOOKUP($A413,'Vocus SIT ExDa'!$B$2:$J$173, 6,FALSE), IFERROR(VLOOKUP($A413,'Telstra ExDa'!$B$2:$K$310, 0,FALSE), IFERROR(VLOOKUP($A413,'Vocus RVC ExDa'!$C$2:$R$155, 15,FALSE), IFERROR(VLOOKUP($A413,'Fusion ExDa'!$B$2:$D$16, 0,FALSE), IFERROR(VLOOKUP($A413,'Exetel ExDa'!$C$2:$N$14, 7,FALSE), IFERROR(VLOOKUP($A413,'Infinet ExDa'!$B$2:$E$14, 0,FALSE), "Not Found"))))))))</f>
        <v>0</v>
      </c>
      <c r="H413" t="str">
        <f>IFERROR(VLOOKUP($A413,'AAPT ExDa'!$B$2:$U$99, 6,FALSE), IFERROR(VLOOKUP($A413,'ABB ExDa'!$A$2:$N$184, 0,FALSE), IFERROR(VLOOKUP($A413,'Vocus SIT ExDa'!$B$2:$J$173, 0,FALSE), IFERROR(VLOOKUP($A413,'Telstra ExDa'!$B$2:$K$310, 0,FALSE), IFERROR(VLOOKUP($A413,'Vocus RVC ExDa'!$C$2:$R$155, 16,FALSE), IFERROR(VLOOKUP($A413,'Fusion ExDa'!$B$2:$D$16, 0,FALSE), IFERROR(VLOOKUP($A413,'Exetel ExDa'!$C$2:$N$14, 0,FALSE), IFERROR(VLOOKUP($A413,'Infinet ExDa'!$B$2:$E$14, 0,FALSE), "Not Found"))))))))</f>
        <v>1000 Mbps; 48 Months</v>
      </c>
      <c r="I413" t="str">
        <f>IFERROR(VLOOKUP($A413,'AAPT ExDa'!$B$2:$U$99, 0,FALSE), IFERROR(VLOOKUP($A413,'ABB ExDa'!$A$2:$N$184, 0,FALSE), IFERROR(VLOOKUP($A413,'Vocus SIT ExDa'!$B$2:$J$173, 0,FALSE), IFERROR(VLOOKUP($A413,'Telstra ExDa'!$B$2:$K$310, 0,FALSE), IFERROR(VLOOKUP($A413,'Vocus RVC ExDa'!$C$2:$R$155, 0,FALSE), IFERROR(VLOOKUP($A413,'Fusion ExDa'!$B$2:$D$16, 0,FALSE), IFERROR(VLOOKUP($A413,'Exetel ExDa'!$C$2:$N$14, 8,FALSE), IFERROR(VLOOKUP($A413,'Infinet ExDa'!$B$2:$E$14, 0,FALSE), "Not Found"))))))))</f>
        <v>Not Found</v>
      </c>
      <c r="J413">
        <f>IFERROR(VLOOKUP($A413,'AAPT ExDa'!$B$2:$U$99, 7,FALSE), IFERROR(VLOOKUP($A413,'ABB ExDa'!$A$2:$N$184, 2,FALSE), IFERROR(VLOOKUP($A413,'Vocus SIT ExDa'!$B$2:$J$173, 0,FALSE), IFERROR(VLOOKUP($A413,'Telstra ExDa'!$B$2:$K$310, 7,FALSE), IFERROR(VLOOKUP($A413,'Vocus RVC ExDa'!$C$2:$R$155, 2,FALSE), IFERROR(VLOOKUP($A413,'Fusion ExDa'!$B$2:$D$16, 3,FALSE), IFERROR(VLOOKUP($A413,'Exetel ExDa'!$C$2:$N$14, 0,FALSE), IFERROR(VLOOKUP($A413,'Infinet ExDa'!$B$2:$E$14, 0,FALSE), "Not Found"))))))))</f>
        <v>0</v>
      </c>
      <c r="K413" t="str">
        <f>IFERROR(VLOOKUP($A413,'AAPT ExDa'!$B$2:$U$99, 12,FALSE), IFERROR(VLOOKUP($A413,'ABB ExDa'!$A$2:$N$184, 0,FALSE), IFERROR(VLOOKUP($A413,'Vocus SIT ExDa'!$B$2:$J$173, 0,FALSE), IFERROR(VLOOKUP($A413,'Telstra ExDa'!$B$2:$K$310, 0,FALSE), IFERROR(VLOOKUP($A413,'Vocus RVC ExDa'!$C$2:$R$155, 0,FALSE), IFERROR(VLOOKUP($A413,'Fusion ExDa'!$B$2:$D$16, 0,FALSE), IFERROR(VLOOKUP($A413,'Exetel ExDa'!$C$2:$N$14, 12,FALSE), IFERROR(VLOOKUP($A413,'Infinet ExDa'!$B$2:$E$14, 0,FALSE), "Not Found"))))))))</f>
        <v>48 Months</v>
      </c>
      <c r="L413" s="235">
        <f>IFERROR(VLOOKUP($A413,'AAPT ExDa'!$B$2:$U$99, 11,FALSE), IFERROR(VLOOKUP($A413,'ABB ExDa'!$A$2:$N$184, 9,FALSE), IFERROR(VLOOKUP($A413,'Vocus SIT ExDa'!$B$2:$J$173, 8,FALSE), IFERROR(VLOOKUP($A413,'Telstra ExDa'!$B$2:$K$310, 0,FALSE), IFERROR(VLOOKUP($A413,'Vocus RVC ExDa'!$C$2:$R$155, 0,FALSE), IFERROR(VLOOKUP($A413,'Fusion ExDa'!$B$2:$D$16, 0,FALSE), IFERROR(VLOOKUP($A413,'Exetel ExDa'!$C$2:$N$14, 9,FALSE), IFERROR(VLOOKUP($A413,'Infinet ExDa'!$B$2:$E$14, 0,FALSE), "Not Found"))))))))</f>
        <v>43961</v>
      </c>
      <c r="M413" s="234" t="str">
        <f>IFERROR(VLOOKUP($A413,'AAPT ExDa'!$B$2:$U$99, 0,FALSE), IFERROR(VLOOKUP($A413,'ABB ExDa'!$A$2:$N$184, 0,FALSE), IFERROR(VLOOKUP($A413,'Vocus SIT ExDa'!$B$2:$J$173, 0,FALSE), IFERROR(VLOOKUP($A413,'Telstra ExDa'!$B$2:$K$310, 0,FALSE), IFERROR(VLOOKUP($A413,'Vocus RVC ExDa'!$C$2:$R$155, 0,FALSE), IFERROR(VLOOKUP($A413,'Fusion ExDa'!$B$2:$D$16, 0,FALSE), IFERROR(VLOOKUP($A413,'Exetel ExDa'!$C$2:$N$14, 11,FALSE), IFERROR(VLOOKUP($A413,'Infinet ExDa'!$B$2:$E$14, 0,FALSE), "Not Found"))))))))</f>
        <v>Not Found</v>
      </c>
      <c r="N413" t="str">
        <f>IFERROR(VLOOKUP($A413,'AAPT ExDa'!$B$2:$U$99, 0,FALSE), IFERROR(VLOOKUP($A413,'ABB ExDa'!$A$2:$N$184, 13,FALSE), IFERROR(VLOOKUP($A413,'Vocus SIT ExDa'!$B$2:$J$173, 0,FALSE), IFERROR(VLOOKUP($A413,'Telstra ExDa'!$B$2:$K$310, 0,FALSE), IFERROR(VLOOKUP($A413,'Vocus RVC ExDa'!$C$2:$R$155, 0,FALSE), IFERROR(VLOOKUP($A413,'Fusion ExDa'!$B$2:$D$16, 0,FALSE), IFERROR(VLOOKUP($A413,'Exetel ExDa'!$C$2:$N$14, 0,FALSE), IFERROR(VLOOKUP($A413,'Infinet ExDa'!$B$2:$E$14, 0,FALSE), "Not Found"))))))))</f>
        <v>Not Found</v>
      </c>
    </row>
    <row r="414" spans="1:14">
      <c r="A414" t="str">
        <v>Mega Electrics</v>
      </c>
      <c r="B414" t="str">
        <f>IFERROR(VLOOKUP(A414,'Exetel ExDa'!$C$2:$N$14,4,FALSE),"No Data")</f>
        <v>No Data</v>
      </c>
      <c r="C414">
        <f>IFERROR(VLOOKUP(A414,'AAPT ExDa'!$B$2:$U$99, 2,FALSE), IFERROR(VLOOKUP(A414,'ABB ExDa'!$A$2:$N$184, 2,FALSE), IFERROR(VLOOKUP(A414,'Vocus SIT ExDa'!$B$2:$J$173, 7,FALSE), IFERROR(VLOOKUP(A414,'Telstra ExDa'!$B$2:$K$310, 2,FALSE), IFERROR(VLOOKUP(A414,'Vocus RVC ExDa'!$C$2:$R$155, 3,FALSE), IFERROR(VLOOKUP(A414,'Fusion ExDa'!$B$2:$D$16, 2,FALSE), IFERROR(VLOOKUP(A414,'Exetel ExDa'!$C$2:$N$14, 2,FALSE), IFERROR(VLOOKUP(A414,'Infinet ExDa'!$B$2:$E$14, 2,FALSE), "Not Found"))))))))</f>
        <v>0</v>
      </c>
      <c r="D414" t="str">
        <f>IFERROR(VLOOKUP($A414,'AAPT ExDa'!$B$2:$U$99, 15,FALSE), IFERROR(VLOOKUP($A414,'ABB ExDa'!$A$2:$N$184, 4,FALSE), IFERROR(VLOOKUP($A414,'Vocus SIT ExDa'!$B$2:$J$173, 5,FALSE), IFERROR(VLOOKUP($A414,'Telstra ExDa'!$B$2:$K$310, 8,FALSE), IFERROR(VLOOKUP($A414,'Vocus RVC ExDa'!$C$2:$R$155, 6,FALSE), IFERROR(VLOOKUP($A414,'Fusion ExDa'!$B$2:$D$16, 4,FALSE), IFERROR(VLOOKUP($A414,'Exetel ExDa'!$C$2:$N$14, 3,FALSE), IFERROR(VLOOKUP($A414,'Infinet ExDa'!$B$2:$E$14, 3,FALSE), "Not Found"))))))))</f>
        <v>AAPT</v>
      </c>
      <c r="E414" t="str">
        <f>IFERROR(VLOOKUP($A414,'AAPT ExDa'!$B$2:$U$99, 3,FALSE), IFERROR(VLOOKUP($A414,'ABB ExDa'!$A$2:$N$184, 5,FALSE), IFERROR(VLOOKUP($A414,'Vocus SIT ExDa'!$B$2:$J$173, 2,FALSE), IFERROR(VLOOKUP($A414,'Telstra ExDa'!$B$2:$K$310, 4,FALSE), IFERROR(VLOOKUP($A414,'Vocus RVC ExDa'!$C$2:$R$155, 8,FALSE), IFERROR(VLOOKUP($A414,'Fusion ExDa'!$B$2:$D$16, 4,FALSE), IFERROR(VLOOKUP($A414,'Exetel ExDa'!$C$2:$N$14, 5,FALSE), IFERROR(VLOOKUP($A414,'Infinet ExDa'!$B$2:$E$14, 3,FALSE), "Not Found"))))))))</f>
        <v>IP-Line</v>
      </c>
      <c r="F414" t="str">
        <f>IFERROR(VLOOKUP($A414,'AAPT ExDa'!$B$2:$U$99, 4,FALSE), IFERROR(VLOOKUP($A414,'ABB ExDa'!$A$2:$N$184, 6,FALSE), IFERROR(VLOOKUP($A414,'Vocus SIT ExDa'!$B$2:$J$173, 3,FALSE), IFERROR(VLOOKUP($A414,'Telstra ExDa'!$B$2:$K$310, 5,FALSE), IFERROR(VLOOKUP($A414,'Vocus RVC ExDa'!$C$2:$R$155, 9,FALSE), IFERROR(VLOOKUP($A414,'Fusion ExDa'!$B$2:$D$16, 0,FALSE), IFERROR(VLOOKUP($A414,'Exetel ExDa'!$C$2:$N$14, 6,FALSE), IFERROR(VLOOKUP($A414,'Infinet ExDa'!$B$2:$E$14, 0,FALSE), "Not Found"))))))))</f>
        <v>IP-Line Link</v>
      </c>
      <c r="G414" t="str">
        <f>IFERROR(VLOOKUP($A414,'AAPT ExDa'!$B$2:$U$99, 5,FALSE), IFERROR(VLOOKUP($A414,'ABB ExDa'!$A$2:$N$184, 8,FALSE), IFERROR(VLOOKUP($A414,'Vocus SIT ExDa'!$B$2:$J$173, 6,FALSE), IFERROR(VLOOKUP($A414,'Telstra ExDa'!$B$2:$K$310, 0,FALSE), IFERROR(VLOOKUP($A414,'Vocus RVC ExDa'!$C$2:$R$155, 15,FALSE), IFERROR(VLOOKUP($A414,'Fusion ExDa'!$B$2:$D$16, 0,FALSE), IFERROR(VLOOKUP($A414,'Exetel ExDa'!$C$2:$N$14, 7,FALSE), IFERROR(VLOOKUP($A414,'Infinet ExDa'!$B$2:$E$14, 0,FALSE), "Not Found"))))))))</f>
        <v>Connecting IP-Line 6023265 to Access 100846479</v>
      </c>
      <c r="H414" t="str">
        <f>IFERROR(VLOOKUP($A414,'AAPT ExDa'!$B$2:$U$99, 6,FALSE), IFERROR(VLOOKUP($A414,'ABB ExDa'!$A$2:$N$184, 0,FALSE), IFERROR(VLOOKUP($A414,'Vocus SIT ExDa'!$B$2:$J$173, 0,FALSE), IFERROR(VLOOKUP($A414,'Telstra ExDa'!$B$2:$K$310, 0,FALSE), IFERROR(VLOOKUP($A414,'Vocus RVC ExDa'!$C$2:$R$155, 16,FALSE), IFERROR(VLOOKUP($A414,'Fusion ExDa'!$B$2:$D$16, 0,FALSE), IFERROR(VLOOKUP($A414,'Exetel ExDa'!$C$2:$N$14, 0,FALSE), IFERROR(VLOOKUP($A414,'Infinet ExDa'!$B$2:$E$14, 0,FALSE), "Not Found"))))))))</f>
        <v>Up to 100/40Mbps; AVC ID:AVC000170800287</v>
      </c>
      <c r="I414" t="str">
        <f>IFERROR(VLOOKUP($A414,'AAPT ExDa'!$B$2:$U$99, 0,FALSE), IFERROR(VLOOKUP($A414,'ABB ExDa'!$A$2:$N$184, 0,FALSE), IFERROR(VLOOKUP($A414,'Vocus SIT ExDa'!$B$2:$J$173, 0,FALSE), IFERROR(VLOOKUP($A414,'Telstra ExDa'!$B$2:$K$310, 0,FALSE), IFERROR(VLOOKUP($A414,'Vocus RVC ExDa'!$C$2:$R$155, 0,FALSE), IFERROR(VLOOKUP($A414,'Fusion ExDa'!$B$2:$D$16, 0,FALSE), IFERROR(VLOOKUP($A414,'Exetel ExDa'!$C$2:$N$14, 8,FALSE), IFERROR(VLOOKUP($A414,'Infinet ExDa'!$B$2:$E$14, 0,FALSE), "Not Found"))))))))</f>
        <v>Not Found</v>
      </c>
      <c r="J414" t="str">
        <f>IFERROR(VLOOKUP($A414,'AAPT ExDa'!$B$2:$U$99, 7,FALSE), IFERROR(VLOOKUP($A414,'ABB ExDa'!$A$2:$N$184, 2,FALSE), IFERROR(VLOOKUP($A414,'Vocus SIT ExDa'!$B$2:$J$173, 0,FALSE), IFERROR(VLOOKUP($A414,'Telstra ExDa'!$B$2:$K$310, 7,FALSE), IFERROR(VLOOKUP($A414,'Vocus RVC ExDa'!$C$2:$R$155, 2,FALSE), IFERROR(VLOOKUP($A414,'Fusion ExDa'!$B$2:$D$16, 3,FALSE), IFERROR(VLOOKUP($A414,'Exetel ExDa'!$C$2:$N$14, 0,FALSE), IFERROR(VLOOKUP($A414,'Infinet ExDa'!$B$2:$E$14, 0,FALSE), "Not Found"))))))))</f>
        <v>AVC000170800287</v>
      </c>
      <c r="K414" t="str">
        <f>IFERROR(VLOOKUP($A414,'AAPT ExDa'!$B$2:$U$99, 12,FALSE), IFERROR(VLOOKUP($A414,'ABB ExDa'!$A$2:$N$184, 0,FALSE), IFERROR(VLOOKUP($A414,'Vocus SIT ExDa'!$B$2:$J$173, 0,FALSE), IFERROR(VLOOKUP($A414,'Telstra ExDa'!$B$2:$K$310, 0,FALSE), IFERROR(VLOOKUP($A414,'Vocus RVC ExDa'!$C$2:$R$155, 0,FALSE), IFERROR(VLOOKUP($A414,'Fusion ExDa'!$B$2:$D$16, 0,FALSE), IFERROR(VLOOKUP($A414,'Exetel ExDa'!$C$2:$N$14, 12,FALSE), IFERROR(VLOOKUP($A414,'Infinet ExDa'!$B$2:$E$14, 0,FALSE), "Not Found"))))))))</f>
        <v>12 Months</v>
      </c>
      <c r="L414" s="235" t="str">
        <f>IFERROR(VLOOKUP($A414,'AAPT ExDa'!$B$2:$U$99, 11,FALSE), IFERROR(VLOOKUP($A414,'ABB ExDa'!$A$2:$N$184, 9,FALSE), IFERROR(VLOOKUP($A414,'Vocus SIT ExDa'!$B$2:$J$173, 8,FALSE), IFERROR(VLOOKUP($A414,'Telstra ExDa'!$B$2:$K$310, 0,FALSE), IFERROR(VLOOKUP($A414,'Vocus RVC ExDa'!$C$2:$R$155, 0,FALSE), IFERROR(VLOOKUP($A414,'Fusion ExDa'!$B$2:$D$16, 0,FALSE), IFERROR(VLOOKUP($A414,'Exetel ExDa'!$C$2:$N$14, 9,FALSE), IFERROR(VLOOKUP($A414,'Infinet ExDa'!$B$2:$E$14, 0,FALSE), "Not Found"))))))))</f>
        <v>19/04/2023</v>
      </c>
      <c r="M414" s="234" t="str">
        <f>IFERROR(VLOOKUP($A414,'AAPT ExDa'!$B$2:$U$99, 0,FALSE), IFERROR(VLOOKUP($A414,'ABB ExDa'!$A$2:$N$184, 0,FALSE), IFERROR(VLOOKUP($A414,'Vocus SIT ExDa'!$B$2:$J$173, 0,FALSE), IFERROR(VLOOKUP($A414,'Telstra ExDa'!$B$2:$K$310, 0,FALSE), IFERROR(VLOOKUP($A414,'Vocus RVC ExDa'!$C$2:$R$155, 0,FALSE), IFERROR(VLOOKUP($A414,'Fusion ExDa'!$B$2:$D$16, 0,FALSE), IFERROR(VLOOKUP($A414,'Exetel ExDa'!$C$2:$N$14, 11,FALSE), IFERROR(VLOOKUP($A414,'Infinet ExDa'!$B$2:$E$14, 0,FALSE), "Not Found"))))))))</f>
        <v>Not Found</v>
      </c>
      <c r="N414" t="str">
        <f>IFERROR(VLOOKUP($A414,'AAPT ExDa'!$B$2:$U$99, 0,FALSE), IFERROR(VLOOKUP($A414,'ABB ExDa'!$A$2:$N$184, 13,FALSE), IFERROR(VLOOKUP($A414,'Vocus SIT ExDa'!$B$2:$J$173, 0,FALSE), IFERROR(VLOOKUP($A414,'Telstra ExDa'!$B$2:$K$310, 0,FALSE), IFERROR(VLOOKUP($A414,'Vocus RVC ExDa'!$C$2:$R$155, 0,FALSE), IFERROR(VLOOKUP($A414,'Fusion ExDa'!$B$2:$D$16, 0,FALSE), IFERROR(VLOOKUP($A414,'Exetel ExDa'!$C$2:$N$14, 0,FALSE), IFERROR(VLOOKUP($A414,'Infinet ExDa'!$B$2:$E$14, 0,FALSE), "Not Found"))))))))</f>
        <v>Not Found</v>
      </c>
    </row>
    <row r="415" spans="1:14">
      <c r="A415" t="str">
        <v>STA Consulting Engineers</v>
      </c>
      <c r="B415" t="str">
        <f>IFERROR(VLOOKUP(A415,'Exetel ExDa'!$C$2:$N$14,4,FALSE),"No Data")</f>
        <v>No Data</v>
      </c>
      <c r="C415" t="str">
        <f>IFERROR(VLOOKUP(A415,'AAPT ExDa'!$B$2:$U$99, 2,FALSE), IFERROR(VLOOKUP(A415,'ABB ExDa'!$A$2:$N$184, 2,FALSE), IFERROR(VLOOKUP(A415,'Vocus SIT ExDa'!$B$2:$J$173, 7,FALSE), IFERROR(VLOOKUP(A415,'Telstra ExDa'!$B$2:$K$310, 2,FALSE), IFERROR(VLOOKUP(A415,'Vocus RVC ExDa'!$C$2:$R$155, 3,FALSE), IFERROR(VLOOKUP(A415,'Fusion ExDa'!$B$2:$D$16, 2,FALSE), IFERROR(VLOOKUP(A415,'Exetel ExDa'!$C$2:$N$14, 2,FALSE), IFERROR(VLOOKUP(A415,'Infinet ExDa'!$B$2:$E$14, 2,FALSE), "Not Found"))))))))</f>
        <v xml:space="preserve"> oTtherie</v>
      </c>
      <c r="D415" t="str">
        <f>IFERROR(VLOOKUP($A415,'AAPT ExDa'!$B$2:$U$99, 15,FALSE), IFERROR(VLOOKUP($A415,'ABB ExDa'!$A$2:$N$184, 4,FALSE), IFERROR(VLOOKUP($A415,'Vocus SIT ExDa'!$B$2:$J$173, 5,FALSE), IFERROR(VLOOKUP($A415,'Telstra ExDa'!$B$2:$K$310, 8,FALSE), IFERROR(VLOOKUP($A415,'Vocus RVC ExDa'!$C$2:$R$155, 6,FALSE), IFERROR(VLOOKUP($A415,'Fusion ExDa'!$B$2:$D$16, 4,FALSE), IFERROR(VLOOKUP($A415,'Exetel ExDa'!$C$2:$N$14, 3,FALSE), IFERROR(VLOOKUP($A415,'Infinet ExDa'!$B$2:$E$14, 3,FALSE), "Not Found"))))))))</f>
        <v>AAPT</v>
      </c>
      <c r="E415" t="str">
        <f>IFERROR(VLOOKUP($A415,'AAPT ExDa'!$B$2:$U$99, 3,FALSE), IFERROR(VLOOKUP($A415,'ABB ExDa'!$A$2:$N$184, 5,FALSE), IFERROR(VLOOKUP($A415,'Vocus SIT ExDa'!$B$2:$J$173, 2,FALSE), IFERROR(VLOOKUP($A415,'Telstra ExDa'!$B$2:$K$310, 4,FALSE), IFERROR(VLOOKUP($A415,'Vocus RVC ExDa'!$C$2:$R$155, 8,FALSE), IFERROR(VLOOKUP($A415,'Fusion ExDa'!$B$2:$D$16, 4,FALSE), IFERROR(VLOOKUP($A415,'Exetel ExDa'!$C$2:$N$14, 5,FALSE), IFERROR(VLOOKUP($A415,'Infinet ExDa'!$B$2:$E$14, 3,FALSE), "Not Found"))))))))</f>
        <v>FAST Fibre</v>
      </c>
      <c r="F415" t="str">
        <f>IFERROR(VLOOKUP($A415,'AAPT ExDa'!$B$2:$U$99, 4,FALSE), IFERROR(VLOOKUP($A415,'ABB ExDa'!$A$2:$N$184, 6,FALSE), IFERROR(VLOOKUP($A415,'Vocus SIT ExDa'!$B$2:$J$173, 3,FALSE), IFERROR(VLOOKUP($A415,'Telstra ExDa'!$B$2:$K$310, 5,FALSE), IFERROR(VLOOKUP($A415,'Vocus RVC ExDa'!$C$2:$R$155, 9,FALSE), IFERROR(VLOOKUP($A415,'Fusion ExDa'!$B$2:$D$16, 0,FALSE), IFERROR(VLOOKUP($A415,'Exetel ExDa'!$C$2:$N$14, 6,FALSE), IFERROR(VLOOKUP($A415,'Infinet ExDa'!$B$2:$E$14, 0,FALSE), "Not Found"))))))))</f>
        <v>FAST Fibre (NTU)</v>
      </c>
      <c r="G415">
        <f>IFERROR(VLOOKUP($A415,'AAPT ExDa'!$B$2:$U$99, 5,FALSE), IFERROR(VLOOKUP($A415,'ABB ExDa'!$A$2:$N$184, 8,FALSE), IFERROR(VLOOKUP($A415,'Vocus SIT ExDa'!$B$2:$J$173, 6,FALSE), IFERROR(VLOOKUP($A415,'Telstra ExDa'!$B$2:$K$310, 0,FALSE), IFERROR(VLOOKUP($A415,'Vocus RVC ExDa'!$C$2:$R$155, 15,FALSE), IFERROR(VLOOKUP($A415,'Fusion ExDa'!$B$2:$D$16, 0,FALSE), IFERROR(VLOOKUP($A415,'Exetel ExDa'!$C$2:$N$14, 7,FALSE), IFERROR(VLOOKUP($A415,'Infinet ExDa'!$B$2:$E$14, 0,FALSE), "Not Found"))))))))</f>
        <v>0</v>
      </c>
      <c r="H415" t="str">
        <f>IFERROR(VLOOKUP($A415,'AAPT ExDa'!$B$2:$U$99, 6,FALSE), IFERROR(VLOOKUP($A415,'ABB ExDa'!$A$2:$N$184, 0,FALSE), IFERROR(VLOOKUP($A415,'Vocus SIT ExDa'!$B$2:$J$173, 0,FALSE), IFERROR(VLOOKUP($A415,'Telstra ExDa'!$B$2:$K$310, 0,FALSE), IFERROR(VLOOKUP($A415,'Vocus RVC ExDa'!$C$2:$R$155, 16,FALSE), IFERROR(VLOOKUP($A415,'Fusion ExDa'!$B$2:$D$16, 0,FALSE), IFERROR(VLOOKUP($A415,'Exetel ExDa'!$C$2:$N$14, 0,FALSE), IFERROR(VLOOKUP($A415,'Infinet ExDa'!$B$2:$E$14, 0,FALSE), "Not Found"))))))))</f>
        <v>1000 Mbps; 48 Months</v>
      </c>
      <c r="I415" t="str">
        <f>IFERROR(VLOOKUP($A415,'AAPT ExDa'!$B$2:$U$99, 0,FALSE), IFERROR(VLOOKUP($A415,'ABB ExDa'!$A$2:$N$184, 0,FALSE), IFERROR(VLOOKUP($A415,'Vocus SIT ExDa'!$B$2:$J$173, 0,FALSE), IFERROR(VLOOKUP($A415,'Telstra ExDa'!$B$2:$K$310, 0,FALSE), IFERROR(VLOOKUP($A415,'Vocus RVC ExDa'!$C$2:$R$155, 0,FALSE), IFERROR(VLOOKUP($A415,'Fusion ExDa'!$B$2:$D$16, 0,FALSE), IFERROR(VLOOKUP($A415,'Exetel ExDa'!$C$2:$N$14, 8,FALSE), IFERROR(VLOOKUP($A415,'Infinet ExDa'!$B$2:$E$14, 0,FALSE), "Not Found"))))))))</f>
        <v>Not Found</v>
      </c>
      <c r="J415">
        <f>IFERROR(VLOOKUP($A415,'AAPT ExDa'!$B$2:$U$99, 7,FALSE), IFERROR(VLOOKUP($A415,'ABB ExDa'!$A$2:$N$184, 2,FALSE), IFERROR(VLOOKUP($A415,'Vocus SIT ExDa'!$B$2:$J$173, 0,FALSE), IFERROR(VLOOKUP($A415,'Telstra ExDa'!$B$2:$K$310, 7,FALSE), IFERROR(VLOOKUP($A415,'Vocus RVC ExDa'!$C$2:$R$155, 2,FALSE), IFERROR(VLOOKUP($A415,'Fusion ExDa'!$B$2:$D$16, 3,FALSE), IFERROR(VLOOKUP($A415,'Exetel ExDa'!$C$2:$N$14, 0,FALSE), IFERROR(VLOOKUP($A415,'Infinet ExDa'!$B$2:$E$14, 0,FALSE), "Not Found"))))))))</f>
        <v>0</v>
      </c>
      <c r="K415" t="str">
        <f>IFERROR(VLOOKUP($A415,'AAPT ExDa'!$B$2:$U$99, 12,FALSE), IFERROR(VLOOKUP($A415,'ABB ExDa'!$A$2:$N$184, 0,FALSE), IFERROR(VLOOKUP($A415,'Vocus SIT ExDa'!$B$2:$J$173, 0,FALSE), IFERROR(VLOOKUP($A415,'Telstra ExDa'!$B$2:$K$310, 0,FALSE), IFERROR(VLOOKUP($A415,'Vocus RVC ExDa'!$C$2:$R$155, 0,FALSE), IFERROR(VLOOKUP($A415,'Fusion ExDa'!$B$2:$D$16, 0,FALSE), IFERROR(VLOOKUP($A415,'Exetel ExDa'!$C$2:$N$14, 12,FALSE), IFERROR(VLOOKUP($A415,'Infinet ExDa'!$B$2:$E$14, 0,FALSE), "Not Found"))))))))</f>
        <v>48 Months</v>
      </c>
      <c r="L415" s="235">
        <f>IFERROR(VLOOKUP($A415,'AAPT ExDa'!$B$2:$U$99, 11,FALSE), IFERROR(VLOOKUP($A415,'ABB ExDa'!$A$2:$N$184, 9,FALSE), IFERROR(VLOOKUP($A415,'Vocus SIT ExDa'!$B$2:$J$173, 8,FALSE), IFERROR(VLOOKUP($A415,'Telstra ExDa'!$B$2:$K$310, 0,FALSE), IFERROR(VLOOKUP($A415,'Vocus RVC ExDa'!$C$2:$R$155, 0,FALSE), IFERROR(VLOOKUP($A415,'Fusion ExDa'!$B$2:$D$16, 0,FALSE), IFERROR(VLOOKUP($A415,'Exetel ExDa'!$C$2:$N$14, 9,FALSE), IFERROR(VLOOKUP($A415,'Infinet ExDa'!$B$2:$E$14, 0,FALSE), "Not Found"))))))))</f>
        <v>43961</v>
      </c>
      <c r="M415" s="234" t="str">
        <f>IFERROR(VLOOKUP($A415,'AAPT ExDa'!$B$2:$U$99, 0,FALSE), IFERROR(VLOOKUP($A415,'ABB ExDa'!$A$2:$N$184, 0,FALSE), IFERROR(VLOOKUP($A415,'Vocus SIT ExDa'!$B$2:$J$173, 0,FALSE), IFERROR(VLOOKUP($A415,'Telstra ExDa'!$B$2:$K$310, 0,FALSE), IFERROR(VLOOKUP($A415,'Vocus RVC ExDa'!$C$2:$R$155, 0,FALSE), IFERROR(VLOOKUP($A415,'Fusion ExDa'!$B$2:$D$16, 0,FALSE), IFERROR(VLOOKUP($A415,'Exetel ExDa'!$C$2:$N$14, 11,FALSE), IFERROR(VLOOKUP($A415,'Infinet ExDa'!$B$2:$E$14, 0,FALSE), "Not Found"))))))))</f>
        <v>Not Found</v>
      </c>
      <c r="N415" t="str">
        <f>IFERROR(VLOOKUP($A415,'AAPT ExDa'!$B$2:$U$99, 0,FALSE), IFERROR(VLOOKUP($A415,'ABB ExDa'!$A$2:$N$184, 13,FALSE), IFERROR(VLOOKUP($A415,'Vocus SIT ExDa'!$B$2:$J$173, 0,FALSE), IFERROR(VLOOKUP($A415,'Telstra ExDa'!$B$2:$K$310, 0,FALSE), IFERROR(VLOOKUP($A415,'Vocus RVC ExDa'!$C$2:$R$155, 0,FALSE), IFERROR(VLOOKUP($A415,'Fusion ExDa'!$B$2:$D$16, 0,FALSE), IFERROR(VLOOKUP($A415,'Exetel ExDa'!$C$2:$N$14, 0,FALSE), IFERROR(VLOOKUP($A415,'Infinet ExDa'!$B$2:$E$14, 0,FALSE), "Not Found"))))))))</f>
        <v>Not Found</v>
      </c>
    </row>
    <row r="416" spans="1:14">
      <c r="A416" t="str">
        <v>STA Consulting Engineers</v>
      </c>
      <c r="B416" t="str">
        <f>IFERROR(VLOOKUP(A416,'Exetel ExDa'!$C$2:$N$14,4,FALSE),"No Data")</f>
        <v>No Data</v>
      </c>
      <c r="C416" t="str">
        <f>IFERROR(VLOOKUP(A416,'AAPT ExDa'!$B$2:$U$99, 2,FALSE), IFERROR(VLOOKUP(A416,'ABB ExDa'!$A$2:$N$184, 2,FALSE), IFERROR(VLOOKUP(A416,'Vocus SIT ExDa'!$B$2:$J$173, 7,FALSE), IFERROR(VLOOKUP(A416,'Telstra ExDa'!$B$2:$K$310, 2,FALSE), IFERROR(VLOOKUP(A416,'Vocus RVC ExDa'!$C$2:$R$155, 3,FALSE), IFERROR(VLOOKUP(A416,'Fusion ExDa'!$B$2:$D$16, 2,FALSE), IFERROR(VLOOKUP(A416,'Exetel ExDa'!$C$2:$N$14, 2,FALSE), IFERROR(VLOOKUP(A416,'Infinet ExDa'!$B$2:$E$14, 2,FALSE), "Not Found"))))))))</f>
        <v xml:space="preserve"> oTtherie</v>
      </c>
      <c r="D416" t="str">
        <f>IFERROR(VLOOKUP($A416,'AAPT ExDa'!$B$2:$U$99, 15,FALSE), IFERROR(VLOOKUP($A416,'ABB ExDa'!$A$2:$N$184, 4,FALSE), IFERROR(VLOOKUP($A416,'Vocus SIT ExDa'!$B$2:$J$173, 5,FALSE), IFERROR(VLOOKUP($A416,'Telstra ExDa'!$B$2:$K$310, 8,FALSE), IFERROR(VLOOKUP($A416,'Vocus RVC ExDa'!$C$2:$R$155, 6,FALSE), IFERROR(VLOOKUP($A416,'Fusion ExDa'!$B$2:$D$16, 4,FALSE), IFERROR(VLOOKUP($A416,'Exetel ExDa'!$C$2:$N$14, 3,FALSE), IFERROR(VLOOKUP($A416,'Infinet ExDa'!$B$2:$E$14, 3,FALSE), "Not Found"))))))))</f>
        <v>AAPT</v>
      </c>
      <c r="E416" t="str">
        <f>IFERROR(VLOOKUP($A416,'AAPT ExDa'!$B$2:$U$99, 3,FALSE), IFERROR(VLOOKUP($A416,'ABB ExDa'!$A$2:$N$184, 5,FALSE), IFERROR(VLOOKUP($A416,'Vocus SIT ExDa'!$B$2:$J$173, 2,FALSE), IFERROR(VLOOKUP($A416,'Telstra ExDa'!$B$2:$K$310, 4,FALSE), IFERROR(VLOOKUP($A416,'Vocus RVC ExDa'!$C$2:$R$155, 8,FALSE), IFERROR(VLOOKUP($A416,'Fusion ExDa'!$B$2:$D$16, 4,FALSE), IFERROR(VLOOKUP($A416,'Exetel ExDa'!$C$2:$N$14, 5,FALSE), IFERROR(VLOOKUP($A416,'Infinet ExDa'!$B$2:$E$14, 3,FALSE), "Not Found"))))))))</f>
        <v>FAST Fibre</v>
      </c>
      <c r="F416" t="str">
        <f>IFERROR(VLOOKUP($A416,'AAPT ExDa'!$B$2:$U$99, 4,FALSE), IFERROR(VLOOKUP($A416,'ABB ExDa'!$A$2:$N$184, 6,FALSE), IFERROR(VLOOKUP($A416,'Vocus SIT ExDa'!$B$2:$J$173, 3,FALSE), IFERROR(VLOOKUP($A416,'Telstra ExDa'!$B$2:$K$310, 5,FALSE), IFERROR(VLOOKUP($A416,'Vocus RVC ExDa'!$C$2:$R$155, 9,FALSE), IFERROR(VLOOKUP($A416,'Fusion ExDa'!$B$2:$D$16, 0,FALSE), IFERROR(VLOOKUP($A416,'Exetel ExDa'!$C$2:$N$14, 6,FALSE), IFERROR(VLOOKUP($A416,'Infinet ExDa'!$B$2:$E$14, 0,FALSE), "Not Found"))))))))</f>
        <v>FAST Fibre (NTU)</v>
      </c>
      <c r="G416">
        <f>IFERROR(VLOOKUP($A416,'AAPT ExDa'!$B$2:$U$99, 5,FALSE), IFERROR(VLOOKUP($A416,'ABB ExDa'!$A$2:$N$184, 8,FALSE), IFERROR(VLOOKUP($A416,'Vocus SIT ExDa'!$B$2:$J$173, 6,FALSE), IFERROR(VLOOKUP($A416,'Telstra ExDa'!$B$2:$K$310, 0,FALSE), IFERROR(VLOOKUP($A416,'Vocus RVC ExDa'!$C$2:$R$155, 15,FALSE), IFERROR(VLOOKUP($A416,'Fusion ExDa'!$B$2:$D$16, 0,FALSE), IFERROR(VLOOKUP($A416,'Exetel ExDa'!$C$2:$N$14, 7,FALSE), IFERROR(VLOOKUP($A416,'Infinet ExDa'!$B$2:$E$14, 0,FALSE), "Not Found"))))))))</f>
        <v>0</v>
      </c>
      <c r="H416" t="str">
        <f>IFERROR(VLOOKUP($A416,'AAPT ExDa'!$B$2:$U$99, 6,FALSE), IFERROR(VLOOKUP($A416,'ABB ExDa'!$A$2:$N$184, 0,FALSE), IFERROR(VLOOKUP($A416,'Vocus SIT ExDa'!$B$2:$J$173, 0,FALSE), IFERROR(VLOOKUP($A416,'Telstra ExDa'!$B$2:$K$310, 0,FALSE), IFERROR(VLOOKUP($A416,'Vocus RVC ExDa'!$C$2:$R$155, 16,FALSE), IFERROR(VLOOKUP($A416,'Fusion ExDa'!$B$2:$D$16, 0,FALSE), IFERROR(VLOOKUP($A416,'Exetel ExDa'!$C$2:$N$14, 0,FALSE), IFERROR(VLOOKUP($A416,'Infinet ExDa'!$B$2:$E$14, 0,FALSE), "Not Found"))))))))</f>
        <v>1000 Mbps; 48 Months</v>
      </c>
      <c r="I416" t="str">
        <f>IFERROR(VLOOKUP($A416,'AAPT ExDa'!$B$2:$U$99, 0,FALSE), IFERROR(VLOOKUP($A416,'ABB ExDa'!$A$2:$N$184, 0,FALSE), IFERROR(VLOOKUP($A416,'Vocus SIT ExDa'!$B$2:$J$173, 0,FALSE), IFERROR(VLOOKUP($A416,'Telstra ExDa'!$B$2:$K$310, 0,FALSE), IFERROR(VLOOKUP($A416,'Vocus RVC ExDa'!$C$2:$R$155, 0,FALSE), IFERROR(VLOOKUP($A416,'Fusion ExDa'!$B$2:$D$16, 0,FALSE), IFERROR(VLOOKUP($A416,'Exetel ExDa'!$C$2:$N$14, 8,FALSE), IFERROR(VLOOKUP($A416,'Infinet ExDa'!$B$2:$E$14, 0,FALSE), "Not Found"))))))))</f>
        <v>Not Found</v>
      </c>
      <c r="J416">
        <f>IFERROR(VLOOKUP($A416,'AAPT ExDa'!$B$2:$U$99, 7,FALSE), IFERROR(VLOOKUP($A416,'ABB ExDa'!$A$2:$N$184, 2,FALSE), IFERROR(VLOOKUP($A416,'Vocus SIT ExDa'!$B$2:$J$173, 0,FALSE), IFERROR(VLOOKUP($A416,'Telstra ExDa'!$B$2:$K$310, 7,FALSE), IFERROR(VLOOKUP($A416,'Vocus RVC ExDa'!$C$2:$R$155, 2,FALSE), IFERROR(VLOOKUP($A416,'Fusion ExDa'!$B$2:$D$16, 3,FALSE), IFERROR(VLOOKUP($A416,'Exetel ExDa'!$C$2:$N$14, 0,FALSE), IFERROR(VLOOKUP($A416,'Infinet ExDa'!$B$2:$E$14, 0,FALSE), "Not Found"))))))))</f>
        <v>0</v>
      </c>
      <c r="K416" t="str">
        <f>IFERROR(VLOOKUP($A416,'AAPT ExDa'!$B$2:$U$99, 12,FALSE), IFERROR(VLOOKUP($A416,'ABB ExDa'!$A$2:$N$184, 0,FALSE), IFERROR(VLOOKUP($A416,'Vocus SIT ExDa'!$B$2:$J$173, 0,FALSE), IFERROR(VLOOKUP($A416,'Telstra ExDa'!$B$2:$K$310, 0,FALSE), IFERROR(VLOOKUP($A416,'Vocus RVC ExDa'!$C$2:$R$155, 0,FALSE), IFERROR(VLOOKUP($A416,'Fusion ExDa'!$B$2:$D$16, 0,FALSE), IFERROR(VLOOKUP($A416,'Exetel ExDa'!$C$2:$N$14, 12,FALSE), IFERROR(VLOOKUP($A416,'Infinet ExDa'!$B$2:$E$14, 0,FALSE), "Not Found"))))))))</f>
        <v>48 Months</v>
      </c>
      <c r="L416" s="235">
        <f>IFERROR(VLOOKUP($A416,'AAPT ExDa'!$B$2:$U$99, 11,FALSE), IFERROR(VLOOKUP($A416,'ABB ExDa'!$A$2:$N$184, 9,FALSE), IFERROR(VLOOKUP($A416,'Vocus SIT ExDa'!$B$2:$J$173, 8,FALSE), IFERROR(VLOOKUP($A416,'Telstra ExDa'!$B$2:$K$310, 0,FALSE), IFERROR(VLOOKUP($A416,'Vocus RVC ExDa'!$C$2:$R$155, 0,FALSE), IFERROR(VLOOKUP($A416,'Fusion ExDa'!$B$2:$D$16, 0,FALSE), IFERROR(VLOOKUP($A416,'Exetel ExDa'!$C$2:$N$14, 9,FALSE), IFERROR(VLOOKUP($A416,'Infinet ExDa'!$B$2:$E$14, 0,FALSE), "Not Found"))))))))</f>
        <v>43961</v>
      </c>
      <c r="M416" s="234" t="str">
        <f>IFERROR(VLOOKUP($A416,'AAPT ExDa'!$B$2:$U$99, 0,FALSE), IFERROR(VLOOKUP($A416,'ABB ExDa'!$A$2:$N$184, 0,FALSE), IFERROR(VLOOKUP($A416,'Vocus SIT ExDa'!$B$2:$J$173, 0,FALSE), IFERROR(VLOOKUP($A416,'Telstra ExDa'!$B$2:$K$310, 0,FALSE), IFERROR(VLOOKUP($A416,'Vocus RVC ExDa'!$C$2:$R$155, 0,FALSE), IFERROR(VLOOKUP($A416,'Fusion ExDa'!$B$2:$D$16, 0,FALSE), IFERROR(VLOOKUP($A416,'Exetel ExDa'!$C$2:$N$14, 11,FALSE), IFERROR(VLOOKUP($A416,'Infinet ExDa'!$B$2:$E$14, 0,FALSE), "Not Found"))))))))</f>
        <v>Not Found</v>
      </c>
      <c r="N416" t="str">
        <f>IFERROR(VLOOKUP($A416,'AAPT ExDa'!$B$2:$U$99, 0,FALSE), IFERROR(VLOOKUP($A416,'ABB ExDa'!$A$2:$N$184, 13,FALSE), IFERROR(VLOOKUP($A416,'Vocus SIT ExDa'!$B$2:$J$173, 0,FALSE), IFERROR(VLOOKUP($A416,'Telstra ExDa'!$B$2:$K$310, 0,FALSE), IFERROR(VLOOKUP($A416,'Vocus RVC ExDa'!$C$2:$R$155, 0,FALSE), IFERROR(VLOOKUP($A416,'Fusion ExDa'!$B$2:$D$16, 0,FALSE), IFERROR(VLOOKUP($A416,'Exetel ExDa'!$C$2:$N$14, 0,FALSE), IFERROR(VLOOKUP($A416,'Infinet ExDa'!$B$2:$E$14, 0,FALSE), "Not Found"))))))))</f>
        <v>Not Found</v>
      </c>
    </row>
    <row r="417" spans="1:14">
      <c r="A417" t="str">
        <v>STA Consulting Engineers</v>
      </c>
      <c r="B417" t="str">
        <f>IFERROR(VLOOKUP(A417,'Exetel ExDa'!$C$2:$N$14,4,FALSE),"No Data")</f>
        <v>No Data</v>
      </c>
      <c r="C417" t="str">
        <f>IFERROR(VLOOKUP(A417,'AAPT ExDa'!$B$2:$U$99, 2,FALSE), IFERROR(VLOOKUP(A417,'ABB ExDa'!$A$2:$N$184, 2,FALSE), IFERROR(VLOOKUP(A417,'Vocus SIT ExDa'!$B$2:$J$173, 7,FALSE), IFERROR(VLOOKUP(A417,'Telstra ExDa'!$B$2:$K$310, 2,FALSE), IFERROR(VLOOKUP(A417,'Vocus RVC ExDa'!$C$2:$R$155, 3,FALSE), IFERROR(VLOOKUP(A417,'Fusion ExDa'!$B$2:$D$16, 2,FALSE), IFERROR(VLOOKUP(A417,'Exetel ExDa'!$C$2:$N$14, 2,FALSE), IFERROR(VLOOKUP(A417,'Infinet ExDa'!$B$2:$E$14, 2,FALSE), "Not Found"))))))))</f>
        <v xml:space="preserve"> oTtherie</v>
      </c>
      <c r="D417" t="str">
        <f>IFERROR(VLOOKUP($A417,'AAPT ExDa'!$B$2:$U$99, 15,FALSE), IFERROR(VLOOKUP($A417,'ABB ExDa'!$A$2:$N$184, 4,FALSE), IFERROR(VLOOKUP($A417,'Vocus SIT ExDa'!$B$2:$J$173, 5,FALSE), IFERROR(VLOOKUP($A417,'Telstra ExDa'!$B$2:$K$310, 8,FALSE), IFERROR(VLOOKUP($A417,'Vocus RVC ExDa'!$C$2:$R$155, 6,FALSE), IFERROR(VLOOKUP($A417,'Fusion ExDa'!$B$2:$D$16, 4,FALSE), IFERROR(VLOOKUP($A417,'Exetel ExDa'!$C$2:$N$14, 3,FALSE), IFERROR(VLOOKUP($A417,'Infinet ExDa'!$B$2:$E$14, 3,FALSE), "Not Found"))))))))</f>
        <v>AAPT</v>
      </c>
      <c r="E417" t="str">
        <f>IFERROR(VLOOKUP($A417,'AAPT ExDa'!$B$2:$U$99, 3,FALSE), IFERROR(VLOOKUP($A417,'ABB ExDa'!$A$2:$N$184, 5,FALSE), IFERROR(VLOOKUP($A417,'Vocus SIT ExDa'!$B$2:$J$173, 2,FALSE), IFERROR(VLOOKUP($A417,'Telstra ExDa'!$B$2:$K$310, 4,FALSE), IFERROR(VLOOKUP($A417,'Vocus RVC ExDa'!$C$2:$R$155, 8,FALSE), IFERROR(VLOOKUP($A417,'Fusion ExDa'!$B$2:$D$16, 4,FALSE), IFERROR(VLOOKUP($A417,'Exetel ExDa'!$C$2:$N$14, 5,FALSE), IFERROR(VLOOKUP($A417,'Infinet ExDa'!$B$2:$E$14, 3,FALSE), "Not Found"))))))))</f>
        <v>FAST Fibre</v>
      </c>
      <c r="F417" t="str">
        <f>IFERROR(VLOOKUP($A417,'AAPT ExDa'!$B$2:$U$99, 4,FALSE), IFERROR(VLOOKUP($A417,'ABB ExDa'!$A$2:$N$184, 6,FALSE), IFERROR(VLOOKUP($A417,'Vocus SIT ExDa'!$B$2:$J$173, 3,FALSE), IFERROR(VLOOKUP($A417,'Telstra ExDa'!$B$2:$K$310, 5,FALSE), IFERROR(VLOOKUP($A417,'Vocus RVC ExDa'!$C$2:$R$155, 9,FALSE), IFERROR(VLOOKUP($A417,'Fusion ExDa'!$B$2:$D$16, 0,FALSE), IFERROR(VLOOKUP($A417,'Exetel ExDa'!$C$2:$N$14, 6,FALSE), IFERROR(VLOOKUP($A417,'Infinet ExDa'!$B$2:$E$14, 0,FALSE), "Not Found"))))))))</f>
        <v>FAST Fibre (NTU)</v>
      </c>
      <c r="G417">
        <f>IFERROR(VLOOKUP($A417,'AAPT ExDa'!$B$2:$U$99, 5,FALSE), IFERROR(VLOOKUP($A417,'ABB ExDa'!$A$2:$N$184, 8,FALSE), IFERROR(VLOOKUP($A417,'Vocus SIT ExDa'!$B$2:$J$173, 6,FALSE), IFERROR(VLOOKUP($A417,'Telstra ExDa'!$B$2:$K$310, 0,FALSE), IFERROR(VLOOKUP($A417,'Vocus RVC ExDa'!$C$2:$R$155, 15,FALSE), IFERROR(VLOOKUP($A417,'Fusion ExDa'!$B$2:$D$16, 0,FALSE), IFERROR(VLOOKUP($A417,'Exetel ExDa'!$C$2:$N$14, 7,FALSE), IFERROR(VLOOKUP($A417,'Infinet ExDa'!$B$2:$E$14, 0,FALSE), "Not Found"))))))))</f>
        <v>0</v>
      </c>
      <c r="H417" t="str">
        <f>IFERROR(VLOOKUP($A417,'AAPT ExDa'!$B$2:$U$99, 6,FALSE), IFERROR(VLOOKUP($A417,'ABB ExDa'!$A$2:$N$184, 0,FALSE), IFERROR(VLOOKUP($A417,'Vocus SIT ExDa'!$B$2:$J$173, 0,FALSE), IFERROR(VLOOKUP($A417,'Telstra ExDa'!$B$2:$K$310, 0,FALSE), IFERROR(VLOOKUP($A417,'Vocus RVC ExDa'!$C$2:$R$155, 16,FALSE), IFERROR(VLOOKUP($A417,'Fusion ExDa'!$B$2:$D$16, 0,FALSE), IFERROR(VLOOKUP($A417,'Exetel ExDa'!$C$2:$N$14, 0,FALSE), IFERROR(VLOOKUP($A417,'Infinet ExDa'!$B$2:$E$14, 0,FALSE), "Not Found"))))))))</f>
        <v>1000 Mbps; 48 Months</v>
      </c>
      <c r="I417" t="str">
        <f>IFERROR(VLOOKUP($A417,'AAPT ExDa'!$B$2:$U$99, 0,FALSE), IFERROR(VLOOKUP($A417,'ABB ExDa'!$A$2:$N$184, 0,FALSE), IFERROR(VLOOKUP($A417,'Vocus SIT ExDa'!$B$2:$J$173, 0,FALSE), IFERROR(VLOOKUP($A417,'Telstra ExDa'!$B$2:$K$310, 0,FALSE), IFERROR(VLOOKUP($A417,'Vocus RVC ExDa'!$C$2:$R$155, 0,FALSE), IFERROR(VLOOKUP($A417,'Fusion ExDa'!$B$2:$D$16, 0,FALSE), IFERROR(VLOOKUP($A417,'Exetel ExDa'!$C$2:$N$14, 8,FALSE), IFERROR(VLOOKUP($A417,'Infinet ExDa'!$B$2:$E$14, 0,FALSE), "Not Found"))))))))</f>
        <v>Not Found</v>
      </c>
      <c r="J417">
        <f>IFERROR(VLOOKUP($A417,'AAPT ExDa'!$B$2:$U$99, 7,FALSE), IFERROR(VLOOKUP($A417,'ABB ExDa'!$A$2:$N$184, 2,FALSE), IFERROR(VLOOKUP($A417,'Vocus SIT ExDa'!$B$2:$J$173, 0,FALSE), IFERROR(VLOOKUP($A417,'Telstra ExDa'!$B$2:$K$310, 7,FALSE), IFERROR(VLOOKUP($A417,'Vocus RVC ExDa'!$C$2:$R$155, 2,FALSE), IFERROR(VLOOKUP($A417,'Fusion ExDa'!$B$2:$D$16, 3,FALSE), IFERROR(VLOOKUP($A417,'Exetel ExDa'!$C$2:$N$14, 0,FALSE), IFERROR(VLOOKUP($A417,'Infinet ExDa'!$B$2:$E$14, 0,FALSE), "Not Found"))))))))</f>
        <v>0</v>
      </c>
      <c r="K417" t="str">
        <f>IFERROR(VLOOKUP($A417,'AAPT ExDa'!$B$2:$U$99, 12,FALSE), IFERROR(VLOOKUP($A417,'ABB ExDa'!$A$2:$N$184, 0,FALSE), IFERROR(VLOOKUP($A417,'Vocus SIT ExDa'!$B$2:$J$173, 0,FALSE), IFERROR(VLOOKUP($A417,'Telstra ExDa'!$B$2:$K$310, 0,FALSE), IFERROR(VLOOKUP($A417,'Vocus RVC ExDa'!$C$2:$R$155, 0,FALSE), IFERROR(VLOOKUP($A417,'Fusion ExDa'!$B$2:$D$16, 0,FALSE), IFERROR(VLOOKUP($A417,'Exetel ExDa'!$C$2:$N$14, 12,FALSE), IFERROR(VLOOKUP($A417,'Infinet ExDa'!$B$2:$E$14, 0,FALSE), "Not Found"))))))))</f>
        <v>48 Months</v>
      </c>
      <c r="L417" s="235">
        <f>IFERROR(VLOOKUP($A417,'AAPT ExDa'!$B$2:$U$99, 11,FALSE), IFERROR(VLOOKUP($A417,'ABB ExDa'!$A$2:$N$184, 9,FALSE), IFERROR(VLOOKUP($A417,'Vocus SIT ExDa'!$B$2:$J$173, 8,FALSE), IFERROR(VLOOKUP($A417,'Telstra ExDa'!$B$2:$K$310, 0,FALSE), IFERROR(VLOOKUP($A417,'Vocus RVC ExDa'!$C$2:$R$155, 0,FALSE), IFERROR(VLOOKUP($A417,'Fusion ExDa'!$B$2:$D$16, 0,FALSE), IFERROR(VLOOKUP($A417,'Exetel ExDa'!$C$2:$N$14, 9,FALSE), IFERROR(VLOOKUP($A417,'Infinet ExDa'!$B$2:$E$14, 0,FALSE), "Not Found"))))))))</f>
        <v>43961</v>
      </c>
      <c r="M417" s="234" t="str">
        <f>IFERROR(VLOOKUP($A417,'AAPT ExDa'!$B$2:$U$99, 0,FALSE), IFERROR(VLOOKUP($A417,'ABB ExDa'!$A$2:$N$184, 0,FALSE), IFERROR(VLOOKUP($A417,'Vocus SIT ExDa'!$B$2:$J$173, 0,FALSE), IFERROR(VLOOKUP($A417,'Telstra ExDa'!$B$2:$K$310, 0,FALSE), IFERROR(VLOOKUP($A417,'Vocus RVC ExDa'!$C$2:$R$155, 0,FALSE), IFERROR(VLOOKUP($A417,'Fusion ExDa'!$B$2:$D$16, 0,FALSE), IFERROR(VLOOKUP($A417,'Exetel ExDa'!$C$2:$N$14, 11,FALSE), IFERROR(VLOOKUP($A417,'Infinet ExDa'!$B$2:$E$14, 0,FALSE), "Not Found"))))))))</f>
        <v>Not Found</v>
      </c>
      <c r="N417" t="str">
        <f>IFERROR(VLOOKUP($A417,'AAPT ExDa'!$B$2:$U$99, 0,FALSE), IFERROR(VLOOKUP($A417,'ABB ExDa'!$A$2:$N$184, 13,FALSE), IFERROR(VLOOKUP($A417,'Vocus SIT ExDa'!$B$2:$J$173, 0,FALSE), IFERROR(VLOOKUP($A417,'Telstra ExDa'!$B$2:$K$310, 0,FALSE), IFERROR(VLOOKUP($A417,'Vocus RVC ExDa'!$C$2:$R$155, 0,FALSE), IFERROR(VLOOKUP($A417,'Fusion ExDa'!$B$2:$D$16, 0,FALSE), IFERROR(VLOOKUP($A417,'Exetel ExDa'!$C$2:$N$14, 0,FALSE), IFERROR(VLOOKUP($A417,'Infinet ExDa'!$B$2:$E$14, 0,FALSE), "Not Found"))))))))</f>
        <v>Not Found</v>
      </c>
    </row>
    <row r="418" spans="1:14">
      <c r="A418">
        <v>0</v>
      </c>
      <c r="B418" t="str">
        <f>IFERROR(VLOOKUP(A418,'Exetel ExDa'!$C$2:$N$14,4,FALSE),"No Data")</f>
        <v>No Data</v>
      </c>
      <c r="C418" t="str">
        <f>IFERROR(VLOOKUP(A418,'AAPT ExDa'!$B$2:$U$99, 2,FALSE), IFERROR(VLOOKUP(A418,'ABB ExDa'!$A$2:$N$184, 2,FALSE), IFERROR(VLOOKUP(A418,'Vocus SIT ExDa'!$B$2:$J$173, 7,FALSE), IFERROR(VLOOKUP(A418,'Telstra ExDa'!$B$2:$K$310, 2,FALSE), IFERROR(VLOOKUP(A418,'Vocus RVC ExDa'!$C$2:$R$155, 3,FALSE), IFERROR(VLOOKUP(A418,'Fusion ExDa'!$B$2:$D$16, 2,FALSE), IFERROR(VLOOKUP(A418,'Exetel ExDa'!$C$2:$N$14, 2,FALSE), IFERROR(VLOOKUP(A418,'Infinet ExDa'!$B$2:$E$14, 2,FALSE), "Not Found"))))))))</f>
        <v>Not Found</v>
      </c>
      <c r="D418" t="str">
        <f>IFERROR(VLOOKUP($A418,'AAPT ExDa'!$B$2:$U$99, 15,FALSE), IFERROR(VLOOKUP($A418,'ABB ExDa'!$A$2:$N$184, 4,FALSE), IFERROR(VLOOKUP($A418,'Vocus SIT ExDa'!$B$2:$J$173, 5,FALSE), IFERROR(VLOOKUP($A418,'Telstra ExDa'!$B$2:$K$310, 8,FALSE), IFERROR(VLOOKUP($A418,'Vocus RVC ExDa'!$C$2:$R$155, 6,FALSE), IFERROR(VLOOKUP($A418,'Fusion ExDa'!$B$2:$D$16, 4,FALSE), IFERROR(VLOOKUP($A418,'Exetel ExDa'!$C$2:$N$14, 3,FALSE), IFERROR(VLOOKUP($A418,'Infinet ExDa'!$B$2:$E$14, 3,FALSE), "Not Found"))))))))</f>
        <v>Not Found</v>
      </c>
      <c r="E418" t="str">
        <f>IFERROR(VLOOKUP($A418,'AAPT ExDa'!$B$2:$U$99, 3,FALSE), IFERROR(VLOOKUP($A418,'ABB ExDa'!$A$2:$N$184, 5,FALSE), IFERROR(VLOOKUP($A418,'Vocus SIT ExDa'!$B$2:$J$173, 2,FALSE), IFERROR(VLOOKUP($A418,'Telstra ExDa'!$B$2:$K$310, 4,FALSE), IFERROR(VLOOKUP($A418,'Vocus RVC ExDa'!$C$2:$R$155, 8,FALSE), IFERROR(VLOOKUP($A418,'Fusion ExDa'!$B$2:$D$16, 4,FALSE), IFERROR(VLOOKUP($A418,'Exetel ExDa'!$C$2:$N$14, 5,FALSE), IFERROR(VLOOKUP($A418,'Infinet ExDa'!$B$2:$E$14, 3,FALSE), "Not Found"))))))))</f>
        <v>Not Found</v>
      </c>
      <c r="F418" t="str">
        <f>IFERROR(VLOOKUP($A418,'AAPT ExDa'!$B$2:$U$99, 4,FALSE), IFERROR(VLOOKUP($A418,'ABB ExDa'!$A$2:$N$184, 6,FALSE), IFERROR(VLOOKUP($A418,'Vocus SIT ExDa'!$B$2:$J$173, 3,FALSE), IFERROR(VLOOKUP($A418,'Telstra ExDa'!$B$2:$K$310, 5,FALSE), IFERROR(VLOOKUP($A418,'Vocus RVC ExDa'!$C$2:$R$155, 9,FALSE), IFERROR(VLOOKUP($A418,'Fusion ExDa'!$B$2:$D$16, 0,FALSE), IFERROR(VLOOKUP($A418,'Exetel ExDa'!$C$2:$N$14, 6,FALSE), IFERROR(VLOOKUP($A418,'Infinet ExDa'!$B$2:$E$14, 0,FALSE), "Not Found"))))))))</f>
        <v>Not Found</v>
      </c>
      <c r="G418" t="str">
        <f>IFERROR(VLOOKUP($A418,'AAPT ExDa'!$B$2:$U$99, 5,FALSE), IFERROR(VLOOKUP($A418,'ABB ExDa'!$A$2:$N$184, 8,FALSE), IFERROR(VLOOKUP($A418,'Vocus SIT ExDa'!$B$2:$J$173, 6,FALSE), IFERROR(VLOOKUP($A418,'Telstra ExDa'!$B$2:$K$310, 0,FALSE), IFERROR(VLOOKUP($A418,'Vocus RVC ExDa'!$C$2:$R$155, 15,FALSE), IFERROR(VLOOKUP($A418,'Fusion ExDa'!$B$2:$D$16, 0,FALSE), IFERROR(VLOOKUP($A418,'Exetel ExDa'!$C$2:$N$14, 7,FALSE), IFERROR(VLOOKUP($A418,'Infinet ExDa'!$B$2:$E$14, 0,FALSE), "Not Found"))))))))</f>
        <v>Not Found</v>
      </c>
      <c r="H418" t="str">
        <f>IFERROR(VLOOKUP($A418,'AAPT ExDa'!$B$2:$U$99, 6,FALSE), IFERROR(VLOOKUP($A418,'ABB ExDa'!$A$2:$N$184, 0,FALSE), IFERROR(VLOOKUP($A418,'Vocus SIT ExDa'!$B$2:$J$173, 0,FALSE), IFERROR(VLOOKUP($A418,'Telstra ExDa'!$B$2:$K$310, 0,FALSE), IFERROR(VLOOKUP($A418,'Vocus RVC ExDa'!$C$2:$R$155, 16,FALSE), IFERROR(VLOOKUP($A418,'Fusion ExDa'!$B$2:$D$16, 0,FALSE), IFERROR(VLOOKUP($A418,'Exetel ExDa'!$C$2:$N$14, 0,FALSE), IFERROR(VLOOKUP($A418,'Infinet ExDa'!$B$2:$E$14, 0,FALSE), "Not Found"))))))))</f>
        <v>Not Found</v>
      </c>
      <c r="I418" t="str">
        <f>IFERROR(VLOOKUP($A418,'AAPT ExDa'!$B$2:$U$99, 0,FALSE), IFERROR(VLOOKUP($A418,'ABB ExDa'!$A$2:$N$184, 0,FALSE), IFERROR(VLOOKUP($A418,'Vocus SIT ExDa'!$B$2:$J$173, 0,FALSE), IFERROR(VLOOKUP($A418,'Telstra ExDa'!$B$2:$K$310, 0,FALSE), IFERROR(VLOOKUP($A418,'Vocus RVC ExDa'!$C$2:$R$155, 0,FALSE), IFERROR(VLOOKUP($A418,'Fusion ExDa'!$B$2:$D$16, 0,FALSE), IFERROR(VLOOKUP($A418,'Exetel ExDa'!$C$2:$N$14, 8,FALSE), IFERROR(VLOOKUP($A418,'Infinet ExDa'!$B$2:$E$14, 0,FALSE), "Not Found"))))))))</f>
        <v>Not Found</v>
      </c>
      <c r="J418" t="str">
        <f>IFERROR(VLOOKUP($A418,'AAPT ExDa'!$B$2:$U$99, 7,FALSE), IFERROR(VLOOKUP($A418,'ABB ExDa'!$A$2:$N$184, 2,FALSE), IFERROR(VLOOKUP($A418,'Vocus SIT ExDa'!$B$2:$J$173, 0,FALSE), IFERROR(VLOOKUP($A418,'Telstra ExDa'!$B$2:$K$310, 7,FALSE), IFERROR(VLOOKUP($A418,'Vocus RVC ExDa'!$C$2:$R$155, 2,FALSE), IFERROR(VLOOKUP($A418,'Fusion ExDa'!$B$2:$D$16, 3,FALSE), IFERROR(VLOOKUP($A418,'Exetel ExDa'!$C$2:$N$14, 0,FALSE), IFERROR(VLOOKUP($A418,'Infinet ExDa'!$B$2:$E$14, 0,FALSE), "Not Found"))))))))</f>
        <v>Not Found</v>
      </c>
      <c r="K418" t="str">
        <f>IFERROR(VLOOKUP($A418,'AAPT ExDa'!$B$2:$U$99, 12,FALSE), IFERROR(VLOOKUP($A418,'ABB ExDa'!$A$2:$N$184, 0,FALSE), IFERROR(VLOOKUP($A418,'Vocus SIT ExDa'!$B$2:$J$173, 0,FALSE), IFERROR(VLOOKUP($A418,'Telstra ExDa'!$B$2:$K$310, 0,FALSE), IFERROR(VLOOKUP($A418,'Vocus RVC ExDa'!$C$2:$R$155, 0,FALSE), IFERROR(VLOOKUP($A418,'Fusion ExDa'!$B$2:$D$16, 0,FALSE), IFERROR(VLOOKUP($A418,'Exetel ExDa'!$C$2:$N$14, 12,FALSE), IFERROR(VLOOKUP($A418,'Infinet ExDa'!$B$2:$E$14, 0,FALSE), "Not Found"))))))))</f>
        <v>Not Found</v>
      </c>
      <c r="L418" s="235" t="str">
        <f>IFERROR(VLOOKUP($A418,'AAPT ExDa'!$B$2:$U$99, 11,FALSE), IFERROR(VLOOKUP($A418,'ABB ExDa'!$A$2:$N$184, 9,FALSE), IFERROR(VLOOKUP($A418,'Vocus SIT ExDa'!$B$2:$J$173, 8,FALSE), IFERROR(VLOOKUP($A418,'Telstra ExDa'!$B$2:$K$310, 0,FALSE), IFERROR(VLOOKUP($A418,'Vocus RVC ExDa'!$C$2:$R$155, 0,FALSE), IFERROR(VLOOKUP($A418,'Fusion ExDa'!$B$2:$D$16, 0,FALSE), IFERROR(VLOOKUP($A418,'Exetel ExDa'!$C$2:$N$14, 9,FALSE), IFERROR(VLOOKUP($A418,'Infinet ExDa'!$B$2:$E$14, 0,FALSE), "Not Found"))))))))</f>
        <v>Not Found</v>
      </c>
      <c r="M418" s="234" t="str">
        <f>IFERROR(VLOOKUP($A418,'AAPT ExDa'!$B$2:$U$99, 0,FALSE), IFERROR(VLOOKUP($A418,'ABB ExDa'!$A$2:$N$184, 0,FALSE), IFERROR(VLOOKUP($A418,'Vocus SIT ExDa'!$B$2:$J$173, 0,FALSE), IFERROR(VLOOKUP($A418,'Telstra ExDa'!$B$2:$K$310, 0,FALSE), IFERROR(VLOOKUP($A418,'Vocus RVC ExDa'!$C$2:$R$155, 0,FALSE), IFERROR(VLOOKUP($A418,'Fusion ExDa'!$B$2:$D$16, 0,FALSE), IFERROR(VLOOKUP($A418,'Exetel ExDa'!$C$2:$N$14, 11,FALSE), IFERROR(VLOOKUP($A418,'Infinet ExDa'!$B$2:$E$14, 0,FALSE), "Not Found"))))))))</f>
        <v>Not Found</v>
      </c>
      <c r="N418" t="str">
        <f>IFERROR(VLOOKUP($A418,'AAPT ExDa'!$B$2:$U$99, 0,FALSE), IFERROR(VLOOKUP($A418,'ABB ExDa'!$A$2:$N$184, 13,FALSE), IFERROR(VLOOKUP($A418,'Vocus SIT ExDa'!$B$2:$J$173, 0,FALSE), IFERROR(VLOOKUP($A418,'Telstra ExDa'!$B$2:$K$310, 0,FALSE), IFERROR(VLOOKUP($A418,'Vocus RVC ExDa'!$C$2:$R$155, 0,FALSE), IFERROR(VLOOKUP($A418,'Fusion ExDa'!$B$2:$D$16, 0,FALSE), IFERROR(VLOOKUP($A418,'Exetel ExDa'!$C$2:$N$14, 0,FALSE), IFERROR(VLOOKUP($A418,'Infinet ExDa'!$B$2:$E$14, 0,FALSE), "Not Found"))))))))</f>
        <v>Not Found</v>
      </c>
    </row>
    <row r="419" spans="1:14">
      <c r="A419" t="str">
        <v>Vineyards</v>
      </c>
      <c r="B419" t="str">
        <f>IFERROR(VLOOKUP(A419,'Exetel ExDa'!$C$2:$N$14,4,FALSE),"No Data")</f>
        <v>No Data</v>
      </c>
      <c r="C419" t="str">
        <f>IFERROR(VLOOKUP(A419,'AAPT ExDa'!$B$2:$U$99, 2,FALSE), IFERROR(VLOOKUP(A419,'ABB ExDa'!$A$2:$N$184, 2,FALSE), IFERROR(VLOOKUP(A419,'Vocus SIT ExDa'!$B$2:$J$173, 7,FALSE), IFERROR(VLOOKUP(A419,'Telstra ExDa'!$B$2:$K$310, 2,FALSE), IFERROR(VLOOKUP(A419,'Vocus RVC ExDa'!$C$2:$R$155, 3,FALSE), IFERROR(VLOOKUP(A419,'Fusion ExDa'!$B$2:$D$16, 2,FALSE), IFERROR(VLOOKUP(A419,'Exetel ExDa'!$C$2:$N$14, 2,FALSE), IFERROR(VLOOKUP(A419,'Infinet ExDa'!$B$2:$E$14, 2,FALSE), "Not Found"))))))))</f>
        <v>Unit 5, 28 Metroplex Avenue, MURARRIE QLD 4173</v>
      </c>
      <c r="D419" t="str">
        <f>IFERROR(VLOOKUP($A419,'AAPT ExDa'!$B$2:$U$99, 15,FALSE), IFERROR(VLOOKUP($A419,'ABB ExDa'!$A$2:$N$184, 4,FALSE), IFERROR(VLOOKUP($A419,'Vocus SIT ExDa'!$B$2:$J$173, 5,FALSE), IFERROR(VLOOKUP($A419,'Telstra ExDa'!$B$2:$K$310, 8,FALSE), IFERROR(VLOOKUP($A419,'Vocus RVC ExDa'!$C$2:$R$155, 6,FALSE), IFERROR(VLOOKUP($A419,'Fusion ExDa'!$B$2:$D$16, 4,FALSE), IFERROR(VLOOKUP($A419,'Exetel ExDa'!$C$2:$N$14, 3,FALSE), IFERROR(VLOOKUP($A419,'Infinet ExDa'!$B$2:$E$14, 3,FALSE), "Not Found"))))))))</f>
        <v>Vocus SIT</v>
      </c>
      <c r="E419" t="str">
        <f>IFERROR(VLOOKUP($A419,'AAPT ExDa'!$B$2:$U$99, 3,FALSE), IFERROR(VLOOKUP($A419,'ABB ExDa'!$A$2:$N$184, 5,FALSE), IFERROR(VLOOKUP($A419,'Vocus SIT ExDa'!$B$2:$J$173, 2,FALSE), IFERROR(VLOOKUP($A419,'Telstra ExDa'!$B$2:$K$310, 4,FALSE), IFERROR(VLOOKUP($A419,'Vocus RVC ExDa'!$C$2:$R$155, 8,FALSE), IFERROR(VLOOKUP($A419,'Fusion ExDa'!$B$2:$D$16, 4,FALSE), IFERROR(VLOOKUP($A419,'Exetel ExDa'!$C$2:$N$14, 5,FALSE), IFERROR(VLOOKUP($A419,'Infinet ExDa'!$B$2:$E$14, 3,FALSE), "Not Found"))))))))</f>
        <v>Voice Service</v>
      </c>
      <c r="F419" t="str">
        <f>IFERROR(VLOOKUP($A419,'AAPT ExDa'!$B$2:$U$99, 4,FALSE), IFERROR(VLOOKUP($A419,'ABB ExDa'!$A$2:$N$184, 6,FALSE), IFERROR(VLOOKUP($A419,'Vocus SIT ExDa'!$B$2:$J$173, 3,FALSE), IFERROR(VLOOKUP($A419,'Telstra ExDa'!$B$2:$K$310, 5,FALSE), IFERROR(VLOOKUP($A419,'Vocus RVC ExDa'!$C$2:$R$155, 9,FALSE), IFERROR(VLOOKUP($A419,'Fusion ExDa'!$B$2:$D$16, 0,FALSE), IFERROR(VLOOKUP($A419,'Exetel ExDa'!$C$2:$N$14, 6,FALSE), IFERROR(VLOOKUP($A419,'Infinet ExDa'!$B$2:$E$14, 0,FALSE), "Not Found"))))))))</f>
        <v>0265747029
0265747057
0265747229</v>
      </c>
      <c r="G419" t="str">
        <f>IFERROR(VLOOKUP($A419,'AAPT ExDa'!$B$2:$U$99, 5,FALSE), IFERROR(VLOOKUP($A419,'ABB ExDa'!$A$2:$N$184, 8,FALSE), IFERROR(VLOOKUP($A419,'Vocus SIT ExDa'!$B$2:$J$173, 6,FALSE), IFERROR(VLOOKUP($A419,'Telstra ExDa'!$B$2:$K$310, 0,FALSE), IFERROR(VLOOKUP($A419,'Vocus RVC ExDa'!$C$2:$R$155, 15,FALSE), IFERROR(VLOOKUP($A419,'Fusion ExDa'!$B$2:$D$16, 0,FALSE), IFERROR(VLOOKUP($A419,'Exetel ExDa'!$C$2:$N$14, 7,FALSE), IFERROR(VLOOKUP($A419,'Infinet ExDa'!$B$2:$E$14, 0,FALSE), "Not Found"))))))))</f>
        <v>IP Tel Order - Smile Tel - 08/03/2019 - Vineyards
	Voice (5 Mbps) - 28 Metroplex Avenue, Murarrie QLD 4172</v>
      </c>
      <c r="H419" t="str">
        <f>IFERROR(VLOOKUP($A419,'AAPT ExDa'!$B$2:$U$99, 6,FALSE), IFERROR(VLOOKUP($A419,'ABB ExDa'!$A$2:$N$184, 0,FALSE), IFERROR(VLOOKUP($A419,'Vocus SIT ExDa'!$B$2:$J$173, 0,FALSE), IFERROR(VLOOKUP($A419,'Telstra ExDa'!$B$2:$K$310, 0,FALSE), IFERROR(VLOOKUP($A419,'Vocus RVC ExDa'!$C$2:$R$155, 16,FALSE), IFERROR(VLOOKUP($A419,'Fusion ExDa'!$B$2:$D$16, 0,FALSE), IFERROR(VLOOKUP($A419,'Exetel ExDa'!$C$2:$N$14, 0,FALSE), IFERROR(VLOOKUP($A419,'Infinet ExDa'!$B$2:$E$14, 0,FALSE), "Not Found"))))))))</f>
        <v>Not Found</v>
      </c>
      <c r="I419" t="str">
        <f>IFERROR(VLOOKUP($A419,'AAPT ExDa'!$B$2:$U$99, 0,FALSE), IFERROR(VLOOKUP($A419,'ABB ExDa'!$A$2:$N$184, 0,FALSE), IFERROR(VLOOKUP($A419,'Vocus SIT ExDa'!$B$2:$J$173, 0,FALSE), IFERROR(VLOOKUP($A419,'Telstra ExDa'!$B$2:$K$310, 0,FALSE), IFERROR(VLOOKUP($A419,'Vocus RVC ExDa'!$C$2:$R$155, 0,FALSE), IFERROR(VLOOKUP($A419,'Fusion ExDa'!$B$2:$D$16, 0,FALSE), IFERROR(VLOOKUP($A419,'Exetel ExDa'!$C$2:$N$14, 8,FALSE), IFERROR(VLOOKUP($A419,'Infinet ExDa'!$B$2:$E$14, 0,FALSE), "Not Found"))))))))</f>
        <v>Not Found</v>
      </c>
      <c r="J419" t="str">
        <f>IFERROR(VLOOKUP($A419,'AAPT ExDa'!$B$2:$U$99, 7,FALSE), IFERROR(VLOOKUP($A419,'ABB ExDa'!$A$2:$N$184, 2,FALSE), IFERROR(VLOOKUP($A419,'Vocus SIT ExDa'!$B$2:$J$173, 0,FALSE), IFERROR(VLOOKUP($A419,'Telstra ExDa'!$B$2:$K$310, 7,FALSE), IFERROR(VLOOKUP($A419,'Vocus RVC ExDa'!$C$2:$R$155, 2,FALSE), IFERROR(VLOOKUP($A419,'Fusion ExDa'!$B$2:$D$16, 3,FALSE), IFERROR(VLOOKUP($A419,'Exetel ExDa'!$C$2:$N$14, 0,FALSE), IFERROR(VLOOKUP($A419,'Infinet ExDa'!$B$2:$E$14, 0,FALSE), "Not Found"))))))))</f>
        <v>Not Found</v>
      </c>
      <c r="K419" t="str">
        <f>IFERROR(VLOOKUP($A419,'AAPT ExDa'!$B$2:$U$99, 12,FALSE), IFERROR(VLOOKUP($A419,'ABB ExDa'!$A$2:$N$184, 0,FALSE), IFERROR(VLOOKUP($A419,'Vocus SIT ExDa'!$B$2:$J$173, 0,FALSE), IFERROR(VLOOKUP($A419,'Telstra ExDa'!$B$2:$K$310, 0,FALSE), IFERROR(VLOOKUP($A419,'Vocus RVC ExDa'!$C$2:$R$155, 0,FALSE), IFERROR(VLOOKUP($A419,'Fusion ExDa'!$B$2:$D$16, 0,FALSE), IFERROR(VLOOKUP($A419,'Exetel ExDa'!$C$2:$N$14, 12,FALSE), IFERROR(VLOOKUP($A419,'Infinet ExDa'!$B$2:$E$14, 0,FALSE), "Not Found"))))))))</f>
        <v>Not Found</v>
      </c>
      <c r="L419" s="235" t="str">
        <f>IFERROR(VLOOKUP($A419,'AAPT ExDa'!$B$2:$U$99, 11,FALSE), IFERROR(VLOOKUP($A419,'ABB ExDa'!$A$2:$N$184, 9,FALSE), IFERROR(VLOOKUP($A419,'Vocus SIT ExDa'!$B$2:$J$173, 8,FALSE), IFERROR(VLOOKUP($A419,'Telstra ExDa'!$B$2:$K$310, 0,FALSE), IFERROR(VLOOKUP($A419,'Vocus RVC ExDa'!$C$2:$R$155, 0,FALSE), IFERROR(VLOOKUP($A419,'Fusion ExDa'!$B$2:$D$16, 0,FALSE), IFERROR(VLOOKUP($A419,'Exetel ExDa'!$C$2:$N$14, 9,FALSE), IFERROR(VLOOKUP($A419,'Infinet ExDa'!$B$2:$E$14, 0,FALSE), "Not Found"))))))))</f>
        <v>30/08/2019</v>
      </c>
      <c r="M419" s="234" t="str">
        <f>IFERROR(VLOOKUP($A419,'AAPT ExDa'!$B$2:$U$99, 0,FALSE), IFERROR(VLOOKUP($A419,'ABB ExDa'!$A$2:$N$184, 0,FALSE), IFERROR(VLOOKUP($A419,'Vocus SIT ExDa'!$B$2:$J$173, 0,FALSE), IFERROR(VLOOKUP($A419,'Telstra ExDa'!$B$2:$K$310, 0,FALSE), IFERROR(VLOOKUP($A419,'Vocus RVC ExDa'!$C$2:$R$155, 0,FALSE), IFERROR(VLOOKUP($A419,'Fusion ExDa'!$B$2:$D$16, 0,FALSE), IFERROR(VLOOKUP($A419,'Exetel ExDa'!$C$2:$N$14, 11,FALSE), IFERROR(VLOOKUP($A419,'Infinet ExDa'!$B$2:$E$14, 0,FALSE), "Not Found"))))))))</f>
        <v>Not Found</v>
      </c>
      <c r="N419" t="str">
        <f>IFERROR(VLOOKUP($A419,'AAPT ExDa'!$B$2:$U$99, 0,FALSE), IFERROR(VLOOKUP($A419,'ABB ExDa'!$A$2:$N$184, 13,FALSE), IFERROR(VLOOKUP($A419,'Vocus SIT ExDa'!$B$2:$J$173, 0,FALSE), IFERROR(VLOOKUP($A419,'Telstra ExDa'!$B$2:$K$310, 0,FALSE), IFERROR(VLOOKUP($A419,'Vocus RVC ExDa'!$C$2:$R$155, 0,FALSE), IFERROR(VLOOKUP($A419,'Fusion ExDa'!$B$2:$D$16, 0,FALSE), IFERROR(VLOOKUP($A419,'Exetel ExDa'!$C$2:$N$14, 0,FALSE), IFERROR(VLOOKUP($A419,'Infinet ExDa'!$B$2:$E$14, 0,FALSE), "Not Found"))))))))</f>
        <v>Not Found</v>
      </c>
    </row>
    <row r="420" spans="1:14">
      <c r="A420" t="str">
        <v>ASG Call Centre</v>
      </c>
      <c r="B420" t="str">
        <f>IFERROR(VLOOKUP(A420,'Exetel ExDa'!$C$2:$N$14,4,FALSE),"No Data")</f>
        <v>No Data</v>
      </c>
      <c r="C420" t="str">
        <f>IFERROR(VLOOKUP(A420,'AAPT ExDa'!$B$2:$U$99, 2,FALSE), IFERROR(VLOOKUP(A420,'ABB ExDa'!$A$2:$N$184, 2,FALSE), IFERROR(VLOOKUP(A420,'Vocus SIT ExDa'!$B$2:$J$173, 7,FALSE), IFERROR(VLOOKUP(A420,'Telstra ExDa'!$B$2:$K$310, 2,FALSE), IFERROR(VLOOKUP(A420,'Vocus RVC ExDa'!$C$2:$R$155, 3,FALSE), IFERROR(VLOOKUP(A420,'Fusion ExDa'!$B$2:$D$16, 2,FALSE), IFERROR(VLOOKUP(A420,'Exetel ExDa'!$C$2:$N$14, 2,FALSE), IFERROR(VLOOKUP(A420,'Infinet ExDa'!$B$2:$E$14, 2,FALSE), "Not Found"))))))))</f>
        <v>Unit 5, 28 Metroplex Avenue, MURARRIE QLD 4173</v>
      </c>
      <c r="D420" t="str">
        <f>IFERROR(VLOOKUP($A420,'AAPT ExDa'!$B$2:$U$99, 15,FALSE), IFERROR(VLOOKUP($A420,'ABB ExDa'!$A$2:$N$184, 4,FALSE), IFERROR(VLOOKUP($A420,'Vocus SIT ExDa'!$B$2:$J$173, 5,FALSE), IFERROR(VLOOKUP($A420,'Telstra ExDa'!$B$2:$K$310, 8,FALSE), IFERROR(VLOOKUP($A420,'Vocus RVC ExDa'!$C$2:$R$155, 6,FALSE), IFERROR(VLOOKUP($A420,'Fusion ExDa'!$B$2:$D$16, 4,FALSE), IFERROR(VLOOKUP($A420,'Exetel ExDa'!$C$2:$N$14, 3,FALSE), IFERROR(VLOOKUP($A420,'Infinet ExDa'!$B$2:$E$14, 3,FALSE), "Not Found"))))))))</f>
        <v>Vocus SIT</v>
      </c>
      <c r="E420" t="str">
        <f>IFERROR(VLOOKUP($A420,'AAPT ExDa'!$B$2:$U$99, 3,FALSE), IFERROR(VLOOKUP($A420,'ABB ExDa'!$A$2:$N$184, 5,FALSE), IFERROR(VLOOKUP($A420,'Vocus SIT ExDa'!$B$2:$J$173, 2,FALSE), IFERROR(VLOOKUP($A420,'Telstra ExDa'!$B$2:$K$310, 4,FALSE), IFERROR(VLOOKUP($A420,'Vocus RVC ExDa'!$C$2:$R$155, 8,FALSE), IFERROR(VLOOKUP($A420,'Fusion ExDa'!$B$2:$D$16, 4,FALSE), IFERROR(VLOOKUP($A420,'Exetel ExDa'!$C$2:$N$14, 5,FALSE), IFERROR(VLOOKUP($A420,'Infinet ExDa'!$B$2:$E$14, 3,FALSE), "Not Found"))))))))</f>
        <v>Voice Service</v>
      </c>
      <c r="F420" t="str">
        <f>IFERROR(VLOOKUP($A420,'AAPT ExDa'!$B$2:$U$99, 4,FALSE), IFERROR(VLOOKUP($A420,'ABB ExDa'!$A$2:$N$184, 6,FALSE), IFERROR(VLOOKUP($A420,'Vocus SIT ExDa'!$B$2:$J$173, 3,FALSE), IFERROR(VLOOKUP($A420,'Telstra ExDa'!$B$2:$K$310, 5,FALSE), IFERROR(VLOOKUP($A420,'Vocus RVC ExDa'!$C$2:$R$155, 9,FALSE), IFERROR(VLOOKUP($A420,'Fusion ExDa'!$B$2:$D$16, 0,FALSE), IFERROR(VLOOKUP($A420,'Exetel ExDa'!$C$2:$N$14, 6,FALSE), IFERROR(VLOOKUP($A420,'Infinet ExDa'!$B$2:$E$14, 0,FALSE), "Not Found"))))))))</f>
        <v>n/a</v>
      </c>
      <c r="G420" t="str">
        <f>IFERROR(VLOOKUP($A420,'AAPT ExDa'!$B$2:$U$99, 5,FALSE), IFERROR(VLOOKUP($A420,'ABB ExDa'!$A$2:$N$184, 8,FALSE), IFERROR(VLOOKUP($A420,'Vocus SIT ExDa'!$B$2:$J$173, 6,FALSE), IFERROR(VLOOKUP($A420,'Telstra ExDa'!$B$2:$K$310, 0,FALSE), IFERROR(VLOOKUP($A420,'Vocus RVC ExDa'!$C$2:$R$155, 15,FALSE), IFERROR(VLOOKUP($A420,'Fusion ExDa'!$B$2:$D$16, 0,FALSE), IFERROR(VLOOKUP($A420,'Exetel ExDa'!$C$2:$N$14, 7,FALSE), IFERROR(VLOOKUP($A420,'Infinet ExDa'!$B$2:$E$14, 0,FALSE), "Not Found"))))))))</f>
        <v>IP Tel Order - Smile Tel - 06/02/2019 - ASG call centre
5 IP Tel Premium (Reseller)
Voice (5 Mbps) - Unit 5, 28 Metroplex Avenue, MURARRIE QLD 4172</v>
      </c>
      <c r="H420" t="str">
        <f>IFERROR(VLOOKUP($A420,'AAPT ExDa'!$B$2:$U$99, 6,FALSE), IFERROR(VLOOKUP($A420,'ABB ExDa'!$A$2:$N$184, 0,FALSE), IFERROR(VLOOKUP($A420,'Vocus SIT ExDa'!$B$2:$J$173, 0,FALSE), IFERROR(VLOOKUP($A420,'Telstra ExDa'!$B$2:$K$310, 0,FALSE), IFERROR(VLOOKUP($A420,'Vocus RVC ExDa'!$C$2:$R$155, 16,FALSE), IFERROR(VLOOKUP($A420,'Fusion ExDa'!$B$2:$D$16, 0,FALSE), IFERROR(VLOOKUP($A420,'Exetel ExDa'!$C$2:$N$14, 0,FALSE), IFERROR(VLOOKUP($A420,'Infinet ExDa'!$B$2:$E$14, 0,FALSE), "Not Found"))))))))</f>
        <v>Not Found</v>
      </c>
      <c r="I420" t="str">
        <f>IFERROR(VLOOKUP($A420,'AAPT ExDa'!$B$2:$U$99, 0,FALSE), IFERROR(VLOOKUP($A420,'ABB ExDa'!$A$2:$N$184, 0,FALSE), IFERROR(VLOOKUP($A420,'Vocus SIT ExDa'!$B$2:$J$173, 0,FALSE), IFERROR(VLOOKUP($A420,'Telstra ExDa'!$B$2:$K$310, 0,FALSE), IFERROR(VLOOKUP($A420,'Vocus RVC ExDa'!$C$2:$R$155, 0,FALSE), IFERROR(VLOOKUP($A420,'Fusion ExDa'!$B$2:$D$16, 0,FALSE), IFERROR(VLOOKUP($A420,'Exetel ExDa'!$C$2:$N$14, 8,FALSE), IFERROR(VLOOKUP($A420,'Infinet ExDa'!$B$2:$E$14, 0,FALSE), "Not Found"))))))))</f>
        <v>Not Found</v>
      </c>
      <c r="J420" t="str">
        <f>IFERROR(VLOOKUP($A420,'AAPT ExDa'!$B$2:$U$99, 7,FALSE), IFERROR(VLOOKUP($A420,'ABB ExDa'!$A$2:$N$184, 2,FALSE), IFERROR(VLOOKUP($A420,'Vocus SIT ExDa'!$B$2:$J$173, 0,FALSE), IFERROR(VLOOKUP($A420,'Telstra ExDa'!$B$2:$K$310, 7,FALSE), IFERROR(VLOOKUP($A420,'Vocus RVC ExDa'!$C$2:$R$155, 2,FALSE), IFERROR(VLOOKUP($A420,'Fusion ExDa'!$B$2:$D$16, 3,FALSE), IFERROR(VLOOKUP($A420,'Exetel ExDa'!$C$2:$N$14, 0,FALSE), IFERROR(VLOOKUP($A420,'Infinet ExDa'!$B$2:$E$14, 0,FALSE), "Not Found"))))))))</f>
        <v>Not Found</v>
      </c>
      <c r="K420" t="str">
        <f>IFERROR(VLOOKUP($A420,'AAPT ExDa'!$B$2:$U$99, 12,FALSE), IFERROR(VLOOKUP($A420,'ABB ExDa'!$A$2:$N$184, 0,FALSE), IFERROR(VLOOKUP($A420,'Vocus SIT ExDa'!$B$2:$J$173, 0,FALSE), IFERROR(VLOOKUP($A420,'Telstra ExDa'!$B$2:$K$310, 0,FALSE), IFERROR(VLOOKUP($A420,'Vocus RVC ExDa'!$C$2:$R$155, 0,FALSE), IFERROR(VLOOKUP($A420,'Fusion ExDa'!$B$2:$D$16, 0,FALSE), IFERROR(VLOOKUP($A420,'Exetel ExDa'!$C$2:$N$14, 12,FALSE), IFERROR(VLOOKUP($A420,'Infinet ExDa'!$B$2:$E$14, 0,FALSE), "Not Found"))))))))</f>
        <v>Not Found</v>
      </c>
      <c r="L420" s="235">
        <f>IFERROR(VLOOKUP($A420,'AAPT ExDa'!$B$2:$U$99, 11,FALSE), IFERROR(VLOOKUP($A420,'ABB ExDa'!$A$2:$N$184, 9,FALSE), IFERROR(VLOOKUP($A420,'Vocus SIT ExDa'!$B$2:$J$173, 8,FALSE), IFERROR(VLOOKUP($A420,'Telstra ExDa'!$B$2:$K$310, 0,FALSE), IFERROR(VLOOKUP($A420,'Vocus RVC ExDa'!$C$2:$R$155, 0,FALSE), IFERROR(VLOOKUP($A420,'Fusion ExDa'!$B$2:$D$16, 0,FALSE), IFERROR(VLOOKUP($A420,'Exetel ExDa'!$C$2:$N$14, 9,FALSE), IFERROR(VLOOKUP($A420,'Infinet ExDa'!$B$2:$E$14, 0,FALSE), "Not Found"))))))))</f>
        <v>43619</v>
      </c>
      <c r="M420" s="234" t="str">
        <f>IFERROR(VLOOKUP($A420,'AAPT ExDa'!$B$2:$U$99, 0,FALSE), IFERROR(VLOOKUP($A420,'ABB ExDa'!$A$2:$N$184, 0,FALSE), IFERROR(VLOOKUP($A420,'Vocus SIT ExDa'!$B$2:$J$173, 0,FALSE), IFERROR(VLOOKUP($A420,'Telstra ExDa'!$B$2:$K$310, 0,FALSE), IFERROR(VLOOKUP($A420,'Vocus RVC ExDa'!$C$2:$R$155, 0,FALSE), IFERROR(VLOOKUP($A420,'Fusion ExDa'!$B$2:$D$16, 0,FALSE), IFERROR(VLOOKUP($A420,'Exetel ExDa'!$C$2:$N$14, 11,FALSE), IFERROR(VLOOKUP($A420,'Infinet ExDa'!$B$2:$E$14, 0,FALSE), "Not Found"))))))))</f>
        <v>Not Found</v>
      </c>
      <c r="N420" t="str">
        <f>IFERROR(VLOOKUP($A420,'AAPT ExDa'!$B$2:$U$99, 0,FALSE), IFERROR(VLOOKUP($A420,'ABB ExDa'!$A$2:$N$184, 13,FALSE), IFERROR(VLOOKUP($A420,'Vocus SIT ExDa'!$B$2:$J$173, 0,FALSE), IFERROR(VLOOKUP($A420,'Telstra ExDa'!$B$2:$K$310, 0,FALSE), IFERROR(VLOOKUP($A420,'Vocus RVC ExDa'!$C$2:$R$155, 0,FALSE), IFERROR(VLOOKUP($A420,'Fusion ExDa'!$B$2:$D$16, 0,FALSE), IFERROR(VLOOKUP($A420,'Exetel ExDa'!$C$2:$N$14, 0,FALSE), IFERROR(VLOOKUP($A420,'Infinet ExDa'!$B$2:$E$14, 0,FALSE), "Not Found"))))))))</f>
        <v>Not Found</v>
      </c>
    </row>
    <row r="421" spans="1:14">
      <c r="A421" t="str">
        <v>Tamarind</v>
      </c>
      <c r="B421" t="str">
        <f>IFERROR(VLOOKUP(A421,'Exetel ExDa'!$C$2:$N$14,4,FALSE),"No Data")</f>
        <v>No Data</v>
      </c>
      <c r="C421" t="str">
        <f>IFERROR(VLOOKUP(A421,'AAPT ExDa'!$B$2:$U$99, 2,FALSE), IFERROR(VLOOKUP(A421,'ABB ExDa'!$A$2:$N$184, 2,FALSE), IFERROR(VLOOKUP(A421,'Vocus SIT ExDa'!$B$2:$J$173, 7,FALSE), IFERROR(VLOOKUP(A421,'Telstra ExDa'!$B$2:$K$310, 2,FALSE), IFERROR(VLOOKUP(A421,'Vocus RVC ExDa'!$C$2:$R$155, 3,FALSE), IFERROR(VLOOKUP(A421,'Fusion ExDa'!$B$2:$D$16, 2,FALSE), IFERROR(VLOOKUP(A421,'Exetel ExDa'!$C$2:$N$14, 2,FALSE), IFERROR(VLOOKUP(A421,'Infinet ExDa'!$B$2:$E$14, 2,FALSE), "Not Found"))))))))</f>
        <v>Unit 5, 28 Metroplex Avenue, MURARRIE QLD 4173</v>
      </c>
      <c r="D421" t="str">
        <f>IFERROR(VLOOKUP($A421,'AAPT ExDa'!$B$2:$U$99, 15,FALSE), IFERROR(VLOOKUP($A421,'ABB ExDa'!$A$2:$N$184, 4,FALSE), IFERROR(VLOOKUP($A421,'Vocus SIT ExDa'!$B$2:$J$173, 5,FALSE), IFERROR(VLOOKUP($A421,'Telstra ExDa'!$B$2:$K$310, 8,FALSE), IFERROR(VLOOKUP($A421,'Vocus RVC ExDa'!$C$2:$R$155, 6,FALSE), IFERROR(VLOOKUP($A421,'Fusion ExDa'!$B$2:$D$16, 4,FALSE), IFERROR(VLOOKUP($A421,'Exetel ExDa'!$C$2:$N$14, 3,FALSE), IFERROR(VLOOKUP($A421,'Infinet ExDa'!$B$2:$E$14, 3,FALSE), "Not Found"))))))))</f>
        <v>Vocus SIT</v>
      </c>
      <c r="E421" t="str">
        <f>IFERROR(VLOOKUP($A421,'AAPT ExDa'!$B$2:$U$99, 3,FALSE), IFERROR(VLOOKUP($A421,'ABB ExDa'!$A$2:$N$184, 5,FALSE), IFERROR(VLOOKUP($A421,'Vocus SIT ExDa'!$B$2:$J$173, 2,FALSE), IFERROR(VLOOKUP($A421,'Telstra ExDa'!$B$2:$K$310, 4,FALSE), IFERROR(VLOOKUP($A421,'Vocus RVC ExDa'!$C$2:$R$155, 8,FALSE), IFERROR(VLOOKUP($A421,'Fusion ExDa'!$B$2:$D$16, 4,FALSE), IFERROR(VLOOKUP($A421,'Exetel ExDa'!$C$2:$N$14, 5,FALSE), IFERROR(VLOOKUP($A421,'Infinet ExDa'!$B$2:$E$14, 3,FALSE), "Not Found"))))))))</f>
        <v>Voice Service</v>
      </c>
      <c r="F421" t="str">
        <f>IFERROR(VLOOKUP($A421,'AAPT ExDa'!$B$2:$U$99, 4,FALSE), IFERROR(VLOOKUP($A421,'ABB ExDa'!$A$2:$N$184, 6,FALSE), IFERROR(VLOOKUP($A421,'Vocus SIT ExDa'!$B$2:$J$173, 3,FALSE), IFERROR(VLOOKUP($A421,'Telstra ExDa'!$B$2:$K$310, 5,FALSE), IFERROR(VLOOKUP($A421,'Vocus RVC ExDa'!$C$2:$R$155, 9,FALSE), IFERROR(VLOOKUP($A421,'Fusion ExDa'!$B$2:$D$16, 0,FALSE), IFERROR(VLOOKUP($A421,'Exetel ExDa'!$C$2:$N$14, 6,FALSE), IFERROR(VLOOKUP($A421,'Infinet ExDa'!$B$2:$E$14, 0,FALSE), "Not Found"))))))))</f>
        <v>0754205400</v>
      </c>
      <c r="G421" t="str">
        <f>IFERROR(VLOOKUP($A421,'AAPT ExDa'!$B$2:$U$99, 5,FALSE), IFERROR(VLOOKUP($A421,'ABB ExDa'!$A$2:$N$184, 8,FALSE), IFERROR(VLOOKUP($A421,'Vocus SIT ExDa'!$B$2:$J$173, 6,FALSE), IFERROR(VLOOKUP($A421,'Telstra ExDa'!$B$2:$K$310, 0,FALSE), IFERROR(VLOOKUP($A421,'Vocus RVC ExDa'!$C$2:$R$155, 15,FALSE), IFERROR(VLOOKUP($A421,'Fusion ExDa'!$B$2:$D$16, 0,FALSE), IFERROR(VLOOKUP($A421,'Exetel ExDa'!$C$2:$N$14, 7,FALSE), IFERROR(VLOOKUP($A421,'Infinet ExDa'!$B$2:$E$14, 0,FALSE), "Not Found"))))))))</f>
        <v>IP Tel Order - Smile Tel - 05/12/2018 - Tamarind
Voice (5 Mbps) - Unit 5, 28 Metroplex Avenue, MURARRIE QLD 4172</v>
      </c>
      <c r="H421" t="str">
        <f>IFERROR(VLOOKUP($A421,'AAPT ExDa'!$B$2:$U$99, 6,FALSE), IFERROR(VLOOKUP($A421,'ABB ExDa'!$A$2:$N$184, 0,FALSE), IFERROR(VLOOKUP($A421,'Vocus SIT ExDa'!$B$2:$J$173, 0,FALSE), IFERROR(VLOOKUP($A421,'Telstra ExDa'!$B$2:$K$310, 0,FALSE), IFERROR(VLOOKUP($A421,'Vocus RVC ExDa'!$C$2:$R$155, 16,FALSE), IFERROR(VLOOKUP($A421,'Fusion ExDa'!$B$2:$D$16, 0,FALSE), IFERROR(VLOOKUP($A421,'Exetel ExDa'!$C$2:$N$14, 0,FALSE), IFERROR(VLOOKUP($A421,'Infinet ExDa'!$B$2:$E$14, 0,FALSE), "Not Found"))))))))</f>
        <v>Not Found</v>
      </c>
      <c r="I421" t="str">
        <f>IFERROR(VLOOKUP($A421,'AAPT ExDa'!$B$2:$U$99, 0,FALSE), IFERROR(VLOOKUP($A421,'ABB ExDa'!$A$2:$N$184, 0,FALSE), IFERROR(VLOOKUP($A421,'Vocus SIT ExDa'!$B$2:$J$173, 0,FALSE), IFERROR(VLOOKUP($A421,'Telstra ExDa'!$B$2:$K$310, 0,FALSE), IFERROR(VLOOKUP($A421,'Vocus RVC ExDa'!$C$2:$R$155, 0,FALSE), IFERROR(VLOOKUP($A421,'Fusion ExDa'!$B$2:$D$16, 0,FALSE), IFERROR(VLOOKUP($A421,'Exetel ExDa'!$C$2:$N$14, 8,FALSE), IFERROR(VLOOKUP($A421,'Infinet ExDa'!$B$2:$E$14, 0,FALSE), "Not Found"))))))))</f>
        <v>Not Found</v>
      </c>
      <c r="J421" t="str">
        <f>IFERROR(VLOOKUP($A421,'AAPT ExDa'!$B$2:$U$99, 7,FALSE), IFERROR(VLOOKUP($A421,'ABB ExDa'!$A$2:$N$184, 2,FALSE), IFERROR(VLOOKUP($A421,'Vocus SIT ExDa'!$B$2:$J$173, 0,FALSE), IFERROR(VLOOKUP($A421,'Telstra ExDa'!$B$2:$K$310, 7,FALSE), IFERROR(VLOOKUP($A421,'Vocus RVC ExDa'!$C$2:$R$155, 2,FALSE), IFERROR(VLOOKUP($A421,'Fusion ExDa'!$B$2:$D$16, 3,FALSE), IFERROR(VLOOKUP($A421,'Exetel ExDa'!$C$2:$N$14, 0,FALSE), IFERROR(VLOOKUP($A421,'Infinet ExDa'!$B$2:$E$14, 0,FALSE), "Not Found"))))))))</f>
        <v>Not Found</v>
      </c>
      <c r="K421" t="str">
        <f>IFERROR(VLOOKUP($A421,'AAPT ExDa'!$B$2:$U$99, 12,FALSE), IFERROR(VLOOKUP($A421,'ABB ExDa'!$A$2:$N$184, 0,FALSE), IFERROR(VLOOKUP($A421,'Vocus SIT ExDa'!$B$2:$J$173, 0,FALSE), IFERROR(VLOOKUP($A421,'Telstra ExDa'!$B$2:$K$310, 0,FALSE), IFERROR(VLOOKUP($A421,'Vocus RVC ExDa'!$C$2:$R$155, 0,FALSE), IFERROR(VLOOKUP($A421,'Fusion ExDa'!$B$2:$D$16, 0,FALSE), IFERROR(VLOOKUP($A421,'Exetel ExDa'!$C$2:$N$14, 12,FALSE), IFERROR(VLOOKUP($A421,'Infinet ExDa'!$B$2:$E$14, 0,FALSE), "Not Found"))))))))</f>
        <v>Not Found</v>
      </c>
      <c r="L421" s="235">
        <f>IFERROR(VLOOKUP($A421,'AAPT ExDa'!$B$2:$U$99, 11,FALSE), IFERROR(VLOOKUP($A421,'ABB ExDa'!$A$2:$N$184, 9,FALSE), IFERROR(VLOOKUP($A421,'Vocus SIT ExDa'!$B$2:$J$173, 8,FALSE), IFERROR(VLOOKUP($A421,'Telstra ExDa'!$B$2:$K$310, 0,FALSE), IFERROR(VLOOKUP($A421,'Vocus RVC ExDa'!$C$2:$R$155, 0,FALSE), IFERROR(VLOOKUP($A421,'Fusion ExDa'!$B$2:$D$16, 0,FALSE), IFERROR(VLOOKUP($A421,'Exetel ExDa'!$C$2:$N$14, 9,FALSE), IFERROR(VLOOKUP($A421,'Infinet ExDa'!$B$2:$E$14, 0,FALSE), "Not Found"))))))))</f>
        <v>43619</v>
      </c>
      <c r="M421" s="234" t="str">
        <f>IFERROR(VLOOKUP($A421,'AAPT ExDa'!$B$2:$U$99, 0,FALSE), IFERROR(VLOOKUP($A421,'ABB ExDa'!$A$2:$N$184, 0,FALSE), IFERROR(VLOOKUP($A421,'Vocus SIT ExDa'!$B$2:$J$173, 0,FALSE), IFERROR(VLOOKUP($A421,'Telstra ExDa'!$B$2:$K$310, 0,FALSE), IFERROR(VLOOKUP($A421,'Vocus RVC ExDa'!$C$2:$R$155, 0,FALSE), IFERROR(VLOOKUP($A421,'Fusion ExDa'!$B$2:$D$16, 0,FALSE), IFERROR(VLOOKUP($A421,'Exetel ExDa'!$C$2:$N$14, 11,FALSE), IFERROR(VLOOKUP($A421,'Infinet ExDa'!$B$2:$E$14, 0,FALSE), "Not Found"))))))))</f>
        <v>Not Found</v>
      </c>
      <c r="N421" t="str">
        <f>IFERROR(VLOOKUP($A421,'AAPT ExDa'!$B$2:$U$99, 0,FALSE), IFERROR(VLOOKUP($A421,'ABB ExDa'!$A$2:$N$184, 13,FALSE), IFERROR(VLOOKUP($A421,'Vocus SIT ExDa'!$B$2:$J$173, 0,FALSE), IFERROR(VLOOKUP($A421,'Telstra ExDa'!$B$2:$K$310, 0,FALSE), IFERROR(VLOOKUP($A421,'Vocus RVC ExDa'!$C$2:$R$155, 0,FALSE), IFERROR(VLOOKUP($A421,'Fusion ExDa'!$B$2:$D$16, 0,FALSE), IFERROR(VLOOKUP($A421,'Exetel ExDa'!$C$2:$N$14, 0,FALSE), IFERROR(VLOOKUP($A421,'Infinet ExDa'!$B$2:$E$14, 0,FALSE), "Not Found"))))))))</f>
        <v>Not Found</v>
      </c>
    </row>
    <row r="422" spans="1:14">
      <c r="A422">
        <v>0</v>
      </c>
      <c r="B422" t="str">
        <f>IFERROR(VLOOKUP(A422,'Exetel ExDa'!$C$2:$N$14,4,FALSE),"No Data")</f>
        <v>No Data</v>
      </c>
      <c r="C422" t="str">
        <f>IFERROR(VLOOKUP(A422,'AAPT ExDa'!$B$2:$U$99, 2,FALSE), IFERROR(VLOOKUP(A422,'ABB ExDa'!$A$2:$N$184, 2,FALSE), IFERROR(VLOOKUP(A422,'Vocus SIT ExDa'!$B$2:$J$173, 7,FALSE), IFERROR(VLOOKUP(A422,'Telstra ExDa'!$B$2:$K$310, 2,FALSE), IFERROR(VLOOKUP(A422,'Vocus RVC ExDa'!$C$2:$R$155, 3,FALSE), IFERROR(VLOOKUP(A422,'Fusion ExDa'!$B$2:$D$16, 2,FALSE), IFERROR(VLOOKUP(A422,'Exetel ExDa'!$C$2:$N$14, 2,FALSE), IFERROR(VLOOKUP(A422,'Infinet ExDa'!$B$2:$E$14, 2,FALSE), "Not Found"))))))))</f>
        <v>Not Found</v>
      </c>
      <c r="D422" t="str">
        <f>IFERROR(VLOOKUP($A422,'AAPT ExDa'!$B$2:$U$99, 15,FALSE), IFERROR(VLOOKUP($A422,'ABB ExDa'!$A$2:$N$184, 4,FALSE), IFERROR(VLOOKUP($A422,'Vocus SIT ExDa'!$B$2:$J$173, 5,FALSE), IFERROR(VLOOKUP($A422,'Telstra ExDa'!$B$2:$K$310, 8,FALSE), IFERROR(VLOOKUP($A422,'Vocus RVC ExDa'!$C$2:$R$155, 6,FALSE), IFERROR(VLOOKUP($A422,'Fusion ExDa'!$B$2:$D$16, 4,FALSE), IFERROR(VLOOKUP($A422,'Exetel ExDa'!$C$2:$N$14, 3,FALSE), IFERROR(VLOOKUP($A422,'Infinet ExDa'!$B$2:$E$14, 3,FALSE), "Not Found"))))))))</f>
        <v>Not Found</v>
      </c>
      <c r="E422" t="str">
        <f>IFERROR(VLOOKUP($A422,'AAPT ExDa'!$B$2:$U$99, 3,FALSE), IFERROR(VLOOKUP($A422,'ABB ExDa'!$A$2:$N$184, 5,FALSE), IFERROR(VLOOKUP($A422,'Vocus SIT ExDa'!$B$2:$J$173, 2,FALSE), IFERROR(VLOOKUP($A422,'Telstra ExDa'!$B$2:$K$310, 4,FALSE), IFERROR(VLOOKUP($A422,'Vocus RVC ExDa'!$C$2:$R$155, 8,FALSE), IFERROR(VLOOKUP($A422,'Fusion ExDa'!$B$2:$D$16, 4,FALSE), IFERROR(VLOOKUP($A422,'Exetel ExDa'!$C$2:$N$14, 5,FALSE), IFERROR(VLOOKUP($A422,'Infinet ExDa'!$B$2:$E$14, 3,FALSE), "Not Found"))))))))</f>
        <v>Not Found</v>
      </c>
      <c r="F422" t="str">
        <f>IFERROR(VLOOKUP($A422,'AAPT ExDa'!$B$2:$U$99, 4,FALSE), IFERROR(VLOOKUP($A422,'ABB ExDa'!$A$2:$N$184, 6,FALSE), IFERROR(VLOOKUP($A422,'Vocus SIT ExDa'!$B$2:$J$173, 3,FALSE), IFERROR(VLOOKUP($A422,'Telstra ExDa'!$B$2:$K$310, 5,FALSE), IFERROR(VLOOKUP($A422,'Vocus RVC ExDa'!$C$2:$R$155, 9,FALSE), IFERROR(VLOOKUP($A422,'Fusion ExDa'!$B$2:$D$16, 0,FALSE), IFERROR(VLOOKUP($A422,'Exetel ExDa'!$C$2:$N$14, 6,FALSE), IFERROR(VLOOKUP($A422,'Infinet ExDa'!$B$2:$E$14, 0,FALSE), "Not Found"))))))))</f>
        <v>Not Found</v>
      </c>
      <c r="G422" t="str">
        <f>IFERROR(VLOOKUP($A422,'AAPT ExDa'!$B$2:$U$99, 5,FALSE), IFERROR(VLOOKUP($A422,'ABB ExDa'!$A$2:$N$184, 8,FALSE), IFERROR(VLOOKUP($A422,'Vocus SIT ExDa'!$B$2:$J$173, 6,FALSE), IFERROR(VLOOKUP($A422,'Telstra ExDa'!$B$2:$K$310, 0,FALSE), IFERROR(VLOOKUP($A422,'Vocus RVC ExDa'!$C$2:$R$155, 15,FALSE), IFERROR(VLOOKUP($A422,'Fusion ExDa'!$B$2:$D$16, 0,FALSE), IFERROR(VLOOKUP($A422,'Exetel ExDa'!$C$2:$N$14, 7,FALSE), IFERROR(VLOOKUP($A422,'Infinet ExDa'!$B$2:$E$14, 0,FALSE), "Not Found"))))))))</f>
        <v>Not Found</v>
      </c>
      <c r="H422" t="str">
        <f>IFERROR(VLOOKUP($A422,'AAPT ExDa'!$B$2:$U$99, 6,FALSE), IFERROR(VLOOKUP($A422,'ABB ExDa'!$A$2:$N$184, 0,FALSE), IFERROR(VLOOKUP($A422,'Vocus SIT ExDa'!$B$2:$J$173, 0,FALSE), IFERROR(VLOOKUP($A422,'Telstra ExDa'!$B$2:$K$310, 0,FALSE), IFERROR(VLOOKUP($A422,'Vocus RVC ExDa'!$C$2:$R$155, 16,FALSE), IFERROR(VLOOKUP($A422,'Fusion ExDa'!$B$2:$D$16, 0,FALSE), IFERROR(VLOOKUP($A422,'Exetel ExDa'!$C$2:$N$14, 0,FALSE), IFERROR(VLOOKUP($A422,'Infinet ExDa'!$B$2:$E$14, 0,FALSE), "Not Found"))))))))</f>
        <v>Not Found</v>
      </c>
      <c r="I422" t="str">
        <f>IFERROR(VLOOKUP($A422,'AAPT ExDa'!$B$2:$U$99, 0,FALSE), IFERROR(VLOOKUP($A422,'ABB ExDa'!$A$2:$N$184, 0,FALSE), IFERROR(VLOOKUP($A422,'Vocus SIT ExDa'!$B$2:$J$173, 0,FALSE), IFERROR(VLOOKUP($A422,'Telstra ExDa'!$B$2:$K$310, 0,FALSE), IFERROR(VLOOKUP($A422,'Vocus RVC ExDa'!$C$2:$R$155, 0,FALSE), IFERROR(VLOOKUP($A422,'Fusion ExDa'!$B$2:$D$16, 0,FALSE), IFERROR(VLOOKUP($A422,'Exetel ExDa'!$C$2:$N$14, 8,FALSE), IFERROR(VLOOKUP($A422,'Infinet ExDa'!$B$2:$E$14, 0,FALSE), "Not Found"))))))))</f>
        <v>Not Found</v>
      </c>
      <c r="J422" t="str">
        <f>IFERROR(VLOOKUP($A422,'AAPT ExDa'!$B$2:$U$99, 7,FALSE), IFERROR(VLOOKUP($A422,'ABB ExDa'!$A$2:$N$184, 2,FALSE), IFERROR(VLOOKUP($A422,'Vocus SIT ExDa'!$B$2:$J$173, 0,FALSE), IFERROR(VLOOKUP($A422,'Telstra ExDa'!$B$2:$K$310, 7,FALSE), IFERROR(VLOOKUP($A422,'Vocus RVC ExDa'!$C$2:$R$155, 2,FALSE), IFERROR(VLOOKUP($A422,'Fusion ExDa'!$B$2:$D$16, 3,FALSE), IFERROR(VLOOKUP($A422,'Exetel ExDa'!$C$2:$N$14, 0,FALSE), IFERROR(VLOOKUP($A422,'Infinet ExDa'!$B$2:$E$14, 0,FALSE), "Not Found"))))))))</f>
        <v>Not Found</v>
      </c>
      <c r="K422" t="str">
        <f>IFERROR(VLOOKUP($A422,'AAPT ExDa'!$B$2:$U$99, 12,FALSE), IFERROR(VLOOKUP($A422,'ABB ExDa'!$A$2:$N$184, 0,FALSE), IFERROR(VLOOKUP($A422,'Vocus SIT ExDa'!$B$2:$J$173, 0,FALSE), IFERROR(VLOOKUP($A422,'Telstra ExDa'!$B$2:$K$310, 0,FALSE), IFERROR(VLOOKUP($A422,'Vocus RVC ExDa'!$C$2:$R$155, 0,FALSE), IFERROR(VLOOKUP($A422,'Fusion ExDa'!$B$2:$D$16, 0,FALSE), IFERROR(VLOOKUP($A422,'Exetel ExDa'!$C$2:$N$14, 12,FALSE), IFERROR(VLOOKUP($A422,'Infinet ExDa'!$B$2:$E$14, 0,FALSE), "Not Found"))))))))</f>
        <v>Not Found</v>
      </c>
      <c r="L422" s="235" t="str">
        <f>IFERROR(VLOOKUP($A422,'AAPT ExDa'!$B$2:$U$99, 11,FALSE), IFERROR(VLOOKUP($A422,'ABB ExDa'!$A$2:$N$184, 9,FALSE), IFERROR(VLOOKUP($A422,'Vocus SIT ExDa'!$B$2:$J$173, 8,FALSE), IFERROR(VLOOKUP($A422,'Telstra ExDa'!$B$2:$K$310, 0,FALSE), IFERROR(VLOOKUP($A422,'Vocus RVC ExDa'!$C$2:$R$155, 0,FALSE), IFERROR(VLOOKUP($A422,'Fusion ExDa'!$B$2:$D$16, 0,FALSE), IFERROR(VLOOKUP($A422,'Exetel ExDa'!$C$2:$N$14, 9,FALSE), IFERROR(VLOOKUP($A422,'Infinet ExDa'!$B$2:$E$14, 0,FALSE), "Not Found"))))))))</f>
        <v>Not Found</v>
      </c>
      <c r="M422" s="234" t="str">
        <f>IFERROR(VLOOKUP($A422,'AAPT ExDa'!$B$2:$U$99, 0,FALSE), IFERROR(VLOOKUP($A422,'ABB ExDa'!$A$2:$N$184, 0,FALSE), IFERROR(VLOOKUP($A422,'Vocus SIT ExDa'!$B$2:$J$173, 0,FALSE), IFERROR(VLOOKUP($A422,'Telstra ExDa'!$B$2:$K$310, 0,FALSE), IFERROR(VLOOKUP($A422,'Vocus RVC ExDa'!$C$2:$R$155, 0,FALSE), IFERROR(VLOOKUP($A422,'Fusion ExDa'!$B$2:$D$16, 0,FALSE), IFERROR(VLOOKUP($A422,'Exetel ExDa'!$C$2:$N$14, 11,FALSE), IFERROR(VLOOKUP($A422,'Infinet ExDa'!$B$2:$E$14, 0,FALSE), "Not Found"))))))))</f>
        <v>Not Found</v>
      </c>
      <c r="N422" t="str">
        <f>IFERROR(VLOOKUP($A422,'AAPT ExDa'!$B$2:$U$99, 0,FALSE), IFERROR(VLOOKUP($A422,'ABB ExDa'!$A$2:$N$184, 13,FALSE), IFERROR(VLOOKUP($A422,'Vocus SIT ExDa'!$B$2:$J$173, 0,FALSE), IFERROR(VLOOKUP($A422,'Telstra ExDa'!$B$2:$K$310, 0,FALSE), IFERROR(VLOOKUP($A422,'Vocus RVC ExDa'!$C$2:$R$155, 0,FALSE), IFERROR(VLOOKUP($A422,'Fusion ExDa'!$B$2:$D$16, 0,FALSE), IFERROR(VLOOKUP($A422,'Exetel ExDa'!$C$2:$N$14, 0,FALSE), IFERROR(VLOOKUP($A422,'Infinet ExDa'!$B$2:$E$14, 0,FALSE), "Not Found"))))))))</f>
        <v>Not Found</v>
      </c>
    </row>
    <row r="423" spans="1:14">
      <c r="A423" t="str">
        <v>SPL</v>
      </c>
      <c r="B423" t="str">
        <f>IFERROR(VLOOKUP(A423,'Exetel ExDa'!$C$2:$N$14,4,FALSE),"No Data")</f>
        <v>No Data</v>
      </c>
      <c r="C423" t="str">
        <f>IFERROR(VLOOKUP(A423,'AAPT ExDa'!$B$2:$U$99, 2,FALSE), IFERROR(VLOOKUP(A423,'ABB ExDa'!$A$2:$N$184, 2,FALSE), IFERROR(VLOOKUP(A423,'Vocus SIT ExDa'!$B$2:$J$173, 7,FALSE), IFERROR(VLOOKUP(A423,'Telstra ExDa'!$B$2:$K$310, 2,FALSE), IFERROR(VLOOKUP(A423,'Vocus RVC ExDa'!$C$2:$R$155, 3,FALSE), IFERROR(VLOOKUP(A423,'Fusion ExDa'!$B$2:$D$16, 2,FALSE), IFERROR(VLOOKUP(A423,'Exetel ExDa'!$C$2:$N$14, 2,FALSE), IFERROR(VLOOKUP(A423,'Infinet ExDa'!$B$2:$E$14, 2,FALSE), "Not Found"))))))))</f>
        <v>Unit 5, 28 Metroplex Avenue, MURARRIE QLD 4173</v>
      </c>
      <c r="D423" t="str">
        <f>IFERROR(VLOOKUP($A423,'AAPT ExDa'!$B$2:$U$99, 15,FALSE), IFERROR(VLOOKUP($A423,'ABB ExDa'!$A$2:$N$184, 4,FALSE), IFERROR(VLOOKUP($A423,'Vocus SIT ExDa'!$B$2:$J$173, 5,FALSE), IFERROR(VLOOKUP($A423,'Telstra ExDa'!$B$2:$K$310, 8,FALSE), IFERROR(VLOOKUP($A423,'Vocus RVC ExDa'!$C$2:$R$155, 6,FALSE), IFERROR(VLOOKUP($A423,'Fusion ExDa'!$B$2:$D$16, 4,FALSE), IFERROR(VLOOKUP($A423,'Exetel ExDa'!$C$2:$N$14, 3,FALSE), IFERROR(VLOOKUP($A423,'Infinet ExDa'!$B$2:$E$14, 3,FALSE), "Not Found"))))))))</f>
        <v>Vocus SIT</v>
      </c>
      <c r="E423" t="str">
        <f>IFERROR(VLOOKUP($A423,'AAPT ExDa'!$B$2:$U$99, 3,FALSE), IFERROR(VLOOKUP($A423,'ABB ExDa'!$A$2:$N$184, 5,FALSE), IFERROR(VLOOKUP($A423,'Vocus SIT ExDa'!$B$2:$J$173, 2,FALSE), IFERROR(VLOOKUP($A423,'Telstra ExDa'!$B$2:$K$310, 4,FALSE), IFERROR(VLOOKUP($A423,'Vocus RVC ExDa'!$C$2:$R$155, 8,FALSE), IFERROR(VLOOKUP($A423,'Fusion ExDa'!$B$2:$D$16, 4,FALSE), IFERROR(VLOOKUP($A423,'Exetel ExDa'!$C$2:$N$14, 5,FALSE), IFERROR(VLOOKUP($A423,'Infinet ExDa'!$B$2:$E$14, 3,FALSE), "Not Found"))))))))</f>
        <v>Voice Service</v>
      </c>
      <c r="F423" t="str">
        <f>IFERROR(VLOOKUP($A423,'AAPT ExDa'!$B$2:$U$99, 4,FALSE), IFERROR(VLOOKUP($A423,'ABB ExDa'!$A$2:$N$184, 6,FALSE), IFERROR(VLOOKUP($A423,'Vocus SIT ExDa'!$B$2:$J$173, 3,FALSE), IFERROR(VLOOKUP($A423,'Telstra ExDa'!$B$2:$K$310, 5,FALSE), IFERROR(VLOOKUP($A423,'Vocus RVC ExDa'!$C$2:$R$155, 9,FALSE), IFERROR(VLOOKUP($A423,'Fusion ExDa'!$B$2:$D$16, 0,FALSE), IFERROR(VLOOKUP($A423,'Exetel ExDa'!$C$2:$N$14, 6,FALSE), IFERROR(VLOOKUP($A423,'Infinet ExDa'!$B$2:$E$14, 0,FALSE), "Not Found"))))))))</f>
        <v>0746661078
0746661083
0746661084</v>
      </c>
      <c r="G423" t="str">
        <f>IFERROR(VLOOKUP($A423,'AAPT ExDa'!$B$2:$U$99, 5,FALSE), IFERROR(VLOOKUP($A423,'ABB ExDa'!$A$2:$N$184, 8,FALSE), IFERROR(VLOOKUP($A423,'Vocus SIT ExDa'!$B$2:$J$173, 6,FALSE), IFERROR(VLOOKUP($A423,'Telstra ExDa'!$B$2:$K$310, 0,FALSE), IFERROR(VLOOKUP($A423,'Vocus RVC ExDa'!$C$2:$R$155, 15,FALSE), IFERROR(VLOOKUP($A423,'Fusion ExDa'!$B$2:$D$16, 0,FALSE), IFERROR(VLOOKUP($A423,'Exetel ExDa'!$C$2:$N$14, 7,FALSE), IFERROR(VLOOKUP($A423,'Infinet ExDa'!$B$2:$E$14, 0,FALSE), "Not Found"))))))))</f>
        <v>IP Tel Order - Smile Tel - 22/10/2018 - SPL
Voice (5 Mbps) - 28 Metroplex Avenue, Murarrie QLD 4172</v>
      </c>
      <c r="H423" t="str">
        <f>IFERROR(VLOOKUP($A423,'AAPT ExDa'!$B$2:$U$99, 6,FALSE), IFERROR(VLOOKUP($A423,'ABB ExDa'!$A$2:$N$184, 0,FALSE), IFERROR(VLOOKUP($A423,'Vocus SIT ExDa'!$B$2:$J$173, 0,FALSE), IFERROR(VLOOKUP($A423,'Telstra ExDa'!$B$2:$K$310, 0,FALSE), IFERROR(VLOOKUP($A423,'Vocus RVC ExDa'!$C$2:$R$155, 16,FALSE), IFERROR(VLOOKUP($A423,'Fusion ExDa'!$B$2:$D$16, 0,FALSE), IFERROR(VLOOKUP($A423,'Exetel ExDa'!$C$2:$N$14, 0,FALSE), IFERROR(VLOOKUP($A423,'Infinet ExDa'!$B$2:$E$14, 0,FALSE), "Not Found"))))))))</f>
        <v>Not Found</v>
      </c>
      <c r="I423" t="str">
        <f>IFERROR(VLOOKUP($A423,'AAPT ExDa'!$B$2:$U$99, 0,FALSE), IFERROR(VLOOKUP($A423,'ABB ExDa'!$A$2:$N$184, 0,FALSE), IFERROR(VLOOKUP($A423,'Vocus SIT ExDa'!$B$2:$J$173, 0,FALSE), IFERROR(VLOOKUP($A423,'Telstra ExDa'!$B$2:$K$310, 0,FALSE), IFERROR(VLOOKUP($A423,'Vocus RVC ExDa'!$C$2:$R$155, 0,FALSE), IFERROR(VLOOKUP($A423,'Fusion ExDa'!$B$2:$D$16, 0,FALSE), IFERROR(VLOOKUP($A423,'Exetel ExDa'!$C$2:$N$14, 8,FALSE), IFERROR(VLOOKUP($A423,'Infinet ExDa'!$B$2:$E$14, 0,FALSE), "Not Found"))))))))</f>
        <v>Not Found</v>
      </c>
      <c r="J423" t="str">
        <f>IFERROR(VLOOKUP($A423,'AAPT ExDa'!$B$2:$U$99, 7,FALSE), IFERROR(VLOOKUP($A423,'ABB ExDa'!$A$2:$N$184, 2,FALSE), IFERROR(VLOOKUP($A423,'Vocus SIT ExDa'!$B$2:$J$173, 0,FALSE), IFERROR(VLOOKUP($A423,'Telstra ExDa'!$B$2:$K$310, 7,FALSE), IFERROR(VLOOKUP($A423,'Vocus RVC ExDa'!$C$2:$R$155, 2,FALSE), IFERROR(VLOOKUP($A423,'Fusion ExDa'!$B$2:$D$16, 3,FALSE), IFERROR(VLOOKUP($A423,'Exetel ExDa'!$C$2:$N$14, 0,FALSE), IFERROR(VLOOKUP($A423,'Infinet ExDa'!$B$2:$E$14, 0,FALSE), "Not Found"))))))))</f>
        <v>Not Found</v>
      </c>
      <c r="K423" t="str">
        <f>IFERROR(VLOOKUP($A423,'AAPT ExDa'!$B$2:$U$99, 12,FALSE), IFERROR(VLOOKUP($A423,'ABB ExDa'!$A$2:$N$184, 0,FALSE), IFERROR(VLOOKUP($A423,'Vocus SIT ExDa'!$B$2:$J$173, 0,FALSE), IFERROR(VLOOKUP($A423,'Telstra ExDa'!$B$2:$K$310, 0,FALSE), IFERROR(VLOOKUP($A423,'Vocus RVC ExDa'!$C$2:$R$155, 0,FALSE), IFERROR(VLOOKUP($A423,'Fusion ExDa'!$B$2:$D$16, 0,FALSE), IFERROR(VLOOKUP($A423,'Exetel ExDa'!$C$2:$N$14, 12,FALSE), IFERROR(VLOOKUP($A423,'Infinet ExDa'!$B$2:$E$14, 0,FALSE), "Not Found"))))))))</f>
        <v>Not Found</v>
      </c>
      <c r="L423" s="235" t="str">
        <f>IFERROR(VLOOKUP($A423,'AAPT ExDa'!$B$2:$U$99, 11,FALSE), IFERROR(VLOOKUP($A423,'ABB ExDa'!$A$2:$N$184, 9,FALSE), IFERROR(VLOOKUP($A423,'Vocus SIT ExDa'!$B$2:$J$173, 8,FALSE), IFERROR(VLOOKUP($A423,'Telstra ExDa'!$B$2:$K$310, 0,FALSE), IFERROR(VLOOKUP($A423,'Vocus RVC ExDa'!$C$2:$R$155, 0,FALSE), IFERROR(VLOOKUP($A423,'Fusion ExDa'!$B$2:$D$16, 0,FALSE), IFERROR(VLOOKUP($A423,'Exetel ExDa'!$C$2:$N$14, 9,FALSE), IFERROR(VLOOKUP($A423,'Infinet ExDa'!$B$2:$E$14, 0,FALSE), "Not Found"))))))))</f>
        <v>27/11/2018</v>
      </c>
      <c r="M423" s="234" t="str">
        <f>IFERROR(VLOOKUP($A423,'AAPT ExDa'!$B$2:$U$99, 0,FALSE), IFERROR(VLOOKUP($A423,'ABB ExDa'!$A$2:$N$184, 0,FALSE), IFERROR(VLOOKUP($A423,'Vocus SIT ExDa'!$B$2:$J$173, 0,FALSE), IFERROR(VLOOKUP($A423,'Telstra ExDa'!$B$2:$K$310, 0,FALSE), IFERROR(VLOOKUP($A423,'Vocus RVC ExDa'!$C$2:$R$155, 0,FALSE), IFERROR(VLOOKUP($A423,'Fusion ExDa'!$B$2:$D$16, 0,FALSE), IFERROR(VLOOKUP($A423,'Exetel ExDa'!$C$2:$N$14, 11,FALSE), IFERROR(VLOOKUP($A423,'Infinet ExDa'!$B$2:$E$14, 0,FALSE), "Not Found"))))))))</f>
        <v>Not Found</v>
      </c>
      <c r="N423" t="str">
        <f>IFERROR(VLOOKUP($A423,'AAPT ExDa'!$B$2:$U$99, 0,FALSE), IFERROR(VLOOKUP($A423,'ABB ExDa'!$A$2:$N$184, 13,FALSE), IFERROR(VLOOKUP($A423,'Vocus SIT ExDa'!$B$2:$J$173, 0,FALSE), IFERROR(VLOOKUP($A423,'Telstra ExDa'!$B$2:$K$310, 0,FALSE), IFERROR(VLOOKUP($A423,'Vocus RVC ExDa'!$C$2:$R$155, 0,FALSE), IFERROR(VLOOKUP($A423,'Fusion ExDa'!$B$2:$D$16, 0,FALSE), IFERROR(VLOOKUP($A423,'Exetel ExDa'!$C$2:$N$14, 0,FALSE), IFERROR(VLOOKUP($A423,'Infinet ExDa'!$B$2:$E$14, 0,FALSE), "Not Found"))))))))</f>
        <v>Not Found</v>
      </c>
    </row>
    <row r="424" spans="1:14">
      <c r="A424" t="str">
        <v>SBH</v>
      </c>
      <c r="B424" t="str">
        <f>IFERROR(VLOOKUP(A424,'Exetel ExDa'!$C$2:$N$14,4,FALSE),"No Data")</f>
        <v>No Data</v>
      </c>
      <c r="C424" t="str">
        <f>IFERROR(VLOOKUP(A424,'AAPT ExDa'!$B$2:$U$99, 2,FALSE), IFERROR(VLOOKUP(A424,'ABB ExDa'!$A$2:$N$184, 2,FALSE), IFERROR(VLOOKUP(A424,'Vocus SIT ExDa'!$B$2:$J$173, 7,FALSE), IFERROR(VLOOKUP(A424,'Telstra ExDa'!$B$2:$K$310, 2,FALSE), IFERROR(VLOOKUP(A424,'Vocus RVC ExDa'!$C$2:$R$155, 3,FALSE), IFERROR(VLOOKUP(A424,'Fusion ExDa'!$B$2:$D$16, 2,FALSE), IFERROR(VLOOKUP(A424,'Exetel ExDa'!$C$2:$N$14, 2,FALSE), IFERROR(VLOOKUP(A424,'Infinet ExDa'!$B$2:$E$14, 2,FALSE), "Not Found"))))))))</f>
        <v>Unit 1, 49 Miller Street, Murarrie QLD 4173</v>
      </c>
      <c r="D424" t="str">
        <f>IFERROR(VLOOKUP($A424,'AAPT ExDa'!$B$2:$U$99, 15,FALSE), IFERROR(VLOOKUP($A424,'ABB ExDa'!$A$2:$N$184, 4,FALSE), IFERROR(VLOOKUP($A424,'Vocus SIT ExDa'!$B$2:$J$173, 5,FALSE), IFERROR(VLOOKUP($A424,'Telstra ExDa'!$B$2:$K$310, 8,FALSE), IFERROR(VLOOKUP($A424,'Vocus RVC ExDa'!$C$2:$R$155, 6,FALSE), IFERROR(VLOOKUP($A424,'Fusion ExDa'!$B$2:$D$16, 4,FALSE), IFERROR(VLOOKUP($A424,'Exetel ExDa'!$C$2:$N$14, 3,FALSE), IFERROR(VLOOKUP($A424,'Infinet ExDa'!$B$2:$E$14, 3,FALSE), "Not Found"))))))))</f>
        <v>Vocus SIT</v>
      </c>
      <c r="E424" t="str">
        <f>IFERROR(VLOOKUP($A424,'AAPT ExDa'!$B$2:$U$99, 3,FALSE), IFERROR(VLOOKUP($A424,'ABB ExDa'!$A$2:$N$184, 5,FALSE), IFERROR(VLOOKUP($A424,'Vocus SIT ExDa'!$B$2:$J$173, 2,FALSE), IFERROR(VLOOKUP($A424,'Telstra ExDa'!$B$2:$K$310, 4,FALSE), IFERROR(VLOOKUP($A424,'Vocus RVC ExDa'!$C$2:$R$155, 8,FALSE), IFERROR(VLOOKUP($A424,'Fusion ExDa'!$B$2:$D$16, 4,FALSE), IFERROR(VLOOKUP($A424,'Exetel ExDa'!$C$2:$N$14, 5,FALSE), IFERROR(VLOOKUP($A424,'Infinet ExDa'!$B$2:$E$14, 3,FALSE), "Not Found"))))))))</f>
        <v>Voice Service</v>
      </c>
      <c r="F424" t="str">
        <f>IFERROR(VLOOKUP($A424,'AAPT ExDa'!$B$2:$U$99, 4,FALSE), IFERROR(VLOOKUP($A424,'ABB ExDa'!$A$2:$N$184, 6,FALSE), IFERROR(VLOOKUP($A424,'Vocus SIT ExDa'!$B$2:$J$173, 3,FALSE), IFERROR(VLOOKUP($A424,'Telstra ExDa'!$B$2:$K$310, 5,FALSE), IFERROR(VLOOKUP($A424,'Vocus RVC ExDa'!$C$2:$R$155, 9,FALSE), IFERROR(VLOOKUP($A424,'Fusion ExDa'!$B$2:$D$16, 0,FALSE), IFERROR(VLOOKUP($A424,'Exetel ExDa'!$C$2:$N$14, 6,FALSE), IFERROR(VLOOKUP($A424,'Infinet ExDa'!$B$2:$E$14, 0,FALSE), "Not Found"))))))))</f>
        <v>n/a</v>
      </c>
      <c r="G424" t="str">
        <f>IFERROR(VLOOKUP($A424,'AAPT ExDa'!$B$2:$U$99, 5,FALSE), IFERROR(VLOOKUP($A424,'ABB ExDa'!$A$2:$N$184, 8,FALSE), IFERROR(VLOOKUP($A424,'Vocus SIT ExDa'!$B$2:$J$173, 6,FALSE), IFERROR(VLOOKUP($A424,'Telstra ExDa'!$B$2:$K$310, 0,FALSE), IFERROR(VLOOKUP($A424,'Vocus RVC ExDa'!$C$2:$R$155, 15,FALSE), IFERROR(VLOOKUP($A424,'Fusion ExDa'!$B$2:$D$16, 0,FALSE), IFERROR(VLOOKUP($A424,'Exetel ExDa'!$C$2:$N$14, 7,FALSE), IFERROR(VLOOKUP($A424,'Infinet ExDa'!$B$2:$E$14, 0,FALSE), "Not Found"))))))))</f>
        <v>IP Tel Order - Smile Tel - 17/10/2018 - SBH
15 IP Tel Standard
Voice (5 Mbps) - Unit 1, 49 Miller Street, Murarrie QLD 4172</v>
      </c>
      <c r="H424" t="str">
        <f>IFERROR(VLOOKUP($A424,'AAPT ExDa'!$B$2:$U$99, 6,FALSE), IFERROR(VLOOKUP($A424,'ABB ExDa'!$A$2:$N$184, 0,FALSE), IFERROR(VLOOKUP($A424,'Vocus SIT ExDa'!$B$2:$J$173, 0,FALSE), IFERROR(VLOOKUP($A424,'Telstra ExDa'!$B$2:$K$310, 0,FALSE), IFERROR(VLOOKUP($A424,'Vocus RVC ExDa'!$C$2:$R$155, 16,FALSE), IFERROR(VLOOKUP($A424,'Fusion ExDa'!$B$2:$D$16, 0,FALSE), IFERROR(VLOOKUP($A424,'Exetel ExDa'!$C$2:$N$14, 0,FALSE), IFERROR(VLOOKUP($A424,'Infinet ExDa'!$B$2:$E$14, 0,FALSE), "Not Found"))))))))</f>
        <v>Not Found</v>
      </c>
      <c r="I424" t="str">
        <f>IFERROR(VLOOKUP($A424,'AAPT ExDa'!$B$2:$U$99, 0,FALSE), IFERROR(VLOOKUP($A424,'ABB ExDa'!$A$2:$N$184, 0,FALSE), IFERROR(VLOOKUP($A424,'Vocus SIT ExDa'!$B$2:$J$173, 0,FALSE), IFERROR(VLOOKUP($A424,'Telstra ExDa'!$B$2:$K$310, 0,FALSE), IFERROR(VLOOKUP($A424,'Vocus RVC ExDa'!$C$2:$R$155, 0,FALSE), IFERROR(VLOOKUP($A424,'Fusion ExDa'!$B$2:$D$16, 0,FALSE), IFERROR(VLOOKUP($A424,'Exetel ExDa'!$C$2:$N$14, 8,FALSE), IFERROR(VLOOKUP($A424,'Infinet ExDa'!$B$2:$E$14, 0,FALSE), "Not Found"))))))))</f>
        <v>Not Found</v>
      </c>
      <c r="J424" t="str">
        <f>IFERROR(VLOOKUP($A424,'AAPT ExDa'!$B$2:$U$99, 7,FALSE), IFERROR(VLOOKUP($A424,'ABB ExDa'!$A$2:$N$184, 2,FALSE), IFERROR(VLOOKUP($A424,'Vocus SIT ExDa'!$B$2:$J$173, 0,FALSE), IFERROR(VLOOKUP($A424,'Telstra ExDa'!$B$2:$K$310, 7,FALSE), IFERROR(VLOOKUP($A424,'Vocus RVC ExDa'!$C$2:$R$155, 2,FALSE), IFERROR(VLOOKUP($A424,'Fusion ExDa'!$B$2:$D$16, 3,FALSE), IFERROR(VLOOKUP($A424,'Exetel ExDa'!$C$2:$N$14, 0,FALSE), IFERROR(VLOOKUP($A424,'Infinet ExDa'!$B$2:$E$14, 0,FALSE), "Not Found"))))))))</f>
        <v>Not Found</v>
      </c>
      <c r="K424" t="str">
        <f>IFERROR(VLOOKUP($A424,'AAPT ExDa'!$B$2:$U$99, 12,FALSE), IFERROR(VLOOKUP($A424,'ABB ExDa'!$A$2:$N$184, 0,FALSE), IFERROR(VLOOKUP($A424,'Vocus SIT ExDa'!$B$2:$J$173, 0,FALSE), IFERROR(VLOOKUP($A424,'Telstra ExDa'!$B$2:$K$310, 0,FALSE), IFERROR(VLOOKUP($A424,'Vocus RVC ExDa'!$C$2:$R$155, 0,FALSE), IFERROR(VLOOKUP($A424,'Fusion ExDa'!$B$2:$D$16, 0,FALSE), IFERROR(VLOOKUP($A424,'Exetel ExDa'!$C$2:$N$14, 12,FALSE), IFERROR(VLOOKUP($A424,'Infinet ExDa'!$B$2:$E$14, 0,FALSE), "Not Found"))))))))</f>
        <v>Not Found</v>
      </c>
      <c r="L424" s="235" t="str">
        <f>IFERROR(VLOOKUP($A424,'AAPT ExDa'!$B$2:$U$99, 11,FALSE), IFERROR(VLOOKUP($A424,'ABB ExDa'!$A$2:$N$184, 9,FALSE), IFERROR(VLOOKUP($A424,'Vocus SIT ExDa'!$B$2:$J$173, 8,FALSE), IFERROR(VLOOKUP($A424,'Telstra ExDa'!$B$2:$K$310, 0,FALSE), IFERROR(VLOOKUP($A424,'Vocus RVC ExDa'!$C$2:$R$155, 0,FALSE), IFERROR(VLOOKUP($A424,'Fusion ExDa'!$B$2:$D$16, 0,FALSE), IFERROR(VLOOKUP($A424,'Exetel ExDa'!$C$2:$N$14, 9,FALSE), IFERROR(VLOOKUP($A424,'Infinet ExDa'!$B$2:$E$14, 0,FALSE), "Not Found"))))))))</f>
        <v>24/09/2024</v>
      </c>
      <c r="M424" s="234" t="str">
        <f>IFERROR(VLOOKUP($A424,'AAPT ExDa'!$B$2:$U$99, 0,FALSE), IFERROR(VLOOKUP($A424,'ABB ExDa'!$A$2:$N$184, 0,FALSE), IFERROR(VLOOKUP($A424,'Vocus SIT ExDa'!$B$2:$J$173, 0,FALSE), IFERROR(VLOOKUP($A424,'Telstra ExDa'!$B$2:$K$310, 0,FALSE), IFERROR(VLOOKUP($A424,'Vocus RVC ExDa'!$C$2:$R$155, 0,FALSE), IFERROR(VLOOKUP($A424,'Fusion ExDa'!$B$2:$D$16, 0,FALSE), IFERROR(VLOOKUP($A424,'Exetel ExDa'!$C$2:$N$14, 11,FALSE), IFERROR(VLOOKUP($A424,'Infinet ExDa'!$B$2:$E$14, 0,FALSE), "Not Found"))))))))</f>
        <v>Not Found</v>
      </c>
      <c r="N424" t="str">
        <f>IFERROR(VLOOKUP($A424,'AAPT ExDa'!$B$2:$U$99, 0,FALSE), IFERROR(VLOOKUP($A424,'ABB ExDa'!$A$2:$N$184, 13,FALSE), IFERROR(VLOOKUP($A424,'Vocus SIT ExDa'!$B$2:$J$173, 0,FALSE), IFERROR(VLOOKUP($A424,'Telstra ExDa'!$B$2:$K$310, 0,FALSE), IFERROR(VLOOKUP($A424,'Vocus RVC ExDa'!$C$2:$R$155, 0,FALSE), IFERROR(VLOOKUP($A424,'Fusion ExDa'!$B$2:$D$16, 0,FALSE), IFERROR(VLOOKUP($A424,'Exetel ExDa'!$C$2:$N$14, 0,FALSE), IFERROR(VLOOKUP($A424,'Infinet ExDa'!$B$2:$E$14, 0,FALSE), "Not Found"))))))))</f>
        <v>Not Found</v>
      </c>
    </row>
    <row r="425" spans="1:14">
      <c r="A425" t="str">
        <v>SGH</v>
      </c>
      <c r="B425" t="str">
        <f>IFERROR(VLOOKUP(A425,'Exetel ExDa'!$C$2:$N$14,4,FALSE),"No Data")</f>
        <v>No Data</v>
      </c>
      <c r="C425" t="str">
        <f>IFERROR(VLOOKUP(A425,'AAPT ExDa'!$B$2:$U$99, 2,FALSE), IFERROR(VLOOKUP(A425,'ABB ExDa'!$A$2:$N$184, 2,FALSE), IFERROR(VLOOKUP(A425,'Vocus SIT ExDa'!$B$2:$J$173, 7,FALSE), IFERROR(VLOOKUP(A425,'Telstra ExDa'!$B$2:$K$310, 2,FALSE), IFERROR(VLOOKUP(A425,'Vocus RVC ExDa'!$C$2:$R$155, 3,FALSE), IFERROR(VLOOKUP(A425,'Fusion ExDa'!$B$2:$D$16, 2,FALSE), IFERROR(VLOOKUP(A425,'Exetel ExDa'!$C$2:$N$14, 2,FALSE), IFERROR(VLOOKUP(A425,'Infinet ExDa'!$B$2:$E$14, 2,FALSE), "Not Found"))))))))</f>
        <v>Unit 1, 49 Miller Street, Murarrie QLD 4173</v>
      </c>
      <c r="D425" t="str">
        <f>IFERROR(VLOOKUP($A425,'AAPT ExDa'!$B$2:$U$99, 15,FALSE), IFERROR(VLOOKUP($A425,'ABB ExDa'!$A$2:$N$184, 4,FALSE), IFERROR(VLOOKUP($A425,'Vocus SIT ExDa'!$B$2:$J$173, 5,FALSE), IFERROR(VLOOKUP($A425,'Telstra ExDa'!$B$2:$K$310, 8,FALSE), IFERROR(VLOOKUP($A425,'Vocus RVC ExDa'!$C$2:$R$155, 6,FALSE), IFERROR(VLOOKUP($A425,'Fusion ExDa'!$B$2:$D$16, 4,FALSE), IFERROR(VLOOKUP($A425,'Exetel ExDa'!$C$2:$N$14, 3,FALSE), IFERROR(VLOOKUP($A425,'Infinet ExDa'!$B$2:$E$14, 3,FALSE), "Not Found"))))))))</f>
        <v>Vocus SIT</v>
      </c>
      <c r="E425" t="str">
        <f>IFERROR(VLOOKUP($A425,'AAPT ExDa'!$B$2:$U$99, 3,FALSE), IFERROR(VLOOKUP($A425,'ABB ExDa'!$A$2:$N$184, 5,FALSE), IFERROR(VLOOKUP($A425,'Vocus SIT ExDa'!$B$2:$J$173, 2,FALSE), IFERROR(VLOOKUP($A425,'Telstra ExDa'!$B$2:$K$310, 4,FALSE), IFERROR(VLOOKUP($A425,'Vocus RVC ExDa'!$C$2:$R$155, 8,FALSE), IFERROR(VLOOKUP($A425,'Fusion ExDa'!$B$2:$D$16, 4,FALSE), IFERROR(VLOOKUP($A425,'Exetel ExDa'!$C$2:$N$14, 5,FALSE), IFERROR(VLOOKUP($A425,'Infinet ExDa'!$B$2:$E$14, 3,FALSE), "Not Found"))))))))</f>
        <v>Voice Service</v>
      </c>
      <c r="F425" t="str">
        <f>IFERROR(VLOOKUP($A425,'AAPT ExDa'!$B$2:$U$99, 4,FALSE), IFERROR(VLOOKUP($A425,'ABB ExDa'!$A$2:$N$184, 6,FALSE), IFERROR(VLOOKUP($A425,'Vocus SIT ExDa'!$B$2:$J$173, 3,FALSE), IFERROR(VLOOKUP($A425,'Telstra ExDa'!$B$2:$K$310, 5,FALSE), IFERROR(VLOOKUP($A425,'Vocus RVC ExDa'!$C$2:$R$155, 9,FALSE), IFERROR(VLOOKUP($A425,'Fusion ExDa'!$B$2:$D$16, 0,FALSE), IFERROR(VLOOKUP($A425,'Exetel ExDa'!$C$2:$N$14, 6,FALSE), IFERROR(VLOOKUP($A425,'Infinet ExDa'!$B$2:$E$14, 0,FALSE), "Not Found"))))))))</f>
        <v>n/a</v>
      </c>
      <c r="G425" t="str">
        <f>IFERROR(VLOOKUP($A425,'AAPT ExDa'!$B$2:$U$99, 5,FALSE), IFERROR(VLOOKUP($A425,'ABB ExDa'!$A$2:$N$184, 8,FALSE), IFERROR(VLOOKUP($A425,'Vocus SIT ExDa'!$B$2:$J$173, 6,FALSE), IFERROR(VLOOKUP($A425,'Telstra ExDa'!$B$2:$K$310, 0,FALSE), IFERROR(VLOOKUP($A425,'Vocus RVC ExDa'!$C$2:$R$155, 15,FALSE), IFERROR(VLOOKUP($A425,'Fusion ExDa'!$B$2:$D$16, 0,FALSE), IFERROR(VLOOKUP($A425,'Exetel ExDa'!$C$2:$N$14, 7,FALSE), IFERROR(VLOOKUP($A425,'Infinet ExDa'!$B$2:$E$14, 0,FALSE), "Not Found"))))))))</f>
        <v>IP Tel Order - Smile Tel - 26/09/2018 - Licenses SGH
15 IP Tel Standard
Voice (5 Mbps) - Unit 1, 49 Miller Street, Murarrie QLD 4172</v>
      </c>
      <c r="H425" t="str">
        <f>IFERROR(VLOOKUP($A425,'AAPT ExDa'!$B$2:$U$99, 6,FALSE), IFERROR(VLOOKUP($A425,'ABB ExDa'!$A$2:$N$184, 0,FALSE), IFERROR(VLOOKUP($A425,'Vocus SIT ExDa'!$B$2:$J$173, 0,FALSE), IFERROR(VLOOKUP($A425,'Telstra ExDa'!$B$2:$K$310, 0,FALSE), IFERROR(VLOOKUP($A425,'Vocus RVC ExDa'!$C$2:$R$155, 16,FALSE), IFERROR(VLOOKUP($A425,'Fusion ExDa'!$B$2:$D$16, 0,FALSE), IFERROR(VLOOKUP($A425,'Exetel ExDa'!$C$2:$N$14, 0,FALSE), IFERROR(VLOOKUP($A425,'Infinet ExDa'!$B$2:$E$14, 0,FALSE), "Not Found"))))))))</f>
        <v>Not Found</v>
      </c>
      <c r="I425" t="str">
        <f>IFERROR(VLOOKUP($A425,'AAPT ExDa'!$B$2:$U$99, 0,FALSE), IFERROR(VLOOKUP($A425,'ABB ExDa'!$A$2:$N$184, 0,FALSE), IFERROR(VLOOKUP($A425,'Vocus SIT ExDa'!$B$2:$J$173, 0,FALSE), IFERROR(VLOOKUP($A425,'Telstra ExDa'!$B$2:$K$310, 0,FALSE), IFERROR(VLOOKUP($A425,'Vocus RVC ExDa'!$C$2:$R$155, 0,FALSE), IFERROR(VLOOKUP($A425,'Fusion ExDa'!$B$2:$D$16, 0,FALSE), IFERROR(VLOOKUP($A425,'Exetel ExDa'!$C$2:$N$14, 8,FALSE), IFERROR(VLOOKUP($A425,'Infinet ExDa'!$B$2:$E$14, 0,FALSE), "Not Found"))))))))</f>
        <v>Not Found</v>
      </c>
      <c r="J425" t="str">
        <f>IFERROR(VLOOKUP($A425,'AAPT ExDa'!$B$2:$U$99, 7,FALSE), IFERROR(VLOOKUP($A425,'ABB ExDa'!$A$2:$N$184, 2,FALSE), IFERROR(VLOOKUP($A425,'Vocus SIT ExDa'!$B$2:$J$173, 0,FALSE), IFERROR(VLOOKUP($A425,'Telstra ExDa'!$B$2:$K$310, 7,FALSE), IFERROR(VLOOKUP($A425,'Vocus RVC ExDa'!$C$2:$R$155, 2,FALSE), IFERROR(VLOOKUP($A425,'Fusion ExDa'!$B$2:$D$16, 3,FALSE), IFERROR(VLOOKUP($A425,'Exetel ExDa'!$C$2:$N$14, 0,FALSE), IFERROR(VLOOKUP($A425,'Infinet ExDa'!$B$2:$E$14, 0,FALSE), "Not Found"))))))))</f>
        <v>Not Found</v>
      </c>
      <c r="K425" t="str">
        <f>IFERROR(VLOOKUP($A425,'AAPT ExDa'!$B$2:$U$99, 12,FALSE), IFERROR(VLOOKUP($A425,'ABB ExDa'!$A$2:$N$184, 0,FALSE), IFERROR(VLOOKUP($A425,'Vocus SIT ExDa'!$B$2:$J$173, 0,FALSE), IFERROR(VLOOKUP($A425,'Telstra ExDa'!$B$2:$K$310, 0,FALSE), IFERROR(VLOOKUP($A425,'Vocus RVC ExDa'!$C$2:$R$155, 0,FALSE), IFERROR(VLOOKUP($A425,'Fusion ExDa'!$B$2:$D$16, 0,FALSE), IFERROR(VLOOKUP($A425,'Exetel ExDa'!$C$2:$N$14, 12,FALSE), IFERROR(VLOOKUP($A425,'Infinet ExDa'!$B$2:$E$14, 0,FALSE), "Not Found"))))))))</f>
        <v>Not Found</v>
      </c>
      <c r="L425" s="235">
        <f>IFERROR(VLOOKUP($A425,'AAPT ExDa'!$B$2:$U$99, 11,FALSE), IFERROR(VLOOKUP($A425,'ABB ExDa'!$A$2:$N$184, 9,FALSE), IFERROR(VLOOKUP($A425,'Vocus SIT ExDa'!$B$2:$J$173, 8,FALSE), IFERROR(VLOOKUP($A425,'Telstra ExDa'!$B$2:$K$310, 0,FALSE), IFERROR(VLOOKUP($A425,'Vocus RVC ExDa'!$C$2:$R$155, 0,FALSE), IFERROR(VLOOKUP($A425,'Fusion ExDa'!$B$2:$D$16, 0,FALSE), IFERROR(VLOOKUP($A425,'Exetel ExDa'!$C$2:$N$14, 9,FALSE), IFERROR(VLOOKUP($A425,'Infinet ExDa'!$B$2:$E$14, 0,FALSE), "Not Found"))))))))</f>
        <v>45363</v>
      </c>
      <c r="M425" s="234" t="str">
        <f>IFERROR(VLOOKUP($A425,'AAPT ExDa'!$B$2:$U$99, 0,FALSE), IFERROR(VLOOKUP($A425,'ABB ExDa'!$A$2:$N$184, 0,FALSE), IFERROR(VLOOKUP($A425,'Vocus SIT ExDa'!$B$2:$J$173, 0,FALSE), IFERROR(VLOOKUP($A425,'Telstra ExDa'!$B$2:$K$310, 0,FALSE), IFERROR(VLOOKUP($A425,'Vocus RVC ExDa'!$C$2:$R$155, 0,FALSE), IFERROR(VLOOKUP($A425,'Fusion ExDa'!$B$2:$D$16, 0,FALSE), IFERROR(VLOOKUP($A425,'Exetel ExDa'!$C$2:$N$14, 11,FALSE), IFERROR(VLOOKUP($A425,'Infinet ExDa'!$B$2:$E$14, 0,FALSE), "Not Found"))))))))</f>
        <v>Not Found</v>
      </c>
      <c r="N425" t="str">
        <f>IFERROR(VLOOKUP($A425,'AAPT ExDa'!$B$2:$U$99, 0,FALSE), IFERROR(VLOOKUP($A425,'ABB ExDa'!$A$2:$N$184, 13,FALSE), IFERROR(VLOOKUP($A425,'Vocus SIT ExDa'!$B$2:$J$173, 0,FALSE), IFERROR(VLOOKUP($A425,'Telstra ExDa'!$B$2:$K$310, 0,FALSE), IFERROR(VLOOKUP($A425,'Vocus RVC ExDa'!$C$2:$R$155, 0,FALSE), IFERROR(VLOOKUP($A425,'Fusion ExDa'!$B$2:$D$16, 0,FALSE), IFERROR(VLOOKUP($A425,'Exetel ExDa'!$C$2:$N$14, 0,FALSE), IFERROR(VLOOKUP($A425,'Infinet ExDa'!$B$2:$E$14, 0,FALSE), "Not Found"))))))))</f>
        <v>Not Found</v>
      </c>
    </row>
    <row r="426" spans="1:14">
      <c r="A426">
        <v>0</v>
      </c>
      <c r="B426" t="str">
        <f>IFERROR(VLOOKUP(A426,'Exetel ExDa'!$C$2:$N$14,4,FALSE),"No Data")</f>
        <v>No Data</v>
      </c>
      <c r="C426" t="str">
        <f>IFERROR(VLOOKUP(A426,'AAPT ExDa'!$B$2:$U$99, 2,FALSE), IFERROR(VLOOKUP(A426,'ABB ExDa'!$A$2:$N$184, 2,FALSE), IFERROR(VLOOKUP(A426,'Vocus SIT ExDa'!$B$2:$J$173, 7,FALSE), IFERROR(VLOOKUP(A426,'Telstra ExDa'!$B$2:$K$310, 2,FALSE), IFERROR(VLOOKUP(A426,'Vocus RVC ExDa'!$C$2:$R$155, 3,FALSE), IFERROR(VLOOKUP(A426,'Fusion ExDa'!$B$2:$D$16, 2,FALSE), IFERROR(VLOOKUP(A426,'Exetel ExDa'!$C$2:$N$14, 2,FALSE), IFERROR(VLOOKUP(A426,'Infinet ExDa'!$B$2:$E$14, 2,FALSE), "Not Found"))))))))</f>
        <v>Not Found</v>
      </c>
      <c r="D426" t="str">
        <f>IFERROR(VLOOKUP($A426,'AAPT ExDa'!$B$2:$U$99, 15,FALSE), IFERROR(VLOOKUP($A426,'ABB ExDa'!$A$2:$N$184, 4,FALSE), IFERROR(VLOOKUP($A426,'Vocus SIT ExDa'!$B$2:$J$173, 5,FALSE), IFERROR(VLOOKUP($A426,'Telstra ExDa'!$B$2:$K$310, 8,FALSE), IFERROR(VLOOKUP($A426,'Vocus RVC ExDa'!$C$2:$R$155, 6,FALSE), IFERROR(VLOOKUP($A426,'Fusion ExDa'!$B$2:$D$16, 4,FALSE), IFERROR(VLOOKUP($A426,'Exetel ExDa'!$C$2:$N$14, 3,FALSE), IFERROR(VLOOKUP($A426,'Infinet ExDa'!$B$2:$E$14, 3,FALSE), "Not Found"))))))))</f>
        <v>Not Found</v>
      </c>
      <c r="E426" t="str">
        <f>IFERROR(VLOOKUP($A426,'AAPT ExDa'!$B$2:$U$99, 3,FALSE), IFERROR(VLOOKUP($A426,'ABB ExDa'!$A$2:$N$184, 5,FALSE), IFERROR(VLOOKUP($A426,'Vocus SIT ExDa'!$B$2:$J$173, 2,FALSE), IFERROR(VLOOKUP($A426,'Telstra ExDa'!$B$2:$K$310, 4,FALSE), IFERROR(VLOOKUP($A426,'Vocus RVC ExDa'!$C$2:$R$155, 8,FALSE), IFERROR(VLOOKUP($A426,'Fusion ExDa'!$B$2:$D$16, 4,FALSE), IFERROR(VLOOKUP($A426,'Exetel ExDa'!$C$2:$N$14, 5,FALSE), IFERROR(VLOOKUP($A426,'Infinet ExDa'!$B$2:$E$14, 3,FALSE), "Not Found"))))))))</f>
        <v>Not Found</v>
      </c>
      <c r="F426" t="str">
        <f>IFERROR(VLOOKUP($A426,'AAPT ExDa'!$B$2:$U$99, 4,FALSE), IFERROR(VLOOKUP($A426,'ABB ExDa'!$A$2:$N$184, 6,FALSE), IFERROR(VLOOKUP($A426,'Vocus SIT ExDa'!$B$2:$J$173, 3,FALSE), IFERROR(VLOOKUP($A426,'Telstra ExDa'!$B$2:$K$310, 5,FALSE), IFERROR(VLOOKUP($A426,'Vocus RVC ExDa'!$C$2:$R$155, 9,FALSE), IFERROR(VLOOKUP($A426,'Fusion ExDa'!$B$2:$D$16, 0,FALSE), IFERROR(VLOOKUP($A426,'Exetel ExDa'!$C$2:$N$14, 6,FALSE), IFERROR(VLOOKUP($A426,'Infinet ExDa'!$B$2:$E$14, 0,FALSE), "Not Found"))))))))</f>
        <v>Not Found</v>
      </c>
      <c r="G426" t="str">
        <f>IFERROR(VLOOKUP($A426,'AAPT ExDa'!$B$2:$U$99, 5,FALSE), IFERROR(VLOOKUP($A426,'ABB ExDa'!$A$2:$N$184, 8,FALSE), IFERROR(VLOOKUP($A426,'Vocus SIT ExDa'!$B$2:$J$173, 6,FALSE), IFERROR(VLOOKUP($A426,'Telstra ExDa'!$B$2:$K$310, 0,FALSE), IFERROR(VLOOKUP($A426,'Vocus RVC ExDa'!$C$2:$R$155, 15,FALSE), IFERROR(VLOOKUP($A426,'Fusion ExDa'!$B$2:$D$16, 0,FALSE), IFERROR(VLOOKUP($A426,'Exetel ExDa'!$C$2:$N$14, 7,FALSE), IFERROR(VLOOKUP($A426,'Infinet ExDa'!$B$2:$E$14, 0,FALSE), "Not Found"))))))))</f>
        <v>Not Found</v>
      </c>
      <c r="H426" t="str">
        <f>IFERROR(VLOOKUP($A426,'AAPT ExDa'!$B$2:$U$99, 6,FALSE), IFERROR(VLOOKUP($A426,'ABB ExDa'!$A$2:$N$184, 0,FALSE), IFERROR(VLOOKUP($A426,'Vocus SIT ExDa'!$B$2:$J$173, 0,FALSE), IFERROR(VLOOKUP($A426,'Telstra ExDa'!$B$2:$K$310, 0,FALSE), IFERROR(VLOOKUP($A426,'Vocus RVC ExDa'!$C$2:$R$155, 16,FALSE), IFERROR(VLOOKUP($A426,'Fusion ExDa'!$B$2:$D$16, 0,FALSE), IFERROR(VLOOKUP($A426,'Exetel ExDa'!$C$2:$N$14, 0,FALSE), IFERROR(VLOOKUP($A426,'Infinet ExDa'!$B$2:$E$14, 0,FALSE), "Not Found"))))))))</f>
        <v>Not Found</v>
      </c>
      <c r="I426" t="str">
        <f>IFERROR(VLOOKUP($A426,'AAPT ExDa'!$B$2:$U$99, 0,FALSE), IFERROR(VLOOKUP($A426,'ABB ExDa'!$A$2:$N$184, 0,FALSE), IFERROR(VLOOKUP($A426,'Vocus SIT ExDa'!$B$2:$J$173, 0,FALSE), IFERROR(VLOOKUP($A426,'Telstra ExDa'!$B$2:$K$310, 0,FALSE), IFERROR(VLOOKUP($A426,'Vocus RVC ExDa'!$C$2:$R$155, 0,FALSE), IFERROR(VLOOKUP($A426,'Fusion ExDa'!$B$2:$D$16, 0,FALSE), IFERROR(VLOOKUP($A426,'Exetel ExDa'!$C$2:$N$14, 8,FALSE), IFERROR(VLOOKUP($A426,'Infinet ExDa'!$B$2:$E$14, 0,FALSE), "Not Found"))))))))</f>
        <v>Not Found</v>
      </c>
      <c r="J426" t="str">
        <f>IFERROR(VLOOKUP($A426,'AAPT ExDa'!$B$2:$U$99, 7,FALSE), IFERROR(VLOOKUP($A426,'ABB ExDa'!$A$2:$N$184, 2,FALSE), IFERROR(VLOOKUP($A426,'Vocus SIT ExDa'!$B$2:$J$173, 0,FALSE), IFERROR(VLOOKUP($A426,'Telstra ExDa'!$B$2:$K$310, 7,FALSE), IFERROR(VLOOKUP($A426,'Vocus RVC ExDa'!$C$2:$R$155, 2,FALSE), IFERROR(VLOOKUP($A426,'Fusion ExDa'!$B$2:$D$16, 3,FALSE), IFERROR(VLOOKUP($A426,'Exetel ExDa'!$C$2:$N$14, 0,FALSE), IFERROR(VLOOKUP($A426,'Infinet ExDa'!$B$2:$E$14, 0,FALSE), "Not Found"))))))))</f>
        <v>Not Found</v>
      </c>
      <c r="K426" t="str">
        <f>IFERROR(VLOOKUP($A426,'AAPT ExDa'!$B$2:$U$99, 12,FALSE), IFERROR(VLOOKUP($A426,'ABB ExDa'!$A$2:$N$184, 0,FALSE), IFERROR(VLOOKUP($A426,'Vocus SIT ExDa'!$B$2:$J$173, 0,FALSE), IFERROR(VLOOKUP($A426,'Telstra ExDa'!$B$2:$K$310, 0,FALSE), IFERROR(VLOOKUP($A426,'Vocus RVC ExDa'!$C$2:$R$155, 0,FALSE), IFERROR(VLOOKUP($A426,'Fusion ExDa'!$B$2:$D$16, 0,FALSE), IFERROR(VLOOKUP($A426,'Exetel ExDa'!$C$2:$N$14, 12,FALSE), IFERROR(VLOOKUP($A426,'Infinet ExDa'!$B$2:$E$14, 0,FALSE), "Not Found"))))))))</f>
        <v>Not Found</v>
      </c>
      <c r="L426" s="235" t="str">
        <f>IFERROR(VLOOKUP($A426,'AAPT ExDa'!$B$2:$U$99, 11,FALSE), IFERROR(VLOOKUP($A426,'ABB ExDa'!$A$2:$N$184, 9,FALSE), IFERROR(VLOOKUP($A426,'Vocus SIT ExDa'!$B$2:$J$173, 8,FALSE), IFERROR(VLOOKUP($A426,'Telstra ExDa'!$B$2:$K$310, 0,FALSE), IFERROR(VLOOKUP($A426,'Vocus RVC ExDa'!$C$2:$R$155, 0,FALSE), IFERROR(VLOOKUP($A426,'Fusion ExDa'!$B$2:$D$16, 0,FALSE), IFERROR(VLOOKUP($A426,'Exetel ExDa'!$C$2:$N$14, 9,FALSE), IFERROR(VLOOKUP($A426,'Infinet ExDa'!$B$2:$E$14, 0,FALSE), "Not Found"))))))))</f>
        <v>Not Found</v>
      </c>
      <c r="M426" s="234" t="str">
        <f>IFERROR(VLOOKUP($A426,'AAPT ExDa'!$B$2:$U$99, 0,FALSE), IFERROR(VLOOKUP($A426,'ABB ExDa'!$A$2:$N$184, 0,FALSE), IFERROR(VLOOKUP($A426,'Vocus SIT ExDa'!$B$2:$J$173, 0,FALSE), IFERROR(VLOOKUP($A426,'Telstra ExDa'!$B$2:$K$310, 0,FALSE), IFERROR(VLOOKUP($A426,'Vocus RVC ExDa'!$C$2:$R$155, 0,FALSE), IFERROR(VLOOKUP($A426,'Fusion ExDa'!$B$2:$D$16, 0,FALSE), IFERROR(VLOOKUP($A426,'Exetel ExDa'!$C$2:$N$14, 11,FALSE), IFERROR(VLOOKUP($A426,'Infinet ExDa'!$B$2:$E$14, 0,FALSE), "Not Found"))))))))</f>
        <v>Not Found</v>
      </c>
      <c r="N426" t="str">
        <f>IFERROR(VLOOKUP($A426,'AAPT ExDa'!$B$2:$U$99, 0,FALSE), IFERROR(VLOOKUP($A426,'ABB ExDa'!$A$2:$N$184, 13,FALSE), IFERROR(VLOOKUP($A426,'Vocus SIT ExDa'!$B$2:$J$173, 0,FALSE), IFERROR(VLOOKUP($A426,'Telstra ExDa'!$B$2:$K$310, 0,FALSE), IFERROR(VLOOKUP($A426,'Vocus RVC ExDa'!$C$2:$R$155, 0,FALSE), IFERROR(VLOOKUP($A426,'Fusion ExDa'!$B$2:$D$16, 0,FALSE), IFERROR(VLOOKUP($A426,'Exetel ExDa'!$C$2:$N$14, 0,FALSE), IFERROR(VLOOKUP($A426,'Infinet ExDa'!$B$2:$E$14, 0,FALSE), "Not Found"))))))))</f>
        <v>Not Found</v>
      </c>
    </row>
    <row r="427" spans="1:14">
      <c r="A427">
        <v>0</v>
      </c>
      <c r="B427" t="str">
        <f>IFERROR(VLOOKUP(A427,'Exetel ExDa'!$C$2:$N$14,4,FALSE),"No Data")</f>
        <v>No Data</v>
      </c>
      <c r="C427" t="str">
        <f>IFERROR(VLOOKUP(A427,'AAPT ExDa'!$B$2:$U$99, 2,FALSE), IFERROR(VLOOKUP(A427,'ABB ExDa'!$A$2:$N$184, 2,FALSE), IFERROR(VLOOKUP(A427,'Vocus SIT ExDa'!$B$2:$J$173, 7,FALSE), IFERROR(VLOOKUP(A427,'Telstra ExDa'!$B$2:$K$310, 2,FALSE), IFERROR(VLOOKUP(A427,'Vocus RVC ExDa'!$C$2:$R$155, 3,FALSE), IFERROR(VLOOKUP(A427,'Fusion ExDa'!$B$2:$D$16, 2,FALSE), IFERROR(VLOOKUP(A427,'Exetel ExDa'!$C$2:$N$14, 2,FALSE), IFERROR(VLOOKUP(A427,'Infinet ExDa'!$B$2:$E$14, 2,FALSE), "Not Found"))))))))</f>
        <v>Not Found</v>
      </c>
      <c r="D427" t="str">
        <f>IFERROR(VLOOKUP($A427,'AAPT ExDa'!$B$2:$U$99, 15,FALSE), IFERROR(VLOOKUP($A427,'ABB ExDa'!$A$2:$N$184, 4,FALSE), IFERROR(VLOOKUP($A427,'Vocus SIT ExDa'!$B$2:$J$173, 5,FALSE), IFERROR(VLOOKUP($A427,'Telstra ExDa'!$B$2:$K$310, 8,FALSE), IFERROR(VLOOKUP($A427,'Vocus RVC ExDa'!$C$2:$R$155, 6,FALSE), IFERROR(VLOOKUP($A427,'Fusion ExDa'!$B$2:$D$16, 4,FALSE), IFERROR(VLOOKUP($A427,'Exetel ExDa'!$C$2:$N$14, 3,FALSE), IFERROR(VLOOKUP($A427,'Infinet ExDa'!$B$2:$E$14, 3,FALSE), "Not Found"))))))))</f>
        <v>Not Found</v>
      </c>
      <c r="E427" t="str">
        <f>IFERROR(VLOOKUP($A427,'AAPT ExDa'!$B$2:$U$99, 3,FALSE), IFERROR(VLOOKUP($A427,'ABB ExDa'!$A$2:$N$184, 5,FALSE), IFERROR(VLOOKUP($A427,'Vocus SIT ExDa'!$B$2:$J$173, 2,FALSE), IFERROR(VLOOKUP($A427,'Telstra ExDa'!$B$2:$K$310, 4,FALSE), IFERROR(VLOOKUP($A427,'Vocus RVC ExDa'!$C$2:$R$155, 8,FALSE), IFERROR(VLOOKUP($A427,'Fusion ExDa'!$B$2:$D$16, 4,FALSE), IFERROR(VLOOKUP($A427,'Exetel ExDa'!$C$2:$N$14, 5,FALSE), IFERROR(VLOOKUP($A427,'Infinet ExDa'!$B$2:$E$14, 3,FALSE), "Not Found"))))))))</f>
        <v>Not Found</v>
      </c>
      <c r="F427" t="str">
        <f>IFERROR(VLOOKUP($A427,'AAPT ExDa'!$B$2:$U$99, 4,FALSE), IFERROR(VLOOKUP($A427,'ABB ExDa'!$A$2:$N$184, 6,FALSE), IFERROR(VLOOKUP($A427,'Vocus SIT ExDa'!$B$2:$J$173, 3,FALSE), IFERROR(VLOOKUP($A427,'Telstra ExDa'!$B$2:$K$310, 5,FALSE), IFERROR(VLOOKUP($A427,'Vocus RVC ExDa'!$C$2:$R$155, 9,FALSE), IFERROR(VLOOKUP($A427,'Fusion ExDa'!$B$2:$D$16, 0,FALSE), IFERROR(VLOOKUP($A427,'Exetel ExDa'!$C$2:$N$14, 6,FALSE), IFERROR(VLOOKUP($A427,'Infinet ExDa'!$B$2:$E$14, 0,FALSE), "Not Found"))))))))</f>
        <v>Not Found</v>
      </c>
      <c r="G427" t="str">
        <f>IFERROR(VLOOKUP($A427,'AAPT ExDa'!$B$2:$U$99, 5,FALSE), IFERROR(VLOOKUP($A427,'ABB ExDa'!$A$2:$N$184, 8,FALSE), IFERROR(VLOOKUP($A427,'Vocus SIT ExDa'!$B$2:$J$173, 6,FALSE), IFERROR(VLOOKUP($A427,'Telstra ExDa'!$B$2:$K$310, 0,FALSE), IFERROR(VLOOKUP($A427,'Vocus RVC ExDa'!$C$2:$R$155, 15,FALSE), IFERROR(VLOOKUP($A427,'Fusion ExDa'!$B$2:$D$16, 0,FALSE), IFERROR(VLOOKUP($A427,'Exetel ExDa'!$C$2:$N$14, 7,FALSE), IFERROR(VLOOKUP($A427,'Infinet ExDa'!$B$2:$E$14, 0,FALSE), "Not Found"))))))))</f>
        <v>Not Found</v>
      </c>
      <c r="H427" t="str">
        <f>IFERROR(VLOOKUP($A427,'AAPT ExDa'!$B$2:$U$99, 6,FALSE), IFERROR(VLOOKUP($A427,'ABB ExDa'!$A$2:$N$184, 0,FALSE), IFERROR(VLOOKUP($A427,'Vocus SIT ExDa'!$B$2:$J$173, 0,FALSE), IFERROR(VLOOKUP($A427,'Telstra ExDa'!$B$2:$K$310, 0,FALSE), IFERROR(VLOOKUP($A427,'Vocus RVC ExDa'!$C$2:$R$155, 16,FALSE), IFERROR(VLOOKUP($A427,'Fusion ExDa'!$B$2:$D$16, 0,FALSE), IFERROR(VLOOKUP($A427,'Exetel ExDa'!$C$2:$N$14, 0,FALSE), IFERROR(VLOOKUP($A427,'Infinet ExDa'!$B$2:$E$14, 0,FALSE), "Not Found"))))))))</f>
        <v>Not Found</v>
      </c>
      <c r="I427" t="str">
        <f>IFERROR(VLOOKUP($A427,'AAPT ExDa'!$B$2:$U$99, 0,FALSE), IFERROR(VLOOKUP($A427,'ABB ExDa'!$A$2:$N$184, 0,FALSE), IFERROR(VLOOKUP($A427,'Vocus SIT ExDa'!$B$2:$J$173, 0,FALSE), IFERROR(VLOOKUP($A427,'Telstra ExDa'!$B$2:$K$310, 0,FALSE), IFERROR(VLOOKUP($A427,'Vocus RVC ExDa'!$C$2:$R$155, 0,FALSE), IFERROR(VLOOKUP($A427,'Fusion ExDa'!$B$2:$D$16, 0,FALSE), IFERROR(VLOOKUP($A427,'Exetel ExDa'!$C$2:$N$14, 8,FALSE), IFERROR(VLOOKUP($A427,'Infinet ExDa'!$B$2:$E$14, 0,FALSE), "Not Found"))))))))</f>
        <v>Not Found</v>
      </c>
      <c r="J427" t="str">
        <f>IFERROR(VLOOKUP($A427,'AAPT ExDa'!$B$2:$U$99, 7,FALSE), IFERROR(VLOOKUP($A427,'ABB ExDa'!$A$2:$N$184, 2,FALSE), IFERROR(VLOOKUP($A427,'Vocus SIT ExDa'!$B$2:$J$173, 0,FALSE), IFERROR(VLOOKUP($A427,'Telstra ExDa'!$B$2:$K$310, 7,FALSE), IFERROR(VLOOKUP($A427,'Vocus RVC ExDa'!$C$2:$R$155, 2,FALSE), IFERROR(VLOOKUP($A427,'Fusion ExDa'!$B$2:$D$16, 3,FALSE), IFERROR(VLOOKUP($A427,'Exetel ExDa'!$C$2:$N$14, 0,FALSE), IFERROR(VLOOKUP($A427,'Infinet ExDa'!$B$2:$E$14, 0,FALSE), "Not Found"))))))))</f>
        <v>Not Found</v>
      </c>
      <c r="K427" t="str">
        <f>IFERROR(VLOOKUP($A427,'AAPT ExDa'!$B$2:$U$99, 12,FALSE), IFERROR(VLOOKUP($A427,'ABB ExDa'!$A$2:$N$184, 0,FALSE), IFERROR(VLOOKUP($A427,'Vocus SIT ExDa'!$B$2:$J$173, 0,FALSE), IFERROR(VLOOKUP($A427,'Telstra ExDa'!$B$2:$K$310, 0,FALSE), IFERROR(VLOOKUP($A427,'Vocus RVC ExDa'!$C$2:$R$155, 0,FALSE), IFERROR(VLOOKUP($A427,'Fusion ExDa'!$B$2:$D$16, 0,FALSE), IFERROR(VLOOKUP($A427,'Exetel ExDa'!$C$2:$N$14, 12,FALSE), IFERROR(VLOOKUP($A427,'Infinet ExDa'!$B$2:$E$14, 0,FALSE), "Not Found"))))))))</f>
        <v>Not Found</v>
      </c>
      <c r="L427" s="235" t="str">
        <f>IFERROR(VLOOKUP($A427,'AAPT ExDa'!$B$2:$U$99, 11,FALSE), IFERROR(VLOOKUP($A427,'ABB ExDa'!$A$2:$N$184, 9,FALSE), IFERROR(VLOOKUP($A427,'Vocus SIT ExDa'!$B$2:$J$173, 8,FALSE), IFERROR(VLOOKUP($A427,'Telstra ExDa'!$B$2:$K$310, 0,FALSE), IFERROR(VLOOKUP($A427,'Vocus RVC ExDa'!$C$2:$R$155, 0,FALSE), IFERROR(VLOOKUP($A427,'Fusion ExDa'!$B$2:$D$16, 0,FALSE), IFERROR(VLOOKUP($A427,'Exetel ExDa'!$C$2:$N$14, 9,FALSE), IFERROR(VLOOKUP($A427,'Infinet ExDa'!$B$2:$E$14, 0,FALSE), "Not Found"))))))))</f>
        <v>Not Found</v>
      </c>
      <c r="M427" s="234" t="str">
        <f>IFERROR(VLOOKUP($A427,'AAPT ExDa'!$B$2:$U$99, 0,FALSE), IFERROR(VLOOKUP($A427,'ABB ExDa'!$A$2:$N$184, 0,FALSE), IFERROR(VLOOKUP($A427,'Vocus SIT ExDa'!$B$2:$J$173, 0,FALSE), IFERROR(VLOOKUP($A427,'Telstra ExDa'!$B$2:$K$310, 0,FALSE), IFERROR(VLOOKUP($A427,'Vocus RVC ExDa'!$C$2:$R$155, 0,FALSE), IFERROR(VLOOKUP($A427,'Fusion ExDa'!$B$2:$D$16, 0,FALSE), IFERROR(VLOOKUP($A427,'Exetel ExDa'!$C$2:$N$14, 11,FALSE), IFERROR(VLOOKUP($A427,'Infinet ExDa'!$B$2:$E$14, 0,FALSE), "Not Found"))))))))</f>
        <v>Not Found</v>
      </c>
      <c r="N427" t="str">
        <f>IFERROR(VLOOKUP($A427,'AAPT ExDa'!$B$2:$U$99, 0,FALSE), IFERROR(VLOOKUP($A427,'ABB ExDa'!$A$2:$N$184, 13,FALSE), IFERROR(VLOOKUP($A427,'Vocus SIT ExDa'!$B$2:$J$173, 0,FALSE), IFERROR(VLOOKUP($A427,'Telstra ExDa'!$B$2:$K$310, 0,FALSE), IFERROR(VLOOKUP($A427,'Vocus RVC ExDa'!$C$2:$R$155, 0,FALSE), IFERROR(VLOOKUP($A427,'Fusion ExDa'!$B$2:$D$16, 0,FALSE), IFERROR(VLOOKUP($A427,'Exetel ExDa'!$C$2:$N$14, 0,FALSE), IFERROR(VLOOKUP($A427,'Infinet ExDa'!$B$2:$E$14, 0,FALSE), "Not Found"))))))))</f>
        <v>Not Found</v>
      </c>
    </row>
    <row r="428" spans="1:14">
      <c r="A428" t="str">
        <v>Dr. Julie Beak (Paedicare Pty Ltd)</v>
      </c>
      <c r="B428" t="str">
        <f>IFERROR(VLOOKUP(A428,'Exetel ExDa'!$C$2:$N$14,4,FALSE),"No Data")</f>
        <v>No Data</v>
      </c>
      <c r="C428" t="str">
        <f>IFERROR(VLOOKUP(A428,'AAPT ExDa'!$B$2:$U$99, 2,FALSE), IFERROR(VLOOKUP(A428,'ABB ExDa'!$A$2:$N$184, 2,FALSE), IFERROR(VLOOKUP(A428,'Vocus SIT ExDa'!$B$2:$J$173, 7,FALSE), IFERROR(VLOOKUP(A428,'Telstra ExDa'!$B$2:$K$310, 2,FALSE), IFERROR(VLOOKUP(A428,'Vocus RVC ExDa'!$C$2:$R$155, 3,FALSE), IFERROR(VLOOKUP(A428,'Fusion ExDa'!$B$2:$D$16, 2,FALSE), IFERROR(VLOOKUP(A428,'Exetel ExDa'!$C$2:$N$14, 2,FALSE), IFERROR(VLOOKUP(A428,'Infinet ExDa'!$B$2:$E$14, 2,FALSE), "Not Found"))))))))</f>
        <v>Unit 5, 28 Metroplex Avenue, MURARRIE QLD 4173</v>
      </c>
      <c r="D428" t="str">
        <f>IFERROR(VLOOKUP($A428,'AAPT ExDa'!$B$2:$U$99, 15,FALSE), IFERROR(VLOOKUP($A428,'ABB ExDa'!$A$2:$N$184, 4,FALSE), IFERROR(VLOOKUP($A428,'Vocus SIT ExDa'!$B$2:$J$173, 5,FALSE), IFERROR(VLOOKUP($A428,'Telstra ExDa'!$B$2:$K$310, 8,FALSE), IFERROR(VLOOKUP($A428,'Vocus RVC ExDa'!$C$2:$R$155, 6,FALSE), IFERROR(VLOOKUP($A428,'Fusion ExDa'!$B$2:$D$16, 4,FALSE), IFERROR(VLOOKUP($A428,'Exetel ExDa'!$C$2:$N$14, 3,FALSE), IFERROR(VLOOKUP($A428,'Infinet ExDa'!$B$2:$E$14, 3,FALSE), "Not Found"))))))))</f>
        <v>Vocus SIT</v>
      </c>
      <c r="E428" t="str">
        <f>IFERROR(VLOOKUP($A428,'AAPT ExDa'!$B$2:$U$99, 3,FALSE), IFERROR(VLOOKUP($A428,'ABB ExDa'!$A$2:$N$184, 5,FALSE), IFERROR(VLOOKUP($A428,'Vocus SIT ExDa'!$B$2:$J$173, 2,FALSE), IFERROR(VLOOKUP($A428,'Telstra ExDa'!$B$2:$K$310, 4,FALSE), IFERROR(VLOOKUP($A428,'Vocus RVC ExDa'!$C$2:$R$155, 8,FALSE), IFERROR(VLOOKUP($A428,'Fusion ExDa'!$B$2:$D$16, 4,FALSE), IFERROR(VLOOKUP($A428,'Exetel ExDa'!$C$2:$N$14, 5,FALSE), IFERROR(VLOOKUP($A428,'Infinet ExDa'!$B$2:$E$14, 3,FALSE), "Not Found"))))))))</f>
        <v>Voice Service</v>
      </c>
      <c r="F428" t="str">
        <f>IFERROR(VLOOKUP($A428,'AAPT ExDa'!$B$2:$U$99, 4,FALSE), IFERROR(VLOOKUP($A428,'ABB ExDa'!$A$2:$N$184, 6,FALSE), IFERROR(VLOOKUP($A428,'Vocus SIT ExDa'!$B$2:$J$173, 3,FALSE), IFERROR(VLOOKUP($A428,'Telstra ExDa'!$B$2:$K$310, 5,FALSE), IFERROR(VLOOKUP($A428,'Vocus RVC ExDa'!$C$2:$R$155, 9,FALSE), IFERROR(VLOOKUP($A428,'Fusion ExDa'!$B$2:$D$16, 0,FALSE), IFERROR(VLOOKUP($A428,'Exetel ExDa'!$C$2:$N$14, 6,FALSE), IFERROR(VLOOKUP($A428,'Infinet ExDa'!$B$2:$E$14, 0,FALSE), "Not Found"))))))))</f>
        <v>0733588890 to 0733588899</v>
      </c>
      <c r="G428" t="str">
        <f>IFERROR(VLOOKUP($A428,'AAPT ExDa'!$B$2:$U$99, 5,FALSE), IFERROR(VLOOKUP($A428,'ABB ExDa'!$A$2:$N$184, 8,FALSE), IFERROR(VLOOKUP($A428,'Vocus SIT ExDa'!$B$2:$J$173, 6,FALSE), IFERROR(VLOOKUP($A428,'Telstra ExDa'!$B$2:$K$310, 0,FALSE), IFERROR(VLOOKUP($A428,'Vocus RVC ExDa'!$C$2:$R$155, 15,FALSE), IFERROR(VLOOKUP($A428,'Fusion ExDa'!$B$2:$D$16, 0,FALSE), IFERROR(VLOOKUP($A428,'Exetel ExDa'!$C$2:$N$14, 7,FALSE), IFERROR(VLOOKUP($A428,'Infinet ExDa'!$B$2:$E$14, 0,FALSE), "Not Found"))))))))</f>
        <v>IP Tel Order - Smile Tel - 24/08/2018 -  Julie Beak Paedicare
Voice (5 Mbps) - 28 Metroplex Avenue, Murarrie QLD 4172</v>
      </c>
      <c r="H428" t="str">
        <f>IFERROR(VLOOKUP($A428,'AAPT ExDa'!$B$2:$U$99, 6,FALSE), IFERROR(VLOOKUP($A428,'ABB ExDa'!$A$2:$N$184, 0,FALSE), IFERROR(VLOOKUP($A428,'Vocus SIT ExDa'!$B$2:$J$173, 0,FALSE), IFERROR(VLOOKUP($A428,'Telstra ExDa'!$B$2:$K$310, 0,FALSE), IFERROR(VLOOKUP($A428,'Vocus RVC ExDa'!$C$2:$R$155, 16,FALSE), IFERROR(VLOOKUP($A428,'Fusion ExDa'!$B$2:$D$16, 0,FALSE), IFERROR(VLOOKUP($A428,'Exetel ExDa'!$C$2:$N$14, 0,FALSE), IFERROR(VLOOKUP($A428,'Infinet ExDa'!$B$2:$E$14, 0,FALSE), "Not Found"))))))))</f>
        <v>Not Found</v>
      </c>
      <c r="I428" t="str">
        <f>IFERROR(VLOOKUP($A428,'AAPT ExDa'!$B$2:$U$99, 0,FALSE), IFERROR(VLOOKUP($A428,'ABB ExDa'!$A$2:$N$184, 0,FALSE), IFERROR(VLOOKUP($A428,'Vocus SIT ExDa'!$B$2:$J$173, 0,FALSE), IFERROR(VLOOKUP($A428,'Telstra ExDa'!$B$2:$K$310, 0,FALSE), IFERROR(VLOOKUP($A428,'Vocus RVC ExDa'!$C$2:$R$155, 0,FALSE), IFERROR(VLOOKUP($A428,'Fusion ExDa'!$B$2:$D$16, 0,FALSE), IFERROR(VLOOKUP($A428,'Exetel ExDa'!$C$2:$N$14, 8,FALSE), IFERROR(VLOOKUP($A428,'Infinet ExDa'!$B$2:$E$14, 0,FALSE), "Not Found"))))))))</f>
        <v>Not Found</v>
      </c>
      <c r="J428" t="str">
        <f>IFERROR(VLOOKUP($A428,'AAPT ExDa'!$B$2:$U$99, 7,FALSE), IFERROR(VLOOKUP($A428,'ABB ExDa'!$A$2:$N$184, 2,FALSE), IFERROR(VLOOKUP($A428,'Vocus SIT ExDa'!$B$2:$J$173, 0,FALSE), IFERROR(VLOOKUP($A428,'Telstra ExDa'!$B$2:$K$310, 7,FALSE), IFERROR(VLOOKUP($A428,'Vocus RVC ExDa'!$C$2:$R$155, 2,FALSE), IFERROR(VLOOKUP($A428,'Fusion ExDa'!$B$2:$D$16, 3,FALSE), IFERROR(VLOOKUP($A428,'Exetel ExDa'!$C$2:$N$14, 0,FALSE), IFERROR(VLOOKUP($A428,'Infinet ExDa'!$B$2:$E$14, 0,FALSE), "Not Found"))))))))</f>
        <v>Not Found</v>
      </c>
      <c r="K428" t="str">
        <f>IFERROR(VLOOKUP($A428,'AAPT ExDa'!$B$2:$U$99, 12,FALSE), IFERROR(VLOOKUP($A428,'ABB ExDa'!$A$2:$N$184, 0,FALSE), IFERROR(VLOOKUP($A428,'Vocus SIT ExDa'!$B$2:$J$173, 0,FALSE), IFERROR(VLOOKUP($A428,'Telstra ExDa'!$B$2:$K$310, 0,FALSE), IFERROR(VLOOKUP($A428,'Vocus RVC ExDa'!$C$2:$R$155, 0,FALSE), IFERROR(VLOOKUP($A428,'Fusion ExDa'!$B$2:$D$16, 0,FALSE), IFERROR(VLOOKUP($A428,'Exetel ExDa'!$C$2:$N$14, 12,FALSE), IFERROR(VLOOKUP($A428,'Infinet ExDa'!$B$2:$E$14, 0,FALSE), "Not Found"))))))))</f>
        <v>Not Found</v>
      </c>
      <c r="L428" s="235">
        <f>IFERROR(VLOOKUP($A428,'AAPT ExDa'!$B$2:$U$99, 11,FALSE), IFERROR(VLOOKUP($A428,'ABB ExDa'!$A$2:$N$184, 9,FALSE), IFERROR(VLOOKUP($A428,'Vocus SIT ExDa'!$B$2:$J$173, 8,FALSE), IFERROR(VLOOKUP($A428,'Telstra ExDa'!$B$2:$K$310, 0,FALSE), IFERROR(VLOOKUP($A428,'Vocus RVC ExDa'!$C$2:$R$155, 0,FALSE), IFERROR(VLOOKUP($A428,'Fusion ExDa'!$B$2:$D$16, 0,FALSE), IFERROR(VLOOKUP($A428,'Exetel ExDa'!$C$2:$N$14, 9,FALSE), IFERROR(VLOOKUP($A428,'Infinet ExDa'!$B$2:$E$14, 0,FALSE), "Not Found"))))))))</f>
        <v>43171</v>
      </c>
      <c r="M428" s="234" t="str">
        <f>IFERROR(VLOOKUP($A428,'AAPT ExDa'!$B$2:$U$99, 0,FALSE), IFERROR(VLOOKUP($A428,'ABB ExDa'!$A$2:$N$184, 0,FALSE), IFERROR(VLOOKUP($A428,'Vocus SIT ExDa'!$B$2:$J$173, 0,FALSE), IFERROR(VLOOKUP($A428,'Telstra ExDa'!$B$2:$K$310, 0,FALSE), IFERROR(VLOOKUP($A428,'Vocus RVC ExDa'!$C$2:$R$155, 0,FALSE), IFERROR(VLOOKUP($A428,'Fusion ExDa'!$B$2:$D$16, 0,FALSE), IFERROR(VLOOKUP($A428,'Exetel ExDa'!$C$2:$N$14, 11,FALSE), IFERROR(VLOOKUP($A428,'Infinet ExDa'!$B$2:$E$14, 0,FALSE), "Not Found"))))))))</f>
        <v>Not Found</v>
      </c>
      <c r="N428" t="str">
        <f>IFERROR(VLOOKUP($A428,'AAPT ExDa'!$B$2:$U$99, 0,FALSE), IFERROR(VLOOKUP($A428,'ABB ExDa'!$A$2:$N$184, 13,FALSE), IFERROR(VLOOKUP($A428,'Vocus SIT ExDa'!$B$2:$J$173, 0,FALSE), IFERROR(VLOOKUP($A428,'Telstra ExDa'!$B$2:$K$310, 0,FALSE), IFERROR(VLOOKUP($A428,'Vocus RVC ExDa'!$C$2:$R$155, 0,FALSE), IFERROR(VLOOKUP($A428,'Fusion ExDa'!$B$2:$D$16, 0,FALSE), IFERROR(VLOOKUP($A428,'Exetel ExDa'!$C$2:$N$14, 0,FALSE), IFERROR(VLOOKUP($A428,'Infinet ExDa'!$B$2:$E$14, 0,FALSE), "Not Found"))))))))</f>
        <v>Not Found</v>
      </c>
    </row>
    <row r="429" spans="1:14">
      <c r="A429" t="str">
        <v>Makris Group</v>
      </c>
      <c r="B429" t="str">
        <f>IFERROR(VLOOKUP(A429,'Exetel ExDa'!$C$2:$N$14,4,FALSE),"No Data")</f>
        <v>No Data</v>
      </c>
      <c r="C429">
        <f>IFERROR(VLOOKUP(A429,'AAPT ExDa'!$B$2:$U$99, 2,FALSE), IFERROR(VLOOKUP(A429,'ABB ExDa'!$A$2:$N$184, 2,FALSE), IFERROR(VLOOKUP(A429,'Vocus SIT ExDa'!$B$2:$J$173, 7,FALSE), IFERROR(VLOOKUP(A429,'Telstra ExDa'!$B$2:$K$310, 2,FALSE), IFERROR(VLOOKUP(A429,'Vocus RVC ExDa'!$C$2:$R$155, 3,FALSE), IFERROR(VLOOKUP(A429,'Fusion ExDa'!$B$2:$D$16, 2,FALSE), IFERROR(VLOOKUP(A429,'Exetel ExDa'!$C$2:$N$14, 2,FALSE), IFERROR(VLOOKUP(A429,'Infinet ExDa'!$B$2:$E$14, 2,FALSE), "Not Found"))))))))</f>
        <v>0</v>
      </c>
      <c r="D429" t="str">
        <f>IFERROR(VLOOKUP($A429,'AAPT ExDa'!$B$2:$U$99, 15,FALSE), IFERROR(VLOOKUP($A429,'ABB ExDa'!$A$2:$N$184, 4,FALSE), IFERROR(VLOOKUP($A429,'Vocus SIT ExDa'!$B$2:$J$173, 5,FALSE), IFERROR(VLOOKUP($A429,'Telstra ExDa'!$B$2:$K$310, 8,FALSE), IFERROR(VLOOKUP($A429,'Vocus RVC ExDa'!$C$2:$R$155, 6,FALSE), IFERROR(VLOOKUP($A429,'Fusion ExDa'!$B$2:$D$16, 4,FALSE), IFERROR(VLOOKUP($A429,'Exetel ExDa'!$C$2:$N$14, 3,FALSE), IFERROR(VLOOKUP($A429,'Infinet ExDa'!$B$2:$E$14, 3,FALSE), "Not Found"))))))))</f>
        <v>Vocus SIT</v>
      </c>
      <c r="E429" t="str">
        <f>IFERROR(VLOOKUP($A429,'AAPT ExDa'!$B$2:$U$99, 3,FALSE), IFERROR(VLOOKUP($A429,'ABB ExDa'!$A$2:$N$184, 5,FALSE), IFERROR(VLOOKUP($A429,'Vocus SIT ExDa'!$B$2:$J$173, 2,FALSE), IFERROR(VLOOKUP($A429,'Telstra ExDa'!$B$2:$K$310, 4,FALSE), IFERROR(VLOOKUP($A429,'Vocus RVC ExDa'!$C$2:$R$155, 8,FALSE), IFERROR(VLOOKUP($A429,'Fusion ExDa'!$B$2:$D$16, 4,FALSE), IFERROR(VLOOKUP($A429,'Exetel ExDa'!$C$2:$N$14, 5,FALSE), IFERROR(VLOOKUP($A429,'Infinet ExDa'!$B$2:$E$14, 3,FALSE), "Not Found"))))))))</f>
        <v>Voice Service</v>
      </c>
      <c r="F429" t="str">
        <f>IFERROR(VLOOKUP($A429,'AAPT ExDa'!$B$2:$U$99, 4,FALSE), IFERROR(VLOOKUP($A429,'ABB ExDa'!$A$2:$N$184, 6,FALSE), IFERROR(VLOOKUP($A429,'Vocus SIT ExDa'!$B$2:$J$173, 3,FALSE), IFERROR(VLOOKUP($A429,'Telstra ExDa'!$B$2:$K$310, 5,FALSE), IFERROR(VLOOKUP($A429,'Vocus RVC ExDa'!$C$2:$R$155, 9,FALSE), IFERROR(VLOOKUP($A429,'Fusion ExDa'!$B$2:$D$16, 0,FALSE), IFERROR(VLOOKUP($A429,'Exetel ExDa'!$C$2:$N$14, 6,FALSE), IFERROR(VLOOKUP($A429,'Infinet ExDa'!$B$2:$E$14, 0,FALSE), "Not Found"))))))))</f>
        <v>0884152800 to 0884152899</v>
      </c>
      <c r="G429" t="str">
        <f>IFERROR(VLOOKUP($A429,'AAPT ExDa'!$B$2:$U$99, 5,FALSE), IFERROR(VLOOKUP($A429,'ABB ExDa'!$A$2:$N$184, 8,FALSE), IFERROR(VLOOKUP($A429,'Vocus SIT ExDa'!$B$2:$J$173, 6,FALSE), IFERROR(VLOOKUP($A429,'Telstra ExDa'!$B$2:$K$310, 0,FALSE), IFERROR(VLOOKUP($A429,'Vocus RVC ExDa'!$C$2:$R$155, 15,FALSE), IFERROR(VLOOKUP($A429,'Fusion ExDa'!$B$2:$D$16, 0,FALSE), IFERROR(VLOOKUP($A429,'Exetel ExDa'!$C$2:$N$14, 7,FALSE), IFERROR(VLOOKUP($A429,'Infinet ExDa'!$B$2:$E$14, 0,FALSE), "Not Found"))))))))</f>
        <v>IP Tel Order - Smile Tel - 18/12/2020</v>
      </c>
      <c r="H429" t="str">
        <f>IFERROR(VLOOKUP($A429,'AAPT ExDa'!$B$2:$U$99, 6,FALSE), IFERROR(VLOOKUP($A429,'ABB ExDa'!$A$2:$N$184, 0,FALSE), IFERROR(VLOOKUP($A429,'Vocus SIT ExDa'!$B$2:$J$173, 0,FALSE), IFERROR(VLOOKUP($A429,'Telstra ExDa'!$B$2:$K$310, 0,FALSE), IFERROR(VLOOKUP($A429,'Vocus RVC ExDa'!$C$2:$R$155, 16,FALSE), IFERROR(VLOOKUP($A429,'Fusion ExDa'!$B$2:$D$16, 0,FALSE), IFERROR(VLOOKUP($A429,'Exetel ExDa'!$C$2:$N$14, 0,FALSE), IFERROR(VLOOKUP($A429,'Infinet ExDa'!$B$2:$E$14, 0,FALSE), "Not Found"))))))))</f>
        <v>Not Found</v>
      </c>
      <c r="I429" t="str">
        <f>IFERROR(VLOOKUP($A429,'AAPT ExDa'!$B$2:$U$99, 0,FALSE), IFERROR(VLOOKUP($A429,'ABB ExDa'!$A$2:$N$184, 0,FALSE), IFERROR(VLOOKUP($A429,'Vocus SIT ExDa'!$B$2:$J$173, 0,FALSE), IFERROR(VLOOKUP($A429,'Telstra ExDa'!$B$2:$K$310, 0,FALSE), IFERROR(VLOOKUP($A429,'Vocus RVC ExDa'!$C$2:$R$155, 0,FALSE), IFERROR(VLOOKUP($A429,'Fusion ExDa'!$B$2:$D$16, 0,FALSE), IFERROR(VLOOKUP($A429,'Exetel ExDa'!$C$2:$N$14, 8,FALSE), IFERROR(VLOOKUP($A429,'Infinet ExDa'!$B$2:$E$14, 0,FALSE), "Not Found"))))))))</f>
        <v>Not Found</v>
      </c>
      <c r="J429" t="str">
        <f>IFERROR(VLOOKUP($A429,'AAPT ExDa'!$B$2:$U$99, 7,FALSE), IFERROR(VLOOKUP($A429,'ABB ExDa'!$A$2:$N$184, 2,FALSE), IFERROR(VLOOKUP($A429,'Vocus SIT ExDa'!$B$2:$J$173, 0,FALSE), IFERROR(VLOOKUP($A429,'Telstra ExDa'!$B$2:$K$310, 7,FALSE), IFERROR(VLOOKUP($A429,'Vocus RVC ExDa'!$C$2:$R$155, 2,FALSE), IFERROR(VLOOKUP($A429,'Fusion ExDa'!$B$2:$D$16, 3,FALSE), IFERROR(VLOOKUP($A429,'Exetel ExDa'!$C$2:$N$14, 0,FALSE), IFERROR(VLOOKUP($A429,'Infinet ExDa'!$B$2:$E$14, 0,FALSE), "Not Found"))))))))</f>
        <v>Not Found</v>
      </c>
      <c r="K429" t="str">
        <f>IFERROR(VLOOKUP($A429,'AAPT ExDa'!$B$2:$U$99, 12,FALSE), IFERROR(VLOOKUP($A429,'ABB ExDa'!$A$2:$N$184, 0,FALSE), IFERROR(VLOOKUP($A429,'Vocus SIT ExDa'!$B$2:$J$173, 0,FALSE), IFERROR(VLOOKUP($A429,'Telstra ExDa'!$B$2:$K$310, 0,FALSE), IFERROR(VLOOKUP($A429,'Vocus RVC ExDa'!$C$2:$R$155, 0,FALSE), IFERROR(VLOOKUP($A429,'Fusion ExDa'!$B$2:$D$16, 0,FALSE), IFERROR(VLOOKUP($A429,'Exetel ExDa'!$C$2:$N$14, 12,FALSE), IFERROR(VLOOKUP($A429,'Infinet ExDa'!$B$2:$E$14, 0,FALSE), "Not Found"))))))))</f>
        <v>Not Found</v>
      </c>
      <c r="L429" s="235">
        <f>IFERROR(VLOOKUP($A429,'AAPT ExDa'!$B$2:$U$99, 11,FALSE), IFERROR(VLOOKUP($A429,'ABB ExDa'!$A$2:$N$184, 9,FALSE), IFERROR(VLOOKUP($A429,'Vocus SIT ExDa'!$B$2:$J$173, 8,FALSE), IFERROR(VLOOKUP($A429,'Telstra ExDa'!$B$2:$K$310, 0,FALSE), IFERROR(VLOOKUP($A429,'Vocus RVC ExDa'!$C$2:$R$155, 0,FALSE), IFERROR(VLOOKUP($A429,'Fusion ExDa'!$B$2:$D$16, 0,FALSE), IFERROR(VLOOKUP($A429,'Exetel ExDa'!$C$2:$N$14, 9,FALSE), IFERROR(VLOOKUP($A429,'Infinet ExDa'!$B$2:$E$14, 0,FALSE), "Not Found"))))))))</f>
        <v>44321</v>
      </c>
      <c r="M429" s="234" t="str">
        <f>IFERROR(VLOOKUP($A429,'AAPT ExDa'!$B$2:$U$99, 0,FALSE), IFERROR(VLOOKUP($A429,'ABB ExDa'!$A$2:$N$184, 0,FALSE), IFERROR(VLOOKUP($A429,'Vocus SIT ExDa'!$B$2:$J$173, 0,FALSE), IFERROR(VLOOKUP($A429,'Telstra ExDa'!$B$2:$K$310, 0,FALSE), IFERROR(VLOOKUP($A429,'Vocus RVC ExDa'!$C$2:$R$155, 0,FALSE), IFERROR(VLOOKUP($A429,'Fusion ExDa'!$B$2:$D$16, 0,FALSE), IFERROR(VLOOKUP($A429,'Exetel ExDa'!$C$2:$N$14, 11,FALSE), IFERROR(VLOOKUP($A429,'Infinet ExDa'!$B$2:$E$14, 0,FALSE), "Not Found"))))))))</f>
        <v>Not Found</v>
      </c>
      <c r="N429" t="str">
        <f>IFERROR(VLOOKUP($A429,'AAPT ExDa'!$B$2:$U$99, 0,FALSE), IFERROR(VLOOKUP($A429,'ABB ExDa'!$A$2:$N$184, 13,FALSE), IFERROR(VLOOKUP($A429,'Vocus SIT ExDa'!$B$2:$J$173, 0,FALSE), IFERROR(VLOOKUP($A429,'Telstra ExDa'!$B$2:$K$310, 0,FALSE), IFERROR(VLOOKUP($A429,'Vocus RVC ExDa'!$C$2:$R$155, 0,FALSE), IFERROR(VLOOKUP($A429,'Fusion ExDa'!$B$2:$D$16, 0,FALSE), IFERROR(VLOOKUP($A429,'Exetel ExDa'!$C$2:$N$14, 0,FALSE), IFERROR(VLOOKUP($A429,'Infinet ExDa'!$B$2:$E$14, 0,FALSE), "Not Found"))))))))</f>
        <v>Not Found</v>
      </c>
    </row>
    <row r="430" spans="1:14">
      <c r="A430">
        <v>0</v>
      </c>
      <c r="B430" t="str">
        <f>IFERROR(VLOOKUP(A430,'Exetel ExDa'!$C$2:$N$14,4,FALSE),"No Data")</f>
        <v>No Data</v>
      </c>
      <c r="C430" t="str">
        <f>IFERROR(VLOOKUP(A430,'AAPT ExDa'!$B$2:$U$99, 2,FALSE), IFERROR(VLOOKUP(A430,'ABB ExDa'!$A$2:$N$184, 2,FALSE), IFERROR(VLOOKUP(A430,'Vocus SIT ExDa'!$B$2:$J$173, 7,FALSE), IFERROR(VLOOKUP(A430,'Telstra ExDa'!$B$2:$K$310, 2,FALSE), IFERROR(VLOOKUP(A430,'Vocus RVC ExDa'!$C$2:$R$155, 3,FALSE), IFERROR(VLOOKUP(A430,'Fusion ExDa'!$B$2:$D$16, 2,FALSE), IFERROR(VLOOKUP(A430,'Exetel ExDa'!$C$2:$N$14, 2,FALSE), IFERROR(VLOOKUP(A430,'Infinet ExDa'!$B$2:$E$14, 2,FALSE), "Not Found"))))))))</f>
        <v>Not Found</v>
      </c>
      <c r="D430" t="str">
        <f>IFERROR(VLOOKUP($A430,'AAPT ExDa'!$B$2:$U$99, 15,FALSE), IFERROR(VLOOKUP($A430,'ABB ExDa'!$A$2:$N$184, 4,FALSE), IFERROR(VLOOKUP($A430,'Vocus SIT ExDa'!$B$2:$J$173, 5,FALSE), IFERROR(VLOOKUP($A430,'Telstra ExDa'!$B$2:$K$310, 8,FALSE), IFERROR(VLOOKUP($A430,'Vocus RVC ExDa'!$C$2:$R$155, 6,FALSE), IFERROR(VLOOKUP($A430,'Fusion ExDa'!$B$2:$D$16, 4,FALSE), IFERROR(VLOOKUP($A430,'Exetel ExDa'!$C$2:$N$14, 3,FALSE), IFERROR(VLOOKUP($A430,'Infinet ExDa'!$B$2:$E$14, 3,FALSE), "Not Found"))))))))</f>
        <v>Not Found</v>
      </c>
      <c r="E430" t="str">
        <f>IFERROR(VLOOKUP($A430,'AAPT ExDa'!$B$2:$U$99, 3,FALSE), IFERROR(VLOOKUP($A430,'ABB ExDa'!$A$2:$N$184, 5,FALSE), IFERROR(VLOOKUP($A430,'Vocus SIT ExDa'!$B$2:$J$173, 2,FALSE), IFERROR(VLOOKUP($A430,'Telstra ExDa'!$B$2:$K$310, 4,FALSE), IFERROR(VLOOKUP($A430,'Vocus RVC ExDa'!$C$2:$R$155, 8,FALSE), IFERROR(VLOOKUP($A430,'Fusion ExDa'!$B$2:$D$16, 4,FALSE), IFERROR(VLOOKUP($A430,'Exetel ExDa'!$C$2:$N$14, 5,FALSE), IFERROR(VLOOKUP($A430,'Infinet ExDa'!$B$2:$E$14, 3,FALSE), "Not Found"))))))))</f>
        <v>Not Found</v>
      </c>
      <c r="F430" t="str">
        <f>IFERROR(VLOOKUP($A430,'AAPT ExDa'!$B$2:$U$99, 4,FALSE), IFERROR(VLOOKUP($A430,'ABB ExDa'!$A$2:$N$184, 6,FALSE), IFERROR(VLOOKUP($A430,'Vocus SIT ExDa'!$B$2:$J$173, 3,FALSE), IFERROR(VLOOKUP($A430,'Telstra ExDa'!$B$2:$K$310, 5,FALSE), IFERROR(VLOOKUP($A430,'Vocus RVC ExDa'!$C$2:$R$155, 9,FALSE), IFERROR(VLOOKUP($A430,'Fusion ExDa'!$B$2:$D$16, 0,FALSE), IFERROR(VLOOKUP($A430,'Exetel ExDa'!$C$2:$N$14, 6,FALSE), IFERROR(VLOOKUP($A430,'Infinet ExDa'!$B$2:$E$14, 0,FALSE), "Not Found"))))))))</f>
        <v>Not Found</v>
      </c>
      <c r="G430" t="str">
        <f>IFERROR(VLOOKUP($A430,'AAPT ExDa'!$B$2:$U$99, 5,FALSE), IFERROR(VLOOKUP($A430,'ABB ExDa'!$A$2:$N$184, 8,FALSE), IFERROR(VLOOKUP($A430,'Vocus SIT ExDa'!$B$2:$J$173, 6,FALSE), IFERROR(VLOOKUP($A430,'Telstra ExDa'!$B$2:$K$310, 0,FALSE), IFERROR(VLOOKUP($A430,'Vocus RVC ExDa'!$C$2:$R$155, 15,FALSE), IFERROR(VLOOKUP($A430,'Fusion ExDa'!$B$2:$D$16, 0,FALSE), IFERROR(VLOOKUP($A430,'Exetel ExDa'!$C$2:$N$14, 7,FALSE), IFERROR(VLOOKUP($A430,'Infinet ExDa'!$B$2:$E$14, 0,FALSE), "Not Found"))))))))</f>
        <v>Not Found</v>
      </c>
      <c r="H430" t="str">
        <f>IFERROR(VLOOKUP($A430,'AAPT ExDa'!$B$2:$U$99, 6,FALSE), IFERROR(VLOOKUP($A430,'ABB ExDa'!$A$2:$N$184, 0,FALSE), IFERROR(VLOOKUP($A430,'Vocus SIT ExDa'!$B$2:$J$173, 0,FALSE), IFERROR(VLOOKUP($A430,'Telstra ExDa'!$B$2:$K$310, 0,FALSE), IFERROR(VLOOKUP($A430,'Vocus RVC ExDa'!$C$2:$R$155, 16,FALSE), IFERROR(VLOOKUP($A430,'Fusion ExDa'!$B$2:$D$16, 0,FALSE), IFERROR(VLOOKUP($A430,'Exetel ExDa'!$C$2:$N$14, 0,FALSE), IFERROR(VLOOKUP($A430,'Infinet ExDa'!$B$2:$E$14, 0,FALSE), "Not Found"))))))))</f>
        <v>Not Found</v>
      </c>
      <c r="I430" t="str">
        <f>IFERROR(VLOOKUP($A430,'AAPT ExDa'!$B$2:$U$99, 0,FALSE), IFERROR(VLOOKUP($A430,'ABB ExDa'!$A$2:$N$184, 0,FALSE), IFERROR(VLOOKUP($A430,'Vocus SIT ExDa'!$B$2:$J$173, 0,FALSE), IFERROR(VLOOKUP($A430,'Telstra ExDa'!$B$2:$K$310, 0,FALSE), IFERROR(VLOOKUP($A430,'Vocus RVC ExDa'!$C$2:$R$155, 0,FALSE), IFERROR(VLOOKUP($A430,'Fusion ExDa'!$B$2:$D$16, 0,FALSE), IFERROR(VLOOKUP($A430,'Exetel ExDa'!$C$2:$N$14, 8,FALSE), IFERROR(VLOOKUP($A430,'Infinet ExDa'!$B$2:$E$14, 0,FALSE), "Not Found"))))))))</f>
        <v>Not Found</v>
      </c>
      <c r="J430" t="str">
        <f>IFERROR(VLOOKUP($A430,'AAPT ExDa'!$B$2:$U$99, 7,FALSE), IFERROR(VLOOKUP($A430,'ABB ExDa'!$A$2:$N$184, 2,FALSE), IFERROR(VLOOKUP($A430,'Vocus SIT ExDa'!$B$2:$J$173, 0,FALSE), IFERROR(VLOOKUP($A430,'Telstra ExDa'!$B$2:$K$310, 7,FALSE), IFERROR(VLOOKUP($A430,'Vocus RVC ExDa'!$C$2:$R$155, 2,FALSE), IFERROR(VLOOKUP($A430,'Fusion ExDa'!$B$2:$D$16, 3,FALSE), IFERROR(VLOOKUP($A430,'Exetel ExDa'!$C$2:$N$14, 0,FALSE), IFERROR(VLOOKUP($A430,'Infinet ExDa'!$B$2:$E$14, 0,FALSE), "Not Found"))))))))</f>
        <v>Not Found</v>
      </c>
      <c r="K430" t="str">
        <f>IFERROR(VLOOKUP($A430,'AAPT ExDa'!$B$2:$U$99, 12,FALSE), IFERROR(VLOOKUP($A430,'ABB ExDa'!$A$2:$N$184, 0,FALSE), IFERROR(VLOOKUP($A430,'Vocus SIT ExDa'!$B$2:$J$173, 0,FALSE), IFERROR(VLOOKUP($A430,'Telstra ExDa'!$B$2:$K$310, 0,FALSE), IFERROR(VLOOKUP($A430,'Vocus RVC ExDa'!$C$2:$R$155, 0,FALSE), IFERROR(VLOOKUP($A430,'Fusion ExDa'!$B$2:$D$16, 0,FALSE), IFERROR(VLOOKUP($A430,'Exetel ExDa'!$C$2:$N$14, 12,FALSE), IFERROR(VLOOKUP($A430,'Infinet ExDa'!$B$2:$E$14, 0,FALSE), "Not Found"))))))))</f>
        <v>Not Found</v>
      </c>
      <c r="L430" s="235" t="str">
        <f>IFERROR(VLOOKUP($A430,'AAPT ExDa'!$B$2:$U$99, 11,FALSE), IFERROR(VLOOKUP($A430,'ABB ExDa'!$A$2:$N$184, 9,FALSE), IFERROR(VLOOKUP($A430,'Vocus SIT ExDa'!$B$2:$J$173, 8,FALSE), IFERROR(VLOOKUP($A430,'Telstra ExDa'!$B$2:$K$310, 0,FALSE), IFERROR(VLOOKUP($A430,'Vocus RVC ExDa'!$C$2:$R$155, 0,FALSE), IFERROR(VLOOKUP($A430,'Fusion ExDa'!$B$2:$D$16, 0,FALSE), IFERROR(VLOOKUP($A430,'Exetel ExDa'!$C$2:$N$14, 9,FALSE), IFERROR(VLOOKUP($A430,'Infinet ExDa'!$B$2:$E$14, 0,FALSE), "Not Found"))))))))</f>
        <v>Not Found</v>
      </c>
      <c r="M430" s="234" t="str">
        <f>IFERROR(VLOOKUP($A430,'AAPT ExDa'!$B$2:$U$99, 0,FALSE), IFERROR(VLOOKUP($A430,'ABB ExDa'!$A$2:$N$184, 0,FALSE), IFERROR(VLOOKUP($A430,'Vocus SIT ExDa'!$B$2:$J$173, 0,FALSE), IFERROR(VLOOKUP($A430,'Telstra ExDa'!$B$2:$K$310, 0,FALSE), IFERROR(VLOOKUP($A430,'Vocus RVC ExDa'!$C$2:$R$155, 0,FALSE), IFERROR(VLOOKUP($A430,'Fusion ExDa'!$B$2:$D$16, 0,FALSE), IFERROR(VLOOKUP($A430,'Exetel ExDa'!$C$2:$N$14, 11,FALSE), IFERROR(VLOOKUP($A430,'Infinet ExDa'!$B$2:$E$14, 0,FALSE), "Not Found"))))))))</f>
        <v>Not Found</v>
      </c>
      <c r="N430" t="str">
        <f>IFERROR(VLOOKUP($A430,'AAPT ExDa'!$B$2:$U$99, 0,FALSE), IFERROR(VLOOKUP($A430,'ABB ExDa'!$A$2:$N$184, 13,FALSE), IFERROR(VLOOKUP($A430,'Vocus SIT ExDa'!$B$2:$J$173, 0,FALSE), IFERROR(VLOOKUP($A430,'Telstra ExDa'!$B$2:$K$310, 0,FALSE), IFERROR(VLOOKUP($A430,'Vocus RVC ExDa'!$C$2:$R$155, 0,FALSE), IFERROR(VLOOKUP($A430,'Fusion ExDa'!$B$2:$D$16, 0,FALSE), IFERROR(VLOOKUP($A430,'Exetel ExDa'!$C$2:$N$14, 0,FALSE), IFERROR(VLOOKUP($A430,'Infinet ExDa'!$B$2:$E$14, 0,FALSE), "Not Found"))))))))</f>
        <v>Not Found</v>
      </c>
    </row>
    <row r="431" spans="1:14">
      <c r="A431" t="str">
        <v>Back2Health</v>
      </c>
      <c r="B431" t="str">
        <f>IFERROR(VLOOKUP(A431,'Exetel ExDa'!$C$2:$N$14,4,FALSE),"No Data")</f>
        <v>No Data</v>
      </c>
      <c r="C431" t="str">
        <f>IFERROR(VLOOKUP(A431,'AAPT ExDa'!$B$2:$U$99, 2,FALSE), IFERROR(VLOOKUP(A431,'ABB ExDa'!$A$2:$N$184, 2,FALSE), IFERROR(VLOOKUP(A431,'Vocus SIT ExDa'!$B$2:$J$173, 7,FALSE), IFERROR(VLOOKUP(A431,'Telstra ExDa'!$B$2:$K$310, 2,FALSE), IFERROR(VLOOKUP(A431,'Vocus RVC ExDa'!$C$2:$R$155, 3,FALSE), IFERROR(VLOOKUP(A431,'Fusion ExDa'!$B$2:$D$16, 2,FALSE), IFERROR(VLOOKUP(A431,'Exetel ExDa'!$C$2:$N$14, 2,FALSE), IFERROR(VLOOKUP(A431,'Infinet ExDa'!$B$2:$E$14, 2,FALSE), "Not Found"))))))))</f>
        <v>Unit 5, 28 Metroplex Avenue, MURARRIE QLD 4173</v>
      </c>
      <c r="D431" t="str">
        <f>IFERROR(VLOOKUP($A431,'AAPT ExDa'!$B$2:$U$99, 15,FALSE), IFERROR(VLOOKUP($A431,'ABB ExDa'!$A$2:$N$184, 4,FALSE), IFERROR(VLOOKUP($A431,'Vocus SIT ExDa'!$B$2:$J$173, 5,FALSE), IFERROR(VLOOKUP($A431,'Telstra ExDa'!$B$2:$K$310, 8,FALSE), IFERROR(VLOOKUP($A431,'Vocus RVC ExDa'!$C$2:$R$155, 6,FALSE), IFERROR(VLOOKUP($A431,'Fusion ExDa'!$B$2:$D$16, 4,FALSE), IFERROR(VLOOKUP($A431,'Exetel ExDa'!$C$2:$N$14, 3,FALSE), IFERROR(VLOOKUP($A431,'Infinet ExDa'!$B$2:$E$14, 3,FALSE), "Not Found"))))))))</f>
        <v>Vocus SIT</v>
      </c>
      <c r="E431" t="str">
        <f>IFERROR(VLOOKUP($A431,'AAPT ExDa'!$B$2:$U$99, 3,FALSE), IFERROR(VLOOKUP($A431,'ABB ExDa'!$A$2:$N$184, 5,FALSE), IFERROR(VLOOKUP($A431,'Vocus SIT ExDa'!$B$2:$J$173, 2,FALSE), IFERROR(VLOOKUP($A431,'Telstra ExDa'!$B$2:$K$310, 4,FALSE), IFERROR(VLOOKUP($A431,'Vocus RVC ExDa'!$C$2:$R$155, 8,FALSE), IFERROR(VLOOKUP($A431,'Fusion ExDa'!$B$2:$D$16, 4,FALSE), IFERROR(VLOOKUP($A431,'Exetel ExDa'!$C$2:$N$14, 5,FALSE), IFERROR(VLOOKUP($A431,'Infinet ExDa'!$B$2:$E$14, 3,FALSE), "Not Found"))))))))</f>
        <v>Voice Service</v>
      </c>
      <c r="F431" t="str">
        <f>IFERROR(VLOOKUP($A431,'AAPT ExDa'!$B$2:$U$99, 4,FALSE), IFERROR(VLOOKUP($A431,'ABB ExDa'!$A$2:$N$184, 6,FALSE), IFERROR(VLOOKUP($A431,'Vocus SIT ExDa'!$B$2:$J$173, 3,FALSE), IFERROR(VLOOKUP($A431,'Telstra ExDa'!$B$2:$K$310, 5,FALSE), IFERROR(VLOOKUP($A431,'Vocus RVC ExDa'!$C$2:$R$155, 9,FALSE), IFERROR(VLOOKUP($A431,'Fusion ExDa'!$B$2:$D$16, 0,FALSE), IFERROR(VLOOKUP($A431,'Exetel ExDa'!$C$2:$N$14, 6,FALSE), IFERROR(VLOOKUP($A431,'Infinet ExDa'!$B$2:$E$14, 0,FALSE), "Not Found"))))))))</f>
        <v>0730141120 to 0730141129
0732550671
0738440226</v>
      </c>
      <c r="G431" t="str">
        <f>IFERROR(VLOOKUP($A431,'AAPT ExDa'!$B$2:$U$99, 5,FALSE), IFERROR(VLOOKUP($A431,'ABB ExDa'!$A$2:$N$184, 8,FALSE), IFERROR(VLOOKUP($A431,'Vocus SIT ExDa'!$B$2:$J$173, 6,FALSE), IFERROR(VLOOKUP($A431,'Telstra ExDa'!$B$2:$K$310, 0,FALSE), IFERROR(VLOOKUP($A431,'Vocus RVC ExDa'!$C$2:$R$155, 15,FALSE), IFERROR(VLOOKUP($A431,'Fusion ExDa'!$B$2:$D$16, 0,FALSE), IFERROR(VLOOKUP($A431,'Exetel ExDa'!$C$2:$N$14, 7,FALSE), IFERROR(VLOOKUP($A431,'Infinet ExDa'!$B$2:$E$14, 0,FALSE), "Not Found"))))))))</f>
        <v>IP Tel Order - Smile Tel - 13/07/2018 - Back 2 Health
Voice (5 Mbps) - 28 Metroplex Avenue, Murarrie QLD 4172</v>
      </c>
      <c r="H431" t="str">
        <f>IFERROR(VLOOKUP($A431,'AAPT ExDa'!$B$2:$U$99, 6,FALSE), IFERROR(VLOOKUP($A431,'ABB ExDa'!$A$2:$N$184, 0,FALSE), IFERROR(VLOOKUP($A431,'Vocus SIT ExDa'!$B$2:$J$173, 0,FALSE), IFERROR(VLOOKUP($A431,'Telstra ExDa'!$B$2:$K$310, 0,FALSE), IFERROR(VLOOKUP($A431,'Vocus RVC ExDa'!$C$2:$R$155, 16,FALSE), IFERROR(VLOOKUP($A431,'Fusion ExDa'!$B$2:$D$16, 0,FALSE), IFERROR(VLOOKUP($A431,'Exetel ExDa'!$C$2:$N$14, 0,FALSE), IFERROR(VLOOKUP($A431,'Infinet ExDa'!$B$2:$E$14, 0,FALSE), "Not Found"))))))))</f>
        <v>Not Found</v>
      </c>
      <c r="I431" t="str">
        <f>IFERROR(VLOOKUP($A431,'AAPT ExDa'!$B$2:$U$99, 0,FALSE), IFERROR(VLOOKUP($A431,'ABB ExDa'!$A$2:$N$184, 0,FALSE), IFERROR(VLOOKUP($A431,'Vocus SIT ExDa'!$B$2:$J$173, 0,FALSE), IFERROR(VLOOKUP($A431,'Telstra ExDa'!$B$2:$K$310, 0,FALSE), IFERROR(VLOOKUP($A431,'Vocus RVC ExDa'!$C$2:$R$155, 0,FALSE), IFERROR(VLOOKUP($A431,'Fusion ExDa'!$B$2:$D$16, 0,FALSE), IFERROR(VLOOKUP($A431,'Exetel ExDa'!$C$2:$N$14, 8,FALSE), IFERROR(VLOOKUP($A431,'Infinet ExDa'!$B$2:$E$14, 0,FALSE), "Not Found"))))))))</f>
        <v>Not Found</v>
      </c>
      <c r="J431" t="str">
        <f>IFERROR(VLOOKUP($A431,'AAPT ExDa'!$B$2:$U$99, 7,FALSE), IFERROR(VLOOKUP($A431,'ABB ExDa'!$A$2:$N$184, 2,FALSE), IFERROR(VLOOKUP($A431,'Vocus SIT ExDa'!$B$2:$J$173, 0,FALSE), IFERROR(VLOOKUP($A431,'Telstra ExDa'!$B$2:$K$310, 7,FALSE), IFERROR(VLOOKUP($A431,'Vocus RVC ExDa'!$C$2:$R$155, 2,FALSE), IFERROR(VLOOKUP($A431,'Fusion ExDa'!$B$2:$D$16, 3,FALSE), IFERROR(VLOOKUP($A431,'Exetel ExDa'!$C$2:$N$14, 0,FALSE), IFERROR(VLOOKUP($A431,'Infinet ExDa'!$B$2:$E$14, 0,FALSE), "Not Found"))))))))</f>
        <v>Not Found</v>
      </c>
      <c r="K431" t="str">
        <f>IFERROR(VLOOKUP($A431,'AAPT ExDa'!$B$2:$U$99, 12,FALSE), IFERROR(VLOOKUP($A431,'ABB ExDa'!$A$2:$N$184, 0,FALSE), IFERROR(VLOOKUP($A431,'Vocus SIT ExDa'!$B$2:$J$173, 0,FALSE), IFERROR(VLOOKUP($A431,'Telstra ExDa'!$B$2:$K$310, 0,FALSE), IFERROR(VLOOKUP($A431,'Vocus RVC ExDa'!$C$2:$R$155, 0,FALSE), IFERROR(VLOOKUP($A431,'Fusion ExDa'!$B$2:$D$16, 0,FALSE), IFERROR(VLOOKUP($A431,'Exetel ExDa'!$C$2:$N$14, 12,FALSE), IFERROR(VLOOKUP($A431,'Infinet ExDa'!$B$2:$E$14, 0,FALSE), "Not Found"))))))))</f>
        <v>Not Found</v>
      </c>
      <c r="L431" s="235">
        <f>IFERROR(VLOOKUP($A431,'AAPT ExDa'!$B$2:$U$99, 11,FALSE), IFERROR(VLOOKUP($A431,'ABB ExDa'!$A$2:$N$184, 9,FALSE), IFERROR(VLOOKUP($A431,'Vocus SIT ExDa'!$B$2:$J$173, 8,FALSE), IFERROR(VLOOKUP($A431,'Telstra ExDa'!$B$2:$K$310, 0,FALSE), IFERROR(VLOOKUP($A431,'Vocus RVC ExDa'!$C$2:$R$155, 0,FALSE), IFERROR(VLOOKUP($A431,'Fusion ExDa'!$B$2:$D$16, 0,FALSE), IFERROR(VLOOKUP($A431,'Exetel ExDa'!$C$2:$N$14, 9,FALSE), IFERROR(VLOOKUP($A431,'Infinet ExDa'!$B$2:$E$14, 0,FALSE), "Not Found"))))))))</f>
        <v>43260</v>
      </c>
      <c r="M431" s="234" t="str">
        <f>IFERROR(VLOOKUP($A431,'AAPT ExDa'!$B$2:$U$99, 0,FALSE), IFERROR(VLOOKUP($A431,'ABB ExDa'!$A$2:$N$184, 0,FALSE), IFERROR(VLOOKUP($A431,'Vocus SIT ExDa'!$B$2:$J$173, 0,FALSE), IFERROR(VLOOKUP($A431,'Telstra ExDa'!$B$2:$K$310, 0,FALSE), IFERROR(VLOOKUP($A431,'Vocus RVC ExDa'!$C$2:$R$155, 0,FALSE), IFERROR(VLOOKUP($A431,'Fusion ExDa'!$B$2:$D$16, 0,FALSE), IFERROR(VLOOKUP($A431,'Exetel ExDa'!$C$2:$N$14, 11,FALSE), IFERROR(VLOOKUP($A431,'Infinet ExDa'!$B$2:$E$14, 0,FALSE), "Not Found"))))))))</f>
        <v>Not Found</v>
      </c>
      <c r="N431" t="str">
        <f>IFERROR(VLOOKUP($A431,'AAPT ExDa'!$B$2:$U$99, 0,FALSE), IFERROR(VLOOKUP($A431,'ABB ExDa'!$A$2:$N$184, 13,FALSE), IFERROR(VLOOKUP($A431,'Vocus SIT ExDa'!$B$2:$J$173, 0,FALSE), IFERROR(VLOOKUP($A431,'Telstra ExDa'!$B$2:$K$310, 0,FALSE), IFERROR(VLOOKUP($A431,'Vocus RVC ExDa'!$C$2:$R$155, 0,FALSE), IFERROR(VLOOKUP($A431,'Fusion ExDa'!$B$2:$D$16, 0,FALSE), IFERROR(VLOOKUP($A431,'Exetel ExDa'!$C$2:$N$14, 0,FALSE), IFERROR(VLOOKUP($A431,'Infinet ExDa'!$B$2:$E$14, 0,FALSE), "Not Found"))))))))</f>
        <v>Not Found</v>
      </c>
    </row>
    <row r="432" spans="1:14">
      <c r="A432" t="str">
        <v>Makris Group</v>
      </c>
      <c r="B432" t="str">
        <f>IFERROR(VLOOKUP(A432,'Exetel ExDa'!$C$2:$N$14,4,FALSE),"No Data")</f>
        <v>No Data</v>
      </c>
      <c r="C432">
        <f>IFERROR(VLOOKUP(A432,'AAPT ExDa'!$B$2:$U$99, 2,FALSE), IFERROR(VLOOKUP(A432,'ABB ExDa'!$A$2:$N$184, 2,FALSE), IFERROR(VLOOKUP(A432,'Vocus SIT ExDa'!$B$2:$J$173, 7,FALSE), IFERROR(VLOOKUP(A432,'Telstra ExDa'!$B$2:$K$310, 2,FALSE), IFERROR(VLOOKUP(A432,'Vocus RVC ExDa'!$C$2:$R$155, 3,FALSE), IFERROR(VLOOKUP(A432,'Fusion ExDa'!$B$2:$D$16, 2,FALSE), IFERROR(VLOOKUP(A432,'Exetel ExDa'!$C$2:$N$14, 2,FALSE), IFERROR(VLOOKUP(A432,'Infinet ExDa'!$B$2:$E$14, 2,FALSE), "Not Found"))))))))</f>
        <v>0</v>
      </c>
      <c r="D432" t="str">
        <f>IFERROR(VLOOKUP($A432,'AAPT ExDa'!$B$2:$U$99, 15,FALSE), IFERROR(VLOOKUP($A432,'ABB ExDa'!$A$2:$N$184, 4,FALSE), IFERROR(VLOOKUP($A432,'Vocus SIT ExDa'!$B$2:$J$173, 5,FALSE), IFERROR(VLOOKUP($A432,'Telstra ExDa'!$B$2:$K$310, 8,FALSE), IFERROR(VLOOKUP($A432,'Vocus RVC ExDa'!$C$2:$R$155, 6,FALSE), IFERROR(VLOOKUP($A432,'Fusion ExDa'!$B$2:$D$16, 4,FALSE), IFERROR(VLOOKUP($A432,'Exetel ExDa'!$C$2:$N$14, 3,FALSE), IFERROR(VLOOKUP($A432,'Infinet ExDa'!$B$2:$E$14, 3,FALSE), "Not Found"))))))))</f>
        <v>Vocus SIT</v>
      </c>
      <c r="E432" t="str">
        <f>IFERROR(VLOOKUP($A432,'AAPT ExDa'!$B$2:$U$99, 3,FALSE), IFERROR(VLOOKUP($A432,'ABB ExDa'!$A$2:$N$184, 5,FALSE), IFERROR(VLOOKUP($A432,'Vocus SIT ExDa'!$B$2:$J$173, 2,FALSE), IFERROR(VLOOKUP($A432,'Telstra ExDa'!$B$2:$K$310, 4,FALSE), IFERROR(VLOOKUP($A432,'Vocus RVC ExDa'!$C$2:$R$155, 8,FALSE), IFERROR(VLOOKUP($A432,'Fusion ExDa'!$B$2:$D$16, 4,FALSE), IFERROR(VLOOKUP($A432,'Exetel ExDa'!$C$2:$N$14, 5,FALSE), IFERROR(VLOOKUP($A432,'Infinet ExDa'!$B$2:$E$14, 3,FALSE), "Not Found"))))))))</f>
        <v>Voice Service</v>
      </c>
      <c r="F432" t="str">
        <f>IFERROR(VLOOKUP($A432,'AAPT ExDa'!$B$2:$U$99, 4,FALSE), IFERROR(VLOOKUP($A432,'ABB ExDa'!$A$2:$N$184, 6,FALSE), IFERROR(VLOOKUP($A432,'Vocus SIT ExDa'!$B$2:$J$173, 3,FALSE), IFERROR(VLOOKUP($A432,'Telstra ExDa'!$B$2:$K$310, 5,FALSE), IFERROR(VLOOKUP($A432,'Vocus RVC ExDa'!$C$2:$R$155, 9,FALSE), IFERROR(VLOOKUP($A432,'Fusion ExDa'!$B$2:$D$16, 0,FALSE), IFERROR(VLOOKUP($A432,'Exetel ExDa'!$C$2:$N$14, 6,FALSE), IFERROR(VLOOKUP($A432,'Infinet ExDa'!$B$2:$E$14, 0,FALSE), "Not Found"))))))))</f>
        <v>0884152800 to 0884152899</v>
      </c>
      <c r="G432" t="str">
        <f>IFERROR(VLOOKUP($A432,'AAPT ExDa'!$B$2:$U$99, 5,FALSE), IFERROR(VLOOKUP($A432,'ABB ExDa'!$A$2:$N$184, 8,FALSE), IFERROR(VLOOKUP($A432,'Vocus SIT ExDa'!$B$2:$J$173, 6,FALSE), IFERROR(VLOOKUP($A432,'Telstra ExDa'!$B$2:$K$310, 0,FALSE), IFERROR(VLOOKUP($A432,'Vocus RVC ExDa'!$C$2:$R$155, 15,FALSE), IFERROR(VLOOKUP($A432,'Fusion ExDa'!$B$2:$D$16, 0,FALSE), IFERROR(VLOOKUP($A432,'Exetel ExDa'!$C$2:$N$14, 7,FALSE), IFERROR(VLOOKUP($A432,'Infinet ExDa'!$B$2:$E$14, 0,FALSE), "Not Found"))))))))</f>
        <v>IP Tel Order - Smile Tel - 18/12/2020</v>
      </c>
      <c r="H432" t="str">
        <f>IFERROR(VLOOKUP($A432,'AAPT ExDa'!$B$2:$U$99, 6,FALSE), IFERROR(VLOOKUP($A432,'ABB ExDa'!$A$2:$N$184, 0,FALSE), IFERROR(VLOOKUP($A432,'Vocus SIT ExDa'!$B$2:$J$173, 0,FALSE), IFERROR(VLOOKUP($A432,'Telstra ExDa'!$B$2:$K$310, 0,FALSE), IFERROR(VLOOKUP($A432,'Vocus RVC ExDa'!$C$2:$R$155, 16,FALSE), IFERROR(VLOOKUP($A432,'Fusion ExDa'!$B$2:$D$16, 0,FALSE), IFERROR(VLOOKUP($A432,'Exetel ExDa'!$C$2:$N$14, 0,FALSE), IFERROR(VLOOKUP($A432,'Infinet ExDa'!$B$2:$E$14, 0,FALSE), "Not Found"))))))))</f>
        <v>Not Found</v>
      </c>
      <c r="I432" t="str">
        <f>IFERROR(VLOOKUP($A432,'AAPT ExDa'!$B$2:$U$99, 0,FALSE), IFERROR(VLOOKUP($A432,'ABB ExDa'!$A$2:$N$184, 0,FALSE), IFERROR(VLOOKUP($A432,'Vocus SIT ExDa'!$B$2:$J$173, 0,FALSE), IFERROR(VLOOKUP($A432,'Telstra ExDa'!$B$2:$K$310, 0,FALSE), IFERROR(VLOOKUP($A432,'Vocus RVC ExDa'!$C$2:$R$155, 0,FALSE), IFERROR(VLOOKUP($A432,'Fusion ExDa'!$B$2:$D$16, 0,FALSE), IFERROR(VLOOKUP($A432,'Exetel ExDa'!$C$2:$N$14, 8,FALSE), IFERROR(VLOOKUP($A432,'Infinet ExDa'!$B$2:$E$14, 0,FALSE), "Not Found"))))))))</f>
        <v>Not Found</v>
      </c>
      <c r="J432" t="str">
        <f>IFERROR(VLOOKUP($A432,'AAPT ExDa'!$B$2:$U$99, 7,FALSE), IFERROR(VLOOKUP($A432,'ABB ExDa'!$A$2:$N$184, 2,FALSE), IFERROR(VLOOKUP($A432,'Vocus SIT ExDa'!$B$2:$J$173, 0,FALSE), IFERROR(VLOOKUP($A432,'Telstra ExDa'!$B$2:$K$310, 7,FALSE), IFERROR(VLOOKUP($A432,'Vocus RVC ExDa'!$C$2:$R$155, 2,FALSE), IFERROR(VLOOKUP($A432,'Fusion ExDa'!$B$2:$D$16, 3,FALSE), IFERROR(VLOOKUP($A432,'Exetel ExDa'!$C$2:$N$14, 0,FALSE), IFERROR(VLOOKUP($A432,'Infinet ExDa'!$B$2:$E$14, 0,FALSE), "Not Found"))))))))</f>
        <v>Not Found</v>
      </c>
      <c r="K432" t="str">
        <f>IFERROR(VLOOKUP($A432,'AAPT ExDa'!$B$2:$U$99, 12,FALSE), IFERROR(VLOOKUP($A432,'ABB ExDa'!$A$2:$N$184, 0,FALSE), IFERROR(VLOOKUP($A432,'Vocus SIT ExDa'!$B$2:$J$173, 0,FALSE), IFERROR(VLOOKUP($A432,'Telstra ExDa'!$B$2:$K$310, 0,FALSE), IFERROR(VLOOKUP($A432,'Vocus RVC ExDa'!$C$2:$R$155, 0,FALSE), IFERROR(VLOOKUP($A432,'Fusion ExDa'!$B$2:$D$16, 0,FALSE), IFERROR(VLOOKUP($A432,'Exetel ExDa'!$C$2:$N$14, 12,FALSE), IFERROR(VLOOKUP($A432,'Infinet ExDa'!$B$2:$E$14, 0,FALSE), "Not Found"))))))))</f>
        <v>Not Found</v>
      </c>
      <c r="L432" s="235">
        <f>IFERROR(VLOOKUP($A432,'AAPT ExDa'!$B$2:$U$99, 11,FALSE), IFERROR(VLOOKUP($A432,'ABB ExDa'!$A$2:$N$184, 9,FALSE), IFERROR(VLOOKUP($A432,'Vocus SIT ExDa'!$B$2:$J$173, 8,FALSE), IFERROR(VLOOKUP($A432,'Telstra ExDa'!$B$2:$K$310, 0,FALSE), IFERROR(VLOOKUP($A432,'Vocus RVC ExDa'!$C$2:$R$155, 0,FALSE), IFERROR(VLOOKUP($A432,'Fusion ExDa'!$B$2:$D$16, 0,FALSE), IFERROR(VLOOKUP($A432,'Exetel ExDa'!$C$2:$N$14, 9,FALSE), IFERROR(VLOOKUP($A432,'Infinet ExDa'!$B$2:$E$14, 0,FALSE), "Not Found"))))))))</f>
        <v>44321</v>
      </c>
      <c r="M432" s="234" t="str">
        <f>IFERROR(VLOOKUP($A432,'AAPT ExDa'!$B$2:$U$99, 0,FALSE), IFERROR(VLOOKUP($A432,'ABB ExDa'!$A$2:$N$184, 0,FALSE), IFERROR(VLOOKUP($A432,'Vocus SIT ExDa'!$B$2:$J$173, 0,FALSE), IFERROR(VLOOKUP($A432,'Telstra ExDa'!$B$2:$K$310, 0,FALSE), IFERROR(VLOOKUP($A432,'Vocus RVC ExDa'!$C$2:$R$155, 0,FALSE), IFERROR(VLOOKUP($A432,'Fusion ExDa'!$B$2:$D$16, 0,FALSE), IFERROR(VLOOKUP($A432,'Exetel ExDa'!$C$2:$N$14, 11,FALSE), IFERROR(VLOOKUP($A432,'Infinet ExDa'!$B$2:$E$14, 0,FALSE), "Not Found"))))))))</f>
        <v>Not Found</v>
      </c>
      <c r="N432" t="str">
        <f>IFERROR(VLOOKUP($A432,'AAPT ExDa'!$B$2:$U$99, 0,FALSE), IFERROR(VLOOKUP($A432,'ABB ExDa'!$A$2:$N$184, 13,FALSE), IFERROR(VLOOKUP($A432,'Vocus SIT ExDa'!$B$2:$J$173, 0,FALSE), IFERROR(VLOOKUP($A432,'Telstra ExDa'!$B$2:$K$310, 0,FALSE), IFERROR(VLOOKUP($A432,'Vocus RVC ExDa'!$C$2:$R$155, 0,FALSE), IFERROR(VLOOKUP($A432,'Fusion ExDa'!$B$2:$D$16, 0,FALSE), IFERROR(VLOOKUP($A432,'Exetel ExDa'!$C$2:$N$14, 0,FALSE), IFERROR(VLOOKUP($A432,'Infinet ExDa'!$B$2:$E$14, 0,FALSE), "Not Found"))))))))</f>
        <v>Not Found</v>
      </c>
    </row>
    <row r="433" spans="1:14">
      <c r="A433" t="str">
        <v>Spicers Hiddenvale</v>
      </c>
      <c r="B433" t="str">
        <f>IFERROR(VLOOKUP(A433,'Exetel ExDa'!$C$2:$N$14,4,FALSE),"No Data")</f>
        <v>No Data</v>
      </c>
      <c r="C433" t="str">
        <f>IFERROR(VLOOKUP(A433,'AAPT ExDa'!$B$2:$U$99, 2,FALSE), IFERROR(VLOOKUP(A433,'ABB ExDa'!$A$2:$N$184, 2,FALSE), IFERROR(VLOOKUP(A433,'Vocus SIT ExDa'!$B$2:$J$173, 7,FALSE), IFERROR(VLOOKUP(A433,'Telstra ExDa'!$B$2:$K$310, 2,FALSE), IFERROR(VLOOKUP(A433,'Vocus RVC ExDa'!$C$2:$R$155, 3,FALSE), IFERROR(VLOOKUP(A433,'Fusion ExDa'!$B$2:$D$16, 2,FALSE), IFERROR(VLOOKUP(A433,'Exetel ExDa'!$C$2:$N$14, 2,FALSE), IFERROR(VLOOKUP(A433,'Infinet ExDa'!$B$2:$E$14, 2,FALSE), "Not Found"))))))))</f>
        <v>22 CREEDY ST, ROSEWOOD QLD</v>
      </c>
      <c r="D433" t="str">
        <f>IFERROR(VLOOKUP($A433,'AAPT ExDa'!$B$2:$U$99, 15,FALSE), IFERROR(VLOOKUP($A433,'ABB ExDa'!$A$2:$N$184, 4,FALSE), IFERROR(VLOOKUP($A433,'Vocus SIT ExDa'!$B$2:$J$173, 5,FALSE), IFERROR(VLOOKUP($A433,'Telstra ExDa'!$B$2:$K$310, 8,FALSE), IFERROR(VLOOKUP($A433,'Vocus RVC ExDa'!$C$2:$R$155, 6,FALSE), IFERROR(VLOOKUP($A433,'Fusion ExDa'!$B$2:$D$16, 4,FALSE), IFERROR(VLOOKUP($A433,'Exetel ExDa'!$C$2:$N$14, 3,FALSE), IFERROR(VLOOKUP($A433,'Infinet ExDa'!$B$2:$E$14, 3,FALSE), "Not Found"))))))))</f>
        <v>ABB</v>
      </c>
      <c r="E433" t="str">
        <f>IFERROR(VLOOKUP($A433,'AAPT ExDa'!$B$2:$U$99, 3,FALSE), IFERROR(VLOOKUP($A433,'ABB ExDa'!$A$2:$N$184, 5,FALSE), IFERROR(VLOOKUP($A433,'Vocus SIT ExDa'!$B$2:$J$173, 2,FALSE), IFERROR(VLOOKUP($A433,'Telstra ExDa'!$B$2:$K$310, 4,FALSE), IFERROR(VLOOKUP($A433,'Vocus RVC ExDa'!$C$2:$R$155, 8,FALSE), IFERROR(VLOOKUP($A433,'Fusion ExDa'!$B$2:$D$16, 4,FALSE), IFERROR(VLOOKUP($A433,'Exetel ExDa'!$C$2:$N$14, 5,FALSE), IFERROR(VLOOKUP($A433,'Infinet ExDa'!$B$2:$E$14, 3,FALSE), "Not Found"))))))))</f>
        <v>NBN 250/100</v>
      </c>
      <c r="F433" t="str">
        <f>IFERROR(VLOOKUP($A433,'AAPT ExDa'!$B$2:$U$99, 4,FALSE), IFERROR(VLOOKUP($A433,'ABB ExDa'!$A$2:$N$184, 6,FALSE), IFERROR(VLOOKUP($A433,'Vocus SIT ExDa'!$B$2:$J$173, 3,FALSE), IFERROR(VLOOKUP($A433,'Telstra ExDa'!$B$2:$K$310, 5,FALSE), IFERROR(VLOOKUP($A433,'Vocus RVC ExDa'!$C$2:$R$155, 9,FALSE), IFERROR(VLOOKUP($A433,'Fusion ExDa'!$B$2:$D$16, 0,FALSE), IFERROR(VLOOKUP($A433,'Exetel ExDa'!$C$2:$N$14, 6,FALSE), IFERROR(VLOOKUP($A433,'Infinet ExDa'!$B$2:$E$14, 0,FALSE), "Not Found"))))))))</f>
        <v xml:space="preserve">Fibre </v>
      </c>
      <c r="G433" t="str">
        <f>IFERROR(VLOOKUP($A433,'AAPT ExDa'!$B$2:$U$99, 5,FALSE), IFERROR(VLOOKUP($A433,'ABB ExDa'!$A$2:$N$184, 8,FALSE), IFERROR(VLOOKUP($A433,'Vocus SIT ExDa'!$B$2:$J$173, 6,FALSE), IFERROR(VLOOKUP($A433,'Telstra ExDa'!$B$2:$K$310, 0,FALSE), IFERROR(VLOOKUP($A433,'Vocus RVC ExDa'!$C$2:$R$155, 15,FALSE), IFERROR(VLOOKUP($A433,'Fusion ExDa'!$B$2:$D$16, 0,FALSE), IFERROR(VLOOKUP($A433,'Exetel ExDa'!$C$2:$N$14, 7,FALSE), IFERROR(VLOOKUP($A433,'Infinet ExDa'!$B$2:$E$14, 0,FALSE), "Not Found"))))))))</f>
        <v>180.150.104.60</v>
      </c>
      <c r="H433" t="str">
        <f>IFERROR(VLOOKUP($A433,'AAPT ExDa'!$B$2:$U$99, 6,FALSE), IFERROR(VLOOKUP($A433,'ABB ExDa'!$A$2:$N$184, 0,FALSE), IFERROR(VLOOKUP($A433,'Vocus SIT ExDa'!$B$2:$J$173, 0,FALSE), IFERROR(VLOOKUP($A433,'Telstra ExDa'!$B$2:$K$310, 0,FALSE), IFERROR(VLOOKUP($A433,'Vocus RVC ExDa'!$C$2:$R$155, 16,FALSE), IFERROR(VLOOKUP($A433,'Fusion ExDa'!$B$2:$D$16, 0,FALSE), IFERROR(VLOOKUP($A433,'Exetel ExDa'!$C$2:$N$14, 0,FALSE), IFERROR(VLOOKUP($A433,'Infinet ExDa'!$B$2:$E$14, 0,FALSE), "Not Found"))))))))</f>
        <v>Not Found</v>
      </c>
      <c r="I433" t="str">
        <f>IFERROR(VLOOKUP($A433,'AAPT ExDa'!$B$2:$U$99, 0,FALSE), IFERROR(VLOOKUP($A433,'ABB ExDa'!$A$2:$N$184, 0,FALSE), IFERROR(VLOOKUP($A433,'Vocus SIT ExDa'!$B$2:$J$173, 0,FALSE), IFERROR(VLOOKUP($A433,'Telstra ExDa'!$B$2:$K$310, 0,FALSE), IFERROR(VLOOKUP($A433,'Vocus RVC ExDa'!$C$2:$R$155, 0,FALSE), IFERROR(VLOOKUP($A433,'Fusion ExDa'!$B$2:$D$16, 0,FALSE), IFERROR(VLOOKUP($A433,'Exetel ExDa'!$C$2:$N$14, 8,FALSE), IFERROR(VLOOKUP($A433,'Infinet ExDa'!$B$2:$E$14, 0,FALSE), "Not Found"))))))))</f>
        <v>Not Found</v>
      </c>
      <c r="J433" t="str">
        <f>IFERROR(VLOOKUP($A433,'AAPT ExDa'!$B$2:$U$99, 7,FALSE), IFERROR(VLOOKUP($A433,'ABB ExDa'!$A$2:$N$184, 2,FALSE), IFERROR(VLOOKUP($A433,'Vocus SIT ExDa'!$B$2:$J$173, 0,FALSE), IFERROR(VLOOKUP($A433,'Telstra ExDa'!$B$2:$K$310, 7,FALSE), IFERROR(VLOOKUP($A433,'Vocus RVC ExDa'!$C$2:$R$155, 2,FALSE), IFERROR(VLOOKUP($A433,'Fusion ExDa'!$B$2:$D$16, 3,FALSE), IFERROR(VLOOKUP($A433,'Exetel ExDa'!$C$2:$N$14, 0,FALSE), IFERROR(VLOOKUP($A433,'Infinet ExDa'!$B$2:$E$14, 0,FALSE), "Not Found"))))))))</f>
        <v>22 CREEDY ST, ROSEWOOD QLD</v>
      </c>
      <c r="K433" t="str">
        <f>IFERROR(VLOOKUP($A433,'AAPT ExDa'!$B$2:$U$99, 12,FALSE), IFERROR(VLOOKUP($A433,'ABB ExDa'!$A$2:$N$184, 0,FALSE), IFERROR(VLOOKUP($A433,'Vocus SIT ExDa'!$B$2:$J$173, 0,FALSE), IFERROR(VLOOKUP($A433,'Telstra ExDa'!$B$2:$K$310, 0,FALSE), IFERROR(VLOOKUP($A433,'Vocus RVC ExDa'!$C$2:$R$155, 0,FALSE), IFERROR(VLOOKUP($A433,'Fusion ExDa'!$B$2:$D$16, 0,FALSE), IFERROR(VLOOKUP($A433,'Exetel ExDa'!$C$2:$N$14, 12,FALSE), IFERROR(VLOOKUP($A433,'Infinet ExDa'!$B$2:$E$14, 0,FALSE), "Not Found"))))))))</f>
        <v>Not Found</v>
      </c>
      <c r="L433" s="235" t="str">
        <f>IFERROR(VLOOKUP($A433,'AAPT ExDa'!$B$2:$U$99, 11,FALSE), IFERROR(VLOOKUP($A433,'ABB ExDa'!$A$2:$N$184, 9,FALSE), IFERROR(VLOOKUP($A433,'Vocus SIT ExDa'!$B$2:$J$173, 8,FALSE), IFERROR(VLOOKUP($A433,'Telstra ExDa'!$B$2:$K$310, 0,FALSE), IFERROR(VLOOKUP($A433,'Vocus RVC ExDa'!$C$2:$R$155, 0,FALSE), IFERROR(VLOOKUP($A433,'Fusion ExDa'!$B$2:$D$16, 0,FALSE), IFERROR(VLOOKUP($A433,'Exetel ExDa'!$C$2:$N$14, 9,FALSE), IFERROR(VLOOKUP($A433,'Infinet ExDa'!$B$2:$E$14, 0,FALSE), "Not Found"))))))))</f>
        <v>04 Jan 2024</v>
      </c>
      <c r="M433" s="234" t="str">
        <f>IFERROR(VLOOKUP($A433,'AAPT ExDa'!$B$2:$U$99, 0,FALSE), IFERROR(VLOOKUP($A433,'ABB ExDa'!$A$2:$N$184, 0,FALSE), IFERROR(VLOOKUP($A433,'Vocus SIT ExDa'!$B$2:$J$173, 0,FALSE), IFERROR(VLOOKUP($A433,'Telstra ExDa'!$B$2:$K$310, 0,FALSE), IFERROR(VLOOKUP($A433,'Vocus RVC ExDa'!$C$2:$R$155, 0,FALSE), IFERROR(VLOOKUP($A433,'Fusion ExDa'!$B$2:$D$16, 0,FALSE), IFERROR(VLOOKUP($A433,'Exetel ExDa'!$C$2:$N$14, 11,FALSE), IFERROR(VLOOKUP($A433,'Infinet ExDa'!$B$2:$E$14, 0,FALSE), "Not Found"))))))))</f>
        <v>Not Found</v>
      </c>
      <c r="N433" t="str">
        <f>IFERROR(VLOOKUP($A433,'AAPT ExDa'!$B$2:$U$99, 0,FALSE), IFERROR(VLOOKUP($A433,'ABB ExDa'!$A$2:$N$184, 13,FALSE), IFERROR(VLOOKUP($A433,'Vocus SIT ExDa'!$B$2:$J$173, 0,FALSE), IFERROR(VLOOKUP($A433,'Telstra ExDa'!$B$2:$K$310, 0,FALSE), IFERROR(VLOOKUP($A433,'Vocus RVC ExDa'!$C$2:$R$155, 0,FALSE), IFERROR(VLOOKUP($A433,'Fusion ExDa'!$B$2:$D$16, 0,FALSE), IFERROR(VLOOKUP($A433,'Exetel ExDa'!$C$2:$N$14, 0,FALSE), IFERROR(VLOOKUP($A433,'Infinet ExDa'!$B$2:$E$14, 0,FALSE), "Not Found"))))))))</f>
        <v>Datagate</v>
      </c>
    </row>
    <row r="434" spans="1:14">
      <c r="A434">
        <v>0</v>
      </c>
      <c r="B434" t="str">
        <f>IFERROR(VLOOKUP(A434,'Exetel ExDa'!$C$2:$N$14,4,FALSE),"No Data")</f>
        <v>No Data</v>
      </c>
      <c r="C434" t="str">
        <f>IFERROR(VLOOKUP(A434,'AAPT ExDa'!$B$2:$U$99, 2,FALSE), IFERROR(VLOOKUP(A434,'ABB ExDa'!$A$2:$N$184, 2,FALSE), IFERROR(VLOOKUP(A434,'Vocus SIT ExDa'!$B$2:$J$173, 7,FALSE), IFERROR(VLOOKUP(A434,'Telstra ExDa'!$B$2:$K$310, 2,FALSE), IFERROR(VLOOKUP(A434,'Vocus RVC ExDa'!$C$2:$R$155, 3,FALSE), IFERROR(VLOOKUP(A434,'Fusion ExDa'!$B$2:$D$16, 2,FALSE), IFERROR(VLOOKUP(A434,'Exetel ExDa'!$C$2:$N$14, 2,FALSE), IFERROR(VLOOKUP(A434,'Infinet ExDa'!$B$2:$E$14, 2,FALSE), "Not Found"))))))))</f>
        <v>Not Found</v>
      </c>
      <c r="D434" t="str">
        <f>IFERROR(VLOOKUP($A434,'AAPT ExDa'!$B$2:$U$99, 15,FALSE), IFERROR(VLOOKUP($A434,'ABB ExDa'!$A$2:$N$184, 4,FALSE), IFERROR(VLOOKUP($A434,'Vocus SIT ExDa'!$B$2:$J$173, 5,FALSE), IFERROR(VLOOKUP($A434,'Telstra ExDa'!$B$2:$K$310, 8,FALSE), IFERROR(VLOOKUP($A434,'Vocus RVC ExDa'!$C$2:$R$155, 6,FALSE), IFERROR(VLOOKUP($A434,'Fusion ExDa'!$B$2:$D$16, 4,FALSE), IFERROR(VLOOKUP($A434,'Exetel ExDa'!$C$2:$N$14, 3,FALSE), IFERROR(VLOOKUP($A434,'Infinet ExDa'!$B$2:$E$14, 3,FALSE), "Not Found"))))))))</f>
        <v>Not Found</v>
      </c>
      <c r="E434" t="str">
        <f>IFERROR(VLOOKUP($A434,'AAPT ExDa'!$B$2:$U$99, 3,FALSE), IFERROR(VLOOKUP($A434,'ABB ExDa'!$A$2:$N$184, 5,FALSE), IFERROR(VLOOKUP($A434,'Vocus SIT ExDa'!$B$2:$J$173, 2,FALSE), IFERROR(VLOOKUP($A434,'Telstra ExDa'!$B$2:$K$310, 4,FALSE), IFERROR(VLOOKUP($A434,'Vocus RVC ExDa'!$C$2:$R$155, 8,FALSE), IFERROR(VLOOKUP($A434,'Fusion ExDa'!$B$2:$D$16, 4,FALSE), IFERROR(VLOOKUP($A434,'Exetel ExDa'!$C$2:$N$14, 5,FALSE), IFERROR(VLOOKUP($A434,'Infinet ExDa'!$B$2:$E$14, 3,FALSE), "Not Found"))))))))</f>
        <v>Not Found</v>
      </c>
      <c r="F434" t="str">
        <f>IFERROR(VLOOKUP($A434,'AAPT ExDa'!$B$2:$U$99, 4,FALSE), IFERROR(VLOOKUP($A434,'ABB ExDa'!$A$2:$N$184, 6,FALSE), IFERROR(VLOOKUP($A434,'Vocus SIT ExDa'!$B$2:$J$173, 3,FALSE), IFERROR(VLOOKUP($A434,'Telstra ExDa'!$B$2:$K$310, 5,FALSE), IFERROR(VLOOKUP($A434,'Vocus RVC ExDa'!$C$2:$R$155, 9,FALSE), IFERROR(VLOOKUP($A434,'Fusion ExDa'!$B$2:$D$16, 0,FALSE), IFERROR(VLOOKUP($A434,'Exetel ExDa'!$C$2:$N$14, 6,FALSE), IFERROR(VLOOKUP($A434,'Infinet ExDa'!$B$2:$E$14, 0,FALSE), "Not Found"))))))))</f>
        <v>Not Found</v>
      </c>
      <c r="G434" t="str">
        <f>IFERROR(VLOOKUP($A434,'AAPT ExDa'!$B$2:$U$99, 5,FALSE), IFERROR(VLOOKUP($A434,'ABB ExDa'!$A$2:$N$184, 8,FALSE), IFERROR(VLOOKUP($A434,'Vocus SIT ExDa'!$B$2:$J$173, 6,FALSE), IFERROR(VLOOKUP($A434,'Telstra ExDa'!$B$2:$K$310, 0,FALSE), IFERROR(VLOOKUP($A434,'Vocus RVC ExDa'!$C$2:$R$155, 15,FALSE), IFERROR(VLOOKUP($A434,'Fusion ExDa'!$B$2:$D$16, 0,FALSE), IFERROR(VLOOKUP($A434,'Exetel ExDa'!$C$2:$N$14, 7,FALSE), IFERROR(VLOOKUP($A434,'Infinet ExDa'!$B$2:$E$14, 0,FALSE), "Not Found"))))))))</f>
        <v>Not Found</v>
      </c>
      <c r="H434" t="str">
        <f>IFERROR(VLOOKUP($A434,'AAPT ExDa'!$B$2:$U$99, 6,FALSE), IFERROR(VLOOKUP($A434,'ABB ExDa'!$A$2:$N$184, 0,FALSE), IFERROR(VLOOKUP($A434,'Vocus SIT ExDa'!$B$2:$J$173, 0,FALSE), IFERROR(VLOOKUP($A434,'Telstra ExDa'!$B$2:$K$310, 0,FALSE), IFERROR(VLOOKUP($A434,'Vocus RVC ExDa'!$C$2:$R$155, 16,FALSE), IFERROR(VLOOKUP($A434,'Fusion ExDa'!$B$2:$D$16, 0,FALSE), IFERROR(VLOOKUP($A434,'Exetel ExDa'!$C$2:$N$14, 0,FALSE), IFERROR(VLOOKUP($A434,'Infinet ExDa'!$B$2:$E$14, 0,FALSE), "Not Found"))))))))</f>
        <v>Not Found</v>
      </c>
      <c r="I434" t="str">
        <f>IFERROR(VLOOKUP($A434,'AAPT ExDa'!$B$2:$U$99, 0,FALSE), IFERROR(VLOOKUP($A434,'ABB ExDa'!$A$2:$N$184, 0,FALSE), IFERROR(VLOOKUP($A434,'Vocus SIT ExDa'!$B$2:$J$173, 0,FALSE), IFERROR(VLOOKUP($A434,'Telstra ExDa'!$B$2:$K$310, 0,FALSE), IFERROR(VLOOKUP($A434,'Vocus RVC ExDa'!$C$2:$R$155, 0,FALSE), IFERROR(VLOOKUP($A434,'Fusion ExDa'!$B$2:$D$16, 0,FALSE), IFERROR(VLOOKUP($A434,'Exetel ExDa'!$C$2:$N$14, 8,FALSE), IFERROR(VLOOKUP($A434,'Infinet ExDa'!$B$2:$E$14, 0,FALSE), "Not Found"))))))))</f>
        <v>Not Found</v>
      </c>
      <c r="J434" t="str">
        <f>IFERROR(VLOOKUP($A434,'AAPT ExDa'!$B$2:$U$99, 7,FALSE), IFERROR(VLOOKUP($A434,'ABB ExDa'!$A$2:$N$184, 2,FALSE), IFERROR(VLOOKUP($A434,'Vocus SIT ExDa'!$B$2:$J$173, 0,FALSE), IFERROR(VLOOKUP($A434,'Telstra ExDa'!$B$2:$K$310, 7,FALSE), IFERROR(VLOOKUP($A434,'Vocus RVC ExDa'!$C$2:$R$155, 2,FALSE), IFERROR(VLOOKUP($A434,'Fusion ExDa'!$B$2:$D$16, 3,FALSE), IFERROR(VLOOKUP($A434,'Exetel ExDa'!$C$2:$N$14, 0,FALSE), IFERROR(VLOOKUP($A434,'Infinet ExDa'!$B$2:$E$14, 0,FALSE), "Not Found"))))))))</f>
        <v>Not Found</v>
      </c>
      <c r="K434" t="str">
        <f>IFERROR(VLOOKUP($A434,'AAPT ExDa'!$B$2:$U$99, 12,FALSE), IFERROR(VLOOKUP($A434,'ABB ExDa'!$A$2:$N$184, 0,FALSE), IFERROR(VLOOKUP($A434,'Vocus SIT ExDa'!$B$2:$J$173, 0,FALSE), IFERROR(VLOOKUP($A434,'Telstra ExDa'!$B$2:$K$310, 0,FALSE), IFERROR(VLOOKUP($A434,'Vocus RVC ExDa'!$C$2:$R$155, 0,FALSE), IFERROR(VLOOKUP($A434,'Fusion ExDa'!$B$2:$D$16, 0,FALSE), IFERROR(VLOOKUP($A434,'Exetel ExDa'!$C$2:$N$14, 12,FALSE), IFERROR(VLOOKUP($A434,'Infinet ExDa'!$B$2:$E$14, 0,FALSE), "Not Found"))))))))</f>
        <v>Not Found</v>
      </c>
      <c r="L434" s="235" t="str">
        <f>IFERROR(VLOOKUP($A434,'AAPT ExDa'!$B$2:$U$99, 11,FALSE), IFERROR(VLOOKUP($A434,'ABB ExDa'!$A$2:$N$184, 9,FALSE), IFERROR(VLOOKUP($A434,'Vocus SIT ExDa'!$B$2:$J$173, 8,FALSE), IFERROR(VLOOKUP($A434,'Telstra ExDa'!$B$2:$K$310, 0,FALSE), IFERROR(VLOOKUP($A434,'Vocus RVC ExDa'!$C$2:$R$155, 0,FALSE), IFERROR(VLOOKUP($A434,'Fusion ExDa'!$B$2:$D$16, 0,FALSE), IFERROR(VLOOKUP($A434,'Exetel ExDa'!$C$2:$N$14, 9,FALSE), IFERROR(VLOOKUP($A434,'Infinet ExDa'!$B$2:$E$14, 0,FALSE), "Not Found"))))))))</f>
        <v>Not Found</v>
      </c>
      <c r="M434" s="234" t="str">
        <f>IFERROR(VLOOKUP($A434,'AAPT ExDa'!$B$2:$U$99, 0,FALSE), IFERROR(VLOOKUP($A434,'ABB ExDa'!$A$2:$N$184, 0,FALSE), IFERROR(VLOOKUP($A434,'Vocus SIT ExDa'!$B$2:$J$173, 0,FALSE), IFERROR(VLOOKUP($A434,'Telstra ExDa'!$B$2:$K$310, 0,FALSE), IFERROR(VLOOKUP($A434,'Vocus RVC ExDa'!$C$2:$R$155, 0,FALSE), IFERROR(VLOOKUP($A434,'Fusion ExDa'!$B$2:$D$16, 0,FALSE), IFERROR(VLOOKUP($A434,'Exetel ExDa'!$C$2:$N$14, 11,FALSE), IFERROR(VLOOKUP($A434,'Infinet ExDa'!$B$2:$E$14, 0,FALSE), "Not Found"))))))))</f>
        <v>Not Found</v>
      </c>
      <c r="N434" t="str">
        <f>IFERROR(VLOOKUP($A434,'AAPT ExDa'!$B$2:$U$99, 0,FALSE), IFERROR(VLOOKUP($A434,'ABB ExDa'!$A$2:$N$184, 13,FALSE), IFERROR(VLOOKUP($A434,'Vocus SIT ExDa'!$B$2:$J$173, 0,FALSE), IFERROR(VLOOKUP($A434,'Telstra ExDa'!$B$2:$K$310, 0,FALSE), IFERROR(VLOOKUP($A434,'Vocus RVC ExDa'!$C$2:$R$155, 0,FALSE), IFERROR(VLOOKUP($A434,'Fusion ExDa'!$B$2:$D$16, 0,FALSE), IFERROR(VLOOKUP($A434,'Exetel ExDa'!$C$2:$N$14, 0,FALSE), IFERROR(VLOOKUP($A434,'Infinet ExDa'!$B$2:$E$14, 0,FALSE), "Not Found"))))))))</f>
        <v>Not Found</v>
      </c>
    </row>
    <row r="435" spans="1:14">
      <c r="A435" t="str">
        <v>Air Restore</v>
      </c>
      <c r="B435" t="str">
        <f>IFERROR(VLOOKUP(A435,'Exetel ExDa'!$C$2:$N$14,4,FALSE),"No Data")</f>
        <v>No Data</v>
      </c>
      <c r="C435" t="str">
        <f>IFERROR(VLOOKUP(A435,'AAPT ExDa'!$B$2:$U$99, 2,FALSE), IFERROR(VLOOKUP(A435,'ABB ExDa'!$A$2:$N$184, 2,FALSE), IFERROR(VLOOKUP(A435,'Vocus SIT ExDa'!$B$2:$J$173, 7,FALSE), IFERROR(VLOOKUP(A435,'Telstra ExDa'!$B$2:$K$310, 2,FALSE), IFERROR(VLOOKUP(A435,'Vocus RVC ExDa'!$C$2:$R$155, 3,FALSE), IFERROR(VLOOKUP(A435,'Fusion ExDa'!$B$2:$D$16, 2,FALSE), IFERROR(VLOOKUP(A435,'Exetel ExDa'!$C$2:$N$14, 2,FALSE), IFERROR(VLOOKUP(A435,'Infinet ExDa'!$B$2:$E$14, 2,FALSE), "Not Found"))))))))</f>
        <v>Unit 5, 28 Metroplex Avenue, MURARRIE QLD 4173</v>
      </c>
      <c r="D435" t="str">
        <f>IFERROR(VLOOKUP($A435,'AAPT ExDa'!$B$2:$U$99, 15,FALSE), IFERROR(VLOOKUP($A435,'ABB ExDa'!$A$2:$N$184, 4,FALSE), IFERROR(VLOOKUP($A435,'Vocus SIT ExDa'!$B$2:$J$173, 5,FALSE), IFERROR(VLOOKUP($A435,'Telstra ExDa'!$B$2:$K$310, 8,FALSE), IFERROR(VLOOKUP($A435,'Vocus RVC ExDa'!$C$2:$R$155, 6,FALSE), IFERROR(VLOOKUP($A435,'Fusion ExDa'!$B$2:$D$16, 4,FALSE), IFERROR(VLOOKUP($A435,'Exetel ExDa'!$C$2:$N$14, 3,FALSE), IFERROR(VLOOKUP($A435,'Infinet ExDa'!$B$2:$E$14, 3,FALSE), "Not Found"))))))))</f>
        <v>Vocus SIT</v>
      </c>
      <c r="E435" t="str">
        <f>IFERROR(VLOOKUP($A435,'AAPT ExDa'!$B$2:$U$99, 3,FALSE), IFERROR(VLOOKUP($A435,'ABB ExDa'!$A$2:$N$184, 5,FALSE), IFERROR(VLOOKUP($A435,'Vocus SIT ExDa'!$B$2:$J$173, 2,FALSE), IFERROR(VLOOKUP($A435,'Telstra ExDa'!$B$2:$K$310, 4,FALSE), IFERROR(VLOOKUP($A435,'Vocus RVC ExDa'!$C$2:$R$155, 8,FALSE), IFERROR(VLOOKUP($A435,'Fusion ExDa'!$B$2:$D$16, 4,FALSE), IFERROR(VLOOKUP($A435,'Exetel ExDa'!$C$2:$N$14, 5,FALSE), IFERROR(VLOOKUP($A435,'Infinet ExDa'!$B$2:$E$14, 3,FALSE), "Not Found"))))))))</f>
        <v>Voice Service</v>
      </c>
      <c r="F435" t="str">
        <f>IFERROR(VLOOKUP($A435,'AAPT ExDa'!$B$2:$U$99, 4,FALSE), IFERROR(VLOOKUP($A435,'ABB ExDa'!$A$2:$N$184, 6,FALSE), IFERROR(VLOOKUP($A435,'Vocus SIT ExDa'!$B$2:$J$173, 3,FALSE), IFERROR(VLOOKUP($A435,'Telstra ExDa'!$B$2:$K$310, 5,FALSE), IFERROR(VLOOKUP($A435,'Vocus RVC ExDa'!$C$2:$R$155, 9,FALSE), IFERROR(VLOOKUP($A435,'Fusion ExDa'!$B$2:$D$16, 0,FALSE), IFERROR(VLOOKUP($A435,'Exetel ExDa'!$C$2:$N$14, 6,FALSE), IFERROR(VLOOKUP($A435,'Infinet ExDa'!$B$2:$E$14, 0,FALSE), "Not Found"))))))))</f>
        <v>0734334111
0734145514
0731521052</v>
      </c>
      <c r="G435" t="str">
        <f>IFERROR(VLOOKUP($A435,'AAPT ExDa'!$B$2:$U$99, 5,FALSE), IFERROR(VLOOKUP($A435,'ABB ExDa'!$A$2:$N$184, 8,FALSE), IFERROR(VLOOKUP($A435,'Vocus SIT ExDa'!$B$2:$J$173, 6,FALSE), IFERROR(VLOOKUP($A435,'Telstra ExDa'!$B$2:$K$310, 0,FALSE), IFERROR(VLOOKUP($A435,'Vocus RVC ExDa'!$C$2:$R$155, 15,FALSE), IFERROR(VLOOKUP($A435,'Fusion ExDa'!$B$2:$D$16, 0,FALSE), IFERROR(VLOOKUP($A435,'Exetel ExDa'!$C$2:$N$14, 7,FALSE), IFERROR(VLOOKUP($A435,'Infinet ExDa'!$B$2:$E$14, 0,FALSE), "Not Found"))))))))</f>
        <v>IP Tel Order - Smile Tel - 28/03/2018 - [Air Restore]
Voice (5 Mbps) - 28 Metroplex Avenue, Murarrie QLD 4172</v>
      </c>
      <c r="H435" t="str">
        <f>IFERROR(VLOOKUP($A435,'AAPT ExDa'!$B$2:$U$99, 6,FALSE), IFERROR(VLOOKUP($A435,'ABB ExDa'!$A$2:$N$184, 0,FALSE), IFERROR(VLOOKUP($A435,'Vocus SIT ExDa'!$B$2:$J$173, 0,FALSE), IFERROR(VLOOKUP($A435,'Telstra ExDa'!$B$2:$K$310, 0,FALSE), IFERROR(VLOOKUP($A435,'Vocus RVC ExDa'!$C$2:$R$155, 16,FALSE), IFERROR(VLOOKUP($A435,'Fusion ExDa'!$B$2:$D$16, 0,FALSE), IFERROR(VLOOKUP($A435,'Exetel ExDa'!$C$2:$N$14, 0,FALSE), IFERROR(VLOOKUP($A435,'Infinet ExDa'!$B$2:$E$14, 0,FALSE), "Not Found"))))))))</f>
        <v>Not Found</v>
      </c>
      <c r="I435" t="str">
        <f>IFERROR(VLOOKUP($A435,'AAPT ExDa'!$B$2:$U$99, 0,FALSE), IFERROR(VLOOKUP($A435,'ABB ExDa'!$A$2:$N$184, 0,FALSE), IFERROR(VLOOKUP($A435,'Vocus SIT ExDa'!$B$2:$J$173, 0,FALSE), IFERROR(VLOOKUP($A435,'Telstra ExDa'!$B$2:$K$310, 0,FALSE), IFERROR(VLOOKUP($A435,'Vocus RVC ExDa'!$C$2:$R$155, 0,FALSE), IFERROR(VLOOKUP($A435,'Fusion ExDa'!$B$2:$D$16, 0,FALSE), IFERROR(VLOOKUP($A435,'Exetel ExDa'!$C$2:$N$14, 8,FALSE), IFERROR(VLOOKUP($A435,'Infinet ExDa'!$B$2:$E$14, 0,FALSE), "Not Found"))))))))</f>
        <v>Not Found</v>
      </c>
      <c r="J435" t="str">
        <f>IFERROR(VLOOKUP($A435,'AAPT ExDa'!$B$2:$U$99, 7,FALSE), IFERROR(VLOOKUP($A435,'ABB ExDa'!$A$2:$N$184, 2,FALSE), IFERROR(VLOOKUP($A435,'Vocus SIT ExDa'!$B$2:$J$173, 0,FALSE), IFERROR(VLOOKUP($A435,'Telstra ExDa'!$B$2:$K$310, 7,FALSE), IFERROR(VLOOKUP($A435,'Vocus RVC ExDa'!$C$2:$R$155, 2,FALSE), IFERROR(VLOOKUP($A435,'Fusion ExDa'!$B$2:$D$16, 3,FALSE), IFERROR(VLOOKUP($A435,'Exetel ExDa'!$C$2:$N$14, 0,FALSE), IFERROR(VLOOKUP($A435,'Infinet ExDa'!$B$2:$E$14, 0,FALSE), "Not Found"))))))))</f>
        <v>Not Found</v>
      </c>
      <c r="K435" t="str">
        <f>IFERROR(VLOOKUP($A435,'AAPT ExDa'!$B$2:$U$99, 12,FALSE), IFERROR(VLOOKUP($A435,'ABB ExDa'!$A$2:$N$184, 0,FALSE), IFERROR(VLOOKUP($A435,'Vocus SIT ExDa'!$B$2:$J$173, 0,FALSE), IFERROR(VLOOKUP($A435,'Telstra ExDa'!$B$2:$K$310, 0,FALSE), IFERROR(VLOOKUP($A435,'Vocus RVC ExDa'!$C$2:$R$155, 0,FALSE), IFERROR(VLOOKUP($A435,'Fusion ExDa'!$B$2:$D$16, 0,FALSE), IFERROR(VLOOKUP($A435,'Exetel ExDa'!$C$2:$N$14, 12,FALSE), IFERROR(VLOOKUP($A435,'Infinet ExDa'!$B$2:$E$14, 0,FALSE), "Not Found"))))))))</f>
        <v>Not Found</v>
      </c>
      <c r="L435" s="235" t="str">
        <f>IFERROR(VLOOKUP($A435,'AAPT ExDa'!$B$2:$U$99, 11,FALSE), IFERROR(VLOOKUP($A435,'ABB ExDa'!$A$2:$N$184, 9,FALSE), IFERROR(VLOOKUP($A435,'Vocus SIT ExDa'!$B$2:$J$173, 8,FALSE), IFERROR(VLOOKUP($A435,'Telstra ExDa'!$B$2:$K$310, 0,FALSE), IFERROR(VLOOKUP($A435,'Vocus RVC ExDa'!$C$2:$R$155, 0,FALSE), IFERROR(VLOOKUP($A435,'Fusion ExDa'!$B$2:$D$16, 0,FALSE), IFERROR(VLOOKUP($A435,'Exetel ExDa'!$C$2:$N$14, 9,FALSE), IFERROR(VLOOKUP($A435,'Infinet ExDa'!$B$2:$E$14, 0,FALSE), "Not Found"))))))))</f>
        <v>22/05/2018</v>
      </c>
      <c r="M435" s="234" t="str">
        <f>IFERROR(VLOOKUP($A435,'AAPT ExDa'!$B$2:$U$99, 0,FALSE), IFERROR(VLOOKUP($A435,'ABB ExDa'!$A$2:$N$184, 0,FALSE), IFERROR(VLOOKUP($A435,'Vocus SIT ExDa'!$B$2:$J$173, 0,FALSE), IFERROR(VLOOKUP($A435,'Telstra ExDa'!$B$2:$K$310, 0,FALSE), IFERROR(VLOOKUP($A435,'Vocus RVC ExDa'!$C$2:$R$155, 0,FALSE), IFERROR(VLOOKUP($A435,'Fusion ExDa'!$B$2:$D$16, 0,FALSE), IFERROR(VLOOKUP($A435,'Exetel ExDa'!$C$2:$N$14, 11,FALSE), IFERROR(VLOOKUP($A435,'Infinet ExDa'!$B$2:$E$14, 0,FALSE), "Not Found"))))))))</f>
        <v>Not Found</v>
      </c>
      <c r="N435" t="str">
        <f>IFERROR(VLOOKUP($A435,'AAPT ExDa'!$B$2:$U$99, 0,FALSE), IFERROR(VLOOKUP($A435,'ABB ExDa'!$A$2:$N$184, 13,FALSE), IFERROR(VLOOKUP($A435,'Vocus SIT ExDa'!$B$2:$J$173, 0,FALSE), IFERROR(VLOOKUP($A435,'Telstra ExDa'!$B$2:$K$310, 0,FALSE), IFERROR(VLOOKUP($A435,'Vocus RVC ExDa'!$C$2:$R$155, 0,FALSE), IFERROR(VLOOKUP($A435,'Fusion ExDa'!$B$2:$D$16, 0,FALSE), IFERROR(VLOOKUP($A435,'Exetel ExDa'!$C$2:$N$14, 0,FALSE), IFERROR(VLOOKUP($A435,'Infinet ExDa'!$B$2:$E$14, 0,FALSE), "Not Found"))))))))</f>
        <v>Not Found</v>
      </c>
    </row>
    <row r="436" spans="1:14">
      <c r="A436" t="str">
        <v>SRHL</v>
      </c>
      <c r="B436" t="str">
        <f>IFERROR(VLOOKUP(A436,'Exetel ExDa'!$C$2:$N$14,4,FALSE),"No Data")</f>
        <v>No Data</v>
      </c>
      <c r="C436" t="str">
        <f>IFERROR(VLOOKUP(A436,'AAPT ExDa'!$B$2:$U$99, 2,FALSE), IFERROR(VLOOKUP(A436,'ABB ExDa'!$A$2:$N$184, 2,FALSE), IFERROR(VLOOKUP(A436,'Vocus SIT ExDa'!$B$2:$J$173, 7,FALSE), IFERROR(VLOOKUP(A436,'Telstra ExDa'!$B$2:$K$310, 2,FALSE), IFERROR(VLOOKUP(A436,'Vocus RVC ExDa'!$C$2:$R$155, 3,FALSE), IFERROR(VLOOKUP(A436,'Fusion ExDa'!$B$2:$D$16, 2,FALSE), IFERROR(VLOOKUP(A436,'Exetel ExDa'!$C$2:$N$14, 2,FALSE), IFERROR(VLOOKUP(A436,'Infinet ExDa'!$B$2:$E$14, 2,FALSE), "Not Found"))))))))</f>
        <v>Unit 5, 28 Metroplex Avenue, MURARRIE QLD 4173</v>
      </c>
      <c r="D436" t="str">
        <f>IFERROR(VLOOKUP($A436,'AAPT ExDa'!$B$2:$U$99, 15,FALSE), IFERROR(VLOOKUP($A436,'ABB ExDa'!$A$2:$N$184, 4,FALSE), IFERROR(VLOOKUP($A436,'Vocus SIT ExDa'!$B$2:$J$173, 5,FALSE), IFERROR(VLOOKUP($A436,'Telstra ExDa'!$B$2:$K$310, 8,FALSE), IFERROR(VLOOKUP($A436,'Vocus RVC ExDa'!$C$2:$R$155, 6,FALSE), IFERROR(VLOOKUP($A436,'Fusion ExDa'!$B$2:$D$16, 4,FALSE), IFERROR(VLOOKUP($A436,'Exetel ExDa'!$C$2:$N$14, 3,FALSE), IFERROR(VLOOKUP($A436,'Infinet ExDa'!$B$2:$E$14, 3,FALSE), "Not Found"))))))))</f>
        <v>Vocus SIT</v>
      </c>
      <c r="E436" t="str">
        <f>IFERROR(VLOOKUP($A436,'AAPT ExDa'!$B$2:$U$99, 3,FALSE), IFERROR(VLOOKUP($A436,'ABB ExDa'!$A$2:$N$184, 5,FALSE), IFERROR(VLOOKUP($A436,'Vocus SIT ExDa'!$B$2:$J$173, 2,FALSE), IFERROR(VLOOKUP($A436,'Telstra ExDa'!$B$2:$K$310, 4,FALSE), IFERROR(VLOOKUP($A436,'Vocus RVC ExDa'!$C$2:$R$155, 8,FALSE), IFERROR(VLOOKUP($A436,'Fusion ExDa'!$B$2:$D$16, 4,FALSE), IFERROR(VLOOKUP($A436,'Exetel ExDa'!$C$2:$N$14, 5,FALSE), IFERROR(VLOOKUP($A436,'Infinet ExDa'!$B$2:$E$14, 3,FALSE), "Not Found"))))))))</f>
        <v>Voice Service</v>
      </c>
      <c r="F436" t="str">
        <f>IFERROR(VLOOKUP($A436,'AAPT ExDa'!$B$2:$U$99, 4,FALSE), IFERROR(VLOOKUP($A436,'ABB ExDa'!$A$2:$N$184, 6,FALSE), IFERROR(VLOOKUP($A436,'Vocus SIT ExDa'!$B$2:$J$173, 3,FALSE), IFERROR(VLOOKUP($A436,'Telstra ExDa'!$B$2:$K$310, 5,FALSE), IFERROR(VLOOKUP($A436,'Vocus RVC ExDa'!$C$2:$R$155, 9,FALSE), IFERROR(VLOOKUP($A436,'Fusion ExDa'!$B$2:$D$16, 0,FALSE), IFERROR(VLOOKUP($A436,'Exetel ExDa'!$C$2:$N$14, 6,FALSE), IFERROR(VLOOKUP($A436,'Infinet ExDa'!$B$2:$E$14, 0,FALSE), "Not Found"))))))))</f>
        <v>n/a</v>
      </c>
      <c r="G436" t="str">
        <f>IFERROR(VLOOKUP($A436,'AAPT ExDa'!$B$2:$U$99, 5,FALSE), IFERROR(VLOOKUP($A436,'ABB ExDa'!$A$2:$N$184, 8,FALSE), IFERROR(VLOOKUP($A436,'Vocus SIT ExDa'!$B$2:$J$173, 6,FALSE), IFERROR(VLOOKUP($A436,'Telstra ExDa'!$B$2:$K$310, 0,FALSE), IFERROR(VLOOKUP($A436,'Vocus RVC ExDa'!$C$2:$R$155, 15,FALSE), IFERROR(VLOOKUP($A436,'Fusion ExDa'!$B$2:$D$16, 0,FALSE), IFERROR(VLOOKUP($A436,'Exetel ExDa'!$C$2:$N$14, 7,FALSE), IFERROR(VLOOKUP($A436,'Infinet ExDa'!$B$2:$E$14, 0,FALSE), "Not Found"))))))))</f>
        <v>IP Tel Order - Smile Tel - 26/03/2018 [SRHL]
IP Tel Call Centre Premium Supervisor
Voice (5 Mbps) - 28 Metroplex Avenue, Murarrie QLD 4172</v>
      </c>
      <c r="H436" t="str">
        <f>IFERROR(VLOOKUP($A436,'AAPT ExDa'!$B$2:$U$99, 6,FALSE), IFERROR(VLOOKUP($A436,'ABB ExDa'!$A$2:$N$184, 0,FALSE), IFERROR(VLOOKUP($A436,'Vocus SIT ExDa'!$B$2:$J$173, 0,FALSE), IFERROR(VLOOKUP($A436,'Telstra ExDa'!$B$2:$K$310, 0,FALSE), IFERROR(VLOOKUP($A436,'Vocus RVC ExDa'!$C$2:$R$155, 16,FALSE), IFERROR(VLOOKUP($A436,'Fusion ExDa'!$B$2:$D$16, 0,FALSE), IFERROR(VLOOKUP($A436,'Exetel ExDa'!$C$2:$N$14, 0,FALSE), IFERROR(VLOOKUP($A436,'Infinet ExDa'!$B$2:$E$14, 0,FALSE), "Not Found"))))))))</f>
        <v>Not Found</v>
      </c>
      <c r="I436" t="str">
        <f>IFERROR(VLOOKUP($A436,'AAPT ExDa'!$B$2:$U$99, 0,FALSE), IFERROR(VLOOKUP($A436,'ABB ExDa'!$A$2:$N$184, 0,FALSE), IFERROR(VLOOKUP($A436,'Vocus SIT ExDa'!$B$2:$J$173, 0,FALSE), IFERROR(VLOOKUP($A436,'Telstra ExDa'!$B$2:$K$310, 0,FALSE), IFERROR(VLOOKUP($A436,'Vocus RVC ExDa'!$C$2:$R$155, 0,FALSE), IFERROR(VLOOKUP($A436,'Fusion ExDa'!$B$2:$D$16, 0,FALSE), IFERROR(VLOOKUP($A436,'Exetel ExDa'!$C$2:$N$14, 8,FALSE), IFERROR(VLOOKUP($A436,'Infinet ExDa'!$B$2:$E$14, 0,FALSE), "Not Found"))))))))</f>
        <v>Not Found</v>
      </c>
      <c r="J436" t="str">
        <f>IFERROR(VLOOKUP($A436,'AAPT ExDa'!$B$2:$U$99, 7,FALSE), IFERROR(VLOOKUP($A436,'ABB ExDa'!$A$2:$N$184, 2,FALSE), IFERROR(VLOOKUP($A436,'Vocus SIT ExDa'!$B$2:$J$173, 0,FALSE), IFERROR(VLOOKUP($A436,'Telstra ExDa'!$B$2:$K$310, 7,FALSE), IFERROR(VLOOKUP($A436,'Vocus RVC ExDa'!$C$2:$R$155, 2,FALSE), IFERROR(VLOOKUP($A436,'Fusion ExDa'!$B$2:$D$16, 3,FALSE), IFERROR(VLOOKUP($A436,'Exetel ExDa'!$C$2:$N$14, 0,FALSE), IFERROR(VLOOKUP($A436,'Infinet ExDa'!$B$2:$E$14, 0,FALSE), "Not Found"))))))))</f>
        <v>Not Found</v>
      </c>
      <c r="K436" t="str">
        <f>IFERROR(VLOOKUP($A436,'AAPT ExDa'!$B$2:$U$99, 12,FALSE), IFERROR(VLOOKUP($A436,'ABB ExDa'!$A$2:$N$184, 0,FALSE), IFERROR(VLOOKUP($A436,'Vocus SIT ExDa'!$B$2:$J$173, 0,FALSE), IFERROR(VLOOKUP($A436,'Telstra ExDa'!$B$2:$K$310, 0,FALSE), IFERROR(VLOOKUP($A436,'Vocus RVC ExDa'!$C$2:$R$155, 0,FALSE), IFERROR(VLOOKUP($A436,'Fusion ExDa'!$B$2:$D$16, 0,FALSE), IFERROR(VLOOKUP($A436,'Exetel ExDa'!$C$2:$N$14, 12,FALSE), IFERROR(VLOOKUP($A436,'Infinet ExDa'!$B$2:$E$14, 0,FALSE), "Not Found"))))))))</f>
        <v>Not Found</v>
      </c>
      <c r="L436" s="235" t="str">
        <f>IFERROR(VLOOKUP($A436,'AAPT ExDa'!$B$2:$U$99, 11,FALSE), IFERROR(VLOOKUP($A436,'ABB ExDa'!$A$2:$N$184, 9,FALSE), IFERROR(VLOOKUP($A436,'Vocus SIT ExDa'!$B$2:$J$173, 8,FALSE), IFERROR(VLOOKUP($A436,'Telstra ExDa'!$B$2:$K$310, 0,FALSE), IFERROR(VLOOKUP($A436,'Vocus RVC ExDa'!$C$2:$R$155, 0,FALSE), IFERROR(VLOOKUP($A436,'Fusion ExDa'!$B$2:$D$16, 0,FALSE), IFERROR(VLOOKUP($A436,'Exetel ExDa'!$C$2:$N$14, 9,FALSE), IFERROR(VLOOKUP($A436,'Infinet ExDa'!$B$2:$E$14, 0,FALSE), "Not Found"))))))))</f>
        <v>22/05/2018</v>
      </c>
      <c r="M436" s="234" t="str">
        <f>IFERROR(VLOOKUP($A436,'AAPT ExDa'!$B$2:$U$99, 0,FALSE), IFERROR(VLOOKUP($A436,'ABB ExDa'!$A$2:$N$184, 0,FALSE), IFERROR(VLOOKUP($A436,'Vocus SIT ExDa'!$B$2:$J$173, 0,FALSE), IFERROR(VLOOKUP($A436,'Telstra ExDa'!$B$2:$K$310, 0,FALSE), IFERROR(VLOOKUP($A436,'Vocus RVC ExDa'!$C$2:$R$155, 0,FALSE), IFERROR(VLOOKUP($A436,'Fusion ExDa'!$B$2:$D$16, 0,FALSE), IFERROR(VLOOKUP($A436,'Exetel ExDa'!$C$2:$N$14, 11,FALSE), IFERROR(VLOOKUP($A436,'Infinet ExDa'!$B$2:$E$14, 0,FALSE), "Not Found"))))))))</f>
        <v>Not Found</v>
      </c>
      <c r="N436" t="str">
        <f>IFERROR(VLOOKUP($A436,'AAPT ExDa'!$B$2:$U$99, 0,FALSE), IFERROR(VLOOKUP($A436,'ABB ExDa'!$A$2:$N$184, 13,FALSE), IFERROR(VLOOKUP($A436,'Vocus SIT ExDa'!$B$2:$J$173, 0,FALSE), IFERROR(VLOOKUP($A436,'Telstra ExDa'!$B$2:$K$310, 0,FALSE), IFERROR(VLOOKUP($A436,'Vocus RVC ExDa'!$C$2:$R$155, 0,FALSE), IFERROR(VLOOKUP($A436,'Fusion ExDa'!$B$2:$D$16, 0,FALSE), IFERROR(VLOOKUP($A436,'Exetel ExDa'!$C$2:$N$14, 0,FALSE), IFERROR(VLOOKUP($A436,'Infinet ExDa'!$B$2:$E$14, 0,FALSE), "Not Found"))))))))</f>
        <v>Not Found</v>
      </c>
    </row>
    <row r="437" spans="1:14">
      <c r="A437" t="str">
        <v>SRHL</v>
      </c>
      <c r="B437" t="str">
        <f>IFERROR(VLOOKUP(A437,'Exetel ExDa'!$C$2:$N$14,4,FALSE),"No Data")</f>
        <v>No Data</v>
      </c>
      <c r="C437" t="str">
        <f>IFERROR(VLOOKUP(A437,'AAPT ExDa'!$B$2:$U$99, 2,FALSE), IFERROR(VLOOKUP(A437,'ABB ExDa'!$A$2:$N$184, 2,FALSE), IFERROR(VLOOKUP(A437,'Vocus SIT ExDa'!$B$2:$J$173, 7,FALSE), IFERROR(VLOOKUP(A437,'Telstra ExDa'!$B$2:$K$310, 2,FALSE), IFERROR(VLOOKUP(A437,'Vocus RVC ExDa'!$C$2:$R$155, 3,FALSE), IFERROR(VLOOKUP(A437,'Fusion ExDa'!$B$2:$D$16, 2,FALSE), IFERROR(VLOOKUP(A437,'Exetel ExDa'!$C$2:$N$14, 2,FALSE), IFERROR(VLOOKUP(A437,'Infinet ExDa'!$B$2:$E$14, 2,FALSE), "Not Found"))))))))</f>
        <v>Unit 5, 28 Metroplex Avenue, MURARRIE QLD 4173</v>
      </c>
      <c r="D437" t="str">
        <f>IFERROR(VLOOKUP($A437,'AAPT ExDa'!$B$2:$U$99, 15,FALSE), IFERROR(VLOOKUP($A437,'ABB ExDa'!$A$2:$N$184, 4,FALSE), IFERROR(VLOOKUP($A437,'Vocus SIT ExDa'!$B$2:$J$173, 5,FALSE), IFERROR(VLOOKUP($A437,'Telstra ExDa'!$B$2:$K$310, 8,FALSE), IFERROR(VLOOKUP($A437,'Vocus RVC ExDa'!$C$2:$R$155, 6,FALSE), IFERROR(VLOOKUP($A437,'Fusion ExDa'!$B$2:$D$16, 4,FALSE), IFERROR(VLOOKUP($A437,'Exetel ExDa'!$C$2:$N$14, 3,FALSE), IFERROR(VLOOKUP($A437,'Infinet ExDa'!$B$2:$E$14, 3,FALSE), "Not Found"))))))))</f>
        <v>Vocus SIT</v>
      </c>
      <c r="E437" t="str">
        <f>IFERROR(VLOOKUP($A437,'AAPT ExDa'!$B$2:$U$99, 3,FALSE), IFERROR(VLOOKUP($A437,'ABB ExDa'!$A$2:$N$184, 5,FALSE), IFERROR(VLOOKUP($A437,'Vocus SIT ExDa'!$B$2:$J$173, 2,FALSE), IFERROR(VLOOKUP($A437,'Telstra ExDa'!$B$2:$K$310, 4,FALSE), IFERROR(VLOOKUP($A437,'Vocus RVC ExDa'!$C$2:$R$155, 8,FALSE), IFERROR(VLOOKUP($A437,'Fusion ExDa'!$B$2:$D$16, 4,FALSE), IFERROR(VLOOKUP($A437,'Exetel ExDa'!$C$2:$N$14, 5,FALSE), IFERROR(VLOOKUP($A437,'Infinet ExDa'!$B$2:$E$14, 3,FALSE), "Not Found"))))))))</f>
        <v>Voice Service</v>
      </c>
      <c r="F437" t="str">
        <f>IFERROR(VLOOKUP($A437,'AAPT ExDa'!$B$2:$U$99, 4,FALSE), IFERROR(VLOOKUP($A437,'ABB ExDa'!$A$2:$N$184, 6,FALSE), IFERROR(VLOOKUP($A437,'Vocus SIT ExDa'!$B$2:$J$173, 3,FALSE), IFERROR(VLOOKUP($A437,'Telstra ExDa'!$B$2:$K$310, 5,FALSE), IFERROR(VLOOKUP($A437,'Vocus RVC ExDa'!$C$2:$R$155, 9,FALSE), IFERROR(VLOOKUP($A437,'Fusion ExDa'!$B$2:$D$16, 0,FALSE), IFERROR(VLOOKUP($A437,'Exetel ExDa'!$C$2:$N$14, 6,FALSE), IFERROR(VLOOKUP($A437,'Infinet ExDa'!$B$2:$E$14, 0,FALSE), "Not Found"))))))))</f>
        <v>n/a</v>
      </c>
      <c r="G437" t="str">
        <f>IFERROR(VLOOKUP($A437,'AAPT ExDa'!$B$2:$U$99, 5,FALSE), IFERROR(VLOOKUP($A437,'ABB ExDa'!$A$2:$N$184, 8,FALSE), IFERROR(VLOOKUP($A437,'Vocus SIT ExDa'!$B$2:$J$173, 6,FALSE), IFERROR(VLOOKUP($A437,'Telstra ExDa'!$B$2:$K$310, 0,FALSE), IFERROR(VLOOKUP($A437,'Vocus RVC ExDa'!$C$2:$R$155, 15,FALSE), IFERROR(VLOOKUP($A437,'Fusion ExDa'!$B$2:$D$16, 0,FALSE), IFERROR(VLOOKUP($A437,'Exetel ExDa'!$C$2:$N$14, 7,FALSE), IFERROR(VLOOKUP($A437,'Infinet ExDa'!$B$2:$E$14, 0,FALSE), "Not Found"))))))))</f>
        <v>IP Tel Order - Smile Tel - 26/03/2018 [SRHL]
IP Tel Call Centre Premium Supervisor
Voice (5 Mbps) - 28 Metroplex Avenue, Murarrie QLD 4172</v>
      </c>
      <c r="H437" t="str">
        <f>IFERROR(VLOOKUP($A437,'AAPT ExDa'!$B$2:$U$99, 6,FALSE), IFERROR(VLOOKUP($A437,'ABB ExDa'!$A$2:$N$184, 0,FALSE), IFERROR(VLOOKUP($A437,'Vocus SIT ExDa'!$B$2:$J$173, 0,FALSE), IFERROR(VLOOKUP($A437,'Telstra ExDa'!$B$2:$K$310, 0,FALSE), IFERROR(VLOOKUP($A437,'Vocus RVC ExDa'!$C$2:$R$155, 16,FALSE), IFERROR(VLOOKUP($A437,'Fusion ExDa'!$B$2:$D$16, 0,FALSE), IFERROR(VLOOKUP($A437,'Exetel ExDa'!$C$2:$N$14, 0,FALSE), IFERROR(VLOOKUP($A437,'Infinet ExDa'!$B$2:$E$14, 0,FALSE), "Not Found"))))))))</f>
        <v>Not Found</v>
      </c>
      <c r="I437" t="str">
        <f>IFERROR(VLOOKUP($A437,'AAPT ExDa'!$B$2:$U$99, 0,FALSE), IFERROR(VLOOKUP($A437,'ABB ExDa'!$A$2:$N$184, 0,FALSE), IFERROR(VLOOKUP($A437,'Vocus SIT ExDa'!$B$2:$J$173, 0,FALSE), IFERROR(VLOOKUP($A437,'Telstra ExDa'!$B$2:$K$310, 0,FALSE), IFERROR(VLOOKUP($A437,'Vocus RVC ExDa'!$C$2:$R$155, 0,FALSE), IFERROR(VLOOKUP($A437,'Fusion ExDa'!$B$2:$D$16, 0,FALSE), IFERROR(VLOOKUP($A437,'Exetel ExDa'!$C$2:$N$14, 8,FALSE), IFERROR(VLOOKUP($A437,'Infinet ExDa'!$B$2:$E$14, 0,FALSE), "Not Found"))))))))</f>
        <v>Not Found</v>
      </c>
      <c r="J437" t="str">
        <f>IFERROR(VLOOKUP($A437,'AAPT ExDa'!$B$2:$U$99, 7,FALSE), IFERROR(VLOOKUP($A437,'ABB ExDa'!$A$2:$N$184, 2,FALSE), IFERROR(VLOOKUP($A437,'Vocus SIT ExDa'!$B$2:$J$173, 0,FALSE), IFERROR(VLOOKUP($A437,'Telstra ExDa'!$B$2:$K$310, 7,FALSE), IFERROR(VLOOKUP($A437,'Vocus RVC ExDa'!$C$2:$R$155, 2,FALSE), IFERROR(VLOOKUP($A437,'Fusion ExDa'!$B$2:$D$16, 3,FALSE), IFERROR(VLOOKUP($A437,'Exetel ExDa'!$C$2:$N$14, 0,FALSE), IFERROR(VLOOKUP($A437,'Infinet ExDa'!$B$2:$E$14, 0,FALSE), "Not Found"))))))))</f>
        <v>Not Found</v>
      </c>
      <c r="K437" t="str">
        <f>IFERROR(VLOOKUP($A437,'AAPT ExDa'!$B$2:$U$99, 12,FALSE), IFERROR(VLOOKUP($A437,'ABB ExDa'!$A$2:$N$184, 0,FALSE), IFERROR(VLOOKUP($A437,'Vocus SIT ExDa'!$B$2:$J$173, 0,FALSE), IFERROR(VLOOKUP($A437,'Telstra ExDa'!$B$2:$K$310, 0,FALSE), IFERROR(VLOOKUP($A437,'Vocus RVC ExDa'!$C$2:$R$155, 0,FALSE), IFERROR(VLOOKUP($A437,'Fusion ExDa'!$B$2:$D$16, 0,FALSE), IFERROR(VLOOKUP($A437,'Exetel ExDa'!$C$2:$N$14, 12,FALSE), IFERROR(VLOOKUP($A437,'Infinet ExDa'!$B$2:$E$14, 0,FALSE), "Not Found"))))))))</f>
        <v>Not Found</v>
      </c>
      <c r="L437" s="235" t="str">
        <f>IFERROR(VLOOKUP($A437,'AAPT ExDa'!$B$2:$U$99, 11,FALSE), IFERROR(VLOOKUP($A437,'ABB ExDa'!$A$2:$N$184, 9,FALSE), IFERROR(VLOOKUP($A437,'Vocus SIT ExDa'!$B$2:$J$173, 8,FALSE), IFERROR(VLOOKUP($A437,'Telstra ExDa'!$B$2:$K$310, 0,FALSE), IFERROR(VLOOKUP($A437,'Vocus RVC ExDa'!$C$2:$R$155, 0,FALSE), IFERROR(VLOOKUP($A437,'Fusion ExDa'!$B$2:$D$16, 0,FALSE), IFERROR(VLOOKUP($A437,'Exetel ExDa'!$C$2:$N$14, 9,FALSE), IFERROR(VLOOKUP($A437,'Infinet ExDa'!$B$2:$E$14, 0,FALSE), "Not Found"))))))))</f>
        <v>22/05/2018</v>
      </c>
      <c r="M437" s="234" t="str">
        <f>IFERROR(VLOOKUP($A437,'AAPT ExDa'!$B$2:$U$99, 0,FALSE), IFERROR(VLOOKUP($A437,'ABB ExDa'!$A$2:$N$184, 0,FALSE), IFERROR(VLOOKUP($A437,'Vocus SIT ExDa'!$B$2:$J$173, 0,FALSE), IFERROR(VLOOKUP($A437,'Telstra ExDa'!$B$2:$K$310, 0,FALSE), IFERROR(VLOOKUP($A437,'Vocus RVC ExDa'!$C$2:$R$155, 0,FALSE), IFERROR(VLOOKUP($A437,'Fusion ExDa'!$B$2:$D$16, 0,FALSE), IFERROR(VLOOKUP($A437,'Exetel ExDa'!$C$2:$N$14, 11,FALSE), IFERROR(VLOOKUP($A437,'Infinet ExDa'!$B$2:$E$14, 0,FALSE), "Not Found"))))))))</f>
        <v>Not Found</v>
      </c>
      <c r="N437" t="str">
        <f>IFERROR(VLOOKUP($A437,'AAPT ExDa'!$B$2:$U$99, 0,FALSE), IFERROR(VLOOKUP($A437,'ABB ExDa'!$A$2:$N$184, 13,FALSE), IFERROR(VLOOKUP($A437,'Vocus SIT ExDa'!$B$2:$J$173, 0,FALSE), IFERROR(VLOOKUP($A437,'Telstra ExDa'!$B$2:$K$310, 0,FALSE), IFERROR(VLOOKUP($A437,'Vocus RVC ExDa'!$C$2:$R$155, 0,FALSE), IFERROR(VLOOKUP($A437,'Fusion ExDa'!$B$2:$D$16, 0,FALSE), IFERROR(VLOOKUP($A437,'Exetel ExDa'!$C$2:$N$14, 0,FALSE), IFERROR(VLOOKUP($A437,'Infinet ExDa'!$B$2:$E$14, 0,FALSE), "Not Found"))))))))</f>
        <v>Not Found</v>
      </c>
    </row>
    <row r="438" spans="1:14">
      <c r="A438" t="str">
        <v>Balanced Business Accounting</v>
      </c>
      <c r="B438" t="str">
        <f>IFERROR(VLOOKUP(A438,'Exetel ExDa'!$C$2:$N$14,4,FALSE),"No Data")</f>
        <v>No Data</v>
      </c>
      <c r="C438" t="str">
        <f>IFERROR(VLOOKUP(A438,'AAPT ExDa'!$B$2:$U$99, 2,FALSE), IFERROR(VLOOKUP(A438,'ABB ExDa'!$A$2:$N$184, 2,FALSE), IFERROR(VLOOKUP(A438,'Vocus SIT ExDa'!$B$2:$J$173, 7,FALSE), IFERROR(VLOOKUP(A438,'Telstra ExDa'!$B$2:$K$310, 2,FALSE), IFERROR(VLOOKUP(A438,'Vocus RVC ExDa'!$C$2:$R$155, 3,FALSE), IFERROR(VLOOKUP(A438,'Fusion ExDa'!$B$2:$D$16, 2,FALSE), IFERROR(VLOOKUP(A438,'Exetel ExDa'!$C$2:$N$14, 2,FALSE), IFERROR(VLOOKUP(A438,'Infinet ExDa'!$B$2:$E$14, 2,FALSE), "Not Found"))))))))</f>
        <v>Unit 5, 28 Metroplex Avenue, MURARRIE QLD 4173</v>
      </c>
      <c r="D438" t="str">
        <f>IFERROR(VLOOKUP($A438,'AAPT ExDa'!$B$2:$U$99, 15,FALSE), IFERROR(VLOOKUP($A438,'ABB ExDa'!$A$2:$N$184, 4,FALSE), IFERROR(VLOOKUP($A438,'Vocus SIT ExDa'!$B$2:$J$173, 5,FALSE), IFERROR(VLOOKUP($A438,'Telstra ExDa'!$B$2:$K$310, 8,FALSE), IFERROR(VLOOKUP($A438,'Vocus RVC ExDa'!$C$2:$R$155, 6,FALSE), IFERROR(VLOOKUP($A438,'Fusion ExDa'!$B$2:$D$16, 4,FALSE), IFERROR(VLOOKUP($A438,'Exetel ExDa'!$C$2:$N$14, 3,FALSE), IFERROR(VLOOKUP($A438,'Infinet ExDa'!$B$2:$E$14, 3,FALSE), "Not Found"))))))))</f>
        <v>Vocus SIT</v>
      </c>
      <c r="E438" t="str">
        <f>IFERROR(VLOOKUP($A438,'AAPT ExDa'!$B$2:$U$99, 3,FALSE), IFERROR(VLOOKUP($A438,'ABB ExDa'!$A$2:$N$184, 5,FALSE), IFERROR(VLOOKUP($A438,'Vocus SIT ExDa'!$B$2:$J$173, 2,FALSE), IFERROR(VLOOKUP($A438,'Telstra ExDa'!$B$2:$K$310, 4,FALSE), IFERROR(VLOOKUP($A438,'Vocus RVC ExDa'!$C$2:$R$155, 8,FALSE), IFERROR(VLOOKUP($A438,'Fusion ExDa'!$B$2:$D$16, 4,FALSE), IFERROR(VLOOKUP($A438,'Exetel ExDa'!$C$2:$N$14, 5,FALSE), IFERROR(VLOOKUP($A438,'Infinet ExDa'!$B$2:$E$14, 3,FALSE), "Not Found"))))))))</f>
        <v>Voice Service</v>
      </c>
      <c r="F438" t="str">
        <f>IFERROR(VLOOKUP($A438,'AAPT ExDa'!$B$2:$U$99, 4,FALSE), IFERROR(VLOOKUP($A438,'ABB ExDa'!$A$2:$N$184, 6,FALSE), IFERROR(VLOOKUP($A438,'Vocus SIT ExDa'!$B$2:$J$173, 3,FALSE), IFERROR(VLOOKUP($A438,'Telstra ExDa'!$B$2:$K$310, 5,FALSE), IFERROR(VLOOKUP($A438,'Vocus RVC ExDa'!$C$2:$R$155, 9,FALSE), IFERROR(VLOOKUP($A438,'Fusion ExDa'!$B$2:$D$16, 0,FALSE), IFERROR(VLOOKUP($A438,'Exetel ExDa'!$C$2:$N$14, 6,FALSE), IFERROR(VLOOKUP($A438,'Infinet ExDa'!$B$2:$E$14, 0,FALSE), "Not Found"))))))))</f>
        <v>0733955444</v>
      </c>
      <c r="G438" t="str">
        <f>IFERROR(VLOOKUP($A438,'AAPT ExDa'!$B$2:$U$99, 5,FALSE), IFERROR(VLOOKUP($A438,'ABB ExDa'!$A$2:$N$184, 8,FALSE), IFERROR(VLOOKUP($A438,'Vocus SIT ExDa'!$B$2:$J$173, 6,FALSE), IFERROR(VLOOKUP($A438,'Telstra ExDa'!$B$2:$K$310, 0,FALSE), IFERROR(VLOOKUP($A438,'Vocus RVC ExDa'!$C$2:$R$155, 15,FALSE), IFERROR(VLOOKUP($A438,'Fusion ExDa'!$B$2:$D$16, 0,FALSE), IFERROR(VLOOKUP($A438,'Exetel ExDa'!$C$2:$N$14, 7,FALSE), IFERROR(VLOOKUP($A438,'Infinet ExDa'!$B$2:$E$14, 0,FALSE), "Not Found"))))))))</f>
        <v>IP Tel Order - Smile Tel - 23/03/2018 - [Balanced Business Accounting]
Voice (5 Mbps) - 28 Metroplex Avenue, Murarrie QLD 4172</v>
      </c>
      <c r="H438" t="str">
        <f>IFERROR(VLOOKUP($A438,'AAPT ExDa'!$B$2:$U$99, 6,FALSE), IFERROR(VLOOKUP($A438,'ABB ExDa'!$A$2:$N$184, 0,FALSE), IFERROR(VLOOKUP($A438,'Vocus SIT ExDa'!$B$2:$J$173, 0,FALSE), IFERROR(VLOOKUP($A438,'Telstra ExDa'!$B$2:$K$310, 0,FALSE), IFERROR(VLOOKUP($A438,'Vocus RVC ExDa'!$C$2:$R$155, 16,FALSE), IFERROR(VLOOKUP($A438,'Fusion ExDa'!$B$2:$D$16, 0,FALSE), IFERROR(VLOOKUP($A438,'Exetel ExDa'!$C$2:$N$14, 0,FALSE), IFERROR(VLOOKUP($A438,'Infinet ExDa'!$B$2:$E$14, 0,FALSE), "Not Found"))))))))</f>
        <v>Not Found</v>
      </c>
      <c r="I438" t="str">
        <f>IFERROR(VLOOKUP($A438,'AAPT ExDa'!$B$2:$U$99, 0,FALSE), IFERROR(VLOOKUP($A438,'ABB ExDa'!$A$2:$N$184, 0,FALSE), IFERROR(VLOOKUP($A438,'Vocus SIT ExDa'!$B$2:$J$173, 0,FALSE), IFERROR(VLOOKUP($A438,'Telstra ExDa'!$B$2:$K$310, 0,FALSE), IFERROR(VLOOKUP($A438,'Vocus RVC ExDa'!$C$2:$R$155, 0,FALSE), IFERROR(VLOOKUP($A438,'Fusion ExDa'!$B$2:$D$16, 0,FALSE), IFERROR(VLOOKUP($A438,'Exetel ExDa'!$C$2:$N$14, 8,FALSE), IFERROR(VLOOKUP($A438,'Infinet ExDa'!$B$2:$E$14, 0,FALSE), "Not Found"))))))))</f>
        <v>Not Found</v>
      </c>
      <c r="J438" t="str">
        <f>IFERROR(VLOOKUP($A438,'AAPT ExDa'!$B$2:$U$99, 7,FALSE), IFERROR(VLOOKUP($A438,'ABB ExDa'!$A$2:$N$184, 2,FALSE), IFERROR(VLOOKUP($A438,'Vocus SIT ExDa'!$B$2:$J$173, 0,FALSE), IFERROR(VLOOKUP($A438,'Telstra ExDa'!$B$2:$K$310, 7,FALSE), IFERROR(VLOOKUP($A438,'Vocus RVC ExDa'!$C$2:$R$155, 2,FALSE), IFERROR(VLOOKUP($A438,'Fusion ExDa'!$B$2:$D$16, 3,FALSE), IFERROR(VLOOKUP($A438,'Exetel ExDa'!$C$2:$N$14, 0,FALSE), IFERROR(VLOOKUP($A438,'Infinet ExDa'!$B$2:$E$14, 0,FALSE), "Not Found"))))))))</f>
        <v>Not Found</v>
      </c>
      <c r="K438" t="str">
        <f>IFERROR(VLOOKUP($A438,'AAPT ExDa'!$B$2:$U$99, 12,FALSE), IFERROR(VLOOKUP($A438,'ABB ExDa'!$A$2:$N$184, 0,FALSE), IFERROR(VLOOKUP($A438,'Vocus SIT ExDa'!$B$2:$J$173, 0,FALSE), IFERROR(VLOOKUP($A438,'Telstra ExDa'!$B$2:$K$310, 0,FALSE), IFERROR(VLOOKUP($A438,'Vocus RVC ExDa'!$C$2:$R$155, 0,FALSE), IFERROR(VLOOKUP($A438,'Fusion ExDa'!$B$2:$D$16, 0,FALSE), IFERROR(VLOOKUP($A438,'Exetel ExDa'!$C$2:$N$14, 12,FALSE), IFERROR(VLOOKUP($A438,'Infinet ExDa'!$B$2:$E$14, 0,FALSE), "Not Found"))))))))</f>
        <v>Not Found</v>
      </c>
      <c r="L438" s="235" t="str">
        <f>IFERROR(VLOOKUP($A438,'AAPT ExDa'!$B$2:$U$99, 11,FALSE), IFERROR(VLOOKUP($A438,'ABB ExDa'!$A$2:$N$184, 9,FALSE), IFERROR(VLOOKUP($A438,'Vocus SIT ExDa'!$B$2:$J$173, 8,FALSE), IFERROR(VLOOKUP($A438,'Telstra ExDa'!$B$2:$K$310, 0,FALSE), IFERROR(VLOOKUP($A438,'Vocus RVC ExDa'!$C$2:$R$155, 0,FALSE), IFERROR(VLOOKUP($A438,'Fusion ExDa'!$B$2:$D$16, 0,FALSE), IFERROR(VLOOKUP($A438,'Exetel ExDa'!$C$2:$N$14, 9,FALSE), IFERROR(VLOOKUP($A438,'Infinet ExDa'!$B$2:$E$14, 0,FALSE), "Not Found"))))))))</f>
        <v>22/05/2018</v>
      </c>
      <c r="M438" s="234" t="str">
        <f>IFERROR(VLOOKUP($A438,'AAPT ExDa'!$B$2:$U$99, 0,FALSE), IFERROR(VLOOKUP($A438,'ABB ExDa'!$A$2:$N$184, 0,FALSE), IFERROR(VLOOKUP($A438,'Vocus SIT ExDa'!$B$2:$J$173, 0,FALSE), IFERROR(VLOOKUP($A438,'Telstra ExDa'!$B$2:$K$310, 0,FALSE), IFERROR(VLOOKUP($A438,'Vocus RVC ExDa'!$C$2:$R$155, 0,FALSE), IFERROR(VLOOKUP($A438,'Fusion ExDa'!$B$2:$D$16, 0,FALSE), IFERROR(VLOOKUP($A438,'Exetel ExDa'!$C$2:$N$14, 11,FALSE), IFERROR(VLOOKUP($A438,'Infinet ExDa'!$B$2:$E$14, 0,FALSE), "Not Found"))))))))</f>
        <v>Not Found</v>
      </c>
      <c r="N438" t="str">
        <f>IFERROR(VLOOKUP($A438,'AAPT ExDa'!$B$2:$U$99, 0,FALSE), IFERROR(VLOOKUP($A438,'ABB ExDa'!$A$2:$N$184, 13,FALSE), IFERROR(VLOOKUP($A438,'Vocus SIT ExDa'!$B$2:$J$173, 0,FALSE), IFERROR(VLOOKUP($A438,'Telstra ExDa'!$B$2:$K$310, 0,FALSE), IFERROR(VLOOKUP($A438,'Vocus RVC ExDa'!$C$2:$R$155, 0,FALSE), IFERROR(VLOOKUP($A438,'Fusion ExDa'!$B$2:$D$16, 0,FALSE), IFERROR(VLOOKUP($A438,'Exetel ExDa'!$C$2:$N$14, 0,FALSE), IFERROR(VLOOKUP($A438,'Infinet ExDa'!$B$2:$E$14, 0,FALSE), "Not Found"))))))))</f>
        <v>Not Found</v>
      </c>
    </row>
    <row r="439" spans="1:14">
      <c r="A439" t="str">
        <v>Zambrero Bondi Beach</v>
      </c>
      <c r="B439" t="str">
        <f>IFERROR(VLOOKUP(A439,'Exetel ExDa'!$C$2:$N$14,4,FALSE),"No Data")</f>
        <v>No Data</v>
      </c>
      <c r="C439" t="str">
        <f>IFERROR(VLOOKUP(A439,'AAPT ExDa'!$B$2:$U$99, 2,FALSE), IFERROR(VLOOKUP(A439,'ABB ExDa'!$A$2:$N$184, 2,FALSE), IFERROR(VLOOKUP(A439,'Vocus SIT ExDa'!$B$2:$J$173, 7,FALSE), IFERROR(VLOOKUP(A439,'Telstra ExDa'!$B$2:$K$310, 2,FALSE), IFERROR(VLOOKUP(A439,'Vocus RVC ExDa'!$C$2:$R$155, 3,FALSE), IFERROR(VLOOKUP(A439,'Fusion ExDa'!$B$2:$D$16, 2,FALSE), IFERROR(VLOOKUP(A439,'Exetel ExDa'!$C$2:$N$14, 2,FALSE), IFERROR(VLOOKUP(A439,'Infinet ExDa'!$B$2:$E$14, 2,FALSE), "Not Found"))))))))</f>
        <v>BG 1, G, Shop 1, 112-116 Campbell Pde,Bondi Beach , NSW 2026</v>
      </c>
      <c r="D439" t="str">
        <f>IFERROR(VLOOKUP($A439,'AAPT ExDa'!$B$2:$U$99, 15,FALSE), IFERROR(VLOOKUP($A439,'ABB ExDa'!$A$2:$N$184, 4,FALSE), IFERROR(VLOOKUP($A439,'Vocus SIT ExDa'!$B$2:$J$173, 5,FALSE), IFERROR(VLOOKUP($A439,'Telstra ExDa'!$B$2:$K$310, 8,FALSE), IFERROR(VLOOKUP($A439,'Vocus RVC ExDa'!$C$2:$R$155, 6,FALSE), IFERROR(VLOOKUP($A439,'Fusion ExDa'!$B$2:$D$16, 4,FALSE), IFERROR(VLOOKUP($A439,'Exetel ExDa'!$C$2:$N$14, 3,FALSE), IFERROR(VLOOKUP($A439,'Infinet ExDa'!$B$2:$E$14, 3,FALSE), "Not Found"))))))))</f>
        <v>Telstra</v>
      </c>
      <c r="E439" t="str">
        <f>IFERROR(VLOOKUP($A439,'AAPT ExDa'!$B$2:$U$99, 3,FALSE), IFERROR(VLOOKUP($A439,'ABB ExDa'!$A$2:$N$184, 5,FALSE), IFERROR(VLOOKUP($A439,'Vocus SIT ExDa'!$B$2:$J$173, 2,FALSE), IFERROR(VLOOKUP($A439,'Telstra ExDa'!$B$2:$K$310, 4,FALSE), IFERROR(VLOOKUP($A439,'Vocus RVC ExDa'!$C$2:$R$155, 8,FALSE), IFERROR(VLOOKUP($A439,'Fusion ExDa'!$B$2:$D$16, 4,FALSE), IFERROR(VLOOKUP($A439,'Exetel ExDa'!$C$2:$N$14, 5,FALSE), IFERROR(VLOOKUP($A439,'Infinet ExDa'!$B$2:$E$14, 3,FALSE), "Not Found"))))))))</f>
        <v xml:space="preserve">Fast Speed NBN </v>
      </c>
      <c r="F439" t="str">
        <f>IFERROR(VLOOKUP($A439,'AAPT ExDa'!$B$2:$U$99, 4,FALSE), IFERROR(VLOOKUP($A439,'ABB ExDa'!$A$2:$N$184, 6,FALSE), IFERROR(VLOOKUP($A439,'Vocus SIT ExDa'!$B$2:$J$173, 3,FALSE), IFERROR(VLOOKUP($A439,'Telstra ExDa'!$B$2:$K$310, 5,FALSE), IFERROR(VLOOKUP($A439,'Vocus RVC ExDa'!$C$2:$R$155, 9,FALSE), IFERROR(VLOOKUP($A439,'Fusion ExDa'!$B$2:$D$16, 0,FALSE), IFERROR(VLOOKUP($A439,'Exetel ExDa'!$C$2:$N$14, 6,FALSE), IFERROR(VLOOKUP($A439,'Infinet ExDa'!$B$2:$E$14, 0,FALSE), "Not Found"))))))))</f>
        <v>Premium Internet, Static IP</v>
      </c>
      <c r="G439" t="str">
        <f>IFERROR(VLOOKUP($A439,'AAPT ExDa'!$B$2:$U$99, 5,FALSE), IFERROR(VLOOKUP($A439,'ABB ExDa'!$A$2:$N$184, 8,FALSE), IFERROR(VLOOKUP($A439,'Vocus SIT ExDa'!$B$2:$J$173, 6,FALSE), IFERROR(VLOOKUP($A439,'Telstra ExDa'!$B$2:$K$310, 0,FALSE), IFERROR(VLOOKUP($A439,'Vocus RVC ExDa'!$C$2:$R$155, 15,FALSE), IFERROR(VLOOKUP($A439,'Fusion ExDa'!$B$2:$D$16, 0,FALSE), IFERROR(VLOOKUP($A439,'Exetel ExDa'!$C$2:$N$14, 7,FALSE), IFERROR(VLOOKUP($A439,'Infinet ExDa'!$B$2:$E$14, 0,FALSE), "Not Found"))))))))</f>
        <v>Not Found</v>
      </c>
      <c r="H439" t="str">
        <f>IFERROR(VLOOKUP($A439,'AAPT ExDa'!$B$2:$U$99, 6,FALSE), IFERROR(VLOOKUP($A439,'ABB ExDa'!$A$2:$N$184, 0,FALSE), IFERROR(VLOOKUP($A439,'Vocus SIT ExDa'!$B$2:$J$173, 0,FALSE), IFERROR(VLOOKUP($A439,'Telstra ExDa'!$B$2:$K$310, 0,FALSE), IFERROR(VLOOKUP($A439,'Vocus RVC ExDa'!$C$2:$R$155, 16,FALSE), IFERROR(VLOOKUP($A439,'Fusion ExDa'!$B$2:$D$16, 0,FALSE), IFERROR(VLOOKUP($A439,'Exetel ExDa'!$C$2:$N$14, 0,FALSE), IFERROR(VLOOKUP($A439,'Infinet ExDa'!$B$2:$E$14, 0,FALSE), "Not Found"))))))))</f>
        <v>Not Found</v>
      </c>
      <c r="I439" t="str">
        <f>IFERROR(VLOOKUP($A439,'AAPT ExDa'!$B$2:$U$99, 0,FALSE), IFERROR(VLOOKUP($A439,'ABB ExDa'!$A$2:$N$184, 0,FALSE), IFERROR(VLOOKUP($A439,'Vocus SIT ExDa'!$B$2:$J$173, 0,FALSE), IFERROR(VLOOKUP($A439,'Telstra ExDa'!$B$2:$K$310, 0,FALSE), IFERROR(VLOOKUP($A439,'Vocus RVC ExDa'!$C$2:$R$155, 0,FALSE), IFERROR(VLOOKUP($A439,'Fusion ExDa'!$B$2:$D$16, 0,FALSE), IFERROR(VLOOKUP($A439,'Exetel ExDa'!$C$2:$N$14, 8,FALSE), IFERROR(VLOOKUP($A439,'Infinet ExDa'!$B$2:$E$14, 0,FALSE), "Not Found"))))))))</f>
        <v>Not Found</v>
      </c>
      <c r="J439">
        <f>IFERROR(VLOOKUP($A439,'AAPT ExDa'!$B$2:$U$99, 7,FALSE), IFERROR(VLOOKUP($A439,'ABB ExDa'!$A$2:$N$184, 2,FALSE), IFERROR(VLOOKUP($A439,'Vocus SIT ExDa'!$B$2:$J$173, 0,FALSE), IFERROR(VLOOKUP($A439,'Telstra ExDa'!$B$2:$K$310, 7,FALSE), IFERROR(VLOOKUP($A439,'Vocus RVC ExDa'!$C$2:$R$155, 2,FALSE), IFERROR(VLOOKUP($A439,'Fusion ExDa'!$B$2:$D$16, 3,FALSE), IFERROR(VLOOKUP($A439,'Exetel ExDa'!$C$2:$N$14, 0,FALSE), IFERROR(VLOOKUP($A439,'Infinet ExDa'!$B$2:$E$14, 0,FALSE), "Not Found"))))))))</f>
        <v>0</v>
      </c>
      <c r="K439" t="str">
        <f>IFERROR(VLOOKUP($A439,'AAPT ExDa'!$B$2:$U$99, 12,FALSE), IFERROR(VLOOKUP($A439,'ABB ExDa'!$A$2:$N$184, 0,FALSE), IFERROR(VLOOKUP($A439,'Vocus SIT ExDa'!$B$2:$J$173, 0,FALSE), IFERROR(VLOOKUP($A439,'Telstra ExDa'!$B$2:$K$310, 0,FALSE), IFERROR(VLOOKUP($A439,'Vocus RVC ExDa'!$C$2:$R$155, 0,FALSE), IFERROR(VLOOKUP($A439,'Fusion ExDa'!$B$2:$D$16, 0,FALSE), IFERROR(VLOOKUP($A439,'Exetel ExDa'!$C$2:$N$14, 12,FALSE), IFERROR(VLOOKUP($A439,'Infinet ExDa'!$B$2:$E$14, 0,FALSE), "Not Found"))))))))</f>
        <v>Not Found</v>
      </c>
      <c r="L439" s="235" t="str">
        <f>IFERROR(VLOOKUP($A439,'AAPT ExDa'!$B$2:$U$99, 11,FALSE), IFERROR(VLOOKUP($A439,'ABB ExDa'!$A$2:$N$184, 9,FALSE), IFERROR(VLOOKUP($A439,'Vocus SIT ExDa'!$B$2:$J$173, 8,FALSE), IFERROR(VLOOKUP($A439,'Telstra ExDa'!$B$2:$K$310, 0,FALSE), IFERROR(VLOOKUP($A439,'Vocus RVC ExDa'!$C$2:$R$155, 0,FALSE), IFERROR(VLOOKUP($A439,'Fusion ExDa'!$B$2:$D$16, 0,FALSE), IFERROR(VLOOKUP($A439,'Exetel ExDa'!$C$2:$N$14, 9,FALSE), IFERROR(VLOOKUP($A439,'Infinet ExDa'!$B$2:$E$14, 0,FALSE), "Not Found"))))))))</f>
        <v>Not Found</v>
      </c>
      <c r="M439" s="234" t="str">
        <f>IFERROR(VLOOKUP($A439,'AAPT ExDa'!$B$2:$U$99, 0,FALSE), IFERROR(VLOOKUP($A439,'ABB ExDa'!$A$2:$N$184, 0,FALSE), IFERROR(VLOOKUP($A439,'Vocus SIT ExDa'!$B$2:$J$173, 0,FALSE), IFERROR(VLOOKUP($A439,'Telstra ExDa'!$B$2:$K$310, 0,FALSE), IFERROR(VLOOKUP($A439,'Vocus RVC ExDa'!$C$2:$R$155, 0,FALSE), IFERROR(VLOOKUP($A439,'Fusion ExDa'!$B$2:$D$16, 0,FALSE), IFERROR(VLOOKUP($A439,'Exetel ExDa'!$C$2:$N$14, 11,FALSE), IFERROR(VLOOKUP($A439,'Infinet ExDa'!$B$2:$E$14, 0,FALSE), "Not Found"))))))))</f>
        <v>Not Found</v>
      </c>
      <c r="N439" t="str">
        <f>IFERROR(VLOOKUP($A439,'AAPT ExDa'!$B$2:$U$99, 0,FALSE), IFERROR(VLOOKUP($A439,'ABB ExDa'!$A$2:$N$184, 13,FALSE), IFERROR(VLOOKUP($A439,'Vocus SIT ExDa'!$B$2:$J$173, 0,FALSE), IFERROR(VLOOKUP($A439,'Telstra ExDa'!$B$2:$K$310, 0,FALSE), IFERROR(VLOOKUP($A439,'Vocus RVC ExDa'!$C$2:$R$155, 0,FALSE), IFERROR(VLOOKUP($A439,'Fusion ExDa'!$B$2:$D$16, 0,FALSE), IFERROR(VLOOKUP($A439,'Exetel ExDa'!$C$2:$N$14, 0,FALSE), IFERROR(VLOOKUP($A439,'Infinet ExDa'!$B$2:$E$14, 0,FALSE), "Not Found"))))))))</f>
        <v>Not Found</v>
      </c>
    </row>
    <row r="440" spans="1:14">
      <c r="A440" t="str">
        <v>Little Cha Erina Fair</v>
      </c>
      <c r="B440" t="str">
        <f>IFERROR(VLOOKUP(A440,'Exetel ExDa'!$C$2:$N$14,4,FALSE),"No Data")</f>
        <v>No Data</v>
      </c>
      <c r="C440" t="str">
        <f>IFERROR(VLOOKUP(A440,'AAPT ExDa'!$B$2:$U$99, 2,FALSE), IFERROR(VLOOKUP(A440,'ABB ExDa'!$A$2:$N$184, 2,FALSE), IFERROR(VLOOKUP(A440,'Vocus SIT ExDa'!$B$2:$J$173, 7,FALSE), IFERROR(VLOOKUP(A440,'Telstra ExDa'!$B$2:$K$310, 2,FALSE), IFERROR(VLOOKUP(A440,'Vocus RVC ExDa'!$C$2:$R$155, 3,FALSE), IFERROR(VLOOKUP(A440,'Fusion ExDa'!$B$2:$D$16, 2,FALSE), IFERROR(VLOOKUP(A440,'Exetel ExDa'!$C$2:$N$14, 2,FALSE), IFERROR(VLOOKUP(A440,'Infinet ExDa'!$B$2:$E$14, 2,FALSE), "Not Found"))))))))</f>
        <v>ERINA FAIR SHOPPING CENTRE, BG 1, G, SHOP R05, ERINA NSW 2250</v>
      </c>
      <c r="D440" t="str">
        <f>IFERROR(VLOOKUP($A440,'AAPT ExDa'!$B$2:$U$99, 15,FALSE), IFERROR(VLOOKUP($A440,'ABB ExDa'!$A$2:$N$184, 4,FALSE), IFERROR(VLOOKUP($A440,'Vocus SIT ExDa'!$B$2:$J$173, 5,FALSE), IFERROR(VLOOKUP($A440,'Telstra ExDa'!$B$2:$K$310, 8,FALSE), IFERROR(VLOOKUP($A440,'Vocus RVC ExDa'!$C$2:$R$155, 6,FALSE), IFERROR(VLOOKUP($A440,'Fusion ExDa'!$B$2:$D$16, 4,FALSE), IFERROR(VLOOKUP($A440,'Exetel ExDa'!$C$2:$N$14, 3,FALSE), IFERROR(VLOOKUP($A440,'Infinet ExDa'!$B$2:$E$14, 3,FALSE), "Not Found"))))))))</f>
        <v>Telstra</v>
      </c>
      <c r="E440" t="str">
        <f>IFERROR(VLOOKUP($A440,'AAPT ExDa'!$B$2:$U$99, 3,FALSE), IFERROR(VLOOKUP($A440,'ABB ExDa'!$A$2:$N$184, 5,FALSE), IFERROR(VLOOKUP($A440,'Vocus SIT ExDa'!$B$2:$J$173, 2,FALSE), IFERROR(VLOOKUP($A440,'Telstra ExDa'!$B$2:$K$310, 4,FALSE), IFERROR(VLOOKUP($A440,'Vocus RVC ExDa'!$C$2:$R$155, 8,FALSE), IFERROR(VLOOKUP($A440,'Fusion ExDa'!$B$2:$D$16, 4,FALSE), IFERROR(VLOOKUP($A440,'Exetel ExDa'!$C$2:$N$14, 5,FALSE), IFERROR(VLOOKUP($A440,'Infinet ExDa'!$B$2:$E$14, 3,FALSE), "Not Found"))))))))</f>
        <v>Standard Speed NBN 25Mbps</v>
      </c>
      <c r="F440" t="str">
        <f>IFERROR(VLOOKUP($A440,'AAPT ExDa'!$B$2:$U$99, 4,FALSE), IFERROR(VLOOKUP($A440,'ABB ExDa'!$A$2:$N$184, 6,FALSE), IFERROR(VLOOKUP($A440,'Vocus SIT ExDa'!$B$2:$J$173, 3,FALSE), IFERROR(VLOOKUP($A440,'Telstra ExDa'!$B$2:$K$310, 5,FALSE), IFERROR(VLOOKUP($A440,'Vocus RVC ExDa'!$C$2:$R$155, 9,FALSE), IFERROR(VLOOKUP($A440,'Fusion ExDa'!$B$2:$D$16, 0,FALSE), IFERROR(VLOOKUP($A440,'Exetel ExDa'!$C$2:$N$14, 6,FALSE), IFERROR(VLOOKUP($A440,'Infinet ExDa'!$B$2:$E$14, 0,FALSE), "Not Found"))))))))</f>
        <v>Core Internet</v>
      </c>
      <c r="G440" t="str">
        <f>IFERROR(VLOOKUP($A440,'AAPT ExDa'!$B$2:$U$99, 5,FALSE), IFERROR(VLOOKUP($A440,'ABB ExDa'!$A$2:$N$184, 8,FALSE), IFERROR(VLOOKUP($A440,'Vocus SIT ExDa'!$B$2:$J$173, 6,FALSE), IFERROR(VLOOKUP($A440,'Telstra ExDa'!$B$2:$K$310, 0,FALSE), IFERROR(VLOOKUP($A440,'Vocus RVC ExDa'!$C$2:$R$155, 15,FALSE), IFERROR(VLOOKUP($A440,'Fusion ExDa'!$B$2:$D$16, 0,FALSE), IFERROR(VLOOKUP($A440,'Exetel ExDa'!$C$2:$N$14, 7,FALSE), IFERROR(VLOOKUP($A440,'Infinet ExDa'!$B$2:$E$14, 0,FALSE), "Not Found"))))))))</f>
        <v>Not Found</v>
      </c>
      <c r="H440" t="str">
        <f>IFERROR(VLOOKUP($A440,'AAPT ExDa'!$B$2:$U$99, 6,FALSE), IFERROR(VLOOKUP($A440,'ABB ExDa'!$A$2:$N$184, 0,FALSE), IFERROR(VLOOKUP($A440,'Vocus SIT ExDa'!$B$2:$J$173, 0,FALSE), IFERROR(VLOOKUP($A440,'Telstra ExDa'!$B$2:$K$310, 0,FALSE), IFERROR(VLOOKUP($A440,'Vocus RVC ExDa'!$C$2:$R$155, 16,FALSE), IFERROR(VLOOKUP($A440,'Fusion ExDa'!$B$2:$D$16, 0,FALSE), IFERROR(VLOOKUP($A440,'Exetel ExDa'!$C$2:$N$14, 0,FALSE), IFERROR(VLOOKUP($A440,'Infinet ExDa'!$B$2:$E$14, 0,FALSE), "Not Found"))))))))</f>
        <v>Not Found</v>
      </c>
      <c r="I440" t="str">
        <f>IFERROR(VLOOKUP($A440,'AAPT ExDa'!$B$2:$U$99, 0,FALSE), IFERROR(VLOOKUP($A440,'ABB ExDa'!$A$2:$N$184, 0,FALSE), IFERROR(VLOOKUP($A440,'Vocus SIT ExDa'!$B$2:$J$173, 0,FALSE), IFERROR(VLOOKUP($A440,'Telstra ExDa'!$B$2:$K$310, 0,FALSE), IFERROR(VLOOKUP($A440,'Vocus RVC ExDa'!$C$2:$R$155, 0,FALSE), IFERROR(VLOOKUP($A440,'Fusion ExDa'!$B$2:$D$16, 0,FALSE), IFERROR(VLOOKUP($A440,'Exetel ExDa'!$C$2:$N$14, 8,FALSE), IFERROR(VLOOKUP($A440,'Infinet ExDa'!$B$2:$E$14, 0,FALSE), "Not Found"))))))))</f>
        <v>Not Found</v>
      </c>
      <c r="J440">
        <f>IFERROR(VLOOKUP($A440,'AAPT ExDa'!$B$2:$U$99, 7,FALSE), IFERROR(VLOOKUP($A440,'ABB ExDa'!$A$2:$N$184, 2,FALSE), IFERROR(VLOOKUP($A440,'Vocus SIT ExDa'!$B$2:$J$173, 0,FALSE), IFERROR(VLOOKUP($A440,'Telstra ExDa'!$B$2:$K$310, 7,FALSE), IFERROR(VLOOKUP($A440,'Vocus RVC ExDa'!$C$2:$R$155, 2,FALSE), IFERROR(VLOOKUP($A440,'Fusion ExDa'!$B$2:$D$16, 3,FALSE), IFERROR(VLOOKUP($A440,'Exetel ExDa'!$C$2:$N$14, 0,FALSE), IFERROR(VLOOKUP($A440,'Infinet ExDa'!$B$2:$E$14, 0,FALSE), "Not Found"))))))))</f>
        <v>0</v>
      </c>
      <c r="K440" t="str">
        <f>IFERROR(VLOOKUP($A440,'AAPT ExDa'!$B$2:$U$99, 12,FALSE), IFERROR(VLOOKUP($A440,'ABB ExDa'!$A$2:$N$184, 0,FALSE), IFERROR(VLOOKUP($A440,'Vocus SIT ExDa'!$B$2:$J$173, 0,FALSE), IFERROR(VLOOKUP($A440,'Telstra ExDa'!$B$2:$K$310, 0,FALSE), IFERROR(VLOOKUP($A440,'Vocus RVC ExDa'!$C$2:$R$155, 0,FALSE), IFERROR(VLOOKUP($A440,'Fusion ExDa'!$B$2:$D$16, 0,FALSE), IFERROR(VLOOKUP($A440,'Exetel ExDa'!$C$2:$N$14, 12,FALSE), IFERROR(VLOOKUP($A440,'Infinet ExDa'!$B$2:$E$14, 0,FALSE), "Not Found"))))))))</f>
        <v>Not Found</v>
      </c>
      <c r="L440" s="235" t="str">
        <f>IFERROR(VLOOKUP($A440,'AAPT ExDa'!$B$2:$U$99, 11,FALSE), IFERROR(VLOOKUP($A440,'ABB ExDa'!$A$2:$N$184, 9,FALSE), IFERROR(VLOOKUP($A440,'Vocus SIT ExDa'!$B$2:$J$173, 8,FALSE), IFERROR(VLOOKUP($A440,'Telstra ExDa'!$B$2:$K$310, 0,FALSE), IFERROR(VLOOKUP($A440,'Vocus RVC ExDa'!$C$2:$R$155, 0,FALSE), IFERROR(VLOOKUP($A440,'Fusion ExDa'!$B$2:$D$16, 0,FALSE), IFERROR(VLOOKUP($A440,'Exetel ExDa'!$C$2:$N$14, 9,FALSE), IFERROR(VLOOKUP($A440,'Infinet ExDa'!$B$2:$E$14, 0,FALSE), "Not Found"))))))))</f>
        <v>Not Found</v>
      </c>
      <c r="M440" s="234" t="str">
        <f>IFERROR(VLOOKUP($A440,'AAPT ExDa'!$B$2:$U$99, 0,FALSE), IFERROR(VLOOKUP($A440,'ABB ExDa'!$A$2:$N$184, 0,FALSE), IFERROR(VLOOKUP($A440,'Vocus SIT ExDa'!$B$2:$J$173, 0,FALSE), IFERROR(VLOOKUP($A440,'Telstra ExDa'!$B$2:$K$310, 0,FALSE), IFERROR(VLOOKUP($A440,'Vocus RVC ExDa'!$C$2:$R$155, 0,FALSE), IFERROR(VLOOKUP($A440,'Fusion ExDa'!$B$2:$D$16, 0,FALSE), IFERROR(VLOOKUP($A440,'Exetel ExDa'!$C$2:$N$14, 11,FALSE), IFERROR(VLOOKUP($A440,'Infinet ExDa'!$B$2:$E$14, 0,FALSE), "Not Found"))))))))</f>
        <v>Not Found</v>
      </c>
      <c r="N440" t="str">
        <f>IFERROR(VLOOKUP($A440,'AAPT ExDa'!$B$2:$U$99, 0,FALSE), IFERROR(VLOOKUP($A440,'ABB ExDa'!$A$2:$N$184, 13,FALSE), IFERROR(VLOOKUP($A440,'Vocus SIT ExDa'!$B$2:$J$173, 0,FALSE), IFERROR(VLOOKUP($A440,'Telstra ExDa'!$B$2:$K$310, 0,FALSE), IFERROR(VLOOKUP($A440,'Vocus RVC ExDa'!$C$2:$R$155, 0,FALSE), IFERROR(VLOOKUP($A440,'Fusion ExDa'!$B$2:$D$16, 0,FALSE), IFERROR(VLOOKUP($A440,'Exetel ExDa'!$C$2:$N$14, 0,FALSE), IFERROR(VLOOKUP($A440,'Infinet ExDa'!$B$2:$E$14, 0,FALSE), "Not Found"))))))))</f>
        <v>Not Found</v>
      </c>
    </row>
    <row r="441" spans="1:14">
      <c r="A441">
        <v>0</v>
      </c>
      <c r="B441" t="str">
        <f>IFERROR(VLOOKUP(A441,'Exetel ExDa'!$C$2:$N$14,4,FALSE),"No Data")</f>
        <v>No Data</v>
      </c>
      <c r="C441" t="str">
        <f>IFERROR(VLOOKUP(A441,'AAPT ExDa'!$B$2:$U$99, 2,FALSE), IFERROR(VLOOKUP(A441,'ABB ExDa'!$A$2:$N$184, 2,FALSE), IFERROR(VLOOKUP(A441,'Vocus SIT ExDa'!$B$2:$J$173, 7,FALSE), IFERROR(VLOOKUP(A441,'Telstra ExDa'!$B$2:$K$310, 2,FALSE), IFERROR(VLOOKUP(A441,'Vocus RVC ExDa'!$C$2:$R$155, 3,FALSE), IFERROR(VLOOKUP(A441,'Fusion ExDa'!$B$2:$D$16, 2,FALSE), IFERROR(VLOOKUP(A441,'Exetel ExDa'!$C$2:$N$14, 2,FALSE), IFERROR(VLOOKUP(A441,'Infinet ExDa'!$B$2:$E$14, 2,FALSE), "Not Found"))))))))</f>
        <v>Not Found</v>
      </c>
      <c r="D441" t="str">
        <f>IFERROR(VLOOKUP($A441,'AAPT ExDa'!$B$2:$U$99, 15,FALSE), IFERROR(VLOOKUP($A441,'ABB ExDa'!$A$2:$N$184, 4,FALSE), IFERROR(VLOOKUP($A441,'Vocus SIT ExDa'!$B$2:$J$173, 5,FALSE), IFERROR(VLOOKUP($A441,'Telstra ExDa'!$B$2:$K$310, 8,FALSE), IFERROR(VLOOKUP($A441,'Vocus RVC ExDa'!$C$2:$R$155, 6,FALSE), IFERROR(VLOOKUP($A441,'Fusion ExDa'!$B$2:$D$16, 4,FALSE), IFERROR(VLOOKUP($A441,'Exetel ExDa'!$C$2:$N$14, 3,FALSE), IFERROR(VLOOKUP($A441,'Infinet ExDa'!$B$2:$E$14, 3,FALSE), "Not Found"))))))))</f>
        <v>Not Found</v>
      </c>
      <c r="E441" t="str">
        <f>IFERROR(VLOOKUP($A441,'AAPT ExDa'!$B$2:$U$99, 3,FALSE), IFERROR(VLOOKUP($A441,'ABB ExDa'!$A$2:$N$184, 5,FALSE), IFERROR(VLOOKUP($A441,'Vocus SIT ExDa'!$B$2:$J$173, 2,FALSE), IFERROR(VLOOKUP($A441,'Telstra ExDa'!$B$2:$K$310, 4,FALSE), IFERROR(VLOOKUP($A441,'Vocus RVC ExDa'!$C$2:$R$155, 8,FALSE), IFERROR(VLOOKUP($A441,'Fusion ExDa'!$B$2:$D$16, 4,FALSE), IFERROR(VLOOKUP($A441,'Exetel ExDa'!$C$2:$N$14, 5,FALSE), IFERROR(VLOOKUP($A441,'Infinet ExDa'!$B$2:$E$14, 3,FALSE), "Not Found"))))))))</f>
        <v>Not Found</v>
      </c>
      <c r="F441" t="str">
        <f>IFERROR(VLOOKUP($A441,'AAPT ExDa'!$B$2:$U$99, 4,FALSE), IFERROR(VLOOKUP($A441,'ABB ExDa'!$A$2:$N$184, 6,FALSE), IFERROR(VLOOKUP($A441,'Vocus SIT ExDa'!$B$2:$J$173, 3,FALSE), IFERROR(VLOOKUP($A441,'Telstra ExDa'!$B$2:$K$310, 5,FALSE), IFERROR(VLOOKUP($A441,'Vocus RVC ExDa'!$C$2:$R$155, 9,FALSE), IFERROR(VLOOKUP($A441,'Fusion ExDa'!$B$2:$D$16, 0,FALSE), IFERROR(VLOOKUP($A441,'Exetel ExDa'!$C$2:$N$14, 6,FALSE), IFERROR(VLOOKUP($A441,'Infinet ExDa'!$B$2:$E$14, 0,FALSE), "Not Found"))))))))</f>
        <v>Not Found</v>
      </c>
      <c r="G441" t="str">
        <f>IFERROR(VLOOKUP($A441,'AAPT ExDa'!$B$2:$U$99, 5,FALSE), IFERROR(VLOOKUP($A441,'ABB ExDa'!$A$2:$N$184, 8,FALSE), IFERROR(VLOOKUP($A441,'Vocus SIT ExDa'!$B$2:$J$173, 6,FALSE), IFERROR(VLOOKUP($A441,'Telstra ExDa'!$B$2:$K$310, 0,FALSE), IFERROR(VLOOKUP($A441,'Vocus RVC ExDa'!$C$2:$R$155, 15,FALSE), IFERROR(VLOOKUP($A441,'Fusion ExDa'!$B$2:$D$16, 0,FALSE), IFERROR(VLOOKUP($A441,'Exetel ExDa'!$C$2:$N$14, 7,FALSE), IFERROR(VLOOKUP($A441,'Infinet ExDa'!$B$2:$E$14, 0,FALSE), "Not Found"))))))))</f>
        <v>Not Found</v>
      </c>
      <c r="H441" t="str">
        <f>IFERROR(VLOOKUP($A441,'AAPT ExDa'!$B$2:$U$99, 6,FALSE), IFERROR(VLOOKUP($A441,'ABB ExDa'!$A$2:$N$184, 0,FALSE), IFERROR(VLOOKUP($A441,'Vocus SIT ExDa'!$B$2:$J$173, 0,FALSE), IFERROR(VLOOKUP($A441,'Telstra ExDa'!$B$2:$K$310, 0,FALSE), IFERROR(VLOOKUP($A441,'Vocus RVC ExDa'!$C$2:$R$155, 16,FALSE), IFERROR(VLOOKUP($A441,'Fusion ExDa'!$B$2:$D$16, 0,FALSE), IFERROR(VLOOKUP($A441,'Exetel ExDa'!$C$2:$N$14, 0,FALSE), IFERROR(VLOOKUP($A441,'Infinet ExDa'!$B$2:$E$14, 0,FALSE), "Not Found"))))))))</f>
        <v>Not Found</v>
      </c>
      <c r="I441" t="str">
        <f>IFERROR(VLOOKUP($A441,'AAPT ExDa'!$B$2:$U$99, 0,FALSE), IFERROR(VLOOKUP($A441,'ABB ExDa'!$A$2:$N$184, 0,FALSE), IFERROR(VLOOKUP($A441,'Vocus SIT ExDa'!$B$2:$J$173, 0,FALSE), IFERROR(VLOOKUP($A441,'Telstra ExDa'!$B$2:$K$310, 0,FALSE), IFERROR(VLOOKUP($A441,'Vocus RVC ExDa'!$C$2:$R$155, 0,FALSE), IFERROR(VLOOKUP($A441,'Fusion ExDa'!$B$2:$D$16, 0,FALSE), IFERROR(VLOOKUP($A441,'Exetel ExDa'!$C$2:$N$14, 8,FALSE), IFERROR(VLOOKUP($A441,'Infinet ExDa'!$B$2:$E$14, 0,FALSE), "Not Found"))))))))</f>
        <v>Not Found</v>
      </c>
      <c r="J441" t="str">
        <f>IFERROR(VLOOKUP($A441,'AAPT ExDa'!$B$2:$U$99, 7,FALSE), IFERROR(VLOOKUP($A441,'ABB ExDa'!$A$2:$N$184, 2,FALSE), IFERROR(VLOOKUP($A441,'Vocus SIT ExDa'!$B$2:$J$173, 0,FALSE), IFERROR(VLOOKUP($A441,'Telstra ExDa'!$B$2:$K$310, 7,FALSE), IFERROR(VLOOKUP($A441,'Vocus RVC ExDa'!$C$2:$R$155, 2,FALSE), IFERROR(VLOOKUP($A441,'Fusion ExDa'!$B$2:$D$16, 3,FALSE), IFERROR(VLOOKUP($A441,'Exetel ExDa'!$C$2:$N$14, 0,FALSE), IFERROR(VLOOKUP($A441,'Infinet ExDa'!$B$2:$E$14, 0,FALSE), "Not Found"))))))))</f>
        <v>Not Found</v>
      </c>
      <c r="K441" t="str">
        <f>IFERROR(VLOOKUP($A441,'AAPT ExDa'!$B$2:$U$99, 12,FALSE), IFERROR(VLOOKUP($A441,'ABB ExDa'!$A$2:$N$184, 0,FALSE), IFERROR(VLOOKUP($A441,'Vocus SIT ExDa'!$B$2:$J$173, 0,FALSE), IFERROR(VLOOKUP($A441,'Telstra ExDa'!$B$2:$K$310, 0,FALSE), IFERROR(VLOOKUP($A441,'Vocus RVC ExDa'!$C$2:$R$155, 0,FALSE), IFERROR(VLOOKUP($A441,'Fusion ExDa'!$B$2:$D$16, 0,FALSE), IFERROR(VLOOKUP($A441,'Exetel ExDa'!$C$2:$N$14, 12,FALSE), IFERROR(VLOOKUP($A441,'Infinet ExDa'!$B$2:$E$14, 0,FALSE), "Not Found"))))))))</f>
        <v>Not Found</v>
      </c>
      <c r="L441" s="235" t="str">
        <f>IFERROR(VLOOKUP($A441,'AAPT ExDa'!$B$2:$U$99, 11,FALSE), IFERROR(VLOOKUP($A441,'ABB ExDa'!$A$2:$N$184, 9,FALSE), IFERROR(VLOOKUP($A441,'Vocus SIT ExDa'!$B$2:$J$173, 8,FALSE), IFERROR(VLOOKUP($A441,'Telstra ExDa'!$B$2:$K$310, 0,FALSE), IFERROR(VLOOKUP($A441,'Vocus RVC ExDa'!$C$2:$R$155, 0,FALSE), IFERROR(VLOOKUP($A441,'Fusion ExDa'!$B$2:$D$16, 0,FALSE), IFERROR(VLOOKUP($A441,'Exetel ExDa'!$C$2:$N$14, 9,FALSE), IFERROR(VLOOKUP($A441,'Infinet ExDa'!$B$2:$E$14, 0,FALSE), "Not Found"))))))))</f>
        <v>Not Found</v>
      </c>
      <c r="M441" s="234" t="str">
        <f>IFERROR(VLOOKUP($A441,'AAPT ExDa'!$B$2:$U$99, 0,FALSE), IFERROR(VLOOKUP($A441,'ABB ExDa'!$A$2:$N$184, 0,FALSE), IFERROR(VLOOKUP($A441,'Vocus SIT ExDa'!$B$2:$J$173, 0,FALSE), IFERROR(VLOOKUP($A441,'Telstra ExDa'!$B$2:$K$310, 0,FALSE), IFERROR(VLOOKUP($A441,'Vocus RVC ExDa'!$C$2:$R$155, 0,FALSE), IFERROR(VLOOKUP($A441,'Fusion ExDa'!$B$2:$D$16, 0,FALSE), IFERROR(VLOOKUP($A441,'Exetel ExDa'!$C$2:$N$14, 11,FALSE), IFERROR(VLOOKUP($A441,'Infinet ExDa'!$B$2:$E$14, 0,FALSE), "Not Found"))))))))</f>
        <v>Not Found</v>
      </c>
      <c r="N441" t="str">
        <f>IFERROR(VLOOKUP($A441,'AAPT ExDa'!$B$2:$U$99, 0,FALSE), IFERROR(VLOOKUP($A441,'ABB ExDa'!$A$2:$N$184, 13,FALSE), IFERROR(VLOOKUP($A441,'Vocus SIT ExDa'!$B$2:$J$173, 0,FALSE), IFERROR(VLOOKUP($A441,'Telstra ExDa'!$B$2:$K$310, 0,FALSE), IFERROR(VLOOKUP($A441,'Vocus RVC ExDa'!$C$2:$R$155, 0,FALSE), IFERROR(VLOOKUP($A441,'Fusion ExDa'!$B$2:$D$16, 0,FALSE), IFERROR(VLOOKUP($A441,'Exetel ExDa'!$C$2:$N$14, 0,FALSE), IFERROR(VLOOKUP($A441,'Infinet ExDa'!$B$2:$E$14, 0,FALSE), "Not Found"))))))))</f>
        <v>Not Found</v>
      </c>
    </row>
    <row r="442" spans="1:14">
      <c r="A442" t="str">
        <v>Zambrero Mornington Main St</v>
      </c>
      <c r="B442" t="str">
        <f>IFERROR(VLOOKUP(A442,'Exetel ExDa'!$C$2:$N$14,4,FALSE),"No Data")</f>
        <v>No Data</v>
      </c>
      <c r="C442" t="str">
        <f>IFERROR(VLOOKUP(A442,'AAPT ExDa'!$B$2:$U$99, 2,FALSE), IFERROR(VLOOKUP(A442,'ABB ExDa'!$A$2:$N$184, 2,FALSE), IFERROR(VLOOKUP(A442,'Vocus SIT ExDa'!$B$2:$J$173, 7,FALSE), IFERROR(VLOOKUP(A442,'Telstra ExDa'!$B$2:$K$310, 2,FALSE), IFERROR(VLOOKUP(A442,'Vocus RVC ExDa'!$C$2:$R$155, 3,FALSE), IFERROR(VLOOKUP(A442,'Fusion ExDa'!$B$2:$D$16, 2,FALSE), IFERROR(VLOOKUP(A442,'Exetel ExDa'!$C$2:$N$14, 2,FALSE), IFERROR(VLOOKUP(A442,'Infinet ExDa'!$B$2:$E$14, 2,FALSE), "Not Found"))))))))</f>
        <v>BG 1, G, SHOP 2, 45 MAIN ST, MORNINGTON VIC 3931</v>
      </c>
      <c r="D442" t="str">
        <f>IFERROR(VLOOKUP($A442,'AAPT ExDa'!$B$2:$U$99, 15,FALSE), IFERROR(VLOOKUP($A442,'ABB ExDa'!$A$2:$N$184, 4,FALSE), IFERROR(VLOOKUP($A442,'Vocus SIT ExDa'!$B$2:$J$173, 5,FALSE), IFERROR(VLOOKUP($A442,'Telstra ExDa'!$B$2:$K$310, 8,FALSE), IFERROR(VLOOKUP($A442,'Vocus RVC ExDa'!$C$2:$R$155, 6,FALSE), IFERROR(VLOOKUP($A442,'Fusion ExDa'!$B$2:$D$16, 4,FALSE), IFERROR(VLOOKUP($A442,'Exetel ExDa'!$C$2:$N$14, 3,FALSE), IFERROR(VLOOKUP($A442,'Infinet ExDa'!$B$2:$E$14, 3,FALSE), "Not Found"))))))))</f>
        <v>Telstra</v>
      </c>
      <c r="E442" t="str">
        <f>IFERROR(VLOOKUP($A442,'AAPT ExDa'!$B$2:$U$99, 3,FALSE), IFERROR(VLOOKUP($A442,'ABB ExDa'!$A$2:$N$184, 5,FALSE), IFERROR(VLOOKUP($A442,'Vocus SIT ExDa'!$B$2:$J$173, 2,FALSE), IFERROR(VLOOKUP($A442,'Telstra ExDa'!$B$2:$K$310, 4,FALSE), IFERROR(VLOOKUP($A442,'Vocus RVC ExDa'!$C$2:$R$155, 8,FALSE), IFERROR(VLOOKUP($A442,'Fusion ExDa'!$B$2:$D$16, 4,FALSE), IFERROR(VLOOKUP($A442,'Exetel ExDa'!$C$2:$N$14, 5,FALSE), IFERROR(VLOOKUP($A442,'Infinet ExDa'!$B$2:$E$14, 3,FALSE), "Not Found"))))))))</f>
        <v>Standard Speed NBN 25Mbps/Static IP</v>
      </c>
      <c r="F442" t="str">
        <f>IFERROR(VLOOKUP($A442,'AAPT ExDa'!$B$2:$U$99, 4,FALSE), IFERROR(VLOOKUP($A442,'ABB ExDa'!$A$2:$N$184, 6,FALSE), IFERROR(VLOOKUP($A442,'Vocus SIT ExDa'!$B$2:$J$173, 3,FALSE), IFERROR(VLOOKUP($A442,'Telstra ExDa'!$B$2:$K$310, 5,FALSE), IFERROR(VLOOKUP($A442,'Vocus RVC ExDa'!$C$2:$R$155, 9,FALSE), IFERROR(VLOOKUP($A442,'Fusion ExDa'!$B$2:$D$16, 0,FALSE), IFERROR(VLOOKUP($A442,'Exetel ExDa'!$C$2:$N$14, 6,FALSE), IFERROR(VLOOKUP($A442,'Infinet ExDa'!$B$2:$E$14, 0,FALSE), "Not Found"))))))))</f>
        <v>Core Internet ,Static IP</v>
      </c>
      <c r="G442" t="str">
        <f>IFERROR(VLOOKUP($A442,'AAPT ExDa'!$B$2:$U$99, 5,FALSE), IFERROR(VLOOKUP($A442,'ABB ExDa'!$A$2:$N$184, 8,FALSE), IFERROR(VLOOKUP($A442,'Vocus SIT ExDa'!$B$2:$J$173, 6,FALSE), IFERROR(VLOOKUP($A442,'Telstra ExDa'!$B$2:$K$310, 0,FALSE), IFERROR(VLOOKUP($A442,'Vocus RVC ExDa'!$C$2:$R$155, 15,FALSE), IFERROR(VLOOKUP($A442,'Fusion ExDa'!$B$2:$D$16, 0,FALSE), IFERROR(VLOOKUP($A442,'Exetel ExDa'!$C$2:$N$14, 7,FALSE), IFERROR(VLOOKUP($A442,'Infinet ExDa'!$B$2:$E$14, 0,FALSE), "Not Found"))))))))</f>
        <v>Not Found</v>
      </c>
      <c r="H442" t="str">
        <f>IFERROR(VLOOKUP($A442,'AAPT ExDa'!$B$2:$U$99, 6,FALSE), IFERROR(VLOOKUP($A442,'ABB ExDa'!$A$2:$N$184, 0,FALSE), IFERROR(VLOOKUP($A442,'Vocus SIT ExDa'!$B$2:$J$173, 0,FALSE), IFERROR(VLOOKUP($A442,'Telstra ExDa'!$B$2:$K$310, 0,FALSE), IFERROR(VLOOKUP($A442,'Vocus RVC ExDa'!$C$2:$R$155, 16,FALSE), IFERROR(VLOOKUP($A442,'Fusion ExDa'!$B$2:$D$16, 0,FALSE), IFERROR(VLOOKUP($A442,'Exetel ExDa'!$C$2:$N$14, 0,FALSE), IFERROR(VLOOKUP($A442,'Infinet ExDa'!$B$2:$E$14, 0,FALSE), "Not Found"))))))))</f>
        <v>Not Found</v>
      </c>
      <c r="I442" t="str">
        <f>IFERROR(VLOOKUP($A442,'AAPT ExDa'!$B$2:$U$99, 0,FALSE), IFERROR(VLOOKUP($A442,'ABB ExDa'!$A$2:$N$184, 0,FALSE), IFERROR(VLOOKUP($A442,'Vocus SIT ExDa'!$B$2:$J$173, 0,FALSE), IFERROR(VLOOKUP($A442,'Telstra ExDa'!$B$2:$K$310, 0,FALSE), IFERROR(VLOOKUP($A442,'Vocus RVC ExDa'!$C$2:$R$155, 0,FALSE), IFERROR(VLOOKUP($A442,'Fusion ExDa'!$B$2:$D$16, 0,FALSE), IFERROR(VLOOKUP($A442,'Exetel ExDa'!$C$2:$N$14, 8,FALSE), IFERROR(VLOOKUP($A442,'Infinet ExDa'!$B$2:$E$14, 0,FALSE), "Not Found"))))))))</f>
        <v>Not Found</v>
      </c>
      <c r="J442">
        <f>IFERROR(VLOOKUP($A442,'AAPT ExDa'!$B$2:$U$99, 7,FALSE), IFERROR(VLOOKUP($A442,'ABB ExDa'!$A$2:$N$184, 2,FALSE), IFERROR(VLOOKUP($A442,'Vocus SIT ExDa'!$B$2:$J$173, 0,FALSE), IFERROR(VLOOKUP($A442,'Telstra ExDa'!$B$2:$K$310, 7,FALSE), IFERROR(VLOOKUP($A442,'Vocus RVC ExDa'!$C$2:$R$155, 2,FALSE), IFERROR(VLOOKUP($A442,'Fusion ExDa'!$B$2:$D$16, 3,FALSE), IFERROR(VLOOKUP($A442,'Exetel ExDa'!$C$2:$N$14, 0,FALSE), IFERROR(VLOOKUP($A442,'Infinet ExDa'!$B$2:$E$14, 0,FALSE), "Not Found"))))))))</f>
        <v>0</v>
      </c>
      <c r="K442" t="str">
        <f>IFERROR(VLOOKUP($A442,'AAPT ExDa'!$B$2:$U$99, 12,FALSE), IFERROR(VLOOKUP($A442,'ABB ExDa'!$A$2:$N$184, 0,FALSE), IFERROR(VLOOKUP($A442,'Vocus SIT ExDa'!$B$2:$J$173, 0,FALSE), IFERROR(VLOOKUP($A442,'Telstra ExDa'!$B$2:$K$310, 0,FALSE), IFERROR(VLOOKUP($A442,'Vocus RVC ExDa'!$C$2:$R$155, 0,FALSE), IFERROR(VLOOKUP($A442,'Fusion ExDa'!$B$2:$D$16, 0,FALSE), IFERROR(VLOOKUP($A442,'Exetel ExDa'!$C$2:$N$14, 12,FALSE), IFERROR(VLOOKUP($A442,'Infinet ExDa'!$B$2:$E$14, 0,FALSE), "Not Found"))))))))</f>
        <v>Not Found</v>
      </c>
      <c r="L442" s="235" t="str">
        <f>IFERROR(VLOOKUP($A442,'AAPT ExDa'!$B$2:$U$99, 11,FALSE), IFERROR(VLOOKUP($A442,'ABB ExDa'!$A$2:$N$184, 9,FALSE), IFERROR(VLOOKUP($A442,'Vocus SIT ExDa'!$B$2:$J$173, 8,FALSE), IFERROR(VLOOKUP($A442,'Telstra ExDa'!$B$2:$K$310, 0,FALSE), IFERROR(VLOOKUP($A442,'Vocus RVC ExDa'!$C$2:$R$155, 0,FALSE), IFERROR(VLOOKUP($A442,'Fusion ExDa'!$B$2:$D$16, 0,FALSE), IFERROR(VLOOKUP($A442,'Exetel ExDa'!$C$2:$N$14, 9,FALSE), IFERROR(VLOOKUP($A442,'Infinet ExDa'!$B$2:$E$14, 0,FALSE), "Not Found"))))))))</f>
        <v>Not Found</v>
      </c>
      <c r="M442" s="234" t="str">
        <f>IFERROR(VLOOKUP($A442,'AAPT ExDa'!$B$2:$U$99, 0,FALSE), IFERROR(VLOOKUP($A442,'ABB ExDa'!$A$2:$N$184, 0,FALSE), IFERROR(VLOOKUP($A442,'Vocus SIT ExDa'!$B$2:$J$173, 0,FALSE), IFERROR(VLOOKUP($A442,'Telstra ExDa'!$B$2:$K$310, 0,FALSE), IFERROR(VLOOKUP($A442,'Vocus RVC ExDa'!$C$2:$R$155, 0,FALSE), IFERROR(VLOOKUP($A442,'Fusion ExDa'!$B$2:$D$16, 0,FALSE), IFERROR(VLOOKUP($A442,'Exetel ExDa'!$C$2:$N$14, 11,FALSE), IFERROR(VLOOKUP($A442,'Infinet ExDa'!$B$2:$E$14, 0,FALSE), "Not Found"))))))))</f>
        <v>Not Found</v>
      </c>
      <c r="N442" t="str">
        <f>IFERROR(VLOOKUP($A442,'AAPT ExDa'!$B$2:$U$99, 0,FALSE), IFERROR(VLOOKUP($A442,'ABB ExDa'!$A$2:$N$184, 13,FALSE), IFERROR(VLOOKUP($A442,'Vocus SIT ExDa'!$B$2:$J$173, 0,FALSE), IFERROR(VLOOKUP($A442,'Telstra ExDa'!$B$2:$K$310, 0,FALSE), IFERROR(VLOOKUP($A442,'Vocus RVC ExDa'!$C$2:$R$155, 0,FALSE), IFERROR(VLOOKUP($A442,'Fusion ExDa'!$B$2:$D$16, 0,FALSE), IFERROR(VLOOKUP($A442,'Exetel ExDa'!$C$2:$N$14, 0,FALSE), IFERROR(VLOOKUP($A442,'Infinet ExDa'!$B$2:$E$14, 0,FALSE), "Not Found"))))))))</f>
        <v>Not Found</v>
      </c>
    </row>
    <row r="443" spans="1:14">
      <c r="A443" t="str">
        <v>Zambrero Townsville</v>
      </c>
      <c r="B443" t="str">
        <f>IFERROR(VLOOKUP(A443,'Exetel ExDa'!$C$2:$N$14,4,FALSE),"No Data")</f>
        <v>No Data</v>
      </c>
      <c r="C443" t="str">
        <f>IFERROR(VLOOKUP(A443,'AAPT ExDa'!$B$2:$U$99, 2,FALSE), IFERROR(VLOOKUP(A443,'ABB ExDa'!$A$2:$N$184, 2,FALSE), IFERROR(VLOOKUP(A443,'Vocus SIT ExDa'!$B$2:$J$173, 7,FALSE), IFERROR(VLOOKUP(A443,'Telstra ExDa'!$B$2:$K$310, 2,FALSE), IFERROR(VLOOKUP(A443,'Vocus RVC ExDa'!$C$2:$R$155, 3,FALSE), IFERROR(VLOOKUP(A443,'Fusion ExDa'!$B$2:$D$16, 2,FALSE), IFERROR(VLOOKUP(A443,'Exetel ExDa'!$C$2:$N$14, 2,FALSE), IFERROR(VLOOKUP(A443,'Infinet ExDa'!$B$2:$E$14, 2,FALSE), "Not Found"))))))))</f>
        <v>U 3, 217 - 219 INGHAM RD, WEST END QLD 4810</v>
      </c>
      <c r="D443" t="str">
        <f>IFERROR(VLOOKUP($A443,'AAPT ExDa'!$B$2:$U$99, 15,FALSE), IFERROR(VLOOKUP($A443,'ABB ExDa'!$A$2:$N$184, 4,FALSE), IFERROR(VLOOKUP($A443,'Vocus SIT ExDa'!$B$2:$J$173, 5,FALSE), IFERROR(VLOOKUP($A443,'Telstra ExDa'!$B$2:$K$310, 8,FALSE), IFERROR(VLOOKUP($A443,'Vocus RVC ExDa'!$C$2:$R$155, 6,FALSE), IFERROR(VLOOKUP($A443,'Fusion ExDa'!$B$2:$D$16, 4,FALSE), IFERROR(VLOOKUP($A443,'Exetel ExDa'!$C$2:$N$14, 3,FALSE), IFERROR(VLOOKUP($A443,'Infinet ExDa'!$B$2:$E$14, 3,FALSE), "Not Found"))))))))</f>
        <v>Telstra</v>
      </c>
      <c r="E443" t="str">
        <f>IFERROR(VLOOKUP($A443,'AAPT ExDa'!$B$2:$U$99, 3,FALSE), IFERROR(VLOOKUP($A443,'ABB ExDa'!$A$2:$N$184, 5,FALSE), IFERROR(VLOOKUP($A443,'Vocus SIT ExDa'!$B$2:$J$173, 2,FALSE), IFERROR(VLOOKUP($A443,'Telstra ExDa'!$B$2:$K$310, 4,FALSE), IFERROR(VLOOKUP($A443,'Vocus RVC ExDa'!$C$2:$R$155, 8,FALSE), IFERROR(VLOOKUP($A443,'Fusion ExDa'!$B$2:$D$16, 4,FALSE), IFERROR(VLOOKUP($A443,'Exetel ExDa'!$C$2:$N$14, 5,FALSE), IFERROR(VLOOKUP($A443,'Infinet ExDa'!$B$2:$E$14, 3,FALSE), "Not Found"))))))))</f>
        <v>Standard Speed NBN 25Mbps</v>
      </c>
      <c r="F443" t="str">
        <f>IFERROR(VLOOKUP($A443,'AAPT ExDa'!$B$2:$U$99, 4,FALSE), IFERROR(VLOOKUP($A443,'ABB ExDa'!$A$2:$N$184, 6,FALSE), IFERROR(VLOOKUP($A443,'Vocus SIT ExDa'!$B$2:$J$173, 3,FALSE), IFERROR(VLOOKUP($A443,'Telstra ExDa'!$B$2:$K$310, 5,FALSE), IFERROR(VLOOKUP($A443,'Vocus RVC ExDa'!$C$2:$R$155, 9,FALSE), IFERROR(VLOOKUP($A443,'Fusion ExDa'!$B$2:$D$16, 0,FALSE), IFERROR(VLOOKUP($A443,'Exetel ExDa'!$C$2:$N$14, 6,FALSE), IFERROR(VLOOKUP($A443,'Infinet ExDa'!$B$2:$E$14, 0,FALSE), "Not Found"))))))))</f>
        <v>Core Internet</v>
      </c>
      <c r="G443" t="str">
        <f>IFERROR(VLOOKUP($A443,'AAPT ExDa'!$B$2:$U$99, 5,FALSE), IFERROR(VLOOKUP($A443,'ABB ExDa'!$A$2:$N$184, 8,FALSE), IFERROR(VLOOKUP($A443,'Vocus SIT ExDa'!$B$2:$J$173, 6,FALSE), IFERROR(VLOOKUP($A443,'Telstra ExDa'!$B$2:$K$310, 0,FALSE), IFERROR(VLOOKUP($A443,'Vocus RVC ExDa'!$C$2:$R$155, 15,FALSE), IFERROR(VLOOKUP($A443,'Fusion ExDa'!$B$2:$D$16, 0,FALSE), IFERROR(VLOOKUP($A443,'Exetel ExDa'!$C$2:$N$14, 7,FALSE), IFERROR(VLOOKUP($A443,'Infinet ExDa'!$B$2:$E$14, 0,FALSE), "Not Found"))))))))</f>
        <v>Not Found</v>
      </c>
      <c r="H443" t="str">
        <f>IFERROR(VLOOKUP($A443,'AAPT ExDa'!$B$2:$U$99, 6,FALSE), IFERROR(VLOOKUP($A443,'ABB ExDa'!$A$2:$N$184, 0,FALSE), IFERROR(VLOOKUP($A443,'Vocus SIT ExDa'!$B$2:$J$173, 0,FALSE), IFERROR(VLOOKUP($A443,'Telstra ExDa'!$B$2:$K$310, 0,FALSE), IFERROR(VLOOKUP($A443,'Vocus RVC ExDa'!$C$2:$R$155, 16,FALSE), IFERROR(VLOOKUP($A443,'Fusion ExDa'!$B$2:$D$16, 0,FALSE), IFERROR(VLOOKUP($A443,'Exetel ExDa'!$C$2:$N$14, 0,FALSE), IFERROR(VLOOKUP($A443,'Infinet ExDa'!$B$2:$E$14, 0,FALSE), "Not Found"))))))))</f>
        <v>Not Found</v>
      </c>
      <c r="I443" t="str">
        <f>IFERROR(VLOOKUP($A443,'AAPT ExDa'!$B$2:$U$99, 0,FALSE), IFERROR(VLOOKUP($A443,'ABB ExDa'!$A$2:$N$184, 0,FALSE), IFERROR(VLOOKUP($A443,'Vocus SIT ExDa'!$B$2:$J$173, 0,FALSE), IFERROR(VLOOKUP($A443,'Telstra ExDa'!$B$2:$K$310, 0,FALSE), IFERROR(VLOOKUP($A443,'Vocus RVC ExDa'!$C$2:$R$155, 0,FALSE), IFERROR(VLOOKUP($A443,'Fusion ExDa'!$B$2:$D$16, 0,FALSE), IFERROR(VLOOKUP($A443,'Exetel ExDa'!$C$2:$N$14, 8,FALSE), IFERROR(VLOOKUP($A443,'Infinet ExDa'!$B$2:$E$14, 0,FALSE), "Not Found"))))))))</f>
        <v>Not Found</v>
      </c>
      <c r="J443">
        <f>IFERROR(VLOOKUP($A443,'AAPT ExDa'!$B$2:$U$99, 7,FALSE), IFERROR(VLOOKUP($A443,'ABB ExDa'!$A$2:$N$184, 2,FALSE), IFERROR(VLOOKUP($A443,'Vocus SIT ExDa'!$B$2:$J$173, 0,FALSE), IFERROR(VLOOKUP($A443,'Telstra ExDa'!$B$2:$K$310, 7,FALSE), IFERROR(VLOOKUP($A443,'Vocus RVC ExDa'!$C$2:$R$155, 2,FALSE), IFERROR(VLOOKUP($A443,'Fusion ExDa'!$B$2:$D$16, 3,FALSE), IFERROR(VLOOKUP($A443,'Exetel ExDa'!$C$2:$N$14, 0,FALSE), IFERROR(VLOOKUP($A443,'Infinet ExDa'!$B$2:$E$14, 0,FALSE), "Not Found"))))))))</f>
        <v>0</v>
      </c>
      <c r="K443" t="str">
        <f>IFERROR(VLOOKUP($A443,'AAPT ExDa'!$B$2:$U$99, 12,FALSE), IFERROR(VLOOKUP($A443,'ABB ExDa'!$A$2:$N$184, 0,FALSE), IFERROR(VLOOKUP($A443,'Vocus SIT ExDa'!$B$2:$J$173, 0,FALSE), IFERROR(VLOOKUP($A443,'Telstra ExDa'!$B$2:$K$310, 0,FALSE), IFERROR(VLOOKUP($A443,'Vocus RVC ExDa'!$C$2:$R$155, 0,FALSE), IFERROR(VLOOKUP($A443,'Fusion ExDa'!$B$2:$D$16, 0,FALSE), IFERROR(VLOOKUP($A443,'Exetel ExDa'!$C$2:$N$14, 12,FALSE), IFERROR(VLOOKUP($A443,'Infinet ExDa'!$B$2:$E$14, 0,FALSE), "Not Found"))))))))</f>
        <v>Not Found</v>
      </c>
      <c r="L443" s="235" t="str">
        <f>IFERROR(VLOOKUP($A443,'AAPT ExDa'!$B$2:$U$99, 11,FALSE), IFERROR(VLOOKUP($A443,'ABB ExDa'!$A$2:$N$184, 9,FALSE), IFERROR(VLOOKUP($A443,'Vocus SIT ExDa'!$B$2:$J$173, 8,FALSE), IFERROR(VLOOKUP($A443,'Telstra ExDa'!$B$2:$K$310, 0,FALSE), IFERROR(VLOOKUP($A443,'Vocus RVC ExDa'!$C$2:$R$155, 0,FALSE), IFERROR(VLOOKUP($A443,'Fusion ExDa'!$B$2:$D$16, 0,FALSE), IFERROR(VLOOKUP($A443,'Exetel ExDa'!$C$2:$N$14, 9,FALSE), IFERROR(VLOOKUP($A443,'Infinet ExDa'!$B$2:$E$14, 0,FALSE), "Not Found"))))))))</f>
        <v>Not Found</v>
      </c>
      <c r="M443" s="234" t="str">
        <f>IFERROR(VLOOKUP($A443,'AAPT ExDa'!$B$2:$U$99, 0,FALSE), IFERROR(VLOOKUP($A443,'ABB ExDa'!$A$2:$N$184, 0,FALSE), IFERROR(VLOOKUP($A443,'Vocus SIT ExDa'!$B$2:$J$173, 0,FALSE), IFERROR(VLOOKUP($A443,'Telstra ExDa'!$B$2:$K$310, 0,FALSE), IFERROR(VLOOKUP($A443,'Vocus RVC ExDa'!$C$2:$R$155, 0,FALSE), IFERROR(VLOOKUP($A443,'Fusion ExDa'!$B$2:$D$16, 0,FALSE), IFERROR(VLOOKUP($A443,'Exetel ExDa'!$C$2:$N$14, 11,FALSE), IFERROR(VLOOKUP($A443,'Infinet ExDa'!$B$2:$E$14, 0,FALSE), "Not Found"))))))))</f>
        <v>Not Found</v>
      </c>
      <c r="N443" t="str">
        <f>IFERROR(VLOOKUP($A443,'AAPT ExDa'!$B$2:$U$99, 0,FALSE), IFERROR(VLOOKUP($A443,'ABB ExDa'!$A$2:$N$184, 13,FALSE), IFERROR(VLOOKUP($A443,'Vocus SIT ExDa'!$B$2:$J$173, 0,FALSE), IFERROR(VLOOKUP($A443,'Telstra ExDa'!$B$2:$K$310, 0,FALSE), IFERROR(VLOOKUP($A443,'Vocus RVC ExDa'!$C$2:$R$155, 0,FALSE), IFERROR(VLOOKUP($A443,'Fusion ExDa'!$B$2:$D$16, 0,FALSE), IFERROR(VLOOKUP($A443,'Exetel ExDa'!$C$2:$N$14, 0,FALSE), IFERROR(VLOOKUP($A443,'Infinet ExDa'!$B$2:$E$14, 0,FALSE), "Not Found"))))))))</f>
        <v>Not Found</v>
      </c>
    </row>
    <row r="444" spans="1:14">
      <c r="A444" t="str">
        <v>Haig St Cafe</v>
      </c>
      <c r="B444" t="str">
        <f>IFERROR(VLOOKUP(A444,'Exetel ExDa'!$C$2:$N$14,4,FALSE),"No Data")</f>
        <v>No Data</v>
      </c>
      <c r="C444" t="str">
        <f>IFERROR(VLOOKUP(A444,'AAPT ExDa'!$B$2:$U$99, 2,FALSE), IFERROR(VLOOKUP(A444,'ABB ExDa'!$A$2:$N$184, 2,FALSE), IFERROR(VLOOKUP(A444,'Vocus SIT ExDa'!$B$2:$J$173, 7,FALSE), IFERROR(VLOOKUP(A444,'Telstra ExDa'!$B$2:$K$310, 2,FALSE), IFERROR(VLOOKUP(A444,'Vocus RVC ExDa'!$C$2:$R$155, 3,FALSE), IFERROR(VLOOKUP(A444,'Fusion ExDa'!$B$2:$D$16, 2,FALSE), IFERROR(VLOOKUP(A444,'Exetel ExDa'!$C$2:$N$14, 2,FALSE), IFERROR(VLOOKUP(A444,'Infinet ExDa'!$B$2:$E$14, 2,FALSE), "Not Found"))))))))</f>
        <v>BG 1, G, SHOP 4, 28 - 30 MUSGRAVE ST, COOLANGATTA QLD 4225</v>
      </c>
      <c r="D444" t="str">
        <f>IFERROR(VLOOKUP($A444,'AAPT ExDa'!$B$2:$U$99, 15,FALSE), IFERROR(VLOOKUP($A444,'ABB ExDa'!$A$2:$N$184, 4,FALSE), IFERROR(VLOOKUP($A444,'Vocus SIT ExDa'!$B$2:$J$173, 5,FALSE), IFERROR(VLOOKUP($A444,'Telstra ExDa'!$B$2:$K$310, 8,FALSE), IFERROR(VLOOKUP($A444,'Vocus RVC ExDa'!$C$2:$R$155, 6,FALSE), IFERROR(VLOOKUP($A444,'Fusion ExDa'!$B$2:$D$16, 4,FALSE), IFERROR(VLOOKUP($A444,'Exetel ExDa'!$C$2:$N$14, 3,FALSE), IFERROR(VLOOKUP($A444,'Infinet ExDa'!$B$2:$E$14, 3,FALSE), "Not Found"))))))))</f>
        <v>Telstra</v>
      </c>
      <c r="E444" t="str">
        <f>IFERROR(VLOOKUP($A444,'AAPT ExDa'!$B$2:$U$99, 3,FALSE), IFERROR(VLOOKUP($A444,'ABB ExDa'!$A$2:$N$184, 5,FALSE), IFERROR(VLOOKUP($A444,'Vocus SIT ExDa'!$B$2:$J$173, 2,FALSE), IFERROR(VLOOKUP($A444,'Telstra ExDa'!$B$2:$K$310, 4,FALSE), IFERROR(VLOOKUP($A444,'Vocus RVC ExDa'!$C$2:$R$155, 8,FALSE), IFERROR(VLOOKUP($A444,'Fusion ExDa'!$B$2:$D$16, 4,FALSE), IFERROR(VLOOKUP($A444,'Exetel ExDa'!$C$2:$N$14, 5,FALSE), IFERROR(VLOOKUP($A444,'Infinet ExDa'!$B$2:$E$14, 3,FALSE), "Not Found"))))))))</f>
        <v>Fast Speed NBN / Static IP</v>
      </c>
      <c r="F444" t="str">
        <f>IFERROR(VLOOKUP($A444,'AAPT ExDa'!$B$2:$U$99, 4,FALSE), IFERROR(VLOOKUP($A444,'ABB ExDa'!$A$2:$N$184, 6,FALSE), IFERROR(VLOOKUP($A444,'Vocus SIT ExDa'!$B$2:$J$173, 3,FALSE), IFERROR(VLOOKUP($A444,'Telstra ExDa'!$B$2:$K$310, 5,FALSE), IFERROR(VLOOKUP($A444,'Vocus RVC ExDa'!$C$2:$R$155, 9,FALSE), IFERROR(VLOOKUP($A444,'Fusion ExDa'!$B$2:$D$16, 0,FALSE), IFERROR(VLOOKUP($A444,'Exetel ExDa'!$C$2:$N$14, 6,FALSE), IFERROR(VLOOKUP($A444,'Infinet ExDa'!$B$2:$E$14, 0,FALSE), "Not Found"))))))))</f>
        <v>Premium Internet, Static IP</v>
      </c>
      <c r="G444" t="str">
        <f>IFERROR(VLOOKUP($A444,'AAPT ExDa'!$B$2:$U$99, 5,FALSE), IFERROR(VLOOKUP($A444,'ABB ExDa'!$A$2:$N$184, 8,FALSE), IFERROR(VLOOKUP($A444,'Vocus SIT ExDa'!$B$2:$J$173, 6,FALSE), IFERROR(VLOOKUP($A444,'Telstra ExDa'!$B$2:$K$310, 0,FALSE), IFERROR(VLOOKUP($A444,'Vocus RVC ExDa'!$C$2:$R$155, 15,FALSE), IFERROR(VLOOKUP($A444,'Fusion ExDa'!$B$2:$D$16, 0,FALSE), IFERROR(VLOOKUP($A444,'Exetel ExDa'!$C$2:$N$14, 7,FALSE), IFERROR(VLOOKUP($A444,'Infinet ExDa'!$B$2:$E$14, 0,FALSE), "Not Found"))))))))</f>
        <v>Not Found</v>
      </c>
      <c r="H444" t="str">
        <f>IFERROR(VLOOKUP($A444,'AAPT ExDa'!$B$2:$U$99, 6,FALSE), IFERROR(VLOOKUP($A444,'ABB ExDa'!$A$2:$N$184, 0,FALSE), IFERROR(VLOOKUP($A444,'Vocus SIT ExDa'!$B$2:$J$173, 0,FALSE), IFERROR(VLOOKUP($A444,'Telstra ExDa'!$B$2:$K$310, 0,FALSE), IFERROR(VLOOKUP($A444,'Vocus RVC ExDa'!$C$2:$R$155, 16,FALSE), IFERROR(VLOOKUP($A444,'Fusion ExDa'!$B$2:$D$16, 0,FALSE), IFERROR(VLOOKUP($A444,'Exetel ExDa'!$C$2:$N$14, 0,FALSE), IFERROR(VLOOKUP($A444,'Infinet ExDa'!$B$2:$E$14, 0,FALSE), "Not Found"))))))))</f>
        <v>Not Found</v>
      </c>
      <c r="I444" t="str">
        <f>IFERROR(VLOOKUP($A444,'AAPT ExDa'!$B$2:$U$99, 0,FALSE), IFERROR(VLOOKUP($A444,'ABB ExDa'!$A$2:$N$184, 0,FALSE), IFERROR(VLOOKUP($A444,'Vocus SIT ExDa'!$B$2:$J$173, 0,FALSE), IFERROR(VLOOKUP($A444,'Telstra ExDa'!$B$2:$K$310, 0,FALSE), IFERROR(VLOOKUP($A444,'Vocus RVC ExDa'!$C$2:$R$155, 0,FALSE), IFERROR(VLOOKUP($A444,'Fusion ExDa'!$B$2:$D$16, 0,FALSE), IFERROR(VLOOKUP($A444,'Exetel ExDa'!$C$2:$N$14, 8,FALSE), IFERROR(VLOOKUP($A444,'Infinet ExDa'!$B$2:$E$14, 0,FALSE), "Not Found"))))))))</f>
        <v>Not Found</v>
      </c>
      <c r="J444">
        <f>IFERROR(VLOOKUP($A444,'AAPT ExDa'!$B$2:$U$99, 7,FALSE), IFERROR(VLOOKUP($A444,'ABB ExDa'!$A$2:$N$184, 2,FALSE), IFERROR(VLOOKUP($A444,'Vocus SIT ExDa'!$B$2:$J$173, 0,FALSE), IFERROR(VLOOKUP($A444,'Telstra ExDa'!$B$2:$K$310, 7,FALSE), IFERROR(VLOOKUP($A444,'Vocus RVC ExDa'!$C$2:$R$155, 2,FALSE), IFERROR(VLOOKUP($A444,'Fusion ExDa'!$B$2:$D$16, 3,FALSE), IFERROR(VLOOKUP($A444,'Exetel ExDa'!$C$2:$N$14, 0,FALSE), IFERROR(VLOOKUP($A444,'Infinet ExDa'!$B$2:$E$14, 0,FALSE), "Not Found"))))))))</f>
        <v>0</v>
      </c>
      <c r="K444" t="str">
        <f>IFERROR(VLOOKUP($A444,'AAPT ExDa'!$B$2:$U$99, 12,FALSE), IFERROR(VLOOKUP($A444,'ABB ExDa'!$A$2:$N$184, 0,FALSE), IFERROR(VLOOKUP($A444,'Vocus SIT ExDa'!$B$2:$J$173, 0,FALSE), IFERROR(VLOOKUP($A444,'Telstra ExDa'!$B$2:$K$310, 0,FALSE), IFERROR(VLOOKUP($A444,'Vocus RVC ExDa'!$C$2:$R$155, 0,FALSE), IFERROR(VLOOKUP($A444,'Fusion ExDa'!$B$2:$D$16, 0,FALSE), IFERROR(VLOOKUP($A444,'Exetel ExDa'!$C$2:$N$14, 12,FALSE), IFERROR(VLOOKUP($A444,'Infinet ExDa'!$B$2:$E$14, 0,FALSE), "Not Found"))))))))</f>
        <v>Not Found</v>
      </c>
      <c r="L444" s="235" t="str">
        <f>IFERROR(VLOOKUP($A444,'AAPT ExDa'!$B$2:$U$99, 11,FALSE), IFERROR(VLOOKUP($A444,'ABB ExDa'!$A$2:$N$184, 9,FALSE), IFERROR(VLOOKUP($A444,'Vocus SIT ExDa'!$B$2:$J$173, 8,FALSE), IFERROR(VLOOKUP($A444,'Telstra ExDa'!$B$2:$K$310, 0,FALSE), IFERROR(VLOOKUP($A444,'Vocus RVC ExDa'!$C$2:$R$155, 0,FALSE), IFERROR(VLOOKUP($A444,'Fusion ExDa'!$B$2:$D$16, 0,FALSE), IFERROR(VLOOKUP($A444,'Exetel ExDa'!$C$2:$N$14, 9,FALSE), IFERROR(VLOOKUP($A444,'Infinet ExDa'!$B$2:$E$14, 0,FALSE), "Not Found"))))))))</f>
        <v>Not Found</v>
      </c>
      <c r="M444" s="234" t="str">
        <f>IFERROR(VLOOKUP($A444,'AAPT ExDa'!$B$2:$U$99, 0,FALSE), IFERROR(VLOOKUP($A444,'ABB ExDa'!$A$2:$N$184, 0,FALSE), IFERROR(VLOOKUP($A444,'Vocus SIT ExDa'!$B$2:$J$173, 0,FALSE), IFERROR(VLOOKUP($A444,'Telstra ExDa'!$B$2:$K$310, 0,FALSE), IFERROR(VLOOKUP($A444,'Vocus RVC ExDa'!$C$2:$R$155, 0,FALSE), IFERROR(VLOOKUP($A444,'Fusion ExDa'!$B$2:$D$16, 0,FALSE), IFERROR(VLOOKUP($A444,'Exetel ExDa'!$C$2:$N$14, 11,FALSE), IFERROR(VLOOKUP($A444,'Infinet ExDa'!$B$2:$E$14, 0,FALSE), "Not Found"))))))))</f>
        <v>Not Found</v>
      </c>
      <c r="N444" t="str">
        <f>IFERROR(VLOOKUP($A444,'AAPT ExDa'!$B$2:$U$99, 0,FALSE), IFERROR(VLOOKUP($A444,'ABB ExDa'!$A$2:$N$184, 13,FALSE), IFERROR(VLOOKUP($A444,'Vocus SIT ExDa'!$B$2:$J$173, 0,FALSE), IFERROR(VLOOKUP($A444,'Telstra ExDa'!$B$2:$K$310, 0,FALSE), IFERROR(VLOOKUP($A444,'Vocus RVC ExDa'!$C$2:$R$155, 0,FALSE), IFERROR(VLOOKUP($A444,'Fusion ExDa'!$B$2:$D$16, 0,FALSE), IFERROR(VLOOKUP($A444,'Exetel ExDa'!$C$2:$N$14, 0,FALSE), IFERROR(VLOOKUP($A444,'Infinet ExDa'!$B$2:$E$14, 0,FALSE), "Not Found"))))))))</f>
        <v>Not Found</v>
      </c>
    </row>
    <row r="445" spans="1:14">
      <c r="A445" t="str">
        <v>Zambrero Cloverdale</v>
      </c>
      <c r="B445" t="str">
        <f>IFERROR(VLOOKUP(A445,'Exetel ExDa'!$C$2:$N$14,4,FALSE),"No Data")</f>
        <v>No Data</v>
      </c>
      <c r="C445" t="str">
        <f>IFERROR(VLOOKUP(A445,'AAPT ExDa'!$B$2:$U$99, 2,FALSE), IFERROR(VLOOKUP(A445,'ABB ExDa'!$A$2:$N$184, 2,FALSE), IFERROR(VLOOKUP(A445,'Vocus SIT ExDa'!$B$2:$J$173, 7,FALSE), IFERROR(VLOOKUP(A445,'Telstra ExDa'!$B$2:$K$310, 2,FALSE), IFERROR(VLOOKUP(A445,'Vocus RVC ExDa'!$C$2:$R$155, 3,FALSE), IFERROR(VLOOKUP(A445,'Fusion ExDa'!$B$2:$D$16, 2,FALSE), IFERROR(VLOOKUP(A445,'Exetel ExDa'!$C$2:$N$14, 2,FALSE), IFERROR(VLOOKUP(A445,'Infinet ExDa'!$B$2:$E$14, 2,FALSE), "Not Found"))))))))</f>
        <v>327 ABERNETHY RD, CLOVERDALE WA 6105</v>
      </c>
      <c r="D445" t="str">
        <f>IFERROR(VLOOKUP($A445,'AAPT ExDa'!$B$2:$U$99, 15,FALSE), IFERROR(VLOOKUP($A445,'ABB ExDa'!$A$2:$N$184, 4,FALSE), IFERROR(VLOOKUP($A445,'Vocus SIT ExDa'!$B$2:$J$173, 5,FALSE), IFERROR(VLOOKUP($A445,'Telstra ExDa'!$B$2:$K$310, 8,FALSE), IFERROR(VLOOKUP($A445,'Vocus RVC ExDa'!$C$2:$R$155, 6,FALSE), IFERROR(VLOOKUP($A445,'Fusion ExDa'!$B$2:$D$16, 4,FALSE), IFERROR(VLOOKUP($A445,'Exetel ExDa'!$C$2:$N$14, 3,FALSE), IFERROR(VLOOKUP($A445,'Infinet ExDa'!$B$2:$E$14, 3,FALSE), "Not Found"))))))))</f>
        <v>Telstra</v>
      </c>
      <c r="E445" t="str">
        <f>IFERROR(VLOOKUP($A445,'AAPT ExDa'!$B$2:$U$99, 3,FALSE), IFERROR(VLOOKUP($A445,'ABB ExDa'!$A$2:$N$184, 5,FALSE), IFERROR(VLOOKUP($A445,'Vocus SIT ExDa'!$B$2:$J$173, 2,FALSE), IFERROR(VLOOKUP($A445,'Telstra ExDa'!$B$2:$K$310, 4,FALSE), IFERROR(VLOOKUP($A445,'Vocus RVC ExDa'!$C$2:$R$155, 8,FALSE), IFERROR(VLOOKUP($A445,'Fusion ExDa'!$B$2:$D$16, 4,FALSE), IFERROR(VLOOKUP($A445,'Exetel ExDa'!$C$2:$N$14, 5,FALSE), IFERROR(VLOOKUP($A445,'Infinet ExDa'!$B$2:$E$14, 3,FALSE), "Not Found"))))))))</f>
        <v>Standard Speed NBN 25Mbps</v>
      </c>
      <c r="F445" t="str">
        <f>IFERROR(VLOOKUP($A445,'AAPT ExDa'!$B$2:$U$99, 4,FALSE), IFERROR(VLOOKUP($A445,'ABB ExDa'!$A$2:$N$184, 6,FALSE), IFERROR(VLOOKUP($A445,'Vocus SIT ExDa'!$B$2:$J$173, 3,FALSE), IFERROR(VLOOKUP($A445,'Telstra ExDa'!$B$2:$K$310, 5,FALSE), IFERROR(VLOOKUP($A445,'Vocus RVC ExDa'!$C$2:$R$155, 9,FALSE), IFERROR(VLOOKUP($A445,'Fusion ExDa'!$B$2:$D$16, 0,FALSE), IFERROR(VLOOKUP($A445,'Exetel ExDa'!$C$2:$N$14, 6,FALSE), IFERROR(VLOOKUP($A445,'Infinet ExDa'!$B$2:$E$14, 0,FALSE), "Not Found"))))))))</f>
        <v>Core Internet</v>
      </c>
      <c r="G445" t="str">
        <f>IFERROR(VLOOKUP($A445,'AAPT ExDa'!$B$2:$U$99, 5,FALSE), IFERROR(VLOOKUP($A445,'ABB ExDa'!$A$2:$N$184, 8,FALSE), IFERROR(VLOOKUP($A445,'Vocus SIT ExDa'!$B$2:$J$173, 6,FALSE), IFERROR(VLOOKUP($A445,'Telstra ExDa'!$B$2:$K$310, 0,FALSE), IFERROR(VLOOKUP($A445,'Vocus RVC ExDa'!$C$2:$R$155, 15,FALSE), IFERROR(VLOOKUP($A445,'Fusion ExDa'!$B$2:$D$16, 0,FALSE), IFERROR(VLOOKUP($A445,'Exetel ExDa'!$C$2:$N$14, 7,FALSE), IFERROR(VLOOKUP($A445,'Infinet ExDa'!$B$2:$E$14, 0,FALSE), "Not Found"))))))))</f>
        <v>Not Found</v>
      </c>
      <c r="H445" t="str">
        <f>IFERROR(VLOOKUP($A445,'AAPT ExDa'!$B$2:$U$99, 6,FALSE), IFERROR(VLOOKUP($A445,'ABB ExDa'!$A$2:$N$184, 0,FALSE), IFERROR(VLOOKUP($A445,'Vocus SIT ExDa'!$B$2:$J$173, 0,FALSE), IFERROR(VLOOKUP($A445,'Telstra ExDa'!$B$2:$K$310, 0,FALSE), IFERROR(VLOOKUP($A445,'Vocus RVC ExDa'!$C$2:$R$155, 16,FALSE), IFERROR(VLOOKUP($A445,'Fusion ExDa'!$B$2:$D$16, 0,FALSE), IFERROR(VLOOKUP($A445,'Exetel ExDa'!$C$2:$N$14, 0,FALSE), IFERROR(VLOOKUP($A445,'Infinet ExDa'!$B$2:$E$14, 0,FALSE), "Not Found"))))))))</f>
        <v>Not Found</v>
      </c>
      <c r="I445" t="str">
        <f>IFERROR(VLOOKUP($A445,'AAPT ExDa'!$B$2:$U$99, 0,FALSE), IFERROR(VLOOKUP($A445,'ABB ExDa'!$A$2:$N$184, 0,FALSE), IFERROR(VLOOKUP($A445,'Vocus SIT ExDa'!$B$2:$J$173, 0,FALSE), IFERROR(VLOOKUP($A445,'Telstra ExDa'!$B$2:$K$310, 0,FALSE), IFERROR(VLOOKUP($A445,'Vocus RVC ExDa'!$C$2:$R$155, 0,FALSE), IFERROR(VLOOKUP($A445,'Fusion ExDa'!$B$2:$D$16, 0,FALSE), IFERROR(VLOOKUP($A445,'Exetel ExDa'!$C$2:$N$14, 8,FALSE), IFERROR(VLOOKUP($A445,'Infinet ExDa'!$B$2:$E$14, 0,FALSE), "Not Found"))))))))</f>
        <v>Not Found</v>
      </c>
      <c r="J445">
        <f>IFERROR(VLOOKUP($A445,'AAPT ExDa'!$B$2:$U$99, 7,FALSE), IFERROR(VLOOKUP($A445,'ABB ExDa'!$A$2:$N$184, 2,FALSE), IFERROR(VLOOKUP($A445,'Vocus SIT ExDa'!$B$2:$J$173, 0,FALSE), IFERROR(VLOOKUP($A445,'Telstra ExDa'!$B$2:$K$310, 7,FALSE), IFERROR(VLOOKUP($A445,'Vocus RVC ExDa'!$C$2:$R$155, 2,FALSE), IFERROR(VLOOKUP($A445,'Fusion ExDa'!$B$2:$D$16, 3,FALSE), IFERROR(VLOOKUP($A445,'Exetel ExDa'!$C$2:$N$14, 0,FALSE), IFERROR(VLOOKUP($A445,'Infinet ExDa'!$B$2:$E$14, 0,FALSE), "Not Found"))))))))</f>
        <v>0</v>
      </c>
      <c r="K445" t="str">
        <f>IFERROR(VLOOKUP($A445,'AAPT ExDa'!$B$2:$U$99, 12,FALSE), IFERROR(VLOOKUP($A445,'ABB ExDa'!$A$2:$N$184, 0,FALSE), IFERROR(VLOOKUP($A445,'Vocus SIT ExDa'!$B$2:$J$173, 0,FALSE), IFERROR(VLOOKUP($A445,'Telstra ExDa'!$B$2:$K$310, 0,FALSE), IFERROR(VLOOKUP($A445,'Vocus RVC ExDa'!$C$2:$R$155, 0,FALSE), IFERROR(VLOOKUP($A445,'Fusion ExDa'!$B$2:$D$16, 0,FALSE), IFERROR(VLOOKUP($A445,'Exetel ExDa'!$C$2:$N$14, 12,FALSE), IFERROR(VLOOKUP($A445,'Infinet ExDa'!$B$2:$E$14, 0,FALSE), "Not Found"))))))))</f>
        <v>Not Found</v>
      </c>
      <c r="L445" s="235" t="str">
        <f>IFERROR(VLOOKUP($A445,'AAPT ExDa'!$B$2:$U$99, 11,FALSE), IFERROR(VLOOKUP($A445,'ABB ExDa'!$A$2:$N$184, 9,FALSE), IFERROR(VLOOKUP($A445,'Vocus SIT ExDa'!$B$2:$J$173, 8,FALSE), IFERROR(VLOOKUP($A445,'Telstra ExDa'!$B$2:$K$310, 0,FALSE), IFERROR(VLOOKUP($A445,'Vocus RVC ExDa'!$C$2:$R$155, 0,FALSE), IFERROR(VLOOKUP($A445,'Fusion ExDa'!$B$2:$D$16, 0,FALSE), IFERROR(VLOOKUP($A445,'Exetel ExDa'!$C$2:$N$14, 9,FALSE), IFERROR(VLOOKUP($A445,'Infinet ExDa'!$B$2:$E$14, 0,FALSE), "Not Found"))))))))</f>
        <v>Not Found</v>
      </c>
      <c r="M445" s="234" t="str">
        <f>IFERROR(VLOOKUP($A445,'AAPT ExDa'!$B$2:$U$99, 0,FALSE), IFERROR(VLOOKUP($A445,'ABB ExDa'!$A$2:$N$184, 0,FALSE), IFERROR(VLOOKUP($A445,'Vocus SIT ExDa'!$B$2:$J$173, 0,FALSE), IFERROR(VLOOKUP($A445,'Telstra ExDa'!$B$2:$K$310, 0,FALSE), IFERROR(VLOOKUP($A445,'Vocus RVC ExDa'!$C$2:$R$155, 0,FALSE), IFERROR(VLOOKUP($A445,'Fusion ExDa'!$B$2:$D$16, 0,FALSE), IFERROR(VLOOKUP($A445,'Exetel ExDa'!$C$2:$N$14, 11,FALSE), IFERROR(VLOOKUP($A445,'Infinet ExDa'!$B$2:$E$14, 0,FALSE), "Not Found"))))))))</f>
        <v>Not Found</v>
      </c>
      <c r="N445" t="str">
        <f>IFERROR(VLOOKUP($A445,'AAPT ExDa'!$B$2:$U$99, 0,FALSE), IFERROR(VLOOKUP($A445,'ABB ExDa'!$A$2:$N$184, 13,FALSE), IFERROR(VLOOKUP($A445,'Vocus SIT ExDa'!$B$2:$J$173, 0,FALSE), IFERROR(VLOOKUP($A445,'Telstra ExDa'!$B$2:$K$310, 0,FALSE), IFERROR(VLOOKUP($A445,'Vocus RVC ExDa'!$C$2:$R$155, 0,FALSE), IFERROR(VLOOKUP($A445,'Fusion ExDa'!$B$2:$D$16, 0,FALSE), IFERROR(VLOOKUP($A445,'Exetel ExDa'!$C$2:$N$14, 0,FALSE), IFERROR(VLOOKUP($A445,'Infinet ExDa'!$B$2:$E$14, 0,FALSE), "Not Found"))))))))</f>
        <v>Not Found</v>
      </c>
    </row>
    <row r="446" spans="1:14">
      <c r="A446" t="str">
        <v>Zambrero West Pinjarra Southbound</v>
      </c>
      <c r="B446" t="str">
        <f>IFERROR(VLOOKUP(A446,'Exetel ExDa'!$C$2:$N$14,4,FALSE),"No Data")</f>
        <v>No Data</v>
      </c>
      <c r="C446" t="str">
        <f>IFERROR(VLOOKUP(A446,'AAPT ExDa'!$B$2:$U$99, 2,FALSE), IFERROR(VLOOKUP(A446,'ABB ExDa'!$A$2:$N$184, 2,FALSE), IFERROR(VLOOKUP(A446,'Vocus SIT ExDa'!$B$2:$J$173, 7,FALSE), IFERROR(VLOOKUP(A446,'Telstra ExDa'!$B$2:$K$310, 2,FALSE), IFERROR(VLOOKUP(A446,'Vocus RVC ExDa'!$C$2:$R$155, 3,FALSE), IFERROR(VLOOKUP(A446,'Fusion ExDa'!$B$2:$D$16, 2,FALSE), IFERROR(VLOOKUP(A446,'Exetel ExDa'!$C$2:$N$14, 2,FALSE), IFERROR(VLOOKUP(A446,'Infinet ExDa'!$B$2:$E$14, 2,FALSE), "Not Found"))))))))</f>
        <v>SHOP 2, L 602, PLAN DP62481, WEST PINJARRA WA 6208</v>
      </c>
      <c r="D446" t="str">
        <f>IFERROR(VLOOKUP($A446,'AAPT ExDa'!$B$2:$U$99, 15,FALSE), IFERROR(VLOOKUP($A446,'ABB ExDa'!$A$2:$N$184, 4,FALSE), IFERROR(VLOOKUP($A446,'Vocus SIT ExDa'!$B$2:$J$173, 5,FALSE), IFERROR(VLOOKUP($A446,'Telstra ExDa'!$B$2:$K$310, 8,FALSE), IFERROR(VLOOKUP($A446,'Vocus RVC ExDa'!$C$2:$R$155, 6,FALSE), IFERROR(VLOOKUP($A446,'Fusion ExDa'!$B$2:$D$16, 4,FALSE), IFERROR(VLOOKUP($A446,'Exetel ExDa'!$C$2:$N$14, 3,FALSE), IFERROR(VLOOKUP($A446,'Infinet ExDa'!$B$2:$E$14, 3,FALSE), "Not Found"))))))))</f>
        <v>Telstra</v>
      </c>
      <c r="E446" t="str">
        <f>IFERROR(VLOOKUP($A446,'AAPT ExDa'!$B$2:$U$99, 3,FALSE), IFERROR(VLOOKUP($A446,'ABB ExDa'!$A$2:$N$184, 5,FALSE), IFERROR(VLOOKUP($A446,'Vocus SIT ExDa'!$B$2:$J$173, 2,FALSE), IFERROR(VLOOKUP($A446,'Telstra ExDa'!$B$2:$K$310, 4,FALSE), IFERROR(VLOOKUP($A446,'Vocus RVC ExDa'!$C$2:$R$155, 8,FALSE), IFERROR(VLOOKUP($A446,'Fusion ExDa'!$B$2:$D$16, 4,FALSE), IFERROR(VLOOKUP($A446,'Exetel ExDa'!$C$2:$N$14, 5,FALSE), IFERROR(VLOOKUP($A446,'Infinet ExDa'!$B$2:$E$14, 3,FALSE), "Not Found"))))))))</f>
        <v>Standard Speed NBN 25Mbps</v>
      </c>
      <c r="F446" t="str">
        <f>IFERROR(VLOOKUP($A446,'AAPT ExDa'!$B$2:$U$99, 4,FALSE), IFERROR(VLOOKUP($A446,'ABB ExDa'!$A$2:$N$184, 6,FALSE), IFERROR(VLOOKUP($A446,'Vocus SIT ExDa'!$B$2:$J$173, 3,FALSE), IFERROR(VLOOKUP($A446,'Telstra ExDa'!$B$2:$K$310, 5,FALSE), IFERROR(VLOOKUP($A446,'Vocus RVC ExDa'!$C$2:$R$155, 9,FALSE), IFERROR(VLOOKUP($A446,'Fusion ExDa'!$B$2:$D$16, 0,FALSE), IFERROR(VLOOKUP($A446,'Exetel ExDa'!$C$2:$N$14, 6,FALSE), IFERROR(VLOOKUP($A446,'Infinet ExDa'!$B$2:$E$14, 0,FALSE), "Not Found"))))))))</f>
        <v>Core Internet</v>
      </c>
      <c r="G446" t="str">
        <f>IFERROR(VLOOKUP($A446,'AAPT ExDa'!$B$2:$U$99, 5,FALSE), IFERROR(VLOOKUP($A446,'ABB ExDa'!$A$2:$N$184, 8,FALSE), IFERROR(VLOOKUP($A446,'Vocus SIT ExDa'!$B$2:$J$173, 6,FALSE), IFERROR(VLOOKUP($A446,'Telstra ExDa'!$B$2:$K$310, 0,FALSE), IFERROR(VLOOKUP($A446,'Vocus RVC ExDa'!$C$2:$R$155, 15,FALSE), IFERROR(VLOOKUP($A446,'Fusion ExDa'!$B$2:$D$16, 0,FALSE), IFERROR(VLOOKUP($A446,'Exetel ExDa'!$C$2:$N$14, 7,FALSE), IFERROR(VLOOKUP($A446,'Infinet ExDa'!$B$2:$E$14, 0,FALSE), "Not Found"))))))))</f>
        <v>Not Found</v>
      </c>
      <c r="H446" t="str">
        <f>IFERROR(VLOOKUP($A446,'AAPT ExDa'!$B$2:$U$99, 6,FALSE), IFERROR(VLOOKUP($A446,'ABB ExDa'!$A$2:$N$184, 0,FALSE), IFERROR(VLOOKUP($A446,'Vocus SIT ExDa'!$B$2:$J$173, 0,FALSE), IFERROR(VLOOKUP($A446,'Telstra ExDa'!$B$2:$K$310, 0,FALSE), IFERROR(VLOOKUP($A446,'Vocus RVC ExDa'!$C$2:$R$155, 16,FALSE), IFERROR(VLOOKUP($A446,'Fusion ExDa'!$B$2:$D$16, 0,FALSE), IFERROR(VLOOKUP($A446,'Exetel ExDa'!$C$2:$N$14, 0,FALSE), IFERROR(VLOOKUP($A446,'Infinet ExDa'!$B$2:$E$14, 0,FALSE), "Not Found"))))))))</f>
        <v>Not Found</v>
      </c>
      <c r="I446" t="str">
        <f>IFERROR(VLOOKUP($A446,'AAPT ExDa'!$B$2:$U$99, 0,FALSE), IFERROR(VLOOKUP($A446,'ABB ExDa'!$A$2:$N$184, 0,FALSE), IFERROR(VLOOKUP($A446,'Vocus SIT ExDa'!$B$2:$J$173, 0,FALSE), IFERROR(VLOOKUP($A446,'Telstra ExDa'!$B$2:$K$310, 0,FALSE), IFERROR(VLOOKUP($A446,'Vocus RVC ExDa'!$C$2:$R$155, 0,FALSE), IFERROR(VLOOKUP($A446,'Fusion ExDa'!$B$2:$D$16, 0,FALSE), IFERROR(VLOOKUP($A446,'Exetel ExDa'!$C$2:$N$14, 8,FALSE), IFERROR(VLOOKUP($A446,'Infinet ExDa'!$B$2:$E$14, 0,FALSE), "Not Found"))))))))</f>
        <v>Not Found</v>
      </c>
      <c r="J446">
        <f>IFERROR(VLOOKUP($A446,'AAPT ExDa'!$B$2:$U$99, 7,FALSE), IFERROR(VLOOKUP($A446,'ABB ExDa'!$A$2:$N$184, 2,FALSE), IFERROR(VLOOKUP($A446,'Vocus SIT ExDa'!$B$2:$J$173, 0,FALSE), IFERROR(VLOOKUP($A446,'Telstra ExDa'!$B$2:$K$310, 7,FALSE), IFERROR(VLOOKUP($A446,'Vocus RVC ExDa'!$C$2:$R$155, 2,FALSE), IFERROR(VLOOKUP($A446,'Fusion ExDa'!$B$2:$D$16, 3,FALSE), IFERROR(VLOOKUP($A446,'Exetel ExDa'!$C$2:$N$14, 0,FALSE), IFERROR(VLOOKUP($A446,'Infinet ExDa'!$B$2:$E$14, 0,FALSE), "Not Found"))))))))</f>
        <v>0</v>
      </c>
      <c r="K446" t="str">
        <f>IFERROR(VLOOKUP($A446,'AAPT ExDa'!$B$2:$U$99, 12,FALSE), IFERROR(VLOOKUP($A446,'ABB ExDa'!$A$2:$N$184, 0,FALSE), IFERROR(VLOOKUP($A446,'Vocus SIT ExDa'!$B$2:$J$173, 0,FALSE), IFERROR(VLOOKUP($A446,'Telstra ExDa'!$B$2:$K$310, 0,FALSE), IFERROR(VLOOKUP($A446,'Vocus RVC ExDa'!$C$2:$R$155, 0,FALSE), IFERROR(VLOOKUP($A446,'Fusion ExDa'!$B$2:$D$16, 0,FALSE), IFERROR(VLOOKUP($A446,'Exetel ExDa'!$C$2:$N$14, 12,FALSE), IFERROR(VLOOKUP($A446,'Infinet ExDa'!$B$2:$E$14, 0,FALSE), "Not Found"))))))))</f>
        <v>Not Found</v>
      </c>
      <c r="L446" s="235" t="str">
        <f>IFERROR(VLOOKUP($A446,'AAPT ExDa'!$B$2:$U$99, 11,FALSE), IFERROR(VLOOKUP($A446,'ABB ExDa'!$A$2:$N$184, 9,FALSE), IFERROR(VLOOKUP($A446,'Vocus SIT ExDa'!$B$2:$J$173, 8,FALSE), IFERROR(VLOOKUP($A446,'Telstra ExDa'!$B$2:$K$310, 0,FALSE), IFERROR(VLOOKUP($A446,'Vocus RVC ExDa'!$C$2:$R$155, 0,FALSE), IFERROR(VLOOKUP($A446,'Fusion ExDa'!$B$2:$D$16, 0,FALSE), IFERROR(VLOOKUP($A446,'Exetel ExDa'!$C$2:$N$14, 9,FALSE), IFERROR(VLOOKUP($A446,'Infinet ExDa'!$B$2:$E$14, 0,FALSE), "Not Found"))))))))</f>
        <v>Not Found</v>
      </c>
      <c r="M446" s="234" t="str">
        <f>IFERROR(VLOOKUP($A446,'AAPT ExDa'!$B$2:$U$99, 0,FALSE), IFERROR(VLOOKUP($A446,'ABB ExDa'!$A$2:$N$184, 0,FALSE), IFERROR(VLOOKUP($A446,'Vocus SIT ExDa'!$B$2:$J$173, 0,FALSE), IFERROR(VLOOKUP($A446,'Telstra ExDa'!$B$2:$K$310, 0,FALSE), IFERROR(VLOOKUP($A446,'Vocus RVC ExDa'!$C$2:$R$155, 0,FALSE), IFERROR(VLOOKUP($A446,'Fusion ExDa'!$B$2:$D$16, 0,FALSE), IFERROR(VLOOKUP($A446,'Exetel ExDa'!$C$2:$N$14, 11,FALSE), IFERROR(VLOOKUP($A446,'Infinet ExDa'!$B$2:$E$14, 0,FALSE), "Not Found"))))))))</f>
        <v>Not Found</v>
      </c>
      <c r="N446" t="str">
        <f>IFERROR(VLOOKUP($A446,'AAPT ExDa'!$B$2:$U$99, 0,FALSE), IFERROR(VLOOKUP($A446,'ABB ExDa'!$A$2:$N$184, 13,FALSE), IFERROR(VLOOKUP($A446,'Vocus SIT ExDa'!$B$2:$J$173, 0,FALSE), IFERROR(VLOOKUP($A446,'Telstra ExDa'!$B$2:$K$310, 0,FALSE), IFERROR(VLOOKUP($A446,'Vocus RVC ExDa'!$C$2:$R$155, 0,FALSE), IFERROR(VLOOKUP($A446,'Fusion ExDa'!$B$2:$D$16, 0,FALSE), IFERROR(VLOOKUP($A446,'Exetel ExDa'!$C$2:$N$14, 0,FALSE), IFERROR(VLOOKUP($A446,'Infinet ExDa'!$B$2:$E$14, 0,FALSE), "Not Found"))))))))</f>
        <v>Not Found</v>
      </c>
    </row>
    <row r="447" spans="1:14">
      <c r="A447" t="str">
        <v>Zambrero South Yarra</v>
      </c>
      <c r="B447" t="str">
        <f>IFERROR(VLOOKUP(A447,'Exetel ExDa'!$C$2:$N$14,4,FALSE),"No Data")</f>
        <v>No Data</v>
      </c>
      <c r="C447" t="str">
        <f>IFERROR(VLOOKUP(A447,'AAPT ExDa'!$B$2:$U$99, 2,FALSE), IFERROR(VLOOKUP(A447,'ABB ExDa'!$A$2:$N$184, 2,FALSE), IFERROR(VLOOKUP(A447,'Vocus SIT ExDa'!$B$2:$J$173, 7,FALSE), IFERROR(VLOOKUP(A447,'Telstra ExDa'!$B$2:$K$310, 2,FALSE), IFERROR(VLOOKUP(A447,'Vocus RVC ExDa'!$C$2:$R$155, 3,FALSE), IFERROR(VLOOKUP(A447,'Fusion ExDa'!$B$2:$D$16, 2,FALSE), IFERROR(VLOOKUP(A447,'Exetel ExDa'!$C$2:$N$14, 2,FALSE), IFERROR(VLOOKUP(A447,'Infinet ExDa'!$B$2:$E$14, 2,FALSE), "Not Found"))))))))</f>
        <v>374 CHAPEL ST, SOUTH YARRA VIC 3141</v>
      </c>
      <c r="D447" t="str">
        <f>IFERROR(VLOOKUP($A447,'AAPT ExDa'!$B$2:$U$99, 15,FALSE), IFERROR(VLOOKUP($A447,'ABB ExDa'!$A$2:$N$184, 4,FALSE), IFERROR(VLOOKUP($A447,'Vocus SIT ExDa'!$B$2:$J$173, 5,FALSE), IFERROR(VLOOKUP($A447,'Telstra ExDa'!$B$2:$K$310, 8,FALSE), IFERROR(VLOOKUP($A447,'Vocus RVC ExDa'!$C$2:$R$155, 6,FALSE), IFERROR(VLOOKUP($A447,'Fusion ExDa'!$B$2:$D$16, 4,FALSE), IFERROR(VLOOKUP($A447,'Exetel ExDa'!$C$2:$N$14, 3,FALSE), IFERROR(VLOOKUP($A447,'Infinet ExDa'!$B$2:$E$14, 3,FALSE), "Not Found"))))))))</f>
        <v>Telstra</v>
      </c>
      <c r="E447" t="str">
        <f>IFERROR(VLOOKUP($A447,'AAPT ExDa'!$B$2:$U$99, 3,FALSE), IFERROR(VLOOKUP($A447,'ABB ExDa'!$A$2:$N$184, 5,FALSE), IFERROR(VLOOKUP($A447,'Vocus SIT ExDa'!$B$2:$J$173, 2,FALSE), IFERROR(VLOOKUP($A447,'Telstra ExDa'!$B$2:$K$310, 4,FALSE), IFERROR(VLOOKUP($A447,'Vocus RVC ExDa'!$C$2:$R$155, 8,FALSE), IFERROR(VLOOKUP($A447,'Fusion ExDa'!$B$2:$D$16, 4,FALSE), IFERROR(VLOOKUP($A447,'Exetel ExDa'!$C$2:$N$14, 5,FALSE), IFERROR(VLOOKUP($A447,'Infinet ExDa'!$B$2:$E$14, 3,FALSE), "Not Found"))))))))</f>
        <v xml:space="preserve">Standard Plus Speed NBN </v>
      </c>
      <c r="F447" t="str">
        <f>IFERROR(VLOOKUP($A447,'AAPT ExDa'!$B$2:$U$99, 4,FALSE), IFERROR(VLOOKUP($A447,'ABB ExDa'!$A$2:$N$184, 6,FALSE), IFERROR(VLOOKUP($A447,'Vocus SIT ExDa'!$B$2:$J$173, 3,FALSE), IFERROR(VLOOKUP($A447,'Telstra ExDa'!$B$2:$K$310, 5,FALSE), IFERROR(VLOOKUP($A447,'Vocus RVC ExDa'!$C$2:$R$155, 9,FALSE), IFERROR(VLOOKUP($A447,'Fusion ExDa'!$B$2:$D$16, 0,FALSE), IFERROR(VLOOKUP($A447,'Exetel ExDa'!$C$2:$N$14, 6,FALSE), IFERROR(VLOOKUP($A447,'Infinet ExDa'!$B$2:$E$14, 0,FALSE), "Not Found"))))))))</f>
        <v>Unlimited Internet_x000D_</v>
      </c>
      <c r="G447" t="str">
        <f>IFERROR(VLOOKUP($A447,'AAPT ExDa'!$B$2:$U$99, 5,FALSE), IFERROR(VLOOKUP($A447,'ABB ExDa'!$A$2:$N$184, 8,FALSE), IFERROR(VLOOKUP($A447,'Vocus SIT ExDa'!$B$2:$J$173, 6,FALSE), IFERROR(VLOOKUP($A447,'Telstra ExDa'!$B$2:$K$310, 0,FALSE), IFERROR(VLOOKUP($A447,'Vocus RVC ExDa'!$C$2:$R$155, 15,FALSE), IFERROR(VLOOKUP($A447,'Fusion ExDa'!$B$2:$D$16, 0,FALSE), IFERROR(VLOOKUP($A447,'Exetel ExDa'!$C$2:$N$14, 7,FALSE), IFERROR(VLOOKUP($A447,'Infinet ExDa'!$B$2:$E$14, 0,FALSE), "Not Found"))))))))</f>
        <v>Not Found</v>
      </c>
      <c r="H447" t="str">
        <f>IFERROR(VLOOKUP($A447,'AAPT ExDa'!$B$2:$U$99, 6,FALSE), IFERROR(VLOOKUP($A447,'ABB ExDa'!$A$2:$N$184, 0,FALSE), IFERROR(VLOOKUP($A447,'Vocus SIT ExDa'!$B$2:$J$173, 0,FALSE), IFERROR(VLOOKUP($A447,'Telstra ExDa'!$B$2:$K$310, 0,FALSE), IFERROR(VLOOKUP($A447,'Vocus RVC ExDa'!$C$2:$R$155, 16,FALSE), IFERROR(VLOOKUP($A447,'Fusion ExDa'!$B$2:$D$16, 0,FALSE), IFERROR(VLOOKUP($A447,'Exetel ExDa'!$C$2:$N$14, 0,FALSE), IFERROR(VLOOKUP($A447,'Infinet ExDa'!$B$2:$E$14, 0,FALSE), "Not Found"))))))))</f>
        <v>Not Found</v>
      </c>
      <c r="I447" t="str">
        <f>IFERROR(VLOOKUP($A447,'AAPT ExDa'!$B$2:$U$99, 0,FALSE), IFERROR(VLOOKUP($A447,'ABB ExDa'!$A$2:$N$184, 0,FALSE), IFERROR(VLOOKUP($A447,'Vocus SIT ExDa'!$B$2:$J$173, 0,FALSE), IFERROR(VLOOKUP($A447,'Telstra ExDa'!$B$2:$K$310, 0,FALSE), IFERROR(VLOOKUP($A447,'Vocus RVC ExDa'!$C$2:$R$155, 0,FALSE), IFERROR(VLOOKUP($A447,'Fusion ExDa'!$B$2:$D$16, 0,FALSE), IFERROR(VLOOKUP($A447,'Exetel ExDa'!$C$2:$N$14, 8,FALSE), IFERROR(VLOOKUP($A447,'Infinet ExDa'!$B$2:$E$14, 0,FALSE), "Not Found"))))))))</f>
        <v>Not Found</v>
      </c>
      <c r="J447">
        <f>IFERROR(VLOOKUP($A447,'AAPT ExDa'!$B$2:$U$99, 7,FALSE), IFERROR(VLOOKUP($A447,'ABB ExDa'!$A$2:$N$184, 2,FALSE), IFERROR(VLOOKUP($A447,'Vocus SIT ExDa'!$B$2:$J$173, 0,FALSE), IFERROR(VLOOKUP($A447,'Telstra ExDa'!$B$2:$K$310, 7,FALSE), IFERROR(VLOOKUP($A447,'Vocus RVC ExDa'!$C$2:$R$155, 2,FALSE), IFERROR(VLOOKUP($A447,'Fusion ExDa'!$B$2:$D$16, 3,FALSE), IFERROR(VLOOKUP($A447,'Exetel ExDa'!$C$2:$N$14, 0,FALSE), IFERROR(VLOOKUP($A447,'Infinet ExDa'!$B$2:$E$14, 0,FALSE), "Not Found"))))))))</f>
        <v>0</v>
      </c>
      <c r="K447" t="str">
        <f>IFERROR(VLOOKUP($A447,'AAPT ExDa'!$B$2:$U$99, 12,FALSE), IFERROR(VLOOKUP($A447,'ABB ExDa'!$A$2:$N$184, 0,FALSE), IFERROR(VLOOKUP($A447,'Vocus SIT ExDa'!$B$2:$J$173, 0,FALSE), IFERROR(VLOOKUP($A447,'Telstra ExDa'!$B$2:$K$310, 0,FALSE), IFERROR(VLOOKUP($A447,'Vocus RVC ExDa'!$C$2:$R$155, 0,FALSE), IFERROR(VLOOKUP($A447,'Fusion ExDa'!$B$2:$D$16, 0,FALSE), IFERROR(VLOOKUP($A447,'Exetel ExDa'!$C$2:$N$14, 12,FALSE), IFERROR(VLOOKUP($A447,'Infinet ExDa'!$B$2:$E$14, 0,FALSE), "Not Found"))))))))</f>
        <v>Not Found</v>
      </c>
      <c r="L447" s="235" t="str">
        <f>IFERROR(VLOOKUP($A447,'AAPT ExDa'!$B$2:$U$99, 11,FALSE), IFERROR(VLOOKUP($A447,'ABB ExDa'!$A$2:$N$184, 9,FALSE), IFERROR(VLOOKUP($A447,'Vocus SIT ExDa'!$B$2:$J$173, 8,FALSE), IFERROR(VLOOKUP($A447,'Telstra ExDa'!$B$2:$K$310, 0,FALSE), IFERROR(VLOOKUP($A447,'Vocus RVC ExDa'!$C$2:$R$155, 0,FALSE), IFERROR(VLOOKUP($A447,'Fusion ExDa'!$B$2:$D$16, 0,FALSE), IFERROR(VLOOKUP($A447,'Exetel ExDa'!$C$2:$N$14, 9,FALSE), IFERROR(VLOOKUP($A447,'Infinet ExDa'!$B$2:$E$14, 0,FALSE), "Not Found"))))))))</f>
        <v>Not Found</v>
      </c>
      <c r="M447" s="234" t="str">
        <f>IFERROR(VLOOKUP($A447,'AAPT ExDa'!$B$2:$U$99, 0,FALSE), IFERROR(VLOOKUP($A447,'ABB ExDa'!$A$2:$N$184, 0,FALSE), IFERROR(VLOOKUP($A447,'Vocus SIT ExDa'!$B$2:$J$173, 0,FALSE), IFERROR(VLOOKUP($A447,'Telstra ExDa'!$B$2:$K$310, 0,FALSE), IFERROR(VLOOKUP($A447,'Vocus RVC ExDa'!$C$2:$R$155, 0,FALSE), IFERROR(VLOOKUP($A447,'Fusion ExDa'!$B$2:$D$16, 0,FALSE), IFERROR(VLOOKUP($A447,'Exetel ExDa'!$C$2:$N$14, 11,FALSE), IFERROR(VLOOKUP($A447,'Infinet ExDa'!$B$2:$E$14, 0,FALSE), "Not Found"))))))))</f>
        <v>Not Found</v>
      </c>
      <c r="N447" t="str">
        <f>IFERROR(VLOOKUP($A447,'AAPT ExDa'!$B$2:$U$99, 0,FALSE), IFERROR(VLOOKUP($A447,'ABB ExDa'!$A$2:$N$184, 13,FALSE), IFERROR(VLOOKUP($A447,'Vocus SIT ExDa'!$B$2:$J$173, 0,FALSE), IFERROR(VLOOKUP($A447,'Telstra ExDa'!$B$2:$K$310, 0,FALSE), IFERROR(VLOOKUP($A447,'Vocus RVC ExDa'!$C$2:$R$155, 0,FALSE), IFERROR(VLOOKUP($A447,'Fusion ExDa'!$B$2:$D$16, 0,FALSE), IFERROR(VLOOKUP($A447,'Exetel ExDa'!$C$2:$N$14, 0,FALSE), IFERROR(VLOOKUP($A447,'Infinet ExDa'!$B$2:$E$14, 0,FALSE), "Not Found"))))))))</f>
        <v>Not Found</v>
      </c>
    </row>
    <row r="448" spans="1:14">
      <c r="A448" t="str">
        <v>Zambrero Mornington (Yullies RD)</v>
      </c>
      <c r="B448" t="str">
        <f>IFERROR(VLOOKUP(A448,'Exetel ExDa'!$C$2:$N$14,4,FALSE),"No Data")</f>
        <v>No Data</v>
      </c>
      <c r="C448" t="str">
        <f>IFERROR(VLOOKUP(A448,'AAPT ExDa'!$B$2:$U$99, 2,FALSE), IFERROR(VLOOKUP(A448,'ABB ExDa'!$A$2:$N$184, 2,FALSE), IFERROR(VLOOKUP(A448,'Vocus SIT ExDa'!$B$2:$J$173, 7,FALSE), IFERROR(VLOOKUP(A448,'Telstra ExDa'!$B$2:$K$310, 2,FALSE), IFERROR(VLOOKUP(A448,'Vocus RVC ExDa'!$C$2:$R$155, 3,FALSE), IFERROR(VLOOKUP(A448,'Fusion ExDa'!$B$2:$D$16, 2,FALSE), IFERROR(VLOOKUP(A448,'Exetel ExDa'!$C$2:$N$14, 2,FALSE), IFERROR(VLOOKUP(A448,'Infinet ExDa'!$B$2:$E$14, 2,FALSE), "Not Found"))))))))</f>
        <v>FY 1 72 YUILLES RD, MORNINGTON VIC 3931</v>
      </c>
      <c r="D448" t="str">
        <f>IFERROR(VLOOKUP($A448,'AAPT ExDa'!$B$2:$U$99, 15,FALSE), IFERROR(VLOOKUP($A448,'ABB ExDa'!$A$2:$N$184, 4,FALSE), IFERROR(VLOOKUP($A448,'Vocus SIT ExDa'!$B$2:$J$173, 5,FALSE), IFERROR(VLOOKUP($A448,'Telstra ExDa'!$B$2:$K$310, 8,FALSE), IFERROR(VLOOKUP($A448,'Vocus RVC ExDa'!$C$2:$R$155, 6,FALSE), IFERROR(VLOOKUP($A448,'Fusion ExDa'!$B$2:$D$16, 4,FALSE), IFERROR(VLOOKUP($A448,'Exetel ExDa'!$C$2:$N$14, 3,FALSE), IFERROR(VLOOKUP($A448,'Infinet ExDa'!$B$2:$E$14, 3,FALSE), "Not Found"))))))))</f>
        <v>Telstra</v>
      </c>
      <c r="E448" t="str">
        <f>IFERROR(VLOOKUP($A448,'AAPT ExDa'!$B$2:$U$99, 3,FALSE), IFERROR(VLOOKUP($A448,'ABB ExDa'!$A$2:$N$184, 5,FALSE), IFERROR(VLOOKUP($A448,'Vocus SIT ExDa'!$B$2:$J$173, 2,FALSE), IFERROR(VLOOKUP($A448,'Telstra ExDa'!$B$2:$K$310, 4,FALSE), IFERROR(VLOOKUP($A448,'Vocus RVC ExDa'!$C$2:$R$155, 8,FALSE), IFERROR(VLOOKUP($A448,'Fusion ExDa'!$B$2:$D$16, 4,FALSE), IFERROR(VLOOKUP($A448,'Exetel ExDa'!$C$2:$N$14, 5,FALSE), IFERROR(VLOOKUP($A448,'Infinet ExDa'!$B$2:$E$14, 3,FALSE), "Not Found"))))))))</f>
        <v>Standard Speed NBN 25Mbps/Static IP</v>
      </c>
      <c r="F448" t="str">
        <f>IFERROR(VLOOKUP($A448,'AAPT ExDa'!$B$2:$U$99, 4,FALSE), IFERROR(VLOOKUP($A448,'ABB ExDa'!$A$2:$N$184, 6,FALSE), IFERROR(VLOOKUP($A448,'Vocus SIT ExDa'!$B$2:$J$173, 3,FALSE), IFERROR(VLOOKUP($A448,'Telstra ExDa'!$B$2:$K$310, 5,FALSE), IFERROR(VLOOKUP($A448,'Vocus RVC ExDa'!$C$2:$R$155, 9,FALSE), IFERROR(VLOOKUP($A448,'Fusion ExDa'!$B$2:$D$16, 0,FALSE), IFERROR(VLOOKUP($A448,'Exetel ExDa'!$C$2:$N$14, 6,FALSE), IFERROR(VLOOKUP($A448,'Infinet ExDa'!$B$2:$E$14, 0,FALSE), "Not Found"))))))))</f>
        <v>Core Internet, Static IP</v>
      </c>
      <c r="G448" t="str">
        <f>IFERROR(VLOOKUP($A448,'AAPT ExDa'!$B$2:$U$99, 5,FALSE), IFERROR(VLOOKUP($A448,'ABB ExDa'!$A$2:$N$184, 8,FALSE), IFERROR(VLOOKUP($A448,'Vocus SIT ExDa'!$B$2:$J$173, 6,FALSE), IFERROR(VLOOKUP($A448,'Telstra ExDa'!$B$2:$K$310, 0,FALSE), IFERROR(VLOOKUP($A448,'Vocus RVC ExDa'!$C$2:$R$155, 15,FALSE), IFERROR(VLOOKUP($A448,'Fusion ExDa'!$B$2:$D$16, 0,FALSE), IFERROR(VLOOKUP($A448,'Exetel ExDa'!$C$2:$N$14, 7,FALSE), IFERROR(VLOOKUP($A448,'Infinet ExDa'!$B$2:$E$14, 0,FALSE), "Not Found"))))))))</f>
        <v>Not Found</v>
      </c>
      <c r="H448" t="str">
        <f>IFERROR(VLOOKUP($A448,'AAPT ExDa'!$B$2:$U$99, 6,FALSE), IFERROR(VLOOKUP($A448,'ABB ExDa'!$A$2:$N$184, 0,FALSE), IFERROR(VLOOKUP($A448,'Vocus SIT ExDa'!$B$2:$J$173, 0,FALSE), IFERROR(VLOOKUP($A448,'Telstra ExDa'!$B$2:$K$310, 0,FALSE), IFERROR(VLOOKUP($A448,'Vocus RVC ExDa'!$C$2:$R$155, 16,FALSE), IFERROR(VLOOKUP($A448,'Fusion ExDa'!$B$2:$D$16, 0,FALSE), IFERROR(VLOOKUP($A448,'Exetel ExDa'!$C$2:$N$14, 0,FALSE), IFERROR(VLOOKUP($A448,'Infinet ExDa'!$B$2:$E$14, 0,FALSE), "Not Found"))))))))</f>
        <v>Not Found</v>
      </c>
      <c r="I448" t="str">
        <f>IFERROR(VLOOKUP($A448,'AAPT ExDa'!$B$2:$U$99, 0,FALSE), IFERROR(VLOOKUP($A448,'ABB ExDa'!$A$2:$N$184, 0,FALSE), IFERROR(VLOOKUP($A448,'Vocus SIT ExDa'!$B$2:$J$173, 0,FALSE), IFERROR(VLOOKUP($A448,'Telstra ExDa'!$B$2:$K$310, 0,FALSE), IFERROR(VLOOKUP($A448,'Vocus RVC ExDa'!$C$2:$R$155, 0,FALSE), IFERROR(VLOOKUP($A448,'Fusion ExDa'!$B$2:$D$16, 0,FALSE), IFERROR(VLOOKUP($A448,'Exetel ExDa'!$C$2:$N$14, 8,FALSE), IFERROR(VLOOKUP($A448,'Infinet ExDa'!$B$2:$E$14, 0,FALSE), "Not Found"))))))))</f>
        <v>Not Found</v>
      </c>
      <c r="J448">
        <f>IFERROR(VLOOKUP($A448,'AAPT ExDa'!$B$2:$U$99, 7,FALSE), IFERROR(VLOOKUP($A448,'ABB ExDa'!$A$2:$N$184, 2,FALSE), IFERROR(VLOOKUP($A448,'Vocus SIT ExDa'!$B$2:$J$173, 0,FALSE), IFERROR(VLOOKUP($A448,'Telstra ExDa'!$B$2:$K$310, 7,FALSE), IFERROR(VLOOKUP($A448,'Vocus RVC ExDa'!$C$2:$R$155, 2,FALSE), IFERROR(VLOOKUP($A448,'Fusion ExDa'!$B$2:$D$16, 3,FALSE), IFERROR(VLOOKUP($A448,'Exetel ExDa'!$C$2:$N$14, 0,FALSE), IFERROR(VLOOKUP($A448,'Infinet ExDa'!$B$2:$E$14, 0,FALSE), "Not Found"))))))))</f>
        <v>0</v>
      </c>
      <c r="K448" t="str">
        <f>IFERROR(VLOOKUP($A448,'AAPT ExDa'!$B$2:$U$99, 12,FALSE), IFERROR(VLOOKUP($A448,'ABB ExDa'!$A$2:$N$184, 0,FALSE), IFERROR(VLOOKUP($A448,'Vocus SIT ExDa'!$B$2:$J$173, 0,FALSE), IFERROR(VLOOKUP($A448,'Telstra ExDa'!$B$2:$K$310, 0,FALSE), IFERROR(VLOOKUP($A448,'Vocus RVC ExDa'!$C$2:$R$155, 0,FALSE), IFERROR(VLOOKUP($A448,'Fusion ExDa'!$B$2:$D$16, 0,FALSE), IFERROR(VLOOKUP($A448,'Exetel ExDa'!$C$2:$N$14, 12,FALSE), IFERROR(VLOOKUP($A448,'Infinet ExDa'!$B$2:$E$14, 0,FALSE), "Not Found"))))))))</f>
        <v>Not Found</v>
      </c>
      <c r="L448" s="235" t="str">
        <f>IFERROR(VLOOKUP($A448,'AAPT ExDa'!$B$2:$U$99, 11,FALSE), IFERROR(VLOOKUP($A448,'ABB ExDa'!$A$2:$N$184, 9,FALSE), IFERROR(VLOOKUP($A448,'Vocus SIT ExDa'!$B$2:$J$173, 8,FALSE), IFERROR(VLOOKUP($A448,'Telstra ExDa'!$B$2:$K$310, 0,FALSE), IFERROR(VLOOKUP($A448,'Vocus RVC ExDa'!$C$2:$R$155, 0,FALSE), IFERROR(VLOOKUP($A448,'Fusion ExDa'!$B$2:$D$16, 0,FALSE), IFERROR(VLOOKUP($A448,'Exetel ExDa'!$C$2:$N$14, 9,FALSE), IFERROR(VLOOKUP($A448,'Infinet ExDa'!$B$2:$E$14, 0,FALSE), "Not Found"))))))))</f>
        <v>Not Found</v>
      </c>
      <c r="M448" s="234" t="str">
        <f>IFERROR(VLOOKUP($A448,'AAPT ExDa'!$B$2:$U$99, 0,FALSE), IFERROR(VLOOKUP($A448,'ABB ExDa'!$A$2:$N$184, 0,FALSE), IFERROR(VLOOKUP($A448,'Vocus SIT ExDa'!$B$2:$J$173, 0,FALSE), IFERROR(VLOOKUP($A448,'Telstra ExDa'!$B$2:$K$310, 0,FALSE), IFERROR(VLOOKUP($A448,'Vocus RVC ExDa'!$C$2:$R$155, 0,FALSE), IFERROR(VLOOKUP($A448,'Fusion ExDa'!$B$2:$D$16, 0,FALSE), IFERROR(VLOOKUP($A448,'Exetel ExDa'!$C$2:$N$14, 11,FALSE), IFERROR(VLOOKUP($A448,'Infinet ExDa'!$B$2:$E$14, 0,FALSE), "Not Found"))))))))</f>
        <v>Not Found</v>
      </c>
      <c r="N448" t="str">
        <f>IFERROR(VLOOKUP($A448,'AAPT ExDa'!$B$2:$U$99, 0,FALSE), IFERROR(VLOOKUP($A448,'ABB ExDa'!$A$2:$N$184, 13,FALSE), IFERROR(VLOOKUP($A448,'Vocus SIT ExDa'!$B$2:$J$173, 0,FALSE), IFERROR(VLOOKUP($A448,'Telstra ExDa'!$B$2:$K$310, 0,FALSE), IFERROR(VLOOKUP($A448,'Vocus RVC ExDa'!$C$2:$R$155, 0,FALSE), IFERROR(VLOOKUP($A448,'Fusion ExDa'!$B$2:$D$16, 0,FALSE), IFERROR(VLOOKUP($A448,'Exetel ExDa'!$C$2:$N$14, 0,FALSE), IFERROR(VLOOKUP($A448,'Infinet ExDa'!$B$2:$E$14, 0,FALSE), "Not Found"))))))))</f>
        <v>Not Found</v>
      </c>
    </row>
    <row r="449" spans="1:14">
      <c r="A449" t="str">
        <v>Zambrero Box Hill</v>
      </c>
      <c r="B449" t="str">
        <f>IFERROR(VLOOKUP(A449,'Exetel ExDa'!$C$2:$N$14,4,FALSE),"No Data")</f>
        <v>No Data</v>
      </c>
      <c r="C449" t="str">
        <f>IFERROR(VLOOKUP(A449,'AAPT ExDa'!$B$2:$U$99, 2,FALSE), IFERROR(VLOOKUP(A449,'ABB ExDa'!$A$2:$N$184, 2,FALSE), IFERROR(VLOOKUP(A449,'Vocus SIT ExDa'!$B$2:$J$173, 7,FALSE), IFERROR(VLOOKUP(A449,'Telstra ExDa'!$B$2:$K$310, 2,FALSE), IFERROR(VLOOKUP(A449,'Vocus RVC ExDa'!$C$2:$R$155, 3,FALSE), IFERROR(VLOOKUP(A449,'Fusion ExDa'!$B$2:$D$16, 2,FALSE), IFERROR(VLOOKUP(A449,'Exetel ExDa'!$C$2:$N$14, 2,FALSE), IFERROR(VLOOKUP(A449,'Infinet ExDa'!$B$2:$E$14, 2,FALSE), "Not Found"))))))))</f>
        <v>CARMEL VILLAGE SHOPPING CENTRE, SHOP 8, BOX HILL NSW 2765</v>
      </c>
      <c r="D449" t="str">
        <f>IFERROR(VLOOKUP($A449,'AAPT ExDa'!$B$2:$U$99, 15,FALSE), IFERROR(VLOOKUP($A449,'ABB ExDa'!$A$2:$N$184, 4,FALSE), IFERROR(VLOOKUP($A449,'Vocus SIT ExDa'!$B$2:$J$173, 5,FALSE), IFERROR(VLOOKUP($A449,'Telstra ExDa'!$B$2:$K$310, 8,FALSE), IFERROR(VLOOKUP($A449,'Vocus RVC ExDa'!$C$2:$R$155, 6,FALSE), IFERROR(VLOOKUP($A449,'Fusion ExDa'!$B$2:$D$16, 4,FALSE), IFERROR(VLOOKUP($A449,'Exetel ExDa'!$C$2:$N$14, 3,FALSE), IFERROR(VLOOKUP($A449,'Infinet ExDa'!$B$2:$E$14, 3,FALSE), "Not Found"))))))))</f>
        <v>Telstra</v>
      </c>
      <c r="E449" t="str">
        <f>IFERROR(VLOOKUP($A449,'AAPT ExDa'!$B$2:$U$99, 3,FALSE), IFERROR(VLOOKUP($A449,'ABB ExDa'!$A$2:$N$184, 5,FALSE), IFERROR(VLOOKUP($A449,'Vocus SIT ExDa'!$B$2:$J$173, 2,FALSE), IFERROR(VLOOKUP($A449,'Telstra ExDa'!$B$2:$K$310, 4,FALSE), IFERROR(VLOOKUP($A449,'Vocus RVC ExDa'!$C$2:$R$155, 8,FALSE), IFERROR(VLOOKUP($A449,'Fusion ExDa'!$B$2:$D$16, 4,FALSE), IFERROR(VLOOKUP($A449,'Exetel ExDa'!$C$2:$N$14, 5,FALSE), IFERROR(VLOOKUP($A449,'Infinet ExDa'!$B$2:$E$14, 3,FALSE), "Not Found"))))))))</f>
        <v>Standard Speed NBN 25Mbps</v>
      </c>
      <c r="F449" t="str">
        <f>IFERROR(VLOOKUP($A449,'AAPT ExDa'!$B$2:$U$99, 4,FALSE), IFERROR(VLOOKUP($A449,'ABB ExDa'!$A$2:$N$184, 6,FALSE), IFERROR(VLOOKUP($A449,'Vocus SIT ExDa'!$B$2:$J$173, 3,FALSE), IFERROR(VLOOKUP($A449,'Telstra ExDa'!$B$2:$K$310, 5,FALSE), IFERROR(VLOOKUP($A449,'Vocus RVC ExDa'!$C$2:$R$155, 9,FALSE), IFERROR(VLOOKUP($A449,'Fusion ExDa'!$B$2:$D$16, 0,FALSE), IFERROR(VLOOKUP($A449,'Exetel ExDa'!$C$2:$N$14, 6,FALSE), IFERROR(VLOOKUP($A449,'Infinet ExDa'!$B$2:$E$14, 0,FALSE), "Not Found"))))))))</f>
        <v>Core Internet</v>
      </c>
      <c r="G449" t="str">
        <f>IFERROR(VLOOKUP($A449,'AAPT ExDa'!$B$2:$U$99, 5,FALSE), IFERROR(VLOOKUP($A449,'ABB ExDa'!$A$2:$N$184, 8,FALSE), IFERROR(VLOOKUP($A449,'Vocus SIT ExDa'!$B$2:$J$173, 6,FALSE), IFERROR(VLOOKUP($A449,'Telstra ExDa'!$B$2:$K$310, 0,FALSE), IFERROR(VLOOKUP($A449,'Vocus RVC ExDa'!$C$2:$R$155, 15,FALSE), IFERROR(VLOOKUP($A449,'Fusion ExDa'!$B$2:$D$16, 0,FALSE), IFERROR(VLOOKUP($A449,'Exetel ExDa'!$C$2:$N$14, 7,FALSE), IFERROR(VLOOKUP($A449,'Infinet ExDa'!$B$2:$E$14, 0,FALSE), "Not Found"))))))))</f>
        <v>Not Found</v>
      </c>
      <c r="H449" t="str">
        <f>IFERROR(VLOOKUP($A449,'AAPT ExDa'!$B$2:$U$99, 6,FALSE), IFERROR(VLOOKUP($A449,'ABB ExDa'!$A$2:$N$184, 0,FALSE), IFERROR(VLOOKUP($A449,'Vocus SIT ExDa'!$B$2:$J$173, 0,FALSE), IFERROR(VLOOKUP($A449,'Telstra ExDa'!$B$2:$K$310, 0,FALSE), IFERROR(VLOOKUP($A449,'Vocus RVC ExDa'!$C$2:$R$155, 16,FALSE), IFERROR(VLOOKUP($A449,'Fusion ExDa'!$B$2:$D$16, 0,FALSE), IFERROR(VLOOKUP($A449,'Exetel ExDa'!$C$2:$N$14, 0,FALSE), IFERROR(VLOOKUP($A449,'Infinet ExDa'!$B$2:$E$14, 0,FALSE), "Not Found"))))))))</f>
        <v>Not Found</v>
      </c>
      <c r="I449" t="str">
        <f>IFERROR(VLOOKUP($A449,'AAPT ExDa'!$B$2:$U$99, 0,FALSE), IFERROR(VLOOKUP($A449,'ABB ExDa'!$A$2:$N$184, 0,FALSE), IFERROR(VLOOKUP($A449,'Vocus SIT ExDa'!$B$2:$J$173, 0,FALSE), IFERROR(VLOOKUP($A449,'Telstra ExDa'!$B$2:$K$310, 0,FALSE), IFERROR(VLOOKUP($A449,'Vocus RVC ExDa'!$C$2:$R$155, 0,FALSE), IFERROR(VLOOKUP($A449,'Fusion ExDa'!$B$2:$D$16, 0,FALSE), IFERROR(VLOOKUP($A449,'Exetel ExDa'!$C$2:$N$14, 8,FALSE), IFERROR(VLOOKUP($A449,'Infinet ExDa'!$B$2:$E$14, 0,FALSE), "Not Found"))))))))</f>
        <v>Not Found</v>
      </c>
      <c r="J449">
        <f>IFERROR(VLOOKUP($A449,'AAPT ExDa'!$B$2:$U$99, 7,FALSE), IFERROR(VLOOKUP($A449,'ABB ExDa'!$A$2:$N$184, 2,FALSE), IFERROR(VLOOKUP($A449,'Vocus SIT ExDa'!$B$2:$J$173, 0,FALSE), IFERROR(VLOOKUP($A449,'Telstra ExDa'!$B$2:$K$310, 7,FALSE), IFERROR(VLOOKUP($A449,'Vocus RVC ExDa'!$C$2:$R$155, 2,FALSE), IFERROR(VLOOKUP($A449,'Fusion ExDa'!$B$2:$D$16, 3,FALSE), IFERROR(VLOOKUP($A449,'Exetel ExDa'!$C$2:$N$14, 0,FALSE), IFERROR(VLOOKUP($A449,'Infinet ExDa'!$B$2:$E$14, 0,FALSE), "Not Found"))))))))</f>
        <v>0</v>
      </c>
      <c r="K449" t="str">
        <f>IFERROR(VLOOKUP($A449,'AAPT ExDa'!$B$2:$U$99, 12,FALSE), IFERROR(VLOOKUP($A449,'ABB ExDa'!$A$2:$N$184, 0,FALSE), IFERROR(VLOOKUP($A449,'Vocus SIT ExDa'!$B$2:$J$173, 0,FALSE), IFERROR(VLOOKUP($A449,'Telstra ExDa'!$B$2:$K$310, 0,FALSE), IFERROR(VLOOKUP($A449,'Vocus RVC ExDa'!$C$2:$R$155, 0,FALSE), IFERROR(VLOOKUP($A449,'Fusion ExDa'!$B$2:$D$16, 0,FALSE), IFERROR(VLOOKUP($A449,'Exetel ExDa'!$C$2:$N$14, 12,FALSE), IFERROR(VLOOKUP($A449,'Infinet ExDa'!$B$2:$E$14, 0,FALSE), "Not Found"))))))))</f>
        <v>Not Found</v>
      </c>
      <c r="L449" s="235" t="str">
        <f>IFERROR(VLOOKUP($A449,'AAPT ExDa'!$B$2:$U$99, 11,FALSE), IFERROR(VLOOKUP($A449,'ABB ExDa'!$A$2:$N$184, 9,FALSE), IFERROR(VLOOKUP($A449,'Vocus SIT ExDa'!$B$2:$J$173, 8,FALSE), IFERROR(VLOOKUP($A449,'Telstra ExDa'!$B$2:$K$310, 0,FALSE), IFERROR(VLOOKUP($A449,'Vocus RVC ExDa'!$C$2:$R$155, 0,FALSE), IFERROR(VLOOKUP($A449,'Fusion ExDa'!$B$2:$D$16, 0,FALSE), IFERROR(VLOOKUP($A449,'Exetel ExDa'!$C$2:$N$14, 9,FALSE), IFERROR(VLOOKUP($A449,'Infinet ExDa'!$B$2:$E$14, 0,FALSE), "Not Found"))))))))</f>
        <v>Not Found</v>
      </c>
      <c r="M449" s="234" t="str">
        <f>IFERROR(VLOOKUP($A449,'AAPT ExDa'!$B$2:$U$99, 0,FALSE), IFERROR(VLOOKUP($A449,'ABB ExDa'!$A$2:$N$184, 0,FALSE), IFERROR(VLOOKUP($A449,'Vocus SIT ExDa'!$B$2:$J$173, 0,FALSE), IFERROR(VLOOKUP($A449,'Telstra ExDa'!$B$2:$K$310, 0,FALSE), IFERROR(VLOOKUP($A449,'Vocus RVC ExDa'!$C$2:$R$155, 0,FALSE), IFERROR(VLOOKUP($A449,'Fusion ExDa'!$B$2:$D$16, 0,FALSE), IFERROR(VLOOKUP($A449,'Exetel ExDa'!$C$2:$N$14, 11,FALSE), IFERROR(VLOOKUP($A449,'Infinet ExDa'!$B$2:$E$14, 0,FALSE), "Not Found"))))))))</f>
        <v>Not Found</v>
      </c>
      <c r="N449" t="str">
        <f>IFERROR(VLOOKUP($A449,'AAPT ExDa'!$B$2:$U$99, 0,FALSE), IFERROR(VLOOKUP($A449,'ABB ExDa'!$A$2:$N$184, 13,FALSE), IFERROR(VLOOKUP($A449,'Vocus SIT ExDa'!$B$2:$J$173, 0,FALSE), IFERROR(VLOOKUP($A449,'Telstra ExDa'!$B$2:$K$310, 0,FALSE), IFERROR(VLOOKUP($A449,'Vocus RVC ExDa'!$C$2:$R$155, 0,FALSE), IFERROR(VLOOKUP($A449,'Fusion ExDa'!$B$2:$D$16, 0,FALSE), IFERROR(VLOOKUP($A449,'Exetel ExDa'!$C$2:$N$14, 0,FALSE), IFERROR(VLOOKUP($A449,'Infinet ExDa'!$B$2:$E$14, 0,FALSE), "Not Found"))))))))</f>
        <v>Not Found</v>
      </c>
    </row>
    <row r="450" spans="1:14">
      <c r="A450" t="str">
        <v>Zambrero Warragul</v>
      </c>
      <c r="B450" t="str">
        <f>IFERROR(VLOOKUP(A450,'Exetel ExDa'!$C$2:$N$14,4,FALSE),"No Data")</f>
        <v>No Data</v>
      </c>
      <c r="C450" t="str">
        <f>IFERROR(VLOOKUP(A450,'AAPT ExDa'!$B$2:$U$99, 2,FALSE), IFERROR(VLOOKUP(A450,'ABB ExDa'!$A$2:$N$184, 2,FALSE), IFERROR(VLOOKUP(A450,'Vocus SIT ExDa'!$B$2:$J$173, 7,FALSE), IFERROR(VLOOKUP(A450,'Telstra ExDa'!$B$2:$K$310, 2,FALSE), IFERROR(VLOOKUP(A450,'Vocus RVC ExDa'!$C$2:$R$155, 3,FALSE), IFERROR(VLOOKUP(A450,'Fusion ExDa'!$B$2:$D$16, 2,FALSE), IFERROR(VLOOKUP(A450,'Exetel ExDa'!$C$2:$N$14, 2,FALSE), IFERROR(VLOOKUP(A450,'Infinet ExDa'!$B$2:$E$14, 2,FALSE), "Not Found"))))))))</f>
        <v>22 VICTORIA ST, WARRAGUL VIC 3820</v>
      </c>
      <c r="D450" t="str">
        <f>IFERROR(VLOOKUP($A450,'AAPT ExDa'!$B$2:$U$99, 15,FALSE), IFERROR(VLOOKUP($A450,'ABB ExDa'!$A$2:$N$184, 4,FALSE), IFERROR(VLOOKUP($A450,'Vocus SIT ExDa'!$B$2:$J$173, 5,FALSE), IFERROR(VLOOKUP($A450,'Telstra ExDa'!$B$2:$K$310, 8,FALSE), IFERROR(VLOOKUP($A450,'Vocus RVC ExDa'!$C$2:$R$155, 6,FALSE), IFERROR(VLOOKUP($A450,'Fusion ExDa'!$B$2:$D$16, 4,FALSE), IFERROR(VLOOKUP($A450,'Exetel ExDa'!$C$2:$N$14, 3,FALSE), IFERROR(VLOOKUP($A450,'Infinet ExDa'!$B$2:$E$14, 3,FALSE), "Not Found"))))))))</f>
        <v>Telstra</v>
      </c>
      <c r="E450" t="str">
        <f>IFERROR(VLOOKUP($A450,'AAPT ExDa'!$B$2:$U$99, 3,FALSE), IFERROR(VLOOKUP($A450,'ABB ExDa'!$A$2:$N$184, 5,FALSE), IFERROR(VLOOKUP($A450,'Vocus SIT ExDa'!$B$2:$J$173, 2,FALSE), IFERROR(VLOOKUP($A450,'Telstra ExDa'!$B$2:$K$310, 4,FALSE), IFERROR(VLOOKUP($A450,'Vocus RVC ExDa'!$C$2:$R$155, 8,FALSE), IFERROR(VLOOKUP($A450,'Fusion ExDa'!$B$2:$D$16, 4,FALSE), IFERROR(VLOOKUP($A450,'Exetel ExDa'!$C$2:$N$14, 5,FALSE), IFERROR(VLOOKUP($A450,'Infinet ExDa'!$B$2:$E$14, 3,FALSE), "Not Found"))))))))</f>
        <v>Standard Speed NBN 25Mbps</v>
      </c>
      <c r="F450" t="str">
        <f>IFERROR(VLOOKUP($A450,'AAPT ExDa'!$B$2:$U$99, 4,FALSE), IFERROR(VLOOKUP($A450,'ABB ExDa'!$A$2:$N$184, 6,FALSE), IFERROR(VLOOKUP($A450,'Vocus SIT ExDa'!$B$2:$J$173, 3,FALSE), IFERROR(VLOOKUP($A450,'Telstra ExDa'!$B$2:$K$310, 5,FALSE), IFERROR(VLOOKUP($A450,'Vocus RVC ExDa'!$C$2:$R$155, 9,FALSE), IFERROR(VLOOKUP($A450,'Fusion ExDa'!$B$2:$D$16, 0,FALSE), IFERROR(VLOOKUP($A450,'Exetel ExDa'!$C$2:$N$14, 6,FALSE), IFERROR(VLOOKUP($A450,'Infinet ExDa'!$B$2:$E$14, 0,FALSE), "Not Found"))))))))</f>
        <v>Core Internet</v>
      </c>
      <c r="G450" t="str">
        <f>IFERROR(VLOOKUP($A450,'AAPT ExDa'!$B$2:$U$99, 5,FALSE), IFERROR(VLOOKUP($A450,'ABB ExDa'!$A$2:$N$184, 8,FALSE), IFERROR(VLOOKUP($A450,'Vocus SIT ExDa'!$B$2:$J$173, 6,FALSE), IFERROR(VLOOKUP($A450,'Telstra ExDa'!$B$2:$K$310, 0,FALSE), IFERROR(VLOOKUP($A450,'Vocus RVC ExDa'!$C$2:$R$155, 15,FALSE), IFERROR(VLOOKUP($A450,'Fusion ExDa'!$B$2:$D$16, 0,FALSE), IFERROR(VLOOKUP($A450,'Exetel ExDa'!$C$2:$N$14, 7,FALSE), IFERROR(VLOOKUP($A450,'Infinet ExDa'!$B$2:$E$14, 0,FALSE), "Not Found"))))))))</f>
        <v>Not Found</v>
      </c>
      <c r="H450" t="str">
        <f>IFERROR(VLOOKUP($A450,'AAPT ExDa'!$B$2:$U$99, 6,FALSE), IFERROR(VLOOKUP($A450,'ABB ExDa'!$A$2:$N$184, 0,FALSE), IFERROR(VLOOKUP($A450,'Vocus SIT ExDa'!$B$2:$J$173, 0,FALSE), IFERROR(VLOOKUP($A450,'Telstra ExDa'!$B$2:$K$310, 0,FALSE), IFERROR(VLOOKUP($A450,'Vocus RVC ExDa'!$C$2:$R$155, 16,FALSE), IFERROR(VLOOKUP($A450,'Fusion ExDa'!$B$2:$D$16, 0,FALSE), IFERROR(VLOOKUP($A450,'Exetel ExDa'!$C$2:$N$14, 0,FALSE), IFERROR(VLOOKUP($A450,'Infinet ExDa'!$B$2:$E$14, 0,FALSE), "Not Found"))))))))</f>
        <v>Not Found</v>
      </c>
      <c r="I450" t="str">
        <f>IFERROR(VLOOKUP($A450,'AAPT ExDa'!$B$2:$U$99, 0,FALSE), IFERROR(VLOOKUP($A450,'ABB ExDa'!$A$2:$N$184, 0,FALSE), IFERROR(VLOOKUP($A450,'Vocus SIT ExDa'!$B$2:$J$173, 0,FALSE), IFERROR(VLOOKUP($A450,'Telstra ExDa'!$B$2:$K$310, 0,FALSE), IFERROR(VLOOKUP($A450,'Vocus RVC ExDa'!$C$2:$R$155, 0,FALSE), IFERROR(VLOOKUP($A450,'Fusion ExDa'!$B$2:$D$16, 0,FALSE), IFERROR(VLOOKUP($A450,'Exetel ExDa'!$C$2:$N$14, 8,FALSE), IFERROR(VLOOKUP($A450,'Infinet ExDa'!$B$2:$E$14, 0,FALSE), "Not Found"))))))))</f>
        <v>Not Found</v>
      </c>
      <c r="J450">
        <f>IFERROR(VLOOKUP($A450,'AAPT ExDa'!$B$2:$U$99, 7,FALSE), IFERROR(VLOOKUP($A450,'ABB ExDa'!$A$2:$N$184, 2,FALSE), IFERROR(VLOOKUP($A450,'Vocus SIT ExDa'!$B$2:$J$173, 0,FALSE), IFERROR(VLOOKUP($A450,'Telstra ExDa'!$B$2:$K$310, 7,FALSE), IFERROR(VLOOKUP($A450,'Vocus RVC ExDa'!$C$2:$R$155, 2,FALSE), IFERROR(VLOOKUP($A450,'Fusion ExDa'!$B$2:$D$16, 3,FALSE), IFERROR(VLOOKUP($A450,'Exetel ExDa'!$C$2:$N$14, 0,FALSE), IFERROR(VLOOKUP($A450,'Infinet ExDa'!$B$2:$E$14, 0,FALSE), "Not Found"))))))))</f>
        <v>0</v>
      </c>
      <c r="K450" t="str">
        <f>IFERROR(VLOOKUP($A450,'AAPT ExDa'!$B$2:$U$99, 12,FALSE), IFERROR(VLOOKUP($A450,'ABB ExDa'!$A$2:$N$184, 0,FALSE), IFERROR(VLOOKUP($A450,'Vocus SIT ExDa'!$B$2:$J$173, 0,FALSE), IFERROR(VLOOKUP($A450,'Telstra ExDa'!$B$2:$K$310, 0,FALSE), IFERROR(VLOOKUP($A450,'Vocus RVC ExDa'!$C$2:$R$155, 0,FALSE), IFERROR(VLOOKUP($A450,'Fusion ExDa'!$B$2:$D$16, 0,FALSE), IFERROR(VLOOKUP($A450,'Exetel ExDa'!$C$2:$N$14, 12,FALSE), IFERROR(VLOOKUP($A450,'Infinet ExDa'!$B$2:$E$14, 0,FALSE), "Not Found"))))))))</f>
        <v>Not Found</v>
      </c>
      <c r="L450" s="235" t="str">
        <f>IFERROR(VLOOKUP($A450,'AAPT ExDa'!$B$2:$U$99, 11,FALSE), IFERROR(VLOOKUP($A450,'ABB ExDa'!$A$2:$N$184, 9,FALSE), IFERROR(VLOOKUP($A450,'Vocus SIT ExDa'!$B$2:$J$173, 8,FALSE), IFERROR(VLOOKUP($A450,'Telstra ExDa'!$B$2:$K$310, 0,FALSE), IFERROR(VLOOKUP($A450,'Vocus RVC ExDa'!$C$2:$R$155, 0,FALSE), IFERROR(VLOOKUP($A450,'Fusion ExDa'!$B$2:$D$16, 0,FALSE), IFERROR(VLOOKUP($A450,'Exetel ExDa'!$C$2:$N$14, 9,FALSE), IFERROR(VLOOKUP($A450,'Infinet ExDa'!$B$2:$E$14, 0,FALSE), "Not Found"))))))))</f>
        <v>Not Found</v>
      </c>
      <c r="M450" s="234" t="str">
        <f>IFERROR(VLOOKUP($A450,'AAPT ExDa'!$B$2:$U$99, 0,FALSE), IFERROR(VLOOKUP($A450,'ABB ExDa'!$A$2:$N$184, 0,FALSE), IFERROR(VLOOKUP($A450,'Vocus SIT ExDa'!$B$2:$J$173, 0,FALSE), IFERROR(VLOOKUP($A450,'Telstra ExDa'!$B$2:$K$310, 0,FALSE), IFERROR(VLOOKUP($A450,'Vocus RVC ExDa'!$C$2:$R$155, 0,FALSE), IFERROR(VLOOKUP($A450,'Fusion ExDa'!$B$2:$D$16, 0,FALSE), IFERROR(VLOOKUP($A450,'Exetel ExDa'!$C$2:$N$14, 11,FALSE), IFERROR(VLOOKUP($A450,'Infinet ExDa'!$B$2:$E$14, 0,FALSE), "Not Found"))))))))</f>
        <v>Not Found</v>
      </c>
      <c r="N450" t="str">
        <f>IFERROR(VLOOKUP($A450,'AAPT ExDa'!$B$2:$U$99, 0,FALSE), IFERROR(VLOOKUP($A450,'ABB ExDa'!$A$2:$N$184, 13,FALSE), IFERROR(VLOOKUP($A450,'Vocus SIT ExDa'!$B$2:$J$173, 0,FALSE), IFERROR(VLOOKUP($A450,'Telstra ExDa'!$B$2:$K$310, 0,FALSE), IFERROR(VLOOKUP($A450,'Vocus RVC ExDa'!$C$2:$R$155, 0,FALSE), IFERROR(VLOOKUP($A450,'Fusion ExDa'!$B$2:$D$16, 0,FALSE), IFERROR(VLOOKUP($A450,'Exetel ExDa'!$C$2:$N$14, 0,FALSE), IFERROR(VLOOKUP($A450,'Infinet ExDa'!$B$2:$E$14, 0,FALSE), "Not Found"))))))))</f>
        <v>Not Found</v>
      </c>
    </row>
    <row r="451" spans="1:14">
      <c r="A451" t="str">
        <v>Zambrero Baldivis</v>
      </c>
      <c r="B451" t="str">
        <f>IFERROR(VLOOKUP(A451,'Exetel ExDa'!$C$2:$N$14,4,FALSE),"No Data")</f>
        <v>No Data</v>
      </c>
      <c r="C451" t="str">
        <f>IFERROR(VLOOKUP(A451,'AAPT ExDa'!$B$2:$U$99, 2,FALSE), IFERROR(VLOOKUP(A451,'ABB ExDa'!$A$2:$N$184, 2,FALSE), IFERROR(VLOOKUP(A451,'Vocus SIT ExDa'!$B$2:$J$173, 7,FALSE), IFERROR(VLOOKUP(A451,'Telstra ExDa'!$B$2:$K$310, 2,FALSE), IFERROR(VLOOKUP(A451,'Vocus RVC ExDa'!$C$2:$R$155, 3,FALSE), IFERROR(VLOOKUP(A451,'Fusion ExDa'!$B$2:$D$16, 2,FALSE), IFERROR(VLOOKUP(A451,'Exetel ExDa'!$C$2:$N$14, 2,FALSE), IFERROR(VLOOKUP(A451,'Infinet ExDa'!$B$2:$E$14, 2,FALSE), "Not Found"))))))))</f>
        <v xml:space="preserve"> STOCKLAND BALDIVIS, BG 1, G, SHOP EX001, BALDIVIS WA 6171</v>
      </c>
      <c r="D451" t="str">
        <f>IFERROR(VLOOKUP($A451,'AAPT ExDa'!$B$2:$U$99, 15,FALSE), IFERROR(VLOOKUP($A451,'ABB ExDa'!$A$2:$N$184, 4,FALSE), IFERROR(VLOOKUP($A451,'Vocus SIT ExDa'!$B$2:$J$173, 5,FALSE), IFERROR(VLOOKUP($A451,'Telstra ExDa'!$B$2:$K$310, 8,FALSE), IFERROR(VLOOKUP($A451,'Vocus RVC ExDa'!$C$2:$R$155, 6,FALSE), IFERROR(VLOOKUP($A451,'Fusion ExDa'!$B$2:$D$16, 4,FALSE), IFERROR(VLOOKUP($A451,'Exetel ExDa'!$C$2:$N$14, 3,FALSE), IFERROR(VLOOKUP($A451,'Infinet ExDa'!$B$2:$E$14, 3,FALSE), "Not Found"))))))))</f>
        <v>Telstra</v>
      </c>
      <c r="E451" t="str">
        <f>IFERROR(VLOOKUP($A451,'AAPT ExDa'!$B$2:$U$99, 3,FALSE), IFERROR(VLOOKUP($A451,'ABB ExDa'!$A$2:$N$184, 5,FALSE), IFERROR(VLOOKUP($A451,'Vocus SIT ExDa'!$B$2:$J$173, 2,FALSE), IFERROR(VLOOKUP($A451,'Telstra ExDa'!$B$2:$K$310, 4,FALSE), IFERROR(VLOOKUP($A451,'Vocus RVC ExDa'!$C$2:$R$155, 8,FALSE), IFERROR(VLOOKUP($A451,'Fusion ExDa'!$B$2:$D$16, 4,FALSE), IFERROR(VLOOKUP($A451,'Exetel ExDa'!$C$2:$N$14, 5,FALSE), IFERROR(VLOOKUP($A451,'Infinet ExDa'!$B$2:$E$14, 3,FALSE), "Not Found"))))))))</f>
        <v>Standard Speed NBN 25Mbps</v>
      </c>
      <c r="F451" t="str">
        <f>IFERROR(VLOOKUP($A451,'AAPT ExDa'!$B$2:$U$99, 4,FALSE), IFERROR(VLOOKUP($A451,'ABB ExDa'!$A$2:$N$184, 6,FALSE), IFERROR(VLOOKUP($A451,'Vocus SIT ExDa'!$B$2:$J$173, 3,FALSE), IFERROR(VLOOKUP($A451,'Telstra ExDa'!$B$2:$K$310, 5,FALSE), IFERROR(VLOOKUP($A451,'Vocus RVC ExDa'!$C$2:$R$155, 9,FALSE), IFERROR(VLOOKUP($A451,'Fusion ExDa'!$B$2:$D$16, 0,FALSE), IFERROR(VLOOKUP($A451,'Exetel ExDa'!$C$2:$N$14, 6,FALSE), IFERROR(VLOOKUP($A451,'Infinet ExDa'!$B$2:$E$14, 0,FALSE), "Not Found"))))))))</f>
        <v>Core Internet</v>
      </c>
      <c r="G451" t="str">
        <f>IFERROR(VLOOKUP($A451,'AAPT ExDa'!$B$2:$U$99, 5,FALSE), IFERROR(VLOOKUP($A451,'ABB ExDa'!$A$2:$N$184, 8,FALSE), IFERROR(VLOOKUP($A451,'Vocus SIT ExDa'!$B$2:$J$173, 6,FALSE), IFERROR(VLOOKUP($A451,'Telstra ExDa'!$B$2:$K$310, 0,FALSE), IFERROR(VLOOKUP($A451,'Vocus RVC ExDa'!$C$2:$R$155, 15,FALSE), IFERROR(VLOOKUP($A451,'Fusion ExDa'!$B$2:$D$16, 0,FALSE), IFERROR(VLOOKUP($A451,'Exetel ExDa'!$C$2:$N$14, 7,FALSE), IFERROR(VLOOKUP($A451,'Infinet ExDa'!$B$2:$E$14, 0,FALSE), "Not Found"))))))))</f>
        <v>Not Found</v>
      </c>
      <c r="H451" t="str">
        <f>IFERROR(VLOOKUP($A451,'AAPT ExDa'!$B$2:$U$99, 6,FALSE), IFERROR(VLOOKUP($A451,'ABB ExDa'!$A$2:$N$184, 0,FALSE), IFERROR(VLOOKUP($A451,'Vocus SIT ExDa'!$B$2:$J$173, 0,FALSE), IFERROR(VLOOKUP($A451,'Telstra ExDa'!$B$2:$K$310, 0,FALSE), IFERROR(VLOOKUP($A451,'Vocus RVC ExDa'!$C$2:$R$155, 16,FALSE), IFERROR(VLOOKUP($A451,'Fusion ExDa'!$B$2:$D$16, 0,FALSE), IFERROR(VLOOKUP($A451,'Exetel ExDa'!$C$2:$N$14, 0,FALSE), IFERROR(VLOOKUP($A451,'Infinet ExDa'!$B$2:$E$14, 0,FALSE), "Not Found"))))))))</f>
        <v>Not Found</v>
      </c>
      <c r="I451" t="str">
        <f>IFERROR(VLOOKUP($A451,'AAPT ExDa'!$B$2:$U$99, 0,FALSE), IFERROR(VLOOKUP($A451,'ABB ExDa'!$A$2:$N$184, 0,FALSE), IFERROR(VLOOKUP($A451,'Vocus SIT ExDa'!$B$2:$J$173, 0,FALSE), IFERROR(VLOOKUP($A451,'Telstra ExDa'!$B$2:$K$310, 0,FALSE), IFERROR(VLOOKUP($A451,'Vocus RVC ExDa'!$C$2:$R$155, 0,FALSE), IFERROR(VLOOKUP($A451,'Fusion ExDa'!$B$2:$D$16, 0,FALSE), IFERROR(VLOOKUP($A451,'Exetel ExDa'!$C$2:$N$14, 8,FALSE), IFERROR(VLOOKUP($A451,'Infinet ExDa'!$B$2:$E$14, 0,FALSE), "Not Found"))))))))</f>
        <v>Not Found</v>
      </c>
      <c r="J451">
        <f>IFERROR(VLOOKUP($A451,'AAPT ExDa'!$B$2:$U$99, 7,FALSE), IFERROR(VLOOKUP($A451,'ABB ExDa'!$A$2:$N$184, 2,FALSE), IFERROR(VLOOKUP($A451,'Vocus SIT ExDa'!$B$2:$J$173, 0,FALSE), IFERROR(VLOOKUP($A451,'Telstra ExDa'!$B$2:$K$310, 7,FALSE), IFERROR(VLOOKUP($A451,'Vocus RVC ExDa'!$C$2:$R$155, 2,FALSE), IFERROR(VLOOKUP($A451,'Fusion ExDa'!$B$2:$D$16, 3,FALSE), IFERROR(VLOOKUP($A451,'Exetel ExDa'!$C$2:$N$14, 0,FALSE), IFERROR(VLOOKUP($A451,'Infinet ExDa'!$B$2:$E$14, 0,FALSE), "Not Found"))))))))</f>
        <v>0</v>
      </c>
      <c r="K451" t="str">
        <f>IFERROR(VLOOKUP($A451,'AAPT ExDa'!$B$2:$U$99, 12,FALSE), IFERROR(VLOOKUP($A451,'ABB ExDa'!$A$2:$N$184, 0,FALSE), IFERROR(VLOOKUP($A451,'Vocus SIT ExDa'!$B$2:$J$173, 0,FALSE), IFERROR(VLOOKUP($A451,'Telstra ExDa'!$B$2:$K$310, 0,FALSE), IFERROR(VLOOKUP($A451,'Vocus RVC ExDa'!$C$2:$R$155, 0,FALSE), IFERROR(VLOOKUP($A451,'Fusion ExDa'!$B$2:$D$16, 0,FALSE), IFERROR(VLOOKUP($A451,'Exetel ExDa'!$C$2:$N$14, 12,FALSE), IFERROR(VLOOKUP($A451,'Infinet ExDa'!$B$2:$E$14, 0,FALSE), "Not Found"))))))))</f>
        <v>Not Found</v>
      </c>
      <c r="L451" s="235" t="str">
        <f>IFERROR(VLOOKUP($A451,'AAPT ExDa'!$B$2:$U$99, 11,FALSE), IFERROR(VLOOKUP($A451,'ABB ExDa'!$A$2:$N$184, 9,FALSE), IFERROR(VLOOKUP($A451,'Vocus SIT ExDa'!$B$2:$J$173, 8,FALSE), IFERROR(VLOOKUP($A451,'Telstra ExDa'!$B$2:$K$310, 0,FALSE), IFERROR(VLOOKUP($A451,'Vocus RVC ExDa'!$C$2:$R$155, 0,FALSE), IFERROR(VLOOKUP($A451,'Fusion ExDa'!$B$2:$D$16, 0,FALSE), IFERROR(VLOOKUP($A451,'Exetel ExDa'!$C$2:$N$14, 9,FALSE), IFERROR(VLOOKUP($A451,'Infinet ExDa'!$B$2:$E$14, 0,FALSE), "Not Found"))))))))</f>
        <v>Not Found</v>
      </c>
      <c r="M451" s="234" t="str">
        <f>IFERROR(VLOOKUP($A451,'AAPT ExDa'!$B$2:$U$99, 0,FALSE), IFERROR(VLOOKUP($A451,'ABB ExDa'!$A$2:$N$184, 0,FALSE), IFERROR(VLOOKUP($A451,'Vocus SIT ExDa'!$B$2:$J$173, 0,FALSE), IFERROR(VLOOKUP($A451,'Telstra ExDa'!$B$2:$K$310, 0,FALSE), IFERROR(VLOOKUP($A451,'Vocus RVC ExDa'!$C$2:$R$155, 0,FALSE), IFERROR(VLOOKUP($A451,'Fusion ExDa'!$B$2:$D$16, 0,FALSE), IFERROR(VLOOKUP($A451,'Exetel ExDa'!$C$2:$N$14, 11,FALSE), IFERROR(VLOOKUP($A451,'Infinet ExDa'!$B$2:$E$14, 0,FALSE), "Not Found"))))))))</f>
        <v>Not Found</v>
      </c>
      <c r="N451" t="str">
        <f>IFERROR(VLOOKUP($A451,'AAPT ExDa'!$B$2:$U$99, 0,FALSE), IFERROR(VLOOKUP($A451,'ABB ExDa'!$A$2:$N$184, 13,FALSE), IFERROR(VLOOKUP($A451,'Vocus SIT ExDa'!$B$2:$J$173, 0,FALSE), IFERROR(VLOOKUP($A451,'Telstra ExDa'!$B$2:$K$310, 0,FALSE), IFERROR(VLOOKUP($A451,'Vocus RVC ExDa'!$C$2:$R$155, 0,FALSE), IFERROR(VLOOKUP($A451,'Fusion ExDa'!$B$2:$D$16, 0,FALSE), IFERROR(VLOOKUP($A451,'Exetel ExDa'!$C$2:$N$14, 0,FALSE), IFERROR(VLOOKUP($A451,'Infinet ExDa'!$B$2:$E$14, 0,FALSE), "Not Found"))))))))</f>
        <v>Not Found</v>
      </c>
    </row>
    <row r="452" spans="1:14">
      <c r="A452" t="str">
        <v>Zambrero Ulladulla</v>
      </c>
      <c r="B452" t="str">
        <f>IFERROR(VLOOKUP(A452,'Exetel ExDa'!$C$2:$N$14,4,FALSE),"No Data")</f>
        <v>No Data</v>
      </c>
      <c r="C452" t="str">
        <f>IFERROR(VLOOKUP(A452,'AAPT ExDa'!$B$2:$U$99, 2,FALSE), IFERROR(VLOOKUP(A452,'ABB ExDa'!$A$2:$N$184, 2,FALSE), IFERROR(VLOOKUP(A452,'Vocus SIT ExDa'!$B$2:$J$173, 7,FALSE), IFERROR(VLOOKUP(A452,'Telstra ExDa'!$B$2:$K$310, 2,FALSE), IFERROR(VLOOKUP(A452,'Vocus RVC ExDa'!$C$2:$R$155, 3,FALSE), IFERROR(VLOOKUP(A452,'Fusion ExDa'!$B$2:$D$16, 2,FALSE), IFERROR(VLOOKUP(A452,'Exetel ExDa'!$C$2:$N$14, 2,FALSE), IFERROR(VLOOKUP(A452,'Infinet ExDa'!$B$2:$E$14, 2,FALSE), "Not Found"))))))))</f>
        <v>SHOP 2, 169 PRINCES HWY, ULLADULLA NSW 2539</v>
      </c>
      <c r="D452" t="str">
        <f>IFERROR(VLOOKUP($A452,'AAPT ExDa'!$B$2:$U$99, 15,FALSE), IFERROR(VLOOKUP($A452,'ABB ExDa'!$A$2:$N$184, 4,FALSE), IFERROR(VLOOKUP($A452,'Vocus SIT ExDa'!$B$2:$J$173, 5,FALSE), IFERROR(VLOOKUP($A452,'Telstra ExDa'!$B$2:$K$310, 8,FALSE), IFERROR(VLOOKUP($A452,'Vocus RVC ExDa'!$C$2:$R$155, 6,FALSE), IFERROR(VLOOKUP($A452,'Fusion ExDa'!$B$2:$D$16, 4,FALSE), IFERROR(VLOOKUP($A452,'Exetel ExDa'!$C$2:$N$14, 3,FALSE), IFERROR(VLOOKUP($A452,'Infinet ExDa'!$B$2:$E$14, 3,FALSE), "Not Found"))))))))</f>
        <v>Telstra</v>
      </c>
      <c r="E452" t="str">
        <f>IFERROR(VLOOKUP($A452,'AAPT ExDa'!$B$2:$U$99, 3,FALSE), IFERROR(VLOOKUP($A452,'ABB ExDa'!$A$2:$N$184, 5,FALSE), IFERROR(VLOOKUP($A452,'Vocus SIT ExDa'!$B$2:$J$173, 2,FALSE), IFERROR(VLOOKUP($A452,'Telstra ExDa'!$B$2:$K$310, 4,FALSE), IFERROR(VLOOKUP($A452,'Vocus RVC ExDa'!$C$2:$R$155, 8,FALSE), IFERROR(VLOOKUP($A452,'Fusion ExDa'!$B$2:$D$16, 4,FALSE), IFERROR(VLOOKUP($A452,'Exetel ExDa'!$C$2:$N$14, 5,FALSE), IFERROR(VLOOKUP($A452,'Infinet ExDa'!$B$2:$E$14, 3,FALSE), "Not Found"))))))))</f>
        <v>Standard Speed NBN 25Mbps</v>
      </c>
      <c r="F452" t="str">
        <f>IFERROR(VLOOKUP($A452,'AAPT ExDa'!$B$2:$U$99, 4,FALSE), IFERROR(VLOOKUP($A452,'ABB ExDa'!$A$2:$N$184, 6,FALSE), IFERROR(VLOOKUP($A452,'Vocus SIT ExDa'!$B$2:$J$173, 3,FALSE), IFERROR(VLOOKUP($A452,'Telstra ExDa'!$B$2:$K$310, 5,FALSE), IFERROR(VLOOKUP($A452,'Vocus RVC ExDa'!$C$2:$R$155, 9,FALSE), IFERROR(VLOOKUP($A452,'Fusion ExDa'!$B$2:$D$16, 0,FALSE), IFERROR(VLOOKUP($A452,'Exetel ExDa'!$C$2:$N$14, 6,FALSE), IFERROR(VLOOKUP($A452,'Infinet ExDa'!$B$2:$E$14, 0,FALSE), "Not Found"))))))))</f>
        <v>Core Internet</v>
      </c>
      <c r="G452" t="str">
        <f>IFERROR(VLOOKUP($A452,'AAPT ExDa'!$B$2:$U$99, 5,FALSE), IFERROR(VLOOKUP($A452,'ABB ExDa'!$A$2:$N$184, 8,FALSE), IFERROR(VLOOKUP($A452,'Vocus SIT ExDa'!$B$2:$J$173, 6,FALSE), IFERROR(VLOOKUP($A452,'Telstra ExDa'!$B$2:$K$310, 0,FALSE), IFERROR(VLOOKUP($A452,'Vocus RVC ExDa'!$C$2:$R$155, 15,FALSE), IFERROR(VLOOKUP($A452,'Fusion ExDa'!$B$2:$D$16, 0,FALSE), IFERROR(VLOOKUP($A452,'Exetel ExDa'!$C$2:$N$14, 7,FALSE), IFERROR(VLOOKUP($A452,'Infinet ExDa'!$B$2:$E$14, 0,FALSE), "Not Found"))))))))</f>
        <v>Not Found</v>
      </c>
      <c r="H452" t="str">
        <f>IFERROR(VLOOKUP($A452,'AAPT ExDa'!$B$2:$U$99, 6,FALSE), IFERROR(VLOOKUP($A452,'ABB ExDa'!$A$2:$N$184, 0,FALSE), IFERROR(VLOOKUP($A452,'Vocus SIT ExDa'!$B$2:$J$173, 0,FALSE), IFERROR(VLOOKUP($A452,'Telstra ExDa'!$B$2:$K$310, 0,FALSE), IFERROR(VLOOKUP($A452,'Vocus RVC ExDa'!$C$2:$R$155, 16,FALSE), IFERROR(VLOOKUP($A452,'Fusion ExDa'!$B$2:$D$16, 0,FALSE), IFERROR(VLOOKUP($A452,'Exetel ExDa'!$C$2:$N$14, 0,FALSE), IFERROR(VLOOKUP($A452,'Infinet ExDa'!$B$2:$E$14, 0,FALSE), "Not Found"))))))))</f>
        <v>Not Found</v>
      </c>
      <c r="I452" t="str">
        <f>IFERROR(VLOOKUP($A452,'AAPT ExDa'!$B$2:$U$99, 0,FALSE), IFERROR(VLOOKUP($A452,'ABB ExDa'!$A$2:$N$184, 0,FALSE), IFERROR(VLOOKUP($A452,'Vocus SIT ExDa'!$B$2:$J$173, 0,FALSE), IFERROR(VLOOKUP($A452,'Telstra ExDa'!$B$2:$K$310, 0,FALSE), IFERROR(VLOOKUP($A452,'Vocus RVC ExDa'!$C$2:$R$155, 0,FALSE), IFERROR(VLOOKUP($A452,'Fusion ExDa'!$B$2:$D$16, 0,FALSE), IFERROR(VLOOKUP($A452,'Exetel ExDa'!$C$2:$N$14, 8,FALSE), IFERROR(VLOOKUP($A452,'Infinet ExDa'!$B$2:$E$14, 0,FALSE), "Not Found"))))))))</f>
        <v>Not Found</v>
      </c>
      <c r="J452">
        <f>IFERROR(VLOOKUP($A452,'AAPT ExDa'!$B$2:$U$99, 7,FALSE), IFERROR(VLOOKUP($A452,'ABB ExDa'!$A$2:$N$184, 2,FALSE), IFERROR(VLOOKUP($A452,'Vocus SIT ExDa'!$B$2:$J$173, 0,FALSE), IFERROR(VLOOKUP($A452,'Telstra ExDa'!$B$2:$K$310, 7,FALSE), IFERROR(VLOOKUP($A452,'Vocus RVC ExDa'!$C$2:$R$155, 2,FALSE), IFERROR(VLOOKUP($A452,'Fusion ExDa'!$B$2:$D$16, 3,FALSE), IFERROR(VLOOKUP($A452,'Exetel ExDa'!$C$2:$N$14, 0,FALSE), IFERROR(VLOOKUP($A452,'Infinet ExDa'!$B$2:$E$14, 0,FALSE), "Not Found"))))))))</f>
        <v>0</v>
      </c>
      <c r="K452" t="str">
        <f>IFERROR(VLOOKUP($A452,'AAPT ExDa'!$B$2:$U$99, 12,FALSE), IFERROR(VLOOKUP($A452,'ABB ExDa'!$A$2:$N$184, 0,FALSE), IFERROR(VLOOKUP($A452,'Vocus SIT ExDa'!$B$2:$J$173, 0,FALSE), IFERROR(VLOOKUP($A452,'Telstra ExDa'!$B$2:$K$310, 0,FALSE), IFERROR(VLOOKUP($A452,'Vocus RVC ExDa'!$C$2:$R$155, 0,FALSE), IFERROR(VLOOKUP($A452,'Fusion ExDa'!$B$2:$D$16, 0,FALSE), IFERROR(VLOOKUP($A452,'Exetel ExDa'!$C$2:$N$14, 12,FALSE), IFERROR(VLOOKUP($A452,'Infinet ExDa'!$B$2:$E$14, 0,FALSE), "Not Found"))))))))</f>
        <v>Not Found</v>
      </c>
      <c r="L452" s="235" t="str">
        <f>IFERROR(VLOOKUP($A452,'AAPT ExDa'!$B$2:$U$99, 11,FALSE), IFERROR(VLOOKUP($A452,'ABB ExDa'!$A$2:$N$184, 9,FALSE), IFERROR(VLOOKUP($A452,'Vocus SIT ExDa'!$B$2:$J$173, 8,FALSE), IFERROR(VLOOKUP($A452,'Telstra ExDa'!$B$2:$K$310, 0,FALSE), IFERROR(VLOOKUP($A452,'Vocus RVC ExDa'!$C$2:$R$155, 0,FALSE), IFERROR(VLOOKUP($A452,'Fusion ExDa'!$B$2:$D$16, 0,FALSE), IFERROR(VLOOKUP($A452,'Exetel ExDa'!$C$2:$N$14, 9,FALSE), IFERROR(VLOOKUP($A452,'Infinet ExDa'!$B$2:$E$14, 0,FALSE), "Not Found"))))))))</f>
        <v>Not Found</v>
      </c>
      <c r="M452" s="234" t="str">
        <f>IFERROR(VLOOKUP($A452,'AAPT ExDa'!$B$2:$U$99, 0,FALSE), IFERROR(VLOOKUP($A452,'ABB ExDa'!$A$2:$N$184, 0,FALSE), IFERROR(VLOOKUP($A452,'Vocus SIT ExDa'!$B$2:$J$173, 0,FALSE), IFERROR(VLOOKUP($A452,'Telstra ExDa'!$B$2:$K$310, 0,FALSE), IFERROR(VLOOKUP($A452,'Vocus RVC ExDa'!$C$2:$R$155, 0,FALSE), IFERROR(VLOOKUP($A452,'Fusion ExDa'!$B$2:$D$16, 0,FALSE), IFERROR(VLOOKUP($A452,'Exetel ExDa'!$C$2:$N$14, 11,FALSE), IFERROR(VLOOKUP($A452,'Infinet ExDa'!$B$2:$E$14, 0,FALSE), "Not Found"))))))))</f>
        <v>Not Found</v>
      </c>
      <c r="N452" t="str">
        <f>IFERROR(VLOOKUP($A452,'AAPT ExDa'!$B$2:$U$99, 0,FALSE), IFERROR(VLOOKUP($A452,'ABB ExDa'!$A$2:$N$184, 13,FALSE), IFERROR(VLOOKUP($A452,'Vocus SIT ExDa'!$B$2:$J$173, 0,FALSE), IFERROR(VLOOKUP($A452,'Telstra ExDa'!$B$2:$K$310, 0,FALSE), IFERROR(VLOOKUP($A452,'Vocus RVC ExDa'!$C$2:$R$155, 0,FALSE), IFERROR(VLOOKUP($A452,'Fusion ExDa'!$B$2:$D$16, 0,FALSE), IFERROR(VLOOKUP($A452,'Exetel ExDa'!$C$2:$N$14, 0,FALSE), IFERROR(VLOOKUP($A452,'Infinet ExDa'!$B$2:$E$14, 0,FALSE), "Not Found"))))))))</f>
        <v>Not Found</v>
      </c>
    </row>
    <row r="453" spans="1:14">
      <c r="A453" t="str">
        <v>Zambrero South Hedland</v>
      </c>
      <c r="B453" t="str">
        <f>IFERROR(VLOOKUP(A453,'Exetel ExDa'!$C$2:$N$14,4,FALSE),"No Data")</f>
        <v>No Data</v>
      </c>
      <c r="C453" t="str">
        <f>IFERROR(VLOOKUP(A453,'AAPT ExDa'!$B$2:$U$99, 2,FALSE), IFERROR(VLOOKUP(A453,'ABB ExDa'!$A$2:$N$184, 2,FALSE), IFERROR(VLOOKUP(A453,'Vocus SIT ExDa'!$B$2:$J$173, 7,FALSE), IFERROR(VLOOKUP(A453,'Telstra ExDa'!$B$2:$K$310, 2,FALSE), IFERROR(VLOOKUP(A453,'Vocus RVC ExDa'!$C$2:$R$155, 3,FALSE), IFERROR(VLOOKUP(A453,'Fusion ExDa'!$B$2:$D$16, 2,FALSE), IFERROR(VLOOKUP(A453,'Exetel ExDa'!$C$2:$N$14, 2,FALSE), IFERROR(VLOOKUP(A453,'Infinet ExDa'!$B$2:$E$14, 2,FALSE), "Not Found"))))))))</f>
        <v>SOUTH HEDLAND SHOPPING CENTRE, BG 1, G, SHOP E6A, SOUTH HEDLAND WA 6722</v>
      </c>
      <c r="D453" t="str">
        <f>IFERROR(VLOOKUP($A453,'AAPT ExDa'!$B$2:$U$99, 15,FALSE), IFERROR(VLOOKUP($A453,'ABB ExDa'!$A$2:$N$184, 4,FALSE), IFERROR(VLOOKUP($A453,'Vocus SIT ExDa'!$B$2:$J$173, 5,FALSE), IFERROR(VLOOKUP($A453,'Telstra ExDa'!$B$2:$K$310, 8,FALSE), IFERROR(VLOOKUP($A453,'Vocus RVC ExDa'!$C$2:$R$155, 6,FALSE), IFERROR(VLOOKUP($A453,'Fusion ExDa'!$B$2:$D$16, 4,FALSE), IFERROR(VLOOKUP($A453,'Exetel ExDa'!$C$2:$N$14, 3,FALSE), IFERROR(VLOOKUP($A453,'Infinet ExDa'!$B$2:$E$14, 3,FALSE), "Not Found"))))))))</f>
        <v>Telstra</v>
      </c>
      <c r="E453" t="str">
        <f>IFERROR(VLOOKUP($A453,'AAPT ExDa'!$B$2:$U$99, 3,FALSE), IFERROR(VLOOKUP($A453,'ABB ExDa'!$A$2:$N$184, 5,FALSE), IFERROR(VLOOKUP($A453,'Vocus SIT ExDa'!$B$2:$J$173, 2,FALSE), IFERROR(VLOOKUP($A453,'Telstra ExDa'!$B$2:$K$310, 4,FALSE), IFERROR(VLOOKUP($A453,'Vocus RVC ExDa'!$C$2:$R$155, 8,FALSE), IFERROR(VLOOKUP($A453,'Fusion ExDa'!$B$2:$D$16, 4,FALSE), IFERROR(VLOOKUP($A453,'Exetel ExDa'!$C$2:$N$14, 5,FALSE), IFERROR(VLOOKUP($A453,'Infinet ExDa'!$B$2:$E$14, 3,FALSE), "Not Found"))))))))</f>
        <v>Standard Speed NBN 25Mbps</v>
      </c>
      <c r="F453" t="str">
        <f>IFERROR(VLOOKUP($A453,'AAPT ExDa'!$B$2:$U$99, 4,FALSE), IFERROR(VLOOKUP($A453,'ABB ExDa'!$A$2:$N$184, 6,FALSE), IFERROR(VLOOKUP($A453,'Vocus SIT ExDa'!$B$2:$J$173, 3,FALSE), IFERROR(VLOOKUP($A453,'Telstra ExDa'!$B$2:$K$310, 5,FALSE), IFERROR(VLOOKUP($A453,'Vocus RVC ExDa'!$C$2:$R$155, 9,FALSE), IFERROR(VLOOKUP($A453,'Fusion ExDa'!$B$2:$D$16, 0,FALSE), IFERROR(VLOOKUP($A453,'Exetel ExDa'!$C$2:$N$14, 6,FALSE), IFERROR(VLOOKUP($A453,'Infinet ExDa'!$B$2:$E$14, 0,FALSE), "Not Found"))))))))</f>
        <v>Core Internet</v>
      </c>
      <c r="G453" t="str">
        <f>IFERROR(VLOOKUP($A453,'AAPT ExDa'!$B$2:$U$99, 5,FALSE), IFERROR(VLOOKUP($A453,'ABB ExDa'!$A$2:$N$184, 8,FALSE), IFERROR(VLOOKUP($A453,'Vocus SIT ExDa'!$B$2:$J$173, 6,FALSE), IFERROR(VLOOKUP($A453,'Telstra ExDa'!$B$2:$K$310, 0,FALSE), IFERROR(VLOOKUP($A453,'Vocus RVC ExDa'!$C$2:$R$155, 15,FALSE), IFERROR(VLOOKUP($A453,'Fusion ExDa'!$B$2:$D$16, 0,FALSE), IFERROR(VLOOKUP($A453,'Exetel ExDa'!$C$2:$N$14, 7,FALSE), IFERROR(VLOOKUP($A453,'Infinet ExDa'!$B$2:$E$14, 0,FALSE), "Not Found"))))))))</f>
        <v>Not Found</v>
      </c>
      <c r="H453" t="str">
        <f>IFERROR(VLOOKUP($A453,'AAPT ExDa'!$B$2:$U$99, 6,FALSE), IFERROR(VLOOKUP($A453,'ABB ExDa'!$A$2:$N$184, 0,FALSE), IFERROR(VLOOKUP($A453,'Vocus SIT ExDa'!$B$2:$J$173, 0,FALSE), IFERROR(VLOOKUP($A453,'Telstra ExDa'!$B$2:$K$310, 0,FALSE), IFERROR(VLOOKUP($A453,'Vocus RVC ExDa'!$C$2:$R$155, 16,FALSE), IFERROR(VLOOKUP($A453,'Fusion ExDa'!$B$2:$D$16, 0,FALSE), IFERROR(VLOOKUP($A453,'Exetel ExDa'!$C$2:$N$14, 0,FALSE), IFERROR(VLOOKUP($A453,'Infinet ExDa'!$B$2:$E$14, 0,FALSE), "Not Found"))))))))</f>
        <v>Not Found</v>
      </c>
      <c r="I453" t="str">
        <f>IFERROR(VLOOKUP($A453,'AAPT ExDa'!$B$2:$U$99, 0,FALSE), IFERROR(VLOOKUP($A453,'ABB ExDa'!$A$2:$N$184, 0,FALSE), IFERROR(VLOOKUP($A453,'Vocus SIT ExDa'!$B$2:$J$173, 0,FALSE), IFERROR(VLOOKUP($A453,'Telstra ExDa'!$B$2:$K$310, 0,FALSE), IFERROR(VLOOKUP($A453,'Vocus RVC ExDa'!$C$2:$R$155, 0,FALSE), IFERROR(VLOOKUP($A453,'Fusion ExDa'!$B$2:$D$16, 0,FALSE), IFERROR(VLOOKUP($A453,'Exetel ExDa'!$C$2:$N$14, 8,FALSE), IFERROR(VLOOKUP($A453,'Infinet ExDa'!$B$2:$E$14, 0,FALSE), "Not Found"))))))))</f>
        <v>Not Found</v>
      </c>
      <c r="J453">
        <f>IFERROR(VLOOKUP($A453,'AAPT ExDa'!$B$2:$U$99, 7,FALSE), IFERROR(VLOOKUP($A453,'ABB ExDa'!$A$2:$N$184, 2,FALSE), IFERROR(VLOOKUP($A453,'Vocus SIT ExDa'!$B$2:$J$173, 0,FALSE), IFERROR(VLOOKUP($A453,'Telstra ExDa'!$B$2:$K$310, 7,FALSE), IFERROR(VLOOKUP($A453,'Vocus RVC ExDa'!$C$2:$R$155, 2,FALSE), IFERROR(VLOOKUP($A453,'Fusion ExDa'!$B$2:$D$16, 3,FALSE), IFERROR(VLOOKUP($A453,'Exetel ExDa'!$C$2:$N$14, 0,FALSE), IFERROR(VLOOKUP($A453,'Infinet ExDa'!$B$2:$E$14, 0,FALSE), "Not Found"))))))))</f>
        <v>0</v>
      </c>
      <c r="K453" t="str">
        <f>IFERROR(VLOOKUP($A453,'AAPT ExDa'!$B$2:$U$99, 12,FALSE), IFERROR(VLOOKUP($A453,'ABB ExDa'!$A$2:$N$184, 0,FALSE), IFERROR(VLOOKUP($A453,'Vocus SIT ExDa'!$B$2:$J$173, 0,FALSE), IFERROR(VLOOKUP($A453,'Telstra ExDa'!$B$2:$K$310, 0,FALSE), IFERROR(VLOOKUP($A453,'Vocus RVC ExDa'!$C$2:$R$155, 0,FALSE), IFERROR(VLOOKUP($A453,'Fusion ExDa'!$B$2:$D$16, 0,FALSE), IFERROR(VLOOKUP($A453,'Exetel ExDa'!$C$2:$N$14, 12,FALSE), IFERROR(VLOOKUP($A453,'Infinet ExDa'!$B$2:$E$14, 0,FALSE), "Not Found"))))))))</f>
        <v>Not Found</v>
      </c>
      <c r="L453" s="235" t="str">
        <f>IFERROR(VLOOKUP($A453,'AAPT ExDa'!$B$2:$U$99, 11,FALSE), IFERROR(VLOOKUP($A453,'ABB ExDa'!$A$2:$N$184, 9,FALSE), IFERROR(VLOOKUP($A453,'Vocus SIT ExDa'!$B$2:$J$173, 8,FALSE), IFERROR(VLOOKUP($A453,'Telstra ExDa'!$B$2:$K$310, 0,FALSE), IFERROR(VLOOKUP($A453,'Vocus RVC ExDa'!$C$2:$R$155, 0,FALSE), IFERROR(VLOOKUP($A453,'Fusion ExDa'!$B$2:$D$16, 0,FALSE), IFERROR(VLOOKUP($A453,'Exetel ExDa'!$C$2:$N$14, 9,FALSE), IFERROR(VLOOKUP($A453,'Infinet ExDa'!$B$2:$E$14, 0,FALSE), "Not Found"))))))))</f>
        <v>Not Found</v>
      </c>
      <c r="M453" s="234" t="str">
        <f>IFERROR(VLOOKUP($A453,'AAPT ExDa'!$B$2:$U$99, 0,FALSE), IFERROR(VLOOKUP($A453,'ABB ExDa'!$A$2:$N$184, 0,FALSE), IFERROR(VLOOKUP($A453,'Vocus SIT ExDa'!$B$2:$J$173, 0,FALSE), IFERROR(VLOOKUP($A453,'Telstra ExDa'!$B$2:$K$310, 0,FALSE), IFERROR(VLOOKUP($A453,'Vocus RVC ExDa'!$C$2:$R$155, 0,FALSE), IFERROR(VLOOKUP($A453,'Fusion ExDa'!$B$2:$D$16, 0,FALSE), IFERROR(VLOOKUP($A453,'Exetel ExDa'!$C$2:$N$14, 11,FALSE), IFERROR(VLOOKUP($A453,'Infinet ExDa'!$B$2:$E$14, 0,FALSE), "Not Found"))))))))</f>
        <v>Not Found</v>
      </c>
      <c r="N453" t="str">
        <f>IFERROR(VLOOKUP($A453,'AAPT ExDa'!$B$2:$U$99, 0,FALSE), IFERROR(VLOOKUP($A453,'ABB ExDa'!$A$2:$N$184, 13,FALSE), IFERROR(VLOOKUP($A453,'Vocus SIT ExDa'!$B$2:$J$173, 0,FALSE), IFERROR(VLOOKUP($A453,'Telstra ExDa'!$B$2:$K$310, 0,FALSE), IFERROR(VLOOKUP($A453,'Vocus RVC ExDa'!$C$2:$R$155, 0,FALSE), IFERROR(VLOOKUP($A453,'Fusion ExDa'!$B$2:$D$16, 0,FALSE), IFERROR(VLOOKUP($A453,'Exetel ExDa'!$C$2:$N$14, 0,FALSE), IFERROR(VLOOKUP($A453,'Infinet ExDa'!$B$2:$E$14, 0,FALSE), "Not Found"))))))))</f>
        <v>Not Found</v>
      </c>
    </row>
    <row r="454" spans="1:14">
      <c r="A454" t="str">
        <v>Zambrero Brabham</v>
      </c>
      <c r="B454" t="str">
        <f>IFERROR(VLOOKUP(A454,'Exetel ExDa'!$C$2:$N$14,4,FALSE),"No Data")</f>
        <v>No Data</v>
      </c>
      <c r="C454" t="str">
        <f>IFERROR(VLOOKUP(A454,'AAPT ExDa'!$B$2:$U$99, 2,FALSE), IFERROR(VLOOKUP(A454,'ABB ExDa'!$A$2:$N$184, 2,FALSE), IFERROR(VLOOKUP(A454,'Vocus SIT ExDa'!$B$2:$J$173, 7,FALSE), IFERROR(VLOOKUP(A454,'Telstra ExDa'!$B$2:$K$310, 2,FALSE), IFERROR(VLOOKUP(A454,'Vocus RVC ExDa'!$C$2:$R$155, 3,FALSE), IFERROR(VLOOKUP(A454,'Fusion ExDa'!$B$2:$D$16, 2,FALSE), IFERROR(VLOOKUP(A454,'Exetel ExDa'!$C$2:$N$14, 2,FALSE), IFERROR(VLOOKUP(A454,'Infinet ExDa'!$B$2:$E$14, 2,FALSE), "Not Found"))))))))</f>
        <v>BG 1, G, SHOP TNCY8, 100 EVERGLADES AVE, BRABHAM WA 6055</v>
      </c>
      <c r="D454" t="str">
        <f>IFERROR(VLOOKUP($A454,'AAPT ExDa'!$B$2:$U$99, 15,FALSE), IFERROR(VLOOKUP($A454,'ABB ExDa'!$A$2:$N$184, 4,FALSE), IFERROR(VLOOKUP($A454,'Vocus SIT ExDa'!$B$2:$J$173, 5,FALSE), IFERROR(VLOOKUP($A454,'Telstra ExDa'!$B$2:$K$310, 8,FALSE), IFERROR(VLOOKUP($A454,'Vocus RVC ExDa'!$C$2:$R$155, 6,FALSE), IFERROR(VLOOKUP($A454,'Fusion ExDa'!$B$2:$D$16, 4,FALSE), IFERROR(VLOOKUP($A454,'Exetel ExDa'!$C$2:$N$14, 3,FALSE), IFERROR(VLOOKUP($A454,'Infinet ExDa'!$B$2:$E$14, 3,FALSE), "Not Found"))))))))</f>
        <v>Telstra</v>
      </c>
      <c r="E454" t="str">
        <f>IFERROR(VLOOKUP($A454,'AAPT ExDa'!$B$2:$U$99, 3,FALSE), IFERROR(VLOOKUP($A454,'ABB ExDa'!$A$2:$N$184, 5,FALSE), IFERROR(VLOOKUP($A454,'Vocus SIT ExDa'!$B$2:$J$173, 2,FALSE), IFERROR(VLOOKUP($A454,'Telstra ExDa'!$B$2:$K$310, 4,FALSE), IFERROR(VLOOKUP($A454,'Vocus RVC ExDa'!$C$2:$R$155, 8,FALSE), IFERROR(VLOOKUP($A454,'Fusion ExDa'!$B$2:$D$16, 4,FALSE), IFERROR(VLOOKUP($A454,'Exetel ExDa'!$C$2:$N$14, 5,FALSE), IFERROR(VLOOKUP($A454,'Infinet ExDa'!$B$2:$E$14, 3,FALSE), "Not Found"))))))))</f>
        <v xml:space="preserve">Standard Plus Speed NBN </v>
      </c>
      <c r="F454" t="str">
        <f>IFERROR(VLOOKUP($A454,'AAPT ExDa'!$B$2:$U$99, 4,FALSE), IFERROR(VLOOKUP($A454,'ABB ExDa'!$A$2:$N$184, 6,FALSE), IFERROR(VLOOKUP($A454,'Vocus SIT ExDa'!$B$2:$J$173, 3,FALSE), IFERROR(VLOOKUP($A454,'Telstra ExDa'!$B$2:$K$310, 5,FALSE), IFERROR(VLOOKUP($A454,'Vocus RVC ExDa'!$C$2:$R$155, 9,FALSE), IFERROR(VLOOKUP($A454,'Fusion ExDa'!$B$2:$D$16, 0,FALSE), IFERROR(VLOOKUP($A454,'Exetel ExDa'!$C$2:$N$14, 6,FALSE), IFERROR(VLOOKUP($A454,'Infinet ExDa'!$B$2:$E$14, 0,FALSE), "Not Found"))))))))</f>
        <v>Unlimited Internet</v>
      </c>
      <c r="G454">
        <f>IFERROR(VLOOKUP($A454,'AAPT ExDa'!$B$2:$U$99, 5,FALSE), IFERROR(VLOOKUP($A454,'ABB ExDa'!$A$2:$N$184, 8,FALSE), IFERROR(VLOOKUP($A454,'Vocus SIT ExDa'!$B$2:$J$173, 6,FALSE), IFERROR(VLOOKUP($A454,'Telstra ExDa'!$B$2:$K$310, 0,FALSE), IFERROR(VLOOKUP($A454,'Vocus RVC ExDa'!$C$2:$R$155, 15,FALSE), IFERROR(VLOOKUP($A454,'Fusion ExDa'!$B$2:$D$16, 0,FALSE), IFERROR(VLOOKUP($A454,'Exetel ExDa'!$C$2:$N$14, 7,FALSE), IFERROR(VLOOKUP($A454,'Infinet ExDa'!$B$2:$E$14, 0,FALSE), "Not Found"))))))))</f>
        <v>0</v>
      </c>
      <c r="H454">
        <f>IFERROR(VLOOKUP($A454,'AAPT ExDa'!$B$2:$U$99, 6,FALSE), IFERROR(VLOOKUP($A454,'ABB ExDa'!$A$2:$N$184, 0,FALSE), IFERROR(VLOOKUP($A454,'Vocus SIT ExDa'!$B$2:$J$173, 0,FALSE), IFERROR(VLOOKUP($A454,'Telstra ExDa'!$B$2:$K$310, 0,FALSE), IFERROR(VLOOKUP($A454,'Vocus RVC ExDa'!$C$2:$R$155, 16,FALSE), IFERROR(VLOOKUP($A454,'Fusion ExDa'!$B$2:$D$16, 0,FALSE), IFERROR(VLOOKUP($A454,'Exetel ExDa'!$C$2:$N$14, 0,FALSE), IFERROR(VLOOKUP($A454,'Infinet ExDa'!$B$2:$E$14, 0,FALSE), "Not Found"))))))))</f>
        <v>0</v>
      </c>
      <c r="I454" t="str">
        <f>IFERROR(VLOOKUP($A454,'AAPT ExDa'!$B$2:$U$99, 0,FALSE), IFERROR(VLOOKUP($A454,'ABB ExDa'!$A$2:$N$184, 0,FALSE), IFERROR(VLOOKUP($A454,'Vocus SIT ExDa'!$B$2:$J$173, 0,FALSE), IFERROR(VLOOKUP($A454,'Telstra ExDa'!$B$2:$K$310, 0,FALSE), IFERROR(VLOOKUP($A454,'Vocus RVC ExDa'!$C$2:$R$155, 0,FALSE), IFERROR(VLOOKUP($A454,'Fusion ExDa'!$B$2:$D$16, 0,FALSE), IFERROR(VLOOKUP($A454,'Exetel ExDa'!$C$2:$N$14, 8,FALSE), IFERROR(VLOOKUP($A454,'Infinet ExDa'!$B$2:$E$14, 0,FALSE), "Not Found"))))))))</f>
        <v>Not Found</v>
      </c>
      <c r="J454">
        <f>IFERROR(VLOOKUP($A454,'AAPT ExDa'!$B$2:$U$99, 7,FALSE), IFERROR(VLOOKUP($A454,'ABB ExDa'!$A$2:$N$184, 2,FALSE), IFERROR(VLOOKUP($A454,'Vocus SIT ExDa'!$B$2:$J$173, 0,FALSE), IFERROR(VLOOKUP($A454,'Telstra ExDa'!$B$2:$K$310, 7,FALSE), IFERROR(VLOOKUP($A454,'Vocus RVC ExDa'!$C$2:$R$155, 2,FALSE), IFERROR(VLOOKUP($A454,'Fusion ExDa'!$B$2:$D$16, 3,FALSE), IFERROR(VLOOKUP($A454,'Exetel ExDa'!$C$2:$N$14, 0,FALSE), IFERROR(VLOOKUP($A454,'Infinet ExDa'!$B$2:$E$14, 0,FALSE), "Not Found"))))))))</f>
        <v>0</v>
      </c>
      <c r="K454" t="str">
        <f>IFERROR(VLOOKUP($A454,'AAPT ExDa'!$B$2:$U$99, 12,FALSE), IFERROR(VLOOKUP($A454,'ABB ExDa'!$A$2:$N$184, 0,FALSE), IFERROR(VLOOKUP($A454,'Vocus SIT ExDa'!$B$2:$J$173, 0,FALSE), IFERROR(VLOOKUP($A454,'Telstra ExDa'!$B$2:$K$310, 0,FALSE), IFERROR(VLOOKUP($A454,'Vocus RVC ExDa'!$C$2:$R$155, 0,FALSE), IFERROR(VLOOKUP($A454,'Fusion ExDa'!$B$2:$D$16, 0,FALSE), IFERROR(VLOOKUP($A454,'Exetel ExDa'!$C$2:$N$14, 12,FALSE), IFERROR(VLOOKUP($A454,'Infinet ExDa'!$B$2:$E$14, 0,FALSE), "Not Found"))))))))</f>
        <v>Not Found</v>
      </c>
      <c r="L454" s="235" t="str">
        <f>IFERROR(VLOOKUP($A454,'AAPT ExDa'!$B$2:$U$99, 11,FALSE), IFERROR(VLOOKUP($A454,'ABB ExDa'!$A$2:$N$184, 9,FALSE), IFERROR(VLOOKUP($A454,'Vocus SIT ExDa'!$B$2:$J$173, 8,FALSE), IFERROR(VLOOKUP($A454,'Telstra ExDa'!$B$2:$K$310, 0,FALSE), IFERROR(VLOOKUP($A454,'Vocus RVC ExDa'!$C$2:$R$155, 0,FALSE), IFERROR(VLOOKUP($A454,'Fusion ExDa'!$B$2:$D$16, 0,FALSE), IFERROR(VLOOKUP($A454,'Exetel ExDa'!$C$2:$N$14, 9,FALSE), IFERROR(VLOOKUP($A454,'Infinet ExDa'!$B$2:$E$14, 0,FALSE), "Not Found"))))))))</f>
        <v>Not Found</v>
      </c>
      <c r="M454" s="234" t="str">
        <f>IFERROR(VLOOKUP($A454,'AAPT ExDa'!$B$2:$U$99, 0,FALSE), IFERROR(VLOOKUP($A454,'ABB ExDa'!$A$2:$N$184, 0,FALSE), IFERROR(VLOOKUP($A454,'Vocus SIT ExDa'!$B$2:$J$173, 0,FALSE), IFERROR(VLOOKUP($A454,'Telstra ExDa'!$B$2:$K$310, 0,FALSE), IFERROR(VLOOKUP($A454,'Vocus RVC ExDa'!$C$2:$R$155, 0,FALSE), IFERROR(VLOOKUP($A454,'Fusion ExDa'!$B$2:$D$16, 0,FALSE), IFERROR(VLOOKUP($A454,'Exetel ExDa'!$C$2:$N$14, 11,FALSE), IFERROR(VLOOKUP($A454,'Infinet ExDa'!$B$2:$E$14, 0,FALSE), "Not Found"))))))))</f>
        <v>Not Found</v>
      </c>
      <c r="N454" t="str">
        <f>IFERROR(VLOOKUP($A454,'AAPT ExDa'!$B$2:$U$99, 0,FALSE), IFERROR(VLOOKUP($A454,'ABB ExDa'!$A$2:$N$184, 13,FALSE), IFERROR(VLOOKUP($A454,'Vocus SIT ExDa'!$B$2:$J$173, 0,FALSE), IFERROR(VLOOKUP($A454,'Telstra ExDa'!$B$2:$K$310, 0,FALSE), IFERROR(VLOOKUP($A454,'Vocus RVC ExDa'!$C$2:$R$155, 0,FALSE), IFERROR(VLOOKUP($A454,'Fusion ExDa'!$B$2:$D$16, 0,FALSE), IFERROR(VLOOKUP($A454,'Exetel ExDa'!$C$2:$N$14, 0,FALSE), IFERROR(VLOOKUP($A454,'Infinet ExDa'!$B$2:$E$14, 0,FALSE), "Not Found"))))))))</f>
        <v>Not Found</v>
      </c>
    </row>
    <row r="455" spans="1:14">
      <c r="A455" t="str">
        <v>Nodo Camp Hill</v>
      </c>
      <c r="B455" t="str">
        <f>IFERROR(VLOOKUP(A455,'Exetel ExDa'!$C$2:$N$14,4,FALSE),"No Data")</f>
        <v>No Data</v>
      </c>
      <c r="C455" t="str">
        <f>IFERROR(VLOOKUP(A455,'AAPT ExDa'!$B$2:$U$99, 2,FALSE), IFERROR(VLOOKUP(A455,'ABB ExDa'!$A$2:$N$184, 2,FALSE), IFERROR(VLOOKUP(A455,'Vocus SIT ExDa'!$B$2:$J$173, 7,FALSE), IFERROR(VLOOKUP(A455,'Telstra ExDa'!$B$2:$K$310, 2,FALSE), IFERROR(VLOOKUP(A455,'Vocus RVC ExDa'!$C$2:$R$155, 3,FALSE), IFERROR(VLOOKUP(A455,'Fusion ExDa'!$B$2:$D$16, 2,FALSE), IFERROR(VLOOKUP(A455,'Exetel ExDa'!$C$2:$N$14, 2,FALSE), IFERROR(VLOOKUP(A455,'Infinet ExDa'!$B$2:$E$14, 2,FALSE), "Not Found"))))))))</f>
        <v>CAMP HILL MARKETPLACE, BG 1, G, SHOP 18, CAMP HILL QLD 4152</v>
      </c>
      <c r="D455" t="str">
        <f>IFERROR(VLOOKUP($A455,'AAPT ExDa'!$B$2:$U$99, 15,FALSE), IFERROR(VLOOKUP($A455,'ABB ExDa'!$A$2:$N$184, 4,FALSE), IFERROR(VLOOKUP($A455,'Vocus SIT ExDa'!$B$2:$J$173, 5,FALSE), IFERROR(VLOOKUP($A455,'Telstra ExDa'!$B$2:$K$310, 8,FALSE), IFERROR(VLOOKUP($A455,'Vocus RVC ExDa'!$C$2:$R$155, 6,FALSE), IFERROR(VLOOKUP($A455,'Fusion ExDa'!$B$2:$D$16, 4,FALSE), IFERROR(VLOOKUP($A455,'Exetel ExDa'!$C$2:$N$14, 3,FALSE), IFERROR(VLOOKUP($A455,'Infinet ExDa'!$B$2:$E$14, 3,FALSE), "Not Found"))))))))</f>
        <v>Telstra</v>
      </c>
      <c r="E455" t="str">
        <f>IFERROR(VLOOKUP($A455,'AAPT ExDa'!$B$2:$U$99, 3,FALSE), IFERROR(VLOOKUP($A455,'ABB ExDa'!$A$2:$N$184, 5,FALSE), IFERROR(VLOOKUP($A455,'Vocus SIT ExDa'!$B$2:$J$173, 2,FALSE), IFERROR(VLOOKUP($A455,'Telstra ExDa'!$B$2:$K$310, 4,FALSE), IFERROR(VLOOKUP($A455,'Vocus RVC ExDa'!$C$2:$R$155, 8,FALSE), IFERROR(VLOOKUP($A455,'Fusion ExDa'!$B$2:$D$16, 4,FALSE), IFERROR(VLOOKUP($A455,'Exetel ExDa'!$C$2:$N$14, 5,FALSE), IFERROR(VLOOKUP($A455,'Infinet ExDa'!$B$2:$E$14, 3,FALSE), "Not Found"))))))))</f>
        <v xml:space="preserve">Standard Plus Speed NBN </v>
      </c>
      <c r="F455" t="str">
        <f>IFERROR(VLOOKUP($A455,'AAPT ExDa'!$B$2:$U$99, 4,FALSE), IFERROR(VLOOKUP($A455,'ABB ExDa'!$A$2:$N$184, 6,FALSE), IFERROR(VLOOKUP($A455,'Vocus SIT ExDa'!$B$2:$J$173, 3,FALSE), IFERROR(VLOOKUP($A455,'Telstra ExDa'!$B$2:$K$310, 5,FALSE), IFERROR(VLOOKUP($A455,'Vocus RVC ExDa'!$C$2:$R$155, 9,FALSE), IFERROR(VLOOKUP($A455,'Fusion ExDa'!$B$2:$D$16, 0,FALSE), IFERROR(VLOOKUP($A455,'Exetel ExDa'!$C$2:$N$14, 6,FALSE), IFERROR(VLOOKUP($A455,'Infinet ExDa'!$B$2:$E$14, 0,FALSE), "Not Found"))))))))</f>
        <v>Unlimited Internet</v>
      </c>
      <c r="G455">
        <f>IFERROR(VLOOKUP($A455,'AAPT ExDa'!$B$2:$U$99, 5,FALSE), IFERROR(VLOOKUP($A455,'ABB ExDa'!$A$2:$N$184, 8,FALSE), IFERROR(VLOOKUP($A455,'Vocus SIT ExDa'!$B$2:$J$173, 6,FALSE), IFERROR(VLOOKUP($A455,'Telstra ExDa'!$B$2:$K$310, 0,FALSE), IFERROR(VLOOKUP($A455,'Vocus RVC ExDa'!$C$2:$R$155, 15,FALSE), IFERROR(VLOOKUP($A455,'Fusion ExDa'!$B$2:$D$16, 0,FALSE), IFERROR(VLOOKUP($A455,'Exetel ExDa'!$C$2:$N$14, 7,FALSE), IFERROR(VLOOKUP($A455,'Infinet ExDa'!$B$2:$E$14, 0,FALSE), "Not Found"))))))))</f>
        <v>0</v>
      </c>
      <c r="H455">
        <f>IFERROR(VLOOKUP($A455,'AAPT ExDa'!$B$2:$U$99, 6,FALSE), IFERROR(VLOOKUP($A455,'ABB ExDa'!$A$2:$N$184, 0,FALSE), IFERROR(VLOOKUP($A455,'Vocus SIT ExDa'!$B$2:$J$173, 0,FALSE), IFERROR(VLOOKUP($A455,'Telstra ExDa'!$B$2:$K$310, 0,FALSE), IFERROR(VLOOKUP($A455,'Vocus RVC ExDa'!$C$2:$R$155, 16,FALSE), IFERROR(VLOOKUP($A455,'Fusion ExDa'!$B$2:$D$16, 0,FALSE), IFERROR(VLOOKUP($A455,'Exetel ExDa'!$C$2:$N$14, 0,FALSE), IFERROR(VLOOKUP($A455,'Infinet ExDa'!$B$2:$E$14, 0,FALSE), "Not Found"))))))))</f>
        <v>0</v>
      </c>
      <c r="I455" t="str">
        <f>IFERROR(VLOOKUP($A455,'AAPT ExDa'!$B$2:$U$99, 0,FALSE), IFERROR(VLOOKUP($A455,'ABB ExDa'!$A$2:$N$184, 0,FALSE), IFERROR(VLOOKUP($A455,'Vocus SIT ExDa'!$B$2:$J$173, 0,FALSE), IFERROR(VLOOKUP($A455,'Telstra ExDa'!$B$2:$K$310, 0,FALSE), IFERROR(VLOOKUP($A455,'Vocus RVC ExDa'!$C$2:$R$155, 0,FALSE), IFERROR(VLOOKUP($A455,'Fusion ExDa'!$B$2:$D$16, 0,FALSE), IFERROR(VLOOKUP($A455,'Exetel ExDa'!$C$2:$N$14, 8,FALSE), IFERROR(VLOOKUP($A455,'Infinet ExDa'!$B$2:$E$14, 0,FALSE), "Not Found"))))))))</f>
        <v>Not Found</v>
      </c>
      <c r="J455">
        <f>IFERROR(VLOOKUP($A455,'AAPT ExDa'!$B$2:$U$99, 7,FALSE), IFERROR(VLOOKUP($A455,'ABB ExDa'!$A$2:$N$184, 2,FALSE), IFERROR(VLOOKUP($A455,'Vocus SIT ExDa'!$B$2:$J$173, 0,FALSE), IFERROR(VLOOKUP($A455,'Telstra ExDa'!$B$2:$K$310, 7,FALSE), IFERROR(VLOOKUP($A455,'Vocus RVC ExDa'!$C$2:$R$155, 2,FALSE), IFERROR(VLOOKUP($A455,'Fusion ExDa'!$B$2:$D$16, 3,FALSE), IFERROR(VLOOKUP($A455,'Exetel ExDa'!$C$2:$N$14, 0,FALSE), IFERROR(VLOOKUP($A455,'Infinet ExDa'!$B$2:$E$14, 0,FALSE), "Not Found"))))))))</f>
        <v>0</v>
      </c>
      <c r="K455" t="str">
        <f>IFERROR(VLOOKUP($A455,'AAPT ExDa'!$B$2:$U$99, 12,FALSE), IFERROR(VLOOKUP($A455,'ABB ExDa'!$A$2:$N$184, 0,FALSE), IFERROR(VLOOKUP($A455,'Vocus SIT ExDa'!$B$2:$J$173, 0,FALSE), IFERROR(VLOOKUP($A455,'Telstra ExDa'!$B$2:$K$310, 0,FALSE), IFERROR(VLOOKUP($A455,'Vocus RVC ExDa'!$C$2:$R$155, 0,FALSE), IFERROR(VLOOKUP($A455,'Fusion ExDa'!$B$2:$D$16, 0,FALSE), IFERROR(VLOOKUP($A455,'Exetel ExDa'!$C$2:$N$14, 12,FALSE), IFERROR(VLOOKUP($A455,'Infinet ExDa'!$B$2:$E$14, 0,FALSE), "Not Found"))))))))</f>
        <v>Not Found</v>
      </c>
      <c r="L455" s="235" t="str">
        <f>IFERROR(VLOOKUP($A455,'AAPT ExDa'!$B$2:$U$99, 11,FALSE), IFERROR(VLOOKUP($A455,'ABB ExDa'!$A$2:$N$184, 9,FALSE), IFERROR(VLOOKUP($A455,'Vocus SIT ExDa'!$B$2:$J$173, 8,FALSE), IFERROR(VLOOKUP($A455,'Telstra ExDa'!$B$2:$K$310, 0,FALSE), IFERROR(VLOOKUP($A455,'Vocus RVC ExDa'!$C$2:$R$155, 0,FALSE), IFERROR(VLOOKUP($A455,'Fusion ExDa'!$B$2:$D$16, 0,FALSE), IFERROR(VLOOKUP($A455,'Exetel ExDa'!$C$2:$N$14, 9,FALSE), IFERROR(VLOOKUP($A455,'Infinet ExDa'!$B$2:$E$14, 0,FALSE), "Not Found"))))))))</f>
        <v>Not Found</v>
      </c>
      <c r="M455" s="234" t="str">
        <f>IFERROR(VLOOKUP($A455,'AAPT ExDa'!$B$2:$U$99, 0,FALSE), IFERROR(VLOOKUP($A455,'ABB ExDa'!$A$2:$N$184, 0,FALSE), IFERROR(VLOOKUP($A455,'Vocus SIT ExDa'!$B$2:$J$173, 0,FALSE), IFERROR(VLOOKUP($A455,'Telstra ExDa'!$B$2:$K$310, 0,FALSE), IFERROR(VLOOKUP($A455,'Vocus RVC ExDa'!$C$2:$R$155, 0,FALSE), IFERROR(VLOOKUP($A455,'Fusion ExDa'!$B$2:$D$16, 0,FALSE), IFERROR(VLOOKUP($A455,'Exetel ExDa'!$C$2:$N$14, 11,FALSE), IFERROR(VLOOKUP($A455,'Infinet ExDa'!$B$2:$E$14, 0,FALSE), "Not Found"))))))))</f>
        <v>Not Found</v>
      </c>
      <c r="N455" t="str">
        <f>IFERROR(VLOOKUP($A455,'AAPT ExDa'!$B$2:$U$99, 0,FALSE), IFERROR(VLOOKUP($A455,'ABB ExDa'!$A$2:$N$184, 13,FALSE), IFERROR(VLOOKUP($A455,'Vocus SIT ExDa'!$B$2:$J$173, 0,FALSE), IFERROR(VLOOKUP($A455,'Telstra ExDa'!$B$2:$K$310, 0,FALSE), IFERROR(VLOOKUP($A455,'Vocus RVC ExDa'!$C$2:$R$155, 0,FALSE), IFERROR(VLOOKUP($A455,'Fusion ExDa'!$B$2:$D$16, 0,FALSE), IFERROR(VLOOKUP($A455,'Exetel ExDa'!$C$2:$N$14, 0,FALSE), IFERROR(VLOOKUP($A455,'Infinet ExDa'!$B$2:$E$14, 0,FALSE), "Not Found"))))))))</f>
        <v>Not Found</v>
      </c>
    </row>
    <row r="456" spans="1:14">
      <c r="A456" t="str">
        <v>Zambrero Capalaba</v>
      </c>
      <c r="B456" t="str">
        <f>IFERROR(VLOOKUP(A456,'Exetel ExDa'!$C$2:$N$14,4,FALSE),"No Data")</f>
        <v>No Data</v>
      </c>
      <c r="C456" t="str">
        <f>IFERROR(VLOOKUP(A456,'AAPT ExDa'!$B$2:$U$99, 2,FALSE), IFERROR(VLOOKUP(A456,'ABB ExDa'!$A$2:$N$184, 2,FALSE), IFERROR(VLOOKUP(A456,'Vocus SIT ExDa'!$B$2:$J$173, 7,FALSE), IFERROR(VLOOKUP(A456,'Telstra ExDa'!$B$2:$K$310, 2,FALSE), IFERROR(VLOOKUP(A456,'Vocus RVC ExDa'!$C$2:$R$155, 3,FALSE), IFERROR(VLOOKUP(A456,'Fusion ExDa'!$B$2:$D$16, 2,FALSE), IFERROR(VLOOKUP(A456,'Exetel ExDa'!$C$2:$N$14, 2,FALSE), IFERROR(VLOOKUP(A456,'Infinet ExDa'!$B$2:$E$14, 2,FALSE), "Not Found"))))))))</f>
        <v>CAPALABA CENTRAL, BG 1, G, SHOP 84, CAPALABA QLD 4157</v>
      </c>
      <c r="D456" t="str">
        <f>IFERROR(VLOOKUP($A456,'AAPT ExDa'!$B$2:$U$99, 15,FALSE), IFERROR(VLOOKUP($A456,'ABB ExDa'!$A$2:$N$184, 4,FALSE), IFERROR(VLOOKUP($A456,'Vocus SIT ExDa'!$B$2:$J$173, 5,FALSE), IFERROR(VLOOKUP($A456,'Telstra ExDa'!$B$2:$K$310, 8,FALSE), IFERROR(VLOOKUP($A456,'Vocus RVC ExDa'!$C$2:$R$155, 6,FALSE), IFERROR(VLOOKUP($A456,'Fusion ExDa'!$B$2:$D$16, 4,FALSE), IFERROR(VLOOKUP($A456,'Exetel ExDa'!$C$2:$N$14, 3,FALSE), IFERROR(VLOOKUP($A456,'Infinet ExDa'!$B$2:$E$14, 3,FALSE), "Not Found"))))))))</f>
        <v>Telstra</v>
      </c>
      <c r="E456" t="str">
        <f>IFERROR(VLOOKUP($A456,'AAPT ExDa'!$B$2:$U$99, 3,FALSE), IFERROR(VLOOKUP($A456,'ABB ExDa'!$A$2:$N$184, 5,FALSE), IFERROR(VLOOKUP($A456,'Vocus SIT ExDa'!$B$2:$J$173, 2,FALSE), IFERROR(VLOOKUP($A456,'Telstra ExDa'!$B$2:$K$310, 4,FALSE), IFERROR(VLOOKUP($A456,'Vocus RVC ExDa'!$C$2:$R$155, 8,FALSE), IFERROR(VLOOKUP($A456,'Fusion ExDa'!$B$2:$D$16, 4,FALSE), IFERROR(VLOOKUP($A456,'Exetel ExDa'!$C$2:$N$14, 5,FALSE), IFERROR(VLOOKUP($A456,'Infinet ExDa'!$B$2:$E$14, 3,FALSE), "Not Found"))))))))</f>
        <v>Standard Speed NBN 25Mbps</v>
      </c>
      <c r="F456" t="str">
        <f>IFERROR(VLOOKUP($A456,'AAPT ExDa'!$B$2:$U$99, 4,FALSE), IFERROR(VLOOKUP($A456,'ABB ExDa'!$A$2:$N$184, 6,FALSE), IFERROR(VLOOKUP($A456,'Vocus SIT ExDa'!$B$2:$J$173, 3,FALSE), IFERROR(VLOOKUP($A456,'Telstra ExDa'!$B$2:$K$310, 5,FALSE), IFERROR(VLOOKUP($A456,'Vocus RVC ExDa'!$C$2:$R$155, 9,FALSE), IFERROR(VLOOKUP($A456,'Fusion ExDa'!$B$2:$D$16, 0,FALSE), IFERROR(VLOOKUP($A456,'Exetel ExDa'!$C$2:$N$14, 6,FALSE), IFERROR(VLOOKUP($A456,'Infinet ExDa'!$B$2:$E$14, 0,FALSE), "Not Found"))))))))</f>
        <v>Core Internet</v>
      </c>
      <c r="G456" t="str">
        <f>IFERROR(VLOOKUP($A456,'AAPT ExDa'!$B$2:$U$99, 5,FALSE), IFERROR(VLOOKUP($A456,'ABB ExDa'!$A$2:$N$184, 8,FALSE), IFERROR(VLOOKUP($A456,'Vocus SIT ExDa'!$B$2:$J$173, 6,FALSE), IFERROR(VLOOKUP($A456,'Telstra ExDa'!$B$2:$K$310, 0,FALSE), IFERROR(VLOOKUP($A456,'Vocus RVC ExDa'!$C$2:$R$155, 15,FALSE), IFERROR(VLOOKUP($A456,'Fusion ExDa'!$B$2:$D$16, 0,FALSE), IFERROR(VLOOKUP($A456,'Exetel ExDa'!$C$2:$N$14, 7,FALSE), IFERROR(VLOOKUP($A456,'Infinet ExDa'!$B$2:$E$14, 0,FALSE), "Not Found"))))))))</f>
        <v>Not Found</v>
      </c>
      <c r="H456" t="str">
        <f>IFERROR(VLOOKUP($A456,'AAPT ExDa'!$B$2:$U$99, 6,FALSE), IFERROR(VLOOKUP($A456,'ABB ExDa'!$A$2:$N$184, 0,FALSE), IFERROR(VLOOKUP($A456,'Vocus SIT ExDa'!$B$2:$J$173, 0,FALSE), IFERROR(VLOOKUP($A456,'Telstra ExDa'!$B$2:$K$310, 0,FALSE), IFERROR(VLOOKUP($A456,'Vocus RVC ExDa'!$C$2:$R$155, 16,FALSE), IFERROR(VLOOKUP($A456,'Fusion ExDa'!$B$2:$D$16, 0,FALSE), IFERROR(VLOOKUP($A456,'Exetel ExDa'!$C$2:$N$14, 0,FALSE), IFERROR(VLOOKUP($A456,'Infinet ExDa'!$B$2:$E$14, 0,FALSE), "Not Found"))))))))</f>
        <v>Not Found</v>
      </c>
      <c r="I456" t="str">
        <f>IFERROR(VLOOKUP($A456,'AAPT ExDa'!$B$2:$U$99, 0,FALSE), IFERROR(VLOOKUP($A456,'ABB ExDa'!$A$2:$N$184, 0,FALSE), IFERROR(VLOOKUP($A456,'Vocus SIT ExDa'!$B$2:$J$173, 0,FALSE), IFERROR(VLOOKUP($A456,'Telstra ExDa'!$B$2:$K$310, 0,FALSE), IFERROR(VLOOKUP($A456,'Vocus RVC ExDa'!$C$2:$R$155, 0,FALSE), IFERROR(VLOOKUP($A456,'Fusion ExDa'!$B$2:$D$16, 0,FALSE), IFERROR(VLOOKUP($A456,'Exetel ExDa'!$C$2:$N$14, 8,FALSE), IFERROR(VLOOKUP($A456,'Infinet ExDa'!$B$2:$E$14, 0,FALSE), "Not Found"))))))))</f>
        <v>Not Found</v>
      </c>
      <c r="J456">
        <f>IFERROR(VLOOKUP($A456,'AAPT ExDa'!$B$2:$U$99, 7,FALSE), IFERROR(VLOOKUP($A456,'ABB ExDa'!$A$2:$N$184, 2,FALSE), IFERROR(VLOOKUP($A456,'Vocus SIT ExDa'!$B$2:$J$173, 0,FALSE), IFERROR(VLOOKUP($A456,'Telstra ExDa'!$B$2:$K$310, 7,FALSE), IFERROR(VLOOKUP($A456,'Vocus RVC ExDa'!$C$2:$R$155, 2,FALSE), IFERROR(VLOOKUP($A456,'Fusion ExDa'!$B$2:$D$16, 3,FALSE), IFERROR(VLOOKUP($A456,'Exetel ExDa'!$C$2:$N$14, 0,FALSE), IFERROR(VLOOKUP($A456,'Infinet ExDa'!$B$2:$E$14, 0,FALSE), "Not Found"))))))))</f>
        <v>0</v>
      </c>
      <c r="K456" t="str">
        <f>IFERROR(VLOOKUP($A456,'AAPT ExDa'!$B$2:$U$99, 12,FALSE), IFERROR(VLOOKUP($A456,'ABB ExDa'!$A$2:$N$184, 0,FALSE), IFERROR(VLOOKUP($A456,'Vocus SIT ExDa'!$B$2:$J$173, 0,FALSE), IFERROR(VLOOKUP($A456,'Telstra ExDa'!$B$2:$K$310, 0,FALSE), IFERROR(VLOOKUP($A456,'Vocus RVC ExDa'!$C$2:$R$155, 0,FALSE), IFERROR(VLOOKUP($A456,'Fusion ExDa'!$B$2:$D$16, 0,FALSE), IFERROR(VLOOKUP($A456,'Exetel ExDa'!$C$2:$N$14, 12,FALSE), IFERROR(VLOOKUP($A456,'Infinet ExDa'!$B$2:$E$14, 0,FALSE), "Not Found"))))))))</f>
        <v>Not Found</v>
      </c>
      <c r="L456" s="235" t="str">
        <f>IFERROR(VLOOKUP($A456,'AAPT ExDa'!$B$2:$U$99, 11,FALSE), IFERROR(VLOOKUP($A456,'ABB ExDa'!$A$2:$N$184, 9,FALSE), IFERROR(VLOOKUP($A456,'Vocus SIT ExDa'!$B$2:$J$173, 8,FALSE), IFERROR(VLOOKUP($A456,'Telstra ExDa'!$B$2:$K$310, 0,FALSE), IFERROR(VLOOKUP($A456,'Vocus RVC ExDa'!$C$2:$R$155, 0,FALSE), IFERROR(VLOOKUP($A456,'Fusion ExDa'!$B$2:$D$16, 0,FALSE), IFERROR(VLOOKUP($A456,'Exetel ExDa'!$C$2:$N$14, 9,FALSE), IFERROR(VLOOKUP($A456,'Infinet ExDa'!$B$2:$E$14, 0,FALSE), "Not Found"))))))))</f>
        <v>Not Found</v>
      </c>
      <c r="M456" s="234" t="str">
        <f>IFERROR(VLOOKUP($A456,'AAPT ExDa'!$B$2:$U$99, 0,FALSE), IFERROR(VLOOKUP($A456,'ABB ExDa'!$A$2:$N$184, 0,FALSE), IFERROR(VLOOKUP($A456,'Vocus SIT ExDa'!$B$2:$J$173, 0,FALSE), IFERROR(VLOOKUP($A456,'Telstra ExDa'!$B$2:$K$310, 0,FALSE), IFERROR(VLOOKUP($A456,'Vocus RVC ExDa'!$C$2:$R$155, 0,FALSE), IFERROR(VLOOKUP($A456,'Fusion ExDa'!$B$2:$D$16, 0,FALSE), IFERROR(VLOOKUP($A456,'Exetel ExDa'!$C$2:$N$14, 11,FALSE), IFERROR(VLOOKUP($A456,'Infinet ExDa'!$B$2:$E$14, 0,FALSE), "Not Found"))))))))</f>
        <v>Not Found</v>
      </c>
      <c r="N456" t="str">
        <f>IFERROR(VLOOKUP($A456,'AAPT ExDa'!$B$2:$U$99, 0,FALSE), IFERROR(VLOOKUP($A456,'ABB ExDa'!$A$2:$N$184, 13,FALSE), IFERROR(VLOOKUP($A456,'Vocus SIT ExDa'!$B$2:$J$173, 0,FALSE), IFERROR(VLOOKUP($A456,'Telstra ExDa'!$B$2:$K$310, 0,FALSE), IFERROR(VLOOKUP($A456,'Vocus RVC ExDa'!$C$2:$R$155, 0,FALSE), IFERROR(VLOOKUP($A456,'Fusion ExDa'!$B$2:$D$16, 0,FALSE), IFERROR(VLOOKUP($A456,'Exetel ExDa'!$C$2:$N$14, 0,FALSE), IFERROR(VLOOKUP($A456,'Infinet ExDa'!$B$2:$E$14, 0,FALSE), "Not Found"))))))))</f>
        <v>Not Found</v>
      </c>
    </row>
    <row r="457" spans="1:14">
      <c r="A457" t="str">
        <v>Zambrero Mackay</v>
      </c>
      <c r="B457" t="str">
        <f>IFERROR(VLOOKUP(A457,'Exetel ExDa'!$C$2:$N$14,4,FALSE),"No Data")</f>
        <v>No Data</v>
      </c>
      <c r="C457" t="str">
        <f>IFERROR(VLOOKUP(A457,'AAPT ExDa'!$B$2:$U$99, 2,FALSE), IFERROR(VLOOKUP(A457,'ABB ExDa'!$A$2:$N$184, 2,FALSE), IFERROR(VLOOKUP(A457,'Vocus SIT ExDa'!$B$2:$J$173, 7,FALSE), IFERROR(VLOOKUP(A457,'Telstra ExDa'!$B$2:$K$310, 2,FALSE), IFERROR(VLOOKUP(A457,'Vocus RVC ExDa'!$C$2:$R$155, 3,FALSE), IFERROR(VLOOKUP(A457,'Fusion ExDa'!$B$2:$D$16, 2,FALSE), IFERROR(VLOOKUP(A457,'Exetel ExDa'!$C$2:$N$14, 2,FALSE), IFERROR(VLOOKUP(A457,'Infinet ExDa'!$B$2:$E$14, 2,FALSE), "Not Found"))))))))</f>
        <v>SHOP 1, 37 - 43 ARANA DR, RURAL VIEW QLD 4740</v>
      </c>
      <c r="D457" t="str">
        <f>IFERROR(VLOOKUP($A457,'AAPT ExDa'!$B$2:$U$99, 15,FALSE), IFERROR(VLOOKUP($A457,'ABB ExDa'!$A$2:$N$184, 4,FALSE), IFERROR(VLOOKUP($A457,'Vocus SIT ExDa'!$B$2:$J$173, 5,FALSE), IFERROR(VLOOKUP($A457,'Telstra ExDa'!$B$2:$K$310, 8,FALSE), IFERROR(VLOOKUP($A457,'Vocus RVC ExDa'!$C$2:$R$155, 6,FALSE), IFERROR(VLOOKUP($A457,'Fusion ExDa'!$B$2:$D$16, 4,FALSE), IFERROR(VLOOKUP($A457,'Exetel ExDa'!$C$2:$N$14, 3,FALSE), IFERROR(VLOOKUP($A457,'Infinet ExDa'!$B$2:$E$14, 3,FALSE), "Not Found"))))))))</f>
        <v>Telstra</v>
      </c>
      <c r="E457" t="str">
        <f>IFERROR(VLOOKUP($A457,'AAPT ExDa'!$B$2:$U$99, 3,FALSE), IFERROR(VLOOKUP($A457,'ABB ExDa'!$A$2:$N$184, 5,FALSE), IFERROR(VLOOKUP($A457,'Vocus SIT ExDa'!$B$2:$J$173, 2,FALSE), IFERROR(VLOOKUP($A457,'Telstra ExDa'!$B$2:$K$310, 4,FALSE), IFERROR(VLOOKUP($A457,'Vocus RVC ExDa'!$C$2:$R$155, 8,FALSE), IFERROR(VLOOKUP($A457,'Fusion ExDa'!$B$2:$D$16, 4,FALSE), IFERROR(VLOOKUP($A457,'Exetel ExDa'!$C$2:$N$14, 5,FALSE), IFERROR(VLOOKUP($A457,'Infinet ExDa'!$B$2:$E$14, 3,FALSE), "Not Found"))))))))</f>
        <v>Standard Speed NBN 25Mbps</v>
      </c>
      <c r="F457" t="str">
        <f>IFERROR(VLOOKUP($A457,'AAPT ExDa'!$B$2:$U$99, 4,FALSE), IFERROR(VLOOKUP($A457,'ABB ExDa'!$A$2:$N$184, 6,FALSE), IFERROR(VLOOKUP($A457,'Vocus SIT ExDa'!$B$2:$J$173, 3,FALSE), IFERROR(VLOOKUP($A457,'Telstra ExDa'!$B$2:$K$310, 5,FALSE), IFERROR(VLOOKUP($A457,'Vocus RVC ExDa'!$C$2:$R$155, 9,FALSE), IFERROR(VLOOKUP($A457,'Fusion ExDa'!$B$2:$D$16, 0,FALSE), IFERROR(VLOOKUP($A457,'Exetel ExDa'!$C$2:$N$14, 6,FALSE), IFERROR(VLOOKUP($A457,'Infinet ExDa'!$B$2:$E$14, 0,FALSE), "Not Found"))))))))</f>
        <v>Core Internet</v>
      </c>
      <c r="G457" t="str">
        <f>IFERROR(VLOOKUP($A457,'AAPT ExDa'!$B$2:$U$99, 5,FALSE), IFERROR(VLOOKUP($A457,'ABB ExDa'!$A$2:$N$184, 8,FALSE), IFERROR(VLOOKUP($A457,'Vocus SIT ExDa'!$B$2:$J$173, 6,FALSE), IFERROR(VLOOKUP($A457,'Telstra ExDa'!$B$2:$K$310, 0,FALSE), IFERROR(VLOOKUP($A457,'Vocus RVC ExDa'!$C$2:$R$155, 15,FALSE), IFERROR(VLOOKUP($A457,'Fusion ExDa'!$B$2:$D$16, 0,FALSE), IFERROR(VLOOKUP($A457,'Exetel ExDa'!$C$2:$N$14, 7,FALSE), IFERROR(VLOOKUP($A457,'Infinet ExDa'!$B$2:$E$14, 0,FALSE), "Not Found"))))))))</f>
        <v>Not Found</v>
      </c>
      <c r="H457" t="str">
        <f>IFERROR(VLOOKUP($A457,'AAPT ExDa'!$B$2:$U$99, 6,FALSE), IFERROR(VLOOKUP($A457,'ABB ExDa'!$A$2:$N$184, 0,FALSE), IFERROR(VLOOKUP($A457,'Vocus SIT ExDa'!$B$2:$J$173, 0,FALSE), IFERROR(VLOOKUP($A457,'Telstra ExDa'!$B$2:$K$310, 0,FALSE), IFERROR(VLOOKUP($A457,'Vocus RVC ExDa'!$C$2:$R$155, 16,FALSE), IFERROR(VLOOKUP($A457,'Fusion ExDa'!$B$2:$D$16, 0,FALSE), IFERROR(VLOOKUP($A457,'Exetel ExDa'!$C$2:$N$14, 0,FALSE), IFERROR(VLOOKUP($A457,'Infinet ExDa'!$B$2:$E$14, 0,FALSE), "Not Found"))))))))</f>
        <v>Not Found</v>
      </c>
      <c r="I457" t="str">
        <f>IFERROR(VLOOKUP($A457,'AAPT ExDa'!$B$2:$U$99, 0,FALSE), IFERROR(VLOOKUP($A457,'ABB ExDa'!$A$2:$N$184, 0,FALSE), IFERROR(VLOOKUP($A457,'Vocus SIT ExDa'!$B$2:$J$173, 0,FALSE), IFERROR(VLOOKUP($A457,'Telstra ExDa'!$B$2:$K$310, 0,FALSE), IFERROR(VLOOKUP($A457,'Vocus RVC ExDa'!$C$2:$R$155, 0,FALSE), IFERROR(VLOOKUP($A457,'Fusion ExDa'!$B$2:$D$16, 0,FALSE), IFERROR(VLOOKUP($A457,'Exetel ExDa'!$C$2:$N$14, 8,FALSE), IFERROR(VLOOKUP($A457,'Infinet ExDa'!$B$2:$E$14, 0,FALSE), "Not Found"))))))))</f>
        <v>Not Found</v>
      </c>
      <c r="J457">
        <f>IFERROR(VLOOKUP($A457,'AAPT ExDa'!$B$2:$U$99, 7,FALSE), IFERROR(VLOOKUP($A457,'ABB ExDa'!$A$2:$N$184, 2,FALSE), IFERROR(VLOOKUP($A457,'Vocus SIT ExDa'!$B$2:$J$173, 0,FALSE), IFERROR(VLOOKUP($A457,'Telstra ExDa'!$B$2:$K$310, 7,FALSE), IFERROR(VLOOKUP($A457,'Vocus RVC ExDa'!$C$2:$R$155, 2,FALSE), IFERROR(VLOOKUP($A457,'Fusion ExDa'!$B$2:$D$16, 3,FALSE), IFERROR(VLOOKUP($A457,'Exetel ExDa'!$C$2:$N$14, 0,FALSE), IFERROR(VLOOKUP($A457,'Infinet ExDa'!$B$2:$E$14, 0,FALSE), "Not Found"))))))))</f>
        <v>0</v>
      </c>
      <c r="K457" t="str">
        <f>IFERROR(VLOOKUP($A457,'AAPT ExDa'!$B$2:$U$99, 12,FALSE), IFERROR(VLOOKUP($A457,'ABB ExDa'!$A$2:$N$184, 0,FALSE), IFERROR(VLOOKUP($A457,'Vocus SIT ExDa'!$B$2:$J$173, 0,FALSE), IFERROR(VLOOKUP($A457,'Telstra ExDa'!$B$2:$K$310, 0,FALSE), IFERROR(VLOOKUP($A457,'Vocus RVC ExDa'!$C$2:$R$155, 0,FALSE), IFERROR(VLOOKUP($A457,'Fusion ExDa'!$B$2:$D$16, 0,FALSE), IFERROR(VLOOKUP($A457,'Exetel ExDa'!$C$2:$N$14, 12,FALSE), IFERROR(VLOOKUP($A457,'Infinet ExDa'!$B$2:$E$14, 0,FALSE), "Not Found"))))))))</f>
        <v>Not Found</v>
      </c>
      <c r="L457" s="235" t="str">
        <f>IFERROR(VLOOKUP($A457,'AAPT ExDa'!$B$2:$U$99, 11,FALSE), IFERROR(VLOOKUP($A457,'ABB ExDa'!$A$2:$N$184, 9,FALSE), IFERROR(VLOOKUP($A457,'Vocus SIT ExDa'!$B$2:$J$173, 8,FALSE), IFERROR(VLOOKUP($A457,'Telstra ExDa'!$B$2:$K$310, 0,FALSE), IFERROR(VLOOKUP($A457,'Vocus RVC ExDa'!$C$2:$R$155, 0,FALSE), IFERROR(VLOOKUP($A457,'Fusion ExDa'!$B$2:$D$16, 0,FALSE), IFERROR(VLOOKUP($A457,'Exetel ExDa'!$C$2:$N$14, 9,FALSE), IFERROR(VLOOKUP($A457,'Infinet ExDa'!$B$2:$E$14, 0,FALSE), "Not Found"))))))))</f>
        <v>Not Found</v>
      </c>
      <c r="M457" s="234" t="str">
        <f>IFERROR(VLOOKUP($A457,'AAPT ExDa'!$B$2:$U$99, 0,FALSE), IFERROR(VLOOKUP($A457,'ABB ExDa'!$A$2:$N$184, 0,FALSE), IFERROR(VLOOKUP($A457,'Vocus SIT ExDa'!$B$2:$J$173, 0,FALSE), IFERROR(VLOOKUP($A457,'Telstra ExDa'!$B$2:$K$310, 0,FALSE), IFERROR(VLOOKUP($A457,'Vocus RVC ExDa'!$C$2:$R$155, 0,FALSE), IFERROR(VLOOKUP($A457,'Fusion ExDa'!$B$2:$D$16, 0,FALSE), IFERROR(VLOOKUP($A457,'Exetel ExDa'!$C$2:$N$14, 11,FALSE), IFERROR(VLOOKUP($A457,'Infinet ExDa'!$B$2:$E$14, 0,FALSE), "Not Found"))))))))</f>
        <v>Not Found</v>
      </c>
      <c r="N457" t="str">
        <f>IFERROR(VLOOKUP($A457,'AAPT ExDa'!$B$2:$U$99, 0,FALSE), IFERROR(VLOOKUP($A457,'ABB ExDa'!$A$2:$N$184, 13,FALSE), IFERROR(VLOOKUP($A457,'Vocus SIT ExDa'!$B$2:$J$173, 0,FALSE), IFERROR(VLOOKUP($A457,'Telstra ExDa'!$B$2:$K$310, 0,FALSE), IFERROR(VLOOKUP($A457,'Vocus RVC ExDa'!$C$2:$R$155, 0,FALSE), IFERROR(VLOOKUP($A457,'Fusion ExDa'!$B$2:$D$16, 0,FALSE), IFERROR(VLOOKUP($A457,'Exetel ExDa'!$C$2:$N$14, 0,FALSE), IFERROR(VLOOKUP($A457,'Infinet ExDa'!$B$2:$E$14, 0,FALSE), "Not Found"))))))))</f>
        <v>Not Found</v>
      </c>
    </row>
    <row r="458" spans="1:14">
      <c r="A458">
        <v>0</v>
      </c>
      <c r="B458" t="str">
        <f>IFERROR(VLOOKUP(A458,'Exetel ExDa'!$C$2:$N$14,4,FALSE),"No Data")</f>
        <v>No Data</v>
      </c>
      <c r="C458" t="str">
        <f>IFERROR(VLOOKUP(A458,'AAPT ExDa'!$B$2:$U$99, 2,FALSE), IFERROR(VLOOKUP(A458,'ABB ExDa'!$A$2:$N$184, 2,FALSE), IFERROR(VLOOKUP(A458,'Vocus SIT ExDa'!$B$2:$J$173, 7,FALSE), IFERROR(VLOOKUP(A458,'Telstra ExDa'!$B$2:$K$310, 2,FALSE), IFERROR(VLOOKUP(A458,'Vocus RVC ExDa'!$C$2:$R$155, 3,FALSE), IFERROR(VLOOKUP(A458,'Fusion ExDa'!$B$2:$D$16, 2,FALSE), IFERROR(VLOOKUP(A458,'Exetel ExDa'!$C$2:$N$14, 2,FALSE), IFERROR(VLOOKUP(A458,'Infinet ExDa'!$B$2:$E$14, 2,FALSE), "Not Found"))))))))</f>
        <v>Not Found</v>
      </c>
      <c r="D458" t="str">
        <f>IFERROR(VLOOKUP($A458,'AAPT ExDa'!$B$2:$U$99, 15,FALSE), IFERROR(VLOOKUP($A458,'ABB ExDa'!$A$2:$N$184, 4,FALSE), IFERROR(VLOOKUP($A458,'Vocus SIT ExDa'!$B$2:$J$173, 5,FALSE), IFERROR(VLOOKUP($A458,'Telstra ExDa'!$B$2:$K$310, 8,FALSE), IFERROR(VLOOKUP($A458,'Vocus RVC ExDa'!$C$2:$R$155, 6,FALSE), IFERROR(VLOOKUP($A458,'Fusion ExDa'!$B$2:$D$16, 4,FALSE), IFERROR(VLOOKUP($A458,'Exetel ExDa'!$C$2:$N$14, 3,FALSE), IFERROR(VLOOKUP($A458,'Infinet ExDa'!$B$2:$E$14, 3,FALSE), "Not Found"))))))))</f>
        <v>Not Found</v>
      </c>
      <c r="E458" t="str">
        <f>IFERROR(VLOOKUP($A458,'AAPT ExDa'!$B$2:$U$99, 3,FALSE), IFERROR(VLOOKUP($A458,'ABB ExDa'!$A$2:$N$184, 5,FALSE), IFERROR(VLOOKUP($A458,'Vocus SIT ExDa'!$B$2:$J$173, 2,FALSE), IFERROR(VLOOKUP($A458,'Telstra ExDa'!$B$2:$K$310, 4,FALSE), IFERROR(VLOOKUP($A458,'Vocus RVC ExDa'!$C$2:$R$155, 8,FALSE), IFERROR(VLOOKUP($A458,'Fusion ExDa'!$B$2:$D$16, 4,FALSE), IFERROR(VLOOKUP($A458,'Exetel ExDa'!$C$2:$N$14, 5,FALSE), IFERROR(VLOOKUP($A458,'Infinet ExDa'!$B$2:$E$14, 3,FALSE), "Not Found"))))))))</f>
        <v>Not Found</v>
      </c>
      <c r="F458" t="str">
        <f>IFERROR(VLOOKUP($A458,'AAPT ExDa'!$B$2:$U$99, 4,FALSE), IFERROR(VLOOKUP($A458,'ABB ExDa'!$A$2:$N$184, 6,FALSE), IFERROR(VLOOKUP($A458,'Vocus SIT ExDa'!$B$2:$J$173, 3,FALSE), IFERROR(VLOOKUP($A458,'Telstra ExDa'!$B$2:$K$310, 5,FALSE), IFERROR(VLOOKUP($A458,'Vocus RVC ExDa'!$C$2:$R$155, 9,FALSE), IFERROR(VLOOKUP($A458,'Fusion ExDa'!$B$2:$D$16, 0,FALSE), IFERROR(VLOOKUP($A458,'Exetel ExDa'!$C$2:$N$14, 6,FALSE), IFERROR(VLOOKUP($A458,'Infinet ExDa'!$B$2:$E$14, 0,FALSE), "Not Found"))))))))</f>
        <v>Not Found</v>
      </c>
      <c r="G458" t="str">
        <f>IFERROR(VLOOKUP($A458,'AAPT ExDa'!$B$2:$U$99, 5,FALSE), IFERROR(VLOOKUP($A458,'ABB ExDa'!$A$2:$N$184, 8,FALSE), IFERROR(VLOOKUP($A458,'Vocus SIT ExDa'!$B$2:$J$173, 6,FALSE), IFERROR(VLOOKUP($A458,'Telstra ExDa'!$B$2:$K$310, 0,FALSE), IFERROR(VLOOKUP($A458,'Vocus RVC ExDa'!$C$2:$R$155, 15,FALSE), IFERROR(VLOOKUP($A458,'Fusion ExDa'!$B$2:$D$16, 0,FALSE), IFERROR(VLOOKUP($A458,'Exetel ExDa'!$C$2:$N$14, 7,FALSE), IFERROR(VLOOKUP($A458,'Infinet ExDa'!$B$2:$E$14, 0,FALSE), "Not Found"))))))))</f>
        <v>Not Found</v>
      </c>
      <c r="H458" t="str">
        <f>IFERROR(VLOOKUP($A458,'AAPT ExDa'!$B$2:$U$99, 6,FALSE), IFERROR(VLOOKUP($A458,'ABB ExDa'!$A$2:$N$184, 0,FALSE), IFERROR(VLOOKUP($A458,'Vocus SIT ExDa'!$B$2:$J$173, 0,FALSE), IFERROR(VLOOKUP($A458,'Telstra ExDa'!$B$2:$K$310, 0,FALSE), IFERROR(VLOOKUP($A458,'Vocus RVC ExDa'!$C$2:$R$155, 16,FALSE), IFERROR(VLOOKUP($A458,'Fusion ExDa'!$B$2:$D$16, 0,FALSE), IFERROR(VLOOKUP($A458,'Exetel ExDa'!$C$2:$N$14, 0,FALSE), IFERROR(VLOOKUP($A458,'Infinet ExDa'!$B$2:$E$14, 0,FALSE), "Not Found"))))))))</f>
        <v>Not Found</v>
      </c>
      <c r="I458" t="str">
        <f>IFERROR(VLOOKUP($A458,'AAPT ExDa'!$B$2:$U$99, 0,FALSE), IFERROR(VLOOKUP($A458,'ABB ExDa'!$A$2:$N$184, 0,FALSE), IFERROR(VLOOKUP($A458,'Vocus SIT ExDa'!$B$2:$J$173, 0,FALSE), IFERROR(VLOOKUP($A458,'Telstra ExDa'!$B$2:$K$310, 0,FALSE), IFERROR(VLOOKUP($A458,'Vocus RVC ExDa'!$C$2:$R$155, 0,FALSE), IFERROR(VLOOKUP($A458,'Fusion ExDa'!$B$2:$D$16, 0,FALSE), IFERROR(VLOOKUP($A458,'Exetel ExDa'!$C$2:$N$14, 8,FALSE), IFERROR(VLOOKUP($A458,'Infinet ExDa'!$B$2:$E$14, 0,FALSE), "Not Found"))))))))</f>
        <v>Not Found</v>
      </c>
      <c r="J458" t="str">
        <f>IFERROR(VLOOKUP($A458,'AAPT ExDa'!$B$2:$U$99, 7,FALSE), IFERROR(VLOOKUP($A458,'ABB ExDa'!$A$2:$N$184, 2,FALSE), IFERROR(VLOOKUP($A458,'Vocus SIT ExDa'!$B$2:$J$173, 0,FALSE), IFERROR(VLOOKUP($A458,'Telstra ExDa'!$B$2:$K$310, 7,FALSE), IFERROR(VLOOKUP($A458,'Vocus RVC ExDa'!$C$2:$R$155, 2,FALSE), IFERROR(VLOOKUP($A458,'Fusion ExDa'!$B$2:$D$16, 3,FALSE), IFERROR(VLOOKUP($A458,'Exetel ExDa'!$C$2:$N$14, 0,FALSE), IFERROR(VLOOKUP($A458,'Infinet ExDa'!$B$2:$E$14, 0,FALSE), "Not Found"))))))))</f>
        <v>Not Found</v>
      </c>
      <c r="K458" t="str">
        <f>IFERROR(VLOOKUP($A458,'AAPT ExDa'!$B$2:$U$99, 12,FALSE), IFERROR(VLOOKUP($A458,'ABB ExDa'!$A$2:$N$184, 0,FALSE), IFERROR(VLOOKUP($A458,'Vocus SIT ExDa'!$B$2:$J$173, 0,FALSE), IFERROR(VLOOKUP($A458,'Telstra ExDa'!$B$2:$K$310, 0,FALSE), IFERROR(VLOOKUP($A458,'Vocus RVC ExDa'!$C$2:$R$155, 0,FALSE), IFERROR(VLOOKUP($A458,'Fusion ExDa'!$B$2:$D$16, 0,FALSE), IFERROR(VLOOKUP($A458,'Exetel ExDa'!$C$2:$N$14, 12,FALSE), IFERROR(VLOOKUP($A458,'Infinet ExDa'!$B$2:$E$14, 0,FALSE), "Not Found"))))))))</f>
        <v>Not Found</v>
      </c>
      <c r="L458" s="235" t="str">
        <f>IFERROR(VLOOKUP($A458,'AAPT ExDa'!$B$2:$U$99, 11,FALSE), IFERROR(VLOOKUP($A458,'ABB ExDa'!$A$2:$N$184, 9,FALSE), IFERROR(VLOOKUP($A458,'Vocus SIT ExDa'!$B$2:$J$173, 8,FALSE), IFERROR(VLOOKUP($A458,'Telstra ExDa'!$B$2:$K$310, 0,FALSE), IFERROR(VLOOKUP($A458,'Vocus RVC ExDa'!$C$2:$R$155, 0,FALSE), IFERROR(VLOOKUP($A458,'Fusion ExDa'!$B$2:$D$16, 0,FALSE), IFERROR(VLOOKUP($A458,'Exetel ExDa'!$C$2:$N$14, 9,FALSE), IFERROR(VLOOKUP($A458,'Infinet ExDa'!$B$2:$E$14, 0,FALSE), "Not Found"))))))))</f>
        <v>Not Found</v>
      </c>
      <c r="M458" s="234" t="str">
        <f>IFERROR(VLOOKUP($A458,'AAPT ExDa'!$B$2:$U$99, 0,FALSE), IFERROR(VLOOKUP($A458,'ABB ExDa'!$A$2:$N$184, 0,FALSE), IFERROR(VLOOKUP($A458,'Vocus SIT ExDa'!$B$2:$J$173, 0,FALSE), IFERROR(VLOOKUP($A458,'Telstra ExDa'!$B$2:$K$310, 0,FALSE), IFERROR(VLOOKUP($A458,'Vocus RVC ExDa'!$C$2:$R$155, 0,FALSE), IFERROR(VLOOKUP($A458,'Fusion ExDa'!$B$2:$D$16, 0,FALSE), IFERROR(VLOOKUP($A458,'Exetel ExDa'!$C$2:$N$14, 11,FALSE), IFERROR(VLOOKUP($A458,'Infinet ExDa'!$B$2:$E$14, 0,FALSE), "Not Found"))))))))</f>
        <v>Not Found</v>
      </c>
      <c r="N458" t="str">
        <f>IFERROR(VLOOKUP($A458,'AAPT ExDa'!$B$2:$U$99, 0,FALSE), IFERROR(VLOOKUP($A458,'ABB ExDa'!$A$2:$N$184, 13,FALSE), IFERROR(VLOOKUP($A458,'Vocus SIT ExDa'!$B$2:$J$173, 0,FALSE), IFERROR(VLOOKUP($A458,'Telstra ExDa'!$B$2:$K$310, 0,FALSE), IFERROR(VLOOKUP($A458,'Vocus RVC ExDa'!$C$2:$R$155, 0,FALSE), IFERROR(VLOOKUP($A458,'Fusion ExDa'!$B$2:$D$16, 0,FALSE), IFERROR(VLOOKUP($A458,'Exetel ExDa'!$C$2:$N$14, 0,FALSE), IFERROR(VLOOKUP($A458,'Infinet ExDa'!$B$2:$E$14, 0,FALSE), "Not Found"))))))))</f>
        <v>Not Found</v>
      </c>
    </row>
    <row r="459" spans="1:14">
      <c r="A459">
        <v>0</v>
      </c>
      <c r="B459" t="str">
        <f>IFERROR(VLOOKUP(A459,'Exetel ExDa'!$C$2:$N$14,4,FALSE),"No Data")</f>
        <v>No Data</v>
      </c>
      <c r="C459" t="str">
        <f>IFERROR(VLOOKUP(A459,'AAPT ExDa'!$B$2:$U$99, 2,FALSE), IFERROR(VLOOKUP(A459,'ABB ExDa'!$A$2:$N$184, 2,FALSE), IFERROR(VLOOKUP(A459,'Vocus SIT ExDa'!$B$2:$J$173, 7,FALSE), IFERROR(VLOOKUP(A459,'Telstra ExDa'!$B$2:$K$310, 2,FALSE), IFERROR(VLOOKUP(A459,'Vocus RVC ExDa'!$C$2:$R$155, 3,FALSE), IFERROR(VLOOKUP(A459,'Fusion ExDa'!$B$2:$D$16, 2,FALSE), IFERROR(VLOOKUP(A459,'Exetel ExDa'!$C$2:$N$14, 2,FALSE), IFERROR(VLOOKUP(A459,'Infinet ExDa'!$B$2:$E$14, 2,FALSE), "Not Found"))))))))</f>
        <v>Not Found</v>
      </c>
      <c r="D459" t="str">
        <f>IFERROR(VLOOKUP($A459,'AAPT ExDa'!$B$2:$U$99, 15,FALSE), IFERROR(VLOOKUP($A459,'ABB ExDa'!$A$2:$N$184, 4,FALSE), IFERROR(VLOOKUP($A459,'Vocus SIT ExDa'!$B$2:$J$173, 5,FALSE), IFERROR(VLOOKUP($A459,'Telstra ExDa'!$B$2:$K$310, 8,FALSE), IFERROR(VLOOKUP($A459,'Vocus RVC ExDa'!$C$2:$R$155, 6,FALSE), IFERROR(VLOOKUP($A459,'Fusion ExDa'!$B$2:$D$16, 4,FALSE), IFERROR(VLOOKUP($A459,'Exetel ExDa'!$C$2:$N$14, 3,FALSE), IFERROR(VLOOKUP($A459,'Infinet ExDa'!$B$2:$E$14, 3,FALSE), "Not Found"))))))))</f>
        <v>Not Found</v>
      </c>
      <c r="E459" t="str">
        <f>IFERROR(VLOOKUP($A459,'AAPT ExDa'!$B$2:$U$99, 3,FALSE), IFERROR(VLOOKUP($A459,'ABB ExDa'!$A$2:$N$184, 5,FALSE), IFERROR(VLOOKUP($A459,'Vocus SIT ExDa'!$B$2:$J$173, 2,FALSE), IFERROR(VLOOKUP($A459,'Telstra ExDa'!$B$2:$K$310, 4,FALSE), IFERROR(VLOOKUP($A459,'Vocus RVC ExDa'!$C$2:$R$155, 8,FALSE), IFERROR(VLOOKUP($A459,'Fusion ExDa'!$B$2:$D$16, 4,FALSE), IFERROR(VLOOKUP($A459,'Exetel ExDa'!$C$2:$N$14, 5,FALSE), IFERROR(VLOOKUP($A459,'Infinet ExDa'!$B$2:$E$14, 3,FALSE), "Not Found"))))))))</f>
        <v>Not Found</v>
      </c>
      <c r="F459" t="str">
        <f>IFERROR(VLOOKUP($A459,'AAPT ExDa'!$B$2:$U$99, 4,FALSE), IFERROR(VLOOKUP($A459,'ABB ExDa'!$A$2:$N$184, 6,FALSE), IFERROR(VLOOKUP($A459,'Vocus SIT ExDa'!$B$2:$J$173, 3,FALSE), IFERROR(VLOOKUP($A459,'Telstra ExDa'!$B$2:$K$310, 5,FALSE), IFERROR(VLOOKUP($A459,'Vocus RVC ExDa'!$C$2:$R$155, 9,FALSE), IFERROR(VLOOKUP($A459,'Fusion ExDa'!$B$2:$D$16, 0,FALSE), IFERROR(VLOOKUP($A459,'Exetel ExDa'!$C$2:$N$14, 6,FALSE), IFERROR(VLOOKUP($A459,'Infinet ExDa'!$B$2:$E$14, 0,FALSE), "Not Found"))))))))</f>
        <v>Not Found</v>
      </c>
      <c r="G459" t="str">
        <f>IFERROR(VLOOKUP($A459,'AAPT ExDa'!$B$2:$U$99, 5,FALSE), IFERROR(VLOOKUP($A459,'ABB ExDa'!$A$2:$N$184, 8,FALSE), IFERROR(VLOOKUP($A459,'Vocus SIT ExDa'!$B$2:$J$173, 6,FALSE), IFERROR(VLOOKUP($A459,'Telstra ExDa'!$B$2:$K$310, 0,FALSE), IFERROR(VLOOKUP($A459,'Vocus RVC ExDa'!$C$2:$R$155, 15,FALSE), IFERROR(VLOOKUP($A459,'Fusion ExDa'!$B$2:$D$16, 0,FALSE), IFERROR(VLOOKUP($A459,'Exetel ExDa'!$C$2:$N$14, 7,FALSE), IFERROR(VLOOKUP($A459,'Infinet ExDa'!$B$2:$E$14, 0,FALSE), "Not Found"))))))))</f>
        <v>Not Found</v>
      </c>
      <c r="H459" t="str">
        <f>IFERROR(VLOOKUP($A459,'AAPT ExDa'!$B$2:$U$99, 6,FALSE), IFERROR(VLOOKUP($A459,'ABB ExDa'!$A$2:$N$184, 0,FALSE), IFERROR(VLOOKUP($A459,'Vocus SIT ExDa'!$B$2:$J$173, 0,FALSE), IFERROR(VLOOKUP($A459,'Telstra ExDa'!$B$2:$K$310, 0,FALSE), IFERROR(VLOOKUP($A459,'Vocus RVC ExDa'!$C$2:$R$155, 16,FALSE), IFERROR(VLOOKUP($A459,'Fusion ExDa'!$B$2:$D$16, 0,FALSE), IFERROR(VLOOKUP($A459,'Exetel ExDa'!$C$2:$N$14, 0,FALSE), IFERROR(VLOOKUP($A459,'Infinet ExDa'!$B$2:$E$14, 0,FALSE), "Not Found"))))))))</f>
        <v>Not Found</v>
      </c>
      <c r="I459" t="str">
        <f>IFERROR(VLOOKUP($A459,'AAPT ExDa'!$B$2:$U$99, 0,FALSE), IFERROR(VLOOKUP($A459,'ABB ExDa'!$A$2:$N$184, 0,FALSE), IFERROR(VLOOKUP($A459,'Vocus SIT ExDa'!$B$2:$J$173, 0,FALSE), IFERROR(VLOOKUP($A459,'Telstra ExDa'!$B$2:$K$310, 0,FALSE), IFERROR(VLOOKUP($A459,'Vocus RVC ExDa'!$C$2:$R$155, 0,FALSE), IFERROR(VLOOKUP($A459,'Fusion ExDa'!$B$2:$D$16, 0,FALSE), IFERROR(VLOOKUP($A459,'Exetel ExDa'!$C$2:$N$14, 8,FALSE), IFERROR(VLOOKUP($A459,'Infinet ExDa'!$B$2:$E$14, 0,FALSE), "Not Found"))))))))</f>
        <v>Not Found</v>
      </c>
      <c r="J459" t="str">
        <f>IFERROR(VLOOKUP($A459,'AAPT ExDa'!$B$2:$U$99, 7,FALSE), IFERROR(VLOOKUP($A459,'ABB ExDa'!$A$2:$N$184, 2,FALSE), IFERROR(VLOOKUP($A459,'Vocus SIT ExDa'!$B$2:$J$173, 0,FALSE), IFERROR(VLOOKUP($A459,'Telstra ExDa'!$B$2:$K$310, 7,FALSE), IFERROR(VLOOKUP($A459,'Vocus RVC ExDa'!$C$2:$R$155, 2,FALSE), IFERROR(VLOOKUP($A459,'Fusion ExDa'!$B$2:$D$16, 3,FALSE), IFERROR(VLOOKUP($A459,'Exetel ExDa'!$C$2:$N$14, 0,FALSE), IFERROR(VLOOKUP($A459,'Infinet ExDa'!$B$2:$E$14, 0,FALSE), "Not Found"))))))))</f>
        <v>Not Found</v>
      </c>
      <c r="K459" t="str">
        <f>IFERROR(VLOOKUP($A459,'AAPT ExDa'!$B$2:$U$99, 12,FALSE), IFERROR(VLOOKUP($A459,'ABB ExDa'!$A$2:$N$184, 0,FALSE), IFERROR(VLOOKUP($A459,'Vocus SIT ExDa'!$B$2:$J$173, 0,FALSE), IFERROR(VLOOKUP($A459,'Telstra ExDa'!$B$2:$K$310, 0,FALSE), IFERROR(VLOOKUP($A459,'Vocus RVC ExDa'!$C$2:$R$155, 0,FALSE), IFERROR(VLOOKUP($A459,'Fusion ExDa'!$B$2:$D$16, 0,FALSE), IFERROR(VLOOKUP($A459,'Exetel ExDa'!$C$2:$N$14, 12,FALSE), IFERROR(VLOOKUP($A459,'Infinet ExDa'!$B$2:$E$14, 0,FALSE), "Not Found"))))))))</f>
        <v>Not Found</v>
      </c>
      <c r="L459" s="235" t="str">
        <f>IFERROR(VLOOKUP($A459,'AAPT ExDa'!$B$2:$U$99, 11,FALSE), IFERROR(VLOOKUP($A459,'ABB ExDa'!$A$2:$N$184, 9,FALSE), IFERROR(VLOOKUP($A459,'Vocus SIT ExDa'!$B$2:$J$173, 8,FALSE), IFERROR(VLOOKUP($A459,'Telstra ExDa'!$B$2:$K$310, 0,FALSE), IFERROR(VLOOKUP($A459,'Vocus RVC ExDa'!$C$2:$R$155, 0,FALSE), IFERROR(VLOOKUP($A459,'Fusion ExDa'!$B$2:$D$16, 0,FALSE), IFERROR(VLOOKUP($A459,'Exetel ExDa'!$C$2:$N$14, 9,FALSE), IFERROR(VLOOKUP($A459,'Infinet ExDa'!$B$2:$E$14, 0,FALSE), "Not Found"))))))))</f>
        <v>Not Found</v>
      </c>
      <c r="M459" s="234" t="str">
        <f>IFERROR(VLOOKUP($A459,'AAPT ExDa'!$B$2:$U$99, 0,FALSE), IFERROR(VLOOKUP($A459,'ABB ExDa'!$A$2:$N$184, 0,FALSE), IFERROR(VLOOKUP($A459,'Vocus SIT ExDa'!$B$2:$J$173, 0,FALSE), IFERROR(VLOOKUP($A459,'Telstra ExDa'!$B$2:$K$310, 0,FALSE), IFERROR(VLOOKUP($A459,'Vocus RVC ExDa'!$C$2:$R$155, 0,FALSE), IFERROR(VLOOKUP($A459,'Fusion ExDa'!$B$2:$D$16, 0,FALSE), IFERROR(VLOOKUP($A459,'Exetel ExDa'!$C$2:$N$14, 11,FALSE), IFERROR(VLOOKUP($A459,'Infinet ExDa'!$B$2:$E$14, 0,FALSE), "Not Found"))))))))</f>
        <v>Not Found</v>
      </c>
      <c r="N459" t="str">
        <f>IFERROR(VLOOKUP($A459,'AAPT ExDa'!$B$2:$U$99, 0,FALSE), IFERROR(VLOOKUP($A459,'ABB ExDa'!$A$2:$N$184, 13,FALSE), IFERROR(VLOOKUP($A459,'Vocus SIT ExDa'!$B$2:$J$173, 0,FALSE), IFERROR(VLOOKUP($A459,'Telstra ExDa'!$B$2:$K$310, 0,FALSE), IFERROR(VLOOKUP($A459,'Vocus RVC ExDa'!$C$2:$R$155, 0,FALSE), IFERROR(VLOOKUP($A459,'Fusion ExDa'!$B$2:$D$16, 0,FALSE), IFERROR(VLOOKUP($A459,'Exetel ExDa'!$C$2:$N$14, 0,FALSE), IFERROR(VLOOKUP($A459,'Infinet ExDa'!$B$2:$E$14, 0,FALSE), "Not Found"))))))))</f>
        <v>Not Found</v>
      </c>
    </row>
    <row r="460" spans="1:14">
      <c r="A460">
        <v>0</v>
      </c>
      <c r="B460" t="str">
        <f>IFERROR(VLOOKUP(A460,'Exetel ExDa'!$C$2:$N$14,4,FALSE),"No Data")</f>
        <v>No Data</v>
      </c>
      <c r="C460" t="str">
        <f>IFERROR(VLOOKUP(A460,'AAPT ExDa'!$B$2:$U$99, 2,FALSE), IFERROR(VLOOKUP(A460,'ABB ExDa'!$A$2:$N$184, 2,FALSE), IFERROR(VLOOKUP(A460,'Vocus SIT ExDa'!$B$2:$J$173, 7,FALSE), IFERROR(VLOOKUP(A460,'Telstra ExDa'!$B$2:$K$310, 2,FALSE), IFERROR(VLOOKUP(A460,'Vocus RVC ExDa'!$C$2:$R$155, 3,FALSE), IFERROR(VLOOKUP(A460,'Fusion ExDa'!$B$2:$D$16, 2,FALSE), IFERROR(VLOOKUP(A460,'Exetel ExDa'!$C$2:$N$14, 2,FALSE), IFERROR(VLOOKUP(A460,'Infinet ExDa'!$B$2:$E$14, 2,FALSE), "Not Found"))))))))</f>
        <v>Not Found</v>
      </c>
      <c r="D460" t="str">
        <f>IFERROR(VLOOKUP($A460,'AAPT ExDa'!$B$2:$U$99, 15,FALSE), IFERROR(VLOOKUP($A460,'ABB ExDa'!$A$2:$N$184, 4,FALSE), IFERROR(VLOOKUP($A460,'Vocus SIT ExDa'!$B$2:$J$173, 5,FALSE), IFERROR(VLOOKUP($A460,'Telstra ExDa'!$B$2:$K$310, 8,FALSE), IFERROR(VLOOKUP($A460,'Vocus RVC ExDa'!$C$2:$R$155, 6,FALSE), IFERROR(VLOOKUP($A460,'Fusion ExDa'!$B$2:$D$16, 4,FALSE), IFERROR(VLOOKUP($A460,'Exetel ExDa'!$C$2:$N$14, 3,FALSE), IFERROR(VLOOKUP($A460,'Infinet ExDa'!$B$2:$E$14, 3,FALSE), "Not Found"))))))))</f>
        <v>Not Found</v>
      </c>
      <c r="E460" t="str">
        <f>IFERROR(VLOOKUP($A460,'AAPT ExDa'!$B$2:$U$99, 3,FALSE), IFERROR(VLOOKUP($A460,'ABB ExDa'!$A$2:$N$184, 5,FALSE), IFERROR(VLOOKUP($A460,'Vocus SIT ExDa'!$B$2:$J$173, 2,FALSE), IFERROR(VLOOKUP($A460,'Telstra ExDa'!$B$2:$K$310, 4,FALSE), IFERROR(VLOOKUP($A460,'Vocus RVC ExDa'!$C$2:$R$155, 8,FALSE), IFERROR(VLOOKUP($A460,'Fusion ExDa'!$B$2:$D$16, 4,FALSE), IFERROR(VLOOKUP($A460,'Exetel ExDa'!$C$2:$N$14, 5,FALSE), IFERROR(VLOOKUP($A460,'Infinet ExDa'!$B$2:$E$14, 3,FALSE), "Not Found"))))))))</f>
        <v>Not Found</v>
      </c>
      <c r="F460" t="str">
        <f>IFERROR(VLOOKUP($A460,'AAPT ExDa'!$B$2:$U$99, 4,FALSE), IFERROR(VLOOKUP($A460,'ABB ExDa'!$A$2:$N$184, 6,FALSE), IFERROR(VLOOKUP($A460,'Vocus SIT ExDa'!$B$2:$J$173, 3,FALSE), IFERROR(VLOOKUP($A460,'Telstra ExDa'!$B$2:$K$310, 5,FALSE), IFERROR(VLOOKUP($A460,'Vocus RVC ExDa'!$C$2:$R$155, 9,FALSE), IFERROR(VLOOKUP($A460,'Fusion ExDa'!$B$2:$D$16, 0,FALSE), IFERROR(VLOOKUP($A460,'Exetel ExDa'!$C$2:$N$14, 6,FALSE), IFERROR(VLOOKUP($A460,'Infinet ExDa'!$B$2:$E$14, 0,FALSE), "Not Found"))))))))</f>
        <v>Not Found</v>
      </c>
      <c r="G460" t="str">
        <f>IFERROR(VLOOKUP($A460,'AAPT ExDa'!$B$2:$U$99, 5,FALSE), IFERROR(VLOOKUP($A460,'ABB ExDa'!$A$2:$N$184, 8,FALSE), IFERROR(VLOOKUP($A460,'Vocus SIT ExDa'!$B$2:$J$173, 6,FALSE), IFERROR(VLOOKUP($A460,'Telstra ExDa'!$B$2:$K$310, 0,FALSE), IFERROR(VLOOKUP($A460,'Vocus RVC ExDa'!$C$2:$R$155, 15,FALSE), IFERROR(VLOOKUP($A460,'Fusion ExDa'!$B$2:$D$16, 0,FALSE), IFERROR(VLOOKUP($A460,'Exetel ExDa'!$C$2:$N$14, 7,FALSE), IFERROR(VLOOKUP($A460,'Infinet ExDa'!$B$2:$E$14, 0,FALSE), "Not Found"))))))))</f>
        <v>Not Found</v>
      </c>
      <c r="H460" t="str">
        <f>IFERROR(VLOOKUP($A460,'AAPT ExDa'!$B$2:$U$99, 6,FALSE), IFERROR(VLOOKUP($A460,'ABB ExDa'!$A$2:$N$184, 0,FALSE), IFERROR(VLOOKUP($A460,'Vocus SIT ExDa'!$B$2:$J$173, 0,FALSE), IFERROR(VLOOKUP($A460,'Telstra ExDa'!$B$2:$K$310, 0,FALSE), IFERROR(VLOOKUP($A460,'Vocus RVC ExDa'!$C$2:$R$155, 16,FALSE), IFERROR(VLOOKUP($A460,'Fusion ExDa'!$B$2:$D$16, 0,FALSE), IFERROR(VLOOKUP($A460,'Exetel ExDa'!$C$2:$N$14, 0,FALSE), IFERROR(VLOOKUP($A460,'Infinet ExDa'!$B$2:$E$14, 0,FALSE), "Not Found"))))))))</f>
        <v>Not Found</v>
      </c>
      <c r="I460" t="str">
        <f>IFERROR(VLOOKUP($A460,'AAPT ExDa'!$B$2:$U$99, 0,FALSE), IFERROR(VLOOKUP($A460,'ABB ExDa'!$A$2:$N$184, 0,FALSE), IFERROR(VLOOKUP($A460,'Vocus SIT ExDa'!$B$2:$J$173, 0,FALSE), IFERROR(VLOOKUP($A460,'Telstra ExDa'!$B$2:$K$310, 0,FALSE), IFERROR(VLOOKUP($A460,'Vocus RVC ExDa'!$C$2:$R$155, 0,FALSE), IFERROR(VLOOKUP($A460,'Fusion ExDa'!$B$2:$D$16, 0,FALSE), IFERROR(VLOOKUP($A460,'Exetel ExDa'!$C$2:$N$14, 8,FALSE), IFERROR(VLOOKUP($A460,'Infinet ExDa'!$B$2:$E$14, 0,FALSE), "Not Found"))))))))</f>
        <v>Not Found</v>
      </c>
      <c r="J460" t="str">
        <f>IFERROR(VLOOKUP($A460,'AAPT ExDa'!$B$2:$U$99, 7,FALSE), IFERROR(VLOOKUP($A460,'ABB ExDa'!$A$2:$N$184, 2,FALSE), IFERROR(VLOOKUP($A460,'Vocus SIT ExDa'!$B$2:$J$173, 0,FALSE), IFERROR(VLOOKUP($A460,'Telstra ExDa'!$B$2:$K$310, 7,FALSE), IFERROR(VLOOKUP($A460,'Vocus RVC ExDa'!$C$2:$R$155, 2,FALSE), IFERROR(VLOOKUP($A460,'Fusion ExDa'!$B$2:$D$16, 3,FALSE), IFERROR(VLOOKUP($A460,'Exetel ExDa'!$C$2:$N$14, 0,FALSE), IFERROR(VLOOKUP($A460,'Infinet ExDa'!$B$2:$E$14, 0,FALSE), "Not Found"))))))))</f>
        <v>Not Found</v>
      </c>
      <c r="K460" t="str">
        <f>IFERROR(VLOOKUP($A460,'AAPT ExDa'!$B$2:$U$99, 12,FALSE), IFERROR(VLOOKUP($A460,'ABB ExDa'!$A$2:$N$184, 0,FALSE), IFERROR(VLOOKUP($A460,'Vocus SIT ExDa'!$B$2:$J$173, 0,FALSE), IFERROR(VLOOKUP($A460,'Telstra ExDa'!$B$2:$K$310, 0,FALSE), IFERROR(VLOOKUP($A460,'Vocus RVC ExDa'!$C$2:$R$155, 0,FALSE), IFERROR(VLOOKUP($A460,'Fusion ExDa'!$B$2:$D$16, 0,FALSE), IFERROR(VLOOKUP($A460,'Exetel ExDa'!$C$2:$N$14, 12,FALSE), IFERROR(VLOOKUP($A460,'Infinet ExDa'!$B$2:$E$14, 0,FALSE), "Not Found"))))))))</f>
        <v>Not Found</v>
      </c>
      <c r="L460" s="235" t="str">
        <f>IFERROR(VLOOKUP($A460,'AAPT ExDa'!$B$2:$U$99, 11,FALSE), IFERROR(VLOOKUP($A460,'ABB ExDa'!$A$2:$N$184, 9,FALSE), IFERROR(VLOOKUP($A460,'Vocus SIT ExDa'!$B$2:$J$173, 8,FALSE), IFERROR(VLOOKUP($A460,'Telstra ExDa'!$B$2:$K$310, 0,FALSE), IFERROR(VLOOKUP($A460,'Vocus RVC ExDa'!$C$2:$R$155, 0,FALSE), IFERROR(VLOOKUP($A460,'Fusion ExDa'!$B$2:$D$16, 0,FALSE), IFERROR(VLOOKUP($A460,'Exetel ExDa'!$C$2:$N$14, 9,FALSE), IFERROR(VLOOKUP($A460,'Infinet ExDa'!$B$2:$E$14, 0,FALSE), "Not Found"))))))))</f>
        <v>Not Found</v>
      </c>
      <c r="M460" s="234" t="str">
        <f>IFERROR(VLOOKUP($A460,'AAPT ExDa'!$B$2:$U$99, 0,FALSE), IFERROR(VLOOKUP($A460,'ABB ExDa'!$A$2:$N$184, 0,FALSE), IFERROR(VLOOKUP($A460,'Vocus SIT ExDa'!$B$2:$J$173, 0,FALSE), IFERROR(VLOOKUP($A460,'Telstra ExDa'!$B$2:$K$310, 0,FALSE), IFERROR(VLOOKUP($A460,'Vocus RVC ExDa'!$C$2:$R$155, 0,FALSE), IFERROR(VLOOKUP($A460,'Fusion ExDa'!$B$2:$D$16, 0,FALSE), IFERROR(VLOOKUP($A460,'Exetel ExDa'!$C$2:$N$14, 11,FALSE), IFERROR(VLOOKUP($A460,'Infinet ExDa'!$B$2:$E$14, 0,FALSE), "Not Found"))))))))</f>
        <v>Not Found</v>
      </c>
      <c r="N460" t="str">
        <f>IFERROR(VLOOKUP($A460,'AAPT ExDa'!$B$2:$U$99, 0,FALSE), IFERROR(VLOOKUP($A460,'ABB ExDa'!$A$2:$N$184, 13,FALSE), IFERROR(VLOOKUP($A460,'Vocus SIT ExDa'!$B$2:$J$173, 0,FALSE), IFERROR(VLOOKUP($A460,'Telstra ExDa'!$B$2:$K$310, 0,FALSE), IFERROR(VLOOKUP($A460,'Vocus RVC ExDa'!$C$2:$R$155, 0,FALSE), IFERROR(VLOOKUP($A460,'Fusion ExDa'!$B$2:$D$16, 0,FALSE), IFERROR(VLOOKUP($A460,'Exetel ExDa'!$C$2:$N$14, 0,FALSE), IFERROR(VLOOKUP($A460,'Infinet ExDa'!$B$2:$E$14, 0,FALSE), "Not Found"))))))))</f>
        <v>Not Found</v>
      </c>
    </row>
    <row r="461" spans="1:14">
      <c r="A461">
        <v>0</v>
      </c>
      <c r="B461" t="str">
        <f>IFERROR(VLOOKUP(A461,'Exetel ExDa'!$C$2:$N$14,4,FALSE),"No Data")</f>
        <v>No Data</v>
      </c>
      <c r="C461" t="str">
        <f>IFERROR(VLOOKUP(A461,'AAPT ExDa'!$B$2:$U$99, 2,FALSE), IFERROR(VLOOKUP(A461,'ABB ExDa'!$A$2:$N$184, 2,FALSE), IFERROR(VLOOKUP(A461,'Vocus SIT ExDa'!$B$2:$J$173, 7,FALSE), IFERROR(VLOOKUP(A461,'Telstra ExDa'!$B$2:$K$310, 2,FALSE), IFERROR(VLOOKUP(A461,'Vocus RVC ExDa'!$C$2:$R$155, 3,FALSE), IFERROR(VLOOKUP(A461,'Fusion ExDa'!$B$2:$D$16, 2,FALSE), IFERROR(VLOOKUP(A461,'Exetel ExDa'!$C$2:$N$14, 2,FALSE), IFERROR(VLOOKUP(A461,'Infinet ExDa'!$B$2:$E$14, 2,FALSE), "Not Found"))))))))</f>
        <v>Not Found</v>
      </c>
      <c r="D461" t="str">
        <f>IFERROR(VLOOKUP($A461,'AAPT ExDa'!$B$2:$U$99, 15,FALSE), IFERROR(VLOOKUP($A461,'ABB ExDa'!$A$2:$N$184, 4,FALSE), IFERROR(VLOOKUP($A461,'Vocus SIT ExDa'!$B$2:$J$173, 5,FALSE), IFERROR(VLOOKUP($A461,'Telstra ExDa'!$B$2:$K$310, 8,FALSE), IFERROR(VLOOKUP($A461,'Vocus RVC ExDa'!$C$2:$R$155, 6,FALSE), IFERROR(VLOOKUP($A461,'Fusion ExDa'!$B$2:$D$16, 4,FALSE), IFERROR(VLOOKUP($A461,'Exetel ExDa'!$C$2:$N$14, 3,FALSE), IFERROR(VLOOKUP($A461,'Infinet ExDa'!$B$2:$E$14, 3,FALSE), "Not Found"))))))))</f>
        <v>Not Found</v>
      </c>
      <c r="E461" t="str">
        <f>IFERROR(VLOOKUP($A461,'AAPT ExDa'!$B$2:$U$99, 3,FALSE), IFERROR(VLOOKUP($A461,'ABB ExDa'!$A$2:$N$184, 5,FALSE), IFERROR(VLOOKUP($A461,'Vocus SIT ExDa'!$B$2:$J$173, 2,FALSE), IFERROR(VLOOKUP($A461,'Telstra ExDa'!$B$2:$K$310, 4,FALSE), IFERROR(VLOOKUP($A461,'Vocus RVC ExDa'!$C$2:$R$155, 8,FALSE), IFERROR(VLOOKUP($A461,'Fusion ExDa'!$B$2:$D$16, 4,FALSE), IFERROR(VLOOKUP($A461,'Exetel ExDa'!$C$2:$N$14, 5,FALSE), IFERROR(VLOOKUP($A461,'Infinet ExDa'!$B$2:$E$14, 3,FALSE), "Not Found"))))))))</f>
        <v>Not Found</v>
      </c>
      <c r="F461" t="str">
        <f>IFERROR(VLOOKUP($A461,'AAPT ExDa'!$B$2:$U$99, 4,FALSE), IFERROR(VLOOKUP($A461,'ABB ExDa'!$A$2:$N$184, 6,FALSE), IFERROR(VLOOKUP($A461,'Vocus SIT ExDa'!$B$2:$J$173, 3,FALSE), IFERROR(VLOOKUP($A461,'Telstra ExDa'!$B$2:$K$310, 5,FALSE), IFERROR(VLOOKUP($A461,'Vocus RVC ExDa'!$C$2:$R$155, 9,FALSE), IFERROR(VLOOKUP($A461,'Fusion ExDa'!$B$2:$D$16, 0,FALSE), IFERROR(VLOOKUP($A461,'Exetel ExDa'!$C$2:$N$14, 6,FALSE), IFERROR(VLOOKUP($A461,'Infinet ExDa'!$B$2:$E$14, 0,FALSE), "Not Found"))))))))</f>
        <v>Not Found</v>
      </c>
      <c r="G461" t="str">
        <f>IFERROR(VLOOKUP($A461,'AAPT ExDa'!$B$2:$U$99, 5,FALSE), IFERROR(VLOOKUP($A461,'ABB ExDa'!$A$2:$N$184, 8,FALSE), IFERROR(VLOOKUP($A461,'Vocus SIT ExDa'!$B$2:$J$173, 6,FALSE), IFERROR(VLOOKUP($A461,'Telstra ExDa'!$B$2:$K$310, 0,FALSE), IFERROR(VLOOKUP($A461,'Vocus RVC ExDa'!$C$2:$R$155, 15,FALSE), IFERROR(VLOOKUP($A461,'Fusion ExDa'!$B$2:$D$16, 0,FALSE), IFERROR(VLOOKUP($A461,'Exetel ExDa'!$C$2:$N$14, 7,FALSE), IFERROR(VLOOKUP($A461,'Infinet ExDa'!$B$2:$E$14, 0,FALSE), "Not Found"))))))))</f>
        <v>Not Found</v>
      </c>
      <c r="H461" t="str">
        <f>IFERROR(VLOOKUP($A461,'AAPT ExDa'!$B$2:$U$99, 6,FALSE), IFERROR(VLOOKUP($A461,'ABB ExDa'!$A$2:$N$184, 0,FALSE), IFERROR(VLOOKUP($A461,'Vocus SIT ExDa'!$B$2:$J$173, 0,FALSE), IFERROR(VLOOKUP($A461,'Telstra ExDa'!$B$2:$K$310, 0,FALSE), IFERROR(VLOOKUP($A461,'Vocus RVC ExDa'!$C$2:$R$155, 16,FALSE), IFERROR(VLOOKUP($A461,'Fusion ExDa'!$B$2:$D$16, 0,FALSE), IFERROR(VLOOKUP($A461,'Exetel ExDa'!$C$2:$N$14, 0,FALSE), IFERROR(VLOOKUP($A461,'Infinet ExDa'!$B$2:$E$14, 0,FALSE), "Not Found"))))))))</f>
        <v>Not Found</v>
      </c>
      <c r="I461" t="str">
        <f>IFERROR(VLOOKUP($A461,'AAPT ExDa'!$B$2:$U$99, 0,FALSE), IFERROR(VLOOKUP($A461,'ABB ExDa'!$A$2:$N$184, 0,FALSE), IFERROR(VLOOKUP($A461,'Vocus SIT ExDa'!$B$2:$J$173, 0,FALSE), IFERROR(VLOOKUP($A461,'Telstra ExDa'!$B$2:$K$310, 0,FALSE), IFERROR(VLOOKUP($A461,'Vocus RVC ExDa'!$C$2:$R$155, 0,FALSE), IFERROR(VLOOKUP($A461,'Fusion ExDa'!$B$2:$D$16, 0,FALSE), IFERROR(VLOOKUP($A461,'Exetel ExDa'!$C$2:$N$14, 8,FALSE), IFERROR(VLOOKUP($A461,'Infinet ExDa'!$B$2:$E$14, 0,FALSE), "Not Found"))))))))</f>
        <v>Not Found</v>
      </c>
      <c r="J461" t="str">
        <f>IFERROR(VLOOKUP($A461,'AAPT ExDa'!$B$2:$U$99, 7,FALSE), IFERROR(VLOOKUP($A461,'ABB ExDa'!$A$2:$N$184, 2,FALSE), IFERROR(VLOOKUP($A461,'Vocus SIT ExDa'!$B$2:$J$173, 0,FALSE), IFERROR(VLOOKUP($A461,'Telstra ExDa'!$B$2:$K$310, 7,FALSE), IFERROR(VLOOKUP($A461,'Vocus RVC ExDa'!$C$2:$R$155, 2,FALSE), IFERROR(VLOOKUP($A461,'Fusion ExDa'!$B$2:$D$16, 3,FALSE), IFERROR(VLOOKUP($A461,'Exetel ExDa'!$C$2:$N$14, 0,FALSE), IFERROR(VLOOKUP($A461,'Infinet ExDa'!$B$2:$E$14, 0,FALSE), "Not Found"))))))))</f>
        <v>Not Found</v>
      </c>
      <c r="K461" t="str">
        <f>IFERROR(VLOOKUP($A461,'AAPT ExDa'!$B$2:$U$99, 12,FALSE), IFERROR(VLOOKUP($A461,'ABB ExDa'!$A$2:$N$184, 0,FALSE), IFERROR(VLOOKUP($A461,'Vocus SIT ExDa'!$B$2:$J$173, 0,FALSE), IFERROR(VLOOKUP($A461,'Telstra ExDa'!$B$2:$K$310, 0,FALSE), IFERROR(VLOOKUP($A461,'Vocus RVC ExDa'!$C$2:$R$155, 0,FALSE), IFERROR(VLOOKUP($A461,'Fusion ExDa'!$B$2:$D$16, 0,FALSE), IFERROR(VLOOKUP($A461,'Exetel ExDa'!$C$2:$N$14, 12,FALSE), IFERROR(VLOOKUP($A461,'Infinet ExDa'!$B$2:$E$14, 0,FALSE), "Not Found"))))))))</f>
        <v>Not Found</v>
      </c>
      <c r="L461" s="235" t="str">
        <f>IFERROR(VLOOKUP($A461,'AAPT ExDa'!$B$2:$U$99, 11,FALSE), IFERROR(VLOOKUP($A461,'ABB ExDa'!$A$2:$N$184, 9,FALSE), IFERROR(VLOOKUP($A461,'Vocus SIT ExDa'!$B$2:$J$173, 8,FALSE), IFERROR(VLOOKUP($A461,'Telstra ExDa'!$B$2:$K$310, 0,FALSE), IFERROR(VLOOKUP($A461,'Vocus RVC ExDa'!$C$2:$R$155, 0,FALSE), IFERROR(VLOOKUP($A461,'Fusion ExDa'!$B$2:$D$16, 0,FALSE), IFERROR(VLOOKUP($A461,'Exetel ExDa'!$C$2:$N$14, 9,FALSE), IFERROR(VLOOKUP($A461,'Infinet ExDa'!$B$2:$E$14, 0,FALSE), "Not Found"))))))))</f>
        <v>Not Found</v>
      </c>
      <c r="M461" s="234" t="str">
        <f>IFERROR(VLOOKUP($A461,'AAPT ExDa'!$B$2:$U$99, 0,FALSE), IFERROR(VLOOKUP($A461,'ABB ExDa'!$A$2:$N$184, 0,FALSE), IFERROR(VLOOKUP($A461,'Vocus SIT ExDa'!$B$2:$J$173, 0,FALSE), IFERROR(VLOOKUP($A461,'Telstra ExDa'!$B$2:$K$310, 0,FALSE), IFERROR(VLOOKUP($A461,'Vocus RVC ExDa'!$C$2:$R$155, 0,FALSE), IFERROR(VLOOKUP($A461,'Fusion ExDa'!$B$2:$D$16, 0,FALSE), IFERROR(VLOOKUP($A461,'Exetel ExDa'!$C$2:$N$14, 11,FALSE), IFERROR(VLOOKUP($A461,'Infinet ExDa'!$B$2:$E$14, 0,FALSE), "Not Found"))))))))</f>
        <v>Not Found</v>
      </c>
      <c r="N461" t="str">
        <f>IFERROR(VLOOKUP($A461,'AAPT ExDa'!$B$2:$U$99, 0,FALSE), IFERROR(VLOOKUP($A461,'ABB ExDa'!$A$2:$N$184, 13,FALSE), IFERROR(VLOOKUP($A461,'Vocus SIT ExDa'!$B$2:$J$173, 0,FALSE), IFERROR(VLOOKUP($A461,'Telstra ExDa'!$B$2:$K$310, 0,FALSE), IFERROR(VLOOKUP($A461,'Vocus RVC ExDa'!$C$2:$R$155, 0,FALSE), IFERROR(VLOOKUP($A461,'Fusion ExDa'!$B$2:$D$16, 0,FALSE), IFERROR(VLOOKUP($A461,'Exetel ExDa'!$C$2:$N$14, 0,FALSE), IFERROR(VLOOKUP($A461,'Infinet ExDa'!$B$2:$E$14, 0,FALSE), "Not Found"))))))))</f>
        <v>Not Found</v>
      </c>
    </row>
    <row r="462" spans="1:14">
      <c r="A462">
        <v>0</v>
      </c>
      <c r="B462" t="str">
        <f>IFERROR(VLOOKUP(A462,'Exetel ExDa'!$C$2:$N$14,4,FALSE),"No Data")</f>
        <v>No Data</v>
      </c>
      <c r="C462" t="str">
        <f>IFERROR(VLOOKUP(A462,'AAPT ExDa'!$B$2:$U$99, 2,FALSE), IFERROR(VLOOKUP(A462,'ABB ExDa'!$A$2:$N$184, 2,FALSE), IFERROR(VLOOKUP(A462,'Vocus SIT ExDa'!$B$2:$J$173, 7,FALSE), IFERROR(VLOOKUP(A462,'Telstra ExDa'!$B$2:$K$310, 2,FALSE), IFERROR(VLOOKUP(A462,'Vocus RVC ExDa'!$C$2:$R$155, 3,FALSE), IFERROR(VLOOKUP(A462,'Fusion ExDa'!$B$2:$D$16, 2,FALSE), IFERROR(VLOOKUP(A462,'Exetel ExDa'!$C$2:$N$14, 2,FALSE), IFERROR(VLOOKUP(A462,'Infinet ExDa'!$B$2:$E$14, 2,FALSE), "Not Found"))))))))</f>
        <v>Not Found</v>
      </c>
      <c r="D462" t="str">
        <f>IFERROR(VLOOKUP($A462,'AAPT ExDa'!$B$2:$U$99, 15,FALSE), IFERROR(VLOOKUP($A462,'ABB ExDa'!$A$2:$N$184, 4,FALSE), IFERROR(VLOOKUP($A462,'Vocus SIT ExDa'!$B$2:$J$173, 5,FALSE), IFERROR(VLOOKUP($A462,'Telstra ExDa'!$B$2:$K$310, 8,FALSE), IFERROR(VLOOKUP($A462,'Vocus RVC ExDa'!$C$2:$R$155, 6,FALSE), IFERROR(VLOOKUP($A462,'Fusion ExDa'!$B$2:$D$16, 4,FALSE), IFERROR(VLOOKUP($A462,'Exetel ExDa'!$C$2:$N$14, 3,FALSE), IFERROR(VLOOKUP($A462,'Infinet ExDa'!$B$2:$E$14, 3,FALSE), "Not Found"))))))))</f>
        <v>Not Found</v>
      </c>
      <c r="E462" t="str">
        <f>IFERROR(VLOOKUP($A462,'AAPT ExDa'!$B$2:$U$99, 3,FALSE), IFERROR(VLOOKUP($A462,'ABB ExDa'!$A$2:$N$184, 5,FALSE), IFERROR(VLOOKUP($A462,'Vocus SIT ExDa'!$B$2:$J$173, 2,FALSE), IFERROR(VLOOKUP($A462,'Telstra ExDa'!$B$2:$K$310, 4,FALSE), IFERROR(VLOOKUP($A462,'Vocus RVC ExDa'!$C$2:$R$155, 8,FALSE), IFERROR(VLOOKUP($A462,'Fusion ExDa'!$B$2:$D$16, 4,FALSE), IFERROR(VLOOKUP($A462,'Exetel ExDa'!$C$2:$N$14, 5,FALSE), IFERROR(VLOOKUP($A462,'Infinet ExDa'!$B$2:$E$14, 3,FALSE), "Not Found"))))))))</f>
        <v>Not Found</v>
      </c>
      <c r="F462" t="str">
        <f>IFERROR(VLOOKUP($A462,'AAPT ExDa'!$B$2:$U$99, 4,FALSE), IFERROR(VLOOKUP($A462,'ABB ExDa'!$A$2:$N$184, 6,FALSE), IFERROR(VLOOKUP($A462,'Vocus SIT ExDa'!$B$2:$J$173, 3,FALSE), IFERROR(VLOOKUP($A462,'Telstra ExDa'!$B$2:$K$310, 5,FALSE), IFERROR(VLOOKUP($A462,'Vocus RVC ExDa'!$C$2:$R$155, 9,FALSE), IFERROR(VLOOKUP($A462,'Fusion ExDa'!$B$2:$D$16, 0,FALSE), IFERROR(VLOOKUP($A462,'Exetel ExDa'!$C$2:$N$14, 6,FALSE), IFERROR(VLOOKUP($A462,'Infinet ExDa'!$B$2:$E$14, 0,FALSE), "Not Found"))))))))</f>
        <v>Not Found</v>
      </c>
      <c r="G462" t="str">
        <f>IFERROR(VLOOKUP($A462,'AAPT ExDa'!$B$2:$U$99, 5,FALSE), IFERROR(VLOOKUP($A462,'ABB ExDa'!$A$2:$N$184, 8,FALSE), IFERROR(VLOOKUP($A462,'Vocus SIT ExDa'!$B$2:$J$173, 6,FALSE), IFERROR(VLOOKUP($A462,'Telstra ExDa'!$B$2:$K$310, 0,FALSE), IFERROR(VLOOKUP($A462,'Vocus RVC ExDa'!$C$2:$R$155, 15,FALSE), IFERROR(VLOOKUP($A462,'Fusion ExDa'!$B$2:$D$16, 0,FALSE), IFERROR(VLOOKUP($A462,'Exetel ExDa'!$C$2:$N$14, 7,FALSE), IFERROR(VLOOKUP($A462,'Infinet ExDa'!$B$2:$E$14, 0,FALSE), "Not Found"))))))))</f>
        <v>Not Found</v>
      </c>
      <c r="H462" t="str">
        <f>IFERROR(VLOOKUP($A462,'AAPT ExDa'!$B$2:$U$99, 6,FALSE), IFERROR(VLOOKUP($A462,'ABB ExDa'!$A$2:$N$184, 0,FALSE), IFERROR(VLOOKUP($A462,'Vocus SIT ExDa'!$B$2:$J$173, 0,FALSE), IFERROR(VLOOKUP($A462,'Telstra ExDa'!$B$2:$K$310, 0,FALSE), IFERROR(VLOOKUP($A462,'Vocus RVC ExDa'!$C$2:$R$155, 16,FALSE), IFERROR(VLOOKUP($A462,'Fusion ExDa'!$B$2:$D$16, 0,FALSE), IFERROR(VLOOKUP($A462,'Exetel ExDa'!$C$2:$N$14, 0,FALSE), IFERROR(VLOOKUP($A462,'Infinet ExDa'!$B$2:$E$14, 0,FALSE), "Not Found"))))))))</f>
        <v>Not Found</v>
      </c>
      <c r="I462" t="str">
        <f>IFERROR(VLOOKUP($A462,'AAPT ExDa'!$B$2:$U$99, 0,FALSE), IFERROR(VLOOKUP($A462,'ABB ExDa'!$A$2:$N$184, 0,FALSE), IFERROR(VLOOKUP($A462,'Vocus SIT ExDa'!$B$2:$J$173, 0,FALSE), IFERROR(VLOOKUP($A462,'Telstra ExDa'!$B$2:$K$310, 0,FALSE), IFERROR(VLOOKUP($A462,'Vocus RVC ExDa'!$C$2:$R$155, 0,FALSE), IFERROR(VLOOKUP($A462,'Fusion ExDa'!$B$2:$D$16, 0,FALSE), IFERROR(VLOOKUP($A462,'Exetel ExDa'!$C$2:$N$14, 8,FALSE), IFERROR(VLOOKUP($A462,'Infinet ExDa'!$B$2:$E$14, 0,FALSE), "Not Found"))))))))</f>
        <v>Not Found</v>
      </c>
      <c r="J462" t="str">
        <f>IFERROR(VLOOKUP($A462,'AAPT ExDa'!$B$2:$U$99, 7,FALSE), IFERROR(VLOOKUP($A462,'ABB ExDa'!$A$2:$N$184, 2,FALSE), IFERROR(VLOOKUP($A462,'Vocus SIT ExDa'!$B$2:$J$173, 0,FALSE), IFERROR(VLOOKUP($A462,'Telstra ExDa'!$B$2:$K$310, 7,FALSE), IFERROR(VLOOKUP($A462,'Vocus RVC ExDa'!$C$2:$R$155, 2,FALSE), IFERROR(VLOOKUP($A462,'Fusion ExDa'!$B$2:$D$16, 3,FALSE), IFERROR(VLOOKUP($A462,'Exetel ExDa'!$C$2:$N$14, 0,FALSE), IFERROR(VLOOKUP($A462,'Infinet ExDa'!$B$2:$E$14, 0,FALSE), "Not Found"))))))))</f>
        <v>Not Found</v>
      </c>
      <c r="K462" t="str">
        <f>IFERROR(VLOOKUP($A462,'AAPT ExDa'!$B$2:$U$99, 12,FALSE), IFERROR(VLOOKUP($A462,'ABB ExDa'!$A$2:$N$184, 0,FALSE), IFERROR(VLOOKUP($A462,'Vocus SIT ExDa'!$B$2:$J$173, 0,FALSE), IFERROR(VLOOKUP($A462,'Telstra ExDa'!$B$2:$K$310, 0,FALSE), IFERROR(VLOOKUP($A462,'Vocus RVC ExDa'!$C$2:$R$155, 0,FALSE), IFERROR(VLOOKUP($A462,'Fusion ExDa'!$B$2:$D$16, 0,FALSE), IFERROR(VLOOKUP($A462,'Exetel ExDa'!$C$2:$N$14, 12,FALSE), IFERROR(VLOOKUP($A462,'Infinet ExDa'!$B$2:$E$14, 0,FALSE), "Not Found"))))))))</f>
        <v>Not Found</v>
      </c>
      <c r="L462" s="235" t="str">
        <f>IFERROR(VLOOKUP($A462,'AAPT ExDa'!$B$2:$U$99, 11,FALSE), IFERROR(VLOOKUP($A462,'ABB ExDa'!$A$2:$N$184, 9,FALSE), IFERROR(VLOOKUP($A462,'Vocus SIT ExDa'!$B$2:$J$173, 8,FALSE), IFERROR(VLOOKUP($A462,'Telstra ExDa'!$B$2:$K$310, 0,FALSE), IFERROR(VLOOKUP($A462,'Vocus RVC ExDa'!$C$2:$R$155, 0,FALSE), IFERROR(VLOOKUP($A462,'Fusion ExDa'!$B$2:$D$16, 0,FALSE), IFERROR(VLOOKUP($A462,'Exetel ExDa'!$C$2:$N$14, 9,FALSE), IFERROR(VLOOKUP($A462,'Infinet ExDa'!$B$2:$E$14, 0,FALSE), "Not Found"))))))))</f>
        <v>Not Found</v>
      </c>
      <c r="M462" s="234" t="str">
        <f>IFERROR(VLOOKUP($A462,'AAPT ExDa'!$B$2:$U$99, 0,FALSE), IFERROR(VLOOKUP($A462,'ABB ExDa'!$A$2:$N$184, 0,FALSE), IFERROR(VLOOKUP($A462,'Vocus SIT ExDa'!$B$2:$J$173, 0,FALSE), IFERROR(VLOOKUP($A462,'Telstra ExDa'!$B$2:$K$310, 0,FALSE), IFERROR(VLOOKUP($A462,'Vocus RVC ExDa'!$C$2:$R$155, 0,FALSE), IFERROR(VLOOKUP($A462,'Fusion ExDa'!$B$2:$D$16, 0,FALSE), IFERROR(VLOOKUP($A462,'Exetel ExDa'!$C$2:$N$14, 11,FALSE), IFERROR(VLOOKUP($A462,'Infinet ExDa'!$B$2:$E$14, 0,FALSE), "Not Found"))))))))</f>
        <v>Not Found</v>
      </c>
      <c r="N462" t="str">
        <f>IFERROR(VLOOKUP($A462,'AAPT ExDa'!$B$2:$U$99, 0,FALSE), IFERROR(VLOOKUP($A462,'ABB ExDa'!$A$2:$N$184, 13,FALSE), IFERROR(VLOOKUP($A462,'Vocus SIT ExDa'!$B$2:$J$173, 0,FALSE), IFERROR(VLOOKUP($A462,'Telstra ExDa'!$B$2:$K$310, 0,FALSE), IFERROR(VLOOKUP($A462,'Vocus RVC ExDa'!$C$2:$R$155, 0,FALSE), IFERROR(VLOOKUP($A462,'Fusion ExDa'!$B$2:$D$16, 0,FALSE), IFERROR(VLOOKUP($A462,'Exetel ExDa'!$C$2:$N$14, 0,FALSE), IFERROR(VLOOKUP($A462,'Infinet ExDa'!$B$2:$E$14, 0,FALSE), "Not Found"))))))))</f>
        <v>Not Found</v>
      </c>
    </row>
    <row r="463" spans="1:14">
      <c r="A463">
        <v>0</v>
      </c>
      <c r="B463" t="str">
        <f>IFERROR(VLOOKUP(A463,'Exetel ExDa'!$C$2:$N$14,4,FALSE),"No Data")</f>
        <v>No Data</v>
      </c>
      <c r="C463" t="str">
        <f>IFERROR(VLOOKUP(A463,'AAPT ExDa'!$B$2:$U$99, 2,FALSE), IFERROR(VLOOKUP(A463,'ABB ExDa'!$A$2:$N$184, 2,FALSE), IFERROR(VLOOKUP(A463,'Vocus SIT ExDa'!$B$2:$J$173, 7,FALSE), IFERROR(VLOOKUP(A463,'Telstra ExDa'!$B$2:$K$310, 2,FALSE), IFERROR(VLOOKUP(A463,'Vocus RVC ExDa'!$C$2:$R$155, 3,FALSE), IFERROR(VLOOKUP(A463,'Fusion ExDa'!$B$2:$D$16, 2,FALSE), IFERROR(VLOOKUP(A463,'Exetel ExDa'!$C$2:$N$14, 2,FALSE), IFERROR(VLOOKUP(A463,'Infinet ExDa'!$B$2:$E$14, 2,FALSE), "Not Found"))))))))</f>
        <v>Not Found</v>
      </c>
      <c r="D463" t="str">
        <f>IFERROR(VLOOKUP($A463,'AAPT ExDa'!$B$2:$U$99, 15,FALSE), IFERROR(VLOOKUP($A463,'ABB ExDa'!$A$2:$N$184, 4,FALSE), IFERROR(VLOOKUP($A463,'Vocus SIT ExDa'!$B$2:$J$173, 5,FALSE), IFERROR(VLOOKUP($A463,'Telstra ExDa'!$B$2:$K$310, 8,FALSE), IFERROR(VLOOKUP($A463,'Vocus RVC ExDa'!$C$2:$R$155, 6,FALSE), IFERROR(VLOOKUP($A463,'Fusion ExDa'!$B$2:$D$16, 4,FALSE), IFERROR(VLOOKUP($A463,'Exetel ExDa'!$C$2:$N$14, 3,FALSE), IFERROR(VLOOKUP($A463,'Infinet ExDa'!$B$2:$E$14, 3,FALSE), "Not Found"))))))))</f>
        <v>Not Found</v>
      </c>
      <c r="E463" t="str">
        <f>IFERROR(VLOOKUP($A463,'AAPT ExDa'!$B$2:$U$99, 3,FALSE), IFERROR(VLOOKUP($A463,'ABB ExDa'!$A$2:$N$184, 5,FALSE), IFERROR(VLOOKUP($A463,'Vocus SIT ExDa'!$B$2:$J$173, 2,FALSE), IFERROR(VLOOKUP($A463,'Telstra ExDa'!$B$2:$K$310, 4,FALSE), IFERROR(VLOOKUP($A463,'Vocus RVC ExDa'!$C$2:$R$155, 8,FALSE), IFERROR(VLOOKUP($A463,'Fusion ExDa'!$B$2:$D$16, 4,FALSE), IFERROR(VLOOKUP($A463,'Exetel ExDa'!$C$2:$N$14, 5,FALSE), IFERROR(VLOOKUP($A463,'Infinet ExDa'!$B$2:$E$14, 3,FALSE), "Not Found"))))))))</f>
        <v>Not Found</v>
      </c>
      <c r="F463" t="str">
        <f>IFERROR(VLOOKUP($A463,'AAPT ExDa'!$B$2:$U$99, 4,FALSE), IFERROR(VLOOKUP($A463,'ABB ExDa'!$A$2:$N$184, 6,FALSE), IFERROR(VLOOKUP($A463,'Vocus SIT ExDa'!$B$2:$J$173, 3,FALSE), IFERROR(VLOOKUP($A463,'Telstra ExDa'!$B$2:$K$310, 5,FALSE), IFERROR(VLOOKUP($A463,'Vocus RVC ExDa'!$C$2:$R$155, 9,FALSE), IFERROR(VLOOKUP($A463,'Fusion ExDa'!$B$2:$D$16, 0,FALSE), IFERROR(VLOOKUP($A463,'Exetel ExDa'!$C$2:$N$14, 6,FALSE), IFERROR(VLOOKUP($A463,'Infinet ExDa'!$B$2:$E$14, 0,FALSE), "Not Found"))))))))</f>
        <v>Not Found</v>
      </c>
      <c r="G463" t="str">
        <f>IFERROR(VLOOKUP($A463,'AAPT ExDa'!$B$2:$U$99, 5,FALSE), IFERROR(VLOOKUP($A463,'ABB ExDa'!$A$2:$N$184, 8,FALSE), IFERROR(VLOOKUP($A463,'Vocus SIT ExDa'!$B$2:$J$173, 6,FALSE), IFERROR(VLOOKUP($A463,'Telstra ExDa'!$B$2:$K$310, 0,FALSE), IFERROR(VLOOKUP($A463,'Vocus RVC ExDa'!$C$2:$R$155, 15,FALSE), IFERROR(VLOOKUP($A463,'Fusion ExDa'!$B$2:$D$16, 0,FALSE), IFERROR(VLOOKUP($A463,'Exetel ExDa'!$C$2:$N$14, 7,FALSE), IFERROR(VLOOKUP($A463,'Infinet ExDa'!$B$2:$E$14, 0,FALSE), "Not Found"))))))))</f>
        <v>Not Found</v>
      </c>
      <c r="H463" t="str">
        <f>IFERROR(VLOOKUP($A463,'AAPT ExDa'!$B$2:$U$99, 6,FALSE), IFERROR(VLOOKUP($A463,'ABB ExDa'!$A$2:$N$184, 0,FALSE), IFERROR(VLOOKUP($A463,'Vocus SIT ExDa'!$B$2:$J$173, 0,FALSE), IFERROR(VLOOKUP($A463,'Telstra ExDa'!$B$2:$K$310, 0,FALSE), IFERROR(VLOOKUP($A463,'Vocus RVC ExDa'!$C$2:$R$155, 16,FALSE), IFERROR(VLOOKUP($A463,'Fusion ExDa'!$B$2:$D$16, 0,FALSE), IFERROR(VLOOKUP($A463,'Exetel ExDa'!$C$2:$N$14, 0,FALSE), IFERROR(VLOOKUP($A463,'Infinet ExDa'!$B$2:$E$14, 0,FALSE), "Not Found"))))))))</f>
        <v>Not Found</v>
      </c>
      <c r="I463" t="str">
        <f>IFERROR(VLOOKUP($A463,'AAPT ExDa'!$B$2:$U$99, 0,FALSE), IFERROR(VLOOKUP($A463,'ABB ExDa'!$A$2:$N$184, 0,FALSE), IFERROR(VLOOKUP($A463,'Vocus SIT ExDa'!$B$2:$J$173, 0,FALSE), IFERROR(VLOOKUP($A463,'Telstra ExDa'!$B$2:$K$310, 0,FALSE), IFERROR(VLOOKUP($A463,'Vocus RVC ExDa'!$C$2:$R$155, 0,FALSE), IFERROR(VLOOKUP($A463,'Fusion ExDa'!$B$2:$D$16, 0,FALSE), IFERROR(VLOOKUP($A463,'Exetel ExDa'!$C$2:$N$14, 8,FALSE), IFERROR(VLOOKUP($A463,'Infinet ExDa'!$B$2:$E$14, 0,FALSE), "Not Found"))))))))</f>
        <v>Not Found</v>
      </c>
      <c r="J463" t="str">
        <f>IFERROR(VLOOKUP($A463,'AAPT ExDa'!$B$2:$U$99, 7,FALSE), IFERROR(VLOOKUP($A463,'ABB ExDa'!$A$2:$N$184, 2,FALSE), IFERROR(VLOOKUP($A463,'Vocus SIT ExDa'!$B$2:$J$173, 0,FALSE), IFERROR(VLOOKUP($A463,'Telstra ExDa'!$B$2:$K$310, 7,FALSE), IFERROR(VLOOKUP($A463,'Vocus RVC ExDa'!$C$2:$R$155, 2,FALSE), IFERROR(VLOOKUP($A463,'Fusion ExDa'!$B$2:$D$16, 3,FALSE), IFERROR(VLOOKUP($A463,'Exetel ExDa'!$C$2:$N$14, 0,FALSE), IFERROR(VLOOKUP($A463,'Infinet ExDa'!$B$2:$E$14, 0,FALSE), "Not Found"))))))))</f>
        <v>Not Found</v>
      </c>
      <c r="K463" t="str">
        <f>IFERROR(VLOOKUP($A463,'AAPT ExDa'!$B$2:$U$99, 12,FALSE), IFERROR(VLOOKUP($A463,'ABB ExDa'!$A$2:$N$184, 0,FALSE), IFERROR(VLOOKUP($A463,'Vocus SIT ExDa'!$B$2:$J$173, 0,FALSE), IFERROR(VLOOKUP($A463,'Telstra ExDa'!$B$2:$K$310, 0,FALSE), IFERROR(VLOOKUP($A463,'Vocus RVC ExDa'!$C$2:$R$155, 0,FALSE), IFERROR(VLOOKUP($A463,'Fusion ExDa'!$B$2:$D$16, 0,FALSE), IFERROR(VLOOKUP($A463,'Exetel ExDa'!$C$2:$N$14, 12,FALSE), IFERROR(VLOOKUP($A463,'Infinet ExDa'!$B$2:$E$14, 0,FALSE), "Not Found"))))))))</f>
        <v>Not Found</v>
      </c>
      <c r="L463" s="235" t="str">
        <f>IFERROR(VLOOKUP($A463,'AAPT ExDa'!$B$2:$U$99, 11,FALSE), IFERROR(VLOOKUP($A463,'ABB ExDa'!$A$2:$N$184, 9,FALSE), IFERROR(VLOOKUP($A463,'Vocus SIT ExDa'!$B$2:$J$173, 8,FALSE), IFERROR(VLOOKUP($A463,'Telstra ExDa'!$B$2:$K$310, 0,FALSE), IFERROR(VLOOKUP($A463,'Vocus RVC ExDa'!$C$2:$R$155, 0,FALSE), IFERROR(VLOOKUP($A463,'Fusion ExDa'!$B$2:$D$16, 0,FALSE), IFERROR(VLOOKUP($A463,'Exetel ExDa'!$C$2:$N$14, 9,FALSE), IFERROR(VLOOKUP($A463,'Infinet ExDa'!$B$2:$E$14, 0,FALSE), "Not Found"))))))))</f>
        <v>Not Found</v>
      </c>
      <c r="M463" s="234" t="str">
        <f>IFERROR(VLOOKUP($A463,'AAPT ExDa'!$B$2:$U$99, 0,FALSE), IFERROR(VLOOKUP($A463,'ABB ExDa'!$A$2:$N$184, 0,FALSE), IFERROR(VLOOKUP($A463,'Vocus SIT ExDa'!$B$2:$J$173, 0,FALSE), IFERROR(VLOOKUP($A463,'Telstra ExDa'!$B$2:$K$310, 0,FALSE), IFERROR(VLOOKUP($A463,'Vocus RVC ExDa'!$C$2:$R$155, 0,FALSE), IFERROR(VLOOKUP($A463,'Fusion ExDa'!$B$2:$D$16, 0,FALSE), IFERROR(VLOOKUP($A463,'Exetel ExDa'!$C$2:$N$14, 11,FALSE), IFERROR(VLOOKUP($A463,'Infinet ExDa'!$B$2:$E$14, 0,FALSE), "Not Found"))))))))</f>
        <v>Not Found</v>
      </c>
      <c r="N463" t="str">
        <f>IFERROR(VLOOKUP($A463,'AAPT ExDa'!$B$2:$U$99, 0,FALSE), IFERROR(VLOOKUP($A463,'ABB ExDa'!$A$2:$N$184, 13,FALSE), IFERROR(VLOOKUP($A463,'Vocus SIT ExDa'!$B$2:$J$173, 0,FALSE), IFERROR(VLOOKUP($A463,'Telstra ExDa'!$B$2:$K$310, 0,FALSE), IFERROR(VLOOKUP($A463,'Vocus RVC ExDa'!$C$2:$R$155, 0,FALSE), IFERROR(VLOOKUP($A463,'Fusion ExDa'!$B$2:$D$16, 0,FALSE), IFERROR(VLOOKUP($A463,'Exetel ExDa'!$C$2:$N$14, 0,FALSE), IFERROR(VLOOKUP($A463,'Infinet ExDa'!$B$2:$E$14, 0,FALSE), "Not Found"))))))))</f>
        <v>Not Found</v>
      </c>
    </row>
    <row r="464" spans="1:14">
      <c r="A464">
        <v>0</v>
      </c>
      <c r="B464" t="str">
        <f>IFERROR(VLOOKUP(A464,'Exetel ExDa'!$C$2:$N$14,4,FALSE),"No Data")</f>
        <v>No Data</v>
      </c>
      <c r="C464" t="str">
        <f>IFERROR(VLOOKUP(A464,'AAPT ExDa'!$B$2:$U$99, 2,FALSE), IFERROR(VLOOKUP(A464,'ABB ExDa'!$A$2:$N$184, 2,FALSE), IFERROR(VLOOKUP(A464,'Vocus SIT ExDa'!$B$2:$J$173, 7,FALSE), IFERROR(VLOOKUP(A464,'Telstra ExDa'!$B$2:$K$310, 2,FALSE), IFERROR(VLOOKUP(A464,'Vocus RVC ExDa'!$C$2:$R$155, 3,FALSE), IFERROR(VLOOKUP(A464,'Fusion ExDa'!$B$2:$D$16, 2,FALSE), IFERROR(VLOOKUP(A464,'Exetel ExDa'!$C$2:$N$14, 2,FALSE), IFERROR(VLOOKUP(A464,'Infinet ExDa'!$B$2:$E$14, 2,FALSE), "Not Found"))))))))</f>
        <v>Not Found</v>
      </c>
      <c r="D464" t="str">
        <f>IFERROR(VLOOKUP($A464,'AAPT ExDa'!$B$2:$U$99, 15,FALSE), IFERROR(VLOOKUP($A464,'ABB ExDa'!$A$2:$N$184, 4,FALSE), IFERROR(VLOOKUP($A464,'Vocus SIT ExDa'!$B$2:$J$173, 5,FALSE), IFERROR(VLOOKUP($A464,'Telstra ExDa'!$B$2:$K$310, 8,FALSE), IFERROR(VLOOKUP($A464,'Vocus RVC ExDa'!$C$2:$R$155, 6,FALSE), IFERROR(VLOOKUP($A464,'Fusion ExDa'!$B$2:$D$16, 4,FALSE), IFERROR(VLOOKUP($A464,'Exetel ExDa'!$C$2:$N$14, 3,FALSE), IFERROR(VLOOKUP($A464,'Infinet ExDa'!$B$2:$E$14, 3,FALSE), "Not Found"))))))))</f>
        <v>Not Found</v>
      </c>
      <c r="E464" t="str">
        <f>IFERROR(VLOOKUP($A464,'AAPT ExDa'!$B$2:$U$99, 3,FALSE), IFERROR(VLOOKUP($A464,'ABB ExDa'!$A$2:$N$184, 5,FALSE), IFERROR(VLOOKUP($A464,'Vocus SIT ExDa'!$B$2:$J$173, 2,FALSE), IFERROR(VLOOKUP($A464,'Telstra ExDa'!$B$2:$K$310, 4,FALSE), IFERROR(VLOOKUP($A464,'Vocus RVC ExDa'!$C$2:$R$155, 8,FALSE), IFERROR(VLOOKUP($A464,'Fusion ExDa'!$B$2:$D$16, 4,FALSE), IFERROR(VLOOKUP($A464,'Exetel ExDa'!$C$2:$N$14, 5,FALSE), IFERROR(VLOOKUP($A464,'Infinet ExDa'!$B$2:$E$14, 3,FALSE), "Not Found"))))))))</f>
        <v>Not Found</v>
      </c>
      <c r="F464" t="str">
        <f>IFERROR(VLOOKUP($A464,'AAPT ExDa'!$B$2:$U$99, 4,FALSE), IFERROR(VLOOKUP($A464,'ABB ExDa'!$A$2:$N$184, 6,FALSE), IFERROR(VLOOKUP($A464,'Vocus SIT ExDa'!$B$2:$J$173, 3,FALSE), IFERROR(VLOOKUP($A464,'Telstra ExDa'!$B$2:$K$310, 5,FALSE), IFERROR(VLOOKUP($A464,'Vocus RVC ExDa'!$C$2:$R$155, 9,FALSE), IFERROR(VLOOKUP($A464,'Fusion ExDa'!$B$2:$D$16, 0,FALSE), IFERROR(VLOOKUP($A464,'Exetel ExDa'!$C$2:$N$14, 6,FALSE), IFERROR(VLOOKUP($A464,'Infinet ExDa'!$B$2:$E$14, 0,FALSE), "Not Found"))))))))</f>
        <v>Not Found</v>
      </c>
      <c r="G464" t="str">
        <f>IFERROR(VLOOKUP($A464,'AAPT ExDa'!$B$2:$U$99, 5,FALSE), IFERROR(VLOOKUP($A464,'ABB ExDa'!$A$2:$N$184, 8,FALSE), IFERROR(VLOOKUP($A464,'Vocus SIT ExDa'!$B$2:$J$173, 6,FALSE), IFERROR(VLOOKUP($A464,'Telstra ExDa'!$B$2:$K$310, 0,FALSE), IFERROR(VLOOKUP($A464,'Vocus RVC ExDa'!$C$2:$R$155, 15,FALSE), IFERROR(VLOOKUP($A464,'Fusion ExDa'!$B$2:$D$16, 0,FALSE), IFERROR(VLOOKUP($A464,'Exetel ExDa'!$C$2:$N$14, 7,FALSE), IFERROR(VLOOKUP($A464,'Infinet ExDa'!$B$2:$E$14, 0,FALSE), "Not Found"))))))))</f>
        <v>Not Found</v>
      </c>
      <c r="H464" t="str">
        <f>IFERROR(VLOOKUP($A464,'AAPT ExDa'!$B$2:$U$99, 6,FALSE), IFERROR(VLOOKUP($A464,'ABB ExDa'!$A$2:$N$184, 0,FALSE), IFERROR(VLOOKUP($A464,'Vocus SIT ExDa'!$B$2:$J$173, 0,FALSE), IFERROR(VLOOKUP($A464,'Telstra ExDa'!$B$2:$K$310, 0,FALSE), IFERROR(VLOOKUP($A464,'Vocus RVC ExDa'!$C$2:$R$155, 16,FALSE), IFERROR(VLOOKUP($A464,'Fusion ExDa'!$B$2:$D$16, 0,FALSE), IFERROR(VLOOKUP($A464,'Exetel ExDa'!$C$2:$N$14, 0,FALSE), IFERROR(VLOOKUP($A464,'Infinet ExDa'!$B$2:$E$14, 0,FALSE), "Not Found"))))))))</f>
        <v>Not Found</v>
      </c>
      <c r="I464" t="str">
        <f>IFERROR(VLOOKUP($A464,'AAPT ExDa'!$B$2:$U$99, 0,FALSE), IFERROR(VLOOKUP($A464,'ABB ExDa'!$A$2:$N$184, 0,FALSE), IFERROR(VLOOKUP($A464,'Vocus SIT ExDa'!$B$2:$J$173, 0,FALSE), IFERROR(VLOOKUP($A464,'Telstra ExDa'!$B$2:$K$310, 0,FALSE), IFERROR(VLOOKUP($A464,'Vocus RVC ExDa'!$C$2:$R$155, 0,FALSE), IFERROR(VLOOKUP($A464,'Fusion ExDa'!$B$2:$D$16, 0,FALSE), IFERROR(VLOOKUP($A464,'Exetel ExDa'!$C$2:$N$14, 8,FALSE), IFERROR(VLOOKUP($A464,'Infinet ExDa'!$B$2:$E$14, 0,FALSE), "Not Found"))))))))</f>
        <v>Not Found</v>
      </c>
      <c r="J464" t="str">
        <f>IFERROR(VLOOKUP($A464,'AAPT ExDa'!$B$2:$U$99, 7,FALSE), IFERROR(VLOOKUP($A464,'ABB ExDa'!$A$2:$N$184, 2,FALSE), IFERROR(VLOOKUP($A464,'Vocus SIT ExDa'!$B$2:$J$173, 0,FALSE), IFERROR(VLOOKUP($A464,'Telstra ExDa'!$B$2:$K$310, 7,FALSE), IFERROR(VLOOKUP($A464,'Vocus RVC ExDa'!$C$2:$R$155, 2,FALSE), IFERROR(VLOOKUP($A464,'Fusion ExDa'!$B$2:$D$16, 3,FALSE), IFERROR(VLOOKUP($A464,'Exetel ExDa'!$C$2:$N$14, 0,FALSE), IFERROR(VLOOKUP($A464,'Infinet ExDa'!$B$2:$E$14, 0,FALSE), "Not Found"))))))))</f>
        <v>Not Found</v>
      </c>
      <c r="K464" t="str">
        <f>IFERROR(VLOOKUP($A464,'AAPT ExDa'!$B$2:$U$99, 12,FALSE), IFERROR(VLOOKUP($A464,'ABB ExDa'!$A$2:$N$184, 0,FALSE), IFERROR(VLOOKUP($A464,'Vocus SIT ExDa'!$B$2:$J$173, 0,FALSE), IFERROR(VLOOKUP($A464,'Telstra ExDa'!$B$2:$K$310, 0,FALSE), IFERROR(VLOOKUP($A464,'Vocus RVC ExDa'!$C$2:$R$155, 0,FALSE), IFERROR(VLOOKUP($A464,'Fusion ExDa'!$B$2:$D$16, 0,FALSE), IFERROR(VLOOKUP($A464,'Exetel ExDa'!$C$2:$N$14, 12,FALSE), IFERROR(VLOOKUP($A464,'Infinet ExDa'!$B$2:$E$14, 0,FALSE), "Not Found"))))))))</f>
        <v>Not Found</v>
      </c>
      <c r="L464" s="235" t="str">
        <f>IFERROR(VLOOKUP($A464,'AAPT ExDa'!$B$2:$U$99, 11,FALSE), IFERROR(VLOOKUP($A464,'ABB ExDa'!$A$2:$N$184, 9,FALSE), IFERROR(VLOOKUP($A464,'Vocus SIT ExDa'!$B$2:$J$173, 8,FALSE), IFERROR(VLOOKUP($A464,'Telstra ExDa'!$B$2:$K$310, 0,FALSE), IFERROR(VLOOKUP($A464,'Vocus RVC ExDa'!$C$2:$R$155, 0,FALSE), IFERROR(VLOOKUP($A464,'Fusion ExDa'!$B$2:$D$16, 0,FALSE), IFERROR(VLOOKUP($A464,'Exetel ExDa'!$C$2:$N$14, 9,FALSE), IFERROR(VLOOKUP($A464,'Infinet ExDa'!$B$2:$E$14, 0,FALSE), "Not Found"))))))))</f>
        <v>Not Found</v>
      </c>
      <c r="M464" s="234" t="str">
        <f>IFERROR(VLOOKUP($A464,'AAPT ExDa'!$B$2:$U$99, 0,FALSE), IFERROR(VLOOKUP($A464,'ABB ExDa'!$A$2:$N$184, 0,FALSE), IFERROR(VLOOKUP($A464,'Vocus SIT ExDa'!$B$2:$J$173, 0,FALSE), IFERROR(VLOOKUP($A464,'Telstra ExDa'!$B$2:$K$310, 0,FALSE), IFERROR(VLOOKUP($A464,'Vocus RVC ExDa'!$C$2:$R$155, 0,FALSE), IFERROR(VLOOKUP($A464,'Fusion ExDa'!$B$2:$D$16, 0,FALSE), IFERROR(VLOOKUP($A464,'Exetel ExDa'!$C$2:$N$14, 11,FALSE), IFERROR(VLOOKUP($A464,'Infinet ExDa'!$B$2:$E$14, 0,FALSE), "Not Found"))))))))</f>
        <v>Not Found</v>
      </c>
      <c r="N464" t="str">
        <f>IFERROR(VLOOKUP($A464,'AAPT ExDa'!$B$2:$U$99, 0,FALSE), IFERROR(VLOOKUP($A464,'ABB ExDa'!$A$2:$N$184, 13,FALSE), IFERROR(VLOOKUP($A464,'Vocus SIT ExDa'!$B$2:$J$173, 0,FALSE), IFERROR(VLOOKUP($A464,'Telstra ExDa'!$B$2:$K$310, 0,FALSE), IFERROR(VLOOKUP($A464,'Vocus RVC ExDa'!$C$2:$R$155, 0,FALSE), IFERROR(VLOOKUP($A464,'Fusion ExDa'!$B$2:$D$16, 0,FALSE), IFERROR(VLOOKUP($A464,'Exetel ExDa'!$C$2:$N$14, 0,FALSE), IFERROR(VLOOKUP($A464,'Infinet ExDa'!$B$2:$E$14, 0,FALSE), "Not Found"))))))))</f>
        <v>Not Found</v>
      </c>
    </row>
    <row r="465" spans="1:14">
      <c r="A465" t="str">
        <v>Little Cha Bateau Bay</v>
      </c>
      <c r="B465" t="str">
        <f>IFERROR(VLOOKUP(A465,'Exetel ExDa'!$C$2:$N$14,4,FALSE),"No Data")</f>
        <v>No Data</v>
      </c>
      <c r="C465" t="str">
        <f>IFERROR(VLOOKUP(A465,'AAPT ExDa'!$B$2:$U$99, 2,FALSE), IFERROR(VLOOKUP(A465,'ABB ExDa'!$A$2:$N$184, 2,FALSE), IFERROR(VLOOKUP(A465,'Vocus SIT ExDa'!$B$2:$J$173, 7,FALSE), IFERROR(VLOOKUP(A465,'Telstra ExDa'!$B$2:$K$310, 2,FALSE), IFERROR(VLOOKUP(A465,'Vocus RVC ExDa'!$C$2:$R$155, 3,FALSE), IFERROR(VLOOKUP(A465,'Fusion ExDa'!$B$2:$D$16, 2,FALSE), IFERROR(VLOOKUP(A465,'Exetel ExDa'!$C$2:$N$14, 2,FALSE), IFERROR(VLOOKUP(A465,'Infinet ExDa'!$B$2:$E$14, 2,FALSE), "Not Found"))))))))</f>
        <v>BATEAU BAY SQUARE, BG 1, G, SHOP 8, BATEAU BAY NSW 2261</v>
      </c>
      <c r="D465" t="str">
        <f>IFERROR(VLOOKUP($A465,'AAPT ExDa'!$B$2:$U$99, 15,FALSE), IFERROR(VLOOKUP($A465,'ABB ExDa'!$A$2:$N$184, 4,FALSE), IFERROR(VLOOKUP($A465,'Vocus SIT ExDa'!$B$2:$J$173, 5,FALSE), IFERROR(VLOOKUP($A465,'Telstra ExDa'!$B$2:$K$310, 8,FALSE), IFERROR(VLOOKUP($A465,'Vocus RVC ExDa'!$C$2:$R$155, 6,FALSE), IFERROR(VLOOKUP($A465,'Fusion ExDa'!$B$2:$D$16, 4,FALSE), IFERROR(VLOOKUP($A465,'Exetel ExDa'!$C$2:$N$14, 3,FALSE), IFERROR(VLOOKUP($A465,'Infinet ExDa'!$B$2:$E$14, 3,FALSE), "Not Found"))))))))</f>
        <v>Telstra</v>
      </c>
      <c r="E465" t="str">
        <f>IFERROR(VLOOKUP($A465,'AAPT ExDa'!$B$2:$U$99, 3,FALSE), IFERROR(VLOOKUP($A465,'ABB ExDa'!$A$2:$N$184, 5,FALSE), IFERROR(VLOOKUP($A465,'Vocus SIT ExDa'!$B$2:$J$173, 2,FALSE), IFERROR(VLOOKUP($A465,'Telstra ExDa'!$B$2:$K$310, 4,FALSE), IFERROR(VLOOKUP($A465,'Vocus RVC ExDa'!$C$2:$R$155, 8,FALSE), IFERROR(VLOOKUP($A465,'Fusion ExDa'!$B$2:$D$16, 4,FALSE), IFERROR(VLOOKUP($A465,'Exetel ExDa'!$C$2:$N$14, 5,FALSE), IFERROR(VLOOKUP($A465,'Infinet ExDa'!$B$2:$E$14, 3,FALSE), "Not Found"))))))))</f>
        <v>Standard Speed NBN 25Mbps</v>
      </c>
      <c r="F465" t="str">
        <f>IFERROR(VLOOKUP($A465,'AAPT ExDa'!$B$2:$U$99, 4,FALSE), IFERROR(VLOOKUP($A465,'ABB ExDa'!$A$2:$N$184, 6,FALSE), IFERROR(VLOOKUP($A465,'Vocus SIT ExDa'!$B$2:$J$173, 3,FALSE), IFERROR(VLOOKUP($A465,'Telstra ExDa'!$B$2:$K$310, 5,FALSE), IFERROR(VLOOKUP($A465,'Vocus RVC ExDa'!$C$2:$R$155, 9,FALSE), IFERROR(VLOOKUP($A465,'Fusion ExDa'!$B$2:$D$16, 0,FALSE), IFERROR(VLOOKUP($A465,'Exetel ExDa'!$C$2:$N$14, 6,FALSE), IFERROR(VLOOKUP($A465,'Infinet ExDa'!$B$2:$E$14, 0,FALSE), "Not Found"))))))))</f>
        <v>Upfront Internet Plan Basic</v>
      </c>
      <c r="G465" t="str">
        <f>IFERROR(VLOOKUP($A465,'AAPT ExDa'!$B$2:$U$99, 5,FALSE), IFERROR(VLOOKUP($A465,'ABB ExDa'!$A$2:$N$184, 8,FALSE), IFERROR(VLOOKUP($A465,'Vocus SIT ExDa'!$B$2:$J$173, 6,FALSE), IFERROR(VLOOKUP($A465,'Telstra ExDa'!$B$2:$K$310, 0,FALSE), IFERROR(VLOOKUP($A465,'Vocus RVC ExDa'!$C$2:$R$155, 15,FALSE), IFERROR(VLOOKUP($A465,'Fusion ExDa'!$B$2:$D$16, 0,FALSE), IFERROR(VLOOKUP($A465,'Exetel ExDa'!$C$2:$N$14, 7,FALSE), IFERROR(VLOOKUP($A465,'Infinet ExDa'!$B$2:$E$14, 0,FALSE), "Not Found"))))))))</f>
        <v>Not Found</v>
      </c>
      <c r="H465" t="str">
        <f>IFERROR(VLOOKUP($A465,'AAPT ExDa'!$B$2:$U$99, 6,FALSE), IFERROR(VLOOKUP($A465,'ABB ExDa'!$A$2:$N$184, 0,FALSE), IFERROR(VLOOKUP($A465,'Vocus SIT ExDa'!$B$2:$J$173, 0,FALSE), IFERROR(VLOOKUP($A465,'Telstra ExDa'!$B$2:$K$310, 0,FALSE), IFERROR(VLOOKUP($A465,'Vocus RVC ExDa'!$C$2:$R$155, 16,FALSE), IFERROR(VLOOKUP($A465,'Fusion ExDa'!$B$2:$D$16, 0,FALSE), IFERROR(VLOOKUP($A465,'Exetel ExDa'!$C$2:$N$14, 0,FALSE), IFERROR(VLOOKUP($A465,'Infinet ExDa'!$B$2:$E$14, 0,FALSE), "Not Found"))))))))</f>
        <v>Not Found</v>
      </c>
      <c r="I465" t="str">
        <f>IFERROR(VLOOKUP($A465,'AAPT ExDa'!$B$2:$U$99, 0,FALSE), IFERROR(VLOOKUP($A465,'ABB ExDa'!$A$2:$N$184, 0,FALSE), IFERROR(VLOOKUP($A465,'Vocus SIT ExDa'!$B$2:$J$173, 0,FALSE), IFERROR(VLOOKUP($A465,'Telstra ExDa'!$B$2:$K$310, 0,FALSE), IFERROR(VLOOKUP($A465,'Vocus RVC ExDa'!$C$2:$R$155, 0,FALSE), IFERROR(VLOOKUP($A465,'Fusion ExDa'!$B$2:$D$16, 0,FALSE), IFERROR(VLOOKUP($A465,'Exetel ExDa'!$C$2:$N$14, 8,FALSE), IFERROR(VLOOKUP($A465,'Infinet ExDa'!$B$2:$E$14, 0,FALSE), "Not Found"))))))))</f>
        <v>Not Found</v>
      </c>
      <c r="J465" t="str">
        <f>IFERROR(VLOOKUP($A465,'AAPT ExDa'!$B$2:$U$99, 7,FALSE), IFERROR(VLOOKUP($A465,'ABB ExDa'!$A$2:$N$184, 2,FALSE), IFERROR(VLOOKUP($A465,'Vocus SIT ExDa'!$B$2:$J$173, 0,FALSE), IFERROR(VLOOKUP($A465,'Telstra ExDa'!$B$2:$K$310, 7,FALSE), IFERROR(VLOOKUP($A465,'Vocus RVC ExDa'!$C$2:$R$155, 2,FALSE), IFERROR(VLOOKUP($A465,'Fusion ExDa'!$B$2:$D$16, 3,FALSE), IFERROR(VLOOKUP($A465,'Exetel ExDa'!$C$2:$N$14, 0,FALSE), IFERROR(VLOOKUP($A465,'Infinet ExDa'!$B$2:$E$14, 0,FALSE), "Not Found"))))))))</f>
        <v>AVC000139404256</v>
      </c>
      <c r="K465" t="str">
        <f>IFERROR(VLOOKUP($A465,'AAPT ExDa'!$B$2:$U$99, 12,FALSE), IFERROR(VLOOKUP($A465,'ABB ExDa'!$A$2:$N$184, 0,FALSE), IFERROR(VLOOKUP($A465,'Vocus SIT ExDa'!$B$2:$J$173, 0,FALSE), IFERROR(VLOOKUP($A465,'Telstra ExDa'!$B$2:$K$310, 0,FALSE), IFERROR(VLOOKUP($A465,'Vocus RVC ExDa'!$C$2:$R$155, 0,FALSE), IFERROR(VLOOKUP($A465,'Fusion ExDa'!$B$2:$D$16, 0,FALSE), IFERROR(VLOOKUP($A465,'Exetel ExDa'!$C$2:$N$14, 12,FALSE), IFERROR(VLOOKUP($A465,'Infinet ExDa'!$B$2:$E$14, 0,FALSE), "Not Found"))))))))</f>
        <v>Not Found</v>
      </c>
      <c r="L465" s="235" t="str">
        <f>IFERROR(VLOOKUP($A465,'AAPT ExDa'!$B$2:$U$99, 11,FALSE), IFERROR(VLOOKUP($A465,'ABB ExDa'!$A$2:$N$184, 9,FALSE), IFERROR(VLOOKUP($A465,'Vocus SIT ExDa'!$B$2:$J$173, 8,FALSE), IFERROR(VLOOKUP($A465,'Telstra ExDa'!$B$2:$K$310, 0,FALSE), IFERROR(VLOOKUP($A465,'Vocus RVC ExDa'!$C$2:$R$155, 0,FALSE), IFERROR(VLOOKUP($A465,'Fusion ExDa'!$B$2:$D$16, 0,FALSE), IFERROR(VLOOKUP($A465,'Exetel ExDa'!$C$2:$N$14, 9,FALSE), IFERROR(VLOOKUP($A465,'Infinet ExDa'!$B$2:$E$14, 0,FALSE), "Not Found"))))))))</f>
        <v>Not Found</v>
      </c>
      <c r="M465" s="234" t="str">
        <f>IFERROR(VLOOKUP($A465,'AAPT ExDa'!$B$2:$U$99, 0,FALSE), IFERROR(VLOOKUP($A465,'ABB ExDa'!$A$2:$N$184, 0,FALSE), IFERROR(VLOOKUP($A465,'Vocus SIT ExDa'!$B$2:$J$173, 0,FALSE), IFERROR(VLOOKUP($A465,'Telstra ExDa'!$B$2:$K$310, 0,FALSE), IFERROR(VLOOKUP($A465,'Vocus RVC ExDa'!$C$2:$R$155, 0,FALSE), IFERROR(VLOOKUP($A465,'Fusion ExDa'!$B$2:$D$16, 0,FALSE), IFERROR(VLOOKUP($A465,'Exetel ExDa'!$C$2:$N$14, 11,FALSE), IFERROR(VLOOKUP($A465,'Infinet ExDa'!$B$2:$E$14, 0,FALSE), "Not Found"))))))))</f>
        <v>Not Found</v>
      </c>
      <c r="N465" t="str">
        <f>IFERROR(VLOOKUP($A465,'AAPT ExDa'!$B$2:$U$99, 0,FALSE), IFERROR(VLOOKUP($A465,'ABB ExDa'!$A$2:$N$184, 13,FALSE), IFERROR(VLOOKUP($A465,'Vocus SIT ExDa'!$B$2:$J$173, 0,FALSE), IFERROR(VLOOKUP($A465,'Telstra ExDa'!$B$2:$K$310, 0,FALSE), IFERROR(VLOOKUP($A465,'Vocus RVC ExDa'!$C$2:$R$155, 0,FALSE), IFERROR(VLOOKUP($A465,'Fusion ExDa'!$B$2:$D$16, 0,FALSE), IFERROR(VLOOKUP($A465,'Exetel ExDa'!$C$2:$N$14, 0,FALSE), IFERROR(VLOOKUP($A465,'Infinet ExDa'!$B$2:$E$14, 0,FALSE), "Not Found"))))))))</f>
        <v>Not Found</v>
      </c>
    </row>
    <row r="466" spans="1:14">
      <c r="A466">
        <v>0</v>
      </c>
      <c r="B466" t="str">
        <f>IFERROR(VLOOKUP(A466,'Exetel ExDa'!$C$2:$N$14,4,FALSE),"No Data")</f>
        <v>No Data</v>
      </c>
      <c r="C466" t="str">
        <f>IFERROR(VLOOKUP(A466,'AAPT ExDa'!$B$2:$U$99, 2,FALSE), IFERROR(VLOOKUP(A466,'ABB ExDa'!$A$2:$N$184, 2,FALSE), IFERROR(VLOOKUP(A466,'Vocus SIT ExDa'!$B$2:$J$173, 7,FALSE), IFERROR(VLOOKUP(A466,'Telstra ExDa'!$B$2:$K$310, 2,FALSE), IFERROR(VLOOKUP(A466,'Vocus RVC ExDa'!$C$2:$R$155, 3,FALSE), IFERROR(VLOOKUP(A466,'Fusion ExDa'!$B$2:$D$16, 2,FALSE), IFERROR(VLOOKUP(A466,'Exetel ExDa'!$C$2:$N$14, 2,FALSE), IFERROR(VLOOKUP(A466,'Infinet ExDa'!$B$2:$E$14, 2,FALSE), "Not Found"))))))))</f>
        <v>Not Found</v>
      </c>
      <c r="D466" t="str">
        <f>IFERROR(VLOOKUP($A466,'AAPT ExDa'!$B$2:$U$99, 15,FALSE), IFERROR(VLOOKUP($A466,'ABB ExDa'!$A$2:$N$184, 4,FALSE), IFERROR(VLOOKUP($A466,'Vocus SIT ExDa'!$B$2:$J$173, 5,FALSE), IFERROR(VLOOKUP($A466,'Telstra ExDa'!$B$2:$K$310, 8,FALSE), IFERROR(VLOOKUP($A466,'Vocus RVC ExDa'!$C$2:$R$155, 6,FALSE), IFERROR(VLOOKUP($A466,'Fusion ExDa'!$B$2:$D$16, 4,FALSE), IFERROR(VLOOKUP($A466,'Exetel ExDa'!$C$2:$N$14, 3,FALSE), IFERROR(VLOOKUP($A466,'Infinet ExDa'!$B$2:$E$14, 3,FALSE), "Not Found"))))))))</f>
        <v>Not Found</v>
      </c>
      <c r="E466" t="str">
        <f>IFERROR(VLOOKUP($A466,'AAPT ExDa'!$B$2:$U$99, 3,FALSE), IFERROR(VLOOKUP($A466,'ABB ExDa'!$A$2:$N$184, 5,FALSE), IFERROR(VLOOKUP($A466,'Vocus SIT ExDa'!$B$2:$J$173, 2,FALSE), IFERROR(VLOOKUP($A466,'Telstra ExDa'!$B$2:$K$310, 4,FALSE), IFERROR(VLOOKUP($A466,'Vocus RVC ExDa'!$C$2:$R$155, 8,FALSE), IFERROR(VLOOKUP($A466,'Fusion ExDa'!$B$2:$D$16, 4,FALSE), IFERROR(VLOOKUP($A466,'Exetel ExDa'!$C$2:$N$14, 5,FALSE), IFERROR(VLOOKUP($A466,'Infinet ExDa'!$B$2:$E$14, 3,FALSE), "Not Found"))))))))</f>
        <v>Not Found</v>
      </c>
      <c r="F466" t="str">
        <f>IFERROR(VLOOKUP($A466,'AAPT ExDa'!$B$2:$U$99, 4,FALSE), IFERROR(VLOOKUP($A466,'ABB ExDa'!$A$2:$N$184, 6,FALSE), IFERROR(VLOOKUP($A466,'Vocus SIT ExDa'!$B$2:$J$173, 3,FALSE), IFERROR(VLOOKUP($A466,'Telstra ExDa'!$B$2:$K$310, 5,FALSE), IFERROR(VLOOKUP($A466,'Vocus RVC ExDa'!$C$2:$R$155, 9,FALSE), IFERROR(VLOOKUP($A466,'Fusion ExDa'!$B$2:$D$16, 0,FALSE), IFERROR(VLOOKUP($A466,'Exetel ExDa'!$C$2:$N$14, 6,FALSE), IFERROR(VLOOKUP($A466,'Infinet ExDa'!$B$2:$E$14, 0,FALSE), "Not Found"))))))))</f>
        <v>Not Found</v>
      </c>
      <c r="G466" t="str">
        <f>IFERROR(VLOOKUP($A466,'AAPT ExDa'!$B$2:$U$99, 5,FALSE), IFERROR(VLOOKUP($A466,'ABB ExDa'!$A$2:$N$184, 8,FALSE), IFERROR(VLOOKUP($A466,'Vocus SIT ExDa'!$B$2:$J$173, 6,FALSE), IFERROR(VLOOKUP($A466,'Telstra ExDa'!$B$2:$K$310, 0,FALSE), IFERROR(VLOOKUP($A466,'Vocus RVC ExDa'!$C$2:$R$155, 15,FALSE), IFERROR(VLOOKUP($A466,'Fusion ExDa'!$B$2:$D$16, 0,FALSE), IFERROR(VLOOKUP($A466,'Exetel ExDa'!$C$2:$N$14, 7,FALSE), IFERROR(VLOOKUP($A466,'Infinet ExDa'!$B$2:$E$14, 0,FALSE), "Not Found"))))))))</f>
        <v>Not Found</v>
      </c>
      <c r="H466" t="str">
        <f>IFERROR(VLOOKUP($A466,'AAPT ExDa'!$B$2:$U$99, 6,FALSE), IFERROR(VLOOKUP($A466,'ABB ExDa'!$A$2:$N$184, 0,FALSE), IFERROR(VLOOKUP($A466,'Vocus SIT ExDa'!$B$2:$J$173, 0,FALSE), IFERROR(VLOOKUP($A466,'Telstra ExDa'!$B$2:$K$310, 0,FALSE), IFERROR(VLOOKUP($A466,'Vocus RVC ExDa'!$C$2:$R$155, 16,FALSE), IFERROR(VLOOKUP($A466,'Fusion ExDa'!$B$2:$D$16, 0,FALSE), IFERROR(VLOOKUP($A466,'Exetel ExDa'!$C$2:$N$14, 0,FALSE), IFERROR(VLOOKUP($A466,'Infinet ExDa'!$B$2:$E$14, 0,FALSE), "Not Found"))))))))</f>
        <v>Not Found</v>
      </c>
      <c r="I466" t="str">
        <f>IFERROR(VLOOKUP($A466,'AAPT ExDa'!$B$2:$U$99, 0,FALSE), IFERROR(VLOOKUP($A466,'ABB ExDa'!$A$2:$N$184, 0,FALSE), IFERROR(VLOOKUP($A466,'Vocus SIT ExDa'!$B$2:$J$173, 0,FALSE), IFERROR(VLOOKUP($A466,'Telstra ExDa'!$B$2:$K$310, 0,FALSE), IFERROR(VLOOKUP($A466,'Vocus RVC ExDa'!$C$2:$R$155, 0,FALSE), IFERROR(VLOOKUP($A466,'Fusion ExDa'!$B$2:$D$16, 0,FALSE), IFERROR(VLOOKUP($A466,'Exetel ExDa'!$C$2:$N$14, 8,FALSE), IFERROR(VLOOKUP($A466,'Infinet ExDa'!$B$2:$E$14, 0,FALSE), "Not Found"))))))))</f>
        <v>Not Found</v>
      </c>
      <c r="J466" t="str">
        <f>IFERROR(VLOOKUP($A466,'AAPT ExDa'!$B$2:$U$99, 7,FALSE), IFERROR(VLOOKUP($A466,'ABB ExDa'!$A$2:$N$184, 2,FALSE), IFERROR(VLOOKUP($A466,'Vocus SIT ExDa'!$B$2:$J$173, 0,FALSE), IFERROR(VLOOKUP($A466,'Telstra ExDa'!$B$2:$K$310, 7,FALSE), IFERROR(VLOOKUP($A466,'Vocus RVC ExDa'!$C$2:$R$155, 2,FALSE), IFERROR(VLOOKUP($A466,'Fusion ExDa'!$B$2:$D$16, 3,FALSE), IFERROR(VLOOKUP($A466,'Exetel ExDa'!$C$2:$N$14, 0,FALSE), IFERROR(VLOOKUP($A466,'Infinet ExDa'!$B$2:$E$14, 0,FALSE), "Not Found"))))))))</f>
        <v>Not Found</v>
      </c>
      <c r="K466" t="str">
        <f>IFERROR(VLOOKUP($A466,'AAPT ExDa'!$B$2:$U$99, 12,FALSE), IFERROR(VLOOKUP($A466,'ABB ExDa'!$A$2:$N$184, 0,FALSE), IFERROR(VLOOKUP($A466,'Vocus SIT ExDa'!$B$2:$J$173, 0,FALSE), IFERROR(VLOOKUP($A466,'Telstra ExDa'!$B$2:$K$310, 0,FALSE), IFERROR(VLOOKUP($A466,'Vocus RVC ExDa'!$C$2:$R$155, 0,FALSE), IFERROR(VLOOKUP($A466,'Fusion ExDa'!$B$2:$D$16, 0,FALSE), IFERROR(VLOOKUP($A466,'Exetel ExDa'!$C$2:$N$14, 12,FALSE), IFERROR(VLOOKUP($A466,'Infinet ExDa'!$B$2:$E$14, 0,FALSE), "Not Found"))))))))</f>
        <v>Not Found</v>
      </c>
      <c r="L466" s="235" t="str">
        <f>IFERROR(VLOOKUP($A466,'AAPT ExDa'!$B$2:$U$99, 11,FALSE), IFERROR(VLOOKUP($A466,'ABB ExDa'!$A$2:$N$184, 9,FALSE), IFERROR(VLOOKUP($A466,'Vocus SIT ExDa'!$B$2:$J$173, 8,FALSE), IFERROR(VLOOKUP($A466,'Telstra ExDa'!$B$2:$K$310, 0,FALSE), IFERROR(VLOOKUP($A466,'Vocus RVC ExDa'!$C$2:$R$155, 0,FALSE), IFERROR(VLOOKUP($A466,'Fusion ExDa'!$B$2:$D$16, 0,FALSE), IFERROR(VLOOKUP($A466,'Exetel ExDa'!$C$2:$N$14, 9,FALSE), IFERROR(VLOOKUP($A466,'Infinet ExDa'!$B$2:$E$14, 0,FALSE), "Not Found"))))))))</f>
        <v>Not Found</v>
      </c>
      <c r="M466" s="234" t="str">
        <f>IFERROR(VLOOKUP($A466,'AAPT ExDa'!$B$2:$U$99, 0,FALSE), IFERROR(VLOOKUP($A466,'ABB ExDa'!$A$2:$N$184, 0,FALSE), IFERROR(VLOOKUP($A466,'Vocus SIT ExDa'!$B$2:$J$173, 0,FALSE), IFERROR(VLOOKUP($A466,'Telstra ExDa'!$B$2:$K$310, 0,FALSE), IFERROR(VLOOKUP($A466,'Vocus RVC ExDa'!$C$2:$R$155, 0,FALSE), IFERROR(VLOOKUP($A466,'Fusion ExDa'!$B$2:$D$16, 0,FALSE), IFERROR(VLOOKUP($A466,'Exetel ExDa'!$C$2:$N$14, 11,FALSE), IFERROR(VLOOKUP($A466,'Infinet ExDa'!$B$2:$E$14, 0,FALSE), "Not Found"))))))))</f>
        <v>Not Found</v>
      </c>
      <c r="N466" t="str">
        <f>IFERROR(VLOOKUP($A466,'AAPT ExDa'!$B$2:$U$99, 0,FALSE), IFERROR(VLOOKUP($A466,'ABB ExDa'!$A$2:$N$184, 13,FALSE), IFERROR(VLOOKUP($A466,'Vocus SIT ExDa'!$B$2:$J$173, 0,FALSE), IFERROR(VLOOKUP($A466,'Telstra ExDa'!$B$2:$K$310, 0,FALSE), IFERROR(VLOOKUP($A466,'Vocus RVC ExDa'!$C$2:$R$155, 0,FALSE), IFERROR(VLOOKUP($A466,'Fusion ExDa'!$B$2:$D$16, 0,FALSE), IFERROR(VLOOKUP($A466,'Exetel ExDa'!$C$2:$N$14, 0,FALSE), IFERROR(VLOOKUP($A466,'Infinet ExDa'!$B$2:$E$14, 0,FALSE), "Not Found"))))))))</f>
        <v>Not Found</v>
      </c>
    </row>
    <row r="467" spans="1:14">
      <c r="A467" t="str">
        <v>Zambrero Batemans Bay</v>
      </c>
      <c r="B467" t="str">
        <f>IFERROR(VLOOKUP(A467,'Exetel ExDa'!$C$2:$N$14,4,FALSE),"No Data")</f>
        <v>No Data</v>
      </c>
      <c r="C467" t="str">
        <f>IFERROR(VLOOKUP(A467,'AAPT ExDa'!$B$2:$U$99, 2,FALSE), IFERROR(VLOOKUP(A467,'ABB ExDa'!$A$2:$N$184, 2,FALSE), IFERROR(VLOOKUP(A467,'Vocus SIT ExDa'!$B$2:$J$173, 7,FALSE), IFERROR(VLOOKUP(A467,'Telstra ExDa'!$B$2:$K$310, 2,FALSE), IFERROR(VLOOKUP(A467,'Vocus RVC ExDa'!$C$2:$R$155, 3,FALSE), IFERROR(VLOOKUP(A467,'Fusion ExDa'!$B$2:$D$16, 2,FALSE), IFERROR(VLOOKUP(A467,'Exetel ExDa'!$C$2:$N$14, 2,FALSE), IFERROR(VLOOKUP(A467,'Infinet ExDa'!$B$2:$E$14, 2,FALSE), "Not Found"))))))))</f>
        <v>SHOP 2, 8 NORTH ST, BATEMANS BAY NSW 2536</v>
      </c>
      <c r="D467" t="str">
        <f>IFERROR(VLOOKUP($A467,'AAPT ExDa'!$B$2:$U$99, 15,FALSE), IFERROR(VLOOKUP($A467,'ABB ExDa'!$A$2:$N$184, 4,FALSE), IFERROR(VLOOKUP($A467,'Vocus SIT ExDa'!$B$2:$J$173, 5,FALSE), IFERROR(VLOOKUP($A467,'Telstra ExDa'!$B$2:$K$310, 8,FALSE), IFERROR(VLOOKUP($A467,'Vocus RVC ExDa'!$C$2:$R$155, 6,FALSE), IFERROR(VLOOKUP($A467,'Fusion ExDa'!$B$2:$D$16, 4,FALSE), IFERROR(VLOOKUP($A467,'Exetel ExDa'!$C$2:$N$14, 3,FALSE), IFERROR(VLOOKUP($A467,'Infinet ExDa'!$B$2:$E$14, 3,FALSE), "Not Found"))))))))</f>
        <v>Telstra</v>
      </c>
      <c r="E467" t="str">
        <f>IFERROR(VLOOKUP($A467,'AAPT ExDa'!$B$2:$U$99, 3,FALSE), IFERROR(VLOOKUP($A467,'ABB ExDa'!$A$2:$N$184, 5,FALSE), IFERROR(VLOOKUP($A467,'Vocus SIT ExDa'!$B$2:$J$173, 2,FALSE), IFERROR(VLOOKUP($A467,'Telstra ExDa'!$B$2:$K$310, 4,FALSE), IFERROR(VLOOKUP($A467,'Vocus RVC ExDa'!$C$2:$R$155, 8,FALSE), IFERROR(VLOOKUP($A467,'Fusion ExDa'!$B$2:$D$16, 4,FALSE), IFERROR(VLOOKUP($A467,'Exetel ExDa'!$C$2:$N$14, 5,FALSE), IFERROR(VLOOKUP($A467,'Infinet ExDa'!$B$2:$E$14, 3,FALSE), "Not Found"))))))))</f>
        <v>Standard Speed NBN 25Mbps</v>
      </c>
      <c r="F467" t="str">
        <f>IFERROR(VLOOKUP($A467,'AAPT ExDa'!$B$2:$U$99, 4,FALSE), IFERROR(VLOOKUP($A467,'ABB ExDa'!$A$2:$N$184, 6,FALSE), IFERROR(VLOOKUP($A467,'Vocus SIT ExDa'!$B$2:$J$173, 3,FALSE), IFERROR(VLOOKUP($A467,'Telstra ExDa'!$B$2:$K$310, 5,FALSE), IFERROR(VLOOKUP($A467,'Vocus RVC ExDa'!$C$2:$R$155, 9,FALSE), IFERROR(VLOOKUP($A467,'Fusion ExDa'!$B$2:$D$16, 0,FALSE), IFERROR(VLOOKUP($A467,'Exetel ExDa'!$C$2:$N$14, 6,FALSE), IFERROR(VLOOKUP($A467,'Infinet ExDa'!$B$2:$E$14, 0,FALSE), "Not Found"))))))))</f>
        <v>Upfront Internet Plan Basic</v>
      </c>
      <c r="G467" t="str">
        <f>IFERROR(VLOOKUP($A467,'AAPT ExDa'!$B$2:$U$99, 5,FALSE), IFERROR(VLOOKUP($A467,'ABB ExDa'!$A$2:$N$184, 8,FALSE), IFERROR(VLOOKUP($A467,'Vocus SIT ExDa'!$B$2:$J$173, 6,FALSE), IFERROR(VLOOKUP($A467,'Telstra ExDa'!$B$2:$K$310, 0,FALSE), IFERROR(VLOOKUP($A467,'Vocus RVC ExDa'!$C$2:$R$155, 15,FALSE), IFERROR(VLOOKUP($A467,'Fusion ExDa'!$B$2:$D$16, 0,FALSE), IFERROR(VLOOKUP($A467,'Exetel ExDa'!$C$2:$N$14, 7,FALSE), IFERROR(VLOOKUP($A467,'Infinet ExDa'!$B$2:$E$14, 0,FALSE), "Not Found"))))))))</f>
        <v>Not Found</v>
      </c>
      <c r="H467" t="str">
        <f>IFERROR(VLOOKUP($A467,'AAPT ExDa'!$B$2:$U$99, 6,FALSE), IFERROR(VLOOKUP($A467,'ABB ExDa'!$A$2:$N$184, 0,FALSE), IFERROR(VLOOKUP($A467,'Vocus SIT ExDa'!$B$2:$J$173, 0,FALSE), IFERROR(VLOOKUP($A467,'Telstra ExDa'!$B$2:$K$310, 0,FALSE), IFERROR(VLOOKUP($A467,'Vocus RVC ExDa'!$C$2:$R$155, 16,FALSE), IFERROR(VLOOKUP($A467,'Fusion ExDa'!$B$2:$D$16, 0,FALSE), IFERROR(VLOOKUP($A467,'Exetel ExDa'!$C$2:$N$14, 0,FALSE), IFERROR(VLOOKUP($A467,'Infinet ExDa'!$B$2:$E$14, 0,FALSE), "Not Found"))))))))</f>
        <v>Not Found</v>
      </c>
      <c r="I467" t="str">
        <f>IFERROR(VLOOKUP($A467,'AAPT ExDa'!$B$2:$U$99, 0,FALSE), IFERROR(VLOOKUP($A467,'ABB ExDa'!$A$2:$N$184, 0,FALSE), IFERROR(VLOOKUP($A467,'Vocus SIT ExDa'!$B$2:$J$173, 0,FALSE), IFERROR(VLOOKUP($A467,'Telstra ExDa'!$B$2:$K$310, 0,FALSE), IFERROR(VLOOKUP($A467,'Vocus RVC ExDa'!$C$2:$R$155, 0,FALSE), IFERROR(VLOOKUP($A467,'Fusion ExDa'!$B$2:$D$16, 0,FALSE), IFERROR(VLOOKUP($A467,'Exetel ExDa'!$C$2:$N$14, 8,FALSE), IFERROR(VLOOKUP($A467,'Infinet ExDa'!$B$2:$E$14, 0,FALSE), "Not Found"))))))))</f>
        <v>Not Found</v>
      </c>
      <c r="J467" t="str">
        <f>IFERROR(VLOOKUP($A467,'AAPT ExDa'!$B$2:$U$99, 7,FALSE), IFERROR(VLOOKUP($A467,'ABB ExDa'!$A$2:$N$184, 2,FALSE), IFERROR(VLOOKUP($A467,'Vocus SIT ExDa'!$B$2:$J$173, 0,FALSE), IFERROR(VLOOKUP($A467,'Telstra ExDa'!$B$2:$K$310, 7,FALSE), IFERROR(VLOOKUP($A467,'Vocus RVC ExDa'!$C$2:$R$155, 2,FALSE), IFERROR(VLOOKUP($A467,'Fusion ExDa'!$B$2:$D$16, 3,FALSE), IFERROR(VLOOKUP($A467,'Exetel ExDa'!$C$2:$N$14, 0,FALSE), IFERROR(VLOOKUP($A467,'Infinet ExDa'!$B$2:$E$14, 0,FALSE), "Not Found"))))))))</f>
        <v>AVC000157988192</v>
      </c>
      <c r="K467" t="str">
        <f>IFERROR(VLOOKUP($A467,'AAPT ExDa'!$B$2:$U$99, 12,FALSE), IFERROR(VLOOKUP($A467,'ABB ExDa'!$A$2:$N$184, 0,FALSE), IFERROR(VLOOKUP($A467,'Vocus SIT ExDa'!$B$2:$J$173, 0,FALSE), IFERROR(VLOOKUP($A467,'Telstra ExDa'!$B$2:$K$310, 0,FALSE), IFERROR(VLOOKUP($A467,'Vocus RVC ExDa'!$C$2:$R$155, 0,FALSE), IFERROR(VLOOKUP($A467,'Fusion ExDa'!$B$2:$D$16, 0,FALSE), IFERROR(VLOOKUP($A467,'Exetel ExDa'!$C$2:$N$14, 12,FALSE), IFERROR(VLOOKUP($A467,'Infinet ExDa'!$B$2:$E$14, 0,FALSE), "Not Found"))))))))</f>
        <v>Not Found</v>
      </c>
      <c r="L467" s="235" t="str">
        <f>IFERROR(VLOOKUP($A467,'AAPT ExDa'!$B$2:$U$99, 11,FALSE), IFERROR(VLOOKUP($A467,'ABB ExDa'!$A$2:$N$184, 9,FALSE), IFERROR(VLOOKUP($A467,'Vocus SIT ExDa'!$B$2:$J$173, 8,FALSE), IFERROR(VLOOKUP($A467,'Telstra ExDa'!$B$2:$K$310, 0,FALSE), IFERROR(VLOOKUP($A467,'Vocus RVC ExDa'!$C$2:$R$155, 0,FALSE), IFERROR(VLOOKUP($A467,'Fusion ExDa'!$B$2:$D$16, 0,FALSE), IFERROR(VLOOKUP($A467,'Exetel ExDa'!$C$2:$N$14, 9,FALSE), IFERROR(VLOOKUP($A467,'Infinet ExDa'!$B$2:$E$14, 0,FALSE), "Not Found"))))))))</f>
        <v>Not Found</v>
      </c>
      <c r="M467" s="234" t="str">
        <f>IFERROR(VLOOKUP($A467,'AAPT ExDa'!$B$2:$U$99, 0,FALSE), IFERROR(VLOOKUP($A467,'ABB ExDa'!$A$2:$N$184, 0,FALSE), IFERROR(VLOOKUP($A467,'Vocus SIT ExDa'!$B$2:$J$173, 0,FALSE), IFERROR(VLOOKUP($A467,'Telstra ExDa'!$B$2:$K$310, 0,FALSE), IFERROR(VLOOKUP($A467,'Vocus RVC ExDa'!$C$2:$R$155, 0,FALSE), IFERROR(VLOOKUP($A467,'Fusion ExDa'!$B$2:$D$16, 0,FALSE), IFERROR(VLOOKUP($A467,'Exetel ExDa'!$C$2:$N$14, 11,FALSE), IFERROR(VLOOKUP($A467,'Infinet ExDa'!$B$2:$E$14, 0,FALSE), "Not Found"))))))))</f>
        <v>Not Found</v>
      </c>
      <c r="N467" t="str">
        <f>IFERROR(VLOOKUP($A467,'AAPT ExDa'!$B$2:$U$99, 0,FALSE), IFERROR(VLOOKUP($A467,'ABB ExDa'!$A$2:$N$184, 13,FALSE), IFERROR(VLOOKUP($A467,'Vocus SIT ExDa'!$B$2:$J$173, 0,FALSE), IFERROR(VLOOKUP($A467,'Telstra ExDa'!$B$2:$K$310, 0,FALSE), IFERROR(VLOOKUP($A467,'Vocus RVC ExDa'!$C$2:$R$155, 0,FALSE), IFERROR(VLOOKUP($A467,'Fusion ExDa'!$B$2:$D$16, 0,FALSE), IFERROR(VLOOKUP($A467,'Exetel ExDa'!$C$2:$N$14, 0,FALSE), IFERROR(VLOOKUP($A467,'Infinet ExDa'!$B$2:$E$14, 0,FALSE), "Not Found"))))))))</f>
        <v>Not Found</v>
      </c>
    </row>
    <row r="468" spans="1:14">
      <c r="A468" t="str">
        <v>Zambrero Kelmscott</v>
      </c>
      <c r="B468" t="str">
        <f>IFERROR(VLOOKUP(A468,'Exetel ExDa'!$C$2:$N$14,4,FALSE),"No Data")</f>
        <v>No Data</v>
      </c>
      <c r="C468" t="str">
        <f>IFERROR(VLOOKUP(A468,'AAPT ExDa'!$B$2:$U$99, 2,FALSE), IFERROR(VLOOKUP(A468,'ABB ExDa'!$A$2:$N$184, 2,FALSE), IFERROR(VLOOKUP(A468,'Vocus SIT ExDa'!$B$2:$J$173, 7,FALSE), IFERROR(VLOOKUP(A468,'Telstra ExDa'!$B$2:$K$310, 2,FALSE), IFERROR(VLOOKUP(A468,'Vocus RVC ExDa'!$C$2:$R$155, 3,FALSE), IFERROR(VLOOKUP(A468,'Fusion ExDa'!$B$2:$D$16, 2,FALSE), IFERROR(VLOOKUP(A468,'Exetel ExDa'!$C$2:$N$14, 2,FALSE), IFERROR(VLOOKUP(A468,'Infinet ExDa'!$B$2:$E$14, 2,FALSE), "Not Found"))))))))</f>
        <v>SHOP 1 4 CHURCH ST, KELMSCOTT, WA 6111</v>
      </c>
      <c r="D468" t="str">
        <f>IFERROR(VLOOKUP($A468,'AAPT ExDa'!$B$2:$U$99, 15,FALSE), IFERROR(VLOOKUP($A468,'ABB ExDa'!$A$2:$N$184, 4,FALSE), IFERROR(VLOOKUP($A468,'Vocus SIT ExDa'!$B$2:$J$173, 5,FALSE), IFERROR(VLOOKUP($A468,'Telstra ExDa'!$B$2:$K$310, 8,FALSE), IFERROR(VLOOKUP($A468,'Vocus RVC ExDa'!$C$2:$R$155, 6,FALSE), IFERROR(VLOOKUP($A468,'Fusion ExDa'!$B$2:$D$16, 4,FALSE), IFERROR(VLOOKUP($A468,'Exetel ExDa'!$C$2:$N$14, 3,FALSE), IFERROR(VLOOKUP($A468,'Infinet ExDa'!$B$2:$E$14, 3,FALSE), "Not Found"))))))))</f>
        <v>Telstra</v>
      </c>
      <c r="E468" t="str">
        <f>IFERROR(VLOOKUP($A468,'AAPT ExDa'!$B$2:$U$99, 3,FALSE), IFERROR(VLOOKUP($A468,'ABB ExDa'!$A$2:$N$184, 5,FALSE), IFERROR(VLOOKUP($A468,'Vocus SIT ExDa'!$B$2:$J$173, 2,FALSE), IFERROR(VLOOKUP($A468,'Telstra ExDa'!$B$2:$K$310, 4,FALSE), IFERROR(VLOOKUP($A468,'Vocus RVC ExDa'!$C$2:$R$155, 8,FALSE), IFERROR(VLOOKUP($A468,'Fusion ExDa'!$B$2:$D$16, 4,FALSE), IFERROR(VLOOKUP($A468,'Exetel ExDa'!$C$2:$N$14, 5,FALSE), IFERROR(VLOOKUP($A468,'Infinet ExDa'!$B$2:$E$14, 3,FALSE), "Not Found"))))))))</f>
        <v>Standard Speed NBN 25Mbps &amp; Static IP</v>
      </c>
      <c r="F468" t="str">
        <f>IFERROR(VLOOKUP($A468,'AAPT ExDa'!$B$2:$U$99, 4,FALSE), IFERROR(VLOOKUP($A468,'ABB ExDa'!$A$2:$N$184, 6,FALSE), IFERROR(VLOOKUP($A468,'Vocus SIT ExDa'!$B$2:$J$173, 3,FALSE), IFERROR(VLOOKUP($A468,'Telstra ExDa'!$B$2:$K$310, 5,FALSE), IFERROR(VLOOKUP($A468,'Vocus RVC ExDa'!$C$2:$R$155, 9,FALSE), IFERROR(VLOOKUP($A468,'Fusion ExDa'!$B$2:$D$16, 0,FALSE), IFERROR(VLOOKUP($A468,'Exetel ExDa'!$C$2:$N$14, 6,FALSE), IFERROR(VLOOKUP($A468,'Infinet ExDa'!$B$2:$E$14, 0,FALSE), "Not Found"))))))))</f>
        <v>Upfront Internet Plan Basic</v>
      </c>
      <c r="G468" t="str">
        <f>IFERROR(VLOOKUP($A468,'AAPT ExDa'!$B$2:$U$99, 5,FALSE), IFERROR(VLOOKUP($A468,'ABB ExDa'!$A$2:$N$184, 8,FALSE), IFERROR(VLOOKUP($A468,'Vocus SIT ExDa'!$B$2:$J$173, 6,FALSE), IFERROR(VLOOKUP($A468,'Telstra ExDa'!$B$2:$K$310, 0,FALSE), IFERROR(VLOOKUP($A468,'Vocus RVC ExDa'!$C$2:$R$155, 15,FALSE), IFERROR(VLOOKUP($A468,'Fusion ExDa'!$B$2:$D$16, 0,FALSE), IFERROR(VLOOKUP($A468,'Exetel ExDa'!$C$2:$N$14, 7,FALSE), IFERROR(VLOOKUP($A468,'Infinet ExDa'!$B$2:$E$14, 0,FALSE), "Not Found"))))))))</f>
        <v>Not Found</v>
      </c>
      <c r="H468" t="str">
        <f>IFERROR(VLOOKUP($A468,'AAPT ExDa'!$B$2:$U$99, 6,FALSE), IFERROR(VLOOKUP($A468,'ABB ExDa'!$A$2:$N$184, 0,FALSE), IFERROR(VLOOKUP($A468,'Vocus SIT ExDa'!$B$2:$J$173, 0,FALSE), IFERROR(VLOOKUP($A468,'Telstra ExDa'!$B$2:$K$310, 0,FALSE), IFERROR(VLOOKUP($A468,'Vocus RVC ExDa'!$C$2:$R$155, 16,FALSE), IFERROR(VLOOKUP($A468,'Fusion ExDa'!$B$2:$D$16, 0,FALSE), IFERROR(VLOOKUP($A468,'Exetel ExDa'!$C$2:$N$14, 0,FALSE), IFERROR(VLOOKUP($A468,'Infinet ExDa'!$B$2:$E$14, 0,FALSE), "Not Found"))))))))</f>
        <v>Not Found</v>
      </c>
      <c r="I468" t="str">
        <f>IFERROR(VLOOKUP($A468,'AAPT ExDa'!$B$2:$U$99, 0,FALSE), IFERROR(VLOOKUP($A468,'ABB ExDa'!$A$2:$N$184, 0,FALSE), IFERROR(VLOOKUP($A468,'Vocus SIT ExDa'!$B$2:$J$173, 0,FALSE), IFERROR(VLOOKUP($A468,'Telstra ExDa'!$B$2:$K$310, 0,FALSE), IFERROR(VLOOKUP($A468,'Vocus RVC ExDa'!$C$2:$R$155, 0,FALSE), IFERROR(VLOOKUP($A468,'Fusion ExDa'!$B$2:$D$16, 0,FALSE), IFERROR(VLOOKUP($A468,'Exetel ExDa'!$C$2:$N$14, 8,FALSE), IFERROR(VLOOKUP($A468,'Infinet ExDa'!$B$2:$E$14, 0,FALSE), "Not Found"))))))))</f>
        <v>Not Found</v>
      </c>
      <c r="J468" t="str">
        <f>IFERROR(VLOOKUP($A468,'AAPT ExDa'!$B$2:$U$99, 7,FALSE), IFERROR(VLOOKUP($A468,'ABB ExDa'!$A$2:$N$184, 2,FALSE), IFERROR(VLOOKUP($A468,'Vocus SIT ExDa'!$B$2:$J$173, 0,FALSE), IFERROR(VLOOKUP($A468,'Telstra ExDa'!$B$2:$K$310, 7,FALSE), IFERROR(VLOOKUP($A468,'Vocus RVC ExDa'!$C$2:$R$155, 2,FALSE), IFERROR(VLOOKUP($A468,'Fusion ExDa'!$B$2:$D$16, 3,FALSE), IFERROR(VLOOKUP($A468,'Exetel ExDa'!$C$2:$N$14, 0,FALSE), IFERROR(VLOOKUP($A468,'Infinet ExDa'!$B$2:$E$14, 0,FALSE), "Not Found"))))))))</f>
        <v>AVC000114665989</v>
      </c>
      <c r="K468" t="str">
        <f>IFERROR(VLOOKUP($A468,'AAPT ExDa'!$B$2:$U$99, 12,FALSE), IFERROR(VLOOKUP($A468,'ABB ExDa'!$A$2:$N$184, 0,FALSE), IFERROR(VLOOKUP($A468,'Vocus SIT ExDa'!$B$2:$J$173, 0,FALSE), IFERROR(VLOOKUP($A468,'Telstra ExDa'!$B$2:$K$310, 0,FALSE), IFERROR(VLOOKUP($A468,'Vocus RVC ExDa'!$C$2:$R$155, 0,FALSE), IFERROR(VLOOKUP($A468,'Fusion ExDa'!$B$2:$D$16, 0,FALSE), IFERROR(VLOOKUP($A468,'Exetel ExDa'!$C$2:$N$14, 12,FALSE), IFERROR(VLOOKUP($A468,'Infinet ExDa'!$B$2:$E$14, 0,FALSE), "Not Found"))))))))</f>
        <v>Not Found</v>
      </c>
      <c r="L468" s="235" t="str">
        <f>IFERROR(VLOOKUP($A468,'AAPT ExDa'!$B$2:$U$99, 11,FALSE), IFERROR(VLOOKUP($A468,'ABB ExDa'!$A$2:$N$184, 9,FALSE), IFERROR(VLOOKUP($A468,'Vocus SIT ExDa'!$B$2:$J$173, 8,FALSE), IFERROR(VLOOKUP($A468,'Telstra ExDa'!$B$2:$K$310, 0,FALSE), IFERROR(VLOOKUP($A468,'Vocus RVC ExDa'!$C$2:$R$155, 0,FALSE), IFERROR(VLOOKUP($A468,'Fusion ExDa'!$B$2:$D$16, 0,FALSE), IFERROR(VLOOKUP($A468,'Exetel ExDa'!$C$2:$N$14, 9,FALSE), IFERROR(VLOOKUP($A468,'Infinet ExDa'!$B$2:$E$14, 0,FALSE), "Not Found"))))))))</f>
        <v>Not Found</v>
      </c>
      <c r="M468" s="234" t="str">
        <f>IFERROR(VLOOKUP($A468,'AAPT ExDa'!$B$2:$U$99, 0,FALSE), IFERROR(VLOOKUP($A468,'ABB ExDa'!$A$2:$N$184, 0,FALSE), IFERROR(VLOOKUP($A468,'Vocus SIT ExDa'!$B$2:$J$173, 0,FALSE), IFERROR(VLOOKUP($A468,'Telstra ExDa'!$B$2:$K$310, 0,FALSE), IFERROR(VLOOKUP($A468,'Vocus RVC ExDa'!$C$2:$R$155, 0,FALSE), IFERROR(VLOOKUP($A468,'Fusion ExDa'!$B$2:$D$16, 0,FALSE), IFERROR(VLOOKUP($A468,'Exetel ExDa'!$C$2:$N$14, 11,FALSE), IFERROR(VLOOKUP($A468,'Infinet ExDa'!$B$2:$E$14, 0,FALSE), "Not Found"))))))))</f>
        <v>Not Found</v>
      </c>
      <c r="N468" t="str">
        <f>IFERROR(VLOOKUP($A468,'AAPT ExDa'!$B$2:$U$99, 0,FALSE), IFERROR(VLOOKUP($A468,'ABB ExDa'!$A$2:$N$184, 13,FALSE), IFERROR(VLOOKUP($A468,'Vocus SIT ExDa'!$B$2:$J$173, 0,FALSE), IFERROR(VLOOKUP($A468,'Telstra ExDa'!$B$2:$K$310, 0,FALSE), IFERROR(VLOOKUP($A468,'Vocus RVC ExDa'!$C$2:$R$155, 0,FALSE), IFERROR(VLOOKUP($A468,'Fusion ExDa'!$B$2:$D$16, 0,FALSE), IFERROR(VLOOKUP($A468,'Exetel ExDa'!$C$2:$N$14, 0,FALSE), IFERROR(VLOOKUP($A468,'Infinet ExDa'!$B$2:$E$14, 0,FALSE), "Not Found"))))))))</f>
        <v>Not Found</v>
      </c>
    </row>
    <row r="469" spans="1:14">
      <c r="A469" t="str">
        <v>Rumi Persian Restaurant</v>
      </c>
      <c r="B469" t="str">
        <f>IFERROR(VLOOKUP(A469,'Exetel ExDa'!$C$2:$N$14,4,FALSE),"No Data")</f>
        <v>No Data</v>
      </c>
      <c r="C469" t="str">
        <f>IFERROR(VLOOKUP(A469,'AAPT ExDa'!$B$2:$U$99, 2,FALSE), IFERROR(VLOOKUP(A469,'ABB ExDa'!$A$2:$N$184, 2,FALSE), IFERROR(VLOOKUP(A469,'Vocus SIT ExDa'!$B$2:$J$173, 7,FALSE), IFERROR(VLOOKUP(A469,'Telstra ExDa'!$B$2:$K$310, 2,FALSE), IFERROR(VLOOKUP(A469,'Vocus RVC ExDa'!$C$2:$R$155, 3,FALSE), IFERROR(VLOOKUP(A469,'Fusion ExDa'!$B$2:$D$16, 2,FALSE), IFERROR(VLOOKUP(A469,'Exetel ExDa'!$C$2:$N$14, 2,FALSE), IFERROR(VLOOKUP(A469,'Infinet ExDa'!$B$2:$E$14, 2,FALSE), "Not Found"))))))))</f>
        <v xml:space="preserve">UNIT, BROADBEACH WATERS, QLD 4218 </v>
      </c>
      <c r="D469" t="str">
        <f>IFERROR(VLOOKUP($A469,'AAPT ExDa'!$B$2:$U$99, 15,FALSE), IFERROR(VLOOKUP($A469,'ABB ExDa'!$A$2:$N$184, 4,FALSE), IFERROR(VLOOKUP($A469,'Vocus SIT ExDa'!$B$2:$J$173, 5,FALSE), IFERROR(VLOOKUP($A469,'Telstra ExDa'!$B$2:$K$310, 8,FALSE), IFERROR(VLOOKUP($A469,'Vocus RVC ExDa'!$C$2:$R$155, 6,FALSE), IFERROR(VLOOKUP($A469,'Fusion ExDa'!$B$2:$D$16, 4,FALSE), IFERROR(VLOOKUP($A469,'Exetel ExDa'!$C$2:$N$14, 3,FALSE), IFERROR(VLOOKUP($A469,'Infinet ExDa'!$B$2:$E$14, 3,FALSE), "Not Found"))))))))</f>
        <v>Telstra</v>
      </c>
      <c r="E469" t="str">
        <f>IFERROR(VLOOKUP($A469,'AAPT ExDa'!$B$2:$U$99, 3,FALSE), IFERROR(VLOOKUP($A469,'ABB ExDa'!$A$2:$N$184, 5,FALSE), IFERROR(VLOOKUP($A469,'Vocus SIT ExDa'!$B$2:$J$173, 2,FALSE), IFERROR(VLOOKUP($A469,'Telstra ExDa'!$B$2:$K$310, 4,FALSE), IFERROR(VLOOKUP($A469,'Vocus RVC ExDa'!$C$2:$R$155, 8,FALSE), IFERROR(VLOOKUP($A469,'Fusion ExDa'!$B$2:$D$16, 4,FALSE), IFERROR(VLOOKUP($A469,'Exetel ExDa'!$C$2:$N$14, 5,FALSE), IFERROR(VLOOKUP($A469,'Infinet ExDa'!$B$2:$E$14, 3,FALSE), "Not Found"))))))))</f>
        <v>Standard Speed NBN 25Mbps</v>
      </c>
      <c r="F469" t="str">
        <f>IFERROR(VLOOKUP($A469,'AAPT ExDa'!$B$2:$U$99, 4,FALSE), IFERROR(VLOOKUP($A469,'ABB ExDa'!$A$2:$N$184, 6,FALSE), IFERROR(VLOOKUP($A469,'Vocus SIT ExDa'!$B$2:$J$173, 3,FALSE), IFERROR(VLOOKUP($A469,'Telstra ExDa'!$B$2:$K$310, 5,FALSE), IFERROR(VLOOKUP($A469,'Vocus RVC ExDa'!$C$2:$R$155, 9,FALSE), IFERROR(VLOOKUP($A469,'Fusion ExDa'!$B$2:$D$16, 0,FALSE), IFERROR(VLOOKUP($A469,'Exetel ExDa'!$C$2:$N$14, 6,FALSE), IFERROR(VLOOKUP($A469,'Infinet ExDa'!$B$2:$E$14, 0,FALSE), "Not Found"))))))))</f>
        <v>Upfront Internet Plan Basic</v>
      </c>
      <c r="G469" t="str">
        <f>IFERROR(VLOOKUP($A469,'AAPT ExDa'!$B$2:$U$99, 5,FALSE), IFERROR(VLOOKUP($A469,'ABB ExDa'!$A$2:$N$184, 8,FALSE), IFERROR(VLOOKUP($A469,'Vocus SIT ExDa'!$B$2:$J$173, 6,FALSE), IFERROR(VLOOKUP($A469,'Telstra ExDa'!$B$2:$K$310, 0,FALSE), IFERROR(VLOOKUP($A469,'Vocus RVC ExDa'!$C$2:$R$155, 15,FALSE), IFERROR(VLOOKUP($A469,'Fusion ExDa'!$B$2:$D$16, 0,FALSE), IFERROR(VLOOKUP($A469,'Exetel ExDa'!$C$2:$N$14, 7,FALSE), IFERROR(VLOOKUP($A469,'Infinet ExDa'!$B$2:$E$14, 0,FALSE), "Not Found"))))))))</f>
        <v>Not Found</v>
      </c>
      <c r="H469" t="str">
        <f>IFERROR(VLOOKUP($A469,'AAPT ExDa'!$B$2:$U$99, 6,FALSE), IFERROR(VLOOKUP($A469,'ABB ExDa'!$A$2:$N$184, 0,FALSE), IFERROR(VLOOKUP($A469,'Vocus SIT ExDa'!$B$2:$J$173, 0,FALSE), IFERROR(VLOOKUP($A469,'Telstra ExDa'!$B$2:$K$310, 0,FALSE), IFERROR(VLOOKUP($A469,'Vocus RVC ExDa'!$C$2:$R$155, 16,FALSE), IFERROR(VLOOKUP($A469,'Fusion ExDa'!$B$2:$D$16, 0,FALSE), IFERROR(VLOOKUP($A469,'Exetel ExDa'!$C$2:$N$14, 0,FALSE), IFERROR(VLOOKUP($A469,'Infinet ExDa'!$B$2:$E$14, 0,FALSE), "Not Found"))))))))</f>
        <v>Not Found</v>
      </c>
      <c r="I469" t="str">
        <f>IFERROR(VLOOKUP($A469,'AAPT ExDa'!$B$2:$U$99, 0,FALSE), IFERROR(VLOOKUP($A469,'ABB ExDa'!$A$2:$N$184, 0,FALSE), IFERROR(VLOOKUP($A469,'Vocus SIT ExDa'!$B$2:$J$173, 0,FALSE), IFERROR(VLOOKUP($A469,'Telstra ExDa'!$B$2:$K$310, 0,FALSE), IFERROR(VLOOKUP($A469,'Vocus RVC ExDa'!$C$2:$R$155, 0,FALSE), IFERROR(VLOOKUP($A469,'Fusion ExDa'!$B$2:$D$16, 0,FALSE), IFERROR(VLOOKUP($A469,'Exetel ExDa'!$C$2:$N$14, 8,FALSE), IFERROR(VLOOKUP($A469,'Infinet ExDa'!$B$2:$E$14, 0,FALSE), "Not Found"))))))))</f>
        <v>Not Found</v>
      </c>
      <c r="J469" t="str">
        <f>IFERROR(VLOOKUP($A469,'AAPT ExDa'!$B$2:$U$99, 7,FALSE), IFERROR(VLOOKUP($A469,'ABB ExDa'!$A$2:$N$184, 2,FALSE), IFERROR(VLOOKUP($A469,'Vocus SIT ExDa'!$B$2:$J$173, 0,FALSE), IFERROR(VLOOKUP($A469,'Telstra ExDa'!$B$2:$K$310, 7,FALSE), IFERROR(VLOOKUP($A469,'Vocus RVC ExDa'!$C$2:$R$155, 2,FALSE), IFERROR(VLOOKUP($A469,'Fusion ExDa'!$B$2:$D$16, 3,FALSE), IFERROR(VLOOKUP($A469,'Exetel ExDa'!$C$2:$N$14, 0,FALSE), IFERROR(VLOOKUP($A469,'Infinet ExDa'!$B$2:$E$14, 0,FALSE), "Not Found"))))))))</f>
        <v>AVC400038259684</v>
      </c>
      <c r="K469" t="str">
        <f>IFERROR(VLOOKUP($A469,'AAPT ExDa'!$B$2:$U$99, 12,FALSE), IFERROR(VLOOKUP($A469,'ABB ExDa'!$A$2:$N$184, 0,FALSE), IFERROR(VLOOKUP($A469,'Vocus SIT ExDa'!$B$2:$J$173, 0,FALSE), IFERROR(VLOOKUP($A469,'Telstra ExDa'!$B$2:$K$310, 0,FALSE), IFERROR(VLOOKUP($A469,'Vocus RVC ExDa'!$C$2:$R$155, 0,FALSE), IFERROR(VLOOKUP($A469,'Fusion ExDa'!$B$2:$D$16, 0,FALSE), IFERROR(VLOOKUP($A469,'Exetel ExDa'!$C$2:$N$14, 12,FALSE), IFERROR(VLOOKUP($A469,'Infinet ExDa'!$B$2:$E$14, 0,FALSE), "Not Found"))))))))</f>
        <v>Not Found</v>
      </c>
      <c r="L469" s="235" t="str">
        <f>IFERROR(VLOOKUP($A469,'AAPT ExDa'!$B$2:$U$99, 11,FALSE), IFERROR(VLOOKUP($A469,'ABB ExDa'!$A$2:$N$184, 9,FALSE), IFERROR(VLOOKUP($A469,'Vocus SIT ExDa'!$B$2:$J$173, 8,FALSE), IFERROR(VLOOKUP($A469,'Telstra ExDa'!$B$2:$K$310, 0,FALSE), IFERROR(VLOOKUP($A469,'Vocus RVC ExDa'!$C$2:$R$155, 0,FALSE), IFERROR(VLOOKUP($A469,'Fusion ExDa'!$B$2:$D$16, 0,FALSE), IFERROR(VLOOKUP($A469,'Exetel ExDa'!$C$2:$N$14, 9,FALSE), IFERROR(VLOOKUP($A469,'Infinet ExDa'!$B$2:$E$14, 0,FALSE), "Not Found"))))))))</f>
        <v>Not Found</v>
      </c>
      <c r="M469" s="234" t="str">
        <f>IFERROR(VLOOKUP($A469,'AAPT ExDa'!$B$2:$U$99, 0,FALSE), IFERROR(VLOOKUP($A469,'ABB ExDa'!$A$2:$N$184, 0,FALSE), IFERROR(VLOOKUP($A469,'Vocus SIT ExDa'!$B$2:$J$173, 0,FALSE), IFERROR(VLOOKUP($A469,'Telstra ExDa'!$B$2:$K$310, 0,FALSE), IFERROR(VLOOKUP($A469,'Vocus RVC ExDa'!$C$2:$R$155, 0,FALSE), IFERROR(VLOOKUP($A469,'Fusion ExDa'!$B$2:$D$16, 0,FALSE), IFERROR(VLOOKUP($A469,'Exetel ExDa'!$C$2:$N$14, 11,FALSE), IFERROR(VLOOKUP($A469,'Infinet ExDa'!$B$2:$E$14, 0,FALSE), "Not Found"))))))))</f>
        <v>Not Found</v>
      </c>
      <c r="N469" t="str">
        <f>IFERROR(VLOOKUP($A469,'AAPT ExDa'!$B$2:$U$99, 0,FALSE), IFERROR(VLOOKUP($A469,'ABB ExDa'!$A$2:$N$184, 13,FALSE), IFERROR(VLOOKUP($A469,'Vocus SIT ExDa'!$B$2:$J$173, 0,FALSE), IFERROR(VLOOKUP($A469,'Telstra ExDa'!$B$2:$K$310, 0,FALSE), IFERROR(VLOOKUP($A469,'Vocus RVC ExDa'!$C$2:$R$155, 0,FALSE), IFERROR(VLOOKUP($A469,'Fusion ExDa'!$B$2:$D$16, 0,FALSE), IFERROR(VLOOKUP($A469,'Exetel ExDa'!$C$2:$N$14, 0,FALSE), IFERROR(VLOOKUP($A469,'Infinet ExDa'!$B$2:$E$14, 0,FALSE), "Not Found"))))))))</f>
        <v>Not Found</v>
      </c>
    </row>
    <row r="470" spans="1:14">
      <c r="A470">
        <v>0</v>
      </c>
      <c r="B470" t="str">
        <f>IFERROR(VLOOKUP(A470,'Exetel ExDa'!$C$2:$N$14,4,FALSE),"No Data")</f>
        <v>No Data</v>
      </c>
      <c r="C470" t="str">
        <f>IFERROR(VLOOKUP(A470,'AAPT ExDa'!$B$2:$U$99, 2,FALSE), IFERROR(VLOOKUP(A470,'ABB ExDa'!$A$2:$N$184, 2,FALSE), IFERROR(VLOOKUP(A470,'Vocus SIT ExDa'!$B$2:$J$173, 7,FALSE), IFERROR(VLOOKUP(A470,'Telstra ExDa'!$B$2:$K$310, 2,FALSE), IFERROR(VLOOKUP(A470,'Vocus RVC ExDa'!$C$2:$R$155, 3,FALSE), IFERROR(VLOOKUP(A470,'Fusion ExDa'!$B$2:$D$16, 2,FALSE), IFERROR(VLOOKUP(A470,'Exetel ExDa'!$C$2:$N$14, 2,FALSE), IFERROR(VLOOKUP(A470,'Infinet ExDa'!$B$2:$E$14, 2,FALSE), "Not Found"))))))))</f>
        <v>Not Found</v>
      </c>
      <c r="D470" t="str">
        <f>IFERROR(VLOOKUP($A470,'AAPT ExDa'!$B$2:$U$99, 15,FALSE), IFERROR(VLOOKUP($A470,'ABB ExDa'!$A$2:$N$184, 4,FALSE), IFERROR(VLOOKUP($A470,'Vocus SIT ExDa'!$B$2:$J$173, 5,FALSE), IFERROR(VLOOKUP($A470,'Telstra ExDa'!$B$2:$K$310, 8,FALSE), IFERROR(VLOOKUP($A470,'Vocus RVC ExDa'!$C$2:$R$155, 6,FALSE), IFERROR(VLOOKUP($A470,'Fusion ExDa'!$B$2:$D$16, 4,FALSE), IFERROR(VLOOKUP($A470,'Exetel ExDa'!$C$2:$N$14, 3,FALSE), IFERROR(VLOOKUP($A470,'Infinet ExDa'!$B$2:$E$14, 3,FALSE), "Not Found"))))))))</f>
        <v>Not Found</v>
      </c>
      <c r="E470" t="str">
        <f>IFERROR(VLOOKUP($A470,'AAPT ExDa'!$B$2:$U$99, 3,FALSE), IFERROR(VLOOKUP($A470,'ABB ExDa'!$A$2:$N$184, 5,FALSE), IFERROR(VLOOKUP($A470,'Vocus SIT ExDa'!$B$2:$J$173, 2,FALSE), IFERROR(VLOOKUP($A470,'Telstra ExDa'!$B$2:$K$310, 4,FALSE), IFERROR(VLOOKUP($A470,'Vocus RVC ExDa'!$C$2:$R$155, 8,FALSE), IFERROR(VLOOKUP($A470,'Fusion ExDa'!$B$2:$D$16, 4,FALSE), IFERROR(VLOOKUP($A470,'Exetel ExDa'!$C$2:$N$14, 5,FALSE), IFERROR(VLOOKUP($A470,'Infinet ExDa'!$B$2:$E$14, 3,FALSE), "Not Found"))))))))</f>
        <v>Not Found</v>
      </c>
      <c r="F470" t="str">
        <f>IFERROR(VLOOKUP($A470,'AAPT ExDa'!$B$2:$U$99, 4,FALSE), IFERROR(VLOOKUP($A470,'ABB ExDa'!$A$2:$N$184, 6,FALSE), IFERROR(VLOOKUP($A470,'Vocus SIT ExDa'!$B$2:$J$173, 3,FALSE), IFERROR(VLOOKUP($A470,'Telstra ExDa'!$B$2:$K$310, 5,FALSE), IFERROR(VLOOKUP($A470,'Vocus RVC ExDa'!$C$2:$R$155, 9,FALSE), IFERROR(VLOOKUP($A470,'Fusion ExDa'!$B$2:$D$16, 0,FALSE), IFERROR(VLOOKUP($A470,'Exetel ExDa'!$C$2:$N$14, 6,FALSE), IFERROR(VLOOKUP($A470,'Infinet ExDa'!$B$2:$E$14, 0,FALSE), "Not Found"))))))))</f>
        <v>Not Found</v>
      </c>
      <c r="G470" t="str">
        <f>IFERROR(VLOOKUP($A470,'AAPT ExDa'!$B$2:$U$99, 5,FALSE), IFERROR(VLOOKUP($A470,'ABB ExDa'!$A$2:$N$184, 8,FALSE), IFERROR(VLOOKUP($A470,'Vocus SIT ExDa'!$B$2:$J$173, 6,FALSE), IFERROR(VLOOKUP($A470,'Telstra ExDa'!$B$2:$K$310, 0,FALSE), IFERROR(VLOOKUP($A470,'Vocus RVC ExDa'!$C$2:$R$155, 15,FALSE), IFERROR(VLOOKUP($A470,'Fusion ExDa'!$B$2:$D$16, 0,FALSE), IFERROR(VLOOKUP($A470,'Exetel ExDa'!$C$2:$N$14, 7,FALSE), IFERROR(VLOOKUP($A470,'Infinet ExDa'!$B$2:$E$14, 0,FALSE), "Not Found"))))))))</f>
        <v>Not Found</v>
      </c>
      <c r="H470" t="str">
        <f>IFERROR(VLOOKUP($A470,'AAPT ExDa'!$B$2:$U$99, 6,FALSE), IFERROR(VLOOKUP($A470,'ABB ExDa'!$A$2:$N$184, 0,FALSE), IFERROR(VLOOKUP($A470,'Vocus SIT ExDa'!$B$2:$J$173, 0,FALSE), IFERROR(VLOOKUP($A470,'Telstra ExDa'!$B$2:$K$310, 0,FALSE), IFERROR(VLOOKUP($A470,'Vocus RVC ExDa'!$C$2:$R$155, 16,FALSE), IFERROR(VLOOKUP($A470,'Fusion ExDa'!$B$2:$D$16, 0,FALSE), IFERROR(VLOOKUP($A470,'Exetel ExDa'!$C$2:$N$14, 0,FALSE), IFERROR(VLOOKUP($A470,'Infinet ExDa'!$B$2:$E$14, 0,FALSE), "Not Found"))))))))</f>
        <v>Not Found</v>
      </c>
      <c r="I470" t="str">
        <f>IFERROR(VLOOKUP($A470,'AAPT ExDa'!$B$2:$U$99, 0,FALSE), IFERROR(VLOOKUP($A470,'ABB ExDa'!$A$2:$N$184, 0,FALSE), IFERROR(VLOOKUP($A470,'Vocus SIT ExDa'!$B$2:$J$173, 0,FALSE), IFERROR(VLOOKUP($A470,'Telstra ExDa'!$B$2:$K$310, 0,FALSE), IFERROR(VLOOKUP($A470,'Vocus RVC ExDa'!$C$2:$R$155, 0,FALSE), IFERROR(VLOOKUP($A470,'Fusion ExDa'!$B$2:$D$16, 0,FALSE), IFERROR(VLOOKUP($A470,'Exetel ExDa'!$C$2:$N$14, 8,FALSE), IFERROR(VLOOKUP($A470,'Infinet ExDa'!$B$2:$E$14, 0,FALSE), "Not Found"))))))))</f>
        <v>Not Found</v>
      </c>
      <c r="J470" t="str">
        <f>IFERROR(VLOOKUP($A470,'AAPT ExDa'!$B$2:$U$99, 7,FALSE), IFERROR(VLOOKUP($A470,'ABB ExDa'!$A$2:$N$184, 2,FALSE), IFERROR(VLOOKUP($A470,'Vocus SIT ExDa'!$B$2:$J$173, 0,FALSE), IFERROR(VLOOKUP($A470,'Telstra ExDa'!$B$2:$K$310, 7,FALSE), IFERROR(VLOOKUP($A470,'Vocus RVC ExDa'!$C$2:$R$155, 2,FALSE), IFERROR(VLOOKUP($A470,'Fusion ExDa'!$B$2:$D$16, 3,FALSE), IFERROR(VLOOKUP($A470,'Exetel ExDa'!$C$2:$N$14, 0,FALSE), IFERROR(VLOOKUP($A470,'Infinet ExDa'!$B$2:$E$14, 0,FALSE), "Not Found"))))))))</f>
        <v>Not Found</v>
      </c>
      <c r="K470" t="str">
        <f>IFERROR(VLOOKUP($A470,'AAPT ExDa'!$B$2:$U$99, 12,FALSE), IFERROR(VLOOKUP($A470,'ABB ExDa'!$A$2:$N$184, 0,FALSE), IFERROR(VLOOKUP($A470,'Vocus SIT ExDa'!$B$2:$J$173, 0,FALSE), IFERROR(VLOOKUP($A470,'Telstra ExDa'!$B$2:$K$310, 0,FALSE), IFERROR(VLOOKUP($A470,'Vocus RVC ExDa'!$C$2:$R$155, 0,FALSE), IFERROR(VLOOKUP($A470,'Fusion ExDa'!$B$2:$D$16, 0,FALSE), IFERROR(VLOOKUP($A470,'Exetel ExDa'!$C$2:$N$14, 12,FALSE), IFERROR(VLOOKUP($A470,'Infinet ExDa'!$B$2:$E$14, 0,FALSE), "Not Found"))))))))</f>
        <v>Not Found</v>
      </c>
      <c r="L470" s="235" t="str">
        <f>IFERROR(VLOOKUP($A470,'AAPT ExDa'!$B$2:$U$99, 11,FALSE), IFERROR(VLOOKUP($A470,'ABB ExDa'!$A$2:$N$184, 9,FALSE), IFERROR(VLOOKUP($A470,'Vocus SIT ExDa'!$B$2:$J$173, 8,FALSE), IFERROR(VLOOKUP($A470,'Telstra ExDa'!$B$2:$K$310, 0,FALSE), IFERROR(VLOOKUP($A470,'Vocus RVC ExDa'!$C$2:$R$155, 0,FALSE), IFERROR(VLOOKUP($A470,'Fusion ExDa'!$B$2:$D$16, 0,FALSE), IFERROR(VLOOKUP($A470,'Exetel ExDa'!$C$2:$N$14, 9,FALSE), IFERROR(VLOOKUP($A470,'Infinet ExDa'!$B$2:$E$14, 0,FALSE), "Not Found"))))))))</f>
        <v>Not Found</v>
      </c>
      <c r="M470" s="234" t="str">
        <f>IFERROR(VLOOKUP($A470,'AAPT ExDa'!$B$2:$U$99, 0,FALSE), IFERROR(VLOOKUP($A470,'ABB ExDa'!$A$2:$N$184, 0,FALSE), IFERROR(VLOOKUP($A470,'Vocus SIT ExDa'!$B$2:$J$173, 0,FALSE), IFERROR(VLOOKUP($A470,'Telstra ExDa'!$B$2:$K$310, 0,FALSE), IFERROR(VLOOKUP($A470,'Vocus RVC ExDa'!$C$2:$R$155, 0,FALSE), IFERROR(VLOOKUP($A470,'Fusion ExDa'!$B$2:$D$16, 0,FALSE), IFERROR(VLOOKUP($A470,'Exetel ExDa'!$C$2:$N$14, 11,FALSE), IFERROR(VLOOKUP($A470,'Infinet ExDa'!$B$2:$E$14, 0,FALSE), "Not Found"))))))))</f>
        <v>Not Found</v>
      </c>
      <c r="N470" t="str">
        <f>IFERROR(VLOOKUP($A470,'AAPT ExDa'!$B$2:$U$99, 0,FALSE), IFERROR(VLOOKUP($A470,'ABB ExDa'!$A$2:$N$184, 13,FALSE), IFERROR(VLOOKUP($A470,'Vocus SIT ExDa'!$B$2:$J$173, 0,FALSE), IFERROR(VLOOKUP($A470,'Telstra ExDa'!$B$2:$K$310, 0,FALSE), IFERROR(VLOOKUP($A470,'Vocus RVC ExDa'!$C$2:$R$155, 0,FALSE), IFERROR(VLOOKUP($A470,'Fusion ExDa'!$B$2:$D$16, 0,FALSE), IFERROR(VLOOKUP($A470,'Exetel ExDa'!$C$2:$N$14, 0,FALSE), IFERROR(VLOOKUP($A470,'Infinet ExDa'!$B$2:$E$14, 0,FALSE), "Not Found"))))))))</f>
        <v>Not Found</v>
      </c>
    </row>
    <row r="471" spans="1:14">
      <c r="A471">
        <v>0</v>
      </c>
      <c r="B471" t="str">
        <f>IFERROR(VLOOKUP(A471,'Exetel ExDa'!$C$2:$N$14,4,FALSE),"No Data")</f>
        <v>No Data</v>
      </c>
      <c r="C471" t="str">
        <f>IFERROR(VLOOKUP(A471,'AAPT ExDa'!$B$2:$U$99, 2,FALSE), IFERROR(VLOOKUP(A471,'ABB ExDa'!$A$2:$N$184, 2,FALSE), IFERROR(VLOOKUP(A471,'Vocus SIT ExDa'!$B$2:$J$173, 7,FALSE), IFERROR(VLOOKUP(A471,'Telstra ExDa'!$B$2:$K$310, 2,FALSE), IFERROR(VLOOKUP(A471,'Vocus RVC ExDa'!$C$2:$R$155, 3,FALSE), IFERROR(VLOOKUP(A471,'Fusion ExDa'!$B$2:$D$16, 2,FALSE), IFERROR(VLOOKUP(A471,'Exetel ExDa'!$C$2:$N$14, 2,FALSE), IFERROR(VLOOKUP(A471,'Infinet ExDa'!$B$2:$E$14, 2,FALSE), "Not Found"))))))))</f>
        <v>Not Found</v>
      </c>
      <c r="D471" t="str">
        <f>IFERROR(VLOOKUP($A471,'AAPT ExDa'!$B$2:$U$99, 15,FALSE), IFERROR(VLOOKUP($A471,'ABB ExDa'!$A$2:$N$184, 4,FALSE), IFERROR(VLOOKUP($A471,'Vocus SIT ExDa'!$B$2:$J$173, 5,FALSE), IFERROR(VLOOKUP($A471,'Telstra ExDa'!$B$2:$K$310, 8,FALSE), IFERROR(VLOOKUP($A471,'Vocus RVC ExDa'!$C$2:$R$155, 6,FALSE), IFERROR(VLOOKUP($A471,'Fusion ExDa'!$B$2:$D$16, 4,FALSE), IFERROR(VLOOKUP($A471,'Exetel ExDa'!$C$2:$N$14, 3,FALSE), IFERROR(VLOOKUP($A471,'Infinet ExDa'!$B$2:$E$14, 3,FALSE), "Not Found"))))))))</f>
        <v>Not Found</v>
      </c>
      <c r="E471" t="str">
        <f>IFERROR(VLOOKUP($A471,'AAPT ExDa'!$B$2:$U$99, 3,FALSE), IFERROR(VLOOKUP($A471,'ABB ExDa'!$A$2:$N$184, 5,FALSE), IFERROR(VLOOKUP($A471,'Vocus SIT ExDa'!$B$2:$J$173, 2,FALSE), IFERROR(VLOOKUP($A471,'Telstra ExDa'!$B$2:$K$310, 4,FALSE), IFERROR(VLOOKUP($A471,'Vocus RVC ExDa'!$C$2:$R$155, 8,FALSE), IFERROR(VLOOKUP($A471,'Fusion ExDa'!$B$2:$D$16, 4,FALSE), IFERROR(VLOOKUP($A471,'Exetel ExDa'!$C$2:$N$14, 5,FALSE), IFERROR(VLOOKUP($A471,'Infinet ExDa'!$B$2:$E$14, 3,FALSE), "Not Found"))))))))</f>
        <v>Not Found</v>
      </c>
      <c r="F471" t="str">
        <f>IFERROR(VLOOKUP($A471,'AAPT ExDa'!$B$2:$U$99, 4,FALSE), IFERROR(VLOOKUP($A471,'ABB ExDa'!$A$2:$N$184, 6,FALSE), IFERROR(VLOOKUP($A471,'Vocus SIT ExDa'!$B$2:$J$173, 3,FALSE), IFERROR(VLOOKUP($A471,'Telstra ExDa'!$B$2:$K$310, 5,FALSE), IFERROR(VLOOKUP($A471,'Vocus RVC ExDa'!$C$2:$R$155, 9,FALSE), IFERROR(VLOOKUP($A471,'Fusion ExDa'!$B$2:$D$16, 0,FALSE), IFERROR(VLOOKUP($A471,'Exetel ExDa'!$C$2:$N$14, 6,FALSE), IFERROR(VLOOKUP($A471,'Infinet ExDa'!$B$2:$E$14, 0,FALSE), "Not Found"))))))))</f>
        <v>Not Found</v>
      </c>
      <c r="G471" t="str">
        <f>IFERROR(VLOOKUP($A471,'AAPT ExDa'!$B$2:$U$99, 5,FALSE), IFERROR(VLOOKUP($A471,'ABB ExDa'!$A$2:$N$184, 8,FALSE), IFERROR(VLOOKUP($A471,'Vocus SIT ExDa'!$B$2:$J$173, 6,FALSE), IFERROR(VLOOKUP($A471,'Telstra ExDa'!$B$2:$K$310, 0,FALSE), IFERROR(VLOOKUP($A471,'Vocus RVC ExDa'!$C$2:$R$155, 15,FALSE), IFERROR(VLOOKUP($A471,'Fusion ExDa'!$B$2:$D$16, 0,FALSE), IFERROR(VLOOKUP($A471,'Exetel ExDa'!$C$2:$N$14, 7,FALSE), IFERROR(VLOOKUP($A471,'Infinet ExDa'!$B$2:$E$14, 0,FALSE), "Not Found"))))))))</f>
        <v>Not Found</v>
      </c>
      <c r="H471" t="str">
        <f>IFERROR(VLOOKUP($A471,'AAPT ExDa'!$B$2:$U$99, 6,FALSE), IFERROR(VLOOKUP($A471,'ABB ExDa'!$A$2:$N$184, 0,FALSE), IFERROR(VLOOKUP($A471,'Vocus SIT ExDa'!$B$2:$J$173, 0,FALSE), IFERROR(VLOOKUP($A471,'Telstra ExDa'!$B$2:$K$310, 0,FALSE), IFERROR(VLOOKUP($A471,'Vocus RVC ExDa'!$C$2:$R$155, 16,FALSE), IFERROR(VLOOKUP($A471,'Fusion ExDa'!$B$2:$D$16, 0,FALSE), IFERROR(VLOOKUP($A471,'Exetel ExDa'!$C$2:$N$14, 0,FALSE), IFERROR(VLOOKUP($A471,'Infinet ExDa'!$B$2:$E$14, 0,FALSE), "Not Found"))))))))</f>
        <v>Not Found</v>
      </c>
      <c r="I471" t="str">
        <f>IFERROR(VLOOKUP($A471,'AAPT ExDa'!$B$2:$U$99, 0,FALSE), IFERROR(VLOOKUP($A471,'ABB ExDa'!$A$2:$N$184, 0,FALSE), IFERROR(VLOOKUP($A471,'Vocus SIT ExDa'!$B$2:$J$173, 0,FALSE), IFERROR(VLOOKUP($A471,'Telstra ExDa'!$B$2:$K$310, 0,FALSE), IFERROR(VLOOKUP($A471,'Vocus RVC ExDa'!$C$2:$R$155, 0,FALSE), IFERROR(VLOOKUP($A471,'Fusion ExDa'!$B$2:$D$16, 0,FALSE), IFERROR(VLOOKUP($A471,'Exetel ExDa'!$C$2:$N$14, 8,FALSE), IFERROR(VLOOKUP($A471,'Infinet ExDa'!$B$2:$E$14, 0,FALSE), "Not Found"))))))))</f>
        <v>Not Found</v>
      </c>
      <c r="J471" t="str">
        <f>IFERROR(VLOOKUP($A471,'AAPT ExDa'!$B$2:$U$99, 7,FALSE), IFERROR(VLOOKUP($A471,'ABB ExDa'!$A$2:$N$184, 2,FALSE), IFERROR(VLOOKUP($A471,'Vocus SIT ExDa'!$B$2:$J$173, 0,FALSE), IFERROR(VLOOKUP($A471,'Telstra ExDa'!$B$2:$K$310, 7,FALSE), IFERROR(VLOOKUP($A471,'Vocus RVC ExDa'!$C$2:$R$155, 2,FALSE), IFERROR(VLOOKUP($A471,'Fusion ExDa'!$B$2:$D$16, 3,FALSE), IFERROR(VLOOKUP($A471,'Exetel ExDa'!$C$2:$N$14, 0,FALSE), IFERROR(VLOOKUP($A471,'Infinet ExDa'!$B$2:$E$14, 0,FALSE), "Not Found"))))))))</f>
        <v>Not Found</v>
      </c>
      <c r="K471" t="str">
        <f>IFERROR(VLOOKUP($A471,'AAPT ExDa'!$B$2:$U$99, 12,FALSE), IFERROR(VLOOKUP($A471,'ABB ExDa'!$A$2:$N$184, 0,FALSE), IFERROR(VLOOKUP($A471,'Vocus SIT ExDa'!$B$2:$J$173, 0,FALSE), IFERROR(VLOOKUP($A471,'Telstra ExDa'!$B$2:$K$310, 0,FALSE), IFERROR(VLOOKUP($A471,'Vocus RVC ExDa'!$C$2:$R$155, 0,FALSE), IFERROR(VLOOKUP($A471,'Fusion ExDa'!$B$2:$D$16, 0,FALSE), IFERROR(VLOOKUP($A471,'Exetel ExDa'!$C$2:$N$14, 12,FALSE), IFERROR(VLOOKUP($A471,'Infinet ExDa'!$B$2:$E$14, 0,FALSE), "Not Found"))))))))</f>
        <v>Not Found</v>
      </c>
      <c r="L471" s="235" t="str">
        <f>IFERROR(VLOOKUP($A471,'AAPT ExDa'!$B$2:$U$99, 11,FALSE), IFERROR(VLOOKUP($A471,'ABB ExDa'!$A$2:$N$184, 9,FALSE), IFERROR(VLOOKUP($A471,'Vocus SIT ExDa'!$B$2:$J$173, 8,FALSE), IFERROR(VLOOKUP($A471,'Telstra ExDa'!$B$2:$K$310, 0,FALSE), IFERROR(VLOOKUP($A471,'Vocus RVC ExDa'!$C$2:$R$155, 0,FALSE), IFERROR(VLOOKUP($A471,'Fusion ExDa'!$B$2:$D$16, 0,FALSE), IFERROR(VLOOKUP($A471,'Exetel ExDa'!$C$2:$N$14, 9,FALSE), IFERROR(VLOOKUP($A471,'Infinet ExDa'!$B$2:$E$14, 0,FALSE), "Not Found"))))))))</f>
        <v>Not Found</v>
      </c>
      <c r="M471" s="234" t="str">
        <f>IFERROR(VLOOKUP($A471,'AAPT ExDa'!$B$2:$U$99, 0,FALSE), IFERROR(VLOOKUP($A471,'ABB ExDa'!$A$2:$N$184, 0,FALSE), IFERROR(VLOOKUP($A471,'Vocus SIT ExDa'!$B$2:$J$173, 0,FALSE), IFERROR(VLOOKUP($A471,'Telstra ExDa'!$B$2:$K$310, 0,FALSE), IFERROR(VLOOKUP($A471,'Vocus RVC ExDa'!$C$2:$R$155, 0,FALSE), IFERROR(VLOOKUP($A471,'Fusion ExDa'!$B$2:$D$16, 0,FALSE), IFERROR(VLOOKUP($A471,'Exetel ExDa'!$C$2:$N$14, 11,FALSE), IFERROR(VLOOKUP($A471,'Infinet ExDa'!$B$2:$E$14, 0,FALSE), "Not Found"))))))))</f>
        <v>Not Found</v>
      </c>
      <c r="N471" t="str">
        <f>IFERROR(VLOOKUP($A471,'AAPT ExDa'!$B$2:$U$99, 0,FALSE), IFERROR(VLOOKUP($A471,'ABB ExDa'!$A$2:$N$184, 13,FALSE), IFERROR(VLOOKUP($A471,'Vocus SIT ExDa'!$B$2:$J$173, 0,FALSE), IFERROR(VLOOKUP($A471,'Telstra ExDa'!$B$2:$K$310, 0,FALSE), IFERROR(VLOOKUP($A471,'Vocus RVC ExDa'!$C$2:$R$155, 0,FALSE), IFERROR(VLOOKUP($A471,'Fusion ExDa'!$B$2:$D$16, 0,FALSE), IFERROR(VLOOKUP($A471,'Exetel ExDa'!$C$2:$N$14, 0,FALSE), IFERROR(VLOOKUP($A471,'Infinet ExDa'!$B$2:$E$14, 0,FALSE), "Not Found"))))))))</f>
        <v>Not Found</v>
      </c>
    </row>
    <row r="472" spans="1:14">
      <c r="A472">
        <v>0</v>
      </c>
      <c r="B472" t="str">
        <f>IFERROR(VLOOKUP(A472,'Exetel ExDa'!$C$2:$N$14,4,FALSE),"No Data")</f>
        <v>No Data</v>
      </c>
      <c r="C472" t="str">
        <f>IFERROR(VLOOKUP(A472,'AAPT ExDa'!$B$2:$U$99, 2,FALSE), IFERROR(VLOOKUP(A472,'ABB ExDa'!$A$2:$N$184, 2,FALSE), IFERROR(VLOOKUP(A472,'Vocus SIT ExDa'!$B$2:$J$173, 7,FALSE), IFERROR(VLOOKUP(A472,'Telstra ExDa'!$B$2:$K$310, 2,FALSE), IFERROR(VLOOKUP(A472,'Vocus RVC ExDa'!$C$2:$R$155, 3,FALSE), IFERROR(VLOOKUP(A472,'Fusion ExDa'!$B$2:$D$16, 2,FALSE), IFERROR(VLOOKUP(A472,'Exetel ExDa'!$C$2:$N$14, 2,FALSE), IFERROR(VLOOKUP(A472,'Infinet ExDa'!$B$2:$E$14, 2,FALSE), "Not Found"))))))))</f>
        <v>Not Found</v>
      </c>
      <c r="D472" t="str">
        <f>IFERROR(VLOOKUP($A472,'AAPT ExDa'!$B$2:$U$99, 15,FALSE), IFERROR(VLOOKUP($A472,'ABB ExDa'!$A$2:$N$184, 4,FALSE), IFERROR(VLOOKUP($A472,'Vocus SIT ExDa'!$B$2:$J$173, 5,FALSE), IFERROR(VLOOKUP($A472,'Telstra ExDa'!$B$2:$K$310, 8,FALSE), IFERROR(VLOOKUP($A472,'Vocus RVC ExDa'!$C$2:$R$155, 6,FALSE), IFERROR(VLOOKUP($A472,'Fusion ExDa'!$B$2:$D$16, 4,FALSE), IFERROR(VLOOKUP($A472,'Exetel ExDa'!$C$2:$N$14, 3,FALSE), IFERROR(VLOOKUP($A472,'Infinet ExDa'!$B$2:$E$14, 3,FALSE), "Not Found"))))))))</f>
        <v>Not Found</v>
      </c>
      <c r="E472" t="str">
        <f>IFERROR(VLOOKUP($A472,'AAPT ExDa'!$B$2:$U$99, 3,FALSE), IFERROR(VLOOKUP($A472,'ABB ExDa'!$A$2:$N$184, 5,FALSE), IFERROR(VLOOKUP($A472,'Vocus SIT ExDa'!$B$2:$J$173, 2,FALSE), IFERROR(VLOOKUP($A472,'Telstra ExDa'!$B$2:$K$310, 4,FALSE), IFERROR(VLOOKUP($A472,'Vocus RVC ExDa'!$C$2:$R$155, 8,FALSE), IFERROR(VLOOKUP($A472,'Fusion ExDa'!$B$2:$D$16, 4,FALSE), IFERROR(VLOOKUP($A472,'Exetel ExDa'!$C$2:$N$14, 5,FALSE), IFERROR(VLOOKUP($A472,'Infinet ExDa'!$B$2:$E$14, 3,FALSE), "Not Found"))))))))</f>
        <v>Not Found</v>
      </c>
      <c r="F472" t="str">
        <f>IFERROR(VLOOKUP($A472,'AAPT ExDa'!$B$2:$U$99, 4,FALSE), IFERROR(VLOOKUP($A472,'ABB ExDa'!$A$2:$N$184, 6,FALSE), IFERROR(VLOOKUP($A472,'Vocus SIT ExDa'!$B$2:$J$173, 3,FALSE), IFERROR(VLOOKUP($A472,'Telstra ExDa'!$B$2:$K$310, 5,FALSE), IFERROR(VLOOKUP($A472,'Vocus RVC ExDa'!$C$2:$R$155, 9,FALSE), IFERROR(VLOOKUP($A472,'Fusion ExDa'!$B$2:$D$16, 0,FALSE), IFERROR(VLOOKUP($A472,'Exetel ExDa'!$C$2:$N$14, 6,FALSE), IFERROR(VLOOKUP($A472,'Infinet ExDa'!$B$2:$E$14, 0,FALSE), "Not Found"))))))))</f>
        <v>Not Found</v>
      </c>
      <c r="G472" t="str">
        <f>IFERROR(VLOOKUP($A472,'AAPT ExDa'!$B$2:$U$99, 5,FALSE), IFERROR(VLOOKUP($A472,'ABB ExDa'!$A$2:$N$184, 8,FALSE), IFERROR(VLOOKUP($A472,'Vocus SIT ExDa'!$B$2:$J$173, 6,FALSE), IFERROR(VLOOKUP($A472,'Telstra ExDa'!$B$2:$K$310, 0,FALSE), IFERROR(VLOOKUP($A472,'Vocus RVC ExDa'!$C$2:$R$155, 15,FALSE), IFERROR(VLOOKUP($A472,'Fusion ExDa'!$B$2:$D$16, 0,FALSE), IFERROR(VLOOKUP($A472,'Exetel ExDa'!$C$2:$N$14, 7,FALSE), IFERROR(VLOOKUP($A472,'Infinet ExDa'!$B$2:$E$14, 0,FALSE), "Not Found"))))))))</f>
        <v>Not Found</v>
      </c>
      <c r="H472" t="str">
        <f>IFERROR(VLOOKUP($A472,'AAPT ExDa'!$B$2:$U$99, 6,FALSE), IFERROR(VLOOKUP($A472,'ABB ExDa'!$A$2:$N$184, 0,FALSE), IFERROR(VLOOKUP($A472,'Vocus SIT ExDa'!$B$2:$J$173, 0,FALSE), IFERROR(VLOOKUP($A472,'Telstra ExDa'!$B$2:$K$310, 0,FALSE), IFERROR(VLOOKUP($A472,'Vocus RVC ExDa'!$C$2:$R$155, 16,FALSE), IFERROR(VLOOKUP($A472,'Fusion ExDa'!$B$2:$D$16, 0,FALSE), IFERROR(VLOOKUP($A472,'Exetel ExDa'!$C$2:$N$14, 0,FALSE), IFERROR(VLOOKUP($A472,'Infinet ExDa'!$B$2:$E$14, 0,FALSE), "Not Found"))))))))</f>
        <v>Not Found</v>
      </c>
      <c r="I472" t="str">
        <f>IFERROR(VLOOKUP($A472,'AAPT ExDa'!$B$2:$U$99, 0,FALSE), IFERROR(VLOOKUP($A472,'ABB ExDa'!$A$2:$N$184, 0,FALSE), IFERROR(VLOOKUP($A472,'Vocus SIT ExDa'!$B$2:$J$173, 0,FALSE), IFERROR(VLOOKUP($A472,'Telstra ExDa'!$B$2:$K$310, 0,FALSE), IFERROR(VLOOKUP($A472,'Vocus RVC ExDa'!$C$2:$R$155, 0,FALSE), IFERROR(VLOOKUP($A472,'Fusion ExDa'!$B$2:$D$16, 0,FALSE), IFERROR(VLOOKUP($A472,'Exetel ExDa'!$C$2:$N$14, 8,FALSE), IFERROR(VLOOKUP($A472,'Infinet ExDa'!$B$2:$E$14, 0,FALSE), "Not Found"))))))))</f>
        <v>Not Found</v>
      </c>
      <c r="J472" t="str">
        <f>IFERROR(VLOOKUP($A472,'AAPT ExDa'!$B$2:$U$99, 7,FALSE), IFERROR(VLOOKUP($A472,'ABB ExDa'!$A$2:$N$184, 2,FALSE), IFERROR(VLOOKUP($A472,'Vocus SIT ExDa'!$B$2:$J$173, 0,FALSE), IFERROR(VLOOKUP($A472,'Telstra ExDa'!$B$2:$K$310, 7,FALSE), IFERROR(VLOOKUP($A472,'Vocus RVC ExDa'!$C$2:$R$155, 2,FALSE), IFERROR(VLOOKUP($A472,'Fusion ExDa'!$B$2:$D$16, 3,FALSE), IFERROR(VLOOKUP($A472,'Exetel ExDa'!$C$2:$N$14, 0,FALSE), IFERROR(VLOOKUP($A472,'Infinet ExDa'!$B$2:$E$14, 0,FALSE), "Not Found"))))))))</f>
        <v>Not Found</v>
      </c>
      <c r="K472" t="str">
        <f>IFERROR(VLOOKUP($A472,'AAPT ExDa'!$B$2:$U$99, 12,FALSE), IFERROR(VLOOKUP($A472,'ABB ExDa'!$A$2:$N$184, 0,FALSE), IFERROR(VLOOKUP($A472,'Vocus SIT ExDa'!$B$2:$J$173, 0,FALSE), IFERROR(VLOOKUP($A472,'Telstra ExDa'!$B$2:$K$310, 0,FALSE), IFERROR(VLOOKUP($A472,'Vocus RVC ExDa'!$C$2:$R$155, 0,FALSE), IFERROR(VLOOKUP($A472,'Fusion ExDa'!$B$2:$D$16, 0,FALSE), IFERROR(VLOOKUP($A472,'Exetel ExDa'!$C$2:$N$14, 12,FALSE), IFERROR(VLOOKUP($A472,'Infinet ExDa'!$B$2:$E$14, 0,FALSE), "Not Found"))))))))</f>
        <v>Not Found</v>
      </c>
      <c r="L472" s="235" t="str">
        <f>IFERROR(VLOOKUP($A472,'AAPT ExDa'!$B$2:$U$99, 11,FALSE), IFERROR(VLOOKUP($A472,'ABB ExDa'!$A$2:$N$184, 9,FALSE), IFERROR(VLOOKUP($A472,'Vocus SIT ExDa'!$B$2:$J$173, 8,FALSE), IFERROR(VLOOKUP($A472,'Telstra ExDa'!$B$2:$K$310, 0,FALSE), IFERROR(VLOOKUP($A472,'Vocus RVC ExDa'!$C$2:$R$155, 0,FALSE), IFERROR(VLOOKUP($A472,'Fusion ExDa'!$B$2:$D$16, 0,FALSE), IFERROR(VLOOKUP($A472,'Exetel ExDa'!$C$2:$N$14, 9,FALSE), IFERROR(VLOOKUP($A472,'Infinet ExDa'!$B$2:$E$14, 0,FALSE), "Not Found"))))))))</f>
        <v>Not Found</v>
      </c>
      <c r="M472" s="234" t="str">
        <f>IFERROR(VLOOKUP($A472,'AAPT ExDa'!$B$2:$U$99, 0,FALSE), IFERROR(VLOOKUP($A472,'ABB ExDa'!$A$2:$N$184, 0,FALSE), IFERROR(VLOOKUP($A472,'Vocus SIT ExDa'!$B$2:$J$173, 0,FALSE), IFERROR(VLOOKUP($A472,'Telstra ExDa'!$B$2:$K$310, 0,FALSE), IFERROR(VLOOKUP($A472,'Vocus RVC ExDa'!$C$2:$R$155, 0,FALSE), IFERROR(VLOOKUP($A472,'Fusion ExDa'!$B$2:$D$16, 0,FALSE), IFERROR(VLOOKUP($A472,'Exetel ExDa'!$C$2:$N$14, 11,FALSE), IFERROR(VLOOKUP($A472,'Infinet ExDa'!$B$2:$E$14, 0,FALSE), "Not Found"))))))))</f>
        <v>Not Found</v>
      </c>
      <c r="N472" t="str">
        <f>IFERROR(VLOOKUP($A472,'AAPT ExDa'!$B$2:$U$99, 0,FALSE), IFERROR(VLOOKUP($A472,'ABB ExDa'!$A$2:$N$184, 13,FALSE), IFERROR(VLOOKUP($A472,'Vocus SIT ExDa'!$B$2:$J$173, 0,FALSE), IFERROR(VLOOKUP($A472,'Telstra ExDa'!$B$2:$K$310, 0,FALSE), IFERROR(VLOOKUP($A472,'Vocus RVC ExDa'!$C$2:$R$155, 0,FALSE), IFERROR(VLOOKUP($A472,'Fusion ExDa'!$B$2:$D$16, 0,FALSE), IFERROR(VLOOKUP($A472,'Exetel ExDa'!$C$2:$N$14, 0,FALSE), IFERROR(VLOOKUP($A472,'Infinet ExDa'!$B$2:$E$14, 0,FALSE), "Not Found"))))))))</f>
        <v>Not Found</v>
      </c>
    </row>
    <row r="473" spans="1:14">
      <c r="A473">
        <v>0</v>
      </c>
      <c r="B473" t="str">
        <f>IFERROR(VLOOKUP(A473,'Exetel ExDa'!$C$2:$N$14,4,FALSE),"No Data")</f>
        <v>No Data</v>
      </c>
      <c r="C473" t="str">
        <f>IFERROR(VLOOKUP(A473,'AAPT ExDa'!$B$2:$U$99, 2,FALSE), IFERROR(VLOOKUP(A473,'ABB ExDa'!$A$2:$N$184, 2,FALSE), IFERROR(VLOOKUP(A473,'Vocus SIT ExDa'!$B$2:$J$173, 7,FALSE), IFERROR(VLOOKUP(A473,'Telstra ExDa'!$B$2:$K$310, 2,FALSE), IFERROR(VLOOKUP(A473,'Vocus RVC ExDa'!$C$2:$R$155, 3,FALSE), IFERROR(VLOOKUP(A473,'Fusion ExDa'!$B$2:$D$16, 2,FALSE), IFERROR(VLOOKUP(A473,'Exetel ExDa'!$C$2:$N$14, 2,FALSE), IFERROR(VLOOKUP(A473,'Infinet ExDa'!$B$2:$E$14, 2,FALSE), "Not Found"))))))))</f>
        <v>Not Found</v>
      </c>
      <c r="D473" t="str">
        <f>IFERROR(VLOOKUP($A473,'AAPT ExDa'!$B$2:$U$99, 15,FALSE), IFERROR(VLOOKUP($A473,'ABB ExDa'!$A$2:$N$184, 4,FALSE), IFERROR(VLOOKUP($A473,'Vocus SIT ExDa'!$B$2:$J$173, 5,FALSE), IFERROR(VLOOKUP($A473,'Telstra ExDa'!$B$2:$K$310, 8,FALSE), IFERROR(VLOOKUP($A473,'Vocus RVC ExDa'!$C$2:$R$155, 6,FALSE), IFERROR(VLOOKUP($A473,'Fusion ExDa'!$B$2:$D$16, 4,FALSE), IFERROR(VLOOKUP($A473,'Exetel ExDa'!$C$2:$N$14, 3,FALSE), IFERROR(VLOOKUP($A473,'Infinet ExDa'!$B$2:$E$14, 3,FALSE), "Not Found"))))))))</f>
        <v>Not Found</v>
      </c>
      <c r="E473" t="str">
        <f>IFERROR(VLOOKUP($A473,'AAPT ExDa'!$B$2:$U$99, 3,FALSE), IFERROR(VLOOKUP($A473,'ABB ExDa'!$A$2:$N$184, 5,FALSE), IFERROR(VLOOKUP($A473,'Vocus SIT ExDa'!$B$2:$J$173, 2,FALSE), IFERROR(VLOOKUP($A473,'Telstra ExDa'!$B$2:$K$310, 4,FALSE), IFERROR(VLOOKUP($A473,'Vocus RVC ExDa'!$C$2:$R$155, 8,FALSE), IFERROR(VLOOKUP($A473,'Fusion ExDa'!$B$2:$D$16, 4,FALSE), IFERROR(VLOOKUP($A473,'Exetel ExDa'!$C$2:$N$14, 5,FALSE), IFERROR(VLOOKUP($A473,'Infinet ExDa'!$B$2:$E$14, 3,FALSE), "Not Found"))))))))</f>
        <v>Not Found</v>
      </c>
      <c r="F473" t="str">
        <f>IFERROR(VLOOKUP($A473,'AAPT ExDa'!$B$2:$U$99, 4,FALSE), IFERROR(VLOOKUP($A473,'ABB ExDa'!$A$2:$N$184, 6,FALSE), IFERROR(VLOOKUP($A473,'Vocus SIT ExDa'!$B$2:$J$173, 3,FALSE), IFERROR(VLOOKUP($A473,'Telstra ExDa'!$B$2:$K$310, 5,FALSE), IFERROR(VLOOKUP($A473,'Vocus RVC ExDa'!$C$2:$R$155, 9,FALSE), IFERROR(VLOOKUP($A473,'Fusion ExDa'!$B$2:$D$16, 0,FALSE), IFERROR(VLOOKUP($A473,'Exetel ExDa'!$C$2:$N$14, 6,FALSE), IFERROR(VLOOKUP($A473,'Infinet ExDa'!$B$2:$E$14, 0,FALSE), "Not Found"))))))))</f>
        <v>Not Found</v>
      </c>
      <c r="G473" t="str">
        <f>IFERROR(VLOOKUP($A473,'AAPT ExDa'!$B$2:$U$99, 5,FALSE), IFERROR(VLOOKUP($A473,'ABB ExDa'!$A$2:$N$184, 8,FALSE), IFERROR(VLOOKUP($A473,'Vocus SIT ExDa'!$B$2:$J$173, 6,FALSE), IFERROR(VLOOKUP($A473,'Telstra ExDa'!$B$2:$K$310, 0,FALSE), IFERROR(VLOOKUP($A473,'Vocus RVC ExDa'!$C$2:$R$155, 15,FALSE), IFERROR(VLOOKUP($A473,'Fusion ExDa'!$B$2:$D$16, 0,FALSE), IFERROR(VLOOKUP($A473,'Exetel ExDa'!$C$2:$N$14, 7,FALSE), IFERROR(VLOOKUP($A473,'Infinet ExDa'!$B$2:$E$14, 0,FALSE), "Not Found"))))))))</f>
        <v>Not Found</v>
      </c>
      <c r="H473" t="str">
        <f>IFERROR(VLOOKUP($A473,'AAPT ExDa'!$B$2:$U$99, 6,FALSE), IFERROR(VLOOKUP($A473,'ABB ExDa'!$A$2:$N$184, 0,FALSE), IFERROR(VLOOKUP($A473,'Vocus SIT ExDa'!$B$2:$J$173, 0,FALSE), IFERROR(VLOOKUP($A473,'Telstra ExDa'!$B$2:$K$310, 0,FALSE), IFERROR(VLOOKUP($A473,'Vocus RVC ExDa'!$C$2:$R$155, 16,FALSE), IFERROR(VLOOKUP($A473,'Fusion ExDa'!$B$2:$D$16, 0,FALSE), IFERROR(VLOOKUP($A473,'Exetel ExDa'!$C$2:$N$14, 0,FALSE), IFERROR(VLOOKUP($A473,'Infinet ExDa'!$B$2:$E$14, 0,FALSE), "Not Found"))))))))</f>
        <v>Not Found</v>
      </c>
      <c r="I473" t="str">
        <f>IFERROR(VLOOKUP($A473,'AAPT ExDa'!$B$2:$U$99, 0,FALSE), IFERROR(VLOOKUP($A473,'ABB ExDa'!$A$2:$N$184, 0,FALSE), IFERROR(VLOOKUP($A473,'Vocus SIT ExDa'!$B$2:$J$173, 0,FALSE), IFERROR(VLOOKUP($A473,'Telstra ExDa'!$B$2:$K$310, 0,FALSE), IFERROR(VLOOKUP($A473,'Vocus RVC ExDa'!$C$2:$R$155, 0,FALSE), IFERROR(VLOOKUP($A473,'Fusion ExDa'!$B$2:$D$16, 0,FALSE), IFERROR(VLOOKUP($A473,'Exetel ExDa'!$C$2:$N$14, 8,FALSE), IFERROR(VLOOKUP($A473,'Infinet ExDa'!$B$2:$E$14, 0,FALSE), "Not Found"))))))))</f>
        <v>Not Found</v>
      </c>
      <c r="J473" t="str">
        <f>IFERROR(VLOOKUP($A473,'AAPT ExDa'!$B$2:$U$99, 7,FALSE), IFERROR(VLOOKUP($A473,'ABB ExDa'!$A$2:$N$184, 2,FALSE), IFERROR(VLOOKUP($A473,'Vocus SIT ExDa'!$B$2:$J$173, 0,FALSE), IFERROR(VLOOKUP($A473,'Telstra ExDa'!$B$2:$K$310, 7,FALSE), IFERROR(VLOOKUP($A473,'Vocus RVC ExDa'!$C$2:$R$155, 2,FALSE), IFERROR(VLOOKUP($A473,'Fusion ExDa'!$B$2:$D$16, 3,FALSE), IFERROR(VLOOKUP($A473,'Exetel ExDa'!$C$2:$N$14, 0,FALSE), IFERROR(VLOOKUP($A473,'Infinet ExDa'!$B$2:$E$14, 0,FALSE), "Not Found"))))))))</f>
        <v>Not Found</v>
      </c>
      <c r="K473" t="str">
        <f>IFERROR(VLOOKUP($A473,'AAPT ExDa'!$B$2:$U$99, 12,FALSE), IFERROR(VLOOKUP($A473,'ABB ExDa'!$A$2:$N$184, 0,FALSE), IFERROR(VLOOKUP($A473,'Vocus SIT ExDa'!$B$2:$J$173, 0,FALSE), IFERROR(VLOOKUP($A473,'Telstra ExDa'!$B$2:$K$310, 0,FALSE), IFERROR(VLOOKUP($A473,'Vocus RVC ExDa'!$C$2:$R$155, 0,FALSE), IFERROR(VLOOKUP($A473,'Fusion ExDa'!$B$2:$D$16, 0,FALSE), IFERROR(VLOOKUP($A473,'Exetel ExDa'!$C$2:$N$14, 12,FALSE), IFERROR(VLOOKUP($A473,'Infinet ExDa'!$B$2:$E$14, 0,FALSE), "Not Found"))))))))</f>
        <v>Not Found</v>
      </c>
      <c r="L473" s="235" t="str">
        <f>IFERROR(VLOOKUP($A473,'AAPT ExDa'!$B$2:$U$99, 11,FALSE), IFERROR(VLOOKUP($A473,'ABB ExDa'!$A$2:$N$184, 9,FALSE), IFERROR(VLOOKUP($A473,'Vocus SIT ExDa'!$B$2:$J$173, 8,FALSE), IFERROR(VLOOKUP($A473,'Telstra ExDa'!$B$2:$K$310, 0,FALSE), IFERROR(VLOOKUP($A473,'Vocus RVC ExDa'!$C$2:$R$155, 0,FALSE), IFERROR(VLOOKUP($A473,'Fusion ExDa'!$B$2:$D$16, 0,FALSE), IFERROR(VLOOKUP($A473,'Exetel ExDa'!$C$2:$N$14, 9,FALSE), IFERROR(VLOOKUP($A473,'Infinet ExDa'!$B$2:$E$14, 0,FALSE), "Not Found"))))))))</f>
        <v>Not Found</v>
      </c>
      <c r="M473" s="234" t="str">
        <f>IFERROR(VLOOKUP($A473,'AAPT ExDa'!$B$2:$U$99, 0,FALSE), IFERROR(VLOOKUP($A473,'ABB ExDa'!$A$2:$N$184, 0,FALSE), IFERROR(VLOOKUP($A473,'Vocus SIT ExDa'!$B$2:$J$173, 0,FALSE), IFERROR(VLOOKUP($A473,'Telstra ExDa'!$B$2:$K$310, 0,FALSE), IFERROR(VLOOKUP($A473,'Vocus RVC ExDa'!$C$2:$R$155, 0,FALSE), IFERROR(VLOOKUP($A473,'Fusion ExDa'!$B$2:$D$16, 0,FALSE), IFERROR(VLOOKUP($A473,'Exetel ExDa'!$C$2:$N$14, 11,FALSE), IFERROR(VLOOKUP($A473,'Infinet ExDa'!$B$2:$E$14, 0,FALSE), "Not Found"))))))))</f>
        <v>Not Found</v>
      </c>
      <c r="N473" t="str">
        <f>IFERROR(VLOOKUP($A473,'AAPT ExDa'!$B$2:$U$99, 0,FALSE), IFERROR(VLOOKUP($A473,'ABB ExDa'!$A$2:$N$184, 13,FALSE), IFERROR(VLOOKUP($A473,'Vocus SIT ExDa'!$B$2:$J$173, 0,FALSE), IFERROR(VLOOKUP($A473,'Telstra ExDa'!$B$2:$K$310, 0,FALSE), IFERROR(VLOOKUP($A473,'Vocus RVC ExDa'!$C$2:$R$155, 0,FALSE), IFERROR(VLOOKUP($A473,'Fusion ExDa'!$B$2:$D$16, 0,FALSE), IFERROR(VLOOKUP($A473,'Exetel ExDa'!$C$2:$N$14, 0,FALSE), IFERROR(VLOOKUP($A473,'Infinet ExDa'!$B$2:$E$14, 0,FALSE), "Not Found"))))))))</f>
        <v>Not Found</v>
      </c>
    </row>
    <row r="474" spans="1:14">
      <c r="A474">
        <v>0</v>
      </c>
      <c r="B474" t="str">
        <f>IFERROR(VLOOKUP(A474,'Exetel ExDa'!$C$2:$N$14,4,FALSE),"No Data")</f>
        <v>No Data</v>
      </c>
      <c r="C474" t="str">
        <f>IFERROR(VLOOKUP(A474,'AAPT ExDa'!$B$2:$U$99, 2,FALSE), IFERROR(VLOOKUP(A474,'ABB ExDa'!$A$2:$N$184, 2,FALSE), IFERROR(VLOOKUP(A474,'Vocus SIT ExDa'!$B$2:$J$173, 7,FALSE), IFERROR(VLOOKUP(A474,'Telstra ExDa'!$B$2:$K$310, 2,FALSE), IFERROR(VLOOKUP(A474,'Vocus RVC ExDa'!$C$2:$R$155, 3,FALSE), IFERROR(VLOOKUP(A474,'Fusion ExDa'!$B$2:$D$16, 2,FALSE), IFERROR(VLOOKUP(A474,'Exetel ExDa'!$C$2:$N$14, 2,FALSE), IFERROR(VLOOKUP(A474,'Infinet ExDa'!$B$2:$E$14, 2,FALSE), "Not Found"))))))))</f>
        <v>Not Found</v>
      </c>
      <c r="D474" t="str">
        <f>IFERROR(VLOOKUP($A474,'AAPT ExDa'!$B$2:$U$99, 15,FALSE), IFERROR(VLOOKUP($A474,'ABB ExDa'!$A$2:$N$184, 4,FALSE), IFERROR(VLOOKUP($A474,'Vocus SIT ExDa'!$B$2:$J$173, 5,FALSE), IFERROR(VLOOKUP($A474,'Telstra ExDa'!$B$2:$K$310, 8,FALSE), IFERROR(VLOOKUP($A474,'Vocus RVC ExDa'!$C$2:$R$155, 6,FALSE), IFERROR(VLOOKUP($A474,'Fusion ExDa'!$B$2:$D$16, 4,FALSE), IFERROR(VLOOKUP($A474,'Exetel ExDa'!$C$2:$N$14, 3,FALSE), IFERROR(VLOOKUP($A474,'Infinet ExDa'!$B$2:$E$14, 3,FALSE), "Not Found"))))))))</f>
        <v>Not Found</v>
      </c>
      <c r="E474" t="str">
        <f>IFERROR(VLOOKUP($A474,'AAPT ExDa'!$B$2:$U$99, 3,FALSE), IFERROR(VLOOKUP($A474,'ABB ExDa'!$A$2:$N$184, 5,FALSE), IFERROR(VLOOKUP($A474,'Vocus SIT ExDa'!$B$2:$J$173, 2,FALSE), IFERROR(VLOOKUP($A474,'Telstra ExDa'!$B$2:$K$310, 4,FALSE), IFERROR(VLOOKUP($A474,'Vocus RVC ExDa'!$C$2:$R$155, 8,FALSE), IFERROR(VLOOKUP($A474,'Fusion ExDa'!$B$2:$D$16, 4,FALSE), IFERROR(VLOOKUP($A474,'Exetel ExDa'!$C$2:$N$14, 5,FALSE), IFERROR(VLOOKUP($A474,'Infinet ExDa'!$B$2:$E$14, 3,FALSE), "Not Found"))))))))</f>
        <v>Not Found</v>
      </c>
      <c r="F474" t="str">
        <f>IFERROR(VLOOKUP($A474,'AAPT ExDa'!$B$2:$U$99, 4,FALSE), IFERROR(VLOOKUP($A474,'ABB ExDa'!$A$2:$N$184, 6,FALSE), IFERROR(VLOOKUP($A474,'Vocus SIT ExDa'!$B$2:$J$173, 3,FALSE), IFERROR(VLOOKUP($A474,'Telstra ExDa'!$B$2:$K$310, 5,FALSE), IFERROR(VLOOKUP($A474,'Vocus RVC ExDa'!$C$2:$R$155, 9,FALSE), IFERROR(VLOOKUP($A474,'Fusion ExDa'!$B$2:$D$16, 0,FALSE), IFERROR(VLOOKUP($A474,'Exetel ExDa'!$C$2:$N$14, 6,FALSE), IFERROR(VLOOKUP($A474,'Infinet ExDa'!$B$2:$E$14, 0,FALSE), "Not Found"))))))))</f>
        <v>Not Found</v>
      </c>
      <c r="G474" t="str">
        <f>IFERROR(VLOOKUP($A474,'AAPT ExDa'!$B$2:$U$99, 5,FALSE), IFERROR(VLOOKUP($A474,'ABB ExDa'!$A$2:$N$184, 8,FALSE), IFERROR(VLOOKUP($A474,'Vocus SIT ExDa'!$B$2:$J$173, 6,FALSE), IFERROR(VLOOKUP($A474,'Telstra ExDa'!$B$2:$K$310, 0,FALSE), IFERROR(VLOOKUP($A474,'Vocus RVC ExDa'!$C$2:$R$155, 15,FALSE), IFERROR(VLOOKUP($A474,'Fusion ExDa'!$B$2:$D$16, 0,FALSE), IFERROR(VLOOKUP($A474,'Exetel ExDa'!$C$2:$N$14, 7,FALSE), IFERROR(VLOOKUP($A474,'Infinet ExDa'!$B$2:$E$14, 0,FALSE), "Not Found"))))))))</f>
        <v>Not Found</v>
      </c>
      <c r="H474" t="str">
        <f>IFERROR(VLOOKUP($A474,'AAPT ExDa'!$B$2:$U$99, 6,FALSE), IFERROR(VLOOKUP($A474,'ABB ExDa'!$A$2:$N$184, 0,FALSE), IFERROR(VLOOKUP($A474,'Vocus SIT ExDa'!$B$2:$J$173, 0,FALSE), IFERROR(VLOOKUP($A474,'Telstra ExDa'!$B$2:$K$310, 0,FALSE), IFERROR(VLOOKUP($A474,'Vocus RVC ExDa'!$C$2:$R$155, 16,FALSE), IFERROR(VLOOKUP($A474,'Fusion ExDa'!$B$2:$D$16, 0,FALSE), IFERROR(VLOOKUP($A474,'Exetel ExDa'!$C$2:$N$14, 0,FALSE), IFERROR(VLOOKUP($A474,'Infinet ExDa'!$B$2:$E$14, 0,FALSE), "Not Found"))))))))</f>
        <v>Not Found</v>
      </c>
      <c r="I474" t="str">
        <f>IFERROR(VLOOKUP($A474,'AAPT ExDa'!$B$2:$U$99, 0,FALSE), IFERROR(VLOOKUP($A474,'ABB ExDa'!$A$2:$N$184, 0,FALSE), IFERROR(VLOOKUP($A474,'Vocus SIT ExDa'!$B$2:$J$173, 0,FALSE), IFERROR(VLOOKUP($A474,'Telstra ExDa'!$B$2:$K$310, 0,FALSE), IFERROR(VLOOKUP($A474,'Vocus RVC ExDa'!$C$2:$R$155, 0,FALSE), IFERROR(VLOOKUP($A474,'Fusion ExDa'!$B$2:$D$16, 0,FALSE), IFERROR(VLOOKUP($A474,'Exetel ExDa'!$C$2:$N$14, 8,FALSE), IFERROR(VLOOKUP($A474,'Infinet ExDa'!$B$2:$E$14, 0,FALSE), "Not Found"))))))))</f>
        <v>Not Found</v>
      </c>
      <c r="J474" t="str">
        <f>IFERROR(VLOOKUP($A474,'AAPT ExDa'!$B$2:$U$99, 7,FALSE), IFERROR(VLOOKUP($A474,'ABB ExDa'!$A$2:$N$184, 2,FALSE), IFERROR(VLOOKUP($A474,'Vocus SIT ExDa'!$B$2:$J$173, 0,FALSE), IFERROR(VLOOKUP($A474,'Telstra ExDa'!$B$2:$K$310, 7,FALSE), IFERROR(VLOOKUP($A474,'Vocus RVC ExDa'!$C$2:$R$155, 2,FALSE), IFERROR(VLOOKUP($A474,'Fusion ExDa'!$B$2:$D$16, 3,FALSE), IFERROR(VLOOKUP($A474,'Exetel ExDa'!$C$2:$N$14, 0,FALSE), IFERROR(VLOOKUP($A474,'Infinet ExDa'!$B$2:$E$14, 0,FALSE), "Not Found"))))))))</f>
        <v>Not Found</v>
      </c>
      <c r="K474" t="str">
        <f>IFERROR(VLOOKUP($A474,'AAPT ExDa'!$B$2:$U$99, 12,FALSE), IFERROR(VLOOKUP($A474,'ABB ExDa'!$A$2:$N$184, 0,FALSE), IFERROR(VLOOKUP($A474,'Vocus SIT ExDa'!$B$2:$J$173, 0,FALSE), IFERROR(VLOOKUP($A474,'Telstra ExDa'!$B$2:$K$310, 0,FALSE), IFERROR(VLOOKUP($A474,'Vocus RVC ExDa'!$C$2:$R$155, 0,FALSE), IFERROR(VLOOKUP($A474,'Fusion ExDa'!$B$2:$D$16, 0,FALSE), IFERROR(VLOOKUP($A474,'Exetel ExDa'!$C$2:$N$14, 12,FALSE), IFERROR(VLOOKUP($A474,'Infinet ExDa'!$B$2:$E$14, 0,FALSE), "Not Found"))))))))</f>
        <v>Not Found</v>
      </c>
      <c r="L474" s="235" t="str">
        <f>IFERROR(VLOOKUP($A474,'AAPT ExDa'!$B$2:$U$99, 11,FALSE), IFERROR(VLOOKUP($A474,'ABB ExDa'!$A$2:$N$184, 9,FALSE), IFERROR(VLOOKUP($A474,'Vocus SIT ExDa'!$B$2:$J$173, 8,FALSE), IFERROR(VLOOKUP($A474,'Telstra ExDa'!$B$2:$K$310, 0,FALSE), IFERROR(VLOOKUP($A474,'Vocus RVC ExDa'!$C$2:$R$155, 0,FALSE), IFERROR(VLOOKUP($A474,'Fusion ExDa'!$B$2:$D$16, 0,FALSE), IFERROR(VLOOKUP($A474,'Exetel ExDa'!$C$2:$N$14, 9,FALSE), IFERROR(VLOOKUP($A474,'Infinet ExDa'!$B$2:$E$14, 0,FALSE), "Not Found"))))))))</f>
        <v>Not Found</v>
      </c>
      <c r="M474" s="234" t="str">
        <f>IFERROR(VLOOKUP($A474,'AAPT ExDa'!$B$2:$U$99, 0,FALSE), IFERROR(VLOOKUP($A474,'ABB ExDa'!$A$2:$N$184, 0,FALSE), IFERROR(VLOOKUP($A474,'Vocus SIT ExDa'!$B$2:$J$173, 0,FALSE), IFERROR(VLOOKUP($A474,'Telstra ExDa'!$B$2:$K$310, 0,FALSE), IFERROR(VLOOKUP($A474,'Vocus RVC ExDa'!$C$2:$R$155, 0,FALSE), IFERROR(VLOOKUP($A474,'Fusion ExDa'!$B$2:$D$16, 0,FALSE), IFERROR(VLOOKUP($A474,'Exetel ExDa'!$C$2:$N$14, 11,FALSE), IFERROR(VLOOKUP($A474,'Infinet ExDa'!$B$2:$E$14, 0,FALSE), "Not Found"))))))))</f>
        <v>Not Found</v>
      </c>
      <c r="N474" t="str">
        <f>IFERROR(VLOOKUP($A474,'AAPT ExDa'!$B$2:$U$99, 0,FALSE), IFERROR(VLOOKUP($A474,'ABB ExDa'!$A$2:$N$184, 13,FALSE), IFERROR(VLOOKUP($A474,'Vocus SIT ExDa'!$B$2:$J$173, 0,FALSE), IFERROR(VLOOKUP($A474,'Telstra ExDa'!$B$2:$K$310, 0,FALSE), IFERROR(VLOOKUP($A474,'Vocus RVC ExDa'!$C$2:$R$155, 0,FALSE), IFERROR(VLOOKUP($A474,'Fusion ExDa'!$B$2:$D$16, 0,FALSE), IFERROR(VLOOKUP($A474,'Exetel ExDa'!$C$2:$N$14, 0,FALSE), IFERROR(VLOOKUP($A474,'Infinet ExDa'!$B$2:$E$14, 0,FALSE), "Not Found"))))))))</f>
        <v>Not Found</v>
      </c>
    </row>
    <row r="475" spans="1:14">
      <c r="A475">
        <v>0</v>
      </c>
      <c r="B475" t="str">
        <f>IFERROR(VLOOKUP(A475,'Exetel ExDa'!$C$2:$N$14,4,FALSE),"No Data")</f>
        <v>No Data</v>
      </c>
      <c r="C475" t="str">
        <f>IFERROR(VLOOKUP(A475,'AAPT ExDa'!$B$2:$U$99, 2,FALSE), IFERROR(VLOOKUP(A475,'ABB ExDa'!$A$2:$N$184, 2,FALSE), IFERROR(VLOOKUP(A475,'Vocus SIT ExDa'!$B$2:$J$173, 7,FALSE), IFERROR(VLOOKUP(A475,'Telstra ExDa'!$B$2:$K$310, 2,FALSE), IFERROR(VLOOKUP(A475,'Vocus RVC ExDa'!$C$2:$R$155, 3,FALSE), IFERROR(VLOOKUP(A475,'Fusion ExDa'!$B$2:$D$16, 2,FALSE), IFERROR(VLOOKUP(A475,'Exetel ExDa'!$C$2:$N$14, 2,FALSE), IFERROR(VLOOKUP(A475,'Infinet ExDa'!$B$2:$E$14, 2,FALSE), "Not Found"))))))))</f>
        <v>Not Found</v>
      </c>
      <c r="D475" t="str">
        <f>IFERROR(VLOOKUP($A475,'AAPT ExDa'!$B$2:$U$99, 15,FALSE), IFERROR(VLOOKUP($A475,'ABB ExDa'!$A$2:$N$184, 4,FALSE), IFERROR(VLOOKUP($A475,'Vocus SIT ExDa'!$B$2:$J$173, 5,FALSE), IFERROR(VLOOKUP($A475,'Telstra ExDa'!$B$2:$K$310, 8,FALSE), IFERROR(VLOOKUP($A475,'Vocus RVC ExDa'!$C$2:$R$155, 6,FALSE), IFERROR(VLOOKUP($A475,'Fusion ExDa'!$B$2:$D$16, 4,FALSE), IFERROR(VLOOKUP($A475,'Exetel ExDa'!$C$2:$N$14, 3,FALSE), IFERROR(VLOOKUP($A475,'Infinet ExDa'!$B$2:$E$14, 3,FALSE), "Not Found"))))))))</f>
        <v>Not Found</v>
      </c>
      <c r="E475" t="str">
        <f>IFERROR(VLOOKUP($A475,'AAPT ExDa'!$B$2:$U$99, 3,FALSE), IFERROR(VLOOKUP($A475,'ABB ExDa'!$A$2:$N$184, 5,FALSE), IFERROR(VLOOKUP($A475,'Vocus SIT ExDa'!$B$2:$J$173, 2,FALSE), IFERROR(VLOOKUP($A475,'Telstra ExDa'!$B$2:$K$310, 4,FALSE), IFERROR(VLOOKUP($A475,'Vocus RVC ExDa'!$C$2:$R$155, 8,FALSE), IFERROR(VLOOKUP($A475,'Fusion ExDa'!$B$2:$D$16, 4,FALSE), IFERROR(VLOOKUP($A475,'Exetel ExDa'!$C$2:$N$14, 5,FALSE), IFERROR(VLOOKUP($A475,'Infinet ExDa'!$B$2:$E$14, 3,FALSE), "Not Found"))))))))</f>
        <v>Not Found</v>
      </c>
      <c r="F475" t="str">
        <f>IFERROR(VLOOKUP($A475,'AAPT ExDa'!$B$2:$U$99, 4,FALSE), IFERROR(VLOOKUP($A475,'ABB ExDa'!$A$2:$N$184, 6,FALSE), IFERROR(VLOOKUP($A475,'Vocus SIT ExDa'!$B$2:$J$173, 3,FALSE), IFERROR(VLOOKUP($A475,'Telstra ExDa'!$B$2:$K$310, 5,FALSE), IFERROR(VLOOKUP($A475,'Vocus RVC ExDa'!$C$2:$R$155, 9,FALSE), IFERROR(VLOOKUP($A475,'Fusion ExDa'!$B$2:$D$16, 0,FALSE), IFERROR(VLOOKUP($A475,'Exetel ExDa'!$C$2:$N$14, 6,FALSE), IFERROR(VLOOKUP($A475,'Infinet ExDa'!$B$2:$E$14, 0,FALSE), "Not Found"))))))))</f>
        <v>Not Found</v>
      </c>
      <c r="G475" t="str">
        <f>IFERROR(VLOOKUP($A475,'AAPT ExDa'!$B$2:$U$99, 5,FALSE), IFERROR(VLOOKUP($A475,'ABB ExDa'!$A$2:$N$184, 8,FALSE), IFERROR(VLOOKUP($A475,'Vocus SIT ExDa'!$B$2:$J$173, 6,FALSE), IFERROR(VLOOKUP($A475,'Telstra ExDa'!$B$2:$K$310, 0,FALSE), IFERROR(VLOOKUP($A475,'Vocus RVC ExDa'!$C$2:$R$155, 15,FALSE), IFERROR(VLOOKUP($A475,'Fusion ExDa'!$B$2:$D$16, 0,FALSE), IFERROR(VLOOKUP($A475,'Exetel ExDa'!$C$2:$N$14, 7,FALSE), IFERROR(VLOOKUP($A475,'Infinet ExDa'!$B$2:$E$14, 0,FALSE), "Not Found"))))))))</f>
        <v>Not Found</v>
      </c>
      <c r="H475" t="str">
        <f>IFERROR(VLOOKUP($A475,'AAPT ExDa'!$B$2:$U$99, 6,FALSE), IFERROR(VLOOKUP($A475,'ABB ExDa'!$A$2:$N$184, 0,FALSE), IFERROR(VLOOKUP($A475,'Vocus SIT ExDa'!$B$2:$J$173, 0,FALSE), IFERROR(VLOOKUP($A475,'Telstra ExDa'!$B$2:$K$310, 0,FALSE), IFERROR(VLOOKUP($A475,'Vocus RVC ExDa'!$C$2:$R$155, 16,FALSE), IFERROR(VLOOKUP($A475,'Fusion ExDa'!$B$2:$D$16, 0,FALSE), IFERROR(VLOOKUP($A475,'Exetel ExDa'!$C$2:$N$14, 0,FALSE), IFERROR(VLOOKUP($A475,'Infinet ExDa'!$B$2:$E$14, 0,FALSE), "Not Found"))))))))</f>
        <v>Not Found</v>
      </c>
      <c r="I475" t="str">
        <f>IFERROR(VLOOKUP($A475,'AAPT ExDa'!$B$2:$U$99, 0,FALSE), IFERROR(VLOOKUP($A475,'ABB ExDa'!$A$2:$N$184, 0,FALSE), IFERROR(VLOOKUP($A475,'Vocus SIT ExDa'!$B$2:$J$173, 0,FALSE), IFERROR(VLOOKUP($A475,'Telstra ExDa'!$B$2:$K$310, 0,FALSE), IFERROR(VLOOKUP($A475,'Vocus RVC ExDa'!$C$2:$R$155, 0,FALSE), IFERROR(VLOOKUP($A475,'Fusion ExDa'!$B$2:$D$16, 0,FALSE), IFERROR(VLOOKUP($A475,'Exetel ExDa'!$C$2:$N$14, 8,FALSE), IFERROR(VLOOKUP($A475,'Infinet ExDa'!$B$2:$E$14, 0,FALSE), "Not Found"))))))))</f>
        <v>Not Found</v>
      </c>
      <c r="J475" t="str">
        <f>IFERROR(VLOOKUP($A475,'AAPT ExDa'!$B$2:$U$99, 7,FALSE), IFERROR(VLOOKUP($A475,'ABB ExDa'!$A$2:$N$184, 2,FALSE), IFERROR(VLOOKUP($A475,'Vocus SIT ExDa'!$B$2:$J$173, 0,FALSE), IFERROR(VLOOKUP($A475,'Telstra ExDa'!$B$2:$K$310, 7,FALSE), IFERROR(VLOOKUP($A475,'Vocus RVC ExDa'!$C$2:$R$155, 2,FALSE), IFERROR(VLOOKUP($A475,'Fusion ExDa'!$B$2:$D$16, 3,FALSE), IFERROR(VLOOKUP($A475,'Exetel ExDa'!$C$2:$N$14, 0,FALSE), IFERROR(VLOOKUP($A475,'Infinet ExDa'!$B$2:$E$14, 0,FALSE), "Not Found"))))))))</f>
        <v>Not Found</v>
      </c>
      <c r="K475" t="str">
        <f>IFERROR(VLOOKUP($A475,'AAPT ExDa'!$B$2:$U$99, 12,FALSE), IFERROR(VLOOKUP($A475,'ABB ExDa'!$A$2:$N$184, 0,FALSE), IFERROR(VLOOKUP($A475,'Vocus SIT ExDa'!$B$2:$J$173, 0,FALSE), IFERROR(VLOOKUP($A475,'Telstra ExDa'!$B$2:$K$310, 0,FALSE), IFERROR(VLOOKUP($A475,'Vocus RVC ExDa'!$C$2:$R$155, 0,FALSE), IFERROR(VLOOKUP($A475,'Fusion ExDa'!$B$2:$D$16, 0,FALSE), IFERROR(VLOOKUP($A475,'Exetel ExDa'!$C$2:$N$14, 12,FALSE), IFERROR(VLOOKUP($A475,'Infinet ExDa'!$B$2:$E$14, 0,FALSE), "Not Found"))))))))</f>
        <v>Not Found</v>
      </c>
      <c r="L475" s="235" t="str">
        <f>IFERROR(VLOOKUP($A475,'AAPT ExDa'!$B$2:$U$99, 11,FALSE), IFERROR(VLOOKUP($A475,'ABB ExDa'!$A$2:$N$184, 9,FALSE), IFERROR(VLOOKUP($A475,'Vocus SIT ExDa'!$B$2:$J$173, 8,FALSE), IFERROR(VLOOKUP($A475,'Telstra ExDa'!$B$2:$K$310, 0,FALSE), IFERROR(VLOOKUP($A475,'Vocus RVC ExDa'!$C$2:$R$155, 0,FALSE), IFERROR(VLOOKUP($A475,'Fusion ExDa'!$B$2:$D$16, 0,FALSE), IFERROR(VLOOKUP($A475,'Exetel ExDa'!$C$2:$N$14, 9,FALSE), IFERROR(VLOOKUP($A475,'Infinet ExDa'!$B$2:$E$14, 0,FALSE), "Not Found"))))))))</f>
        <v>Not Found</v>
      </c>
      <c r="M475" s="234" t="str">
        <f>IFERROR(VLOOKUP($A475,'AAPT ExDa'!$B$2:$U$99, 0,FALSE), IFERROR(VLOOKUP($A475,'ABB ExDa'!$A$2:$N$184, 0,FALSE), IFERROR(VLOOKUP($A475,'Vocus SIT ExDa'!$B$2:$J$173, 0,FALSE), IFERROR(VLOOKUP($A475,'Telstra ExDa'!$B$2:$K$310, 0,FALSE), IFERROR(VLOOKUP($A475,'Vocus RVC ExDa'!$C$2:$R$155, 0,FALSE), IFERROR(VLOOKUP($A475,'Fusion ExDa'!$B$2:$D$16, 0,FALSE), IFERROR(VLOOKUP($A475,'Exetel ExDa'!$C$2:$N$14, 11,FALSE), IFERROR(VLOOKUP($A475,'Infinet ExDa'!$B$2:$E$14, 0,FALSE), "Not Found"))))))))</f>
        <v>Not Found</v>
      </c>
      <c r="N475" t="str">
        <f>IFERROR(VLOOKUP($A475,'AAPT ExDa'!$B$2:$U$99, 0,FALSE), IFERROR(VLOOKUP($A475,'ABB ExDa'!$A$2:$N$184, 13,FALSE), IFERROR(VLOOKUP($A475,'Vocus SIT ExDa'!$B$2:$J$173, 0,FALSE), IFERROR(VLOOKUP($A475,'Telstra ExDa'!$B$2:$K$310, 0,FALSE), IFERROR(VLOOKUP($A475,'Vocus RVC ExDa'!$C$2:$R$155, 0,FALSE), IFERROR(VLOOKUP($A475,'Fusion ExDa'!$B$2:$D$16, 0,FALSE), IFERROR(VLOOKUP($A475,'Exetel ExDa'!$C$2:$N$14, 0,FALSE), IFERROR(VLOOKUP($A475,'Infinet ExDa'!$B$2:$E$14, 0,FALSE), "Not Found"))))))))</f>
        <v>Not Found</v>
      </c>
    </row>
    <row r="476" spans="1:14">
      <c r="A476">
        <v>0</v>
      </c>
      <c r="B476" t="str">
        <f>IFERROR(VLOOKUP(A476,'Exetel ExDa'!$C$2:$N$14,4,FALSE),"No Data")</f>
        <v>No Data</v>
      </c>
      <c r="C476" t="str">
        <f>IFERROR(VLOOKUP(A476,'AAPT ExDa'!$B$2:$U$99, 2,FALSE), IFERROR(VLOOKUP(A476,'ABB ExDa'!$A$2:$N$184, 2,FALSE), IFERROR(VLOOKUP(A476,'Vocus SIT ExDa'!$B$2:$J$173, 7,FALSE), IFERROR(VLOOKUP(A476,'Telstra ExDa'!$B$2:$K$310, 2,FALSE), IFERROR(VLOOKUP(A476,'Vocus RVC ExDa'!$C$2:$R$155, 3,FALSE), IFERROR(VLOOKUP(A476,'Fusion ExDa'!$B$2:$D$16, 2,FALSE), IFERROR(VLOOKUP(A476,'Exetel ExDa'!$C$2:$N$14, 2,FALSE), IFERROR(VLOOKUP(A476,'Infinet ExDa'!$B$2:$E$14, 2,FALSE), "Not Found"))))))))</f>
        <v>Not Found</v>
      </c>
      <c r="D476" t="str">
        <f>IFERROR(VLOOKUP($A476,'AAPT ExDa'!$B$2:$U$99, 15,FALSE), IFERROR(VLOOKUP($A476,'ABB ExDa'!$A$2:$N$184, 4,FALSE), IFERROR(VLOOKUP($A476,'Vocus SIT ExDa'!$B$2:$J$173, 5,FALSE), IFERROR(VLOOKUP($A476,'Telstra ExDa'!$B$2:$K$310, 8,FALSE), IFERROR(VLOOKUP($A476,'Vocus RVC ExDa'!$C$2:$R$155, 6,FALSE), IFERROR(VLOOKUP($A476,'Fusion ExDa'!$B$2:$D$16, 4,FALSE), IFERROR(VLOOKUP($A476,'Exetel ExDa'!$C$2:$N$14, 3,FALSE), IFERROR(VLOOKUP($A476,'Infinet ExDa'!$B$2:$E$14, 3,FALSE), "Not Found"))))))))</f>
        <v>Not Found</v>
      </c>
      <c r="E476" t="str">
        <f>IFERROR(VLOOKUP($A476,'AAPT ExDa'!$B$2:$U$99, 3,FALSE), IFERROR(VLOOKUP($A476,'ABB ExDa'!$A$2:$N$184, 5,FALSE), IFERROR(VLOOKUP($A476,'Vocus SIT ExDa'!$B$2:$J$173, 2,FALSE), IFERROR(VLOOKUP($A476,'Telstra ExDa'!$B$2:$K$310, 4,FALSE), IFERROR(VLOOKUP($A476,'Vocus RVC ExDa'!$C$2:$R$155, 8,FALSE), IFERROR(VLOOKUP($A476,'Fusion ExDa'!$B$2:$D$16, 4,FALSE), IFERROR(VLOOKUP($A476,'Exetel ExDa'!$C$2:$N$14, 5,FALSE), IFERROR(VLOOKUP($A476,'Infinet ExDa'!$B$2:$E$14, 3,FALSE), "Not Found"))))))))</f>
        <v>Not Found</v>
      </c>
      <c r="F476" t="str">
        <f>IFERROR(VLOOKUP($A476,'AAPT ExDa'!$B$2:$U$99, 4,FALSE), IFERROR(VLOOKUP($A476,'ABB ExDa'!$A$2:$N$184, 6,FALSE), IFERROR(VLOOKUP($A476,'Vocus SIT ExDa'!$B$2:$J$173, 3,FALSE), IFERROR(VLOOKUP($A476,'Telstra ExDa'!$B$2:$K$310, 5,FALSE), IFERROR(VLOOKUP($A476,'Vocus RVC ExDa'!$C$2:$R$155, 9,FALSE), IFERROR(VLOOKUP($A476,'Fusion ExDa'!$B$2:$D$16, 0,FALSE), IFERROR(VLOOKUP($A476,'Exetel ExDa'!$C$2:$N$14, 6,FALSE), IFERROR(VLOOKUP($A476,'Infinet ExDa'!$B$2:$E$14, 0,FALSE), "Not Found"))))))))</f>
        <v>Not Found</v>
      </c>
      <c r="G476" t="str">
        <f>IFERROR(VLOOKUP($A476,'AAPT ExDa'!$B$2:$U$99, 5,FALSE), IFERROR(VLOOKUP($A476,'ABB ExDa'!$A$2:$N$184, 8,FALSE), IFERROR(VLOOKUP($A476,'Vocus SIT ExDa'!$B$2:$J$173, 6,FALSE), IFERROR(VLOOKUP($A476,'Telstra ExDa'!$B$2:$K$310, 0,FALSE), IFERROR(VLOOKUP($A476,'Vocus RVC ExDa'!$C$2:$R$155, 15,FALSE), IFERROR(VLOOKUP($A476,'Fusion ExDa'!$B$2:$D$16, 0,FALSE), IFERROR(VLOOKUP($A476,'Exetel ExDa'!$C$2:$N$14, 7,FALSE), IFERROR(VLOOKUP($A476,'Infinet ExDa'!$B$2:$E$14, 0,FALSE), "Not Found"))))))))</f>
        <v>Not Found</v>
      </c>
      <c r="H476" t="str">
        <f>IFERROR(VLOOKUP($A476,'AAPT ExDa'!$B$2:$U$99, 6,FALSE), IFERROR(VLOOKUP($A476,'ABB ExDa'!$A$2:$N$184, 0,FALSE), IFERROR(VLOOKUP($A476,'Vocus SIT ExDa'!$B$2:$J$173, 0,FALSE), IFERROR(VLOOKUP($A476,'Telstra ExDa'!$B$2:$K$310, 0,FALSE), IFERROR(VLOOKUP($A476,'Vocus RVC ExDa'!$C$2:$R$155, 16,FALSE), IFERROR(VLOOKUP($A476,'Fusion ExDa'!$B$2:$D$16, 0,FALSE), IFERROR(VLOOKUP($A476,'Exetel ExDa'!$C$2:$N$14, 0,FALSE), IFERROR(VLOOKUP($A476,'Infinet ExDa'!$B$2:$E$14, 0,FALSE), "Not Found"))))))))</f>
        <v>Not Found</v>
      </c>
      <c r="I476" t="str">
        <f>IFERROR(VLOOKUP($A476,'AAPT ExDa'!$B$2:$U$99, 0,FALSE), IFERROR(VLOOKUP($A476,'ABB ExDa'!$A$2:$N$184, 0,FALSE), IFERROR(VLOOKUP($A476,'Vocus SIT ExDa'!$B$2:$J$173, 0,FALSE), IFERROR(VLOOKUP($A476,'Telstra ExDa'!$B$2:$K$310, 0,FALSE), IFERROR(VLOOKUP($A476,'Vocus RVC ExDa'!$C$2:$R$155, 0,FALSE), IFERROR(VLOOKUP($A476,'Fusion ExDa'!$B$2:$D$16, 0,FALSE), IFERROR(VLOOKUP($A476,'Exetel ExDa'!$C$2:$N$14, 8,FALSE), IFERROR(VLOOKUP($A476,'Infinet ExDa'!$B$2:$E$14, 0,FALSE), "Not Found"))))))))</f>
        <v>Not Found</v>
      </c>
      <c r="J476" t="str">
        <f>IFERROR(VLOOKUP($A476,'AAPT ExDa'!$B$2:$U$99, 7,FALSE), IFERROR(VLOOKUP($A476,'ABB ExDa'!$A$2:$N$184, 2,FALSE), IFERROR(VLOOKUP($A476,'Vocus SIT ExDa'!$B$2:$J$173, 0,FALSE), IFERROR(VLOOKUP($A476,'Telstra ExDa'!$B$2:$K$310, 7,FALSE), IFERROR(VLOOKUP($A476,'Vocus RVC ExDa'!$C$2:$R$155, 2,FALSE), IFERROR(VLOOKUP($A476,'Fusion ExDa'!$B$2:$D$16, 3,FALSE), IFERROR(VLOOKUP($A476,'Exetel ExDa'!$C$2:$N$14, 0,FALSE), IFERROR(VLOOKUP($A476,'Infinet ExDa'!$B$2:$E$14, 0,FALSE), "Not Found"))))))))</f>
        <v>Not Found</v>
      </c>
      <c r="K476" t="str">
        <f>IFERROR(VLOOKUP($A476,'AAPT ExDa'!$B$2:$U$99, 12,FALSE), IFERROR(VLOOKUP($A476,'ABB ExDa'!$A$2:$N$184, 0,FALSE), IFERROR(VLOOKUP($A476,'Vocus SIT ExDa'!$B$2:$J$173, 0,FALSE), IFERROR(VLOOKUP($A476,'Telstra ExDa'!$B$2:$K$310, 0,FALSE), IFERROR(VLOOKUP($A476,'Vocus RVC ExDa'!$C$2:$R$155, 0,FALSE), IFERROR(VLOOKUP($A476,'Fusion ExDa'!$B$2:$D$16, 0,FALSE), IFERROR(VLOOKUP($A476,'Exetel ExDa'!$C$2:$N$14, 12,FALSE), IFERROR(VLOOKUP($A476,'Infinet ExDa'!$B$2:$E$14, 0,FALSE), "Not Found"))))))))</f>
        <v>Not Found</v>
      </c>
      <c r="L476" s="235" t="str">
        <f>IFERROR(VLOOKUP($A476,'AAPT ExDa'!$B$2:$U$99, 11,FALSE), IFERROR(VLOOKUP($A476,'ABB ExDa'!$A$2:$N$184, 9,FALSE), IFERROR(VLOOKUP($A476,'Vocus SIT ExDa'!$B$2:$J$173, 8,FALSE), IFERROR(VLOOKUP($A476,'Telstra ExDa'!$B$2:$K$310, 0,FALSE), IFERROR(VLOOKUP($A476,'Vocus RVC ExDa'!$C$2:$R$155, 0,FALSE), IFERROR(VLOOKUP($A476,'Fusion ExDa'!$B$2:$D$16, 0,FALSE), IFERROR(VLOOKUP($A476,'Exetel ExDa'!$C$2:$N$14, 9,FALSE), IFERROR(VLOOKUP($A476,'Infinet ExDa'!$B$2:$E$14, 0,FALSE), "Not Found"))))))))</f>
        <v>Not Found</v>
      </c>
      <c r="M476" s="234" t="str">
        <f>IFERROR(VLOOKUP($A476,'AAPT ExDa'!$B$2:$U$99, 0,FALSE), IFERROR(VLOOKUP($A476,'ABB ExDa'!$A$2:$N$184, 0,FALSE), IFERROR(VLOOKUP($A476,'Vocus SIT ExDa'!$B$2:$J$173, 0,FALSE), IFERROR(VLOOKUP($A476,'Telstra ExDa'!$B$2:$K$310, 0,FALSE), IFERROR(VLOOKUP($A476,'Vocus RVC ExDa'!$C$2:$R$155, 0,FALSE), IFERROR(VLOOKUP($A476,'Fusion ExDa'!$B$2:$D$16, 0,FALSE), IFERROR(VLOOKUP($A476,'Exetel ExDa'!$C$2:$N$14, 11,FALSE), IFERROR(VLOOKUP($A476,'Infinet ExDa'!$B$2:$E$14, 0,FALSE), "Not Found"))))))))</f>
        <v>Not Found</v>
      </c>
      <c r="N476" t="str">
        <f>IFERROR(VLOOKUP($A476,'AAPT ExDa'!$B$2:$U$99, 0,FALSE), IFERROR(VLOOKUP($A476,'ABB ExDa'!$A$2:$N$184, 13,FALSE), IFERROR(VLOOKUP($A476,'Vocus SIT ExDa'!$B$2:$J$173, 0,FALSE), IFERROR(VLOOKUP($A476,'Telstra ExDa'!$B$2:$K$310, 0,FALSE), IFERROR(VLOOKUP($A476,'Vocus RVC ExDa'!$C$2:$R$155, 0,FALSE), IFERROR(VLOOKUP($A476,'Fusion ExDa'!$B$2:$D$16, 0,FALSE), IFERROR(VLOOKUP($A476,'Exetel ExDa'!$C$2:$N$14, 0,FALSE), IFERROR(VLOOKUP($A476,'Infinet ExDa'!$B$2:$E$14, 0,FALSE), "Not Found"))))))))</f>
        <v>Not Found</v>
      </c>
    </row>
    <row r="477" spans="1:14">
      <c r="A477">
        <v>0</v>
      </c>
      <c r="B477" t="str">
        <f>IFERROR(VLOOKUP(A477,'Exetel ExDa'!$C$2:$N$14,4,FALSE),"No Data")</f>
        <v>No Data</v>
      </c>
      <c r="C477" t="str">
        <f>IFERROR(VLOOKUP(A477,'AAPT ExDa'!$B$2:$U$99, 2,FALSE), IFERROR(VLOOKUP(A477,'ABB ExDa'!$A$2:$N$184, 2,FALSE), IFERROR(VLOOKUP(A477,'Vocus SIT ExDa'!$B$2:$J$173, 7,FALSE), IFERROR(VLOOKUP(A477,'Telstra ExDa'!$B$2:$K$310, 2,FALSE), IFERROR(VLOOKUP(A477,'Vocus RVC ExDa'!$C$2:$R$155, 3,FALSE), IFERROR(VLOOKUP(A477,'Fusion ExDa'!$B$2:$D$16, 2,FALSE), IFERROR(VLOOKUP(A477,'Exetel ExDa'!$C$2:$N$14, 2,FALSE), IFERROR(VLOOKUP(A477,'Infinet ExDa'!$B$2:$E$14, 2,FALSE), "Not Found"))))))))</f>
        <v>Not Found</v>
      </c>
      <c r="D477" t="str">
        <f>IFERROR(VLOOKUP($A477,'AAPT ExDa'!$B$2:$U$99, 15,FALSE), IFERROR(VLOOKUP($A477,'ABB ExDa'!$A$2:$N$184, 4,FALSE), IFERROR(VLOOKUP($A477,'Vocus SIT ExDa'!$B$2:$J$173, 5,FALSE), IFERROR(VLOOKUP($A477,'Telstra ExDa'!$B$2:$K$310, 8,FALSE), IFERROR(VLOOKUP($A477,'Vocus RVC ExDa'!$C$2:$R$155, 6,FALSE), IFERROR(VLOOKUP($A477,'Fusion ExDa'!$B$2:$D$16, 4,FALSE), IFERROR(VLOOKUP($A477,'Exetel ExDa'!$C$2:$N$14, 3,FALSE), IFERROR(VLOOKUP($A477,'Infinet ExDa'!$B$2:$E$14, 3,FALSE), "Not Found"))))))))</f>
        <v>Not Found</v>
      </c>
      <c r="E477" t="str">
        <f>IFERROR(VLOOKUP($A477,'AAPT ExDa'!$B$2:$U$99, 3,FALSE), IFERROR(VLOOKUP($A477,'ABB ExDa'!$A$2:$N$184, 5,FALSE), IFERROR(VLOOKUP($A477,'Vocus SIT ExDa'!$B$2:$J$173, 2,FALSE), IFERROR(VLOOKUP($A477,'Telstra ExDa'!$B$2:$K$310, 4,FALSE), IFERROR(VLOOKUP($A477,'Vocus RVC ExDa'!$C$2:$R$155, 8,FALSE), IFERROR(VLOOKUP($A477,'Fusion ExDa'!$B$2:$D$16, 4,FALSE), IFERROR(VLOOKUP($A477,'Exetel ExDa'!$C$2:$N$14, 5,FALSE), IFERROR(VLOOKUP($A477,'Infinet ExDa'!$B$2:$E$14, 3,FALSE), "Not Found"))))))))</f>
        <v>Not Found</v>
      </c>
      <c r="F477" t="str">
        <f>IFERROR(VLOOKUP($A477,'AAPT ExDa'!$B$2:$U$99, 4,FALSE), IFERROR(VLOOKUP($A477,'ABB ExDa'!$A$2:$N$184, 6,FALSE), IFERROR(VLOOKUP($A477,'Vocus SIT ExDa'!$B$2:$J$173, 3,FALSE), IFERROR(VLOOKUP($A477,'Telstra ExDa'!$B$2:$K$310, 5,FALSE), IFERROR(VLOOKUP($A477,'Vocus RVC ExDa'!$C$2:$R$155, 9,FALSE), IFERROR(VLOOKUP($A477,'Fusion ExDa'!$B$2:$D$16, 0,FALSE), IFERROR(VLOOKUP($A477,'Exetel ExDa'!$C$2:$N$14, 6,FALSE), IFERROR(VLOOKUP($A477,'Infinet ExDa'!$B$2:$E$14, 0,FALSE), "Not Found"))))))))</f>
        <v>Not Found</v>
      </c>
      <c r="G477" t="str">
        <f>IFERROR(VLOOKUP($A477,'AAPT ExDa'!$B$2:$U$99, 5,FALSE), IFERROR(VLOOKUP($A477,'ABB ExDa'!$A$2:$N$184, 8,FALSE), IFERROR(VLOOKUP($A477,'Vocus SIT ExDa'!$B$2:$J$173, 6,FALSE), IFERROR(VLOOKUP($A477,'Telstra ExDa'!$B$2:$K$310, 0,FALSE), IFERROR(VLOOKUP($A477,'Vocus RVC ExDa'!$C$2:$R$155, 15,FALSE), IFERROR(VLOOKUP($A477,'Fusion ExDa'!$B$2:$D$16, 0,FALSE), IFERROR(VLOOKUP($A477,'Exetel ExDa'!$C$2:$N$14, 7,FALSE), IFERROR(VLOOKUP($A477,'Infinet ExDa'!$B$2:$E$14, 0,FALSE), "Not Found"))))))))</f>
        <v>Not Found</v>
      </c>
      <c r="H477" t="str">
        <f>IFERROR(VLOOKUP($A477,'AAPT ExDa'!$B$2:$U$99, 6,FALSE), IFERROR(VLOOKUP($A477,'ABB ExDa'!$A$2:$N$184, 0,FALSE), IFERROR(VLOOKUP($A477,'Vocus SIT ExDa'!$B$2:$J$173, 0,FALSE), IFERROR(VLOOKUP($A477,'Telstra ExDa'!$B$2:$K$310, 0,FALSE), IFERROR(VLOOKUP($A477,'Vocus RVC ExDa'!$C$2:$R$155, 16,FALSE), IFERROR(VLOOKUP($A477,'Fusion ExDa'!$B$2:$D$16, 0,FALSE), IFERROR(VLOOKUP($A477,'Exetel ExDa'!$C$2:$N$14, 0,FALSE), IFERROR(VLOOKUP($A477,'Infinet ExDa'!$B$2:$E$14, 0,FALSE), "Not Found"))))))))</f>
        <v>Not Found</v>
      </c>
      <c r="I477" t="str">
        <f>IFERROR(VLOOKUP($A477,'AAPT ExDa'!$B$2:$U$99, 0,FALSE), IFERROR(VLOOKUP($A477,'ABB ExDa'!$A$2:$N$184, 0,FALSE), IFERROR(VLOOKUP($A477,'Vocus SIT ExDa'!$B$2:$J$173, 0,FALSE), IFERROR(VLOOKUP($A477,'Telstra ExDa'!$B$2:$K$310, 0,FALSE), IFERROR(VLOOKUP($A477,'Vocus RVC ExDa'!$C$2:$R$155, 0,FALSE), IFERROR(VLOOKUP($A477,'Fusion ExDa'!$B$2:$D$16, 0,FALSE), IFERROR(VLOOKUP($A477,'Exetel ExDa'!$C$2:$N$14, 8,FALSE), IFERROR(VLOOKUP($A477,'Infinet ExDa'!$B$2:$E$14, 0,FALSE), "Not Found"))))))))</f>
        <v>Not Found</v>
      </c>
      <c r="J477" t="str">
        <f>IFERROR(VLOOKUP($A477,'AAPT ExDa'!$B$2:$U$99, 7,FALSE), IFERROR(VLOOKUP($A477,'ABB ExDa'!$A$2:$N$184, 2,FALSE), IFERROR(VLOOKUP($A477,'Vocus SIT ExDa'!$B$2:$J$173, 0,FALSE), IFERROR(VLOOKUP($A477,'Telstra ExDa'!$B$2:$K$310, 7,FALSE), IFERROR(VLOOKUP($A477,'Vocus RVC ExDa'!$C$2:$R$155, 2,FALSE), IFERROR(VLOOKUP($A477,'Fusion ExDa'!$B$2:$D$16, 3,FALSE), IFERROR(VLOOKUP($A477,'Exetel ExDa'!$C$2:$N$14, 0,FALSE), IFERROR(VLOOKUP($A477,'Infinet ExDa'!$B$2:$E$14, 0,FALSE), "Not Found"))))))))</f>
        <v>Not Found</v>
      </c>
      <c r="K477" t="str">
        <f>IFERROR(VLOOKUP($A477,'AAPT ExDa'!$B$2:$U$99, 12,FALSE), IFERROR(VLOOKUP($A477,'ABB ExDa'!$A$2:$N$184, 0,FALSE), IFERROR(VLOOKUP($A477,'Vocus SIT ExDa'!$B$2:$J$173, 0,FALSE), IFERROR(VLOOKUP($A477,'Telstra ExDa'!$B$2:$K$310, 0,FALSE), IFERROR(VLOOKUP($A477,'Vocus RVC ExDa'!$C$2:$R$155, 0,FALSE), IFERROR(VLOOKUP($A477,'Fusion ExDa'!$B$2:$D$16, 0,FALSE), IFERROR(VLOOKUP($A477,'Exetel ExDa'!$C$2:$N$14, 12,FALSE), IFERROR(VLOOKUP($A477,'Infinet ExDa'!$B$2:$E$14, 0,FALSE), "Not Found"))))))))</f>
        <v>Not Found</v>
      </c>
      <c r="L477" s="235" t="str">
        <f>IFERROR(VLOOKUP($A477,'AAPT ExDa'!$B$2:$U$99, 11,FALSE), IFERROR(VLOOKUP($A477,'ABB ExDa'!$A$2:$N$184, 9,FALSE), IFERROR(VLOOKUP($A477,'Vocus SIT ExDa'!$B$2:$J$173, 8,FALSE), IFERROR(VLOOKUP($A477,'Telstra ExDa'!$B$2:$K$310, 0,FALSE), IFERROR(VLOOKUP($A477,'Vocus RVC ExDa'!$C$2:$R$155, 0,FALSE), IFERROR(VLOOKUP($A477,'Fusion ExDa'!$B$2:$D$16, 0,FALSE), IFERROR(VLOOKUP($A477,'Exetel ExDa'!$C$2:$N$14, 9,FALSE), IFERROR(VLOOKUP($A477,'Infinet ExDa'!$B$2:$E$14, 0,FALSE), "Not Found"))))))))</f>
        <v>Not Found</v>
      </c>
      <c r="M477" s="234" t="str">
        <f>IFERROR(VLOOKUP($A477,'AAPT ExDa'!$B$2:$U$99, 0,FALSE), IFERROR(VLOOKUP($A477,'ABB ExDa'!$A$2:$N$184, 0,FALSE), IFERROR(VLOOKUP($A477,'Vocus SIT ExDa'!$B$2:$J$173, 0,FALSE), IFERROR(VLOOKUP($A477,'Telstra ExDa'!$B$2:$K$310, 0,FALSE), IFERROR(VLOOKUP($A477,'Vocus RVC ExDa'!$C$2:$R$155, 0,FALSE), IFERROR(VLOOKUP($A477,'Fusion ExDa'!$B$2:$D$16, 0,FALSE), IFERROR(VLOOKUP($A477,'Exetel ExDa'!$C$2:$N$14, 11,FALSE), IFERROR(VLOOKUP($A477,'Infinet ExDa'!$B$2:$E$14, 0,FALSE), "Not Found"))))))))</f>
        <v>Not Found</v>
      </c>
      <c r="N477" t="str">
        <f>IFERROR(VLOOKUP($A477,'AAPT ExDa'!$B$2:$U$99, 0,FALSE), IFERROR(VLOOKUP($A477,'ABB ExDa'!$A$2:$N$184, 13,FALSE), IFERROR(VLOOKUP($A477,'Vocus SIT ExDa'!$B$2:$J$173, 0,FALSE), IFERROR(VLOOKUP($A477,'Telstra ExDa'!$B$2:$K$310, 0,FALSE), IFERROR(VLOOKUP($A477,'Vocus RVC ExDa'!$C$2:$R$155, 0,FALSE), IFERROR(VLOOKUP($A477,'Fusion ExDa'!$B$2:$D$16, 0,FALSE), IFERROR(VLOOKUP($A477,'Exetel ExDa'!$C$2:$N$14, 0,FALSE), IFERROR(VLOOKUP($A477,'Infinet ExDa'!$B$2:$E$14, 0,FALSE), "Not Found"))))))))</f>
        <v>Not Found</v>
      </c>
    </row>
    <row r="478" spans="1:14">
      <c r="A478">
        <v>0</v>
      </c>
      <c r="B478" t="str">
        <f>IFERROR(VLOOKUP(A478,'Exetel ExDa'!$C$2:$N$14,4,FALSE),"No Data")</f>
        <v>No Data</v>
      </c>
      <c r="C478" t="str">
        <f>IFERROR(VLOOKUP(A478,'AAPT ExDa'!$B$2:$U$99, 2,FALSE), IFERROR(VLOOKUP(A478,'ABB ExDa'!$A$2:$N$184, 2,FALSE), IFERROR(VLOOKUP(A478,'Vocus SIT ExDa'!$B$2:$J$173, 7,FALSE), IFERROR(VLOOKUP(A478,'Telstra ExDa'!$B$2:$K$310, 2,FALSE), IFERROR(VLOOKUP(A478,'Vocus RVC ExDa'!$C$2:$R$155, 3,FALSE), IFERROR(VLOOKUP(A478,'Fusion ExDa'!$B$2:$D$16, 2,FALSE), IFERROR(VLOOKUP(A478,'Exetel ExDa'!$C$2:$N$14, 2,FALSE), IFERROR(VLOOKUP(A478,'Infinet ExDa'!$B$2:$E$14, 2,FALSE), "Not Found"))))))))</f>
        <v>Not Found</v>
      </c>
      <c r="D478" t="str">
        <f>IFERROR(VLOOKUP($A478,'AAPT ExDa'!$B$2:$U$99, 15,FALSE), IFERROR(VLOOKUP($A478,'ABB ExDa'!$A$2:$N$184, 4,FALSE), IFERROR(VLOOKUP($A478,'Vocus SIT ExDa'!$B$2:$J$173, 5,FALSE), IFERROR(VLOOKUP($A478,'Telstra ExDa'!$B$2:$K$310, 8,FALSE), IFERROR(VLOOKUP($A478,'Vocus RVC ExDa'!$C$2:$R$155, 6,FALSE), IFERROR(VLOOKUP($A478,'Fusion ExDa'!$B$2:$D$16, 4,FALSE), IFERROR(VLOOKUP($A478,'Exetel ExDa'!$C$2:$N$14, 3,FALSE), IFERROR(VLOOKUP($A478,'Infinet ExDa'!$B$2:$E$14, 3,FALSE), "Not Found"))))))))</f>
        <v>Not Found</v>
      </c>
      <c r="E478" t="str">
        <f>IFERROR(VLOOKUP($A478,'AAPT ExDa'!$B$2:$U$99, 3,FALSE), IFERROR(VLOOKUP($A478,'ABB ExDa'!$A$2:$N$184, 5,FALSE), IFERROR(VLOOKUP($A478,'Vocus SIT ExDa'!$B$2:$J$173, 2,FALSE), IFERROR(VLOOKUP($A478,'Telstra ExDa'!$B$2:$K$310, 4,FALSE), IFERROR(VLOOKUP($A478,'Vocus RVC ExDa'!$C$2:$R$155, 8,FALSE), IFERROR(VLOOKUP($A478,'Fusion ExDa'!$B$2:$D$16, 4,FALSE), IFERROR(VLOOKUP($A478,'Exetel ExDa'!$C$2:$N$14, 5,FALSE), IFERROR(VLOOKUP($A478,'Infinet ExDa'!$B$2:$E$14, 3,FALSE), "Not Found"))))))))</f>
        <v>Not Found</v>
      </c>
      <c r="F478" t="str">
        <f>IFERROR(VLOOKUP($A478,'AAPT ExDa'!$B$2:$U$99, 4,FALSE), IFERROR(VLOOKUP($A478,'ABB ExDa'!$A$2:$N$184, 6,FALSE), IFERROR(VLOOKUP($A478,'Vocus SIT ExDa'!$B$2:$J$173, 3,FALSE), IFERROR(VLOOKUP($A478,'Telstra ExDa'!$B$2:$K$310, 5,FALSE), IFERROR(VLOOKUP($A478,'Vocus RVC ExDa'!$C$2:$R$155, 9,FALSE), IFERROR(VLOOKUP($A478,'Fusion ExDa'!$B$2:$D$16, 0,FALSE), IFERROR(VLOOKUP($A478,'Exetel ExDa'!$C$2:$N$14, 6,FALSE), IFERROR(VLOOKUP($A478,'Infinet ExDa'!$B$2:$E$14, 0,FALSE), "Not Found"))))))))</f>
        <v>Not Found</v>
      </c>
      <c r="G478" t="str">
        <f>IFERROR(VLOOKUP($A478,'AAPT ExDa'!$B$2:$U$99, 5,FALSE), IFERROR(VLOOKUP($A478,'ABB ExDa'!$A$2:$N$184, 8,FALSE), IFERROR(VLOOKUP($A478,'Vocus SIT ExDa'!$B$2:$J$173, 6,FALSE), IFERROR(VLOOKUP($A478,'Telstra ExDa'!$B$2:$K$310, 0,FALSE), IFERROR(VLOOKUP($A478,'Vocus RVC ExDa'!$C$2:$R$155, 15,FALSE), IFERROR(VLOOKUP($A478,'Fusion ExDa'!$B$2:$D$16, 0,FALSE), IFERROR(VLOOKUP($A478,'Exetel ExDa'!$C$2:$N$14, 7,FALSE), IFERROR(VLOOKUP($A478,'Infinet ExDa'!$B$2:$E$14, 0,FALSE), "Not Found"))))))))</f>
        <v>Not Found</v>
      </c>
      <c r="H478" t="str">
        <f>IFERROR(VLOOKUP($A478,'AAPT ExDa'!$B$2:$U$99, 6,FALSE), IFERROR(VLOOKUP($A478,'ABB ExDa'!$A$2:$N$184, 0,FALSE), IFERROR(VLOOKUP($A478,'Vocus SIT ExDa'!$B$2:$J$173, 0,FALSE), IFERROR(VLOOKUP($A478,'Telstra ExDa'!$B$2:$K$310, 0,FALSE), IFERROR(VLOOKUP($A478,'Vocus RVC ExDa'!$C$2:$R$155, 16,FALSE), IFERROR(VLOOKUP($A478,'Fusion ExDa'!$B$2:$D$16, 0,FALSE), IFERROR(VLOOKUP($A478,'Exetel ExDa'!$C$2:$N$14, 0,FALSE), IFERROR(VLOOKUP($A478,'Infinet ExDa'!$B$2:$E$14, 0,FALSE), "Not Found"))))))))</f>
        <v>Not Found</v>
      </c>
      <c r="I478" t="str">
        <f>IFERROR(VLOOKUP($A478,'AAPT ExDa'!$B$2:$U$99, 0,FALSE), IFERROR(VLOOKUP($A478,'ABB ExDa'!$A$2:$N$184, 0,FALSE), IFERROR(VLOOKUP($A478,'Vocus SIT ExDa'!$B$2:$J$173, 0,FALSE), IFERROR(VLOOKUP($A478,'Telstra ExDa'!$B$2:$K$310, 0,FALSE), IFERROR(VLOOKUP($A478,'Vocus RVC ExDa'!$C$2:$R$155, 0,FALSE), IFERROR(VLOOKUP($A478,'Fusion ExDa'!$B$2:$D$16, 0,FALSE), IFERROR(VLOOKUP($A478,'Exetel ExDa'!$C$2:$N$14, 8,FALSE), IFERROR(VLOOKUP($A478,'Infinet ExDa'!$B$2:$E$14, 0,FALSE), "Not Found"))))))))</f>
        <v>Not Found</v>
      </c>
      <c r="J478" t="str">
        <f>IFERROR(VLOOKUP($A478,'AAPT ExDa'!$B$2:$U$99, 7,FALSE), IFERROR(VLOOKUP($A478,'ABB ExDa'!$A$2:$N$184, 2,FALSE), IFERROR(VLOOKUP($A478,'Vocus SIT ExDa'!$B$2:$J$173, 0,FALSE), IFERROR(VLOOKUP($A478,'Telstra ExDa'!$B$2:$K$310, 7,FALSE), IFERROR(VLOOKUP($A478,'Vocus RVC ExDa'!$C$2:$R$155, 2,FALSE), IFERROR(VLOOKUP($A478,'Fusion ExDa'!$B$2:$D$16, 3,FALSE), IFERROR(VLOOKUP($A478,'Exetel ExDa'!$C$2:$N$14, 0,FALSE), IFERROR(VLOOKUP($A478,'Infinet ExDa'!$B$2:$E$14, 0,FALSE), "Not Found"))))))))</f>
        <v>Not Found</v>
      </c>
      <c r="K478" t="str">
        <f>IFERROR(VLOOKUP($A478,'AAPT ExDa'!$B$2:$U$99, 12,FALSE), IFERROR(VLOOKUP($A478,'ABB ExDa'!$A$2:$N$184, 0,FALSE), IFERROR(VLOOKUP($A478,'Vocus SIT ExDa'!$B$2:$J$173, 0,FALSE), IFERROR(VLOOKUP($A478,'Telstra ExDa'!$B$2:$K$310, 0,FALSE), IFERROR(VLOOKUP($A478,'Vocus RVC ExDa'!$C$2:$R$155, 0,FALSE), IFERROR(VLOOKUP($A478,'Fusion ExDa'!$B$2:$D$16, 0,FALSE), IFERROR(VLOOKUP($A478,'Exetel ExDa'!$C$2:$N$14, 12,FALSE), IFERROR(VLOOKUP($A478,'Infinet ExDa'!$B$2:$E$14, 0,FALSE), "Not Found"))))))))</f>
        <v>Not Found</v>
      </c>
      <c r="L478" s="235" t="str">
        <f>IFERROR(VLOOKUP($A478,'AAPT ExDa'!$B$2:$U$99, 11,FALSE), IFERROR(VLOOKUP($A478,'ABB ExDa'!$A$2:$N$184, 9,FALSE), IFERROR(VLOOKUP($A478,'Vocus SIT ExDa'!$B$2:$J$173, 8,FALSE), IFERROR(VLOOKUP($A478,'Telstra ExDa'!$B$2:$K$310, 0,FALSE), IFERROR(VLOOKUP($A478,'Vocus RVC ExDa'!$C$2:$R$155, 0,FALSE), IFERROR(VLOOKUP($A478,'Fusion ExDa'!$B$2:$D$16, 0,FALSE), IFERROR(VLOOKUP($A478,'Exetel ExDa'!$C$2:$N$14, 9,FALSE), IFERROR(VLOOKUP($A478,'Infinet ExDa'!$B$2:$E$14, 0,FALSE), "Not Found"))))))))</f>
        <v>Not Found</v>
      </c>
      <c r="M478" s="234" t="str">
        <f>IFERROR(VLOOKUP($A478,'AAPT ExDa'!$B$2:$U$99, 0,FALSE), IFERROR(VLOOKUP($A478,'ABB ExDa'!$A$2:$N$184, 0,FALSE), IFERROR(VLOOKUP($A478,'Vocus SIT ExDa'!$B$2:$J$173, 0,FALSE), IFERROR(VLOOKUP($A478,'Telstra ExDa'!$B$2:$K$310, 0,FALSE), IFERROR(VLOOKUP($A478,'Vocus RVC ExDa'!$C$2:$R$155, 0,FALSE), IFERROR(VLOOKUP($A478,'Fusion ExDa'!$B$2:$D$16, 0,FALSE), IFERROR(VLOOKUP($A478,'Exetel ExDa'!$C$2:$N$14, 11,FALSE), IFERROR(VLOOKUP($A478,'Infinet ExDa'!$B$2:$E$14, 0,FALSE), "Not Found"))))))))</f>
        <v>Not Found</v>
      </c>
      <c r="N478" t="str">
        <f>IFERROR(VLOOKUP($A478,'AAPT ExDa'!$B$2:$U$99, 0,FALSE), IFERROR(VLOOKUP($A478,'ABB ExDa'!$A$2:$N$184, 13,FALSE), IFERROR(VLOOKUP($A478,'Vocus SIT ExDa'!$B$2:$J$173, 0,FALSE), IFERROR(VLOOKUP($A478,'Telstra ExDa'!$B$2:$K$310, 0,FALSE), IFERROR(VLOOKUP($A478,'Vocus RVC ExDa'!$C$2:$R$155, 0,FALSE), IFERROR(VLOOKUP($A478,'Fusion ExDa'!$B$2:$D$16, 0,FALSE), IFERROR(VLOOKUP($A478,'Exetel ExDa'!$C$2:$N$14, 0,FALSE), IFERROR(VLOOKUP($A478,'Infinet ExDa'!$B$2:$E$14, 0,FALSE), "Not Found"))))))))</f>
        <v>Not Found</v>
      </c>
    </row>
    <row r="479" spans="1:14">
      <c r="A479">
        <v>0</v>
      </c>
      <c r="B479" t="str">
        <f>IFERROR(VLOOKUP(A479,'Exetel ExDa'!$C$2:$N$14,4,FALSE),"No Data")</f>
        <v>No Data</v>
      </c>
      <c r="C479" t="str">
        <f>IFERROR(VLOOKUP(A479,'AAPT ExDa'!$B$2:$U$99, 2,FALSE), IFERROR(VLOOKUP(A479,'ABB ExDa'!$A$2:$N$184, 2,FALSE), IFERROR(VLOOKUP(A479,'Vocus SIT ExDa'!$B$2:$J$173, 7,FALSE), IFERROR(VLOOKUP(A479,'Telstra ExDa'!$B$2:$K$310, 2,FALSE), IFERROR(VLOOKUP(A479,'Vocus RVC ExDa'!$C$2:$R$155, 3,FALSE), IFERROR(VLOOKUP(A479,'Fusion ExDa'!$B$2:$D$16, 2,FALSE), IFERROR(VLOOKUP(A479,'Exetel ExDa'!$C$2:$N$14, 2,FALSE), IFERROR(VLOOKUP(A479,'Infinet ExDa'!$B$2:$E$14, 2,FALSE), "Not Found"))))))))</f>
        <v>Not Found</v>
      </c>
      <c r="D479" t="str">
        <f>IFERROR(VLOOKUP($A479,'AAPT ExDa'!$B$2:$U$99, 15,FALSE), IFERROR(VLOOKUP($A479,'ABB ExDa'!$A$2:$N$184, 4,FALSE), IFERROR(VLOOKUP($A479,'Vocus SIT ExDa'!$B$2:$J$173, 5,FALSE), IFERROR(VLOOKUP($A479,'Telstra ExDa'!$B$2:$K$310, 8,FALSE), IFERROR(VLOOKUP($A479,'Vocus RVC ExDa'!$C$2:$R$155, 6,FALSE), IFERROR(VLOOKUP($A479,'Fusion ExDa'!$B$2:$D$16, 4,FALSE), IFERROR(VLOOKUP($A479,'Exetel ExDa'!$C$2:$N$14, 3,FALSE), IFERROR(VLOOKUP($A479,'Infinet ExDa'!$B$2:$E$14, 3,FALSE), "Not Found"))))))))</f>
        <v>Not Found</v>
      </c>
      <c r="E479" t="str">
        <f>IFERROR(VLOOKUP($A479,'AAPT ExDa'!$B$2:$U$99, 3,FALSE), IFERROR(VLOOKUP($A479,'ABB ExDa'!$A$2:$N$184, 5,FALSE), IFERROR(VLOOKUP($A479,'Vocus SIT ExDa'!$B$2:$J$173, 2,FALSE), IFERROR(VLOOKUP($A479,'Telstra ExDa'!$B$2:$K$310, 4,FALSE), IFERROR(VLOOKUP($A479,'Vocus RVC ExDa'!$C$2:$R$155, 8,FALSE), IFERROR(VLOOKUP($A479,'Fusion ExDa'!$B$2:$D$16, 4,FALSE), IFERROR(VLOOKUP($A479,'Exetel ExDa'!$C$2:$N$14, 5,FALSE), IFERROR(VLOOKUP($A479,'Infinet ExDa'!$B$2:$E$14, 3,FALSE), "Not Found"))))))))</f>
        <v>Not Found</v>
      </c>
      <c r="F479" t="str">
        <f>IFERROR(VLOOKUP($A479,'AAPT ExDa'!$B$2:$U$99, 4,FALSE), IFERROR(VLOOKUP($A479,'ABB ExDa'!$A$2:$N$184, 6,FALSE), IFERROR(VLOOKUP($A479,'Vocus SIT ExDa'!$B$2:$J$173, 3,FALSE), IFERROR(VLOOKUP($A479,'Telstra ExDa'!$B$2:$K$310, 5,FALSE), IFERROR(VLOOKUP($A479,'Vocus RVC ExDa'!$C$2:$R$155, 9,FALSE), IFERROR(VLOOKUP($A479,'Fusion ExDa'!$B$2:$D$16, 0,FALSE), IFERROR(VLOOKUP($A479,'Exetel ExDa'!$C$2:$N$14, 6,FALSE), IFERROR(VLOOKUP($A479,'Infinet ExDa'!$B$2:$E$14, 0,FALSE), "Not Found"))))))))</f>
        <v>Not Found</v>
      </c>
      <c r="G479" t="str">
        <f>IFERROR(VLOOKUP($A479,'AAPT ExDa'!$B$2:$U$99, 5,FALSE), IFERROR(VLOOKUP($A479,'ABB ExDa'!$A$2:$N$184, 8,FALSE), IFERROR(VLOOKUP($A479,'Vocus SIT ExDa'!$B$2:$J$173, 6,FALSE), IFERROR(VLOOKUP($A479,'Telstra ExDa'!$B$2:$K$310, 0,FALSE), IFERROR(VLOOKUP($A479,'Vocus RVC ExDa'!$C$2:$R$155, 15,FALSE), IFERROR(VLOOKUP($A479,'Fusion ExDa'!$B$2:$D$16, 0,FALSE), IFERROR(VLOOKUP($A479,'Exetel ExDa'!$C$2:$N$14, 7,FALSE), IFERROR(VLOOKUP($A479,'Infinet ExDa'!$B$2:$E$14, 0,FALSE), "Not Found"))))))))</f>
        <v>Not Found</v>
      </c>
      <c r="H479" t="str">
        <f>IFERROR(VLOOKUP($A479,'AAPT ExDa'!$B$2:$U$99, 6,FALSE), IFERROR(VLOOKUP($A479,'ABB ExDa'!$A$2:$N$184, 0,FALSE), IFERROR(VLOOKUP($A479,'Vocus SIT ExDa'!$B$2:$J$173, 0,FALSE), IFERROR(VLOOKUP($A479,'Telstra ExDa'!$B$2:$K$310, 0,FALSE), IFERROR(VLOOKUP($A479,'Vocus RVC ExDa'!$C$2:$R$155, 16,FALSE), IFERROR(VLOOKUP($A479,'Fusion ExDa'!$B$2:$D$16, 0,FALSE), IFERROR(VLOOKUP($A479,'Exetel ExDa'!$C$2:$N$14, 0,FALSE), IFERROR(VLOOKUP($A479,'Infinet ExDa'!$B$2:$E$14, 0,FALSE), "Not Found"))))))))</f>
        <v>Not Found</v>
      </c>
      <c r="I479" t="str">
        <f>IFERROR(VLOOKUP($A479,'AAPT ExDa'!$B$2:$U$99, 0,FALSE), IFERROR(VLOOKUP($A479,'ABB ExDa'!$A$2:$N$184, 0,FALSE), IFERROR(VLOOKUP($A479,'Vocus SIT ExDa'!$B$2:$J$173, 0,FALSE), IFERROR(VLOOKUP($A479,'Telstra ExDa'!$B$2:$K$310, 0,FALSE), IFERROR(VLOOKUP($A479,'Vocus RVC ExDa'!$C$2:$R$155, 0,FALSE), IFERROR(VLOOKUP($A479,'Fusion ExDa'!$B$2:$D$16, 0,FALSE), IFERROR(VLOOKUP($A479,'Exetel ExDa'!$C$2:$N$14, 8,FALSE), IFERROR(VLOOKUP($A479,'Infinet ExDa'!$B$2:$E$14, 0,FALSE), "Not Found"))))))))</f>
        <v>Not Found</v>
      </c>
      <c r="J479" t="str">
        <f>IFERROR(VLOOKUP($A479,'AAPT ExDa'!$B$2:$U$99, 7,FALSE), IFERROR(VLOOKUP($A479,'ABB ExDa'!$A$2:$N$184, 2,FALSE), IFERROR(VLOOKUP($A479,'Vocus SIT ExDa'!$B$2:$J$173, 0,FALSE), IFERROR(VLOOKUP($A479,'Telstra ExDa'!$B$2:$K$310, 7,FALSE), IFERROR(VLOOKUP($A479,'Vocus RVC ExDa'!$C$2:$R$155, 2,FALSE), IFERROR(VLOOKUP($A479,'Fusion ExDa'!$B$2:$D$16, 3,FALSE), IFERROR(VLOOKUP($A479,'Exetel ExDa'!$C$2:$N$14, 0,FALSE), IFERROR(VLOOKUP($A479,'Infinet ExDa'!$B$2:$E$14, 0,FALSE), "Not Found"))))))))</f>
        <v>Not Found</v>
      </c>
      <c r="K479" t="str">
        <f>IFERROR(VLOOKUP($A479,'AAPT ExDa'!$B$2:$U$99, 12,FALSE), IFERROR(VLOOKUP($A479,'ABB ExDa'!$A$2:$N$184, 0,FALSE), IFERROR(VLOOKUP($A479,'Vocus SIT ExDa'!$B$2:$J$173, 0,FALSE), IFERROR(VLOOKUP($A479,'Telstra ExDa'!$B$2:$K$310, 0,FALSE), IFERROR(VLOOKUP($A479,'Vocus RVC ExDa'!$C$2:$R$155, 0,FALSE), IFERROR(VLOOKUP($A479,'Fusion ExDa'!$B$2:$D$16, 0,FALSE), IFERROR(VLOOKUP($A479,'Exetel ExDa'!$C$2:$N$14, 12,FALSE), IFERROR(VLOOKUP($A479,'Infinet ExDa'!$B$2:$E$14, 0,FALSE), "Not Found"))))))))</f>
        <v>Not Found</v>
      </c>
      <c r="L479" s="235" t="str">
        <f>IFERROR(VLOOKUP($A479,'AAPT ExDa'!$B$2:$U$99, 11,FALSE), IFERROR(VLOOKUP($A479,'ABB ExDa'!$A$2:$N$184, 9,FALSE), IFERROR(VLOOKUP($A479,'Vocus SIT ExDa'!$B$2:$J$173, 8,FALSE), IFERROR(VLOOKUP($A479,'Telstra ExDa'!$B$2:$K$310, 0,FALSE), IFERROR(VLOOKUP($A479,'Vocus RVC ExDa'!$C$2:$R$155, 0,FALSE), IFERROR(VLOOKUP($A479,'Fusion ExDa'!$B$2:$D$16, 0,FALSE), IFERROR(VLOOKUP($A479,'Exetel ExDa'!$C$2:$N$14, 9,FALSE), IFERROR(VLOOKUP($A479,'Infinet ExDa'!$B$2:$E$14, 0,FALSE), "Not Found"))))))))</f>
        <v>Not Found</v>
      </c>
      <c r="M479" s="234" t="str">
        <f>IFERROR(VLOOKUP($A479,'AAPT ExDa'!$B$2:$U$99, 0,FALSE), IFERROR(VLOOKUP($A479,'ABB ExDa'!$A$2:$N$184, 0,FALSE), IFERROR(VLOOKUP($A479,'Vocus SIT ExDa'!$B$2:$J$173, 0,FALSE), IFERROR(VLOOKUP($A479,'Telstra ExDa'!$B$2:$K$310, 0,FALSE), IFERROR(VLOOKUP($A479,'Vocus RVC ExDa'!$C$2:$R$155, 0,FALSE), IFERROR(VLOOKUP($A479,'Fusion ExDa'!$B$2:$D$16, 0,FALSE), IFERROR(VLOOKUP($A479,'Exetel ExDa'!$C$2:$N$14, 11,FALSE), IFERROR(VLOOKUP($A479,'Infinet ExDa'!$B$2:$E$14, 0,FALSE), "Not Found"))))))))</f>
        <v>Not Found</v>
      </c>
      <c r="N479" t="str">
        <f>IFERROR(VLOOKUP($A479,'AAPT ExDa'!$B$2:$U$99, 0,FALSE), IFERROR(VLOOKUP($A479,'ABB ExDa'!$A$2:$N$184, 13,FALSE), IFERROR(VLOOKUP($A479,'Vocus SIT ExDa'!$B$2:$J$173, 0,FALSE), IFERROR(VLOOKUP($A479,'Telstra ExDa'!$B$2:$K$310, 0,FALSE), IFERROR(VLOOKUP($A479,'Vocus RVC ExDa'!$C$2:$R$155, 0,FALSE), IFERROR(VLOOKUP($A479,'Fusion ExDa'!$B$2:$D$16, 0,FALSE), IFERROR(VLOOKUP($A479,'Exetel ExDa'!$C$2:$N$14, 0,FALSE), IFERROR(VLOOKUP($A479,'Infinet ExDa'!$B$2:$E$14, 0,FALSE), "Not Found"))))))))</f>
        <v>Not Found</v>
      </c>
    </row>
    <row r="480" spans="1:14">
      <c r="A480">
        <v>0</v>
      </c>
      <c r="B480" t="str">
        <f>IFERROR(VLOOKUP(A480,'Exetel ExDa'!$C$2:$N$14,4,FALSE),"No Data")</f>
        <v>No Data</v>
      </c>
      <c r="C480" t="str">
        <f>IFERROR(VLOOKUP(A480,'AAPT ExDa'!$B$2:$U$99, 2,FALSE), IFERROR(VLOOKUP(A480,'ABB ExDa'!$A$2:$N$184, 2,FALSE), IFERROR(VLOOKUP(A480,'Vocus SIT ExDa'!$B$2:$J$173, 7,FALSE), IFERROR(VLOOKUP(A480,'Telstra ExDa'!$B$2:$K$310, 2,FALSE), IFERROR(VLOOKUP(A480,'Vocus RVC ExDa'!$C$2:$R$155, 3,FALSE), IFERROR(VLOOKUP(A480,'Fusion ExDa'!$B$2:$D$16, 2,FALSE), IFERROR(VLOOKUP(A480,'Exetel ExDa'!$C$2:$N$14, 2,FALSE), IFERROR(VLOOKUP(A480,'Infinet ExDa'!$B$2:$E$14, 2,FALSE), "Not Found"))))))))</f>
        <v>Not Found</v>
      </c>
      <c r="D480" t="str">
        <f>IFERROR(VLOOKUP($A480,'AAPT ExDa'!$B$2:$U$99, 15,FALSE), IFERROR(VLOOKUP($A480,'ABB ExDa'!$A$2:$N$184, 4,FALSE), IFERROR(VLOOKUP($A480,'Vocus SIT ExDa'!$B$2:$J$173, 5,FALSE), IFERROR(VLOOKUP($A480,'Telstra ExDa'!$B$2:$K$310, 8,FALSE), IFERROR(VLOOKUP($A480,'Vocus RVC ExDa'!$C$2:$R$155, 6,FALSE), IFERROR(VLOOKUP($A480,'Fusion ExDa'!$B$2:$D$16, 4,FALSE), IFERROR(VLOOKUP($A480,'Exetel ExDa'!$C$2:$N$14, 3,FALSE), IFERROR(VLOOKUP($A480,'Infinet ExDa'!$B$2:$E$14, 3,FALSE), "Not Found"))))))))</f>
        <v>Not Found</v>
      </c>
      <c r="E480" t="str">
        <f>IFERROR(VLOOKUP($A480,'AAPT ExDa'!$B$2:$U$99, 3,FALSE), IFERROR(VLOOKUP($A480,'ABB ExDa'!$A$2:$N$184, 5,FALSE), IFERROR(VLOOKUP($A480,'Vocus SIT ExDa'!$B$2:$J$173, 2,FALSE), IFERROR(VLOOKUP($A480,'Telstra ExDa'!$B$2:$K$310, 4,FALSE), IFERROR(VLOOKUP($A480,'Vocus RVC ExDa'!$C$2:$R$155, 8,FALSE), IFERROR(VLOOKUP($A480,'Fusion ExDa'!$B$2:$D$16, 4,FALSE), IFERROR(VLOOKUP($A480,'Exetel ExDa'!$C$2:$N$14, 5,FALSE), IFERROR(VLOOKUP($A480,'Infinet ExDa'!$B$2:$E$14, 3,FALSE), "Not Found"))))))))</f>
        <v>Not Found</v>
      </c>
      <c r="F480" t="str">
        <f>IFERROR(VLOOKUP($A480,'AAPT ExDa'!$B$2:$U$99, 4,FALSE), IFERROR(VLOOKUP($A480,'ABB ExDa'!$A$2:$N$184, 6,FALSE), IFERROR(VLOOKUP($A480,'Vocus SIT ExDa'!$B$2:$J$173, 3,FALSE), IFERROR(VLOOKUP($A480,'Telstra ExDa'!$B$2:$K$310, 5,FALSE), IFERROR(VLOOKUP($A480,'Vocus RVC ExDa'!$C$2:$R$155, 9,FALSE), IFERROR(VLOOKUP($A480,'Fusion ExDa'!$B$2:$D$16, 0,FALSE), IFERROR(VLOOKUP($A480,'Exetel ExDa'!$C$2:$N$14, 6,FALSE), IFERROR(VLOOKUP($A480,'Infinet ExDa'!$B$2:$E$14, 0,FALSE), "Not Found"))))))))</f>
        <v>Not Found</v>
      </c>
      <c r="G480" t="str">
        <f>IFERROR(VLOOKUP($A480,'AAPT ExDa'!$B$2:$U$99, 5,FALSE), IFERROR(VLOOKUP($A480,'ABB ExDa'!$A$2:$N$184, 8,FALSE), IFERROR(VLOOKUP($A480,'Vocus SIT ExDa'!$B$2:$J$173, 6,FALSE), IFERROR(VLOOKUP($A480,'Telstra ExDa'!$B$2:$K$310, 0,FALSE), IFERROR(VLOOKUP($A480,'Vocus RVC ExDa'!$C$2:$R$155, 15,FALSE), IFERROR(VLOOKUP($A480,'Fusion ExDa'!$B$2:$D$16, 0,FALSE), IFERROR(VLOOKUP($A480,'Exetel ExDa'!$C$2:$N$14, 7,FALSE), IFERROR(VLOOKUP($A480,'Infinet ExDa'!$B$2:$E$14, 0,FALSE), "Not Found"))))))))</f>
        <v>Not Found</v>
      </c>
      <c r="H480" t="str">
        <f>IFERROR(VLOOKUP($A480,'AAPT ExDa'!$B$2:$U$99, 6,FALSE), IFERROR(VLOOKUP($A480,'ABB ExDa'!$A$2:$N$184, 0,FALSE), IFERROR(VLOOKUP($A480,'Vocus SIT ExDa'!$B$2:$J$173, 0,FALSE), IFERROR(VLOOKUP($A480,'Telstra ExDa'!$B$2:$K$310, 0,FALSE), IFERROR(VLOOKUP($A480,'Vocus RVC ExDa'!$C$2:$R$155, 16,FALSE), IFERROR(VLOOKUP($A480,'Fusion ExDa'!$B$2:$D$16, 0,FALSE), IFERROR(VLOOKUP($A480,'Exetel ExDa'!$C$2:$N$14, 0,FALSE), IFERROR(VLOOKUP($A480,'Infinet ExDa'!$B$2:$E$14, 0,FALSE), "Not Found"))))))))</f>
        <v>Not Found</v>
      </c>
      <c r="I480" t="str">
        <f>IFERROR(VLOOKUP($A480,'AAPT ExDa'!$B$2:$U$99, 0,FALSE), IFERROR(VLOOKUP($A480,'ABB ExDa'!$A$2:$N$184, 0,FALSE), IFERROR(VLOOKUP($A480,'Vocus SIT ExDa'!$B$2:$J$173, 0,FALSE), IFERROR(VLOOKUP($A480,'Telstra ExDa'!$B$2:$K$310, 0,FALSE), IFERROR(VLOOKUP($A480,'Vocus RVC ExDa'!$C$2:$R$155, 0,FALSE), IFERROR(VLOOKUP($A480,'Fusion ExDa'!$B$2:$D$16, 0,FALSE), IFERROR(VLOOKUP($A480,'Exetel ExDa'!$C$2:$N$14, 8,FALSE), IFERROR(VLOOKUP($A480,'Infinet ExDa'!$B$2:$E$14, 0,FALSE), "Not Found"))))))))</f>
        <v>Not Found</v>
      </c>
      <c r="J480" t="str">
        <f>IFERROR(VLOOKUP($A480,'AAPT ExDa'!$B$2:$U$99, 7,FALSE), IFERROR(VLOOKUP($A480,'ABB ExDa'!$A$2:$N$184, 2,FALSE), IFERROR(VLOOKUP($A480,'Vocus SIT ExDa'!$B$2:$J$173, 0,FALSE), IFERROR(VLOOKUP($A480,'Telstra ExDa'!$B$2:$K$310, 7,FALSE), IFERROR(VLOOKUP($A480,'Vocus RVC ExDa'!$C$2:$R$155, 2,FALSE), IFERROR(VLOOKUP($A480,'Fusion ExDa'!$B$2:$D$16, 3,FALSE), IFERROR(VLOOKUP($A480,'Exetel ExDa'!$C$2:$N$14, 0,FALSE), IFERROR(VLOOKUP($A480,'Infinet ExDa'!$B$2:$E$14, 0,FALSE), "Not Found"))))))))</f>
        <v>Not Found</v>
      </c>
      <c r="K480" t="str">
        <f>IFERROR(VLOOKUP($A480,'AAPT ExDa'!$B$2:$U$99, 12,FALSE), IFERROR(VLOOKUP($A480,'ABB ExDa'!$A$2:$N$184, 0,FALSE), IFERROR(VLOOKUP($A480,'Vocus SIT ExDa'!$B$2:$J$173, 0,FALSE), IFERROR(VLOOKUP($A480,'Telstra ExDa'!$B$2:$K$310, 0,FALSE), IFERROR(VLOOKUP($A480,'Vocus RVC ExDa'!$C$2:$R$155, 0,FALSE), IFERROR(VLOOKUP($A480,'Fusion ExDa'!$B$2:$D$16, 0,FALSE), IFERROR(VLOOKUP($A480,'Exetel ExDa'!$C$2:$N$14, 12,FALSE), IFERROR(VLOOKUP($A480,'Infinet ExDa'!$B$2:$E$14, 0,FALSE), "Not Found"))))))))</f>
        <v>Not Found</v>
      </c>
      <c r="L480" s="235" t="str">
        <f>IFERROR(VLOOKUP($A480,'AAPT ExDa'!$B$2:$U$99, 11,FALSE), IFERROR(VLOOKUP($A480,'ABB ExDa'!$A$2:$N$184, 9,FALSE), IFERROR(VLOOKUP($A480,'Vocus SIT ExDa'!$B$2:$J$173, 8,FALSE), IFERROR(VLOOKUP($A480,'Telstra ExDa'!$B$2:$K$310, 0,FALSE), IFERROR(VLOOKUP($A480,'Vocus RVC ExDa'!$C$2:$R$155, 0,FALSE), IFERROR(VLOOKUP($A480,'Fusion ExDa'!$B$2:$D$16, 0,FALSE), IFERROR(VLOOKUP($A480,'Exetel ExDa'!$C$2:$N$14, 9,FALSE), IFERROR(VLOOKUP($A480,'Infinet ExDa'!$B$2:$E$14, 0,FALSE), "Not Found"))))))))</f>
        <v>Not Found</v>
      </c>
      <c r="M480" s="234" t="str">
        <f>IFERROR(VLOOKUP($A480,'AAPT ExDa'!$B$2:$U$99, 0,FALSE), IFERROR(VLOOKUP($A480,'ABB ExDa'!$A$2:$N$184, 0,FALSE), IFERROR(VLOOKUP($A480,'Vocus SIT ExDa'!$B$2:$J$173, 0,FALSE), IFERROR(VLOOKUP($A480,'Telstra ExDa'!$B$2:$K$310, 0,FALSE), IFERROR(VLOOKUP($A480,'Vocus RVC ExDa'!$C$2:$R$155, 0,FALSE), IFERROR(VLOOKUP($A480,'Fusion ExDa'!$B$2:$D$16, 0,FALSE), IFERROR(VLOOKUP($A480,'Exetel ExDa'!$C$2:$N$14, 11,FALSE), IFERROR(VLOOKUP($A480,'Infinet ExDa'!$B$2:$E$14, 0,FALSE), "Not Found"))))))))</f>
        <v>Not Found</v>
      </c>
      <c r="N480" t="str">
        <f>IFERROR(VLOOKUP($A480,'AAPT ExDa'!$B$2:$U$99, 0,FALSE), IFERROR(VLOOKUP($A480,'ABB ExDa'!$A$2:$N$184, 13,FALSE), IFERROR(VLOOKUP($A480,'Vocus SIT ExDa'!$B$2:$J$173, 0,FALSE), IFERROR(VLOOKUP($A480,'Telstra ExDa'!$B$2:$K$310, 0,FALSE), IFERROR(VLOOKUP($A480,'Vocus RVC ExDa'!$C$2:$R$155, 0,FALSE), IFERROR(VLOOKUP($A480,'Fusion ExDa'!$B$2:$D$16, 0,FALSE), IFERROR(VLOOKUP($A480,'Exetel ExDa'!$C$2:$N$14, 0,FALSE), IFERROR(VLOOKUP($A480,'Infinet ExDa'!$B$2:$E$14, 0,FALSE), "Not Found"))))))))</f>
        <v>Not Found</v>
      </c>
    </row>
    <row r="481" spans="1:14">
      <c r="A481">
        <v>0</v>
      </c>
      <c r="B481" t="str">
        <f>IFERROR(VLOOKUP(A481,'Exetel ExDa'!$C$2:$N$14,4,FALSE),"No Data")</f>
        <v>No Data</v>
      </c>
      <c r="C481" t="str">
        <f>IFERROR(VLOOKUP(A481,'AAPT ExDa'!$B$2:$U$99, 2,FALSE), IFERROR(VLOOKUP(A481,'ABB ExDa'!$A$2:$N$184, 2,FALSE), IFERROR(VLOOKUP(A481,'Vocus SIT ExDa'!$B$2:$J$173, 7,FALSE), IFERROR(VLOOKUP(A481,'Telstra ExDa'!$B$2:$K$310, 2,FALSE), IFERROR(VLOOKUP(A481,'Vocus RVC ExDa'!$C$2:$R$155, 3,FALSE), IFERROR(VLOOKUP(A481,'Fusion ExDa'!$B$2:$D$16, 2,FALSE), IFERROR(VLOOKUP(A481,'Exetel ExDa'!$C$2:$N$14, 2,FALSE), IFERROR(VLOOKUP(A481,'Infinet ExDa'!$B$2:$E$14, 2,FALSE), "Not Found"))))))))</f>
        <v>Not Found</v>
      </c>
      <c r="D481" t="str">
        <f>IFERROR(VLOOKUP($A481,'AAPT ExDa'!$B$2:$U$99, 15,FALSE), IFERROR(VLOOKUP($A481,'ABB ExDa'!$A$2:$N$184, 4,FALSE), IFERROR(VLOOKUP($A481,'Vocus SIT ExDa'!$B$2:$J$173, 5,FALSE), IFERROR(VLOOKUP($A481,'Telstra ExDa'!$B$2:$K$310, 8,FALSE), IFERROR(VLOOKUP($A481,'Vocus RVC ExDa'!$C$2:$R$155, 6,FALSE), IFERROR(VLOOKUP($A481,'Fusion ExDa'!$B$2:$D$16, 4,FALSE), IFERROR(VLOOKUP($A481,'Exetel ExDa'!$C$2:$N$14, 3,FALSE), IFERROR(VLOOKUP($A481,'Infinet ExDa'!$B$2:$E$14, 3,FALSE), "Not Found"))))))))</f>
        <v>Not Found</v>
      </c>
      <c r="E481" t="str">
        <f>IFERROR(VLOOKUP($A481,'AAPT ExDa'!$B$2:$U$99, 3,FALSE), IFERROR(VLOOKUP($A481,'ABB ExDa'!$A$2:$N$184, 5,FALSE), IFERROR(VLOOKUP($A481,'Vocus SIT ExDa'!$B$2:$J$173, 2,FALSE), IFERROR(VLOOKUP($A481,'Telstra ExDa'!$B$2:$K$310, 4,FALSE), IFERROR(VLOOKUP($A481,'Vocus RVC ExDa'!$C$2:$R$155, 8,FALSE), IFERROR(VLOOKUP($A481,'Fusion ExDa'!$B$2:$D$16, 4,FALSE), IFERROR(VLOOKUP($A481,'Exetel ExDa'!$C$2:$N$14, 5,FALSE), IFERROR(VLOOKUP($A481,'Infinet ExDa'!$B$2:$E$14, 3,FALSE), "Not Found"))))))))</f>
        <v>Not Found</v>
      </c>
      <c r="F481" t="str">
        <f>IFERROR(VLOOKUP($A481,'AAPT ExDa'!$B$2:$U$99, 4,FALSE), IFERROR(VLOOKUP($A481,'ABB ExDa'!$A$2:$N$184, 6,FALSE), IFERROR(VLOOKUP($A481,'Vocus SIT ExDa'!$B$2:$J$173, 3,FALSE), IFERROR(VLOOKUP($A481,'Telstra ExDa'!$B$2:$K$310, 5,FALSE), IFERROR(VLOOKUP($A481,'Vocus RVC ExDa'!$C$2:$R$155, 9,FALSE), IFERROR(VLOOKUP($A481,'Fusion ExDa'!$B$2:$D$16, 0,FALSE), IFERROR(VLOOKUP($A481,'Exetel ExDa'!$C$2:$N$14, 6,FALSE), IFERROR(VLOOKUP($A481,'Infinet ExDa'!$B$2:$E$14, 0,FALSE), "Not Found"))))))))</f>
        <v>Not Found</v>
      </c>
      <c r="G481" t="str">
        <f>IFERROR(VLOOKUP($A481,'AAPT ExDa'!$B$2:$U$99, 5,FALSE), IFERROR(VLOOKUP($A481,'ABB ExDa'!$A$2:$N$184, 8,FALSE), IFERROR(VLOOKUP($A481,'Vocus SIT ExDa'!$B$2:$J$173, 6,FALSE), IFERROR(VLOOKUP($A481,'Telstra ExDa'!$B$2:$K$310, 0,FALSE), IFERROR(VLOOKUP($A481,'Vocus RVC ExDa'!$C$2:$R$155, 15,FALSE), IFERROR(VLOOKUP($A481,'Fusion ExDa'!$B$2:$D$16, 0,FALSE), IFERROR(VLOOKUP($A481,'Exetel ExDa'!$C$2:$N$14, 7,FALSE), IFERROR(VLOOKUP($A481,'Infinet ExDa'!$B$2:$E$14, 0,FALSE), "Not Found"))))))))</f>
        <v>Not Found</v>
      </c>
      <c r="H481" t="str">
        <f>IFERROR(VLOOKUP($A481,'AAPT ExDa'!$B$2:$U$99, 6,FALSE), IFERROR(VLOOKUP($A481,'ABB ExDa'!$A$2:$N$184, 0,FALSE), IFERROR(VLOOKUP($A481,'Vocus SIT ExDa'!$B$2:$J$173, 0,FALSE), IFERROR(VLOOKUP($A481,'Telstra ExDa'!$B$2:$K$310, 0,FALSE), IFERROR(VLOOKUP($A481,'Vocus RVC ExDa'!$C$2:$R$155, 16,FALSE), IFERROR(VLOOKUP($A481,'Fusion ExDa'!$B$2:$D$16, 0,FALSE), IFERROR(VLOOKUP($A481,'Exetel ExDa'!$C$2:$N$14, 0,FALSE), IFERROR(VLOOKUP($A481,'Infinet ExDa'!$B$2:$E$14, 0,FALSE), "Not Found"))))))))</f>
        <v>Not Found</v>
      </c>
      <c r="I481" t="str">
        <f>IFERROR(VLOOKUP($A481,'AAPT ExDa'!$B$2:$U$99, 0,FALSE), IFERROR(VLOOKUP($A481,'ABB ExDa'!$A$2:$N$184, 0,FALSE), IFERROR(VLOOKUP($A481,'Vocus SIT ExDa'!$B$2:$J$173, 0,FALSE), IFERROR(VLOOKUP($A481,'Telstra ExDa'!$B$2:$K$310, 0,FALSE), IFERROR(VLOOKUP($A481,'Vocus RVC ExDa'!$C$2:$R$155, 0,FALSE), IFERROR(VLOOKUP($A481,'Fusion ExDa'!$B$2:$D$16, 0,FALSE), IFERROR(VLOOKUP($A481,'Exetel ExDa'!$C$2:$N$14, 8,FALSE), IFERROR(VLOOKUP($A481,'Infinet ExDa'!$B$2:$E$14, 0,FALSE), "Not Found"))))))))</f>
        <v>Not Found</v>
      </c>
      <c r="J481" t="str">
        <f>IFERROR(VLOOKUP($A481,'AAPT ExDa'!$B$2:$U$99, 7,FALSE), IFERROR(VLOOKUP($A481,'ABB ExDa'!$A$2:$N$184, 2,FALSE), IFERROR(VLOOKUP($A481,'Vocus SIT ExDa'!$B$2:$J$173, 0,FALSE), IFERROR(VLOOKUP($A481,'Telstra ExDa'!$B$2:$K$310, 7,FALSE), IFERROR(VLOOKUP($A481,'Vocus RVC ExDa'!$C$2:$R$155, 2,FALSE), IFERROR(VLOOKUP($A481,'Fusion ExDa'!$B$2:$D$16, 3,FALSE), IFERROR(VLOOKUP($A481,'Exetel ExDa'!$C$2:$N$14, 0,FALSE), IFERROR(VLOOKUP($A481,'Infinet ExDa'!$B$2:$E$14, 0,FALSE), "Not Found"))))))))</f>
        <v>Not Found</v>
      </c>
      <c r="K481" t="str">
        <f>IFERROR(VLOOKUP($A481,'AAPT ExDa'!$B$2:$U$99, 12,FALSE), IFERROR(VLOOKUP($A481,'ABB ExDa'!$A$2:$N$184, 0,FALSE), IFERROR(VLOOKUP($A481,'Vocus SIT ExDa'!$B$2:$J$173, 0,FALSE), IFERROR(VLOOKUP($A481,'Telstra ExDa'!$B$2:$K$310, 0,FALSE), IFERROR(VLOOKUP($A481,'Vocus RVC ExDa'!$C$2:$R$155, 0,FALSE), IFERROR(VLOOKUP($A481,'Fusion ExDa'!$B$2:$D$16, 0,FALSE), IFERROR(VLOOKUP($A481,'Exetel ExDa'!$C$2:$N$14, 12,FALSE), IFERROR(VLOOKUP($A481,'Infinet ExDa'!$B$2:$E$14, 0,FALSE), "Not Found"))))))))</f>
        <v>Not Found</v>
      </c>
      <c r="L481" s="235" t="str">
        <f>IFERROR(VLOOKUP($A481,'AAPT ExDa'!$B$2:$U$99, 11,FALSE), IFERROR(VLOOKUP($A481,'ABB ExDa'!$A$2:$N$184, 9,FALSE), IFERROR(VLOOKUP($A481,'Vocus SIT ExDa'!$B$2:$J$173, 8,FALSE), IFERROR(VLOOKUP($A481,'Telstra ExDa'!$B$2:$K$310, 0,FALSE), IFERROR(VLOOKUP($A481,'Vocus RVC ExDa'!$C$2:$R$155, 0,FALSE), IFERROR(VLOOKUP($A481,'Fusion ExDa'!$B$2:$D$16, 0,FALSE), IFERROR(VLOOKUP($A481,'Exetel ExDa'!$C$2:$N$14, 9,FALSE), IFERROR(VLOOKUP($A481,'Infinet ExDa'!$B$2:$E$14, 0,FALSE), "Not Found"))))))))</f>
        <v>Not Found</v>
      </c>
      <c r="M481" s="234" t="str">
        <f>IFERROR(VLOOKUP($A481,'AAPT ExDa'!$B$2:$U$99, 0,FALSE), IFERROR(VLOOKUP($A481,'ABB ExDa'!$A$2:$N$184, 0,FALSE), IFERROR(VLOOKUP($A481,'Vocus SIT ExDa'!$B$2:$J$173, 0,FALSE), IFERROR(VLOOKUP($A481,'Telstra ExDa'!$B$2:$K$310, 0,FALSE), IFERROR(VLOOKUP($A481,'Vocus RVC ExDa'!$C$2:$R$155, 0,FALSE), IFERROR(VLOOKUP($A481,'Fusion ExDa'!$B$2:$D$16, 0,FALSE), IFERROR(VLOOKUP($A481,'Exetel ExDa'!$C$2:$N$14, 11,FALSE), IFERROR(VLOOKUP($A481,'Infinet ExDa'!$B$2:$E$14, 0,FALSE), "Not Found"))))))))</f>
        <v>Not Found</v>
      </c>
      <c r="N481" t="str">
        <f>IFERROR(VLOOKUP($A481,'AAPT ExDa'!$B$2:$U$99, 0,FALSE), IFERROR(VLOOKUP($A481,'ABB ExDa'!$A$2:$N$184, 13,FALSE), IFERROR(VLOOKUP($A481,'Vocus SIT ExDa'!$B$2:$J$173, 0,FALSE), IFERROR(VLOOKUP($A481,'Telstra ExDa'!$B$2:$K$310, 0,FALSE), IFERROR(VLOOKUP($A481,'Vocus RVC ExDa'!$C$2:$R$155, 0,FALSE), IFERROR(VLOOKUP($A481,'Fusion ExDa'!$B$2:$D$16, 0,FALSE), IFERROR(VLOOKUP($A481,'Exetel ExDa'!$C$2:$N$14, 0,FALSE), IFERROR(VLOOKUP($A481,'Infinet ExDa'!$B$2:$E$14, 0,FALSE), "Not Found"))))))))</f>
        <v>Not Found</v>
      </c>
    </row>
    <row r="482" spans="1:14">
      <c r="A482">
        <v>0</v>
      </c>
      <c r="B482" t="str">
        <f>IFERROR(VLOOKUP(A482,'Exetel ExDa'!$C$2:$N$14,4,FALSE),"No Data")</f>
        <v>No Data</v>
      </c>
      <c r="C482" t="str">
        <f>IFERROR(VLOOKUP(A482,'AAPT ExDa'!$B$2:$U$99, 2,FALSE), IFERROR(VLOOKUP(A482,'ABB ExDa'!$A$2:$N$184, 2,FALSE), IFERROR(VLOOKUP(A482,'Vocus SIT ExDa'!$B$2:$J$173, 7,FALSE), IFERROR(VLOOKUP(A482,'Telstra ExDa'!$B$2:$K$310, 2,FALSE), IFERROR(VLOOKUP(A482,'Vocus RVC ExDa'!$C$2:$R$155, 3,FALSE), IFERROR(VLOOKUP(A482,'Fusion ExDa'!$B$2:$D$16, 2,FALSE), IFERROR(VLOOKUP(A482,'Exetel ExDa'!$C$2:$N$14, 2,FALSE), IFERROR(VLOOKUP(A482,'Infinet ExDa'!$B$2:$E$14, 2,FALSE), "Not Found"))))))))</f>
        <v>Not Found</v>
      </c>
      <c r="D482" t="str">
        <f>IFERROR(VLOOKUP($A482,'AAPT ExDa'!$B$2:$U$99, 15,FALSE), IFERROR(VLOOKUP($A482,'ABB ExDa'!$A$2:$N$184, 4,FALSE), IFERROR(VLOOKUP($A482,'Vocus SIT ExDa'!$B$2:$J$173, 5,FALSE), IFERROR(VLOOKUP($A482,'Telstra ExDa'!$B$2:$K$310, 8,FALSE), IFERROR(VLOOKUP($A482,'Vocus RVC ExDa'!$C$2:$R$155, 6,FALSE), IFERROR(VLOOKUP($A482,'Fusion ExDa'!$B$2:$D$16, 4,FALSE), IFERROR(VLOOKUP($A482,'Exetel ExDa'!$C$2:$N$14, 3,FALSE), IFERROR(VLOOKUP($A482,'Infinet ExDa'!$B$2:$E$14, 3,FALSE), "Not Found"))))))))</f>
        <v>Not Found</v>
      </c>
      <c r="E482" t="str">
        <f>IFERROR(VLOOKUP($A482,'AAPT ExDa'!$B$2:$U$99, 3,FALSE), IFERROR(VLOOKUP($A482,'ABB ExDa'!$A$2:$N$184, 5,FALSE), IFERROR(VLOOKUP($A482,'Vocus SIT ExDa'!$B$2:$J$173, 2,FALSE), IFERROR(VLOOKUP($A482,'Telstra ExDa'!$B$2:$K$310, 4,FALSE), IFERROR(VLOOKUP($A482,'Vocus RVC ExDa'!$C$2:$R$155, 8,FALSE), IFERROR(VLOOKUP($A482,'Fusion ExDa'!$B$2:$D$16, 4,FALSE), IFERROR(VLOOKUP($A482,'Exetel ExDa'!$C$2:$N$14, 5,FALSE), IFERROR(VLOOKUP($A482,'Infinet ExDa'!$B$2:$E$14, 3,FALSE), "Not Found"))))))))</f>
        <v>Not Found</v>
      </c>
      <c r="F482" t="str">
        <f>IFERROR(VLOOKUP($A482,'AAPT ExDa'!$B$2:$U$99, 4,FALSE), IFERROR(VLOOKUP($A482,'ABB ExDa'!$A$2:$N$184, 6,FALSE), IFERROR(VLOOKUP($A482,'Vocus SIT ExDa'!$B$2:$J$173, 3,FALSE), IFERROR(VLOOKUP($A482,'Telstra ExDa'!$B$2:$K$310, 5,FALSE), IFERROR(VLOOKUP($A482,'Vocus RVC ExDa'!$C$2:$R$155, 9,FALSE), IFERROR(VLOOKUP($A482,'Fusion ExDa'!$B$2:$D$16, 0,FALSE), IFERROR(VLOOKUP($A482,'Exetel ExDa'!$C$2:$N$14, 6,FALSE), IFERROR(VLOOKUP($A482,'Infinet ExDa'!$B$2:$E$14, 0,FALSE), "Not Found"))))))))</f>
        <v>Not Found</v>
      </c>
      <c r="G482" t="str">
        <f>IFERROR(VLOOKUP($A482,'AAPT ExDa'!$B$2:$U$99, 5,FALSE), IFERROR(VLOOKUP($A482,'ABB ExDa'!$A$2:$N$184, 8,FALSE), IFERROR(VLOOKUP($A482,'Vocus SIT ExDa'!$B$2:$J$173, 6,FALSE), IFERROR(VLOOKUP($A482,'Telstra ExDa'!$B$2:$K$310, 0,FALSE), IFERROR(VLOOKUP($A482,'Vocus RVC ExDa'!$C$2:$R$155, 15,FALSE), IFERROR(VLOOKUP($A482,'Fusion ExDa'!$B$2:$D$16, 0,FALSE), IFERROR(VLOOKUP($A482,'Exetel ExDa'!$C$2:$N$14, 7,FALSE), IFERROR(VLOOKUP($A482,'Infinet ExDa'!$B$2:$E$14, 0,FALSE), "Not Found"))))))))</f>
        <v>Not Found</v>
      </c>
      <c r="H482" t="str">
        <f>IFERROR(VLOOKUP($A482,'AAPT ExDa'!$B$2:$U$99, 6,FALSE), IFERROR(VLOOKUP($A482,'ABB ExDa'!$A$2:$N$184, 0,FALSE), IFERROR(VLOOKUP($A482,'Vocus SIT ExDa'!$B$2:$J$173, 0,FALSE), IFERROR(VLOOKUP($A482,'Telstra ExDa'!$B$2:$K$310, 0,FALSE), IFERROR(VLOOKUP($A482,'Vocus RVC ExDa'!$C$2:$R$155, 16,FALSE), IFERROR(VLOOKUP($A482,'Fusion ExDa'!$B$2:$D$16, 0,FALSE), IFERROR(VLOOKUP($A482,'Exetel ExDa'!$C$2:$N$14, 0,FALSE), IFERROR(VLOOKUP($A482,'Infinet ExDa'!$B$2:$E$14, 0,FALSE), "Not Found"))))))))</f>
        <v>Not Found</v>
      </c>
      <c r="I482" t="str">
        <f>IFERROR(VLOOKUP($A482,'AAPT ExDa'!$B$2:$U$99, 0,FALSE), IFERROR(VLOOKUP($A482,'ABB ExDa'!$A$2:$N$184, 0,FALSE), IFERROR(VLOOKUP($A482,'Vocus SIT ExDa'!$B$2:$J$173, 0,FALSE), IFERROR(VLOOKUP($A482,'Telstra ExDa'!$B$2:$K$310, 0,FALSE), IFERROR(VLOOKUP($A482,'Vocus RVC ExDa'!$C$2:$R$155, 0,FALSE), IFERROR(VLOOKUP($A482,'Fusion ExDa'!$B$2:$D$16, 0,FALSE), IFERROR(VLOOKUP($A482,'Exetel ExDa'!$C$2:$N$14, 8,FALSE), IFERROR(VLOOKUP($A482,'Infinet ExDa'!$B$2:$E$14, 0,FALSE), "Not Found"))))))))</f>
        <v>Not Found</v>
      </c>
      <c r="J482" t="str">
        <f>IFERROR(VLOOKUP($A482,'AAPT ExDa'!$B$2:$U$99, 7,FALSE), IFERROR(VLOOKUP($A482,'ABB ExDa'!$A$2:$N$184, 2,FALSE), IFERROR(VLOOKUP($A482,'Vocus SIT ExDa'!$B$2:$J$173, 0,FALSE), IFERROR(VLOOKUP($A482,'Telstra ExDa'!$B$2:$K$310, 7,FALSE), IFERROR(VLOOKUP($A482,'Vocus RVC ExDa'!$C$2:$R$155, 2,FALSE), IFERROR(VLOOKUP($A482,'Fusion ExDa'!$B$2:$D$16, 3,FALSE), IFERROR(VLOOKUP($A482,'Exetel ExDa'!$C$2:$N$14, 0,FALSE), IFERROR(VLOOKUP($A482,'Infinet ExDa'!$B$2:$E$14, 0,FALSE), "Not Found"))))))))</f>
        <v>Not Found</v>
      </c>
      <c r="K482" t="str">
        <f>IFERROR(VLOOKUP($A482,'AAPT ExDa'!$B$2:$U$99, 12,FALSE), IFERROR(VLOOKUP($A482,'ABB ExDa'!$A$2:$N$184, 0,FALSE), IFERROR(VLOOKUP($A482,'Vocus SIT ExDa'!$B$2:$J$173, 0,FALSE), IFERROR(VLOOKUP($A482,'Telstra ExDa'!$B$2:$K$310, 0,FALSE), IFERROR(VLOOKUP($A482,'Vocus RVC ExDa'!$C$2:$R$155, 0,FALSE), IFERROR(VLOOKUP($A482,'Fusion ExDa'!$B$2:$D$16, 0,FALSE), IFERROR(VLOOKUP($A482,'Exetel ExDa'!$C$2:$N$14, 12,FALSE), IFERROR(VLOOKUP($A482,'Infinet ExDa'!$B$2:$E$14, 0,FALSE), "Not Found"))))))))</f>
        <v>Not Found</v>
      </c>
      <c r="L482" s="235" t="str">
        <f>IFERROR(VLOOKUP($A482,'AAPT ExDa'!$B$2:$U$99, 11,FALSE), IFERROR(VLOOKUP($A482,'ABB ExDa'!$A$2:$N$184, 9,FALSE), IFERROR(VLOOKUP($A482,'Vocus SIT ExDa'!$B$2:$J$173, 8,FALSE), IFERROR(VLOOKUP($A482,'Telstra ExDa'!$B$2:$K$310, 0,FALSE), IFERROR(VLOOKUP($A482,'Vocus RVC ExDa'!$C$2:$R$155, 0,FALSE), IFERROR(VLOOKUP($A482,'Fusion ExDa'!$B$2:$D$16, 0,FALSE), IFERROR(VLOOKUP($A482,'Exetel ExDa'!$C$2:$N$14, 9,FALSE), IFERROR(VLOOKUP($A482,'Infinet ExDa'!$B$2:$E$14, 0,FALSE), "Not Found"))))))))</f>
        <v>Not Found</v>
      </c>
      <c r="M482" s="234" t="str">
        <f>IFERROR(VLOOKUP($A482,'AAPT ExDa'!$B$2:$U$99, 0,FALSE), IFERROR(VLOOKUP($A482,'ABB ExDa'!$A$2:$N$184, 0,FALSE), IFERROR(VLOOKUP($A482,'Vocus SIT ExDa'!$B$2:$J$173, 0,FALSE), IFERROR(VLOOKUP($A482,'Telstra ExDa'!$B$2:$K$310, 0,FALSE), IFERROR(VLOOKUP($A482,'Vocus RVC ExDa'!$C$2:$R$155, 0,FALSE), IFERROR(VLOOKUP($A482,'Fusion ExDa'!$B$2:$D$16, 0,FALSE), IFERROR(VLOOKUP($A482,'Exetel ExDa'!$C$2:$N$14, 11,FALSE), IFERROR(VLOOKUP($A482,'Infinet ExDa'!$B$2:$E$14, 0,FALSE), "Not Found"))))))))</f>
        <v>Not Found</v>
      </c>
      <c r="N482" t="str">
        <f>IFERROR(VLOOKUP($A482,'AAPT ExDa'!$B$2:$U$99, 0,FALSE), IFERROR(VLOOKUP($A482,'ABB ExDa'!$A$2:$N$184, 13,FALSE), IFERROR(VLOOKUP($A482,'Vocus SIT ExDa'!$B$2:$J$173, 0,FALSE), IFERROR(VLOOKUP($A482,'Telstra ExDa'!$B$2:$K$310, 0,FALSE), IFERROR(VLOOKUP($A482,'Vocus RVC ExDa'!$C$2:$R$155, 0,FALSE), IFERROR(VLOOKUP($A482,'Fusion ExDa'!$B$2:$D$16, 0,FALSE), IFERROR(VLOOKUP($A482,'Exetel ExDa'!$C$2:$N$14, 0,FALSE), IFERROR(VLOOKUP($A482,'Infinet ExDa'!$B$2:$E$14, 0,FALSE), "Not Found"))))))))</f>
        <v>Not Found</v>
      </c>
    </row>
    <row r="483" spans="1:14">
      <c r="A483">
        <v>0</v>
      </c>
      <c r="B483" t="str">
        <f>IFERROR(VLOOKUP(A483,'Exetel ExDa'!$C$2:$N$14,4,FALSE),"No Data")</f>
        <v>No Data</v>
      </c>
      <c r="C483" t="str">
        <f>IFERROR(VLOOKUP(A483,'AAPT ExDa'!$B$2:$U$99, 2,FALSE), IFERROR(VLOOKUP(A483,'ABB ExDa'!$A$2:$N$184, 2,FALSE), IFERROR(VLOOKUP(A483,'Vocus SIT ExDa'!$B$2:$J$173, 7,FALSE), IFERROR(VLOOKUP(A483,'Telstra ExDa'!$B$2:$K$310, 2,FALSE), IFERROR(VLOOKUP(A483,'Vocus RVC ExDa'!$C$2:$R$155, 3,FALSE), IFERROR(VLOOKUP(A483,'Fusion ExDa'!$B$2:$D$16, 2,FALSE), IFERROR(VLOOKUP(A483,'Exetel ExDa'!$C$2:$N$14, 2,FALSE), IFERROR(VLOOKUP(A483,'Infinet ExDa'!$B$2:$E$14, 2,FALSE), "Not Found"))))))))</f>
        <v>Not Found</v>
      </c>
      <c r="D483" t="str">
        <f>IFERROR(VLOOKUP($A483,'AAPT ExDa'!$B$2:$U$99, 15,FALSE), IFERROR(VLOOKUP($A483,'ABB ExDa'!$A$2:$N$184, 4,FALSE), IFERROR(VLOOKUP($A483,'Vocus SIT ExDa'!$B$2:$J$173, 5,FALSE), IFERROR(VLOOKUP($A483,'Telstra ExDa'!$B$2:$K$310, 8,FALSE), IFERROR(VLOOKUP($A483,'Vocus RVC ExDa'!$C$2:$R$155, 6,FALSE), IFERROR(VLOOKUP($A483,'Fusion ExDa'!$B$2:$D$16, 4,FALSE), IFERROR(VLOOKUP($A483,'Exetel ExDa'!$C$2:$N$14, 3,FALSE), IFERROR(VLOOKUP($A483,'Infinet ExDa'!$B$2:$E$14, 3,FALSE), "Not Found"))))))))</f>
        <v>Not Found</v>
      </c>
      <c r="E483" t="str">
        <f>IFERROR(VLOOKUP($A483,'AAPT ExDa'!$B$2:$U$99, 3,FALSE), IFERROR(VLOOKUP($A483,'ABB ExDa'!$A$2:$N$184, 5,FALSE), IFERROR(VLOOKUP($A483,'Vocus SIT ExDa'!$B$2:$J$173, 2,FALSE), IFERROR(VLOOKUP($A483,'Telstra ExDa'!$B$2:$K$310, 4,FALSE), IFERROR(VLOOKUP($A483,'Vocus RVC ExDa'!$C$2:$R$155, 8,FALSE), IFERROR(VLOOKUP($A483,'Fusion ExDa'!$B$2:$D$16, 4,FALSE), IFERROR(VLOOKUP($A483,'Exetel ExDa'!$C$2:$N$14, 5,FALSE), IFERROR(VLOOKUP($A483,'Infinet ExDa'!$B$2:$E$14, 3,FALSE), "Not Found"))))))))</f>
        <v>Not Found</v>
      </c>
      <c r="F483" t="str">
        <f>IFERROR(VLOOKUP($A483,'AAPT ExDa'!$B$2:$U$99, 4,FALSE), IFERROR(VLOOKUP($A483,'ABB ExDa'!$A$2:$N$184, 6,FALSE), IFERROR(VLOOKUP($A483,'Vocus SIT ExDa'!$B$2:$J$173, 3,FALSE), IFERROR(VLOOKUP($A483,'Telstra ExDa'!$B$2:$K$310, 5,FALSE), IFERROR(VLOOKUP($A483,'Vocus RVC ExDa'!$C$2:$R$155, 9,FALSE), IFERROR(VLOOKUP($A483,'Fusion ExDa'!$B$2:$D$16, 0,FALSE), IFERROR(VLOOKUP($A483,'Exetel ExDa'!$C$2:$N$14, 6,FALSE), IFERROR(VLOOKUP($A483,'Infinet ExDa'!$B$2:$E$14, 0,FALSE), "Not Found"))))))))</f>
        <v>Not Found</v>
      </c>
      <c r="G483" t="str">
        <f>IFERROR(VLOOKUP($A483,'AAPT ExDa'!$B$2:$U$99, 5,FALSE), IFERROR(VLOOKUP($A483,'ABB ExDa'!$A$2:$N$184, 8,FALSE), IFERROR(VLOOKUP($A483,'Vocus SIT ExDa'!$B$2:$J$173, 6,FALSE), IFERROR(VLOOKUP($A483,'Telstra ExDa'!$B$2:$K$310, 0,FALSE), IFERROR(VLOOKUP($A483,'Vocus RVC ExDa'!$C$2:$R$155, 15,FALSE), IFERROR(VLOOKUP($A483,'Fusion ExDa'!$B$2:$D$16, 0,FALSE), IFERROR(VLOOKUP($A483,'Exetel ExDa'!$C$2:$N$14, 7,FALSE), IFERROR(VLOOKUP($A483,'Infinet ExDa'!$B$2:$E$14, 0,FALSE), "Not Found"))))))))</f>
        <v>Not Found</v>
      </c>
      <c r="H483" t="str">
        <f>IFERROR(VLOOKUP($A483,'AAPT ExDa'!$B$2:$U$99, 6,FALSE), IFERROR(VLOOKUP($A483,'ABB ExDa'!$A$2:$N$184, 0,FALSE), IFERROR(VLOOKUP($A483,'Vocus SIT ExDa'!$B$2:$J$173, 0,FALSE), IFERROR(VLOOKUP($A483,'Telstra ExDa'!$B$2:$K$310, 0,FALSE), IFERROR(VLOOKUP($A483,'Vocus RVC ExDa'!$C$2:$R$155, 16,FALSE), IFERROR(VLOOKUP($A483,'Fusion ExDa'!$B$2:$D$16, 0,FALSE), IFERROR(VLOOKUP($A483,'Exetel ExDa'!$C$2:$N$14, 0,FALSE), IFERROR(VLOOKUP($A483,'Infinet ExDa'!$B$2:$E$14, 0,FALSE), "Not Found"))))))))</f>
        <v>Not Found</v>
      </c>
      <c r="I483" t="str">
        <f>IFERROR(VLOOKUP($A483,'AAPT ExDa'!$B$2:$U$99, 0,FALSE), IFERROR(VLOOKUP($A483,'ABB ExDa'!$A$2:$N$184, 0,FALSE), IFERROR(VLOOKUP($A483,'Vocus SIT ExDa'!$B$2:$J$173, 0,FALSE), IFERROR(VLOOKUP($A483,'Telstra ExDa'!$B$2:$K$310, 0,FALSE), IFERROR(VLOOKUP($A483,'Vocus RVC ExDa'!$C$2:$R$155, 0,FALSE), IFERROR(VLOOKUP($A483,'Fusion ExDa'!$B$2:$D$16, 0,FALSE), IFERROR(VLOOKUP($A483,'Exetel ExDa'!$C$2:$N$14, 8,FALSE), IFERROR(VLOOKUP($A483,'Infinet ExDa'!$B$2:$E$14, 0,FALSE), "Not Found"))))))))</f>
        <v>Not Found</v>
      </c>
      <c r="J483" t="str">
        <f>IFERROR(VLOOKUP($A483,'AAPT ExDa'!$B$2:$U$99, 7,FALSE), IFERROR(VLOOKUP($A483,'ABB ExDa'!$A$2:$N$184, 2,FALSE), IFERROR(VLOOKUP($A483,'Vocus SIT ExDa'!$B$2:$J$173, 0,FALSE), IFERROR(VLOOKUP($A483,'Telstra ExDa'!$B$2:$K$310, 7,FALSE), IFERROR(VLOOKUP($A483,'Vocus RVC ExDa'!$C$2:$R$155, 2,FALSE), IFERROR(VLOOKUP($A483,'Fusion ExDa'!$B$2:$D$16, 3,FALSE), IFERROR(VLOOKUP($A483,'Exetel ExDa'!$C$2:$N$14, 0,FALSE), IFERROR(VLOOKUP($A483,'Infinet ExDa'!$B$2:$E$14, 0,FALSE), "Not Found"))))))))</f>
        <v>Not Found</v>
      </c>
      <c r="K483" t="str">
        <f>IFERROR(VLOOKUP($A483,'AAPT ExDa'!$B$2:$U$99, 12,FALSE), IFERROR(VLOOKUP($A483,'ABB ExDa'!$A$2:$N$184, 0,FALSE), IFERROR(VLOOKUP($A483,'Vocus SIT ExDa'!$B$2:$J$173, 0,FALSE), IFERROR(VLOOKUP($A483,'Telstra ExDa'!$B$2:$K$310, 0,FALSE), IFERROR(VLOOKUP($A483,'Vocus RVC ExDa'!$C$2:$R$155, 0,FALSE), IFERROR(VLOOKUP($A483,'Fusion ExDa'!$B$2:$D$16, 0,FALSE), IFERROR(VLOOKUP($A483,'Exetel ExDa'!$C$2:$N$14, 12,FALSE), IFERROR(VLOOKUP($A483,'Infinet ExDa'!$B$2:$E$14, 0,FALSE), "Not Found"))))))))</f>
        <v>Not Found</v>
      </c>
      <c r="L483" s="235" t="str">
        <f>IFERROR(VLOOKUP($A483,'AAPT ExDa'!$B$2:$U$99, 11,FALSE), IFERROR(VLOOKUP($A483,'ABB ExDa'!$A$2:$N$184, 9,FALSE), IFERROR(VLOOKUP($A483,'Vocus SIT ExDa'!$B$2:$J$173, 8,FALSE), IFERROR(VLOOKUP($A483,'Telstra ExDa'!$B$2:$K$310, 0,FALSE), IFERROR(VLOOKUP($A483,'Vocus RVC ExDa'!$C$2:$R$155, 0,FALSE), IFERROR(VLOOKUP($A483,'Fusion ExDa'!$B$2:$D$16, 0,FALSE), IFERROR(VLOOKUP($A483,'Exetel ExDa'!$C$2:$N$14, 9,FALSE), IFERROR(VLOOKUP($A483,'Infinet ExDa'!$B$2:$E$14, 0,FALSE), "Not Found"))))))))</f>
        <v>Not Found</v>
      </c>
      <c r="M483" s="234" t="str">
        <f>IFERROR(VLOOKUP($A483,'AAPT ExDa'!$B$2:$U$99, 0,FALSE), IFERROR(VLOOKUP($A483,'ABB ExDa'!$A$2:$N$184, 0,FALSE), IFERROR(VLOOKUP($A483,'Vocus SIT ExDa'!$B$2:$J$173, 0,FALSE), IFERROR(VLOOKUP($A483,'Telstra ExDa'!$B$2:$K$310, 0,FALSE), IFERROR(VLOOKUP($A483,'Vocus RVC ExDa'!$C$2:$R$155, 0,FALSE), IFERROR(VLOOKUP($A483,'Fusion ExDa'!$B$2:$D$16, 0,FALSE), IFERROR(VLOOKUP($A483,'Exetel ExDa'!$C$2:$N$14, 11,FALSE), IFERROR(VLOOKUP($A483,'Infinet ExDa'!$B$2:$E$14, 0,FALSE), "Not Found"))))))))</f>
        <v>Not Found</v>
      </c>
      <c r="N483" t="str">
        <f>IFERROR(VLOOKUP($A483,'AAPT ExDa'!$B$2:$U$99, 0,FALSE), IFERROR(VLOOKUP($A483,'ABB ExDa'!$A$2:$N$184, 13,FALSE), IFERROR(VLOOKUP($A483,'Vocus SIT ExDa'!$B$2:$J$173, 0,FALSE), IFERROR(VLOOKUP($A483,'Telstra ExDa'!$B$2:$K$310, 0,FALSE), IFERROR(VLOOKUP($A483,'Vocus RVC ExDa'!$C$2:$R$155, 0,FALSE), IFERROR(VLOOKUP($A483,'Fusion ExDa'!$B$2:$D$16, 0,FALSE), IFERROR(VLOOKUP($A483,'Exetel ExDa'!$C$2:$N$14, 0,FALSE), IFERROR(VLOOKUP($A483,'Infinet ExDa'!$B$2:$E$14, 0,FALSE), "Not Found"))))))))</f>
        <v>Not Found</v>
      </c>
    </row>
    <row r="484" spans="1:14">
      <c r="A484">
        <v>0</v>
      </c>
      <c r="B484" t="str">
        <f>IFERROR(VLOOKUP(A484,'Exetel ExDa'!$C$2:$N$14,4,FALSE),"No Data")</f>
        <v>No Data</v>
      </c>
      <c r="C484" t="str">
        <f>IFERROR(VLOOKUP(A484,'AAPT ExDa'!$B$2:$U$99, 2,FALSE), IFERROR(VLOOKUP(A484,'ABB ExDa'!$A$2:$N$184, 2,FALSE), IFERROR(VLOOKUP(A484,'Vocus SIT ExDa'!$B$2:$J$173, 7,FALSE), IFERROR(VLOOKUP(A484,'Telstra ExDa'!$B$2:$K$310, 2,FALSE), IFERROR(VLOOKUP(A484,'Vocus RVC ExDa'!$C$2:$R$155, 3,FALSE), IFERROR(VLOOKUP(A484,'Fusion ExDa'!$B$2:$D$16, 2,FALSE), IFERROR(VLOOKUP(A484,'Exetel ExDa'!$C$2:$N$14, 2,FALSE), IFERROR(VLOOKUP(A484,'Infinet ExDa'!$B$2:$E$14, 2,FALSE), "Not Found"))))))))</f>
        <v>Not Found</v>
      </c>
      <c r="D484" t="str">
        <f>IFERROR(VLOOKUP($A484,'AAPT ExDa'!$B$2:$U$99, 15,FALSE), IFERROR(VLOOKUP($A484,'ABB ExDa'!$A$2:$N$184, 4,FALSE), IFERROR(VLOOKUP($A484,'Vocus SIT ExDa'!$B$2:$J$173, 5,FALSE), IFERROR(VLOOKUP($A484,'Telstra ExDa'!$B$2:$K$310, 8,FALSE), IFERROR(VLOOKUP($A484,'Vocus RVC ExDa'!$C$2:$R$155, 6,FALSE), IFERROR(VLOOKUP($A484,'Fusion ExDa'!$B$2:$D$16, 4,FALSE), IFERROR(VLOOKUP($A484,'Exetel ExDa'!$C$2:$N$14, 3,FALSE), IFERROR(VLOOKUP($A484,'Infinet ExDa'!$B$2:$E$14, 3,FALSE), "Not Found"))))))))</f>
        <v>Not Found</v>
      </c>
      <c r="E484" t="str">
        <f>IFERROR(VLOOKUP($A484,'AAPT ExDa'!$B$2:$U$99, 3,FALSE), IFERROR(VLOOKUP($A484,'ABB ExDa'!$A$2:$N$184, 5,FALSE), IFERROR(VLOOKUP($A484,'Vocus SIT ExDa'!$B$2:$J$173, 2,FALSE), IFERROR(VLOOKUP($A484,'Telstra ExDa'!$B$2:$K$310, 4,FALSE), IFERROR(VLOOKUP($A484,'Vocus RVC ExDa'!$C$2:$R$155, 8,FALSE), IFERROR(VLOOKUP($A484,'Fusion ExDa'!$B$2:$D$16, 4,FALSE), IFERROR(VLOOKUP($A484,'Exetel ExDa'!$C$2:$N$14, 5,FALSE), IFERROR(VLOOKUP($A484,'Infinet ExDa'!$B$2:$E$14, 3,FALSE), "Not Found"))))))))</f>
        <v>Not Found</v>
      </c>
      <c r="F484" t="str">
        <f>IFERROR(VLOOKUP($A484,'AAPT ExDa'!$B$2:$U$99, 4,FALSE), IFERROR(VLOOKUP($A484,'ABB ExDa'!$A$2:$N$184, 6,FALSE), IFERROR(VLOOKUP($A484,'Vocus SIT ExDa'!$B$2:$J$173, 3,FALSE), IFERROR(VLOOKUP($A484,'Telstra ExDa'!$B$2:$K$310, 5,FALSE), IFERROR(VLOOKUP($A484,'Vocus RVC ExDa'!$C$2:$R$155, 9,FALSE), IFERROR(VLOOKUP($A484,'Fusion ExDa'!$B$2:$D$16, 0,FALSE), IFERROR(VLOOKUP($A484,'Exetel ExDa'!$C$2:$N$14, 6,FALSE), IFERROR(VLOOKUP($A484,'Infinet ExDa'!$B$2:$E$14, 0,FALSE), "Not Found"))))))))</f>
        <v>Not Found</v>
      </c>
      <c r="G484" t="str">
        <f>IFERROR(VLOOKUP($A484,'AAPT ExDa'!$B$2:$U$99, 5,FALSE), IFERROR(VLOOKUP($A484,'ABB ExDa'!$A$2:$N$184, 8,FALSE), IFERROR(VLOOKUP($A484,'Vocus SIT ExDa'!$B$2:$J$173, 6,FALSE), IFERROR(VLOOKUP($A484,'Telstra ExDa'!$B$2:$K$310, 0,FALSE), IFERROR(VLOOKUP($A484,'Vocus RVC ExDa'!$C$2:$R$155, 15,FALSE), IFERROR(VLOOKUP($A484,'Fusion ExDa'!$B$2:$D$16, 0,FALSE), IFERROR(VLOOKUP($A484,'Exetel ExDa'!$C$2:$N$14, 7,FALSE), IFERROR(VLOOKUP($A484,'Infinet ExDa'!$B$2:$E$14, 0,FALSE), "Not Found"))))))))</f>
        <v>Not Found</v>
      </c>
      <c r="H484" t="str">
        <f>IFERROR(VLOOKUP($A484,'AAPT ExDa'!$B$2:$U$99, 6,FALSE), IFERROR(VLOOKUP($A484,'ABB ExDa'!$A$2:$N$184, 0,FALSE), IFERROR(VLOOKUP($A484,'Vocus SIT ExDa'!$B$2:$J$173, 0,FALSE), IFERROR(VLOOKUP($A484,'Telstra ExDa'!$B$2:$K$310, 0,FALSE), IFERROR(VLOOKUP($A484,'Vocus RVC ExDa'!$C$2:$R$155, 16,FALSE), IFERROR(VLOOKUP($A484,'Fusion ExDa'!$B$2:$D$16, 0,FALSE), IFERROR(VLOOKUP($A484,'Exetel ExDa'!$C$2:$N$14, 0,FALSE), IFERROR(VLOOKUP($A484,'Infinet ExDa'!$B$2:$E$14, 0,FALSE), "Not Found"))))))))</f>
        <v>Not Found</v>
      </c>
      <c r="I484" t="str">
        <f>IFERROR(VLOOKUP($A484,'AAPT ExDa'!$B$2:$U$99, 0,FALSE), IFERROR(VLOOKUP($A484,'ABB ExDa'!$A$2:$N$184, 0,FALSE), IFERROR(VLOOKUP($A484,'Vocus SIT ExDa'!$B$2:$J$173, 0,FALSE), IFERROR(VLOOKUP($A484,'Telstra ExDa'!$B$2:$K$310, 0,FALSE), IFERROR(VLOOKUP($A484,'Vocus RVC ExDa'!$C$2:$R$155, 0,FALSE), IFERROR(VLOOKUP($A484,'Fusion ExDa'!$B$2:$D$16, 0,FALSE), IFERROR(VLOOKUP($A484,'Exetel ExDa'!$C$2:$N$14, 8,FALSE), IFERROR(VLOOKUP($A484,'Infinet ExDa'!$B$2:$E$14, 0,FALSE), "Not Found"))))))))</f>
        <v>Not Found</v>
      </c>
      <c r="J484" t="str">
        <f>IFERROR(VLOOKUP($A484,'AAPT ExDa'!$B$2:$U$99, 7,FALSE), IFERROR(VLOOKUP($A484,'ABB ExDa'!$A$2:$N$184, 2,FALSE), IFERROR(VLOOKUP($A484,'Vocus SIT ExDa'!$B$2:$J$173, 0,FALSE), IFERROR(VLOOKUP($A484,'Telstra ExDa'!$B$2:$K$310, 7,FALSE), IFERROR(VLOOKUP($A484,'Vocus RVC ExDa'!$C$2:$R$155, 2,FALSE), IFERROR(VLOOKUP($A484,'Fusion ExDa'!$B$2:$D$16, 3,FALSE), IFERROR(VLOOKUP($A484,'Exetel ExDa'!$C$2:$N$14, 0,FALSE), IFERROR(VLOOKUP($A484,'Infinet ExDa'!$B$2:$E$14, 0,FALSE), "Not Found"))))))))</f>
        <v>Not Found</v>
      </c>
      <c r="K484" t="str">
        <f>IFERROR(VLOOKUP($A484,'AAPT ExDa'!$B$2:$U$99, 12,FALSE), IFERROR(VLOOKUP($A484,'ABB ExDa'!$A$2:$N$184, 0,FALSE), IFERROR(VLOOKUP($A484,'Vocus SIT ExDa'!$B$2:$J$173, 0,FALSE), IFERROR(VLOOKUP($A484,'Telstra ExDa'!$B$2:$K$310, 0,FALSE), IFERROR(VLOOKUP($A484,'Vocus RVC ExDa'!$C$2:$R$155, 0,FALSE), IFERROR(VLOOKUP($A484,'Fusion ExDa'!$B$2:$D$16, 0,FALSE), IFERROR(VLOOKUP($A484,'Exetel ExDa'!$C$2:$N$14, 12,FALSE), IFERROR(VLOOKUP($A484,'Infinet ExDa'!$B$2:$E$14, 0,FALSE), "Not Found"))))))))</f>
        <v>Not Found</v>
      </c>
      <c r="L484" s="235" t="str">
        <f>IFERROR(VLOOKUP($A484,'AAPT ExDa'!$B$2:$U$99, 11,FALSE), IFERROR(VLOOKUP($A484,'ABB ExDa'!$A$2:$N$184, 9,FALSE), IFERROR(VLOOKUP($A484,'Vocus SIT ExDa'!$B$2:$J$173, 8,FALSE), IFERROR(VLOOKUP($A484,'Telstra ExDa'!$B$2:$K$310, 0,FALSE), IFERROR(VLOOKUP($A484,'Vocus RVC ExDa'!$C$2:$R$155, 0,FALSE), IFERROR(VLOOKUP($A484,'Fusion ExDa'!$B$2:$D$16, 0,FALSE), IFERROR(VLOOKUP($A484,'Exetel ExDa'!$C$2:$N$14, 9,FALSE), IFERROR(VLOOKUP($A484,'Infinet ExDa'!$B$2:$E$14, 0,FALSE), "Not Found"))))))))</f>
        <v>Not Found</v>
      </c>
      <c r="M484" s="234" t="str">
        <f>IFERROR(VLOOKUP($A484,'AAPT ExDa'!$B$2:$U$99, 0,FALSE), IFERROR(VLOOKUP($A484,'ABB ExDa'!$A$2:$N$184, 0,FALSE), IFERROR(VLOOKUP($A484,'Vocus SIT ExDa'!$B$2:$J$173, 0,FALSE), IFERROR(VLOOKUP($A484,'Telstra ExDa'!$B$2:$K$310, 0,FALSE), IFERROR(VLOOKUP($A484,'Vocus RVC ExDa'!$C$2:$R$155, 0,FALSE), IFERROR(VLOOKUP($A484,'Fusion ExDa'!$B$2:$D$16, 0,FALSE), IFERROR(VLOOKUP($A484,'Exetel ExDa'!$C$2:$N$14, 11,FALSE), IFERROR(VLOOKUP($A484,'Infinet ExDa'!$B$2:$E$14, 0,FALSE), "Not Found"))))))))</f>
        <v>Not Found</v>
      </c>
      <c r="N484" t="str">
        <f>IFERROR(VLOOKUP($A484,'AAPT ExDa'!$B$2:$U$99, 0,FALSE), IFERROR(VLOOKUP($A484,'ABB ExDa'!$A$2:$N$184, 13,FALSE), IFERROR(VLOOKUP($A484,'Vocus SIT ExDa'!$B$2:$J$173, 0,FALSE), IFERROR(VLOOKUP($A484,'Telstra ExDa'!$B$2:$K$310, 0,FALSE), IFERROR(VLOOKUP($A484,'Vocus RVC ExDa'!$C$2:$R$155, 0,FALSE), IFERROR(VLOOKUP($A484,'Fusion ExDa'!$B$2:$D$16, 0,FALSE), IFERROR(VLOOKUP($A484,'Exetel ExDa'!$C$2:$N$14, 0,FALSE), IFERROR(VLOOKUP($A484,'Infinet ExDa'!$B$2:$E$14, 0,FALSE), "Not Found"))))))))</f>
        <v>Not Found</v>
      </c>
    </row>
    <row r="485" spans="1:14">
      <c r="A485">
        <v>0</v>
      </c>
      <c r="B485" t="str">
        <f>IFERROR(VLOOKUP(A485,'Exetel ExDa'!$C$2:$N$14,4,FALSE),"No Data")</f>
        <v>No Data</v>
      </c>
      <c r="C485" t="str">
        <f>IFERROR(VLOOKUP(A485,'AAPT ExDa'!$B$2:$U$99, 2,FALSE), IFERROR(VLOOKUP(A485,'ABB ExDa'!$A$2:$N$184, 2,FALSE), IFERROR(VLOOKUP(A485,'Vocus SIT ExDa'!$B$2:$J$173, 7,FALSE), IFERROR(VLOOKUP(A485,'Telstra ExDa'!$B$2:$K$310, 2,FALSE), IFERROR(VLOOKUP(A485,'Vocus RVC ExDa'!$C$2:$R$155, 3,FALSE), IFERROR(VLOOKUP(A485,'Fusion ExDa'!$B$2:$D$16, 2,FALSE), IFERROR(VLOOKUP(A485,'Exetel ExDa'!$C$2:$N$14, 2,FALSE), IFERROR(VLOOKUP(A485,'Infinet ExDa'!$B$2:$E$14, 2,FALSE), "Not Found"))))))))</f>
        <v>Not Found</v>
      </c>
      <c r="D485" t="str">
        <f>IFERROR(VLOOKUP($A485,'AAPT ExDa'!$B$2:$U$99, 15,FALSE), IFERROR(VLOOKUP($A485,'ABB ExDa'!$A$2:$N$184, 4,FALSE), IFERROR(VLOOKUP($A485,'Vocus SIT ExDa'!$B$2:$J$173, 5,FALSE), IFERROR(VLOOKUP($A485,'Telstra ExDa'!$B$2:$K$310, 8,FALSE), IFERROR(VLOOKUP($A485,'Vocus RVC ExDa'!$C$2:$R$155, 6,FALSE), IFERROR(VLOOKUP($A485,'Fusion ExDa'!$B$2:$D$16, 4,FALSE), IFERROR(VLOOKUP($A485,'Exetel ExDa'!$C$2:$N$14, 3,FALSE), IFERROR(VLOOKUP($A485,'Infinet ExDa'!$B$2:$E$14, 3,FALSE), "Not Found"))))))))</f>
        <v>Not Found</v>
      </c>
      <c r="E485" t="str">
        <f>IFERROR(VLOOKUP($A485,'AAPT ExDa'!$B$2:$U$99, 3,FALSE), IFERROR(VLOOKUP($A485,'ABB ExDa'!$A$2:$N$184, 5,FALSE), IFERROR(VLOOKUP($A485,'Vocus SIT ExDa'!$B$2:$J$173, 2,FALSE), IFERROR(VLOOKUP($A485,'Telstra ExDa'!$B$2:$K$310, 4,FALSE), IFERROR(VLOOKUP($A485,'Vocus RVC ExDa'!$C$2:$R$155, 8,FALSE), IFERROR(VLOOKUP($A485,'Fusion ExDa'!$B$2:$D$16, 4,FALSE), IFERROR(VLOOKUP($A485,'Exetel ExDa'!$C$2:$N$14, 5,FALSE), IFERROR(VLOOKUP($A485,'Infinet ExDa'!$B$2:$E$14, 3,FALSE), "Not Found"))))))))</f>
        <v>Not Found</v>
      </c>
      <c r="F485" t="str">
        <f>IFERROR(VLOOKUP($A485,'AAPT ExDa'!$B$2:$U$99, 4,FALSE), IFERROR(VLOOKUP($A485,'ABB ExDa'!$A$2:$N$184, 6,FALSE), IFERROR(VLOOKUP($A485,'Vocus SIT ExDa'!$B$2:$J$173, 3,FALSE), IFERROR(VLOOKUP($A485,'Telstra ExDa'!$B$2:$K$310, 5,FALSE), IFERROR(VLOOKUP($A485,'Vocus RVC ExDa'!$C$2:$R$155, 9,FALSE), IFERROR(VLOOKUP($A485,'Fusion ExDa'!$B$2:$D$16, 0,FALSE), IFERROR(VLOOKUP($A485,'Exetel ExDa'!$C$2:$N$14, 6,FALSE), IFERROR(VLOOKUP($A485,'Infinet ExDa'!$B$2:$E$14, 0,FALSE), "Not Found"))))))))</f>
        <v>Not Found</v>
      </c>
      <c r="G485" t="str">
        <f>IFERROR(VLOOKUP($A485,'AAPT ExDa'!$B$2:$U$99, 5,FALSE), IFERROR(VLOOKUP($A485,'ABB ExDa'!$A$2:$N$184, 8,FALSE), IFERROR(VLOOKUP($A485,'Vocus SIT ExDa'!$B$2:$J$173, 6,FALSE), IFERROR(VLOOKUP($A485,'Telstra ExDa'!$B$2:$K$310, 0,FALSE), IFERROR(VLOOKUP($A485,'Vocus RVC ExDa'!$C$2:$R$155, 15,FALSE), IFERROR(VLOOKUP($A485,'Fusion ExDa'!$B$2:$D$16, 0,FALSE), IFERROR(VLOOKUP($A485,'Exetel ExDa'!$C$2:$N$14, 7,FALSE), IFERROR(VLOOKUP($A485,'Infinet ExDa'!$B$2:$E$14, 0,FALSE), "Not Found"))))))))</f>
        <v>Not Found</v>
      </c>
      <c r="H485" t="str">
        <f>IFERROR(VLOOKUP($A485,'AAPT ExDa'!$B$2:$U$99, 6,FALSE), IFERROR(VLOOKUP($A485,'ABB ExDa'!$A$2:$N$184, 0,FALSE), IFERROR(VLOOKUP($A485,'Vocus SIT ExDa'!$B$2:$J$173, 0,FALSE), IFERROR(VLOOKUP($A485,'Telstra ExDa'!$B$2:$K$310, 0,FALSE), IFERROR(VLOOKUP($A485,'Vocus RVC ExDa'!$C$2:$R$155, 16,FALSE), IFERROR(VLOOKUP($A485,'Fusion ExDa'!$B$2:$D$16, 0,FALSE), IFERROR(VLOOKUP($A485,'Exetel ExDa'!$C$2:$N$14, 0,FALSE), IFERROR(VLOOKUP($A485,'Infinet ExDa'!$B$2:$E$14, 0,FALSE), "Not Found"))))))))</f>
        <v>Not Found</v>
      </c>
      <c r="I485" t="str">
        <f>IFERROR(VLOOKUP($A485,'AAPT ExDa'!$B$2:$U$99, 0,FALSE), IFERROR(VLOOKUP($A485,'ABB ExDa'!$A$2:$N$184, 0,FALSE), IFERROR(VLOOKUP($A485,'Vocus SIT ExDa'!$B$2:$J$173, 0,FALSE), IFERROR(VLOOKUP($A485,'Telstra ExDa'!$B$2:$K$310, 0,FALSE), IFERROR(VLOOKUP($A485,'Vocus RVC ExDa'!$C$2:$R$155, 0,FALSE), IFERROR(VLOOKUP($A485,'Fusion ExDa'!$B$2:$D$16, 0,FALSE), IFERROR(VLOOKUP($A485,'Exetel ExDa'!$C$2:$N$14, 8,FALSE), IFERROR(VLOOKUP($A485,'Infinet ExDa'!$B$2:$E$14, 0,FALSE), "Not Found"))))))))</f>
        <v>Not Found</v>
      </c>
      <c r="J485" t="str">
        <f>IFERROR(VLOOKUP($A485,'AAPT ExDa'!$B$2:$U$99, 7,FALSE), IFERROR(VLOOKUP($A485,'ABB ExDa'!$A$2:$N$184, 2,FALSE), IFERROR(VLOOKUP($A485,'Vocus SIT ExDa'!$B$2:$J$173, 0,FALSE), IFERROR(VLOOKUP($A485,'Telstra ExDa'!$B$2:$K$310, 7,FALSE), IFERROR(VLOOKUP($A485,'Vocus RVC ExDa'!$C$2:$R$155, 2,FALSE), IFERROR(VLOOKUP($A485,'Fusion ExDa'!$B$2:$D$16, 3,FALSE), IFERROR(VLOOKUP($A485,'Exetel ExDa'!$C$2:$N$14, 0,FALSE), IFERROR(VLOOKUP($A485,'Infinet ExDa'!$B$2:$E$14, 0,FALSE), "Not Found"))))))))</f>
        <v>Not Found</v>
      </c>
      <c r="K485" t="str">
        <f>IFERROR(VLOOKUP($A485,'AAPT ExDa'!$B$2:$U$99, 12,FALSE), IFERROR(VLOOKUP($A485,'ABB ExDa'!$A$2:$N$184, 0,FALSE), IFERROR(VLOOKUP($A485,'Vocus SIT ExDa'!$B$2:$J$173, 0,FALSE), IFERROR(VLOOKUP($A485,'Telstra ExDa'!$B$2:$K$310, 0,FALSE), IFERROR(VLOOKUP($A485,'Vocus RVC ExDa'!$C$2:$R$155, 0,FALSE), IFERROR(VLOOKUP($A485,'Fusion ExDa'!$B$2:$D$16, 0,FALSE), IFERROR(VLOOKUP($A485,'Exetel ExDa'!$C$2:$N$14, 12,FALSE), IFERROR(VLOOKUP($A485,'Infinet ExDa'!$B$2:$E$14, 0,FALSE), "Not Found"))))))))</f>
        <v>Not Found</v>
      </c>
      <c r="L485" s="235" t="str">
        <f>IFERROR(VLOOKUP($A485,'AAPT ExDa'!$B$2:$U$99, 11,FALSE), IFERROR(VLOOKUP($A485,'ABB ExDa'!$A$2:$N$184, 9,FALSE), IFERROR(VLOOKUP($A485,'Vocus SIT ExDa'!$B$2:$J$173, 8,FALSE), IFERROR(VLOOKUP($A485,'Telstra ExDa'!$B$2:$K$310, 0,FALSE), IFERROR(VLOOKUP($A485,'Vocus RVC ExDa'!$C$2:$R$155, 0,FALSE), IFERROR(VLOOKUP($A485,'Fusion ExDa'!$B$2:$D$16, 0,FALSE), IFERROR(VLOOKUP($A485,'Exetel ExDa'!$C$2:$N$14, 9,FALSE), IFERROR(VLOOKUP($A485,'Infinet ExDa'!$B$2:$E$14, 0,FALSE), "Not Found"))))))))</f>
        <v>Not Found</v>
      </c>
      <c r="M485" s="234" t="str">
        <f>IFERROR(VLOOKUP($A485,'AAPT ExDa'!$B$2:$U$99, 0,FALSE), IFERROR(VLOOKUP($A485,'ABB ExDa'!$A$2:$N$184, 0,FALSE), IFERROR(VLOOKUP($A485,'Vocus SIT ExDa'!$B$2:$J$173, 0,FALSE), IFERROR(VLOOKUP($A485,'Telstra ExDa'!$B$2:$K$310, 0,FALSE), IFERROR(VLOOKUP($A485,'Vocus RVC ExDa'!$C$2:$R$155, 0,FALSE), IFERROR(VLOOKUP($A485,'Fusion ExDa'!$B$2:$D$16, 0,FALSE), IFERROR(VLOOKUP($A485,'Exetel ExDa'!$C$2:$N$14, 11,FALSE), IFERROR(VLOOKUP($A485,'Infinet ExDa'!$B$2:$E$14, 0,FALSE), "Not Found"))))))))</f>
        <v>Not Found</v>
      </c>
      <c r="N485" t="str">
        <f>IFERROR(VLOOKUP($A485,'AAPT ExDa'!$B$2:$U$99, 0,FALSE), IFERROR(VLOOKUP($A485,'ABB ExDa'!$A$2:$N$184, 13,FALSE), IFERROR(VLOOKUP($A485,'Vocus SIT ExDa'!$B$2:$J$173, 0,FALSE), IFERROR(VLOOKUP($A485,'Telstra ExDa'!$B$2:$K$310, 0,FALSE), IFERROR(VLOOKUP($A485,'Vocus RVC ExDa'!$C$2:$R$155, 0,FALSE), IFERROR(VLOOKUP($A485,'Fusion ExDa'!$B$2:$D$16, 0,FALSE), IFERROR(VLOOKUP($A485,'Exetel ExDa'!$C$2:$N$14, 0,FALSE), IFERROR(VLOOKUP($A485,'Infinet ExDa'!$B$2:$E$14, 0,FALSE), "Not Found"))))))))</f>
        <v>Not Found</v>
      </c>
    </row>
    <row r="486" spans="1:14">
      <c r="A486">
        <v>0</v>
      </c>
      <c r="B486" t="str">
        <f>IFERROR(VLOOKUP(A486,'Exetel ExDa'!$C$2:$N$14,4,FALSE),"No Data")</f>
        <v>No Data</v>
      </c>
      <c r="C486" t="str">
        <f>IFERROR(VLOOKUP(A486,'AAPT ExDa'!$B$2:$U$99, 2,FALSE), IFERROR(VLOOKUP(A486,'ABB ExDa'!$A$2:$N$184, 2,FALSE), IFERROR(VLOOKUP(A486,'Vocus SIT ExDa'!$B$2:$J$173, 7,FALSE), IFERROR(VLOOKUP(A486,'Telstra ExDa'!$B$2:$K$310, 2,FALSE), IFERROR(VLOOKUP(A486,'Vocus RVC ExDa'!$C$2:$R$155, 3,FALSE), IFERROR(VLOOKUP(A486,'Fusion ExDa'!$B$2:$D$16, 2,FALSE), IFERROR(VLOOKUP(A486,'Exetel ExDa'!$C$2:$N$14, 2,FALSE), IFERROR(VLOOKUP(A486,'Infinet ExDa'!$B$2:$E$14, 2,FALSE), "Not Found"))))))))</f>
        <v>Not Found</v>
      </c>
      <c r="D486" t="str">
        <f>IFERROR(VLOOKUP($A486,'AAPT ExDa'!$B$2:$U$99, 15,FALSE), IFERROR(VLOOKUP($A486,'ABB ExDa'!$A$2:$N$184, 4,FALSE), IFERROR(VLOOKUP($A486,'Vocus SIT ExDa'!$B$2:$J$173, 5,FALSE), IFERROR(VLOOKUP($A486,'Telstra ExDa'!$B$2:$K$310, 8,FALSE), IFERROR(VLOOKUP($A486,'Vocus RVC ExDa'!$C$2:$R$155, 6,FALSE), IFERROR(VLOOKUP($A486,'Fusion ExDa'!$B$2:$D$16, 4,FALSE), IFERROR(VLOOKUP($A486,'Exetel ExDa'!$C$2:$N$14, 3,FALSE), IFERROR(VLOOKUP($A486,'Infinet ExDa'!$B$2:$E$14, 3,FALSE), "Not Found"))))))))</f>
        <v>Not Found</v>
      </c>
      <c r="E486" t="str">
        <f>IFERROR(VLOOKUP($A486,'AAPT ExDa'!$B$2:$U$99, 3,FALSE), IFERROR(VLOOKUP($A486,'ABB ExDa'!$A$2:$N$184, 5,FALSE), IFERROR(VLOOKUP($A486,'Vocus SIT ExDa'!$B$2:$J$173, 2,FALSE), IFERROR(VLOOKUP($A486,'Telstra ExDa'!$B$2:$K$310, 4,FALSE), IFERROR(VLOOKUP($A486,'Vocus RVC ExDa'!$C$2:$R$155, 8,FALSE), IFERROR(VLOOKUP($A486,'Fusion ExDa'!$B$2:$D$16, 4,FALSE), IFERROR(VLOOKUP($A486,'Exetel ExDa'!$C$2:$N$14, 5,FALSE), IFERROR(VLOOKUP($A486,'Infinet ExDa'!$B$2:$E$14, 3,FALSE), "Not Found"))))))))</f>
        <v>Not Found</v>
      </c>
      <c r="F486" t="str">
        <f>IFERROR(VLOOKUP($A486,'AAPT ExDa'!$B$2:$U$99, 4,FALSE), IFERROR(VLOOKUP($A486,'ABB ExDa'!$A$2:$N$184, 6,FALSE), IFERROR(VLOOKUP($A486,'Vocus SIT ExDa'!$B$2:$J$173, 3,FALSE), IFERROR(VLOOKUP($A486,'Telstra ExDa'!$B$2:$K$310, 5,FALSE), IFERROR(VLOOKUP($A486,'Vocus RVC ExDa'!$C$2:$R$155, 9,FALSE), IFERROR(VLOOKUP($A486,'Fusion ExDa'!$B$2:$D$16, 0,FALSE), IFERROR(VLOOKUP($A486,'Exetel ExDa'!$C$2:$N$14, 6,FALSE), IFERROR(VLOOKUP($A486,'Infinet ExDa'!$B$2:$E$14, 0,FALSE), "Not Found"))))))))</f>
        <v>Not Found</v>
      </c>
      <c r="G486" t="str">
        <f>IFERROR(VLOOKUP($A486,'AAPT ExDa'!$B$2:$U$99, 5,FALSE), IFERROR(VLOOKUP($A486,'ABB ExDa'!$A$2:$N$184, 8,FALSE), IFERROR(VLOOKUP($A486,'Vocus SIT ExDa'!$B$2:$J$173, 6,FALSE), IFERROR(VLOOKUP($A486,'Telstra ExDa'!$B$2:$K$310, 0,FALSE), IFERROR(VLOOKUP($A486,'Vocus RVC ExDa'!$C$2:$R$155, 15,FALSE), IFERROR(VLOOKUP($A486,'Fusion ExDa'!$B$2:$D$16, 0,FALSE), IFERROR(VLOOKUP($A486,'Exetel ExDa'!$C$2:$N$14, 7,FALSE), IFERROR(VLOOKUP($A486,'Infinet ExDa'!$B$2:$E$14, 0,FALSE), "Not Found"))))))))</f>
        <v>Not Found</v>
      </c>
      <c r="H486" t="str">
        <f>IFERROR(VLOOKUP($A486,'AAPT ExDa'!$B$2:$U$99, 6,FALSE), IFERROR(VLOOKUP($A486,'ABB ExDa'!$A$2:$N$184, 0,FALSE), IFERROR(VLOOKUP($A486,'Vocus SIT ExDa'!$B$2:$J$173, 0,FALSE), IFERROR(VLOOKUP($A486,'Telstra ExDa'!$B$2:$K$310, 0,FALSE), IFERROR(VLOOKUP($A486,'Vocus RVC ExDa'!$C$2:$R$155, 16,FALSE), IFERROR(VLOOKUP($A486,'Fusion ExDa'!$B$2:$D$16, 0,FALSE), IFERROR(VLOOKUP($A486,'Exetel ExDa'!$C$2:$N$14, 0,FALSE), IFERROR(VLOOKUP($A486,'Infinet ExDa'!$B$2:$E$14, 0,FALSE), "Not Found"))))))))</f>
        <v>Not Found</v>
      </c>
      <c r="I486" t="str">
        <f>IFERROR(VLOOKUP($A486,'AAPT ExDa'!$B$2:$U$99, 0,FALSE), IFERROR(VLOOKUP($A486,'ABB ExDa'!$A$2:$N$184, 0,FALSE), IFERROR(VLOOKUP($A486,'Vocus SIT ExDa'!$B$2:$J$173, 0,FALSE), IFERROR(VLOOKUP($A486,'Telstra ExDa'!$B$2:$K$310, 0,FALSE), IFERROR(VLOOKUP($A486,'Vocus RVC ExDa'!$C$2:$R$155, 0,FALSE), IFERROR(VLOOKUP($A486,'Fusion ExDa'!$B$2:$D$16, 0,FALSE), IFERROR(VLOOKUP($A486,'Exetel ExDa'!$C$2:$N$14, 8,FALSE), IFERROR(VLOOKUP($A486,'Infinet ExDa'!$B$2:$E$14, 0,FALSE), "Not Found"))))))))</f>
        <v>Not Found</v>
      </c>
      <c r="J486" t="str">
        <f>IFERROR(VLOOKUP($A486,'AAPT ExDa'!$B$2:$U$99, 7,FALSE), IFERROR(VLOOKUP($A486,'ABB ExDa'!$A$2:$N$184, 2,FALSE), IFERROR(VLOOKUP($A486,'Vocus SIT ExDa'!$B$2:$J$173, 0,FALSE), IFERROR(VLOOKUP($A486,'Telstra ExDa'!$B$2:$K$310, 7,FALSE), IFERROR(VLOOKUP($A486,'Vocus RVC ExDa'!$C$2:$R$155, 2,FALSE), IFERROR(VLOOKUP($A486,'Fusion ExDa'!$B$2:$D$16, 3,FALSE), IFERROR(VLOOKUP($A486,'Exetel ExDa'!$C$2:$N$14, 0,FALSE), IFERROR(VLOOKUP($A486,'Infinet ExDa'!$B$2:$E$14, 0,FALSE), "Not Found"))))))))</f>
        <v>Not Found</v>
      </c>
      <c r="K486" t="str">
        <f>IFERROR(VLOOKUP($A486,'AAPT ExDa'!$B$2:$U$99, 12,FALSE), IFERROR(VLOOKUP($A486,'ABB ExDa'!$A$2:$N$184, 0,FALSE), IFERROR(VLOOKUP($A486,'Vocus SIT ExDa'!$B$2:$J$173, 0,FALSE), IFERROR(VLOOKUP($A486,'Telstra ExDa'!$B$2:$K$310, 0,FALSE), IFERROR(VLOOKUP($A486,'Vocus RVC ExDa'!$C$2:$R$155, 0,FALSE), IFERROR(VLOOKUP($A486,'Fusion ExDa'!$B$2:$D$16, 0,FALSE), IFERROR(VLOOKUP($A486,'Exetel ExDa'!$C$2:$N$14, 12,FALSE), IFERROR(VLOOKUP($A486,'Infinet ExDa'!$B$2:$E$14, 0,FALSE), "Not Found"))))))))</f>
        <v>Not Found</v>
      </c>
      <c r="L486" s="235" t="str">
        <f>IFERROR(VLOOKUP($A486,'AAPT ExDa'!$B$2:$U$99, 11,FALSE), IFERROR(VLOOKUP($A486,'ABB ExDa'!$A$2:$N$184, 9,FALSE), IFERROR(VLOOKUP($A486,'Vocus SIT ExDa'!$B$2:$J$173, 8,FALSE), IFERROR(VLOOKUP($A486,'Telstra ExDa'!$B$2:$K$310, 0,FALSE), IFERROR(VLOOKUP($A486,'Vocus RVC ExDa'!$C$2:$R$155, 0,FALSE), IFERROR(VLOOKUP($A486,'Fusion ExDa'!$B$2:$D$16, 0,FALSE), IFERROR(VLOOKUP($A486,'Exetel ExDa'!$C$2:$N$14, 9,FALSE), IFERROR(VLOOKUP($A486,'Infinet ExDa'!$B$2:$E$14, 0,FALSE), "Not Found"))))))))</f>
        <v>Not Found</v>
      </c>
      <c r="M486" s="234" t="str">
        <f>IFERROR(VLOOKUP($A486,'AAPT ExDa'!$B$2:$U$99, 0,FALSE), IFERROR(VLOOKUP($A486,'ABB ExDa'!$A$2:$N$184, 0,FALSE), IFERROR(VLOOKUP($A486,'Vocus SIT ExDa'!$B$2:$J$173, 0,FALSE), IFERROR(VLOOKUP($A486,'Telstra ExDa'!$B$2:$K$310, 0,FALSE), IFERROR(VLOOKUP($A486,'Vocus RVC ExDa'!$C$2:$R$155, 0,FALSE), IFERROR(VLOOKUP($A486,'Fusion ExDa'!$B$2:$D$16, 0,FALSE), IFERROR(VLOOKUP($A486,'Exetel ExDa'!$C$2:$N$14, 11,FALSE), IFERROR(VLOOKUP($A486,'Infinet ExDa'!$B$2:$E$14, 0,FALSE), "Not Found"))))))))</f>
        <v>Not Found</v>
      </c>
      <c r="N486" t="str">
        <f>IFERROR(VLOOKUP($A486,'AAPT ExDa'!$B$2:$U$99, 0,FALSE), IFERROR(VLOOKUP($A486,'ABB ExDa'!$A$2:$N$184, 13,FALSE), IFERROR(VLOOKUP($A486,'Vocus SIT ExDa'!$B$2:$J$173, 0,FALSE), IFERROR(VLOOKUP($A486,'Telstra ExDa'!$B$2:$K$310, 0,FALSE), IFERROR(VLOOKUP($A486,'Vocus RVC ExDa'!$C$2:$R$155, 0,FALSE), IFERROR(VLOOKUP($A486,'Fusion ExDa'!$B$2:$D$16, 0,FALSE), IFERROR(VLOOKUP($A486,'Exetel ExDa'!$C$2:$N$14, 0,FALSE), IFERROR(VLOOKUP($A486,'Infinet ExDa'!$B$2:$E$14, 0,FALSE), "Not Found"))))))))</f>
        <v>Not Found</v>
      </c>
    </row>
    <row r="487" spans="1:14">
      <c r="A487">
        <v>0</v>
      </c>
      <c r="B487" t="str">
        <f>IFERROR(VLOOKUP(A487,'Exetel ExDa'!$C$2:$N$14,4,FALSE),"No Data")</f>
        <v>No Data</v>
      </c>
      <c r="C487" t="str">
        <f>IFERROR(VLOOKUP(A487,'AAPT ExDa'!$B$2:$U$99, 2,FALSE), IFERROR(VLOOKUP(A487,'ABB ExDa'!$A$2:$N$184, 2,FALSE), IFERROR(VLOOKUP(A487,'Vocus SIT ExDa'!$B$2:$J$173, 7,FALSE), IFERROR(VLOOKUP(A487,'Telstra ExDa'!$B$2:$K$310, 2,FALSE), IFERROR(VLOOKUP(A487,'Vocus RVC ExDa'!$C$2:$R$155, 3,FALSE), IFERROR(VLOOKUP(A487,'Fusion ExDa'!$B$2:$D$16, 2,FALSE), IFERROR(VLOOKUP(A487,'Exetel ExDa'!$C$2:$N$14, 2,FALSE), IFERROR(VLOOKUP(A487,'Infinet ExDa'!$B$2:$E$14, 2,FALSE), "Not Found"))))))))</f>
        <v>Not Found</v>
      </c>
      <c r="D487" t="str">
        <f>IFERROR(VLOOKUP($A487,'AAPT ExDa'!$B$2:$U$99, 15,FALSE), IFERROR(VLOOKUP($A487,'ABB ExDa'!$A$2:$N$184, 4,FALSE), IFERROR(VLOOKUP($A487,'Vocus SIT ExDa'!$B$2:$J$173, 5,FALSE), IFERROR(VLOOKUP($A487,'Telstra ExDa'!$B$2:$K$310, 8,FALSE), IFERROR(VLOOKUP($A487,'Vocus RVC ExDa'!$C$2:$R$155, 6,FALSE), IFERROR(VLOOKUP($A487,'Fusion ExDa'!$B$2:$D$16, 4,FALSE), IFERROR(VLOOKUP($A487,'Exetel ExDa'!$C$2:$N$14, 3,FALSE), IFERROR(VLOOKUP($A487,'Infinet ExDa'!$B$2:$E$14, 3,FALSE), "Not Found"))))))))</f>
        <v>Not Found</v>
      </c>
      <c r="E487" t="str">
        <f>IFERROR(VLOOKUP($A487,'AAPT ExDa'!$B$2:$U$99, 3,FALSE), IFERROR(VLOOKUP($A487,'ABB ExDa'!$A$2:$N$184, 5,FALSE), IFERROR(VLOOKUP($A487,'Vocus SIT ExDa'!$B$2:$J$173, 2,FALSE), IFERROR(VLOOKUP($A487,'Telstra ExDa'!$B$2:$K$310, 4,FALSE), IFERROR(VLOOKUP($A487,'Vocus RVC ExDa'!$C$2:$R$155, 8,FALSE), IFERROR(VLOOKUP($A487,'Fusion ExDa'!$B$2:$D$16, 4,FALSE), IFERROR(VLOOKUP($A487,'Exetel ExDa'!$C$2:$N$14, 5,FALSE), IFERROR(VLOOKUP($A487,'Infinet ExDa'!$B$2:$E$14, 3,FALSE), "Not Found"))))))))</f>
        <v>Not Found</v>
      </c>
      <c r="F487" t="str">
        <f>IFERROR(VLOOKUP($A487,'AAPT ExDa'!$B$2:$U$99, 4,FALSE), IFERROR(VLOOKUP($A487,'ABB ExDa'!$A$2:$N$184, 6,FALSE), IFERROR(VLOOKUP($A487,'Vocus SIT ExDa'!$B$2:$J$173, 3,FALSE), IFERROR(VLOOKUP($A487,'Telstra ExDa'!$B$2:$K$310, 5,FALSE), IFERROR(VLOOKUP($A487,'Vocus RVC ExDa'!$C$2:$R$155, 9,FALSE), IFERROR(VLOOKUP($A487,'Fusion ExDa'!$B$2:$D$16, 0,FALSE), IFERROR(VLOOKUP($A487,'Exetel ExDa'!$C$2:$N$14, 6,FALSE), IFERROR(VLOOKUP($A487,'Infinet ExDa'!$B$2:$E$14, 0,FALSE), "Not Found"))))))))</f>
        <v>Not Found</v>
      </c>
      <c r="G487" t="str">
        <f>IFERROR(VLOOKUP($A487,'AAPT ExDa'!$B$2:$U$99, 5,FALSE), IFERROR(VLOOKUP($A487,'ABB ExDa'!$A$2:$N$184, 8,FALSE), IFERROR(VLOOKUP($A487,'Vocus SIT ExDa'!$B$2:$J$173, 6,FALSE), IFERROR(VLOOKUP($A487,'Telstra ExDa'!$B$2:$K$310, 0,FALSE), IFERROR(VLOOKUP($A487,'Vocus RVC ExDa'!$C$2:$R$155, 15,FALSE), IFERROR(VLOOKUP($A487,'Fusion ExDa'!$B$2:$D$16, 0,FALSE), IFERROR(VLOOKUP($A487,'Exetel ExDa'!$C$2:$N$14, 7,FALSE), IFERROR(VLOOKUP($A487,'Infinet ExDa'!$B$2:$E$14, 0,FALSE), "Not Found"))))))))</f>
        <v>Not Found</v>
      </c>
      <c r="H487" t="str">
        <f>IFERROR(VLOOKUP($A487,'AAPT ExDa'!$B$2:$U$99, 6,FALSE), IFERROR(VLOOKUP($A487,'ABB ExDa'!$A$2:$N$184, 0,FALSE), IFERROR(VLOOKUP($A487,'Vocus SIT ExDa'!$B$2:$J$173, 0,FALSE), IFERROR(VLOOKUP($A487,'Telstra ExDa'!$B$2:$K$310, 0,FALSE), IFERROR(VLOOKUP($A487,'Vocus RVC ExDa'!$C$2:$R$155, 16,FALSE), IFERROR(VLOOKUP($A487,'Fusion ExDa'!$B$2:$D$16, 0,FALSE), IFERROR(VLOOKUP($A487,'Exetel ExDa'!$C$2:$N$14, 0,FALSE), IFERROR(VLOOKUP($A487,'Infinet ExDa'!$B$2:$E$14, 0,FALSE), "Not Found"))))))))</f>
        <v>Not Found</v>
      </c>
      <c r="I487" t="str">
        <f>IFERROR(VLOOKUP($A487,'AAPT ExDa'!$B$2:$U$99, 0,FALSE), IFERROR(VLOOKUP($A487,'ABB ExDa'!$A$2:$N$184, 0,FALSE), IFERROR(VLOOKUP($A487,'Vocus SIT ExDa'!$B$2:$J$173, 0,FALSE), IFERROR(VLOOKUP($A487,'Telstra ExDa'!$B$2:$K$310, 0,FALSE), IFERROR(VLOOKUP($A487,'Vocus RVC ExDa'!$C$2:$R$155, 0,FALSE), IFERROR(VLOOKUP($A487,'Fusion ExDa'!$B$2:$D$16, 0,FALSE), IFERROR(VLOOKUP($A487,'Exetel ExDa'!$C$2:$N$14, 8,FALSE), IFERROR(VLOOKUP($A487,'Infinet ExDa'!$B$2:$E$14, 0,FALSE), "Not Found"))))))))</f>
        <v>Not Found</v>
      </c>
      <c r="J487" t="str">
        <f>IFERROR(VLOOKUP($A487,'AAPT ExDa'!$B$2:$U$99, 7,FALSE), IFERROR(VLOOKUP($A487,'ABB ExDa'!$A$2:$N$184, 2,FALSE), IFERROR(VLOOKUP($A487,'Vocus SIT ExDa'!$B$2:$J$173, 0,FALSE), IFERROR(VLOOKUP($A487,'Telstra ExDa'!$B$2:$K$310, 7,FALSE), IFERROR(VLOOKUP($A487,'Vocus RVC ExDa'!$C$2:$R$155, 2,FALSE), IFERROR(VLOOKUP($A487,'Fusion ExDa'!$B$2:$D$16, 3,FALSE), IFERROR(VLOOKUP($A487,'Exetel ExDa'!$C$2:$N$14, 0,FALSE), IFERROR(VLOOKUP($A487,'Infinet ExDa'!$B$2:$E$14, 0,FALSE), "Not Found"))))))))</f>
        <v>Not Found</v>
      </c>
      <c r="K487" t="str">
        <f>IFERROR(VLOOKUP($A487,'AAPT ExDa'!$B$2:$U$99, 12,FALSE), IFERROR(VLOOKUP($A487,'ABB ExDa'!$A$2:$N$184, 0,FALSE), IFERROR(VLOOKUP($A487,'Vocus SIT ExDa'!$B$2:$J$173, 0,FALSE), IFERROR(VLOOKUP($A487,'Telstra ExDa'!$B$2:$K$310, 0,FALSE), IFERROR(VLOOKUP($A487,'Vocus RVC ExDa'!$C$2:$R$155, 0,FALSE), IFERROR(VLOOKUP($A487,'Fusion ExDa'!$B$2:$D$16, 0,FALSE), IFERROR(VLOOKUP($A487,'Exetel ExDa'!$C$2:$N$14, 12,FALSE), IFERROR(VLOOKUP($A487,'Infinet ExDa'!$B$2:$E$14, 0,FALSE), "Not Found"))))))))</f>
        <v>Not Found</v>
      </c>
      <c r="L487" s="235" t="str">
        <f>IFERROR(VLOOKUP($A487,'AAPT ExDa'!$B$2:$U$99, 11,FALSE), IFERROR(VLOOKUP($A487,'ABB ExDa'!$A$2:$N$184, 9,FALSE), IFERROR(VLOOKUP($A487,'Vocus SIT ExDa'!$B$2:$J$173, 8,FALSE), IFERROR(VLOOKUP($A487,'Telstra ExDa'!$B$2:$K$310, 0,FALSE), IFERROR(VLOOKUP($A487,'Vocus RVC ExDa'!$C$2:$R$155, 0,FALSE), IFERROR(VLOOKUP($A487,'Fusion ExDa'!$B$2:$D$16, 0,FALSE), IFERROR(VLOOKUP($A487,'Exetel ExDa'!$C$2:$N$14, 9,FALSE), IFERROR(VLOOKUP($A487,'Infinet ExDa'!$B$2:$E$14, 0,FALSE), "Not Found"))))))))</f>
        <v>Not Found</v>
      </c>
      <c r="M487" s="234" t="str">
        <f>IFERROR(VLOOKUP($A487,'AAPT ExDa'!$B$2:$U$99, 0,FALSE), IFERROR(VLOOKUP($A487,'ABB ExDa'!$A$2:$N$184, 0,FALSE), IFERROR(VLOOKUP($A487,'Vocus SIT ExDa'!$B$2:$J$173, 0,FALSE), IFERROR(VLOOKUP($A487,'Telstra ExDa'!$B$2:$K$310, 0,FALSE), IFERROR(VLOOKUP($A487,'Vocus RVC ExDa'!$C$2:$R$155, 0,FALSE), IFERROR(VLOOKUP($A487,'Fusion ExDa'!$B$2:$D$16, 0,FALSE), IFERROR(VLOOKUP($A487,'Exetel ExDa'!$C$2:$N$14, 11,FALSE), IFERROR(VLOOKUP($A487,'Infinet ExDa'!$B$2:$E$14, 0,FALSE), "Not Found"))))))))</f>
        <v>Not Found</v>
      </c>
      <c r="N487" t="str">
        <f>IFERROR(VLOOKUP($A487,'AAPT ExDa'!$B$2:$U$99, 0,FALSE), IFERROR(VLOOKUP($A487,'ABB ExDa'!$A$2:$N$184, 13,FALSE), IFERROR(VLOOKUP($A487,'Vocus SIT ExDa'!$B$2:$J$173, 0,FALSE), IFERROR(VLOOKUP($A487,'Telstra ExDa'!$B$2:$K$310, 0,FALSE), IFERROR(VLOOKUP($A487,'Vocus RVC ExDa'!$C$2:$R$155, 0,FALSE), IFERROR(VLOOKUP($A487,'Fusion ExDa'!$B$2:$D$16, 0,FALSE), IFERROR(VLOOKUP($A487,'Exetel ExDa'!$C$2:$N$14, 0,FALSE), IFERROR(VLOOKUP($A487,'Infinet ExDa'!$B$2:$E$14, 0,FALSE), "Not Found"))))))))</f>
        <v>Not Found</v>
      </c>
    </row>
    <row r="488" spans="1:14">
      <c r="A488">
        <v>0</v>
      </c>
      <c r="B488" t="str">
        <f>IFERROR(VLOOKUP(A488,'Exetel ExDa'!$C$2:$N$14,4,FALSE),"No Data")</f>
        <v>No Data</v>
      </c>
      <c r="C488" t="str">
        <f>IFERROR(VLOOKUP(A488,'AAPT ExDa'!$B$2:$U$99, 2,FALSE), IFERROR(VLOOKUP(A488,'ABB ExDa'!$A$2:$N$184, 2,FALSE), IFERROR(VLOOKUP(A488,'Vocus SIT ExDa'!$B$2:$J$173, 7,FALSE), IFERROR(VLOOKUP(A488,'Telstra ExDa'!$B$2:$K$310, 2,FALSE), IFERROR(VLOOKUP(A488,'Vocus RVC ExDa'!$C$2:$R$155, 3,FALSE), IFERROR(VLOOKUP(A488,'Fusion ExDa'!$B$2:$D$16, 2,FALSE), IFERROR(VLOOKUP(A488,'Exetel ExDa'!$C$2:$N$14, 2,FALSE), IFERROR(VLOOKUP(A488,'Infinet ExDa'!$B$2:$E$14, 2,FALSE), "Not Found"))))))))</f>
        <v>Not Found</v>
      </c>
      <c r="D488" t="str">
        <f>IFERROR(VLOOKUP($A488,'AAPT ExDa'!$B$2:$U$99, 15,FALSE), IFERROR(VLOOKUP($A488,'ABB ExDa'!$A$2:$N$184, 4,FALSE), IFERROR(VLOOKUP($A488,'Vocus SIT ExDa'!$B$2:$J$173, 5,FALSE), IFERROR(VLOOKUP($A488,'Telstra ExDa'!$B$2:$K$310, 8,FALSE), IFERROR(VLOOKUP($A488,'Vocus RVC ExDa'!$C$2:$R$155, 6,FALSE), IFERROR(VLOOKUP($A488,'Fusion ExDa'!$B$2:$D$16, 4,FALSE), IFERROR(VLOOKUP($A488,'Exetel ExDa'!$C$2:$N$14, 3,FALSE), IFERROR(VLOOKUP($A488,'Infinet ExDa'!$B$2:$E$14, 3,FALSE), "Not Found"))))))))</f>
        <v>Not Found</v>
      </c>
      <c r="E488" t="str">
        <f>IFERROR(VLOOKUP($A488,'AAPT ExDa'!$B$2:$U$99, 3,FALSE), IFERROR(VLOOKUP($A488,'ABB ExDa'!$A$2:$N$184, 5,FALSE), IFERROR(VLOOKUP($A488,'Vocus SIT ExDa'!$B$2:$J$173, 2,FALSE), IFERROR(VLOOKUP($A488,'Telstra ExDa'!$B$2:$K$310, 4,FALSE), IFERROR(VLOOKUP($A488,'Vocus RVC ExDa'!$C$2:$R$155, 8,FALSE), IFERROR(VLOOKUP($A488,'Fusion ExDa'!$B$2:$D$16, 4,FALSE), IFERROR(VLOOKUP($A488,'Exetel ExDa'!$C$2:$N$14, 5,FALSE), IFERROR(VLOOKUP($A488,'Infinet ExDa'!$B$2:$E$14, 3,FALSE), "Not Found"))))))))</f>
        <v>Not Found</v>
      </c>
      <c r="F488" t="str">
        <f>IFERROR(VLOOKUP($A488,'AAPT ExDa'!$B$2:$U$99, 4,FALSE), IFERROR(VLOOKUP($A488,'ABB ExDa'!$A$2:$N$184, 6,FALSE), IFERROR(VLOOKUP($A488,'Vocus SIT ExDa'!$B$2:$J$173, 3,FALSE), IFERROR(VLOOKUP($A488,'Telstra ExDa'!$B$2:$K$310, 5,FALSE), IFERROR(VLOOKUP($A488,'Vocus RVC ExDa'!$C$2:$R$155, 9,FALSE), IFERROR(VLOOKUP($A488,'Fusion ExDa'!$B$2:$D$16, 0,FALSE), IFERROR(VLOOKUP($A488,'Exetel ExDa'!$C$2:$N$14, 6,FALSE), IFERROR(VLOOKUP($A488,'Infinet ExDa'!$B$2:$E$14, 0,FALSE), "Not Found"))))))))</f>
        <v>Not Found</v>
      </c>
      <c r="G488" t="str">
        <f>IFERROR(VLOOKUP($A488,'AAPT ExDa'!$B$2:$U$99, 5,FALSE), IFERROR(VLOOKUP($A488,'ABB ExDa'!$A$2:$N$184, 8,FALSE), IFERROR(VLOOKUP($A488,'Vocus SIT ExDa'!$B$2:$J$173, 6,FALSE), IFERROR(VLOOKUP($A488,'Telstra ExDa'!$B$2:$K$310, 0,FALSE), IFERROR(VLOOKUP($A488,'Vocus RVC ExDa'!$C$2:$R$155, 15,FALSE), IFERROR(VLOOKUP($A488,'Fusion ExDa'!$B$2:$D$16, 0,FALSE), IFERROR(VLOOKUP($A488,'Exetel ExDa'!$C$2:$N$14, 7,FALSE), IFERROR(VLOOKUP($A488,'Infinet ExDa'!$B$2:$E$14, 0,FALSE), "Not Found"))))))))</f>
        <v>Not Found</v>
      </c>
      <c r="H488" t="str">
        <f>IFERROR(VLOOKUP($A488,'AAPT ExDa'!$B$2:$U$99, 6,FALSE), IFERROR(VLOOKUP($A488,'ABB ExDa'!$A$2:$N$184, 0,FALSE), IFERROR(VLOOKUP($A488,'Vocus SIT ExDa'!$B$2:$J$173, 0,FALSE), IFERROR(VLOOKUP($A488,'Telstra ExDa'!$B$2:$K$310, 0,FALSE), IFERROR(VLOOKUP($A488,'Vocus RVC ExDa'!$C$2:$R$155, 16,FALSE), IFERROR(VLOOKUP($A488,'Fusion ExDa'!$B$2:$D$16, 0,FALSE), IFERROR(VLOOKUP($A488,'Exetel ExDa'!$C$2:$N$14, 0,FALSE), IFERROR(VLOOKUP($A488,'Infinet ExDa'!$B$2:$E$14, 0,FALSE), "Not Found"))))))))</f>
        <v>Not Found</v>
      </c>
      <c r="I488" t="str">
        <f>IFERROR(VLOOKUP($A488,'AAPT ExDa'!$B$2:$U$99, 0,FALSE), IFERROR(VLOOKUP($A488,'ABB ExDa'!$A$2:$N$184, 0,FALSE), IFERROR(VLOOKUP($A488,'Vocus SIT ExDa'!$B$2:$J$173, 0,FALSE), IFERROR(VLOOKUP($A488,'Telstra ExDa'!$B$2:$K$310, 0,FALSE), IFERROR(VLOOKUP($A488,'Vocus RVC ExDa'!$C$2:$R$155, 0,FALSE), IFERROR(VLOOKUP($A488,'Fusion ExDa'!$B$2:$D$16, 0,FALSE), IFERROR(VLOOKUP($A488,'Exetel ExDa'!$C$2:$N$14, 8,FALSE), IFERROR(VLOOKUP($A488,'Infinet ExDa'!$B$2:$E$14, 0,FALSE), "Not Found"))))))))</f>
        <v>Not Found</v>
      </c>
      <c r="J488" t="str">
        <f>IFERROR(VLOOKUP($A488,'AAPT ExDa'!$B$2:$U$99, 7,FALSE), IFERROR(VLOOKUP($A488,'ABB ExDa'!$A$2:$N$184, 2,FALSE), IFERROR(VLOOKUP($A488,'Vocus SIT ExDa'!$B$2:$J$173, 0,FALSE), IFERROR(VLOOKUP($A488,'Telstra ExDa'!$B$2:$K$310, 7,FALSE), IFERROR(VLOOKUP($A488,'Vocus RVC ExDa'!$C$2:$R$155, 2,FALSE), IFERROR(VLOOKUP($A488,'Fusion ExDa'!$B$2:$D$16, 3,FALSE), IFERROR(VLOOKUP($A488,'Exetel ExDa'!$C$2:$N$14, 0,FALSE), IFERROR(VLOOKUP($A488,'Infinet ExDa'!$B$2:$E$14, 0,FALSE), "Not Found"))))))))</f>
        <v>Not Found</v>
      </c>
      <c r="K488" t="str">
        <f>IFERROR(VLOOKUP($A488,'AAPT ExDa'!$B$2:$U$99, 12,FALSE), IFERROR(VLOOKUP($A488,'ABB ExDa'!$A$2:$N$184, 0,FALSE), IFERROR(VLOOKUP($A488,'Vocus SIT ExDa'!$B$2:$J$173, 0,FALSE), IFERROR(VLOOKUP($A488,'Telstra ExDa'!$B$2:$K$310, 0,FALSE), IFERROR(VLOOKUP($A488,'Vocus RVC ExDa'!$C$2:$R$155, 0,FALSE), IFERROR(VLOOKUP($A488,'Fusion ExDa'!$B$2:$D$16, 0,FALSE), IFERROR(VLOOKUP($A488,'Exetel ExDa'!$C$2:$N$14, 12,FALSE), IFERROR(VLOOKUP($A488,'Infinet ExDa'!$B$2:$E$14, 0,FALSE), "Not Found"))))))))</f>
        <v>Not Found</v>
      </c>
      <c r="L488" s="235" t="str">
        <f>IFERROR(VLOOKUP($A488,'AAPT ExDa'!$B$2:$U$99, 11,FALSE), IFERROR(VLOOKUP($A488,'ABB ExDa'!$A$2:$N$184, 9,FALSE), IFERROR(VLOOKUP($A488,'Vocus SIT ExDa'!$B$2:$J$173, 8,FALSE), IFERROR(VLOOKUP($A488,'Telstra ExDa'!$B$2:$K$310, 0,FALSE), IFERROR(VLOOKUP($A488,'Vocus RVC ExDa'!$C$2:$R$155, 0,FALSE), IFERROR(VLOOKUP($A488,'Fusion ExDa'!$B$2:$D$16, 0,FALSE), IFERROR(VLOOKUP($A488,'Exetel ExDa'!$C$2:$N$14, 9,FALSE), IFERROR(VLOOKUP($A488,'Infinet ExDa'!$B$2:$E$14, 0,FALSE), "Not Found"))))))))</f>
        <v>Not Found</v>
      </c>
      <c r="M488" s="234" t="str">
        <f>IFERROR(VLOOKUP($A488,'AAPT ExDa'!$B$2:$U$99, 0,FALSE), IFERROR(VLOOKUP($A488,'ABB ExDa'!$A$2:$N$184, 0,FALSE), IFERROR(VLOOKUP($A488,'Vocus SIT ExDa'!$B$2:$J$173, 0,FALSE), IFERROR(VLOOKUP($A488,'Telstra ExDa'!$B$2:$K$310, 0,FALSE), IFERROR(VLOOKUP($A488,'Vocus RVC ExDa'!$C$2:$R$155, 0,FALSE), IFERROR(VLOOKUP($A488,'Fusion ExDa'!$B$2:$D$16, 0,FALSE), IFERROR(VLOOKUP($A488,'Exetel ExDa'!$C$2:$N$14, 11,FALSE), IFERROR(VLOOKUP($A488,'Infinet ExDa'!$B$2:$E$14, 0,FALSE), "Not Found"))))))))</f>
        <v>Not Found</v>
      </c>
      <c r="N488" t="str">
        <f>IFERROR(VLOOKUP($A488,'AAPT ExDa'!$B$2:$U$99, 0,FALSE), IFERROR(VLOOKUP($A488,'ABB ExDa'!$A$2:$N$184, 13,FALSE), IFERROR(VLOOKUP($A488,'Vocus SIT ExDa'!$B$2:$J$173, 0,FALSE), IFERROR(VLOOKUP($A488,'Telstra ExDa'!$B$2:$K$310, 0,FALSE), IFERROR(VLOOKUP($A488,'Vocus RVC ExDa'!$C$2:$R$155, 0,FALSE), IFERROR(VLOOKUP($A488,'Fusion ExDa'!$B$2:$D$16, 0,FALSE), IFERROR(VLOOKUP($A488,'Exetel ExDa'!$C$2:$N$14, 0,FALSE), IFERROR(VLOOKUP($A488,'Infinet ExDa'!$B$2:$E$14, 0,FALSE), "Not Found"))))))))</f>
        <v>Not Found</v>
      </c>
    </row>
    <row r="489" spans="1:14">
      <c r="A489">
        <v>0</v>
      </c>
      <c r="B489" t="str">
        <f>IFERROR(VLOOKUP(A489,'Exetel ExDa'!$C$2:$N$14,4,FALSE),"No Data")</f>
        <v>No Data</v>
      </c>
      <c r="C489" t="str">
        <f>IFERROR(VLOOKUP(A489,'AAPT ExDa'!$B$2:$U$99, 2,FALSE), IFERROR(VLOOKUP(A489,'ABB ExDa'!$A$2:$N$184, 2,FALSE), IFERROR(VLOOKUP(A489,'Vocus SIT ExDa'!$B$2:$J$173, 7,FALSE), IFERROR(VLOOKUP(A489,'Telstra ExDa'!$B$2:$K$310, 2,FALSE), IFERROR(VLOOKUP(A489,'Vocus RVC ExDa'!$C$2:$R$155, 3,FALSE), IFERROR(VLOOKUP(A489,'Fusion ExDa'!$B$2:$D$16, 2,FALSE), IFERROR(VLOOKUP(A489,'Exetel ExDa'!$C$2:$N$14, 2,FALSE), IFERROR(VLOOKUP(A489,'Infinet ExDa'!$B$2:$E$14, 2,FALSE), "Not Found"))))))))</f>
        <v>Not Found</v>
      </c>
      <c r="D489" t="str">
        <f>IFERROR(VLOOKUP($A489,'AAPT ExDa'!$B$2:$U$99, 15,FALSE), IFERROR(VLOOKUP($A489,'ABB ExDa'!$A$2:$N$184, 4,FALSE), IFERROR(VLOOKUP($A489,'Vocus SIT ExDa'!$B$2:$J$173, 5,FALSE), IFERROR(VLOOKUP($A489,'Telstra ExDa'!$B$2:$K$310, 8,FALSE), IFERROR(VLOOKUP($A489,'Vocus RVC ExDa'!$C$2:$R$155, 6,FALSE), IFERROR(VLOOKUP($A489,'Fusion ExDa'!$B$2:$D$16, 4,FALSE), IFERROR(VLOOKUP($A489,'Exetel ExDa'!$C$2:$N$14, 3,FALSE), IFERROR(VLOOKUP($A489,'Infinet ExDa'!$B$2:$E$14, 3,FALSE), "Not Found"))))))))</f>
        <v>Not Found</v>
      </c>
      <c r="E489" t="str">
        <f>IFERROR(VLOOKUP($A489,'AAPT ExDa'!$B$2:$U$99, 3,FALSE), IFERROR(VLOOKUP($A489,'ABB ExDa'!$A$2:$N$184, 5,FALSE), IFERROR(VLOOKUP($A489,'Vocus SIT ExDa'!$B$2:$J$173, 2,FALSE), IFERROR(VLOOKUP($A489,'Telstra ExDa'!$B$2:$K$310, 4,FALSE), IFERROR(VLOOKUP($A489,'Vocus RVC ExDa'!$C$2:$R$155, 8,FALSE), IFERROR(VLOOKUP($A489,'Fusion ExDa'!$B$2:$D$16, 4,FALSE), IFERROR(VLOOKUP($A489,'Exetel ExDa'!$C$2:$N$14, 5,FALSE), IFERROR(VLOOKUP($A489,'Infinet ExDa'!$B$2:$E$14, 3,FALSE), "Not Found"))))))))</f>
        <v>Not Found</v>
      </c>
      <c r="F489" t="str">
        <f>IFERROR(VLOOKUP($A489,'AAPT ExDa'!$B$2:$U$99, 4,FALSE), IFERROR(VLOOKUP($A489,'ABB ExDa'!$A$2:$N$184, 6,FALSE), IFERROR(VLOOKUP($A489,'Vocus SIT ExDa'!$B$2:$J$173, 3,FALSE), IFERROR(VLOOKUP($A489,'Telstra ExDa'!$B$2:$K$310, 5,FALSE), IFERROR(VLOOKUP($A489,'Vocus RVC ExDa'!$C$2:$R$155, 9,FALSE), IFERROR(VLOOKUP($A489,'Fusion ExDa'!$B$2:$D$16, 0,FALSE), IFERROR(VLOOKUP($A489,'Exetel ExDa'!$C$2:$N$14, 6,FALSE), IFERROR(VLOOKUP($A489,'Infinet ExDa'!$B$2:$E$14, 0,FALSE), "Not Found"))))))))</f>
        <v>Not Found</v>
      </c>
      <c r="G489" t="str">
        <f>IFERROR(VLOOKUP($A489,'AAPT ExDa'!$B$2:$U$99, 5,FALSE), IFERROR(VLOOKUP($A489,'ABB ExDa'!$A$2:$N$184, 8,FALSE), IFERROR(VLOOKUP($A489,'Vocus SIT ExDa'!$B$2:$J$173, 6,FALSE), IFERROR(VLOOKUP($A489,'Telstra ExDa'!$B$2:$K$310, 0,FALSE), IFERROR(VLOOKUP($A489,'Vocus RVC ExDa'!$C$2:$R$155, 15,FALSE), IFERROR(VLOOKUP($A489,'Fusion ExDa'!$B$2:$D$16, 0,FALSE), IFERROR(VLOOKUP($A489,'Exetel ExDa'!$C$2:$N$14, 7,FALSE), IFERROR(VLOOKUP($A489,'Infinet ExDa'!$B$2:$E$14, 0,FALSE), "Not Found"))))))))</f>
        <v>Not Found</v>
      </c>
      <c r="H489" t="str">
        <f>IFERROR(VLOOKUP($A489,'AAPT ExDa'!$B$2:$U$99, 6,FALSE), IFERROR(VLOOKUP($A489,'ABB ExDa'!$A$2:$N$184, 0,FALSE), IFERROR(VLOOKUP($A489,'Vocus SIT ExDa'!$B$2:$J$173, 0,FALSE), IFERROR(VLOOKUP($A489,'Telstra ExDa'!$B$2:$K$310, 0,FALSE), IFERROR(VLOOKUP($A489,'Vocus RVC ExDa'!$C$2:$R$155, 16,FALSE), IFERROR(VLOOKUP($A489,'Fusion ExDa'!$B$2:$D$16, 0,FALSE), IFERROR(VLOOKUP($A489,'Exetel ExDa'!$C$2:$N$14, 0,FALSE), IFERROR(VLOOKUP($A489,'Infinet ExDa'!$B$2:$E$14, 0,FALSE), "Not Found"))))))))</f>
        <v>Not Found</v>
      </c>
      <c r="I489" t="str">
        <f>IFERROR(VLOOKUP($A489,'AAPT ExDa'!$B$2:$U$99, 0,FALSE), IFERROR(VLOOKUP($A489,'ABB ExDa'!$A$2:$N$184, 0,FALSE), IFERROR(VLOOKUP($A489,'Vocus SIT ExDa'!$B$2:$J$173, 0,FALSE), IFERROR(VLOOKUP($A489,'Telstra ExDa'!$B$2:$K$310, 0,FALSE), IFERROR(VLOOKUP($A489,'Vocus RVC ExDa'!$C$2:$R$155, 0,FALSE), IFERROR(VLOOKUP($A489,'Fusion ExDa'!$B$2:$D$16, 0,FALSE), IFERROR(VLOOKUP($A489,'Exetel ExDa'!$C$2:$N$14, 8,FALSE), IFERROR(VLOOKUP($A489,'Infinet ExDa'!$B$2:$E$14, 0,FALSE), "Not Found"))))))))</f>
        <v>Not Found</v>
      </c>
      <c r="J489" t="str">
        <f>IFERROR(VLOOKUP($A489,'AAPT ExDa'!$B$2:$U$99, 7,FALSE), IFERROR(VLOOKUP($A489,'ABB ExDa'!$A$2:$N$184, 2,FALSE), IFERROR(VLOOKUP($A489,'Vocus SIT ExDa'!$B$2:$J$173, 0,FALSE), IFERROR(VLOOKUP($A489,'Telstra ExDa'!$B$2:$K$310, 7,FALSE), IFERROR(VLOOKUP($A489,'Vocus RVC ExDa'!$C$2:$R$155, 2,FALSE), IFERROR(VLOOKUP($A489,'Fusion ExDa'!$B$2:$D$16, 3,FALSE), IFERROR(VLOOKUP($A489,'Exetel ExDa'!$C$2:$N$14, 0,FALSE), IFERROR(VLOOKUP($A489,'Infinet ExDa'!$B$2:$E$14, 0,FALSE), "Not Found"))))))))</f>
        <v>Not Found</v>
      </c>
      <c r="K489" t="str">
        <f>IFERROR(VLOOKUP($A489,'AAPT ExDa'!$B$2:$U$99, 12,FALSE), IFERROR(VLOOKUP($A489,'ABB ExDa'!$A$2:$N$184, 0,FALSE), IFERROR(VLOOKUP($A489,'Vocus SIT ExDa'!$B$2:$J$173, 0,FALSE), IFERROR(VLOOKUP($A489,'Telstra ExDa'!$B$2:$K$310, 0,FALSE), IFERROR(VLOOKUP($A489,'Vocus RVC ExDa'!$C$2:$R$155, 0,FALSE), IFERROR(VLOOKUP($A489,'Fusion ExDa'!$B$2:$D$16, 0,FALSE), IFERROR(VLOOKUP($A489,'Exetel ExDa'!$C$2:$N$14, 12,FALSE), IFERROR(VLOOKUP($A489,'Infinet ExDa'!$B$2:$E$14, 0,FALSE), "Not Found"))))))))</f>
        <v>Not Found</v>
      </c>
      <c r="L489" s="235" t="str">
        <f>IFERROR(VLOOKUP($A489,'AAPT ExDa'!$B$2:$U$99, 11,FALSE), IFERROR(VLOOKUP($A489,'ABB ExDa'!$A$2:$N$184, 9,FALSE), IFERROR(VLOOKUP($A489,'Vocus SIT ExDa'!$B$2:$J$173, 8,FALSE), IFERROR(VLOOKUP($A489,'Telstra ExDa'!$B$2:$K$310, 0,FALSE), IFERROR(VLOOKUP($A489,'Vocus RVC ExDa'!$C$2:$R$155, 0,FALSE), IFERROR(VLOOKUP($A489,'Fusion ExDa'!$B$2:$D$16, 0,FALSE), IFERROR(VLOOKUP($A489,'Exetel ExDa'!$C$2:$N$14, 9,FALSE), IFERROR(VLOOKUP($A489,'Infinet ExDa'!$B$2:$E$14, 0,FALSE), "Not Found"))))))))</f>
        <v>Not Found</v>
      </c>
      <c r="M489" s="234" t="str">
        <f>IFERROR(VLOOKUP($A489,'AAPT ExDa'!$B$2:$U$99, 0,FALSE), IFERROR(VLOOKUP($A489,'ABB ExDa'!$A$2:$N$184, 0,FALSE), IFERROR(VLOOKUP($A489,'Vocus SIT ExDa'!$B$2:$J$173, 0,FALSE), IFERROR(VLOOKUP($A489,'Telstra ExDa'!$B$2:$K$310, 0,FALSE), IFERROR(VLOOKUP($A489,'Vocus RVC ExDa'!$C$2:$R$155, 0,FALSE), IFERROR(VLOOKUP($A489,'Fusion ExDa'!$B$2:$D$16, 0,FALSE), IFERROR(VLOOKUP($A489,'Exetel ExDa'!$C$2:$N$14, 11,FALSE), IFERROR(VLOOKUP($A489,'Infinet ExDa'!$B$2:$E$14, 0,FALSE), "Not Found"))))))))</f>
        <v>Not Found</v>
      </c>
      <c r="N489" t="str">
        <f>IFERROR(VLOOKUP($A489,'AAPT ExDa'!$B$2:$U$99, 0,FALSE), IFERROR(VLOOKUP($A489,'ABB ExDa'!$A$2:$N$184, 13,FALSE), IFERROR(VLOOKUP($A489,'Vocus SIT ExDa'!$B$2:$J$173, 0,FALSE), IFERROR(VLOOKUP($A489,'Telstra ExDa'!$B$2:$K$310, 0,FALSE), IFERROR(VLOOKUP($A489,'Vocus RVC ExDa'!$C$2:$R$155, 0,FALSE), IFERROR(VLOOKUP($A489,'Fusion ExDa'!$B$2:$D$16, 0,FALSE), IFERROR(VLOOKUP($A489,'Exetel ExDa'!$C$2:$N$14, 0,FALSE), IFERROR(VLOOKUP($A489,'Infinet ExDa'!$B$2:$E$14, 0,FALSE), "Not Found"))))))))</f>
        <v>Not Found</v>
      </c>
    </row>
    <row r="490" spans="1:14">
      <c r="A490">
        <v>0</v>
      </c>
      <c r="B490" t="str">
        <f>IFERROR(VLOOKUP(A490,'Exetel ExDa'!$C$2:$N$14,4,FALSE),"No Data")</f>
        <v>No Data</v>
      </c>
      <c r="C490" t="str">
        <f>IFERROR(VLOOKUP(A490,'AAPT ExDa'!$B$2:$U$99, 2,FALSE), IFERROR(VLOOKUP(A490,'ABB ExDa'!$A$2:$N$184, 2,FALSE), IFERROR(VLOOKUP(A490,'Vocus SIT ExDa'!$B$2:$J$173, 7,FALSE), IFERROR(VLOOKUP(A490,'Telstra ExDa'!$B$2:$K$310, 2,FALSE), IFERROR(VLOOKUP(A490,'Vocus RVC ExDa'!$C$2:$R$155, 3,FALSE), IFERROR(VLOOKUP(A490,'Fusion ExDa'!$B$2:$D$16, 2,FALSE), IFERROR(VLOOKUP(A490,'Exetel ExDa'!$C$2:$N$14, 2,FALSE), IFERROR(VLOOKUP(A490,'Infinet ExDa'!$B$2:$E$14, 2,FALSE), "Not Found"))))))))</f>
        <v>Not Found</v>
      </c>
      <c r="D490" t="str">
        <f>IFERROR(VLOOKUP($A490,'AAPT ExDa'!$B$2:$U$99, 15,FALSE), IFERROR(VLOOKUP($A490,'ABB ExDa'!$A$2:$N$184, 4,FALSE), IFERROR(VLOOKUP($A490,'Vocus SIT ExDa'!$B$2:$J$173, 5,FALSE), IFERROR(VLOOKUP($A490,'Telstra ExDa'!$B$2:$K$310, 8,FALSE), IFERROR(VLOOKUP($A490,'Vocus RVC ExDa'!$C$2:$R$155, 6,FALSE), IFERROR(VLOOKUP($A490,'Fusion ExDa'!$B$2:$D$16, 4,FALSE), IFERROR(VLOOKUP($A490,'Exetel ExDa'!$C$2:$N$14, 3,FALSE), IFERROR(VLOOKUP($A490,'Infinet ExDa'!$B$2:$E$14, 3,FALSE), "Not Found"))))))))</f>
        <v>Not Found</v>
      </c>
      <c r="E490" t="str">
        <f>IFERROR(VLOOKUP($A490,'AAPT ExDa'!$B$2:$U$99, 3,FALSE), IFERROR(VLOOKUP($A490,'ABB ExDa'!$A$2:$N$184, 5,FALSE), IFERROR(VLOOKUP($A490,'Vocus SIT ExDa'!$B$2:$J$173, 2,FALSE), IFERROR(VLOOKUP($A490,'Telstra ExDa'!$B$2:$K$310, 4,FALSE), IFERROR(VLOOKUP($A490,'Vocus RVC ExDa'!$C$2:$R$155, 8,FALSE), IFERROR(VLOOKUP($A490,'Fusion ExDa'!$B$2:$D$16, 4,FALSE), IFERROR(VLOOKUP($A490,'Exetel ExDa'!$C$2:$N$14, 5,FALSE), IFERROR(VLOOKUP($A490,'Infinet ExDa'!$B$2:$E$14, 3,FALSE), "Not Found"))))))))</f>
        <v>Not Found</v>
      </c>
      <c r="F490" t="str">
        <f>IFERROR(VLOOKUP($A490,'AAPT ExDa'!$B$2:$U$99, 4,FALSE), IFERROR(VLOOKUP($A490,'ABB ExDa'!$A$2:$N$184, 6,FALSE), IFERROR(VLOOKUP($A490,'Vocus SIT ExDa'!$B$2:$J$173, 3,FALSE), IFERROR(VLOOKUP($A490,'Telstra ExDa'!$B$2:$K$310, 5,FALSE), IFERROR(VLOOKUP($A490,'Vocus RVC ExDa'!$C$2:$R$155, 9,FALSE), IFERROR(VLOOKUP($A490,'Fusion ExDa'!$B$2:$D$16, 0,FALSE), IFERROR(VLOOKUP($A490,'Exetel ExDa'!$C$2:$N$14, 6,FALSE), IFERROR(VLOOKUP($A490,'Infinet ExDa'!$B$2:$E$14, 0,FALSE), "Not Found"))))))))</f>
        <v>Not Found</v>
      </c>
      <c r="G490" t="str">
        <f>IFERROR(VLOOKUP($A490,'AAPT ExDa'!$B$2:$U$99, 5,FALSE), IFERROR(VLOOKUP($A490,'ABB ExDa'!$A$2:$N$184, 8,FALSE), IFERROR(VLOOKUP($A490,'Vocus SIT ExDa'!$B$2:$J$173, 6,FALSE), IFERROR(VLOOKUP($A490,'Telstra ExDa'!$B$2:$K$310, 0,FALSE), IFERROR(VLOOKUP($A490,'Vocus RVC ExDa'!$C$2:$R$155, 15,FALSE), IFERROR(VLOOKUP($A490,'Fusion ExDa'!$B$2:$D$16, 0,FALSE), IFERROR(VLOOKUP($A490,'Exetel ExDa'!$C$2:$N$14, 7,FALSE), IFERROR(VLOOKUP($A490,'Infinet ExDa'!$B$2:$E$14, 0,FALSE), "Not Found"))))))))</f>
        <v>Not Found</v>
      </c>
      <c r="H490" t="str">
        <f>IFERROR(VLOOKUP($A490,'AAPT ExDa'!$B$2:$U$99, 6,FALSE), IFERROR(VLOOKUP($A490,'ABB ExDa'!$A$2:$N$184, 0,FALSE), IFERROR(VLOOKUP($A490,'Vocus SIT ExDa'!$B$2:$J$173, 0,FALSE), IFERROR(VLOOKUP($A490,'Telstra ExDa'!$B$2:$K$310, 0,FALSE), IFERROR(VLOOKUP($A490,'Vocus RVC ExDa'!$C$2:$R$155, 16,FALSE), IFERROR(VLOOKUP($A490,'Fusion ExDa'!$B$2:$D$16, 0,FALSE), IFERROR(VLOOKUP($A490,'Exetel ExDa'!$C$2:$N$14, 0,FALSE), IFERROR(VLOOKUP($A490,'Infinet ExDa'!$B$2:$E$14, 0,FALSE), "Not Found"))))))))</f>
        <v>Not Found</v>
      </c>
      <c r="I490" t="str">
        <f>IFERROR(VLOOKUP($A490,'AAPT ExDa'!$B$2:$U$99, 0,FALSE), IFERROR(VLOOKUP($A490,'ABB ExDa'!$A$2:$N$184, 0,FALSE), IFERROR(VLOOKUP($A490,'Vocus SIT ExDa'!$B$2:$J$173, 0,FALSE), IFERROR(VLOOKUP($A490,'Telstra ExDa'!$B$2:$K$310, 0,FALSE), IFERROR(VLOOKUP($A490,'Vocus RVC ExDa'!$C$2:$R$155, 0,FALSE), IFERROR(VLOOKUP($A490,'Fusion ExDa'!$B$2:$D$16, 0,FALSE), IFERROR(VLOOKUP($A490,'Exetel ExDa'!$C$2:$N$14, 8,FALSE), IFERROR(VLOOKUP($A490,'Infinet ExDa'!$B$2:$E$14, 0,FALSE), "Not Found"))))))))</f>
        <v>Not Found</v>
      </c>
      <c r="J490" t="str">
        <f>IFERROR(VLOOKUP($A490,'AAPT ExDa'!$B$2:$U$99, 7,FALSE), IFERROR(VLOOKUP($A490,'ABB ExDa'!$A$2:$N$184, 2,FALSE), IFERROR(VLOOKUP($A490,'Vocus SIT ExDa'!$B$2:$J$173, 0,FALSE), IFERROR(VLOOKUP($A490,'Telstra ExDa'!$B$2:$K$310, 7,FALSE), IFERROR(VLOOKUP($A490,'Vocus RVC ExDa'!$C$2:$R$155, 2,FALSE), IFERROR(VLOOKUP($A490,'Fusion ExDa'!$B$2:$D$16, 3,FALSE), IFERROR(VLOOKUP($A490,'Exetel ExDa'!$C$2:$N$14, 0,FALSE), IFERROR(VLOOKUP($A490,'Infinet ExDa'!$B$2:$E$14, 0,FALSE), "Not Found"))))))))</f>
        <v>Not Found</v>
      </c>
      <c r="K490" t="str">
        <f>IFERROR(VLOOKUP($A490,'AAPT ExDa'!$B$2:$U$99, 12,FALSE), IFERROR(VLOOKUP($A490,'ABB ExDa'!$A$2:$N$184, 0,FALSE), IFERROR(VLOOKUP($A490,'Vocus SIT ExDa'!$B$2:$J$173, 0,FALSE), IFERROR(VLOOKUP($A490,'Telstra ExDa'!$B$2:$K$310, 0,FALSE), IFERROR(VLOOKUP($A490,'Vocus RVC ExDa'!$C$2:$R$155, 0,FALSE), IFERROR(VLOOKUP($A490,'Fusion ExDa'!$B$2:$D$16, 0,FALSE), IFERROR(VLOOKUP($A490,'Exetel ExDa'!$C$2:$N$14, 12,FALSE), IFERROR(VLOOKUP($A490,'Infinet ExDa'!$B$2:$E$14, 0,FALSE), "Not Found"))))))))</f>
        <v>Not Found</v>
      </c>
      <c r="L490" s="235" t="str">
        <f>IFERROR(VLOOKUP($A490,'AAPT ExDa'!$B$2:$U$99, 11,FALSE), IFERROR(VLOOKUP($A490,'ABB ExDa'!$A$2:$N$184, 9,FALSE), IFERROR(VLOOKUP($A490,'Vocus SIT ExDa'!$B$2:$J$173, 8,FALSE), IFERROR(VLOOKUP($A490,'Telstra ExDa'!$B$2:$K$310, 0,FALSE), IFERROR(VLOOKUP($A490,'Vocus RVC ExDa'!$C$2:$R$155, 0,FALSE), IFERROR(VLOOKUP($A490,'Fusion ExDa'!$B$2:$D$16, 0,FALSE), IFERROR(VLOOKUP($A490,'Exetel ExDa'!$C$2:$N$14, 9,FALSE), IFERROR(VLOOKUP($A490,'Infinet ExDa'!$B$2:$E$14, 0,FALSE), "Not Found"))))))))</f>
        <v>Not Found</v>
      </c>
      <c r="M490" s="234" t="str">
        <f>IFERROR(VLOOKUP($A490,'AAPT ExDa'!$B$2:$U$99, 0,FALSE), IFERROR(VLOOKUP($A490,'ABB ExDa'!$A$2:$N$184, 0,FALSE), IFERROR(VLOOKUP($A490,'Vocus SIT ExDa'!$B$2:$J$173, 0,FALSE), IFERROR(VLOOKUP($A490,'Telstra ExDa'!$B$2:$K$310, 0,FALSE), IFERROR(VLOOKUP($A490,'Vocus RVC ExDa'!$C$2:$R$155, 0,FALSE), IFERROR(VLOOKUP($A490,'Fusion ExDa'!$B$2:$D$16, 0,FALSE), IFERROR(VLOOKUP($A490,'Exetel ExDa'!$C$2:$N$14, 11,FALSE), IFERROR(VLOOKUP($A490,'Infinet ExDa'!$B$2:$E$14, 0,FALSE), "Not Found"))))))))</f>
        <v>Not Found</v>
      </c>
      <c r="N490" t="str">
        <f>IFERROR(VLOOKUP($A490,'AAPT ExDa'!$B$2:$U$99, 0,FALSE), IFERROR(VLOOKUP($A490,'ABB ExDa'!$A$2:$N$184, 13,FALSE), IFERROR(VLOOKUP($A490,'Vocus SIT ExDa'!$B$2:$J$173, 0,FALSE), IFERROR(VLOOKUP($A490,'Telstra ExDa'!$B$2:$K$310, 0,FALSE), IFERROR(VLOOKUP($A490,'Vocus RVC ExDa'!$C$2:$R$155, 0,FALSE), IFERROR(VLOOKUP($A490,'Fusion ExDa'!$B$2:$D$16, 0,FALSE), IFERROR(VLOOKUP($A490,'Exetel ExDa'!$C$2:$N$14, 0,FALSE), IFERROR(VLOOKUP($A490,'Infinet ExDa'!$B$2:$E$14, 0,FALSE), "Not Found"))))))))</f>
        <v>Not Found</v>
      </c>
    </row>
    <row r="491" spans="1:14">
      <c r="A491">
        <v>0</v>
      </c>
      <c r="B491" t="str">
        <f>IFERROR(VLOOKUP(A491,'Exetel ExDa'!$C$2:$N$14,4,FALSE),"No Data")</f>
        <v>No Data</v>
      </c>
      <c r="C491" t="str">
        <f>IFERROR(VLOOKUP(A491,'AAPT ExDa'!$B$2:$U$99, 2,FALSE), IFERROR(VLOOKUP(A491,'ABB ExDa'!$A$2:$N$184, 2,FALSE), IFERROR(VLOOKUP(A491,'Vocus SIT ExDa'!$B$2:$J$173, 7,FALSE), IFERROR(VLOOKUP(A491,'Telstra ExDa'!$B$2:$K$310, 2,FALSE), IFERROR(VLOOKUP(A491,'Vocus RVC ExDa'!$C$2:$R$155, 3,FALSE), IFERROR(VLOOKUP(A491,'Fusion ExDa'!$B$2:$D$16, 2,FALSE), IFERROR(VLOOKUP(A491,'Exetel ExDa'!$C$2:$N$14, 2,FALSE), IFERROR(VLOOKUP(A491,'Infinet ExDa'!$B$2:$E$14, 2,FALSE), "Not Found"))))))))</f>
        <v>Not Found</v>
      </c>
      <c r="D491" t="str">
        <f>IFERROR(VLOOKUP($A491,'AAPT ExDa'!$B$2:$U$99, 15,FALSE), IFERROR(VLOOKUP($A491,'ABB ExDa'!$A$2:$N$184, 4,FALSE), IFERROR(VLOOKUP($A491,'Vocus SIT ExDa'!$B$2:$J$173, 5,FALSE), IFERROR(VLOOKUP($A491,'Telstra ExDa'!$B$2:$K$310, 8,FALSE), IFERROR(VLOOKUP($A491,'Vocus RVC ExDa'!$C$2:$R$155, 6,FALSE), IFERROR(VLOOKUP($A491,'Fusion ExDa'!$B$2:$D$16, 4,FALSE), IFERROR(VLOOKUP($A491,'Exetel ExDa'!$C$2:$N$14, 3,FALSE), IFERROR(VLOOKUP($A491,'Infinet ExDa'!$B$2:$E$14, 3,FALSE), "Not Found"))))))))</f>
        <v>Not Found</v>
      </c>
      <c r="E491" t="str">
        <f>IFERROR(VLOOKUP($A491,'AAPT ExDa'!$B$2:$U$99, 3,FALSE), IFERROR(VLOOKUP($A491,'ABB ExDa'!$A$2:$N$184, 5,FALSE), IFERROR(VLOOKUP($A491,'Vocus SIT ExDa'!$B$2:$J$173, 2,FALSE), IFERROR(VLOOKUP($A491,'Telstra ExDa'!$B$2:$K$310, 4,FALSE), IFERROR(VLOOKUP($A491,'Vocus RVC ExDa'!$C$2:$R$155, 8,FALSE), IFERROR(VLOOKUP($A491,'Fusion ExDa'!$B$2:$D$16, 4,FALSE), IFERROR(VLOOKUP($A491,'Exetel ExDa'!$C$2:$N$14, 5,FALSE), IFERROR(VLOOKUP($A491,'Infinet ExDa'!$B$2:$E$14, 3,FALSE), "Not Found"))))))))</f>
        <v>Not Found</v>
      </c>
      <c r="F491" t="str">
        <f>IFERROR(VLOOKUP($A491,'AAPT ExDa'!$B$2:$U$99, 4,FALSE), IFERROR(VLOOKUP($A491,'ABB ExDa'!$A$2:$N$184, 6,FALSE), IFERROR(VLOOKUP($A491,'Vocus SIT ExDa'!$B$2:$J$173, 3,FALSE), IFERROR(VLOOKUP($A491,'Telstra ExDa'!$B$2:$K$310, 5,FALSE), IFERROR(VLOOKUP($A491,'Vocus RVC ExDa'!$C$2:$R$155, 9,FALSE), IFERROR(VLOOKUP($A491,'Fusion ExDa'!$B$2:$D$16, 0,FALSE), IFERROR(VLOOKUP($A491,'Exetel ExDa'!$C$2:$N$14, 6,FALSE), IFERROR(VLOOKUP($A491,'Infinet ExDa'!$B$2:$E$14, 0,FALSE), "Not Found"))))))))</f>
        <v>Not Found</v>
      </c>
      <c r="G491" t="str">
        <f>IFERROR(VLOOKUP($A491,'AAPT ExDa'!$B$2:$U$99, 5,FALSE), IFERROR(VLOOKUP($A491,'ABB ExDa'!$A$2:$N$184, 8,FALSE), IFERROR(VLOOKUP($A491,'Vocus SIT ExDa'!$B$2:$J$173, 6,FALSE), IFERROR(VLOOKUP($A491,'Telstra ExDa'!$B$2:$K$310, 0,FALSE), IFERROR(VLOOKUP($A491,'Vocus RVC ExDa'!$C$2:$R$155, 15,FALSE), IFERROR(VLOOKUP($A491,'Fusion ExDa'!$B$2:$D$16, 0,FALSE), IFERROR(VLOOKUP($A491,'Exetel ExDa'!$C$2:$N$14, 7,FALSE), IFERROR(VLOOKUP($A491,'Infinet ExDa'!$B$2:$E$14, 0,FALSE), "Not Found"))))))))</f>
        <v>Not Found</v>
      </c>
      <c r="H491" t="str">
        <f>IFERROR(VLOOKUP($A491,'AAPT ExDa'!$B$2:$U$99, 6,FALSE), IFERROR(VLOOKUP($A491,'ABB ExDa'!$A$2:$N$184, 0,FALSE), IFERROR(VLOOKUP($A491,'Vocus SIT ExDa'!$B$2:$J$173, 0,FALSE), IFERROR(VLOOKUP($A491,'Telstra ExDa'!$B$2:$K$310, 0,FALSE), IFERROR(VLOOKUP($A491,'Vocus RVC ExDa'!$C$2:$R$155, 16,FALSE), IFERROR(VLOOKUP($A491,'Fusion ExDa'!$B$2:$D$16, 0,FALSE), IFERROR(VLOOKUP($A491,'Exetel ExDa'!$C$2:$N$14, 0,FALSE), IFERROR(VLOOKUP($A491,'Infinet ExDa'!$B$2:$E$14, 0,FALSE), "Not Found"))))))))</f>
        <v>Not Found</v>
      </c>
      <c r="I491" t="str">
        <f>IFERROR(VLOOKUP($A491,'AAPT ExDa'!$B$2:$U$99, 0,FALSE), IFERROR(VLOOKUP($A491,'ABB ExDa'!$A$2:$N$184, 0,FALSE), IFERROR(VLOOKUP($A491,'Vocus SIT ExDa'!$B$2:$J$173, 0,FALSE), IFERROR(VLOOKUP($A491,'Telstra ExDa'!$B$2:$K$310, 0,FALSE), IFERROR(VLOOKUP($A491,'Vocus RVC ExDa'!$C$2:$R$155, 0,FALSE), IFERROR(VLOOKUP($A491,'Fusion ExDa'!$B$2:$D$16, 0,FALSE), IFERROR(VLOOKUP($A491,'Exetel ExDa'!$C$2:$N$14, 8,FALSE), IFERROR(VLOOKUP($A491,'Infinet ExDa'!$B$2:$E$14, 0,FALSE), "Not Found"))))))))</f>
        <v>Not Found</v>
      </c>
      <c r="J491" t="str">
        <f>IFERROR(VLOOKUP($A491,'AAPT ExDa'!$B$2:$U$99, 7,FALSE), IFERROR(VLOOKUP($A491,'ABB ExDa'!$A$2:$N$184, 2,FALSE), IFERROR(VLOOKUP($A491,'Vocus SIT ExDa'!$B$2:$J$173, 0,FALSE), IFERROR(VLOOKUP($A491,'Telstra ExDa'!$B$2:$K$310, 7,FALSE), IFERROR(VLOOKUP($A491,'Vocus RVC ExDa'!$C$2:$R$155, 2,FALSE), IFERROR(VLOOKUP($A491,'Fusion ExDa'!$B$2:$D$16, 3,FALSE), IFERROR(VLOOKUP($A491,'Exetel ExDa'!$C$2:$N$14, 0,FALSE), IFERROR(VLOOKUP($A491,'Infinet ExDa'!$B$2:$E$14, 0,FALSE), "Not Found"))))))))</f>
        <v>Not Found</v>
      </c>
      <c r="K491" t="str">
        <f>IFERROR(VLOOKUP($A491,'AAPT ExDa'!$B$2:$U$99, 12,FALSE), IFERROR(VLOOKUP($A491,'ABB ExDa'!$A$2:$N$184, 0,FALSE), IFERROR(VLOOKUP($A491,'Vocus SIT ExDa'!$B$2:$J$173, 0,FALSE), IFERROR(VLOOKUP($A491,'Telstra ExDa'!$B$2:$K$310, 0,FALSE), IFERROR(VLOOKUP($A491,'Vocus RVC ExDa'!$C$2:$R$155, 0,FALSE), IFERROR(VLOOKUP($A491,'Fusion ExDa'!$B$2:$D$16, 0,FALSE), IFERROR(VLOOKUP($A491,'Exetel ExDa'!$C$2:$N$14, 12,FALSE), IFERROR(VLOOKUP($A491,'Infinet ExDa'!$B$2:$E$14, 0,FALSE), "Not Found"))))))))</f>
        <v>Not Found</v>
      </c>
      <c r="L491" s="235" t="str">
        <f>IFERROR(VLOOKUP($A491,'AAPT ExDa'!$B$2:$U$99, 11,FALSE), IFERROR(VLOOKUP($A491,'ABB ExDa'!$A$2:$N$184, 9,FALSE), IFERROR(VLOOKUP($A491,'Vocus SIT ExDa'!$B$2:$J$173, 8,FALSE), IFERROR(VLOOKUP($A491,'Telstra ExDa'!$B$2:$K$310, 0,FALSE), IFERROR(VLOOKUP($A491,'Vocus RVC ExDa'!$C$2:$R$155, 0,FALSE), IFERROR(VLOOKUP($A491,'Fusion ExDa'!$B$2:$D$16, 0,FALSE), IFERROR(VLOOKUP($A491,'Exetel ExDa'!$C$2:$N$14, 9,FALSE), IFERROR(VLOOKUP($A491,'Infinet ExDa'!$B$2:$E$14, 0,FALSE), "Not Found"))))))))</f>
        <v>Not Found</v>
      </c>
      <c r="M491" s="234" t="str">
        <f>IFERROR(VLOOKUP($A491,'AAPT ExDa'!$B$2:$U$99, 0,FALSE), IFERROR(VLOOKUP($A491,'ABB ExDa'!$A$2:$N$184, 0,FALSE), IFERROR(VLOOKUP($A491,'Vocus SIT ExDa'!$B$2:$J$173, 0,FALSE), IFERROR(VLOOKUP($A491,'Telstra ExDa'!$B$2:$K$310, 0,FALSE), IFERROR(VLOOKUP($A491,'Vocus RVC ExDa'!$C$2:$R$155, 0,FALSE), IFERROR(VLOOKUP($A491,'Fusion ExDa'!$B$2:$D$16, 0,FALSE), IFERROR(VLOOKUP($A491,'Exetel ExDa'!$C$2:$N$14, 11,FALSE), IFERROR(VLOOKUP($A491,'Infinet ExDa'!$B$2:$E$14, 0,FALSE), "Not Found"))))))))</f>
        <v>Not Found</v>
      </c>
      <c r="N491" t="str">
        <f>IFERROR(VLOOKUP($A491,'AAPT ExDa'!$B$2:$U$99, 0,FALSE), IFERROR(VLOOKUP($A491,'ABB ExDa'!$A$2:$N$184, 13,FALSE), IFERROR(VLOOKUP($A491,'Vocus SIT ExDa'!$B$2:$J$173, 0,FALSE), IFERROR(VLOOKUP($A491,'Telstra ExDa'!$B$2:$K$310, 0,FALSE), IFERROR(VLOOKUP($A491,'Vocus RVC ExDa'!$C$2:$R$155, 0,FALSE), IFERROR(VLOOKUP($A491,'Fusion ExDa'!$B$2:$D$16, 0,FALSE), IFERROR(VLOOKUP($A491,'Exetel ExDa'!$C$2:$N$14, 0,FALSE), IFERROR(VLOOKUP($A491,'Infinet ExDa'!$B$2:$E$14, 0,FALSE), "Not Found"))))))))</f>
        <v>Not Found</v>
      </c>
    </row>
    <row r="492" spans="1:14">
      <c r="A492">
        <v>0</v>
      </c>
      <c r="B492" t="str">
        <f>IFERROR(VLOOKUP(A492,'Exetel ExDa'!$C$2:$N$14,4,FALSE),"No Data")</f>
        <v>No Data</v>
      </c>
      <c r="C492" t="str">
        <f>IFERROR(VLOOKUP(A492,'AAPT ExDa'!$B$2:$U$99, 2,FALSE), IFERROR(VLOOKUP(A492,'ABB ExDa'!$A$2:$N$184, 2,FALSE), IFERROR(VLOOKUP(A492,'Vocus SIT ExDa'!$B$2:$J$173, 7,FALSE), IFERROR(VLOOKUP(A492,'Telstra ExDa'!$B$2:$K$310, 2,FALSE), IFERROR(VLOOKUP(A492,'Vocus RVC ExDa'!$C$2:$R$155, 3,FALSE), IFERROR(VLOOKUP(A492,'Fusion ExDa'!$B$2:$D$16, 2,FALSE), IFERROR(VLOOKUP(A492,'Exetel ExDa'!$C$2:$N$14, 2,FALSE), IFERROR(VLOOKUP(A492,'Infinet ExDa'!$B$2:$E$14, 2,FALSE), "Not Found"))))))))</f>
        <v>Not Found</v>
      </c>
      <c r="D492" t="str">
        <f>IFERROR(VLOOKUP($A492,'AAPT ExDa'!$B$2:$U$99, 15,FALSE), IFERROR(VLOOKUP($A492,'ABB ExDa'!$A$2:$N$184, 4,FALSE), IFERROR(VLOOKUP($A492,'Vocus SIT ExDa'!$B$2:$J$173, 5,FALSE), IFERROR(VLOOKUP($A492,'Telstra ExDa'!$B$2:$K$310, 8,FALSE), IFERROR(VLOOKUP($A492,'Vocus RVC ExDa'!$C$2:$R$155, 6,FALSE), IFERROR(VLOOKUP($A492,'Fusion ExDa'!$B$2:$D$16, 4,FALSE), IFERROR(VLOOKUP($A492,'Exetel ExDa'!$C$2:$N$14, 3,FALSE), IFERROR(VLOOKUP($A492,'Infinet ExDa'!$B$2:$E$14, 3,FALSE), "Not Found"))))))))</f>
        <v>Not Found</v>
      </c>
      <c r="E492" t="str">
        <f>IFERROR(VLOOKUP($A492,'AAPT ExDa'!$B$2:$U$99, 3,FALSE), IFERROR(VLOOKUP($A492,'ABB ExDa'!$A$2:$N$184, 5,FALSE), IFERROR(VLOOKUP($A492,'Vocus SIT ExDa'!$B$2:$J$173, 2,FALSE), IFERROR(VLOOKUP($A492,'Telstra ExDa'!$B$2:$K$310, 4,FALSE), IFERROR(VLOOKUP($A492,'Vocus RVC ExDa'!$C$2:$R$155, 8,FALSE), IFERROR(VLOOKUP($A492,'Fusion ExDa'!$B$2:$D$16, 4,FALSE), IFERROR(VLOOKUP($A492,'Exetel ExDa'!$C$2:$N$14, 5,FALSE), IFERROR(VLOOKUP($A492,'Infinet ExDa'!$B$2:$E$14, 3,FALSE), "Not Found"))))))))</f>
        <v>Not Found</v>
      </c>
      <c r="F492" t="str">
        <f>IFERROR(VLOOKUP($A492,'AAPT ExDa'!$B$2:$U$99, 4,FALSE), IFERROR(VLOOKUP($A492,'ABB ExDa'!$A$2:$N$184, 6,FALSE), IFERROR(VLOOKUP($A492,'Vocus SIT ExDa'!$B$2:$J$173, 3,FALSE), IFERROR(VLOOKUP($A492,'Telstra ExDa'!$B$2:$K$310, 5,FALSE), IFERROR(VLOOKUP($A492,'Vocus RVC ExDa'!$C$2:$R$155, 9,FALSE), IFERROR(VLOOKUP($A492,'Fusion ExDa'!$B$2:$D$16, 0,FALSE), IFERROR(VLOOKUP($A492,'Exetel ExDa'!$C$2:$N$14, 6,FALSE), IFERROR(VLOOKUP($A492,'Infinet ExDa'!$B$2:$E$14, 0,FALSE), "Not Found"))))))))</f>
        <v>Not Found</v>
      </c>
      <c r="G492" t="str">
        <f>IFERROR(VLOOKUP($A492,'AAPT ExDa'!$B$2:$U$99, 5,FALSE), IFERROR(VLOOKUP($A492,'ABB ExDa'!$A$2:$N$184, 8,FALSE), IFERROR(VLOOKUP($A492,'Vocus SIT ExDa'!$B$2:$J$173, 6,FALSE), IFERROR(VLOOKUP($A492,'Telstra ExDa'!$B$2:$K$310, 0,FALSE), IFERROR(VLOOKUP($A492,'Vocus RVC ExDa'!$C$2:$R$155, 15,FALSE), IFERROR(VLOOKUP($A492,'Fusion ExDa'!$B$2:$D$16, 0,FALSE), IFERROR(VLOOKUP($A492,'Exetel ExDa'!$C$2:$N$14, 7,FALSE), IFERROR(VLOOKUP($A492,'Infinet ExDa'!$B$2:$E$14, 0,FALSE), "Not Found"))))))))</f>
        <v>Not Found</v>
      </c>
      <c r="H492" t="str">
        <f>IFERROR(VLOOKUP($A492,'AAPT ExDa'!$B$2:$U$99, 6,FALSE), IFERROR(VLOOKUP($A492,'ABB ExDa'!$A$2:$N$184, 0,FALSE), IFERROR(VLOOKUP($A492,'Vocus SIT ExDa'!$B$2:$J$173, 0,FALSE), IFERROR(VLOOKUP($A492,'Telstra ExDa'!$B$2:$K$310, 0,FALSE), IFERROR(VLOOKUP($A492,'Vocus RVC ExDa'!$C$2:$R$155, 16,FALSE), IFERROR(VLOOKUP($A492,'Fusion ExDa'!$B$2:$D$16, 0,FALSE), IFERROR(VLOOKUP($A492,'Exetel ExDa'!$C$2:$N$14, 0,FALSE), IFERROR(VLOOKUP($A492,'Infinet ExDa'!$B$2:$E$14, 0,FALSE), "Not Found"))))))))</f>
        <v>Not Found</v>
      </c>
      <c r="I492" t="str">
        <f>IFERROR(VLOOKUP($A492,'AAPT ExDa'!$B$2:$U$99, 0,FALSE), IFERROR(VLOOKUP($A492,'ABB ExDa'!$A$2:$N$184, 0,FALSE), IFERROR(VLOOKUP($A492,'Vocus SIT ExDa'!$B$2:$J$173, 0,FALSE), IFERROR(VLOOKUP($A492,'Telstra ExDa'!$B$2:$K$310, 0,FALSE), IFERROR(VLOOKUP($A492,'Vocus RVC ExDa'!$C$2:$R$155, 0,FALSE), IFERROR(VLOOKUP($A492,'Fusion ExDa'!$B$2:$D$16, 0,FALSE), IFERROR(VLOOKUP($A492,'Exetel ExDa'!$C$2:$N$14, 8,FALSE), IFERROR(VLOOKUP($A492,'Infinet ExDa'!$B$2:$E$14, 0,FALSE), "Not Found"))))))))</f>
        <v>Not Found</v>
      </c>
      <c r="J492" t="str">
        <f>IFERROR(VLOOKUP($A492,'AAPT ExDa'!$B$2:$U$99, 7,FALSE), IFERROR(VLOOKUP($A492,'ABB ExDa'!$A$2:$N$184, 2,FALSE), IFERROR(VLOOKUP($A492,'Vocus SIT ExDa'!$B$2:$J$173, 0,FALSE), IFERROR(VLOOKUP($A492,'Telstra ExDa'!$B$2:$K$310, 7,FALSE), IFERROR(VLOOKUP($A492,'Vocus RVC ExDa'!$C$2:$R$155, 2,FALSE), IFERROR(VLOOKUP($A492,'Fusion ExDa'!$B$2:$D$16, 3,FALSE), IFERROR(VLOOKUP($A492,'Exetel ExDa'!$C$2:$N$14, 0,FALSE), IFERROR(VLOOKUP($A492,'Infinet ExDa'!$B$2:$E$14, 0,FALSE), "Not Found"))))))))</f>
        <v>Not Found</v>
      </c>
      <c r="K492" t="str">
        <f>IFERROR(VLOOKUP($A492,'AAPT ExDa'!$B$2:$U$99, 12,FALSE), IFERROR(VLOOKUP($A492,'ABB ExDa'!$A$2:$N$184, 0,FALSE), IFERROR(VLOOKUP($A492,'Vocus SIT ExDa'!$B$2:$J$173, 0,FALSE), IFERROR(VLOOKUP($A492,'Telstra ExDa'!$B$2:$K$310, 0,FALSE), IFERROR(VLOOKUP($A492,'Vocus RVC ExDa'!$C$2:$R$155, 0,FALSE), IFERROR(VLOOKUP($A492,'Fusion ExDa'!$B$2:$D$16, 0,FALSE), IFERROR(VLOOKUP($A492,'Exetel ExDa'!$C$2:$N$14, 12,FALSE), IFERROR(VLOOKUP($A492,'Infinet ExDa'!$B$2:$E$14, 0,FALSE), "Not Found"))))))))</f>
        <v>Not Found</v>
      </c>
      <c r="L492" s="235" t="str">
        <f>IFERROR(VLOOKUP($A492,'AAPT ExDa'!$B$2:$U$99, 11,FALSE), IFERROR(VLOOKUP($A492,'ABB ExDa'!$A$2:$N$184, 9,FALSE), IFERROR(VLOOKUP($A492,'Vocus SIT ExDa'!$B$2:$J$173, 8,FALSE), IFERROR(VLOOKUP($A492,'Telstra ExDa'!$B$2:$K$310, 0,FALSE), IFERROR(VLOOKUP($A492,'Vocus RVC ExDa'!$C$2:$R$155, 0,FALSE), IFERROR(VLOOKUP($A492,'Fusion ExDa'!$B$2:$D$16, 0,FALSE), IFERROR(VLOOKUP($A492,'Exetel ExDa'!$C$2:$N$14, 9,FALSE), IFERROR(VLOOKUP($A492,'Infinet ExDa'!$B$2:$E$14, 0,FALSE), "Not Found"))))))))</f>
        <v>Not Found</v>
      </c>
      <c r="M492" s="234" t="str">
        <f>IFERROR(VLOOKUP($A492,'AAPT ExDa'!$B$2:$U$99, 0,FALSE), IFERROR(VLOOKUP($A492,'ABB ExDa'!$A$2:$N$184, 0,FALSE), IFERROR(VLOOKUP($A492,'Vocus SIT ExDa'!$B$2:$J$173, 0,FALSE), IFERROR(VLOOKUP($A492,'Telstra ExDa'!$B$2:$K$310, 0,FALSE), IFERROR(VLOOKUP($A492,'Vocus RVC ExDa'!$C$2:$R$155, 0,FALSE), IFERROR(VLOOKUP($A492,'Fusion ExDa'!$B$2:$D$16, 0,FALSE), IFERROR(VLOOKUP($A492,'Exetel ExDa'!$C$2:$N$14, 11,FALSE), IFERROR(VLOOKUP($A492,'Infinet ExDa'!$B$2:$E$14, 0,FALSE), "Not Found"))))))))</f>
        <v>Not Found</v>
      </c>
      <c r="N492" t="str">
        <f>IFERROR(VLOOKUP($A492,'AAPT ExDa'!$B$2:$U$99, 0,FALSE), IFERROR(VLOOKUP($A492,'ABB ExDa'!$A$2:$N$184, 13,FALSE), IFERROR(VLOOKUP($A492,'Vocus SIT ExDa'!$B$2:$J$173, 0,FALSE), IFERROR(VLOOKUP($A492,'Telstra ExDa'!$B$2:$K$310, 0,FALSE), IFERROR(VLOOKUP($A492,'Vocus RVC ExDa'!$C$2:$R$155, 0,FALSE), IFERROR(VLOOKUP($A492,'Fusion ExDa'!$B$2:$D$16, 0,FALSE), IFERROR(VLOOKUP($A492,'Exetel ExDa'!$C$2:$N$14, 0,FALSE), IFERROR(VLOOKUP($A492,'Infinet ExDa'!$B$2:$E$14, 0,FALSE), "Not Found"))))))))</f>
        <v>Not Found</v>
      </c>
    </row>
    <row r="493" spans="1:14">
      <c r="A493">
        <v>0</v>
      </c>
      <c r="B493" t="str">
        <f>IFERROR(VLOOKUP(A493,'Exetel ExDa'!$C$2:$N$14,4,FALSE),"No Data")</f>
        <v>No Data</v>
      </c>
      <c r="C493" t="str">
        <f>IFERROR(VLOOKUP(A493,'AAPT ExDa'!$B$2:$U$99, 2,FALSE), IFERROR(VLOOKUP(A493,'ABB ExDa'!$A$2:$N$184, 2,FALSE), IFERROR(VLOOKUP(A493,'Vocus SIT ExDa'!$B$2:$J$173, 7,FALSE), IFERROR(VLOOKUP(A493,'Telstra ExDa'!$B$2:$K$310, 2,FALSE), IFERROR(VLOOKUP(A493,'Vocus RVC ExDa'!$C$2:$R$155, 3,FALSE), IFERROR(VLOOKUP(A493,'Fusion ExDa'!$B$2:$D$16, 2,FALSE), IFERROR(VLOOKUP(A493,'Exetel ExDa'!$C$2:$N$14, 2,FALSE), IFERROR(VLOOKUP(A493,'Infinet ExDa'!$B$2:$E$14, 2,FALSE), "Not Found"))))))))</f>
        <v>Not Found</v>
      </c>
      <c r="D493" t="str">
        <f>IFERROR(VLOOKUP($A493,'AAPT ExDa'!$B$2:$U$99, 15,FALSE), IFERROR(VLOOKUP($A493,'ABB ExDa'!$A$2:$N$184, 4,FALSE), IFERROR(VLOOKUP($A493,'Vocus SIT ExDa'!$B$2:$J$173, 5,FALSE), IFERROR(VLOOKUP($A493,'Telstra ExDa'!$B$2:$K$310, 8,FALSE), IFERROR(VLOOKUP($A493,'Vocus RVC ExDa'!$C$2:$R$155, 6,FALSE), IFERROR(VLOOKUP($A493,'Fusion ExDa'!$B$2:$D$16, 4,FALSE), IFERROR(VLOOKUP($A493,'Exetel ExDa'!$C$2:$N$14, 3,FALSE), IFERROR(VLOOKUP($A493,'Infinet ExDa'!$B$2:$E$14, 3,FALSE), "Not Found"))))))))</f>
        <v>Not Found</v>
      </c>
      <c r="E493" t="str">
        <f>IFERROR(VLOOKUP($A493,'AAPT ExDa'!$B$2:$U$99, 3,FALSE), IFERROR(VLOOKUP($A493,'ABB ExDa'!$A$2:$N$184, 5,FALSE), IFERROR(VLOOKUP($A493,'Vocus SIT ExDa'!$B$2:$J$173, 2,FALSE), IFERROR(VLOOKUP($A493,'Telstra ExDa'!$B$2:$K$310, 4,FALSE), IFERROR(VLOOKUP($A493,'Vocus RVC ExDa'!$C$2:$R$155, 8,FALSE), IFERROR(VLOOKUP($A493,'Fusion ExDa'!$B$2:$D$16, 4,FALSE), IFERROR(VLOOKUP($A493,'Exetel ExDa'!$C$2:$N$14, 5,FALSE), IFERROR(VLOOKUP($A493,'Infinet ExDa'!$B$2:$E$14, 3,FALSE), "Not Found"))))))))</f>
        <v>Not Found</v>
      </c>
      <c r="F493" t="str">
        <f>IFERROR(VLOOKUP($A493,'AAPT ExDa'!$B$2:$U$99, 4,FALSE), IFERROR(VLOOKUP($A493,'ABB ExDa'!$A$2:$N$184, 6,FALSE), IFERROR(VLOOKUP($A493,'Vocus SIT ExDa'!$B$2:$J$173, 3,FALSE), IFERROR(VLOOKUP($A493,'Telstra ExDa'!$B$2:$K$310, 5,FALSE), IFERROR(VLOOKUP($A493,'Vocus RVC ExDa'!$C$2:$R$155, 9,FALSE), IFERROR(VLOOKUP($A493,'Fusion ExDa'!$B$2:$D$16, 0,FALSE), IFERROR(VLOOKUP($A493,'Exetel ExDa'!$C$2:$N$14, 6,FALSE), IFERROR(VLOOKUP($A493,'Infinet ExDa'!$B$2:$E$14, 0,FALSE), "Not Found"))))))))</f>
        <v>Not Found</v>
      </c>
      <c r="G493" t="str">
        <f>IFERROR(VLOOKUP($A493,'AAPT ExDa'!$B$2:$U$99, 5,FALSE), IFERROR(VLOOKUP($A493,'ABB ExDa'!$A$2:$N$184, 8,FALSE), IFERROR(VLOOKUP($A493,'Vocus SIT ExDa'!$B$2:$J$173, 6,FALSE), IFERROR(VLOOKUP($A493,'Telstra ExDa'!$B$2:$K$310, 0,FALSE), IFERROR(VLOOKUP($A493,'Vocus RVC ExDa'!$C$2:$R$155, 15,FALSE), IFERROR(VLOOKUP($A493,'Fusion ExDa'!$B$2:$D$16, 0,FALSE), IFERROR(VLOOKUP($A493,'Exetel ExDa'!$C$2:$N$14, 7,FALSE), IFERROR(VLOOKUP($A493,'Infinet ExDa'!$B$2:$E$14, 0,FALSE), "Not Found"))))))))</f>
        <v>Not Found</v>
      </c>
      <c r="H493" t="str">
        <f>IFERROR(VLOOKUP($A493,'AAPT ExDa'!$B$2:$U$99, 6,FALSE), IFERROR(VLOOKUP($A493,'ABB ExDa'!$A$2:$N$184, 0,FALSE), IFERROR(VLOOKUP($A493,'Vocus SIT ExDa'!$B$2:$J$173, 0,FALSE), IFERROR(VLOOKUP($A493,'Telstra ExDa'!$B$2:$K$310, 0,FALSE), IFERROR(VLOOKUP($A493,'Vocus RVC ExDa'!$C$2:$R$155, 16,FALSE), IFERROR(VLOOKUP($A493,'Fusion ExDa'!$B$2:$D$16, 0,FALSE), IFERROR(VLOOKUP($A493,'Exetel ExDa'!$C$2:$N$14, 0,FALSE), IFERROR(VLOOKUP($A493,'Infinet ExDa'!$B$2:$E$14, 0,FALSE), "Not Found"))))))))</f>
        <v>Not Found</v>
      </c>
      <c r="I493" t="str">
        <f>IFERROR(VLOOKUP($A493,'AAPT ExDa'!$B$2:$U$99, 0,FALSE), IFERROR(VLOOKUP($A493,'ABB ExDa'!$A$2:$N$184, 0,FALSE), IFERROR(VLOOKUP($A493,'Vocus SIT ExDa'!$B$2:$J$173, 0,FALSE), IFERROR(VLOOKUP($A493,'Telstra ExDa'!$B$2:$K$310, 0,FALSE), IFERROR(VLOOKUP($A493,'Vocus RVC ExDa'!$C$2:$R$155, 0,FALSE), IFERROR(VLOOKUP($A493,'Fusion ExDa'!$B$2:$D$16, 0,FALSE), IFERROR(VLOOKUP($A493,'Exetel ExDa'!$C$2:$N$14, 8,FALSE), IFERROR(VLOOKUP($A493,'Infinet ExDa'!$B$2:$E$14, 0,FALSE), "Not Found"))))))))</f>
        <v>Not Found</v>
      </c>
      <c r="J493" t="str">
        <f>IFERROR(VLOOKUP($A493,'AAPT ExDa'!$B$2:$U$99, 7,FALSE), IFERROR(VLOOKUP($A493,'ABB ExDa'!$A$2:$N$184, 2,FALSE), IFERROR(VLOOKUP($A493,'Vocus SIT ExDa'!$B$2:$J$173, 0,FALSE), IFERROR(VLOOKUP($A493,'Telstra ExDa'!$B$2:$K$310, 7,FALSE), IFERROR(VLOOKUP($A493,'Vocus RVC ExDa'!$C$2:$R$155, 2,FALSE), IFERROR(VLOOKUP($A493,'Fusion ExDa'!$B$2:$D$16, 3,FALSE), IFERROR(VLOOKUP($A493,'Exetel ExDa'!$C$2:$N$14, 0,FALSE), IFERROR(VLOOKUP($A493,'Infinet ExDa'!$B$2:$E$14, 0,FALSE), "Not Found"))))))))</f>
        <v>Not Found</v>
      </c>
      <c r="K493" t="str">
        <f>IFERROR(VLOOKUP($A493,'AAPT ExDa'!$B$2:$U$99, 12,FALSE), IFERROR(VLOOKUP($A493,'ABB ExDa'!$A$2:$N$184, 0,FALSE), IFERROR(VLOOKUP($A493,'Vocus SIT ExDa'!$B$2:$J$173, 0,FALSE), IFERROR(VLOOKUP($A493,'Telstra ExDa'!$B$2:$K$310, 0,FALSE), IFERROR(VLOOKUP($A493,'Vocus RVC ExDa'!$C$2:$R$155, 0,FALSE), IFERROR(VLOOKUP($A493,'Fusion ExDa'!$B$2:$D$16, 0,FALSE), IFERROR(VLOOKUP($A493,'Exetel ExDa'!$C$2:$N$14, 12,FALSE), IFERROR(VLOOKUP($A493,'Infinet ExDa'!$B$2:$E$14, 0,FALSE), "Not Found"))))))))</f>
        <v>Not Found</v>
      </c>
      <c r="L493" s="235" t="str">
        <f>IFERROR(VLOOKUP($A493,'AAPT ExDa'!$B$2:$U$99, 11,FALSE), IFERROR(VLOOKUP($A493,'ABB ExDa'!$A$2:$N$184, 9,FALSE), IFERROR(VLOOKUP($A493,'Vocus SIT ExDa'!$B$2:$J$173, 8,FALSE), IFERROR(VLOOKUP($A493,'Telstra ExDa'!$B$2:$K$310, 0,FALSE), IFERROR(VLOOKUP($A493,'Vocus RVC ExDa'!$C$2:$R$155, 0,FALSE), IFERROR(VLOOKUP($A493,'Fusion ExDa'!$B$2:$D$16, 0,FALSE), IFERROR(VLOOKUP($A493,'Exetel ExDa'!$C$2:$N$14, 9,FALSE), IFERROR(VLOOKUP($A493,'Infinet ExDa'!$B$2:$E$14, 0,FALSE), "Not Found"))))))))</f>
        <v>Not Found</v>
      </c>
      <c r="M493" s="234" t="str">
        <f>IFERROR(VLOOKUP($A493,'AAPT ExDa'!$B$2:$U$99, 0,FALSE), IFERROR(VLOOKUP($A493,'ABB ExDa'!$A$2:$N$184, 0,FALSE), IFERROR(VLOOKUP($A493,'Vocus SIT ExDa'!$B$2:$J$173, 0,FALSE), IFERROR(VLOOKUP($A493,'Telstra ExDa'!$B$2:$K$310, 0,FALSE), IFERROR(VLOOKUP($A493,'Vocus RVC ExDa'!$C$2:$R$155, 0,FALSE), IFERROR(VLOOKUP($A493,'Fusion ExDa'!$B$2:$D$16, 0,FALSE), IFERROR(VLOOKUP($A493,'Exetel ExDa'!$C$2:$N$14, 11,FALSE), IFERROR(VLOOKUP($A493,'Infinet ExDa'!$B$2:$E$14, 0,FALSE), "Not Found"))))))))</f>
        <v>Not Found</v>
      </c>
      <c r="N493" t="str">
        <f>IFERROR(VLOOKUP($A493,'AAPT ExDa'!$B$2:$U$99, 0,FALSE), IFERROR(VLOOKUP($A493,'ABB ExDa'!$A$2:$N$184, 13,FALSE), IFERROR(VLOOKUP($A493,'Vocus SIT ExDa'!$B$2:$J$173, 0,FALSE), IFERROR(VLOOKUP($A493,'Telstra ExDa'!$B$2:$K$310, 0,FALSE), IFERROR(VLOOKUP($A493,'Vocus RVC ExDa'!$C$2:$R$155, 0,FALSE), IFERROR(VLOOKUP($A493,'Fusion ExDa'!$B$2:$D$16, 0,FALSE), IFERROR(VLOOKUP($A493,'Exetel ExDa'!$C$2:$N$14, 0,FALSE), IFERROR(VLOOKUP($A493,'Infinet ExDa'!$B$2:$E$14, 0,FALSE), "Not Found"))))))))</f>
        <v>Not Found</v>
      </c>
    </row>
    <row r="494" spans="1:14">
      <c r="A494">
        <v>0</v>
      </c>
      <c r="B494" t="str">
        <f>IFERROR(VLOOKUP(A494,'Exetel ExDa'!$C$2:$N$14,4,FALSE),"No Data")</f>
        <v>No Data</v>
      </c>
      <c r="C494" t="str">
        <f>IFERROR(VLOOKUP(A494,'AAPT ExDa'!$B$2:$U$99, 2,FALSE), IFERROR(VLOOKUP(A494,'ABB ExDa'!$A$2:$N$184, 2,FALSE), IFERROR(VLOOKUP(A494,'Vocus SIT ExDa'!$B$2:$J$173, 7,FALSE), IFERROR(VLOOKUP(A494,'Telstra ExDa'!$B$2:$K$310, 2,FALSE), IFERROR(VLOOKUP(A494,'Vocus RVC ExDa'!$C$2:$R$155, 3,FALSE), IFERROR(VLOOKUP(A494,'Fusion ExDa'!$B$2:$D$16, 2,FALSE), IFERROR(VLOOKUP(A494,'Exetel ExDa'!$C$2:$N$14, 2,FALSE), IFERROR(VLOOKUP(A494,'Infinet ExDa'!$B$2:$E$14, 2,FALSE), "Not Found"))))))))</f>
        <v>Not Found</v>
      </c>
      <c r="D494" t="str">
        <f>IFERROR(VLOOKUP($A494,'AAPT ExDa'!$B$2:$U$99, 15,FALSE), IFERROR(VLOOKUP($A494,'ABB ExDa'!$A$2:$N$184, 4,FALSE), IFERROR(VLOOKUP($A494,'Vocus SIT ExDa'!$B$2:$J$173, 5,FALSE), IFERROR(VLOOKUP($A494,'Telstra ExDa'!$B$2:$K$310, 8,FALSE), IFERROR(VLOOKUP($A494,'Vocus RVC ExDa'!$C$2:$R$155, 6,FALSE), IFERROR(VLOOKUP($A494,'Fusion ExDa'!$B$2:$D$16, 4,FALSE), IFERROR(VLOOKUP($A494,'Exetel ExDa'!$C$2:$N$14, 3,FALSE), IFERROR(VLOOKUP($A494,'Infinet ExDa'!$B$2:$E$14, 3,FALSE), "Not Found"))))))))</f>
        <v>Not Found</v>
      </c>
      <c r="E494" t="str">
        <f>IFERROR(VLOOKUP($A494,'AAPT ExDa'!$B$2:$U$99, 3,FALSE), IFERROR(VLOOKUP($A494,'ABB ExDa'!$A$2:$N$184, 5,FALSE), IFERROR(VLOOKUP($A494,'Vocus SIT ExDa'!$B$2:$J$173, 2,FALSE), IFERROR(VLOOKUP($A494,'Telstra ExDa'!$B$2:$K$310, 4,FALSE), IFERROR(VLOOKUP($A494,'Vocus RVC ExDa'!$C$2:$R$155, 8,FALSE), IFERROR(VLOOKUP($A494,'Fusion ExDa'!$B$2:$D$16, 4,FALSE), IFERROR(VLOOKUP($A494,'Exetel ExDa'!$C$2:$N$14, 5,FALSE), IFERROR(VLOOKUP($A494,'Infinet ExDa'!$B$2:$E$14, 3,FALSE), "Not Found"))))))))</f>
        <v>Not Found</v>
      </c>
      <c r="F494" t="str">
        <f>IFERROR(VLOOKUP($A494,'AAPT ExDa'!$B$2:$U$99, 4,FALSE), IFERROR(VLOOKUP($A494,'ABB ExDa'!$A$2:$N$184, 6,FALSE), IFERROR(VLOOKUP($A494,'Vocus SIT ExDa'!$B$2:$J$173, 3,FALSE), IFERROR(VLOOKUP($A494,'Telstra ExDa'!$B$2:$K$310, 5,FALSE), IFERROR(VLOOKUP($A494,'Vocus RVC ExDa'!$C$2:$R$155, 9,FALSE), IFERROR(VLOOKUP($A494,'Fusion ExDa'!$B$2:$D$16, 0,FALSE), IFERROR(VLOOKUP($A494,'Exetel ExDa'!$C$2:$N$14, 6,FALSE), IFERROR(VLOOKUP($A494,'Infinet ExDa'!$B$2:$E$14, 0,FALSE), "Not Found"))))))))</f>
        <v>Not Found</v>
      </c>
      <c r="G494" t="str">
        <f>IFERROR(VLOOKUP($A494,'AAPT ExDa'!$B$2:$U$99, 5,FALSE), IFERROR(VLOOKUP($A494,'ABB ExDa'!$A$2:$N$184, 8,FALSE), IFERROR(VLOOKUP($A494,'Vocus SIT ExDa'!$B$2:$J$173, 6,FALSE), IFERROR(VLOOKUP($A494,'Telstra ExDa'!$B$2:$K$310, 0,FALSE), IFERROR(VLOOKUP($A494,'Vocus RVC ExDa'!$C$2:$R$155, 15,FALSE), IFERROR(VLOOKUP($A494,'Fusion ExDa'!$B$2:$D$16, 0,FALSE), IFERROR(VLOOKUP($A494,'Exetel ExDa'!$C$2:$N$14, 7,FALSE), IFERROR(VLOOKUP($A494,'Infinet ExDa'!$B$2:$E$14, 0,FALSE), "Not Found"))))))))</f>
        <v>Not Found</v>
      </c>
      <c r="H494" t="str">
        <f>IFERROR(VLOOKUP($A494,'AAPT ExDa'!$B$2:$U$99, 6,FALSE), IFERROR(VLOOKUP($A494,'ABB ExDa'!$A$2:$N$184, 0,FALSE), IFERROR(VLOOKUP($A494,'Vocus SIT ExDa'!$B$2:$J$173, 0,FALSE), IFERROR(VLOOKUP($A494,'Telstra ExDa'!$B$2:$K$310, 0,FALSE), IFERROR(VLOOKUP($A494,'Vocus RVC ExDa'!$C$2:$R$155, 16,FALSE), IFERROR(VLOOKUP($A494,'Fusion ExDa'!$B$2:$D$16, 0,FALSE), IFERROR(VLOOKUP($A494,'Exetel ExDa'!$C$2:$N$14, 0,FALSE), IFERROR(VLOOKUP($A494,'Infinet ExDa'!$B$2:$E$14, 0,FALSE), "Not Found"))))))))</f>
        <v>Not Found</v>
      </c>
      <c r="I494" t="str">
        <f>IFERROR(VLOOKUP($A494,'AAPT ExDa'!$B$2:$U$99, 0,FALSE), IFERROR(VLOOKUP($A494,'ABB ExDa'!$A$2:$N$184, 0,FALSE), IFERROR(VLOOKUP($A494,'Vocus SIT ExDa'!$B$2:$J$173, 0,FALSE), IFERROR(VLOOKUP($A494,'Telstra ExDa'!$B$2:$K$310, 0,FALSE), IFERROR(VLOOKUP($A494,'Vocus RVC ExDa'!$C$2:$R$155, 0,FALSE), IFERROR(VLOOKUP($A494,'Fusion ExDa'!$B$2:$D$16, 0,FALSE), IFERROR(VLOOKUP($A494,'Exetel ExDa'!$C$2:$N$14, 8,FALSE), IFERROR(VLOOKUP($A494,'Infinet ExDa'!$B$2:$E$14, 0,FALSE), "Not Found"))))))))</f>
        <v>Not Found</v>
      </c>
      <c r="J494" t="str">
        <f>IFERROR(VLOOKUP($A494,'AAPT ExDa'!$B$2:$U$99, 7,FALSE), IFERROR(VLOOKUP($A494,'ABB ExDa'!$A$2:$N$184, 2,FALSE), IFERROR(VLOOKUP($A494,'Vocus SIT ExDa'!$B$2:$J$173, 0,FALSE), IFERROR(VLOOKUP($A494,'Telstra ExDa'!$B$2:$K$310, 7,FALSE), IFERROR(VLOOKUP($A494,'Vocus RVC ExDa'!$C$2:$R$155, 2,FALSE), IFERROR(VLOOKUP($A494,'Fusion ExDa'!$B$2:$D$16, 3,FALSE), IFERROR(VLOOKUP($A494,'Exetel ExDa'!$C$2:$N$14, 0,FALSE), IFERROR(VLOOKUP($A494,'Infinet ExDa'!$B$2:$E$14, 0,FALSE), "Not Found"))))))))</f>
        <v>Not Found</v>
      </c>
      <c r="K494" t="str">
        <f>IFERROR(VLOOKUP($A494,'AAPT ExDa'!$B$2:$U$99, 12,FALSE), IFERROR(VLOOKUP($A494,'ABB ExDa'!$A$2:$N$184, 0,FALSE), IFERROR(VLOOKUP($A494,'Vocus SIT ExDa'!$B$2:$J$173, 0,FALSE), IFERROR(VLOOKUP($A494,'Telstra ExDa'!$B$2:$K$310, 0,FALSE), IFERROR(VLOOKUP($A494,'Vocus RVC ExDa'!$C$2:$R$155, 0,FALSE), IFERROR(VLOOKUP($A494,'Fusion ExDa'!$B$2:$D$16, 0,FALSE), IFERROR(VLOOKUP($A494,'Exetel ExDa'!$C$2:$N$14, 12,FALSE), IFERROR(VLOOKUP($A494,'Infinet ExDa'!$B$2:$E$14, 0,FALSE), "Not Found"))))))))</f>
        <v>Not Found</v>
      </c>
      <c r="L494" s="235" t="str">
        <f>IFERROR(VLOOKUP($A494,'AAPT ExDa'!$B$2:$U$99, 11,FALSE), IFERROR(VLOOKUP($A494,'ABB ExDa'!$A$2:$N$184, 9,FALSE), IFERROR(VLOOKUP($A494,'Vocus SIT ExDa'!$B$2:$J$173, 8,FALSE), IFERROR(VLOOKUP($A494,'Telstra ExDa'!$B$2:$K$310, 0,FALSE), IFERROR(VLOOKUP($A494,'Vocus RVC ExDa'!$C$2:$R$155, 0,FALSE), IFERROR(VLOOKUP($A494,'Fusion ExDa'!$B$2:$D$16, 0,FALSE), IFERROR(VLOOKUP($A494,'Exetel ExDa'!$C$2:$N$14, 9,FALSE), IFERROR(VLOOKUP($A494,'Infinet ExDa'!$B$2:$E$14, 0,FALSE), "Not Found"))))))))</f>
        <v>Not Found</v>
      </c>
      <c r="M494" s="234" t="str">
        <f>IFERROR(VLOOKUP($A494,'AAPT ExDa'!$B$2:$U$99, 0,FALSE), IFERROR(VLOOKUP($A494,'ABB ExDa'!$A$2:$N$184, 0,FALSE), IFERROR(VLOOKUP($A494,'Vocus SIT ExDa'!$B$2:$J$173, 0,FALSE), IFERROR(VLOOKUP($A494,'Telstra ExDa'!$B$2:$K$310, 0,FALSE), IFERROR(VLOOKUP($A494,'Vocus RVC ExDa'!$C$2:$R$155, 0,FALSE), IFERROR(VLOOKUP($A494,'Fusion ExDa'!$B$2:$D$16, 0,FALSE), IFERROR(VLOOKUP($A494,'Exetel ExDa'!$C$2:$N$14, 11,FALSE), IFERROR(VLOOKUP($A494,'Infinet ExDa'!$B$2:$E$14, 0,FALSE), "Not Found"))))))))</f>
        <v>Not Found</v>
      </c>
      <c r="N494" t="str">
        <f>IFERROR(VLOOKUP($A494,'AAPT ExDa'!$B$2:$U$99, 0,FALSE), IFERROR(VLOOKUP($A494,'ABB ExDa'!$A$2:$N$184, 13,FALSE), IFERROR(VLOOKUP($A494,'Vocus SIT ExDa'!$B$2:$J$173, 0,FALSE), IFERROR(VLOOKUP($A494,'Telstra ExDa'!$B$2:$K$310, 0,FALSE), IFERROR(VLOOKUP($A494,'Vocus RVC ExDa'!$C$2:$R$155, 0,FALSE), IFERROR(VLOOKUP($A494,'Fusion ExDa'!$B$2:$D$16, 0,FALSE), IFERROR(VLOOKUP($A494,'Exetel ExDa'!$C$2:$N$14, 0,FALSE), IFERROR(VLOOKUP($A494,'Infinet ExDa'!$B$2:$E$14, 0,FALSE), "Not Found"))))))))</f>
        <v>Not Found</v>
      </c>
    </row>
    <row r="495" spans="1:14">
      <c r="A495">
        <v>0</v>
      </c>
      <c r="B495" t="str">
        <f>IFERROR(VLOOKUP(A495,'Exetel ExDa'!$C$2:$N$14,4,FALSE),"No Data")</f>
        <v>No Data</v>
      </c>
      <c r="C495" t="str">
        <f>IFERROR(VLOOKUP(A495,'AAPT ExDa'!$B$2:$U$99, 2,FALSE), IFERROR(VLOOKUP(A495,'ABB ExDa'!$A$2:$N$184, 2,FALSE), IFERROR(VLOOKUP(A495,'Vocus SIT ExDa'!$B$2:$J$173, 7,FALSE), IFERROR(VLOOKUP(A495,'Telstra ExDa'!$B$2:$K$310, 2,FALSE), IFERROR(VLOOKUP(A495,'Vocus RVC ExDa'!$C$2:$R$155, 3,FALSE), IFERROR(VLOOKUP(A495,'Fusion ExDa'!$B$2:$D$16, 2,FALSE), IFERROR(VLOOKUP(A495,'Exetel ExDa'!$C$2:$N$14, 2,FALSE), IFERROR(VLOOKUP(A495,'Infinet ExDa'!$B$2:$E$14, 2,FALSE), "Not Found"))))))))</f>
        <v>Not Found</v>
      </c>
      <c r="D495" t="str">
        <f>IFERROR(VLOOKUP($A495,'AAPT ExDa'!$B$2:$U$99, 15,FALSE), IFERROR(VLOOKUP($A495,'ABB ExDa'!$A$2:$N$184, 4,FALSE), IFERROR(VLOOKUP($A495,'Vocus SIT ExDa'!$B$2:$J$173, 5,FALSE), IFERROR(VLOOKUP($A495,'Telstra ExDa'!$B$2:$K$310, 8,FALSE), IFERROR(VLOOKUP($A495,'Vocus RVC ExDa'!$C$2:$R$155, 6,FALSE), IFERROR(VLOOKUP($A495,'Fusion ExDa'!$B$2:$D$16, 4,FALSE), IFERROR(VLOOKUP($A495,'Exetel ExDa'!$C$2:$N$14, 3,FALSE), IFERROR(VLOOKUP($A495,'Infinet ExDa'!$B$2:$E$14, 3,FALSE), "Not Found"))))))))</f>
        <v>Not Found</v>
      </c>
      <c r="E495" t="str">
        <f>IFERROR(VLOOKUP($A495,'AAPT ExDa'!$B$2:$U$99, 3,FALSE), IFERROR(VLOOKUP($A495,'ABB ExDa'!$A$2:$N$184, 5,FALSE), IFERROR(VLOOKUP($A495,'Vocus SIT ExDa'!$B$2:$J$173, 2,FALSE), IFERROR(VLOOKUP($A495,'Telstra ExDa'!$B$2:$K$310, 4,FALSE), IFERROR(VLOOKUP($A495,'Vocus RVC ExDa'!$C$2:$R$155, 8,FALSE), IFERROR(VLOOKUP($A495,'Fusion ExDa'!$B$2:$D$16, 4,FALSE), IFERROR(VLOOKUP($A495,'Exetel ExDa'!$C$2:$N$14, 5,FALSE), IFERROR(VLOOKUP($A495,'Infinet ExDa'!$B$2:$E$14, 3,FALSE), "Not Found"))))))))</f>
        <v>Not Found</v>
      </c>
      <c r="F495" t="str">
        <f>IFERROR(VLOOKUP($A495,'AAPT ExDa'!$B$2:$U$99, 4,FALSE), IFERROR(VLOOKUP($A495,'ABB ExDa'!$A$2:$N$184, 6,FALSE), IFERROR(VLOOKUP($A495,'Vocus SIT ExDa'!$B$2:$J$173, 3,FALSE), IFERROR(VLOOKUP($A495,'Telstra ExDa'!$B$2:$K$310, 5,FALSE), IFERROR(VLOOKUP($A495,'Vocus RVC ExDa'!$C$2:$R$155, 9,FALSE), IFERROR(VLOOKUP($A495,'Fusion ExDa'!$B$2:$D$16, 0,FALSE), IFERROR(VLOOKUP($A495,'Exetel ExDa'!$C$2:$N$14, 6,FALSE), IFERROR(VLOOKUP($A495,'Infinet ExDa'!$B$2:$E$14, 0,FALSE), "Not Found"))))))))</f>
        <v>Not Found</v>
      </c>
      <c r="G495" t="str">
        <f>IFERROR(VLOOKUP($A495,'AAPT ExDa'!$B$2:$U$99, 5,FALSE), IFERROR(VLOOKUP($A495,'ABB ExDa'!$A$2:$N$184, 8,FALSE), IFERROR(VLOOKUP($A495,'Vocus SIT ExDa'!$B$2:$J$173, 6,FALSE), IFERROR(VLOOKUP($A495,'Telstra ExDa'!$B$2:$K$310, 0,FALSE), IFERROR(VLOOKUP($A495,'Vocus RVC ExDa'!$C$2:$R$155, 15,FALSE), IFERROR(VLOOKUP($A495,'Fusion ExDa'!$B$2:$D$16, 0,FALSE), IFERROR(VLOOKUP($A495,'Exetel ExDa'!$C$2:$N$14, 7,FALSE), IFERROR(VLOOKUP($A495,'Infinet ExDa'!$B$2:$E$14, 0,FALSE), "Not Found"))))))))</f>
        <v>Not Found</v>
      </c>
      <c r="H495" t="str">
        <f>IFERROR(VLOOKUP($A495,'AAPT ExDa'!$B$2:$U$99, 6,FALSE), IFERROR(VLOOKUP($A495,'ABB ExDa'!$A$2:$N$184, 0,FALSE), IFERROR(VLOOKUP($A495,'Vocus SIT ExDa'!$B$2:$J$173, 0,FALSE), IFERROR(VLOOKUP($A495,'Telstra ExDa'!$B$2:$K$310, 0,FALSE), IFERROR(VLOOKUP($A495,'Vocus RVC ExDa'!$C$2:$R$155, 16,FALSE), IFERROR(VLOOKUP($A495,'Fusion ExDa'!$B$2:$D$16, 0,FALSE), IFERROR(VLOOKUP($A495,'Exetel ExDa'!$C$2:$N$14, 0,FALSE), IFERROR(VLOOKUP($A495,'Infinet ExDa'!$B$2:$E$14, 0,FALSE), "Not Found"))))))))</f>
        <v>Not Found</v>
      </c>
      <c r="I495" t="str">
        <f>IFERROR(VLOOKUP($A495,'AAPT ExDa'!$B$2:$U$99, 0,FALSE), IFERROR(VLOOKUP($A495,'ABB ExDa'!$A$2:$N$184, 0,FALSE), IFERROR(VLOOKUP($A495,'Vocus SIT ExDa'!$B$2:$J$173, 0,FALSE), IFERROR(VLOOKUP($A495,'Telstra ExDa'!$B$2:$K$310, 0,FALSE), IFERROR(VLOOKUP($A495,'Vocus RVC ExDa'!$C$2:$R$155, 0,FALSE), IFERROR(VLOOKUP($A495,'Fusion ExDa'!$B$2:$D$16, 0,FALSE), IFERROR(VLOOKUP($A495,'Exetel ExDa'!$C$2:$N$14, 8,FALSE), IFERROR(VLOOKUP($A495,'Infinet ExDa'!$B$2:$E$14, 0,FALSE), "Not Found"))))))))</f>
        <v>Not Found</v>
      </c>
      <c r="J495" t="str">
        <f>IFERROR(VLOOKUP($A495,'AAPT ExDa'!$B$2:$U$99, 7,FALSE), IFERROR(VLOOKUP($A495,'ABB ExDa'!$A$2:$N$184, 2,FALSE), IFERROR(VLOOKUP($A495,'Vocus SIT ExDa'!$B$2:$J$173, 0,FALSE), IFERROR(VLOOKUP($A495,'Telstra ExDa'!$B$2:$K$310, 7,FALSE), IFERROR(VLOOKUP($A495,'Vocus RVC ExDa'!$C$2:$R$155, 2,FALSE), IFERROR(VLOOKUP($A495,'Fusion ExDa'!$B$2:$D$16, 3,FALSE), IFERROR(VLOOKUP($A495,'Exetel ExDa'!$C$2:$N$14, 0,FALSE), IFERROR(VLOOKUP($A495,'Infinet ExDa'!$B$2:$E$14, 0,FALSE), "Not Found"))))))))</f>
        <v>Not Found</v>
      </c>
      <c r="K495" t="str">
        <f>IFERROR(VLOOKUP($A495,'AAPT ExDa'!$B$2:$U$99, 12,FALSE), IFERROR(VLOOKUP($A495,'ABB ExDa'!$A$2:$N$184, 0,FALSE), IFERROR(VLOOKUP($A495,'Vocus SIT ExDa'!$B$2:$J$173, 0,FALSE), IFERROR(VLOOKUP($A495,'Telstra ExDa'!$B$2:$K$310, 0,FALSE), IFERROR(VLOOKUP($A495,'Vocus RVC ExDa'!$C$2:$R$155, 0,FALSE), IFERROR(VLOOKUP($A495,'Fusion ExDa'!$B$2:$D$16, 0,FALSE), IFERROR(VLOOKUP($A495,'Exetel ExDa'!$C$2:$N$14, 12,FALSE), IFERROR(VLOOKUP($A495,'Infinet ExDa'!$B$2:$E$14, 0,FALSE), "Not Found"))))))))</f>
        <v>Not Found</v>
      </c>
      <c r="L495" s="235" t="str">
        <f>IFERROR(VLOOKUP($A495,'AAPT ExDa'!$B$2:$U$99, 11,FALSE), IFERROR(VLOOKUP($A495,'ABB ExDa'!$A$2:$N$184, 9,FALSE), IFERROR(VLOOKUP($A495,'Vocus SIT ExDa'!$B$2:$J$173, 8,FALSE), IFERROR(VLOOKUP($A495,'Telstra ExDa'!$B$2:$K$310, 0,FALSE), IFERROR(VLOOKUP($A495,'Vocus RVC ExDa'!$C$2:$R$155, 0,FALSE), IFERROR(VLOOKUP($A495,'Fusion ExDa'!$B$2:$D$16, 0,FALSE), IFERROR(VLOOKUP($A495,'Exetel ExDa'!$C$2:$N$14, 9,FALSE), IFERROR(VLOOKUP($A495,'Infinet ExDa'!$B$2:$E$14, 0,FALSE), "Not Found"))))))))</f>
        <v>Not Found</v>
      </c>
      <c r="M495" s="234" t="str">
        <f>IFERROR(VLOOKUP($A495,'AAPT ExDa'!$B$2:$U$99, 0,FALSE), IFERROR(VLOOKUP($A495,'ABB ExDa'!$A$2:$N$184, 0,FALSE), IFERROR(VLOOKUP($A495,'Vocus SIT ExDa'!$B$2:$J$173, 0,FALSE), IFERROR(VLOOKUP($A495,'Telstra ExDa'!$B$2:$K$310, 0,FALSE), IFERROR(VLOOKUP($A495,'Vocus RVC ExDa'!$C$2:$R$155, 0,FALSE), IFERROR(VLOOKUP($A495,'Fusion ExDa'!$B$2:$D$16, 0,FALSE), IFERROR(VLOOKUP($A495,'Exetel ExDa'!$C$2:$N$14, 11,FALSE), IFERROR(VLOOKUP($A495,'Infinet ExDa'!$B$2:$E$14, 0,FALSE), "Not Found"))))))))</f>
        <v>Not Found</v>
      </c>
      <c r="N495" t="str">
        <f>IFERROR(VLOOKUP($A495,'AAPT ExDa'!$B$2:$U$99, 0,FALSE), IFERROR(VLOOKUP($A495,'ABB ExDa'!$A$2:$N$184, 13,FALSE), IFERROR(VLOOKUP($A495,'Vocus SIT ExDa'!$B$2:$J$173, 0,FALSE), IFERROR(VLOOKUP($A495,'Telstra ExDa'!$B$2:$K$310, 0,FALSE), IFERROR(VLOOKUP($A495,'Vocus RVC ExDa'!$C$2:$R$155, 0,FALSE), IFERROR(VLOOKUP($A495,'Fusion ExDa'!$B$2:$D$16, 0,FALSE), IFERROR(VLOOKUP($A495,'Exetel ExDa'!$C$2:$N$14, 0,FALSE), IFERROR(VLOOKUP($A495,'Infinet ExDa'!$B$2:$E$14, 0,FALSE), "Not Found"))))))))</f>
        <v>Not Found</v>
      </c>
    </row>
    <row r="496" spans="1:14">
      <c r="A496">
        <v>0</v>
      </c>
      <c r="B496" t="str">
        <f>IFERROR(VLOOKUP(A496,'Exetel ExDa'!$C$2:$N$14,4,FALSE),"No Data")</f>
        <v>No Data</v>
      </c>
      <c r="C496" t="str">
        <f>IFERROR(VLOOKUP(A496,'AAPT ExDa'!$B$2:$U$99, 2,FALSE), IFERROR(VLOOKUP(A496,'ABB ExDa'!$A$2:$N$184, 2,FALSE), IFERROR(VLOOKUP(A496,'Vocus SIT ExDa'!$B$2:$J$173, 7,FALSE), IFERROR(VLOOKUP(A496,'Telstra ExDa'!$B$2:$K$310, 2,FALSE), IFERROR(VLOOKUP(A496,'Vocus RVC ExDa'!$C$2:$R$155, 3,FALSE), IFERROR(VLOOKUP(A496,'Fusion ExDa'!$B$2:$D$16, 2,FALSE), IFERROR(VLOOKUP(A496,'Exetel ExDa'!$C$2:$N$14, 2,FALSE), IFERROR(VLOOKUP(A496,'Infinet ExDa'!$B$2:$E$14, 2,FALSE), "Not Found"))))))))</f>
        <v>Not Found</v>
      </c>
      <c r="D496" t="str">
        <f>IFERROR(VLOOKUP($A496,'AAPT ExDa'!$B$2:$U$99, 15,FALSE), IFERROR(VLOOKUP($A496,'ABB ExDa'!$A$2:$N$184, 4,FALSE), IFERROR(VLOOKUP($A496,'Vocus SIT ExDa'!$B$2:$J$173, 5,FALSE), IFERROR(VLOOKUP($A496,'Telstra ExDa'!$B$2:$K$310, 8,FALSE), IFERROR(VLOOKUP($A496,'Vocus RVC ExDa'!$C$2:$R$155, 6,FALSE), IFERROR(VLOOKUP($A496,'Fusion ExDa'!$B$2:$D$16, 4,FALSE), IFERROR(VLOOKUP($A496,'Exetel ExDa'!$C$2:$N$14, 3,FALSE), IFERROR(VLOOKUP($A496,'Infinet ExDa'!$B$2:$E$14, 3,FALSE), "Not Found"))))))))</f>
        <v>Not Found</v>
      </c>
      <c r="E496" t="str">
        <f>IFERROR(VLOOKUP($A496,'AAPT ExDa'!$B$2:$U$99, 3,FALSE), IFERROR(VLOOKUP($A496,'ABB ExDa'!$A$2:$N$184, 5,FALSE), IFERROR(VLOOKUP($A496,'Vocus SIT ExDa'!$B$2:$J$173, 2,FALSE), IFERROR(VLOOKUP($A496,'Telstra ExDa'!$B$2:$K$310, 4,FALSE), IFERROR(VLOOKUP($A496,'Vocus RVC ExDa'!$C$2:$R$155, 8,FALSE), IFERROR(VLOOKUP($A496,'Fusion ExDa'!$B$2:$D$16, 4,FALSE), IFERROR(VLOOKUP($A496,'Exetel ExDa'!$C$2:$N$14, 5,FALSE), IFERROR(VLOOKUP($A496,'Infinet ExDa'!$B$2:$E$14, 3,FALSE), "Not Found"))))))))</f>
        <v>Not Found</v>
      </c>
      <c r="F496" t="str">
        <f>IFERROR(VLOOKUP($A496,'AAPT ExDa'!$B$2:$U$99, 4,FALSE), IFERROR(VLOOKUP($A496,'ABB ExDa'!$A$2:$N$184, 6,FALSE), IFERROR(VLOOKUP($A496,'Vocus SIT ExDa'!$B$2:$J$173, 3,FALSE), IFERROR(VLOOKUP($A496,'Telstra ExDa'!$B$2:$K$310, 5,FALSE), IFERROR(VLOOKUP($A496,'Vocus RVC ExDa'!$C$2:$R$155, 9,FALSE), IFERROR(VLOOKUP($A496,'Fusion ExDa'!$B$2:$D$16, 0,FALSE), IFERROR(VLOOKUP($A496,'Exetel ExDa'!$C$2:$N$14, 6,FALSE), IFERROR(VLOOKUP($A496,'Infinet ExDa'!$B$2:$E$14, 0,FALSE), "Not Found"))))))))</f>
        <v>Not Found</v>
      </c>
      <c r="G496" t="str">
        <f>IFERROR(VLOOKUP($A496,'AAPT ExDa'!$B$2:$U$99, 5,FALSE), IFERROR(VLOOKUP($A496,'ABB ExDa'!$A$2:$N$184, 8,FALSE), IFERROR(VLOOKUP($A496,'Vocus SIT ExDa'!$B$2:$J$173, 6,FALSE), IFERROR(VLOOKUP($A496,'Telstra ExDa'!$B$2:$K$310, 0,FALSE), IFERROR(VLOOKUP($A496,'Vocus RVC ExDa'!$C$2:$R$155, 15,FALSE), IFERROR(VLOOKUP($A496,'Fusion ExDa'!$B$2:$D$16, 0,FALSE), IFERROR(VLOOKUP($A496,'Exetel ExDa'!$C$2:$N$14, 7,FALSE), IFERROR(VLOOKUP($A496,'Infinet ExDa'!$B$2:$E$14, 0,FALSE), "Not Found"))))))))</f>
        <v>Not Found</v>
      </c>
      <c r="H496" t="str">
        <f>IFERROR(VLOOKUP($A496,'AAPT ExDa'!$B$2:$U$99, 6,FALSE), IFERROR(VLOOKUP($A496,'ABB ExDa'!$A$2:$N$184, 0,FALSE), IFERROR(VLOOKUP($A496,'Vocus SIT ExDa'!$B$2:$J$173, 0,FALSE), IFERROR(VLOOKUP($A496,'Telstra ExDa'!$B$2:$K$310, 0,FALSE), IFERROR(VLOOKUP($A496,'Vocus RVC ExDa'!$C$2:$R$155, 16,FALSE), IFERROR(VLOOKUP($A496,'Fusion ExDa'!$B$2:$D$16, 0,FALSE), IFERROR(VLOOKUP($A496,'Exetel ExDa'!$C$2:$N$14, 0,FALSE), IFERROR(VLOOKUP($A496,'Infinet ExDa'!$B$2:$E$14, 0,FALSE), "Not Found"))))))))</f>
        <v>Not Found</v>
      </c>
      <c r="I496" t="str">
        <f>IFERROR(VLOOKUP($A496,'AAPT ExDa'!$B$2:$U$99, 0,FALSE), IFERROR(VLOOKUP($A496,'ABB ExDa'!$A$2:$N$184, 0,FALSE), IFERROR(VLOOKUP($A496,'Vocus SIT ExDa'!$B$2:$J$173, 0,FALSE), IFERROR(VLOOKUP($A496,'Telstra ExDa'!$B$2:$K$310, 0,FALSE), IFERROR(VLOOKUP($A496,'Vocus RVC ExDa'!$C$2:$R$155, 0,FALSE), IFERROR(VLOOKUP($A496,'Fusion ExDa'!$B$2:$D$16, 0,FALSE), IFERROR(VLOOKUP($A496,'Exetel ExDa'!$C$2:$N$14, 8,FALSE), IFERROR(VLOOKUP($A496,'Infinet ExDa'!$B$2:$E$14, 0,FALSE), "Not Found"))))))))</f>
        <v>Not Found</v>
      </c>
      <c r="J496" t="str">
        <f>IFERROR(VLOOKUP($A496,'AAPT ExDa'!$B$2:$U$99, 7,FALSE), IFERROR(VLOOKUP($A496,'ABB ExDa'!$A$2:$N$184, 2,FALSE), IFERROR(VLOOKUP($A496,'Vocus SIT ExDa'!$B$2:$J$173, 0,FALSE), IFERROR(VLOOKUP($A496,'Telstra ExDa'!$B$2:$K$310, 7,FALSE), IFERROR(VLOOKUP($A496,'Vocus RVC ExDa'!$C$2:$R$155, 2,FALSE), IFERROR(VLOOKUP($A496,'Fusion ExDa'!$B$2:$D$16, 3,FALSE), IFERROR(VLOOKUP($A496,'Exetel ExDa'!$C$2:$N$14, 0,FALSE), IFERROR(VLOOKUP($A496,'Infinet ExDa'!$B$2:$E$14, 0,FALSE), "Not Found"))))))))</f>
        <v>Not Found</v>
      </c>
      <c r="K496" t="str">
        <f>IFERROR(VLOOKUP($A496,'AAPT ExDa'!$B$2:$U$99, 12,FALSE), IFERROR(VLOOKUP($A496,'ABB ExDa'!$A$2:$N$184, 0,FALSE), IFERROR(VLOOKUP($A496,'Vocus SIT ExDa'!$B$2:$J$173, 0,FALSE), IFERROR(VLOOKUP($A496,'Telstra ExDa'!$B$2:$K$310, 0,FALSE), IFERROR(VLOOKUP($A496,'Vocus RVC ExDa'!$C$2:$R$155, 0,FALSE), IFERROR(VLOOKUP($A496,'Fusion ExDa'!$B$2:$D$16, 0,FALSE), IFERROR(VLOOKUP($A496,'Exetel ExDa'!$C$2:$N$14, 12,FALSE), IFERROR(VLOOKUP($A496,'Infinet ExDa'!$B$2:$E$14, 0,FALSE), "Not Found"))))))))</f>
        <v>Not Found</v>
      </c>
      <c r="L496" s="235" t="str">
        <f>IFERROR(VLOOKUP($A496,'AAPT ExDa'!$B$2:$U$99, 11,FALSE), IFERROR(VLOOKUP($A496,'ABB ExDa'!$A$2:$N$184, 9,FALSE), IFERROR(VLOOKUP($A496,'Vocus SIT ExDa'!$B$2:$J$173, 8,FALSE), IFERROR(VLOOKUP($A496,'Telstra ExDa'!$B$2:$K$310, 0,FALSE), IFERROR(VLOOKUP($A496,'Vocus RVC ExDa'!$C$2:$R$155, 0,FALSE), IFERROR(VLOOKUP($A496,'Fusion ExDa'!$B$2:$D$16, 0,FALSE), IFERROR(VLOOKUP($A496,'Exetel ExDa'!$C$2:$N$14, 9,FALSE), IFERROR(VLOOKUP($A496,'Infinet ExDa'!$B$2:$E$14, 0,FALSE), "Not Found"))))))))</f>
        <v>Not Found</v>
      </c>
      <c r="M496" s="234" t="str">
        <f>IFERROR(VLOOKUP($A496,'AAPT ExDa'!$B$2:$U$99, 0,FALSE), IFERROR(VLOOKUP($A496,'ABB ExDa'!$A$2:$N$184, 0,FALSE), IFERROR(VLOOKUP($A496,'Vocus SIT ExDa'!$B$2:$J$173, 0,FALSE), IFERROR(VLOOKUP($A496,'Telstra ExDa'!$B$2:$K$310, 0,FALSE), IFERROR(VLOOKUP($A496,'Vocus RVC ExDa'!$C$2:$R$155, 0,FALSE), IFERROR(VLOOKUP($A496,'Fusion ExDa'!$B$2:$D$16, 0,FALSE), IFERROR(VLOOKUP($A496,'Exetel ExDa'!$C$2:$N$14, 11,FALSE), IFERROR(VLOOKUP($A496,'Infinet ExDa'!$B$2:$E$14, 0,FALSE), "Not Found"))))))))</f>
        <v>Not Found</v>
      </c>
      <c r="N496" t="str">
        <f>IFERROR(VLOOKUP($A496,'AAPT ExDa'!$B$2:$U$99, 0,FALSE), IFERROR(VLOOKUP($A496,'ABB ExDa'!$A$2:$N$184, 13,FALSE), IFERROR(VLOOKUP($A496,'Vocus SIT ExDa'!$B$2:$J$173, 0,FALSE), IFERROR(VLOOKUP($A496,'Telstra ExDa'!$B$2:$K$310, 0,FALSE), IFERROR(VLOOKUP($A496,'Vocus RVC ExDa'!$C$2:$R$155, 0,FALSE), IFERROR(VLOOKUP($A496,'Fusion ExDa'!$B$2:$D$16, 0,FALSE), IFERROR(VLOOKUP($A496,'Exetel ExDa'!$C$2:$N$14, 0,FALSE), IFERROR(VLOOKUP($A496,'Infinet ExDa'!$B$2:$E$14, 0,FALSE), "Not Found"))))))))</f>
        <v>Not Found</v>
      </c>
    </row>
    <row r="497" spans="1:14">
      <c r="A497">
        <v>0</v>
      </c>
      <c r="B497" t="str">
        <f>IFERROR(VLOOKUP(A497,'Exetel ExDa'!$C$2:$N$14,4,FALSE),"No Data")</f>
        <v>No Data</v>
      </c>
      <c r="C497" t="str">
        <f>IFERROR(VLOOKUP(A497,'AAPT ExDa'!$B$2:$U$99, 2,FALSE), IFERROR(VLOOKUP(A497,'ABB ExDa'!$A$2:$N$184, 2,FALSE), IFERROR(VLOOKUP(A497,'Vocus SIT ExDa'!$B$2:$J$173, 7,FALSE), IFERROR(VLOOKUP(A497,'Telstra ExDa'!$B$2:$K$310, 2,FALSE), IFERROR(VLOOKUP(A497,'Vocus RVC ExDa'!$C$2:$R$155, 3,FALSE), IFERROR(VLOOKUP(A497,'Fusion ExDa'!$B$2:$D$16, 2,FALSE), IFERROR(VLOOKUP(A497,'Exetel ExDa'!$C$2:$N$14, 2,FALSE), IFERROR(VLOOKUP(A497,'Infinet ExDa'!$B$2:$E$14, 2,FALSE), "Not Found"))))))))</f>
        <v>Not Found</v>
      </c>
      <c r="D497" t="str">
        <f>IFERROR(VLOOKUP($A497,'AAPT ExDa'!$B$2:$U$99, 15,FALSE), IFERROR(VLOOKUP($A497,'ABB ExDa'!$A$2:$N$184, 4,FALSE), IFERROR(VLOOKUP($A497,'Vocus SIT ExDa'!$B$2:$J$173, 5,FALSE), IFERROR(VLOOKUP($A497,'Telstra ExDa'!$B$2:$K$310, 8,FALSE), IFERROR(VLOOKUP($A497,'Vocus RVC ExDa'!$C$2:$R$155, 6,FALSE), IFERROR(VLOOKUP($A497,'Fusion ExDa'!$B$2:$D$16, 4,FALSE), IFERROR(VLOOKUP($A497,'Exetel ExDa'!$C$2:$N$14, 3,FALSE), IFERROR(VLOOKUP($A497,'Infinet ExDa'!$B$2:$E$14, 3,FALSE), "Not Found"))))))))</f>
        <v>Not Found</v>
      </c>
      <c r="E497" t="str">
        <f>IFERROR(VLOOKUP($A497,'AAPT ExDa'!$B$2:$U$99, 3,FALSE), IFERROR(VLOOKUP($A497,'ABB ExDa'!$A$2:$N$184, 5,FALSE), IFERROR(VLOOKUP($A497,'Vocus SIT ExDa'!$B$2:$J$173, 2,FALSE), IFERROR(VLOOKUP($A497,'Telstra ExDa'!$B$2:$K$310, 4,FALSE), IFERROR(VLOOKUP($A497,'Vocus RVC ExDa'!$C$2:$R$155, 8,FALSE), IFERROR(VLOOKUP($A497,'Fusion ExDa'!$B$2:$D$16, 4,FALSE), IFERROR(VLOOKUP($A497,'Exetel ExDa'!$C$2:$N$14, 5,FALSE), IFERROR(VLOOKUP($A497,'Infinet ExDa'!$B$2:$E$14, 3,FALSE), "Not Found"))))))))</f>
        <v>Not Found</v>
      </c>
      <c r="F497" t="str">
        <f>IFERROR(VLOOKUP($A497,'AAPT ExDa'!$B$2:$U$99, 4,FALSE), IFERROR(VLOOKUP($A497,'ABB ExDa'!$A$2:$N$184, 6,FALSE), IFERROR(VLOOKUP($A497,'Vocus SIT ExDa'!$B$2:$J$173, 3,FALSE), IFERROR(VLOOKUP($A497,'Telstra ExDa'!$B$2:$K$310, 5,FALSE), IFERROR(VLOOKUP($A497,'Vocus RVC ExDa'!$C$2:$R$155, 9,FALSE), IFERROR(VLOOKUP($A497,'Fusion ExDa'!$B$2:$D$16, 0,FALSE), IFERROR(VLOOKUP($A497,'Exetel ExDa'!$C$2:$N$14, 6,FALSE), IFERROR(VLOOKUP($A497,'Infinet ExDa'!$B$2:$E$14, 0,FALSE), "Not Found"))))))))</f>
        <v>Not Found</v>
      </c>
      <c r="G497" t="str">
        <f>IFERROR(VLOOKUP($A497,'AAPT ExDa'!$B$2:$U$99, 5,FALSE), IFERROR(VLOOKUP($A497,'ABB ExDa'!$A$2:$N$184, 8,FALSE), IFERROR(VLOOKUP($A497,'Vocus SIT ExDa'!$B$2:$J$173, 6,FALSE), IFERROR(VLOOKUP($A497,'Telstra ExDa'!$B$2:$K$310, 0,FALSE), IFERROR(VLOOKUP($A497,'Vocus RVC ExDa'!$C$2:$R$155, 15,FALSE), IFERROR(VLOOKUP($A497,'Fusion ExDa'!$B$2:$D$16, 0,FALSE), IFERROR(VLOOKUP($A497,'Exetel ExDa'!$C$2:$N$14, 7,FALSE), IFERROR(VLOOKUP($A497,'Infinet ExDa'!$B$2:$E$14, 0,FALSE), "Not Found"))))))))</f>
        <v>Not Found</v>
      </c>
      <c r="H497" t="str">
        <f>IFERROR(VLOOKUP($A497,'AAPT ExDa'!$B$2:$U$99, 6,FALSE), IFERROR(VLOOKUP($A497,'ABB ExDa'!$A$2:$N$184, 0,FALSE), IFERROR(VLOOKUP($A497,'Vocus SIT ExDa'!$B$2:$J$173, 0,FALSE), IFERROR(VLOOKUP($A497,'Telstra ExDa'!$B$2:$K$310, 0,FALSE), IFERROR(VLOOKUP($A497,'Vocus RVC ExDa'!$C$2:$R$155, 16,FALSE), IFERROR(VLOOKUP($A497,'Fusion ExDa'!$B$2:$D$16, 0,FALSE), IFERROR(VLOOKUP($A497,'Exetel ExDa'!$C$2:$N$14, 0,FALSE), IFERROR(VLOOKUP($A497,'Infinet ExDa'!$B$2:$E$14, 0,FALSE), "Not Found"))))))))</f>
        <v>Not Found</v>
      </c>
      <c r="I497" t="str">
        <f>IFERROR(VLOOKUP($A497,'AAPT ExDa'!$B$2:$U$99, 0,FALSE), IFERROR(VLOOKUP($A497,'ABB ExDa'!$A$2:$N$184, 0,FALSE), IFERROR(VLOOKUP($A497,'Vocus SIT ExDa'!$B$2:$J$173, 0,FALSE), IFERROR(VLOOKUP($A497,'Telstra ExDa'!$B$2:$K$310, 0,FALSE), IFERROR(VLOOKUP($A497,'Vocus RVC ExDa'!$C$2:$R$155, 0,FALSE), IFERROR(VLOOKUP($A497,'Fusion ExDa'!$B$2:$D$16, 0,FALSE), IFERROR(VLOOKUP($A497,'Exetel ExDa'!$C$2:$N$14, 8,FALSE), IFERROR(VLOOKUP($A497,'Infinet ExDa'!$B$2:$E$14, 0,FALSE), "Not Found"))))))))</f>
        <v>Not Found</v>
      </c>
      <c r="J497" t="str">
        <f>IFERROR(VLOOKUP($A497,'AAPT ExDa'!$B$2:$U$99, 7,FALSE), IFERROR(VLOOKUP($A497,'ABB ExDa'!$A$2:$N$184, 2,FALSE), IFERROR(VLOOKUP($A497,'Vocus SIT ExDa'!$B$2:$J$173, 0,FALSE), IFERROR(VLOOKUP($A497,'Telstra ExDa'!$B$2:$K$310, 7,FALSE), IFERROR(VLOOKUP($A497,'Vocus RVC ExDa'!$C$2:$R$155, 2,FALSE), IFERROR(VLOOKUP($A497,'Fusion ExDa'!$B$2:$D$16, 3,FALSE), IFERROR(VLOOKUP($A497,'Exetel ExDa'!$C$2:$N$14, 0,FALSE), IFERROR(VLOOKUP($A497,'Infinet ExDa'!$B$2:$E$14, 0,FALSE), "Not Found"))))))))</f>
        <v>Not Found</v>
      </c>
      <c r="K497" t="str">
        <f>IFERROR(VLOOKUP($A497,'AAPT ExDa'!$B$2:$U$99, 12,FALSE), IFERROR(VLOOKUP($A497,'ABB ExDa'!$A$2:$N$184, 0,FALSE), IFERROR(VLOOKUP($A497,'Vocus SIT ExDa'!$B$2:$J$173, 0,FALSE), IFERROR(VLOOKUP($A497,'Telstra ExDa'!$B$2:$K$310, 0,FALSE), IFERROR(VLOOKUP($A497,'Vocus RVC ExDa'!$C$2:$R$155, 0,FALSE), IFERROR(VLOOKUP($A497,'Fusion ExDa'!$B$2:$D$16, 0,FALSE), IFERROR(VLOOKUP($A497,'Exetel ExDa'!$C$2:$N$14, 12,FALSE), IFERROR(VLOOKUP($A497,'Infinet ExDa'!$B$2:$E$14, 0,FALSE), "Not Found"))))))))</f>
        <v>Not Found</v>
      </c>
      <c r="L497" s="235" t="str">
        <f>IFERROR(VLOOKUP($A497,'AAPT ExDa'!$B$2:$U$99, 11,FALSE), IFERROR(VLOOKUP($A497,'ABB ExDa'!$A$2:$N$184, 9,FALSE), IFERROR(VLOOKUP($A497,'Vocus SIT ExDa'!$B$2:$J$173, 8,FALSE), IFERROR(VLOOKUP($A497,'Telstra ExDa'!$B$2:$K$310, 0,FALSE), IFERROR(VLOOKUP($A497,'Vocus RVC ExDa'!$C$2:$R$155, 0,FALSE), IFERROR(VLOOKUP($A497,'Fusion ExDa'!$B$2:$D$16, 0,FALSE), IFERROR(VLOOKUP($A497,'Exetel ExDa'!$C$2:$N$14, 9,FALSE), IFERROR(VLOOKUP($A497,'Infinet ExDa'!$B$2:$E$14, 0,FALSE), "Not Found"))))))))</f>
        <v>Not Found</v>
      </c>
      <c r="M497" s="234" t="str">
        <f>IFERROR(VLOOKUP($A497,'AAPT ExDa'!$B$2:$U$99, 0,FALSE), IFERROR(VLOOKUP($A497,'ABB ExDa'!$A$2:$N$184, 0,FALSE), IFERROR(VLOOKUP($A497,'Vocus SIT ExDa'!$B$2:$J$173, 0,FALSE), IFERROR(VLOOKUP($A497,'Telstra ExDa'!$B$2:$K$310, 0,FALSE), IFERROR(VLOOKUP($A497,'Vocus RVC ExDa'!$C$2:$R$155, 0,FALSE), IFERROR(VLOOKUP($A497,'Fusion ExDa'!$B$2:$D$16, 0,FALSE), IFERROR(VLOOKUP($A497,'Exetel ExDa'!$C$2:$N$14, 11,FALSE), IFERROR(VLOOKUP($A497,'Infinet ExDa'!$B$2:$E$14, 0,FALSE), "Not Found"))))))))</f>
        <v>Not Found</v>
      </c>
      <c r="N497" t="str">
        <f>IFERROR(VLOOKUP($A497,'AAPT ExDa'!$B$2:$U$99, 0,FALSE), IFERROR(VLOOKUP($A497,'ABB ExDa'!$A$2:$N$184, 13,FALSE), IFERROR(VLOOKUP($A497,'Vocus SIT ExDa'!$B$2:$J$173, 0,FALSE), IFERROR(VLOOKUP($A497,'Telstra ExDa'!$B$2:$K$310, 0,FALSE), IFERROR(VLOOKUP($A497,'Vocus RVC ExDa'!$C$2:$R$155, 0,FALSE), IFERROR(VLOOKUP($A497,'Fusion ExDa'!$B$2:$D$16, 0,FALSE), IFERROR(VLOOKUP($A497,'Exetel ExDa'!$C$2:$N$14, 0,FALSE), IFERROR(VLOOKUP($A497,'Infinet ExDa'!$B$2:$E$14, 0,FALSE), "Not Found"))))))))</f>
        <v>Not Found</v>
      </c>
    </row>
    <row r="498" spans="1:14">
      <c r="A498">
        <v>0</v>
      </c>
      <c r="B498" t="str">
        <f>IFERROR(VLOOKUP(A498,'Exetel ExDa'!$C$2:$N$14,4,FALSE),"No Data")</f>
        <v>No Data</v>
      </c>
      <c r="C498" t="str">
        <f>IFERROR(VLOOKUP(A498,'AAPT ExDa'!$B$2:$U$99, 2,FALSE), IFERROR(VLOOKUP(A498,'ABB ExDa'!$A$2:$N$184, 2,FALSE), IFERROR(VLOOKUP(A498,'Vocus SIT ExDa'!$B$2:$J$173, 7,FALSE), IFERROR(VLOOKUP(A498,'Telstra ExDa'!$B$2:$K$310, 2,FALSE), IFERROR(VLOOKUP(A498,'Vocus RVC ExDa'!$C$2:$R$155, 3,FALSE), IFERROR(VLOOKUP(A498,'Fusion ExDa'!$B$2:$D$16, 2,FALSE), IFERROR(VLOOKUP(A498,'Exetel ExDa'!$C$2:$N$14, 2,FALSE), IFERROR(VLOOKUP(A498,'Infinet ExDa'!$B$2:$E$14, 2,FALSE), "Not Found"))))))))</f>
        <v>Not Found</v>
      </c>
      <c r="D498" t="str">
        <f>IFERROR(VLOOKUP($A498,'AAPT ExDa'!$B$2:$U$99, 15,FALSE), IFERROR(VLOOKUP($A498,'ABB ExDa'!$A$2:$N$184, 4,FALSE), IFERROR(VLOOKUP($A498,'Vocus SIT ExDa'!$B$2:$J$173, 5,FALSE), IFERROR(VLOOKUP($A498,'Telstra ExDa'!$B$2:$K$310, 8,FALSE), IFERROR(VLOOKUP($A498,'Vocus RVC ExDa'!$C$2:$R$155, 6,FALSE), IFERROR(VLOOKUP($A498,'Fusion ExDa'!$B$2:$D$16, 4,FALSE), IFERROR(VLOOKUP($A498,'Exetel ExDa'!$C$2:$N$14, 3,FALSE), IFERROR(VLOOKUP($A498,'Infinet ExDa'!$B$2:$E$14, 3,FALSE), "Not Found"))))))))</f>
        <v>Not Found</v>
      </c>
      <c r="E498" t="str">
        <f>IFERROR(VLOOKUP($A498,'AAPT ExDa'!$B$2:$U$99, 3,FALSE), IFERROR(VLOOKUP($A498,'ABB ExDa'!$A$2:$N$184, 5,FALSE), IFERROR(VLOOKUP($A498,'Vocus SIT ExDa'!$B$2:$J$173, 2,FALSE), IFERROR(VLOOKUP($A498,'Telstra ExDa'!$B$2:$K$310, 4,FALSE), IFERROR(VLOOKUP($A498,'Vocus RVC ExDa'!$C$2:$R$155, 8,FALSE), IFERROR(VLOOKUP($A498,'Fusion ExDa'!$B$2:$D$16, 4,FALSE), IFERROR(VLOOKUP($A498,'Exetel ExDa'!$C$2:$N$14, 5,FALSE), IFERROR(VLOOKUP($A498,'Infinet ExDa'!$B$2:$E$14, 3,FALSE), "Not Found"))))))))</f>
        <v>Not Found</v>
      </c>
      <c r="F498" t="str">
        <f>IFERROR(VLOOKUP($A498,'AAPT ExDa'!$B$2:$U$99, 4,FALSE), IFERROR(VLOOKUP($A498,'ABB ExDa'!$A$2:$N$184, 6,FALSE), IFERROR(VLOOKUP($A498,'Vocus SIT ExDa'!$B$2:$J$173, 3,FALSE), IFERROR(VLOOKUP($A498,'Telstra ExDa'!$B$2:$K$310, 5,FALSE), IFERROR(VLOOKUP($A498,'Vocus RVC ExDa'!$C$2:$R$155, 9,FALSE), IFERROR(VLOOKUP($A498,'Fusion ExDa'!$B$2:$D$16, 0,FALSE), IFERROR(VLOOKUP($A498,'Exetel ExDa'!$C$2:$N$14, 6,FALSE), IFERROR(VLOOKUP($A498,'Infinet ExDa'!$B$2:$E$14, 0,FALSE), "Not Found"))))))))</f>
        <v>Not Found</v>
      </c>
      <c r="G498" t="str">
        <f>IFERROR(VLOOKUP($A498,'AAPT ExDa'!$B$2:$U$99, 5,FALSE), IFERROR(VLOOKUP($A498,'ABB ExDa'!$A$2:$N$184, 8,FALSE), IFERROR(VLOOKUP($A498,'Vocus SIT ExDa'!$B$2:$J$173, 6,FALSE), IFERROR(VLOOKUP($A498,'Telstra ExDa'!$B$2:$K$310, 0,FALSE), IFERROR(VLOOKUP($A498,'Vocus RVC ExDa'!$C$2:$R$155, 15,FALSE), IFERROR(VLOOKUP($A498,'Fusion ExDa'!$B$2:$D$16, 0,FALSE), IFERROR(VLOOKUP($A498,'Exetel ExDa'!$C$2:$N$14, 7,FALSE), IFERROR(VLOOKUP($A498,'Infinet ExDa'!$B$2:$E$14, 0,FALSE), "Not Found"))))))))</f>
        <v>Not Found</v>
      </c>
      <c r="H498" t="str">
        <f>IFERROR(VLOOKUP($A498,'AAPT ExDa'!$B$2:$U$99, 6,FALSE), IFERROR(VLOOKUP($A498,'ABB ExDa'!$A$2:$N$184, 0,FALSE), IFERROR(VLOOKUP($A498,'Vocus SIT ExDa'!$B$2:$J$173, 0,FALSE), IFERROR(VLOOKUP($A498,'Telstra ExDa'!$B$2:$K$310, 0,FALSE), IFERROR(VLOOKUP($A498,'Vocus RVC ExDa'!$C$2:$R$155, 16,FALSE), IFERROR(VLOOKUP($A498,'Fusion ExDa'!$B$2:$D$16, 0,FALSE), IFERROR(VLOOKUP($A498,'Exetel ExDa'!$C$2:$N$14, 0,FALSE), IFERROR(VLOOKUP($A498,'Infinet ExDa'!$B$2:$E$14, 0,FALSE), "Not Found"))))))))</f>
        <v>Not Found</v>
      </c>
      <c r="I498" t="str">
        <f>IFERROR(VLOOKUP($A498,'AAPT ExDa'!$B$2:$U$99, 0,FALSE), IFERROR(VLOOKUP($A498,'ABB ExDa'!$A$2:$N$184, 0,FALSE), IFERROR(VLOOKUP($A498,'Vocus SIT ExDa'!$B$2:$J$173, 0,FALSE), IFERROR(VLOOKUP($A498,'Telstra ExDa'!$B$2:$K$310, 0,FALSE), IFERROR(VLOOKUP($A498,'Vocus RVC ExDa'!$C$2:$R$155, 0,FALSE), IFERROR(VLOOKUP($A498,'Fusion ExDa'!$B$2:$D$16, 0,FALSE), IFERROR(VLOOKUP($A498,'Exetel ExDa'!$C$2:$N$14, 8,FALSE), IFERROR(VLOOKUP($A498,'Infinet ExDa'!$B$2:$E$14, 0,FALSE), "Not Found"))))))))</f>
        <v>Not Found</v>
      </c>
      <c r="J498" t="str">
        <f>IFERROR(VLOOKUP($A498,'AAPT ExDa'!$B$2:$U$99, 7,FALSE), IFERROR(VLOOKUP($A498,'ABB ExDa'!$A$2:$N$184, 2,FALSE), IFERROR(VLOOKUP($A498,'Vocus SIT ExDa'!$B$2:$J$173, 0,FALSE), IFERROR(VLOOKUP($A498,'Telstra ExDa'!$B$2:$K$310, 7,FALSE), IFERROR(VLOOKUP($A498,'Vocus RVC ExDa'!$C$2:$R$155, 2,FALSE), IFERROR(VLOOKUP($A498,'Fusion ExDa'!$B$2:$D$16, 3,FALSE), IFERROR(VLOOKUP($A498,'Exetel ExDa'!$C$2:$N$14, 0,FALSE), IFERROR(VLOOKUP($A498,'Infinet ExDa'!$B$2:$E$14, 0,FALSE), "Not Found"))))))))</f>
        <v>Not Found</v>
      </c>
      <c r="K498" t="str">
        <f>IFERROR(VLOOKUP($A498,'AAPT ExDa'!$B$2:$U$99, 12,FALSE), IFERROR(VLOOKUP($A498,'ABB ExDa'!$A$2:$N$184, 0,FALSE), IFERROR(VLOOKUP($A498,'Vocus SIT ExDa'!$B$2:$J$173, 0,FALSE), IFERROR(VLOOKUP($A498,'Telstra ExDa'!$B$2:$K$310, 0,FALSE), IFERROR(VLOOKUP($A498,'Vocus RVC ExDa'!$C$2:$R$155, 0,FALSE), IFERROR(VLOOKUP($A498,'Fusion ExDa'!$B$2:$D$16, 0,FALSE), IFERROR(VLOOKUP($A498,'Exetel ExDa'!$C$2:$N$14, 12,FALSE), IFERROR(VLOOKUP($A498,'Infinet ExDa'!$B$2:$E$14, 0,FALSE), "Not Found"))))))))</f>
        <v>Not Found</v>
      </c>
      <c r="L498" s="235" t="str">
        <f>IFERROR(VLOOKUP($A498,'AAPT ExDa'!$B$2:$U$99, 11,FALSE), IFERROR(VLOOKUP($A498,'ABB ExDa'!$A$2:$N$184, 9,FALSE), IFERROR(VLOOKUP($A498,'Vocus SIT ExDa'!$B$2:$J$173, 8,FALSE), IFERROR(VLOOKUP($A498,'Telstra ExDa'!$B$2:$K$310, 0,FALSE), IFERROR(VLOOKUP($A498,'Vocus RVC ExDa'!$C$2:$R$155, 0,FALSE), IFERROR(VLOOKUP($A498,'Fusion ExDa'!$B$2:$D$16, 0,FALSE), IFERROR(VLOOKUP($A498,'Exetel ExDa'!$C$2:$N$14, 9,FALSE), IFERROR(VLOOKUP($A498,'Infinet ExDa'!$B$2:$E$14, 0,FALSE), "Not Found"))))))))</f>
        <v>Not Found</v>
      </c>
      <c r="M498" s="234" t="str">
        <f>IFERROR(VLOOKUP($A498,'AAPT ExDa'!$B$2:$U$99, 0,FALSE), IFERROR(VLOOKUP($A498,'ABB ExDa'!$A$2:$N$184, 0,FALSE), IFERROR(VLOOKUP($A498,'Vocus SIT ExDa'!$B$2:$J$173, 0,FALSE), IFERROR(VLOOKUP($A498,'Telstra ExDa'!$B$2:$K$310, 0,FALSE), IFERROR(VLOOKUP($A498,'Vocus RVC ExDa'!$C$2:$R$155, 0,FALSE), IFERROR(VLOOKUP($A498,'Fusion ExDa'!$B$2:$D$16, 0,FALSE), IFERROR(VLOOKUP($A498,'Exetel ExDa'!$C$2:$N$14, 11,FALSE), IFERROR(VLOOKUP($A498,'Infinet ExDa'!$B$2:$E$14, 0,FALSE), "Not Found"))))))))</f>
        <v>Not Found</v>
      </c>
      <c r="N498" t="str">
        <f>IFERROR(VLOOKUP($A498,'AAPT ExDa'!$B$2:$U$99, 0,FALSE), IFERROR(VLOOKUP($A498,'ABB ExDa'!$A$2:$N$184, 13,FALSE), IFERROR(VLOOKUP($A498,'Vocus SIT ExDa'!$B$2:$J$173, 0,FALSE), IFERROR(VLOOKUP($A498,'Telstra ExDa'!$B$2:$K$310, 0,FALSE), IFERROR(VLOOKUP($A498,'Vocus RVC ExDa'!$C$2:$R$155, 0,FALSE), IFERROR(VLOOKUP($A498,'Fusion ExDa'!$B$2:$D$16, 0,FALSE), IFERROR(VLOOKUP($A498,'Exetel ExDa'!$C$2:$N$14, 0,FALSE), IFERROR(VLOOKUP($A498,'Infinet ExDa'!$B$2:$E$14, 0,FALSE), "Not Found"))))))))</f>
        <v>Not Found</v>
      </c>
    </row>
    <row r="499" spans="1:14">
      <c r="A499">
        <v>0</v>
      </c>
      <c r="B499" t="str">
        <f>IFERROR(VLOOKUP(A499,'Exetel ExDa'!$C$2:$N$14,4,FALSE),"No Data")</f>
        <v>No Data</v>
      </c>
      <c r="C499" t="str">
        <f>IFERROR(VLOOKUP(A499,'AAPT ExDa'!$B$2:$U$99, 2,FALSE), IFERROR(VLOOKUP(A499,'ABB ExDa'!$A$2:$N$184, 2,FALSE), IFERROR(VLOOKUP(A499,'Vocus SIT ExDa'!$B$2:$J$173, 7,FALSE), IFERROR(VLOOKUP(A499,'Telstra ExDa'!$B$2:$K$310, 2,FALSE), IFERROR(VLOOKUP(A499,'Vocus RVC ExDa'!$C$2:$R$155, 3,FALSE), IFERROR(VLOOKUP(A499,'Fusion ExDa'!$B$2:$D$16, 2,FALSE), IFERROR(VLOOKUP(A499,'Exetel ExDa'!$C$2:$N$14, 2,FALSE), IFERROR(VLOOKUP(A499,'Infinet ExDa'!$B$2:$E$14, 2,FALSE), "Not Found"))))))))</f>
        <v>Not Found</v>
      </c>
      <c r="D499" t="str">
        <f>IFERROR(VLOOKUP($A499,'AAPT ExDa'!$B$2:$U$99, 15,FALSE), IFERROR(VLOOKUP($A499,'ABB ExDa'!$A$2:$N$184, 4,FALSE), IFERROR(VLOOKUP($A499,'Vocus SIT ExDa'!$B$2:$J$173, 5,FALSE), IFERROR(VLOOKUP($A499,'Telstra ExDa'!$B$2:$K$310, 8,FALSE), IFERROR(VLOOKUP($A499,'Vocus RVC ExDa'!$C$2:$R$155, 6,FALSE), IFERROR(VLOOKUP($A499,'Fusion ExDa'!$B$2:$D$16, 4,FALSE), IFERROR(VLOOKUP($A499,'Exetel ExDa'!$C$2:$N$14, 3,FALSE), IFERROR(VLOOKUP($A499,'Infinet ExDa'!$B$2:$E$14, 3,FALSE), "Not Found"))))))))</f>
        <v>Not Found</v>
      </c>
      <c r="E499" t="str">
        <f>IFERROR(VLOOKUP($A499,'AAPT ExDa'!$B$2:$U$99, 3,FALSE), IFERROR(VLOOKUP($A499,'ABB ExDa'!$A$2:$N$184, 5,FALSE), IFERROR(VLOOKUP($A499,'Vocus SIT ExDa'!$B$2:$J$173, 2,FALSE), IFERROR(VLOOKUP($A499,'Telstra ExDa'!$B$2:$K$310, 4,FALSE), IFERROR(VLOOKUP($A499,'Vocus RVC ExDa'!$C$2:$R$155, 8,FALSE), IFERROR(VLOOKUP($A499,'Fusion ExDa'!$B$2:$D$16, 4,FALSE), IFERROR(VLOOKUP($A499,'Exetel ExDa'!$C$2:$N$14, 5,FALSE), IFERROR(VLOOKUP($A499,'Infinet ExDa'!$B$2:$E$14, 3,FALSE), "Not Found"))))))))</f>
        <v>Not Found</v>
      </c>
      <c r="F499" t="str">
        <f>IFERROR(VLOOKUP($A499,'AAPT ExDa'!$B$2:$U$99, 4,FALSE), IFERROR(VLOOKUP($A499,'ABB ExDa'!$A$2:$N$184, 6,FALSE), IFERROR(VLOOKUP($A499,'Vocus SIT ExDa'!$B$2:$J$173, 3,FALSE), IFERROR(VLOOKUP($A499,'Telstra ExDa'!$B$2:$K$310, 5,FALSE), IFERROR(VLOOKUP($A499,'Vocus RVC ExDa'!$C$2:$R$155, 9,FALSE), IFERROR(VLOOKUP($A499,'Fusion ExDa'!$B$2:$D$16, 0,FALSE), IFERROR(VLOOKUP($A499,'Exetel ExDa'!$C$2:$N$14, 6,FALSE), IFERROR(VLOOKUP($A499,'Infinet ExDa'!$B$2:$E$14, 0,FALSE), "Not Found"))))))))</f>
        <v>Not Found</v>
      </c>
      <c r="G499" t="str">
        <f>IFERROR(VLOOKUP($A499,'AAPT ExDa'!$B$2:$U$99, 5,FALSE), IFERROR(VLOOKUP($A499,'ABB ExDa'!$A$2:$N$184, 8,FALSE), IFERROR(VLOOKUP($A499,'Vocus SIT ExDa'!$B$2:$J$173, 6,FALSE), IFERROR(VLOOKUP($A499,'Telstra ExDa'!$B$2:$K$310, 0,FALSE), IFERROR(VLOOKUP($A499,'Vocus RVC ExDa'!$C$2:$R$155, 15,FALSE), IFERROR(VLOOKUP($A499,'Fusion ExDa'!$B$2:$D$16, 0,FALSE), IFERROR(VLOOKUP($A499,'Exetel ExDa'!$C$2:$N$14, 7,FALSE), IFERROR(VLOOKUP($A499,'Infinet ExDa'!$B$2:$E$14, 0,FALSE), "Not Found"))))))))</f>
        <v>Not Found</v>
      </c>
      <c r="H499" t="str">
        <f>IFERROR(VLOOKUP($A499,'AAPT ExDa'!$B$2:$U$99, 6,FALSE), IFERROR(VLOOKUP($A499,'ABB ExDa'!$A$2:$N$184, 0,FALSE), IFERROR(VLOOKUP($A499,'Vocus SIT ExDa'!$B$2:$J$173, 0,FALSE), IFERROR(VLOOKUP($A499,'Telstra ExDa'!$B$2:$K$310, 0,FALSE), IFERROR(VLOOKUP($A499,'Vocus RVC ExDa'!$C$2:$R$155, 16,FALSE), IFERROR(VLOOKUP($A499,'Fusion ExDa'!$B$2:$D$16, 0,FALSE), IFERROR(VLOOKUP($A499,'Exetel ExDa'!$C$2:$N$14, 0,FALSE), IFERROR(VLOOKUP($A499,'Infinet ExDa'!$B$2:$E$14, 0,FALSE), "Not Found"))))))))</f>
        <v>Not Found</v>
      </c>
      <c r="I499" t="str">
        <f>IFERROR(VLOOKUP($A499,'AAPT ExDa'!$B$2:$U$99, 0,FALSE), IFERROR(VLOOKUP($A499,'ABB ExDa'!$A$2:$N$184, 0,FALSE), IFERROR(VLOOKUP($A499,'Vocus SIT ExDa'!$B$2:$J$173, 0,FALSE), IFERROR(VLOOKUP($A499,'Telstra ExDa'!$B$2:$K$310, 0,FALSE), IFERROR(VLOOKUP($A499,'Vocus RVC ExDa'!$C$2:$R$155, 0,FALSE), IFERROR(VLOOKUP($A499,'Fusion ExDa'!$B$2:$D$16, 0,FALSE), IFERROR(VLOOKUP($A499,'Exetel ExDa'!$C$2:$N$14, 8,FALSE), IFERROR(VLOOKUP($A499,'Infinet ExDa'!$B$2:$E$14, 0,FALSE), "Not Found"))))))))</f>
        <v>Not Found</v>
      </c>
      <c r="J499" t="str">
        <f>IFERROR(VLOOKUP($A499,'AAPT ExDa'!$B$2:$U$99, 7,FALSE), IFERROR(VLOOKUP($A499,'ABB ExDa'!$A$2:$N$184, 2,FALSE), IFERROR(VLOOKUP($A499,'Vocus SIT ExDa'!$B$2:$J$173, 0,FALSE), IFERROR(VLOOKUP($A499,'Telstra ExDa'!$B$2:$K$310, 7,FALSE), IFERROR(VLOOKUP($A499,'Vocus RVC ExDa'!$C$2:$R$155, 2,FALSE), IFERROR(VLOOKUP($A499,'Fusion ExDa'!$B$2:$D$16, 3,FALSE), IFERROR(VLOOKUP($A499,'Exetel ExDa'!$C$2:$N$14, 0,FALSE), IFERROR(VLOOKUP($A499,'Infinet ExDa'!$B$2:$E$14, 0,FALSE), "Not Found"))))))))</f>
        <v>Not Found</v>
      </c>
      <c r="K499" t="str">
        <f>IFERROR(VLOOKUP($A499,'AAPT ExDa'!$B$2:$U$99, 12,FALSE), IFERROR(VLOOKUP($A499,'ABB ExDa'!$A$2:$N$184, 0,FALSE), IFERROR(VLOOKUP($A499,'Vocus SIT ExDa'!$B$2:$J$173, 0,FALSE), IFERROR(VLOOKUP($A499,'Telstra ExDa'!$B$2:$K$310, 0,FALSE), IFERROR(VLOOKUP($A499,'Vocus RVC ExDa'!$C$2:$R$155, 0,FALSE), IFERROR(VLOOKUP($A499,'Fusion ExDa'!$B$2:$D$16, 0,FALSE), IFERROR(VLOOKUP($A499,'Exetel ExDa'!$C$2:$N$14, 12,FALSE), IFERROR(VLOOKUP($A499,'Infinet ExDa'!$B$2:$E$14, 0,FALSE), "Not Found"))))))))</f>
        <v>Not Found</v>
      </c>
      <c r="L499" s="235" t="str">
        <f>IFERROR(VLOOKUP($A499,'AAPT ExDa'!$B$2:$U$99, 11,FALSE), IFERROR(VLOOKUP($A499,'ABB ExDa'!$A$2:$N$184, 9,FALSE), IFERROR(VLOOKUP($A499,'Vocus SIT ExDa'!$B$2:$J$173, 8,FALSE), IFERROR(VLOOKUP($A499,'Telstra ExDa'!$B$2:$K$310, 0,FALSE), IFERROR(VLOOKUP($A499,'Vocus RVC ExDa'!$C$2:$R$155, 0,FALSE), IFERROR(VLOOKUP($A499,'Fusion ExDa'!$B$2:$D$16, 0,FALSE), IFERROR(VLOOKUP($A499,'Exetel ExDa'!$C$2:$N$14, 9,FALSE), IFERROR(VLOOKUP($A499,'Infinet ExDa'!$B$2:$E$14, 0,FALSE), "Not Found"))))))))</f>
        <v>Not Found</v>
      </c>
      <c r="M499" s="234" t="str">
        <f>IFERROR(VLOOKUP($A499,'AAPT ExDa'!$B$2:$U$99, 0,FALSE), IFERROR(VLOOKUP($A499,'ABB ExDa'!$A$2:$N$184, 0,FALSE), IFERROR(VLOOKUP($A499,'Vocus SIT ExDa'!$B$2:$J$173, 0,FALSE), IFERROR(VLOOKUP($A499,'Telstra ExDa'!$B$2:$K$310, 0,FALSE), IFERROR(VLOOKUP($A499,'Vocus RVC ExDa'!$C$2:$R$155, 0,FALSE), IFERROR(VLOOKUP($A499,'Fusion ExDa'!$B$2:$D$16, 0,FALSE), IFERROR(VLOOKUP($A499,'Exetel ExDa'!$C$2:$N$14, 11,FALSE), IFERROR(VLOOKUP($A499,'Infinet ExDa'!$B$2:$E$14, 0,FALSE), "Not Found"))))))))</f>
        <v>Not Found</v>
      </c>
      <c r="N499" t="str">
        <f>IFERROR(VLOOKUP($A499,'AAPT ExDa'!$B$2:$U$99, 0,FALSE), IFERROR(VLOOKUP($A499,'ABB ExDa'!$A$2:$N$184, 13,FALSE), IFERROR(VLOOKUP($A499,'Vocus SIT ExDa'!$B$2:$J$173, 0,FALSE), IFERROR(VLOOKUP($A499,'Telstra ExDa'!$B$2:$K$310, 0,FALSE), IFERROR(VLOOKUP($A499,'Vocus RVC ExDa'!$C$2:$R$155, 0,FALSE), IFERROR(VLOOKUP($A499,'Fusion ExDa'!$B$2:$D$16, 0,FALSE), IFERROR(VLOOKUP($A499,'Exetel ExDa'!$C$2:$N$14, 0,FALSE), IFERROR(VLOOKUP($A499,'Infinet ExDa'!$B$2:$E$14, 0,FALSE), "Not Found"))))))))</f>
        <v>Not Found</v>
      </c>
    </row>
    <row r="500" spans="1:14">
      <c r="A500" t="str">
        <v>Zambrero Albury</v>
      </c>
      <c r="B500" t="str">
        <f>IFERROR(VLOOKUP(A500,'Exetel ExDa'!$C$2:$N$14,4,FALSE),"No Data")</f>
        <v>No Data</v>
      </c>
      <c r="C500" t="str">
        <f>IFERROR(VLOOKUP(A500,'AAPT ExDa'!$B$2:$U$99, 2,FALSE), IFERROR(VLOOKUP(A500,'ABB ExDa'!$A$2:$N$184, 2,FALSE), IFERROR(VLOOKUP(A500,'Vocus SIT ExDa'!$B$2:$J$173, 7,FALSE), IFERROR(VLOOKUP(A500,'Telstra ExDa'!$B$2:$K$310, 2,FALSE), IFERROR(VLOOKUP(A500,'Vocus RVC ExDa'!$C$2:$R$155, 3,FALSE), IFERROR(VLOOKUP(A500,'Fusion ExDa'!$B$2:$D$16, 2,FALSE), IFERROR(VLOOKUP(A500,'Exetel ExDa'!$C$2:$N$14, 2,FALSE), IFERROR(VLOOKUP(A500,'Infinet ExDa'!$B$2:$E$14, 2,FALSE), "Not Found"))))))))</f>
        <v>461B Dean St, Albury NSW</v>
      </c>
      <c r="D500" t="str">
        <f>IFERROR(VLOOKUP($A500,'AAPT ExDa'!$B$2:$U$99, 15,FALSE), IFERROR(VLOOKUP($A500,'ABB ExDa'!$A$2:$N$184, 4,FALSE), IFERROR(VLOOKUP($A500,'Vocus SIT ExDa'!$B$2:$J$173, 5,FALSE), IFERROR(VLOOKUP($A500,'Telstra ExDa'!$B$2:$K$310, 8,FALSE), IFERROR(VLOOKUP($A500,'Vocus RVC ExDa'!$C$2:$R$155, 6,FALSE), IFERROR(VLOOKUP($A500,'Fusion ExDa'!$B$2:$D$16, 4,FALSE), IFERROR(VLOOKUP($A500,'Exetel ExDa'!$C$2:$N$14, 3,FALSE), IFERROR(VLOOKUP($A500,'Infinet ExDa'!$B$2:$E$14, 3,FALSE), "Not Found"))))))))</f>
        <v>ABB</v>
      </c>
      <c r="E500" t="str">
        <f>IFERROR(VLOOKUP($A500,'AAPT ExDa'!$B$2:$U$99, 3,FALSE), IFERROR(VLOOKUP($A500,'ABB ExDa'!$A$2:$N$184, 5,FALSE), IFERROR(VLOOKUP($A500,'Vocus SIT ExDa'!$B$2:$J$173, 2,FALSE), IFERROR(VLOOKUP($A500,'Telstra ExDa'!$B$2:$K$310, 4,FALSE), IFERROR(VLOOKUP($A500,'Vocus RVC ExDa'!$C$2:$R$155, 8,FALSE), IFERROR(VLOOKUP($A500,'Fusion ExDa'!$B$2:$D$16, 4,FALSE), IFERROR(VLOOKUP($A500,'Exetel ExDa'!$C$2:$N$14, 5,FALSE), IFERROR(VLOOKUP($A500,'Infinet ExDa'!$B$2:$E$14, 3,FALSE), "Not Found"))))))))</f>
        <v xml:space="preserve">NBN 25/10 </v>
      </c>
      <c r="F500" t="str">
        <f>IFERROR(VLOOKUP($A500,'AAPT ExDa'!$B$2:$U$99, 4,FALSE), IFERROR(VLOOKUP($A500,'ABB ExDa'!$A$2:$N$184, 6,FALSE), IFERROR(VLOOKUP($A500,'Vocus SIT ExDa'!$B$2:$J$173, 3,FALSE), IFERROR(VLOOKUP($A500,'Telstra ExDa'!$B$2:$K$310, 5,FALSE), IFERROR(VLOOKUP($A500,'Vocus RVC ExDa'!$C$2:$R$155, 9,FALSE), IFERROR(VLOOKUP($A500,'Fusion ExDa'!$B$2:$D$16, 0,FALSE), IFERROR(VLOOKUP($A500,'Exetel ExDa'!$C$2:$N$14, 6,FALSE), IFERROR(VLOOKUP($A500,'Infinet ExDa'!$B$2:$E$14, 0,FALSE), "Not Found"))))))))</f>
        <v>FTTN</v>
      </c>
      <c r="G500" t="str">
        <f>IFERROR(VLOOKUP($A500,'AAPT ExDa'!$B$2:$U$99, 5,FALSE), IFERROR(VLOOKUP($A500,'ABB ExDa'!$A$2:$N$184, 8,FALSE), IFERROR(VLOOKUP($A500,'Vocus SIT ExDa'!$B$2:$J$173, 6,FALSE), IFERROR(VLOOKUP($A500,'Telstra ExDa'!$B$2:$K$310, 0,FALSE), IFERROR(VLOOKUP($A500,'Vocus RVC ExDa'!$C$2:$R$155, 15,FALSE), IFERROR(VLOOKUP($A500,'Fusion ExDa'!$B$2:$D$16, 0,FALSE), IFERROR(VLOOKUP($A500,'Exetel ExDa'!$C$2:$N$14, 7,FALSE), IFERROR(VLOOKUP($A500,'Infinet ExDa'!$B$2:$E$14, 0,FALSE), "Not Found"))))))))</f>
        <v>144.6.224.43</v>
      </c>
      <c r="H500" t="str">
        <f>IFERROR(VLOOKUP($A500,'AAPT ExDa'!$B$2:$U$99, 6,FALSE), IFERROR(VLOOKUP($A500,'ABB ExDa'!$A$2:$N$184, 0,FALSE), IFERROR(VLOOKUP($A500,'Vocus SIT ExDa'!$B$2:$J$173, 0,FALSE), IFERROR(VLOOKUP($A500,'Telstra ExDa'!$B$2:$K$310, 0,FALSE), IFERROR(VLOOKUP($A500,'Vocus RVC ExDa'!$C$2:$R$155, 16,FALSE), IFERROR(VLOOKUP($A500,'Fusion ExDa'!$B$2:$D$16, 0,FALSE), IFERROR(VLOOKUP($A500,'Exetel ExDa'!$C$2:$N$14, 0,FALSE), IFERROR(VLOOKUP($A500,'Infinet ExDa'!$B$2:$E$14, 0,FALSE), "Not Found"))))))))</f>
        <v>Not Found</v>
      </c>
      <c r="I500" t="str">
        <f>IFERROR(VLOOKUP($A500,'AAPT ExDa'!$B$2:$U$99, 0,FALSE), IFERROR(VLOOKUP($A500,'ABB ExDa'!$A$2:$N$184, 0,FALSE), IFERROR(VLOOKUP($A500,'Vocus SIT ExDa'!$B$2:$J$173, 0,FALSE), IFERROR(VLOOKUP($A500,'Telstra ExDa'!$B$2:$K$310, 0,FALSE), IFERROR(VLOOKUP($A500,'Vocus RVC ExDa'!$C$2:$R$155, 0,FALSE), IFERROR(VLOOKUP($A500,'Fusion ExDa'!$B$2:$D$16, 0,FALSE), IFERROR(VLOOKUP($A500,'Exetel ExDa'!$C$2:$N$14, 8,FALSE), IFERROR(VLOOKUP($A500,'Infinet ExDa'!$B$2:$E$14, 0,FALSE), "Not Found"))))))))</f>
        <v>Not Found</v>
      </c>
      <c r="J500" t="str">
        <f>IFERROR(VLOOKUP($A500,'AAPT ExDa'!$B$2:$U$99, 7,FALSE), IFERROR(VLOOKUP($A500,'ABB ExDa'!$A$2:$N$184, 2,FALSE), IFERROR(VLOOKUP($A500,'Vocus SIT ExDa'!$B$2:$J$173, 0,FALSE), IFERROR(VLOOKUP($A500,'Telstra ExDa'!$B$2:$K$310, 7,FALSE), IFERROR(VLOOKUP($A500,'Vocus RVC ExDa'!$C$2:$R$155, 2,FALSE), IFERROR(VLOOKUP($A500,'Fusion ExDa'!$B$2:$D$16, 3,FALSE), IFERROR(VLOOKUP($A500,'Exetel ExDa'!$C$2:$N$14, 0,FALSE), IFERROR(VLOOKUP($A500,'Infinet ExDa'!$B$2:$E$14, 0,FALSE), "Not Found"))))))))</f>
        <v>461B Dean St, Albury NSW</v>
      </c>
      <c r="K500" t="str">
        <f>IFERROR(VLOOKUP($A500,'AAPT ExDa'!$B$2:$U$99, 12,FALSE), IFERROR(VLOOKUP($A500,'ABB ExDa'!$A$2:$N$184, 0,FALSE), IFERROR(VLOOKUP($A500,'Vocus SIT ExDa'!$B$2:$J$173, 0,FALSE), IFERROR(VLOOKUP($A500,'Telstra ExDa'!$B$2:$K$310, 0,FALSE), IFERROR(VLOOKUP($A500,'Vocus RVC ExDa'!$C$2:$R$155, 0,FALSE), IFERROR(VLOOKUP($A500,'Fusion ExDa'!$B$2:$D$16, 0,FALSE), IFERROR(VLOOKUP($A500,'Exetel ExDa'!$C$2:$N$14, 12,FALSE), IFERROR(VLOOKUP($A500,'Infinet ExDa'!$B$2:$E$14, 0,FALSE), "Not Found"))))))))</f>
        <v>Not Found</v>
      </c>
      <c r="L500" s="235" t="str">
        <f>IFERROR(VLOOKUP($A500,'AAPT ExDa'!$B$2:$U$99, 11,FALSE), IFERROR(VLOOKUP($A500,'ABB ExDa'!$A$2:$N$184, 9,FALSE), IFERROR(VLOOKUP($A500,'Vocus SIT ExDa'!$B$2:$J$173, 8,FALSE), IFERROR(VLOOKUP($A500,'Telstra ExDa'!$B$2:$K$310, 0,FALSE), IFERROR(VLOOKUP($A500,'Vocus RVC ExDa'!$C$2:$R$155, 0,FALSE), IFERROR(VLOOKUP($A500,'Fusion ExDa'!$B$2:$D$16, 0,FALSE), IFERROR(VLOOKUP($A500,'Exetel ExDa'!$C$2:$N$14, 9,FALSE), IFERROR(VLOOKUP($A500,'Infinet ExDa'!$B$2:$E$14, 0,FALSE), "Not Found"))))))))</f>
        <v>18 Sept 2025</v>
      </c>
      <c r="M500" s="234" t="str">
        <f>IFERROR(VLOOKUP($A500,'AAPT ExDa'!$B$2:$U$99, 0,FALSE), IFERROR(VLOOKUP($A500,'ABB ExDa'!$A$2:$N$184, 0,FALSE), IFERROR(VLOOKUP($A500,'Vocus SIT ExDa'!$B$2:$J$173, 0,FALSE), IFERROR(VLOOKUP($A500,'Telstra ExDa'!$B$2:$K$310, 0,FALSE), IFERROR(VLOOKUP($A500,'Vocus RVC ExDa'!$C$2:$R$155, 0,FALSE), IFERROR(VLOOKUP($A500,'Fusion ExDa'!$B$2:$D$16, 0,FALSE), IFERROR(VLOOKUP($A500,'Exetel ExDa'!$C$2:$N$14, 11,FALSE), IFERROR(VLOOKUP($A500,'Infinet ExDa'!$B$2:$E$14, 0,FALSE), "Not Found"))))))))</f>
        <v>Not Found</v>
      </c>
      <c r="N500" t="str">
        <f>IFERROR(VLOOKUP($A500,'AAPT ExDa'!$B$2:$U$99, 0,FALSE), IFERROR(VLOOKUP($A500,'ABB ExDa'!$A$2:$N$184, 13,FALSE), IFERROR(VLOOKUP($A500,'Vocus SIT ExDa'!$B$2:$J$173, 0,FALSE), IFERROR(VLOOKUP($A500,'Telstra ExDa'!$B$2:$K$310, 0,FALSE), IFERROR(VLOOKUP($A500,'Vocus RVC ExDa'!$C$2:$R$155, 0,FALSE), IFERROR(VLOOKUP($A500,'Fusion ExDa'!$B$2:$D$16, 0,FALSE), IFERROR(VLOOKUP($A500,'Exetel ExDa'!$C$2:$N$14, 0,FALSE), IFERROR(VLOOKUP($A500,'Infinet ExDa'!$B$2:$E$14, 0,FALSE), "Not Found"))))))))</f>
        <v>Onebill</v>
      </c>
    </row>
    <row r="501" spans="1:14">
      <c r="A501" t="str">
        <v>Zambrero Majura Park</v>
      </c>
      <c r="B501" t="str">
        <f>IFERROR(VLOOKUP(A501,'Exetel ExDa'!$C$2:$N$14,4,FALSE),"No Data")</f>
        <v>No Data</v>
      </c>
      <c r="C501" t="str">
        <f>IFERROR(VLOOKUP(A501,'AAPT ExDa'!$B$2:$U$99, 2,FALSE), IFERROR(VLOOKUP(A501,'ABB ExDa'!$A$2:$N$184, 2,FALSE), IFERROR(VLOOKUP(A501,'Vocus SIT ExDa'!$B$2:$J$173, 7,FALSE), IFERROR(VLOOKUP(A501,'Telstra ExDa'!$B$2:$K$310, 2,FALSE), IFERROR(VLOOKUP(A501,'Vocus RVC ExDa'!$C$2:$R$155, 3,FALSE), IFERROR(VLOOKUP(A501,'Fusion ExDa'!$B$2:$D$16, 2,FALSE), IFERROR(VLOOKUP(A501,'Exetel ExDa'!$C$2:$N$14, 2,FALSE), IFERROR(VLOOKUP(A501,'Infinet ExDa'!$B$2:$E$14, 2,FALSE), "Not Found"))))))))</f>
        <v>Shop 33, 18-26 Spitfire Avenue, Canberra Airport, ACT 2609 (MAJURA PARK SHOPPING CENTRE)</v>
      </c>
      <c r="D501" t="str">
        <f>IFERROR(VLOOKUP($A501,'AAPT ExDa'!$B$2:$U$99, 15,FALSE), IFERROR(VLOOKUP($A501,'ABB ExDa'!$A$2:$N$184, 4,FALSE), IFERROR(VLOOKUP($A501,'Vocus SIT ExDa'!$B$2:$J$173, 5,FALSE), IFERROR(VLOOKUP($A501,'Telstra ExDa'!$B$2:$K$310, 8,FALSE), IFERROR(VLOOKUP($A501,'Vocus RVC ExDa'!$C$2:$R$155, 6,FALSE), IFERROR(VLOOKUP($A501,'Fusion ExDa'!$B$2:$D$16, 4,FALSE), IFERROR(VLOOKUP($A501,'Exetel ExDa'!$C$2:$N$14, 3,FALSE), IFERROR(VLOOKUP($A501,'Infinet ExDa'!$B$2:$E$14, 3,FALSE), "Not Found"))))))))</f>
        <v>Telstra</v>
      </c>
      <c r="E501">
        <f>IFERROR(VLOOKUP($A501,'AAPT ExDa'!$B$2:$U$99, 3,FALSE), IFERROR(VLOOKUP($A501,'ABB ExDa'!$A$2:$N$184, 5,FALSE), IFERROR(VLOOKUP($A501,'Vocus SIT ExDa'!$B$2:$J$173, 2,FALSE), IFERROR(VLOOKUP($A501,'Telstra ExDa'!$B$2:$K$310, 4,FALSE), IFERROR(VLOOKUP($A501,'Vocus RVC ExDa'!$C$2:$R$155, 8,FALSE), IFERROR(VLOOKUP($A501,'Fusion ExDa'!$B$2:$D$16, 4,FALSE), IFERROR(VLOOKUP($A501,'Exetel ExDa'!$C$2:$N$14, 5,FALSE), IFERROR(VLOOKUP($A501,'Infinet ExDa'!$B$2:$E$14, 3,FALSE), "Not Found"))))))))</f>
        <v>0</v>
      </c>
      <c r="F501" t="str">
        <f>IFERROR(VLOOKUP($A501,'AAPT ExDa'!$B$2:$U$99, 4,FALSE), IFERROR(VLOOKUP($A501,'ABB ExDa'!$A$2:$N$184, 6,FALSE), IFERROR(VLOOKUP($A501,'Vocus SIT ExDa'!$B$2:$J$173, 3,FALSE), IFERROR(VLOOKUP($A501,'Telstra ExDa'!$B$2:$K$310, 5,FALSE), IFERROR(VLOOKUP($A501,'Vocus RVC ExDa'!$C$2:$R$155, 9,FALSE), IFERROR(VLOOKUP($A501,'Fusion ExDa'!$B$2:$D$16, 0,FALSE), IFERROR(VLOOKUP($A501,'Exetel ExDa'!$C$2:$N$14, 6,FALSE), IFERROR(VLOOKUP($A501,'Infinet ExDa'!$B$2:$E$14, 0,FALSE), "Not Found"))))))))</f>
        <v>Unlimited Business Internet</v>
      </c>
      <c r="G501" t="str">
        <f>IFERROR(VLOOKUP($A501,'AAPT ExDa'!$B$2:$U$99, 5,FALSE), IFERROR(VLOOKUP($A501,'ABB ExDa'!$A$2:$N$184, 8,FALSE), IFERROR(VLOOKUP($A501,'Vocus SIT ExDa'!$B$2:$J$173, 6,FALSE), IFERROR(VLOOKUP($A501,'Telstra ExDa'!$B$2:$K$310, 0,FALSE), IFERROR(VLOOKUP($A501,'Vocus RVC ExDa'!$C$2:$R$155, 15,FALSE), IFERROR(VLOOKUP($A501,'Fusion ExDa'!$B$2:$D$16, 0,FALSE), IFERROR(VLOOKUP($A501,'Exetel ExDa'!$C$2:$N$14, 7,FALSE), IFERROR(VLOOKUP($A501,'Infinet ExDa'!$B$2:$E$14, 0,FALSE), "Not Found"))))))))</f>
        <v>Not Found</v>
      </c>
      <c r="H501" t="str">
        <f>IFERROR(VLOOKUP($A501,'AAPT ExDa'!$B$2:$U$99, 6,FALSE), IFERROR(VLOOKUP($A501,'ABB ExDa'!$A$2:$N$184, 0,FALSE), IFERROR(VLOOKUP($A501,'Vocus SIT ExDa'!$B$2:$J$173, 0,FALSE), IFERROR(VLOOKUP($A501,'Telstra ExDa'!$B$2:$K$310, 0,FALSE), IFERROR(VLOOKUP($A501,'Vocus RVC ExDa'!$C$2:$R$155, 16,FALSE), IFERROR(VLOOKUP($A501,'Fusion ExDa'!$B$2:$D$16, 0,FALSE), IFERROR(VLOOKUP($A501,'Exetel ExDa'!$C$2:$N$14, 0,FALSE), IFERROR(VLOOKUP($A501,'Infinet ExDa'!$B$2:$E$14, 0,FALSE), "Not Found"))))))))</f>
        <v>Not Found</v>
      </c>
      <c r="I501" t="str">
        <f>IFERROR(VLOOKUP($A501,'AAPT ExDa'!$B$2:$U$99, 0,FALSE), IFERROR(VLOOKUP($A501,'ABB ExDa'!$A$2:$N$184, 0,FALSE), IFERROR(VLOOKUP($A501,'Vocus SIT ExDa'!$B$2:$J$173, 0,FALSE), IFERROR(VLOOKUP($A501,'Telstra ExDa'!$B$2:$K$310, 0,FALSE), IFERROR(VLOOKUP($A501,'Vocus RVC ExDa'!$C$2:$R$155, 0,FALSE), IFERROR(VLOOKUP($A501,'Fusion ExDa'!$B$2:$D$16, 0,FALSE), IFERROR(VLOOKUP($A501,'Exetel ExDa'!$C$2:$N$14, 8,FALSE), IFERROR(VLOOKUP($A501,'Infinet ExDa'!$B$2:$E$14, 0,FALSE), "Not Found"))))))))</f>
        <v>Not Found</v>
      </c>
      <c r="J501" t="str">
        <f>IFERROR(VLOOKUP($A501,'AAPT ExDa'!$B$2:$U$99, 7,FALSE), IFERROR(VLOOKUP($A501,'ABB ExDa'!$A$2:$N$184, 2,FALSE), IFERROR(VLOOKUP($A501,'Vocus SIT ExDa'!$B$2:$J$173, 0,FALSE), IFERROR(VLOOKUP($A501,'Telstra ExDa'!$B$2:$K$310, 7,FALSE), IFERROR(VLOOKUP($A501,'Vocus RVC ExDa'!$C$2:$R$155, 2,FALSE), IFERROR(VLOOKUP($A501,'Fusion ExDa'!$B$2:$D$16, 3,FALSE), IFERROR(VLOOKUP($A501,'Exetel ExDa'!$C$2:$N$14, 0,FALSE), IFERROR(VLOOKUP($A501,'Infinet ExDa'!$B$2:$E$14, 0,FALSE), "Not Found"))))))))</f>
        <v xml:space="preserve">AVC000126102023 </v>
      </c>
      <c r="K501" t="str">
        <f>IFERROR(VLOOKUP($A501,'AAPT ExDa'!$B$2:$U$99, 12,FALSE), IFERROR(VLOOKUP($A501,'ABB ExDa'!$A$2:$N$184, 0,FALSE), IFERROR(VLOOKUP($A501,'Vocus SIT ExDa'!$B$2:$J$173, 0,FALSE), IFERROR(VLOOKUP($A501,'Telstra ExDa'!$B$2:$K$310, 0,FALSE), IFERROR(VLOOKUP($A501,'Vocus RVC ExDa'!$C$2:$R$155, 0,FALSE), IFERROR(VLOOKUP($A501,'Fusion ExDa'!$B$2:$D$16, 0,FALSE), IFERROR(VLOOKUP($A501,'Exetel ExDa'!$C$2:$N$14, 12,FALSE), IFERROR(VLOOKUP($A501,'Infinet ExDa'!$B$2:$E$14, 0,FALSE), "Not Found"))))))))</f>
        <v>Not Found</v>
      </c>
      <c r="L501" s="235" t="str">
        <f>IFERROR(VLOOKUP($A501,'AAPT ExDa'!$B$2:$U$99, 11,FALSE), IFERROR(VLOOKUP($A501,'ABB ExDa'!$A$2:$N$184, 9,FALSE), IFERROR(VLOOKUP($A501,'Vocus SIT ExDa'!$B$2:$J$173, 8,FALSE), IFERROR(VLOOKUP($A501,'Telstra ExDa'!$B$2:$K$310, 0,FALSE), IFERROR(VLOOKUP($A501,'Vocus RVC ExDa'!$C$2:$R$155, 0,FALSE), IFERROR(VLOOKUP($A501,'Fusion ExDa'!$B$2:$D$16, 0,FALSE), IFERROR(VLOOKUP($A501,'Exetel ExDa'!$C$2:$N$14, 9,FALSE), IFERROR(VLOOKUP($A501,'Infinet ExDa'!$B$2:$E$14, 0,FALSE), "Not Found"))))))))</f>
        <v>Not Found</v>
      </c>
      <c r="M501" s="234" t="str">
        <f>IFERROR(VLOOKUP($A501,'AAPT ExDa'!$B$2:$U$99, 0,FALSE), IFERROR(VLOOKUP($A501,'ABB ExDa'!$A$2:$N$184, 0,FALSE), IFERROR(VLOOKUP($A501,'Vocus SIT ExDa'!$B$2:$J$173, 0,FALSE), IFERROR(VLOOKUP($A501,'Telstra ExDa'!$B$2:$K$310, 0,FALSE), IFERROR(VLOOKUP($A501,'Vocus RVC ExDa'!$C$2:$R$155, 0,FALSE), IFERROR(VLOOKUP($A501,'Fusion ExDa'!$B$2:$D$16, 0,FALSE), IFERROR(VLOOKUP($A501,'Exetel ExDa'!$C$2:$N$14, 11,FALSE), IFERROR(VLOOKUP($A501,'Infinet ExDa'!$B$2:$E$14, 0,FALSE), "Not Found"))))))))</f>
        <v>Not Found</v>
      </c>
      <c r="N501" t="str">
        <f>IFERROR(VLOOKUP($A501,'AAPT ExDa'!$B$2:$U$99, 0,FALSE), IFERROR(VLOOKUP($A501,'ABB ExDa'!$A$2:$N$184, 13,FALSE), IFERROR(VLOOKUP($A501,'Vocus SIT ExDa'!$B$2:$J$173, 0,FALSE), IFERROR(VLOOKUP($A501,'Telstra ExDa'!$B$2:$K$310, 0,FALSE), IFERROR(VLOOKUP($A501,'Vocus RVC ExDa'!$C$2:$R$155, 0,FALSE), IFERROR(VLOOKUP($A501,'Fusion ExDa'!$B$2:$D$16, 0,FALSE), IFERROR(VLOOKUP($A501,'Exetel ExDa'!$C$2:$N$14, 0,FALSE), IFERROR(VLOOKUP($A501,'Infinet ExDa'!$B$2:$E$14, 0,FALSE), "Not Found"))))))))</f>
        <v>Not Found</v>
      </c>
    </row>
    <row r="502" spans="1:14">
      <c r="A502" t="str">
        <v>Zambrero Majura Park</v>
      </c>
      <c r="B502" t="str">
        <f>IFERROR(VLOOKUP(A502,'Exetel ExDa'!$C$2:$N$14,4,FALSE),"No Data")</f>
        <v>No Data</v>
      </c>
      <c r="C502" t="str">
        <f>IFERROR(VLOOKUP(A502,'AAPT ExDa'!$B$2:$U$99, 2,FALSE), IFERROR(VLOOKUP(A502,'ABB ExDa'!$A$2:$N$184, 2,FALSE), IFERROR(VLOOKUP(A502,'Vocus SIT ExDa'!$B$2:$J$173, 7,FALSE), IFERROR(VLOOKUP(A502,'Telstra ExDa'!$B$2:$K$310, 2,FALSE), IFERROR(VLOOKUP(A502,'Vocus RVC ExDa'!$C$2:$R$155, 3,FALSE), IFERROR(VLOOKUP(A502,'Fusion ExDa'!$B$2:$D$16, 2,FALSE), IFERROR(VLOOKUP(A502,'Exetel ExDa'!$C$2:$N$14, 2,FALSE), IFERROR(VLOOKUP(A502,'Infinet ExDa'!$B$2:$E$14, 2,FALSE), "Not Found"))))))))</f>
        <v>Shop 33, 18-26 Spitfire Avenue, Canberra Airport, ACT 2609 (MAJURA PARK SHOPPING CENTRE)</v>
      </c>
      <c r="D502" t="str">
        <f>IFERROR(VLOOKUP($A502,'AAPT ExDa'!$B$2:$U$99, 15,FALSE), IFERROR(VLOOKUP($A502,'ABB ExDa'!$A$2:$N$184, 4,FALSE), IFERROR(VLOOKUP($A502,'Vocus SIT ExDa'!$B$2:$J$173, 5,FALSE), IFERROR(VLOOKUP($A502,'Telstra ExDa'!$B$2:$K$310, 8,FALSE), IFERROR(VLOOKUP($A502,'Vocus RVC ExDa'!$C$2:$R$155, 6,FALSE), IFERROR(VLOOKUP($A502,'Fusion ExDa'!$B$2:$D$16, 4,FALSE), IFERROR(VLOOKUP($A502,'Exetel ExDa'!$C$2:$N$14, 3,FALSE), IFERROR(VLOOKUP($A502,'Infinet ExDa'!$B$2:$E$14, 3,FALSE), "Not Found"))))))))</f>
        <v>Telstra</v>
      </c>
      <c r="E502">
        <f>IFERROR(VLOOKUP($A502,'AAPT ExDa'!$B$2:$U$99, 3,FALSE), IFERROR(VLOOKUP($A502,'ABB ExDa'!$A$2:$N$184, 5,FALSE), IFERROR(VLOOKUP($A502,'Vocus SIT ExDa'!$B$2:$J$173, 2,FALSE), IFERROR(VLOOKUP($A502,'Telstra ExDa'!$B$2:$K$310, 4,FALSE), IFERROR(VLOOKUP($A502,'Vocus RVC ExDa'!$C$2:$R$155, 8,FALSE), IFERROR(VLOOKUP($A502,'Fusion ExDa'!$B$2:$D$16, 4,FALSE), IFERROR(VLOOKUP($A502,'Exetel ExDa'!$C$2:$N$14, 5,FALSE), IFERROR(VLOOKUP($A502,'Infinet ExDa'!$B$2:$E$14, 3,FALSE), "Not Found"))))))))</f>
        <v>0</v>
      </c>
      <c r="F502" t="str">
        <f>IFERROR(VLOOKUP($A502,'AAPT ExDa'!$B$2:$U$99, 4,FALSE), IFERROR(VLOOKUP($A502,'ABB ExDa'!$A$2:$N$184, 6,FALSE), IFERROR(VLOOKUP($A502,'Vocus SIT ExDa'!$B$2:$J$173, 3,FALSE), IFERROR(VLOOKUP($A502,'Telstra ExDa'!$B$2:$K$310, 5,FALSE), IFERROR(VLOOKUP($A502,'Vocus RVC ExDa'!$C$2:$R$155, 9,FALSE), IFERROR(VLOOKUP($A502,'Fusion ExDa'!$B$2:$D$16, 0,FALSE), IFERROR(VLOOKUP($A502,'Exetel ExDa'!$C$2:$N$14, 6,FALSE), IFERROR(VLOOKUP($A502,'Infinet ExDa'!$B$2:$E$14, 0,FALSE), "Not Found"))))))))</f>
        <v>Unlimited Business Internet</v>
      </c>
      <c r="G502" t="str">
        <f>IFERROR(VLOOKUP($A502,'AAPT ExDa'!$B$2:$U$99, 5,FALSE), IFERROR(VLOOKUP($A502,'ABB ExDa'!$A$2:$N$184, 8,FALSE), IFERROR(VLOOKUP($A502,'Vocus SIT ExDa'!$B$2:$J$173, 6,FALSE), IFERROR(VLOOKUP($A502,'Telstra ExDa'!$B$2:$K$310, 0,FALSE), IFERROR(VLOOKUP($A502,'Vocus RVC ExDa'!$C$2:$R$155, 15,FALSE), IFERROR(VLOOKUP($A502,'Fusion ExDa'!$B$2:$D$16, 0,FALSE), IFERROR(VLOOKUP($A502,'Exetel ExDa'!$C$2:$N$14, 7,FALSE), IFERROR(VLOOKUP($A502,'Infinet ExDa'!$B$2:$E$14, 0,FALSE), "Not Found"))))))))</f>
        <v>Not Found</v>
      </c>
      <c r="H502" t="str">
        <f>IFERROR(VLOOKUP($A502,'AAPT ExDa'!$B$2:$U$99, 6,FALSE), IFERROR(VLOOKUP($A502,'ABB ExDa'!$A$2:$N$184, 0,FALSE), IFERROR(VLOOKUP($A502,'Vocus SIT ExDa'!$B$2:$J$173, 0,FALSE), IFERROR(VLOOKUP($A502,'Telstra ExDa'!$B$2:$K$310, 0,FALSE), IFERROR(VLOOKUP($A502,'Vocus RVC ExDa'!$C$2:$R$155, 16,FALSE), IFERROR(VLOOKUP($A502,'Fusion ExDa'!$B$2:$D$16, 0,FALSE), IFERROR(VLOOKUP($A502,'Exetel ExDa'!$C$2:$N$14, 0,FALSE), IFERROR(VLOOKUP($A502,'Infinet ExDa'!$B$2:$E$14, 0,FALSE), "Not Found"))))))))</f>
        <v>Not Found</v>
      </c>
      <c r="I502" t="str">
        <f>IFERROR(VLOOKUP($A502,'AAPT ExDa'!$B$2:$U$99, 0,FALSE), IFERROR(VLOOKUP($A502,'ABB ExDa'!$A$2:$N$184, 0,FALSE), IFERROR(VLOOKUP($A502,'Vocus SIT ExDa'!$B$2:$J$173, 0,FALSE), IFERROR(VLOOKUP($A502,'Telstra ExDa'!$B$2:$K$310, 0,FALSE), IFERROR(VLOOKUP($A502,'Vocus RVC ExDa'!$C$2:$R$155, 0,FALSE), IFERROR(VLOOKUP($A502,'Fusion ExDa'!$B$2:$D$16, 0,FALSE), IFERROR(VLOOKUP($A502,'Exetel ExDa'!$C$2:$N$14, 8,FALSE), IFERROR(VLOOKUP($A502,'Infinet ExDa'!$B$2:$E$14, 0,FALSE), "Not Found"))))))))</f>
        <v>Not Found</v>
      </c>
      <c r="J502" t="str">
        <f>IFERROR(VLOOKUP($A502,'AAPT ExDa'!$B$2:$U$99, 7,FALSE), IFERROR(VLOOKUP($A502,'ABB ExDa'!$A$2:$N$184, 2,FALSE), IFERROR(VLOOKUP($A502,'Vocus SIT ExDa'!$B$2:$J$173, 0,FALSE), IFERROR(VLOOKUP($A502,'Telstra ExDa'!$B$2:$K$310, 7,FALSE), IFERROR(VLOOKUP($A502,'Vocus RVC ExDa'!$C$2:$R$155, 2,FALSE), IFERROR(VLOOKUP($A502,'Fusion ExDa'!$B$2:$D$16, 3,FALSE), IFERROR(VLOOKUP($A502,'Exetel ExDa'!$C$2:$N$14, 0,FALSE), IFERROR(VLOOKUP($A502,'Infinet ExDa'!$B$2:$E$14, 0,FALSE), "Not Found"))))))))</f>
        <v xml:space="preserve">AVC000126102023 </v>
      </c>
      <c r="K502" t="str">
        <f>IFERROR(VLOOKUP($A502,'AAPT ExDa'!$B$2:$U$99, 12,FALSE), IFERROR(VLOOKUP($A502,'ABB ExDa'!$A$2:$N$184, 0,FALSE), IFERROR(VLOOKUP($A502,'Vocus SIT ExDa'!$B$2:$J$173, 0,FALSE), IFERROR(VLOOKUP($A502,'Telstra ExDa'!$B$2:$K$310, 0,FALSE), IFERROR(VLOOKUP($A502,'Vocus RVC ExDa'!$C$2:$R$155, 0,FALSE), IFERROR(VLOOKUP($A502,'Fusion ExDa'!$B$2:$D$16, 0,FALSE), IFERROR(VLOOKUP($A502,'Exetel ExDa'!$C$2:$N$14, 12,FALSE), IFERROR(VLOOKUP($A502,'Infinet ExDa'!$B$2:$E$14, 0,FALSE), "Not Found"))))))))</f>
        <v>Not Found</v>
      </c>
      <c r="L502" s="235" t="str">
        <f>IFERROR(VLOOKUP($A502,'AAPT ExDa'!$B$2:$U$99, 11,FALSE), IFERROR(VLOOKUP($A502,'ABB ExDa'!$A$2:$N$184, 9,FALSE), IFERROR(VLOOKUP($A502,'Vocus SIT ExDa'!$B$2:$J$173, 8,FALSE), IFERROR(VLOOKUP($A502,'Telstra ExDa'!$B$2:$K$310, 0,FALSE), IFERROR(VLOOKUP($A502,'Vocus RVC ExDa'!$C$2:$R$155, 0,FALSE), IFERROR(VLOOKUP($A502,'Fusion ExDa'!$B$2:$D$16, 0,FALSE), IFERROR(VLOOKUP($A502,'Exetel ExDa'!$C$2:$N$14, 9,FALSE), IFERROR(VLOOKUP($A502,'Infinet ExDa'!$B$2:$E$14, 0,FALSE), "Not Found"))))))))</f>
        <v>Not Found</v>
      </c>
      <c r="M502" s="234" t="str">
        <f>IFERROR(VLOOKUP($A502,'AAPT ExDa'!$B$2:$U$99, 0,FALSE), IFERROR(VLOOKUP($A502,'ABB ExDa'!$A$2:$N$184, 0,FALSE), IFERROR(VLOOKUP($A502,'Vocus SIT ExDa'!$B$2:$J$173, 0,FALSE), IFERROR(VLOOKUP($A502,'Telstra ExDa'!$B$2:$K$310, 0,FALSE), IFERROR(VLOOKUP($A502,'Vocus RVC ExDa'!$C$2:$R$155, 0,FALSE), IFERROR(VLOOKUP($A502,'Fusion ExDa'!$B$2:$D$16, 0,FALSE), IFERROR(VLOOKUP($A502,'Exetel ExDa'!$C$2:$N$14, 11,FALSE), IFERROR(VLOOKUP($A502,'Infinet ExDa'!$B$2:$E$14, 0,FALSE), "Not Found"))))))))</f>
        <v>Not Found</v>
      </c>
      <c r="N502" t="str">
        <f>IFERROR(VLOOKUP($A502,'AAPT ExDa'!$B$2:$U$99, 0,FALSE), IFERROR(VLOOKUP($A502,'ABB ExDa'!$A$2:$N$184, 13,FALSE), IFERROR(VLOOKUP($A502,'Vocus SIT ExDa'!$B$2:$J$173, 0,FALSE), IFERROR(VLOOKUP($A502,'Telstra ExDa'!$B$2:$K$310, 0,FALSE), IFERROR(VLOOKUP($A502,'Vocus RVC ExDa'!$C$2:$R$155, 0,FALSE), IFERROR(VLOOKUP($A502,'Fusion ExDa'!$B$2:$D$16, 0,FALSE), IFERROR(VLOOKUP($A502,'Exetel ExDa'!$C$2:$N$14, 0,FALSE), IFERROR(VLOOKUP($A502,'Infinet ExDa'!$B$2:$E$14, 0,FALSE), "Not Found"))))))))</f>
        <v>Not Found</v>
      </c>
    </row>
    <row r="503" spans="1:14">
      <c r="A503" t="str">
        <v>Zambrero Griffith</v>
      </c>
      <c r="B503" t="str">
        <f>IFERROR(VLOOKUP(A503,'Exetel ExDa'!$C$2:$N$14,4,FALSE),"No Data")</f>
        <v>No Data</v>
      </c>
      <c r="C503" t="str">
        <f>IFERROR(VLOOKUP(A503,'AAPT ExDa'!$B$2:$U$99, 2,FALSE), IFERROR(VLOOKUP(A503,'ABB ExDa'!$A$2:$N$184, 2,FALSE), IFERROR(VLOOKUP(A503,'Vocus SIT ExDa'!$B$2:$J$173, 7,FALSE), IFERROR(VLOOKUP(A503,'Telstra ExDa'!$B$2:$K$310, 2,FALSE), IFERROR(VLOOKUP(A503,'Vocus RVC ExDa'!$C$2:$R$155, 3,FALSE), IFERROR(VLOOKUP(A503,'Fusion ExDa'!$B$2:$D$16, 2,FALSE), IFERROR(VLOOKUP(A503,'Exetel ExDa'!$C$2:$N$14, 2,FALSE), IFERROR(VLOOKUP(A503,'Infinet ExDa'!$B$2:$E$14, 2,FALSE), "Not Found"))))))))</f>
        <v>46 192 BANNA AVE GRIFFITH   </v>
      </c>
      <c r="D503" t="str">
        <f>IFERROR(VLOOKUP($A503,'AAPT ExDa'!$B$2:$U$99, 15,FALSE), IFERROR(VLOOKUP($A503,'ABB ExDa'!$A$2:$N$184, 4,FALSE), IFERROR(VLOOKUP($A503,'Vocus SIT ExDa'!$B$2:$J$173, 5,FALSE), IFERROR(VLOOKUP($A503,'Telstra ExDa'!$B$2:$K$310, 8,FALSE), IFERROR(VLOOKUP($A503,'Vocus RVC ExDa'!$C$2:$R$155, 6,FALSE), IFERROR(VLOOKUP($A503,'Fusion ExDa'!$B$2:$D$16, 4,FALSE), IFERROR(VLOOKUP($A503,'Exetel ExDa'!$C$2:$N$14, 3,FALSE), IFERROR(VLOOKUP($A503,'Infinet ExDa'!$B$2:$E$14, 3,FALSE), "Not Found"))))))))</f>
        <v>Telstra</v>
      </c>
      <c r="E503">
        <f>IFERROR(VLOOKUP($A503,'AAPT ExDa'!$B$2:$U$99, 3,FALSE), IFERROR(VLOOKUP($A503,'ABB ExDa'!$A$2:$N$184, 5,FALSE), IFERROR(VLOOKUP($A503,'Vocus SIT ExDa'!$B$2:$J$173, 2,FALSE), IFERROR(VLOOKUP($A503,'Telstra ExDa'!$B$2:$K$310, 4,FALSE), IFERROR(VLOOKUP($A503,'Vocus RVC ExDa'!$C$2:$R$155, 8,FALSE), IFERROR(VLOOKUP($A503,'Fusion ExDa'!$B$2:$D$16, 4,FALSE), IFERROR(VLOOKUP($A503,'Exetel ExDa'!$C$2:$N$14, 5,FALSE), IFERROR(VLOOKUP($A503,'Infinet ExDa'!$B$2:$E$14, 3,FALSE), "Not Found"))))))))</f>
        <v>0</v>
      </c>
      <c r="F503" t="str">
        <f>IFERROR(VLOOKUP($A503,'AAPT ExDa'!$B$2:$U$99, 4,FALSE), IFERROR(VLOOKUP($A503,'ABB ExDa'!$A$2:$N$184, 6,FALSE), IFERROR(VLOOKUP($A503,'Vocus SIT ExDa'!$B$2:$J$173, 3,FALSE), IFERROR(VLOOKUP($A503,'Telstra ExDa'!$B$2:$K$310, 5,FALSE), IFERROR(VLOOKUP($A503,'Vocus RVC ExDa'!$C$2:$R$155, 9,FALSE), IFERROR(VLOOKUP($A503,'Fusion ExDa'!$B$2:$D$16, 0,FALSE), IFERROR(VLOOKUP($A503,'Exetel ExDa'!$C$2:$N$14, 6,FALSE), IFERROR(VLOOKUP($A503,'Infinet ExDa'!$B$2:$E$14, 0,FALSE), "Not Found"))))))))</f>
        <v>Unlimited Business Internet</v>
      </c>
      <c r="G503" t="str">
        <f>IFERROR(VLOOKUP($A503,'AAPT ExDa'!$B$2:$U$99, 5,FALSE), IFERROR(VLOOKUP($A503,'ABB ExDa'!$A$2:$N$184, 8,FALSE), IFERROR(VLOOKUP($A503,'Vocus SIT ExDa'!$B$2:$J$173, 6,FALSE), IFERROR(VLOOKUP($A503,'Telstra ExDa'!$B$2:$K$310, 0,FALSE), IFERROR(VLOOKUP($A503,'Vocus RVC ExDa'!$C$2:$R$155, 15,FALSE), IFERROR(VLOOKUP($A503,'Fusion ExDa'!$B$2:$D$16, 0,FALSE), IFERROR(VLOOKUP($A503,'Exetel ExDa'!$C$2:$N$14, 7,FALSE), IFERROR(VLOOKUP($A503,'Infinet ExDa'!$B$2:$E$14, 0,FALSE), "Not Found"))))))))</f>
        <v>Not Found</v>
      </c>
      <c r="H503" t="str">
        <f>IFERROR(VLOOKUP($A503,'AAPT ExDa'!$B$2:$U$99, 6,FALSE), IFERROR(VLOOKUP($A503,'ABB ExDa'!$A$2:$N$184, 0,FALSE), IFERROR(VLOOKUP($A503,'Vocus SIT ExDa'!$B$2:$J$173, 0,FALSE), IFERROR(VLOOKUP($A503,'Telstra ExDa'!$B$2:$K$310, 0,FALSE), IFERROR(VLOOKUP($A503,'Vocus RVC ExDa'!$C$2:$R$155, 16,FALSE), IFERROR(VLOOKUP($A503,'Fusion ExDa'!$B$2:$D$16, 0,FALSE), IFERROR(VLOOKUP($A503,'Exetel ExDa'!$C$2:$N$14, 0,FALSE), IFERROR(VLOOKUP($A503,'Infinet ExDa'!$B$2:$E$14, 0,FALSE), "Not Found"))))))))</f>
        <v>Not Found</v>
      </c>
      <c r="I503" t="str">
        <f>IFERROR(VLOOKUP($A503,'AAPT ExDa'!$B$2:$U$99, 0,FALSE), IFERROR(VLOOKUP($A503,'ABB ExDa'!$A$2:$N$184, 0,FALSE), IFERROR(VLOOKUP($A503,'Vocus SIT ExDa'!$B$2:$J$173, 0,FALSE), IFERROR(VLOOKUP($A503,'Telstra ExDa'!$B$2:$K$310, 0,FALSE), IFERROR(VLOOKUP($A503,'Vocus RVC ExDa'!$C$2:$R$155, 0,FALSE), IFERROR(VLOOKUP($A503,'Fusion ExDa'!$B$2:$D$16, 0,FALSE), IFERROR(VLOOKUP($A503,'Exetel ExDa'!$C$2:$N$14, 8,FALSE), IFERROR(VLOOKUP($A503,'Infinet ExDa'!$B$2:$E$14, 0,FALSE), "Not Found"))))))))</f>
        <v>Not Found</v>
      </c>
      <c r="J503" t="str">
        <f>IFERROR(VLOOKUP($A503,'AAPT ExDa'!$B$2:$U$99, 7,FALSE), IFERROR(VLOOKUP($A503,'ABB ExDa'!$A$2:$N$184, 2,FALSE), IFERROR(VLOOKUP($A503,'Vocus SIT ExDa'!$B$2:$J$173, 0,FALSE), IFERROR(VLOOKUP($A503,'Telstra ExDa'!$B$2:$K$310, 7,FALSE), IFERROR(VLOOKUP($A503,'Vocus RVC ExDa'!$C$2:$R$155, 2,FALSE), IFERROR(VLOOKUP($A503,'Fusion ExDa'!$B$2:$D$16, 3,FALSE), IFERROR(VLOOKUP($A503,'Exetel ExDa'!$C$2:$N$14, 0,FALSE), IFERROR(VLOOKUP($A503,'Infinet ExDa'!$B$2:$E$14, 0,FALSE), "Not Found"))))))))</f>
        <v>AVC000037231418</v>
      </c>
      <c r="K503" t="str">
        <f>IFERROR(VLOOKUP($A503,'AAPT ExDa'!$B$2:$U$99, 12,FALSE), IFERROR(VLOOKUP($A503,'ABB ExDa'!$A$2:$N$184, 0,FALSE), IFERROR(VLOOKUP($A503,'Vocus SIT ExDa'!$B$2:$J$173, 0,FALSE), IFERROR(VLOOKUP($A503,'Telstra ExDa'!$B$2:$K$310, 0,FALSE), IFERROR(VLOOKUP($A503,'Vocus RVC ExDa'!$C$2:$R$155, 0,FALSE), IFERROR(VLOOKUP($A503,'Fusion ExDa'!$B$2:$D$16, 0,FALSE), IFERROR(VLOOKUP($A503,'Exetel ExDa'!$C$2:$N$14, 12,FALSE), IFERROR(VLOOKUP($A503,'Infinet ExDa'!$B$2:$E$14, 0,FALSE), "Not Found"))))))))</f>
        <v>Not Found</v>
      </c>
      <c r="L503" s="235" t="str">
        <f>IFERROR(VLOOKUP($A503,'AAPT ExDa'!$B$2:$U$99, 11,FALSE), IFERROR(VLOOKUP($A503,'ABB ExDa'!$A$2:$N$184, 9,FALSE), IFERROR(VLOOKUP($A503,'Vocus SIT ExDa'!$B$2:$J$173, 8,FALSE), IFERROR(VLOOKUP($A503,'Telstra ExDa'!$B$2:$K$310, 0,FALSE), IFERROR(VLOOKUP($A503,'Vocus RVC ExDa'!$C$2:$R$155, 0,FALSE), IFERROR(VLOOKUP($A503,'Fusion ExDa'!$B$2:$D$16, 0,FALSE), IFERROR(VLOOKUP($A503,'Exetel ExDa'!$C$2:$N$14, 9,FALSE), IFERROR(VLOOKUP($A503,'Infinet ExDa'!$B$2:$E$14, 0,FALSE), "Not Found"))))))))</f>
        <v>Not Found</v>
      </c>
      <c r="M503" s="234" t="str">
        <f>IFERROR(VLOOKUP($A503,'AAPT ExDa'!$B$2:$U$99, 0,FALSE), IFERROR(VLOOKUP($A503,'ABB ExDa'!$A$2:$N$184, 0,FALSE), IFERROR(VLOOKUP($A503,'Vocus SIT ExDa'!$B$2:$J$173, 0,FALSE), IFERROR(VLOOKUP($A503,'Telstra ExDa'!$B$2:$K$310, 0,FALSE), IFERROR(VLOOKUP($A503,'Vocus RVC ExDa'!$C$2:$R$155, 0,FALSE), IFERROR(VLOOKUP($A503,'Fusion ExDa'!$B$2:$D$16, 0,FALSE), IFERROR(VLOOKUP($A503,'Exetel ExDa'!$C$2:$N$14, 11,FALSE), IFERROR(VLOOKUP($A503,'Infinet ExDa'!$B$2:$E$14, 0,FALSE), "Not Found"))))))))</f>
        <v>Not Found</v>
      </c>
      <c r="N503" t="str">
        <f>IFERROR(VLOOKUP($A503,'AAPT ExDa'!$B$2:$U$99, 0,FALSE), IFERROR(VLOOKUP($A503,'ABB ExDa'!$A$2:$N$184, 13,FALSE), IFERROR(VLOOKUP($A503,'Vocus SIT ExDa'!$B$2:$J$173, 0,FALSE), IFERROR(VLOOKUP($A503,'Telstra ExDa'!$B$2:$K$310, 0,FALSE), IFERROR(VLOOKUP($A503,'Vocus RVC ExDa'!$C$2:$R$155, 0,FALSE), IFERROR(VLOOKUP($A503,'Fusion ExDa'!$B$2:$D$16, 0,FALSE), IFERROR(VLOOKUP($A503,'Exetel ExDa'!$C$2:$N$14, 0,FALSE), IFERROR(VLOOKUP($A503,'Infinet ExDa'!$B$2:$E$14, 0,FALSE), "Not Found"))))))))</f>
        <v>Not Found</v>
      </c>
    </row>
    <row r="504" spans="1:14">
      <c r="A504" t="str">
        <v>Zambrero Griffith</v>
      </c>
      <c r="B504" t="str">
        <f>IFERROR(VLOOKUP(A504,'Exetel ExDa'!$C$2:$N$14,4,FALSE),"No Data")</f>
        <v>No Data</v>
      </c>
      <c r="C504" t="str">
        <f>IFERROR(VLOOKUP(A504,'AAPT ExDa'!$B$2:$U$99, 2,FALSE), IFERROR(VLOOKUP(A504,'ABB ExDa'!$A$2:$N$184, 2,FALSE), IFERROR(VLOOKUP(A504,'Vocus SIT ExDa'!$B$2:$J$173, 7,FALSE), IFERROR(VLOOKUP(A504,'Telstra ExDa'!$B$2:$K$310, 2,FALSE), IFERROR(VLOOKUP(A504,'Vocus RVC ExDa'!$C$2:$R$155, 3,FALSE), IFERROR(VLOOKUP(A504,'Fusion ExDa'!$B$2:$D$16, 2,FALSE), IFERROR(VLOOKUP(A504,'Exetel ExDa'!$C$2:$N$14, 2,FALSE), IFERROR(VLOOKUP(A504,'Infinet ExDa'!$B$2:$E$14, 2,FALSE), "Not Found"))))))))</f>
        <v>46 192 BANNA AVE GRIFFITH   </v>
      </c>
      <c r="D504" t="str">
        <f>IFERROR(VLOOKUP($A504,'AAPT ExDa'!$B$2:$U$99, 15,FALSE), IFERROR(VLOOKUP($A504,'ABB ExDa'!$A$2:$N$184, 4,FALSE), IFERROR(VLOOKUP($A504,'Vocus SIT ExDa'!$B$2:$J$173, 5,FALSE), IFERROR(VLOOKUP($A504,'Telstra ExDa'!$B$2:$K$310, 8,FALSE), IFERROR(VLOOKUP($A504,'Vocus RVC ExDa'!$C$2:$R$155, 6,FALSE), IFERROR(VLOOKUP($A504,'Fusion ExDa'!$B$2:$D$16, 4,FALSE), IFERROR(VLOOKUP($A504,'Exetel ExDa'!$C$2:$N$14, 3,FALSE), IFERROR(VLOOKUP($A504,'Infinet ExDa'!$B$2:$E$14, 3,FALSE), "Not Found"))))))))</f>
        <v>Telstra</v>
      </c>
      <c r="E504">
        <f>IFERROR(VLOOKUP($A504,'AAPT ExDa'!$B$2:$U$99, 3,FALSE), IFERROR(VLOOKUP($A504,'ABB ExDa'!$A$2:$N$184, 5,FALSE), IFERROR(VLOOKUP($A504,'Vocus SIT ExDa'!$B$2:$J$173, 2,FALSE), IFERROR(VLOOKUP($A504,'Telstra ExDa'!$B$2:$K$310, 4,FALSE), IFERROR(VLOOKUP($A504,'Vocus RVC ExDa'!$C$2:$R$155, 8,FALSE), IFERROR(VLOOKUP($A504,'Fusion ExDa'!$B$2:$D$16, 4,FALSE), IFERROR(VLOOKUP($A504,'Exetel ExDa'!$C$2:$N$14, 5,FALSE), IFERROR(VLOOKUP($A504,'Infinet ExDa'!$B$2:$E$14, 3,FALSE), "Not Found"))))))))</f>
        <v>0</v>
      </c>
      <c r="F504" t="str">
        <f>IFERROR(VLOOKUP($A504,'AAPT ExDa'!$B$2:$U$99, 4,FALSE), IFERROR(VLOOKUP($A504,'ABB ExDa'!$A$2:$N$184, 6,FALSE), IFERROR(VLOOKUP($A504,'Vocus SIT ExDa'!$B$2:$J$173, 3,FALSE), IFERROR(VLOOKUP($A504,'Telstra ExDa'!$B$2:$K$310, 5,FALSE), IFERROR(VLOOKUP($A504,'Vocus RVC ExDa'!$C$2:$R$155, 9,FALSE), IFERROR(VLOOKUP($A504,'Fusion ExDa'!$B$2:$D$16, 0,FALSE), IFERROR(VLOOKUP($A504,'Exetel ExDa'!$C$2:$N$14, 6,FALSE), IFERROR(VLOOKUP($A504,'Infinet ExDa'!$B$2:$E$14, 0,FALSE), "Not Found"))))))))</f>
        <v>Unlimited Business Internet</v>
      </c>
      <c r="G504" t="str">
        <f>IFERROR(VLOOKUP($A504,'AAPT ExDa'!$B$2:$U$99, 5,FALSE), IFERROR(VLOOKUP($A504,'ABB ExDa'!$A$2:$N$184, 8,FALSE), IFERROR(VLOOKUP($A504,'Vocus SIT ExDa'!$B$2:$J$173, 6,FALSE), IFERROR(VLOOKUP($A504,'Telstra ExDa'!$B$2:$K$310, 0,FALSE), IFERROR(VLOOKUP($A504,'Vocus RVC ExDa'!$C$2:$R$155, 15,FALSE), IFERROR(VLOOKUP($A504,'Fusion ExDa'!$B$2:$D$16, 0,FALSE), IFERROR(VLOOKUP($A504,'Exetel ExDa'!$C$2:$N$14, 7,FALSE), IFERROR(VLOOKUP($A504,'Infinet ExDa'!$B$2:$E$14, 0,FALSE), "Not Found"))))))))</f>
        <v>Not Found</v>
      </c>
      <c r="H504" t="str">
        <f>IFERROR(VLOOKUP($A504,'AAPT ExDa'!$B$2:$U$99, 6,FALSE), IFERROR(VLOOKUP($A504,'ABB ExDa'!$A$2:$N$184, 0,FALSE), IFERROR(VLOOKUP($A504,'Vocus SIT ExDa'!$B$2:$J$173, 0,FALSE), IFERROR(VLOOKUP($A504,'Telstra ExDa'!$B$2:$K$310, 0,FALSE), IFERROR(VLOOKUP($A504,'Vocus RVC ExDa'!$C$2:$R$155, 16,FALSE), IFERROR(VLOOKUP($A504,'Fusion ExDa'!$B$2:$D$16, 0,FALSE), IFERROR(VLOOKUP($A504,'Exetel ExDa'!$C$2:$N$14, 0,FALSE), IFERROR(VLOOKUP($A504,'Infinet ExDa'!$B$2:$E$14, 0,FALSE), "Not Found"))))))))</f>
        <v>Not Found</v>
      </c>
      <c r="I504" t="str">
        <f>IFERROR(VLOOKUP($A504,'AAPT ExDa'!$B$2:$U$99, 0,FALSE), IFERROR(VLOOKUP($A504,'ABB ExDa'!$A$2:$N$184, 0,FALSE), IFERROR(VLOOKUP($A504,'Vocus SIT ExDa'!$B$2:$J$173, 0,FALSE), IFERROR(VLOOKUP($A504,'Telstra ExDa'!$B$2:$K$310, 0,FALSE), IFERROR(VLOOKUP($A504,'Vocus RVC ExDa'!$C$2:$R$155, 0,FALSE), IFERROR(VLOOKUP($A504,'Fusion ExDa'!$B$2:$D$16, 0,FALSE), IFERROR(VLOOKUP($A504,'Exetel ExDa'!$C$2:$N$14, 8,FALSE), IFERROR(VLOOKUP($A504,'Infinet ExDa'!$B$2:$E$14, 0,FALSE), "Not Found"))))))))</f>
        <v>Not Found</v>
      </c>
      <c r="J504" t="str">
        <f>IFERROR(VLOOKUP($A504,'AAPT ExDa'!$B$2:$U$99, 7,FALSE), IFERROR(VLOOKUP($A504,'ABB ExDa'!$A$2:$N$184, 2,FALSE), IFERROR(VLOOKUP($A504,'Vocus SIT ExDa'!$B$2:$J$173, 0,FALSE), IFERROR(VLOOKUP($A504,'Telstra ExDa'!$B$2:$K$310, 7,FALSE), IFERROR(VLOOKUP($A504,'Vocus RVC ExDa'!$C$2:$R$155, 2,FALSE), IFERROR(VLOOKUP($A504,'Fusion ExDa'!$B$2:$D$16, 3,FALSE), IFERROR(VLOOKUP($A504,'Exetel ExDa'!$C$2:$N$14, 0,FALSE), IFERROR(VLOOKUP($A504,'Infinet ExDa'!$B$2:$E$14, 0,FALSE), "Not Found"))))))))</f>
        <v>AVC000037231418</v>
      </c>
      <c r="K504" t="str">
        <f>IFERROR(VLOOKUP($A504,'AAPT ExDa'!$B$2:$U$99, 12,FALSE), IFERROR(VLOOKUP($A504,'ABB ExDa'!$A$2:$N$184, 0,FALSE), IFERROR(VLOOKUP($A504,'Vocus SIT ExDa'!$B$2:$J$173, 0,FALSE), IFERROR(VLOOKUP($A504,'Telstra ExDa'!$B$2:$K$310, 0,FALSE), IFERROR(VLOOKUP($A504,'Vocus RVC ExDa'!$C$2:$R$155, 0,FALSE), IFERROR(VLOOKUP($A504,'Fusion ExDa'!$B$2:$D$16, 0,FALSE), IFERROR(VLOOKUP($A504,'Exetel ExDa'!$C$2:$N$14, 12,FALSE), IFERROR(VLOOKUP($A504,'Infinet ExDa'!$B$2:$E$14, 0,FALSE), "Not Found"))))))))</f>
        <v>Not Found</v>
      </c>
      <c r="L504" s="235" t="str">
        <f>IFERROR(VLOOKUP($A504,'AAPT ExDa'!$B$2:$U$99, 11,FALSE), IFERROR(VLOOKUP($A504,'ABB ExDa'!$A$2:$N$184, 9,FALSE), IFERROR(VLOOKUP($A504,'Vocus SIT ExDa'!$B$2:$J$173, 8,FALSE), IFERROR(VLOOKUP($A504,'Telstra ExDa'!$B$2:$K$310, 0,FALSE), IFERROR(VLOOKUP($A504,'Vocus RVC ExDa'!$C$2:$R$155, 0,FALSE), IFERROR(VLOOKUP($A504,'Fusion ExDa'!$B$2:$D$16, 0,FALSE), IFERROR(VLOOKUP($A504,'Exetel ExDa'!$C$2:$N$14, 9,FALSE), IFERROR(VLOOKUP($A504,'Infinet ExDa'!$B$2:$E$14, 0,FALSE), "Not Found"))))))))</f>
        <v>Not Found</v>
      </c>
      <c r="M504" s="234" t="str">
        <f>IFERROR(VLOOKUP($A504,'AAPT ExDa'!$B$2:$U$99, 0,FALSE), IFERROR(VLOOKUP($A504,'ABB ExDa'!$A$2:$N$184, 0,FALSE), IFERROR(VLOOKUP($A504,'Vocus SIT ExDa'!$B$2:$J$173, 0,FALSE), IFERROR(VLOOKUP($A504,'Telstra ExDa'!$B$2:$K$310, 0,FALSE), IFERROR(VLOOKUP($A504,'Vocus RVC ExDa'!$C$2:$R$155, 0,FALSE), IFERROR(VLOOKUP($A504,'Fusion ExDa'!$B$2:$D$16, 0,FALSE), IFERROR(VLOOKUP($A504,'Exetel ExDa'!$C$2:$N$14, 11,FALSE), IFERROR(VLOOKUP($A504,'Infinet ExDa'!$B$2:$E$14, 0,FALSE), "Not Found"))))))))</f>
        <v>Not Found</v>
      </c>
      <c r="N504" t="str">
        <f>IFERROR(VLOOKUP($A504,'AAPT ExDa'!$B$2:$U$99, 0,FALSE), IFERROR(VLOOKUP($A504,'ABB ExDa'!$A$2:$N$184, 13,FALSE), IFERROR(VLOOKUP($A504,'Vocus SIT ExDa'!$B$2:$J$173, 0,FALSE), IFERROR(VLOOKUP($A504,'Telstra ExDa'!$B$2:$K$310, 0,FALSE), IFERROR(VLOOKUP($A504,'Vocus RVC ExDa'!$C$2:$R$155, 0,FALSE), IFERROR(VLOOKUP($A504,'Fusion ExDa'!$B$2:$D$16, 0,FALSE), IFERROR(VLOOKUP($A504,'Exetel ExDa'!$C$2:$N$14, 0,FALSE), IFERROR(VLOOKUP($A504,'Infinet ExDa'!$B$2:$E$14, 0,FALSE), "Not Found"))))))))</f>
        <v>Not Found</v>
      </c>
    </row>
    <row r="505" spans="1:14">
      <c r="A505" t="str">
        <v>Zambrero Newtown</v>
      </c>
      <c r="B505" t="str">
        <f>IFERROR(VLOOKUP(A505,'Exetel ExDa'!$C$2:$N$14,4,FALSE),"No Data")</f>
        <v>No Data</v>
      </c>
      <c r="C505" t="str">
        <f>IFERROR(VLOOKUP(A505,'AAPT ExDa'!$B$2:$U$99, 2,FALSE), IFERROR(VLOOKUP(A505,'ABB ExDa'!$A$2:$N$184, 2,FALSE), IFERROR(VLOOKUP(A505,'Vocus SIT ExDa'!$B$2:$J$173, 7,FALSE), IFERROR(VLOOKUP(A505,'Telstra ExDa'!$B$2:$K$310, 2,FALSE), IFERROR(VLOOKUP(A505,'Vocus RVC ExDa'!$C$2:$R$155, 3,FALSE), IFERROR(VLOOKUP(A505,'Fusion ExDa'!$B$2:$D$16, 2,FALSE), IFERROR(VLOOKUP(A505,'Exetel ExDa'!$C$2:$N$14, 2,FALSE), IFERROR(VLOOKUP(A505,'Infinet ExDa'!$B$2:$E$14, 2,FALSE), "Not Found"))))))))</f>
        <v>281 King Street, Newtown, NSW 2042</v>
      </c>
      <c r="D505" t="str">
        <f>IFERROR(VLOOKUP($A505,'AAPT ExDa'!$B$2:$U$99, 15,FALSE), IFERROR(VLOOKUP($A505,'ABB ExDa'!$A$2:$N$184, 4,FALSE), IFERROR(VLOOKUP($A505,'Vocus SIT ExDa'!$B$2:$J$173, 5,FALSE), IFERROR(VLOOKUP($A505,'Telstra ExDa'!$B$2:$K$310, 8,FALSE), IFERROR(VLOOKUP($A505,'Vocus RVC ExDa'!$C$2:$R$155, 6,FALSE), IFERROR(VLOOKUP($A505,'Fusion ExDa'!$B$2:$D$16, 4,FALSE), IFERROR(VLOOKUP($A505,'Exetel ExDa'!$C$2:$N$14, 3,FALSE), IFERROR(VLOOKUP($A505,'Infinet ExDa'!$B$2:$E$14, 3,FALSE), "Not Found"))))))))</f>
        <v>Telstra</v>
      </c>
      <c r="E505">
        <f>IFERROR(VLOOKUP($A505,'AAPT ExDa'!$B$2:$U$99, 3,FALSE), IFERROR(VLOOKUP($A505,'ABB ExDa'!$A$2:$N$184, 5,FALSE), IFERROR(VLOOKUP($A505,'Vocus SIT ExDa'!$B$2:$J$173, 2,FALSE), IFERROR(VLOOKUP($A505,'Telstra ExDa'!$B$2:$K$310, 4,FALSE), IFERROR(VLOOKUP($A505,'Vocus RVC ExDa'!$C$2:$R$155, 8,FALSE), IFERROR(VLOOKUP($A505,'Fusion ExDa'!$B$2:$D$16, 4,FALSE), IFERROR(VLOOKUP($A505,'Exetel ExDa'!$C$2:$N$14, 5,FALSE), IFERROR(VLOOKUP($A505,'Infinet ExDa'!$B$2:$E$14, 3,FALSE), "Not Found"))))))))</f>
        <v>0</v>
      </c>
      <c r="F505" t="str">
        <f>IFERROR(VLOOKUP($A505,'AAPT ExDa'!$B$2:$U$99, 4,FALSE), IFERROR(VLOOKUP($A505,'ABB ExDa'!$A$2:$N$184, 6,FALSE), IFERROR(VLOOKUP($A505,'Vocus SIT ExDa'!$B$2:$J$173, 3,FALSE), IFERROR(VLOOKUP($A505,'Telstra ExDa'!$B$2:$K$310, 5,FALSE), IFERROR(VLOOKUP($A505,'Vocus RVC ExDa'!$C$2:$R$155, 9,FALSE), IFERROR(VLOOKUP($A505,'Fusion ExDa'!$B$2:$D$16, 0,FALSE), IFERROR(VLOOKUP($A505,'Exetel ExDa'!$C$2:$N$14, 6,FALSE), IFERROR(VLOOKUP($A505,'Infinet ExDa'!$B$2:$E$14, 0,FALSE), "Not Found"))))))))</f>
        <v>Main Business Number</v>
      </c>
      <c r="G505" t="str">
        <f>IFERROR(VLOOKUP($A505,'AAPT ExDa'!$B$2:$U$99, 5,FALSE), IFERROR(VLOOKUP($A505,'ABB ExDa'!$A$2:$N$184, 8,FALSE), IFERROR(VLOOKUP($A505,'Vocus SIT ExDa'!$B$2:$J$173, 6,FALSE), IFERROR(VLOOKUP($A505,'Telstra ExDa'!$B$2:$K$310, 0,FALSE), IFERROR(VLOOKUP($A505,'Vocus RVC ExDa'!$C$2:$R$155, 15,FALSE), IFERROR(VLOOKUP($A505,'Fusion ExDa'!$B$2:$D$16, 0,FALSE), IFERROR(VLOOKUP($A505,'Exetel ExDa'!$C$2:$N$14, 7,FALSE), IFERROR(VLOOKUP($A505,'Infinet ExDa'!$B$2:$E$14, 0,FALSE), "Not Found"))))))))</f>
        <v>Not Found</v>
      </c>
      <c r="H505" t="str">
        <f>IFERROR(VLOOKUP($A505,'AAPT ExDa'!$B$2:$U$99, 6,FALSE), IFERROR(VLOOKUP($A505,'ABB ExDa'!$A$2:$N$184, 0,FALSE), IFERROR(VLOOKUP($A505,'Vocus SIT ExDa'!$B$2:$J$173, 0,FALSE), IFERROR(VLOOKUP($A505,'Telstra ExDa'!$B$2:$K$310, 0,FALSE), IFERROR(VLOOKUP($A505,'Vocus RVC ExDa'!$C$2:$R$155, 16,FALSE), IFERROR(VLOOKUP($A505,'Fusion ExDa'!$B$2:$D$16, 0,FALSE), IFERROR(VLOOKUP($A505,'Exetel ExDa'!$C$2:$N$14, 0,FALSE), IFERROR(VLOOKUP($A505,'Infinet ExDa'!$B$2:$E$14, 0,FALSE), "Not Found"))))))))</f>
        <v>Not Found</v>
      </c>
      <c r="I505" t="str">
        <f>IFERROR(VLOOKUP($A505,'AAPT ExDa'!$B$2:$U$99, 0,FALSE), IFERROR(VLOOKUP($A505,'ABB ExDa'!$A$2:$N$184, 0,FALSE), IFERROR(VLOOKUP($A505,'Vocus SIT ExDa'!$B$2:$J$173, 0,FALSE), IFERROR(VLOOKUP($A505,'Telstra ExDa'!$B$2:$K$310, 0,FALSE), IFERROR(VLOOKUP($A505,'Vocus RVC ExDa'!$C$2:$R$155, 0,FALSE), IFERROR(VLOOKUP($A505,'Fusion ExDa'!$B$2:$D$16, 0,FALSE), IFERROR(VLOOKUP($A505,'Exetel ExDa'!$C$2:$N$14, 8,FALSE), IFERROR(VLOOKUP($A505,'Infinet ExDa'!$B$2:$E$14, 0,FALSE), "Not Found"))))))))</f>
        <v>Not Found</v>
      </c>
      <c r="J505" t="str">
        <f>IFERROR(VLOOKUP($A505,'AAPT ExDa'!$B$2:$U$99, 7,FALSE), IFERROR(VLOOKUP($A505,'ABB ExDa'!$A$2:$N$184, 2,FALSE), IFERROR(VLOOKUP($A505,'Vocus SIT ExDa'!$B$2:$J$173, 0,FALSE), IFERROR(VLOOKUP($A505,'Telstra ExDa'!$B$2:$K$310, 7,FALSE), IFERROR(VLOOKUP($A505,'Vocus RVC ExDa'!$C$2:$R$155, 2,FALSE), IFERROR(VLOOKUP($A505,'Fusion ExDa'!$B$2:$D$16, 3,FALSE), IFERROR(VLOOKUP($A505,'Exetel ExDa'!$C$2:$N$14, 0,FALSE), IFERROR(VLOOKUP($A505,'Infinet ExDa'!$B$2:$E$14, 0,FALSE), "Not Found"))))))))</f>
        <v>AVC000125042715</v>
      </c>
      <c r="K505" t="str">
        <f>IFERROR(VLOOKUP($A505,'AAPT ExDa'!$B$2:$U$99, 12,FALSE), IFERROR(VLOOKUP($A505,'ABB ExDa'!$A$2:$N$184, 0,FALSE), IFERROR(VLOOKUP($A505,'Vocus SIT ExDa'!$B$2:$J$173, 0,FALSE), IFERROR(VLOOKUP($A505,'Telstra ExDa'!$B$2:$K$310, 0,FALSE), IFERROR(VLOOKUP($A505,'Vocus RVC ExDa'!$C$2:$R$155, 0,FALSE), IFERROR(VLOOKUP($A505,'Fusion ExDa'!$B$2:$D$16, 0,FALSE), IFERROR(VLOOKUP($A505,'Exetel ExDa'!$C$2:$N$14, 12,FALSE), IFERROR(VLOOKUP($A505,'Infinet ExDa'!$B$2:$E$14, 0,FALSE), "Not Found"))))))))</f>
        <v>Not Found</v>
      </c>
      <c r="L505" s="235" t="str">
        <f>IFERROR(VLOOKUP($A505,'AAPT ExDa'!$B$2:$U$99, 11,FALSE), IFERROR(VLOOKUP($A505,'ABB ExDa'!$A$2:$N$184, 9,FALSE), IFERROR(VLOOKUP($A505,'Vocus SIT ExDa'!$B$2:$J$173, 8,FALSE), IFERROR(VLOOKUP($A505,'Telstra ExDa'!$B$2:$K$310, 0,FALSE), IFERROR(VLOOKUP($A505,'Vocus RVC ExDa'!$C$2:$R$155, 0,FALSE), IFERROR(VLOOKUP($A505,'Fusion ExDa'!$B$2:$D$16, 0,FALSE), IFERROR(VLOOKUP($A505,'Exetel ExDa'!$C$2:$N$14, 9,FALSE), IFERROR(VLOOKUP($A505,'Infinet ExDa'!$B$2:$E$14, 0,FALSE), "Not Found"))))))))</f>
        <v>Not Found</v>
      </c>
      <c r="M505" s="234" t="str">
        <f>IFERROR(VLOOKUP($A505,'AAPT ExDa'!$B$2:$U$99, 0,FALSE), IFERROR(VLOOKUP($A505,'ABB ExDa'!$A$2:$N$184, 0,FALSE), IFERROR(VLOOKUP($A505,'Vocus SIT ExDa'!$B$2:$J$173, 0,FALSE), IFERROR(VLOOKUP($A505,'Telstra ExDa'!$B$2:$K$310, 0,FALSE), IFERROR(VLOOKUP($A505,'Vocus RVC ExDa'!$C$2:$R$155, 0,FALSE), IFERROR(VLOOKUP($A505,'Fusion ExDa'!$B$2:$D$16, 0,FALSE), IFERROR(VLOOKUP($A505,'Exetel ExDa'!$C$2:$N$14, 11,FALSE), IFERROR(VLOOKUP($A505,'Infinet ExDa'!$B$2:$E$14, 0,FALSE), "Not Found"))))))))</f>
        <v>Not Found</v>
      </c>
      <c r="N505" t="str">
        <f>IFERROR(VLOOKUP($A505,'AAPT ExDa'!$B$2:$U$99, 0,FALSE), IFERROR(VLOOKUP($A505,'ABB ExDa'!$A$2:$N$184, 13,FALSE), IFERROR(VLOOKUP($A505,'Vocus SIT ExDa'!$B$2:$J$173, 0,FALSE), IFERROR(VLOOKUP($A505,'Telstra ExDa'!$B$2:$K$310, 0,FALSE), IFERROR(VLOOKUP($A505,'Vocus RVC ExDa'!$C$2:$R$155, 0,FALSE), IFERROR(VLOOKUP($A505,'Fusion ExDa'!$B$2:$D$16, 0,FALSE), IFERROR(VLOOKUP($A505,'Exetel ExDa'!$C$2:$N$14, 0,FALSE), IFERROR(VLOOKUP($A505,'Infinet ExDa'!$B$2:$E$14, 0,FALSE), "Not Found"))))))))</f>
        <v>Not Found</v>
      </c>
    </row>
    <row r="506" spans="1:14">
      <c r="A506" t="str">
        <v>Zambrero Newtown</v>
      </c>
      <c r="B506" t="str">
        <f>IFERROR(VLOOKUP(A506,'Exetel ExDa'!$C$2:$N$14,4,FALSE),"No Data")</f>
        <v>No Data</v>
      </c>
      <c r="C506" t="str">
        <f>IFERROR(VLOOKUP(A506,'AAPT ExDa'!$B$2:$U$99, 2,FALSE), IFERROR(VLOOKUP(A506,'ABB ExDa'!$A$2:$N$184, 2,FALSE), IFERROR(VLOOKUP(A506,'Vocus SIT ExDa'!$B$2:$J$173, 7,FALSE), IFERROR(VLOOKUP(A506,'Telstra ExDa'!$B$2:$K$310, 2,FALSE), IFERROR(VLOOKUP(A506,'Vocus RVC ExDa'!$C$2:$R$155, 3,FALSE), IFERROR(VLOOKUP(A506,'Fusion ExDa'!$B$2:$D$16, 2,FALSE), IFERROR(VLOOKUP(A506,'Exetel ExDa'!$C$2:$N$14, 2,FALSE), IFERROR(VLOOKUP(A506,'Infinet ExDa'!$B$2:$E$14, 2,FALSE), "Not Found"))))))))</f>
        <v>281 King Street, Newtown, NSW 2042</v>
      </c>
      <c r="D506" t="str">
        <f>IFERROR(VLOOKUP($A506,'AAPT ExDa'!$B$2:$U$99, 15,FALSE), IFERROR(VLOOKUP($A506,'ABB ExDa'!$A$2:$N$184, 4,FALSE), IFERROR(VLOOKUP($A506,'Vocus SIT ExDa'!$B$2:$J$173, 5,FALSE), IFERROR(VLOOKUP($A506,'Telstra ExDa'!$B$2:$K$310, 8,FALSE), IFERROR(VLOOKUP($A506,'Vocus RVC ExDa'!$C$2:$R$155, 6,FALSE), IFERROR(VLOOKUP($A506,'Fusion ExDa'!$B$2:$D$16, 4,FALSE), IFERROR(VLOOKUP($A506,'Exetel ExDa'!$C$2:$N$14, 3,FALSE), IFERROR(VLOOKUP($A506,'Infinet ExDa'!$B$2:$E$14, 3,FALSE), "Not Found"))))))))</f>
        <v>Telstra</v>
      </c>
      <c r="E506">
        <f>IFERROR(VLOOKUP($A506,'AAPT ExDa'!$B$2:$U$99, 3,FALSE), IFERROR(VLOOKUP($A506,'ABB ExDa'!$A$2:$N$184, 5,FALSE), IFERROR(VLOOKUP($A506,'Vocus SIT ExDa'!$B$2:$J$173, 2,FALSE), IFERROR(VLOOKUP($A506,'Telstra ExDa'!$B$2:$K$310, 4,FALSE), IFERROR(VLOOKUP($A506,'Vocus RVC ExDa'!$C$2:$R$155, 8,FALSE), IFERROR(VLOOKUP($A506,'Fusion ExDa'!$B$2:$D$16, 4,FALSE), IFERROR(VLOOKUP($A506,'Exetel ExDa'!$C$2:$N$14, 5,FALSE), IFERROR(VLOOKUP($A506,'Infinet ExDa'!$B$2:$E$14, 3,FALSE), "Not Found"))))))))</f>
        <v>0</v>
      </c>
      <c r="F506" t="str">
        <f>IFERROR(VLOOKUP($A506,'AAPT ExDa'!$B$2:$U$99, 4,FALSE), IFERROR(VLOOKUP($A506,'ABB ExDa'!$A$2:$N$184, 6,FALSE), IFERROR(VLOOKUP($A506,'Vocus SIT ExDa'!$B$2:$J$173, 3,FALSE), IFERROR(VLOOKUP($A506,'Telstra ExDa'!$B$2:$K$310, 5,FALSE), IFERROR(VLOOKUP($A506,'Vocus RVC ExDa'!$C$2:$R$155, 9,FALSE), IFERROR(VLOOKUP($A506,'Fusion ExDa'!$B$2:$D$16, 0,FALSE), IFERROR(VLOOKUP($A506,'Exetel ExDa'!$C$2:$N$14, 6,FALSE), IFERROR(VLOOKUP($A506,'Infinet ExDa'!$B$2:$E$14, 0,FALSE), "Not Found"))))))))</f>
        <v>Main Business Number</v>
      </c>
      <c r="G506" t="str">
        <f>IFERROR(VLOOKUP($A506,'AAPT ExDa'!$B$2:$U$99, 5,FALSE), IFERROR(VLOOKUP($A506,'ABB ExDa'!$A$2:$N$184, 8,FALSE), IFERROR(VLOOKUP($A506,'Vocus SIT ExDa'!$B$2:$J$173, 6,FALSE), IFERROR(VLOOKUP($A506,'Telstra ExDa'!$B$2:$K$310, 0,FALSE), IFERROR(VLOOKUP($A506,'Vocus RVC ExDa'!$C$2:$R$155, 15,FALSE), IFERROR(VLOOKUP($A506,'Fusion ExDa'!$B$2:$D$16, 0,FALSE), IFERROR(VLOOKUP($A506,'Exetel ExDa'!$C$2:$N$14, 7,FALSE), IFERROR(VLOOKUP($A506,'Infinet ExDa'!$B$2:$E$14, 0,FALSE), "Not Found"))))))))</f>
        <v>Not Found</v>
      </c>
      <c r="H506" t="str">
        <f>IFERROR(VLOOKUP($A506,'AAPT ExDa'!$B$2:$U$99, 6,FALSE), IFERROR(VLOOKUP($A506,'ABB ExDa'!$A$2:$N$184, 0,FALSE), IFERROR(VLOOKUP($A506,'Vocus SIT ExDa'!$B$2:$J$173, 0,FALSE), IFERROR(VLOOKUP($A506,'Telstra ExDa'!$B$2:$K$310, 0,FALSE), IFERROR(VLOOKUP($A506,'Vocus RVC ExDa'!$C$2:$R$155, 16,FALSE), IFERROR(VLOOKUP($A506,'Fusion ExDa'!$B$2:$D$16, 0,FALSE), IFERROR(VLOOKUP($A506,'Exetel ExDa'!$C$2:$N$14, 0,FALSE), IFERROR(VLOOKUP($A506,'Infinet ExDa'!$B$2:$E$14, 0,FALSE), "Not Found"))))))))</f>
        <v>Not Found</v>
      </c>
      <c r="I506" t="str">
        <f>IFERROR(VLOOKUP($A506,'AAPT ExDa'!$B$2:$U$99, 0,FALSE), IFERROR(VLOOKUP($A506,'ABB ExDa'!$A$2:$N$184, 0,FALSE), IFERROR(VLOOKUP($A506,'Vocus SIT ExDa'!$B$2:$J$173, 0,FALSE), IFERROR(VLOOKUP($A506,'Telstra ExDa'!$B$2:$K$310, 0,FALSE), IFERROR(VLOOKUP($A506,'Vocus RVC ExDa'!$C$2:$R$155, 0,FALSE), IFERROR(VLOOKUP($A506,'Fusion ExDa'!$B$2:$D$16, 0,FALSE), IFERROR(VLOOKUP($A506,'Exetel ExDa'!$C$2:$N$14, 8,FALSE), IFERROR(VLOOKUP($A506,'Infinet ExDa'!$B$2:$E$14, 0,FALSE), "Not Found"))))))))</f>
        <v>Not Found</v>
      </c>
      <c r="J506" t="str">
        <f>IFERROR(VLOOKUP($A506,'AAPT ExDa'!$B$2:$U$99, 7,FALSE), IFERROR(VLOOKUP($A506,'ABB ExDa'!$A$2:$N$184, 2,FALSE), IFERROR(VLOOKUP($A506,'Vocus SIT ExDa'!$B$2:$J$173, 0,FALSE), IFERROR(VLOOKUP($A506,'Telstra ExDa'!$B$2:$K$310, 7,FALSE), IFERROR(VLOOKUP($A506,'Vocus RVC ExDa'!$C$2:$R$155, 2,FALSE), IFERROR(VLOOKUP($A506,'Fusion ExDa'!$B$2:$D$16, 3,FALSE), IFERROR(VLOOKUP($A506,'Exetel ExDa'!$C$2:$N$14, 0,FALSE), IFERROR(VLOOKUP($A506,'Infinet ExDa'!$B$2:$E$14, 0,FALSE), "Not Found"))))))))</f>
        <v>AVC000125042715</v>
      </c>
      <c r="K506" t="str">
        <f>IFERROR(VLOOKUP($A506,'AAPT ExDa'!$B$2:$U$99, 12,FALSE), IFERROR(VLOOKUP($A506,'ABB ExDa'!$A$2:$N$184, 0,FALSE), IFERROR(VLOOKUP($A506,'Vocus SIT ExDa'!$B$2:$J$173, 0,FALSE), IFERROR(VLOOKUP($A506,'Telstra ExDa'!$B$2:$K$310, 0,FALSE), IFERROR(VLOOKUP($A506,'Vocus RVC ExDa'!$C$2:$R$155, 0,FALSE), IFERROR(VLOOKUP($A506,'Fusion ExDa'!$B$2:$D$16, 0,FALSE), IFERROR(VLOOKUP($A506,'Exetel ExDa'!$C$2:$N$14, 12,FALSE), IFERROR(VLOOKUP($A506,'Infinet ExDa'!$B$2:$E$14, 0,FALSE), "Not Found"))))))))</f>
        <v>Not Found</v>
      </c>
      <c r="L506" s="235" t="str">
        <f>IFERROR(VLOOKUP($A506,'AAPT ExDa'!$B$2:$U$99, 11,FALSE), IFERROR(VLOOKUP($A506,'ABB ExDa'!$A$2:$N$184, 9,FALSE), IFERROR(VLOOKUP($A506,'Vocus SIT ExDa'!$B$2:$J$173, 8,FALSE), IFERROR(VLOOKUP($A506,'Telstra ExDa'!$B$2:$K$310, 0,FALSE), IFERROR(VLOOKUP($A506,'Vocus RVC ExDa'!$C$2:$R$155, 0,FALSE), IFERROR(VLOOKUP($A506,'Fusion ExDa'!$B$2:$D$16, 0,FALSE), IFERROR(VLOOKUP($A506,'Exetel ExDa'!$C$2:$N$14, 9,FALSE), IFERROR(VLOOKUP($A506,'Infinet ExDa'!$B$2:$E$14, 0,FALSE), "Not Found"))))))))</f>
        <v>Not Found</v>
      </c>
      <c r="M506" s="234" t="str">
        <f>IFERROR(VLOOKUP($A506,'AAPT ExDa'!$B$2:$U$99, 0,FALSE), IFERROR(VLOOKUP($A506,'ABB ExDa'!$A$2:$N$184, 0,FALSE), IFERROR(VLOOKUP($A506,'Vocus SIT ExDa'!$B$2:$J$173, 0,FALSE), IFERROR(VLOOKUP($A506,'Telstra ExDa'!$B$2:$K$310, 0,FALSE), IFERROR(VLOOKUP($A506,'Vocus RVC ExDa'!$C$2:$R$155, 0,FALSE), IFERROR(VLOOKUP($A506,'Fusion ExDa'!$B$2:$D$16, 0,FALSE), IFERROR(VLOOKUP($A506,'Exetel ExDa'!$C$2:$N$14, 11,FALSE), IFERROR(VLOOKUP($A506,'Infinet ExDa'!$B$2:$E$14, 0,FALSE), "Not Found"))))))))</f>
        <v>Not Found</v>
      </c>
      <c r="N506" t="str">
        <f>IFERROR(VLOOKUP($A506,'AAPT ExDa'!$B$2:$U$99, 0,FALSE), IFERROR(VLOOKUP($A506,'ABB ExDa'!$A$2:$N$184, 13,FALSE), IFERROR(VLOOKUP($A506,'Vocus SIT ExDa'!$B$2:$J$173, 0,FALSE), IFERROR(VLOOKUP($A506,'Telstra ExDa'!$B$2:$K$310, 0,FALSE), IFERROR(VLOOKUP($A506,'Vocus RVC ExDa'!$C$2:$R$155, 0,FALSE), IFERROR(VLOOKUP($A506,'Fusion ExDa'!$B$2:$D$16, 0,FALSE), IFERROR(VLOOKUP($A506,'Exetel ExDa'!$C$2:$N$14, 0,FALSE), IFERROR(VLOOKUP($A506,'Infinet ExDa'!$B$2:$E$14, 0,FALSE), "Not Found"))))))))</f>
        <v>Not Found</v>
      </c>
    </row>
    <row r="507" spans="1:14">
      <c r="A507" t="str">
        <v>Zambrero Geelong West</v>
      </c>
      <c r="B507" t="str">
        <f>IFERROR(VLOOKUP(A507,'Exetel ExDa'!$C$2:$N$14,4,FALSE),"No Data")</f>
        <v>No Data</v>
      </c>
      <c r="C507" t="str">
        <f>IFERROR(VLOOKUP(A507,'AAPT ExDa'!$B$2:$U$99, 2,FALSE), IFERROR(VLOOKUP(A507,'ABB ExDa'!$A$2:$N$184, 2,FALSE), IFERROR(VLOOKUP(A507,'Vocus SIT ExDa'!$B$2:$J$173, 7,FALSE), IFERROR(VLOOKUP(A507,'Telstra ExDa'!$B$2:$K$310, 2,FALSE), IFERROR(VLOOKUP(A507,'Vocus RVC ExDa'!$C$2:$R$155, 3,FALSE), IFERROR(VLOOKUP(A507,'Fusion ExDa'!$B$2:$D$16, 2,FALSE), IFERROR(VLOOKUP(A507,'Exetel ExDa'!$C$2:$N$14, 2,FALSE), IFERROR(VLOOKUP(A507,'Infinet ExDa'!$B$2:$E$14, 2,FALSE), "Not Found"))))))))</f>
        <v>Shop 8, 95-103 Pakington Street, Geelong West, VIC 3218</v>
      </c>
      <c r="D507" t="str">
        <f>IFERROR(VLOOKUP($A507,'AAPT ExDa'!$B$2:$U$99, 15,FALSE), IFERROR(VLOOKUP($A507,'ABB ExDa'!$A$2:$N$184, 4,FALSE), IFERROR(VLOOKUP($A507,'Vocus SIT ExDa'!$B$2:$J$173, 5,FALSE), IFERROR(VLOOKUP($A507,'Telstra ExDa'!$B$2:$K$310, 8,FALSE), IFERROR(VLOOKUP($A507,'Vocus RVC ExDa'!$C$2:$R$155, 6,FALSE), IFERROR(VLOOKUP($A507,'Fusion ExDa'!$B$2:$D$16, 4,FALSE), IFERROR(VLOOKUP($A507,'Exetel ExDa'!$C$2:$N$14, 3,FALSE), IFERROR(VLOOKUP($A507,'Infinet ExDa'!$B$2:$E$14, 3,FALSE), "Not Found"))))))))</f>
        <v>Telstra</v>
      </c>
      <c r="E507">
        <f>IFERROR(VLOOKUP($A507,'AAPT ExDa'!$B$2:$U$99, 3,FALSE), IFERROR(VLOOKUP($A507,'ABB ExDa'!$A$2:$N$184, 5,FALSE), IFERROR(VLOOKUP($A507,'Vocus SIT ExDa'!$B$2:$J$173, 2,FALSE), IFERROR(VLOOKUP($A507,'Telstra ExDa'!$B$2:$K$310, 4,FALSE), IFERROR(VLOOKUP($A507,'Vocus RVC ExDa'!$C$2:$R$155, 8,FALSE), IFERROR(VLOOKUP($A507,'Fusion ExDa'!$B$2:$D$16, 4,FALSE), IFERROR(VLOOKUP($A507,'Exetel ExDa'!$C$2:$N$14, 5,FALSE), IFERROR(VLOOKUP($A507,'Infinet ExDa'!$B$2:$E$14, 3,FALSE), "Not Found"))))))))</f>
        <v>0</v>
      </c>
      <c r="F507" t="str">
        <f>IFERROR(VLOOKUP($A507,'AAPT ExDa'!$B$2:$U$99, 4,FALSE), IFERROR(VLOOKUP($A507,'ABB ExDa'!$A$2:$N$184, 6,FALSE), IFERROR(VLOOKUP($A507,'Vocus SIT ExDa'!$B$2:$J$173, 3,FALSE), IFERROR(VLOOKUP($A507,'Telstra ExDa'!$B$2:$K$310, 5,FALSE), IFERROR(VLOOKUP($A507,'Vocus RVC ExDa'!$C$2:$R$155, 9,FALSE), IFERROR(VLOOKUP($A507,'Fusion ExDa'!$B$2:$D$16, 0,FALSE), IFERROR(VLOOKUP($A507,'Exetel ExDa'!$C$2:$N$14, 6,FALSE), IFERROR(VLOOKUP($A507,'Infinet ExDa'!$B$2:$E$14, 0,FALSE), "Not Found"))))))))</f>
        <v>Unlimited Business Internet</v>
      </c>
      <c r="G507" t="str">
        <f>IFERROR(VLOOKUP($A507,'AAPT ExDa'!$B$2:$U$99, 5,FALSE), IFERROR(VLOOKUP($A507,'ABB ExDa'!$A$2:$N$184, 8,FALSE), IFERROR(VLOOKUP($A507,'Vocus SIT ExDa'!$B$2:$J$173, 6,FALSE), IFERROR(VLOOKUP($A507,'Telstra ExDa'!$B$2:$K$310, 0,FALSE), IFERROR(VLOOKUP($A507,'Vocus RVC ExDa'!$C$2:$R$155, 15,FALSE), IFERROR(VLOOKUP($A507,'Fusion ExDa'!$B$2:$D$16, 0,FALSE), IFERROR(VLOOKUP($A507,'Exetel ExDa'!$C$2:$N$14, 7,FALSE), IFERROR(VLOOKUP($A507,'Infinet ExDa'!$B$2:$E$14, 0,FALSE), "Not Found"))))))))</f>
        <v>Not Found</v>
      </c>
      <c r="H507" t="str">
        <f>IFERROR(VLOOKUP($A507,'AAPT ExDa'!$B$2:$U$99, 6,FALSE), IFERROR(VLOOKUP($A507,'ABB ExDa'!$A$2:$N$184, 0,FALSE), IFERROR(VLOOKUP($A507,'Vocus SIT ExDa'!$B$2:$J$173, 0,FALSE), IFERROR(VLOOKUP($A507,'Telstra ExDa'!$B$2:$K$310, 0,FALSE), IFERROR(VLOOKUP($A507,'Vocus RVC ExDa'!$C$2:$R$155, 16,FALSE), IFERROR(VLOOKUP($A507,'Fusion ExDa'!$B$2:$D$16, 0,FALSE), IFERROR(VLOOKUP($A507,'Exetel ExDa'!$C$2:$N$14, 0,FALSE), IFERROR(VLOOKUP($A507,'Infinet ExDa'!$B$2:$E$14, 0,FALSE), "Not Found"))))))))</f>
        <v>Not Found</v>
      </c>
      <c r="I507" t="str">
        <f>IFERROR(VLOOKUP($A507,'AAPT ExDa'!$B$2:$U$99, 0,FALSE), IFERROR(VLOOKUP($A507,'ABB ExDa'!$A$2:$N$184, 0,FALSE), IFERROR(VLOOKUP($A507,'Vocus SIT ExDa'!$B$2:$J$173, 0,FALSE), IFERROR(VLOOKUP($A507,'Telstra ExDa'!$B$2:$K$310, 0,FALSE), IFERROR(VLOOKUP($A507,'Vocus RVC ExDa'!$C$2:$R$155, 0,FALSE), IFERROR(VLOOKUP($A507,'Fusion ExDa'!$B$2:$D$16, 0,FALSE), IFERROR(VLOOKUP($A507,'Exetel ExDa'!$C$2:$N$14, 8,FALSE), IFERROR(VLOOKUP($A507,'Infinet ExDa'!$B$2:$E$14, 0,FALSE), "Not Found"))))))))</f>
        <v>Not Found</v>
      </c>
      <c r="J507" t="str">
        <f>IFERROR(VLOOKUP($A507,'AAPT ExDa'!$B$2:$U$99, 7,FALSE), IFERROR(VLOOKUP($A507,'ABB ExDa'!$A$2:$N$184, 2,FALSE), IFERROR(VLOOKUP($A507,'Vocus SIT ExDa'!$B$2:$J$173, 0,FALSE), IFERROR(VLOOKUP($A507,'Telstra ExDa'!$B$2:$K$310, 7,FALSE), IFERROR(VLOOKUP($A507,'Vocus RVC ExDa'!$C$2:$R$155, 2,FALSE), IFERROR(VLOOKUP($A507,'Fusion ExDa'!$B$2:$D$16, 3,FALSE), IFERROR(VLOOKUP($A507,'Exetel ExDa'!$C$2:$N$14, 0,FALSE), IFERROR(VLOOKUP($A507,'Infinet ExDa'!$B$2:$E$14, 0,FALSE), "Not Found"))))))))</f>
        <v xml:space="preserve">AVC000129630844 </v>
      </c>
      <c r="K507" t="str">
        <f>IFERROR(VLOOKUP($A507,'AAPT ExDa'!$B$2:$U$99, 12,FALSE), IFERROR(VLOOKUP($A507,'ABB ExDa'!$A$2:$N$184, 0,FALSE), IFERROR(VLOOKUP($A507,'Vocus SIT ExDa'!$B$2:$J$173, 0,FALSE), IFERROR(VLOOKUP($A507,'Telstra ExDa'!$B$2:$K$310, 0,FALSE), IFERROR(VLOOKUP($A507,'Vocus RVC ExDa'!$C$2:$R$155, 0,FALSE), IFERROR(VLOOKUP($A507,'Fusion ExDa'!$B$2:$D$16, 0,FALSE), IFERROR(VLOOKUP($A507,'Exetel ExDa'!$C$2:$N$14, 12,FALSE), IFERROR(VLOOKUP($A507,'Infinet ExDa'!$B$2:$E$14, 0,FALSE), "Not Found"))))))))</f>
        <v>Not Found</v>
      </c>
      <c r="L507" s="235" t="str">
        <f>IFERROR(VLOOKUP($A507,'AAPT ExDa'!$B$2:$U$99, 11,FALSE), IFERROR(VLOOKUP($A507,'ABB ExDa'!$A$2:$N$184, 9,FALSE), IFERROR(VLOOKUP($A507,'Vocus SIT ExDa'!$B$2:$J$173, 8,FALSE), IFERROR(VLOOKUP($A507,'Telstra ExDa'!$B$2:$K$310, 0,FALSE), IFERROR(VLOOKUP($A507,'Vocus RVC ExDa'!$C$2:$R$155, 0,FALSE), IFERROR(VLOOKUP($A507,'Fusion ExDa'!$B$2:$D$16, 0,FALSE), IFERROR(VLOOKUP($A507,'Exetel ExDa'!$C$2:$N$14, 9,FALSE), IFERROR(VLOOKUP($A507,'Infinet ExDa'!$B$2:$E$14, 0,FALSE), "Not Found"))))))))</f>
        <v>Not Found</v>
      </c>
      <c r="M507" s="234" t="str">
        <f>IFERROR(VLOOKUP($A507,'AAPT ExDa'!$B$2:$U$99, 0,FALSE), IFERROR(VLOOKUP($A507,'ABB ExDa'!$A$2:$N$184, 0,FALSE), IFERROR(VLOOKUP($A507,'Vocus SIT ExDa'!$B$2:$J$173, 0,FALSE), IFERROR(VLOOKUP($A507,'Telstra ExDa'!$B$2:$K$310, 0,FALSE), IFERROR(VLOOKUP($A507,'Vocus RVC ExDa'!$C$2:$R$155, 0,FALSE), IFERROR(VLOOKUP($A507,'Fusion ExDa'!$B$2:$D$16, 0,FALSE), IFERROR(VLOOKUP($A507,'Exetel ExDa'!$C$2:$N$14, 11,FALSE), IFERROR(VLOOKUP($A507,'Infinet ExDa'!$B$2:$E$14, 0,FALSE), "Not Found"))))))))</f>
        <v>Not Found</v>
      </c>
      <c r="N507" t="str">
        <f>IFERROR(VLOOKUP($A507,'AAPT ExDa'!$B$2:$U$99, 0,FALSE), IFERROR(VLOOKUP($A507,'ABB ExDa'!$A$2:$N$184, 13,FALSE), IFERROR(VLOOKUP($A507,'Vocus SIT ExDa'!$B$2:$J$173, 0,FALSE), IFERROR(VLOOKUP($A507,'Telstra ExDa'!$B$2:$K$310, 0,FALSE), IFERROR(VLOOKUP($A507,'Vocus RVC ExDa'!$C$2:$R$155, 0,FALSE), IFERROR(VLOOKUP($A507,'Fusion ExDa'!$B$2:$D$16, 0,FALSE), IFERROR(VLOOKUP($A507,'Exetel ExDa'!$C$2:$N$14, 0,FALSE), IFERROR(VLOOKUP($A507,'Infinet ExDa'!$B$2:$E$14, 0,FALSE), "Not Found"))))))))</f>
        <v>Not Found</v>
      </c>
    </row>
    <row r="508" spans="1:14">
      <c r="A508" t="str">
        <v>Zambrero Coolangatta</v>
      </c>
      <c r="B508" t="str">
        <f>IFERROR(VLOOKUP(A508,'Exetel ExDa'!$C$2:$N$14,4,FALSE),"No Data")</f>
        <v>No Data</v>
      </c>
      <c r="C508" t="str">
        <f>IFERROR(VLOOKUP(A508,'AAPT ExDa'!$B$2:$U$99, 2,FALSE), IFERROR(VLOOKUP(A508,'ABB ExDa'!$A$2:$N$184, 2,FALSE), IFERROR(VLOOKUP(A508,'Vocus SIT ExDa'!$B$2:$J$173, 7,FALSE), IFERROR(VLOOKUP(A508,'Telstra ExDa'!$B$2:$K$310, 2,FALSE), IFERROR(VLOOKUP(A508,'Vocus RVC ExDa'!$C$2:$R$155, 3,FALSE), IFERROR(VLOOKUP(A508,'Fusion ExDa'!$B$2:$D$16, 2,FALSE), IFERROR(VLOOKUP(A508,'Exetel ExDa'!$C$2:$N$14, 2,FALSE), IFERROR(VLOOKUP(A508,'Infinet ExDa'!$B$2:$E$14, 2,FALSE), "Not Found"))))))))</f>
        <v>Unit 1, 56 Griffith St, Coolangatta, QLD</v>
      </c>
      <c r="D508" t="str">
        <f>IFERROR(VLOOKUP($A508,'AAPT ExDa'!$B$2:$U$99, 15,FALSE), IFERROR(VLOOKUP($A508,'ABB ExDa'!$A$2:$N$184, 4,FALSE), IFERROR(VLOOKUP($A508,'Vocus SIT ExDa'!$B$2:$J$173, 5,FALSE), IFERROR(VLOOKUP($A508,'Telstra ExDa'!$B$2:$K$310, 8,FALSE), IFERROR(VLOOKUP($A508,'Vocus RVC ExDa'!$C$2:$R$155, 6,FALSE), IFERROR(VLOOKUP($A508,'Fusion ExDa'!$B$2:$D$16, 4,FALSE), IFERROR(VLOOKUP($A508,'Exetel ExDa'!$C$2:$N$14, 3,FALSE), IFERROR(VLOOKUP($A508,'Infinet ExDa'!$B$2:$E$14, 3,FALSE), "Not Found"))))))))</f>
        <v>Telstra</v>
      </c>
      <c r="E508">
        <f>IFERROR(VLOOKUP($A508,'AAPT ExDa'!$B$2:$U$99, 3,FALSE), IFERROR(VLOOKUP($A508,'ABB ExDa'!$A$2:$N$184, 5,FALSE), IFERROR(VLOOKUP($A508,'Vocus SIT ExDa'!$B$2:$J$173, 2,FALSE), IFERROR(VLOOKUP($A508,'Telstra ExDa'!$B$2:$K$310, 4,FALSE), IFERROR(VLOOKUP($A508,'Vocus RVC ExDa'!$C$2:$R$155, 8,FALSE), IFERROR(VLOOKUP($A508,'Fusion ExDa'!$B$2:$D$16, 4,FALSE), IFERROR(VLOOKUP($A508,'Exetel ExDa'!$C$2:$N$14, 5,FALSE), IFERROR(VLOOKUP($A508,'Infinet ExDa'!$B$2:$E$14, 3,FALSE), "Not Found"))))))))</f>
        <v>0</v>
      </c>
      <c r="F508" t="str">
        <f>IFERROR(VLOOKUP($A508,'AAPT ExDa'!$B$2:$U$99, 4,FALSE), IFERROR(VLOOKUP($A508,'ABB ExDa'!$A$2:$N$184, 6,FALSE), IFERROR(VLOOKUP($A508,'Vocus SIT ExDa'!$B$2:$J$173, 3,FALSE), IFERROR(VLOOKUP($A508,'Telstra ExDa'!$B$2:$K$310, 5,FALSE), IFERROR(VLOOKUP($A508,'Vocus RVC ExDa'!$C$2:$R$155, 9,FALSE), IFERROR(VLOOKUP($A508,'Fusion ExDa'!$B$2:$D$16, 0,FALSE), IFERROR(VLOOKUP($A508,'Exetel ExDa'!$C$2:$N$14, 6,FALSE), IFERROR(VLOOKUP($A508,'Infinet ExDa'!$B$2:$E$14, 0,FALSE), "Not Found"))))))))</f>
        <v>Main Business Number</v>
      </c>
      <c r="G508">
        <f>IFERROR(VLOOKUP($A508,'AAPT ExDa'!$B$2:$U$99, 5,FALSE), IFERROR(VLOOKUP($A508,'ABB ExDa'!$A$2:$N$184, 8,FALSE), IFERROR(VLOOKUP($A508,'Vocus SIT ExDa'!$B$2:$J$173, 6,FALSE), IFERROR(VLOOKUP($A508,'Telstra ExDa'!$B$2:$K$310, 0,FALSE), IFERROR(VLOOKUP($A508,'Vocus RVC ExDa'!$C$2:$R$155, 15,FALSE), IFERROR(VLOOKUP($A508,'Fusion ExDa'!$B$2:$D$16, 0,FALSE), IFERROR(VLOOKUP($A508,'Exetel ExDa'!$C$2:$N$14, 7,FALSE), IFERROR(VLOOKUP($A508,'Infinet ExDa'!$B$2:$E$14, 0,FALSE), "Not Found"))))))))</f>
        <v>0</v>
      </c>
      <c r="H508">
        <f>IFERROR(VLOOKUP($A508,'AAPT ExDa'!$B$2:$U$99, 6,FALSE), IFERROR(VLOOKUP($A508,'ABB ExDa'!$A$2:$N$184, 0,FALSE), IFERROR(VLOOKUP($A508,'Vocus SIT ExDa'!$B$2:$J$173, 0,FALSE), IFERROR(VLOOKUP($A508,'Telstra ExDa'!$B$2:$K$310, 0,FALSE), IFERROR(VLOOKUP($A508,'Vocus RVC ExDa'!$C$2:$R$155, 16,FALSE), IFERROR(VLOOKUP($A508,'Fusion ExDa'!$B$2:$D$16, 0,FALSE), IFERROR(VLOOKUP($A508,'Exetel ExDa'!$C$2:$N$14, 0,FALSE), IFERROR(VLOOKUP($A508,'Infinet ExDa'!$B$2:$E$14, 0,FALSE), "Not Found"))))))))</f>
        <v>0</v>
      </c>
      <c r="I508" t="str">
        <f>IFERROR(VLOOKUP($A508,'AAPT ExDa'!$B$2:$U$99, 0,FALSE), IFERROR(VLOOKUP($A508,'ABB ExDa'!$A$2:$N$184, 0,FALSE), IFERROR(VLOOKUP($A508,'Vocus SIT ExDa'!$B$2:$J$173, 0,FALSE), IFERROR(VLOOKUP($A508,'Telstra ExDa'!$B$2:$K$310, 0,FALSE), IFERROR(VLOOKUP($A508,'Vocus RVC ExDa'!$C$2:$R$155, 0,FALSE), IFERROR(VLOOKUP($A508,'Fusion ExDa'!$B$2:$D$16, 0,FALSE), IFERROR(VLOOKUP($A508,'Exetel ExDa'!$C$2:$N$14, 8,FALSE), IFERROR(VLOOKUP($A508,'Infinet ExDa'!$B$2:$E$14, 0,FALSE), "Not Found"))))))))</f>
        <v>Not Found</v>
      </c>
      <c r="J508" t="str">
        <f>IFERROR(VLOOKUP($A508,'AAPT ExDa'!$B$2:$U$99, 7,FALSE), IFERROR(VLOOKUP($A508,'ABB ExDa'!$A$2:$N$184, 2,FALSE), IFERROR(VLOOKUP($A508,'Vocus SIT ExDa'!$B$2:$J$173, 0,FALSE), IFERROR(VLOOKUP($A508,'Telstra ExDa'!$B$2:$K$310, 7,FALSE), IFERROR(VLOOKUP($A508,'Vocus RVC ExDa'!$C$2:$R$155, 2,FALSE), IFERROR(VLOOKUP($A508,'Fusion ExDa'!$B$2:$D$16, 3,FALSE), IFERROR(VLOOKUP($A508,'Exetel ExDa'!$C$2:$N$14, 0,FALSE), IFERROR(VLOOKUP($A508,'Infinet ExDa'!$B$2:$E$14, 0,FALSE), "Not Found"))))))))</f>
        <v xml:space="preserve">AVC000037209743 </v>
      </c>
      <c r="K508" t="str">
        <f>IFERROR(VLOOKUP($A508,'AAPT ExDa'!$B$2:$U$99, 12,FALSE), IFERROR(VLOOKUP($A508,'ABB ExDa'!$A$2:$N$184, 0,FALSE), IFERROR(VLOOKUP($A508,'Vocus SIT ExDa'!$B$2:$J$173, 0,FALSE), IFERROR(VLOOKUP($A508,'Telstra ExDa'!$B$2:$K$310, 0,FALSE), IFERROR(VLOOKUP($A508,'Vocus RVC ExDa'!$C$2:$R$155, 0,FALSE), IFERROR(VLOOKUP($A508,'Fusion ExDa'!$B$2:$D$16, 0,FALSE), IFERROR(VLOOKUP($A508,'Exetel ExDa'!$C$2:$N$14, 12,FALSE), IFERROR(VLOOKUP($A508,'Infinet ExDa'!$B$2:$E$14, 0,FALSE), "Not Found"))))))))</f>
        <v>Not Found</v>
      </c>
      <c r="L508" s="235" t="str">
        <f>IFERROR(VLOOKUP($A508,'AAPT ExDa'!$B$2:$U$99, 11,FALSE), IFERROR(VLOOKUP($A508,'ABB ExDa'!$A$2:$N$184, 9,FALSE), IFERROR(VLOOKUP($A508,'Vocus SIT ExDa'!$B$2:$J$173, 8,FALSE), IFERROR(VLOOKUP($A508,'Telstra ExDa'!$B$2:$K$310, 0,FALSE), IFERROR(VLOOKUP($A508,'Vocus RVC ExDa'!$C$2:$R$155, 0,FALSE), IFERROR(VLOOKUP($A508,'Fusion ExDa'!$B$2:$D$16, 0,FALSE), IFERROR(VLOOKUP($A508,'Exetel ExDa'!$C$2:$N$14, 9,FALSE), IFERROR(VLOOKUP($A508,'Infinet ExDa'!$B$2:$E$14, 0,FALSE), "Not Found"))))))))</f>
        <v>Not Found</v>
      </c>
      <c r="M508" s="234" t="str">
        <f>IFERROR(VLOOKUP($A508,'AAPT ExDa'!$B$2:$U$99, 0,FALSE), IFERROR(VLOOKUP($A508,'ABB ExDa'!$A$2:$N$184, 0,FALSE), IFERROR(VLOOKUP($A508,'Vocus SIT ExDa'!$B$2:$J$173, 0,FALSE), IFERROR(VLOOKUP($A508,'Telstra ExDa'!$B$2:$K$310, 0,FALSE), IFERROR(VLOOKUP($A508,'Vocus RVC ExDa'!$C$2:$R$155, 0,FALSE), IFERROR(VLOOKUP($A508,'Fusion ExDa'!$B$2:$D$16, 0,FALSE), IFERROR(VLOOKUP($A508,'Exetel ExDa'!$C$2:$N$14, 11,FALSE), IFERROR(VLOOKUP($A508,'Infinet ExDa'!$B$2:$E$14, 0,FALSE), "Not Found"))))))))</f>
        <v>Not Found</v>
      </c>
      <c r="N508" t="str">
        <f>IFERROR(VLOOKUP($A508,'AAPT ExDa'!$B$2:$U$99, 0,FALSE), IFERROR(VLOOKUP($A508,'ABB ExDa'!$A$2:$N$184, 13,FALSE), IFERROR(VLOOKUP($A508,'Vocus SIT ExDa'!$B$2:$J$173, 0,FALSE), IFERROR(VLOOKUP($A508,'Telstra ExDa'!$B$2:$K$310, 0,FALSE), IFERROR(VLOOKUP($A508,'Vocus RVC ExDa'!$C$2:$R$155, 0,FALSE), IFERROR(VLOOKUP($A508,'Fusion ExDa'!$B$2:$D$16, 0,FALSE), IFERROR(VLOOKUP($A508,'Exetel ExDa'!$C$2:$N$14, 0,FALSE), IFERROR(VLOOKUP($A508,'Infinet ExDa'!$B$2:$E$14, 0,FALSE), "Not Found"))))))))</f>
        <v>Not Found</v>
      </c>
    </row>
    <row r="509" spans="1:14">
      <c r="A509" t="str">
        <v>Zambrero Nerang</v>
      </c>
      <c r="B509" t="str">
        <f>IFERROR(VLOOKUP(A509,'Exetel ExDa'!$C$2:$N$14,4,FALSE),"No Data")</f>
        <v>No Data</v>
      </c>
      <c r="C509" t="str">
        <f>IFERROR(VLOOKUP(A509,'AAPT ExDa'!$B$2:$U$99, 2,FALSE), IFERROR(VLOOKUP(A509,'ABB ExDa'!$A$2:$N$184, 2,FALSE), IFERROR(VLOOKUP(A509,'Vocus SIT ExDa'!$B$2:$J$173, 7,FALSE), IFERROR(VLOOKUP(A509,'Telstra ExDa'!$B$2:$K$310, 2,FALSE), IFERROR(VLOOKUP(A509,'Vocus RVC ExDa'!$C$2:$R$155, 3,FALSE), IFERROR(VLOOKUP(A509,'Fusion ExDa'!$B$2:$D$16, 2,FALSE), IFERROR(VLOOKUP(A509,'Exetel ExDa'!$C$2:$N$14, 2,FALSE), IFERROR(VLOOKUP(A509,'Infinet ExDa'!$B$2:$E$14, 2,FALSE), "Not Found"))))))))</f>
        <v>Unit 3, Lot 0, 2-10 Riverview Road, Nerang, QLD 4211</v>
      </c>
      <c r="D509" t="str">
        <f>IFERROR(VLOOKUP($A509,'AAPT ExDa'!$B$2:$U$99, 15,FALSE), IFERROR(VLOOKUP($A509,'ABB ExDa'!$A$2:$N$184, 4,FALSE), IFERROR(VLOOKUP($A509,'Vocus SIT ExDa'!$B$2:$J$173, 5,FALSE), IFERROR(VLOOKUP($A509,'Telstra ExDa'!$B$2:$K$310, 8,FALSE), IFERROR(VLOOKUP($A509,'Vocus RVC ExDa'!$C$2:$R$155, 6,FALSE), IFERROR(VLOOKUP($A509,'Fusion ExDa'!$B$2:$D$16, 4,FALSE), IFERROR(VLOOKUP($A509,'Exetel ExDa'!$C$2:$N$14, 3,FALSE), IFERROR(VLOOKUP($A509,'Infinet ExDa'!$B$2:$E$14, 3,FALSE), "Not Found"))))))))</f>
        <v>Telstra</v>
      </c>
      <c r="E509">
        <f>IFERROR(VLOOKUP($A509,'AAPT ExDa'!$B$2:$U$99, 3,FALSE), IFERROR(VLOOKUP($A509,'ABB ExDa'!$A$2:$N$184, 5,FALSE), IFERROR(VLOOKUP($A509,'Vocus SIT ExDa'!$B$2:$J$173, 2,FALSE), IFERROR(VLOOKUP($A509,'Telstra ExDa'!$B$2:$K$310, 4,FALSE), IFERROR(VLOOKUP($A509,'Vocus RVC ExDa'!$C$2:$R$155, 8,FALSE), IFERROR(VLOOKUP($A509,'Fusion ExDa'!$B$2:$D$16, 4,FALSE), IFERROR(VLOOKUP($A509,'Exetel ExDa'!$C$2:$N$14, 5,FALSE), IFERROR(VLOOKUP($A509,'Infinet ExDa'!$B$2:$E$14, 3,FALSE), "Not Found"))))))))</f>
        <v>0</v>
      </c>
      <c r="F509" t="str">
        <f>IFERROR(VLOOKUP($A509,'AAPT ExDa'!$B$2:$U$99, 4,FALSE), IFERROR(VLOOKUP($A509,'ABB ExDa'!$A$2:$N$184, 6,FALSE), IFERROR(VLOOKUP($A509,'Vocus SIT ExDa'!$B$2:$J$173, 3,FALSE), IFERROR(VLOOKUP($A509,'Telstra ExDa'!$B$2:$K$310, 5,FALSE), IFERROR(VLOOKUP($A509,'Vocus RVC ExDa'!$C$2:$R$155, 9,FALSE), IFERROR(VLOOKUP($A509,'Fusion ExDa'!$B$2:$D$16, 0,FALSE), IFERROR(VLOOKUP($A509,'Exetel ExDa'!$C$2:$N$14, 6,FALSE), IFERROR(VLOOKUP($A509,'Infinet ExDa'!$B$2:$E$14, 0,FALSE), "Not Found"))))))))</f>
        <v>Unlimited Business Internet</v>
      </c>
      <c r="G509" t="str">
        <f>IFERROR(VLOOKUP($A509,'AAPT ExDa'!$B$2:$U$99, 5,FALSE), IFERROR(VLOOKUP($A509,'ABB ExDa'!$A$2:$N$184, 8,FALSE), IFERROR(VLOOKUP($A509,'Vocus SIT ExDa'!$B$2:$J$173, 6,FALSE), IFERROR(VLOOKUP($A509,'Telstra ExDa'!$B$2:$K$310, 0,FALSE), IFERROR(VLOOKUP($A509,'Vocus RVC ExDa'!$C$2:$R$155, 15,FALSE), IFERROR(VLOOKUP($A509,'Fusion ExDa'!$B$2:$D$16, 0,FALSE), IFERROR(VLOOKUP($A509,'Exetel ExDa'!$C$2:$N$14, 7,FALSE), IFERROR(VLOOKUP($A509,'Infinet ExDa'!$B$2:$E$14, 0,FALSE), "Not Found"))))))))</f>
        <v>Not Found</v>
      </c>
      <c r="H509" t="str">
        <f>IFERROR(VLOOKUP($A509,'AAPT ExDa'!$B$2:$U$99, 6,FALSE), IFERROR(VLOOKUP($A509,'ABB ExDa'!$A$2:$N$184, 0,FALSE), IFERROR(VLOOKUP($A509,'Vocus SIT ExDa'!$B$2:$J$173, 0,FALSE), IFERROR(VLOOKUP($A509,'Telstra ExDa'!$B$2:$K$310, 0,FALSE), IFERROR(VLOOKUP($A509,'Vocus RVC ExDa'!$C$2:$R$155, 16,FALSE), IFERROR(VLOOKUP($A509,'Fusion ExDa'!$B$2:$D$16, 0,FALSE), IFERROR(VLOOKUP($A509,'Exetel ExDa'!$C$2:$N$14, 0,FALSE), IFERROR(VLOOKUP($A509,'Infinet ExDa'!$B$2:$E$14, 0,FALSE), "Not Found"))))))))</f>
        <v>Not Found</v>
      </c>
      <c r="I509" t="str">
        <f>IFERROR(VLOOKUP($A509,'AAPT ExDa'!$B$2:$U$99, 0,FALSE), IFERROR(VLOOKUP($A509,'ABB ExDa'!$A$2:$N$184, 0,FALSE), IFERROR(VLOOKUP($A509,'Vocus SIT ExDa'!$B$2:$J$173, 0,FALSE), IFERROR(VLOOKUP($A509,'Telstra ExDa'!$B$2:$K$310, 0,FALSE), IFERROR(VLOOKUP($A509,'Vocus RVC ExDa'!$C$2:$R$155, 0,FALSE), IFERROR(VLOOKUP($A509,'Fusion ExDa'!$B$2:$D$16, 0,FALSE), IFERROR(VLOOKUP($A509,'Exetel ExDa'!$C$2:$N$14, 8,FALSE), IFERROR(VLOOKUP($A509,'Infinet ExDa'!$B$2:$E$14, 0,FALSE), "Not Found"))))))))</f>
        <v>Not Found</v>
      </c>
      <c r="J509" t="str">
        <f>IFERROR(VLOOKUP($A509,'AAPT ExDa'!$B$2:$U$99, 7,FALSE), IFERROR(VLOOKUP($A509,'ABB ExDa'!$A$2:$N$184, 2,FALSE), IFERROR(VLOOKUP($A509,'Vocus SIT ExDa'!$B$2:$J$173, 0,FALSE), IFERROR(VLOOKUP($A509,'Telstra ExDa'!$B$2:$K$310, 7,FALSE), IFERROR(VLOOKUP($A509,'Vocus RVC ExDa'!$C$2:$R$155, 2,FALSE), IFERROR(VLOOKUP($A509,'Fusion ExDa'!$B$2:$D$16, 3,FALSE), IFERROR(VLOOKUP($A509,'Exetel ExDa'!$C$2:$N$14, 0,FALSE), IFERROR(VLOOKUP($A509,'Infinet ExDa'!$B$2:$E$14, 0,FALSE), "Not Found"))))))))</f>
        <v>AVC400032011362</v>
      </c>
      <c r="K509" t="str">
        <f>IFERROR(VLOOKUP($A509,'AAPT ExDa'!$B$2:$U$99, 12,FALSE), IFERROR(VLOOKUP($A509,'ABB ExDa'!$A$2:$N$184, 0,FALSE), IFERROR(VLOOKUP($A509,'Vocus SIT ExDa'!$B$2:$J$173, 0,FALSE), IFERROR(VLOOKUP($A509,'Telstra ExDa'!$B$2:$K$310, 0,FALSE), IFERROR(VLOOKUP($A509,'Vocus RVC ExDa'!$C$2:$R$155, 0,FALSE), IFERROR(VLOOKUP($A509,'Fusion ExDa'!$B$2:$D$16, 0,FALSE), IFERROR(VLOOKUP($A509,'Exetel ExDa'!$C$2:$N$14, 12,FALSE), IFERROR(VLOOKUP($A509,'Infinet ExDa'!$B$2:$E$14, 0,FALSE), "Not Found"))))))))</f>
        <v>Not Found</v>
      </c>
      <c r="L509" s="235" t="str">
        <f>IFERROR(VLOOKUP($A509,'AAPT ExDa'!$B$2:$U$99, 11,FALSE), IFERROR(VLOOKUP($A509,'ABB ExDa'!$A$2:$N$184, 9,FALSE), IFERROR(VLOOKUP($A509,'Vocus SIT ExDa'!$B$2:$J$173, 8,FALSE), IFERROR(VLOOKUP($A509,'Telstra ExDa'!$B$2:$K$310, 0,FALSE), IFERROR(VLOOKUP($A509,'Vocus RVC ExDa'!$C$2:$R$155, 0,FALSE), IFERROR(VLOOKUP($A509,'Fusion ExDa'!$B$2:$D$16, 0,FALSE), IFERROR(VLOOKUP($A509,'Exetel ExDa'!$C$2:$N$14, 9,FALSE), IFERROR(VLOOKUP($A509,'Infinet ExDa'!$B$2:$E$14, 0,FALSE), "Not Found"))))))))</f>
        <v>Not Found</v>
      </c>
      <c r="M509" s="234" t="str">
        <f>IFERROR(VLOOKUP($A509,'AAPT ExDa'!$B$2:$U$99, 0,FALSE), IFERROR(VLOOKUP($A509,'ABB ExDa'!$A$2:$N$184, 0,FALSE), IFERROR(VLOOKUP($A509,'Vocus SIT ExDa'!$B$2:$J$173, 0,FALSE), IFERROR(VLOOKUP($A509,'Telstra ExDa'!$B$2:$K$310, 0,FALSE), IFERROR(VLOOKUP($A509,'Vocus RVC ExDa'!$C$2:$R$155, 0,FALSE), IFERROR(VLOOKUP($A509,'Fusion ExDa'!$B$2:$D$16, 0,FALSE), IFERROR(VLOOKUP($A509,'Exetel ExDa'!$C$2:$N$14, 11,FALSE), IFERROR(VLOOKUP($A509,'Infinet ExDa'!$B$2:$E$14, 0,FALSE), "Not Found"))))))))</f>
        <v>Not Found</v>
      </c>
      <c r="N509" t="str">
        <f>IFERROR(VLOOKUP($A509,'AAPT ExDa'!$B$2:$U$99, 0,FALSE), IFERROR(VLOOKUP($A509,'ABB ExDa'!$A$2:$N$184, 13,FALSE), IFERROR(VLOOKUP($A509,'Vocus SIT ExDa'!$B$2:$J$173, 0,FALSE), IFERROR(VLOOKUP($A509,'Telstra ExDa'!$B$2:$K$310, 0,FALSE), IFERROR(VLOOKUP($A509,'Vocus RVC ExDa'!$C$2:$R$155, 0,FALSE), IFERROR(VLOOKUP($A509,'Fusion ExDa'!$B$2:$D$16, 0,FALSE), IFERROR(VLOOKUP($A509,'Exetel ExDa'!$C$2:$N$14, 0,FALSE), IFERROR(VLOOKUP($A509,'Infinet ExDa'!$B$2:$E$14, 0,FALSE), "Not Found"))))))))</f>
        <v>Not Found</v>
      </c>
    </row>
    <row r="510" spans="1:14">
      <c r="A510" t="str">
        <v>Zambrero Nerang</v>
      </c>
      <c r="B510" t="str">
        <f>IFERROR(VLOOKUP(A510,'Exetel ExDa'!$C$2:$N$14,4,FALSE),"No Data")</f>
        <v>No Data</v>
      </c>
      <c r="C510" t="str">
        <f>IFERROR(VLOOKUP(A510,'AAPT ExDa'!$B$2:$U$99, 2,FALSE), IFERROR(VLOOKUP(A510,'ABB ExDa'!$A$2:$N$184, 2,FALSE), IFERROR(VLOOKUP(A510,'Vocus SIT ExDa'!$B$2:$J$173, 7,FALSE), IFERROR(VLOOKUP(A510,'Telstra ExDa'!$B$2:$K$310, 2,FALSE), IFERROR(VLOOKUP(A510,'Vocus RVC ExDa'!$C$2:$R$155, 3,FALSE), IFERROR(VLOOKUP(A510,'Fusion ExDa'!$B$2:$D$16, 2,FALSE), IFERROR(VLOOKUP(A510,'Exetel ExDa'!$C$2:$N$14, 2,FALSE), IFERROR(VLOOKUP(A510,'Infinet ExDa'!$B$2:$E$14, 2,FALSE), "Not Found"))))))))</f>
        <v>Unit 3, Lot 0, 2-10 Riverview Road, Nerang, QLD 4211</v>
      </c>
      <c r="D510" t="str">
        <f>IFERROR(VLOOKUP($A510,'AAPT ExDa'!$B$2:$U$99, 15,FALSE), IFERROR(VLOOKUP($A510,'ABB ExDa'!$A$2:$N$184, 4,FALSE), IFERROR(VLOOKUP($A510,'Vocus SIT ExDa'!$B$2:$J$173, 5,FALSE), IFERROR(VLOOKUP($A510,'Telstra ExDa'!$B$2:$K$310, 8,FALSE), IFERROR(VLOOKUP($A510,'Vocus RVC ExDa'!$C$2:$R$155, 6,FALSE), IFERROR(VLOOKUP($A510,'Fusion ExDa'!$B$2:$D$16, 4,FALSE), IFERROR(VLOOKUP($A510,'Exetel ExDa'!$C$2:$N$14, 3,FALSE), IFERROR(VLOOKUP($A510,'Infinet ExDa'!$B$2:$E$14, 3,FALSE), "Not Found"))))))))</f>
        <v>Telstra</v>
      </c>
      <c r="E510">
        <f>IFERROR(VLOOKUP($A510,'AAPT ExDa'!$B$2:$U$99, 3,FALSE), IFERROR(VLOOKUP($A510,'ABB ExDa'!$A$2:$N$184, 5,FALSE), IFERROR(VLOOKUP($A510,'Vocus SIT ExDa'!$B$2:$J$173, 2,FALSE), IFERROR(VLOOKUP($A510,'Telstra ExDa'!$B$2:$K$310, 4,FALSE), IFERROR(VLOOKUP($A510,'Vocus RVC ExDa'!$C$2:$R$155, 8,FALSE), IFERROR(VLOOKUP($A510,'Fusion ExDa'!$B$2:$D$16, 4,FALSE), IFERROR(VLOOKUP($A510,'Exetel ExDa'!$C$2:$N$14, 5,FALSE), IFERROR(VLOOKUP($A510,'Infinet ExDa'!$B$2:$E$14, 3,FALSE), "Not Found"))))))))</f>
        <v>0</v>
      </c>
      <c r="F510" t="str">
        <f>IFERROR(VLOOKUP($A510,'AAPT ExDa'!$B$2:$U$99, 4,FALSE), IFERROR(VLOOKUP($A510,'ABB ExDa'!$A$2:$N$184, 6,FALSE), IFERROR(VLOOKUP($A510,'Vocus SIT ExDa'!$B$2:$J$173, 3,FALSE), IFERROR(VLOOKUP($A510,'Telstra ExDa'!$B$2:$K$310, 5,FALSE), IFERROR(VLOOKUP($A510,'Vocus RVC ExDa'!$C$2:$R$155, 9,FALSE), IFERROR(VLOOKUP($A510,'Fusion ExDa'!$B$2:$D$16, 0,FALSE), IFERROR(VLOOKUP($A510,'Exetel ExDa'!$C$2:$N$14, 6,FALSE), IFERROR(VLOOKUP($A510,'Infinet ExDa'!$B$2:$E$14, 0,FALSE), "Not Found"))))))))</f>
        <v>Unlimited Business Internet</v>
      </c>
      <c r="G510" t="str">
        <f>IFERROR(VLOOKUP($A510,'AAPT ExDa'!$B$2:$U$99, 5,FALSE), IFERROR(VLOOKUP($A510,'ABB ExDa'!$A$2:$N$184, 8,FALSE), IFERROR(VLOOKUP($A510,'Vocus SIT ExDa'!$B$2:$J$173, 6,FALSE), IFERROR(VLOOKUP($A510,'Telstra ExDa'!$B$2:$K$310, 0,FALSE), IFERROR(VLOOKUP($A510,'Vocus RVC ExDa'!$C$2:$R$155, 15,FALSE), IFERROR(VLOOKUP($A510,'Fusion ExDa'!$B$2:$D$16, 0,FALSE), IFERROR(VLOOKUP($A510,'Exetel ExDa'!$C$2:$N$14, 7,FALSE), IFERROR(VLOOKUP($A510,'Infinet ExDa'!$B$2:$E$14, 0,FALSE), "Not Found"))))))))</f>
        <v>Not Found</v>
      </c>
      <c r="H510" t="str">
        <f>IFERROR(VLOOKUP($A510,'AAPT ExDa'!$B$2:$U$99, 6,FALSE), IFERROR(VLOOKUP($A510,'ABB ExDa'!$A$2:$N$184, 0,FALSE), IFERROR(VLOOKUP($A510,'Vocus SIT ExDa'!$B$2:$J$173, 0,FALSE), IFERROR(VLOOKUP($A510,'Telstra ExDa'!$B$2:$K$310, 0,FALSE), IFERROR(VLOOKUP($A510,'Vocus RVC ExDa'!$C$2:$R$155, 16,FALSE), IFERROR(VLOOKUP($A510,'Fusion ExDa'!$B$2:$D$16, 0,FALSE), IFERROR(VLOOKUP($A510,'Exetel ExDa'!$C$2:$N$14, 0,FALSE), IFERROR(VLOOKUP($A510,'Infinet ExDa'!$B$2:$E$14, 0,FALSE), "Not Found"))))))))</f>
        <v>Not Found</v>
      </c>
      <c r="I510" t="str">
        <f>IFERROR(VLOOKUP($A510,'AAPT ExDa'!$B$2:$U$99, 0,FALSE), IFERROR(VLOOKUP($A510,'ABB ExDa'!$A$2:$N$184, 0,FALSE), IFERROR(VLOOKUP($A510,'Vocus SIT ExDa'!$B$2:$J$173, 0,FALSE), IFERROR(VLOOKUP($A510,'Telstra ExDa'!$B$2:$K$310, 0,FALSE), IFERROR(VLOOKUP($A510,'Vocus RVC ExDa'!$C$2:$R$155, 0,FALSE), IFERROR(VLOOKUP($A510,'Fusion ExDa'!$B$2:$D$16, 0,FALSE), IFERROR(VLOOKUP($A510,'Exetel ExDa'!$C$2:$N$14, 8,FALSE), IFERROR(VLOOKUP($A510,'Infinet ExDa'!$B$2:$E$14, 0,FALSE), "Not Found"))))))))</f>
        <v>Not Found</v>
      </c>
      <c r="J510" t="str">
        <f>IFERROR(VLOOKUP($A510,'AAPT ExDa'!$B$2:$U$99, 7,FALSE), IFERROR(VLOOKUP($A510,'ABB ExDa'!$A$2:$N$184, 2,FALSE), IFERROR(VLOOKUP($A510,'Vocus SIT ExDa'!$B$2:$J$173, 0,FALSE), IFERROR(VLOOKUP($A510,'Telstra ExDa'!$B$2:$K$310, 7,FALSE), IFERROR(VLOOKUP($A510,'Vocus RVC ExDa'!$C$2:$R$155, 2,FALSE), IFERROR(VLOOKUP($A510,'Fusion ExDa'!$B$2:$D$16, 3,FALSE), IFERROR(VLOOKUP($A510,'Exetel ExDa'!$C$2:$N$14, 0,FALSE), IFERROR(VLOOKUP($A510,'Infinet ExDa'!$B$2:$E$14, 0,FALSE), "Not Found"))))))))</f>
        <v>AVC400032011362</v>
      </c>
      <c r="K510" t="str">
        <f>IFERROR(VLOOKUP($A510,'AAPT ExDa'!$B$2:$U$99, 12,FALSE), IFERROR(VLOOKUP($A510,'ABB ExDa'!$A$2:$N$184, 0,FALSE), IFERROR(VLOOKUP($A510,'Vocus SIT ExDa'!$B$2:$J$173, 0,FALSE), IFERROR(VLOOKUP($A510,'Telstra ExDa'!$B$2:$K$310, 0,FALSE), IFERROR(VLOOKUP($A510,'Vocus RVC ExDa'!$C$2:$R$155, 0,FALSE), IFERROR(VLOOKUP($A510,'Fusion ExDa'!$B$2:$D$16, 0,FALSE), IFERROR(VLOOKUP($A510,'Exetel ExDa'!$C$2:$N$14, 12,FALSE), IFERROR(VLOOKUP($A510,'Infinet ExDa'!$B$2:$E$14, 0,FALSE), "Not Found"))))))))</f>
        <v>Not Found</v>
      </c>
      <c r="L510" s="235" t="str">
        <f>IFERROR(VLOOKUP($A510,'AAPT ExDa'!$B$2:$U$99, 11,FALSE), IFERROR(VLOOKUP($A510,'ABB ExDa'!$A$2:$N$184, 9,FALSE), IFERROR(VLOOKUP($A510,'Vocus SIT ExDa'!$B$2:$J$173, 8,FALSE), IFERROR(VLOOKUP($A510,'Telstra ExDa'!$B$2:$K$310, 0,FALSE), IFERROR(VLOOKUP($A510,'Vocus RVC ExDa'!$C$2:$R$155, 0,FALSE), IFERROR(VLOOKUP($A510,'Fusion ExDa'!$B$2:$D$16, 0,FALSE), IFERROR(VLOOKUP($A510,'Exetel ExDa'!$C$2:$N$14, 9,FALSE), IFERROR(VLOOKUP($A510,'Infinet ExDa'!$B$2:$E$14, 0,FALSE), "Not Found"))))))))</f>
        <v>Not Found</v>
      </c>
      <c r="M510" s="234" t="str">
        <f>IFERROR(VLOOKUP($A510,'AAPT ExDa'!$B$2:$U$99, 0,FALSE), IFERROR(VLOOKUP($A510,'ABB ExDa'!$A$2:$N$184, 0,FALSE), IFERROR(VLOOKUP($A510,'Vocus SIT ExDa'!$B$2:$J$173, 0,FALSE), IFERROR(VLOOKUP($A510,'Telstra ExDa'!$B$2:$K$310, 0,FALSE), IFERROR(VLOOKUP($A510,'Vocus RVC ExDa'!$C$2:$R$155, 0,FALSE), IFERROR(VLOOKUP($A510,'Fusion ExDa'!$B$2:$D$16, 0,FALSE), IFERROR(VLOOKUP($A510,'Exetel ExDa'!$C$2:$N$14, 11,FALSE), IFERROR(VLOOKUP($A510,'Infinet ExDa'!$B$2:$E$14, 0,FALSE), "Not Found"))))))))</f>
        <v>Not Found</v>
      </c>
      <c r="N510" t="str">
        <f>IFERROR(VLOOKUP($A510,'AAPT ExDa'!$B$2:$U$99, 0,FALSE), IFERROR(VLOOKUP($A510,'ABB ExDa'!$A$2:$N$184, 13,FALSE), IFERROR(VLOOKUP($A510,'Vocus SIT ExDa'!$B$2:$J$173, 0,FALSE), IFERROR(VLOOKUP($A510,'Telstra ExDa'!$B$2:$K$310, 0,FALSE), IFERROR(VLOOKUP($A510,'Vocus RVC ExDa'!$C$2:$R$155, 0,FALSE), IFERROR(VLOOKUP($A510,'Fusion ExDa'!$B$2:$D$16, 0,FALSE), IFERROR(VLOOKUP($A510,'Exetel ExDa'!$C$2:$N$14, 0,FALSE), IFERROR(VLOOKUP($A510,'Infinet ExDa'!$B$2:$E$14, 0,FALSE), "Not Found"))))))))</f>
        <v>Not Found</v>
      </c>
    </row>
    <row r="511" spans="1:14">
      <c r="A511" t="str">
        <v>Zambrero Coolangatta</v>
      </c>
      <c r="B511" t="str">
        <f>IFERROR(VLOOKUP(A511,'Exetel ExDa'!$C$2:$N$14,4,FALSE),"No Data")</f>
        <v>No Data</v>
      </c>
      <c r="C511" t="str">
        <f>IFERROR(VLOOKUP(A511,'AAPT ExDa'!$B$2:$U$99, 2,FALSE), IFERROR(VLOOKUP(A511,'ABB ExDa'!$A$2:$N$184, 2,FALSE), IFERROR(VLOOKUP(A511,'Vocus SIT ExDa'!$B$2:$J$173, 7,FALSE), IFERROR(VLOOKUP(A511,'Telstra ExDa'!$B$2:$K$310, 2,FALSE), IFERROR(VLOOKUP(A511,'Vocus RVC ExDa'!$C$2:$R$155, 3,FALSE), IFERROR(VLOOKUP(A511,'Fusion ExDa'!$B$2:$D$16, 2,FALSE), IFERROR(VLOOKUP(A511,'Exetel ExDa'!$C$2:$N$14, 2,FALSE), IFERROR(VLOOKUP(A511,'Infinet ExDa'!$B$2:$E$14, 2,FALSE), "Not Found"))))))))</f>
        <v>Unit 1, 56 Griffith St, Coolangatta, QLD</v>
      </c>
      <c r="D511" t="str">
        <f>IFERROR(VLOOKUP($A511,'AAPT ExDa'!$B$2:$U$99, 15,FALSE), IFERROR(VLOOKUP($A511,'ABB ExDa'!$A$2:$N$184, 4,FALSE), IFERROR(VLOOKUP($A511,'Vocus SIT ExDa'!$B$2:$J$173, 5,FALSE), IFERROR(VLOOKUP($A511,'Telstra ExDa'!$B$2:$K$310, 8,FALSE), IFERROR(VLOOKUP($A511,'Vocus RVC ExDa'!$C$2:$R$155, 6,FALSE), IFERROR(VLOOKUP($A511,'Fusion ExDa'!$B$2:$D$16, 4,FALSE), IFERROR(VLOOKUP($A511,'Exetel ExDa'!$C$2:$N$14, 3,FALSE), IFERROR(VLOOKUP($A511,'Infinet ExDa'!$B$2:$E$14, 3,FALSE), "Not Found"))))))))</f>
        <v>Telstra</v>
      </c>
      <c r="E511">
        <f>IFERROR(VLOOKUP($A511,'AAPT ExDa'!$B$2:$U$99, 3,FALSE), IFERROR(VLOOKUP($A511,'ABB ExDa'!$A$2:$N$184, 5,FALSE), IFERROR(VLOOKUP($A511,'Vocus SIT ExDa'!$B$2:$J$173, 2,FALSE), IFERROR(VLOOKUP($A511,'Telstra ExDa'!$B$2:$K$310, 4,FALSE), IFERROR(VLOOKUP($A511,'Vocus RVC ExDa'!$C$2:$R$155, 8,FALSE), IFERROR(VLOOKUP($A511,'Fusion ExDa'!$B$2:$D$16, 4,FALSE), IFERROR(VLOOKUP($A511,'Exetel ExDa'!$C$2:$N$14, 5,FALSE), IFERROR(VLOOKUP($A511,'Infinet ExDa'!$B$2:$E$14, 3,FALSE), "Not Found"))))))))</f>
        <v>0</v>
      </c>
      <c r="F511" t="str">
        <f>IFERROR(VLOOKUP($A511,'AAPT ExDa'!$B$2:$U$99, 4,FALSE), IFERROR(VLOOKUP($A511,'ABB ExDa'!$A$2:$N$184, 6,FALSE), IFERROR(VLOOKUP($A511,'Vocus SIT ExDa'!$B$2:$J$173, 3,FALSE), IFERROR(VLOOKUP($A511,'Telstra ExDa'!$B$2:$K$310, 5,FALSE), IFERROR(VLOOKUP($A511,'Vocus RVC ExDa'!$C$2:$R$155, 9,FALSE), IFERROR(VLOOKUP($A511,'Fusion ExDa'!$B$2:$D$16, 0,FALSE), IFERROR(VLOOKUP($A511,'Exetel ExDa'!$C$2:$N$14, 6,FALSE), IFERROR(VLOOKUP($A511,'Infinet ExDa'!$B$2:$E$14, 0,FALSE), "Not Found"))))))))</f>
        <v>Main Business Number</v>
      </c>
      <c r="G511">
        <f>IFERROR(VLOOKUP($A511,'AAPT ExDa'!$B$2:$U$99, 5,FALSE), IFERROR(VLOOKUP($A511,'ABB ExDa'!$A$2:$N$184, 8,FALSE), IFERROR(VLOOKUP($A511,'Vocus SIT ExDa'!$B$2:$J$173, 6,FALSE), IFERROR(VLOOKUP($A511,'Telstra ExDa'!$B$2:$K$310, 0,FALSE), IFERROR(VLOOKUP($A511,'Vocus RVC ExDa'!$C$2:$R$155, 15,FALSE), IFERROR(VLOOKUP($A511,'Fusion ExDa'!$B$2:$D$16, 0,FALSE), IFERROR(VLOOKUP($A511,'Exetel ExDa'!$C$2:$N$14, 7,FALSE), IFERROR(VLOOKUP($A511,'Infinet ExDa'!$B$2:$E$14, 0,FALSE), "Not Found"))))))))</f>
        <v>0</v>
      </c>
      <c r="H511">
        <f>IFERROR(VLOOKUP($A511,'AAPT ExDa'!$B$2:$U$99, 6,FALSE), IFERROR(VLOOKUP($A511,'ABB ExDa'!$A$2:$N$184, 0,FALSE), IFERROR(VLOOKUP($A511,'Vocus SIT ExDa'!$B$2:$J$173, 0,FALSE), IFERROR(VLOOKUP($A511,'Telstra ExDa'!$B$2:$K$310, 0,FALSE), IFERROR(VLOOKUP($A511,'Vocus RVC ExDa'!$C$2:$R$155, 16,FALSE), IFERROR(VLOOKUP($A511,'Fusion ExDa'!$B$2:$D$16, 0,FALSE), IFERROR(VLOOKUP($A511,'Exetel ExDa'!$C$2:$N$14, 0,FALSE), IFERROR(VLOOKUP($A511,'Infinet ExDa'!$B$2:$E$14, 0,FALSE), "Not Found"))))))))</f>
        <v>0</v>
      </c>
      <c r="I511" t="str">
        <f>IFERROR(VLOOKUP($A511,'AAPT ExDa'!$B$2:$U$99, 0,FALSE), IFERROR(VLOOKUP($A511,'ABB ExDa'!$A$2:$N$184, 0,FALSE), IFERROR(VLOOKUP($A511,'Vocus SIT ExDa'!$B$2:$J$173, 0,FALSE), IFERROR(VLOOKUP($A511,'Telstra ExDa'!$B$2:$K$310, 0,FALSE), IFERROR(VLOOKUP($A511,'Vocus RVC ExDa'!$C$2:$R$155, 0,FALSE), IFERROR(VLOOKUP($A511,'Fusion ExDa'!$B$2:$D$16, 0,FALSE), IFERROR(VLOOKUP($A511,'Exetel ExDa'!$C$2:$N$14, 8,FALSE), IFERROR(VLOOKUP($A511,'Infinet ExDa'!$B$2:$E$14, 0,FALSE), "Not Found"))))))))</f>
        <v>Not Found</v>
      </c>
      <c r="J511" t="str">
        <f>IFERROR(VLOOKUP($A511,'AAPT ExDa'!$B$2:$U$99, 7,FALSE), IFERROR(VLOOKUP($A511,'ABB ExDa'!$A$2:$N$184, 2,FALSE), IFERROR(VLOOKUP($A511,'Vocus SIT ExDa'!$B$2:$J$173, 0,FALSE), IFERROR(VLOOKUP($A511,'Telstra ExDa'!$B$2:$K$310, 7,FALSE), IFERROR(VLOOKUP($A511,'Vocus RVC ExDa'!$C$2:$R$155, 2,FALSE), IFERROR(VLOOKUP($A511,'Fusion ExDa'!$B$2:$D$16, 3,FALSE), IFERROR(VLOOKUP($A511,'Exetel ExDa'!$C$2:$N$14, 0,FALSE), IFERROR(VLOOKUP($A511,'Infinet ExDa'!$B$2:$E$14, 0,FALSE), "Not Found"))))))))</f>
        <v xml:space="preserve">AVC000037209743 </v>
      </c>
      <c r="K511" t="str">
        <f>IFERROR(VLOOKUP($A511,'AAPT ExDa'!$B$2:$U$99, 12,FALSE), IFERROR(VLOOKUP($A511,'ABB ExDa'!$A$2:$N$184, 0,FALSE), IFERROR(VLOOKUP($A511,'Vocus SIT ExDa'!$B$2:$J$173, 0,FALSE), IFERROR(VLOOKUP($A511,'Telstra ExDa'!$B$2:$K$310, 0,FALSE), IFERROR(VLOOKUP($A511,'Vocus RVC ExDa'!$C$2:$R$155, 0,FALSE), IFERROR(VLOOKUP($A511,'Fusion ExDa'!$B$2:$D$16, 0,FALSE), IFERROR(VLOOKUP($A511,'Exetel ExDa'!$C$2:$N$14, 12,FALSE), IFERROR(VLOOKUP($A511,'Infinet ExDa'!$B$2:$E$14, 0,FALSE), "Not Found"))))))))</f>
        <v>Not Found</v>
      </c>
      <c r="L511" s="235" t="str">
        <f>IFERROR(VLOOKUP($A511,'AAPT ExDa'!$B$2:$U$99, 11,FALSE), IFERROR(VLOOKUP($A511,'ABB ExDa'!$A$2:$N$184, 9,FALSE), IFERROR(VLOOKUP($A511,'Vocus SIT ExDa'!$B$2:$J$173, 8,FALSE), IFERROR(VLOOKUP($A511,'Telstra ExDa'!$B$2:$K$310, 0,FALSE), IFERROR(VLOOKUP($A511,'Vocus RVC ExDa'!$C$2:$R$155, 0,FALSE), IFERROR(VLOOKUP($A511,'Fusion ExDa'!$B$2:$D$16, 0,FALSE), IFERROR(VLOOKUP($A511,'Exetel ExDa'!$C$2:$N$14, 9,FALSE), IFERROR(VLOOKUP($A511,'Infinet ExDa'!$B$2:$E$14, 0,FALSE), "Not Found"))))))))</f>
        <v>Not Found</v>
      </c>
      <c r="M511" s="234" t="str">
        <f>IFERROR(VLOOKUP($A511,'AAPT ExDa'!$B$2:$U$99, 0,FALSE), IFERROR(VLOOKUP($A511,'ABB ExDa'!$A$2:$N$184, 0,FALSE), IFERROR(VLOOKUP($A511,'Vocus SIT ExDa'!$B$2:$J$173, 0,FALSE), IFERROR(VLOOKUP($A511,'Telstra ExDa'!$B$2:$K$310, 0,FALSE), IFERROR(VLOOKUP($A511,'Vocus RVC ExDa'!$C$2:$R$155, 0,FALSE), IFERROR(VLOOKUP($A511,'Fusion ExDa'!$B$2:$D$16, 0,FALSE), IFERROR(VLOOKUP($A511,'Exetel ExDa'!$C$2:$N$14, 11,FALSE), IFERROR(VLOOKUP($A511,'Infinet ExDa'!$B$2:$E$14, 0,FALSE), "Not Found"))))))))</f>
        <v>Not Found</v>
      </c>
      <c r="N511" t="str">
        <f>IFERROR(VLOOKUP($A511,'AAPT ExDa'!$B$2:$U$99, 0,FALSE), IFERROR(VLOOKUP($A511,'ABB ExDa'!$A$2:$N$184, 13,FALSE), IFERROR(VLOOKUP($A511,'Vocus SIT ExDa'!$B$2:$J$173, 0,FALSE), IFERROR(VLOOKUP($A511,'Telstra ExDa'!$B$2:$K$310, 0,FALSE), IFERROR(VLOOKUP($A511,'Vocus RVC ExDa'!$C$2:$R$155, 0,FALSE), IFERROR(VLOOKUP($A511,'Fusion ExDa'!$B$2:$D$16, 0,FALSE), IFERROR(VLOOKUP($A511,'Exetel ExDa'!$C$2:$N$14, 0,FALSE), IFERROR(VLOOKUP($A511,'Infinet ExDa'!$B$2:$E$14, 0,FALSE), "Not Found"))))))))</f>
        <v>Not Found</v>
      </c>
    </row>
    <row r="512" spans="1:14">
      <c r="A512" t="str">
        <v>Zambrero South Hedland</v>
      </c>
      <c r="B512" t="str">
        <f>IFERROR(VLOOKUP(A512,'Exetel ExDa'!$C$2:$N$14,4,FALSE),"No Data")</f>
        <v>No Data</v>
      </c>
      <c r="C512" t="str">
        <f>IFERROR(VLOOKUP(A512,'AAPT ExDa'!$B$2:$U$99, 2,FALSE), IFERROR(VLOOKUP(A512,'ABB ExDa'!$A$2:$N$184, 2,FALSE), IFERROR(VLOOKUP(A512,'Vocus SIT ExDa'!$B$2:$J$173, 7,FALSE), IFERROR(VLOOKUP(A512,'Telstra ExDa'!$B$2:$K$310, 2,FALSE), IFERROR(VLOOKUP(A512,'Vocus RVC ExDa'!$C$2:$R$155, 3,FALSE), IFERROR(VLOOKUP(A512,'Fusion ExDa'!$B$2:$D$16, 2,FALSE), IFERROR(VLOOKUP(A512,'Exetel ExDa'!$C$2:$N$14, 2,FALSE), IFERROR(VLOOKUP(A512,'Infinet ExDa'!$B$2:$E$14, 2,FALSE), "Not Found"))))))))</f>
        <v>SOUTH HEDLAND SHOPPING CENTRE, BG 1, G, SHOP E6A, SOUTH HEDLAND WA 6722</v>
      </c>
      <c r="D512" t="str">
        <f>IFERROR(VLOOKUP($A512,'AAPT ExDa'!$B$2:$U$99, 15,FALSE), IFERROR(VLOOKUP($A512,'ABB ExDa'!$A$2:$N$184, 4,FALSE), IFERROR(VLOOKUP($A512,'Vocus SIT ExDa'!$B$2:$J$173, 5,FALSE), IFERROR(VLOOKUP($A512,'Telstra ExDa'!$B$2:$K$310, 8,FALSE), IFERROR(VLOOKUP($A512,'Vocus RVC ExDa'!$C$2:$R$155, 6,FALSE), IFERROR(VLOOKUP($A512,'Fusion ExDa'!$B$2:$D$16, 4,FALSE), IFERROR(VLOOKUP($A512,'Exetel ExDa'!$C$2:$N$14, 3,FALSE), IFERROR(VLOOKUP($A512,'Infinet ExDa'!$B$2:$E$14, 3,FALSE), "Not Found"))))))))</f>
        <v>Telstra</v>
      </c>
      <c r="E512" t="str">
        <f>IFERROR(VLOOKUP($A512,'AAPT ExDa'!$B$2:$U$99, 3,FALSE), IFERROR(VLOOKUP($A512,'ABB ExDa'!$A$2:$N$184, 5,FALSE), IFERROR(VLOOKUP($A512,'Vocus SIT ExDa'!$B$2:$J$173, 2,FALSE), IFERROR(VLOOKUP($A512,'Telstra ExDa'!$B$2:$K$310, 4,FALSE), IFERROR(VLOOKUP($A512,'Vocus RVC ExDa'!$C$2:$R$155, 8,FALSE), IFERROR(VLOOKUP($A512,'Fusion ExDa'!$B$2:$D$16, 4,FALSE), IFERROR(VLOOKUP($A512,'Exetel ExDa'!$C$2:$N$14, 5,FALSE), IFERROR(VLOOKUP($A512,'Infinet ExDa'!$B$2:$E$14, 3,FALSE), "Not Found"))))))))</f>
        <v>Standard Speed NBN 25Mbps</v>
      </c>
      <c r="F512" t="str">
        <f>IFERROR(VLOOKUP($A512,'AAPT ExDa'!$B$2:$U$99, 4,FALSE), IFERROR(VLOOKUP($A512,'ABB ExDa'!$A$2:$N$184, 6,FALSE), IFERROR(VLOOKUP($A512,'Vocus SIT ExDa'!$B$2:$J$173, 3,FALSE), IFERROR(VLOOKUP($A512,'Telstra ExDa'!$B$2:$K$310, 5,FALSE), IFERROR(VLOOKUP($A512,'Vocus RVC ExDa'!$C$2:$R$155, 9,FALSE), IFERROR(VLOOKUP($A512,'Fusion ExDa'!$B$2:$D$16, 0,FALSE), IFERROR(VLOOKUP($A512,'Exetel ExDa'!$C$2:$N$14, 6,FALSE), IFERROR(VLOOKUP($A512,'Infinet ExDa'!$B$2:$E$14, 0,FALSE), "Not Found"))))))))</f>
        <v>Core Internet</v>
      </c>
      <c r="G512" t="str">
        <f>IFERROR(VLOOKUP($A512,'AAPT ExDa'!$B$2:$U$99, 5,FALSE), IFERROR(VLOOKUP($A512,'ABB ExDa'!$A$2:$N$184, 8,FALSE), IFERROR(VLOOKUP($A512,'Vocus SIT ExDa'!$B$2:$J$173, 6,FALSE), IFERROR(VLOOKUP($A512,'Telstra ExDa'!$B$2:$K$310, 0,FALSE), IFERROR(VLOOKUP($A512,'Vocus RVC ExDa'!$C$2:$R$155, 15,FALSE), IFERROR(VLOOKUP($A512,'Fusion ExDa'!$B$2:$D$16, 0,FALSE), IFERROR(VLOOKUP($A512,'Exetel ExDa'!$C$2:$N$14, 7,FALSE), IFERROR(VLOOKUP($A512,'Infinet ExDa'!$B$2:$E$14, 0,FALSE), "Not Found"))))))))</f>
        <v>Not Found</v>
      </c>
      <c r="H512" t="str">
        <f>IFERROR(VLOOKUP($A512,'AAPT ExDa'!$B$2:$U$99, 6,FALSE), IFERROR(VLOOKUP($A512,'ABB ExDa'!$A$2:$N$184, 0,FALSE), IFERROR(VLOOKUP($A512,'Vocus SIT ExDa'!$B$2:$J$173, 0,FALSE), IFERROR(VLOOKUP($A512,'Telstra ExDa'!$B$2:$K$310, 0,FALSE), IFERROR(VLOOKUP($A512,'Vocus RVC ExDa'!$C$2:$R$155, 16,FALSE), IFERROR(VLOOKUP($A512,'Fusion ExDa'!$B$2:$D$16, 0,FALSE), IFERROR(VLOOKUP($A512,'Exetel ExDa'!$C$2:$N$14, 0,FALSE), IFERROR(VLOOKUP($A512,'Infinet ExDa'!$B$2:$E$14, 0,FALSE), "Not Found"))))))))</f>
        <v>Not Found</v>
      </c>
      <c r="I512" t="str">
        <f>IFERROR(VLOOKUP($A512,'AAPT ExDa'!$B$2:$U$99, 0,FALSE), IFERROR(VLOOKUP($A512,'ABB ExDa'!$A$2:$N$184, 0,FALSE), IFERROR(VLOOKUP($A512,'Vocus SIT ExDa'!$B$2:$J$173, 0,FALSE), IFERROR(VLOOKUP($A512,'Telstra ExDa'!$B$2:$K$310, 0,FALSE), IFERROR(VLOOKUP($A512,'Vocus RVC ExDa'!$C$2:$R$155, 0,FALSE), IFERROR(VLOOKUP($A512,'Fusion ExDa'!$B$2:$D$16, 0,FALSE), IFERROR(VLOOKUP($A512,'Exetel ExDa'!$C$2:$N$14, 8,FALSE), IFERROR(VLOOKUP($A512,'Infinet ExDa'!$B$2:$E$14, 0,FALSE), "Not Found"))))))))</f>
        <v>Not Found</v>
      </c>
      <c r="J512">
        <f>IFERROR(VLOOKUP($A512,'AAPT ExDa'!$B$2:$U$99, 7,FALSE), IFERROR(VLOOKUP($A512,'ABB ExDa'!$A$2:$N$184, 2,FALSE), IFERROR(VLOOKUP($A512,'Vocus SIT ExDa'!$B$2:$J$173, 0,FALSE), IFERROR(VLOOKUP($A512,'Telstra ExDa'!$B$2:$K$310, 7,FALSE), IFERROR(VLOOKUP($A512,'Vocus RVC ExDa'!$C$2:$R$155, 2,FALSE), IFERROR(VLOOKUP($A512,'Fusion ExDa'!$B$2:$D$16, 3,FALSE), IFERROR(VLOOKUP($A512,'Exetel ExDa'!$C$2:$N$14, 0,FALSE), IFERROR(VLOOKUP($A512,'Infinet ExDa'!$B$2:$E$14, 0,FALSE), "Not Found"))))))))</f>
        <v>0</v>
      </c>
      <c r="K512" t="str">
        <f>IFERROR(VLOOKUP($A512,'AAPT ExDa'!$B$2:$U$99, 12,FALSE), IFERROR(VLOOKUP($A512,'ABB ExDa'!$A$2:$N$184, 0,FALSE), IFERROR(VLOOKUP($A512,'Vocus SIT ExDa'!$B$2:$J$173, 0,FALSE), IFERROR(VLOOKUP($A512,'Telstra ExDa'!$B$2:$K$310, 0,FALSE), IFERROR(VLOOKUP($A512,'Vocus RVC ExDa'!$C$2:$R$155, 0,FALSE), IFERROR(VLOOKUP($A512,'Fusion ExDa'!$B$2:$D$16, 0,FALSE), IFERROR(VLOOKUP($A512,'Exetel ExDa'!$C$2:$N$14, 12,FALSE), IFERROR(VLOOKUP($A512,'Infinet ExDa'!$B$2:$E$14, 0,FALSE), "Not Found"))))))))</f>
        <v>Not Found</v>
      </c>
      <c r="L512" s="235" t="str">
        <f>IFERROR(VLOOKUP($A512,'AAPT ExDa'!$B$2:$U$99, 11,FALSE), IFERROR(VLOOKUP($A512,'ABB ExDa'!$A$2:$N$184, 9,FALSE), IFERROR(VLOOKUP($A512,'Vocus SIT ExDa'!$B$2:$J$173, 8,FALSE), IFERROR(VLOOKUP($A512,'Telstra ExDa'!$B$2:$K$310, 0,FALSE), IFERROR(VLOOKUP($A512,'Vocus RVC ExDa'!$C$2:$R$155, 0,FALSE), IFERROR(VLOOKUP($A512,'Fusion ExDa'!$B$2:$D$16, 0,FALSE), IFERROR(VLOOKUP($A512,'Exetel ExDa'!$C$2:$N$14, 9,FALSE), IFERROR(VLOOKUP($A512,'Infinet ExDa'!$B$2:$E$14, 0,FALSE), "Not Found"))))))))</f>
        <v>Not Found</v>
      </c>
      <c r="M512" s="234" t="str">
        <f>IFERROR(VLOOKUP($A512,'AAPT ExDa'!$B$2:$U$99, 0,FALSE), IFERROR(VLOOKUP($A512,'ABB ExDa'!$A$2:$N$184, 0,FALSE), IFERROR(VLOOKUP($A512,'Vocus SIT ExDa'!$B$2:$J$173, 0,FALSE), IFERROR(VLOOKUP($A512,'Telstra ExDa'!$B$2:$K$310, 0,FALSE), IFERROR(VLOOKUP($A512,'Vocus RVC ExDa'!$C$2:$R$155, 0,FALSE), IFERROR(VLOOKUP($A512,'Fusion ExDa'!$B$2:$D$16, 0,FALSE), IFERROR(VLOOKUP($A512,'Exetel ExDa'!$C$2:$N$14, 11,FALSE), IFERROR(VLOOKUP($A512,'Infinet ExDa'!$B$2:$E$14, 0,FALSE), "Not Found"))))))))</f>
        <v>Not Found</v>
      </c>
      <c r="N512" t="str">
        <f>IFERROR(VLOOKUP($A512,'AAPT ExDa'!$B$2:$U$99, 0,FALSE), IFERROR(VLOOKUP($A512,'ABB ExDa'!$A$2:$N$184, 13,FALSE), IFERROR(VLOOKUP($A512,'Vocus SIT ExDa'!$B$2:$J$173, 0,FALSE), IFERROR(VLOOKUP($A512,'Telstra ExDa'!$B$2:$K$310, 0,FALSE), IFERROR(VLOOKUP($A512,'Vocus RVC ExDa'!$C$2:$R$155, 0,FALSE), IFERROR(VLOOKUP($A512,'Fusion ExDa'!$B$2:$D$16, 0,FALSE), IFERROR(VLOOKUP($A512,'Exetel ExDa'!$C$2:$N$14, 0,FALSE), IFERROR(VLOOKUP($A512,'Infinet ExDa'!$B$2:$E$14, 0,FALSE), "Not Found"))))))))</f>
        <v>Not Found</v>
      </c>
    </row>
    <row r="513" spans="1:14">
      <c r="A513" t="str">
        <v>Zambrero South Hedland</v>
      </c>
      <c r="B513" t="str">
        <f>IFERROR(VLOOKUP(A513,'Exetel ExDa'!$C$2:$N$14,4,FALSE),"No Data")</f>
        <v>No Data</v>
      </c>
      <c r="C513" t="str">
        <f>IFERROR(VLOOKUP(A513,'AAPT ExDa'!$B$2:$U$99, 2,FALSE), IFERROR(VLOOKUP(A513,'ABB ExDa'!$A$2:$N$184, 2,FALSE), IFERROR(VLOOKUP(A513,'Vocus SIT ExDa'!$B$2:$J$173, 7,FALSE), IFERROR(VLOOKUP(A513,'Telstra ExDa'!$B$2:$K$310, 2,FALSE), IFERROR(VLOOKUP(A513,'Vocus RVC ExDa'!$C$2:$R$155, 3,FALSE), IFERROR(VLOOKUP(A513,'Fusion ExDa'!$B$2:$D$16, 2,FALSE), IFERROR(VLOOKUP(A513,'Exetel ExDa'!$C$2:$N$14, 2,FALSE), IFERROR(VLOOKUP(A513,'Infinet ExDa'!$B$2:$E$14, 2,FALSE), "Not Found"))))))))</f>
        <v>SOUTH HEDLAND SHOPPING CENTRE, BG 1, G, SHOP E6A, SOUTH HEDLAND WA 6722</v>
      </c>
      <c r="D513" t="str">
        <f>IFERROR(VLOOKUP($A513,'AAPT ExDa'!$B$2:$U$99, 15,FALSE), IFERROR(VLOOKUP($A513,'ABB ExDa'!$A$2:$N$184, 4,FALSE), IFERROR(VLOOKUP($A513,'Vocus SIT ExDa'!$B$2:$J$173, 5,FALSE), IFERROR(VLOOKUP($A513,'Telstra ExDa'!$B$2:$K$310, 8,FALSE), IFERROR(VLOOKUP($A513,'Vocus RVC ExDa'!$C$2:$R$155, 6,FALSE), IFERROR(VLOOKUP($A513,'Fusion ExDa'!$B$2:$D$16, 4,FALSE), IFERROR(VLOOKUP($A513,'Exetel ExDa'!$C$2:$N$14, 3,FALSE), IFERROR(VLOOKUP($A513,'Infinet ExDa'!$B$2:$E$14, 3,FALSE), "Not Found"))))))))</f>
        <v>Telstra</v>
      </c>
      <c r="E513" t="str">
        <f>IFERROR(VLOOKUP($A513,'AAPT ExDa'!$B$2:$U$99, 3,FALSE), IFERROR(VLOOKUP($A513,'ABB ExDa'!$A$2:$N$184, 5,FALSE), IFERROR(VLOOKUP($A513,'Vocus SIT ExDa'!$B$2:$J$173, 2,FALSE), IFERROR(VLOOKUP($A513,'Telstra ExDa'!$B$2:$K$310, 4,FALSE), IFERROR(VLOOKUP($A513,'Vocus RVC ExDa'!$C$2:$R$155, 8,FALSE), IFERROR(VLOOKUP($A513,'Fusion ExDa'!$B$2:$D$16, 4,FALSE), IFERROR(VLOOKUP($A513,'Exetel ExDa'!$C$2:$N$14, 5,FALSE), IFERROR(VLOOKUP($A513,'Infinet ExDa'!$B$2:$E$14, 3,FALSE), "Not Found"))))))))</f>
        <v>Standard Speed NBN 25Mbps</v>
      </c>
      <c r="F513" t="str">
        <f>IFERROR(VLOOKUP($A513,'AAPT ExDa'!$B$2:$U$99, 4,FALSE), IFERROR(VLOOKUP($A513,'ABB ExDa'!$A$2:$N$184, 6,FALSE), IFERROR(VLOOKUP($A513,'Vocus SIT ExDa'!$B$2:$J$173, 3,FALSE), IFERROR(VLOOKUP($A513,'Telstra ExDa'!$B$2:$K$310, 5,FALSE), IFERROR(VLOOKUP($A513,'Vocus RVC ExDa'!$C$2:$R$155, 9,FALSE), IFERROR(VLOOKUP($A513,'Fusion ExDa'!$B$2:$D$16, 0,FALSE), IFERROR(VLOOKUP($A513,'Exetel ExDa'!$C$2:$N$14, 6,FALSE), IFERROR(VLOOKUP($A513,'Infinet ExDa'!$B$2:$E$14, 0,FALSE), "Not Found"))))))))</f>
        <v>Core Internet</v>
      </c>
      <c r="G513" t="str">
        <f>IFERROR(VLOOKUP($A513,'AAPT ExDa'!$B$2:$U$99, 5,FALSE), IFERROR(VLOOKUP($A513,'ABB ExDa'!$A$2:$N$184, 8,FALSE), IFERROR(VLOOKUP($A513,'Vocus SIT ExDa'!$B$2:$J$173, 6,FALSE), IFERROR(VLOOKUP($A513,'Telstra ExDa'!$B$2:$K$310, 0,FALSE), IFERROR(VLOOKUP($A513,'Vocus RVC ExDa'!$C$2:$R$155, 15,FALSE), IFERROR(VLOOKUP($A513,'Fusion ExDa'!$B$2:$D$16, 0,FALSE), IFERROR(VLOOKUP($A513,'Exetel ExDa'!$C$2:$N$14, 7,FALSE), IFERROR(VLOOKUP($A513,'Infinet ExDa'!$B$2:$E$14, 0,FALSE), "Not Found"))))))))</f>
        <v>Not Found</v>
      </c>
      <c r="H513" t="str">
        <f>IFERROR(VLOOKUP($A513,'AAPT ExDa'!$B$2:$U$99, 6,FALSE), IFERROR(VLOOKUP($A513,'ABB ExDa'!$A$2:$N$184, 0,FALSE), IFERROR(VLOOKUP($A513,'Vocus SIT ExDa'!$B$2:$J$173, 0,FALSE), IFERROR(VLOOKUP($A513,'Telstra ExDa'!$B$2:$K$310, 0,FALSE), IFERROR(VLOOKUP($A513,'Vocus RVC ExDa'!$C$2:$R$155, 16,FALSE), IFERROR(VLOOKUP($A513,'Fusion ExDa'!$B$2:$D$16, 0,FALSE), IFERROR(VLOOKUP($A513,'Exetel ExDa'!$C$2:$N$14, 0,FALSE), IFERROR(VLOOKUP($A513,'Infinet ExDa'!$B$2:$E$14, 0,FALSE), "Not Found"))))))))</f>
        <v>Not Found</v>
      </c>
      <c r="I513" t="str">
        <f>IFERROR(VLOOKUP($A513,'AAPT ExDa'!$B$2:$U$99, 0,FALSE), IFERROR(VLOOKUP($A513,'ABB ExDa'!$A$2:$N$184, 0,FALSE), IFERROR(VLOOKUP($A513,'Vocus SIT ExDa'!$B$2:$J$173, 0,FALSE), IFERROR(VLOOKUP($A513,'Telstra ExDa'!$B$2:$K$310, 0,FALSE), IFERROR(VLOOKUP($A513,'Vocus RVC ExDa'!$C$2:$R$155, 0,FALSE), IFERROR(VLOOKUP($A513,'Fusion ExDa'!$B$2:$D$16, 0,FALSE), IFERROR(VLOOKUP($A513,'Exetel ExDa'!$C$2:$N$14, 8,FALSE), IFERROR(VLOOKUP($A513,'Infinet ExDa'!$B$2:$E$14, 0,FALSE), "Not Found"))))))))</f>
        <v>Not Found</v>
      </c>
      <c r="J513">
        <f>IFERROR(VLOOKUP($A513,'AAPT ExDa'!$B$2:$U$99, 7,FALSE), IFERROR(VLOOKUP($A513,'ABB ExDa'!$A$2:$N$184, 2,FALSE), IFERROR(VLOOKUP($A513,'Vocus SIT ExDa'!$B$2:$J$173, 0,FALSE), IFERROR(VLOOKUP($A513,'Telstra ExDa'!$B$2:$K$310, 7,FALSE), IFERROR(VLOOKUP($A513,'Vocus RVC ExDa'!$C$2:$R$155, 2,FALSE), IFERROR(VLOOKUP($A513,'Fusion ExDa'!$B$2:$D$16, 3,FALSE), IFERROR(VLOOKUP($A513,'Exetel ExDa'!$C$2:$N$14, 0,FALSE), IFERROR(VLOOKUP($A513,'Infinet ExDa'!$B$2:$E$14, 0,FALSE), "Not Found"))))))))</f>
        <v>0</v>
      </c>
      <c r="K513" t="str">
        <f>IFERROR(VLOOKUP($A513,'AAPT ExDa'!$B$2:$U$99, 12,FALSE), IFERROR(VLOOKUP($A513,'ABB ExDa'!$A$2:$N$184, 0,FALSE), IFERROR(VLOOKUP($A513,'Vocus SIT ExDa'!$B$2:$J$173, 0,FALSE), IFERROR(VLOOKUP($A513,'Telstra ExDa'!$B$2:$K$310, 0,FALSE), IFERROR(VLOOKUP($A513,'Vocus RVC ExDa'!$C$2:$R$155, 0,FALSE), IFERROR(VLOOKUP($A513,'Fusion ExDa'!$B$2:$D$16, 0,FALSE), IFERROR(VLOOKUP($A513,'Exetel ExDa'!$C$2:$N$14, 12,FALSE), IFERROR(VLOOKUP($A513,'Infinet ExDa'!$B$2:$E$14, 0,FALSE), "Not Found"))))))))</f>
        <v>Not Found</v>
      </c>
      <c r="L513" s="235" t="str">
        <f>IFERROR(VLOOKUP($A513,'AAPT ExDa'!$B$2:$U$99, 11,FALSE), IFERROR(VLOOKUP($A513,'ABB ExDa'!$A$2:$N$184, 9,FALSE), IFERROR(VLOOKUP($A513,'Vocus SIT ExDa'!$B$2:$J$173, 8,FALSE), IFERROR(VLOOKUP($A513,'Telstra ExDa'!$B$2:$K$310, 0,FALSE), IFERROR(VLOOKUP($A513,'Vocus RVC ExDa'!$C$2:$R$155, 0,FALSE), IFERROR(VLOOKUP($A513,'Fusion ExDa'!$B$2:$D$16, 0,FALSE), IFERROR(VLOOKUP($A513,'Exetel ExDa'!$C$2:$N$14, 9,FALSE), IFERROR(VLOOKUP($A513,'Infinet ExDa'!$B$2:$E$14, 0,FALSE), "Not Found"))))))))</f>
        <v>Not Found</v>
      </c>
      <c r="M513" s="234" t="str">
        <f>IFERROR(VLOOKUP($A513,'AAPT ExDa'!$B$2:$U$99, 0,FALSE), IFERROR(VLOOKUP($A513,'ABB ExDa'!$A$2:$N$184, 0,FALSE), IFERROR(VLOOKUP($A513,'Vocus SIT ExDa'!$B$2:$J$173, 0,FALSE), IFERROR(VLOOKUP($A513,'Telstra ExDa'!$B$2:$K$310, 0,FALSE), IFERROR(VLOOKUP($A513,'Vocus RVC ExDa'!$C$2:$R$155, 0,FALSE), IFERROR(VLOOKUP($A513,'Fusion ExDa'!$B$2:$D$16, 0,FALSE), IFERROR(VLOOKUP($A513,'Exetel ExDa'!$C$2:$N$14, 11,FALSE), IFERROR(VLOOKUP($A513,'Infinet ExDa'!$B$2:$E$14, 0,FALSE), "Not Found"))))))))</f>
        <v>Not Found</v>
      </c>
      <c r="N513" t="str">
        <f>IFERROR(VLOOKUP($A513,'AAPT ExDa'!$B$2:$U$99, 0,FALSE), IFERROR(VLOOKUP($A513,'ABB ExDa'!$A$2:$N$184, 13,FALSE), IFERROR(VLOOKUP($A513,'Vocus SIT ExDa'!$B$2:$J$173, 0,FALSE), IFERROR(VLOOKUP($A513,'Telstra ExDa'!$B$2:$K$310, 0,FALSE), IFERROR(VLOOKUP($A513,'Vocus RVC ExDa'!$C$2:$R$155, 0,FALSE), IFERROR(VLOOKUP($A513,'Fusion ExDa'!$B$2:$D$16, 0,FALSE), IFERROR(VLOOKUP($A513,'Exetel ExDa'!$C$2:$N$14, 0,FALSE), IFERROR(VLOOKUP($A513,'Infinet ExDa'!$B$2:$E$14, 0,FALSE), "Not Found"))))))))</f>
        <v>Not Found</v>
      </c>
    </row>
    <row r="514" spans="1:14">
      <c r="A514" t="str">
        <v>Zambrero Tuart Hill</v>
      </c>
      <c r="B514" t="str">
        <f>IFERROR(VLOOKUP(A514,'Exetel ExDa'!$C$2:$N$14,4,FALSE),"No Data")</f>
        <v>No Data</v>
      </c>
      <c r="C514" t="str">
        <f>IFERROR(VLOOKUP(A514,'AAPT ExDa'!$B$2:$U$99, 2,FALSE), IFERROR(VLOOKUP(A514,'ABB ExDa'!$A$2:$N$184, 2,FALSE), IFERROR(VLOOKUP(A514,'Vocus SIT ExDa'!$B$2:$J$173, 7,FALSE), IFERROR(VLOOKUP(A514,'Telstra ExDa'!$B$2:$K$310, 2,FALSE), IFERROR(VLOOKUP(A514,'Vocus RVC ExDa'!$C$2:$R$155, 3,FALSE), IFERROR(VLOOKUP(A514,'Fusion ExDa'!$B$2:$D$16, 2,FALSE), IFERROR(VLOOKUP(A514,'Exetel ExDa'!$C$2:$N$14, 2,FALSE), IFERROR(VLOOKUP(A514,'Infinet ExDa'!$B$2:$E$14, 2,FALSE), "Not Found"))))))))</f>
        <v>Unit 4, 207 Wanneroo Rd, Tuart Hill, WA</v>
      </c>
      <c r="D514" t="str">
        <f>IFERROR(VLOOKUP($A514,'AAPT ExDa'!$B$2:$U$99, 15,FALSE), IFERROR(VLOOKUP($A514,'ABB ExDa'!$A$2:$N$184, 4,FALSE), IFERROR(VLOOKUP($A514,'Vocus SIT ExDa'!$B$2:$J$173, 5,FALSE), IFERROR(VLOOKUP($A514,'Telstra ExDa'!$B$2:$K$310, 8,FALSE), IFERROR(VLOOKUP($A514,'Vocus RVC ExDa'!$C$2:$R$155, 6,FALSE), IFERROR(VLOOKUP($A514,'Fusion ExDa'!$B$2:$D$16, 4,FALSE), IFERROR(VLOOKUP($A514,'Exetel ExDa'!$C$2:$N$14, 3,FALSE), IFERROR(VLOOKUP($A514,'Infinet ExDa'!$B$2:$E$14, 3,FALSE), "Not Found"))))))))</f>
        <v>Telstra</v>
      </c>
      <c r="E514">
        <f>IFERROR(VLOOKUP($A514,'AAPT ExDa'!$B$2:$U$99, 3,FALSE), IFERROR(VLOOKUP($A514,'ABB ExDa'!$A$2:$N$184, 5,FALSE), IFERROR(VLOOKUP($A514,'Vocus SIT ExDa'!$B$2:$J$173, 2,FALSE), IFERROR(VLOOKUP($A514,'Telstra ExDa'!$B$2:$K$310, 4,FALSE), IFERROR(VLOOKUP($A514,'Vocus RVC ExDa'!$C$2:$R$155, 8,FALSE), IFERROR(VLOOKUP($A514,'Fusion ExDa'!$B$2:$D$16, 4,FALSE), IFERROR(VLOOKUP($A514,'Exetel ExDa'!$C$2:$N$14, 5,FALSE), IFERROR(VLOOKUP($A514,'Infinet ExDa'!$B$2:$E$14, 3,FALSE), "Not Found"))))))))</f>
        <v>0</v>
      </c>
      <c r="F514" t="str">
        <f>IFERROR(VLOOKUP($A514,'AAPT ExDa'!$B$2:$U$99, 4,FALSE), IFERROR(VLOOKUP($A514,'ABB ExDa'!$A$2:$N$184, 6,FALSE), IFERROR(VLOOKUP($A514,'Vocus SIT ExDa'!$B$2:$J$173, 3,FALSE), IFERROR(VLOOKUP($A514,'Telstra ExDa'!$B$2:$K$310, 5,FALSE), IFERROR(VLOOKUP($A514,'Vocus RVC ExDa'!$C$2:$R$155, 9,FALSE), IFERROR(VLOOKUP($A514,'Fusion ExDa'!$B$2:$D$16, 0,FALSE), IFERROR(VLOOKUP($A514,'Exetel ExDa'!$C$2:$N$14, 6,FALSE), IFERROR(VLOOKUP($A514,'Infinet ExDa'!$B$2:$E$14, 0,FALSE), "Not Found"))))))))</f>
        <v>Main Business Number</v>
      </c>
      <c r="G514" t="str">
        <f>IFERROR(VLOOKUP($A514,'AAPT ExDa'!$B$2:$U$99, 5,FALSE), IFERROR(VLOOKUP($A514,'ABB ExDa'!$A$2:$N$184, 8,FALSE), IFERROR(VLOOKUP($A514,'Vocus SIT ExDa'!$B$2:$J$173, 6,FALSE), IFERROR(VLOOKUP($A514,'Telstra ExDa'!$B$2:$K$310, 0,FALSE), IFERROR(VLOOKUP($A514,'Vocus RVC ExDa'!$C$2:$R$155, 15,FALSE), IFERROR(VLOOKUP($A514,'Fusion ExDa'!$B$2:$D$16, 0,FALSE), IFERROR(VLOOKUP($A514,'Exetel ExDa'!$C$2:$N$14, 7,FALSE), IFERROR(VLOOKUP($A514,'Infinet ExDa'!$B$2:$E$14, 0,FALSE), "Not Found"))))))))</f>
        <v>Not Found</v>
      </c>
      <c r="H514" t="str">
        <f>IFERROR(VLOOKUP($A514,'AAPT ExDa'!$B$2:$U$99, 6,FALSE), IFERROR(VLOOKUP($A514,'ABB ExDa'!$A$2:$N$184, 0,FALSE), IFERROR(VLOOKUP($A514,'Vocus SIT ExDa'!$B$2:$J$173, 0,FALSE), IFERROR(VLOOKUP($A514,'Telstra ExDa'!$B$2:$K$310, 0,FALSE), IFERROR(VLOOKUP($A514,'Vocus RVC ExDa'!$C$2:$R$155, 16,FALSE), IFERROR(VLOOKUP($A514,'Fusion ExDa'!$B$2:$D$16, 0,FALSE), IFERROR(VLOOKUP($A514,'Exetel ExDa'!$C$2:$N$14, 0,FALSE), IFERROR(VLOOKUP($A514,'Infinet ExDa'!$B$2:$E$14, 0,FALSE), "Not Found"))))))))</f>
        <v>Not Found</v>
      </c>
      <c r="I514" t="str">
        <f>IFERROR(VLOOKUP($A514,'AAPT ExDa'!$B$2:$U$99, 0,FALSE), IFERROR(VLOOKUP($A514,'ABB ExDa'!$A$2:$N$184, 0,FALSE), IFERROR(VLOOKUP($A514,'Vocus SIT ExDa'!$B$2:$J$173, 0,FALSE), IFERROR(VLOOKUP($A514,'Telstra ExDa'!$B$2:$K$310, 0,FALSE), IFERROR(VLOOKUP($A514,'Vocus RVC ExDa'!$C$2:$R$155, 0,FALSE), IFERROR(VLOOKUP($A514,'Fusion ExDa'!$B$2:$D$16, 0,FALSE), IFERROR(VLOOKUP($A514,'Exetel ExDa'!$C$2:$N$14, 8,FALSE), IFERROR(VLOOKUP($A514,'Infinet ExDa'!$B$2:$E$14, 0,FALSE), "Not Found"))))))))</f>
        <v>Not Found</v>
      </c>
      <c r="J514" t="str">
        <f>IFERROR(VLOOKUP($A514,'AAPT ExDa'!$B$2:$U$99, 7,FALSE), IFERROR(VLOOKUP($A514,'ABB ExDa'!$A$2:$N$184, 2,FALSE), IFERROR(VLOOKUP($A514,'Vocus SIT ExDa'!$B$2:$J$173, 0,FALSE), IFERROR(VLOOKUP($A514,'Telstra ExDa'!$B$2:$K$310, 7,FALSE), IFERROR(VLOOKUP($A514,'Vocus RVC ExDa'!$C$2:$R$155, 2,FALSE), IFERROR(VLOOKUP($A514,'Fusion ExDa'!$B$2:$D$16, 3,FALSE), IFERROR(VLOOKUP($A514,'Exetel ExDa'!$C$2:$N$14, 0,FALSE), IFERROR(VLOOKUP($A514,'Infinet ExDa'!$B$2:$E$14, 0,FALSE), "Not Found"))))))))</f>
        <v xml:space="preserve">AVC000060105588 </v>
      </c>
      <c r="K514" t="str">
        <f>IFERROR(VLOOKUP($A514,'AAPT ExDa'!$B$2:$U$99, 12,FALSE), IFERROR(VLOOKUP($A514,'ABB ExDa'!$A$2:$N$184, 0,FALSE), IFERROR(VLOOKUP($A514,'Vocus SIT ExDa'!$B$2:$J$173, 0,FALSE), IFERROR(VLOOKUP($A514,'Telstra ExDa'!$B$2:$K$310, 0,FALSE), IFERROR(VLOOKUP($A514,'Vocus RVC ExDa'!$C$2:$R$155, 0,FALSE), IFERROR(VLOOKUP($A514,'Fusion ExDa'!$B$2:$D$16, 0,FALSE), IFERROR(VLOOKUP($A514,'Exetel ExDa'!$C$2:$N$14, 12,FALSE), IFERROR(VLOOKUP($A514,'Infinet ExDa'!$B$2:$E$14, 0,FALSE), "Not Found"))))))))</f>
        <v>Not Found</v>
      </c>
      <c r="L514" s="235" t="str">
        <f>IFERROR(VLOOKUP($A514,'AAPT ExDa'!$B$2:$U$99, 11,FALSE), IFERROR(VLOOKUP($A514,'ABB ExDa'!$A$2:$N$184, 9,FALSE), IFERROR(VLOOKUP($A514,'Vocus SIT ExDa'!$B$2:$J$173, 8,FALSE), IFERROR(VLOOKUP($A514,'Telstra ExDa'!$B$2:$K$310, 0,FALSE), IFERROR(VLOOKUP($A514,'Vocus RVC ExDa'!$C$2:$R$155, 0,FALSE), IFERROR(VLOOKUP($A514,'Fusion ExDa'!$B$2:$D$16, 0,FALSE), IFERROR(VLOOKUP($A514,'Exetel ExDa'!$C$2:$N$14, 9,FALSE), IFERROR(VLOOKUP($A514,'Infinet ExDa'!$B$2:$E$14, 0,FALSE), "Not Found"))))))))</f>
        <v>Not Found</v>
      </c>
      <c r="M514" s="234" t="str">
        <f>IFERROR(VLOOKUP($A514,'AAPT ExDa'!$B$2:$U$99, 0,FALSE), IFERROR(VLOOKUP($A514,'ABB ExDa'!$A$2:$N$184, 0,FALSE), IFERROR(VLOOKUP($A514,'Vocus SIT ExDa'!$B$2:$J$173, 0,FALSE), IFERROR(VLOOKUP($A514,'Telstra ExDa'!$B$2:$K$310, 0,FALSE), IFERROR(VLOOKUP($A514,'Vocus RVC ExDa'!$C$2:$R$155, 0,FALSE), IFERROR(VLOOKUP($A514,'Fusion ExDa'!$B$2:$D$16, 0,FALSE), IFERROR(VLOOKUP($A514,'Exetel ExDa'!$C$2:$N$14, 11,FALSE), IFERROR(VLOOKUP($A514,'Infinet ExDa'!$B$2:$E$14, 0,FALSE), "Not Found"))))))))</f>
        <v>Not Found</v>
      </c>
      <c r="N514" t="str">
        <f>IFERROR(VLOOKUP($A514,'AAPT ExDa'!$B$2:$U$99, 0,FALSE), IFERROR(VLOOKUP($A514,'ABB ExDa'!$A$2:$N$184, 13,FALSE), IFERROR(VLOOKUP($A514,'Vocus SIT ExDa'!$B$2:$J$173, 0,FALSE), IFERROR(VLOOKUP($A514,'Telstra ExDa'!$B$2:$K$310, 0,FALSE), IFERROR(VLOOKUP($A514,'Vocus RVC ExDa'!$C$2:$R$155, 0,FALSE), IFERROR(VLOOKUP($A514,'Fusion ExDa'!$B$2:$D$16, 0,FALSE), IFERROR(VLOOKUP($A514,'Exetel ExDa'!$C$2:$N$14, 0,FALSE), IFERROR(VLOOKUP($A514,'Infinet ExDa'!$B$2:$E$14, 0,FALSE), "Not Found"))))))))</f>
        <v>Not Found</v>
      </c>
    </row>
    <row r="515" spans="1:14">
      <c r="A515" t="str">
        <v>Zambrero Ascot</v>
      </c>
      <c r="B515" t="str">
        <f>IFERROR(VLOOKUP(A515,'Exetel ExDa'!$C$2:$N$14,4,FALSE),"No Data")</f>
        <v>No Data</v>
      </c>
      <c r="C515" t="str">
        <f>IFERROR(VLOOKUP(A515,'AAPT ExDa'!$B$2:$U$99, 2,FALSE), IFERROR(VLOOKUP(A515,'ABB ExDa'!$A$2:$N$184, 2,FALSE), IFERROR(VLOOKUP(A515,'Vocus SIT ExDa'!$B$2:$J$173, 7,FALSE), IFERROR(VLOOKUP(A515,'Telstra ExDa'!$B$2:$K$310, 2,FALSE), IFERROR(VLOOKUP(A515,'Vocus RVC ExDa'!$C$2:$R$155, 3,FALSE), IFERROR(VLOOKUP(A515,'Fusion ExDa'!$B$2:$D$16, 2,FALSE), IFERROR(VLOOKUP(A515,'Exetel ExDa'!$C$2:$N$14, 2,FALSE), IFERROR(VLOOKUP(A515,'Infinet ExDa'!$B$2:$E$14, 2,FALSE), "Not Found"))))))))</f>
        <v>714 182 GREAT EASTERN HWY ASCOT  </v>
      </c>
      <c r="D515" t="str">
        <f>IFERROR(VLOOKUP($A515,'AAPT ExDa'!$B$2:$U$99, 15,FALSE), IFERROR(VLOOKUP($A515,'ABB ExDa'!$A$2:$N$184, 4,FALSE), IFERROR(VLOOKUP($A515,'Vocus SIT ExDa'!$B$2:$J$173, 5,FALSE), IFERROR(VLOOKUP($A515,'Telstra ExDa'!$B$2:$K$310, 8,FALSE), IFERROR(VLOOKUP($A515,'Vocus RVC ExDa'!$C$2:$R$155, 6,FALSE), IFERROR(VLOOKUP($A515,'Fusion ExDa'!$B$2:$D$16, 4,FALSE), IFERROR(VLOOKUP($A515,'Exetel ExDa'!$C$2:$N$14, 3,FALSE), IFERROR(VLOOKUP($A515,'Infinet ExDa'!$B$2:$E$14, 3,FALSE), "Not Found"))))))))</f>
        <v>Telstra</v>
      </c>
      <c r="E515">
        <f>IFERROR(VLOOKUP($A515,'AAPT ExDa'!$B$2:$U$99, 3,FALSE), IFERROR(VLOOKUP($A515,'ABB ExDa'!$A$2:$N$184, 5,FALSE), IFERROR(VLOOKUP($A515,'Vocus SIT ExDa'!$B$2:$J$173, 2,FALSE), IFERROR(VLOOKUP($A515,'Telstra ExDa'!$B$2:$K$310, 4,FALSE), IFERROR(VLOOKUP($A515,'Vocus RVC ExDa'!$C$2:$R$155, 8,FALSE), IFERROR(VLOOKUP($A515,'Fusion ExDa'!$B$2:$D$16, 4,FALSE), IFERROR(VLOOKUP($A515,'Exetel ExDa'!$C$2:$N$14, 5,FALSE), IFERROR(VLOOKUP($A515,'Infinet ExDa'!$B$2:$E$14, 3,FALSE), "Not Found"))))))))</f>
        <v>0</v>
      </c>
      <c r="F515" t="str">
        <f>IFERROR(VLOOKUP($A515,'AAPT ExDa'!$B$2:$U$99, 4,FALSE), IFERROR(VLOOKUP($A515,'ABB ExDa'!$A$2:$N$184, 6,FALSE), IFERROR(VLOOKUP($A515,'Vocus SIT ExDa'!$B$2:$J$173, 3,FALSE), IFERROR(VLOOKUP($A515,'Telstra ExDa'!$B$2:$K$310, 5,FALSE), IFERROR(VLOOKUP($A515,'Vocus RVC ExDa'!$C$2:$R$155, 9,FALSE), IFERROR(VLOOKUP($A515,'Fusion ExDa'!$B$2:$D$16, 0,FALSE), IFERROR(VLOOKUP($A515,'Exetel ExDa'!$C$2:$N$14, 6,FALSE), IFERROR(VLOOKUP($A515,'Infinet ExDa'!$B$2:$E$14, 0,FALSE), "Not Found"))))))))</f>
        <v>Main Business Number</v>
      </c>
      <c r="G515" t="str">
        <f>IFERROR(VLOOKUP($A515,'AAPT ExDa'!$B$2:$U$99, 5,FALSE), IFERROR(VLOOKUP($A515,'ABB ExDa'!$A$2:$N$184, 8,FALSE), IFERROR(VLOOKUP($A515,'Vocus SIT ExDa'!$B$2:$J$173, 6,FALSE), IFERROR(VLOOKUP($A515,'Telstra ExDa'!$B$2:$K$310, 0,FALSE), IFERROR(VLOOKUP($A515,'Vocus RVC ExDa'!$C$2:$R$155, 15,FALSE), IFERROR(VLOOKUP($A515,'Fusion ExDa'!$B$2:$D$16, 0,FALSE), IFERROR(VLOOKUP($A515,'Exetel ExDa'!$C$2:$N$14, 7,FALSE), IFERROR(VLOOKUP($A515,'Infinet ExDa'!$B$2:$E$14, 0,FALSE), "Not Found"))))))))</f>
        <v>Not Found</v>
      </c>
      <c r="H515" t="str">
        <f>IFERROR(VLOOKUP($A515,'AAPT ExDa'!$B$2:$U$99, 6,FALSE), IFERROR(VLOOKUP($A515,'ABB ExDa'!$A$2:$N$184, 0,FALSE), IFERROR(VLOOKUP($A515,'Vocus SIT ExDa'!$B$2:$J$173, 0,FALSE), IFERROR(VLOOKUP($A515,'Telstra ExDa'!$B$2:$K$310, 0,FALSE), IFERROR(VLOOKUP($A515,'Vocus RVC ExDa'!$C$2:$R$155, 16,FALSE), IFERROR(VLOOKUP($A515,'Fusion ExDa'!$B$2:$D$16, 0,FALSE), IFERROR(VLOOKUP($A515,'Exetel ExDa'!$C$2:$N$14, 0,FALSE), IFERROR(VLOOKUP($A515,'Infinet ExDa'!$B$2:$E$14, 0,FALSE), "Not Found"))))))))</f>
        <v>Not Found</v>
      </c>
      <c r="I515" t="str">
        <f>IFERROR(VLOOKUP($A515,'AAPT ExDa'!$B$2:$U$99, 0,FALSE), IFERROR(VLOOKUP($A515,'ABB ExDa'!$A$2:$N$184, 0,FALSE), IFERROR(VLOOKUP($A515,'Vocus SIT ExDa'!$B$2:$J$173, 0,FALSE), IFERROR(VLOOKUP($A515,'Telstra ExDa'!$B$2:$K$310, 0,FALSE), IFERROR(VLOOKUP($A515,'Vocus RVC ExDa'!$C$2:$R$155, 0,FALSE), IFERROR(VLOOKUP($A515,'Fusion ExDa'!$B$2:$D$16, 0,FALSE), IFERROR(VLOOKUP($A515,'Exetel ExDa'!$C$2:$N$14, 8,FALSE), IFERROR(VLOOKUP($A515,'Infinet ExDa'!$B$2:$E$14, 0,FALSE), "Not Found"))))))))</f>
        <v>Not Found</v>
      </c>
      <c r="J515" t="str">
        <f>IFERROR(VLOOKUP($A515,'AAPT ExDa'!$B$2:$U$99, 7,FALSE), IFERROR(VLOOKUP($A515,'ABB ExDa'!$A$2:$N$184, 2,FALSE), IFERROR(VLOOKUP($A515,'Vocus SIT ExDa'!$B$2:$J$173, 0,FALSE), IFERROR(VLOOKUP($A515,'Telstra ExDa'!$B$2:$K$310, 7,FALSE), IFERROR(VLOOKUP($A515,'Vocus RVC ExDa'!$C$2:$R$155, 2,FALSE), IFERROR(VLOOKUP($A515,'Fusion ExDa'!$B$2:$D$16, 3,FALSE), IFERROR(VLOOKUP($A515,'Exetel ExDa'!$C$2:$N$14, 0,FALSE), IFERROR(VLOOKUP($A515,'Infinet ExDa'!$B$2:$E$14, 0,FALSE), "Not Found"))))))))</f>
        <v>AVC000093503337</v>
      </c>
      <c r="K515" t="str">
        <f>IFERROR(VLOOKUP($A515,'AAPT ExDa'!$B$2:$U$99, 12,FALSE), IFERROR(VLOOKUP($A515,'ABB ExDa'!$A$2:$N$184, 0,FALSE), IFERROR(VLOOKUP($A515,'Vocus SIT ExDa'!$B$2:$J$173, 0,FALSE), IFERROR(VLOOKUP($A515,'Telstra ExDa'!$B$2:$K$310, 0,FALSE), IFERROR(VLOOKUP($A515,'Vocus RVC ExDa'!$C$2:$R$155, 0,FALSE), IFERROR(VLOOKUP($A515,'Fusion ExDa'!$B$2:$D$16, 0,FALSE), IFERROR(VLOOKUP($A515,'Exetel ExDa'!$C$2:$N$14, 12,FALSE), IFERROR(VLOOKUP($A515,'Infinet ExDa'!$B$2:$E$14, 0,FALSE), "Not Found"))))))))</f>
        <v>Not Found</v>
      </c>
      <c r="L515" s="235" t="str">
        <f>IFERROR(VLOOKUP($A515,'AAPT ExDa'!$B$2:$U$99, 11,FALSE), IFERROR(VLOOKUP($A515,'ABB ExDa'!$A$2:$N$184, 9,FALSE), IFERROR(VLOOKUP($A515,'Vocus SIT ExDa'!$B$2:$J$173, 8,FALSE), IFERROR(VLOOKUP($A515,'Telstra ExDa'!$B$2:$K$310, 0,FALSE), IFERROR(VLOOKUP($A515,'Vocus RVC ExDa'!$C$2:$R$155, 0,FALSE), IFERROR(VLOOKUP($A515,'Fusion ExDa'!$B$2:$D$16, 0,FALSE), IFERROR(VLOOKUP($A515,'Exetel ExDa'!$C$2:$N$14, 9,FALSE), IFERROR(VLOOKUP($A515,'Infinet ExDa'!$B$2:$E$14, 0,FALSE), "Not Found"))))))))</f>
        <v>Not Found</v>
      </c>
      <c r="M515" s="234" t="str">
        <f>IFERROR(VLOOKUP($A515,'AAPT ExDa'!$B$2:$U$99, 0,FALSE), IFERROR(VLOOKUP($A515,'ABB ExDa'!$A$2:$N$184, 0,FALSE), IFERROR(VLOOKUP($A515,'Vocus SIT ExDa'!$B$2:$J$173, 0,FALSE), IFERROR(VLOOKUP($A515,'Telstra ExDa'!$B$2:$K$310, 0,FALSE), IFERROR(VLOOKUP($A515,'Vocus RVC ExDa'!$C$2:$R$155, 0,FALSE), IFERROR(VLOOKUP($A515,'Fusion ExDa'!$B$2:$D$16, 0,FALSE), IFERROR(VLOOKUP($A515,'Exetel ExDa'!$C$2:$N$14, 11,FALSE), IFERROR(VLOOKUP($A515,'Infinet ExDa'!$B$2:$E$14, 0,FALSE), "Not Found"))))))))</f>
        <v>Not Found</v>
      </c>
      <c r="N515" t="str">
        <f>IFERROR(VLOOKUP($A515,'AAPT ExDa'!$B$2:$U$99, 0,FALSE), IFERROR(VLOOKUP($A515,'ABB ExDa'!$A$2:$N$184, 13,FALSE), IFERROR(VLOOKUP($A515,'Vocus SIT ExDa'!$B$2:$J$173, 0,FALSE), IFERROR(VLOOKUP($A515,'Telstra ExDa'!$B$2:$K$310, 0,FALSE), IFERROR(VLOOKUP($A515,'Vocus RVC ExDa'!$C$2:$R$155, 0,FALSE), IFERROR(VLOOKUP($A515,'Fusion ExDa'!$B$2:$D$16, 0,FALSE), IFERROR(VLOOKUP($A515,'Exetel ExDa'!$C$2:$N$14, 0,FALSE), IFERROR(VLOOKUP($A515,'Infinet ExDa'!$B$2:$E$14, 0,FALSE), "Not Found"))))))))</f>
        <v>Not Found</v>
      </c>
    </row>
    <row r="516" spans="1:14">
      <c r="A516" t="str">
        <v>Zambrero Ascot</v>
      </c>
      <c r="B516" t="str">
        <f>IFERROR(VLOOKUP(A516,'Exetel ExDa'!$C$2:$N$14,4,FALSE),"No Data")</f>
        <v>No Data</v>
      </c>
      <c r="C516" t="str">
        <f>IFERROR(VLOOKUP(A516,'AAPT ExDa'!$B$2:$U$99, 2,FALSE), IFERROR(VLOOKUP(A516,'ABB ExDa'!$A$2:$N$184, 2,FALSE), IFERROR(VLOOKUP(A516,'Vocus SIT ExDa'!$B$2:$J$173, 7,FALSE), IFERROR(VLOOKUP(A516,'Telstra ExDa'!$B$2:$K$310, 2,FALSE), IFERROR(VLOOKUP(A516,'Vocus RVC ExDa'!$C$2:$R$155, 3,FALSE), IFERROR(VLOOKUP(A516,'Fusion ExDa'!$B$2:$D$16, 2,FALSE), IFERROR(VLOOKUP(A516,'Exetel ExDa'!$C$2:$N$14, 2,FALSE), IFERROR(VLOOKUP(A516,'Infinet ExDa'!$B$2:$E$14, 2,FALSE), "Not Found"))))))))</f>
        <v>714 182 GREAT EASTERN HWY ASCOT  </v>
      </c>
      <c r="D516" t="str">
        <f>IFERROR(VLOOKUP($A516,'AAPT ExDa'!$B$2:$U$99, 15,FALSE), IFERROR(VLOOKUP($A516,'ABB ExDa'!$A$2:$N$184, 4,FALSE), IFERROR(VLOOKUP($A516,'Vocus SIT ExDa'!$B$2:$J$173, 5,FALSE), IFERROR(VLOOKUP($A516,'Telstra ExDa'!$B$2:$K$310, 8,FALSE), IFERROR(VLOOKUP($A516,'Vocus RVC ExDa'!$C$2:$R$155, 6,FALSE), IFERROR(VLOOKUP($A516,'Fusion ExDa'!$B$2:$D$16, 4,FALSE), IFERROR(VLOOKUP($A516,'Exetel ExDa'!$C$2:$N$14, 3,FALSE), IFERROR(VLOOKUP($A516,'Infinet ExDa'!$B$2:$E$14, 3,FALSE), "Not Found"))))))))</f>
        <v>Telstra</v>
      </c>
      <c r="E516">
        <f>IFERROR(VLOOKUP($A516,'AAPT ExDa'!$B$2:$U$99, 3,FALSE), IFERROR(VLOOKUP($A516,'ABB ExDa'!$A$2:$N$184, 5,FALSE), IFERROR(VLOOKUP($A516,'Vocus SIT ExDa'!$B$2:$J$173, 2,FALSE), IFERROR(VLOOKUP($A516,'Telstra ExDa'!$B$2:$K$310, 4,FALSE), IFERROR(VLOOKUP($A516,'Vocus RVC ExDa'!$C$2:$R$155, 8,FALSE), IFERROR(VLOOKUP($A516,'Fusion ExDa'!$B$2:$D$16, 4,FALSE), IFERROR(VLOOKUP($A516,'Exetel ExDa'!$C$2:$N$14, 5,FALSE), IFERROR(VLOOKUP($A516,'Infinet ExDa'!$B$2:$E$14, 3,FALSE), "Not Found"))))))))</f>
        <v>0</v>
      </c>
      <c r="F516" t="str">
        <f>IFERROR(VLOOKUP($A516,'AAPT ExDa'!$B$2:$U$99, 4,FALSE), IFERROR(VLOOKUP($A516,'ABB ExDa'!$A$2:$N$184, 6,FALSE), IFERROR(VLOOKUP($A516,'Vocus SIT ExDa'!$B$2:$J$173, 3,FALSE), IFERROR(VLOOKUP($A516,'Telstra ExDa'!$B$2:$K$310, 5,FALSE), IFERROR(VLOOKUP($A516,'Vocus RVC ExDa'!$C$2:$R$155, 9,FALSE), IFERROR(VLOOKUP($A516,'Fusion ExDa'!$B$2:$D$16, 0,FALSE), IFERROR(VLOOKUP($A516,'Exetel ExDa'!$C$2:$N$14, 6,FALSE), IFERROR(VLOOKUP($A516,'Infinet ExDa'!$B$2:$E$14, 0,FALSE), "Not Found"))))))))</f>
        <v>Main Business Number</v>
      </c>
      <c r="G516" t="str">
        <f>IFERROR(VLOOKUP($A516,'AAPT ExDa'!$B$2:$U$99, 5,FALSE), IFERROR(VLOOKUP($A516,'ABB ExDa'!$A$2:$N$184, 8,FALSE), IFERROR(VLOOKUP($A516,'Vocus SIT ExDa'!$B$2:$J$173, 6,FALSE), IFERROR(VLOOKUP($A516,'Telstra ExDa'!$B$2:$K$310, 0,FALSE), IFERROR(VLOOKUP($A516,'Vocus RVC ExDa'!$C$2:$R$155, 15,FALSE), IFERROR(VLOOKUP($A516,'Fusion ExDa'!$B$2:$D$16, 0,FALSE), IFERROR(VLOOKUP($A516,'Exetel ExDa'!$C$2:$N$14, 7,FALSE), IFERROR(VLOOKUP($A516,'Infinet ExDa'!$B$2:$E$14, 0,FALSE), "Not Found"))))))))</f>
        <v>Not Found</v>
      </c>
      <c r="H516" t="str">
        <f>IFERROR(VLOOKUP($A516,'AAPT ExDa'!$B$2:$U$99, 6,FALSE), IFERROR(VLOOKUP($A516,'ABB ExDa'!$A$2:$N$184, 0,FALSE), IFERROR(VLOOKUP($A516,'Vocus SIT ExDa'!$B$2:$J$173, 0,FALSE), IFERROR(VLOOKUP($A516,'Telstra ExDa'!$B$2:$K$310, 0,FALSE), IFERROR(VLOOKUP($A516,'Vocus RVC ExDa'!$C$2:$R$155, 16,FALSE), IFERROR(VLOOKUP($A516,'Fusion ExDa'!$B$2:$D$16, 0,FALSE), IFERROR(VLOOKUP($A516,'Exetel ExDa'!$C$2:$N$14, 0,FALSE), IFERROR(VLOOKUP($A516,'Infinet ExDa'!$B$2:$E$14, 0,FALSE), "Not Found"))))))))</f>
        <v>Not Found</v>
      </c>
      <c r="I516" t="str">
        <f>IFERROR(VLOOKUP($A516,'AAPT ExDa'!$B$2:$U$99, 0,FALSE), IFERROR(VLOOKUP($A516,'ABB ExDa'!$A$2:$N$184, 0,FALSE), IFERROR(VLOOKUP($A516,'Vocus SIT ExDa'!$B$2:$J$173, 0,FALSE), IFERROR(VLOOKUP($A516,'Telstra ExDa'!$B$2:$K$310, 0,FALSE), IFERROR(VLOOKUP($A516,'Vocus RVC ExDa'!$C$2:$R$155, 0,FALSE), IFERROR(VLOOKUP($A516,'Fusion ExDa'!$B$2:$D$16, 0,FALSE), IFERROR(VLOOKUP($A516,'Exetel ExDa'!$C$2:$N$14, 8,FALSE), IFERROR(VLOOKUP($A516,'Infinet ExDa'!$B$2:$E$14, 0,FALSE), "Not Found"))))))))</f>
        <v>Not Found</v>
      </c>
      <c r="J516" t="str">
        <f>IFERROR(VLOOKUP($A516,'AAPT ExDa'!$B$2:$U$99, 7,FALSE), IFERROR(VLOOKUP($A516,'ABB ExDa'!$A$2:$N$184, 2,FALSE), IFERROR(VLOOKUP($A516,'Vocus SIT ExDa'!$B$2:$J$173, 0,FALSE), IFERROR(VLOOKUP($A516,'Telstra ExDa'!$B$2:$K$310, 7,FALSE), IFERROR(VLOOKUP($A516,'Vocus RVC ExDa'!$C$2:$R$155, 2,FALSE), IFERROR(VLOOKUP($A516,'Fusion ExDa'!$B$2:$D$16, 3,FALSE), IFERROR(VLOOKUP($A516,'Exetel ExDa'!$C$2:$N$14, 0,FALSE), IFERROR(VLOOKUP($A516,'Infinet ExDa'!$B$2:$E$14, 0,FALSE), "Not Found"))))))))</f>
        <v>AVC000093503337</v>
      </c>
      <c r="K516" t="str">
        <f>IFERROR(VLOOKUP($A516,'AAPT ExDa'!$B$2:$U$99, 12,FALSE), IFERROR(VLOOKUP($A516,'ABB ExDa'!$A$2:$N$184, 0,FALSE), IFERROR(VLOOKUP($A516,'Vocus SIT ExDa'!$B$2:$J$173, 0,FALSE), IFERROR(VLOOKUP($A516,'Telstra ExDa'!$B$2:$K$310, 0,FALSE), IFERROR(VLOOKUP($A516,'Vocus RVC ExDa'!$C$2:$R$155, 0,FALSE), IFERROR(VLOOKUP($A516,'Fusion ExDa'!$B$2:$D$16, 0,FALSE), IFERROR(VLOOKUP($A516,'Exetel ExDa'!$C$2:$N$14, 12,FALSE), IFERROR(VLOOKUP($A516,'Infinet ExDa'!$B$2:$E$14, 0,FALSE), "Not Found"))))))))</f>
        <v>Not Found</v>
      </c>
      <c r="L516" s="235" t="str">
        <f>IFERROR(VLOOKUP($A516,'AAPT ExDa'!$B$2:$U$99, 11,FALSE), IFERROR(VLOOKUP($A516,'ABB ExDa'!$A$2:$N$184, 9,FALSE), IFERROR(VLOOKUP($A516,'Vocus SIT ExDa'!$B$2:$J$173, 8,FALSE), IFERROR(VLOOKUP($A516,'Telstra ExDa'!$B$2:$K$310, 0,FALSE), IFERROR(VLOOKUP($A516,'Vocus RVC ExDa'!$C$2:$R$155, 0,FALSE), IFERROR(VLOOKUP($A516,'Fusion ExDa'!$B$2:$D$16, 0,FALSE), IFERROR(VLOOKUP($A516,'Exetel ExDa'!$C$2:$N$14, 9,FALSE), IFERROR(VLOOKUP($A516,'Infinet ExDa'!$B$2:$E$14, 0,FALSE), "Not Found"))))))))</f>
        <v>Not Found</v>
      </c>
      <c r="M516" s="234" t="str">
        <f>IFERROR(VLOOKUP($A516,'AAPT ExDa'!$B$2:$U$99, 0,FALSE), IFERROR(VLOOKUP($A516,'ABB ExDa'!$A$2:$N$184, 0,FALSE), IFERROR(VLOOKUP($A516,'Vocus SIT ExDa'!$B$2:$J$173, 0,FALSE), IFERROR(VLOOKUP($A516,'Telstra ExDa'!$B$2:$K$310, 0,FALSE), IFERROR(VLOOKUP($A516,'Vocus RVC ExDa'!$C$2:$R$155, 0,FALSE), IFERROR(VLOOKUP($A516,'Fusion ExDa'!$B$2:$D$16, 0,FALSE), IFERROR(VLOOKUP($A516,'Exetel ExDa'!$C$2:$N$14, 11,FALSE), IFERROR(VLOOKUP($A516,'Infinet ExDa'!$B$2:$E$14, 0,FALSE), "Not Found"))))))))</f>
        <v>Not Found</v>
      </c>
      <c r="N516" t="str">
        <f>IFERROR(VLOOKUP($A516,'AAPT ExDa'!$B$2:$U$99, 0,FALSE), IFERROR(VLOOKUP($A516,'ABB ExDa'!$A$2:$N$184, 13,FALSE), IFERROR(VLOOKUP($A516,'Vocus SIT ExDa'!$B$2:$J$173, 0,FALSE), IFERROR(VLOOKUP($A516,'Telstra ExDa'!$B$2:$K$310, 0,FALSE), IFERROR(VLOOKUP($A516,'Vocus RVC ExDa'!$C$2:$R$155, 0,FALSE), IFERROR(VLOOKUP($A516,'Fusion ExDa'!$B$2:$D$16, 0,FALSE), IFERROR(VLOOKUP($A516,'Exetel ExDa'!$C$2:$N$14, 0,FALSE), IFERROR(VLOOKUP($A516,'Infinet ExDa'!$B$2:$E$14, 0,FALSE), "Not Found"))))))))</f>
        <v>Not Found</v>
      </c>
    </row>
    <row r="517" spans="1:14">
      <c r="A517" t="str">
        <v>Zambrero Joondalup</v>
      </c>
      <c r="B517" t="str">
        <f>IFERROR(VLOOKUP(A517,'Exetel ExDa'!$C$2:$N$14,4,FALSE),"No Data")</f>
        <v>No Data</v>
      </c>
      <c r="C517" t="str">
        <f>IFERROR(VLOOKUP(A517,'AAPT ExDa'!$B$2:$U$99, 2,FALSE), IFERROR(VLOOKUP(A517,'ABB ExDa'!$A$2:$N$184, 2,FALSE), IFERROR(VLOOKUP(A517,'Vocus SIT ExDa'!$B$2:$J$173, 7,FALSE), IFERROR(VLOOKUP(A517,'Telstra ExDa'!$B$2:$K$310, 2,FALSE), IFERROR(VLOOKUP(A517,'Vocus RVC ExDa'!$C$2:$R$155, 3,FALSE), IFERROR(VLOOKUP(A517,'Fusion ExDa'!$B$2:$D$16, 2,FALSE), IFERROR(VLOOKUP(A517,'Exetel ExDa'!$C$2:$N$14, 2,FALSE), IFERROR(VLOOKUP(A517,'Infinet ExDa'!$B$2:$E$14, 2,FALSE), "Not Found"))))))))</f>
        <v>Unit 1, 8 Dwyer Turn, Joondalup, WA 6027</v>
      </c>
      <c r="D517" t="str">
        <f>IFERROR(VLOOKUP($A517,'AAPT ExDa'!$B$2:$U$99, 15,FALSE), IFERROR(VLOOKUP($A517,'ABB ExDa'!$A$2:$N$184, 4,FALSE), IFERROR(VLOOKUP($A517,'Vocus SIT ExDa'!$B$2:$J$173, 5,FALSE), IFERROR(VLOOKUP($A517,'Telstra ExDa'!$B$2:$K$310, 8,FALSE), IFERROR(VLOOKUP($A517,'Vocus RVC ExDa'!$C$2:$R$155, 6,FALSE), IFERROR(VLOOKUP($A517,'Fusion ExDa'!$B$2:$D$16, 4,FALSE), IFERROR(VLOOKUP($A517,'Exetel ExDa'!$C$2:$N$14, 3,FALSE), IFERROR(VLOOKUP($A517,'Infinet ExDa'!$B$2:$E$14, 3,FALSE), "Not Found"))))))))</f>
        <v>Telstra</v>
      </c>
      <c r="E517">
        <f>IFERROR(VLOOKUP($A517,'AAPT ExDa'!$B$2:$U$99, 3,FALSE), IFERROR(VLOOKUP($A517,'ABB ExDa'!$A$2:$N$184, 5,FALSE), IFERROR(VLOOKUP($A517,'Vocus SIT ExDa'!$B$2:$J$173, 2,FALSE), IFERROR(VLOOKUP($A517,'Telstra ExDa'!$B$2:$K$310, 4,FALSE), IFERROR(VLOOKUP($A517,'Vocus RVC ExDa'!$C$2:$R$155, 8,FALSE), IFERROR(VLOOKUP($A517,'Fusion ExDa'!$B$2:$D$16, 4,FALSE), IFERROR(VLOOKUP($A517,'Exetel ExDa'!$C$2:$N$14, 5,FALSE), IFERROR(VLOOKUP($A517,'Infinet ExDa'!$B$2:$E$14, 3,FALSE), "Not Found"))))))))</f>
        <v>0</v>
      </c>
      <c r="F517" t="str">
        <f>IFERROR(VLOOKUP($A517,'AAPT ExDa'!$B$2:$U$99, 4,FALSE), IFERROR(VLOOKUP($A517,'ABB ExDa'!$A$2:$N$184, 6,FALSE), IFERROR(VLOOKUP($A517,'Vocus SIT ExDa'!$B$2:$J$173, 3,FALSE), IFERROR(VLOOKUP($A517,'Telstra ExDa'!$B$2:$K$310, 5,FALSE), IFERROR(VLOOKUP($A517,'Vocus RVC ExDa'!$C$2:$R$155, 9,FALSE), IFERROR(VLOOKUP($A517,'Fusion ExDa'!$B$2:$D$16, 0,FALSE), IFERROR(VLOOKUP($A517,'Exetel ExDa'!$C$2:$N$14, 6,FALSE), IFERROR(VLOOKUP($A517,'Infinet ExDa'!$B$2:$E$14, 0,FALSE), "Not Found"))))))))</f>
        <v>Main Business Number</v>
      </c>
      <c r="G517" t="str">
        <f>IFERROR(VLOOKUP($A517,'AAPT ExDa'!$B$2:$U$99, 5,FALSE), IFERROR(VLOOKUP($A517,'ABB ExDa'!$A$2:$N$184, 8,FALSE), IFERROR(VLOOKUP($A517,'Vocus SIT ExDa'!$B$2:$J$173, 6,FALSE), IFERROR(VLOOKUP($A517,'Telstra ExDa'!$B$2:$K$310, 0,FALSE), IFERROR(VLOOKUP($A517,'Vocus RVC ExDa'!$C$2:$R$155, 15,FALSE), IFERROR(VLOOKUP($A517,'Fusion ExDa'!$B$2:$D$16, 0,FALSE), IFERROR(VLOOKUP($A517,'Exetel ExDa'!$C$2:$N$14, 7,FALSE), IFERROR(VLOOKUP($A517,'Infinet ExDa'!$B$2:$E$14, 0,FALSE), "Not Found"))))))))</f>
        <v>Not Found</v>
      </c>
      <c r="H517" t="str">
        <f>IFERROR(VLOOKUP($A517,'AAPT ExDa'!$B$2:$U$99, 6,FALSE), IFERROR(VLOOKUP($A517,'ABB ExDa'!$A$2:$N$184, 0,FALSE), IFERROR(VLOOKUP($A517,'Vocus SIT ExDa'!$B$2:$J$173, 0,FALSE), IFERROR(VLOOKUP($A517,'Telstra ExDa'!$B$2:$K$310, 0,FALSE), IFERROR(VLOOKUP($A517,'Vocus RVC ExDa'!$C$2:$R$155, 16,FALSE), IFERROR(VLOOKUP($A517,'Fusion ExDa'!$B$2:$D$16, 0,FALSE), IFERROR(VLOOKUP($A517,'Exetel ExDa'!$C$2:$N$14, 0,FALSE), IFERROR(VLOOKUP($A517,'Infinet ExDa'!$B$2:$E$14, 0,FALSE), "Not Found"))))))))</f>
        <v>Not Found</v>
      </c>
      <c r="I517" t="str">
        <f>IFERROR(VLOOKUP($A517,'AAPT ExDa'!$B$2:$U$99, 0,FALSE), IFERROR(VLOOKUP($A517,'ABB ExDa'!$A$2:$N$184, 0,FALSE), IFERROR(VLOOKUP($A517,'Vocus SIT ExDa'!$B$2:$J$173, 0,FALSE), IFERROR(VLOOKUP($A517,'Telstra ExDa'!$B$2:$K$310, 0,FALSE), IFERROR(VLOOKUP($A517,'Vocus RVC ExDa'!$C$2:$R$155, 0,FALSE), IFERROR(VLOOKUP($A517,'Fusion ExDa'!$B$2:$D$16, 0,FALSE), IFERROR(VLOOKUP($A517,'Exetel ExDa'!$C$2:$N$14, 8,FALSE), IFERROR(VLOOKUP($A517,'Infinet ExDa'!$B$2:$E$14, 0,FALSE), "Not Found"))))))))</f>
        <v>Not Found</v>
      </c>
      <c r="J517" t="str">
        <f>IFERROR(VLOOKUP($A517,'AAPT ExDa'!$B$2:$U$99, 7,FALSE), IFERROR(VLOOKUP($A517,'ABB ExDa'!$A$2:$N$184, 2,FALSE), IFERROR(VLOOKUP($A517,'Vocus SIT ExDa'!$B$2:$J$173, 0,FALSE), IFERROR(VLOOKUP($A517,'Telstra ExDa'!$B$2:$K$310, 7,FALSE), IFERROR(VLOOKUP($A517,'Vocus RVC ExDa'!$C$2:$R$155, 2,FALSE), IFERROR(VLOOKUP($A517,'Fusion ExDa'!$B$2:$D$16, 3,FALSE), IFERROR(VLOOKUP($A517,'Exetel ExDa'!$C$2:$N$14, 0,FALSE), IFERROR(VLOOKUP($A517,'Infinet ExDa'!$B$2:$E$14, 0,FALSE), "Not Found"))))))))</f>
        <v>AVC000071924218</v>
      </c>
      <c r="K517" t="str">
        <f>IFERROR(VLOOKUP($A517,'AAPT ExDa'!$B$2:$U$99, 12,FALSE), IFERROR(VLOOKUP($A517,'ABB ExDa'!$A$2:$N$184, 0,FALSE), IFERROR(VLOOKUP($A517,'Vocus SIT ExDa'!$B$2:$J$173, 0,FALSE), IFERROR(VLOOKUP($A517,'Telstra ExDa'!$B$2:$K$310, 0,FALSE), IFERROR(VLOOKUP($A517,'Vocus RVC ExDa'!$C$2:$R$155, 0,FALSE), IFERROR(VLOOKUP($A517,'Fusion ExDa'!$B$2:$D$16, 0,FALSE), IFERROR(VLOOKUP($A517,'Exetel ExDa'!$C$2:$N$14, 12,FALSE), IFERROR(VLOOKUP($A517,'Infinet ExDa'!$B$2:$E$14, 0,FALSE), "Not Found"))))))))</f>
        <v>Not Found</v>
      </c>
      <c r="L517" s="235" t="str">
        <f>IFERROR(VLOOKUP($A517,'AAPT ExDa'!$B$2:$U$99, 11,FALSE), IFERROR(VLOOKUP($A517,'ABB ExDa'!$A$2:$N$184, 9,FALSE), IFERROR(VLOOKUP($A517,'Vocus SIT ExDa'!$B$2:$J$173, 8,FALSE), IFERROR(VLOOKUP($A517,'Telstra ExDa'!$B$2:$K$310, 0,FALSE), IFERROR(VLOOKUP($A517,'Vocus RVC ExDa'!$C$2:$R$155, 0,FALSE), IFERROR(VLOOKUP($A517,'Fusion ExDa'!$B$2:$D$16, 0,FALSE), IFERROR(VLOOKUP($A517,'Exetel ExDa'!$C$2:$N$14, 9,FALSE), IFERROR(VLOOKUP($A517,'Infinet ExDa'!$B$2:$E$14, 0,FALSE), "Not Found"))))))))</f>
        <v>Not Found</v>
      </c>
      <c r="M517" s="234" t="str">
        <f>IFERROR(VLOOKUP($A517,'AAPT ExDa'!$B$2:$U$99, 0,FALSE), IFERROR(VLOOKUP($A517,'ABB ExDa'!$A$2:$N$184, 0,FALSE), IFERROR(VLOOKUP($A517,'Vocus SIT ExDa'!$B$2:$J$173, 0,FALSE), IFERROR(VLOOKUP($A517,'Telstra ExDa'!$B$2:$K$310, 0,FALSE), IFERROR(VLOOKUP($A517,'Vocus RVC ExDa'!$C$2:$R$155, 0,FALSE), IFERROR(VLOOKUP($A517,'Fusion ExDa'!$B$2:$D$16, 0,FALSE), IFERROR(VLOOKUP($A517,'Exetel ExDa'!$C$2:$N$14, 11,FALSE), IFERROR(VLOOKUP($A517,'Infinet ExDa'!$B$2:$E$14, 0,FALSE), "Not Found"))))))))</f>
        <v>Not Found</v>
      </c>
      <c r="N517" t="str">
        <f>IFERROR(VLOOKUP($A517,'AAPT ExDa'!$B$2:$U$99, 0,FALSE), IFERROR(VLOOKUP($A517,'ABB ExDa'!$A$2:$N$184, 13,FALSE), IFERROR(VLOOKUP($A517,'Vocus SIT ExDa'!$B$2:$J$173, 0,FALSE), IFERROR(VLOOKUP($A517,'Telstra ExDa'!$B$2:$K$310, 0,FALSE), IFERROR(VLOOKUP($A517,'Vocus RVC ExDa'!$C$2:$R$155, 0,FALSE), IFERROR(VLOOKUP($A517,'Fusion ExDa'!$B$2:$D$16, 0,FALSE), IFERROR(VLOOKUP($A517,'Exetel ExDa'!$C$2:$N$14, 0,FALSE), IFERROR(VLOOKUP($A517,'Infinet ExDa'!$B$2:$E$14, 0,FALSE), "Not Found"))))))))</f>
        <v>Not Found</v>
      </c>
    </row>
    <row r="518" spans="1:14">
      <c r="A518" t="str">
        <v>Zambrero Joondalup</v>
      </c>
      <c r="B518" t="str">
        <f>IFERROR(VLOOKUP(A518,'Exetel ExDa'!$C$2:$N$14,4,FALSE),"No Data")</f>
        <v>No Data</v>
      </c>
      <c r="C518" t="str">
        <f>IFERROR(VLOOKUP(A518,'AAPT ExDa'!$B$2:$U$99, 2,FALSE), IFERROR(VLOOKUP(A518,'ABB ExDa'!$A$2:$N$184, 2,FALSE), IFERROR(VLOOKUP(A518,'Vocus SIT ExDa'!$B$2:$J$173, 7,FALSE), IFERROR(VLOOKUP(A518,'Telstra ExDa'!$B$2:$K$310, 2,FALSE), IFERROR(VLOOKUP(A518,'Vocus RVC ExDa'!$C$2:$R$155, 3,FALSE), IFERROR(VLOOKUP(A518,'Fusion ExDa'!$B$2:$D$16, 2,FALSE), IFERROR(VLOOKUP(A518,'Exetel ExDa'!$C$2:$N$14, 2,FALSE), IFERROR(VLOOKUP(A518,'Infinet ExDa'!$B$2:$E$14, 2,FALSE), "Not Found"))))))))</f>
        <v>Unit 1, 8 Dwyer Turn, Joondalup, WA 6027</v>
      </c>
      <c r="D518" t="str">
        <f>IFERROR(VLOOKUP($A518,'AAPT ExDa'!$B$2:$U$99, 15,FALSE), IFERROR(VLOOKUP($A518,'ABB ExDa'!$A$2:$N$184, 4,FALSE), IFERROR(VLOOKUP($A518,'Vocus SIT ExDa'!$B$2:$J$173, 5,FALSE), IFERROR(VLOOKUP($A518,'Telstra ExDa'!$B$2:$K$310, 8,FALSE), IFERROR(VLOOKUP($A518,'Vocus RVC ExDa'!$C$2:$R$155, 6,FALSE), IFERROR(VLOOKUP($A518,'Fusion ExDa'!$B$2:$D$16, 4,FALSE), IFERROR(VLOOKUP($A518,'Exetel ExDa'!$C$2:$N$14, 3,FALSE), IFERROR(VLOOKUP($A518,'Infinet ExDa'!$B$2:$E$14, 3,FALSE), "Not Found"))))))))</f>
        <v>Telstra</v>
      </c>
      <c r="E518">
        <f>IFERROR(VLOOKUP($A518,'AAPT ExDa'!$B$2:$U$99, 3,FALSE), IFERROR(VLOOKUP($A518,'ABB ExDa'!$A$2:$N$184, 5,FALSE), IFERROR(VLOOKUP($A518,'Vocus SIT ExDa'!$B$2:$J$173, 2,FALSE), IFERROR(VLOOKUP($A518,'Telstra ExDa'!$B$2:$K$310, 4,FALSE), IFERROR(VLOOKUP($A518,'Vocus RVC ExDa'!$C$2:$R$155, 8,FALSE), IFERROR(VLOOKUP($A518,'Fusion ExDa'!$B$2:$D$16, 4,FALSE), IFERROR(VLOOKUP($A518,'Exetel ExDa'!$C$2:$N$14, 5,FALSE), IFERROR(VLOOKUP($A518,'Infinet ExDa'!$B$2:$E$14, 3,FALSE), "Not Found"))))))))</f>
        <v>0</v>
      </c>
      <c r="F518" t="str">
        <f>IFERROR(VLOOKUP($A518,'AAPT ExDa'!$B$2:$U$99, 4,FALSE), IFERROR(VLOOKUP($A518,'ABB ExDa'!$A$2:$N$184, 6,FALSE), IFERROR(VLOOKUP($A518,'Vocus SIT ExDa'!$B$2:$J$173, 3,FALSE), IFERROR(VLOOKUP($A518,'Telstra ExDa'!$B$2:$K$310, 5,FALSE), IFERROR(VLOOKUP($A518,'Vocus RVC ExDa'!$C$2:$R$155, 9,FALSE), IFERROR(VLOOKUP($A518,'Fusion ExDa'!$B$2:$D$16, 0,FALSE), IFERROR(VLOOKUP($A518,'Exetel ExDa'!$C$2:$N$14, 6,FALSE), IFERROR(VLOOKUP($A518,'Infinet ExDa'!$B$2:$E$14, 0,FALSE), "Not Found"))))))))</f>
        <v>Main Business Number</v>
      </c>
      <c r="G518" t="str">
        <f>IFERROR(VLOOKUP($A518,'AAPT ExDa'!$B$2:$U$99, 5,FALSE), IFERROR(VLOOKUP($A518,'ABB ExDa'!$A$2:$N$184, 8,FALSE), IFERROR(VLOOKUP($A518,'Vocus SIT ExDa'!$B$2:$J$173, 6,FALSE), IFERROR(VLOOKUP($A518,'Telstra ExDa'!$B$2:$K$310, 0,FALSE), IFERROR(VLOOKUP($A518,'Vocus RVC ExDa'!$C$2:$R$155, 15,FALSE), IFERROR(VLOOKUP($A518,'Fusion ExDa'!$B$2:$D$16, 0,FALSE), IFERROR(VLOOKUP($A518,'Exetel ExDa'!$C$2:$N$14, 7,FALSE), IFERROR(VLOOKUP($A518,'Infinet ExDa'!$B$2:$E$14, 0,FALSE), "Not Found"))))))))</f>
        <v>Not Found</v>
      </c>
      <c r="H518" t="str">
        <f>IFERROR(VLOOKUP($A518,'AAPT ExDa'!$B$2:$U$99, 6,FALSE), IFERROR(VLOOKUP($A518,'ABB ExDa'!$A$2:$N$184, 0,FALSE), IFERROR(VLOOKUP($A518,'Vocus SIT ExDa'!$B$2:$J$173, 0,FALSE), IFERROR(VLOOKUP($A518,'Telstra ExDa'!$B$2:$K$310, 0,FALSE), IFERROR(VLOOKUP($A518,'Vocus RVC ExDa'!$C$2:$R$155, 16,FALSE), IFERROR(VLOOKUP($A518,'Fusion ExDa'!$B$2:$D$16, 0,FALSE), IFERROR(VLOOKUP($A518,'Exetel ExDa'!$C$2:$N$14, 0,FALSE), IFERROR(VLOOKUP($A518,'Infinet ExDa'!$B$2:$E$14, 0,FALSE), "Not Found"))))))))</f>
        <v>Not Found</v>
      </c>
      <c r="I518" t="str">
        <f>IFERROR(VLOOKUP($A518,'AAPT ExDa'!$B$2:$U$99, 0,FALSE), IFERROR(VLOOKUP($A518,'ABB ExDa'!$A$2:$N$184, 0,FALSE), IFERROR(VLOOKUP($A518,'Vocus SIT ExDa'!$B$2:$J$173, 0,FALSE), IFERROR(VLOOKUP($A518,'Telstra ExDa'!$B$2:$K$310, 0,FALSE), IFERROR(VLOOKUP($A518,'Vocus RVC ExDa'!$C$2:$R$155, 0,FALSE), IFERROR(VLOOKUP($A518,'Fusion ExDa'!$B$2:$D$16, 0,FALSE), IFERROR(VLOOKUP($A518,'Exetel ExDa'!$C$2:$N$14, 8,FALSE), IFERROR(VLOOKUP($A518,'Infinet ExDa'!$B$2:$E$14, 0,FALSE), "Not Found"))))))))</f>
        <v>Not Found</v>
      </c>
      <c r="J518" t="str">
        <f>IFERROR(VLOOKUP($A518,'AAPT ExDa'!$B$2:$U$99, 7,FALSE), IFERROR(VLOOKUP($A518,'ABB ExDa'!$A$2:$N$184, 2,FALSE), IFERROR(VLOOKUP($A518,'Vocus SIT ExDa'!$B$2:$J$173, 0,FALSE), IFERROR(VLOOKUP($A518,'Telstra ExDa'!$B$2:$K$310, 7,FALSE), IFERROR(VLOOKUP($A518,'Vocus RVC ExDa'!$C$2:$R$155, 2,FALSE), IFERROR(VLOOKUP($A518,'Fusion ExDa'!$B$2:$D$16, 3,FALSE), IFERROR(VLOOKUP($A518,'Exetel ExDa'!$C$2:$N$14, 0,FALSE), IFERROR(VLOOKUP($A518,'Infinet ExDa'!$B$2:$E$14, 0,FALSE), "Not Found"))))))))</f>
        <v>AVC000071924218</v>
      </c>
      <c r="K518" t="str">
        <f>IFERROR(VLOOKUP($A518,'AAPT ExDa'!$B$2:$U$99, 12,FALSE), IFERROR(VLOOKUP($A518,'ABB ExDa'!$A$2:$N$184, 0,FALSE), IFERROR(VLOOKUP($A518,'Vocus SIT ExDa'!$B$2:$J$173, 0,FALSE), IFERROR(VLOOKUP($A518,'Telstra ExDa'!$B$2:$K$310, 0,FALSE), IFERROR(VLOOKUP($A518,'Vocus RVC ExDa'!$C$2:$R$155, 0,FALSE), IFERROR(VLOOKUP($A518,'Fusion ExDa'!$B$2:$D$16, 0,FALSE), IFERROR(VLOOKUP($A518,'Exetel ExDa'!$C$2:$N$14, 12,FALSE), IFERROR(VLOOKUP($A518,'Infinet ExDa'!$B$2:$E$14, 0,FALSE), "Not Found"))))))))</f>
        <v>Not Found</v>
      </c>
      <c r="L518" s="235" t="str">
        <f>IFERROR(VLOOKUP($A518,'AAPT ExDa'!$B$2:$U$99, 11,FALSE), IFERROR(VLOOKUP($A518,'ABB ExDa'!$A$2:$N$184, 9,FALSE), IFERROR(VLOOKUP($A518,'Vocus SIT ExDa'!$B$2:$J$173, 8,FALSE), IFERROR(VLOOKUP($A518,'Telstra ExDa'!$B$2:$K$310, 0,FALSE), IFERROR(VLOOKUP($A518,'Vocus RVC ExDa'!$C$2:$R$155, 0,FALSE), IFERROR(VLOOKUP($A518,'Fusion ExDa'!$B$2:$D$16, 0,FALSE), IFERROR(VLOOKUP($A518,'Exetel ExDa'!$C$2:$N$14, 9,FALSE), IFERROR(VLOOKUP($A518,'Infinet ExDa'!$B$2:$E$14, 0,FALSE), "Not Found"))))))))</f>
        <v>Not Found</v>
      </c>
      <c r="M518" s="234" t="str">
        <f>IFERROR(VLOOKUP($A518,'AAPT ExDa'!$B$2:$U$99, 0,FALSE), IFERROR(VLOOKUP($A518,'ABB ExDa'!$A$2:$N$184, 0,FALSE), IFERROR(VLOOKUP($A518,'Vocus SIT ExDa'!$B$2:$J$173, 0,FALSE), IFERROR(VLOOKUP($A518,'Telstra ExDa'!$B$2:$K$310, 0,FALSE), IFERROR(VLOOKUP($A518,'Vocus RVC ExDa'!$C$2:$R$155, 0,FALSE), IFERROR(VLOOKUP($A518,'Fusion ExDa'!$B$2:$D$16, 0,FALSE), IFERROR(VLOOKUP($A518,'Exetel ExDa'!$C$2:$N$14, 11,FALSE), IFERROR(VLOOKUP($A518,'Infinet ExDa'!$B$2:$E$14, 0,FALSE), "Not Found"))))))))</f>
        <v>Not Found</v>
      </c>
      <c r="N518" t="str">
        <f>IFERROR(VLOOKUP($A518,'AAPT ExDa'!$B$2:$U$99, 0,FALSE), IFERROR(VLOOKUP($A518,'ABB ExDa'!$A$2:$N$184, 13,FALSE), IFERROR(VLOOKUP($A518,'Vocus SIT ExDa'!$B$2:$J$173, 0,FALSE), IFERROR(VLOOKUP($A518,'Telstra ExDa'!$B$2:$K$310, 0,FALSE), IFERROR(VLOOKUP($A518,'Vocus RVC ExDa'!$C$2:$R$155, 0,FALSE), IFERROR(VLOOKUP($A518,'Fusion ExDa'!$B$2:$D$16, 0,FALSE), IFERROR(VLOOKUP($A518,'Exetel ExDa'!$C$2:$N$14, 0,FALSE), IFERROR(VLOOKUP($A518,'Infinet ExDa'!$B$2:$E$14, 0,FALSE), "Not Found"))))))))</f>
        <v>Not Found</v>
      </c>
    </row>
    <row r="519" spans="1:14">
      <c r="A519" t="str">
        <v>Zambrero Fremantle</v>
      </c>
      <c r="B519" t="str">
        <f>IFERROR(VLOOKUP(A519,'Exetel ExDa'!$C$2:$N$14,4,FALSE),"No Data")</f>
        <v>No Data</v>
      </c>
      <c r="C519" t="str">
        <f>IFERROR(VLOOKUP(A519,'AAPT ExDa'!$B$2:$U$99, 2,FALSE), IFERROR(VLOOKUP(A519,'ABB ExDa'!$A$2:$N$184, 2,FALSE), IFERROR(VLOOKUP(A519,'Vocus SIT ExDa'!$B$2:$J$173, 7,FALSE), IFERROR(VLOOKUP(A519,'Telstra ExDa'!$B$2:$K$310, 2,FALSE), IFERROR(VLOOKUP(A519,'Vocus RVC ExDa'!$C$2:$R$155, 3,FALSE), IFERROR(VLOOKUP(A519,'Fusion ExDa'!$B$2:$D$16, 2,FALSE), IFERROR(VLOOKUP(A519,'Exetel ExDa'!$C$2:$N$14, 2,FALSE), IFERROR(VLOOKUP(A519,'Infinet ExDa'!$B$2:$E$14, 2,FALSE), "Not Found"))))))))</f>
        <v>4 South Terrace, Fremantle, WA 6160</v>
      </c>
      <c r="D519" t="str">
        <f>IFERROR(VLOOKUP($A519,'AAPT ExDa'!$B$2:$U$99, 15,FALSE), IFERROR(VLOOKUP($A519,'ABB ExDa'!$A$2:$N$184, 4,FALSE), IFERROR(VLOOKUP($A519,'Vocus SIT ExDa'!$B$2:$J$173, 5,FALSE), IFERROR(VLOOKUP($A519,'Telstra ExDa'!$B$2:$K$310, 8,FALSE), IFERROR(VLOOKUP($A519,'Vocus RVC ExDa'!$C$2:$R$155, 6,FALSE), IFERROR(VLOOKUP($A519,'Fusion ExDa'!$B$2:$D$16, 4,FALSE), IFERROR(VLOOKUP($A519,'Exetel ExDa'!$C$2:$N$14, 3,FALSE), IFERROR(VLOOKUP($A519,'Infinet ExDa'!$B$2:$E$14, 3,FALSE), "Not Found"))))))))</f>
        <v>Telstra</v>
      </c>
      <c r="E519">
        <f>IFERROR(VLOOKUP($A519,'AAPT ExDa'!$B$2:$U$99, 3,FALSE), IFERROR(VLOOKUP($A519,'ABB ExDa'!$A$2:$N$184, 5,FALSE), IFERROR(VLOOKUP($A519,'Vocus SIT ExDa'!$B$2:$J$173, 2,FALSE), IFERROR(VLOOKUP($A519,'Telstra ExDa'!$B$2:$K$310, 4,FALSE), IFERROR(VLOOKUP($A519,'Vocus RVC ExDa'!$C$2:$R$155, 8,FALSE), IFERROR(VLOOKUP($A519,'Fusion ExDa'!$B$2:$D$16, 4,FALSE), IFERROR(VLOOKUP($A519,'Exetel ExDa'!$C$2:$N$14, 5,FALSE), IFERROR(VLOOKUP($A519,'Infinet ExDa'!$B$2:$E$14, 3,FALSE), "Not Found"))))))))</f>
        <v>0</v>
      </c>
      <c r="F519" t="str">
        <f>IFERROR(VLOOKUP($A519,'AAPT ExDa'!$B$2:$U$99, 4,FALSE), IFERROR(VLOOKUP($A519,'ABB ExDa'!$A$2:$N$184, 6,FALSE), IFERROR(VLOOKUP($A519,'Vocus SIT ExDa'!$B$2:$J$173, 3,FALSE), IFERROR(VLOOKUP($A519,'Telstra ExDa'!$B$2:$K$310, 5,FALSE), IFERROR(VLOOKUP($A519,'Vocus RVC ExDa'!$C$2:$R$155, 9,FALSE), IFERROR(VLOOKUP($A519,'Fusion ExDa'!$B$2:$D$16, 0,FALSE), IFERROR(VLOOKUP($A519,'Exetel ExDa'!$C$2:$N$14, 6,FALSE), IFERROR(VLOOKUP($A519,'Infinet ExDa'!$B$2:$E$14, 0,FALSE), "Not Found"))))))))</f>
        <v>Unlimited Business Internet,Business International Calling pack</v>
      </c>
      <c r="G519" t="str">
        <f>IFERROR(VLOOKUP($A519,'AAPT ExDa'!$B$2:$U$99, 5,FALSE), IFERROR(VLOOKUP($A519,'ABB ExDa'!$A$2:$N$184, 8,FALSE), IFERROR(VLOOKUP($A519,'Vocus SIT ExDa'!$B$2:$J$173, 6,FALSE), IFERROR(VLOOKUP($A519,'Telstra ExDa'!$B$2:$K$310, 0,FALSE), IFERROR(VLOOKUP($A519,'Vocus RVC ExDa'!$C$2:$R$155, 15,FALSE), IFERROR(VLOOKUP($A519,'Fusion ExDa'!$B$2:$D$16, 0,FALSE), IFERROR(VLOOKUP($A519,'Exetel ExDa'!$C$2:$N$14, 7,FALSE), IFERROR(VLOOKUP($A519,'Infinet ExDa'!$B$2:$E$14, 0,FALSE), "Not Found"))))))))</f>
        <v>Not Found</v>
      </c>
      <c r="H519" t="str">
        <f>IFERROR(VLOOKUP($A519,'AAPT ExDa'!$B$2:$U$99, 6,FALSE), IFERROR(VLOOKUP($A519,'ABB ExDa'!$A$2:$N$184, 0,FALSE), IFERROR(VLOOKUP($A519,'Vocus SIT ExDa'!$B$2:$J$173, 0,FALSE), IFERROR(VLOOKUP($A519,'Telstra ExDa'!$B$2:$K$310, 0,FALSE), IFERROR(VLOOKUP($A519,'Vocus RVC ExDa'!$C$2:$R$155, 16,FALSE), IFERROR(VLOOKUP($A519,'Fusion ExDa'!$B$2:$D$16, 0,FALSE), IFERROR(VLOOKUP($A519,'Exetel ExDa'!$C$2:$N$14, 0,FALSE), IFERROR(VLOOKUP($A519,'Infinet ExDa'!$B$2:$E$14, 0,FALSE), "Not Found"))))))))</f>
        <v>Not Found</v>
      </c>
      <c r="I519" t="str">
        <f>IFERROR(VLOOKUP($A519,'AAPT ExDa'!$B$2:$U$99, 0,FALSE), IFERROR(VLOOKUP($A519,'ABB ExDa'!$A$2:$N$184, 0,FALSE), IFERROR(VLOOKUP($A519,'Vocus SIT ExDa'!$B$2:$J$173, 0,FALSE), IFERROR(VLOOKUP($A519,'Telstra ExDa'!$B$2:$K$310, 0,FALSE), IFERROR(VLOOKUP($A519,'Vocus RVC ExDa'!$C$2:$R$155, 0,FALSE), IFERROR(VLOOKUP($A519,'Fusion ExDa'!$B$2:$D$16, 0,FALSE), IFERROR(VLOOKUP($A519,'Exetel ExDa'!$C$2:$N$14, 8,FALSE), IFERROR(VLOOKUP($A519,'Infinet ExDa'!$B$2:$E$14, 0,FALSE), "Not Found"))))))))</f>
        <v>Not Found</v>
      </c>
      <c r="J519" t="str">
        <f>IFERROR(VLOOKUP($A519,'AAPT ExDa'!$B$2:$U$99, 7,FALSE), IFERROR(VLOOKUP($A519,'ABB ExDa'!$A$2:$N$184, 2,FALSE), IFERROR(VLOOKUP($A519,'Vocus SIT ExDa'!$B$2:$J$173, 0,FALSE), IFERROR(VLOOKUP($A519,'Telstra ExDa'!$B$2:$K$310, 7,FALSE), IFERROR(VLOOKUP($A519,'Vocus RVC ExDa'!$C$2:$R$155, 2,FALSE), IFERROR(VLOOKUP($A519,'Fusion ExDa'!$B$2:$D$16, 3,FALSE), IFERROR(VLOOKUP($A519,'Exetel ExDa'!$C$2:$N$14, 0,FALSE), IFERROR(VLOOKUP($A519,'Infinet ExDa'!$B$2:$E$14, 0,FALSE), "Not Found"))))))))</f>
        <v>AVC000109603423</v>
      </c>
      <c r="K519" t="str">
        <f>IFERROR(VLOOKUP($A519,'AAPT ExDa'!$B$2:$U$99, 12,FALSE), IFERROR(VLOOKUP($A519,'ABB ExDa'!$A$2:$N$184, 0,FALSE), IFERROR(VLOOKUP($A519,'Vocus SIT ExDa'!$B$2:$J$173, 0,FALSE), IFERROR(VLOOKUP($A519,'Telstra ExDa'!$B$2:$K$310, 0,FALSE), IFERROR(VLOOKUP($A519,'Vocus RVC ExDa'!$C$2:$R$155, 0,FALSE), IFERROR(VLOOKUP($A519,'Fusion ExDa'!$B$2:$D$16, 0,FALSE), IFERROR(VLOOKUP($A519,'Exetel ExDa'!$C$2:$N$14, 12,FALSE), IFERROR(VLOOKUP($A519,'Infinet ExDa'!$B$2:$E$14, 0,FALSE), "Not Found"))))))))</f>
        <v>Not Found</v>
      </c>
      <c r="L519" s="235" t="str">
        <f>IFERROR(VLOOKUP($A519,'AAPT ExDa'!$B$2:$U$99, 11,FALSE), IFERROR(VLOOKUP($A519,'ABB ExDa'!$A$2:$N$184, 9,FALSE), IFERROR(VLOOKUP($A519,'Vocus SIT ExDa'!$B$2:$J$173, 8,FALSE), IFERROR(VLOOKUP($A519,'Telstra ExDa'!$B$2:$K$310, 0,FALSE), IFERROR(VLOOKUP($A519,'Vocus RVC ExDa'!$C$2:$R$155, 0,FALSE), IFERROR(VLOOKUP($A519,'Fusion ExDa'!$B$2:$D$16, 0,FALSE), IFERROR(VLOOKUP($A519,'Exetel ExDa'!$C$2:$N$14, 9,FALSE), IFERROR(VLOOKUP($A519,'Infinet ExDa'!$B$2:$E$14, 0,FALSE), "Not Found"))))))))</f>
        <v>Not Found</v>
      </c>
      <c r="M519" s="234" t="str">
        <f>IFERROR(VLOOKUP($A519,'AAPT ExDa'!$B$2:$U$99, 0,FALSE), IFERROR(VLOOKUP($A519,'ABB ExDa'!$A$2:$N$184, 0,FALSE), IFERROR(VLOOKUP($A519,'Vocus SIT ExDa'!$B$2:$J$173, 0,FALSE), IFERROR(VLOOKUP($A519,'Telstra ExDa'!$B$2:$K$310, 0,FALSE), IFERROR(VLOOKUP($A519,'Vocus RVC ExDa'!$C$2:$R$155, 0,FALSE), IFERROR(VLOOKUP($A519,'Fusion ExDa'!$B$2:$D$16, 0,FALSE), IFERROR(VLOOKUP($A519,'Exetel ExDa'!$C$2:$N$14, 11,FALSE), IFERROR(VLOOKUP($A519,'Infinet ExDa'!$B$2:$E$14, 0,FALSE), "Not Found"))))))))</f>
        <v>Not Found</v>
      </c>
      <c r="N519" t="str">
        <f>IFERROR(VLOOKUP($A519,'AAPT ExDa'!$B$2:$U$99, 0,FALSE), IFERROR(VLOOKUP($A519,'ABB ExDa'!$A$2:$N$184, 13,FALSE), IFERROR(VLOOKUP($A519,'Vocus SIT ExDa'!$B$2:$J$173, 0,FALSE), IFERROR(VLOOKUP($A519,'Telstra ExDa'!$B$2:$K$310, 0,FALSE), IFERROR(VLOOKUP($A519,'Vocus RVC ExDa'!$C$2:$R$155, 0,FALSE), IFERROR(VLOOKUP($A519,'Fusion ExDa'!$B$2:$D$16, 0,FALSE), IFERROR(VLOOKUP($A519,'Exetel ExDa'!$C$2:$N$14, 0,FALSE), IFERROR(VLOOKUP($A519,'Infinet ExDa'!$B$2:$E$14, 0,FALSE), "Not Found"))))))))</f>
        <v>Not Found</v>
      </c>
    </row>
    <row r="520" spans="1:14">
      <c r="A520" t="str">
        <v>Zambrero Tuart Hill</v>
      </c>
      <c r="B520" t="str">
        <f>IFERROR(VLOOKUP(A520,'Exetel ExDa'!$C$2:$N$14,4,FALSE),"No Data")</f>
        <v>No Data</v>
      </c>
      <c r="C520" t="str">
        <f>IFERROR(VLOOKUP(A520,'AAPT ExDa'!$B$2:$U$99, 2,FALSE), IFERROR(VLOOKUP(A520,'ABB ExDa'!$A$2:$N$184, 2,FALSE), IFERROR(VLOOKUP(A520,'Vocus SIT ExDa'!$B$2:$J$173, 7,FALSE), IFERROR(VLOOKUP(A520,'Telstra ExDa'!$B$2:$K$310, 2,FALSE), IFERROR(VLOOKUP(A520,'Vocus RVC ExDa'!$C$2:$R$155, 3,FALSE), IFERROR(VLOOKUP(A520,'Fusion ExDa'!$B$2:$D$16, 2,FALSE), IFERROR(VLOOKUP(A520,'Exetel ExDa'!$C$2:$N$14, 2,FALSE), IFERROR(VLOOKUP(A520,'Infinet ExDa'!$B$2:$E$14, 2,FALSE), "Not Found"))))))))</f>
        <v>Unit 4, 207 Wanneroo Rd, Tuart Hill, WA</v>
      </c>
      <c r="D520" t="str">
        <f>IFERROR(VLOOKUP($A520,'AAPT ExDa'!$B$2:$U$99, 15,FALSE), IFERROR(VLOOKUP($A520,'ABB ExDa'!$A$2:$N$184, 4,FALSE), IFERROR(VLOOKUP($A520,'Vocus SIT ExDa'!$B$2:$J$173, 5,FALSE), IFERROR(VLOOKUP($A520,'Telstra ExDa'!$B$2:$K$310, 8,FALSE), IFERROR(VLOOKUP($A520,'Vocus RVC ExDa'!$C$2:$R$155, 6,FALSE), IFERROR(VLOOKUP($A520,'Fusion ExDa'!$B$2:$D$16, 4,FALSE), IFERROR(VLOOKUP($A520,'Exetel ExDa'!$C$2:$N$14, 3,FALSE), IFERROR(VLOOKUP($A520,'Infinet ExDa'!$B$2:$E$14, 3,FALSE), "Not Found"))))))))</f>
        <v>Telstra</v>
      </c>
      <c r="E520">
        <f>IFERROR(VLOOKUP($A520,'AAPT ExDa'!$B$2:$U$99, 3,FALSE), IFERROR(VLOOKUP($A520,'ABB ExDa'!$A$2:$N$184, 5,FALSE), IFERROR(VLOOKUP($A520,'Vocus SIT ExDa'!$B$2:$J$173, 2,FALSE), IFERROR(VLOOKUP($A520,'Telstra ExDa'!$B$2:$K$310, 4,FALSE), IFERROR(VLOOKUP($A520,'Vocus RVC ExDa'!$C$2:$R$155, 8,FALSE), IFERROR(VLOOKUP($A520,'Fusion ExDa'!$B$2:$D$16, 4,FALSE), IFERROR(VLOOKUP($A520,'Exetel ExDa'!$C$2:$N$14, 5,FALSE), IFERROR(VLOOKUP($A520,'Infinet ExDa'!$B$2:$E$14, 3,FALSE), "Not Found"))))))))</f>
        <v>0</v>
      </c>
      <c r="F520" t="str">
        <f>IFERROR(VLOOKUP($A520,'AAPT ExDa'!$B$2:$U$99, 4,FALSE), IFERROR(VLOOKUP($A520,'ABB ExDa'!$A$2:$N$184, 6,FALSE), IFERROR(VLOOKUP($A520,'Vocus SIT ExDa'!$B$2:$J$173, 3,FALSE), IFERROR(VLOOKUP($A520,'Telstra ExDa'!$B$2:$K$310, 5,FALSE), IFERROR(VLOOKUP($A520,'Vocus RVC ExDa'!$C$2:$R$155, 9,FALSE), IFERROR(VLOOKUP($A520,'Fusion ExDa'!$B$2:$D$16, 0,FALSE), IFERROR(VLOOKUP($A520,'Exetel ExDa'!$C$2:$N$14, 6,FALSE), IFERROR(VLOOKUP($A520,'Infinet ExDa'!$B$2:$E$14, 0,FALSE), "Not Found"))))))))</f>
        <v>Main Business Number</v>
      </c>
      <c r="G520" t="str">
        <f>IFERROR(VLOOKUP($A520,'AAPT ExDa'!$B$2:$U$99, 5,FALSE), IFERROR(VLOOKUP($A520,'ABB ExDa'!$A$2:$N$184, 8,FALSE), IFERROR(VLOOKUP($A520,'Vocus SIT ExDa'!$B$2:$J$173, 6,FALSE), IFERROR(VLOOKUP($A520,'Telstra ExDa'!$B$2:$K$310, 0,FALSE), IFERROR(VLOOKUP($A520,'Vocus RVC ExDa'!$C$2:$R$155, 15,FALSE), IFERROR(VLOOKUP($A520,'Fusion ExDa'!$B$2:$D$16, 0,FALSE), IFERROR(VLOOKUP($A520,'Exetel ExDa'!$C$2:$N$14, 7,FALSE), IFERROR(VLOOKUP($A520,'Infinet ExDa'!$B$2:$E$14, 0,FALSE), "Not Found"))))))))</f>
        <v>Not Found</v>
      </c>
      <c r="H520" t="str">
        <f>IFERROR(VLOOKUP($A520,'AAPT ExDa'!$B$2:$U$99, 6,FALSE), IFERROR(VLOOKUP($A520,'ABB ExDa'!$A$2:$N$184, 0,FALSE), IFERROR(VLOOKUP($A520,'Vocus SIT ExDa'!$B$2:$J$173, 0,FALSE), IFERROR(VLOOKUP($A520,'Telstra ExDa'!$B$2:$K$310, 0,FALSE), IFERROR(VLOOKUP($A520,'Vocus RVC ExDa'!$C$2:$R$155, 16,FALSE), IFERROR(VLOOKUP($A520,'Fusion ExDa'!$B$2:$D$16, 0,FALSE), IFERROR(VLOOKUP($A520,'Exetel ExDa'!$C$2:$N$14, 0,FALSE), IFERROR(VLOOKUP($A520,'Infinet ExDa'!$B$2:$E$14, 0,FALSE), "Not Found"))))))))</f>
        <v>Not Found</v>
      </c>
      <c r="I520" t="str">
        <f>IFERROR(VLOOKUP($A520,'AAPT ExDa'!$B$2:$U$99, 0,FALSE), IFERROR(VLOOKUP($A520,'ABB ExDa'!$A$2:$N$184, 0,FALSE), IFERROR(VLOOKUP($A520,'Vocus SIT ExDa'!$B$2:$J$173, 0,FALSE), IFERROR(VLOOKUP($A520,'Telstra ExDa'!$B$2:$K$310, 0,FALSE), IFERROR(VLOOKUP($A520,'Vocus RVC ExDa'!$C$2:$R$155, 0,FALSE), IFERROR(VLOOKUP($A520,'Fusion ExDa'!$B$2:$D$16, 0,FALSE), IFERROR(VLOOKUP($A520,'Exetel ExDa'!$C$2:$N$14, 8,FALSE), IFERROR(VLOOKUP($A520,'Infinet ExDa'!$B$2:$E$14, 0,FALSE), "Not Found"))))))))</f>
        <v>Not Found</v>
      </c>
      <c r="J520" t="str">
        <f>IFERROR(VLOOKUP($A520,'AAPT ExDa'!$B$2:$U$99, 7,FALSE), IFERROR(VLOOKUP($A520,'ABB ExDa'!$A$2:$N$184, 2,FALSE), IFERROR(VLOOKUP($A520,'Vocus SIT ExDa'!$B$2:$J$173, 0,FALSE), IFERROR(VLOOKUP($A520,'Telstra ExDa'!$B$2:$K$310, 7,FALSE), IFERROR(VLOOKUP($A520,'Vocus RVC ExDa'!$C$2:$R$155, 2,FALSE), IFERROR(VLOOKUP($A520,'Fusion ExDa'!$B$2:$D$16, 3,FALSE), IFERROR(VLOOKUP($A520,'Exetel ExDa'!$C$2:$N$14, 0,FALSE), IFERROR(VLOOKUP($A520,'Infinet ExDa'!$B$2:$E$14, 0,FALSE), "Not Found"))))))))</f>
        <v xml:space="preserve">AVC000060105588 </v>
      </c>
      <c r="K520" t="str">
        <f>IFERROR(VLOOKUP($A520,'AAPT ExDa'!$B$2:$U$99, 12,FALSE), IFERROR(VLOOKUP($A520,'ABB ExDa'!$A$2:$N$184, 0,FALSE), IFERROR(VLOOKUP($A520,'Vocus SIT ExDa'!$B$2:$J$173, 0,FALSE), IFERROR(VLOOKUP($A520,'Telstra ExDa'!$B$2:$K$310, 0,FALSE), IFERROR(VLOOKUP($A520,'Vocus RVC ExDa'!$C$2:$R$155, 0,FALSE), IFERROR(VLOOKUP($A520,'Fusion ExDa'!$B$2:$D$16, 0,FALSE), IFERROR(VLOOKUP($A520,'Exetel ExDa'!$C$2:$N$14, 12,FALSE), IFERROR(VLOOKUP($A520,'Infinet ExDa'!$B$2:$E$14, 0,FALSE), "Not Found"))))))))</f>
        <v>Not Found</v>
      </c>
      <c r="L520" s="235" t="str">
        <f>IFERROR(VLOOKUP($A520,'AAPT ExDa'!$B$2:$U$99, 11,FALSE), IFERROR(VLOOKUP($A520,'ABB ExDa'!$A$2:$N$184, 9,FALSE), IFERROR(VLOOKUP($A520,'Vocus SIT ExDa'!$B$2:$J$173, 8,FALSE), IFERROR(VLOOKUP($A520,'Telstra ExDa'!$B$2:$K$310, 0,FALSE), IFERROR(VLOOKUP($A520,'Vocus RVC ExDa'!$C$2:$R$155, 0,FALSE), IFERROR(VLOOKUP($A520,'Fusion ExDa'!$B$2:$D$16, 0,FALSE), IFERROR(VLOOKUP($A520,'Exetel ExDa'!$C$2:$N$14, 9,FALSE), IFERROR(VLOOKUP($A520,'Infinet ExDa'!$B$2:$E$14, 0,FALSE), "Not Found"))))))))</f>
        <v>Not Found</v>
      </c>
      <c r="M520" s="234" t="str">
        <f>IFERROR(VLOOKUP($A520,'AAPT ExDa'!$B$2:$U$99, 0,FALSE), IFERROR(VLOOKUP($A520,'ABB ExDa'!$A$2:$N$184, 0,FALSE), IFERROR(VLOOKUP($A520,'Vocus SIT ExDa'!$B$2:$J$173, 0,FALSE), IFERROR(VLOOKUP($A520,'Telstra ExDa'!$B$2:$K$310, 0,FALSE), IFERROR(VLOOKUP($A520,'Vocus RVC ExDa'!$C$2:$R$155, 0,FALSE), IFERROR(VLOOKUP($A520,'Fusion ExDa'!$B$2:$D$16, 0,FALSE), IFERROR(VLOOKUP($A520,'Exetel ExDa'!$C$2:$N$14, 11,FALSE), IFERROR(VLOOKUP($A520,'Infinet ExDa'!$B$2:$E$14, 0,FALSE), "Not Found"))))))))</f>
        <v>Not Found</v>
      </c>
      <c r="N520" t="str">
        <f>IFERROR(VLOOKUP($A520,'AAPT ExDa'!$B$2:$U$99, 0,FALSE), IFERROR(VLOOKUP($A520,'ABB ExDa'!$A$2:$N$184, 13,FALSE), IFERROR(VLOOKUP($A520,'Vocus SIT ExDa'!$B$2:$J$173, 0,FALSE), IFERROR(VLOOKUP($A520,'Telstra ExDa'!$B$2:$K$310, 0,FALSE), IFERROR(VLOOKUP($A520,'Vocus RVC ExDa'!$C$2:$R$155, 0,FALSE), IFERROR(VLOOKUP($A520,'Fusion ExDa'!$B$2:$D$16, 0,FALSE), IFERROR(VLOOKUP($A520,'Exetel ExDa'!$C$2:$N$14, 0,FALSE), IFERROR(VLOOKUP($A520,'Infinet ExDa'!$B$2:$E$14, 0,FALSE), "Not Found"))))))))</f>
        <v>Not Found</v>
      </c>
    </row>
    <row r="521" spans="1:14">
      <c r="A521" t="str">
        <v>Zambrero Fremantle</v>
      </c>
      <c r="B521" t="str">
        <f>IFERROR(VLOOKUP(A521,'Exetel ExDa'!$C$2:$N$14,4,FALSE),"No Data")</f>
        <v>No Data</v>
      </c>
      <c r="C521" t="str">
        <f>IFERROR(VLOOKUP(A521,'AAPT ExDa'!$B$2:$U$99, 2,FALSE), IFERROR(VLOOKUP(A521,'ABB ExDa'!$A$2:$N$184, 2,FALSE), IFERROR(VLOOKUP(A521,'Vocus SIT ExDa'!$B$2:$J$173, 7,FALSE), IFERROR(VLOOKUP(A521,'Telstra ExDa'!$B$2:$K$310, 2,FALSE), IFERROR(VLOOKUP(A521,'Vocus RVC ExDa'!$C$2:$R$155, 3,FALSE), IFERROR(VLOOKUP(A521,'Fusion ExDa'!$B$2:$D$16, 2,FALSE), IFERROR(VLOOKUP(A521,'Exetel ExDa'!$C$2:$N$14, 2,FALSE), IFERROR(VLOOKUP(A521,'Infinet ExDa'!$B$2:$E$14, 2,FALSE), "Not Found"))))))))</f>
        <v>4 South Terrace, Fremantle, WA 6160</v>
      </c>
      <c r="D521" t="str">
        <f>IFERROR(VLOOKUP($A521,'AAPT ExDa'!$B$2:$U$99, 15,FALSE), IFERROR(VLOOKUP($A521,'ABB ExDa'!$A$2:$N$184, 4,FALSE), IFERROR(VLOOKUP($A521,'Vocus SIT ExDa'!$B$2:$J$173, 5,FALSE), IFERROR(VLOOKUP($A521,'Telstra ExDa'!$B$2:$K$310, 8,FALSE), IFERROR(VLOOKUP($A521,'Vocus RVC ExDa'!$C$2:$R$155, 6,FALSE), IFERROR(VLOOKUP($A521,'Fusion ExDa'!$B$2:$D$16, 4,FALSE), IFERROR(VLOOKUP($A521,'Exetel ExDa'!$C$2:$N$14, 3,FALSE), IFERROR(VLOOKUP($A521,'Infinet ExDa'!$B$2:$E$14, 3,FALSE), "Not Found"))))))))</f>
        <v>Telstra</v>
      </c>
      <c r="E521">
        <f>IFERROR(VLOOKUP($A521,'AAPT ExDa'!$B$2:$U$99, 3,FALSE), IFERROR(VLOOKUP($A521,'ABB ExDa'!$A$2:$N$184, 5,FALSE), IFERROR(VLOOKUP($A521,'Vocus SIT ExDa'!$B$2:$J$173, 2,FALSE), IFERROR(VLOOKUP($A521,'Telstra ExDa'!$B$2:$K$310, 4,FALSE), IFERROR(VLOOKUP($A521,'Vocus RVC ExDa'!$C$2:$R$155, 8,FALSE), IFERROR(VLOOKUP($A521,'Fusion ExDa'!$B$2:$D$16, 4,FALSE), IFERROR(VLOOKUP($A521,'Exetel ExDa'!$C$2:$N$14, 5,FALSE), IFERROR(VLOOKUP($A521,'Infinet ExDa'!$B$2:$E$14, 3,FALSE), "Not Found"))))))))</f>
        <v>0</v>
      </c>
      <c r="F521" t="str">
        <f>IFERROR(VLOOKUP($A521,'AAPT ExDa'!$B$2:$U$99, 4,FALSE), IFERROR(VLOOKUP($A521,'ABB ExDa'!$A$2:$N$184, 6,FALSE), IFERROR(VLOOKUP($A521,'Vocus SIT ExDa'!$B$2:$J$173, 3,FALSE), IFERROR(VLOOKUP($A521,'Telstra ExDa'!$B$2:$K$310, 5,FALSE), IFERROR(VLOOKUP($A521,'Vocus RVC ExDa'!$C$2:$R$155, 9,FALSE), IFERROR(VLOOKUP($A521,'Fusion ExDa'!$B$2:$D$16, 0,FALSE), IFERROR(VLOOKUP($A521,'Exetel ExDa'!$C$2:$N$14, 6,FALSE), IFERROR(VLOOKUP($A521,'Infinet ExDa'!$B$2:$E$14, 0,FALSE), "Not Found"))))))))</f>
        <v>Unlimited Business Internet,Business International Calling pack</v>
      </c>
      <c r="G521" t="str">
        <f>IFERROR(VLOOKUP($A521,'AAPT ExDa'!$B$2:$U$99, 5,FALSE), IFERROR(VLOOKUP($A521,'ABB ExDa'!$A$2:$N$184, 8,FALSE), IFERROR(VLOOKUP($A521,'Vocus SIT ExDa'!$B$2:$J$173, 6,FALSE), IFERROR(VLOOKUP($A521,'Telstra ExDa'!$B$2:$K$310, 0,FALSE), IFERROR(VLOOKUP($A521,'Vocus RVC ExDa'!$C$2:$R$155, 15,FALSE), IFERROR(VLOOKUP($A521,'Fusion ExDa'!$B$2:$D$16, 0,FALSE), IFERROR(VLOOKUP($A521,'Exetel ExDa'!$C$2:$N$14, 7,FALSE), IFERROR(VLOOKUP($A521,'Infinet ExDa'!$B$2:$E$14, 0,FALSE), "Not Found"))))))))</f>
        <v>Not Found</v>
      </c>
      <c r="H521" t="str">
        <f>IFERROR(VLOOKUP($A521,'AAPT ExDa'!$B$2:$U$99, 6,FALSE), IFERROR(VLOOKUP($A521,'ABB ExDa'!$A$2:$N$184, 0,FALSE), IFERROR(VLOOKUP($A521,'Vocus SIT ExDa'!$B$2:$J$173, 0,FALSE), IFERROR(VLOOKUP($A521,'Telstra ExDa'!$B$2:$K$310, 0,FALSE), IFERROR(VLOOKUP($A521,'Vocus RVC ExDa'!$C$2:$R$155, 16,FALSE), IFERROR(VLOOKUP($A521,'Fusion ExDa'!$B$2:$D$16, 0,FALSE), IFERROR(VLOOKUP($A521,'Exetel ExDa'!$C$2:$N$14, 0,FALSE), IFERROR(VLOOKUP($A521,'Infinet ExDa'!$B$2:$E$14, 0,FALSE), "Not Found"))))))))</f>
        <v>Not Found</v>
      </c>
      <c r="I521" t="str">
        <f>IFERROR(VLOOKUP($A521,'AAPT ExDa'!$B$2:$U$99, 0,FALSE), IFERROR(VLOOKUP($A521,'ABB ExDa'!$A$2:$N$184, 0,FALSE), IFERROR(VLOOKUP($A521,'Vocus SIT ExDa'!$B$2:$J$173, 0,FALSE), IFERROR(VLOOKUP($A521,'Telstra ExDa'!$B$2:$K$310, 0,FALSE), IFERROR(VLOOKUP($A521,'Vocus RVC ExDa'!$C$2:$R$155, 0,FALSE), IFERROR(VLOOKUP($A521,'Fusion ExDa'!$B$2:$D$16, 0,FALSE), IFERROR(VLOOKUP($A521,'Exetel ExDa'!$C$2:$N$14, 8,FALSE), IFERROR(VLOOKUP($A521,'Infinet ExDa'!$B$2:$E$14, 0,FALSE), "Not Found"))))))))</f>
        <v>Not Found</v>
      </c>
      <c r="J521" t="str">
        <f>IFERROR(VLOOKUP($A521,'AAPT ExDa'!$B$2:$U$99, 7,FALSE), IFERROR(VLOOKUP($A521,'ABB ExDa'!$A$2:$N$184, 2,FALSE), IFERROR(VLOOKUP($A521,'Vocus SIT ExDa'!$B$2:$J$173, 0,FALSE), IFERROR(VLOOKUP($A521,'Telstra ExDa'!$B$2:$K$310, 7,FALSE), IFERROR(VLOOKUP($A521,'Vocus RVC ExDa'!$C$2:$R$155, 2,FALSE), IFERROR(VLOOKUP($A521,'Fusion ExDa'!$B$2:$D$16, 3,FALSE), IFERROR(VLOOKUP($A521,'Exetel ExDa'!$C$2:$N$14, 0,FALSE), IFERROR(VLOOKUP($A521,'Infinet ExDa'!$B$2:$E$14, 0,FALSE), "Not Found"))))))))</f>
        <v>AVC000109603423</v>
      </c>
      <c r="K521" t="str">
        <f>IFERROR(VLOOKUP($A521,'AAPT ExDa'!$B$2:$U$99, 12,FALSE), IFERROR(VLOOKUP($A521,'ABB ExDa'!$A$2:$N$184, 0,FALSE), IFERROR(VLOOKUP($A521,'Vocus SIT ExDa'!$B$2:$J$173, 0,FALSE), IFERROR(VLOOKUP($A521,'Telstra ExDa'!$B$2:$K$310, 0,FALSE), IFERROR(VLOOKUP($A521,'Vocus RVC ExDa'!$C$2:$R$155, 0,FALSE), IFERROR(VLOOKUP($A521,'Fusion ExDa'!$B$2:$D$16, 0,FALSE), IFERROR(VLOOKUP($A521,'Exetel ExDa'!$C$2:$N$14, 12,FALSE), IFERROR(VLOOKUP($A521,'Infinet ExDa'!$B$2:$E$14, 0,FALSE), "Not Found"))))))))</f>
        <v>Not Found</v>
      </c>
      <c r="L521" s="235" t="str">
        <f>IFERROR(VLOOKUP($A521,'AAPT ExDa'!$B$2:$U$99, 11,FALSE), IFERROR(VLOOKUP($A521,'ABB ExDa'!$A$2:$N$184, 9,FALSE), IFERROR(VLOOKUP($A521,'Vocus SIT ExDa'!$B$2:$J$173, 8,FALSE), IFERROR(VLOOKUP($A521,'Telstra ExDa'!$B$2:$K$310, 0,FALSE), IFERROR(VLOOKUP($A521,'Vocus RVC ExDa'!$C$2:$R$155, 0,FALSE), IFERROR(VLOOKUP($A521,'Fusion ExDa'!$B$2:$D$16, 0,FALSE), IFERROR(VLOOKUP($A521,'Exetel ExDa'!$C$2:$N$14, 9,FALSE), IFERROR(VLOOKUP($A521,'Infinet ExDa'!$B$2:$E$14, 0,FALSE), "Not Found"))))))))</f>
        <v>Not Found</v>
      </c>
      <c r="M521" s="234" t="str">
        <f>IFERROR(VLOOKUP($A521,'AAPT ExDa'!$B$2:$U$99, 0,FALSE), IFERROR(VLOOKUP($A521,'ABB ExDa'!$A$2:$N$184, 0,FALSE), IFERROR(VLOOKUP($A521,'Vocus SIT ExDa'!$B$2:$J$173, 0,FALSE), IFERROR(VLOOKUP($A521,'Telstra ExDa'!$B$2:$K$310, 0,FALSE), IFERROR(VLOOKUP($A521,'Vocus RVC ExDa'!$C$2:$R$155, 0,FALSE), IFERROR(VLOOKUP($A521,'Fusion ExDa'!$B$2:$D$16, 0,FALSE), IFERROR(VLOOKUP($A521,'Exetel ExDa'!$C$2:$N$14, 11,FALSE), IFERROR(VLOOKUP($A521,'Infinet ExDa'!$B$2:$E$14, 0,FALSE), "Not Found"))))))))</f>
        <v>Not Found</v>
      </c>
      <c r="N521" t="str">
        <f>IFERROR(VLOOKUP($A521,'AAPT ExDa'!$B$2:$U$99, 0,FALSE), IFERROR(VLOOKUP($A521,'ABB ExDa'!$A$2:$N$184, 13,FALSE), IFERROR(VLOOKUP($A521,'Vocus SIT ExDa'!$B$2:$J$173, 0,FALSE), IFERROR(VLOOKUP($A521,'Telstra ExDa'!$B$2:$K$310, 0,FALSE), IFERROR(VLOOKUP($A521,'Vocus RVC ExDa'!$C$2:$R$155, 0,FALSE), IFERROR(VLOOKUP($A521,'Fusion ExDa'!$B$2:$D$16, 0,FALSE), IFERROR(VLOOKUP($A521,'Exetel ExDa'!$C$2:$N$14, 0,FALSE), IFERROR(VLOOKUP($A521,'Infinet ExDa'!$B$2:$E$14, 0,FALSE), "Not Found"))))))))</f>
        <v>Not Found</v>
      </c>
    </row>
    <row r="522" spans="1:14">
      <c r="A522" t="str">
        <v>Zambrero Ascot</v>
      </c>
      <c r="B522" t="str">
        <f>IFERROR(VLOOKUP(A522,'Exetel ExDa'!$C$2:$N$14,4,FALSE),"No Data")</f>
        <v>No Data</v>
      </c>
      <c r="C522" t="str">
        <f>IFERROR(VLOOKUP(A522,'AAPT ExDa'!$B$2:$U$99, 2,FALSE), IFERROR(VLOOKUP(A522,'ABB ExDa'!$A$2:$N$184, 2,FALSE), IFERROR(VLOOKUP(A522,'Vocus SIT ExDa'!$B$2:$J$173, 7,FALSE), IFERROR(VLOOKUP(A522,'Telstra ExDa'!$B$2:$K$310, 2,FALSE), IFERROR(VLOOKUP(A522,'Vocus RVC ExDa'!$C$2:$R$155, 3,FALSE), IFERROR(VLOOKUP(A522,'Fusion ExDa'!$B$2:$D$16, 2,FALSE), IFERROR(VLOOKUP(A522,'Exetel ExDa'!$C$2:$N$14, 2,FALSE), IFERROR(VLOOKUP(A522,'Infinet ExDa'!$B$2:$E$14, 2,FALSE), "Not Found"))))))))</f>
        <v>714 182 GREAT EASTERN HWY ASCOT  </v>
      </c>
      <c r="D522" t="str">
        <f>IFERROR(VLOOKUP($A522,'AAPT ExDa'!$B$2:$U$99, 15,FALSE), IFERROR(VLOOKUP($A522,'ABB ExDa'!$A$2:$N$184, 4,FALSE), IFERROR(VLOOKUP($A522,'Vocus SIT ExDa'!$B$2:$J$173, 5,FALSE), IFERROR(VLOOKUP($A522,'Telstra ExDa'!$B$2:$K$310, 8,FALSE), IFERROR(VLOOKUP($A522,'Vocus RVC ExDa'!$C$2:$R$155, 6,FALSE), IFERROR(VLOOKUP($A522,'Fusion ExDa'!$B$2:$D$16, 4,FALSE), IFERROR(VLOOKUP($A522,'Exetel ExDa'!$C$2:$N$14, 3,FALSE), IFERROR(VLOOKUP($A522,'Infinet ExDa'!$B$2:$E$14, 3,FALSE), "Not Found"))))))))</f>
        <v>Telstra</v>
      </c>
      <c r="E522">
        <f>IFERROR(VLOOKUP($A522,'AAPT ExDa'!$B$2:$U$99, 3,FALSE), IFERROR(VLOOKUP($A522,'ABB ExDa'!$A$2:$N$184, 5,FALSE), IFERROR(VLOOKUP($A522,'Vocus SIT ExDa'!$B$2:$J$173, 2,FALSE), IFERROR(VLOOKUP($A522,'Telstra ExDa'!$B$2:$K$310, 4,FALSE), IFERROR(VLOOKUP($A522,'Vocus RVC ExDa'!$C$2:$R$155, 8,FALSE), IFERROR(VLOOKUP($A522,'Fusion ExDa'!$B$2:$D$16, 4,FALSE), IFERROR(VLOOKUP($A522,'Exetel ExDa'!$C$2:$N$14, 5,FALSE), IFERROR(VLOOKUP($A522,'Infinet ExDa'!$B$2:$E$14, 3,FALSE), "Not Found"))))))))</f>
        <v>0</v>
      </c>
      <c r="F522" t="str">
        <f>IFERROR(VLOOKUP($A522,'AAPT ExDa'!$B$2:$U$99, 4,FALSE), IFERROR(VLOOKUP($A522,'ABB ExDa'!$A$2:$N$184, 6,FALSE), IFERROR(VLOOKUP($A522,'Vocus SIT ExDa'!$B$2:$J$173, 3,FALSE), IFERROR(VLOOKUP($A522,'Telstra ExDa'!$B$2:$K$310, 5,FALSE), IFERROR(VLOOKUP($A522,'Vocus RVC ExDa'!$C$2:$R$155, 9,FALSE), IFERROR(VLOOKUP($A522,'Fusion ExDa'!$B$2:$D$16, 0,FALSE), IFERROR(VLOOKUP($A522,'Exetel ExDa'!$C$2:$N$14, 6,FALSE), IFERROR(VLOOKUP($A522,'Infinet ExDa'!$B$2:$E$14, 0,FALSE), "Not Found"))))))))</f>
        <v>Main Business Number</v>
      </c>
      <c r="G522" t="str">
        <f>IFERROR(VLOOKUP($A522,'AAPT ExDa'!$B$2:$U$99, 5,FALSE), IFERROR(VLOOKUP($A522,'ABB ExDa'!$A$2:$N$184, 8,FALSE), IFERROR(VLOOKUP($A522,'Vocus SIT ExDa'!$B$2:$J$173, 6,FALSE), IFERROR(VLOOKUP($A522,'Telstra ExDa'!$B$2:$K$310, 0,FALSE), IFERROR(VLOOKUP($A522,'Vocus RVC ExDa'!$C$2:$R$155, 15,FALSE), IFERROR(VLOOKUP($A522,'Fusion ExDa'!$B$2:$D$16, 0,FALSE), IFERROR(VLOOKUP($A522,'Exetel ExDa'!$C$2:$N$14, 7,FALSE), IFERROR(VLOOKUP($A522,'Infinet ExDa'!$B$2:$E$14, 0,FALSE), "Not Found"))))))))</f>
        <v>Not Found</v>
      </c>
      <c r="H522" t="str">
        <f>IFERROR(VLOOKUP($A522,'AAPT ExDa'!$B$2:$U$99, 6,FALSE), IFERROR(VLOOKUP($A522,'ABB ExDa'!$A$2:$N$184, 0,FALSE), IFERROR(VLOOKUP($A522,'Vocus SIT ExDa'!$B$2:$J$173, 0,FALSE), IFERROR(VLOOKUP($A522,'Telstra ExDa'!$B$2:$K$310, 0,FALSE), IFERROR(VLOOKUP($A522,'Vocus RVC ExDa'!$C$2:$R$155, 16,FALSE), IFERROR(VLOOKUP($A522,'Fusion ExDa'!$B$2:$D$16, 0,FALSE), IFERROR(VLOOKUP($A522,'Exetel ExDa'!$C$2:$N$14, 0,FALSE), IFERROR(VLOOKUP($A522,'Infinet ExDa'!$B$2:$E$14, 0,FALSE), "Not Found"))))))))</f>
        <v>Not Found</v>
      </c>
      <c r="I522" t="str">
        <f>IFERROR(VLOOKUP($A522,'AAPT ExDa'!$B$2:$U$99, 0,FALSE), IFERROR(VLOOKUP($A522,'ABB ExDa'!$A$2:$N$184, 0,FALSE), IFERROR(VLOOKUP($A522,'Vocus SIT ExDa'!$B$2:$J$173, 0,FALSE), IFERROR(VLOOKUP($A522,'Telstra ExDa'!$B$2:$K$310, 0,FALSE), IFERROR(VLOOKUP($A522,'Vocus RVC ExDa'!$C$2:$R$155, 0,FALSE), IFERROR(VLOOKUP($A522,'Fusion ExDa'!$B$2:$D$16, 0,FALSE), IFERROR(VLOOKUP($A522,'Exetel ExDa'!$C$2:$N$14, 8,FALSE), IFERROR(VLOOKUP($A522,'Infinet ExDa'!$B$2:$E$14, 0,FALSE), "Not Found"))))))))</f>
        <v>Not Found</v>
      </c>
      <c r="J522" t="str">
        <f>IFERROR(VLOOKUP($A522,'AAPT ExDa'!$B$2:$U$99, 7,FALSE), IFERROR(VLOOKUP($A522,'ABB ExDa'!$A$2:$N$184, 2,FALSE), IFERROR(VLOOKUP($A522,'Vocus SIT ExDa'!$B$2:$J$173, 0,FALSE), IFERROR(VLOOKUP($A522,'Telstra ExDa'!$B$2:$K$310, 7,FALSE), IFERROR(VLOOKUP($A522,'Vocus RVC ExDa'!$C$2:$R$155, 2,FALSE), IFERROR(VLOOKUP($A522,'Fusion ExDa'!$B$2:$D$16, 3,FALSE), IFERROR(VLOOKUP($A522,'Exetel ExDa'!$C$2:$N$14, 0,FALSE), IFERROR(VLOOKUP($A522,'Infinet ExDa'!$B$2:$E$14, 0,FALSE), "Not Found"))))))))</f>
        <v>AVC000093503337</v>
      </c>
      <c r="K522" t="str">
        <f>IFERROR(VLOOKUP($A522,'AAPT ExDa'!$B$2:$U$99, 12,FALSE), IFERROR(VLOOKUP($A522,'ABB ExDa'!$A$2:$N$184, 0,FALSE), IFERROR(VLOOKUP($A522,'Vocus SIT ExDa'!$B$2:$J$173, 0,FALSE), IFERROR(VLOOKUP($A522,'Telstra ExDa'!$B$2:$K$310, 0,FALSE), IFERROR(VLOOKUP($A522,'Vocus RVC ExDa'!$C$2:$R$155, 0,FALSE), IFERROR(VLOOKUP($A522,'Fusion ExDa'!$B$2:$D$16, 0,FALSE), IFERROR(VLOOKUP($A522,'Exetel ExDa'!$C$2:$N$14, 12,FALSE), IFERROR(VLOOKUP($A522,'Infinet ExDa'!$B$2:$E$14, 0,FALSE), "Not Found"))))))))</f>
        <v>Not Found</v>
      </c>
      <c r="L522" s="235" t="str">
        <f>IFERROR(VLOOKUP($A522,'AAPT ExDa'!$B$2:$U$99, 11,FALSE), IFERROR(VLOOKUP($A522,'ABB ExDa'!$A$2:$N$184, 9,FALSE), IFERROR(VLOOKUP($A522,'Vocus SIT ExDa'!$B$2:$J$173, 8,FALSE), IFERROR(VLOOKUP($A522,'Telstra ExDa'!$B$2:$K$310, 0,FALSE), IFERROR(VLOOKUP($A522,'Vocus RVC ExDa'!$C$2:$R$155, 0,FALSE), IFERROR(VLOOKUP($A522,'Fusion ExDa'!$B$2:$D$16, 0,FALSE), IFERROR(VLOOKUP($A522,'Exetel ExDa'!$C$2:$N$14, 9,FALSE), IFERROR(VLOOKUP($A522,'Infinet ExDa'!$B$2:$E$14, 0,FALSE), "Not Found"))))))))</f>
        <v>Not Found</v>
      </c>
      <c r="M522" s="234" t="str">
        <f>IFERROR(VLOOKUP($A522,'AAPT ExDa'!$B$2:$U$99, 0,FALSE), IFERROR(VLOOKUP($A522,'ABB ExDa'!$A$2:$N$184, 0,FALSE), IFERROR(VLOOKUP($A522,'Vocus SIT ExDa'!$B$2:$J$173, 0,FALSE), IFERROR(VLOOKUP($A522,'Telstra ExDa'!$B$2:$K$310, 0,FALSE), IFERROR(VLOOKUP($A522,'Vocus RVC ExDa'!$C$2:$R$155, 0,FALSE), IFERROR(VLOOKUP($A522,'Fusion ExDa'!$B$2:$D$16, 0,FALSE), IFERROR(VLOOKUP($A522,'Exetel ExDa'!$C$2:$N$14, 11,FALSE), IFERROR(VLOOKUP($A522,'Infinet ExDa'!$B$2:$E$14, 0,FALSE), "Not Found"))))))))</f>
        <v>Not Found</v>
      </c>
      <c r="N522" t="str">
        <f>IFERROR(VLOOKUP($A522,'AAPT ExDa'!$B$2:$U$99, 0,FALSE), IFERROR(VLOOKUP($A522,'ABB ExDa'!$A$2:$N$184, 13,FALSE), IFERROR(VLOOKUP($A522,'Vocus SIT ExDa'!$B$2:$J$173, 0,FALSE), IFERROR(VLOOKUP($A522,'Telstra ExDa'!$B$2:$K$310, 0,FALSE), IFERROR(VLOOKUP($A522,'Vocus RVC ExDa'!$C$2:$R$155, 0,FALSE), IFERROR(VLOOKUP($A522,'Fusion ExDa'!$B$2:$D$16, 0,FALSE), IFERROR(VLOOKUP($A522,'Exetel ExDa'!$C$2:$N$14, 0,FALSE), IFERROR(VLOOKUP($A522,'Infinet ExDa'!$B$2:$E$14, 0,FALSE), "Not Found"))))))))</f>
        <v>Not Found</v>
      </c>
    </row>
    <row r="523" spans="1:14">
      <c r="A523">
        <v>0</v>
      </c>
      <c r="B523" t="str">
        <f>IFERROR(VLOOKUP(A523,'Exetel ExDa'!$C$2:$N$14,4,FALSE),"No Data")</f>
        <v>No Data</v>
      </c>
      <c r="C523" t="str">
        <f>IFERROR(VLOOKUP(A523,'AAPT ExDa'!$B$2:$U$99, 2,FALSE), IFERROR(VLOOKUP(A523,'ABB ExDa'!$A$2:$N$184, 2,FALSE), IFERROR(VLOOKUP(A523,'Vocus SIT ExDa'!$B$2:$J$173, 7,FALSE), IFERROR(VLOOKUP(A523,'Telstra ExDa'!$B$2:$K$310, 2,FALSE), IFERROR(VLOOKUP(A523,'Vocus RVC ExDa'!$C$2:$R$155, 3,FALSE), IFERROR(VLOOKUP(A523,'Fusion ExDa'!$B$2:$D$16, 2,FALSE), IFERROR(VLOOKUP(A523,'Exetel ExDa'!$C$2:$N$14, 2,FALSE), IFERROR(VLOOKUP(A523,'Infinet ExDa'!$B$2:$E$14, 2,FALSE), "Not Found"))))))))</f>
        <v>Not Found</v>
      </c>
      <c r="D523" t="str">
        <f>IFERROR(VLOOKUP($A523,'AAPT ExDa'!$B$2:$U$99, 15,FALSE), IFERROR(VLOOKUP($A523,'ABB ExDa'!$A$2:$N$184, 4,FALSE), IFERROR(VLOOKUP($A523,'Vocus SIT ExDa'!$B$2:$J$173, 5,FALSE), IFERROR(VLOOKUP($A523,'Telstra ExDa'!$B$2:$K$310, 8,FALSE), IFERROR(VLOOKUP($A523,'Vocus RVC ExDa'!$C$2:$R$155, 6,FALSE), IFERROR(VLOOKUP($A523,'Fusion ExDa'!$B$2:$D$16, 4,FALSE), IFERROR(VLOOKUP($A523,'Exetel ExDa'!$C$2:$N$14, 3,FALSE), IFERROR(VLOOKUP($A523,'Infinet ExDa'!$B$2:$E$14, 3,FALSE), "Not Found"))))))))</f>
        <v>Not Found</v>
      </c>
      <c r="E523" t="str">
        <f>IFERROR(VLOOKUP($A523,'AAPT ExDa'!$B$2:$U$99, 3,FALSE), IFERROR(VLOOKUP($A523,'ABB ExDa'!$A$2:$N$184, 5,FALSE), IFERROR(VLOOKUP($A523,'Vocus SIT ExDa'!$B$2:$J$173, 2,FALSE), IFERROR(VLOOKUP($A523,'Telstra ExDa'!$B$2:$K$310, 4,FALSE), IFERROR(VLOOKUP($A523,'Vocus RVC ExDa'!$C$2:$R$155, 8,FALSE), IFERROR(VLOOKUP($A523,'Fusion ExDa'!$B$2:$D$16, 4,FALSE), IFERROR(VLOOKUP($A523,'Exetel ExDa'!$C$2:$N$14, 5,FALSE), IFERROR(VLOOKUP($A523,'Infinet ExDa'!$B$2:$E$14, 3,FALSE), "Not Found"))))))))</f>
        <v>Not Found</v>
      </c>
      <c r="F523" t="str">
        <f>IFERROR(VLOOKUP($A523,'AAPT ExDa'!$B$2:$U$99, 4,FALSE), IFERROR(VLOOKUP($A523,'ABB ExDa'!$A$2:$N$184, 6,FALSE), IFERROR(VLOOKUP($A523,'Vocus SIT ExDa'!$B$2:$J$173, 3,FALSE), IFERROR(VLOOKUP($A523,'Telstra ExDa'!$B$2:$K$310, 5,FALSE), IFERROR(VLOOKUP($A523,'Vocus RVC ExDa'!$C$2:$R$155, 9,FALSE), IFERROR(VLOOKUP($A523,'Fusion ExDa'!$B$2:$D$16, 0,FALSE), IFERROR(VLOOKUP($A523,'Exetel ExDa'!$C$2:$N$14, 6,FALSE), IFERROR(VLOOKUP($A523,'Infinet ExDa'!$B$2:$E$14, 0,FALSE), "Not Found"))))))))</f>
        <v>Not Found</v>
      </c>
      <c r="G523" t="str">
        <f>IFERROR(VLOOKUP($A523,'AAPT ExDa'!$B$2:$U$99, 5,FALSE), IFERROR(VLOOKUP($A523,'ABB ExDa'!$A$2:$N$184, 8,FALSE), IFERROR(VLOOKUP($A523,'Vocus SIT ExDa'!$B$2:$J$173, 6,FALSE), IFERROR(VLOOKUP($A523,'Telstra ExDa'!$B$2:$K$310, 0,FALSE), IFERROR(VLOOKUP($A523,'Vocus RVC ExDa'!$C$2:$R$155, 15,FALSE), IFERROR(VLOOKUP($A523,'Fusion ExDa'!$B$2:$D$16, 0,FALSE), IFERROR(VLOOKUP($A523,'Exetel ExDa'!$C$2:$N$14, 7,FALSE), IFERROR(VLOOKUP($A523,'Infinet ExDa'!$B$2:$E$14, 0,FALSE), "Not Found"))))))))</f>
        <v>Not Found</v>
      </c>
      <c r="H523" t="str">
        <f>IFERROR(VLOOKUP($A523,'AAPT ExDa'!$B$2:$U$99, 6,FALSE), IFERROR(VLOOKUP($A523,'ABB ExDa'!$A$2:$N$184, 0,FALSE), IFERROR(VLOOKUP($A523,'Vocus SIT ExDa'!$B$2:$J$173, 0,FALSE), IFERROR(VLOOKUP($A523,'Telstra ExDa'!$B$2:$K$310, 0,FALSE), IFERROR(VLOOKUP($A523,'Vocus RVC ExDa'!$C$2:$R$155, 16,FALSE), IFERROR(VLOOKUP($A523,'Fusion ExDa'!$B$2:$D$16, 0,FALSE), IFERROR(VLOOKUP($A523,'Exetel ExDa'!$C$2:$N$14, 0,FALSE), IFERROR(VLOOKUP($A523,'Infinet ExDa'!$B$2:$E$14, 0,FALSE), "Not Found"))))))))</f>
        <v>Not Found</v>
      </c>
      <c r="I523" t="str">
        <f>IFERROR(VLOOKUP($A523,'AAPT ExDa'!$B$2:$U$99, 0,FALSE), IFERROR(VLOOKUP($A523,'ABB ExDa'!$A$2:$N$184, 0,FALSE), IFERROR(VLOOKUP($A523,'Vocus SIT ExDa'!$B$2:$J$173, 0,FALSE), IFERROR(VLOOKUP($A523,'Telstra ExDa'!$B$2:$K$310, 0,FALSE), IFERROR(VLOOKUP($A523,'Vocus RVC ExDa'!$C$2:$R$155, 0,FALSE), IFERROR(VLOOKUP($A523,'Fusion ExDa'!$B$2:$D$16, 0,FALSE), IFERROR(VLOOKUP($A523,'Exetel ExDa'!$C$2:$N$14, 8,FALSE), IFERROR(VLOOKUP($A523,'Infinet ExDa'!$B$2:$E$14, 0,FALSE), "Not Found"))))))))</f>
        <v>Not Found</v>
      </c>
      <c r="J523" t="str">
        <f>IFERROR(VLOOKUP($A523,'AAPT ExDa'!$B$2:$U$99, 7,FALSE), IFERROR(VLOOKUP($A523,'ABB ExDa'!$A$2:$N$184, 2,FALSE), IFERROR(VLOOKUP($A523,'Vocus SIT ExDa'!$B$2:$J$173, 0,FALSE), IFERROR(VLOOKUP($A523,'Telstra ExDa'!$B$2:$K$310, 7,FALSE), IFERROR(VLOOKUP($A523,'Vocus RVC ExDa'!$C$2:$R$155, 2,FALSE), IFERROR(VLOOKUP($A523,'Fusion ExDa'!$B$2:$D$16, 3,FALSE), IFERROR(VLOOKUP($A523,'Exetel ExDa'!$C$2:$N$14, 0,FALSE), IFERROR(VLOOKUP($A523,'Infinet ExDa'!$B$2:$E$14, 0,FALSE), "Not Found"))))))))</f>
        <v>Not Found</v>
      </c>
      <c r="K523" t="str">
        <f>IFERROR(VLOOKUP($A523,'AAPT ExDa'!$B$2:$U$99, 12,FALSE), IFERROR(VLOOKUP($A523,'ABB ExDa'!$A$2:$N$184, 0,FALSE), IFERROR(VLOOKUP($A523,'Vocus SIT ExDa'!$B$2:$J$173, 0,FALSE), IFERROR(VLOOKUP($A523,'Telstra ExDa'!$B$2:$K$310, 0,FALSE), IFERROR(VLOOKUP($A523,'Vocus RVC ExDa'!$C$2:$R$155, 0,FALSE), IFERROR(VLOOKUP($A523,'Fusion ExDa'!$B$2:$D$16, 0,FALSE), IFERROR(VLOOKUP($A523,'Exetel ExDa'!$C$2:$N$14, 12,FALSE), IFERROR(VLOOKUP($A523,'Infinet ExDa'!$B$2:$E$14, 0,FALSE), "Not Found"))))))))</f>
        <v>Not Found</v>
      </c>
      <c r="L523" s="235" t="str">
        <f>IFERROR(VLOOKUP($A523,'AAPT ExDa'!$B$2:$U$99, 11,FALSE), IFERROR(VLOOKUP($A523,'ABB ExDa'!$A$2:$N$184, 9,FALSE), IFERROR(VLOOKUP($A523,'Vocus SIT ExDa'!$B$2:$J$173, 8,FALSE), IFERROR(VLOOKUP($A523,'Telstra ExDa'!$B$2:$K$310, 0,FALSE), IFERROR(VLOOKUP($A523,'Vocus RVC ExDa'!$C$2:$R$155, 0,FALSE), IFERROR(VLOOKUP($A523,'Fusion ExDa'!$B$2:$D$16, 0,FALSE), IFERROR(VLOOKUP($A523,'Exetel ExDa'!$C$2:$N$14, 9,FALSE), IFERROR(VLOOKUP($A523,'Infinet ExDa'!$B$2:$E$14, 0,FALSE), "Not Found"))))))))</f>
        <v>Not Found</v>
      </c>
      <c r="M523" s="234" t="str">
        <f>IFERROR(VLOOKUP($A523,'AAPT ExDa'!$B$2:$U$99, 0,FALSE), IFERROR(VLOOKUP($A523,'ABB ExDa'!$A$2:$N$184, 0,FALSE), IFERROR(VLOOKUP($A523,'Vocus SIT ExDa'!$B$2:$J$173, 0,FALSE), IFERROR(VLOOKUP($A523,'Telstra ExDa'!$B$2:$K$310, 0,FALSE), IFERROR(VLOOKUP($A523,'Vocus RVC ExDa'!$C$2:$R$155, 0,FALSE), IFERROR(VLOOKUP($A523,'Fusion ExDa'!$B$2:$D$16, 0,FALSE), IFERROR(VLOOKUP($A523,'Exetel ExDa'!$C$2:$N$14, 11,FALSE), IFERROR(VLOOKUP($A523,'Infinet ExDa'!$B$2:$E$14, 0,FALSE), "Not Found"))))))))</f>
        <v>Not Found</v>
      </c>
      <c r="N523" t="str">
        <f>IFERROR(VLOOKUP($A523,'AAPT ExDa'!$B$2:$U$99, 0,FALSE), IFERROR(VLOOKUP($A523,'ABB ExDa'!$A$2:$N$184, 13,FALSE), IFERROR(VLOOKUP($A523,'Vocus SIT ExDa'!$B$2:$J$173, 0,FALSE), IFERROR(VLOOKUP($A523,'Telstra ExDa'!$B$2:$K$310, 0,FALSE), IFERROR(VLOOKUP($A523,'Vocus RVC ExDa'!$C$2:$R$155, 0,FALSE), IFERROR(VLOOKUP($A523,'Fusion ExDa'!$B$2:$D$16, 0,FALSE), IFERROR(VLOOKUP($A523,'Exetel ExDa'!$C$2:$N$14, 0,FALSE), IFERROR(VLOOKUP($A523,'Infinet ExDa'!$B$2:$E$14, 0,FALSE), "Not Found"))))))))</f>
        <v>Not Found</v>
      </c>
    </row>
    <row r="524" spans="1:14">
      <c r="A524" t="str">
        <v>Zambrero Albury</v>
      </c>
      <c r="B524" t="str">
        <f>IFERROR(VLOOKUP(A524,'Exetel ExDa'!$C$2:$N$14,4,FALSE),"No Data")</f>
        <v>No Data</v>
      </c>
      <c r="C524" t="str">
        <f>IFERROR(VLOOKUP(A524,'AAPT ExDa'!$B$2:$U$99, 2,FALSE), IFERROR(VLOOKUP(A524,'ABB ExDa'!$A$2:$N$184, 2,FALSE), IFERROR(VLOOKUP(A524,'Vocus SIT ExDa'!$B$2:$J$173, 7,FALSE), IFERROR(VLOOKUP(A524,'Telstra ExDa'!$B$2:$K$310, 2,FALSE), IFERROR(VLOOKUP(A524,'Vocus RVC ExDa'!$C$2:$R$155, 3,FALSE), IFERROR(VLOOKUP(A524,'Fusion ExDa'!$B$2:$D$16, 2,FALSE), IFERROR(VLOOKUP(A524,'Exetel ExDa'!$C$2:$N$14, 2,FALSE), IFERROR(VLOOKUP(A524,'Infinet ExDa'!$B$2:$E$14, 2,FALSE), "Not Found"))))))))</f>
        <v>461B Dean St, Albury NSW</v>
      </c>
      <c r="D524" t="str">
        <f>IFERROR(VLOOKUP($A524,'AAPT ExDa'!$B$2:$U$99, 15,FALSE), IFERROR(VLOOKUP($A524,'ABB ExDa'!$A$2:$N$184, 4,FALSE), IFERROR(VLOOKUP($A524,'Vocus SIT ExDa'!$B$2:$J$173, 5,FALSE), IFERROR(VLOOKUP($A524,'Telstra ExDa'!$B$2:$K$310, 8,FALSE), IFERROR(VLOOKUP($A524,'Vocus RVC ExDa'!$C$2:$R$155, 6,FALSE), IFERROR(VLOOKUP($A524,'Fusion ExDa'!$B$2:$D$16, 4,FALSE), IFERROR(VLOOKUP($A524,'Exetel ExDa'!$C$2:$N$14, 3,FALSE), IFERROR(VLOOKUP($A524,'Infinet ExDa'!$B$2:$E$14, 3,FALSE), "Not Found"))))))))</f>
        <v>ABB</v>
      </c>
      <c r="E524" t="str">
        <f>IFERROR(VLOOKUP($A524,'AAPT ExDa'!$B$2:$U$99, 3,FALSE), IFERROR(VLOOKUP($A524,'ABB ExDa'!$A$2:$N$184, 5,FALSE), IFERROR(VLOOKUP($A524,'Vocus SIT ExDa'!$B$2:$J$173, 2,FALSE), IFERROR(VLOOKUP($A524,'Telstra ExDa'!$B$2:$K$310, 4,FALSE), IFERROR(VLOOKUP($A524,'Vocus RVC ExDa'!$C$2:$R$155, 8,FALSE), IFERROR(VLOOKUP($A524,'Fusion ExDa'!$B$2:$D$16, 4,FALSE), IFERROR(VLOOKUP($A524,'Exetel ExDa'!$C$2:$N$14, 5,FALSE), IFERROR(VLOOKUP($A524,'Infinet ExDa'!$B$2:$E$14, 3,FALSE), "Not Found"))))))))</f>
        <v xml:space="preserve">NBN 25/10 </v>
      </c>
      <c r="F524" t="str">
        <f>IFERROR(VLOOKUP($A524,'AAPT ExDa'!$B$2:$U$99, 4,FALSE), IFERROR(VLOOKUP($A524,'ABB ExDa'!$A$2:$N$184, 6,FALSE), IFERROR(VLOOKUP($A524,'Vocus SIT ExDa'!$B$2:$J$173, 3,FALSE), IFERROR(VLOOKUP($A524,'Telstra ExDa'!$B$2:$K$310, 5,FALSE), IFERROR(VLOOKUP($A524,'Vocus RVC ExDa'!$C$2:$R$155, 9,FALSE), IFERROR(VLOOKUP($A524,'Fusion ExDa'!$B$2:$D$16, 0,FALSE), IFERROR(VLOOKUP($A524,'Exetel ExDa'!$C$2:$N$14, 6,FALSE), IFERROR(VLOOKUP($A524,'Infinet ExDa'!$B$2:$E$14, 0,FALSE), "Not Found"))))))))</f>
        <v>FTTN</v>
      </c>
      <c r="G524" t="str">
        <f>IFERROR(VLOOKUP($A524,'AAPT ExDa'!$B$2:$U$99, 5,FALSE), IFERROR(VLOOKUP($A524,'ABB ExDa'!$A$2:$N$184, 8,FALSE), IFERROR(VLOOKUP($A524,'Vocus SIT ExDa'!$B$2:$J$173, 6,FALSE), IFERROR(VLOOKUP($A524,'Telstra ExDa'!$B$2:$K$310, 0,FALSE), IFERROR(VLOOKUP($A524,'Vocus RVC ExDa'!$C$2:$R$155, 15,FALSE), IFERROR(VLOOKUP($A524,'Fusion ExDa'!$B$2:$D$16, 0,FALSE), IFERROR(VLOOKUP($A524,'Exetel ExDa'!$C$2:$N$14, 7,FALSE), IFERROR(VLOOKUP($A524,'Infinet ExDa'!$B$2:$E$14, 0,FALSE), "Not Found"))))))))</f>
        <v>144.6.224.43</v>
      </c>
      <c r="H524" t="str">
        <f>IFERROR(VLOOKUP($A524,'AAPT ExDa'!$B$2:$U$99, 6,FALSE), IFERROR(VLOOKUP($A524,'ABB ExDa'!$A$2:$N$184, 0,FALSE), IFERROR(VLOOKUP($A524,'Vocus SIT ExDa'!$B$2:$J$173, 0,FALSE), IFERROR(VLOOKUP($A524,'Telstra ExDa'!$B$2:$K$310, 0,FALSE), IFERROR(VLOOKUP($A524,'Vocus RVC ExDa'!$C$2:$R$155, 16,FALSE), IFERROR(VLOOKUP($A524,'Fusion ExDa'!$B$2:$D$16, 0,FALSE), IFERROR(VLOOKUP($A524,'Exetel ExDa'!$C$2:$N$14, 0,FALSE), IFERROR(VLOOKUP($A524,'Infinet ExDa'!$B$2:$E$14, 0,FALSE), "Not Found"))))))))</f>
        <v>Not Found</v>
      </c>
      <c r="I524" t="str">
        <f>IFERROR(VLOOKUP($A524,'AAPT ExDa'!$B$2:$U$99, 0,FALSE), IFERROR(VLOOKUP($A524,'ABB ExDa'!$A$2:$N$184, 0,FALSE), IFERROR(VLOOKUP($A524,'Vocus SIT ExDa'!$B$2:$J$173, 0,FALSE), IFERROR(VLOOKUP($A524,'Telstra ExDa'!$B$2:$K$310, 0,FALSE), IFERROR(VLOOKUP($A524,'Vocus RVC ExDa'!$C$2:$R$155, 0,FALSE), IFERROR(VLOOKUP($A524,'Fusion ExDa'!$B$2:$D$16, 0,FALSE), IFERROR(VLOOKUP($A524,'Exetel ExDa'!$C$2:$N$14, 8,FALSE), IFERROR(VLOOKUP($A524,'Infinet ExDa'!$B$2:$E$14, 0,FALSE), "Not Found"))))))))</f>
        <v>Not Found</v>
      </c>
      <c r="J524" t="str">
        <f>IFERROR(VLOOKUP($A524,'AAPT ExDa'!$B$2:$U$99, 7,FALSE), IFERROR(VLOOKUP($A524,'ABB ExDa'!$A$2:$N$184, 2,FALSE), IFERROR(VLOOKUP($A524,'Vocus SIT ExDa'!$B$2:$J$173, 0,FALSE), IFERROR(VLOOKUP($A524,'Telstra ExDa'!$B$2:$K$310, 7,FALSE), IFERROR(VLOOKUP($A524,'Vocus RVC ExDa'!$C$2:$R$155, 2,FALSE), IFERROR(VLOOKUP($A524,'Fusion ExDa'!$B$2:$D$16, 3,FALSE), IFERROR(VLOOKUP($A524,'Exetel ExDa'!$C$2:$N$14, 0,FALSE), IFERROR(VLOOKUP($A524,'Infinet ExDa'!$B$2:$E$14, 0,FALSE), "Not Found"))))))))</f>
        <v>461B Dean St, Albury NSW</v>
      </c>
      <c r="K524" t="str">
        <f>IFERROR(VLOOKUP($A524,'AAPT ExDa'!$B$2:$U$99, 12,FALSE), IFERROR(VLOOKUP($A524,'ABB ExDa'!$A$2:$N$184, 0,FALSE), IFERROR(VLOOKUP($A524,'Vocus SIT ExDa'!$B$2:$J$173, 0,FALSE), IFERROR(VLOOKUP($A524,'Telstra ExDa'!$B$2:$K$310, 0,FALSE), IFERROR(VLOOKUP($A524,'Vocus RVC ExDa'!$C$2:$R$155, 0,FALSE), IFERROR(VLOOKUP($A524,'Fusion ExDa'!$B$2:$D$16, 0,FALSE), IFERROR(VLOOKUP($A524,'Exetel ExDa'!$C$2:$N$14, 12,FALSE), IFERROR(VLOOKUP($A524,'Infinet ExDa'!$B$2:$E$14, 0,FALSE), "Not Found"))))))))</f>
        <v>Not Found</v>
      </c>
      <c r="L524" s="235" t="str">
        <f>IFERROR(VLOOKUP($A524,'AAPT ExDa'!$B$2:$U$99, 11,FALSE), IFERROR(VLOOKUP($A524,'ABB ExDa'!$A$2:$N$184, 9,FALSE), IFERROR(VLOOKUP($A524,'Vocus SIT ExDa'!$B$2:$J$173, 8,FALSE), IFERROR(VLOOKUP($A524,'Telstra ExDa'!$B$2:$K$310, 0,FALSE), IFERROR(VLOOKUP($A524,'Vocus RVC ExDa'!$C$2:$R$155, 0,FALSE), IFERROR(VLOOKUP($A524,'Fusion ExDa'!$B$2:$D$16, 0,FALSE), IFERROR(VLOOKUP($A524,'Exetel ExDa'!$C$2:$N$14, 9,FALSE), IFERROR(VLOOKUP($A524,'Infinet ExDa'!$B$2:$E$14, 0,FALSE), "Not Found"))))))))</f>
        <v>18 Sept 2025</v>
      </c>
      <c r="M524" s="234" t="str">
        <f>IFERROR(VLOOKUP($A524,'AAPT ExDa'!$B$2:$U$99, 0,FALSE), IFERROR(VLOOKUP($A524,'ABB ExDa'!$A$2:$N$184, 0,FALSE), IFERROR(VLOOKUP($A524,'Vocus SIT ExDa'!$B$2:$J$173, 0,FALSE), IFERROR(VLOOKUP($A524,'Telstra ExDa'!$B$2:$K$310, 0,FALSE), IFERROR(VLOOKUP($A524,'Vocus RVC ExDa'!$C$2:$R$155, 0,FALSE), IFERROR(VLOOKUP($A524,'Fusion ExDa'!$B$2:$D$16, 0,FALSE), IFERROR(VLOOKUP($A524,'Exetel ExDa'!$C$2:$N$14, 11,FALSE), IFERROR(VLOOKUP($A524,'Infinet ExDa'!$B$2:$E$14, 0,FALSE), "Not Found"))))))))</f>
        <v>Not Found</v>
      </c>
      <c r="N524" t="str">
        <f>IFERROR(VLOOKUP($A524,'AAPT ExDa'!$B$2:$U$99, 0,FALSE), IFERROR(VLOOKUP($A524,'ABB ExDa'!$A$2:$N$184, 13,FALSE), IFERROR(VLOOKUP($A524,'Vocus SIT ExDa'!$B$2:$J$173, 0,FALSE), IFERROR(VLOOKUP($A524,'Telstra ExDa'!$B$2:$K$310, 0,FALSE), IFERROR(VLOOKUP($A524,'Vocus RVC ExDa'!$C$2:$R$155, 0,FALSE), IFERROR(VLOOKUP($A524,'Fusion ExDa'!$B$2:$D$16, 0,FALSE), IFERROR(VLOOKUP($A524,'Exetel ExDa'!$C$2:$N$14, 0,FALSE), IFERROR(VLOOKUP($A524,'Infinet ExDa'!$B$2:$E$14, 0,FALSE), "Not Found"))))))))</f>
        <v>Onebill</v>
      </c>
    </row>
    <row r="525" spans="1:14">
      <c r="A525" t="str">
        <v>Zambrero Griffith</v>
      </c>
      <c r="B525" t="str">
        <f>IFERROR(VLOOKUP(A525,'Exetel ExDa'!$C$2:$N$14,4,FALSE),"No Data")</f>
        <v>No Data</v>
      </c>
      <c r="C525" t="str">
        <f>IFERROR(VLOOKUP(A525,'AAPT ExDa'!$B$2:$U$99, 2,FALSE), IFERROR(VLOOKUP(A525,'ABB ExDa'!$A$2:$N$184, 2,FALSE), IFERROR(VLOOKUP(A525,'Vocus SIT ExDa'!$B$2:$J$173, 7,FALSE), IFERROR(VLOOKUP(A525,'Telstra ExDa'!$B$2:$K$310, 2,FALSE), IFERROR(VLOOKUP(A525,'Vocus RVC ExDa'!$C$2:$R$155, 3,FALSE), IFERROR(VLOOKUP(A525,'Fusion ExDa'!$B$2:$D$16, 2,FALSE), IFERROR(VLOOKUP(A525,'Exetel ExDa'!$C$2:$N$14, 2,FALSE), IFERROR(VLOOKUP(A525,'Infinet ExDa'!$B$2:$E$14, 2,FALSE), "Not Found"))))))))</f>
        <v>46 192 BANNA AVE GRIFFITH   </v>
      </c>
      <c r="D525" t="str">
        <f>IFERROR(VLOOKUP($A525,'AAPT ExDa'!$B$2:$U$99, 15,FALSE), IFERROR(VLOOKUP($A525,'ABB ExDa'!$A$2:$N$184, 4,FALSE), IFERROR(VLOOKUP($A525,'Vocus SIT ExDa'!$B$2:$J$173, 5,FALSE), IFERROR(VLOOKUP($A525,'Telstra ExDa'!$B$2:$K$310, 8,FALSE), IFERROR(VLOOKUP($A525,'Vocus RVC ExDa'!$C$2:$R$155, 6,FALSE), IFERROR(VLOOKUP($A525,'Fusion ExDa'!$B$2:$D$16, 4,FALSE), IFERROR(VLOOKUP($A525,'Exetel ExDa'!$C$2:$N$14, 3,FALSE), IFERROR(VLOOKUP($A525,'Infinet ExDa'!$B$2:$E$14, 3,FALSE), "Not Found"))))))))</f>
        <v>Telstra</v>
      </c>
      <c r="E525">
        <f>IFERROR(VLOOKUP($A525,'AAPT ExDa'!$B$2:$U$99, 3,FALSE), IFERROR(VLOOKUP($A525,'ABB ExDa'!$A$2:$N$184, 5,FALSE), IFERROR(VLOOKUP($A525,'Vocus SIT ExDa'!$B$2:$J$173, 2,FALSE), IFERROR(VLOOKUP($A525,'Telstra ExDa'!$B$2:$K$310, 4,FALSE), IFERROR(VLOOKUP($A525,'Vocus RVC ExDa'!$C$2:$R$155, 8,FALSE), IFERROR(VLOOKUP($A525,'Fusion ExDa'!$B$2:$D$16, 4,FALSE), IFERROR(VLOOKUP($A525,'Exetel ExDa'!$C$2:$N$14, 5,FALSE), IFERROR(VLOOKUP($A525,'Infinet ExDa'!$B$2:$E$14, 3,FALSE), "Not Found"))))))))</f>
        <v>0</v>
      </c>
      <c r="F525" t="str">
        <f>IFERROR(VLOOKUP($A525,'AAPT ExDa'!$B$2:$U$99, 4,FALSE), IFERROR(VLOOKUP($A525,'ABB ExDa'!$A$2:$N$184, 6,FALSE), IFERROR(VLOOKUP($A525,'Vocus SIT ExDa'!$B$2:$J$173, 3,FALSE), IFERROR(VLOOKUP($A525,'Telstra ExDa'!$B$2:$K$310, 5,FALSE), IFERROR(VLOOKUP($A525,'Vocus RVC ExDa'!$C$2:$R$155, 9,FALSE), IFERROR(VLOOKUP($A525,'Fusion ExDa'!$B$2:$D$16, 0,FALSE), IFERROR(VLOOKUP($A525,'Exetel ExDa'!$C$2:$N$14, 6,FALSE), IFERROR(VLOOKUP($A525,'Infinet ExDa'!$B$2:$E$14, 0,FALSE), "Not Found"))))))))</f>
        <v>Unlimited Business Internet</v>
      </c>
      <c r="G525" t="str">
        <f>IFERROR(VLOOKUP($A525,'AAPT ExDa'!$B$2:$U$99, 5,FALSE), IFERROR(VLOOKUP($A525,'ABB ExDa'!$A$2:$N$184, 8,FALSE), IFERROR(VLOOKUP($A525,'Vocus SIT ExDa'!$B$2:$J$173, 6,FALSE), IFERROR(VLOOKUP($A525,'Telstra ExDa'!$B$2:$K$310, 0,FALSE), IFERROR(VLOOKUP($A525,'Vocus RVC ExDa'!$C$2:$R$155, 15,FALSE), IFERROR(VLOOKUP($A525,'Fusion ExDa'!$B$2:$D$16, 0,FALSE), IFERROR(VLOOKUP($A525,'Exetel ExDa'!$C$2:$N$14, 7,FALSE), IFERROR(VLOOKUP($A525,'Infinet ExDa'!$B$2:$E$14, 0,FALSE), "Not Found"))))))))</f>
        <v>Not Found</v>
      </c>
      <c r="H525" t="str">
        <f>IFERROR(VLOOKUP($A525,'AAPT ExDa'!$B$2:$U$99, 6,FALSE), IFERROR(VLOOKUP($A525,'ABB ExDa'!$A$2:$N$184, 0,FALSE), IFERROR(VLOOKUP($A525,'Vocus SIT ExDa'!$B$2:$J$173, 0,FALSE), IFERROR(VLOOKUP($A525,'Telstra ExDa'!$B$2:$K$310, 0,FALSE), IFERROR(VLOOKUP($A525,'Vocus RVC ExDa'!$C$2:$R$155, 16,FALSE), IFERROR(VLOOKUP($A525,'Fusion ExDa'!$B$2:$D$16, 0,FALSE), IFERROR(VLOOKUP($A525,'Exetel ExDa'!$C$2:$N$14, 0,FALSE), IFERROR(VLOOKUP($A525,'Infinet ExDa'!$B$2:$E$14, 0,FALSE), "Not Found"))))))))</f>
        <v>Not Found</v>
      </c>
      <c r="I525" t="str">
        <f>IFERROR(VLOOKUP($A525,'AAPT ExDa'!$B$2:$U$99, 0,FALSE), IFERROR(VLOOKUP($A525,'ABB ExDa'!$A$2:$N$184, 0,FALSE), IFERROR(VLOOKUP($A525,'Vocus SIT ExDa'!$B$2:$J$173, 0,FALSE), IFERROR(VLOOKUP($A525,'Telstra ExDa'!$B$2:$K$310, 0,FALSE), IFERROR(VLOOKUP($A525,'Vocus RVC ExDa'!$C$2:$R$155, 0,FALSE), IFERROR(VLOOKUP($A525,'Fusion ExDa'!$B$2:$D$16, 0,FALSE), IFERROR(VLOOKUP($A525,'Exetel ExDa'!$C$2:$N$14, 8,FALSE), IFERROR(VLOOKUP($A525,'Infinet ExDa'!$B$2:$E$14, 0,FALSE), "Not Found"))))))))</f>
        <v>Not Found</v>
      </c>
      <c r="J525" t="str">
        <f>IFERROR(VLOOKUP($A525,'AAPT ExDa'!$B$2:$U$99, 7,FALSE), IFERROR(VLOOKUP($A525,'ABB ExDa'!$A$2:$N$184, 2,FALSE), IFERROR(VLOOKUP($A525,'Vocus SIT ExDa'!$B$2:$J$173, 0,FALSE), IFERROR(VLOOKUP($A525,'Telstra ExDa'!$B$2:$K$310, 7,FALSE), IFERROR(VLOOKUP($A525,'Vocus RVC ExDa'!$C$2:$R$155, 2,FALSE), IFERROR(VLOOKUP($A525,'Fusion ExDa'!$B$2:$D$16, 3,FALSE), IFERROR(VLOOKUP($A525,'Exetel ExDa'!$C$2:$N$14, 0,FALSE), IFERROR(VLOOKUP($A525,'Infinet ExDa'!$B$2:$E$14, 0,FALSE), "Not Found"))))))))</f>
        <v>AVC000037231418</v>
      </c>
      <c r="K525" t="str">
        <f>IFERROR(VLOOKUP($A525,'AAPT ExDa'!$B$2:$U$99, 12,FALSE), IFERROR(VLOOKUP($A525,'ABB ExDa'!$A$2:$N$184, 0,FALSE), IFERROR(VLOOKUP($A525,'Vocus SIT ExDa'!$B$2:$J$173, 0,FALSE), IFERROR(VLOOKUP($A525,'Telstra ExDa'!$B$2:$K$310, 0,FALSE), IFERROR(VLOOKUP($A525,'Vocus RVC ExDa'!$C$2:$R$155, 0,FALSE), IFERROR(VLOOKUP($A525,'Fusion ExDa'!$B$2:$D$16, 0,FALSE), IFERROR(VLOOKUP($A525,'Exetel ExDa'!$C$2:$N$14, 12,FALSE), IFERROR(VLOOKUP($A525,'Infinet ExDa'!$B$2:$E$14, 0,FALSE), "Not Found"))))))))</f>
        <v>Not Found</v>
      </c>
      <c r="L525" s="235" t="str">
        <f>IFERROR(VLOOKUP($A525,'AAPT ExDa'!$B$2:$U$99, 11,FALSE), IFERROR(VLOOKUP($A525,'ABB ExDa'!$A$2:$N$184, 9,FALSE), IFERROR(VLOOKUP($A525,'Vocus SIT ExDa'!$B$2:$J$173, 8,FALSE), IFERROR(VLOOKUP($A525,'Telstra ExDa'!$B$2:$K$310, 0,FALSE), IFERROR(VLOOKUP($A525,'Vocus RVC ExDa'!$C$2:$R$155, 0,FALSE), IFERROR(VLOOKUP($A525,'Fusion ExDa'!$B$2:$D$16, 0,FALSE), IFERROR(VLOOKUP($A525,'Exetel ExDa'!$C$2:$N$14, 9,FALSE), IFERROR(VLOOKUP($A525,'Infinet ExDa'!$B$2:$E$14, 0,FALSE), "Not Found"))))))))</f>
        <v>Not Found</v>
      </c>
      <c r="M525" s="234" t="str">
        <f>IFERROR(VLOOKUP($A525,'AAPT ExDa'!$B$2:$U$99, 0,FALSE), IFERROR(VLOOKUP($A525,'ABB ExDa'!$A$2:$N$184, 0,FALSE), IFERROR(VLOOKUP($A525,'Vocus SIT ExDa'!$B$2:$J$173, 0,FALSE), IFERROR(VLOOKUP($A525,'Telstra ExDa'!$B$2:$K$310, 0,FALSE), IFERROR(VLOOKUP($A525,'Vocus RVC ExDa'!$C$2:$R$155, 0,FALSE), IFERROR(VLOOKUP($A525,'Fusion ExDa'!$B$2:$D$16, 0,FALSE), IFERROR(VLOOKUP($A525,'Exetel ExDa'!$C$2:$N$14, 11,FALSE), IFERROR(VLOOKUP($A525,'Infinet ExDa'!$B$2:$E$14, 0,FALSE), "Not Found"))))))))</f>
        <v>Not Found</v>
      </c>
      <c r="N525" t="str">
        <f>IFERROR(VLOOKUP($A525,'AAPT ExDa'!$B$2:$U$99, 0,FALSE), IFERROR(VLOOKUP($A525,'ABB ExDa'!$A$2:$N$184, 13,FALSE), IFERROR(VLOOKUP($A525,'Vocus SIT ExDa'!$B$2:$J$173, 0,FALSE), IFERROR(VLOOKUP($A525,'Telstra ExDa'!$B$2:$K$310, 0,FALSE), IFERROR(VLOOKUP($A525,'Vocus RVC ExDa'!$C$2:$R$155, 0,FALSE), IFERROR(VLOOKUP($A525,'Fusion ExDa'!$B$2:$D$16, 0,FALSE), IFERROR(VLOOKUP($A525,'Exetel ExDa'!$C$2:$N$14, 0,FALSE), IFERROR(VLOOKUP($A525,'Infinet ExDa'!$B$2:$E$14, 0,FALSE), "Not Found"))))))))</f>
        <v>Not Found</v>
      </c>
    </row>
    <row r="526" spans="1:14">
      <c r="A526" t="str">
        <v>Zambrero Newtown</v>
      </c>
      <c r="B526" t="str">
        <f>IFERROR(VLOOKUP(A526,'Exetel ExDa'!$C$2:$N$14,4,FALSE),"No Data")</f>
        <v>No Data</v>
      </c>
      <c r="C526" t="str">
        <f>IFERROR(VLOOKUP(A526,'AAPT ExDa'!$B$2:$U$99, 2,FALSE), IFERROR(VLOOKUP(A526,'ABB ExDa'!$A$2:$N$184, 2,FALSE), IFERROR(VLOOKUP(A526,'Vocus SIT ExDa'!$B$2:$J$173, 7,FALSE), IFERROR(VLOOKUP(A526,'Telstra ExDa'!$B$2:$K$310, 2,FALSE), IFERROR(VLOOKUP(A526,'Vocus RVC ExDa'!$C$2:$R$155, 3,FALSE), IFERROR(VLOOKUP(A526,'Fusion ExDa'!$B$2:$D$16, 2,FALSE), IFERROR(VLOOKUP(A526,'Exetel ExDa'!$C$2:$N$14, 2,FALSE), IFERROR(VLOOKUP(A526,'Infinet ExDa'!$B$2:$E$14, 2,FALSE), "Not Found"))))))))</f>
        <v>281 King Street, Newtown, NSW 2042</v>
      </c>
      <c r="D526" t="str">
        <f>IFERROR(VLOOKUP($A526,'AAPT ExDa'!$B$2:$U$99, 15,FALSE), IFERROR(VLOOKUP($A526,'ABB ExDa'!$A$2:$N$184, 4,FALSE), IFERROR(VLOOKUP($A526,'Vocus SIT ExDa'!$B$2:$J$173, 5,FALSE), IFERROR(VLOOKUP($A526,'Telstra ExDa'!$B$2:$K$310, 8,FALSE), IFERROR(VLOOKUP($A526,'Vocus RVC ExDa'!$C$2:$R$155, 6,FALSE), IFERROR(VLOOKUP($A526,'Fusion ExDa'!$B$2:$D$16, 4,FALSE), IFERROR(VLOOKUP($A526,'Exetel ExDa'!$C$2:$N$14, 3,FALSE), IFERROR(VLOOKUP($A526,'Infinet ExDa'!$B$2:$E$14, 3,FALSE), "Not Found"))))))))</f>
        <v>Telstra</v>
      </c>
      <c r="E526">
        <f>IFERROR(VLOOKUP($A526,'AAPT ExDa'!$B$2:$U$99, 3,FALSE), IFERROR(VLOOKUP($A526,'ABB ExDa'!$A$2:$N$184, 5,FALSE), IFERROR(VLOOKUP($A526,'Vocus SIT ExDa'!$B$2:$J$173, 2,FALSE), IFERROR(VLOOKUP($A526,'Telstra ExDa'!$B$2:$K$310, 4,FALSE), IFERROR(VLOOKUP($A526,'Vocus RVC ExDa'!$C$2:$R$155, 8,FALSE), IFERROR(VLOOKUP($A526,'Fusion ExDa'!$B$2:$D$16, 4,FALSE), IFERROR(VLOOKUP($A526,'Exetel ExDa'!$C$2:$N$14, 5,FALSE), IFERROR(VLOOKUP($A526,'Infinet ExDa'!$B$2:$E$14, 3,FALSE), "Not Found"))))))))</f>
        <v>0</v>
      </c>
      <c r="F526" t="str">
        <f>IFERROR(VLOOKUP($A526,'AAPT ExDa'!$B$2:$U$99, 4,FALSE), IFERROR(VLOOKUP($A526,'ABB ExDa'!$A$2:$N$184, 6,FALSE), IFERROR(VLOOKUP($A526,'Vocus SIT ExDa'!$B$2:$J$173, 3,FALSE), IFERROR(VLOOKUP($A526,'Telstra ExDa'!$B$2:$K$310, 5,FALSE), IFERROR(VLOOKUP($A526,'Vocus RVC ExDa'!$C$2:$R$155, 9,FALSE), IFERROR(VLOOKUP($A526,'Fusion ExDa'!$B$2:$D$16, 0,FALSE), IFERROR(VLOOKUP($A526,'Exetel ExDa'!$C$2:$N$14, 6,FALSE), IFERROR(VLOOKUP($A526,'Infinet ExDa'!$B$2:$E$14, 0,FALSE), "Not Found"))))))))</f>
        <v>Main Business Number</v>
      </c>
      <c r="G526" t="str">
        <f>IFERROR(VLOOKUP($A526,'AAPT ExDa'!$B$2:$U$99, 5,FALSE), IFERROR(VLOOKUP($A526,'ABB ExDa'!$A$2:$N$184, 8,FALSE), IFERROR(VLOOKUP($A526,'Vocus SIT ExDa'!$B$2:$J$173, 6,FALSE), IFERROR(VLOOKUP($A526,'Telstra ExDa'!$B$2:$K$310, 0,FALSE), IFERROR(VLOOKUP($A526,'Vocus RVC ExDa'!$C$2:$R$155, 15,FALSE), IFERROR(VLOOKUP($A526,'Fusion ExDa'!$B$2:$D$16, 0,FALSE), IFERROR(VLOOKUP($A526,'Exetel ExDa'!$C$2:$N$14, 7,FALSE), IFERROR(VLOOKUP($A526,'Infinet ExDa'!$B$2:$E$14, 0,FALSE), "Not Found"))))))))</f>
        <v>Not Found</v>
      </c>
      <c r="H526" t="str">
        <f>IFERROR(VLOOKUP($A526,'AAPT ExDa'!$B$2:$U$99, 6,FALSE), IFERROR(VLOOKUP($A526,'ABB ExDa'!$A$2:$N$184, 0,FALSE), IFERROR(VLOOKUP($A526,'Vocus SIT ExDa'!$B$2:$J$173, 0,FALSE), IFERROR(VLOOKUP($A526,'Telstra ExDa'!$B$2:$K$310, 0,FALSE), IFERROR(VLOOKUP($A526,'Vocus RVC ExDa'!$C$2:$R$155, 16,FALSE), IFERROR(VLOOKUP($A526,'Fusion ExDa'!$B$2:$D$16, 0,FALSE), IFERROR(VLOOKUP($A526,'Exetel ExDa'!$C$2:$N$14, 0,FALSE), IFERROR(VLOOKUP($A526,'Infinet ExDa'!$B$2:$E$14, 0,FALSE), "Not Found"))))))))</f>
        <v>Not Found</v>
      </c>
      <c r="I526" t="str">
        <f>IFERROR(VLOOKUP($A526,'AAPT ExDa'!$B$2:$U$99, 0,FALSE), IFERROR(VLOOKUP($A526,'ABB ExDa'!$A$2:$N$184, 0,FALSE), IFERROR(VLOOKUP($A526,'Vocus SIT ExDa'!$B$2:$J$173, 0,FALSE), IFERROR(VLOOKUP($A526,'Telstra ExDa'!$B$2:$K$310, 0,FALSE), IFERROR(VLOOKUP($A526,'Vocus RVC ExDa'!$C$2:$R$155, 0,FALSE), IFERROR(VLOOKUP($A526,'Fusion ExDa'!$B$2:$D$16, 0,FALSE), IFERROR(VLOOKUP($A526,'Exetel ExDa'!$C$2:$N$14, 8,FALSE), IFERROR(VLOOKUP($A526,'Infinet ExDa'!$B$2:$E$14, 0,FALSE), "Not Found"))))))))</f>
        <v>Not Found</v>
      </c>
      <c r="J526" t="str">
        <f>IFERROR(VLOOKUP($A526,'AAPT ExDa'!$B$2:$U$99, 7,FALSE), IFERROR(VLOOKUP($A526,'ABB ExDa'!$A$2:$N$184, 2,FALSE), IFERROR(VLOOKUP($A526,'Vocus SIT ExDa'!$B$2:$J$173, 0,FALSE), IFERROR(VLOOKUP($A526,'Telstra ExDa'!$B$2:$K$310, 7,FALSE), IFERROR(VLOOKUP($A526,'Vocus RVC ExDa'!$C$2:$R$155, 2,FALSE), IFERROR(VLOOKUP($A526,'Fusion ExDa'!$B$2:$D$16, 3,FALSE), IFERROR(VLOOKUP($A526,'Exetel ExDa'!$C$2:$N$14, 0,FALSE), IFERROR(VLOOKUP($A526,'Infinet ExDa'!$B$2:$E$14, 0,FALSE), "Not Found"))))))))</f>
        <v>AVC000125042715</v>
      </c>
      <c r="K526" t="str">
        <f>IFERROR(VLOOKUP($A526,'AAPT ExDa'!$B$2:$U$99, 12,FALSE), IFERROR(VLOOKUP($A526,'ABB ExDa'!$A$2:$N$184, 0,FALSE), IFERROR(VLOOKUP($A526,'Vocus SIT ExDa'!$B$2:$J$173, 0,FALSE), IFERROR(VLOOKUP($A526,'Telstra ExDa'!$B$2:$K$310, 0,FALSE), IFERROR(VLOOKUP($A526,'Vocus RVC ExDa'!$C$2:$R$155, 0,FALSE), IFERROR(VLOOKUP($A526,'Fusion ExDa'!$B$2:$D$16, 0,FALSE), IFERROR(VLOOKUP($A526,'Exetel ExDa'!$C$2:$N$14, 12,FALSE), IFERROR(VLOOKUP($A526,'Infinet ExDa'!$B$2:$E$14, 0,FALSE), "Not Found"))))))))</f>
        <v>Not Found</v>
      </c>
      <c r="L526" s="235" t="str">
        <f>IFERROR(VLOOKUP($A526,'AAPT ExDa'!$B$2:$U$99, 11,FALSE), IFERROR(VLOOKUP($A526,'ABB ExDa'!$A$2:$N$184, 9,FALSE), IFERROR(VLOOKUP($A526,'Vocus SIT ExDa'!$B$2:$J$173, 8,FALSE), IFERROR(VLOOKUP($A526,'Telstra ExDa'!$B$2:$K$310, 0,FALSE), IFERROR(VLOOKUP($A526,'Vocus RVC ExDa'!$C$2:$R$155, 0,FALSE), IFERROR(VLOOKUP($A526,'Fusion ExDa'!$B$2:$D$16, 0,FALSE), IFERROR(VLOOKUP($A526,'Exetel ExDa'!$C$2:$N$14, 9,FALSE), IFERROR(VLOOKUP($A526,'Infinet ExDa'!$B$2:$E$14, 0,FALSE), "Not Found"))))))))</f>
        <v>Not Found</v>
      </c>
      <c r="M526" s="234" t="str">
        <f>IFERROR(VLOOKUP($A526,'AAPT ExDa'!$B$2:$U$99, 0,FALSE), IFERROR(VLOOKUP($A526,'ABB ExDa'!$A$2:$N$184, 0,FALSE), IFERROR(VLOOKUP($A526,'Vocus SIT ExDa'!$B$2:$J$173, 0,FALSE), IFERROR(VLOOKUP($A526,'Telstra ExDa'!$B$2:$K$310, 0,FALSE), IFERROR(VLOOKUP($A526,'Vocus RVC ExDa'!$C$2:$R$155, 0,FALSE), IFERROR(VLOOKUP($A526,'Fusion ExDa'!$B$2:$D$16, 0,FALSE), IFERROR(VLOOKUP($A526,'Exetel ExDa'!$C$2:$N$14, 11,FALSE), IFERROR(VLOOKUP($A526,'Infinet ExDa'!$B$2:$E$14, 0,FALSE), "Not Found"))))))))</f>
        <v>Not Found</v>
      </c>
      <c r="N526" t="str">
        <f>IFERROR(VLOOKUP($A526,'AAPT ExDa'!$B$2:$U$99, 0,FALSE), IFERROR(VLOOKUP($A526,'ABB ExDa'!$A$2:$N$184, 13,FALSE), IFERROR(VLOOKUP($A526,'Vocus SIT ExDa'!$B$2:$J$173, 0,FALSE), IFERROR(VLOOKUP($A526,'Telstra ExDa'!$B$2:$K$310, 0,FALSE), IFERROR(VLOOKUP($A526,'Vocus RVC ExDa'!$C$2:$R$155, 0,FALSE), IFERROR(VLOOKUP($A526,'Fusion ExDa'!$B$2:$D$16, 0,FALSE), IFERROR(VLOOKUP($A526,'Exetel ExDa'!$C$2:$N$14, 0,FALSE), IFERROR(VLOOKUP($A526,'Infinet ExDa'!$B$2:$E$14, 0,FALSE), "Not Found"))))))))</f>
        <v>Not Found</v>
      </c>
    </row>
    <row r="527" spans="1:14">
      <c r="A527" t="str">
        <v>Zambrero Geelong West</v>
      </c>
      <c r="B527" t="str">
        <f>IFERROR(VLOOKUP(A527,'Exetel ExDa'!$C$2:$N$14,4,FALSE),"No Data")</f>
        <v>No Data</v>
      </c>
      <c r="C527" t="str">
        <f>IFERROR(VLOOKUP(A527,'AAPT ExDa'!$B$2:$U$99, 2,FALSE), IFERROR(VLOOKUP(A527,'ABB ExDa'!$A$2:$N$184, 2,FALSE), IFERROR(VLOOKUP(A527,'Vocus SIT ExDa'!$B$2:$J$173, 7,FALSE), IFERROR(VLOOKUP(A527,'Telstra ExDa'!$B$2:$K$310, 2,FALSE), IFERROR(VLOOKUP(A527,'Vocus RVC ExDa'!$C$2:$R$155, 3,FALSE), IFERROR(VLOOKUP(A527,'Fusion ExDa'!$B$2:$D$16, 2,FALSE), IFERROR(VLOOKUP(A527,'Exetel ExDa'!$C$2:$N$14, 2,FALSE), IFERROR(VLOOKUP(A527,'Infinet ExDa'!$B$2:$E$14, 2,FALSE), "Not Found"))))))))</f>
        <v>Shop 8, 95-103 Pakington Street, Geelong West, VIC 3218</v>
      </c>
      <c r="D527" t="str">
        <f>IFERROR(VLOOKUP($A527,'AAPT ExDa'!$B$2:$U$99, 15,FALSE), IFERROR(VLOOKUP($A527,'ABB ExDa'!$A$2:$N$184, 4,FALSE), IFERROR(VLOOKUP($A527,'Vocus SIT ExDa'!$B$2:$J$173, 5,FALSE), IFERROR(VLOOKUP($A527,'Telstra ExDa'!$B$2:$K$310, 8,FALSE), IFERROR(VLOOKUP($A527,'Vocus RVC ExDa'!$C$2:$R$155, 6,FALSE), IFERROR(VLOOKUP($A527,'Fusion ExDa'!$B$2:$D$16, 4,FALSE), IFERROR(VLOOKUP($A527,'Exetel ExDa'!$C$2:$N$14, 3,FALSE), IFERROR(VLOOKUP($A527,'Infinet ExDa'!$B$2:$E$14, 3,FALSE), "Not Found"))))))))</f>
        <v>Telstra</v>
      </c>
      <c r="E527">
        <f>IFERROR(VLOOKUP($A527,'AAPT ExDa'!$B$2:$U$99, 3,FALSE), IFERROR(VLOOKUP($A527,'ABB ExDa'!$A$2:$N$184, 5,FALSE), IFERROR(VLOOKUP($A527,'Vocus SIT ExDa'!$B$2:$J$173, 2,FALSE), IFERROR(VLOOKUP($A527,'Telstra ExDa'!$B$2:$K$310, 4,FALSE), IFERROR(VLOOKUP($A527,'Vocus RVC ExDa'!$C$2:$R$155, 8,FALSE), IFERROR(VLOOKUP($A527,'Fusion ExDa'!$B$2:$D$16, 4,FALSE), IFERROR(VLOOKUP($A527,'Exetel ExDa'!$C$2:$N$14, 5,FALSE), IFERROR(VLOOKUP($A527,'Infinet ExDa'!$B$2:$E$14, 3,FALSE), "Not Found"))))))))</f>
        <v>0</v>
      </c>
      <c r="F527" t="str">
        <f>IFERROR(VLOOKUP($A527,'AAPT ExDa'!$B$2:$U$99, 4,FALSE), IFERROR(VLOOKUP($A527,'ABB ExDa'!$A$2:$N$184, 6,FALSE), IFERROR(VLOOKUP($A527,'Vocus SIT ExDa'!$B$2:$J$173, 3,FALSE), IFERROR(VLOOKUP($A527,'Telstra ExDa'!$B$2:$K$310, 5,FALSE), IFERROR(VLOOKUP($A527,'Vocus RVC ExDa'!$C$2:$R$155, 9,FALSE), IFERROR(VLOOKUP($A527,'Fusion ExDa'!$B$2:$D$16, 0,FALSE), IFERROR(VLOOKUP($A527,'Exetel ExDa'!$C$2:$N$14, 6,FALSE), IFERROR(VLOOKUP($A527,'Infinet ExDa'!$B$2:$E$14, 0,FALSE), "Not Found"))))))))</f>
        <v>Unlimited Business Internet</v>
      </c>
      <c r="G527" t="str">
        <f>IFERROR(VLOOKUP($A527,'AAPT ExDa'!$B$2:$U$99, 5,FALSE), IFERROR(VLOOKUP($A527,'ABB ExDa'!$A$2:$N$184, 8,FALSE), IFERROR(VLOOKUP($A527,'Vocus SIT ExDa'!$B$2:$J$173, 6,FALSE), IFERROR(VLOOKUP($A527,'Telstra ExDa'!$B$2:$K$310, 0,FALSE), IFERROR(VLOOKUP($A527,'Vocus RVC ExDa'!$C$2:$R$155, 15,FALSE), IFERROR(VLOOKUP($A527,'Fusion ExDa'!$B$2:$D$16, 0,FALSE), IFERROR(VLOOKUP($A527,'Exetel ExDa'!$C$2:$N$14, 7,FALSE), IFERROR(VLOOKUP($A527,'Infinet ExDa'!$B$2:$E$14, 0,FALSE), "Not Found"))))))))</f>
        <v>Not Found</v>
      </c>
      <c r="H527" t="str">
        <f>IFERROR(VLOOKUP($A527,'AAPT ExDa'!$B$2:$U$99, 6,FALSE), IFERROR(VLOOKUP($A527,'ABB ExDa'!$A$2:$N$184, 0,FALSE), IFERROR(VLOOKUP($A527,'Vocus SIT ExDa'!$B$2:$J$173, 0,FALSE), IFERROR(VLOOKUP($A527,'Telstra ExDa'!$B$2:$K$310, 0,FALSE), IFERROR(VLOOKUP($A527,'Vocus RVC ExDa'!$C$2:$R$155, 16,FALSE), IFERROR(VLOOKUP($A527,'Fusion ExDa'!$B$2:$D$16, 0,FALSE), IFERROR(VLOOKUP($A527,'Exetel ExDa'!$C$2:$N$14, 0,FALSE), IFERROR(VLOOKUP($A527,'Infinet ExDa'!$B$2:$E$14, 0,FALSE), "Not Found"))))))))</f>
        <v>Not Found</v>
      </c>
      <c r="I527" t="str">
        <f>IFERROR(VLOOKUP($A527,'AAPT ExDa'!$B$2:$U$99, 0,FALSE), IFERROR(VLOOKUP($A527,'ABB ExDa'!$A$2:$N$184, 0,FALSE), IFERROR(VLOOKUP($A527,'Vocus SIT ExDa'!$B$2:$J$173, 0,FALSE), IFERROR(VLOOKUP($A527,'Telstra ExDa'!$B$2:$K$310, 0,FALSE), IFERROR(VLOOKUP($A527,'Vocus RVC ExDa'!$C$2:$R$155, 0,FALSE), IFERROR(VLOOKUP($A527,'Fusion ExDa'!$B$2:$D$16, 0,FALSE), IFERROR(VLOOKUP($A527,'Exetel ExDa'!$C$2:$N$14, 8,FALSE), IFERROR(VLOOKUP($A527,'Infinet ExDa'!$B$2:$E$14, 0,FALSE), "Not Found"))))))))</f>
        <v>Not Found</v>
      </c>
      <c r="J527" t="str">
        <f>IFERROR(VLOOKUP($A527,'AAPT ExDa'!$B$2:$U$99, 7,FALSE), IFERROR(VLOOKUP($A527,'ABB ExDa'!$A$2:$N$184, 2,FALSE), IFERROR(VLOOKUP($A527,'Vocus SIT ExDa'!$B$2:$J$173, 0,FALSE), IFERROR(VLOOKUP($A527,'Telstra ExDa'!$B$2:$K$310, 7,FALSE), IFERROR(VLOOKUP($A527,'Vocus RVC ExDa'!$C$2:$R$155, 2,FALSE), IFERROR(VLOOKUP($A527,'Fusion ExDa'!$B$2:$D$16, 3,FALSE), IFERROR(VLOOKUP($A527,'Exetel ExDa'!$C$2:$N$14, 0,FALSE), IFERROR(VLOOKUP($A527,'Infinet ExDa'!$B$2:$E$14, 0,FALSE), "Not Found"))))))))</f>
        <v xml:space="preserve">AVC000129630844 </v>
      </c>
      <c r="K527" t="str">
        <f>IFERROR(VLOOKUP($A527,'AAPT ExDa'!$B$2:$U$99, 12,FALSE), IFERROR(VLOOKUP($A527,'ABB ExDa'!$A$2:$N$184, 0,FALSE), IFERROR(VLOOKUP($A527,'Vocus SIT ExDa'!$B$2:$J$173, 0,FALSE), IFERROR(VLOOKUP($A527,'Telstra ExDa'!$B$2:$K$310, 0,FALSE), IFERROR(VLOOKUP($A527,'Vocus RVC ExDa'!$C$2:$R$155, 0,FALSE), IFERROR(VLOOKUP($A527,'Fusion ExDa'!$B$2:$D$16, 0,FALSE), IFERROR(VLOOKUP($A527,'Exetel ExDa'!$C$2:$N$14, 12,FALSE), IFERROR(VLOOKUP($A527,'Infinet ExDa'!$B$2:$E$14, 0,FALSE), "Not Found"))))))))</f>
        <v>Not Found</v>
      </c>
      <c r="L527" s="235" t="str">
        <f>IFERROR(VLOOKUP($A527,'AAPT ExDa'!$B$2:$U$99, 11,FALSE), IFERROR(VLOOKUP($A527,'ABB ExDa'!$A$2:$N$184, 9,FALSE), IFERROR(VLOOKUP($A527,'Vocus SIT ExDa'!$B$2:$J$173, 8,FALSE), IFERROR(VLOOKUP($A527,'Telstra ExDa'!$B$2:$K$310, 0,FALSE), IFERROR(VLOOKUP($A527,'Vocus RVC ExDa'!$C$2:$R$155, 0,FALSE), IFERROR(VLOOKUP($A527,'Fusion ExDa'!$B$2:$D$16, 0,FALSE), IFERROR(VLOOKUP($A527,'Exetel ExDa'!$C$2:$N$14, 9,FALSE), IFERROR(VLOOKUP($A527,'Infinet ExDa'!$B$2:$E$14, 0,FALSE), "Not Found"))))))))</f>
        <v>Not Found</v>
      </c>
      <c r="M527" s="234" t="str">
        <f>IFERROR(VLOOKUP($A527,'AAPT ExDa'!$B$2:$U$99, 0,FALSE), IFERROR(VLOOKUP($A527,'ABB ExDa'!$A$2:$N$184, 0,FALSE), IFERROR(VLOOKUP($A527,'Vocus SIT ExDa'!$B$2:$J$173, 0,FALSE), IFERROR(VLOOKUP($A527,'Telstra ExDa'!$B$2:$K$310, 0,FALSE), IFERROR(VLOOKUP($A527,'Vocus RVC ExDa'!$C$2:$R$155, 0,FALSE), IFERROR(VLOOKUP($A527,'Fusion ExDa'!$B$2:$D$16, 0,FALSE), IFERROR(VLOOKUP($A527,'Exetel ExDa'!$C$2:$N$14, 11,FALSE), IFERROR(VLOOKUP($A527,'Infinet ExDa'!$B$2:$E$14, 0,FALSE), "Not Found"))))))))</f>
        <v>Not Found</v>
      </c>
      <c r="N527" t="str">
        <f>IFERROR(VLOOKUP($A527,'AAPT ExDa'!$B$2:$U$99, 0,FALSE), IFERROR(VLOOKUP($A527,'ABB ExDa'!$A$2:$N$184, 13,FALSE), IFERROR(VLOOKUP($A527,'Vocus SIT ExDa'!$B$2:$J$173, 0,FALSE), IFERROR(VLOOKUP($A527,'Telstra ExDa'!$B$2:$K$310, 0,FALSE), IFERROR(VLOOKUP($A527,'Vocus RVC ExDa'!$C$2:$R$155, 0,FALSE), IFERROR(VLOOKUP($A527,'Fusion ExDa'!$B$2:$D$16, 0,FALSE), IFERROR(VLOOKUP($A527,'Exetel ExDa'!$C$2:$N$14, 0,FALSE), IFERROR(VLOOKUP($A527,'Infinet ExDa'!$B$2:$E$14, 0,FALSE), "Not Found"))))))))</f>
        <v>Not Found</v>
      </c>
    </row>
    <row r="528" spans="1:14">
      <c r="A528" t="str">
        <v>Zambrero Coolangatta</v>
      </c>
      <c r="B528" t="str">
        <f>IFERROR(VLOOKUP(A528,'Exetel ExDa'!$C$2:$N$14,4,FALSE),"No Data")</f>
        <v>No Data</v>
      </c>
      <c r="C528" t="str">
        <f>IFERROR(VLOOKUP(A528,'AAPT ExDa'!$B$2:$U$99, 2,FALSE), IFERROR(VLOOKUP(A528,'ABB ExDa'!$A$2:$N$184, 2,FALSE), IFERROR(VLOOKUP(A528,'Vocus SIT ExDa'!$B$2:$J$173, 7,FALSE), IFERROR(VLOOKUP(A528,'Telstra ExDa'!$B$2:$K$310, 2,FALSE), IFERROR(VLOOKUP(A528,'Vocus RVC ExDa'!$C$2:$R$155, 3,FALSE), IFERROR(VLOOKUP(A528,'Fusion ExDa'!$B$2:$D$16, 2,FALSE), IFERROR(VLOOKUP(A528,'Exetel ExDa'!$C$2:$N$14, 2,FALSE), IFERROR(VLOOKUP(A528,'Infinet ExDa'!$B$2:$E$14, 2,FALSE), "Not Found"))))))))</f>
        <v>Unit 1, 56 Griffith St, Coolangatta, QLD</v>
      </c>
      <c r="D528" t="str">
        <f>IFERROR(VLOOKUP($A528,'AAPT ExDa'!$B$2:$U$99, 15,FALSE), IFERROR(VLOOKUP($A528,'ABB ExDa'!$A$2:$N$184, 4,FALSE), IFERROR(VLOOKUP($A528,'Vocus SIT ExDa'!$B$2:$J$173, 5,FALSE), IFERROR(VLOOKUP($A528,'Telstra ExDa'!$B$2:$K$310, 8,FALSE), IFERROR(VLOOKUP($A528,'Vocus RVC ExDa'!$C$2:$R$155, 6,FALSE), IFERROR(VLOOKUP($A528,'Fusion ExDa'!$B$2:$D$16, 4,FALSE), IFERROR(VLOOKUP($A528,'Exetel ExDa'!$C$2:$N$14, 3,FALSE), IFERROR(VLOOKUP($A528,'Infinet ExDa'!$B$2:$E$14, 3,FALSE), "Not Found"))))))))</f>
        <v>Telstra</v>
      </c>
      <c r="E528">
        <f>IFERROR(VLOOKUP($A528,'AAPT ExDa'!$B$2:$U$99, 3,FALSE), IFERROR(VLOOKUP($A528,'ABB ExDa'!$A$2:$N$184, 5,FALSE), IFERROR(VLOOKUP($A528,'Vocus SIT ExDa'!$B$2:$J$173, 2,FALSE), IFERROR(VLOOKUP($A528,'Telstra ExDa'!$B$2:$K$310, 4,FALSE), IFERROR(VLOOKUP($A528,'Vocus RVC ExDa'!$C$2:$R$155, 8,FALSE), IFERROR(VLOOKUP($A528,'Fusion ExDa'!$B$2:$D$16, 4,FALSE), IFERROR(VLOOKUP($A528,'Exetel ExDa'!$C$2:$N$14, 5,FALSE), IFERROR(VLOOKUP($A528,'Infinet ExDa'!$B$2:$E$14, 3,FALSE), "Not Found"))))))))</f>
        <v>0</v>
      </c>
      <c r="F528" t="str">
        <f>IFERROR(VLOOKUP($A528,'AAPT ExDa'!$B$2:$U$99, 4,FALSE), IFERROR(VLOOKUP($A528,'ABB ExDa'!$A$2:$N$184, 6,FALSE), IFERROR(VLOOKUP($A528,'Vocus SIT ExDa'!$B$2:$J$173, 3,FALSE), IFERROR(VLOOKUP($A528,'Telstra ExDa'!$B$2:$K$310, 5,FALSE), IFERROR(VLOOKUP($A528,'Vocus RVC ExDa'!$C$2:$R$155, 9,FALSE), IFERROR(VLOOKUP($A528,'Fusion ExDa'!$B$2:$D$16, 0,FALSE), IFERROR(VLOOKUP($A528,'Exetel ExDa'!$C$2:$N$14, 6,FALSE), IFERROR(VLOOKUP($A528,'Infinet ExDa'!$B$2:$E$14, 0,FALSE), "Not Found"))))))))</f>
        <v>Main Business Number</v>
      </c>
      <c r="G528">
        <f>IFERROR(VLOOKUP($A528,'AAPT ExDa'!$B$2:$U$99, 5,FALSE), IFERROR(VLOOKUP($A528,'ABB ExDa'!$A$2:$N$184, 8,FALSE), IFERROR(VLOOKUP($A528,'Vocus SIT ExDa'!$B$2:$J$173, 6,FALSE), IFERROR(VLOOKUP($A528,'Telstra ExDa'!$B$2:$K$310, 0,FALSE), IFERROR(VLOOKUP($A528,'Vocus RVC ExDa'!$C$2:$R$155, 15,FALSE), IFERROR(VLOOKUP($A528,'Fusion ExDa'!$B$2:$D$16, 0,FALSE), IFERROR(VLOOKUP($A528,'Exetel ExDa'!$C$2:$N$14, 7,FALSE), IFERROR(VLOOKUP($A528,'Infinet ExDa'!$B$2:$E$14, 0,FALSE), "Not Found"))))))))</f>
        <v>0</v>
      </c>
      <c r="H528">
        <f>IFERROR(VLOOKUP($A528,'AAPT ExDa'!$B$2:$U$99, 6,FALSE), IFERROR(VLOOKUP($A528,'ABB ExDa'!$A$2:$N$184, 0,FALSE), IFERROR(VLOOKUP($A528,'Vocus SIT ExDa'!$B$2:$J$173, 0,FALSE), IFERROR(VLOOKUP($A528,'Telstra ExDa'!$B$2:$K$310, 0,FALSE), IFERROR(VLOOKUP($A528,'Vocus RVC ExDa'!$C$2:$R$155, 16,FALSE), IFERROR(VLOOKUP($A528,'Fusion ExDa'!$B$2:$D$16, 0,FALSE), IFERROR(VLOOKUP($A528,'Exetel ExDa'!$C$2:$N$14, 0,FALSE), IFERROR(VLOOKUP($A528,'Infinet ExDa'!$B$2:$E$14, 0,FALSE), "Not Found"))))))))</f>
        <v>0</v>
      </c>
      <c r="I528" t="str">
        <f>IFERROR(VLOOKUP($A528,'AAPT ExDa'!$B$2:$U$99, 0,FALSE), IFERROR(VLOOKUP($A528,'ABB ExDa'!$A$2:$N$184, 0,FALSE), IFERROR(VLOOKUP($A528,'Vocus SIT ExDa'!$B$2:$J$173, 0,FALSE), IFERROR(VLOOKUP($A528,'Telstra ExDa'!$B$2:$K$310, 0,FALSE), IFERROR(VLOOKUP($A528,'Vocus RVC ExDa'!$C$2:$R$155, 0,FALSE), IFERROR(VLOOKUP($A528,'Fusion ExDa'!$B$2:$D$16, 0,FALSE), IFERROR(VLOOKUP($A528,'Exetel ExDa'!$C$2:$N$14, 8,FALSE), IFERROR(VLOOKUP($A528,'Infinet ExDa'!$B$2:$E$14, 0,FALSE), "Not Found"))))))))</f>
        <v>Not Found</v>
      </c>
      <c r="J528" t="str">
        <f>IFERROR(VLOOKUP($A528,'AAPT ExDa'!$B$2:$U$99, 7,FALSE), IFERROR(VLOOKUP($A528,'ABB ExDa'!$A$2:$N$184, 2,FALSE), IFERROR(VLOOKUP($A528,'Vocus SIT ExDa'!$B$2:$J$173, 0,FALSE), IFERROR(VLOOKUP($A528,'Telstra ExDa'!$B$2:$K$310, 7,FALSE), IFERROR(VLOOKUP($A528,'Vocus RVC ExDa'!$C$2:$R$155, 2,FALSE), IFERROR(VLOOKUP($A528,'Fusion ExDa'!$B$2:$D$16, 3,FALSE), IFERROR(VLOOKUP($A528,'Exetel ExDa'!$C$2:$N$14, 0,FALSE), IFERROR(VLOOKUP($A528,'Infinet ExDa'!$B$2:$E$14, 0,FALSE), "Not Found"))))))))</f>
        <v xml:space="preserve">AVC000037209743 </v>
      </c>
      <c r="K528" t="str">
        <f>IFERROR(VLOOKUP($A528,'AAPT ExDa'!$B$2:$U$99, 12,FALSE), IFERROR(VLOOKUP($A528,'ABB ExDa'!$A$2:$N$184, 0,FALSE), IFERROR(VLOOKUP($A528,'Vocus SIT ExDa'!$B$2:$J$173, 0,FALSE), IFERROR(VLOOKUP($A528,'Telstra ExDa'!$B$2:$K$310, 0,FALSE), IFERROR(VLOOKUP($A528,'Vocus RVC ExDa'!$C$2:$R$155, 0,FALSE), IFERROR(VLOOKUP($A528,'Fusion ExDa'!$B$2:$D$16, 0,FALSE), IFERROR(VLOOKUP($A528,'Exetel ExDa'!$C$2:$N$14, 12,FALSE), IFERROR(VLOOKUP($A528,'Infinet ExDa'!$B$2:$E$14, 0,FALSE), "Not Found"))))))))</f>
        <v>Not Found</v>
      </c>
      <c r="L528" s="235" t="str">
        <f>IFERROR(VLOOKUP($A528,'AAPT ExDa'!$B$2:$U$99, 11,FALSE), IFERROR(VLOOKUP($A528,'ABB ExDa'!$A$2:$N$184, 9,FALSE), IFERROR(VLOOKUP($A528,'Vocus SIT ExDa'!$B$2:$J$173, 8,FALSE), IFERROR(VLOOKUP($A528,'Telstra ExDa'!$B$2:$K$310, 0,FALSE), IFERROR(VLOOKUP($A528,'Vocus RVC ExDa'!$C$2:$R$155, 0,FALSE), IFERROR(VLOOKUP($A528,'Fusion ExDa'!$B$2:$D$16, 0,FALSE), IFERROR(VLOOKUP($A528,'Exetel ExDa'!$C$2:$N$14, 9,FALSE), IFERROR(VLOOKUP($A528,'Infinet ExDa'!$B$2:$E$14, 0,FALSE), "Not Found"))))))))</f>
        <v>Not Found</v>
      </c>
      <c r="M528" s="234" t="str">
        <f>IFERROR(VLOOKUP($A528,'AAPT ExDa'!$B$2:$U$99, 0,FALSE), IFERROR(VLOOKUP($A528,'ABB ExDa'!$A$2:$N$184, 0,FALSE), IFERROR(VLOOKUP($A528,'Vocus SIT ExDa'!$B$2:$J$173, 0,FALSE), IFERROR(VLOOKUP($A528,'Telstra ExDa'!$B$2:$K$310, 0,FALSE), IFERROR(VLOOKUP($A528,'Vocus RVC ExDa'!$C$2:$R$155, 0,FALSE), IFERROR(VLOOKUP($A528,'Fusion ExDa'!$B$2:$D$16, 0,FALSE), IFERROR(VLOOKUP($A528,'Exetel ExDa'!$C$2:$N$14, 11,FALSE), IFERROR(VLOOKUP($A528,'Infinet ExDa'!$B$2:$E$14, 0,FALSE), "Not Found"))))))))</f>
        <v>Not Found</v>
      </c>
      <c r="N528" t="str">
        <f>IFERROR(VLOOKUP($A528,'AAPT ExDa'!$B$2:$U$99, 0,FALSE), IFERROR(VLOOKUP($A528,'ABB ExDa'!$A$2:$N$184, 13,FALSE), IFERROR(VLOOKUP($A528,'Vocus SIT ExDa'!$B$2:$J$173, 0,FALSE), IFERROR(VLOOKUP($A528,'Telstra ExDa'!$B$2:$K$310, 0,FALSE), IFERROR(VLOOKUP($A528,'Vocus RVC ExDa'!$C$2:$R$155, 0,FALSE), IFERROR(VLOOKUP($A528,'Fusion ExDa'!$B$2:$D$16, 0,FALSE), IFERROR(VLOOKUP($A528,'Exetel ExDa'!$C$2:$N$14, 0,FALSE), IFERROR(VLOOKUP($A528,'Infinet ExDa'!$B$2:$E$14, 0,FALSE), "Not Found"))))))))</f>
        <v>Not Found</v>
      </c>
    </row>
    <row r="529" spans="1:14">
      <c r="A529" t="str">
        <v>Zambrero Nerang</v>
      </c>
      <c r="B529" t="str">
        <f>IFERROR(VLOOKUP(A529,'Exetel ExDa'!$C$2:$N$14,4,FALSE),"No Data")</f>
        <v>No Data</v>
      </c>
      <c r="C529" t="str">
        <f>IFERROR(VLOOKUP(A529,'AAPT ExDa'!$B$2:$U$99, 2,FALSE), IFERROR(VLOOKUP(A529,'ABB ExDa'!$A$2:$N$184, 2,FALSE), IFERROR(VLOOKUP(A529,'Vocus SIT ExDa'!$B$2:$J$173, 7,FALSE), IFERROR(VLOOKUP(A529,'Telstra ExDa'!$B$2:$K$310, 2,FALSE), IFERROR(VLOOKUP(A529,'Vocus RVC ExDa'!$C$2:$R$155, 3,FALSE), IFERROR(VLOOKUP(A529,'Fusion ExDa'!$B$2:$D$16, 2,FALSE), IFERROR(VLOOKUP(A529,'Exetel ExDa'!$C$2:$N$14, 2,FALSE), IFERROR(VLOOKUP(A529,'Infinet ExDa'!$B$2:$E$14, 2,FALSE), "Not Found"))))))))</f>
        <v>Unit 3, Lot 0, 2-10 Riverview Road, Nerang, QLD 4211</v>
      </c>
      <c r="D529" t="str">
        <f>IFERROR(VLOOKUP($A529,'AAPT ExDa'!$B$2:$U$99, 15,FALSE), IFERROR(VLOOKUP($A529,'ABB ExDa'!$A$2:$N$184, 4,FALSE), IFERROR(VLOOKUP($A529,'Vocus SIT ExDa'!$B$2:$J$173, 5,FALSE), IFERROR(VLOOKUP($A529,'Telstra ExDa'!$B$2:$K$310, 8,FALSE), IFERROR(VLOOKUP($A529,'Vocus RVC ExDa'!$C$2:$R$155, 6,FALSE), IFERROR(VLOOKUP($A529,'Fusion ExDa'!$B$2:$D$16, 4,FALSE), IFERROR(VLOOKUP($A529,'Exetel ExDa'!$C$2:$N$14, 3,FALSE), IFERROR(VLOOKUP($A529,'Infinet ExDa'!$B$2:$E$14, 3,FALSE), "Not Found"))))))))</f>
        <v>Telstra</v>
      </c>
      <c r="E529">
        <f>IFERROR(VLOOKUP($A529,'AAPT ExDa'!$B$2:$U$99, 3,FALSE), IFERROR(VLOOKUP($A529,'ABB ExDa'!$A$2:$N$184, 5,FALSE), IFERROR(VLOOKUP($A529,'Vocus SIT ExDa'!$B$2:$J$173, 2,FALSE), IFERROR(VLOOKUP($A529,'Telstra ExDa'!$B$2:$K$310, 4,FALSE), IFERROR(VLOOKUP($A529,'Vocus RVC ExDa'!$C$2:$R$155, 8,FALSE), IFERROR(VLOOKUP($A529,'Fusion ExDa'!$B$2:$D$16, 4,FALSE), IFERROR(VLOOKUP($A529,'Exetel ExDa'!$C$2:$N$14, 5,FALSE), IFERROR(VLOOKUP($A529,'Infinet ExDa'!$B$2:$E$14, 3,FALSE), "Not Found"))))))))</f>
        <v>0</v>
      </c>
      <c r="F529" t="str">
        <f>IFERROR(VLOOKUP($A529,'AAPT ExDa'!$B$2:$U$99, 4,FALSE), IFERROR(VLOOKUP($A529,'ABB ExDa'!$A$2:$N$184, 6,FALSE), IFERROR(VLOOKUP($A529,'Vocus SIT ExDa'!$B$2:$J$173, 3,FALSE), IFERROR(VLOOKUP($A529,'Telstra ExDa'!$B$2:$K$310, 5,FALSE), IFERROR(VLOOKUP($A529,'Vocus RVC ExDa'!$C$2:$R$155, 9,FALSE), IFERROR(VLOOKUP($A529,'Fusion ExDa'!$B$2:$D$16, 0,FALSE), IFERROR(VLOOKUP($A529,'Exetel ExDa'!$C$2:$N$14, 6,FALSE), IFERROR(VLOOKUP($A529,'Infinet ExDa'!$B$2:$E$14, 0,FALSE), "Not Found"))))))))</f>
        <v>Unlimited Business Internet</v>
      </c>
      <c r="G529" t="str">
        <f>IFERROR(VLOOKUP($A529,'AAPT ExDa'!$B$2:$U$99, 5,FALSE), IFERROR(VLOOKUP($A529,'ABB ExDa'!$A$2:$N$184, 8,FALSE), IFERROR(VLOOKUP($A529,'Vocus SIT ExDa'!$B$2:$J$173, 6,FALSE), IFERROR(VLOOKUP($A529,'Telstra ExDa'!$B$2:$K$310, 0,FALSE), IFERROR(VLOOKUP($A529,'Vocus RVC ExDa'!$C$2:$R$155, 15,FALSE), IFERROR(VLOOKUP($A529,'Fusion ExDa'!$B$2:$D$16, 0,FALSE), IFERROR(VLOOKUP($A529,'Exetel ExDa'!$C$2:$N$14, 7,FALSE), IFERROR(VLOOKUP($A529,'Infinet ExDa'!$B$2:$E$14, 0,FALSE), "Not Found"))))))))</f>
        <v>Not Found</v>
      </c>
      <c r="H529" t="str">
        <f>IFERROR(VLOOKUP($A529,'AAPT ExDa'!$B$2:$U$99, 6,FALSE), IFERROR(VLOOKUP($A529,'ABB ExDa'!$A$2:$N$184, 0,FALSE), IFERROR(VLOOKUP($A529,'Vocus SIT ExDa'!$B$2:$J$173, 0,FALSE), IFERROR(VLOOKUP($A529,'Telstra ExDa'!$B$2:$K$310, 0,FALSE), IFERROR(VLOOKUP($A529,'Vocus RVC ExDa'!$C$2:$R$155, 16,FALSE), IFERROR(VLOOKUP($A529,'Fusion ExDa'!$B$2:$D$16, 0,FALSE), IFERROR(VLOOKUP($A529,'Exetel ExDa'!$C$2:$N$14, 0,FALSE), IFERROR(VLOOKUP($A529,'Infinet ExDa'!$B$2:$E$14, 0,FALSE), "Not Found"))))))))</f>
        <v>Not Found</v>
      </c>
      <c r="I529" t="str">
        <f>IFERROR(VLOOKUP($A529,'AAPT ExDa'!$B$2:$U$99, 0,FALSE), IFERROR(VLOOKUP($A529,'ABB ExDa'!$A$2:$N$184, 0,FALSE), IFERROR(VLOOKUP($A529,'Vocus SIT ExDa'!$B$2:$J$173, 0,FALSE), IFERROR(VLOOKUP($A529,'Telstra ExDa'!$B$2:$K$310, 0,FALSE), IFERROR(VLOOKUP($A529,'Vocus RVC ExDa'!$C$2:$R$155, 0,FALSE), IFERROR(VLOOKUP($A529,'Fusion ExDa'!$B$2:$D$16, 0,FALSE), IFERROR(VLOOKUP($A529,'Exetel ExDa'!$C$2:$N$14, 8,FALSE), IFERROR(VLOOKUP($A529,'Infinet ExDa'!$B$2:$E$14, 0,FALSE), "Not Found"))))))))</f>
        <v>Not Found</v>
      </c>
      <c r="J529" t="str">
        <f>IFERROR(VLOOKUP($A529,'AAPT ExDa'!$B$2:$U$99, 7,FALSE), IFERROR(VLOOKUP($A529,'ABB ExDa'!$A$2:$N$184, 2,FALSE), IFERROR(VLOOKUP($A529,'Vocus SIT ExDa'!$B$2:$J$173, 0,FALSE), IFERROR(VLOOKUP($A529,'Telstra ExDa'!$B$2:$K$310, 7,FALSE), IFERROR(VLOOKUP($A529,'Vocus RVC ExDa'!$C$2:$R$155, 2,FALSE), IFERROR(VLOOKUP($A529,'Fusion ExDa'!$B$2:$D$16, 3,FALSE), IFERROR(VLOOKUP($A529,'Exetel ExDa'!$C$2:$N$14, 0,FALSE), IFERROR(VLOOKUP($A529,'Infinet ExDa'!$B$2:$E$14, 0,FALSE), "Not Found"))))))))</f>
        <v>AVC400032011362</v>
      </c>
      <c r="K529" t="str">
        <f>IFERROR(VLOOKUP($A529,'AAPT ExDa'!$B$2:$U$99, 12,FALSE), IFERROR(VLOOKUP($A529,'ABB ExDa'!$A$2:$N$184, 0,FALSE), IFERROR(VLOOKUP($A529,'Vocus SIT ExDa'!$B$2:$J$173, 0,FALSE), IFERROR(VLOOKUP($A529,'Telstra ExDa'!$B$2:$K$310, 0,FALSE), IFERROR(VLOOKUP($A529,'Vocus RVC ExDa'!$C$2:$R$155, 0,FALSE), IFERROR(VLOOKUP($A529,'Fusion ExDa'!$B$2:$D$16, 0,FALSE), IFERROR(VLOOKUP($A529,'Exetel ExDa'!$C$2:$N$14, 12,FALSE), IFERROR(VLOOKUP($A529,'Infinet ExDa'!$B$2:$E$14, 0,FALSE), "Not Found"))))))))</f>
        <v>Not Found</v>
      </c>
      <c r="L529" s="235" t="str">
        <f>IFERROR(VLOOKUP($A529,'AAPT ExDa'!$B$2:$U$99, 11,FALSE), IFERROR(VLOOKUP($A529,'ABB ExDa'!$A$2:$N$184, 9,FALSE), IFERROR(VLOOKUP($A529,'Vocus SIT ExDa'!$B$2:$J$173, 8,FALSE), IFERROR(VLOOKUP($A529,'Telstra ExDa'!$B$2:$K$310, 0,FALSE), IFERROR(VLOOKUP($A529,'Vocus RVC ExDa'!$C$2:$R$155, 0,FALSE), IFERROR(VLOOKUP($A529,'Fusion ExDa'!$B$2:$D$16, 0,FALSE), IFERROR(VLOOKUP($A529,'Exetel ExDa'!$C$2:$N$14, 9,FALSE), IFERROR(VLOOKUP($A529,'Infinet ExDa'!$B$2:$E$14, 0,FALSE), "Not Found"))))))))</f>
        <v>Not Found</v>
      </c>
      <c r="M529" s="234" t="str">
        <f>IFERROR(VLOOKUP($A529,'AAPT ExDa'!$B$2:$U$99, 0,FALSE), IFERROR(VLOOKUP($A529,'ABB ExDa'!$A$2:$N$184, 0,FALSE), IFERROR(VLOOKUP($A529,'Vocus SIT ExDa'!$B$2:$J$173, 0,FALSE), IFERROR(VLOOKUP($A529,'Telstra ExDa'!$B$2:$K$310, 0,FALSE), IFERROR(VLOOKUP($A529,'Vocus RVC ExDa'!$C$2:$R$155, 0,FALSE), IFERROR(VLOOKUP($A529,'Fusion ExDa'!$B$2:$D$16, 0,FALSE), IFERROR(VLOOKUP($A529,'Exetel ExDa'!$C$2:$N$14, 11,FALSE), IFERROR(VLOOKUP($A529,'Infinet ExDa'!$B$2:$E$14, 0,FALSE), "Not Found"))))))))</f>
        <v>Not Found</v>
      </c>
      <c r="N529" t="str">
        <f>IFERROR(VLOOKUP($A529,'AAPT ExDa'!$B$2:$U$99, 0,FALSE), IFERROR(VLOOKUP($A529,'ABB ExDa'!$A$2:$N$184, 13,FALSE), IFERROR(VLOOKUP($A529,'Vocus SIT ExDa'!$B$2:$J$173, 0,FALSE), IFERROR(VLOOKUP($A529,'Telstra ExDa'!$B$2:$K$310, 0,FALSE), IFERROR(VLOOKUP($A529,'Vocus RVC ExDa'!$C$2:$R$155, 0,FALSE), IFERROR(VLOOKUP($A529,'Fusion ExDa'!$B$2:$D$16, 0,FALSE), IFERROR(VLOOKUP($A529,'Exetel ExDa'!$C$2:$N$14, 0,FALSE), IFERROR(VLOOKUP($A529,'Infinet ExDa'!$B$2:$E$14, 0,FALSE), "Not Found"))))))))</f>
        <v>Not Found</v>
      </c>
    </row>
    <row r="530" spans="1:14">
      <c r="A530" t="str">
        <v>Zambrero South Hedland</v>
      </c>
      <c r="B530" t="str">
        <f>IFERROR(VLOOKUP(A530,'Exetel ExDa'!$C$2:$N$14,4,FALSE),"No Data")</f>
        <v>No Data</v>
      </c>
      <c r="C530" t="str">
        <f>IFERROR(VLOOKUP(A530,'AAPT ExDa'!$B$2:$U$99, 2,FALSE), IFERROR(VLOOKUP(A530,'ABB ExDa'!$A$2:$N$184, 2,FALSE), IFERROR(VLOOKUP(A530,'Vocus SIT ExDa'!$B$2:$J$173, 7,FALSE), IFERROR(VLOOKUP(A530,'Telstra ExDa'!$B$2:$K$310, 2,FALSE), IFERROR(VLOOKUP(A530,'Vocus RVC ExDa'!$C$2:$R$155, 3,FALSE), IFERROR(VLOOKUP(A530,'Fusion ExDa'!$B$2:$D$16, 2,FALSE), IFERROR(VLOOKUP(A530,'Exetel ExDa'!$C$2:$N$14, 2,FALSE), IFERROR(VLOOKUP(A530,'Infinet ExDa'!$B$2:$E$14, 2,FALSE), "Not Found"))))))))</f>
        <v>SOUTH HEDLAND SHOPPING CENTRE, BG 1, G, SHOP E6A, SOUTH HEDLAND WA 6722</v>
      </c>
      <c r="D530" t="str">
        <f>IFERROR(VLOOKUP($A530,'AAPT ExDa'!$B$2:$U$99, 15,FALSE), IFERROR(VLOOKUP($A530,'ABB ExDa'!$A$2:$N$184, 4,FALSE), IFERROR(VLOOKUP($A530,'Vocus SIT ExDa'!$B$2:$J$173, 5,FALSE), IFERROR(VLOOKUP($A530,'Telstra ExDa'!$B$2:$K$310, 8,FALSE), IFERROR(VLOOKUP($A530,'Vocus RVC ExDa'!$C$2:$R$155, 6,FALSE), IFERROR(VLOOKUP($A530,'Fusion ExDa'!$B$2:$D$16, 4,FALSE), IFERROR(VLOOKUP($A530,'Exetel ExDa'!$C$2:$N$14, 3,FALSE), IFERROR(VLOOKUP($A530,'Infinet ExDa'!$B$2:$E$14, 3,FALSE), "Not Found"))))))))</f>
        <v>Telstra</v>
      </c>
      <c r="E530" t="str">
        <f>IFERROR(VLOOKUP($A530,'AAPT ExDa'!$B$2:$U$99, 3,FALSE), IFERROR(VLOOKUP($A530,'ABB ExDa'!$A$2:$N$184, 5,FALSE), IFERROR(VLOOKUP($A530,'Vocus SIT ExDa'!$B$2:$J$173, 2,FALSE), IFERROR(VLOOKUP($A530,'Telstra ExDa'!$B$2:$K$310, 4,FALSE), IFERROR(VLOOKUP($A530,'Vocus RVC ExDa'!$C$2:$R$155, 8,FALSE), IFERROR(VLOOKUP($A530,'Fusion ExDa'!$B$2:$D$16, 4,FALSE), IFERROR(VLOOKUP($A530,'Exetel ExDa'!$C$2:$N$14, 5,FALSE), IFERROR(VLOOKUP($A530,'Infinet ExDa'!$B$2:$E$14, 3,FALSE), "Not Found"))))))))</f>
        <v>Standard Speed NBN 25Mbps</v>
      </c>
      <c r="F530" t="str">
        <f>IFERROR(VLOOKUP($A530,'AAPT ExDa'!$B$2:$U$99, 4,FALSE), IFERROR(VLOOKUP($A530,'ABB ExDa'!$A$2:$N$184, 6,FALSE), IFERROR(VLOOKUP($A530,'Vocus SIT ExDa'!$B$2:$J$173, 3,FALSE), IFERROR(VLOOKUP($A530,'Telstra ExDa'!$B$2:$K$310, 5,FALSE), IFERROR(VLOOKUP($A530,'Vocus RVC ExDa'!$C$2:$R$155, 9,FALSE), IFERROR(VLOOKUP($A530,'Fusion ExDa'!$B$2:$D$16, 0,FALSE), IFERROR(VLOOKUP($A530,'Exetel ExDa'!$C$2:$N$14, 6,FALSE), IFERROR(VLOOKUP($A530,'Infinet ExDa'!$B$2:$E$14, 0,FALSE), "Not Found"))))))))</f>
        <v>Core Internet</v>
      </c>
      <c r="G530" t="str">
        <f>IFERROR(VLOOKUP($A530,'AAPT ExDa'!$B$2:$U$99, 5,FALSE), IFERROR(VLOOKUP($A530,'ABB ExDa'!$A$2:$N$184, 8,FALSE), IFERROR(VLOOKUP($A530,'Vocus SIT ExDa'!$B$2:$J$173, 6,FALSE), IFERROR(VLOOKUP($A530,'Telstra ExDa'!$B$2:$K$310, 0,FALSE), IFERROR(VLOOKUP($A530,'Vocus RVC ExDa'!$C$2:$R$155, 15,FALSE), IFERROR(VLOOKUP($A530,'Fusion ExDa'!$B$2:$D$16, 0,FALSE), IFERROR(VLOOKUP($A530,'Exetel ExDa'!$C$2:$N$14, 7,FALSE), IFERROR(VLOOKUP($A530,'Infinet ExDa'!$B$2:$E$14, 0,FALSE), "Not Found"))))))))</f>
        <v>Not Found</v>
      </c>
      <c r="H530" t="str">
        <f>IFERROR(VLOOKUP($A530,'AAPT ExDa'!$B$2:$U$99, 6,FALSE), IFERROR(VLOOKUP($A530,'ABB ExDa'!$A$2:$N$184, 0,FALSE), IFERROR(VLOOKUP($A530,'Vocus SIT ExDa'!$B$2:$J$173, 0,FALSE), IFERROR(VLOOKUP($A530,'Telstra ExDa'!$B$2:$K$310, 0,FALSE), IFERROR(VLOOKUP($A530,'Vocus RVC ExDa'!$C$2:$R$155, 16,FALSE), IFERROR(VLOOKUP($A530,'Fusion ExDa'!$B$2:$D$16, 0,FALSE), IFERROR(VLOOKUP($A530,'Exetel ExDa'!$C$2:$N$14, 0,FALSE), IFERROR(VLOOKUP($A530,'Infinet ExDa'!$B$2:$E$14, 0,FALSE), "Not Found"))))))))</f>
        <v>Not Found</v>
      </c>
      <c r="I530" t="str">
        <f>IFERROR(VLOOKUP($A530,'AAPT ExDa'!$B$2:$U$99, 0,FALSE), IFERROR(VLOOKUP($A530,'ABB ExDa'!$A$2:$N$184, 0,FALSE), IFERROR(VLOOKUP($A530,'Vocus SIT ExDa'!$B$2:$J$173, 0,FALSE), IFERROR(VLOOKUP($A530,'Telstra ExDa'!$B$2:$K$310, 0,FALSE), IFERROR(VLOOKUP($A530,'Vocus RVC ExDa'!$C$2:$R$155, 0,FALSE), IFERROR(VLOOKUP($A530,'Fusion ExDa'!$B$2:$D$16, 0,FALSE), IFERROR(VLOOKUP($A530,'Exetel ExDa'!$C$2:$N$14, 8,FALSE), IFERROR(VLOOKUP($A530,'Infinet ExDa'!$B$2:$E$14, 0,FALSE), "Not Found"))))))))</f>
        <v>Not Found</v>
      </c>
      <c r="J530">
        <f>IFERROR(VLOOKUP($A530,'AAPT ExDa'!$B$2:$U$99, 7,FALSE), IFERROR(VLOOKUP($A530,'ABB ExDa'!$A$2:$N$184, 2,FALSE), IFERROR(VLOOKUP($A530,'Vocus SIT ExDa'!$B$2:$J$173, 0,FALSE), IFERROR(VLOOKUP($A530,'Telstra ExDa'!$B$2:$K$310, 7,FALSE), IFERROR(VLOOKUP($A530,'Vocus RVC ExDa'!$C$2:$R$155, 2,FALSE), IFERROR(VLOOKUP($A530,'Fusion ExDa'!$B$2:$D$16, 3,FALSE), IFERROR(VLOOKUP($A530,'Exetel ExDa'!$C$2:$N$14, 0,FALSE), IFERROR(VLOOKUP($A530,'Infinet ExDa'!$B$2:$E$14, 0,FALSE), "Not Found"))))))))</f>
        <v>0</v>
      </c>
      <c r="K530" t="str">
        <f>IFERROR(VLOOKUP($A530,'AAPT ExDa'!$B$2:$U$99, 12,FALSE), IFERROR(VLOOKUP($A530,'ABB ExDa'!$A$2:$N$184, 0,FALSE), IFERROR(VLOOKUP($A530,'Vocus SIT ExDa'!$B$2:$J$173, 0,FALSE), IFERROR(VLOOKUP($A530,'Telstra ExDa'!$B$2:$K$310, 0,FALSE), IFERROR(VLOOKUP($A530,'Vocus RVC ExDa'!$C$2:$R$155, 0,FALSE), IFERROR(VLOOKUP($A530,'Fusion ExDa'!$B$2:$D$16, 0,FALSE), IFERROR(VLOOKUP($A530,'Exetel ExDa'!$C$2:$N$14, 12,FALSE), IFERROR(VLOOKUP($A530,'Infinet ExDa'!$B$2:$E$14, 0,FALSE), "Not Found"))))))))</f>
        <v>Not Found</v>
      </c>
      <c r="L530" s="235" t="str">
        <f>IFERROR(VLOOKUP($A530,'AAPT ExDa'!$B$2:$U$99, 11,FALSE), IFERROR(VLOOKUP($A530,'ABB ExDa'!$A$2:$N$184, 9,FALSE), IFERROR(VLOOKUP($A530,'Vocus SIT ExDa'!$B$2:$J$173, 8,FALSE), IFERROR(VLOOKUP($A530,'Telstra ExDa'!$B$2:$K$310, 0,FALSE), IFERROR(VLOOKUP($A530,'Vocus RVC ExDa'!$C$2:$R$155, 0,FALSE), IFERROR(VLOOKUP($A530,'Fusion ExDa'!$B$2:$D$16, 0,FALSE), IFERROR(VLOOKUP($A530,'Exetel ExDa'!$C$2:$N$14, 9,FALSE), IFERROR(VLOOKUP($A530,'Infinet ExDa'!$B$2:$E$14, 0,FALSE), "Not Found"))))))))</f>
        <v>Not Found</v>
      </c>
      <c r="M530" s="234" t="str">
        <f>IFERROR(VLOOKUP($A530,'AAPT ExDa'!$B$2:$U$99, 0,FALSE), IFERROR(VLOOKUP($A530,'ABB ExDa'!$A$2:$N$184, 0,FALSE), IFERROR(VLOOKUP($A530,'Vocus SIT ExDa'!$B$2:$J$173, 0,FALSE), IFERROR(VLOOKUP($A530,'Telstra ExDa'!$B$2:$K$310, 0,FALSE), IFERROR(VLOOKUP($A530,'Vocus RVC ExDa'!$C$2:$R$155, 0,FALSE), IFERROR(VLOOKUP($A530,'Fusion ExDa'!$B$2:$D$16, 0,FALSE), IFERROR(VLOOKUP($A530,'Exetel ExDa'!$C$2:$N$14, 11,FALSE), IFERROR(VLOOKUP($A530,'Infinet ExDa'!$B$2:$E$14, 0,FALSE), "Not Found"))))))))</f>
        <v>Not Found</v>
      </c>
      <c r="N530" t="str">
        <f>IFERROR(VLOOKUP($A530,'AAPT ExDa'!$B$2:$U$99, 0,FALSE), IFERROR(VLOOKUP($A530,'ABB ExDa'!$A$2:$N$184, 13,FALSE), IFERROR(VLOOKUP($A530,'Vocus SIT ExDa'!$B$2:$J$173, 0,FALSE), IFERROR(VLOOKUP($A530,'Telstra ExDa'!$B$2:$K$310, 0,FALSE), IFERROR(VLOOKUP($A530,'Vocus RVC ExDa'!$C$2:$R$155, 0,FALSE), IFERROR(VLOOKUP($A530,'Fusion ExDa'!$B$2:$D$16, 0,FALSE), IFERROR(VLOOKUP($A530,'Exetel ExDa'!$C$2:$N$14, 0,FALSE), IFERROR(VLOOKUP($A530,'Infinet ExDa'!$B$2:$E$14, 0,FALSE), "Not Found"))))))))</f>
        <v>Not Found</v>
      </c>
    </row>
    <row r="531" spans="1:14">
      <c r="A531" t="str">
        <v>Zambrero Tuart Hill</v>
      </c>
      <c r="B531" t="str">
        <f>IFERROR(VLOOKUP(A531,'Exetel ExDa'!$C$2:$N$14,4,FALSE),"No Data")</f>
        <v>No Data</v>
      </c>
      <c r="C531" t="str">
        <f>IFERROR(VLOOKUP(A531,'AAPT ExDa'!$B$2:$U$99, 2,FALSE), IFERROR(VLOOKUP(A531,'ABB ExDa'!$A$2:$N$184, 2,FALSE), IFERROR(VLOOKUP(A531,'Vocus SIT ExDa'!$B$2:$J$173, 7,FALSE), IFERROR(VLOOKUP(A531,'Telstra ExDa'!$B$2:$K$310, 2,FALSE), IFERROR(VLOOKUP(A531,'Vocus RVC ExDa'!$C$2:$R$155, 3,FALSE), IFERROR(VLOOKUP(A531,'Fusion ExDa'!$B$2:$D$16, 2,FALSE), IFERROR(VLOOKUP(A531,'Exetel ExDa'!$C$2:$N$14, 2,FALSE), IFERROR(VLOOKUP(A531,'Infinet ExDa'!$B$2:$E$14, 2,FALSE), "Not Found"))))))))</f>
        <v>Unit 4, 207 Wanneroo Rd, Tuart Hill, WA</v>
      </c>
      <c r="D531" t="str">
        <f>IFERROR(VLOOKUP($A531,'AAPT ExDa'!$B$2:$U$99, 15,FALSE), IFERROR(VLOOKUP($A531,'ABB ExDa'!$A$2:$N$184, 4,FALSE), IFERROR(VLOOKUP($A531,'Vocus SIT ExDa'!$B$2:$J$173, 5,FALSE), IFERROR(VLOOKUP($A531,'Telstra ExDa'!$B$2:$K$310, 8,FALSE), IFERROR(VLOOKUP($A531,'Vocus RVC ExDa'!$C$2:$R$155, 6,FALSE), IFERROR(VLOOKUP($A531,'Fusion ExDa'!$B$2:$D$16, 4,FALSE), IFERROR(VLOOKUP($A531,'Exetel ExDa'!$C$2:$N$14, 3,FALSE), IFERROR(VLOOKUP($A531,'Infinet ExDa'!$B$2:$E$14, 3,FALSE), "Not Found"))))))))</f>
        <v>Telstra</v>
      </c>
      <c r="E531">
        <f>IFERROR(VLOOKUP($A531,'AAPT ExDa'!$B$2:$U$99, 3,FALSE), IFERROR(VLOOKUP($A531,'ABB ExDa'!$A$2:$N$184, 5,FALSE), IFERROR(VLOOKUP($A531,'Vocus SIT ExDa'!$B$2:$J$173, 2,FALSE), IFERROR(VLOOKUP($A531,'Telstra ExDa'!$B$2:$K$310, 4,FALSE), IFERROR(VLOOKUP($A531,'Vocus RVC ExDa'!$C$2:$R$155, 8,FALSE), IFERROR(VLOOKUP($A531,'Fusion ExDa'!$B$2:$D$16, 4,FALSE), IFERROR(VLOOKUP($A531,'Exetel ExDa'!$C$2:$N$14, 5,FALSE), IFERROR(VLOOKUP($A531,'Infinet ExDa'!$B$2:$E$14, 3,FALSE), "Not Found"))))))))</f>
        <v>0</v>
      </c>
      <c r="F531" t="str">
        <f>IFERROR(VLOOKUP($A531,'AAPT ExDa'!$B$2:$U$99, 4,FALSE), IFERROR(VLOOKUP($A531,'ABB ExDa'!$A$2:$N$184, 6,FALSE), IFERROR(VLOOKUP($A531,'Vocus SIT ExDa'!$B$2:$J$173, 3,FALSE), IFERROR(VLOOKUP($A531,'Telstra ExDa'!$B$2:$K$310, 5,FALSE), IFERROR(VLOOKUP($A531,'Vocus RVC ExDa'!$C$2:$R$155, 9,FALSE), IFERROR(VLOOKUP($A531,'Fusion ExDa'!$B$2:$D$16, 0,FALSE), IFERROR(VLOOKUP($A531,'Exetel ExDa'!$C$2:$N$14, 6,FALSE), IFERROR(VLOOKUP($A531,'Infinet ExDa'!$B$2:$E$14, 0,FALSE), "Not Found"))))))))</f>
        <v>Main Business Number</v>
      </c>
      <c r="G531" t="str">
        <f>IFERROR(VLOOKUP($A531,'AAPT ExDa'!$B$2:$U$99, 5,FALSE), IFERROR(VLOOKUP($A531,'ABB ExDa'!$A$2:$N$184, 8,FALSE), IFERROR(VLOOKUP($A531,'Vocus SIT ExDa'!$B$2:$J$173, 6,FALSE), IFERROR(VLOOKUP($A531,'Telstra ExDa'!$B$2:$K$310, 0,FALSE), IFERROR(VLOOKUP($A531,'Vocus RVC ExDa'!$C$2:$R$155, 15,FALSE), IFERROR(VLOOKUP($A531,'Fusion ExDa'!$B$2:$D$16, 0,FALSE), IFERROR(VLOOKUP($A531,'Exetel ExDa'!$C$2:$N$14, 7,FALSE), IFERROR(VLOOKUP($A531,'Infinet ExDa'!$B$2:$E$14, 0,FALSE), "Not Found"))))))))</f>
        <v>Not Found</v>
      </c>
      <c r="H531" t="str">
        <f>IFERROR(VLOOKUP($A531,'AAPT ExDa'!$B$2:$U$99, 6,FALSE), IFERROR(VLOOKUP($A531,'ABB ExDa'!$A$2:$N$184, 0,FALSE), IFERROR(VLOOKUP($A531,'Vocus SIT ExDa'!$B$2:$J$173, 0,FALSE), IFERROR(VLOOKUP($A531,'Telstra ExDa'!$B$2:$K$310, 0,FALSE), IFERROR(VLOOKUP($A531,'Vocus RVC ExDa'!$C$2:$R$155, 16,FALSE), IFERROR(VLOOKUP($A531,'Fusion ExDa'!$B$2:$D$16, 0,FALSE), IFERROR(VLOOKUP($A531,'Exetel ExDa'!$C$2:$N$14, 0,FALSE), IFERROR(VLOOKUP($A531,'Infinet ExDa'!$B$2:$E$14, 0,FALSE), "Not Found"))))))))</f>
        <v>Not Found</v>
      </c>
      <c r="I531" t="str">
        <f>IFERROR(VLOOKUP($A531,'AAPT ExDa'!$B$2:$U$99, 0,FALSE), IFERROR(VLOOKUP($A531,'ABB ExDa'!$A$2:$N$184, 0,FALSE), IFERROR(VLOOKUP($A531,'Vocus SIT ExDa'!$B$2:$J$173, 0,FALSE), IFERROR(VLOOKUP($A531,'Telstra ExDa'!$B$2:$K$310, 0,FALSE), IFERROR(VLOOKUP($A531,'Vocus RVC ExDa'!$C$2:$R$155, 0,FALSE), IFERROR(VLOOKUP($A531,'Fusion ExDa'!$B$2:$D$16, 0,FALSE), IFERROR(VLOOKUP($A531,'Exetel ExDa'!$C$2:$N$14, 8,FALSE), IFERROR(VLOOKUP($A531,'Infinet ExDa'!$B$2:$E$14, 0,FALSE), "Not Found"))))))))</f>
        <v>Not Found</v>
      </c>
      <c r="J531" t="str">
        <f>IFERROR(VLOOKUP($A531,'AAPT ExDa'!$B$2:$U$99, 7,FALSE), IFERROR(VLOOKUP($A531,'ABB ExDa'!$A$2:$N$184, 2,FALSE), IFERROR(VLOOKUP($A531,'Vocus SIT ExDa'!$B$2:$J$173, 0,FALSE), IFERROR(VLOOKUP($A531,'Telstra ExDa'!$B$2:$K$310, 7,FALSE), IFERROR(VLOOKUP($A531,'Vocus RVC ExDa'!$C$2:$R$155, 2,FALSE), IFERROR(VLOOKUP($A531,'Fusion ExDa'!$B$2:$D$16, 3,FALSE), IFERROR(VLOOKUP($A531,'Exetel ExDa'!$C$2:$N$14, 0,FALSE), IFERROR(VLOOKUP($A531,'Infinet ExDa'!$B$2:$E$14, 0,FALSE), "Not Found"))))))))</f>
        <v xml:space="preserve">AVC000060105588 </v>
      </c>
      <c r="K531" t="str">
        <f>IFERROR(VLOOKUP($A531,'AAPT ExDa'!$B$2:$U$99, 12,FALSE), IFERROR(VLOOKUP($A531,'ABB ExDa'!$A$2:$N$184, 0,FALSE), IFERROR(VLOOKUP($A531,'Vocus SIT ExDa'!$B$2:$J$173, 0,FALSE), IFERROR(VLOOKUP($A531,'Telstra ExDa'!$B$2:$K$310, 0,FALSE), IFERROR(VLOOKUP($A531,'Vocus RVC ExDa'!$C$2:$R$155, 0,FALSE), IFERROR(VLOOKUP($A531,'Fusion ExDa'!$B$2:$D$16, 0,FALSE), IFERROR(VLOOKUP($A531,'Exetel ExDa'!$C$2:$N$14, 12,FALSE), IFERROR(VLOOKUP($A531,'Infinet ExDa'!$B$2:$E$14, 0,FALSE), "Not Found"))))))))</f>
        <v>Not Found</v>
      </c>
      <c r="L531" s="235" t="str">
        <f>IFERROR(VLOOKUP($A531,'AAPT ExDa'!$B$2:$U$99, 11,FALSE), IFERROR(VLOOKUP($A531,'ABB ExDa'!$A$2:$N$184, 9,FALSE), IFERROR(VLOOKUP($A531,'Vocus SIT ExDa'!$B$2:$J$173, 8,FALSE), IFERROR(VLOOKUP($A531,'Telstra ExDa'!$B$2:$K$310, 0,FALSE), IFERROR(VLOOKUP($A531,'Vocus RVC ExDa'!$C$2:$R$155, 0,FALSE), IFERROR(VLOOKUP($A531,'Fusion ExDa'!$B$2:$D$16, 0,FALSE), IFERROR(VLOOKUP($A531,'Exetel ExDa'!$C$2:$N$14, 9,FALSE), IFERROR(VLOOKUP($A531,'Infinet ExDa'!$B$2:$E$14, 0,FALSE), "Not Found"))))))))</f>
        <v>Not Found</v>
      </c>
      <c r="M531" s="234" t="str">
        <f>IFERROR(VLOOKUP($A531,'AAPT ExDa'!$B$2:$U$99, 0,FALSE), IFERROR(VLOOKUP($A531,'ABB ExDa'!$A$2:$N$184, 0,FALSE), IFERROR(VLOOKUP($A531,'Vocus SIT ExDa'!$B$2:$J$173, 0,FALSE), IFERROR(VLOOKUP($A531,'Telstra ExDa'!$B$2:$K$310, 0,FALSE), IFERROR(VLOOKUP($A531,'Vocus RVC ExDa'!$C$2:$R$155, 0,FALSE), IFERROR(VLOOKUP($A531,'Fusion ExDa'!$B$2:$D$16, 0,FALSE), IFERROR(VLOOKUP($A531,'Exetel ExDa'!$C$2:$N$14, 11,FALSE), IFERROR(VLOOKUP($A531,'Infinet ExDa'!$B$2:$E$14, 0,FALSE), "Not Found"))))))))</f>
        <v>Not Found</v>
      </c>
      <c r="N531" t="str">
        <f>IFERROR(VLOOKUP($A531,'AAPT ExDa'!$B$2:$U$99, 0,FALSE), IFERROR(VLOOKUP($A531,'ABB ExDa'!$A$2:$N$184, 13,FALSE), IFERROR(VLOOKUP($A531,'Vocus SIT ExDa'!$B$2:$J$173, 0,FALSE), IFERROR(VLOOKUP($A531,'Telstra ExDa'!$B$2:$K$310, 0,FALSE), IFERROR(VLOOKUP($A531,'Vocus RVC ExDa'!$C$2:$R$155, 0,FALSE), IFERROR(VLOOKUP($A531,'Fusion ExDa'!$B$2:$D$16, 0,FALSE), IFERROR(VLOOKUP($A531,'Exetel ExDa'!$C$2:$N$14, 0,FALSE), IFERROR(VLOOKUP($A531,'Infinet ExDa'!$B$2:$E$14, 0,FALSE), "Not Found"))))))))</f>
        <v>Not Found</v>
      </c>
    </row>
    <row r="532" spans="1:14">
      <c r="A532" t="str">
        <v>Zambrero Joondalup</v>
      </c>
      <c r="B532" t="str">
        <f>IFERROR(VLOOKUP(A532,'Exetel ExDa'!$C$2:$N$14,4,FALSE),"No Data")</f>
        <v>No Data</v>
      </c>
      <c r="C532" t="str">
        <f>IFERROR(VLOOKUP(A532,'AAPT ExDa'!$B$2:$U$99, 2,FALSE), IFERROR(VLOOKUP(A532,'ABB ExDa'!$A$2:$N$184, 2,FALSE), IFERROR(VLOOKUP(A532,'Vocus SIT ExDa'!$B$2:$J$173, 7,FALSE), IFERROR(VLOOKUP(A532,'Telstra ExDa'!$B$2:$K$310, 2,FALSE), IFERROR(VLOOKUP(A532,'Vocus RVC ExDa'!$C$2:$R$155, 3,FALSE), IFERROR(VLOOKUP(A532,'Fusion ExDa'!$B$2:$D$16, 2,FALSE), IFERROR(VLOOKUP(A532,'Exetel ExDa'!$C$2:$N$14, 2,FALSE), IFERROR(VLOOKUP(A532,'Infinet ExDa'!$B$2:$E$14, 2,FALSE), "Not Found"))))))))</f>
        <v>Unit 1, 8 Dwyer Turn, Joondalup, WA 6027</v>
      </c>
      <c r="D532" t="str">
        <f>IFERROR(VLOOKUP($A532,'AAPT ExDa'!$B$2:$U$99, 15,FALSE), IFERROR(VLOOKUP($A532,'ABB ExDa'!$A$2:$N$184, 4,FALSE), IFERROR(VLOOKUP($A532,'Vocus SIT ExDa'!$B$2:$J$173, 5,FALSE), IFERROR(VLOOKUP($A532,'Telstra ExDa'!$B$2:$K$310, 8,FALSE), IFERROR(VLOOKUP($A532,'Vocus RVC ExDa'!$C$2:$R$155, 6,FALSE), IFERROR(VLOOKUP($A532,'Fusion ExDa'!$B$2:$D$16, 4,FALSE), IFERROR(VLOOKUP($A532,'Exetel ExDa'!$C$2:$N$14, 3,FALSE), IFERROR(VLOOKUP($A532,'Infinet ExDa'!$B$2:$E$14, 3,FALSE), "Not Found"))))))))</f>
        <v>Telstra</v>
      </c>
      <c r="E532">
        <f>IFERROR(VLOOKUP($A532,'AAPT ExDa'!$B$2:$U$99, 3,FALSE), IFERROR(VLOOKUP($A532,'ABB ExDa'!$A$2:$N$184, 5,FALSE), IFERROR(VLOOKUP($A532,'Vocus SIT ExDa'!$B$2:$J$173, 2,FALSE), IFERROR(VLOOKUP($A532,'Telstra ExDa'!$B$2:$K$310, 4,FALSE), IFERROR(VLOOKUP($A532,'Vocus RVC ExDa'!$C$2:$R$155, 8,FALSE), IFERROR(VLOOKUP($A532,'Fusion ExDa'!$B$2:$D$16, 4,FALSE), IFERROR(VLOOKUP($A532,'Exetel ExDa'!$C$2:$N$14, 5,FALSE), IFERROR(VLOOKUP($A532,'Infinet ExDa'!$B$2:$E$14, 3,FALSE), "Not Found"))))))))</f>
        <v>0</v>
      </c>
      <c r="F532" t="str">
        <f>IFERROR(VLOOKUP($A532,'AAPT ExDa'!$B$2:$U$99, 4,FALSE), IFERROR(VLOOKUP($A532,'ABB ExDa'!$A$2:$N$184, 6,FALSE), IFERROR(VLOOKUP($A532,'Vocus SIT ExDa'!$B$2:$J$173, 3,FALSE), IFERROR(VLOOKUP($A532,'Telstra ExDa'!$B$2:$K$310, 5,FALSE), IFERROR(VLOOKUP($A532,'Vocus RVC ExDa'!$C$2:$R$155, 9,FALSE), IFERROR(VLOOKUP($A532,'Fusion ExDa'!$B$2:$D$16, 0,FALSE), IFERROR(VLOOKUP($A532,'Exetel ExDa'!$C$2:$N$14, 6,FALSE), IFERROR(VLOOKUP($A532,'Infinet ExDa'!$B$2:$E$14, 0,FALSE), "Not Found"))))))))</f>
        <v>Main Business Number</v>
      </c>
      <c r="G532" t="str">
        <f>IFERROR(VLOOKUP($A532,'AAPT ExDa'!$B$2:$U$99, 5,FALSE), IFERROR(VLOOKUP($A532,'ABB ExDa'!$A$2:$N$184, 8,FALSE), IFERROR(VLOOKUP($A532,'Vocus SIT ExDa'!$B$2:$J$173, 6,FALSE), IFERROR(VLOOKUP($A532,'Telstra ExDa'!$B$2:$K$310, 0,FALSE), IFERROR(VLOOKUP($A532,'Vocus RVC ExDa'!$C$2:$R$155, 15,FALSE), IFERROR(VLOOKUP($A532,'Fusion ExDa'!$B$2:$D$16, 0,FALSE), IFERROR(VLOOKUP($A532,'Exetel ExDa'!$C$2:$N$14, 7,FALSE), IFERROR(VLOOKUP($A532,'Infinet ExDa'!$B$2:$E$14, 0,FALSE), "Not Found"))))))))</f>
        <v>Not Found</v>
      </c>
      <c r="H532" t="str">
        <f>IFERROR(VLOOKUP($A532,'AAPT ExDa'!$B$2:$U$99, 6,FALSE), IFERROR(VLOOKUP($A532,'ABB ExDa'!$A$2:$N$184, 0,FALSE), IFERROR(VLOOKUP($A532,'Vocus SIT ExDa'!$B$2:$J$173, 0,FALSE), IFERROR(VLOOKUP($A532,'Telstra ExDa'!$B$2:$K$310, 0,FALSE), IFERROR(VLOOKUP($A532,'Vocus RVC ExDa'!$C$2:$R$155, 16,FALSE), IFERROR(VLOOKUP($A532,'Fusion ExDa'!$B$2:$D$16, 0,FALSE), IFERROR(VLOOKUP($A532,'Exetel ExDa'!$C$2:$N$14, 0,FALSE), IFERROR(VLOOKUP($A532,'Infinet ExDa'!$B$2:$E$14, 0,FALSE), "Not Found"))))))))</f>
        <v>Not Found</v>
      </c>
      <c r="I532" t="str">
        <f>IFERROR(VLOOKUP($A532,'AAPT ExDa'!$B$2:$U$99, 0,FALSE), IFERROR(VLOOKUP($A532,'ABB ExDa'!$A$2:$N$184, 0,FALSE), IFERROR(VLOOKUP($A532,'Vocus SIT ExDa'!$B$2:$J$173, 0,FALSE), IFERROR(VLOOKUP($A532,'Telstra ExDa'!$B$2:$K$310, 0,FALSE), IFERROR(VLOOKUP($A532,'Vocus RVC ExDa'!$C$2:$R$155, 0,FALSE), IFERROR(VLOOKUP($A532,'Fusion ExDa'!$B$2:$D$16, 0,FALSE), IFERROR(VLOOKUP($A532,'Exetel ExDa'!$C$2:$N$14, 8,FALSE), IFERROR(VLOOKUP($A532,'Infinet ExDa'!$B$2:$E$14, 0,FALSE), "Not Found"))))))))</f>
        <v>Not Found</v>
      </c>
      <c r="J532" t="str">
        <f>IFERROR(VLOOKUP($A532,'AAPT ExDa'!$B$2:$U$99, 7,FALSE), IFERROR(VLOOKUP($A532,'ABB ExDa'!$A$2:$N$184, 2,FALSE), IFERROR(VLOOKUP($A532,'Vocus SIT ExDa'!$B$2:$J$173, 0,FALSE), IFERROR(VLOOKUP($A532,'Telstra ExDa'!$B$2:$K$310, 7,FALSE), IFERROR(VLOOKUP($A532,'Vocus RVC ExDa'!$C$2:$R$155, 2,FALSE), IFERROR(VLOOKUP($A532,'Fusion ExDa'!$B$2:$D$16, 3,FALSE), IFERROR(VLOOKUP($A532,'Exetel ExDa'!$C$2:$N$14, 0,FALSE), IFERROR(VLOOKUP($A532,'Infinet ExDa'!$B$2:$E$14, 0,FALSE), "Not Found"))))))))</f>
        <v>AVC000071924218</v>
      </c>
      <c r="K532" t="str">
        <f>IFERROR(VLOOKUP($A532,'AAPT ExDa'!$B$2:$U$99, 12,FALSE), IFERROR(VLOOKUP($A532,'ABB ExDa'!$A$2:$N$184, 0,FALSE), IFERROR(VLOOKUP($A532,'Vocus SIT ExDa'!$B$2:$J$173, 0,FALSE), IFERROR(VLOOKUP($A532,'Telstra ExDa'!$B$2:$K$310, 0,FALSE), IFERROR(VLOOKUP($A532,'Vocus RVC ExDa'!$C$2:$R$155, 0,FALSE), IFERROR(VLOOKUP($A532,'Fusion ExDa'!$B$2:$D$16, 0,FALSE), IFERROR(VLOOKUP($A532,'Exetel ExDa'!$C$2:$N$14, 12,FALSE), IFERROR(VLOOKUP($A532,'Infinet ExDa'!$B$2:$E$14, 0,FALSE), "Not Found"))))))))</f>
        <v>Not Found</v>
      </c>
      <c r="L532" s="235" t="str">
        <f>IFERROR(VLOOKUP($A532,'AAPT ExDa'!$B$2:$U$99, 11,FALSE), IFERROR(VLOOKUP($A532,'ABB ExDa'!$A$2:$N$184, 9,FALSE), IFERROR(VLOOKUP($A532,'Vocus SIT ExDa'!$B$2:$J$173, 8,FALSE), IFERROR(VLOOKUP($A532,'Telstra ExDa'!$B$2:$K$310, 0,FALSE), IFERROR(VLOOKUP($A532,'Vocus RVC ExDa'!$C$2:$R$155, 0,FALSE), IFERROR(VLOOKUP($A532,'Fusion ExDa'!$B$2:$D$16, 0,FALSE), IFERROR(VLOOKUP($A532,'Exetel ExDa'!$C$2:$N$14, 9,FALSE), IFERROR(VLOOKUP($A532,'Infinet ExDa'!$B$2:$E$14, 0,FALSE), "Not Found"))))))))</f>
        <v>Not Found</v>
      </c>
      <c r="M532" s="234" t="str">
        <f>IFERROR(VLOOKUP($A532,'AAPT ExDa'!$B$2:$U$99, 0,FALSE), IFERROR(VLOOKUP($A532,'ABB ExDa'!$A$2:$N$184, 0,FALSE), IFERROR(VLOOKUP($A532,'Vocus SIT ExDa'!$B$2:$J$173, 0,FALSE), IFERROR(VLOOKUP($A532,'Telstra ExDa'!$B$2:$K$310, 0,FALSE), IFERROR(VLOOKUP($A532,'Vocus RVC ExDa'!$C$2:$R$155, 0,FALSE), IFERROR(VLOOKUP($A532,'Fusion ExDa'!$B$2:$D$16, 0,FALSE), IFERROR(VLOOKUP($A532,'Exetel ExDa'!$C$2:$N$14, 11,FALSE), IFERROR(VLOOKUP($A532,'Infinet ExDa'!$B$2:$E$14, 0,FALSE), "Not Found"))))))))</f>
        <v>Not Found</v>
      </c>
      <c r="N532" t="str">
        <f>IFERROR(VLOOKUP($A532,'AAPT ExDa'!$B$2:$U$99, 0,FALSE), IFERROR(VLOOKUP($A532,'ABB ExDa'!$A$2:$N$184, 13,FALSE), IFERROR(VLOOKUP($A532,'Vocus SIT ExDa'!$B$2:$J$173, 0,FALSE), IFERROR(VLOOKUP($A532,'Telstra ExDa'!$B$2:$K$310, 0,FALSE), IFERROR(VLOOKUP($A532,'Vocus RVC ExDa'!$C$2:$R$155, 0,FALSE), IFERROR(VLOOKUP($A532,'Fusion ExDa'!$B$2:$D$16, 0,FALSE), IFERROR(VLOOKUP($A532,'Exetel ExDa'!$C$2:$N$14, 0,FALSE), IFERROR(VLOOKUP($A532,'Infinet ExDa'!$B$2:$E$14, 0,FALSE), "Not Found"))))))))</f>
        <v>Not Found</v>
      </c>
    </row>
    <row r="533" spans="1:14">
      <c r="A533" t="str">
        <v>Zambrero Fremantle</v>
      </c>
      <c r="B533" t="str">
        <f>IFERROR(VLOOKUP(A533,'Exetel ExDa'!$C$2:$N$14,4,FALSE),"No Data")</f>
        <v>No Data</v>
      </c>
      <c r="C533" t="str">
        <f>IFERROR(VLOOKUP(A533,'AAPT ExDa'!$B$2:$U$99, 2,FALSE), IFERROR(VLOOKUP(A533,'ABB ExDa'!$A$2:$N$184, 2,FALSE), IFERROR(VLOOKUP(A533,'Vocus SIT ExDa'!$B$2:$J$173, 7,FALSE), IFERROR(VLOOKUP(A533,'Telstra ExDa'!$B$2:$K$310, 2,FALSE), IFERROR(VLOOKUP(A533,'Vocus RVC ExDa'!$C$2:$R$155, 3,FALSE), IFERROR(VLOOKUP(A533,'Fusion ExDa'!$B$2:$D$16, 2,FALSE), IFERROR(VLOOKUP(A533,'Exetel ExDa'!$C$2:$N$14, 2,FALSE), IFERROR(VLOOKUP(A533,'Infinet ExDa'!$B$2:$E$14, 2,FALSE), "Not Found"))))))))</f>
        <v>4 South Terrace, Fremantle, WA 6160</v>
      </c>
      <c r="D533" t="str">
        <f>IFERROR(VLOOKUP($A533,'AAPT ExDa'!$B$2:$U$99, 15,FALSE), IFERROR(VLOOKUP($A533,'ABB ExDa'!$A$2:$N$184, 4,FALSE), IFERROR(VLOOKUP($A533,'Vocus SIT ExDa'!$B$2:$J$173, 5,FALSE), IFERROR(VLOOKUP($A533,'Telstra ExDa'!$B$2:$K$310, 8,FALSE), IFERROR(VLOOKUP($A533,'Vocus RVC ExDa'!$C$2:$R$155, 6,FALSE), IFERROR(VLOOKUP($A533,'Fusion ExDa'!$B$2:$D$16, 4,FALSE), IFERROR(VLOOKUP($A533,'Exetel ExDa'!$C$2:$N$14, 3,FALSE), IFERROR(VLOOKUP($A533,'Infinet ExDa'!$B$2:$E$14, 3,FALSE), "Not Found"))))))))</f>
        <v>Telstra</v>
      </c>
      <c r="E533">
        <f>IFERROR(VLOOKUP($A533,'AAPT ExDa'!$B$2:$U$99, 3,FALSE), IFERROR(VLOOKUP($A533,'ABB ExDa'!$A$2:$N$184, 5,FALSE), IFERROR(VLOOKUP($A533,'Vocus SIT ExDa'!$B$2:$J$173, 2,FALSE), IFERROR(VLOOKUP($A533,'Telstra ExDa'!$B$2:$K$310, 4,FALSE), IFERROR(VLOOKUP($A533,'Vocus RVC ExDa'!$C$2:$R$155, 8,FALSE), IFERROR(VLOOKUP($A533,'Fusion ExDa'!$B$2:$D$16, 4,FALSE), IFERROR(VLOOKUP($A533,'Exetel ExDa'!$C$2:$N$14, 5,FALSE), IFERROR(VLOOKUP($A533,'Infinet ExDa'!$B$2:$E$14, 3,FALSE), "Not Found"))))))))</f>
        <v>0</v>
      </c>
      <c r="F533" t="str">
        <f>IFERROR(VLOOKUP($A533,'AAPT ExDa'!$B$2:$U$99, 4,FALSE), IFERROR(VLOOKUP($A533,'ABB ExDa'!$A$2:$N$184, 6,FALSE), IFERROR(VLOOKUP($A533,'Vocus SIT ExDa'!$B$2:$J$173, 3,FALSE), IFERROR(VLOOKUP($A533,'Telstra ExDa'!$B$2:$K$310, 5,FALSE), IFERROR(VLOOKUP($A533,'Vocus RVC ExDa'!$C$2:$R$155, 9,FALSE), IFERROR(VLOOKUP($A533,'Fusion ExDa'!$B$2:$D$16, 0,FALSE), IFERROR(VLOOKUP($A533,'Exetel ExDa'!$C$2:$N$14, 6,FALSE), IFERROR(VLOOKUP($A533,'Infinet ExDa'!$B$2:$E$14, 0,FALSE), "Not Found"))))))))</f>
        <v>Unlimited Business Internet,Business International Calling pack</v>
      </c>
      <c r="G533" t="str">
        <f>IFERROR(VLOOKUP($A533,'AAPT ExDa'!$B$2:$U$99, 5,FALSE), IFERROR(VLOOKUP($A533,'ABB ExDa'!$A$2:$N$184, 8,FALSE), IFERROR(VLOOKUP($A533,'Vocus SIT ExDa'!$B$2:$J$173, 6,FALSE), IFERROR(VLOOKUP($A533,'Telstra ExDa'!$B$2:$K$310, 0,FALSE), IFERROR(VLOOKUP($A533,'Vocus RVC ExDa'!$C$2:$R$155, 15,FALSE), IFERROR(VLOOKUP($A533,'Fusion ExDa'!$B$2:$D$16, 0,FALSE), IFERROR(VLOOKUP($A533,'Exetel ExDa'!$C$2:$N$14, 7,FALSE), IFERROR(VLOOKUP($A533,'Infinet ExDa'!$B$2:$E$14, 0,FALSE), "Not Found"))))))))</f>
        <v>Not Found</v>
      </c>
      <c r="H533" t="str">
        <f>IFERROR(VLOOKUP($A533,'AAPT ExDa'!$B$2:$U$99, 6,FALSE), IFERROR(VLOOKUP($A533,'ABB ExDa'!$A$2:$N$184, 0,FALSE), IFERROR(VLOOKUP($A533,'Vocus SIT ExDa'!$B$2:$J$173, 0,FALSE), IFERROR(VLOOKUP($A533,'Telstra ExDa'!$B$2:$K$310, 0,FALSE), IFERROR(VLOOKUP($A533,'Vocus RVC ExDa'!$C$2:$R$155, 16,FALSE), IFERROR(VLOOKUP($A533,'Fusion ExDa'!$B$2:$D$16, 0,FALSE), IFERROR(VLOOKUP($A533,'Exetel ExDa'!$C$2:$N$14, 0,FALSE), IFERROR(VLOOKUP($A533,'Infinet ExDa'!$B$2:$E$14, 0,FALSE), "Not Found"))))))))</f>
        <v>Not Found</v>
      </c>
      <c r="I533" t="str">
        <f>IFERROR(VLOOKUP($A533,'AAPT ExDa'!$B$2:$U$99, 0,FALSE), IFERROR(VLOOKUP($A533,'ABB ExDa'!$A$2:$N$184, 0,FALSE), IFERROR(VLOOKUP($A533,'Vocus SIT ExDa'!$B$2:$J$173, 0,FALSE), IFERROR(VLOOKUP($A533,'Telstra ExDa'!$B$2:$K$310, 0,FALSE), IFERROR(VLOOKUP($A533,'Vocus RVC ExDa'!$C$2:$R$155, 0,FALSE), IFERROR(VLOOKUP($A533,'Fusion ExDa'!$B$2:$D$16, 0,FALSE), IFERROR(VLOOKUP($A533,'Exetel ExDa'!$C$2:$N$14, 8,FALSE), IFERROR(VLOOKUP($A533,'Infinet ExDa'!$B$2:$E$14, 0,FALSE), "Not Found"))))))))</f>
        <v>Not Found</v>
      </c>
      <c r="J533" t="str">
        <f>IFERROR(VLOOKUP($A533,'AAPT ExDa'!$B$2:$U$99, 7,FALSE), IFERROR(VLOOKUP($A533,'ABB ExDa'!$A$2:$N$184, 2,FALSE), IFERROR(VLOOKUP($A533,'Vocus SIT ExDa'!$B$2:$J$173, 0,FALSE), IFERROR(VLOOKUP($A533,'Telstra ExDa'!$B$2:$K$310, 7,FALSE), IFERROR(VLOOKUP($A533,'Vocus RVC ExDa'!$C$2:$R$155, 2,FALSE), IFERROR(VLOOKUP($A533,'Fusion ExDa'!$B$2:$D$16, 3,FALSE), IFERROR(VLOOKUP($A533,'Exetel ExDa'!$C$2:$N$14, 0,FALSE), IFERROR(VLOOKUP($A533,'Infinet ExDa'!$B$2:$E$14, 0,FALSE), "Not Found"))))))))</f>
        <v>AVC000109603423</v>
      </c>
      <c r="K533" t="str">
        <f>IFERROR(VLOOKUP($A533,'AAPT ExDa'!$B$2:$U$99, 12,FALSE), IFERROR(VLOOKUP($A533,'ABB ExDa'!$A$2:$N$184, 0,FALSE), IFERROR(VLOOKUP($A533,'Vocus SIT ExDa'!$B$2:$J$173, 0,FALSE), IFERROR(VLOOKUP($A533,'Telstra ExDa'!$B$2:$K$310, 0,FALSE), IFERROR(VLOOKUP($A533,'Vocus RVC ExDa'!$C$2:$R$155, 0,FALSE), IFERROR(VLOOKUP($A533,'Fusion ExDa'!$B$2:$D$16, 0,FALSE), IFERROR(VLOOKUP($A533,'Exetel ExDa'!$C$2:$N$14, 12,FALSE), IFERROR(VLOOKUP($A533,'Infinet ExDa'!$B$2:$E$14, 0,FALSE), "Not Found"))))))))</f>
        <v>Not Found</v>
      </c>
      <c r="L533" s="235" t="str">
        <f>IFERROR(VLOOKUP($A533,'AAPT ExDa'!$B$2:$U$99, 11,FALSE), IFERROR(VLOOKUP($A533,'ABB ExDa'!$A$2:$N$184, 9,FALSE), IFERROR(VLOOKUP($A533,'Vocus SIT ExDa'!$B$2:$J$173, 8,FALSE), IFERROR(VLOOKUP($A533,'Telstra ExDa'!$B$2:$K$310, 0,FALSE), IFERROR(VLOOKUP($A533,'Vocus RVC ExDa'!$C$2:$R$155, 0,FALSE), IFERROR(VLOOKUP($A533,'Fusion ExDa'!$B$2:$D$16, 0,FALSE), IFERROR(VLOOKUP($A533,'Exetel ExDa'!$C$2:$N$14, 9,FALSE), IFERROR(VLOOKUP($A533,'Infinet ExDa'!$B$2:$E$14, 0,FALSE), "Not Found"))))))))</f>
        <v>Not Found</v>
      </c>
      <c r="M533" s="234" t="str">
        <f>IFERROR(VLOOKUP($A533,'AAPT ExDa'!$B$2:$U$99, 0,FALSE), IFERROR(VLOOKUP($A533,'ABB ExDa'!$A$2:$N$184, 0,FALSE), IFERROR(VLOOKUP($A533,'Vocus SIT ExDa'!$B$2:$J$173, 0,FALSE), IFERROR(VLOOKUP($A533,'Telstra ExDa'!$B$2:$K$310, 0,FALSE), IFERROR(VLOOKUP($A533,'Vocus RVC ExDa'!$C$2:$R$155, 0,FALSE), IFERROR(VLOOKUP($A533,'Fusion ExDa'!$B$2:$D$16, 0,FALSE), IFERROR(VLOOKUP($A533,'Exetel ExDa'!$C$2:$N$14, 11,FALSE), IFERROR(VLOOKUP($A533,'Infinet ExDa'!$B$2:$E$14, 0,FALSE), "Not Found"))))))))</f>
        <v>Not Found</v>
      </c>
      <c r="N533" t="str">
        <f>IFERROR(VLOOKUP($A533,'AAPT ExDa'!$B$2:$U$99, 0,FALSE), IFERROR(VLOOKUP($A533,'ABB ExDa'!$A$2:$N$184, 13,FALSE), IFERROR(VLOOKUP($A533,'Vocus SIT ExDa'!$B$2:$J$173, 0,FALSE), IFERROR(VLOOKUP($A533,'Telstra ExDa'!$B$2:$K$310, 0,FALSE), IFERROR(VLOOKUP($A533,'Vocus RVC ExDa'!$C$2:$R$155, 0,FALSE), IFERROR(VLOOKUP($A533,'Fusion ExDa'!$B$2:$D$16, 0,FALSE), IFERROR(VLOOKUP($A533,'Exetel ExDa'!$C$2:$N$14, 0,FALSE), IFERROR(VLOOKUP($A533,'Infinet ExDa'!$B$2:$E$14, 0,FALSE), "Not Found"))))))))</f>
        <v>Not Found</v>
      </c>
    </row>
    <row r="534" spans="1:14">
      <c r="A534">
        <v>0</v>
      </c>
      <c r="B534" t="str">
        <f>IFERROR(VLOOKUP(A534,'Exetel ExDa'!$C$2:$N$14,4,FALSE),"No Data")</f>
        <v>No Data</v>
      </c>
      <c r="C534" t="str">
        <f>IFERROR(VLOOKUP(A534,'AAPT ExDa'!$B$2:$U$99, 2,FALSE), IFERROR(VLOOKUP(A534,'ABB ExDa'!$A$2:$N$184, 2,FALSE), IFERROR(VLOOKUP(A534,'Vocus SIT ExDa'!$B$2:$J$173, 7,FALSE), IFERROR(VLOOKUP(A534,'Telstra ExDa'!$B$2:$K$310, 2,FALSE), IFERROR(VLOOKUP(A534,'Vocus RVC ExDa'!$C$2:$R$155, 3,FALSE), IFERROR(VLOOKUP(A534,'Fusion ExDa'!$B$2:$D$16, 2,FALSE), IFERROR(VLOOKUP(A534,'Exetel ExDa'!$C$2:$N$14, 2,FALSE), IFERROR(VLOOKUP(A534,'Infinet ExDa'!$B$2:$E$14, 2,FALSE), "Not Found"))))))))</f>
        <v>Not Found</v>
      </c>
      <c r="D534" t="str">
        <f>IFERROR(VLOOKUP($A534,'AAPT ExDa'!$B$2:$U$99, 15,FALSE), IFERROR(VLOOKUP($A534,'ABB ExDa'!$A$2:$N$184, 4,FALSE), IFERROR(VLOOKUP($A534,'Vocus SIT ExDa'!$B$2:$J$173, 5,FALSE), IFERROR(VLOOKUP($A534,'Telstra ExDa'!$B$2:$K$310, 8,FALSE), IFERROR(VLOOKUP($A534,'Vocus RVC ExDa'!$C$2:$R$155, 6,FALSE), IFERROR(VLOOKUP($A534,'Fusion ExDa'!$B$2:$D$16, 4,FALSE), IFERROR(VLOOKUP($A534,'Exetel ExDa'!$C$2:$N$14, 3,FALSE), IFERROR(VLOOKUP($A534,'Infinet ExDa'!$B$2:$E$14, 3,FALSE), "Not Found"))))))))</f>
        <v>Not Found</v>
      </c>
      <c r="E534" t="str">
        <f>IFERROR(VLOOKUP($A534,'AAPT ExDa'!$B$2:$U$99, 3,FALSE), IFERROR(VLOOKUP($A534,'ABB ExDa'!$A$2:$N$184, 5,FALSE), IFERROR(VLOOKUP($A534,'Vocus SIT ExDa'!$B$2:$J$173, 2,FALSE), IFERROR(VLOOKUP($A534,'Telstra ExDa'!$B$2:$K$310, 4,FALSE), IFERROR(VLOOKUP($A534,'Vocus RVC ExDa'!$C$2:$R$155, 8,FALSE), IFERROR(VLOOKUP($A534,'Fusion ExDa'!$B$2:$D$16, 4,FALSE), IFERROR(VLOOKUP($A534,'Exetel ExDa'!$C$2:$N$14, 5,FALSE), IFERROR(VLOOKUP($A534,'Infinet ExDa'!$B$2:$E$14, 3,FALSE), "Not Found"))))))))</f>
        <v>Not Found</v>
      </c>
      <c r="F534" t="str">
        <f>IFERROR(VLOOKUP($A534,'AAPT ExDa'!$B$2:$U$99, 4,FALSE), IFERROR(VLOOKUP($A534,'ABB ExDa'!$A$2:$N$184, 6,FALSE), IFERROR(VLOOKUP($A534,'Vocus SIT ExDa'!$B$2:$J$173, 3,FALSE), IFERROR(VLOOKUP($A534,'Telstra ExDa'!$B$2:$K$310, 5,FALSE), IFERROR(VLOOKUP($A534,'Vocus RVC ExDa'!$C$2:$R$155, 9,FALSE), IFERROR(VLOOKUP($A534,'Fusion ExDa'!$B$2:$D$16, 0,FALSE), IFERROR(VLOOKUP($A534,'Exetel ExDa'!$C$2:$N$14, 6,FALSE), IFERROR(VLOOKUP($A534,'Infinet ExDa'!$B$2:$E$14, 0,FALSE), "Not Found"))))))))</f>
        <v>Not Found</v>
      </c>
      <c r="G534" t="str">
        <f>IFERROR(VLOOKUP($A534,'AAPT ExDa'!$B$2:$U$99, 5,FALSE), IFERROR(VLOOKUP($A534,'ABB ExDa'!$A$2:$N$184, 8,FALSE), IFERROR(VLOOKUP($A534,'Vocus SIT ExDa'!$B$2:$J$173, 6,FALSE), IFERROR(VLOOKUP($A534,'Telstra ExDa'!$B$2:$K$310, 0,FALSE), IFERROR(VLOOKUP($A534,'Vocus RVC ExDa'!$C$2:$R$155, 15,FALSE), IFERROR(VLOOKUP($A534,'Fusion ExDa'!$B$2:$D$16, 0,FALSE), IFERROR(VLOOKUP($A534,'Exetel ExDa'!$C$2:$N$14, 7,FALSE), IFERROR(VLOOKUP($A534,'Infinet ExDa'!$B$2:$E$14, 0,FALSE), "Not Found"))))))))</f>
        <v>Not Found</v>
      </c>
      <c r="H534" t="str">
        <f>IFERROR(VLOOKUP($A534,'AAPT ExDa'!$B$2:$U$99, 6,FALSE), IFERROR(VLOOKUP($A534,'ABB ExDa'!$A$2:$N$184, 0,FALSE), IFERROR(VLOOKUP($A534,'Vocus SIT ExDa'!$B$2:$J$173, 0,FALSE), IFERROR(VLOOKUP($A534,'Telstra ExDa'!$B$2:$K$310, 0,FALSE), IFERROR(VLOOKUP($A534,'Vocus RVC ExDa'!$C$2:$R$155, 16,FALSE), IFERROR(VLOOKUP($A534,'Fusion ExDa'!$B$2:$D$16, 0,FALSE), IFERROR(VLOOKUP($A534,'Exetel ExDa'!$C$2:$N$14, 0,FALSE), IFERROR(VLOOKUP($A534,'Infinet ExDa'!$B$2:$E$14, 0,FALSE), "Not Found"))))))))</f>
        <v>Not Found</v>
      </c>
      <c r="I534" t="str">
        <f>IFERROR(VLOOKUP($A534,'AAPT ExDa'!$B$2:$U$99, 0,FALSE), IFERROR(VLOOKUP($A534,'ABB ExDa'!$A$2:$N$184, 0,FALSE), IFERROR(VLOOKUP($A534,'Vocus SIT ExDa'!$B$2:$J$173, 0,FALSE), IFERROR(VLOOKUP($A534,'Telstra ExDa'!$B$2:$K$310, 0,FALSE), IFERROR(VLOOKUP($A534,'Vocus RVC ExDa'!$C$2:$R$155, 0,FALSE), IFERROR(VLOOKUP($A534,'Fusion ExDa'!$B$2:$D$16, 0,FALSE), IFERROR(VLOOKUP($A534,'Exetel ExDa'!$C$2:$N$14, 8,FALSE), IFERROR(VLOOKUP($A534,'Infinet ExDa'!$B$2:$E$14, 0,FALSE), "Not Found"))))))))</f>
        <v>Not Found</v>
      </c>
      <c r="J534" t="str">
        <f>IFERROR(VLOOKUP($A534,'AAPT ExDa'!$B$2:$U$99, 7,FALSE), IFERROR(VLOOKUP($A534,'ABB ExDa'!$A$2:$N$184, 2,FALSE), IFERROR(VLOOKUP($A534,'Vocus SIT ExDa'!$B$2:$J$173, 0,FALSE), IFERROR(VLOOKUP($A534,'Telstra ExDa'!$B$2:$K$310, 7,FALSE), IFERROR(VLOOKUP($A534,'Vocus RVC ExDa'!$C$2:$R$155, 2,FALSE), IFERROR(VLOOKUP($A534,'Fusion ExDa'!$B$2:$D$16, 3,FALSE), IFERROR(VLOOKUP($A534,'Exetel ExDa'!$C$2:$N$14, 0,FALSE), IFERROR(VLOOKUP($A534,'Infinet ExDa'!$B$2:$E$14, 0,FALSE), "Not Found"))))))))</f>
        <v>Not Found</v>
      </c>
      <c r="K534" t="str">
        <f>IFERROR(VLOOKUP($A534,'AAPT ExDa'!$B$2:$U$99, 12,FALSE), IFERROR(VLOOKUP($A534,'ABB ExDa'!$A$2:$N$184, 0,FALSE), IFERROR(VLOOKUP($A534,'Vocus SIT ExDa'!$B$2:$J$173, 0,FALSE), IFERROR(VLOOKUP($A534,'Telstra ExDa'!$B$2:$K$310, 0,FALSE), IFERROR(VLOOKUP($A534,'Vocus RVC ExDa'!$C$2:$R$155, 0,FALSE), IFERROR(VLOOKUP($A534,'Fusion ExDa'!$B$2:$D$16, 0,FALSE), IFERROR(VLOOKUP($A534,'Exetel ExDa'!$C$2:$N$14, 12,FALSE), IFERROR(VLOOKUP($A534,'Infinet ExDa'!$B$2:$E$14, 0,FALSE), "Not Found"))))))))</f>
        <v>Not Found</v>
      </c>
      <c r="L534" s="235" t="str">
        <f>IFERROR(VLOOKUP($A534,'AAPT ExDa'!$B$2:$U$99, 11,FALSE), IFERROR(VLOOKUP($A534,'ABB ExDa'!$A$2:$N$184, 9,FALSE), IFERROR(VLOOKUP($A534,'Vocus SIT ExDa'!$B$2:$J$173, 8,FALSE), IFERROR(VLOOKUP($A534,'Telstra ExDa'!$B$2:$K$310, 0,FALSE), IFERROR(VLOOKUP($A534,'Vocus RVC ExDa'!$C$2:$R$155, 0,FALSE), IFERROR(VLOOKUP($A534,'Fusion ExDa'!$B$2:$D$16, 0,FALSE), IFERROR(VLOOKUP($A534,'Exetel ExDa'!$C$2:$N$14, 9,FALSE), IFERROR(VLOOKUP($A534,'Infinet ExDa'!$B$2:$E$14, 0,FALSE), "Not Found"))))))))</f>
        <v>Not Found</v>
      </c>
      <c r="M534" s="234" t="str">
        <f>IFERROR(VLOOKUP($A534,'AAPT ExDa'!$B$2:$U$99, 0,FALSE), IFERROR(VLOOKUP($A534,'ABB ExDa'!$A$2:$N$184, 0,FALSE), IFERROR(VLOOKUP($A534,'Vocus SIT ExDa'!$B$2:$J$173, 0,FALSE), IFERROR(VLOOKUP($A534,'Telstra ExDa'!$B$2:$K$310, 0,FALSE), IFERROR(VLOOKUP($A534,'Vocus RVC ExDa'!$C$2:$R$155, 0,FALSE), IFERROR(VLOOKUP($A534,'Fusion ExDa'!$B$2:$D$16, 0,FALSE), IFERROR(VLOOKUP($A534,'Exetel ExDa'!$C$2:$N$14, 11,FALSE), IFERROR(VLOOKUP($A534,'Infinet ExDa'!$B$2:$E$14, 0,FALSE), "Not Found"))))))))</f>
        <v>Not Found</v>
      </c>
      <c r="N534" t="str">
        <f>IFERROR(VLOOKUP($A534,'AAPT ExDa'!$B$2:$U$99, 0,FALSE), IFERROR(VLOOKUP($A534,'ABB ExDa'!$A$2:$N$184, 13,FALSE), IFERROR(VLOOKUP($A534,'Vocus SIT ExDa'!$B$2:$J$173, 0,FALSE), IFERROR(VLOOKUP($A534,'Telstra ExDa'!$B$2:$K$310, 0,FALSE), IFERROR(VLOOKUP($A534,'Vocus RVC ExDa'!$C$2:$R$155, 0,FALSE), IFERROR(VLOOKUP($A534,'Fusion ExDa'!$B$2:$D$16, 0,FALSE), IFERROR(VLOOKUP($A534,'Exetel ExDa'!$C$2:$N$14, 0,FALSE), IFERROR(VLOOKUP($A534,'Infinet ExDa'!$B$2:$E$14, 0,FALSE), "Not Found"))))))))</f>
        <v>Not Found</v>
      </c>
    </row>
    <row r="535" spans="1:14">
      <c r="A535">
        <v>0</v>
      </c>
      <c r="B535" t="str">
        <f>IFERROR(VLOOKUP(A535,'Exetel ExDa'!$C$2:$N$14,4,FALSE),"No Data")</f>
        <v>No Data</v>
      </c>
      <c r="C535" t="str">
        <f>IFERROR(VLOOKUP(A535,'AAPT ExDa'!$B$2:$U$99, 2,FALSE), IFERROR(VLOOKUP(A535,'ABB ExDa'!$A$2:$N$184, 2,FALSE), IFERROR(VLOOKUP(A535,'Vocus SIT ExDa'!$B$2:$J$173, 7,FALSE), IFERROR(VLOOKUP(A535,'Telstra ExDa'!$B$2:$K$310, 2,FALSE), IFERROR(VLOOKUP(A535,'Vocus RVC ExDa'!$C$2:$R$155, 3,FALSE), IFERROR(VLOOKUP(A535,'Fusion ExDa'!$B$2:$D$16, 2,FALSE), IFERROR(VLOOKUP(A535,'Exetel ExDa'!$C$2:$N$14, 2,FALSE), IFERROR(VLOOKUP(A535,'Infinet ExDa'!$B$2:$E$14, 2,FALSE), "Not Found"))))))))</f>
        <v>Not Found</v>
      </c>
      <c r="D535" t="str">
        <f>IFERROR(VLOOKUP($A535,'AAPT ExDa'!$B$2:$U$99, 15,FALSE), IFERROR(VLOOKUP($A535,'ABB ExDa'!$A$2:$N$184, 4,FALSE), IFERROR(VLOOKUP($A535,'Vocus SIT ExDa'!$B$2:$J$173, 5,FALSE), IFERROR(VLOOKUP($A535,'Telstra ExDa'!$B$2:$K$310, 8,FALSE), IFERROR(VLOOKUP($A535,'Vocus RVC ExDa'!$C$2:$R$155, 6,FALSE), IFERROR(VLOOKUP($A535,'Fusion ExDa'!$B$2:$D$16, 4,FALSE), IFERROR(VLOOKUP($A535,'Exetel ExDa'!$C$2:$N$14, 3,FALSE), IFERROR(VLOOKUP($A535,'Infinet ExDa'!$B$2:$E$14, 3,FALSE), "Not Found"))))))))</f>
        <v>Not Found</v>
      </c>
      <c r="E535" t="str">
        <f>IFERROR(VLOOKUP($A535,'AAPT ExDa'!$B$2:$U$99, 3,FALSE), IFERROR(VLOOKUP($A535,'ABB ExDa'!$A$2:$N$184, 5,FALSE), IFERROR(VLOOKUP($A535,'Vocus SIT ExDa'!$B$2:$J$173, 2,FALSE), IFERROR(VLOOKUP($A535,'Telstra ExDa'!$B$2:$K$310, 4,FALSE), IFERROR(VLOOKUP($A535,'Vocus RVC ExDa'!$C$2:$R$155, 8,FALSE), IFERROR(VLOOKUP($A535,'Fusion ExDa'!$B$2:$D$16, 4,FALSE), IFERROR(VLOOKUP($A535,'Exetel ExDa'!$C$2:$N$14, 5,FALSE), IFERROR(VLOOKUP($A535,'Infinet ExDa'!$B$2:$E$14, 3,FALSE), "Not Found"))))))))</f>
        <v>Not Found</v>
      </c>
      <c r="F535" t="str">
        <f>IFERROR(VLOOKUP($A535,'AAPT ExDa'!$B$2:$U$99, 4,FALSE), IFERROR(VLOOKUP($A535,'ABB ExDa'!$A$2:$N$184, 6,FALSE), IFERROR(VLOOKUP($A535,'Vocus SIT ExDa'!$B$2:$J$173, 3,FALSE), IFERROR(VLOOKUP($A535,'Telstra ExDa'!$B$2:$K$310, 5,FALSE), IFERROR(VLOOKUP($A535,'Vocus RVC ExDa'!$C$2:$R$155, 9,FALSE), IFERROR(VLOOKUP($A535,'Fusion ExDa'!$B$2:$D$16, 0,FALSE), IFERROR(VLOOKUP($A535,'Exetel ExDa'!$C$2:$N$14, 6,FALSE), IFERROR(VLOOKUP($A535,'Infinet ExDa'!$B$2:$E$14, 0,FALSE), "Not Found"))))))))</f>
        <v>Not Found</v>
      </c>
      <c r="G535" t="str">
        <f>IFERROR(VLOOKUP($A535,'AAPT ExDa'!$B$2:$U$99, 5,FALSE), IFERROR(VLOOKUP($A535,'ABB ExDa'!$A$2:$N$184, 8,FALSE), IFERROR(VLOOKUP($A535,'Vocus SIT ExDa'!$B$2:$J$173, 6,FALSE), IFERROR(VLOOKUP($A535,'Telstra ExDa'!$B$2:$K$310, 0,FALSE), IFERROR(VLOOKUP($A535,'Vocus RVC ExDa'!$C$2:$R$155, 15,FALSE), IFERROR(VLOOKUP($A535,'Fusion ExDa'!$B$2:$D$16, 0,FALSE), IFERROR(VLOOKUP($A535,'Exetel ExDa'!$C$2:$N$14, 7,FALSE), IFERROR(VLOOKUP($A535,'Infinet ExDa'!$B$2:$E$14, 0,FALSE), "Not Found"))))))))</f>
        <v>Not Found</v>
      </c>
      <c r="H535" t="str">
        <f>IFERROR(VLOOKUP($A535,'AAPT ExDa'!$B$2:$U$99, 6,FALSE), IFERROR(VLOOKUP($A535,'ABB ExDa'!$A$2:$N$184, 0,FALSE), IFERROR(VLOOKUP($A535,'Vocus SIT ExDa'!$B$2:$J$173, 0,FALSE), IFERROR(VLOOKUP($A535,'Telstra ExDa'!$B$2:$K$310, 0,FALSE), IFERROR(VLOOKUP($A535,'Vocus RVC ExDa'!$C$2:$R$155, 16,FALSE), IFERROR(VLOOKUP($A535,'Fusion ExDa'!$B$2:$D$16, 0,FALSE), IFERROR(VLOOKUP($A535,'Exetel ExDa'!$C$2:$N$14, 0,FALSE), IFERROR(VLOOKUP($A535,'Infinet ExDa'!$B$2:$E$14, 0,FALSE), "Not Found"))))))))</f>
        <v>Not Found</v>
      </c>
      <c r="I535" t="str">
        <f>IFERROR(VLOOKUP($A535,'AAPT ExDa'!$B$2:$U$99, 0,FALSE), IFERROR(VLOOKUP($A535,'ABB ExDa'!$A$2:$N$184, 0,FALSE), IFERROR(VLOOKUP($A535,'Vocus SIT ExDa'!$B$2:$J$173, 0,FALSE), IFERROR(VLOOKUP($A535,'Telstra ExDa'!$B$2:$K$310, 0,FALSE), IFERROR(VLOOKUP($A535,'Vocus RVC ExDa'!$C$2:$R$155, 0,FALSE), IFERROR(VLOOKUP($A535,'Fusion ExDa'!$B$2:$D$16, 0,FALSE), IFERROR(VLOOKUP($A535,'Exetel ExDa'!$C$2:$N$14, 8,FALSE), IFERROR(VLOOKUP($A535,'Infinet ExDa'!$B$2:$E$14, 0,FALSE), "Not Found"))))))))</f>
        <v>Not Found</v>
      </c>
      <c r="J535" t="str">
        <f>IFERROR(VLOOKUP($A535,'AAPT ExDa'!$B$2:$U$99, 7,FALSE), IFERROR(VLOOKUP($A535,'ABB ExDa'!$A$2:$N$184, 2,FALSE), IFERROR(VLOOKUP($A535,'Vocus SIT ExDa'!$B$2:$J$173, 0,FALSE), IFERROR(VLOOKUP($A535,'Telstra ExDa'!$B$2:$K$310, 7,FALSE), IFERROR(VLOOKUP($A535,'Vocus RVC ExDa'!$C$2:$R$155, 2,FALSE), IFERROR(VLOOKUP($A535,'Fusion ExDa'!$B$2:$D$16, 3,FALSE), IFERROR(VLOOKUP($A535,'Exetel ExDa'!$C$2:$N$14, 0,FALSE), IFERROR(VLOOKUP($A535,'Infinet ExDa'!$B$2:$E$14, 0,FALSE), "Not Found"))))))))</f>
        <v>Not Found</v>
      </c>
      <c r="K535" t="str">
        <f>IFERROR(VLOOKUP($A535,'AAPT ExDa'!$B$2:$U$99, 12,FALSE), IFERROR(VLOOKUP($A535,'ABB ExDa'!$A$2:$N$184, 0,FALSE), IFERROR(VLOOKUP($A535,'Vocus SIT ExDa'!$B$2:$J$173, 0,FALSE), IFERROR(VLOOKUP($A535,'Telstra ExDa'!$B$2:$K$310, 0,FALSE), IFERROR(VLOOKUP($A535,'Vocus RVC ExDa'!$C$2:$R$155, 0,FALSE), IFERROR(VLOOKUP($A535,'Fusion ExDa'!$B$2:$D$16, 0,FALSE), IFERROR(VLOOKUP($A535,'Exetel ExDa'!$C$2:$N$14, 12,FALSE), IFERROR(VLOOKUP($A535,'Infinet ExDa'!$B$2:$E$14, 0,FALSE), "Not Found"))))))))</f>
        <v>Not Found</v>
      </c>
      <c r="L535" s="235" t="str">
        <f>IFERROR(VLOOKUP($A535,'AAPT ExDa'!$B$2:$U$99, 11,FALSE), IFERROR(VLOOKUP($A535,'ABB ExDa'!$A$2:$N$184, 9,FALSE), IFERROR(VLOOKUP($A535,'Vocus SIT ExDa'!$B$2:$J$173, 8,FALSE), IFERROR(VLOOKUP($A535,'Telstra ExDa'!$B$2:$K$310, 0,FALSE), IFERROR(VLOOKUP($A535,'Vocus RVC ExDa'!$C$2:$R$155, 0,FALSE), IFERROR(VLOOKUP($A535,'Fusion ExDa'!$B$2:$D$16, 0,FALSE), IFERROR(VLOOKUP($A535,'Exetel ExDa'!$C$2:$N$14, 9,FALSE), IFERROR(VLOOKUP($A535,'Infinet ExDa'!$B$2:$E$14, 0,FALSE), "Not Found"))))))))</f>
        <v>Not Found</v>
      </c>
      <c r="M535" s="234" t="str">
        <f>IFERROR(VLOOKUP($A535,'AAPT ExDa'!$B$2:$U$99, 0,FALSE), IFERROR(VLOOKUP($A535,'ABB ExDa'!$A$2:$N$184, 0,FALSE), IFERROR(VLOOKUP($A535,'Vocus SIT ExDa'!$B$2:$J$173, 0,FALSE), IFERROR(VLOOKUP($A535,'Telstra ExDa'!$B$2:$K$310, 0,FALSE), IFERROR(VLOOKUP($A535,'Vocus RVC ExDa'!$C$2:$R$155, 0,FALSE), IFERROR(VLOOKUP($A535,'Fusion ExDa'!$B$2:$D$16, 0,FALSE), IFERROR(VLOOKUP($A535,'Exetel ExDa'!$C$2:$N$14, 11,FALSE), IFERROR(VLOOKUP($A535,'Infinet ExDa'!$B$2:$E$14, 0,FALSE), "Not Found"))))))))</f>
        <v>Not Found</v>
      </c>
      <c r="N535" t="str">
        <f>IFERROR(VLOOKUP($A535,'AAPT ExDa'!$B$2:$U$99, 0,FALSE), IFERROR(VLOOKUP($A535,'ABB ExDa'!$A$2:$N$184, 13,FALSE), IFERROR(VLOOKUP($A535,'Vocus SIT ExDa'!$B$2:$J$173, 0,FALSE), IFERROR(VLOOKUP($A535,'Telstra ExDa'!$B$2:$K$310, 0,FALSE), IFERROR(VLOOKUP($A535,'Vocus RVC ExDa'!$C$2:$R$155, 0,FALSE), IFERROR(VLOOKUP($A535,'Fusion ExDa'!$B$2:$D$16, 0,FALSE), IFERROR(VLOOKUP($A535,'Exetel ExDa'!$C$2:$N$14, 0,FALSE), IFERROR(VLOOKUP($A535,'Infinet ExDa'!$B$2:$E$14, 0,FALSE), "Not Found"))))))))</f>
        <v>Not Found</v>
      </c>
    </row>
    <row r="536" spans="1:14">
      <c r="A536">
        <v>0</v>
      </c>
      <c r="B536" t="str">
        <f>IFERROR(VLOOKUP(A536,'Exetel ExDa'!$C$2:$N$14,4,FALSE),"No Data")</f>
        <v>No Data</v>
      </c>
      <c r="C536" t="str">
        <f>IFERROR(VLOOKUP(A536,'AAPT ExDa'!$B$2:$U$99, 2,FALSE), IFERROR(VLOOKUP(A536,'ABB ExDa'!$A$2:$N$184, 2,FALSE), IFERROR(VLOOKUP(A536,'Vocus SIT ExDa'!$B$2:$J$173, 7,FALSE), IFERROR(VLOOKUP(A536,'Telstra ExDa'!$B$2:$K$310, 2,FALSE), IFERROR(VLOOKUP(A536,'Vocus RVC ExDa'!$C$2:$R$155, 3,FALSE), IFERROR(VLOOKUP(A536,'Fusion ExDa'!$B$2:$D$16, 2,FALSE), IFERROR(VLOOKUP(A536,'Exetel ExDa'!$C$2:$N$14, 2,FALSE), IFERROR(VLOOKUP(A536,'Infinet ExDa'!$B$2:$E$14, 2,FALSE), "Not Found"))))))))</f>
        <v>Not Found</v>
      </c>
      <c r="D536" t="str">
        <f>IFERROR(VLOOKUP($A536,'AAPT ExDa'!$B$2:$U$99, 15,FALSE), IFERROR(VLOOKUP($A536,'ABB ExDa'!$A$2:$N$184, 4,FALSE), IFERROR(VLOOKUP($A536,'Vocus SIT ExDa'!$B$2:$J$173, 5,FALSE), IFERROR(VLOOKUP($A536,'Telstra ExDa'!$B$2:$K$310, 8,FALSE), IFERROR(VLOOKUP($A536,'Vocus RVC ExDa'!$C$2:$R$155, 6,FALSE), IFERROR(VLOOKUP($A536,'Fusion ExDa'!$B$2:$D$16, 4,FALSE), IFERROR(VLOOKUP($A536,'Exetel ExDa'!$C$2:$N$14, 3,FALSE), IFERROR(VLOOKUP($A536,'Infinet ExDa'!$B$2:$E$14, 3,FALSE), "Not Found"))))))))</f>
        <v>Not Found</v>
      </c>
      <c r="E536" t="str">
        <f>IFERROR(VLOOKUP($A536,'AAPT ExDa'!$B$2:$U$99, 3,FALSE), IFERROR(VLOOKUP($A536,'ABB ExDa'!$A$2:$N$184, 5,FALSE), IFERROR(VLOOKUP($A536,'Vocus SIT ExDa'!$B$2:$J$173, 2,FALSE), IFERROR(VLOOKUP($A536,'Telstra ExDa'!$B$2:$K$310, 4,FALSE), IFERROR(VLOOKUP($A536,'Vocus RVC ExDa'!$C$2:$R$155, 8,FALSE), IFERROR(VLOOKUP($A536,'Fusion ExDa'!$B$2:$D$16, 4,FALSE), IFERROR(VLOOKUP($A536,'Exetel ExDa'!$C$2:$N$14, 5,FALSE), IFERROR(VLOOKUP($A536,'Infinet ExDa'!$B$2:$E$14, 3,FALSE), "Not Found"))))))))</f>
        <v>Not Found</v>
      </c>
      <c r="F536" t="str">
        <f>IFERROR(VLOOKUP($A536,'AAPT ExDa'!$B$2:$U$99, 4,FALSE), IFERROR(VLOOKUP($A536,'ABB ExDa'!$A$2:$N$184, 6,FALSE), IFERROR(VLOOKUP($A536,'Vocus SIT ExDa'!$B$2:$J$173, 3,FALSE), IFERROR(VLOOKUP($A536,'Telstra ExDa'!$B$2:$K$310, 5,FALSE), IFERROR(VLOOKUP($A536,'Vocus RVC ExDa'!$C$2:$R$155, 9,FALSE), IFERROR(VLOOKUP($A536,'Fusion ExDa'!$B$2:$D$16, 0,FALSE), IFERROR(VLOOKUP($A536,'Exetel ExDa'!$C$2:$N$14, 6,FALSE), IFERROR(VLOOKUP($A536,'Infinet ExDa'!$B$2:$E$14, 0,FALSE), "Not Found"))))))))</f>
        <v>Not Found</v>
      </c>
      <c r="G536" t="str">
        <f>IFERROR(VLOOKUP($A536,'AAPT ExDa'!$B$2:$U$99, 5,FALSE), IFERROR(VLOOKUP($A536,'ABB ExDa'!$A$2:$N$184, 8,FALSE), IFERROR(VLOOKUP($A536,'Vocus SIT ExDa'!$B$2:$J$173, 6,FALSE), IFERROR(VLOOKUP($A536,'Telstra ExDa'!$B$2:$K$310, 0,FALSE), IFERROR(VLOOKUP($A536,'Vocus RVC ExDa'!$C$2:$R$155, 15,FALSE), IFERROR(VLOOKUP($A536,'Fusion ExDa'!$B$2:$D$16, 0,FALSE), IFERROR(VLOOKUP($A536,'Exetel ExDa'!$C$2:$N$14, 7,FALSE), IFERROR(VLOOKUP($A536,'Infinet ExDa'!$B$2:$E$14, 0,FALSE), "Not Found"))))))))</f>
        <v>Not Found</v>
      </c>
      <c r="H536" t="str">
        <f>IFERROR(VLOOKUP($A536,'AAPT ExDa'!$B$2:$U$99, 6,FALSE), IFERROR(VLOOKUP($A536,'ABB ExDa'!$A$2:$N$184, 0,FALSE), IFERROR(VLOOKUP($A536,'Vocus SIT ExDa'!$B$2:$J$173, 0,FALSE), IFERROR(VLOOKUP($A536,'Telstra ExDa'!$B$2:$K$310, 0,FALSE), IFERROR(VLOOKUP($A536,'Vocus RVC ExDa'!$C$2:$R$155, 16,FALSE), IFERROR(VLOOKUP($A536,'Fusion ExDa'!$B$2:$D$16, 0,FALSE), IFERROR(VLOOKUP($A536,'Exetel ExDa'!$C$2:$N$14, 0,FALSE), IFERROR(VLOOKUP($A536,'Infinet ExDa'!$B$2:$E$14, 0,FALSE), "Not Found"))))))))</f>
        <v>Not Found</v>
      </c>
      <c r="I536" t="str">
        <f>IFERROR(VLOOKUP($A536,'AAPT ExDa'!$B$2:$U$99, 0,FALSE), IFERROR(VLOOKUP($A536,'ABB ExDa'!$A$2:$N$184, 0,FALSE), IFERROR(VLOOKUP($A536,'Vocus SIT ExDa'!$B$2:$J$173, 0,FALSE), IFERROR(VLOOKUP($A536,'Telstra ExDa'!$B$2:$K$310, 0,FALSE), IFERROR(VLOOKUP($A536,'Vocus RVC ExDa'!$C$2:$R$155, 0,FALSE), IFERROR(VLOOKUP($A536,'Fusion ExDa'!$B$2:$D$16, 0,FALSE), IFERROR(VLOOKUP($A536,'Exetel ExDa'!$C$2:$N$14, 8,FALSE), IFERROR(VLOOKUP($A536,'Infinet ExDa'!$B$2:$E$14, 0,FALSE), "Not Found"))))))))</f>
        <v>Not Found</v>
      </c>
      <c r="J536" t="str">
        <f>IFERROR(VLOOKUP($A536,'AAPT ExDa'!$B$2:$U$99, 7,FALSE), IFERROR(VLOOKUP($A536,'ABB ExDa'!$A$2:$N$184, 2,FALSE), IFERROR(VLOOKUP($A536,'Vocus SIT ExDa'!$B$2:$J$173, 0,FALSE), IFERROR(VLOOKUP($A536,'Telstra ExDa'!$B$2:$K$310, 7,FALSE), IFERROR(VLOOKUP($A536,'Vocus RVC ExDa'!$C$2:$R$155, 2,FALSE), IFERROR(VLOOKUP($A536,'Fusion ExDa'!$B$2:$D$16, 3,FALSE), IFERROR(VLOOKUP($A536,'Exetel ExDa'!$C$2:$N$14, 0,FALSE), IFERROR(VLOOKUP($A536,'Infinet ExDa'!$B$2:$E$14, 0,FALSE), "Not Found"))))))))</f>
        <v>Not Found</v>
      </c>
      <c r="K536" t="str">
        <f>IFERROR(VLOOKUP($A536,'AAPT ExDa'!$B$2:$U$99, 12,FALSE), IFERROR(VLOOKUP($A536,'ABB ExDa'!$A$2:$N$184, 0,FALSE), IFERROR(VLOOKUP($A536,'Vocus SIT ExDa'!$B$2:$J$173, 0,FALSE), IFERROR(VLOOKUP($A536,'Telstra ExDa'!$B$2:$K$310, 0,FALSE), IFERROR(VLOOKUP($A536,'Vocus RVC ExDa'!$C$2:$R$155, 0,FALSE), IFERROR(VLOOKUP($A536,'Fusion ExDa'!$B$2:$D$16, 0,FALSE), IFERROR(VLOOKUP($A536,'Exetel ExDa'!$C$2:$N$14, 12,FALSE), IFERROR(VLOOKUP($A536,'Infinet ExDa'!$B$2:$E$14, 0,FALSE), "Not Found"))))))))</f>
        <v>Not Found</v>
      </c>
      <c r="L536" s="235" t="str">
        <f>IFERROR(VLOOKUP($A536,'AAPT ExDa'!$B$2:$U$99, 11,FALSE), IFERROR(VLOOKUP($A536,'ABB ExDa'!$A$2:$N$184, 9,FALSE), IFERROR(VLOOKUP($A536,'Vocus SIT ExDa'!$B$2:$J$173, 8,FALSE), IFERROR(VLOOKUP($A536,'Telstra ExDa'!$B$2:$K$310, 0,FALSE), IFERROR(VLOOKUP($A536,'Vocus RVC ExDa'!$C$2:$R$155, 0,FALSE), IFERROR(VLOOKUP($A536,'Fusion ExDa'!$B$2:$D$16, 0,FALSE), IFERROR(VLOOKUP($A536,'Exetel ExDa'!$C$2:$N$14, 9,FALSE), IFERROR(VLOOKUP($A536,'Infinet ExDa'!$B$2:$E$14, 0,FALSE), "Not Found"))))))))</f>
        <v>Not Found</v>
      </c>
      <c r="M536" s="234" t="str">
        <f>IFERROR(VLOOKUP($A536,'AAPT ExDa'!$B$2:$U$99, 0,FALSE), IFERROR(VLOOKUP($A536,'ABB ExDa'!$A$2:$N$184, 0,FALSE), IFERROR(VLOOKUP($A536,'Vocus SIT ExDa'!$B$2:$J$173, 0,FALSE), IFERROR(VLOOKUP($A536,'Telstra ExDa'!$B$2:$K$310, 0,FALSE), IFERROR(VLOOKUP($A536,'Vocus RVC ExDa'!$C$2:$R$155, 0,FALSE), IFERROR(VLOOKUP($A536,'Fusion ExDa'!$B$2:$D$16, 0,FALSE), IFERROR(VLOOKUP($A536,'Exetel ExDa'!$C$2:$N$14, 11,FALSE), IFERROR(VLOOKUP($A536,'Infinet ExDa'!$B$2:$E$14, 0,FALSE), "Not Found"))))))))</f>
        <v>Not Found</v>
      </c>
      <c r="N536" t="str">
        <f>IFERROR(VLOOKUP($A536,'AAPT ExDa'!$B$2:$U$99, 0,FALSE), IFERROR(VLOOKUP($A536,'ABB ExDa'!$A$2:$N$184, 13,FALSE), IFERROR(VLOOKUP($A536,'Vocus SIT ExDa'!$B$2:$J$173, 0,FALSE), IFERROR(VLOOKUP($A536,'Telstra ExDa'!$B$2:$K$310, 0,FALSE), IFERROR(VLOOKUP($A536,'Vocus RVC ExDa'!$C$2:$R$155, 0,FALSE), IFERROR(VLOOKUP($A536,'Fusion ExDa'!$B$2:$D$16, 0,FALSE), IFERROR(VLOOKUP($A536,'Exetel ExDa'!$C$2:$N$14, 0,FALSE), IFERROR(VLOOKUP($A536,'Infinet ExDa'!$B$2:$E$14, 0,FALSE), "Not Found"))))))))</f>
        <v>Not Found</v>
      </c>
    </row>
    <row r="537" spans="1:14">
      <c r="A537">
        <v>0</v>
      </c>
      <c r="B537" t="str">
        <f>IFERROR(VLOOKUP(A537,'Exetel ExDa'!$C$2:$N$14,4,FALSE),"No Data")</f>
        <v>No Data</v>
      </c>
      <c r="C537" t="str">
        <f>IFERROR(VLOOKUP(A537,'AAPT ExDa'!$B$2:$U$99, 2,FALSE), IFERROR(VLOOKUP(A537,'ABB ExDa'!$A$2:$N$184, 2,FALSE), IFERROR(VLOOKUP(A537,'Vocus SIT ExDa'!$B$2:$J$173, 7,FALSE), IFERROR(VLOOKUP(A537,'Telstra ExDa'!$B$2:$K$310, 2,FALSE), IFERROR(VLOOKUP(A537,'Vocus RVC ExDa'!$C$2:$R$155, 3,FALSE), IFERROR(VLOOKUP(A537,'Fusion ExDa'!$B$2:$D$16, 2,FALSE), IFERROR(VLOOKUP(A537,'Exetel ExDa'!$C$2:$N$14, 2,FALSE), IFERROR(VLOOKUP(A537,'Infinet ExDa'!$B$2:$E$14, 2,FALSE), "Not Found"))))))))</f>
        <v>Not Found</v>
      </c>
      <c r="D537" t="str">
        <f>IFERROR(VLOOKUP($A537,'AAPT ExDa'!$B$2:$U$99, 15,FALSE), IFERROR(VLOOKUP($A537,'ABB ExDa'!$A$2:$N$184, 4,FALSE), IFERROR(VLOOKUP($A537,'Vocus SIT ExDa'!$B$2:$J$173, 5,FALSE), IFERROR(VLOOKUP($A537,'Telstra ExDa'!$B$2:$K$310, 8,FALSE), IFERROR(VLOOKUP($A537,'Vocus RVC ExDa'!$C$2:$R$155, 6,FALSE), IFERROR(VLOOKUP($A537,'Fusion ExDa'!$B$2:$D$16, 4,FALSE), IFERROR(VLOOKUP($A537,'Exetel ExDa'!$C$2:$N$14, 3,FALSE), IFERROR(VLOOKUP($A537,'Infinet ExDa'!$B$2:$E$14, 3,FALSE), "Not Found"))))))))</f>
        <v>Not Found</v>
      </c>
      <c r="E537" t="str">
        <f>IFERROR(VLOOKUP($A537,'AAPT ExDa'!$B$2:$U$99, 3,FALSE), IFERROR(VLOOKUP($A537,'ABB ExDa'!$A$2:$N$184, 5,FALSE), IFERROR(VLOOKUP($A537,'Vocus SIT ExDa'!$B$2:$J$173, 2,FALSE), IFERROR(VLOOKUP($A537,'Telstra ExDa'!$B$2:$K$310, 4,FALSE), IFERROR(VLOOKUP($A537,'Vocus RVC ExDa'!$C$2:$R$155, 8,FALSE), IFERROR(VLOOKUP($A537,'Fusion ExDa'!$B$2:$D$16, 4,FALSE), IFERROR(VLOOKUP($A537,'Exetel ExDa'!$C$2:$N$14, 5,FALSE), IFERROR(VLOOKUP($A537,'Infinet ExDa'!$B$2:$E$14, 3,FALSE), "Not Found"))))))))</f>
        <v>Not Found</v>
      </c>
      <c r="F537" t="str">
        <f>IFERROR(VLOOKUP($A537,'AAPT ExDa'!$B$2:$U$99, 4,FALSE), IFERROR(VLOOKUP($A537,'ABB ExDa'!$A$2:$N$184, 6,FALSE), IFERROR(VLOOKUP($A537,'Vocus SIT ExDa'!$B$2:$J$173, 3,FALSE), IFERROR(VLOOKUP($A537,'Telstra ExDa'!$B$2:$K$310, 5,FALSE), IFERROR(VLOOKUP($A537,'Vocus RVC ExDa'!$C$2:$R$155, 9,FALSE), IFERROR(VLOOKUP($A537,'Fusion ExDa'!$B$2:$D$16, 0,FALSE), IFERROR(VLOOKUP($A537,'Exetel ExDa'!$C$2:$N$14, 6,FALSE), IFERROR(VLOOKUP($A537,'Infinet ExDa'!$B$2:$E$14, 0,FALSE), "Not Found"))))))))</f>
        <v>Not Found</v>
      </c>
      <c r="G537" t="str">
        <f>IFERROR(VLOOKUP($A537,'AAPT ExDa'!$B$2:$U$99, 5,FALSE), IFERROR(VLOOKUP($A537,'ABB ExDa'!$A$2:$N$184, 8,FALSE), IFERROR(VLOOKUP($A537,'Vocus SIT ExDa'!$B$2:$J$173, 6,FALSE), IFERROR(VLOOKUP($A537,'Telstra ExDa'!$B$2:$K$310, 0,FALSE), IFERROR(VLOOKUP($A537,'Vocus RVC ExDa'!$C$2:$R$155, 15,FALSE), IFERROR(VLOOKUP($A537,'Fusion ExDa'!$B$2:$D$16, 0,FALSE), IFERROR(VLOOKUP($A537,'Exetel ExDa'!$C$2:$N$14, 7,FALSE), IFERROR(VLOOKUP($A537,'Infinet ExDa'!$B$2:$E$14, 0,FALSE), "Not Found"))))))))</f>
        <v>Not Found</v>
      </c>
      <c r="H537" t="str">
        <f>IFERROR(VLOOKUP($A537,'AAPT ExDa'!$B$2:$U$99, 6,FALSE), IFERROR(VLOOKUP($A537,'ABB ExDa'!$A$2:$N$184, 0,FALSE), IFERROR(VLOOKUP($A537,'Vocus SIT ExDa'!$B$2:$J$173, 0,FALSE), IFERROR(VLOOKUP($A537,'Telstra ExDa'!$B$2:$K$310, 0,FALSE), IFERROR(VLOOKUP($A537,'Vocus RVC ExDa'!$C$2:$R$155, 16,FALSE), IFERROR(VLOOKUP($A537,'Fusion ExDa'!$B$2:$D$16, 0,FALSE), IFERROR(VLOOKUP($A537,'Exetel ExDa'!$C$2:$N$14, 0,FALSE), IFERROR(VLOOKUP($A537,'Infinet ExDa'!$B$2:$E$14, 0,FALSE), "Not Found"))))))))</f>
        <v>Not Found</v>
      </c>
      <c r="I537" t="str">
        <f>IFERROR(VLOOKUP($A537,'AAPT ExDa'!$B$2:$U$99, 0,FALSE), IFERROR(VLOOKUP($A537,'ABB ExDa'!$A$2:$N$184, 0,FALSE), IFERROR(VLOOKUP($A537,'Vocus SIT ExDa'!$B$2:$J$173, 0,FALSE), IFERROR(VLOOKUP($A537,'Telstra ExDa'!$B$2:$K$310, 0,FALSE), IFERROR(VLOOKUP($A537,'Vocus RVC ExDa'!$C$2:$R$155, 0,FALSE), IFERROR(VLOOKUP($A537,'Fusion ExDa'!$B$2:$D$16, 0,FALSE), IFERROR(VLOOKUP($A537,'Exetel ExDa'!$C$2:$N$14, 8,FALSE), IFERROR(VLOOKUP($A537,'Infinet ExDa'!$B$2:$E$14, 0,FALSE), "Not Found"))))))))</f>
        <v>Not Found</v>
      </c>
      <c r="J537" t="str">
        <f>IFERROR(VLOOKUP($A537,'AAPT ExDa'!$B$2:$U$99, 7,FALSE), IFERROR(VLOOKUP($A537,'ABB ExDa'!$A$2:$N$184, 2,FALSE), IFERROR(VLOOKUP($A537,'Vocus SIT ExDa'!$B$2:$J$173, 0,FALSE), IFERROR(VLOOKUP($A537,'Telstra ExDa'!$B$2:$K$310, 7,FALSE), IFERROR(VLOOKUP($A537,'Vocus RVC ExDa'!$C$2:$R$155, 2,FALSE), IFERROR(VLOOKUP($A537,'Fusion ExDa'!$B$2:$D$16, 3,FALSE), IFERROR(VLOOKUP($A537,'Exetel ExDa'!$C$2:$N$14, 0,FALSE), IFERROR(VLOOKUP($A537,'Infinet ExDa'!$B$2:$E$14, 0,FALSE), "Not Found"))))))))</f>
        <v>Not Found</v>
      </c>
      <c r="K537" t="str">
        <f>IFERROR(VLOOKUP($A537,'AAPT ExDa'!$B$2:$U$99, 12,FALSE), IFERROR(VLOOKUP($A537,'ABB ExDa'!$A$2:$N$184, 0,FALSE), IFERROR(VLOOKUP($A537,'Vocus SIT ExDa'!$B$2:$J$173, 0,FALSE), IFERROR(VLOOKUP($A537,'Telstra ExDa'!$B$2:$K$310, 0,FALSE), IFERROR(VLOOKUP($A537,'Vocus RVC ExDa'!$C$2:$R$155, 0,FALSE), IFERROR(VLOOKUP($A537,'Fusion ExDa'!$B$2:$D$16, 0,FALSE), IFERROR(VLOOKUP($A537,'Exetel ExDa'!$C$2:$N$14, 12,FALSE), IFERROR(VLOOKUP($A537,'Infinet ExDa'!$B$2:$E$14, 0,FALSE), "Not Found"))))))))</f>
        <v>Not Found</v>
      </c>
      <c r="L537" s="235" t="str">
        <f>IFERROR(VLOOKUP($A537,'AAPT ExDa'!$B$2:$U$99, 11,FALSE), IFERROR(VLOOKUP($A537,'ABB ExDa'!$A$2:$N$184, 9,FALSE), IFERROR(VLOOKUP($A537,'Vocus SIT ExDa'!$B$2:$J$173, 8,FALSE), IFERROR(VLOOKUP($A537,'Telstra ExDa'!$B$2:$K$310, 0,FALSE), IFERROR(VLOOKUP($A537,'Vocus RVC ExDa'!$C$2:$R$155, 0,FALSE), IFERROR(VLOOKUP($A537,'Fusion ExDa'!$B$2:$D$16, 0,FALSE), IFERROR(VLOOKUP($A537,'Exetel ExDa'!$C$2:$N$14, 9,FALSE), IFERROR(VLOOKUP($A537,'Infinet ExDa'!$B$2:$E$14, 0,FALSE), "Not Found"))))))))</f>
        <v>Not Found</v>
      </c>
      <c r="M537" s="234" t="str">
        <f>IFERROR(VLOOKUP($A537,'AAPT ExDa'!$B$2:$U$99, 0,FALSE), IFERROR(VLOOKUP($A537,'ABB ExDa'!$A$2:$N$184, 0,FALSE), IFERROR(VLOOKUP($A537,'Vocus SIT ExDa'!$B$2:$J$173, 0,FALSE), IFERROR(VLOOKUP($A537,'Telstra ExDa'!$B$2:$K$310, 0,FALSE), IFERROR(VLOOKUP($A537,'Vocus RVC ExDa'!$C$2:$R$155, 0,FALSE), IFERROR(VLOOKUP($A537,'Fusion ExDa'!$B$2:$D$16, 0,FALSE), IFERROR(VLOOKUP($A537,'Exetel ExDa'!$C$2:$N$14, 11,FALSE), IFERROR(VLOOKUP($A537,'Infinet ExDa'!$B$2:$E$14, 0,FALSE), "Not Found"))))))))</f>
        <v>Not Found</v>
      </c>
      <c r="N537" t="str">
        <f>IFERROR(VLOOKUP($A537,'AAPT ExDa'!$B$2:$U$99, 0,FALSE), IFERROR(VLOOKUP($A537,'ABB ExDa'!$A$2:$N$184, 13,FALSE), IFERROR(VLOOKUP($A537,'Vocus SIT ExDa'!$B$2:$J$173, 0,FALSE), IFERROR(VLOOKUP($A537,'Telstra ExDa'!$B$2:$K$310, 0,FALSE), IFERROR(VLOOKUP($A537,'Vocus RVC ExDa'!$C$2:$R$155, 0,FALSE), IFERROR(VLOOKUP($A537,'Fusion ExDa'!$B$2:$D$16, 0,FALSE), IFERROR(VLOOKUP($A537,'Exetel ExDa'!$C$2:$N$14, 0,FALSE), IFERROR(VLOOKUP($A537,'Infinet ExDa'!$B$2:$E$14, 0,FALSE), "Not Found"))))))))</f>
        <v>Not Found</v>
      </c>
    </row>
    <row r="538" spans="1:14">
      <c r="A538">
        <v>0</v>
      </c>
      <c r="B538" t="str">
        <f>IFERROR(VLOOKUP(A538,'Exetel ExDa'!$C$2:$N$14,4,FALSE),"No Data")</f>
        <v>No Data</v>
      </c>
      <c r="C538" t="str">
        <f>IFERROR(VLOOKUP(A538,'AAPT ExDa'!$B$2:$U$99, 2,FALSE), IFERROR(VLOOKUP(A538,'ABB ExDa'!$A$2:$N$184, 2,FALSE), IFERROR(VLOOKUP(A538,'Vocus SIT ExDa'!$B$2:$J$173, 7,FALSE), IFERROR(VLOOKUP(A538,'Telstra ExDa'!$B$2:$K$310, 2,FALSE), IFERROR(VLOOKUP(A538,'Vocus RVC ExDa'!$C$2:$R$155, 3,FALSE), IFERROR(VLOOKUP(A538,'Fusion ExDa'!$B$2:$D$16, 2,FALSE), IFERROR(VLOOKUP(A538,'Exetel ExDa'!$C$2:$N$14, 2,FALSE), IFERROR(VLOOKUP(A538,'Infinet ExDa'!$B$2:$E$14, 2,FALSE), "Not Found"))))))))</f>
        <v>Not Found</v>
      </c>
      <c r="D538" t="str">
        <f>IFERROR(VLOOKUP($A538,'AAPT ExDa'!$B$2:$U$99, 15,FALSE), IFERROR(VLOOKUP($A538,'ABB ExDa'!$A$2:$N$184, 4,FALSE), IFERROR(VLOOKUP($A538,'Vocus SIT ExDa'!$B$2:$J$173, 5,FALSE), IFERROR(VLOOKUP($A538,'Telstra ExDa'!$B$2:$K$310, 8,FALSE), IFERROR(VLOOKUP($A538,'Vocus RVC ExDa'!$C$2:$R$155, 6,FALSE), IFERROR(VLOOKUP($A538,'Fusion ExDa'!$B$2:$D$16, 4,FALSE), IFERROR(VLOOKUP($A538,'Exetel ExDa'!$C$2:$N$14, 3,FALSE), IFERROR(VLOOKUP($A538,'Infinet ExDa'!$B$2:$E$14, 3,FALSE), "Not Found"))))))))</f>
        <v>Not Found</v>
      </c>
      <c r="E538" t="str">
        <f>IFERROR(VLOOKUP($A538,'AAPT ExDa'!$B$2:$U$99, 3,FALSE), IFERROR(VLOOKUP($A538,'ABB ExDa'!$A$2:$N$184, 5,FALSE), IFERROR(VLOOKUP($A538,'Vocus SIT ExDa'!$B$2:$J$173, 2,FALSE), IFERROR(VLOOKUP($A538,'Telstra ExDa'!$B$2:$K$310, 4,FALSE), IFERROR(VLOOKUP($A538,'Vocus RVC ExDa'!$C$2:$R$155, 8,FALSE), IFERROR(VLOOKUP($A538,'Fusion ExDa'!$B$2:$D$16, 4,FALSE), IFERROR(VLOOKUP($A538,'Exetel ExDa'!$C$2:$N$14, 5,FALSE), IFERROR(VLOOKUP($A538,'Infinet ExDa'!$B$2:$E$14, 3,FALSE), "Not Found"))))))))</f>
        <v>Not Found</v>
      </c>
      <c r="F538" t="str">
        <f>IFERROR(VLOOKUP($A538,'AAPT ExDa'!$B$2:$U$99, 4,FALSE), IFERROR(VLOOKUP($A538,'ABB ExDa'!$A$2:$N$184, 6,FALSE), IFERROR(VLOOKUP($A538,'Vocus SIT ExDa'!$B$2:$J$173, 3,FALSE), IFERROR(VLOOKUP($A538,'Telstra ExDa'!$B$2:$K$310, 5,FALSE), IFERROR(VLOOKUP($A538,'Vocus RVC ExDa'!$C$2:$R$155, 9,FALSE), IFERROR(VLOOKUP($A538,'Fusion ExDa'!$B$2:$D$16, 0,FALSE), IFERROR(VLOOKUP($A538,'Exetel ExDa'!$C$2:$N$14, 6,FALSE), IFERROR(VLOOKUP($A538,'Infinet ExDa'!$B$2:$E$14, 0,FALSE), "Not Found"))))))))</f>
        <v>Not Found</v>
      </c>
      <c r="G538" t="str">
        <f>IFERROR(VLOOKUP($A538,'AAPT ExDa'!$B$2:$U$99, 5,FALSE), IFERROR(VLOOKUP($A538,'ABB ExDa'!$A$2:$N$184, 8,FALSE), IFERROR(VLOOKUP($A538,'Vocus SIT ExDa'!$B$2:$J$173, 6,FALSE), IFERROR(VLOOKUP($A538,'Telstra ExDa'!$B$2:$K$310, 0,FALSE), IFERROR(VLOOKUP($A538,'Vocus RVC ExDa'!$C$2:$R$155, 15,FALSE), IFERROR(VLOOKUP($A538,'Fusion ExDa'!$B$2:$D$16, 0,FALSE), IFERROR(VLOOKUP($A538,'Exetel ExDa'!$C$2:$N$14, 7,FALSE), IFERROR(VLOOKUP($A538,'Infinet ExDa'!$B$2:$E$14, 0,FALSE), "Not Found"))))))))</f>
        <v>Not Found</v>
      </c>
      <c r="H538" t="str">
        <f>IFERROR(VLOOKUP($A538,'AAPT ExDa'!$B$2:$U$99, 6,FALSE), IFERROR(VLOOKUP($A538,'ABB ExDa'!$A$2:$N$184, 0,FALSE), IFERROR(VLOOKUP($A538,'Vocus SIT ExDa'!$B$2:$J$173, 0,FALSE), IFERROR(VLOOKUP($A538,'Telstra ExDa'!$B$2:$K$310, 0,FALSE), IFERROR(VLOOKUP($A538,'Vocus RVC ExDa'!$C$2:$R$155, 16,FALSE), IFERROR(VLOOKUP($A538,'Fusion ExDa'!$B$2:$D$16, 0,FALSE), IFERROR(VLOOKUP($A538,'Exetel ExDa'!$C$2:$N$14, 0,FALSE), IFERROR(VLOOKUP($A538,'Infinet ExDa'!$B$2:$E$14, 0,FALSE), "Not Found"))))))))</f>
        <v>Not Found</v>
      </c>
      <c r="I538" t="str">
        <f>IFERROR(VLOOKUP($A538,'AAPT ExDa'!$B$2:$U$99, 0,FALSE), IFERROR(VLOOKUP($A538,'ABB ExDa'!$A$2:$N$184, 0,FALSE), IFERROR(VLOOKUP($A538,'Vocus SIT ExDa'!$B$2:$J$173, 0,FALSE), IFERROR(VLOOKUP($A538,'Telstra ExDa'!$B$2:$K$310, 0,FALSE), IFERROR(VLOOKUP($A538,'Vocus RVC ExDa'!$C$2:$R$155, 0,FALSE), IFERROR(VLOOKUP($A538,'Fusion ExDa'!$B$2:$D$16, 0,FALSE), IFERROR(VLOOKUP($A538,'Exetel ExDa'!$C$2:$N$14, 8,FALSE), IFERROR(VLOOKUP($A538,'Infinet ExDa'!$B$2:$E$14, 0,FALSE), "Not Found"))))))))</f>
        <v>Not Found</v>
      </c>
      <c r="J538" t="str">
        <f>IFERROR(VLOOKUP($A538,'AAPT ExDa'!$B$2:$U$99, 7,FALSE), IFERROR(VLOOKUP($A538,'ABB ExDa'!$A$2:$N$184, 2,FALSE), IFERROR(VLOOKUP($A538,'Vocus SIT ExDa'!$B$2:$J$173, 0,FALSE), IFERROR(VLOOKUP($A538,'Telstra ExDa'!$B$2:$K$310, 7,FALSE), IFERROR(VLOOKUP($A538,'Vocus RVC ExDa'!$C$2:$R$155, 2,FALSE), IFERROR(VLOOKUP($A538,'Fusion ExDa'!$B$2:$D$16, 3,FALSE), IFERROR(VLOOKUP($A538,'Exetel ExDa'!$C$2:$N$14, 0,FALSE), IFERROR(VLOOKUP($A538,'Infinet ExDa'!$B$2:$E$14, 0,FALSE), "Not Found"))))))))</f>
        <v>Not Found</v>
      </c>
      <c r="K538" t="str">
        <f>IFERROR(VLOOKUP($A538,'AAPT ExDa'!$B$2:$U$99, 12,FALSE), IFERROR(VLOOKUP($A538,'ABB ExDa'!$A$2:$N$184, 0,FALSE), IFERROR(VLOOKUP($A538,'Vocus SIT ExDa'!$B$2:$J$173, 0,FALSE), IFERROR(VLOOKUP($A538,'Telstra ExDa'!$B$2:$K$310, 0,FALSE), IFERROR(VLOOKUP($A538,'Vocus RVC ExDa'!$C$2:$R$155, 0,FALSE), IFERROR(VLOOKUP($A538,'Fusion ExDa'!$B$2:$D$16, 0,FALSE), IFERROR(VLOOKUP($A538,'Exetel ExDa'!$C$2:$N$14, 12,FALSE), IFERROR(VLOOKUP($A538,'Infinet ExDa'!$B$2:$E$14, 0,FALSE), "Not Found"))))))))</f>
        <v>Not Found</v>
      </c>
      <c r="L538" s="235" t="str">
        <f>IFERROR(VLOOKUP($A538,'AAPT ExDa'!$B$2:$U$99, 11,FALSE), IFERROR(VLOOKUP($A538,'ABB ExDa'!$A$2:$N$184, 9,FALSE), IFERROR(VLOOKUP($A538,'Vocus SIT ExDa'!$B$2:$J$173, 8,FALSE), IFERROR(VLOOKUP($A538,'Telstra ExDa'!$B$2:$K$310, 0,FALSE), IFERROR(VLOOKUP($A538,'Vocus RVC ExDa'!$C$2:$R$155, 0,FALSE), IFERROR(VLOOKUP($A538,'Fusion ExDa'!$B$2:$D$16, 0,FALSE), IFERROR(VLOOKUP($A538,'Exetel ExDa'!$C$2:$N$14, 9,FALSE), IFERROR(VLOOKUP($A538,'Infinet ExDa'!$B$2:$E$14, 0,FALSE), "Not Found"))))))))</f>
        <v>Not Found</v>
      </c>
      <c r="M538" s="234" t="str">
        <f>IFERROR(VLOOKUP($A538,'AAPT ExDa'!$B$2:$U$99, 0,FALSE), IFERROR(VLOOKUP($A538,'ABB ExDa'!$A$2:$N$184, 0,FALSE), IFERROR(VLOOKUP($A538,'Vocus SIT ExDa'!$B$2:$J$173, 0,FALSE), IFERROR(VLOOKUP($A538,'Telstra ExDa'!$B$2:$K$310, 0,FALSE), IFERROR(VLOOKUP($A538,'Vocus RVC ExDa'!$C$2:$R$155, 0,FALSE), IFERROR(VLOOKUP($A538,'Fusion ExDa'!$B$2:$D$16, 0,FALSE), IFERROR(VLOOKUP($A538,'Exetel ExDa'!$C$2:$N$14, 11,FALSE), IFERROR(VLOOKUP($A538,'Infinet ExDa'!$B$2:$E$14, 0,FALSE), "Not Found"))))))))</f>
        <v>Not Found</v>
      </c>
      <c r="N538" t="str">
        <f>IFERROR(VLOOKUP($A538,'AAPT ExDa'!$B$2:$U$99, 0,FALSE), IFERROR(VLOOKUP($A538,'ABB ExDa'!$A$2:$N$184, 13,FALSE), IFERROR(VLOOKUP($A538,'Vocus SIT ExDa'!$B$2:$J$173, 0,FALSE), IFERROR(VLOOKUP($A538,'Telstra ExDa'!$B$2:$K$310, 0,FALSE), IFERROR(VLOOKUP($A538,'Vocus RVC ExDa'!$C$2:$R$155, 0,FALSE), IFERROR(VLOOKUP($A538,'Fusion ExDa'!$B$2:$D$16, 0,FALSE), IFERROR(VLOOKUP($A538,'Exetel ExDa'!$C$2:$N$14, 0,FALSE), IFERROR(VLOOKUP($A538,'Infinet ExDa'!$B$2:$E$14, 0,FALSE), "Not Found"))))))))</f>
        <v>Not Found</v>
      </c>
    </row>
    <row r="539" spans="1:14">
      <c r="A539">
        <v>0</v>
      </c>
      <c r="B539" t="str">
        <f>IFERROR(VLOOKUP(A539,'Exetel ExDa'!$C$2:$N$14,4,FALSE),"No Data")</f>
        <v>No Data</v>
      </c>
      <c r="C539" t="str">
        <f>IFERROR(VLOOKUP(A539,'AAPT ExDa'!$B$2:$U$99, 2,FALSE), IFERROR(VLOOKUP(A539,'ABB ExDa'!$A$2:$N$184, 2,FALSE), IFERROR(VLOOKUP(A539,'Vocus SIT ExDa'!$B$2:$J$173, 7,FALSE), IFERROR(VLOOKUP(A539,'Telstra ExDa'!$B$2:$K$310, 2,FALSE), IFERROR(VLOOKUP(A539,'Vocus RVC ExDa'!$C$2:$R$155, 3,FALSE), IFERROR(VLOOKUP(A539,'Fusion ExDa'!$B$2:$D$16, 2,FALSE), IFERROR(VLOOKUP(A539,'Exetel ExDa'!$C$2:$N$14, 2,FALSE), IFERROR(VLOOKUP(A539,'Infinet ExDa'!$B$2:$E$14, 2,FALSE), "Not Found"))))))))</f>
        <v>Not Found</v>
      </c>
      <c r="D539" t="str">
        <f>IFERROR(VLOOKUP($A539,'AAPT ExDa'!$B$2:$U$99, 15,FALSE), IFERROR(VLOOKUP($A539,'ABB ExDa'!$A$2:$N$184, 4,FALSE), IFERROR(VLOOKUP($A539,'Vocus SIT ExDa'!$B$2:$J$173, 5,FALSE), IFERROR(VLOOKUP($A539,'Telstra ExDa'!$B$2:$K$310, 8,FALSE), IFERROR(VLOOKUP($A539,'Vocus RVC ExDa'!$C$2:$R$155, 6,FALSE), IFERROR(VLOOKUP($A539,'Fusion ExDa'!$B$2:$D$16, 4,FALSE), IFERROR(VLOOKUP($A539,'Exetel ExDa'!$C$2:$N$14, 3,FALSE), IFERROR(VLOOKUP($A539,'Infinet ExDa'!$B$2:$E$14, 3,FALSE), "Not Found"))))))))</f>
        <v>Not Found</v>
      </c>
      <c r="E539" t="str">
        <f>IFERROR(VLOOKUP($A539,'AAPT ExDa'!$B$2:$U$99, 3,FALSE), IFERROR(VLOOKUP($A539,'ABB ExDa'!$A$2:$N$184, 5,FALSE), IFERROR(VLOOKUP($A539,'Vocus SIT ExDa'!$B$2:$J$173, 2,FALSE), IFERROR(VLOOKUP($A539,'Telstra ExDa'!$B$2:$K$310, 4,FALSE), IFERROR(VLOOKUP($A539,'Vocus RVC ExDa'!$C$2:$R$155, 8,FALSE), IFERROR(VLOOKUP($A539,'Fusion ExDa'!$B$2:$D$16, 4,FALSE), IFERROR(VLOOKUP($A539,'Exetel ExDa'!$C$2:$N$14, 5,FALSE), IFERROR(VLOOKUP($A539,'Infinet ExDa'!$B$2:$E$14, 3,FALSE), "Not Found"))))))))</f>
        <v>Not Found</v>
      </c>
      <c r="F539" t="str">
        <f>IFERROR(VLOOKUP($A539,'AAPT ExDa'!$B$2:$U$99, 4,FALSE), IFERROR(VLOOKUP($A539,'ABB ExDa'!$A$2:$N$184, 6,FALSE), IFERROR(VLOOKUP($A539,'Vocus SIT ExDa'!$B$2:$J$173, 3,FALSE), IFERROR(VLOOKUP($A539,'Telstra ExDa'!$B$2:$K$310, 5,FALSE), IFERROR(VLOOKUP($A539,'Vocus RVC ExDa'!$C$2:$R$155, 9,FALSE), IFERROR(VLOOKUP($A539,'Fusion ExDa'!$B$2:$D$16, 0,FALSE), IFERROR(VLOOKUP($A539,'Exetel ExDa'!$C$2:$N$14, 6,FALSE), IFERROR(VLOOKUP($A539,'Infinet ExDa'!$B$2:$E$14, 0,FALSE), "Not Found"))))))))</f>
        <v>Not Found</v>
      </c>
      <c r="G539" t="str">
        <f>IFERROR(VLOOKUP($A539,'AAPT ExDa'!$B$2:$U$99, 5,FALSE), IFERROR(VLOOKUP($A539,'ABB ExDa'!$A$2:$N$184, 8,FALSE), IFERROR(VLOOKUP($A539,'Vocus SIT ExDa'!$B$2:$J$173, 6,FALSE), IFERROR(VLOOKUP($A539,'Telstra ExDa'!$B$2:$K$310, 0,FALSE), IFERROR(VLOOKUP($A539,'Vocus RVC ExDa'!$C$2:$R$155, 15,FALSE), IFERROR(VLOOKUP($A539,'Fusion ExDa'!$B$2:$D$16, 0,FALSE), IFERROR(VLOOKUP($A539,'Exetel ExDa'!$C$2:$N$14, 7,FALSE), IFERROR(VLOOKUP($A539,'Infinet ExDa'!$B$2:$E$14, 0,FALSE), "Not Found"))))))))</f>
        <v>Not Found</v>
      </c>
      <c r="H539" t="str">
        <f>IFERROR(VLOOKUP($A539,'AAPT ExDa'!$B$2:$U$99, 6,FALSE), IFERROR(VLOOKUP($A539,'ABB ExDa'!$A$2:$N$184, 0,FALSE), IFERROR(VLOOKUP($A539,'Vocus SIT ExDa'!$B$2:$J$173, 0,FALSE), IFERROR(VLOOKUP($A539,'Telstra ExDa'!$B$2:$K$310, 0,FALSE), IFERROR(VLOOKUP($A539,'Vocus RVC ExDa'!$C$2:$R$155, 16,FALSE), IFERROR(VLOOKUP($A539,'Fusion ExDa'!$B$2:$D$16, 0,FALSE), IFERROR(VLOOKUP($A539,'Exetel ExDa'!$C$2:$N$14, 0,FALSE), IFERROR(VLOOKUP($A539,'Infinet ExDa'!$B$2:$E$14, 0,FALSE), "Not Found"))))))))</f>
        <v>Not Found</v>
      </c>
      <c r="I539" t="str">
        <f>IFERROR(VLOOKUP($A539,'AAPT ExDa'!$B$2:$U$99, 0,FALSE), IFERROR(VLOOKUP($A539,'ABB ExDa'!$A$2:$N$184, 0,FALSE), IFERROR(VLOOKUP($A539,'Vocus SIT ExDa'!$B$2:$J$173, 0,FALSE), IFERROR(VLOOKUP($A539,'Telstra ExDa'!$B$2:$K$310, 0,FALSE), IFERROR(VLOOKUP($A539,'Vocus RVC ExDa'!$C$2:$R$155, 0,FALSE), IFERROR(VLOOKUP($A539,'Fusion ExDa'!$B$2:$D$16, 0,FALSE), IFERROR(VLOOKUP($A539,'Exetel ExDa'!$C$2:$N$14, 8,FALSE), IFERROR(VLOOKUP($A539,'Infinet ExDa'!$B$2:$E$14, 0,FALSE), "Not Found"))))))))</f>
        <v>Not Found</v>
      </c>
      <c r="J539" t="str">
        <f>IFERROR(VLOOKUP($A539,'AAPT ExDa'!$B$2:$U$99, 7,FALSE), IFERROR(VLOOKUP($A539,'ABB ExDa'!$A$2:$N$184, 2,FALSE), IFERROR(VLOOKUP($A539,'Vocus SIT ExDa'!$B$2:$J$173, 0,FALSE), IFERROR(VLOOKUP($A539,'Telstra ExDa'!$B$2:$K$310, 7,FALSE), IFERROR(VLOOKUP($A539,'Vocus RVC ExDa'!$C$2:$R$155, 2,FALSE), IFERROR(VLOOKUP($A539,'Fusion ExDa'!$B$2:$D$16, 3,FALSE), IFERROR(VLOOKUP($A539,'Exetel ExDa'!$C$2:$N$14, 0,FALSE), IFERROR(VLOOKUP($A539,'Infinet ExDa'!$B$2:$E$14, 0,FALSE), "Not Found"))))))))</f>
        <v>Not Found</v>
      </c>
      <c r="K539" t="str">
        <f>IFERROR(VLOOKUP($A539,'AAPT ExDa'!$B$2:$U$99, 12,FALSE), IFERROR(VLOOKUP($A539,'ABB ExDa'!$A$2:$N$184, 0,FALSE), IFERROR(VLOOKUP($A539,'Vocus SIT ExDa'!$B$2:$J$173, 0,FALSE), IFERROR(VLOOKUP($A539,'Telstra ExDa'!$B$2:$K$310, 0,FALSE), IFERROR(VLOOKUP($A539,'Vocus RVC ExDa'!$C$2:$R$155, 0,FALSE), IFERROR(VLOOKUP($A539,'Fusion ExDa'!$B$2:$D$16, 0,FALSE), IFERROR(VLOOKUP($A539,'Exetel ExDa'!$C$2:$N$14, 12,FALSE), IFERROR(VLOOKUP($A539,'Infinet ExDa'!$B$2:$E$14, 0,FALSE), "Not Found"))))))))</f>
        <v>Not Found</v>
      </c>
      <c r="L539" s="235" t="str">
        <f>IFERROR(VLOOKUP($A539,'AAPT ExDa'!$B$2:$U$99, 11,FALSE), IFERROR(VLOOKUP($A539,'ABB ExDa'!$A$2:$N$184, 9,FALSE), IFERROR(VLOOKUP($A539,'Vocus SIT ExDa'!$B$2:$J$173, 8,FALSE), IFERROR(VLOOKUP($A539,'Telstra ExDa'!$B$2:$K$310, 0,FALSE), IFERROR(VLOOKUP($A539,'Vocus RVC ExDa'!$C$2:$R$155, 0,FALSE), IFERROR(VLOOKUP($A539,'Fusion ExDa'!$B$2:$D$16, 0,FALSE), IFERROR(VLOOKUP($A539,'Exetel ExDa'!$C$2:$N$14, 9,FALSE), IFERROR(VLOOKUP($A539,'Infinet ExDa'!$B$2:$E$14, 0,FALSE), "Not Found"))))))))</f>
        <v>Not Found</v>
      </c>
      <c r="M539" s="234" t="str">
        <f>IFERROR(VLOOKUP($A539,'AAPT ExDa'!$B$2:$U$99, 0,FALSE), IFERROR(VLOOKUP($A539,'ABB ExDa'!$A$2:$N$184, 0,FALSE), IFERROR(VLOOKUP($A539,'Vocus SIT ExDa'!$B$2:$J$173, 0,FALSE), IFERROR(VLOOKUP($A539,'Telstra ExDa'!$B$2:$K$310, 0,FALSE), IFERROR(VLOOKUP($A539,'Vocus RVC ExDa'!$C$2:$R$155, 0,FALSE), IFERROR(VLOOKUP($A539,'Fusion ExDa'!$B$2:$D$16, 0,FALSE), IFERROR(VLOOKUP($A539,'Exetel ExDa'!$C$2:$N$14, 11,FALSE), IFERROR(VLOOKUP($A539,'Infinet ExDa'!$B$2:$E$14, 0,FALSE), "Not Found"))))))))</f>
        <v>Not Found</v>
      </c>
      <c r="N539" t="str">
        <f>IFERROR(VLOOKUP($A539,'AAPT ExDa'!$B$2:$U$99, 0,FALSE), IFERROR(VLOOKUP($A539,'ABB ExDa'!$A$2:$N$184, 13,FALSE), IFERROR(VLOOKUP($A539,'Vocus SIT ExDa'!$B$2:$J$173, 0,FALSE), IFERROR(VLOOKUP($A539,'Telstra ExDa'!$B$2:$K$310, 0,FALSE), IFERROR(VLOOKUP($A539,'Vocus RVC ExDa'!$C$2:$R$155, 0,FALSE), IFERROR(VLOOKUP($A539,'Fusion ExDa'!$B$2:$D$16, 0,FALSE), IFERROR(VLOOKUP($A539,'Exetel ExDa'!$C$2:$N$14, 0,FALSE), IFERROR(VLOOKUP($A539,'Infinet ExDa'!$B$2:$E$14, 0,FALSE), "Not Found"))))))))</f>
        <v>Not Found</v>
      </c>
    </row>
    <row r="540" spans="1:14">
      <c r="A540">
        <v>0</v>
      </c>
      <c r="B540" t="str">
        <f>IFERROR(VLOOKUP(A540,'Exetel ExDa'!$C$2:$N$14,4,FALSE),"No Data")</f>
        <v>No Data</v>
      </c>
      <c r="C540" t="str">
        <f>IFERROR(VLOOKUP(A540,'AAPT ExDa'!$B$2:$U$99, 2,FALSE), IFERROR(VLOOKUP(A540,'ABB ExDa'!$A$2:$N$184, 2,FALSE), IFERROR(VLOOKUP(A540,'Vocus SIT ExDa'!$B$2:$J$173, 7,FALSE), IFERROR(VLOOKUP(A540,'Telstra ExDa'!$B$2:$K$310, 2,FALSE), IFERROR(VLOOKUP(A540,'Vocus RVC ExDa'!$C$2:$R$155, 3,FALSE), IFERROR(VLOOKUP(A540,'Fusion ExDa'!$B$2:$D$16, 2,FALSE), IFERROR(VLOOKUP(A540,'Exetel ExDa'!$C$2:$N$14, 2,FALSE), IFERROR(VLOOKUP(A540,'Infinet ExDa'!$B$2:$E$14, 2,FALSE), "Not Found"))))))))</f>
        <v>Not Found</v>
      </c>
      <c r="D540" t="str">
        <f>IFERROR(VLOOKUP($A540,'AAPT ExDa'!$B$2:$U$99, 15,FALSE), IFERROR(VLOOKUP($A540,'ABB ExDa'!$A$2:$N$184, 4,FALSE), IFERROR(VLOOKUP($A540,'Vocus SIT ExDa'!$B$2:$J$173, 5,FALSE), IFERROR(VLOOKUP($A540,'Telstra ExDa'!$B$2:$K$310, 8,FALSE), IFERROR(VLOOKUP($A540,'Vocus RVC ExDa'!$C$2:$R$155, 6,FALSE), IFERROR(VLOOKUP($A540,'Fusion ExDa'!$B$2:$D$16, 4,FALSE), IFERROR(VLOOKUP($A540,'Exetel ExDa'!$C$2:$N$14, 3,FALSE), IFERROR(VLOOKUP($A540,'Infinet ExDa'!$B$2:$E$14, 3,FALSE), "Not Found"))))))))</f>
        <v>Not Found</v>
      </c>
      <c r="E540" t="str">
        <f>IFERROR(VLOOKUP($A540,'AAPT ExDa'!$B$2:$U$99, 3,FALSE), IFERROR(VLOOKUP($A540,'ABB ExDa'!$A$2:$N$184, 5,FALSE), IFERROR(VLOOKUP($A540,'Vocus SIT ExDa'!$B$2:$J$173, 2,FALSE), IFERROR(VLOOKUP($A540,'Telstra ExDa'!$B$2:$K$310, 4,FALSE), IFERROR(VLOOKUP($A540,'Vocus RVC ExDa'!$C$2:$R$155, 8,FALSE), IFERROR(VLOOKUP($A540,'Fusion ExDa'!$B$2:$D$16, 4,FALSE), IFERROR(VLOOKUP($A540,'Exetel ExDa'!$C$2:$N$14, 5,FALSE), IFERROR(VLOOKUP($A540,'Infinet ExDa'!$B$2:$E$14, 3,FALSE), "Not Found"))))))))</f>
        <v>Not Found</v>
      </c>
      <c r="F540" t="str">
        <f>IFERROR(VLOOKUP($A540,'AAPT ExDa'!$B$2:$U$99, 4,FALSE), IFERROR(VLOOKUP($A540,'ABB ExDa'!$A$2:$N$184, 6,FALSE), IFERROR(VLOOKUP($A540,'Vocus SIT ExDa'!$B$2:$J$173, 3,FALSE), IFERROR(VLOOKUP($A540,'Telstra ExDa'!$B$2:$K$310, 5,FALSE), IFERROR(VLOOKUP($A540,'Vocus RVC ExDa'!$C$2:$R$155, 9,FALSE), IFERROR(VLOOKUP($A540,'Fusion ExDa'!$B$2:$D$16, 0,FALSE), IFERROR(VLOOKUP($A540,'Exetel ExDa'!$C$2:$N$14, 6,FALSE), IFERROR(VLOOKUP($A540,'Infinet ExDa'!$B$2:$E$14, 0,FALSE), "Not Found"))))))))</f>
        <v>Not Found</v>
      </c>
      <c r="G540" t="str">
        <f>IFERROR(VLOOKUP($A540,'AAPT ExDa'!$B$2:$U$99, 5,FALSE), IFERROR(VLOOKUP($A540,'ABB ExDa'!$A$2:$N$184, 8,FALSE), IFERROR(VLOOKUP($A540,'Vocus SIT ExDa'!$B$2:$J$173, 6,FALSE), IFERROR(VLOOKUP($A540,'Telstra ExDa'!$B$2:$K$310, 0,FALSE), IFERROR(VLOOKUP($A540,'Vocus RVC ExDa'!$C$2:$R$155, 15,FALSE), IFERROR(VLOOKUP($A540,'Fusion ExDa'!$B$2:$D$16, 0,FALSE), IFERROR(VLOOKUP($A540,'Exetel ExDa'!$C$2:$N$14, 7,FALSE), IFERROR(VLOOKUP($A540,'Infinet ExDa'!$B$2:$E$14, 0,FALSE), "Not Found"))))))))</f>
        <v>Not Found</v>
      </c>
      <c r="H540" t="str">
        <f>IFERROR(VLOOKUP($A540,'AAPT ExDa'!$B$2:$U$99, 6,FALSE), IFERROR(VLOOKUP($A540,'ABB ExDa'!$A$2:$N$184, 0,FALSE), IFERROR(VLOOKUP($A540,'Vocus SIT ExDa'!$B$2:$J$173, 0,FALSE), IFERROR(VLOOKUP($A540,'Telstra ExDa'!$B$2:$K$310, 0,FALSE), IFERROR(VLOOKUP($A540,'Vocus RVC ExDa'!$C$2:$R$155, 16,FALSE), IFERROR(VLOOKUP($A540,'Fusion ExDa'!$B$2:$D$16, 0,FALSE), IFERROR(VLOOKUP($A540,'Exetel ExDa'!$C$2:$N$14, 0,FALSE), IFERROR(VLOOKUP($A540,'Infinet ExDa'!$B$2:$E$14, 0,FALSE), "Not Found"))))))))</f>
        <v>Not Found</v>
      </c>
      <c r="I540" t="str">
        <f>IFERROR(VLOOKUP($A540,'AAPT ExDa'!$B$2:$U$99, 0,FALSE), IFERROR(VLOOKUP($A540,'ABB ExDa'!$A$2:$N$184, 0,FALSE), IFERROR(VLOOKUP($A540,'Vocus SIT ExDa'!$B$2:$J$173, 0,FALSE), IFERROR(VLOOKUP($A540,'Telstra ExDa'!$B$2:$K$310, 0,FALSE), IFERROR(VLOOKUP($A540,'Vocus RVC ExDa'!$C$2:$R$155, 0,FALSE), IFERROR(VLOOKUP($A540,'Fusion ExDa'!$B$2:$D$16, 0,FALSE), IFERROR(VLOOKUP($A540,'Exetel ExDa'!$C$2:$N$14, 8,FALSE), IFERROR(VLOOKUP($A540,'Infinet ExDa'!$B$2:$E$14, 0,FALSE), "Not Found"))))))))</f>
        <v>Not Found</v>
      </c>
      <c r="J540" t="str">
        <f>IFERROR(VLOOKUP($A540,'AAPT ExDa'!$B$2:$U$99, 7,FALSE), IFERROR(VLOOKUP($A540,'ABB ExDa'!$A$2:$N$184, 2,FALSE), IFERROR(VLOOKUP($A540,'Vocus SIT ExDa'!$B$2:$J$173, 0,FALSE), IFERROR(VLOOKUP($A540,'Telstra ExDa'!$B$2:$K$310, 7,FALSE), IFERROR(VLOOKUP($A540,'Vocus RVC ExDa'!$C$2:$R$155, 2,FALSE), IFERROR(VLOOKUP($A540,'Fusion ExDa'!$B$2:$D$16, 3,FALSE), IFERROR(VLOOKUP($A540,'Exetel ExDa'!$C$2:$N$14, 0,FALSE), IFERROR(VLOOKUP($A540,'Infinet ExDa'!$B$2:$E$14, 0,FALSE), "Not Found"))))))))</f>
        <v>Not Found</v>
      </c>
      <c r="K540" t="str">
        <f>IFERROR(VLOOKUP($A540,'AAPT ExDa'!$B$2:$U$99, 12,FALSE), IFERROR(VLOOKUP($A540,'ABB ExDa'!$A$2:$N$184, 0,FALSE), IFERROR(VLOOKUP($A540,'Vocus SIT ExDa'!$B$2:$J$173, 0,FALSE), IFERROR(VLOOKUP($A540,'Telstra ExDa'!$B$2:$K$310, 0,FALSE), IFERROR(VLOOKUP($A540,'Vocus RVC ExDa'!$C$2:$R$155, 0,FALSE), IFERROR(VLOOKUP($A540,'Fusion ExDa'!$B$2:$D$16, 0,FALSE), IFERROR(VLOOKUP($A540,'Exetel ExDa'!$C$2:$N$14, 12,FALSE), IFERROR(VLOOKUP($A540,'Infinet ExDa'!$B$2:$E$14, 0,FALSE), "Not Found"))))))))</f>
        <v>Not Found</v>
      </c>
      <c r="L540" s="235" t="str">
        <f>IFERROR(VLOOKUP($A540,'AAPT ExDa'!$B$2:$U$99, 11,FALSE), IFERROR(VLOOKUP($A540,'ABB ExDa'!$A$2:$N$184, 9,FALSE), IFERROR(VLOOKUP($A540,'Vocus SIT ExDa'!$B$2:$J$173, 8,FALSE), IFERROR(VLOOKUP($A540,'Telstra ExDa'!$B$2:$K$310, 0,FALSE), IFERROR(VLOOKUP($A540,'Vocus RVC ExDa'!$C$2:$R$155, 0,FALSE), IFERROR(VLOOKUP($A540,'Fusion ExDa'!$B$2:$D$16, 0,FALSE), IFERROR(VLOOKUP($A540,'Exetel ExDa'!$C$2:$N$14, 9,FALSE), IFERROR(VLOOKUP($A540,'Infinet ExDa'!$B$2:$E$14, 0,FALSE), "Not Found"))))))))</f>
        <v>Not Found</v>
      </c>
      <c r="M540" s="234" t="str">
        <f>IFERROR(VLOOKUP($A540,'AAPT ExDa'!$B$2:$U$99, 0,FALSE), IFERROR(VLOOKUP($A540,'ABB ExDa'!$A$2:$N$184, 0,FALSE), IFERROR(VLOOKUP($A540,'Vocus SIT ExDa'!$B$2:$J$173, 0,FALSE), IFERROR(VLOOKUP($A540,'Telstra ExDa'!$B$2:$K$310, 0,FALSE), IFERROR(VLOOKUP($A540,'Vocus RVC ExDa'!$C$2:$R$155, 0,FALSE), IFERROR(VLOOKUP($A540,'Fusion ExDa'!$B$2:$D$16, 0,FALSE), IFERROR(VLOOKUP($A540,'Exetel ExDa'!$C$2:$N$14, 11,FALSE), IFERROR(VLOOKUP($A540,'Infinet ExDa'!$B$2:$E$14, 0,FALSE), "Not Found"))))))))</f>
        <v>Not Found</v>
      </c>
      <c r="N540" t="str">
        <f>IFERROR(VLOOKUP($A540,'AAPT ExDa'!$B$2:$U$99, 0,FALSE), IFERROR(VLOOKUP($A540,'ABB ExDa'!$A$2:$N$184, 13,FALSE), IFERROR(VLOOKUP($A540,'Vocus SIT ExDa'!$B$2:$J$173, 0,FALSE), IFERROR(VLOOKUP($A540,'Telstra ExDa'!$B$2:$K$310, 0,FALSE), IFERROR(VLOOKUP($A540,'Vocus RVC ExDa'!$C$2:$R$155, 0,FALSE), IFERROR(VLOOKUP($A540,'Fusion ExDa'!$B$2:$D$16, 0,FALSE), IFERROR(VLOOKUP($A540,'Exetel ExDa'!$C$2:$N$14, 0,FALSE), IFERROR(VLOOKUP($A540,'Infinet ExDa'!$B$2:$E$14, 0,FALSE), "Not Found"))))))))</f>
        <v>Not Found</v>
      </c>
    </row>
    <row r="541" spans="1:14">
      <c r="A541">
        <v>0</v>
      </c>
      <c r="B541" t="str">
        <f>IFERROR(VLOOKUP(A541,'Exetel ExDa'!$C$2:$N$14,4,FALSE),"No Data")</f>
        <v>No Data</v>
      </c>
      <c r="C541" t="str">
        <f>IFERROR(VLOOKUP(A541,'AAPT ExDa'!$B$2:$U$99, 2,FALSE), IFERROR(VLOOKUP(A541,'ABB ExDa'!$A$2:$N$184, 2,FALSE), IFERROR(VLOOKUP(A541,'Vocus SIT ExDa'!$B$2:$J$173, 7,FALSE), IFERROR(VLOOKUP(A541,'Telstra ExDa'!$B$2:$K$310, 2,FALSE), IFERROR(VLOOKUP(A541,'Vocus RVC ExDa'!$C$2:$R$155, 3,FALSE), IFERROR(VLOOKUP(A541,'Fusion ExDa'!$B$2:$D$16, 2,FALSE), IFERROR(VLOOKUP(A541,'Exetel ExDa'!$C$2:$N$14, 2,FALSE), IFERROR(VLOOKUP(A541,'Infinet ExDa'!$B$2:$E$14, 2,FALSE), "Not Found"))))))))</f>
        <v>Not Found</v>
      </c>
      <c r="D541" t="str">
        <f>IFERROR(VLOOKUP($A541,'AAPT ExDa'!$B$2:$U$99, 15,FALSE), IFERROR(VLOOKUP($A541,'ABB ExDa'!$A$2:$N$184, 4,FALSE), IFERROR(VLOOKUP($A541,'Vocus SIT ExDa'!$B$2:$J$173, 5,FALSE), IFERROR(VLOOKUP($A541,'Telstra ExDa'!$B$2:$K$310, 8,FALSE), IFERROR(VLOOKUP($A541,'Vocus RVC ExDa'!$C$2:$R$155, 6,FALSE), IFERROR(VLOOKUP($A541,'Fusion ExDa'!$B$2:$D$16, 4,FALSE), IFERROR(VLOOKUP($A541,'Exetel ExDa'!$C$2:$N$14, 3,FALSE), IFERROR(VLOOKUP($A541,'Infinet ExDa'!$B$2:$E$14, 3,FALSE), "Not Found"))))))))</f>
        <v>Not Found</v>
      </c>
      <c r="E541" t="str">
        <f>IFERROR(VLOOKUP($A541,'AAPT ExDa'!$B$2:$U$99, 3,FALSE), IFERROR(VLOOKUP($A541,'ABB ExDa'!$A$2:$N$184, 5,FALSE), IFERROR(VLOOKUP($A541,'Vocus SIT ExDa'!$B$2:$J$173, 2,FALSE), IFERROR(VLOOKUP($A541,'Telstra ExDa'!$B$2:$K$310, 4,FALSE), IFERROR(VLOOKUP($A541,'Vocus RVC ExDa'!$C$2:$R$155, 8,FALSE), IFERROR(VLOOKUP($A541,'Fusion ExDa'!$B$2:$D$16, 4,FALSE), IFERROR(VLOOKUP($A541,'Exetel ExDa'!$C$2:$N$14, 5,FALSE), IFERROR(VLOOKUP($A541,'Infinet ExDa'!$B$2:$E$14, 3,FALSE), "Not Found"))))))))</f>
        <v>Not Found</v>
      </c>
      <c r="F541" t="str">
        <f>IFERROR(VLOOKUP($A541,'AAPT ExDa'!$B$2:$U$99, 4,FALSE), IFERROR(VLOOKUP($A541,'ABB ExDa'!$A$2:$N$184, 6,FALSE), IFERROR(VLOOKUP($A541,'Vocus SIT ExDa'!$B$2:$J$173, 3,FALSE), IFERROR(VLOOKUP($A541,'Telstra ExDa'!$B$2:$K$310, 5,FALSE), IFERROR(VLOOKUP($A541,'Vocus RVC ExDa'!$C$2:$R$155, 9,FALSE), IFERROR(VLOOKUP($A541,'Fusion ExDa'!$B$2:$D$16, 0,FALSE), IFERROR(VLOOKUP($A541,'Exetel ExDa'!$C$2:$N$14, 6,FALSE), IFERROR(VLOOKUP($A541,'Infinet ExDa'!$B$2:$E$14, 0,FALSE), "Not Found"))))))))</f>
        <v>Not Found</v>
      </c>
      <c r="G541" t="str">
        <f>IFERROR(VLOOKUP($A541,'AAPT ExDa'!$B$2:$U$99, 5,FALSE), IFERROR(VLOOKUP($A541,'ABB ExDa'!$A$2:$N$184, 8,FALSE), IFERROR(VLOOKUP($A541,'Vocus SIT ExDa'!$B$2:$J$173, 6,FALSE), IFERROR(VLOOKUP($A541,'Telstra ExDa'!$B$2:$K$310, 0,FALSE), IFERROR(VLOOKUP($A541,'Vocus RVC ExDa'!$C$2:$R$155, 15,FALSE), IFERROR(VLOOKUP($A541,'Fusion ExDa'!$B$2:$D$16, 0,FALSE), IFERROR(VLOOKUP($A541,'Exetel ExDa'!$C$2:$N$14, 7,FALSE), IFERROR(VLOOKUP($A541,'Infinet ExDa'!$B$2:$E$14, 0,FALSE), "Not Found"))))))))</f>
        <v>Not Found</v>
      </c>
      <c r="H541" t="str">
        <f>IFERROR(VLOOKUP($A541,'AAPT ExDa'!$B$2:$U$99, 6,FALSE), IFERROR(VLOOKUP($A541,'ABB ExDa'!$A$2:$N$184, 0,FALSE), IFERROR(VLOOKUP($A541,'Vocus SIT ExDa'!$B$2:$J$173, 0,FALSE), IFERROR(VLOOKUP($A541,'Telstra ExDa'!$B$2:$K$310, 0,FALSE), IFERROR(VLOOKUP($A541,'Vocus RVC ExDa'!$C$2:$R$155, 16,FALSE), IFERROR(VLOOKUP($A541,'Fusion ExDa'!$B$2:$D$16, 0,FALSE), IFERROR(VLOOKUP($A541,'Exetel ExDa'!$C$2:$N$14, 0,FALSE), IFERROR(VLOOKUP($A541,'Infinet ExDa'!$B$2:$E$14, 0,FALSE), "Not Found"))))))))</f>
        <v>Not Found</v>
      </c>
      <c r="I541" t="str">
        <f>IFERROR(VLOOKUP($A541,'AAPT ExDa'!$B$2:$U$99, 0,FALSE), IFERROR(VLOOKUP($A541,'ABB ExDa'!$A$2:$N$184, 0,FALSE), IFERROR(VLOOKUP($A541,'Vocus SIT ExDa'!$B$2:$J$173, 0,FALSE), IFERROR(VLOOKUP($A541,'Telstra ExDa'!$B$2:$K$310, 0,FALSE), IFERROR(VLOOKUP($A541,'Vocus RVC ExDa'!$C$2:$R$155, 0,FALSE), IFERROR(VLOOKUP($A541,'Fusion ExDa'!$B$2:$D$16, 0,FALSE), IFERROR(VLOOKUP($A541,'Exetel ExDa'!$C$2:$N$14, 8,FALSE), IFERROR(VLOOKUP($A541,'Infinet ExDa'!$B$2:$E$14, 0,FALSE), "Not Found"))))))))</f>
        <v>Not Found</v>
      </c>
      <c r="J541" t="str">
        <f>IFERROR(VLOOKUP($A541,'AAPT ExDa'!$B$2:$U$99, 7,FALSE), IFERROR(VLOOKUP($A541,'ABB ExDa'!$A$2:$N$184, 2,FALSE), IFERROR(VLOOKUP($A541,'Vocus SIT ExDa'!$B$2:$J$173, 0,FALSE), IFERROR(VLOOKUP($A541,'Telstra ExDa'!$B$2:$K$310, 7,FALSE), IFERROR(VLOOKUP($A541,'Vocus RVC ExDa'!$C$2:$R$155, 2,FALSE), IFERROR(VLOOKUP($A541,'Fusion ExDa'!$B$2:$D$16, 3,FALSE), IFERROR(VLOOKUP($A541,'Exetel ExDa'!$C$2:$N$14, 0,FALSE), IFERROR(VLOOKUP($A541,'Infinet ExDa'!$B$2:$E$14, 0,FALSE), "Not Found"))))))))</f>
        <v>Not Found</v>
      </c>
      <c r="K541" t="str">
        <f>IFERROR(VLOOKUP($A541,'AAPT ExDa'!$B$2:$U$99, 12,FALSE), IFERROR(VLOOKUP($A541,'ABB ExDa'!$A$2:$N$184, 0,FALSE), IFERROR(VLOOKUP($A541,'Vocus SIT ExDa'!$B$2:$J$173, 0,FALSE), IFERROR(VLOOKUP($A541,'Telstra ExDa'!$B$2:$K$310, 0,FALSE), IFERROR(VLOOKUP($A541,'Vocus RVC ExDa'!$C$2:$R$155, 0,FALSE), IFERROR(VLOOKUP($A541,'Fusion ExDa'!$B$2:$D$16, 0,FALSE), IFERROR(VLOOKUP($A541,'Exetel ExDa'!$C$2:$N$14, 12,FALSE), IFERROR(VLOOKUP($A541,'Infinet ExDa'!$B$2:$E$14, 0,FALSE), "Not Found"))))))))</f>
        <v>Not Found</v>
      </c>
      <c r="L541" s="235" t="str">
        <f>IFERROR(VLOOKUP($A541,'AAPT ExDa'!$B$2:$U$99, 11,FALSE), IFERROR(VLOOKUP($A541,'ABB ExDa'!$A$2:$N$184, 9,FALSE), IFERROR(VLOOKUP($A541,'Vocus SIT ExDa'!$B$2:$J$173, 8,FALSE), IFERROR(VLOOKUP($A541,'Telstra ExDa'!$B$2:$K$310, 0,FALSE), IFERROR(VLOOKUP($A541,'Vocus RVC ExDa'!$C$2:$R$155, 0,FALSE), IFERROR(VLOOKUP($A541,'Fusion ExDa'!$B$2:$D$16, 0,FALSE), IFERROR(VLOOKUP($A541,'Exetel ExDa'!$C$2:$N$14, 9,FALSE), IFERROR(VLOOKUP($A541,'Infinet ExDa'!$B$2:$E$14, 0,FALSE), "Not Found"))))))))</f>
        <v>Not Found</v>
      </c>
      <c r="M541" s="234" t="str">
        <f>IFERROR(VLOOKUP($A541,'AAPT ExDa'!$B$2:$U$99, 0,FALSE), IFERROR(VLOOKUP($A541,'ABB ExDa'!$A$2:$N$184, 0,FALSE), IFERROR(VLOOKUP($A541,'Vocus SIT ExDa'!$B$2:$J$173, 0,FALSE), IFERROR(VLOOKUP($A541,'Telstra ExDa'!$B$2:$K$310, 0,FALSE), IFERROR(VLOOKUP($A541,'Vocus RVC ExDa'!$C$2:$R$155, 0,FALSE), IFERROR(VLOOKUP($A541,'Fusion ExDa'!$B$2:$D$16, 0,FALSE), IFERROR(VLOOKUP($A541,'Exetel ExDa'!$C$2:$N$14, 11,FALSE), IFERROR(VLOOKUP($A541,'Infinet ExDa'!$B$2:$E$14, 0,FALSE), "Not Found"))))))))</f>
        <v>Not Found</v>
      </c>
      <c r="N541" t="str">
        <f>IFERROR(VLOOKUP($A541,'AAPT ExDa'!$B$2:$U$99, 0,FALSE), IFERROR(VLOOKUP($A541,'ABB ExDa'!$A$2:$N$184, 13,FALSE), IFERROR(VLOOKUP($A541,'Vocus SIT ExDa'!$B$2:$J$173, 0,FALSE), IFERROR(VLOOKUP($A541,'Telstra ExDa'!$B$2:$K$310, 0,FALSE), IFERROR(VLOOKUP($A541,'Vocus RVC ExDa'!$C$2:$R$155, 0,FALSE), IFERROR(VLOOKUP($A541,'Fusion ExDa'!$B$2:$D$16, 0,FALSE), IFERROR(VLOOKUP($A541,'Exetel ExDa'!$C$2:$N$14, 0,FALSE), IFERROR(VLOOKUP($A541,'Infinet ExDa'!$B$2:$E$14, 0,FALSE), "Not Found"))))))))</f>
        <v>Not Found</v>
      </c>
    </row>
    <row r="542" spans="1:14">
      <c r="A542">
        <v>0</v>
      </c>
      <c r="B542" t="str">
        <f>IFERROR(VLOOKUP(A542,'Exetel ExDa'!$C$2:$N$14,4,FALSE),"No Data")</f>
        <v>No Data</v>
      </c>
      <c r="C542" t="str">
        <f>IFERROR(VLOOKUP(A542,'AAPT ExDa'!$B$2:$U$99, 2,FALSE), IFERROR(VLOOKUP(A542,'ABB ExDa'!$A$2:$N$184, 2,FALSE), IFERROR(VLOOKUP(A542,'Vocus SIT ExDa'!$B$2:$J$173, 7,FALSE), IFERROR(VLOOKUP(A542,'Telstra ExDa'!$B$2:$K$310, 2,FALSE), IFERROR(VLOOKUP(A542,'Vocus RVC ExDa'!$C$2:$R$155, 3,FALSE), IFERROR(VLOOKUP(A542,'Fusion ExDa'!$B$2:$D$16, 2,FALSE), IFERROR(VLOOKUP(A542,'Exetel ExDa'!$C$2:$N$14, 2,FALSE), IFERROR(VLOOKUP(A542,'Infinet ExDa'!$B$2:$E$14, 2,FALSE), "Not Found"))))))))</f>
        <v>Not Found</v>
      </c>
      <c r="D542" t="str">
        <f>IFERROR(VLOOKUP($A542,'AAPT ExDa'!$B$2:$U$99, 15,FALSE), IFERROR(VLOOKUP($A542,'ABB ExDa'!$A$2:$N$184, 4,FALSE), IFERROR(VLOOKUP($A542,'Vocus SIT ExDa'!$B$2:$J$173, 5,FALSE), IFERROR(VLOOKUP($A542,'Telstra ExDa'!$B$2:$K$310, 8,FALSE), IFERROR(VLOOKUP($A542,'Vocus RVC ExDa'!$C$2:$R$155, 6,FALSE), IFERROR(VLOOKUP($A542,'Fusion ExDa'!$B$2:$D$16, 4,FALSE), IFERROR(VLOOKUP($A542,'Exetel ExDa'!$C$2:$N$14, 3,FALSE), IFERROR(VLOOKUP($A542,'Infinet ExDa'!$B$2:$E$14, 3,FALSE), "Not Found"))))))))</f>
        <v>Not Found</v>
      </c>
      <c r="E542" t="str">
        <f>IFERROR(VLOOKUP($A542,'AAPT ExDa'!$B$2:$U$99, 3,FALSE), IFERROR(VLOOKUP($A542,'ABB ExDa'!$A$2:$N$184, 5,FALSE), IFERROR(VLOOKUP($A542,'Vocus SIT ExDa'!$B$2:$J$173, 2,FALSE), IFERROR(VLOOKUP($A542,'Telstra ExDa'!$B$2:$K$310, 4,FALSE), IFERROR(VLOOKUP($A542,'Vocus RVC ExDa'!$C$2:$R$155, 8,FALSE), IFERROR(VLOOKUP($A542,'Fusion ExDa'!$B$2:$D$16, 4,FALSE), IFERROR(VLOOKUP($A542,'Exetel ExDa'!$C$2:$N$14, 5,FALSE), IFERROR(VLOOKUP($A542,'Infinet ExDa'!$B$2:$E$14, 3,FALSE), "Not Found"))))))))</f>
        <v>Not Found</v>
      </c>
      <c r="F542" t="str">
        <f>IFERROR(VLOOKUP($A542,'AAPT ExDa'!$B$2:$U$99, 4,FALSE), IFERROR(VLOOKUP($A542,'ABB ExDa'!$A$2:$N$184, 6,FALSE), IFERROR(VLOOKUP($A542,'Vocus SIT ExDa'!$B$2:$J$173, 3,FALSE), IFERROR(VLOOKUP($A542,'Telstra ExDa'!$B$2:$K$310, 5,FALSE), IFERROR(VLOOKUP($A542,'Vocus RVC ExDa'!$C$2:$R$155, 9,FALSE), IFERROR(VLOOKUP($A542,'Fusion ExDa'!$B$2:$D$16, 0,FALSE), IFERROR(VLOOKUP($A542,'Exetel ExDa'!$C$2:$N$14, 6,FALSE), IFERROR(VLOOKUP($A542,'Infinet ExDa'!$B$2:$E$14, 0,FALSE), "Not Found"))))))))</f>
        <v>Not Found</v>
      </c>
      <c r="G542" t="str">
        <f>IFERROR(VLOOKUP($A542,'AAPT ExDa'!$B$2:$U$99, 5,FALSE), IFERROR(VLOOKUP($A542,'ABB ExDa'!$A$2:$N$184, 8,FALSE), IFERROR(VLOOKUP($A542,'Vocus SIT ExDa'!$B$2:$J$173, 6,FALSE), IFERROR(VLOOKUP($A542,'Telstra ExDa'!$B$2:$K$310, 0,FALSE), IFERROR(VLOOKUP($A542,'Vocus RVC ExDa'!$C$2:$R$155, 15,FALSE), IFERROR(VLOOKUP($A542,'Fusion ExDa'!$B$2:$D$16, 0,FALSE), IFERROR(VLOOKUP($A542,'Exetel ExDa'!$C$2:$N$14, 7,FALSE), IFERROR(VLOOKUP($A542,'Infinet ExDa'!$B$2:$E$14, 0,FALSE), "Not Found"))))))))</f>
        <v>Not Found</v>
      </c>
      <c r="H542" t="str">
        <f>IFERROR(VLOOKUP($A542,'AAPT ExDa'!$B$2:$U$99, 6,FALSE), IFERROR(VLOOKUP($A542,'ABB ExDa'!$A$2:$N$184, 0,FALSE), IFERROR(VLOOKUP($A542,'Vocus SIT ExDa'!$B$2:$J$173, 0,FALSE), IFERROR(VLOOKUP($A542,'Telstra ExDa'!$B$2:$K$310, 0,FALSE), IFERROR(VLOOKUP($A542,'Vocus RVC ExDa'!$C$2:$R$155, 16,FALSE), IFERROR(VLOOKUP($A542,'Fusion ExDa'!$B$2:$D$16, 0,FALSE), IFERROR(VLOOKUP($A542,'Exetel ExDa'!$C$2:$N$14, 0,FALSE), IFERROR(VLOOKUP($A542,'Infinet ExDa'!$B$2:$E$14, 0,FALSE), "Not Found"))))))))</f>
        <v>Not Found</v>
      </c>
      <c r="I542" t="str">
        <f>IFERROR(VLOOKUP($A542,'AAPT ExDa'!$B$2:$U$99, 0,FALSE), IFERROR(VLOOKUP($A542,'ABB ExDa'!$A$2:$N$184, 0,FALSE), IFERROR(VLOOKUP($A542,'Vocus SIT ExDa'!$B$2:$J$173, 0,FALSE), IFERROR(VLOOKUP($A542,'Telstra ExDa'!$B$2:$K$310, 0,FALSE), IFERROR(VLOOKUP($A542,'Vocus RVC ExDa'!$C$2:$R$155, 0,FALSE), IFERROR(VLOOKUP($A542,'Fusion ExDa'!$B$2:$D$16, 0,FALSE), IFERROR(VLOOKUP($A542,'Exetel ExDa'!$C$2:$N$14, 8,FALSE), IFERROR(VLOOKUP($A542,'Infinet ExDa'!$B$2:$E$14, 0,FALSE), "Not Found"))))))))</f>
        <v>Not Found</v>
      </c>
      <c r="J542" t="str">
        <f>IFERROR(VLOOKUP($A542,'AAPT ExDa'!$B$2:$U$99, 7,FALSE), IFERROR(VLOOKUP($A542,'ABB ExDa'!$A$2:$N$184, 2,FALSE), IFERROR(VLOOKUP($A542,'Vocus SIT ExDa'!$B$2:$J$173, 0,FALSE), IFERROR(VLOOKUP($A542,'Telstra ExDa'!$B$2:$K$310, 7,FALSE), IFERROR(VLOOKUP($A542,'Vocus RVC ExDa'!$C$2:$R$155, 2,FALSE), IFERROR(VLOOKUP($A542,'Fusion ExDa'!$B$2:$D$16, 3,FALSE), IFERROR(VLOOKUP($A542,'Exetel ExDa'!$C$2:$N$14, 0,FALSE), IFERROR(VLOOKUP($A542,'Infinet ExDa'!$B$2:$E$14, 0,FALSE), "Not Found"))))))))</f>
        <v>Not Found</v>
      </c>
      <c r="K542" t="str">
        <f>IFERROR(VLOOKUP($A542,'AAPT ExDa'!$B$2:$U$99, 12,FALSE), IFERROR(VLOOKUP($A542,'ABB ExDa'!$A$2:$N$184, 0,FALSE), IFERROR(VLOOKUP($A542,'Vocus SIT ExDa'!$B$2:$J$173, 0,FALSE), IFERROR(VLOOKUP($A542,'Telstra ExDa'!$B$2:$K$310, 0,FALSE), IFERROR(VLOOKUP($A542,'Vocus RVC ExDa'!$C$2:$R$155, 0,FALSE), IFERROR(VLOOKUP($A542,'Fusion ExDa'!$B$2:$D$16, 0,FALSE), IFERROR(VLOOKUP($A542,'Exetel ExDa'!$C$2:$N$14, 12,FALSE), IFERROR(VLOOKUP($A542,'Infinet ExDa'!$B$2:$E$14, 0,FALSE), "Not Found"))))))))</f>
        <v>Not Found</v>
      </c>
      <c r="L542" s="235" t="str">
        <f>IFERROR(VLOOKUP($A542,'AAPT ExDa'!$B$2:$U$99, 11,FALSE), IFERROR(VLOOKUP($A542,'ABB ExDa'!$A$2:$N$184, 9,FALSE), IFERROR(VLOOKUP($A542,'Vocus SIT ExDa'!$B$2:$J$173, 8,FALSE), IFERROR(VLOOKUP($A542,'Telstra ExDa'!$B$2:$K$310, 0,FALSE), IFERROR(VLOOKUP($A542,'Vocus RVC ExDa'!$C$2:$R$155, 0,FALSE), IFERROR(VLOOKUP($A542,'Fusion ExDa'!$B$2:$D$16, 0,FALSE), IFERROR(VLOOKUP($A542,'Exetel ExDa'!$C$2:$N$14, 9,FALSE), IFERROR(VLOOKUP($A542,'Infinet ExDa'!$B$2:$E$14, 0,FALSE), "Not Found"))))))))</f>
        <v>Not Found</v>
      </c>
      <c r="M542" s="234" t="str">
        <f>IFERROR(VLOOKUP($A542,'AAPT ExDa'!$B$2:$U$99, 0,FALSE), IFERROR(VLOOKUP($A542,'ABB ExDa'!$A$2:$N$184, 0,FALSE), IFERROR(VLOOKUP($A542,'Vocus SIT ExDa'!$B$2:$J$173, 0,FALSE), IFERROR(VLOOKUP($A542,'Telstra ExDa'!$B$2:$K$310, 0,FALSE), IFERROR(VLOOKUP($A542,'Vocus RVC ExDa'!$C$2:$R$155, 0,FALSE), IFERROR(VLOOKUP($A542,'Fusion ExDa'!$B$2:$D$16, 0,FALSE), IFERROR(VLOOKUP($A542,'Exetel ExDa'!$C$2:$N$14, 11,FALSE), IFERROR(VLOOKUP($A542,'Infinet ExDa'!$B$2:$E$14, 0,FALSE), "Not Found"))))))))</f>
        <v>Not Found</v>
      </c>
      <c r="N542" t="str">
        <f>IFERROR(VLOOKUP($A542,'AAPT ExDa'!$B$2:$U$99, 0,FALSE), IFERROR(VLOOKUP($A542,'ABB ExDa'!$A$2:$N$184, 13,FALSE), IFERROR(VLOOKUP($A542,'Vocus SIT ExDa'!$B$2:$J$173, 0,FALSE), IFERROR(VLOOKUP($A542,'Telstra ExDa'!$B$2:$K$310, 0,FALSE), IFERROR(VLOOKUP($A542,'Vocus RVC ExDa'!$C$2:$R$155, 0,FALSE), IFERROR(VLOOKUP($A542,'Fusion ExDa'!$B$2:$D$16, 0,FALSE), IFERROR(VLOOKUP($A542,'Exetel ExDa'!$C$2:$N$14, 0,FALSE), IFERROR(VLOOKUP($A542,'Infinet ExDa'!$B$2:$E$14, 0,FALSE), "Not Found"))))))))</f>
        <v>Not Found</v>
      </c>
    </row>
    <row r="543" spans="1:14">
      <c r="A543">
        <v>0</v>
      </c>
      <c r="B543" t="str">
        <f>IFERROR(VLOOKUP(A543,'Exetel ExDa'!$C$2:$N$14,4,FALSE),"No Data")</f>
        <v>No Data</v>
      </c>
      <c r="C543" t="str">
        <f>IFERROR(VLOOKUP(A543,'AAPT ExDa'!$B$2:$U$99, 2,FALSE), IFERROR(VLOOKUP(A543,'ABB ExDa'!$A$2:$N$184, 2,FALSE), IFERROR(VLOOKUP(A543,'Vocus SIT ExDa'!$B$2:$J$173, 7,FALSE), IFERROR(VLOOKUP(A543,'Telstra ExDa'!$B$2:$K$310, 2,FALSE), IFERROR(VLOOKUP(A543,'Vocus RVC ExDa'!$C$2:$R$155, 3,FALSE), IFERROR(VLOOKUP(A543,'Fusion ExDa'!$B$2:$D$16, 2,FALSE), IFERROR(VLOOKUP(A543,'Exetel ExDa'!$C$2:$N$14, 2,FALSE), IFERROR(VLOOKUP(A543,'Infinet ExDa'!$B$2:$E$14, 2,FALSE), "Not Found"))))))))</f>
        <v>Not Found</v>
      </c>
      <c r="D543" t="str">
        <f>IFERROR(VLOOKUP($A543,'AAPT ExDa'!$B$2:$U$99, 15,FALSE), IFERROR(VLOOKUP($A543,'ABB ExDa'!$A$2:$N$184, 4,FALSE), IFERROR(VLOOKUP($A543,'Vocus SIT ExDa'!$B$2:$J$173, 5,FALSE), IFERROR(VLOOKUP($A543,'Telstra ExDa'!$B$2:$K$310, 8,FALSE), IFERROR(VLOOKUP($A543,'Vocus RVC ExDa'!$C$2:$R$155, 6,FALSE), IFERROR(VLOOKUP($A543,'Fusion ExDa'!$B$2:$D$16, 4,FALSE), IFERROR(VLOOKUP($A543,'Exetel ExDa'!$C$2:$N$14, 3,FALSE), IFERROR(VLOOKUP($A543,'Infinet ExDa'!$B$2:$E$14, 3,FALSE), "Not Found"))))))))</f>
        <v>Not Found</v>
      </c>
      <c r="E543" t="str">
        <f>IFERROR(VLOOKUP($A543,'AAPT ExDa'!$B$2:$U$99, 3,FALSE), IFERROR(VLOOKUP($A543,'ABB ExDa'!$A$2:$N$184, 5,FALSE), IFERROR(VLOOKUP($A543,'Vocus SIT ExDa'!$B$2:$J$173, 2,FALSE), IFERROR(VLOOKUP($A543,'Telstra ExDa'!$B$2:$K$310, 4,FALSE), IFERROR(VLOOKUP($A543,'Vocus RVC ExDa'!$C$2:$R$155, 8,FALSE), IFERROR(VLOOKUP($A543,'Fusion ExDa'!$B$2:$D$16, 4,FALSE), IFERROR(VLOOKUP($A543,'Exetel ExDa'!$C$2:$N$14, 5,FALSE), IFERROR(VLOOKUP($A543,'Infinet ExDa'!$B$2:$E$14, 3,FALSE), "Not Found"))))))))</f>
        <v>Not Found</v>
      </c>
      <c r="F543" t="str">
        <f>IFERROR(VLOOKUP($A543,'AAPT ExDa'!$B$2:$U$99, 4,FALSE), IFERROR(VLOOKUP($A543,'ABB ExDa'!$A$2:$N$184, 6,FALSE), IFERROR(VLOOKUP($A543,'Vocus SIT ExDa'!$B$2:$J$173, 3,FALSE), IFERROR(VLOOKUP($A543,'Telstra ExDa'!$B$2:$K$310, 5,FALSE), IFERROR(VLOOKUP($A543,'Vocus RVC ExDa'!$C$2:$R$155, 9,FALSE), IFERROR(VLOOKUP($A543,'Fusion ExDa'!$B$2:$D$16, 0,FALSE), IFERROR(VLOOKUP($A543,'Exetel ExDa'!$C$2:$N$14, 6,FALSE), IFERROR(VLOOKUP($A543,'Infinet ExDa'!$B$2:$E$14, 0,FALSE), "Not Found"))))))))</f>
        <v>Not Found</v>
      </c>
      <c r="G543" t="str">
        <f>IFERROR(VLOOKUP($A543,'AAPT ExDa'!$B$2:$U$99, 5,FALSE), IFERROR(VLOOKUP($A543,'ABB ExDa'!$A$2:$N$184, 8,FALSE), IFERROR(VLOOKUP($A543,'Vocus SIT ExDa'!$B$2:$J$173, 6,FALSE), IFERROR(VLOOKUP($A543,'Telstra ExDa'!$B$2:$K$310, 0,FALSE), IFERROR(VLOOKUP($A543,'Vocus RVC ExDa'!$C$2:$R$155, 15,FALSE), IFERROR(VLOOKUP($A543,'Fusion ExDa'!$B$2:$D$16, 0,FALSE), IFERROR(VLOOKUP($A543,'Exetel ExDa'!$C$2:$N$14, 7,FALSE), IFERROR(VLOOKUP($A543,'Infinet ExDa'!$B$2:$E$14, 0,FALSE), "Not Found"))))))))</f>
        <v>Not Found</v>
      </c>
      <c r="H543" t="str">
        <f>IFERROR(VLOOKUP($A543,'AAPT ExDa'!$B$2:$U$99, 6,FALSE), IFERROR(VLOOKUP($A543,'ABB ExDa'!$A$2:$N$184, 0,FALSE), IFERROR(VLOOKUP($A543,'Vocus SIT ExDa'!$B$2:$J$173, 0,FALSE), IFERROR(VLOOKUP($A543,'Telstra ExDa'!$B$2:$K$310, 0,FALSE), IFERROR(VLOOKUP($A543,'Vocus RVC ExDa'!$C$2:$R$155, 16,FALSE), IFERROR(VLOOKUP($A543,'Fusion ExDa'!$B$2:$D$16, 0,FALSE), IFERROR(VLOOKUP($A543,'Exetel ExDa'!$C$2:$N$14, 0,FALSE), IFERROR(VLOOKUP($A543,'Infinet ExDa'!$B$2:$E$14, 0,FALSE), "Not Found"))))))))</f>
        <v>Not Found</v>
      </c>
      <c r="I543" t="str">
        <f>IFERROR(VLOOKUP($A543,'AAPT ExDa'!$B$2:$U$99, 0,FALSE), IFERROR(VLOOKUP($A543,'ABB ExDa'!$A$2:$N$184, 0,FALSE), IFERROR(VLOOKUP($A543,'Vocus SIT ExDa'!$B$2:$J$173, 0,FALSE), IFERROR(VLOOKUP($A543,'Telstra ExDa'!$B$2:$K$310, 0,FALSE), IFERROR(VLOOKUP($A543,'Vocus RVC ExDa'!$C$2:$R$155, 0,FALSE), IFERROR(VLOOKUP($A543,'Fusion ExDa'!$B$2:$D$16, 0,FALSE), IFERROR(VLOOKUP($A543,'Exetel ExDa'!$C$2:$N$14, 8,FALSE), IFERROR(VLOOKUP($A543,'Infinet ExDa'!$B$2:$E$14, 0,FALSE), "Not Found"))))))))</f>
        <v>Not Found</v>
      </c>
      <c r="J543" t="str">
        <f>IFERROR(VLOOKUP($A543,'AAPT ExDa'!$B$2:$U$99, 7,FALSE), IFERROR(VLOOKUP($A543,'ABB ExDa'!$A$2:$N$184, 2,FALSE), IFERROR(VLOOKUP($A543,'Vocus SIT ExDa'!$B$2:$J$173, 0,FALSE), IFERROR(VLOOKUP($A543,'Telstra ExDa'!$B$2:$K$310, 7,FALSE), IFERROR(VLOOKUP($A543,'Vocus RVC ExDa'!$C$2:$R$155, 2,FALSE), IFERROR(VLOOKUP($A543,'Fusion ExDa'!$B$2:$D$16, 3,FALSE), IFERROR(VLOOKUP($A543,'Exetel ExDa'!$C$2:$N$14, 0,FALSE), IFERROR(VLOOKUP($A543,'Infinet ExDa'!$B$2:$E$14, 0,FALSE), "Not Found"))))))))</f>
        <v>Not Found</v>
      </c>
      <c r="K543" t="str">
        <f>IFERROR(VLOOKUP($A543,'AAPT ExDa'!$B$2:$U$99, 12,FALSE), IFERROR(VLOOKUP($A543,'ABB ExDa'!$A$2:$N$184, 0,FALSE), IFERROR(VLOOKUP($A543,'Vocus SIT ExDa'!$B$2:$J$173, 0,FALSE), IFERROR(VLOOKUP($A543,'Telstra ExDa'!$B$2:$K$310, 0,FALSE), IFERROR(VLOOKUP($A543,'Vocus RVC ExDa'!$C$2:$R$155, 0,FALSE), IFERROR(VLOOKUP($A543,'Fusion ExDa'!$B$2:$D$16, 0,FALSE), IFERROR(VLOOKUP($A543,'Exetel ExDa'!$C$2:$N$14, 12,FALSE), IFERROR(VLOOKUP($A543,'Infinet ExDa'!$B$2:$E$14, 0,FALSE), "Not Found"))))))))</f>
        <v>Not Found</v>
      </c>
      <c r="L543" s="235" t="str">
        <f>IFERROR(VLOOKUP($A543,'AAPT ExDa'!$B$2:$U$99, 11,FALSE), IFERROR(VLOOKUP($A543,'ABB ExDa'!$A$2:$N$184, 9,FALSE), IFERROR(VLOOKUP($A543,'Vocus SIT ExDa'!$B$2:$J$173, 8,FALSE), IFERROR(VLOOKUP($A543,'Telstra ExDa'!$B$2:$K$310, 0,FALSE), IFERROR(VLOOKUP($A543,'Vocus RVC ExDa'!$C$2:$R$155, 0,FALSE), IFERROR(VLOOKUP($A543,'Fusion ExDa'!$B$2:$D$16, 0,FALSE), IFERROR(VLOOKUP($A543,'Exetel ExDa'!$C$2:$N$14, 9,FALSE), IFERROR(VLOOKUP($A543,'Infinet ExDa'!$B$2:$E$14, 0,FALSE), "Not Found"))))))))</f>
        <v>Not Found</v>
      </c>
      <c r="M543" s="234" t="str">
        <f>IFERROR(VLOOKUP($A543,'AAPT ExDa'!$B$2:$U$99, 0,FALSE), IFERROR(VLOOKUP($A543,'ABB ExDa'!$A$2:$N$184, 0,FALSE), IFERROR(VLOOKUP($A543,'Vocus SIT ExDa'!$B$2:$J$173, 0,FALSE), IFERROR(VLOOKUP($A543,'Telstra ExDa'!$B$2:$K$310, 0,FALSE), IFERROR(VLOOKUP($A543,'Vocus RVC ExDa'!$C$2:$R$155, 0,FALSE), IFERROR(VLOOKUP($A543,'Fusion ExDa'!$B$2:$D$16, 0,FALSE), IFERROR(VLOOKUP($A543,'Exetel ExDa'!$C$2:$N$14, 11,FALSE), IFERROR(VLOOKUP($A543,'Infinet ExDa'!$B$2:$E$14, 0,FALSE), "Not Found"))))))))</f>
        <v>Not Found</v>
      </c>
      <c r="N543" t="str">
        <f>IFERROR(VLOOKUP($A543,'AAPT ExDa'!$B$2:$U$99, 0,FALSE), IFERROR(VLOOKUP($A543,'ABB ExDa'!$A$2:$N$184, 13,FALSE), IFERROR(VLOOKUP($A543,'Vocus SIT ExDa'!$B$2:$J$173, 0,FALSE), IFERROR(VLOOKUP($A543,'Telstra ExDa'!$B$2:$K$310, 0,FALSE), IFERROR(VLOOKUP($A543,'Vocus RVC ExDa'!$C$2:$R$155, 0,FALSE), IFERROR(VLOOKUP($A543,'Fusion ExDa'!$B$2:$D$16, 0,FALSE), IFERROR(VLOOKUP($A543,'Exetel ExDa'!$C$2:$N$14, 0,FALSE), IFERROR(VLOOKUP($A543,'Infinet ExDa'!$B$2:$E$14, 0,FALSE), "Not Found"))))))))</f>
        <v>Not Found</v>
      </c>
    </row>
    <row r="544" spans="1:14">
      <c r="A544">
        <v>0</v>
      </c>
      <c r="B544" t="str">
        <f>IFERROR(VLOOKUP(A544,'Exetel ExDa'!$C$2:$N$14,4,FALSE),"No Data")</f>
        <v>No Data</v>
      </c>
      <c r="C544" t="str">
        <f>IFERROR(VLOOKUP(A544,'AAPT ExDa'!$B$2:$U$99, 2,FALSE), IFERROR(VLOOKUP(A544,'ABB ExDa'!$A$2:$N$184, 2,FALSE), IFERROR(VLOOKUP(A544,'Vocus SIT ExDa'!$B$2:$J$173, 7,FALSE), IFERROR(VLOOKUP(A544,'Telstra ExDa'!$B$2:$K$310, 2,FALSE), IFERROR(VLOOKUP(A544,'Vocus RVC ExDa'!$C$2:$R$155, 3,FALSE), IFERROR(VLOOKUP(A544,'Fusion ExDa'!$B$2:$D$16, 2,FALSE), IFERROR(VLOOKUP(A544,'Exetel ExDa'!$C$2:$N$14, 2,FALSE), IFERROR(VLOOKUP(A544,'Infinet ExDa'!$B$2:$E$14, 2,FALSE), "Not Found"))))))))</f>
        <v>Not Found</v>
      </c>
      <c r="D544" t="str">
        <f>IFERROR(VLOOKUP($A544,'AAPT ExDa'!$B$2:$U$99, 15,FALSE), IFERROR(VLOOKUP($A544,'ABB ExDa'!$A$2:$N$184, 4,FALSE), IFERROR(VLOOKUP($A544,'Vocus SIT ExDa'!$B$2:$J$173, 5,FALSE), IFERROR(VLOOKUP($A544,'Telstra ExDa'!$B$2:$K$310, 8,FALSE), IFERROR(VLOOKUP($A544,'Vocus RVC ExDa'!$C$2:$R$155, 6,FALSE), IFERROR(VLOOKUP($A544,'Fusion ExDa'!$B$2:$D$16, 4,FALSE), IFERROR(VLOOKUP($A544,'Exetel ExDa'!$C$2:$N$14, 3,FALSE), IFERROR(VLOOKUP($A544,'Infinet ExDa'!$B$2:$E$14, 3,FALSE), "Not Found"))))))))</f>
        <v>Not Found</v>
      </c>
      <c r="E544" t="str">
        <f>IFERROR(VLOOKUP($A544,'AAPT ExDa'!$B$2:$U$99, 3,FALSE), IFERROR(VLOOKUP($A544,'ABB ExDa'!$A$2:$N$184, 5,FALSE), IFERROR(VLOOKUP($A544,'Vocus SIT ExDa'!$B$2:$J$173, 2,FALSE), IFERROR(VLOOKUP($A544,'Telstra ExDa'!$B$2:$K$310, 4,FALSE), IFERROR(VLOOKUP($A544,'Vocus RVC ExDa'!$C$2:$R$155, 8,FALSE), IFERROR(VLOOKUP($A544,'Fusion ExDa'!$B$2:$D$16, 4,FALSE), IFERROR(VLOOKUP($A544,'Exetel ExDa'!$C$2:$N$14, 5,FALSE), IFERROR(VLOOKUP($A544,'Infinet ExDa'!$B$2:$E$14, 3,FALSE), "Not Found"))))))))</f>
        <v>Not Found</v>
      </c>
      <c r="F544" t="str">
        <f>IFERROR(VLOOKUP($A544,'AAPT ExDa'!$B$2:$U$99, 4,FALSE), IFERROR(VLOOKUP($A544,'ABB ExDa'!$A$2:$N$184, 6,FALSE), IFERROR(VLOOKUP($A544,'Vocus SIT ExDa'!$B$2:$J$173, 3,FALSE), IFERROR(VLOOKUP($A544,'Telstra ExDa'!$B$2:$K$310, 5,FALSE), IFERROR(VLOOKUP($A544,'Vocus RVC ExDa'!$C$2:$R$155, 9,FALSE), IFERROR(VLOOKUP($A544,'Fusion ExDa'!$B$2:$D$16, 0,FALSE), IFERROR(VLOOKUP($A544,'Exetel ExDa'!$C$2:$N$14, 6,FALSE), IFERROR(VLOOKUP($A544,'Infinet ExDa'!$B$2:$E$14, 0,FALSE), "Not Found"))))))))</f>
        <v>Not Found</v>
      </c>
      <c r="G544" t="str">
        <f>IFERROR(VLOOKUP($A544,'AAPT ExDa'!$B$2:$U$99, 5,FALSE), IFERROR(VLOOKUP($A544,'ABB ExDa'!$A$2:$N$184, 8,FALSE), IFERROR(VLOOKUP($A544,'Vocus SIT ExDa'!$B$2:$J$173, 6,FALSE), IFERROR(VLOOKUP($A544,'Telstra ExDa'!$B$2:$K$310, 0,FALSE), IFERROR(VLOOKUP($A544,'Vocus RVC ExDa'!$C$2:$R$155, 15,FALSE), IFERROR(VLOOKUP($A544,'Fusion ExDa'!$B$2:$D$16, 0,FALSE), IFERROR(VLOOKUP($A544,'Exetel ExDa'!$C$2:$N$14, 7,FALSE), IFERROR(VLOOKUP($A544,'Infinet ExDa'!$B$2:$E$14, 0,FALSE), "Not Found"))))))))</f>
        <v>Not Found</v>
      </c>
      <c r="H544" t="str">
        <f>IFERROR(VLOOKUP($A544,'AAPT ExDa'!$B$2:$U$99, 6,FALSE), IFERROR(VLOOKUP($A544,'ABB ExDa'!$A$2:$N$184, 0,FALSE), IFERROR(VLOOKUP($A544,'Vocus SIT ExDa'!$B$2:$J$173, 0,FALSE), IFERROR(VLOOKUP($A544,'Telstra ExDa'!$B$2:$K$310, 0,FALSE), IFERROR(VLOOKUP($A544,'Vocus RVC ExDa'!$C$2:$R$155, 16,FALSE), IFERROR(VLOOKUP($A544,'Fusion ExDa'!$B$2:$D$16, 0,FALSE), IFERROR(VLOOKUP($A544,'Exetel ExDa'!$C$2:$N$14, 0,FALSE), IFERROR(VLOOKUP($A544,'Infinet ExDa'!$B$2:$E$14, 0,FALSE), "Not Found"))))))))</f>
        <v>Not Found</v>
      </c>
      <c r="I544" t="str">
        <f>IFERROR(VLOOKUP($A544,'AAPT ExDa'!$B$2:$U$99, 0,FALSE), IFERROR(VLOOKUP($A544,'ABB ExDa'!$A$2:$N$184, 0,FALSE), IFERROR(VLOOKUP($A544,'Vocus SIT ExDa'!$B$2:$J$173, 0,FALSE), IFERROR(VLOOKUP($A544,'Telstra ExDa'!$B$2:$K$310, 0,FALSE), IFERROR(VLOOKUP($A544,'Vocus RVC ExDa'!$C$2:$R$155, 0,FALSE), IFERROR(VLOOKUP($A544,'Fusion ExDa'!$B$2:$D$16, 0,FALSE), IFERROR(VLOOKUP($A544,'Exetel ExDa'!$C$2:$N$14, 8,FALSE), IFERROR(VLOOKUP($A544,'Infinet ExDa'!$B$2:$E$14, 0,FALSE), "Not Found"))))))))</f>
        <v>Not Found</v>
      </c>
      <c r="J544" t="str">
        <f>IFERROR(VLOOKUP($A544,'AAPT ExDa'!$B$2:$U$99, 7,FALSE), IFERROR(VLOOKUP($A544,'ABB ExDa'!$A$2:$N$184, 2,FALSE), IFERROR(VLOOKUP($A544,'Vocus SIT ExDa'!$B$2:$J$173, 0,FALSE), IFERROR(VLOOKUP($A544,'Telstra ExDa'!$B$2:$K$310, 7,FALSE), IFERROR(VLOOKUP($A544,'Vocus RVC ExDa'!$C$2:$R$155, 2,FALSE), IFERROR(VLOOKUP($A544,'Fusion ExDa'!$B$2:$D$16, 3,FALSE), IFERROR(VLOOKUP($A544,'Exetel ExDa'!$C$2:$N$14, 0,FALSE), IFERROR(VLOOKUP($A544,'Infinet ExDa'!$B$2:$E$14, 0,FALSE), "Not Found"))))))))</f>
        <v>Not Found</v>
      </c>
      <c r="K544" t="str">
        <f>IFERROR(VLOOKUP($A544,'AAPT ExDa'!$B$2:$U$99, 12,FALSE), IFERROR(VLOOKUP($A544,'ABB ExDa'!$A$2:$N$184, 0,FALSE), IFERROR(VLOOKUP($A544,'Vocus SIT ExDa'!$B$2:$J$173, 0,FALSE), IFERROR(VLOOKUP($A544,'Telstra ExDa'!$B$2:$K$310, 0,FALSE), IFERROR(VLOOKUP($A544,'Vocus RVC ExDa'!$C$2:$R$155, 0,FALSE), IFERROR(VLOOKUP($A544,'Fusion ExDa'!$B$2:$D$16, 0,FALSE), IFERROR(VLOOKUP($A544,'Exetel ExDa'!$C$2:$N$14, 12,FALSE), IFERROR(VLOOKUP($A544,'Infinet ExDa'!$B$2:$E$14, 0,FALSE), "Not Found"))))))))</f>
        <v>Not Found</v>
      </c>
      <c r="L544" s="235" t="str">
        <f>IFERROR(VLOOKUP($A544,'AAPT ExDa'!$B$2:$U$99, 11,FALSE), IFERROR(VLOOKUP($A544,'ABB ExDa'!$A$2:$N$184, 9,FALSE), IFERROR(VLOOKUP($A544,'Vocus SIT ExDa'!$B$2:$J$173, 8,FALSE), IFERROR(VLOOKUP($A544,'Telstra ExDa'!$B$2:$K$310, 0,FALSE), IFERROR(VLOOKUP($A544,'Vocus RVC ExDa'!$C$2:$R$155, 0,FALSE), IFERROR(VLOOKUP($A544,'Fusion ExDa'!$B$2:$D$16, 0,FALSE), IFERROR(VLOOKUP($A544,'Exetel ExDa'!$C$2:$N$14, 9,FALSE), IFERROR(VLOOKUP($A544,'Infinet ExDa'!$B$2:$E$14, 0,FALSE), "Not Found"))))))))</f>
        <v>Not Found</v>
      </c>
      <c r="M544" s="234" t="str">
        <f>IFERROR(VLOOKUP($A544,'AAPT ExDa'!$B$2:$U$99, 0,FALSE), IFERROR(VLOOKUP($A544,'ABB ExDa'!$A$2:$N$184, 0,FALSE), IFERROR(VLOOKUP($A544,'Vocus SIT ExDa'!$B$2:$J$173, 0,FALSE), IFERROR(VLOOKUP($A544,'Telstra ExDa'!$B$2:$K$310, 0,FALSE), IFERROR(VLOOKUP($A544,'Vocus RVC ExDa'!$C$2:$R$155, 0,FALSE), IFERROR(VLOOKUP($A544,'Fusion ExDa'!$B$2:$D$16, 0,FALSE), IFERROR(VLOOKUP($A544,'Exetel ExDa'!$C$2:$N$14, 11,FALSE), IFERROR(VLOOKUP($A544,'Infinet ExDa'!$B$2:$E$14, 0,FALSE), "Not Found"))))))))</f>
        <v>Not Found</v>
      </c>
      <c r="N544" t="str">
        <f>IFERROR(VLOOKUP($A544,'AAPT ExDa'!$B$2:$U$99, 0,FALSE), IFERROR(VLOOKUP($A544,'ABB ExDa'!$A$2:$N$184, 13,FALSE), IFERROR(VLOOKUP($A544,'Vocus SIT ExDa'!$B$2:$J$173, 0,FALSE), IFERROR(VLOOKUP($A544,'Telstra ExDa'!$B$2:$K$310, 0,FALSE), IFERROR(VLOOKUP($A544,'Vocus RVC ExDa'!$C$2:$R$155, 0,FALSE), IFERROR(VLOOKUP($A544,'Fusion ExDa'!$B$2:$D$16, 0,FALSE), IFERROR(VLOOKUP($A544,'Exetel ExDa'!$C$2:$N$14, 0,FALSE), IFERROR(VLOOKUP($A544,'Infinet ExDa'!$B$2:$E$14, 0,FALSE), "Not Found"))))))))</f>
        <v>Not Found</v>
      </c>
    </row>
    <row r="545" spans="1:14">
      <c r="A545">
        <v>0</v>
      </c>
      <c r="B545" t="str">
        <f>IFERROR(VLOOKUP(A545,'Exetel ExDa'!$C$2:$N$14,4,FALSE),"No Data")</f>
        <v>No Data</v>
      </c>
      <c r="C545" t="str">
        <f>IFERROR(VLOOKUP(A545,'AAPT ExDa'!$B$2:$U$99, 2,FALSE), IFERROR(VLOOKUP(A545,'ABB ExDa'!$A$2:$N$184, 2,FALSE), IFERROR(VLOOKUP(A545,'Vocus SIT ExDa'!$B$2:$J$173, 7,FALSE), IFERROR(VLOOKUP(A545,'Telstra ExDa'!$B$2:$K$310, 2,FALSE), IFERROR(VLOOKUP(A545,'Vocus RVC ExDa'!$C$2:$R$155, 3,FALSE), IFERROR(VLOOKUP(A545,'Fusion ExDa'!$B$2:$D$16, 2,FALSE), IFERROR(VLOOKUP(A545,'Exetel ExDa'!$C$2:$N$14, 2,FALSE), IFERROR(VLOOKUP(A545,'Infinet ExDa'!$B$2:$E$14, 2,FALSE), "Not Found"))))))))</f>
        <v>Not Found</v>
      </c>
      <c r="D545" t="str">
        <f>IFERROR(VLOOKUP($A545,'AAPT ExDa'!$B$2:$U$99, 15,FALSE), IFERROR(VLOOKUP($A545,'ABB ExDa'!$A$2:$N$184, 4,FALSE), IFERROR(VLOOKUP($A545,'Vocus SIT ExDa'!$B$2:$J$173, 5,FALSE), IFERROR(VLOOKUP($A545,'Telstra ExDa'!$B$2:$K$310, 8,FALSE), IFERROR(VLOOKUP($A545,'Vocus RVC ExDa'!$C$2:$R$155, 6,FALSE), IFERROR(VLOOKUP($A545,'Fusion ExDa'!$B$2:$D$16, 4,FALSE), IFERROR(VLOOKUP($A545,'Exetel ExDa'!$C$2:$N$14, 3,FALSE), IFERROR(VLOOKUP($A545,'Infinet ExDa'!$B$2:$E$14, 3,FALSE), "Not Found"))))))))</f>
        <v>Not Found</v>
      </c>
      <c r="E545" t="str">
        <f>IFERROR(VLOOKUP($A545,'AAPT ExDa'!$B$2:$U$99, 3,FALSE), IFERROR(VLOOKUP($A545,'ABB ExDa'!$A$2:$N$184, 5,FALSE), IFERROR(VLOOKUP($A545,'Vocus SIT ExDa'!$B$2:$J$173, 2,FALSE), IFERROR(VLOOKUP($A545,'Telstra ExDa'!$B$2:$K$310, 4,FALSE), IFERROR(VLOOKUP($A545,'Vocus RVC ExDa'!$C$2:$R$155, 8,FALSE), IFERROR(VLOOKUP($A545,'Fusion ExDa'!$B$2:$D$16, 4,FALSE), IFERROR(VLOOKUP($A545,'Exetel ExDa'!$C$2:$N$14, 5,FALSE), IFERROR(VLOOKUP($A545,'Infinet ExDa'!$B$2:$E$14, 3,FALSE), "Not Found"))))))))</f>
        <v>Not Found</v>
      </c>
      <c r="F545" t="str">
        <f>IFERROR(VLOOKUP($A545,'AAPT ExDa'!$B$2:$U$99, 4,FALSE), IFERROR(VLOOKUP($A545,'ABB ExDa'!$A$2:$N$184, 6,FALSE), IFERROR(VLOOKUP($A545,'Vocus SIT ExDa'!$B$2:$J$173, 3,FALSE), IFERROR(VLOOKUP($A545,'Telstra ExDa'!$B$2:$K$310, 5,FALSE), IFERROR(VLOOKUP($A545,'Vocus RVC ExDa'!$C$2:$R$155, 9,FALSE), IFERROR(VLOOKUP($A545,'Fusion ExDa'!$B$2:$D$16, 0,FALSE), IFERROR(VLOOKUP($A545,'Exetel ExDa'!$C$2:$N$14, 6,FALSE), IFERROR(VLOOKUP($A545,'Infinet ExDa'!$B$2:$E$14, 0,FALSE), "Not Found"))))))))</f>
        <v>Not Found</v>
      </c>
      <c r="G545" t="str">
        <f>IFERROR(VLOOKUP($A545,'AAPT ExDa'!$B$2:$U$99, 5,FALSE), IFERROR(VLOOKUP($A545,'ABB ExDa'!$A$2:$N$184, 8,FALSE), IFERROR(VLOOKUP($A545,'Vocus SIT ExDa'!$B$2:$J$173, 6,FALSE), IFERROR(VLOOKUP($A545,'Telstra ExDa'!$B$2:$K$310, 0,FALSE), IFERROR(VLOOKUP($A545,'Vocus RVC ExDa'!$C$2:$R$155, 15,FALSE), IFERROR(VLOOKUP($A545,'Fusion ExDa'!$B$2:$D$16, 0,FALSE), IFERROR(VLOOKUP($A545,'Exetel ExDa'!$C$2:$N$14, 7,FALSE), IFERROR(VLOOKUP($A545,'Infinet ExDa'!$B$2:$E$14, 0,FALSE), "Not Found"))))))))</f>
        <v>Not Found</v>
      </c>
      <c r="H545" t="str">
        <f>IFERROR(VLOOKUP($A545,'AAPT ExDa'!$B$2:$U$99, 6,FALSE), IFERROR(VLOOKUP($A545,'ABB ExDa'!$A$2:$N$184, 0,FALSE), IFERROR(VLOOKUP($A545,'Vocus SIT ExDa'!$B$2:$J$173, 0,FALSE), IFERROR(VLOOKUP($A545,'Telstra ExDa'!$B$2:$K$310, 0,FALSE), IFERROR(VLOOKUP($A545,'Vocus RVC ExDa'!$C$2:$R$155, 16,FALSE), IFERROR(VLOOKUP($A545,'Fusion ExDa'!$B$2:$D$16, 0,FALSE), IFERROR(VLOOKUP($A545,'Exetel ExDa'!$C$2:$N$14, 0,FALSE), IFERROR(VLOOKUP($A545,'Infinet ExDa'!$B$2:$E$14, 0,FALSE), "Not Found"))))))))</f>
        <v>Not Found</v>
      </c>
      <c r="I545" t="str">
        <f>IFERROR(VLOOKUP($A545,'AAPT ExDa'!$B$2:$U$99, 0,FALSE), IFERROR(VLOOKUP($A545,'ABB ExDa'!$A$2:$N$184, 0,FALSE), IFERROR(VLOOKUP($A545,'Vocus SIT ExDa'!$B$2:$J$173, 0,FALSE), IFERROR(VLOOKUP($A545,'Telstra ExDa'!$B$2:$K$310, 0,FALSE), IFERROR(VLOOKUP($A545,'Vocus RVC ExDa'!$C$2:$R$155, 0,FALSE), IFERROR(VLOOKUP($A545,'Fusion ExDa'!$B$2:$D$16, 0,FALSE), IFERROR(VLOOKUP($A545,'Exetel ExDa'!$C$2:$N$14, 8,FALSE), IFERROR(VLOOKUP($A545,'Infinet ExDa'!$B$2:$E$14, 0,FALSE), "Not Found"))))))))</f>
        <v>Not Found</v>
      </c>
      <c r="J545" t="str">
        <f>IFERROR(VLOOKUP($A545,'AAPT ExDa'!$B$2:$U$99, 7,FALSE), IFERROR(VLOOKUP($A545,'ABB ExDa'!$A$2:$N$184, 2,FALSE), IFERROR(VLOOKUP($A545,'Vocus SIT ExDa'!$B$2:$J$173, 0,FALSE), IFERROR(VLOOKUP($A545,'Telstra ExDa'!$B$2:$K$310, 7,FALSE), IFERROR(VLOOKUP($A545,'Vocus RVC ExDa'!$C$2:$R$155, 2,FALSE), IFERROR(VLOOKUP($A545,'Fusion ExDa'!$B$2:$D$16, 3,FALSE), IFERROR(VLOOKUP($A545,'Exetel ExDa'!$C$2:$N$14, 0,FALSE), IFERROR(VLOOKUP($A545,'Infinet ExDa'!$B$2:$E$14, 0,FALSE), "Not Found"))))))))</f>
        <v>Not Found</v>
      </c>
      <c r="K545" t="str">
        <f>IFERROR(VLOOKUP($A545,'AAPT ExDa'!$B$2:$U$99, 12,FALSE), IFERROR(VLOOKUP($A545,'ABB ExDa'!$A$2:$N$184, 0,FALSE), IFERROR(VLOOKUP($A545,'Vocus SIT ExDa'!$B$2:$J$173, 0,FALSE), IFERROR(VLOOKUP($A545,'Telstra ExDa'!$B$2:$K$310, 0,FALSE), IFERROR(VLOOKUP($A545,'Vocus RVC ExDa'!$C$2:$R$155, 0,FALSE), IFERROR(VLOOKUP($A545,'Fusion ExDa'!$B$2:$D$16, 0,FALSE), IFERROR(VLOOKUP($A545,'Exetel ExDa'!$C$2:$N$14, 12,FALSE), IFERROR(VLOOKUP($A545,'Infinet ExDa'!$B$2:$E$14, 0,FALSE), "Not Found"))))))))</f>
        <v>Not Found</v>
      </c>
      <c r="L545" s="235" t="str">
        <f>IFERROR(VLOOKUP($A545,'AAPT ExDa'!$B$2:$U$99, 11,FALSE), IFERROR(VLOOKUP($A545,'ABB ExDa'!$A$2:$N$184, 9,FALSE), IFERROR(VLOOKUP($A545,'Vocus SIT ExDa'!$B$2:$J$173, 8,FALSE), IFERROR(VLOOKUP($A545,'Telstra ExDa'!$B$2:$K$310, 0,FALSE), IFERROR(VLOOKUP($A545,'Vocus RVC ExDa'!$C$2:$R$155, 0,FALSE), IFERROR(VLOOKUP($A545,'Fusion ExDa'!$B$2:$D$16, 0,FALSE), IFERROR(VLOOKUP($A545,'Exetel ExDa'!$C$2:$N$14, 9,FALSE), IFERROR(VLOOKUP($A545,'Infinet ExDa'!$B$2:$E$14, 0,FALSE), "Not Found"))))))))</f>
        <v>Not Found</v>
      </c>
      <c r="M545" s="234" t="str">
        <f>IFERROR(VLOOKUP($A545,'AAPT ExDa'!$B$2:$U$99, 0,FALSE), IFERROR(VLOOKUP($A545,'ABB ExDa'!$A$2:$N$184, 0,FALSE), IFERROR(VLOOKUP($A545,'Vocus SIT ExDa'!$B$2:$J$173, 0,FALSE), IFERROR(VLOOKUP($A545,'Telstra ExDa'!$B$2:$K$310, 0,FALSE), IFERROR(VLOOKUP($A545,'Vocus RVC ExDa'!$C$2:$R$155, 0,FALSE), IFERROR(VLOOKUP($A545,'Fusion ExDa'!$B$2:$D$16, 0,FALSE), IFERROR(VLOOKUP($A545,'Exetel ExDa'!$C$2:$N$14, 11,FALSE), IFERROR(VLOOKUP($A545,'Infinet ExDa'!$B$2:$E$14, 0,FALSE), "Not Found"))))))))</f>
        <v>Not Found</v>
      </c>
      <c r="N545" t="str">
        <f>IFERROR(VLOOKUP($A545,'AAPT ExDa'!$B$2:$U$99, 0,FALSE), IFERROR(VLOOKUP($A545,'ABB ExDa'!$A$2:$N$184, 13,FALSE), IFERROR(VLOOKUP($A545,'Vocus SIT ExDa'!$B$2:$J$173, 0,FALSE), IFERROR(VLOOKUP($A545,'Telstra ExDa'!$B$2:$K$310, 0,FALSE), IFERROR(VLOOKUP($A545,'Vocus RVC ExDa'!$C$2:$R$155, 0,FALSE), IFERROR(VLOOKUP($A545,'Fusion ExDa'!$B$2:$D$16, 0,FALSE), IFERROR(VLOOKUP($A545,'Exetel ExDa'!$C$2:$N$14, 0,FALSE), IFERROR(VLOOKUP($A545,'Infinet ExDa'!$B$2:$E$14, 0,FALSE), "Not Found"))))))))</f>
        <v>Not Found</v>
      </c>
    </row>
    <row r="546" spans="1:14">
      <c r="A546">
        <v>0</v>
      </c>
      <c r="B546" t="str">
        <f>IFERROR(VLOOKUP(A546,'Exetel ExDa'!$C$2:$N$14,4,FALSE),"No Data")</f>
        <v>No Data</v>
      </c>
      <c r="C546" t="str">
        <f>IFERROR(VLOOKUP(A546,'AAPT ExDa'!$B$2:$U$99, 2,FALSE), IFERROR(VLOOKUP(A546,'ABB ExDa'!$A$2:$N$184, 2,FALSE), IFERROR(VLOOKUP(A546,'Vocus SIT ExDa'!$B$2:$J$173, 7,FALSE), IFERROR(VLOOKUP(A546,'Telstra ExDa'!$B$2:$K$310, 2,FALSE), IFERROR(VLOOKUP(A546,'Vocus RVC ExDa'!$C$2:$R$155, 3,FALSE), IFERROR(VLOOKUP(A546,'Fusion ExDa'!$B$2:$D$16, 2,FALSE), IFERROR(VLOOKUP(A546,'Exetel ExDa'!$C$2:$N$14, 2,FALSE), IFERROR(VLOOKUP(A546,'Infinet ExDa'!$B$2:$E$14, 2,FALSE), "Not Found"))))))))</f>
        <v>Not Found</v>
      </c>
      <c r="D546" t="str">
        <f>IFERROR(VLOOKUP($A546,'AAPT ExDa'!$B$2:$U$99, 15,FALSE), IFERROR(VLOOKUP($A546,'ABB ExDa'!$A$2:$N$184, 4,FALSE), IFERROR(VLOOKUP($A546,'Vocus SIT ExDa'!$B$2:$J$173, 5,FALSE), IFERROR(VLOOKUP($A546,'Telstra ExDa'!$B$2:$K$310, 8,FALSE), IFERROR(VLOOKUP($A546,'Vocus RVC ExDa'!$C$2:$R$155, 6,FALSE), IFERROR(VLOOKUP($A546,'Fusion ExDa'!$B$2:$D$16, 4,FALSE), IFERROR(VLOOKUP($A546,'Exetel ExDa'!$C$2:$N$14, 3,FALSE), IFERROR(VLOOKUP($A546,'Infinet ExDa'!$B$2:$E$14, 3,FALSE), "Not Found"))))))))</f>
        <v>Not Found</v>
      </c>
      <c r="E546" t="str">
        <f>IFERROR(VLOOKUP($A546,'AAPT ExDa'!$B$2:$U$99, 3,FALSE), IFERROR(VLOOKUP($A546,'ABB ExDa'!$A$2:$N$184, 5,FALSE), IFERROR(VLOOKUP($A546,'Vocus SIT ExDa'!$B$2:$J$173, 2,FALSE), IFERROR(VLOOKUP($A546,'Telstra ExDa'!$B$2:$K$310, 4,FALSE), IFERROR(VLOOKUP($A546,'Vocus RVC ExDa'!$C$2:$R$155, 8,FALSE), IFERROR(VLOOKUP($A546,'Fusion ExDa'!$B$2:$D$16, 4,FALSE), IFERROR(VLOOKUP($A546,'Exetel ExDa'!$C$2:$N$14, 5,FALSE), IFERROR(VLOOKUP($A546,'Infinet ExDa'!$B$2:$E$14, 3,FALSE), "Not Found"))))))))</f>
        <v>Not Found</v>
      </c>
      <c r="F546" t="str">
        <f>IFERROR(VLOOKUP($A546,'AAPT ExDa'!$B$2:$U$99, 4,FALSE), IFERROR(VLOOKUP($A546,'ABB ExDa'!$A$2:$N$184, 6,FALSE), IFERROR(VLOOKUP($A546,'Vocus SIT ExDa'!$B$2:$J$173, 3,FALSE), IFERROR(VLOOKUP($A546,'Telstra ExDa'!$B$2:$K$310, 5,FALSE), IFERROR(VLOOKUP($A546,'Vocus RVC ExDa'!$C$2:$R$155, 9,FALSE), IFERROR(VLOOKUP($A546,'Fusion ExDa'!$B$2:$D$16, 0,FALSE), IFERROR(VLOOKUP($A546,'Exetel ExDa'!$C$2:$N$14, 6,FALSE), IFERROR(VLOOKUP($A546,'Infinet ExDa'!$B$2:$E$14, 0,FALSE), "Not Found"))))))))</f>
        <v>Not Found</v>
      </c>
      <c r="G546" t="str">
        <f>IFERROR(VLOOKUP($A546,'AAPT ExDa'!$B$2:$U$99, 5,FALSE), IFERROR(VLOOKUP($A546,'ABB ExDa'!$A$2:$N$184, 8,FALSE), IFERROR(VLOOKUP($A546,'Vocus SIT ExDa'!$B$2:$J$173, 6,FALSE), IFERROR(VLOOKUP($A546,'Telstra ExDa'!$B$2:$K$310, 0,FALSE), IFERROR(VLOOKUP($A546,'Vocus RVC ExDa'!$C$2:$R$155, 15,FALSE), IFERROR(VLOOKUP($A546,'Fusion ExDa'!$B$2:$D$16, 0,FALSE), IFERROR(VLOOKUP($A546,'Exetel ExDa'!$C$2:$N$14, 7,FALSE), IFERROR(VLOOKUP($A546,'Infinet ExDa'!$B$2:$E$14, 0,FALSE), "Not Found"))))))))</f>
        <v>Not Found</v>
      </c>
      <c r="H546" t="str">
        <f>IFERROR(VLOOKUP($A546,'AAPT ExDa'!$B$2:$U$99, 6,FALSE), IFERROR(VLOOKUP($A546,'ABB ExDa'!$A$2:$N$184, 0,FALSE), IFERROR(VLOOKUP($A546,'Vocus SIT ExDa'!$B$2:$J$173, 0,FALSE), IFERROR(VLOOKUP($A546,'Telstra ExDa'!$B$2:$K$310, 0,FALSE), IFERROR(VLOOKUP($A546,'Vocus RVC ExDa'!$C$2:$R$155, 16,FALSE), IFERROR(VLOOKUP($A546,'Fusion ExDa'!$B$2:$D$16, 0,FALSE), IFERROR(VLOOKUP($A546,'Exetel ExDa'!$C$2:$N$14, 0,FALSE), IFERROR(VLOOKUP($A546,'Infinet ExDa'!$B$2:$E$14, 0,FALSE), "Not Found"))))))))</f>
        <v>Not Found</v>
      </c>
      <c r="I546" t="str">
        <f>IFERROR(VLOOKUP($A546,'AAPT ExDa'!$B$2:$U$99, 0,FALSE), IFERROR(VLOOKUP($A546,'ABB ExDa'!$A$2:$N$184, 0,FALSE), IFERROR(VLOOKUP($A546,'Vocus SIT ExDa'!$B$2:$J$173, 0,FALSE), IFERROR(VLOOKUP($A546,'Telstra ExDa'!$B$2:$K$310, 0,FALSE), IFERROR(VLOOKUP($A546,'Vocus RVC ExDa'!$C$2:$R$155, 0,FALSE), IFERROR(VLOOKUP($A546,'Fusion ExDa'!$B$2:$D$16, 0,FALSE), IFERROR(VLOOKUP($A546,'Exetel ExDa'!$C$2:$N$14, 8,FALSE), IFERROR(VLOOKUP($A546,'Infinet ExDa'!$B$2:$E$14, 0,FALSE), "Not Found"))))))))</f>
        <v>Not Found</v>
      </c>
      <c r="J546" t="str">
        <f>IFERROR(VLOOKUP($A546,'AAPT ExDa'!$B$2:$U$99, 7,FALSE), IFERROR(VLOOKUP($A546,'ABB ExDa'!$A$2:$N$184, 2,FALSE), IFERROR(VLOOKUP($A546,'Vocus SIT ExDa'!$B$2:$J$173, 0,FALSE), IFERROR(VLOOKUP($A546,'Telstra ExDa'!$B$2:$K$310, 7,FALSE), IFERROR(VLOOKUP($A546,'Vocus RVC ExDa'!$C$2:$R$155, 2,FALSE), IFERROR(VLOOKUP($A546,'Fusion ExDa'!$B$2:$D$16, 3,FALSE), IFERROR(VLOOKUP($A546,'Exetel ExDa'!$C$2:$N$14, 0,FALSE), IFERROR(VLOOKUP($A546,'Infinet ExDa'!$B$2:$E$14, 0,FALSE), "Not Found"))))))))</f>
        <v>Not Found</v>
      </c>
      <c r="K546" t="str">
        <f>IFERROR(VLOOKUP($A546,'AAPT ExDa'!$B$2:$U$99, 12,FALSE), IFERROR(VLOOKUP($A546,'ABB ExDa'!$A$2:$N$184, 0,FALSE), IFERROR(VLOOKUP($A546,'Vocus SIT ExDa'!$B$2:$J$173, 0,FALSE), IFERROR(VLOOKUP($A546,'Telstra ExDa'!$B$2:$K$310, 0,FALSE), IFERROR(VLOOKUP($A546,'Vocus RVC ExDa'!$C$2:$R$155, 0,FALSE), IFERROR(VLOOKUP($A546,'Fusion ExDa'!$B$2:$D$16, 0,FALSE), IFERROR(VLOOKUP($A546,'Exetel ExDa'!$C$2:$N$14, 12,FALSE), IFERROR(VLOOKUP($A546,'Infinet ExDa'!$B$2:$E$14, 0,FALSE), "Not Found"))))))))</f>
        <v>Not Found</v>
      </c>
      <c r="L546" s="235" t="str">
        <f>IFERROR(VLOOKUP($A546,'AAPT ExDa'!$B$2:$U$99, 11,FALSE), IFERROR(VLOOKUP($A546,'ABB ExDa'!$A$2:$N$184, 9,FALSE), IFERROR(VLOOKUP($A546,'Vocus SIT ExDa'!$B$2:$J$173, 8,FALSE), IFERROR(VLOOKUP($A546,'Telstra ExDa'!$B$2:$K$310, 0,FALSE), IFERROR(VLOOKUP($A546,'Vocus RVC ExDa'!$C$2:$R$155, 0,FALSE), IFERROR(VLOOKUP($A546,'Fusion ExDa'!$B$2:$D$16, 0,FALSE), IFERROR(VLOOKUP($A546,'Exetel ExDa'!$C$2:$N$14, 9,FALSE), IFERROR(VLOOKUP($A546,'Infinet ExDa'!$B$2:$E$14, 0,FALSE), "Not Found"))))))))</f>
        <v>Not Found</v>
      </c>
      <c r="M546" s="234" t="str">
        <f>IFERROR(VLOOKUP($A546,'AAPT ExDa'!$B$2:$U$99, 0,FALSE), IFERROR(VLOOKUP($A546,'ABB ExDa'!$A$2:$N$184, 0,FALSE), IFERROR(VLOOKUP($A546,'Vocus SIT ExDa'!$B$2:$J$173, 0,FALSE), IFERROR(VLOOKUP($A546,'Telstra ExDa'!$B$2:$K$310, 0,FALSE), IFERROR(VLOOKUP($A546,'Vocus RVC ExDa'!$C$2:$R$155, 0,FALSE), IFERROR(VLOOKUP($A546,'Fusion ExDa'!$B$2:$D$16, 0,FALSE), IFERROR(VLOOKUP($A546,'Exetel ExDa'!$C$2:$N$14, 11,FALSE), IFERROR(VLOOKUP($A546,'Infinet ExDa'!$B$2:$E$14, 0,FALSE), "Not Found"))))))))</f>
        <v>Not Found</v>
      </c>
      <c r="N546" t="str">
        <f>IFERROR(VLOOKUP($A546,'AAPT ExDa'!$B$2:$U$99, 0,FALSE), IFERROR(VLOOKUP($A546,'ABB ExDa'!$A$2:$N$184, 13,FALSE), IFERROR(VLOOKUP($A546,'Vocus SIT ExDa'!$B$2:$J$173, 0,FALSE), IFERROR(VLOOKUP($A546,'Telstra ExDa'!$B$2:$K$310, 0,FALSE), IFERROR(VLOOKUP($A546,'Vocus RVC ExDa'!$C$2:$R$155, 0,FALSE), IFERROR(VLOOKUP($A546,'Fusion ExDa'!$B$2:$D$16, 0,FALSE), IFERROR(VLOOKUP($A546,'Exetel ExDa'!$C$2:$N$14, 0,FALSE), IFERROR(VLOOKUP($A546,'Infinet ExDa'!$B$2:$E$14, 0,FALSE), "Not Found"))))))))</f>
        <v>Not Found</v>
      </c>
    </row>
    <row r="547" spans="1:14">
      <c r="A547">
        <v>0</v>
      </c>
      <c r="B547" t="str">
        <f>IFERROR(VLOOKUP(A547,'Exetel ExDa'!$C$2:$N$14,4,FALSE),"No Data")</f>
        <v>No Data</v>
      </c>
      <c r="C547" t="str">
        <f>IFERROR(VLOOKUP(A547,'AAPT ExDa'!$B$2:$U$99, 2,FALSE), IFERROR(VLOOKUP(A547,'ABB ExDa'!$A$2:$N$184, 2,FALSE), IFERROR(VLOOKUP(A547,'Vocus SIT ExDa'!$B$2:$J$173, 7,FALSE), IFERROR(VLOOKUP(A547,'Telstra ExDa'!$B$2:$K$310, 2,FALSE), IFERROR(VLOOKUP(A547,'Vocus RVC ExDa'!$C$2:$R$155, 3,FALSE), IFERROR(VLOOKUP(A547,'Fusion ExDa'!$B$2:$D$16, 2,FALSE), IFERROR(VLOOKUP(A547,'Exetel ExDa'!$C$2:$N$14, 2,FALSE), IFERROR(VLOOKUP(A547,'Infinet ExDa'!$B$2:$E$14, 2,FALSE), "Not Found"))))))))</f>
        <v>Not Found</v>
      </c>
      <c r="D547" t="str">
        <f>IFERROR(VLOOKUP($A547,'AAPT ExDa'!$B$2:$U$99, 15,FALSE), IFERROR(VLOOKUP($A547,'ABB ExDa'!$A$2:$N$184, 4,FALSE), IFERROR(VLOOKUP($A547,'Vocus SIT ExDa'!$B$2:$J$173, 5,FALSE), IFERROR(VLOOKUP($A547,'Telstra ExDa'!$B$2:$K$310, 8,FALSE), IFERROR(VLOOKUP($A547,'Vocus RVC ExDa'!$C$2:$R$155, 6,FALSE), IFERROR(VLOOKUP($A547,'Fusion ExDa'!$B$2:$D$16, 4,FALSE), IFERROR(VLOOKUP($A547,'Exetel ExDa'!$C$2:$N$14, 3,FALSE), IFERROR(VLOOKUP($A547,'Infinet ExDa'!$B$2:$E$14, 3,FALSE), "Not Found"))))))))</f>
        <v>Not Found</v>
      </c>
      <c r="E547" t="str">
        <f>IFERROR(VLOOKUP($A547,'AAPT ExDa'!$B$2:$U$99, 3,FALSE), IFERROR(VLOOKUP($A547,'ABB ExDa'!$A$2:$N$184, 5,FALSE), IFERROR(VLOOKUP($A547,'Vocus SIT ExDa'!$B$2:$J$173, 2,FALSE), IFERROR(VLOOKUP($A547,'Telstra ExDa'!$B$2:$K$310, 4,FALSE), IFERROR(VLOOKUP($A547,'Vocus RVC ExDa'!$C$2:$R$155, 8,FALSE), IFERROR(VLOOKUP($A547,'Fusion ExDa'!$B$2:$D$16, 4,FALSE), IFERROR(VLOOKUP($A547,'Exetel ExDa'!$C$2:$N$14, 5,FALSE), IFERROR(VLOOKUP($A547,'Infinet ExDa'!$B$2:$E$14, 3,FALSE), "Not Found"))))))))</f>
        <v>Not Found</v>
      </c>
      <c r="F547" t="str">
        <f>IFERROR(VLOOKUP($A547,'AAPT ExDa'!$B$2:$U$99, 4,FALSE), IFERROR(VLOOKUP($A547,'ABB ExDa'!$A$2:$N$184, 6,FALSE), IFERROR(VLOOKUP($A547,'Vocus SIT ExDa'!$B$2:$J$173, 3,FALSE), IFERROR(VLOOKUP($A547,'Telstra ExDa'!$B$2:$K$310, 5,FALSE), IFERROR(VLOOKUP($A547,'Vocus RVC ExDa'!$C$2:$R$155, 9,FALSE), IFERROR(VLOOKUP($A547,'Fusion ExDa'!$B$2:$D$16, 0,FALSE), IFERROR(VLOOKUP($A547,'Exetel ExDa'!$C$2:$N$14, 6,FALSE), IFERROR(VLOOKUP($A547,'Infinet ExDa'!$B$2:$E$14, 0,FALSE), "Not Found"))))))))</f>
        <v>Not Found</v>
      </c>
      <c r="G547" t="str">
        <f>IFERROR(VLOOKUP($A547,'AAPT ExDa'!$B$2:$U$99, 5,FALSE), IFERROR(VLOOKUP($A547,'ABB ExDa'!$A$2:$N$184, 8,FALSE), IFERROR(VLOOKUP($A547,'Vocus SIT ExDa'!$B$2:$J$173, 6,FALSE), IFERROR(VLOOKUP($A547,'Telstra ExDa'!$B$2:$K$310, 0,FALSE), IFERROR(VLOOKUP($A547,'Vocus RVC ExDa'!$C$2:$R$155, 15,FALSE), IFERROR(VLOOKUP($A547,'Fusion ExDa'!$B$2:$D$16, 0,FALSE), IFERROR(VLOOKUP($A547,'Exetel ExDa'!$C$2:$N$14, 7,FALSE), IFERROR(VLOOKUP($A547,'Infinet ExDa'!$B$2:$E$14, 0,FALSE), "Not Found"))))))))</f>
        <v>Not Found</v>
      </c>
      <c r="H547" t="str">
        <f>IFERROR(VLOOKUP($A547,'AAPT ExDa'!$B$2:$U$99, 6,FALSE), IFERROR(VLOOKUP($A547,'ABB ExDa'!$A$2:$N$184, 0,FALSE), IFERROR(VLOOKUP($A547,'Vocus SIT ExDa'!$B$2:$J$173, 0,FALSE), IFERROR(VLOOKUP($A547,'Telstra ExDa'!$B$2:$K$310, 0,FALSE), IFERROR(VLOOKUP($A547,'Vocus RVC ExDa'!$C$2:$R$155, 16,FALSE), IFERROR(VLOOKUP($A547,'Fusion ExDa'!$B$2:$D$16, 0,FALSE), IFERROR(VLOOKUP($A547,'Exetel ExDa'!$C$2:$N$14, 0,FALSE), IFERROR(VLOOKUP($A547,'Infinet ExDa'!$B$2:$E$14, 0,FALSE), "Not Found"))))))))</f>
        <v>Not Found</v>
      </c>
      <c r="I547" t="str">
        <f>IFERROR(VLOOKUP($A547,'AAPT ExDa'!$B$2:$U$99, 0,FALSE), IFERROR(VLOOKUP($A547,'ABB ExDa'!$A$2:$N$184, 0,FALSE), IFERROR(VLOOKUP($A547,'Vocus SIT ExDa'!$B$2:$J$173, 0,FALSE), IFERROR(VLOOKUP($A547,'Telstra ExDa'!$B$2:$K$310, 0,FALSE), IFERROR(VLOOKUP($A547,'Vocus RVC ExDa'!$C$2:$R$155, 0,FALSE), IFERROR(VLOOKUP($A547,'Fusion ExDa'!$B$2:$D$16, 0,FALSE), IFERROR(VLOOKUP($A547,'Exetel ExDa'!$C$2:$N$14, 8,FALSE), IFERROR(VLOOKUP($A547,'Infinet ExDa'!$B$2:$E$14, 0,FALSE), "Not Found"))))))))</f>
        <v>Not Found</v>
      </c>
      <c r="J547" t="str">
        <f>IFERROR(VLOOKUP($A547,'AAPT ExDa'!$B$2:$U$99, 7,FALSE), IFERROR(VLOOKUP($A547,'ABB ExDa'!$A$2:$N$184, 2,FALSE), IFERROR(VLOOKUP($A547,'Vocus SIT ExDa'!$B$2:$J$173, 0,FALSE), IFERROR(VLOOKUP($A547,'Telstra ExDa'!$B$2:$K$310, 7,FALSE), IFERROR(VLOOKUP($A547,'Vocus RVC ExDa'!$C$2:$R$155, 2,FALSE), IFERROR(VLOOKUP($A547,'Fusion ExDa'!$B$2:$D$16, 3,FALSE), IFERROR(VLOOKUP($A547,'Exetel ExDa'!$C$2:$N$14, 0,FALSE), IFERROR(VLOOKUP($A547,'Infinet ExDa'!$B$2:$E$14, 0,FALSE), "Not Found"))))))))</f>
        <v>Not Found</v>
      </c>
      <c r="K547" t="str">
        <f>IFERROR(VLOOKUP($A547,'AAPT ExDa'!$B$2:$U$99, 12,FALSE), IFERROR(VLOOKUP($A547,'ABB ExDa'!$A$2:$N$184, 0,FALSE), IFERROR(VLOOKUP($A547,'Vocus SIT ExDa'!$B$2:$J$173, 0,FALSE), IFERROR(VLOOKUP($A547,'Telstra ExDa'!$B$2:$K$310, 0,FALSE), IFERROR(VLOOKUP($A547,'Vocus RVC ExDa'!$C$2:$R$155, 0,FALSE), IFERROR(VLOOKUP($A547,'Fusion ExDa'!$B$2:$D$16, 0,FALSE), IFERROR(VLOOKUP($A547,'Exetel ExDa'!$C$2:$N$14, 12,FALSE), IFERROR(VLOOKUP($A547,'Infinet ExDa'!$B$2:$E$14, 0,FALSE), "Not Found"))))))))</f>
        <v>Not Found</v>
      </c>
      <c r="L547" s="235" t="str">
        <f>IFERROR(VLOOKUP($A547,'AAPT ExDa'!$B$2:$U$99, 11,FALSE), IFERROR(VLOOKUP($A547,'ABB ExDa'!$A$2:$N$184, 9,FALSE), IFERROR(VLOOKUP($A547,'Vocus SIT ExDa'!$B$2:$J$173, 8,FALSE), IFERROR(VLOOKUP($A547,'Telstra ExDa'!$B$2:$K$310, 0,FALSE), IFERROR(VLOOKUP($A547,'Vocus RVC ExDa'!$C$2:$R$155, 0,FALSE), IFERROR(VLOOKUP($A547,'Fusion ExDa'!$B$2:$D$16, 0,FALSE), IFERROR(VLOOKUP($A547,'Exetel ExDa'!$C$2:$N$14, 9,FALSE), IFERROR(VLOOKUP($A547,'Infinet ExDa'!$B$2:$E$14, 0,FALSE), "Not Found"))))))))</f>
        <v>Not Found</v>
      </c>
      <c r="M547" s="234" t="str">
        <f>IFERROR(VLOOKUP($A547,'AAPT ExDa'!$B$2:$U$99, 0,FALSE), IFERROR(VLOOKUP($A547,'ABB ExDa'!$A$2:$N$184, 0,FALSE), IFERROR(VLOOKUP($A547,'Vocus SIT ExDa'!$B$2:$J$173, 0,FALSE), IFERROR(VLOOKUP($A547,'Telstra ExDa'!$B$2:$K$310, 0,FALSE), IFERROR(VLOOKUP($A547,'Vocus RVC ExDa'!$C$2:$R$155, 0,FALSE), IFERROR(VLOOKUP($A547,'Fusion ExDa'!$B$2:$D$16, 0,FALSE), IFERROR(VLOOKUP($A547,'Exetel ExDa'!$C$2:$N$14, 11,FALSE), IFERROR(VLOOKUP($A547,'Infinet ExDa'!$B$2:$E$14, 0,FALSE), "Not Found"))))))))</f>
        <v>Not Found</v>
      </c>
      <c r="N547" t="str">
        <f>IFERROR(VLOOKUP($A547,'AAPT ExDa'!$B$2:$U$99, 0,FALSE), IFERROR(VLOOKUP($A547,'ABB ExDa'!$A$2:$N$184, 13,FALSE), IFERROR(VLOOKUP($A547,'Vocus SIT ExDa'!$B$2:$J$173, 0,FALSE), IFERROR(VLOOKUP($A547,'Telstra ExDa'!$B$2:$K$310, 0,FALSE), IFERROR(VLOOKUP($A547,'Vocus RVC ExDa'!$C$2:$R$155, 0,FALSE), IFERROR(VLOOKUP($A547,'Fusion ExDa'!$B$2:$D$16, 0,FALSE), IFERROR(VLOOKUP($A547,'Exetel ExDa'!$C$2:$N$14, 0,FALSE), IFERROR(VLOOKUP($A547,'Infinet ExDa'!$B$2:$E$14, 0,FALSE), "Not Found"))))))))</f>
        <v>Not Found</v>
      </c>
    </row>
    <row r="548" spans="1:14">
      <c r="A548">
        <v>0</v>
      </c>
      <c r="B548" t="str">
        <f>IFERROR(VLOOKUP(A548,'Exetel ExDa'!$C$2:$N$14,4,FALSE),"No Data")</f>
        <v>No Data</v>
      </c>
      <c r="C548" t="str">
        <f>IFERROR(VLOOKUP(A548,'AAPT ExDa'!$B$2:$U$99, 2,FALSE), IFERROR(VLOOKUP(A548,'ABB ExDa'!$A$2:$N$184, 2,FALSE), IFERROR(VLOOKUP(A548,'Vocus SIT ExDa'!$B$2:$J$173, 7,FALSE), IFERROR(VLOOKUP(A548,'Telstra ExDa'!$B$2:$K$310, 2,FALSE), IFERROR(VLOOKUP(A548,'Vocus RVC ExDa'!$C$2:$R$155, 3,FALSE), IFERROR(VLOOKUP(A548,'Fusion ExDa'!$B$2:$D$16, 2,FALSE), IFERROR(VLOOKUP(A548,'Exetel ExDa'!$C$2:$N$14, 2,FALSE), IFERROR(VLOOKUP(A548,'Infinet ExDa'!$B$2:$E$14, 2,FALSE), "Not Found"))))))))</f>
        <v>Not Found</v>
      </c>
      <c r="D548" t="str">
        <f>IFERROR(VLOOKUP($A548,'AAPT ExDa'!$B$2:$U$99, 15,FALSE), IFERROR(VLOOKUP($A548,'ABB ExDa'!$A$2:$N$184, 4,FALSE), IFERROR(VLOOKUP($A548,'Vocus SIT ExDa'!$B$2:$J$173, 5,FALSE), IFERROR(VLOOKUP($A548,'Telstra ExDa'!$B$2:$K$310, 8,FALSE), IFERROR(VLOOKUP($A548,'Vocus RVC ExDa'!$C$2:$R$155, 6,FALSE), IFERROR(VLOOKUP($A548,'Fusion ExDa'!$B$2:$D$16, 4,FALSE), IFERROR(VLOOKUP($A548,'Exetel ExDa'!$C$2:$N$14, 3,FALSE), IFERROR(VLOOKUP($A548,'Infinet ExDa'!$B$2:$E$14, 3,FALSE), "Not Found"))))))))</f>
        <v>Not Found</v>
      </c>
      <c r="E548" t="str">
        <f>IFERROR(VLOOKUP($A548,'AAPT ExDa'!$B$2:$U$99, 3,FALSE), IFERROR(VLOOKUP($A548,'ABB ExDa'!$A$2:$N$184, 5,FALSE), IFERROR(VLOOKUP($A548,'Vocus SIT ExDa'!$B$2:$J$173, 2,FALSE), IFERROR(VLOOKUP($A548,'Telstra ExDa'!$B$2:$K$310, 4,FALSE), IFERROR(VLOOKUP($A548,'Vocus RVC ExDa'!$C$2:$R$155, 8,FALSE), IFERROR(VLOOKUP($A548,'Fusion ExDa'!$B$2:$D$16, 4,FALSE), IFERROR(VLOOKUP($A548,'Exetel ExDa'!$C$2:$N$14, 5,FALSE), IFERROR(VLOOKUP($A548,'Infinet ExDa'!$B$2:$E$14, 3,FALSE), "Not Found"))))))))</f>
        <v>Not Found</v>
      </c>
      <c r="F548" t="str">
        <f>IFERROR(VLOOKUP($A548,'AAPT ExDa'!$B$2:$U$99, 4,FALSE), IFERROR(VLOOKUP($A548,'ABB ExDa'!$A$2:$N$184, 6,FALSE), IFERROR(VLOOKUP($A548,'Vocus SIT ExDa'!$B$2:$J$173, 3,FALSE), IFERROR(VLOOKUP($A548,'Telstra ExDa'!$B$2:$K$310, 5,FALSE), IFERROR(VLOOKUP($A548,'Vocus RVC ExDa'!$C$2:$R$155, 9,FALSE), IFERROR(VLOOKUP($A548,'Fusion ExDa'!$B$2:$D$16, 0,FALSE), IFERROR(VLOOKUP($A548,'Exetel ExDa'!$C$2:$N$14, 6,FALSE), IFERROR(VLOOKUP($A548,'Infinet ExDa'!$B$2:$E$14, 0,FALSE), "Not Found"))))))))</f>
        <v>Not Found</v>
      </c>
      <c r="G548" t="str">
        <f>IFERROR(VLOOKUP($A548,'AAPT ExDa'!$B$2:$U$99, 5,FALSE), IFERROR(VLOOKUP($A548,'ABB ExDa'!$A$2:$N$184, 8,FALSE), IFERROR(VLOOKUP($A548,'Vocus SIT ExDa'!$B$2:$J$173, 6,FALSE), IFERROR(VLOOKUP($A548,'Telstra ExDa'!$B$2:$K$310, 0,FALSE), IFERROR(VLOOKUP($A548,'Vocus RVC ExDa'!$C$2:$R$155, 15,FALSE), IFERROR(VLOOKUP($A548,'Fusion ExDa'!$B$2:$D$16, 0,FALSE), IFERROR(VLOOKUP($A548,'Exetel ExDa'!$C$2:$N$14, 7,FALSE), IFERROR(VLOOKUP($A548,'Infinet ExDa'!$B$2:$E$14, 0,FALSE), "Not Found"))))))))</f>
        <v>Not Found</v>
      </c>
      <c r="H548" t="str">
        <f>IFERROR(VLOOKUP($A548,'AAPT ExDa'!$B$2:$U$99, 6,FALSE), IFERROR(VLOOKUP($A548,'ABB ExDa'!$A$2:$N$184, 0,FALSE), IFERROR(VLOOKUP($A548,'Vocus SIT ExDa'!$B$2:$J$173, 0,FALSE), IFERROR(VLOOKUP($A548,'Telstra ExDa'!$B$2:$K$310, 0,FALSE), IFERROR(VLOOKUP($A548,'Vocus RVC ExDa'!$C$2:$R$155, 16,FALSE), IFERROR(VLOOKUP($A548,'Fusion ExDa'!$B$2:$D$16, 0,FALSE), IFERROR(VLOOKUP($A548,'Exetel ExDa'!$C$2:$N$14, 0,FALSE), IFERROR(VLOOKUP($A548,'Infinet ExDa'!$B$2:$E$14, 0,FALSE), "Not Found"))))))))</f>
        <v>Not Found</v>
      </c>
      <c r="I548" t="str">
        <f>IFERROR(VLOOKUP($A548,'AAPT ExDa'!$B$2:$U$99, 0,FALSE), IFERROR(VLOOKUP($A548,'ABB ExDa'!$A$2:$N$184, 0,FALSE), IFERROR(VLOOKUP($A548,'Vocus SIT ExDa'!$B$2:$J$173, 0,FALSE), IFERROR(VLOOKUP($A548,'Telstra ExDa'!$B$2:$K$310, 0,FALSE), IFERROR(VLOOKUP($A548,'Vocus RVC ExDa'!$C$2:$R$155, 0,FALSE), IFERROR(VLOOKUP($A548,'Fusion ExDa'!$B$2:$D$16, 0,FALSE), IFERROR(VLOOKUP($A548,'Exetel ExDa'!$C$2:$N$14, 8,FALSE), IFERROR(VLOOKUP($A548,'Infinet ExDa'!$B$2:$E$14, 0,FALSE), "Not Found"))))))))</f>
        <v>Not Found</v>
      </c>
      <c r="J548" t="str">
        <f>IFERROR(VLOOKUP($A548,'AAPT ExDa'!$B$2:$U$99, 7,FALSE), IFERROR(VLOOKUP($A548,'ABB ExDa'!$A$2:$N$184, 2,FALSE), IFERROR(VLOOKUP($A548,'Vocus SIT ExDa'!$B$2:$J$173, 0,FALSE), IFERROR(VLOOKUP($A548,'Telstra ExDa'!$B$2:$K$310, 7,FALSE), IFERROR(VLOOKUP($A548,'Vocus RVC ExDa'!$C$2:$R$155, 2,FALSE), IFERROR(VLOOKUP($A548,'Fusion ExDa'!$B$2:$D$16, 3,FALSE), IFERROR(VLOOKUP($A548,'Exetel ExDa'!$C$2:$N$14, 0,FALSE), IFERROR(VLOOKUP($A548,'Infinet ExDa'!$B$2:$E$14, 0,FALSE), "Not Found"))))))))</f>
        <v>Not Found</v>
      </c>
      <c r="K548" t="str">
        <f>IFERROR(VLOOKUP($A548,'AAPT ExDa'!$B$2:$U$99, 12,FALSE), IFERROR(VLOOKUP($A548,'ABB ExDa'!$A$2:$N$184, 0,FALSE), IFERROR(VLOOKUP($A548,'Vocus SIT ExDa'!$B$2:$J$173, 0,FALSE), IFERROR(VLOOKUP($A548,'Telstra ExDa'!$B$2:$K$310, 0,FALSE), IFERROR(VLOOKUP($A548,'Vocus RVC ExDa'!$C$2:$R$155, 0,FALSE), IFERROR(VLOOKUP($A548,'Fusion ExDa'!$B$2:$D$16, 0,FALSE), IFERROR(VLOOKUP($A548,'Exetel ExDa'!$C$2:$N$14, 12,FALSE), IFERROR(VLOOKUP($A548,'Infinet ExDa'!$B$2:$E$14, 0,FALSE), "Not Found"))))))))</f>
        <v>Not Found</v>
      </c>
      <c r="L548" s="235" t="str">
        <f>IFERROR(VLOOKUP($A548,'AAPT ExDa'!$B$2:$U$99, 11,FALSE), IFERROR(VLOOKUP($A548,'ABB ExDa'!$A$2:$N$184, 9,FALSE), IFERROR(VLOOKUP($A548,'Vocus SIT ExDa'!$B$2:$J$173, 8,FALSE), IFERROR(VLOOKUP($A548,'Telstra ExDa'!$B$2:$K$310, 0,FALSE), IFERROR(VLOOKUP($A548,'Vocus RVC ExDa'!$C$2:$R$155, 0,FALSE), IFERROR(VLOOKUP($A548,'Fusion ExDa'!$B$2:$D$16, 0,FALSE), IFERROR(VLOOKUP($A548,'Exetel ExDa'!$C$2:$N$14, 9,FALSE), IFERROR(VLOOKUP($A548,'Infinet ExDa'!$B$2:$E$14, 0,FALSE), "Not Found"))))))))</f>
        <v>Not Found</v>
      </c>
      <c r="M548" s="234" t="str">
        <f>IFERROR(VLOOKUP($A548,'AAPT ExDa'!$B$2:$U$99, 0,FALSE), IFERROR(VLOOKUP($A548,'ABB ExDa'!$A$2:$N$184, 0,FALSE), IFERROR(VLOOKUP($A548,'Vocus SIT ExDa'!$B$2:$J$173, 0,FALSE), IFERROR(VLOOKUP($A548,'Telstra ExDa'!$B$2:$K$310, 0,FALSE), IFERROR(VLOOKUP($A548,'Vocus RVC ExDa'!$C$2:$R$155, 0,FALSE), IFERROR(VLOOKUP($A548,'Fusion ExDa'!$B$2:$D$16, 0,FALSE), IFERROR(VLOOKUP($A548,'Exetel ExDa'!$C$2:$N$14, 11,FALSE), IFERROR(VLOOKUP($A548,'Infinet ExDa'!$B$2:$E$14, 0,FALSE), "Not Found"))))))))</f>
        <v>Not Found</v>
      </c>
      <c r="N548" t="str">
        <f>IFERROR(VLOOKUP($A548,'AAPT ExDa'!$B$2:$U$99, 0,FALSE), IFERROR(VLOOKUP($A548,'ABB ExDa'!$A$2:$N$184, 13,FALSE), IFERROR(VLOOKUP($A548,'Vocus SIT ExDa'!$B$2:$J$173, 0,FALSE), IFERROR(VLOOKUP($A548,'Telstra ExDa'!$B$2:$K$310, 0,FALSE), IFERROR(VLOOKUP($A548,'Vocus RVC ExDa'!$C$2:$R$155, 0,FALSE), IFERROR(VLOOKUP($A548,'Fusion ExDa'!$B$2:$D$16, 0,FALSE), IFERROR(VLOOKUP($A548,'Exetel ExDa'!$C$2:$N$14, 0,FALSE), IFERROR(VLOOKUP($A548,'Infinet ExDa'!$B$2:$E$14, 0,FALSE), "Not Found"))))))))</f>
        <v>Not Found</v>
      </c>
    </row>
    <row r="549" spans="1:14">
      <c r="A549">
        <v>0</v>
      </c>
      <c r="B549" t="str">
        <f>IFERROR(VLOOKUP(A549,'Exetel ExDa'!$C$2:$N$14,4,FALSE),"No Data")</f>
        <v>No Data</v>
      </c>
      <c r="C549" t="str">
        <f>IFERROR(VLOOKUP(A549,'AAPT ExDa'!$B$2:$U$99, 2,FALSE), IFERROR(VLOOKUP(A549,'ABB ExDa'!$A$2:$N$184, 2,FALSE), IFERROR(VLOOKUP(A549,'Vocus SIT ExDa'!$B$2:$J$173, 7,FALSE), IFERROR(VLOOKUP(A549,'Telstra ExDa'!$B$2:$K$310, 2,FALSE), IFERROR(VLOOKUP(A549,'Vocus RVC ExDa'!$C$2:$R$155, 3,FALSE), IFERROR(VLOOKUP(A549,'Fusion ExDa'!$B$2:$D$16, 2,FALSE), IFERROR(VLOOKUP(A549,'Exetel ExDa'!$C$2:$N$14, 2,FALSE), IFERROR(VLOOKUP(A549,'Infinet ExDa'!$B$2:$E$14, 2,FALSE), "Not Found"))))))))</f>
        <v>Not Found</v>
      </c>
      <c r="D549" t="str">
        <f>IFERROR(VLOOKUP($A549,'AAPT ExDa'!$B$2:$U$99, 15,FALSE), IFERROR(VLOOKUP($A549,'ABB ExDa'!$A$2:$N$184, 4,FALSE), IFERROR(VLOOKUP($A549,'Vocus SIT ExDa'!$B$2:$J$173, 5,FALSE), IFERROR(VLOOKUP($A549,'Telstra ExDa'!$B$2:$K$310, 8,FALSE), IFERROR(VLOOKUP($A549,'Vocus RVC ExDa'!$C$2:$R$155, 6,FALSE), IFERROR(VLOOKUP($A549,'Fusion ExDa'!$B$2:$D$16, 4,FALSE), IFERROR(VLOOKUP($A549,'Exetel ExDa'!$C$2:$N$14, 3,FALSE), IFERROR(VLOOKUP($A549,'Infinet ExDa'!$B$2:$E$14, 3,FALSE), "Not Found"))))))))</f>
        <v>Not Found</v>
      </c>
      <c r="E549" t="str">
        <f>IFERROR(VLOOKUP($A549,'AAPT ExDa'!$B$2:$U$99, 3,FALSE), IFERROR(VLOOKUP($A549,'ABB ExDa'!$A$2:$N$184, 5,FALSE), IFERROR(VLOOKUP($A549,'Vocus SIT ExDa'!$B$2:$J$173, 2,FALSE), IFERROR(VLOOKUP($A549,'Telstra ExDa'!$B$2:$K$310, 4,FALSE), IFERROR(VLOOKUP($A549,'Vocus RVC ExDa'!$C$2:$R$155, 8,FALSE), IFERROR(VLOOKUP($A549,'Fusion ExDa'!$B$2:$D$16, 4,FALSE), IFERROR(VLOOKUP($A549,'Exetel ExDa'!$C$2:$N$14, 5,FALSE), IFERROR(VLOOKUP($A549,'Infinet ExDa'!$B$2:$E$14, 3,FALSE), "Not Found"))))))))</f>
        <v>Not Found</v>
      </c>
      <c r="F549" t="str">
        <f>IFERROR(VLOOKUP($A549,'AAPT ExDa'!$B$2:$U$99, 4,FALSE), IFERROR(VLOOKUP($A549,'ABB ExDa'!$A$2:$N$184, 6,FALSE), IFERROR(VLOOKUP($A549,'Vocus SIT ExDa'!$B$2:$J$173, 3,FALSE), IFERROR(VLOOKUP($A549,'Telstra ExDa'!$B$2:$K$310, 5,FALSE), IFERROR(VLOOKUP($A549,'Vocus RVC ExDa'!$C$2:$R$155, 9,FALSE), IFERROR(VLOOKUP($A549,'Fusion ExDa'!$B$2:$D$16, 0,FALSE), IFERROR(VLOOKUP($A549,'Exetel ExDa'!$C$2:$N$14, 6,FALSE), IFERROR(VLOOKUP($A549,'Infinet ExDa'!$B$2:$E$14, 0,FALSE), "Not Found"))))))))</f>
        <v>Not Found</v>
      </c>
      <c r="G549" t="str">
        <f>IFERROR(VLOOKUP($A549,'AAPT ExDa'!$B$2:$U$99, 5,FALSE), IFERROR(VLOOKUP($A549,'ABB ExDa'!$A$2:$N$184, 8,FALSE), IFERROR(VLOOKUP($A549,'Vocus SIT ExDa'!$B$2:$J$173, 6,FALSE), IFERROR(VLOOKUP($A549,'Telstra ExDa'!$B$2:$K$310, 0,FALSE), IFERROR(VLOOKUP($A549,'Vocus RVC ExDa'!$C$2:$R$155, 15,FALSE), IFERROR(VLOOKUP($A549,'Fusion ExDa'!$B$2:$D$16, 0,FALSE), IFERROR(VLOOKUP($A549,'Exetel ExDa'!$C$2:$N$14, 7,FALSE), IFERROR(VLOOKUP($A549,'Infinet ExDa'!$B$2:$E$14, 0,FALSE), "Not Found"))))))))</f>
        <v>Not Found</v>
      </c>
      <c r="H549" t="str">
        <f>IFERROR(VLOOKUP($A549,'AAPT ExDa'!$B$2:$U$99, 6,FALSE), IFERROR(VLOOKUP($A549,'ABB ExDa'!$A$2:$N$184, 0,FALSE), IFERROR(VLOOKUP($A549,'Vocus SIT ExDa'!$B$2:$J$173, 0,FALSE), IFERROR(VLOOKUP($A549,'Telstra ExDa'!$B$2:$K$310, 0,FALSE), IFERROR(VLOOKUP($A549,'Vocus RVC ExDa'!$C$2:$R$155, 16,FALSE), IFERROR(VLOOKUP($A549,'Fusion ExDa'!$B$2:$D$16, 0,FALSE), IFERROR(VLOOKUP($A549,'Exetel ExDa'!$C$2:$N$14, 0,FALSE), IFERROR(VLOOKUP($A549,'Infinet ExDa'!$B$2:$E$14, 0,FALSE), "Not Found"))))))))</f>
        <v>Not Found</v>
      </c>
      <c r="I549" t="str">
        <f>IFERROR(VLOOKUP($A549,'AAPT ExDa'!$B$2:$U$99, 0,FALSE), IFERROR(VLOOKUP($A549,'ABB ExDa'!$A$2:$N$184, 0,FALSE), IFERROR(VLOOKUP($A549,'Vocus SIT ExDa'!$B$2:$J$173, 0,FALSE), IFERROR(VLOOKUP($A549,'Telstra ExDa'!$B$2:$K$310, 0,FALSE), IFERROR(VLOOKUP($A549,'Vocus RVC ExDa'!$C$2:$R$155, 0,FALSE), IFERROR(VLOOKUP($A549,'Fusion ExDa'!$B$2:$D$16, 0,FALSE), IFERROR(VLOOKUP($A549,'Exetel ExDa'!$C$2:$N$14, 8,FALSE), IFERROR(VLOOKUP($A549,'Infinet ExDa'!$B$2:$E$14, 0,FALSE), "Not Found"))))))))</f>
        <v>Not Found</v>
      </c>
      <c r="J549" t="str">
        <f>IFERROR(VLOOKUP($A549,'AAPT ExDa'!$B$2:$U$99, 7,FALSE), IFERROR(VLOOKUP($A549,'ABB ExDa'!$A$2:$N$184, 2,FALSE), IFERROR(VLOOKUP($A549,'Vocus SIT ExDa'!$B$2:$J$173, 0,FALSE), IFERROR(VLOOKUP($A549,'Telstra ExDa'!$B$2:$K$310, 7,FALSE), IFERROR(VLOOKUP($A549,'Vocus RVC ExDa'!$C$2:$R$155, 2,FALSE), IFERROR(VLOOKUP($A549,'Fusion ExDa'!$B$2:$D$16, 3,FALSE), IFERROR(VLOOKUP($A549,'Exetel ExDa'!$C$2:$N$14, 0,FALSE), IFERROR(VLOOKUP($A549,'Infinet ExDa'!$B$2:$E$14, 0,FALSE), "Not Found"))))))))</f>
        <v>Not Found</v>
      </c>
      <c r="K549" t="str">
        <f>IFERROR(VLOOKUP($A549,'AAPT ExDa'!$B$2:$U$99, 12,FALSE), IFERROR(VLOOKUP($A549,'ABB ExDa'!$A$2:$N$184, 0,FALSE), IFERROR(VLOOKUP($A549,'Vocus SIT ExDa'!$B$2:$J$173, 0,FALSE), IFERROR(VLOOKUP($A549,'Telstra ExDa'!$B$2:$K$310, 0,FALSE), IFERROR(VLOOKUP($A549,'Vocus RVC ExDa'!$C$2:$R$155, 0,FALSE), IFERROR(VLOOKUP($A549,'Fusion ExDa'!$B$2:$D$16, 0,FALSE), IFERROR(VLOOKUP($A549,'Exetel ExDa'!$C$2:$N$14, 12,FALSE), IFERROR(VLOOKUP($A549,'Infinet ExDa'!$B$2:$E$14, 0,FALSE), "Not Found"))))))))</f>
        <v>Not Found</v>
      </c>
      <c r="L549" s="235" t="str">
        <f>IFERROR(VLOOKUP($A549,'AAPT ExDa'!$B$2:$U$99, 11,FALSE), IFERROR(VLOOKUP($A549,'ABB ExDa'!$A$2:$N$184, 9,FALSE), IFERROR(VLOOKUP($A549,'Vocus SIT ExDa'!$B$2:$J$173, 8,FALSE), IFERROR(VLOOKUP($A549,'Telstra ExDa'!$B$2:$K$310, 0,FALSE), IFERROR(VLOOKUP($A549,'Vocus RVC ExDa'!$C$2:$R$155, 0,FALSE), IFERROR(VLOOKUP($A549,'Fusion ExDa'!$B$2:$D$16, 0,FALSE), IFERROR(VLOOKUP($A549,'Exetel ExDa'!$C$2:$N$14, 9,FALSE), IFERROR(VLOOKUP($A549,'Infinet ExDa'!$B$2:$E$14, 0,FALSE), "Not Found"))))))))</f>
        <v>Not Found</v>
      </c>
      <c r="M549" s="234" t="str">
        <f>IFERROR(VLOOKUP($A549,'AAPT ExDa'!$B$2:$U$99, 0,FALSE), IFERROR(VLOOKUP($A549,'ABB ExDa'!$A$2:$N$184, 0,FALSE), IFERROR(VLOOKUP($A549,'Vocus SIT ExDa'!$B$2:$J$173, 0,FALSE), IFERROR(VLOOKUP($A549,'Telstra ExDa'!$B$2:$K$310, 0,FALSE), IFERROR(VLOOKUP($A549,'Vocus RVC ExDa'!$C$2:$R$155, 0,FALSE), IFERROR(VLOOKUP($A549,'Fusion ExDa'!$B$2:$D$16, 0,FALSE), IFERROR(VLOOKUP($A549,'Exetel ExDa'!$C$2:$N$14, 11,FALSE), IFERROR(VLOOKUP($A549,'Infinet ExDa'!$B$2:$E$14, 0,FALSE), "Not Found"))))))))</f>
        <v>Not Found</v>
      </c>
      <c r="N549" t="str">
        <f>IFERROR(VLOOKUP($A549,'AAPT ExDa'!$B$2:$U$99, 0,FALSE), IFERROR(VLOOKUP($A549,'ABB ExDa'!$A$2:$N$184, 13,FALSE), IFERROR(VLOOKUP($A549,'Vocus SIT ExDa'!$B$2:$J$173, 0,FALSE), IFERROR(VLOOKUP($A549,'Telstra ExDa'!$B$2:$K$310, 0,FALSE), IFERROR(VLOOKUP($A549,'Vocus RVC ExDa'!$C$2:$R$155, 0,FALSE), IFERROR(VLOOKUP($A549,'Fusion ExDa'!$B$2:$D$16, 0,FALSE), IFERROR(VLOOKUP($A549,'Exetel ExDa'!$C$2:$N$14, 0,FALSE), IFERROR(VLOOKUP($A549,'Infinet ExDa'!$B$2:$E$14, 0,FALSE), "Not Found"))))))))</f>
        <v>Not Found</v>
      </c>
    </row>
    <row r="550" spans="1:14">
      <c r="A550">
        <v>0</v>
      </c>
      <c r="B550" t="str">
        <f>IFERROR(VLOOKUP(A550,'Exetel ExDa'!$C$2:$N$14,4,FALSE),"No Data")</f>
        <v>No Data</v>
      </c>
      <c r="C550" t="str">
        <f>IFERROR(VLOOKUP(A550,'AAPT ExDa'!$B$2:$U$99, 2,FALSE), IFERROR(VLOOKUP(A550,'ABB ExDa'!$A$2:$N$184, 2,FALSE), IFERROR(VLOOKUP(A550,'Vocus SIT ExDa'!$B$2:$J$173, 7,FALSE), IFERROR(VLOOKUP(A550,'Telstra ExDa'!$B$2:$K$310, 2,FALSE), IFERROR(VLOOKUP(A550,'Vocus RVC ExDa'!$C$2:$R$155, 3,FALSE), IFERROR(VLOOKUP(A550,'Fusion ExDa'!$B$2:$D$16, 2,FALSE), IFERROR(VLOOKUP(A550,'Exetel ExDa'!$C$2:$N$14, 2,FALSE), IFERROR(VLOOKUP(A550,'Infinet ExDa'!$B$2:$E$14, 2,FALSE), "Not Found"))))))))</f>
        <v>Not Found</v>
      </c>
      <c r="D550" t="str">
        <f>IFERROR(VLOOKUP($A550,'AAPT ExDa'!$B$2:$U$99, 15,FALSE), IFERROR(VLOOKUP($A550,'ABB ExDa'!$A$2:$N$184, 4,FALSE), IFERROR(VLOOKUP($A550,'Vocus SIT ExDa'!$B$2:$J$173, 5,FALSE), IFERROR(VLOOKUP($A550,'Telstra ExDa'!$B$2:$K$310, 8,FALSE), IFERROR(VLOOKUP($A550,'Vocus RVC ExDa'!$C$2:$R$155, 6,FALSE), IFERROR(VLOOKUP($A550,'Fusion ExDa'!$B$2:$D$16, 4,FALSE), IFERROR(VLOOKUP($A550,'Exetel ExDa'!$C$2:$N$14, 3,FALSE), IFERROR(VLOOKUP($A550,'Infinet ExDa'!$B$2:$E$14, 3,FALSE), "Not Found"))))))))</f>
        <v>Not Found</v>
      </c>
      <c r="E550" t="str">
        <f>IFERROR(VLOOKUP($A550,'AAPT ExDa'!$B$2:$U$99, 3,FALSE), IFERROR(VLOOKUP($A550,'ABB ExDa'!$A$2:$N$184, 5,FALSE), IFERROR(VLOOKUP($A550,'Vocus SIT ExDa'!$B$2:$J$173, 2,FALSE), IFERROR(VLOOKUP($A550,'Telstra ExDa'!$B$2:$K$310, 4,FALSE), IFERROR(VLOOKUP($A550,'Vocus RVC ExDa'!$C$2:$R$155, 8,FALSE), IFERROR(VLOOKUP($A550,'Fusion ExDa'!$B$2:$D$16, 4,FALSE), IFERROR(VLOOKUP($A550,'Exetel ExDa'!$C$2:$N$14, 5,FALSE), IFERROR(VLOOKUP($A550,'Infinet ExDa'!$B$2:$E$14, 3,FALSE), "Not Found"))))))))</f>
        <v>Not Found</v>
      </c>
      <c r="F550" t="str">
        <f>IFERROR(VLOOKUP($A550,'AAPT ExDa'!$B$2:$U$99, 4,FALSE), IFERROR(VLOOKUP($A550,'ABB ExDa'!$A$2:$N$184, 6,FALSE), IFERROR(VLOOKUP($A550,'Vocus SIT ExDa'!$B$2:$J$173, 3,FALSE), IFERROR(VLOOKUP($A550,'Telstra ExDa'!$B$2:$K$310, 5,FALSE), IFERROR(VLOOKUP($A550,'Vocus RVC ExDa'!$C$2:$R$155, 9,FALSE), IFERROR(VLOOKUP($A550,'Fusion ExDa'!$B$2:$D$16, 0,FALSE), IFERROR(VLOOKUP($A550,'Exetel ExDa'!$C$2:$N$14, 6,FALSE), IFERROR(VLOOKUP($A550,'Infinet ExDa'!$B$2:$E$14, 0,FALSE), "Not Found"))))))))</f>
        <v>Not Found</v>
      </c>
      <c r="G550" t="str">
        <f>IFERROR(VLOOKUP($A550,'AAPT ExDa'!$B$2:$U$99, 5,FALSE), IFERROR(VLOOKUP($A550,'ABB ExDa'!$A$2:$N$184, 8,FALSE), IFERROR(VLOOKUP($A550,'Vocus SIT ExDa'!$B$2:$J$173, 6,FALSE), IFERROR(VLOOKUP($A550,'Telstra ExDa'!$B$2:$K$310, 0,FALSE), IFERROR(VLOOKUP($A550,'Vocus RVC ExDa'!$C$2:$R$155, 15,FALSE), IFERROR(VLOOKUP($A550,'Fusion ExDa'!$B$2:$D$16, 0,FALSE), IFERROR(VLOOKUP($A550,'Exetel ExDa'!$C$2:$N$14, 7,FALSE), IFERROR(VLOOKUP($A550,'Infinet ExDa'!$B$2:$E$14, 0,FALSE), "Not Found"))))))))</f>
        <v>Not Found</v>
      </c>
      <c r="H550" t="str">
        <f>IFERROR(VLOOKUP($A550,'AAPT ExDa'!$B$2:$U$99, 6,FALSE), IFERROR(VLOOKUP($A550,'ABB ExDa'!$A$2:$N$184, 0,FALSE), IFERROR(VLOOKUP($A550,'Vocus SIT ExDa'!$B$2:$J$173, 0,FALSE), IFERROR(VLOOKUP($A550,'Telstra ExDa'!$B$2:$K$310, 0,FALSE), IFERROR(VLOOKUP($A550,'Vocus RVC ExDa'!$C$2:$R$155, 16,FALSE), IFERROR(VLOOKUP($A550,'Fusion ExDa'!$B$2:$D$16, 0,FALSE), IFERROR(VLOOKUP($A550,'Exetel ExDa'!$C$2:$N$14, 0,FALSE), IFERROR(VLOOKUP($A550,'Infinet ExDa'!$B$2:$E$14, 0,FALSE), "Not Found"))))))))</f>
        <v>Not Found</v>
      </c>
      <c r="I550" t="str">
        <f>IFERROR(VLOOKUP($A550,'AAPT ExDa'!$B$2:$U$99, 0,FALSE), IFERROR(VLOOKUP($A550,'ABB ExDa'!$A$2:$N$184, 0,FALSE), IFERROR(VLOOKUP($A550,'Vocus SIT ExDa'!$B$2:$J$173, 0,FALSE), IFERROR(VLOOKUP($A550,'Telstra ExDa'!$B$2:$K$310, 0,FALSE), IFERROR(VLOOKUP($A550,'Vocus RVC ExDa'!$C$2:$R$155, 0,FALSE), IFERROR(VLOOKUP($A550,'Fusion ExDa'!$B$2:$D$16, 0,FALSE), IFERROR(VLOOKUP($A550,'Exetel ExDa'!$C$2:$N$14, 8,FALSE), IFERROR(VLOOKUP($A550,'Infinet ExDa'!$B$2:$E$14, 0,FALSE), "Not Found"))))))))</f>
        <v>Not Found</v>
      </c>
      <c r="J550" t="str">
        <f>IFERROR(VLOOKUP($A550,'AAPT ExDa'!$B$2:$U$99, 7,FALSE), IFERROR(VLOOKUP($A550,'ABB ExDa'!$A$2:$N$184, 2,FALSE), IFERROR(VLOOKUP($A550,'Vocus SIT ExDa'!$B$2:$J$173, 0,FALSE), IFERROR(VLOOKUP($A550,'Telstra ExDa'!$B$2:$K$310, 7,FALSE), IFERROR(VLOOKUP($A550,'Vocus RVC ExDa'!$C$2:$R$155, 2,FALSE), IFERROR(VLOOKUP($A550,'Fusion ExDa'!$B$2:$D$16, 3,FALSE), IFERROR(VLOOKUP($A550,'Exetel ExDa'!$C$2:$N$14, 0,FALSE), IFERROR(VLOOKUP($A550,'Infinet ExDa'!$B$2:$E$14, 0,FALSE), "Not Found"))))))))</f>
        <v>Not Found</v>
      </c>
      <c r="K550" t="str">
        <f>IFERROR(VLOOKUP($A550,'AAPT ExDa'!$B$2:$U$99, 12,FALSE), IFERROR(VLOOKUP($A550,'ABB ExDa'!$A$2:$N$184, 0,FALSE), IFERROR(VLOOKUP($A550,'Vocus SIT ExDa'!$B$2:$J$173, 0,FALSE), IFERROR(VLOOKUP($A550,'Telstra ExDa'!$B$2:$K$310, 0,FALSE), IFERROR(VLOOKUP($A550,'Vocus RVC ExDa'!$C$2:$R$155, 0,FALSE), IFERROR(VLOOKUP($A550,'Fusion ExDa'!$B$2:$D$16, 0,FALSE), IFERROR(VLOOKUP($A550,'Exetel ExDa'!$C$2:$N$14, 12,FALSE), IFERROR(VLOOKUP($A550,'Infinet ExDa'!$B$2:$E$14, 0,FALSE), "Not Found"))))))))</f>
        <v>Not Found</v>
      </c>
      <c r="L550" s="235" t="str">
        <f>IFERROR(VLOOKUP($A550,'AAPT ExDa'!$B$2:$U$99, 11,FALSE), IFERROR(VLOOKUP($A550,'ABB ExDa'!$A$2:$N$184, 9,FALSE), IFERROR(VLOOKUP($A550,'Vocus SIT ExDa'!$B$2:$J$173, 8,FALSE), IFERROR(VLOOKUP($A550,'Telstra ExDa'!$B$2:$K$310, 0,FALSE), IFERROR(VLOOKUP($A550,'Vocus RVC ExDa'!$C$2:$R$155, 0,FALSE), IFERROR(VLOOKUP($A550,'Fusion ExDa'!$B$2:$D$16, 0,FALSE), IFERROR(VLOOKUP($A550,'Exetel ExDa'!$C$2:$N$14, 9,FALSE), IFERROR(VLOOKUP($A550,'Infinet ExDa'!$B$2:$E$14, 0,FALSE), "Not Found"))))))))</f>
        <v>Not Found</v>
      </c>
      <c r="M550" s="234" t="str">
        <f>IFERROR(VLOOKUP($A550,'AAPT ExDa'!$B$2:$U$99, 0,FALSE), IFERROR(VLOOKUP($A550,'ABB ExDa'!$A$2:$N$184, 0,FALSE), IFERROR(VLOOKUP($A550,'Vocus SIT ExDa'!$B$2:$J$173, 0,FALSE), IFERROR(VLOOKUP($A550,'Telstra ExDa'!$B$2:$K$310, 0,FALSE), IFERROR(VLOOKUP($A550,'Vocus RVC ExDa'!$C$2:$R$155, 0,FALSE), IFERROR(VLOOKUP($A550,'Fusion ExDa'!$B$2:$D$16, 0,FALSE), IFERROR(VLOOKUP($A550,'Exetel ExDa'!$C$2:$N$14, 11,FALSE), IFERROR(VLOOKUP($A550,'Infinet ExDa'!$B$2:$E$14, 0,FALSE), "Not Found"))))))))</f>
        <v>Not Found</v>
      </c>
      <c r="N550" t="str">
        <f>IFERROR(VLOOKUP($A550,'AAPT ExDa'!$B$2:$U$99, 0,FALSE), IFERROR(VLOOKUP($A550,'ABB ExDa'!$A$2:$N$184, 13,FALSE), IFERROR(VLOOKUP($A550,'Vocus SIT ExDa'!$B$2:$J$173, 0,FALSE), IFERROR(VLOOKUP($A550,'Telstra ExDa'!$B$2:$K$310, 0,FALSE), IFERROR(VLOOKUP($A550,'Vocus RVC ExDa'!$C$2:$R$155, 0,FALSE), IFERROR(VLOOKUP($A550,'Fusion ExDa'!$B$2:$D$16, 0,FALSE), IFERROR(VLOOKUP($A550,'Exetel ExDa'!$C$2:$N$14, 0,FALSE), IFERROR(VLOOKUP($A550,'Infinet ExDa'!$B$2:$E$14, 0,FALSE), "Not Found"))))))))</f>
        <v>Not Found</v>
      </c>
    </row>
    <row r="551" spans="1:14">
      <c r="A551">
        <v>0</v>
      </c>
      <c r="B551" t="str">
        <f>IFERROR(VLOOKUP(A551,'Exetel ExDa'!$C$2:$N$14,4,FALSE),"No Data")</f>
        <v>No Data</v>
      </c>
      <c r="C551" t="str">
        <f>IFERROR(VLOOKUP(A551,'AAPT ExDa'!$B$2:$U$99, 2,FALSE), IFERROR(VLOOKUP(A551,'ABB ExDa'!$A$2:$N$184, 2,FALSE), IFERROR(VLOOKUP(A551,'Vocus SIT ExDa'!$B$2:$J$173, 7,FALSE), IFERROR(VLOOKUP(A551,'Telstra ExDa'!$B$2:$K$310, 2,FALSE), IFERROR(VLOOKUP(A551,'Vocus RVC ExDa'!$C$2:$R$155, 3,FALSE), IFERROR(VLOOKUP(A551,'Fusion ExDa'!$B$2:$D$16, 2,FALSE), IFERROR(VLOOKUP(A551,'Exetel ExDa'!$C$2:$N$14, 2,FALSE), IFERROR(VLOOKUP(A551,'Infinet ExDa'!$B$2:$E$14, 2,FALSE), "Not Found"))))))))</f>
        <v>Not Found</v>
      </c>
      <c r="D551" t="str">
        <f>IFERROR(VLOOKUP($A551,'AAPT ExDa'!$B$2:$U$99, 15,FALSE), IFERROR(VLOOKUP($A551,'ABB ExDa'!$A$2:$N$184, 4,FALSE), IFERROR(VLOOKUP($A551,'Vocus SIT ExDa'!$B$2:$J$173, 5,FALSE), IFERROR(VLOOKUP($A551,'Telstra ExDa'!$B$2:$K$310, 8,FALSE), IFERROR(VLOOKUP($A551,'Vocus RVC ExDa'!$C$2:$R$155, 6,FALSE), IFERROR(VLOOKUP($A551,'Fusion ExDa'!$B$2:$D$16, 4,FALSE), IFERROR(VLOOKUP($A551,'Exetel ExDa'!$C$2:$N$14, 3,FALSE), IFERROR(VLOOKUP($A551,'Infinet ExDa'!$B$2:$E$14, 3,FALSE), "Not Found"))))))))</f>
        <v>Not Found</v>
      </c>
      <c r="E551" t="str">
        <f>IFERROR(VLOOKUP($A551,'AAPT ExDa'!$B$2:$U$99, 3,FALSE), IFERROR(VLOOKUP($A551,'ABB ExDa'!$A$2:$N$184, 5,FALSE), IFERROR(VLOOKUP($A551,'Vocus SIT ExDa'!$B$2:$J$173, 2,FALSE), IFERROR(VLOOKUP($A551,'Telstra ExDa'!$B$2:$K$310, 4,FALSE), IFERROR(VLOOKUP($A551,'Vocus RVC ExDa'!$C$2:$R$155, 8,FALSE), IFERROR(VLOOKUP($A551,'Fusion ExDa'!$B$2:$D$16, 4,FALSE), IFERROR(VLOOKUP($A551,'Exetel ExDa'!$C$2:$N$14, 5,FALSE), IFERROR(VLOOKUP($A551,'Infinet ExDa'!$B$2:$E$14, 3,FALSE), "Not Found"))))))))</f>
        <v>Not Found</v>
      </c>
      <c r="F551" t="str">
        <f>IFERROR(VLOOKUP($A551,'AAPT ExDa'!$B$2:$U$99, 4,FALSE), IFERROR(VLOOKUP($A551,'ABB ExDa'!$A$2:$N$184, 6,FALSE), IFERROR(VLOOKUP($A551,'Vocus SIT ExDa'!$B$2:$J$173, 3,FALSE), IFERROR(VLOOKUP($A551,'Telstra ExDa'!$B$2:$K$310, 5,FALSE), IFERROR(VLOOKUP($A551,'Vocus RVC ExDa'!$C$2:$R$155, 9,FALSE), IFERROR(VLOOKUP($A551,'Fusion ExDa'!$B$2:$D$16, 0,FALSE), IFERROR(VLOOKUP($A551,'Exetel ExDa'!$C$2:$N$14, 6,FALSE), IFERROR(VLOOKUP($A551,'Infinet ExDa'!$B$2:$E$14, 0,FALSE), "Not Found"))))))))</f>
        <v>Not Found</v>
      </c>
      <c r="G551" t="str">
        <f>IFERROR(VLOOKUP($A551,'AAPT ExDa'!$B$2:$U$99, 5,FALSE), IFERROR(VLOOKUP($A551,'ABB ExDa'!$A$2:$N$184, 8,FALSE), IFERROR(VLOOKUP($A551,'Vocus SIT ExDa'!$B$2:$J$173, 6,FALSE), IFERROR(VLOOKUP($A551,'Telstra ExDa'!$B$2:$K$310, 0,FALSE), IFERROR(VLOOKUP($A551,'Vocus RVC ExDa'!$C$2:$R$155, 15,FALSE), IFERROR(VLOOKUP($A551,'Fusion ExDa'!$B$2:$D$16, 0,FALSE), IFERROR(VLOOKUP($A551,'Exetel ExDa'!$C$2:$N$14, 7,FALSE), IFERROR(VLOOKUP($A551,'Infinet ExDa'!$B$2:$E$14, 0,FALSE), "Not Found"))))))))</f>
        <v>Not Found</v>
      </c>
      <c r="H551" t="str">
        <f>IFERROR(VLOOKUP($A551,'AAPT ExDa'!$B$2:$U$99, 6,FALSE), IFERROR(VLOOKUP($A551,'ABB ExDa'!$A$2:$N$184, 0,FALSE), IFERROR(VLOOKUP($A551,'Vocus SIT ExDa'!$B$2:$J$173, 0,FALSE), IFERROR(VLOOKUP($A551,'Telstra ExDa'!$B$2:$K$310, 0,FALSE), IFERROR(VLOOKUP($A551,'Vocus RVC ExDa'!$C$2:$R$155, 16,FALSE), IFERROR(VLOOKUP($A551,'Fusion ExDa'!$B$2:$D$16, 0,FALSE), IFERROR(VLOOKUP($A551,'Exetel ExDa'!$C$2:$N$14, 0,FALSE), IFERROR(VLOOKUP($A551,'Infinet ExDa'!$B$2:$E$14, 0,FALSE), "Not Found"))))))))</f>
        <v>Not Found</v>
      </c>
      <c r="I551" t="str">
        <f>IFERROR(VLOOKUP($A551,'AAPT ExDa'!$B$2:$U$99, 0,FALSE), IFERROR(VLOOKUP($A551,'ABB ExDa'!$A$2:$N$184, 0,FALSE), IFERROR(VLOOKUP($A551,'Vocus SIT ExDa'!$B$2:$J$173, 0,FALSE), IFERROR(VLOOKUP($A551,'Telstra ExDa'!$B$2:$K$310, 0,FALSE), IFERROR(VLOOKUP($A551,'Vocus RVC ExDa'!$C$2:$R$155, 0,FALSE), IFERROR(VLOOKUP($A551,'Fusion ExDa'!$B$2:$D$16, 0,FALSE), IFERROR(VLOOKUP($A551,'Exetel ExDa'!$C$2:$N$14, 8,FALSE), IFERROR(VLOOKUP($A551,'Infinet ExDa'!$B$2:$E$14, 0,FALSE), "Not Found"))))))))</f>
        <v>Not Found</v>
      </c>
      <c r="J551" t="str">
        <f>IFERROR(VLOOKUP($A551,'AAPT ExDa'!$B$2:$U$99, 7,FALSE), IFERROR(VLOOKUP($A551,'ABB ExDa'!$A$2:$N$184, 2,FALSE), IFERROR(VLOOKUP($A551,'Vocus SIT ExDa'!$B$2:$J$173, 0,FALSE), IFERROR(VLOOKUP($A551,'Telstra ExDa'!$B$2:$K$310, 7,FALSE), IFERROR(VLOOKUP($A551,'Vocus RVC ExDa'!$C$2:$R$155, 2,FALSE), IFERROR(VLOOKUP($A551,'Fusion ExDa'!$B$2:$D$16, 3,FALSE), IFERROR(VLOOKUP($A551,'Exetel ExDa'!$C$2:$N$14, 0,FALSE), IFERROR(VLOOKUP($A551,'Infinet ExDa'!$B$2:$E$14, 0,FALSE), "Not Found"))))))))</f>
        <v>Not Found</v>
      </c>
      <c r="K551" t="str">
        <f>IFERROR(VLOOKUP($A551,'AAPT ExDa'!$B$2:$U$99, 12,FALSE), IFERROR(VLOOKUP($A551,'ABB ExDa'!$A$2:$N$184, 0,FALSE), IFERROR(VLOOKUP($A551,'Vocus SIT ExDa'!$B$2:$J$173, 0,FALSE), IFERROR(VLOOKUP($A551,'Telstra ExDa'!$B$2:$K$310, 0,FALSE), IFERROR(VLOOKUP($A551,'Vocus RVC ExDa'!$C$2:$R$155, 0,FALSE), IFERROR(VLOOKUP($A551,'Fusion ExDa'!$B$2:$D$16, 0,FALSE), IFERROR(VLOOKUP($A551,'Exetel ExDa'!$C$2:$N$14, 12,FALSE), IFERROR(VLOOKUP($A551,'Infinet ExDa'!$B$2:$E$14, 0,FALSE), "Not Found"))))))))</f>
        <v>Not Found</v>
      </c>
      <c r="L551" s="235" t="str">
        <f>IFERROR(VLOOKUP($A551,'AAPT ExDa'!$B$2:$U$99, 11,FALSE), IFERROR(VLOOKUP($A551,'ABB ExDa'!$A$2:$N$184, 9,FALSE), IFERROR(VLOOKUP($A551,'Vocus SIT ExDa'!$B$2:$J$173, 8,FALSE), IFERROR(VLOOKUP($A551,'Telstra ExDa'!$B$2:$K$310, 0,FALSE), IFERROR(VLOOKUP($A551,'Vocus RVC ExDa'!$C$2:$R$155, 0,FALSE), IFERROR(VLOOKUP($A551,'Fusion ExDa'!$B$2:$D$16, 0,FALSE), IFERROR(VLOOKUP($A551,'Exetel ExDa'!$C$2:$N$14, 9,FALSE), IFERROR(VLOOKUP($A551,'Infinet ExDa'!$B$2:$E$14, 0,FALSE), "Not Found"))))))))</f>
        <v>Not Found</v>
      </c>
      <c r="M551" s="234" t="str">
        <f>IFERROR(VLOOKUP($A551,'AAPT ExDa'!$B$2:$U$99, 0,FALSE), IFERROR(VLOOKUP($A551,'ABB ExDa'!$A$2:$N$184, 0,FALSE), IFERROR(VLOOKUP($A551,'Vocus SIT ExDa'!$B$2:$J$173, 0,FALSE), IFERROR(VLOOKUP($A551,'Telstra ExDa'!$B$2:$K$310, 0,FALSE), IFERROR(VLOOKUP($A551,'Vocus RVC ExDa'!$C$2:$R$155, 0,FALSE), IFERROR(VLOOKUP($A551,'Fusion ExDa'!$B$2:$D$16, 0,FALSE), IFERROR(VLOOKUP($A551,'Exetel ExDa'!$C$2:$N$14, 11,FALSE), IFERROR(VLOOKUP($A551,'Infinet ExDa'!$B$2:$E$14, 0,FALSE), "Not Found"))))))))</f>
        <v>Not Found</v>
      </c>
      <c r="N551" t="str">
        <f>IFERROR(VLOOKUP($A551,'AAPT ExDa'!$B$2:$U$99, 0,FALSE), IFERROR(VLOOKUP($A551,'ABB ExDa'!$A$2:$N$184, 13,FALSE), IFERROR(VLOOKUP($A551,'Vocus SIT ExDa'!$B$2:$J$173, 0,FALSE), IFERROR(VLOOKUP($A551,'Telstra ExDa'!$B$2:$K$310, 0,FALSE), IFERROR(VLOOKUP($A551,'Vocus RVC ExDa'!$C$2:$R$155, 0,FALSE), IFERROR(VLOOKUP($A551,'Fusion ExDa'!$B$2:$D$16, 0,FALSE), IFERROR(VLOOKUP($A551,'Exetel ExDa'!$C$2:$N$14, 0,FALSE), IFERROR(VLOOKUP($A551,'Infinet ExDa'!$B$2:$E$14, 0,FALSE), "Not Found"))))))))</f>
        <v>Not Found</v>
      </c>
    </row>
    <row r="552" spans="1:14">
      <c r="A552">
        <v>0</v>
      </c>
      <c r="B552" t="str">
        <f>IFERROR(VLOOKUP(A552,'Exetel ExDa'!$C$2:$N$14,4,FALSE),"No Data")</f>
        <v>No Data</v>
      </c>
      <c r="C552" t="str">
        <f>IFERROR(VLOOKUP(A552,'AAPT ExDa'!$B$2:$U$99, 2,FALSE), IFERROR(VLOOKUP(A552,'ABB ExDa'!$A$2:$N$184, 2,FALSE), IFERROR(VLOOKUP(A552,'Vocus SIT ExDa'!$B$2:$J$173, 7,FALSE), IFERROR(VLOOKUP(A552,'Telstra ExDa'!$B$2:$K$310, 2,FALSE), IFERROR(VLOOKUP(A552,'Vocus RVC ExDa'!$C$2:$R$155, 3,FALSE), IFERROR(VLOOKUP(A552,'Fusion ExDa'!$B$2:$D$16, 2,FALSE), IFERROR(VLOOKUP(A552,'Exetel ExDa'!$C$2:$N$14, 2,FALSE), IFERROR(VLOOKUP(A552,'Infinet ExDa'!$B$2:$E$14, 2,FALSE), "Not Found"))))))))</f>
        <v>Not Found</v>
      </c>
      <c r="D552" t="str">
        <f>IFERROR(VLOOKUP($A552,'AAPT ExDa'!$B$2:$U$99, 15,FALSE), IFERROR(VLOOKUP($A552,'ABB ExDa'!$A$2:$N$184, 4,FALSE), IFERROR(VLOOKUP($A552,'Vocus SIT ExDa'!$B$2:$J$173, 5,FALSE), IFERROR(VLOOKUP($A552,'Telstra ExDa'!$B$2:$K$310, 8,FALSE), IFERROR(VLOOKUP($A552,'Vocus RVC ExDa'!$C$2:$R$155, 6,FALSE), IFERROR(VLOOKUP($A552,'Fusion ExDa'!$B$2:$D$16, 4,FALSE), IFERROR(VLOOKUP($A552,'Exetel ExDa'!$C$2:$N$14, 3,FALSE), IFERROR(VLOOKUP($A552,'Infinet ExDa'!$B$2:$E$14, 3,FALSE), "Not Found"))))))))</f>
        <v>Not Found</v>
      </c>
      <c r="E552" t="str">
        <f>IFERROR(VLOOKUP($A552,'AAPT ExDa'!$B$2:$U$99, 3,FALSE), IFERROR(VLOOKUP($A552,'ABB ExDa'!$A$2:$N$184, 5,FALSE), IFERROR(VLOOKUP($A552,'Vocus SIT ExDa'!$B$2:$J$173, 2,FALSE), IFERROR(VLOOKUP($A552,'Telstra ExDa'!$B$2:$K$310, 4,FALSE), IFERROR(VLOOKUP($A552,'Vocus RVC ExDa'!$C$2:$R$155, 8,FALSE), IFERROR(VLOOKUP($A552,'Fusion ExDa'!$B$2:$D$16, 4,FALSE), IFERROR(VLOOKUP($A552,'Exetel ExDa'!$C$2:$N$14, 5,FALSE), IFERROR(VLOOKUP($A552,'Infinet ExDa'!$B$2:$E$14, 3,FALSE), "Not Found"))))))))</f>
        <v>Not Found</v>
      </c>
      <c r="F552" t="str">
        <f>IFERROR(VLOOKUP($A552,'AAPT ExDa'!$B$2:$U$99, 4,FALSE), IFERROR(VLOOKUP($A552,'ABB ExDa'!$A$2:$N$184, 6,FALSE), IFERROR(VLOOKUP($A552,'Vocus SIT ExDa'!$B$2:$J$173, 3,FALSE), IFERROR(VLOOKUP($A552,'Telstra ExDa'!$B$2:$K$310, 5,FALSE), IFERROR(VLOOKUP($A552,'Vocus RVC ExDa'!$C$2:$R$155, 9,FALSE), IFERROR(VLOOKUP($A552,'Fusion ExDa'!$B$2:$D$16, 0,FALSE), IFERROR(VLOOKUP($A552,'Exetel ExDa'!$C$2:$N$14, 6,FALSE), IFERROR(VLOOKUP($A552,'Infinet ExDa'!$B$2:$E$14, 0,FALSE), "Not Found"))))))))</f>
        <v>Not Found</v>
      </c>
      <c r="G552" t="str">
        <f>IFERROR(VLOOKUP($A552,'AAPT ExDa'!$B$2:$U$99, 5,FALSE), IFERROR(VLOOKUP($A552,'ABB ExDa'!$A$2:$N$184, 8,FALSE), IFERROR(VLOOKUP($A552,'Vocus SIT ExDa'!$B$2:$J$173, 6,FALSE), IFERROR(VLOOKUP($A552,'Telstra ExDa'!$B$2:$K$310, 0,FALSE), IFERROR(VLOOKUP($A552,'Vocus RVC ExDa'!$C$2:$R$155, 15,FALSE), IFERROR(VLOOKUP($A552,'Fusion ExDa'!$B$2:$D$16, 0,FALSE), IFERROR(VLOOKUP($A552,'Exetel ExDa'!$C$2:$N$14, 7,FALSE), IFERROR(VLOOKUP($A552,'Infinet ExDa'!$B$2:$E$14, 0,FALSE), "Not Found"))))))))</f>
        <v>Not Found</v>
      </c>
      <c r="H552" t="str">
        <f>IFERROR(VLOOKUP($A552,'AAPT ExDa'!$B$2:$U$99, 6,FALSE), IFERROR(VLOOKUP($A552,'ABB ExDa'!$A$2:$N$184, 0,FALSE), IFERROR(VLOOKUP($A552,'Vocus SIT ExDa'!$B$2:$J$173, 0,FALSE), IFERROR(VLOOKUP($A552,'Telstra ExDa'!$B$2:$K$310, 0,FALSE), IFERROR(VLOOKUP($A552,'Vocus RVC ExDa'!$C$2:$R$155, 16,FALSE), IFERROR(VLOOKUP($A552,'Fusion ExDa'!$B$2:$D$16, 0,FALSE), IFERROR(VLOOKUP($A552,'Exetel ExDa'!$C$2:$N$14, 0,FALSE), IFERROR(VLOOKUP($A552,'Infinet ExDa'!$B$2:$E$14, 0,FALSE), "Not Found"))))))))</f>
        <v>Not Found</v>
      </c>
      <c r="I552" t="str">
        <f>IFERROR(VLOOKUP($A552,'AAPT ExDa'!$B$2:$U$99, 0,FALSE), IFERROR(VLOOKUP($A552,'ABB ExDa'!$A$2:$N$184, 0,FALSE), IFERROR(VLOOKUP($A552,'Vocus SIT ExDa'!$B$2:$J$173, 0,FALSE), IFERROR(VLOOKUP($A552,'Telstra ExDa'!$B$2:$K$310, 0,FALSE), IFERROR(VLOOKUP($A552,'Vocus RVC ExDa'!$C$2:$R$155, 0,FALSE), IFERROR(VLOOKUP($A552,'Fusion ExDa'!$B$2:$D$16, 0,FALSE), IFERROR(VLOOKUP($A552,'Exetel ExDa'!$C$2:$N$14, 8,FALSE), IFERROR(VLOOKUP($A552,'Infinet ExDa'!$B$2:$E$14, 0,FALSE), "Not Found"))))))))</f>
        <v>Not Found</v>
      </c>
      <c r="J552" t="str">
        <f>IFERROR(VLOOKUP($A552,'AAPT ExDa'!$B$2:$U$99, 7,FALSE), IFERROR(VLOOKUP($A552,'ABB ExDa'!$A$2:$N$184, 2,FALSE), IFERROR(VLOOKUP($A552,'Vocus SIT ExDa'!$B$2:$J$173, 0,FALSE), IFERROR(VLOOKUP($A552,'Telstra ExDa'!$B$2:$K$310, 7,FALSE), IFERROR(VLOOKUP($A552,'Vocus RVC ExDa'!$C$2:$R$155, 2,FALSE), IFERROR(VLOOKUP($A552,'Fusion ExDa'!$B$2:$D$16, 3,FALSE), IFERROR(VLOOKUP($A552,'Exetel ExDa'!$C$2:$N$14, 0,FALSE), IFERROR(VLOOKUP($A552,'Infinet ExDa'!$B$2:$E$14, 0,FALSE), "Not Found"))))))))</f>
        <v>Not Found</v>
      </c>
      <c r="K552" t="str">
        <f>IFERROR(VLOOKUP($A552,'AAPT ExDa'!$B$2:$U$99, 12,FALSE), IFERROR(VLOOKUP($A552,'ABB ExDa'!$A$2:$N$184, 0,FALSE), IFERROR(VLOOKUP($A552,'Vocus SIT ExDa'!$B$2:$J$173, 0,FALSE), IFERROR(VLOOKUP($A552,'Telstra ExDa'!$B$2:$K$310, 0,FALSE), IFERROR(VLOOKUP($A552,'Vocus RVC ExDa'!$C$2:$R$155, 0,FALSE), IFERROR(VLOOKUP($A552,'Fusion ExDa'!$B$2:$D$16, 0,FALSE), IFERROR(VLOOKUP($A552,'Exetel ExDa'!$C$2:$N$14, 12,FALSE), IFERROR(VLOOKUP($A552,'Infinet ExDa'!$B$2:$E$14, 0,FALSE), "Not Found"))))))))</f>
        <v>Not Found</v>
      </c>
      <c r="L552" s="235" t="str">
        <f>IFERROR(VLOOKUP($A552,'AAPT ExDa'!$B$2:$U$99, 11,FALSE), IFERROR(VLOOKUP($A552,'ABB ExDa'!$A$2:$N$184, 9,FALSE), IFERROR(VLOOKUP($A552,'Vocus SIT ExDa'!$B$2:$J$173, 8,FALSE), IFERROR(VLOOKUP($A552,'Telstra ExDa'!$B$2:$K$310, 0,FALSE), IFERROR(VLOOKUP($A552,'Vocus RVC ExDa'!$C$2:$R$155, 0,FALSE), IFERROR(VLOOKUP($A552,'Fusion ExDa'!$B$2:$D$16, 0,FALSE), IFERROR(VLOOKUP($A552,'Exetel ExDa'!$C$2:$N$14, 9,FALSE), IFERROR(VLOOKUP($A552,'Infinet ExDa'!$B$2:$E$14, 0,FALSE), "Not Found"))))))))</f>
        <v>Not Found</v>
      </c>
      <c r="M552" s="234" t="str">
        <f>IFERROR(VLOOKUP($A552,'AAPT ExDa'!$B$2:$U$99, 0,FALSE), IFERROR(VLOOKUP($A552,'ABB ExDa'!$A$2:$N$184, 0,FALSE), IFERROR(VLOOKUP($A552,'Vocus SIT ExDa'!$B$2:$J$173, 0,FALSE), IFERROR(VLOOKUP($A552,'Telstra ExDa'!$B$2:$K$310, 0,FALSE), IFERROR(VLOOKUP($A552,'Vocus RVC ExDa'!$C$2:$R$155, 0,FALSE), IFERROR(VLOOKUP($A552,'Fusion ExDa'!$B$2:$D$16, 0,FALSE), IFERROR(VLOOKUP($A552,'Exetel ExDa'!$C$2:$N$14, 11,FALSE), IFERROR(VLOOKUP($A552,'Infinet ExDa'!$B$2:$E$14, 0,FALSE), "Not Found"))))))))</f>
        <v>Not Found</v>
      </c>
      <c r="N552" t="str">
        <f>IFERROR(VLOOKUP($A552,'AAPT ExDa'!$B$2:$U$99, 0,FALSE), IFERROR(VLOOKUP($A552,'ABB ExDa'!$A$2:$N$184, 13,FALSE), IFERROR(VLOOKUP($A552,'Vocus SIT ExDa'!$B$2:$J$173, 0,FALSE), IFERROR(VLOOKUP($A552,'Telstra ExDa'!$B$2:$K$310, 0,FALSE), IFERROR(VLOOKUP($A552,'Vocus RVC ExDa'!$C$2:$R$155, 0,FALSE), IFERROR(VLOOKUP($A552,'Fusion ExDa'!$B$2:$D$16, 0,FALSE), IFERROR(VLOOKUP($A552,'Exetel ExDa'!$C$2:$N$14, 0,FALSE), IFERROR(VLOOKUP($A552,'Infinet ExDa'!$B$2:$E$14, 0,FALSE), "Not Found"))))))))</f>
        <v>Not Found</v>
      </c>
    </row>
    <row r="553" spans="1:14">
      <c r="A553">
        <v>0</v>
      </c>
      <c r="B553" t="str">
        <f>IFERROR(VLOOKUP(A553,'Exetel ExDa'!$C$2:$N$14,4,FALSE),"No Data")</f>
        <v>No Data</v>
      </c>
      <c r="C553" t="str">
        <f>IFERROR(VLOOKUP(A553,'AAPT ExDa'!$B$2:$U$99, 2,FALSE), IFERROR(VLOOKUP(A553,'ABB ExDa'!$A$2:$N$184, 2,FALSE), IFERROR(VLOOKUP(A553,'Vocus SIT ExDa'!$B$2:$J$173, 7,FALSE), IFERROR(VLOOKUP(A553,'Telstra ExDa'!$B$2:$K$310, 2,FALSE), IFERROR(VLOOKUP(A553,'Vocus RVC ExDa'!$C$2:$R$155, 3,FALSE), IFERROR(VLOOKUP(A553,'Fusion ExDa'!$B$2:$D$16, 2,FALSE), IFERROR(VLOOKUP(A553,'Exetel ExDa'!$C$2:$N$14, 2,FALSE), IFERROR(VLOOKUP(A553,'Infinet ExDa'!$B$2:$E$14, 2,FALSE), "Not Found"))))))))</f>
        <v>Not Found</v>
      </c>
      <c r="D553" t="str">
        <f>IFERROR(VLOOKUP($A553,'AAPT ExDa'!$B$2:$U$99, 15,FALSE), IFERROR(VLOOKUP($A553,'ABB ExDa'!$A$2:$N$184, 4,FALSE), IFERROR(VLOOKUP($A553,'Vocus SIT ExDa'!$B$2:$J$173, 5,FALSE), IFERROR(VLOOKUP($A553,'Telstra ExDa'!$B$2:$K$310, 8,FALSE), IFERROR(VLOOKUP($A553,'Vocus RVC ExDa'!$C$2:$R$155, 6,FALSE), IFERROR(VLOOKUP($A553,'Fusion ExDa'!$B$2:$D$16, 4,FALSE), IFERROR(VLOOKUP($A553,'Exetel ExDa'!$C$2:$N$14, 3,FALSE), IFERROR(VLOOKUP($A553,'Infinet ExDa'!$B$2:$E$14, 3,FALSE), "Not Found"))))))))</f>
        <v>Not Found</v>
      </c>
      <c r="E553" t="str">
        <f>IFERROR(VLOOKUP($A553,'AAPT ExDa'!$B$2:$U$99, 3,FALSE), IFERROR(VLOOKUP($A553,'ABB ExDa'!$A$2:$N$184, 5,FALSE), IFERROR(VLOOKUP($A553,'Vocus SIT ExDa'!$B$2:$J$173, 2,FALSE), IFERROR(VLOOKUP($A553,'Telstra ExDa'!$B$2:$K$310, 4,FALSE), IFERROR(VLOOKUP($A553,'Vocus RVC ExDa'!$C$2:$R$155, 8,FALSE), IFERROR(VLOOKUP($A553,'Fusion ExDa'!$B$2:$D$16, 4,FALSE), IFERROR(VLOOKUP($A553,'Exetel ExDa'!$C$2:$N$14, 5,FALSE), IFERROR(VLOOKUP($A553,'Infinet ExDa'!$B$2:$E$14, 3,FALSE), "Not Found"))))))))</f>
        <v>Not Found</v>
      </c>
      <c r="F553" t="str">
        <f>IFERROR(VLOOKUP($A553,'AAPT ExDa'!$B$2:$U$99, 4,FALSE), IFERROR(VLOOKUP($A553,'ABB ExDa'!$A$2:$N$184, 6,FALSE), IFERROR(VLOOKUP($A553,'Vocus SIT ExDa'!$B$2:$J$173, 3,FALSE), IFERROR(VLOOKUP($A553,'Telstra ExDa'!$B$2:$K$310, 5,FALSE), IFERROR(VLOOKUP($A553,'Vocus RVC ExDa'!$C$2:$R$155, 9,FALSE), IFERROR(VLOOKUP($A553,'Fusion ExDa'!$B$2:$D$16, 0,FALSE), IFERROR(VLOOKUP($A553,'Exetel ExDa'!$C$2:$N$14, 6,FALSE), IFERROR(VLOOKUP($A553,'Infinet ExDa'!$B$2:$E$14, 0,FALSE), "Not Found"))))))))</f>
        <v>Not Found</v>
      </c>
      <c r="G553" t="str">
        <f>IFERROR(VLOOKUP($A553,'AAPT ExDa'!$B$2:$U$99, 5,FALSE), IFERROR(VLOOKUP($A553,'ABB ExDa'!$A$2:$N$184, 8,FALSE), IFERROR(VLOOKUP($A553,'Vocus SIT ExDa'!$B$2:$J$173, 6,FALSE), IFERROR(VLOOKUP($A553,'Telstra ExDa'!$B$2:$K$310, 0,FALSE), IFERROR(VLOOKUP($A553,'Vocus RVC ExDa'!$C$2:$R$155, 15,FALSE), IFERROR(VLOOKUP($A553,'Fusion ExDa'!$B$2:$D$16, 0,FALSE), IFERROR(VLOOKUP($A553,'Exetel ExDa'!$C$2:$N$14, 7,FALSE), IFERROR(VLOOKUP($A553,'Infinet ExDa'!$B$2:$E$14, 0,FALSE), "Not Found"))))))))</f>
        <v>Not Found</v>
      </c>
      <c r="H553" t="str">
        <f>IFERROR(VLOOKUP($A553,'AAPT ExDa'!$B$2:$U$99, 6,FALSE), IFERROR(VLOOKUP($A553,'ABB ExDa'!$A$2:$N$184, 0,FALSE), IFERROR(VLOOKUP($A553,'Vocus SIT ExDa'!$B$2:$J$173, 0,FALSE), IFERROR(VLOOKUP($A553,'Telstra ExDa'!$B$2:$K$310, 0,FALSE), IFERROR(VLOOKUP($A553,'Vocus RVC ExDa'!$C$2:$R$155, 16,FALSE), IFERROR(VLOOKUP($A553,'Fusion ExDa'!$B$2:$D$16, 0,FALSE), IFERROR(VLOOKUP($A553,'Exetel ExDa'!$C$2:$N$14, 0,FALSE), IFERROR(VLOOKUP($A553,'Infinet ExDa'!$B$2:$E$14, 0,FALSE), "Not Found"))))))))</f>
        <v>Not Found</v>
      </c>
      <c r="I553" t="str">
        <f>IFERROR(VLOOKUP($A553,'AAPT ExDa'!$B$2:$U$99, 0,FALSE), IFERROR(VLOOKUP($A553,'ABB ExDa'!$A$2:$N$184, 0,FALSE), IFERROR(VLOOKUP($A553,'Vocus SIT ExDa'!$B$2:$J$173, 0,FALSE), IFERROR(VLOOKUP($A553,'Telstra ExDa'!$B$2:$K$310, 0,FALSE), IFERROR(VLOOKUP($A553,'Vocus RVC ExDa'!$C$2:$R$155, 0,FALSE), IFERROR(VLOOKUP($A553,'Fusion ExDa'!$B$2:$D$16, 0,FALSE), IFERROR(VLOOKUP($A553,'Exetel ExDa'!$C$2:$N$14, 8,FALSE), IFERROR(VLOOKUP($A553,'Infinet ExDa'!$B$2:$E$14, 0,FALSE), "Not Found"))))))))</f>
        <v>Not Found</v>
      </c>
      <c r="J553" t="str">
        <f>IFERROR(VLOOKUP($A553,'AAPT ExDa'!$B$2:$U$99, 7,FALSE), IFERROR(VLOOKUP($A553,'ABB ExDa'!$A$2:$N$184, 2,FALSE), IFERROR(VLOOKUP($A553,'Vocus SIT ExDa'!$B$2:$J$173, 0,FALSE), IFERROR(VLOOKUP($A553,'Telstra ExDa'!$B$2:$K$310, 7,FALSE), IFERROR(VLOOKUP($A553,'Vocus RVC ExDa'!$C$2:$R$155, 2,FALSE), IFERROR(VLOOKUP($A553,'Fusion ExDa'!$B$2:$D$16, 3,FALSE), IFERROR(VLOOKUP($A553,'Exetel ExDa'!$C$2:$N$14, 0,FALSE), IFERROR(VLOOKUP($A553,'Infinet ExDa'!$B$2:$E$14, 0,FALSE), "Not Found"))))))))</f>
        <v>Not Found</v>
      </c>
      <c r="K553" t="str">
        <f>IFERROR(VLOOKUP($A553,'AAPT ExDa'!$B$2:$U$99, 12,FALSE), IFERROR(VLOOKUP($A553,'ABB ExDa'!$A$2:$N$184, 0,FALSE), IFERROR(VLOOKUP($A553,'Vocus SIT ExDa'!$B$2:$J$173, 0,FALSE), IFERROR(VLOOKUP($A553,'Telstra ExDa'!$B$2:$K$310, 0,FALSE), IFERROR(VLOOKUP($A553,'Vocus RVC ExDa'!$C$2:$R$155, 0,FALSE), IFERROR(VLOOKUP($A553,'Fusion ExDa'!$B$2:$D$16, 0,FALSE), IFERROR(VLOOKUP($A553,'Exetel ExDa'!$C$2:$N$14, 12,FALSE), IFERROR(VLOOKUP($A553,'Infinet ExDa'!$B$2:$E$14, 0,FALSE), "Not Found"))))))))</f>
        <v>Not Found</v>
      </c>
      <c r="L553" s="235" t="str">
        <f>IFERROR(VLOOKUP($A553,'AAPT ExDa'!$B$2:$U$99, 11,FALSE), IFERROR(VLOOKUP($A553,'ABB ExDa'!$A$2:$N$184, 9,FALSE), IFERROR(VLOOKUP($A553,'Vocus SIT ExDa'!$B$2:$J$173, 8,FALSE), IFERROR(VLOOKUP($A553,'Telstra ExDa'!$B$2:$K$310, 0,FALSE), IFERROR(VLOOKUP($A553,'Vocus RVC ExDa'!$C$2:$R$155, 0,FALSE), IFERROR(VLOOKUP($A553,'Fusion ExDa'!$B$2:$D$16, 0,FALSE), IFERROR(VLOOKUP($A553,'Exetel ExDa'!$C$2:$N$14, 9,FALSE), IFERROR(VLOOKUP($A553,'Infinet ExDa'!$B$2:$E$14, 0,FALSE), "Not Found"))))))))</f>
        <v>Not Found</v>
      </c>
      <c r="M553" s="234" t="str">
        <f>IFERROR(VLOOKUP($A553,'AAPT ExDa'!$B$2:$U$99, 0,FALSE), IFERROR(VLOOKUP($A553,'ABB ExDa'!$A$2:$N$184, 0,FALSE), IFERROR(VLOOKUP($A553,'Vocus SIT ExDa'!$B$2:$J$173, 0,FALSE), IFERROR(VLOOKUP($A553,'Telstra ExDa'!$B$2:$K$310, 0,FALSE), IFERROR(VLOOKUP($A553,'Vocus RVC ExDa'!$C$2:$R$155, 0,FALSE), IFERROR(VLOOKUP($A553,'Fusion ExDa'!$B$2:$D$16, 0,FALSE), IFERROR(VLOOKUP($A553,'Exetel ExDa'!$C$2:$N$14, 11,FALSE), IFERROR(VLOOKUP($A553,'Infinet ExDa'!$B$2:$E$14, 0,FALSE), "Not Found"))))))))</f>
        <v>Not Found</v>
      </c>
      <c r="N553" t="str">
        <f>IFERROR(VLOOKUP($A553,'AAPT ExDa'!$B$2:$U$99, 0,FALSE), IFERROR(VLOOKUP($A553,'ABB ExDa'!$A$2:$N$184, 13,FALSE), IFERROR(VLOOKUP($A553,'Vocus SIT ExDa'!$B$2:$J$173, 0,FALSE), IFERROR(VLOOKUP($A553,'Telstra ExDa'!$B$2:$K$310, 0,FALSE), IFERROR(VLOOKUP($A553,'Vocus RVC ExDa'!$C$2:$R$155, 0,FALSE), IFERROR(VLOOKUP($A553,'Fusion ExDa'!$B$2:$D$16, 0,FALSE), IFERROR(VLOOKUP($A553,'Exetel ExDa'!$C$2:$N$14, 0,FALSE), IFERROR(VLOOKUP($A553,'Infinet ExDa'!$B$2:$E$14, 0,FALSE), "Not Found"))))))))</f>
        <v>Not Found</v>
      </c>
    </row>
    <row r="554" spans="1:14">
      <c r="A554">
        <v>0</v>
      </c>
      <c r="B554" t="str">
        <f>IFERROR(VLOOKUP(A554,'Exetel ExDa'!$C$2:$N$14,4,FALSE),"No Data")</f>
        <v>No Data</v>
      </c>
      <c r="C554" t="str">
        <f>IFERROR(VLOOKUP(A554,'AAPT ExDa'!$B$2:$U$99, 2,FALSE), IFERROR(VLOOKUP(A554,'ABB ExDa'!$A$2:$N$184, 2,FALSE), IFERROR(VLOOKUP(A554,'Vocus SIT ExDa'!$B$2:$J$173, 7,FALSE), IFERROR(VLOOKUP(A554,'Telstra ExDa'!$B$2:$K$310, 2,FALSE), IFERROR(VLOOKUP(A554,'Vocus RVC ExDa'!$C$2:$R$155, 3,FALSE), IFERROR(VLOOKUP(A554,'Fusion ExDa'!$B$2:$D$16, 2,FALSE), IFERROR(VLOOKUP(A554,'Exetel ExDa'!$C$2:$N$14, 2,FALSE), IFERROR(VLOOKUP(A554,'Infinet ExDa'!$B$2:$E$14, 2,FALSE), "Not Found"))))))))</f>
        <v>Not Found</v>
      </c>
      <c r="D554" t="str">
        <f>IFERROR(VLOOKUP($A554,'AAPT ExDa'!$B$2:$U$99, 15,FALSE), IFERROR(VLOOKUP($A554,'ABB ExDa'!$A$2:$N$184, 4,FALSE), IFERROR(VLOOKUP($A554,'Vocus SIT ExDa'!$B$2:$J$173, 5,FALSE), IFERROR(VLOOKUP($A554,'Telstra ExDa'!$B$2:$K$310, 8,FALSE), IFERROR(VLOOKUP($A554,'Vocus RVC ExDa'!$C$2:$R$155, 6,FALSE), IFERROR(VLOOKUP($A554,'Fusion ExDa'!$B$2:$D$16, 4,FALSE), IFERROR(VLOOKUP($A554,'Exetel ExDa'!$C$2:$N$14, 3,FALSE), IFERROR(VLOOKUP($A554,'Infinet ExDa'!$B$2:$E$14, 3,FALSE), "Not Found"))))))))</f>
        <v>Not Found</v>
      </c>
      <c r="E554" t="str">
        <f>IFERROR(VLOOKUP($A554,'AAPT ExDa'!$B$2:$U$99, 3,FALSE), IFERROR(VLOOKUP($A554,'ABB ExDa'!$A$2:$N$184, 5,FALSE), IFERROR(VLOOKUP($A554,'Vocus SIT ExDa'!$B$2:$J$173, 2,FALSE), IFERROR(VLOOKUP($A554,'Telstra ExDa'!$B$2:$K$310, 4,FALSE), IFERROR(VLOOKUP($A554,'Vocus RVC ExDa'!$C$2:$R$155, 8,FALSE), IFERROR(VLOOKUP($A554,'Fusion ExDa'!$B$2:$D$16, 4,FALSE), IFERROR(VLOOKUP($A554,'Exetel ExDa'!$C$2:$N$14, 5,FALSE), IFERROR(VLOOKUP($A554,'Infinet ExDa'!$B$2:$E$14, 3,FALSE), "Not Found"))))))))</f>
        <v>Not Found</v>
      </c>
      <c r="F554" t="str">
        <f>IFERROR(VLOOKUP($A554,'AAPT ExDa'!$B$2:$U$99, 4,FALSE), IFERROR(VLOOKUP($A554,'ABB ExDa'!$A$2:$N$184, 6,FALSE), IFERROR(VLOOKUP($A554,'Vocus SIT ExDa'!$B$2:$J$173, 3,FALSE), IFERROR(VLOOKUP($A554,'Telstra ExDa'!$B$2:$K$310, 5,FALSE), IFERROR(VLOOKUP($A554,'Vocus RVC ExDa'!$C$2:$R$155, 9,FALSE), IFERROR(VLOOKUP($A554,'Fusion ExDa'!$B$2:$D$16, 0,FALSE), IFERROR(VLOOKUP($A554,'Exetel ExDa'!$C$2:$N$14, 6,FALSE), IFERROR(VLOOKUP($A554,'Infinet ExDa'!$B$2:$E$14, 0,FALSE), "Not Found"))))))))</f>
        <v>Not Found</v>
      </c>
      <c r="G554" t="str">
        <f>IFERROR(VLOOKUP($A554,'AAPT ExDa'!$B$2:$U$99, 5,FALSE), IFERROR(VLOOKUP($A554,'ABB ExDa'!$A$2:$N$184, 8,FALSE), IFERROR(VLOOKUP($A554,'Vocus SIT ExDa'!$B$2:$J$173, 6,FALSE), IFERROR(VLOOKUP($A554,'Telstra ExDa'!$B$2:$K$310, 0,FALSE), IFERROR(VLOOKUP($A554,'Vocus RVC ExDa'!$C$2:$R$155, 15,FALSE), IFERROR(VLOOKUP($A554,'Fusion ExDa'!$B$2:$D$16, 0,FALSE), IFERROR(VLOOKUP($A554,'Exetel ExDa'!$C$2:$N$14, 7,FALSE), IFERROR(VLOOKUP($A554,'Infinet ExDa'!$B$2:$E$14, 0,FALSE), "Not Found"))))))))</f>
        <v>Not Found</v>
      </c>
      <c r="H554" t="str">
        <f>IFERROR(VLOOKUP($A554,'AAPT ExDa'!$B$2:$U$99, 6,FALSE), IFERROR(VLOOKUP($A554,'ABB ExDa'!$A$2:$N$184, 0,FALSE), IFERROR(VLOOKUP($A554,'Vocus SIT ExDa'!$B$2:$J$173, 0,FALSE), IFERROR(VLOOKUP($A554,'Telstra ExDa'!$B$2:$K$310, 0,FALSE), IFERROR(VLOOKUP($A554,'Vocus RVC ExDa'!$C$2:$R$155, 16,FALSE), IFERROR(VLOOKUP($A554,'Fusion ExDa'!$B$2:$D$16, 0,FALSE), IFERROR(VLOOKUP($A554,'Exetel ExDa'!$C$2:$N$14, 0,FALSE), IFERROR(VLOOKUP($A554,'Infinet ExDa'!$B$2:$E$14, 0,FALSE), "Not Found"))))))))</f>
        <v>Not Found</v>
      </c>
      <c r="I554" t="str">
        <f>IFERROR(VLOOKUP($A554,'AAPT ExDa'!$B$2:$U$99, 0,FALSE), IFERROR(VLOOKUP($A554,'ABB ExDa'!$A$2:$N$184, 0,FALSE), IFERROR(VLOOKUP($A554,'Vocus SIT ExDa'!$B$2:$J$173, 0,FALSE), IFERROR(VLOOKUP($A554,'Telstra ExDa'!$B$2:$K$310, 0,FALSE), IFERROR(VLOOKUP($A554,'Vocus RVC ExDa'!$C$2:$R$155, 0,FALSE), IFERROR(VLOOKUP($A554,'Fusion ExDa'!$B$2:$D$16, 0,FALSE), IFERROR(VLOOKUP($A554,'Exetel ExDa'!$C$2:$N$14, 8,FALSE), IFERROR(VLOOKUP($A554,'Infinet ExDa'!$B$2:$E$14, 0,FALSE), "Not Found"))))))))</f>
        <v>Not Found</v>
      </c>
      <c r="J554" t="str">
        <f>IFERROR(VLOOKUP($A554,'AAPT ExDa'!$B$2:$U$99, 7,FALSE), IFERROR(VLOOKUP($A554,'ABB ExDa'!$A$2:$N$184, 2,FALSE), IFERROR(VLOOKUP($A554,'Vocus SIT ExDa'!$B$2:$J$173, 0,FALSE), IFERROR(VLOOKUP($A554,'Telstra ExDa'!$B$2:$K$310, 7,FALSE), IFERROR(VLOOKUP($A554,'Vocus RVC ExDa'!$C$2:$R$155, 2,FALSE), IFERROR(VLOOKUP($A554,'Fusion ExDa'!$B$2:$D$16, 3,FALSE), IFERROR(VLOOKUP($A554,'Exetel ExDa'!$C$2:$N$14, 0,FALSE), IFERROR(VLOOKUP($A554,'Infinet ExDa'!$B$2:$E$14, 0,FALSE), "Not Found"))))))))</f>
        <v>Not Found</v>
      </c>
      <c r="K554" t="str">
        <f>IFERROR(VLOOKUP($A554,'AAPT ExDa'!$B$2:$U$99, 12,FALSE), IFERROR(VLOOKUP($A554,'ABB ExDa'!$A$2:$N$184, 0,FALSE), IFERROR(VLOOKUP($A554,'Vocus SIT ExDa'!$B$2:$J$173, 0,FALSE), IFERROR(VLOOKUP($A554,'Telstra ExDa'!$B$2:$K$310, 0,FALSE), IFERROR(VLOOKUP($A554,'Vocus RVC ExDa'!$C$2:$R$155, 0,FALSE), IFERROR(VLOOKUP($A554,'Fusion ExDa'!$B$2:$D$16, 0,FALSE), IFERROR(VLOOKUP($A554,'Exetel ExDa'!$C$2:$N$14, 12,FALSE), IFERROR(VLOOKUP($A554,'Infinet ExDa'!$B$2:$E$14, 0,FALSE), "Not Found"))))))))</f>
        <v>Not Found</v>
      </c>
      <c r="L554" s="235" t="str">
        <f>IFERROR(VLOOKUP($A554,'AAPT ExDa'!$B$2:$U$99, 11,FALSE), IFERROR(VLOOKUP($A554,'ABB ExDa'!$A$2:$N$184, 9,FALSE), IFERROR(VLOOKUP($A554,'Vocus SIT ExDa'!$B$2:$J$173, 8,FALSE), IFERROR(VLOOKUP($A554,'Telstra ExDa'!$B$2:$K$310, 0,FALSE), IFERROR(VLOOKUP($A554,'Vocus RVC ExDa'!$C$2:$R$155, 0,FALSE), IFERROR(VLOOKUP($A554,'Fusion ExDa'!$B$2:$D$16, 0,FALSE), IFERROR(VLOOKUP($A554,'Exetel ExDa'!$C$2:$N$14, 9,FALSE), IFERROR(VLOOKUP($A554,'Infinet ExDa'!$B$2:$E$14, 0,FALSE), "Not Found"))))))))</f>
        <v>Not Found</v>
      </c>
      <c r="M554" s="234" t="str">
        <f>IFERROR(VLOOKUP($A554,'AAPT ExDa'!$B$2:$U$99, 0,FALSE), IFERROR(VLOOKUP($A554,'ABB ExDa'!$A$2:$N$184, 0,FALSE), IFERROR(VLOOKUP($A554,'Vocus SIT ExDa'!$B$2:$J$173, 0,FALSE), IFERROR(VLOOKUP($A554,'Telstra ExDa'!$B$2:$K$310, 0,FALSE), IFERROR(VLOOKUP($A554,'Vocus RVC ExDa'!$C$2:$R$155, 0,FALSE), IFERROR(VLOOKUP($A554,'Fusion ExDa'!$B$2:$D$16, 0,FALSE), IFERROR(VLOOKUP($A554,'Exetel ExDa'!$C$2:$N$14, 11,FALSE), IFERROR(VLOOKUP($A554,'Infinet ExDa'!$B$2:$E$14, 0,FALSE), "Not Found"))))))))</f>
        <v>Not Found</v>
      </c>
      <c r="N554" t="str">
        <f>IFERROR(VLOOKUP($A554,'AAPT ExDa'!$B$2:$U$99, 0,FALSE), IFERROR(VLOOKUP($A554,'ABB ExDa'!$A$2:$N$184, 13,FALSE), IFERROR(VLOOKUP($A554,'Vocus SIT ExDa'!$B$2:$J$173, 0,FALSE), IFERROR(VLOOKUP($A554,'Telstra ExDa'!$B$2:$K$310, 0,FALSE), IFERROR(VLOOKUP($A554,'Vocus RVC ExDa'!$C$2:$R$155, 0,FALSE), IFERROR(VLOOKUP($A554,'Fusion ExDa'!$B$2:$D$16, 0,FALSE), IFERROR(VLOOKUP($A554,'Exetel ExDa'!$C$2:$N$14, 0,FALSE), IFERROR(VLOOKUP($A554,'Infinet ExDa'!$B$2:$E$14, 0,FALSE), "Not Found"))))))))</f>
        <v>Not Found</v>
      </c>
    </row>
    <row r="555" spans="1:14">
      <c r="A555">
        <v>0</v>
      </c>
      <c r="B555" t="str">
        <f>IFERROR(VLOOKUP(A555,'Exetel ExDa'!$C$2:$N$14,4,FALSE),"No Data")</f>
        <v>No Data</v>
      </c>
      <c r="C555" t="str">
        <f>IFERROR(VLOOKUP(A555,'AAPT ExDa'!$B$2:$U$99, 2,FALSE), IFERROR(VLOOKUP(A555,'ABB ExDa'!$A$2:$N$184, 2,FALSE), IFERROR(VLOOKUP(A555,'Vocus SIT ExDa'!$B$2:$J$173, 7,FALSE), IFERROR(VLOOKUP(A555,'Telstra ExDa'!$B$2:$K$310, 2,FALSE), IFERROR(VLOOKUP(A555,'Vocus RVC ExDa'!$C$2:$R$155, 3,FALSE), IFERROR(VLOOKUP(A555,'Fusion ExDa'!$B$2:$D$16, 2,FALSE), IFERROR(VLOOKUP(A555,'Exetel ExDa'!$C$2:$N$14, 2,FALSE), IFERROR(VLOOKUP(A555,'Infinet ExDa'!$B$2:$E$14, 2,FALSE), "Not Found"))))))))</f>
        <v>Not Found</v>
      </c>
      <c r="D555" t="str">
        <f>IFERROR(VLOOKUP($A555,'AAPT ExDa'!$B$2:$U$99, 15,FALSE), IFERROR(VLOOKUP($A555,'ABB ExDa'!$A$2:$N$184, 4,FALSE), IFERROR(VLOOKUP($A555,'Vocus SIT ExDa'!$B$2:$J$173, 5,FALSE), IFERROR(VLOOKUP($A555,'Telstra ExDa'!$B$2:$K$310, 8,FALSE), IFERROR(VLOOKUP($A555,'Vocus RVC ExDa'!$C$2:$R$155, 6,FALSE), IFERROR(VLOOKUP($A555,'Fusion ExDa'!$B$2:$D$16, 4,FALSE), IFERROR(VLOOKUP($A555,'Exetel ExDa'!$C$2:$N$14, 3,FALSE), IFERROR(VLOOKUP($A555,'Infinet ExDa'!$B$2:$E$14, 3,FALSE), "Not Found"))))))))</f>
        <v>Not Found</v>
      </c>
      <c r="E555" t="str">
        <f>IFERROR(VLOOKUP($A555,'AAPT ExDa'!$B$2:$U$99, 3,FALSE), IFERROR(VLOOKUP($A555,'ABB ExDa'!$A$2:$N$184, 5,FALSE), IFERROR(VLOOKUP($A555,'Vocus SIT ExDa'!$B$2:$J$173, 2,FALSE), IFERROR(VLOOKUP($A555,'Telstra ExDa'!$B$2:$K$310, 4,FALSE), IFERROR(VLOOKUP($A555,'Vocus RVC ExDa'!$C$2:$R$155, 8,FALSE), IFERROR(VLOOKUP($A555,'Fusion ExDa'!$B$2:$D$16, 4,FALSE), IFERROR(VLOOKUP($A555,'Exetel ExDa'!$C$2:$N$14, 5,FALSE), IFERROR(VLOOKUP($A555,'Infinet ExDa'!$B$2:$E$14, 3,FALSE), "Not Found"))))))))</f>
        <v>Not Found</v>
      </c>
      <c r="F555" t="str">
        <f>IFERROR(VLOOKUP($A555,'AAPT ExDa'!$B$2:$U$99, 4,FALSE), IFERROR(VLOOKUP($A555,'ABB ExDa'!$A$2:$N$184, 6,FALSE), IFERROR(VLOOKUP($A555,'Vocus SIT ExDa'!$B$2:$J$173, 3,FALSE), IFERROR(VLOOKUP($A555,'Telstra ExDa'!$B$2:$K$310, 5,FALSE), IFERROR(VLOOKUP($A555,'Vocus RVC ExDa'!$C$2:$R$155, 9,FALSE), IFERROR(VLOOKUP($A555,'Fusion ExDa'!$B$2:$D$16, 0,FALSE), IFERROR(VLOOKUP($A555,'Exetel ExDa'!$C$2:$N$14, 6,FALSE), IFERROR(VLOOKUP($A555,'Infinet ExDa'!$B$2:$E$14, 0,FALSE), "Not Found"))))))))</f>
        <v>Not Found</v>
      </c>
      <c r="G555" t="str">
        <f>IFERROR(VLOOKUP($A555,'AAPT ExDa'!$B$2:$U$99, 5,FALSE), IFERROR(VLOOKUP($A555,'ABB ExDa'!$A$2:$N$184, 8,FALSE), IFERROR(VLOOKUP($A555,'Vocus SIT ExDa'!$B$2:$J$173, 6,FALSE), IFERROR(VLOOKUP($A555,'Telstra ExDa'!$B$2:$K$310, 0,FALSE), IFERROR(VLOOKUP($A555,'Vocus RVC ExDa'!$C$2:$R$155, 15,FALSE), IFERROR(VLOOKUP($A555,'Fusion ExDa'!$B$2:$D$16, 0,FALSE), IFERROR(VLOOKUP($A555,'Exetel ExDa'!$C$2:$N$14, 7,FALSE), IFERROR(VLOOKUP($A555,'Infinet ExDa'!$B$2:$E$14, 0,FALSE), "Not Found"))))))))</f>
        <v>Not Found</v>
      </c>
      <c r="H555" t="str">
        <f>IFERROR(VLOOKUP($A555,'AAPT ExDa'!$B$2:$U$99, 6,FALSE), IFERROR(VLOOKUP($A555,'ABB ExDa'!$A$2:$N$184, 0,FALSE), IFERROR(VLOOKUP($A555,'Vocus SIT ExDa'!$B$2:$J$173, 0,FALSE), IFERROR(VLOOKUP($A555,'Telstra ExDa'!$B$2:$K$310, 0,FALSE), IFERROR(VLOOKUP($A555,'Vocus RVC ExDa'!$C$2:$R$155, 16,FALSE), IFERROR(VLOOKUP($A555,'Fusion ExDa'!$B$2:$D$16, 0,FALSE), IFERROR(VLOOKUP($A555,'Exetel ExDa'!$C$2:$N$14, 0,FALSE), IFERROR(VLOOKUP($A555,'Infinet ExDa'!$B$2:$E$14, 0,FALSE), "Not Found"))))))))</f>
        <v>Not Found</v>
      </c>
      <c r="I555" t="str">
        <f>IFERROR(VLOOKUP($A555,'AAPT ExDa'!$B$2:$U$99, 0,FALSE), IFERROR(VLOOKUP($A555,'ABB ExDa'!$A$2:$N$184, 0,FALSE), IFERROR(VLOOKUP($A555,'Vocus SIT ExDa'!$B$2:$J$173, 0,FALSE), IFERROR(VLOOKUP($A555,'Telstra ExDa'!$B$2:$K$310, 0,FALSE), IFERROR(VLOOKUP($A555,'Vocus RVC ExDa'!$C$2:$R$155, 0,FALSE), IFERROR(VLOOKUP($A555,'Fusion ExDa'!$B$2:$D$16, 0,FALSE), IFERROR(VLOOKUP($A555,'Exetel ExDa'!$C$2:$N$14, 8,FALSE), IFERROR(VLOOKUP($A555,'Infinet ExDa'!$B$2:$E$14, 0,FALSE), "Not Found"))))))))</f>
        <v>Not Found</v>
      </c>
      <c r="J555" t="str">
        <f>IFERROR(VLOOKUP($A555,'AAPT ExDa'!$B$2:$U$99, 7,FALSE), IFERROR(VLOOKUP($A555,'ABB ExDa'!$A$2:$N$184, 2,FALSE), IFERROR(VLOOKUP($A555,'Vocus SIT ExDa'!$B$2:$J$173, 0,FALSE), IFERROR(VLOOKUP($A555,'Telstra ExDa'!$B$2:$K$310, 7,FALSE), IFERROR(VLOOKUP($A555,'Vocus RVC ExDa'!$C$2:$R$155, 2,FALSE), IFERROR(VLOOKUP($A555,'Fusion ExDa'!$B$2:$D$16, 3,FALSE), IFERROR(VLOOKUP($A555,'Exetel ExDa'!$C$2:$N$14, 0,FALSE), IFERROR(VLOOKUP($A555,'Infinet ExDa'!$B$2:$E$14, 0,FALSE), "Not Found"))))))))</f>
        <v>Not Found</v>
      </c>
      <c r="K555" t="str">
        <f>IFERROR(VLOOKUP($A555,'AAPT ExDa'!$B$2:$U$99, 12,FALSE), IFERROR(VLOOKUP($A555,'ABB ExDa'!$A$2:$N$184, 0,FALSE), IFERROR(VLOOKUP($A555,'Vocus SIT ExDa'!$B$2:$J$173, 0,FALSE), IFERROR(VLOOKUP($A555,'Telstra ExDa'!$B$2:$K$310, 0,FALSE), IFERROR(VLOOKUP($A555,'Vocus RVC ExDa'!$C$2:$R$155, 0,FALSE), IFERROR(VLOOKUP($A555,'Fusion ExDa'!$B$2:$D$16, 0,FALSE), IFERROR(VLOOKUP($A555,'Exetel ExDa'!$C$2:$N$14, 12,FALSE), IFERROR(VLOOKUP($A555,'Infinet ExDa'!$B$2:$E$14, 0,FALSE), "Not Found"))))))))</f>
        <v>Not Found</v>
      </c>
      <c r="L555" s="235" t="str">
        <f>IFERROR(VLOOKUP($A555,'AAPT ExDa'!$B$2:$U$99, 11,FALSE), IFERROR(VLOOKUP($A555,'ABB ExDa'!$A$2:$N$184, 9,FALSE), IFERROR(VLOOKUP($A555,'Vocus SIT ExDa'!$B$2:$J$173, 8,FALSE), IFERROR(VLOOKUP($A555,'Telstra ExDa'!$B$2:$K$310, 0,FALSE), IFERROR(VLOOKUP($A555,'Vocus RVC ExDa'!$C$2:$R$155, 0,FALSE), IFERROR(VLOOKUP($A555,'Fusion ExDa'!$B$2:$D$16, 0,FALSE), IFERROR(VLOOKUP($A555,'Exetel ExDa'!$C$2:$N$14, 9,FALSE), IFERROR(VLOOKUP($A555,'Infinet ExDa'!$B$2:$E$14, 0,FALSE), "Not Found"))))))))</f>
        <v>Not Found</v>
      </c>
      <c r="M555" s="234" t="str">
        <f>IFERROR(VLOOKUP($A555,'AAPT ExDa'!$B$2:$U$99, 0,FALSE), IFERROR(VLOOKUP($A555,'ABB ExDa'!$A$2:$N$184, 0,FALSE), IFERROR(VLOOKUP($A555,'Vocus SIT ExDa'!$B$2:$J$173, 0,FALSE), IFERROR(VLOOKUP($A555,'Telstra ExDa'!$B$2:$K$310, 0,FALSE), IFERROR(VLOOKUP($A555,'Vocus RVC ExDa'!$C$2:$R$155, 0,FALSE), IFERROR(VLOOKUP($A555,'Fusion ExDa'!$B$2:$D$16, 0,FALSE), IFERROR(VLOOKUP($A555,'Exetel ExDa'!$C$2:$N$14, 11,FALSE), IFERROR(VLOOKUP($A555,'Infinet ExDa'!$B$2:$E$14, 0,FALSE), "Not Found"))))))))</f>
        <v>Not Found</v>
      </c>
      <c r="N555" t="str">
        <f>IFERROR(VLOOKUP($A555,'AAPT ExDa'!$B$2:$U$99, 0,FALSE), IFERROR(VLOOKUP($A555,'ABB ExDa'!$A$2:$N$184, 13,FALSE), IFERROR(VLOOKUP($A555,'Vocus SIT ExDa'!$B$2:$J$173, 0,FALSE), IFERROR(VLOOKUP($A555,'Telstra ExDa'!$B$2:$K$310, 0,FALSE), IFERROR(VLOOKUP($A555,'Vocus RVC ExDa'!$C$2:$R$155, 0,FALSE), IFERROR(VLOOKUP($A555,'Fusion ExDa'!$B$2:$D$16, 0,FALSE), IFERROR(VLOOKUP($A555,'Exetel ExDa'!$C$2:$N$14, 0,FALSE), IFERROR(VLOOKUP($A555,'Infinet ExDa'!$B$2:$E$14, 0,FALSE), "Not Found"))))))))</f>
        <v>Not Found</v>
      </c>
    </row>
    <row r="556" spans="1:14">
      <c r="A556">
        <v>0</v>
      </c>
      <c r="B556" t="str">
        <f>IFERROR(VLOOKUP(A556,'Exetel ExDa'!$C$2:$N$14,4,FALSE),"No Data")</f>
        <v>No Data</v>
      </c>
      <c r="C556" t="str">
        <f>IFERROR(VLOOKUP(A556,'AAPT ExDa'!$B$2:$U$99, 2,FALSE), IFERROR(VLOOKUP(A556,'ABB ExDa'!$A$2:$N$184, 2,FALSE), IFERROR(VLOOKUP(A556,'Vocus SIT ExDa'!$B$2:$J$173, 7,FALSE), IFERROR(VLOOKUP(A556,'Telstra ExDa'!$B$2:$K$310, 2,FALSE), IFERROR(VLOOKUP(A556,'Vocus RVC ExDa'!$C$2:$R$155, 3,FALSE), IFERROR(VLOOKUP(A556,'Fusion ExDa'!$B$2:$D$16, 2,FALSE), IFERROR(VLOOKUP(A556,'Exetel ExDa'!$C$2:$N$14, 2,FALSE), IFERROR(VLOOKUP(A556,'Infinet ExDa'!$B$2:$E$14, 2,FALSE), "Not Found"))))))))</f>
        <v>Not Found</v>
      </c>
      <c r="D556" t="str">
        <f>IFERROR(VLOOKUP($A556,'AAPT ExDa'!$B$2:$U$99, 15,FALSE), IFERROR(VLOOKUP($A556,'ABB ExDa'!$A$2:$N$184, 4,FALSE), IFERROR(VLOOKUP($A556,'Vocus SIT ExDa'!$B$2:$J$173, 5,FALSE), IFERROR(VLOOKUP($A556,'Telstra ExDa'!$B$2:$K$310, 8,FALSE), IFERROR(VLOOKUP($A556,'Vocus RVC ExDa'!$C$2:$R$155, 6,FALSE), IFERROR(VLOOKUP($A556,'Fusion ExDa'!$B$2:$D$16, 4,FALSE), IFERROR(VLOOKUP($A556,'Exetel ExDa'!$C$2:$N$14, 3,FALSE), IFERROR(VLOOKUP($A556,'Infinet ExDa'!$B$2:$E$14, 3,FALSE), "Not Found"))))))))</f>
        <v>Not Found</v>
      </c>
      <c r="E556" t="str">
        <f>IFERROR(VLOOKUP($A556,'AAPT ExDa'!$B$2:$U$99, 3,FALSE), IFERROR(VLOOKUP($A556,'ABB ExDa'!$A$2:$N$184, 5,FALSE), IFERROR(VLOOKUP($A556,'Vocus SIT ExDa'!$B$2:$J$173, 2,FALSE), IFERROR(VLOOKUP($A556,'Telstra ExDa'!$B$2:$K$310, 4,FALSE), IFERROR(VLOOKUP($A556,'Vocus RVC ExDa'!$C$2:$R$155, 8,FALSE), IFERROR(VLOOKUP($A556,'Fusion ExDa'!$B$2:$D$16, 4,FALSE), IFERROR(VLOOKUP($A556,'Exetel ExDa'!$C$2:$N$14, 5,FALSE), IFERROR(VLOOKUP($A556,'Infinet ExDa'!$B$2:$E$14, 3,FALSE), "Not Found"))))))))</f>
        <v>Not Found</v>
      </c>
      <c r="F556" t="str">
        <f>IFERROR(VLOOKUP($A556,'AAPT ExDa'!$B$2:$U$99, 4,FALSE), IFERROR(VLOOKUP($A556,'ABB ExDa'!$A$2:$N$184, 6,FALSE), IFERROR(VLOOKUP($A556,'Vocus SIT ExDa'!$B$2:$J$173, 3,FALSE), IFERROR(VLOOKUP($A556,'Telstra ExDa'!$B$2:$K$310, 5,FALSE), IFERROR(VLOOKUP($A556,'Vocus RVC ExDa'!$C$2:$R$155, 9,FALSE), IFERROR(VLOOKUP($A556,'Fusion ExDa'!$B$2:$D$16, 0,FALSE), IFERROR(VLOOKUP($A556,'Exetel ExDa'!$C$2:$N$14, 6,FALSE), IFERROR(VLOOKUP($A556,'Infinet ExDa'!$B$2:$E$14, 0,FALSE), "Not Found"))))))))</f>
        <v>Not Found</v>
      </c>
      <c r="G556" t="str">
        <f>IFERROR(VLOOKUP($A556,'AAPT ExDa'!$B$2:$U$99, 5,FALSE), IFERROR(VLOOKUP($A556,'ABB ExDa'!$A$2:$N$184, 8,FALSE), IFERROR(VLOOKUP($A556,'Vocus SIT ExDa'!$B$2:$J$173, 6,FALSE), IFERROR(VLOOKUP($A556,'Telstra ExDa'!$B$2:$K$310, 0,FALSE), IFERROR(VLOOKUP($A556,'Vocus RVC ExDa'!$C$2:$R$155, 15,FALSE), IFERROR(VLOOKUP($A556,'Fusion ExDa'!$B$2:$D$16, 0,FALSE), IFERROR(VLOOKUP($A556,'Exetel ExDa'!$C$2:$N$14, 7,FALSE), IFERROR(VLOOKUP($A556,'Infinet ExDa'!$B$2:$E$14, 0,FALSE), "Not Found"))))))))</f>
        <v>Not Found</v>
      </c>
      <c r="H556" t="str">
        <f>IFERROR(VLOOKUP($A556,'AAPT ExDa'!$B$2:$U$99, 6,FALSE), IFERROR(VLOOKUP($A556,'ABB ExDa'!$A$2:$N$184, 0,FALSE), IFERROR(VLOOKUP($A556,'Vocus SIT ExDa'!$B$2:$J$173, 0,FALSE), IFERROR(VLOOKUP($A556,'Telstra ExDa'!$B$2:$K$310, 0,FALSE), IFERROR(VLOOKUP($A556,'Vocus RVC ExDa'!$C$2:$R$155, 16,FALSE), IFERROR(VLOOKUP($A556,'Fusion ExDa'!$B$2:$D$16, 0,FALSE), IFERROR(VLOOKUP($A556,'Exetel ExDa'!$C$2:$N$14, 0,FALSE), IFERROR(VLOOKUP($A556,'Infinet ExDa'!$B$2:$E$14, 0,FALSE), "Not Found"))))))))</f>
        <v>Not Found</v>
      </c>
      <c r="I556" t="str">
        <f>IFERROR(VLOOKUP($A556,'AAPT ExDa'!$B$2:$U$99, 0,FALSE), IFERROR(VLOOKUP($A556,'ABB ExDa'!$A$2:$N$184, 0,FALSE), IFERROR(VLOOKUP($A556,'Vocus SIT ExDa'!$B$2:$J$173, 0,FALSE), IFERROR(VLOOKUP($A556,'Telstra ExDa'!$B$2:$K$310, 0,FALSE), IFERROR(VLOOKUP($A556,'Vocus RVC ExDa'!$C$2:$R$155, 0,FALSE), IFERROR(VLOOKUP($A556,'Fusion ExDa'!$B$2:$D$16, 0,FALSE), IFERROR(VLOOKUP($A556,'Exetel ExDa'!$C$2:$N$14, 8,FALSE), IFERROR(VLOOKUP($A556,'Infinet ExDa'!$B$2:$E$14, 0,FALSE), "Not Found"))))))))</f>
        <v>Not Found</v>
      </c>
      <c r="J556" t="str">
        <f>IFERROR(VLOOKUP($A556,'AAPT ExDa'!$B$2:$U$99, 7,FALSE), IFERROR(VLOOKUP($A556,'ABB ExDa'!$A$2:$N$184, 2,FALSE), IFERROR(VLOOKUP($A556,'Vocus SIT ExDa'!$B$2:$J$173, 0,FALSE), IFERROR(VLOOKUP($A556,'Telstra ExDa'!$B$2:$K$310, 7,FALSE), IFERROR(VLOOKUP($A556,'Vocus RVC ExDa'!$C$2:$R$155, 2,FALSE), IFERROR(VLOOKUP($A556,'Fusion ExDa'!$B$2:$D$16, 3,FALSE), IFERROR(VLOOKUP($A556,'Exetel ExDa'!$C$2:$N$14, 0,FALSE), IFERROR(VLOOKUP($A556,'Infinet ExDa'!$B$2:$E$14, 0,FALSE), "Not Found"))))))))</f>
        <v>Not Found</v>
      </c>
      <c r="K556" t="str">
        <f>IFERROR(VLOOKUP($A556,'AAPT ExDa'!$B$2:$U$99, 12,FALSE), IFERROR(VLOOKUP($A556,'ABB ExDa'!$A$2:$N$184, 0,FALSE), IFERROR(VLOOKUP($A556,'Vocus SIT ExDa'!$B$2:$J$173, 0,FALSE), IFERROR(VLOOKUP($A556,'Telstra ExDa'!$B$2:$K$310, 0,FALSE), IFERROR(VLOOKUP($A556,'Vocus RVC ExDa'!$C$2:$R$155, 0,FALSE), IFERROR(VLOOKUP($A556,'Fusion ExDa'!$B$2:$D$16, 0,FALSE), IFERROR(VLOOKUP($A556,'Exetel ExDa'!$C$2:$N$14, 12,FALSE), IFERROR(VLOOKUP($A556,'Infinet ExDa'!$B$2:$E$14, 0,FALSE), "Not Found"))))))))</f>
        <v>Not Found</v>
      </c>
      <c r="L556" s="235" t="str">
        <f>IFERROR(VLOOKUP($A556,'AAPT ExDa'!$B$2:$U$99, 11,FALSE), IFERROR(VLOOKUP($A556,'ABB ExDa'!$A$2:$N$184, 9,FALSE), IFERROR(VLOOKUP($A556,'Vocus SIT ExDa'!$B$2:$J$173, 8,FALSE), IFERROR(VLOOKUP($A556,'Telstra ExDa'!$B$2:$K$310, 0,FALSE), IFERROR(VLOOKUP($A556,'Vocus RVC ExDa'!$C$2:$R$155, 0,FALSE), IFERROR(VLOOKUP($A556,'Fusion ExDa'!$B$2:$D$16, 0,FALSE), IFERROR(VLOOKUP($A556,'Exetel ExDa'!$C$2:$N$14, 9,FALSE), IFERROR(VLOOKUP($A556,'Infinet ExDa'!$B$2:$E$14, 0,FALSE), "Not Found"))))))))</f>
        <v>Not Found</v>
      </c>
      <c r="M556" s="234" t="str">
        <f>IFERROR(VLOOKUP($A556,'AAPT ExDa'!$B$2:$U$99, 0,FALSE), IFERROR(VLOOKUP($A556,'ABB ExDa'!$A$2:$N$184, 0,FALSE), IFERROR(VLOOKUP($A556,'Vocus SIT ExDa'!$B$2:$J$173, 0,FALSE), IFERROR(VLOOKUP($A556,'Telstra ExDa'!$B$2:$K$310, 0,FALSE), IFERROR(VLOOKUP($A556,'Vocus RVC ExDa'!$C$2:$R$155, 0,FALSE), IFERROR(VLOOKUP($A556,'Fusion ExDa'!$B$2:$D$16, 0,FALSE), IFERROR(VLOOKUP($A556,'Exetel ExDa'!$C$2:$N$14, 11,FALSE), IFERROR(VLOOKUP($A556,'Infinet ExDa'!$B$2:$E$14, 0,FALSE), "Not Found"))))))))</f>
        <v>Not Found</v>
      </c>
      <c r="N556" t="str">
        <f>IFERROR(VLOOKUP($A556,'AAPT ExDa'!$B$2:$U$99, 0,FALSE), IFERROR(VLOOKUP($A556,'ABB ExDa'!$A$2:$N$184, 13,FALSE), IFERROR(VLOOKUP($A556,'Vocus SIT ExDa'!$B$2:$J$173, 0,FALSE), IFERROR(VLOOKUP($A556,'Telstra ExDa'!$B$2:$K$310, 0,FALSE), IFERROR(VLOOKUP($A556,'Vocus RVC ExDa'!$C$2:$R$155, 0,FALSE), IFERROR(VLOOKUP($A556,'Fusion ExDa'!$B$2:$D$16, 0,FALSE), IFERROR(VLOOKUP($A556,'Exetel ExDa'!$C$2:$N$14, 0,FALSE), IFERROR(VLOOKUP($A556,'Infinet ExDa'!$B$2:$E$14, 0,FALSE), "Not Found"))))))))</f>
        <v>Not Found</v>
      </c>
    </row>
    <row r="557" spans="1:14">
      <c r="A557">
        <v>0</v>
      </c>
      <c r="B557" t="str">
        <f>IFERROR(VLOOKUP(A557,'Exetel ExDa'!$C$2:$N$14,4,FALSE),"No Data")</f>
        <v>No Data</v>
      </c>
      <c r="C557" t="str">
        <f>IFERROR(VLOOKUP(A557,'AAPT ExDa'!$B$2:$U$99, 2,FALSE), IFERROR(VLOOKUP(A557,'ABB ExDa'!$A$2:$N$184, 2,FALSE), IFERROR(VLOOKUP(A557,'Vocus SIT ExDa'!$B$2:$J$173, 7,FALSE), IFERROR(VLOOKUP(A557,'Telstra ExDa'!$B$2:$K$310, 2,FALSE), IFERROR(VLOOKUP(A557,'Vocus RVC ExDa'!$C$2:$R$155, 3,FALSE), IFERROR(VLOOKUP(A557,'Fusion ExDa'!$B$2:$D$16, 2,FALSE), IFERROR(VLOOKUP(A557,'Exetel ExDa'!$C$2:$N$14, 2,FALSE), IFERROR(VLOOKUP(A557,'Infinet ExDa'!$B$2:$E$14, 2,FALSE), "Not Found"))))))))</f>
        <v>Not Found</v>
      </c>
      <c r="D557" t="str">
        <f>IFERROR(VLOOKUP($A557,'AAPT ExDa'!$B$2:$U$99, 15,FALSE), IFERROR(VLOOKUP($A557,'ABB ExDa'!$A$2:$N$184, 4,FALSE), IFERROR(VLOOKUP($A557,'Vocus SIT ExDa'!$B$2:$J$173, 5,FALSE), IFERROR(VLOOKUP($A557,'Telstra ExDa'!$B$2:$K$310, 8,FALSE), IFERROR(VLOOKUP($A557,'Vocus RVC ExDa'!$C$2:$R$155, 6,FALSE), IFERROR(VLOOKUP($A557,'Fusion ExDa'!$B$2:$D$16, 4,FALSE), IFERROR(VLOOKUP($A557,'Exetel ExDa'!$C$2:$N$14, 3,FALSE), IFERROR(VLOOKUP($A557,'Infinet ExDa'!$B$2:$E$14, 3,FALSE), "Not Found"))))))))</f>
        <v>Not Found</v>
      </c>
      <c r="E557" t="str">
        <f>IFERROR(VLOOKUP($A557,'AAPT ExDa'!$B$2:$U$99, 3,FALSE), IFERROR(VLOOKUP($A557,'ABB ExDa'!$A$2:$N$184, 5,FALSE), IFERROR(VLOOKUP($A557,'Vocus SIT ExDa'!$B$2:$J$173, 2,FALSE), IFERROR(VLOOKUP($A557,'Telstra ExDa'!$B$2:$K$310, 4,FALSE), IFERROR(VLOOKUP($A557,'Vocus RVC ExDa'!$C$2:$R$155, 8,FALSE), IFERROR(VLOOKUP($A557,'Fusion ExDa'!$B$2:$D$16, 4,FALSE), IFERROR(VLOOKUP($A557,'Exetel ExDa'!$C$2:$N$14, 5,FALSE), IFERROR(VLOOKUP($A557,'Infinet ExDa'!$B$2:$E$14, 3,FALSE), "Not Found"))))))))</f>
        <v>Not Found</v>
      </c>
      <c r="F557" t="str">
        <f>IFERROR(VLOOKUP($A557,'AAPT ExDa'!$B$2:$U$99, 4,FALSE), IFERROR(VLOOKUP($A557,'ABB ExDa'!$A$2:$N$184, 6,FALSE), IFERROR(VLOOKUP($A557,'Vocus SIT ExDa'!$B$2:$J$173, 3,FALSE), IFERROR(VLOOKUP($A557,'Telstra ExDa'!$B$2:$K$310, 5,FALSE), IFERROR(VLOOKUP($A557,'Vocus RVC ExDa'!$C$2:$R$155, 9,FALSE), IFERROR(VLOOKUP($A557,'Fusion ExDa'!$B$2:$D$16, 0,FALSE), IFERROR(VLOOKUP($A557,'Exetel ExDa'!$C$2:$N$14, 6,FALSE), IFERROR(VLOOKUP($A557,'Infinet ExDa'!$B$2:$E$14, 0,FALSE), "Not Found"))))))))</f>
        <v>Not Found</v>
      </c>
      <c r="G557" t="str">
        <f>IFERROR(VLOOKUP($A557,'AAPT ExDa'!$B$2:$U$99, 5,FALSE), IFERROR(VLOOKUP($A557,'ABB ExDa'!$A$2:$N$184, 8,FALSE), IFERROR(VLOOKUP($A557,'Vocus SIT ExDa'!$B$2:$J$173, 6,FALSE), IFERROR(VLOOKUP($A557,'Telstra ExDa'!$B$2:$K$310, 0,FALSE), IFERROR(VLOOKUP($A557,'Vocus RVC ExDa'!$C$2:$R$155, 15,FALSE), IFERROR(VLOOKUP($A557,'Fusion ExDa'!$B$2:$D$16, 0,FALSE), IFERROR(VLOOKUP($A557,'Exetel ExDa'!$C$2:$N$14, 7,FALSE), IFERROR(VLOOKUP($A557,'Infinet ExDa'!$B$2:$E$14, 0,FALSE), "Not Found"))))))))</f>
        <v>Not Found</v>
      </c>
      <c r="H557" t="str">
        <f>IFERROR(VLOOKUP($A557,'AAPT ExDa'!$B$2:$U$99, 6,FALSE), IFERROR(VLOOKUP($A557,'ABB ExDa'!$A$2:$N$184, 0,FALSE), IFERROR(VLOOKUP($A557,'Vocus SIT ExDa'!$B$2:$J$173, 0,FALSE), IFERROR(VLOOKUP($A557,'Telstra ExDa'!$B$2:$K$310, 0,FALSE), IFERROR(VLOOKUP($A557,'Vocus RVC ExDa'!$C$2:$R$155, 16,FALSE), IFERROR(VLOOKUP($A557,'Fusion ExDa'!$B$2:$D$16, 0,FALSE), IFERROR(VLOOKUP($A557,'Exetel ExDa'!$C$2:$N$14, 0,FALSE), IFERROR(VLOOKUP($A557,'Infinet ExDa'!$B$2:$E$14, 0,FALSE), "Not Found"))))))))</f>
        <v>Not Found</v>
      </c>
      <c r="I557" t="str">
        <f>IFERROR(VLOOKUP($A557,'AAPT ExDa'!$B$2:$U$99, 0,FALSE), IFERROR(VLOOKUP($A557,'ABB ExDa'!$A$2:$N$184, 0,FALSE), IFERROR(VLOOKUP($A557,'Vocus SIT ExDa'!$B$2:$J$173, 0,FALSE), IFERROR(VLOOKUP($A557,'Telstra ExDa'!$B$2:$K$310, 0,FALSE), IFERROR(VLOOKUP($A557,'Vocus RVC ExDa'!$C$2:$R$155, 0,FALSE), IFERROR(VLOOKUP($A557,'Fusion ExDa'!$B$2:$D$16, 0,FALSE), IFERROR(VLOOKUP($A557,'Exetel ExDa'!$C$2:$N$14, 8,FALSE), IFERROR(VLOOKUP($A557,'Infinet ExDa'!$B$2:$E$14, 0,FALSE), "Not Found"))))))))</f>
        <v>Not Found</v>
      </c>
      <c r="J557" t="str">
        <f>IFERROR(VLOOKUP($A557,'AAPT ExDa'!$B$2:$U$99, 7,FALSE), IFERROR(VLOOKUP($A557,'ABB ExDa'!$A$2:$N$184, 2,FALSE), IFERROR(VLOOKUP($A557,'Vocus SIT ExDa'!$B$2:$J$173, 0,FALSE), IFERROR(VLOOKUP($A557,'Telstra ExDa'!$B$2:$K$310, 7,FALSE), IFERROR(VLOOKUP($A557,'Vocus RVC ExDa'!$C$2:$R$155, 2,FALSE), IFERROR(VLOOKUP($A557,'Fusion ExDa'!$B$2:$D$16, 3,FALSE), IFERROR(VLOOKUP($A557,'Exetel ExDa'!$C$2:$N$14, 0,FALSE), IFERROR(VLOOKUP($A557,'Infinet ExDa'!$B$2:$E$14, 0,FALSE), "Not Found"))))))))</f>
        <v>Not Found</v>
      </c>
      <c r="K557" t="str">
        <f>IFERROR(VLOOKUP($A557,'AAPT ExDa'!$B$2:$U$99, 12,FALSE), IFERROR(VLOOKUP($A557,'ABB ExDa'!$A$2:$N$184, 0,FALSE), IFERROR(VLOOKUP($A557,'Vocus SIT ExDa'!$B$2:$J$173, 0,FALSE), IFERROR(VLOOKUP($A557,'Telstra ExDa'!$B$2:$K$310, 0,FALSE), IFERROR(VLOOKUP($A557,'Vocus RVC ExDa'!$C$2:$R$155, 0,FALSE), IFERROR(VLOOKUP($A557,'Fusion ExDa'!$B$2:$D$16, 0,FALSE), IFERROR(VLOOKUP($A557,'Exetel ExDa'!$C$2:$N$14, 12,FALSE), IFERROR(VLOOKUP($A557,'Infinet ExDa'!$B$2:$E$14, 0,FALSE), "Not Found"))))))))</f>
        <v>Not Found</v>
      </c>
      <c r="L557" s="235" t="str">
        <f>IFERROR(VLOOKUP($A557,'AAPT ExDa'!$B$2:$U$99, 11,FALSE), IFERROR(VLOOKUP($A557,'ABB ExDa'!$A$2:$N$184, 9,FALSE), IFERROR(VLOOKUP($A557,'Vocus SIT ExDa'!$B$2:$J$173, 8,FALSE), IFERROR(VLOOKUP($A557,'Telstra ExDa'!$B$2:$K$310, 0,FALSE), IFERROR(VLOOKUP($A557,'Vocus RVC ExDa'!$C$2:$R$155, 0,FALSE), IFERROR(VLOOKUP($A557,'Fusion ExDa'!$B$2:$D$16, 0,FALSE), IFERROR(VLOOKUP($A557,'Exetel ExDa'!$C$2:$N$14, 9,FALSE), IFERROR(VLOOKUP($A557,'Infinet ExDa'!$B$2:$E$14, 0,FALSE), "Not Found"))))))))</f>
        <v>Not Found</v>
      </c>
      <c r="M557" s="234" t="str">
        <f>IFERROR(VLOOKUP($A557,'AAPT ExDa'!$B$2:$U$99, 0,FALSE), IFERROR(VLOOKUP($A557,'ABB ExDa'!$A$2:$N$184, 0,FALSE), IFERROR(VLOOKUP($A557,'Vocus SIT ExDa'!$B$2:$J$173, 0,FALSE), IFERROR(VLOOKUP($A557,'Telstra ExDa'!$B$2:$K$310, 0,FALSE), IFERROR(VLOOKUP($A557,'Vocus RVC ExDa'!$C$2:$R$155, 0,FALSE), IFERROR(VLOOKUP($A557,'Fusion ExDa'!$B$2:$D$16, 0,FALSE), IFERROR(VLOOKUP($A557,'Exetel ExDa'!$C$2:$N$14, 11,FALSE), IFERROR(VLOOKUP($A557,'Infinet ExDa'!$B$2:$E$14, 0,FALSE), "Not Found"))))))))</f>
        <v>Not Found</v>
      </c>
      <c r="N557" t="str">
        <f>IFERROR(VLOOKUP($A557,'AAPT ExDa'!$B$2:$U$99, 0,FALSE), IFERROR(VLOOKUP($A557,'ABB ExDa'!$A$2:$N$184, 13,FALSE), IFERROR(VLOOKUP($A557,'Vocus SIT ExDa'!$B$2:$J$173, 0,FALSE), IFERROR(VLOOKUP($A557,'Telstra ExDa'!$B$2:$K$310, 0,FALSE), IFERROR(VLOOKUP($A557,'Vocus RVC ExDa'!$C$2:$R$155, 0,FALSE), IFERROR(VLOOKUP($A557,'Fusion ExDa'!$B$2:$D$16, 0,FALSE), IFERROR(VLOOKUP($A557,'Exetel ExDa'!$C$2:$N$14, 0,FALSE), IFERROR(VLOOKUP($A557,'Infinet ExDa'!$B$2:$E$14, 0,FALSE), "Not Found"))))))))</f>
        <v>Not Found</v>
      </c>
    </row>
    <row r="558" spans="1:14">
      <c r="A558">
        <v>0</v>
      </c>
      <c r="B558" t="str">
        <f>IFERROR(VLOOKUP(A558,'Exetel ExDa'!$C$2:$N$14,4,FALSE),"No Data")</f>
        <v>No Data</v>
      </c>
      <c r="C558" t="str">
        <f>IFERROR(VLOOKUP(A558,'AAPT ExDa'!$B$2:$U$99, 2,FALSE), IFERROR(VLOOKUP(A558,'ABB ExDa'!$A$2:$N$184, 2,FALSE), IFERROR(VLOOKUP(A558,'Vocus SIT ExDa'!$B$2:$J$173, 7,FALSE), IFERROR(VLOOKUP(A558,'Telstra ExDa'!$B$2:$K$310, 2,FALSE), IFERROR(VLOOKUP(A558,'Vocus RVC ExDa'!$C$2:$R$155, 3,FALSE), IFERROR(VLOOKUP(A558,'Fusion ExDa'!$B$2:$D$16, 2,FALSE), IFERROR(VLOOKUP(A558,'Exetel ExDa'!$C$2:$N$14, 2,FALSE), IFERROR(VLOOKUP(A558,'Infinet ExDa'!$B$2:$E$14, 2,FALSE), "Not Found"))))))))</f>
        <v>Not Found</v>
      </c>
      <c r="D558" t="str">
        <f>IFERROR(VLOOKUP($A558,'AAPT ExDa'!$B$2:$U$99, 15,FALSE), IFERROR(VLOOKUP($A558,'ABB ExDa'!$A$2:$N$184, 4,FALSE), IFERROR(VLOOKUP($A558,'Vocus SIT ExDa'!$B$2:$J$173, 5,FALSE), IFERROR(VLOOKUP($A558,'Telstra ExDa'!$B$2:$K$310, 8,FALSE), IFERROR(VLOOKUP($A558,'Vocus RVC ExDa'!$C$2:$R$155, 6,FALSE), IFERROR(VLOOKUP($A558,'Fusion ExDa'!$B$2:$D$16, 4,FALSE), IFERROR(VLOOKUP($A558,'Exetel ExDa'!$C$2:$N$14, 3,FALSE), IFERROR(VLOOKUP($A558,'Infinet ExDa'!$B$2:$E$14, 3,FALSE), "Not Found"))))))))</f>
        <v>Not Found</v>
      </c>
      <c r="E558" t="str">
        <f>IFERROR(VLOOKUP($A558,'AAPT ExDa'!$B$2:$U$99, 3,FALSE), IFERROR(VLOOKUP($A558,'ABB ExDa'!$A$2:$N$184, 5,FALSE), IFERROR(VLOOKUP($A558,'Vocus SIT ExDa'!$B$2:$J$173, 2,FALSE), IFERROR(VLOOKUP($A558,'Telstra ExDa'!$B$2:$K$310, 4,FALSE), IFERROR(VLOOKUP($A558,'Vocus RVC ExDa'!$C$2:$R$155, 8,FALSE), IFERROR(VLOOKUP($A558,'Fusion ExDa'!$B$2:$D$16, 4,FALSE), IFERROR(VLOOKUP($A558,'Exetel ExDa'!$C$2:$N$14, 5,FALSE), IFERROR(VLOOKUP($A558,'Infinet ExDa'!$B$2:$E$14, 3,FALSE), "Not Found"))))))))</f>
        <v>Not Found</v>
      </c>
      <c r="F558" t="str">
        <f>IFERROR(VLOOKUP($A558,'AAPT ExDa'!$B$2:$U$99, 4,FALSE), IFERROR(VLOOKUP($A558,'ABB ExDa'!$A$2:$N$184, 6,FALSE), IFERROR(VLOOKUP($A558,'Vocus SIT ExDa'!$B$2:$J$173, 3,FALSE), IFERROR(VLOOKUP($A558,'Telstra ExDa'!$B$2:$K$310, 5,FALSE), IFERROR(VLOOKUP($A558,'Vocus RVC ExDa'!$C$2:$R$155, 9,FALSE), IFERROR(VLOOKUP($A558,'Fusion ExDa'!$B$2:$D$16, 0,FALSE), IFERROR(VLOOKUP($A558,'Exetel ExDa'!$C$2:$N$14, 6,FALSE), IFERROR(VLOOKUP($A558,'Infinet ExDa'!$B$2:$E$14, 0,FALSE), "Not Found"))))))))</f>
        <v>Not Found</v>
      </c>
      <c r="G558" t="str">
        <f>IFERROR(VLOOKUP($A558,'AAPT ExDa'!$B$2:$U$99, 5,FALSE), IFERROR(VLOOKUP($A558,'ABB ExDa'!$A$2:$N$184, 8,FALSE), IFERROR(VLOOKUP($A558,'Vocus SIT ExDa'!$B$2:$J$173, 6,FALSE), IFERROR(VLOOKUP($A558,'Telstra ExDa'!$B$2:$K$310, 0,FALSE), IFERROR(VLOOKUP($A558,'Vocus RVC ExDa'!$C$2:$R$155, 15,FALSE), IFERROR(VLOOKUP($A558,'Fusion ExDa'!$B$2:$D$16, 0,FALSE), IFERROR(VLOOKUP($A558,'Exetel ExDa'!$C$2:$N$14, 7,FALSE), IFERROR(VLOOKUP($A558,'Infinet ExDa'!$B$2:$E$14, 0,FALSE), "Not Found"))))))))</f>
        <v>Not Found</v>
      </c>
      <c r="H558" t="str">
        <f>IFERROR(VLOOKUP($A558,'AAPT ExDa'!$B$2:$U$99, 6,FALSE), IFERROR(VLOOKUP($A558,'ABB ExDa'!$A$2:$N$184, 0,FALSE), IFERROR(VLOOKUP($A558,'Vocus SIT ExDa'!$B$2:$J$173, 0,FALSE), IFERROR(VLOOKUP($A558,'Telstra ExDa'!$B$2:$K$310, 0,FALSE), IFERROR(VLOOKUP($A558,'Vocus RVC ExDa'!$C$2:$R$155, 16,FALSE), IFERROR(VLOOKUP($A558,'Fusion ExDa'!$B$2:$D$16, 0,FALSE), IFERROR(VLOOKUP($A558,'Exetel ExDa'!$C$2:$N$14, 0,FALSE), IFERROR(VLOOKUP($A558,'Infinet ExDa'!$B$2:$E$14, 0,FALSE), "Not Found"))))))))</f>
        <v>Not Found</v>
      </c>
      <c r="I558" t="str">
        <f>IFERROR(VLOOKUP($A558,'AAPT ExDa'!$B$2:$U$99, 0,FALSE), IFERROR(VLOOKUP($A558,'ABB ExDa'!$A$2:$N$184, 0,FALSE), IFERROR(VLOOKUP($A558,'Vocus SIT ExDa'!$B$2:$J$173, 0,FALSE), IFERROR(VLOOKUP($A558,'Telstra ExDa'!$B$2:$K$310, 0,FALSE), IFERROR(VLOOKUP($A558,'Vocus RVC ExDa'!$C$2:$R$155, 0,FALSE), IFERROR(VLOOKUP($A558,'Fusion ExDa'!$B$2:$D$16, 0,FALSE), IFERROR(VLOOKUP($A558,'Exetel ExDa'!$C$2:$N$14, 8,FALSE), IFERROR(VLOOKUP($A558,'Infinet ExDa'!$B$2:$E$14, 0,FALSE), "Not Found"))))))))</f>
        <v>Not Found</v>
      </c>
      <c r="J558" t="str">
        <f>IFERROR(VLOOKUP($A558,'AAPT ExDa'!$B$2:$U$99, 7,FALSE), IFERROR(VLOOKUP($A558,'ABB ExDa'!$A$2:$N$184, 2,FALSE), IFERROR(VLOOKUP($A558,'Vocus SIT ExDa'!$B$2:$J$173, 0,FALSE), IFERROR(VLOOKUP($A558,'Telstra ExDa'!$B$2:$K$310, 7,FALSE), IFERROR(VLOOKUP($A558,'Vocus RVC ExDa'!$C$2:$R$155, 2,FALSE), IFERROR(VLOOKUP($A558,'Fusion ExDa'!$B$2:$D$16, 3,FALSE), IFERROR(VLOOKUP($A558,'Exetel ExDa'!$C$2:$N$14, 0,FALSE), IFERROR(VLOOKUP($A558,'Infinet ExDa'!$B$2:$E$14, 0,FALSE), "Not Found"))))))))</f>
        <v>Not Found</v>
      </c>
      <c r="K558" t="str">
        <f>IFERROR(VLOOKUP($A558,'AAPT ExDa'!$B$2:$U$99, 12,FALSE), IFERROR(VLOOKUP($A558,'ABB ExDa'!$A$2:$N$184, 0,FALSE), IFERROR(VLOOKUP($A558,'Vocus SIT ExDa'!$B$2:$J$173, 0,FALSE), IFERROR(VLOOKUP($A558,'Telstra ExDa'!$B$2:$K$310, 0,FALSE), IFERROR(VLOOKUP($A558,'Vocus RVC ExDa'!$C$2:$R$155, 0,FALSE), IFERROR(VLOOKUP($A558,'Fusion ExDa'!$B$2:$D$16, 0,FALSE), IFERROR(VLOOKUP($A558,'Exetel ExDa'!$C$2:$N$14, 12,FALSE), IFERROR(VLOOKUP($A558,'Infinet ExDa'!$B$2:$E$14, 0,FALSE), "Not Found"))))))))</f>
        <v>Not Found</v>
      </c>
      <c r="L558" s="235" t="str">
        <f>IFERROR(VLOOKUP($A558,'AAPT ExDa'!$B$2:$U$99, 11,FALSE), IFERROR(VLOOKUP($A558,'ABB ExDa'!$A$2:$N$184, 9,FALSE), IFERROR(VLOOKUP($A558,'Vocus SIT ExDa'!$B$2:$J$173, 8,FALSE), IFERROR(VLOOKUP($A558,'Telstra ExDa'!$B$2:$K$310, 0,FALSE), IFERROR(VLOOKUP($A558,'Vocus RVC ExDa'!$C$2:$R$155, 0,FALSE), IFERROR(VLOOKUP($A558,'Fusion ExDa'!$B$2:$D$16, 0,FALSE), IFERROR(VLOOKUP($A558,'Exetel ExDa'!$C$2:$N$14, 9,FALSE), IFERROR(VLOOKUP($A558,'Infinet ExDa'!$B$2:$E$14, 0,FALSE), "Not Found"))))))))</f>
        <v>Not Found</v>
      </c>
      <c r="M558" s="234" t="str">
        <f>IFERROR(VLOOKUP($A558,'AAPT ExDa'!$B$2:$U$99, 0,FALSE), IFERROR(VLOOKUP($A558,'ABB ExDa'!$A$2:$N$184, 0,FALSE), IFERROR(VLOOKUP($A558,'Vocus SIT ExDa'!$B$2:$J$173, 0,FALSE), IFERROR(VLOOKUP($A558,'Telstra ExDa'!$B$2:$K$310, 0,FALSE), IFERROR(VLOOKUP($A558,'Vocus RVC ExDa'!$C$2:$R$155, 0,FALSE), IFERROR(VLOOKUP($A558,'Fusion ExDa'!$B$2:$D$16, 0,FALSE), IFERROR(VLOOKUP($A558,'Exetel ExDa'!$C$2:$N$14, 11,FALSE), IFERROR(VLOOKUP($A558,'Infinet ExDa'!$B$2:$E$14, 0,FALSE), "Not Found"))))))))</f>
        <v>Not Found</v>
      </c>
      <c r="N558" t="str">
        <f>IFERROR(VLOOKUP($A558,'AAPT ExDa'!$B$2:$U$99, 0,FALSE), IFERROR(VLOOKUP($A558,'ABB ExDa'!$A$2:$N$184, 13,FALSE), IFERROR(VLOOKUP($A558,'Vocus SIT ExDa'!$B$2:$J$173, 0,FALSE), IFERROR(VLOOKUP($A558,'Telstra ExDa'!$B$2:$K$310, 0,FALSE), IFERROR(VLOOKUP($A558,'Vocus RVC ExDa'!$C$2:$R$155, 0,FALSE), IFERROR(VLOOKUP($A558,'Fusion ExDa'!$B$2:$D$16, 0,FALSE), IFERROR(VLOOKUP($A558,'Exetel ExDa'!$C$2:$N$14, 0,FALSE), IFERROR(VLOOKUP($A558,'Infinet ExDa'!$B$2:$E$14, 0,FALSE), "Not Found"))))))))</f>
        <v>Not Found</v>
      </c>
    </row>
    <row r="559" spans="1:14">
      <c r="A559">
        <v>0</v>
      </c>
      <c r="B559" t="str">
        <f>IFERROR(VLOOKUP(A559,'Exetel ExDa'!$C$2:$N$14,4,FALSE),"No Data")</f>
        <v>No Data</v>
      </c>
      <c r="C559" t="str">
        <f>IFERROR(VLOOKUP(A559,'AAPT ExDa'!$B$2:$U$99, 2,FALSE), IFERROR(VLOOKUP(A559,'ABB ExDa'!$A$2:$N$184, 2,FALSE), IFERROR(VLOOKUP(A559,'Vocus SIT ExDa'!$B$2:$J$173, 7,FALSE), IFERROR(VLOOKUP(A559,'Telstra ExDa'!$B$2:$K$310, 2,FALSE), IFERROR(VLOOKUP(A559,'Vocus RVC ExDa'!$C$2:$R$155, 3,FALSE), IFERROR(VLOOKUP(A559,'Fusion ExDa'!$B$2:$D$16, 2,FALSE), IFERROR(VLOOKUP(A559,'Exetel ExDa'!$C$2:$N$14, 2,FALSE), IFERROR(VLOOKUP(A559,'Infinet ExDa'!$B$2:$E$14, 2,FALSE), "Not Found"))))))))</f>
        <v>Not Found</v>
      </c>
      <c r="D559" t="str">
        <f>IFERROR(VLOOKUP($A559,'AAPT ExDa'!$B$2:$U$99, 15,FALSE), IFERROR(VLOOKUP($A559,'ABB ExDa'!$A$2:$N$184, 4,FALSE), IFERROR(VLOOKUP($A559,'Vocus SIT ExDa'!$B$2:$J$173, 5,FALSE), IFERROR(VLOOKUP($A559,'Telstra ExDa'!$B$2:$K$310, 8,FALSE), IFERROR(VLOOKUP($A559,'Vocus RVC ExDa'!$C$2:$R$155, 6,FALSE), IFERROR(VLOOKUP($A559,'Fusion ExDa'!$B$2:$D$16, 4,FALSE), IFERROR(VLOOKUP($A559,'Exetel ExDa'!$C$2:$N$14, 3,FALSE), IFERROR(VLOOKUP($A559,'Infinet ExDa'!$B$2:$E$14, 3,FALSE), "Not Found"))))))))</f>
        <v>Not Found</v>
      </c>
      <c r="E559" t="str">
        <f>IFERROR(VLOOKUP($A559,'AAPT ExDa'!$B$2:$U$99, 3,FALSE), IFERROR(VLOOKUP($A559,'ABB ExDa'!$A$2:$N$184, 5,FALSE), IFERROR(VLOOKUP($A559,'Vocus SIT ExDa'!$B$2:$J$173, 2,FALSE), IFERROR(VLOOKUP($A559,'Telstra ExDa'!$B$2:$K$310, 4,FALSE), IFERROR(VLOOKUP($A559,'Vocus RVC ExDa'!$C$2:$R$155, 8,FALSE), IFERROR(VLOOKUP($A559,'Fusion ExDa'!$B$2:$D$16, 4,FALSE), IFERROR(VLOOKUP($A559,'Exetel ExDa'!$C$2:$N$14, 5,FALSE), IFERROR(VLOOKUP($A559,'Infinet ExDa'!$B$2:$E$14, 3,FALSE), "Not Found"))))))))</f>
        <v>Not Found</v>
      </c>
      <c r="F559" t="str">
        <f>IFERROR(VLOOKUP($A559,'AAPT ExDa'!$B$2:$U$99, 4,FALSE), IFERROR(VLOOKUP($A559,'ABB ExDa'!$A$2:$N$184, 6,FALSE), IFERROR(VLOOKUP($A559,'Vocus SIT ExDa'!$B$2:$J$173, 3,FALSE), IFERROR(VLOOKUP($A559,'Telstra ExDa'!$B$2:$K$310, 5,FALSE), IFERROR(VLOOKUP($A559,'Vocus RVC ExDa'!$C$2:$R$155, 9,FALSE), IFERROR(VLOOKUP($A559,'Fusion ExDa'!$B$2:$D$16, 0,FALSE), IFERROR(VLOOKUP($A559,'Exetel ExDa'!$C$2:$N$14, 6,FALSE), IFERROR(VLOOKUP($A559,'Infinet ExDa'!$B$2:$E$14, 0,FALSE), "Not Found"))))))))</f>
        <v>Not Found</v>
      </c>
      <c r="G559" t="str">
        <f>IFERROR(VLOOKUP($A559,'AAPT ExDa'!$B$2:$U$99, 5,FALSE), IFERROR(VLOOKUP($A559,'ABB ExDa'!$A$2:$N$184, 8,FALSE), IFERROR(VLOOKUP($A559,'Vocus SIT ExDa'!$B$2:$J$173, 6,FALSE), IFERROR(VLOOKUP($A559,'Telstra ExDa'!$B$2:$K$310, 0,FALSE), IFERROR(VLOOKUP($A559,'Vocus RVC ExDa'!$C$2:$R$155, 15,FALSE), IFERROR(VLOOKUP($A559,'Fusion ExDa'!$B$2:$D$16, 0,FALSE), IFERROR(VLOOKUP($A559,'Exetel ExDa'!$C$2:$N$14, 7,FALSE), IFERROR(VLOOKUP($A559,'Infinet ExDa'!$B$2:$E$14, 0,FALSE), "Not Found"))))))))</f>
        <v>Not Found</v>
      </c>
      <c r="H559" t="str">
        <f>IFERROR(VLOOKUP($A559,'AAPT ExDa'!$B$2:$U$99, 6,FALSE), IFERROR(VLOOKUP($A559,'ABB ExDa'!$A$2:$N$184, 0,FALSE), IFERROR(VLOOKUP($A559,'Vocus SIT ExDa'!$B$2:$J$173, 0,FALSE), IFERROR(VLOOKUP($A559,'Telstra ExDa'!$B$2:$K$310, 0,FALSE), IFERROR(VLOOKUP($A559,'Vocus RVC ExDa'!$C$2:$R$155, 16,FALSE), IFERROR(VLOOKUP($A559,'Fusion ExDa'!$B$2:$D$16, 0,FALSE), IFERROR(VLOOKUP($A559,'Exetel ExDa'!$C$2:$N$14, 0,FALSE), IFERROR(VLOOKUP($A559,'Infinet ExDa'!$B$2:$E$14, 0,FALSE), "Not Found"))))))))</f>
        <v>Not Found</v>
      </c>
      <c r="I559" t="str">
        <f>IFERROR(VLOOKUP($A559,'AAPT ExDa'!$B$2:$U$99, 0,FALSE), IFERROR(VLOOKUP($A559,'ABB ExDa'!$A$2:$N$184, 0,FALSE), IFERROR(VLOOKUP($A559,'Vocus SIT ExDa'!$B$2:$J$173, 0,FALSE), IFERROR(VLOOKUP($A559,'Telstra ExDa'!$B$2:$K$310, 0,FALSE), IFERROR(VLOOKUP($A559,'Vocus RVC ExDa'!$C$2:$R$155, 0,FALSE), IFERROR(VLOOKUP($A559,'Fusion ExDa'!$B$2:$D$16, 0,FALSE), IFERROR(VLOOKUP($A559,'Exetel ExDa'!$C$2:$N$14, 8,FALSE), IFERROR(VLOOKUP($A559,'Infinet ExDa'!$B$2:$E$14, 0,FALSE), "Not Found"))))))))</f>
        <v>Not Found</v>
      </c>
      <c r="J559" t="str">
        <f>IFERROR(VLOOKUP($A559,'AAPT ExDa'!$B$2:$U$99, 7,FALSE), IFERROR(VLOOKUP($A559,'ABB ExDa'!$A$2:$N$184, 2,FALSE), IFERROR(VLOOKUP($A559,'Vocus SIT ExDa'!$B$2:$J$173, 0,FALSE), IFERROR(VLOOKUP($A559,'Telstra ExDa'!$B$2:$K$310, 7,FALSE), IFERROR(VLOOKUP($A559,'Vocus RVC ExDa'!$C$2:$R$155, 2,FALSE), IFERROR(VLOOKUP($A559,'Fusion ExDa'!$B$2:$D$16, 3,FALSE), IFERROR(VLOOKUP($A559,'Exetel ExDa'!$C$2:$N$14, 0,FALSE), IFERROR(VLOOKUP($A559,'Infinet ExDa'!$B$2:$E$14, 0,FALSE), "Not Found"))))))))</f>
        <v>Not Found</v>
      </c>
      <c r="K559" t="str">
        <f>IFERROR(VLOOKUP($A559,'AAPT ExDa'!$B$2:$U$99, 12,FALSE), IFERROR(VLOOKUP($A559,'ABB ExDa'!$A$2:$N$184, 0,FALSE), IFERROR(VLOOKUP($A559,'Vocus SIT ExDa'!$B$2:$J$173, 0,FALSE), IFERROR(VLOOKUP($A559,'Telstra ExDa'!$B$2:$K$310, 0,FALSE), IFERROR(VLOOKUP($A559,'Vocus RVC ExDa'!$C$2:$R$155, 0,FALSE), IFERROR(VLOOKUP($A559,'Fusion ExDa'!$B$2:$D$16, 0,FALSE), IFERROR(VLOOKUP($A559,'Exetel ExDa'!$C$2:$N$14, 12,FALSE), IFERROR(VLOOKUP($A559,'Infinet ExDa'!$B$2:$E$14, 0,FALSE), "Not Found"))))))))</f>
        <v>Not Found</v>
      </c>
      <c r="L559" s="235" t="str">
        <f>IFERROR(VLOOKUP($A559,'AAPT ExDa'!$B$2:$U$99, 11,FALSE), IFERROR(VLOOKUP($A559,'ABB ExDa'!$A$2:$N$184, 9,FALSE), IFERROR(VLOOKUP($A559,'Vocus SIT ExDa'!$B$2:$J$173, 8,FALSE), IFERROR(VLOOKUP($A559,'Telstra ExDa'!$B$2:$K$310, 0,FALSE), IFERROR(VLOOKUP($A559,'Vocus RVC ExDa'!$C$2:$R$155, 0,FALSE), IFERROR(VLOOKUP($A559,'Fusion ExDa'!$B$2:$D$16, 0,FALSE), IFERROR(VLOOKUP($A559,'Exetel ExDa'!$C$2:$N$14, 9,FALSE), IFERROR(VLOOKUP($A559,'Infinet ExDa'!$B$2:$E$14, 0,FALSE), "Not Found"))))))))</f>
        <v>Not Found</v>
      </c>
      <c r="M559" s="234" t="str">
        <f>IFERROR(VLOOKUP($A559,'AAPT ExDa'!$B$2:$U$99, 0,FALSE), IFERROR(VLOOKUP($A559,'ABB ExDa'!$A$2:$N$184, 0,FALSE), IFERROR(VLOOKUP($A559,'Vocus SIT ExDa'!$B$2:$J$173, 0,FALSE), IFERROR(VLOOKUP($A559,'Telstra ExDa'!$B$2:$K$310, 0,FALSE), IFERROR(VLOOKUP($A559,'Vocus RVC ExDa'!$C$2:$R$155, 0,FALSE), IFERROR(VLOOKUP($A559,'Fusion ExDa'!$B$2:$D$16, 0,FALSE), IFERROR(VLOOKUP($A559,'Exetel ExDa'!$C$2:$N$14, 11,FALSE), IFERROR(VLOOKUP($A559,'Infinet ExDa'!$B$2:$E$14, 0,FALSE), "Not Found"))))))))</f>
        <v>Not Found</v>
      </c>
      <c r="N559" t="str">
        <f>IFERROR(VLOOKUP($A559,'AAPT ExDa'!$B$2:$U$99, 0,FALSE), IFERROR(VLOOKUP($A559,'ABB ExDa'!$A$2:$N$184, 13,FALSE), IFERROR(VLOOKUP($A559,'Vocus SIT ExDa'!$B$2:$J$173, 0,FALSE), IFERROR(VLOOKUP($A559,'Telstra ExDa'!$B$2:$K$310, 0,FALSE), IFERROR(VLOOKUP($A559,'Vocus RVC ExDa'!$C$2:$R$155, 0,FALSE), IFERROR(VLOOKUP($A559,'Fusion ExDa'!$B$2:$D$16, 0,FALSE), IFERROR(VLOOKUP($A559,'Exetel ExDa'!$C$2:$N$14, 0,FALSE), IFERROR(VLOOKUP($A559,'Infinet ExDa'!$B$2:$E$14, 0,FALSE), "Not Found"))))))))</f>
        <v>Not Found</v>
      </c>
    </row>
    <row r="560" spans="1:14">
      <c r="A560">
        <v>0</v>
      </c>
      <c r="B560" t="str">
        <f>IFERROR(VLOOKUP(A560,'Exetel ExDa'!$C$2:$N$14,4,FALSE),"No Data")</f>
        <v>No Data</v>
      </c>
      <c r="C560" t="str">
        <f>IFERROR(VLOOKUP(A560,'AAPT ExDa'!$B$2:$U$99, 2,FALSE), IFERROR(VLOOKUP(A560,'ABB ExDa'!$A$2:$N$184, 2,FALSE), IFERROR(VLOOKUP(A560,'Vocus SIT ExDa'!$B$2:$J$173, 7,FALSE), IFERROR(VLOOKUP(A560,'Telstra ExDa'!$B$2:$K$310, 2,FALSE), IFERROR(VLOOKUP(A560,'Vocus RVC ExDa'!$C$2:$R$155, 3,FALSE), IFERROR(VLOOKUP(A560,'Fusion ExDa'!$B$2:$D$16, 2,FALSE), IFERROR(VLOOKUP(A560,'Exetel ExDa'!$C$2:$N$14, 2,FALSE), IFERROR(VLOOKUP(A560,'Infinet ExDa'!$B$2:$E$14, 2,FALSE), "Not Found"))))))))</f>
        <v>Not Found</v>
      </c>
      <c r="D560" t="str">
        <f>IFERROR(VLOOKUP($A560,'AAPT ExDa'!$B$2:$U$99, 15,FALSE), IFERROR(VLOOKUP($A560,'ABB ExDa'!$A$2:$N$184, 4,FALSE), IFERROR(VLOOKUP($A560,'Vocus SIT ExDa'!$B$2:$J$173, 5,FALSE), IFERROR(VLOOKUP($A560,'Telstra ExDa'!$B$2:$K$310, 8,FALSE), IFERROR(VLOOKUP($A560,'Vocus RVC ExDa'!$C$2:$R$155, 6,FALSE), IFERROR(VLOOKUP($A560,'Fusion ExDa'!$B$2:$D$16, 4,FALSE), IFERROR(VLOOKUP($A560,'Exetel ExDa'!$C$2:$N$14, 3,FALSE), IFERROR(VLOOKUP($A560,'Infinet ExDa'!$B$2:$E$14, 3,FALSE), "Not Found"))))))))</f>
        <v>Not Found</v>
      </c>
      <c r="E560" t="str">
        <f>IFERROR(VLOOKUP($A560,'AAPT ExDa'!$B$2:$U$99, 3,FALSE), IFERROR(VLOOKUP($A560,'ABB ExDa'!$A$2:$N$184, 5,FALSE), IFERROR(VLOOKUP($A560,'Vocus SIT ExDa'!$B$2:$J$173, 2,FALSE), IFERROR(VLOOKUP($A560,'Telstra ExDa'!$B$2:$K$310, 4,FALSE), IFERROR(VLOOKUP($A560,'Vocus RVC ExDa'!$C$2:$R$155, 8,FALSE), IFERROR(VLOOKUP($A560,'Fusion ExDa'!$B$2:$D$16, 4,FALSE), IFERROR(VLOOKUP($A560,'Exetel ExDa'!$C$2:$N$14, 5,FALSE), IFERROR(VLOOKUP($A560,'Infinet ExDa'!$B$2:$E$14, 3,FALSE), "Not Found"))))))))</f>
        <v>Not Found</v>
      </c>
      <c r="F560" t="str">
        <f>IFERROR(VLOOKUP($A560,'AAPT ExDa'!$B$2:$U$99, 4,FALSE), IFERROR(VLOOKUP($A560,'ABB ExDa'!$A$2:$N$184, 6,FALSE), IFERROR(VLOOKUP($A560,'Vocus SIT ExDa'!$B$2:$J$173, 3,FALSE), IFERROR(VLOOKUP($A560,'Telstra ExDa'!$B$2:$K$310, 5,FALSE), IFERROR(VLOOKUP($A560,'Vocus RVC ExDa'!$C$2:$R$155, 9,FALSE), IFERROR(VLOOKUP($A560,'Fusion ExDa'!$B$2:$D$16, 0,FALSE), IFERROR(VLOOKUP($A560,'Exetel ExDa'!$C$2:$N$14, 6,FALSE), IFERROR(VLOOKUP($A560,'Infinet ExDa'!$B$2:$E$14, 0,FALSE), "Not Found"))))))))</f>
        <v>Not Found</v>
      </c>
      <c r="G560" t="str">
        <f>IFERROR(VLOOKUP($A560,'AAPT ExDa'!$B$2:$U$99, 5,FALSE), IFERROR(VLOOKUP($A560,'ABB ExDa'!$A$2:$N$184, 8,FALSE), IFERROR(VLOOKUP($A560,'Vocus SIT ExDa'!$B$2:$J$173, 6,FALSE), IFERROR(VLOOKUP($A560,'Telstra ExDa'!$B$2:$K$310, 0,FALSE), IFERROR(VLOOKUP($A560,'Vocus RVC ExDa'!$C$2:$R$155, 15,FALSE), IFERROR(VLOOKUP($A560,'Fusion ExDa'!$B$2:$D$16, 0,FALSE), IFERROR(VLOOKUP($A560,'Exetel ExDa'!$C$2:$N$14, 7,FALSE), IFERROR(VLOOKUP($A560,'Infinet ExDa'!$B$2:$E$14, 0,FALSE), "Not Found"))))))))</f>
        <v>Not Found</v>
      </c>
      <c r="H560" t="str">
        <f>IFERROR(VLOOKUP($A560,'AAPT ExDa'!$B$2:$U$99, 6,FALSE), IFERROR(VLOOKUP($A560,'ABB ExDa'!$A$2:$N$184, 0,FALSE), IFERROR(VLOOKUP($A560,'Vocus SIT ExDa'!$B$2:$J$173, 0,FALSE), IFERROR(VLOOKUP($A560,'Telstra ExDa'!$B$2:$K$310, 0,FALSE), IFERROR(VLOOKUP($A560,'Vocus RVC ExDa'!$C$2:$R$155, 16,FALSE), IFERROR(VLOOKUP($A560,'Fusion ExDa'!$B$2:$D$16, 0,FALSE), IFERROR(VLOOKUP($A560,'Exetel ExDa'!$C$2:$N$14, 0,FALSE), IFERROR(VLOOKUP($A560,'Infinet ExDa'!$B$2:$E$14, 0,FALSE), "Not Found"))))))))</f>
        <v>Not Found</v>
      </c>
      <c r="I560" t="str">
        <f>IFERROR(VLOOKUP($A560,'AAPT ExDa'!$B$2:$U$99, 0,FALSE), IFERROR(VLOOKUP($A560,'ABB ExDa'!$A$2:$N$184, 0,FALSE), IFERROR(VLOOKUP($A560,'Vocus SIT ExDa'!$B$2:$J$173, 0,FALSE), IFERROR(VLOOKUP($A560,'Telstra ExDa'!$B$2:$K$310, 0,FALSE), IFERROR(VLOOKUP($A560,'Vocus RVC ExDa'!$C$2:$R$155, 0,FALSE), IFERROR(VLOOKUP($A560,'Fusion ExDa'!$B$2:$D$16, 0,FALSE), IFERROR(VLOOKUP($A560,'Exetel ExDa'!$C$2:$N$14, 8,FALSE), IFERROR(VLOOKUP($A560,'Infinet ExDa'!$B$2:$E$14, 0,FALSE), "Not Found"))))))))</f>
        <v>Not Found</v>
      </c>
      <c r="J560" t="str">
        <f>IFERROR(VLOOKUP($A560,'AAPT ExDa'!$B$2:$U$99, 7,FALSE), IFERROR(VLOOKUP($A560,'ABB ExDa'!$A$2:$N$184, 2,FALSE), IFERROR(VLOOKUP($A560,'Vocus SIT ExDa'!$B$2:$J$173, 0,FALSE), IFERROR(VLOOKUP($A560,'Telstra ExDa'!$B$2:$K$310, 7,FALSE), IFERROR(VLOOKUP($A560,'Vocus RVC ExDa'!$C$2:$R$155, 2,FALSE), IFERROR(VLOOKUP($A560,'Fusion ExDa'!$B$2:$D$16, 3,FALSE), IFERROR(VLOOKUP($A560,'Exetel ExDa'!$C$2:$N$14, 0,FALSE), IFERROR(VLOOKUP($A560,'Infinet ExDa'!$B$2:$E$14, 0,FALSE), "Not Found"))))))))</f>
        <v>Not Found</v>
      </c>
      <c r="K560" t="str">
        <f>IFERROR(VLOOKUP($A560,'AAPT ExDa'!$B$2:$U$99, 12,FALSE), IFERROR(VLOOKUP($A560,'ABB ExDa'!$A$2:$N$184, 0,FALSE), IFERROR(VLOOKUP($A560,'Vocus SIT ExDa'!$B$2:$J$173, 0,FALSE), IFERROR(VLOOKUP($A560,'Telstra ExDa'!$B$2:$K$310, 0,FALSE), IFERROR(VLOOKUP($A560,'Vocus RVC ExDa'!$C$2:$R$155, 0,FALSE), IFERROR(VLOOKUP($A560,'Fusion ExDa'!$B$2:$D$16, 0,FALSE), IFERROR(VLOOKUP($A560,'Exetel ExDa'!$C$2:$N$14, 12,FALSE), IFERROR(VLOOKUP($A560,'Infinet ExDa'!$B$2:$E$14, 0,FALSE), "Not Found"))))))))</f>
        <v>Not Found</v>
      </c>
      <c r="L560" s="235" t="str">
        <f>IFERROR(VLOOKUP($A560,'AAPT ExDa'!$B$2:$U$99, 11,FALSE), IFERROR(VLOOKUP($A560,'ABB ExDa'!$A$2:$N$184, 9,FALSE), IFERROR(VLOOKUP($A560,'Vocus SIT ExDa'!$B$2:$J$173, 8,FALSE), IFERROR(VLOOKUP($A560,'Telstra ExDa'!$B$2:$K$310, 0,FALSE), IFERROR(VLOOKUP($A560,'Vocus RVC ExDa'!$C$2:$R$155, 0,FALSE), IFERROR(VLOOKUP($A560,'Fusion ExDa'!$B$2:$D$16, 0,FALSE), IFERROR(VLOOKUP($A560,'Exetel ExDa'!$C$2:$N$14, 9,FALSE), IFERROR(VLOOKUP($A560,'Infinet ExDa'!$B$2:$E$14, 0,FALSE), "Not Found"))))))))</f>
        <v>Not Found</v>
      </c>
      <c r="M560" s="234" t="str">
        <f>IFERROR(VLOOKUP($A560,'AAPT ExDa'!$B$2:$U$99, 0,FALSE), IFERROR(VLOOKUP($A560,'ABB ExDa'!$A$2:$N$184, 0,FALSE), IFERROR(VLOOKUP($A560,'Vocus SIT ExDa'!$B$2:$J$173, 0,FALSE), IFERROR(VLOOKUP($A560,'Telstra ExDa'!$B$2:$K$310, 0,FALSE), IFERROR(VLOOKUP($A560,'Vocus RVC ExDa'!$C$2:$R$155, 0,FALSE), IFERROR(VLOOKUP($A560,'Fusion ExDa'!$B$2:$D$16, 0,FALSE), IFERROR(VLOOKUP($A560,'Exetel ExDa'!$C$2:$N$14, 11,FALSE), IFERROR(VLOOKUP($A560,'Infinet ExDa'!$B$2:$E$14, 0,FALSE), "Not Found"))))))))</f>
        <v>Not Found</v>
      </c>
      <c r="N560" t="str">
        <f>IFERROR(VLOOKUP($A560,'AAPT ExDa'!$B$2:$U$99, 0,FALSE), IFERROR(VLOOKUP($A560,'ABB ExDa'!$A$2:$N$184, 13,FALSE), IFERROR(VLOOKUP($A560,'Vocus SIT ExDa'!$B$2:$J$173, 0,FALSE), IFERROR(VLOOKUP($A560,'Telstra ExDa'!$B$2:$K$310, 0,FALSE), IFERROR(VLOOKUP($A560,'Vocus RVC ExDa'!$C$2:$R$155, 0,FALSE), IFERROR(VLOOKUP($A560,'Fusion ExDa'!$B$2:$D$16, 0,FALSE), IFERROR(VLOOKUP($A560,'Exetel ExDa'!$C$2:$N$14, 0,FALSE), IFERROR(VLOOKUP($A560,'Infinet ExDa'!$B$2:$E$14, 0,FALSE), "Not Found"))))))))</f>
        <v>Not Found</v>
      </c>
    </row>
    <row r="561" spans="1:14">
      <c r="A561">
        <v>0</v>
      </c>
      <c r="B561" t="str">
        <f>IFERROR(VLOOKUP(A561,'Exetel ExDa'!$C$2:$N$14,4,FALSE),"No Data")</f>
        <v>No Data</v>
      </c>
      <c r="C561" t="str">
        <f>IFERROR(VLOOKUP(A561,'AAPT ExDa'!$B$2:$U$99, 2,FALSE), IFERROR(VLOOKUP(A561,'ABB ExDa'!$A$2:$N$184, 2,FALSE), IFERROR(VLOOKUP(A561,'Vocus SIT ExDa'!$B$2:$J$173, 7,FALSE), IFERROR(VLOOKUP(A561,'Telstra ExDa'!$B$2:$K$310, 2,FALSE), IFERROR(VLOOKUP(A561,'Vocus RVC ExDa'!$C$2:$R$155, 3,FALSE), IFERROR(VLOOKUP(A561,'Fusion ExDa'!$B$2:$D$16, 2,FALSE), IFERROR(VLOOKUP(A561,'Exetel ExDa'!$C$2:$N$14, 2,FALSE), IFERROR(VLOOKUP(A561,'Infinet ExDa'!$B$2:$E$14, 2,FALSE), "Not Found"))))))))</f>
        <v>Not Found</v>
      </c>
      <c r="D561" t="str">
        <f>IFERROR(VLOOKUP($A561,'AAPT ExDa'!$B$2:$U$99, 15,FALSE), IFERROR(VLOOKUP($A561,'ABB ExDa'!$A$2:$N$184, 4,FALSE), IFERROR(VLOOKUP($A561,'Vocus SIT ExDa'!$B$2:$J$173, 5,FALSE), IFERROR(VLOOKUP($A561,'Telstra ExDa'!$B$2:$K$310, 8,FALSE), IFERROR(VLOOKUP($A561,'Vocus RVC ExDa'!$C$2:$R$155, 6,FALSE), IFERROR(VLOOKUP($A561,'Fusion ExDa'!$B$2:$D$16, 4,FALSE), IFERROR(VLOOKUP($A561,'Exetel ExDa'!$C$2:$N$14, 3,FALSE), IFERROR(VLOOKUP($A561,'Infinet ExDa'!$B$2:$E$14, 3,FALSE), "Not Found"))))))))</f>
        <v>Not Found</v>
      </c>
      <c r="E561" t="str">
        <f>IFERROR(VLOOKUP($A561,'AAPT ExDa'!$B$2:$U$99, 3,FALSE), IFERROR(VLOOKUP($A561,'ABB ExDa'!$A$2:$N$184, 5,FALSE), IFERROR(VLOOKUP($A561,'Vocus SIT ExDa'!$B$2:$J$173, 2,FALSE), IFERROR(VLOOKUP($A561,'Telstra ExDa'!$B$2:$K$310, 4,FALSE), IFERROR(VLOOKUP($A561,'Vocus RVC ExDa'!$C$2:$R$155, 8,FALSE), IFERROR(VLOOKUP($A561,'Fusion ExDa'!$B$2:$D$16, 4,FALSE), IFERROR(VLOOKUP($A561,'Exetel ExDa'!$C$2:$N$14, 5,FALSE), IFERROR(VLOOKUP($A561,'Infinet ExDa'!$B$2:$E$14, 3,FALSE), "Not Found"))))))))</f>
        <v>Not Found</v>
      </c>
      <c r="F561" t="str">
        <f>IFERROR(VLOOKUP($A561,'AAPT ExDa'!$B$2:$U$99, 4,FALSE), IFERROR(VLOOKUP($A561,'ABB ExDa'!$A$2:$N$184, 6,FALSE), IFERROR(VLOOKUP($A561,'Vocus SIT ExDa'!$B$2:$J$173, 3,FALSE), IFERROR(VLOOKUP($A561,'Telstra ExDa'!$B$2:$K$310, 5,FALSE), IFERROR(VLOOKUP($A561,'Vocus RVC ExDa'!$C$2:$R$155, 9,FALSE), IFERROR(VLOOKUP($A561,'Fusion ExDa'!$B$2:$D$16, 0,FALSE), IFERROR(VLOOKUP($A561,'Exetel ExDa'!$C$2:$N$14, 6,FALSE), IFERROR(VLOOKUP($A561,'Infinet ExDa'!$B$2:$E$14, 0,FALSE), "Not Found"))))))))</f>
        <v>Not Found</v>
      </c>
      <c r="G561" t="str">
        <f>IFERROR(VLOOKUP($A561,'AAPT ExDa'!$B$2:$U$99, 5,FALSE), IFERROR(VLOOKUP($A561,'ABB ExDa'!$A$2:$N$184, 8,FALSE), IFERROR(VLOOKUP($A561,'Vocus SIT ExDa'!$B$2:$J$173, 6,FALSE), IFERROR(VLOOKUP($A561,'Telstra ExDa'!$B$2:$K$310, 0,FALSE), IFERROR(VLOOKUP($A561,'Vocus RVC ExDa'!$C$2:$R$155, 15,FALSE), IFERROR(VLOOKUP($A561,'Fusion ExDa'!$B$2:$D$16, 0,FALSE), IFERROR(VLOOKUP($A561,'Exetel ExDa'!$C$2:$N$14, 7,FALSE), IFERROR(VLOOKUP($A561,'Infinet ExDa'!$B$2:$E$14, 0,FALSE), "Not Found"))))))))</f>
        <v>Not Found</v>
      </c>
      <c r="H561" t="str">
        <f>IFERROR(VLOOKUP($A561,'AAPT ExDa'!$B$2:$U$99, 6,FALSE), IFERROR(VLOOKUP($A561,'ABB ExDa'!$A$2:$N$184, 0,FALSE), IFERROR(VLOOKUP($A561,'Vocus SIT ExDa'!$B$2:$J$173, 0,FALSE), IFERROR(VLOOKUP($A561,'Telstra ExDa'!$B$2:$K$310, 0,FALSE), IFERROR(VLOOKUP($A561,'Vocus RVC ExDa'!$C$2:$R$155, 16,FALSE), IFERROR(VLOOKUP($A561,'Fusion ExDa'!$B$2:$D$16, 0,FALSE), IFERROR(VLOOKUP($A561,'Exetel ExDa'!$C$2:$N$14, 0,FALSE), IFERROR(VLOOKUP($A561,'Infinet ExDa'!$B$2:$E$14, 0,FALSE), "Not Found"))))))))</f>
        <v>Not Found</v>
      </c>
      <c r="I561" t="str">
        <f>IFERROR(VLOOKUP($A561,'AAPT ExDa'!$B$2:$U$99, 0,FALSE), IFERROR(VLOOKUP($A561,'ABB ExDa'!$A$2:$N$184, 0,FALSE), IFERROR(VLOOKUP($A561,'Vocus SIT ExDa'!$B$2:$J$173, 0,FALSE), IFERROR(VLOOKUP($A561,'Telstra ExDa'!$B$2:$K$310, 0,FALSE), IFERROR(VLOOKUP($A561,'Vocus RVC ExDa'!$C$2:$R$155, 0,FALSE), IFERROR(VLOOKUP($A561,'Fusion ExDa'!$B$2:$D$16, 0,FALSE), IFERROR(VLOOKUP($A561,'Exetel ExDa'!$C$2:$N$14, 8,FALSE), IFERROR(VLOOKUP($A561,'Infinet ExDa'!$B$2:$E$14, 0,FALSE), "Not Found"))))))))</f>
        <v>Not Found</v>
      </c>
      <c r="J561" t="str">
        <f>IFERROR(VLOOKUP($A561,'AAPT ExDa'!$B$2:$U$99, 7,FALSE), IFERROR(VLOOKUP($A561,'ABB ExDa'!$A$2:$N$184, 2,FALSE), IFERROR(VLOOKUP($A561,'Vocus SIT ExDa'!$B$2:$J$173, 0,FALSE), IFERROR(VLOOKUP($A561,'Telstra ExDa'!$B$2:$K$310, 7,FALSE), IFERROR(VLOOKUP($A561,'Vocus RVC ExDa'!$C$2:$R$155, 2,FALSE), IFERROR(VLOOKUP($A561,'Fusion ExDa'!$B$2:$D$16, 3,FALSE), IFERROR(VLOOKUP($A561,'Exetel ExDa'!$C$2:$N$14, 0,FALSE), IFERROR(VLOOKUP($A561,'Infinet ExDa'!$B$2:$E$14, 0,FALSE), "Not Found"))))))))</f>
        <v>Not Found</v>
      </c>
      <c r="K561" t="str">
        <f>IFERROR(VLOOKUP($A561,'AAPT ExDa'!$B$2:$U$99, 12,FALSE), IFERROR(VLOOKUP($A561,'ABB ExDa'!$A$2:$N$184, 0,FALSE), IFERROR(VLOOKUP($A561,'Vocus SIT ExDa'!$B$2:$J$173, 0,FALSE), IFERROR(VLOOKUP($A561,'Telstra ExDa'!$B$2:$K$310, 0,FALSE), IFERROR(VLOOKUP($A561,'Vocus RVC ExDa'!$C$2:$R$155, 0,FALSE), IFERROR(VLOOKUP($A561,'Fusion ExDa'!$B$2:$D$16, 0,FALSE), IFERROR(VLOOKUP($A561,'Exetel ExDa'!$C$2:$N$14, 12,FALSE), IFERROR(VLOOKUP($A561,'Infinet ExDa'!$B$2:$E$14, 0,FALSE), "Not Found"))))))))</f>
        <v>Not Found</v>
      </c>
      <c r="L561" s="235" t="str">
        <f>IFERROR(VLOOKUP($A561,'AAPT ExDa'!$B$2:$U$99, 11,FALSE), IFERROR(VLOOKUP($A561,'ABB ExDa'!$A$2:$N$184, 9,FALSE), IFERROR(VLOOKUP($A561,'Vocus SIT ExDa'!$B$2:$J$173, 8,FALSE), IFERROR(VLOOKUP($A561,'Telstra ExDa'!$B$2:$K$310, 0,FALSE), IFERROR(VLOOKUP($A561,'Vocus RVC ExDa'!$C$2:$R$155, 0,FALSE), IFERROR(VLOOKUP($A561,'Fusion ExDa'!$B$2:$D$16, 0,FALSE), IFERROR(VLOOKUP($A561,'Exetel ExDa'!$C$2:$N$14, 9,FALSE), IFERROR(VLOOKUP($A561,'Infinet ExDa'!$B$2:$E$14, 0,FALSE), "Not Found"))))))))</f>
        <v>Not Found</v>
      </c>
      <c r="M561" s="234" t="str">
        <f>IFERROR(VLOOKUP($A561,'AAPT ExDa'!$B$2:$U$99, 0,FALSE), IFERROR(VLOOKUP($A561,'ABB ExDa'!$A$2:$N$184, 0,FALSE), IFERROR(VLOOKUP($A561,'Vocus SIT ExDa'!$B$2:$J$173, 0,FALSE), IFERROR(VLOOKUP($A561,'Telstra ExDa'!$B$2:$K$310, 0,FALSE), IFERROR(VLOOKUP($A561,'Vocus RVC ExDa'!$C$2:$R$155, 0,FALSE), IFERROR(VLOOKUP($A561,'Fusion ExDa'!$B$2:$D$16, 0,FALSE), IFERROR(VLOOKUP($A561,'Exetel ExDa'!$C$2:$N$14, 11,FALSE), IFERROR(VLOOKUP($A561,'Infinet ExDa'!$B$2:$E$14, 0,FALSE), "Not Found"))))))))</f>
        <v>Not Found</v>
      </c>
      <c r="N561" t="str">
        <f>IFERROR(VLOOKUP($A561,'AAPT ExDa'!$B$2:$U$99, 0,FALSE), IFERROR(VLOOKUP($A561,'ABB ExDa'!$A$2:$N$184, 13,FALSE), IFERROR(VLOOKUP($A561,'Vocus SIT ExDa'!$B$2:$J$173, 0,FALSE), IFERROR(VLOOKUP($A561,'Telstra ExDa'!$B$2:$K$310, 0,FALSE), IFERROR(VLOOKUP($A561,'Vocus RVC ExDa'!$C$2:$R$155, 0,FALSE), IFERROR(VLOOKUP($A561,'Fusion ExDa'!$B$2:$D$16, 0,FALSE), IFERROR(VLOOKUP($A561,'Exetel ExDa'!$C$2:$N$14, 0,FALSE), IFERROR(VLOOKUP($A561,'Infinet ExDa'!$B$2:$E$14, 0,FALSE), "Not Found"))))))))</f>
        <v>Not Found</v>
      </c>
    </row>
    <row r="562" spans="1:14">
      <c r="A562">
        <v>0</v>
      </c>
      <c r="B562" t="str">
        <f>IFERROR(VLOOKUP(A562,'Exetel ExDa'!$C$2:$N$14,4,FALSE),"No Data")</f>
        <v>No Data</v>
      </c>
      <c r="C562" t="str">
        <f>IFERROR(VLOOKUP(A562,'AAPT ExDa'!$B$2:$U$99, 2,FALSE), IFERROR(VLOOKUP(A562,'ABB ExDa'!$A$2:$N$184, 2,FALSE), IFERROR(VLOOKUP(A562,'Vocus SIT ExDa'!$B$2:$J$173, 7,FALSE), IFERROR(VLOOKUP(A562,'Telstra ExDa'!$B$2:$K$310, 2,FALSE), IFERROR(VLOOKUP(A562,'Vocus RVC ExDa'!$C$2:$R$155, 3,FALSE), IFERROR(VLOOKUP(A562,'Fusion ExDa'!$B$2:$D$16, 2,FALSE), IFERROR(VLOOKUP(A562,'Exetel ExDa'!$C$2:$N$14, 2,FALSE), IFERROR(VLOOKUP(A562,'Infinet ExDa'!$B$2:$E$14, 2,FALSE), "Not Found"))))))))</f>
        <v>Not Found</v>
      </c>
      <c r="D562" t="str">
        <f>IFERROR(VLOOKUP($A562,'AAPT ExDa'!$B$2:$U$99, 15,FALSE), IFERROR(VLOOKUP($A562,'ABB ExDa'!$A$2:$N$184, 4,FALSE), IFERROR(VLOOKUP($A562,'Vocus SIT ExDa'!$B$2:$J$173, 5,FALSE), IFERROR(VLOOKUP($A562,'Telstra ExDa'!$B$2:$K$310, 8,FALSE), IFERROR(VLOOKUP($A562,'Vocus RVC ExDa'!$C$2:$R$155, 6,FALSE), IFERROR(VLOOKUP($A562,'Fusion ExDa'!$B$2:$D$16, 4,FALSE), IFERROR(VLOOKUP($A562,'Exetel ExDa'!$C$2:$N$14, 3,FALSE), IFERROR(VLOOKUP($A562,'Infinet ExDa'!$B$2:$E$14, 3,FALSE), "Not Found"))))))))</f>
        <v>Not Found</v>
      </c>
      <c r="E562" t="str">
        <f>IFERROR(VLOOKUP($A562,'AAPT ExDa'!$B$2:$U$99, 3,FALSE), IFERROR(VLOOKUP($A562,'ABB ExDa'!$A$2:$N$184, 5,FALSE), IFERROR(VLOOKUP($A562,'Vocus SIT ExDa'!$B$2:$J$173, 2,FALSE), IFERROR(VLOOKUP($A562,'Telstra ExDa'!$B$2:$K$310, 4,FALSE), IFERROR(VLOOKUP($A562,'Vocus RVC ExDa'!$C$2:$R$155, 8,FALSE), IFERROR(VLOOKUP($A562,'Fusion ExDa'!$B$2:$D$16, 4,FALSE), IFERROR(VLOOKUP($A562,'Exetel ExDa'!$C$2:$N$14, 5,FALSE), IFERROR(VLOOKUP($A562,'Infinet ExDa'!$B$2:$E$14, 3,FALSE), "Not Found"))))))))</f>
        <v>Not Found</v>
      </c>
      <c r="F562" t="str">
        <f>IFERROR(VLOOKUP($A562,'AAPT ExDa'!$B$2:$U$99, 4,FALSE), IFERROR(VLOOKUP($A562,'ABB ExDa'!$A$2:$N$184, 6,FALSE), IFERROR(VLOOKUP($A562,'Vocus SIT ExDa'!$B$2:$J$173, 3,FALSE), IFERROR(VLOOKUP($A562,'Telstra ExDa'!$B$2:$K$310, 5,FALSE), IFERROR(VLOOKUP($A562,'Vocus RVC ExDa'!$C$2:$R$155, 9,FALSE), IFERROR(VLOOKUP($A562,'Fusion ExDa'!$B$2:$D$16, 0,FALSE), IFERROR(VLOOKUP($A562,'Exetel ExDa'!$C$2:$N$14, 6,FALSE), IFERROR(VLOOKUP($A562,'Infinet ExDa'!$B$2:$E$14, 0,FALSE), "Not Found"))))))))</f>
        <v>Not Found</v>
      </c>
      <c r="G562" t="str">
        <f>IFERROR(VLOOKUP($A562,'AAPT ExDa'!$B$2:$U$99, 5,FALSE), IFERROR(VLOOKUP($A562,'ABB ExDa'!$A$2:$N$184, 8,FALSE), IFERROR(VLOOKUP($A562,'Vocus SIT ExDa'!$B$2:$J$173, 6,FALSE), IFERROR(VLOOKUP($A562,'Telstra ExDa'!$B$2:$K$310, 0,FALSE), IFERROR(VLOOKUP($A562,'Vocus RVC ExDa'!$C$2:$R$155, 15,FALSE), IFERROR(VLOOKUP($A562,'Fusion ExDa'!$B$2:$D$16, 0,FALSE), IFERROR(VLOOKUP($A562,'Exetel ExDa'!$C$2:$N$14, 7,FALSE), IFERROR(VLOOKUP($A562,'Infinet ExDa'!$B$2:$E$14, 0,FALSE), "Not Found"))))))))</f>
        <v>Not Found</v>
      </c>
      <c r="H562" t="str">
        <f>IFERROR(VLOOKUP($A562,'AAPT ExDa'!$B$2:$U$99, 6,FALSE), IFERROR(VLOOKUP($A562,'ABB ExDa'!$A$2:$N$184, 0,FALSE), IFERROR(VLOOKUP($A562,'Vocus SIT ExDa'!$B$2:$J$173, 0,FALSE), IFERROR(VLOOKUP($A562,'Telstra ExDa'!$B$2:$K$310, 0,FALSE), IFERROR(VLOOKUP($A562,'Vocus RVC ExDa'!$C$2:$R$155, 16,FALSE), IFERROR(VLOOKUP($A562,'Fusion ExDa'!$B$2:$D$16, 0,FALSE), IFERROR(VLOOKUP($A562,'Exetel ExDa'!$C$2:$N$14, 0,FALSE), IFERROR(VLOOKUP($A562,'Infinet ExDa'!$B$2:$E$14, 0,FALSE), "Not Found"))))))))</f>
        <v>Not Found</v>
      </c>
      <c r="I562" t="str">
        <f>IFERROR(VLOOKUP($A562,'AAPT ExDa'!$B$2:$U$99, 0,FALSE), IFERROR(VLOOKUP($A562,'ABB ExDa'!$A$2:$N$184, 0,FALSE), IFERROR(VLOOKUP($A562,'Vocus SIT ExDa'!$B$2:$J$173, 0,FALSE), IFERROR(VLOOKUP($A562,'Telstra ExDa'!$B$2:$K$310, 0,FALSE), IFERROR(VLOOKUP($A562,'Vocus RVC ExDa'!$C$2:$R$155, 0,FALSE), IFERROR(VLOOKUP($A562,'Fusion ExDa'!$B$2:$D$16, 0,FALSE), IFERROR(VLOOKUP($A562,'Exetel ExDa'!$C$2:$N$14, 8,FALSE), IFERROR(VLOOKUP($A562,'Infinet ExDa'!$B$2:$E$14, 0,FALSE), "Not Found"))))))))</f>
        <v>Not Found</v>
      </c>
      <c r="J562" t="str">
        <f>IFERROR(VLOOKUP($A562,'AAPT ExDa'!$B$2:$U$99, 7,FALSE), IFERROR(VLOOKUP($A562,'ABB ExDa'!$A$2:$N$184, 2,FALSE), IFERROR(VLOOKUP($A562,'Vocus SIT ExDa'!$B$2:$J$173, 0,FALSE), IFERROR(VLOOKUP($A562,'Telstra ExDa'!$B$2:$K$310, 7,FALSE), IFERROR(VLOOKUP($A562,'Vocus RVC ExDa'!$C$2:$R$155, 2,FALSE), IFERROR(VLOOKUP($A562,'Fusion ExDa'!$B$2:$D$16, 3,FALSE), IFERROR(VLOOKUP($A562,'Exetel ExDa'!$C$2:$N$14, 0,FALSE), IFERROR(VLOOKUP($A562,'Infinet ExDa'!$B$2:$E$14, 0,FALSE), "Not Found"))))))))</f>
        <v>Not Found</v>
      </c>
      <c r="K562" t="str">
        <f>IFERROR(VLOOKUP($A562,'AAPT ExDa'!$B$2:$U$99, 12,FALSE), IFERROR(VLOOKUP($A562,'ABB ExDa'!$A$2:$N$184, 0,FALSE), IFERROR(VLOOKUP($A562,'Vocus SIT ExDa'!$B$2:$J$173, 0,FALSE), IFERROR(VLOOKUP($A562,'Telstra ExDa'!$B$2:$K$310, 0,FALSE), IFERROR(VLOOKUP($A562,'Vocus RVC ExDa'!$C$2:$R$155, 0,FALSE), IFERROR(VLOOKUP($A562,'Fusion ExDa'!$B$2:$D$16, 0,FALSE), IFERROR(VLOOKUP($A562,'Exetel ExDa'!$C$2:$N$14, 12,FALSE), IFERROR(VLOOKUP($A562,'Infinet ExDa'!$B$2:$E$14, 0,FALSE), "Not Found"))))))))</f>
        <v>Not Found</v>
      </c>
      <c r="L562" s="235" t="str">
        <f>IFERROR(VLOOKUP($A562,'AAPT ExDa'!$B$2:$U$99, 11,FALSE), IFERROR(VLOOKUP($A562,'ABB ExDa'!$A$2:$N$184, 9,FALSE), IFERROR(VLOOKUP($A562,'Vocus SIT ExDa'!$B$2:$J$173, 8,FALSE), IFERROR(VLOOKUP($A562,'Telstra ExDa'!$B$2:$K$310, 0,FALSE), IFERROR(VLOOKUP($A562,'Vocus RVC ExDa'!$C$2:$R$155, 0,FALSE), IFERROR(VLOOKUP($A562,'Fusion ExDa'!$B$2:$D$16, 0,FALSE), IFERROR(VLOOKUP($A562,'Exetel ExDa'!$C$2:$N$14, 9,FALSE), IFERROR(VLOOKUP($A562,'Infinet ExDa'!$B$2:$E$14, 0,FALSE), "Not Found"))))))))</f>
        <v>Not Found</v>
      </c>
      <c r="M562" s="234" t="str">
        <f>IFERROR(VLOOKUP($A562,'AAPT ExDa'!$B$2:$U$99, 0,FALSE), IFERROR(VLOOKUP($A562,'ABB ExDa'!$A$2:$N$184, 0,FALSE), IFERROR(VLOOKUP($A562,'Vocus SIT ExDa'!$B$2:$J$173, 0,FALSE), IFERROR(VLOOKUP($A562,'Telstra ExDa'!$B$2:$K$310, 0,FALSE), IFERROR(VLOOKUP($A562,'Vocus RVC ExDa'!$C$2:$R$155, 0,FALSE), IFERROR(VLOOKUP($A562,'Fusion ExDa'!$B$2:$D$16, 0,FALSE), IFERROR(VLOOKUP($A562,'Exetel ExDa'!$C$2:$N$14, 11,FALSE), IFERROR(VLOOKUP($A562,'Infinet ExDa'!$B$2:$E$14, 0,FALSE), "Not Found"))))))))</f>
        <v>Not Found</v>
      </c>
      <c r="N562" t="str">
        <f>IFERROR(VLOOKUP($A562,'AAPT ExDa'!$B$2:$U$99, 0,FALSE), IFERROR(VLOOKUP($A562,'ABB ExDa'!$A$2:$N$184, 13,FALSE), IFERROR(VLOOKUP($A562,'Vocus SIT ExDa'!$B$2:$J$173, 0,FALSE), IFERROR(VLOOKUP($A562,'Telstra ExDa'!$B$2:$K$310, 0,FALSE), IFERROR(VLOOKUP($A562,'Vocus RVC ExDa'!$C$2:$R$155, 0,FALSE), IFERROR(VLOOKUP($A562,'Fusion ExDa'!$B$2:$D$16, 0,FALSE), IFERROR(VLOOKUP($A562,'Exetel ExDa'!$C$2:$N$14, 0,FALSE), IFERROR(VLOOKUP($A562,'Infinet ExDa'!$B$2:$E$14, 0,FALSE), "Not Found"))))))))</f>
        <v>Not Found</v>
      </c>
    </row>
    <row r="563" spans="1:14">
      <c r="A563">
        <v>0</v>
      </c>
      <c r="B563" t="str">
        <f>IFERROR(VLOOKUP(A563,'Exetel ExDa'!$C$2:$N$14,4,FALSE),"No Data")</f>
        <v>No Data</v>
      </c>
      <c r="C563" t="str">
        <f>IFERROR(VLOOKUP(A563,'AAPT ExDa'!$B$2:$U$99, 2,FALSE), IFERROR(VLOOKUP(A563,'ABB ExDa'!$A$2:$N$184, 2,FALSE), IFERROR(VLOOKUP(A563,'Vocus SIT ExDa'!$B$2:$J$173, 7,FALSE), IFERROR(VLOOKUP(A563,'Telstra ExDa'!$B$2:$K$310, 2,FALSE), IFERROR(VLOOKUP(A563,'Vocus RVC ExDa'!$C$2:$R$155, 3,FALSE), IFERROR(VLOOKUP(A563,'Fusion ExDa'!$B$2:$D$16, 2,FALSE), IFERROR(VLOOKUP(A563,'Exetel ExDa'!$C$2:$N$14, 2,FALSE), IFERROR(VLOOKUP(A563,'Infinet ExDa'!$B$2:$E$14, 2,FALSE), "Not Found"))))))))</f>
        <v>Not Found</v>
      </c>
      <c r="D563" t="str">
        <f>IFERROR(VLOOKUP($A563,'AAPT ExDa'!$B$2:$U$99, 15,FALSE), IFERROR(VLOOKUP($A563,'ABB ExDa'!$A$2:$N$184, 4,FALSE), IFERROR(VLOOKUP($A563,'Vocus SIT ExDa'!$B$2:$J$173, 5,FALSE), IFERROR(VLOOKUP($A563,'Telstra ExDa'!$B$2:$K$310, 8,FALSE), IFERROR(VLOOKUP($A563,'Vocus RVC ExDa'!$C$2:$R$155, 6,FALSE), IFERROR(VLOOKUP($A563,'Fusion ExDa'!$B$2:$D$16, 4,FALSE), IFERROR(VLOOKUP($A563,'Exetel ExDa'!$C$2:$N$14, 3,FALSE), IFERROR(VLOOKUP($A563,'Infinet ExDa'!$B$2:$E$14, 3,FALSE), "Not Found"))))))))</f>
        <v>Not Found</v>
      </c>
      <c r="E563" t="str">
        <f>IFERROR(VLOOKUP($A563,'AAPT ExDa'!$B$2:$U$99, 3,FALSE), IFERROR(VLOOKUP($A563,'ABB ExDa'!$A$2:$N$184, 5,FALSE), IFERROR(VLOOKUP($A563,'Vocus SIT ExDa'!$B$2:$J$173, 2,FALSE), IFERROR(VLOOKUP($A563,'Telstra ExDa'!$B$2:$K$310, 4,FALSE), IFERROR(VLOOKUP($A563,'Vocus RVC ExDa'!$C$2:$R$155, 8,FALSE), IFERROR(VLOOKUP($A563,'Fusion ExDa'!$B$2:$D$16, 4,FALSE), IFERROR(VLOOKUP($A563,'Exetel ExDa'!$C$2:$N$14, 5,FALSE), IFERROR(VLOOKUP($A563,'Infinet ExDa'!$B$2:$E$14, 3,FALSE), "Not Found"))))))))</f>
        <v>Not Found</v>
      </c>
      <c r="F563" t="str">
        <f>IFERROR(VLOOKUP($A563,'AAPT ExDa'!$B$2:$U$99, 4,FALSE), IFERROR(VLOOKUP($A563,'ABB ExDa'!$A$2:$N$184, 6,FALSE), IFERROR(VLOOKUP($A563,'Vocus SIT ExDa'!$B$2:$J$173, 3,FALSE), IFERROR(VLOOKUP($A563,'Telstra ExDa'!$B$2:$K$310, 5,FALSE), IFERROR(VLOOKUP($A563,'Vocus RVC ExDa'!$C$2:$R$155, 9,FALSE), IFERROR(VLOOKUP($A563,'Fusion ExDa'!$B$2:$D$16, 0,FALSE), IFERROR(VLOOKUP($A563,'Exetel ExDa'!$C$2:$N$14, 6,FALSE), IFERROR(VLOOKUP($A563,'Infinet ExDa'!$B$2:$E$14, 0,FALSE), "Not Found"))))))))</f>
        <v>Not Found</v>
      </c>
      <c r="G563" t="str">
        <f>IFERROR(VLOOKUP($A563,'AAPT ExDa'!$B$2:$U$99, 5,FALSE), IFERROR(VLOOKUP($A563,'ABB ExDa'!$A$2:$N$184, 8,FALSE), IFERROR(VLOOKUP($A563,'Vocus SIT ExDa'!$B$2:$J$173, 6,FALSE), IFERROR(VLOOKUP($A563,'Telstra ExDa'!$B$2:$K$310, 0,FALSE), IFERROR(VLOOKUP($A563,'Vocus RVC ExDa'!$C$2:$R$155, 15,FALSE), IFERROR(VLOOKUP($A563,'Fusion ExDa'!$B$2:$D$16, 0,FALSE), IFERROR(VLOOKUP($A563,'Exetel ExDa'!$C$2:$N$14, 7,FALSE), IFERROR(VLOOKUP($A563,'Infinet ExDa'!$B$2:$E$14, 0,FALSE), "Not Found"))))))))</f>
        <v>Not Found</v>
      </c>
      <c r="H563" t="str">
        <f>IFERROR(VLOOKUP($A563,'AAPT ExDa'!$B$2:$U$99, 6,FALSE), IFERROR(VLOOKUP($A563,'ABB ExDa'!$A$2:$N$184, 0,FALSE), IFERROR(VLOOKUP($A563,'Vocus SIT ExDa'!$B$2:$J$173, 0,FALSE), IFERROR(VLOOKUP($A563,'Telstra ExDa'!$B$2:$K$310, 0,FALSE), IFERROR(VLOOKUP($A563,'Vocus RVC ExDa'!$C$2:$R$155, 16,FALSE), IFERROR(VLOOKUP($A563,'Fusion ExDa'!$B$2:$D$16, 0,FALSE), IFERROR(VLOOKUP($A563,'Exetel ExDa'!$C$2:$N$14, 0,FALSE), IFERROR(VLOOKUP($A563,'Infinet ExDa'!$B$2:$E$14, 0,FALSE), "Not Found"))))))))</f>
        <v>Not Found</v>
      </c>
      <c r="I563" t="str">
        <f>IFERROR(VLOOKUP($A563,'AAPT ExDa'!$B$2:$U$99, 0,FALSE), IFERROR(VLOOKUP($A563,'ABB ExDa'!$A$2:$N$184, 0,FALSE), IFERROR(VLOOKUP($A563,'Vocus SIT ExDa'!$B$2:$J$173, 0,FALSE), IFERROR(VLOOKUP($A563,'Telstra ExDa'!$B$2:$K$310, 0,FALSE), IFERROR(VLOOKUP($A563,'Vocus RVC ExDa'!$C$2:$R$155, 0,FALSE), IFERROR(VLOOKUP($A563,'Fusion ExDa'!$B$2:$D$16, 0,FALSE), IFERROR(VLOOKUP($A563,'Exetel ExDa'!$C$2:$N$14, 8,FALSE), IFERROR(VLOOKUP($A563,'Infinet ExDa'!$B$2:$E$14, 0,FALSE), "Not Found"))))))))</f>
        <v>Not Found</v>
      </c>
      <c r="J563" t="str">
        <f>IFERROR(VLOOKUP($A563,'AAPT ExDa'!$B$2:$U$99, 7,FALSE), IFERROR(VLOOKUP($A563,'ABB ExDa'!$A$2:$N$184, 2,FALSE), IFERROR(VLOOKUP($A563,'Vocus SIT ExDa'!$B$2:$J$173, 0,FALSE), IFERROR(VLOOKUP($A563,'Telstra ExDa'!$B$2:$K$310, 7,FALSE), IFERROR(VLOOKUP($A563,'Vocus RVC ExDa'!$C$2:$R$155, 2,FALSE), IFERROR(VLOOKUP($A563,'Fusion ExDa'!$B$2:$D$16, 3,FALSE), IFERROR(VLOOKUP($A563,'Exetel ExDa'!$C$2:$N$14, 0,FALSE), IFERROR(VLOOKUP($A563,'Infinet ExDa'!$B$2:$E$14, 0,FALSE), "Not Found"))))))))</f>
        <v>Not Found</v>
      </c>
      <c r="K563" t="str">
        <f>IFERROR(VLOOKUP($A563,'AAPT ExDa'!$B$2:$U$99, 12,FALSE), IFERROR(VLOOKUP($A563,'ABB ExDa'!$A$2:$N$184, 0,FALSE), IFERROR(VLOOKUP($A563,'Vocus SIT ExDa'!$B$2:$J$173, 0,FALSE), IFERROR(VLOOKUP($A563,'Telstra ExDa'!$B$2:$K$310, 0,FALSE), IFERROR(VLOOKUP($A563,'Vocus RVC ExDa'!$C$2:$R$155, 0,FALSE), IFERROR(VLOOKUP($A563,'Fusion ExDa'!$B$2:$D$16, 0,FALSE), IFERROR(VLOOKUP($A563,'Exetel ExDa'!$C$2:$N$14, 12,FALSE), IFERROR(VLOOKUP($A563,'Infinet ExDa'!$B$2:$E$14, 0,FALSE), "Not Found"))))))))</f>
        <v>Not Found</v>
      </c>
      <c r="L563" s="235" t="str">
        <f>IFERROR(VLOOKUP($A563,'AAPT ExDa'!$B$2:$U$99, 11,FALSE), IFERROR(VLOOKUP($A563,'ABB ExDa'!$A$2:$N$184, 9,FALSE), IFERROR(VLOOKUP($A563,'Vocus SIT ExDa'!$B$2:$J$173, 8,FALSE), IFERROR(VLOOKUP($A563,'Telstra ExDa'!$B$2:$K$310, 0,FALSE), IFERROR(VLOOKUP($A563,'Vocus RVC ExDa'!$C$2:$R$155, 0,FALSE), IFERROR(VLOOKUP($A563,'Fusion ExDa'!$B$2:$D$16, 0,FALSE), IFERROR(VLOOKUP($A563,'Exetel ExDa'!$C$2:$N$14, 9,FALSE), IFERROR(VLOOKUP($A563,'Infinet ExDa'!$B$2:$E$14, 0,FALSE), "Not Found"))))))))</f>
        <v>Not Found</v>
      </c>
      <c r="M563" s="234" t="str">
        <f>IFERROR(VLOOKUP($A563,'AAPT ExDa'!$B$2:$U$99, 0,FALSE), IFERROR(VLOOKUP($A563,'ABB ExDa'!$A$2:$N$184, 0,FALSE), IFERROR(VLOOKUP($A563,'Vocus SIT ExDa'!$B$2:$J$173, 0,FALSE), IFERROR(VLOOKUP($A563,'Telstra ExDa'!$B$2:$K$310, 0,FALSE), IFERROR(VLOOKUP($A563,'Vocus RVC ExDa'!$C$2:$R$155, 0,FALSE), IFERROR(VLOOKUP($A563,'Fusion ExDa'!$B$2:$D$16, 0,FALSE), IFERROR(VLOOKUP($A563,'Exetel ExDa'!$C$2:$N$14, 11,FALSE), IFERROR(VLOOKUP($A563,'Infinet ExDa'!$B$2:$E$14, 0,FALSE), "Not Found"))))))))</f>
        <v>Not Found</v>
      </c>
      <c r="N563" t="str">
        <f>IFERROR(VLOOKUP($A563,'AAPT ExDa'!$B$2:$U$99, 0,FALSE), IFERROR(VLOOKUP($A563,'ABB ExDa'!$A$2:$N$184, 13,FALSE), IFERROR(VLOOKUP($A563,'Vocus SIT ExDa'!$B$2:$J$173, 0,FALSE), IFERROR(VLOOKUP($A563,'Telstra ExDa'!$B$2:$K$310, 0,FALSE), IFERROR(VLOOKUP($A563,'Vocus RVC ExDa'!$C$2:$R$155, 0,FALSE), IFERROR(VLOOKUP($A563,'Fusion ExDa'!$B$2:$D$16, 0,FALSE), IFERROR(VLOOKUP($A563,'Exetel ExDa'!$C$2:$N$14, 0,FALSE), IFERROR(VLOOKUP($A563,'Infinet ExDa'!$B$2:$E$14, 0,FALSE), "Not Found"))))))))</f>
        <v>Not Found</v>
      </c>
    </row>
    <row r="564" spans="1:14">
      <c r="A564">
        <v>0</v>
      </c>
      <c r="B564" t="str">
        <f>IFERROR(VLOOKUP(A564,'Exetel ExDa'!$C$2:$N$14,4,FALSE),"No Data")</f>
        <v>No Data</v>
      </c>
      <c r="C564" t="str">
        <f>IFERROR(VLOOKUP(A564,'AAPT ExDa'!$B$2:$U$99, 2,FALSE), IFERROR(VLOOKUP(A564,'ABB ExDa'!$A$2:$N$184, 2,FALSE), IFERROR(VLOOKUP(A564,'Vocus SIT ExDa'!$B$2:$J$173, 7,FALSE), IFERROR(VLOOKUP(A564,'Telstra ExDa'!$B$2:$K$310, 2,FALSE), IFERROR(VLOOKUP(A564,'Vocus RVC ExDa'!$C$2:$R$155, 3,FALSE), IFERROR(VLOOKUP(A564,'Fusion ExDa'!$B$2:$D$16, 2,FALSE), IFERROR(VLOOKUP(A564,'Exetel ExDa'!$C$2:$N$14, 2,FALSE), IFERROR(VLOOKUP(A564,'Infinet ExDa'!$B$2:$E$14, 2,FALSE), "Not Found"))))))))</f>
        <v>Not Found</v>
      </c>
      <c r="D564" t="str">
        <f>IFERROR(VLOOKUP($A564,'AAPT ExDa'!$B$2:$U$99, 15,FALSE), IFERROR(VLOOKUP($A564,'ABB ExDa'!$A$2:$N$184, 4,FALSE), IFERROR(VLOOKUP($A564,'Vocus SIT ExDa'!$B$2:$J$173, 5,FALSE), IFERROR(VLOOKUP($A564,'Telstra ExDa'!$B$2:$K$310, 8,FALSE), IFERROR(VLOOKUP($A564,'Vocus RVC ExDa'!$C$2:$R$155, 6,FALSE), IFERROR(VLOOKUP($A564,'Fusion ExDa'!$B$2:$D$16, 4,FALSE), IFERROR(VLOOKUP($A564,'Exetel ExDa'!$C$2:$N$14, 3,FALSE), IFERROR(VLOOKUP($A564,'Infinet ExDa'!$B$2:$E$14, 3,FALSE), "Not Found"))))))))</f>
        <v>Not Found</v>
      </c>
      <c r="E564" t="str">
        <f>IFERROR(VLOOKUP($A564,'AAPT ExDa'!$B$2:$U$99, 3,FALSE), IFERROR(VLOOKUP($A564,'ABB ExDa'!$A$2:$N$184, 5,FALSE), IFERROR(VLOOKUP($A564,'Vocus SIT ExDa'!$B$2:$J$173, 2,FALSE), IFERROR(VLOOKUP($A564,'Telstra ExDa'!$B$2:$K$310, 4,FALSE), IFERROR(VLOOKUP($A564,'Vocus RVC ExDa'!$C$2:$R$155, 8,FALSE), IFERROR(VLOOKUP($A564,'Fusion ExDa'!$B$2:$D$16, 4,FALSE), IFERROR(VLOOKUP($A564,'Exetel ExDa'!$C$2:$N$14, 5,FALSE), IFERROR(VLOOKUP($A564,'Infinet ExDa'!$B$2:$E$14, 3,FALSE), "Not Found"))))))))</f>
        <v>Not Found</v>
      </c>
      <c r="F564" t="str">
        <f>IFERROR(VLOOKUP($A564,'AAPT ExDa'!$B$2:$U$99, 4,FALSE), IFERROR(VLOOKUP($A564,'ABB ExDa'!$A$2:$N$184, 6,FALSE), IFERROR(VLOOKUP($A564,'Vocus SIT ExDa'!$B$2:$J$173, 3,FALSE), IFERROR(VLOOKUP($A564,'Telstra ExDa'!$B$2:$K$310, 5,FALSE), IFERROR(VLOOKUP($A564,'Vocus RVC ExDa'!$C$2:$R$155, 9,FALSE), IFERROR(VLOOKUP($A564,'Fusion ExDa'!$B$2:$D$16, 0,FALSE), IFERROR(VLOOKUP($A564,'Exetel ExDa'!$C$2:$N$14, 6,FALSE), IFERROR(VLOOKUP($A564,'Infinet ExDa'!$B$2:$E$14, 0,FALSE), "Not Found"))))))))</f>
        <v>Not Found</v>
      </c>
      <c r="G564" t="str">
        <f>IFERROR(VLOOKUP($A564,'AAPT ExDa'!$B$2:$U$99, 5,FALSE), IFERROR(VLOOKUP($A564,'ABB ExDa'!$A$2:$N$184, 8,FALSE), IFERROR(VLOOKUP($A564,'Vocus SIT ExDa'!$B$2:$J$173, 6,FALSE), IFERROR(VLOOKUP($A564,'Telstra ExDa'!$B$2:$K$310, 0,FALSE), IFERROR(VLOOKUP($A564,'Vocus RVC ExDa'!$C$2:$R$155, 15,FALSE), IFERROR(VLOOKUP($A564,'Fusion ExDa'!$B$2:$D$16, 0,FALSE), IFERROR(VLOOKUP($A564,'Exetel ExDa'!$C$2:$N$14, 7,FALSE), IFERROR(VLOOKUP($A564,'Infinet ExDa'!$B$2:$E$14, 0,FALSE), "Not Found"))))))))</f>
        <v>Not Found</v>
      </c>
      <c r="H564" t="str">
        <f>IFERROR(VLOOKUP($A564,'AAPT ExDa'!$B$2:$U$99, 6,FALSE), IFERROR(VLOOKUP($A564,'ABB ExDa'!$A$2:$N$184, 0,FALSE), IFERROR(VLOOKUP($A564,'Vocus SIT ExDa'!$B$2:$J$173, 0,FALSE), IFERROR(VLOOKUP($A564,'Telstra ExDa'!$B$2:$K$310, 0,FALSE), IFERROR(VLOOKUP($A564,'Vocus RVC ExDa'!$C$2:$R$155, 16,FALSE), IFERROR(VLOOKUP($A564,'Fusion ExDa'!$B$2:$D$16, 0,FALSE), IFERROR(VLOOKUP($A564,'Exetel ExDa'!$C$2:$N$14, 0,FALSE), IFERROR(VLOOKUP($A564,'Infinet ExDa'!$B$2:$E$14, 0,FALSE), "Not Found"))))))))</f>
        <v>Not Found</v>
      </c>
      <c r="I564" t="str">
        <f>IFERROR(VLOOKUP($A564,'AAPT ExDa'!$B$2:$U$99, 0,FALSE), IFERROR(VLOOKUP($A564,'ABB ExDa'!$A$2:$N$184, 0,FALSE), IFERROR(VLOOKUP($A564,'Vocus SIT ExDa'!$B$2:$J$173, 0,FALSE), IFERROR(VLOOKUP($A564,'Telstra ExDa'!$B$2:$K$310, 0,FALSE), IFERROR(VLOOKUP($A564,'Vocus RVC ExDa'!$C$2:$R$155, 0,FALSE), IFERROR(VLOOKUP($A564,'Fusion ExDa'!$B$2:$D$16, 0,FALSE), IFERROR(VLOOKUP($A564,'Exetel ExDa'!$C$2:$N$14, 8,FALSE), IFERROR(VLOOKUP($A564,'Infinet ExDa'!$B$2:$E$14, 0,FALSE), "Not Found"))))))))</f>
        <v>Not Found</v>
      </c>
      <c r="J564" t="str">
        <f>IFERROR(VLOOKUP($A564,'AAPT ExDa'!$B$2:$U$99, 7,FALSE), IFERROR(VLOOKUP($A564,'ABB ExDa'!$A$2:$N$184, 2,FALSE), IFERROR(VLOOKUP($A564,'Vocus SIT ExDa'!$B$2:$J$173, 0,FALSE), IFERROR(VLOOKUP($A564,'Telstra ExDa'!$B$2:$K$310, 7,FALSE), IFERROR(VLOOKUP($A564,'Vocus RVC ExDa'!$C$2:$R$155, 2,FALSE), IFERROR(VLOOKUP($A564,'Fusion ExDa'!$B$2:$D$16, 3,FALSE), IFERROR(VLOOKUP($A564,'Exetel ExDa'!$C$2:$N$14, 0,FALSE), IFERROR(VLOOKUP($A564,'Infinet ExDa'!$B$2:$E$14, 0,FALSE), "Not Found"))))))))</f>
        <v>Not Found</v>
      </c>
      <c r="K564" t="str">
        <f>IFERROR(VLOOKUP($A564,'AAPT ExDa'!$B$2:$U$99, 12,FALSE), IFERROR(VLOOKUP($A564,'ABB ExDa'!$A$2:$N$184, 0,FALSE), IFERROR(VLOOKUP($A564,'Vocus SIT ExDa'!$B$2:$J$173, 0,FALSE), IFERROR(VLOOKUP($A564,'Telstra ExDa'!$B$2:$K$310, 0,FALSE), IFERROR(VLOOKUP($A564,'Vocus RVC ExDa'!$C$2:$R$155, 0,FALSE), IFERROR(VLOOKUP($A564,'Fusion ExDa'!$B$2:$D$16, 0,FALSE), IFERROR(VLOOKUP($A564,'Exetel ExDa'!$C$2:$N$14, 12,FALSE), IFERROR(VLOOKUP($A564,'Infinet ExDa'!$B$2:$E$14, 0,FALSE), "Not Found"))))))))</f>
        <v>Not Found</v>
      </c>
      <c r="L564" s="235" t="str">
        <f>IFERROR(VLOOKUP($A564,'AAPT ExDa'!$B$2:$U$99, 11,FALSE), IFERROR(VLOOKUP($A564,'ABB ExDa'!$A$2:$N$184, 9,FALSE), IFERROR(VLOOKUP($A564,'Vocus SIT ExDa'!$B$2:$J$173, 8,FALSE), IFERROR(VLOOKUP($A564,'Telstra ExDa'!$B$2:$K$310, 0,FALSE), IFERROR(VLOOKUP($A564,'Vocus RVC ExDa'!$C$2:$R$155, 0,FALSE), IFERROR(VLOOKUP($A564,'Fusion ExDa'!$B$2:$D$16, 0,FALSE), IFERROR(VLOOKUP($A564,'Exetel ExDa'!$C$2:$N$14, 9,FALSE), IFERROR(VLOOKUP($A564,'Infinet ExDa'!$B$2:$E$14, 0,FALSE), "Not Found"))))))))</f>
        <v>Not Found</v>
      </c>
      <c r="M564" s="234" t="str">
        <f>IFERROR(VLOOKUP($A564,'AAPT ExDa'!$B$2:$U$99, 0,FALSE), IFERROR(VLOOKUP($A564,'ABB ExDa'!$A$2:$N$184, 0,FALSE), IFERROR(VLOOKUP($A564,'Vocus SIT ExDa'!$B$2:$J$173, 0,FALSE), IFERROR(VLOOKUP($A564,'Telstra ExDa'!$B$2:$K$310, 0,FALSE), IFERROR(VLOOKUP($A564,'Vocus RVC ExDa'!$C$2:$R$155, 0,FALSE), IFERROR(VLOOKUP($A564,'Fusion ExDa'!$B$2:$D$16, 0,FALSE), IFERROR(VLOOKUP($A564,'Exetel ExDa'!$C$2:$N$14, 11,FALSE), IFERROR(VLOOKUP($A564,'Infinet ExDa'!$B$2:$E$14, 0,FALSE), "Not Found"))))))))</f>
        <v>Not Found</v>
      </c>
      <c r="N564" t="str">
        <f>IFERROR(VLOOKUP($A564,'AAPT ExDa'!$B$2:$U$99, 0,FALSE), IFERROR(VLOOKUP($A564,'ABB ExDa'!$A$2:$N$184, 13,FALSE), IFERROR(VLOOKUP($A564,'Vocus SIT ExDa'!$B$2:$J$173, 0,FALSE), IFERROR(VLOOKUP($A564,'Telstra ExDa'!$B$2:$K$310, 0,FALSE), IFERROR(VLOOKUP($A564,'Vocus RVC ExDa'!$C$2:$R$155, 0,FALSE), IFERROR(VLOOKUP($A564,'Fusion ExDa'!$B$2:$D$16, 0,FALSE), IFERROR(VLOOKUP($A564,'Exetel ExDa'!$C$2:$N$14, 0,FALSE), IFERROR(VLOOKUP($A564,'Infinet ExDa'!$B$2:$E$14, 0,FALSE), "Not Found"))))))))</f>
        <v>Not Found</v>
      </c>
    </row>
    <row r="565" spans="1:14">
      <c r="A565">
        <v>0</v>
      </c>
      <c r="B565" t="str">
        <f>IFERROR(VLOOKUP(A565,'Exetel ExDa'!$C$2:$N$14,4,FALSE),"No Data")</f>
        <v>No Data</v>
      </c>
      <c r="C565" t="str">
        <f>IFERROR(VLOOKUP(A565,'AAPT ExDa'!$B$2:$U$99, 2,FALSE), IFERROR(VLOOKUP(A565,'ABB ExDa'!$A$2:$N$184, 2,FALSE), IFERROR(VLOOKUP(A565,'Vocus SIT ExDa'!$B$2:$J$173, 7,FALSE), IFERROR(VLOOKUP(A565,'Telstra ExDa'!$B$2:$K$310, 2,FALSE), IFERROR(VLOOKUP(A565,'Vocus RVC ExDa'!$C$2:$R$155, 3,FALSE), IFERROR(VLOOKUP(A565,'Fusion ExDa'!$B$2:$D$16, 2,FALSE), IFERROR(VLOOKUP(A565,'Exetel ExDa'!$C$2:$N$14, 2,FALSE), IFERROR(VLOOKUP(A565,'Infinet ExDa'!$B$2:$E$14, 2,FALSE), "Not Found"))))))))</f>
        <v>Not Found</v>
      </c>
      <c r="D565" t="str">
        <f>IFERROR(VLOOKUP($A565,'AAPT ExDa'!$B$2:$U$99, 15,FALSE), IFERROR(VLOOKUP($A565,'ABB ExDa'!$A$2:$N$184, 4,FALSE), IFERROR(VLOOKUP($A565,'Vocus SIT ExDa'!$B$2:$J$173, 5,FALSE), IFERROR(VLOOKUP($A565,'Telstra ExDa'!$B$2:$K$310, 8,FALSE), IFERROR(VLOOKUP($A565,'Vocus RVC ExDa'!$C$2:$R$155, 6,FALSE), IFERROR(VLOOKUP($A565,'Fusion ExDa'!$B$2:$D$16, 4,FALSE), IFERROR(VLOOKUP($A565,'Exetel ExDa'!$C$2:$N$14, 3,FALSE), IFERROR(VLOOKUP($A565,'Infinet ExDa'!$B$2:$E$14, 3,FALSE), "Not Found"))))))))</f>
        <v>Not Found</v>
      </c>
      <c r="E565" t="str">
        <f>IFERROR(VLOOKUP($A565,'AAPT ExDa'!$B$2:$U$99, 3,FALSE), IFERROR(VLOOKUP($A565,'ABB ExDa'!$A$2:$N$184, 5,FALSE), IFERROR(VLOOKUP($A565,'Vocus SIT ExDa'!$B$2:$J$173, 2,FALSE), IFERROR(VLOOKUP($A565,'Telstra ExDa'!$B$2:$K$310, 4,FALSE), IFERROR(VLOOKUP($A565,'Vocus RVC ExDa'!$C$2:$R$155, 8,FALSE), IFERROR(VLOOKUP($A565,'Fusion ExDa'!$B$2:$D$16, 4,FALSE), IFERROR(VLOOKUP($A565,'Exetel ExDa'!$C$2:$N$14, 5,FALSE), IFERROR(VLOOKUP($A565,'Infinet ExDa'!$B$2:$E$14, 3,FALSE), "Not Found"))))))))</f>
        <v>Not Found</v>
      </c>
      <c r="F565" t="str">
        <f>IFERROR(VLOOKUP($A565,'AAPT ExDa'!$B$2:$U$99, 4,FALSE), IFERROR(VLOOKUP($A565,'ABB ExDa'!$A$2:$N$184, 6,FALSE), IFERROR(VLOOKUP($A565,'Vocus SIT ExDa'!$B$2:$J$173, 3,FALSE), IFERROR(VLOOKUP($A565,'Telstra ExDa'!$B$2:$K$310, 5,FALSE), IFERROR(VLOOKUP($A565,'Vocus RVC ExDa'!$C$2:$R$155, 9,FALSE), IFERROR(VLOOKUP($A565,'Fusion ExDa'!$B$2:$D$16, 0,FALSE), IFERROR(VLOOKUP($A565,'Exetel ExDa'!$C$2:$N$14, 6,FALSE), IFERROR(VLOOKUP($A565,'Infinet ExDa'!$B$2:$E$14, 0,FALSE), "Not Found"))))))))</f>
        <v>Not Found</v>
      </c>
      <c r="G565" t="str">
        <f>IFERROR(VLOOKUP($A565,'AAPT ExDa'!$B$2:$U$99, 5,FALSE), IFERROR(VLOOKUP($A565,'ABB ExDa'!$A$2:$N$184, 8,FALSE), IFERROR(VLOOKUP($A565,'Vocus SIT ExDa'!$B$2:$J$173, 6,FALSE), IFERROR(VLOOKUP($A565,'Telstra ExDa'!$B$2:$K$310, 0,FALSE), IFERROR(VLOOKUP($A565,'Vocus RVC ExDa'!$C$2:$R$155, 15,FALSE), IFERROR(VLOOKUP($A565,'Fusion ExDa'!$B$2:$D$16, 0,FALSE), IFERROR(VLOOKUP($A565,'Exetel ExDa'!$C$2:$N$14, 7,FALSE), IFERROR(VLOOKUP($A565,'Infinet ExDa'!$B$2:$E$14, 0,FALSE), "Not Found"))))))))</f>
        <v>Not Found</v>
      </c>
      <c r="H565" t="str">
        <f>IFERROR(VLOOKUP($A565,'AAPT ExDa'!$B$2:$U$99, 6,FALSE), IFERROR(VLOOKUP($A565,'ABB ExDa'!$A$2:$N$184, 0,FALSE), IFERROR(VLOOKUP($A565,'Vocus SIT ExDa'!$B$2:$J$173, 0,FALSE), IFERROR(VLOOKUP($A565,'Telstra ExDa'!$B$2:$K$310, 0,FALSE), IFERROR(VLOOKUP($A565,'Vocus RVC ExDa'!$C$2:$R$155, 16,FALSE), IFERROR(VLOOKUP($A565,'Fusion ExDa'!$B$2:$D$16, 0,FALSE), IFERROR(VLOOKUP($A565,'Exetel ExDa'!$C$2:$N$14, 0,FALSE), IFERROR(VLOOKUP($A565,'Infinet ExDa'!$B$2:$E$14, 0,FALSE), "Not Found"))))))))</f>
        <v>Not Found</v>
      </c>
      <c r="I565" t="str">
        <f>IFERROR(VLOOKUP($A565,'AAPT ExDa'!$B$2:$U$99, 0,FALSE), IFERROR(VLOOKUP($A565,'ABB ExDa'!$A$2:$N$184, 0,FALSE), IFERROR(VLOOKUP($A565,'Vocus SIT ExDa'!$B$2:$J$173, 0,FALSE), IFERROR(VLOOKUP($A565,'Telstra ExDa'!$B$2:$K$310, 0,FALSE), IFERROR(VLOOKUP($A565,'Vocus RVC ExDa'!$C$2:$R$155, 0,FALSE), IFERROR(VLOOKUP($A565,'Fusion ExDa'!$B$2:$D$16, 0,FALSE), IFERROR(VLOOKUP($A565,'Exetel ExDa'!$C$2:$N$14, 8,FALSE), IFERROR(VLOOKUP($A565,'Infinet ExDa'!$B$2:$E$14, 0,FALSE), "Not Found"))))))))</f>
        <v>Not Found</v>
      </c>
      <c r="J565" t="str">
        <f>IFERROR(VLOOKUP($A565,'AAPT ExDa'!$B$2:$U$99, 7,FALSE), IFERROR(VLOOKUP($A565,'ABB ExDa'!$A$2:$N$184, 2,FALSE), IFERROR(VLOOKUP($A565,'Vocus SIT ExDa'!$B$2:$J$173, 0,FALSE), IFERROR(VLOOKUP($A565,'Telstra ExDa'!$B$2:$K$310, 7,FALSE), IFERROR(VLOOKUP($A565,'Vocus RVC ExDa'!$C$2:$R$155, 2,FALSE), IFERROR(VLOOKUP($A565,'Fusion ExDa'!$B$2:$D$16, 3,FALSE), IFERROR(VLOOKUP($A565,'Exetel ExDa'!$C$2:$N$14, 0,FALSE), IFERROR(VLOOKUP($A565,'Infinet ExDa'!$B$2:$E$14, 0,FALSE), "Not Found"))))))))</f>
        <v>Not Found</v>
      </c>
      <c r="K565" t="str">
        <f>IFERROR(VLOOKUP($A565,'AAPT ExDa'!$B$2:$U$99, 12,FALSE), IFERROR(VLOOKUP($A565,'ABB ExDa'!$A$2:$N$184, 0,FALSE), IFERROR(VLOOKUP($A565,'Vocus SIT ExDa'!$B$2:$J$173, 0,FALSE), IFERROR(VLOOKUP($A565,'Telstra ExDa'!$B$2:$K$310, 0,FALSE), IFERROR(VLOOKUP($A565,'Vocus RVC ExDa'!$C$2:$R$155, 0,FALSE), IFERROR(VLOOKUP($A565,'Fusion ExDa'!$B$2:$D$16, 0,FALSE), IFERROR(VLOOKUP($A565,'Exetel ExDa'!$C$2:$N$14, 12,FALSE), IFERROR(VLOOKUP($A565,'Infinet ExDa'!$B$2:$E$14, 0,FALSE), "Not Found"))))))))</f>
        <v>Not Found</v>
      </c>
      <c r="L565" s="235" t="str">
        <f>IFERROR(VLOOKUP($A565,'AAPT ExDa'!$B$2:$U$99, 11,FALSE), IFERROR(VLOOKUP($A565,'ABB ExDa'!$A$2:$N$184, 9,FALSE), IFERROR(VLOOKUP($A565,'Vocus SIT ExDa'!$B$2:$J$173, 8,FALSE), IFERROR(VLOOKUP($A565,'Telstra ExDa'!$B$2:$K$310, 0,FALSE), IFERROR(VLOOKUP($A565,'Vocus RVC ExDa'!$C$2:$R$155, 0,FALSE), IFERROR(VLOOKUP($A565,'Fusion ExDa'!$B$2:$D$16, 0,FALSE), IFERROR(VLOOKUP($A565,'Exetel ExDa'!$C$2:$N$14, 9,FALSE), IFERROR(VLOOKUP($A565,'Infinet ExDa'!$B$2:$E$14, 0,FALSE), "Not Found"))))))))</f>
        <v>Not Found</v>
      </c>
      <c r="M565" s="234" t="str">
        <f>IFERROR(VLOOKUP($A565,'AAPT ExDa'!$B$2:$U$99, 0,FALSE), IFERROR(VLOOKUP($A565,'ABB ExDa'!$A$2:$N$184, 0,FALSE), IFERROR(VLOOKUP($A565,'Vocus SIT ExDa'!$B$2:$J$173, 0,FALSE), IFERROR(VLOOKUP($A565,'Telstra ExDa'!$B$2:$K$310, 0,FALSE), IFERROR(VLOOKUP($A565,'Vocus RVC ExDa'!$C$2:$R$155, 0,FALSE), IFERROR(VLOOKUP($A565,'Fusion ExDa'!$B$2:$D$16, 0,FALSE), IFERROR(VLOOKUP($A565,'Exetel ExDa'!$C$2:$N$14, 11,FALSE), IFERROR(VLOOKUP($A565,'Infinet ExDa'!$B$2:$E$14, 0,FALSE), "Not Found"))))))))</f>
        <v>Not Found</v>
      </c>
      <c r="N565" t="str">
        <f>IFERROR(VLOOKUP($A565,'AAPT ExDa'!$B$2:$U$99, 0,FALSE), IFERROR(VLOOKUP($A565,'ABB ExDa'!$A$2:$N$184, 13,FALSE), IFERROR(VLOOKUP($A565,'Vocus SIT ExDa'!$B$2:$J$173, 0,FALSE), IFERROR(VLOOKUP($A565,'Telstra ExDa'!$B$2:$K$310, 0,FALSE), IFERROR(VLOOKUP($A565,'Vocus RVC ExDa'!$C$2:$R$155, 0,FALSE), IFERROR(VLOOKUP($A565,'Fusion ExDa'!$B$2:$D$16, 0,FALSE), IFERROR(VLOOKUP($A565,'Exetel ExDa'!$C$2:$N$14, 0,FALSE), IFERROR(VLOOKUP($A565,'Infinet ExDa'!$B$2:$E$14, 0,FALSE), "Not Found"))))))))</f>
        <v>Not Found</v>
      </c>
    </row>
    <row r="566" spans="1:14">
      <c r="A566">
        <v>0</v>
      </c>
      <c r="B566" t="str">
        <f>IFERROR(VLOOKUP(A566,'Exetel ExDa'!$C$2:$N$14,4,FALSE),"No Data")</f>
        <v>No Data</v>
      </c>
      <c r="C566" t="str">
        <f>IFERROR(VLOOKUP(A566,'AAPT ExDa'!$B$2:$U$99, 2,FALSE), IFERROR(VLOOKUP(A566,'ABB ExDa'!$A$2:$N$184, 2,FALSE), IFERROR(VLOOKUP(A566,'Vocus SIT ExDa'!$B$2:$J$173, 7,FALSE), IFERROR(VLOOKUP(A566,'Telstra ExDa'!$B$2:$K$310, 2,FALSE), IFERROR(VLOOKUP(A566,'Vocus RVC ExDa'!$C$2:$R$155, 3,FALSE), IFERROR(VLOOKUP(A566,'Fusion ExDa'!$B$2:$D$16, 2,FALSE), IFERROR(VLOOKUP(A566,'Exetel ExDa'!$C$2:$N$14, 2,FALSE), IFERROR(VLOOKUP(A566,'Infinet ExDa'!$B$2:$E$14, 2,FALSE), "Not Found"))))))))</f>
        <v>Not Found</v>
      </c>
      <c r="D566" t="str">
        <f>IFERROR(VLOOKUP($A566,'AAPT ExDa'!$B$2:$U$99, 15,FALSE), IFERROR(VLOOKUP($A566,'ABB ExDa'!$A$2:$N$184, 4,FALSE), IFERROR(VLOOKUP($A566,'Vocus SIT ExDa'!$B$2:$J$173, 5,FALSE), IFERROR(VLOOKUP($A566,'Telstra ExDa'!$B$2:$K$310, 8,FALSE), IFERROR(VLOOKUP($A566,'Vocus RVC ExDa'!$C$2:$R$155, 6,FALSE), IFERROR(VLOOKUP($A566,'Fusion ExDa'!$B$2:$D$16, 4,FALSE), IFERROR(VLOOKUP($A566,'Exetel ExDa'!$C$2:$N$14, 3,FALSE), IFERROR(VLOOKUP($A566,'Infinet ExDa'!$B$2:$E$14, 3,FALSE), "Not Found"))))))))</f>
        <v>Not Found</v>
      </c>
      <c r="E566" t="str">
        <f>IFERROR(VLOOKUP($A566,'AAPT ExDa'!$B$2:$U$99, 3,FALSE), IFERROR(VLOOKUP($A566,'ABB ExDa'!$A$2:$N$184, 5,FALSE), IFERROR(VLOOKUP($A566,'Vocus SIT ExDa'!$B$2:$J$173, 2,FALSE), IFERROR(VLOOKUP($A566,'Telstra ExDa'!$B$2:$K$310, 4,FALSE), IFERROR(VLOOKUP($A566,'Vocus RVC ExDa'!$C$2:$R$155, 8,FALSE), IFERROR(VLOOKUP($A566,'Fusion ExDa'!$B$2:$D$16, 4,FALSE), IFERROR(VLOOKUP($A566,'Exetel ExDa'!$C$2:$N$14, 5,FALSE), IFERROR(VLOOKUP($A566,'Infinet ExDa'!$B$2:$E$14, 3,FALSE), "Not Found"))))))))</f>
        <v>Not Found</v>
      </c>
      <c r="F566" t="str">
        <f>IFERROR(VLOOKUP($A566,'AAPT ExDa'!$B$2:$U$99, 4,FALSE), IFERROR(VLOOKUP($A566,'ABB ExDa'!$A$2:$N$184, 6,FALSE), IFERROR(VLOOKUP($A566,'Vocus SIT ExDa'!$B$2:$J$173, 3,FALSE), IFERROR(VLOOKUP($A566,'Telstra ExDa'!$B$2:$K$310, 5,FALSE), IFERROR(VLOOKUP($A566,'Vocus RVC ExDa'!$C$2:$R$155, 9,FALSE), IFERROR(VLOOKUP($A566,'Fusion ExDa'!$B$2:$D$16, 0,FALSE), IFERROR(VLOOKUP($A566,'Exetel ExDa'!$C$2:$N$14, 6,FALSE), IFERROR(VLOOKUP($A566,'Infinet ExDa'!$B$2:$E$14, 0,FALSE), "Not Found"))))))))</f>
        <v>Not Found</v>
      </c>
      <c r="G566" t="str">
        <f>IFERROR(VLOOKUP($A566,'AAPT ExDa'!$B$2:$U$99, 5,FALSE), IFERROR(VLOOKUP($A566,'ABB ExDa'!$A$2:$N$184, 8,FALSE), IFERROR(VLOOKUP($A566,'Vocus SIT ExDa'!$B$2:$J$173, 6,FALSE), IFERROR(VLOOKUP($A566,'Telstra ExDa'!$B$2:$K$310, 0,FALSE), IFERROR(VLOOKUP($A566,'Vocus RVC ExDa'!$C$2:$R$155, 15,FALSE), IFERROR(VLOOKUP($A566,'Fusion ExDa'!$B$2:$D$16, 0,FALSE), IFERROR(VLOOKUP($A566,'Exetel ExDa'!$C$2:$N$14, 7,FALSE), IFERROR(VLOOKUP($A566,'Infinet ExDa'!$B$2:$E$14, 0,FALSE), "Not Found"))))))))</f>
        <v>Not Found</v>
      </c>
      <c r="H566" t="str">
        <f>IFERROR(VLOOKUP($A566,'AAPT ExDa'!$B$2:$U$99, 6,FALSE), IFERROR(VLOOKUP($A566,'ABB ExDa'!$A$2:$N$184, 0,FALSE), IFERROR(VLOOKUP($A566,'Vocus SIT ExDa'!$B$2:$J$173, 0,FALSE), IFERROR(VLOOKUP($A566,'Telstra ExDa'!$B$2:$K$310, 0,FALSE), IFERROR(VLOOKUP($A566,'Vocus RVC ExDa'!$C$2:$R$155, 16,FALSE), IFERROR(VLOOKUP($A566,'Fusion ExDa'!$B$2:$D$16, 0,FALSE), IFERROR(VLOOKUP($A566,'Exetel ExDa'!$C$2:$N$14, 0,FALSE), IFERROR(VLOOKUP($A566,'Infinet ExDa'!$B$2:$E$14, 0,FALSE), "Not Found"))))))))</f>
        <v>Not Found</v>
      </c>
      <c r="I566" t="str">
        <f>IFERROR(VLOOKUP($A566,'AAPT ExDa'!$B$2:$U$99, 0,FALSE), IFERROR(VLOOKUP($A566,'ABB ExDa'!$A$2:$N$184, 0,FALSE), IFERROR(VLOOKUP($A566,'Vocus SIT ExDa'!$B$2:$J$173, 0,FALSE), IFERROR(VLOOKUP($A566,'Telstra ExDa'!$B$2:$K$310, 0,FALSE), IFERROR(VLOOKUP($A566,'Vocus RVC ExDa'!$C$2:$R$155, 0,FALSE), IFERROR(VLOOKUP($A566,'Fusion ExDa'!$B$2:$D$16, 0,FALSE), IFERROR(VLOOKUP($A566,'Exetel ExDa'!$C$2:$N$14, 8,FALSE), IFERROR(VLOOKUP($A566,'Infinet ExDa'!$B$2:$E$14, 0,FALSE), "Not Found"))))))))</f>
        <v>Not Found</v>
      </c>
      <c r="J566" t="str">
        <f>IFERROR(VLOOKUP($A566,'AAPT ExDa'!$B$2:$U$99, 7,FALSE), IFERROR(VLOOKUP($A566,'ABB ExDa'!$A$2:$N$184, 2,FALSE), IFERROR(VLOOKUP($A566,'Vocus SIT ExDa'!$B$2:$J$173, 0,FALSE), IFERROR(VLOOKUP($A566,'Telstra ExDa'!$B$2:$K$310, 7,FALSE), IFERROR(VLOOKUP($A566,'Vocus RVC ExDa'!$C$2:$R$155, 2,FALSE), IFERROR(VLOOKUP($A566,'Fusion ExDa'!$B$2:$D$16, 3,FALSE), IFERROR(VLOOKUP($A566,'Exetel ExDa'!$C$2:$N$14, 0,FALSE), IFERROR(VLOOKUP($A566,'Infinet ExDa'!$B$2:$E$14, 0,FALSE), "Not Found"))))))))</f>
        <v>Not Found</v>
      </c>
      <c r="K566" t="str">
        <f>IFERROR(VLOOKUP($A566,'AAPT ExDa'!$B$2:$U$99, 12,FALSE), IFERROR(VLOOKUP($A566,'ABB ExDa'!$A$2:$N$184, 0,FALSE), IFERROR(VLOOKUP($A566,'Vocus SIT ExDa'!$B$2:$J$173, 0,FALSE), IFERROR(VLOOKUP($A566,'Telstra ExDa'!$B$2:$K$310, 0,FALSE), IFERROR(VLOOKUP($A566,'Vocus RVC ExDa'!$C$2:$R$155, 0,FALSE), IFERROR(VLOOKUP($A566,'Fusion ExDa'!$B$2:$D$16, 0,FALSE), IFERROR(VLOOKUP($A566,'Exetel ExDa'!$C$2:$N$14, 12,FALSE), IFERROR(VLOOKUP($A566,'Infinet ExDa'!$B$2:$E$14, 0,FALSE), "Not Found"))))))))</f>
        <v>Not Found</v>
      </c>
      <c r="L566" s="235" t="str">
        <f>IFERROR(VLOOKUP($A566,'AAPT ExDa'!$B$2:$U$99, 11,FALSE), IFERROR(VLOOKUP($A566,'ABB ExDa'!$A$2:$N$184, 9,FALSE), IFERROR(VLOOKUP($A566,'Vocus SIT ExDa'!$B$2:$J$173, 8,FALSE), IFERROR(VLOOKUP($A566,'Telstra ExDa'!$B$2:$K$310, 0,FALSE), IFERROR(VLOOKUP($A566,'Vocus RVC ExDa'!$C$2:$R$155, 0,FALSE), IFERROR(VLOOKUP($A566,'Fusion ExDa'!$B$2:$D$16, 0,FALSE), IFERROR(VLOOKUP($A566,'Exetel ExDa'!$C$2:$N$14, 9,FALSE), IFERROR(VLOOKUP($A566,'Infinet ExDa'!$B$2:$E$14, 0,FALSE), "Not Found"))))))))</f>
        <v>Not Found</v>
      </c>
      <c r="M566" s="234" t="str">
        <f>IFERROR(VLOOKUP($A566,'AAPT ExDa'!$B$2:$U$99, 0,FALSE), IFERROR(VLOOKUP($A566,'ABB ExDa'!$A$2:$N$184, 0,FALSE), IFERROR(VLOOKUP($A566,'Vocus SIT ExDa'!$B$2:$J$173, 0,FALSE), IFERROR(VLOOKUP($A566,'Telstra ExDa'!$B$2:$K$310, 0,FALSE), IFERROR(VLOOKUP($A566,'Vocus RVC ExDa'!$C$2:$R$155, 0,FALSE), IFERROR(VLOOKUP($A566,'Fusion ExDa'!$B$2:$D$16, 0,FALSE), IFERROR(VLOOKUP($A566,'Exetel ExDa'!$C$2:$N$14, 11,FALSE), IFERROR(VLOOKUP($A566,'Infinet ExDa'!$B$2:$E$14, 0,FALSE), "Not Found"))))))))</f>
        <v>Not Found</v>
      </c>
      <c r="N566" t="str">
        <f>IFERROR(VLOOKUP($A566,'AAPT ExDa'!$B$2:$U$99, 0,FALSE), IFERROR(VLOOKUP($A566,'ABB ExDa'!$A$2:$N$184, 13,FALSE), IFERROR(VLOOKUP($A566,'Vocus SIT ExDa'!$B$2:$J$173, 0,FALSE), IFERROR(VLOOKUP($A566,'Telstra ExDa'!$B$2:$K$310, 0,FALSE), IFERROR(VLOOKUP($A566,'Vocus RVC ExDa'!$C$2:$R$155, 0,FALSE), IFERROR(VLOOKUP($A566,'Fusion ExDa'!$B$2:$D$16, 0,FALSE), IFERROR(VLOOKUP($A566,'Exetel ExDa'!$C$2:$N$14, 0,FALSE), IFERROR(VLOOKUP($A566,'Infinet ExDa'!$B$2:$E$14, 0,FALSE), "Not Found"))))))))</f>
        <v>Not Found</v>
      </c>
    </row>
    <row r="567" spans="1:14">
      <c r="A567">
        <v>0</v>
      </c>
      <c r="B567" t="str">
        <f>IFERROR(VLOOKUP(A567,'Exetel ExDa'!$C$2:$N$14,4,FALSE),"No Data")</f>
        <v>No Data</v>
      </c>
      <c r="C567" t="str">
        <f>IFERROR(VLOOKUP(A567,'AAPT ExDa'!$B$2:$U$99, 2,FALSE), IFERROR(VLOOKUP(A567,'ABB ExDa'!$A$2:$N$184, 2,FALSE), IFERROR(VLOOKUP(A567,'Vocus SIT ExDa'!$B$2:$J$173, 7,FALSE), IFERROR(VLOOKUP(A567,'Telstra ExDa'!$B$2:$K$310, 2,FALSE), IFERROR(VLOOKUP(A567,'Vocus RVC ExDa'!$C$2:$R$155, 3,FALSE), IFERROR(VLOOKUP(A567,'Fusion ExDa'!$B$2:$D$16, 2,FALSE), IFERROR(VLOOKUP(A567,'Exetel ExDa'!$C$2:$N$14, 2,FALSE), IFERROR(VLOOKUP(A567,'Infinet ExDa'!$B$2:$E$14, 2,FALSE), "Not Found"))))))))</f>
        <v>Not Found</v>
      </c>
      <c r="D567" t="str">
        <f>IFERROR(VLOOKUP($A567,'AAPT ExDa'!$B$2:$U$99, 15,FALSE), IFERROR(VLOOKUP($A567,'ABB ExDa'!$A$2:$N$184, 4,FALSE), IFERROR(VLOOKUP($A567,'Vocus SIT ExDa'!$B$2:$J$173, 5,FALSE), IFERROR(VLOOKUP($A567,'Telstra ExDa'!$B$2:$K$310, 8,FALSE), IFERROR(VLOOKUP($A567,'Vocus RVC ExDa'!$C$2:$R$155, 6,FALSE), IFERROR(VLOOKUP($A567,'Fusion ExDa'!$B$2:$D$16, 4,FALSE), IFERROR(VLOOKUP($A567,'Exetel ExDa'!$C$2:$N$14, 3,FALSE), IFERROR(VLOOKUP($A567,'Infinet ExDa'!$B$2:$E$14, 3,FALSE), "Not Found"))))))))</f>
        <v>Not Found</v>
      </c>
      <c r="E567" t="str">
        <f>IFERROR(VLOOKUP($A567,'AAPT ExDa'!$B$2:$U$99, 3,FALSE), IFERROR(VLOOKUP($A567,'ABB ExDa'!$A$2:$N$184, 5,FALSE), IFERROR(VLOOKUP($A567,'Vocus SIT ExDa'!$B$2:$J$173, 2,FALSE), IFERROR(VLOOKUP($A567,'Telstra ExDa'!$B$2:$K$310, 4,FALSE), IFERROR(VLOOKUP($A567,'Vocus RVC ExDa'!$C$2:$R$155, 8,FALSE), IFERROR(VLOOKUP($A567,'Fusion ExDa'!$B$2:$D$16, 4,FALSE), IFERROR(VLOOKUP($A567,'Exetel ExDa'!$C$2:$N$14, 5,FALSE), IFERROR(VLOOKUP($A567,'Infinet ExDa'!$B$2:$E$14, 3,FALSE), "Not Found"))))))))</f>
        <v>Not Found</v>
      </c>
      <c r="F567" t="str">
        <f>IFERROR(VLOOKUP($A567,'AAPT ExDa'!$B$2:$U$99, 4,FALSE), IFERROR(VLOOKUP($A567,'ABB ExDa'!$A$2:$N$184, 6,FALSE), IFERROR(VLOOKUP($A567,'Vocus SIT ExDa'!$B$2:$J$173, 3,FALSE), IFERROR(VLOOKUP($A567,'Telstra ExDa'!$B$2:$K$310, 5,FALSE), IFERROR(VLOOKUP($A567,'Vocus RVC ExDa'!$C$2:$R$155, 9,FALSE), IFERROR(VLOOKUP($A567,'Fusion ExDa'!$B$2:$D$16, 0,FALSE), IFERROR(VLOOKUP($A567,'Exetel ExDa'!$C$2:$N$14, 6,FALSE), IFERROR(VLOOKUP($A567,'Infinet ExDa'!$B$2:$E$14, 0,FALSE), "Not Found"))))))))</f>
        <v>Not Found</v>
      </c>
      <c r="G567" t="str">
        <f>IFERROR(VLOOKUP($A567,'AAPT ExDa'!$B$2:$U$99, 5,FALSE), IFERROR(VLOOKUP($A567,'ABB ExDa'!$A$2:$N$184, 8,FALSE), IFERROR(VLOOKUP($A567,'Vocus SIT ExDa'!$B$2:$J$173, 6,FALSE), IFERROR(VLOOKUP($A567,'Telstra ExDa'!$B$2:$K$310, 0,FALSE), IFERROR(VLOOKUP($A567,'Vocus RVC ExDa'!$C$2:$R$155, 15,FALSE), IFERROR(VLOOKUP($A567,'Fusion ExDa'!$B$2:$D$16, 0,FALSE), IFERROR(VLOOKUP($A567,'Exetel ExDa'!$C$2:$N$14, 7,FALSE), IFERROR(VLOOKUP($A567,'Infinet ExDa'!$B$2:$E$14, 0,FALSE), "Not Found"))))))))</f>
        <v>Not Found</v>
      </c>
      <c r="H567" t="str">
        <f>IFERROR(VLOOKUP($A567,'AAPT ExDa'!$B$2:$U$99, 6,FALSE), IFERROR(VLOOKUP($A567,'ABB ExDa'!$A$2:$N$184, 0,FALSE), IFERROR(VLOOKUP($A567,'Vocus SIT ExDa'!$B$2:$J$173, 0,FALSE), IFERROR(VLOOKUP($A567,'Telstra ExDa'!$B$2:$K$310, 0,FALSE), IFERROR(VLOOKUP($A567,'Vocus RVC ExDa'!$C$2:$R$155, 16,FALSE), IFERROR(VLOOKUP($A567,'Fusion ExDa'!$B$2:$D$16, 0,FALSE), IFERROR(VLOOKUP($A567,'Exetel ExDa'!$C$2:$N$14, 0,FALSE), IFERROR(VLOOKUP($A567,'Infinet ExDa'!$B$2:$E$14, 0,FALSE), "Not Found"))))))))</f>
        <v>Not Found</v>
      </c>
      <c r="I567" t="str">
        <f>IFERROR(VLOOKUP($A567,'AAPT ExDa'!$B$2:$U$99, 0,FALSE), IFERROR(VLOOKUP($A567,'ABB ExDa'!$A$2:$N$184, 0,FALSE), IFERROR(VLOOKUP($A567,'Vocus SIT ExDa'!$B$2:$J$173, 0,FALSE), IFERROR(VLOOKUP($A567,'Telstra ExDa'!$B$2:$K$310, 0,FALSE), IFERROR(VLOOKUP($A567,'Vocus RVC ExDa'!$C$2:$R$155, 0,FALSE), IFERROR(VLOOKUP($A567,'Fusion ExDa'!$B$2:$D$16, 0,FALSE), IFERROR(VLOOKUP($A567,'Exetel ExDa'!$C$2:$N$14, 8,FALSE), IFERROR(VLOOKUP($A567,'Infinet ExDa'!$B$2:$E$14, 0,FALSE), "Not Found"))))))))</f>
        <v>Not Found</v>
      </c>
      <c r="J567" t="str">
        <f>IFERROR(VLOOKUP($A567,'AAPT ExDa'!$B$2:$U$99, 7,FALSE), IFERROR(VLOOKUP($A567,'ABB ExDa'!$A$2:$N$184, 2,FALSE), IFERROR(VLOOKUP($A567,'Vocus SIT ExDa'!$B$2:$J$173, 0,FALSE), IFERROR(VLOOKUP($A567,'Telstra ExDa'!$B$2:$K$310, 7,FALSE), IFERROR(VLOOKUP($A567,'Vocus RVC ExDa'!$C$2:$R$155, 2,FALSE), IFERROR(VLOOKUP($A567,'Fusion ExDa'!$B$2:$D$16, 3,FALSE), IFERROR(VLOOKUP($A567,'Exetel ExDa'!$C$2:$N$14, 0,FALSE), IFERROR(VLOOKUP($A567,'Infinet ExDa'!$B$2:$E$14, 0,FALSE), "Not Found"))))))))</f>
        <v>Not Found</v>
      </c>
      <c r="K567" t="str">
        <f>IFERROR(VLOOKUP($A567,'AAPT ExDa'!$B$2:$U$99, 12,FALSE), IFERROR(VLOOKUP($A567,'ABB ExDa'!$A$2:$N$184, 0,FALSE), IFERROR(VLOOKUP($A567,'Vocus SIT ExDa'!$B$2:$J$173, 0,FALSE), IFERROR(VLOOKUP($A567,'Telstra ExDa'!$B$2:$K$310, 0,FALSE), IFERROR(VLOOKUP($A567,'Vocus RVC ExDa'!$C$2:$R$155, 0,FALSE), IFERROR(VLOOKUP($A567,'Fusion ExDa'!$B$2:$D$16, 0,FALSE), IFERROR(VLOOKUP($A567,'Exetel ExDa'!$C$2:$N$14, 12,FALSE), IFERROR(VLOOKUP($A567,'Infinet ExDa'!$B$2:$E$14, 0,FALSE), "Not Found"))))))))</f>
        <v>Not Found</v>
      </c>
      <c r="L567" s="235" t="str">
        <f>IFERROR(VLOOKUP($A567,'AAPT ExDa'!$B$2:$U$99, 11,FALSE), IFERROR(VLOOKUP($A567,'ABB ExDa'!$A$2:$N$184, 9,FALSE), IFERROR(VLOOKUP($A567,'Vocus SIT ExDa'!$B$2:$J$173, 8,FALSE), IFERROR(VLOOKUP($A567,'Telstra ExDa'!$B$2:$K$310, 0,FALSE), IFERROR(VLOOKUP($A567,'Vocus RVC ExDa'!$C$2:$R$155, 0,FALSE), IFERROR(VLOOKUP($A567,'Fusion ExDa'!$B$2:$D$16, 0,FALSE), IFERROR(VLOOKUP($A567,'Exetel ExDa'!$C$2:$N$14, 9,FALSE), IFERROR(VLOOKUP($A567,'Infinet ExDa'!$B$2:$E$14, 0,FALSE), "Not Found"))))))))</f>
        <v>Not Found</v>
      </c>
      <c r="M567" s="234" t="str">
        <f>IFERROR(VLOOKUP($A567,'AAPT ExDa'!$B$2:$U$99, 0,FALSE), IFERROR(VLOOKUP($A567,'ABB ExDa'!$A$2:$N$184, 0,FALSE), IFERROR(VLOOKUP($A567,'Vocus SIT ExDa'!$B$2:$J$173, 0,FALSE), IFERROR(VLOOKUP($A567,'Telstra ExDa'!$B$2:$K$310, 0,FALSE), IFERROR(VLOOKUP($A567,'Vocus RVC ExDa'!$C$2:$R$155, 0,FALSE), IFERROR(VLOOKUP($A567,'Fusion ExDa'!$B$2:$D$16, 0,FALSE), IFERROR(VLOOKUP($A567,'Exetel ExDa'!$C$2:$N$14, 11,FALSE), IFERROR(VLOOKUP($A567,'Infinet ExDa'!$B$2:$E$14, 0,FALSE), "Not Found"))))))))</f>
        <v>Not Found</v>
      </c>
      <c r="N567" t="str">
        <f>IFERROR(VLOOKUP($A567,'AAPT ExDa'!$B$2:$U$99, 0,FALSE), IFERROR(VLOOKUP($A567,'ABB ExDa'!$A$2:$N$184, 13,FALSE), IFERROR(VLOOKUP($A567,'Vocus SIT ExDa'!$B$2:$J$173, 0,FALSE), IFERROR(VLOOKUP($A567,'Telstra ExDa'!$B$2:$K$310, 0,FALSE), IFERROR(VLOOKUP($A567,'Vocus RVC ExDa'!$C$2:$R$155, 0,FALSE), IFERROR(VLOOKUP($A567,'Fusion ExDa'!$B$2:$D$16, 0,FALSE), IFERROR(VLOOKUP($A567,'Exetel ExDa'!$C$2:$N$14, 0,FALSE), IFERROR(VLOOKUP($A567,'Infinet ExDa'!$B$2:$E$14, 0,FALSE), "Not Found"))))))))</f>
        <v>Not Found</v>
      </c>
    </row>
    <row r="568" spans="1:14">
      <c r="A568">
        <v>0</v>
      </c>
      <c r="B568" t="str">
        <f>IFERROR(VLOOKUP(A568,'Exetel ExDa'!$C$2:$N$14,4,FALSE),"No Data")</f>
        <v>No Data</v>
      </c>
      <c r="C568" t="str">
        <f>IFERROR(VLOOKUP(A568,'AAPT ExDa'!$B$2:$U$99, 2,FALSE), IFERROR(VLOOKUP(A568,'ABB ExDa'!$A$2:$N$184, 2,FALSE), IFERROR(VLOOKUP(A568,'Vocus SIT ExDa'!$B$2:$J$173, 7,FALSE), IFERROR(VLOOKUP(A568,'Telstra ExDa'!$B$2:$K$310, 2,FALSE), IFERROR(VLOOKUP(A568,'Vocus RVC ExDa'!$C$2:$R$155, 3,FALSE), IFERROR(VLOOKUP(A568,'Fusion ExDa'!$B$2:$D$16, 2,FALSE), IFERROR(VLOOKUP(A568,'Exetel ExDa'!$C$2:$N$14, 2,FALSE), IFERROR(VLOOKUP(A568,'Infinet ExDa'!$B$2:$E$14, 2,FALSE), "Not Found"))))))))</f>
        <v>Not Found</v>
      </c>
      <c r="D568" t="str">
        <f>IFERROR(VLOOKUP($A568,'AAPT ExDa'!$B$2:$U$99, 15,FALSE), IFERROR(VLOOKUP($A568,'ABB ExDa'!$A$2:$N$184, 4,FALSE), IFERROR(VLOOKUP($A568,'Vocus SIT ExDa'!$B$2:$J$173, 5,FALSE), IFERROR(VLOOKUP($A568,'Telstra ExDa'!$B$2:$K$310, 8,FALSE), IFERROR(VLOOKUP($A568,'Vocus RVC ExDa'!$C$2:$R$155, 6,FALSE), IFERROR(VLOOKUP($A568,'Fusion ExDa'!$B$2:$D$16, 4,FALSE), IFERROR(VLOOKUP($A568,'Exetel ExDa'!$C$2:$N$14, 3,FALSE), IFERROR(VLOOKUP($A568,'Infinet ExDa'!$B$2:$E$14, 3,FALSE), "Not Found"))))))))</f>
        <v>Not Found</v>
      </c>
      <c r="E568" t="str">
        <f>IFERROR(VLOOKUP($A568,'AAPT ExDa'!$B$2:$U$99, 3,FALSE), IFERROR(VLOOKUP($A568,'ABB ExDa'!$A$2:$N$184, 5,FALSE), IFERROR(VLOOKUP($A568,'Vocus SIT ExDa'!$B$2:$J$173, 2,FALSE), IFERROR(VLOOKUP($A568,'Telstra ExDa'!$B$2:$K$310, 4,FALSE), IFERROR(VLOOKUP($A568,'Vocus RVC ExDa'!$C$2:$R$155, 8,FALSE), IFERROR(VLOOKUP($A568,'Fusion ExDa'!$B$2:$D$16, 4,FALSE), IFERROR(VLOOKUP($A568,'Exetel ExDa'!$C$2:$N$14, 5,FALSE), IFERROR(VLOOKUP($A568,'Infinet ExDa'!$B$2:$E$14, 3,FALSE), "Not Found"))))))))</f>
        <v>Not Found</v>
      </c>
      <c r="F568" t="str">
        <f>IFERROR(VLOOKUP($A568,'AAPT ExDa'!$B$2:$U$99, 4,FALSE), IFERROR(VLOOKUP($A568,'ABB ExDa'!$A$2:$N$184, 6,FALSE), IFERROR(VLOOKUP($A568,'Vocus SIT ExDa'!$B$2:$J$173, 3,FALSE), IFERROR(VLOOKUP($A568,'Telstra ExDa'!$B$2:$K$310, 5,FALSE), IFERROR(VLOOKUP($A568,'Vocus RVC ExDa'!$C$2:$R$155, 9,FALSE), IFERROR(VLOOKUP($A568,'Fusion ExDa'!$B$2:$D$16, 0,FALSE), IFERROR(VLOOKUP($A568,'Exetel ExDa'!$C$2:$N$14, 6,FALSE), IFERROR(VLOOKUP($A568,'Infinet ExDa'!$B$2:$E$14, 0,FALSE), "Not Found"))))))))</f>
        <v>Not Found</v>
      </c>
      <c r="G568" t="str">
        <f>IFERROR(VLOOKUP($A568,'AAPT ExDa'!$B$2:$U$99, 5,FALSE), IFERROR(VLOOKUP($A568,'ABB ExDa'!$A$2:$N$184, 8,FALSE), IFERROR(VLOOKUP($A568,'Vocus SIT ExDa'!$B$2:$J$173, 6,FALSE), IFERROR(VLOOKUP($A568,'Telstra ExDa'!$B$2:$K$310, 0,FALSE), IFERROR(VLOOKUP($A568,'Vocus RVC ExDa'!$C$2:$R$155, 15,FALSE), IFERROR(VLOOKUP($A568,'Fusion ExDa'!$B$2:$D$16, 0,FALSE), IFERROR(VLOOKUP($A568,'Exetel ExDa'!$C$2:$N$14, 7,FALSE), IFERROR(VLOOKUP($A568,'Infinet ExDa'!$B$2:$E$14, 0,FALSE), "Not Found"))))))))</f>
        <v>Not Found</v>
      </c>
      <c r="H568" t="str">
        <f>IFERROR(VLOOKUP($A568,'AAPT ExDa'!$B$2:$U$99, 6,FALSE), IFERROR(VLOOKUP($A568,'ABB ExDa'!$A$2:$N$184, 0,FALSE), IFERROR(VLOOKUP($A568,'Vocus SIT ExDa'!$B$2:$J$173, 0,FALSE), IFERROR(VLOOKUP($A568,'Telstra ExDa'!$B$2:$K$310, 0,FALSE), IFERROR(VLOOKUP($A568,'Vocus RVC ExDa'!$C$2:$R$155, 16,FALSE), IFERROR(VLOOKUP($A568,'Fusion ExDa'!$B$2:$D$16, 0,FALSE), IFERROR(VLOOKUP($A568,'Exetel ExDa'!$C$2:$N$14, 0,FALSE), IFERROR(VLOOKUP($A568,'Infinet ExDa'!$B$2:$E$14, 0,FALSE), "Not Found"))))))))</f>
        <v>Not Found</v>
      </c>
      <c r="I568" t="str">
        <f>IFERROR(VLOOKUP($A568,'AAPT ExDa'!$B$2:$U$99, 0,FALSE), IFERROR(VLOOKUP($A568,'ABB ExDa'!$A$2:$N$184, 0,FALSE), IFERROR(VLOOKUP($A568,'Vocus SIT ExDa'!$B$2:$J$173, 0,FALSE), IFERROR(VLOOKUP($A568,'Telstra ExDa'!$B$2:$K$310, 0,FALSE), IFERROR(VLOOKUP($A568,'Vocus RVC ExDa'!$C$2:$R$155, 0,FALSE), IFERROR(VLOOKUP($A568,'Fusion ExDa'!$B$2:$D$16, 0,FALSE), IFERROR(VLOOKUP($A568,'Exetel ExDa'!$C$2:$N$14, 8,FALSE), IFERROR(VLOOKUP($A568,'Infinet ExDa'!$B$2:$E$14, 0,FALSE), "Not Found"))))))))</f>
        <v>Not Found</v>
      </c>
      <c r="J568" t="str">
        <f>IFERROR(VLOOKUP($A568,'AAPT ExDa'!$B$2:$U$99, 7,FALSE), IFERROR(VLOOKUP($A568,'ABB ExDa'!$A$2:$N$184, 2,FALSE), IFERROR(VLOOKUP($A568,'Vocus SIT ExDa'!$B$2:$J$173, 0,FALSE), IFERROR(VLOOKUP($A568,'Telstra ExDa'!$B$2:$K$310, 7,FALSE), IFERROR(VLOOKUP($A568,'Vocus RVC ExDa'!$C$2:$R$155, 2,FALSE), IFERROR(VLOOKUP($A568,'Fusion ExDa'!$B$2:$D$16, 3,FALSE), IFERROR(VLOOKUP($A568,'Exetel ExDa'!$C$2:$N$14, 0,FALSE), IFERROR(VLOOKUP($A568,'Infinet ExDa'!$B$2:$E$14, 0,FALSE), "Not Found"))))))))</f>
        <v>Not Found</v>
      </c>
      <c r="K568" t="str">
        <f>IFERROR(VLOOKUP($A568,'AAPT ExDa'!$B$2:$U$99, 12,FALSE), IFERROR(VLOOKUP($A568,'ABB ExDa'!$A$2:$N$184, 0,FALSE), IFERROR(VLOOKUP($A568,'Vocus SIT ExDa'!$B$2:$J$173, 0,FALSE), IFERROR(VLOOKUP($A568,'Telstra ExDa'!$B$2:$K$310, 0,FALSE), IFERROR(VLOOKUP($A568,'Vocus RVC ExDa'!$C$2:$R$155, 0,FALSE), IFERROR(VLOOKUP($A568,'Fusion ExDa'!$B$2:$D$16, 0,FALSE), IFERROR(VLOOKUP($A568,'Exetel ExDa'!$C$2:$N$14, 12,FALSE), IFERROR(VLOOKUP($A568,'Infinet ExDa'!$B$2:$E$14, 0,FALSE), "Not Found"))))))))</f>
        <v>Not Found</v>
      </c>
      <c r="L568" s="235" t="str">
        <f>IFERROR(VLOOKUP($A568,'AAPT ExDa'!$B$2:$U$99, 11,FALSE), IFERROR(VLOOKUP($A568,'ABB ExDa'!$A$2:$N$184, 9,FALSE), IFERROR(VLOOKUP($A568,'Vocus SIT ExDa'!$B$2:$J$173, 8,FALSE), IFERROR(VLOOKUP($A568,'Telstra ExDa'!$B$2:$K$310, 0,FALSE), IFERROR(VLOOKUP($A568,'Vocus RVC ExDa'!$C$2:$R$155, 0,FALSE), IFERROR(VLOOKUP($A568,'Fusion ExDa'!$B$2:$D$16, 0,FALSE), IFERROR(VLOOKUP($A568,'Exetel ExDa'!$C$2:$N$14, 9,FALSE), IFERROR(VLOOKUP($A568,'Infinet ExDa'!$B$2:$E$14, 0,FALSE), "Not Found"))))))))</f>
        <v>Not Found</v>
      </c>
      <c r="M568" s="234" t="str">
        <f>IFERROR(VLOOKUP($A568,'AAPT ExDa'!$B$2:$U$99, 0,FALSE), IFERROR(VLOOKUP($A568,'ABB ExDa'!$A$2:$N$184, 0,FALSE), IFERROR(VLOOKUP($A568,'Vocus SIT ExDa'!$B$2:$J$173, 0,FALSE), IFERROR(VLOOKUP($A568,'Telstra ExDa'!$B$2:$K$310, 0,FALSE), IFERROR(VLOOKUP($A568,'Vocus RVC ExDa'!$C$2:$R$155, 0,FALSE), IFERROR(VLOOKUP($A568,'Fusion ExDa'!$B$2:$D$16, 0,FALSE), IFERROR(VLOOKUP($A568,'Exetel ExDa'!$C$2:$N$14, 11,FALSE), IFERROR(VLOOKUP($A568,'Infinet ExDa'!$B$2:$E$14, 0,FALSE), "Not Found"))))))))</f>
        <v>Not Found</v>
      </c>
      <c r="N568" t="str">
        <f>IFERROR(VLOOKUP($A568,'AAPT ExDa'!$B$2:$U$99, 0,FALSE), IFERROR(VLOOKUP($A568,'ABB ExDa'!$A$2:$N$184, 13,FALSE), IFERROR(VLOOKUP($A568,'Vocus SIT ExDa'!$B$2:$J$173, 0,FALSE), IFERROR(VLOOKUP($A568,'Telstra ExDa'!$B$2:$K$310, 0,FALSE), IFERROR(VLOOKUP($A568,'Vocus RVC ExDa'!$C$2:$R$155, 0,FALSE), IFERROR(VLOOKUP($A568,'Fusion ExDa'!$B$2:$D$16, 0,FALSE), IFERROR(VLOOKUP($A568,'Exetel ExDa'!$C$2:$N$14, 0,FALSE), IFERROR(VLOOKUP($A568,'Infinet ExDa'!$B$2:$E$14, 0,FALSE), "Not Found"))))))))</f>
        <v>Not Found</v>
      </c>
    </row>
    <row r="569" spans="1:14">
      <c r="A569">
        <v>0</v>
      </c>
      <c r="B569" t="str">
        <f>IFERROR(VLOOKUP(A569,'Exetel ExDa'!$C$2:$N$14,4,FALSE),"No Data")</f>
        <v>No Data</v>
      </c>
      <c r="C569" t="str">
        <f>IFERROR(VLOOKUP(A569,'AAPT ExDa'!$B$2:$U$99, 2,FALSE), IFERROR(VLOOKUP(A569,'ABB ExDa'!$A$2:$N$184, 2,FALSE), IFERROR(VLOOKUP(A569,'Vocus SIT ExDa'!$B$2:$J$173, 7,FALSE), IFERROR(VLOOKUP(A569,'Telstra ExDa'!$B$2:$K$310, 2,FALSE), IFERROR(VLOOKUP(A569,'Vocus RVC ExDa'!$C$2:$R$155, 3,FALSE), IFERROR(VLOOKUP(A569,'Fusion ExDa'!$B$2:$D$16, 2,FALSE), IFERROR(VLOOKUP(A569,'Exetel ExDa'!$C$2:$N$14, 2,FALSE), IFERROR(VLOOKUP(A569,'Infinet ExDa'!$B$2:$E$14, 2,FALSE), "Not Found"))))))))</f>
        <v>Not Found</v>
      </c>
      <c r="D569" t="str">
        <f>IFERROR(VLOOKUP($A569,'AAPT ExDa'!$B$2:$U$99, 15,FALSE), IFERROR(VLOOKUP($A569,'ABB ExDa'!$A$2:$N$184, 4,FALSE), IFERROR(VLOOKUP($A569,'Vocus SIT ExDa'!$B$2:$J$173, 5,FALSE), IFERROR(VLOOKUP($A569,'Telstra ExDa'!$B$2:$K$310, 8,FALSE), IFERROR(VLOOKUP($A569,'Vocus RVC ExDa'!$C$2:$R$155, 6,FALSE), IFERROR(VLOOKUP($A569,'Fusion ExDa'!$B$2:$D$16, 4,FALSE), IFERROR(VLOOKUP($A569,'Exetel ExDa'!$C$2:$N$14, 3,FALSE), IFERROR(VLOOKUP($A569,'Infinet ExDa'!$B$2:$E$14, 3,FALSE), "Not Found"))))))))</f>
        <v>Not Found</v>
      </c>
      <c r="E569" t="str">
        <f>IFERROR(VLOOKUP($A569,'AAPT ExDa'!$B$2:$U$99, 3,FALSE), IFERROR(VLOOKUP($A569,'ABB ExDa'!$A$2:$N$184, 5,FALSE), IFERROR(VLOOKUP($A569,'Vocus SIT ExDa'!$B$2:$J$173, 2,FALSE), IFERROR(VLOOKUP($A569,'Telstra ExDa'!$B$2:$K$310, 4,FALSE), IFERROR(VLOOKUP($A569,'Vocus RVC ExDa'!$C$2:$R$155, 8,FALSE), IFERROR(VLOOKUP($A569,'Fusion ExDa'!$B$2:$D$16, 4,FALSE), IFERROR(VLOOKUP($A569,'Exetel ExDa'!$C$2:$N$14, 5,FALSE), IFERROR(VLOOKUP($A569,'Infinet ExDa'!$B$2:$E$14, 3,FALSE), "Not Found"))))))))</f>
        <v>Not Found</v>
      </c>
      <c r="F569" t="str">
        <f>IFERROR(VLOOKUP($A569,'AAPT ExDa'!$B$2:$U$99, 4,FALSE), IFERROR(VLOOKUP($A569,'ABB ExDa'!$A$2:$N$184, 6,FALSE), IFERROR(VLOOKUP($A569,'Vocus SIT ExDa'!$B$2:$J$173, 3,FALSE), IFERROR(VLOOKUP($A569,'Telstra ExDa'!$B$2:$K$310, 5,FALSE), IFERROR(VLOOKUP($A569,'Vocus RVC ExDa'!$C$2:$R$155, 9,FALSE), IFERROR(VLOOKUP($A569,'Fusion ExDa'!$B$2:$D$16, 0,FALSE), IFERROR(VLOOKUP($A569,'Exetel ExDa'!$C$2:$N$14, 6,FALSE), IFERROR(VLOOKUP($A569,'Infinet ExDa'!$B$2:$E$14, 0,FALSE), "Not Found"))))))))</f>
        <v>Not Found</v>
      </c>
      <c r="G569" t="str">
        <f>IFERROR(VLOOKUP($A569,'AAPT ExDa'!$B$2:$U$99, 5,FALSE), IFERROR(VLOOKUP($A569,'ABB ExDa'!$A$2:$N$184, 8,FALSE), IFERROR(VLOOKUP($A569,'Vocus SIT ExDa'!$B$2:$J$173, 6,FALSE), IFERROR(VLOOKUP($A569,'Telstra ExDa'!$B$2:$K$310, 0,FALSE), IFERROR(VLOOKUP($A569,'Vocus RVC ExDa'!$C$2:$R$155, 15,FALSE), IFERROR(VLOOKUP($A569,'Fusion ExDa'!$B$2:$D$16, 0,FALSE), IFERROR(VLOOKUP($A569,'Exetel ExDa'!$C$2:$N$14, 7,FALSE), IFERROR(VLOOKUP($A569,'Infinet ExDa'!$B$2:$E$14, 0,FALSE), "Not Found"))))))))</f>
        <v>Not Found</v>
      </c>
      <c r="H569" t="str">
        <f>IFERROR(VLOOKUP($A569,'AAPT ExDa'!$B$2:$U$99, 6,FALSE), IFERROR(VLOOKUP($A569,'ABB ExDa'!$A$2:$N$184, 0,FALSE), IFERROR(VLOOKUP($A569,'Vocus SIT ExDa'!$B$2:$J$173, 0,FALSE), IFERROR(VLOOKUP($A569,'Telstra ExDa'!$B$2:$K$310, 0,FALSE), IFERROR(VLOOKUP($A569,'Vocus RVC ExDa'!$C$2:$R$155, 16,FALSE), IFERROR(VLOOKUP($A569,'Fusion ExDa'!$B$2:$D$16, 0,FALSE), IFERROR(VLOOKUP($A569,'Exetel ExDa'!$C$2:$N$14, 0,FALSE), IFERROR(VLOOKUP($A569,'Infinet ExDa'!$B$2:$E$14, 0,FALSE), "Not Found"))))))))</f>
        <v>Not Found</v>
      </c>
      <c r="I569" t="str">
        <f>IFERROR(VLOOKUP($A569,'AAPT ExDa'!$B$2:$U$99, 0,FALSE), IFERROR(VLOOKUP($A569,'ABB ExDa'!$A$2:$N$184, 0,FALSE), IFERROR(VLOOKUP($A569,'Vocus SIT ExDa'!$B$2:$J$173, 0,FALSE), IFERROR(VLOOKUP($A569,'Telstra ExDa'!$B$2:$K$310, 0,FALSE), IFERROR(VLOOKUP($A569,'Vocus RVC ExDa'!$C$2:$R$155, 0,FALSE), IFERROR(VLOOKUP($A569,'Fusion ExDa'!$B$2:$D$16, 0,FALSE), IFERROR(VLOOKUP($A569,'Exetel ExDa'!$C$2:$N$14, 8,FALSE), IFERROR(VLOOKUP($A569,'Infinet ExDa'!$B$2:$E$14, 0,FALSE), "Not Found"))))))))</f>
        <v>Not Found</v>
      </c>
      <c r="J569" t="str">
        <f>IFERROR(VLOOKUP($A569,'AAPT ExDa'!$B$2:$U$99, 7,FALSE), IFERROR(VLOOKUP($A569,'ABB ExDa'!$A$2:$N$184, 2,FALSE), IFERROR(VLOOKUP($A569,'Vocus SIT ExDa'!$B$2:$J$173, 0,FALSE), IFERROR(VLOOKUP($A569,'Telstra ExDa'!$B$2:$K$310, 7,FALSE), IFERROR(VLOOKUP($A569,'Vocus RVC ExDa'!$C$2:$R$155, 2,FALSE), IFERROR(VLOOKUP($A569,'Fusion ExDa'!$B$2:$D$16, 3,FALSE), IFERROR(VLOOKUP($A569,'Exetel ExDa'!$C$2:$N$14, 0,FALSE), IFERROR(VLOOKUP($A569,'Infinet ExDa'!$B$2:$E$14, 0,FALSE), "Not Found"))))))))</f>
        <v>Not Found</v>
      </c>
      <c r="K569" t="str">
        <f>IFERROR(VLOOKUP($A569,'AAPT ExDa'!$B$2:$U$99, 12,FALSE), IFERROR(VLOOKUP($A569,'ABB ExDa'!$A$2:$N$184, 0,FALSE), IFERROR(VLOOKUP($A569,'Vocus SIT ExDa'!$B$2:$J$173, 0,FALSE), IFERROR(VLOOKUP($A569,'Telstra ExDa'!$B$2:$K$310, 0,FALSE), IFERROR(VLOOKUP($A569,'Vocus RVC ExDa'!$C$2:$R$155, 0,FALSE), IFERROR(VLOOKUP($A569,'Fusion ExDa'!$B$2:$D$16, 0,FALSE), IFERROR(VLOOKUP($A569,'Exetel ExDa'!$C$2:$N$14, 12,FALSE), IFERROR(VLOOKUP($A569,'Infinet ExDa'!$B$2:$E$14, 0,FALSE), "Not Found"))))))))</f>
        <v>Not Found</v>
      </c>
      <c r="L569" s="235" t="str">
        <f>IFERROR(VLOOKUP($A569,'AAPT ExDa'!$B$2:$U$99, 11,FALSE), IFERROR(VLOOKUP($A569,'ABB ExDa'!$A$2:$N$184, 9,FALSE), IFERROR(VLOOKUP($A569,'Vocus SIT ExDa'!$B$2:$J$173, 8,FALSE), IFERROR(VLOOKUP($A569,'Telstra ExDa'!$B$2:$K$310, 0,FALSE), IFERROR(VLOOKUP($A569,'Vocus RVC ExDa'!$C$2:$R$155, 0,FALSE), IFERROR(VLOOKUP($A569,'Fusion ExDa'!$B$2:$D$16, 0,FALSE), IFERROR(VLOOKUP($A569,'Exetel ExDa'!$C$2:$N$14, 9,FALSE), IFERROR(VLOOKUP($A569,'Infinet ExDa'!$B$2:$E$14, 0,FALSE), "Not Found"))))))))</f>
        <v>Not Found</v>
      </c>
      <c r="M569" s="234" t="str">
        <f>IFERROR(VLOOKUP($A569,'AAPT ExDa'!$B$2:$U$99, 0,FALSE), IFERROR(VLOOKUP($A569,'ABB ExDa'!$A$2:$N$184, 0,FALSE), IFERROR(VLOOKUP($A569,'Vocus SIT ExDa'!$B$2:$J$173, 0,FALSE), IFERROR(VLOOKUP($A569,'Telstra ExDa'!$B$2:$K$310, 0,FALSE), IFERROR(VLOOKUP($A569,'Vocus RVC ExDa'!$C$2:$R$155, 0,FALSE), IFERROR(VLOOKUP($A569,'Fusion ExDa'!$B$2:$D$16, 0,FALSE), IFERROR(VLOOKUP($A569,'Exetel ExDa'!$C$2:$N$14, 11,FALSE), IFERROR(VLOOKUP($A569,'Infinet ExDa'!$B$2:$E$14, 0,FALSE), "Not Found"))))))))</f>
        <v>Not Found</v>
      </c>
      <c r="N569" t="str">
        <f>IFERROR(VLOOKUP($A569,'AAPT ExDa'!$B$2:$U$99, 0,FALSE), IFERROR(VLOOKUP($A569,'ABB ExDa'!$A$2:$N$184, 13,FALSE), IFERROR(VLOOKUP($A569,'Vocus SIT ExDa'!$B$2:$J$173, 0,FALSE), IFERROR(VLOOKUP($A569,'Telstra ExDa'!$B$2:$K$310, 0,FALSE), IFERROR(VLOOKUP($A569,'Vocus RVC ExDa'!$C$2:$R$155, 0,FALSE), IFERROR(VLOOKUP($A569,'Fusion ExDa'!$B$2:$D$16, 0,FALSE), IFERROR(VLOOKUP($A569,'Exetel ExDa'!$C$2:$N$14, 0,FALSE), IFERROR(VLOOKUP($A569,'Infinet ExDa'!$B$2:$E$14, 0,FALSE), "Not Found"))))))))</f>
        <v>Not Found</v>
      </c>
    </row>
    <row r="570" spans="1:14">
      <c r="A570">
        <v>0</v>
      </c>
      <c r="B570" t="str">
        <f>IFERROR(VLOOKUP(A570,'Exetel ExDa'!$C$2:$N$14,4,FALSE),"No Data")</f>
        <v>No Data</v>
      </c>
      <c r="C570" t="str">
        <f>IFERROR(VLOOKUP(A570,'AAPT ExDa'!$B$2:$U$99, 2,FALSE), IFERROR(VLOOKUP(A570,'ABB ExDa'!$A$2:$N$184, 2,FALSE), IFERROR(VLOOKUP(A570,'Vocus SIT ExDa'!$B$2:$J$173, 7,FALSE), IFERROR(VLOOKUP(A570,'Telstra ExDa'!$B$2:$K$310, 2,FALSE), IFERROR(VLOOKUP(A570,'Vocus RVC ExDa'!$C$2:$R$155, 3,FALSE), IFERROR(VLOOKUP(A570,'Fusion ExDa'!$B$2:$D$16, 2,FALSE), IFERROR(VLOOKUP(A570,'Exetel ExDa'!$C$2:$N$14, 2,FALSE), IFERROR(VLOOKUP(A570,'Infinet ExDa'!$B$2:$E$14, 2,FALSE), "Not Found"))))))))</f>
        <v>Not Found</v>
      </c>
      <c r="D570" t="str">
        <f>IFERROR(VLOOKUP($A570,'AAPT ExDa'!$B$2:$U$99, 15,FALSE), IFERROR(VLOOKUP($A570,'ABB ExDa'!$A$2:$N$184, 4,FALSE), IFERROR(VLOOKUP($A570,'Vocus SIT ExDa'!$B$2:$J$173, 5,FALSE), IFERROR(VLOOKUP($A570,'Telstra ExDa'!$B$2:$K$310, 8,FALSE), IFERROR(VLOOKUP($A570,'Vocus RVC ExDa'!$C$2:$R$155, 6,FALSE), IFERROR(VLOOKUP($A570,'Fusion ExDa'!$B$2:$D$16, 4,FALSE), IFERROR(VLOOKUP($A570,'Exetel ExDa'!$C$2:$N$14, 3,FALSE), IFERROR(VLOOKUP($A570,'Infinet ExDa'!$B$2:$E$14, 3,FALSE), "Not Found"))))))))</f>
        <v>Not Found</v>
      </c>
      <c r="E570" t="str">
        <f>IFERROR(VLOOKUP($A570,'AAPT ExDa'!$B$2:$U$99, 3,FALSE), IFERROR(VLOOKUP($A570,'ABB ExDa'!$A$2:$N$184, 5,FALSE), IFERROR(VLOOKUP($A570,'Vocus SIT ExDa'!$B$2:$J$173, 2,FALSE), IFERROR(VLOOKUP($A570,'Telstra ExDa'!$B$2:$K$310, 4,FALSE), IFERROR(VLOOKUP($A570,'Vocus RVC ExDa'!$C$2:$R$155, 8,FALSE), IFERROR(VLOOKUP($A570,'Fusion ExDa'!$B$2:$D$16, 4,FALSE), IFERROR(VLOOKUP($A570,'Exetel ExDa'!$C$2:$N$14, 5,FALSE), IFERROR(VLOOKUP($A570,'Infinet ExDa'!$B$2:$E$14, 3,FALSE), "Not Found"))))))))</f>
        <v>Not Found</v>
      </c>
      <c r="F570" t="str">
        <f>IFERROR(VLOOKUP($A570,'AAPT ExDa'!$B$2:$U$99, 4,FALSE), IFERROR(VLOOKUP($A570,'ABB ExDa'!$A$2:$N$184, 6,FALSE), IFERROR(VLOOKUP($A570,'Vocus SIT ExDa'!$B$2:$J$173, 3,FALSE), IFERROR(VLOOKUP($A570,'Telstra ExDa'!$B$2:$K$310, 5,FALSE), IFERROR(VLOOKUP($A570,'Vocus RVC ExDa'!$C$2:$R$155, 9,FALSE), IFERROR(VLOOKUP($A570,'Fusion ExDa'!$B$2:$D$16, 0,FALSE), IFERROR(VLOOKUP($A570,'Exetel ExDa'!$C$2:$N$14, 6,FALSE), IFERROR(VLOOKUP($A570,'Infinet ExDa'!$B$2:$E$14, 0,FALSE), "Not Found"))))))))</f>
        <v>Not Found</v>
      </c>
      <c r="G570" t="str">
        <f>IFERROR(VLOOKUP($A570,'AAPT ExDa'!$B$2:$U$99, 5,FALSE), IFERROR(VLOOKUP($A570,'ABB ExDa'!$A$2:$N$184, 8,FALSE), IFERROR(VLOOKUP($A570,'Vocus SIT ExDa'!$B$2:$J$173, 6,FALSE), IFERROR(VLOOKUP($A570,'Telstra ExDa'!$B$2:$K$310, 0,FALSE), IFERROR(VLOOKUP($A570,'Vocus RVC ExDa'!$C$2:$R$155, 15,FALSE), IFERROR(VLOOKUP($A570,'Fusion ExDa'!$B$2:$D$16, 0,FALSE), IFERROR(VLOOKUP($A570,'Exetel ExDa'!$C$2:$N$14, 7,FALSE), IFERROR(VLOOKUP($A570,'Infinet ExDa'!$B$2:$E$14, 0,FALSE), "Not Found"))))))))</f>
        <v>Not Found</v>
      </c>
      <c r="H570" t="str">
        <f>IFERROR(VLOOKUP($A570,'AAPT ExDa'!$B$2:$U$99, 6,FALSE), IFERROR(VLOOKUP($A570,'ABB ExDa'!$A$2:$N$184, 0,FALSE), IFERROR(VLOOKUP($A570,'Vocus SIT ExDa'!$B$2:$J$173, 0,FALSE), IFERROR(VLOOKUP($A570,'Telstra ExDa'!$B$2:$K$310, 0,FALSE), IFERROR(VLOOKUP($A570,'Vocus RVC ExDa'!$C$2:$R$155, 16,FALSE), IFERROR(VLOOKUP($A570,'Fusion ExDa'!$B$2:$D$16, 0,FALSE), IFERROR(VLOOKUP($A570,'Exetel ExDa'!$C$2:$N$14, 0,FALSE), IFERROR(VLOOKUP($A570,'Infinet ExDa'!$B$2:$E$14, 0,FALSE), "Not Found"))))))))</f>
        <v>Not Found</v>
      </c>
      <c r="I570" t="str">
        <f>IFERROR(VLOOKUP($A570,'AAPT ExDa'!$B$2:$U$99, 0,FALSE), IFERROR(VLOOKUP($A570,'ABB ExDa'!$A$2:$N$184, 0,FALSE), IFERROR(VLOOKUP($A570,'Vocus SIT ExDa'!$B$2:$J$173, 0,FALSE), IFERROR(VLOOKUP($A570,'Telstra ExDa'!$B$2:$K$310, 0,FALSE), IFERROR(VLOOKUP($A570,'Vocus RVC ExDa'!$C$2:$R$155, 0,FALSE), IFERROR(VLOOKUP($A570,'Fusion ExDa'!$B$2:$D$16, 0,FALSE), IFERROR(VLOOKUP($A570,'Exetel ExDa'!$C$2:$N$14, 8,FALSE), IFERROR(VLOOKUP($A570,'Infinet ExDa'!$B$2:$E$14, 0,FALSE), "Not Found"))))))))</f>
        <v>Not Found</v>
      </c>
      <c r="J570" t="str">
        <f>IFERROR(VLOOKUP($A570,'AAPT ExDa'!$B$2:$U$99, 7,FALSE), IFERROR(VLOOKUP($A570,'ABB ExDa'!$A$2:$N$184, 2,FALSE), IFERROR(VLOOKUP($A570,'Vocus SIT ExDa'!$B$2:$J$173, 0,FALSE), IFERROR(VLOOKUP($A570,'Telstra ExDa'!$B$2:$K$310, 7,FALSE), IFERROR(VLOOKUP($A570,'Vocus RVC ExDa'!$C$2:$R$155, 2,FALSE), IFERROR(VLOOKUP($A570,'Fusion ExDa'!$B$2:$D$16, 3,FALSE), IFERROR(VLOOKUP($A570,'Exetel ExDa'!$C$2:$N$14, 0,FALSE), IFERROR(VLOOKUP($A570,'Infinet ExDa'!$B$2:$E$14, 0,FALSE), "Not Found"))))))))</f>
        <v>Not Found</v>
      </c>
      <c r="K570" t="str">
        <f>IFERROR(VLOOKUP($A570,'AAPT ExDa'!$B$2:$U$99, 12,FALSE), IFERROR(VLOOKUP($A570,'ABB ExDa'!$A$2:$N$184, 0,FALSE), IFERROR(VLOOKUP($A570,'Vocus SIT ExDa'!$B$2:$J$173, 0,FALSE), IFERROR(VLOOKUP($A570,'Telstra ExDa'!$B$2:$K$310, 0,FALSE), IFERROR(VLOOKUP($A570,'Vocus RVC ExDa'!$C$2:$R$155, 0,FALSE), IFERROR(VLOOKUP($A570,'Fusion ExDa'!$B$2:$D$16, 0,FALSE), IFERROR(VLOOKUP($A570,'Exetel ExDa'!$C$2:$N$14, 12,FALSE), IFERROR(VLOOKUP($A570,'Infinet ExDa'!$B$2:$E$14, 0,FALSE), "Not Found"))))))))</f>
        <v>Not Found</v>
      </c>
      <c r="L570" s="235" t="str">
        <f>IFERROR(VLOOKUP($A570,'AAPT ExDa'!$B$2:$U$99, 11,FALSE), IFERROR(VLOOKUP($A570,'ABB ExDa'!$A$2:$N$184, 9,FALSE), IFERROR(VLOOKUP($A570,'Vocus SIT ExDa'!$B$2:$J$173, 8,FALSE), IFERROR(VLOOKUP($A570,'Telstra ExDa'!$B$2:$K$310, 0,FALSE), IFERROR(VLOOKUP($A570,'Vocus RVC ExDa'!$C$2:$R$155, 0,FALSE), IFERROR(VLOOKUP($A570,'Fusion ExDa'!$B$2:$D$16, 0,FALSE), IFERROR(VLOOKUP($A570,'Exetel ExDa'!$C$2:$N$14, 9,FALSE), IFERROR(VLOOKUP($A570,'Infinet ExDa'!$B$2:$E$14, 0,FALSE), "Not Found"))))))))</f>
        <v>Not Found</v>
      </c>
      <c r="M570" s="234" t="str">
        <f>IFERROR(VLOOKUP($A570,'AAPT ExDa'!$B$2:$U$99, 0,FALSE), IFERROR(VLOOKUP($A570,'ABB ExDa'!$A$2:$N$184, 0,FALSE), IFERROR(VLOOKUP($A570,'Vocus SIT ExDa'!$B$2:$J$173, 0,FALSE), IFERROR(VLOOKUP($A570,'Telstra ExDa'!$B$2:$K$310, 0,FALSE), IFERROR(VLOOKUP($A570,'Vocus RVC ExDa'!$C$2:$R$155, 0,FALSE), IFERROR(VLOOKUP($A570,'Fusion ExDa'!$B$2:$D$16, 0,FALSE), IFERROR(VLOOKUP($A570,'Exetel ExDa'!$C$2:$N$14, 11,FALSE), IFERROR(VLOOKUP($A570,'Infinet ExDa'!$B$2:$E$14, 0,FALSE), "Not Found"))))))))</f>
        <v>Not Found</v>
      </c>
      <c r="N570" t="str">
        <f>IFERROR(VLOOKUP($A570,'AAPT ExDa'!$B$2:$U$99, 0,FALSE), IFERROR(VLOOKUP($A570,'ABB ExDa'!$A$2:$N$184, 13,FALSE), IFERROR(VLOOKUP($A570,'Vocus SIT ExDa'!$B$2:$J$173, 0,FALSE), IFERROR(VLOOKUP($A570,'Telstra ExDa'!$B$2:$K$310, 0,FALSE), IFERROR(VLOOKUP($A570,'Vocus RVC ExDa'!$C$2:$R$155, 0,FALSE), IFERROR(VLOOKUP($A570,'Fusion ExDa'!$B$2:$D$16, 0,FALSE), IFERROR(VLOOKUP($A570,'Exetel ExDa'!$C$2:$N$14, 0,FALSE), IFERROR(VLOOKUP($A570,'Infinet ExDa'!$B$2:$E$14, 0,FALSE), "Not Found"))))))))</f>
        <v>Not Found</v>
      </c>
    </row>
    <row r="571" spans="1:14">
      <c r="A571">
        <v>0</v>
      </c>
      <c r="B571" t="str">
        <f>IFERROR(VLOOKUP(A571,'Exetel ExDa'!$C$2:$N$14,4,FALSE),"No Data")</f>
        <v>No Data</v>
      </c>
      <c r="C571" t="str">
        <f>IFERROR(VLOOKUP(A571,'AAPT ExDa'!$B$2:$U$99, 2,FALSE), IFERROR(VLOOKUP(A571,'ABB ExDa'!$A$2:$N$184, 2,FALSE), IFERROR(VLOOKUP(A571,'Vocus SIT ExDa'!$B$2:$J$173, 7,FALSE), IFERROR(VLOOKUP(A571,'Telstra ExDa'!$B$2:$K$310, 2,FALSE), IFERROR(VLOOKUP(A571,'Vocus RVC ExDa'!$C$2:$R$155, 3,FALSE), IFERROR(VLOOKUP(A571,'Fusion ExDa'!$B$2:$D$16, 2,FALSE), IFERROR(VLOOKUP(A571,'Exetel ExDa'!$C$2:$N$14, 2,FALSE), IFERROR(VLOOKUP(A571,'Infinet ExDa'!$B$2:$E$14, 2,FALSE), "Not Found"))))))))</f>
        <v>Not Found</v>
      </c>
      <c r="D571" t="str">
        <f>IFERROR(VLOOKUP($A571,'AAPT ExDa'!$B$2:$U$99, 15,FALSE), IFERROR(VLOOKUP($A571,'ABB ExDa'!$A$2:$N$184, 4,FALSE), IFERROR(VLOOKUP($A571,'Vocus SIT ExDa'!$B$2:$J$173, 5,FALSE), IFERROR(VLOOKUP($A571,'Telstra ExDa'!$B$2:$K$310, 8,FALSE), IFERROR(VLOOKUP($A571,'Vocus RVC ExDa'!$C$2:$R$155, 6,FALSE), IFERROR(VLOOKUP($A571,'Fusion ExDa'!$B$2:$D$16, 4,FALSE), IFERROR(VLOOKUP($A571,'Exetel ExDa'!$C$2:$N$14, 3,FALSE), IFERROR(VLOOKUP($A571,'Infinet ExDa'!$B$2:$E$14, 3,FALSE), "Not Found"))))))))</f>
        <v>Not Found</v>
      </c>
      <c r="E571" t="str">
        <f>IFERROR(VLOOKUP($A571,'AAPT ExDa'!$B$2:$U$99, 3,FALSE), IFERROR(VLOOKUP($A571,'ABB ExDa'!$A$2:$N$184, 5,FALSE), IFERROR(VLOOKUP($A571,'Vocus SIT ExDa'!$B$2:$J$173, 2,FALSE), IFERROR(VLOOKUP($A571,'Telstra ExDa'!$B$2:$K$310, 4,FALSE), IFERROR(VLOOKUP($A571,'Vocus RVC ExDa'!$C$2:$R$155, 8,FALSE), IFERROR(VLOOKUP($A571,'Fusion ExDa'!$B$2:$D$16, 4,FALSE), IFERROR(VLOOKUP($A571,'Exetel ExDa'!$C$2:$N$14, 5,FALSE), IFERROR(VLOOKUP($A571,'Infinet ExDa'!$B$2:$E$14, 3,FALSE), "Not Found"))))))))</f>
        <v>Not Found</v>
      </c>
      <c r="F571" t="str">
        <f>IFERROR(VLOOKUP($A571,'AAPT ExDa'!$B$2:$U$99, 4,FALSE), IFERROR(VLOOKUP($A571,'ABB ExDa'!$A$2:$N$184, 6,FALSE), IFERROR(VLOOKUP($A571,'Vocus SIT ExDa'!$B$2:$J$173, 3,FALSE), IFERROR(VLOOKUP($A571,'Telstra ExDa'!$B$2:$K$310, 5,FALSE), IFERROR(VLOOKUP($A571,'Vocus RVC ExDa'!$C$2:$R$155, 9,FALSE), IFERROR(VLOOKUP($A571,'Fusion ExDa'!$B$2:$D$16, 0,FALSE), IFERROR(VLOOKUP($A571,'Exetel ExDa'!$C$2:$N$14, 6,FALSE), IFERROR(VLOOKUP($A571,'Infinet ExDa'!$B$2:$E$14, 0,FALSE), "Not Found"))))))))</f>
        <v>Not Found</v>
      </c>
      <c r="G571" t="str">
        <f>IFERROR(VLOOKUP($A571,'AAPT ExDa'!$B$2:$U$99, 5,FALSE), IFERROR(VLOOKUP($A571,'ABB ExDa'!$A$2:$N$184, 8,FALSE), IFERROR(VLOOKUP($A571,'Vocus SIT ExDa'!$B$2:$J$173, 6,FALSE), IFERROR(VLOOKUP($A571,'Telstra ExDa'!$B$2:$K$310, 0,FALSE), IFERROR(VLOOKUP($A571,'Vocus RVC ExDa'!$C$2:$R$155, 15,FALSE), IFERROR(VLOOKUP($A571,'Fusion ExDa'!$B$2:$D$16, 0,FALSE), IFERROR(VLOOKUP($A571,'Exetel ExDa'!$C$2:$N$14, 7,FALSE), IFERROR(VLOOKUP($A571,'Infinet ExDa'!$B$2:$E$14, 0,FALSE), "Not Found"))))))))</f>
        <v>Not Found</v>
      </c>
      <c r="H571" t="str">
        <f>IFERROR(VLOOKUP($A571,'AAPT ExDa'!$B$2:$U$99, 6,FALSE), IFERROR(VLOOKUP($A571,'ABB ExDa'!$A$2:$N$184, 0,FALSE), IFERROR(VLOOKUP($A571,'Vocus SIT ExDa'!$B$2:$J$173, 0,FALSE), IFERROR(VLOOKUP($A571,'Telstra ExDa'!$B$2:$K$310, 0,FALSE), IFERROR(VLOOKUP($A571,'Vocus RVC ExDa'!$C$2:$R$155, 16,FALSE), IFERROR(VLOOKUP($A571,'Fusion ExDa'!$B$2:$D$16, 0,FALSE), IFERROR(VLOOKUP($A571,'Exetel ExDa'!$C$2:$N$14, 0,FALSE), IFERROR(VLOOKUP($A571,'Infinet ExDa'!$B$2:$E$14, 0,FALSE), "Not Found"))))))))</f>
        <v>Not Found</v>
      </c>
      <c r="I571" t="str">
        <f>IFERROR(VLOOKUP($A571,'AAPT ExDa'!$B$2:$U$99, 0,FALSE), IFERROR(VLOOKUP($A571,'ABB ExDa'!$A$2:$N$184, 0,FALSE), IFERROR(VLOOKUP($A571,'Vocus SIT ExDa'!$B$2:$J$173, 0,FALSE), IFERROR(VLOOKUP($A571,'Telstra ExDa'!$B$2:$K$310, 0,FALSE), IFERROR(VLOOKUP($A571,'Vocus RVC ExDa'!$C$2:$R$155, 0,FALSE), IFERROR(VLOOKUP($A571,'Fusion ExDa'!$B$2:$D$16, 0,FALSE), IFERROR(VLOOKUP($A571,'Exetel ExDa'!$C$2:$N$14, 8,FALSE), IFERROR(VLOOKUP($A571,'Infinet ExDa'!$B$2:$E$14, 0,FALSE), "Not Found"))))))))</f>
        <v>Not Found</v>
      </c>
      <c r="J571" t="str">
        <f>IFERROR(VLOOKUP($A571,'AAPT ExDa'!$B$2:$U$99, 7,FALSE), IFERROR(VLOOKUP($A571,'ABB ExDa'!$A$2:$N$184, 2,FALSE), IFERROR(VLOOKUP($A571,'Vocus SIT ExDa'!$B$2:$J$173, 0,FALSE), IFERROR(VLOOKUP($A571,'Telstra ExDa'!$B$2:$K$310, 7,FALSE), IFERROR(VLOOKUP($A571,'Vocus RVC ExDa'!$C$2:$R$155, 2,FALSE), IFERROR(VLOOKUP($A571,'Fusion ExDa'!$B$2:$D$16, 3,FALSE), IFERROR(VLOOKUP($A571,'Exetel ExDa'!$C$2:$N$14, 0,FALSE), IFERROR(VLOOKUP($A571,'Infinet ExDa'!$B$2:$E$14, 0,FALSE), "Not Found"))))))))</f>
        <v>Not Found</v>
      </c>
      <c r="K571" t="str">
        <f>IFERROR(VLOOKUP($A571,'AAPT ExDa'!$B$2:$U$99, 12,FALSE), IFERROR(VLOOKUP($A571,'ABB ExDa'!$A$2:$N$184, 0,FALSE), IFERROR(VLOOKUP($A571,'Vocus SIT ExDa'!$B$2:$J$173, 0,FALSE), IFERROR(VLOOKUP($A571,'Telstra ExDa'!$B$2:$K$310, 0,FALSE), IFERROR(VLOOKUP($A571,'Vocus RVC ExDa'!$C$2:$R$155, 0,FALSE), IFERROR(VLOOKUP($A571,'Fusion ExDa'!$B$2:$D$16, 0,FALSE), IFERROR(VLOOKUP($A571,'Exetel ExDa'!$C$2:$N$14, 12,FALSE), IFERROR(VLOOKUP($A571,'Infinet ExDa'!$B$2:$E$14, 0,FALSE), "Not Found"))))))))</f>
        <v>Not Found</v>
      </c>
      <c r="L571" s="235" t="str">
        <f>IFERROR(VLOOKUP($A571,'AAPT ExDa'!$B$2:$U$99, 11,FALSE), IFERROR(VLOOKUP($A571,'ABB ExDa'!$A$2:$N$184, 9,FALSE), IFERROR(VLOOKUP($A571,'Vocus SIT ExDa'!$B$2:$J$173, 8,FALSE), IFERROR(VLOOKUP($A571,'Telstra ExDa'!$B$2:$K$310, 0,FALSE), IFERROR(VLOOKUP($A571,'Vocus RVC ExDa'!$C$2:$R$155, 0,FALSE), IFERROR(VLOOKUP($A571,'Fusion ExDa'!$B$2:$D$16, 0,FALSE), IFERROR(VLOOKUP($A571,'Exetel ExDa'!$C$2:$N$14, 9,FALSE), IFERROR(VLOOKUP($A571,'Infinet ExDa'!$B$2:$E$14, 0,FALSE), "Not Found"))))))))</f>
        <v>Not Found</v>
      </c>
      <c r="M571" s="234" t="str">
        <f>IFERROR(VLOOKUP($A571,'AAPT ExDa'!$B$2:$U$99, 0,FALSE), IFERROR(VLOOKUP($A571,'ABB ExDa'!$A$2:$N$184, 0,FALSE), IFERROR(VLOOKUP($A571,'Vocus SIT ExDa'!$B$2:$J$173, 0,FALSE), IFERROR(VLOOKUP($A571,'Telstra ExDa'!$B$2:$K$310, 0,FALSE), IFERROR(VLOOKUP($A571,'Vocus RVC ExDa'!$C$2:$R$155, 0,FALSE), IFERROR(VLOOKUP($A571,'Fusion ExDa'!$B$2:$D$16, 0,FALSE), IFERROR(VLOOKUP($A571,'Exetel ExDa'!$C$2:$N$14, 11,FALSE), IFERROR(VLOOKUP($A571,'Infinet ExDa'!$B$2:$E$14, 0,FALSE), "Not Found"))))))))</f>
        <v>Not Found</v>
      </c>
      <c r="N571" t="str">
        <f>IFERROR(VLOOKUP($A571,'AAPT ExDa'!$B$2:$U$99, 0,FALSE), IFERROR(VLOOKUP($A571,'ABB ExDa'!$A$2:$N$184, 13,FALSE), IFERROR(VLOOKUP($A571,'Vocus SIT ExDa'!$B$2:$J$173, 0,FALSE), IFERROR(VLOOKUP($A571,'Telstra ExDa'!$B$2:$K$310, 0,FALSE), IFERROR(VLOOKUP($A571,'Vocus RVC ExDa'!$C$2:$R$155, 0,FALSE), IFERROR(VLOOKUP($A571,'Fusion ExDa'!$B$2:$D$16, 0,FALSE), IFERROR(VLOOKUP($A571,'Exetel ExDa'!$C$2:$N$14, 0,FALSE), IFERROR(VLOOKUP($A571,'Infinet ExDa'!$B$2:$E$14, 0,FALSE), "Not Found"))))))))</f>
        <v>Not Found</v>
      </c>
    </row>
    <row r="572" spans="1:14">
      <c r="A572">
        <v>0</v>
      </c>
      <c r="B572" t="str">
        <f>IFERROR(VLOOKUP(A572,'Exetel ExDa'!$C$2:$N$14,4,FALSE),"No Data")</f>
        <v>No Data</v>
      </c>
      <c r="C572" t="str">
        <f>IFERROR(VLOOKUP(A572,'AAPT ExDa'!$B$2:$U$99, 2,FALSE), IFERROR(VLOOKUP(A572,'ABB ExDa'!$A$2:$N$184, 2,FALSE), IFERROR(VLOOKUP(A572,'Vocus SIT ExDa'!$B$2:$J$173, 7,FALSE), IFERROR(VLOOKUP(A572,'Telstra ExDa'!$B$2:$K$310, 2,FALSE), IFERROR(VLOOKUP(A572,'Vocus RVC ExDa'!$C$2:$R$155, 3,FALSE), IFERROR(VLOOKUP(A572,'Fusion ExDa'!$B$2:$D$16, 2,FALSE), IFERROR(VLOOKUP(A572,'Exetel ExDa'!$C$2:$N$14, 2,FALSE), IFERROR(VLOOKUP(A572,'Infinet ExDa'!$B$2:$E$14, 2,FALSE), "Not Found"))))))))</f>
        <v>Not Found</v>
      </c>
      <c r="D572" t="str">
        <f>IFERROR(VLOOKUP($A572,'AAPT ExDa'!$B$2:$U$99, 15,FALSE), IFERROR(VLOOKUP($A572,'ABB ExDa'!$A$2:$N$184, 4,FALSE), IFERROR(VLOOKUP($A572,'Vocus SIT ExDa'!$B$2:$J$173, 5,FALSE), IFERROR(VLOOKUP($A572,'Telstra ExDa'!$B$2:$K$310, 8,FALSE), IFERROR(VLOOKUP($A572,'Vocus RVC ExDa'!$C$2:$R$155, 6,FALSE), IFERROR(VLOOKUP($A572,'Fusion ExDa'!$B$2:$D$16, 4,FALSE), IFERROR(VLOOKUP($A572,'Exetel ExDa'!$C$2:$N$14, 3,FALSE), IFERROR(VLOOKUP($A572,'Infinet ExDa'!$B$2:$E$14, 3,FALSE), "Not Found"))))))))</f>
        <v>Not Found</v>
      </c>
      <c r="E572" t="str">
        <f>IFERROR(VLOOKUP($A572,'AAPT ExDa'!$B$2:$U$99, 3,FALSE), IFERROR(VLOOKUP($A572,'ABB ExDa'!$A$2:$N$184, 5,FALSE), IFERROR(VLOOKUP($A572,'Vocus SIT ExDa'!$B$2:$J$173, 2,FALSE), IFERROR(VLOOKUP($A572,'Telstra ExDa'!$B$2:$K$310, 4,FALSE), IFERROR(VLOOKUP($A572,'Vocus RVC ExDa'!$C$2:$R$155, 8,FALSE), IFERROR(VLOOKUP($A572,'Fusion ExDa'!$B$2:$D$16, 4,FALSE), IFERROR(VLOOKUP($A572,'Exetel ExDa'!$C$2:$N$14, 5,FALSE), IFERROR(VLOOKUP($A572,'Infinet ExDa'!$B$2:$E$14, 3,FALSE), "Not Found"))))))))</f>
        <v>Not Found</v>
      </c>
      <c r="F572" t="str">
        <f>IFERROR(VLOOKUP($A572,'AAPT ExDa'!$B$2:$U$99, 4,FALSE), IFERROR(VLOOKUP($A572,'ABB ExDa'!$A$2:$N$184, 6,FALSE), IFERROR(VLOOKUP($A572,'Vocus SIT ExDa'!$B$2:$J$173, 3,FALSE), IFERROR(VLOOKUP($A572,'Telstra ExDa'!$B$2:$K$310, 5,FALSE), IFERROR(VLOOKUP($A572,'Vocus RVC ExDa'!$C$2:$R$155, 9,FALSE), IFERROR(VLOOKUP($A572,'Fusion ExDa'!$B$2:$D$16, 0,FALSE), IFERROR(VLOOKUP($A572,'Exetel ExDa'!$C$2:$N$14, 6,FALSE), IFERROR(VLOOKUP($A572,'Infinet ExDa'!$B$2:$E$14, 0,FALSE), "Not Found"))))))))</f>
        <v>Not Found</v>
      </c>
      <c r="G572" t="str">
        <f>IFERROR(VLOOKUP($A572,'AAPT ExDa'!$B$2:$U$99, 5,FALSE), IFERROR(VLOOKUP($A572,'ABB ExDa'!$A$2:$N$184, 8,FALSE), IFERROR(VLOOKUP($A572,'Vocus SIT ExDa'!$B$2:$J$173, 6,FALSE), IFERROR(VLOOKUP($A572,'Telstra ExDa'!$B$2:$K$310, 0,FALSE), IFERROR(VLOOKUP($A572,'Vocus RVC ExDa'!$C$2:$R$155, 15,FALSE), IFERROR(VLOOKUP($A572,'Fusion ExDa'!$B$2:$D$16, 0,FALSE), IFERROR(VLOOKUP($A572,'Exetel ExDa'!$C$2:$N$14, 7,FALSE), IFERROR(VLOOKUP($A572,'Infinet ExDa'!$B$2:$E$14, 0,FALSE), "Not Found"))))))))</f>
        <v>Not Found</v>
      </c>
      <c r="H572" t="str">
        <f>IFERROR(VLOOKUP($A572,'AAPT ExDa'!$B$2:$U$99, 6,FALSE), IFERROR(VLOOKUP($A572,'ABB ExDa'!$A$2:$N$184, 0,FALSE), IFERROR(VLOOKUP($A572,'Vocus SIT ExDa'!$B$2:$J$173, 0,FALSE), IFERROR(VLOOKUP($A572,'Telstra ExDa'!$B$2:$K$310, 0,FALSE), IFERROR(VLOOKUP($A572,'Vocus RVC ExDa'!$C$2:$R$155, 16,FALSE), IFERROR(VLOOKUP($A572,'Fusion ExDa'!$B$2:$D$16, 0,FALSE), IFERROR(VLOOKUP($A572,'Exetel ExDa'!$C$2:$N$14, 0,FALSE), IFERROR(VLOOKUP($A572,'Infinet ExDa'!$B$2:$E$14, 0,FALSE), "Not Found"))))))))</f>
        <v>Not Found</v>
      </c>
      <c r="I572" t="str">
        <f>IFERROR(VLOOKUP($A572,'AAPT ExDa'!$B$2:$U$99, 0,FALSE), IFERROR(VLOOKUP($A572,'ABB ExDa'!$A$2:$N$184, 0,FALSE), IFERROR(VLOOKUP($A572,'Vocus SIT ExDa'!$B$2:$J$173, 0,FALSE), IFERROR(VLOOKUP($A572,'Telstra ExDa'!$B$2:$K$310, 0,FALSE), IFERROR(VLOOKUP($A572,'Vocus RVC ExDa'!$C$2:$R$155, 0,FALSE), IFERROR(VLOOKUP($A572,'Fusion ExDa'!$B$2:$D$16, 0,FALSE), IFERROR(VLOOKUP($A572,'Exetel ExDa'!$C$2:$N$14, 8,FALSE), IFERROR(VLOOKUP($A572,'Infinet ExDa'!$B$2:$E$14, 0,FALSE), "Not Found"))))))))</f>
        <v>Not Found</v>
      </c>
      <c r="J572" t="str">
        <f>IFERROR(VLOOKUP($A572,'AAPT ExDa'!$B$2:$U$99, 7,FALSE), IFERROR(VLOOKUP($A572,'ABB ExDa'!$A$2:$N$184, 2,FALSE), IFERROR(VLOOKUP($A572,'Vocus SIT ExDa'!$B$2:$J$173, 0,FALSE), IFERROR(VLOOKUP($A572,'Telstra ExDa'!$B$2:$K$310, 7,FALSE), IFERROR(VLOOKUP($A572,'Vocus RVC ExDa'!$C$2:$R$155, 2,FALSE), IFERROR(VLOOKUP($A572,'Fusion ExDa'!$B$2:$D$16, 3,FALSE), IFERROR(VLOOKUP($A572,'Exetel ExDa'!$C$2:$N$14, 0,FALSE), IFERROR(VLOOKUP($A572,'Infinet ExDa'!$B$2:$E$14, 0,FALSE), "Not Found"))))))))</f>
        <v>Not Found</v>
      </c>
      <c r="K572" t="str">
        <f>IFERROR(VLOOKUP($A572,'AAPT ExDa'!$B$2:$U$99, 12,FALSE), IFERROR(VLOOKUP($A572,'ABB ExDa'!$A$2:$N$184, 0,FALSE), IFERROR(VLOOKUP($A572,'Vocus SIT ExDa'!$B$2:$J$173, 0,FALSE), IFERROR(VLOOKUP($A572,'Telstra ExDa'!$B$2:$K$310, 0,FALSE), IFERROR(VLOOKUP($A572,'Vocus RVC ExDa'!$C$2:$R$155, 0,FALSE), IFERROR(VLOOKUP($A572,'Fusion ExDa'!$B$2:$D$16, 0,FALSE), IFERROR(VLOOKUP($A572,'Exetel ExDa'!$C$2:$N$14, 12,FALSE), IFERROR(VLOOKUP($A572,'Infinet ExDa'!$B$2:$E$14, 0,FALSE), "Not Found"))))))))</f>
        <v>Not Found</v>
      </c>
      <c r="L572" s="235" t="str">
        <f>IFERROR(VLOOKUP($A572,'AAPT ExDa'!$B$2:$U$99, 11,FALSE), IFERROR(VLOOKUP($A572,'ABB ExDa'!$A$2:$N$184, 9,FALSE), IFERROR(VLOOKUP($A572,'Vocus SIT ExDa'!$B$2:$J$173, 8,FALSE), IFERROR(VLOOKUP($A572,'Telstra ExDa'!$B$2:$K$310, 0,FALSE), IFERROR(VLOOKUP($A572,'Vocus RVC ExDa'!$C$2:$R$155, 0,FALSE), IFERROR(VLOOKUP($A572,'Fusion ExDa'!$B$2:$D$16, 0,FALSE), IFERROR(VLOOKUP($A572,'Exetel ExDa'!$C$2:$N$14, 9,FALSE), IFERROR(VLOOKUP($A572,'Infinet ExDa'!$B$2:$E$14, 0,FALSE), "Not Found"))))))))</f>
        <v>Not Found</v>
      </c>
      <c r="M572" s="234" t="str">
        <f>IFERROR(VLOOKUP($A572,'AAPT ExDa'!$B$2:$U$99, 0,FALSE), IFERROR(VLOOKUP($A572,'ABB ExDa'!$A$2:$N$184, 0,FALSE), IFERROR(VLOOKUP($A572,'Vocus SIT ExDa'!$B$2:$J$173, 0,FALSE), IFERROR(VLOOKUP($A572,'Telstra ExDa'!$B$2:$K$310, 0,FALSE), IFERROR(VLOOKUP($A572,'Vocus RVC ExDa'!$C$2:$R$155, 0,FALSE), IFERROR(VLOOKUP($A572,'Fusion ExDa'!$B$2:$D$16, 0,FALSE), IFERROR(VLOOKUP($A572,'Exetel ExDa'!$C$2:$N$14, 11,FALSE), IFERROR(VLOOKUP($A572,'Infinet ExDa'!$B$2:$E$14, 0,FALSE), "Not Found"))))))))</f>
        <v>Not Found</v>
      </c>
      <c r="N572" t="str">
        <f>IFERROR(VLOOKUP($A572,'AAPT ExDa'!$B$2:$U$99, 0,FALSE), IFERROR(VLOOKUP($A572,'ABB ExDa'!$A$2:$N$184, 13,FALSE), IFERROR(VLOOKUP($A572,'Vocus SIT ExDa'!$B$2:$J$173, 0,FALSE), IFERROR(VLOOKUP($A572,'Telstra ExDa'!$B$2:$K$310, 0,FALSE), IFERROR(VLOOKUP($A572,'Vocus RVC ExDa'!$C$2:$R$155, 0,FALSE), IFERROR(VLOOKUP($A572,'Fusion ExDa'!$B$2:$D$16, 0,FALSE), IFERROR(VLOOKUP($A572,'Exetel ExDa'!$C$2:$N$14, 0,FALSE), IFERROR(VLOOKUP($A572,'Infinet ExDa'!$B$2:$E$14, 0,FALSE), "Not Found"))))))))</f>
        <v>Not Found</v>
      </c>
    </row>
    <row r="573" spans="1:14">
      <c r="A573">
        <v>0</v>
      </c>
      <c r="B573" t="str">
        <f>IFERROR(VLOOKUP(A573,'Exetel ExDa'!$C$2:$N$14,4,FALSE),"No Data")</f>
        <v>No Data</v>
      </c>
      <c r="C573" t="str">
        <f>IFERROR(VLOOKUP(A573,'AAPT ExDa'!$B$2:$U$99, 2,FALSE), IFERROR(VLOOKUP(A573,'ABB ExDa'!$A$2:$N$184, 2,FALSE), IFERROR(VLOOKUP(A573,'Vocus SIT ExDa'!$B$2:$J$173, 7,FALSE), IFERROR(VLOOKUP(A573,'Telstra ExDa'!$B$2:$K$310, 2,FALSE), IFERROR(VLOOKUP(A573,'Vocus RVC ExDa'!$C$2:$R$155, 3,FALSE), IFERROR(VLOOKUP(A573,'Fusion ExDa'!$B$2:$D$16, 2,FALSE), IFERROR(VLOOKUP(A573,'Exetel ExDa'!$C$2:$N$14, 2,FALSE), IFERROR(VLOOKUP(A573,'Infinet ExDa'!$B$2:$E$14, 2,FALSE), "Not Found"))))))))</f>
        <v>Not Found</v>
      </c>
      <c r="D573" t="str">
        <f>IFERROR(VLOOKUP($A573,'AAPT ExDa'!$B$2:$U$99, 15,FALSE), IFERROR(VLOOKUP($A573,'ABB ExDa'!$A$2:$N$184, 4,FALSE), IFERROR(VLOOKUP($A573,'Vocus SIT ExDa'!$B$2:$J$173, 5,FALSE), IFERROR(VLOOKUP($A573,'Telstra ExDa'!$B$2:$K$310, 8,FALSE), IFERROR(VLOOKUP($A573,'Vocus RVC ExDa'!$C$2:$R$155, 6,FALSE), IFERROR(VLOOKUP($A573,'Fusion ExDa'!$B$2:$D$16, 4,FALSE), IFERROR(VLOOKUP($A573,'Exetel ExDa'!$C$2:$N$14, 3,FALSE), IFERROR(VLOOKUP($A573,'Infinet ExDa'!$B$2:$E$14, 3,FALSE), "Not Found"))))))))</f>
        <v>Not Found</v>
      </c>
      <c r="E573" t="str">
        <f>IFERROR(VLOOKUP($A573,'AAPT ExDa'!$B$2:$U$99, 3,FALSE), IFERROR(VLOOKUP($A573,'ABB ExDa'!$A$2:$N$184, 5,FALSE), IFERROR(VLOOKUP($A573,'Vocus SIT ExDa'!$B$2:$J$173, 2,FALSE), IFERROR(VLOOKUP($A573,'Telstra ExDa'!$B$2:$K$310, 4,FALSE), IFERROR(VLOOKUP($A573,'Vocus RVC ExDa'!$C$2:$R$155, 8,FALSE), IFERROR(VLOOKUP($A573,'Fusion ExDa'!$B$2:$D$16, 4,FALSE), IFERROR(VLOOKUP($A573,'Exetel ExDa'!$C$2:$N$14, 5,FALSE), IFERROR(VLOOKUP($A573,'Infinet ExDa'!$B$2:$E$14, 3,FALSE), "Not Found"))))))))</f>
        <v>Not Found</v>
      </c>
      <c r="F573" t="str">
        <f>IFERROR(VLOOKUP($A573,'AAPT ExDa'!$B$2:$U$99, 4,FALSE), IFERROR(VLOOKUP($A573,'ABB ExDa'!$A$2:$N$184, 6,FALSE), IFERROR(VLOOKUP($A573,'Vocus SIT ExDa'!$B$2:$J$173, 3,FALSE), IFERROR(VLOOKUP($A573,'Telstra ExDa'!$B$2:$K$310, 5,FALSE), IFERROR(VLOOKUP($A573,'Vocus RVC ExDa'!$C$2:$R$155, 9,FALSE), IFERROR(VLOOKUP($A573,'Fusion ExDa'!$B$2:$D$16, 0,FALSE), IFERROR(VLOOKUP($A573,'Exetel ExDa'!$C$2:$N$14, 6,FALSE), IFERROR(VLOOKUP($A573,'Infinet ExDa'!$B$2:$E$14, 0,FALSE), "Not Found"))))))))</f>
        <v>Not Found</v>
      </c>
      <c r="G573" t="str">
        <f>IFERROR(VLOOKUP($A573,'AAPT ExDa'!$B$2:$U$99, 5,FALSE), IFERROR(VLOOKUP($A573,'ABB ExDa'!$A$2:$N$184, 8,FALSE), IFERROR(VLOOKUP($A573,'Vocus SIT ExDa'!$B$2:$J$173, 6,FALSE), IFERROR(VLOOKUP($A573,'Telstra ExDa'!$B$2:$K$310, 0,FALSE), IFERROR(VLOOKUP($A573,'Vocus RVC ExDa'!$C$2:$R$155, 15,FALSE), IFERROR(VLOOKUP($A573,'Fusion ExDa'!$B$2:$D$16, 0,FALSE), IFERROR(VLOOKUP($A573,'Exetel ExDa'!$C$2:$N$14, 7,FALSE), IFERROR(VLOOKUP($A573,'Infinet ExDa'!$B$2:$E$14, 0,FALSE), "Not Found"))))))))</f>
        <v>Not Found</v>
      </c>
      <c r="H573" t="str">
        <f>IFERROR(VLOOKUP($A573,'AAPT ExDa'!$B$2:$U$99, 6,FALSE), IFERROR(VLOOKUP($A573,'ABB ExDa'!$A$2:$N$184, 0,FALSE), IFERROR(VLOOKUP($A573,'Vocus SIT ExDa'!$B$2:$J$173, 0,FALSE), IFERROR(VLOOKUP($A573,'Telstra ExDa'!$B$2:$K$310, 0,FALSE), IFERROR(VLOOKUP($A573,'Vocus RVC ExDa'!$C$2:$R$155, 16,FALSE), IFERROR(VLOOKUP($A573,'Fusion ExDa'!$B$2:$D$16, 0,FALSE), IFERROR(VLOOKUP($A573,'Exetel ExDa'!$C$2:$N$14, 0,FALSE), IFERROR(VLOOKUP($A573,'Infinet ExDa'!$B$2:$E$14, 0,FALSE), "Not Found"))))))))</f>
        <v>Not Found</v>
      </c>
      <c r="I573" t="str">
        <f>IFERROR(VLOOKUP($A573,'AAPT ExDa'!$B$2:$U$99, 0,FALSE), IFERROR(VLOOKUP($A573,'ABB ExDa'!$A$2:$N$184, 0,FALSE), IFERROR(VLOOKUP($A573,'Vocus SIT ExDa'!$B$2:$J$173, 0,FALSE), IFERROR(VLOOKUP($A573,'Telstra ExDa'!$B$2:$K$310, 0,FALSE), IFERROR(VLOOKUP($A573,'Vocus RVC ExDa'!$C$2:$R$155, 0,FALSE), IFERROR(VLOOKUP($A573,'Fusion ExDa'!$B$2:$D$16, 0,FALSE), IFERROR(VLOOKUP($A573,'Exetel ExDa'!$C$2:$N$14, 8,FALSE), IFERROR(VLOOKUP($A573,'Infinet ExDa'!$B$2:$E$14, 0,FALSE), "Not Found"))))))))</f>
        <v>Not Found</v>
      </c>
      <c r="J573" t="str">
        <f>IFERROR(VLOOKUP($A573,'AAPT ExDa'!$B$2:$U$99, 7,FALSE), IFERROR(VLOOKUP($A573,'ABB ExDa'!$A$2:$N$184, 2,FALSE), IFERROR(VLOOKUP($A573,'Vocus SIT ExDa'!$B$2:$J$173, 0,FALSE), IFERROR(VLOOKUP($A573,'Telstra ExDa'!$B$2:$K$310, 7,FALSE), IFERROR(VLOOKUP($A573,'Vocus RVC ExDa'!$C$2:$R$155, 2,FALSE), IFERROR(VLOOKUP($A573,'Fusion ExDa'!$B$2:$D$16, 3,FALSE), IFERROR(VLOOKUP($A573,'Exetel ExDa'!$C$2:$N$14, 0,FALSE), IFERROR(VLOOKUP($A573,'Infinet ExDa'!$B$2:$E$14, 0,FALSE), "Not Found"))))))))</f>
        <v>Not Found</v>
      </c>
      <c r="K573" t="str">
        <f>IFERROR(VLOOKUP($A573,'AAPT ExDa'!$B$2:$U$99, 12,FALSE), IFERROR(VLOOKUP($A573,'ABB ExDa'!$A$2:$N$184, 0,FALSE), IFERROR(VLOOKUP($A573,'Vocus SIT ExDa'!$B$2:$J$173, 0,FALSE), IFERROR(VLOOKUP($A573,'Telstra ExDa'!$B$2:$K$310, 0,FALSE), IFERROR(VLOOKUP($A573,'Vocus RVC ExDa'!$C$2:$R$155, 0,FALSE), IFERROR(VLOOKUP($A573,'Fusion ExDa'!$B$2:$D$16, 0,FALSE), IFERROR(VLOOKUP($A573,'Exetel ExDa'!$C$2:$N$14, 12,FALSE), IFERROR(VLOOKUP($A573,'Infinet ExDa'!$B$2:$E$14, 0,FALSE), "Not Found"))))))))</f>
        <v>Not Found</v>
      </c>
      <c r="L573" s="235" t="str">
        <f>IFERROR(VLOOKUP($A573,'AAPT ExDa'!$B$2:$U$99, 11,FALSE), IFERROR(VLOOKUP($A573,'ABB ExDa'!$A$2:$N$184, 9,FALSE), IFERROR(VLOOKUP($A573,'Vocus SIT ExDa'!$B$2:$J$173, 8,FALSE), IFERROR(VLOOKUP($A573,'Telstra ExDa'!$B$2:$K$310, 0,FALSE), IFERROR(VLOOKUP($A573,'Vocus RVC ExDa'!$C$2:$R$155, 0,FALSE), IFERROR(VLOOKUP($A573,'Fusion ExDa'!$B$2:$D$16, 0,FALSE), IFERROR(VLOOKUP($A573,'Exetel ExDa'!$C$2:$N$14, 9,FALSE), IFERROR(VLOOKUP($A573,'Infinet ExDa'!$B$2:$E$14, 0,FALSE), "Not Found"))))))))</f>
        <v>Not Found</v>
      </c>
      <c r="M573" s="234" t="str">
        <f>IFERROR(VLOOKUP($A573,'AAPT ExDa'!$B$2:$U$99, 0,FALSE), IFERROR(VLOOKUP($A573,'ABB ExDa'!$A$2:$N$184, 0,FALSE), IFERROR(VLOOKUP($A573,'Vocus SIT ExDa'!$B$2:$J$173, 0,FALSE), IFERROR(VLOOKUP($A573,'Telstra ExDa'!$B$2:$K$310, 0,FALSE), IFERROR(VLOOKUP($A573,'Vocus RVC ExDa'!$C$2:$R$155, 0,FALSE), IFERROR(VLOOKUP($A573,'Fusion ExDa'!$B$2:$D$16, 0,FALSE), IFERROR(VLOOKUP($A573,'Exetel ExDa'!$C$2:$N$14, 11,FALSE), IFERROR(VLOOKUP($A573,'Infinet ExDa'!$B$2:$E$14, 0,FALSE), "Not Found"))))))))</f>
        <v>Not Found</v>
      </c>
      <c r="N573" t="str">
        <f>IFERROR(VLOOKUP($A573,'AAPT ExDa'!$B$2:$U$99, 0,FALSE), IFERROR(VLOOKUP($A573,'ABB ExDa'!$A$2:$N$184, 13,FALSE), IFERROR(VLOOKUP($A573,'Vocus SIT ExDa'!$B$2:$J$173, 0,FALSE), IFERROR(VLOOKUP($A573,'Telstra ExDa'!$B$2:$K$310, 0,FALSE), IFERROR(VLOOKUP($A573,'Vocus RVC ExDa'!$C$2:$R$155, 0,FALSE), IFERROR(VLOOKUP($A573,'Fusion ExDa'!$B$2:$D$16, 0,FALSE), IFERROR(VLOOKUP($A573,'Exetel ExDa'!$C$2:$N$14, 0,FALSE), IFERROR(VLOOKUP($A573,'Infinet ExDa'!$B$2:$E$14, 0,FALSE), "Not Found"))))))))</f>
        <v>Not Found</v>
      </c>
    </row>
    <row r="574" spans="1:14">
      <c r="A574">
        <v>0</v>
      </c>
      <c r="B574" t="str">
        <f>IFERROR(VLOOKUP(A574,'Exetel ExDa'!$C$2:$N$14,4,FALSE),"No Data")</f>
        <v>No Data</v>
      </c>
      <c r="C574" t="str">
        <f>IFERROR(VLOOKUP(A574,'AAPT ExDa'!$B$2:$U$99, 2,FALSE), IFERROR(VLOOKUP(A574,'ABB ExDa'!$A$2:$N$184, 2,FALSE), IFERROR(VLOOKUP(A574,'Vocus SIT ExDa'!$B$2:$J$173, 7,FALSE), IFERROR(VLOOKUP(A574,'Telstra ExDa'!$B$2:$K$310, 2,FALSE), IFERROR(VLOOKUP(A574,'Vocus RVC ExDa'!$C$2:$R$155, 3,FALSE), IFERROR(VLOOKUP(A574,'Fusion ExDa'!$B$2:$D$16, 2,FALSE), IFERROR(VLOOKUP(A574,'Exetel ExDa'!$C$2:$N$14, 2,FALSE), IFERROR(VLOOKUP(A574,'Infinet ExDa'!$B$2:$E$14, 2,FALSE), "Not Found"))))))))</f>
        <v>Not Found</v>
      </c>
      <c r="D574" t="str">
        <f>IFERROR(VLOOKUP($A574,'AAPT ExDa'!$B$2:$U$99, 15,FALSE), IFERROR(VLOOKUP($A574,'ABB ExDa'!$A$2:$N$184, 4,FALSE), IFERROR(VLOOKUP($A574,'Vocus SIT ExDa'!$B$2:$J$173, 5,FALSE), IFERROR(VLOOKUP($A574,'Telstra ExDa'!$B$2:$K$310, 8,FALSE), IFERROR(VLOOKUP($A574,'Vocus RVC ExDa'!$C$2:$R$155, 6,FALSE), IFERROR(VLOOKUP($A574,'Fusion ExDa'!$B$2:$D$16, 4,FALSE), IFERROR(VLOOKUP($A574,'Exetel ExDa'!$C$2:$N$14, 3,FALSE), IFERROR(VLOOKUP($A574,'Infinet ExDa'!$B$2:$E$14, 3,FALSE), "Not Found"))))))))</f>
        <v>Not Found</v>
      </c>
      <c r="E574" t="str">
        <f>IFERROR(VLOOKUP($A574,'AAPT ExDa'!$B$2:$U$99, 3,FALSE), IFERROR(VLOOKUP($A574,'ABB ExDa'!$A$2:$N$184, 5,FALSE), IFERROR(VLOOKUP($A574,'Vocus SIT ExDa'!$B$2:$J$173, 2,FALSE), IFERROR(VLOOKUP($A574,'Telstra ExDa'!$B$2:$K$310, 4,FALSE), IFERROR(VLOOKUP($A574,'Vocus RVC ExDa'!$C$2:$R$155, 8,FALSE), IFERROR(VLOOKUP($A574,'Fusion ExDa'!$B$2:$D$16, 4,FALSE), IFERROR(VLOOKUP($A574,'Exetel ExDa'!$C$2:$N$14, 5,FALSE), IFERROR(VLOOKUP($A574,'Infinet ExDa'!$B$2:$E$14, 3,FALSE), "Not Found"))))))))</f>
        <v>Not Found</v>
      </c>
      <c r="F574" t="str">
        <f>IFERROR(VLOOKUP($A574,'AAPT ExDa'!$B$2:$U$99, 4,FALSE), IFERROR(VLOOKUP($A574,'ABB ExDa'!$A$2:$N$184, 6,FALSE), IFERROR(VLOOKUP($A574,'Vocus SIT ExDa'!$B$2:$J$173, 3,FALSE), IFERROR(VLOOKUP($A574,'Telstra ExDa'!$B$2:$K$310, 5,FALSE), IFERROR(VLOOKUP($A574,'Vocus RVC ExDa'!$C$2:$R$155, 9,FALSE), IFERROR(VLOOKUP($A574,'Fusion ExDa'!$B$2:$D$16, 0,FALSE), IFERROR(VLOOKUP($A574,'Exetel ExDa'!$C$2:$N$14, 6,FALSE), IFERROR(VLOOKUP($A574,'Infinet ExDa'!$B$2:$E$14, 0,FALSE), "Not Found"))))))))</f>
        <v>Not Found</v>
      </c>
      <c r="G574" t="str">
        <f>IFERROR(VLOOKUP($A574,'AAPT ExDa'!$B$2:$U$99, 5,FALSE), IFERROR(VLOOKUP($A574,'ABB ExDa'!$A$2:$N$184, 8,FALSE), IFERROR(VLOOKUP($A574,'Vocus SIT ExDa'!$B$2:$J$173, 6,FALSE), IFERROR(VLOOKUP($A574,'Telstra ExDa'!$B$2:$K$310, 0,FALSE), IFERROR(VLOOKUP($A574,'Vocus RVC ExDa'!$C$2:$R$155, 15,FALSE), IFERROR(VLOOKUP($A574,'Fusion ExDa'!$B$2:$D$16, 0,FALSE), IFERROR(VLOOKUP($A574,'Exetel ExDa'!$C$2:$N$14, 7,FALSE), IFERROR(VLOOKUP($A574,'Infinet ExDa'!$B$2:$E$14, 0,FALSE), "Not Found"))))))))</f>
        <v>Not Found</v>
      </c>
      <c r="H574" t="str">
        <f>IFERROR(VLOOKUP($A574,'AAPT ExDa'!$B$2:$U$99, 6,FALSE), IFERROR(VLOOKUP($A574,'ABB ExDa'!$A$2:$N$184, 0,FALSE), IFERROR(VLOOKUP($A574,'Vocus SIT ExDa'!$B$2:$J$173, 0,FALSE), IFERROR(VLOOKUP($A574,'Telstra ExDa'!$B$2:$K$310, 0,FALSE), IFERROR(VLOOKUP($A574,'Vocus RVC ExDa'!$C$2:$R$155, 16,FALSE), IFERROR(VLOOKUP($A574,'Fusion ExDa'!$B$2:$D$16, 0,FALSE), IFERROR(VLOOKUP($A574,'Exetel ExDa'!$C$2:$N$14, 0,FALSE), IFERROR(VLOOKUP($A574,'Infinet ExDa'!$B$2:$E$14, 0,FALSE), "Not Found"))))))))</f>
        <v>Not Found</v>
      </c>
      <c r="I574" t="str">
        <f>IFERROR(VLOOKUP($A574,'AAPT ExDa'!$B$2:$U$99, 0,FALSE), IFERROR(VLOOKUP($A574,'ABB ExDa'!$A$2:$N$184, 0,FALSE), IFERROR(VLOOKUP($A574,'Vocus SIT ExDa'!$B$2:$J$173, 0,FALSE), IFERROR(VLOOKUP($A574,'Telstra ExDa'!$B$2:$K$310, 0,FALSE), IFERROR(VLOOKUP($A574,'Vocus RVC ExDa'!$C$2:$R$155, 0,FALSE), IFERROR(VLOOKUP($A574,'Fusion ExDa'!$B$2:$D$16, 0,FALSE), IFERROR(VLOOKUP($A574,'Exetel ExDa'!$C$2:$N$14, 8,FALSE), IFERROR(VLOOKUP($A574,'Infinet ExDa'!$B$2:$E$14, 0,FALSE), "Not Found"))))))))</f>
        <v>Not Found</v>
      </c>
      <c r="J574" t="str">
        <f>IFERROR(VLOOKUP($A574,'AAPT ExDa'!$B$2:$U$99, 7,FALSE), IFERROR(VLOOKUP($A574,'ABB ExDa'!$A$2:$N$184, 2,FALSE), IFERROR(VLOOKUP($A574,'Vocus SIT ExDa'!$B$2:$J$173, 0,FALSE), IFERROR(VLOOKUP($A574,'Telstra ExDa'!$B$2:$K$310, 7,FALSE), IFERROR(VLOOKUP($A574,'Vocus RVC ExDa'!$C$2:$R$155, 2,FALSE), IFERROR(VLOOKUP($A574,'Fusion ExDa'!$B$2:$D$16, 3,FALSE), IFERROR(VLOOKUP($A574,'Exetel ExDa'!$C$2:$N$14, 0,FALSE), IFERROR(VLOOKUP($A574,'Infinet ExDa'!$B$2:$E$14, 0,FALSE), "Not Found"))))))))</f>
        <v>Not Found</v>
      </c>
      <c r="K574" t="str">
        <f>IFERROR(VLOOKUP($A574,'AAPT ExDa'!$B$2:$U$99, 12,FALSE), IFERROR(VLOOKUP($A574,'ABB ExDa'!$A$2:$N$184, 0,FALSE), IFERROR(VLOOKUP($A574,'Vocus SIT ExDa'!$B$2:$J$173, 0,FALSE), IFERROR(VLOOKUP($A574,'Telstra ExDa'!$B$2:$K$310, 0,FALSE), IFERROR(VLOOKUP($A574,'Vocus RVC ExDa'!$C$2:$R$155, 0,FALSE), IFERROR(VLOOKUP($A574,'Fusion ExDa'!$B$2:$D$16, 0,FALSE), IFERROR(VLOOKUP($A574,'Exetel ExDa'!$C$2:$N$14, 12,FALSE), IFERROR(VLOOKUP($A574,'Infinet ExDa'!$B$2:$E$14, 0,FALSE), "Not Found"))))))))</f>
        <v>Not Found</v>
      </c>
      <c r="L574" s="235" t="str">
        <f>IFERROR(VLOOKUP($A574,'AAPT ExDa'!$B$2:$U$99, 11,FALSE), IFERROR(VLOOKUP($A574,'ABB ExDa'!$A$2:$N$184, 9,FALSE), IFERROR(VLOOKUP($A574,'Vocus SIT ExDa'!$B$2:$J$173, 8,FALSE), IFERROR(VLOOKUP($A574,'Telstra ExDa'!$B$2:$K$310, 0,FALSE), IFERROR(VLOOKUP($A574,'Vocus RVC ExDa'!$C$2:$R$155, 0,FALSE), IFERROR(VLOOKUP($A574,'Fusion ExDa'!$B$2:$D$16, 0,FALSE), IFERROR(VLOOKUP($A574,'Exetel ExDa'!$C$2:$N$14, 9,FALSE), IFERROR(VLOOKUP($A574,'Infinet ExDa'!$B$2:$E$14, 0,FALSE), "Not Found"))))))))</f>
        <v>Not Found</v>
      </c>
      <c r="M574" s="234" t="str">
        <f>IFERROR(VLOOKUP($A574,'AAPT ExDa'!$B$2:$U$99, 0,FALSE), IFERROR(VLOOKUP($A574,'ABB ExDa'!$A$2:$N$184, 0,FALSE), IFERROR(VLOOKUP($A574,'Vocus SIT ExDa'!$B$2:$J$173, 0,FALSE), IFERROR(VLOOKUP($A574,'Telstra ExDa'!$B$2:$K$310, 0,FALSE), IFERROR(VLOOKUP($A574,'Vocus RVC ExDa'!$C$2:$R$155, 0,FALSE), IFERROR(VLOOKUP($A574,'Fusion ExDa'!$B$2:$D$16, 0,FALSE), IFERROR(VLOOKUP($A574,'Exetel ExDa'!$C$2:$N$14, 11,FALSE), IFERROR(VLOOKUP($A574,'Infinet ExDa'!$B$2:$E$14, 0,FALSE), "Not Found"))))))))</f>
        <v>Not Found</v>
      </c>
      <c r="N574" t="str">
        <f>IFERROR(VLOOKUP($A574,'AAPT ExDa'!$B$2:$U$99, 0,FALSE), IFERROR(VLOOKUP($A574,'ABB ExDa'!$A$2:$N$184, 13,FALSE), IFERROR(VLOOKUP($A574,'Vocus SIT ExDa'!$B$2:$J$173, 0,FALSE), IFERROR(VLOOKUP($A574,'Telstra ExDa'!$B$2:$K$310, 0,FALSE), IFERROR(VLOOKUP($A574,'Vocus RVC ExDa'!$C$2:$R$155, 0,FALSE), IFERROR(VLOOKUP($A574,'Fusion ExDa'!$B$2:$D$16, 0,FALSE), IFERROR(VLOOKUP($A574,'Exetel ExDa'!$C$2:$N$14, 0,FALSE), IFERROR(VLOOKUP($A574,'Infinet ExDa'!$B$2:$E$14, 0,FALSE), "Not Found"))))))))</f>
        <v>Not Found</v>
      </c>
    </row>
    <row r="575" spans="1:14">
      <c r="A575">
        <v>0</v>
      </c>
      <c r="B575" t="str">
        <f>IFERROR(VLOOKUP(A575,'Exetel ExDa'!$C$2:$N$14,4,FALSE),"No Data")</f>
        <v>No Data</v>
      </c>
      <c r="C575" t="str">
        <f>IFERROR(VLOOKUP(A575,'AAPT ExDa'!$B$2:$U$99, 2,FALSE), IFERROR(VLOOKUP(A575,'ABB ExDa'!$A$2:$N$184, 2,FALSE), IFERROR(VLOOKUP(A575,'Vocus SIT ExDa'!$B$2:$J$173, 7,FALSE), IFERROR(VLOOKUP(A575,'Telstra ExDa'!$B$2:$K$310, 2,FALSE), IFERROR(VLOOKUP(A575,'Vocus RVC ExDa'!$C$2:$R$155, 3,FALSE), IFERROR(VLOOKUP(A575,'Fusion ExDa'!$B$2:$D$16, 2,FALSE), IFERROR(VLOOKUP(A575,'Exetel ExDa'!$C$2:$N$14, 2,FALSE), IFERROR(VLOOKUP(A575,'Infinet ExDa'!$B$2:$E$14, 2,FALSE), "Not Found"))))))))</f>
        <v>Not Found</v>
      </c>
      <c r="D575" t="str">
        <f>IFERROR(VLOOKUP($A575,'AAPT ExDa'!$B$2:$U$99, 15,FALSE), IFERROR(VLOOKUP($A575,'ABB ExDa'!$A$2:$N$184, 4,FALSE), IFERROR(VLOOKUP($A575,'Vocus SIT ExDa'!$B$2:$J$173, 5,FALSE), IFERROR(VLOOKUP($A575,'Telstra ExDa'!$B$2:$K$310, 8,FALSE), IFERROR(VLOOKUP($A575,'Vocus RVC ExDa'!$C$2:$R$155, 6,FALSE), IFERROR(VLOOKUP($A575,'Fusion ExDa'!$B$2:$D$16, 4,FALSE), IFERROR(VLOOKUP($A575,'Exetel ExDa'!$C$2:$N$14, 3,FALSE), IFERROR(VLOOKUP($A575,'Infinet ExDa'!$B$2:$E$14, 3,FALSE), "Not Found"))))))))</f>
        <v>Not Found</v>
      </c>
      <c r="E575" t="str">
        <f>IFERROR(VLOOKUP($A575,'AAPT ExDa'!$B$2:$U$99, 3,FALSE), IFERROR(VLOOKUP($A575,'ABB ExDa'!$A$2:$N$184, 5,FALSE), IFERROR(VLOOKUP($A575,'Vocus SIT ExDa'!$B$2:$J$173, 2,FALSE), IFERROR(VLOOKUP($A575,'Telstra ExDa'!$B$2:$K$310, 4,FALSE), IFERROR(VLOOKUP($A575,'Vocus RVC ExDa'!$C$2:$R$155, 8,FALSE), IFERROR(VLOOKUP($A575,'Fusion ExDa'!$B$2:$D$16, 4,FALSE), IFERROR(VLOOKUP($A575,'Exetel ExDa'!$C$2:$N$14, 5,FALSE), IFERROR(VLOOKUP($A575,'Infinet ExDa'!$B$2:$E$14, 3,FALSE), "Not Found"))))))))</f>
        <v>Not Found</v>
      </c>
      <c r="F575" t="str">
        <f>IFERROR(VLOOKUP($A575,'AAPT ExDa'!$B$2:$U$99, 4,FALSE), IFERROR(VLOOKUP($A575,'ABB ExDa'!$A$2:$N$184, 6,FALSE), IFERROR(VLOOKUP($A575,'Vocus SIT ExDa'!$B$2:$J$173, 3,FALSE), IFERROR(VLOOKUP($A575,'Telstra ExDa'!$B$2:$K$310, 5,FALSE), IFERROR(VLOOKUP($A575,'Vocus RVC ExDa'!$C$2:$R$155, 9,FALSE), IFERROR(VLOOKUP($A575,'Fusion ExDa'!$B$2:$D$16, 0,FALSE), IFERROR(VLOOKUP($A575,'Exetel ExDa'!$C$2:$N$14, 6,FALSE), IFERROR(VLOOKUP($A575,'Infinet ExDa'!$B$2:$E$14, 0,FALSE), "Not Found"))))))))</f>
        <v>Not Found</v>
      </c>
      <c r="G575" t="str">
        <f>IFERROR(VLOOKUP($A575,'AAPT ExDa'!$B$2:$U$99, 5,FALSE), IFERROR(VLOOKUP($A575,'ABB ExDa'!$A$2:$N$184, 8,FALSE), IFERROR(VLOOKUP($A575,'Vocus SIT ExDa'!$B$2:$J$173, 6,FALSE), IFERROR(VLOOKUP($A575,'Telstra ExDa'!$B$2:$K$310, 0,FALSE), IFERROR(VLOOKUP($A575,'Vocus RVC ExDa'!$C$2:$R$155, 15,FALSE), IFERROR(VLOOKUP($A575,'Fusion ExDa'!$B$2:$D$16, 0,FALSE), IFERROR(VLOOKUP($A575,'Exetel ExDa'!$C$2:$N$14, 7,FALSE), IFERROR(VLOOKUP($A575,'Infinet ExDa'!$B$2:$E$14, 0,FALSE), "Not Found"))))))))</f>
        <v>Not Found</v>
      </c>
      <c r="H575" t="str">
        <f>IFERROR(VLOOKUP($A575,'AAPT ExDa'!$B$2:$U$99, 6,FALSE), IFERROR(VLOOKUP($A575,'ABB ExDa'!$A$2:$N$184, 0,FALSE), IFERROR(VLOOKUP($A575,'Vocus SIT ExDa'!$B$2:$J$173, 0,FALSE), IFERROR(VLOOKUP($A575,'Telstra ExDa'!$B$2:$K$310, 0,FALSE), IFERROR(VLOOKUP($A575,'Vocus RVC ExDa'!$C$2:$R$155, 16,FALSE), IFERROR(VLOOKUP($A575,'Fusion ExDa'!$B$2:$D$16, 0,FALSE), IFERROR(VLOOKUP($A575,'Exetel ExDa'!$C$2:$N$14, 0,FALSE), IFERROR(VLOOKUP($A575,'Infinet ExDa'!$B$2:$E$14, 0,FALSE), "Not Found"))))))))</f>
        <v>Not Found</v>
      </c>
      <c r="I575" t="str">
        <f>IFERROR(VLOOKUP($A575,'AAPT ExDa'!$B$2:$U$99, 0,FALSE), IFERROR(VLOOKUP($A575,'ABB ExDa'!$A$2:$N$184, 0,FALSE), IFERROR(VLOOKUP($A575,'Vocus SIT ExDa'!$B$2:$J$173, 0,FALSE), IFERROR(VLOOKUP($A575,'Telstra ExDa'!$B$2:$K$310, 0,FALSE), IFERROR(VLOOKUP($A575,'Vocus RVC ExDa'!$C$2:$R$155, 0,FALSE), IFERROR(VLOOKUP($A575,'Fusion ExDa'!$B$2:$D$16, 0,FALSE), IFERROR(VLOOKUP($A575,'Exetel ExDa'!$C$2:$N$14, 8,FALSE), IFERROR(VLOOKUP($A575,'Infinet ExDa'!$B$2:$E$14, 0,FALSE), "Not Found"))))))))</f>
        <v>Not Found</v>
      </c>
      <c r="J575" t="str">
        <f>IFERROR(VLOOKUP($A575,'AAPT ExDa'!$B$2:$U$99, 7,FALSE), IFERROR(VLOOKUP($A575,'ABB ExDa'!$A$2:$N$184, 2,FALSE), IFERROR(VLOOKUP($A575,'Vocus SIT ExDa'!$B$2:$J$173, 0,FALSE), IFERROR(VLOOKUP($A575,'Telstra ExDa'!$B$2:$K$310, 7,FALSE), IFERROR(VLOOKUP($A575,'Vocus RVC ExDa'!$C$2:$R$155, 2,FALSE), IFERROR(VLOOKUP($A575,'Fusion ExDa'!$B$2:$D$16, 3,FALSE), IFERROR(VLOOKUP($A575,'Exetel ExDa'!$C$2:$N$14, 0,FALSE), IFERROR(VLOOKUP($A575,'Infinet ExDa'!$B$2:$E$14, 0,FALSE), "Not Found"))))))))</f>
        <v>Not Found</v>
      </c>
      <c r="K575" t="str">
        <f>IFERROR(VLOOKUP($A575,'AAPT ExDa'!$B$2:$U$99, 12,FALSE), IFERROR(VLOOKUP($A575,'ABB ExDa'!$A$2:$N$184, 0,FALSE), IFERROR(VLOOKUP($A575,'Vocus SIT ExDa'!$B$2:$J$173, 0,FALSE), IFERROR(VLOOKUP($A575,'Telstra ExDa'!$B$2:$K$310, 0,FALSE), IFERROR(VLOOKUP($A575,'Vocus RVC ExDa'!$C$2:$R$155, 0,FALSE), IFERROR(VLOOKUP($A575,'Fusion ExDa'!$B$2:$D$16, 0,FALSE), IFERROR(VLOOKUP($A575,'Exetel ExDa'!$C$2:$N$14, 12,FALSE), IFERROR(VLOOKUP($A575,'Infinet ExDa'!$B$2:$E$14, 0,FALSE), "Not Found"))))))))</f>
        <v>Not Found</v>
      </c>
      <c r="L575" s="235" t="str">
        <f>IFERROR(VLOOKUP($A575,'AAPT ExDa'!$B$2:$U$99, 11,FALSE), IFERROR(VLOOKUP($A575,'ABB ExDa'!$A$2:$N$184, 9,FALSE), IFERROR(VLOOKUP($A575,'Vocus SIT ExDa'!$B$2:$J$173, 8,FALSE), IFERROR(VLOOKUP($A575,'Telstra ExDa'!$B$2:$K$310, 0,FALSE), IFERROR(VLOOKUP($A575,'Vocus RVC ExDa'!$C$2:$R$155, 0,FALSE), IFERROR(VLOOKUP($A575,'Fusion ExDa'!$B$2:$D$16, 0,FALSE), IFERROR(VLOOKUP($A575,'Exetel ExDa'!$C$2:$N$14, 9,FALSE), IFERROR(VLOOKUP($A575,'Infinet ExDa'!$B$2:$E$14, 0,FALSE), "Not Found"))))))))</f>
        <v>Not Found</v>
      </c>
      <c r="M575" s="234" t="str">
        <f>IFERROR(VLOOKUP($A575,'AAPT ExDa'!$B$2:$U$99, 0,FALSE), IFERROR(VLOOKUP($A575,'ABB ExDa'!$A$2:$N$184, 0,FALSE), IFERROR(VLOOKUP($A575,'Vocus SIT ExDa'!$B$2:$J$173, 0,FALSE), IFERROR(VLOOKUP($A575,'Telstra ExDa'!$B$2:$K$310, 0,FALSE), IFERROR(VLOOKUP($A575,'Vocus RVC ExDa'!$C$2:$R$155, 0,FALSE), IFERROR(VLOOKUP($A575,'Fusion ExDa'!$B$2:$D$16, 0,FALSE), IFERROR(VLOOKUP($A575,'Exetel ExDa'!$C$2:$N$14, 11,FALSE), IFERROR(VLOOKUP($A575,'Infinet ExDa'!$B$2:$E$14, 0,FALSE), "Not Found"))))))))</f>
        <v>Not Found</v>
      </c>
      <c r="N575" t="str">
        <f>IFERROR(VLOOKUP($A575,'AAPT ExDa'!$B$2:$U$99, 0,FALSE), IFERROR(VLOOKUP($A575,'ABB ExDa'!$A$2:$N$184, 13,FALSE), IFERROR(VLOOKUP($A575,'Vocus SIT ExDa'!$B$2:$J$173, 0,FALSE), IFERROR(VLOOKUP($A575,'Telstra ExDa'!$B$2:$K$310, 0,FALSE), IFERROR(VLOOKUP($A575,'Vocus RVC ExDa'!$C$2:$R$155, 0,FALSE), IFERROR(VLOOKUP($A575,'Fusion ExDa'!$B$2:$D$16, 0,FALSE), IFERROR(VLOOKUP($A575,'Exetel ExDa'!$C$2:$N$14, 0,FALSE), IFERROR(VLOOKUP($A575,'Infinet ExDa'!$B$2:$E$14, 0,FALSE), "Not Found"))))))))</f>
        <v>Not Found</v>
      </c>
    </row>
    <row r="576" spans="1:14">
      <c r="A576">
        <v>0</v>
      </c>
      <c r="B576" t="str">
        <f>IFERROR(VLOOKUP(A576,'Exetel ExDa'!$C$2:$N$14,4,FALSE),"No Data")</f>
        <v>No Data</v>
      </c>
      <c r="C576" t="str">
        <f>IFERROR(VLOOKUP(A576,'AAPT ExDa'!$B$2:$U$99, 2,FALSE), IFERROR(VLOOKUP(A576,'ABB ExDa'!$A$2:$N$184, 2,FALSE), IFERROR(VLOOKUP(A576,'Vocus SIT ExDa'!$B$2:$J$173, 7,FALSE), IFERROR(VLOOKUP(A576,'Telstra ExDa'!$B$2:$K$310, 2,FALSE), IFERROR(VLOOKUP(A576,'Vocus RVC ExDa'!$C$2:$R$155, 3,FALSE), IFERROR(VLOOKUP(A576,'Fusion ExDa'!$B$2:$D$16, 2,FALSE), IFERROR(VLOOKUP(A576,'Exetel ExDa'!$C$2:$N$14, 2,FALSE), IFERROR(VLOOKUP(A576,'Infinet ExDa'!$B$2:$E$14, 2,FALSE), "Not Found"))))))))</f>
        <v>Not Found</v>
      </c>
      <c r="D576" t="str">
        <f>IFERROR(VLOOKUP($A576,'AAPT ExDa'!$B$2:$U$99, 15,FALSE), IFERROR(VLOOKUP($A576,'ABB ExDa'!$A$2:$N$184, 4,FALSE), IFERROR(VLOOKUP($A576,'Vocus SIT ExDa'!$B$2:$J$173, 5,FALSE), IFERROR(VLOOKUP($A576,'Telstra ExDa'!$B$2:$K$310, 8,FALSE), IFERROR(VLOOKUP($A576,'Vocus RVC ExDa'!$C$2:$R$155, 6,FALSE), IFERROR(VLOOKUP($A576,'Fusion ExDa'!$B$2:$D$16, 4,FALSE), IFERROR(VLOOKUP($A576,'Exetel ExDa'!$C$2:$N$14, 3,FALSE), IFERROR(VLOOKUP($A576,'Infinet ExDa'!$B$2:$E$14, 3,FALSE), "Not Found"))))))))</f>
        <v>Not Found</v>
      </c>
      <c r="E576" t="str">
        <f>IFERROR(VLOOKUP($A576,'AAPT ExDa'!$B$2:$U$99, 3,FALSE), IFERROR(VLOOKUP($A576,'ABB ExDa'!$A$2:$N$184, 5,FALSE), IFERROR(VLOOKUP($A576,'Vocus SIT ExDa'!$B$2:$J$173, 2,FALSE), IFERROR(VLOOKUP($A576,'Telstra ExDa'!$B$2:$K$310, 4,FALSE), IFERROR(VLOOKUP($A576,'Vocus RVC ExDa'!$C$2:$R$155, 8,FALSE), IFERROR(VLOOKUP($A576,'Fusion ExDa'!$B$2:$D$16, 4,FALSE), IFERROR(VLOOKUP($A576,'Exetel ExDa'!$C$2:$N$14, 5,FALSE), IFERROR(VLOOKUP($A576,'Infinet ExDa'!$B$2:$E$14, 3,FALSE), "Not Found"))))))))</f>
        <v>Not Found</v>
      </c>
      <c r="F576" t="str">
        <f>IFERROR(VLOOKUP($A576,'AAPT ExDa'!$B$2:$U$99, 4,FALSE), IFERROR(VLOOKUP($A576,'ABB ExDa'!$A$2:$N$184, 6,FALSE), IFERROR(VLOOKUP($A576,'Vocus SIT ExDa'!$B$2:$J$173, 3,FALSE), IFERROR(VLOOKUP($A576,'Telstra ExDa'!$B$2:$K$310, 5,FALSE), IFERROR(VLOOKUP($A576,'Vocus RVC ExDa'!$C$2:$R$155, 9,FALSE), IFERROR(VLOOKUP($A576,'Fusion ExDa'!$B$2:$D$16, 0,FALSE), IFERROR(VLOOKUP($A576,'Exetel ExDa'!$C$2:$N$14, 6,FALSE), IFERROR(VLOOKUP($A576,'Infinet ExDa'!$B$2:$E$14, 0,FALSE), "Not Found"))))))))</f>
        <v>Not Found</v>
      </c>
      <c r="G576" t="str">
        <f>IFERROR(VLOOKUP($A576,'AAPT ExDa'!$B$2:$U$99, 5,FALSE), IFERROR(VLOOKUP($A576,'ABB ExDa'!$A$2:$N$184, 8,FALSE), IFERROR(VLOOKUP($A576,'Vocus SIT ExDa'!$B$2:$J$173, 6,FALSE), IFERROR(VLOOKUP($A576,'Telstra ExDa'!$B$2:$K$310, 0,FALSE), IFERROR(VLOOKUP($A576,'Vocus RVC ExDa'!$C$2:$R$155, 15,FALSE), IFERROR(VLOOKUP($A576,'Fusion ExDa'!$B$2:$D$16, 0,FALSE), IFERROR(VLOOKUP($A576,'Exetel ExDa'!$C$2:$N$14, 7,FALSE), IFERROR(VLOOKUP($A576,'Infinet ExDa'!$B$2:$E$14, 0,FALSE), "Not Found"))))))))</f>
        <v>Not Found</v>
      </c>
      <c r="H576" t="str">
        <f>IFERROR(VLOOKUP($A576,'AAPT ExDa'!$B$2:$U$99, 6,FALSE), IFERROR(VLOOKUP($A576,'ABB ExDa'!$A$2:$N$184, 0,FALSE), IFERROR(VLOOKUP($A576,'Vocus SIT ExDa'!$B$2:$J$173, 0,FALSE), IFERROR(VLOOKUP($A576,'Telstra ExDa'!$B$2:$K$310, 0,FALSE), IFERROR(VLOOKUP($A576,'Vocus RVC ExDa'!$C$2:$R$155, 16,FALSE), IFERROR(VLOOKUP($A576,'Fusion ExDa'!$B$2:$D$16, 0,FALSE), IFERROR(VLOOKUP($A576,'Exetel ExDa'!$C$2:$N$14, 0,FALSE), IFERROR(VLOOKUP($A576,'Infinet ExDa'!$B$2:$E$14, 0,FALSE), "Not Found"))))))))</f>
        <v>Not Found</v>
      </c>
      <c r="I576" t="str">
        <f>IFERROR(VLOOKUP($A576,'AAPT ExDa'!$B$2:$U$99, 0,FALSE), IFERROR(VLOOKUP($A576,'ABB ExDa'!$A$2:$N$184, 0,FALSE), IFERROR(VLOOKUP($A576,'Vocus SIT ExDa'!$B$2:$J$173, 0,FALSE), IFERROR(VLOOKUP($A576,'Telstra ExDa'!$B$2:$K$310, 0,FALSE), IFERROR(VLOOKUP($A576,'Vocus RVC ExDa'!$C$2:$R$155, 0,FALSE), IFERROR(VLOOKUP($A576,'Fusion ExDa'!$B$2:$D$16, 0,FALSE), IFERROR(VLOOKUP($A576,'Exetel ExDa'!$C$2:$N$14, 8,FALSE), IFERROR(VLOOKUP($A576,'Infinet ExDa'!$B$2:$E$14, 0,FALSE), "Not Found"))))))))</f>
        <v>Not Found</v>
      </c>
      <c r="J576" t="str">
        <f>IFERROR(VLOOKUP($A576,'AAPT ExDa'!$B$2:$U$99, 7,FALSE), IFERROR(VLOOKUP($A576,'ABB ExDa'!$A$2:$N$184, 2,FALSE), IFERROR(VLOOKUP($A576,'Vocus SIT ExDa'!$B$2:$J$173, 0,FALSE), IFERROR(VLOOKUP($A576,'Telstra ExDa'!$B$2:$K$310, 7,FALSE), IFERROR(VLOOKUP($A576,'Vocus RVC ExDa'!$C$2:$R$155, 2,FALSE), IFERROR(VLOOKUP($A576,'Fusion ExDa'!$B$2:$D$16, 3,FALSE), IFERROR(VLOOKUP($A576,'Exetel ExDa'!$C$2:$N$14, 0,FALSE), IFERROR(VLOOKUP($A576,'Infinet ExDa'!$B$2:$E$14, 0,FALSE), "Not Found"))))))))</f>
        <v>Not Found</v>
      </c>
      <c r="K576" t="str">
        <f>IFERROR(VLOOKUP($A576,'AAPT ExDa'!$B$2:$U$99, 12,FALSE), IFERROR(VLOOKUP($A576,'ABB ExDa'!$A$2:$N$184, 0,FALSE), IFERROR(VLOOKUP($A576,'Vocus SIT ExDa'!$B$2:$J$173, 0,FALSE), IFERROR(VLOOKUP($A576,'Telstra ExDa'!$B$2:$K$310, 0,FALSE), IFERROR(VLOOKUP($A576,'Vocus RVC ExDa'!$C$2:$R$155, 0,FALSE), IFERROR(VLOOKUP($A576,'Fusion ExDa'!$B$2:$D$16, 0,FALSE), IFERROR(VLOOKUP($A576,'Exetel ExDa'!$C$2:$N$14, 12,FALSE), IFERROR(VLOOKUP($A576,'Infinet ExDa'!$B$2:$E$14, 0,FALSE), "Not Found"))))))))</f>
        <v>Not Found</v>
      </c>
      <c r="L576" s="235" t="str">
        <f>IFERROR(VLOOKUP($A576,'AAPT ExDa'!$B$2:$U$99, 11,FALSE), IFERROR(VLOOKUP($A576,'ABB ExDa'!$A$2:$N$184, 9,FALSE), IFERROR(VLOOKUP($A576,'Vocus SIT ExDa'!$B$2:$J$173, 8,FALSE), IFERROR(VLOOKUP($A576,'Telstra ExDa'!$B$2:$K$310, 0,FALSE), IFERROR(VLOOKUP($A576,'Vocus RVC ExDa'!$C$2:$R$155, 0,FALSE), IFERROR(VLOOKUP($A576,'Fusion ExDa'!$B$2:$D$16, 0,FALSE), IFERROR(VLOOKUP($A576,'Exetel ExDa'!$C$2:$N$14, 9,FALSE), IFERROR(VLOOKUP($A576,'Infinet ExDa'!$B$2:$E$14, 0,FALSE), "Not Found"))))))))</f>
        <v>Not Found</v>
      </c>
      <c r="M576" s="234" t="str">
        <f>IFERROR(VLOOKUP($A576,'AAPT ExDa'!$B$2:$U$99, 0,FALSE), IFERROR(VLOOKUP($A576,'ABB ExDa'!$A$2:$N$184, 0,FALSE), IFERROR(VLOOKUP($A576,'Vocus SIT ExDa'!$B$2:$J$173, 0,FALSE), IFERROR(VLOOKUP($A576,'Telstra ExDa'!$B$2:$K$310, 0,FALSE), IFERROR(VLOOKUP($A576,'Vocus RVC ExDa'!$C$2:$R$155, 0,FALSE), IFERROR(VLOOKUP($A576,'Fusion ExDa'!$B$2:$D$16, 0,FALSE), IFERROR(VLOOKUP($A576,'Exetel ExDa'!$C$2:$N$14, 11,FALSE), IFERROR(VLOOKUP($A576,'Infinet ExDa'!$B$2:$E$14, 0,FALSE), "Not Found"))))))))</f>
        <v>Not Found</v>
      </c>
      <c r="N576" t="str">
        <f>IFERROR(VLOOKUP($A576,'AAPT ExDa'!$B$2:$U$99, 0,FALSE), IFERROR(VLOOKUP($A576,'ABB ExDa'!$A$2:$N$184, 13,FALSE), IFERROR(VLOOKUP($A576,'Vocus SIT ExDa'!$B$2:$J$173, 0,FALSE), IFERROR(VLOOKUP($A576,'Telstra ExDa'!$B$2:$K$310, 0,FALSE), IFERROR(VLOOKUP($A576,'Vocus RVC ExDa'!$C$2:$R$155, 0,FALSE), IFERROR(VLOOKUP($A576,'Fusion ExDa'!$B$2:$D$16, 0,FALSE), IFERROR(VLOOKUP($A576,'Exetel ExDa'!$C$2:$N$14, 0,FALSE), IFERROR(VLOOKUP($A576,'Infinet ExDa'!$B$2:$E$14, 0,FALSE), "Not Found"))))))))</f>
        <v>Not Found</v>
      </c>
    </row>
    <row r="577" spans="1:14">
      <c r="A577">
        <v>0</v>
      </c>
      <c r="B577" t="str">
        <f>IFERROR(VLOOKUP(A577,'Exetel ExDa'!$C$2:$N$14,4,FALSE),"No Data")</f>
        <v>No Data</v>
      </c>
      <c r="C577" t="str">
        <f>IFERROR(VLOOKUP(A577,'AAPT ExDa'!$B$2:$U$99, 2,FALSE), IFERROR(VLOOKUP(A577,'ABB ExDa'!$A$2:$N$184, 2,FALSE), IFERROR(VLOOKUP(A577,'Vocus SIT ExDa'!$B$2:$J$173, 7,FALSE), IFERROR(VLOOKUP(A577,'Telstra ExDa'!$B$2:$K$310, 2,FALSE), IFERROR(VLOOKUP(A577,'Vocus RVC ExDa'!$C$2:$R$155, 3,FALSE), IFERROR(VLOOKUP(A577,'Fusion ExDa'!$B$2:$D$16, 2,FALSE), IFERROR(VLOOKUP(A577,'Exetel ExDa'!$C$2:$N$14, 2,FALSE), IFERROR(VLOOKUP(A577,'Infinet ExDa'!$B$2:$E$14, 2,FALSE), "Not Found"))))))))</f>
        <v>Not Found</v>
      </c>
      <c r="D577" t="str">
        <f>IFERROR(VLOOKUP($A577,'AAPT ExDa'!$B$2:$U$99, 15,FALSE), IFERROR(VLOOKUP($A577,'ABB ExDa'!$A$2:$N$184, 4,FALSE), IFERROR(VLOOKUP($A577,'Vocus SIT ExDa'!$B$2:$J$173, 5,FALSE), IFERROR(VLOOKUP($A577,'Telstra ExDa'!$B$2:$K$310, 8,FALSE), IFERROR(VLOOKUP($A577,'Vocus RVC ExDa'!$C$2:$R$155, 6,FALSE), IFERROR(VLOOKUP($A577,'Fusion ExDa'!$B$2:$D$16, 4,FALSE), IFERROR(VLOOKUP($A577,'Exetel ExDa'!$C$2:$N$14, 3,FALSE), IFERROR(VLOOKUP($A577,'Infinet ExDa'!$B$2:$E$14, 3,FALSE), "Not Found"))))))))</f>
        <v>Not Found</v>
      </c>
      <c r="E577" t="str">
        <f>IFERROR(VLOOKUP($A577,'AAPT ExDa'!$B$2:$U$99, 3,FALSE), IFERROR(VLOOKUP($A577,'ABB ExDa'!$A$2:$N$184, 5,FALSE), IFERROR(VLOOKUP($A577,'Vocus SIT ExDa'!$B$2:$J$173, 2,FALSE), IFERROR(VLOOKUP($A577,'Telstra ExDa'!$B$2:$K$310, 4,FALSE), IFERROR(VLOOKUP($A577,'Vocus RVC ExDa'!$C$2:$R$155, 8,FALSE), IFERROR(VLOOKUP($A577,'Fusion ExDa'!$B$2:$D$16, 4,FALSE), IFERROR(VLOOKUP($A577,'Exetel ExDa'!$C$2:$N$14, 5,FALSE), IFERROR(VLOOKUP($A577,'Infinet ExDa'!$B$2:$E$14, 3,FALSE), "Not Found"))))))))</f>
        <v>Not Found</v>
      </c>
      <c r="F577" t="str">
        <f>IFERROR(VLOOKUP($A577,'AAPT ExDa'!$B$2:$U$99, 4,FALSE), IFERROR(VLOOKUP($A577,'ABB ExDa'!$A$2:$N$184, 6,FALSE), IFERROR(VLOOKUP($A577,'Vocus SIT ExDa'!$B$2:$J$173, 3,FALSE), IFERROR(VLOOKUP($A577,'Telstra ExDa'!$B$2:$K$310, 5,FALSE), IFERROR(VLOOKUP($A577,'Vocus RVC ExDa'!$C$2:$R$155, 9,FALSE), IFERROR(VLOOKUP($A577,'Fusion ExDa'!$B$2:$D$16, 0,FALSE), IFERROR(VLOOKUP($A577,'Exetel ExDa'!$C$2:$N$14, 6,FALSE), IFERROR(VLOOKUP($A577,'Infinet ExDa'!$B$2:$E$14, 0,FALSE), "Not Found"))))))))</f>
        <v>Not Found</v>
      </c>
      <c r="G577" t="str">
        <f>IFERROR(VLOOKUP($A577,'AAPT ExDa'!$B$2:$U$99, 5,FALSE), IFERROR(VLOOKUP($A577,'ABB ExDa'!$A$2:$N$184, 8,FALSE), IFERROR(VLOOKUP($A577,'Vocus SIT ExDa'!$B$2:$J$173, 6,FALSE), IFERROR(VLOOKUP($A577,'Telstra ExDa'!$B$2:$K$310, 0,FALSE), IFERROR(VLOOKUP($A577,'Vocus RVC ExDa'!$C$2:$R$155, 15,FALSE), IFERROR(VLOOKUP($A577,'Fusion ExDa'!$B$2:$D$16, 0,FALSE), IFERROR(VLOOKUP($A577,'Exetel ExDa'!$C$2:$N$14, 7,FALSE), IFERROR(VLOOKUP($A577,'Infinet ExDa'!$B$2:$E$14, 0,FALSE), "Not Found"))))))))</f>
        <v>Not Found</v>
      </c>
      <c r="H577" t="str">
        <f>IFERROR(VLOOKUP($A577,'AAPT ExDa'!$B$2:$U$99, 6,FALSE), IFERROR(VLOOKUP($A577,'ABB ExDa'!$A$2:$N$184, 0,FALSE), IFERROR(VLOOKUP($A577,'Vocus SIT ExDa'!$B$2:$J$173, 0,FALSE), IFERROR(VLOOKUP($A577,'Telstra ExDa'!$B$2:$K$310, 0,FALSE), IFERROR(VLOOKUP($A577,'Vocus RVC ExDa'!$C$2:$R$155, 16,FALSE), IFERROR(VLOOKUP($A577,'Fusion ExDa'!$B$2:$D$16, 0,FALSE), IFERROR(VLOOKUP($A577,'Exetel ExDa'!$C$2:$N$14, 0,FALSE), IFERROR(VLOOKUP($A577,'Infinet ExDa'!$B$2:$E$14, 0,FALSE), "Not Found"))))))))</f>
        <v>Not Found</v>
      </c>
      <c r="I577" t="str">
        <f>IFERROR(VLOOKUP($A577,'AAPT ExDa'!$B$2:$U$99, 0,FALSE), IFERROR(VLOOKUP($A577,'ABB ExDa'!$A$2:$N$184, 0,FALSE), IFERROR(VLOOKUP($A577,'Vocus SIT ExDa'!$B$2:$J$173, 0,FALSE), IFERROR(VLOOKUP($A577,'Telstra ExDa'!$B$2:$K$310, 0,FALSE), IFERROR(VLOOKUP($A577,'Vocus RVC ExDa'!$C$2:$R$155, 0,FALSE), IFERROR(VLOOKUP($A577,'Fusion ExDa'!$B$2:$D$16, 0,FALSE), IFERROR(VLOOKUP($A577,'Exetel ExDa'!$C$2:$N$14, 8,FALSE), IFERROR(VLOOKUP($A577,'Infinet ExDa'!$B$2:$E$14, 0,FALSE), "Not Found"))))))))</f>
        <v>Not Found</v>
      </c>
      <c r="J577" t="str">
        <f>IFERROR(VLOOKUP($A577,'AAPT ExDa'!$B$2:$U$99, 7,FALSE), IFERROR(VLOOKUP($A577,'ABB ExDa'!$A$2:$N$184, 2,FALSE), IFERROR(VLOOKUP($A577,'Vocus SIT ExDa'!$B$2:$J$173, 0,FALSE), IFERROR(VLOOKUP($A577,'Telstra ExDa'!$B$2:$K$310, 7,FALSE), IFERROR(VLOOKUP($A577,'Vocus RVC ExDa'!$C$2:$R$155, 2,FALSE), IFERROR(VLOOKUP($A577,'Fusion ExDa'!$B$2:$D$16, 3,FALSE), IFERROR(VLOOKUP($A577,'Exetel ExDa'!$C$2:$N$14, 0,FALSE), IFERROR(VLOOKUP($A577,'Infinet ExDa'!$B$2:$E$14, 0,FALSE), "Not Found"))))))))</f>
        <v>Not Found</v>
      </c>
      <c r="K577" t="str">
        <f>IFERROR(VLOOKUP($A577,'AAPT ExDa'!$B$2:$U$99, 12,FALSE), IFERROR(VLOOKUP($A577,'ABB ExDa'!$A$2:$N$184, 0,FALSE), IFERROR(VLOOKUP($A577,'Vocus SIT ExDa'!$B$2:$J$173, 0,FALSE), IFERROR(VLOOKUP($A577,'Telstra ExDa'!$B$2:$K$310, 0,FALSE), IFERROR(VLOOKUP($A577,'Vocus RVC ExDa'!$C$2:$R$155, 0,FALSE), IFERROR(VLOOKUP($A577,'Fusion ExDa'!$B$2:$D$16, 0,FALSE), IFERROR(VLOOKUP($A577,'Exetel ExDa'!$C$2:$N$14, 12,FALSE), IFERROR(VLOOKUP($A577,'Infinet ExDa'!$B$2:$E$14, 0,FALSE), "Not Found"))))))))</f>
        <v>Not Found</v>
      </c>
      <c r="L577" s="235" t="str">
        <f>IFERROR(VLOOKUP($A577,'AAPT ExDa'!$B$2:$U$99, 11,FALSE), IFERROR(VLOOKUP($A577,'ABB ExDa'!$A$2:$N$184, 9,FALSE), IFERROR(VLOOKUP($A577,'Vocus SIT ExDa'!$B$2:$J$173, 8,FALSE), IFERROR(VLOOKUP($A577,'Telstra ExDa'!$B$2:$K$310, 0,FALSE), IFERROR(VLOOKUP($A577,'Vocus RVC ExDa'!$C$2:$R$155, 0,FALSE), IFERROR(VLOOKUP($A577,'Fusion ExDa'!$B$2:$D$16, 0,FALSE), IFERROR(VLOOKUP($A577,'Exetel ExDa'!$C$2:$N$14, 9,FALSE), IFERROR(VLOOKUP($A577,'Infinet ExDa'!$B$2:$E$14, 0,FALSE), "Not Found"))))))))</f>
        <v>Not Found</v>
      </c>
      <c r="M577" s="234" t="str">
        <f>IFERROR(VLOOKUP($A577,'AAPT ExDa'!$B$2:$U$99, 0,FALSE), IFERROR(VLOOKUP($A577,'ABB ExDa'!$A$2:$N$184, 0,FALSE), IFERROR(VLOOKUP($A577,'Vocus SIT ExDa'!$B$2:$J$173, 0,FALSE), IFERROR(VLOOKUP($A577,'Telstra ExDa'!$B$2:$K$310, 0,FALSE), IFERROR(VLOOKUP($A577,'Vocus RVC ExDa'!$C$2:$R$155, 0,FALSE), IFERROR(VLOOKUP($A577,'Fusion ExDa'!$B$2:$D$16, 0,FALSE), IFERROR(VLOOKUP($A577,'Exetel ExDa'!$C$2:$N$14, 11,FALSE), IFERROR(VLOOKUP($A577,'Infinet ExDa'!$B$2:$E$14, 0,FALSE), "Not Found"))))))))</f>
        <v>Not Found</v>
      </c>
      <c r="N577" t="str">
        <f>IFERROR(VLOOKUP($A577,'AAPT ExDa'!$B$2:$U$99, 0,FALSE), IFERROR(VLOOKUP($A577,'ABB ExDa'!$A$2:$N$184, 13,FALSE), IFERROR(VLOOKUP($A577,'Vocus SIT ExDa'!$B$2:$J$173, 0,FALSE), IFERROR(VLOOKUP($A577,'Telstra ExDa'!$B$2:$K$310, 0,FALSE), IFERROR(VLOOKUP($A577,'Vocus RVC ExDa'!$C$2:$R$155, 0,FALSE), IFERROR(VLOOKUP($A577,'Fusion ExDa'!$B$2:$D$16, 0,FALSE), IFERROR(VLOOKUP($A577,'Exetel ExDa'!$C$2:$N$14, 0,FALSE), IFERROR(VLOOKUP($A577,'Infinet ExDa'!$B$2:$E$14, 0,FALSE), "Not Found"))))))))</f>
        <v>Not Found</v>
      </c>
    </row>
    <row r="578" spans="1:14">
      <c r="A578">
        <v>0</v>
      </c>
      <c r="B578" t="str">
        <f>IFERROR(VLOOKUP(A578,'Exetel ExDa'!$C$2:$N$14,4,FALSE),"No Data")</f>
        <v>No Data</v>
      </c>
      <c r="C578" t="str">
        <f>IFERROR(VLOOKUP(A578,'AAPT ExDa'!$B$2:$U$99, 2,FALSE), IFERROR(VLOOKUP(A578,'ABB ExDa'!$A$2:$N$184, 2,FALSE), IFERROR(VLOOKUP(A578,'Vocus SIT ExDa'!$B$2:$J$173, 7,FALSE), IFERROR(VLOOKUP(A578,'Telstra ExDa'!$B$2:$K$310, 2,FALSE), IFERROR(VLOOKUP(A578,'Vocus RVC ExDa'!$C$2:$R$155, 3,FALSE), IFERROR(VLOOKUP(A578,'Fusion ExDa'!$B$2:$D$16, 2,FALSE), IFERROR(VLOOKUP(A578,'Exetel ExDa'!$C$2:$N$14, 2,FALSE), IFERROR(VLOOKUP(A578,'Infinet ExDa'!$B$2:$E$14, 2,FALSE), "Not Found"))))))))</f>
        <v>Not Found</v>
      </c>
      <c r="D578" t="str">
        <f>IFERROR(VLOOKUP($A578,'AAPT ExDa'!$B$2:$U$99, 15,FALSE), IFERROR(VLOOKUP($A578,'ABB ExDa'!$A$2:$N$184, 4,FALSE), IFERROR(VLOOKUP($A578,'Vocus SIT ExDa'!$B$2:$J$173, 5,FALSE), IFERROR(VLOOKUP($A578,'Telstra ExDa'!$B$2:$K$310, 8,FALSE), IFERROR(VLOOKUP($A578,'Vocus RVC ExDa'!$C$2:$R$155, 6,FALSE), IFERROR(VLOOKUP($A578,'Fusion ExDa'!$B$2:$D$16, 4,FALSE), IFERROR(VLOOKUP($A578,'Exetel ExDa'!$C$2:$N$14, 3,FALSE), IFERROR(VLOOKUP($A578,'Infinet ExDa'!$B$2:$E$14, 3,FALSE), "Not Found"))))))))</f>
        <v>Not Found</v>
      </c>
      <c r="E578" t="str">
        <f>IFERROR(VLOOKUP($A578,'AAPT ExDa'!$B$2:$U$99, 3,FALSE), IFERROR(VLOOKUP($A578,'ABB ExDa'!$A$2:$N$184, 5,FALSE), IFERROR(VLOOKUP($A578,'Vocus SIT ExDa'!$B$2:$J$173, 2,FALSE), IFERROR(VLOOKUP($A578,'Telstra ExDa'!$B$2:$K$310, 4,FALSE), IFERROR(VLOOKUP($A578,'Vocus RVC ExDa'!$C$2:$R$155, 8,FALSE), IFERROR(VLOOKUP($A578,'Fusion ExDa'!$B$2:$D$16, 4,FALSE), IFERROR(VLOOKUP($A578,'Exetel ExDa'!$C$2:$N$14, 5,FALSE), IFERROR(VLOOKUP($A578,'Infinet ExDa'!$B$2:$E$14, 3,FALSE), "Not Found"))))))))</f>
        <v>Not Found</v>
      </c>
      <c r="F578" t="str">
        <f>IFERROR(VLOOKUP($A578,'AAPT ExDa'!$B$2:$U$99, 4,FALSE), IFERROR(VLOOKUP($A578,'ABB ExDa'!$A$2:$N$184, 6,FALSE), IFERROR(VLOOKUP($A578,'Vocus SIT ExDa'!$B$2:$J$173, 3,FALSE), IFERROR(VLOOKUP($A578,'Telstra ExDa'!$B$2:$K$310, 5,FALSE), IFERROR(VLOOKUP($A578,'Vocus RVC ExDa'!$C$2:$R$155, 9,FALSE), IFERROR(VLOOKUP($A578,'Fusion ExDa'!$B$2:$D$16, 0,FALSE), IFERROR(VLOOKUP($A578,'Exetel ExDa'!$C$2:$N$14, 6,FALSE), IFERROR(VLOOKUP($A578,'Infinet ExDa'!$B$2:$E$14, 0,FALSE), "Not Found"))))))))</f>
        <v>Not Found</v>
      </c>
      <c r="G578" t="str">
        <f>IFERROR(VLOOKUP($A578,'AAPT ExDa'!$B$2:$U$99, 5,FALSE), IFERROR(VLOOKUP($A578,'ABB ExDa'!$A$2:$N$184, 8,FALSE), IFERROR(VLOOKUP($A578,'Vocus SIT ExDa'!$B$2:$J$173, 6,FALSE), IFERROR(VLOOKUP($A578,'Telstra ExDa'!$B$2:$K$310, 0,FALSE), IFERROR(VLOOKUP($A578,'Vocus RVC ExDa'!$C$2:$R$155, 15,FALSE), IFERROR(VLOOKUP($A578,'Fusion ExDa'!$B$2:$D$16, 0,FALSE), IFERROR(VLOOKUP($A578,'Exetel ExDa'!$C$2:$N$14, 7,FALSE), IFERROR(VLOOKUP($A578,'Infinet ExDa'!$B$2:$E$14, 0,FALSE), "Not Found"))))))))</f>
        <v>Not Found</v>
      </c>
      <c r="H578" t="str">
        <f>IFERROR(VLOOKUP($A578,'AAPT ExDa'!$B$2:$U$99, 6,FALSE), IFERROR(VLOOKUP($A578,'ABB ExDa'!$A$2:$N$184, 0,FALSE), IFERROR(VLOOKUP($A578,'Vocus SIT ExDa'!$B$2:$J$173, 0,FALSE), IFERROR(VLOOKUP($A578,'Telstra ExDa'!$B$2:$K$310, 0,FALSE), IFERROR(VLOOKUP($A578,'Vocus RVC ExDa'!$C$2:$R$155, 16,FALSE), IFERROR(VLOOKUP($A578,'Fusion ExDa'!$B$2:$D$16, 0,FALSE), IFERROR(VLOOKUP($A578,'Exetel ExDa'!$C$2:$N$14, 0,FALSE), IFERROR(VLOOKUP($A578,'Infinet ExDa'!$B$2:$E$14, 0,FALSE), "Not Found"))))))))</f>
        <v>Not Found</v>
      </c>
      <c r="I578" t="str">
        <f>IFERROR(VLOOKUP($A578,'AAPT ExDa'!$B$2:$U$99, 0,FALSE), IFERROR(VLOOKUP($A578,'ABB ExDa'!$A$2:$N$184, 0,FALSE), IFERROR(VLOOKUP($A578,'Vocus SIT ExDa'!$B$2:$J$173, 0,FALSE), IFERROR(VLOOKUP($A578,'Telstra ExDa'!$B$2:$K$310, 0,FALSE), IFERROR(VLOOKUP($A578,'Vocus RVC ExDa'!$C$2:$R$155, 0,FALSE), IFERROR(VLOOKUP($A578,'Fusion ExDa'!$B$2:$D$16, 0,FALSE), IFERROR(VLOOKUP($A578,'Exetel ExDa'!$C$2:$N$14, 8,FALSE), IFERROR(VLOOKUP($A578,'Infinet ExDa'!$B$2:$E$14, 0,FALSE), "Not Found"))))))))</f>
        <v>Not Found</v>
      </c>
      <c r="J578" t="str">
        <f>IFERROR(VLOOKUP($A578,'AAPT ExDa'!$B$2:$U$99, 7,FALSE), IFERROR(VLOOKUP($A578,'ABB ExDa'!$A$2:$N$184, 2,FALSE), IFERROR(VLOOKUP($A578,'Vocus SIT ExDa'!$B$2:$J$173, 0,FALSE), IFERROR(VLOOKUP($A578,'Telstra ExDa'!$B$2:$K$310, 7,FALSE), IFERROR(VLOOKUP($A578,'Vocus RVC ExDa'!$C$2:$R$155, 2,FALSE), IFERROR(VLOOKUP($A578,'Fusion ExDa'!$B$2:$D$16, 3,FALSE), IFERROR(VLOOKUP($A578,'Exetel ExDa'!$C$2:$N$14, 0,FALSE), IFERROR(VLOOKUP($A578,'Infinet ExDa'!$B$2:$E$14, 0,FALSE), "Not Found"))))))))</f>
        <v>Not Found</v>
      </c>
      <c r="K578" t="str">
        <f>IFERROR(VLOOKUP($A578,'AAPT ExDa'!$B$2:$U$99, 12,FALSE), IFERROR(VLOOKUP($A578,'ABB ExDa'!$A$2:$N$184, 0,FALSE), IFERROR(VLOOKUP($A578,'Vocus SIT ExDa'!$B$2:$J$173, 0,FALSE), IFERROR(VLOOKUP($A578,'Telstra ExDa'!$B$2:$K$310, 0,FALSE), IFERROR(VLOOKUP($A578,'Vocus RVC ExDa'!$C$2:$R$155, 0,FALSE), IFERROR(VLOOKUP($A578,'Fusion ExDa'!$B$2:$D$16, 0,FALSE), IFERROR(VLOOKUP($A578,'Exetel ExDa'!$C$2:$N$14, 12,FALSE), IFERROR(VLOOKUP($A578,'Infinet ExDa'!$B$2:$E$14, 0,FALSE), "Not Found"))))))))</f>
        <v>Not Found</v>
      </c>
      <c r="L578" s="235" t="str">
        <f>IFERROR(VLOOKUP($A578,'AAPT ExDa'!$B$2:$U$99, 11,FALSE), IFERROR(VLOOKUP($A578,'ABB ExDa'!$A$2:$N$184, 9,FALSE), IFERROR(VLOOKUP($A578,'Vocus SIT ExDa'!$B$2:$J$173, 8,FALSE), IFERROR(VLOOKUP($A578,'Telstra ExDa'!$B$2:$K$310, 0,FALSE), IFERROR(VLOOKUP($A578,'Vocus RVC ExDa'!$C$2:$R$155, 0,FALSE), IFERROR(VLOOKUP($A578,'Fusion ExDa'!$B$2:$D$16, 0,FALSE), IFERROR(VLOOKUP($A578,'Exetel ExDa'!$C$2:$N$14, 9,FALSE), IFERROR(VLOOKUP($A578,'Infinet ExDa'!$B$2:$E$14, 0,FALSE), "Not Found"))))))))</f>
        <v>Not Found</v>
      </c>
      <c r="M578" s="234" t="str">
        <f>IFERROR(VLOOKUP($A578,'AAPT ExDa'!$B$2:$U$99, 0,FALSE), IFERROR(VLOOKUP($A578,'ABB ExDa'!$A$2:$N$184, 0,FALSE), IFERROR(VLOOKUP($A578,'Vocus SIT ExDa'!$B$2:$J$173, 0,FALSE), IFERROR(VLOOKUP($A578,'Telstra ExDa'!$B$2:$K$310, 0,FALSE), IFERROR(VLOOKUP($A578,'Vocus RVC ExDa'!$C$2:$R$155, 0,FALSE), IFERROR(VLOOKUP($A578,'Fusion ExDa'!$B$2:$D$16, 0,FALSE), IFERROR(VLOOKUP($A578,'Exetel ExDa'!$C$2:$N$14, 11,FALSE), IFERROR(VLOOKUP($A578,'Infinet ExDa'!$B$2:$E$14, 0,FALSE), "Not Found"))))))))</f>
        <v>Not Found</v>
      </c>
      <c r="N578" t="str">
        <f>IFERROR(VLOOKUP($A578,'AAPT ExDa'!$B$2:$U$99, 0,FALSE), IFERROR(VLOOKUP($A578,'ABB ExDa'!$A$2:$N$184, 13,FALSE), IFERROR(VLOOKUP($A578,'Vocus SIT ExDa'!$B$2:$J$173, 0,FALSE), IFERROR(VLOOKUP($A578,'Telstra ExDa'!$B$2:$K$310, 0,FALSE), IFERROR(VLOOKUP($A578,'Vocus RVC ExDa'!$C$2:$R$155, 0,FALSE), IFERROR(VLOOKUP($A578,'Fusion ExDa'!$B$2:$D$16, 0,FALSE), IFERROR(VLOOKUP($A578,'Exetel ExDa'!$C$2:$N$14, 0,FALSE), IFERROR(VLOOKUP($A578,'Infinet ExDa'!$B$2:$E$14, 0,FALSE), "Not Found"))))))))</f>
        <v>Not Found</v>
      </c>
    </row>
    <row r="579" spans="1:14">
      <c r="A579">
        <v>0</v>
      </c>
      <c r="B579" t="str">
        <f>IFERROR(VLOOKUP(A579,'Exetel ExDa'!$C$2:$N$14,4,FALSE),"No Data")</f>
        <v>No Data</v>
      </c>
      <c r="C579" t="str">
        <f>IFERROR(VLOOKUP(A579,'AAPT ExDa'!$B$2:$U$99, 2,FALSE), IFERROR(VLOOKUP(A579,'ABB ExDa'!$A$2:$N$184, 2,FALSE), IFERROR(VLOOKUP(A579,'Vocus SIT ExDa'!$B$2:$J$173, 7,FALSE), IFERROR(VLOOKUP(A579,'Telstra ExDa'!$B$2:$K$310, 2,FALSE), IFERROR(VLOOKUP(A579,'Vocus RVC ExDa'!$C$2:$R$155, 3,FALSE), IFERROR(VLOOKUP(A579,'Fusion ExDa'!$B$2:$D$16, 2,FALSE), IFERROR(VLOOKUP(A579,'Exetel ExDa'!$C$2:$N$14, 2,FALSE), IFERROR(VLOOKUP(A579,'Infinet ExDa'!$B$2:$E$14, 2,FALSE), "Not Found"))))))))</f>
        <v>Not Found</v>
      </c>
      <c r="D579" t="str">
        <f>IFERROR(VLOOKUP($A579,'AAPT ExDa'!$B$2:$U$99, 15,FALSE), IFERROR(VLOOKUP($A579,'ABB ExDa'!$A$2:$N$184, 4,FALSE), IFERROR(VLOOKUP($A579,'Vocus SIT ExDa'!$B$2:$J$173, 5,FALSE), IFERROR(VLOOKUP($A579,'Telstra ExDa'!$B$2:$K$310, 8,FALSE), IFERROR(VLOOKUP($A579,'Vocus RVC ExDa'!$C$2:$R$155, 6,FALSE), IFERROR(VLOOKUP($A579,'Fusion ExDa'!$B$2:$D$16, 4,FALSE), IFERROR(VLOOKUP($A579,'Exetel ExDa'!$C$2:$N$14, 3,FALSE), IFERROR(VLOOKUP($A579,'Infinet ExDa'!$B$2:$E$14, 3,FALSE), "Not Found"))))))))</f>
        <v>Not Found</v>
      </c>
      <c r="E579" t="str">
        <f>IFERROR(VLOOKUP($A579,'AAPT ExDa'!$B$2:$U$99, 3,FALSE), IFERROR(VLOOKUP($A579,'ABB ExDa'!$A$2:$N$184, 5,FALSE), IFERROR(VLOOKUP($A579,'Vocus SIT ExDa'!$B$2:$J$173, 2,FALSE), IFERROR(VLOOKUP($A579,'Telstra ExDa'!$B$2:$K$310, 4,FALSE), IFERROR(VLOOKUP($A579,'Vocus RVC ExDa'!$C$2:$R$155, 8,FALSE), IFERROR(VLOOKUP($A579,'Fusion ExDa'!$B$2:$D$16, 4,FALSE), IFERROR(VLOOKUP($A579,'Exetel ExDa'!$C$2:$N$14, 5,FALSE), IFERROR(VLOOKUP($A579,'Infinet ExDa'!$B$2:$E$14, 3,FALSE), "Not Found"))))))))</f>
        <v>Not Found</v>
      </c>
      <c r="F579" t="str">
        <f>IFERROR(VLOOKUP($A579,'AAPT ExDa'!$B$2:$U$99, 4,FALSE), IFERROR(VLOOKUP($A579,'ABB ExDa'!$A$2:$N$184, 6,FALSE), IFERROR(VLOOKUP($A579,'Vocus SIT ExDa'!$B$2:$J$173, 3,FALSE), IFERROR(VLOOKUP($A579,'Telstra ExDa'!$B$2:$K$310, 5,FALSE), IFERROR(VLOOKUP($A579,'Vocus RVC ExDa'!$C$2:$R$155, 9,FALSE), IFERROR(VLOOKUP($A579,'Fusion ExDa'!$B$2:$D$16, 0,FALSE), IFERROR(VLOOKUP($A579,'Exetel ExDa'!$C$2:$N$14, 6,FALSE), IFERROR(VLOOKUP($A579,'Infinet ExDa'!$B$2:$E$14, 0,FALSE), "Not Found"))))))))</f>
        <v>Not Found</v>
      </c>
      <c r="G579" t="str">
        <f>IFERROR(VLOOKUP($A579,'AAPT ExDa'!$B$2:$U$99, 5,FALSE), IFERROR(VLOOKUP($A579,'ABB ExDa'!$A$2:$N$184, 8,FALSE), IFERROR(VLOOKUP($A579,'Vocus SIT ExDa'!$B$2:$J$173, 6,FALSE), IFERROR(VLOOKUP($A579,'Telstra ExDa'!$B$2:$K$310, 0,FALSE), IFERROR(VLOOKUP($A579,'Vocus RVC ExDa'!$C$2:$R$155, 15,FALSE), IFERROR(VLOOKUP($A579,'Fusion ExDa'!$B$2:$D$16, 0,FALSE), IFERROR(VLOOKUP($A579,'Exetel ExDa'!$C$2:$N$14, 7,FALSE), IFERROR(VLOOKUP($A579,'Infinet ExDa'!$B$2:$E$14, 0,FALSE), "Not Found"))))))))</f>
        <v>Not Found</v>
      </c>
      <c r="H579" t="str">
        <f>IFERROR(VLOOKUP($A579,'AAPT ExDa'!$B$2:$U$99, 6,FALSE), IFERROR(VLOOKUP($A579,'ABB ExDa'!$A$2:$N$184, 0,FALSE), IFERROR(VLOOKUP($A579,'Vocus SIT ExDa'!$B$2:$J$173, 0,FALSE), IFERROR(VLOOKUP($A579,'Telstra ExDa'!$B$2:$K$310, 0,FALSE), IFERROR(VLOOKUP($A579,'Vocus RVC ExDa'!$C$2:$R$155, 16,FALSE), IFERROR(VLOOKUP($A579,'Fusion ExDa'!$B$2:$D$16, 0,FALSE), IFERROR(VLOOKUP($A579,'Exetel ExDa'!$C$2:$N$14, 0,FALSE), IFERROR(VLOOKUP($A579,'Infinet ExDa'!$B$2:$E$14, 0,FALSE), "Not Found"))))))))</f>
        <v>Not Found</v>
      </c>
      <c r="I579" t="str">
        <f>IFERROR(VLOOKUP($A579,'AAPT ExDa'!$B$2:$U$99, 0,FALSE), IFERROR(VLOOKUP($A579,'ABB ExDa'!$A$2:$N$184, 0,FALSE), IFERROR(VLOOKUP($A579,'Vocus SIT ExDa'!$B$2:$J$173, 0,FALSE), IFERROR(VLOOKUP($A579,'Telstra ExDa'!$B$2:$K$310, 0,FALSE), IFERROR(VLOOKUP($A579,'Vocus RVC ExDa'!$C$2:$R$155, 0,FALSE), IFERROR(VLOOKUP($A579,'Fusion ExDa'!$B$2:$D$16, 0,FALSE), IFERROR(VLOOKUP($A579,'Exetel ExDa'!$C$2:$N$14, 8,FALSE), IFERROR(VLOOKUP($A579,'Infinet ExDa'!$B$2:$E$14, 0,FALSE), "Not Found"))))))))</f>
        <v>Not Found</v>
      </c>
      <c r="J579" t="str">
        <f>IFERROR(VLOOKUP($A579,'AAPT ExDa'!$B$2:$U$99, 7,FALSE), IFERROR(VLOOKUP($A579,'ABB ExDa'!$A$2:$N$184, 2,FALSE), IFERROR(VLOOKUP($A579,'Vocus SIT ExDa'!$B$2:$J$173, 0,FALSE), IFERROR(VLOOKUP($A579,'Telstra ExDa'!$B$2:$K$310, 7,FALSE), IFERROR(VLOOKUP($A579,'Vocus RVC ExDa'!$C$2:$R$155, 2,FALSE), IFERROR(VLOOKUP($A579,'Fusion ExDa'!$B$2:$D$16, 3,FALSE), IFERROR(VLOOKUP($A579,'Exetel ExDa'!$C$2:$N$14, 0,FALSE), IFERROR(VLOOKUP($A579,'Infinet ExDa'!$B$2:$E$14, 0,FALSE), "Not Found"))))))))</f>
        <v>Not Found</v>
      </c>
      <c r="K579" t="str">
        <f>IFERROR(VLOOKUP($A579,'AAPT ExDa'!$B$2:$U$99, 12,FALSE), IFERROR(VLOOKUP($A579,'ABB ExDa'!$A$2:$N$184, 0,FALSE), IFERROR(VLOOKUP($A579,'Vocus SIT ExDa'!$B$2:$J$173, 0,FALSE), IFERROR(VLOOKUP($A579,'Telstra ExDa'!$B$2:$K$310, 0,FALSE), IFERROR(VLOOKUP($A579,'Vocus RVC ExDa'!$C$2:$R$155, 0,FALSE), IFERROR(VLOOKUP($A579,'Fusion ExDa'!$B$2:$D$16, 0,FALSE), IFERROR(VLOOKUP($A579,'Exetel ExDa'!$C$2:$N$14, 12,FALSE), IFERROR(VLOOKUP($A579,'Infinet ExDa'!$B$2:$E$14, 0,FALSE), "Not Found"))))))))</f>
        <v>Not Found</v>
      </c>
      <c r="L579" s="235" t="str">
        <f>IFERROR(VLOOKUP($A579,'AAPT ExDa'!$B$2:$U$99, 11,FALSE), IFERROR(VLOOKUP($A579,'ABB ExDa'!$A$2:$N$184, 9,FALSE), IFERROR(VLOOKUP($A579,'Vocus SIT ExDa'!$B$2:$J$173, 8,FALSE), IFERROR(VLOOKUP($A579,'Telstra ExDa'!$B$2:$K$310, 0,FALSE), IFERROR(VLOOKUP($A579,'Vocus RVC ExDa'!$C$2:$R$155, 0,FALSE), IFERROR(VLOOKUP($A579,'Fusion ExDa'!$B$2:$D$16, 0,FALSE), IFERROR(VLOOKUP($A579,'Exetel ExDa'!$C$2:$N$14, 9,FALSE), IFERROR(VLOOKUP($A579,'Infinet ExDa'!$B$2:$E$14, 0,FALSE), "Not Found"))))))))</f>
        <v>Not Found</v>
      </c>
      <c r="M579" s="234" t="str">
        <f>IFERROR(VLOOKUP($A579,'AAPT ExDa'!$B$2:$U$99, 0,FALSE), IFERROR(VLOOKUP($A579,'ABB ExDa'!$A$2:$N$184, 0,FALSE), IFERROR(VLOOKUP($A579,'Vocus SIT ExDa'!$B$2:$J$173, 0,FALSE), IFERROR(VLOOKUP($A579,'Telstra ExDa'!$B$2:$K$310, 0,FALSE), IFERROR(VLOOKUP($A579,'Vocus RVC ExDa'!$C$2:$R$155, 0,FALSE), IFERROR(VLOOKUP($A579,'Fusion ExDa'!$B$2:$D$16, 0,FALSE), IFERROR(VLOOKUP($A579,'Exetel ExDa'!$C$2:$N$14, 11,FALSE), IFERROR(VLOOKUP($A579,'Infinet ExDa'!$B$2:$E$14, 0,FALSE), "Not Found"))))))))</f>
        <v>Not Found</v>
      </c>
      <c r="N579" t="str">
        <f>IFERROR(VLOOKUP($A579,'AAPT ExDa'!$B$2:$U$99, 0,FALSE), IFERROR(VLOOKUP($A579,'ABB ExDa'!$A$2:$N$184, 13,FALSE), IFERROR(VLOOKUP($A579,'Vocus SIT ExDa'!$B$2:$J$173, 0,FALSE), IFERROR(VLOOKUP($A579,'Telstra ExDa'!$B$2:$K$310, 0,FALSE), IFERROR(VLOOKUP($A579,'Vocus RVC ExDa'!$C$2:$R$155, 0,FALSE), IFERROR(VLOOKUP($A579,'Fusion ExDa'!$B$2:$D$16, 0,FALSE), IFERROR(VLOOKUP($A579,'Exetel ExDa'!$C$2:$N$14, 0,FALSE), IFERROR(VLOOKUP($A579,'Infinet ExDa'!$B$2:$E$14, 0,FALSE), "Not Found"))))))))</f>
        <v>Not Found</v>
      </c>
    </row>
    <row r="580" spans="1:14">
      <c r="A580">
        <v>0</v>
      </c>
      <c r="B580" t="str">
        <f>IFERROR(VLOOKUP(A580,'Exetel ExDa'!$C$2:$N$14,4,FALSE),"No Data")</f>
        <v>No Data</v>
      </c>
      <c r="C580" t="str">
        <f>IFERROR(VLOOKUP(A580,'AAPT ExDa'!$B$2:$U$99, 2,FALSE), IFERROR(VLOOKUP(A580,'ABB ExDa'!$A$2:$N$184, 2,FALSE), IFERROR(VLOOKUP(A580,'Vocus SIT ExDa'!$B$2:$J$173, 7,FALSE), IFERROR(VLOOKUP(A580,'Telstra ExDa'!$B$2:$K$310, 2,FALSE), IFERROR(VLOOKUP(A580,'Vocus RVC ExDa'!$C$2:$R$155, 3,FALSE), IFERROR(VLOOKUP(A580,'Fusion ExDa'!$B$2:$D$16, 2,FALSE), IFERROR(VLOOKUP(A580,'Exetel ExDa'!$C$2:$N$14, 2,FALSE), IFERROR(VLOOKUP(A580,'Infinet ExDa'!$B$2:$E$14, 2,FALSE), "Not Found"))))))))</f>
        <v>Not Found</v>
      </c>
      <c r="D580" t="str">
        <f>IFERROR(VLOOKUP($A580,'AAPT ExDa'!$B$2:$U$99, 15,FALSE), IFERROR(VLOOKUP($A580,'ABB ExDa'!$A$2:$N$184, 4,FALSE), IFERROR(VLOOKUP($A580,'Vocus SIT ExDa'!$B$2:$J$173, 5,FALSE), IFERROR(VLOOKUP($A580,'Telstra ExDa'!$B$2:$K$310, 8,FALSE), IFERROR(VLOOKUP($A580,'Vocus RVC ExDa'!$C$2:$R$155, 6,FALSE), IFERROR(VLOOKUP($A580,'Fusion ExDa'!$B$2:$D$16, 4,FALSE), IFERROR(VLOOKUP($A580,'Exetel ExDa'!$C$2:$N$14, 3,FALSE), IFERROR(VLOOKUP($A580,'Infinet ExDa'!$B$2:$E$14, 3,FALSE), "Not Found"))))))))</f>
        <v>Not Found</v>
      </c>
      <c r="E580" t="str">
        <f>IFERROR(VLOOKUP($A580,'AAPT ExDa'!$B$2:$U$99, 3,FALSE), IFERROR(VLOOKUP($A580,'ABB ExDa'!$A$2:$N$184, 5,FALSE), IFERROR(VLOOKUP($A580,'Vocus SIT ExDa'!$B$2:$J$173, 2,FALSE), IFERROR(VLOOKUP($A580,'Telstra ExDa'!$B$2:$K$310, 4,FALSE), IFERROR(VLOOKUP($A580,'Vocus RVC ExDa'!$C$2:$R$155, 8,FALSE), IFERROR(VLOOKUP($A580,'Fusion ExDa'!$B$2:$D$16, 4,FALSE), IFERROR(VLOOKUP($A580,'Exetel ExDa'!$C$2:$N$14, 5,FALSE), IFERROR(VLOOKUP($A580,'Infinet ExDa'!$B$2:$E$14, 3,FALSE), "Not Found"))))))))</f>
        <v>Not Found</v>
      </c>
      <c r="F580" t="str">
        <f>IFERROR(VLOOKUP($A580,'AAPT ExDa'!$B$2:$U$99, 4,FALSE), IFERROR(VLOOKUP($A580,'ABB ExDa'!$A$2:$N$184, 6,FALSE), IFERROR(VLOOKUP($A580,'Vocus SIT ExDa'!$B$2:$J$173, 3,FALSE), IFERROR(VLOOKUP($A580,'Telstra ExDa'!$B$2:$K$310, 5,FALSE), IFERROR(VLOOKUP($A580,'Vocus RVC ExDa'!$C$2:$R$155, 9,FALSE), IFERROR(VLOOKUP($A580,'Fusion ExDa'!$B$2:$D$16, 0,FALSE), IFERROR(VLOOKUP($A580,'Exetel ExDa'!$C$2:$N$14, 6,FALSE), IFERROR(VLOOKUP($A580,'Infinet ExDa'!$B$2:$E$14, 0,FALSE), "Not Found"))))))))</f>
        <v>Not Found</v>
      </c>
      <c r="G580" t="str">
        <f>IFERROR(VLOOKUP($A580,'AAPT ExDa'!$B$2:$U$99, 5,FALSE), IFERROR(VLOOKUP($A580,'ABB ExDa'!$A$2:$N$184, 8,FALSE), IFERROR(VLOOKUP($A580,'Vocus SIT ExDa'!$B$2:$J$173, 6,FALSE), IFERROR(VLOOKUP($A580,'Telstra ExDa'!$B$2:$K$310, 0,FALSE), IFERROR(VLOOKUP($A580,'Vocus RVC ExDa'!$C$2:$R$155, 15,FALSE), IFERROR(VLOOKUP($A580,'Fusion ExDa'!$B$2:$D$16, 0,FALSE), IFERROR(VLOOKUP($A580,'Exetel ExDa'!$C$2:$N$14, 7,FALSE), IFERROR(VLOOKUP($A580,'Infinet ExDa'!$B$2:$E$14, 0,FALSE), "Not Found"))))))))</f>
        <v>Not Found</v>
      </c>
      <c r="H580" t="str">
        <f>IFERROR(VLOOKUP($A580,'AAPT ExDa'!$B$2:$U$99, 6,FALSE), IFERROR(VLOOKUP($A580,'ABB ExDa'!$A$2:$N$184, 0,FALSE), IFERROR(VLOOKUP($A580,'Vocus SIT ExDa'!$B$2:$J$173, 0,FALSE), IFERROR(VLOOKUP($A580,'Telstra ExDa'!$B$2:$K$310, 0,FALSE), IFERROR(VLOOKUP($A580,'Vocus RVC ExDa'!$C$2:$R$155, 16,FALSE), IFERROR(VLOOKUP($A580,'Fusion ExDa'!$B$2:$D$16, 0,FALSE), IFERROR(VLOOKUP($A580,'Exetel ExDa'!$C$2:$N$14, 0,FALSE), IFERROR(VLOOKUP($A580,'Infinet ExDa'!$B$2:$E$14, 0,FALSE), "Not Found"))))))))</f>
        <v>Not Found</v>
      </c>
      <c r="I580" t="str">
        <f>IFERROR(VLOOKUP($A580,'AAPT ExDa'!$B$2:$U$99, 0,FALSE), IFERROR(VLOOKUP($A580,'ABB ExDa'!$A$2:$N$184, 0,FALSE), IFERROR(VLOOKUP($A580,'Vocus SIT ExDa'!$B$2:$J$173, 0,FALSE), IFERROR(VLOOKUP($A580,'Telstra ExDa'!$B$2:$K$310, 0,FALSE), IFERROR(VLOOKUP($A580,'Vocus RVC ExDa'!$C$2:$R$155, 0,FALSE), IFERROR(VLOOKUP($A580,'Fusion ExDa'!$B$2:$D$16, 0,FALSE), IFERROR(VLOOKUP($A580,'Exetel ExDa'!$C$2:$N$14, 8,FALSE), IFERROR(VLOOKUP($A580,'Infinet ExDa'!$B$2:$E$14, 0,FALSE), "Not Found"))))))))</f>
        <v>Not Found</v>
      </c>
      <c r="J580" t="str">
        <f>IFERROR(VLOOKUP($A580,'AAPT ExDa'!$B$2:$U$99, 7,FALSE), IFERROR(VLOOKUP($A580,'ABB ExDa'!$A$2:$N$184, 2,FALSE), IFERROR(VLOOKUP($A580,'Vocus SIT ExDa'!$B$2:$J$173, 0,FALSE), IFERROR(VLOOKUP($A580,'Telstra ExDa'!$B$2:$K$310, 7,FALSE), IFERROR(VLOOKUP($A580,'Vocus RVC ExDa'!$C$2:$R$155, 2,FALSE), IFERROR(VLOOKUP($A580,'Fusion ExDa'!$B$2:$D$16, 3,FALSE), IFERROR(VLOOKUP($A580,'Exetel ExDa'!$C$2:$N$14, 0,FALSE), IFERROR(VLOOKUP($A580,'Infinet ExDa'!$B$2:$E$14, 0,FALSE), "Not Found"))))))))</f>
        <v>Not Found</v>
      </c>
      <c r="K580" t="str">
        <f>IFERROR(VLOOKUP($A580,'AAPT ExDa'!$B$2:$U$99, 12,FALSE), IFERROR(VLOOKUP($A580,'ABB ExDa'!$A$2:$N$184, 0,FALSE), IFERROR(VLOOKUP($A580,'Vocus SIT ExDa'!$B$2:$J$173, 0,FALSE), IFERROR(VLOOKUP($A580,'Telstra ExDa'!$B$2:$K$310, 0,FALSE), IFERROR(VLOOKUP($A580,'Vocus RVC ExDa'!$C$2:$R$155, 0,FALSE), IFERROR(VLOOKUP($A580,'Fusion ExDa'!$B$2:$D$16, 0,FALSE), IFERROR(VLOOKUP($A580,'Exetel ExDa'!$C$2:$N$14, 12,FALSE), IFERROR(VLOOKUP($A580,'Infinet ExDa'!$B$2:$E$14, 0,FALSE), "Not Found"))))))))</f>
        <v>Not Found</v>
      </c>
      <c r="L580" s="235" t="str">
        <f>IFERROR(VLOOKUP($A580,'AAPT ExDa'!$B$2:$U$99, 11,FALSE), IFERROR(VLOOKUP($A580,'ABB ExDa'!$A$2:$N$184, 9,FALSE), IFERROR(VLOOKUP($A580,'Vocus SIT ExDa'!$B$2:$J$173, 8,FALSE), IFERROR(VLOOKUP($A580,'Telstra ExDa'!$B$2:$K$310, 0,FALSE), IFERROR(VLOOKUP($A580,'Vocus RVC ExDa'!$C$2:$R$155, 0,FALSE), IFERROR(VLOOKUP($A580,'Fusion ExDa'!$B$2:$D$16, 0,FALSE), IFERROR(VLOOKUP($A580,'Exetel ExDa'!$C$2:$N$14, 9,FALSE), IFERROR(VLOOKUP($A580,'Infinet ExDa'!$B$2:$E$14, 0,FALSE), "Not Found"))))))))</f>
        <v>Not Found</v>
      </c>
      <c r="M580" s="234" t="str">
        <f>IFERROR(VLOOKUP($A580,'AAPT ExDa'!$B$2:$U$99, 0,FALSE), IFERROR(VLOOKUP($A580,'ABB ExDa'!$A$2:$N$184, 0,FALSE), IFERROR(VLOOKUP($A580,'Vocus SIT ExDa'!$B$2:$J$173, 0,FALSE), IFERROR(VLOOKUP($A580,'Telstra ExDa'!$B$2:$K$310, 0,FALSE), IFERROR(VLOOKUP($A580,'Vocus RVC ExDa'!$C$2:$R$155, 0,FALSE), IFERROR(VLOOKUP($A580,'Fusion ExDa'!$B$2:$D$16, 0,FALSE), IFERROR(VLOOKUP($A580,'Exetel ExDa'!$C$2:$N$14, 11,FALSE), IFERROR(VLOOKUP($A580,'Infinet ExDa'!$B$2:$E$14, 0,FALSE), "Not Found"))))))))</f>
        <v>Not Found</v>
      </c>
      <c r="N580" t="str">
        <f>IFERROR(VLOOKUP($A580,'AAPT ExDa'!$B$2:$U$99, 0,FALSE), IFERROR(VLOOKUP($A580,'ABB ExDa'!$A$2:$N$184, 13,FALSE), IFERROR(VLOOKUP($A580,'Vocus SIT ExDa'!$B$2:$J$173, 0,FALSE), IFERROR(VLOOKUP($A580,'Telstra ExDa'!$B$2:$K$310, 0,FALSE), IFERROR(VLOOKUP($A580,'Vocus RVC ExDa'!$C$2:$R$155, 0,FALSE), IFERROR(VLOOKUP($A580,'Fusion ExDa'!$B$2:$D$16, 0,FALSE), IFERROR(VLOOKUP($A580,'Exetel ExDa'!$C$2:$N$14, 0,FALSE), IFERROR(VLOOKUP($A580,'Infinet ExDa'!$B$2:$E$14, 0,FALSE), "Not Found"))))))))</f>
        <v>Not Found</v>
      </c>
    </row>
    <row r="581" spans="1:14">
      <c r="A581">
        <v>0</v>
      </c>
      <c r="B581" t="str">
        <f>IFERROR(VLOOKUP(A581,'Exetel ExDa'!$C$2:$N$14,4,FALSE),"No Data")</f>
        <v>No Data</v>
      </c>
      <c r="C581" t="str">
        <f>IFERROR(VLOOKUP(A581,'AAPT ExDa'!$B$2:$U$99, 2,FALSE), IFERROR(VLOOKUP(A581,'ABB ExDa'!$A$2:$N$184, 2,FALSE), IFERROR(VLOOKUP(A581,'Vocus SIT ExDa'!$B$2:$J$173, 7,FALSE), IFERROR(VLOOKUP(A581,'Telstra ExDa'!$B$2:$K$310, 2,FALSE), IFERROR(VLOOKUP(A581,'Vocus RVC ExDa'!$C$2:$R$155, 3,FALSE), IFERROR(VLOOKUP(A581,'Fusion ExDa'!$B$2:$D$16, 2,FALSE), IFERROR(VLOOKUP(A581,'Exetel ExDa'!$C$2:$N$14, 2,FALSE), IFERROR(VLOOKUP(A581,'Infinet ExDa'!$B$2:$E$14, 2,FALSE), "Not Found"))))))))</f>
        <v>Not Found</v>
      </c>
      <c r="D581" t="str">
        <f>IFERROR(VLOOKUP($A581,'AAPT ExDa'!$B$2:$U$99, 15,FALSE), IFERROR(VLOOKUP($A581,'ABB ExDa'!$A$2:$N$184, 4,FALSE), IFERROR(VLOOKUP($A581,'Vocus SIT ExDa'!$B$2:$J$173, 5,FALSE), IFERROR(VLOOKUP($A581,'Telstra ExDa'!$B$2:$K$310, 8,FALSE), IFERROR(VLOOKUP($A581,'Vocus RVC ExDa'!$C$2:$R$155, 6,FALSE), IFERROR(VLOOKUP($A581,'Fusion ExDa'!$B$2:$D$16, 4,FALSE), IFERROR(VLOOKUP($A581,'Exetel ExDa'!$C$2:$N$14, 3,FALSE), IFERROR(VLOOKUP($A581,'Infinet ExDa'!$B$2:$E$14, 3,FALSE), "Not Found"))))))))</f>
        <v>Not Found</v>
      </c>
      <c r="E581" t="str">
        <f>IFERROR(VLOOKUP($A581,'AAPT ExDa'!$B$2:$U$99, 3,FALSE), IFERROR(VLOOKUP($A581,'ABB ExDa'!$A$2:$N$184, 5,FALSE), IFERROR(VLOOKUP($A581,'Vocus SIT ExDa'!$B$2:$J$173, 2,FALSE), IFERROR(VLOOKUP($A581,'Telstra ExDa'!$B$2:$K$310, 4,FALSE), IFERROR(VLOOKUP($A581,'Vocus RVC ExDa'!$C$2:$R$155, 8,FALSE), IFERROR(VLOOKUP($A581,'Fusion ExDa'!$B$2:$D$16, 4,FALSE), IFERROR(VLOOKUP($A581,'Exetel ExDa'!$C$2:$N$14, 5,FALSE), IFERROR(VLOOKUP($A581,'Infinet ExDa'!$B$2:$E$14, 3,FALSE), "Not Found"))))))))</f>
        <v>Not Found</v>
      </c>
      <c r="F581" t="str">
        <f>IFERROR(VLOOKUP($A581,'AAPT ExDa'!$B$2:$U$99, 4,FALSE), IFERROR(VLOOKUP($A581,'ABB ExDa'!$A$2:$N$184, 6,FALSE), IFERROR(VLOOKUP($A581,'Vocus SIT ExDa'!$B$2:$J$173, 3,FALSE), IFERROR(VLOOKUP($A581,'Telstra ExDa'!$B$2:$K$310, 5,FALSE), IFERROR(VLOOKUP($A581,'Vocus RVC ExDa'!$C$2:$R$155, 9,FALSE), IFERROR(VLOOKUP($A581,'Fusion ExDa'!$B$2:$D$16, 0,FALSE), IFERROR(VLOOKUP($A581,'Exetel ExDa'!$C$2:$N$14, 6,FALSE), IFERROR(VLOOKUP($A581,'Infinet ExDa'!$B$2:$E$14, 0,FALSE), "Not Found"))))))))</f>
        <v>Not Found</v>
      </c>
      <c r="G581" t="str">
        <f>IFERROR(VLOOKUP($A581,'AAPT ExDa'!$B$2:$U$99, 5,FALSE), IFERROR(VLOOKUP($A581,'ABB ExDa'!$A$2:$N$184, 8,FALSE), IFERROR(VLOOKUP($A581,'Vocus SIT ExDa'!$B$2:$J$173, 6,FALSE), IFERROR(VLOOKUP($A581,'Telstra ExDa'!$B$2:$K$310, 0,FALSE), IFERROR(VLOOKUP($A581,'Vocus RVC ExDa'!$C$2:$R$155, 15,FALSE), IFERROR(VLOOKUP($A581,'Fusion ExDa'!$B$2:$D$16, 0,FALSE), IFERROR(VLOOKUP($A581,'Exetel ExDa'!$C$2:$N$14, 7,FALSE), IFERROR(VLOOKUP($A581,'Infinet ExDa'!$B$2:$E$14, 0,FALSE), "Not Found"))))))))</f>
        <v>Not Found</v>
      </c>
      <c r="H581" t="str">
        <f>IFERROR(VLOOKUP($A581,'AAPT ExDa'!$B$2:$U$99, 6,FALSE), IFERROR(VLOOKUP($A581,'ABB ExDa'!$A$2:$N$184, 0,FALSE), IFERROR(VLOOKUP($A581,'Vocus SIT ExDa'!$B$2:$J$173, 0,FALSE), IFERROR(VLOOKUP($A581,'Telstra ExDa'!$B$2:$K$310, 0,FALSE), IFERROR(VLOOKUP($A581,'Vocus RVC ExDa'!$C$2:$R$155, 16,FALSE), IFERROR(VLOOKUP($A581,'Fusion ExDa'!$B$2:$D$16, 0,FALSE), IFERROR(VLOOKUP($A581,'Exetel ExDa'!$C$2:$N$14, 0,FALSE), IFERROR(VLOOKUP($A581,'Infinet ExDa'!$B$2:$E$14, 0,FALSE), "Not Found"))))))))</f>
        <v>Not Found</v>
      </c>
      <c r="I581" t="str">
        <f>IFERROR(VLOOKUP($A581,'AAPT ExDa'!$B$2:$U$99, 0,FALSE), IFERROR(VLOOKUP($A581,'ABB ExDa'!$A$2:$N$184, 0,FALSE), IFERROR(VLOOKUP($A581,'Vocus SIT ExDa'!$B$2:$J$173, 0,FALSE), IFERROR(VLOOKUP($A581,'Telstra ExDa'!$B$2:$K$310, 0,FALSE), IFERROR(VLOOKUP($A581,'Vocus RVC ExDa'!$C$2:$R$155, 0,FALSE), IFERROR(VLOOKUP($A581,'Fusion ExDa'!$B$2:$D$16, 0,FALSE), IFERROR(VLOOKUP($A581,'Exetel ExDa'!$C$2:$N$14, 8,FALSE), IFERROR(VLOOKUP($A581,'Infinet ExDa'!$B$2:$E$14, 0,FALSE), "Not Found"))))))))</f>
        <v>Not Found</v>
      </c>
      <c r="J581" t="str">
        <f>IFERROR(VLOOKUP($A581,'AAPT ExDa'!$B$2:$U$99, 7,FALSE), IFERROR(VLOOKUP($A581,'ABB ExDa'!$A$2:$N$184, 2,FALSE), IFERROR(VLOOKUP($A581,'Vocus SIT ExDa'!$B$2:$J$173, 0,FALSE), IFERROR(VLOOKUP($A581,'Telstra ExDa'!$B$2:$K$310, 7,FALSE), IFERROR(VLOOKUP($A581,'Vocus RVC ExDa'!$C$2:$R$155, 2,FALSE), IFERROR(VLOOKUP($A581,'Fusion ExDa'!$B$2:$D$16, 3,FALSE), IFERROR(VLOOKUP($A581,'Exetel ExDa'!$C$2:$N$14, 0,FALSE), IFERROR(VLOOKUP($A581,'Infinet ExDa'!$B$2:$E$14, 0,FALSE), "Not Found"))))))))</f>
        <v>Not Found</v>
      </c>
      <c r="K581" t="str">
        <f>IFERROR(VLOOKUP($A581,'AAPT ExDa'!$B$2:$U$99, 12,FALSE), IFERROR(VLOOKUP($A581,'ABB ExDa'!$A$2:$N$184, 0,FALSE), IFERROR(VLOOKUP($A581,'Vocus SIT ExDa'!$B$2:$J$173, 0,FALSE), IFERROR(VLOOKUP($A581,'Telstra ExDa'!$B$2:$K$310, 0,FALSE), IFERROR(VLOOKUP($A581,'Vocus RVC ExDa'!$C$2:$R$155, 0,FALSE), IFERROR(VLOOKUP($A581,'Fusion ExDa'!$B$2:$D$16, 0,FALSE), IFERROR(VLOOKUP($A581,'Exetel ExDa'!$C$2:$N$14, 12,FALSE), IFERROR(VLOOKUP($A581,'Infinet ExDa'!$B$2:$E$14, 0,FALSE), "Not Found"))))))))</f>
        <v>Not Found</v>
      </c>
      <c r="L581" s="235" t="str">
        <f>IFERROR(VLOOKUP($A581,'AAPT ExDa'!$B$2:$U$99, 11,FALSE), IFERROR(VLOOKUP($A581,'ABB ExDa'!$A$2:$N$184, 9,FALSE), IFERROR(VLOOKUP($A581,'Vocus SIT ExDa'!$B$2:$J$173, 8,FALSE), IFERROR(VLOOKUP($A581,'Telstra ExDa'!$B$2:$K$310, 0,FALSE), IFERROR(VLOOKUP($A581,'Vocus RVC ExDa'!$C$2:$R$155, 0,FALSE), IFERROR(VLOOKUP($A581,'Fusion ExDa'!$B$2:$D$16, 0,FALSE), IFERROR(VLOOKUP($A581,'Exetel ExDa'!$C$2:$N$14, 9,FALSE), IFERROR(VLOOKUP($A581,'Infinet ExDa'!$B$2:$E$14, 0,FALSE), "Not Found"))))))))</f>
        <v>Not Found</v>
      </c>
      <c r="M581" s="234" t="str">
        <f>IFERROR(VLOOKUP($A581,'AAPT ExDa'!$B$2:$U$99, 0,FALSE), IFERROR(VLOOKUP($A581,'ABB ExDa'!$A$2:$N$184, 0,FALSE), IFERROR(VLOOKUP($A581,'Vocus SIT ExDa'!$B$2:$J$173, 0,FALSE), IFERROR(VLOOKUP($A581,'Telstra ExDa'!$B$2:$K$310, 0,FALSE), IFERROR(VLOOKUP($A581,'Vocus RVC ExDa'!$C$2:$R$155, 0,FALSE), IFERROR(VLOOKUP($A581,'Fusion ExDa'!$B$2:$D$16, 0,FALSE), IFERROR(VLOOKUP($A581,'Exetel ExDa'!$C$2:$N$14, 11,FALSE), IFERROR(VLOOKUP($A581,'Infinet ExDa'!$B$2:$E$14, 0,FALSE), "Not Found"))))))))</f>
        <v>Not Found</v>
      </c>
      <c r="N581" t="str">
        <f>IFERROR(VLOOKUP($A581,'AAPT ExDa'!$B$2:$U$99, 0,FALSE), IFERROR(VLOOKUP($A581,'ABB ExDa'!$A$2:$N$184, 13,FALSE), IFERROR(VLOOKUP($A581,'Vocus SIT ExDa'!$B$2:$J$173, 0,FALSE), IFERROR(VLOOKUP($A581,'Telstra ExDa'!$B$2:$K$310, 0,FALSE), IFERROR(VLOOKUP($A581,'Vocus RVC ExDa'!$C$2:$R$155, 0,FALSE), IFERROR(VLOOKUP($A581,'Fusion ExDa'!$B$2:$D$16, 0,FALSE), IFERROR(VLOOKUP($A581,'Exetel ExDa'!$C$2:$N$14, 0,FALSE), IFERROR(VLOOKUP($A581,'Infinet ExDa'!$B$2:$E$14, 0,FALSE), "Not Found"))))))))</f>
        <v>Not Found</v>
      </c>
    </row>
    <row r="582" spans="1:14">
      <c r="A582">
        <v>0</v>
      </c>
      <c r="B582" t="str">
        <f>IFERROR(VLOOKUP(A582,'Exetel ExDa'!$C$2:$N$14,4,FALSE),"No Data")</f>
        <v>No Data</v>
      </c>
      <c r="C582" t="str">
        <f>IFERROR(VLOOKUP(A582,'AAPT ExDa'!$B$2:$U$99, 2,FALSE), IFERROR(VLOOKUP(A582,'ABB ExDa'!$A$2:$N$184, 2,FALSE), IFERROR(VLOOKUP(A582,'Vocus SIT ExDa'!$B$2:$J$173, 7,FALSE), IFERROR(VLOOKUP(A582,'Telstra ExDa'!$B$2:$K$310, 2,FALSE), IFERROR(VLOOKUP(A582,'Vocus RVC ExDa'!$C$2:$R$155, 3,FALSE), IFERROR(VLOOKUP(A582,'Fusion ExDa'!$B$2:$D$16, 2,FALSE), IFERROR(VLOOKUP(A582,'Exetel ExDa'!$C$2:$N$14, 2,FALSE), IFERROR(VLOOKUP(A582,'Infinet ExDa'!$B$2:$E$14, 2,FALSE), "Not Found"))))))))</f>
        <v>Not Found</v>
      </c>
      <c r="D582" t="str">
        <f>IFERROR(VLOOKUP($A582,'AAPT ExDa'!$B$2:$U$99, 15,FALSE), IFERROR(VLOOKUP($A582,'ABB ExDa'!$A$2:$N$184, 4,FALSE), IFERROR(VLOOKUP($A582,'Vocus SIT ExDa'!$B$2:$J$173, 5,FALSE), IFERROR(VLOOKUP($A582,'Telstra ExDa'!$B$2:$K$310, 8,FALSE), IFERROR(VLOOKUP($A582,'Vocus RVC ExDa'!$C$2:$R$155, 6,FALSE), IFERROR(VLOOKUP($A582,'Fusion ExDa'!$B$2:$D$16, 4,FALSE), IFERROR(VLOOKUP($A582,'Exetel ExDa'!$C$2:$N$14, 3,FALSE), IFERROR(VLOOKUP($A582,'Infinet ExDa'!$B$2:$E$14, 3,FALSE), "Not Found"))))))))</f>
        <v>Not Found</v>
      </c>
      <c r="E582" t="str">
        <f>IFERROR(VLOOKUP($A582,'AAPT ExDa'!$B$2:$U$99, 3,FALSE), IFERROR(VLOOKUP($A582,'ABB ExDa'!$A$2:$N$184, 5,FALSE), IFERROR(VLOOKUP($A582,'Vocus SIT ExDa'!$B$2:$J$173, 2,FALSE), IFERROR(VLOOKUP($A582,'Telstra ExDa'!$B$2:$K$310, 4,FALSE), IFERROR(VLOOKUP($A582,'Vocus RVC ExDa'!$C$2:$R$155, 8,FALSE), IFERROR(VLOOKUP($A582,'Fusion ExDa'!$B$2:$D$16, 4,FALSE), IFERROR(VLOOKUP($A582,'Exetel ExDa'!$C$2:$N$14, 5,FALSE), IFERROR(VLOOKUP($A582,'Infinet ExDa'!$B$2:$E$14, 3,FALSE), "Not Found"))))))))</f>
        <v>Not Found</v>
      </c>
      <c r="F582" t="str">
        <f>IFERROR(VLOOKUP($A582,'AAPT ExDa'!$B$2:$U$99, 4,FALSE), IFERROR(VLOOKUP($A582,'ABB ExDa'!$A$2:$N$184, 6,FALSE), IFERROR(VLOOKUP($A582,'Vocus SIT ExDa'!$B$2:$J$173, 3,FALSE), IFERROR(VLOOKUP($A582,'Telstra ExDa'!$B$2:$K$310, 5,FALSE), IFERROR(VLOOKUP($A582,'Vocus RVC ExDa'!$C$2:$R$155, 9,FALSE), IFERROR(VLOOKUP($A582,'Fusion ExDa'!$B$2:$D$16, 0,FALSE), IFERROR(VLOOKUP($A582,'Exetel ExDa'!$C$2:$N$14, 6,FALSE), IFERROR(VLOOKUP($A582,'Infinet ExDa'!$B$2:$E$14, 0,FALSE), "Not Found"))))))))</f>
        <v>Not Found</v>
      </c>
      <c r="G582" t="str">
        <f>IFERROR(VLOOKUP($A582,'AAPT ExDa'!$B$2:$U$99, 5,FALSE), IFERROR(VLOOKUP($A582,'ABB ExDa'!$A$2:$N$184, 8,FALSE), IFERROR(VLOOKUP($A582,'Vocus SIT ExDa'!$B$2:$J$173, 6,FALSE), IFERROR(VLOOKUP($A582,'Telstra ExDa'!$B$2:$K$310, 0,FALSE), IFERROR(VLOOKUP($A582,'Vocus RVC ExDa'!$C$2:$R$155, 15,FALSE), IFERROR(VLOOKUP($A582,'Fusion ExDa'!$B$2:$D$16, 0,FALSE), IFERROR(VLOOKUP($A582,'Exetel ExDa'!$C$2:$N$14, 7,FALSE), IFERROR(VLOOKUP($A582,'Infinet ExDa'!$B$2:$E$14, 0,FALSE), "Not Found"))))))))</f>
        <v>Not Found</v>
      </c>
      <c r="H582" t="str">
        <f>IFERROR(VLOOKUP($A582,'AAPT ExDa'!$B$2:$U$99, 6,FALSE), IFERROR(VLOOKUP($A582,'ABB ExDa'!$A$2:$N$184, 0,FALSE), IFERROR(VLOOKUP($A582,'Vocus SIT ExDa'!$B$2:$J$173, 0,FALSE), IFERROR(VLOOKUP($A582,'Telstra ExDa'!$B$2:$K$310, 0,FALSE), IFERROR(VLOOKUP($A582,'Vocus RVC ExDa'!$C$2:$R$155, 16,FALSE), IFERROR(VLOOKUP($A582,'Fusion ExDa'!$B$2:$D$16, 0,FALSE), IFERROR(VLOOKUP($A582,'Exetel ExDa'!$C$2:$N$14, 0,FALSE), IFERROR(VLOOKUP($A582,'Infinet ExDa'!$B$2:$E$14, 0,FALSE), "Not Found"))))))))</f>
        <v>Not Found</v>
      </c>
      <c r="I582" t="str">
        <f>IFERROR(VLOOKUP($A582,'AAPT ExDa'!$B$2:$U$99, 0,FALSE), IFERROR(VLOOKUP($A582,'ABB ExDa'!$A$2:$N$184, 0,FALSE), IFERROR(VLOOKUP($A582,'Vocus SIT ExDa'!$B$2:$J$173, 0,FALSE), IFERROR(VLOOKUP($A582,'Telstra ExDa'!$B$2:$K$310, 0,FALSE), IFERROR(VLOOKUP($A582,'Vocus RVC ExDa'!$C$2:$R$155, 0,FALSE), IFERROR(VLOOKUP($A582,'Fusion ExDa'!$B$2:$D$16, 0,FALSE), IFERROR(VLOOKUP($A582,'Exetel ExDa'!$C$2:$N$14, 8,FALSE), IFERROR(VLOOKUP($A582,'Infinet ExDa'!$B$2:$E$14, 0,FALSE), "Not Found"))))))))</f>
        <v>Not Found</v>
      </c>
      <c r="J582" t="str">
        <f>IFERROR(VLOOKUP($A582,'AAPT ExDa'!$B$2:$U$99, 7,FALSE), IFERROR(VLOOKUP($A582,'ABB ExDa'!$A$2:$N$184, 2,FALSE), IFERROR(VLOOKUP($A582,'Vocus SIT ExDa'!$B$2:$J$173, 0,FALSE), IFERROR(VLOOKUP($A582,'Telstra ExDa'!$B$2:$K$310, 7,FALSE), IFERROR(VLOOKUP($A582,'Vocus RVC ExDa'!$C$2:$R$155, 2,FALSE), IFERROR(VLOOKUP($A582,'Fusion ExDa'!$B$2:$D$16, 3,FALSE), IFERROR(VLOOKUP($A582,'Exetel ExDa'!$C$2:$N$14, 0,FALSE), IFERROR(VLOOKUP($A582,'Infinet ExDa'!$B$2:$E$14, 0,FALSE), "Not Found"))))))))</f>
        <v>Not Found</v>
      </c>
      <c r="K582" t="str">
        <f>IFERROR(VLOOKUP($A582,'AAPT ExDa'!$B$2:$U$99, 12,FALSE), IFERROR(VLOOKUP($A582,'ABB ExDa'!$A$2:$N$184, 0,FALSE), IFERROR(VLOOKUP($A582,'Vocus SIT ExDa'!$B$2:$J$173, 0,FALSE), IFERROR(VLOOKUP($A582,'Telstra ExDa'!$B$2:$K$310, 0,FALSE), IFERROR(VLOOKUP($A582,'Vocus RVC ExDa'!$C$2:$R$155, 0,FALSE), IFERROR(VLOOKUP($A582,'Fusion ExDa'!$B$2:$D$16, 0,FALSE), IFERROR(VLOOKUP($A582,'Exetel ExDa'!$C$2:$N$14, 12,FALSE), IFERROR(VLOOKUP($A582,'Infinet ExDa'!$B$2:$E$14, 0,FALSE), "Not Found"))))))))</f>
        <v>Not Found</v>
      </c>
      <c r="L582" s="235" t="str">
        <f>IFERROR(VLOOKUP($A582,'AAPT ExDa'!$B$2:$U$99, 11,FALSE), IFERROR(VLOOKUP($A582,'ABB ExDa'!$A$2:$N$184, 9,FALSE), IFERROR(VLOOKUP($A582,'Vocus SIT ExDa'!$B$2:$J$173, 8,FALSE), IFERROR(VLOOKUP($A582,'Telstra ExDa'!$B$2:$K$310, 0,FALSE), IFERROR(VLOOKUP($A582,'Vocus RVC ExDa'!$C$2:$R$155, 0,FALSE), IFERROR(VLOOKUP($A582,'Fusion ExDa'!$B$2:$D$16, 0,FALSE), IFERROR(VLOOKUP($A582,'Exetel ExDa'!$C$2:$N$14, 9,FALSE), IFERROR(VLOOKUP($A582,'Infinet ExDa'!$B$2:$E$14, 0,FALSE), "Not Found"))))))))</f>
        <v>Not Found</v>
      </c>
      <c r="M582" s="234" t="str">
        <f>IFERROR(VLOOKUP($A582,'AAPT ExDa'!$B$2:$U$99, 0,FALSE), IFERROR(VLOOKUP($A582,'ABB ExDa'!$A$2:$N$184, 0,FALSE), IFERROR(VLOOKUP($A582,'Vocus SIT ExDa'!$B$2:$J$173, 0,FALSE), IFERROR(VLOOKUP($A582,'Telstra ExDa'!$B$2:$K$310, 0,FALSE), IFERROR(VLOOKUP($A582,'Vocus RVC ExDa'!$C$2:$R$155, 0,FALSE), IFERROR(VLOOKUP($A582,'Fusion ExDa'!$B$2:$D$16, 0,FALSE), IFERROR(VLOOKUP($A582,'Exetel ExDa'!$C$2:$N$14, 11,FALSE), IFERROR(VLOOKUP($A582,'Infinet ExDa'!$B$2:$E$14, 0,FALSE), "Not Found"))))))))</f>
        <v>Not Found</v>
      </c>
      <c r="N582" t="str">
        <f>IFERROR(VLOOKUP($A582,'AAPT ExDa'!$B$2:$U$99, 0,FALSE), IFERROR(VLOOKUP($A582,'ABB ExDa'!$A$2:$N$184, 13,FALSE), IFERROR(VLOOKUP($A582,'Vocus SIT ExDa'!$B$2:$J$173, 0,FALSE), IFERROR(VLOOKUP($A582,'Telstra ExDa'!$B$2:$K$310, 0,FALSE), IFERROR(VLOOKUP($A582,'Vocus RVC ExDa'!$C$2:$R$155, 0,FALSE), IFERROR(VLOOKUP($A582,'Fusion ExDa'!$B$2:$D$16, 0,FALSE), IFERROR(VLOOKUP($A582,'Exetel ExDa'!$C$2:$N$14, 0,FALSE), IFERROR(VLOOKUP($A582,'Infinet ExDa'!$B$2:$E$14, 0,FALSE), "Not Found"))))))))</f>
        <v>Not Found</v>
      </c>
    </row>
    <row r="583" spans="1:14">
      <c r="A583">
        <v>0</v>
      </c>
      <c r="B583" t="str">
        <f>IFERROR(VLOOKUP(A583,'Exetel ExDa'!$C$2:$N$14,4,FALSE),"No Data")</f>
        <v>No Data</v>
      </c>
      <c r="C583" t="str">
        <f>IFERROR(VLOOKUP(A583,'AAPT ExDa'!$B$2:$U$99, 2,FALSE), IFERROR(VLOOKUP(A583,'ABB ExDa'!$A$2:$N$184, 2,FALSE), IFERROR(VLOOKUP(A583,'Vocus SIT ExDa'!$B$2:$J$173, 7,FALSE), IFERROR(VLOOKUP(A583,'Telstra ExDa'!$B$2:$K$310, 2,FALSE), IFERROR(VLOOKUP(A583,'Vocus RVC ExDa'!$C$2:$R$155, 3,FALSE), IFERROR(VLOOKUP(A583,'Fusion ExDa'!$B$2:$D$16, 2,FALSE), IFERROR(VLOOKUP(A583,'Exetel ExDa'!$C$2:$N$14, 2,FALSE), IFERROR(VLOOKUP(A583,'Infinet ExDa'!$B$2:$E$14, 2,FALSE), "Not Found"))))))))</f>
        <v>Not Found</v>
      </c>
      <c r="D583" t="str">
        <f>IFERROR(VLOOKUP($A583,'AAPT ExDa'!$B$2:$U$99, 15,FALSE), IFERROR(VLOOKUP($A583,'ABB ExDa'!$A$2:$N$184, 4,FALSE), IFERROR(VLOOKUP($A583,'Vocus SIT ExDa'!$B$2:$J$173, 5,FALSE), IFERROR(VLOOKUP($A583,'Telstra ExDa'!$B$2:$K$310, 8,FALSE), IFERROR(VLOOKUP($A583,'Vocus RVC ExDa'!$C$2:$R$155, 6,FALSE), IFERROR(VLOOKUP($A583,'Fusion ExDa'!$B$2:$D$16, 4,FALSE), IFERROR(VLOOKUP($A583,'Exetel ExDa'!$C$2:$N$14, 3,FALSE), IFERROR(VLOOKUP($A583,'Infinet ExDa'!$B$2:$E$14, 3,FALSE), "Not Found"))))))))</f>
        <v>Not Found</v>
      </c>
      <c r="E583" t="str">
        <f>IFERROR(VLOOKUP($A583,'AAPT ExDa'!$B$2:$U$99, 3,FALSE), IFERROR(VLOOKUP($A583,'ABB ExDa'!$A$2:$N$184, 5,FALSE), IFERROR(VLOOKUP($A583,'Vocus SIT ExDa'!$B$2:$J$173, 2,FALSE), IFERROR(VLOOKUP($A583,'Telstra ExDa'!$B$2:$K$310, 4,FALSE), IFERROR(VLOOKUP($A583,'Vocus RVC ExDa'!$C$2:$R$155, 8,FALSE), IFERROR(VLOOKUP($A583,'Fusion ExDa'!$B$2:$D$16, 4,FALSE), IFERROR(VLOOKUP($A583,'Exetel ExDa'!$C$2:$N$14, 5,FALSE), IFERROR(VLOOKUP($A583,'Infinet ExDa'!$B$2:$E$14, 3,FALSE), "Not Found"))))))))</f>
        <v>Not Found</v>
      </c>
      <c r="F583" t="str">
        <f>IFERROR(VLOOKUP($A583,'AAPT ExDa'!$B$2:$U$99, 4,FALSE), IFERROR(VLOOKUP($A583,'ABB ExDa'!$A$2:$N$184, 6,FALSE), IFERROR(VLOOKUP($A583,'Vocus SIT ExDa'!$B$2:$J$173, 3,FALSE), IFERROR(VLOOKUP($A583,'Telstra ExDa'!$B$2:$K$310, 5,FALSE), IFERROR(VLOOKUP($A583,'Vocus RVC ExDa'!$C$2:$R$155, 9,FALSE), IFERROR(VLOOKUP($A583,'Fusion ExDa'!$B$2:$D$16, 0,FALSE), IFERROR(VLOOKUP($A583,'Exetel ExDa'!$C$2:$N$14, 6,FALSE), IFERROR(VLOOKUP($A583,'Infinet ExDa'!$B$2:$E$14, 0,FALSE), "Not Found"))))))))</f>
        <v>Not Found</v>
      </c>
      <c r="G583" t="str">
        <f>IFERROR(VLOOKUP($A583,'AAPT ExDa'!$B$2:$U$99, 5,FALSE), IFERROR(VLOOKUP($A583,'ABB ExDa'!$A$2:$N$184, 8,FALSE), IFERROR(VLOOKUP($A583,'Vocus SIT ExDa'!$B$2:$J$173, 6,FALSE), IFERROR(VLOOKUP($A583,'Telstra ExDa'!$B$2:$K$310, 0,FALSE), IFERROR(VLOOKUP($A583,'Vocus RVC ExDa'!$C$2:$R$155, 15,FALSE), IFERROR(VLOOKUP($A583,'Fusion ExDa'!$B$2:$D$16, 0,FALSE), IFERROR(VLOOKUP($A583,'Exetel ExDa'!$C$2:$N$14, 7,FALSE), IFERROR(VLOOKUP($A583,'Infinet ExDa'!$B$2:$E$14, 0,FALSE), "Not Found"))))))))</f>
        <v>Not Found</v>
      </c>
      <c r="H583" t="str">
        <f>IFERROR(VLOOKUP($A583,'AAPT ExDa'!$B$2:$U$99, 6,FALSE), IFERROR(VLOOKUP($A583,'ABB ExDa'!$A$2:$N$184, 0,FALSE), IFERROR(VLOOKUP($A583,'Vocus SIT ExDa'!$B$2:$J$173, 0,FALSE), IFERROR(VLOOKUP($A583,'Telstra ExDa'!$B$2:$K$310, 0,FALSE), IFERROR(VLOOKUP($A583,'Vocus RVC ExDa'!$C$2:$R$155, 16,FALSE), IFERROR(VLOOKUP($A583,'Fusion ExDa'!$B$2:$D$16, 0,FALSE), IFERROR(VLOOKUP($A583,'Exetel ExDa'!$C$2:$N$14, 0,FALSE), IFERROR(VLOOKUP($A583,'Infinet ExDa'!$B$2:$E$14, 0,FALSE), "Not Found"))))))))</f>
        <v>Not Found</v>
      </c>
      <c r="I583" t="str">
        <f>IFERROR(VLOOKUP($A583,'AAPT ExDa'!$B$2:$U$99, 0,FALSE), IFERROR(VLOOKUP($A583,'ABB ExDa'!$A$2:$N$184, 0,FALSE), IFERROR(VLOOKUP($A583,'Vocus SIT ExDa'!$B$2:$J$173, 0,FALSE), IFERROR(VLOOKUP($A583,'Telstra ExDa'!$B$2:$K$310, 0,FALSE), IFERROR(VLOOKUP($A583,'Vocus RVC ExDa'!$C$2:$R$155, 0,FALSE), IFERROR(VLOOKUP($A583,'Fusion ExDa'!$B$2:$D$16, 0,FALSE), IFERROR(VLOOKUP($A583,'Exetel ExDa'!$C$2:$N$14, 8,FALSE), IFERROR(VLOOKUP($A583,'Infinet ExDa'!$B$2:$E$14, 0,FALSE), "Not Found"))))))))</f>
        <v>Not Found</v>
      </c>
      <c r="J583" t="str">
        <f>IFERROR(VLOOKUP($A583,'AAPT ExDa'!$B$2:$U$99, 7,FALSE), IFERROR(VLOOKUP($A583,'ABB ExDa'!$A$2:$N$184, 2,FALSE), IFERROR(VLOOKUP($A583,'Vocus SIT ExDa'!$B$2:$J$173, 0,FALSE), IFERROR(VLOOKUP($A583,'Telstra ExDa'!$B$2:$K$310, 7,FALSE), IFERROR(VLOOKUP($A583,'Vocus RVC ExDa'!$C$2:$R$155, 2,FALSE), IFERROR(VLOOKUP($A583,'Fusion ExDa'!$B$2:$D$16, 3,FALSE), IFERROR(VLOOKUP($A583,'Exetel ExDa'!$C$2:$N$14, 0,FALSE), IFERROR(VLOOKUP($A583,'Infinet ExDa'!$B$2:$E$14, 0,FALSE), "Not Found"))))))))</f>
        <v>Not Found</v>
      </c>
      <c r="K583" t="str">
        <f>IFERROR(VLOOKUP($A583,'AAPT ExDa'!$B$2:$U$99, 12,FALSE), IFERROR(VLOOKUP($A583,'ABB ExDa'!$A$2:$N$184, 0,FALSE), IFERROR(VLOOKUP($A583,'Vocus SIT ExDa'!$B$2:$J$173, 0,FALSE), IFERROR(VLOOKUP($A583,'Telstra ExDa'!$B$2:$K$310, 0,FALSE), IFERROR(VLOOKUP($A583,'Vocus RVC ExDa'!$C$2:$R$155, 0,FALSE), IFERROR(VLOOKUP($A583,'Fusion ExDa'!$B$2:$D$16, 0,FALSE), IFERROR(VLOOKUP($A583,'Exetel ExDa'!$C$2:$N$14, 12,FALSE), IFERROR(VLOOKUP($A583,'Infinet ExDa'!$B$2:$E$14, 0,FALSE), "Not Found"))))))))</f>
        <v>Not Found</v>
      </c>
      <c r="L583" s="235" t="str">
        <f>IFERROR(VLOOKUP($A583,'AAPT ExDa'!$B$2:$U$99, 11,FALSE), IFERROR(VLOOKUP($A583,'ABB ExDa'!$A$2:$N$184, 9,FALSE), IFERROR(VLOOKUP($A583,'Vocus SIT ExDa'!$B$2:$J$173, 8,FALSE), IFERROR(VLOOKUP($A583,'Telstra ExDa'!$B$2:$K$310, 0,FALSE), IFERROR(VLOOKUP($A583,'Vocus RVC ExDa'!$C$2:$R$155, 0,FALSE), IFERROR(VLOOKUP($A583,'Fusion ExDa'!$B$2:$D$16, 0,FALSE), IFERROR(VLOOKUP($A583,'Exetel ExDa'!$C$2:$N$14, 9,FALSE), IFERROR(VLOOKUP($A583,'Infinet ExDa'!$B$2:$E$14, 0,FALSE), "Not Found"))))))))</f>
        <v>Not Found</v>
      </c>
      <c r="M583" s="234" t="str">
        <f>IFERROR(VLOOKUP($A583,'AAPT ExDa'!$B$2:$U$99, 0,FALSE), IFERROR(VLOOKUP($A583,'ABB ExDa'!$A$2:$N$184, 0,FALSE), IFERROR(VLOOKUP($A583,'Vocus SIT ExDa'!$B$2:$J$173, 0,FALSE), IFERROR(VLOOKUP($A583,'Telstra ExDa'!$B$2:$K$310, 0,FALSE), IFERROR(VLOOKUP($A583,'Vocus RVC ExDa'!$C$2:$R$155, 0,FALSE), IFERROR(VLOOKUP($A583,'Fusion ExDa'!$B$2:$D$16, 0,FALSE), IFERROR(VLOOKUP($A583,'Exetel ExDa'!$C$2:$N$14, 11,FALSE), IFERROR(VLOOKUP($A583,'Infinet ExDa'!$B$2:$E$14, 0,FALSE), "Not Found"))))))))</f>
        <v>Not Found</v>
      </c>
      <c r="N583" t="str">
        <f>IFERROR(VLOOKUP($A583,'AAPT ExDa'!$B$2:$U$99, 0,FALSE), IFERROR(VLOOKUP($A583,'ABB ExDa'!$A$2:$N$184, 13,FALSE), IFERROR(VLOOKUP($A583,'Vocus SIT ExDa'!$B$2:$J$173, 0,FALSE), IFERROR(VLOOKUP($A583,'Telstra ExDa'!$B$2:$K$310, 0,FALSE), IFERROR(VLOOKUP($A583,'Vocus RVC ExDa'!$C$2:$R$155, 0,FALSE), IFERROR(VLOOKUP($A583,'Fusion ExDa'!$B$2:$D$16, 0,FALSE), IFERROR(VLOOKUP($A583,'Exetel ExDa'!$C$2:$N$14, 0,FALSE), IFERROR(VLOOKUP($A583,'Infinet ExDa'!$B$2:$E$14, 0,FALSE), "Not Found"))))))))</f>
        <v>Not Found</v>
      </c>
    </row>
    <row r="584" spans="1:14">
      <c r="A584">
        <v>0</v>
      </c>
      <c r="B584" t="str">
        <f>IFERROR(VLOOKUP(A584,'Exetel ExDa'!$C$2:$N$14,4,FALSE),"No Data")</f>
        <v>No Data</v>
      </c>
      <c r="C584" t="str">
        <f>IFERROR(VLOOKUP(A584,'AAPT ExDa'!$B$2:$U$99, 2,FALSE), IFERROR(VLOOKUP(A584,'ABB ExDa'!$A$2:$N$184, 2,FALSE), IFERROR(VLOOKUP(A584,'Vocus SIT ExDa'!$B$2:$J$173, 7,FALSE), IFERROR(VLOOKUP(A584,'Telstra ExDa'!$B$2:$K$310, 2,FALSE), IFERROR(VLOOKUP(A584,'Vocus RVC ExDa'!$C$2:$R$155, 3,FALSE), IFERROR(VLOOKUP(A584,'Fusion ExDa'!$B$2:$D$16, 2,FALSE), IFERROR(VLOOKUP(A584,'Exetel ExDa'!$C$2:$N$14, 2,FALSE), IFERROR(VLOOKUP(A584,'Infinet ExDa'!$B$2:$E$14, 2,FALSE), "Not Found"))))))))</f>
        <v>Not Found</v>
      </c>
      <c r="D584" t="str">
        <f>IFERROR(VLOOKUP($A584,'AAPT ExDa'!$B$2:$U$99, 15,FALSE), IFERROR(VLOOKUP($A584,'ABB ExDa'!$A$2:$N$184, 4,FALSE), IFERROR(VLOOKUP($A584,'Vocus SIT ExDa'!$B$2:$J$173, 5,FALSE), IFERROR(VLOOKUP($A584,'Telstra ExDa'!$B$2:$K$310, 8,FALSE), IFERROR(VLOOKUP($A584,'Vocus RVC ExDa'!$C$2:$R$155, 6,FALSE), IFERROR(VLOOKUP($A584,'Fusion ExDa'!$B$2:$D$16, 4,FALSE), IFERROR(VLOOKUP($A584,'Exetel ExDa'!$C$2:$N$14, 3,FALSE), IFERROR(VLOOKUP($A584,'Infinet ExDa'!$B$2:$E$14, 3,FALSE), "Not Found"))))))))</f>
        <v>Not Found</v>
      </c>
      <c r="E584" t="str">
        <f>IFERROR(VLOOKUP($A584,'AAPT ExDa'!$B$2:$U$99, 3,FALSE), IFERROR(VLOOKUP($A584,'ABB ExDa'!$A$2:$N$184, 5,FALSE), IFERROR(VLOOKUP($A584,'Vocus SIT ExDa'!$B$2:$J$173, 2,FALSE), IFERROR(VLOOKUP($A584,'Telstra ExDa'!$B$2:$K$310, 4,FALSE), IFERROR(VLOOKUP($A584,'Vocus RVC ExDa'!$C$2:$R$155, 8,FALSE), IFERROR(VLOOKUP($A584,'Fusion ExDa'!$B$2:$D$16, 4,FALSE), IFERROR(VLOOKUP($A584,'Exetel ExDa'!$C$2:$N$14, 5,FALSE), IFERROR(VLOOKUP($A584,'Infinet ExDa'!$B$2:$E$14, 3,FALSE), "Not Found"))))))))</f>
        <v>Not Found</v>
      </c>
      <c r="F584" t="str">
        <f>IFERROR(VLOOKUP($A584,'AAPT ExDa'!$B$2:$U$99, 4,FALSE), IFERROR(VLOOKUP($A584,'ABB ExDa'!$A$2:$N$184, 6,FALSE), IFERROR(VLOOKUP($A584,'Vocus SIT ExDa'!$B$2:$J$173, 3,FALSE), IFERROR(VLOOKUP($A584,'Telstra ExDa'!$B$2:$K$310, 5,FALSE), IFERROR(VLOOKUP($A584,'Vocus RVC ExDa'!$C$2:$R$155, 9,FALSE), IFERROR(VLOOKUP($A584,'Fusion ExDa'!$B$2:$D$16, 0,FALSE), IFERROR(VLOOKUP($A584,'Exetel ExDa'!$C$2:$N$14, 6,FALSE), IFERROR(VLOOKUP($A584,'Infinet ExDa'!$B$2:$E$14, 0,FALSE), "Not Found"))))))))</f>
        <v>Not Found</v>
      </c>
      <c r="G584" t="str">
        <f>IFERROR(VLOOKUP($A584,'AAPT ExDa'!$B$2:$U$99, 5,FALSE), IFERROR(VLOOKUP($A584,'ABB ExDa'!$A$2:$N$184, 8,FALSE), IFERROR(VLOOKUP($A584,'Vocus SIT ExDa'!$B$2:$J$173, 6,FALSE), IFERROR(VLOOKUP($A584,'Telstra ExDa'!$B$2:$K$310, 0,FALSE), IFERROR(VLOOKUP($A584,'Vocus RVC ExDa'!$C$2:$R$155, 15,FALSE), IFERROR(VLOOKUP($A584,'Fusion ExDa'!$B$2:$D$16, 0,FALSE), IFERROR(VLOOKUP($A584,'Exetel ExDa'!$C$2:$N$14, 7,FALSE), IFERROR(VLOOKUP($A584,'Infinet ExDa'!$B$2:$E$14, 0,FALSE), "Not Found"))))))))</f>
        <v>Not Found</v>
      </c>
      <c r="H584" t="str">
        <f>IFERROR(VLOOKUP($A584,'AAPT ExDa'!$B$2:$U$99, 6,FALSE), IFERROR(VLOOKUP($A584,'ABB ExDa'!$A$2:$N$184, 0,FALSE), IFERROR(VLOOKUP($A584,'Vocus SIT ExDa'!$B$2:$J$173, 0,FALSE), IFERROR(VLOOKUP($A584,'Telstra ExDa'!$B$2:$K$310, 0,FALSE), IFERROR(VLOOKUP($A584,'Vocus RVC ExDa'!$C$2:$R$155, 16,FALSE), IFERROR(VLOOKUP($A584,'Fusion ExDa'!$B$2:$D$16, 0,FALSE), IFERROR(VLOOKUP($A584,'Exetel ExDa'!$C$2:$N$14, 0,FALSE), IFERROR(VLOOKUP($A584,'Infinet ExDa'!$B$2:$E$14, 0,FALSE), "Not Found"))))))))</f>
        <v>Not Found</v>
      </c>
      <c r="I584" t="str">
        <f>IFERROR(VLOOKUP($A584,'AAPT ExDa'!$B$2:$U$99, 0,FALSE), IFERROR(VLOOKUP($A584,'ABB ExDa'!$A$2:$N$184, 0,FALSE), IFERROR(VLOOKUP($A584,'Vocus SIT ExDa'!$B$2:$J$173, 0,FALSE), IFERROR(VLOOKUP($A584,'Telstra ExDa'!$B$2:$K$310, 0,FALSE), IFERROR(VLOOKUP($A584,'Vocus RVC ExDa'!$C$2:$R$155, 0,FALSE), IFERROR(VLOOKUP($A584,'Fusion ExDa'!$B$2:$D$16, 0,FALSE), IFERROR(VLOOKUP($A584,'Exetel ExDa'!$C$2:$N$14, 8,FALSE), IFERROR(VLOOKUP($A584,'Infinet ExDa'!$B$2:$E$14, 0,FALSE), "Not Found"))))))))</f>
        <v>Not Found</v>
      </c>
      <c r="J584" t="str">
        <f>IFERROR(VLOOKUP($A584,'AAPT ExDa'!$B$2:$U$99, 7,FALSE), IFERROR(VLOOKUP($A584,'ABB ExDa'!$A$2:$N$184, 2,FALSE), IFERROR(VLOOKUP($A584,'Vocus SIT ExDa'!$B$2:$J$173, 0,FALSE), IFERROR(VLOOKUP($A584,'Telstra ExDa'!$B$2:$K$310, 7,FALSE), IFERROR(VLOOKUP($A584,'Vocus RVC ExDa'!$C$2:$R$155, 2,FALSE), IFERROR(VLOOKUP($A584,'Fusion ExDa'!$B$2:$D$16, 3,FALSE), IFERROR(VLOOKUP($A584,'Exetel ExDa'!$C$2:$N$14, 0,FALSE), IFERROR(VLOOKUP($A584,'Infinet ExDa'!$B$2:$E$14, 0,FALSE), "Not Found"))))))))</f>
        <v>Not Found</v>
      </c>
      <c r="K584" t="str">
        <f>IFERROR(VLOOKUP($A584,'AAPT ExDa'!$B$2:$U$99, 12,FALSE), IFERROR(VLOOKUP($A584,'ABB ExDa'!$A$2:$N$184, 0,FALSE), IFERROR(VLOOKUP($A584,'Vocus SIT ExDa'!$B$2:$J$173, 0,FALSE), IFERROR(VLOOKUP($A584,'Telstra ExDa'!$B$2:$K$310, 0,FALSE), IFERROR(VLOOKUP($A584,'Vocus RVC ExDa'!$C$2:$R$155, 0,FALSE), IFERROR(VLOOKUP($A584,'Fusion ExDa'!$B$2:$D$16, 0,FALSE), IFERROR(VLOOKUP($A584,'Exetel ExDa'!$C$2:$N$14, 12,FALSE), IFERROR(VLOOKUP($A584,'Infinet ExDa'!$B$2:$E$14, 0,FALSE), "Not Found"))))))))</f>
        <v>Not Found</v>
      </c>
      <c r="L584" s="235" t="str">
        <f>IFERROR(VLOOKUP($A584,'AAPT ExDa'!$B$2:$U$99, 11,FALSE), IFERROR(VLOOKUP($A584,'ABB ExDa'!$A$2:$N$184, 9,FALSE), IFERROR(VLOOKUP($A584,'Vocus SIT ExDa'!$B$2:$J$173, 8,FALSE), IFERROR(VLOOKUP($A584,'Telstra ExDa'!$B$2:$K$310, 0,FALSE), IFERROR(VLOOKUP($A584,'Vocus RVC ExDa'!$C$2:$R$155, 0,FALSE), IFERROR(VLOOKUP($A584,'Fusion ExDa'!$B$2:$D$16, 0,FALSE), IFERROR(VLOOKUP($A584,'Exetel ExDa'!$C$2:$N$14, 9,FALSE), IFERROR(VLOOKUP($A584,'Infinet ExDa'!$B$2:$E$14, 0,FALSE), "Not Found"))))))))</f>
        <v>Not Found</v>
      </c>
      <c r="M584" s="234" t="str">
        <f>IFERROR(VLOOKUP($A584,'AAPT ExDa'!$B$2:$U$99, 0,FALSE), IFERROR(VLOOKUP($A584,'ABB ExDa'!$A$2:$N$184, 0,FALSE), IFERROR(VLOOKUP($A584,'Vocus SIT ExDa'!$B$2:$J$173, 0,FALSE), IFERROR(VLOOKUP($A584,'Telstra ExDa'!$B$2:$K$310, 0,FALSE), IFERROR(VLOOKUP($A584,'Vocus RVC ExDa'!$C$2:$R$155, 0,FALSE), IFERROR(VLOOKUP($A584,'Fusion ExDa'!$B$2:$D$16, 0,FALSE), IFERROR(VLOOKUP($A584,'Exetel ExDa'!$C$2:$N$14, 11,FALSE), IFERROR(VLOOKUP($A584,'Infinet ExDa'!$B$2:$E$14, 0,FALSE), "Not Found"))))))))</f>
        <v>Not Found</v>
      </c>
      <c r="N584" t="str">
        <f>IFERROR(VLOOKUP($A584,'AAPT ExDa'!$B$2:$U$99, 0,FALSE), IFERROR(VLOOKUP($A584,'ABB ExDa'!$A$2:$N$184, 13,FALSE), IFERROR(VLOOKUP($A584,'Vocus SIT ExDa'!$B$2:$J$173, 0,FALSE), IFERROR(VLOOKUP($A584,'Telstra ExDa'!$B$2:$K$310, 0,FALSE), IFERROR(VLOOKUP($A584,'Vocus RVC ExDa'!$C$2:$R$155, 0,FALSE), IFERROR(VLOOKUP($A584,'Fusion ExDa'!$B$2:$D$16, 0,FALSE), IFERROR(VLOOKUP($A584,'Exetel ExDa'!$C$2:$N$14, 0,FALSE), IFERROR(VLOOKUP($A584,'Infinet ExDa'!$B$2:$E$14, 0,FALSE), "Not Found"))))))))</f>
        <v>Not Found</v>
      </c>
    </row>
    <row r="585" spans="1:14">
      <c r="A585">
        <v>0</v>
      </c>
      <c r="B585" t="str">
        <f>IFERROR(VLOOKUP(A585,'Exetel ExDa'!$C$2:$N$14,4,FALSE),"No Data")</f>
        <v>No Data</v>
      </c>
      <c r="C585" t="str">
        <f>IFERROR(VLOOKUP(A585,'AAPT ExDa'!$B$2:$U$99, 2,FALSE), IFERROR(VLOOKUP(A585,'ABB ExDa'!$A$2:$N$184, 2,FALSE), IFERROR(VLOOKUP(A585,'Vocus SIT ExDa'!$B$2:$J$173, 7,FALSE), IFERROR(VLOOKUP(A585,'Telstra ExDa'!$B$2:$K$310, 2,FALSE), IFERROR(VLOOKUP(A585,'Vocus RVC ExDa'!$C$2:$R$155, 3,FALSE), IFERROR(VLOOKUP(A585,'Fusion ExDa'!$B$2:$D$16, 2,FALSE), IFERROR(VLOOKUP(A585,'Exetel ExDa'!$C$2:$N$14, 2,FALSE), IFERROR(VLOOKUP(A585,'Infinet ExDa'!$B$2:$E$14, 2,FALSE), "Not Found"))))))))</f>
        <v>Not Found</v>
      </c>
      <c r="D585" t="str">
        <f>IFERROR(VLOOKUP($A585,'AAPT ExDa'!$B$2:$U$99, 15,FALSE), IFERROR(VLOOKUP($A585,'ABB ExDa'!$A$2:$N$184, 4,FALSE), IFERROR(VLOOKUP($A585,'Vocus SIT ExDa'!$B$2:$J$173, 5,FALSE), IFERROR(VLOOKUP($A585,'Telstra ExDa'!$B$2:$K$310, 8,FALSE), IFERROR(VLOOKUP($A585,'Vocus RVC ExDa'!$C$2:$R$155, 6,FALSE), IFERROR(VLOOKUP($A585,'Fusion ExDa'!$B$2:$D$16, 4,FALSE), IFERROR(VLOOKUP($A585,'Exetel ExDa'!$C$2:$N$14, 3,FALSE), IFERROR(VLOOKUP($A585,'Infinet ExDa'!$B$2:$E$14, 3,FALSE), "Not Found"))))))))</f>
        <v>Not Found</v>
      </c>
      <c r="E585" t="str">
        <f>IFERROR(VLOOKUP($A585,'AAPT ExDa'!$B$2:$U$99, 3,FALSE), IFERROR(VLOOKUP($A585,'ABB ExDa'!$A$2:$N$184, 5,FALSE), IFERROR(VLOOKUP($A585,'Vocus SIT ExDa'!$B$2:$J$173, 2,FALSE), IFERROR(VLOOKUP($A585,'Telstra ExDa'!$B$2:$K$310, 4,FALSE), IFERROR(VLOOKUP($A585,'Vocus RVC ExDa'!$C$2:$R$155, 8,FALSE), IFERROR(VLOOKUP($A585,'Fusion ExDa'!$B$2:$D$16, 4,FALSE), IFERROR(VLOOKUP($A585,'Exetel ExDa'!$C$2:$N$14, 5,FALSE), IFERROR(VLOOKUP($A585,'Infinet ExDa'!$B$2:$E$14, 3,FALSE), "Not Found"))))))))</f>
        <v>Not Found</v>
      </c>
      <c r="F585" t="str">
        <f>IFERROR(VLOOKUP($A585,'AAPT ExDa'!$B$2:$U$99, 4,FALSE), IFERROR(VLOOKUP($A585,'ABB ExDa'!$A$2:$N$184, 6,FALSE), IFERROR(VLOOKUP($A585,'Vocus SIT ExDa'!$B$2:$J$173, 3,FALSE), IFERROR(VLOOKUP($A585,'Telstra ExDa'!$B$2:$K$310, 5,FALSE), IFERROR(VLOOKUP($A585,'Vocus RVC ExDa'!$C$2:$R$155, 9,FALSE), IFERROR(VLOOKUP($A585,'Fusion ExDa'!$B$2:$D$16, 0,FALSE), IFERROR(VLOOKUP($A585,'Exetel ExDa'!$C$2:$N$14, 6,FALSE), IFERROR(VLOOKUP($A585,'Infinet ExDa'!$B$2:$E$14, 0,FALSE), "Not Found"))))))))</f>
        <v>Not Found</v>
      </c>
      <c r="G585" t="str">
        <f>IFERROR(VLOOKUP($A585,'AAPT ExDa'!$B$2:$U$99, 5,FALSE), IFERROR(VLOOKUP($A585,'ABB ExDa'!$A$2:$N$184, 8,FALSE), IFERROR(VLOOKUP($A585,'Vocus SIT ExDa'!$B$2:$J$173, 6,FALSE), IFERROR(VLOOKUP($A585,'Telstra ExDa'!$B$2:$K$310, 0,FALSE), IFERROR(VLOOKUP($A585,'Vocus RVC ExDa'!$C$2:$R$155, 15,FALSE), IFERROR(VLOOKUP($A585,'Fusion ExDa'!$B$2:$D$16, 0,FALSE), IFERROR(VLOOKUP($A585,'Exetel ExDa'!$C$2:$N$14, 7,FALSE), IFERROR(VLOOKUP($A585,'Infinet ExDa'!$B$2:$E$14, 0,FALSE), "Not Found"))))))))</f>
        <v>Not Found</v>
      </c>
      <c r="H585" t="str">
        <f>IFERROR(VLOOKUP($A585,'AAPT ExDa'!$B$2:$U$99, 6,FALSE), IFERROR(VLOOKUP($A585,'ABB ExDa'!$A$2:$N$184, 0,FALSE), IFERROR(VLOOKUP($A585,'Vocus SIT ExDa'!$B$2:$J$173, 0,FALSE), IFERROR(VLOOKUP($A585,'Telstra ExDa'!$B$2:$K$310, 0,FALSE), IFERROR(VLOOKUP($A585,'Vocus RVC ExDa'!$C$2:$R$155, 16,FALSE), IFERROR(VLOOKUP($A585,'Fusion ExDa'!$B$2:$D$16, 0,FALSE), IFERROR(VLOOKUP($A585,'Exetel ExDa'!$C$2:$N$14, 0,FALSE), IFERROR(VLOOKUP($A585,'Infinet ExDa'!$B$2:$E$14, 0,FALSE), "Not Found"))))))))</f>
        <v>Not Found</v>
      </c>
      <c r="I585" t="str">
        <f>IFERROR(VLOOKUP($A585,'AAPT ExDa'!$B$2:$U$99, 0,FALSE), IFERROR(VLOOKUP($A585,'ABB ExDa'!$A$2:$N$184, 0,FALSE), IFERROR(VLOOKUP($A585,'Vocus SIT ExDa'!$B$2:$J$173, 0,FALSE), IFERROR(VLOOKUP($A585,'Telstra ExDa'!$B$2:$K$310, 0,FALSE), IFERROR(VLOOKUP($A585,'Vocus RVC ExDa'!$C$2:$R$155, 0,FALSE), IFERROR(VLOOKUP($A585,'Fusion ExDa'!$B$2:$D$16, 0,FALSE), IFERROR(VLOOKUP($A585,'Exetel ExDa'!$C$2:$N$14, 8,FALSE), IFERROR(VLOOKUP($A585,'Infinet ExDa'!$B$2:$E$14, 0,FALSE), "Not Found"))))))))</f>
        <v>Not Found</v>
      </c>
      <c r="J585" t="str">
        <f>IFERROR(VLOOKUP($A585,'AAPT ExDa'!$B$2:$U$99, 7,FALSE), IFERROR(VLOOKUP($A585,'ABB ExDa'!$A$2:$N$184, 2,FALSE), IFERROR(VLOOKUP($A585,'Vocus SIT ExDa'!$B$2:$J$173, 0,FALSE), IFERROR(VLOOKUP($A585,'Telstra ExDa'!$B$2:$K$310, 7,FALSE), IFERROR(VLOOKUP($A585,'Vocus RVC ExDa'!$C$2:$R$155, 2,FALSE), IFERROR(VLOOKUP($A585,'Fusion ExDa'!$B$2:$D$16, 3,FALSE), IFERROR(VLOOKUP($A585,'Exetel ExDa'!$C$2:$N$14, 0,FALSE), IFERROR(VLOOKUP($A585,'Infinet ExDa'!$B$2:$E$14, 0,FALSE), "Not Found"))))))))</f>
        <v>Not Found</v>
      </c>
      <c r="K585" t="str">
        <f>IFERROR(VLOOKUP($A585,'AAPT ExDa'!$B$2:$U$99, 12,FALSE), IFERROR(VLOOKUP($A585,'ABB ExDa'!$A$2:$N$184, 0,FALSE), IFERROR(VLOOKUP($A585,'Vocus SIT ExDa'!$B$2:$J$173, 0,FALSE), IFERROR(VLOOKUP($A585,'Telstra ExDa'!$B$2:$K$310, 0,FALSE), IFERROR(VLOOKUP($A585,'Vocus RVC ExDa'!$C$2:$R$155, 0,FALSE), IFERROR(VLOOKUP($A585,'Fusion ExDa'!$B$2:$D$16, 0,FALSE), IFERROR(VLOOKUP($A585,'Exetel ExDa'!$C$2:$N$14, 12,FALSE), IFERROR(VLOOKUP($A585,'Infinet ExDa'!$B$2:$E$14, 0,FALSE), "Not Found"))))))))</f>
        <v>Not Found</v>
      </c>
      <c r="L585" s="235" t="str">
        <f>IFERROR(VLOOKUP($A585,'AAPT ExDa'!$B$2:$U$99, 11,FALSE), IFERROR(VLOOKUP($A585,'ABB ExDa'!$A$2:$N$184, 9,FALSE), IFERROR(VLOOKUP($A585,'Vocus SIT ExDa'!$B$2:$J$173, 8,FALSE), IFERROR(VLOOKUP($A585,'Telstra ExDa'!$B$2:$K$310, 0,FALSE), IFERROR(VLOOKUP($A585,'Vocus RVC ExDa'!$C$2:$R$155, 0,FALSE), IFERROR(VLOOKUP($A585,'Fusion ExDa'!$B$2:$D$16, 0,FALSE), IFERROR(VLOOKUP($A585,'Exetel ExDa'!$C$2:$N$14, 9,FALSE), IFERROR(VLOOKUP($A585,'Infinet ExDa'!$B$2:$E$14, 0,FALSE), "Not Found"))))))))</f>
        <v>Not Found</v>
      </c>
      <c r="M585" s="234" t="str">
        <f>IFERROR(VLOOKUP($A585,'AAPT ExDa'!$B$2:$U$99, 0,FALSE), IFERROR(VLOOKUP($A585,'ABB ExDa'!$A$2:$N$184, 0,FALSE), IFERROR(VLOOKUP($A585,'Vocus SIT ExDa'!$B$2:$J$173, 0,FALSE), IFERROR(VLOOKUP($A585,'Telstra ExDa'!$B$2:$K$310, 0,FALSE), IFERROR(VLOOKUP($A585,'Vocus RVC ExDa'!$C$2:$R$155, 0,FALSE), IFERROR(VLOOKUP($A585,'Fusion ExDa'!$B$2:$D$16, 0,FALSE), IFERROR(VLOOKUP($A585,'Exetel ExDa'!$C$2:$N$14, 11,FALSE), IFERROR(VLOOKUP($A585,'Infinet ExDa'!$B$2:$E$14, 0,FALSE), "Not Found"))))))))</f>
        <v>Not Found</v>
      </c>
      <c r="N585" t="str">
        <f>IFERROR(VLOOKUP($A585,'AAPT ExDa'!$B$2:$U$99, 0,FALSE), IFERROR(VLOOKUP($A585,'ABB ExDa'!$A$2:$N$184, 13,FALSE), IFERROR(VLOOKUP($A585,'Vocus SIT ExDa'!$B$2:$J$173, 0,FALSE), IFERROR(VLOOKUP($A585,'Telstra ExDa'!$B$2:$K$310, 0,FALSE), IFERROR(VLOOKUP($A585,'Vocus RVC ExDa'!$C$2:$R$155, 0,FALSE), IFERROR(VLOOKUP($A585,'Fusion ExDa'!$B$2:$D$16, 0,FALSE), IFERROR(VLOOKUP($A585,'Exetel ExDa'!$C$2:$N$14, 0,FALSE), IFERROR(VLOOKUP($A585,'Infinet ExDa'!$B$2:$E$14, 0,FALSE), "Not Found"))))))))</f>
        <v>Not Found</v>
      </c>
    </row>
    <row r="586" spans="1:14">
      <c r="A586">
        <v>0</v>
      </c>
      <c r="B586" t="str">
        <f>IFERROR(VLOOKUP(A586,'Exetel ExDa'!$C$2:$N$14,4,FALSE),"No Data")</f>
        <v>No Data</v>
      </c>
      <c r="C586" t="str">
        <f>IFERROR(VLOOKUP(A586,'AAPT ExDa'!$B$2:$U$99, 2,FALSE), IFERROR(VLOOKUP(A586,'ABB ExDa'!$A$2:$N$184, 2,FALSE), IFERROR(VLOOKUP(A586,'Vocus SIT ExDa'!$B$2:$J$173, 7,FALSE), IFERROR(VLOOKUP(A586,'Telstra ExDa'!$B$2:$K$310, 2,FALSE), IFERROR(VLOOKUP(A586,'Vocus RVC ExDa'!$C$2:$R$155, 3,FALSE), IFERROR(VLOOKUP(A586,'Fusion ExDa'!$B$2:$D$16, 2,FALSE), IFERROR(VLOOKUP(A586,'Exetel ExDa'!$C$2:$N$14, 2,FALSE), IFERROR(VLOOKUP(A586,'Infinet ExDa'!$B$2:$E$14, 2,FALSE), "Not Found"))))))))</f>
        <v>Not Found</v>
      </c>
      <c r="D586" t="str">
        <f>IFERROR(VLOOKUP($A586,'AAPT ExDa'!$B$2:$U$99, 15,FALSE), IFERROR(VLOOKUP($A586,'ABB ExDa'!$A$2:$N$184, 4,FALSE), IFERROR(VLOOKUP($A586,'Vocus SIT ExDa'!$B$2:$J$173, 5,FALSE), IFERROR(VLOOKUP($A586,'Telstra ExDa'!$B$2:$K$310, 8,FALSE), IFERROR(VLOOKUP($A586,'Vocus RVC ExDa'!$C$2:$R$155, 6,FALSE), IFERROR(VLOOKUP($A586,'Fusion ExDa'!$B$2:$D$16, 4,FALSE), IFERROR(VLOOKUP($A586,'Exetel ExDa'!$C$2:$N$14, 3,FALSE), IFERROR(VLOOKUP($A586,'Infinet ExDa'!$B$2:$E$14, 3,FALSE), "Not Found"))))))))</f>
        <v>Not Found</v>
      </c>
      <c r="E586" t="str">
        <f>IFERROR(VLOOKUP($A586,'AAPT ExDa'!$B$2:$U$99, 3,FALSE), IFERROR(VLOOKUP($A586,'ABB ExDa'!$A$2:$N$184, 5,FALSE), IFERROR(VLOOKUP($A586,'Vocus SIT ExDa'!$B$2:$J$173, 2,FALSE), IFERROR(VLOOKUP($A586,'Telstra ExDa'!$B$2:$K$310, 4,FALSE), IFERROR(VLOOKUP($A586,'Vocus RVC ExDa'!$C$2:$R$155, 8,FALSE), IFERROR(VLOOKUP($A586,'Fusion ExDa'!$B$2:$D$16, 4,FALSE), IFERROR(VLOOKUP($A586,'Exetel ExDa'!$C$2:$N$14, 5,FALSE), IFERROR(VLOOKUP($A586,'Infinet ExDa'!$B$2:$E$14, 3,FALSE), "Not Found"))))))))</f>
        <v>Not Found</v>
      </c>
      <c r="F586" t="str">
        <f>IFERROR(VLOOKUP($A586,'AAPT ExDa'!$B$2:$U$99, 4,FALSE), IFERROR(VLOOKUP($A586,'ABB ExDa'!$A$2:$N$184, 6,FALSE), IFERROR(VLOOKUP($A586,'Vocus SIT ExDa'!$B$2:$J$173, 3,FALSE), IFERROR(VLOOKUP($A586,'Telstra ExDa'!$B$2:$K$310, 5,FALSE), IFERROR(VLOOKUP($A586,'Vocus RVC ExDa'!$C$2:$R$155, 9,FALSE), IFERROR(VLOOKUP($A586,'Fusion ExDa'!$B$2:$D$16, 0,FALSE), IFERROR(VLOOKUP($A586,'Exetel ExDa'!$C$2:$N$14, 6,FALSE), IFERROR(VLOOKUP($A586,'Infinet ExDa'!$B$2:$E$14, 0,FALSE), "Not Found"))))))))</f>
        <v>Not Found</v>
      </c>
      <c r="G586" t="str">
        <f>IFERROR(VLOOKUP($A586,'AAPT ExDa'!$B$2:$U$99, 5,FALSE), IFERROR(VLOOKUP($A586,'ABB ExDa'!$A$2:$N$184, 8,FALSE), IFERROR(VLOOKUP($A586,'Vocus SIT ExDa'!$B$2:$J$173, 6,FALSE), IFERROR(VLOOKUP($A586,'Telstra ExDa'!$B$2:$K$310, 0,FALSE), IFERROR(VLOOKUP($A586,'Vocus RVC ExDa'!$C$2:$R$155, 15,FALSE), IFERROR(VLOOKUP($A586,'Fusion ExDa'!$B$2:$D$16, 0,FALSE), IFERROR(VLOOKUP($A586,'Exetel ExDa'!$C$2:$N$14, 7,FALSE), IFERROR(VLOOKUP($A586,'Infinet ExDa'!$B$2:$E$14, 0,FALSE), "Not Found"))))))))</f>
        <v>Not Found</v>
      </c>
      <c r="H586" t="str">
        <f>IFERROR(VLOOKUP($A586,'AAPT ExDa'!$B$2:$U$99, 6,FALSE), IFERROR(VLOOKUP($A586,'ABB ExDa'!$A$2:$N$184, 0,FALSE), IFERROR(VLOOKUP($A586,'Vocus SIT ExDa'!$B$2:$J$173, 0,FALSE), IFERROR(VLOOKUP($A586,'Telstra ExDa'!$B$2:$K$310, 0,FALSE), IFERROR(VLOOKUP($A586,'Vocus RVC ExDa'!$C$2:$R$155, 16,FALSE), IFERROR(VLOOKUP($A586,'Fusion ExDa'!$B$2:$D$16, 0,FALSE), IFERROR(VLOOKUP($A586,'Exetel ExDa'!$C$2:$N$14, 0,FALSE), IFERROR(VLOOKUP($A586,'Infinet ExDa'!$B$2:$E$14, 0,FALSE), "Not Found"))))))))</f>
        <v>Not Found</v>
      </c>
      <c r="I586" t="str">
        <f>IFERROR(VLOOKUP($A586,'AAPT ExDa'!$B$2:$U$99, 0,FALSE), IFERROR(VLOOKUP($A586,'ABB ExDa'!$A$2:$N$184, 0,FALSE), IFERROR(VLOOKUP($A586,'Vocus SIT ExDa'!$B$2:$J$173, 0,FALSE), IFERROR(VLOOKUP($A586,'Telstra ExDa'!$B$2:$K$310, 0,FALSE), IFERROR(VLOOKUP($A586,'Vocus RVC ExDa'!$C$2:$R$155, 0,FALSE), IFERROR(VLOOKUP($A586,'Fusion ExDa'!$B$2:$D$16, 0,FALSE), IFERROR(VLOOKUP($A586,'Exetel ExDa'!$C$2:$N$14, 8,FALSE), IFERROR(VLOOKUP($A586,'Infinet ExDa'!$B$2:$E$14, 0,FALSE), "Not Found"))))))))</f>
        <v>Not Found</v>
      </c>
      <c r="J586" t="str">
        <f>IFERROR(VLOOKUP($A586,'AAPT ExDa'!$B$2:$U$99, 7,FALSE), IFERROR(VLOOKUP($A586,'ABB ExDa'!$A$2:$N$184, 2,FALSE), IFERROR(VLOOKUP($A586,'Vocus SIT ExDa'!$B$2:$J$173, 0,FALSE), IFERROR(VLOOKUP($A586,'Telstra ExDa'!$B$2:$K$310, 7,FALSE), IFERROR(VLOOKUP($A586,'Vocus RVC ExDa'!$C$2:$R$155, 2,FALSE), IFERROR(VLOOKUP($A586,'Fusion ExDa'!$B$2:$D$16, 3,FALSE), IFERROR(VLOOKUP($A586,'Exetel ExDa'!$C$2:$N$14, 0,FALSE), IFERROR(VLOOKUP($A586,'Infinet ExDa'!$B$2:$E$14, 0,FALSE), "Not Found"))))))))</f>
        <v>Not Found</v>
      </c>
      <c r="K586" t="str">
        <f>IFERROR(VLOOKUP($A586,'AAPT ExDa'!$B$2:$U$99, 12,FALSE), IFERROR(VLOOKUP($A586,'ABB ExDa'!$A$2:$N$184, 0,FALSE), IFERROR(VLOOKUP($A586,'Vocus SIT ExDa'!$B$2:$J$173, 0,FALSE), IFERROR(VLOOKUP($A586,'Telstra ExDa'!$B$2:$K$310, 0,FALSE), IFERROR(VLOOKUP($A586,'Vocus RVC ExDa'!$C$2:$R$155, 0,FALSE), IFERROR(VLOOKUP($A586,'Fusion ExDa'!$B$2:$D$16, 0,FALSE), IFERROR(VLOOKUP($A586,'Exetel ExDa'!$C$2:$N$14, 12,FALSE), IFERROR(VLOOKUP($A586,'Infinet ExDa'!$B$2:$E$14, 0,FALSE), "Not Found"))))))))</f>
        <v>Not Found</v>
      </c>
      <c r="L586" s="235" t="str">
        <f>IFERROR(VLOOKUP($A586,'AAPT ExDa'!$B$2:$U$99, 11,FALSE), IFERROR(VLOOKUP($A586,'ABB ExDa'!$A$2:$N$184, 9,FALSE), IFERROR(VLOOKUP($A586,'Vocus SIT ExDa'!$B$2:$J$173, 8,FALSE), IFERROR(VLOOKUP($A586,'Telstra ExDa'!$B$2:$K$310, 0,FALSE), IFERROR(VLOOKUP($A586,'Vocus RVC ExDa'!$C$2:$R$155, 0,FALSE), IFERROR(VLOOKUP($A586,'Fusion ExDa'!$B$2:$D$16, 0,FALSE), IFERROR(VLOOKUP($A586,'Exetel ExDa'!$C$2:$N$14, 9,FALSE), IFERROR(VLOOKUP($A586,'Infinet ExDa'!$B$2:$E$14, 0,FALSE), "Not Found"))))))))</f>
        <v>Not Found</v>
      </c>
      <c r="M586" s="234" t="str">
        <f>IFERROR(VLOOKUP($A586,'AAPT ExDa'!$B$2:$U$99, 0,FALSE), IFERROR(VLOOKUP($A586,'ABB ExDa'!$A$2:$N$184, 0,FALSE), IFERROR(VLOOKUP($A586,'Vocus SIT ExDa'!$B$2:$J$173, 0,FALSE), IFERROR(VLOOKUP($A586,'Telstra ExDa'!$B$2:$K$310, 0,FALSE), IFERROR(VLOOKUP($A586,'Vocus RVC ExDa'!$C$2:$R$155, 0,FALSE), IFERROR(VLOOKUP($A586,'Fusion ExDa'!$B$2:$D$16, 0,FALSE), IFERROR(VLOOKUP($A586,'Exetel ExDa'!$C$2:$N$14, 11,FALSE), IFERROR(VLOOKUP($A586,'Infinet ExDa'!$B$2:$E$14, 0,FALSE), "Not Found"))))))))</f>
        <v>Not Found</v>
      </c>
      <c r="N586" t="str">
        <f>IFERROR(VLOOKUP($A586,'AAPT ExDa'!$B$2:$U$99, 0,FALSE), IFERROR(VLOOKUP($A586,'ABB ExDa'!$A$2:$N$184, 13,FALSE), IFERROR(VLOOKUP($A586,'Vocus SIT ExDa'!$B$2:$J$173, 0,FALSE), IFERROR(VLOOKUP($A586,'Telstra ExDa'!$B$2:$K$310, 0,FALSE), IFERROR(VLOOKUP($A586,'Vocus RVC ExDa'!$C$2:$R$155, 0,FALSE), IFERROR(VLOOKUP($A586,'Fusion ExDa'!$B$2:$D$16, 0,FALSE), IFERROR(VLOOKUP($A586,'Exetel ExDa'!$C$2:$N$14, 0,FALSE), IFERROR(VLOOKUP($A586,'Infinet ExDa'!$B$2:$E$14, 0,FALSE), "Not Found"))))))))</f>
        <v>Not Found</v>
      </c>
    </row>
    <row r="587" spans="1:14">
      <c r="A587">
        <v>0</v>
      </c>
      <c r="B587" t="str">
        <f>IFERROR(VLOOKUP(A587,'Exetel ExDa'!$C$2:$N$14,4,FALSE),"No Data")</f>
        <v>No Data</v>
      </c>
      <c r="C587" t="str">
        <f>IFERROR(VLOOKUP(A587,'AAPT ExDa'!$B$2:$U$99, 2,FALSE), IFERROR(VLOOKUP(A587,'ABB ExDa'!$A$2:$N$184, 2,FALSE), IFERROR(VLOOKUP(A587,'Vocus SIT ExDa'!$B$2:$J$173, 7,FALSE), IFERROR(VLOOKUP(A587,'Telstra ExDa'!$B$2:$K$310, 2,FALSE), IFERROR(VLOOKUP(A587,'Vocus RVC ExDa'!$C$2:$R$155, 3,FALSE), IFERROR(VLOOKUP(A587,'Fusion ExDa'!$B$2:$D$16, 2,FALSE), IFERROR(VLOOKUP(A587,'Exetel ExDa'!$C$2:$N$14, 2,FALSE), IFERROR(VLOOKUP(A587,'Infinet ExDa'!$B$2:$E$14, 2,FALSE), "Not Found"))))))))</f>
        <v>Not Found</v>
      </c>
      <c r="D587" t="str">
        <f>IFERROR(VLOOKUP($A587,'AAPT ExDa'!$B$2:$U$99, 15,FALSE), IFERROR(VLOOKUP($A587,'ABB ExDa'!$A$2:$N$184, 4,FALSE), IFERROR(VLOOKUP($A587,'Vocus SIT ExDa'!$B$2:$J$173, 5,FALSE), IFERROR(VLOOKUP($A587,'Telstra ExDa'!$B$2:$K$310, 8,FALSE), IFERROR(VLOOKUP($A587,'Vocus RVC ExDa'!$C$2:$R$155, 6,FALSE), IFERROR(VLOOKUP($A587,'Fusion ExDa'!$B$2:$D$16, 4,FALSE), IFERROR(VLOOKUP($A587,'Exetel ExDa'!$C$2:$N$14, 3,FALSE), IFERROR(VLOOKUP($A587,'Infinet ExDa'!$B$2:$E$14, 3,FALSE), "Not Found"))))))))</f>
        <v>Not Found</v>
      </c>
      <c r="E587" t="str">
        <f>IFERROR(VLOOKUP($A587,'AAPT ExDa'!$B$2:$U$99, 3,FALSE), IFERROR(VLOOKUP($A587,'ABB ExDa'!$A$2:$N$184, 5,FALSE), IFERROR(VLOOKUP($A587,'Vocus SIT ExDa'!$B$2:$J$173, 2,FALSE), IFERROR(VLOOKUP($A587,'Telstra ExDa'!$B$2:$K$310, 4,FALSE), IFERROR(VLOOKUP($A587,'Vocus RVC ExDa'!$C$2:$R$155, 8,FALSE), IFERROR(VLOOKUP($A587,'Fusion ExDa'!$B$2:$D$16, 4,FALSE), IFERROR(VLOOKUP($A587,'Exetel ExDa'!$C$2:$N$14, 5,FALSE), IFERROR(VLOOKUP($A587,'Infinet ExDa'!$B$2:$E$14, 3,FALSE), "Not Found"))))))))</f>
        <v>Not Found</v>
      </c>
      <c r="F587" t="str">
        <f>IFERROR(VLOOKUP($A587,'AAPT ExDa'!$B$2:$U$99, 4,FALSE), IFERROR(VLOOKUP($A587,'ABB ExDa'!$A$2:$N$184, 6,FALSE), IFERROR(VLOOKUP($A587,'Vocus SIT ExDa'!$B$2:$J$173, 3,FALSE), IFERROR(VLOOKUP($A587,'Telstra ExDa'!$B$2:$K$310, 5,FALSE), IFERROR(VLOOKUP($A587,'Vocus RVC ExDa'!$C$2:$R$155, 9,FALSE), IFERROR(VLOOKUP($A587,'Fusion ExDa'!$B$2:$D$16, 0,FALSE), IFERROR(VLOOKUP($A587,'Exetel ExDa'!$C$2:$N$14, 6,FALSE), IFERROR(VLOOKUP($A587,'Infinet ExDa'!$B$2:$E$14, 0,FALSE), "Not Found"))))))))</f>
        <v>Not Found</v>
      </c>
      <c r="G587" t="str">
        <f>IFERROR(VLOOKUP($A587,'AAPT ExDa'!$B$2:$U$99, 5,FALSE), IFERROR(VLOOKUP($A587,'ABB ExDa'!$A$2:$N$184, 8,FALSE), IFERROR(VLOOKUP($A587,'Vocus SIT ExDa'!$B$2:$J$173, 6,FALSE), IFERROR(VLOOKUP($A587,'Telstra ExDa'!$B$2:$K$310, 0,FALSE), IFERROR(VLOOKUP($A587,'Vocus RVC ExDa'!$C$2:$R$155, 15,FALSE), IFERROR(VLOOKUP($A587,'Fusion ExDa'!$B$2:$D$16, 0,FALSE), IFERROR(VLOOKUP($A587,'Exetel ExDa'!$C$2:$N$14, 7,FALSE), IFERROR(VLOOKUP($A587,'Infinet ExDa'!$B$2:$E$14, 0,FALSE), "Not Found"))))))))</f>
        <v>Not Found</v>
      </c>
      <c r="H587" t="str">
        <f>IFERROR(VLOOKUP($A587,'AAPT ExDa'!$B$2:$U$99, 6,FALSE), IFERROR(VLOOKUP($A587,'ABB ExDa'!$A$2:$N$184, 0,FALSE), IFERROR(VLOOKUP($A587,'Vocus SIT ExDa'!$B$2:$J$173, 0,FALSE), IFERROR(VLOOKUP($A587,'Telstra ExDa'!$B$2:$K$310, 0,FALSE), IFERROR(VLOOKUP($A587,'Vocus RVC ExDa'!$C$2:$R$155, 16,FALSE), IFERROR(VLOOKUP($A587,'Fusion ExDa'!$B$2:$D$16, 0,FALSE), IFERROR(VLOOKUP($A587,'Exetel ExDa'!$C$2:$N$14, 0,FALSE), IFERROR(VLOOKUP($A587,'Infinet ExDa'!$B$2:$E$14, 0,FALSE), "Not Found"))))))))</f>
        <v>Not Found</v>
      </c>
      <c r="I587" t="str">
        <f>IFERROR(VLOOKUP($A587,'AAPT ExDa'!$B$2:$U$99, 0,FALSE), IFERROR(VLOOKUP($A587,'ABB ExDa'!$A$2:$N$184, 0,FALSE), IFERROR(VLOOKUP($A587,'Vocus SIT ExDa'!$B$2:$J$173, 0,FALSE), IFERROR(VLOOKUP($A587,'Telstra ExDa'!$B$2:$K$310, 0,FALSE), IFERROR(VLOOKUP($A587,'Vocus RVC ExDa'!$C$2:$R$155, 0,FALSE), IFERROR(VLOOKUP($A587,'Fusion ExDa'!$B$2:$D$16, 0,FALSE), IFERROR(VLOOKUP($A587,'Exetel ExDa'!$C$2:$N$14, 8,FALSE), IFERROR(VLOOKUP($A587,'Infinet ExDa'!$B$2:$E$14, 0,FALSE), "Not Found"))))))))</f>
        <v>Not Found</v>
      </c>
      <c r="J587" t="str">
        <f>IFERROR(VLOOKUP($A587,'AAPT ExDa'!$B$2:$U$99, 7,FALSE), IFERROR(VLOOKUP($A587,'ABB ExDa'!$A$2:$N$184, 2,FALSE), IFERROR(VLOOKUP($A587,'Vocus SIT ExDa'!$B$2:$J$173, 0,FALSE), IFERROR(VLOOKUP($A587,'Telstra ExDa'!$B$2:$K$310, 7,FALSE), IFERROR(VLOOKUP($A587,'Vocus RVC ExDa'!$C$2:$R$155, 2,FALSE), IFERROR(VLOOKUP($A587,'Fusion ExDa'!$B$2:$D$16, 3,FALSE), IFERROR(VLOOKUP($A587,'Exetel ExDa'!$C$2:$N$14, 0,FALSE), IFERROR(VLOOKUP($A587,'Infinet ExDa'!$B$2:$E$14, 0,FALSE), "Not Found"))))))))</f>
        <v>Not Found</v>
      </c>
      <c r="K587" t="str">
        <f>IFERROR(VLOOKUP($A587,'AAPT ExDa'!$B$2:$U$99, 12,FALSE), IFERROR(VLOOKUP($A587,'ABB ExDa'!$A$2:$N$184, 0,FALSE), IFERROR(VLOOKUP($A587,'Vocus SIT ExDa'!$B$2:$J$173, 0,FALSE), IFERROR(VLOOKUP($A587,'Telstra ExDa'!$B$2:$K$310, 0,FALSE), IFERROR(VLOOKUP($A587,'Vocus RVC ExDa'!$C$2:$R$155, 0,FALSE), IFERROR(VLOOKUP($A587,'Fusion ExDa'!$B$2:$D$16, 0,FALSE), IFERROR(VLOOKUP($A587,'Exetel ExDa'!$C$2:$N$14, 12,FALSE), IFERROR(VLOOKUP($A587,'Infinet ExDa'!$B$2:$E$14, 0,FALSE), "Not Found"))))))))</f>
        <v>Not Found</v>
      </c>
      <c r="L587" s="235" t="str">
        <f>IFERROR(VLOOKUP($A587,'AAPT ExDa'!$B$2:$U$99, 11,FALSE), IFERROR(VLOOKUP($A587,'ABB ExDa'!$A$2:$N$184, 9,FALSE), IFERROR(VLOOKUP($A587,'Vocus SIT ExDa'!$B$2:$J$173, 8,FALSE), IFERROR(VLOOKUP($A587,'Telstra ExDa'!$B$2:$K$310, 0,FALSE), IFERROR(VLOOKUP($A587,'Vocus RVC ExDa'!$C$2:$R$155, 0,FALSE), IFERROR(VLOOKUP($A587,'Fusion ExDa'!$B$2:$D$16, 0,FALSE), IFERROR(VLOOKUP($A587,'Exetel ExDa'!$C$2:$N$14, 9,FALSE), IFERROR(VLOOKUP($A587,'Infinet ExDa'!$B$2:$E$14, 0,FALSE), "Not Found"))))))))</f>
        <v>Not Found</v>
      </c>
      <c r="M587" s="234" t="str">
        <f>IFERROR(VLOOKUP($A587,'AAPT ExDa'!$B$2:$U$99, 0,FALSE), IFERROR(VLOOKUP($A587,'ABB ExDa'!$A$2:$N$184, 0,FALSE), IFERROR(VLOOKUP($A587,'Vocus SIT ExDa'!$B$2:$J$173, 0,FALSE), IFERROR(VLOOKUP($A587,'Telstra ExDa'!$B$2:$K$310, 0,FALSE), IFERROR(VLOOKUP($A587,'Vocus RVC ExDa'!$C$2:$R$155, 0,FALSE), IFERROR(VLOOKUP($A587,'Fusion ExDa'!$B$2:$D$16, 0,FALSE), IFERROR(VLOOKUP($A587,'Exetel ExDa'!$C$2:$N$14, 11,FALSE), IFERROR(VLOOKUP($A587,'Infinet ExDa'!$B$2:$E$14, 0,FALSE), "Not Found"))))))))</f>
        <v>Not Found</v>
      </c>
      <c r="N587" t="str">
        <f>IFERROR(VLOOKUP($A587,'AAPT ExDa'!$B$2:$U$99, 0,FALSE), IFERROR(VLOOKUP($A587,'ABB ExDa'!$A$2:$N$184, 13,FALSE), IFERROR(VLOOKUP($A587,'Vocus SIT ExDa'!$B$2:$J$173, 0,FALSE), IFERROR(VLOOKUP($A587,'Telstra ExDa'!$B$2:$K$310, 0,FALSE), IFERROR(VLOOKUP($A587,'Vocus RVC ExDa'!$C$2:$R$155, 0,FALSE), IFERROR(VLOOKUP($A587,'Fusion ExDa'!$B$2:$D$16, 0,FALSE), IFERROR(VLOOKUP($A587,'Exetel ExDa'!$C$2:$N$14, 0,FALSE), IFERROR(VLOOKUP($A587,'Infinet ExDa'!$B$2:$E$14, 0,FALSE), "Not Found"))))))))</f>
        <v>Not Found</v>
      </c>
    </row>
    <row r="588" spans="1:14">
      <c r="A588">
        <v>0</v>
      </c>
      <c r="B588" t="str">
        <f>IFERROR(VLOOKUP(A588,'Exetel ExDa'!$C$2:$N$14,4,FALSE),"No Data")</f>
        <v>No Data</v>
      </c>
      <c r="C588" t="str">
        <f>IFERROR(VLOOKUP(A588,'AAPT ExDa'!$B$2:$U$99, 2,FALSE), IFERROR(VLOOKUP(A588,'ABB ExDa'!$A$2:$N$184, 2,FALSE), IFERROR(VLOOKUP(A588,'Vocus SIT ExDa'!$B$2:$J$173, 7,FALSE), IFERROR(VLOOKUP(A588,'Telstra ExDa'!$B$2:$K$310, 2,FALSE), IFERROR(VLOOKUP(A588,'Vocus RVC ExDa'!$C$2:$R$155, 3,FALSE), IFERROR(VLOOKUP(A588,'Fusion ExDa'!$B$2:$D$16, 2,FALSE), IFERROR(VLOOKUP(A588,'Exetel ExDa'!$C$2:$N$14, 2,FALSE), IFERROR(VLOOKUP(A588,'Infinet ExDa'!$B$2:$E$14, 2,FALSE), "Not Found"))))))))</f>
        <v>Not Found</v>
      </c>
      <c r="D588" t="str">
        <f>IFERROR(VLOOKUP($A588,'AAPT ExDa'!$B$2:$U$99, 15,FALSE), IFERROR(VLOOKUP($A588,'ABB ExDa'!$A$2:$N$184, 4,FALSE), IFERROR(VLOOKUP($A588,'Vocus SIT ExDa'!$B$2:$J$173, 5,FALSE), IFERROR(VLOOKUP($A588,'Telstra ExDa'!$B$2:$K$310, 8,FALSE), IFERROR(VLOOKUP($A588,'Vocus RVC ExDa'!$C$2:$R$155, 6,FALSE), IFERROR(VLOOKUP($A588,'Fusion ExDa'!$B$2:$D$16, 4,FALSE), IFERROR(VLOOKUP($A588,'Exetel ExDa'!$C$2:$N$14, 3,FALSE), IFERROR(VLOOKUP($A588,'Infinet ExDa'!$B$2:$E$14, 3,FALSE), "Not Found"))))))))</f>
        <v>Not Found</v>
      </c>
      <c r="E588" t="str">
        <f>IFERROR(VLOOKUP($A588,'AAPT ExDa'!$B$2:$U$99, 3,FALSE), IFERROR(VLOOKUP($A588,'ABB ExDa'!$A$2:$N$184, 5,FALSE), IFERROR(VLOOKUP($A588,'Vocus SIT ExDa'!$B$2:$J$173, 2,FALSE), IFERROR(VLOOKUP($A588,'Telstra ExDa'!$B$2:$K$310, 4,FALSE), IFERROR(VLOOKUP($A588,'Vocus RVC ExDa'!$C$2:$R$155, 8,FALSE), IFERROR(VLOOKUP($A588,'Fusion ExDa'!$B$2:$D$16, 4,FALSE), IFERROR(VLOOKUP($A588,'Exetel ExDa'!$C$2:$N$14, 5,FALSE), IFERROR(VLOOKUP($A588,'Infinet ExDa'!$B$2:$E$14, 3,FALSE), "Not Found"))))))))</f>
        <v>Not Found</v>
      </c>
      <c r="F588" t="str">
        <f>IFERROR(VLOOKUP($A588,'AAPT ExDa'!$B$2:$U$99, 4,FALSE), IFERROR(VLOOKUP($A588,'ABB ExDa'!$A$2:$N$184, 6,FALSE), IFERROR(VLOOKUP($A588,'Vocus SIT ExDa'!$B$2:$J$173, 3,FALSE), IFERROR(VLOOKUP($A588,'Telstra ExDa'!$B$2:$K$310, 5,FALSE), IFERROR(VLOOKUP($A588,'Vocus RVC ExDa'!$C$2:$R$155, 9,FALSE), IFERROR(VLOOKUP($A588,'Fusion ExDa'!$B$2:$D$16, 0,FALSE), IFERROR(VLOOKUP($A588,'Exetel ExDa'!$C$2:$N$14, 6,FALSE), IFERROR(VLOOKUP($A588,'Infinet ExDa'!$B$2:$E$14, 0,FALSE), "Not Found"))))))))</f>
        <v>Not Found</v>
      </c>
      <c r="G588" t="str">
        <f>IFERROR(VLOOKUP($A588,'AAPT ExDa'!$B$2:$U$99, 5,FALSE), IFERROR(VLOOKUP($A588,'ABB ExDa'!$A$2:$N$184, 8,FALSE), IFERROR(VLOOKUP($A588,'Vocus SIT ExDa'!$B$2:$J$173, 6,FALSE), IFERROR(VLOOKUP($A588,'Telstra ExDa'!$B$2:$K$310, 0,FALSE), IFERROR(VLOOKUP($A588,'Vocus RVC ExDa'!$C$2:$R$155, 15,FALSE), IFERROR(VLOOKUP($A588,'Fusion ExDa'!$B$2:$D$16, 0,FALSE), IFERROR(VLOOKUP($A588,'Exetel ExDa'!$C$2:$N$14, 7,FALSE), IFERROR(VLOOKUP($A588,'Infinet ExDa'!$B$2:$E$14, 0,FALSE), "Not Found"))))))))</f>
        <v>Not Found</v>
      </c>
      <c r="H588" t="str">
        <f>IFERROR(VLOOKUP($A588,'AAPT ExDa'!$B$2:$U$99, 6,FALSE), IFERROR(VLOOKUP($A588,'ABB ExDa'!$A$2:$N$184, 0,FALSE), IFERROR(VLOOKUP($A588,'Vocus SIT ExDa'!$B$2:$J$173, 0,FALSE), IFERROR(VLOOKUP($A588,'Telstra ExDa'!$B$2:$K$310, 0,FALSE), IFERROR(VLOOKUP($A588,'Vocus RVC ExDa'!$C$2:$R$155, 16,FALSE), IFERROR(VLOOKUP($A588,'Fusion ExDa'!$B$2:$D$16, 0,FALSE), IFERROR(VLOOKUP($A588,'Exetel ExDa'!$C$2:$N$14, 0,FALSE), IFERROR(VLOOKUP($A588,'Infinet ExDa'!$B$2:$E$14, 0,FALSE), "Not Found"))))))))</f>
        <v>Not Found</v>
      </c>
      <c r="I588" t="str">
        <f>IFERROR(VLOOKUP($A588,'AAPT ExDa'!$B$2:$U$99, 0,FALSE), IFERROR(VLOOKUP($A588,'ABB ExDa'!$A$2:$N$184, 0,FALSE), IFERROR(VLOOKUP($A588,'Vocus SIT ExDa'!$B$2:$J$173, 0,FALSE), IFERROR(VLOOKUP($A588,'Telstra ExDa'!$B$2:$K$310, 0,FALSE), IFERROR(VLOOKUP($A588,'Vocus RVC ExDa'!$C$2:$R$155, 0,FALSE), IFERROR(VLOOKUP($A588,'Fusion ExDa'!$B$2:$D$16, 0,FALSE), IFERROR(VLOOKUP($A588,'Exetel ExDa'!$C$2:$N$14, 8,FALSE), IFERROR(VLOOKUP($A588,'Infinet ExDa'!$B$2:$E$14, 0,FALSE), "Not Found"))))))))</f>
        <v>Not Found</v>
      </c>
      <c r="J588" t="str">
        <f>IFERROR(VLOOKUP($A588,'AAPT ExDa'!$B$2:$U$99, 7,FALSE), IFERROR(VLOOKUP($A588,'ABB ExDa'!$A$2:$N$184, 2,FALSE), IFERROR(VLOOKUP($A588,'Vocus SIT ExDa'!$B$2:$J$173, 0,FALSE), IFERROR(VLOOKUP($A588,'Telstra ExDa'!$B$2:$K$310, 7,FALSE), IFERROR(VLOOKUP($A588,'Vocus RVC ExDa'!$C$2:$R$155, 2,FALSE), IFERROR(VLOOKUP($A588,'Fusion ExDa'!$B$2:$D$16, 3,FALSE), IFERROR(VLOOKUP($A588,'Exetel ExDa'!$C$2:$N$14, 0,FALSE), IFERROR(VLOOKUP($A588,'Infinet ExDa'!$B$2:$E$14, 0,FALSE), "Not Found"))))))))</f>
        <v>Not Found</v>
      </c>
      <c r="K588" t="str">
        <f>IFERROR(VLOOKUP($A588,'AAPT ExDa'!$B$2:$U$99, 12,FALSE), IFERROR(VLOOKUP($A588,'ABB ExDa'!$A$2:$N$184, 0,FALSE), IFERROR(VLOOKUP($A588,'Vocus SIT ExDa'!$B$2:$J$173, 0,FALSE), IFERROR(VLOOKUP($A588,'Telstra ExDa'!$B$2:$K$310, 0,FALSE), IFERROR(VLOOKUP($A588,'Vocus RVC ExDa'!$C$2:$R$155, 0,FALSE), IFERROR(VLOOKUP($A588,'Fusion ExDa'!$B$2:$D$16, 0,FALSE), IFERROR(VLOOKUP($A588,'Exetel ExDa'!$C$2:$N$14, 12,FALSE), IFERROR(VLOOKUP($A588,'Infinet ExDa'!$B$2:$E$14, 0,FALSE), "Not Found"))))))))</f>
        <v>Not Found</v>
      </c>
      <c r="L588" s="235" t="str">
        <f>IFERROR(VLOOKUP($A588,'AAPT ExDa'!$B$2:$U$99, 11,FALSE), IFERROR(VLOOKUP($A588,'ABB ExDa'!$A$2:$N$184, 9,FALSE), IFERROR(VLOOKUP($A588,'Vocus SIT ExDa'!$B$2:$J$173, 8,FALSE), IFERROR(VLOOKUP($A588,'Telstra ExDa'!$B$2:$K$310, 0,FALSE), IFERROR(VLOOKUP($A588,'Vocus RVC ExDa'!$C$2:$R$155, 0,FALSE), IFERROR(VLOOKUP($A588,'Fusion ExDa'!$B$2:$D$16, 0,FALSE), IFERROR(VLOOKUP($A588,'Exetel ExDa'!$C$2:$N$14, 9,FALSE), IFERROR(VLOOKUP($A588,'Infinet ExDa'!$B$2:$E$14, 0,FALSE), "Not Found"))))))))</f>
        <v>Not Found</v>
      </c>
      <c r="M588" s="234" t="str">
        <f>IFERROR(VLOOKUP($A588,'AAPT ExDa'!$B$2:$U$99, 0,FALSE), IFERROR(VLOOKUP($A588,'ABB ExDa'!$A$2:$N$184, 0,FALSE), IFERROR(VLOOKUP($A588,'Vocus SIT ExDa'!$B$2:$J$173, 0,FALSE), IFERROR(VLOOKUP($A588,'Telstra ExDa'!$B$2:$K$310, 0,FALSE), IFERROR(VLOOKUP($A588,'Vocus RVC ExDa'!$C$2:$R$155, 0,FALSE), IFERROR(VLOOKUP($A588,'Fusion ExDa'!$B$2:$D$16, 0,FALSE), IFERROR(VLOOKUP($A588,'Exetel ExDa'!$C$2:$N$14, 11,FALSE), IFERROR(VLOOKUP($A588,'Infinet ExDa'!$B$2:$E$14, 0,FALSE), "Not Found"))))))))</f>
        <v>Not Found</v>
      </c>
      <c r="N588" t="str">
        <f>IFERROR(VLOOKUP($A588,'AAPT ExDa'!$B$2:$U$99, 0,FALSE), IFERROR(VLOOKUP($A588,'ABB ExDa'!$A$2:$N$184, 13,FALSE), IFERROR(VLOOKUP($A588,'Vocus SIT ExDa'!$B$2:$J$173, 0,FALSE), IFERROR(VLOOKUP($A588,'Telstra ExDa'!$B$2:$K$310, 0,FALSE), IFERROR(VLOOKUP($A588,'Vocus RVC ExDa'!$C$2:$R$155, 0,FALSE), IFERROR(VLOOKUP($A588,'Fusion ExDa'!$B$2:$D$16, 0,FALSE), IFERROR(VLOOKUP($A588,'Exetel ExDa'!$C$2:$N$14, 0,FALSE), IFERROR(VLOOKUP($A588,'Infinet ExDa'!$B$2:$E$14, 0,FALSE), "Not Found"))))))))</f>
        <v>Not Found</v>
      </c>
    </row>
    <row r="589" spans="1:14">
      <c r="A589">
        <v>0</v>
      </c>
      <c r="B589" t="str">
        <f>IFERROR(VLOOKUP(A589,'Exetel ExDa'!$C$2:$N$14,4,FALSE),"No Data")</f>
        <v>No Data</v>
      </c>
      <c r="C589" t="str">
        <f>IFERROR(VLOOKUP(A589,'AAPT ExDa'!$B$2:$U$99, 2,FALSE), IFERROR(VLOOKUP(A589,'ABB ExDa'!$A$2:$N$184, 2,FALSE), IFERROR(VLOOKUP(A589,'Vocus SIT ExDa'!$B$2:$J$173, 7,FALSE), IFERROR(VLOOKUP(A589,'Telstra ExDa'!$B$2:$K$310, 2,FALSE), IFERROR(VLOOKUP(A589,'Vocus RVC ExDa'!$C$2:$R$155, 3,FALSE), IFERROR(VLOOKUP(A589,'Fusion ExDa'!$B$2:$D$16, 2,FALSE), IFERROR(VLOOKUP(A589,'Exetel ExDa'!$C$2:$N$14, 2,FALSE), IFERROR(VLOOKUP(A589,'Infinet ExDa'!$B$2:$E$14, 2,FALSE), "Not Found"))))))))</f>
        <v>Not Found</v>
      </c>
      <c r="D589" t="str">
        <f>IFERROR(VLOOKUP($A589,'AAPT ExDa'!$B$2:$U$99, 15,FALSE), IFERROR(VLOOKUP($A589,'ABB ExDa'!$A$2:$N$184, 4,FALSE), IFERROR(VLOOKUP($A589,'Vocus SIT ExDa'!$B$2:$J$173, 5,FALSE), IFERROR(VLOOKUP($A589,'Telstra ExDa'!$B$2:$K$310, 8,FALSE), IFERROR(VLOOKUP($A589,'Vocus RVC ExDa'!$C$2:$R$155, 6,FALSE), IFERROR(VLOOKUP($A589,'Fusion ExDa'!$B$2:$D$16, 4,FALSE), IFERROR(VLOOKUP($A589,'Exetel ExDa'!$C$2:$N$14, 3,FALSE), IFERROR(VLOOKUP($A589,'Infinet ExDa'!$B$2:$E$14, 3,FALSE), "Not Found"))))))))</f>
        <v>Not Found</v>
      </c>
      <c r="E589" t="str">
        <f>IFERROR(VLOOKUP($A589,'AAPT ExDa'!$B$2:$U$99, 3,FALSE), IFERROR(VLOOKUP($A589,'ABB ExDa'!$A$2:$N$184, 5,FALSE), IFERROR(VLOOKUP($A589,'Vocus SIT ExDa'!$B$2:$J$173, 2,FALSE), IFERROR(VLOOKUP($A589,'Telstra ExDa'!$B$2:$K$310, 4,FALSE), IFERROR(VLOOKUP($A589,'Vocus RVC ExDa'!$C$2:$R$155, 8,FALSE), IFERROR(VLOOKUP($A589,'Fusion ExDa'!$B$2:$D$16, 4,FALSE), IFERROR(VLOOKUP($A589,'Exetel ExDa'!$C$2:$N$14, 5,FALSE), IFERROR(VLOOKUP($A589,'Infinet ExDa'!$B$2:$E$14, 3,FALSE), "Not Found"))))))))</f>
        <v>Not Found</v>
      </c>
      <c r="F589" t="str">
        <f>IFERROR(VLOOKUP($A589,'AAPT ExDa'!$B$2:$U$99, 4,FALSE), IFERROR(VLOOKUP($A589,'ABB ExDa'!$A$2:$N$184, 6,FALSE), IFERROR(VLOOKUP($A589,'Vocus SIT ExDa'!$B$2:$J$173, 3,FALSE), IFERROR(VLOOKUP($A589,'Telstra ExDa'!$B$2:$K$310, 5,FALSE), IFERROR(VLOOKUP($A589,'Vocus RVC ExDa'!$C$2:$R$155, 9,FALSE), IFERROR(VLOOKUP($A589,'Fusion ExDa'!$B$2:$D$16, 0,FALSE), IFERROR(VLOOKUP($A589,'Exetel ExDa'!$C$2:$N$14, 6,FALSE), IFERROR(VLOOKUP($A589,'Infinet ExDa'!$B$2:$E$14, 0,FALSE), "Not Found"))))))))</f>
        <v>Not Found</v>
      </c>
      <c r="G589" t="str">
        <f>IFERROR(VLOOKUP($A589,'AAPT ExDa'!$B$2:$U$99, 5,FALSE), IFERROR(VLOOKUP($A589,'ABB ExDa'!$A$2:$N$184, 8,FALSE), IFERROR(VLOOKUP($A589,'Vocus SIT ExDa'!$B$2:$J$173, 6,FALSE), IFERROR(VLOOKUP($A589,'Telstra ExDa'!$B$2:$K$310, 0,FALSE), IFERROR(VLOOKUP($A589,'Vocus RVC ExDa'!$C$2:$R$155, 15,FALSE), IFERROR(VLOOKUP($A589,'Fusion ExDa'!$B$2:$D$16, 0,FALSE), IFERROR(VLOOKUP($A589,'Exetel ExDa'!$C$2:$N$14, 7,FALSE), IFERROR(VLOOKUP($A589,'Infinet ExDa'!$B$2:$E$14, 0,FALSE), "Not Found"))))))))</f>
        <v>Not Found</v>
      </c>
      <c r="H589" t="str">
        <f>IFERROR(VLOOKUP($A589,'AAPT ExDa'!$B$2:$U$99, 6,FALSE), IFERROR(VLOOKUP($A589,'ABB ExDa'!$A$2:$N$184, 0,FALSE), IFERROR(VLOOKUP($A589,'Vocus SIT ExDa'!$B$2:$J$173, 0,FALSE), IFERROR(VLOOKUP($A589,'Telstra ExDa'!$B$2:$K$310, 0,FALSE), IFERROR(VLOOKUP($A589,'Vocus RVC ExDa'!$C$2:$R$155, 16,FALSE), IFERROR(VLOOKUP($A589,'Fusion ExDa'!$B$2:$D$16, 0,FALSE), IFERROR(VLOOKUP($A589,'Exetel ExDa'!$C$2:$N$14, 0,FALSE), IFERROR(VLOOKUP($A589,'Infinet ExDa'!$B$2:$E$14, 0,FALSE), "Not Found"))))))))</f>
        <v>Not Found</v>
      </c>
      <c r="I589" t="str">
        <f>IFERROR(VLOOKUP($A589,'AAPT ExDa'!$B$2:$U$99, 0,FALSE), IFERROR(VLOOKUP($A589,'ABB ExDa'!$A$2:$N$184, 0,FALSE), IFERROR(VLOOKUP($A589,'Vocus SIT ExDa'!$B$2:$J$173, 0,FALSE), IFERROR(VLOOKUP($A589,'Telstra ExDa'!$B$2:$K$310, 0,FALSE), IFERROR(VLOOKUP($A589,'Vocus RVC ExDa'!$C$2:$R$155, 0,FALSE), IFERROR(VLOOKUP($A589,'Fusion ExDa'!$B$2:$D$16, 0,FALSE), IFERROR(VLOOKUP($A589,'Exetel ExDa'!$C$2:$N$14, 8,FALSE), IFERROR(VLOOKUP($A589,'Infinet ExDa'!$B$2:$E$14, 0,FALSE), "Not Found"))))))))</f>
        <v>Not Found</v>
      </c>
      <c r="J589" t="str">
        <f>IFERROR(VLOOKUP($A589,'AAPT ExDa'!$B$2:$U$99, 7,FALSE), IFERROR(VLOOKUP($A589,'ABB ExDa'!$A$2:$N$184, 2,FALSE), IFERROR(VLOOKUP($A589,'Vocus SIT ExDa'!$B$2:$J$173, 0,FALSE), IFERROR(VLOOKUP($A589,'Telstra ExDa'!$B$2:$K$310, 7,FALSE), IFERROR(VLOOKUP($A589,'Vocus RVC ExDa'!$C$2:$R$155, 2,FALSE), IFERROR(VLOOKUP($A589,'Fusion ExDa'!$B$2:$D$16, 3,FALSE), IFERROR(VLOOKUP($A589,'Exetel ExDa'!$C$2:$N$14, 0,FALSE), IFERROR(VLOOKUP($A589,'Infinet ExDa'!$B$2:$E$14, 0,FALSE), "Not Found"))))))))</f>
        <v>Not Found</v>
      </c>
      <c r="K589" t="str">
        <f>IFERROR(VLOOKUP($A589,'AAPT ExDa'!$B$2:$U$99, 12,FALSE), IFERROR(VLOOKUP($A589,'ABB ExDa'!$A$2:$N$184, 0,FALSE), IFERROR(VLOOKUP($A589,'Vocus SIT ExDa'!$B$2:$J$173, 0,FALSE), IFERROR(VLOOKUP($A589,'Telstra ExDa'!$B$2:$K$310, 0,FALSE), IFERROR(VLOOKUP($A589,'Vocus RVC ExDa'!$C$2:$R$155, 0,FALSE), IFERROR(VLOOKUP($A589,'Fusion ExDa'!$B$2:$D$16, 0,FALSE), IFERROR(VLOOKUP($A589,'Exetel ExDa'!$C$2:$N$14, 12,FALSE), IFERROR(VLOOKUP($A589,'Infinet ExDa'!$B$2:$E$14, 0,FALSE), "Not Found"))))))))</f>
        <v>Not Found</v>
      </c>
      <c r="L589" s="235" t="str">
        <f>IFERROR(VLOOKUP($A589,'AAPT ExDa'!$B$2:$U$99, 11,FALSE), IFERROR(VLOOKUP($A589,'ABB ExDa'!$A$2:$N$184, 9,FALSE), IFERROR(VLOOKUP($A589,'Vocus SIT ExDa'!$B$2:$J$173, 8,FALSE), IFERROR(VLOOKUP($A589,'Telstra ExDa'!$B$2:$K$310, 0,FALSE), IFERROR(VLOOKUP($A589,'Vocus RVC ExDa'!$C$2:$R$155, 0,FALSE), IFERROR(VLOOKUP($A589,'Fusion ExDa'!$B$2:$D$16, 0,FALSE), IFERROR(VLOOKUP($A589,'Exetel ExDa'!$C$2:$N$14, 9,FALSE), IFERROR(VLOOKUP($A589,'Infinet ExDa'!$B$2:$E$14, 0,FALSE), "Not Found"))))))))</f>
        <v>Not Found</v>
      </c>
      <c r="M589" s="234" t="str">
        <f>IFERROR(VLOOKUP($A589,'AAPT ExDa'!$B$2:$U$99, 0,FALSE), IFERROR(VLOOKUP($A589,'ABB ExDa'!$A$2:$N$184, 0,FALSE), IFERROR(VLOOKUP($A589,'Vocus SIT ExDa'!$B$2:$J$173, 0,FALSE), IFERROR(VLOOKUP($A589,'Telstra ExDa'!$B$2:$K$310, 0,FALSE), IFERROR(VLOOKUP($A589,'Vocus RVC ExDa'!$C$2:$R$155, 0,FALSE), IFERROR(VLOOKUP($A589,'Fusion ExDa'!$B$2:$D$16, 0,FALSE), IFERROR(VLOOKUP($A589,'Exetel ExDa'!$C$2:$N$14, 11,FALSE), IFERROR(VLOOKUP($A589,'Infinet ExDa'!$B$2:$E$14, 0,FALSE), "Not Found"))))))))</f>
        <v>Not Found</v>
      </c>
      <c r="N589" t="str">
        <f>IFERROR(VLOOKUP($A589,'AAPT ExDa'!$B$2:$U$99, 0,FALSE), IFERROR(VLOOKUP($A589,'ABB ExDa'!$A$2:$N$184, 13,FALSE), IFERROR(VLOOKUP($A589,'Vocus SIT ExDa'!$B$2:$J$173, 0,FALSE), IFERROR(VLOOKUP($A589,'Telstra ExDa'!$B$2:$K$310, 0,FALSE), IFERROR(VLOOKUP($A589,'Vocus RVC ExDa'!$C$2:$R$155, 0,FALSE), IFERROR(VLOOKUP($A589,'Fusion ExDa'!$B$2:$D$16, 0,FALSE), IFERROR(VLOOKUP($A589,'Exetel ExDa'!$C$2:$N$14, 0,FALSE), IFERROR(VLOOKUP($A589,'Infinet ExDa'!$B$2:$E$14, 0,FALSE), "Not Found"))))))))</f>
        <v>Not Found</v>
      </c>
    </row>
    <row r="590" spans="1:14">
      <c r="A590">
        <v>0</v>
      </c>
      <c r="B590" t="str">
        <f>IFERROR(VLOOKUP(A590,'Exetel ExDa'!$C$2:$N$14,4,FALSE),"No Data")</f>
        <v>No Data</v>
      </c>
      <c r="C590" t="str">
        <f>IFERROR(VLOOKUP(A590,'AAPT ExDa'!$B$2:$U$99, 2,FALSE), IFERROR(VLOOKUP(A590,'ABB ExDa'!$A$2:$N$184, 2,FALSE), IFERROR(VLOOKUP(A590,'Vocus SIT ExDa'!$B$2:$J$173, 7,FALSE), IFERROR(VLOOKUP(A590,'Telstra ExDa'!$B$2:$K$310, 2,FALSE), IFERROR(VLOOKUP(A590,'Vocus RVC ExDa'!$C$2:$R$155, 3,FALSE), IFERROR(VLOOKUP(A590,'Fusion ExDa'!$B$2:$D$16, 2,FALSE), IFERROR(VLOOKUP(A590,'Exetel ExDa'!$C$2:$N$14, 2,FALSE), IFERROR(VLOOKUP(A590,'Infinet ExDa'!$B$2:$E$14, 2,FALSE), "Not Found"))))))))</f>
        <v>Not Found</v>
      </c>
      <c r="D590" t="str">
        <f>IFERROR(VLOOKUP($A590,'AAPT ExDa'!$B$2:$U$99, 15,FALSE), IFERROR(VLOOKUP($A590,'ABB ExDa'!$A$2:$N$184, 4,FALSE), IFERROR(VLOOKUP($A590,'Vocus SIT ExDa'!$B$2:$J$173, 5,FALSE), IFERROR(VLOOKUP($A590,'Telstra ExDa'!$B$2:$K$310, 8,FALSE), IFERROR(VLOOKUP($A590,'Vocus RVC ExDa'!$C$2:$R$155, 6,FALSE), IFERROR(VLOOKUP($A590,'Fusion ExDa'!$B$2:$D$16, 4,FALSE), IFERROR(VLOOKUP($A590,'Exetel ExDa'!$C$2:$N$14, 3,FALSE), IFERROR(VLOOKUP($A590,'Infinet ExDa'!$B$2:$E$14, 3,FALSE), "Not Found"))))))))</f>
        <v>Not Found</v>
      </c>
      <c r="E590" t="str">
        <f>IFERROR(VLOOKUP($A590,'AAPT ExDa'!$B$2:$U$99, 3,FALSE), IFERROR(VLOOKUP($A590,'ABB ExDa'!$A$2:$N$184, 5,FALSE), IFERROR(VLOOKUP($A590,'Vocus SIT ExDa'!$B$2:$J$173, 2,FALSE), IFERROR(VLOOKUP($A590,'Telstra ExDa'!$B$2:$K$310, 4,FALSE), IFERROR(VLOOKUP($A590,'Vocus RVC ExDa'!$C$2:$R$155, 8,FALSE), IFERROR(VLOOKUP($A590,'Fusion ExDa'!$B$2:$D$16, 4,FALSE), IFERROR(VLOOKUP($A590,'Exetel ExDa'!$C$2:$N$14, 5,FALSE), IFERROR(VLOOKUP($A590,'Infinet ExDa'!$B$2:$E$14, 3,FALSE), "Not Found"))))))))</f>
        <v>Not Found</v>
      </c>
      <c r="F590" t="str">
        <f>IFERROR(VLOOKUP($A590,'AAPT ExDa'!$B$2:$U$99, 4,FALSE), IFERROR(VLOOKUP($A590,'ABB ExDa'!$A$2:$N$184, 6,FALSE), IFERROR(VLOOKUP($A590,'Vocus SIT ExDa'!$B$2:$J$173, 3,FALSE), IFERROR(VLOOKUP($A590,'Telstra ExDa'!$B$2:$K$310, 5,FALSE), IFERROR(VLOOKUP($A590,'Vocus RVC ExDa'!$C$2:$R$155, 9,FALSE), IFERROR(VLOOKUP($A590,'Fusion ExDa'!$B$2:$D$16, 0,FALSE), IFERROR(VLOOKUP($A590,'Exetel ExDa'!$C$2:$N$14, 6,FALSE), IFERROR(VLOOKUP($A590,'Infinet ExDa'!$B$2:$E$14, 0,FALSE), "Not Found"))))))))</f>
        <v>Not Found</v>
      </c>
      <c r="G590" t="str">
        <f>IFERROR(VLOOKUP($A590,'AAPT ExDa'!$B$2:$U$99, 5,FALSE), IFERROR(VLOOKUP($A590,'ABB ExDa'!$A$2:$N$184, 8,FALSE), IFERROR(VLOOKUP($A590,'Vocus SIT ExDa'!$B$2:$J$173, 6,FALSE), IFERROR(VLOOKUP($A590,'Telstra ExDa'!$B$2:$K$310, 0,FALSE), IFERROR(VLOOKUP($A590,'Vocus RVC ExDa'!$C$2:$R$155, 15,FALSE), IFERROR(VLOOKUP($A590,'Fusion ExDa'!$B$2:$D$16, 0,FALSE), IFERROR(VLOOKUP($A590,'Exetel ExDa'!$C$2:$N$14, 7,FALSE), IFERROR(VLOOKUP($A590,'Infinet ExDa'!$B$2:$E$14, 0,FALSE), "Not Found"))))))))</f>
        <v>Not Found</v>
      </c>
      <c r="H590" t="str">
        <f>IFERROR(VLOOKUP($A590,'AAPT ExDa'!$B$2:$U$99, 6,FALSE), IFERROR(VLOOKUP($A590,'ABB ExDa'!$A$2:$N$184, 0,FALSE), IFERROR(VLOOKUP($A590,'Vocus SIT ExDa'!$B$2:$J$173, 0,FALSE), IFERROR(VLOOKUP($A590,'Telstra ExDa'!$B$2:$K$310, 0,FALSE), IFERROR(VLOOKUP($A590,'Vocus RVC ExDa'!$C$2:$R$155, 16,FALSE), IFERROR(VLOOKUP($A590,'Fusion ExDa'!$B$2:$D$16, 0,FALSE), IFERROR(VLOOKUP($A590,'Exetel ExDa'!$C$2:$N$14, 0,FALSE), IFERROR(VLOOKUP($A590,'Infinet ExDa'!$B$2:$E$14, 0,FALSE), "Not Found"))))))))</f>
        <v>Not Found</v>
      </c>
      <c r="I590" t="str">
        <f>IFERROR(VLOOKUP($A590,'AAPT ExDa'!$B$2:$U$99, 0,FALSE), IFERROR(VLOOKUP($A590,'ABB ExDa'!$A$2:$N$184, 0,FALSE), IFERROR(VLOOKUP($A590,'Vocus SIT ExDa'!$B$2:$J$173, 0,FALSE), IFERROR(VLOOKUP($A590,'Telstra ExDa'!$B$2:$K$310, 0,FALSE), IFERROR(VLOOKUP($A590,'Vocus RVC ExDa'!$C$2:$R$155, 0,FALSE), IFERROR(VLOOKUP($A590,'Fusion ExDa'!$B$2:$D$16, 0,FALSE), IFERROR(VLOOKUP($A590,'Exetel ExDa'!$C$2:$N$14, 8,FALSE), IFERROR(VLOOKUP($A590,'Infinet ExDa'!$B$2:$E$14, 0,FALSE), "Not Found"))))))))</f>
        <v>Not Found</v>
      </c>
      <c r="J590" t="str">
        <f>IFERROR(VLOOKUP($A590,'AAPT ExDa'!$B$2:$U$99, 7,FALSE), IFERROR(VLOOKUP($A590,'ABB ExDa'!$A$2:$N$184, 2,FALSE), IFERROR(VLOOKUP($A590,'Vocus SIT ExDa'!$B$2:$J$173, 0,FALSE), IFERROR(VLOOKUP($A590,'Telstra ExDa'!$B$2:$K$310, 7,FALSE), IFERROR(VLOOKUP($A590,'Vocus RVC ExDa'!$C$2:$R$155, 2,FALSE), IFERROR(VLOOKUP($A590,'Fusion ExDa'!$B$2:$D$16, 3,FALSE), IFERROR(VLOOKUP($A590,'Exetel ExDa'!$C$2:$N$14, 0,FALSE), IFERROR(VLOOKUP($A590,'Infinet ExDa'!$B$2:$E$14, 0,FALSE), "Not Found"))))))))</f>
        <v>Not Found</v>
      </c>
      <c r="K590" t="str">
        <f>IFERROR(VLOOKUP($A590,'AAPT ExDa'!$B$2:$U$99, 12,FALSE), IFERROR(VLOOKUP($A590,'ABB ExDa'!$A$2:$N$184, 0,FALSE), IFERROR(VLOOKUP($A590,'Vocus SIT ExDa'!$B$2:$J$173, 0,FALSE), IFERROR(VLOOKUP($A590,'Telstra ExDa'!$B$2:$K$310, 0,FALSE), IFERROR(VLOOKUP($A590,'Vocus RVC ExDa'!$C$2:$R$155, 0,FALSE), IFERROR(VLOOKUP($A590,'Fusion ExDa'!$B$2:$D$16, 0,FALSE), IFERROR(VLOOKUP($A590,'Exetel ExDa'!$C$2:$N$14, 12,FALSE), IFERROR(VLOOKUP($A590,'Infinet ExDa'!$B$2:$E$14, 0,FALSE), "Not Found"))))))))</f>
        <v>Not Found</v>
      </c>
      <c r="L590" s="235" t="str">
        <f>IFERROR(VLOOKUP($A590,'AAPT ExDa'!$B$2:$U$99, 11,FALSE), IFERROR(VLOOKUP($A590,'ABB ExDa'!$A$2:$N$184, 9,FALSE), IFERROR(VLOOKUP($A590,'Vocus SIT ExDa'!$B$2:$J$173, 8,FALSE), IFERROR(VLOOKUP($A590,'Telstra ExDa'!$B$2:$K$310, 0,FALSE), IFERROR(VLOOKUP($A590,'Vocus RVC ExDa'!$C$2:$R$155, 0,FALSE), IFERROR(VLOOKUP($A590,'Fusion ExDa'!$B$2:$D$16, 0,FALSE), IFERROR(VLOOKUP($A590,'Exetel ExDa'!$C$2:$N$14, 9,FALSE), IFERROR(VLOOKUP($A590,'Infinet ExDa'!$B$2:$E$14, 0,FALSE), "Not Found"))))))))</f>
        <v>Not Found</v>
      </c>
      <c r="M590" s="234" t="str">
        <f>IFERROR(VLOOKUP($A590,'AAPT ExDa'!$B$2:$U$99, 0,FALSE), IFERROR(VLOOKUP($A590,'ABB ExDa'!$A$2:$N$184, 0,FALSE), IFERROR(VLOOKUP($A590,'Vocus SIT ExDa'!$B$2:$J$173, 0,FALSE), IFERROR(VLOOKUP($A590,'Telstra ExDa'!$B$2:$K$310, 0,FALSE), IFERROR(VLOOKUP($A590,'Vocus RVC ExDa'!$C$2:$R$155, 0,FALSE), IFERROR(VLOOKUP($A590,'Fusion ExDa'!$B$2:$D$16, 0,FALSE), IFERROR(VLOOKUP($A590,'Exetel ExDa'!$C$2:$N$14, 11,FALSE), IFERROR(VLOOKUP($A590,'Infinet ExDa'!$B$2:$E$14, 0,FALSE), "Not Found"))))))))</f>
        <v>Not Found</v>
      </c>
      <c r="N590" t="str">
        <f>IFERROR(VLOOKUP($A590,'AAPT ExDa'!$B$2:$U$99, 0,FALSE), IFERROR(VLOOKUP($A590,'ABB ExDa'!$A$2:$N$184, 13,FALSE), IFERROR(VLOOKUP($A590,'Vocus SIT ExDa'!$B$2:$J$173, 0,FALSE), IFERROR(VLOOKUP($A590,'Telstra ExDa'!$B$2:$K$310, 0,FALSE), IFERROR(VLOOKUP($A590,'Vocus RVC ExDa'!$C$2:$R$155, 0,FALSE), IFERROR(VLOOKUP($A590,'Fusion ExDa'!$B$2:$D$16, 0,FALSE), IFERROR(VLOOKUP($A590,'Exetel ExDa'!$C$2:$N$14, 0,FALSE), IFERROR(VLOOKUP($A590,'Infinet ExDa'!$B$2:$E$14, 0,FALSE), "Not Found"))))))))</f>
        <v>Not Found</v>
      </c>
    </row>
    <row r="591" spans="1:14">
      <c r="A591">
        <v>0</v>
      </c>
      <c r="B591" t="str">
        <f>IFERROR(VLOOKUP(A591,'Exetel ExDa'!$C$2:$N$14,4,FALSE),"No Data")</f>
        <v>No Data</v>
      </c>
      <c r="C591" t="str">
        <f>IFERROR(VLOOKUP(A591,'AAPT ExDa'!$B$2:$U$99, 2,FALSE), IFERROR(VLOOKUP(A591,'ABB ExDa'!$A$2:$N$184, 2,FALSE), IFERROR(VLOOKUP(A591,'Vocus SIT ExDa'!$B$2:$J$173, 7,FALSE), IFERROR(VLOOKUP(A591,'Telstra ExDa'!$B$2:$K$310, 2,FALSE), IFERROR(VLOOKUP(A591,'Vocus RVC ExDa'!$C$2:$R$155, 3,FALSE), IFERROR(VLOOKUP(A591,'Fusion ExDa'!$B$2:$D$16, 2,FALSE), IFERROR(VLOOKUP(A591,'Exetel ExDa'!$C$2:$N$14, 2,FALSE), IFERROR(VLOOKUP(A591,'Infinet ExDa'!$B$2:$E$14, 2,FALSE), "Not Found"))))))))</f>
        <v>Not Found</v>
      </c>
      <c r="D591" t="str">
        <f>IFERROR(VLOOKUP($A591,'AAPT ExDa'!$B$2:$U$99, 15,FALSE), IFERROR(VLOOKUP($A591,'ABB ExDa'!$A$2:$N$184, 4,FALSE), IFERROR(VLOOKUP($A591,'Vocus SIT ExDa'!$B$2:$J$173, 5,FALSE), IFERROR(VLOOKUP($A591,'Telstra ExDa'!$B$2:$K$310, 8,FALSE), IFERROR(VLOOKUP($A591,'Vocus RVC ExDa'!$C$2:$R$155, 6,FALSE), IFERROR(VLOOKUP($A591,'Fusion ExDa'!$B$2:$D$16, 4,FALSE), IFERROR(VLOOKUP($A591,'Exetel ExDa'!$C$2:$N$14, 3,FALSE), IFERROR(VLOOKUP($A591,'Infinet ExDa'!$B$2:$E$14, 3,FALSE), "Not Found"))))))))</f>
        <v>Not Found</v>
      </c>
      <c r="E591" t="str">
        <f>IFERROR(VLOOKUP($A591,'AAPT ExDa'!$B$2:$U$99, 3,FALSE), IFERROR(VLOOKUP($A591,'ABB ExDa'!$A$2:$N$184, 5,FALSE), IFERROR(VLOOKUP($A591,'Vocus SIT ExDa'!$B$2:$J$173, 2,FALSE), IFERROR(VLOOKUP($A591,'Telstra ExDa'!$B$2:$K$310, 4,FALSE), IFERROR(VLOOKUP($A591,'Vocus RVC ExDa'!$C$2:$R$155, 8,FALSE), IFERROR(VLOOKUP($A591,'Fusion ExDa'!$B$2:$D$16, 4,FALSE), IFERROR(VLOOKUP($A591,'Exetel ExDa'!$C$2:$N$14, 5,FALSE), IFERROR(VLOOKUP($A591,'Infinet ExDa'!$B$2:$E$14, 3,FALSE), "Not Found"))))))))</f>
        <v>Not Found</v>
      </c>
      <c r="F591" t="str">
        <f>IFERROR(VLOOKUP($A591,'AAPT ExDa'!$B$2:$U$99, 4,FALSE), IFERROR(VLOOKUP($A591,'ABB ExDa'!$A$2:$N$184, 6,FALSE), IFERROR(VLOOKUP($A591,'Vocus SIT ExDa'!$B$2:$J$173, 3,FALSE), IFERROR(VLOOKUP($A591,'Telstra ExDa'!$B$2:$K$310, 5,FALSE), IFERROR(VLOOKUP($A591,'Vocus RVC ExDa'!$C$2:$R$155, 9,FALSE), IFERROR(VLOOKUP($A591,'Fusion ExDa'!$B$2:$D$16, 0,FALSE), IFERROR(VLOOKUP($A591,'Exetel ExDa'!$C$2:$N$14, 6,FALSE), IFERROR(VLOOKUP($A591,'Infinet ExDa'!$B$2:$E$14, 0,FALSE), "Not Found"))))))))</f>
        <v>Not Found</v>
      </c>
      <c r="G591" t="str">
        <f>IFERROR(VLOOKUP($A591,'AAPT ExDa'!$B$2:$U$99, 5,FALSE), IFERROR(VLOOKUP($A591,'ABB ExDa'!$A$2:$N$184, 8,FALSE), IFERROR(VLOOKUP($A591,'Vocus SIT ExDa'!$B$2:$J$173, 6,FALSE), IFERROR(VLOOKUP($A591,'Telstra ExDa'!$B$2:$K$310, 0,FALSE), IFERROR(VLOOKUP($A591,'Vocus RVC ExDa'!$C$2:$R$155, 15,FALSE), IFERROR(VLOOKUP($A591,'Fusion ExDa'!$B$2:$D$16, 0,FALSE), IFERROR(VLOOKUP($A591,'Exetel ExDa'!$C$2:$N$14, 7,FALSE), IFERROR(VLOOKUP($A591,'Infinet ExDa'!$B$2:$E$14, 0,FALSE), "Not Found"))))))))</f>
        <v>Not Found</v>
      </c>
      <c r="H591" t="str">
        <f>IFERROR(VLOOKUP($A591,'AAPT ExDa'!$B$2:$U$99, 6,FALSE), IFERROR(VLOOKUP($A591,'ABB ExDa'!$A$2:$N$184, 0,FALSE), IFERROR(VLOOKUP($A591,'Vocus SIT ExDa'!$B$2:$J$173, 0,FALSE), IFERROR(VLOOKUP($A591,'Telstra ExDa'!$B$2:$K$310, 0,FALSE), IFERROR(VLOOKUP($A591,'Vocus RVC ExDa'!$C$2:$R$155, 16,FALSE), IFERROR(VLOOKUP($A591,'Fusion ExDa'!$B$2:$D$16, 0,FALSE), IFERROR(VLOOKUP($A591,'Exetel ExDa'!$C$2:$N$14, 0,FALSE), IFERROR(VLOOKUP($A591,'Infinet ExDa'!$B$2:$E$14, 0,FALSE), "Not Found"))))))))</f>
        <v>Not Found</v>
      </c>
      <c r="I591" t="str">
        <f>IFERROR(VLOOKUP($A591,'AAPT ExDa'!$B$2:$U$99, 0,FALSE), IFERROR(VLOOKUP($A591,'ABB ExDa'!$A$2:$N$184, 0,FALSE), IFERROR(VLOOKUP($A591,'Vocus SIT ExDa'!$B$2:$J$173, 0,FALSE), IFERROR(VLOOKUP($A591,'Telstra ExDa'!$B$2:$K$310, 0,FALSE), IFERROR(VLOOKUP($A591,'Vocus RVC ExDa'!$C$2:$R$155, 0,FALSE), IFERROR(VLOOKUP($A591,'Fusion ExDa'!$B$2:$D$16, 0,FALSE), IFERROR(VLOOKUP($A591,'Exetel ExDa'!$C$2:$N$14, 8,FALSE), IFERROR(VLOOKUP($A591,'Infinet ExDa'!$B$2:$E$14, 0,FALSE), "Not Found"))))))))</f>
        <v>Not Found</v>
      </c>
      <c r="J591" t="str">
        <f>IFERROR(VLOOKUP($A591,'AAPT ExDa'!$B$2:$U$99, 7,FALSE), IFERROR(VLOOKUP($A591,'ABB ExDa'!$A$2:$N$184, 2,FALSE), IFERROR(VLOOKUP($A591,'Vocus SIT ExDa'!$B$2:$J$173, 0,FALSE), IFERROR(VLOOKUP($A591,'Telstra ExDa'!$B$2:$K$310, 7,FALSE), IFERROR(VLOOKUP($A591,'Vocus RVC ExDa'!$C$2:$R$155, 2,FALSE), IFERROR(VLOOKUP($A591,'Fusion ExDa'!$B$2:$D$16, 3,FALSE), IFERROR(VLOOKUP($A591,'Exetel ExDa'!$C$2:$N$14, 0,FALSE), IFERROR(VLOOKUP($A591,'Infinet ExDa'!$B$2:$E$14, 0,FALSE), "Not Found"))))))))</f>
        <v>Not Found</v>
      </c>
      <c r="K591" t="str">
        <f>IFERROR(VLOOKUP($A591,'AAPT ExDa'!$B$2:$U$99, 12,FALSE), IFERROR(VLOOKUP($A591,'ABB ExDa'!$A$2:$N$184, 0,FALSE), IFERROR(VLOOKUP($A591,'Vocus SIT ExDa'!$B$2:$J$173, 0,FALSE), IFERROR(VLOOKUP($A591,'Telstra ExDa'!$B$2:$K$310, 0,FALSE), IFERROR(VLOOKUP($A591,'Vocus RVC ExDa'!$C$2:$R$155, 0,FALSE), IFERROR(VLOOKUP($A591,'Fusion ExDa'!$B$2:$D$16, 0,FALSE), IFERROR(VLOOKUP($A591,'Exetel ExDa'!$C$2:$N$14, 12,FALSE), IFERROR(VLOOKUP($A591,'Infinet ExDa'!$B$2:$E$14, 0,FALSE), "Not Found"))))))))</f>
        <v>Not Found</v>
      </c>
      <c r="L591" s="235" t="str">
        <f>IFERROR(VLOOKUP($A591,'AAPT ExDa'!$B$2:$U$99, 11,FALSE), IFERROR(VLOOKUP($A591,'ABB ExDa'!$A$2:$N$184, 9,FALSE), IFERROR(VLOOKUP($A591,'Vocus SIT ExDa'!$B$2:$J$173, 8,FALSE), IFERROR(VLOOKUP($A591,'Telstra ExDa'!$B$2:$K$310, 0,FALSE), IFERROR(VLOOKUP($A591,'Vocus RVC ExDa'!$C$2:$R$155, 0,FALSE), IFERROR(VLOOKUP($A591,'Fusion ExDa'!$B$2:$D$16, 0,FALSE), IFERROR(VLOOKUP($A591,'Exetel ExDa'!$C$2:$N$14, 9,FALSE), IFERROR(VLOOKUP($A591,'Infinet ExDa'!$B$2:$E$14, 0,FALSE), "Not Found"))))))))</f>
        <v>Not Found</v>
      </c>
      <c r="M591" s="234" t="str">
        <f>IFERROR(VLOOKUP($A591,'AAPT ExDa'!$B$2:$U$99, 0,FALSE), IFERROR(VLOOKUP($A591,'ABB ExDa'!$A$2:$N$184, 0,FALSE), IFERROR(VLOOKUP($A591,'Vocus SIT ExDa'!$B$2:$J$173, 0,FALSE), IFERROR(VLOOKUP($A591,'Telstra ExDa'!$B$2:$K$310, 0,FALSE), IFERROR(VLOOKUP($A591,'Vocus RVC ExDa'!$C$2:$R$155, 0,FALSE), IFERROR(VLOOKUP($A591,'Fusion ExDa'!$B$2:$D$16, 0,FALSE), IFERROR(VLOOKUP($A591,'Exetel ExDa'!$C$2:$N$14, 11,FALSE), IFERROR(VLOOKUP($A591,'Infinet ExDa'!$B$2:$E$14, 0,FALSE), "Not Found"))))))))</f>
        <v>Not Found</v>
      </c>
      <c r="N591" t="str">
        <f>IFERROR(VLOOKUP($A591,'AAPT ExDa'!$B$2:$U$99, 0,FALSE), IFERROR(VLOOKUP($A591,'ABB ExDa'!$A$2:$N$184, 13,FALSE), IFERROR(VLOOKUP($A591,'Vocus SIT ExDa'!$B$2:$J$173, 0,FALSE), IFERROR(VLOOKUP($A591,'Telstra ExDa'!$B$2:$K$310, 0,FALSE), IFERROR(VLOOKUP($A591,'Vocus RVC ExDa'!$C$2:$R$155, 0,FALSE), IFERROR(VLOOKUP($A591,'Fusion ExDa'!$B$2:$D$16, 0,FALSE), IFERROR(VLOOKUP($A591,'Exetel ExDa'!$C$2:$N$14, 0,FALSE), IFERROR(VLOOKUP($A591,'Infinet ExDa'!$B$2:$E$14, 0,FALSE), "Not Found"))))))))</f>
        <v>Not Found</v>
      </c>
    </row>
    <row r="592" spans="1:14">
      <c r="A592">
        <v>0</v>
      </c>
      <c r="B592" t="str">
        <f>IFERROR(VLOOKUP(A592,'Exetel ExDa'!$C$2:$N$14,4,FALSE),"No Data")</f>
        <v>No Data</v>
      </c>
      <c r="C592" t="str">
        <f>IFERROR(VLOOKUP(A592,'AAPT ExDa'!$B$2:$U$99, 2,FALSE), IFERROR(VLOOKUP(A592,'ABB ExDa'!$A$2:$N$184, 2,FALSE), IFERROR(VLOOKUP(A592,'Vocus SIT ExDa'!$B$2:$J$173, 7,FALSE), IFERROR(VLOOKUP(A592,'Telstra ExDa'!$B$2:$K$310, 2,FALSE), IFERROR(VLOOKUP(A592,'Vocus RVC ExDa'!$C$2:$R$155, 3,FALSE), IFERROR(VLOOKUP(A592,'Fusion ExDa'!$B$2:$D$16, 2,FALSE), IFERROR(VLOOKUP(A592,'Exetel ExDa'!$C$2:$N$14, 2,FALSE), IFERROR(VLOOKUP(A592,'Infinet ExDa'!$B$2:$E$14, 2,FALSE), "Not Found"))))))))</f>
        <v>Not Found</v>
      </c>
      <c r="D592" t="str">
        <f>IFERROR(VLOOKUP($A592,'AAPT ExDa'!$B$2:$U$99, 15,FALSE), IFERROR(VLOOKUP($A592,'ABB ExDa'!$A$2:$N$184, 4,FALSE), IFERROR(VLOOKUP($A592,'Vocus SIT ExDa'!$B$2:$J$173, 5,FALSE), IFERROR(VLOOKUP($A592,'Telstra ExDa'!$B$2:$K$310, 8,FALSE), IFERROR(VLOOKUP($A592,'Vocus RVC ExDa'!$C$2:$R$155, 6,FALSE), IFERROR(VLOOKUP($A592,'Fusion ExDa'!$B$2:$D$16, 4,FALSE), IFERROR(VLOOKUP($A592,'Exetel ExDa'!$C$2:$N$14, 3,FALSE), IFERROR(VLOOKUP($A592,'Infinet ExDa'!$B$2:$E$14, 3,FALSE), "Not Found"))))))))</f>
        <v>Not Found</v>
      </c>
      <c r="E592" t="str">
        <f>IFERROR(VLOOKUP($A592,'AAPT ExDa'!$B$2:$U$99, 3,FALSE), IFERROR(VLOOKUP($A592,'ABB ExDa'!$A$2:$N$184, 5,FALSE), IFERROR(VLOOKUP($A592,'Vocus SIT ExDa'!$B$2:$J$173, 2,FALSE), IFERROR(VLOOKUP($A592,'Telstra ExDa'!$B$2:$K$310, 4,FALSE), IFERROR(VLOOKUP($A592,'Vocus RVC ExDa'!$C$2:$R$155, 8,FALSE), IFERROR(VLOOKUP($A592,'Fusion ExDa'!$B$2:$D$16, 4,FALSE), IFERROR(VLOOKUP($A592,'Exetel ExDa'!$C$2:$N$14, 5,FALSE), IFERROR(VLOOKUP($A592,'Infinet ExDa'!$B$2:$E$14, 3,FALSE), "Not Found"))))))))</f>
        <v>Not Found</v>
      </c>
      <c r="F592" t="str">
        <f>IFERROR(VLOOKUP($A592,'AAPT ExDa'!$B$2:$U$99, 4,FALSE), IFERROR(VLOOKUP($A592,'ABB ExDa'!$A$2:$N$184, 6,FALSE), IFERROR(VLOOKUP($A592,'Vocus SIT ExDa'!$B$2:$J$173, 3,FALSE), IFERROR(VLOOKUP($A592,'Telstra ExDa'!$B$2:$K$310, 5,FALSE), IFERROR(VLOOKUP($A592,'Vocus RVC ExDa'!$C$2:$R$155, 9,FALSE), IFERROR(VLOOKUP($A592,'Fusion ExDa'!$B$2:$D$16, 0,FALSE), IFERROR(VLOOKUP($A592,'Exetel ExDa'!$C$2:$N$14, 6,FALSE), IFERROR(VLOOKUP($A592,'Infinet ExDa'!$B$2:$E$14, 0,FALSE), "Not Found"))))))))</f>
        <v>Not Found</v>
      </c>
      <c r="G592" t="str">
        <f>IFERROR(VLOOKUP($A592,'AAPT ExDa'!$B$2:$U$99, 5,FALSE), IFERROR(VLOOKUP($A592,'ABB ExDa'!$A$2:$N$184, 8,FALSE), IFERROR(VLOOKUP($A592,'Vocus SIT ExDa'!$B$2:$J$173, 6,FALSE), IFERROR(VLOOKUP($A592,'Telstra ExDa'!$B$2:$K$310, 0,FALSE), IFERROR(VLOOKUP($A592,'Vocus RVC ExDa'!$C$2:$R$155, 15,FALSE), IFERROR(VLOOKUP($A592,'Fusion ExDa'!$B$2:$D$16, 0,FALSE), IFERROR(VLOOKUP($A592,'Exetel ExDa'!$C$2:$N$14, 7,FALSE), IFERROR(VLOOKUP($A592,'Infinet ExDa'!$B$2:$E$14, 0,FALSE), "Not Found"))))))))</f>
        <v>Not Found</v>
      </c>
      <c r="H592" t="str">
        <f>IFERROR(VLOOKUP($A592,'AAPT ExDa'!$B$2:$U$99, 6,FALSE), IFERROR(VLOOKUP($A592,'ABB ExDa'!$A$2:$N$184, 0,FALSE), IFERROR(VLOOKUP($A592,'Vocus SIT ExDa'!$B$2:$J$173, 0,FALSE), IFERROR(VLOOKUP($A592,'Telstra ExDa'!$B$2:$K$310, 0,FALSE), IFERROR(VLOOKUP($A592,'Vocus RVC ExDa'!$C$2:$R$155, 16,FALSE), IFERROR(VLOOKUP($A592,'Fusion ExDa'!$B$2:$D$16, 0,FALSE), IFERROR(VLOOKUP($A592,'Exetel ExDa'!$C$2:$N$14, 0,FALSE), IFERROR(VLOOKUP($A592,'Infinet ExDa'!$B$2:$E$14, 0,FALSE), "Not Found"))))))))</f>
        <v>Not Found</v>
      </c>
      <c r="I592" t="str">
        <f>IFERROR(VLOOKUP($A592,'AAPT ExDa'!$B$2:$U$99, 0,FALSE), IFERROR(VLOOKUP($A592,'ABB ExDa'!$A$2:$N$184, 0,FALSE), IFERROR(VLOOKUP($A592,'Vocus SIT ExDa'!$B$2:$J$173, 0,FALSE), IFERROR(VLOOKUP($A592,'Telstra ExDa'!$B$2:$K$310, 0,FALSE), IFERROR(VLOOKUP($A592,'Vocus RVC ExDa'!$C$2:$R$155, 0,FALSE), IFERROR(VLOOKUP($A592,'Fusion ExDa'!$B$2:$D$16, 0,FALSE), IFERROR(VLOOKUP($A592,'Exetel ExDa'!$C$2:$N$14, 8,FALSE), IFERROR(VLOOKUP($A592,'Infinet ExDa'!$B$2:$E$14, 0,FALSE), "Not Found"))))))))</f>
        <v>Not Found</v>
      </c>
      <c r="J592" t="str">
        <f>IFERROR(VLOOKUP($A592,'AAPT ExDa'!$B$2:$U$99, 7,FALSE), IFERROR(VLOOKUP($A592,'ABB ExDa'!$A$2:$N$184, 2,FALSE), IFERROR(VLOOKUP($A592,'Vocus SIT ExDa'!$B$2:$J$173, 0,FALSE), IFERROR(VLOOKUP($A592,'Telstra ExDa'!$B$2:$K$310, 7,FALSE), IFERROR(VLOOKUP($A592,'Vocus RVC ExDa'!$C$2:$R$155, 2,FALSE), IFERROR(VLOOKUP($A592,'Fusion ExDa'!$B$2:$D$16, 3,FALSE), IFERROR(VLOOKUP($A592,'Exetel ExDa'!$C$2:$N$14, 0,FALSE), IFERROR(VLOOKUP($A592,'Infinet ExDa'!$B$2:$E$14, 0,FALSE), "Not Found"))))))))</f>
        <v>Not Found</v>
      </c>
      <c r="K592" t="str">
        <f>IFERROR(VLOOKUP($A592,'AAPT ExDa'!$B$2:$U$99, 12,FALSE), IFERROR(VLOOKUP($A592,'ABB ExDa'!$A$2:$N$184, 0,FALSE), IFERROR(VLOOKUP($A592,'Vocus SIT ExDa'!$B$2:$J$173, 0,FALSE), IFERROR(VLOOKUP($A592,'Telstra ExDa'!$B$2:$K$310, 0,FALSE), IFERROR(VLOOKUP($A592,'Vocus RVC ExDa'!$C$2:$R$155, 0,FALSE), IFERROR(VLOOKUP($A592,'Fusion ExDa'!$B$2:$D$16, 0,FALSE), IFERROR(VLOOKUP($A592,'Exetel ExDa'!$C$2:$N$14, 12,FALSE), IFERROR(VLOOKUP($A592,'Infinet ExDa'!$B$2:$E$14, 0,FALSE), "Not Found"))))))))</f>
        <v>Not Found</v>
      </c>
      <c r="L592" s="235" t="str">
        <f>IFERROR(VLOOKUP($A592,'AAPT ExDa'!$B$2:$U$99, 11,FALSE), IFERROR(VLOOKUP($A592,'ABB ExDa'!$A$2:$N$184, 9,FALSE), IFERROR(VLOOKUP($A592,'Vocus SIT ExDa'!$B$2:$J$173, 8,FALSE), IFERROR(VLOOKUP($A592,'Telstra ExDa'!$B$2:$K$310, 0,FALSE), IFERROR(VLOOKUP($A592,'Vocus RVC ExDa'!$C$2:$R$155, 0,FALSE), IFERROR(VLOOKUP($A592,'Fusion ExDa'!$B$2:$D$16, 0,FALSE), IFERROR(VLOOKUP($A592,'Exetel ExDa'!$C$2:$N$14, 9,FALSE), IFERROR(VLOOKUP($A592,'Infinet ExDa'!$B$2:$E$14, 0,FALSE), "Not Found"))))))))</f>
        <v>Not Found</v>
      </c>
      <c r="M592" s="234" t="str">
        <f>IFERROR(VLOOKUP($A592,'AAPT ExDa'!$B$2:$U$99, 0,FALSE), IFERROR(VLOOKUP($A592,'ABB ExDa'!$A$2:$N$184, 0,FALSE), IFERROR(VLOOKUP($A592,'Vocus SIT ExDa'!$B$2:$J$173, 0,FALSE), IFERROR(VLOOKUP($A592,'Telstra ExDa'!$B$2:$K$310, 0,FALSE), IFERROR(VLOOKUP($A592,'Vocus RVC ExDa'!$C$2:$R$155, 0,FALSE), IFERROR(VLOOKUP($A592,'Fusion ExDa'!$B$2:$D$16, 0,FALSE), IFERROR(VLOOKUP($A592,'Exetel ExDa'!$C$2:$N$14, 11,FALSE), IFERROR(VLOOKUP($A592,'Infinet ExDa'!$B$2:$E$14, 0,FALSE), "Not Found"))))))))</f>
        <v>Not Found</v>
      </c>
      <c r="N592" t="str">
        <f>IFERROR(VLOOKUP($A592,'AAPT ExDa'!$B$2:$U$99, 0,FALSE), IFERROR(VLOOKUP($A592,'ABB ExDa'!$A$2:$N$184, 13,FALSE), IFERROR(VLOOKUP($A592,'Vocus SIT ExDa'!$B$2:$J$173, 0,FALSE), IFERROR(VLOOKUP($A592,'Telstra ExDa'!$B$2:$K$310, 0,FALSE), IFERROR(VLOOKUP($A592,'Vocus RVC ExDa'!$C$2:$R$155, 0,FALSE), IFERROR(VLOOKUP($A592,'Fusion ExDa'!$B$2:$D$16, 0,FALSE), IFERROR(VLOOKUP($A592,'Exetel ExDa'!$C$2:$N$14, 0,FALSE), IFERROR(VLOOKUP($A592,'Infinet ExDa'!$B$2:$E$14, 0,FALSE), "Not Found"))))))))</f>
        <v>Not Found</v>
      </c>
    </row>
    <row r="593" spans="1:14">
      <c r="A593">
        <v>0</v>
      </c>
      <c r="B593" t="str">
        <f>IFERROR(VLOOKUP(A593,'Exetel ExDa'!$C$2:$N$14,4,FALSE),"No Data")</f>
        <v>No Data</v>
      </c>
      <c r="C593" t="str">
        <f>IFERROR(VLOOKUP(A593,'AAPT ExDa'!$B$2:$U$99, 2,FALSE), IFERROR(VLOOKUP(A593,'ABB ExDa'!$A$2:$N$184, 2,FALSE), IFERROR(VLOOKUP(A593,'Vocus SIT ExDa'!$B$2:$J$173, 7,FALSE), IFERROR(VLOOKUP(A593,'Telstra ExDa'!$B$2:$K$310, 2,FALSE), IFERROR(VLOOKUP(A593,'Vocus RVC ExDa'!$C$2:$R$155, 3,FALSE), IFERROR(VLOOKUP(A593,'Fusion ExDa'!$B$2:$D$16, 2,FALSE), IFERROR(VLOOKUP(A593,'Exetel ExDa'!$C$2:$N$14, 2,FALSE), IFERROR(VLOOKUP(A593,'Infinet ExDa'!$B$2:$E$14, 2,FALSE), "Not Found"))))))))</f>
        <v>Not Found</v>
      </c>
      <c r="D593" t="str">
        <f>IFERROR(VLOOKUP($A593,'AAPT ExDa'!$B$2:$U$99, 15,FALSE), IFERROR(VLOOKUP($A593,'ABB ExDa'!$A$2:$N$184, 4,FALSE), IFERROR(VLOOKUP($A593,'Vocus SIT ExDa'!$B$2:$J$173, 5,FALSE), IFERROR(VLOOKUP($A593,'Telstra ExDa'!$B$2:$K$310, 8,FALSE), IFERROR(VLOOKUP($A593,'Vocus RVC ExDa'!$C$2:$R$155, 6,FALSE), IFERROR(VLOOKUP($A593,'Fusion ExDa'!$B$2:$D$16, 4,FALSE), IFERROR(VLOOKUP($A593,'Exetel ExDa'!$C$2:$N$14, 3,FALSE), IFERROR(VLOOKUP($A593,'Infinet ExDa'!$B$2:$E$14, 3,FALSE), "Not Found"))))))))</f>
        <v>Not Found</v>
      </c>
      <c r="E593" t="str">
        <f>IFERROR(VLOOKUP($A593,'AAPT ExDa'!$B$2:$U$99, 3,FALSE), IFERROR(VLOOKUP($A593,'ABB ExDa'!$A$2:$N$184, 5,FALSE), IFERROR(VLOOKUP($A593,'Vocus SIT ExDa'!$B$2:$J$173, 2,FALSE), IFERROR(VLOOKUP($A593,'Telstra ExDa'!$B$2:$K$310, 4,FALSE), IFERROR(VLOOKUP($A593,'Vocus RVC ExDa'!$C$2:$R$155, 8,FALSE), IFERROR(VLOOKUP($A593,'Fusion ExDa'!$B$2:$D$16, 4,FALSE), IFERROR(VLOOKUP($A593,'Exetel ExDa'!$C$2:$N$14, 5,FALSE), IFERROR(VLOOKUP($A593,'Infinet ExDa'!$B$2:$E$14, 3,FALSE), "Not Found"))))))))</f>
        <v>Not Found</v>
      </c>
      <c r="F593" t="str">
        <f>IFERROR(VLOOKUP($A593,'AAPT ExDa'!$B$2:$U$99, 4,FALSE), IFERROR(VLOOKUP($A593,'ABB ExDa'!$A$2:$N$184, 6,FALSE), IFERROR(VLOOKUP($A593,'Vocus SIT ExDa'!$B$2:$J$173, 3,FALSE), IFERROR(VLOOKUP($A593,'Telstra ExDa'!$B$2:$K$310, 5,FALSE), IFERROR(VLOOKUP($A593,'Vocus RVC ExDa'!$C$2:$R$155, 9,FALSE), IFERROR(VLOOKUP($A593,'Fusion ExDa'!$B$2:$D$16, 0,FALSE), IFERROR(VLOOKUP($A593,'Exetel ExDa'!$C$2:$N$14, 6,FALSE), IFERROR(VLOOKUP($A593,'Infinet ExDa'!$B$2:$E$14, 0,FALSE), "Not Found"))))))))</f>
        <v>Not Found</v>
      </c>
      <c r="G593" t="str">
        <f>IFERROR(VLOOKUP($A593,'AAPT ExDa'!$B$2:$U$99, 5,FALSE), IFERROR(VLOOKUP($A593,'ABB ExDa'!$A$2:$N$184, 8,FALSE), IFERROR(VLOOKUP($A593,'Vocus SIT ExDa'!$B$2:$J$173, 6,FALSE), IFERROR(VLOOKUP($A593,'Telstra ExDa'!$B$2:$K$310, 0,FALSE), IFERROR(VLOOKUP($A593,'Vocus RVC ExDa'!$C$2:$R$155, 15,FALSE), IFERROR(VLOOKUP($A593,'Fusion ExDa'!$B$2:$D$16, 0,FALSE), IFERROR(VLOOKUP($A593,'Exetel ExDa'!$C$2:$N$14, 7,FALSE), IFERROR(VLOOKUP($A593,'Infinet ExDa'!$B$2:$E$14, 0,FALSE), "Not Found"))))))))</f>
        <v>Not Found</v>
      </c>
      <c r="H593" t="str">
        <f>IFERROR(VLOOKUP($A593,'AAPT ExDa'!$B$2:$U$99, 6,FALSE), IFERROR(VLOOKUP($A593,'ABB ExDa'!$A$2:$N$184, 0,FALSE), IFERROR(VLOOKUP($A593,'Vocus SIT ExDa'!$B$2:$J$173, 0,FALSE), IFERROR(VLOOKUP($A593,'Telstra ExDa'!$B$2:$K$310, 0,FALSE), IFERROR(VLOOKUP($A593,'Vocus RVC ExDa'!$C$2:$R$155, 16,FALSE), IFERROR(VLOOKUP($A593,'Fusion ExDa'!$B$2:$D$16, 0,FALSE), IFERROR(VLOOKUP($A593,'Exetel ExDa'!$C$2:$N$14, 0,FALSE), IFERROR(VLOOKUP($A593,'Infinet ExDa'!$B$2:$E$14, 0,FALSE), "Not Found"))))))))</f>
        <v>Not Found</v>
      </c>
      <c r="I593" t="str">
        <f>IFERROR(VLOOKUP($A593,'AAPT ExDa'!$B$2:$U$99, 0,FALSE), IFERROR(VLOOKUP($A593,'ABB ExDa'!$A$2:$N$184, 0,FALSE), IFERROR(VLOOKUP($A593,'Vocus SIT ExDa'!$B$2:$J$173, 0,FALSE), IFERROR(VLOOKUP($A593,'Telstra ExDa'!$B$2:$K$310, 0,FALSE), IFERROR(VLOOKUP($A593,'Vocus RVC ExDa'!$C$2:$R$155, 0,FALSE), IFERROR(VLOOKUP($A593,'Fusion ExDa'!$B$2:$D$16, 0,FALSE), IFERROR(VLOOKUP($A593,'Exetel ExDa'!$C$2:$N$14, 8,FALSE), IFERROR(VLOOKUP($A593,'Infinet ExDa'!$B$2:$E$14, 0,FALSE), "Not Found"))))))))</f>
        <v>Not Found</v>
      </c>
      <c r="J593" t="str">
        <f>IFERROR(VLOOKUP($A593,'AAPT ExDa'!$B$2:$U$99, 7,FALSE), IFERROR(VLOOKUP($A593,'ABB ExDa'!$A$2:$N$184, 2,FALSE), IFERROR(VLOOKUP($A593,'Vocus SIT ExDa'!$B$2:$J$173, 0,FALSE), IFERROR(VLOOKUP($A593,'Telstra ExDa'!$B$2:$K$310, 7,FALSE), IFERROR(VLOOKUP($A593,'Vocus RVC ExDa'!$C$2:$R$155, 2,FALSE), IFERROR(VLOOKUP($A593,'Fusion ExDa'!$B$2:$D$16, 3,FALSE), IFERROR(VLOOKUP($A593,'Exetel ExDa'!$C$2:$N$14, 0,FALSE), IFERROR(VLOOKUP($A593,'Infinet ExDa'!$B$2:$E$14, 0,FALSE), "Not Found"))))))))</f>
        <v>Not Found</v>
      </c>
      <c r="K593" t="str">
        <f>IFERROR(VLOOKUP($A593,'AAPT ExDa'!$B$2:$U$99, 12,FALSE), IFERROR(VLOOKUP($A593,'ABB ExDa'!$A$2:$N$184, 0,FALSE), IFERROR(VLOOKUP($A593,'Vocus SIT ExDa'!$B$2:$J$173, 0,FALSE), IFERROR(VLOOKUP($A593,'Telstra ExDa'!$B$2:$K$310, 0,FALSE), IFERROR(VLOOKUP($A593,'Vocus RVC ExDa'!$C$2:$R$155, 0,FALSE), IFERROR(VLOOKUP($A593,'Fusion ExDa'!$B$2:$D$16, 0,FALSE), IFERROR(VLOOKUP($A593,'Exetel ExDa'!$C$2:$N$14, 12,FALSE), IFERROR(VLOOKUP($A593,'Infinet ExDa'!$B$2:$E$14, 0,FALSE), "Not Found"))))))))</f>
        <v>Not Found</v>
      </c>
      <c r="L593" s="235" t="str">
        <f>IFERROR(VLOOKUP($A593,'AAPT ExDa'!$B$2:$U$99, 11,FALSE), IFERROR(VLOOKUP($A593,'ABB ExDa'!$A$2:$N$184, 9,FALSE), IFERROR(VLOOKUP($A593,'Vocus SIT ExDa'!$B$2:$J$173, 8,FALSE), IFERROR(VLOOKUP($A593,'Telstra ExDa'!$B$2:$K$310, 0,FALSE), IFERROR(VLOOKUP($A593,'Vocus RVC ExDa'!$C$2:$R$155, 0,FALSE), IFERROR(VLOOKUP($A593,'Fusion ExDa'!$B$2:$D$16, 0,FALSE), IFERROR(VLOOKUP($A593,'Exetel ExDa'!$C$2:$N$14, 9,FALSE), IFERROR(VLOOKUP($A593,'Infinet ExDa'!$B$2:$E$14, 0,FALSE), "Not Found"))))))))</f>
        <v>Not Found</v>
      </c>
      <c r="M593" s="234" t="str">
        <f>IFERROR(VLOOKUP($A593,'AAPT ExDa'!$B$2:$U$99, 0,FALSE), IFERROR(VLOOKUP($A593,'ABB ExDa'!$A$2:$N$184, 0,FALSE), IFERROR(VLOOKUP($A593,'Vocus SIT ExDa'!$B$2:$J$173, 0,FALSE), IFERROR(VLOOKUP($A593,'Telstra ExDa'!$B$2:$K$310, 0,FALSE), IFERROR(VLOOKUP($A593,'Vocus RVC ExDa'!$C$2:$R$155, 0,FALSE), IFERROR(VLOOKUP($A593,'Fusion ExDa'!$B$2:$D$16, 0,FALSE), IFERROR(VLOOKUP($A593,'Exetel ExDa'!$C$2:$N$14, 11,FALSE), IFERROR(VLOOKUP($A593,'Infinet ExDa'!$B$2:$E$14, 0,FALSE), "Not Found"))))))))</f>
        <v>Not Found</v>
      </c>
      <c r="N593" t="str">
        <f>IFERROR(VLOOKUP($A593,'AAPT ExDa'!$B$2:$U$99, 0,FALSE), IFERROR(VLOOKUP($A593,'ABB ExDa'!$A$2:$N$184, 13,FALSE), IFERROR(VLOOKUP($A593,'Vocus SIT ExDa'!$B$2:$J$173, 0,FALSE), IFERROR(VLOOKUP($A593,'Telstra ExDa'!$B$2:$K$310, 0,FALSE), IFERROR(VLOOKUP($A593,'Vocus RVC ExDa'!$C$2:$R$155, 0,FALSE), IFERROR(VLOOKUP($A593,'Fusion ExDa'!$B$2:$D$16, 0,FALSE), IFERROR(VLOOKUP($A593,'Exetel ExDa'!$C$2:$N$14, 0,FALSE), IFERROR(VLOOKUP($A593,'Infinet ExDa'!$B$2:$E$14, 0,FALSE), "Not Found"))))))))</f>
        <v>Not Found</v>
      </c>
    </row>
    <row r="594" spans="1:14">
      <c r="A594">
        <v>0</v>
      </c>
      <c r="B594" t="str">
        <f>IFERROR(VLOOKUP(A594,'Exetel ExDa'!$C$2:$N$14,4,FALSE),"No Data")</f>
        <v>No Data</v>
      </c>
      <c r="C594" t="str">
        <f>IFERROR(VLOOKUP(A594,'AAPT ExDa'!$B$2:$U$99, 2,FALSE), IFERROR(VLOOKUP(A594,'ABB ExDa'!$A$2:$N$184, 2,FALSE), IFERROR(VLOOKUP(A594,'Vocus SIT ExDa'!$B$2:$J$173, 7,FALSE), IFERROR(VLOOKUP(A594,'Telstra ExDa'!$B$2:$K$310, 2,FALSE), IFERROR(VLOOKUP(A594,'Vocus RVC ExDa'!$C$2:$R$155, 3,FALSE), IFERROR(VLOOKUP(A594,'Fusion ExDa'!$B$2:$D$16, 2,FALSE), IFERROR(VLOOKUP(A594,'Exetel ExDa'!$C$2:$N$14, 2,FALSE), IFERROR(VLOOKUP(A594,'Infinet ExDa'!$B$2:$E$14, 2,FALSE), "Not Found"))))))))</f>
        <v>Not Found</v>
      </c>
      <c r="D594" t="str">
        <f>IFERROR(VLOOKUP($A594,'AAPT ExDa'!$B$2:$U$99, 15,FALSE), IFERROR(VLOOKUP($A594,'ABB ExDa'!$A$2:$N$184, 4,FALSE), IFERROR(VLOOKUP($A594,'Vocus SIT ExDa'!$B$2:$J$173, 5,FALSE), IFERROR(VLOOKUP($A594,'Telstra ExDa'!$B$2:$K$310, 8,FALSE), IFERROR(VLOOKUP($A594,'Vocus RVC ExDa'!$C$2:$R$155, 6,FALSE), IFERROR(VLOOKUP($A594,'Fusion ExDa'!$B$2:$D$16, 4,FALSE), IFERROR(VLOOKUP($A594,'Exetel ExDa'!$C$2:$N$14, 3,FALSE), IFERROR(VLOOKUP($A594,'Infinet ExDa'!$B$2:$E$14, 3,FALSE), "Not Found"))))))))</f>
        <v>Not Found</v>
      </c>
      <c r="E594" t="str">
        <f>IFERROR(VLOOKUP($A594,'AAPT ExDa'!$B$2:$U$99, 3,FALSE), IFERROR(VLOOKUP($A594,'ABB ExDa'!$A$2:$N$184, 5,FALSE), IFERROR(VLOOKUP($A594,'Vocus SIT ExDa'!$B$2:$J$173, 2,FALSE), IFERROR(VLOOKUP($A594,'Telstra ExDa'!$B$2:$K$310, 4,FALSE), IFERROR(VLOOKUP($A594,'Vocus RVC ExDa'!$C$2:$R$155, 8,FALSE), IFERROR(VLOOKUP($A594,'Fusion ExDa'!$B$2:$D$16, 4,FALSE), IFERROR(VLOOKUP($A594,'Exetel ExDa'!$C$2:$N$14, 5,FALSE), IFERROR(VLOOKUP($A594,'Infinet ExDa'!$B$2:$E$14, 3,FALSE), "Not Found"))))))))</f>
        <v>Not Found</v>
      </c>
      <c r="F594" t="str">
        <f>IFERROR(VLOOKUP($A594,'AAPT ExDa'!$B$2:$U$99, 4,FALSE), IFERROR(VLOOKUP($A594,'ABB ExDa'!$A$2:$N$184, 6,FALSE), IFERROR(VLOOKUP($A594,'Vocus SIT ExDa'!$B$2:$J$173, 3,FALSE), IFERROR(VLOOKUP($A594,'Telstra ExDa'!$B$2:$K$310, 5,FALSE), IFERROR(VLOOKUP($A594,'Vocus RVC ExDa'!$C$2:$R$155, 9,FALSE), IFERROR(VLOOKUP($A594,'Fusion ExDa'!$B$2:$D$16, 0,FALSE), IFERROR(VLOOKUP($A594,'Exetel ExDa'!$C$2:$N$14, 6,FALSE), IFERROR(VLOOKUP($A594,'Infinet ExDa'!$B$2:$E$14, 0,FALSE), "Not Found"))))))))</f>
        <v>Not Found</v>
      </c>
      <c r="G594" t="str">
        <f>IFERROR(VLOOKUP($A594,'AAPT ExDa'!$B$2:$U$99, 5,FALSE), IFERROR(VLOOKUP($A594,'ABB ExDa'!$A$2:$N$184, 8,FALSE), IFERROR(VLOOKUP($A594,'Vocus SIT ExDa'!$B$2:$J$173, 6,FALSE), IFERROR(VLOOKUP($A594,'Telstra ExDa'!$B$2:$K$310, 0,FALSE), IFERROR(VLOOKUP($A594,'Vocus RVC ExDa'!$C$2:$R$155, 15,FALSE), IFERROR(VLOOKUP($A594,'Fusion ExDa'!$B$2:$D$16, 0,FALSE), IFERROR(VLOOKUP($A594,'Exetel ExDa'!$C$2:$N$14, 7,FALSE), IFERROR(VLOOKUP($A594,'Infinet ExDa'!$B$2:$E$14, 0,FALSE), "Not Found"))))))))</f>
        <v>Not Found</v>
      </c>
      <c r="H594" t="str">
        <f>IFERROR(VLOOKUP($A594,'AAPT ExDa'!$B$2:$U$99, 6,FALSE), IFERROR(VLOOKUP($A594,'ABB ExDa'!$A$2:$N$184, 0,FALSE), IFERROR(VLOOKUP($A594,'Vocus SIT ExDa'!$B$2:$J$173, 0,FALSE), IFERROR(VLOOKUP($A594,'Telstra ExDa'!$B$2:$K$310, 0,FALSE), IFERROR(VLOOKUP($A594,'Vocus RVC ExDa'!$C$2:$R$155, 16,FALSE), IFERROR(VLOOKUP($A594,'Fusion ExDa'!$B$2:$D$16, 0,FALSE), IFERROR(VLOOKUP($A594,'Exetel ExDa'!$C$2:$N$14, 0,FALSE), IFERROR(VLOOKUP($A594,'Infinet ExDa'!$B$2:$E$14, 0,FALSE), "Not Found"))))))))</f>
        <v>Not Found</v>
      </c>
      <c r="I594" t="str">
        <f>IFERROR(VLOOKUP($A594,'AAPT ExDa'!$B$2:$U$99, 0,FALSE), IFERROR(VLOOKUP($A594,'ABB ExDa'!$A$2:$N$184, 0,FALSE), IFERROR(VLOOKUP($A594,'Vocus SIT ExDa'!$B$2:$J$173, 0,FALSE), IFERROR(VLOOKUP($A594,'Telstra ExDa'!$B$2:$K$310, 0,FALSE), IFERROR(VLOOKUP($A594,'Vocus RVC ExDa'!$C$2:$R$155, 0,FALSE), IFERROR(VLOOKUP($A594,'Fusion ExDa'!$B$2:$D$16, 0,FALSE), IFERROR(VLOOKUP($A594,'Exetel ExDa'!$C$2:$N$14, 8,FALSE), IFERROR(VLOOKUP($A594,'Infinet ExDa'!$B$2:$E$14, 0,FALSE), "Not Found"))))))))</f>
        <v>Not Found</v>
      </c>
      <c r="J594" t="str">
        <f>IFERROR(VLOOKUP($A594,'AAPT ExDa'!$B$2:$U$99, 7,FALSE), IFERROR(VLOOKUP($A594,'ABB ExDa'!$A$2:$N$184, 2,FALSE), IFERROR(VLOOKUP($A594,'Vocus SIT ExDa'!$B$2:$J$173, 0,FALSE), IFERROR(VLOOKUP($A594,'Telstra ExDa'!$B$2:$K$310, 7,FALSE), IFERROR(VLOOKUP($A594,'Vocus RVC ExDa'!$C$2:$R$155, 2,FALSE), IFERROR(VLOOKUP($A594,'Fusion ExDa'!$B$2:$D$16, 3,FALSE), IFERROR(VLOOKUP($A594,'Exetel ExDa'!$C$2:$N$14, 0,FALSE), IFERROR(VLOOKUP($A594,'Infinet ExDa'!$B$2:$E$14, 0,FALSE), "Not Found"))))))))</f>
        <v>Not Found</v>
      </c>
      <c r="K594" t="str">
        <f>IFERROR(VLOOKUP($A594,'AAPT ExDa'!$B$2:$U$99, 12,FALSE), IFERROR(VLOOKUP($A594,'ABB ExDa'!$A$2:$N$184, 0,FALSE), IFERROR(VLOOKUP($A594,'Vocus SIT ExDa'!$B$2:$J$173, 0,FALSE), IFERROR(VLOOKUP($A594,'Telstra ExDa'!$B$2:$K$310, 0,FALSE), IFERROR(VLOOKUP($A594,'Vocus RVC ExDa'!$C$2:$R$155, 0,FALSE), IFERROR(VLOOKUP($A594,'Fusion ExDa'!$B$2:$D$16, 0,FALSE), IFERROR(VLOOKUP($A594,'Exetel ExDa'!$C$2:$N$14, 12,FALSE), IFERROR(VLOOKUP($A594,'Infinet ExDa'!$B$2:$E$14, 0,FALSE), "Not Found"))))))))</f>
        <v>Not Found</v>
      </c>
      <c r="L594" s="235" t="str">
        <f>IFERROR(VLOOKUP($A594,'AAPT ExDa'!$B$2:$U$99, 11,FALSE), IFERROR(VLOOKUP($A594,'ABB ExDa'!$A$2:$N$184, 9,FALSE), IFERROR(VLOOKUP($A594,'Vocus SIT ExDa'!$B$2:$J$173, 8,FALSE), IFERROR(VLOOKUP($A594,'Telstra ExDa'!$B$2:$K$310, 0,FALSE), IFERROR(VLOOKUP($A594,'Vocus RVC ExDa'!$C$2:$R$155, 0,FALSE), IFERROR(VLOOKUP($A594,'Fusion ExDa'!$B$2:$D$16, 0,FALSE), IFERROR(VLOOKUP($A594,'Exetel ExDa'!$C$2:$N$14, 9,FALSE), IFERROR(VLOOKUP($A594,'Infinet ExDa'!$B$2:$E$14, 0,FALSE), "Not Found"))))))))</f>
        <v>Not Found</v>
      </c>
      <c r="M594" s="234" t="str">
        <f>IFERROR(VLOOKUP($A594,'AAPT ExDa'!$B$2:$U$99, 0,FALSE), IFERROR(VLOOKUP($A594,'ABB ExDa'!$A$2:$N$184, 0,FALSE), IFERROR(VLOOKUP($A594,'Vocus SIT ExDa'!$B$2:$J$173, 0,FALSE), IFERROR(VLOOKUP($A594,'Telstra ExDa'!$B$2:$K$310, 0,FALSE), IFERROR(VLOOKUP($A594,'Vocus RVC ExDa'!$C$2:$R$155, 0,FALSE), IFERROR(VLOOKUP($A594,'Fusion ExDa'!$B$2:$D$16, 0,FALSE), IFERROR(VLOOKUP($A594,'Exetel ExDa'!$C$2:$N$14, 11,FALSE), IFERROR(VLOOKUP($A594,'Infinet ExDa'!$B$2:$E$14, 0,FALSE), "Not Found"))))))))</f>
        <v>Not Found</v>
      </c>
      <c r="N594" t="str">
        <f>IFERROR(VLOOKUP($A594,'AAPT ExDa'!$B$2:$U$99, 0,FALSE), IFERROR(VLOOKUP($A594,'ABB ExDa'!$A$2:$N$184, 13,FALSE), IFERROR(VLOOKUP($A594,'Vocus SIT ExDa'!$B$2:$J$173, 0,FALSE), IFERROR(VLOOKUP($A594,'Telstra ExDa'!$B$2:$K$310, 0,FALSE), IFERROR(VLOOKUP($A594,'Vocus RVC ExDa'!$C$2:$R$155, 0,FALSE), IFERROR(VLOOKUP($A594,'Fusion ExDa'!$B$2:$D$16, 0,FALSE), IFERROR(VLOOKUP($A594,'Exetel ExDa'!$C$2:$N$14, 0,FALSE), IFERROR(VLOOKUP($A594,'Infinet ExDa'!$B$2:$E$14, 0,FALSE), "Not Found"))))))))</f>
        <v>Not Found</v>
      </c>
    </row>
    <row r="595" spans="1:14">
      <c r="A595">
        <v>0</v>
      </c>
      <c r="B595" t="str">
        <f>IFERROR(VLOOKUP(A595,'Exetel ExDa'!$C$2:$N$14,4,FALSE),"No Data")</f>
        <v>No Data</v>
      </c>
      <c r="C595" t="str">
        <f>IFERROR(VLOOKUP(A595,'AAPT ExDa'!$B$2:$U$99, 2,FALSE), IFERROR(VLOOKUP(A595,'ABB ExDa'!$A$2:$N$184, 2,FALSE), IFERROR(VLOOKUP(A595,'Vocus SIT ExDa'!$B$2:$J$173, 7,FALSE), IFERROR(VLOOKUP(A595,'Telstra ExDa'!$B$2:$K$310, 2,FALSE), IFERROR(VLOOKUP(A595,'Vocus RVC ExDa'!$C$2:$R$155, 3,FALSE), IFERROR(VLOOKUP(A595,'Fusion ExDa'!$B$2:$D$16, 2,FALSE), IFERROR(VLOOKUP(A595,'Exetel ExDa'!$C$2:$N$14, 2,FALSE), IFERROR(VLOOKUP(A595,'Infinet ExDa'!$B$2:$E$14, 2,FALSE), "Not Found"))))))))</f>
        <v>Not Found</v>
      </c>
      <c r="D595" t="str">
        <f>IFERROR(VLOOKUP($A595,'AAPT ExDa'!$B$2:$U$99, 15,FALSE), IFERROR(VLOOKUP($A595,'ABB ExDa'!$A$2:$N$184, 4,FALSE), IFERROR(VLOOKUP($A595,'Vocus SIT ExDa'!$B$2:$J$173, 5,FALSE), IFERROR(VLOOKUP($A595,'Telstra ExDa'!$B$2:$K$310, 8,FALSE), IFERROR(VLOOKUP($A595,'Vocus RVC ExDa'!$C$2:$R$155, 6,FALSE), IFERROR(VLOOKUP($A595,'Fusion ExDa'!$B$2:$D$16, 4,FALSE), IFERROR(VLOOKUP($A595,'Exetel ExDa'!$C$2:$N$14, 3,FALSE), IFERROR(VLOOKUP($A595,'Infinet ExDa'!$B$2:$E$14, 3,FALSE), "Not Found"))))))))</f>
        <v>Not Found</v>
      </c>
      <c r="E595" t="str">
        <f>IFERROR(VLOOKUP($A595,'AAPT ExDa'!$B$2:$U$99, 3,FALSE), IFERROR(VLOOKUP($A595,'ABB ExDa'!$A$2:$N$184, 5,FALSE), IFERROR(VLOOKUP($A595,'Vocus SIT ExDa'!$B$2:$J$173, 2,FALSE), IFERROR(VLOOKUP($A595,'Telstra ExDa'!$B$2:$K$310, 4,FALSE), IFERROR(VLOOKUP($A595,'Vocus RVC ExDa'!$C$2:$R$155, 8,FALSE), IFERROR(VLOOKUP($A595,'Fusion ExDa'!$B$2:$D$16, 4,FALSE), IFERROR(VLOOKUP($A595,'Exetel ExDa'!$C$2:$N$14, 5,FALSE), IFERROR(VLOOKUP($A595,'Infinet ExDa'!$B$2:$E$14, 3,FALSE), "Not Found"))))))))</f>
        <v>Not Found</v>
      </c>
      <c r="F595" t="str">
        <f>IFERROR(VLOOKUP($A595,'AAPT ExDa'!$B$2:$U$99, 4,FALSE), IFERROR(VLOOKUP($A595,'ABB ExDa'!$A$2:$N$184, 6,FALSE), IFERROR(VLOOKUP($A595,'Vocus SIT ExDa'!$B$2:$J$173, 3,FALSE), IFERROR(VLOOKUP($A595,'Telstra ExDa'!$B$2:$K$310, 5,FALSE), IFERROR(VLOOKUP($A595,'Vocus RVC ExDa'!$C$2:$R$155, 9,FALSE), IFERROR(VLOOKUP($A595,'Fusion ExDa'!$B$2:$D$16, 0,FALSE), IFERROR(VLOOKUP($A595,'Exetel ExDa'!$C$2:$N$14, 6,FALSE), IFERROR(VLOOKUP($A595,'Infinet ExDa'!$B$2:$E$14, 0,FALSE), "Not Found"))))))))</f>
        <v>Not Found</v>
      </c>
      <c r="G595" t="str">
        <f>IFERROR(VLOOKUP($A595,'AAPT ExDa'!$B$2:$U$99, 5,FALSE), IFERROR(VLOOKUP($A595,'ABB ExDa'!$A$2:$N$184, 8,FALSE), IFERROR(VLOOKUP($A595,'Vocus SIT ExDa'!$B$2:$J$173, 6,FALSE), IFERROR(VLOOKUP($A595,'Telstra ExDa'!$B$2:$K$310, 0,FALSE), IFERROR(VLOOKUP($A595,'Vocus RVC ExDa'!$C$2:$R$155, 15,FALSE), IFERROR(VLOOKUP($A595,'Fusion ExDa'!$B$2:$D$16, 0,FALSE), IFERROR(VLOOKUP($A595,'Exetel ExDa'!$C$2:$N$14, 7,FALSE), IFERROR(VLOOKUP($A595,'Infinet ExDa'!$B$2:$E$14, 0,FALSE), "Not Found"))))))))</f>
        <v>Not Found</v>
      </c>
      <c r="H595" t="str">
        <f>IFERROR(VLOOKUP($A595,'AAPT ExDa'!$B$2:$U$99, 6,FALSE), IFERROR(VLOOKUP($A595,'ABB ExDa'!$A$2:$N$184, 0,FALSE), IFERROR(VLOOKUP($A595,'Vocus SIT ExDa'!$B$2:$J$173, 0,FALSE), IFERROR(VLOOKUP($A595,'Telstra ExDa'!$B$2:$K$310, 0,FALSE), IFERROR(VLOOKUP($A595,'Vocus RVC ExDa'!$C$2:$R$155, 16,FALSE), IFERROR(VLOOKUP($A595,'Fusion ExDa'!$B$2:$D$16, 0,FALSE), IFERROR(VLOOKUP($A595,'Exetel ExDa'!$C$2:$N$14, 0,FALSE), IFERROR(VLOOKUP($A595,'Infinet ExDa'!$B$2:$E$14, 0,FALSE), "Not Found"))))))))</f>
        <v>Not Found</v>
      </c>
      <c r="I595" t="str">
        <f>IFERROR(VLOOKUP($A595,'AAPT ExDa'!$B$2:$U$99, 0,FALSE), IFERROR(VLOOKUP($A595,'ABB ExDa'!$A$2:$N$184, 0,FALSE), IFERROR(VLOOKUP($A595,'Vocus SIT ExDa'!$B$2:$J$173, 0,FALSE), IFERROR(VLOOKUP($A595,'Telstra ExDa'!$B$2:$K$310, 0,FALSE), IFERROR(VLOOKUP($A595,'Vocus RVC ExDa'!$C$2:$R$155, 0,FALSE), IFERROR(VLOOKUP($A595,'Fusion ExDa'!$B$2:$D$16, 0,FALSE), IFERROR(VLOOKUP($A595,'Exetel ExDa'!$C$2:$N$14, 8,FALSE), IFERROR(VLOOKUP($A595,'Infinet ExDa'!$B$2:$E$14, 0,FALSE), "Not Found"))))))))</f>
        <v>Not Found</v>
      </c>
      <c r="J595" t="str">
        <f>IFERROR(VLOOKUP($A595,'AAPT ExDa'!$B$2:$U$99, 7,FALSE), IFERROR(VLOOKUP($A595,'ABB ExDa'!$A$2:$N$184, 2,FALSE), IFERROR(VLOOKUP($A595,'Vocus SIT ExDa'!$B$2:$J$173, 0,FALSE), IFERROR(VLOOKUP($A595,'Telstra ExDa'!$B$2:$K$310, 7,FALSE), IFERROR(VLOOKUP($A595,'Vocus RVC ExDa'!$C$2:$R$155, 2,FALSE), IFERROR(VLOOKUP($A595,'Fusion ExDa'!$B$2:$D$16, 3,FALSE), IFERROR(VLOOKUP($A595,'Exetel ExDa'!$C$2:$N$14, 0,FALSE), IFERROR(VLOOKUP($A595,'Infinet ExDa'!$B$2:$E$14, 0,FALSE), "Not Found"))))))))</f>
        <v>Not Found</v>
      </c>
      <c r="K595" t="str">
        <f>IFERROR(VLOOKUP($A595,'AAPT ExDa'!$B$2:$U$99, 12,FALSE), IFERROR(VLOOKUP($A595,'ABB ExDa'!$A$2:$N$184, 0,FALSE), IFERROR(VLOOKUP($A595,'Vocus SIT ExDa'!$B$2:$J$173, 0,FALSE), IFERROR(VLOOKUP($A595,'Telstra ExDa'!$B$2:$K$310, 0,FALSE), IFERROR(VLOOKUP($A595,'Vocus RVC ExDa'!$C$2:$R$155, 0,FALSE), IFERROR(VLOOKUP($A595,'Fusion ExDa'!$B$2:$D$16, 0,FALSE), IFERROR(VLOOKUP($A595,'Exetel ExDa'!$C$2:$N$14, 12,FALSE), IFERROR(VLOOKUP($A595,'Infinet ExDa'!$B$2:$E$14, 0,FALSE), "Not Found"))))))))</f>
        <v>Not Found</v>
      </c>
      <c r="L595" s="235" t="str">
        <f>IFERROR(VLOOKUP($A595,'AAPT ExDa'!$B$2:$U$99, 11,FALSE), IFERROR(VLOOKUP($A595,'ABB ExDa'!$A$2:$N$184, 9,FALSE), IFERROR(VLOOKUP($A595,'Vocus SIT ExDa'!$B$2:$J$173, 8,FALSE), IFERROR(VLOOKUP($A595,'Telstra ExDa'!$B$2:$K$310, 0,FALSE), IFERROR(VLOOKUP($A595,'Vocus RVC ExDa'!$C$2:$R$155, 0,FALSE), IFERROR(VLOOKUP($A595,'Fusion ExDa'!$B$2:$D$16, 0,FALSE), IFERROR(VLOOKUP($A595,'Exetel ExDa'!$C$2:$N$14, 9,FALSE), IFERROR(VLOOKUP($A595,'Infinet ExDa'!$B$2:$E$14, 0,FALSE), "Not Found"))))))))</f>
        <v>Not Found</v>
      </c>
      <c r="M595" s="234" t="str">
        <f>IFERROR(VLOOKUP($A595,'AAPT ExDa'!$B$2:$U$99, 0,FALSE), IFERROR(VLOOKUP($A595,'ABB ExDa'!$A$2:$N$184, 0,FALSE), IFERROR(VLOOKUP($A595,'Vocus SIT ExDa'!$B$2:$J$173, 0,FALSE), IFERROR(VLOOKUP($A595,'Telstra ExDa'!$B$2:$K$310, 0,FALSE), IFERROR(VLOOKUP($A595,'Vocus RVC ExDa'!$C$2:$R$155, 0,FALSE), IFERROR(VLOOKUP($A595,'Fusion ExDa'!$B$2:$D$16, 0,FALSE), IFERROR(VLOOKUP($A595,'Exetel ExDa'!$C$2:$N$14, 11,FALSE), IFERROR(VLOOKUP($A595,'Infinet ExDa'!$B$2:$E$14, 0,FALSE), "Not Found"))))))))</f>
        <v>Not Found</v>
      </c>
      <c r="N595" t="str">
        <f>IFERROR(VLOOKUP($A595,'AAPT ExDa'!$B$2:$U$99, 0,FALSE), IFERROR(VLOOKUP($A595,'ABB ExDa'!$A$2:$N$184, 13,FALSE), IFERROR(VLOOKUP($A595,'Vocus SIT ExDa'!$B$2:$J$173, 0,FALSE), IFERROR(VLOOKUP($A595,'Telstra ExDa'!$B$2:$K$310, 0,FALSE), IFERROR(VLOOKUP($A595,'Vocus RVC ExDa'!$C$2:$R$155, 0,FALSE), IFERROR(VLOOKUP($A595,'Fusion ExDa'!$B$2:$D$16, 0,FALSE), IFERROR(VLOOKUP($A595,'Exetel ExDa'!$C$2:$N$14, 0,FALSE), IFERROR(VLOOKUP($A595,'Infinet ExDa'!$B$2:$E$14, 0,FALSE), "Not Found"))))))))</f>
        <v>Not Found</v>
      </c>
    </row>
    <row r="596" spans="1:14">
      <c r="A596">
        <v>0</v>
      </c>
      <c r="B596" t="str">
        <f>IFERROR(VLOOKUP(A596,'Exetel ExDa'!$C$2:$N$14,4,FALSE),"No Data")</f>
        <v>No Data</v>
      </c>
      <c r="C596" t="str">
        <f>IFERROR(VLOOKUP(A596,'AAPT ExDa'!$B$2:$U$99, 2,FALSE), IFERROR(VLOOKUP(A596,'ABB ExDa'!$A$2:$N$184, 2,FALSE), IFERROR(VLOOKUP(A596,'Vocus SIT ExDa'!$B$2:$J$173, 7,FALSE), IFERROR(VLOOKUP(A596,'Telstra ExDa'!$B$2:$K$310, 2,FALSE), IFERROR(VLOOKUP(A596,'Vocus RVC ExDa'!$C$2:$R$155, 3,FALSE), IFERROR(VLOOKUP(A596,'Fusion ExDa'!$B$2:$D$16, 2,FALSE), IFERROR(VLOOKUP(A596,'Exetel ExDa'!$C$2:$N$14, 2,FALSE), IFERROR(VLOOKUP(A596,'Infinet ExDa'!$B$2:$E$14, 2,FALSE), "Not Found"))))))))</f>
        <v>Not Found</v>
      </c>
      <c r="D596" t="str">
        <f>IFERROR(VLOOKUP($A596,'AAPT ExDa'!$B$2:$U$99, 15,FALSE), IFERROR(VLOOKUP($A596,'ABB ExDa'!$A$2:$N$184, 4,FALSE), IFERROR(VLOOKUP($A596,'Vocus SIT ExDa'!$B$2:$J$173, 5,FALSE), IFERROR(VLOOKUP($A596,'Telstra ExDa'!$B$2:$K$310, 8,FALSE), IFERROR(VLOOKUP($A596,'Vocus RVC ExDa'!$C$2:$R$155, 6,FALSE), IFERROR(VLOOKUP($A596,'Fusion ExDa'!$B$2:$D$16, 4,FALSE), IFERROR(VLOOKUP($A596,'Exetel ExDa'!$C$2:$N$14, 3,FALSE), IFERROR(VLOOKUP($A596,'Infinet ExDa'!$B$2:$E$14, 3,FALSE), "Not Found"))))))))</f>
        <v>Not Found</v>
      </c>
      <c r="E596" t="str">
        <f>IFERROR(VLOOKUP($A596,'AAPT ExDa'!$B$2:$U$99, 3,FALSE), IFERROR(VLOOKUP($A596,'ABB ExDa'!$A$2:$N$184, 5,FALSE), IFERROR(VLOOKUP($A596,'Vocus SIT ExDa'!$B$2:$J$173, 2,FALSE), IFERROR(VLOOKUP($A596,'Telstra ExDa'!$B$2:$K$310, 4,FALSE), IFERROR(VLOOKUP($A596,'Vocus RVC ExDa'!$C$2:$R$155, 8,FALSE), IFERROR(VLOOKUP($A596,'Fusion ExDa'!$B$2:$D$16, 4,FALSE), IFERROR(VLOOKUP($A596,'Exetel ExDa'!$C$2:$N$14, 5,FALSE), IFERROR(VLOOKUP($A596,'Infinet ExDa'!$B$2:$E$14, 3,FALSE), "Not Found"))))))))</f>
        <v>Not Found</v>
      </c>
      <c r="F596" t="str">
        <f>IFERROR(VLOOKUP($A596,'AAPT ExDa'!$B$2:$U$99, 4,FALSE), IFERROR(VLOOKUP($A596,'ABB ExDa'!$A$2:$N$184, 6,FALSE), IFERROR(VLOOKUP($A596,'Vocus SIT ExDa'!$B$2:$J$173, 3,FALSE), IFERROR(VLOOKUP($A596,'Telstra ExDa'!$B$2:$K$310, 5,FALSE), IFERROR(VLOOKUP($A596,'Vocus RVC ExDa'!$C$2:$R$155, 9,FALSE), IFERROR(VLOOKUP($A596,'Fusion ExDa'!$B$2:$D$16, 0,FALSE), IFERROR(VLOOKUP($A596,'Exetel ExDa'!$C$2:$N$14, 6,FALSE), IFERROR(VLOOKUP($A596,'Infinet ExDa'!$B$2:$E$14, 0,FALSE), "Not Found"))))))))</f>
        <v>Not Found</v>
      </c>
      <c r="G596" t="str">
        <f>IFERROR(VLOOKUP($A596,'AAPT ExDa'!$B$2:$U$99, 5,FALSE), IFERROR(VLOOKUP($A596,'ABB ExDa'!$A$2:$N$184, 8,FALSE), IFERROR(VLOOKUP($A596,'Vocus SIT ExDa'!$B$2:$J$173, 6,FALSE), IFERROR(VLOOKUP($A596,'Telstra ExDa'!$B$2:$K$310, 0,FALSE), IFERROR(VLOOKUP($A596,'Vocus RVC ExDa'!$C$2:$R$155, 15,FALSE), IFERROR(VLOOKUP($A596,'Fusion ExDa'!$B$2:$D$16, 0,FALSE), IFERROR(VLOOKUP($A596,'Exetel ExDa'!$C$2:$N$14, 7,FALSE), IFERROR(VLOOKUP($A596,'Infinet ExDa'!$B$2:$E$14, 0,FALSE), "Not Found"))))))))</f>
        <v>Not Found</v>
      </c>
      <c r="H596" t="str">
        <f>IFERROR(VLOOKUP($A596,'AAPT ExDa'!$B$2:$U$99, 6,FALSE), IFERROR(VLOOKUP($A596,'ABB ExDa'!$A$2:$N$184, 0,FALSE), IFERROR(VLOOKUP($A596,'Vocus SIT ExDa'!$B$2:$J$173, 0,FALSE), IFERROR(VLOOKUP($A596,'Telstra ExDa'!$B$2:$K$310, 0,FALSE), IFERROR(VLOOKUP($A596,'Vocus RVC ExDa'!$C$2:$R$155, 16,FALSE), IFERROR(VLOOKUP($A596,'Fusion ExDa'!$B$2:$D$16, 0,FALSE), IFERROR(VLOOKUP($A596,'Exetel ExDa'!$C$2:$N$14, 0,FALSE), IFERROR(VLOOKUP($A596,'Infinet ExDa'!$B$2:$E$14, 0,FALSE), "Not Found"))))))))</f>
        <v>Not Found</v>
      </c>
      <c r="I596" t="str">
        <f>IFERROR(VLOOKUP($A596,'AAPT ExDa'!$B$2:$U$99, 0,FALSE), IFERROR(VLOOKUP($A596,'ABB ExDa'!$A$2:$N$184, 0,FALSE), IFERROR(VLOOKUP($A596,'Vocus SIT ExDa'!$B$2:$J$173, 0,FALSE), IFERROR(VLOOKUP($A596,'Telstra ExDa'!$B$2:$K$310, 0,FALSE), IFERROR(VLOOKUP($A596,'Vocus RVC ExDa'!$C$2:$R$155, 0,FALSE), IFERROR(VLOOKUP($A596,'Fusion ExDa'!$B$2:$D$16, 0,FALSE), IFERROR(VLOOKUP($A596,'Exetel ExDa'!$C$2:$N$14, 8,FALSE), IFERROR(VLOOKUP($A596,'Infinet ExDa'!$B$2:$E$14, 0,FALSE), "Not Found"))))))))</f>
        <v>Not Found</v>
      </c>
      <c r="J596" t="str">
        <f>IFERROR(VLOOKUP($A596,'AAPT ExDa'!$B$2:$U$99, 7,FALSE), IFERROR(VLOOKUP($A596,'ABB ExDa'!$A$2:$N$184, 2,FALSE), IFERROR(VLOOKUP($A596,'Vocus SIT ExDa'!$B$2:$J$173, 0,FALSE), IFERROR(VLOOKUP($A596,'Telstra ExDa'!$B$2:$K$310, 7,FALSE), IFERROR(VLOOKUP($A596,'Vocus RVC ExDa'!$C$2:$R$155, 2,FALSE), IFERROR(VLOOKUP($A596,'Fusion ExDa'!$B$2:$D$16, 3,FALSE), IFERROR(VLOOKUP($A596,'Exetel ExDa'!$C$2:$N$14, 0,FALSE), IFERROR(VLOOKUP($A596,'Infinet ExDa'!$B$2:$E$14, 0,FALSE), "Not Found"))))))))</f>
        <v>Not Found</v>
      </c>
      <c r="K596" t="str">
        <f>IFERROR(VLOOKUP($A596,'AAPT ExDa'!$B$2:$U$99, 12,FALSE), IFERROR(VLOOKUP($A596,'ABB ExDa'!$A$2:$N$184, 0,FALSE), IFERROR(VLOOKUP($A596,'Vocus SIT ExDa'!$B$2:$J$173, 0,FALSE), IFERROR(VLOOKUP($A596,'Telstra ExDa'!$B$2:$K$310, 0,FALSE), IFERROR(VLOOKUP($A596,'Vocus RVC ExDa'!$C$2:$R$155, 0,FALSE), IFERROR(VLOOKUP($A596,'Fusion ExDa'!$B$2:$D$16, 0,FALSE), IFERROR(VLOOKUP($A596,'Exetel ExDa'!$C$2:$N$14, 12,FALSE), IFERROR(VLOOKUP($A596,'Infinet ExDa'!$B$2:$E$14, 0,FALSE), "Not Found"))))))))</f>
        <v>Not Found</v>
      </c>
      <c r="L596" s="235" t="str">
        <f>IFERROR(VLOOKUP($A596,'AAPT ExDa'!$B$2:$U$99, 11,FALSE), IFERROR(VLOOKUP($A596,'ABB ExDa'!$A$2:$N$184, 9,FALSE), IFERROR(VLOOKUP($A596,'Vocus SIT ExDa'!$B$2:$J$173, 8,FALSE), IFERROR(VLOOKUP($A596,'Telstra ExDa'!$B$2:$K$310, 0,FALSE), IFERROR(VLOOKUP($A596,'Vocus RVC ExDa'!$C$2:$R$155, 0,FALSE), IFERROR(VLOOKUP($A596,'Fusion ExDa'!$B$2:$D$16, 0,FALSE), IFERROR(VLOOKUP($A596,'Exetel ExDa'!$C$2:$N$14, 9,FALSE), IFERROR(VLOOKUP($A596,'Infinet ExDa'!$B$2:$E$14, 0,FALSE), "Not Found"))))))))</f>
        <v>Not Found</v>
      </c>
      <c r="M596" s="234" t="str">
        <f>IFERROR(VLOOKUP($A596,'AAPT ExDa'!$B$2:$U$99, 0,FALSE), IFERROR(VLOOKUP($A596,'ABB ExDa'!$A$2:$N$184, 0,FALSE), IFERROR(VLOOKUP($A596,'Vocus SIT ExDa'!$B$2:$J$173, 0,FALSE), IFERROR(VLOOKUP($A596,'Telstra ExDa'!$B$2:$K$310, 0,FALSE), IFERROR(VLOOKUP($A596,'Vocus RVC ExDa'!$C$2:$R$155, 0,FALSE), IFERROR(VLOOKUP($A596,'Fusion ExDa'!$B$2:$D$16, 0,FALSE), IFERROR(VLOOKUP($A596,'Exetel ExDa'!$C$2:$N$14, 11,FALSE), IFERROR(VLOOKUP($A596,'Infinet ExDa'!$B$2:$E$14, 0,FALSE), "Not Found"))))))))</f>
        <v>Not Found</v>
      </c>
      <c r="N596" t="str">
        <f>IFERROR(VLOOKUP($A596,'AAPT ExDa'!$B$2:$U$99, 0,FALSE), IFERROR(VLOOKUP($A596,'ABB ExDa'!$A$2:$N$184, 13,FALSE), IFERROR(VLOOKUP($A596,'Vocus SIT ExDa'!$B$2:$J$173, 0,FALSE), IFERROR(VLOOKUP($A596,'Telstra ExDa'!$B$2:$K$310, 0,FALSE), IFERROR(VLOOKUP($A596,'Vocus RVC ExDa'!$C$2:$R$155, 0,FALSE), IFERROR(VLOOKUP($A596,'Fusion ExDa'!$B$2:$D$16, 0,FALSE), IFERROR(VLOOKUP($A596,'Exetel ExDa'!$C$2:$N$14, 0,FALSE), IFERROR(VLOOKUP($A596,'Infinet ExDa'!$B$2:$E$14, 0,FALSE), "Not Found"))))))))</f>
        <v>Not Found</v>
      </c>
    </row>
    <row r="597" spans="1:14">
      <c r="A597">
        <v>0</v>
      </c>
      <c r="B597" t="str">
        <f>IFERROR(VLOOKUP(A597,'Exetel ExDa'!$C$2:$N$14,4,FALSE),"No Data")</f>
        <v>No Data</v>
      </c>
      <c r="C597" t="str">
        <f>IFERROR(VLOOKUP(A597,'AAPT ExDa'!$B$2:$U$99, 2,FALSE), IFERROR(VLOOKUP(A597,'ABB ExDa'!$A$2:$N$184, 2,FALSE), IFERROR(VLOOKUP(A597,'Vocus SIT ExDa'!$B$2:$J$173, 7,FALSE), IFERROR(VLOOKUP(A597,'Telstra ExDa'!$B$2:$K$310, 2,FALSE), IFERROR(VLOOKUP(A597,'Vocus RVC ExDa'!$C$2:$R$155, 3,FALSE), IFERROR(VLOOKUP(A597,'Fusion ExDa'!$B$2:$D$16, 2,FALSE), IFERROR(VLOOKUP(A597,'Exetel ExDa'!$C$2:$N$14, 2,FALSE), IFERROR(VLOOKUP(A597,'Infinet ExDa'!$B$2:$E$14, 2,FALSE), "Not Found"))))))))</f>
        <v>Not Found</v>
      </c>
      <c r="D597" t="str">
        <f>IFERROR(VLOOKUP($A597,'AAPT ExDa'!$B$2:$U$99, 15,FALSE), IFERROR(VLOOKUP($A597,'ABB ExDa'!$A$2:$N$184, 4,FALSE), IFERROR(VLOOKUP($A597,'Vocus SIT ExDa'!$B$2:$J$173, 5,FALSE), IFERROR(VLOOKUP($A597,'Telstra ExDa'!$B$2:$K$310, 8,FALSE), IFERROR(VLOOKUP($A597,'Vocus RVC ExDa'!$C$2:$R$155, 6,FALSE), IFERROR(VLOOKUP($A597,'Fusion ExDa'!$B$2:$D$16, 4,FALSE), IFERROR(VLOOKUP($A597,'Exetel ExDa'!$C$2:$N$14, 3,FALSE), IFERROR(VLOOKUP($A597,'Infinet ExDa'!$B$2:$E$14, 3,FALSE), "Not Found"))))))))</f>
        <v>Not Found</v>
      </c>
      <c r="E597" t="str">
        <f>IFERROR(VLOOKUP($A597,'AAPT ExDa'!$B$2:$U$99, 3,FALSE), IFERROR(VLOOKUP($A597,'ABB ExDa'!$A$2:$N$184, 5,FALSE), IFERROR(VLOOKUP($A597,'Vocus SIT ExDa'!$B$2:$J$173, 2,FALSE), IFERROR(VLOOKUP($A597,'Telstra ExDa'!$B$2:$K$310, 4,FALSE), IFERROR(VLOOKUP($A597,'Vocus RVC ExDa'!$C$2:$R$155, 8,FALSE), IFERROR(VLOOKUP($A597,'Fusion ExDa'!$B$2:$D$16, 4,FALSE), IFERROR(VLOOKUP($A597,'Exetel ExDa'!$C$2:$N$14, 5,FALSE), IFERROR(VLOOKUP($A597,'Infinet ExDa'!$B$2:$E$14, 3,FALSE), "Not Found"))))))))</f>
        <v>Not Found</v>
      </c>
      <c r="F597" t="str">
        <f>IFERROR(VLOOKUP($A597,'AAPT ExDa'!$B$2:$U$99, 4,FALSE), IFERROR(VLOOKUP($A597,'ABB ExDa'!$A$2:$N$184, 6,FALSE), IFERROR(VLOOKUP($A597,'Vocus SIT ExDa'!$B$2:$J$173, 3,FALSE), IFERROR(VLOOKUP($A597,'Telstra ExDa'!$B$2:$K$310, 5,FALSE), IFERROR(VLOOKUP($A597,'Vocus RVC ExDa'!$C$2:$R$155, 9,FALSE), IFERROR(VLOOKUP($A597,'Fusion ExDa'!$B$2:$D$16, 0,FALSE), IFERROR(VLOOKUP($A597,'Exetel ExDa'!$C$2:$N$14, 6,FALSE), IFERROR(VLOOKUP($A597,'Infinet ExDa'!$B$2:$E$14, 0,FALSE), "Not Found"))))))))</f>
        <v>Not Found</v>
      </c>
      <c r="G597" t="str">
        <f>IFERROR(VLOOKUP($A597,'AAPT ExDa'!$B$2:$U$99, 5,FALSE), IFERROR(VLOOKUP($A597,'ABB ExDa'!$A$2:$N$184, 8,FALSE), IFERROR(VLOOKUP($A597,'Vocus SIT ExDa'!$B$2:$J$173, 6,FALSE), IFERROR(VLOOKUP($A597,'Telstra ExDa'!$B$2:$K$310, 0,FALSE), IFERROR(VLOOKUP($A597,'Vocus RVC ExDa'!$C$2:$R$155, 15,FALSE), IFERROR(VLOOKUP($A597,'Fusion ExDa'!$B$2:$D$16, 0,FALSE), IFERROR(VLOOKUP($A597,'Exetel ExDa'!$C$2:$N$14, 7,FALSE), IFERROR(VLOOKUP($A597,'Infinet ExDa'!$B$2:$E$14, 0,FALSE), "Not Found"))))))))</f>
        <v>Not Found</v>
      </c>
      <c r="H597" t="str">
        <f>IFERROR(VLOOKUP($A597,'AAPT ExDa'!$B$2:$U$99, 6,FALSE), IFERROR(VLOOKUP($A597,'ABB ExDa'!$A$2:$N$184, 0,FALSE), IFERROR(VLOOKUP($A597,'Vocus SIT ExDa'!$B$2:$J$173, 0,FALSE), IFERROR(VLOOKUP($A597,'Telstra ExDa'!$B$2:$K$310, 0,FALSE), IFERROR(VLOOKUP($A597,'Vocus RVC ExDa'!$C$2:$R$155, 16,FALSE), IFERROR(VLOOKUP($A597,'Fusion ExDa'!$B$2:$D$16, 0,FALSE), IFERROR(VLOOKUP($A597,'Exetel ExDa'!$C$2:$N$14, 0,FALSE), IFERROR(VLOOKUP($A597,'Infinet ExDa'!$B$2:$E$14, 0,FALSE), "Not Found"))))))))</f>
        <v>Not Found</v>
      </c>
      <c r="I597" t="str">
        <f>IFERROR(VLOOKUP($A597,'AAPT ExDa'!$B$2:$U$99, 0,FALSE), IFERROR(VLOOKUP($A597,'ABB ExDa'!$A$2:$N$184, 0,FALSE), IFERROR(VLOOKUP($A597,'Vocus SIT ExDa'!$B$2:$J$173, 0,FALSE), IFERROR(VLOOKUP($A597,'Telstra ExDa'!$B$2:$K$310, 0,FALSE), IFERROR(VLOOKUP($A597,'Vocus RVC ExDa'!$C$2:$R$155, 0,FALSE), IFERROR(VLOOKUP($A597,'Fusion ExDa'!$B$2:$D$16, 0,FALSE), IFERROR(VLOOKUP($A597,'Exetel ExDa'!$C$2:$N$14, 8,FALSE), IFERROR(VLOOKUP($A597,'Infinet ExDa'!$B$2:$E$14, 0,FALSE), "Not Found"))))))))</f>
        <v>Not Found</v>
      </c>
      <c r="J597" t="str">
        <f>IFERROR(VLOOKUP($A597,'AAPT ExDa'!$B$2:$U$99, 7,FALSE), IFERROR(VLOOKUP($A597,'ABB ExDa'!$A$2:$N$184, 2,FALSE), IFERROR(VLOOKUP($A597,'Vocus SIT ExDa'!$B$2:$J$173, 0,FALSE), IFERROR(VLOOKUP($A597,'Telstra ExDa'!$B$2:$K$310, 7,FALSE), IFERROR(VLOOKUP($A597,'Vocus RVC ExDa'!$C$2:$R$155, 2,FALSE), IFERROR(VLOOKUP($A597,'Fusion ExDa'!$B$2:$D$16, 3,FALSE), IFERROR(VLOOKUP($A597,'Exetel ExDa'!$C$2:$N$14, 0,FALSE), IFERROR(VLOOKUP($A597,'Infinet ExDa'!$B$2:$E$14, 0,FALSE), "Not Found"))))))))</f>
        <v>Not Found</v>
      </c>
      <c r="K597" t="str">
        <f>IFERROR(VLOOKUP($A597,'AAPT ExDa'!$B$2:$U$99, 12,FALSE), IFERROR(VLOOKUP($A597,'ABB ExDa'!$A$2:$N$184, 0,FALSE), IFERROR(VLOOKUP($A597,'Vocus SIT ExDa'!$B$2:$J$173, 0,FALSE), IFERROR(VLOOKUP($A597,'Telstra ExDa'!$B$2:$K$310, 0,FALSE), IFERROR(VLOOKUP($A597,'Vocus RVC ExDa'!$C$2:$R$155, 0,FALSE), IFERROR(VLOOKUP($A597,'Fusion ExDa'!$B$2:$D$16, 0,FALSE), IFERROR(VLOOKUP($A597,'Exetel ExDa'!$C$2:$N$14, 12,FALSE), IFERROR(VLOOKUP($A597,'Infinet ExDa'!$B$2:$E$14, 0,FALSE), "Not Found"))))))))</f>
        <v>Not Found</v>
      </c>
      <c r="L597" s="235" t="str">
        <f>IFERROR(VLOOKUP($A597,'AAPT ExDa'!$B$2:$U$99, 11,FALSE), IFERROR(VLOOKUP($A597,'ABB ExDa'!$A$2:$N$184, 9,FALSE), IFERROR(VLOOKUP($A597,'Vocus SIT ExDa'!$B$2:$J$173, 8,FALSE), IFERROR(VLOOKUP($A597,'Telstra ExDa'!$B$2:$K$310, 0,FALSE), IFERROR(VLOOKUP($A597,'Vocus RVC ExDa'!$C$2:$R$155, 0,FALSE), IFERROR(VLOOKUP($A597,'Fusion ExDa'!$B$2:$D$16, 0,FALSE), IFERROR(VLOOKUP($A597,'Exetel ExDa'!$C$2:$N$14, 9,FALSE), IFERROR(VLOOKUP($A597,'Infinet ExDa'!$B$2:$E$14, 0,FALSE), "Not Found"))))))))</f>
        <v>Not Found</v>
      </c>
      <c r="M597" s="234" t="str">
        <f>IFERROR(VLOOKUP($A597,'AAPT ExDa'!$B$2:$U$99, 0,FALSE), IFERROR(VLOOKUP($A597,'ABB ExDa'!$A$2:$N$184, 0,FALSE), IFERROR(VLOOKUP($A597,'Vocus SIT ExDa'!$B$2:$J$173, 0,FALSE), IFERROR(VLOOKUP($A597,'Telstra ExDa'!$B$2:$K$310, 0,FALSE), IFERROR(VLOOKUP($A597,'Vocus RVC ExDa'!$C$2:$R$155, 0,FALSE), IFERROR(VLOOKUP($A597,'Fusion ExDa'!$B$2:$D$16, 0,FALSE), IFERROR(VLOOKUP($A597,'Exetel ExDa'!$C$2:$N$14, 11,FALSE), IFERROR(VLOOKUP($A597,'Infinet ExDa'!$B$2:$E$14, 0,FALSE), "Not Found"))))))))</f>
        <v>Not Found</v>
      </c>
      <c r="N597" t="str">
        <f>IFERROR(VLOOKUP($A597,'AAPT ExDa'!$B$2:$U$99, 0,FALSE), IFERROR(VLOOKUP($A597,'ABB ExDa'!$A$2:$N$184, 13,FALSE), IFERROR(VLOOKUP($A597,'Vocus SIT ExDa'!$B$2:$J$173, 0,FALSE), IFERROR(VLOOKUP($A597,'Telstra ExDa'!$B$2:$K$310, 0,FALSE), IFERROR(VLOOKUP($A597,'Vocus RVC ExDa'!$C$2:$R$155, 0,FALSE), IFERROR(VLOOKUP($A597,'Fusion ExDa'!$B$2:$D$16, 0,FALSE), IFERROR(VLOOKUP($A597,'Exetel ExDa'!$C$2:$N$14, 0,FALSE), IFERROR(VLOOKUP($A597,'Infinet ExDa'!$B$2:$E$14, 0,FALSE), "Not Found"))))))))</f>
        <v>Not Found</v>
      </c>
    </row>
    <row r="598" spans="1:14">
      <c r="A598">
        <v>0</v>
      </c>
      <c r="B598" t="str">
        <f>IFERROR(VLOOKUP(A598,'Exetel ExDa'!$C$2:$N$14,4,FALSE),"No Data")</f>
        <v>No Data</v>
      </c>
      <c r="C598" t="str">
        <f>IFERROR(VLOOKUP(A598,'AAPT ExDa'!$B$2:$U$99, 2,FALSE), IFERROR(VLOOKUP(A598,'ABB ExDa'!$A$2:$N$184, 2,FALSE), IFERROR(VLOOKUP(A598,'Vocus SIT ExDa'!$B$2:$J$173, 7,FALSE), IFERROR(VLOOKUP(A598,'Telstra ExDa'!$B$2:$K$310, 2,FALSE), IFERROR(VLOOKUP(A598,'Vocus RVC ExDa'!$C$2:$R$155, 3,FALSE), IFERROR(VLOOKUP(A598,'Fusion ExDa'!$B$2:$D$16, 2,FALSE), IFERROR(VLOOKUP(A598,'Exetel ExDa'!$C$2:$N$14, 2,FALSE), IFERROR(VLOOKUP(A598,'Infinet ExDa'!$B$2:$E$14, 2,FALSE), "Not Found"))))))))</f>
        <v>Not Found</v>
      </c>
      <c r="D598" t="str">
        <f>IFERROR(VLOOKUP($A598,'AAPT ExDa'!$B$2:$U$99, 15,FALSE), IFERROR(VLOOKUP($A598,'ABB ExDa'!$A$2:$N$184, 4,FALSE), IFERROR(VLOOKUP($A598,'Vocus SIT ExDa'!$B$2:$J$173, 5,FALSE), IFERROR(VLOOKUP($A598,'Telstra ExDa'!$B$2:$K$310, 8,FALSE), IFERROR(VLOOKUP($A598,'Vocus RVC ExDa'!$C$2:$R$155, 6,FALSE), IFERROR(VLOOKUP($A598,'Fusion ExDa'!$B$2:$D$16, 4,FALSE), IFERROR(VLOOKUP($A598,'Exetel ExDa'!$C$2:$N$14, 3,FALSE), IFERROR(VLOOKUP($A598,'Infinet ExDa'!$B$2:$E$14, 3,FALSE), "Not Found"))))))))</f>
        <v>Not Found</v>
      </c>
      <c r="E598" t="str">
        <f>IFERROR(VLOOKUP($A598,'AAPT ExDa'!$B$2:$U$99, 3,FALSE), IFERROR(VLOOKUP($A598,'ABB ExDa'!$A$2:$N$184, 5,FALSE), IFERROR(VLOOKUP($A598,'Vocus SIT ExDa'!$B$2:$J$173, 2,FALSE), IFERROR(VLOOKUP($A598,'Telstra ExDa'!$B$2:$K$310, 4,FALSE), IFERROR(VLOOKUP($A598,'Vocus RVC ExDa'!$C$2:$R$155, 8,FALSE), IFERROR(VLOOKUP($A598,'Fusion ExDa'!$B$2:$D$16, 4,FALSE), IFERROR(VLOOKUP($A598,'Exetel ExDa'!$C$2:$N$14, 5,FALSE), IFERROR(VLOOKUP($A598,'Infinet ExDa'!$B$2:$E$14, 3,FALSE), "Not Found"))))))))</f>
        <v>Not Found</v>
      </c>
      <c r="F598" t="str">
        <f>IFERROR(VLOOKUP($A598,'AAPT ExDa'!$B$2:$U$99, 4,FALSE), IFERROR(VLOOKUP($A598,'ABB ExDa'!$A$2:$N$184, 6,FALSE), IFERROR(VLOOKUP($A598,'Vocus SIT ExDa'!$B$2:$J$173, 3,FALSE), IFERROR(VLOOKUP($A598,'Telstra ExDa'!$B$2:$K$310, 5,FALSE), IFERROR(VLOOKUP($A598,'Vocus RVC ExDa'!$C$2:$R$155, 9,FALSE), IFERROR(VLOOKUP($A598,'Fusion ExDa'!$B$2:$D$16, 0,FALSE), IFERROR(VLOOKUP($A598,'Exetel ExDa'!$C$2:$N$14, 6,FALSE), IFERROR(VLOOKUP($A598,'Infinet ExDa'!$B$2:$E$14, 0,FALSE), "Not Found"))))))))</f>
        <v>Not Found</v>
      </c>
      <c r="G598" t="str">
        <f>IFERROR(VLOOKUP($A598,'AAPT ExDa'!$B$2:$U$99, 5,FALSE), IFERROR(VLOOKUP($A598,'ABB ExDa'!$A$2:$N$184, 8,FALSE), IFERROR(VLOOKUP($A598,'Vocus SIT ExDa'!$B$2:$J$173, 6,FALSE), IFERROR(VLOOKUP($A598,'Telstra ExDa'!$B$2:$K$310, 0,FALSE), IFERROR(VLOOKUP($A598,'Vocus RVC ExDa'!$C$2:$R$155, 15,FALSE), IFERROR(VLOOKUP($A598,'Fusion ExDa'!$B$2:$D$16, 0,FALSE), IFERROR(VLOOKUP($A598,'Exetel ExDa'!$C$2:$N$14, 7,FALSE), IFERROR(VLOOKUP($A598,'Infinet ExDa'!$B$2:$E$14, 0,FALSE), "Not Found"))))))))</f>
        <v>Not Found</v>
      </c>
      <c r="H598" t="str">
        <f>IFERROR(VLOOKUP($A598,'AAPT ExDa'!$B$2:$U$99, 6,FALSE), IFERROR(VLOOKUP($A598,'ABB ExDa'!$A$2:$N$184, 0,FALSE), IFERROR(VLOOKUP($A598,'Vocus SIT ExDa'!$B$2:$J$173, 0,FALSE), IFERROR(VLOOKUP($A598,'Telstra ExDa'!$B$2:$K$310, 0,FALSE), IFERROR(VLOOKUP($A598,'Vocus RVC ExDa'!$C$2:$R$155, 16,FALSE), IFERROR(VLOOKUP($A598,'Fusion ExDa'!$B$2:$D$16, 0,FALSE), IFERROR(VLOOKUP($A598,'Exetel ExDa'!$C$2:$N$14, 0,FALSE), IFERROR(VLOOKUP($A598,'Infinet ExDa'!$B$2:$E$14, 0,FALSE), "Not Found"))))))))</f>
        <v>Not Found</v>
      </c>
      <c r="I598" t="str">
        <f>IFERROR(VLOOKUP($A598,'AAPT ExDa'!$B$2:$U$99, 0,FALSE), IFERROR(VLOOKUP($A598,'ABB ExDa'!$A$2:$N$184, 0,FALSE), IFERROR(VLOOKUP($A598,'Vocus SIT ExDa'!$B$2:$J$173, 0,FALSE), IFERROR(VLOOKUP($A598,'Telstra ExDa'!$B$2:$K$310, 0,FALSE), IFERROR(VLOOKUP($A598,'Vocus RVC ExDa'!$C$2:$R$155, 0,FALSE), IFERROR(VLOOKUP($A598,'Fusion ExDa'!$B$2:$D$16, 0,FALSE), IFERROR(VLOOKUP($A598,'Exetel ExDa'!$C$2:$N$14, 8,FALSE), IFERROR(VLOOKUP($A598,'Infinet ExDa'!$B$2:$E$14, 0,FALSE), "Not Found"))))))))</f>
        <v>Not Found</v>
      </c>
      <c r="J598" t="str">
        <f>IFERROR(VLOOKUP($A598,'AAPT ExDa'!$B$2:$U$99, 7,FALSE), IFERROR(VLOOKUP($A598,'ABB ExDa'!$A$2:$N$184, 2,FALSE), IFERROR(VLOOKUP($A598,'Vocus SIT ExDa'!$B$2:$J$173, 0,FALSE), IFERROR(VLOOKUP($A598,'Telstra ExDa'!$B$2:$K$310, 7,FALSE), IFERROR(VLOOKUP($A598,'Vocus RVC ExDa'!$C$2:$R$155, 2,FALSE), IFERROR(VLOOKUP($A598,'Fusion ExDa'!$B$2:$D$16, 3,FALSE), IFERROR(VLOOKUP($A598,'Exetel ExDa'!$C$2:$N$14, 0,FALSE), IFERROR(VLOOKUP($A598,'Infinet ExDa'!$B$2:$E$14, 0,FALSE), "Not Found"))))))))</f>
        <v>Not Found</v>
      </c>
      <c r="K598" t="str">
        <f>IFERROR(VLOOKUP($A598,'AAPT ExDa'!$B$2:$U$99, 12,FALSE), IFERROR(VLOOKUP($A598,'ABB ExDa'!$A$2:$N$184, 0,FALSE), IFERROR(VLOOKUP($A598,'Vocus SIT ExDa'!$B$2:$J$173, 0,FALSE), IFERROR(VLOOKUP($A598,'Telstra ExDa'!$B$2:$K$310, 0,FALSE), IFERROR(VLOOKUP($A598,'Vocus RVC ExDa'!$C$2:$R$155, 0,FALSE), IFERROR(VLOOKUP($A598,'Fusion ExDa'!$B$2:$D$16, 0,FALSE), IFERROR(VLOOKUP($A598,'Exetel ExDa'!$C$2:$N$14, 12,FALSE), IFERROR(VLOOKUP($A598,'Infinet ExDa'!$B$2:$E$14, 0,FALSE), "Not Found"))))))))</f>
        <v>Not Found</v>
      </c>
      <c r="L598" s="235" t="str">
        <f>IFERROR(VLOOKUP($A598,'AAPT ExDa'!$B$2:$U$99, 11,FALSE), IFERROR(VLOOKUP($A598,'ABB ExDa'!$A$2:$N$184, 9,FALSE), IFERROR(VLOOKUP($A598,'Vocus SIT ExDa'!$B$2:$J$173, 8,FALSE), IFERROR(VLOOKUP($A598,'Telstra ExDa'!$B$2:$K$310, 0,FALSE), IFERROR(VLOOKUP($A598,'Vocus RVC ExDa'!$C$2:$R$155, 0,FALSE), IFERROR(VLOOKUP($A598,'Fusion ExDa'!$B$2:$D$16, 0,FALSE), IFERROR(VLOOKUP($A598,'Exetel ExDa'!$C$2:$N$14, 9,FALSE), IFERROR(VLOOKUP($A598,'Infinet ExDa'!$B$2:$E$14, 0,FALSE), "Not Found"))))))))</f>
        <v>Not Found</v>
      </c>
      <c r="M598" s="234" t="str">
        <f>IFERROR(VLOOKUP($A598,'AAPT ExDa'!$B$2:$U$99, 0,FALSE), IFERROR(VLOOKUP($A598,'ABB ExDa'!$A$2:$N$184, 0,FALSE), IFERROR(VLOOKUP($A598,'Vocus SIT ExDa'!$B$2:$J$173, 0,FALSE), IFERROR(VLOOKUP($A598,'Telstra ExDa'!$B$2:$K$310, 0,FALSE), IFERROR(VLOOKUP($A598,'Vocus RVC ExDa'!$C$2:$R$155, 0,FALSE), IFERROR(VLOOKUP($A598,'Fusion ExDa'!$B$2:$D$16, 0,FALSE), IFERROR(VLOOKUP($A598,'Exetel ExDa'!$C$2:$N$14, 11,FALSE), IFERROR(VLOOKUP($A598,'Infinet ExDa'!$B$2:$E$14, 0,FALSE), "Not Found"))))))))</f>
        <v>Not Found</v>
      </c>
      <c r="N598" t="str">
        <f>IFERROR(VLOOKUP($A598,'AAPT ExDa'!$B$2:$U$99, 0,FALSE), IFERROR(VLOOKUP($A598,'ABB ExDa'!$A$2:$N$184, 13,FALSE), IFERROR(VLOOKUP($A598,'Vocus SIT ExDa'!$B$2:$J$173, 0,FALSE), IFERROR(VLOOKUP($A598,'Telstra ExDa'!$B$2:$K$310, 0,FALSE), IFERROR(VLOOKUP($A598,'Vocus RVC ExDa'!$C$2:$R$155, 0,FALSE), IFERROR(VLOOKUP($A598,'Fusion ExDa'!$B$2:$D$16, 0,FALSE), IFERROR(VLOOKUP($A598,'Exetel ExDa'!$C$2:$N$14, 0,FALSE), IFERROR(VLOOKUP($A598,'Infinet ExDa'!$B$2:$E$14, 0,FALSE), "Not Found"))))))))</f>
        <v>Not Found</v>
      </c>
    </row>
    <row r="599" spans="1:14">
      <c r="A599">
        <v>0</v>
      </c>
      <c r="B599" t="str">
        <f>IFERROR(VLOOKUP(A599,'Exetel ExDa'!$C$2:$N$14,4,FALSE),"No Data")</f>
        <v>No Data</v>
      </c>
      <c r="C599" t="str">
        <f>IFERROR(VLOOKUP(A599,'AAPT ExDa'!$B$2:$U$99, 2,FALSE), IFERROR(VLOOKUP(A599,'ABB ExDa'!$A$2:$N$184, 2,FALSE), IFERROR(VLOOKUP(A599,'Vocus SIT ExDa'!$B$2:$J$173, 7,FALSE), IFERROR(VLOOKUP(A599,'Telstra ExDa'!$B$2:$K$310, 2,FALSE), IFERROR(VLOOKUP(A599,'Vocus RVC ExDa'!$C$2:$R$155, 3,FALSE), IFERROR(VLOOKUP(A599,'Fusion ExDa'!$B$2:$D$16, 2,FALSE), IFERROR(VLOOKUP(A599,'Exetel ExDa'!$C$2:$N$14, 2,FALSE), IFERROR(VLOOKUP(A599,'Infinet ExDa'!$B$2:$E$14, 2,FALSE), "Not Found"))))))))</f>
        <v>Not Found</v>
      </c>
      <c r="D599" t="str">
        <f>IFERROR(VLOOKUP($A599,'AAPT ExDa'!$B$2:$U$99, 15,FALSE), IFERROR(VLOOKUP($A599,'ABB ExDa'!$A$2:$N$184, 4,FALSE), IFERROR(VLOOKUP($A599,'Vocus SIT ExDa'!$B$2:$J$173, 5,FALSE), IFERROR(VLOOKUP($A599,'Telstra ExDa'!$B$2:$K$310, 8,FALSE), IFERROR(VLOOKUP($A599,'Vocus RVC ExDa'!$C$2:$R$155, 6,FALSE), IFERROR(VLOOKUP($A599,'Fusion ExDa'!$B$2:$D$16, 4,FALSE), IFERROR(VLOOKUP($A599,'Exetel ExDa'!$C$2:$N$14, 3,FALSE), IFERROR(VLOOKUP($A599,'Infinet ExDa'!$B$2:$E$14, 3,FALSE), "Not Found"))))))))</f>
        <v>Not Found</v>
      </c>
      <c r="E599" t="str">
        <f>IFERROR(VLOOKUP($A599,'AAPT ExDa'!$B$2:$U$99, 3,FALSE), IFERROR(VLOOKUP($A599,'ABB ExDa'!$A$2:$N$184, 5,FALSE), IFERROR(VLOOKUP($A599,'Vocus SIT ExDa'!$B$2:$J$173, 2,FALSE), IFERROR(VLOOKUP($A599,'Telstra ExDa'!$B$2:$K$310, 4,FALSE), IFERROR(VLOOKUP($A599,'Vocus RVC ExDa'!$C$2:$R$155, 8,FALSE), IFERROR(VLOOKUP($A599,'Fusion ExDa'!$B$2:$D$16, 4,FALSE), IFERROR(VLOOKUP($A599,'Exetel ExDa'!$C$2:$N$14, 5,FALSE), IFERROR(VLOOKUP($A599,'Infinet ExDa'!$B$2:$E$14, 3,FALSE), "Not Found"))))))))</f>
        <v>Not Found</v>
      </c>
      <c r="F599" t="str">
        <f>IFERROR(VLOOKUP($A599,'AAPT ExDa'!$B$2:$U$99, 4,FALSE), IFERROR(VLOOKUP($A599,'ABB ExDa'!$A$2:$N$184, 6,FALSE), IFERROR(VLOOKUP($A599,'Vocus SIT ExDa'!$B$2:$J$173, 3,FALSE), IFERROR(VLOOKUP($A599,'Telstra ExDa'!$B$2:$K$310, 5,FALSE), IFERROR(VLOOKUP($A599,'Vocus RVC ExDa'!$C$2:$R$155, 9,FALSE), IFERROR(VLOOKUP($A599,'Fusion ExDa'!$B$2:$D$16, 0,FALSE), IFERROR(VLOOKUP($A599,'Exetel ExDa'!$C$2:$N$14, 6,FALSE), IFERROR(VLOOKUP($A599,'Infinet ExDa'!$B$2:$E$14, 0,FALSE), "Not Found"))))))))</f>
        <v>Not Found</v>
      </c>
      <c r="G599" t="str">
        <f>IFERROR(VLOOKUP($A599,'AAPT ExDa'!$B$2:$U$99, 5,FALSE), IFERROR(VLOOKUP($A599,'ABB ExDa'!$A$2:$N$184, 8,FALSE), IFERROR(VLOOKUP($A599,'Vocus SIT ExDa'!$B$2:$J$173, 6,FALSE), IFERROR(VLOOKUP($A599,'Telstra ExDa'!$B$2:$K$310, 0,FALSE), IFERROR(VLOOKUP($A599,'Vocus RVC ExDa'!$C$2:$R$155, 15,FALSE), IFERROR(VLOOKUP($A599,'Fusion ExDa'!$B$2:$D$16, 0,FALSE), IFERROR(VLOOKUP($A599,'Exetel ExDa'!$C$2:$N$14, 7,FALSE), IFERROR(VLOOKUP($A599,'Infinet ExDa'!$B$2:$E$14, 0,FALSE), "Not Found"))))))))</f>
        <v>Not Found</v>
      </c>
      <c r="H599" t="str">
        <f>IFERROR(VLOOKUP($A599,'AAPT ExDa'!$B$2:$U$99, 6,FALSE), IFERROR(VLOOKUP($A599,'ABB ExDa'!$A$2:$N$184, 0,FALSE), IFERROR(VLOOKUP($A599,'Vocus SIT ExDa'!$B$2:$J$173, 0,FALSE), IFERROR(VLOOKUP($A599,'Telstra ExDa'!$B$2:$K$310, 0,FALSE), IFERROR(VLOOKUP($A599,'Vocus RVC ExDa'!$C$2:$R$155, 16,FALSE), IFERROR(VLOOKUP($A599,'Fusion ExDa'!$B$2:$D$16, 0,FALSE), IFERROR(VLOOKUP($A599,'Exetel ExDa'!$C$2:$N$14, 0,FALSE), IFERROR(VLOOKUP($A599,'Infinet ExDa'!$B$2:$E$14, 0,FALSE), "Not Found"))))))))</f>
        <v>Not Found</v>
      </c>
      <c r="I599" t="str">
        <f>IFERROR(VLOOKUP($A599,'AAPT ExDa'!$B$2:$U$99, 0,FALSE), IFERROR(VLOOKUP($A599,'ABB ExDa'!$A$2:$N$184, 0,FALSE), IFERROR(VLOOKUP($A599,'Vocus SIT ExDa'!$B$2:$J$173, 0,FALSE), IFERROR(VLOOKUP($A599,'Telstra ExDa'!$B$2:$K$310, 0,FALSE), IFERROR(VLOOKUP($A599,'Vocus RVC ExDa'!$C$2:$R$155, 0,FALSE), IFERROR(VLOOKUP($A599,'Fusion ExDa'!$B$2:$D$16, 0,FALSE), IFERROR(VLOOKUP($A599,'Exetel ExDa'!$C$2:$N$14, 8,FALSE), IFERROR(VLOOKUP($A599,'Infinet ExDa'!$B$2:$E$14, 0,FALSE), "Not Found"))))))))</f>
        <v>Not Found</v>
      </c>
      <c r="J599" t="str">
        <f>IFERROR(VLOOKUP($A599,'AAPT ExDa'!$B$2:$U$99, 7,FALSE), IFERROR(VLOOKUP($A599,'ABB ExDa'!$A$2:$N$184, 2,FALSE), IFERROR(VLOOKUP($A599,'Vocus SIT ExDa'!$B$2:$J$173, 0,FALSE), IFERROR(VLOOKUP($A599,'Telstra ExDa'!$B$2:$K$310, 7,FALSE), IFERROR(VLOOKUP($A599,'Vocus RVC ExDa'!$C$2:$R$155, 2,FALSE), IFERROR(VLOOKUP($A599,'Fusion ExDa'!$B$2:$D$16, 3,FALSE), IFERROR(VLOOKUP($A599,'Exetel ExDa'!$C$2:$N$14, 0,FALSE), IFERROR(VLOOKUP($A599,'Infinet ExDa'!$B$2:$E$14, 0,FALSE), "Not Found"))))))))</f>
        <v>Not Found</v>
      </c>
      <c r="K599" t="str">
        <f>IFERROR(VLOOKUP($A599,'AAPT ExDa'!$B$2:$U$99, 12,FALSE), IFERROR(VLOOKUP($A599,'ABB ExDa'!$A$2:$N$184, 0,FALSE), IFERROR(VLOOKUP($A599,'Vocus SIT ExDa'!$B$2:$J$173, 0,FALSE), IFERROR(VLOOKUP($A599,'Telstra ExDa'!$B$2:$K$310, 0,FALSE), IFERROR(VLOOKUP($A599,'Vocus RVC ExDa'!$C$2:$R$155, 0,FALSE), IFERROR(VLOOKUP($A599,'Fusion ExDa'!$B$2:$D$16, 0,FALSE), IFERROR(VLOOKUP($A599,'Exetel ExDa'!$C$2:$N$14, 12,FALSE), IFERROR(VLOOKUP($A599,'Infinet ExDa'!$B$2:$E$14, 0,FALSE), "Not Found"))))))))</f>
        <v>Not Found</v>
      </c>
      <c r="L599" s="235" t="str">
        <f>IFERROR(VLOOKUP($A599,'AAPT ExDa'!$B$2:$U$99, 11,FALSE), IFERROR(VLOOKUP($A599,'ABB ExDa'!$A$2:$N$184, 9,FALSE), IFERROR(VLOOKUP($A599,'Vocus SIT ExDa'!$B$2:$J$173, 8,FALSE), IFERROR(VLOOKUP($A599,'Telstra ExDa'!$B$2:$K$310, 0,FALSE), IFERROR(VLOOKUP($A599,'Vocus RVC ExDa'!$C$2:$R$155, 0,FALSE), IFERROR(VLOOKUP($A599,'Fusion ExDa'!$B$2:$D$16, 0,FALSE), IFERROR(VLOOKUP($A599,'Exetel ExDa'!$C$2:$N$14, 9,FALSE), IFERROR(VLOOKUP($A599,'Infinet ExDa'!$B$2:$E$14, 0,FALSE), "Not Found"))))))))</f>
        <v>Not Found</v>
      </c>
      <c r="M599" s="234" t="str">
        <f>IFERROR(VLOOKUP($A599,'AAPT ExDa'!$B$2:$U$99, 0,FALSE), IFERROR(VLOOKUP($A599,'ABB ExDa'!$A$2:$N$184, 0,FALSE), IFERROR(VLOOKUP($A599,'Vocus SIT ExDa'!$B$2:$J$173, 0,FALSE), IFERROR(VLOOKUP($A599,'Telstra ExDa'!$B$2:$K$310, 0,FALSE), IFERROR(VLOOKUP($A599,'Vocus RVC ExDa'!$C$2:$R$155, 0,FALSE), IFERROR(VLOOKUP($A599,'Fusion ExDa'!$B$2:$D$16, 0,FALSE), IFERROR(VLOOKUP($A599,'Exetel ExDa'!$C$2:$N$14, 11,FALSE), IFERROR(VLOOKUP($A599,'Infinet ExDa'!$B$2:$E$14, 0,FALSE), "Not Found"))))))))</f>
        <v>Not Found</v>
      </c>
      <c r="N599" t="str">
        <f>IFERROR(VLOOKUP($A599,'AAPT ExDa'!$B$2:$U$99, 0,FALSE), IFERROR(VLOOKUP($A599,'ABB ExDa'!$A$2:$N$184, 13,FALSE), IFERROR(VLOOKUP($A599,'Vocus SIT ExDa'!$B$2:$J$173, 0,FALSE), IFERROR(VLOOKUP($A599,'Telstra ExDa'!$B$2:$K$310, 0,FALSE), IFERROR(VLOOKUP($A599,'Vocus RVC ExDa'!$C$2:$R$155, 0,FALSE), IFERROR(VLOOKUP($A599,'Fusion ExDa'!$B$2:$D$16, 0,FALSE), IFERROR(VLOOKUP($A599,'Exetel ExDa'!$C$2:$N$14, 0,FALSE), IFERROR(VLOOKUP($A599,'Infinet ExDa'!$B$2:$E$14, 0,FALSE), "Not Found"))))))))</f>
        <v>Not Found</v>
      </c>
    </row>
    <row r="600" spans="1:14">
      <c r="A600">
        <v>0</v>
      </c>
      <c r="B600" t="str">
        <f>IFERROR(VLOOKUP(A600,'Exetel ExDa'!$C$2:$N$14,4,FALSE),"No Data")</f>
        <v>No Data</v>
      </c>
      <c r="C600" t="str">
        <f>IFERROR(VLOOKUP(A600,'AAPT ExDa'!$B$2:$U$99, 2,FALSE), IFERROR(VLOOKUP(A600,'ABB ExDa'!$A$2:$N$184, 2,FALSE), IFERROR(VLOOKUP(A600,'Vocus SIT ExDa'!$B$2:$J$173, 7,FALSE), IFERROR(VLOOKUP(A600,'Telstra ExDa'!$B$2:$K$310, 2,FALSE), IFERROR(VLOOKUP(A600,'Vocus RVC ExDa'!$C$2:$R$155, 3,FALSE), IFERROR(VLOOKUP(A600,'Fusion ExDa'!$B$2:$D$16, 2,FALSE), IFERROR(VLOOKUP(A600,'Exetel ExDa'!$C$2:$N$14, 2,FALSE), IFERROR(VLOOKUP(A600,'Infinet ExDa'!$B$2:$E$14, 2,FALSE), "Not Found"))))))))</f>
        <v>Not Found</v>
      </c>
      <c r="D600" t="str">
        <f>IFERROR(VLOOKUP($A600,'AAPT ExDa'!$B$2:$U$99, 15,FALSE), IFERROR(VLOOKUP($A600,'ABB ExDa'!$A$2:$N$184, 4,FALSE), IFERROR(VLOOKUP($A600,'Vocus SIT ExDa'!$B$2:$J$173, 5,FALSE), IFERROR(VLOOKUP($A600,'Telstra ExDa'!$B$2:$K$310, 8,FALSE), IFERROR(VLOOKUP($A600,'Vocus RVC ExDa'!$C$2:$R$155, 6,FALSE), IFERROR(VLOOKUP($A600,'Fusion ExDa'!$B$2:$D$16, 4,FALSE), IFERROR(VLOOKUP($A600,'Exetel ExDa'!$C$2:$N$14, 3,FALSE), IFERROR(VLOOKUP($A600,'Infinet ExDa'!$B$2:$E$14, 3,FALSE), "Not Found"))))))))</f>
        <v>Not Found</v>
      </c>
      <c r="E600" t="str">
        <f>IFERROR(VLOOKUP($A600,'AAPT ExDa'!$B$2:$U$99, 3,FALSE), IFERROR(VLOOKUP($A600,'ABB ExDa'!$A$2:$N$184, 5,FALSE), IFERROR(VLOOKUP($A600,'Vocus SIT ExDa'!$B$2:$J$173, 2,FALSE), IFERROR(VLOOKUP($A600,'Telstra ExDa'!$B$2:$K$310, 4,FALSE), IFERROR(VLOOKUP($A600,'Vocus RVC ExDa'!$C$2:$R$155, 8,FALSE), IFERROR(VLOOKUP($A600,'Fusion ExDa'!$B$2:$D$16, 4,FALSE), IFERROR(VLOOKUP($A600,'Exetel ExDa'!$C$2:$N$14, 5,FALSE), IFERROR(VLOOKUP($A600,'Infinet ExDa'!$B$2:$E$14, 3,FALSE), "Not Found"))))))))</f>
        <v>Not Found</v>
      </c>
      <c r="F600" t="str">
        <f>IFERROR(VLOOKUP($A600,'AAPT ExDa'!$B$2:$U$99, 4,FALSE), IFERROR(VLOOKUP($A600,'ABB ExDa'!$A$2:$N$184, 6,FALSE), IFERROR(VLOOKUP($A600,'Vocus SIT ExDa'!$B$2:$J$173, 3,FALSE), IFERROR(VLOOKUP($A600,'Telstra ExDa'!$B$2:$K$310, 5,FALSE), IFERROR(VLOOKUP($A600,'Vocus RVC ExDa'!$C$2:$R$155, 9,FALSE), IFERROR(VLOOKUP($A600,'Fusion ExDa'!$B$2:$D$16, 0,FALSE), IFERROR(VLOOKUP($A600,'Exetel ExDa'!$C$2:$N$14, 6,FALSE), IFERROR(VLOOKUP($A600,'Infinet ExDa'!$B$2:$E$14, 0,FALSE), "Not Found"))))))))</f>
        <v>Not Found</v>
      </c>
      <c r="G600" t="str">
        <f>IFERROR(VLOOKUP($A600,'AAPT ExDa'!$B$2:$U$99, 5,FALSE), IFERROR(VLOOKUP($A600,'ABB ExDa'!$A$2:$N$184, 8,FALSE), IFERROR(VLOOKUP($A600,'Vocus SIT ExDa'!$B$2:$J$173, 6,FALSE), IFERROR(VLOOKUP($A600,'Telstra ExDa'!$B$2:$K$310, 0,FALSE), IFERROR(VLOOKUP($A600,'Vocus RVC ExDa'!$C$2:$R$155, 15,FALSE), IFERROR(VLOOKUP($A600,'Fusion ExDa'!$B$2:$D$16, 0,FALSE), IFERROR(VLOOKUP($A600,'Exetel ExDa'!$C$2:$N$14, 7,FALSE), IFERROR(VLOOKUP($A600,'Infinet ExDa'!$B$2:$E$14, 0,FALSE), "Not Found"))))))))</f>
        <v>Not Found</v>
      </c>
      <c r="H600" t="str">
        <f>IFERROR(VLOOKUP($A600,'AAPT ExDa'!$B$2:$U$99, 6,FALSE), IFERROR(VLOOKUP($A600,'ABB ExDa'!$A$2:$N$184, 0,FALSE), IFERROR(VLOOKUP($A600,'Vocus SIT ExDa'!$B$2:$J$173, 0,FALSE), IFERROR(VLOOKUP($A600,'Telstra ExDa'!$B$2:$K$310, 0,FALSE), IFERROR(VLOOKUP($A600,'Vocus RVC ExDa'!$C$2:$R$155, 16,FALSE), IFERROR(VLOOKUP($A600,'Fusion ExDa'!$B$2:$D$16, 0,FALSE), IFERROR(VLOOKUP($A600,'Exetel ExDa'!$C$2:$N$14, 0,FALSE), IFERROR(VLOOKUP($A600,'Infinet ExDa'!$B$2:$E$14, 0,FALSE), "Not Found"))))))))</f>
        <v>Not Found</v>
      </c>
      <c r="I600" t="str">
        <f>IFERROR(VLOOKUP($A600,'AAPT ExDa'!$B$2:$U$99, 0,FALSE), IFERROR(VLOOKUP($A600,'ABB ExDa'!$A$2:$N$184, 0,FALSE), IFERROR(VLOOKUP($A600,'Vocus SIT ExDa'!$B$2:$J$173, 0,FALSE), IFERROR(VLOOKUP($A600,'Telstra ExDa'!$B$2:$K$310, 0,FALSE), IFERROR(VLOOKUP($A600,'Vocus RVC ExDa'!$C$2:$R$155, 0,FALSE), IFERROR(VLOOKUP($A600,'Fusion ExDa'!$B$2:$D$16, 0,FALSE), IFERROR(VLOOKUP($A600,'Exetel ExDa'!$C$2:$N$14, 8,FALSE), IFERROR(VLOOKUP($A600,'Infinet ExDa'!$B$2:$E$14, 0,FALSE), "Not Found"))))))))</f>
        <v>Not Found</v>
      </c>
      <c r="J600" t="str">
        <f>IFERROR(VLOOKUP($A600,'AAPT ExDa'!$B$2:$U$99, 7,FALSE), IFERROR(VLOOKUP($A600,'ABB ExDa'!$A$2:$N$184, 2,FALSE), IFERROR(VLOOKUP($A600,'Vocus SIT ExDa'!$B$2:$J$173, 0,FALSE), IFERROR(VLOOKUP($A600,'Telstra ExDa'!$B$2:$K$310, 7,FALSE), IFERROR(VLOOKUP($A600,'Vocus RVC ExDa'!$C$2:$R$155, 2,FALSE), IFERROR(VLOOKUP($A600,'Fusion ExDa'!$B$2:$D$16, 3,FALSE), IFERROR(VLOOKUP($A600,'Exetel ExDa'!$C$2:$N$14, 0,FALSE), IFERROR(VLOOKUP($A600,'Infinet ExDa'!$B$2:$E$14, 0,FALSE), "Not Found"))))))))</f>
        <v>Not Found</v>
      </c>
      <c r="K600" t="str">
        <f>IFERROR(VLOOKUP($A600,'AAPT ExDa'!$B$2:$U$99, 12,FALSE), IFERROR(VLOOKUP($A600,'ABB ExDa'!$A$2:$N$184, 0,FALSE), IFERROR(VLOOKUP($A600,'Vocus SIT ExDa'!$B$2:$J$173, 0,FALSE), IFERROR(VLOOKUP($A600,'Telstra ExDa'!$B$2:$K$310, 0,FALSE), IFERROR(VLOOKUP($A600,'Vocus RVC ExDa'!$C$2:$R$155, 0,FALSE), IFERROR(VLOOKUP($A600,'Fusion ExDa'!$B$2:$D$16, 0,FALSE), IFERROR(VLOOKUP($A600,'Exetel ExDa'!$C$2:$N$14, 12,FALSE), IFERROR(VLOOKUP($A600,'Infinet ExDa'!$B$2:$E$14, 0,FALSE), "Not Found"))))))))</f>
        <v>Not Found</v>
      </c>
      <c r="L600" s="235" t="str">
        <f>IFERROR(VLOOKUP($A600,'AAPT ExDa'!$B$2:$U$99, 11,FALSE), IFERROR(VLOOKUP($A600,'ABB ExDa'!$A$2:$N$184, 9,FALSE), IFERROR(VLOOKUP($A600,'Vocus SIT ExDa'!$B$2:$J$173, 8,FALSE), IFERROR(VLOOKUP($A600,'Telstra ExDa'!$B$2:$K$310, 0,FALSE), IFERROR(VLOOKUP($A600,'Vocus RVC ExDa'!$C$2:$R$155, 0,FALSE), IFERROR(VLOOKUP($A600,'Fusion ExDa'!$B$2:$D$16, 0,FALSE), IFERROR(VLOOKUP($A600,'Exetel ExDa'!$C$2:$N$14, 9,FALSE), IFERROR(VLOOKUP($A600,'Infinet ExDa'!$B$2:$E$14, 0,FALSE), "Not Found"))))))))</f>
        <v>Not Found</v>
      </c>
      <c r="M600" s="234" t="str">
        <f>IFERROR(VLOOKUP($A600,'AAPT ExDa'!$B$2:$U$99, 0,FALSE), IFERROR(VLOOKUP($A600,'ABB ExDa'!$A$2:$N$184, 0,FALSE), IFERROR(VLOOKUP($A600,'Vocus SIT ExDa'!$B$2:$J$173, 0,FALSE), IFERROR(VLOOKUP($A600,'Telstra ExDa'!$B$2:$K$310, 0,FALSE), IFERROR(VLOOKUP($A600,'Vocus RVC ExDa'!$C$2:$R$155, 0,FALSE), IFERROR(VLOOKUP($A600,'Fusion ExDa'!$B$2:$D$16, 0,FALSE), IFERROR(VLOOKUP($A600,'Exetel ExDa'!$C$2:$N$14, 11,FALSE), IFERROR(VLOOKUP($A600,'Infinet ExDa'!$B$2:$E$14, 0,FALSE), "Not Found"))))))))</f>
        <v>Not Found</v>
      </c>
      <c r="N600" t="str">
        <f>IFERROR(VLOOKUP($A600,'AAPT ExDa'!$B$2:$U$99, 0,FALSE), IFERROR(VLOOKUP($A600,'ABB ExDa'!$A$2:$N$184, 13,FALSE), IFERROR(VLOOKUP($A600,'Vocus SIT ExDa'!$B$2:$J$173, 0,FALSE), IFERROR(VLOOKUP($A600,'Telstra ExDa'!$B$2:$K$310, 0,FALSE), IFERROR(VLOOKUP($A600,'Vocus RVC ExDa'!$C$2:$R$155, 0,FALSE), IFERROR(VLOOKUP($A600,'Fusion ExDa'!$B$2:$D$16, 0,FALSE), IFERROR(VLOOKUP($A600,'Exetel ExDa'!$C$2:$N$14, 0,FALSE), IFERROR(VLOOKUP($A600,'Infinet ExDa'!$B$2:$E$14, 0,FALSE), "Not Found"))))))))</f>
        <v>Not Found</v>
      </c>
    </row>
    <row r="601" spans="1:14">
      <c r="A601">
        <v>0</v>
      </c>
      <c r="B601" t="str">
        <f>IFERROR(VLOOKUP(A601,'Exetel ExDa'!$C$2:$N$14,4,FALSE),"No Data")</f>
        <v>No Data</v>
      </c>
      <c r="C601" t="str">
        <f>IFERROR(VLOOKUP(A601,'AAPT ExDa'!$B$2:$U$99, 2,FALSE), IFERROR(VLOOKUP(A601,'ABB ExDa'!$A$2:$N$184, 2,FALSE), IFERROR(VLOOKUP(A601,'Vocus SIT ExDa'!$B$2:$J$173, 7,FALSE), IFERROR(VLOOKUP(A601,'Telstra ExDa'!$B$2:$K$310, 2,FALSE), IFERROR(VLOOKUP(A601,'Vocus RVC ExDa'!$C$2:$R$155, 3,FALSE), IFERROR(VLOOKUP(A601,'Fusion ExDa'!$B$2:$D$16, 2,FALSE), IFERROR(VLOOKUP(A601,'Exetel ExDa'!$C$2:$N$14, 2,FALSE), IFERROR(VLOOKUP(A601,'Infinet ExDa'!$B$2:$E$14, 2,FALSE), "Not Found"))))))))</f>
        <v>Not Found</v>
      </c>
      <c r="D601" t="str">
        <f>IFERROR(VLOOKUP($A601,'AAPT ExDa'!$B$2:$U$99, 15,FALSE), IFERROR(VLOOKUP($A601,'ABB ExDa'!$A$2:$N$184, 4,FALSE), IFERROR(VLOOKUP($A601,'Vocus SIT ExDa'!$B$2:$J$173, 5,FALSE), IFERROR(VLOOKUP($A601,'Telstra ExDa'!$B$2:$K$310, 8,FALSE), IFERROR(VLOOKUP($A601,'Vocus RVC ExDa'!$C$2:$R$155, 6,FALSE), IFERROR(VLOOKUP($A601,'Fusion ExDa'!$B$2:$D$16, 4,FALSE), IFERROR(VLOOKUP($A601,'Exetel ExDa'!$C$2:$N$14, 3,FALSE), IFERROR(VLOOKUP($A601,'Infinet ExDa'!$B$2:$E$14, 3,FALSE), "Not Found"))))))))</f>
        <v>Not Found</v>
      </c>
      <c r="E601" t="str">
        <f>IFERROR(VLOOKUP($A601,'AAPT ExDa'!$B$2:$U$99, 3,FALSE), IFERROR(VLOOKUP($A601,'ABB ExDa'!$A$2:$N$184, 5,FALSE), IFERROR(VLOOKUP($A601,'Vocus SIT ExDa'!$B$2:$J$173, 2,FALSE), IFERROR(VLOOKUP($A601,'Telstra ExDa'!$B$2:$K$310, 4,FALSE), IFERROR(VLOOKUP($A601,'Vocus RVC ExDa'!$C$2:$R$155, 8,FALSE), IFERROR(VLOOKUP($A601,'Fusion ExDa'!$B$2:$D$16, 4,FALSE), IFERROR(VLOOKUP($A601,'Exetel ExDa'!$C$2:$N$14, 5,FALSE), IFERROR(VLOOKUP($A601,'Infinet ExDa'!$B$2:$E$14, 3,FALSE), "Not Found"))))))))</f>
        <v>Not Found</v>
      </c>
      <c r="F601" t="str">
        <f>IFERROR(VLOOKUP($A601,'AAPT ExDa'!$B$2:$U$99, 4,FALSE), IFERROR(VLOOKUP($A601,'ABB ExDa'!$A$2:$N$184, 6,FALSE), IFERROR(VLOOKUP($A601,'Vocus SIT ExDa'!$B$2:$J$173, 3,FALSE), IFERROR(VLOOKUP($A601,'Telstra ExDa'!$B$2:$K$310, 5,FALSE), IFERROR(VLOOKUP($A601,'Vocus RVC ExDa'!$C$2:$R$155, 9,FALSE), IFERROR(VLOOKUP($A601,'Fusion ExDa'!$B$2:$D$16, 0,FALSE), IFERROR(VLOOKUP($A601,'Exetel ExDa'!$C$2:$N$14, 6,FALSE), IFERROR(VLOOKUP($A601,'Infinet ExDa'!$B$2:$E$14, 0,FALSE), "Not Found"))))))))</f>
        <v>Not Found</v>
      </c>
      <c r="G601" t="str">
        <f>IFERROR(VLOOKUP($A601,'AAPT ExDa'!$B$2:$U$99, 5,FALSE), IFERROR(VLOOKUP($A601,'ABB ExDa'!$A$2:$N$184, 8,FALSE), IFERROR(VLOOKUP($A601,'Vocus SIT ExDa'!$B$2:$J$173, 6,FALSE), IFERROR(VLOOKUP($A601,'Telstra ExDa'!$B$2:$K$310, 0,FALSE), IFERROR(VLOOKUP($A601,'Vocus RVC ExDa'!$C$2:$R$155, 15,FALSE), IFERROR(VLOOKUP($A601,'Fusion ExDa'!$B$2:$D$16, 0,FALSE), IFERROR(VLOOKUP($A601,'Exetel ExDa'!$C$2:$N$14, 7,FALSE), IFERROR(VLOOKUP($A601,'Infinet ExDa'!$B$2:$E$14, 0,FALSE), "Not Found"))))))))</f>
        <v>Not Found</v>
      </c>
      <c r="H601" t="str">
        <f>IFERROR(VLOOKUP($A601,'AAPT ExDa'!$B$2:$U$99, 6,FALSE), IFERROR(VLOOKUP($A601,'ABB ExDa'!$A$2:$N$184, 0,FALSE), IFERROR(VLOOKUP($A601,'Vocus SIT ExDa'!$B$2:$J$173, 0,FALSE), IFERROR(VLOOKUP($A601,'Telstra ExDa'!$B$2:$K$310, 0,FALSE), IFERROR(VLOOKUP($A601,'Vocus RVC ExDa'!$C$2:$R$155, 16,FALSE), IFERROR(VLOOKUP($A601,'Fusion ExDa'!$B$2:$D$16, 0,FALSE), IFERROR(VLOOKUP($A601,'Exetel ExDa'!$C$2:$N$14, 0,FALSE), IFERROR(VLOOKUP($A601,'Infinet ExDa'!$B$2:$E$14, 0,FALSE), "Not Found"))))))))</f>
        <v>Not Found</v>
      </c>
      <c r="I601" t="str">
        <f>IFERROR(VLOOKUP($A601,'AAPT ExDa'!$B$2:$U$99, 0,FALSE), IFERROR(VLOOKUP($A601,'ABB ExDa'!$A$2:$N$184, 0,FALSE), IFERROR(VLOOKUP($A601,'Vocus SIT ExDa'!$B$2:$J$173, 0,FALSE), IFERROR(VLOOKUP($A601,'Telstra ExDa'!$B$2:$K$310, 0,FALSE), IFERROR(VLOOKUP($A601,'Vocus RVC ExDa'!$C$2:$R$155, 0,FALSE), IFERROR(VLOOKUP($A601,'Fusion ExDa'!$B$2:$D$16, 0,FALSE), IFERROR(VLOOKUP($A601,'Exetel ExDa'!$C$2:$N$14, 8,FALSE), IFERROR(VLOOKUP($A601,'Infinet ExDa'!$B$2:$E$14, 0,FALSE), "Not Found"))))))))</f>
        <v>Not Found</v>
      </c>
      <c r="J601" t="str">
        <f>IFERROR(VLOOKUP($A601,'AAPT ExDa'!$B$2:$U$99, 7,FALSE), IFERROR(VLOOKUP($A601,'ABB ExDa'!$A$2:$N$184, 2,FALSE), IFERROR(VLOOKUP($A601,'Vocus SIT ExDa'!$B$2:$J$173, 0,FALSE), IFERROR(VLOOKUP($A601,'Telstra ExDa'!$B$2:$K$310, 7,FALSE), IFERROR(VLOOKUP($A601,'Vocus RVC ExDa'!$C$2:$R$155, 2,FALSE), IFERROR(VLOOKUP($A601,'Fusion ExDa'!$B$2:$D$16, 3,FALSE), IFERROR(VLOOKUP($A601,'Exetel ExDa'!$C$2:$N$14, 0,FALSE), IFERROR(VLOOKUP($A601,'Infinet ExDa'!$B$2:$E$14, 0,FALSE), "Not Found"))))))))</f>
        <v>Not Found</v>
      </c>
      <c r="K601" t="str">
        <f>IFERROR(VLOOKUP($A601,'AAPT ExDa'!$B$2:$U$99, 12,FALSE), IFERROR(VLOOKUP($A601,'ABB ExDa'!$A$2:$N$184, 0,FALSE), IFERROR(VLOOKUP($A601,'Vocus SIT ExDa'!$B$2:$J$173, 0,FALSE), IFERROR(VLOOKUP($A601,'Telstra ExDa'!$B$2:$K$310, 0,FALSE), IFERROR(VLOOKUP($A601,'Vocus RVC ExDa'!$C$2:$R$155, 0,FALSE), IFERROR(VLOOKUP($A601,'Fusion ExDa'!$B$2:$D$16, 0,FALSE), IFERROR(VLOOKUP($A601,'Exetel ExDa'!$C$2:$N$14, 12,FALSE), IFERROR(VLOOKUP($A601,'Infinet ExDa'!$B$2:$E$14, 0,FALSE), "Not Found"))))))))</f>
        <v>Not Found</v>
      </c>
      <c r="L601" s="235" t="str">
        <f>IFERROR(VLOOKUP($A601,'AAPT ExDa'!$B$2:$U$99, 11,FALSE), IFERROR(VLOOKUP($A601,'ABB ExDa'!$A$2:$N$184, 9,FALSE), IFERROR(VLOOKUP($A601,'Vocus SIT ExDa'!$B$2:$J$173, 8,FALSE), IFERROR(VLOOKUP($A601,'Telstra ExDa'!$B$2:$K$310, 0,FALSE), IFERROR(VLOOKUP($A601,'Vocus RVC ExDa'!$C$2:$R$155, 0,FALSE), IFERROR(VLOOKUP($A601,'Fusion ExDa'!$B$2:$D$16, 0,FALSE), IFERROR(VLOOKUP($A601,'Exetel ExDa'!$C$2:$N$14, 9,FALSE), IFERROR(VLOOKUP($A601,'Infinet ExDa'!$B$2:$E$14, 0,FALSE), "Not Found"))))))))</f>
        <v>Not Found</v>
      </c>
      <c r="M601" s="234" t="str">
        <f>IFERROR(VLOOKUP($A601,'AAPT ExDa'!$B$2:$U$99, 0,FALSE), IFERROR(VLOOKUP($A601,'ABB ExDa'!$A$2:$N$184, 0,FALSE), IFERROR(VLOOKUP($A601,'Vocus SIT ExDa'!$B$2:$J$173, 0,FALSE), IFERROR(VLOOKUP($A601,'Telstra ExDa'!$B$2:$K$310, 0,FALSE), IFERROR(VLOOKUP($A601,'Vocus RVC ExDa'!$C$2:$R$155, 0,FALSE), IFERROR(VLOOKUP($A601,'Fusion ExDa'!$B$2:$D$16, 0,FALSE), IFERROR(VLOOKUP($A601,'Exetel ExDa'!$C$2:$N$14, 11,FALSE), IFERROR(VLOOKUP($A601,'Infinet ExDa'!$B$2:$E$14, 0,FALSE), "Not Found"))))))))</f>
        <v>Not Found</v>
      </c>
      <c r="N601" t="str">
        <f>IFERROR(VLOOKUP($A601,'AAPT ExDa'!$B$2:$U$99, 0,FALSE), IFERROR(VLOOKUP($A601,'ABB ExDa'!$A$2:$N$184, 13,FALSE), IFERROR(VLOOKUP($A601,'Vocus SIT ExDa'!$B$2:$J$173, 0,FALSE), IFERROR(VLOOKUP($A601,'Telstra ExDa'!$B$2:$K$310, 0,FALSE), IFERROR(VLOOKUP($A601,'Vocus RVC ExDa'!$C$2:$R$155, 0,FALSE), IFERROR(VLOOKUP($A601,'Fusion ExDa'!$B$2:$D$16, 0,FALSE), IFERROR(VLOOKUP($A601,'Exetel ExDa'!$C$2:$N$14, 0,FALSE), IFERROR(VLOOKUP($A601,'Infinet ExDa'!$B$2:$E$14, 0,FALSE), "Not Found"))))))))</f>
        <v>Not Found</v>
      </c>
    </row>
    <row r="602" spans="1:14">
      <c r="A602">
        <v>0</v>
      </c>
      <c r="B602" t="str">
        <f>IFERROR(VLOOKUP(A602,'Exetel ExDa'!$C$2:$N$14,4,FALSE),"No Data")</f>
        <v>No Data</v>
      </c>
      <c r="C602" t="str">
        <f>IFERROR(VLOOKUP(A602,'AAPT ExDa'!$B$2:$U$99, 2,FALSE), IFERROR(VLOOKUP(A602,'ABB ExDa'!$A$2:$N$184, 2,FALSE), IFERROR(VLOOKUP(A602,'Vocus SIT ExDa'!$B$2:$J$173, 7,FALSE), IFERROR(VLOOKUP(A602,'Telstra ExDa'!$B$2:$K$310, 2,FALSE), IFERROR(VLOOKUP(A602,'Vocus RVC ExDa'!$C$2:$R$155, 3,FALSE), IFERROR(VLOOKUP(A602,'Fusion ExDa'!$B$2:$D$16, 2,FALSE), IFERROR(VLOOKUP(A602,'Exetel ExDa'!$C$2:$N$14, 2,FALSE), IFERROR(VLOOKUP(A602,'Infinet ExDa'!$B$2:$E$14, 2,FALSE), "Not Found"))))))))</f>
        <v>Not Found</v>
      </c>
      <c r="D602" t="str">
        <f>IFERROR(VLOOKUP($A602,'AAPT ExDa'!$B$2:$U$99, 15,FALSE), IFERROR(VLOOKUP($A602,'ABB ExDa'!$A$2:$N$184, 4,FALSE), IFERROR(VLOOKUP($A602,'Vocus SIT ExDa'!$B$2:$J$173, 5,FALSE), IFERROR(VLOOKUP($A602,'Telstra ExDa'!$B$2:$K$310, 8,FALSE), IFERROR(VLOOKUP($A602,'Vocus RVC ExDa'!$C$2:$R$155, 6,FALSE), IFERROR(VLOOKUP($A602,'Fusion ExDa'!$B$2:$D$16, 4,FALSE), IFERROR(VLOOKUP($A602,'Exetel ExDa'!$C$2:$N$14, 3,FALSE), IFERROR(VLOOKUP($A602,'Infinet ExDa'!$B$2:$E$14, 3,FALSE), "Not Found"))))))))</f>
        <v>Not Found</v>
      </c>
      <c r="E602" t="str">
        <f>IFERROR(VLOOKUP($A602,'AAPT ExDa'!$B$2:$U$99, 3,FALSE), IFERROR(VLOOKUP($A602,'ABB ExDa'!$A$2:$N$184, 5,FALSE), IFERROR(VLOOKUP($A602,'Vocus SIT ExDa'!$B$2:$J$173, 2,FALSE), IFERROR(VLOOKUP($A602,'Telstra ExDa'!$B$2:$K$310, 4,FALSE), IFERROR(VLOOKUP($A602,'Vocus RVC ExDa'!$C$2:$R$155, 8,FALSE), IFERROR(VLOOKUP($A602,'Fusion ExDa'!$B$2:$D$16, 4,FALSE), IFERROR(VLOOKUP($A602,'Exetel ExDa'!$C$2:$N$14, 5,FALSE), IFERROR(VLOOKUP($A602,'Infinet ExDa'!$B$2:$E$14, 3,FALSE), "Not Found"))))))))</f>
        <v>Not Found</v>
      </c>
      <c r="F602" t="str">
        <f>IFERROR(VLOOKUP($A602,'AAPT ExDa'!$B$2:$U$99, 4,FALSE), IFERROR(VLOOKUP($A602,'ABB ExDa'!$A$2:$N$184, 6,FALSE), IFERROR(VLOOKUP($A602,'Vocus SIT ExDa'!$B$2:$J$173, 3,FALSE), IFERROR(VLOOKUP($A602,'Telstra ExDa'!$B$2:$K$310, 5,FALSE), IFERROR(VLOOKUP($A602,'Vocus RVC ExDa'!$C$2:$R$155, 9,FALSE), IFERROR(VLOOKUP($A602,'Fusion ExDa'!$B$2:$D$16, 0,FALSE), IFERROR(VLOOKUP($A602,'Exetel ExDa'!$C$2:$N$14, 6,FALSE), IFERROR(VLOOKUP($A602,'Infinet ExDa'!$B$2:$E$14, 0,FALSE), "Not Found"))))))))</f>
        <v>Not Found</v>
      </c>
      <c r="G602" t="str">
        <f>IFERROR(VLOOKUP($A602,'AAPT ExDa'!$B$2:$U$99, 5,FALSE), IFERROR(VLOOKUP($A602,'ABB ExDa'!$A$2:$N$184, 8,FALSE), IFERROR(VLOOKUP($A602,'Vocus SIT ExDa'!$B$2:$J$173, 6,FALSE), IFERROR(VLOOKUP($A602,'Telstra ExDa'!$B$2:$K$310, 0,FALSE), IFERROR(VLOOKUP($A602,'Vocus RVC ExDa'!$C$2:$R$155, 15,FALSE), IFERROR(VLOOKUP($A602,'Fusion ExDa'!$B$2:$D$16, 0,FALSE), IFERROR(VLOOKUP($A602,'Exetel ExDa'!$C$2:$N$14, 7,FALSE), IFERROR(VLOOKUP($A602,'Infinet ExDa'!$B$2:$E$14, 0,FALSE), "Not Found"))))))))</f>
        <v>Not Found</v>
      </c>
      <c r="H602" t="str">
        <f>IFERROR(VLOOKUP($A602,'AAPT ExDa'!$B$2:$U$99, 6,FALSE), IFERROR(VLOOKUP($A602,'ABB ExDa'!$A$2:$N$184, 0,FALSE), IFERROR(VLOOKUP($A602,'Vocus SIT ExDa'!$B$2:$J$173, 0,FALSE), IFERROR(VLOOKUP($A602,'Telstra ExDa'!$B$2:$K$310, 0,FALSE), IFERROR(VLOOKUP($A602,'Vocus RVC ExDa'!$C$2:$R$155, 16,FALSE), IFERROR(VLOOKUP($A602,'Fusion ExDa'!$B$2:$D$16, 0,FALSE), IFERROR(VLOOKUP($A602,'Exetel ExDa'!$C$2:$N$14, 0,FALSE), IFERROR(VLOOKUP($A602,'Infinet ExDa'!$B$2:$E$14, 0,FALSE), "Not Found"))))))))</f>
        <v>Not Found</v>
      </c>
      <c r="I602" t="str">
        <f>IFERROR(VLOOKUP($A602,'AAPT ExDa'!$B$2:$U$99, 0,FALSE), IFERROR(VLOOKUP($A602,'ABB ExDa'!$A$2:$N$184, 0,FALSE), IFERROR(VLOOKUP($A602,'Vocus SIT ExDa'!$B$2:$J$173, 0,FALSE), IFERROR(VLOOKUP($A602,'Telstra ExDa'!$B$2:$K$310, 0,FALSE), IFERROR(VLOOKUP($A602,'Vocus RVC ExDa'!$C$2:$R$155, 0,FALSE), IFERROR(VLOOKUP($A602,'Fusion ExDa'!$B$2:$D$16, 0,FALSE), IFERROR(VLOOKUP($A602,'Exetel ExDa'!$C$2:$N$14, 8,FALSE), IFERROR(VLOOKUP($A602,'Infinet ExDa'!$B$2:$E$14, 0,FALSE), "Not Found"))))))))</f>
        <v>Not Found</v>
      </c>
      <c r="J602" t="str">
        <f>IFERROR(VLOOKUP($A602,'AAPT ExDa'!$B$2:$U$99, 7,FALSE), IFERROR(VLOOKUP($A602,'ABB ExDa'!$A$2:$N$184, 2,FALSE), IFERROR(VLOOKUP($A602,'Vocus SIT ExDa'!$B$2:$J$173, 0,FALSE), IFERROR(VLOOKUP($A602,'Telstra ExDa'!$B$2:$K$310, 7,FALSE), IFERROR(VLOOKUP($A602,'Vocus RVC ExDa'!$C$2:$R$155, 2,FALSE), IFERROR(VLOOKUP($A602,'Fusion ExDa'!$B$2:$D$16, 3,FALSE), IFERROR(VLOOKUP($A602,'Exetel ExDa'!$C$2:$N$14, 0,FALSE), IFERROR(VLOOKUP($A602,'Infinet ExDa'!$B$2:$E$14, 0,FALSE), "Not Found"))))))))</f>
        <v>Not Found</v>
      </c>
      <c r="K602" t="str">
        <f>IFERROR(VLOOKUP($A602,'AAPT ExDa'!$B$2:$U$99, 12,FALSE), IFERROR(VLOOKUP($A602,'ABB ExDa'!$A$2:$N$184, 0,FALSE), IFERROR(VLOOKUP($A602,'Vocus SIT ExDa'!$B$2:$J$173, 0,FALSE), IFERROR(VLOOKUP($A602,'Telstra ExDa'!$B$2:$K$310, 0,FALSE), IFERROR(VLOOKUP($A602,'Vocus RVC ExDa'!$C$2:$R$155, 0,FALSE), IFERROR(VLOOKUP($A602,'Fusion ExDa'!$B$2:$D$16, 0,FALSE), IFERROR(VLOOKUP($A602,'Exetel ExDa'!$C$2:$N$14, 12,FALSE), IFERROR(VLOOKUP($A602,'Infinet ExDa'!$B$2:$E$14, 0,FALSE), "Not Found"))))))))</f>
        <v>Not Found</v>
      </c>
      <c r="L602" s="235" t="str">
        <f>IFERROR(VLOOKUP($A602,'AAPT ExDa'!$B$2:$U$99, 11,FALSE), IFERROR(VLOOKUP($A602,'ABB ExDa'!$A$2:$N$184, 9,FALSE), IFERROR(VLOOKUP($A602,'Vocus SIT ExDa'!$B$2:$J$173, 8,FALSE), IFERROR(VLOOKUP($A602,'Telstra ExDa'!$B$2:$K$310, 0,FALSE), IFERROR(VLOOKUP($A602,'Vocus RVC ExDa'!$C$2:$R$155, 0,FALSE), IFERROR(VLOOKUP($A602,'Fusion ExDa'!$B$2:$D$16, 0,FALSE), IFERROR(VLOOKUP($A602,'Exetel ExDa'!$C$2:$N$14, 9,FALSE), IFERROR(VLOOKUP($A602,'Infinet ExDa'!$B$2:$E$14, 0,FALSE), "Not Found"))))))))</f>
        <v>Not Found</v>
      </c>
      <c r="M602" s="234" t="str">
        <f>IFERROR(VLOOKUP($A602,'AAPT ExDa'!$B$2:$U$99, 0,FALSE), IFERROR(VLOOKUP($A602,'ABB ExDa'!$A$2:$N$184, 0,FALSE), IFERROR(VLOOKUP($A602,'Vocus SIT ExDa'!$B$2:$J$173, 0,FALSE), IFERROR(VLOOKUP($A602,'Telstra ExDa'!$B$2:$K$310, 0,FALSE), IFERROR(VLOOKUP($A602,'Vocus RVC ExDa'!$C$2:$R$155, 0,FALSE), IFERROR(VLOOKUP($A602,'Fusion ExDa'!$B$2:$D$16, 0,FALSE), IFERROR(VLOOKUP($A602,'Exetel ExDa'!$C$2:$N$14, 11,FALSE), IFERROR(VLOOKUP($A602,'Infinet ExDa'!$B$2:$E$14, 0,FALSE), "Not Found"))))))))</f>
        <v>Not Found</v>
      </c>
      <c r="N602" t="str">
        <f>IFERROR(VLOOKUP($A602,'AAPT ExDa'!$B$2:$U$99, 0,FALSE), IFERROR(VLOOKUP($A602,'ABB ExDa'!$A$2:$N$184, 13,FALSE), IFERROR(VLOOKUP($A602,'Vocus SIT ExDa'!$B$2:$J$173, 0,FALSE), IFERROR(VLOOKUP($A602,'Telstra ExDa'!$B$2:$K$310, 0,FALSE), IFERROR(VLOOKUP($A602,'Vocus RVC ExDa'!$C$2:$R$155, 0,FALSE), IFERROR(VLOOKUP($A602,'Fusion ExDa'!$B$2:$D$16, 0,FALSE), IFERROR(VLOOKUP($A602,'Exetel ExDa'!$C$2:$N$14, 0,FALSE), IFERROR(VLOOKUP($A602,'Infinet ExDa'!$B$2:$E$14, 0,FALSE), "Not Found"))))))))</f>
        <v>Not Found</v>
      </c>
    </row>
    <row r="603" spans="1:14">
      <c r="A603">
        <v>0</v>
      </c>
      <c r="B603" t="str">
        <f>IFERROR(VLOOKUP(A603,'Exetel ExDa'!$C$2:$N$14,4,FALSE),"No Data")</f>
        <v>No Data</v>
      </c>
      <c r="C603" t="str">
        <f>IFERROR(VLOOKUP(A603,'AAPT ExDa'!$B$2:$U$99, 2,FALSE), IFERROR(VLOOKUP(A603,'ABB ExDa'!$A$2:$N$184, 2,FALSE), IFERROR(VLOOKUP(A603,'Vocus SIT ExDa'!$B$2:$J$173, 7,FALSE), IFERROR(VLOOKUP(A603,'Telstra ExDa'!$B$2:$K$310, 2,FALSE), IFERROR(VLOOKUP(A603,'Vocus RVC ExDa'!$C$2:$R$155, 3,FALSE), IFERROR(VLOOKUP(A603,'Fusion ExDa'!$B$2:$D$16, 2,FALSE), IFERROR(VLOOKUP(A603,'Exetel ExDa'!$C$2:$N$14, 2,FALSE), IFERROR(VLOOKUP(A603,'Infinet ExDa'!$B$2:$E$14, 2,FALSE), "Not Found"))))))))</f>
        <v>Not Found</v>
      </c>
      <c r="D603" t="str">
        <f>IFERROR(VLOOKUP($A603,'AAPT ExDa'!$B$2:$U$99, 15,FALSE), IFERROR(VLOOKUP($A603,'ABB ExDa'!$A$2:$N$184, 4,FALSE), IFERROR(VLOOKUP($A603,'Vocus SIT ExDa'!$B$2:$J$173, 5,FALSE), IFERROR(VLOOKUP($A603,'Telstra ExDa'!$B$2:$K$310, 8,FALSE), IFERROR(VLOOKUP($A603,'Vocus RVC ExDa'!$C$2:$R$155, 6,FALSE), IFERROR(VLOOKUP($A603,'Fusion ExDa'!$B$2:$D$16, 4,FALSE), IFERROR(VLOOKUP($A603,'Exetel ExDa'!$C$2:$N$14, 3,FALSE), IFERROR(VLOOKUP($A603,'Infinet ExDa'!$B$2:$E$14, 3,FALSE), "Not Found"))))))))</f>
        <v>Not Found</v>
      </c>
      <c r="E603" t="str">
        <f>IFERROR(VLOOKUP($A603,'AAPT ExDa'!$B$2:$U$99, 3,FALSE), IFERROR(VLOOKUP($A603,'ABB ExDa'!$A$2:$N$184, 5,FALSE), IFERROR(VLOOKUP($A603,'Vocus SIT ExDa'!$B$2:$J$173, 2,FALSE), IFERROR(VLOOKUP($A603,'Telstra ExDa'!$B$2:$K$310, 4,FALSE), IFERROR(VLOOKUP($A603,'Vocus RVC ExDa'!$C$2:$R$155, 8,FALSE), IFERROR(VLOOKUP($A603,'Fusion ExDa'!$B$2:$D$16, 4,FALSE), IFERROR(VLOOKUP($A603,'Exetel ExDa'!$C$2:$N$14, 5,FALSE), IFERROR(VLOOKUP($A603,'Infinet ExDa'!$B$2:$E$14, 3,FALSE), "Not Found"))))))))</f>
        <v>Not Found</v>
      </c>
      <c r="F603" t="str">
        <f>IFERROR(VLOOKUP($A603,'AAPT ExDa'!$B$2:$U$99, 4,FALSE), IFERROR(VLOOKUP($A603,'ABB ExDa'!$A$2:$N$184, 6,FALSE), IFERROR(VLOOKUP($A603,'Vocus SIT ExDa'!$B$2:$J$173, 3,FALSE), IFERROR(VLOOKUP($A603,'Telstra ExDa'!$B$2:$K$310, 5,FALSE), IFERROR(VLOOKUP($A603,'Vocus RVC ExDa'!$C$2:$R$155, 9,FALSE), IFERROR(VLOOKUP($A603,'Fusion ExDa'!$B$2:$D$16, 0,FALSE), IFERROR(VLOOKUP($A603,'Exetel ExDa'!$C$2:$N$14, 6,FALSE), IFERROR(VLOOKUP($A603,'Infinet ExDa'!$B$2:$E$14, 0,FALSE), "Not Found"))))))))</f>
        <v>Not Found</v>
      </c>
      <c r="G603" t="str">
        <f>IFERROR(VLOOKUP($A603,'AAPT ExDa'!$B$2:$U$99, 5,FALSE), IFERROR(VLOOKUP($A603,'ABB ExDa'!$A$2:$N$184, 8,FALSE), IFERROR(VLOOKUP($A603,'Vocus SIT ExDa'!$B$2:$J$173, 6,FALSE), IFERROR(VLOOKUP($A603,'Telstra ExDa'!$B$2:$K$310, 0,FALSE), IFERROR(VLOOKUP($A603,'Vocus RVC ExDa'!$C$2:$R$155, 15,FALSE), IFERROR(VLOOKUP($A603,'Fusion ExDa'!$B$2:$D$16, 0,FALSE), IFERROR(VLOOKUP($A603,'Exetel ExDa'!$C$2:$N$14, 7,FALSE), IFERROR(VLOOKUP($A603,'Infinet ExDa'!$B$2:$E$14, 0,FALSE), "Not Found"))))))))</f>
        <v>Not Found</v>
      </c>
      <c r="H603" t="str">
        <f>IFERROR(VLOOKUP($A603,'AAPT ExDa'!$B$2:$U$99, 6,FALSE), IFERROR(VLOOKUP($A603,'ABB ExDa'!$A$2:$N$184, 0,FALSE), IFERROR(VLOOKUP($A603,'Vocus SIT ExDa'!$B$2:$J$173, 0,FALSE), IFERROR(VLOOKUP($A603,'Telstra ExDa'!$B$2:$K$310, 0,FALSE), IFERROR(VLOOKUP($A603,'Vocus RVC ExDa'!$C$2:$R$155, 16,FALSE), IFERROR(VLOOKUP($A603,'Fusion ExDa'!$B$2:$D$16, 0,FALSE), IFERROR(VLOOKUP($A603,'Exetel ExDa'!$C$2:$N$14, 0,FALSE), IFERROR(VLOOKUP($A603,'Infinet ExDa'!$B$2:$E$14, 0,FALSE), "Not Found"))))))))</f>
        <v>Not Found</v>
      </c>
      <c r="I603" t="str">
        <f>IFERROR(VLOOKUP($A603,'AAPT ExDa'!$B$2:$U$99, 0,FALSE), IFERROR(VLOOKUP($A603,'ABB ExDa'!$A$2:$N$184, 0,FALSE), IFERROR(VLOOKUP($A603,'Vocus SIT ExDa'!$B$2:$J$173, 0,FALSE), IFERROR(VLOOKUP($A603,'Telstra ExDa'!$B$2:$K$310, 0,FALSE), IFERROR(VLOOKUP($A603,'Vocus RVC ExDa'!$C$2:$R$155, 0,FALSE), IFERROR(VLOOKUP($A603,'Fusion ExDa'!$B$2:$D$16, 0,FALSE), IFERROR(VLOOKUP($A603,'Exetel ExDa'!$C$2:$N$14, 8,FALSE), IFERROR(VLOOKUP($A603,'Infinet ExDa'!$B$2:$E$14, 0,FALSE), "Not Found"))))))))</f>
        <v>Not Found</v>
      </c>
      <c r="J603" t="str">
        <f>IFERROR(VLOOKUP($A603,'AAPT ExDa'!$B$2:$U$99, 7,FALSE), IFERROR(VLOOKUP($A603,'ABB ExDa'!$A$2:$N$184, 2,FALSE), IFERROR(VLOOKUP($A603,'Vocus SIT ExDa'!$B$2:$J$173, 0,FALSE), IFERROR(VLOOKUP($A603,'Telstra ExDa'!$B$2:$K$310, 7,FALSE), IFERROR(VLOOKUP($A603,'Vocus RVC ExDa'!$C$2:$R$155, 2,FALSE), IFERROR(VLOOKUP($A603,'Fusion ExDa'!$B$2:$D$16, 3,FALSE), IFERROR(VLOOKUP($A603,'Exetel ExDa'!$C$2:$N$14, 0,FALSE), IFERROR(VLOOKUP($A603,'Infinet ExDa'!$B$2:$E$14, 0,FALSE), "Not Found"))))))))</f>
        <v>Not Found</v>
      </c>
      <c r="K603" t="str">
        <f>IFERROR(VLOOKUP($A603,'AAPT ExDa'!$B$2:$U$99, 12,FALSE), IFERROR(VLOOKUP($A603,'ABB ExDa'!$A$2:$N$184, 0,FALSE), IFERROR(VLOOKUP($A603,'Vocus SIT ExDa'!$B$2:$J$173, 0,FALSE), IFERROR(VLOOKUP($A603,'Telstra ExDa'!$B$2:$K$310, 0,FALSE), IFERROR(VLOOKUP($A603,'Vocus RVC ExDa'!$C$2:$R$155, 0,FALSE), IFERROR(VLOOKUP($A603,'Fusion ExDa'!$B$2:$D$16, 0,FALSE), IFERROR(VLOOKUP($A603,'Exetel ExDa'!$C$2:$N$14, 12,FALSE), IFERROR(VLOOKUP($A603,'Infinet ExDa'!$B$2:$E$14, 0,FALSE), "Not Found"))))))))</f>
        <v>Not Found</v>
      </c>
      <c r="L603" s="235" t="str">
        <f>IFERROR(VLOOKUP($A603,'AAPT ExDa'!$B$2:$U$99, 11,FALSE), IFERROR(VLOOKUP($A603,'ABB ExDa'!$A$2:$N$184, 9,FALSE), IFERROR(VLOOKUP($A603,'Vocus SIT ExDa'!$B$2:$J$173, 8,FALSE), IFERROR(VLOOKUP($A603,'Telstra ExDa'!$B$2:$K$310, 0,FALSE), IFERROR(VLOOKUP($A603,'Vocus RVC ExDa'!$C$2:$R$155, 0,FALSE), IFERROR(VLOOKUP($A603,'Fusion ExDa'!$B$2:$D$16, 0,FALSE), IFERROR(VLOOKUP($A603,'Exetel ExDa'!$C$2:$N$14, 9,FALSE), IFERROR(VLOOKUP($A603,'Infinet ExDa'!$B$2:$E$14, 0,FALSE), "Not Found"))))))))</f>
        <v>Not Found</v>
      </c>
      <c r="M603" s="234" t="str">
        <f>IFERROR(VLOOKUP($A603,'AAPT ExDa'!$B$2:$U$99, 0,FALSE), IFERROR(VLOOKUP($A603,'ABB ExDa'!$A$2:$N$184, 0,FALSE), IFERROR(VLOOKUP($A603,'Vocus SIT ExDa'!$B$2:$J$173, 0,FALSE), IFERROR(VLOOKUP($A603,'Telstra ExDa'!$B$2:$K$310, 0,FALSE), IFERROR(VLOOKUP($A603,'Vocus RVC ExDa'!$C$2:$R$155, 0,FALSE), IFERROR(VLOOKUP($A603,'Fusion ExDa'!$B$2:$D$16, 0,FALSE), IFERROR(VLOOKUP($A603,'Exetel ExDa'!$C$2:$N$14, 11,FALSE), IFERROR(VLOOKUP($A603,'Infinet ExDa'!$B$2:$E$14, 0,FALSE), "Not Found"))))))))</f>
        <v>Not Found</v>
      </c>
      <c r="N603" t="str">
        <f>IFERROR(VLOOKUP($A603,'AAPT ExDa'!$B$2:$U$99, 0,FALSE), IFERROR(VLOOKUP($A603,'ABB ExDa'!$A$2:$N$184, 13,FALSE), IFERROR(VLOOKUP($A603,'Vocus SIT ExDa'!$B$2:$J$173, 0,FALSE), IFERROR(VLOOKUP($A603,'Telstra ExDa'!$B$2:$K$310, 0,FALSE), IFERROR(VLOOKUP($A603,'Vocus RVC ExDa'!$C$2:$R$155, 0,FALSE), IFERROR(VLOOKUP($A603,'Fusion ExDa'!$B$2:$D$16, 0,FALSE), IFERROR(VLOOKUP($A603,'Exetel ExDa'!$C$2:$N$14, 0,FALSE), IFERROR(VLOOKUP($A603,'Infinet ExDa'!$B$2:$E$14, 0,FALSE), "Not Found"))))))))</f>
        <v>Not Found</v>
      </c>
    </row>
    <row r="604" spans="1:14">
      <c r="A604">
        <v>0</v>
      </c>
      <c r="B604" t="str">
        <f>IFERROR(VLOOKUP(A604,'Exetel ExDa'!$C$2:$N$14,4,FALSE),"No Data")</f>
        <v>No Data</v>
      </c>
      <c r="C604" t="str">
        <f>IFERROR(VLOOKUP(A604,'AAPT ExDa'!$B$2:$U$99, 2,FALSE), IFERROR(VLOOKUP(A604,'ABB ExDa'!$A$2:$N$184, 2,FALSE), IFERROR(VLOOKUP(A604,'Vocus SIT ExDa'!$B$2:$J$173, 7,FALSE), IFERROR(VLOOKUP(A604,'Telstra ExDa'!$B$2:$K$310, 2,FALSE), IFERROR(VLOOKUP(A604,'Vocus RVC ExDa'!$C$2:$R$155, 3,FALSE), IFERROR(VLOOKUP(A604,'Fusion ExDa'!$B$2:$D$16, 2,FALSE), IFERROR(VLOOKUP(A604,'Exetel ExDa'!$C$2:$N$14, 2,FALSE), IFERROR(VLOOKUP(A604,'Infinet ExDa'!$B$2:$E$14, 2,FALSE), "Not Found"))))))))</f>
        <v>Not Found</v>
      </c>
      <c r="D604" t="str">
        <f>IFERROR(VLOOKUP($A604,'AAPT ExDa'!$B$2:$U$99, 15,FALSE), IFERROR(VLOOKUP($A604,'ABB ExDa'!$A$2:$N$184, 4,FALSE), IFERROR(VLOOKUP($A604,'Vocus SIT ExDa'!$B$2:$J$173, 5,FALSE), IFERROR(VLOOKUP($A604,'Telstra ExDa'!$B$2:$K$310, 8,FALSE), IFERROR(VLOOKUP($A604,'Vocus RVC ExDa'!$C$2:$R$155, 6,FALSE), IFERROR(VLOOKUP($A604,'Fusion ExDa'!$B$2:$D$16, 4,FALSE), IFERROR(VLOOKUP($A604,'Exetel ExDa'!$C$2:$N$14, 3,FALSE), IFERROR(VLOOKUP($A604,'Infinet ExDa'!$B$2:$E$14, 3,FALSE), "Not Found"))))))))</f>
        <v>Not Found</v>
      </c>
      <c r="E604" t="str">
        <f>IFERROR(VLOOKUP($A604,'AAPT ExDa'!$B$2:$U$99, 3,FALSE), IFERROR(VLOOKUP($A604,'ABB ExDa'!$A$2:$N$184, 5,FALSE), IFERROR(VLOOKUP($A604,'Vocus SIT ExDa'!$B$2:$J$173, 2,FALSE), IFERROR(VLOOKUP($A604,'Telstra ExDa'!$B$2:$K$310, 4,FALSE), IFERROR(VLOOKUP($A604,'Vocus RVC ExDa'!$C$2:$R$155, 8,FALSE), IFERROR(VLOOKUP($A604,'Fusion ExDa'!$B$2:$D$16, 4,FALSE), IFERROR(VLOOKUP($A604,'Exetel ExDa'!$C$2:$N$14, 5,FALSE), IFERROR(VLOOKUP($A604,'Infinet ExDa'!$B$2:$E$14, 3,FALSE), "Not Found"))))))))</f>
        <v>Not Found</v>
      </c>
      <c r="F604" t="str">
        <f>IFERROR(VLOOKUP($A604,'AAPT ExDa'!$B$2:$U$99, 4,FALSE), IFERROR(VLOOKUP($A604,'ABB ExDa'!$A$2:$N$184, 6,FALSE), IFERROR(VLOOKUP($A604,'Vocus SIT ExDa'!$B$2:$J$173, 3,FALSE), IFERROR(VLOOKUP($A604,'Telstra ExDa'!$B$2:$K$310, 5,FALSE), IFERROR(VLOOKUP($A604,'Vocus RVC ExDa'!$C$2:$R$155, 9,FALSE), IFERROR(VLOOKUP($A604,'Fusion ExDa'!$B$2:$D$16, 0,FALSE), IFERROR(VLOOKUP($A604,'Exetel ExDa'!$C$2:$N$14, 6,FALSE), IFERROR(VLOOKUP($A604,'Infinet ExDa'!$B$2:$E$14, 0,FALSE), "Not Found"))))))))</f>
        <v>Not Found</v>
      </c>
      <c r="G604" t="str">
        <f>IFERROR(VLOOKUP($A604,'AAPT ExDa'!$B$2:$U$99, 5,FALSE), IFERROR(VLOOKUP($A604,'ABB ExDa'!$A$2:$N$184, 8,FALSE), IFERROR(VLOOKUP($A604,'Vocus SIT ExDa'!$B$2:$J$173, 6,FALSE), IFERROR(VLOOKUP($A604,'Telstra ExDa'!$B$2:$K$310, 0,FALSE), IFERROR(VLOOKUP($A604,'Vocus RVC ExDa'!$C$2:$R$155, 15,FALSE), IFERROR(VLOOKUP($A604,'Fusion ExDa'!$B$2:$D$16, 0,FALSE), IFERROR(VLOOKUP($A604,'Exetel ExDa'!$C$2:$N$14, 7,FALSE), IFERROR(VLOOKUP($A604,'Infinet ExDa'!$B$2:$E$14, 0,FALSE), "Not Found"))))))))</f>
        <v>Not Found</v>
      </c>
      <c r="H604" t="str">
        <f>IFERROR(VLOOKUP($A604,'AAPT ExDa'!$B$2:$U$99, 6,FALSE), IFERROR(VLOOKUP($A604,'ABB ExDa'!$A$2:$N$184, 0,FALSE), IFERROR(VLOOKUP($A604,'Vocus SIT ExDa'!$B$2:$J$173, 0,FALSE), IFERROR(VLOOKUP($A604,'Telstra ExDa'!$B$2:$K$310, 0,FALSE), IFERROR(VLOOKUP($A604,'Vocus RVC ExDa'!$C$2:$R$155, 16,FALSE), IFERROR(VLOOKUP($A604,'Fusion ExDa'!$B$2:$D$16, 0,FALSE), IFERROR(VLOOKUP($A604,'Exetel ExDa'!$C$2:$N$14, 0,FALSE), IFERROR(VLOOKUP($A604,'Infinet ExDa'!$B$2:$E$14, 0,FALSE), "Not Found"))))))))</f>
        <v>Not Found</v>
      </c>
      <c r="I604" t="str">
        <f>IFERROR(VLOOKUP($A604,'AAPT ExDa'!$B$2:$U$99, 0,FALSE), IFERROR(VLOOKUP($A604,'ABB ExDa'!$A$2:$N$184, 0,FALSE), IFERROR(VLOOKUP($A604,'Vocus SIT ExDa'!$B$2:$J$173, 0,FALSE), IFERROR(VLOOKUP($A604,'Telstra ExDa'!$B$2:$K$310, 0,FALSE), IFERROR(VLOOKUP($A604,'Vocus RVC ExDa'!$C$2:$R$155, 0,FALSE), IFERROR(VLOOKUP($A604,'Fusion ExDa'!$B$2:$D$16, 0,FALSE), IFERROR(VLOOKUP($A604,'Exetel ExDa'!$C$2:$N$14, 8,FALSE), IFERROR(VLOOKUP($A604,'Infinet ExDa'!$B$2:$E$14, 0,FALSE), "Not Found"))))))))</f>
        <v>Not Found</v>
      </c>
      <c r="J604" t="str">
        <f>IFERROR(VLOOKUP($A604,'AAPT ExDa'!$B$2:$U$99, 7,FALSE), IFERROR(VLOOKUP($A604,'ABB ExDa'!$A$2:$N$184, 2,FALSE), IFERROR(VLOOKUP($A604,'Vocus SIT ExDa'!$B$2:$J$173, 0,FALSE), IFERROR(VLOOKUP($A604,'Telstra ExDa'!$B$2:$K$310, 7,FALSE), IFERROR(VLOOKUP($A604,'Vocus RVC ExDa'!$C$2:$R$155, 2,FALSE), IFERROR(VLOOKUP($A604,'Fusion ExDa'!$B$2:$D$16, 3,FALSE), IFERROR(VLOOKUP($A604,'Exetel ExDa'!$C$2:$N$14, 0,FALSE), IFERROR(VLOOKUP($A604,'Infinet ExDa'!$B$2:$E$14, 0,FALSE), "Not Found"))))))))</f>
        <v>Not Found</v>
      </c>
      <c r="K604" t="str">
        <f>IFERROR(VLOOKUP($A604,'AAPT ExDa'!$B$2:$U$99, 12,FALSE), IFERROR(VLOOKUP($A604,'ABB ExDa'!$A$2:$N$184, 0,FALSE), IFERROR(VLOOKUP($A604,'Vocus SIT ExDa'!$B$2:$J$173, 0,FALSE), IFERROR(VLOOKUP($A604,'Telstra ExDa'!$B$2:$K$310, 0,FALSE), IFERROR(VLOOKUP($A604,'Vocus RVC ExDa'!$C$2:$R$155, 0,FALSE), IFERROR(VLOOKUP($A604,'Fusion ExDa'!$B$2:$D$16, 0,FALSE), IFERROR(VLOOKUP($A604,'Exetel ExDa'!$C$2:$N$14, 12,FALSE), IFERROR(VLOOKUP($A604,'Infinet ExDa'!$B$2:$E$14, 0,FALSE), "Not Found"))))))))</f>
        <v>Not Found</v>
      </c>
      <c r="L604" s="235" t="str">
        <f>IFERROR(VLOOKUP($A604,'AAPT ExDa'!$B$2:$U$99, 11,FALSE), IFERROR(VLOOKUP($A604,'ABB ExDa'!$A$2:$N$184, 9,FALSE), IFERROR(VLOOKUP($A604,'Vocus SIT ExDa'!$B$2:$J$173, 8,FALSE), IFERROR(VLOOKUP($A604,'Telstra ExDa'!$B$2:$K$310, 0,FALSE), IFERROR(VLOOKUP($A604,'Vocus RVC ExDa'!$C$2:$R$155, 0,FALSE), IFERROR(VLOOKUP($A604,'Fusion ExDa'!$B$2:$D$16, 0,FALSE), IFERROR(VLOOKUP($A604,'Exetel ExDa'!$C$2:$N$14, 9,FALSE), IFERROR(VLOOKUP($A604,'Infinet ExDa'!$B$2:$E$14, 0,FALSE), "Not Found"))))))))</f>
        <v>Not Found</v>
      </c>
      <c r="M604" s="234" t="str">
        <f>IFERROR(VLOOKUP($A604,'AAPT ExDa'!$B$2:$U$99, 0,FALSE), IFERROR(VLOOKUP($A604,'ABB ExDa'!$A$2:$N$184, 0,FALSE), IFERROR(VLOOKUP($A604,'Vocus SIT ExDa'!$B$2:$J$173, 0,FALSE), IFERROR(VLOOKUP($A604,'Telstra ExDa'!$B$2:$K$310, 0,FALSE), IFERROR(VLOOKUP($A604,'Vocus RVC ExDa'!$C$2:$R$155, 0,FALSE), IFERROR(VLOOKUP($A604,'Fusion ExDa'!$B$2:$D$16, 0,FALSE), IFERROR(VLOOKUP($A604,'Exetel ExDa'!$C$2:$N$14, 11,FALSE), IFERROR(VLOOKUP($A604,'Infinet ExDa'!$B$2:$E$14, 0,FALSE), "Not Found"))))))))</f>
        <v>Not Found</v>
      </c>
      <c r="N604" t="str">
        <f>IFERROR(VLOOKUP($A604,'AAPT ExDa'!$B$2:$U$99, 0,FALSE), IFERROR(VLOOKUP($A604,'ABB ExDa'!$A$2:$N$184, 13,FALSE), IFERROR(VLOOKUP($A604,'Vocus SIT ExDa'!$B$2:$J$173, 0,FALSE), IFERROR(VLOOKUP($A604,'Telstra ExDa'!$B$2:$K$310, 0,FALSE), IFERROR(VLOOKUP($A604,'Vocus RVC ExDa'!$C$2:$R$155, 0,FALSE), IFERROR(VLOOKUP($A604,'Fusion ExDa'!$B$2:$D$16, 0,FALSE), IFERROR(VLOOKUP($A604,'Exetel ExDa'!$C$2:$N$14, 0,FALSE), IFERROR(VLOOKUP($A604,'Infinet ExDa'!$B$2:$E$14, 0,FALSE), "Not Found"))))))))</f>
        <v>Not Found</v>
      </c>
    </row>
    <row r="605" spans="1:14">
      <c r="A605">
        <v>0</v>
      </c>
      <c r="B605" t="str">
        <f>IFERROR(VLOOKUP(A605,'Exetel ExDa'!$C$2:$N$14,4,FALSE),"No Data")</f>
        <v>No Data</v>
      </c>
      <c r="C605" t="str">
        <f>IFERROR(VLOOKUP(A605,'AAPT ExDa'!$B$2:$U$99, 2,FALSE), IFERROR(VLOOKUP(A605,'ABB ExDa'!$A$2:$N$184, 2,FALSE), IFERROR(VLOOKUP(A605,'Vocus SIT ExDa'!$B$2:$J$173, 7,FALSE), IFERROR(VLOOKUP(A605,'Telstra ExDa'!$B$2:$K$310, 2,FALSE), IFERROR(VLOOKUP(A605,'Vocus RVC ExDa'!$C$2:$R$155, 3,FALSE), IFERROR(VLOOKUP(A605,'Fusion ExDa'!$B$2:$D$16, 2,FALSE), IFERROR(VLOOKUP(A605,'Exetel ExDa'!$C$2:$N$14, 2,FALSE), IFERROR(VLOOKUP(A605,'Infinet ExDa'!$B$2:$E$14, 2,FALSE), "Not Found"))))))))</f>
        <v>Not Found</v>
      </c>
      <c r="D605" t="str">
        <f>IFERROR(VLOOKUP($A605,'AAPT ExDa'!$B$2:$U$99, 15,FALSE), IFERROR(VLOOKUP($A605,'ABB ExDa'!$A$2:$N$184, 4,FALSE), IFERROR(VLOOKUP($A605,'Vocus SIT ExDa'!$B$2:$J$173, 5,FALSE), IFERROR(VLOOKUP($A605,'Telstra ExDa'!$B$2:$K$310, 8,FALSE), IFERROR(VLOOKUP($A605,'Vocus RVC ExDa'!$C$2:$R$155, 6,FALSE), IFERROR(VLOOKUP($A605,'Fusion ExDa'!$B$2:$D$16, 4,FALSE), IFERROR(VLOOKUP($A605,'Exetel ExDa'!$C$2:$N$14, 3,FALSE), IFERROR(VLOOKUP($A605,'Infinet ExDa'!$B$2:$E$14, 3,FALSE), "Not Found"))))))))</f>
        <v>Not Found</v>
      </c>
      <c r="E605" t="str">
        <f>IFERROR(VLOOKUP($A605,'AAPT ExDa'!$B$2:$U$99, 3,FALSE), IFERROR(VLOOKUP($A605,'ABB ExDa'!$A$2:$N$184, 5,FALSE), IFERROR(VLOOKUP($A605,'Vocus SIT ExDa'!$B$2:$J$173, 2,FALSE), IFERROR(VLOOKUP($A605,'Telstra ExDa'!$B$2:$K$310, 4,FALSE), IFERROR(VLOOKUP($A605,'Vocus RVC ExDa'!$C$2:$R$155, 8,FALSE), IFERROR(VLOOKUP($A605,'Fusion ExDa'!$B$2:$D$16, 4,FALSE), IFERROR(VLOOKUP($A605,'Exetel ExDa'!$C$2:$N$14, 5,FALSE), IFERROR(VLOOKUP($A605,'Infinet ExDa'!$B$2:$E$14, 3,FALSE), "Not Found"))))))))</f>
        <v>Not Found</v>
      </c>
      <c r="F605" t="str">
        <f>IFERROR(VLOOKUP($A605,'AAPT ExDa'!$B$2:$U$99, 4,FALSE), IFERROR(VLOOKUP($A605,'ABB ExDa'!$A$2:$N$184, 6,FALSE), IFERROR(VLOOKUP($A605,'Vocus SIT ExDa'!$B$2:$J$173, 3,FALSE), IFERROR(VLOOKUP($A605,'Telstra ExDa'!$B$2:$K$310, 5,FALSE), IFERROR(VLOOKUP($A605,'Vocus RVC ExDa'!$C$2:$R$155, 9,FALSE), IFERROR(VLOOKUP($A605,'Fusion ExDa'!$B$2:$D$16, 0,FALSE), IFERROR(VLOOKUP($A605,'Exetel ExDa'!$C$2:$N$14, 6,FALSE), IFERROR(VLOOKUP($A605,'Infinet ExDa'!$B$2:$E$14, 0,FALSE), "Not Found"))))))))</f>
        <v>Not Found</v>
      </c>
      <c r="G605" t="str">
        <f>IFERROR(VLOOKUP($A605,'AAPT ExDa'!$B$2:$U$99, 5,FALSE), IFERROR(VLOOKUP($A605,'ABB ExDa'!$A$2:$N$184, 8,FALSE), IFERROR(VLOOKUP($A605,'Vocus SIT ExDa'!$B$2:$J$173, 6,FALSE), IFERROR(VLOOKUP($A605,'Telstra ExDa'!$B$2:$K$310, 0,FALSE), IFERROR(VLOOKUP($A605,'Vocus RVC ExDa'!$C$2:$R$155, 15,FALSE), IFERROR(VLOOKUP($A605,'Fusion ExDa'!$B$2:$D$16, 0,FALSE), IFERROR(VLOOKUP($A605,'Exetel ExDa'!$C$2:$N$14, 7,FALSE), IFERROR(VLOOKUP($A605,'Infinet ExDa'!$B$2:$E$14, 0,FALSE), "Not Found"))))))))</f>
        <v>Not Found</v>
      </c>
      <c r="H605" t="str">
        <f>IFERROR(VLOOKUP($A605,'AAPT ExDa'!$B$2:$U$99, 6,FALSE), IFERROR(VLOOKUP($A605,'ABB ExDa'!$A$2:$N$184, 0,FALSE), IFERROR(VLOOKUP($A605,'Vocus SIT ExDa'!$B$2:$J$173, 0,FALSE), IFERROR(VLOOKUP($A605,'Telstra ExDa'!$B$2:$K$310, 0,FALSE), IFERROR(VLOOKUP($A605,'Vocus RVC ExDa'!$C$2:$R$155, 16,FALSE), IFERROR(VLOOKUP($A605,'Fusion ExDa'!$B$2:$D$16, 0,FALSE), IFERROR(VLOOKUP($A605,'Exetel ExDa'!$C$2:$N$14, 0,FALSE), IFERROR(VLOOKUP($A605,'Infinet ExDa'!$B$2:$E$14, 0,FALSE), "Not Found"))))))))</f>
        <v>Not Found</v>
      </c>
      <c r="I605" t="str">
        <f>IFERROR(VLOOKUP($A605,'AAPT ExDa'!$B$2:$U$99, 0,FALSE), IFERROR(VLOOKUP($A605,'ABB ExDa'!$A$2:$N$184, 0,FALSE), IFERROR(VLOOKUP($A605,'Vocus SIT ExDa'!$B$2:$J$173, 0,FALSE), IFERROR(VLOOKUP($A605,'Telstra ExDa'!$B$2:$K$310, 0,FALSE), IFERROR(VLOOKUP($A605,'Vocus RVC ExDa'!$C$2:$R$155, 0,FALSE), IFERROR(VLOOKUP($A605,'Fusion ExDa'!$B$2:$D$16, 0,FALSE), IFERROR(VLOOKUP($A605,'Exetel ExDa'!$C$2:$N$14, 8,FALSE), IFERROR(VLOOKUP($A605,'Infinet ExDa'!$B$2:$E$14, 0,FALSE), "Not Found"))))))))</f>
        <v>Not Found</v>
      </c>
      <c r="J605" t="str">
        <f>IFERROR(VLOOKUP($A605,'AAPT ExDa'!$B$2:$U$99, 7,FALSE), IFERROR(VLOOKUP($A605,'ABB ExDa'!$A$2:$N$184, 2,FALSE), IFERROR(VLOOKUP($A605,'Vocus SIT ExDa'!$B$2:$J$173, 0,FALSE), IFERROR(VLOOKUP($A605,'Telstra ExDa'!$B$2:$K$310, 7,FALSE), IFERROR(VLOOKUP($A605,'Vocus RVC ExDa'!$C$2:$R$155, 2,FALSE), IFERROR(VLOOKUP($A605,'Fusion ExDa'!$B$2:$D$16, 3,FALSE), IFERROR(VLOOKUP($A605,'Exetel ExDa'!$C$2:$N$14, 0,FALSE), IFERROR(VLOOKUP($A605,'Infinet ExDa'!$B$2:$E$14, 0,FALSE), "Not Found"))))))))</f>
        <v>Not Found</v>
      </c>
      <c r="K605" t="str">
        <f>IFERROR(VLOOKUP($A605,'AAPT ExDa'!$B$2:$U$99, 12,FALSE), IFERROR(VLOOKUP($A605,'ABB ExDa'!$A$2:$N$184, 0,FALSE), IFERROR(VLOOKUP($A605,'Vocus SIT ExDa'!$B$2:$J$173, 0,FALSE), IFERROR(VLOOKUP($A605,'Telstra ExDa'!$B$2:$K$310, 0,FALSE), IFERROR(VLOOKUP($A605,'Vocus RVC ExDa'!$C$2:$R$155, 0,FALSE), IFERROR(VLOOKUP($A605,'Fusion ExDa'!$B$2:$D$16, 0,FALSE), IFERROR(VLOOKUP($A605,'Exetel ExDa'!$C$2:$N$14, 12,FALSE), IFERROR(VLOOKUP($A605,'Infinet ExDa'!$B$2:$E$14, 0,FALSE), "Not Found"))))))))</f>
        <v>Not Found</v>
      </c>
      <c r="L605" s="235" t="str">
        <f>IFERROR(VLOOKUP($A605,'AAPT ExDa'!$B$2:$U$99, 11,FALSE), IFERROR(VLOOKUP($A605,'ABB ExDa'!$A$2:$N$184, 9,FALSE), IFERROR(VLOOKUP($A605,'Vocus SIT ExDa'!$B$2:$J$173, 8,FALSE), IFERROR(VLOOKUP($A605,'Telstra ExDa'!$B$2:$K$310, 0,FALSE), IFERROR(VLOOKUP($A605,'Vocus RVC ExDa'!$C$2:$R$155, 0,FALSE), IFERROR(VLOOKUP($A605,'Fusion ExDa'!$B$2:$D$16, 0,FALSE), IFERROR(VLOOKUP($A605,'Exetel ExDa'!$C$2:$N$14, 9,FALSE), IFERROR(VLOOKUP($A605,'Infinet ExDa'!$B$2:$E$14, 0,FALSE), "Not Found"))))))))</f>
        <v>Not Found</v>
      </c>
      <c r="M605" s="234" t="str">
        <f>IFERROR(VLOOKUP($A605,'AAPT ExDa'!$B$2:$U$99, 0,FALSE), IFERROR(VLOOKUP($A605,'ABB ExDa'!$A$2:$N$184, 0,FALSE), IFERROR(VLOOKUP($A605,'Vocus SIT ExDa'!$B$2:$J$173, 0,FALSE), IFERROR(VLOOKUP($A605,'Telstra ExDa'!$B$2:$K$310, 0,FALSE), IFERROR(VLOOKUP($A605,'Vocus RVC ExDa'!$C$2:$R$155, 0,FALSE), IFERROR(VLOOKUP($A605,'Fusion ExDa'!$B$2:$D$16, 0,FALSE), IFERROR(VLOOKUP($A605,'Exetel ExDa'!$C$2:$N$14, 11,FALSE), IFERROR(VLOOKUP($A605,'Infinet ExDa'!$B$2:$E$14, 0,FALSE), "Not Found"))))))))</f>
        <v>Not Found</v>
      </c>
      <c r="N605" t="str">
        <f>IFERROR(VLOOKUP($A605,'AAPT ExDa'!$B$2:$U$99, 0,FALSE), IFERROR(VLOOKUP($A605,'ABB ExDa'!$A$2:$N$184, 13,FALSE), IFERROR(VLOOKUP($A605,'Vocus SIT ExDa'!$B$2:$J$173, 0,FALSE), IFERROR(VLOOKUP($A605,'Telstra ExDa'!$B$2:$K$310, 0,FALSE), IFERROR(VLOOKUP($A605,'Vocus RVC ExDa'!$C$2:$R$155, 0,FALSE), IFERROR(VLOOKUP($A605,'Fusion ExDa'!$B$2:$D$16, 0,FALSE), IFERROR(VLOOKUP($A605,'Exetel ExDa'!$C$2:$N$14, 0,FALSE), IFERROR(VLOOKUP($A605,'Infinet ExDa'!$B$2:$E$14, 0,FALSE), "Not Found"))))))))</f>
        <v>Not Found</v>
      </c>
    </row>
    <row r="606" spans="1:14">
      <c r="A606">
        <v>0</v>
      </c>
      <c r="B606" t="str">
        <f>IFERROR(VLOOKUP(A606,'Exetel ExDa'!$C$2:$N$14,4,FALSE),"No Data")</f>
        <v>No Data</v>
      </c>
      <c r="C606" t="str">
        <f>IFERROR(VLOOKUP(A606,'AAPT ExDa'!$B$2:$U$99, 2,FALSE), IFERROR(VLOOKUP(A606,'ABB ExDa'!$A$2:$N$184, 2,FALSE), IFERROR(VLOOKUP(A606,'Vocus SIT ExDa'!$B$2:$J$173, 7,FALSE), IFERROR(VLOOKUP(A606,'Telstra ExDa'!$B$2:$K$310, 2,FALSE), IFERROR(VLOOKUP(A606,'Vocus RVC ExDa'!$C$2:$R$155, 3,FALSE), IFERROR(VLOOKUP(A606,'Fusion ExDa'!$B$2:$D$16, 2,FALSE), IFERROR(VLOOKUP(A606,'Exetel ExDa'!$C$2:$N$14, 2,FALSE), IFERROR(VLOOKUP(A606,'Infinet ExDa'!$B$2:$E$14, 2,FALSE), "Not Found"))))))))</f>
        <v>Not Found</v>
      </c>
      <c r="D606" t="str">
        <f>IFERROR(VLOOKUP($A606,'AAPT ExDa'!$B$2:$U$99, 15,FALSE), IFERROR(VLOOKUP($A606,'ABB ExDa'!$A$2:$N$184, 4,FALSE), IFERROR(VLOOKUP($A606,'Vocus SIT ExDa'!$B$2:$J$173, 5,FALSE), IFERROR(VLOOKUP($A606,'Telstra ExDa'!$B$2:$K$310, 8,FALSE), IFERROR(VLOOKUP($A606,'Vocus RVC ExDa'!$C$2:$R$155, 6,FALSE), IFERROR(VLOOKUP($A606,'Fusion ExDa'!$B$2:$D$16, 4,FALSE), IFERROR(VLOOKUP($A606,'Exetel ExDa'!$C$2:$N$14, 3,FALSE), IFERROR(VLOOKUP($A606,'Infinet ExDa'!$B$2:$E$14, 3,FALSE), "Not Found"))))))))</f>
        <v>Not Found</v>
      </c>
      <c r="E606" t="str">
        <f>IFERROR(VLOOKUP($A606,'AAPT ExDa'!$B$2:$U$99, 3,FALSE), IFERROR(VLOOKUP($A606,'ABB ExDa'!$A$2:$N$184, 5,FALSE), IFERROR(VLOOKUP($A606,'Vocus SIT ExDa'!$B$2:$J$173, 2,FALSE), IFERROR(VLOOKUP($A606,'Telstra ExDa'!$B$2:$K$310, 4,FALSE), IFERROR(VLOOKUP($A606,'Vocus RVC ExDa'!$C$2:$R$155, 8,FALSE), IFERROR(VLOOKUP($A606,'Fusion ExDa'!$B$2:$D$16, 4,FALSE), IFERROR(VLOOKUP($A606,'Exetel ExDa'!$C$2:$N$14, 5,FALSE), IFERROR(VLOOKUP($A606,'Infinet ExDa'!$B$2:$E$14, 3,FALSE), "Not Found"))))))))</f>
        <v>Not Found</v>
      </c>
      <c r="F606" t="str">
        <f>IFERROR(VLOOKUP($A606,'AAPT ExDa'!$B$2:$U$99, 4,FALSE), IFERROR(VLOOKUP($A606,'ABB ExDa'!$A$2:$N$184, 6,FALSE), IFERROR(VLOOKUP($A606,'Vocus SIT ExDa'!$B$2:$J$173, 3,FALSE), IFERROR(VLOOKUP($A606,'Telstra ExDa'!$B$2:$K$310, 5,FALSE), IFERROR(VLOOKUP($A606,'Vocus RVC ExDa'!$C$2:$R$155, 9,FALSE), IFERROR(VLOOKUP($A606,'Fusion ExDa'!$B$2:$D$16, 0,FALSE), IFERROR(VLOOKUP($A606,'Exetel ExDa'!$C$2:$N$14, 6,FALSE), IFERROR(VLOOKUP($A606,'Infinet ExDa'!$B$2:$E$14, 0,FALSE), "Not Found"))))))))</f>
        <v>Not Found</v>
      </c>
      <c r="G606" t="str">
        <f>IFERROR(VLOOKUP($A606,'AAPT ExDa'!$B$2:$U$99, 5,FALSE), IFERROR(VLOOKUP($A606,'ABB ExDa'!$A$2:$N$184, 8,FALSE), IFERROR(VLOOKUP($A606,'Vocus SIT ExDa'!$B$2:$J$173, 6,FALSE), IFERROR(VLOOKUP($A606,'Telstra ExDa'!$B$2:$K$310, 0,FALSE), IFERROR(VLOOKUP($A606,'Vocus RVC ExDa'!$C$2:$R$155, 15,FALSE), IFERROR(VLOOKUP($A606,'Fusion ExDa'!$B$2:$D$16, 0,FALSE), IFERROR(VLOOKUP($A606,'Exetel ExDa'!$C$2:$N$14, 7,FALSE), IFERROR(VLOOKUP($A606,'Infinet ExDa'!$B$2:$E$14, 0,FALSE), "Not Found"))))))))</f>
        <v>Not Found</v>
      </c>
      <c r="H606" t="str">
        <f>IFERROR(VLOOKUP($A606,'AAPT ExDa'!$B$2:$U$99, 6,FALSE), IFERROR(VLOOKUP($A606,'ABB ExDa'!$A$2:$N$184, 0,FALSE), IFERROR(VLOOKUP($A606,'Vocus SIT ExDa'!$B$2:$J$173, 0,FALSE), IFERROR(VLOOKUP($A606,'Telstra ExDa'!$B$2:$K$310, 0,FALSE), IFERROR(VLOOKUP($A606,'Vocus RVC ExDa'!$C$2:$R$155, 16,FALSE), IFERROR(VLOOKUP($A606,'Fusion ExDa'!$B$2:$D$16, 0,FALSE), IFERROR(VLOOKUP($A606,'Exetel ExDa'!$C$2:$N$14, 0,FALSE), IFERROR(VLOOKUP($A606,'Infinet ExDa'!$B$2:$E$14, 0,FALSE), "Not Found"))))))))</f>
        <v>Not Found</v>
      </c>
      <c r="I606" t="str">
        <f>IFERROR(VLOOKUP($A606,'AAPT ExDa'!$B$2:$U$99, 0,FALSE), IFERROR(VLOOKUP($A606,'ABB ExDa'!$A$2:$N$184, 0,FALSE), IFERROR(VLOOKUP($A606,'Vocus SIT ExDa'!$B$2:$J$173, 0,FALSE), IFERROR(VLOOKUP($A606,'Telstra ExDa'!$B$2:$K$310, 0,FALSE), IFERROR(VLOOKUP($A606,'Vocus RVC ExDa'!$C$2:$R$155, 0,FALSE), IFERROR(VLOOKUP($A606,'Fusion ExDa'!$B$2:$D$16, 0,FALSE), IFERROR(VLOOKUP($A606,'Exetel ExDa'!$C$2:$N$14, 8,FALSE), IFERROR(VLOOKUP($A606,'Infinet ExDa'!$B$2:$E$14, 0,FALSE), "Not Found"))))))))</f>
        <v>Not Found</v>
      </c>
      <c r="J606" t="str">
        <f>IFERROR(VLOOKUP($A606,'AAPT ExDa'!$B$2:$U$99, 7,FALSE), IFERROR(VLOOKUP($A606,'ABB ExDa'!$A$2:$N$184, 2,FALSE), IFERROR(VLOOKUP($A606,'Vocus SIT ExDa'!$B$2:$J$173, 0,FALSE), IFERROR(VLOOKUP($A606,'Telstra ExDa'!$B$2:$K$310, 7,FALSE), IFERROR(VLOOKUP($A606,'Vocus RVC ExDa'!$C$2:$R$155, 2,FALSE), IFERROR(VLOOKUP($A606,'Fusion ExDa'!$B$2:$D$16, 3,FALSE), IFERROR(VLOOKUP($A606,'Exetel ExDa'!$C$2:$N$14, 0,FALSE), IFERROR(VLOOKUP($A606,'Infinet ExDa'!$B$2:$E$14, 0,FALSE), "Not Found"))))))))</f>
        <v>Not Found</v>
      </c>
      <c r="K606" t="str">
        <f>IFERROR(VLOOKUP($A606,'AAPT ExDa'!$B$2:$U$99, 12,FALSE), IFERROR(VLOOKUP($A606,'ABB ExDa'!$A$2:$N$184, 0,FALSE), IFERROR(VLOOKUP($A606,'Vocus SIT ExDa'!$B$2:$J$173, 0,FALSE), IFERROR(VLOOKUP($A606,'Telstra ExDa'!$B$2:$K$310, 0,FALSE), IFERROR(VLOOKUP($A606,'Vocus RVC ExDa'!$C$2:$R$155, 0,FALSE), IFERROR(VLOOKUP($A606,'Fusion ExDa'!$B$2:$D$16, 0,FALSE), IFERROR(VLOOKUP($A606,'Exetel ExDa'!$C$2:$N$14, 12,FALSE), IFERROR(VLOOKUP($A606,'Infinet ExDa'!$B$2:$E$14, 0,FALSE), "Not Found"))))))))</f>
        <v>Not Found</v>
      </c>
      <c r="L606" s="235" t="str">
        <f>IFERROR(VLOOKUP($A606,'AAPT ExDa'!$B$2:$U$99, 11,FALSE), IFERROR(VLOOKUP($A606,'ABB ExDa'!$A$2:$N$184, 9,FALSE), IFERROR(VLOOKUP($A606,'Vocus SIT ExDa'!$B$2:$J$173, 8,FALSE), IFERROR(VLOOKUP($A606,'Telstra ExDa'!$B$2:$K$310, 0,FALSE), IFERROR(VLOOKUP($A606,'Vocus RVC ExDa'!$C$2:$R$155, 0,FALSE), IFERROR(VLOOKUP($A606,'Fusion ExDa'!$B$2:$D$16, 0,FALSE), IFERROR(VLOOKUP($A606,'Exetel ExDa'!$C$2:$N$14, 9,FALSE), IFERROR(VLOOKUP($A606,'Infinet ExDa'!$B$2:$E$14, 0,FALSE), "Not Found"))))))))</f>
        <v>Not Found</v>
      </c>
      <c r="M606" s="234" t="str">
        <f>IFERROR(VLOOKUP($A606,'AAPT ExDa'!$B$2:$U$99, 0,FALSE), IFERROR(VLOOKUP($A606,'ABB ExDa'!$A$2:$N$184, 0,FALSE), IFERROR(VLOOKUP($A606,'Vocus SIT ExDa'!$B$2:$J$173, 0,FALSE), IFERROR(VLOOKUP($A606,'Telstra ExDa'!$B$2:$K$310, 0,FALSE), IFERROR(VLOOKUP($A606,'Vocus RVC ExDa'!$C$2:$R$155, 0,FALSE), IFERROR(VLOOKUP($A606,'Fusion ExDa'!$B$2:$D$16, 0,FALSE), IFERROR(VLOOKUP($A606,'Exetel ExDa'!$C$2:$N$14, 11,FALSE), IFERROR(VLOOKUP($A606,'Infinet ExDa'!$B$2:$E$14, 0,FALSE), "Not Found"))))))))</f>
        <v>Not Found</v>
      </c>
      <c r="N606" t="str">
        <f>IFERROR(VLOOKUP($A606,'AAPT ExDa'!$B$2:$U$99, 0,FALSE), IFERROR(VLOOKUP($A606,'ABB ExDa'!$A$2:$N$184, 13,FALSE), IFERROR(VLOOKUP($A606,'Vocus SIT ExDa'!$B$2:$J$173, 0,FALSE), IFERROR(VLOOKUP($A606,'Telstra ExDa'!$B$2:$K$310, 0,FALSE), IFERROR(VLOOKUP($A606,'Vocus RVC ExDa'!$C$2:$R$155, 0,FALSE), IFERROR(VLOOKUP($A606,'Fusion ExDa'!$B$2:$D$16, 0,FALSE), IFERROR(VLOOKUP($A606,'Exetel ExDa'!$C$2:$N$14, 0,FALSE), IFERROR(VLOOKUP($A606,'Infinet ExDa'!$B$2:$E$14, 0,FALSE), "Not Found"))))))))</f>
        <v>Not Found</v>
      </c>
    </row>
    <row r="607" spans="1:14">
      <c r="A607">
        <v>0</v>
      </c>
      <c r="B607" t="str">
        <f>IFERROR(VLOOKUP(A607,'Exetel ExDa'!$C$2:$N$14,4,FALSE),"No Data")</f>
        <v>No Data</v>
      </c>
      <c r="C607" t="str">
        <f>IFERROR(VLOOKUP(A607,'AAPT ExDa'!$B$2:$U$99, 2,FALSE), IFERROR(VLOOKUP(A607,'ABB ExDa'!$A$2:$N$184, 2,FALSE), IFERROR(VLOOKUP(A607,'Vocus SIT ExDa'!$B$2:$J$173, 7,FALSE), IFERROR(VLOOKUP(A607,'Telstra ExDa'!$B$2:$K$310, 2,FALSE), IFERROR(VLOOKUP(A607,'Vocus RVC ExDa'!$C$2:$R$155, 3,FALSE), IFERROR(VLOOKUP(A607,'Fusion ExDa'!$B$2:$D$16, 2,FALSE), IFERROR(VLOOKUP(A607,'Exetel ExDa'!$C$2:$N$14, 2,FALSE), IFERROR(VLOOKUP(A607,'Infinet ExDa'!$B$2:$E$14, 2,FALSE), "Not Found"))))))))</f>
        <v>Not Found</v>
      </c>
      <c r="D607" t="str">
        <f>IFERROR(VLOOKUP($A607,'AAPT ExDa'!$B$2:$U$99, 15,FALSE), IFERROR(VLOOKUP($A607,'ABB ExDa'!$A$2:$N$184, 4,FALSE), IFERROR(VLOOKUP($A607,'Vocus SIT ExDa'!$B$2:$J$173, 5,FALSE), IFERROR(VLOOKUP($A607,'Telstra ExDa'!$B$2:$K$310, 8,FALSE), IFERROR(VLOOKUP($A607,'Vocus RVC ExDa'!$C$2:$R$155, 6,FALSE), IFERROR(VLOOKUP($A607,'Fusion ExDa'!$B$2:$D$16, 4,FALSE), IFERROR(VLOOKUP($A607,'Exetel ExDa'!$C$2:$N$14, 3,FALSE), IFERROR(VLOOKUP($A607,'Infinet ExDa'!$B$2:$E$14, 3,FALSE), "Not Found"))))))))</f>
        <v>Not Found</v>
      </c>
      <c r="E607" t="str">
        <f>IFERROR(VLOOKUP($A607,'AAPT ExDa'!$B$2:$U$99, 3,FALSE), IFERROR(VLOOKUP($A607,'ABB ExDa'!$A$2:$N$184, 5,FALSE), IFERROR(VLOOKUP($A607,'Vocus SIT ExDa'!$B$2:$J$173, 2,FALSE), IFERROR(VLOOKUP($A607,'Telstra ExDa'!$B$2:$K$310, 4,FALSE), IFERROR(VLOOKUP($A607,'Vocus RVC ExDa'!$C$2:$R$155, 8,FALSE), IFERROR(VLOOKUP($A607,'Fusion ExDa'!$B$2:$D$16, 4,FALSE), IFERROR(VLOOKUP($A607,'Exetel ExDa'!$C$2:$N$14, 5,FALSE), IFERROR(VLOOKUP($A607,'Infinet ExDa'!$B$2:$E$14, 3,FALSE), "Not Found"))))))))</f>
        <v>Not Found</v>
      </c>
      <c r="F607" t="str">
        <f>IFERROR(VLOOKUP($A607,'AAPT ExDa'!$B$2:$U$99, 4,FALSE), IFERROR(VLOOKUP($A607,'ABB ExDa'!$A$2:$N$184, 6,FALSE), IFERROR(VLOOKUP($A607,'Vocus SIT ExDa'!$B$2:$J$173, 3,FALSE), IFERROR(VLOOKUP($A607,'Telstra ExDa'!$B$2:$K$310, 5,FALSE), IFERROR(VLOOKUP($A607,'Vocus RVC ExDa'!$C$2:$R$155, 9,FALSE), IFERROR(VLOOKUP($A607,'Fusion ExDa'!$B$2:$D$16, 0,FALSE), IFERROR(VLOOKUP($A607,'Exetel ExDa'!$C$2:$N$14, 6,FALSE), IFERROR(VLOOKUP($A607,'Infinet ExDa'!$B$2:$E$14, 0,FALSE), "Not Found"))))))))</f>
        <v>Not Found</v>
      </c>
      <c r="G607" t="str">
        <f>IFERROR(VLOOKUP($A607,'AAPT ExDa'!$B$2:$U$99, 5,FALSE), IFERROR(VLOOKUP($A607,'ABB ExDa'!$A$2:$N$184, 8,FALSE), IFERROR(VLOOKUP($A607,'Vocus SIT ExDa'!$B$2:$J$173, 6,FALSE), IFERROR(VLOOKUP($A607,'Telstra ExDa'!$B$2:$K$310, 0,FALSE), IFERROR(VLOOKUP($A607,'Vocus RVC ExDa'!$C$2:$R$155, 15,FALSE), IFERROR(VLOOKUP($A607,'Fusion ExDa'!$B$2:$D$16, 0,FALSE), IFERROR(VLOOKUP($A607,'Exetel ExDa'!$C$2:$N$14, 7,FALSE), IFERROR(VLOOKUP($A607,'Infinet ExDa'!$B$2:$E$14, 0,FALSE), "Not Found"))))))))</f>
        <v>Not Found</v>
      </c>
      <c r="H607" t="str">
        <f>IFERROR(VLOOKUP($A607,'AAPT ExDa'!$B$2:$U$99, 6,FALSE), IFERROR(VLOOKUP($A607,'ABB ExDa'!$A$2:$N$184, 0,FALSE), IFERROR(VLOOKUP($A607,'Vocus SIT ExDa'!$B$2:$J$173, 0,FALSE), IFERROR(VLOOKUP($A607,'Telstra ExDa'!$B$2:$K$310, 0,FALSE), IFERROR(VLOOKUP($A607,'Vocus RVC ExDa'!$C$2:$R$155, 16,FALSE), IFERROR(VLOOKUP($A607,'Fusion ExDa'!$B$2:$D$16, 0,FALSE), IFERROR(VLOOKUP($A607,'Exetel ExDa'!$C$2:$N$14, 0,FALSE), IFERROR(VLOOKUP($A607,'Infinet ExDa'!$B$2:$E$14, 0,FALSE), "Not Found"))))))))</f>
        <v>Not Found</v>
      </c>
      <c r="I607" t="str">
        <f>IFERROR(VLOOKUP($A607,'AAPT ExDa'!$B$2:$U$99, 0,FALSE), IFERROR(VLOOKUP($A607,'ABB ExDa'!$A$2:$N$184, 0,FALSE), IFERROR(VLOOKUP($A607,'Vocus SIT ExDa'!$B$2:$J$173, 0,FALSE), IFERROR(VLOOKUP($A607,'Telstra ExDa'!$B$2:$K$310, 0,FALSE), IFERROR(VLOOKUP($A607,'Vocus RVC ExDa'!$C$2:$R$155, 0,FALSE), IFERROR(VLOOKUP($A607,'Fusion ExDa'!$B$2:$D$16, 0,FALSE), IFERROR(VLOOKUP($A607,'Exetel ExDa'!$C$2:$N$14, 8,FALSE), IFERROR(VLOOKUP($A607,'Infinet ExDa'!$B$2:$E$14, 0,FALSE), "Not Found"))))))))</f>
        <v>Not Found</v>
      </c>
      <c r="J607" t="str">
        <f>IFERROR(VLOOKUP($A607,'AAPT ExDa'!$B$2:$U$99, 7,FALSE), IFERROR(VLOOKUP($A607,'ABB ExDa'!$A$2:$N$184, 2,FALSE), IFERROR(VLOOKUP($A607,'Vocus SIT ExDa'!$B$2:$J$173, 0,FALSE), IFERROR(VLOOKUP($A607,'Telstra ExDa'!$B$2:$K$310, 7,FALSE), IFERROR(VLOOKUP($A607,'Vocus RVC ExDa'!$C$2:$R$155, 2,FALSE), IFERROR(VLOOKUP($A607,'Fusion ExDa'!$B$2:$D$16, 3,FALSE), IFERROR(VLOOKUP($A607,'Exetel ExDa'!$C$2:$N$14, 0,FALSE), IFERROR(VLOOKUP($A607,'Infinet ExDa'!$B$2:$E$14, 0,FALSE), "Not Found"))))))))</f>
        <v>Not Found</v>
      </c>
      <c r="K607" t="str">
        <f>IFERROR(VLOOKUP($A607,'AAPT ExDa'!$B$2:$U$99, 12,FALSE), IFERROR(VLOOKUP($A607,'ABB ExDa'!$A$2:$N$184, 0,FALSE), IFERROR(VLOOKUP($A607,'Vocus SIT ExDa'!$B$2:$J$173, 0,FALSE), IFERROR(VLOOKUP($A607,'Telstra ExDa'!$B$2:$K$310, 0,FALSE), IFERROR(VLOOKUP($A607,'Vocus RVC ExDa'!$C$2:$R$155, 0,FALSE), IFERROR(VLOOKUP($A607,'Fusion ExDa'!$B$2:$D$16, 0,FALSE), IFERROR(VLOOKUP($A607,'Exetel ExDa'!$C$2:$N$14, 12,FALSE), IFERROR(VLOOKUP($A607,'Infinet ExDa'!$B$2:$E$14, 0,FALSE), "Not Found"))))))))</f>
        <v>Not Found</v>
      </c>
      <c r="L607" s="235" t="str">
        <f>IFERROR(VLOOKUP($A607,'AAPT ExDa'!$B$2:$U$99, 11,FALSE), IFERROR(VLOOKUP($A607,'ABB ExDa'!$A$2:$N$184, 9,FALSE), IFERROR(VLOOKUP($A607,'Vocus SIT ExDa'!$B$2:$J$173, 8,FALSE), IFERROR(VLOOKUP($A607,'Telstra ExDa'!$B$2:$K$310, 0,FALSE), IFERROR(VLOOKUP($A607,'Vocus RVC ExDa'!$C$2:$R$155, 0,FALSE), IFERROR(VLOOKUP($A607,'Fusion ExDa'!$B$2:$D$16, 0,FALSE), IFERROR(VLOOKUP($A607,'Exetel ExDa'!$C$2:$N$14, 9,FALSE), IFERROR(VLOOKUP($A607,'Infinet ExDa'!$B$2:$E$14, 0,FALSE), "Not Found"))))))))</f>
        <v>Not Found</v>
      </c>
      <c r="M607" s="234" t="str">
        <f>IFERROR(VLOOKUP($A607,'AAPT ExDa'!$B$2:$U$99, 0,FALSE), IFERROR(VLOOKUP($A607,'ABB ExDa'!$A$2:$N$184, 0,FALSE), IFERROR(VLOOKUP($A607,'Vocus SIT ExDa'!$B$2:$J$173, 0,FALSE), IFERROR(VLOOKUP($A607,'Telstra ExDa'!$B$2:$K$310, 0,FALSE), IFERROR(VLOOKUP($A607,'Vocus RVC ExDa'!$C$2:$R$155, 0,FALSE), IFERROR(VLOOKUP($A607,'Fusion ExDa'!$B$2:$D$16, 0,FALSE), IFERROR(VLOOKUP($A607,'Exetel ExDa'!$C$2:$N$14, 11,FALSE), IFERROR(VLOOKUP($A607,'Infinet ExDa'!$B$2:$E$14, 0,FALSE), "Not Found"))))))))</f>
        <v>Not Found</v>
      </c>
      <c r="N607" t="str">
        <f>IFERROR(VLOOKUP($A607,'AAPT ExDa'!$B$2:$U$99, 0,FALSE), IFERROR(VLOOKUP($A607,'ABB ExDa'!$A$2:$N$184, 13,FALSE), IFERROR(VLOOKUP($A607,'Vocus SIT ExDa'!$B$2:$J$173, 0,FALSE), IFERROR(VLOOKUP($A607,'Telstra ExDa'!$B$2:$K$310, 0,FALSE), IFERROR(VLOOKUP($A607,'Vocus RVC ExDa'!$C$2:$R$155, 0,FALSE), IFERROR(VLOOKUP($A607,'Fusion ExDa'!$B$2:$D$16, 0,FALSE), IFERROR(VLOOKUP($A607,'Exetel ExDa'!$C$2:$N$14, 0,FALSE), IFERROR(VLOOKUP($A607,'Infinet ExDa'!$B$2:$E$14, 0,FALSE), "Not Found"))))))))</f>
        <v>Not Found</v>
      </c>
    </row>
    <row r="608" spans="1:14">
      <c r="A608">
        <v>0</v>
      </c>
      <c r="B608" t="str">
        <f>IFERROR(VLOOKUP(A608,'Exetel ExDa'!$C$2:$N$14,4,FALSE),"No Data")</f>
        <v>No Data</v>
      </c>
      <c r="C608" t="str">
        <f>IFERROR(VLOOKUP(A608,'AAPT ExDa'!$B$2:$U$99, 2,FALSE), IFERROR(VLOOKUP(A608,'ABB ExDa'!$A$2:$N$184, 2,FALSE), IFERROR(VLOOKUP(A608,'Vocus SIT ExDa'!$B$2:$J$173, 7,FALSE), IFERROR(VLOOKUP(A608,'Telstra ExDa'!$B$2:$K$310, 2,FALSE), IFERROR(VLOOKUP(A608,'Vocus RVC ExDa'!$C$2:$R$155, 3,FALSE), IFERROR(VLOOKUP(A608,'Fusion ExDa'!$B$2:$D$16, 2,FALSE), IFERROR(VLOOKUP(A608,'Exetel ExDa'!$C$2:$N$14, 2,FALSE), IFERROR(VLOOKUP(A608,'Infinet ExDa'!$B$2:$E$14, 2,FALSE), "Not Found"))))))))</f>
        <v>Not Found</v>
      </c>
      <c r="D608" t="str">
        <f>IFERROR(VLOOKUP($A608,'AAPT ExDa'!$B$2:$U$99, 15,FALSE), IFERROR(VLOOKUP($A608,'ABB ExDa'!$A$2:$N$184, 4,FALSE), IFERROR(VLOOKUP($A608,'Vocus SIT ExDa'!$B$2:$J$173, 5,FALSE), IFERROR(VLOOKUP($A608,'Telstra ExDa'!$B$2:$K$310, 8,FALSE), IFERROR(VLOOKUP($A608,'Vocus RVC ExDa'!$C$2:$R$155, 6,FALSE), IFERROR(VLOOKUP($A608,'Fusion ExDa'!$B$2:$D$16, 4,FALSE), IFERROR(VLOOKUP($A608,'Exetel ExDa'!$C$2:$N$14, 3,FALSE), IFERROR(VLOOKUP($A608,'Infinet ExDa'!$B$2:$E$14, 3,FALSE), "Not Found"))))))))</f>
        <v>Not Found</v>
      </c>
      <c r="E608" t="str">
        <f>IFERROR(VLOOKUP($A608,'AAPT ExDa'!$B$2:$U$99, 3,FALSE), IFERROR(VLOOKUP($A608,'ABB ExDa'!$A$2:$N$184, 5,FALSE), IFERROR(VLOOKUP($A608,'Vocus SIT ExDa'!$B$2:$J$173, 2,FALSE), IFERROR(VLOOKUP($A608,'Telstra ExDa'!$B$2:$K$310, 4,FALSE), IFERROR(VLOOKUP($A608,'Vocus RVC ExDa'!$C$2:$R$155, 8,FALSE), IFERROR(VLOOKUP($A608,'Fusion ExDa'!$B$2:$D$16, 4,FALSE), IFERROR(VLOOKUP($A608,'Exetel ExDa'!$C$2:$N$14, 5,FALSE), IFERROR(VLOOKUP($A608,'Infinet ExDa'!$B$2:$E$14, 3,FALSE), "Not Found"))))))))</f>
        <v>Not Found</v>
      </c>
      <c r="F608" t="str">
        <f>IFERROR(VLOOKUP($A608,'AAPT ExDa'!$B$2:$U$99, 4,FALSE), IFERROR(VLOOKUP($A608,'ABB ExDa'!$A$2:$N$184, 6,FALSE), IFERROR(VLOOKUP($A608,'Vocus SIT ExDa'!$B$2:$J$173, 3,FALSE), IFERROR(VLOOKUP($A608,'Telstra ExDa'!$B$2:$K$310, 5,FALSE), IFERROR(VLOOKUP($A608,'Vocus RVC ExDa'!$C$2:$R$155, 9,FALSE), IFERROR(VLOOKUP($A608,'Fusion ExDa'!$B$2:$D$16, 0,FALSE), IFERROR(VLOOKUP($A608,'Exetel ExDa'!$C$2:$N$14, 6,FALSE), IFERROR(VLOOKUP($A608,'Infinet ExDa'!$B$2:$E$14, 0,FALSE), "Not Found"))))))))</f>
        <v>Not Found</v>
      </c>
      <c r="G608" t="str">
        <f>IFERROR(VLOOKUP($A608,'AAPT ExDa'!$B$2:$U$99, 5,FALSE), IFERROR(VLOOKUP($A608,'ABB ExDa'!$A$2:$N$184, 8,FALSE), IFERROR(VLOOKUP($A608,'Vocus SIT ExDa'!$B$2:$J$173, 6,FALSE), IFERROR(VLOOKUP($A608,'Telstra ExDa'!$B$2:$K$310, 0,FALSE), IFERROR(VLOOKUP($A608,'Vocus RVC ExDa'!$C$2:$R$155, 15,FALSE), IFERROR(VLOOKUP($A608,'Fusion ExDa'!$B$2:$D$16, 0,FALSE), IFERROR(VLOOKUP($A608,'Exetel ExDa'!$C$2:$N$14, 7,FALSE), IFERROR(VLOOKUP($A608,'Infinet ExDa'!$B$2:$E$14, 0,FALSE), "Not Found"))))))))</f>
        <v>Not Found</v>
      </c>
      <c r="H608" t="str">
        <f>IFERROR(VLOOKUP($A608,'AAPT ExDa'!$B$2:$U$99, 6,FALSE), IFERROR(VLOOKUP($A608,'ABB ExDa'!$A$2:$N$184, 0,FALSE), IFERROR(VLOOKUP($A608,'Vocus SIT ExDa'!$B$2:$J$173, 0,FALSE), IFERROR(VLOOKUP($A608,'Telstra ExDa'!$B$2:$K$310, 0,FALSE), IFERROR(VLOOKUP($A608,'Vocus RVC ExDa'!$C$2:$R$155, 16,FALSE), IFERROR(VLOOKUP($A608,'Fusion ExDa'!$B$2:$D$16, 0,FALSE), IFERROR(VLOOKUP($A608,'Exetel ExDa'!$C$2:$N$14, 0,FALSE), IFERROR(VLOOKUP($A608,'Infinet ExDa'!$B$2:$E$14, 0,FALSE), "Not Found"))))))))</f>
        <v>Not Found</v>
      </c>
      <c r="I608" t="str">
        <f>IFERROR(VLOOKUP($A608,'AAPT ExDa'!$B$2:$U$99, 0,FALSE), IFERROR(VLOOKUP($A608,'ABB ExDa'!$A$2:$N$184, 0,FALSE), IFERROR(VLOOKUP($A608,'Vocus SIT ExDa'!$B$2:$J$173, 0,FALSE), IFERROR(VLOOKUP($A608,'Telstra ExDa'!$B$2:$K$310, 0,FALSE), IFERROR(VLOOKUP($A608,'Vocus RVC ExDa'!$C$2:$R$155, 0,FALSE), IFERROR(VLOOKUP($A608,'Fusion ExDa'!$B$2:$D$16, 0,FALSE), IFERROR(VLOOKUP($A608,'Exetel ExDa'!$C$2:$N$14, 8,FALSE), IFERROR(VLOOKUP($A608,'Infinet ExDa'!$B$2:$E$14, 0,FALSE), "Not Found"))))))))</f>
        <v>Not Found</v>
      </c>
      <c r="J608" t="str">
        <f>IFERROR(VLOOKUP($A608,'AAPT ExDa'!$B$2:$U$99, 7,FALSE), IFERROR(VLOOKUP($A608,'ABB ExDa'!$A$2:$N$184, 2,FALSE), IFERROR(VLOOKUP($A608,'Vocus SIT ExDa'!$B$2:$J$173, 0,FALSE), IFERROR(VLOOKUP($A608,'Telstra ExDa'!$B$2:$K$310, 7,FALSE), IFERROR(VLOOKUP($A608,'Vocus RVC ExDa'!$C$2:$R$155, 2,FALSE), IFERROR(VLOOKUP($A608,'Fusion ExDa'!$B$2:$D$16, 3,FALSE), IFERROR(VLOOKUP($A608,'Exetel ExDa'!$C$2:$N$14, 0,FALSE), IFERROR(VLOOKUP($A608,'Infinet ExDa'!$B$2:$E$14, 0,FALSE), "Not Found"))))))))</f>
        <v>Not Found</v>
      </c>
      <c r="K608" t="str">
        <f>IFERROR(VLOOKUP($A608,'AAPT ExDa'!$B$2:$U$99, 12,FALSE), IFERROR(VLOOKUP($A608,'ABB ExDa'!$A$2:$N$184, 0,FALSE), IFERROR(VLOOKUP($A608,'Vocus SIT ExDa'!$B$2:$J$173, 0,FALSE), IFERROR(VLOOKUP($A608,'Telstra ExDa'!$B$2:$K$310, 0,FALSE), IFERROR(VLOOKUP($A608,'Vocus RVC ExDa'!$C$2:$R$155, 0,FALSE), IFERROR(VLOOKUP($A608,'Fusion ExDa'!$B$2:$D$16, 0,FALSE), IFERROR(VLOOKUP($A608,'Exetel ExDa'!$C$2:$N$14, 12,FALSE), IFERROR(VLOOKUP($A608,'Infinet ExDa'!$B$2:$E$14, 0,FALSE), "Not Found"))))))))</f>
        <v>Not Found</v>
      </c>
      <c r="L608" s="235" t="str">
        <f>IFERROR(VLOOKUP($A608,'AAPT ExDa'!$B$2:$U$99, 11,FALSE), IFERROR(VLOOKUP($A608,'ABB ExDa'!$A$2:$N$184, 9,FALSE), IFERROR(VLOOKUP($A608,'Vocus SIT ExDa'!$B$2:$J$173, 8,FALSE), IFERROR(VLOOKUP($A608,'Telstra ExDa'!$B$2:$K$310, 0,FALSE), IFERROR(VLOOKUP($A608,'Vocus RVC ExDa'!$C$2:$R$155, 0,FALSE), IFERROR(VLOOKUP($A608,'Fusion ExDa'!$B$2:$D$16, 0,FALSE), IFERROR(VLOOKUP($A608,'Exetel ExDa'!$C$2:$N$14, 9,FALSE), IFERROR(VLOOKUP($A608,'Infinet ExDa'!$B$2:$E$14, 0,FALSE), "Not Found"))))))))</f>
        <v>Not Found</v>
      </c>
      <c r="M608" s="234" t="str">
        <f>IFERROR(VLOOKUP($A608,'AAPT ExDa'!$B$2:$U$99, 0,FALSE), IFERROR(VLOOKUP($A608,'ABB ExDa'!$A$2:$N$184, 0,FALSE), IFERROR(VLOOKUP($A608,'Vocus SIT ExDa'!$B$2:$J$173, 0,FALSE), IFERROR(VLOOKUP($A608,'Telstra ExDa'!$B$2:$K$310, 0,FALSE), IFERROR(VLOOKUP($A608,'Vocus RVC ExDa'!$C$2:$R$155, 0,FALSE), IFERROR(VLOOKUP($A608,'Fusion ExDa'!$B$2:$D$16, 0,FALSE), IFERROR(VLOOKUP($A608,'Exetel ExDa'!$C$2:$N$14, 11,FALSE), IFERROR(VLOOKUP($A608,'Infinet ExDa'!$B$2:$E$14, 0,FALSE), "Not Found"))))))))</f>
        <v>Not Found</v>
      </c>
      <c r="N608" t="str">
        <f>IFERROR(VLOOKUP($A608,'AAPT ExDa'!$B$2:$U$99, 0,FALSE), IFERROR(VLOOKUP($A608,'ABB ExDa'!$A$2:$N$184, 13,FALSE), IFERROR(VLOOKUP($A608,'Vocus SIT ExDa'!$B$2:$J$173, 0,FALSE), IFERROR(VLOOKUP($A608,'Telstra ExDa'!$B$2:$K$310, 0,FALSE), IFERROR(VLOOKUP($A608,'Vocus RVC ExDa'!$C$2:$R$155, 0,FALSE), IFERROR(VLOOKUP($A608,'Fusion ExDa'!$B$2:$D$16, 0,FALSE), IFERROR(VLOOKUP($A608,'Exetel ExDa'!$C$2:$N$14, 0,FALSE), IFERROR(VLOOKUP($A608,'Infinet ExDa'!$B$2:$E$14, 0,FALSE), "Not Found"))))))))</f>
        <v>Not Found</v>
      </c>
    </row>
    <row r="609" spans="1:14">
      <c r="A609">
        <v>0</v>
      </c>
      <c r="B609" t="str">
        <f>IFERROR(VLOOKUP(A609,'Exetel ExDa'!$C$2:$N$14,4,FALSE),"No Data")</f>
        <v>No Data</v>
      </c>
      <c r="C609" t="str">
        <f>IFERROR(VLOOKUP(A609,'AAPT ExDa'!$B$2:$U$99, 2,FALSE), IFERROR(VLOOKUP(A609,'ABB ExDa'!$A$2:$N$184, 2,FALSE), IFERROR(VLOOKUP(A609,'Vocus SIT ExDa'!$B$2:$J$173, 7,FALSE), IFERROR(VLOOKUP(A609,'Telstra ExDa'!$B$2:$K$310, 2,FALSE), IFERROR(VLOOKUP(A609,'Vocus RVC ExDa'!$C$2:$R$155, 3,FALSE), IFERROR(VLOOKUP(A609,'Fusion ExDa'!$B$2:$D$16, 2,FALSE), IFERROR(VLOOKUP(A609,'Exetel ExDa'!$C$2:$N$14, 2,FALSE), IFERROR(VLOOKUP(A609,'Infinet ExDa'!$B$2:$E$14, 2,FALSE), "Not Found"))))))))</f>
        <v>Not Found</v>
      </c>
      <c r="D609" t="str">
        <f>IFERROR(VLOOKUP($A609,'AAPT ExDa'!$B$2:$U$99, 15,FALSE), IFERROR(VLOOKUP($A609,'ABB ExDa'!$A$2:$N$184, 4,FALSE), IFERROR(VLOOKUP($A609,'Vocus SIT ExDa'!$B$2:$J$173, 5,FALSE), IFERROR(VLOOKUP($A609,'Telstra ExDa'!$B$2:$K$310, 8,FALSE), IFERROR(VLOOKUP($A609,'Vocus RVC ExDa'!$C$2:$R$155, 6,FALSE), IFERROR(VLOOKUP($A609,'Fusion ExDa'!$B$2:$D$16, 4,FALSE), IFERROR(VLOOKUP($A609,'Exetel ExDa'!$C$2:$N$14, 3,FALSE), IFERROR(VLOOKUP($A609,'Infinet ExDa'!$B$2:$E$14, 3,FALSE), "Not Found"))))))))</f>
        <v>Not Found</v>
      </c>
      <c r="E609" t="str">
        <f>IFERROR(VLOOKUP($A609,'AAPT ExDa'!$B$2:$U$99, 3,FALSE), IFERROR(VLOOKUP($A609,'ABB ExDa'!$A$2:$N$184, 5,FALSE), IFERROR(VLOOKUP($A609,'Vocus SIT ExDa'!$B$2:$J$173, 2,FALSE), IFERROR(VLOOKUP($A609,'Telstra ExDa'!$B$2:$K$310, 4,FALSE), IFERROR(VLOOKUP($A609,'Vocus RVC ExDa'!$C$2:$R$155, 8,FALSE), IFERROR(VLOOKUP($A609,'Fusion ExDa'!$B$2:$D$16, 4,FALSE), IFERROR(VLOOKUP($A609,'Exetel ExDa'!$C$2:$N$14, 5,FALSE), IFERROR(VLOOKUP($A609,'Infinet ExDa'!$B$2:$E$14, 3,FALSE), "Not Found"))))))))</f>
        <v>Not Found</v>
      </c>
      <c r="F609" t="str">
        <f>IFERROR(VLOOKUP($A609,'AAPT ExDa'!$B$2:$U$99, 4,FALSE), IFERROR(VLOOKUP($A609,'ABB ExDa'!$A$2:$N$184, 6,FALSE), IFERROR(VLOOKUP($A609,'Vocus SIT ExDa'!$B$2:$J$173, 3,FALSE), IFERROR(VLOOKUP($A609,'Telstra ExDa'!$B$2:$K$310, 5,FALSE), IFERROR(VLOOKUP($A609,'Vocus RVC ExDa'!$C$2:$R$155, 9,FALSE), IFERROR(VLOOKUP($A609,'Fusion ExDa'!$B$2:$D$16, 0,FALSE), IFERROR(VLOOKUP($A609,'Exetel ExDa'!$C$2:$N$14, 6,FALSE), IFERROR(VLOOKUP($A609,'Infinet ExDa'!$B$2:$E$14, 0,FALSE), "Not Found"))))))))</f>
        <v>Not Found</v>
      </c>
      <c r="G609" t="str">
        <f>IFERROR(VLOOKUP($A609,'AAPT ExDa'!$B$2:$U$99, 5,FALSE), IFERROR(VLOOKUP($A609,'ABB ExDa'!$A$2:$N$184, 8,FALSE), IFERROR(VLOOKUP($A609,'Vocus SIT ExDa'!$B$2:$J$173, 6,FALSE), IFERROR(VLOOKUP($A609,'Telstra ExDa'!$B$2:$K$310, 0,FALSE), IFERROR(VLOOKUP($A609,'Vocus RVC ExDa'!$C$2:$R$155, 15,FALSE), IFERROR(VLOOKUP($A609,'Fusion ExDa'!$B$2:$D$16, 0,FALSE), IFERROR(VLOOKUP($A609,'Exetel ExDa'!$C$2:$N$14, 7,FALSE), IFERROR(VLOOKUP($A609,'Infinet ExDa'!$B$2:$E$14, 0,FALSE), "Not Found"))))))))</f>
        <v>Not Found</v>
      </c>
      <c r="H609" t="str">
        <f>IFERROR(VLOOKUP($A609,'AAPT ExDa'!$B$2:$U$99, 6,FALSE), IFERROR(VLOOKUP($A609,'ABB ExDa'!$A$2:$N$184, 0,FALSE), IFERROR(VLOOKUP($A609,'Vocus SIT ExDa'!$B$2:$J$173, 0,FALSE), IFERROR(VLOOKUP($A609,'Telstra ExDa'!$B$2:$K$310, 0,FALSE), IFERROR(VLOOKUP($A609,'Vocus RVC ExDa'!$C$2:$R$155, 16,FALSE), IFERROR(VLOOKUP($A609,'Fusion ExDa'!$B$2:$D$16, 0,FALSE), IFERROR(VLOOKUP($A609,'Exetel ExDa'!$C$2:$N$14, 0,FALSE), IFERROR(VLOOKUP($A609,'Infinet ExDa'!$B$2:$E$14, 0,FALSE), "Not Found"))))))))</f>
        <v>Not Found</v>
      </c>
      <c r="I609" t="str">
        <f>IFERROR(VLOOKUP($A609,'AAPT ExDa'!$B$2:$U$99, 0,FALSE), IFERROR(VLOOKUP($A609,'ABB ExDa'!$A$2:$N$184, 0,FALSE), IFERROR(VLOOKUP($A609,'Vocus SIT ExDa'!$B$2:$J$173, 0,FALSE), IFERROR(VLOOKUP($A609,'Telstra ExDa'!$B$2:$K$310, 0,FALSE), IFERROR(VLOOKUP($A609,'Vocus RVC ExDa'!$C$2:$R$155, 0,FALSE), IFERROR(VLOOKUP($A609,'Fusion ExDa'!$B$2:$D$16, 0,FALSE), IFERROR(VLOOKUP($A609,'Exetel ExDa'!$C$2:$N$14, 8,FALSE), IFERROR(VLOOKUP($A609,'Infinet ExDa'!$B$2:$E$14, 0,FALSE), "Not Found"))))))))</f>
        <v>Not Found</v>
      </c>
      <c r="J609" t="str">
        <f>IFERROR(VLOOKUP($A609,'AAPT ExDa'!$B$2:$U$99, 7,FALSE), IFERROR(VLOOKUP($A609,'ABB ExDa'!$A$2:$N$184, 2,FALSE), IFERROR(VLOOKUP($A609,'Vocus SIT ExDa'!$B$2:$J$173, 0,FALSE), IFERROR(VLOOKUP($A609,'Telstra ExDa'!$B$2:$K$310, 7,FALSE), IFERROR(VLOOKUP($A609,'Vocus RVC ExDa'!$C$2:$R$155, 2,FALSE), IFERROR(VLOOKUP($A609,'Fusion ExDa'!$B$2:$D$16, 3,FALSE), IFERROR(VLOOKUP($A609,'Exetel ExDa'!$C$2:$N$14, 0,FALSE), IFERROR(VLOOKUP($A609,'Infinet ExDa'!$B$2:$E$14, 0,FALSE), "Not Found"))))))))</f>
        <v>Not Found</v>
      </c>
      <c r="K609" t="str">
        <f>IFERROR(VLOOKUP($A609,'AAPT ExDa'!$B$2:$U$99, 12,FALSE), IFERROR(VLOOKUP($A609,'ABB ExDa'!$A$2:$N$184, 0,FALSE), IFERROR(VLOOKUP($A609,'Vocus SIT ExDa'!$B$2:$J$173, 0,FALSE), IFERROR(VLOOKUP($A609,'Telstra ExDa'!$B$2:$K$310, 0,FALSE), IFERROR(VLOOKUP($A609,'Vocus RVC ExDa'!$C$2:$R$155, 0,FALSE), IFERROR(VLOOKUP($A609,'Fusion ExDa'!$B$2:$D$16, 0,FALSE), IFERROR(VLOOKUP($A609,'Exetel ExDa'!$C$2:$N$14, 12,FALSE), IFERROR(VLOOKUP($A609,'Infinet ExDa'!$B$2:$E$14, 0,FALSE), "Not Found"))))))))</f>
        <v>Not Found</v>
      </c>
      <c r="L609" s="235" t="str">
        <f>IFERROR(VLOOKUP($A609,'AAPT ExDa'!$B$2:$U$99, 11,FALSE), IFERROR(VLOOKUP($A609,'ABB ExDa'!$A$2:$N$184, 9,FALSE), IFERROR(VLOOKUP($A609,'Vocus SIT ExDa'!$B$2:$J$173, 8,FALSE), IFERROR(VLOOKUP($A609,'Telstra ExDa'!$B$2:$K$310, 0,FALSE), IFERROR(VLOOKUP($A609,'Vocus RVC ExDa'!$C$2:$R$155, 0,FALSE), IFERROR(VLOOKUP($A609,'Fusion ExDa'!$B$2:$D$16, 0,FALSE), IFERROR(VLOOKUP($A609,'Exetel ExDa'!$C$2:$N$14, 9,FALSE), IFERROR(VLOOKUP($A609,'Infinet ExDa'!$B$2:$E$14, 0,FALSE), "Not Found"))))))))</f>
        <v>Not Found</v>
      </c>
      <c r="M609" s="234" t="str">
        <f>IFERROR(VLOOKUP($A609,'AAPT ExDa'!$B$2:$U$99, 0,FALSE), IFERROR(VLOOKUP($A609,'ABB ExDa'!$A$2:$N$184, 0,FALSE), IFERROR(VLOOKUP($A609,'Vocus SIT ExDa'!$B$2:$J$173, 0,FALSE), IFERROR(VLOOKUP($A609,'Telstra ExDa'!$B$2:$K$310, 0,FALSE), IFERROR(VLOOKUP($A609,'Vocus RVC ExDa'!$C$2:$R$155, 0,FALSE), IFERROR(VLOOKUP($A609,'Fusion ExDa'!$B$2:$D$16, 0,FALSE), IFERROR(VLOOKUP($A609,'Exetel ExDa'!$C$2:$N$14, 11,FALSE), IFERROR(VLOOKUP($A609,'Infinet ExDa'!$B$2:$E$14, 0,FALSE), "Not Found"))))))))</f>
        <v>Not Found</v>
      </c>
      <c r="N609" t="str">
        <f>IFERROR(VLOOKUP($A609,'AAPT ExDa'!$B$2:$U$99, 0,FALSE), IFERROR(VLOOKUP($A609,'ABB ExDa'!$A$2:$N$184, 13,FALSE), IFERROR(VLOOKUP($A609,'Vocus SIT ExDa'!$B$2:$J$173, 0,FALSE), IFERROR(VLOOKUP($A609,'Telstra ExDa'!$B$2:$K$310, 0,FALSE), IFERROR(VLOOKUP($A609,'Vocus RVC ExDa'!$C$2:$R$155, 0,FALSE), IFERROR(VLOOKUP($A609,'Fusion ExDa'!$B$2:$D$16, 0,FALSE), IFERROR(VLOOKUP($A609,'Exetel ExDa'!$C$2:$N$14, 0,FALSE), IFERROR(VLOOKUP($A609,'Infinet ExDa'!$B$2:$E$14, 0,FALSE), "Not Found"))))))))</f>
        <v>Not Found</v>
      </c>
    </row>
    <row r="610" spans="1:14">
      <c r="A610">
        <v>0</v>
      </c>
      <c r="B610" t="str">
        <f>IFERROR(VLOOKUP(A610,'Exetel ExDa'!$C$2:$N$14,4,FALSE),"No Data")</f>
        <v>No Data</v>
      </c>
      <c r="C610" t="str">
        <f>IFERROR(VLOOKUP(A610,'AAPT ExDa'!$B$2:$U$99, 2,FALSE), IFERROR(VLOOKUP(A610,'ABB ExDa'!$A$2:$N$184, 2,FALSE), IFERROR(VLOOKUP(A610,'Vocus SIT ExDa'!$B$2:$J$173, 7,FALSE), IFERROR(VLOOKUP(A610,'Telstra ExDa'!$B$2:$K$310, 2,FALSE), IFERROR(VLOOKUP(A610,'Vocus RVC ExDa'!$C$2:$R$155, 3,FALSE), IFERROR(VLOOKUP(A610,'Fusion ExDa'!$B$2:$D$16, 2,FALSE), IFERROR(VLOOKUP(A610,'Exetel ExDa'!$C$2:$N$14, 2,FALSE), IFERROR(VLOOKUP(A610,'Infinet ExDa'!$B$2:$E$14, 2,FALSE), "Not Found"))))))))</f>
        <v>Not Found</v>
      </c>
      <c r="D610" t="str">
        <f>IFERROR(VLOOKUP($A610,'AAPT ExDa'!$B$2:$U$99, 15,FALSE), IFERROR(VLOOKUP($A610,'ABB ExDa'!$A$2:$N$184, 4,FALSE), IFERROR(VLOOKUP($A610,'Vocus SIT ExDa'!$B$2:$J$173, 5,FALSE), IFERROR(VLOOKUP($A610,'Telstra ExDa'!$B$2:$K$310, 8,FALSE), IFERROR(VLOOKUP($A610,'Vocus RVC ExDa'!$C$2:$R$155, 6,FALSE), IFERROR(VLOOKUP($A610,'Fusion ExDa'!$B$2:$D$16, 4,FALSE), IFERROR(VLOOKUP($A610,'Exetel ExDa'!$C$2:$N$14, 3,FALSE), IFERROR(VLOOKUP($A610,'Infinet ExDa'!$B$2:$E$14, 3,FALSE), "Not Found"))))))))</f>
        <v>Not Found</v>
      </c>
      <c r="E610" t="str">
        <f>IFERROR(VLOOKUP($A610,'AAPT ExDa'!$B$2:$U$99, 3,FALSE), IFERROR(VLOOKUP($A610,'ABB ExDa'!$A$2:$N$184, 5,FALSE), IFERROR(VLOOKUP($A610,'Vocus SIT ExDa'!$B$2:$J$173, 2,FALSE), IFERROR(VLOOKUP($A610,'Telstra ExDa'!$B$2:$K$310, 4,FALSE), IFERROR(VLOOKUP($A610,'Vocus RVC ExDa'!$C$2:$R$155, 8,FALSE), IFERROR(VLOOKUP($A610,'Fusion ExDa'!$B$2:$D$16, 4,FALSE), IFERROR(VLOOKUP($A610,'Exetel ExDa'!$C$2:$N$14, 5,FALSE), IFERROR(VLOOKUP($A610,'Infinet ExDa'!$B$2:$E$14, 3,FALSE), "Not Found"))))))))</f>
        <v>Not Found</v>
      </c>
      <c r="F610" t="str">
        <f>IFERROR(VLOOKUP($A610,'AAPT ExDa'!$B$2:$U$99, 4,FALSE), IFERROR(VLOOKUP($A610,'ABB ExDa'!$A$2:$N$184, 6,FALSE), IFERROR(VLOOKUP($A610,'Vocus SIT ExDa'!$B$2:$J$173, 3,FALSE), IFERROR(VLOOKUP($A610,'Telstra ExDa'!$B$2:$K$310, 5,FALSE), IFERROR(VLOOKUP($A610,'Vocus RVC ExDa'!$C$2:$R$155, 9,FALSE), IFERROR(VLOOKUP($A610,'Fusion ExDa'!$B$2:$D$16, 0,FALSE), IFERROR(VLOOKUP($A610,'Exetel ExDa'!$C$2:$N$14, 6,FALSE), IFERROR(VLOOKUP($A610,'Infinet ExDa'!$B$2:$E$14, 0,FALSE), "Not Found"))))))))</f>
        <v>Not Found</v>
      </c>
      <c r="G610" t="str">
        <f>IFERROR(VLOOKUP($A610,'AAPT ExDa'!$B$2:$U$99, 5,FALSE), IFERROR(VLOOKUP($A610,'ABB ExDa'!$A$2:$N$184, 8,FALSE), IFERROR(VLOOKUP($A610,'Vocus SIT ExDa'!$B$2:$J$173, 6,FALSE), IFERROR(VLOOKUP($A610,'Telstra ExDa'!$B$2:$K$310, 0,FALSE), IFERROR(VLOOKUP($A610,'Vocus RVC ExDa'!$C$2:$R$155, 15,FALSE), IFERROR(VLOOKUP($A610,'Fusion ExDa'!$B$2:$D$16, 0,FALSE), IFERROR(VLOOKUP($A610,'Exetel ExDa'!$C$2:$N$14, 7,FALSE), IFERROR(VLOOKUP($A610,'Infinet ExDa'!$B$2:$E$14, 0,FALSE), "Not Found"))))))))</f>
        <v>Not Found</v>
      </c>
      <c r="H610" t="str">
        <f>IFERROR(VLOOKUP($A610,'AAPT ExDa'!$B$2:$U$99, 6,FALSE), IFERROR(VLOOKUP($A610,'ABB ExDa'!$A$2:$N$184, 0,FALSE), IFERROR(VLOOKUP($A610,'Vocus SIT ExDa'!$B$2:$J$173, 0,FALSE), IFERROR(VLOOKUP($A610,'Telstra ExDa'!$B$2:$K$310, 0,FALSE), IFERROR(VLOOKUP($A610,'Vocus RVC ExDa'!$C$2:$R$155, 16,FALSE), IFERROR(VLOOKUP($A610,'Fusion ExDa'!$B$2:$D$16, 0,FALSE), IFERROR(VLOOKUP($A610,'Exetel ExDa'!$C$2:$N$14, 0,FALSE), IFERROR(VLOOKUP($A610,'Infinet ExDa'!$B$2:$E$14, 0,FALSE), "Not Found"))))))))</f>
        <v>Not Found</v>
      </c>
      <c r="I610" t="str">
        <f>IFERROR(VLOOKUP($A610,'AAPT ExDa'!$B$2:$U$99, 0,FALSE), IFERROR(VLOOKUP($A610,'ABB ExDa'!$A$2:$N$184, 0,FALSE), IFERROR(VLOOKUP($A610,'Vocus SIT ExDa'!$B$2:$J$173, 0,FALSE), IFERROR(VLOOKUP($A610,'Telstra ExDa'!$B$2:$K$310, 0,FALSE), IFERROR(VLOOKUP($A610,'Vocus RVC ExDa'!$C$2:$R$155, 0,FALSE), IFERROR(VLOOKUP($A610,'Fusion ExDa'!$B$2:$D$16, 0,FALSE), IFERROR(VLOOKUP($A610,'Exetel ExDa'!$C$2:$N$14, 8,FALSE), IFERROR(VLOOKUP($A610,'Infinet ExDa'!$B$2:$E$14, 0,FALSE), "Not Found"))))))))</f>
        <v>Not Found</v>
      </c>
      <c r="J610" t="str">
        <f>IFERROR(VLOOKUP($A610,'AAPT ExDa'!$B$2:$U$99, 7,FALSE), IFERROR(VLOOKUP($A610,'ABB ExDa'!$A$2:$N$184, 2,FALSE), IFERROR(VLOOKUP($A610,'Vocus SIT ExDa'!$B$2:$J$173, 0,FALSE), IFERROR(VLOOKUP($A610,'Telstra ExDa'!$B$2:$K$310, 7,FALSE), IFERROR(VLOOKUP($A610,'Vocus RVC ExDa'!$C$2:$R$155, 2,FALSE), IFERROR(VLOOKUP($A610,'Fusion ExDa'!$B$2:$D$16, 3,FALSE), IFERROR(VLOOKUP($A610,'Exetel ExDa'!$C$2:$N$14, 0,FALSE), IFERROR(VLOOKUP($A610,'Infinet ExDa'!$B$2:$E$14, 0,FALSE), "Not Found"))))))))</f>
        <v>Not Found</v>
      </c>
      <c r="K610" t="str">
        <f>IFERROR(VLOOKUP($A610,'AAPT ExDa'!$B$2:$U$99, 12,FALSE), IFERROR(VLOOKUP($A610,'ABB ExDa'!$A$2:$N$184, 0,FALSE), IFERROR(VLOOKUP($A610,'Vocus SIT ExDa'!$B$2:$J$173, 0,FALSE), IFERROR(VLOOKUP($A610,'Telstra ExDa'!$B$2:$K$310, 0,FALSE), IFERROR(VLOOKUP($A610,'Vocus RVC ExDa'!$C$2:$R$155, 0,FALSE), IFERROR(VLOOKUP($A610,'Fusion ExDa'!$B$2:$D$16, 0,FALSE), IFERROR(VLOOKUP($A610,'Exetel ExDa'!$C$2:$N$14, 12,FALSE), IFERROR(VLOOKUP($A610,'Infinet ExDa'!$B$2:$E$14, 0,FALSE), "Not Found"))))))))</f>
        <v>Not Found</v>
      </c>
      <c r="L610" s="235" t="str">
        <f>IFERROR(VLOOKUP($A610,'AAPT ExDa'!$B$2:$U$99, 11,FALSE), IFERROR(VLOOKUP($A610,'ABB ExDa'!$A$2:$N$184, 9,FALSE), IFERROR(VLOOKUP($A610,'Vocus SIT ExDa'!$B$2:$J$173, 8,FALSE), IFERROR(VLOOKUP($A610,'Telstra ExDa'!$B$2:$K$310, 0,FALSE), IFERROR(VLOOKUP($A610,'Vocus RVC ExDa'!$C$2:$R$155, 0,FALSE), IFERROR(VLOOKUP($A610,'Fusion ExDa'!$B$2:$D$16, 0,FALSE), IFERROR(VLOOKUP($A610,'Exetel ExDa'!$C$2:$N$14, 9,FALSE), IFERROR(VLOOKUP($A610,'Infinet ExDa'!$B$2:$E$14, 0,FALSE), "Not Found"))))))))</f>
        <v>Not Found</v>
      </c>
      <c r="M610" s="234" t="str">
        <f>IFERROR(VLOOKUP($A610,'AAPT ExDa'!$B$2:$U$99, 0,FALSE), IFERROR(VLOOKUP($A610,'ABB ExDa'!$A$2:$N$184, 0,FALSE), IFERROR(VLOOKUP($A610,'Vocus SIT ExDa'!$B$2:$J$173, 0,FALSE), IFERROR(VLOOKUP($A610,'Telstra ExDa'!$B$2:$K$310, 0,FALSE), IFERROR(VLOOKUP($A610,'Vocus RVC ExDa'!$C$2:$R$155, 0,FALSE), IFERROR(VLOOKUP($A610,'Fusion ExDa'!$B$2:$D$16, 0,FALSE), IFERROR(VLOOKUP($A610,'Exetel ExDa'!$C$2:$N$14, 11,FALSE), IFERROR(VLOOKUP($A610,'Infinet ExDa'!$B$2:$E$14, 0,FALSE), "Not Found"))))))))</f>
        <v>Not Found</v>
      </c>
      <c r="N610" t="str">
        <f>IFERROR(VLOOKUP($A610,'AAPT ExDa'!$B$2:$U$99, 0,FALSE), IFERROR(VLOOKUP($A610,'ABB ExDa'!$A$2:$N$184, 13,FALSE), IFERROR(VLOOKUP($A610,'Vocus SIT ExDa'!$B$2:$J$173, 0,FALSE), IFERROR(VLOOKUP($A610,'Telstra ExDa'!$B$2:$K$310, 0,FALSE), IFERROR(VLOOKUP($A610,'Vocus RVC ExDa'!$C$2:$R$155, 0,FALSE), IFERROR(VLOOKUP($A610,'Fusion ExDa'!$B$2:$D$16, 0,FALSE), IFERROR(VLOOKUP($A610,'Exetel ExDa'!$C$2:$N$14, 0,FALSE), IFERROR(VLOOKUP($A610,'Infinet ExDa'!$B$2:$E$14, 0,FALSE), "Not Found"))))))))</f>
        <v>Not Found</v>
      </c>
    </row>
    <row r="611" spans="1:14">
      <c r="A611">
        <v>0</v>
      </c>
      <c r="B611" t="str">
        <f>IFERROR(VLOOKUP(A611,'Exetel ExDa'!$C$2:$N$14,4,FALSE),"No Data")</f>
        <v>No Data</v>
      </c>
      <c r="C611" t="str">
        <f>IFERROR(VLOOKUP(A611,'AAPT ExDa'!$B$2:$U$99, 2,FALSE), IFERROR(VLOOKUP(A611,'ABB ExDa'!$A$2:$N$184, 2,FALSE), IFERROR(VLOOKUP(A611,'Vocus SIT ExDa'!$B$2:$J$173, 7,FALSE), IFERROR(VLOOKUP(A611,'Telstra ExDa'!$B$2:$K$310, 2,FALSE), IFERROR(VLOOKUP(A611,'Vocus RVC ExDa'!$C$2:$R$155, 3,FALSE), IFERROR(VLOOKUP(A611,'Fusion ExDa'!$B$2:$D$16, 2,FALSE), IFERROR(VLOOKUP(A611,'Exetel ExDa'!$C$2:$N$14, 2,FALSE), IFERROR(VLOOKUP(A611,'Infinet ExDa'!$B$2:$E$14, 2,FALSE), "Not Found"))))))))</f>
        <v>Not Found</v>
      </c>
      <c r="D611" t="str">
        <f>IFERROR(VLOOKUP($A611,'AAPT ExDa'!$B$2:$U$99, 15,FALSE), IFERROR(VLOOKUP($A611,'ABB ExDa'!$A$2:$N$184, 4,FALSE), IFERROR(VLOOKUP($A611,'Vocus SIT ExDa'!$B$2:$J$173, 5,FALSE), IFERROR(VLOOKUP($A611,'Telstra ExDa'!$B$2:$K$310, 8,FALSE), IFERROR(VLOOKUP($A611,'Vocus RVC ExDa'!$C$2:$R$155, 6,FALSE), IFERROR(VLOOKUP($A611,'Fusion ExDa'!$B$2:$D$16, 4,FALSE), IFERROR(VLOOKUP($A611,'Exetel ExDa'!$C$2:$N$14, 3,FALSE), IFERROR(VLOOKUP($A611,'Infinet ExDa'!$B$2:$E$14, 3,FALSE), "Not Found"))))))))</f>
        <v>Not Found</v>
      </c>
      <c r="E611" t="str">
        <f>IFERROR(VLOOKUP($A611,'AAPT ExDa'!$B$2:$U$99, 3,FALSE), IFERROR(VLOOKUP($A611,'ABB ExDa'!$A$2:$N$184, 5,FALSE), IFERROR(VLOOKUP($A611,'Vocus SIT ExDa'!$B$2:$J$173, 2,FALSE), IFERROR(VLOOKUP($A611,'Telstra ExDa'!$B$2:$K$310, 4,FALSE), IFERROR(VLOOKUP($A611,'Vocus RVC ExDa'!$C$2:$R$155, 8,FALSE), IFERROR(VLOOKUP($A611,'Fusion ExDa'!$B$2:$D$16, 4,FALSE), IFERROR(VLOOKUP($A611,'Exetel ExDa'!$C$2:$N$14, 5,FALSE), IFERROR(VLOOKUP($A611,'Infinet ExDa'!$B$2:$E$14, 3,FALSE), "Not Found"))))))))</f>
        <v>Not Found</v>
      </c>
      <c r="F611" t="str">
        <f>IFERROR(VLOOKUP($A611,'AAPT ExDa'!$B$2:$U$99, 4,FALSE), IFERROR(VLOOKUP($A611,'ABB ExDa'!$A$2:$N$184, 6,FALSE), IFERROR(VLOOKUP($A611,'Vocus SIT ExDa'!$B$2:$J$173, 3,FALSE), IFERROR(VLOOKUP($A611,'Telstra ExDa'!$B$2:$K$310, 5,FALSE), IFERROR(VLOOKUP($A611,'Vocus RVC ExDa'!$C$2:$R$155, 9,FALSE), IFERROR(VLOOKUP($A611,'Fusion ExDa'!$B$2:$D$16, 0,FALSE), IFERROR(VLOOKUP($A611,'Exetel ExDa'!$C$2:$N$14, 6,FALSE), IFERROR(VLOOKUP($A611,'Infinet ExDa'!$B$2:$E$14, 0,FALSE), "Not Found"))))))))</f>
        <v>Not Found</v>
      </c>
      <c r="G611" t="str">
        <f>IFERROR(VLOOKUP($A611,'AAPT ExDa'!$B$2:$U$99, 5,FALSE), IFERROR(VLOOKUP($A611,'ABB ExDa'!$A$2:$N$184, 8,FALSE), IFERROR(VLOOKUP($A611,'Vocus SIT ExDa'!$B$2:$J$173, 6,FALSE), IFERROR(VLOOKUP($A611,'Telstra ExDa'!$B$2:$K$310, 0,FALSE), IFERROR(VLOOKUP($A611,'Vocus RVC ExDa'!$C$2:$R$155, 15,FALSE), IFERROR(VLOOKUP($A611,'Fusion ExDa'!$B$2:$D$16, 0,FALSE), IFERROR(VLOOKUP($A611,'Exetel ExDa'!$C$2:$N$14, 7,FALSE), IFERROR(VLOOKUP($A611,'Infinet ExDa'!$B$2:$E$14, 0,FALSE), "Not Found"))))))))</f>
        <v>Not Found</v>
      </c>
      <c r="H611" t="str">
        <f>IFERROR(VLOOKUP($A611,'AAPT ExDa'!$B$2:$U$99, 6,FALSE), IFERROR(VLOOKUP($A611,'ABB ExDa'!$A$2:$N$184, 0,FALSE), IFERROR(VLOOKUP($A611,'Vocus SIT ExDa'!$B$2:$J$173, 0,FALSE), IFERROR(VLOOKUP($A611,'Telstra ExDa'!$B$2:$K$310, 0,FALSE), IFERROR(VLOOKUP($A611,'Vocus RVC ExDa'!$C$2:$R$155, 16,FALSE), IFERROR(VLOOKUP($A611,'Fusion ExDa'!$B$2:$D$16, 0,FALSE), IFERROR(VLOOKUP($A611,'Exetel ExDa'!$C$2:$N$14, 0,FALSE), IFERROR(VLOOKUP($A611,'Infinet ExDa'!$B$2:$E$14, 0,FALSE), "Not Found"))))))))</f>
        <v>Not Found</v>
      </c>
      <c r="I611" t="str">
        <f>IFERROR(VLOOKUP($A611,'AAPT ExDa'!$B$2:$U$99, 0,FALSE), IFERROR(VLOOKUP($A611,'ABB ExDa'!$A$2:$N$184, 0,FALSE), IFERROR(VLOOKUP($A611,'Vocus SIT ExDa'!$B$2:$J$173, 0,FALSE), IFERROR(VLOOKUP($A611,'Telstra ExDa'!$B$2:$K$310, 0,FALSE), IFERROR(VLOOKUP($A611,'Vocus RVC ExDa'!$C$2:$R$155, 0,FALSE), IFERROR(VLOOKUP($A611,'Fusion ExDa'!$B$2:$D$16, 0,FALSE), IFERROR(VLOOKUP($A611,'Exetel ExDa'!$C$2:$N$14, 8,FALSE), IFERROR(VLOOKUP($A611,'Infinet ExDa'!$B$2:$E$14, 0,FALSE), "Not Found"))))))))</f>
        <v>Not Found</v>
      </c>
      <c r="J611" t="str">
        <f>IFERROR(VLOOKUP($A611,'AAPT ExDa'!$B$2:$U$99, 7,FALSE), IFERROR(VLOOKUP($A611,'ABB ExDa'!$A$2:$N$184, 2,FALSE), IFERROR(VLOOKUP($A611,'Vocus SIT ExDa'!$B$2:$J$173, 0,FALSE), IFERROR(VLOOKUP($A611,'Telstra ExDa'!$B$2:$K$310, 7,FALSE), IFERROR(VLOOKUP($A611,'Vocus RVC ExDa'!$C$2:$R$155, 2,FALSE), IFERROR(VLOOKUP($A611,'Fusion ExDa'!$B$2:$D$16, 3,FALSE), IFERROR(VLOOKUP($A611,'Exetel ExDa'!$C$2:$N$14, 0,FALSE), IFERROR(VLOOKUP($A611,'Infinet ExDa'!$B$2:$E$14, 0,FALSE), "Not Found"))))))))</f>
        <v>Not Found</v>
      </c>
      <c r="K611" t="str">
        <f>IFERROR(VLOOKUP($A611,'AAPT ExDa'!$B$2:$U$99, 12,FALSE), IFERROR(VLOOKUP($A611,'ABB ExDa'!$A$2:$N$184, 0,FALSE), IFERROR(VLOOKUP($A611,'Vocus SIT ExDa'!$B$2:$J$173, 0,FALSE), IFERROR(VLOOKUP($A611,'Telstra ExDa'!$B$2:$K$310, 0,FALSE), IFERROR(VLOOKUP($A611,'Vocus RVC ExDa'!$C$2:$R$155, 0,FALSE), IFERROR(VLOOKUP($A611,'Fusion ExDa'!$B$2:$D$16, 0,FALSE), IFERROR(VLOOKUP($A611,'Exetel ExDa'!$C$2:$N$14, 12,FALSE), IFERROR(VLOOKUP($A611,'Infinet ExDa'!$B$2:$E$14, 0,FALSE), "Not Found"))))))))</f>
        <v>Not Found</v>
      </c>
      <c r="L611" s="235" t="str">
        <f>IFERROR(VLOOKUP($A611,'AAPT ExDa'!$B$2:$U$99, 11,FALSE), IFERROR(VLOOKUP($A611,'ABB ExDa'!$A$2:$N$184, 9,FALSE), IFERROR(VLOOKUP($A611,'Vocus SIT ExDa'!$B$2:$J$173, 8,FALSE), IFERROR(VLOOKUP($A611,'Telstra ExDa'!$B$2:$K$310, 0,FALSE), IFERROR(VLOOKUP($A611,'Vocus RVC ExDa'!$C$2:$R$155, 0,FALSE), IFERROR(VLOOKUP($A611,'Fusion ExDa'!$B$2:$D$16, 0,FALSE), IFERROR(VLOOKUP($A611,'Exetel ExDa'!$C$2:$N$14, 9,FALSE), IFERROR(VLOOKUP($A611,'Infinet ExDa'!$B$2:$E$14, 0,FALSE), "Not Found"))))))))</f>
        <v>Not Found</v>
      </c>
      <c r="M611" s="234" t="str">
        <f>IFERROR(VLOOKUP($A611,'AAPT ExDa'!$B$2:$U$99, 0,FALSE), IFERROR(VLOOKUP($A611,'ABB ExDa'!$A$2:$N$184, 0,FALSE), IFERROR(VLOOKUP($A611,'Vocus SIT ExDa'!$B$2:$J$173, 0,FALSE), IFERROR(VLOOKUP($A611,'Telstra ExDa'!$B$2:$K$310, 0,FALSE), IFERROR(VLOOKUP($A611,'Vocus RVC ExDa'!$C$2:$R$155, 0,FALSE), IFERROR(VLOOKUP($A611,'Fusion ExDa'!$B$2:$D$16, 0,FALSE), IFERROR(VLOOKUP($A611,'Exetel ExDa'!$C$2:$N$14, 11,FALSE), IFERROR(VLOOKUP($A611,'Infinet ExDa'!$B$2:$E$14, 0,FALSE), "Not Found"))))))))</f>
        <v>Not Found</v>
      </c>
      <c r="N611" t="str">
        <f>IFERROR(VLOOKUP($A611,'AAPT ExDa'!$B$2:$U$99, 0,FALSE), IFERROR(VLOOKUP($A611,'ABB ExDa'!$A$2:$N$184, 13,FALSE), IFERROR(VLOOKUP($A611,'Vocus SIT ExDa'!$B$2:$J$173, 0,FALSE), IFERROR(VLOOKUP($A611,'Telstra ExDa'!$B$2:$K$310, 0,FALSE), IFERROR(VLOOKUP($A611,'Vocus RVC ExDa'!$C$2:$R$155, 0,FALSE), IFERROR(VLOOKUP($A611,'Fusion ExDa'!$B$2:$D$16, 0,FALSE), IFERROR(VLOOKUP($A611,'Exetel ExDa'!$C$2:$N$14, 0,FALSE), IFERROR(VLOOKUP($A611,'Infinet ExDa'!$B$2:$E$14, 0,FALSE), "Not Found"))))))))</f>
        <v>Not Found</v>
      </c>
    </row>
    <row r="612" spans="1:14">
      <c r="A612">
        <v>0</v>
      </c>
      <c r="B612" t="str">
        <f>IFERROR(VLOOKUP(A612,'Exetel ExDa'!$C$2:$N$14,4,FALSE),"No Data")</f>
        <v>No Data</v>
      </c>
      <c r="C612" t="str">
        <f>IFERROR(VLOOKUP(A612,'AAPT ExDa'!$B$2:$U$99, 2,FALSE), IFERROR(VLOOKUP(A612,'ABB ExDa'!$A$2:$N$184, 2,FALSE), IFERROR(VLOOKUP(A612,'Vocus SIT ExDa'!$B$2:$J$173, 7,FALSE), IFERROR(VLOOKUP(A612,'Telstra ExDa'!$B$2:$K$310, 2,FALSE), IFERROR(VLOOKUP(A612,'Vocus RVC ExDa'!$C$2:$R$155, 3,FALSE), IFERROR(VLOOKUP(A612,'Fusion ExDa'!$B$2:$D$16, 2,FALSE), IFERROR(VLOOKUP(A612,'Exetel ExDa'!$C$2:$N$14, 2,FALSE), IFERROR(VLOOKUP(A612,'Infinet ExDa'!$B$2:$E$14, 2,FALSE), "Not Found"))))))))</f>
        <v>Not Found</v>
      </c>
      <c r="D612" t="str">
        <f>IFERROR(VLOOKUP($A612,'AAPT ExDa'!$B$2:$U$99, 15,FALSE), IFERROR(VLOOKUP($A612,'ABB ExDa'!$A$2:$N$184, 4,FALSE), IFERROR(VLOOKUP($A612,'Vocus SIT ExDa'!$B$2:$J$173, 5,FALSE), IFERROR(VLOOKUP($A612,'Telstra ExDa'!$B$2:$K$310, 8,FALSE), IFERROR(VLOOKUP($A612,'Vocus RVC ExDa'!$C$2:$R$155, 6,FALSE), IFERROR(VLOOKUP($A612,'Fusion ExDa'!$B$2:$D$16, 4,FALSE), IFERROR(VLOOKUP($A612,'Exetel ExDa'!$C$2:$N$14, 3,FALSE), IFERROR(VLOOKUP($A612,'Infinet ExDa'!$B$2:$E$14, 3,FALSE), "Not Found"))))))))</f>
        <v>Not Found</v>
      </c>
      <c r="E612" t="str">
        <f>IFERROR(VLOOKUP($A612,'AAPT ExDa'!$B$2:$U$99, 3,FALSE), IFERROR(VLOOKUP($A612,'ABB ExDa'!$A$2:$N$184, 5,FALSE), IFERROR(VLOOKUP($A612,'Vocus SIT ExDa'!$B$2:$J$173, 2,FALSE), IFERROR(VLOOKUP($A612,'Telstra ExDa'!$B$2:$K$310, 4,FALSE), IFERROR(VLOOKUP($A612,'Vocus RVC ExDa'!$C$2:$R$155, 8,FALSE), IFERROR(VLOOKUP($A612,'Fusion ExDa'!$B$2:$D$16, 4,FALSE), IFERROR(VLOOKUP($A612,'Exetel ExDa'!$C$2:$N$14, 5,FALSE), IFERROR(VLOOKUP($A612,'Infinet ExDa'!$B$2:$E$14, 3,FALSE), "Not Found"))))))))</f>
        <v>Not Found</v>
      </c>
      <c r="F612" t="str">
        <f>IFERROR(VLOOKUP($A612,'AAPT ExDa'!$B$2:$U$99, 4,FALSE), IFERROR(VLOOKUP($A612,'ABB ExDa'!$A$2:$N$184, 6,FALSE), IFERROR(VLOOKUP($A612,'Vocus SIT ExDa'!$B$2:$J$173, 3,FALSE), IFERROR(VLOOKUP($A612,'Telstra ExDa'!$B$2:$K$310, 5,FALSE), IFERROR(VLOOKUP($A612,'Vocus RVC ExDa'!$C$2:$R$155, 9,FALSE), IFERROR(VLOOKUP($A612,'Fusion ExDa'!$B$2:$D$16, 0,FALSE), IFERROR(VLOOKUP($A612,'Exetel ExDa'!$C$2:$N$14, 6,FALSE), IFERROR(VLOOKUP($A612,'Infinet ExDa'!$B$2:$E$14, 0,FALSE), "Not Found"))))))))</f>
        <v>Not Found</v>
      </c>
      <c r="G612" t="str">
        <f>IFERROR(VLOOKUP($A612,'AAPT ExDa'!$B$2:$U$99, 5,FALSE), IFERROR(VLOOKUP($A612,'ABB ExDa'!$A$2:$N$184, 8,FALSE), IFERROR(VLOOKUP($A612,'Vocus SIT ExDa'!$B$2:$J$173, 6,FALSE), IFERROR(VLOOKUP($A612,'Telstra ExDa'!$B$2:$K$310, 0,FALSE), IFERROR(VLOOKUP($A612,'Vocus RVC ExDa'!$C$2:$R$155, 15,FALSE), IFERROR(VLOOKUP($A612,'Fusion ExDa'!$B$2:$D$16, 0,FALSE), IFERROR(VLOOKUP($A612,'Exetel ExDa'!$C$2:$N$14, 7,FALSE), IFERROR(VLOOKUP($A612,'Infinet ExDa'!$B$2:$E$14, 0,FALSE), "Not Found"))))))))</f>
        <v>Not Found</v>
      </c>
      <c r="H612" t="str">
        <f>IFERROR(VLOOKUP($A612,'AAPT ExDa'!$B$2:$U$99, 6,FALSE), IFERROR(VLOOKUP($A612,'ABB ExDa'!$A$2:$N$184, 0,FALSE), IFERROR(VLOOKUP($A612,'Vocus SIT ExDa'!$B$2:$J$173, 0,FALSE), IFERROR(VLOOKUP($A612,'Telstra ExDa'!$B$2:$K$310, 0,FALSE), IFERROR(VLOOKUP($A612,'Vocus RVC ExDa'!$C$2:$R$155, 16,FALSE), IFERROR(VLOOKUP($A612,'Fusion ExDa'!$B$2:$D$16, 0,FALSE), IFERROR(VLOOKUP($A612,'Exetel ExDa'!$C$2:$N$14, 0,FALSE), IFERROR(VLOOKUP($A612,'Infinet ExDa'!$B$2:$E$14, 0,FALSE), "Not Found"))))))))</f>
        <v>Not Found</v>
      </c>
      <c r="I612" t="str">
        <f>IFERROR(VLOOKUP($A612,'AAPT ExDa'!$B$2:$U$99, 0,FALSE), IFERROR(VLOOKUP($A612,'ABB ExDa'!$A$2:$N$184, 0,FALSE), IFERROR(VLOOKUP($A612,'Vocus SIT ExDa'!$B$2:$J$173, 0,FALSE), IFERROR(VLOOKUP($A612,'Telstra ExDa'!$B$2:$K$310, 0,FALSE), IFERROR(VLOOKUP($A612,'Vocus RVC ExDa'!$C$2:$R$155, 0,FALSE), IFERROR(VLOOKUP($A612,'Fusion ExDa'!$B$2:$D$16, 0,FALSE), IFERROR(VLOOKUP($A612,'Exetel ExDa'!$C$2:$N$14, 8,FALSE), IFERROR(VLOOKUP($A612,'Infinet ExDa'!$B$2:$E$14, 0,FALSE), "Not Found"))))))))</f>
        <v>Not Found</v>
      </c>
      <c r="J612" t="str">
        <f>IFERROR(VLOOKUP($A612,'AAPT ExDa'!$B$2:$U$99, 7,FALSE), IFERROR(VLOOKUP($A612,'ABB ExDa'!$A$2:$N$184, 2,FALSE), IFERROR(VLOOKUP($A612,'Vocus SIT ExDa'!$B$2:$J$173, 0,FALSE), IFERROR(VLOOKUP($A612,'Telstra ExDa'!$B$2:$K$310, 7,FALSE), IFERROR(VLOOKUP($A612,'Vocus RVC ExDa'!$C$2:$R$155, 2,FALSE), IFERROR(VLOOKUP($A612,'Fusion ExDa'!$B$2:$D$16, 3,FALSE), IFERROR(VLOOKUP($A612,'Exetel ExDa'!$C$2:$N$14, 0,FALSE), IFERROR(VLOOKUP($A612,'Infinet ExDa'!$B$2:$E$14, 0,FALSE), "Not Found"))))))))</f>
        <v>Not Found</v>
      </c>
      <c r="K612" t="str">
        <f>IFERROR(VLOOKUP($A612,'AAPT ExDa'!$B$2:$U$99, 12,FALSE), IFERROR(VLOOKUP($A612,'ABB ExDa'!$A$2:$N$184, 0,FALSE), IFERROR(VLOOKUP($A612,'Vocus SIT ExDa'!$B$2:$J$173, 0,FALSE), IFERROR(VLOOKUP($A612,'Telstra ExDa'!$B$2:$K$310, 0,FALSE), IFERROR(VLOOKUP($A612,'Vocus RVC ExDa'!$C$2:$R$155, 0,FALSE), IFERROR(VLOOKUP($A612,'Fusion ExDa'!$B$2:$D$16, 0,FALSE), IFERROR(VLOOKUP($A612,'Exetel ExDa'!$C$2:$N$14, 12,FALSE), IFERROR(VLOOKUP($A612,'Infinet ExDa'!$B$2:$E$14, 0,FALSE), "Not Found"))))))))</f>
        <v>Not Found</v>
      </c>
      <c r="L612" s="235" t="str">
        <f>IFERROR(VLOOKUP($A612,'AAPT ExDa'!$B$2:$U$99, 11,FALSE), IFERROR(VLOOKUP($A612,'ABB ExDa'!$A$2:$N$184, 9,FALSE), IFERROR(VLOOKUP($A612,'Vocus SIT ExDa'!$B$2:$J$173, 8,FALSE), IFERROR(VLOOKUP($A612,'Telstra ExDa'!$B$2:$K$310, 0,FALSE), IFERROR(VLOOKUP($A612,'Vocus RVC ExDa'!$C$2:$R$155, 0,FALSE), IFERROR(VLOOKUP($A612,'Fusion ExDa'!$B$2:$D$16, 0,FALSE), IFERROR(VLOOKUP($A612,'Exetel ExDa'!$C$2:$N$14, 9,FALSE), IFERROR(VLOOKUP($A612,'Infinet ExDa'!$B$2:$E$14, 0,FALSE), "Not Found"))))))))</f>
        <v>Not Found</v>
      </c>
      <c r="M612" s="234" t="str">
        <f>IFERROR(VLOOKUP($A612,'AAPT ExDa'!$B$2:$U$99, 0,FALSE), IFERROR(VLOOKUP($A612,'ABB ExDa'!$A$2:$N$184, 0,FALSE), IFERROR(VLOOKUP($A612,'Vocus SIT ExDa'!$B$2:$J$173, 0,FALSE), IFERROR(VLOOKUP($A612,'Telstra ExDa'!$B$2:$K$310, 0,FALSE), IFERROR(VLOOKUP($A612,'Vocus RVC ExDa'!$C$2:$R$155, 0,FALSE), IFERROR(VLOOKUP($A612,'Fusion ExDa'!$B$2:$D$16, 0,FALSE), IFERROR(VLOOKUP($A612,'Exetel ExDa'!$C$2:$N$14, 11,FALSE), IFERROR(VLOOKUP($A612,'Infinet ExDa'!$B$2:$E$14, 0,FALSE), "Not Found"))))))))</f>
        <v>Not Found</v>
      </c>
      <c r="N612" t="str">
        <f>IFERROR(VLOOKUP($A612,'AAPT ExDa'!$B$2:$U$99, 0,FALSE), IFERROR(VLOOKUP($A612,'ABB ExDa'!$A$2:$N$184, 13,FALSE), IFERROR(VLOOKUP($A612,'Vocus SIT ExDa'!$B$2:$J$173, 0,FALSE), IFERROR(VLOOKUP($A612,'Telstra ExDa'!$B$2:$K$310, 0,FALSE), IFERROR(VLOOKUP($A612,'Vocus RVC ExDa'!$C$2:$R$155, 0,FALSE), IFERROR(VLOOKUP($A612,'Fusion ExDa'!$B$2:$D$16, 0,FALSE), IFERROR(VLOOKUP($A612,'Exetel ExDa'!$C$2:$N$14, 0,FALSE), IFERROR(VLOOKUP($A612,'Infinet ExDa'!$B$2:$E$14, 0,FALSE), "Not Found"))))))))</f>
        <v>Not Found</v>
      </c>
    </row>
    <row r="613" spans="1:14">
      <c r="A613">
        <v>0</v>
      </c>
      <c r="B613" t="str">
        <f>IFERROR(VLOOKUP(A613,'Exetel ExDa'!$C$2:$N$14,4,FALSE),"No Data")</f>
        <v>No Data</v>
      </c>
      <c r="C613" t="str">
        <f>IFERROR(VLOOKUP(A613,'AAPT ExDa'!$B$2:$U$99, 2,FALSE), IFERROR(VLOOKUP(A613,'ABB ExDa'!$A$2:$N$184, 2,FALSE), IFERROR(VLOOKUP(A613,'Vocus SIT ExDa'!$B$2:$J$173, 7,FALSE), IFERROR(VLOOKUP(A613,'Telstra ExDa'!$B$2:$K$310, 2,FALSE), IFERROR(VLOOKUP(A613,'Vocus RVC ExDa'!$C$2:$R$155, 3,FALSE), IFERROR(VLOOKUP(A613,'Fusion ExDa'!$B$2:$D$16, 2,FALSE), IFERROR(VLOOKUP(A613,'Exetel ExDa'!$C$2:$N$14, 2,FALSE), IFERROR(VLOOKUP(A613,'Infinet ExDa'!$B$2:$E$14, 2,FALSE), "Not Found"))))))))</f>
        <v>Not Found</v>
      </c>
      <c r="D613" t="str">
        <f>IFERROR(VLOOKUP($A613,'AAPT ExDa'!$B$2:$U$99, 15,FALSE), IFERROR(VLOOKUP($A613,'ABB ExDa'!$A$2:$N$184, 4,FALSE), IFERROR(VLOOKUP($A613,'Vocus SIT ExDa'!$B$2:$J$173, 5,FALSE), IFERROR(VLOOKUP($A613,'Telstra ExDa'!$B$2:$K$310, 8,FALSE), IFERROR(VLOOKUP($A613,'Vocus RVC ExDa'!$C$2:$R$155, 6,FALSE), IFERROR(VLOOKUP($A613,'Fusion ExDa'!$B$2:$D$16, 4,FALSE), IFERROR(VLOOKUP($A613,'Exetel ExDa'!$C$2:$N$14, 3,FALSE), IFERROR(VLOOKUP($A613,'Infinet ExDa'!$B$2:$E$14, 3,FALSE), "Not Found"))))))))</f>
        <v>Not Found</v>
      </c>
      <c r="E613" t="str">
        <f>IFERROR(VLOOKUP($A613,'AAPT ExDa'!$B$2:$U$99, 3,FALSE), IFERROR(VLOOKUP($A613,'ABB ExDa'!$A$2:$N$184, 5,FALSE), IFERROR(VLOOKUP($A613,'Vocus SIT ExDa'!$B$2:$J$173, 2,FALSE), IFERROR(VLOOKUP($A613,'Telstra ExDa'!$B$2:$K$310, 4,FALSE), IFERROR(VLOOKUP($A613,'Vocus RVC ExDa'!$C$2:$R$155, 8,FALSE), IFERROR(VLOOKUP($A613,'Fusion ExDa'!$B$2:$D$16, 4,FALSE), IFERROR(VLOOKUP($A613,'Exetel ExDa'!$C$2:$N$14, 5,FALSE), IFERROR(VLOOKUP($A613,'Infinet ExDa'!$B$2:$E$14, 3,FALSE), "Not Found"))))))))</f>
        <v>Not Found</v>
      </c>
      <c r="F613" t="str">
        <f>IFERROR(VLOOKUP($A613,'AAPT ExDa'!$B$2:$U$99, 4,FALSE), IFERROR(VLOOKUP($A613,'ABB ExDa'!$A$2:$N$184, 6,FALSE), IFERROR(VLOOKUP($A613,'Vocus SIT ExDa'!$B$2:$J$173, 3,FALSE), IFERROR(VLOOKUP($A613,'Telstra ExDa'!$B$2:$K$310, 5,FALSE), IFERROR(VLOOKUP($A613,'Vocus RVC ExDa'!$C$2:$R$155, 9,FALSE), IFERROR(VLOOKUP($A613,'Fusion ExDa'!$B$2:$D$16, 0,FALSE), IFERROR(VLOOKUP($A613,'Exetel ExDa'!$C$2:$N$14, 6,FALSE), IFERROR(VLOOKUP($A613,'Infinet ExDa'!$B$2:$E$14, 0,FALSE), "Not Found"))))))))</f>
        <v>Not Found</v>
      </c>
      <c r="G613" t="str">
        <f>IFERROR(VLOOKUP($A613,'AAPT ExDa'!$B$2:$U$99, 5,FALSE), IFERROR(VLOOKUP($A613,'ABB ExDa'!$A$2:$N$184, 8,FALSE), IFERROR(VLOOKUP($A613,'Vocus SIT ExDa'!$B$2:$J$173, 6,FALSE), IFERROR(VLOOKUP($A613,'Telstra ExDa'!$B$2:$K$310, 0,FALSE), IFERROR(VLOOKUP($A613,'Vocus RVC ExDa'!$C$2:$R$155, 15,FALSE), IFERROR(VLOOKUP($A613,'Fusion ExDa'!$B$2:$D$16, 0,FALSE), IFERROR(VLOOKUP($A613,'Exetel ExDa'!$C$2:$N$14, 7,FALSE), IFERROR(VLOOKUP($A613,'Infinet ExDa'!$B$2:$E$14, 0,FALSE), "Not Found"))))))))</f>
        <v>Not Found</v>
      </c>
      <c r="H613" t="str">
        <f>IFERROR(VLOOKUP($A613,'AAPT ExDa'!$B$2:$U$99, 6,FALSE), IFERROR(VLOOKUP($A613,'ABB ExDa'!$A$2:$N$184, 0,FALSE), IFERROR(VLOOKUP($A613,'Vocus SIT ExDa'!$B$2:$J$173, 0,FALSE), IFERROR(VLOOKUP($A613,'Telstra ExDa'!$B$2:$K$310, 0,FALSE), IFERROR(VLOOKUP($A613,'Vocus RVC ExDa'!$C$2:$R$155, 16,FALSE), IFERROR(VLOOKUP($A613,'Fusion ExDa'!$B$2:$D$16, 0,FALSE), IFERROR(VLOOKUP($A613,'Exetel ExDa'!$C$2:$N$14, 0,FALSE), IFERROR(VLOOKUP($A613,'Infinet ExDa'!$B$2:$E$14, 0,FALSE), "Not Found"))))))))</f>
        <v>Not Found</v>
      </c>
      <c r="I613" t="str">
        <f>IFERROR(VLOOKUP($A613,'AAPT ExDa'!$B$2:$U$99, 0,FALSE), IFERROR(VLOOKUP($A613,'ABB ExDa'!$A$2:$N$184, 0,FALSE), IFERROR(VLOOKUP($A613,'Vocus SIT ExDa'!$B$2:$J$173, 0,FALSE), IFERROR(VLOOKUP($A613,'Telstra ExDa'!$B$2:$K$310, 0,FALSE), IFERROR(VLOOKUP($A613,'Vocus RVC ExDa'!$C$2:$R$155, 0,FALSE), IFERROR(VLOOKUP($A613,'Fusion ExDa'!$B$2:$D$16, 0,FALSE), IFERROR(VLOOKUP($A613,'Exetel ExDa'!$C$2:$N$14, 8,FALSE), IFERROR(VLOOKUP($A613,'Infinet ExDa'!$B$2:$E$14, 0,FALSE), "Not Found"))))))))</f>
        <v>Not Found</v>
      </c>
      <c r="J613" t="str">
        <f>IFERROR(VLOOKUP($A613,'AAPT ExDa'!$B$2:$U$99, 7,FALSE), IFERROR(VLOOKUP($A613,'ABB ExDa'!$A$2:$N$184, 2,FALSE), IFERROR(VLOOKUP($A613,'Vocus SIT ExDa'!$B$2:$J$173, 0,FALSE), IFERROR(VLOOKUP($A613,'Telstra ExDa'!$B$2:$K$310, 7,FALSE), IFERROR(VLOOKUP($A613,'Vocus RVC ExDa'!$C$2:$R$155, 2,FALSE), IFERROR(VLOOKUP($A613,'Fusion ExDa'!$B$2:$D$16, 3,FALSE), IFERROR(VLOOKUP($A613,'Exetel ExDa'!$C$2:$N$14, 0,FALSE), IFERROR(VLOOKUP($A613,'Infinet ExDa'!$B$2:$E$14, 0,FALSE), "Not Found"))))))))</f>
        <v>Not Found</v>
      </c>
      <c r="K613" t="str">
        <f>IFERROR(VLOOKUP($A613,'AAPT ExDa'!$B$2:$U$99, 12,FALSE), IFERROR(VLOOKUP($A613,'ABB ExDa'!$A$2:$N$184, 0,FALSE), IFERROR(VLOOKUP($A613,'Vocus SIT ExDa'!$B$2:$J$173, 0,FALSE), IFERROR(VLOOKUP($A613,'Telstra ExDa'!$B$2:$K$310, 0,FALSE), IFERROR(VLOOKUP($A613,'Vocus RVC ExDa'!$C$2:$R$155, 0,FALSE), IFERROR(VLOOKUP($A613,'Fusion ExDa'!$B$2:$D$16, 0,FALSE), IFERROR(VLOOKUP($A613,'Exetel ExDa'!$C$2:$N$14, 12,FALSE), IFERROR(VLOOKUP($A613,'Infinet ExDa'!$B$2:$E$14, 0,FALSE), "Not Found"))))))))</f>
        <v>Not Found</v>
      </c>
      <c r="L613" s="235" t="str">
        <f>IFERROR(VLOOKUP($A613,'AAPT ExDa'!$B$2:$U$99, 11,FALSE), IFERROR(VLOOKUP($A613,'ABB ExDa'!$A$2:$N$184, 9,FALSE), IFERROR(VLOOKUP($A613,'Vocus SIT ExDa'!$B$2:$J$173, 8,FALSE), IFERROR(VLOOKUP($A613,'Telstra ExDa'!$B$2:$K$310, 0,FALSE), IFERROR(VLOOKUP($A613,'Vocus RVC ExDa'!$C$2:$R$155, 0,FALSE), IFERROR(VLOOKUP($A613,'Fusion ExDa'!$B$2:$D$16, 0,FALSE), IFERROR(VLOOKUP($A613,'Exetel ExDa'!$C$2:$N$14, 9,FALSE), IFERROR(VLOOKUP($A613,'Infinet ExDa'!$B$2:$E$14, 0,FALSE), "Not Found"))))))))</f>
        <v>Not Found</v>
      </c>
      <c r="M613" s="234" t="str">
        <f>IFERROR(VLOOKUP($A613,'AAPT ExDa'!$B$2:$U$99, 0,FALSE), IFERROR(VLOOKUP($A613,'ABB ExDa'!$A$2:$N$184, 0,FALSE), IFERROR(VLOOKUP($A613,'Vocus SIT ExDa'!$B$2:$J$173, 0,FALSE), IFERROR(VLOOKUP($A613,'Telstra ExDa'!$B$2:$K$310, 0,FALSE), IFERROR(VLOOKUP($A613,'Vocus RVC ExDa'!$C$2:$R$155, 0,FALSE), IFERROR(VLOOKUP($A613,'Fusion ExDa'!$B$2:$D$16, 0,FALSE), IFERROR(VLOOKUP($A613,'Exetel ExDa'!$C$2:$N$14, 11,FALSE), IFERROR(VLOOKUP($A613,'Infinet ExDa'!$B$2:$E$14, 0,FALSE), "Not Found"))))))))</f>
        <v>Not Found</v>
      </c>
      <c r="N613" t="str">
        <f>IFERROR(VLOOKUP($A613,'AAPT ExDa'!$B$2:$U$99, 0,FALSE), IFERROR(VLOOKUP($A613,'ABB ExDa'!$A$2:$N$184, 13,FALSE), IFERROR(VLOOKUP($A613,'Vocus SIT ExDa'!$B$2:$J$173, 0,FALSE), IFERROR(VLOOKUP($A613,'Telstra ExDa'!$B$2:$K$310, 0,FALSE), IFERROR(VLOOKUP($A613,'Vocus RVC ExDa'!$C$2:$R$155, 0,FALSE), IFERROR(VLOOKUP($A613,'Fusion ExDa'!$B$2:$D$16, 0,FALSE), IFERROR(VLOOKUP($A613,'Exetel ExDa'!$C$2:$N$14, 0,FALSE), IFERROR(VLOOKUP($A613,'Infinet ExDa'!$B$2:$E$14, 0,FALSE), "Not Found"))))))))</f>
        <v>Not Found</v>
      </c>
    </row>
    <row r="614" spans="1:14">
      <c r="A614">
        <v>0</v>
      </c>
      <c r="B614" t="str">
        <f>IFERROR(VLOOKUP(A614,'Exetel ExDa'!$C$2:$N$14,4,FALSE),"No Data")</f>
        <v>No Data</v>
      </c>
      <c r="C614" t="str">
        <f>IFERROR(VLOOKUP(A614,'AAPT ExDa'!$B$2:$U$99, 2,FALSE), IFERROR(VLOOKUP(A614,'ABB ExDa'!$A$2:$N$184, 2,FALSE), IFERROR(VLOOKUP(A614,'Vocus SIT ExDa'!$B$2:$J$173, 7,FALSE), IFERROR(VLOOKUP(A614,'Telstra ExDa'!$B$2:$K$310, 2,FALSE), IFERROR(VLOOKUP(A614,'Vocus RVC ExDa'!$C$2:$R$155, 3,FALSE), IFERROR(VLOOKUP(A614,'Fusion ExDa'!$B$2:$D$16, 2,FALSE), IFERROR(VLOOKUP(A614,'Exetel ExDa'!$C$2:$N$14, 2,FALSE), IFERROR(VLOOKUP(A614,'Infinet ExDa'!$B$2:$E$14, 2,FALSE), "Not Found"))))))))</f>
        <v>Not Found</v>
      </c>
      <c r="D614" t="str">
        <f>IFERROR(VLOOKUP($A614,'AAPT ExDa'!$B$2:$U$99, 15,FALSE), IFERROR(VLOOKUP($A614,'ABB ExDa'!$A$2:$N$184, 4,FALSE), IFERROR(VLOOKUP($A614,'Vocus SIT ExDa'!$B$2:$J$173, 5,FALSE), IFERROR(VLOOKUP($A614,'Telstra ExDa'!$B$2:$K$310, 8,FALSE), IFERROR(VLOOKUP($A614,'Vocus RVC ExDa'!$C$2:$R$155, 6,FALSE), IFERROR(VLOOKUP($A614,'Fusion ExDa'!$B$2:$D$16, 4,FALSE), IFERROR(VLOOKUP($A614,'Exetel ExDa'!$C$2:$N$14, 3,FALSE), IFERROR(VLOOKUP($A614,'Infinet ExDa'!$B$2:$E$14, 3,FALSE), "Not Found"))))))))</f>
        <v>Not Found</v>
      </c>
      <c r="E614" t="str">
        <f>IFERROR(VLOOKUP($A614,'AAPT ExDa'!$B$2:$U$99, 3,FALSE), IFERROR(VLOOKUP($A614,'ABB ExDa'!$A$2:$N$184, 5,FALSE), IFERROR(VLOOKUP($A614,'Vocus SIT ExDa'!$B$2:$J$173, 2,FALSE), IFERROR(VLOOKUP($A614,'Telstra ExDa'!$B$2:$K$310, 4,FALSE), IFERROR(VLOOKUP($A614,'Vocus RVC ExDa'!$C$2:$R$155, 8,FALSE), IFERROR(VLOOKUP($A614,'Fusion ExDa'!$B$2:$D$16, 4,FALSE), IFERROR(VLOOKUP($A614,'Exetel ExDa'!$C$2:$N$14, 5,FALSE), IFERROR(VLOOKUP($A614,'Infinet ExDa'!$B$2:$E$14, 3,FALSE), "Not Found"))))))))</f>
        <v>Not Found</v>
      </c>
      <c r="F614" t="str">
        <f>IFERROR(VLOOKUP($A614,'AAPT ExDa'!$B$2:$U$99, 4,FALSE), IFERROR(VLOOKUP($A614,'ABB ExDa'!$A$2:$N$184, 6,FALSE), IFERROR(VLOOKUP($A614,'Vocus SIT ExDa'!$B$2:$J$173, 3,FALSE), IFERROR(VLOOKUP($A614,'Telstra ExDa'!$B$2:$K$310, 5,FALSE), IFERROR(VLOOKUP($A614,'Vocus RVC ExDa'!$C$2:$R$155, 9,FALSE), IFERROR(VLOOKUP($A614,'Fusion ExDa'!$B$2:$D$16, 0,FALSE), IFERROR(VLOOKUP($A614,'Exetel ExDa'!$C$2:$N$14, 6,FALSE), IFERROR(VLOOKUP($A614,'Infinet ExDa'!$B$2:$E$14, 0,FALSE), "Not Found"))))))))</f>
        <v>Not Found</v>
      </c>
      <c r="G614" t="str">
        <f>IFERROR(VLOOKUP($A614,'AAPT ExDa'!$B$2:$U$99, 5,FALSE), IFERROR(VLOOKUP($A614,'ABB ExDa'!$A$2:$N$184, 8,FALSE), IFERROR(VLOOKUP($A614,'Vocus SIT ExDa'!$B$2:$J$173, 6,FALSE), IFERROR(VLOOKUP($A614,'Telstra ExDa'!$B$2:$K$310, 0,FALSE), IFERROR(VLOOKUP($A614,'Vocus RVC ExDa'!$C$2:$R$155, 15,FALSE), IFERROR(VLOOKUP($A614,'Fusion ExDa'!$B$2:$D$16, 0,FALSE), IFERROR(VLOOKUP($A614,'Exetel ExDa'!$C$2:$N$14, 7,FALSE), IFERROR(VLOOKUP($A614,'Infinet ExDa'!$B$2:$E$14, 0,FALSE), "Not Found"))))))))</f>
        <v>Not Found</v>
      </c>
      <c r="H614" t="str">
        <f>IFERROR(VLOOKUP($A614,'AAPT ExDa'!$B$2:$U$99, 6,FALSE), IFERROR(VLOOKUP($A614,'ABB ExDa'!$A$2:$N$184, 0,FALSE), IFERROR(VLOOKUP($A614,'Vocus SIT ExDa'!$B$2:$J$173, 0,FALSE), IFERROR(VLOOKUP($A614,'Telstra ExDa'!$B$2:$K$310, 0,FALSE), IFERROR(VLOOKUP($A614,'Vocus RVC ExDa'!$C$2:$R$155, 16,FALSE), IFERROR(VLOOKUP($A614,'Fusion ExDa'!$B$2:$D$16, 0,FALSE), IFERROR(VLOOKUP($A614,'Exetel ExDa'!$C$2:$N$14, 0,FALSE), IFERROR(VLOOKUP($A614,'Infinet ExDa'!$B$2:$E$14, 0,FALSE), "Not Found"))))))))</f>
        <v>Not Found</v>
      </c>
      <c r="I614" t="str">
        <f>IFERROR(VLOOKUP($A614,'AAPT ExDa'!$B$2:$U$99, 0,FALSE), IFERROR(VLOOKUP($A614,'ABB ExDa'!$A$2:$N$184, 0,FALSE), IFERROR(VLOOKUP($A614,'Vocus SIT ExDa'!$B$2:$J$173, 0,FALSE), IFERROR(VLOOKUP($A614,'Telstra ExDa'!$B$2:$K$310, 0,FALSE), IFERROR(VLOOKUP($A614,'Vocus RVC ExDa'!$C$2:$R$155, 0,FALSE), IFERROR(VLOOKUP($A614,'Fusion ExDa'!$B$2:$D$16, 0,FALSE), IFERROR(VLOOKUP($A614,'Exetel ExDa'!$C$2:$N$14, 8,FALSE), IFERROR(VLOOKUP($A614,'Infinet ExDa'!$B$2:$E$14, 0,FALSE), "Not Found"))))))))</f>
        <v>Not Found</v>
      </c>
      <c r="J614" t="str">
        <f>IFERROR(VLOOKUP($A614,'AAPT ExDa'!$B$2:$U$99, 7,FALSE), IFERROR(VLOOKUP($A614,'ABB ExDa'!$A$2:$N$184, 2,FALSE), IFERROR(VLOOKUP($A614,'Vocus SIT ExDa'!$B$2:$J$173, 0,FALSE), IFERROR(VLOOKUP($A614,'Telstra ExDa'!$B$2:$K$310, 7,FALSE), IFERROR(VLOOKUP($A614,'Vocus RVC ExDa'!$C$2:$R$155, 2,FALSE), IFERROR(VLOOKUP($A614,'Fusion ExDa'!$B$2:$D$16, 3,FALSE), IFERROR(VLOOKUP($A614,'Exetel ExDa'!$C$2:$N$14, 0,FALSE), IFERROR(VLOOKUP($A614,'Infinet ExDa'!$B$2:$E$14, 0,FALSE), "Not Found"))))))))</f>
        <v>Not Found</v>
      </c>
      <c r="K614" t="str">
        <f>IFERROR(VLOOKUP($A614,'AAPT ExDa'!$B$2:$U$99, 12,FALSE), IFERROR(VLOOKUP($A614,'ABB ExDa'!$A$2:$N$184, 0,FALSE), IFERROR(VLOOKUP($A614,'Vocus SIT ExDa'!$B$2:$J$173, 0,FALSE), IFERROR(VLOOKUP($A614,'Telstra ExDa'!$B$2:$K$310, 0,FALSE), IFERROR(VLOOKUP($A614,'Vocus RVC ExDa'!$C$2:$R$155, 0,FALSE), IFERROR(VLOOKUP($A614,'Fusion ExDa'!$B$2:$D$16, 0,FALSE), IFERROR(VLOOKUP($A614,'Exetel ExDa'!$C$2:$N$14, 12,FALSE), IFERROR(VLOOKUP($A614,'Infinet ExDa'!$B$2:$E$14, 0,FALSE), "Not Found"))))))))</f>
        <v>Not Found</v>
      </c>
      <c r="L614" s="235" t="str">
        <f>IFERROR(VLOOKUP($A614,'AAPT ExDa'!$B$2:$U$99, 11,FALSE), IFERROR(VLOOKUP($A614,'ABB ExDa'!$A$2:$N$184, 9,FALSE), IFERROR(VLOOKUP($A614,'Vocus SIT ExDa'!$B$2:$J$173, 8,FALSE), IFERROR(VLOOKUP($A614,'Telstra ExDa'!$B$2:$K$310, 0,FALSE), IFERROR(VLOOKUP($A614,'Vocus RVC ExDa'!$C$2:$R$155, 0,FALSE), IFERROR(VLOOKUP($A614,'Fusion ExDa'!$B$2:$D$16, 0,FALSE), IFERROR(VLOOKUP($A614,'Exetel ExDa'!$C$2:$N$14, 9,FALSE), IFERROR(VLOOKUP($A614,'Infinet ExDa'!$B$2:$E$14, 0,FALSE), "Not Found"))))))))</f>
        <v>Not Found</v>
      </c>
      <c r="M614" s="234" t="str">
        <f>IFERROR(VLOOKUP($A614,'AAPT ExDa'!$B$2:$U$99, 0,FALSE), IFERROR(VLOOKUP($A614,'ABB ExDa'!$A$2:$N$184, 0,FALSE), IFERROR(VLOOKUP($A614,'Vocus SIT ExDa'!$B$2:$J$173, 0,FALSE), IFERROR(VLOOKUP($A614,'Telstra ExDa'!$B$2:$K$310, 0,FALSE), IFERROR(VLOOKUP($A614,'Vocus RVC ExDa'!$C$2:$R$155, 0,FALSE), IFERROR(VLOOKUP($A614,'Fusion ExDa'!$B$2:$D$16, 0,FALSE), IFERROR(VLOOKUP($A614,'Exetel ExDa'!$C$2:$N$14, 11,FALSE), IFERROR(VLOOKUP($A614,'Infinet ExDa'!$B$2:$E$14, 0,FALSE), "Not Found"))))))))</f>
        <v>Not Found</v>
      </c>
      <c r="N614" t="str">
        <f>IFERROR(VLOOKUP($A614,'AAPT ExDa'!$B$2:$U$99, 0,FALSE), IFERROR(VLOOKUP($A614,'ABB ExDa'!$A$2:$N$184, 13,FALSE), IFERROR(VLOOKUP($A614,'Vocus SIT ExDa'!$B$2:$J$173, 0,FALSE), IFERROR(VLOOKUP($A614,'Telstra ExDa'!$B$2:$K$310, 0,FALSE), IFERROR(VLOOKUP($A614,'Vocus RVC ExDa'!$C$2:$R$155, 0,FALSE), IFERROR(VLOOKUP($A614,'Fusion ExDa'!$B$2:$D$16, 0,FALSE), IFERROR(VLOOKUP($A614,'Exetel ExDa'!$C$2:$N$14, 0,FALSE), IFERROR(VLOOKUP($A614,'Infinet ExDa'!$B$2:$E$14, 0,FALSE), "Not Found"))))))))</f>
        <v>Not Found</v>
      </c>
    </row>
    <row r="615" spans="1:14">
      <c r="A615">
        <v>0</v>
      </c>
      <c r="B615" t="str">
        <f>IFERROR(VLOOKUP(A615,'Exetel ExDa'!$C$2:$N$14,4,FALSE),"No Data")</f>
        <v>No Data</v>
      </c>
      <c r="C615" t="str">
        <f>IFERROR(VLOOKUP(A615,'AAPT ExDa'!$B$2:$U$99, 2,FALSE), IFERROR(VLOOKUP(A615,'ABB ExDa'!$A$2:$N$184, 2,FALSE), IFERROR(VLOOKUP(A615,'Vocus SIT ExDa'!$B$2:$J$173, 7,FALSE), IFERROR(VLOOKUP(A615,'Telstra ExDa'!$B$2:$K$310, 2,FALSE), IFERROR(VLOOKUP(A615,'Vocus RVC ExDa'!$C$2:$R$155, 3,FALSE), IFERROR(VLOOKUP(A615,'Fusion ExDa'!$B$2:$D$16, 2,FALSE), IFERROR(VLOOKUP(A615,'Exetel ExDa'!$C$2:$N$14, 2,FALSE), IFERROR(VLOOKUP(A615,'Infinet ExDa'!$B$2:$E$14, 2,FALSE), "Not Found"))))))))</f>
        <v>Not Found</v>
      </c>
      <c r="D615" t="str">
        <f>IFERROR(VLOOKUP($A615,'AAPT ExDa'!$B$2:$U$99, 15,FALSE), IFERROR(VLOOKUP($A615,'ABB ExDa'!$A$2:$N$184, 4,FALSE), IFERROR(VLOOKUP($A615,'Vocus SIT ExDa'!$B$2:$J$173, 5,FALSE), IFERROR(VLOOKUP($A615,'Telstra ExDa'!$B$2:$K$310, 8,FALSE), IFERROR(VLOOKUP($A615,'Vocus RVC ExDa'!$C$2:$R$155, 6,FALSE), IFERROR(VLOOKUP($A615,'Fusion ExDa'!$B$2:$D$16, 4,FALSE), IFERROR(VLOOKUP($A615,'Exetel ExDa'!$C$2:$N$14, 3,FALSE), IFERROR(VLOOKUP($A615,'Infinet ExDa'!$B$2:$E$14, 3,FALSE), "Not Found"))))))))</f>
        <v>Not Found</v>
      </c>
      <c r="E615" t="str">
        <f>IFERROR(VLOOKUP($A615,'AAPT ExDa'!$B$2:$U$99, 3,FALSE), IFERROR(VLOOKUP($A615,'ABB ExDa'!$A$2:$N$184, 5,FALSE), IFERROR(VLOOKUP($A615,'Vocus SIT ExDa'!$B$2:$J$173, 2,FALSE), IFERROR(VLOOKUP($A615,'Telstra ExDa'!$B$2:$K$310, 4,FALSE), IFERROR(VLOOKUP($A615,'Vocus RVC ExDa'!$C$2:$R$155, 8,FALSE), IFERROR(VLOOKUP($A615,'Fusion ExDa'!$B$2:$D$16, 4,FALSE), IFERROR(VLOOKUP($A615,'Exetel ExDa'!$C$2:$N$14, 5,FALSE), IFERROR(VLOOKUP($A615,'Infinet ExDa'!$B$2:$E$14, 3,FALSE), "Not Found"))))))))</f>
        <v>Not Found</v>
      </c>
      <c r="F615" t="str">
        <f>IFERROR(VLOOKUP($A615,'AAPT ExDa'!$B$2:$U$99, 4,FALSE), IFERROR(VLOOKUP($A615,'ABB ExDa'!$A$2:$N$184, 6,FALSE), IFERROR(VLOOKUP($A615,'Vocus SIT ExDa'!$B$2:$J$173, 3,FALSE), IFERROR(VLOOKUP($A615,'Telstra ExDa'!$B$2:$K$310, 5,FALSE), IFERROR(VLOOKUP($A615,'Vocus RVC ExDa'!$C$2:$R$155, 9,FALSE), IFERROR(VLOOKUP($A615,'Fusion ExDa'!$B$2:$D$16, 0,FALSE), IFERROR(VLOOKUP($A615,'Exetel ExDa'!$C$2:$N$14, 6,FALSE), IFERROR(VLOOKUP($A615,'Infinet ExDa'!$B$2:$E$14, 0,FALSE), "Not Found"))))))))</f>
        <v>Not Found</v>
      </c>
      <c r="G615" t="str">
        <f>IFERROR(VLOOKUP($A615,'AAPT ExDa'!$B$2:$U$99, 5,FALSE), IFERROR(VLOOKUP($A615,'ABB ExDa'!$A$2:$N$184, 8,FALSE), IFERROR(VLOOKUP($A615,'Vocus SIT ExDa'!$B$2:$J$173, 6,FALSE), IFERROR(VLOOKUP($A615,'Telstra ExDa'!$B$2:$K$310, 0,FALSE), IFERROR(VLOOKUP($A615,'Vocus RVC ExDa'!$C$2:$R$155, 15,FALSE), IFERROR(VLOOKUP($A615,'Fusion ExDa'!$B$2:$D$16, 0,FALSE), IFERROR(VLOOKUP($A615,'Exetel ExDa'!$C$2:$N$14, 7,FALSE), IFERROR(VLOOKUP($A615,'Infinet ExDa'!$B$2:$E$14, 0,FALSE), "Not Found"))))))))</f>
        <v>Not Found</v>
      </c>
      <c r="H615" t="str">
        <f>IFERROR(VLOOKUP($A615,'AAPT ExDa'!$B$2:$U$99, 6,FALSE), IFERROR(VLOOKUP($A615,'ABB ExDa'!$A$2:$N$184, 0,FALSE), IFERROR(VLOOKUP($A615,'Vocus SIT ExDa'!$B$2:$J$173, 0,FALSE), IFERROR(VLOOKUP($A615,'Telstra ExDa'!$B$2:$K$310, 0,FALSE), IFERROR(VLOOKUP($A615,'Vocus RVC ExDa'!$C$2:$R$155, 16,FALSE), IFERROR(VLOOKUP($A615,'Fusion ExDa'!$B$2:$D$16, 0,FALSE), IFERROR(VLOOKUP($A615,'Exetel ExDa'!$C$2:$N$14, 0,FALSE), IFERROR(VLOOKUP($A615,'Infinet ExDa'!$B$2:$E$14, 0,FALSE), "Not Found"))))))))</f>
        <v>Not Found</v>
      </c>
      <c r="I615" t="str">
        <f>IFERROR(VLOOKUP($A615,'AAPT ExDa'!$B$2:$U$99, 0,FALSE), IFERROR(VLOOKUP($A615,'ABB ExDa'!$A$2:$N$184, 0,FALSE), IFERROR(VLOOKUP($A615,'Vocus SIT ExDa'!$B$2:$J$173, 0,FALSE), IFERROR(VLOOKUP($A615,'Telstra ExDa'!$B$2:$K$310, 0,FALSE), IFERROR(VLOOKUP($A615,'Vocus RVC ExDa'!$C$2:$R$155, 0,FALSE), IFERROR(VLOOKUP($A615,'Fusion ExDa'!$B$2:$D$16, 0,FALSE), IFERROR(VLOOKUP($A615,'Exetel ExDa'!$C$2:$N$14, 8,FALSE), IFERROR(VLOOKUP($A615,'Infinet ExDa'!$B$2:$E$14, 0,FALSE), "Not Found"))))))))</f>
        <v>Not Found</v>
      </c>
      <c r="J615" t="str">
        <f>IFERROR(VLOOKUP($A615,'AAPT ExDa'!$B$2:$U$99, 7,FALSE), IFERROR(VLOOKUP($A615,'ABB ExDa'!$A$2:$N$184, 2,FALSE), IFERROR(VLOOKUP($A615,'Vocus SIT ExDa'!$B$2:$J$173, 0,FALSE), IFERROR(VLOOKUP($A615,'Telstra ExDa'!$B$2:$K$310, 7,FALSE), IFERROR(VLOOKUP($A615,'Vocus RVC ExDa'!$C$2:$R$155, 2,FALSE), IFERROR(VLOOKUP($A615,'Fusion ExDa'!$B$2:$D$16, 3,FALSE), IFERROR(VLOOKUP($A615,'Exetel ExDa'!$C$2:$N$14, 0,FALSE), IFERROR(VLOOKUP($A615,'Infinet ExDa'!$B$2:$E$14, 0,FALSE), "Not Found"))))))))</f>
        <v>Not Found</v>
      </c>
      <c r="K615" t="str">
        <f>IFERROR(VLOOKUP($A615,'AAPT ExDa'!$B$2:$U$99, 12,FALSE), IFERROR(VLOOKUP($A615,'ABB ExDa'!$A$2:$N$184, 0,FALSE), IFERROR(VLOOKUP($A615,'Vocus SIT ExDa'!$B$2:$J$173, 0,FALSE), IFERROR(VLOOKUP($A615,'Telstra ExDa'!$B$2:$K$310, 0,FALSE), IFERROR(VLOOKUP($A615,'Vocus RVC ExDa'!$C$2:$R$155, 0,FALSE), IFERROR(VLOOKUP($A615,'Fusion ExDa'!$B$2:$D$16, 0,FALSE), IFERROR(VLOOKUP($A615,'Exetel ExDa'!$C$2:$N$14, 12,FALSE), IFERROR(VLOOKUP($A615,'Infinet ExDa'!$B$2:$E$14, 0,FALSE), "Not Found"))))))))</f>
        <v>Not Found</v>
      </c>
      <c r="L615" s="235" t="str">
        <f>IFERROR(VLOOKUP($A615,'AAPT ExDa'!$B$2:$U$99, 11,FALSE), IFERROR(VLOOKUP($A615,'ABB ExDa'!$A$2:$N$184, 9,FALSE), IFERROR(VLOOKUP($A615,'Vocus SIT ExDa'!$B$2:$J$173, 8,FALSE), IFERROR(VLOOKUP($A615,'Telstra ExDa'!$B$2:$K$310, 0,FALSE), IFERROR(VLOOKUP($A615,'Vocus RVC ExDa'!$C$2:$R$155, 0,FALSE), IFERROR(VLOOKUP($A615,'Fusion ExDa'!$B$2:$D$16, 0,FALSE), IFERROR(VLOOKUP($A615,'Exetel ExDa'!$C$2:$N$14, 9,FALSE), IFERROR(VLOOKUP($A615,'Infinet ExDa'!$B$2:$E$14, 0,FALSE), "Not Found"))))))))</f>
        <v>Not Found</v>
      </c>
      <c r="M615" s="234" t="str">
        <f>IFERROR(VLOOKUP($A615,'AAPT ExDa'!$B$2:$U$99, 0,FALSE), IFERROR(VLOOKUP($A615,'ABB ExDa'!$A$2:$N$184, 0,FALSE), IFERROR(VLOOKUP($A615,'Vocus SIT ExDa'!$B$2:$J$173, 0,FALSE), IFERROR(VLOOKUP($A615,'Telstra ExDa'!$B$2:$K$310, 0,FALSE), IFERROR(VLOOKUP($A615,'Vocus RVC ExDa'!$C$2:$R$155, 0,FALSE), IFERROR(VLOOKUP($A615,'Fusion ExDa'!$B$2:$D$16, 0,FALSE), IFERROR(VLOOKUP($A615,'Exetel ExDa'!$C$2:$N$14, 11,FALSE), IFERROR(VLOOKUP($A615,'Infinet ExDa'!$B$2:$E$14, 0,FALSE), "Not Found"))))))))</f>
        <v>Not Found</v>
      </c>
      <c r="N615" t="str">
        <f>IFERROR(VLOOKUP($A615,'AAPT ExDa'!$B$2:$U$99, 0,FALSE), IFERROR(VLOOKUP($A615,'ABB ExDa'!$A$2:$N$184, 13,FALSE), IFERROR(VLOOKUP($A615,'Vocus SIT ExDa'!$B$2:$J$173, 0,FALSE), IFERROR(VLOOKUP($A615,'Telstra ExDa'!$B$2:$K$310, 0,FALSE), IFERROR(VLOOKUP($A615,'Vocus RVC ExDa'!$C$2:$R$155, 0,FALSE), IFERROR(VLOOKUP($A615,'Fusion ExDa'!$B$2:$D$16, 0,FALSE), IFERROR(VLOOKUP($A615,'Exetel ExDa'!$C$2:$N$14, 0,FALSE), IFERROR(VLOOKUP($A615,'Infinet ExDa'!$B$2:$E$14, 0,FALSE), "Not Found"))))))))</f>
        <v>Not Found</v>
      </c>
    </row>
    <row r="616" spans="1:14">
      <c r="A616">
        <v>0</v>
      </c>
      <c r="B616" t="str">
        <f>IFERROR(VLOOKUP(A616,'Exetel ExDa'!$C$2:$N$14,4,FALSE),"No Data")</f>
        <v>No Data</v>
      </c>
      <c r="C616" t="str">
        <f>IFERROR(VLOOKUP(A616,'AAPT ExDa'!$B$2:$U$99, 2,FALSE), IFERROR(VLOOKUP(A616,'ABB ExDa'!$A$2:$N$184, 2,FALSE), IFERROR(VLOOKUP(A616,'Vocus SIT ExDa'!$B$2:$J$173, 7,FALSE), IFERROR(VLOOKUP(A616,'Telstra ExDa'!$B$2:$K$310, 2,FALSE), IFERROR(VLOOKUP(A616,'Vocus RVC ExDa'!$C$2:$R$155, 3,FALSE), IFERROR(VLOOKUP(A616,'Fusion ExDa'!$B$2:$D$16, 2,FALSE), IFERROR(VLOOKUP(A616,'Exetel ExDa'!$C$2:$N$14, 2,FALSE), IFERROR(VLOOKUP(A616,'Infinet ExDa'!$B$2:$E$14, 2,FALSE), "Not Found"))))))))</f>
        <v>Not Found</v>
      </c>
      <c r="D616" t="str">
        <f>IFERROR(VLOOKUP($A616,'AAPT ExDa'!$B$2:$U$99, 15,FALSE), IFERROR(VLOOKUP($A616,'ABB ExDa'!$A$2:$N$184, 4,FALSE), IFERROR(VLOOKUP($A616,'Vocus SIT ExDa'!$B$2:$J$173, 5,FALSE), IFERROR(VLOOKUP($A616,'Telstra ExDa'!$B$2:$K$310, 8,FALSE), IFERROR(VLOOKUP($A616,'Vocus RVC ExDa'!$C$2:$R$155, 6,FALSE), IFERROR(VLOOKUP($A616,'Fusion ExDa'!$B$2:$D$16, 4,FALSE), IFERROR(VLOOKUP($A616,'Exetel ExDa'!$C$2:$N$14, 3,FALSE), IFERROR(VLOOKUP($A616,'Infinet ExDa'!$B$2:$E$14, 3,FALSE), "Not Found"))))))))</f>
        <v>Not Found</v>
      </c>
      <c r="E616" t="str">
        <f>IFERROR(VLOOKUP($A616,'AAPT ExDa'!$B$2:$U$99, 3,FALSE), IFERROR(VLOOKUP($A616,'ABB ExDa'!$A$2:$N$184, 5,FALSE), IFERROR(VLOOKUP($A616,'Vocus SIT ExDa'!$B$2:$J$173, 2,FALSE), IFERROR(VLOOKUP($A616,'Telstra ExDa'!$B$2:$K$310, 4,FALSE), IFERROR(VLOOKUP($A616,'Vocus RVC ExDa'!$C$2:$R$155, 8,FALSE), IFERROR(VLOOKUP($A616,'Fusion ExDa'!$B$2:$D$16, 4,FALSE), IFERROR(VLOOKUP($A616,'Exetel ExDa'!$C$2:$N$14, 5,FALSE), IFERROR(VLOOKUP($A616,'Infinet ExDa'!$B$2:$E$14, 3,FALSE), "Not Found"))))))))</f>
        <v>Not Found</v>
      </c>
      <c r="F616" t="str">
        <f>IFERROR(VLOOKUP($A616,'AAPT ExDa'!$B$2:$U$99, 4,FALSE), IFERROR(VLOOKUP($A616,'ABB ExDa'!$A$2:$N$184, 6,FALSE), IFERROR(VLOOKUP($A616,'Vocus SIT ExDa'!$B$2:$J$173, 3,FALSE), IFERROR(VLOOKUP($A616,'Telstra ExDa'!$B$2:$K$310, 5,FALSE), IFERROR(VLOOKUP($A616,'Vocus RVC ExDa'!$C$2:$R$155, 9,FALSE), IFERROR(VLOOKUP($A616,'Fusion ExDa'!$B$2:$D$16, 0,FALSE), IFERROR(VLOOKUP($A616,'Exetel ExDa'!$C$2:$N$14, 6,FALSE), IFERROR(VLOOKUP($A616,'Infinet ExDa'!$B$2:$E$14, 0,FALSE), "Not Found"))))))))</f>
        <v>Not Found</v>
      </c>
      <c r="G616" t="str">
        <f>IFERROR(VLOOKUP($A616,'AAPT ExDa'!$B$2:$U$99, 5,FALSE), IFERROR(VLOOKUP($A616,'ABB ExDa'!$A$2:$N$184, 8,FALSE), IFERROR(VLOOKUP($A616,'Vocus SIT ExDa'!$B$2:$J$173, 6,FALSE), IFERROR(VLOOKUP($A616,'Telstra ExDa'!$B$2:$K$310, 0,FALSE), IFERROR(VLOOKUP($A616,'Vocus RVC ExDa'!$C$2:$R$155, 15,FALSE), IFERROR(VLOOKUP($A616,'Fusion ExDa'!$B$2:$D$16, 0,FALSE), IFERROR(VLOOKUP($A616,'Exetel ExDa'!$C$2:$N$14, 7,FALSE), IFERROR(VLOOKUP($A616,'Infinet ExDa'!$B$2:$E$14, 0,FALSE), "Not Found"))))))))</f>
        <v>Not Found</v>
      </c>
      <c r="H616" t="str">
        <f>IFERROR(VLOOKUP($A616,'AAPT ExDa'!$B$2:$U$99, 6,FALSE), IFERROR(VLOOKUP($A616,'ABB ExDa'!$A$2:$N$184, 0,FALSE), IFERROR(VLOOKUP($A616,'Vocus SIT ExDa'!$B$2:$J$173, 0,FALSE), IFERROR(VLOOKUP($A616,'Telstra ExDa'!$B$2:$K$310, 0,FALSE), IFERROR(VLOOKUP($A616,'Vocus RVC ExDa'!$C$2:$R$155, 16,FALSE), IFERROR(VLOOKUP($A616,'Fusion ExDa'!$B$2:$D$16, 0,FALSE), IFERROR(VLOOKUP($A616,'Exetel ExDa'!$C$2:$N$14, 0,FALSE), IFERROR(VLOOKUP($A616,'Infinet ExDa'!$B$2:$E$14, 0,FALSE), "Not Found"))))))))</f>
        <v>Not Found</v>
      </c>
      <c r="I616" t="str">
        <f>IFERROR(VLOOKUP($A616,'AAPT ExDa'!$B$2:$U$99, 0,FALSE), IFERROR(VLOOKUP($A616,'ABB ExDa'!$A$2:$N$184, 0,FALSE), IFERROR(VLOOKUP($A616,'Vocus SIT ExDa'!$B$2:$J$173, 0,FALSE), IFERROR(VLOOKUP($A616,'Telstra ExDa'!$B$2:$K$310, 0,FALSE), IFERROR(VLOOKUP($A616,'Vocus RVC ExDa'!$C$2:$R$155, 0,FALSE), IFERROR(VLOOKUP($A616,'Fusion ExDa'!$B$2:$D$16, 0,FALSE), IFERROR(VLOOKUP($A616,'Exetel ExDa'!$C$2:$N$14, 8,FALSE), IFERROR(VLOOKUP($A616,'Infinet ExDa'!$B$2:$E$14, 0,FALSE), "Not Found"))))))))</f>
        <v>Not Found</v>
      </c>
      <c r="J616" t="str">
        <f>IFERROR(VLOOKUP($A616,'AAPT ExDa'!$B$2:$U$99, 7,FALSE), IFERROR(VLOOKUP($A616,'ABB ExDa'!$A$2:$N$184, 2,FALSE), IFERROR(VLOOKUP($A616,'Vocus SIT ExDa'!$B$2:$J$173, 0,FALSE), IFERROR(VLOOKUP($A616,'Telstra ExDa'!$B$2:$K$310, 7,FALSE), IFERROR(VLOOKUP($A616,'Vocus RVC ExDa'!$C$2:$R$155, 2,FALSE), IFERROR(VLOOKUP($A616,'Fusion ExDa'!$B$2:$D$16, 3,FALSE), IFERROR(VLOOKUP($A616,'Exetel ExDa'!$C$2:$N$14, 0,FALSE), IFERROR(VLOOKUP($A616,'Infinet ExDa'!$B$2:$E$14, 0,FALSE), "Not Found"))))))))</f>
        <v>Not Found</v>
      </c>
      <c r="K616" t="str">
        <f>IFERROR(VLOOKUP($A616,'AAPT ExDa'!$B$2:$U$99, 12,FALSE), IFERROR(VLOOKUP($A616,'ABB ExDa'!$A$2:$N$184, 0,FALSE), IFERROR(VLOOKUP($A616,'Vocus SIT ExDa'!$B$2:$J$173, 0,FALSE), IFERROR(VLOOKUP($A616,'Telstra ExDa'!$B$2:$K$310, 0,FALSE), IFERROR(VLOOKUP($A616,'Vocus RVC ExDa'!$C$2:$R$155, 0,FALSE), IFERROR(VLOOKUP($A616,'Fusion ExDa'!$B$2:$D$16, 0,FALSE), IFERROR(VLOOKUP($A616,'Exetel ExDa'!$C$2:$N$14, 12,FALSE), IFERROR(VLOOKUP($A616,'Infinet ExDa'!$B$2:$E$14, 0,FALSE), "Not Found"))))))))</f>
        <v>Not Found</v>
      </c>
      <c r="L616" s="235" t="str">
        <f>IFERROR(VLOOKUP($A616,'AAPT ExDa'!$B$2:$U$99, 11,FALSE), IFERROR(VLOOKUP($A616,'ABB ExDa'!$A$2:$N$184, 9,FALSE), IFERROR(VLOOKUP($A616,'Vocus SIT ExDa'!$B$2:$J$173, 8,FALSE), IFERROR(VLOOKUP($A616,'Telstra ExDa'!$B$2:$K$310, 0,FALSE), IFERROR(VLOOKUP($A616,'Vocus RVC ExDa'!$C$2:$R$155, 0,FALSE), IFERROR(VLOOKUP($A616,'Fusion ExDa'!$B$2:$D$16, 0,FALSE), IFERROR(VLOOKUP($A616,'Exetel ExDa'!$C$2:$N$14, 9,FALSE), IFERROR(VLOOKUP($A616,'Infinet ExDa'!$B$2:$E$14, 0,FALSE), "Not Found"))))))))</f>
        <v>Not Found</v>
      </c>
      <c r="M616" s="234" t="str">
        <f>IFERROR(VLOOKUP($A616,'AAPT ExDa'!$B$2:$U$99, 0,FALSE), IFERROR(VLOOKUP($A616,'ABB ExDa'!$A$2:$N$184, 0,FALSE), IFERROR(VLOOKUP($A616,'Vocus SIT ExDa'!$B$2:$J$173, 0,FALSE), IFERROR(VLOOKUP($A616,'Telstra ExDa'!$B$2:$K$310, 0,FALSE), IFERROR(VLOOKUP($A616,'Vocus RVC ExDa'!$C$2:$R$155, 0,FALSE), IFERROR(VLOOKUP($A616,'Fusion ExDa'!$B$2:$D$16, 0,FALSE), IFERROR(VLOOKUP($A616,'Exetel ExDa'!$C$2:$N$14, 11,FALSE), IFERROR(VLOOKUP($A616,'Infinet ExDa'!$B$2:$E$14, 0,FALSE), "Not Found"))))))))</f>
        <v>Not Found</v>
      </c>
      <c r="N616" t="str">
        <f>IFERROR(VLOOKUP($A616,'AAPT ExDa'!$B$2:$U$99, 0,FALSE), IFERROR(VLOOKUP($A616,'ABB ExDa'!$A$2:$N$184, 13,FALSE), IFERROR(VLOOKUP($A616,'Vocus SIT ExDa'!$B$2:$J$173, 0,FALSE), IFERROR(VLOOKUP($A616,'Telstra ExDa'!$B$2:$K$310, 0,FALSE), IFERROR(VLOOKUP($A616,'Vocus RVC ExDa'!$C$2:$R$155, 0,FALSE), IFERROR(VLOOKUP($A616,'Fusion ExDa'!$B$2:$D$16, 0,FALSE), IFERROR(VLOOKUP($A616,'Exetel ExDa'!$C$2:$N$14, 0,FALSE), IFERROR(VLOOKUP($A616,'Infinet ExDa'!$B$2:$E$14, 0,FALSE), "Not Found"))))))))</f>
        <v>Not Found</v>
      </c>
    </row>
    <row r="617" spans="1:14">
      <c r="A617">
        <v>0</v>
      </c>
      <c r="B617" t="str">
        <f>IFERROR(VLOOKUP(A617,'Exetel ExDa'!$C$2:$N$14,4,FALSE),"No Data")</f>
        <v>No Data</v>
      </c>
      <c r="C617" t="str">
        <f>IFERROR(VLOOKUP(A617,'AAPT ExDa'!$B$2:$U$99, 2,FALSE), IFERROR(VLOOKUP(A617,'ABB ExDa'!$A$2:$N$184, 2,FALSE), IFERROR(VLOOKUP(A617,'Vocus SIT ExDa'!$B$2:$J$173, 7,FALSE), IFERROR(VLOOKUP(A617,'Telstra ExDa'!$B$2:$K$310, 2,FALSE), IFERROR(VLOOKUP(A617,'Vocus RVC ExDa'!$C$2:$R$155, 3,FALSE), IFERROR(VLOOKUP(A617,'Fusion ExDa'!$B$2:$D$16, 2,FALSE), IFERROR(VLOOKUP(A617,'Exetel ExDa'!$C$2:$N$14, 2,FALSE), IFERROR(VLOOKUP(A617,'Infinet ExDa'!$B$2:$E$14, 2,FALSE), "Not Found"))))))))</f>
        <v>Not Found</v>
      </c>
      <c r="D617" t="str">
        <f>IFERROR(VLOOKUP($A617,'AAPT ExDa'!$B$2:$U$99, 15,FALSE), IFERROR(VLOOKUP($A617,'ABB ExDa'!$A$2:$N$184, 4,FALSE), IFERROR(VLOOKUP($A617,'Vocus SIT ExDa'!$B$2:$J$173, 5,FALSE), IFERROR(VLOOKUP($A617,'Telstra ExDa'!$B$2:$K$310, 8,FALSE), IFERROR(VLOOKUP($A617,'Vocus RVC ExDa'!$C$2:$R$155, 6,FALSE), IFERROR(VLOOKUP($A617,'Fusion ExDa'!$B$2:$D$16, 4,FALSE), IFERROR(VLOOKUP($A617,'Exetel ExDa'!$C$2:$N$14, 3,FALSE), IFERROR(VLOOKUP($A617,'Infinet ExDa'!$B$2:$E$14, 3,FALSE), "Not Found"))))))))</f>
        <v>Not Found</v>
      </c>
      <c r="E617" t="str">
        <f>IFERROR(VLOOKUP($A617,'AAPT ExDa'!$B$2:$U$99, 3,FALSE), IFERROR(VLOOKUP($A617,'ABB ExDa'!$A$2:$N$184, 5,FALSE), IFERROR(VLOOKUP($A617,'Vocus SIT ExDa'!$B$2:$J$173, 2,FALSE), IFERROR(VLOOKUP($A617,'Telstra ExDa'!$B$2:$K$310, 4,FALSE), IFERROR(VLOOKUP($A617,'Vocus RVC ExDa'!$C$2:$R$155, 8,FALSE), IFERROR(VLOOKUP($A617,'Fusion ExDa'!$B$2:$D$16, 4,FALSE), IFERROR(VLOOKUP($A617,'Exetel ExDa'!$C$2:$N$14, 5,FALSE), IFERROR(VLOOKUP($A617,'Infinet ExDa'!$B$2:$E$14, 3,FALSE), "Not Found"))))))))</f>
        <v>Not Found</v>
      </c>
      <c r="F617" t="str">
        <f>IFERROR(VLOOKUP($A617,'AAPT ExDa'!$B$2:$U$99, 4,FALSE), IFERROR(VLOOKUP($A617,'ABB ExDa'!$A$2:$N$184, 6,FALSE), IFERROR(VLOOKUP($A617,'Vocus SIT ExDa'!$B$2:$J$173, 3,FALSE), IFERROR(VLOOKUP($A617,'Telstra ExDa'!$B$2:$K$310, 5,FALSE), IFERROR(VLOOKUP($A617,'Vocus RVC ExDa'!$C$2:$R$155, 9,FALSE), IFERROR(VLOOKUP($A617,'Fusion ExDa'!$B$2:$D$16, 0,FALSE), IFERROR(VLOOKUP($A617,'Exetel ExDa'!$C$2:$N$14, 6,FALSE), IFERROR(VLOOKUP($A617,'Infinet ExDa'!$B$2:$E$14, 0,FALSE), "Not Found"))))))))</f>
        <v>Not Found</v>
      </c>
      <c r="G617" t="str">
        <f>IFERROR(VLOOKUP($A617,'AAPT ExDa'!$B$2:$U$99, 5,FALSE), IFERROR(VLOOKUP($A617,'ABB ExDa'!$A$2:$N$184, 8,FALSE), IFERROR(VLOOKUP($A617,'Vocus SIT ExDa'!$B$2:$J$173, 6,FALSE), IFERROR(VLOOKUP($A617,'Telstra ExDa'!$B$2:$K$310, 0,FALSE), IFERROR(VLOOKUP($A617,'Vocus RVC ExDa'!$C$2:$R$155, 15,FALSE), IFERROR(VLOOKUP($A617,'Fusion ExDa'!$B$2:$D$16, 0,FALSE), IFERROR(VLOOKUP($A617,'Exetel ExDa'!$C$2:$N$14, 7,FALSE), IFERROR(VLOOKUP($A617,'Infinet ExDa'!$B$2:$E$14, 0,FALSE), "Not Found"))))))))</f>
        <v>Not Found</v>
      </c>
      <c r="H617" t="str">
        <f>IFERROR(VLOOKUP($A617,'AAPT ExDa'!$B$2:$U$99, 6,FALSE), IFERROR(VLOOKUP($A617,'ABB ExDa'!$A$2:$N$184, 0,FALSE), IFERROR(VLOOKUP($A617,'Vocus SIT ExDa'!$B$2:$J$173, 0,FALSE), IFERROR(VLOOKUP($A617,'Telstra ExDa'!$B$2:$K$310, 0,FALSE), IFERROR(VLOOKUP($A617,'Vocus RVC ExDa'!$C$2:$R$155, 16,FALSE), IFERROR(VLOOKUP($A617,'Fusion ExDa'!$B$2:$D$16, 0,FALSE), IFERROR(VLOOKUP($A617,'Exetel ExDa'!$C$2:$N$14, 0,FALSE), IFERROR(VLOOKUP($A617,'Infinet ExDa'!$B$2:$E$14, 0,FALSE), "Not Found"))))))))</f>
        <v>Not Found</v>
      </c>
      <c r="I617" t="str">
        <f>IFERROR(VLOOKUP($A617,'AAPT ExDa'!$B$2:$U$99, 0,FALSE), IFERROR(VLOOKUP($A617,'ABB ExDa'!$A$2:$N$184, 0,FALSE), IFERROR(VLOOKUP($A617,'Vocus SIT ExDa'!$B$2:$J$173, 0,FALSE), IFERROR(VLOOKUP($A617,'Telstra ExDa'!$B$2:$K$310, 0,FALSE), IFERROR(VLOOKUP($A617,'Vocus RVC ExDa'!$C$2:$R$155, 0,FALSE), IFERROR(VLOOKUP($A617,'Fusion ExDa'!$B$2:$D$16, 0,FALSE), IFERROR(VLOOKUP($A617,'Exetel ExDa'!$C$2:$N$14, 8,FALSE), IFERROR(VLOOKUP($A617,'Infinet ExDa'!$B$2:$E$14, 0,FALSE), "Not Found"))))))))</f>
        <v>Not Found</v>
      </c>
      <c r="J617" t="str">
        <f>IFERROR(VLOOKUP($A617,'AAPT ExDa'!$B$2:$U$99, 7,FALSE), IFERROR(VLOOKUP($A617,'ABB ExDa'!$A$2:$N$184, 2,FALSE), IFERROR(VLOOKUP($A617,'Vocus SIT ExDa'!$B$2:$J$173, 0,FALSE), IFERROR(VLOOKUP($A617,'Telstra ExDa'!$B$2:$K$310, 7,FALSE), IFERROR(VLOOKUP($A617,'Vocus RVC ExDa'!$C$2:$R$155, 2,FALSE), IFERROR(VLOOKUP($A617,'Fusion ExDa'!$B$2:$D$16, 3,FALSE), IFERROR(VLOOKUP($A617,'Exetel ExDa'!$C$2:$N$14, 0,FALSE), IFERROR(VLOOKUP($A617,'Infinet ExDa'!$B$2:$E$14, 0,FALSE), "Not Found"))))))))</f>
        <v>Not Found</v>
      </c>
      <c r="K617" t="str">
        <f>IFERROR(VLOOKUP($A617,'AAPT ExDa'!$B$2:$U$99, 12,FALSE), IFERROR(VLOOKUP($A617,'ABB ExDa'!$A$2:$N$184, 0,FALSE), IFERROR(VLOOKUP($A617,'Vocus SIT ExDa'!$B$2:$J$173, 0,FALSE), IFERROR(VLOOKUP($A617,'Telstra ExDa'!$B$2:$K$310, 0,FALSE), IFERROR(VLOOKUP($A617,'Vocus RVC ExDa'!$C$2:$R$155, 0,FALSE), IFERROR(VLOOKUP($A617,'Fusion ExDa'!$B$2:$D$16, 0,FALSE), IFERROR(VLOOKUP($A617,'Exetel ExDa'!$C$2:$N$14, 12,FALSE), IFERROR(VLOOKUP($A617,'Infinet ExDa'!$B$2:$E$14, 0,FALSE), "Not Found"))))))))</f>
        <v>Not Found</v>
      </c>
      <c r="L617" s="235" t="str">
        <f>IFERROR(VLOOKUP($A617,'AAPT ExDa'!$B$2:$U$99, 11,FALSE), IFERROR(VLOOKUP($A617,'ABB ExDa'!$A$2:$N$184, 9,FALSE), IFERROR(VLOOKUP($A617,'Vocus SIT ExDa'!$B$2:$J$173, 8,FALSE), IFERROR(VLOOKUP($A617,'Telstra ExDa'!$B$2:$K$310, 0,FALSE), IFERROR(VLOOKUP($A617,'Vocus RVC ExDa'!$C$2:$R$155, 0,FALSE), IFERROR(VLOOKUP($A617,'Fusion ExDa'!$B$2:$D$16, 0,FALSE), IFERROR(VLOOKUP($A617,'Exetel ExDa'!$C$2:$N$14, 9,FALSE), IFERROR(VLOOKUP($A617,'Infinet ExDa'!$B$2:$E$14, 0,FALSE), "Not Found"))))))))</f>
        <v>Not Found</v>
      </c>
      <c r="M617" s="234" t="str">
        <f>IFERROR(VLOOKUP($A617,'AAPT ExDa'!$B$2:$U$99, 0,FALSE), IFERROR(VLOOKUP($A617,'ABB ExDa'!$A$2:$N$184, 0,FALSE), IFERROR(VLOOKUP($A617,'Vocus SIT ExDa'!$B$2:$J$173, 0,FALSE), IFERROR(VLOOKUP($A617,'Telstra ExDa'!$B$2:$K$310, 0,FALSE), IFERROR(VLOOKUP($A617,'Vocus RVC ExDa'!$C$2:$R$155, 0,FALSE), IFERROR(VLOOKUP($A617,'Fusion ExDa'!$B$2:$D$16, 0,FALSE), IFERROR(VLOOKUP($A617,'Exetel ExDa'!$C$2:$N$14, 11,FALSE), IFERROR(VLOOKUP($A617,'Infinet ExDa'!$B$2:$E$14, 0,FALSE), "Not Found"))))))))</f>
        <v>Not Found</v>
      </c>
      <c r="N617" t="str">
        <f>IFERROR(VLOOKUP($A617,'AAPT ExDa'!$B$2:$U$99, 0,FALSE), IFERROR(VLOOKUP($A617,'ABB ExDa'!$A$2:$N$184, 13,FALSE), IFERROR(VLOOKUP($A617,'Vocus SIT ExDa'!$B$2:$J$173, 0,FALSE), IFERROR(VLOOKUP($A617,'Telstra ExDa'!$B$2:$K$310, 0,FALSE), IFERROR(VLOOKUP($A617,'Vocus RVC ExDa'!$C$2:$R$155, 0,FALSE), IFERROR(VLOOKUP($A617,'Fusion ExDa'!$B$2:$D$16, 0,FALSE), IFERROR(VLOOKUP($A617,'Exetel ExDa'!$C$2:$N$14, 0,FALSE), IFERROR(VLOOKUP($A617,'Infinet ExDa'!$B$2:$E$14, 0,FALSE), "Not Found"))))))))</f>
        <v>Not Found</v>
      </c>
    </row>
    <row r="618" spans="1:14">
      <c r="A618">
        <v>0</v>
      </c>
      <c r="B618" t="str">
        <f>IFERROR(VLOOKUP(A618,'Exetel ExDa'!$C$2:$N$14,4,FALSE),"No Data")</f>
        <v>No Data</v>
      </c>
      <c r="C618" t="str">
        <f>IFERROR(VLOOKUP(A618,'AAPT ExDa'!$B$2:$U$99, 2,FALSE), IFERROR(VLOOKUP(A618,'ABB ExDa'!$A$2:$N$184, 2,FALSE), IFERROR(VLOOKUP(A618,'Vocus SIT ExDa'!$B$2:$J$173, 7,FALSE), IFERROR(VLOOKUP(A618,'Telstra ExDa'!$B$2:$K$310, 2,FALSE), IFERROR(VLOOKUP(A618,'Vocus RVC ExDa'!$C$2:$R$155, 3,FALSE), IFERROR(VLOOKUP(A618,'Fusion ExDa'!$B$2:$D$16, 2,FALSE), IFERROR(VLOOKUP(A618,'Exetel ExDa'!$C$2:$N$14, 2,FALSE), IFERROR(VLOOKUP(A618,'Infinet ExDa'!$B$2:$E$14, 2,FALSE), "Not Found"))))))))</f>
        <v>Not Found</v>
      </c>
      <c r="D618" t="str">
        <f>IFERROR(VLOOKUP($A618,'AAPT ExDa'!$B$2:$U$99, 15,FALSE), IFERROR(VLOOKUP($A618,'ABB ExDa'!$A$2:$N$184, 4,FALSE), IFERROR(VLOOKUP($A618,'Vocus SIT ExDa'!$B$2:$J$173, 5,FALSE), IFERROR(VLOOKUP($A618,'Telstra ExDa'!$B$2:$K$310, 8,FALSE), IFERROR(VLOOKUP($A618,'Vocus RVC ExDa'!$C$2:$R$155, 6,FALSE), IFERROR(VLOOKUP($A618,'Fusion ExDa'!$B$2:$D$16, 4,FALSE), IFERROR(VLOOKUP($A618,'Exetel ExDa'!$C$2:$N$14, 3,FALSE), IFERROR(VLOOKUP($A618,'Infinet ExDa'!$B$2:$E$14, 3,FALSE), "Not Found"))))))))</f>
        <v>Not Found</v>
      </c>
      <c r="E618" t="str">
        <f>IFERROR(VLOOKUP($A618,'AAPT ExDa'!$B$2:$U$99, 3,FALSE), IFERROR(VLOOKUP($A618,'ABB ExDa'!$A$2:$N$184, 5,FALSE), IFERROR(VLOOKUP($A618,'Vocus SIT ExDa'!$B$2:$J$173, 2,FALSE), IFERROR(VLOOKUP($A618,'Telstra ExDa'!$B$2:$K$310, 4,FALSE), IFERROR(VLOOKUP($A618,'Vocus RVC ExDa'!$C$2:$R$155, 8,FALSE), IFERROR(VLOOKUP($A618,'Fusion ExDa'!$B$2:$D$16, 4,FALSE), IFERROR(VLOOKUP($A618,'Exetel ExDa'!$C$2:$N$14, 5,FALSE), IFERROR(VLOOKUP($A618,'Infinet ExDa'!$B$2:$E$14, 3,FALSE), "Not Found"))))))))</f>
        <v>Not Found</v>
      </c>
      <c r="F618" t="str">
        <f>IFERROR(VLOOKUP($A618,'AAPT ExDa'!$B$2:$U$99, 4,FALSE), IFERROR(VLOOKUP($A618,'ABB ExDa'!$A$2:$N$184, 6,FALSE), IFERROR(VLOOKUP($A618,'Vocus SIT ExDa'!$B$2:$J$173, 3,FALSE), IFERROR(VLOOKUP($A618,'Telstra ExDa'!$B$2:$K$310, 5,FALSE), IFERROR(VLOOKUP($A618,'Vocus RVC ExDa'!$C$2:$R$155, 9,FALSE), IFERROR(VLOOKUP($A618,'Fusion ExDa'!$B$2:$D$16, 0,FALSE), IFERROR(VLOOKUP($A618,'Exetel ExDa'!$C$2:$N$14, 6,FALSE), IFERROR(VLOOKUP($A618,'Infinet ExDa'!$B$2:$E$14, 0,FALSE), "Not Found"))))))))</f>
        <v>Not Found</v>
      </c>
      <c r="G618" t="str">
        <f>IFERROR(VLOOKUP($A618,'AAPT ExDa'!$B$2:$U$99, 5,FALSE), IFERROR(VLOOKUP($A618,'ABB ExDa'!$A$2:$N$184, 8,FALSE), IFERROR(VLOOKUP($A618,'Vocus SIT ExDa'!$B$2:$J$173, 6,FALSE), IFERROR(VLOOKUP($A618,'Telstra ExDa'!$B$2:$K$310, 0,FALSE), IFERROR(VLOOKUP($A618,'Vocus RVC ExDa'!$C$2:$R$155, 15,FALSE), IFERROR(VLOOKUP($A618,'Fusion ExDa'!$B$2:$D$16, 0,FALSE), IFERROR(VLOOKUP($A618,'Exetel ExDa'!$C$2:$N$14, 7,FALSE), IFERROR(VLOOKUP($A618,'Infinet ExDa'!$B$2:$E$14, 0,FALSE), "Not Found"))))))))</f>
        <v>Not Found</v>
      </c>
      <c r="H618" t="str">
        <f>IFERROR(VLOOKUP($A618,'AAPT ExDa'!$B$2:$U$99, 6,FALSE), IFERROR(VLOOKUP($A618,'ABB ExDa'!$A$2:$N$184, 0,FALSE), IFERROR(VLOOKUP($A618,'Vocus SIT ExDa'!$B$2:$J$173, 0,FALSE), IFERROR(VLOOKUP($A618,'Telstra ExDa'!$B$2:$K$310, 0,FALSE), IFERROR(VLOOKUP($A618,'Vocus RVC ExDa'!$C$2:$R$155, 16,FALSE), IFERROR(VLOOKUP($A618,'Fusion ExDa'!$B$2:$D$16, 0,FALSE), IFERROR(VLOOKUP($A618,'Exetel ExDa'!$C$2:$N$14, 0,FALSE), IFERROR(VLOOKUP($A618,'Infinet ExDa'!$B$2:$E$14, 0,FALSE), "Not Found"))))))))</f>
        <v>Not Found</v>
      </c>
      <c r="I618" t="str">
        <f>IFERROR(VLOOKUP($A618,'AAPT ExDa'!$B$2:$U$99, 0,FALSE), IFERROR(VLOOKUP($A618,'ABB ExDa'!$A$2:$N$184, 0,FALSE), IFERROR(VLOOKUP($A618,'Vocus SIT ExDa'!$B$2:$J$173, 0,FALSE), IFERROR(VLOOKUP($A618,'Telstra ExDa'!$B$2:$K$310, 0,FALSE), IFERROR(VLOOKUP($A618,'Vocus RVC ExDa'!$C$2:$R$155, 0,FALSE), IFERROR(VLOOKUP($A618,'Fusion ExDa'!$B$2:$D$16, 0,FALSE), IFERROR(VLOOKUP($A618,'Exetel ExDa'!$C$2:$N$14, 8,FALSE), IFERROR(VLOOKUP($A618,'Infinet ExDa'!$B$2:$E$14, 0,FALSE), "Not Found"))))))))</f>
        <v>Not Found</v>
      </c>
      <c r="J618" t="str">
        <f>IFERROR(VLOOKUP($A618,'AAPT ExDa'!$B$2:$U$99, 7,FALSE), IFERROR(VLOOKUP($A618,'ABB ExDa'!$A$2:$N$184, 2,FALSE), IFERROR(VLOOKUP($A618,'Vocus SIT ExDa'!$B$2:$J$173, 0,FALSE), IFERROR(VLOOKUP($A618,'Telstra ExDa'!$B$2:$K$310, 7,FALSE), IFERROR(VLOOKUP($A618,'Vocus RVC ExDa'!$C$2:$R$155, 2,FALSE), IFERROR(VLOOKUP($A618,'Fusion ExDa'!$B$2:$D$16, 3,FALSE), IFERROR(VLOOKUP($A618,'Exetel ExDa'!$C$2:$N$14, 0,FALSE), IFERROR(VLOOKUP($A618,'Infinet ExDa'!$B$2:$E$14, 0,FALSE), "Not Found"))))))))</f>
        <v>Not Found</v>
      </c>
      <c r="K618" t="str">
        <f>IFERROR(VLOOKUP($A618,'AAPT ExDa'!$B$2:$U$99, 12,FALSE), IFERROR(VLOOKUP($A618,'ABB ExDa'!$A$2:$N$184, 0,FALSE), IFERROR(VLOOKUP($A618,'Vocus SIT ExDa'!$B$2:$J$173, 0,FALSE), IFERROR(VLOOKUP($A618,'Telstra ExDa'!$B$2:$K$310, 0,FALSE), IFERROR(VLOOKUP($A618,'Vocus RVC ExDa'!$C$2:$R$155, 0,FALSE), IFERROR(VLOOKUP($A618,'Fusion ExDa'!$B$2:$D$16, 0,FALSE), IFERROR(VLOOKUP($A618,'Exetel ExDa'!$C$2:$N$14, 12,FALSE), IFERROR(VLOOKUP($A618,'Infinet ExDa'!$B$2:$E$14, 0,FALSE), "Not Found"))))))))</f>
        <v>Not Found</v>
      </c>
      <c r="L618" s="235" t="str">
        <f>IFERROR(VLOOKUP($A618,'AAPT ExDa'!$B$2:$U$99, 11,FALSE), IFERROR(VLOOKUP($A618,'ABB ExDa'!$A$2:$N$184, 9,FALSE), IFERROR(VLOOKUP($A618,'Vocus SIT ExDa'!$B$2:$J$173, 8,FALSE), IFERROR(VLOOKUP($A618,'Telstra ExDa'!$B$2:$K$310, 0,FALSE), IFERROR(VLOOKUP($A618,'Vocus RVC ExDa'!$C$2:$R$155, 0,FALSE), IFERROR(VLOOKUP($A618,'Fusion ExDa'!$B$2:$D$16, 0,FALSE), IFERROR(VLOOKUP($A618,'Exetel ExDa'!$C$2:$N$14, 9,FALSE), IFERROR(VLOOKUP($A618,'Infinet ExDa'!$B$2:$E$14, 0,FALSE), "Not Found"))))))))</f>
        <v>Not Found</v>
      </c>
      <c r="M618" s="234" t="str">
        <f>IFERROR(VLOOKUP($A618,'AAPT ExDa'!$B$2:$U$99, 0,FALSE), IFERROR(VLOOKUP($A618,'ABB ExDa'!$A$2:$N$184, 0,FALSE), IFERROR(VLOOKUP($A618,'Vocus SIT ExDa'!$B$2:$J$173, 0,FALSE), IFERROR(VLOOKUP($A618,'Telstra ExDa'!$B$2:$K$310, 0,FALSE), IFERROR(VLOOKUP($A618,'Vocus RVC ExDa'!$C$2:$R$155, 0,FALSE), IFERROR(VLOOKUP($A618,'Fusion ExDa'!$B$2:$D$16, 0,FALSE), IFERROR(VLOOKUP($A618,'Exetel ExDa'!$C$2:$N$14, 11,FALSE), IFERROR(VLOOKUP($A618,'Infinet ExDa'!$B$2:$E$14, 0,FALSE), "Not Found"))))))))</f>
        <v>Not Found</v>
      </c>
      <c r="N618" t="str">
        <f>IFERROR(VLOOKUP($A618,'AAPT ExDa'!$B$2:$U$99, 0,FALSE), IFERROR(VLOOKUP($A618,'ABB ExDa'!$A$2:$N$184, 13,FALSE), IFERROR(VLOOKUP($A618,'Vocus SIT ExDa'!$B$2:$J$173, 0,FALSE), IFERROR(VLOOKUP($A618,'Telstra ExDa'!$B$2:$K$310, 0,FALSE), IFERROR(VLOOKUP($A618,'Vocus RVC ExDa'!$C$2:$R$155, 0,FALSE), IFERROR(VLOOKUP($A618,'Fusion ExDa'!$B$2:$D$16, 0,FALSE), IFERROR(VLOOKUP($A618,'Exetel ExDa'!$C$2:$N$14, 0,FALSE), IFERROR(VLOOKUP($A618,'Infinet ExDa'!$B$2:$E$14, 0,FALSE), "Not Found"))))))))</f>
        <v>Not Found</v>
      </c>
    </row>
    <row r="619" spans="1:14">
      <c r="A619">
        <v>0</v>
      </c>
      <c r="B619" t="str">
        <f>IFERROR(VLOOKUP(A619,'Exetel ExDa'!$C$2:$N$14,4,FALSE),"No Data")</f>
        <v>No Data</v>
      </c>
      <c r="C619" t="str">
        <f>IFERROR(VLOOKUP(A619,'AAPT ExDa'!$B$2:$U$99, 2,FALSE), IFERROR(VLOOKUP(A619,'ABB ExDa'!$A$2:$N$184, 2,FALSE), IFERROR(VLOOKUP(A619,'Vocus SIT ExDa'!$B$2:$J$173, 7,FALSE), IFERROR(VLOOKUP(A619,'Telstra ExDa'!$B$2:$K$310, 2,FALSE), IFERROR(VLOOKUP(A619,'Vocus RVC ExDa'!$C$2:$R$155, 3,FALSE), IFERROR(VLOOKUP(A619,'Fusion ExDa'!$B$2:$D$16, 2,FALSE), IFERROR(VLOOKUP(A619,'Exetel ExDa'!$C$2:$N$14, 2,FALSE), IFERROR(VLOOKUP(A619,'Infinet ExDa'!$B$2:$E$14, 2,FALSE), "Not Found"))))))))</f>
        <v>Not Found</v>
      </c>
      <c r="D619" t="str">
        <f>IFERROR(VLOOKUP($A619,'AAPT ExDa'!$B$2:$U$99, 15,FALSE), IFERROR(VLOOKUP($A619,'ABB ExDa'!$A$2:$N$184, 4,FALSE), IFERROR(VLOOKUP($A619,'Vocus SIT ExDa'!$B$2:$J$173, 5,FALSE), IFERROR(VLOOKUP($A619,'Telstra ExDa'!$B$2:$K$310, 8,FALSE), IFERROR(VLOOKUP($A619,'Vocus RVC ExDa'!$C$2:$R$155, 6,FALSE), IFERROR(VLOOKUP($A619,'Fusion ExDa'!$B$2:$D$16, 4,FALSE), IFERROR(VLOOKUP($A619,'Exetel ExDa'!$C$2:$N$14, 3,FALSE), IFERROR(VLOOKUP($A619,'Infinet ExDa'!$B$2:$E$14, 3,FALSE), "Not Found"))))))))</f>
        <v>Not Found</v>
      </c>
      <c r="E619" t="str">
        <f>IFERROR(VLOOKUP($A619,'AAPT ExDa'!$B$2:$U$99, 3,FALSE), IFERROR(VLOOKUP($A619,'ABB ExDa'!$A$2:$N$184, 5,FALSE), IFERROR(VLOOKUP($A619,'Vocus SIT ExDa'!$B$2:$J$173, 2,FALSE), IFERROR(VLOOKUP($A619,'Telstra ExDa'!$B$2:$K$310, 4,FALSE), IFERROR(VLOOKUP($A619,'Vocus RVC ExDa'!$C$2:$R$155, 8,FALSE), IFERROR(VLOOKUP($A619,'Fusion ExDa'!$B$2:$D$16, 4,FALSE), IFERROR(VLOOKUP($A619,'Exetel ExDa'!$C$2:$N$14, 5,FALSE), IFERROR(VLOOKUP($A619,'Infinet ExDa'!$B$2:$E$14, 3,FALSE), "Not Found"))))))))</f>
        <v>Not Found</v>
      </c>
      <c r="F619" t="str">
        <f>IFERROR(VLOOKUP($A619,'AAPT ExDa'!$B$2:$U$99, 4,FALSE), IFERROR(VLOOKUP($A619,'ABB ExDa'!$A$2:$N$184, 6,FALSE), IFERROR(VLOOKUP($A619,'Vocus SIT ExDa'!$B$2:$J$173, 3,FALSE), IFERROR(VLOOKUP($A619,'Telstra ExDa'!$B$2:$K$310, 5,FALSE), IFERROR(VLOOKUP($A619,'Vocus RVC ExDa'!$C$2:$R$155, 9,FALSE), IFERROR(VLOOKUP($A619,'Fusion ExDa'!$B$2:$D$16, 0,FALSE), IFERROR(VLOOKUP($A619,'Exetel ExDa'!$C$2:$N$14, 6,FALSE), IFERROR(VLOOKUP($A619,'Infinet ExDa'!$B$2:$E$14, 0,FALSE), "Not Found"))))))))</f>
        <v>Not Found</v>
      </c>
      <c r="G619" t="str">
        <f>IFERROR(VLOOKUP($A619,'AAPT ExDa'!$B$2:$U$99, 5,FALSE), IFERROR(VLOOKUP($A619,'ABB ExDa'!$A$2:$N$184, 8,FALSE), IFERROR(VLOOKUP($A619,'Vocus SIT ExDa'!$B$2:$J$173, 6,FALSE), IFERROR(VLOOKUP($A619,'Telstra ExDa'!$B$2:$K$310, 0,FALSE), IFERROR(VLOOKUP($A619,'Vocus RVC ExDa'!$C$2:$R$155, 15,FALSE), IFERROR(VLOOKUP($A619,'Fusion ExDa'!$B$2:$D$16, 0,FALSE), IFERROR(VLOOKUP($A619,'Exetel ExDa'!$C$2:$N$14, 7,FALSE), IFERROR(VLOOKUP($A619,'Infinet ExDa'!$B$2:$E$14, 0,FALSE), "Not Found"))))))))</f>
        <v>Not Found</v>
      </c>
      <c r="H619" t="str">
        <f>IFERROR(VLOOKUP($A619,'AAPT ExDa'!$B$2:$U$99, 6,FALSE), IFERROR(VLOOKUP($A619,'ABB ExDa'!$A$2:$N$184, 0,FALSE), IFERROR(VLOOKUP($A619,'Vocus SIT ExDa'!$B$2:$J$173, 0,FALSE), IFERROR(VLOOKUP($A619,'Telstra ExDa'!$B$2:$K$310, 0,FALSE), IFERROR(VLOOKUP($A619,'Vocus RVC ExDa'!$C$2:$R$155, 16,FALSE), IFERROR(VLOOKUP($A619,'Fusion ExDa'!$B$2:$D$16, 0,FALSE), IFERROR(VLOOKUP($A619,'Exetel ExDa'!$C$2:$N$14, 0,FALSE), IFERROR(VLOOKUP($A619,'Infinet ExDa'!$B$2:$E$14, 0,FALSE), "Not Found"))))))))</f>
        <v>Not Found</v>
      </c>
      <c r="I619" t="str">
        <f>IFERROR(VLOOKUP($A619,'AAPT ExDa'!$B$2:$U$99, 0,FALSE), IFERROR(VLOOKUP($A619,'ABB ExDa'!$A$2:$N$184, 0,FALSE), IFERROR(VLOOKUP($A619,'Vocus SIT ExDa'!$B$2:$J$173, 0,FALSE), IFERROR(VLOOKUP($A619,'Telstra ExDa'!$B$2:$K$310, 0,FALSE), IFERROR(VLOOKUP($A619,'Vocus RVC ExDa'!$C$2:$R$155, 0,FALSE), IFERROR(VLOOKUP($A619,'Fusion ExDa'!$B$2:$D$16, 0,FALSE), IFERROR(VLOOKUP($A619,'Exetel ExDa'!$C$2:$N$14, 8,FALSE), IFERROR(VLOOKUP($A619,'Infinet ExDa'!$B$2:$E$14, 0,FALSE), "Not Found"))))))))</f>
        <v>Not Found</v>
      </c>
      <c r="J619" t="str">
        <f>IFERROR(VLOOKUP($A619,'AAPT ExDa'!$B$2:$U$99, 7,FALSE), IFERROR(VLOOKUP($A619,'ABB ExDa'!$A$2:$N$184, 2,FALSE), IFERROR(VLOOKUP($A619,'Vocus SIT ExDa'!$B$2:$J$173, 0,FALSE), IFERROR(VLOOKUP($A619,'Telstra ExDa'!$B$2:$K$310, 7,FALSE), IFERROR(VLOOKUP($A619,'Vocus RVC ExDa'!$C$2:$R$155, 2,FALSE), IFERROR(VLOOKUP($A619,'Fusion ExDa'!$B$2:$D$16, 3,FALSE), IFERROR(VLOOKUP($A619,'Exetel ExDa'!$C$2:$N$14, 0,FALSE), IFERROR(VLOOKUP($A619,'Infinet ExDa'!$B$2:$E$14, 0,FALSE), "Not Found"))))))))</f>
        <v>Not Found</v>
      </c>
      <c r="K619" t="str">
        <f>IFERROR(VLOOKUP($A619,'AAPT ExDa'!$B$2:$U$99, 12,FALSE), IFERROR(VLOOKUP($A619,'ABB ExDa'!$A$2:$N$184, 0,FALSE), IFERROR(VLOOKUP($A619,'Vocus SIT ExDa'!$B$2:$J$173, 0,FALSE), IFERROR(VLOOKUP($A619,'Telstra ExDa'!$B$2:$K$310, 0,FALSE), IFERROR(VLOOKUP($A619,'Vocus RVC ExDa'!$C$2:$R$155, 0,FALSE), IFERROR(VLOOKUP($A619,'Fusion ExDa'!$B$2:$D$16, 0,FALSE), IFERROR(VLOOKUP($A619,'Exetel ExDa'!$C$2:$N$14, 12,FALSE), IFERROR(VLOOKUP($A619,'Infinet ExDa'!$B$2:$E$14, 0,FALSE), "Not Found"))))))))</f>
        <v>Not Found</v>
      </c>
      <c r="L619" s="235" t="str">
        <f>IFERROR(VLOOKUP($A619,'AAPT ExDa'!$B$2:$U$99, 11,FALSE), IFERROR(VLOOKUP($A619,'ABB ExDa'!$A$2:$N$184, 9,FALSE), IFERROR(VLOOKUP($A619,'Vocus SIT ExDa'!$B$2:$J$173, 8,FALSE), IFERROR(VLOOKUP($A619,'Telstra ExDa'!$B$2:$K$310, 0,FALSE), IFERROR(VLOOKUP($A619,'Vocus RVC ExDa'!$C$2:$R$155, 0,FALSE), IFERROR(VLOOKUP($A619,'Fusion ExDa'!$B$2:$D$16, 0,FALSE), IFERROR(VLOOKUP($A619,'Exetel ExDa'!$C$2:$N$14, 9,FALSE), IFERROR(VLOOKUP($A619,'Infinet ExDa'!$B$2:$E$14, 0,FALSE), "Not Found"))))))))</f>
        <v>Not Found</v>
      </c>
      <c r="M619" s="234" t="str">
        <f>IFERROR(VLOOKUP($A619,'AAPT ExDa'!$B$2:$U$99, 0,FALSE), IFERROR(VLOOKUP($A619,'ABB ExDa'!$A$2:$N$184, 0,FALSE), IFERROR(VLOOKUP($A619,'Vocus SIT ExDa'!$B$2:$J$173, 0,FALSE), IFERROR(VLOOKUP($A619,'Telstra ExDa'!$B$2:$K$310, 0,FALSE), IFERROR(VLOOKUP($A619,'Vocus RVC ExDa'!$C$2:$R$155, 0,FALSE), IFERROR(VLOOKUP($A619,'Fusion ExDa'!$B$2:$D$16, 0,FALSE), IFERROR(VLOOKUP($A619,'Exetel ExDa'!$C$2:$N$14, 11,FALSE), IFERROR(VLOOKUP($A619,'Infinet ExDa'!$B$2:$E$14, 0,FALSE), "Not Found"))))))))</f>
        <v>Not Found</v>
      </c>
      <c r="N619" t="str">
        <f>IFERROR(VLOOKUP($A619,'AAPT ExDa'!$B$2:$U$99, 0,FALSE), IFERROR(VLOOKUP($A619,'ABB ExDa'!$A$2:$N$184, 13,FALSE), IFERROR(VLOOKUP($A619,'Vocus SIT ExDa'!$B$2:$J$173, 0,FALSE), IFERROR(VLOOKUP($A619,'Telstra ExDa'!$B$2:$K$310, 0,FALSE), IFERROR(VLOOKUP($A619,'Vocus RVC ExDa'!$C$2:$R$155, 0,FALSE), IFERROR(VLOOKUP($A619,'Fusion ExDa'!$B$2:$D$16, 0,FALSE), IFERROR(VLOOKUP($A619,'Exetel ExDa'!$C$2:$N$14, 0,FALSE), IFERROR(VLOOKUP($A619,'Infinet ExDa'!$B$2:$E$14, 0,FALSE), "Not Found"))))))))</f>
        <v>Not Found</v>
      </c>
    </row>
    <row r="620" spans="1:14">
      <c r="A620">
        <v>0</v>
      </c>
      <c r="B620" t="str">
        <f>IFERROR(VLOOKUP(A620,'Exetel ExDa'!$C$2:$N$14,4,FALSE),"No Data")</f>
        <v>No Data</v>
      </c>
      <c r="C620" t="str">
        <f>IFERROR(VLOOKUP(A620,'AAPT ExDa'!$B$2:$U$99, 2,FALSE), IFERROR(VLOOKUP(A620,'ABB ExDa'!$A$2:$N$184, 2,FALSE), IFERROR(VLOOKUP(A620,'Vocus SIT ExDa'!$B$2:$J$173, 7,FALSE), IFERROR(VLOOKUP(A620,'Telstra ExDa'!$B$2:$K$310, 2,FALSE), IFERROR(VLOOKUP(A620,'Vocus RVC ExDa'!$C$2:$R$155, 3,FALSE), IFERROR(VLOOKUP(A620,'Fusion ExDa'!$B$2:$D$16, 2,FALSE), IFERROR(VLOOKUP(A620,'Exetel ExDa'!$C$2:$N$14, 2,FALSE), IFERROR(VLOOKUP(A620,'Infinet ExDa'!$B$2:$E$14, 2,FALSE), "Not Found"))))))))</f>
        <v>Not Found</v>
      </c>
      <c r="D620" t="str">
        <f>IFERROR(VLOOKUP($A620,'AAPT ExDa'!$B$2:$U$99, 15,FALSE), IFERROR(VLOOKUP($A620,'ABB ExDa'!$A$2:$N$184, 4,FALSE), IFERROR(VLOOKUP($A620,'Vocus SIT ExDa'!$B$2:$J$173, 5,FALSE), IFERROR(VLOOKUP($A620,'Telstra ExDa'!$B$2:$K$310, 8,FALSE), IFERROR(VLOOKUP($A620,'Vocus RVC ExDa'!$C$2:$R$155, 6,FALSE), IFERROR(VLOOKUP($A620,'Fusion ExDa'!$B$2:$D$16, 4,FALSE), IFERROR(VLOOKUP($A620,'Exetel ExDa'!$C$2:$N$14, 3,FALSE), IFERROR(VLOOKUP($A620,'Infinet ExDa'!$B$2:$E$14, 3,FALSE), "Not Found"))))))))</f>
        <v>Not Found</v>
      </c>
      <c r="E620" t="str">
        <f>IFERROR(VLOOKUP($A620,'AAPT ExDa'!$B$2:$U$99, 3,FALSE), IFERROR(VLOOKUP($A620,'ABB ExDa'!$A$2:$N$184, 5,FALSE), IFERROR(VLOOKUP($A620,'Vocus SIT ExDa'!$B$2:$J$173, 2,FALSE), IFERROR(VLOOKUP($A620,'Telstra ExDa'!$B$2:$K$310, 4,FALSE), IFERROR(VLOOKUP($A620,'Vocus RVC ExDa'!$C$2:$R$155, 8,FALSE), IFERROR(VLOOKUP($A620,'Fusion ExDa'!$B$2:$D$16, 4,FALSE), IFERROR(VLOOKUP($A620,'Exetel ExDa'!$C$2:$N$14, 5,FALSE), IFERROR(VLOOKUP($A620,'Infinet ExDa'!$B$2:$E$14, 3,FALSE), "Not Found"))))))))</f>
        <v>Not Found</v>
      </c>
      <c r="F620" t="str">
        <f>IFERROR(VLOOKUP($A620,'AAPT ExDa'!$B$2:$U$99, 4,FALSE), IFERROR(VLOOKUP($A620,'ABB ExDa'!$A$2:$N$184, 6,FALSE), IFERROR(VLOOKUP($A620,'Vocus SIT ExDa'!$B$2:$J$173, 3,FALSE), IFERROR(VLOOKUP($A620,'Telstra ExDa'!$B$2:$K$310, 5,FALSE), IFERROR(VLOOKUP($A620,'Vocus RVC ExDa'!$C$2:$R$155, 9,FALSE), IFERROR(VLOOKUP($A620,'Fusion ExDa'!$B$2:$D$16, 0,FALSE), IFERROR(VLOOKUP($A620,'Exetel ExDa'!$C$2:$N$14, 6,FALSE), IFERROR(VLOOKUP($A620,'Infinet ExDa'!$B$2:$E$14, 0,FALSE), "Not Found"))))))))</f>
        <v>Not Found</v>
      </c>
      <c r="G620" t="str">
        <f>IFERROR(VLOOKUP($A620,'AAPT ExDa'!$B$2:$U$99, 5,FALSE), IFERROR(VLOOKUP($A620,'ABB ExDa'!$A$2:$N$184, 8,FALSE), IFERROR(VLOOKUP($A620,'Vocus SIT ExDa'!$B$2:$J$173, 6,FALSE), IFERROR(VLOOKUP($A620,'Telstra ExDa'!$B$2:$K$310, 0,FALSE), IFERROR(VLOOKUP($A620,'Vocus RVC ExDa'!$C$2:$R$155, 15,FALSE), IFERROR(VLOOKUP($A620,'Fusion ExDa'!$B$2:$D$16, 0,FALSE), IFERROR(VLOOKUP($A620,'Exetel ExDa'!$C$2:$N$14, 7,FALSE), IFERROR(VLOOKUP($A620,'Infinet ExDa'!$B$2:$E$14, 0,FALSE), "Not Found"))))))))</f>
        <v>Not Found</v>
      </c>
      <c r="H620" t="str">
        <f>IFERROR(VLOOKUP($A620,'AAPT ExDa'!$B$2:$U$99, 6,FALSE), IFERROR(VLOOKUP($A620,'ABB ExDa'!$A$2:$N$184, 0,FALSE), IFERROR(VLOOKUP($A620,'Vocus SIT ExDa'!$B$2:$J$173, 0,FALSE), IFERROR(VLOOKUP($A620,'Telstra ExDa'!$B$2:$K$310, 0,FALSE), IFERROR(VLOOKUP($A620,'Vocus RVC ExDa'!$C$2:$R$155, 16,FALSE), IFERROR(VLOOKUP($A620,'Fusion ExDa'!$B$2:$D$16, 0,FALSE), IFERROR(VLOOKUP($A620,'Exetel ExDa'!$C$2:$N$14, 0,FALSE), IFERROR(VLOOKUP($A620,'Infinet ExDa'!$B$2:$E$14, 0,FALSE), "Not Found"))))))))</f>
        <v>Not Found</v>
      </c>
      <c r="I620" t="str">
        <f>IFERROR(VLOOKUP($A620,'AAPT ExDa'!$B$2:$U$99, 0,FALSE), IFERROR(VLOOKUP($A620,'ABB ExDa'!$A$2:$N$184, 0,FALSE), IFERROR(VLOOKUP($A620,'Vocus SIT ExDa'!$B$2:$J$173, 0,FALSE), IFERROR(VLOOKUP($A620,'Telstra ExDa'!$B$2:$K$310, 0,FALSE), IFERROR(VLOOKUP($A620,'Vocus RVC ExDa'!$C$2:$R$155, 0,FALSE), IFERROR(VLOOKUP($A620,'Fusion ExDa'!$B$2:$D$16, 0,FALSE), IFERROR(VLOOKUP($A620,'Exetel ExDa'!$C$2:$N$14, 8,FALSE), IFERROR(VLOOKUP($A620,'Infinet ExDa'!$B$2:$E$14, 0,FALSE), "Not Found"))))))))</f>
        <v>Not Found</v>
      </c>
      <c r="J620" t="str">
        <f>IFERROR(VLOOKUP($A620,'AAPT ExDa'!$B$2:$U$99, 7,FALSE), IFERROR(VLOOKUP($A620,'ABB ExDa'!$A$2:$N$184, 2,FALSE), IFERROR(VLOOKUP($A620,'Vocus SIT ExDa'!$B$2:$J$173, 0,FALSE), IFERROR(VLOOKUP($A620,'Telstra ExDa'!$B$2:$K$310, 7,FALSE), IFERROR(VLOOKUP($A620,'Vocus RVC ExDa'!$C$2:$R$155, 2,FALSE), IFERROR(VLOOKUP($A620,'Fusion ExDa'!$B$2:$D$16, 3,FALSE), IFERROR(VLOOKUP($A620,'Exetel ExDa'!$C$2:$N$14, 0,FALSE), IFERROR(VLOOKUP($A620,'Infinet ExDa'!$B$2:$E$14, 0,FALSE), "Not Found"))))))))</f>
        <v>Not Found</v>
      </c>
      <c r="K620" t="str">
        <f>IFERROR(VLOOKUP($A620,'AAPT ExDa'!$B$2:$U$99, 12,FALSE), IFERROR(VLOOKUP($A620,'ABB ExDa'!$A$2:$N$184, 0,FALSE), IFERROR(VLOOKUP($A620,'Vocus SIT ExDa'!$B$2:$J$173, 0,FALSE), IFERROR(VLOOKUP($A620,'Telstra ExDa'!$B$2:$K$310, 0,FALSE), IFERROR(VLOOKUP($A620,'Vocus RVC ExDa'!$C$2:$R$155, 0,FALSE), IFERROR(VLOOKUP($A620,'Fusion ExDa'!$B$2:$D$16, 0,FALSE), IFERROR(VLOOKUP($A620,'Exetel ExDa'!$C$2:$N$14, 12,FALSE), IFERROR(VLOOKUP($A620,'Infinet ExDa'!$B$2:$E$14, 0,FALSE), "Not Found"))))))))</f>
        <v>Not Found</v>
      </c>
      <c r="L620" s="235" t="str">
        <f>IFERROR(VLOOKUP($A620,'AAPT ExDa'!$B$2:$U$99, 11,FALSE), IFERROR(VLOOKUP($A620,'ABB ExDa'!$A$2:$N$184, 9,FALSE), IFERROR(VLOOKUP($A620,'Vocus SIT ExDa'!$B$2:$J$173, 8,FALSE), IFERROR(VLOOKUP($A620,'Telstra ExDa'!$B$2:$K$310, 0,FALSE), IFERROR(VLOOKUP($A620,'Vocus RVC ExDa'!$C$2:$R$155, 0,FALSE), IFERROR(VLOOKUP($A620,'Fusion ExDa'!$B$2:$D$16, 0,FALSE), IFERROR(VLOOKUP($A620,'Exetel ExDa'!$C$2:$N$14, 9,FALSE), IFERROR(VLOOKUP($A620,'Infinet ExDa'!$B$2:$E$14, 0,FALSE), "Not Found"))))))))</f>
        <v>Not Found</v>
      </c>
      <c r="M620" s="234" t="str">
        <f>IFERROR(VLOOKUP($A620,'AAPT ExDa'!$B$2:$U$99, 0,FALSE), IFERROR(VLOOKUP($A620,'ABB ExDa'!$A$2:$N$184, 0,FALSE), IFERROR(VLOOKUP($A620,'Vocus SIT ExDa'!$B$2:$J$173, 0,FALSE), IFERROR(VLOOKUP($A620,'Telstra ExDa'!$B$2:$K$310, 0,FALSE), IFERROR(VLOOKUP($A620,'Vocus RVC ExDa'!$C$2:$R$155, 0,FALSE), IFERROR(VLOOKUP($A620,'Fusion ExDa'!$B$2:$D$16, 0,FALSE), IFERROR(VLOOKUP($A620,'Exetel ExDa'!$C$2:$N$14, 11,FALSE), IFERROR(VLOOKUP($A620,'Infinet ExDa'!$B$2:$E$14, 0,FALSE), "Not Found"))))))))</f>
        <v>Not Found</v>
      </c>
      <c r="N620" t="str">
        <f>IFERROR(VLOOKUP($A620,'AAPT ExDa'!$B$2:$U$99, 0,FALSE), IFERROR(VLOOKUP($A620,'ABB ExDa'!$A$2:$N$184, 13,FALSE), IFERROR(VLOOKUP($A620,'Vocus SIT ExDa'!$B$2:$J$173, 0,FALSE), IFERROR(VLOOKUP($A620,'Telstra ExDa'!$B$2:$K$310, 0,FALSE), IFERROR(VLOOKUP($A620,'Vocus RVC ExDa'!$C$2:$R$155, 0,FALSE), IFERROR(VLOOKUP($A620,'Fusion ExDa'!$B$2:$D$16, 0,FALSE), IFERROR(VLOOKUP($A620,'Exetel ExDa'!$C$2:$N$14, 0,FALSE), IFERROR(VLOOKUP($A620,'Infinet ExDa'!$B$2:$E$14, 0,FALSE), "Not Found"))))))))</f>
        <v>Not Found</v>
      </c>
    </row>
    <row r="621" spans="1:14">
      <c r="A621">
        <v>0</v>
      </c>
      <c r="B621" t="str">
        <f>IFERROR(VLOOKUP(A621,'Exetel ExDa'!$C$2:$N$14,4,FALSE),"No Data")</f>
        <v>No Data</v>
      </c>
      <c r="C621" t="str">
        <f>IFERROR(VLOOKUP(A621,'AAPT ExDa'!$B$2:$U$99, 2,FALSE), IFERROR(VLOOKUP(A621,'ABB ExDa'!$A$2:$N$184, 2,FALSE), IFERROR(VLOOKUP(A621,'Vocus SIT ExDa'!$B$2:$J$173, 7,FALSE), IFERROR(VLOOKUP(A621,'Telstra ExDa'!$B$2:$K$310, 2,FALSE), IFERROR(VLOOKUP(A621,'Vocus RVC ExDa'!$C$2:$R$155, 3,FALSE), IFERROR(VLOOKUP(A621,'Fusion ExDa'!$B$2:$D$16, 2,FALSE), IFERROR(VLOOKUP(A621,'Exetel ExDa'!$C$2:$N$14, 2,FALSE), IFERROR(VLOOKUP(A621,'Infinet ExDa'!$B$2:$E$14, 2,FALSE), "Not Found"))))))))</f>
        <v>Not Found</v>
      </c>
      <c r="D621" t="str">
        <f>IFERROR(VLOOKUP($A621,'AAPT ExDa'!$B$2:$U$99, 15,FALSE), IFERROR(VLOOKUP($A621,'ABB ExDa'!$A$2:$N$184, 4,FALSE), IFERROR(VLOOKUP($A621,'Vocus SIT ExDa'!$B$2:$J$173, 5,FALSE), IFERROR(VLOOKUP($A621,'Telstra ExDa'!$B$2:$K$310, 8,FALSE), IFERROR(VLOOKUP($A621,'Vocus RVC ExDa'!$C$2:$R$155, 6,FALSE), IFERROR(VLOOKUP($A621,'Fusion ExDa'!$B$2:$D$16, 4,FALSE), IFERROR(VLOOKUP($A621,'Exetel ExDa'!$C$2:$N$14, 3,FALSE), IFERROR(VLOOKUP($A621,'Infinet ExDa'!$B$2:$E$14, 3,FALSE), "Not Found"))))))))</f>
        <v>Not Found</v>
      </c>
      <c r="E621" t="str">
        <f>IFERROR(VLOOKUP($A621,'AAPT ExDa'!$B$2:$U$99, 3,FALSE), IFERROR(VLOOKUP($A621,'ABB ExDa'!$A$2:$N$184, 5,FALSE), IFERROR(VLOOKUP($A621,'Vocus SIT ExDa'!$B$2:$J$173, 2,FALSE), IFERROR(VLOOKUP($A621,'Telstra ExDa'!$B$2:$K$310, 4,FALSE), IFERROR(VLOOKUP($A621,'Vocus RVC ExDa'!$C$2:$R$155, 8,FALSE), IFERROR(VLOOKUP($A621,'Fusion ExDa'!$B$2:$D$16, 4,FALSE), IFERROR(VLOOKUP($A621,'Exetel ExDa'!$C$2:$N$14, 5,FALSE), IFERROR(VLOOKUP($A621,'Infinet ExDa'!$B$2:$E$14, 3,FALSE), "Not Found"))))))))</f>
        <v>Not Found</v>
      </c>
      <c r="F621" t="str">
        <f>IFERROR(VLOOKUP($A621,'AAPT ExDa'!$B$2:$U$99, 4,FALSE), IFERROR(VLOOKUP($A621,'ABB ExDa'!$A$2:$N$184, 6,FALSE), IFERROR(VLOOKUP($A621,'Vocus SIT ExDa'!$B$2:$J$173, 3,FALSE), IFERROR(VLOOKUP($A621,'Telstra ExDa'!$B$2:$K$310, 5,FALSE), IFERROR(VLOOKUP($A621,'Vocus RVC ExDa'!$C$2:$R$155, 9,FALSE), IFERROR(VLOOKUP($A621,'Fusion ExDa'!$B$2:$D$16, 0,FALSE), IFERROR(VLOOKUP($A621,'Exetel ExDa'!$C$2:$N$14, 6,FALSE), IFERROR(VLOOKUP($A621,'Infinet ExDa'!$B$2:$E$14, 0,FALSE), "Not Found"))))))))</f>
        <v>Not Found</v>
      </c>
      <c r="G621" t="str">
        <f>IFERROR(VLOOKUP($A621,'AAPT ExDa'!$B$2:$U$99, 5,FALSE), IFERROR(VLOOKUP($A621,'ABB ExDa'!$A$2:$N$184, 8,FALSE), IFERROR(VLOOKUP($A621,'Vocus SIT ExDa'!$B$2:$J$173, 6,FALSE), IFERROR(VLOOKUP($A621,'Telstra ExDa'!$B$2:$K$310, 0,FALSE), IFERROR(VLOOKUP($A621,'Vocus RVC ExDa'!$C$2:$R$155, 15,FALSE), IFERROR(VLOOKUP($A621,'Fusion ExDa'!$B$2:$D$16, 0,FALSE), IFERROR(VLOOKUP($A621,'Exetel ExDa'!$C$2:$N$14, 7,FALSE), IFERROR(VLOOKUP($A621,'Infinet ExDa'!$B$2:$E$14, 0,FALSE), "Not Found"))))))))</f>
        <v>Not Found</v>
      </c>
      <c r="H621" t="str">
        <f>IFERROR(VLOOKUP($A621,'AAPT ExDa'!$B$2:$U$99, 6,FALSE), IFERROR(VLOOKUP($A621,'ABB ExDa'!$A$2:$N$184, 0,FALSE), IFERROR(VLOOKUP($A621,'Vocus SIT ExDa'!$B$2:$J$173, 0,FALSE), IFERROR(VLOOKUP($A621,'Telstra ExDa'!$B$2:$K$310, 0,FALSE), IFERROR(VLOOKUP($A621,'Vocus RVC ExDa'!$C$2:$R$155, 16,FALSE), IFERROR(VLOOKUP($A621,'Fusion ExDa'!$B$2:$D$16, 0,FALSE), IFERROR(VLOOKUP($A621,'Exetel ExDa'!$C$2:$N$14, 0,FALSE), IFERROR(VLOOKUP($A621,'Infinet ExDa'!$B$2:$E$14, 0,FALSE), "Not Found"))))))))</f>
        <v>Not Found</v>
      </c>
      <c r="I621" t="str">
        <f>IFERROR(VLOOKUP($A621,'AAPT ExDa'!$B$2:$U$99, 0,FALSE), IFERROR(VLOOKUP($A621,'ABB ExDa'!$A$2:$N$184, 0,FALSE), IFERROR(VLOOKUP($A621,'Vocus SIT ExDa'!$B$2:$J$173, 0,FALSE), IFERROR(VLOOKUP($A621,'Telstra ExDa'!$B$2:$K$310, 0,FALSE), IFERROR(VLOOKUP($A621,'Vocus RVC ExDa'!$C$2:$R$155, 0,FALSE), IFERROR(VLOOKUP($A621,'Fusion ExDa'!$B$2:$D$16, 0,FALSE), IFERROR(VLOOKUP($A621,'Exetel ExDa'!$C$2:$N$14, 8,FALSE), IFERROR(VLOOKUP($A621,'Infinet ExDa'!$B$2:$E$14, 0,FALSE), "Not Found"))))))))</f>
        <v>Not Found</v>
      </c>
      <c r="J621" t="str">
        <f>IFERROR(VLOOKUP($A621,'AAPT ExDa'!$B$2:$U$99, 7,FALSE), IFERROR(VLOOKUP($A621,'ABB ExDa'!$A$2:$N$184, 2,FALSE), IFERROR(VLOOKUP($A621,'Vocus SIT ExDa'!$B$2:$J$173, 0,FALSE), IFERROR(VLOOKUP($A621,'Telstra ExDa'!$B$2:$K$310, 7,FALSE), IFERROR(VLOOKUP($A621,'Vocus RVC ExDa'!$C$2:$R$155, 2,FALSE), IFERROR(VLOOKUP($A621,'Fusion ExDa'!$B$2:$D$16, 3,FALSE), IFERROR(VLOOKUP($A621,'Exetel ExDa'!$C$2:$N$14, 0,FALSE), IFERROR(VLOOKUP($A621,'Infinet ExDa'!$B$2:$E$14, 0,FALSE), "Not Found"))))))))</f>
        <v>Not Found</v>
      </c>
      <c r="K621" t="str">
        <f>IFERROR(VLOOKUP($A621,'AAPT ExDa'!$B$2:$U$99, 12,FALSE), IFERROR(VLOOKUP($A621,'ABB ExDa'!$A$2:$N$184, 0,FALSE), IFERROR(VLOOKUP($A621,'Vocus SIT ExDa'!$B$2:$J$173, 0,FALSE), IFERROR(VLOOKUP($A621,'Telstra ExDa'!$B$2:$K$310, 0,FALSE), IFERROR(VLOOKUP($A621,'Vocus RVC ExDa'!$C$2:$R$155, 0,FALSE), IFERROR(VLOOKUP($A621,'Fusion ExDa'!$B$2:$D$16, 0,FALSE), IFERROR(VLOOKUP($A621,'Exetel ExDa'!$C$2:$N$14, 12,FALSE), IFERROR(VLOOKUP($A621,'Infinet ExDa'!$B$2:$E$14, 0,FALSE), "Not Found"))))))))</f>
        <v>Not Found</v>
      </c>
      <c r="L621" s="235" t="str">
        <f>IFERROR(VLOOKUP($A621,'AAPT ExDa'!$B$2:$U$99, 11,FALSE), IFERROR(VLOOKUP($A621,'ABB ExDa'!$A$2:$N$184, 9,FALSE), IFERROR(VLOOKUP($A621,'Vocus SIT ExDa'!$B$2:$J$173, 8,FALSE), IFERROR(VLOOKUP($A621,'Telstra ExDa'!$B$2:$K$310, 0,FALSE), IFERROR(VLOOKUP($A621,'Vocus RVC ExDa'!$C$2:$R$155, 0,FALSE), IFERROR(VLOOKUP($A621,'Fusion ExDa'!$B$2:$D$16, 0,FALSE), IFERROR(VLOOKUP($A621,'Exetel ExDa'!$C$2:$N$14, 9,FALSE), IFERROR(VLOOKUP($A621,'Infinet ExDa'!$B$2:$E$14, 0,FALSE), "Not Found"))))))))</f>
        <v>Not Found</v>
      </c>
      <c r="M621" s="234" t="str">
        <f>IFERROR(VLOOKUP($A621,'AAPT ExDa'!$B$2:$U$99, 0,FALSE), IFERROR(VLOOKUP($A621,'ABB ExDa'!$A$2:$N$184, 0,FALSE), IFERROR(VLOOKUP($A621,'Vocus SIT ExDa'!$B$2:$J$173, 0,FALSE), IFERROR(VLOOKUP($A621,'Telstra ExDa'!$B$2:$K$310, 0,FALSE), IFERROR(VLOOKUP($A621,'Vocus RVC ExDa'!$C$2:$R$155, 0,FALSE), IFERROR(VLOOKUP($A621,'Fusion ExDa'!$B$2:$D$16, 0,FALSE), IFERROR(VLOOKUP($A621,'Exetel ExDa'!$C$2:$N$14, 11,FALSE), IFERROR(VLOOKUP($A621,'Infinet ExDa'!$B$2:$E$14, 0,FALSE), "Not Found"))))))))</f>
        <v>Not Found</v>
      </c>
      <c r="N621" t="str">
        <f>IFERROR(VLOOKUP($A621,'AAPT ExDa'!$B$2:$U$99, 0,FALSE), IFERROR(VLOOKUP($A621,'ABB ExDa'!$A$2:$N$184, 13,FALSE), IFERROR(VLOOKUP($A621,'Vocus SIT ExDa'!$B$2:$J$173, 0,FALSE), IFERROR(VLOOKUP($A621,'Telstra ExDa'!$B$2:$K$310, 0,FALSE), IFERROR(VLOOKUP($A621,'Vocus RVC ExDa'!$C$2:$R$155, 0,FALSE), IFERROR(VLOOKUP($A621,'Fusion ExDa'!$B$2:$D$16, 0,FALSE), IFERROR(VLOOKUP($A621,'Exetel ExDa'!$C$2:$N$14, 0,FALSE), IFERROR(VLOOKUP($A621,'Infinet ExDa'!$B$2:$E$14, 0,FALSE), "Not Found"))))))))</f>
        <v>Not Found</v>
      </c>
    </row>
    <row r="622" spans="1:14">
      <c r="A622">
        <v>0</v>
      </c>
      <c r="B622" t="str">
        <f>IFERROR(VLOOKUP(A622,'Exetel ExDa'!$C$2:$N$14,4,FALSE),"No Data")</f>
        <v>No Data</v>
      </c>
      <c r="C622" t="str">
        <f>IFERROR(VLOOKUP(A622,'AAPT ExDa'!$B$2:$U$99, 2,FALSE), IFERROR(VLOOKUP(A622,'ABB ExDa'!$A$2:$N$184, 2,FALSE), IFERROR(VLOOKUP(A622,'Vocus SIT ExDa'!$B$2:$J$173, 7,FALSE), IFERROR(VLOOKUP(A622,'Telstra ExDa'!$B$2:$K$310, 2,FALSE), IFERROR(VLOOKUP(A622,'Vocus RVC ExDa'!$C$2:$R$155, 3,FALSE), IFERROR(VLOOKUP(A622,'Fusion ExDa'!$B$2:$D$16, 2,FALSE), IFERROR(VLOOKUP(A622,'Exetel ExDa'!$C$2:$N$14, 2,FALSE), IFERROR(VLOOKUP(A622,'Infinet ExDa'!$B$2:$E$14, 2,FALSE), "Not Found"))))))))</f>
        <v>Not Found</v>
      </c>
      <c r="D622" t="str">
        <f>IFERROR(VLOOKUP($A622,'AAPT ExDa'!$B$2:$U$99, 15,FALSE), IFERROR(VLOOKUP($A622,'ABB ExDa'!$A$2:$N$184, 4,FALSE), IFERROR(VLOOKUP($A622,'Vocus SIT ExDa'!$B$2:$J$173, 5,FALSE), IFERROR(VLOOKUP($A622,'Telstra ExDa'!$B$2:$K$310, 8,FALSE), IFERROR(VLOOKUP($A622,'Vocus RVC ExDa'!$C$2:$R$155, 6,FALSE), IFERROR(VLOOKUP($A622,'Fusion ExDa'!$B$2:$D$16, 4,FALSE), IFERROR(VLOOKUP($A622,'Exetel ExDa'!$C$2:$N$14, 3,FALSE), IFERROR(VLOOKUP($A622,'Infinet ExDa'!$B$2:$E$14, 3,FALSE), "Not Found"))))))))</f>
        <v>Not Found</v>
      </c>
      <c r="E622" t="str">
        <f>IFERROR(VLOOKUP($A622,'AAPT ExDa'!$B$2:$U$99, 3,FALSE), IFERROR(VLOOKUP($A622,'ABB ExDa'!$A$2:$N$184, 5,FALSE), IFERROR(VLOOKUP($A622,'Vocus SIT ExDa'!$B$2:$J$173, 2,FALSE), IFERROR(VLOOKUP($A622,'Telstra ExDa'!$B$2:$K$310, 4,FALSE), IFERROR(VLOOKUP($A622,'Vocus RVC ExDa'!$C$2:$R$155, 8,FALSE), IFERROR(VLOOKUP($A622,'Fusion ExDa'!$B$2:$D$16, 4,FALSE), IFERROR(VLOOKUP($A622,'Exetel ExDa'!$C$2:$N$14, 5,FALSE), IFERROR(VLOOKUP($A622,'Infinet ExDa'!$B$2:$E$14, 3,FALSE), "Not Found"))))))))</f>
        <v>Not Found</v>
      </c>
      <c r="F622" t="str">
        <f>IFERROR(VLOOKUP($A622,'AAPT ExDa'!$B$2:$U$99, 4,FALSE), IFERROR(VLOOKUP($A622,'ABB ExDa'!$A$2:$N$184, 6,FALSE), IFERROR(VLOOKUP($A622,'Vocus SIT ExDa'!$B$2:$J$173, 3,FALSE), IFERROR(VLOOKUP($A622,'Telstra ExDa'!$B$2:$K$310, 5,FALSE), IFERROR(VLOOKUP($A622,'Vocus RVC ExDa'!$C$2:$R$155, 9,FALSE), IFERROR(VLOOKUP($A622,'Fusion ExDa'!$B$2:$D$16, 0,FALSE), IFERROR(VLOOKUP($A622,'Exetel ExDa'!$C$2:$N$14, 6,FALSE), IFERROR(VLOOKUP($A622,'Infinet ExDa'!$B$2:$E$14, 0,FALSE), "Not Found"))))))))</f>
        <v>Not Found</v>
      </c>
      <c r="G622" t="str">
        <f>IFERROR(VLOOKUP($A622,'AAPT ExDa'!$B$2:$U$99, 5,FALSE), IFERROR(VLOOKUP($A622,'ABB ExDa'!$A$2:$N$184, 8,FALSE), IFERROR(VLOOKUP($A622,'Vocus SIT ExDa'!$B$2:$J$173, 6,FALSE), IFERROR(VLOOKUP($A622,'Telstra ExDa'!$B$2:$K$310, 0,FALSE), IFERROR(VLOOKUP($A622,'Vocus RVC ExDa'!$C$2:$R$155, 15,FALSE), IFERROR(VLOOKUP($A622,'Fusion ExDa'!$B$2:$D$16, 0,FALSE), IFERROR(VLOOKUP($A622,'Exetel ExDa'!$C$2:$N$14, 7,FALSE), IFERROR(VLOOKUP($A622,'Infinet ExDa'!$B$2:$E$14, 0,FALSE), "Not Found"))))))))</f>
        <v>Not Found</v>
      </c>
      <c r="H622" t="str">
        <f>IFERROR(VLOOKUP($A622,'AAPT ExDa'!$B$2:$U$99, 6,FALSE), IFERROR(VLOOKUP($A622,'ABB ExDa'!$A$2:$N$184, 0,FALSE), IFERROR(VLOOKUP($A622,'Vocus SIT ExDa'!$B$2:$J$173, 0,FALSE), IFERROR(VLOOKUP($A622,'Telstra ExDa'!$B$2:$K$310, 0,FALSE), IFERROR(VLOOKUP($A622,'Vocus RVC ExDa'!$C$2:$R$155, 16,FALSE), IFERROR(VLOOKUP($A622,'Fusion ExDa'!$B$2:$D$16, 0,FALSE), IFERROR(VLOOKUP($A622,'Exetel ExDa'!$C$2:$N$14, 0,FALSE), IFERROR(VLOOKUP($A622,'Infinet ExDa'!$B$2:$E$14, 0,FALSE), "Not Found"))))))))</f>
        <v>Not Found</v>
      </c>
      <c r="I622" t="str">
        <f>IFERROR(VLOOKUP($A622,'AAPT ExDa'!$B$2:$U$99, 0,FALSE), IFERROR(VLOOKUP($A622,'ABB ExDa'!$A$2:$N$184, 0,FALSE), IFERROR(VLOOKUP($A622,'Vocus SIT ExDa'!$B$2:$J$173, 0,FALSE), IFERROR(VLOOKUP($A622,'Telstra ExDa'!$B$2:$K$310, 0,FALSE), IFERROR(VLOOKUP($A622,'Vocus RVC ExDa'!$C$2:$R$155, 0,FALSE), IFERROR(VLOOKUP($A622,'Fusion ExDa'!$B$2:$D$16, 0,FALSE), IFERROR(VLOOKUP($A622,'Exetel ExDa'!$C$2:$N$14, 8,FALSE), IFERROR(VLOOKUP($A622,'Infinet ExDa'!$B$2:$E$14, 0,FALSE), "Not Found"))))))))</f>
        <v>Not Found</v>
      </c>
      <c r="J622" t="str">
        <f>IFERROR(VLOOKUP($A622,'AAPT ExDa'!$B$2:$U$99, 7,FALSE), IFERROR(VLOOKUP($A622,'ABB ExDa'!$A$2:$N$184, 2,FALSE), IFERROR(VLOOKUP($A622,'Vocus SIT ExDa'!$B$2:$J$173, 0,FALSE), IFERROR(VLOOKUP($A622,'Telstra ExDa'!$B$2:$K$310, 7,FALSE), IFERROR(VLOOKUP($A622,'Vocus RVC ExDa'!$C$2:$R$155, 2,FALSE), IFERROR(VLOOKUP($A622,'Fusion ExDa'!$B$2:$D$16, 3,FALSE), IFERROR(VLOOKUP($A622,'Exetel ExDa'!$C$2:$N$14, 0,FALSE), IFERROR(VLOOKUP($A622,'Infinet ExDa'!$B$2:$E$14, 0,FALSE), "Not Found"))))))))</f>
        <v>Not Found</v>
      </c>
      <c r="K622" t="str">
        <f>IFERROR(VLOOKUP($A622,'AAPT ExDa'!$B$2:$U$99, 12,FALSE), IFERROR(VLOOKUP($A622,'ABB ExDa'!$A$2:$N$184, 0,FALSE), IFERROR(VLOOKUP($A622,'Vocus SIT ExDa'!$B$2:$J$173, 0,FALSE), IFERROR(VLOOKUP($A622,'Telstra ExDa'!$B$2:$K$310, 0,FALSE), IFERROR(VLOOKUP($A622,'Vocus RVC ExDa'!$C$2:$R$155, 0,FALSE), IFERROR(VLOOKUP($A622,'Fusion ExDa'!$B$2:$D$16, 0,FALSE), IFERROR(VLOOKUP($A622,'Exetel ExDa'!$C$2:$N$14, 12,FALSE), IFERROR(VLOOKUP($A622,'Infinet ExDa'!$B$2:$E$14, 0,FALSE), "Not Found"))))))))</f>
        <v>Not Found</v>
      </c>
      <c r="L622" s="235" t="str">
        <f>IFERROR(VLOOKUP($A622,'AAPT ExDa'!$B$2:$U$99, 11,FALSE), IFERROR(VLOOKUP($A622,'ABB ExDa'!$A$2:$N$184, 9,FALSE), IFERROR(VLOOKUP($A622,'Vocus SIT ExDa'!$B$2:$J$173, 8,FALSE), IFERROR(VLOOKUP($A622,'Telstra ExDa'!$B$2:$K$310, 0,FALSE), IFERROR(VLOOKUP($A622,'Vocus RVC ExDa'!$C$2:$R$155, 0,FALSE), IFERROR(VLOOKUP($A622,'Fusion ExDa'!$B$2:$D$16, 0,FALSE), IFERROR(VLOOKUP($A622,'Exetel ExDa'!$C$2:$N$14, 9,FALSE), IFERROR(VLOOKUP($A622,'Infinet ExDa'!$B$2:$E$14, 0,FALSE), "Not Found"))))))))</f>
        <v>Not Found</v>
      </c>
      <c r="M622" s="234" t="str">
        <f>IFERROR(VLOOKUP($A622,'AAPT ExDa'!$B$2:$U$99, 0,FALSE), IFERROR(VLOOKUP($A622,'ABB ExDa'!$A$2:$N$184, 0,FALSE), IFERROR(VLOOKUP($A622,'Vocus SIT ExDa'!$B$2:$J$173, 0,FALSE), IFERROR(VLOOKUP($A622,'Telstra ExDa'!$B$2:$K$310, 0,FALSE), IFERROR(VLOOKUP($A622,'Vocus RVC ExDa'!$C$2:$R$155, 0,FALSE), IFERROR(VLOOKUP($A622,'Fusion ExDa'!$B$2:$D$16, 0,FALSE), IFERROR(VLOOKUP($A622,'Exetel ExDa'!$C$2:$N$14, 11,FALSE), IFERROR(VLOOKUP($A622,'Infinet ExDa'!$B$2:$E$14, 0,FALSE), "Not Found"))))))))</f>
        <v>Not Found</v>
      </c>
      <c r="N622" t="str">
        <f>IFERROR(VLOOKUP($A622,'AAPT ExDa'!$B$2:$U$99, 0,FALSE), IFERROR(VLOOKUP($A622,'ABB ExDa'!$A$2:$N$184, 13,FALSE), IFERROR(VLOOKUP($A622,'Vocus SIT ExDa'!$B$2:$J$173, 0,FALSE), IFERROR(VLOOKUP($A622,'Telstra ExDa'!$B$2:$K$310, 0,FALSE), IFERROR(VLOOKUP($A622,'Vocus RVC ExDa'!$C$2:$R$155, 0,FALSE), IFERROR(VLOOKUP($A622,'Fusion ExDa'!$B$2:$D$16, 0,FALSE), IFERROR(VLOOKUP($A622,'Exetel ExDa'!$C$2:$N$14, 0,FALSE), IFERROR(VLOOKUP($A622,'Infinet ExDa'!$B$2:$E$14, 0,FALSE), "Not Found"))))))))</f>
        <v>Not Found</v>
      </c>
    </row>
    <row r="623" spans="1:14">
      <c r="A623">
        <v>0</v>
      </c>
      <c r="B623" t="str">
        <f>IFERROR(VLOOKUP(A623,'Exetel ExDa'!$C$2:$N$14,4,FALSE),"No Data")</f>
        <v>No Data</v>
      </c>
      <c r="C623" t="str">
        <f>IFERROR(VLOOKUP(A623,'AAPT ExDa'!$B$2:$U$99, 2,FALSE), IFERROR(VLOOKUP(A623,'ABB ExDa'!$A$2:$N$184, 2,FALSE), IFERROR(VLOOKUP(A623,'Vocus SIT ExDa'!$B$2:$J$173, 7,FALSE), IFERROR(VLOOKUP(A623,'Telstra ExDa'!$B$2:$K$310, 2,FALSE), IFERROR(VLOOKUP(A623,'Vocus RVC ExDa'!$C$2:$R$155, 3,FALSE), IFERROR(VLOOKUP(A623,'Fusion ExDa'!$B$2:$D$16, 2,FALSE), IFERROR(VLOOKUP(A623,'Exetel ExDa'!$C$2:$N$14, 2,FALSE), IFERROR(VLOOKUP(A623,'Infinet ExDa'!$B$2:$E$14, 2,FALSE), "Not Found"))))))))</f>
        <v>Not Found</v>
      </c>
      <c r="D623" t="str">
        <f>IFERROR(VLOOKUP($A623,'AAPT ExDa'!$B$2:$U$99, 15,FALSE), IFERROR(VLOOKUP($A623,'ABB ExDa'!$A$2:$N$184, 4,FALSE), IFERROR(VLOOKUP($A623,'Vocus SIT ExDa'!$B$2:$J$173, 5,FALSE), IFERROR(VLOOKUP($A623,'Telstra ExDa'!$B$2:$K$310, 8,FALSE), IFERROR(VLOOKUP($A623,'Vocus RVC ExDa'!$C$2:$R$155, 6,FALSE), IFERROR(VLOOKUP($A623,'Fusion ExDa'!$B$2:$D$16, 4,FALSE), IFERROR(VLOOKUP($A623,'Exetel ExDa'!$C$2:$N$14, 3,FALSE), IFERROR(VLOOKUP($A623,'Infinet ExDa'!$B$2:$E$14, 3,FALSE), "Not Found"))))))))</f>
        <v>Not Found</v>
      </c>
      <c r="E623" t="str">
        <f>IFERROR(VLOOKUP($A623,'AAPT ExDa'!$B$2:$U$99, 3,FALSE), IFERROR(VLOOKUP($A623,'ABB ExDa'!$A$2:$N$184, 5,FALSE), IFERROR(VLOOKUP($A623,'Vocus SIT ExDa'!$B$2:$J$173, 2,FALSE), IFERROR(VLOOKUP($A623,'Telstra ExDa'!$B$2:$K$310, 4,FALSE), IFERROR(VLOOKUP($A623,'Vocus RVC ExDa'!$C$2:$R$155, 8,FALSE), IFERROR(VLOOKUP($A623,'Fusion ExDa'!$B$2:$D$16, 4,FALSE), IFERROR(VLOOKUP($A623,'Exetel ExDa'!$C$2:$N$14, 5,FALSE), IFERROR(VLOOKUP($A623,'Infinet ExDa'!$B$2:$E$14, 3,FALSE), "Not Found"))))))))</f>
        <v>Not Found</v>
      </c>
      <c r="F623" t="str">
        <f>IFERROR(VLOOKUP($A623,'AAPT ExDa'!$B$2:$U$99, 4,FALSE), IFERROR(VLOOKUP($A623,'ABB ExDa'!$A$2:$N$184, 6,FALSE), IFERROR(VLOOKUP($A623,'Vocus SIT ExDa'!$B$2:$J$173, 3,FALSE), IFERROR(VLOOKUP($A623,'Telstra ExDa'!$B$2:$K$310, 5,FALSE), IFERROR(VLOOKUP($A623,'Vocus RVC ExDa'!$C$2:$R$155, 9,FALSE), IFERROR(VLOOKUP($A623,'Fusion ExDa'!$B$2:$D$16, 0,FALSE), IFERROR(VLOOKUP($A623,'Exetel ExDa'!$C$2:$N$14, 6,FALSE), IFERROR(VLOOKUP($A623,'Infinet ExDa'!$B$2:$E$14, 0,FALSE), "Not Found"))))))))</f>
        <v>Not Found</v>
      </c>
      <c r="G623" t="str">
        <f>IFERROR(VLOOKUP($A623,'AAPT ExDa'!$B$2:$U$99, 5,FALSE), IFERROR(VLOOKUP($A623,'ABB ExDa'!$A$2:$N$184, 8,FALSE), IFERROR(VLOOKUP($A623,'Vocus SIT ExDa'!$B$2:$J$173, 6,FALSE), IFERROR(VLOOKUP($A623,'Telstra ExDa'!$B$2:$K$310, 0,FALSE), IFERROR(VLOOKUP($A623,'Vocus RVC ExDa'!$C$2:$R$155, 15,FALSE), IFERROR(VLOOKUP($A623,'Fusion ExDa'!$B$2:$D$16, 0,FALSE), IFERROR(VLOOKUP($A623,'Exetel ExDa'!$C$2:$N$14, 7,FALSE), IFERROR(VLOOKUP($A623,'Infinet ExDa'!$B$2:$E$14, 0,FALSE), "Not Found"))))))))</f>
        <v>Not Found</v>
      </c>
      <c r="H623" t="str">
        <f>IFERROR(VLOOKUP($A623,'AAPT ExDa'!$B$2:$U$99, 6,FALSE), IFERROR(VLOOKUP($A623,'ABB ExDa'!$A$2:$N$184, 0,FALSE), IFERROR(VLOOKUP($A623,'Vocus SIT ExDa'!$B$2:$J$173, 0,FALSE), IFERROR(VLOOKUP($A623,'Telstra ExDa'!$B$2:$K$310, 0,FALSE), IFERROR(VLOOKUP($A623,'Vocus RVC ExDa'!$C$2:$R$155, 16,FALSE), IFERROR(VLOOKUP($A623,'Fusion ExDa'!$B$2:$D$16, 0,FALSE), IFERROR(VLOOKUP($A623,'Exetel ExDa'!$C$2:$N$14, 0,FALSE), IFERROR(VLOOKUP($A623,'Infinet ExDa'!$B$2:$E$14, 0,FALSE), "Not Found"))))))))</f>
        <v>Not Found</v>
      </c>
      <c r="I623" t="str">
        <f>IFERROR(VLOOKUP($A623,'AAPT ExDa'!$B$2:$U$99, 0,FALSE), IFERROR(VLOOKUP($A623,'ABB ExDa'!$A$2:$N$184, 0,FALSE), IFERROR(VLOOKUP($A623,'Vocus SIT ExDa'!$B$2:$J$173, 0,FALSE), IFERROR(VLOOKUP($A623,'Telstra ExDa'!$B$2:$K$310, 0,FALSE), IFERROR(VLOOKUP($A623,'Vocus RVC ExDa'!$C$2:$R$155, 0,FALSE), IFERROR(VLOOKUP($A623,'Fusion ExDa'!$B$2:$D$16, 0,FALSE), IFERROR(VLOOKUP($A623,'Exetel ExDa'!$C$2:$N$14, 8,FALSE), IFERROR(VLOOKUP($A623,'Infinet ExDa'!$B$2:$E$14, 0,FALSE), "Not Found"))))))))</f>
        <v>Not Found</v>
      </c>
      <c r="J623" t="str">
        <f>IFERROR(VLOOKUP($A623,'AAPT ExDa'!$B$2:$U$99, 7,FALSE), IFERROR(VLOOKUP($A623,'ABB ExDa'!$A$2:$N$184, 2,FALSE), IFERROR(VLOOKUP($A623,'Vocus SIT ExDa'!$B$2:$J$173, 0,FALSE), IFERROR(VLOOKUP($A623,'Telstra ExDa'!$B$2:$K$310, 7,FALSE), IFERROR(VLOOKUP($A623,'Vocus RVC ExDa'!$C$2:$R$155, 2,FALSE), IFERROR(VLOOKUP($A623,'Fusion ExDa'!$B$2:$D$16, 3,FALSE), IFERROR(VLOOKUP($A623,'Exetel ExDa'!$C$2:$N$14, 0,FALSE), IFERROR(VLOOKUP($A623,'Infinet ExDa'!$B$2:$E$14, 0,FALSE), "Not Found"))))))))</f>
        <v>Not Found</v>
      </c>
      <c r="K623" t="str">
        <f>IFERROR(VLOOKUP($A623,'AAPT ExDa'!$B$2:$U$99, 12,FALSE), IFERROR(VLOOKUP($A623,'ABB ExDa'!$A$2:$N$184, 0,FALSE), IFERROR(VLOOKUP($A623,'Vocus SIT ExDa'!$B$2:$J$173, 0,FALSE), IFERROR(VLOOKUP($A623,'Telstra ExDa'!$B$2:$K$310, 0,FALSE), IFERROR(VLOOKUP($A623,'Vocus RVC ExDa'!$C$2:$R$155, 0,FALSE), IFERROR(VLOOKUP($A623,'Fusion ExDa'!$B$2:$D$16, 0,FALSE), IFERROR(VLOOKUP($A623,'Exetel ExDa'!$C$2:$N$14, 12,FALSE), IFERROR(VLOOKUP($A623,'Infinet ExDa'!$B$2:$E$14, 0,FALSE), "Not Found"))))))))</f>
        <v>Not Found</v>
      </c>
      <c r="L623" s="235" t="str">
        <f>IFERROR(VLOOKUP($A623,'AAPT ExDa'!$B$2:$U$99, 11,FALSE), IFERROR(VLOOKUP($A623,'ABB ExDa'!$A$2:$N$184, 9,FALSE), IFERROR(VLOOKUP($A623,'Vocus SIT ExDa'!$B$2:$J$173, 8,FALSE), IFERROR(VLOOKUP($A623,'Telstra ExDa'!$B$2:$K$310, 0,FALSE), IFERROR(VLOOKUP($A623,'Vocus RVC ExDa'!$C$2:$R$155, 0,FALSE), IFERROR(VLOOKUP($A623,'Fusion ExDa'!$B$2:$D$16, 0,FALSE), IFERROR(VLOOKUP($A623,'Exetel ExDa'!$C$2:$N$14, 9,FALSE), IFERROR(VLOOKUP($A623,'Infinet ExDa'!$B$2:$E$14, 0,FALSE), "Not Found"))))))))</f>
        <v>Not Found</v>
      </c>
      <c r="M623" s="234" t="str">
        <f>IFERROR(VLOOKUP($A623,'AAPT ExDa'!$B$2:$U$99, 0,FALSE), IFERROR(VLOOKUP($A623,'ABB ExDa'!$A$2:$N$184, 0,FALSE), IFERROR(VLOOKUP($A623,'Vocus SIT ExDa'!$B$2:$J$173, 0,FALSE), IFERROR(VLOOKUP($A623,'Telstra ExDa'!$B$2:$K$310, 0,FALSE), IFERROR(VLOOKUP($A623,'Vocus RVC ExDa'!$C$2:$R$155, 0,FALSE), IFERROR(VLOOKUP($A623,'Fusion ExDa'!$B$2:$D$16, 0,FALSE), IFERROR(VLOOKUP($A623,'Exetel ExDa'!$C$2:$N$14, 11,FALSE), IFERROR(VLOOKUP($A623,'Infinet ExDa'!$B$2:$E$14, 0,FALSE), "Not Found"))))))))</f>
        <v>Not Found</v>
      </c>
      <c r="N623" t="str">
        <f>IFERROR(VLOOKUP($A623,'AAPT ExDa'!$B$2:$U$99, 0,FALSE), IFERROR(VLOOKUP($A623,'ABB ExDa'!$A$2:$N$184, 13,FALSE), IFERROR(VLOOKUP($A623,'Vocus SIT ExDa'!$B$2:$J$173, 0,FALSE), IFERROR(VLOOKUP($A623,'Telstra ExDa'!$B$2:$K$310, 0,FALSE), IFERROR(VLOOKUP($A623,'Vocus RVC ExDa'!$C$2:$R$155, 0,FALSE), IFERROR(VLOOKUP($A623,'Fusion ExDa'!$B$2:$D$16, 0,FALSE), IFERROR(VLOOKUP($A623,'Exetel ExDa'!$C$2:$N$14, 0,FALSE), IFERROR(VLOOKUP($A623,'Infinet ExDa'!$B$2:$E$14, 0,FALSE), "Not Found"))))))))</f>
        <v>Not Found</v>
      </c>
    </row>
    <row r="624" spans="1:14">
      <c r="A624">
        <v>0</v>
      </c>
      <c r="B624" t="str">
        <f>IFERROR(VLOOKUP(A624,'Exetel ExDa'!$C$2:$N$14,4,FALSE),"No Data")</f>
        <v>No Data</v>
      </c>
      <c r="C624" t="str">
        <f>IFERROR(VLOOKUP(A624,'AAPT ExDa'!$B$2:$U$99, 2,FALSE), IFERROR(VLOOKUP(A624,'ABB ExDa'!$A$2:$N$184, 2,FALSE), IFERROR(VLOOKUP(A624,'Vocus SIT ExDa'!$B$2:$J$173, 7,FALSE), IFERROR(VLOOKUP(A624,'Telstra ExDa'!$B$2:$K$310, 2,FALSE), IFERROR(VLOOKUP(A624,'Vocus RVC ExDa'!$C$2:$R$155, 3,FALSE), IFERROR(VLOOKUP(A624,'Fusion ExDa'!$B$2:$D$16, 2,FALSE), IFERROR(VLOOKUP(A624,'Exetel ExDa'!$C$2:$N$14, 2,FALSE), IFERROR(VLOOKUP(A624,'Infinet ExDa'!$B$2:$E$14, 2,FALSE), "Not Found"))))))))</f>
        <v>Not Found</v>
      </c>
      <c r="D624" t="str">
        <f>IFERROR(VLOOKUP($A624,'AAPT ExDa'!$B$2:$U$99, 15,FALSE), IFERROR(VLOOKUP($A624,'ABB ExDa'!$A$2:$N$184, 4,FALSE), IFERROR(VLOOKUP($A624,'Vocus SIT ExDa'!$B$2:$J$173, 5,FALSE), IFERROR(VLOOKUP($A624,'Telstra ExDa'!$B$2:$K$310, 8,FALSE), IFERROR(VLOOKUP($A624,'Vocus RVC ExDa'!$C$2:$R$155, 6,FALSE), IFERROR(VLOOKUP($A624,'Fusion ExDa'!$B$2:$D$16, 4,FALSE), IFERROR(VLOOKUP($A624,'Exetel ExDa'!$C$2:$N$14, 3,FALSE), IFERROR(VLOOKUP($A624,'Infinet ExDa'!$B$2:$E$14, 3,FALSE), "Not Found"))))))))</f>
        <v>Not Found</v>
      </c>
      <c r="E624" t="str">
        <f>IFERROR(VLOOKUP($A624,'AAPT ExDa'!$B$2:$U$99, 3,FALSE), IFERROR(VLOOKUP($A624,'ABB ExDa'!$A$2:$N$184, 5,FALSE), IFERROR(VLOOKUP($A624,'Vocus SIT ExDa'!$B$2:$J$173, 2,FALSE), IFERROR(VLOOKUP($A624,'Telstra ExDa'!$B$2:$K$310, 4,FALSE), IFERROR(VLOOKUP($A624,'Vocus RVC ExDa'!$C$2:$R$155, 8,FALSE), IFERROR(VLOOKUP($A624,'Fusion ExDa'!$B$2:$D$16, 4,FALSE), IFERROR(VLOOKUP($A624,'Exetel ExDa'!$C$2:$N$14, 5,FALSE), IFERROR(VLOOKUP($A624,'Infinet ExDa'!$B$2:$E$14, 3,FALSE), "Not Found"))))))))</f>
        <v>Not Found</v>
      </c>
      <c r="F624" t="str">
        <f>IFERROR(VLOOKUP($A624,'AAPT ExDa'!$B$2:$U$99, 4,FALSE), IFERROR(VLOOKUP($A624,'ABB ExDa'!$A$2:$N$184, 6,FALSE), IFERROR(VLOOKUP($A624,'Vocus SIT ExDa'!$B$2:$J$173, 3,FALSE), IFERROR(VLOOKUP($A624,'Telstra ExDa'!$B$2:$K$310, 5,FALSE), IFERROR(VLOOKUP($A624,'Vocus RVC ExDa'!$C$2:$R$155, 9,FALSE), IFERROR(VLOOKUP($A624,'Fusion ExDa'!$B$2:$D$16, 0,FALSE), IFERROR(VLOOKUP($A624,'Exetel ExDa'!$C$2:$N$14, 6,FALSE), IFERROR(VLOOKUP($A624,'Infinet ExDa'!$B$2:$E$14, 0,FALSE), "Not Found"))))))))</f>
        <v>Not Found</v>
      </c>
      <c r="G624" t="str">
        <f>IFERROR(VLOOKUP($A624,'AAPT ExDa'!$B$2:$U$99, 5,FALSE), IFERROR(VLOOKUP($A624,'ABB ExDa'!$A$2:$N$184, 8,FALSE), IFERROR(VLOOKUP($A624,'Vocus SIT ExDa'!$B$2:$J$173, 6,FALSE), IFERROR(VLOOKUP($A624,'Telstra ExDa'!$B$2:$K$310, 0,FALSE), IFERROR(VLOOKUP($A624,'Vocus RVC ExDa'!$C$2:$R$155, 15,FALSE), IFERROR(VLOOKUP($A624,'Fusion ExDa'!$B$2:$D$16, 0,FALSE), IFERROR(VLOOKUP($A624,'Exetel ExDa'!$C$2:$N$14, 7,FALSE), IFERROR(VLOOKUP($A624,'Infinet ExDa'!$B$2:$E$14, 0,FALSE), "Not Found"))))))))</f>
        <v>Not Found</v>
      </c>
      <c r="H624" t="str">
        <f>IFERROR(VLOOKUP($A624,'AAPT ExDa'!$B$2:$U$99, 6,FALSE), IFERROR(VLOOKUP($A624,'ABB ExDa'!$A$2:$N$184, 0,FALSE), IFERROR(VLOOKUP($A624,'Vocus SIT ExDa'!$B$2:$J$173, 0,FALSE), IFERROR(VLOOKUP($A624,'Telstra ExDa'!$B$2:$K$310, 0,FALSE), IFERROR(VLOOKUP($A624,'Vocus RVC ExDa'!$C$2:$R$155, 16,FALSE), IFERROR(VLOOKUP($A624,'Fusion ExDa'!$B$2:$D$16, 0,FALSE), IFERROR(VLOOKUP($A624,'Exetel ExDa'!$C$2:$N$14, 0,FALSE), IFERROR(VLOOKUP($A624,'Infinet ExDa'!$B$2:$E$14, 0,FALSE), "Not Found"))))))))</f>
        <v>Not Found</v>
      </c>
      <c r="I624" t="str">
        <f>IFERROR(VLOOKUP($A624,'AAPT ExDa'!$B$2:$U$99, 0,FALSE), IFERROR(VLOOKUP($A624,'ABB ExDa'!$A$2:$N$184, 0,FALSE), IFERROR(VLOOKUP($A624,'Vocus SIT ExDa'!$B$2:$J$173, 0,FALSE), IFERROR(VLOOKUP($A624,'Telstra ExDa'!$B$2:$K$310, 0,FALSE), IFERROR(VLOOKUP($A624,'Vocus RVC ExDa'!$C$2:$R$155, 0,FALSE), IFERROR(VLOOKUP($A624,'Fusion ExDa'!$B$2:$D$16, 0,FALSE), IFERROR(VLOOKUP($A624,'Exetel ExDa'!$C$2:$N$14, 8,FALSE), IFERROR(VLOOKUP($A624,'Infinet ExDa'!$B$2:$E$14, 0,FALSE), "Not Found"))))))))</f>
        <v>Not Found</v>
      </c>
      <c r="J624" t="str">
        <f>IFERROR(VLOOKUP($A624,'AAPT ExDa'!$B$2:$U$99, 7,FALSE), IFERROR(VLOOKUP($A624,'ABB ExDa'!$A$2:$N$184, 2,FALSE), IFERROR(VLOOKUP($A624,'Vocus SIT ExDa'!$B$2:$J$173, 0,FALSE), IFERROR(VLOOKUP($A624,'Telstra ExDa'!$B$2:$K$310, 7,FALSE), IFERROR(VLOOKUP($A624,'Vocus RVC ExDa'!$C$2:$R$155, 2,FALSE), IFERROR(VLOOKUP($A624,'Fusion ExDa'!$B$2:$D$16, 3,FALSE), IFERROR(VLOOKUP($A624,'Exetel ExDa'!$C$2:$N$14, 0,FALSE), IFERROR(VLOOKUP($A624,'Infinet ExDa'!$B$2:$E$14, 0,FALSE), "Not Found"))))))))</f>
        <v>Not Found</v>
      </c>
      <c r="K624" t="str">
        <f>IFERROR(VLOOKUP($A624,'AAPT ExDa'!$B$2:$U$99, 12,FALSE), IFERROR(VLOOKUP($A624,'ABB ExDa'!$A$2:$N$184, 0,FALSE), IFERROR(VLOOKUP($A624,'Vocus SIT ExDa'!$B$2:$J$173, 0,FALSE), IFERROR(VLOOKUP($A624,'Telstra ExDa'!$B$2:$K$310, 0,FALSE), IFERROR(VLOOKUP($A624,'Vocus RVC ExDa'!$C$2:$R$155, 0,FALSE), IFERROR(VLOOKUP($A624,'Fusion ExDa'!$B$2:$D$16, 0,FALSE), IFERROR(VLOOKUP($A624,'Exetel ExDa'!$C$2:$N$14, 12,FALSE), IFERROR(VLOOKUP($A624,'Infinet ExDa'!$B$2:$E$14, 0,FALSE), "Not Found"))))))))</f>
        <v>Not Found</v>
      </c>
      <c r="L624" s="235" t="str">
        <f>IFERROR(VLOOKUP($A624,'AAPT ExDa'!$B$2:$U$99, 11,FALSE), IFERROR(VLOOKUP($A624,'ABB ExDa'!$A$2:$N$184, 9,FALSE), IFERROR(VLOOKUP($A624,'Vocus SIT ExDa'!$B$2:$J$173, 8,FALSE), IFERROR(VLOOKUP($A624,'Telstra ExDa'!$B$2:$K$310, 0,FALSE), IFERROR(VLOOKUP($A624,'Vocus RVC ExDa'!$C$2:$R$155, 0,FALSE), IFERROR(VLOOKUP($A624,'Fusion ExDa'!$B$2:$D$16, 0,FALSE), IFERROR(VLOOKUP($A624,'Exetel ExDa'!$C$2:$N$14, 9,FALSE), IFERROR(VLOOKUP($A624,'Infinet ExDa'!$B$2:$E$14, 0,FALSE), "Not Found"))))))))</f>
        <v>Not Found</v>
      </c>
      <c r="M624" s="234" t="str">
        <f>IFERROR(VLOOKUP($A624,'AAPT ExDa'!$B$2:$U$99, 0,FALSE), IFERROR(VLOOKUP($A624,'ABB ExDa'!$A$2:$N$184, 0,FALSE), IFERROR(VLOOKUP($A624,'Vocus SIT ExDa'!$B$2:$J$173, 0,FALSE), IFERROR(VLOOKUP($A624,'Telstra ExDa'!$B$2:$K$310, 0,FALSE), IFERROR(VLOOKUP($A624,'Vocus RVC ExDa'!$C$2:$R$155, 0,FALSE), IFERROR(VLOOKUP($A624,'Fusion ExDa'!$B$2:$D$16, 0,FALSE), IFERROR(VLOOKUP($A624,'Exetel ExDa'!$C$2:$N$14, 11,FALSE), IFERROR(VLOOKUP($A624,'Infinet ExDa'!$B$2:$E$14, 0,FALSE), "Not Found"))))))))</f>
        <v>Not Found</v>
      </c>
      <c r="N624" t="str">
        <f>IFERROR(VLOOKUP($A624,'AAPT ExDa'!$B$2:$U$99, 0,FALSE), IFERROR(VLOOKUP($A624,'ABB ExDa'!$A$2:$N$184, 13,FALSE), IFERROR(VLOOKUP($A624,'Vocus SIT ExDa'!$B$2:$J$173, 0,FALSE), IFERROR(VLOOKUP($A624,'Telstra ExDa'!$B$2:$K$310, 0,FALSE), IFERROR(VLOOKUP($A624,'Vocus RVC ExDa'!$C$2:$R$155, 0,FALSE), IFERROR(VLOOKUP($A624,'Fusion ExDa'!$B$2:$D$16, 0,FALSE), IFERROR(VLOOKUP($A624,'Exetel ExDa'!$C$2:$N$14, 0,FALSE), IFERROR(VLOOKUP($A624,'Infinet ExDa'!$B$2:$E$14, 0,FALSE), "Not Found"))))))))</f>
        <v>Not Found</v>
      </c>
    </row>
    <row r="625" spans="1:14">
      <c r="A625">
        <v>0</v>
      </c>
      <c r="B625" t="str">
        <f>IFERROR(VLOOKUP(A625,'Exetel ExDa'!$C$2:$N$14,4,FALSE),"No Data")</f>
        <v>No Data</v>
      </c>
      <c r="C625" t="str">
        <f>IFERROR(VLOOKUP(A625,'AAPT ExDa'!$B$2:$U$99, 2,FALSE), IFERROR(VLOOKUP(A625,'ABB ExDa'!$A$2:$N$184, 2,FALSE), IFERROR(VLOOKUP(A625,'Vocus SIT ExDa'!$B$2:$J$173, 7,FALSE), IFERROR(VLOOKUP(A625,'Telstra ExDa'!$B$2:$K$310, 2,FALSE), IFERROR(VLOOKUP(A625,'Vocus RVC ExDa'!$C$2:$R$155, 3,FALSE), IFERROR(VLOOKUP(A625,'Fusion ExDa'!$B$2:$D$16, 2,FALSE), IFERROR(VLOOKUP(A625,'Exetel ExDa'!$C$2:$N$14, 2,FALSE), IFERROR(VLOOKUP(A625,'Infinet ExDa'!$B$2:$E$14, 2,FALSE), "Not Found"))))))))</f>
        <v>Not Found</v>
      </c>
      <c r="D625" t="str">
        <f>IFERROR(VLOOKUP($A625,'AAPT ExDa'!$B$2:$U$99, 15,FALSE), IFERROR(VLOOKUP($A625,'ABB ExDa'!$A$2:$N$184, 4,FALSE), IFERROR(VLOOKUP($A625,'Vocus SIT ExDa'!$B$2:$J$173, 5,FALSE), IFERROR(VLOOKUP($A625,'Telstra ExDa'!$B$2:$K$310, 8,FALSE), IFERROR(VLOOKUP($A625,'Vocus RVC ExDa'!$C$2:$R$155, 6,FALSE), IFERROR(VLOOKUP($A625,'Fusion ExDa'!$B$2:$D$16, 4,FALSE), IFERROR(VLOOKUP($A625,'Exetel ExDa'!$C$2:$N$14, 3,FALSE), IFERROR(VLOOKUP($A625,'Infinet ExDa'!$B$2:$E$14, 3,FALSE), "Not Found"))))))))</f>
        <v>Not Found</v>
      </c>
      <c r="E625" t="str">
        <f>IFERROR(VLOOKUP($A625,'AAPT ExDa'!$B$2:$U$99, 3,FALSE), IFERROR(VLOOKUP($A625,'ABB ExDa'!$A$2:$N$184, 5,FALSE), IFERROR(VLOOKUP($A625,'Vocus SIT ExDa'!$B$2:$J$173, 2,FALSE), IFERROR(VLOOKUP($A625,'Telstra ExDa'!$B$2:$K$310, 4,FALSE), IFERROR(VLOOKUP($A625,'Vocus RVC ExDa'!$C$2:$R$155, 8,FALSE), IFERROR(VLOOKUP($A625,'Fusion ExDa'!$B$2:$D$16, 4,FALSE), IFERROR(VLOOKUP($A625,'Exetel ExDa'!$C$2:$N$14, 5,FALSE), IFERROR(VLOOKUP($A625,'Infinet ExDa'!$B$2:$E$14, 3,FALSE), "Not Found"))))))))</f>
        <v>Not Found</v>
      </c>
      <c r="F625" t="str">
        <f>IFERROR(VLOOKUP($A625,'AAPT ExDa'!$B$2:$U$99, 4,FALSE), IFERROR(VLOOKUP($A625,'ABB ExDa'!$A$2:$N$184, 6,FALSE), IFERROR(VLOOKUP($A625,'Vocus SIT ExDa'!$B$2:$J$173, 3,FALSE), IFERROR(VLOOKUP($A625,'Telstra ExDa'!$B$2:$K$310, 5,FALSE), IFERROR(VLOOKUP($A625,'Vocus RVC ExDa'!$C$2:$R$155, 9,FALSE), IFERROR(VLOOKUP($A625,'Fusion ExDa'!$B$2:$D$16, 0,FALSE), IFERROR(VLOOKUP($A625,'Exetel ExDa'!$C$2:$N$14, 6,FALSE), IFERROR(VLOOKUP($A625,'Infinet ExDa'!$B$2:$E$14, 0,FALSE), "Not Found"))))))))</f>
        <v>Not Found</v>
      </c>
      <c r="G625" t="str">
        <f>IFERROR(VLOOKUP($A625,'AAPT ExDa'!$B$2:$U$99, 5,FALSE), IFERROR(VLOOKUP($A625,'ABB ExDa'!$A$2:$N$184, 8,FALSE), IFERROR(VLOOKUP($A625,'Vocus SIT ExDa'!$B$2:$J$173, 6,FALSE), IFERROR(VLOOKUP($A625,'Telstra ExDa'!$B$2:$K$310, 0,FALSE), IFERROR(VLOOKUP($A625,'Vocus RVC ExDa'!$C$2:$R$155, 15,FALSE), IFERROR(VLOOKUP($A625,'Fusion ExDa'!$B$2:$D$16, 0,FALSE), IFERROR(VLOOKUP($A625,'Exetel ExDa'!$C$2:$N$14, 7,FALSE), IFERROR(VLOOKUP($A625,'Infinet ExDa'!$B$2:$E$14, 0,FALSE), "Not Found"))))))))</f>
        <v>Not Found</v>
      </c>
      <c r="H625" t="str">
        <f>IFERROR(VLOOKUP($A625,'AAPT ExDa'!$B$2:$U$99, 6,FALSE), IFERROR(VLOOKUP($A625,'ABB ExDa'!$A$2:$N$184, 0,FALSE), IFERROR(VLOOKUP($A625,'Vocus SIT ExDa'!$B$2:$J$173, 0,FALSE), IFERROR(VLOOKUP($A625,'Telstra ExDa'!$B$2:$K$310, 0,FALSE), IFERROR(VLOOKUP($A625,'Vocus RVC ExDa'!$C$2:$R$155, 16,FALSE), IFERROR(VLOOKUP($A625,'Fusion ExDa'!$B$2:$D$16, 0,FALSE), IFERROR(VLOOKUP($A625,'Exetel ExDa'!$C$2:$N$14, 0,FALSE), IFERROR(VLOOKUP($A625,'Infinet ExDa'!$B$2:$E$14, 0,FALSE), "Not Found"))))))))</f>
        <v>Not Found</v>
      </c>
      <c r="I625" t="str">
        <f>IFERROR(VLOOKUP($A625,'AAPT ExDa'!$B$2:$U$99, 0,FALSE), IFERROR(VLOOKUP($A625,'ABB ExDa'!$A$2:$N$184, 0,FALSE), IFERROR(VLOOKUP($A625,'Vocus SIT ExDa'!$B$2:$J$173, 0,FALSE), IFERROR(VLOOKUP($A625,'Telstra ExDa'!$B$2:$K$310, 0,FALSE), IFERROR(VLOOKUP($A625,'Vocus RVC ExDa'!$C$2:$R$155, 0,FALSE), IFERROR(VLOOKUP($A625,'Fusion ExDa'!$B$2:$D$16, 0,FALSE), IFERROR(VLOOKUP($A625,'Exetel ExDa'!$C$2:$N$14, 8,FALSE), IFERROR(VLOOKUP($A625,'Infinet ExDa'!$B$2:$E$14, 0,FALSE), "Not Found"))))))))</f>
        <v>Not Found</v>
      </c>
      <c r="J625" t="str">
        <f>IFERROR(VLOOKUP($A625,'AAPT ExDa'!$B$2:$U$99, 7,FALSE), IFERROR(VLOOKUP($A625,'ABB ExDa'!$A$2:$N$184, 2,FALSE), IFERROR(VLOOKUP($A625,'Vocus SIT ExDa'!$B$2:$J$173, 0,FALSE), IFERROR(VLOOKUP($A625,'Telstra ExDa'!$B$2:$K$310, 7,FALSE), IFERROR(VLOOKUP($A625,'Vocus RVC ExDa'!$C$2:$R$155, 2,FALSE), IFERROR(VLOOKUP($A625,'Fusion ExDa'!$B$2:$D$16, 3,FALSE), IFERROR(VLOOKUP($A625,'Exetel ExDa'!$C$2:$N$14, 0,FALSE), IFERROR(VLOOKUP($A625,'Infinet ExDa'!$B$2:$E$14, 0,FALSE), "Not Found"))))))))</f>
        <v>Not Found</v>
      </c>
      <c r="K625" t="str">
        <f>IFERROR(VLOOKUP($A625,'AAPT ExDa'!$B$2:$U$99, 12,FALSE), IFERROR(VLOOKUP($A625,'ABB ExDa'!$A$2:$N$184, 0,FALSE), IFERROR(VLOOKUP($A625,'Vocus SIT ExDa'!$B$2:$J$173, 0,FALSE), IFERROR(VLOOKUP($A625,'Telstra ExDa'!$B$2:$K$310, 0,FALSE), IFERROR(VLOOKUP($A625,'Vocus RVC ExDa'!$C$2:$R$155, 0,FALSE), IFERROR(VLOOKUP($A625,'Fusion ExDa'!$B$2:$D$16, 0,FALSE), IFERROR(VLOOKUP($A625,'Exetel ExDa'!$C$2:$N$14, 12,FALSE), IFERROR(VLOOKUP($A625,'Infinet ExDa'!$B$2:$E$14, 0,FALSE), "Not Found"))))))))</f>
        <v>Not Found</v>
      </c>
      <c r="L625" s="235" t="str">
        <f>IFERROR(VLOOKUP($A625,'AAPT ExDa'!$B$2:$U$99, 11,FALSE), IFERROR(VLOOKUP($A625,'ABB ExDa'!$A$2:$N$184, 9,FALSE), IFERROR(VLOOKUP($A625,'Vocus SIT ExDa'!$B$2:$J$173, 8,FALSE), IFERROR(VLOOKUP($A625,'Telstra ExDa'!$B$2:$K$310, 0,FALSE), IFERROR(VLOOKUP($A625,'Vocus RVC ExDa'!$C$2:$R$155, 0,FALSE), IFERROR(VLOOKUP($A625,'Fusion ExDa'!$B$2:$D$16, 0,FALSE), IFERROR(VLOOKUP($A625,'Exetel ExDa'!$C$2:$N$14, 9,FALSE), IFERROR(VLOOKUP($A625,'Infinet ExDa'!$B$2:$E$14, 0,FALSE), "Not Found"))))))))</f>
        <v>Not Found</v>
      </c>
      <c r="M625" s="234" t="str">
        <f>IFERROR(VLOOKUP($A625,'AAPT ExDa'!$B$2:$U$99, 0,FALSE), IFERROR(VLOOKUP($A625,'ABB ExDa'!$A$2:$N$184, 0,FALSE), IFERROR(VLOOKUP($A625,'Vocus SIT ExDa'!$B$2:$J$173, 0,FALSE), IFERROR(VLOOKUP($A625,'Telstra ExDa'!$B$2:$K$310, 0,FALSE), IFERROR(VLOOKUP($A625,'Vocus RVC ExDa'!$C$2:$R$155, 0,FALSE), IFERROR(VLOOKUP($A625,'Fusion ExDa'!$B$2:$D$16, 0,FALSE), IFERROR(VLOOKUP($A625,'Exetel ExDa'!$C$2:$N$14, 11,FALSE), IFERROR(VLOOKUP($A625,'Infinet ExDa'!$B$2:$E$14, 0,FALSE), "Not Found"))))))))</f>
        <v>Not Found</v>
      </c>
      <c r="N625" t="str">
        <f>IFERROR(VLOOKUP($A625,'AAPT ExDa'!$B$2:$U$99, 0,FALSE), IFERROR(VLOOKUP($A625,'ABB ExDa'!$A$2:$N$184, 13,FALSE), IFERROR(VLOOKUP($A625,'Vocus SIT ExDa'!$B$2:$J$173, 0,FALSE), IFERROR(VLOOKUP($A625,'Telstra ExDa'!$B$2:$K$310, 0,FALSE), IFERROR(VLOOKUP($A625,'Vocus RVC ExDa'!$C$2:$R$155, 0,FALSE), IFERROR(VLOOKUP($A625,'Fusion ExDa'!$B$2:$D$16, 0,FALSE), IFERROR(VLOOKUP($A625,'Exetel ExDa'!$C$2:$N$14, 0,FALSE), IFERROR(VLOOKUP($A625,'Infinet ExDa'!$B$2:$E$14, 0,FALSE), "Not Found"))))))))</f>
        <v>Not Found</v>
      </c>
    </row>
    <row r="626" spans="1:14">
      <c r="A626">
        <v>0</v>
      </c>
      <c r="B626" t="str">
        <f>IFERROR(VLOOKUP(A626,'Exetel ExDa'!$C$2:$N$14,4,FALSE),"No Data")</f>
        <v>No Data</v>
      </c>
      <c r="C626" t="str">
        <f>IFERROR(VLOOKUP(A626,'AAPT ExDa'!$B$2:$U$99, 2,FALSE), IFERROR(VLOOKUP(A626,'ABB ExDa'!$A$2:$N$184, 2,FALSE), IFERROR(VLOOKUP(A626,'Vocus SIT ExDa'!$B$2:$J$173, 7,FALSE), IFERROR(VLOOKUP(A626,'Telstra ExDa'!$B$2:$K$310, 2,FALSE), IFERROR(VLOOKUP(A626,'Vocus RVC ExDa'!$C$2:$R$155, 3,FALSE), IFERROR(VLOOKUP(A626,'Fusion ExDa'!$B$2:$D$16, 2,FALSE), IFERROR(VLOOKUP(A626,'Exetel ExDa'!$C$2:$N$14, 2,FALSE), IFERROR(VLOOKUP(A626,'Infinet ExDa'!$B$2:$E$14, 2,FALSE), "Not Found"))))))))</f>
        <v>Not Found</v>
      </c>
      <c r="D626" t="str">
        <f>IFERROR(VLOOKUP($A626,'AAPT ExDa'!$B$2:$U$99, 15,FALSE), IFERROR(VLOOKUP($A626,'ABB ExDa'!$A$2:$N$184, 4,FALSE), IFERROR(VLOOKUP($A626,'Vocus SIT ExDa'!$B$2:$J$173, 5,FALSE), IFERROR(VLOOKUP($A626,'Telstra ExDa'!$B$2:$K$310, 8,FALSE), IFERROR(VLOOKUP($A626,'Vocus RVC ExDa'!$C$2:$R$155, 6,FALSE), IFERROR(VLOOKUP($A626,'Fusion ExDa'!$B$2:$D$16, 4,FALSE), IFERROR(VLOOKUP($A626,'Exetel ExDa'!$C$2:$N$14, 3,FALSE), IFERROR(VLOOKUP($A626,'Infinet ExDa'!$B$2:$E$14, 3,FALSE), "Not Found"))))))))</f>
        <v>Not Found</v>
      </c>
      <c r="E626" t="str">
        <f>IFERROR(VLOOKUP($A626,'AAPT ExDa'!$B$2:$U$99, 3,FALSE), IFERROR(VLOOKUP($A626,'ABB ExDa'!$A$2:$N$184, 5,FALSE), IFERROR(VLOOKUP($A626,'Vocus SIT ExDa'!$B$2:$J$173, 2,FALSE), IFERROR(VLOOKUP($A626,'Telstra ExDa'!$B$2:$K$310, 4,FALSE), IFERROR(VLOOKUP($A626,'Vocus RVC ExDa'!$C$2:$R$155, 8,FALSE), IFERROR(VLOOKUP($A626,'Fusion ExDa'!$B$2:$D$16, 4,FALSE), IFERROR(VLOOKUP($A626,'Exetel ExDa'!$C$2:$N$14, 5,FALSE), IFERROR(VLOOKUP($A626,'Infinet ExDa'!$B$2:$E$14, 3,FALSE), "Not Found"))))))))</f>
        <v>Not Found</v>
      </c>
      <c r="F626" t="str">
        <f>IFERROR(VLOOKUP($A626,'AAPT ExDa'!$B$2:$U$99, 4,FALSE), IFERROR(VLOOKUP($A626,'ABB ExDa'!$A$2:$N$184, 6,FALSE), IFERROR(VLOOKUP($A626,'Vocus SIT ExDa'!$B$2:$J$173, 3,FALSE), IFERROR(VLOOKUP($A626,'Telstra ExDa'!$B$2:$K$310, 5,FALSE), IFERROR(VLOOKUP($A626,'Vocus RVC ExDa'!$C$2:$R$155, 9,FALSE), IFERROR(VLOOKUP($A626,'Fusion ExDa'!$B$2:$D$16, 0,FALSE), IFERROR(VLOOKUP($A626,'Exetel ExDa'!$C$2:$N$14, 6,FALSE), IFERROR(VLOOKUP($A626,'Infinet ExDa'!$B$2:$E$14, 0,FALSE), "Not Found"))))))))</f>
        <v>Not Found</v>
      </c>
      <c r="G626" t="str">
        <f>IFERROR(VLOOKUP($A626,'AAPT ExDa'!$B$2:$U$99, 5,FALSE), IFERROR(VLOOKUP($A626,'ABB ExDa'!$A$2:$N$184, 8,FALSE), IFERROR(VLOOKUP($A626,'Vocus SIT ExDa'!$B$2:$J$173, 6,FALSE), IFERROR(VLOOKUP($A626,'Telstra ExDa'!$B$2:$K$310, 0,FALSE), IFERROR(VLOOKUP($A626,'Vocus RVC ExDa'!$C$2:$R$155, 15,FALSE), IFERROR(VLOOKUP($A626,'Fusion ExDa'!$B$2:$D$16, 0,FALSE), IFERROR(VLOOKUP($A626,'Exetel ExDa'!$C$2:$N$14, 7,FALSE), IFERROR(VLOOKUP($A626,'Infinet ExDa'!$B$2:$E$14, 0,FALSE), "Not Found"))))))))</f>
        <v>Not Found</v>
      </c>
      <c r="H626" t="str">
        <f>IFERROR(VLOOKUP($A626,'AAPT ExDa'!$B$2:$U$99, 6,FALSE), IFERROR(VLOOKUP($A626,'ABB ExDa'!$A$2:$N$184, 0,FALSE), IFERROR(VLOOKUP($A626,'Vocus SIT ExDa'!$B$2:$J$173, 0,FALSE), IFERROR(VLOOKUP($A626,'Telstra ExDa'!$B$2:$K$310, 0,FALSE), IFERROR(VLOOKUP($A626,'Vocus RVC ExDa'!$C$2:$R$155, 16,FALSE), IFERROR(VLOOKUP($A626,'Fusion ExDa'!$B$2:$D$16, 0,FALSE), IFERROR(VLOOKUP($A626,'Exetel ExDa'!$C$2:$N$14, 0,FALSE), IFERROR(VLOOKUP($A626,'Infinet ExDa'!$B$2:$E$14, 0,FALSE), "Not Found"))))))))</f>
        <v>Not Found</v>
      </c>
      <c r="I626" t="str">
        <f>IFERROR(VLOOKUP($A626,'AAPT ExDa'!$B$2:$U$99, 0,FALSE), IFERROR(VLOOKUP($A626,'ABB ExDa'!$A$2:$N$184, 0,FALSE), IFERROR(VLOOKUP($A626,'Vocus SIT ExDa'!$B$2:$J$173, 0,FALSE), IFERROR(VLOOKUP($A626,'Telstra ExDa'!$B$2:$K$310, 0,FALSE), IFERROR(VLOOKUP($A626,'Vocus RVC ExDa'!$C$2:$R$155, 0,FALSE), IFERROR(VLOOKUP($A626,'Fusion ExDa'!$B$2:$D$16, 0,FALSE), IFERROR(VLOOKUP($A626,'Exetel ExDa'!$C$2:$N$14, 8,FALSE), IFERROR(VLOOKUP($A626,'Infinet ExDa'!$B$2:$E$14, 0,FALSE), "Not Found"))))))))</f>
        <v>Not Found</v>
      </c>
      <c r="J626" t="str">
        <f>IFERROR(VLOOKUP($A626,'AAPT ExDa'!$B$2:$U$99, 7,FALSE), IFERROR(VLOOKUP($A626,'ABB ExDa'!$A$2:$N$184, 2,FALSE), IFERROR(VLOOKUP($A626,'Vocus SIT ExDa'!$B$2:$J$173, 0,FALSE), IFERROR(VLOOKUP($A626,'Telstra ExDa'!$B$2:$K$310, 7,FALSE), IFERROR(VLOOKUP($A626,'Vocus RVC ExDa'!$C$2:$R$155, 2,FALSE), IFERROR(VLOOKUP($A626,'Fusion ExDa'!$B$2:$D$16, 3,FALSE), IFERROR(VLOOKUP($A626,'Exetel ExDa'!$C$2:$N$14, 0,FALSE), IFERROR(VLOOKUP($A626,'Infinet ExDa'!$B$2:$E$14, 0,FALSE), "Not Found"))))))))</f>
        <v>Not Found</v>
      </c>
      <c r="K626" t="str">
        <f>IFERROR(VLOOKUP($A626,'AAPT ExDa'!$B$2:$U$99, 12,FALSE), IFERROR(VLOOKUP($A626,'ABB ExDa'!$A$2:$N$184, 0,FALSE), IFERROR(VLOOKUP($A626,'Vocus SIT ExDa'!$B$2:$J$173, 0,FALSE), IFERROR(VLOOKUP($A626,'Telstra ExDa'!$B$2:$K$310, 0,FALSE), IFERROR(VLOOKUP($A626,'Vocus RVC ExDa'!$C$2:$R$155, 0,FALSE), IFERROR(VLOOKUP($A626,'Fusion ExDa'!$B$2:$D$16, 0,FALSE), IFERROR(VLOOKUP($A626,'Exetel ExDa'!$C$2:$N$14, 12,FALSE), IFERROR(VLOOKUP($A626,'Infinet ExDa'!$B$2:$E$14, 0,FALSE), "Not Found"))))))))</f>
        <v>Not Found</v>
      </c>
      <c r="L626" s="235" t="str">
        <f>IFERROR(VLOOKUP($A626,'AAPT ExDa'!$B$2:$U$99, 11,FALSE), IFERROR(VLOOKUP($A626,'ABB ExDa'!$A$2:$N$184, 9,FALSE), IFERROR(VLOOKUP($A626,'Vocus SIT ExDa'!$B$2:$J$173, 8,FALSE), IFERROR(VLOOKUP($A626,'Telstra ExDa'!$B$2:$K$310, 0,FALSE), IFERROR(VLOOKUP($A626,'Vocus RVC ExDa'!$C$2:$R$155, 0,FALSE), IFERROR(VLOOKUP($A626,'Fusion ExDa'!$B$2:$D$16, 0,FALSE), IFERROR(VLOOKUP($A626,'Exetel ExDa'!$C$2:$N$14, 9,FALSE), IFERROR(VLOOKUP($A626,'Infinet ExDa'!$B$2:$E$14, 0,FALSE), "Not Found"))))))))</f>
        <v>Not Found</v>
      </c>
      <c r="M626" s="234" t="str">
        <f>IFERROR(VLOOKUP($A626,'AAPT ExDa'!$B$2:$U$99, 0,FALSE), IFERROR(VLOOKUP($A626,'ABB ExDa'!$A$2:$N$184, 0,FALSE), IFERROR(VLOOKUP($A626,'Vocus SIT ExDa'!$B$2:$J$173, 0,FALSE), IFERROR(VLOOKUP($A626,'Telstra ExDa'!$B$2:$K$310, 0,FALSE), IFERROR(VLOOKUP($A626,'Vocus RVC ExDa'!$C$2:$R$155, 0,FALSE), IFERROR(VLOOKUP($A626,'Fusion ExDa'!$B$2:$D$16, 0,FALSE), IFERROR(VLOOKUP($A626,'Exetel ExDa'!$C$2:$N$14, 11,FALSE), IFERROR(VLOOKUP($A626,'Infinet ExDa'!$B$2:$E$14, 0,FALSE), "Not Found"))))))))</f>
        <v>Not Found</v>
      </c>
      <c r="N626" t="str">
        <f>IFERROR(VLOOKUP($A626,'AAPT ExDa'!$B$2:$U$99, 0,FALSE), IFERROR(VLOOKUP($A626,'ABB ExDa'!$A$2:$N$184, 13,FALSE), IFERROR(VLOOKUP($A626,'Vocus SIT ExDa'!$B$2:$J$173, 0,FALSE), IFERROR(VLOOKUP($A626,'Telstra ExDa'!$B$2:$K$310, 0,FALSE), IFERROR(VLOOKUP($A626,'Vocus RVC ExDa'!$C$2:$R$155, 0,FALSE), IFERROR(VLOOKUP($A626,'Fusion ExDa'!$B$2:$D$16, 0,FALSE), IFERROR(VLOOKUP($A626,'Exetel ExDa'!$C$2:$N$14, 0,FALSE), IFERROR(VLOOKUP($A626,'Infinet ExDa'!$B$2:$E$14, 0,FALSE), "Not Found"))))))))</f>
        <v>Not Found</v>
      </c>
    </row>
    <row r="627" spans="1:14">
      <c r="A627">
        <v>0</v>
      </c>
      <c r="B627" t="str">
        <f>IFERROR(VLOOKUP(A627,'Exetel ExDa'!$C$2:$N$14,4,FALSE),"No Data")</f>
        <v>No Data</v>
      </c>
      <c r="C627" t="str">
        <f>IFERROR(VLOOKUP(A627,'AAPT ExDa'!$B$2:$U$99, 2,FALSE), IFERROR(VLOOKUP(A627,'ABB ExDa'!$A$2:$N$184, 2,FALSE), IFERROR(VLOOKUP(A627,'Vocus SIT ExDa'!$B$2:$J$173, 7,FALSE), IFERROR(VLOOKUP(A627,'Telstra ExDa'!$B$2:$K$310, 2,FALSE), IFERROR(VLOOKUP(A627,'Vocus RVC ExDa'!$C$2:$R$155, 3,FALSE), IFERROR(VLOOKUP(A627,'Fusion ExDa'!$B$2:$D$16, 2,FALSE), IFERROR(VLOOKUP(A627,'Exetel ExDa'!$C$2:$N$14, 2,FALSE), IFERROR(VLOOKUP(A627,'Infinet ExDa'!$B$2:$E$14, 2,FALSE), "Not Found"))))))))</f>
        <v>Not Found</v>
      </c>
      <c r="D627" t="str">
        <f>IFERROR(VLOOKUP($A627,'AAPT ExDa'!$B$2:$U$99, 15,FALSE), IFERROR(VLOOKUP($A627,'ABB ExDa'!$A$2:$N$184, 4,FALSE), IFERROR(VLOOKUP($A627,'Vocus SIT ExDa'!$B$2:$J$173, 5,FALSE), IFERROR(VLOOKUP($A627,'Telstra ExDa'!$B$2:$K$310, 8,FALSE), IFERROR(VLOOKUP($A627,'Vocus RVC ExDa'!$C$2:$R$155, 6,FALSE), IFERROR(VLOOKUP($A627,'Fusion ExDa'!$B$2:$D$16, 4,FALSE), IFERROR(VLOOKUP($A627,'Exetel ExDa'!$C$2:$N$14, 3,FALSE), IFERROR(VLOOKUP($A627,'Infinet ExDa'!$B$2:$E$14, 3,FALSE), "Not Found"))))))))</f>
        <v>Not Found</v>
      </c>
      <c r="E627" t="str">
        <f>IFERROR(VLOOKUP($A627,'AAPT ExDa'!$B$2:$U$99, 3,FALSE), IFERROR(VLOOKUP($A627,'ABB ExDa'!$A$2:$N$184, 5,FALSE), IFERROR(VLOOKUP($A627,'Vocus SIT ExDa'!$B$2:$J$173, 2,FALSE), IFERROR(VLOOKUP($A627,'Telstra ExDa'!$B$2:$K$310, 4,FALSE), IFERROR(VLOOKUP($A627,'Vocus RVC ExDa'!$C$2:$R$155, 8,FALSE), IFERROR(VLOOKUP($A627,'Fusion ExDa'!$B$2:$D$16, 4,FALSE), IFERROR(VLOOKUP($A627,'Exetel ExDa'!$C$2:$N$14, 5,FALSE), IFERROR(VLOOKUP($A627,'Infinet ExDa'!$B$2:$E$14, 3,FALSE), "Not Found"))))))))</f>
        <v>Not Found</v>
      </c>
      <c r="F627" t="str">
        <f>IFERROR(VLOOKUP($A627,'AAPT ExDa'!$B$2:$U$99, 4,FALSE), IFERROR(VLOOKUP($A627,'ABB ExDa'!$A$2:$N$184, 6,FALSE), IFERROR(VLOOKUP($A627,'Vocus SIT ExDa'!$B$2:$J$173, 3,FALSE), IFERROR(VLOOKUP($A627,'Telstra ExDa'!$B$2:$K$310, 5,FALSE), IFERROR(VLOOKUP($A627,'Vocus RVC ExDa'!$C$2:$R$155, 9,FALSE), IFERROR(VLOOKUP($A627,'Fusion ExDa'!$B$2:$D$16, 0,FALSE), IFERROR(VLOOKUP($A627,'Exetel ExDa'!$C$2:$N$14, 6,FALSE), IFERROR(VLOOKUP($A627,'Infinet ExDa'!$B$2:$E$14, 0,FALSE), "Not Found"))))))))</f>
        <v>Not Found</v>
      </c>
      <c r="G627" t="str">
        <f>IFERROR(VLOOKUP($A627,'AAPT ExDa'!$B$2:$U$99, 5,FALSE), IFERROR(VLOOKUP($A627,'ABB ExDa'!$A$2:$N$184, 8,FALSE), IFERROR(VLOOKUP($A627,'Vocus SIT ExDa'!$B$2:$J$173, 6,FALSE), IFERROR(VLOOKUP($A627,'Telstra ExDa'!$B$2:$K$310, 0,FALSE), IFERROR(VLOOKUP($A627,'Vocus RVC ExDa'!$C$2:$R$155, 15,FALSE), IFERROR(VLOOKUP($A627,'Fusion ExDa'!$B$2:$D$16, 0,FALSE), IFERROR(VLOOKUP($A627,'Exetel ExDa'!$C$2:$N$14, 7,FALSE), IFERROR(VLOOKUP($A627,'Infinet ExDa'!$B$2:$E$14, 0,FALSE), "Not Found"))))))))</f>
        <v>Not Found</v>
      </c>
      <c r="H627" t="str">
        <f>IFERROR(VLOOKUP($A627,'AAPT ExDa'!$B$2:$U$99, 6,FALSE), IFERROR(VLOOKUP($A627,'ABB ExDa'!$A$2:$N$184, 0,FALSE), IFERROR(VLOOKUP($A627,'Vocus SIT ExDa'!$B$2:$J$173, 0,FALSE), IFERROR(VLOOKUP($A627,'Telstra ExDa'!$B$2:$K$310, 0,FALSE), IFERROR(VLOOKUP($A627,'Vocus RVC ExDa'!$C$2:$R$155, 16,FALSE), IFERROR(VLOOKUP($A627,'Fusion ExDa'!$B$2:$D$16, 0,FALSE), IFERROR(VLOOKUP($A627,'Exetel ExDa'!$C$2:$N$14, 0,FALSE), IFERROR(VLOOKUP($A627,'Infinet ExDa'!$B$2:$E$14, 0,FALSE), "Not Found"))))))))</f>
        <v>Not Found</v>
      </c>
      <c r="I627" t="str">
        <f>IFERROR(VLOOKUP($A627,'AAPT ExDa'!$B$2:$U$99, 0,FALSE), IFERROR(VLOOKUP($A627,'ABB ExDa'!$A$2:$N$184, 0,FALSE), IFERROR(VLOOKUP($A627,'Vocus SIT ExDa'!$B$2:$J$173, 0,FALSE), IFERROR(VLOOKUP($A627,'Telstra ExDa'!$B$2:$K$310, 0,FALSE), IFERROR(VLOOKUP($A627,'Vocus RVC ExDa'!$C$2:$R$155, 0,FALSE), IFERROR(VLOOKUP($A627,'Fusion ExDa'!$B$2:$D$16, 0,FALSE), IFERROR(VLOOKUP($A627,'Exetel ExDa'!$C$2:$N$14, 8,FALSE), IFERROR(VLOOKUP($A627,'Infinet ExDa'!$B$2:$E$14, 0,FALSE), "Not Found"))))))))</f>
        <v>Not Found</v>
      </c>
      <c r="J627" t="str">
        <f>IFERROR(VLOOKUP($A627,'AAPT ExDa'!$B$2:$U$99, 7,FALSE), IFERROR(VLOOKUP($A627,'ABB ExDa'!$A$2:$N$184, 2,FALSE), IFERROR(VLOOKUP($A627,'Vocus SIT ExDa'!$B$2:$J$173, 0,FALSE), IFERROR(VLOOKUP($A627,'Telstra ExDa'!$B$2:$K$310, 7,FALSE), IFERROR(VLOOKUP($A627,'Vocus RVC ExDa'!$C$2:$R$155, 2,FALSE), IFERROR(VLOOKUP($A627,'Fusion ExDa'!$B$2:$D$16, 3,FALSE), IFERROR(VLOOKUP($A627,'Exetel ExDa'!$C$2:$N$14, 0,FALSE), IFERROR(VLOOKUP($A627,'Infinet ExDa'!$B$2:$E$14, 0,FALSE), "Not Found"))))))))</f>
        <v>Not Found</v>
      </c>
      <c r="K627" t="str">
        <f>IFERROR(VLOOKUP($A627,'AAPT ExDa'!$B$2:$U$99, 12,FALSE), IFERROR(VLOOKUP($A627,'ABB ExDa'!$A$2:$N$184, 0,FALSE), IFERROR(VLOOKUP($A627,'Vocus SIT ExDa'!$B$2:$J$173, 0,FALSE), IFERROR(VLOOKUP($A627,'Telstra ExDa'!$B$2:$K$310, 0,FALSE), IFERROR(VLOOKUP($A627,'Vocus RVC ExDa'!$C$2:$R$155, 0,FALSE), IFERROR(VLOOKUP($A627,'Fusion ExDa'!$B$2:$D$16, 0,FALSE), IFERROR(VLOOKUP($A627,'Exetel ExDa'!$C$2:$N$14, 12,FALSE), IFERROR(VLOOKUP($A627,'Infinet ExDa'!$B$2:$E$14, 0,FALSE), "Not Found"))))))))</f>
        <v>Not Found</v>
      </c>
      <c r="L627" s="235" t="str">
        <f>IFERROR(VLOOKUP($A627,'AAPT ExDa'!$B$2:$U$99, 11,FALSE), IFERROR(VLOOKUP($A627,'ABB ExDa'!$A$2:$N$184, 9,FALSE), IFERROR(VLOOKUP($A627,'Vocus SIT ExDa'!$B$2:$J$173, 8,FALSE), IFERROR(VLOOKUP($A627,'Telstra ExDa'!$B$2:$K$310, 0,FALSE), IFERROR(VLOOKUP($A627,'Vocus RVC ExDa'!$C$2:$R$155, 0,FALSE), IFERROR(VLOOKUP($A627,'Fusion ExDa'!$B$2:$D$16, 0,FALSE), IFERROR(VLOOKUP($A627,'Exetel ExDa'!$C$2:$N$14, 9,FALSE), IFERROR(VLOOKUP($A627,'Infinet ExDa'!$B$2:$E$14, 0,FALSE), "Not Found"))))))))</f>
        <v>Not Found</v>
      </c>
      <c r="M627" s="234" t="str">
        <f>IFERROR(VLOOKUP($A627,'AAPT ExDa'!$B$2:$U$99, 0,FALSE), IFERROR(VLOOKUP($A627,'ABB ExDa'!$A$2:$N$184, 0,FALSE), IFERROR(VLOOKUP($A627,'Vocus SIT ExDa'!$B$2:$J$173, 0,FALSE), IFERROR(VLOOKUP($A627,'Telstra ExDa'!$B$2:$K$310, 0,FALSE), IFERROR(VLOOKUP($A627,'Vocus RVC ExDa'!$C$2:$R$155, 0,FALSE), IFERROR(VLOOKUP($A627,'Fusion ExDa'!$B$2:$D$16, 0,FALSE), IFERROR(VLOOKUP($A627,'Exetel ExDa'!$C$2:$N$14, 11,FALSE), IFERROR(VLOOKUP($A627,'Infinet ExDa'!$B$2:$E$14, 0,FALSE), "Not Found"))))))))</f>
        <v>Not Found</v>
      </c>
      <c r="N627" t="str">
        <f>IFERROR(VLOOKUP($A627,'AAPT ExDa'!$B$2:$U$99, 0,FALSE), IFERROR(VLOOKUP($A627,'ABB ExDa'!$A$2:$N$184, 13,FALSE), IFERROR(VLOOKUP($A627,'Vocus SIT ExDa'!$B$2:$J$173, 0,FALSE), IFERROR(VLOOKUP($A627,'Telstra ExDa'!$B$2:$K$310, 0,FALSE), IFERROR(VLOOKUP($A627,'Vocus RVC ExDa'!$C$2:$R$155, 0,FALSE), IFERROR(VLOOKUP($A627,'Fusion ExDa'!$B$2:$D$16, 0,FALSE), IFERROR(VLOOKUP($A627,'Exetel ExDa'!$C$2:$N$14, 0,FALSE), IFERROR(VLOOKUP($A627,'Infinet ExDa'!$B$2:$E$14, 0,FALSE), "Not Found"))))))))</f>
        <v>Not Found</v>
      </c>
    </row>
    <row r="628" spans="1:14">
      <c r="A628">
        <v>0</v>
      </c>
      <c r="B628" t="str">
        <f>IFERROR(VLOOKUP(A628,'Exetel ExDa'!$C$2:$N$14,4,FALSE),"No Data")</f>
        <v>No Data</v>
      </c>
      <c r="C628" t="str">
        <f>IFERROR(VLOOKUP(A628,'AAPT ExDa'!$B$2:$U$99, 2,FALSE), IFERROR(VLOOKUP(A628,'ABB ExDa'!$A$2:$N$184, 2,FALSE), IFERROR(VLOOKUP(A628,'Vocus SIT ExDa'!$B$2:$J$173, 7,FALSE), IFERROR(VLOOKUP(A628,'Telstra ExDa'!$B$2:$K$310, 2,FALSE), IFERROR(VLOOKUP(A628,'Vocus RVC ExDa'!$C$2:$R$155, 3,FALSE), IFERROR(VLOOKUP(A628,'Fusion ExDa'!$B$2:$D$16, 2,FALSE), IFERROR(VLOOKUP(A628,'Exetel ExDa'!$C$2:$N$14, 2,FALSE), IFERROR(VLOOKUP(A628,'Infinet ExDa'!$B$2:$E$14, 2,FALSE), "Not Found"))))))))</f>
        <v>Not Found</v>
      </c>
      <c r="D628" t="str">
        <f>IFERROR(VLOOKUP($A628,'AAPT ExDa'!$B$2:$U$99, 15,FALSE), IFERROR(VLOOKUP($A628,'ABB ExDa'!$A$2:$N$184, 4,FALSE), IFERROR(VLOOKUP($A628,'Vocus SIT ExDa'!$B$2:$J$173, 5,FALSE), IFERROR(VLOOKUP($A628,'Telstra ExDa'!$B$2:$K$310, 8,FALSE), IFERROR(VLOOKUP($A628,'Vocus RVC ExDa'!$C$2:$R$155, 6,FALSE), IFERROR(VLOOKUP($A628,'Fusion ExDa'!$B$2:$D$16, 4,FALSE), IFERROR(VLOOKUP($A628,'Exetel ExDa'!$C$2:$N$14, 3,FALSE), IFERROR(VLOOKUP($A628,'Infinet ExDa'!$B$2:$E$14, 3,FALSE), "Not Found"))))))))</f>
        <v>Not Found</v>
      </c>
      <c r="E628" t="str">
        <f>IFERROR(VLOOKUP($A628,'AAPT ExDa'!$B$2:$U$99, 3,FALSE), IFERROR(VLOOKUP($A628,'ABB ExDa'!$A$2:$N$184, 5,FALSE), IFERROR(VLOOKUP($A628,'Vocus SIT ExDa'!$B$2:$J$173, 2,FALSE), IFERROR(VLOOKUP($A628,'Telstra ExDa'!$B$2:$K$310, 4,FALSE), IFERROR(VLOOKUP($A628,'Vocus RVC ExDa'!$C$2:$R$155, 8,FALSE), IFERROR(VLOOKUP($A628,'Fusion ExDa'!$B$2:$D$16, 4,FALSE), IFERROR(VLOOKUP($A628,'Exetel ExDa'!$C$2:$N$14, 5,FALSE), IFERROR(VLOOKUP($A628,'Infinet ExDa'!$B$2:$E$14, 3,FALSE), "Not Found"))))))))</f>
        <v>Not Found</v>
      </c>
      <c r="F628" t="str">
        <f>IFERROR(VLOOKUP($A628,'AAPT ExDa'!$B$2:$U$99, 4,FALSE), IFERROR(VLOOKUP($A628,'ABB ExDa'!$A$2:$N$184, 6,FALSE), IFERROR(VLOOKUP($A628,'Vocus SIT ExDa'!$B$2:$J$173, 3,FALSE), IFERROR(VLOOKUP($A628,'Telstra ExDa'!$B$2:$K$310, 5,FALSE), IFERROR(VLOOKUP($A628,'Vocus RVC ExDa'!$C$2:$R$155, 9,FALSE), IFERROR(VLOOKUP($A628,'Fusion ExDa'!$B$2:$D$16, 0,FALSE), IFERROR(VLOOKUP($A628,'Exetel ExDa'!$C$2:$N$14, 6,FALSE), IFERROR(VLOOKUP($A628,'Infinet ExDa'!$B$2:$E$14, 0,FALSE), "Not Found"))))))))</f>
        <v>Not Found</v>
      </c>
      <c r="G628" t="str">
        <f>IFERROR(VLOOKUP($A628,'AAPT ExDa'!$B$2:$U$99, 5,FALSE), IFERROR(VLOOKUP($A628,'ABB ExDa'!$A$2:$N$184, 8,FALSE), IFERROR(VLOOKUP($A628,'Vocus SIT ExDa'!$B$2:$J$173, 6,FALSE), IFERROR(VLOOKUP($A628,'Telstra ExDa'!$B$2:$K$310, 0,FALSE), IFERROR(VLOOKUP($A628,'Vocus RVC ExDa'!$C$2:$R$155, 15,FALSE), IFERROR(VLOOKUP($A628,'Fusion ExDa'!$B$2:$D$16, 0,FALSE), IFERROR(VLOOKUP($A628,'Exetel ExDa'!$C$2:$N$14, 7,FALSE), IFERROR(VLOOKUP($A628,'Infinet ExDa'!$B$2:$E$14, 0,FALSE), "Not Found"))))))))</f>
        <v>Not Found</v>
      </c>
      <c r="H628" t="str">
        <f>IFERROR(VLOOKUP($A628,'AAPT ExDa'!$B$2:$U$99, 6,FALSE), IFERROR(VLOOKUP($A628,'ABB ExDa'!$A$2:$N$184, 0,FALSE), IFERROR(VLOOKUP($A628,'Vocus SIT ExDa'!$B$2:$J$173, 0,FALSE), IFERROR(VLOOKUP($A628,'Telstra ExDa'!$B$2:$K$310, 0,FALSE), IFERROR(VLOOKUP($A628,'Vocus RVC ExDa'!$C$2:$R$155, 16,FALSE), IFERROR(VLOOKUP($A628,'Fusion ExDa'!$B$2:$D$16, 0,FALSE), IFERROR(VLOOKUP($A628,'Exetel ExDa'!$C$2:$N$14, 0,FALSE), IFERROR(VLOOKUP($A628,'Infinet ExDa'!$B$2:$E$14, 0,FALSE), "Not Found"))))))))</f>
        <v>Not Found</v>
      </c>
      <c r="I628" t="str">
        <f>IFERROR(VLOOKUP($A628,'AAPT ExDa'!$B$2:$U$99, 0,FALSE), IFERROR(VLOOKUP($A628,'ABB ExDa'!$A$2:$N$184, 0,FALSE), IFERROR(VLOOKUP($A628,'Vocus SIT ExDa'!$B$2:$J$173, 0,FALSE), IFERROR(VLOOKUP($A628,'Telstra ExDa'!$B$2:$K$310, 0,FALSE), IFERROR(VLOOKUP($A628,'Vocus RVC ExDa'!$C$2:$R$155, 0,FALSE), IFERROR(VLOOKUP($A628,'Fusion ExDa'!$B$2:$D$16, 0,FALSE), IFERROR(VLOOKUP($A628,'Exetel ExDa'!$C$2:$N$14, 8,FALSE), IFERROR(VLOOKUP($A628,'Infinet ExDa'!$B$2:$E$14, 0,FALSE), "Not Found"))))))))</f>
        <v>Not Found</v>
      </c>
      <c r="J628" t="str">
        <f>IFERROR(VLOOKUP($A628,'AAPT ExDa'!$B$2:$U$99, 7,FALSE), IFERROR(VLOOKUP($A628,'ABB ExDa'!$A$2:$N$184, 2,FALSE), IFERROR(VLOOKUP($A628,'Vocus SIT ExDa'!$B$2:$J$173, 0,FALSE), IFERROR(VLOOKUP($A628,'Telstra ExDa'!$B$2:$K$310, 7,FALSE), IFERROR(VLOOKUP($A628,'Vocus RVC ExDa'!$C$2:$R$155, 2,FALSE), IFERROR(VLOOKUP($A628,'Fusion ExDa'!$B$2:$D$16, 3,FALSE), IFERROR(VLOOKUP($A628,'Exetel ExDa'!$C$2:$N$14, 0,FALSE), IFERROR(VLOOKUP($A628,'Infinet ExDa'!$B$2:$E$14, 0,FALSE), "Not Found"))))))))</f>
        <v>Not Found</v>
      </c>
      <c r="K628" t="str">
        <f>IFERROR(VLOOKUP($A628,'AAPT ExDa'!$B$2:$U$99, 12,FALSE), IFERROR(VLOOKUP($A628,'ABB ExDa'!$A$2:$N$184, 0,FALSE), IFERROR(VLOOKUP($A628,'Vocus SIT ExDa'!$B$2:$J$173, 0,FALSE), IFERROR(VLOOKUP($A628,'Telstra ExDa'!$B$2:$K$310, 0,FALSE), IFERROR(VLOOKUP($A628,'Vocus RVC ExDa'!$C$2:$R$155, 0,FALSE), IFERROR(VLOOKUP($A628,'Fusion ExDa'!$B$2:$D$16, 0,FALSE), IFERROR(VLOOKUP($A628,'Exetel ExDa'!$C$2:$N$14, 12,FALSE), IFERROR(VLOOKUP($A628,'Infinet ExDa'!$B$2:$E$14, 0,FALSE), "Not Found"))))))))</f>
        <v>Not Found</v>
      </c>
      <c r="L628" s="235" t="str">
        <f>IFERROR(VLOOKUP($A628,'AAPT ExDa'!$B$2:$U$99, 11,FALSE), IFERROR(VLOOKUP($A628,'ABB ExDa'!$A$2:$N$184, 9,FALSE), IFERROR(VLOOKUP($A628,'Vocus SIT ExDa'!$B$2:$J$173, 8,FALSE), IFERROR(VLOOKUP($A628,'Telstra ExDa'!$B$2:$K$310, 0,FALSE), IFERROR(VLOOKUP($A628,'Vocus RVC ExDa'!$C$2:$R$155, 0,FALSE), IFERROR(VLOOKUP($A628,'Fusion ExDa'!$B$2:$D$16, 0,FALSE), IFERROR(VLOOKUP($A628,'Exetel ExDa'!$C$2:$N$14, 9,FALSE), IFERROR(VLOOKUP($A628,'Infinet ExDa'!$B$2:$E$14, 0,FALSE), "Not Found"))))))))</f>
        <v>Not Found</v>
      </c>
      <c r="M628" s="234" t="str">
        <f>IFERROR(VLOOKUP($A628,'AAPT ExDa'!$B$2:$U$99, 0,FALSE), IFERROR(VLOOKUP($A628,'ABB ExDa'!$A$2:$N$184, 0,FALSE), IFERROR(VLOOKUP($A628,'Vocus SIT ExDa'!$B$2:$J$173, 0,FALSE), IFERROR(VLOOKUP($A628,'Telstra ExDa'!$B$2:$K$310, 0,FALSE), IFERROR(VLOOKUP($A628,'Vocus RVC ExDa'!$C$2:$R$155, 0,FALSE), IFERROR(VLOOKUP($A628,'Fusion ExDa'!$B$2:$D$16, 0,FALSE), IFERROR(VLOOKUP($A628,'Exetel ExDa'!$C$2:$N$14, 11,FALSE), IFERROR(VLOOKUP($A628,'Infinet ExDa'!$B$2:$E$14, 0,FALSE), "Not Found"))))))))</f>
        <v>Not Found</v>
      </c>
      <c r="N628" t="str">
        <f>IFERROR(VLOOKUP($A628,'AAPT ExDa'!$B$2:$U$99, 0,FALSE), IFERROR(VLOOKUP($A628,'ABB ExDa'!$A$2:$N$184, 13,FALSE), IFERROR(VLOOKUP($A628,'Vocus SIT ExDa'!$B$2:$J$173, 0,FALSE), IFERROR(VLOOKUP($A628,'Telstra ExDa'!$B$2:$K$310, 0,FALSE), IFERROR(VLOOKUP($A628,'Vocus RVC ExDa'!$C$2:$R$155, 0,FALSE), IFERROR(VLOOKUP($A628,'Fusion ExDa'!$B$2:$D$16, 0,FALSE), IFERROR(VLOOKUP($A628,'Exetel ExDa'!$C$2:$N$14, 0,FALSE), IFERROR(VLOOKUP($A628,'Infinet ExDa'!$B$2:$E$14, 0,FALSE), "Not Found"))))))))</f>
        <v>Not Found</v>
      </c>
    </row>
    <row r="629" spans="1:14">
      <c r="A629">
        <v>0</v>
      </c>
      <c r="B629" t="str">
        <f>IFERROR(VLOOKUP(A629,'Exetel ExDa'!$C$2:$N$14,4,FALSE),"No Data")</f>
        <v>No Data</v>
      </c>
      <c r="C629" t="str">
        <f>IFERROR(VLOOKUP(A629,'AAPT ExDa'!$B$2:$U$99, 2,FALSE), IFERROR(VLOOKUP(A629,'ABB ExDa'!$A$2:$N$184, 2,FALSE), IFERROR(VLOOKUP(A629,'Vocus SIT ExDa'!$B$2:$J$173, 7,FALSE), IFERROR(VLOOKUP(A629,'Telstra ExDa'!$B$2:$K$310, 2,FALSE), IFERROR(VLOOKUP(A629,'Vocus RVC ExDa'!$C$2:$R$155, 3,FALSE), IFERROR(VLOOKUP(A629,'Fusion ExDa'!$B$2:$D$16, 2,FALSE), IFERROR(VLOOKUP(A629,'Exetel ExDa'!$C$2:$N$14, 2,FALSE), IFERROR(VLOOKUP(A629,'Infinet ExDa'!$B$2:$E$14, 2,FALSE), "Not Found"))))))))</f>
        <v>Not Found</v>
      </c>
      <c r="D629" t="str">
        <f>IFERROR(VLOOKUP($A629,'AAPT ExDa'!$B$2:$U$99, 15,FALSE), IFERROR(VLOOKUP($A629,'ABB ExDa'!$A$2:$N$184, 4,FALSE), IFERROR(VLOOKUP($A629,'Vocus SIT ExDa'!$B$2:$J$173, 5,FALSE), IFERROR(VLOOKUP($A629,'Telstra ExDa'!$B$2:$K$310, 8,FALSE), IFERROR(VLOOKUP($A629,'Vocus RVC ExDa'!$C$2:$R$155, 6,FALSE), IFERROR(VLOOKUP($A629,'Fusion ExDa'!$B$2:$D$16, 4,FALSE), IFERROR(VLOOKUP($A629,'Exetel ExDa'!$C$2:$N$14, 3,FALSE), IFERROR(VLOOKUP($A629,'Infinet ExDa'!$B$2:$E$14, 3,FALSE), "Not Found"))))))))</f>
        <v>Not Found</v>
      </c>
      <c r="E629" t="str">
        <f>IFERROR(VLOOKUP($A629,'AAPT ExDa'!$B$2:$U$99, 3,FALSE), IFERROR(VLOOKUP($A629,'ABB ExDa'!$A$2:$N$184, 5,FALSE), IFERROR(VLOOKUP($A629,'Vocus SIT ExDa'!$B$2:$J$173, 2,FALSE), IFERROR(VLOOKUP($A629,'Telstra ExDa'!$B$2:$K$310, 4,FALSE), IFERROR(VLOOKUP($A629,'Vocus RVC ExDa'!$C$2:$R$155, 8,FALSE), IFERROR(VLOOKUP($A629,'Fusion ExDa'!$B$2:$D$16, 4,FALSE), IFERROR(VLOOKUP($A629,'Exetel ExDa'!$C$2:$N$14, 5,FALSE), IFERROR(VLOOKUP($A629,'Infinet ExDa'!$B$2:$E$14, 3,FALSE), "Not Found"))))))))</f>
        <v>Not Found</v>
      </c>
      <c r="F629" t="str">
        <f>IFERROR(VLOOKUP($A629,'AAPT ExDa'!$B$2:$U$99, 4,FALSE), IFERROR(VLOOKUP($A629,'ABB ExDa'!$A$2:$N$184, 6,FALSE), IFERROR(VLOOKUP($A629,'Vocus SIT ExDa'!$B$2:$J$173, 3,FALSE), IFERROR(VLOOKUP($A629,'Telstra ExDa'!$B$2:$K$310, 5,FALSE), IFERROR(VLOOKUP($A629,'Vocus RVC ExDa'!$C$2:$R$155, 9,FALSE), IFERROR(VLOOKUP($A629,'Fusion ExDa'!$B$2:$D$16, 0,FALSE), IFERROR(VLOOKUP($A629,'Exetel ExDa'!$C$2:$N$14, 6,FALSE), IFERROR(VLOOKUP($A629,'Infinet ExDa'!$B$2:$E$14, 0,FALSE), "Not Found"))))))))</f>
        <v>Not Found</v>
      </c>
      <c r="G629" t="str">
        <f>IFERROR(VLOOKUP($A629,'AAPT ExDa'!$B$2:$U$99, 5,FALSE), IFERROR(VLOOKUP($A629,'ABB ExDa'!$A$2:$N$184, 8,FALSE), IFERROR(VLOOKUP($A629,'Vocus SIT ExDa'!$B$2:$J$173, 6,FALSE), IFERROR(VLOOKUP($A629,'Telstra ExDa'!$B$2:$K$310, 0,FALSE), IFERROR(VLOOKUP($A629,'Vocus RVC ExDa'!$C$2:$R$155, 15,FALSE), IFERROR(VLOOKUP($A629,'Fusion ExDa'!$B$2:$D$16, 0,FALSE), IFERROR(VLOOKUP($A629,'Exetel ExDa'!$C$2:$N$14, 7,FALSE), IFERROR(VLOOKUP($A629,'Infinet ExDa'!$B$2:$E$14, 0,FALSE), "Not Found"))))))))</f>
        <v>Not Found</v>
      </c>
      <c r="H629" t="str">
        <f>IFERROR(VLOOKUP($A629,'AAPT ExDa'!$B$2:$U$99, 6,FALSE), IFERROR(VLOOKUP($A629,'ABB ExDa'!$A$2:$N$184, 0,FALSE), IFERROR(VLOOKUP($A629,'Vocus SIT ExDa'!$B$2:$J$173, 0,FALSE), IFERROR(VLOOKUP($A629,'Telstra ExDa'!$B$2:$K$310, 0,FALSE), IFERROR(VLOOKUP($A629,'Vocus RVC ExDa'!$C$2:$R$155, 16,FALSE), IFERROR(VLOOKUP($A629,'Fusion ExDa'!$B$2:$D$16, 0,FALSE), IFERROR(VLOOKUP($A629,'Exetel ExDa'!$C$2:$N$14, 0,FALSE), IFERROR(VLOOKUP($A629,'Infinet ExDa'!$B$2:$E$14, 0,FALSE), "Not Found"))))))))</f>
        <v>Not Found</v>
      </c>
      <c r="I629" t="str">
        <f>IFERROR(VLOOKUP($A629,'AAPT ExDa'!$B$2:$U$99, 0,FALSE), IFERROR(VLOOKUP($A629,'ABB ExDa'!$A$2:$N$184, 0,FALSE), IFERROR(VLOOKUP($A629,'Vocus SIT ExDa'!$B$2:$J$173, 0,FALSE), IFERROR(VLOOKUP($A629,'Telstra ExDa'!$B$2:$K$310, 0,FALSE), IFERROR(VLOOKUP($A629,'Vocus RVC ExDa'!$C$2:$R$155, 0,FALSE), IFERROR(VLOOKUP($A629,'Fusion ExDa'!$B$2:$D$16, 0,FALSE), IFERROR(VLOOKUP($A629,'Exetel ExDa'!$C$2:$N$14, 8,FALSE), IFERROR(VLOOKUP($A629,'Infinet ExDa'!$B$2:$E$14, 0,FALSE), "Not Found"))))))))</f>
        <v>Not Found</v>
      </c>
      <c r="J629" t="str">
        <f>IFERROR(VLOOKUP($A629,'AAPT ExDa'!$B$2:$U$99, 7,FALSE), IFERROR(VLOOKUP($A629,'ABB ExDa'!$A$2:$N$184, 2,FALSE), IFERROR(VLOOKUP($A629,'Vocus SIT ExDa'!$B$2:$J$173, 0,FALSE), IFERROR(VLOOKUP($A629,'Telstra ExDa'!$B$2:$K$310, 7,FALSE), IFERROR(VLOOKUP($A629,'Vocus RVC ExDa'!$C$2:$R$155, 2,FALSE), IFERROR(VLOOKUP($A629,'Fusion ExDa'!$B$2:$D$16, 3,FALSE), IFERROR(VLOOKUP($A629,'Exetel ExDa'!$C$2:$N$14, 0,FALSE), IFERROR(VLOOKUP($A629,'Infinet ExDa'!$B$2:$E$14, 0,FALSE), "Not Found"))))))))</f>
        <v>Not Found</v>
      </c>
      <c r="K629" t="str">
        <f>IFERROR(VLOOKUP($A629,'AAPT ExDa'!$B$2:$U$99, 12,FALSE), IFERROR(VLOOKUP($A629,'ABB ExDa'!$A$2:$N$184, 0,FALSE), IFERROR(VLOOKUP($A629,'Vocus SIT ExDa'!$B$2:$J$173, 0,FALSE), IFERROR(VLOOKUP($A629,'Telstra ExDa'!$B$2:$K$310, 0,FALSE), IFERROR(VLOOKUP($A629,'Vocus RVC ExDa'!$C$2:$R$155, 0,FALSE), IFERROR(VLOOKUP($A629,'Fusion ExDa'!$B$2:$D$16, 0,FALSE), IFERROR(VLOOKUP($A629,'Exetel ExDa'!$C$2:$N$14, 12,FALSE), IFERROR(VLOOKUP($A629,'Infinet ExDa'!$B$2:$E$14, 0,FALSE), "Not Found"))))))))</f>
        <v>Not Found</v>
      </c>
      <c r="L629" s="235" t="str">
        <f>IFERROR(VLOOKUP($A629,'AAPT ExDa'!$B$2:$U$99, 11,FALSE), IFERROR(VLOOKUP($A629,'ABB ExDa'!$A$2:$N$184, 9,FALSE), IFERROR(VLOOKUP($A629,'Vocus SIT ExDa'!$B$2:$J$173, 8,FALSE), IFERROR(VLOOKUP($A629,'Telstra ExDa'!$B$2:$K$310, 0,FALSE), IFERROR(VLOOKUP($A629,'Vocus RVC ExDa'!$C$2:$R$155, 0,FALSE), IFERROR(VLOOKUP($A629,'Fusion ExDa'!$B$2:$D$16, 0,FALSE), IFERROR(VLOOKUP($A629,'Exetel ExDa'!$C$2:$N$14, 9,FALSE), IFERROR(VLOOKUP($A629,'Infinet ExDa'!$B$2:$E$14, 0,FALSE), "Not Found"))))))))</f>
        <v>Not Found</v>
      </c>
      <c r="M629" s="234" t="str">
        <f>IFERROR(VLOOKUP($A629,'AAPT ExDa'!$B$2:$U$99, 0,FALSE), IFERROR(VLOOKUP($A629,'ABB ExDa'!$A$2:$N$184, 0,FALSE), IFERROR(VLOOKUP($A629,'Vocus SIT ExDa'!$B$2:$J$173, 0,FALSE), IFERROR(VLOOKUP($A629,'Telstra ExDa'!$B$2:$K$310, 0,FALSE), IFERROR(VLOOKUP($A629,'Vocus RVC ExDa'!$C$2:$R$155, 0,FALSE), IFERROR(VLOOKUP($A629,'Fusion ExDa'!$B$2:$D$16, 0,FALSE), IFERROR(VLOOKUP($A629,'Exetel ExDa'!$C$2:$N$14, 11,FALSE), IFERROR(VLOOKUP($A629,'Infinet ExDa'!$B$2:$E$14, 0,FALSE), "Not Found"))))))))</f>
        <v>Not Found</v>
      </c>
      <c r="N629" t="str">
        <f>IFERROR(VLOOKUP($A629,'AAPT ExDa'!$B$2:$U$99, 0,FALSE), IFERROR(VLOOKUP($A629,'ABB ExDa'!$A$2:$N$184, 13,FALSE), IFERROR(VLOOKUP($A629,'Vocus SIT ExDa'!$B$2:$J$173, 0,FALSE), IFERROR(VLOOKUP($A629,'Telstra ExDa'!$B$2:$K$310, 0,FALSE), IFERROR(VLOOKUP($A629,'Vocus RVC ExDa'!$C$2:$R$155, 0,FALSE), IFERROR(VLOOKUP($A629,'Fusion ExDa'!$B$2:$D$16, 0,FALSE), IFERROR(VLOOKUP($A629,'Exetel ExDa'!$C$2:$N$14, 0,FALSE), IFERROR(VLOOKUP($A629,'Infinet ExDa'!$B$2:$E$14, 0,FALSE), "Not Found"))))))))</f>
        <v>Not Found</v>
      </c>
    </row>
    <row r="630" spans="1:14">
      <c r="A630">
        <v>0</v>
      </c>
      <c r="B630" t="str">
        <f>IFERROR(VLOOKUP(A630,'Exetel ExDa'!$C$2:$N$14,4,FALSE),"No Data")</f>
        <v>No Data</v>
      </c>
      <c r="C630" t="str">
        <f>IFERROR(VLOOKUP(A630,'AAPT ExDa'!$B$2:$U$99, 2,FALSE), IFERROR(VLOOKUP(A630,'ABB ExDa'!$A$2:$N$184, 2,FALSE), IFERROR(VLOOKUP(A630,'Vocus SIT ExDa'!$B$2:$J$173, 7,FALSE), IFERROR(VLOOKUP(A630,'Telstra ExDa'!$B$2:$K$310, 2,FALSE), IFERROR(VLOOKUP(A630,'Vocus RVC ExDa'!$C$2:$R$155, 3,FALSE), IFERROR(VLOOKUP(A630,'Fusion ExDa'!$B$2:$D$16, 2,FALSE), IFERROR(VLOOKUP(A630,'Exetel ExDa'!$C$2:$N$14, 2,FALSE), IFERROR(VLOOKUP(A630,'Infinet ExDa'!$B$2:$E$14, 2,FALSE), "Not Found"))))))))</f>
        <v>Not Found</v>
      </c>
      <c r="D630" t="str">
        <f>IFERROR(VLOOKUP($A630,'AAPT ExDa'!$B$2:$U$99, 15,FALSE), IFERROR(VLOOKUP($A630,'ABB ExDa'!$A$2:$N$184, 4,FALSE), IFERROR(VLOOKUP($A630,'Vocus SIT ExDa'!$B$2:$J$173, 5,FALSE), IFERROR(VLOOKUP($A630,'Telstra ExDa'!$B$2:$K$310, 8,FALSE), IFERROR(VLOOKUP($A630,'Vocus RVC ExDa'!$C$2:$R$155, 6,FALSE), IFERROR(VLOOKUP($A630,'Fusion ExDa'!$B$2:$D$16, 4,FALSE), IFERROR(VLOOKUP($A630,'Exetel ExDa'!$C$2:$N$14, 3,FALSE), IFERROR(VLOOKUP($A630,'Infinet ExDa'!$B$2:$E$14, 3,FALSE), "Not Found"))))))))</f>
        <v>Not Found</v>
      </c>
      <c r="E630" t="str">
        <f>IFERROR(VLOOKUP($A630,'AAPT ExDa'!$B$2:$U$99, 3,FALSE), IFERROR(VLOOKUP($A630,'ABB ExDa'!$A$2:$N$184, 5,FALSE), IFERROR(VLOOKUP($A630,'Vocus SIT ExDa'!$B$2:$J$173, 2,FALSE), IFERROR(VLOOKUP($A630,'Telstra ExDa'!$B$2:$K$310, 4,FALSE), IFERROR(VLOOKUP($A630,'Vocus RVC ExDa'!$C$2:$R$155, 8,FALSE), IFERROR(VLOOKUP($A630,'Fusion ExDa'!$B$2:$D$16, 4,FALSE), IFERROR(VLOOKUP($A630,'Exetel ExDa'!$C$2:$N$14, 5,FALSE), IFERROR(VLOOKUP($A630,'Infinet ExDa'!$B$2:$E$14, 3,FALSE), "Not Found"))))))))</f>
        <v>Not Found</v>
      </c>
      <c r="F630" t="str">
        <f>IFERROR(VLOOKUP($A630,'AAPT ExDa'!$B$2:$U$99, 4,FALSE), IFERROR(VLOOKUP($A630,'ABB ExDa'!$A$2:$N$184, 6,FALSE), IFERROR(VLOOKUP($A630,'Vocus SIT ExDa'!$B$2:$J$173, 3,FALSE), IFERROR(VLOOKUP($A630,'Telstra ExDa'!$B$2:$K$310, 5,FALSE), IFERROR(VLOOKUP($A630,'Vocus RVC ExDa'!$C$2:$R$155, 9,FALSE), IFERROR(VLOOKUP($A630,'Fusion ExDa'!$B$2:$D$16, 0,FALSE), IFERROR(VLOOKUP($A630,'Exetel ExDa'!$C$2:$N$14, 6,FALSE), IFERROR(VLOOKUP($A630,'Infinet ExDa'!$B$2:$E$14, 0,FALSE), "Not Found"))))))))</f>
        <v>Not Found</v>
      </c>
      <c r="G630" t="str">
        <f>IFERROR(VLOOKUP($A630,'AAPT ExDa'!$B$2:$U$99, 5,FALSE), IFERROR(VLOOKUP($A630,'ABB ExDa'!$A$2:$N$184, 8,FALSE), IFERROR(VLOOKUP($A630,'Vocus SIT ExDa'!$B$2:$J$173, 6,FALSE), IFERROR(VLOOKUP($A630,'Telstra ExDa'!$B$2:$K$310, 0,FALSE), IFERROR(VLOOKUP($A630,'Vocus RVC ExDa'!$C$2:$R$155, 15,FALSE), IFERROR(VLOOKUP($A630,'Fusion ExDa'!$B$2:$D$16, 0,FALSE), IFERROR(VLOOKUP($A630,'Exetel ExDa'!$C$2:$N$14, 7,FALSE), IFERROR(VLOOKUP($A630,'Infinet ExDa'!$B$2:$E$14, 0,FALSE), "Not Found"))))))))</f>
        <v>Not Found</v>
      </c>
      <c r="H630" t="str">
        <f>IFERROR(VLOOKUP($A630,'AAPT ExDa'!$B$2:$U$99, 6,FALSE), IFERROR(VLOOKUP($A630,'ABB ExDa'!$A$2:$N$184, 0,FALSE), IFERROR(VLOOKUP($A630,'Vocus SIT ExDa'!$B$2:$J$173, 0,FALSE), IFERROR(VLOOKUP($A630,'Telstra ExDa'!$B$2:$K$310, 0,FALSE), IFERROR(VLOOKUP($A630,'Vocus RVC ExDa'!$C$2:$R$155, 16,FALSE), IFERROR(VLOOKUP($A630,'Fusion ExDa'!$B$2:$D$16, 0,FALSE), IFERROR(VLOOKUP($A630,'Exetel ExDa'!$C$2:$N$14, 0,FALSE), IFERROR(VLOOKUP($A630,'Infinet ExDa'!$B$2:$E$14, 0,FALSE), "Not Found"))))))))</f>
        <v>Not Found</v>
      </c>
      <c r="I630" t="str">
        <f>IFERROR(VLOOKUP($A630,'AAPT ExDa'!$B$2:$U$99, 0,FALSE), IFERROR(VLOOKUP($A630,'ABB ExDa'!$A$2:$N$184, 0,FALSE), IFERROR(VLOOKUP($A630,'Vocus SIT ExDa'!$B$2:$J$173, 0,FALSE), IFERROR(VLOOKUP($A630,'Telstra ExDa'!$B$2:$K$310, 0,FALSE), IFERROR(VLOOKUP($A630,'Vocus RVC ExDa'!$C$2:$R$155, 0,FALSE), IFERROR(VLOOKUP($A630,'Fusion ExDa'!$B$2:$D$16, 0,FALSE), IFERROR(VLOOKUP($A630,'Exetel ExDa'!$C$2:$N$14, 8,FALSE), IFERROR(VLOOKUP($A630,'Infinet ExDa'!$B$2:$E$14, 0,FALSE), "Not Found"))))))))</f>
        <v>Not Found</v>
      </c>
      <c r="J630" t="str">
        <f>IFERROR(VLOOKUP($A630,'AAPT ExDa'!$B$2:$U$99, 7,FALSE), IFERROR(VLOOKUP($A630,'ABB ExDa'!$A$2:$N$184, 2,FALSE), IFERROR(VLOOKUP($A630,'Vocus SIT ExDa'!$B$2:$J$173, 0,FALSE), IFERROR(VLOOKUP($A630,'Telstra ExDa'!$B$2:$K$310, 7,FALSE), IFERROR(VLOOKUP($A630,'Vocus RVC ExDa'!$C$2:$R$155, 2,FALSE), IFERROR(VLOOKUP($A630,'Fusion ExDa'!$B$2:$D$16, 3,FALSE), IFERROR(VLOOKUP($A630,'Exetel ExDa'!$C$2:$N$14, 0,FALSE), IFERROR(VLOOKUP($A630,'Infinet ExDa'!$B$2:$E$14, 0,FALSE), "Not Found"))))))))</f>
        <v>Not Found</v>
      </c>
      <c r="K630" t="str">
        <f>IFERROR(VLOOKUP($A630,'AAPT ExDa'!$B$2:$U$99, 12,FALSE), IFERROR(VLOOKUP($A630,'ABB ExDa'!$A$2:$N$184, 0,FALSE), IFERROR(VLOOKUP($A630,'Vocus SIT ExDa'!$B$2:$J$173, 0,FALSE), IFERROR(VLOOKUP($A630,'Telstra ExDa'!$B$2:$K$310, 0,FALSE), IFERROR(VLOOKUP($A630,'Vocus RVC ExDa'!$C$2:$R$155, 0,FALSE), IFERROR(VLOOKUP($A630,'Fusion ExDa'!$B$2:$D$16, 0,FALSE), IFERROR(VLOOKUP($A630,'Exetel ExDa'!$C$2:$N$14, 12,FALSE), IFERROR(VLOOKUP($A630,'Infinet ExDa'!$B$2:$E$14, 0,FALSE), "Not Found"))))))))</f>
        <v>Not Found</v>
      </c>
      <c r="L630" s="235" t="str">
        <f>IFERROR(VLOOKUP($A630,'AAPT ExDa'!$B$2:$U$99, 11,FALSE), IFERROR(VLOOKUP($A630,'ABB ExDa'!$A$2:$N$184, 9,FALSE), IFERROR(VLOOKUP($A630,'Vocus SIT ExDa'!$B$2:$J$173, 8,FALSE), IFERROR(VLOOKUP($A630,'Telstra ExDa'!$B$2:$K$310, 0,FALSE), IFERROR(VLOOKUP($A630,'Vocus RVC ExDa'!$C$2:$R$155, 0,FALSE), IFERROR(VLOOKUP($A630,'Fusion ExDa'!$B$2:$D$16, 0,FALSE), IFERROR(VLOOKUP($A630,'Exetel ExDa'!$C$2:$N$14, 9,FALSE), IFERROR(VLOOKUP($A630,'Infinet ExDa'!$B$2:$E$14, 0,FALSE), "Not Found"))))))))</f>
        <v>Not Found</v>
      </c>
      <c r="M630" s="234" t="str">
        <f>IFERROR(VLOOKUP($A630,'AAPT ExDa'!$B$2:$U$99, 0,FALSE), IFERROR(VLOOKUP($A630,'ABB ExDa'!$A$2:$N$184, 0,FALSE), IFERROR(VLOOKUP($A630,'Vocus SIT ExDa'!$B$2:$J$173, 0,FALSE), IFERROR(VLOOKUP($A630,'Telstra ExDa'!$B$2:$K$310, 0,FALSE), IFERROR(VLOOKUP($A630,'Vocus RVC ExDa'!$C$2:$R$155, 0,FALSE), IFERROR(VLOOKUP($A630,'Fusion ExDa'!$B$2:$D$16, 0,FALSE), IFERROR(VLOOKUP($A630,'Exetel ExDa'!$C$2:$N$14, 11,FALSE), IFERROR(VLOOKUP($A630,'Infinet ExDa'!$B$2:$E$14, 0,FALSE), "Not Found"))))))))</f>
        <v>Not Found</v>
      </c>
      <c r="N630" t="str">
        <f>IFERROR(VLOOKUP($A630,'AAPT ExDa'!$B$2:$U$99, 0,FALSE), IFERROR(VLOOKUP($A630,'ABB ExDa'!$A$2:$N$184, 13,FALSE), IFERROR(VLOOKUP($A630,'Vocus SIT ExDa'!$B$2:$J$173, 0,FALSE), IFERROR(VLOOKUP($A630,'Telstra ExDa'!$B$2:$K$310, 0,FALSE), IFERROR(VLOOKUP($A630,'Vocus RVC ExDa'!$C$2:$R$155, 0,FALSE), IFERROR(VLOOKUP($A630,'Fusion ExDa'!$B$2:$D$16, 0,FALSE), IFERROR(VLOOKUP($A630,'Exetel ExDa'!$C$2:$N$14, 0,FALSE), IFERROR(VLOOKUP($A630,'Infinet ExDa'!$B$2:$E$14, 0,FALSE), "Not Found"))))))))</f>
        <v>Not Found</v>
      </c>
    </row>
    <row r="631" spans="1:14">
      <c r="A631">
        <v>0</v>
      </c>
      <c r="B631" t="str">
        <f>IFERROR(VLOOKUP(A631,'Exetel ExDa'!$C$2:$N$14,4,FALSE),"No Data")</f>
        <v>No Data</v>
      </c>
      <c r="C631" t="str">
        <f>IFERROR(VLOOKUP(A631,'AAPT ExDa'!$B$2:$U$99, 2,FALSE), IFERROR(VLOOKUP(A631,'ABB ExDa'!$A$2:$N$184, 2,FALSE), IFERROR(VLOOKUP(A631,'Vocus SIT ExDa'!$B$2:$J$173, 7,FALSE), IFERROR(VLOOKUP(A631,'Telstra ExDa'!$B$2:$K$310, 2,FALSE), IFERROR(VLOOKUP(A631,'Vocus RVC ExDa'!$C$2:$R$155, 3,FALSE), IFERROR(VLOOKUP(A631,'Fusion ExDa'!$B$2:$D$16, 2,FALSE), IFERROR(VLOOKUP(A631,'Exetel ExDa'!$C$2:$N$14, 2,FALSE), IFERROR(VLOOKUP(A631,'Infinet ExDa'!$B$2:$E$14, 2,FALSE), "Not Found"))))))))</f>
        <v>Not Found</v>
      </c>
      <c r="D631" t="str">
        <f>IFERROR(VLOOKUP($A631,'AAPT ExDa'!$B$2:$U$99, 15,FALSE), IFERROR(VLOOKUP($A631,'ABB ExDa'!$A$2:$N$184, 4,FALSE), IFERROR(VLOOKUP($A631,'Vocus SIT ExDa'!$B$2:$J$173, 5,FALSE), IFERROR(VLOOKUP($A631,'Telstra ExDa'!$B$2:$K$310, 8,FALSE), IFERROR(VLOOKUP($A631,'Vocus RVC ExDa'!$C$2:$R$155, 6,FALSE), IFERROR(VLOOKUP($A631,'Fusion ExDa'!$B$2:$D$16, 4,FALSE), IFERROR(VLOOKUP($A631,'Exetel ExDa'!$C$2:$N$14, 3,FALSE), IFERROR(VLOOKUP($A631,'Infinet ExDa'!$B$2:$E$14, 3,FALSE), "Not Found"))))))))</f>
        <v>Not Found</v>
      </c>
      <c r="E631" t="str">
        <f>IFERROR(VLOOKUP($A631,'AAPT ExDa'!$B$2:$U$99, 3,FALSE), IFERROR(VLOOKUP($A631,'ABB ExDa'!$A$2:$N$184, 5,FALSE), IFERROR(VLOOKUP($A631,'Vocus SIT ExDa'!$B$2:$J$173, 2,FALSE), IFERROR(VLOOKUP($A631,'Telstra ExDa'!$B$2:$K$310, 4,FALSE), IFERROR(VLOOKUP($A631,'Vocus RVC ExDa'!$C$2:$R$155, 8,FALSE), IFERROR(VLOOKUP($A631,'Fusion ExDa'!$B$2:$D$16, 4,FALSE), IFERROR(VLOOKUP($A631,'Exetel ExDa'!$C$2:$N$14, 5,FALSE), IFERROR(VLOOKUP($A631,'Infinet ExDa'!$B$2:$E$14, 3,FALSE), "Not Found"))))))))</f>
        <v>Not Found</v>
      </c>
      <c r="F631" t="str">
        <f>IFERROR(VLOOKUP($A631,'AAPT ExDa'!$B$2:$U$99, 4,FALSE), IFERROR(VLOOKUP($A631,'ABB ExDa'!$A$2:$N$184, 6,FALSE), IFERROR(VLOOKUP($A631,'Vocus SIT ExDa'!$B$2:$J$173, 3,FALSE), IFERROR(VLOOKUP($A631,'Telstra ExDa'!$B$2:$K$310, 5,FALSE), IFERROR(VLOOKUP($A631,'Vocus RVC ExDa'!$C$2:$R$155, 9,FALSE), IFERROR(VLOOKUP($A631,'Fusion ExDa'!$B$2:$D$16, 0,FALSE), IFERROR(VLOOKUP($A631,'Exetel ExDa'!$C$2:$N$14, 6,FALSE), IFERROR(VLOOKUP($A631,'Infinet ExDa'!$B$2:$E$14, 0,FALSE), "Not Found"))))))))</f>
        <v>Not Found</v>
      </c>
      <c r="G631" t="str">
        <f>IFERROR(VLOOKUP($A631,'AAPT ExDa'!$B$2:$U$99, 5,FALSE), IFERROR(VLOOKUP($A631,'ABB ExDa'!$A$2:$N$184, 8,FALSE), IFERROR(VLOOKUP($A631,'Vocus SIT ExDa'!$B$2:$J$173, 6,FALSE), IFERROR(VLOOKUP($A631,'Telstra ExDa'!$B$2:$K$310, 0,FALSE), IFERROR(VLOOKUP($A631,'Vocus RVC ExDa'!$C$2:$R$155, 15,FALSE), IFERROR(VLOOKUP($A631,'Fusion ExDa'!$B$2:$D$16, 0,FALSE), IFERROR(VLOOKUP($A631,'Exetel ExDa'!$C$2:$N$14, 7,FALSE), IFERROR(VLOOKUP($A631,'Infinet ExDa'!$B$2:$E$14, 0,FALSE), "Not Found"))))))))</f>
        <v>Not Found</v>
      </c>
      <c r="H631" t="str">
        <f>IFERROR(VLOOKUP($A631,'AAPT ExDa'!$B$2:$U$99, 6,FALSE), IFERROR(VLOOKUP($A631,'ABB ExDa'!$A$2:$N$184, 0,FALSE), IFERROR(VLOOKUP($A631,'Vocus SIT ExDa'!$B$2:$J$173, 0,FALSE), IFERROR(VLOOKUP($A631,'Telstra ExDa'!$B$2:$K$310, 0,FALSE), IFERROR(VLOOKUP($A631,'Vocus RVC ExDa'!$C$2:$R$155, 16,FALSE), IFERROR(VLOOKUP($A631,'Fusion ExDa'!$B$2:$D$16, 0,FALSE), IFERROR(VLOOKUP($A631,'Exetel ExDa'!$C$2:$N$14, 0,FALSE), IFERROR(VLOOKUP($A631,'Infinet ExDa'!$B$2:$E$14, 0,FALSE), "Not Found"))))))))</f>
        <v>Not Found</v>
      </c>
      <c r="I631" t="str">
        <f>IFERROR(VLOOKUP($A631,'AAPT ExDa'!$B$2:$U$99, 0,FALSE), IFERROR(VLOOKUP($A631,'ABB ExDa'!$A$2:$N$184, 0,FALSE), IFERROR(VLOOKUP($A631,'Vocus SIT ExDa'!$B$2:$J$173, 0,FALSE), IFERROR(VLOOKUP($A631,'Telstra ExDa'!$B$2:$K$310, 0,FALSE), IFERROR(VLOOKUP($A631,'Vocus RVC ExDa'!$C$2:$R$155, 0,FALSE), IFERROR(VLOOKUP($A631,'Fusion ExDa'!$B$2:$D$16, 0,FALSE), IFERROR(VLOOKUP($A631,'Exetel ExDa'!$C$2:$N$14, 8,FALSE), IFERROR(VLOOKUP($A631,'Infinet ExDa'!$B$2:$E$14, 0,FALSE), "Not Found"))))))))</f>
        <v>Not Found</v>
      </c>
      <c r="J631" t="str">
        <f>IFERROR(VLOOKUP($A631,'AAPT ExDa'!$B$2:$U$99, 7,FALSE), IFERROR(VLOOKUP($A631,'ABB ExDa'!$A$2:$N$184, 2,FALSE), IFERROR(VLOOKUP($A631,'Vocus SIT ExDa'!$B$2:$J$173, 0,FALSE), IFERROR(VLOOKUP($A631,'Telstra ExDa'!$B$2:$K$310, 7,FALSE), IFERROR(VLOOKUP($A631,'Vocus RVC ExDa'!$C$2:$R$155, 2,FALSE), IFERROR(VLOOKUP($A631,'Fusion ExDa'!$B$2:$D$16, 3,FALSE), IFERROR(VLOOKUP($A631,'Exetel ExDa'!$C$2:$N$14, 0,FALSE), IFERROR(VLOOKUP($A631,'Infinet ExDa'!$B$2:$E$14, 0,FALSE), "Not Found"))))))))</f>
        <v>Not Found</v>
      </c>
      <c r="K631" t="str">
        <f>IFERROR(VLOOKUP($A631,'AAPT ExDa'!$B$2:$U$99, 12,FALSE), IFERROR(VLOOKUP($A631,'ABB ExDa'!$A$2:$N$184, 0,FALSE), IFERROR(VLOOKUP($A631,'Vocus SIT ExDa'!$B$2:$J$173, 0,FALSE), IFERROR(VLOOKUP($A631,'Telstra ExDa'!$B$2:$K$310, 0,FALSE), IFERROR(VLOOKUP($A631,'Vocus RVC ExDa'!$C$2:$R$155, 0,FALSE), IFERROR(VLOOKUP($A631,'Fusion ExDa'!$B$2:$D$16, 0,FALSE), IFERROR(VLOOKUP($A631,'Exetel ExDa'!$C$2:$N$14, 12,FALSE), IFERROR(VLOOKUP($A631,'Infinet ExDa'!$B$2:$E$14, 0,FALSE), "Not Found"))))))))</f>
        <v>Not Found</v>
      </c>
      <c r="L631" s="235" t="str">
        <f>IFERROR(VLOOKUP($A631,'AAPT ExDa'!$B$2:$U$99, 11,FALSE), IFERROR(VLOOKUP($A631,'ABB ExDa'!$A$2:$N$184, 9,FALSE), IFERROR(VLOOKUP($A631,'Vocus SIT ExDa'!$B$2:$J$173, 8,FALSE), IFERROR(VLOOKUP($A631,'Telstra ExDa'!$B$2:$K$310, 0,FALSE), IFERROR(VLOOKUP($A631,'Vocus RVC ExDa'!$C$2:$R$155, 0,FALSE), IFERROR(VLOOKUP($A631,'Fusion ExDa'!$B$2:$D$16, 0,FALSE), IFERROR(VLOOKUP($A631,'Exetel ExDa'!$C$2:$N$14, 9,FALSE), IFERROR(VLOOKUP($A631,'Infinet ExDa'!$B$2:$E$14, 0,FALSE), "Not Found"))))))))</f>
        <v>Not Found</v>
      </c>
      <c r="M631" s="234" t="str">
        <f>IFERROR(VLOOKUP($A631,'AAPT ExDa'!$B$2:$U$99, 0,FALSE), IFERROR(VLOOKUP($A631,'ABB ExDa'!$A$2:$N$184, 0,FALSE), IFERROR(VLOOKUP($A631,'Vocus SIT ExDa'!$B$2:$J$173, 0,FALSE), IFERROR(VLOOKUP($A631,'Telstra ExDa'!$B$2:$K$310, 0,FALSE), IFERROR(VLOOKUP($A631,'Vocus RVC ExDa'!$C$2:$R$155, 0,FALSE), IFERROR(VLOOKUP($A631,'Fusion ExDa'!$B$2:$D$16, 0,FALSE), IFERROR(VLOOKUP($A631,'Exetel ExDa'!$C$2:$N$14, 11,FALSE), IFERROR(VLOOKUP($A631,'Infinet ExDa'!$B$2:$E$14, 0,FALSE), "Not Found"))))))))</f>
        <v>Not Found</v>
      </c>
      <c r="N631" t="str">
        <f>IFERROR(VLOOKUP($A631,'AAPT ExDa'!$B$2:$U$99, 0,FALSE), IFERROR(VLOOKUP($A631,'ABB ExDa'!$A$2:$N$184, 13,FALSE), IFERROR(VLOOKUP($A631,'Vocus SIT ExDa'!$B$2:$J$173, 0,FALSE), IFERROR(VLOOKUP($A631,'Telstra ExDa'!$B$2:$K$310, 0,FALSE), IFERROR(VLOOKUP($A631,'Vocus RVC ExDa'!$C$2:$R$155, 0,FALSE), IFERROR(VLOOKUP($A631,'Fusion ExDa'!$B$2:$D$16, 0,FALSE), IFERROR(VLOOKUP($A631,'Exetel ExDa'!$C$2:$N$14, 0,FALSE), IFERROR(VLOOKUP($A631,'Infinet ExDa'!$B$2:$E$14, 0,FALSE), "Not Found"))))))))</f>
        <v>Not Found</v>
      </c>
    </row>
    <row r="632" spans="1:14">
      <c r="A632">
        <v>0</v>
      </c>
      <c r="B632" t="str">
        <f>IFERROR(VLOOKUP(A632,'Exetel ExDa'!$C$2:$N$14,4,FALSE),"No Data")</f>
        <v>No Data</v>
      </c>
      <c r="C632" t="str">
        <f>IFERROR(VLOOKUP(A632,'AAPT ExDa'!$B$2:$U$99, 2,FALSE), IFERROR(VLOOKUP(A632,'ABB ExDa'!$A$2:$N$184, 2,FALSE), IFERROR(VLOOKUP(A632,'Vocus SIT ExDa'!$B$2:$J$173, 7,FALSE), IFERROR(VLOOKUP(A632,'Telstra ExDa'!$B$2:$K$310, 2,FALSE), IFERROR(VLOOKUP(A632,'Vocus RVC ExDa'!$C$2:$R$155, 3,FALSE), IFERROR(VLOOKUP(A632,'Fusion ExDa'!$B$2:$D$16, 2,FALSE), IFERROR(VLOOKUP(A632,'Exetel ExDa'!$C$2:$N$14, 2,FALSE), IFERROR(VLOOKUP(A632,'Infinet ExDa'!$B$2:$E$14, 2,FALSE), "Not Found"))))))))</f>
        <v>Not Found</v>
      </c>
      <c r="D632" t="str">
        <f>IFERROR(VLOOKUP($A632,'AAPT ExDa'!$B$2:$U$99, 15,FALSE), IFERROR(VLOOKUP($A632,'ABB ExDa'!$A$2:$N$184, 4,FALSE), IFERROR(VLOOKUP($A632,'Vocus SIT ExDa'!$B$2:$J$173, 5,FALSE), IFERROR(VLOOKUP($A632,'Telstra ExDa'!$B$2:$K$310, 8,FALSE), IFERROR(VLOOKUP($A632,'Vocus RVC ExDa'!$C$2:$R$155, 6,FALSE), IFERROR(VLOOKUP($A632,'Fusion ExDa'!$B$2:$D$16, 4,FALSE), IFERROR(VLOOKUP($A632,'Exetel ExDa'!$C$2:$N$14, 3,FALSE), IFERROR(VLOOKUP($A632,'Infinet ExDa'!$B$2:$E$14, 3,FALSE), "Not Found"))))))))</f>
        <v>Not Found</v>
      </c>
      <c r="E632" t="str">
        <f>IFERROR(VLOOKUP($A632,'AAPT ExDa'!$B$2:$U$99, 3,FALSE), IFERROR(VLOOKUP($A632,'ABB ExDa'!$A$2:$N$184, 5,FALSE), IFERROR(VLOOKUP($A632,'Vocus SIT ExDa'!$B$2:$J$173, 2,FALSE), IFERROR(VLOOKUP($A632,'Telstra ExDa'!$B$2:$K$310, 4,FALSE), IFERROR(VLOOKUP($A632,'Vocus RVC ExDa'!$C$2:$R$155, 8,FALSE), IFERROR(VLOOKUP($A632,'Fusion ExDa'!$B$2:$D$16, 4,FALSE), IFERROR(VLOOKUP($A632,'Exetel ExDa'!$C$2:$N$14, 5,FALSE), IFERROR(VLOOKUP($A632,'Infinet ExDa'!$B$2:$E$14, 3,FALSE), "Not Found"))))))))</f>
        <v>Not Found</v>
      </c>
      <c r="F632" t="str">
        <f>IFERROR(VLOOKUP($A632,'AAPT ExDa'!$B$2:$U$99, 4,FALSE), IFERROR(VLOOKUP($A632,'ABB ExDa'!$A$2:$N$184, 6,FALSE), IFERROR(VLOOKUP($A632,'Vocus SIT ExDa'!$B$2:$J$173, 3,FALSE), IFERROR(VLOOKUP($A632,'Telstra ExDa'!$B$2:$K$310, 5,FALSE), IFERROR(VLOOKUP($A632,'Vocus RVC ExDa'!$C$2:$R$155, 9,FALSE), IFERROR(VLOOKUP($A632,'Fusion ExDa'!$B$2:$D$16, 0,FALSE), IFERROR(VLOOKUP($A632,'Exetel ExDa'!$C$2:$N$14, 6,FALSE), IFERROR(VLOOKUP($A632,'Infinet ExDa'!$B$2:$E$14, 0,FALSE), "Not Found"))))))))</f>
        <v>Not Found</v>
      </c>
      <c r="G632" t="str">
        <f>IFERROR(VLOOKUP($A632,'AAPT ExDa'!$B$2:$U$99, 5,FALSE), IFERROR(VLOOKUP($A632,'ABB ExDa'!$A$2:$N$184, 8,FALSE), IFERROR(VLOOKUP($A632,'Vocus SIT ExDa'!$B$2:$J$173, 6,FALSE), IFERROR(VLOOKUP($A632,'Telstra ExDa'!$B$2:$K$310, 0,FALSE), IFERROR(VLOOKUP($A632,'Vocus RVC ExDa'!$C$2:$R$155, 15,FALSE), IFERROR(VLOOKUP($A632,'Fusion ExDa'!$B$2:$D$16, 0,FALSE), IFERROR(VLOOKUP($A632,'Exetel ExDa'!$C$2:$N$14, 7,FALSE), IFERROR(VLOOKUP($A632,'Infinet ExDa'!$B$2:$E$14, 0,FALSE), "Not Found"))))))))</f>
        <v>Not Found</v>
      </c>
      <c r="H632" t="str">
        <f>IFERROR(VLOOKUP($A632,'AAPT ExDa'!$B$2:$U$99, 6,FALSE), IFERROR(VLOOKUP($A632,'ABB ExDa'!$A$2:$N$184, 0,FALSE), IFERROR(VLOOKUP($A632,'Vocus SIT ExDa'!$B$2:$J$173, 0,FALSE), IFERROR(VLOOKUP($A632,'Telstra ExDa'!$B$2:$K$310, 0,FALSE), IFERROR(VLOOKUP($A632,'Vocus RVC ExDa'!$C$2:$R$155, 16,FALSE), IFERROR(VLOOKUP($A632,'Fusion ExDa'!$B$2:$D$16, 0,FALSE), IFERROR(VLOOKUP($A632,'Exetel ExDa'!$C$2:$N$14, 0,FALSE), IFERROR(VLOOKUP($A632,'Infinet ExDa'!$B$2:$E$14, 0,FALSE), "Not Found"))))))))</f>
        <v>Not Found</v>
      </c>
      <c r="I632" t="str">
        <f>IFERROR(VLOOKUP($A632,'AAPT ExDa'!$B$2:$U$99, 0,FALSE), IFERROR(VLOOKUP($A632,'ABB ExDa'!$A$2:$N$184, 0,FALSE), IFERROR(VLOOKUP($A632,'Vocus SIT ExDa'!$B$2:$J$173, 0,FALSE), IFERROR(VLOOKUP($A632,'Telstra ExDa'!$B$2:$K$310, 0,FALSE), IFERROR(VLOOKUP($A632,'Vocus RVC ExDa'!$C$2:$R$155, 0,FALSE), IFERROR(VLOOKUP($A632,'Fusion ExDa'!$B$2:$D$16, 0,FALSE), IFERROR(VLOOKUP($A632,'Exetel ExDa'!$C$2:$N$14, 8,FALSE), IFERROR(VLOOKUP($A632,'Infinet ExDa'!$B$2:$E$14, 0,FALSE), "Not Found"))))))))</f>
        <v>Not Found</v>
      </c>
      <c r="J632" t="str">
        <f>IFERROR(VLOOKUP($A632,'AAPT ExDa'!$B$2:$U$99, 7,FALSE), IFERROR(VLOOKUP($A632,'ABB ExDa'!$A$2:$N$184, 2,FALSE), IFERROR(VLOOKUP($A632,'Vocus SIT ExDa'!$B$2:$J$173, 0,FALSE), IFERROR(VLOOKUP($A632,'Telstra ExDa'!$B$2:$K$310, 7,FALSE), IFERROR(VLOOKUP($A632,'Vocus RVC ExDa'!$C$2:$R$155, 2,FALSE), IFERROR(VLOOKUP($A632,'Fusion ExDa'!$B$2:$D$16, 3,FALSE), IFERROR(VLOOKUP($A632,'Exetel ExDa'!$C$2:$N$14, 0,FALSE), IFERROR(VLOOKUP($A632,'Infinet ExDa'!$B$2:$E$14, 0,FALSE), "Not Found"))))))))</f>
        <v>Not Found</v>
      </c>
      <c r="K632" t="str">
        <f>IFERROR(VLOOKUP($A632,'AAPT ExDa'!$B$2:$U$99, 12,FALSE), IFERROR(VLOOKUP($A632,'ABB ExDa'!$A$2:$N$184, 0,FALSE), IFERROR(VLOOKUP($A632,'Vocus SIT ExDa'!$B$2:$J$173, 0,FALSE), IFERROR(VLOOKUP($A632,'Telstra ExDa'!$B$2:$K$310, 0,FALSE), IFERROR(VLOOKUP($A632,'Vocus RVC ExDa'!$C$2:$R$155, 0,FALSE), IFERROR(VLOOKUP($A632,'Fusion ExDa'!$B$2:$D$16, 0,FALSE), IFERROR(VLOOKUP($A632,'Exetel ExDa'!$C$2:$N$14, 12,FALSE), IFERROR(VLOOKUP($A632,'Infinet ExDa'!$B$2:$E$14, 0,FALSE), "Not Found"))))))))</f>
        <v>Not Found</v>
      </c>
      <c r="L632" s="235" t="str">
        <f>IFERROR(VLOOKUP($A632,'AAPT ExDa'!$B$2:$U$99, 11,FALSE), IFERROR(VLOOKUP($A632,'ABB ExDa'!$A$2:$N$184, 9,FALSE), IFERROR(VLOOKUP($A632,'Vocus SIT ExDa'!$B$2:$J$173, 8,FALSE), IFERROR(VLOOKUP($A632,'Telstra ExDa'!$B$2:$K$310, 0,FALSE), IFERROR(VLOOKUP($A632,'Vocus RVC ExDa'!$C$2:$R$155, 0,FALSE), IFERROR(VLOOKUP($A632,'Fusion ExDa'!$B$2:$D$16, 0,FALSE), IFERROR(VLOOKUP($A632,'Exetel ExDa'!$C$2:$N$14, 9,FALSE), IFERROR(VLOOKUP($A632,'Infinet ExDa'!$B$2:$E$14, 0,FALSE), "Not Found"))))))))</f>
        <v>Not Found</v>
      </c>
      <c r="M632" s="234" t="str">
        <f>IFERROR(VLOOKUP($A632,'AAPT ExDa'!$B$2:$U$99, 0,FALSE), IFERROR(VLOOKUP($A632,'ABB ExDa'!$A$2:$N$184, 0,FALSE), IFERROR(VLOOKUP($A632,'Vocus SIT ExDa'!$B$2:$J$173, 0,FALSE), IFERROR(VLOOKUP($A632,'Telstra ExDa'!$B$2:$K$310, 0,FALSE), IFERROR(VLOOKUP($A632,'Vocus RVC ExDa'!$C$2:$R$155, 0,FALSE), IFERROR(VLOOKUP($A632,'Fusion ExDa'!$B$2:$D$16, 0,FALSE), IFERROR(VLOOKUP($A632,'Exetel ExDa'!$C$2:$N$14, 11,FALSE), IFERROR(VLOOKUP($A632,'Infinet ExDa'!$B$2:$E$14, 0,FALSE), "Not Found"))))))))</f>
        <v>Not Found</v>
      </c>
      <c r="N632" t="str">
        <f>IFERROR(VLOOKUP($A632,'AAPT ExDa'!$B$2:$U$99, 0,FALSE), IFERROR(VLOOKUP($A632,'ABB ExDa'!$A$2:$N$184, 13,FALSE), IFERROR(VLOOKUP($A632,'Vocus SIT ExDa'!$B$2:$J$173, 0,FALSE), IFERROR(VLOOKUP($A632,'Telstra ExDa'!$B$2:$K$310, 0,FALSE), IFERROR(VLOOKUP($A632,'Vocus RVC ExDa'!$C$2:$R$155, 0,FALSE), IFERROR(VLOOKUP($A632,'Fusion ExDa'!$B$2:$D$16, 0,FALSE), IFERROR(VLOOKUP($A632,'Exetel ExDa'!$C$2:$N$14, 0,FALSE), IFERROR(VLOOKUP($A632,'Infinet ExDa'!$B$2:$E$14, 0,FALSE), "Not Found"))))))))</f>
        <v>Not Found</v>
      </c>
    </row>
    <row r="633" spans="1:14">
      <c r="A633">
        <v>0</v>
      </c>
      <c r="B633" t="str">
        <f>IFERROR(VLOOKUP(A633,'Exetel ExDa'!$C$2:$N$14,4,FALSE),"No Data")</f>
        <v>No Data</v>
      </c>
      <c r="C633" t="str">
        <f>IFERROR(VLOOKUP(A633,'AAPT ExDa'!$B$2:$U$99, 2,FALSE), IFERROR(VLOOKUP(A633,'ABB ExDa'!$A$2:$N$184, 2,FALSE), IFERROR(VLOOKUP(A633,'Vocus SIT ExDa'!$B$2:$J$173, 7,FALSE), IFERROR(VLOOKUP(A633,'Telstra ExDa'!$B$2:$K$310, 2,FALSE), IFERROR(VLOOKUP(A633,'Vocus RVC ExDa'!$C$2:$R$155, 3,FALSE), IFERROR(VLOOKUP(A633,'Fusion ExDa'!$B$2:$D$16, 2,FALSE), IFERROR(VLOOKUP(A633,'Exetel ExDa'!$C$2:$N$14, 2,FALSE), IFERROR(VLOOKUP(A633,'Infinet ExDa'!$B$2:$E$14, 2,FALSE), "Not Found"))))))))</f>
        <v>Not Found</v>
      </c>
      <c r="D633" t="str">
        <f>IFERROR(VLOOKUP($A633,'AAPT ExDa'!$B$2:$U$99, 15,FALSE), IFERROR(VLOOKUP($A633,'ABB ExDa'!$A$2:$N$184, 4,FALSE), IFERROR(VLOOKUP($A633,'Vocus SIT ExDa'!$B$2:$J$173, 5,FALSE), IFERROR(VLOOKUP($A633,'Telstra ExDa'!$B$2:$K$310, 8,FALSE), IFERROR(VLOOKUP($A633,'Vocus RVC ExDa'!$C$2:$R$155, 6,FALSE), IFERROR(VLOOKUP($A633,'Fusion ExDa'!$B$2:$D$16, 4,FALSE), IFERROR(VLOOKUP($A633,'Exetel ExDa'!$C$2:$N$14, 3,FALSE), IFERROR(VLOOKUP($A633,'Infinet ExDa'!$B$2:$E$14, 3,FALSE), "Not Found"))))))))</f>
        <v>Not Found</v>
      </c>
      <c r="E633" t="str">
        <f>IFERROR(VLOOKUP($A633,'AAPT ExDa'!$B$2:$U$99, 3,FALSE), IFERROR(VLOOKUP($A633,'ABB ExDa'!$A$2:$N$184, 5,FALSE), IFERROR(VLOOKUP($A633,'Vocus SIT ExDa'!$B$2:$J$173, 2,FALSE), IFERROR(VLOOKUP($A633,'Telstra ExDa'!$B$2:$K$310, 4,FALSE), IFERROR(VLOOKUP($A633,'Vocus RVC ExDa'!$C$2:$R$155, 8,FALSE), IFERROR(VLOOKUP($A633,'Fusion ExDa'!$B$2:$D$16, 4,FALSE), IFERROR(VLOOKUP($A633,'Exetel ExDa'!$C$2:$N$14, 5,FALSE), IFERROR(VLOOKUP($A633,'Infinet ExDa'!$B$2:$E$14, 3,FALSE), "Not Found"))))))))</f>
        <v>Not Found</v>
      </c>
      <c r="F633" t="str">
        <f>IFERROR(VLOOKUP($A633,'AAPT ExDa'!$B$2:$U$99, 4,FALSE), IFERROR(VLOOKUP($A633,'ABB ExDa'!$A$2:$N$184, 6,FALSE), IFERROR(VLOOKUP($A633,'Vocus SIT ExDa'!$B$2:$J$173, 3,FALSE), IFERROR(VLOOKUP($A633,'Telstra ExDa'!$B$2:$K$310, 5,FALSE), IFERROR(VLOOKUP($A633,'Vocus RVC ExDa'!$C$2:$R$155, 9,FALSE), IFERROR(VLOOKUP($A633,'Fusion ExDa'!$B$2:$D$16, 0,FALSE), IFERROR(VLOOKUP($A633,'Exetel ExDa'!$C$2:$N$14, 6,FALSE), IFERROR(VLOOKUP($A633,'Infinet ExDa'!$B$2:$E$14, 0,FALSE), "Not Found"))))))))</f>
        <v>Not Found</v>
      </c>
      <c r="G633" t="str">
        <f>IFERROR(VLOOKUP($A633,'AAPT ExDa'!$B$2:$U$99, 5,FALSE), IFERROR(VLOOKUP($A633,'ABB ExDa'!$A$2:$N$184, 8,FALSE), IFERROR(VLOOKUP($A633,'Vocus SIT ExDa'!$B$2:$J$173, 6,FALSE), IFERROR(VLOOKUP($A633,'Telstra ExDa'!$B$2:$K$310, 0,FALSE), IFERROR(VLOOKUP($A633,'Vocus RVC ExDa'!$C$2:$R$155, 15,FALSE), IFERROR(VLOOKUP($A633,'Fusion ExDa'!$B$2:$D$16, 0,FALSE), IFERROR(VLOOKUP($A633,'Exetel ExDa'!$C$2:$N$14, 7,FALSE), IFERROR(VLOOKUP($A633,'Infinet ExDa'!$B$2:$E$14, 0,FALSE), "Not Found"))))))))</f>
        <v>Not Found</v>
      </c>
      <c r="H633" t="str">
        <f>IFERROR(VLOOKUP($A633,'AAPT ExDa'!$B$2:$U$99, 6,FALSE), IFERROR(VLOOKUP($A633,'ABB ExDa'!$A$2:$N$184, 0,FALSE), IFERROR(VLOOKUP($A633,'Vocus SIT ExDa'!$B$2:$J$173, 0,FALSE), IFERROR(VLOOKUP($A633,'Telstra ExDa'!$B$2:$K$310, 0,FALSE), IFERROR(VLOOKUP($A633,'Vocus RVC ExDa'!$C$2:$R$155, 16,FALSE), IFERROR(VLOOKUP($A633,'Fusion ExDa'!$B$2:$D$16, 0,FALSE), IFERROR(VLOOKUP($A633,'Exetel ExDa'!$C$2:$N$14, 0,FALSE), IFERROR(VLOOKUP($A633,'Infinet ExDa'!$B$2:$E$14, 0,FALSE), "Not Found"))))))))</f>
        <v>Not Found</v>
      </c>
      <c r="I633" t="str">
        <f>IFERROR(VLOOKUP($A633,'AAPT ExDa'!$B$2:$U$99, 0,FALSE), IFERROR(VLOOKUP($A633,'ABB ExDa'!$A$2:$N$184, 0,FALSE), IFERROR(VLOOKUP($A633,'Vocus SIT ExDa'!$B$2:$J$173, 0,FALSE), IFERROR(VLOOKUP($A633,'Telstra ExDa'!$B$2:$K$310, 0,FALSE), IFERROR(VLOOKUP($A633,'Vocus RVC ExDa'!$C$2:$R$155, 0,FALSE), IFERROR(VLOOKUP($A633,'Fusion ExDa'!$B$2:$D$16, 0,FALSE), IFERROR(VLOOKUP($A633,'Exetel ExDa'!$C$2:$N$14, 8,FALSE), IFERROR(VLOOKUP($A633,'Infinet ExDa'!$B$2:$E$14, 0,FALSE), "Not Found"))))))))</f>
        <v>Not Found</v>
      </c>
      <c r="J633" t="str">
        <f>IFERROR(VLOOKUP($A633,'AAPT ExDa'!$B$2:$U$99, 7,FALSE), IFERROR(VLOOKUP($A633,'ABB ExDa'!$A$2:$N$184, 2,FALSE), IFERROR(VLOOKUP($A633,'Vocus SIT ExDa'!$B$2:$J$173, 0,FALSE), IFERROR(VLOOKUP($A633,'Telstra ExDa'!$B$2:$K$310, 7,FALSE), IFERROR(VLOOKUP($A633,'Vocus RVC ExDa'!$C$2:$R$155, 2,FALSE), IFERROR(VLOOKUP($A633,'Fusion ExDa'!$B$2:$D$16, 3,FALSE), IFERROR(VLOOKUP($A633,'Exetel ExDa'!$C$2:$N$14, 0,FALSE), IFERROR(VLOOKUP($A633,'Infinet ExDa'!$B$2:$E$14, 0,FALSE), "Not Found"))))))))</f>
        <v>Not Found</v>
      </c>
      <c r="K633" t="str">
        <f>IFERROR(VLOOKUP($A633,'AAPT ExDa'!$B$2:$U$99, 12,FALSE), IFERROR(VLOOKUP($A633,'ABB ExDa'!$A$2:$N$184, 0,FALSE), IFERROR(VLOOKUP($A633,'Vocus SIT ExDa'!$B$2:$J$173, 0,FALSE), IFERROR(VLOOKUP($A633,'Telstra ExDa'!$B$2:$K$310, 0,FALSE), IFERROR(VLOOKUP($A633,'Vocus RVC ExDa'!$C$2:$R$155, 0,FALSE), IFERROR(VLOOKUP($A633,'Fusion ExDa'!$B$2:$D$16, 0,FALSE), IFERROR(VLOOKUP($A633,'Exetel ExDa'!$C$2:$N$14, 12,FALSE), IFERROR(VLOOKUP($A633,'Infinet ExDa'!$B$2:$E$14, 0,FALSE), "Not Found"))))))))</f>
        <v>Not Found</v>
      </c>
      <c r="L633" s="235" t="str">
        <f>IFERROR(VLOOKUP($A633,'AAPT ExDa'!$B$2:$U$99, 11,FALSE), IFERROR(VLOOKUP($A633,'ABB ExDa'!$A$2:$N$184, 9,FALSE), IFERROR(VLOOKUP($A633,'Vocus SIT ExDa'!$B$2:$J$173, 8,FALSE), IFERROR(VLOOKUP($A633,'Telstra ExDa'!$B$2:$K$310, 0,FALSE), IFERROR(VLOOKUP($A633,'Vocus RVC ExDa'!$C$2:$R$155, 0,FALSE), IFERROR(VLOOKUP($A633,'Fusion ExDa'!$B$2:$D$16, 0,FALSE), IFERROR(VLOOKUP($A633,'Exetel ExDa'!$C$2:$N$14, 9,FALSE), IFERROR(VLOOKUP($A633,'Infinet ExDa'!$B$2:$E$14, 0,FALSE), "Not Found"))))))))</f>
        <v>Not Found</v>
      </c>
      <c r="M633" s="234" t="str">
        <f>IFERROR(VLOOKUP($A633,'AAPT ExDa'!$B$2:$U$99, 0,FALSE), IFERROR(VLOOKUP($A633,'ABB ExDa'!$A$2:$N$184, 0,FALSE), IFERROR(VLOOKUP($A633,'Vocus SIT ExDa'!$B$2:$J$173, 0,FALSE), IFERROR(VLOOKUP($A633,'Telstra ExDa'!$B$2:$K$310, 0,FALSE), IFERROR(VLOOKUP($A633,'Vocus RVC ExDa'!$C$2:$R$155, 0,FALSE), IFERROR(VLOOKUP($A633,'Fusion ExDa'!$B$2:$D$16, 0,FALSE), IFERROR(VLOOKUP($A633,'Exetel ExDa'!$C$2:$N$14, 11,FALSE), IFERROR(VLOOKUP($A633,'Infinet ExDa'!$B$2:$E$14, 0,FALSE), "Not Found"))))))))</f>
        <v>Not Found</v>
      </c>
      <c r="N633" t="str">
        <f>IFERROR(VLOOKUP($A633,'AAPT ExDa'!$B$2:$U$99, 0,FALSE), IFERROR(VLOOKUP($A633,'ABB ExDa'!$A$2:$N$184, 13,FALSE), IFERROR(VLOOKUP($A633,'Vocus SIT ExDa'!$B$2:$J$173, 0,FALSE), IFERROR(VLOOKUP($A633,'Telstra ExDa'!$B$2:$K$310, 0,FALSE), IFERROR(VLOOKUP($A633,'Vocus RVC ExDa'!$C$2:$R$155, 0,FALSE), IFERROR(VLOOKUP($A633,'Fusion ExDa'!$B$2:$D$16, 0,FALSE), IFERROR(VLOOKUP($A633,'Exetel ExDa'!$C$2:$N$14, 0,FALSE), IFERROR(VLOOKUP($A633,'Infinet ExDa'!$B$2:$E$14, 0,FALSE), "Not Found"))))))))</f>
        <v>Not Found</v>
      </c>
    </row>
    <row r="634" spans="1:14">
      <c r="A634">
        <v>0</v>
      </c>
      <c r="B634" t="str">
        <f>IFERROR(VLOOKUP(A634,'Exetel ExDa'!$C$2:$N$14,4,FALSE),"No Data")</f>
        <v>No Data</v>
      </c>
      <c r="C634" t="str">
        <f>IFERROR(VLOOKUP(A634,'AAPT ExDa'!$B$2:$U$99, 2,FALSE), IFERROR(VLOOKUP(A634,'ABB ExDa'!$A$2:$N$184, 2,FALSE), IFERROR(VLOOKUP(A634,'Vocus SIT ExDa'!$B$2:$J$173, 7,FALSE), IFERROR(VLOOKUP(A634,'Telstra ExDa'!$B$2:$K$310, 2,FALSE), IFERROR(VLOOKUP(A634,'Vocus RVC ExDa'!$C$2:$R$155, 3,FALSE), IFERROR(VLOOKUP(A634,'Fusion ExDa'!$B$2:$D$16, 2,FALSE), IFERROR(VLOOKUP(A634,'Exetel ExDa'!$C$2:$N$14, 2,FALSE), IFERROR(VLOOKUP(A634,'Infinet ExDa'!$B$2:$E$14, 2,FALSE), "Not Found"))))))))</f>
        <v>Not Found</v>
      </c>
      <c r="D634" t="str">
        <f>IFERROR(VLOOKUP($A634,'AAPT ExDa'!$B$2:$U$99, 15,FALSE), IFERROR(VLOOKUP($A634,'ABB ExDa'!$A$2:$N$184, 4,FALSE), IFERROR(VLOOKUP($A634,'Vocus SIT ExDa'!$B$2:$J$173, 5,FALSE), IFERROR(VLOOKUP($A634,'Telstra ExDa'!$B$2:$K$310, 8,FALSE), IFERROR(VLOOKUP($A634,'Vocus RVC ExDa'!$C$2:$R$155, 6,FALSE), IFERROR(VLOOKUP($A634,'Fusion ExDa'!$B$2:$D$16, 4,FALSE), IFERROR(VLOOKUP($A634,'Exetel ExDa'!$C$2:$N$14, 3,FALSE), IFERROR(VLOOKUP($A634,'Infinet ExDa'!$B$2:$E$14, 3,FALSE), "Not Found"))))))))</f>
        <v>Not Found</v>
      </c>
      <c r="E634" t="str">
        <f>IFERROR(VLOOKUP($A634,'AAPT ExDa'!$B$2:$U$99, 3,FALSE), IFERROR(VLOOKUP($A634,'ABB ExDa'!$A$2:$N$184, 5,FALSE), IFERROR(VLOOKUP($A634,'Vocus SIT ExDa'!$B$2:$J$173, 2,FALSE), IFERROR(VLOOKUP($A634,'Telstra ExDa'!$B$2:$K$310, 4,FALSE), IFERROR(VLOOKUP($A634,'Vocus RVC ExDa'!$C$2:$R$155, 8,FALSE), IFERROR(VLOOKUP($A634,'Fusion ExDa'!$B$2:$D$16, 4,FALSE), IFERROR(VLOOKUP($A634,'Exetel ExDa'!$C$2:$N$14, 5,FALSE), IFERROR(VLOOKUP($A634,'Infinet ExDa'!$B$2:$E$14, 3,FALSE), "Not Found"))))))))</f>
        <v>Not Found</v>
      </c>
      <c r="F634" t="str">
        <f>IFERROR(VLOOKUP($A634,'AAPT ExDa'!$B$2:$U$99, 4,FALSE), IFERROR(VLOOKUP($A634,'ABB ExDa'!$A$2:$N$184, 6,FALSE), IFERROR(VLOOKUP($A634,'Vocus SIT ExDa'!$B$2:$J$173, 3,FALSE), IFERROR(VLOOKUP($A634,'Telstra ExDa'!$B$2:$K$310, 5,FALSE), IFERROR(VLOOKUP($A634,'Vocus RVC ExDa'!$C$2:$R$155, 9,FALSE), IFERROR(VLOOKUP($A634,'Fusion ExDa'!$B$2:$D$16, 0,FALSE), IFERROR(VLOOKUP($A634,'Exetel ExDa'!$C$2:$N$14, 6,FALSE), IFERROR(VLOOKUP($A634,'Infinet ExDa'!$B$2:$E$14, 0,FALSE), "Not Found"))))))))</f>
        <v>Not Found</v>
      </c>
      <c r="G634" t="str">
        <f>IFERROR(VLOOKUP($A634,'AAPT ExDa'!$B$2:$U$99, 5,FALSE), IFERROR(VLOOKUP($A634,'ABB ExDa'!$A$2:$N$184, 8,FALSE), IFERROR(VLOOKUP($A634,'Vocus SIT ExDa'!$B$2:$J$173, 6,FALSE), IFERROR(VLOOKUP($A634,'Telstra ExDa'!$B$2:$K$310, 0,FALSE), IFERROR(VLOOKUP($A634,'Vocus RVC ExDa'!$C$2:$R$155, 15,FALSE), IFERROR(VLOOKUP($A634,'Fusion ExDa'!$B$2:$D$16, 0,FALSE), IFERROR(VLOOKUP($A634,'Exetel ExDa'!$C$2:$N$14, 7,FALSE), IFERROR(VLOOKUP($A634,'Infinet ExDa'!$B$2:$E$14, 0,FALSE), "Not Found"))))))))</f>
        <v>Not Found</v>
      </c>
      <c r="H634" t="str">
        <f>IFERROR(VLOOKUP($A634,'AAPT ExDa'!$B$2:$U$99, 6,FALSE), IFERROR(VLOOKUP($A634,'ABB ExDa'!$A$2:$N$184, 0,FALSE), IFERROR(VLOOKUP($A634,'Vocus SIT ExDa'!$B$2:$J$173, 0,FALSE), IFERROR(VLOOKUP($A634,'Telstra ExDa'!$B$2:$K$310, 0,FALSE), IFERROR(VLOOKUP($A634,'Vocus RVC ExDa'!$C$2:$R$155, 16,FALSE), IFERROR(VLOOKUP($A634,'Fusion ExDa'!$B$2:$D$16, 0,FALSE), IFERROR(VLOOKUP($A634,'Exetel ExDa'!$C$2:$N$14, 0,FALSE), IFERROR(VLOOKUP($A634,'Infinet ExDa'!$B$2:$E$14, 0,FALSE), "Not Found"))))))))</f>
        <v>Not Found</v>
      </c>
      <c r="I634" t="str">
        <f>IFERROR(VLOOKUP($A634,'AAPT ExDa'!$B$2:$U$99, 0,FALSE), IFERROR(VLOOKUP($A634,'ABB ExDa'!$A$2:$N$184, 0,FALSE), IFERROR(VLOOKUP($A634,'Vocus SIT ExDa'!$B$2:$J$173, 0,FALSE), IFERROR(VLOOKUP($A634,'Telstra ExDa'!$B$2:$K$310, 0,FALSE), IFERROR(VLOOKUP($A634,'Vocus RVC ExDa'!$C$2:$R$155, 0,FALSE), IFERROR(VLOOKUP($A634,'Fusion ExDa'!$B$2:$D$16, 0,FALSE), IFERROR(VLOOKUP($A634,'Exetel ExDa'!$C$2:$N$14, 8,FALSE), IFERROR(VLOOKUP($A634,'Infinet ExDa'!$B$2:$E$14, 0,FALSE), "Not Found"))))))))</f>
        <v>Not Found</v>
      </c>
      <c r="J634" t="str">
        <f>IFERROR(VLOOKUP($A634,'AAPT ExDa'!$B$2:$U$99, 7,FALSE), IFERROR(VLOOKUP($A634,'ABB ExDa'!$A$2:$N$184, 2,FALSE), IFERROR(VLOOKUP($A634,'Vocus SIT ExDa'!$B$2:$J$173, 0,FALSE), IFERROR(VLOOKUP($A634,'Telstra ExDa'!$B$2:$K$310, 7,FALSE), IFERROR(VLOOKUP($A634,'Vocus RVC ExDa'!$C$2:$R$155, 2,FALSE), IFERROR(VLOOKUP($A634,'Fusion ExDa'!$B$2:$D$16, 3,FALSE), IFERROR(VLOOKUP($A634,'Exetel ExDa'!$C$2:$N$14, 0,FALSE), IFERROR(VLOOKUP($A634,'Infinet ExDa'!$B$2:$E$14, 0,FALSE), "Not Found"))))))))</f>
        <v>Not Found</v>
      </c>
      <c r="K634" t="str">
        <f>IFERROR(VLOOKUP($A634,'AAPT ExDa'!$B$2:$U$99, 12,FALSE), IFERROR(VLOOKUP($A634,'ABB ExDa'!$A$2:$N$184, 0,FALSE), IFERROR(VLOOKUP($A634,'Vocus SIT ExDa'!$B$2:$J$173, 0,FALSE), IFERROR(VLOOKUP($A634,'Telstra ExDa'!$B$2:$K$310, 0,FALSE), IFERROR(VLOOKUP($A634,'Vocus RVC ExDa'!$C$2:$R$155, 0,FALSE), IFERROR(VLOOKUP($A634,'Fusion ExDa'!$B$2:$D$16, 0,FALSE), IFERROR(VLOOKUP($A634,'Exetel ExDa'!$C$2:$N$14, 12,FALSE), IFERROR(VLOOKUP($A634,'Infinet ExDa'!$B$2:$E$14, 0,FALSE), "Not Found"))))))))</f>
        <v>Not Found</v>
      </c>
      <c r="L634" s="235" t="str">
        <f>IFERROR(VLOOKUP($A634,'AAPT ExDa'!$B$2:$U$99, 11,FALSE), IFERROR(VLOOKUP($A634,'ABB ExDa'!$A$2:$N$184, 9,FALSE), IFERROR(VLOOKUP($A634,'Vocus SIT ExDa'!$B$2:$J$173, 8,FALSE), IFERROR(VLOOKUP($A634,'Telstra ExDa'!$B$2:$K$310, 0,FALSE), IFERROR(VLOOKUP($A634,'Vocus RVC ExDa'!$C$2:$R$155, 0,FALSE), IFERROR(VLOOKUP($A634,'Fusion ExDa'!$B$2:$D$16, 0,FALSE), IFERROR(VLOOKUP($A634,'Exetel ExDa'!$C$2:$N$14, 9,FALSE), IFERROR(VLOOKUP($A634,'Infinet ExDa'!$B$2:$E$14, 0,FALSE), "Not Found"))))))))</f>
        <v>Not Found</v>
      </c>
      <c r="M634" s="234" t="str">
        <f>IFERROR(VLOOKUP($A634,'AAPT ExDa'!$B$2:$U$99, 0,FALSE), IFERROR(VLOOKUP($A634,'ABB ExDa'!$A$2:$N$184, 0,FALSE), IFERROR(VLOOKUP($A634,'Vocus SIT ExDa'!$B$2:$J$173, 0,FALSE), IFERROR(VLOOKUP($A634,'Telstra ExDa'!$B$2:$K$310, 0,FALSE), IFERROR(VLOOKUP($A634,'Vocus RVC ExDa'!$C$2:$R$155, 0,FALSE), IFERROR(VLOOKUP($A634,'Fusion ExDa'!$B$2:$D$16, 0,FALSE), IFERROR(VLOOKUP($A634,'Exetel ExDa'!$C$2:$N$14, 11,FALSE), IFERROR(VLOOKUP($A634,'Infinet ExDa'!$B$2:$E$14, 0,FALSE), "Not Found"))))))))</f>
        <v>Not Found</v>
      </c>
      <c r="N634" t="str">
        <f>IFERROR(VLOOKUP($A634,'AAPT ExDa'!$B$2:$U$99, 0,FALSE), IFERROR(VLOOKUP($A634,'ABB ExDa'!$A$2:$N$184, 13,FALSE), IFERROR(VLOOKUP($A634,'Vocus SIT ExDa'!$B$2:$J$173, 0,FALSE), IFERROR(VLOOKUP($A634,'Telstra ExDa'!$B$2:$K$310, 0,FALSE), IFERROR(VLOOKUP($A634,'Vocus RVC ExDa'!$C$2:$R$155, 0,FALSE), IFERROR(VLOOKUP($A634,'Fusion ExDa'!$B$2:$D$16, 0,FALSE), IFERROR(VLOOKUP($A634,'Exetel ExDa'!$C$2:$N$14, 0,FALSE), IFERROR(VLOOKUP($A634,'Infinet ExDa'!$B$2:$E$14, 0,FALSE), "Not Found"))))))))</f>
        <v>Not Found</v>
      </c>
    </row>
    <row r="635" spans="1:14">
      <c r="A635">
        <v>0</v>
      </c>
      <c r="B635" t="str">
        <f>IFERROR(VLOOKUP(A635,'Exetel ExDa'!$C$2:$N$14,4,FALSE),"No Data")</f>
        <v>No Data</v>
      </c>
      <c r="C635" t="str">
        <f>IFERROR(VLOOKUP(A635,'AAPT ExDa'!$B$2:$U$99, 2,FALSE), IFERROR(VLOOKUP(A635,'ABB ExDa'!$A$2:$N$184, 2,FALSE), IFERROR(VLOOKUP(A635,'Vocus SIT ExDa'!$B$2:$J$173, 7,FALSE), IFERROR(VLOOKUP(A635,'Telstra ExDa'!$B$2:$K$310, 2,FALSE), IFERROR(VLOOKUP(A635,'Vocus RVC ExDa'!$C$2:$R$155, 3,FALSE), IFERROR(VLOOKUP(A635,'Fusion ExDa'!$B$2:$D$16, 2,FALSE), IFERROR(VLOOKUP(A635,'Exetel ExDa'!$C$2:$N$14, 2,FALSE), IFERROR(VLOOKUP(A635,'Infinet ExDa'!$B$2:$E$14, 2,FALSE), "Not Found"))))))))</f>
        <v>Not Found</v>
      </c>
      <c r="D635" t="str">
        <f>IFERROR(VLOOKUP($A635,'AAPT ExDa'!$B$2:$U$99, 15,FALSE), IFERROR(VLOOKUP($A635,'ABB ExDa'!$A$2:$N$184, 4,FALSE), IFERROR(VLOOKUP($A635,'Vocus SIT ExDa'!$B$2:$J$173, 5,FALSE), IFERROR(VLOOKUP($A635,'Telstra ExDa'!$B$2:$K$310, 8,FALSE), IFERROR(VLOOKUP($A635,'Vocus RVC ExDa'!$C$2:$R$155, 6,FALSE), IFERROR(VLOOKUP($A635,'Fusion ExDa'!$B$2:$D$16, 4,FALSE), IFERROR(VLOOKUP($A635,'Exetel ExDa'!$C$2:$N$14, 3,FALSE), IFERROR(VLOOKUP($A635,'Infinet ExDa'!$B$2:$E$14, 3,FALSE), "Not Found"))))))))</f>
        <v>Not Found</v>
      </c>
      <c r="E635" t="str">
        <f>IFERROR(VLOOKUP($A635,'AAPT ExDa'!$B$2:$U$99, 3,FALSE), IFERROR(VLOOKUP($A635,'ABB ExDa'!$A$2:$N$184, 5,FALSE), IFERROR(VLOOKUP($A635,'Vocus SIT ExDa'!$B$2:$J$173, 2,FALSE), IFERROR(VLOOKUP($A635,'Telstra ExDa'!$B$2:$K$310, 4,FALSE), IFERROR(VLOOKUP($A635,'Vocus RVC ExDa'!$C$2:$R$155, 8,FALSE), IFERROR(VLOOKUP($A635,'Fusion ExDa'!$B$2:$D$16, 4,FALSE), IFERROR(VLOOKUP($A635,'Exetel ExDa'!$C$2:$N$14, 5,FALSE), IFERROR(VLOOKUP($A635,'Infinet ExDa'!$B$2:$E$14, 3,FALSE), "Not Found"))))))))</f>
        <v>Not Found</v>
      </c>
      <c r="F635" t="str">
        <f>IFERROR(VLOOKUP($A635,'AAPT ExDa'!$B$2:$U$99, 4,FALSE), IFERROR(VLOOKUP($A635,'ABB ExDa'!$A$2:$N$184, 6,FALSE), IFERROR(VLOOKUP($A635,'Vocus SIT ExDa'!$B$2:$J$173, 3,FALSE), IFERROR(VLOOKUP($A635,'Telstra ExDa'!$B$2:$K$310, 5,FALSE), IFERROR(VLOOKUP($A635,'Vocus RVC ExDa'!$C$2:$R$155, 9,FALSE), IFERROR(VLOOKUP($A635,'Fusion ExDa'!$B$2:$D$16, 0,FALSE), IFERROR(VLOOKUP($A635,'Exetel ExDa'!$C$2:$N$14, 6,FALSE), IFERROR(VLOOKUP($A635,'Infinet ExDa'!$B$2:$E$14, 0,FALSE), "Not Found"))))))))</f>
        <v>Not Found</v>
      </c>
      <c r="G635" t="str">
        <f>IFERROR(VLOOKUP($A635,'AAPT ExDa'!$B$2:$U$99, 5,FALSE), IFERROR(VLOOKUP($A635,'ABB ExDa'!$A$2:$N$184, 8,FALSE), IFERROR(VLOOKUP($A635,'Vocus SIT ExDa'!$B$2:$J$173, 6,FALSE), IFERROR(VLOOKUP($A635,'Telstra ExDa'!$B$2:$K$310, 0,FALSE), IFERROR(VLOOKUP($A635,'Vocus RVC ExDa'!$C$2:$R$155, 15,FALSE), IFERROR(VLOOKUP($A635,'Fusion ExDa'!$B$2:$D$16, 0,FALSE), IFERROR(VLOOKUP($A635,'Exetel ExDa'!$C$2:$N$14, 7,FALSE), IFERROR(VLOOKUP($A635,'Infinet ExDa'!$B$2:$E$14, 0,FALSE), "Not Found"))))))))</f>
        <v>Not Found</v>
      </c>
      <c r="H635" t="str">
        <f>IFERROR(VLOOKUP($A635,'AAPT ExDa'!$B$2:$U$99, 6,FALSE), IFERROR(VLOOKUP($A635,'ABB ExDa'!$A$2:$N$184, 0,FALSE), IFERROR(VLOOKUP($A635,'Vocus SIT ExDa'!$B$2:$J$173, 0,FALSE), IFERROR(VLOOKUP($A635,'Telstra ExDa'!$B$2:$K$310, 0,FALSE), IFERROR(VLOOKUP($A635,'Vocus RVC ExDa'!$C$2:$R$155, 16,FALSE), IFERROR(VLOOKUP($A635,'Fusion ExDa'!$B$2:$D$16, 0,FALSE), IFERROR(VLOOKUP($A635,'Exetel ExDa'!$C$2:$N$14, 0,FALSE), IFERROR(VLOOKUP($A635,'Infinet ExDa'!$B$2:$E$14, 0,FALSE), "Not Found"))))))))</f>
        <v>Not Found</v>
      </c>
      <c r="I635" t="str">
        <f>IFERROR(VLOOKUP($A635,'AAPT ExDa'!$B$2:$U$99, 0,FALSE), IFERROR(VLOOKUP($A635,'ABB ExDa'!$A$2:$N$184, 0,FALSE), IFERROR(VLOOKUP($A635,'Vocus SIT ExDa'!$B$2:$J$173, 0,FALSE), IFERROR(VLOOKUP($A635,'Telstra ExDa'!$B$2:$K$310, 0,FALSE), IFERROR(VLOOKUP($A635,'Vocus RVC ExDa'!$C$2:$R$155, 0,FALSE), IFERROR(VLOOKUP($A635,'Fusion ExDa'!$B$2:$D$16, 0,FALSE), IFERROR(VLOOKUP($A635,'Exetel ExDa'!$C$2:$N$14, 8,FALSE), IFERROR(VLOOKUP($A635,'Infinet ExDa'!$B$2:$E$14, 0,FALSE), "Not Found"))))))))</f>
        <v>Not Found</v>
      </c>
      <c r="J635" t="str">
        <f>IFERROR(VLOOKUP($A635,'AAPT ExDa'!$B$2:$U$99, 7,FALSE), IFERROR(VLOOKUP($A635,'ABB ExDa'!$A$2:$N$184, 2,FALSE), IFERROR(VLOOKUP($A635,'Vocus SIT ExDa'!$B$2:$J$173, 0,FALSE), IFERROR(VLOOKUP($A635,'Telstra ExDa'!$B$2:$K$310, 7,FALSE), IFERROR(VLOOKUP($A635,'Vocus RVC ExDa'!$C$2:$R$155, 2,FALSE), IFERROR(VLOOKUP($A635,'Fusion ExDa'!$B$2:$D$16, 3,FALSE), IFERROR(VLOOKUP($A635,'Exetel ExDa'!$C$2:$N$14, 0,FALSE), IFERROR(VLOOKUP($A635,'Infinet ExDa'!$B$2:$E$14, 0,FALSE), "Not Found"))))))))</f>
        <v>Not Found</v>
      </c>
      <c r="K635" t="str">
        <f>IFERROR(VLOOKUP($A635,'AAPT ExDa'!$B$2:$U$99, 12,FALSE), IFERROR(VLOOKUP($A635,'ABB ExDa'!$A$2:$N$184, 0,FALSE), IFERROR(VLOOKUP($A635,'Vocus SIT ExDa'!$B$2:$J$173, 0,FALSE), IFERROR(VLOOKUP($A635,'Telstra ExDa'!$B$2:$K$310, 0,FALSE), IFERROR(VLOOKUP($A635,'Vocus RVC ExDa'!$C$2:$R$155, 0,FALSE), IFERROR(VLOOKUP($A635,'Fusion ExDa'!$B$2:$D$16, 0,FALSE), IFERROR(VLOOKUP($A635,'Exetel ExDa'!$C$2:$N$14, 12,FALSE), IFERROR(VLOOKUP($A635,'Infinet ExDa'!$B$2:$E$14, 0,FALSE), "Not Found"))))))))</f>
        <v>Not Found</v>
      </c>
      <c r="L635" s="235" t="str">
        <f>IFERROR(VLOOKUP($A635,'AAPT ExDa'!$B$2:$U$99, 11,FALSE), IFERROR(VLOOKUP($A635,'ABB ExDa'!$A$2:$N$184, 9,FALSE), IFERROR(VLOOKUP($A635,'Vocus SIT ExDa'!$B$2:$J$173, 8,FALSE), IFERROR(VLOOKUP($A635,'Telstra ExDa'!$B$2:$K$310, 0,FALSE), IFERROR(VLOOKUP($A635,'Vocus RVC ExDa'!$C$2:$R$155, 0,FALSE), IFERROR(VLOOKUP($A635,'Fusion ExDa'!$B$2:$D$16, 0,FALSE), IFERROR(VLOOKUP($A635,'Exetel ExDa'!$C$2:$N$14, 9,FALSE), IFERROR(VLOOKUP($A635,'Infinet ExDa'!$B$2:$E$14, 0,FALSE), "Not Found"))))))))</f>
        <v>Not Found</v>
      </c>
      <c r="M635" s="234" t="str">
        <f>IFERROR(VLOOKUP($A635,'AAPT ExDa'!$B$2:$U$99, 0,FALSE), IFERROR(VLOOKUP($A635,'ABB ExDa'!$A$2:$N$184, 0,FALSE), IFERROR(VLOOKUP($A635,'Vocus SIT ExDa'!$B$2:$J$173, 0,FALSE), IFERROR(VLOOKUP($A635,'Telstra ExDa'!$B$2:$K$310, 0,FALSE), IFERROR(VLOOKUP($A635,'Vocus RVC ExDa'!$C$2:$R$155, 0,FALSE), IFERROR(VLOOKUP($A635,'Fusion ExDa'!$B$2:$D$16, 0,FALSE), IFERROR(VLOOKUP($A635,'Exetel ExDa'!$C$2:$N$14, 11,FALSE), IFERROR(VLOOKUP($A635,'Infinet ExDa'!$B$2:$E$14, 0,FALSE), "Not Found"))))))))</f>
        <v>Not Found</v>
      </c>
      <c r="N635" t="str">
        <f>IFERROR(VLOOKUP($A635,'AAPT ExDa'!$B$2:$U$99, 0,FALSE), IFERROR(VLOOKUP($A635,'ABB ExDa'!$A$2:$N$184, 13,FALSE), IFERROR(VLOOKUP($A635,'Vocus SIT ExDa'!$B$2:$J$173, 0,FALSE), IFERROR(VLOOKUP($A635,'Telstra ExDa'!$B$2:$K$310, 0,FALSE), IFERROR(VLOOKUP($A635,'Vocus RVC ExDa'!$C$2:$R$155, 0,FALSE), IFERROR(VLOOKUP($A635,'Fusion ExDa'!$B$2:$D$16, 0,FALSE), IFERROR(VLOOKUP($A635,'Exetel ExDa'!$C$2:$N$14, 0,FALSE), IFERROR(VLOOKUP($A635,'Infinet ExDa'!$B$2:$E$14, 0,FALSE), "Not Found"))))))))</f>
        <v>Not Found</v>
      </c>
    </row>
    <row r="636" spans="1:14">
      <c r="A636">
        <v>0</v>
      </c>
      <c r="B636" t="str">
        <f>IFERROR(VLOOKUP(A636,'Exetel ExDa'!$C$2:$N$14,4,FALSE),"No Data")</f>
        <v>No Data</v>
      </c>
      <c r="C636" t="str">
        <f>IFERROR(VLOOKUP(A636,'AAPT ExDa'!$B$2:$U$99, 2,FALSE), IFERROR(VLOOKUP(A636,'ABB ExDa'!$A$2:$N$184, 2,FALSE), IFERROR(VLOOKUP(A636,'Vocus SIT ExDa'!$B$2:$J$173, 7,FALSE), IFERROR(VLOOKUP(A636,'Telstra ExDa'!$B$2:$K$310, 2,FALSE), IFERROR(VLOOKUP(A636,'Vocus RVC ExDa'!$C$2:$R$155, 3,FALSE), IFERROR(VLOOKUP(A636,'Fusion ExDa'!$B$2:$D$16, 2,FALSE), IFERROR(VLOOKUP(A636,'Exetel ExDa'!$C$2:$N$14, 2,FALSE), IFERROR(VLOOKUP(A636,'Infinet ExDa'!$B$2:$E$14, 2,FALSE), "Not Found"))))))))</f>
        <v>Not Found</v>
      </c>
      <c r="D636" t="str">
        <f>IFERROR(VLOOKUP($A636,'AAPT ExDa'!$B$2:$U$99, 15,FALSE), IFERROR(VLOOKUP($A636,'ABB ExDa'!$A$2:$N$184, 4,FALSE), IFERROR(VLOOKUP($A636,'Vocus SIT ExDa'!$B$2:$J$173, 5,FALSE), IFERROR(VLOOKUP($A636,'Telstra ExDa'!$B$2:$K$310, 8,FALSE), IFERROR(VLOOKUP($A636,'Vocus RVC ExDa'!$C$2:$R$155, 6,FALSE), IFERROR(VLOOKUP($A636,'Fusion ExDa'!$B$2:$D$16, 4,FALSE), IFERROR(VLOOKUP($A636,'Exetel ExDa'!$C$2:$N$14, 3,FALSE), IFERROR(VLOOKUP($A636,'Infinet ExDa'!$B$2:$E$14, 3,FALSE), "Not Found"))))))))</f>
        <v>Not Found</v>
      </c>
      <c r="E636" t="str">
        <f>IFERROR(VLOOKUP($A636,'AAPT ExDa'!$B$2:$U$99, 3,FALSE), IFERROR(VLOOKUP($A636,'ABB ExDa'!$A$2:$N$184, 5,FALSE), IFERROR(VLOOKUP($A636,'Vocus SIT ExDa'!$B$2:$J$173, 2,FALSE), IFERROR(VLOOKUP($A636,'Telstra ExDa'!$B$2:$K$310, 4,FALSE), IFERROR(VLOOKUP($A636,'Vocus RVC ExDa'!$C$2:$R$155, 8,FALSE), IFERROR(VLOOKUP($A636,'Fusion ExDa'!$B$2:$D$16, 4,FALSE), IFERROR(VLOOKUP($A636,'Exetel ExDa'!$C$2:$N$14, 5,FALSE), IFERROR(VLOOKUP($A636,'Infinet ExDa'!$B$2:$E$14, 3,FALSE), "Not Found"))))))))</f>
        <v>Not Found</v>
      </c>
      <c r="F636" t="str">
        <f>IFERROR(VLOOKUP($A636,'AAPT ExDa'!$B$2:$U$99, 4,FALSE), IFERROR(VLOOKUP($A636,'ABB ExDa'!$A$2:$N$184, 6,FALSE), IFERROR(VLOOKUP($A636,'Vocus SIT ExDa'!$B$2:$J$173, 3,FALSE), IFERROR(VLOOKUP($A636,'Telstra ExDa'!$B$2:$K$310, 5,FALSE), IFERROR(VLOOKUP($A636,'Vocus RVC ExDa'!$C$2:$R$155, 9,FALSE), IFERROR(VLOOKUP($A636,'Fusion ExDa'!$B$2:$D$16, 0,FALSE), IFERROR(VLOOKUP($A636,'Exetel ExDa'!$C$2:$N$14, 6,FALSE), IFERROR(VLOOKUP($A636,'Infinet ExDa'!$B$2:$E$14, 0,FALSE), "Not Found"))))))))</f>
        <v>Not Found</v>
      </c>
      <c r="G636" t="str">
        <f>IFERROR(VLOOKUP($A636,'AAPT ExDa'!$B$2:$U$99, 5,FALSE), IFERROR(VLOOKUP($A636,'ABB ExDa'!$A$2:$N$184, 8,FALSE), IFERROR(VLOOKUP($A636,'Vocus SIT ExDa'!$B$2:$J$173, 6,FALSE), IFERROR(VLOOKUP($A636,'Telstra ExDa'!$B$2:$K$310, 0,FALSE), IFERROR(VLOOKUP($A636,'Vocus RVC ExDa'!$C$2:$R$155, 15,FALSE), IFERROR(VLOOKUP($A636,'Fusion ExDa'!$B$2:$D$16, 0,FALSE), IFERROR(VLOOKUP($A636,'Exetel ExDa'!$C$2:$N$14, 7,FALSE), IFERROR(VLOOKUP($A636,'Infinet ExDa'!$B$2:$E$14, 0,FALSE), "Not Found"))))))))</f>
        <v>Not Found</v>
      </c>
      <c r="H636" t="str">
        <f>IFERROR(VLOOKUP($A636,'AAPT ExDa'!$B$2:$U$99, 6,FALSE), IFERROR(VLOOKUP($A636,'ABB ExDa'!$A$2:$N$184, 0,FALSE), IFERROR(VLOOKUP($A636,'Vocus SIT ExDa'!$B$2:$J$173, 0,FALSE), IFERROR(VLOOKUP($A636,'Telstra ExDa'!$B$2:$K$310, 0,FALSE), IFERROR(VLOOKUP($A636,'Vocus RVC ExDa'!$C$2:$R$155, 16,FALSE), IFERROR(VLOOKUP($A636,'Fusion ExDa'!$B$2:$D$16, 0,FALSE), IFERROR(VLOOKUP($A636,'Exetel ExDa'!$C$2:$N$14, 0,FALSE), IFERROR(VLOOKUP($A636,'Infinet ExDa'!$B$2:$E$14, 0,FALSE), "Not Found"))))))))</f>
        <v>Not Found</v>
      </c>
      <c r="I636" t="str">
        <f>IFERROR(VLOOKUP($A636,'AAPT ExDa'!$B$2:$U$99, 0,FALSE), IFERROR(VLOOKUP($A636,'ABB ExDa'!$A$2:$N$184, 0,FALSE), IFERROR(VLOOKUP($A636,'Vocus SIT ExDa'!$B$2:$J$173, 0,FALSE), IFERROR(VLOOKUP($A636,'Telstra ExDa'!$B$2:$K$310, 0,FALSE), IFERROR(VLOOKUP($A636,'Vocus RVC ExDa'!$C$2:$R$155, 0,FALSE), IFERROR(VLOOKUP($A636,'Fusion ExDa'!$B$2:$D$16, 0,FALSE), IFERROR(VLOOKUP($A636,'Exetel ExDa'!$C$2:$N$14, 8,FALSE), IFERROR(VLOOKUP($A636,'Infinet ExDa'!$B$2:$E$14, 0,FALSE), "Not Found"))))))))</f>
        <v>Not Found</v>
      </c>
      <c r="J636" t="str">
        <f>IFERROR(VLOOKUP($A636,'AAPT ExDa'!$B$2:$U$99, 7,FALSE), IFERROR(VLOOKUP($A636,'ABB ExDa'!$A$2:$N$184, 2,FALSE), IFERROR(VLOOKUP($A636,'Vocus SIT ExDa'!$B$2:$J$173, 0,FALSE), IFERROR(VLOOKUP($A636,'Telstra ExDa'!$B$2:$K$310, 7,FALSE), IFERROR(VLOOKUP($A636,'Vocus RVC ExDa'!$C$2:$R$155, 2,FALSE), IFERROR(VLOOKUP($A636,'Fusion ExDa'!$B$2:$D$16, 3,FALSE), IFERROR(VLOOKUP($A636,'Exetel ExDa'!$C$2:$N$14, 0,FALSE), IFERROR(VLOOKUP($A636,'Infinet ExDa'!$B$2:$E$14, 0,FALSE), "Not Found"))))))))</f>
        <v>Not Found</v>
      </c>
      <c r="K636" t="str">
        <f>IFERROR(VLOOKUP($A636,'AAPT ExDa'!$B$2:$U$99, 12,FALSE), IFERROR(VLOOKUP($A636,'ABB ExDa'!$A$2:$N$184, 0,FALSE), IFERROR(VLOOKUP($A636,'Vocus SIT ExDa'!$B$2:$J$173, 0,FALSE), IFERROR(VLOOKUP($A636,'Telstra ExDa'!$B$2:$K$310, 0,FALSE), IFERROR(VLOOKUP($A636,'Vocus RVC ExDa'!$C$2:$R$155, 0,FALSE), IFERROR(VLOOKUP($A636,'Fusion ExDa'!$B$2:$D$16, 0,FALSE), IFERROR(VLOOKUP($A636,'Exetel ExDa'!$C$2:$N$14, 12,FALSE), IFERROR(VLOOKUP($A636,'Infinet ExDa'!$B$2:$E$14, 0,FALSE), "Not Found"))))))))</f>
        <v>Not Found</v>
      </c>
      <c r="L636" s="235" t="str">
        <f>IFERROR(VLOOKUP($A636,'AAPT ExDa'!$B$2:$U$99, 11,FALSE), IFERROR(VLOOKUP($A636,'ABB ExDa'!$A$2:$N$184, 9,FALSE), IFERROR(VLOOKUP($A636,'Vocus SIT ExDa'!$B$2:$J$173, 8,FALSE), IFERROR(VLOOKUP($A636,'Telstra ExDa'!$B$2:$K$310, 0,FALSE), IFERROR(VLOOKUP($A636,'Vocus RVC ExDa'!$C$2:$R$155, 0,FALSE), IFERROR(VLOOKUP($A636,'Fusion ExDa'!$B$2:$D$16, 0,FALSE), IFERROR(VLOOKUP($A636,'Exetel ExDa'!$C$2:$N$14, 9,FALSE), IFERROR(VLOOKUP($A636,'Infinet ExDa'!$B$2:$E$14, 0,FALSE), "Not Found"))))))))</f>
        <v>Not Found</v>
      </c>
      <c r="M636" s="234" t="str">
        <f>IFERROR(VLOOKUP($A636,'AAPT ExDa'!$B$2:$U$99, 0,FALSE), IFERROR(VLOOKUP($A636,'ABB ExDa'!$A$2:$N$184, 0,FALSE), IFERROR(VLOOKUP($A636,'Vocus SIT ExDa'!$B$2:$J$173, 0,FALSE), IFERROR(VLOOKUP($A636,'Telstra ExDa'!$B$2:$K$310, 0,FALSE), IFERROR(VLOOKUP($A636,'Vocus RVC ExDa'!$C$2:$R$155, 0,FALSE), IFERROR(VLOOKUP($A636,'Fusion ExDa'!$B$2:$D$16, 0,FALSE), IFERROR(VLOOKUP($A636,'Exetel ExDa'!$C$2:$N$14, 11,FALSE), IFERROR(VLOOKUP($A636,'Infinet ExDa'!$B$2:$E$14, 0,FALSE), "Not Found"))))))))</f>
        <v>Not Found</v>
      </c>
      <c r="N636" t="str">
        <f>IFERROR(VLOOKUP($A636,'AAPT ExDa'!$B$2:$U$99, 0,FALSE), IFERROR(VLOOKUP($A636,'ABB ExDa'!$A$2:$N$184, 13,FALSE), IFERROR(VLOOKUP($A636,'Vocus SIT ExDa'!$B$2:$J$173, 0,FALSE), IFERROR(VLOOKUP($A636,'Telstra ExDa'!$B$2:$K$310, 0,FALSE), IFERROR(VLOOKUP($A636,'Vocus RVC ExDa'!$C$2:$R$155, 0,FALSE), IFERROR(VLOOKUP($A636,'Fusion ExDa'!$B$2:$D$16, 0,FALSE), IFERROR(VLOOKUP($A636,'Exetel ExDa'!$C$2:$N$14, 0,FALSE), IFERROR(VLOOKUP($A636,'Infinet ExDa'!$B$2:$E$14, 0,FALSE), "Not Found"))))))))</f>
        <v>Not Found</v>
      </c>
    </row>
    <row r="637" spans="1:14">
      <c r="A637">
        <v>0</v>
      </c>
      <c r="B637" t="str">
        <f>IFERROR(VLOOKUP(A637,'Exetel ExDa'!$C$2:$N$14,4,FALSE),"No Data")</f>
        <v>No Data</v>
      </c>
      <c r="C637" t="str">
        <f>IFERROR(VLOOKUP(A637,'AAPT ExDa'!$B$2:$U$99, 2,FALSE), IFERROR(VLOOKUP(A637,'ABB ExDa'!$A$2:$N$184, 2,FALSE), IFERROR(VLOOKUP(A637,'Vocus SIT ExDa'!$B$2:$J$173, 7,FALSE), IFERROR(VLOOKUP(A637,'Telstra ExDa'!$B$2:$K$310, 2,FALSE), IFERROR(VLOOKUP(A637,'Vocus RVC ExDa'!$C$2:$R$155, 3,FALSE), IFERROR(VLOOKUP(A637,'Fusion ExDa'!$B$2:$D$16, 2,FALSE), IFERROR(VLOOKUP(A637,'Exetel ExDa'!$C$2:$N$14, 2,FALSE), IFERROR(VLOOKUP(A637,'Infinet ExDa'!$B$2:$E$14, 2,FALSE), "Not Found"))))))))</f>
        <v>Not Found</v>
      </c>
      <c r="D637" t="str">
        <f>IFERROR(VLOOKUP($A637,'AAPT ExDa'!$B$2:$U$99, 15,FALSE), IFERROR(VLOOKUP($A637,'ABB ExDa'!$A$2:$N$184, 4,FALSE), IFERROR(VLOOKUP($A637,'Vocus SIT ExDa'!$B$2:$J$173, 5,FALSE), IFERROR(VLOOKUP($A637,'Telstra ExDa'!$B$2:$K$310, 8,FALSE), IFERROR(VLOOKUP($A637,'Vocus RVC ExDa'!$C$2:$R$155, 6,FALSE), IFERROR(VLOOKUP($A637,'Fusion ExDa'!$B$2:$D$16, 4,FALSE), IFERROR(VLOOKUP($A637,'Exetel ExDa'!$C$2:$N$14, 3,FALSE), IFERROR(VLOOKUP($A637,'Infinet ExDa'!$B$2:$E$14, 3,FALSE), "Not Found"))))))))</f>
        <v>Not Found</v>
      </c>
      <c r="E637" t="str">
        <f>IFERROR(VLOOKUP($A637,'AAPT ExDa'!$B$2:$U$99, 3,FALSE), IFERROR(VLOOKUP($A637,'ABB ExDa'!$A$2:$N$184, 5,FALSE), IFERROR(VLOOKUP($A637,'Vocus SIT ExDa'!$B$2:$J$173, 2,FALSE), IFERROR(VLOOKUP($A637,'Telstra ExDa'!$B$2:$K$310, 4,FALSE), IFERROR(VLOOKUP($A637,'Vocus RVC ExDa'!$C$2:$R$155, 8,FALSE), IFERROR(VLOOKUP($A637,'Fusion ExDa'!$B$2:$D$16, 4,FALSE), IFERROR(VLOOKUP($A637,'Exetel ExDa'!$C$2:$N$14, 5,FALSE), IFERROR(VLOOKUP($A637,'Infinet ExDa'!$B$2:$E$14, 3,FALSE), "Not Found"))))))))</f>
        <v>Not Found</v>
      </c>
      <c r="F637" t="str">
        <f>IFERROR(VLOOKUP($A637,'AAPT ExDa'!$B$2:$U$99, 4,FALSE), IFERROR(VLOOKUP($A637,'ABB ExDa'!$A$2:$N$184, 6,FALSE), IFERROR(VLOOKUP($A637,'Vocus SIT ExDa'!$B$2:$J$173, 3,FALSE), IFERROR(VLOOKUP($A637,'Telstra ExDa'!$B$2:$K$310, 5,FALSE), IFERROR(VLOOKUP($A637,'Vocus RVC ExDa'!$C$2:$R$155, 9,FALSE), IFERROR(VLOOKUP($A637,'Fusion ExDa'!$B$2:$D$16, 0,FALSE), IFERROR(VLOOKUP($A637,'Exetel ExDa'!$C$2:$N$14, 6,FALSE), IFERROR(VLOOKUP($A637,'Infinet ExDa'!$B$2:$E$14, 0,FALSE), "Not Found"))))))))</f>
        <v>Not Found</v>
      </c>
      <c r="G637" t="str">
        <f>IFERROR(VLOOKUP($A637,'AAPT ExDa'!$B$2:$U$99, 5,FALSE), IFERROR(VLOOKUP($A637,'ABB ExDa'!$A$2:$N$184, 8,FALSE), IFERROR(VLOOKUP($A637,'Vocus SIT ExDa'!$B$2:$J$173, 6,FALSE), IFERROR(VLOOKUP($A637,'Telstra ExDa'!$B$2:$K$310, 0,FALSE), IFERROR(VLOOKUP($A637,'Vocus RVC ExDa'!$C$2:$R$155, 15,FALSE), IFERROR(VLOOKUP($A637,'Fusion ExDa'!$B$2:$D$16, 0,FALSE), IFERROR(VLOOKUP($A637,'Exetel ExDa'!$C$2:$N$14, 7,FALSE), IFERROR(VLOOKUP($A637,'Infinet ExDa'!$B$2:$E$14, 0,FALSE), "Not Found"))))))))</f>
        <v>Not Found</v>
      </c>
      <c r="H637" t="str">
        <f>IFERROR(VLOOKUP($A637,'AAPT ExDa'!$B$2:$U$99, 6,FALSE), IFERROR(VLOOKUP($A637,'ABB ExDa'!$A$2:$N$184, 0,FALSE), IFERROR(VLOOKUP($A637,'Vocus SIT ExDa'!$B$2:$J$173, 0,FALSE), IFERROR(VLOOKUP($A637,'Telstra ExDa'!$B$2:$K$310, 0,FALSE), IFERROR(VLOOKUP($A637,'Vocus RVC ExDa'!$C$2:$R$155, 16,FALSE), IFERROR(VLOOKUP($A637,'Fusion ExDa'!$B$2:$D$16, 0,FALSE), IFERROR(VLOOKUP($A637,'Exetel ExDa'!$C$2:$N$14, 0,FALSE), IFERROR(VLOOKUP($A637,'Infinet ExDa'!$B$2:$E$14, 0,FALSE), "Not Found"))))))))</f>
        <v>Not Found</v>
      </c>
      <c r="I637" t="str">
        <f>IFERROR(VLOOKUP($A637,'AAPT ExDa'!$B$2:$U$99, 0,FALSE), IFERROR(VLOOKUP($A637,'ABB ExDa'!$A$2:$N$184, 0,FALSE), IFERROR(VLOOKUP($A637,'Vocus SIT ExDa'!$B$2:$J$173, 0,FALSE), IFERROR(VLOOKUP($A637,'Telstra ExDa'!$B$2:$K$310, 0,FALSE), IFERROR(VLOOKUP($A637,'Vocus RVC ExDa'!$C$2:$R$155, 0,FALSE), IFERROR(VLOOKUP($A637,'Fusion ExDa'!$B$2:$D$16, 0,FALSE), IFERROR(VLOOKUP($A637,'Exetel ExDa'!$C$2:$N$14, 8,FALSE), IFERROR(VLOOKUP($A637,'Infinet ExDa'!$B$2:$E$14, 0,FALSE), "Not Found"))))))))</f>
        <v>Not Found</v>
      </c>
      <c r="J637" t="str">
        <f>IFERROR(VLOOKUP($A637,'AAPT ExDa'!$B$2:$U$99, 7,FALSE), IFERROR(VLOOKUP($A637,'ABB ExDa'!$A$2:$N$184, 2,FALSE), IFERROR(VLOOKUP($A637,'Vocus SIT ExDa'!$B$2:$J$173, 0,FALSE), IFERROR(VLOOKUP($A637,'Telstra ExDa'!$B$2:$K$310, 7,FALSE), IFERROR(VLOOKUP($A637,'Vocus RVC ExDa'!$C$2:$R$155, 2,FALSE), IFERROR(VLOOKUP($A637,'Fusion ExDa'!$B$2:$D$16, 3,FALSE), IFERROR(VLOOKUP($A637,'Exetel ExDa'!$C$2:$N$14, 0,FALSE), IFERROR(VLOOKUP($A637,'Infinet ExDa'!$B$2:$E$14, 0,FALSE), "Not Found"))))))))</f>
        <v>Not Found</v>
      </c>
      <c r="K637" t="str">
        <f>IFERROR(VLOOKUP($A637,'AAPT ExDa'!$B$2:$U$99, 12,FALSE), IFERROR(VLOOKUP($A637,'ABB ExDa'!$A$2:$N$184, 0,FALSE), IFERROR(VLOOKUP($A637,'Vocus SIT ExDa'!$B$2:$J$173, 0,FALSE), IFERROR(VLOOKUP($A637,'Telstra ExDa'!$B$2:$K$310, 0,FALSE), IFERROR(VLOOKUP($A637,'Vocus RVC ExDa'!$C$2:$R$155, 0,FALSE), IFERROR(VLOOKUP($A637,'Fusion ExDa'!$B$2:$D$16, 0,FALSE), IFERROR(VLOOKUP($A637,'Exetel ExDa'!$C$2:$N$14, 12,FALSE), IFERROR(VLOOKUP($A637,'Infinet ExDa'!$B$2:$E$14, 0,FALSE), "Not Found"))))))))</f>
        <v>Not Found</v>
      </c>
      <c r="L637" s="235" t="str">
        <f>IFERROR(VLOOKUP($A637,'AAPT ExDa'!$B$2:$U$99, 11,FALSE), IFERROR(VLOOKUP($A637,'ABB ExDa'!$A$2:$N$184, 9,FALSE), IFERROR(VLOOKUP($A637,'Vocus SIT ExDa'!$B$2:$J$173, 8,FALSE), IFERROR(VLOOKUP($A637,'Telstra ExDa'!$B$2:$K$310, 0,FALSE), IFERROR(VLOOKUP($A637,'Vocus RVC ExDa'!$C$2:$R$155, 0,FALSE), IFERROR(VLOOKUP($A637,'Fusion ExDa'!$B$2:$D$16, 0,FALSE), IFERROR(VLOOKUP($A637,'Exetel ExDa'!$C$2:$N$14, 9,FALSE), IFERROR(VLOOKUP($A637,'Infinet ExDa'!$B$2:$E$14, 0,FALSE), "Not Found"))))))))</f>
        <v>Not Found</v>
      </c>
      <c r="M637" s="234" t="str">
        <f>IFERROR(VLOOKUP($A637,'AAPT ExDa'!$B$2:$U$99, 0,FALSE), IFERROR(VLOOKUP($A637,'ABB ExDa'!$A$2:$N$184, 0,FALSE), IFERROR(VLOOKUP($A637,'Vocus SIT ExDa'!$B$2:$J$173, 0,FALSE), IFERROR(VLOOKUP($A637,'Telstra ExDa'!$B$2:$K$310, 0,FALSE), IFERROR(VLOOKUP($A637,'Vocus RVC ExDa'!$C$2:$R$155, 0,FALSE), IFERROR(VLOOKUP($A637,'Fusion ExDa'!$B$2:$D$16, 0,FALSE), IFERROR(VLOOKUP($A637,'Exetel ExDa'!$C$2:$N$14, 11,FALSE), IFERROR(VLOOKUP($A637,'Infinet ExDa'!$B$2:$E$14, 0,FALSE), "Not Found"))))))))</f>
        <v>Not Found</v>
      </c>
      <c r="N637" t="str">
        <f>IFERROR(VLOOKUP($A637,'AAPT ExDa'!$B$2:$U$99, 0,FALSE), IFERROR(VLOOKUP($A637,'ABB ExDa'!$A$2:$N$184, 13,FALSE), IFERROR(VLOOKUP($A637,'Vocus SIT ExDa'!$B$2:$J$173, 0,FALSE), IFERROR(VLOOKUP($A637,'Telstra ExDa'!$B$2:$K$310, 0,FALSE), IFERROR(VLOOKUP($A637,'Vocus RVC ExDa'!$C$2:$R$155, 0,FALSE), IFERROR(VLOOKUP($A637,'Fusion ExDa'!$B$2:$D$16, 0,FALSE), IFERROR(VLOOKUP($A637,'Exetel ExDa'!$C$2:$N$14, 0,FALSE), IFERROR(VLOOKUP($A637,'Infinet ExDa'!$B$2:$E$14, 0,FALSE), "Not Found"))))))))</f>
        <v>Not Found</v>
      </c>
    </row>
    <row r="638" spans="1:14">
      <c r="A638">
        <v>0</v>
      </c>
      <c r="B638" t="str">
        <f>IFERROR(VLOOKUP(A638,'Exetel ExDa'!$C$2:$N$14,4,FALSE),"No Data")</f>
        <v>No Data</v>
      </c>
      <c r="C638" t="str">
        <f>IFERROR(VLOOKUP(A638,'AAPT ExDa'!$B$2:$U$99, 2,FALSE), IFERROR(VLOOKUP(A638,'ABB ExDa'!$A$2:$N$184, 2,FALSE), IFERROR(VLOOKUP(A638,'Vocus SIT ExDa'!$B$2:$J$173, 7,FALSE), IFERROR(VLOOKUP(A638,'Telstra ExDa'!$B$2:$K$310, 2,FALSE), IFERROR(VLOOKUP(A638,'Vocus RVC ExDa'!$C$2:$R$155, 3,FALSE), IFERROR(VLOOKUP(A638,'Fusion ExDa'!$B$2:$D$16, 2,FALSE), IFERROR(VLOOKUP(A638,'Exetel ExDa'!$C$2:$N$14, 2,FALSE), IFERROR(VLOOKUP(A638,'Infinet ExDa'!$B$2:$E$14, 2,FALSE), "Not Found"))))))))</f>
        <v>Not Found</v>
      </c>
      <c r="D638" t="str">
        <f>IFERROR(VLOOKUP($A638,'AAPT ExDa'!$B$2:$U$99, 15,FALSE), IFERROR(VLOOKUP($A638,'ABB ExDa'!$A$2:$N$184, 4,FALSE), IFERROR(VLOOKUP($A638,'Vocus SIT ExDa'!$B$2:$J$173, 5,FALSE), IFERROR(VLOOKUP($A638,'Telstra ExDa'!$B$2:$K$310, 8,FALSE), IFERROR(VLOOKUP($A638,'Vocus RVC ExDa'!$C$2:$R$155, 6,FALSE), IFERROR(VLOOKUP($A638,'Fusion ExDa'!$B$2:$D$16, 4,FALSE), IFERROR(VLOOKUP($A638,'Exetel ExDa'!$C$2:$N$14, 3,FALSE), IFERROR(VLOOKUP($A638,'Infinet ExDa'!$B$2:$E$14, 3,FALSE), "Not Found"))))))))</f>
        <v>Not Found</v>
      </c>
      <c r="E638" t="str">
        <f>IFERROR(VLOOKUP($A638,'AAPT ExDa'!$B$2:$U$99, 3,FALSE), IFERROR(VLOOKUP($A638,'ABB ExDa'!$A$2:$N$184, 5,FALSE), IFERROR(VLOOKUP($A638,'Vocus SIT ExDa'!$B$2:$J$173, 2,FALSE), IFERROR(VLOOKUP($A638,'Telstra ExDa'!$B$2:$K$310, 4,FALSE), IFERROR(VLOOKUP($A638,'Vocus RVC ExDa'!$C$2:$R$155, 8,FALSE), IFERROR(VLOOKUP($A638,'Fusion ExDa'!$B$2:$D$16, 4,FALSE), IFERROR(VLOOKUP($A638,'Exetel ExDa'!$C$2:$N$14, 5,FALSE), IFERROR(VLOOKUP($A638,'Infinet ExDa'!$B$2:$E$14, 3,FALSE), "Not Found"))))))))</f>
        <v>Not Found</v>
      </c>
      <c r="F638" t="str">
        <f>IFERROR(VLOOKUP($A638,'AAPT ExDa'!$B$2:$U$99, 4,FALSE), IFERROR(VLOOKUP($A638,'ABB ExDa'!$A$2:$N$184, 6,FALSE), IFERROR(VLOOKUP($A638,'Vocus SIT ExDa'!$B$2:$J$173, 3,FALSE), IFERROR(VLOOKUP($A638,'Telstra ExDa'!$B$2:$K$310, 5,FALSE), IFERROR(VLOOKUP($A638,'Vocus RVC ExDa'!$C$2:$R$155, 9,FALSE), IFERROR(VLOOKUP($A638,'Fusion ExDa'!$B$2:$D$16, 0,FALSE), IFERROR(VLOOKUP($A638,'Exetel ExDa'!$C$2:$N$14, 6,FALSE), IFERROR(VLOOKUP($A638,'Infinet ExDa'!$B$2:$E$14, 0,FALSE), "Not Found"))))))))</f>
        <v>Not Found</v>
      </c>
      <c r="G638" t="str">
        <f>IFERROR(VLOOKUP($A638,'AAPT ExDa'!$B$2:$U$99, 5,FALSE), IFERROR(VLOOKUP($A638,'ABB ExDa'!$A$2:$N$184, 8,FALSE), IFERROR(VLOOKUP($A638,'Vocus SIT ExDa'!$B$2:$J$173, 6,FALSE), IFERROR(VLOOKUP($A638,'Telstra ExDa'!$B$2:$K$310, 0,FALSE), IFERROR(VLOOKUP($A638,'Vocus RVC ExDa'!$C$2:$R$155, 15,FALSE), IFERROR(VLOOKUP($A638,'Fusion ExDa'!$B$2:$D$16, 0,FALSE), IFERROR(VLOOKUP($A638,'Exetel ExDa'!$C$2:$N$14, 7,FALSE), IFERROR(VLOOKUP($A638,'Infinet ExDa'!$B$2:$E$14, 0,FALSE), "Not Found"))))))))</f>
        <v>Not Found</v>
      </c>
      <c r="H638" t="str">
        <f>IFERROR(VLOOKUP($A638,'AAPT ExDa'!$B$2:$U$99, 6,FALSE), IFERROR(VLOOKUP($A638,'ABB ExDa'!$A$2:$N$184, 0,FALSE), IFERROR(VLOOKUP($A638,'Vocus SIT ExDa'!$B$2:$J$173, 0,FALSE), IFERROR(VLOOKUP($A638,'Telstra ExDa'!$B$2:$K$310, 0,FALSE), IFERROR(VLOOKUP($A638,'Vocus RVC ExDa'!$C$2:$R$155, 16,FALSE), IFERROR(VLOOKUP($A638,'Fusion ExDa'!$B$2:$D$16, 0,FALSE), IFERROR(VLOOKUP($A638,'Exetel ExDa'!$C$2:$N$14, 0,FALSE), IFERROR(VLOOKUP($A638,'Infinet ExDa'!$B$2:$E$14, 0,FALSE), "Not Found"))))))))</f>
        <v>Not Found</v>
      </c>
      <c r="I638" t="str">
        <f>IFERROR(VLOOKUP($A638,'AAPT ExDa'!$B$2:$U$99, 0,FALSE), IFERROR(VLOOKUP($A638,'ABB ExDa'!$A$2:$N$184, 0,FALSE), IFERROR(VLOOKUP($A638,'Vocus SIT ExDa'!$B$2:$J$173, 0,FALSE), IFERROR(VLOOKUP($A638,'Telstra ExDa'!$B$2:$K$310, 0,FALSE), IFERROR(VLOOKUP($A638,'Vocus RVC ExDa'!$C$2:$R$155, 0,FALSE), IFERROR(VLOOKUP($A638,'Fusion ExDa'!$B$2:$D$16, 0,FALSE), IFERROR(VLOOKUP($A638,'Exetel ExDa'!$C$2:$N$14, 8,FALSE), IFERROR(VLOOKUP($A638,'Infinet ExDa'!$B$2:$E$14, 0,FALSE), "Not Found"))))))))</f>
        <v>Not Found</v>
      </c>
      <c r="J638" t="str">
        <f>IFERROR(VLOOKUP($A638,'AAPT ExDa'!$B$2:$U$99, 7,FALSE), IFERROR(VLOOKUP($A638,'ABB ExDa'!$A$2:$N$184, 2,FALSE), IFERROR(VLOOKUP($A638,'Vocus SIT ExDa'!$B$2:$J$173, 0,FALSE), IFERROR(VLOOKUP($A638,'Telstra ExDa'!$B$2:$K$310, 7,FALSE), IFERROR(VLOOKUP($A638,'Vocus RVC ExDa'!$C$2:$R$155, 2,FALSE), IFERROR(VLOOKUP($A638,'Fusion ExDa'!$B$2:$D$16, 3,FALSE), IFERROR(VLOOKUP($A638,'Exetel ExDa'!$C$2:$N$14, 0,FALSE), IFERROR(VLOOKUP($A638,'Infinet ExDa'!$B$2:$E$14, 0,FALSE), "Not Found"))))))))</f>
        <v>Not Found</v>
      </c>
      <c r="K638" t="str">
        <f>IFERROR(VLOOKUP($A638,'AAPT ExDa'!$B$2:$U$99, 12,FALSE), IFERROR(VLOOKUP($A638,'ABB ExDa'!$A$2:$N$184, 0,FALSE), IFERROR(VLOOKUP($A638,'Vocus SIT ExDa'!$B$2:$J$173, 0,FALSE), IFERROR(VLOOKUP($A638,'Telstra ExDa'!$B$2:$K$310, 0,FALSE), IFERROR(VLOOKUP($A638,'Vocus RVC ExDa'!$C$2:$R$155, 0,FALSE), IFERROR(VLOOKUP($A638,'Fusion ExDa'!$B$2:$D$16, 0,FALSE), IFERROR(VLOOKUP($A638,'Exetel ExDa'!$C$2:$N$14, 12,FALSE), IFERROR(VLOOKUP($A638,'Infinet ExDa'!$B$2:$E$14, 0,FALSE), "Not Found"))))))))</f>
        <v>Not Found</v>
      </c>
      <c r="L638" s="235" t="str">
        <f>IFERROR(VLOOKUP($A638,'AAPT ExDa'!$B$2:$U$99, 11,FALSE), IFERROR(VLOOKUP($A638,'ABB ExDa'!$A$2:$N$184, 9,FALSE), IFERROR(VLOOKUP($A638,'Vocus SIT ExDa'!$B$2:$J$173, 8,FALSE), IFERROR(VLOOKUP($A638,'Telstra ExDa'!$B$2:$K$310, 0,FALSE), IFERROR(VLOOKUP($A638,'Vocus RVC ExDa'!$C$2:$R$155, 0,FALSE), IFERROR(VLOOKUP($A638,'Fusion ExDa'!$B$2:$D$16, 0,FALSE), IFERROR(VLOOKUP($A638,'Exetel ExDa'!$C$2:$N$14, 9,FALSE), IFERROR(VLOOKUP($A638,'Infinet ExDa'!$B$2:$E$14, 0,FALSE), "Not Found"))))))))</f>
        <v>Not Found</v>
      </c>
      <c r="M638" s="234" t="str">
        <f>IFERROR(VLOOKUP($A638,'AAPT ExDa'!$B$2:$U$99, 0,FALSE), IFERROR(VLOOKUP($A638,'ABB ExDa'!$A$2:$N$184, 0,FALSE), IFERROR(VLOOKUP($A638,'Vocus SIT ExDa'!$B$2:$J$173, 0,FALSE), IFERROR(VLOOKUP($A638,'Telstra ExDa'!$B$2:$K$310, 0,FALSE), IFERROR(VLOOKUP($A638,'Vocus RVC ExDa'!$C$2:$R$155, 0,FALSE), IFERROR(VLOOKUP($A638,'Fusion ExDa'!$B$2:$D$16, 0,FALSE), IFERROR(VLOOKUP($A638,'Exetel ExDa'!$C$2:$N$14, 11,FALSE), IFERROR(VLOOKUP($A638,'Infinet ExDa'!$B$2:$E$14, 0,FALSE), "Not Found"))))))))</f>
        <v>Not Found</v>
      </c>
      <c r="N638" t="str">
        <f>IFERROR(VLOOKUP($A638,'AAPT ExDa'!$B$2:$U$99, 0,FALSE), IFERROR(VLOOKUP($A638,'ABB ExDa'!$A$2:$N$184, 13,FALSE), IFERROR(VLOOKUP($A638,'Vocus SIT ExDa'!$B$2:$J$173, 0,FALSE), IFERROR(VLOOKUP($A638,'Telstra ExDa'!$B$2:$K$310, 0,FALSE), IFERROR(VLOOKUP($A638,'Vocus RVC ExDa'!$C$2:$R$155, 0,FALSE), IFERROR(VLOOKUP($A638,'Fusion ExDa'!$B$2:$D$16, 0,FALSE), IFERROR(VLOOKUP($A638,'Exetel ExDa'!$C$2:$N$14, 0,FALSE), IFERROR(VLOOKUP($A638,'Infinet ExDa'!$B$2:$E$14, 0,FALSE), "Not Found"))))))))</f>
        <v>Not Found</v>
      </c>
    </row>
    <row r="639" spans="1:14">
      <c r="A639">
        <v>0</v>
      </c>
      <c r="B639" t="str">
        <f>IFERROR(VLOOKUP(A639,'Exetel ExDa'!$C$2:$N$14,4,FALSE),"No Data")</f>
        <v>No Data</v>
      </c>
      <c r="C639" t="str">
        <f>IFERROR(VLOOKUP(A639,'AAPT ExDa'!$B$2:$U$99, 2,FALSE), IFERROR(VLOOKUP(A639,'ABB ExDa'!$A$2:$N$184, 2,FALSE), IFERROR(VLOOKUP(A639,'Vocus SIT ExDa'!$B$2:$J$173, 7,FALSE), IFERROR(VLOOKUP(A639,'Telstra ExDa'!$B$2:$K$310, 2,FALSE), IFERROR(VLOOKUP(A639,'Vocus RVC ExDa'!$C$2:$R$155, 3,FALSE), IFERROR(VLOOKUP(A639,'Fusion ExDa'!$B$2:$D$16, 2,FALSE), IFERROR(VLOOKUP(A639,'Exetel ExDa'!$C$2:$N$14, 2,FALSE), IFERROR(VLOOKUP(A639,'Infinet ExDa'!$B$2:$E$14, 2,FALSE), "Not Found"))))))))</f>
        <v>Not Found</v>
      </c>
      <c r="D639" t="str">
        <f>IFERROR(VLOOKUP($A639,'AAPT ExDa'!$B$2:$U$99, 15,FALSE), IFERROR(VLOOKUP($A639,'ABB ExDa'!$A$2:$N$184, 4,FALSE), IFERROR(VLOOKUP($A639,'Vocus SIT ExDa'!$B$2:$J$173, 5,FALSE), IFERROR(VLOOKUP($A639,'Telstra ExDa'!$B$2:$K$310, 8,FALSE), IFERROR(VLOOKUP($A639,'Vocus RVC ExDa'!$C$2:$R$155, 6,FALSE), IFERROR(VLOOKUP($A639,'Fusion ExDa'!$B$2:$D$16, 4,FALSE), IFERROR(VLOOKUP($A639,'Exetel ExDa'!$C$2:$N$14, 3,FALSE), IFERROR(VLOOKUP($A639,'Infinet ExDa'!$B$2:$E$14, 3,FALSE), "Not Found"))))))))</f>
        <v>Not Found</v>
      </c>
      <c r="E639" t="str">
        <f>IFERROR(VLOOKUP($A639,'AAPT ExDa'!$B$2:$U$99, 3,FALSE), IFERROR(VLOOKUP($A639,'ABB ExDa'!$A$2:$N$184, 5,FALSE), IFERROR(VLOOKUP($A639,'Vocus SIT ExDa'!$B$2:$J$173, 2,FALSE), IFERROR(VLOOKUP($A639,'Telstra ExDa'!$B$2:$K$310, 4,FALSE), IFERROR(VLOOKUP($A639,'Vocus RVC ExDa'!$C$2:$R$155, 8,FALSE), IFERROR(VLOOKUP($A639,'Fusion ExDa'!$B$2:$D$16, 4,FALSE), IFERROR(VLOOKUP($A639,'Exetel ExDa'!$C$2:$N$14, 5,FALSE), IFERROR(VLOOKUP($A639,'Infinet ExDa'!$B$2:$E$14, 3,FALSE), "Not Found"))))))))</f>
        <v>Not Found</v>
      </c>
      <c r="F639" t="str">
        <f>IFERROR(VLOOKUP($A639,'AAPT ExDa'!$B$2:$U$99, 4,FALSE), IFERROR(VLOOKUP($A639,'ABB ExDa'!$A$2:$N$184, 6,FALSE), IFERROR(VLOOKUP($A639,'Vocus SIT ExDa'!$B$2:$J$173, 3,FALSE), IFERROR(VLOOKUP($A639,'Telstra ExDa'!$B$2:$K$310, 5,FALSE), IFERROR(VLOOKUP($A639,'Vocus RVC ExDa'!$C$2:$R$155, 9,FALSE), IFERROR(VLOOKUP($A639,'Fusion ExDa'!$B$2:$D$16, 0,FALSE), IFERROR(VLOOKUP($A639,'Exetel ExDa'!$C$2:$N$14, 6,FALSE), IFERROR(VLOOKUP($A639,'Infinet ExDa'!$B$2:$E$14, 0,FALSE), "Not Found"))))))))</f>
        <v>Not Found</v>
      </c>
      <c r="G639" t="str">
        <f>IFERROR(VLOOKUP($A639,'AAPT ExDa'!$B$2:$U$99, 5,FALSE), IFERROR(VLOOKUP($A639,'ABB ExDa'!$A$2:$N$184, 8,FALSE), IFERROR(VLOOKUP($A639,'Vocus SIT ExDa'!$B$2:$J$173, 6,FALSE), IFERROR(VLOOKUP($A639,'Telstra ExDa'!$B$2:$K$310, 0,FALSE), IFERROR(VLOOKUP($A639,'Vocus RVC ExDa'!$C$2:$R$155, 15,FALSE), IFERROR(VLOOKUP($A639,'Fusion ExDa'!$B$2:$D$16, 0,FALSE), IFERROR(VLOOKUP($A639,'Exetel ExDa'!$C$2:$N$14, 7,FALSE), IFERROR(VLOOKUP($A639,'Infinet ExDa'!$B$2:$E$14, 0,FALSE), "Not Found"))))))))</f>
        <v>Not Found</v>
      </c>
      <c r="H639" t="str">
        <f>IFERROR(VLOOKUP($A639,'AAPT ExDa'!$B$2:$U$99, 6,FALSE), IFERROR(VLOOKUP($A639,'ABB ExDa'!$A$2:$N$184, 0,FALSE), IFERROR(VLOOKUP($A639,'Vocus SIT ExDa'!$B$2:$J$173, 0,FALSE), IFERROR(VLOOKUP($A639,'Telstra ExDa'!$B$2:$K$310, 0,FALSE), IFERROR(VLOOKUP($A639,'Vocus RVC ExDa'!$C$2:$R$155, 16,FALSE), IFERROR(VLOOKUP($A639,'Fusion ExDa'!$B$2:$D$16, 0,FALSE), IFERROR(VLOOKUP($A639,'Exetel ExDa'!$C$2:$N$14, 0,FALSE), IFERROR(VLOOKUP($A639,'Infinet ExDa'!$B$2:$E$14, 0,FALSE), "Not Found"))))))))</f>
        <v>Not Found</v>
      </c>
      <c r="I639" t="str">
        <f>IFERROR(VLOOKUP($A639,'AAPT ExDa'!$B$2:$U$99, 0,FALSE), IFERROR(VLOOKUP($A639,'ABB ExDa'!$A$2:$N$184, 0,FALSE), IFERROR(VLOOKUP($A639,'Vocus SIT ExDa'!$B$2:$J$173, 0,FALSE), IFERROR(VLOOKUP($A639,'Telstra ExDa'!$B$2:$K$310, 0,FALSE), IFERROR(VLOOKUP($A639,'Vocus RVC ExDa'!$C$2:$R$155, 0,FALSE), IFERROR(VLOOKUP($A639,'Fusion ExDa'!$B$2:$D$16, 0,FALSE), IFERROR(VLOOKUP($A639,'Exetel ExDa'!$C$2:$N$14, 8,FALSE), IFERROR(VLOOKUP($A639,'Infinet ExDa'!$B$2:$E$14, 0,FALSE), "Not Found"))))))))</f>
        <v>Not Found</v>
      </c>
      <c r="J639" t="str">
        <f>IFERROR(VLOOKUP($A639,'AAPT ExDa'!$B$2:$U$99, 7,FALSE), IFERROR(VLOOKUP($A639,'ABB ExDa'!$A$2:$N$184, 2,FALSE), IFERROR(VLOOKUP($A639,'Vocus SIT ExDa'!$B$2:$J$173, 0,FALSE), IFERROR(VLOOKUP($A639,'Telstra ExDa'!$B$2:$K$310, 7,FALSE), IFERROR(VLOOKUP($A639,'Vocus RVC ExDa'!$C$2:$R$155, 2,FALSE), IFERROR(VLOOKUP($A639,'Fusion ExDa'!$B$2:$D$16, 3,FALSE), IFERROR(VLOOKUP($A639,'Exetel ExDa'!$C$2:$N$14, 0,FALSE), IFERROR(VLOOKUP($A639,'Infinet ExDa'!$B$2:$E$14, 0,FALSE), "Not Found"))))))))</f>
        <v>Not Found</v>
      </c>
      <c r="K639" t="str">
        <f>IFERROR(VLOOKUP($A639,'AAPT ExDa'!$B$2:$U$99, 12,FALSE), IFERROR(VLOOKUP($A639,'ABB ExDa'!$A$2:$N$184, 0,FALSE), IFERROR(VLOOKUP($A639,'Vocus SIT ExDa'!$B$2:$J$173, 0,FALSE), IFERROR(VLOOKUP($A639,'Telstra ExDa'!$B$2:$K$310, 0,FALSE), IFERROR(VLOOKUP($A639,'Vocus RVC ExDa'!$C$2:$R$155, 0,FALSE), IFERROR(VLOOKUP($A639,'Fusion ExDa'!$B$2:$D$16, 0,FALSE), IFERROR(VLOOKUP($A639,'Exetel ExDa'!$C$2:$N$14, 12,FALSE), IFERROR(VLOOKUP($A639,'Infinet ExDa'!$B$2:$E$14, 0,FALSE), "Not Found"))))))))</f>
        <v>Not Found</v>
      </c>
      <c r="L639" s="235" t="str">
        <f>IFERROR(VLOOKUP($A639,'AAPT ExDa'!$B$2:$U$99, 11,FALSE), IFERROR(VLOOKUP($A639,'ABB ExDa'!$A$2:$N$184, 9,FALSE), IFERROR(VLOOKUP($A639,'Vocus SIT ExDa'!$B$2:$J$173, 8,FALSE), IFERROR(VLOOKUP($A639,'Telstra ExDa'!$B$2:$K$310, 0,FALSE), IFERROR(VLOOKUP($A639,'Vocus RVC ExDa'!$C$2:$R$155, 0,FALSE), IFERROR(VLOOKUP($A639,'Fusion ExDa'!$B$2:$D$16, 0,FALSE), IFERROR(VLOOKUP($A639,'Exetel ExDa'!$C$2:$N$14, 9,FALSE), IFERROR(VLOOKUP($A639,'Infinet ExDa'!$B$2:$E$14, 0,FALSE), "Not Found"))))))))</f>
        <v>Not Found</v>
      </c>
      <c r="M639" s="234" t="str">
        <f>IFERROR(VLOOKUP($A639,'AAPT ExDa'!$B$2:$U$99, 0,FALSE), IFERROR(VLOOKUP($A639,'ABB ExDa'!$A$2:$N$184, 0,FALSE), IFERROR(VLOOKUP($A639,'Vocus SIT ExDa'!$B$2:$J$173, 0,FALSE), IFERROR(VLOOKUP($A639,'Telstra ExDa'!$B$2:$K$310, 0,FALSE), IFERROR(VLOOKUP($A639,'Vocus RVC ExDa'!$C$2:$R$155, 0,FALSE), IFERROR(VLOOKUP($A639,'Fusion ExDa'!$B$2:$D$16, 0,FALSE), IFERROR(VLOOKUP($A639,'Exetel ExDa'!$C$2:$N$14, 11,FALSE), IFERROR(VLOOKUP($A639,'Infinet ExDa'!$B$2:$E$14, 0,FALSE), "Not Found"))))))))</f>
        <v>Not Found</v>
      </c>
      <c r="N639" t="str">
        <f>IFERROR(VLOOKUP($A639,'AAPT ExDa'!$B$2:$U$99, 0,FALSE), IFERROR(VLOOKUP($A639,'ABB ExDa'!$A$2:$N$184, 13,FALSE), IFERROR(VLOOKUP($A639,'Vocus SIT ExDa'!$B$2:$J$173, 0,FALSE), IFERROR(VLOOKUP($A639,'Telstra ExDa'!$B$2:$K$310, 0,FALSE), IFERROR(VLOOKUP($A639,'Vocus RVC ExDa'!$C$2:$R$155, 0,FALSE), IFERROR(VLOOKUP($A639,'Fusion ExDa'!$B$2:$D$16, 0,FALSE), IFERROR(VLOOKUP($A639,'Exetel ExDa'!$C$2:$N$14, 0,FALSE), IFERROR(VLOOKUP($A639,'Infinet ExDa'!$B$2:$E$14, 0,FALSE), "Not Found"))))))))</f>
        <v>Not Found</v>
      </c>
    </row>
    <row r="640" spans="1:14">
      <c r="A640">
        <v>0</v>
      </c>
      <c r="B640" t="str">
        <f>IFERROR(VLOOKUP(A640,'Exetel ExDa'!$C$2:$N$14,4,FALSE),"No Data")</f>
        <v>No Data</v>
      </c>
      <c r="C640" t="str">
        <f>IFERROR(VLOOKUP(A640,'AAPT ExDa'!$B$2:$U$99, 2,FALSE), IFERROR(VLOOKUP(A640,'ABB ExDa'!$A$2:$N$184, 2,FALSE), IFERROR(VLOOKUP(A640,'Vocus SIT ExDa'!$B$2:$J$173, 7,FALSE), IFERROR(VLOOKUP(A640,'Telstra ExDa'!$B$2:$K$310, 2,FALSE), IFERROR(VLOOKUP(A640,'Vocus RVC ExDa'!$C$2:$R$155, 3,FALSE), IFERROR(VLOOKUP(A640,'Fusion ExDa'!$B$2:$D$16, 2,FALSE), IFERROR(VLOOKUP(A640,'Exetel ExDa'!$C$2:$N$14, 2,FALSE), IFERROR(VLOOKUP(A640,'Infinet ExDa'!$B$2:$E$14, 2,FALSE), "Not Found"))))))))</f>
        <v>Not Found</v>
      </c>
      <c r="D640" t="str">
        <f>IFERROR(VLOOKUP($A640,'AAPT ExDa'!$B$2:$U$99, 15,FALSE), IFERROR(VLOOKUP($A640,'ABB ExDa'!$A$2:$N$184, 4,FALSE), IFERROR(VLOOKUP($A640,'Vocus SIT ExDa'!$B$2:$J$173, 5,FALSE), IFERROR(VLOOKUP($A640,'Telstra ExDa'!$B$2:$K$310, 8,FALSE), IFERROR(VLOOKUP($A640,'Vocus RVC ExDa'!$C$2:$R$155, 6,FALSE), IFERROR(VLOOKUP($A640,'Fusion ExDa'!$B$2:$D$16, 4,FALSE), IFERROR(VLOOKUP($A640,'Exetel ExDa'!$C$2:$N$14, 3,FALSE), IFERROR(VLOOKUP($A640,'Infinet ExDa'!$B$2:$E$14, 3,FALSE), "Not Found"))))))))</f>
        <v>Not Found</v>
      </c>
      <c r="E640" t="str">
        <f>IFERROR(VLOOKUP($A640,'AAPT ExDa'!$B$2:$U$99, 3,FALSE), IFERROR(VLOOKUP($A640,'ABB ExDa'!$A$2:$N$184, 5,FALSE), IFERROR(VLOOKUP($A640,'Vocus SIT ExDa'!$B$2:$J$173, 2,FALSE), IFERROR(VLOOKUP($A640,'Telstra ExDa'!$B$2:$K$310, 4,FALSE), IFERROR(VLOOKUP($A640,'Vocus RVC ExDa'!$C$2:$R$155, 8,FALSE), IFERROR(VLOOKUP($A640,'Fusion ExDa'!$B$2:$D$16, 4,FALSE), IFERROR(VLOOKUP($A640,'Exetel ExDa'!$C$2:$N$14, 5,FALSE), IFERROR(VLOOKUP($A640,'Infinet ExDa'!$B$2:$E$14, 3,FALSE), "Not Found"))))))))</f>
        <v>Not Found</v>
      </c>
      <c r="F640" t="str">
        <f>IFERROR(VLOOKUP($A640,'AAPT ExDa'!$B$2:$U$99, 4,FALSE), IFERROR(VLOOKUP($A640,'ABB ExDa'!$A$2:$N$184, 6,FALSE), IFERROR(VLOOKUP($A640,'Vocus SIT ExDa'!$B$2:$J$173, 3,FALSE), IFERROR(VLOOKUP($A640,'Telstra ExDa'!$B$2:$K$310, 5,FALSE), IFERROR(VLOOKUP($A640,'Vocus RVC ExDa'!$C$2:$R$155, 9,FALSE), IFERROR(VLOOKUP($A640,'Fusion ExDa'!$B$2:$D$16, 0,FALSE), IFERROR(VLOOKUP($A640,'Exetel ExDa'!$C$2:$N$14, 6,FALSE), IFERROR(VLOOKUP($A640,'Infinet ExDa'!$B$2:$E$14, 0,FALSE), "Not Found"))))))))</f>
        <v>Not Found</v>
      </c>
      <c r="G640" t="str">
        <f>IFERROR(VLOOKUP($A640,'AAPT ExDa'!$B$2:$U$99, 5,FALSE), IFERROR(VLOOKUP($A640,'ABB ExDa'!$A$2:$N$184, 8,FALSE), IFERROR(VLOOKUP($A640,'Vocus SIT ExDa'!$B$2:$J$173, 6,FALSE), IFERROR(VLOOKUP($A640,'Telstra ExDa'!$B$2:$K$310, 0,FALSE), IFERROR(VLOOKUP($A640,'Vocus RVC ExDa'!$C$2:$R$155, 15,FALSE), IFERROR(VLOOKUP($A640,'Fusion ExDa'!$B$2:$D$16, 0,FALSE), IFERROR(VLOOKUP($A640,'Exetel ExDa'!$C$2:$N$14, 7,FALSE), IFERROR(VLOOKUP($A640,'Infinet ExDa'!$B$2:$E$14, 0,FALSE), "Not Found"))))))))</f>
        <v>Not Found</v>
      </c>
      <c r="H640" t="str">
        <f>IFERROR(VLOOKUP($A640,'AAPT ExDa'!$B$2:$U$99, 6,FALSE), IFERROR(VLOOKUP($A640,'ABB ExDa'!$A$2:$N$184, 0,FALSE), IFERROR(VLOOKUP($A640,'Vocus SIT ExDa'!$B$2:$J$173, 0,FALSE), IFERROR(VLOOKUP($A640,'Telstra ExDa'!$B$2:$K$310, 0,FALSE), IFERROR(VLOOKUP($A640,'Vocus RVC ExDa'!$C$2:$R$155, 16,FALSE), IFERROR(VLOOKUP($A640,'Fusion ExDa'!$B$2:$D$16, 0,FALSE), IFERROR(VLOOKUP($A640,'Exetel ExDa'!$C$2:$N$14, 0,FALSE), IFERROR(VLOOKUP($A640,'Infinet ExDa'!$B$2:$E$14, 0,FALSE), "Not Found"))))))))</f>
        <v>Not Found</v>
      </c>
      <c r="I640" t="str">
        <f>IFERROR(VLOOKUP($A640,'AAPT ExDa'!$B$2:$U$99, 0,FALSE), IFERROR(VLOOKUP($A640,'ABB ExDa'!$A$2:$N$184, 0,FALSE), IFERROR(VLOOKUP($A640,'Vocus SIT ExDa'!$B$2:$J$173, 0,FALSE), IFERROR(VLOOKUP($A640,'Telstra ExDa'!$B$2:$K$310, 0,FALSE), IFERROR(VLOOKUP($A640,'Vocus RVC ExDa'!$C$2:$R$155, 0,FALSE), IFERROR(VLOOKUP($A640,'Fusion ExDa'!$B$2:$D$16, 0,FALSE), IFERROR(VLOOKUP($A640,'Exetel ExDa'!$C$2:$N$14, 8,FALSE), IFERROR(VLOOKUP($A640,'Infinet ExDa'!$B$2:$E$14, 0,FALSE), "Not Found"))))))))</f>
        <v>Not Found</v>
      </c>
      <c r="J640" t="str">
        <f>IFERROR(VLOOKUP($A640,'AAPT ExDa'!$B$2:$U$99, 7,FALSE), IFERROR(VLOOKUP($A640,'ABB ExDa'!$A$2:$N$184, 2,FALSE), IFERROR(VLOOKUP($A640,'Vocus SIT ExDa'!$B$2:$J$173, 0,FALSE), IFERROR(VLOOKUP($A640,'Telstra ExDa'!$B$2:$K$310, 7,FALSE), IFERROR(VLOOKUP($A640,'Vocus RVC ExDa'!$C$2:$R$155, 2,FALSE), IFERROR(VLOOKUP($A640,'Fusion ExDa'!$B$2:$D$16, 3,FALSE), IFERROR(VLOOKUP($A640,'Exetel ExDa'!$C$2:$N$14, 0,FALSE), IFERROR(VLOOKUP($A640,'Infinet ExDa'!$B$2:$E$14, 0,FALSE), "Not Found"))))))))</f>
        <v>Not Found</v>
      </c>
      <c r="K640" t="str">
        <f>IFERROR(VLOOKUP($A640,'AAPT ExDa'!$B$2:$U$99, 12,FALSE), IFERROR(VLOOKUP($A640,'ABB ExDa'!$A$2:$N$184, 0,FALSE), IFERROR(VLOOKUP($A640,'Vocus SIT ExDa'!$B$2:$J$173, 0,FALSE), IFERROR(VLOOKUP($A640,'Telstra ExDa'!$B$2:$K$310, 0,FALSE), IFERROR(VLOOKUP($A640,'Vocus RVC ExDa'!$C$2:$R$155, 0,FALSE), IFERROR(VLOOKUP($A640,'Fusion ExDa'!$B$2:$D$16, 0,FALSE), IFERROR(VLOOKUP($A640,'Exetel ExDa'!$C$2:$N$14, 12,FALSE), IFERROR(VLOOKUP($A640,'Infinet ExDa'!$B$2:$E$14, 0,FALSE), "Not Found"))))))))</f>
        <v>Not Found</v>
      </c>
      <c r="L640" s="235" t="str">
        <f>IFERROR(VLOOKUP($A640,'AAPT ExDa'!$B$2:$U$99, 11,FALSE), IFERROR(VLOOKUP($A640,'ABB ExDa'!$A$2:$N$184, 9,FALSE), IFERROR(VLOOKUP($A640,'Vocus SIT ExDa'!$B$2:$J$173, 8,FALSE), IFERROR(VLOOKUP($A640,'Telstra ExDa'!$B$2:$K$310, 0,FALSE), IFERROR(VLOOKUP($A640,'Vocus RVC ExDa'!$C$2:$R$155, 0,FALSE), IFERROR(VLOOKUP($A640,'Fusion ExDa'!$B$2:$D$16, 0,FALSE), IFERROR(VLOOKUP($A640,'Exetel ExDa'!$C$2:$N$14, 9,FALSE), IFERROR(VLOOKUP($A640,'Infinet ExDa'!$B$2:$E$14, 0,FALSE), "Not Found"))))))))</f>
        <v>Not Found</v>
      </c>
      <c r="M640" s="234" t="str">
        <f>IFERROR(VLOOKUP($A640,'AAPT ExDa'!$B$2:$U$99, 0,FALSE), IFERROR(VLOOKUP($A640,'ABB ExDa'!$A$2:$N$184, 0,FALSE), IFERROR(VLOOKUP($A640,'Vocus SIT ExDa'!$B$2:$J$173, 0,FALSE), IFERROR(VLOOKUP($A640,'Telstra ExDa'!$B$2:$K$310, 0,FALSE), IFERROR(VLOOKUP($A640,'Vocus RVC ExDa'!$C$2:$R$155, 0,FALSE), IFERROR(VLOOKUP($A640,'Fusion ExDa'!$B$2:$D$16, 0,FALSE), IFERROR(VLOOKUP($A640,'Exetel ExDa'!$C$2:$N$14, 11,FALSE), IFERROR(VLOOKUP($A640,'Infinet ExDa'!$B$2:$E$14, 0,FALSE), "Not Found"))))))))</f>
        <v>Not Found</v>
      </c>
      <c r="N640" t="str">
        <f>IFERROR(VLOOKUP($A640,'AAPT ExDa'!$B$2:$U$99, 0,FALSE), IFERROR(VLOOKUP($A640,'ABB ExDa'!$A$2:$N$184, 13,FALSE), IFERROR(VLOOKUP($A640,'Vocus SIT ExDa'!$B$2:$J$173, 0,FALSE), IFERROR(VLOOKUP($A640,'Telstra ExDa'!$B$2:$K$310, 0,FALSE), IFERROR(VLOOKUP($A640,'Vocus RVC ExDa'!$C$2:$R$155, 0,FALSE), IFERROR(VLOOKUP($A640,'Fusion ExDa'!$B$2:$D$16, 0,FALSE), IFERROR(VLOOKUP($A640,'Exetel ExDa'!$C$2:$N$14, 0,FALSE), IFERROR(VLOOKUP($A640,'Infinet ExDa'!$B$2:$E$14, 0,FALSE), "Not Found"))))))))</f>
        <v>Not Found</v>
      </c>
    </row>
    <row r="641" spans="1:14">
      <c r="A641">
        <v>0</v>
      </c>
      <c r="B641" t="str">
        <f>IFERROR(VLOOKUP(A641,'Exetel ExDa'!$C$2:$N$14,4,FALSE),"No Data")</f>
        <v>No Data</v>
      </c>
      <c r="C641" t="str">
        <f>IFERROR(VLOOKUP(A641,'AAPT ExDa'!$B$2:$U$99, 2,FALSE), IFERROR(VLOOKUP(A641,'ABB ExDa'!$A$2:$N$184, 2,FALSE), IFERROR(VLOOKUP(A641,'Vocus SIT ExDa'!$B$2:$J$173, 7,FALSE), IFERROR(VLOOKUP(A641,'Telstra ExDa'!$B$2:$K$310, 2,FALSE), IFERROR(VLOOKUP(A641,'Vocus RVC ExDa'!$C$2:$R$155, 3,FALSE), IFERROR(VLOOKUP(A641,'Fusion ExDa'!$B$2:$D$16, 2,FALSE), IFERROR(VLOOKUP(A641,'Exetel ExDa'!$C$2:$N$14, 2,FALSE), IFERROR(VLOOKUP(A641,'Infinet ExDa'!$B$2:$E$14, 2,FALSE), "Not Found"))))))))</f>
        <v>Not Found</v>
      </c>
      <c r="D641" t="str">
        <f>IFERROR(VLOOKUP($A641,'AAPT ExDa'!$B$2:$U$99, 15,FALSE), IFERROR(VLOOKUP($A641,'ABB ExDa'!$A$2:$N$184, 4,FALSE), IFERROR(VLOOKUP($A641,'Vocus SIT ExDa'!$B$2:$J$173, 5,FALSE), IFERROR(VLOOKUP($A641,'Telstra ExDa'!$B$2:$K$310, 8,FALSE), IFERROR(VLOOKUP($A641,'Vocus RVC ExDa'!$C$2:$R$155, 6,FALSE), IFERROR(VLOOKUP($A641,'Fusion ExDa'!$B$2:$D$16, 4,FALSE), IFERROR(VLOOKUP($A641,'Exetel ExDa'!$C$2:$N$14, 3,FALSE), IFERROR(VLOOKUP($A641,'Infinet ExDa'!$B$2:$E$14, 3,FALSE), "Not Found"))))))))</f>
        <v>Not Found</v>
      </c>
      <c r="E641" t="str">
        <f>IFERROR(VLOOKUP($A641,'AAPT ExDa'!$B$2:$U$99, 3,FALSE), IFERROR(VLOOKUP($A641,'ABB ExDa'!$A$2:$N$184, 5,FALSE), IFERROR(VLOOKUP($A641,'Vocus SIT ExDa'!$B$2:$J$173, 2,FALSE), IFERROR(VLOOKUP($A641,'Telstra ExDa'!$B$2:$K$310, 4,FALSE), IFERROR(VLOOKUP($A641,'Vocus RVC ExDa'!$C$2:$R$155, 8,FALSE), IFERROR(VLOOKUP($A641,'Fusion ExDa'!$B$2:$D$16, 4,FALSE), IFERROR(VLOOKUP($A641,'Exetel ExDa'!$C$2:$N$14, 5,FALSE), IFERROR(VLOOKUP($A641,'Infinet ExDa'!$B$2:$E$14, 3,FALSE), "Not Found"))))))))</f>
        <v>Not Found</v>
      </c>
      <c r="F641" t="str">
        <f>IFERROR(VLOOKUP($A641,'AAPT ExDa'!$B$2:$U$99, 4,FALSE), IFERROR(VLOOKUP($A641,'ABB ExDa'!$A$2:$N$184, 6,FALSE), IFERROR(VLOOKUP($A641,'Vocus SIT ExDa'!$B$2:$J$173, 3,FALSE), IFERROR(VLOOKUP($A641,'Telstra ExDa'!$B$2:$K$310, 5,FALSE), IFERROR(VLOOKUP($A641,'Vocus RVC ExDa'!$C$2:$R$155, 9,FALSE), IFERROR(VLOOKUP($A641,'Fusion ExDa'!$B$2:$D$16, 0,FALSE), IFERROR(VLOOKUP($A641,'Exetel ExDa'!$C$2:$N$14, 6,FALSE), IFERROR(VLOOKUP($A641,'Infinet ExDa'!$B$2:$E$14, 0,FALSE), "Not Found"))))))))</f>
        <v>Not Found</v>
      </c>
      <c r="G641" t="str">
        <f>IFERROR(VLOOKUP($A641,'AAPT ExDa'!$B$2:$U$99, 5,FALSE), IFERROR(VLOOKUP($A641,'ABB ExDa'!$A$2:$N$184, 8,FALSE), IFERROR(VLOOKUP($A641,'Vocus SIT ExDa'!$B$2:$J$173, 6,FALSE), IFERROR(VLOOKUP($A641,'Telstra ExDa'!$B$2:$K$310, 0,FALSE), IFERROR(VLOOKUP($A641,'Vocus RVC ExDa'!$C$2:$R$155, 15,FALSE), IFERROR(VLOOKUP($A641,'Fusion ExDa'!$B$2:$D$16, 0,FALSE), IFERROR(VLOOKUP($A641,'Exetel ExDa'!$C$2:$N$14, 7,FALSE), IFERROR(VLOOKUP($A641,'Infinet ExDa'!$B$2:$E$14, 0,FALSE), "Not Found"))))))))</f>
        <v>Not Found</v>
      </c>
      <c r="H641" t="str">
        <f>IFERROR(VLOOKUP($A641,'AAPT ExDa'!$B$2:$U$99, 6,FALSE), IFERROR(VLOOKUP($A641,'ABB ExDa'!$A$2:$N$184, 0,FALSE), IFERROR(VLOOKUP($A641,'Vocus SIT ExDa'!$B$2:$J$173, 0,FALSE), IFERROR(VLOOKUP($A641,'Telstra ExDa'!$B$2:$K$310, 0,FALSE), IFERROR(VLOOKUP($A641,'Vocus RVC ExDa'!$C$2:$R$155, 16,FALSE), IFERROR(VLOOKUP($A641,'Fusion ExDa'!$B$2:$D$16, 0,FALSE), IFERROR(VLOOKUP($A641,'Exetel ExDa'!$C$2:$N$14, 0,FALSE), IFERROR(VLOOKUP($A641,'Infinet ExDa'!$B$2:$E$14, 0,FALSE), "Not Found"))))))))</f>
        <v>Not Found</v>
      </c>
      <c r="I641" t="str">
        <f>IFERROR(VLOOKUP($A641,'AAPT ExDa'!$B$2:$U$99, 0,FALSE), IFERROR(VLOOKUP($A641,'ABB ExDa'!$A$2:$N$184, 0,FALSE), IFERROR(VLOOKUP($A641,'Vocus SIT ExDa'!$B$2:$J$173, 0,FALSE), IFERROR(VLOOKUP($A641,'Telstra ExDa'!$B$2:$K$310, 0,FALSE), IFERROR(VLOOKUP($A641,'Vocus RVC ExDa'!$C$2:$R$155, 0,FALSE), IFERROR(VLOOKUP($A641,'Fusion ExDa'!$B$2:$D$16, 0,FALSE), IFERROR(VLOOKUP($A641,'Exetel ExDa'!$C$2:$N$14, 8,FALSE), IFERROR(VLOOKUP($A641,'Infinet ExDa'!$B$2:$E$14, 0,FALSE), "Not Found"))))))))</f>
        <v>Not Found</v>
      </c>
      <c r="J641" t="str">
        <f>IFERROR(VLOOKUP($A641,'AAPT ExDa'!$B$2:$U$99, 7,FALSE), IFERROR(VLOOKUP($A641,'ABB ExDa'!$A$2:$N$184, 2,FALSE), IFERROR(VLOOKUP($A641,'Vocus SIT ExDa'!$B$2:$J$173, 0,FALSE), IFERROR(VLOOKUP($A641,'Telstra ExDa'!$B$2:$K$310, 7,FALSE), IFERROR(VLOOKUP($A641,'Vocus RVC ExDa'!$C$2:$R$155, 2,FALSE), IFERROR(VLOOKUP($A641,'Fusion ExDa'!$B$2:$D$16, 3,FALSE), IFERROR(VLOOKUP($A641,'Exetel ExDa'!$C$2:$N$14, 0,FALSE), IFERROR(VLOOKUP($A641,'Infinet ExDa'!$B$2:$E$14, 0,FALSE), "Not Found"))))))))</f>
        <v>Not Found</v>
      </c>
      <c r="K641" t="str">
        <f>IFERROR(VLOOKUP($A641,'AAPT ExDa'!$B$2:$U$99, 12,FALSE), IFERROR(VLOOKUP($A641,'ABB ExDa'!$A$2:$N$184, 0,FALSE), IFERROR(VLOOKUP($A641,'Vocus SIT ExDa'!$B$2:$J$173, 0,FALSE), IFERROR(VLOOKUP($A641,'Telstra ExDa'!$B$2:$K$310, 0,FALSE), IFERROR(VLOOKUP($A641,'Vocus RVC ExDa'!$C$2:$R$155, 0,FALSE), IFERROR(VLOOKUP($A641,'Fusion ExDa'!$B$2:$D$16, 0,FALSE), IFERROR(VLOOKUP($A641,'Exetel ExDa'!$C$2:$N$14, 12,FALSE), IFERROR(VLOOKUP($A641,'Infinet ExDa'!$B$2:$E$14, 0,FALSE), "Not Found"))))))))</f>
        <v>Not Found</v>
      </c>
      <c r="L641" s="235" t="str">
        <f>IFERROR(VLOOKUP($A641,'AAPT ExDa'!$B$2:$U$99, 11,FALSE), IFERROR(VLOOKUP($A641,'ABB ExDa'!$A$2:$N$184, 9,FALSE), IFERROR(VLOOKUP($A641,'Vocus SIT ExDa'!$B$2:$J$173, 8,FALSE), IFERROR(VLOOKUP($A641,'Telstra ExDa'!$B$2:$K$310, 0,FALSE), IFERROR(VLOOKUP($A641,'Vocus RVC ExDa'!$C$2:$R$155, 0,FALSE), IFERROR(VLOOKUP($A641,'Fusion ExDa'!$B$2:$D$16, 0,FALSE), IFERROR(VLOOKUP($A641,'Exetel ExDa'!$C$2:$N$14, 9,FALSE), IFERROR(VLOOKUP($A641,'Infinet ExDa'!$B$2:$E$14, 0,FALSE), "Not Found"))))))))</f>
        <v>Not Found</v>
      </c>
      <c r="M641" s="234" t="str">
        <f>IFERROR(VLOOKUP($A641,'AAPT ExDa'!$B$2:$U$99, 0,FALSE), IFERROR(VLOOKUP($A641,'ABB ExDa'!$A$2:$N$184, 0,FALSE), IFERROR(VLOOKUP($A641,'Vocus SIT ExDa'!$B$2:$J$173, 0,FALSE), IFERROR(VLOOKUP($A641,'Telstra ExDa'!$B$2:$K$310, 0,FALSE), IFERROR(VLOOKUP($A641,'Vocus RVC ExDa'!$C$2:$R$155, 0,FALSE), IFERROR(VLOOKUP($A641,'Fusion ExDa'!$B$2:$D$16, 0,FALSE), IFERROR(VLOOKUP($A641,'Exetel ExDa'!$C$2:$N$14, 11,FALSE), IFERROR(VLOOKUP($A641,'Infinet ExDa'!$B$2:$E$14, 0,FALSE), "Not Found"))))))))</f>
        <v>Not Found</v>
      </c>
      <c r="N641" t="str">
        <f>IFERROR(VLOOKUP($A641,'AAPT ExDa'!$B$2:$U$99, 0,FALSE), IFERROR(VLOOKUP($A641,'ABB ExDa'!$A$2:$N$184, 13,FALSE), IFERROR(VLOOKUP($A641,'Vocus SIT ExDa'!$B$2:$J$173, 0,FALSE), IFERROR(VLOOKUP($A641,'Telstra ExDa'!$B$2:$K$310, 0,FALSE), IFERROR(VLOOKUP($A641,'Vocus RVC ExDa'!$C$2:$R$155, 0,FALSE), IFERROR(VLOOKUP($A641,'Fusion ExDa'!$B$2:$D$16, 0,FALSE), IFERROR(VLOOKUP($A641,'Exetel ExDa'!$C$2:$N$14, 0,FALSE), IFERROR(VLOOKUP($A641,'Infinet ExDa'!$B$2:$E$14, 0,FALSE), "Not Found"))))))))</f>
        <v>Not Found</v>
      </c>
    </row>
    <row r="642" spans="1:14">
      <c r="A642">
        <v>0</v>
      </c>
      <c r="B642" t="str">
        <f>IFERROR(VLOOKUP(A642,'Exetel ExDa'!$C$2:$N$14,4,FALSE),"No Data")</f>
        <v>No Data</v>
      </c>
      <c r="C642" t="str">
        <f>IFERROR(VLOOKUP(A642,'AAPT ExDa'!$B$2:$U$99, 2,FALSE), IFERROR(VLOOKUP(A642,'ABB ExDa'!$A$2:$N$184, 2,FALSE), IFERROR(VLOOKUP(A642,'Vocus SIT ExDa'!$B$2:$J$173, 7,FALSE), IFERROR(VLOOKUP(A642,'Telstra ExDa'!$B$2:$K$310, 2,FALSE), IFERROR(VLOOKUP(A642,'Vocus RVC ExDa'!$C$2:$R$155, 3,FALSE), IFERROR(VLOOKUP(A642,'Fusion ExDa'!$B$2:$D$16, 2,FALSE), IFERROR(VLOOKUP(A642,'Exetel ExDa'!$C$2:$N$14, 2,FALSE), IFERROR(VLOOKUP(A642,'Infinet ExDa'!$B$2:$E$14, 2,FALSE), "Not Found"))))))))</f>
        <v>Not Found</v>
      </c>
      <c r="D642" t="str">
        <f>IFERROR(VLOOKUP($A642,'AAPT ExDa'!$B$2:$U$99, 15,FALSE), IFERROR(VLOOKUP($A642,'ABB ExDa'!$A$2:$N$184, 4,FALSE), IFERROR(VLOOKUP($A642,'Vocus SIT ExDa'!$B$2:$J$173, 5,FALSE), IFERROR(VLOOKUP($A642,'Telstra ExDa'!$B$2:$K$310, 8,FALSE), IFERROR(VLOOKUP($A642,'Vocus RVC ExDa'!$C$2:$R$155, 6,FALSE), IFERROR(VLOOKUP($A642,'Fusion ExDa'!$B$2:$D$16, 4,FALSE), IFERROR(VLOOKUP($A642,'Exetel ExDa'!$C$2:$N$14, 3,FALSE), IFERROR(VLOOKUP($A642,'Infinet ExDa'!$B$2:$E$14, 3,FALSE), "Not Found"))))))))</f>
        <v>Not Found</v>
      </c>
      <c r="E642" t="str">
        <f>IFERROR(VLOOKUP($A642,'AAPT ExDa'!$B$2:$U$99, 3,FALSE), IFERROR(VLOOKUP($A642,'ABB ExDa'!$A$2:$N$184, 5,FALSE), IFERROR(VLOOKUP($A642,'Vocus SIT ExDa'!$B$2:$J$173, 2,FALSE), IFERROR(VLOOKUP($A642,'Telstra ExDa'!$B$2:$K$310, 4,FALSE), IFERROR(VLOOKUP($A642,'Vocus RVC ExDa'!$C$2:$R$155, 8,FALSE), IFERROR(VLOOKUP($A642,'Fusion ExDa'!$B$2:$D$16, 4,FALSE), IFERROR(VLOOKUP($A642,'Exetel ExDa'!$C$2:$N$14, 5,FALSE), IFERROR(VLOOKUP($A642,'Infinet ExDa'!$B$2:$E$14, 3,FALSE), "Not Found"))))))))</f>
        <v>Not Found</v>
      </c>
      <c r="F642" t="str">
        <f>IFERROR(VLOOKUP($A642,'AAPT ExDa'!$B$2:$U$99, 4,FALSE), IFERROR(VLOOKUP($A642,'ABB ExDa'!$A$2:$N$184, 6,FALSE), IFERROR(VLOOKUP($A642,'Vocus SIT ExDa'!$B$2:$J$173, 3,FALSE), IFERROR(VLOOKUP($A642,'Telstra ExDa'!$B$2:$K$310, 5,FALSE), IFERROR(VLOOKUP($A642,'Vocus RVC ExDa'!$C$2:$R$155, 9,FALSE), IFERROR(VLOOKUP($A642,'Fusion ExDa'!$B$2:$D$16, 0,FALSE), IFERROR(VLOOKUP($A642,'Exetel ExDa'!$C$2:$N$14, 6,FALSE), IFERROR(VLOOKUP($A642,'Infinet ExDa'!$B$2:$E$14, 0,FALSE), "Not Found"))))))))</f>
        <v>Not Found</v>
      </c>
      <c r="G642" t="str">
        <f>IFERROR(VLOOKUP($A642,'AAPT ExDa'!$B$2:$U$99, 5,FALSE), IFERROR(VLOOKUP($A642,'ABB ExDa'!$A$2:$N$184, 8,FALSE), IFERROR(VLOOKUP($A642,'Vocus SIT ExDa'!$B$2:$J$173, 6,FALSE), IFERROR(VLOOKUP($A642,'Telstra ExDa'!$B$2:$K$310, 0,FALSE), IFERROR(VLOOKUP($A642,'Vocus RVC ExDa'!$C$2:$R$155, 15,FALSE), IFERROR(VLOOKUP($A642,'Fusion ExDa'!$B$2:$D$16, 0,FALSE), IFERROR(VLOOKUP($A642,'Exetel ExDa'!$C$2:$N$14, 7,FALSE), IFERROR(VLOOKUP($A642,'Infinet ExDa'!$B$2:$E$14, 0,FALSE), "Not Found"))))))))</f>
        <v>Not Found</v>
      </c>
      <c r="H642" t="str">
        <f>IFERROR(VLOOKUP($A642,'AAPT ExDa'!$B$2:$U$99, 6,FALSE), IFERROR(VLOOKUP($A642,'ABB ExDa'!$A$2:$N$184, 0,FALSE), IFERROR(VLOOKUP($A642,'Vocus SIT ExDa'!$B$2:$J$173, 0,FALSE), IFERROR(VLOOKUP($A642,'Telstra ExDa'!$B$2:$K$310, 0,FALSE), IFERROR(VLOOKUP($A642,'Vocus RVC ExDa'!$C$2:$R$155, 16,FALSE), IFERROR(VLOOKUP($A642,'Fusion ExDa'!$B$2:$D$16, 0,FALSE), IFERROR(VLOOKUP($A642,'Exetel ExDa'!$C$2:$N$14, 0,FALSE), IFERROR(VLOOKUP($A642,'Infinet ExDa'!$B$2:$E$14, 0,FALSE), "Not Found"))))))))</f>
        <v>Not Found</v>
      </c>
      <c r="I642" t="str">
        <f>IFERROR(VLOOKUP($A642,'AAPT ExDa'!$B$2:$U$99, 0,FALSE), IFERROR(VLOOKUP($A642,'ABB ExDa'!$A$2:$N$184, 0,FALSE), IFERROR(VLOOKUP($A642,'Vocus SIT ExDa'!$B$2:$J$173, 0,FALSE), IFERROR(VLOOKUP($A642,'Telstra ExDa'!$B$2:$K$310, 0,FALSE), IFERROR(VLOOKUP($A642,'Vocus RVC ExDa'!$C$2:$R$155, 0,FALSE), IFERROR(VLOOKUP($A642,'Fusion ExDa'!$B$2:$D$16, 0,FALSE), IFERROR(VLOOKUP($A642,'Exetel ExDa'!$C$2:$N$14, 8,FALSE), IFERROR(VLOOKUP($A642,'Infinet ExDa'!$B$2:$E$14, 0,FALSE), "Not Found"))))))))</f>
        <v>Not Found</v>
      </c>
      <c r="J642" t="str">
        <f>IFERROR(VLOOKUP($A642,'AAPT ExDa'!$B$2:$U$99, 7,FALSE), IFERROR(VLOOKUP($A642,'ABB ExDa'!$A$2:$N$184, 2,FALSE), IFERROR(VLOOKUP($A642,'Vocus SIT ExDa'!$B$2:$J$173, 0,FALSE), IFERROR(VLOOKUP($A642,'Telstra ExDa'!$B$2:$K$310, 7,FALSE), IFERROR(VLOOKUP($A642,'Vocus RVC ExDa'!$C$2:$R$155, 2,FALSE), IFERROR(VLOOKUP($A642,'Fusion ExDa'!$B$2:$D$16, 3,FALSE), IFERROR(VLOOKUP($A642,'Exetel ExDa'!$C$2:$N$14, 0,FALSE), IFERROR(VLOOKUP($A642,'Infinet ExDa'!$B$2:$E$14, 0,FALSE), "Not Found"))))))))</f>
        <v>Not Found</v>
      </c>
      <c r="K642" t="str">
        <f>IFERROR(VLOOKUP($A642,'AAPT ExDa'!$B$2:$U$99, 12,FALSE), IFERROR(VLOOKUP($A642,'ABB ExDa'!$A$2:$N$184, 0,FALSE), IFERROR(VLOOKUP($A642,'Vocus SIT ExDa'!$B$2:$J$173, 0,FALSE), IFERROR(VLOOKUP($A642,'Telstra ExDa'!$B$2:$K$310, 0,FALSE), IFERROR(VLOOKUP($A642,'Vocus RVC ExDa'!$C$2:$R$155, 0,FALSE), IFERROR(VLOOKUP($A642,'Fusion ExDa'!$B$2:$D$16, 0,FALSE), IFERROR(VLOOKUP($A642,'Exetel ExDa'!$C$2:$N$14, 12,FALSE), IFERROR(VLOOKUP($A642,'Infinet ExDa'!$B$2:$E$14, 0,FALSE), "Not Found"))))))))</f>
        <v>Not Found</v>
      </c>
      <c r="L642" s="235" t="str">
        <f>IFERROR(VLOOKUP($A642,'AAPT ExDa'!$B$2:$U$99, 11,FALSE), IFERROR(VLOOKUP($A642,'ABB ExDa'!$A$2:$N$184, 9,FALSE), IFERROR(VLOOKUP($A642,'Vocus SIT ExDa'!$B$2:$J$173, 8,FALSE), IFERROR(VLOOKUP($A642,'Telstra ExDa'!$B$2:$K$310, 0,FALSE), IFERROR(VLOOKUP($A642,'Vocus RVC ExDa'!$C$2:$R$155, 0,FALSE), IFERROR(VLOOKUP($A642,'Fusion ExDa'!$B$2:$D$16, 0,FALSE), IFERROR(VLOOKUP($A642,'Exetel ExDa'!$C$2:$N$14, 9,FALSE), IFERROR(VLOOKUP($A642,'Infinet ExDa'!$B$2:$E$14, 0,FALSE), "Not Found"))))))))</f>
        <v>Not Found</v>
      </c>
      <c r="M642" s="234" t="str">
        <f>IFERROR(VLOOKUP($A642,'AAPT ExDa'!$B$2:$U$99, 0,FALSE), IFERROR(VLOOKUP($A642,'ABB ExDa'!$A$2:$N$184, 0,FALSE), IFERROR(VLOOKUP($A642,'Vocus SIT ExDa'!$B$2:$J$173, 0,FALSE), IFERROR(VLOOKUP($A642,'Telstra ExDa'!$B$2:$K$310, 0,FALSE), IFERROR(VLOOKUP($A642,'Vocus RVC ExDa'!$C$2:$R$155, 0,FALSE), IFERROR(VLOOKUP($A642,'Fusion ExDa'!$B$2:$D$16, 0,FALSE), IFERROR(VLOOKUP($A642,'Exetel ExDa'!$C$2:$N$14, 11,FALSE), IFERROR(VLOOKUP($A642,'Infinet ExDa'!$B$2:$E$14, 0,FALSE), "Not Found"))))))))</f>
        <v>Not Found</v>
      </c>
      <c r="N642" t="str">
        <f>IFERROR(VLOOKUP($A642,'AAPT ExDa'!$B$2:$U$99, 0,FALSE), IFERROR(VLOOKUP($A642,'ABB ExDa'!$A$2:$N$184, 13,FALSE), IFERROR(VLOOKUP($A642,'Vocus SIT ExDa'!$B$2:$J$173, 0,FALSE), IFERROR(VLOOKUP($A642,'Telstra ExDa'!$B$2:$K$310, 0,FALSE), IFERROR(VLOOKUP($A642,'Vocus RVC ExDa'!$C$2:$R$155, 0,FALSE), IFERROR(VLOOKUP($A642,'Fusion ExDa'!$B$2:$D$16, 0,FALSE), IFERROR(VLOOKUP($A642,'Exetel ExDa'!$C$2:$N$14, 0,FALSE), IFERROR(VLOOKUP($A642,'Infinet ExDa'!$B$2:$E$14, 0,FALSE), "Not Found"))))))))</f>
        <v>Not Found</v>
      </c>
    </row>
    <row r="643" spans="1:14">
      <c r="A643">
        <v>0</v>
      </c>
      <c r="B643" t="str">
        <f>IFERROR(VLOOKUP(A643,'Exetel ExDa'!$C$2:$N$14,4,FALSE),"No Data")</f>
        <v>No Data</v>
      </c>
      <c r="C643" t="str">
        <f>IFERROR(VLOOKUP(A643,'AAPT ExDa'!$B$2:$U$99, 2,FALSE), IFERROR(VLOOKUP(A643,'ABB ExDa'!$A$2:$N$184, 2,FALSE), IFERROR(VLOOKUP(A643,'Vocus SIT ExDa'!$B$2:$J$173, 7,FALSE), IFERROR(VLOOKUP(A643,'Telstra ExDa'!$B$2:$K$310, 2,FALSE), IFERROR(VLOOKUP(A643,'Vocus RVC ExDa'!$C$2:$R$155, 3,FALSE), IFERROR(VLOOKUP(A643,'Fusion ExDa'!$B$2:$D$16, 2,FALSE), IFERROR(VLOOKUP(A643,'Exetel ExDa'!$C$2:$N$14, 2,FALSE), IFERROR(VLOOKUP(A643,'Infinet ExDa'!$B$2:$E$14, 2,FALSE), "Not Found"))))))))</f>
        <v>Not Found</v>
      </c>
      <c r="D643" t="str">
        <f>IFERROR(VLOOKUP($A643,'AAPT ExDa'!$B$2:$U$99, 15,FALSE), IFERROR(VLOOKUP($A643,'ABB ExDa'!$A$2:$N$184, 4,FALSE), IFERROR(VLOOKUP($A643,'Vocus SIT ExDa'!$B$2:$J$173, 5,FALSE), IFERROR(VLOOKUP($A643,'Telstra ExDa'!$B$2:$K$310, 8,FALSE), IFERROR(VLOOKUP($A643,'Vocus RVC ExDa'!$C$2:$R$155, 6,FALSE), IFERROR(VLOOKUP($A643,'Fusion ExDa'!$B$2:$D$16, 4,FALSE), IFERROR(VLOOKUP($A643,'Exetel ExDa'!$C$2:$N$14, 3,FALSE), IFERROR(VLOOKUP($A643,'Infinet ExDa'!$B$2:$E$14, 3,FALSE), "Not Found"))))))))</f>
        <v>Not Found</v>
      </c>
      <c r="E643" t="str">
        <f>IFERROR(VLOOKUP($A643,'AAPT ExDa'!$B$2:$U$99, 3,FALSE), IFERROR(VLOOKUP($A643,'ABB ExDa'!$A$2:$N$184, 5,FALSE), IFERROR(VLOOKUP($A643,'Vocus SIT ExDa'!$B$2:$J$173, 2,FALSE), IFERROR(VLOOKUP($A643,'Telstra ExDa'!$B$2:$K$310, 4,FALSE), IFERROR(VLOOKUP($A643,'Vocus RVC ExDa'!$C$2:$R$155, 8,FALSE), IFERROR(VLOOKUP($A643,'Fusion ExDa'!$B$2:$D$16, 4,FALSE), IFERROR(VLOOKUP($A643,'Exetel ExDa'!$C$2:$N$14, 5,FALSE), IFERROR(VLOOKUP($A643,'Infinet ExDa'!$B$2:$E$14, 3,FALSE), "Not Found"))))))))</f>
        <v>Not Found</v>
      </c>
      <c r="F643" t="str">
        <f>IFERROR(VLOOKUP($A643,'AAPT ExDa'!$B$2:$U$99, 4,FALSE), IFERROR(VLOOKUP($A643,'ABB ExDa'!$A$2:$N$184, 6,FALSE), IFERROR(VLOOKUP($A643,'Vocus SIT ExDa'!$B$2:$J$173, 3,FALSE), IFERROR(VLOOKUP($A643,'Telstra ExDa'!$B$2:$K$310, 5,FALSE), IFERROR(VLOOKUP($A643,'Vocus RVC ExDa'!$C$2:$R$155, 9,FALSE), IFERROR(VLOOKUP($A643,'Fusion ExDa'!$B$2:$D$16, 0,FALSE), IFERROR(VLOOKUP($A643,'Exetel ExDa'!$C$2:$N$14, 6,FALSE), IFERROR(VLOOKUP($A643,'Infinet ExDa'!$B$2:$E$14, 0,FALSE), "Not Found"))))))))</f>
        <v>Not Found</v>
      </c>
      <c r="G643" t="str">
        <f>IFERROR(VLOOKUP($A643,'AAPT ExDa'!$B$2:$U$99, 5,FALSE), IFERROR(VLOOKUP($A643,'ABB ExDa'!$A$2:$N$184, 8,FALSE), IFERROR(VLOOKUP($A643,'Vocus SIT ExDa'!$B$2:$J$173, 6,FALSE), IFERROR(VLOOKUP($A643,'Telstra ExDa'!$B$2:$K$310, 0,FALSE), IFERROR(VLOOKUP($A643,'Vocus RVC ExDa'!$C$2:$R$155, 15,FALSE), IFERROR(VLOOKUP($A643,'Fusion ExDa'!$B$2:$D$16, 0,FALSE), IFERROR(VLOOKUP($A643,'Exetel ExDa'!$C$2:$N$14, 7,FALSE), IFERROR(VLOOKUP($A643,'Infinet ExDa'!$B$2:$E$14, 0,FALSE), "Not Found"))))))))</f>
        <v>Not Found</v>
      </c>
      <c r="H643" t="str">
        <f>IFERROR(VLOOKUP($A643,'AAPT ExDa'!$B$2:$U$99, 6,FALSE), IFERROR(VLOOKUP($A643,'ABB ExDa'!$A$2:$N$184, 0,FALSE), IFERROR(VLOOKUP($A643,'Vocus SIT ExDa'!$B$2:$J$173, 0,FALSE), IFERROR(VLOOKUP($A643,'Telstra ExDa'!$B$2:$K$310, 0,FALSE), IFERROR(VLOOKUP($A643,'Vocus RVC ExDa'!$C$2:$R$155, 16,FALSE), IFERROR(VLOOKUP($A643,'Fusion ExDa'!$B$2:$D$16, 0,FALSE), IFERROR(VLOOKUP($A643,'Exetel ExDa'!$C$2:$N$14, 0,FALSE), IFERROR(VLOOKUP($A643,'Infinet ExDa'!$B$2:$E$14, 0,FALSE), "Not Found"))))))))</f>
        <v>Not Found</v>
      </c>
      <c r="I643" t="str">
        <f>IFERROR(VLOOKUP($A643,'AAPT ExDa'!$B$2:$U$99, 0,FALSE), IFERROR(VLOOKUP($A643,'ABB ExDa'!$A$2:$N$184, 0,FALSE), IFERROR(VLOOKUP($A643,'Vocus SIT ExDa'!$B$2:$J$173, 0,FALSE), IFERROR(VLOOKUP($A643,'Telstra ExDa'!$B$2:$K$310, 0,FALSE), IFERROR(VLOOKUP($A643,'Vocus RVC ExDa'!$C$2:$R$155, 0,FALSE), IFERROR(VLOOKUP($A643,'Fusion ExDa'!$B$2:$D$16, 0,FALSE), IFERROR(VLOOKUP($A643,'Exetel ExDa'!$C$2:$N$14, 8,FALSE), IFERROR(VLOOKUP($A643,'Infinet ExDa'!$B$2:$E$14, 0,FALSE), "Not Found"))))))))</f>
        <v>Not Found</v>
      </c>
      <c r="J643" t="str">
        <f>IFERROR(VLOOKUP($A643,'AAPT ExDa'!$B$2:$U$99, 7,FALSE), IFERROR(VLOOKUP($A643,'ABB ExDa'!$A$2:$N$184, 2,FALSE), IFERROR(VLOOKUP($A643,'Vocus SIT ExDa'!$B$2:$J$173, 0,FALSE), IFERROR(VLOOKUP($A643,'Telstra ExDa'!$B$2:$K$310, 7,FALSE), IFERROR(VLOOKUP($A643,'Vocus RVC ExDa'!$C$2:$R$155, 2,FALSE), IFERROR(VLOOKUP($A643,'Fusion ExDa'!$B$2:$D$16, 3,FALSE), IFERROR(VLOOKUP($A643,'Exetel ExDa'!$C$2:$N$14, 0,FALSE), IFERROR(VLOOKUP($A643,'Infinet ExDa'!$B$2:$E$14, 0,FALSE), "Not Found"))))))))</f>
        <v>Not Found</v>
      </c>
      <c r="K643" t="str">
        <f>IFERROR(VLOOKUP($A643,'AAPT ExDa'!$B$2:$U$99, 12,FALSE), IFERROR(VLOOKUP($A643,'ABB ExDa'!$A$2:$N$184, 0,FALSE), IFERROR(VLOOKUP($A643,'Vocus SIT ExDa'!$B$2:$J$173, 0,FALSE), IFERROR(VLOOKUP($A643,'Telstra ExDa'!$B$2:$K$310, 0,FALSE), IFERROR(VLOOKUP($A643,'Vocus RVC ExDa'!$C$2:$R$155, 0,FALSE), IFERROR(VLOOKUP($A643,'Fusion ExDa'!$B$2:$D$16, 0,FALSE), IFERROR(VLOOKUP($A643,'Exetel ExDa'!$C$2:$N$14, 12,FALSE), IFERROR(VLOOKUP($A643,'Infinet ExDa'!$B$2:$E$14, 0,FALSE), "Not Found"))))))))</f>
        <v>Not Found</v>
      </c>
      <c r="L643" s="235" t="str">
        <f>IFERROR(VLOOKUP($A643,'AAPT ExDa'!$B$2:$U$99, 11,FALSE), IFERROR(VLOOKUP($A643,'ABB ExDa'!$A$2:$N$184, 9,FALSE), IFERROR(VLOOKUP($A643,'Vocus SIT ExDa'!$B$2:$J$173, 8,FALSE), IFERROR(VLOOKUP($A643,'Telstra ExDa'!$B$2:$K$310, 0,FALSE), IFERROR(VLOOKUP($A643,'Vocus RVC ExDa'!$C$2:$R$155, 0,FALSE), IFERROR(VLOOKUP($A643,'Fusion ExDa'!$B$2:$D$16, 0,FALSE), IFERROR(VLOOKUP($A643,'Exetel ExDa'!$C$2:$N$14, 9,FALSE), IFERROR(VLOOKUP($A643,'Infinet ExDa'!$B$2:$E$14, 0,FALSE), "Not Found"))))))))</f>
        <v>Not Found</v>
      </c>
      <c r="M643" s="234" t="str">
        <f>IFERROR(VLOOKUP($A643,'AAPT ExDa'!$B$2:$U$99, 0,FALSE), IFERROR(VLOOKUP($A643,'ABB ExDa'!$A$2:$N$184, 0,FALSE), IFERROR(VLOOKUP($A643,'Vocus SIT ExDa'!$B$2:$J$173, 0,FALSE), IFERROR(VLOOKUP($A643,'Telstra ExDa'!$B$2:$K$310, 0,FALSE), IFERROR(VLOOKUP($A643,'Vocus RVC ExDa'!$C$2:$R$155, 0,FALSE), IFERROR(VLOOKUP($A643,'Fusion ExDa'!$B$2:$D$16, 0,FALSE), IFERROR(VLOOKUP($A643,'Exetel ExDa'!$C$2:$N$14, 11,FALSE), IFERROR(VLOOKUP($A643,'Infinet ExDa'!$B$2:$E$14, 0,FALSE), "Not Found"))))))))</f>
        <v>Not Found</v>
      </c>
      <c r="N643" t="str">
        <f>IFERROR(VLOOKUP($A643,'AAPT ExDa'!$B$2:$U$99, 0,FALSE), IFERROR(VLOOKUP($A643,'ABB ExDa'!$A$2:$N$184, 13,FALSE), IFERROR(VLOOKUP($A643,'Vocus SIT ExDa'!$B$2:$J$173, 0,FALSE), IFERROR(VLOOKUP($A643,'Telstra ExDa'!$B$2:$K$310, 0,FALSE), IFERROR(VLOOKUP($A643,'Vocus RVC ExDa'!$C$2:$R$155, 0,FALSE), IFERROR(VLOOKUP($A643,'Fusion ExDa'!$B$2:$D$16, 0,FALSE), IFERROR(VLOOKUP($A643,'Exetel ExDa'!$C$2:$N$14, 0,FALSE), IFERROR(VLOOKUP($A643,'Infinet ExDa'!$B$2:$E$14, 0,FALSE), "Not Found"))))))))</f>
        <v>Not Found</v>
      </c>
    </row>
    <row r="644" spans="1:14">
      <c r="A644">
        <v>0</v>
      </c>
      <c r="B644" t="str">
        <f>IFERROR(VLOOKUP(A644,'Exetel ExDa'!$C$2:$N$14,4,FALSE),"No Data")</f>
        <v>No Data</v>
      </c>
      <c r="C644" t="str">
        <f>IFERROR(VLOOKUP(A644,'AAPT ExDa'!$B$2:$U$99, 2,FALSE), IFERROR(VLOOKUP(A644,'ABB ExDa'!$A$2:$N$184, 2,FALSE), IFERROR(VLOOKUP(A644,'Vocus SIT ExDa'!$B$2:$J$173, 7,FALSE), IFERROR(VLOOKUP(A644,'Telstra ExDa'!$B$2:$K$310, 2,FALSE), IFERROR(VLOOKUP(A644,'Vocus RVC ExDa'!$C$2:$R$155, 3,FALSE), IFERROR(VLOOKUP(A644,'Fusion ExDa'!$B$2:$D$16, 2,FALSE), IFERROR(VLOOKUP(A644,'Exetel ExDa'!$C$2:$N$14, 2,FALSE), IFERROR(VLOOKUP(A644,'Infinet ExDa'!$B$2:$E$14, 2,FALSE), "Not Found"))))))))</f>
        <v>Not Found</v>
      </c>
      <c r="D644" t="str">
        <f>IFERROR(VLOOKUP($A644,'AAPT ExDa'!$B$2:$U$99, 15,FALSE), IFERROR(VLOOKUP($A644,'ABB ExDa'!$A$2:$N$184, 4,FALSE), IFERROR(VLOOKUP($A644,'Vocus SIT ExDa'!$B$2:$J$173, 5,FALSE), IFERROR(VLOOKUP($A644,'Telstra ExDa'!$B$2:$K$310, 8,FALSE), IFERROR(VLOOKUP($A644,'Vocus RVC ExDa'!$C$2:$R$155, 6,FALSE), IFERROR(VLOOKUP($A644,'Fusion ExDa'!$B$2:$D$16, 4,FALSE), IFERROR(VLOOKUP($A644,'Exetel ExDa'!$C$2:$N$14, 3,FALSE), IFERROR(VLOOKUP($A644,'Infinet ExDa'!$B$2:$E$14, 3,FALSE), "Not Found"))))))))</f>
        <v>Not Found</v>
      </c>
      <c r="E644" t="str">
        <f>IFERROR(VLOOKUP($A644,'AAPT ExDa'!$B$2:$U$99, 3,FALSE), IFERROR(VLOOKUP($A644,'ABB ExDa'!$A$2:$N$184, 5,FALSE), IFERROR(VLOOKUP($A644,'Vocus SIT ExDa'!$B$2:$J$173, 2,FALSE), IFERROR(VLOOKUP($A644,'Telstra ExDa'!$B$2:$K$310, 4,FALSE), IFERROR(VLOOKUP($A644,'Vocus RVC ExDa'!$C$2:$R$155, 8,FALSE), IFERROR(VLOOKUP($A644,'Fusion ExDa'!$B$2:$D$16, 4,FALSE), IFERROR(VLOOKUP($A644,'Exetel ExDa'!$C$2:$N$14, 5,FALSE), IFERROR(VLOOKUP($A644,'Infinet ExDa'!$B$2:$E$14, 3,FALSE), "Not Found"))))))))</f>
        <v>Not Found</v>
      </c>
      <c r="F644" t="str">
        <f>IFERROR(VLOOKUP($A644,'AAPT ExDa'!$B$2:$U$99, 4,FALSE), IFERROR(VLOOKUP($A644,'ABB ExDa'!$A$2:$N$184, 6,FALSE), IFERROR(VLOOKUP($A644,'Vocus SIT ExDa'!$B$2:$J$173, 3,FALSE), IFERROR(VLOOKUP($A644,'Telstra ExDa'!$B$2:$K$310, 5,FALSE), IFERROR(VLOOKUP($A644,'Vocus RVC ExDa'!$C$2:$R$155, 9,FALSE), IFERROR(VLOOKUP($A644,'Fusion ExDa'!$B$2:$D$16, 0,FALSE), IFERROR(VLOOKUP($A644,'Exetel ExDa'!$C$2:$N$14, 6,FALSE), IFERROR(VLOOKUP($A644,'Infinet ExDa'!$B$2:$E$14, 0,FALSE), "Not Found"))))))))</f>
        <v>Not Found</v>
      </c>
      <c r="G644" t="str">
        <f>IFERROR(VLOOKUP($A644,'AAPT ExDa'!$B$2:$U$99, 5,FALSE), IFERROR(VLOOKUP($A644,'ABB ExDa'!$A$2:$N$184, 8,FALSE), IFERROR(VLOOKUP($A644,'Vocus SIT ExDa'!$B$2:$J$173, 6,FALSE), IFERROR(VLOOKUP($A644,'Telstra ExDa'!$B$2:$K$310, 0,FALSE), IFERROR(VLOOKUP($A644,'Vocus RVC ExDa'!$C$2:$R$155, 15,FALSE), IFERROR(VLOOKUP($A644,'Fusion ExDa'!$B$2:$D$16, 0,FALSE), IFERROR(VLOOKUP($A644,'Exetel ExDa'!$C$2:$N$14, 7,FALSE), IFERROR(VLOOKUP($A644,'Infinet ExDa'!$B$2:$E$14, 0,FALSE), "Not Found"))))))))</f>
        <v>Not Found</v>
      </c>
      <c r="H644" t="str">
        <f>IFERROR(VLOOKUP($A644,'AAPT ExDa'!$B$2:$U$99, 6,FALSE), IFERROR(VLOOKUP($A644,'ABB ExDa'!$A$2:$N$184, 0,FALSE), IFERROR(VLOOKUP($A644,'Vocus SIT ExDa'!$B$2:$J$173, 0,FALSE), IFERROR(VLOOKUP($A644,'Telstra ExDa'!$B$2:$K$310, 0,FALSE), IFERROR(VLOOKUP($A644,'Vocus RVC ExDa'!$C$2:$R$155, 16,FALSE), IFERROR(VLOOKUP($A644,'Fusion ExDa'!$B$2:$D$16, 0,FALSE), IFERROR(VLOOKUP($A644,'Exetel ExDa'!$C$2:$N$14, 0,FALSE), IFERROR(VLOOKUP($A644,'Infinet ExDa'!$B$2:$E$14, 0,FALSE), "Not Found"))))))))</f>
        <v>Not Found</v>
      </c>
      <c r="I644" t="str">
        <f>IFERROR(VLOOKUP($A644,'AAPT ExDa'!$B$2:$U$99, 0,FALSE), IFERROR(VLOOKUP($A644,'ABB ExDa'!$A$2:$N$184, 0,FALSE), IFERROR(VLOOKUP($A644,'Vocus SIT ExDa'!$B$2:$J$173, 0,FALSE), IFERROR(VLOOKUP($A644,'Telstra ExDa'!$B$2:$K$310, 0,FALSE), IFERROR(VLOOKUP($A644,'Vocus RVC ExDa'!$C$2:$R$155, 0,FALSE), IFERROR(VLOOKUP($A644,'Fusion ExDa'!$B$2:$D$16, 0,FALSE), IFERROR(VLOOKUP($A644,'Exetel ExDa'!$C$2:$N$14, 8,FALSE), IFERROR(VLOOKUP($A644,'Infinet ExDa'!$B$2:$E$14, 0,FALSE), "Not Found"))))))))</f>
        <v>Not Found</v>
      </c>
      <c r="J644" t="str">
        <f>IFERROR(VLOOKUP($A644,'AAPT ExDa'!$B$2:$U$99, 7,FALSE), IFERROR(VLOOKUP($A644,'ABB ExDa'!$A$2:$N$184, 2,FALSE), IFERROR(VLOOKUP($A644,'Vocus SIT ExDa'!$B$2:$J$173, 0,FALSE), IFERROR(VLOOKUP($A644,'Telstra ExDa'!$B$2:$K$310, 7,FALSE), IFERROR(VLOOKUP($A644,'Vocus RVC ExDa'!$C$2:$R$155, 2,FALSE), IFERROR(VLOOKUP($A644,'Fusion ExDa'!$B$2:$D$16, 3,FALSE), IFERROR(VLOOKUP($A644,'Exetel ExDa'!$C$2:$N$14, 0,FALSE), IFERROR(VLOOKUP($A644,'Infinet ExDa'!$B$2:$E$14, 0,FALSE), "Not Found"))))))))</f>
        <v>Not Found</v>
      </c>
      <c r="K644" t="str">
        <f>IFERROR(VLOOKUP($A644,'AAPT ExDa'!$B$2:$U$99, 12,FALSE), IFERROR(VLOOKUP($A644,'ABB ExDa'!$A$2:$N$184, 0,FALSE), IFERROR(VLOOKUP($A644,'Vocus SIT ExDa'!$B$2:$J$173, 0,FALSE), IFERROR(VLOOKUP($A644,'Telstra ExDa'!$B$2:$K$310, 0,FALSE), IFERROR(VLOOKUP($A644,'Vocus RVC ExDa'!$C$2:$R$155, 0,FALSE), IFERROR(VLOOKUP($A644,'Fusion ExDa'!$B$2:$D$16, 0,FALSE), IFERROR(VLOOKUP($A644,'Exetel ExDa'!$C$2:$N$14, 12,FALSE), IFERROR(VLOOKUP($A644,'Infinet ExDa'!$B$2:$E$14, 0,FALSE), "Not Found"))))))))</f>
        <v>Not Found</v>
      </c>
      <c r="L644" s="235" t="str">
        <f>IFERROR(VLOOKUP($A644,'AAPT ExDa'!$B$2:$U$99, 11,FALSE), IFERROR(VLOOKUP($A644,'ABB ExDa'!$A$2:$N$184, 9,FALSE), IFERROR(VLOOKUP($A644,'Vocus SIT ExDa'!$B$2:$J$173, 8,FALSE), IFERROR(VLOOKUP($A644,'Telstra ExDa'!$B$2:$K$310, 0,FALSE), IFERROR(VLOOKUP($A644,'Vocus RVC ExDa'!$C$2:$R$155, 0,FALSE), IFERROR(VLOOKUP($A644,'Fusion ExDa'!$B$2:$D$16, 0,FALSE), IFERROR(VLOOKUP($A644,'Exetel ExDa'!$C$2:$N$14, 9,FALSE), IFERROR(VLOOKUP($A644,'Infinet ExDa'!$B$2:$E$14, 0,FALSE), "Not Found"))))))))</f>
        <v>Not Found</v>
      </c>
      <c r="M644" s="234" t="str">
        <f>IFERROR(VLOOKUP($A644,'AAPT ExDa'!$B$2:$U$99, 0,FALSE), IFERROR(VLOOKUP($A644,'ABB ExDa'!$A$2:$N$184, 0,FALSE), IFERROR(VLOOKUP($A644,'Vocus SIT ExDa'!$B$2:$J$173, 0,FALSE), IFERROR(VLOOKUP($A644,'Telstra ExDa'!$B$2:$K$310, 0,FALSE), IFERROR(VLOOKUP($A644,'Vocus RVC ExDa'!$C$2:$R$155, 0,FALSE), IFERROR(VLOOKUP($A644,'Fusion ExDa'!$B$2:$D$16, 0,FALSE), IFERROR(VLOOKUP($A644,'Exetel ExDa'!$C$2:$N$14, 11,FALSE), IFERROR(VLOOKUP($A644,'Infinet ExDa'!$B$2:$E$14, 0,FALSE), "Not Found"))))))))</f>
        <v>Not Found</v>
      </c>
      <c r="N644" t="str">
        <f>IFERROR(VLOOKUP($A644,'AAPT ExDa'!$B$2:$U$99, 0,FALSE), IFERROR(VLOOKUP($A644,'ABB ExDa'!$A$2:$N$184, 13,FALSE), IFERROR(VLOOKUP($A644,'Vocus SIT ExDa'!$B$2:$J$173, 0,FALSE), IFERROR(VLOOKUP($A644,'Telstra ExDa'!$B$2:$K$310, 0,FALSE), IFERROR(VLOOKUP($A644,'Vocus RVC ExDa'!$C$2:$R$155, 0,FALSE), IFERROR(VLOOKUP($A644,'Fusion ExDa'!$B$2:$D$16, 0,FALSE), IFERROR(VLOOKUP($A644,'Exetel ExDa'!$C$2:$N$14, 0,FALSE), IFERROR(VLOOKUP($A644,'Infinet ExDa'!$B$2:$E$14, 0,FALSE), "Not Found"))))))))</f>
        <v>Not Found</v>
      </c>
    </row>
    <row r="645" spans="1:14">
      <c r="A645">
        <v>0</v>
      </c>
      <c r="B645" t="str">
        <f>IFERROR(VLOOKUP(A645,'Exetel ExDa'!$C$2:$N$14,4,FALSE),"No Data")</f>
        <v>No Data</v>
      </c>
      <c r="C645" t="str">
        <f>IFERROR(VLOOKUP(A645,'AAPT ExDa'!$B$2:$U$99, 2,FALSE), IFERROR(VLOOKUP(A645,'ABB ExDa'!$A$2:$N$184, 2,FALSE), IFERROR(VLOOKUP(A645,'Vocus SIT ExDa'!$B$2:$J$173, 7,FALSE), IFERROR(VLOOKUP(A645,'Telstra ExDa'!$B$2:$K$310, 2,FALSE), IFERROR(VLOOKUP(A645,'Vocus RVC ExDa'!$C$2:$R$155, 3,FALSE), IFERROR(VLOOKUP(A645,'Fusion ExDa'!$B$2:$D$16, 2,FALSE), IFERROR(VLOOKUP(A645,'Exetel ExDa'!$C$2:$N$14, 2,FALSE), IFERROR(VLOOKUP(A645,'Infinet ExDa'!$B$2:$E$14, 2,FALSE), "Not Found"))))))))</f>
        <v>Not Found</v>
      </c>
      <c r="D645" t="str">
        <f>IFERROR(VLOOKUP($A645,'AAPT ExDa'!$B$2:$U$99, 15,FALSE), IFERROR(VLOOKUP($A645,'ABB ExDa'!$A$2:$N$184, 4,FALSE), IFERROR(VLOOKUP($A645,'Vocus SIT ExDa'!$B$2:$J$173, 5,FALSE), IFERROR(VLOOKUP($A645,'Telstra ExDa'!$B$2:$K$310, 8,FALSE), IFERROR(VLOOKUP($A645,'Vocus RVC ExDa'!$C$2:$R$155, 6,FALSE), IFERROR(VLOOKUP($A645,'Fusion ExDa'!$B$2:$D$16, 4,FALSE), IFERROR(VLOOKUP($A645,'Exetel ExDa'!$C$2:$N$14, 3,FALSE), IFERROR(VLOOKUP($A645,'Infinet ExDa'!$B$2:$E$14, 3,FALSE), "Not Found"))))))))</f>
        <v>Not Found</v>
      </c>
      <c r="E645" t="str">
        <f>IFERROR(VLOOKUP($A645,'AAPT ExDa'!$B$2:$U$99, 3,FALSE), IFERROR(VLOOKUP($A645,'ABB ExDa'!$A$2:$N$184, 5,FALSE), IFERROR(VLOOKUP($A645,'Vocus SIT ExDa'!$B$2:$J$173, 2,FALSE), IFERROR(VLOOKUP($A645,'Telstra ExDa'!$B$2:$K$310, 4,FALSE), IFERROR(VLOOKUP($A645,'Vocus RVC ExDa'!$C$2:$R$155, 8,FALSE), IFERROR(VLOOKUP($A645,'Fusion ExDa'!$B$2:$D$16, 4,FALSE), IFERROR(VLOOKUP($A645,'Exetel ExDa'!$C$2:$N$14, 5,FALSE), IFERROR(VLOOKUP($A645,'Infinet ExDa'!$B$2:$E$14, 3,FALSE), "Not Found"))))))))</f>
        <v>Not Found</v>
      </c>
      <c r="F645" t="str">
        <f>IFERROR(VLOOKUP($A645,'AAPT ExDa'!$B$2:$U$99, 4,FALSE), IFERROR(VLOOKUP($A645,'ABB ExDa'!$A$2:$N$184, 6,FALSE), IFERROR(VLOOKUP($A645,'Vocus SIT ExDa'!$B$2:$J$173, 3,FALSE), IFERROR(VLOOKUP($A645,'Telstra ExDa'!$B$2:$K$310, 5,FALSE), IFERROR(VLOOKUP($A645,'Vocus RVC ExDa'!$C$2:$R$155, 9,FALSE), IFERROR(VLOOKUP($A645,'Fusion ExDa'!$B$2:$D$16, 0,FALSE), IFERROR(VLOOKUP($A645,'Exetel ExDa'!$C$2:$N$14, 6,FALSE), IFERROR(VLOOKUP($A645,'Infinet ExDa'!$B$2:$E$14, 0,FALSE), "Not Found"))))))))</f>
        <v>Not Found</v>
      </c>
      <c r="G645" t="str">
        <f>IFERROR(VLOOKUP($A645,'AAPT ExDa'!$B$2:$U$99, 5,FALSE), IFERROR(VLOOKUP($A645,'ABB ExDa'!$A$2:$N$184, 8,FALSE), IFERROR(VLOOKUP($A645,'Vocus SIT ExDa'!$B$2:$J$173, 6,FALSE), IFERROR(VLOOKUP($A645,'Telstra ExDa'!$B$2:$K$310, 0,FALSE), IFERROR(VLOOKUP($A645,'Vocus RVC ExDa'!$C$2:$R$155, 15,FALSE), IFERROR(VLOOKUP($A645,'Fusion ExDa'!$B$2:$D$16, 0,FALSE), IFERROR(VLOOKUP($A645,'Exetel ExDa'!$C$2:$N$14, 7,FALSE), IFERROR(VLOOKUP($A645,'Infinet ExDa'!$B$2:$E$14, 0,FALSE), "Not Found"))))))))</f>
        <v>Not Found</v>
      </c>
      <c r="H645" t="str">
        <f>IFERROR(VLOOKUP($A645,'AAPT ExDa'!$B$2:$U$99, 6,FALSE), IFERROR(VLOOKUP($A645,'ABB ExDa'!$A$2:$N$184, 0,FALSE), IFERROR(VLOOKUP($A645,'Vocus SIT ExDa'!$B$2:$J$173, 0,FALSE), IFERROR(VLOOKUP($A645,'Telstra ExDa'!$B$2:$K$310, 0,FALSE), IFERROR(VLOOKUP($A645,'Vocus RVC ExDa'!$C$2:$R$155, 16,FALSE), IFERROR(VLOOKUP($A645,'Fusion ExDa'!$B$2:$D$16, 0,FALSE), IFERROR(VLOOKUP($A645,'Exetel ExDa'!$C$2:$N$14, 0,FALSE), IFERROR(VLOOKUP($A645,'Infinet ExDa'!$B$2:$E$14, 0,FALSE), "Not Found"))))))))</f>
        <v>Not Found</v>
      </c>
      <c r="I645" t="str">
        <f>IFERROR(VLOOKUP($A645,'AAPT ExDa'!$B$2:$U$99, 0,FALSE), IFERROR(VLOOKUP($A645,'ABB ExDa'!$A$2:$N$184, 0,FALSE), IFERROR(VLOOKUP($A645,'Vocus SIT ExDa'!$B$2:$J$173, 0,FALSE), IFERROR(VLOOKUP($A645,'Telstra ExDa'!$B$2:$K$310, 0,FALSE), IFERROR(VLOOKUP($A645,'Vocus RVC ExDa'!$C$2:$R$155, 0,FALSE), IFERROR(VLOOKUP($A645,'Fusion ExDa'!$B$2:$D$16, 0,FALSE), IFERROR(VLOOKUP($A645,'Exetel ExDa'!$C$2:$N$14, 8,FALSE), IFERROR(VLOOKUP($A645,'Infinet ExDa'!$B$2:$E$14, 0,FALSE), "Not Found"))))))))</f>
        <v>Not Found</v>
      </c>
      <c r="J645" t="str">
        <f>IFERROR(VLOOKUP($A645,'AAPT ExDa'!$B$2:$U$99, 7,FALSE), IFERROR(VLOOKUP($A645,'ABB ExDa'!$A$2:$N$184, 2,FALSE), IFERROR(VLOOKUP($A645,'Vocus SIT ExDa'!$B$2:$J$173, 0,FALSE), IFERROR(VLOOKUP($A645,'Telstra ExDa'!$B$2:$K$310, 7,FALSE), IFERROR(VLOOKUP($A645,'Vocus RVC ExDa'!$C$2:$R$155, 2,FALSE), IFERROR(VLOOKUP($A645,'Fusion ExDa'!$B$2:$D$16, 3,FALSE), IFERROR(VLOOKUP($A645,'Exetel ExDa'!$C$2:$N$14, 0,FALSE), IFERROR(VLOOKUP($A645,'Infinet ExDa'!$B$2:$E$14, 0,FALSE), "Not Found"))))))))</f>
        <v>Not Found</v>
      </c>
      <c r="K645" t="str">
        <f>IFERROR(VLOOKUP($A645,'AAPT ExDa'!$B$2:$U$99, 12,FALSE), IFERROR(VLOOKUP($A645,'ABB ExDa'!$A$2:$N$184, 0,FALSE), IFERROR(VLOOKUP($A645,'Vocus SIT ExDa'!$B$2:$J$173, 0,FALSE), IFERROR(VLOOKUP($A645,'Telstra ExDa'!$B$2:$K$310, 0,FALSE), IFERROR(VLOOKUP($A645,'Vocus RVC ExDa'!$C$2:$R$155, 0,FALSE), IFERROR(VLOOKUP($A645,'Fusion ExDa'!$B$2:$D$16, 0,FALSE), IFERROR(VLOOKUP($A645,'Exetel ExDa'!$C$2:$N$14, 12,FALSE), IFERROR(VLOOKUP($A645,'Infinet ExDa'!$B$2:$E$14, 0,FALSE), "Not Found"))))))))</f>
        <v>Not Found</v>
      </c>
      <c r="L645" s="235" t="str">
        <f>IFERROR(VLOOKUP($A645,'AAPT ExDa'!$B$2:$U$99, 11,FALSE), IFERROR(VLOOKUP($A645,'ABB ExDa'!$A$2:$N$184, 9,FALSE), IFERROR(VLOOKUP($A645,'Vocus SIT ExDa'!$B$2:$J$173, 8,FALSE), IFERROR(VLOOKUP($A645,'Telstra ExDa'!$B$2:$K$310, 0,FALSE), IFERROR(VLOOKUP($A645,'Vocus RVC ExDa'!$C$2:$R$155, 0,FALSE), IFERROR(VLOOKUP($A645,'Fusion ExDa'!$B$2:$D$16, 0,FALSE), IFERROR(VLOOKUP($A645,'Exetel ExDa'!$C$2:$N$14, 9,FALSE), IFERROR(VLOOKUP($A645,'Infinet ExDa'!$B$2:$E$14, 0,FALSE), "Not Found"))))))))</f>
        <v>Not Found</v>
      </c>
      <c r="M645" s="234" t="str">
        <f>IFERROR(VLOOKUP($A645,'AAPT ExDa'!$B$2:$U$99, 0,FALSE), IFERROR(VLOOKUP($A645,'ABB ExDa'!$A$2:$N$184, 0,FALSE), IFERROR(VLOOKUP($A645,'Vocus SIT ExDa'!$B$2:$J$173, 0,FALSE), IFERROR(VLOOKUP($A645,'Telstra ExDa'!$B$2:$K$310, 0,FALSE), IFERROR(VLOOKUP($A645,'Vocus RVC ExDa'!$C$2:$R$155, 0,FALSE), IFERROR(VLOOKUP($A645,'Fusion ExDa'!$B$2:$D$16, 0,FALSE), IFERROR(VLOOKUP($A645,'Exetel ExDa'!$C$2:$N$14, 11,FALSE), IFERROR(VLOOKUP($A645,'Infinet ExDa'!$B$2:$E$14, 0,FALSE), "Not Found"))))))))</f>
        <v>Not Found</v>
      </c>
      <c r="N645" t="str">
        <f>IFERROR(VLOOKUP($A645,'AAPT ExDa'!$B$2:$U$99, 0,FALSE), IFERROR(VLOOKUP($A645,'ABB ExDa'!$A$2:$N$184, 13,FALSE), IFERROR(VLOOKUP($A645,'Vocus SIT ExDa'!$B$2:$J$173, 0,FALSE), IFERROR(VLOOKUP($A645,'Telstra ExDa'!$B$2:$K$310, 0,FALSE), IFERROR(VLOOKUP($A645,'Vocus RVC ExDa'!$C$2:$R$155, 0,FALSE), IFERROR(VLOOKUP($A645,'Fusion ExDa'!$B$2:$D$16, 0,FALSE), IFERROR(VLOOKUP($A645,'Exetel ExDa'!$C$2:$N$14, 0,FALSE), IFERROR(VLOOKUP($A645,'Infinet ExDa'!$B$2:$E$14, 0,FALSE), "Not Found"))))))))</f>
        <v>Not Found</v>
      </c>
    </row>
    <row r="646" spans="1:14">
      <c r="A646">
        <v>0</v>
      </c>
      <c r="B646" t="str">
        <f>IFERROR(VLOOKUP(A646,'Exetel ExDa'!$C$2:$N$14,4,FALSE),"No Data")</f>
        <v>No Data</v>
      </c>
      <c r="C646" t="str">
        <f>IFERROR(VLOOKUP(A646,'AAPT ExDa'!$B$2:$U$99, 2,FALSE), IFERROR(VLOOKUP(A646,'ABB ExDa'!$A$2:$N$184, 2,FALSE), IFERROR(VLOOKUP(A646,'Vocus SIT ExDa'!$B$2:$J$173, 7,FALSE), IFERROR(VLOOKUP(A646,'Telstra ExDa'!$B$2:$K$310, 2,FALSE), IFERROR(VLOOKUP(A646,'Vocus RVC ExDa'!$C$2:$R$155, 3,FALSE), IFERROR(VLOOKUP(A646,'Fusion ExDa'!$B$2:$D$16, 2,FALSE), IFERROR(VLOOKUP(A646,'Exetel ExDa'!$C$2:$N$14, 2,FALSE), IFERROR(VLOOKUP(A646,'Infinet ExDa'!$B$2:$E$14, 2,FALSE), "Not Found"))))))))</f>
        <v>Not Found</v>
      </c>
      <c r="D646" t="str">
        <f>IFERROR(VLOOKUP($A646,'AAPT ExDa'!$B$2:$U$99, 15,FALSE), IFERROR(VLOOKUP($A646,'ABB ExDa'!$A$2:$N$184, 4,FALSE), IFERROR(VLOOKUP($A646,'Vocus SIT ExDa'!$B$2:$J$173, 5,FALSE), IFERROR(VLOOKUP($A646,'Telstra ExDa'!$B$2:$K$310, 8,FALSE), IFERROR(VLOOKUP($A646,'Vocus RVC ExDa'!$C$2:$R$155, 6,FALSE), IFERROR(VLOOKUP($A646,'Fusion ExDa'!$B$2:$D$16, 4,FALSE), IFERROR(VLOOKUP($A646,'Exetel ExDa'!$C$2:$N$14, 3,FALSE), IFERROR(VLOOKUP($A646,'Infinet ExDa'!$B$2:$E$14, 3,FALSE), "Not Found"))))))))</f>
        <v>Not Found</v>
      </c>
      <c r="E646" t="str">
        <f>IFERROR(VLOOKUP($A646,'AAPT ExDa'!$B$2:$U$99, 3,FALSE), IFERROR(VLOOKUP($A646,'ABB ExDa'!$A$2:$N$184, 5,FALSE), IFERROR(VLOOKUP($A646,'Vocus SIT ExDa'!$B$2:$J$173, 2,FALSE), IFERROR(VLOOKUP($A646,'Telstra ExDa'!$B$2:$K$310, 4,FALSE), IFERROR(VLOOKUP($A646,'Vocus RVC ExDa'!$C$2:$R$155, 8,FALSE), IFERROR(VLOOKUP($A646,'Fusion ExDa'!$B$2:$D$16, 4,FALSE), IFERROR(VLOOKUP($A646,'Exetel ExDa'!$C$2:$N$14, 5,FALSE), IFERROR(VLOOKUP($A646,'Infinet ExDa'!$B$2:$E$14, 3,FALSE), "Not Found"))))))))</f>
        <v>Not Found</v>
      </c>
      <c r="F646" t="str">
        <f>IFERROR(VLOOKUP($A646,'AAPT ExDa'!$B$2:$U$99, 4,FALSE), IFERROR(VLOOKUP($A646,'ABB ExDa'!$A$2:$N$184, 6,FALSE), IFERROR(VLOOKUP($A646,'Vocus SIT ExDa'!$B$2:$J$173, 3,FALSE), IFERROR(VLOOKUP($A646,'Telstra ExDa'!$B$2:$K$310, 5,FALSE), IFERROR(VLOOKUP($A646,'Vocus RVC ExDa'!$C$2:$R$155, 9,FALSE), IFERROR(VLOOKUP($A646,'Fusion ExDa'!$B$2:$D$16, 0,FALSE), IFERROR(VLOOKUP($A646,'Exetel ExDa'!$C$2:$N$14, 6,FALSE), IFERROR(VLOOKUP($A646,'Infinet ExDa'!$B$2:$E$14, 0,FALSE), "Not Found"))))))))</f>
        <v>Not Found</v>
      </c>
      <c r="G646" t="str">
        <f>IFERROR(VLOOKUP($A646,'AAPT ExDa'!$B$2:$U$99, 5,FALSE), IFERROR(VLOOKUP($A646,'ABB ExDa'!$A$2:$N$184, 8,FALSE), IFERROR(VLOOKUP($A646,'Vocus SIT ExDa'!$B$2:$J$173, 6,FALSE), IFERROR(VLOOKUP($A646,'Telstra ExDa'!$B$2:$K$310, 0,FALSE), IFERROR(VLOOKUP($A646,'Vocus RVC ExDa'!$C$2:$R$155, 15,FALSE), IFERROR(VLOOKUP($A646,'Fusion ExDa'!$B$2:$D$16, 0,FALSE), IFERROR(VLOOKUP($A646,'Exetel ExDa'!$C$2:$N$14, 7,FALSE), IFERROR(VLOOKUP($A646,'Infinet ExDa'!$B$2:$E$14, 0,FALSE), "Not Found"))))))))</f>
        <v>Not Found</v>
      </c>
      <c r="H646" t="str">
        <f>IFERROR(VLOOKUP($A646,'AAPT ExDa'!$B$2:$U$99, 6,FALSE), IFERROR(VLOOKUP($A646,'ABB ExDa'!$A$2:$N$184, 0,FALSE), IFERROR(VLOOKUP($A646,'Vocus SIT ExDa'!$B$2:$J$173, 0,FALSE), IFERROR(VLOOKUP($A646,'Telstra ExDa'!$B$2:$K$310, 0,FALSE), IFERROR(VLOOKUP($A646,'Vocus RVC ExDa'!$C$2:$R$155, 16,FALSE), IFERROR(VLOOKUP($A646,'Fusion ExDa'!$B$2:$D$16, 0,FALSE), IFERROR(VLOOKUP($A646,'Exetel ExDa'!$C$2:$N$14, 0,FALSE), IFERROR(VLOOKUP($A646,'Infinet ExDa'!$B$2:$E$14, 0,FALSE), "Not Found"))))))))</f>
        <v>Not Found</v>
      </c>
      <c r="I646" t="str">
        <f>IFERROR(VLOOKUP($A646,'AAPT ExDa'!$B$2:$U$99, 0,FALSE), IFERROR(VLOOKUP($A646,'ABB ExDa'!$A$2:$N$184, 0,FALSE), IFERROR(VLOOKUP($A646,'Vocus SIT ExDa'!$B$2:$J$173, 0,FALSE), IFERROR(VLOOKUP($A646,'Telstra ExDa'!$B$2:$K$310, 0,FALSE), IFERROR(VLOOKUP($A646,'Vocus RVC ExDa'!$C$2:$R$155, 0,FALSE), IFERROR(VLOOKUP($A646,'Fusion ExDa'!$B$2:$D$16, 0,FALSE), IFERROR(VLOOKUP($A646,'Exetel ExDa'!$C$2:$N$14, 8,FALSE), IFERROR(VLOOKUP($A646,'Infinet ExDa'!$B$2:$E$14, 0,FALSE), "Not Found"))))))))</f>
        <v>Not Found</v>
      </c>
      <c r="J646" t="str">
        <f>IFERROR(VLOOKUP($A646,'AAPT ExDa'!$B$2:$U$99, 7,FALSE), IFERROR(VLOOKUP($A646,'ABB ExDa'!$A$2:$N$184, 2,FALSE), IFERROR(VLOOKUP($A646,'Vocus SIT ExDa'!$B$2:$J$173, 0,FALSE), IFERROR(VLOOKUP($A646,'Telstra ExDa'!$B$2:$K$310, 7,FALSE), IFERROR(VLOOKUP($A646,'Vocus RVC ExDa'!$C$2:$R$155, 2,FALSE), IFERROR(VLOOKUP($A646,'Fusion ExDa'!$B$2:$D$16, 3,FALSE), IFERROR(VLOOKUP($A646,'Exetel ExDa'!$C$2:$N$14, 0,FALSE), IFERROR(VLOOKUP($A646,'Infinet ExDa'!$B$2:$E$14, 0,FALSE), "Not Found"))))))))</f>
        <v>Not Found</v>
      </c>
      <c r="K646" t="str">
        <f>IFERROR(VLOOKUP($A646,'AAPT ExDa'!$B$2:$U$99, 12,FALSE), IFERROR(VLOOKUP($A646,'ABB ExDa'!$A$2:$N$184, 0,FALSE), IFERROR(VLOOKUP($A646,'Vocus SIT ExDa'!$B$2:$J$173, 0,FALSE), IFERROR(VLOOKUP($A646,'Telstra ExDa'!$B$2:$K$310, 0,FALSE), IFERROR(VLOOKUP($A646,'Vocus RVC ExDa'!$C$2:$R$155, 0,FALSE), IFERROR(VLOOKUP($A646,'Fusion ExDa'!$B$2:$D$16, 0,FALSE), IFERROR(VLOOKUP($A646,'Exetel ExDa'!$C$2:$N$14, 12,FALSE), IFERROR(VLOOKUP($A646,'Infinet ExDa'!$B$2:$E$14, 0,FALSE), "Not Found"))))))))</f>
        <v>Not Found</v>
      </c>
      <c r="L646" s="235" t="str">
        <f>IFERROR(VLOOKUP($A646,'AAPT ExDa'!$B$2:$U$99, 11,FALSE), IFERROR(VLOOKUP($A646,'ABB ExDa'!$A$2:$N$184, 9,FALSE), IFERROR(VLOOKUP($A646,'Vocus SIT ExDa'!$B$2:$J$173, 8,FALSE), IFERROR(VLOOKUP($A646,'Telstra ExDa'!$B$2:$K$310, 0,FALSE), IFERROR(VLOOKUP($A646,'Vocus RVC ExDa'!$C$2:$R$155, 0,FALSE), IFERROR(VLOOKUP($A646,'Fusion ExDa'!$B$2:$D$16, 0,FALSE), IFERROR(VLOOKUP($A646,'Exetel ExDa'!$C$2:$N$14, 9,FALSE), IFERROR(VLOOKUP($A646,'Infinet ExDa'!$B$2:$E$14, 0,FALSE), "Not Found"))))))))</f>
        <v>Not Found</v>
      </c>
      <c r="M646" s="234" t="str">
        <f>IFERROR(VLOOKUP($A646,'AAPT ExDa'!$B$2:$U$99, 0,FALSE), IFERROR(VLOOKUP($A646,'ABB ExDa'!$A$2:$N$184, 0,FALSE), IFERROR(VLOOKUP($A646,'Vocus SIT ExDa'!$B$2:$J$173, 0,FALSE), IFERROR(VLOOKUP($A646,'Telstra ExDa'!$B$2:$K$310, 0,FALSE), IFERROR(VLOOKUP($A646,'Vocus RVC ExDa'!$C$2:$R$155, 0,FALSE), IFERROR(VLOOKUP($A646,'Fusion ExDa'!$B$2:$D$16, 0,FALSE), IFERROR(VLOOKUP($A646,'Exetel ExDa'!$C$2:$N$14, 11,FALSE), IFERROR(VLOOKUP($A646,'Infinet ExDa'!$B$2:$E$14, 0,FALSE), "Not Found"))))))))</f>
        <v>Not Found</v>
      </c>
      <c r="N646" t="str">
        <f>IFERROR(VLOOKUP($A646,'AAPT ExDa'!$B$2:$U$99, 0,FALSE), IFERROR(VLOOKUP($A646,'ABB ExDa'!$A$2:$N$184, 13,FALSE), IFERROR(VLOOKUP($A646,'Vocus SIT ExDa'!$B$2:$J$173, 0,FALSE), IFERROR(VLOOKUP($A646,'Telstra ExDa'!$B$2:$K$310, 0,FALSE), IFERROR(VLOOKUP($A646,'Vocus RVC ExDa'!$C$2:$R$155, 0,FALSE), IFERROR(VLOOKUP($A646,'Fusion ExDa'!$B$2:$D$16, 0,FALSE), IFERROR(VLOOKUP($A646,'Exetel ExDa'!$C$2:$N$14, 0,FALSE), IFERROR(VLOOKUP($A646,'Infinet ExDa'!$B$2:$E$14, 0,FALSE), "Not Found"))))))))</f>
        <v>Not Found</v>
      </c>
    </row>
    <row r="647" spans="1:14">
      <c r="A647">
        <v>0</v>
      </c>
      <c r="B647" t="str">
        <f>IFERROR(VLOOKUP(A647,'Exetel ExDa'!$C$2:$N$14,4,FALSE),"No Data")</f>
        <v>No Data</v>
      </c>
      <c r="C647" t="str">
        <f>IFERROR(VLOOKUP(A647,'AAPT ExDa'!$B$2:$U$99, 2,FALSE), IFERROR(VLOOKUP(A647,'ABB ExDa'!$A$2:$N$184, 2,FALSE), IFERROR(VLOOKUP(A647,'Vocus SIT ExDa'!$B$2:$J$173, 7,FALSE), IFERROR(VLOOKUP(A647,'Telstra ExDa'!$B$2:$K$310, 2,FALSE), IFERROR(VLOOKUP(A647,'Vocus RVC ExDa'!$C$2:$R$155, 3,FALSE), IFERROR(VLOOKUP(A647,'Fusion ExDa'!$B$2:$D$16, 2,FALSE), IFERROR(VLOOKUP(A647,'Exetel ExDa'!$C$2:$N$14, 2,FALSE), IFERROR(VLOOKUP(A647,'Infinet ExDa'!$B$2:$E$14, 2,FALSE), "Not Found"))))))))</f>
        <v>Not Found</v>
      </c>
      <c r="D647" t="str">
        <f>IFERROR(VLOOKUP($A647,'AAPT ExDa'!$B$2:$U$99, 15,FALSE), IFERROR(VLOOKUP($A647,'ABB ExDa'!$A$2:$N$184, 4,FALSE), IFERROR(VLOOKUP($A647,'Vocus SIT ExDa'!$B$2:$J$173, 5,FALSE), IFERROR(VLOOKUP($A647,'Telstra ExDa'!$B$2:$K$310, 8,FALSE), IFERROR(VLOOKUP($A647,'Vocus RVC ExDa'!$C$2:$R$155, 6,FALSE), IFERROR(VLOOKUP($A647,'Fusion ExDa'!$B$2:$D$16, 4,FALSE), IFERROR(VLOOKUP($A647,'Exetel ExDa'!$C$2:$N$14, 3,FALSE), IFERROR(VLOOKUP($A647,'Infinet ExDa'!$B$2:$E$14, 3,FALSE), "Not Found"))))))))</f>
        <v>Not Found</v>
      </c>
      <c r="E647" t="str">
        <f>IFERROR(VLOOKUP($A647,'AAPT ExDa'!$B$2:$U$99, 3,FALSE), IFERROR(VLOOKUP($A647,'ABB ExDa'!$A$2:$N$184, 5,FALSE), IFERROR(VLOOKUP($A647,'Vocus SIT ExDa'!$B$2:$J$173, 2,FALSE), IFERROR(VLOOKUP($A647,'Telstra ExDa'!$B$2:$K$310, 4,FALSE), IFERROR(VLOOKUP($A647,'Vocus RVC ExDa'!$C$2:$R$155, 8,FALSE), IFERROR(VLOOKUP($A647,'Fusion ExDa'!$B$2:$D$16, 4,FALSE), IFERROR(VLOOKUP($A647,'Exetel ExDa'!$C$2:$N$14, 5,FALSE), IFERROR(VLOOKUP($A647,'Infinet ExDa'!$B$2:$E$14, 3,FALSE), "Not Found"))))))))</f>
        <v>Not Found</v>
      </c>
      <c r="F647" t="str">
        <f>IFERROR(VLOOKUP($A647,'AAPT ExDa'!$B$2:$U$99, 4,FALSE), IFERROR(VLOOKUP($A647,'ABB ExDa'!$A$2:$N$184, 6,FALSE), IFERROR(VLOOKUP($A647,'Vocus SIT ExDa'!$B$2:$J$173, 3,FALSE), IFERROR(VLOOKUP($A647,'Telstra ExDa'!$B$2:$K$310, 5,FALSE), IFERROR(VLOOKUP($A647,'Vocus RVC ExDa'!$C$2:$R$155, 9,FALSE), IFERROR(VLOOKUP($A647,'Fusion ExDa'!$B$2:$D$16, 0,FALSE), IFERROR(VLOOKUP($A647,'Exetel ExDa'!$C$2:$N$14, 6,FALSE), IFERROR(VLOOKUP($A647,'Infinet ExDa'!$B$2:$E$14, 0,FALSE), "Not Found"))))))))</f>
        <v>Not Found</v>
      </c>
      <c r="G647" t="str">
        <f>IFERROR(VLOOKUP($A647,'AAPT ExDa'!$B$2:$U$99, 5,FALSE), IFERROR(VLOOKUP($A647,'ABB ExDa'!$A$2:$N$184, 8,FALSE), IFERROR(VLOOKUP($A647,'Vocus SIT ExDa'!$B$2:$J$173, 6,FALSE), IFERROR(VLOOKUP($A647,'Telstra ExDa'!$B$2:$K$310, 0,FALSE), IFERROR(VLOOKUP($A647,'Vocus RVC ExDa'!$C$2:$R$155, 15,FALSE), IFERROR(VLOOKUP($A647,'Fusion ExDa'!$B$2:$D$16, 0,FALSE), IFERROR(VLOOKUP($A647,'Exetel ExDa'!$C$2:$N$14, 7,FALSE), IFERROR(VLOOKUP($A647,'Infinet ExDa'!$B$2:$E$14, 0,FALSE), "Not Found"))))))))</f>
        <v>Not Found</v>
      </c>
      <c r="H647" t="str">
        <f>IFERROR(VLOOKUP($A647,'AAPT ExDa'!$B$2:$U$99, 6,FALSE), IFERROR(VLOOKUP($A647,'ABB ExDa'!$A$2:$N$184, 0,FALSE), IFERROR(VLOOKUP($A647,'Vocus SIT ExDa'!$B$2:$J$173, 0,FALSE), IFERROR(VLOOKUP($A647,'Telstra ExDa'!$B$2:$K$310, 0,FALSE), IFERROR(VLOOKUP($A647,'Vocus RVC ExDa'!$C$2:$R$155, 16,FALSE), IFERROR(VLOOKUP($A647,'Fusion ExDa'!$B$2:$D$16, 0,FALSE), IFERROR(VLOOKUP($A647,'Exetel ExDa'!$C$2:$N$14, 0,FALSE), IFERROR(VLOOKUP($A647,'Infinet ExDa'!$B$2:$E$14, 0,FALSE), "Not Found"))))))))</f>
        <v>Not Found</v>
      </c>
      <c r="I647" t="str">
        <f>IFERROR(VLOOKUP($A647,'AAPT ExDa'!$B$2:$U$99, 0,FALSE), IFERROR(VLOOKUP($A647,'ABB ExDa'!$A$2:$N$184, 0,FALSE), IFERROR(VLOOKUP($A647,'Vocus SIT ExDa'!$B$2:$J$173, 0,FALSE), IFERROR(VLOOKUP($A647,'Telstra ExDa'!$B$2:$K$310, 0,FALSE), IFERROR(VLOOKUP($A647,'Vocus RVC ExDa'!$C$2:$R$155, 0,FALSE), IFERROR(VLOOKUP($A647,'Fusion ExDa'!$B$2:$D$16, 0,FALSE), IFERROR(VLOOKUP($A647,'Exetel ExDa'!$C$2:$N$14, 8,FALSE), IFERROR(VLOOKUP($A647,'Infinet ExDa'!$B$2:$E$14, 0,FALSE), "Not Found"))))))))</f>
        <v>Not Found</v>
      </c>
      <c r="J647" t="str">
        <f>IFERROR(VLOOKUP($A647,'AAPT ExDa'!$B$2:$U$99, 7,FALSE), IFERROR(VLOOKUP($A647,'ABB ExDa'!$A$2:$N$184, 2,FALSE), IFERROR(VLOOKUP($A647,'Vocus SIT ExDa'!$B$2:$J$173, 0,FALSE), IFERROR(VLOOKUP($A647,'Telstra ExDa'!$B$2:$K$310, 7,FALSE), IFERROR(VLOOKUP($A647,'Vocus RVC ExDa'!$C$2:$R$155, 2,FALSE), IFERROR(VLOOKUP($A647,'Fusion ExDa'!$B$2:$D$16, 3,FALSE), IFERROR(VLOOKUP($A647,'Exetel ExDa'!$C$2:$N$14, 0,FALSE), IFERROR(VLOOKUP($A647,'Infinet ExDa'!$B$2:$E$14, 0,FALSE), "Not Found"))))))))</f>
        <v>Not Found</v>
      </c>
      <c r="K647" t="str">
        <f>IFERROR(VLOOKUP($A647,'AAPT ExDa'!$B$2:$U$99, 12,FALSE), IFERROR(VLOOKUP($A647,'ABB ExDa'!$A$2:$N$184, 0,FALSE), IFERROR(VLOOKUP($A647,'Vocus SIT ExDa'!$B$2:$J$173, 0,FALSE), IFERROR(VLOOKUP($A647,'Telstra ExDa'!$B$2:$K$310, 0,FALSE), IFERROR(VLOOKUP($A647,'Vocus RVC ExDa'!$C$2:$R$155, 0,FALSE), IFERROR(VLOOKUP($A647,'Fusion ExDa'!$B$2:$D$16, 0,FALSE), IFERROR(VLOOKUP($A647,'Exetel ExDa'!$C$2:$N$14, 12,FALSE), IFERROR(VLOOKUP($A647,'Infinet ExDa'!$B$2:$E$14, 0,FALSE), "Not Found"))))))))</f>
        <v>Not Found</v>
      </c>
      <c r="L647" s="235" t="str">
        <f>IFERROR(VLOOKUP($A647,'AAPT ExDa'!$B$2:$U$99, 11,FALSE), IFERROR(VLOOKUP($A647,'ABB ExDa'!$A$2:$N$184, 9,FALSE), IFERROR(VLOOKUP($A647,'Vocus SIT ExDa'!$B$2:$J$173, 8,FALSE), IFERROR(VLOOKUP($A647,'Telstra ExDa'!$B$2:$K$310, 0,FALSE), IFERROR(VLOOKUP($A647,'Vocus RVC ExDa'!$C$2:$R$155, 0,FALSE), IFERROR(VLOOKUP($A647,'Fusion ExDa'!$B$2:$D$16, 0,FALSE), IFERROR(VLOOKUP($A647,'Exetel ExDa'!$C$2:$N$14, 9,FALSE), IFERROR(VLOOKUP($A647,'Infinet ExDa'!$B$2:$E$14, 0,FALSE), "Not Found"))))))))</f>
        <v>Not Found</v>
      </c>
      <c r="M647" s="234" t="str">
        <f>IFERROR(VLOOKUP($A647,'AAPT ExDa'!$B$2:$U$99, 0,FALSE), IFERROR(VLOOKUP($A647,'ABB ExDa'!$A$2:$N$184, 0,FALSE), IFERROR(VLOOKUP($A647,'Vocus SIT ExDa'!$B$2:$J$173, 0,FALSE), IFERROR(VLOOKUP($A647,'Telstra ExDa'!$B$2:$K$310, 0,FALSE), IFERROR(VLOOKUP($A647,'Vocus RVC ExDa'!$C$2:$R$155, 0,FALSE), IFERROR(VLOOKUP($A647,'Fusion ExDa'!$B$2:$D$16, 0,FALSE), IFERROR(VLOOKUP($A647,'Exetel ExDa'!$C$2:$N$14, 11,FALSE), IFERROR(VLOOKUP($A647,'Infinet ExDa'!$B$2:$E$14, 0,FALSE), "Not Found"))))))))</f>
        <v>Not Found</v>
      </c>
      <c r="N647" t="str">
        <f>IFERROR(VLOOKUP($A647,'AAPT ExDa'!$B$2:$U$99, 0,FALSE), IFERROR(VLOOKUP($A647,'ABB ExDa'!$A$2:$N$184, 13,FALSE), IFERROR(VLOOKUP($A647,'Vocus SIT ExDa'!$B$2:$J$173, 0,FALSE), IFERROR(VLOOKUP($A647,'Telstra ExDa'!$B$2:$K$310, 0,FALSE), IFERROR(VLOOKUP($A647,'Vocus RVC ExDa'!$C$2:$R$155, 0,FALSE), IFERROR(VLOOKUP($A647,'Fusion ExDa'!$B$2:$D$16, 0,FALSE), IFERROR(VLOOKUP($A647,'Exetel ExDa'!$C$2:$N$14, 0,FALSE), IFERROR(VLOOKUP($A647,'Infinet ExDa'!$B$2:$E$14, 0,FALSE), "Not Found"))))))))</f>
        <v>Not Found</v>
      </c>
    </row>
    <row r="648" spans="1:14">
      <c r="A648">
        <v>0</v>
      </c>
      <c r="B648" t="str">
        <f>IFERROR(VLOOKUP(A648,'Exetel ExDa'!$C$2:$N$14,4,FALSE),"No Data")</f>
        <v>No Data</v>
      </c>
      <c r="C648" t="str">
        <f>IFERROR(VLOOKUP(A648,'AAPT ExDa'!$B$2:$U$99, 2,FALSE), IFERROR(VLOOKUP(A648,'ABB ExDa'!$A$2:$N$184, 2,FALSE), IFERROR(VLOOKUP(A648,'Vocus SIT ExDa'!$B$2:$J$173, 7,FALSE), IFERROR(VLOOKUP(A648,'Telstra ExDa'!$B$2:$K$310, 2,FALSE), IFERROR(VLOOKUP(A648,'Vocus RVC ExDa'!$C$2:$R$155, 3,FALSE), IFERROR(VLOOKUP(A648,'Fusion ExDa'!$B$2:$D$16, 2,FALSE), IFERROR(VLOOKUP(A648,'Exetel ExDa'!$C$2:$N$14, 2,FALSE), IFERROR(VLOOKUP(A648,'Infinet ExDa'!$B$2:$E$14, 2,FALSE), "Not Found"))))))))</f>
        <v>Not Found</v>
      </c>
      <c r="D648" t="str">
        <f>IFERROR(VLOOKUP($A648,'AAPT ExDa'!$B$2:$U$99, 15,FALSE), IFERROR(VLOOKUP($A648,'ABB ExDa'!$A$2:$N$184, 4,FALSE), IFERROR(VLOOKUP($A648,'Vocus SIT ExDa'!$B$2:$J$173, 5,FALSE), IFERROR(VLOOKUP($A648,'Telstra ExDa'!$B$2:$K$310, 8,FALSE), IFERROR(VLOOKUP($A648,'Vocus RVC ExDa'!$C$2:$R$155, 6,FALSE), IFERROR(VLOOKUP($A648,'Fusion ExDa'!$B$2:$D$16, 4,FALSE), IFERROR(VLOOKUP($A648,'Exetel ExDa'!$C$2:$N$14, 3,FALSE), IFERROR(VLOOKUP($A648,'Infinet ExDa'!$B$2:$E$14, 3,FALSE), "Not Found"))))))))</f>
        <v>Not Found</v>
      </c>
      <c r="E648" t="str">
        <f>IFERROR(VLOOKUP($A648,'AAPT ExDa'!$B$2:$U$99, 3,FALSE), IFERROR(VLOOKUP($A648,'ABB ExDa'!$A$2:$N$184, 5,FALSE), IFERROR(VLOOKUP($A648,'Vocus SIT ExDa'!$B$2:$J$173, 2,FALSE), IFERROR(VLOOKUP($A648,'Telstra ExDa'!$B$2:$K$310, 4,FALSE), IFERROR(VLOOKUP($A648,'Vocus RVC ExDa'!$C$2:$R$155, 8,FALSE), IFERROR(VLOOKUP($A648,'Fusion ExDa'!$B$2:$D$16, 4,FALSE), IFERROR(VLOOKUP($A648,'Exetel ExDa'!$C$2:$N$14, 5,FALSE), IFERROR(VLOOKUP($A648,'Infinet ExDa'!$B$2:$E$14, 3,FALSE), "Not Found"))))))))</f>
        <v>Not Found</v>
      </c>
      <c r="F648" t="str">
        <f>IFERROR(VLOOKUP($A648,'AAPT ExDa'!$B$2:$U$99, 4,FALSE), IFERROR(VLOOKUP($A648,'ABB ExDa'!$A$2:$N$184, 6,FALSE), IFERROR(VLOOKUP($A648,'Vocus SIT ExDa'!$B$2:$J$173, 3,FALSE), IFERROR(VLOOKUP($A648,'Telstra ExDa'!$B$2:$K$310, 5,FALSE), IFERROR(VLOOKUP($A648,'Vocus RVC ExDa'!$C$2:$R$155, 9,FALSE), IFERROR(VLOOKUP($A648,'Fusion ExDa'!$B$2:$D$16, 0,FALSE), IFERROR(VLOOKUP($A648,'Exetel ExDa'!$C$2:$N$14, 6,FALSE), IFERROR(VLOOKUP($A648,'Infinet ExDa'!$B$2:$E$14, 0,FALSE), "Not Found"))))))))</f>
        <v>Not Found</v>
      </c>
      <c r="G648" t="str">
        <f>IFERROR(VLOOKUP($A648,'AAPT ExDa'!$B$2:$U$99, 5,FALSE), IFERROR(VLOOKUP($A648,'ABB ExDa'!$A$2:$N$184, 8,FALSE), IFERROR(VLOOKUP($A648,'Vocus SIT ExDa'!$B$2:$J$173, 6,FALSE), IFERROR(VLOOKUP($A648,'Telstra ExDa'!$B$2:$K$310, 0,FALSE), IFERROR(VLOOKUP($A648,'Vocus RVC ExDa'!$C$2:$R$155, 15,FALSE), IFERROR(VLOOKUP($A648,'Fusion ExDa'!$B$2:$D$16, 0,FALSE), IFERROR(VLOOKUP($A648,'Exetel ExDa'!$C$2:$N$14, 7,FALSE), IFERROR(VLOOKUP($A648,'Infinet ExDa'!$B$2:$E$14, 0,FALSE), "Not Found"))))))))</f>
        <v>Not Found</v>
      </c>
      <c r="H648" t="str">
        <f>IFERROR(VLOOKUP($A648,'AAPT ExDa'!$B$2:$U$99, 6,FALSE), IFERROR(VLOOKUP($A648,'ABB ExDa'!$A$2:$N$184, 0,FALSE), IFERROR(VLOOKUP($A648,'Vocus SIT ExDa'!$B$2:$J$173, 0,FALSE), IFERROR(VLOOKUP($A648,'Telstra ExDa'!$B$2:$K$310, 0,FALSE), IFERROR(VLOOKUP($A648,'Vocus RVC ExDa'!$C$2:$R$155, 16,FALSE), IFERROR(VLOOKUP($A648,'Fusion ExDa'!$B$2:$D$16, 0,FALSE), IFERROR(VLOOKUP($A648,'Exetel ExDa'!$C$2:$N$14, 0,FALSE), IFERROR(VLOOKUP($A648,'Infinet ExDa'!$B$2:$E$14, 0,FALSE), "Not Found"))))))))</f>
        <v>Not Found</v>
      </c>
      <c r="I648" t="str">
        <f>IFERROR(VLOOKUP($A648,'AAPT ExDa'!$B$2:$U$99, 0,FALSE), IFERROR(VLOOKUP($A648,'ABB ExDa'!$A$2:$N$184, 0,FALSE), IFERROR(VLOOKUP($A648,'Vocus SIT ExDa'!$B$2:$J$173, 0,FALSE), IFERROR(VLOOKUP($A648,'Telstra ExDa'!$B$2:$K$310, 0,FALSE), IFERROR(VLOOKUP($A648,'Vocus RVC ExDa'!$C$2:$R$155, 0,FALSE), IFERROR(VLOOKUP($A648,'Fusion ExDa'!$B$2:$D$16, 0,FALSE), IFERROR(VLOOKUP($A648,'Exetel ExDa'!$C$2:$N$14, 8,FALSE), IFERROR(VLOOKUP($A648,'Infinet ExDa'!$B$2:$E$14, 0,FALSE), "Not Found"))))))))</f>
        <v>Not Found</v>
      </c>
      <c r="J648" t="str">
        <f>IFERROR(VLOOKUP($A648,'AAPT ExDa'!$B$2:$U$99, 7,FALSE), IFERROR(VLOOKUP($A648,'ABB ExDa'!$A$2:$N$184, 2,FALSE), IFERROR(VLOOKUP($A648,'Vocus SIT ExDa'!$B$2:$J$173, 0,FALSE), IFERROR(VLOOKUP($A648,'Telstra ExDa'!$B$2:$K$310, 7,FALSE), IFERROR(VLOOKUP($A648,'Vocus RVC ExDa'!$C$2:$R$155, 2,FALSE), IFERROR(VLOOKUP($A648,'Fusion ExDa'!$B$2:$D$16, 3,FALSE), IFERROR(VLOOKUP($A648,'Exetel ExDa'!$C$2:$N$14, 0,FALSE), IFERROR(VLOOKUP($A648,'Infinet ExDa'!$B$2:$E$14, 0,FALSE), "Not Found"))))))))</f>
        <v>Not Found</v>
      </c>
      <c r="K648" t="str">
        <f>IFERROR(VLOOKUP($A648,'AAPT ExDa'!$B$2:$U$99, 12,FALSE), IFERROR(VLOOKUP($A648,'ABB ExDa'!$A$2:$N$184, 0,FALSE), IFERROR(VLOOKUP($A648,'Vocus SIT ExDa'!$B$2:$J$173, 0,FALSE), IFERROR(VLOOKUP($A648,'Telstra ExDa'!$B$2:$K$310, 0,FALSE), IFERROR(VLOOKUP($A648,'Vocus RVC ExDa'!$C$2:$R$155, 0,FALSE), IFERROR(VLOOKUP($A648,'Fusion ExDa'!$B$2:$D$16, 0,FALSE), IFERROR(VLOOKUP($A648,'Exetel ExDa'!$C$2:$N$14, 12,FALSE), IFERROR(VLOOKUP($A648,'Infinet ExDa'!$B$2:$E$14, 0,FALSE), "Not Found"))))))))</f>
        <v>Not Found</v>
      </c>
      <c r="L648" s="235" t="str">
        <f>IFERROR(VLOOKUP($A648,'AAPT ExDa'!$B$2:$U$99, 11,FALSE), IFERROR(VLOOKUP($A648,'ABB ExDa'!$A$2:$N$184, 9,FALSE), IFERROR(VLOOKUP($A648,'Vocus SIT ExDa'!$B$2:$J$173, 8,FALSE), IFERROR(VLOOKUP($A648,'Telstra ExDa'!$B$2:$K$310, 0,FALSE), IFERROR(VLOOKUP($A648,'Vocus RVC ExDa'!$C$2:$R$155, 0,FALSE), IFERROR(VLOOKUP($A648,'Fusion ExDa'!$B$2:$D$16, 0,FALSE), IFERROR(VLOOKUP($A648,'Exetel ExDa'!$C$2:$N$14, 9,FALSE), IFERROR(VLOOKUP($A648,'Infinet ExDa'!$B$2:$E$14, 0,FALSE), "Not Found"))))))))</f>
        <v>Not Found</v>
      </c>
      <c r="M648" s="234" t="str">
        <f>IFERROR(VLOOKUP($A648,'AAPT ExDa'!$B$2:$U$99, 0,FALSE), IFERROR(VLOOKUP($A648,'ABB ExDa'!$A$2:$N$184, 0,FALSE), IFERROR(VLOOKUP($A648,'Vocus SIT ExDa'!$B$2:$J$173, 0,FALSE), IFERROR(VLOOKUP($A648,'Telstra ExDa'!$B$2:$K$310, 0,FALSE), IFERROR(VLOOKUP($A648,'Vocus RVC ExDa'!$C$2:$R$155, 0,FALSE), IFERROR(VLOOKUP($A648,'Fusion ExDa'!$B$2:$D$16, 0,FALSE), IFERROR(VLOOKUP($A648,'Exetel ExDa'!$C$2:$N$14, 11,FALSE), IFERROR(VLOOKUP($A648,'Infinet ExDa'!$B$2:$E$14, 0,FALSE), "Not Found"))))))))</f>
        <v>Not Found</v>
      </c>
      <c r="N648" t="str">
        <f>IFERROR(VLOOKUP($A648,'AAPT ExDa'!$B$2:$U$99, 0,FALSE), IFERROR(VLOOKUP($A648,'ABB ExDa'!$A$2:$N$184, 13,FALSE), IFERROR(VLOOKUP($A648,'Vocus SIT ExDa'!$B$2:$J$173, 0,FALSE), IFERROR(VLOOKUP($A648,'Telstra ExDa'!$B$2:$K$310, 0,FALSE), IFERROR(VLOOKUP($A648,'Vocus RVC ExDa'!$C$2:$R$155, 0,FALSE), IFERROR(VLOOKUP($A648,'Fusion ExDa'!$B$2:$D$16, 0,FALSE), IFERROR(VLOOKUP($A648,'Exetel ExDa'!$C$2:$N$14, 0,FALSE), IFERROR(VLOOKUP($A648,'Infinet ExDa'!$B$2:$E$14, 0,FALSE), "Not Found"))))))))</f>
        <v>Not Found</v>
      </c>
    </row>
    <row r="649" spans="1:14">
      <c r="A649">
        <v>0</v>
      </c>
      <c r="B649" t="str">
        <f>IFERROR(VLOOKUP(A649,'Exetel ExDa'!$C$2:$N$14,4,FALSE),"No Data")</f>
        <v>No Data</v>
      </c>
      <c r="C649" t="str">
        <f>IFERROR(VLOOKUP(A649,'AAPT ExDa'!$B$2:$U$99, 2,FALSE), IFERROR(VLOOKUP(A649,'ABB ExDa'!$A$2:$N$184, 2,FALSE), IFERROR(VLOOKUP(A649,'Vocus SIT ExDa'!$B$2:$J$173, 7,FALSE), IFERROR(VLOOKUP(A649,'Telstra ExDa'!$B$2:$K$310, 2,FALSE), IFERROR(VLOOKUP(A649,'Vocus RVC ExDa'!$C$2:$R$155, 3,FALSE), IFERROR(VLOOKUP(A649,'Fusion ExDa'!$B$2:$D$16, 2,FALSE), IFERROR(VLOOKUP(A649,'Exetel ExDa'!$C$2:$N$14, 2,FALSE), IFERROR(VLOOKUP(A649,'Infinet ExDa'!$B$2:$E$14, 2,FALSE), "Not Found"))))))))</f>
        <v>Not Found</v>
      </c>
      <c r="D649" t="str">
        <f>IFERROR(VLOOKUP($A649,'AAPT ExDa'!$B$2:$U$99, 15,FALSE), IFERROR(VLOOKUP($A649,'ABB ExDa'!$A$2:$N$184, 4,FALSE), IFERROR(VLOOKUP($A649,'Vocus SIT ExDa'!$B$2:$J$173, 5,FALSE), IFERROR(VLOOKUP($A649,'Telstra ExDa'!$B$2:$K$310, 8,FALSE), IFERROR(VLOOKUP($A649,'Vocus RVC ExDa'!$C$2:$R$155, 6,FALSE), IFERROR(VLOOKUP($A649,'Fusion ExDa'!$B$2:$D$16, 4,FALSE), IFERROR(VLOOKUP($A649,'Exetel ExDa'!$C$2:$N$14, 3,FALSE), IFERROR(VLOOKUP($A649,'Infinet ExDa'!$B$2:$E$14, 3,FALSE), "Not Found"))))))))</f>
        <v>Not Found</v>
      </c>
      <c r="E649" t="str">
        <f>IFERROR(VLOOKUP($A649,'AAPT ExDa'!$B$2:$U$99, 3,FALSE), IFERROR(VLOOKUP($A649,'ABB ExDa'!$A$2:$N$184, 5,FALSE), IFERROR(VLOOKUP($A649,'Vocus SIT ExDa'!$B$2:$J$173, 2,FALSE), IFERROR(VLOOKUP($A649,'Telstra ExDa'!$B$2:$K$310, 4,FALSE), IFERROR(VLOOKUP($A649,'Vocus RVC ExDa'!$C$2:$R$155, 8,FALSE), IFERROR(VLOOKUP($A649,'Fusion ExDa'!$B$2:$D$16, 4,FALSE), IFERROR(VLOOKUP($A649,'Exetel ExDa'!$C$2:$N$14, 5,FALSE), IFERROR(VLOOKUP($A649,'Infinet ExDa'!$B$2:$E$14, 3,FALSE), "Not Found"))))))))</f>
        <v>Not Found</v>
      </c>
      <c r="F649" t="str">
        <f>IFERROR(VLOOKUP($A649,'AAPT ExDa'!$B$2:$U$99, 4,FALSE), IFERROR(VLOOKUP($A649,'ABB ExDa'!$A$2:$N$184, 6,FALSE), IFERROR(VLOOKUP($A649,'Vocus SIT ExDa'!$B$2:$J$173, 3,FALSE), IFERROR(VLOOKUP($A649,'Telstra ExDa'!$B$2:$K$310, 5,FALSE), IFERROR(VLOOKUP($A649,'Vocus RVC ExDa'!$C$2:$R$155, 9,FALSE), IFERROR(VLOOKUP($A649,'Fusion ExDa'!$B$2:$D$16, 0,FALSE), IFERROR(VLOOKUP($A649,'Exetel ExDa'!$C$2:$N$14, 6,FALSE), IFERROR(VLOOKUP($A649,'Infinet ExDa'!$B$2:$E$14, 0,FALSE), "Not Found"))))))))</f>
        <v>Not Found</v>
      </c>
      <c r="G649" t="str">
        <f>IFERROR(VLOOKUP($A649,'AAPT ExDa'!$B$2:$U$99, 5,FALSE), IFERROR(VLOOKUP($A649,'ABB ExDa'!$A$2:$N$184, 8,FALSE), IFERROR(VLOOKUP($A649,'Vocus SIT ExDa'!$B$2:$J$173, 6,FALSE), IFERROR(VLOOKUP($A649,'Telstra ExDa'!$B$2:$K$310, 0,FALSE), IFERROR(VLOOKUP($A649,'Vocus RVC ExDa'!$C$2:$R$155, 15,FALSE), IFERROR(VLOOKUP($A649,'Fusion ExDa'!$B$2:$D$16, 0,FALSE), IFERROR(VLOOKUP($A649,'Exetel ExDa'!$C$2:$N$14, 7,FALSE), IFERROR(VLOOKUP($A649,'Infinet ExDa'!$B$2:$E$14, 0,FALSE), "Not Found"))))))))</f>
        <v>Not Found</v>
      </c>
      <c r="H649" t="str">
        <f>IFERROR(VLOOKUP($A649,'AAPT ExDa'!$B$2:$U$99, 6,FALSE), IFERROR(VLOOKUP($A649,'ABB ExDa'!$A$2:$N$184, 0,FALSE), IFERROR(VLOOKUP($A649,'Vocus SIT ExDa'!$B$2:$J$173, 0,FALSE), IFERROR(VLOOKUP($A649,'Telstra ExDa'!$B$2:$K$310, 0,FALSE), IFERROR(VLOOKUP($A649,'Vocus RVC ExDa'!$C$2:$R$155, 16,FALSE), IFERROR(VLOOKUP($A649,'Fusion ExDa'!$B$2:$D$16, 0,FALSE), IFERROR(VLOOKUP($A649,'Exetel ExDa'!$C$2:$N$14, 0,FALSE), IFERROR(VLOOKUP($A649,'Infinet ExDa'!$B$2:$E$14, 0,FALSE), "Not Found"))))))))</f>
        <v>Not Found</v>
      </c>
      <c r="I649" t="str">
        <f>IFERROR(VLOOKUP($A649,'AAPT ExDa'!$B$2:$U$99, 0,FALSE), IFERROR(VLOOKUP($A649,'ABB ExDa'!$A$2:$N$184, 0,FALSE), IFERROR(VLOOKUP($A649,'Vocus SIT ExDa'!$B$2:$J$173, 0,FALSE), IFERROR(VLOOKUP($A649,'Telstra ExDa'!$B$2:$K$310, 0,FALSE), IFERROR(VLOOKUP($A649,'Vocus RVC ExDa'!$C$2:$R$155, 0,FALSE), IFERROR(VLOOKUP($A649,'Fusion ExDa'!$B$2:$D$16, 0,FALSE), IFERROR(VLOOKUP($A649,'Exetel ExDa'!$C$2:$N$14, 8,FALSE), IFERROR(VLOOKUP($A649,'Infinet ExDa'!$B$2:$E$14, 0,FALSE), "Not Found"))))))))</f>
        <v>Not Found</v>
      </c>
      <c r="J649" t="str">
        <f>IFERROR(VLOOKUP($A649,'AAPT ExDa'!$B$2:$U$99, 7,FALSE), IFERROR(VLOOKUP($A649,'ABB ExDa'!$A$2:$N$184, 2,FALSE), IFERROR(VLOOKUP($A649,'Vocus SIT ExDa'!$B$2:$J$173, 0,FALSE), IFERROR(VLOOKUP($A649,'Telstra ExDa'!$B$2:$K$310, 7,FALSE), IFERROR(VLOOKUP($A649,'Vocus RVC ExDa'!$C$2:$R$155, 2,FALSE), IFERROR(VLOOKUP($A649,'Fusion ExDa'!$B$2:$D$16, 3,FALSE), IFERROR(VLOOKUP($A649,'Exetel ExDa'!$C$2:$N$14, 0,FALSE), IFERROR(VLOOKUP($A649,'Infinet ExDa'!$B$2:$E$14, 0,FALSE), "Not Found"))))))))</f>
        <v>Not Found</v>
      </c>
      <c r="K649" t="str">
        <f>IFERROR(VLOOKUP($A649,'AAPT ExDa'!$B$2:$U$99, 12,FALSE), IFERROR(VLOOKUP($A649,'ABB ExDa'!$A$2:$N$184, 0,FALSE), IFERROR(VLOOKUP($A649,'Vocus SIT ExDa'!$B$2:$J$173, 0,FALSE), IFERROR(VLOOKUP($A649,'Telstra ExDa'!$B$2:$K$310, 0,FALSE), IFERROR(VLOOKUP($A649,'Vocus RVC ExDa'!$C$2:$R$155, 0,FALSE), IFERROR(VLOOKUP($A649,'Fusion ExDa'!$B$2:$D$16, 0,FALSE), IFERROR(VLOOKUP($A649,'Exetel ExDa'!$C$2:$N$14, 12,FALSE), IFERROR(VLOOKUP($A649,'Infinet ExDa'!$B$2:$E$14, 0,FALSE), "Not Found"))))))))</f>
        <v>Not Found</v>
      </c>
      <c r="L649" s="235" t="str">
        <f>IFERROR(VLOOKUP($A649,'AAPT ExDa'!$B$2:$U$99, 11,FALSE), IFERROR(VLOOKUP($A649,'ABB ExDa'!$A$2:$N$184, 9,FALSE), IFERROR(VLOOKUP($A649,'Vocus SIT ExDa'!$B$2:$J$173, 8,FALSE), IFERROR(VLOOKUP($A649,'Telstra ExDa'!$B$2:$K$310, 0,FALSE), IFERROR(VLOOKUP($A649,'Vocus RVC ExDa'!$C$2:$R$155, 0,FALSE), IFERROR(VLOOKUP($A649,'Fusion ExDa'!$B$2:$D$16, 0,FALSE), IFERROR(VLOOKUP($A649,'Exetel ExDa'!$C$2:$N$14, 9,FALSE), IFERROR(VLOOKUP($A649,'Infinet ExDa'!$B$2:$E$14, 0,FALSE), "Not Found"))))))))</f>
        <v>Not Found</v>
      </c>
      <c r="M649" s="234" t="str">
        <f>IFERROR(VLOOKUP($A649,'AAPT ExDa'!$B$2:$U$99, 0,FALSE), IFERROR(VLOOKUP($A649,'ABB ExDa'!$A$2:$N$184, 0,FALSE), IFERROR(VLOOKUP($A649,'Vocus SIT ExDa'!$B$2:$J$173, 0,FALSE), IFERROR(VLOOKUP($A649,'Telstra ExDa'!$B$2:$K$310, 0,FALSE), IFERROR(VLOOKUP($A649,'Vocus RVC ExDa'!$C$2:$R$155, 0,FALSE), IFERROR(VLOOKUP($A649,'Fusion ExDa'!$B$2:$D$16, 0,FALSE), IFERROR(VLOOKUP($A649,'Exetel ExDa'!$C$2:$N$14, 11,FALSE), IFERROR(VLOOKUP($A649,'Infinet ExDa'!$B$2:$E$14, 0,FALSE), "Not Found"))))))))</f>
        <v>Not Found</v>
      </c>
      <c r="N649" t="str">
        <f>IFERROR(VLOOKUP($A649,'AAPT ExDa'!$B$2:$U$99, 0,FALSE), IFERROR(VLOOKUP($A649,'ABB ExDa'!$A$2:$N$184, 13,FALSE), IFERROR(VLOOKUP($A649,'Vocus SIT ExDa'!$B$2:$J$173, 0,FALSE), IFERROR(VLOOKUP($A649,'Telstra ExDa'!$B$2:$K$310, 0,FALSE), IFERROR(VLOOKUP($A649,'Vocus RVC ExDa'!$C$2:$R$155, 0,FALSE), IFERROR(VLOOKUP($A649,'Fusion ExDa'!$B$2:$D$16, 0,FALSE), IFERROR(VLOOKUP($A649,'Exetel ExDa'!$C$2:$N$14, 0,FALSE), IFERROR(VLOOKUP($A649,'Infinet ExDa'!$B$2:$E$14, 0,FALSE), "Not Found"))))))))</f>
        <v>Not Found</v>
      </c>
    </row>
    <row r="650" spans="1:14">
      <c r="A650">
        <v>0</v>
      </c>
      <c r="B650" t="str">
        <f>IFERROR(VLOOKUP(A650,'Exetel ExDa'!$C$2:$N$14,4,FALSE),"No Data")</f>
        <v>No Data</v>
      </c>
      <c r="C650" t="str">
        <f>IFERROR(VLOOKUP(A650,'AAPT ExDa'!$B$2:$U$99, 2,FALSE), IFERROR(VLOOKUP(A650,'ABB ExDa'!$A$2:$N$184, 2,FALSE), IFERROR(VLOOKUP(A650,'Vocus SIT ExDa'!$B$2:$J$173, 7,FALSE), IFERROR(VLOOKUP(A650,'Telstra ExDa'!$B$2:$K$310, 2,FALSE), IFERROR(VLOOKUP(A650,'Vocus RVC ExDa'!$C$2:$R$155, 3,FALSE), IFERROR(VLOOKUP(A650,'Fusion ExDa'!$B$2:$D$16, 2,FALSE), IFERROR(VLOOKUP(A650,'Exetel ExDa'!$C$2:$N$14, 2,FALSE), IFERROR(VLOOKUP(A650,'Infinet ExDa'!$B$2:$E$14, 2,FALSE), "Not Found"))))))))</f>
        <v>Not Found</v>
      </c>
      <c r="D650" t="str">
        <f>IFERROR(VLOOKUP($A650,'AAPT ExDa'!$B$2:$U$99, 15,FALSE), IFERROR(VLOOKUP($A650,'ABB ExDa'!$A$2:$N$184, 4,FALSE), IFERROR(VLOOKUP($A650,'Vocus SIT ExDa'!$B$2:$J$173, 5,FALSE), IFERROR(VLOOKUP($A650,'Telstra ExDa'!$B$2:$K$310, 8,FALSE), IFERROR(VLOOKUP($A650,'Vocus RVC ExDa'!$C$2:$R$155, 6,FALSE), IFERROR(VLOOKUP($A650,'Fusion ExDa'!$B$2:$D$16, 4,FALSE), IFERROR(VLOOKUP($A650,'Exetel ExDa'!$C$2:$N$14, 3,FALSE), IFERROR(VLOOKUP($A650,'Infinet ExDa'!$B$2:$E$14, 3,FALSE), "Not Found"))))))))</f>
        <v>Not Found</v>
      </c>
      <c r="E650" t="str">
        <f>IFERROR(VLOOKUP($A650,'AAPT ExDa'!$B$2:$U$99, 3,FALSE), IFERROR(VLOOKUP($A650,'ABB ExDa'!$A$2:$N$184, 5,FALSE), IFERROR(VLOOKUP($A650,'Vocus SIT ExDa'!$B$2:$J$173, 2,FALSE), IFERROR(VLOOKUP($A650,'Telstra ExDa'!$B$2:$K$310, 4,FALSE), IFERROR(VLOOKUP($A650,'Vocus RVC ExDa'!$C$2:$R$155, 8,FALSE), IFERROR(VLOOKUP($A650,'Fusion ExDa'!$B$2:$D$16, 4,FALSE), IFERROR(VLOOKUP($A650,'Exetel ExDa'!$C$2:$N$14, 5,FALSE), IFERROR(VLOOKUP($A650,'Infinet ExDa'!$B$2:$E$14, 3,FALSE), "Not Found"))))))))</f>
        <v>Not Found</v>
      </c>
      <c r="F650" t="str">
        <f>IFERROR(VLOOKUP($A650,'AAPT ExDa'!$B$2:$U$99, 4,FALSE), IFERROR(VLOOKUP($A650,'ABB ExDa'!$A$2:$N$184, 6,FALSE), IFERROR(VLOOKUP($A650,'Vocus SIT ExDa'!$B$2:$J$173, 3,FALSE), IFERROR(VLOOKUP($A650,'Telstra ExDa'!$B$2:$K$310, 5,FALSE), IFERROR(VLOOKUP($A650,'Vocus RVC ExDa'!$C$2:$R$155, 9,FALSE), IFERROR(VLOOKUP($A650,'Fusion ExDa'!$B$2:$D$16, 0,FALSE), IFERROR(VLOOKUP($A650,'Exetel ExDa'!$C$2:$N$14, 6,FALSE), IFERROR(VLOOKUP($A650,'Infinet ExDa'!$B$2:$E$14, 0,FALSE), "Not Found"))))))))</f>
        <v>Not Found</v>
      </c>
      <c r="G650" t="str">
        <f>IFERROR(VLOOKUP($A650,'AAPT ExDa'!$B$2:$U$99, 5,FALSE), IFERROR(VLOOKUP($A650,'ABB ExDa'!$A$2:$N$184, 8,FALSE), IFERROR(VLOOKUP($A650,'Vocus SIT ExDa'!$B$2:$J$173, 6,FALSE), IFERROR(VLOOKUP($A650,'Telstra ExDa'!$B$2:$K$310, 0,FALSE), IFERROR(VLOOKUP($A650,'Vocus RVC ExDa'!$C$2:$R$155, 15,FALSE), IFERROR(VLOOKUP($A650,'Fusion ExDa'!$B$2:$D$16, 0,FALSE), IFERROR(VLOOKUP($A650,'Exetel ExDa'!$C$2:$N$14, 7,FALSE), IFERROR(VLOOKUP($A650,'Infinet ExDa'!$B$2:$E$14, 0,FALSE), "Not Found"))))))))</f>
        <v>Not Found</v>
      </c>
      <c r="H650" t="str">
        <f>IFERROR(VLOOKUP($A650,'AAPT ExDa'!$B$2:$U$99, 6,FALSE), IFERROR(VLOOKUP($A650,'ABB ExDa'!$A$2:$N$184, 0,FALSE), IFERROR(VLOOKUP($A650,'Vocus SIT ExDa'!$B$2:$J$173, 0,FALSE), IFERROR(VLOOKUP($A650,'Telstra ExDa'!$B$2:$K$310, 0,FALSE), IFERROR(VLOOKUP($A650,'Vocus RVC ExDa'!$C$2:$R$155, 16,FALSE), IFERROR(VLOOKUP($A650,'Fusion ExDa'!$B$2:$D$16, 0,FALSE), IFERROR(VLOOKUP($A650,'Exetel ExDa'!$C$2:$N$14, 0,FALSE), IFERROR(VLOOKUP($A650,'Infinet ExDa'!$B$2:$E$14, 0,FALSE), "Not Found"))))))))</f>
        <v>Not Found</v>
      </c>
      <c r="I650" t="str">
        <f>IFERROR(VLOOKUP($A650,'AAPT ExDa'!$B$2:$U$99, 0,FALSE), IFERROR(VLOOKUP($A650,'ABB ExDa'!$A$2:$N$184, 0,FALSE), IFERROR(VLOOKUP($A650,'Vocus SIT ExDa'!$B$2:$J$173, 0,FALSE), IFERROR(VLOOKUP($A650,'Telstra ExDa'!$B$2:$K$310, 0,FALSE), IFERROR(VLOOKUP($A650,'Vocus RVC ExDa'!$C$2:$R$155, 0,FALSE), IFERROR(VLOOKUP($A650,'Fusion ExDa'!$B$2:$D$16, 0,FALSE), IFERROR(VLOOKUP($A650,'Exetel ExDa'!$C$2:$N$14, 8,FALSE), IFERROR(VLOOKUP($A650,'Infinet ExDa'!$B$2:$E$14, 0,FALSE), "Not Found"))))))))</f>
        <v>Not Found</v>
      </c>
      <c r="J650" t="str">
        <f>IFERROR(VLOOKUP($A650,'AAPT ExDa'!$B$2:$U$99, 7,FALSE), IFERROR(VLOOKUP($A650,'ABB ExDa'!$A$2:$N$184, 2,FALSE), IFERROR(VLOOKUP($A650,'Vocus SIT ExDa'!$B$2:$J$173, 0,FALSE), IFERROR(VLOOKUP($A650,'Telstra ExDa'!$B$2:$K$310, 7,FALSE), IFERROR(VLOOKUP($A650,'Vocus RVC ExDa'!$C$2:$R$155, 2,FALSE), IFERROR(VLOOKUP($A650,'Fusion ExDa'!$B$2:$D$16, 3,FALSE), IFERROR(VLOOKUP($A650,'Exetel ExDa'!$C$2:$N$14, 0,FALSE), IFERROR(VLOOKUP($A650,'Infinet ExDa'!$B$2:$E$14, 0,FALSE), "Not Found"))))))))</f>
        <v>Not Found</v>
      </c>
      <c r="K650" t="str">
        <f>IFERROR(VLOOKUP($A650,'AAPT ExDa'!$B$2:$U$99, 12,FALSE), IFERROR(VLOOKUP($A650,'ABB ExDa'!$A$2:$N$184, 0,FALSE), IFERROR(VLOOKUP($A650,'Vocus SIT ExDa'!$B$2:$J$173, 0,FALSE), IFERROR(VLOOKUP($A650,'Telstra ExDa'!$B$2:$K$310, 0,FALSE), IFERROR(VLOOKUP($A650,'Vocus RVC ExDa'!$C$2:$R$155, 0,FALSE), IFERROR(VLOOKUP($A650,'Fusion ExDa'!$B$2:$D$16, 0,FALSE), IFERROR(VLOOKUP($A650,'Exetel ExDa'!$C$2:$N$14, 12,FALSE), IFERROR(VLOOKUP($A650,'Infinet ExDa'!$B$2:$E$14, 0,FALSE), "Not Found"))))))))</f>
        <v>Not Found</v>
      </c>
      <c r="L650" s="235" t="str">
        <f>IFERROR(VLOOKUP($A650,'AAPT ExDa'!$B$2:$U$99, 11,FALSE), IFERROR(VLOOKUP($A650,'ABB ExDa'!$A$2:$N$184, 9,FALSE), IFERROR(VLOOKUP($A650,'Vocus SIT ExDa'!$B$2:$J$173, 8,FALSE), IFERROR(VLOOKUP($A650,'Telstra ExDa'!$B$2:$K$310, 0,FALSE), IFERROR(VLOOKUP($A650,'Vocus RVC ExDa'!$C$2:$R$155, 0,FALSE), IFERROR(VLOOKUP($A650,'Fusion ExDa'!$B$2:$D$16, 0,FALSE), IFERROR(VLOOKUP($A650,'Exetel ExDa'!$C$2:$N$14, 9,FALSE), IFERROR(VLOOKUP($A650,'Infinet ExDa'!$B$2:$E$14, 0,FALSE), "Not Found"))))))))</f>
        <v>Not Found</v>
      </c>
      <c r="M650" s="234" t="str">
        <f>IFERROR(VLOOKUP($A650,'AAPT ExDa'!$B$2:$U$99, 0,FALSE), IFERROR(VLOOKUP($A650,'ABB ExDa'!$A$2:$N$184, 0,FALSE), IFERROR(VLOOKUP($A650,'Vocus SIT ExDa'!$B$2:$J$173, 0,FALSE), IFERROR(VLOOKUP($A650,'Telstra ExDa'!$B$2:$K$310, 0,FALSE), IFERROR(VLOOKUP($A650,'Vocus RVC ExDa'!$C$2:$R$155, 0,FALSE), IFERROR(VLOOKUP($A650,'Fusion ExDa'!$B$2:$D$16, 0,FALSE), IFERROR(VLOOKUP($A650,'Exetel ExDa'!$C$2:$N$14, 11,FALSE), IFERROR(VLOOKUP($A650,'Infinet ExDa'!$B$2:$E$14, 0,FALSE), "Not Found"))))))))</f>
        <v>Not Found</v>
      </c>
      <c r="N650" t="str">
        <f>IFERROR(VLOOKUP($A650,'AAPT ExDa'!$B$2:$U$99, 0,FALSE), IFERROR(VLOOKUP($A650,'ABB ExDa'!$A$2:$N$184, 13,FALSE), IFERROR(VLOOKUP($A650,'Vocus SIT ExDa'!$B$2:$J$173, 0,FALSE), IFERROR(VLOOKUP($A650,'Telstra ExDa'!$B$2:$K$310, 0,FALSE), IFERROR(VLOOKUP($A650,'Vocus RVC ExDa'!$C$2:$R$155, 0,FALSE), IFERROR(VLOOKUP($A650,'Fusion ExDa'!$B$2:$D$16, 0,FALSE), IFERROR(VLOOKUP($A650,'Exetel ExDa'!$C$2:$N$14, 0,FALSE), IFERROR(VLOOKUP($A650,'Infinet ExDa'!$B$2:$E$14, 0,FALSE), "Not Found"))))))))</f>
        <v>Not Found</v>
      </c>
    </row>
    <row r="651" spans="1:14">
      <c r="A651">
        <v>0</v>
      </c>
      <c r="B651" t="str">
        <f>IFERROR(VLOOKUP(A651,'Exetel ExDa'!$C$2:$N$14,4,FALSE),"No Data")</f>
        <v>No Data</v>
      </c>
      <c r="C651" t="str">
        <f>IFERROR(VLOOKUP(A651,'AAPT ExDa'!$B$2:$U$99, 2,FALSE), IFERROR(VLOOKUP(A651,'ABB ExDa'!$A$2:$N$184, 2,FALSE), IFERROR(VLOOKUP(A651,'Vocus SIT ExDa'!$B$2:$J$173, 7,FALSE), IFERROR(VLOOKUP(A651,'Telstra ExDa'!$B$2:$K$310, 2,FALSE), IFERROR(VLOOKUP(A651,'Vocus RVC ExDa'!$C$2:$R$155, 3,FALSE), IFERROR(VLOOKUP(A651,'Fusion ExDa'!$B$2:$D$16, 2,FALSE), IFERROR(VLOOKUP(A651,'Exetel ExDa'!$C$2:$N$14, 2,FALSE), IFERROR(VLOOKUP(A651,'Infinet ExDa'!$B$2:$E$14, 2,FALSE), "Not Found"))))))))</f>
        <v>Not Found</v>
      </c>
      <c r="D651" t="str">
        <f>IFERROR(VLOOKUP($A651,'AAPT ExDa'!$B$2:$U$99, 15,FALSE), IFERROR(VLOOKUP($A651,'ABB ExDa'!$A$2:$N$184, 4,FALSE), IFERROR(VLOOKUP($A651,'Vocus SIT ExDa'!$B$2:$J$173, 5,FALSE), IFERROR(VLOOKUP($A651,'Telstra ExDa'!$B$2:$K$310, 8,FALSE), IFERROR(VLOOKUP($A651,'Vocus RVC ExDa'!$C$2:$R$155, 6,FALSE), IFERROR(VLOOKUP($A651,'Fusion ExDa'!$B$2:$D$16, 4,FALSE), IFERROR(VLOOKUP($A651,'Exetel ExDa'!$C$2:$N$14, 3,FALSE), IFERROR(VLOOKUP($A651,'Infinet ExDa'!$B$2:$E$14, 3,FALSE), "Not Found"))))))))</f>
        <v>Not Found</v>
      </c>
      <c r="E651" t="str">
        <f>IFERROR(VLOOKUP($A651,'AAPT ExDa'!$B$2:$U$99, 3,FALSE), IFERROR(VLOOKUP($A651,'ABB ExDa'!$A$2:$N$184, 5,FALSE), IFERROR(VLOOKUP($A651,'Vocus SIT ExDa'!$B$2:$J$173, 2,FALSE), IFERROR(VLOOKUP($A651,'Telstra ExDa'!$B$2:$K$310, 4,FALSE), IFERROR(VLOOKUP($A651,'Vocus RVC ExDa'!$C$2:$R$155, 8,FALSE), IFERROR(VLOOKUP($A651,'Fusion ExDa'!$B$2:$D$16, 4,FALSE), IFERROR(VLOOKUP($A651,'Exetel ExDa'!$C$2:$N$14, 5,FALSE), IFERROR(VLOOKUP($A651,'Infinet ExDa'!$B$2:$E$14, 3,FALSE), "Not Found"))))))))</f>
        <v>Not Found</v>
      </c>
      <c r="F651" t="str">
        <f>IFERROR(VLOOKUP($A651,'AAPT ExDa'!$B$2:$U$99, 4,FALSE), IFERROR(VLOOKUP($A651,'ABB ExDa'!$A$2:$N$184, 6,FALSE), IFERROR(VLOOKUP($A651,'Vocus SIT ExDa'!$B$2:$J$173, 3,FALSE), IFERROR(VLOOKUP($A651,'Telstra ExDa'!$B$2:$K$310, 5,FALSE), IFERROR(VLOOKUP($A651,'Vocus RVC ExDa'!$C$2:$R$155, 9,FALSE), IFERROR(VLOOKUP($A651,'Fusion ExDa'!$B$2:$D$16, 0,FALSE), IFERROR(VLOOKUP($A651,'Exetel ExDa'!$C$2:$N$14, 6,FALSE), IFERROR(VLOOKUP($A651,'Infinet ExDa'!$B$2:$E$14, 0,FALSE), "Not Found"))))))))</f>
        <v>Not Found</v>
      </c>
      <c r="G651" t="str">
        <f>IFERROR(VLOOKUP($A651,'AAPT ExDa'!$B$2:$U$99, 5,FALSE), IFERROR(VLOOKUP($A651,'ABB ExDa'!$A$2:$N$184, 8,FALSE), IFERROR(VLOOKUP($A651,'Vocus SIT ExDa'!$B$2:$J$173, 6,FALSE), IFERROR(VLOOKUP($A651,'Telstra ExDa'!$B$2:$K$310, 0,FALSE), IFERROR(VLOOKUP($A651,'Vocus RVC ExDa'!$C$2:$R$155, 15,FALSE), IFERROR(VLOOKUP($A651,'Fusion ExDa'!$B$2:$D$16, 0,FALSE), IFERROR(VLOOKUP($A651,'Exetel ExDa'!$C$2:$N$14, 7,FALSE), IFERROR(VLOOKUP($A651,'Infinet ExDa'!$B$2:$E$14, 0,FALSE), "Not Found"))))))))</f>
        <v>Not Found</v>
      </c>
      <c r="H651" t="str">
        <f>IFERROR(VLOOKUP($A651,'AAPT ExDa'!$B$2:$U$99, 6,FALSE), IFERROR(VLOOKUP($A651,'ABB ExDa'!$A$2:$N$184, 0,FALSE), IFERROR(VLOOKUP($A651,'Vocus SIT ExDa'!$B$2:$J$173, 0,FALSE), IFERROR(VLOOKUP($A651,'Telstra ExDa'!$B$2:$K$310, 0,FALSE), IFERROR(VLOOKUP($A651,'Vocus RVC ExDa'!$C$2:$R$155, 16,FALSE), IFERROR(VLOOKUP($A651,'Fusion ExDa'!$B$2:$D$16, 0,FALSE), IFERROR(VLOOKUP($A651,'Exetel ExDa'!$C$2:$N$14, 0,FALSE), IFERROR(VLOOKUP($A651,'Infinet ExDa'!$B$2:$E$14, 0,FALSE), "Not Found"))))))))</f>
        <v>Not Found</v>
      </c>
      <c r="I651" t="str">
        <f>IFERROR(VLOOKUP($A651,'AAPT ExDa'!$B$2:$U$99, 0,FALSE), IFERROR(VLOOKUP($A651,'ABB ExDa'!$A$2:$N$184, 0,FALSE), IFERROR(VLOOKUP($A651,'Vocus SIT ExDa'!$B$2:$J$173, 0,FALSE), IFERROR(VLOOKUP($A651,'Telstra ExDa'!$B$2:$K$310, 0,FALSE), IFERROR(VLOOKUP($A651,'Vocus RVC ExDa'!$C$2:$R$155, 0,FALSE), IFERROR(VLOOKUP($A651,'Fusion ExDa'!$B$2:$D$16, 0,FALSE), IFERROR(VLOOKUP($A651,'Exetel ExDa'!$C$2:$N$14, 8,FALSE), IFERROR(VLOOKUP($A651,'Infinet ExDa'!$B$2:$E$14, 0,FALSE), "Not Found"))))))))</f>
        <v>Not Found</v>
      </c>
      <c r="J651" t="str">
        <f>IFERROR(VLOOKUP($A651,'AAPT ExDa'!$B$2:$U$99, 7,FALSE), IFERROR(VLOOKUP($A651,'ABB ExDa'!$A$2:$N$184, 2,FALSE), IFERROR(VLOOKUP($A651,'Vocus SIT ExDa'!$B$2:$J$173, 0,FALSE), IFERROR(VLOOKUP($A651,'Telstra ExDa'!$B$2:$K$310, 7,FALSE), IFERROR(VLOOKUP($A651,'Vocus RVC ExDa'!$C$2:$R$155, 2,FALSE), IFERROR(VLOOKUP($A651,'Fusion ExDa'!$B$2:$D$16, 3,FALSE), IFERROR(VLOOKUP($A651,'Exetel ExDa'!$C$2:$N$14, 0,FALSE), IFERROR(VLOOKUP($A651,'Infinet ExDa'!$B$2:$E$14, 0,FALSE), "Not Found"))))))))</f>
        <v>Not Found</v>
      </c>
      <c r="K651" t="str">
        <f>IFERROR(VLOOKUP($A651,'AAPT ExDa'!$B$2:$U$99, 12,FALSE), IFERROR(VLOOKUP($A651,'ABB ExDa'!$A$2:$N$184, 0,FALSE), IFERROR(VLOOKUP($A651,'Vocus SIT ExDa'!$B$2:$J$173, 0,FALSE), IFERROR(VLOOKUP($A651,'Telstra ExDa'!$B$2:$K$310, 0,FALSE), IFERROR(VLOOKUP($A651,'Vocus RVC ExDa'!$C$2:$R$155, 0,FALSE), IFERROR(VLOOKUP($A651,'Fusion ExDa'!$B$2:$D$16, 0,FALSE), IFERROR(VLOOKUP($A651,'Exetel ExDa'!$C$2:$N$14, 12,FALSE), IFERROR(VLOOKUP($A651,'Infinet ExDa'!$B$2:$E$14, 0,FALSE), "Not Found"))))))))</f>
        <v>Not Found</v>
      </c>
      <c r="L651" s="235" t="str">
        <f>IFERROR(VLOOKUP($A651,'AAPT ExDa'!$B$2:$U$99, 11,FALSE), IFERROR(VLOOKUP($A651,'ABB ExDa'!$A$2:$N$184, 9,FALSE), IFERROR(VLOOKUP($A651,'Vocus SIT ExDa'!$B$2:$J$173, 8,FALSE), IFERROR(VLOOKUP($A651,'Telstra ExDa'!$B$2:$K$310, 0,FALSE), IFERROR(VLOOKUP($A651,'Vocus RVC ExDa'!$C$2:$R$155, 0,FALSE), IFERROR(VLOOKUP($A651,'Fusion ExDa'!$B$2:$D$16, 0,FALSE), IFERROR(VLOOKUP($A651,'Exetel ExDa'!$C$2:$N$14, 9,FALSE), IFERROR(VLOOKUP($A651,'Infinet ExDa'!$B$2:$E$14, 0,FALSE), "Not Found"))))))))</f>
        <v>Not Found</v>
      </c>
      <c r="M651" s="234" t="str">
        <f>IFERROR(VLOOKUP($A651,'AAPT ExDa'!$B$2:$U$99, 0,FALSE), IFERROR(VLOOKUP($A651,'ABB ExDa'!$A$2:$N$184, 0,FALSE), IFERROR(VLOOKUP($A651,'Vocus SIT ExDa'!$B$2:$J$173, 0,FALSE), IFERROR(VLOOKUP($A651,'Telstra ExDa'!$B$2:$K$310, 0,FALSE), IFERROR(VLOOKUP($A651,'Vocus RVC ExDa'!$C$2:$R$155, 0,FALSE), IFERROR(VLOOKUP($A651,'Fusion ExDa'!$B$2:$D$16, 0,FALSE), IFERROR(VLOOKUP($A651,'Exetel ExDa'!$C$2:$N$14, 11,FALSE), IFERROR(VLOOKUP($A651,'Infinet ExDa'!$B$2:$E$14, 0,FALSE), "Not Found"))))))))</f>
        <v>Not Found</v>
      </c>
      <c r="N651" t="str">
        <f>IFERROR(VLOOKUP($A651,'AAPT ExDa'!$B$2:$U$99, 0,FALSE), IFERROR(VLOOKUP($A651,'ABB ExDa'!$A$2:$N$184, 13,FALSE), IFERROR(VLOOKUP($A651,'Vocus SIT ExDa'!$B$2:$J$173, 0,FALSE), IFERROR(VLOOKUP($A651,'Telstra ExDa'!$B$2:$K$310, 0,FALSE), IFERROR(VLOOKUP($A651,'Vocus RVC ExDa'!$C$2:$R$155, 0,FALSE), IFERROR(VLOOKUP($A651,'Fusion ExDa'!$B$2:$D$16, 0,FALSE), IFERROR(VLOOKUP($A651,'Exetel ExDa'!$C$2:$N$14, 0,FALSE), IFERROR(VLOOKUP($A651,'Infinet ExDa'!$B$2:$E$14, 0,FALSE), "Not Found"))))))))</f>
        <v>Not Found</v>
      </c>
    </row>
    <row r="652" spans="1:14">
      <c r="A652">
        <v>0</v>
      </c>
      <c r="B652" t="str">
        <f>IFERROR(VLOOKUP(A652,'Exetel ExDa'!$C$2:$N$14,4,FALSE),"No Data")</f>
        <v>No Data</v>
      </c>
      <c r="C652" t="str">
        <f>IFERROR(VLOOKUP(A652,'AAPT ExDa'!$B$2:$U$99, 2,FALSE), IFERROR(VLOOKUP(A652,'ABB ExDa'!$A$2:$N$184, 2,FALSE), IFERROR(VLOOKUP(A652,'Vocus SIT ExDa'!$B$2:$J$173, 7,FALSE), IFERROR(VLOOKUP(A652,'Telstra ExDa'!$B$2:$K$310, 2,FALSE), IFERROR(VLOOKUP(A652,'Vocus RVC ExDa'!$C$2:$R$155, 3,FALSE), IFERROR(VLOOKUP(A652,'Fusion ExDa'!$B$2:$D$16, 2,FALSE), IFERROR(VLOOKUP(A652,'Exetel ExDa'!$C$2:$N$14, 2,FALSE), IFERROR(VLOOKUP(A652,'Infinet ExDa'!$B$2:$E$14, 2,FALSE), "Not Found"))))))))</f>
        <v>Not Found</v>
      </c>
      <c r="D652" t="str">
        <f>IFERROR(VLOOKUP($A652,'AAPT ExDa'!$B$2:$U$99, 15,FALSE), IFERROR(VLOOKUP($A652,'ABB ExDa'!$A$2:$N$184, 4,FALSE), IFERROR(VLOOKUP($A652,'Vocus SIT ExDa'!$B$2:$J$173, 5,FALSE), IFERROR(VLOOKUP($A652,'Telstra ExDa'!$B$2:$K$310, 8,FALSE), IFERROR(VLOOKUP($A652,'Vocus RVC ExDa'!$C$2:$R$155, 6,FALSE), IFERROR(VLOOKUP($A652,'Fusion ExDa'!$B$2:$D$16, 4,FALSE), IFERROR(VLOOKUP($A652,'Exetel ExDa'!$C$2:$N$14, 3,FALSE), IFERROR(VLOOKUP($A652,'Infinet ExDa'!$B$2:$E$14, 3,FALSE), "Not Found"))))))))</f>
        <v>Not Found</v>
      </c>
      <c r="E652" t="str">
        <f>IFERROR(VLOOKUP($A652,'AAPT ExDa'!$B$2:$U$99, 3,FALSE), IFERROR(VLOOKUP($A652,'ABB ExDa'!$A$2:$N$184, 5,FALSE), IFERROR(VLOOKUP($A652,'Vocus SIT ExDa'!$B$2:$J$173, 2,FALSE), IFERROR(VLOOKUP($A652,'Telstra ExDa'!$B$2:$K$310, 4,FALSE), IFERROR(VLOOKUP($A652,'Vocus RVC ExDa'!$C$2:$R$155, 8,FALSE), IFERROR(VLOOKUP($A652,'Fusion ExDa'!$B$2:$D$16, 4,FALSE), IFERROR(VLOOKUP($A652,'Exetel ExDa'!$C$2:$N$14, 5,FALSE), IFERROR(VLOOKUP($A652,'Infinet ExDa'!$B$2:$E$14, 3,FALSE), "Not Found"))))))))</f>
        <v>Not Found</v>
      </c>
      <c r="F652" t="str">
        <f>IFERROR(VLOOKUP($A652,'AAPT ExDa'!$B$2:$U$99, 4,FALSE), IFERROR(VLOOKUP($A652,'ABB ExDa'!$A$2:$N$184, 6,FALSE), IFERROR(VLOOKUP($A652,'Vocus SIT ExDa'!$B$2:$J$173, 3,FALSE), IFERROR(VLOOKUP($A652,'Telstra ExDa'!$B$2:$K$310, 5,FALSE), IFERROR(VLOOKUP($A652,'Vocus RVC ExDa'!$C$2:$R$155, 9,FALSE), IFERROR(VLOOKUP($A652,'Fusion ExDa'!$B$2:$D$16, 0,FALSE), IFERROR(VLOOKUP($A652,'Exetel ExDa'!$C$2:$N$14, 6,FALSE), IFERROR(VLOOKUP($A652,'Infinet ExDa'!$B$2:$E$14, 0,FALSE), "Not Found"))))))))</f>
        <v>Not Found</v>
      </c>
      <c r="G652" t="str">
        <f>IFERROR(VLOOKUP($A652,'AAPT ExDa'!$B$2:$U$99, 5,FALSE), IFERROR(VLOOKUP($A652,'ABB ExDa'!$A$2:$N$184, 8,FALSE), IFERROR(VLOOKUP($A652,'Vocus SIT ExDa'!$B$2:$J$173, 6,FALSE), IFERROR(VLOOKUP($A652,'Telstra ExDa'!$B$2:$K$310, 0,FALSE), IFERROR(VLOOKUP($A652,'Vocus RVC ExDa'!$C$2:$R$155, 15,FALSE), IFERROR(VLOOKUP($A652,'Fusion ExDa'!$B$2:$D$16, 0,FALSE), IFERROR(VLOOKUP($A652,'Exetel ExDa'!$C$2:$N$14, 7,FALSE), IFERROR(VLOOKUP($A652,'Infinet ExDa'!$B$2:$E$14, 0,FALSE), "Not Found"))))))))</f>
        <v>Not Found</v>
      </c>
      <c r="H652" t="str">
        <f>IFERROR(VLOOKUP($A652,'AAPT ExDa'!$B$2:$U$99, 6,FALSE), IFERROR(VLOOKUP($A652,'ABB ExDa'!$A$2:$N$184, 0,FALSE), IFERROR(VLOOKUP($A652,'Vocus SIT ExDa'!$B$2:$J$173, 0,FALSE), IFERROR(VLOOKUP($A652,'Telstra ExDa'!$B$2:$K$310, 0,FALSE), IFERROR(VLOOKUP($A652,'Vocus RVC ExDa'!$C$2:$R$155, 16,FALSE), IFERROR(VLOOKUP($A652,'Fusion ExDa'!$B$2:$D$16, 0,FALSE), IFERROR(VLOOKUP($A652,'Exetel ExDa'!$C$2:$N$14, 0,FALSE), IFERROR(VLOOKUP($A652,'Infinet ExDa'!$B$2:$E$14, 0,FALSE), "Not Found"))))))))</f>
        <v>Not Found</v>
      </c>
      <c r="I652" t="str">
        <f>IFERROR(VLOOKUP($A652,'AAPT ExDa'!$B$2:$U$99, 0,FALSE), IFERROR(VLOOKUP($A652,'ABB ExDa'!$A$2:$N$184, 0,FALSE), IFERROR(VLOOKUP($A652,'Vocus SIT ExDa'!$B$2:$J$173, 0,FALSE), IFERROR(VLOOKUP($A652,'Telstra ExDa'!$B$2:$K$310, 0,FALSE), IFERROR(VLOOKUP($A652,'Vocus RVC ExDa'!$C$2:$R$155, 0,FALSE), IFERROR(VLOOKUP($A652,'Fusion ExDa'!$B$2:$D$16, 0,FALSE), IFERROR(VLOOKUP($A652,'Exetel ExDa'!$C$2:$N$14, 8,FALSE), IFERROR(VLOOKUP($A652,'Infinet ExDa'!$B$2:$E$14, 0,FALSE), "Not Found"))))))))</f>
        <v>Not Found</v>
      </c>
      <c r="J652" t="str">
        <f>IFERROR(VLOOKUP($A652,'AAPT ExDa'!$B$2:$U$99, 7,FALSE), IFERROR(VLOOKUP($A652,'ABB ExDa'!$A$2:$N$184, 2,FALSE), IFERROR(VLOOKUP($A652,'Vocus SIT ExDa'!$B$2:$J$173, 0,FALSE), IFERROR(VLOOKUP($A652,'Telstra ExDa'!$B$2:$K$310, 7,FALSE), IFERROR(VLOOKUP($A652,'Vocus RVC ExDa'!$C$2:$R$155, 2,FALSE), IFERROR(VLOOKUP($A652,'Fusion ExDa'!$B$2:$D$16, 3,FALSE), IFERROR(VLOOKUP($A652,'Exetel ExDa'!$C$2:$N$14, 0,FALSE), IFERROR(VLOOKUP($A652,'Infinet ExDa'!$B$2:$E$14, 0,FALSE), "Not Found"))))))))</f>
        <v>Not Found</v>
      </c>
      <c r="K652" t="str">
        <f>IFERROR(VLOOKUP($A652,'AAPT ExDa'!$B$2:$U$99, 12,FALSE), IFERROR(VLOOKUP($A652,'ABB ExDa'!$A$2:$N$184, 0,FALSE), IFERROR(VLOOKUP($A652,'Vocus SIT ExDa'!$B$2:$J$173, 0,FALSE), IFERROR(VLOOKUP($A652,'Telstra ExDa'!$B$2:$K$310, 0,FALSE), IFERROR(VLOOKUP($A652,'Vocus RVC ExDa'!$C$2:$R$155, 0,FALSE), IFERROR(VLOOKUP($A652,'Fusion ExDa'!$B$2:$D$16, 0,FALSE), IFERROR(VLOOKUP($A652,'Exetel ExDa'!$C$2:$N$14, 12,FALSE), IFERROR(VLOOKUP($A652,'Infinet ExDa'!$B$2:$E$14, 0,FALSE), "Not Found"))))))))</f>
        <v>Not Found</v>
      </c>
      <c r="L652" s="235" t="str">
        <f>IFERROR(VLOOKUP($A652,'AAPT ExDa'!$B$2:$U$99, 11,FALSE), IFERROR(VLOOKUP($A652,'ABB ExDa'!$A$2:$N$184, 9,FALSE), IFERROR(VLOOKUP($A652,'Vocus SIT ExDa'!$B$2:$J$173, 8,FALSE), IFERROR(VLOOKUP($A652,'Telstra ExDa'!$B$2:$K$310, 0,FALSE), IFERROR(VLOOKUP($A652,'Vocus RVC ExDa'!$C$2:$R$155, 0,FALSE), IFERROR(VLOOKUP($A652,'Fusion ExDa'!$B$2:$D$16, 0,FALSE), IFERROR(VLOOKUP($A652,'Exetel ExDa'!$C$2:$N$14, 9,FALSE), IFERROR(VLOOKUP($A652,'Infinet ExDa'!$B$2:$E$14, 0,FALSE), "Not Found"))))))))</f>
        <v>Not Found</v>
      </c>
      <c r="M652" s="234" t="str">
        <f>IFERROR(VLOOKUP($A652,'AAPT ExDa'!$B$2:$U$99, 0,FALSE), IFERROR(VLOOKUP($A652,'ABB ExDa'!$A$2:$N$184, 0,FALSE), IFERROR(VLOOKUP($A652,'Vocus SIT ExDa'!$B$2:$J$173, 0,FALSE), IFERROR(VLOOKUP($A652,'Telstra ExDa'!$B$2:$K$310, 0,FALSE), IFERROR(VLOOKUP($A652,'Vocus RVC ExDa'!$C$2:$R$155, 0,FALSE), IFERROR(VLOOKUP($A652,'Fusion ExDa'!$B$2:$D$16, 0,FALSE), IFERROR(VLOOKUP($A652,'Exetel ExDa'!$C$2:$N$14, 11,FALSE), IFERROR(VLOOKUP($A652,'Infinet ExDa'!$B$2:$E$14, 0,FALSE), "Not Found"))))))))</f>
        <v>Not Found</v>
      </c>
      <c r="N652" t="str">
        <f>IFERROR(VLOOKUP($A652,'AAPT ExDa'!$B$2:$U$99, 0,FALSE), IFERROR(VLOOKUP($A652,'ABB ExDa'!$A$2:$N$184, 13,FALSE), IFERROR(VLOOKUP($A652,'Vocus SIT ExDa'!$B$2:$J$173, 0,FALSE), IFERROR(VLOOKUP($A652,'Telstra ExDa'!$B$2:$K$310, 0,FALSE), IFERROR(VLOOKUP($A652,'Vocus RVC ExDa'!$C$2:$R$155, 0,FALSE), IFERROR(VLOOKUP($A652,'Fusion ExDa'!$B$2:$D$16, 0,FALSE), IFERROR(VLOOKUP($A652,'Exetel ExDa'!$C$2:$N$14, 0,FALSE), IFERROR(VLOOKUP($A652,'Infinet ExDa'!$B$2:$E$14, 0,FALSE), "Not Found"))))))))</f>
        <v>Not Found</v>
      </c>
    </row>
    <row r="653" spans="1:14">
      <c r="A653">
        <v>0</v>
      </c>
      <c r="B653" t="str">
        <f>IFERROR(VLOOKUP(A653,'Exetel ExDa'!$C$2:$N$14,4,FALSE),"No Data")</f>
        <v>No Data</v>
      </c>
      <c r="C653" t="str">
        <f>IFERROR(VLOOKUP(A653,'AAPT ExDa'!$B$2:$U$99, 2,FALSE), IFERROR(VLOOKUP(A653,'ABB ExDa'!$A$2:$N$184, 2,FALSE), IFERROR(VLOOKUP(A653,'Vocus SIT ExDa'!$B$2:$J$173, 7,FALSE), IFERROR(VLOOKUP(A653,'Telstra ExDa'!$B$2:$K$310, 2,FALSE), IFERROR(VLOOKUP(A653,'Vocus RVC ExDa'!$C$2:$R$155, 3,FALSE), IFERROR(VLOOKUP(A653,'Fusion ExDa'!$B$2:$D$16, 2,FALSE), IFERROR(VLOOKUP(A653,'Exetel ExDa'!$C$2:$N$14, 2,FALSE), IFERROR(VLOOKUP(A653,'Infinet ExDa'!$B$2:$E$14, 2,FALSE), "Not Found"))))))))</f>
        <v>Not Found</v>
      </c>
      <c r="D653" t="str">
        <f>IFERROR(VLOOKUP($A653,'AAPT ExDa'!$B$2:$U$99, 15,FALSE), IFERROR(VLOOKUP($A653,'ABB ExDa'!$A$2:$N$184, 4,FALSE), IFERROR(VLOOKUP($A653,'Vocus SIT ExDa'!$B$2:$J$173, 5,FALSE), IFERROR(VLOOKUP($A653,'Telstra ExDa'!$B$2:$K$310, 8,FALSE), IFERROR(VLOOKUP($A653,'Vocus RVC ExDa'!$C$2:$R$155, 6,FALSE), IFERROR(VLOOKUP($A653,'Fusion ExDa'!$B$2:$D$16, 4,FALSE), IFERROR(VLOOKUP($A653,'Exetel ExDa'!$C$2:$N$14, 3,FALSE), IFERROR(VLOOKUP($A653,'Infinet ExDa'!$B$2:$E$14, 3,FALSE), "Not Found"))))))))</f>
        <v>Not Found</v>
      </c>
      <c r="E653" t="str">
        <f>IFERROR(VLOOKUP($A653,'AAPT ExDa'!$B$2:$U$99, 3,FALSE), IFERROR(VLOOKUP($A653,'ABB ExDa'!$A$2:$N$184, 5,FALSE), IFERROR(VLOOKUP($A653,'Vocus SIT ExDa'!$B$2:$J$173, 2,FALSE), IFERROR(VLOOKUP($A653,'Telstra ExDa'!$B$2:$K$310, 4,FALSE), IFERROR(VLOOKUP($A653,'Vocus RVC ExDa'!$C$2:$R$155, 8,FALSE), IFERROR(VLOOKUP($A653,'Fusion ExDa'!$B$2:$D$16, 4,FALSE), IFERROR(VLOOKUP($A653,'Exetel ExDa'!$C$2:$N$14, 5,FALSE), IFERROR(VLOOKUP($A653,'Infinet ExDa'!$B$2:$E$14, 3,FALSE), "Not Found"))))))))</f>
        <v>Not Found</v>
      </c>
      <c r="F653" t="str">
        <f>IFERROR(VLOOKUP($A653,'AAPT ExDa'!$B$2:$U$99, 4,FALSE), IFERROR(VLOOKUP($A653,'ABB ExDa'!$A$2:$N$184, 6,FALSE), IFERROR(VLOOKUP($A653,'Vocus SIT ExDa'!$B$2:$J$173, 3,FALSE), IFERROR(VLOOKUP($A653,'Telstra ExDa'!$B$2:$K$310, 5,FALSE), IFERROR(VLOOKUP($A653,'Vocus RVC ExDa'!$C$2:$R$155, 9,FALSE), IFERROR(VLOOKUP($A653,'Fusion ExDa'!$B$2:$D$16, 0,FALSE), IFERROR(VLOOKUP($A653,'Exetel ExDa'!$C$2:$N$14, 6,FALSE), IFERROR(VLOOKUP($A653,'Infinet ExDa'!$B$2:$E$14, 0,FALSE), "Not Found"))))))))</f>
        <v>Not Found</v>
      </c>
      <c r="G653" t="str">
        <f>IFERROR(VLOOKUP($A653,'AAPT ExDa'!$B$2:$U$99, 5,FALSE), IFERROR(VLOOKUP($A653,'ABB ExDa'!$A$2:$N$184, 8,FALSE), IFERROR(VLOOKUP($A653,'Vocus SIT ExDa'!$B$2:$J$173, 6,FALSE), IFERROR(VLOOKUP($A653,'Telstra ExDa'!$B$2:$K$310, 0,FALSE), IFERROR(VLOOKUP($A653,'Vocus RVC ExDa'!$C$2:$R$155, 15,FALSE), IFERROR(VLOOKUP($A653,'Fusion ExDa'!$B$2:$D$16, 0,FALSE), IFERROR(VLOOKUP($A653,'Exetel ExDa'!$C$2:$N$14, 7,FALSE), IFERROR(VLOOKUP($A653,'Infinet ExDa'!$B$2:$E$14, 0,FALSE), "Not Found"))))))))</f>
        <v>Not Found</v>
      </c>
      <c r="H653" t="str">
        <f>IFERROR(VLOOKUP($A653,'AAPT ExDa'!$B$2:$U$99, 6,FALSE), IFERROR(VLOOKUP($A653,'ABB ExDa'!$A$2:$N$184, 0,FALSE), IFERROR(VLOOKUP($A653,'Vocus SIT ExDa'!$B$2:$J$173, 0,FALSE), IFERROR(VLOOKUP($A653,'Telstra ExDa'!$B$2:$K$310, 0,FALSE), IFERROR(VLOOKUP($A653,'Vocus RVC ExDa'!$C$2:$R$155, 16,FALSE), IFERROR(VLOOKUP($A653,'Fusion ExDa'!$B$2:$D$16, 0,FALSE), IFERROR(VLOOKUP($A653,'Exetel ExDa'!$C$2:$N$14, 0,FALSE), IFERROR(VLOOKUP($A653,'Infinet ExDa'!$B$2:$E$14, 0,FALSE), "Not Found"))))))))</f>
        <v>Not Found</v>
      </c>
      <c r="I653" t="str">
        <f>IFERROR(VLOOKUP($A653,'AAPT ExDa'!$B$2:$U$99, 0,FALSE), IFERROR(VLOOKUP($A653,'ABB ExDa'!$A$2:$N$184, 0,FALSE), IFERROR(VLOOKUP($A653,'Vocus SIT ExDa'!$B$2:$J$173, 0,FALSE), IFERROR(VLOOKUP($A653,'Telstra ExDa'!$B$2:$K$310, 0,FALSE), IFERROR(VLOOKUP($A653,'Vocus RVC ExDa'!$C$2:$R$155, 0,FALSE), IFERROR(VLOOKUP($A653,'Fusion ExDa'!$B$2:$D$16, 0,FALSE), IFERROR(VLOOKUP($A653,'Exetel ExDa'!$C$2:$N$14, 8,FALSE), IFERROR(VLOOKUP($A653,'Infinet ExDa'!$B$2:$E$14, 0,FALSE), "Not Found"))))))))</f>
        <v>Not Found</v>
      </c>
      <c r="J653" t="str">
        <f>IFERROR(VLOOKUP($A653,'AAPT ExDa'!$B$2:$U$99, 7,FALSE), IFERROR(VLOOKUP($A653,'ABB ExDa'!$A$2:$N$184, 2,FALSE), IFERROR(VLOOKUP($A653,'Vocus SIT ExDa'!$B$2:$J$173, 0,FALSE), IFERROR(VLOOKUP($A653,'Telstra ExDa'!$B$2:$K$310, 7,FALSE), IFERROR(VLOOKUP($A653,'Vocus RVC ExDa'!$C$2:$R$155, 2,FALSE), IFERROR(VLOOKUP($A653,'Fusion ExDa'!$B$2:$D$16, 3,FALSE), IFERROR(VLOOKUP($A653,'Exetel ExDa'!$C$2:$N$14, 0,FALSE), IFERROR(VLOOKUP($A653,'Infinet ExDa'!$B$2:$E$14, 0,FALSE), "Not Found"))))))))</f>
        <v>Not Found</v>
      </c>
      <c r="K653" t="str">
        <f>IFERROR(VLOOKUP($A653,'AAPT ExDa'!$B$2:$U$99, 12,FALSE), IFERROR(VLOOKUP($A653,'ABB ExDa'!$A$2:$N$184, 0,FALSE), IFERROR(VLOOKUP($A653,'Vocus SIT ExDa'!$B$2:$J$173, 0,FALSE), IFERROR(VLOOKUP($A653,'Telstra ExDa'!$B$2:$K$310, 0,FALSE), IFERROR(VLOOKUP($A653,'Vocus RVC ExDa'!$C$2:$R$155, 0,FALSE), IFERROR(VLOOKUP($A653,'Fusion ExDa'!$B$2:$D$16, 0,FALSE), IFERROR(VLOOKUP($A653,'Exetel ExDa'!$C$2:$N$14, 12,FALSE), IFERROR(VLOOKUP($A653,'Infinet ExDa'!$B$2:$E$14, 0,FALSE), "Not Found"))))))))</f>
        <v>Not Found</v>
      </c>
      <c r="L653" s="235" t="str">
        <f>IFERROR(VLOOKUP($A653,'AAPT ExDa'!$B$2:$U$99, 11,FALSE), IFERROR(VLOOKUP($A653,'ABB ExDa'!$A$2:$N$184, 9,FALSE), IFERROR(VLOOKUP($A653,'Vocus SIT ExDa'!$B$2:$J$173, 8,FALSE), IFERROR(VLOOKUP($A653,'Telstra ExDa'!$B$2:$K$310, 0,FALSE), IFERROR(VLOOKUP($A653,'Vocus RVC ExDa'!$C$2:$R$155, 0,FALSE), IFERROR(VLOOKUP($A653,'Fusion ExDa'!$B$2:$D$16, 0,FALSE), IFERROR(VLOOKUP($A653,'Exetel ExDa'!$C$2:$N$14, 9,FALSE), IFERROR(VLOOKUP($A653,'Infinet ExDa'!$B$2:$E$14, 0,FALSE), "Not Found"))))))))</f>
        <v>Not Found</v>
      </c>
      <c r="M653" s="234" t="str">
        <f>IFERROR(VLOOKUP($A653,'AAPT ExDa'!$B$2:$U$99, 0,FALSE), IFERROR(VLOOKUP($A653,'ABB ExDa'!$A$2:$N$184, 0,FALSE), IFERROR(VLOOKUP($A653,'Vocus SIT ExDa'!$B$2:$J$173, 0,FALSE), IFERROR(VLOOKUP($A653,'Telstra ExDa'!$B$2:$K$310, 0,FALSE), IFERROR(VLOOKUP($A653,'Vocus RVC ExDa'!$C$2:$R$155, 0,FALSE), IFERROR(VLOOKUP($A653,'Fusion ExDa'!$B$2:$D$16, 0,FALSE), IFERROR(VLOOKUP($A653,'Exetel ExDa'!$C$2:$N$14, 11,FALSE), IFERROR(VLOOKUP($A653,'Infinet ExDa'!$B$2:$E$14, 0,FALSE), "Not Found"))))))))</f>
        <v>Not Found</v>
      </c>
      <c r="N653" t="str">
        <f>IFERROR(VLOOKUP($A653,'AAPT ExDa'!$B$2:$U$99, 0,FALSE), IFERROR(VLOOKUP($A653,'ABB ExDa'!$A$2:$N$184, 13,FALSE), IFERROR(VLOOKUP($A653,'Vocus SIT ExDa'!$B$2:$J$173, 0,FALSE), IFERROR(VLOOKUP($A653,'Telstra ExDa'!$B$2:$K$310, 0,FALSE), IFERROR(VLOOKUP($A653,'Vocus RVC ExDa'!$C$2:$R$155, 0,FALSE), IFERROR(VLOOKUP($A653,'Fusion ExDa'!$B$2:$D$16, 0,FALSE), IFERROR(VLOOKUP($A653,'Exetel ExDa'!$C$2:$N$14, 0,FALSE), IFERROR(VLOOKUP($A653,'Infinet ExDa'!$B$2:$E$14, 0,FALSE), "Not Found"))))))))</f>
        <v>Not Found</v>
      </c>
    </row>
    <row r="654" spans="1:14">
      <c r="A654">
        <v>0</v>
      </c>
      <c r="B654" t="str">
        <f>IFERROR(VLOOKUP(A654,'Exetel ExDa'!$C$2:$N$14,4,FALSE),"No Data")</f>
        <v>No Data</v>
      </c>
      <c r="C654" t="str">
        <f>IFERROR(VLOOKUP(A654,'AAPT ExDa'!$B$2:$U$99, 2,FALSE), IFERROR(VLOOKUP(A654,'ABB ExDa'!$A$2:$N$184, 2,FALSE), IFERROR(VLOOKUP(A654,'Vocus SIT ExDa'!$B$2:$J$173, 7,FALSE), IFERROR(VLOOKUP(A654,'Telstra ExDa'!$B$2:$K$310, 2,FALSE), IFERROR(VLOOKUP(A654,'Vocus RVC ExDa'!$C$2:$R$155, 3,FALSE), IFERROR(VLOOKUP(A654,'Fusion ExDa'!$B$2:$D$16, 2,FALSE), IFERROR(VLOOKUP(A654,'Exetel ExDa'!$C$2:$N$14, 2,FALSE), IFERROR(VLOOKUP(A654,'Infinet ExDa'!$B$2:$E$14, 2,FALSE), "Not Found"))))))))</f>
        <v>Not Found</v>
      </c>
      <c r="D654" t="str">
        <f>IFERROR(VLOOKUP($A654,'AAPT ExDa'!$B$2:$U$99, 15,FALSE), IFERROR(VLOOKUP($A654,'ABB ExDa'!$A$2:$N$184, 4,FALSE), IFERROR(VLOOKUP($A654,'Vocus SIT ExDa'!$B$2:$J$173, 5,FALSE), IFERROR(VLOOKUP($A654,'Telstra ExDa'!$B$2:$K$310, 8,FALSE), IFERROR(VLOOKUP($A654,'Vocus RVC ExDa'!$C$2:$R$155, 6,FALSE), IFERROR(VLOOKUP($A654,'Fusion ExDa'!$B$2:$D$16, 4,FALSE), IFERROR(VLOOKUP($A654,'Exetel ExDa'!$C$2:$N$14, 3,FALSE), IFERROR(VLOOKUP($A654,'Infinet ExDa'!$B$2:$E$14, 3,FALSE), "Not Found"))))))))</f>
        <v>Not Found</v>
      </c>
      <c r="E654" t="str">
        <f>IFERROR(VLOOKUP($A654,'AAPT ExDa'!$B$2:$U$99, 3,FALSE), IFERROR(VLOOKUP($A654,'ABB ExDa'!$A$2:$N$184, 5,FALSE), IFERROR(VLOOKUP($A654,'Vocus SIT ExDa'!$B$2:$J$173, 2,FALSE), IFERROR(VLOOKUP($A654,'Telstra ExDa'!$B$2:$K$310, 4,FALSE), IFERROR(VLOOKUP($A654,'Vocus RVC ExDa'!$C$2:$R$155, 8,FALSE), IFERROR(VLOOKUP($A654,'Fusion ExDa'!$B$2:$D$16, 4,FALSE), IFERROR(VLOOKUP($A654,'Exetel ExDa'!$C$2:$N$14, 5,FALSE), IFERROR(VLOOKUP($A654,'Infinet ExDa'!$B$2:$E$14, 3,FALSE), "Not Found"))))))))</f>
        <v>Not Found</v>
      </c>
      <c r="F654" t="str">
        <f>IFERROR(VLOOKUP($A654,'AAPT ExDa'!$B$2:$U$99, 4,FALSE), IFERROR(VLOOKUP($A654,'ABB ExDa'!$A$2:$N$184, 6,FALSE), IFERROR(VLOOKUP($A654,'Vocus SIT ExDa'!$B$2:$J$173, 3,FALSE), IFERROR(VLOOKUP($A654,'Telstra ExDa'!$B$2:$K$310, 5,FALSE), IFERROR(VLOOKUP($A654,'Vocus RVC ExDa'!$C$2:$R$155, 9,FALSE), IFERROR(VLOOKUP($A654,'Fusion ExDa'!$B$2:$D$16, 0,FALSE), IFERROR(VLOOKUP($A654,'Exetel ExDa'!$C$2:$N$14, 6,FALSE), IFERROR(VLOOKUP($A654,'Infinet ExDa'!$B$2:$E$14, 0,FALSE), "Not Found"))))))))</f>
        <v>Not Found</v>
      </c>
      <c r="G654" t="str">
        <f>IFERROR(VLOOKUP($A654,'AAPT ExDa'!$B$2:$U$99, 5,FALSE), IFERROR(VLOOKUP($A654,'ABB ExDa'!$A$2:$N$184, 8,FALSE), IFERROR(VLOOKUP($A654,'Vocus SIT ExDa'!$B$2:$J$173, 6,FALSE), IFERROR(VLOOKUP($A654,'Telstra ExDa'!$B$2:$K$310, 0,FALSE), IFERROR(VLOOKUP($A654,'Vocus RVC ExDa'!$C$2:$R$155, 15,FALSE), IFERROR(VLOOKUP($A654,'Fusion ExDa'!$B$2:$D$16, 0,FALSE), IFERROR(VLOOKUP($A654,'Exetel ExDa'!$C$2:$N$14, 7,FALSE), IFERROR(VLOOKUP($A654,'Infinet ExDa'!$B$2:$E$14, 0,FALSE), "Not Found"))))))))</f>
        <v>Not Found</v>
      </c>
      <c r="H654" t="str">
        <f>IFERROR(VLOOKUP($A654,'AAPT ExDa'!$B$2:$U$99, 6,FALSE), IFERROR(VLOOKUP($A654,'ABB ExDa'!$A$2:$N$184, 0,FALSE), IFERROR(VLOOKUP($A654,'Vocus SIT ExDa'!$B$2:$J$173, 0,FALSE), IFERROR(VLOOKUP($A654,'Telstra ExDa'!$B$2:$K$310, 0,FALSE), IFERROR(VLOOKUP($A654,'Vocus RVC ExDa'!$C$2:$R$155, 16,FALSE), IFERROR(VLOOKUP($A654,'Fusion ExDa'!$B$2:$D$16, 0,FALSE), IFERROR(VLOOKUP($A654,'Exetel ExDa'!$C$2:$N$14, 0,FALSE), IFERROR(VLOOKUP($A654,'Infinet ExDa'!$B$2:$E$14, 0,FALSE), "Not Found"))))))))</f>
        <v>Not Found</v>
      </c>
      <c r="I654" t="str">
        <f>IFERROR(VLOOKUP($A654,'AAPT ExDa'!$B$2:$U$99, 0,FALSE), IFERROR(VLOOKUP($A654,'ABB ExDa'!$A$2:$N$184, 0,FALSE), IFERROR(VLOOKUP($A654,'Vocus SIT ExDa'!$B$2:$J$173, 0,FALSE), IFERROR(VLOOKUP($A654,'Telstra ExDa'!$B$2:$K$310, 0,FALSE), IFERROR(VLOOKUP($A654,'Vocus RVC ExDa'!$C$2:$R$155, 0,FALSE), IFERROR(VLOOKUP($A654,'Fusion ExDa'!$B$2:$D$16, 0,FALSE), IFERROR(VLOOKUP($A654,'Exetel ExDa'!$C$2:$N$14, 8,FALSE), IFERROR(VLOOKUP($A654,'Infinet ExDa'!$B$2:$E$14, 0,FALSE), "Not Found"))))))))</f>
        <v>Not Found</v>
      </c>
      <c r="J654" t="str">
        <f>IFERROR(VLOOKUP($A654,'AAPT ExDa'!$B$2:$U$99, 7,FALSE), IFERROR(VLOOKUP($A654,'ABB ExDa'!$A$2:$N$184, 2,FALSE), IFERROR(VLOOKUP($A654,'Vocus SIT ExDa'!$B$2:$J$173, 0,FALSE), IFERROR(VLOOKUP($A654,'Telstra ExDa'!$B$2:$K$310, 7,FALSE), IFERROR(VLOOKUP($A654,'Vocus RVC ExDa'!$C$2:$R$155, 2,FALSE), IFERROR(VLOOKUP($A654,'Fusion ExDa'!$B$2:$D$16, 3,FALSE), IFERROR(VLOOKUP($A654,'Exetel ExDa'!$C$2:$N$14, 0,FALSE), IFERROR(VLOOKUP($A654,'Infinet ExDa'!$B$2:$E$14, 0,FALSE), "Not Found"))))))))</f>
        <v>Not Found</v>
      </c>
      <c r="K654" t="str">
        <f>IFERROR(VLOOKUP($A654,'AAPT ExDa'!$B$2:$U$99, 12,FALSE), IFERROR(VLOOKUP($A654,'ABB ExDa'!$A$2:$N$184, 0,FALSE), IFERROR(VLOOKUP($A654,'Vocus SIT ExDa'!$B$2:$J$173, 0,FALSE), IFERROR(VLOOKUP($A654,'Telstra ExDa'!$B$2:$K$310, 0,FALSE), IFERROR(VLOOKUP($A654,'Vocus RVC ExDa'!$C$2:$R$155, 0,FALSE), IFERROR(VLOOKUP($A654,'Fusion ExDa'!$B$2:$D$16, 0,FALSE), IFERROR(VLOOKUP($A654,'Exetel ExDa'!$C$2:$N$14, 12,FALSE), IFERROR(VLOOKUP($A654,'Infinet ExDa'!$B$2:$E$14, 0,FALSE), "Not Found"))))))))</f>
        <v>Not Found</v>
      </c>
      <c r="L654" s="235" t="str">
        <f>IFERROR(VLOOKUP($A654,'AAPT ExDa'!$B$2:$U$99, 11,FALSE), IFERROR(VLOOKUP($A654,'ABB ExDa'!$A$2:$N$184, 9,FALSE), IFERROR(VLOOKUP($A654,'Vocus SIT ExDa'!$B$2:$J$173, 8,FALSE), IFERROR(VLOOKUP($A654,'Telstra ExDa'!$B$2:$K$310, 0,FALSE), IFERROR(VLOOKUP($A654,'Vocus RVC ExDa'!$C$2:$R$155, 0,FALSE), IFERROR(VLOOKUP($A654,'Fusion ExDa'!$B$2:$D$16, 0,FALSE), IFERROR(VLOOKUP($A654,'Exetel ExDa'!$C$2:$N$14, 9,FALSE), IFERROR(VLOOKUP($A654,'Infinet ExDa'!$B$2:$E$14, 0,FALSE), "Not Found"))))))))</f>
        <v>Not Found</v>
      </c>
      <c r="M654" s="234" t="str">
        <f>IFERROR(VLOOKUP($A654,'AAPT ExDa'!$B$2:$U$99, 0,FALSE), IFERROR(VLOOKUP($A654,'ABB ExDa'!$A$2:$N$184, 0,FALSE), IFERROR(VLOOKUP($A654,'Vocus SIT ExDa'!$B$2:$J$173, 0,FALSE), IFERROR(VLOOKUP($A654,'Telstra ExDa'!$B$2:$K$310, 0,FALSE), IFERROR(VLOOKUP($A654,'Vocus RVC ExDa'!$C$2:$R$155, 0,FALSE), IFERROR(VLOOKUP($A654,'Fusion ExDa'!$B$2:$D$16, 0,FALSE), IFERROR(VLOOKUP($A654,'Exetel ExDa'!$C$2:$N$14, 11,FALSE), IFERROR(VLOOKUP($A654,'Infinet ExDa'!$B$2:$E$14, 0,FALSE), "Not Found"))))))))</f>
        <v>Not Found</v>
      </c>
      <c r="N654" t="str">
        <f>IFERROR(VLOOKUP($A654,'AAPT ExDa'!$B$2:$U$99, 0,FALSE), IFERROR(VLOOKUP($A654,'ABB ExDa'!$A$2:$N$184, 13,FALSE), IFERROR(VLOOKUP($A654,'Vocus SIT ExDa'!$B$2:$J$173, 0,FALSE), IFERROR(VLOOKUP($A654,'Telstra ExDa'!$B$2:$K$310, 0,FALSE), IFERROR(VLOOKUP($A654,'Vocus RVC ExDa'!$C$2:$R$155, 0,FALSE), IFERROR(VLOOKUP($A654,'Fusion ExDa'!$B$2:$D$16, 0,FALSE), IFERROR(VLOOKUP($A654,'Exetel ExDa'!$C$2:$N$14, 0,FALSE), IFERROR(VLOOKUP($A654,'Infinet ExDa'!$B$2:$E$14, 0,FALSE), "Not Found"))))))))</f>
        <v>Not Found</v>
      </c>
    </row>
    <row r="655" spans="1:14">
      <c r="A655">
        <v>0</v>
      </c>
      <c r="B655" t="str">
        <f>IFERROR(VLOOKUP(A655,'Exetel ExDa'!$C$2:$N$14,4,FALSE),"No Data")</f>
        <v>No Data</v>
      </c>
      <c r="C655" t="str">
        <f>IFERROR(VLOOKUP(A655,'AAPT ExDa'!$B$2:$U$99, 2,FALSE), IFERROR(VLOOKUP(A655,'ABB ExDa'!$A$2:$N$184, 2,FALSE), IFERROR(VLOOKUP(A655,'Vocus SIT ExDa'!$B$2:$J$173, 7,FALSE), IFERROR(VLOOKUP(A655,'Telstra ExDa'!$B$2:$K$310, 2,FALSE), IFERROR(VLOOKUP(A655,'Vocus RVC ExDa'!$C$2:$R$155, 3,FALSE), IFERROR(VLOOKUP(A655,'Fusion ExDa'!$B$2:$D$16, 2,FALSE), IFERROR(VLOOKUP(A655,'Exetel ExDa'!$C$2:$N$14, 2,FALSE), IFERROR(VLOOKUP(A655,'Infinet ExDa'!$B$2:$E$14, 2,FALSE), "Not Found"))))))))</f>
        <v>Not Found</v>
      </c>
      <c r="D655" t="str">
        <f>IFERROR(VLOOKUP($A655,'AAPT ExDa'!$B$2:$U$99, 15,FALSE), IFERROR(VLOOKUP($A655,'ABB ExDa'!$A$2:$N$184, 4,FALSE), IFERROR(VLOOKUP($A655,'Vocus SIT ExDa'!$B$2:$J$173, 5,FALSE), IFERROR(VLOOKUP($A655,'Telstra ExDa'!$B$2:$K$310, 8,FALSE), IFERROR(VLOOKUP($A655,'Vocus RVC ExDa'!$C$2:$R$155, 6,FALSE), IFERROR(VLOOKUP($A655,'Fusion ExDa'!$B$2:$D$16, 4,FALSE), IFERROR(VLOOKUP($A655,'Exetel ExDa'!$C$2:$N$14, 3,FALSE), IFERROR(VLOOKUP($A655,'Infinet ExDa'!$B$2:$E$14, 3,FALSE), "Not Found"))))))))</f>
        <v>Not Found</v>
      </c>
      <c r="E655" t="str">
        <f>IFERROR(VLOOKUP($A655,'AAPT ExDa'!$B$2:$U$99, 3,FALSE), IFERROR(VLOOKUP($A655,'ABB ExDa'!$A$2:$N$184, 5,FALSE), IFERROR(VLOOKUP($A655,'Vocus SIT ExDa'!$B$2:$J$173, 2,FALSE), IFERROR(VLOOKUP($A655,'Telstra ExDa'!$B$2:$K$310, 4,FALSE), IFERROR(VLOOKUP($A655,'Vocus RVC ExDa'!$C$2:$R$155, 8,FALSE), IFERROR(VLOOKUP($A655,'Fusion ExDa'!$B$2:$D$16, 4,FALSE), IFERROR(VLOOKUP($A655,'Exetel ExDa'!$C$2:$N$14, 5,FALSE), IFERROR(VLOOKUP($A655,'Infinet ExDa'!$B$2:$E$14, 3,FALSE), "Not Found"))))))))</f>
        <v>Not Found</v>
      </c>
      <c r="F655" t="str">
        <f>IFERROR(VLOOKUP($A655,'AAPT ExDa'!$B$2:$U$99, 4,FALSE), IFERROR(VLOOKUP($A655,'ABB ExDa'!$A$2:$N$184, 6,FALSE), IFERROR(VLOOKUP($A655,'Vocus SIT ExDa'!$B$2:$J$173, 3,FALSE), IFERROR(VLOOKUP($A655,'Telstra ExDa'!$B$2:$K$310, 5,FALSE), IFERROR(VLOOKUP($A655,'Vocus RVC ExDa'!$C$2:$R$155, 9,FALSE), IFERROR(VLOOKUP($A655,'Fusion ExDa'!$B$2:$D$16, 0,FALSE), IFERROR(VLOOKUP($A655,'Exetel ExDa'!$C$2:$N$14, 6,FALSE), IFERROR(VLOOKUP($A655,'Infinet ExDa'!$B$2:$E$14, 0,FALSE), "Not Found"))))))))</f>
        <v>Not Found</v>
      </c>
      <c r="G655" t="str">
        <f>IFERROR(VLOOKUP($A655,'AAPT ExDa'!$B$2:$U$99, 5,FALSE), IFERROR(VLOOKUP($A655,'ABB ExDa'!$A$2:$N$184, 8,FALSE), IFERROR(VLOOKUP($A655,'Vocus SIT ExDa'!$B$2:$J$173, 6,FALSE), IFERROR(VLOOKUP($A655,'Telstra ExDa'!$B$2:$K$310, 0,FALSE), IFERROR(VLOOKUP($A655,'Vocus RVC ExDa'!$C$2:$R$155, 15,FALSE), IFERROR(VLOOKUP($A655,'Fusion ExDa'!$B$2:$D$16, 0,FALSE), IFERROR(VLOOKUP($A655,'Exetel ExDa'!$C$2:$N$14, 7,FALSE), IFERROR(VLOOKUP($A655,'Infinet ExDa'!$B$2:$E$14, 0,FALSE), "Not Found"))))))))</f>
        <v>Not Found</v>
      </c>
      <c r="H655" t="str">
        <f>IFERROR(VLOOKUP($A655,'AAPT ExDa'!$B$2:$U$99, 6,FALSE), IFERROR(VLOOKUP($A655,'ABB ExDa'!$A$2:$N$184, 0,FALSE), IFERROR(VLOOKUP($A655,'Vocus SIT ExDa'!$B$2:$J$173, 0,FALSE), IFERROR(VLOOKUP($A655,'Telstra ExDa'!$B$2:$K$310, 0,FALSE), IFERROR(VLOOKUP($A655,'Vocus RVC ExDa'!$C$2:$R$155, 16,FALSE), IFERROR(VLOOKUP($A655,'Fusion ExDa'!$B$2:$D$16, 0,FALSE), IFERROR(VLOOKUP($A655,'Exetel ExDa'!$C$2:$N$14, 0,FALSE), IFERROR(VLOOKUP($A655,'Infinet ExDa'!$B$2:$E$14, 0,FALSE), "Not Found"))))))))</f>
        <v>Not Found</v>
      </c>
      <c r="I655" t="str">
        <f>IFERROR(VLOOKUP($A655,'AAPT ExDa'!$B$2:$U$99, 0,FALSE), IFERROR(VLOOKUP($A655,'ABB ExDa'!$A$2:$N$184, 0,FALSE), IFERROR(VLOOKUP($A655,'Vocus SIT ExDa'!$B$2:$J$173, 0,FALSE), IFERROR(VLOOKUP($A655,'Telstra ExDa'!$B$2:$K$310, 0,FALSE), IFERROR(VLOOKUP($A655,'Vocus RVC ExDa'!$C$2:$R$155, 0,FALSE), IFERROR(VLOOKUP($A655,'Fusion ExDa'!$B$2:$D$16, 0,FALSE), IFERROR(VLOOKUP($A655,'Exetel ExDa'!$C$2:$N$14, 8,FALSE), IFERROR(VLOOKUP($A655,'Infinet ExDa'!$B$2:$E$14, 0,FALSE), "Not Found"))))))))</f>
        <v>Not Found</v>
      </c>
      <c r="J655" t="str">
        <f>IFERROR(VLOOKUP($A655,'AAPT ExDa'!$B$2:$U$99, 7,FALSE), IFERROR(VLOOKUP($A655,'ABB ExDa'!$A$2:$N$184, 2,FALSE), IFERROR(VLOOKUP($A655,'Vocus SIT ExDa'!$B$2:$J$173, 0,FALSE), IFERROR(VLOOKUP($A655,'Telstra ExDa'!$B$2:$K$310, 7,FALSE), IFERROR(VLOOKUP($A655,'Vocus RVC ExDa'!$C$2:$R$155, 2,FALSE), IFERROR(VLOOKUP($A655,'Fusion ExDa'!$B$2:$D$16, 3,FALSE), IFERROR(VLOOKUP($A655,'Exetel ExDa'!$C$2:$N$14, 0,FALSE), IFERROR(VLOOKUP($A655,'Infinet ExDa'!$B$2:$E$14, 0,FALSE), "Not Found"))))))))</f>
        <v>Not Found</v>
      </c>
      <c r="K655" t="str">
        <f>IFERROR(VLOOKUP($A655,'AAPT ExDa'!$B$2:$U$99, 12,FALSE), IFERROR(VLOOKUP($A655,'ABB ExDa'!$A$2:$N$184, 0,FALSE), IFERROR(VLOOKUP($A655,'Vocus SIT ExDa'!$B$2:$J$173, 0,FALSE), IFERROR(VLOOKUP($A655,'Telstra ExDa'!$B$2:$K$310, 0,FALSE), IFERROR(VLOOKUP($A655,'Vocus RVC ExDa'!$C$2:$R$155, 0,FALSE), IFERROR(VLOOKUP($A655,'Fusion ExDa'!$B$2:$D$16, 0,FALSE), IFERROR(VLOOKUP($A655,'Exetel ExDa'!$C$2:$N$14, 12,FALSE), IFERROR(VLOOKUP($A655,'Infinet ExDa'!$B$2:$E$14, 0,FALSE), "Not Found"))))))))</f>
        <v>Not Found</v>
      </c>
      <c r="L655" s="235" t="str">
        <f>IFERROR(VLOOKUP($A655,'AAPT ExDa'!$B$2:$U$99, 11,FALSE), IFERROR(VLOOKUP($A655,'ABB ExDa'!$A$2:$N$184, 9,FALSE), IFERROR(VLOOKUP($A655,'Vocus SIT ExDa'!$B$2:$J$173, 8,FALSE), IFERROR(VLOOKUP($A655,'Telstra ExDa'!$B$2:$K$310, 0,FALSE), IFERROR(VLOOKUP($A655,'Vocus RVC ExDa'!$C$2:$R$155, 0,FALSE), IFERROR(VLOOKUP($A655,'Fusion ExDa'!$B$2:$D$16, 0,FALSE), IFERROR(VLOOKUP($A655,'Exetel ExDa'!$C$2:$N$14, 9,FALSE), IFERROR(VLOOKUP($A655,'Infinet ExDa'!$B$2:$E$14, 0,FALSE), "Not Found"))))))))</f>
        <v>Not Found</v>
      </c>
      <c r="M655" s="234" t="str">
        <f>IFERROR(VLOOKUP($A655,'AAPT ExDa'!$B$2:$U$99, 0,FALSE), IFERROR(VLOOKUP($A655,'ABB ExDa'!$A$2:$N$184, 0,FALSE), IFERROR(VLOOKUP($A655,'Vocus SIT ExDa'!$B$2:$J$173, 0,FALSE), IFERROR(VLOOKUP($A655,'Telstra ExDa'!$B$2:$K$310, 0,FALSE), IFERROR(VLOOKUP($A655,'Vocus RVC ExDa'!$C$2:$R$155, 0,FALSE), IFERROR(VLOOKUP($A655,'Fusion ExDa'!$B$2:$D$16, 0,FALSE), IFERROR(VLOOKUP($A655,'Exetel ExDa'!$C$2:$N$14, 11,FALSE), IFERROR(VLOOKUP($A655,'Infinet ExDa'!$B$2:$E$14, 0,FALSE), "Not Found"))))))))</f>
        <v>Not Found</v>
      </c>
      <c r="N655" t="str">
        <f>IFERROR(VLOOKUP($A655,'AAPT ExDa'!$B$2:$U$99, 0,FALSE), IFERROR(VLOOKUP($A655,'ABB ExDa'!$A$2:$N$184, 13,FALSE), IFERROR(VLOOKUP($A655,'Vocus SIT ExDa'!$B$2:$J$173, 0,FALSE), IFERROR(VLOOKUP($A655,'Telstra ExDa'!$B$2:$K$310, 0,FALSE), IFERROR(VLOOKUP($A655,'Vocus RVC ExDa'!$C$2:$R$155, 0,FALSE), IFERROR(VLOOKUP($A655,'Fusion ExDa'!$B$2:$D$16, 0,FALSE), IFERROR(VLOOKUP($A655,'Exetel ExDa'!$C$2:$N$14, 0,FALSE), IFERROR(VLOOKUP($A655,'Infinet ExDa'!$B$2:$E$14, 0,FALSE), "Not Found"))))))))</f>
        <v>Not Found</v>
      </c>
    </row>
    <row r="656" spans="1:14">
      <c r="A656">
        <v>0</v>
      </c>
      <c r="B656" t="str">
        <f>IFERROR(VLOOKUP(A656,'Exetel ExDa'!$C$2:$N$14,4,FALSE),"No Data")</f>
        <v>No Data</v>
      </c>
      <c r="C656" t="str">
        <f>IFERROR(VLOOKUP(A656,'AAPT ExDa'!$B$2:$U$99, 2,FALSE), IFERROR(VLOOKUP(A656,'ABB ExDa'!$A$2:$N$184, 2,FALSE), IFERROR(VLOOKUP(A656,'Vocus SIT ExDa'!$B$2:$J$173, 7,FALSE), IFERROR(VLOOKUP(A656,'Telstra ExDa'!$B$2:$K$310, 2,FALSE), IFERROR(VLOOKUP(A656,'Vocus RVC ExDa'!$C$2:$R$155, 3,FALSE), IFERROR(VLOOKUP(A656,'Fusion ExDa'!$B$2:$D$16, 2,FALSE), IFERROR(VLOOKUP(A656,'Exetel ExDa'!$C$2:$N$14, 2,FALSE), IFERROR(VLOOKUP(A656,'Infinet ExDa'!$B$2:$E$14, 2,FALSE), "Not Found"))))))))</f>
        <v>Not Found</v>
      </c>
      <c r="D656" t="str">
        <f>IFERROR(VLOOKUP($A656,'AAPT ExDa'!$B$2:$U$99, 15,FALSE), IFERROR(VLOOKUP($A656,'ABB ExDa'!$A$2:$N$184, 4,FALSE), IFERROR(VLOOKUP($A656,'Vocus SIT ExDa'!$B$2:$J$173, 5,FALSE), IFERROR(VLOOKUP($A656,'Telstra ExDa'!$B$2:$K$310, 8,FALSE), IFERROR(VLOOKUP($A656,'Vocus RVC ExDa'!$C$2:$R$155, 6,FALSE), IFERROR(VLOOKUP($A656,'Fusion ExDa'!$B$2:$D$16, 4,FALSE), IFERROR(VLOOKUP($A656,'Exetel ExDa'!$C$2:$N$14, 3,FALSE), IFERROR(VLOOKUP($A656,'Infinet ExDa'!$B$2:$E$14, 3,FALSE), "Not Found"))))))))</f>
        <v>Not Found</v>
      </c>
      <c r="E656" t="str">
        <f>IFERROR(VLOOKUP($A656,'AAPT ExDa'!$B$2:$U$99, 3,FALSE), IFERROR(VLOOKUP($A656,'ABB ExDa'!$A$2:$N$184, 5,FALSE), IFERROR(VLOOKUP($A656,'Vocus SIT ExDa'!$B$2:$J$173, 2,FALSE), IFERROR(VLOOKUP($A656,'Telstra ExDa'!$B$2:$K$310, 4,FALSE), IFERROR(VLOOKUP($A656,'Vocus RVC ExDa'!$C$2:$R$155, 8,FALSE), IFERROR(VLOOKUP($A656,'Fusion ExDa'!$B$2:$D$16, 4,FALSE), IFERROR(VLOOKUP($A656,'Exetel ExDa'!$C$2:$N$14, 5,FALSE), IFERROR(VLOOKUP($A656,'Infinet ExDa'!$B$2:$E$14, 3,FALSE), "Not Found"))))))))</f>
        <v>Not Found</v>
      </c>
      <c r="F656" t="str">
        <f>IFERROR(VLOOKUP($A656,'AAPT ExDa'!$B$2:$U$99, 4,FALSE), IFERROR(VLOOKUP($A656,'ABB ExDa'!$A$2:$N$184, 6,FALSE), IFERROR(VLOOKUP($A656,'Vocus SIT ExDa'!$B$2:$J$173, 3,FALSE), IFERROR(VLOOKUP($A656,'Telstra ExDa'!$B$2:$K$310, 5,FALSE), IFERROR(VLOOKUP($A656,'Vocus RVC ExDa'!$C$2:$R$155, 9,FALSE), IFERROR(VLOOKUP($A656,'Fusion ExDa'!$B$2:$D$16, 0,FALSE), IFERROR(VLOOKUP($A656,'Exetel ExDa'!$C$2:$N$14, 6,FALSE), IFERROR(VLOOKUP($A656,'Infinet ExDa'!$B$2:$E$14, 0,FALSE), "Not Found"))))))))</f>
        <v>Not Found</v>
      </c>
      <c r="G656" t="str">
        <f>IFERROR(VLOOKUP($A656,'AAPT ExDa'!$B$2:$U$99, 5,FALSE), IFERROR(VLOOKUP($A656,'ABB ExDa'!$A$2:$N$184, 8,FALSE), IFERROR(VLOOKUP($A656,'Vocus SIT ExDa'!$B$2:$J$173, 6,FALSE), IFERROR(VLOOKUP($A656,'Telstra ExDa'!$B$2:$K$310, 0,FALSE), IFERROR(VLOOKUP($A656,'Vocus RVC ExDa'!$C$2:$R$155, 15,FALSE), IFERROR(VLOOKUP($A656,'Fusion ExDa'!$B$2:$D$16, 0,FALSE), IFERROR(VLOOKUP($A656,'Exetel ExDa'!$C$2:$N$14, 7,FALSE), IFERROR(VLOOKUP($A656,'Infinet ExDa'!$B$2:$E$14, 0,FALSE), "Not Found"))))))))</f>
        <v>Not Found</v>
      </c>
      <c r="H656" t="str">
        <f>IFERROR(VLOOKUP($A656,'AAPT ExDa'!$B$2:$U$99, 6,FALSE), IFERROR(VLOOKUP($A656,'ABB ExDa'!$A$2:$N$184, 0,FALSE), IFERROR(VLOOKUP($A656,'Vocus SIT ExDa'!$B$2:$J$173, 0,FALSE), IFERROR(VLOOKUP($A656,'Telstra ExDa'!$B$2:$K$310, 0,FALSE), IFERROR(VLOOKUP($A656,'Vocus RVC ExDa'!$C$2:$R$155, 16,FALSE), IFERROR(VLOOKUP($A656,'Fusion ExDa'!$B$2:$D$16, 0,FALSE), IFERROR(VLOOKUP($A656,'Exetel ExDa'!$C$2:$N$14, 0,FALSE), IFERROR(VLOOKUP($A656,'Infinet ExDa'!$B$2:$E$14, 0,FALSE), "Not Found"))))))))</f>
        <v>Not Found</v>
      </c>
      <c r="I656" t="str">
        <f>IFERROR(VLOOKUP($A656,'AAPT ExDa'!$B$2:$U$99, 0,FALSE), IFERROR(VLOOKUP($A656,'ABB ExDa'!$A$2:$N$184, 0,FALSE), IFERROR(VLOOKUP($A656,'Vocus SIT ExDa'!$B$2:$J$173, 0,FALSE), IFERROR(VLOOKUP($A656,'Telstra ExDa'!$B$2:$K$310, 0,FALSE), IFERROR(VLOOKUP($A656,'Vocus RVC ExDa'!$C$2:$R$155, 0,FALSE), IFERROR(VLOOKUP($A656,'Fusion ExDa'!$B$2:$D$16, 0,FALSE), IFERROR(VLOOKUP($A656,'Exetel ExDa'!$C$2:$N$14, 8,FALSE), IFERROR(VLOOKUP($A656,'Infinet ExDa'!$B$2:$E$14, 0,FALSE), "Not Found"))))))))</f>
        <v>Not Found</v>
      </c>
      <c r="J656" t="str">
        <f>IFERROR(VLOOKUP($A656,'AAPT ExDa'!$B$2:$U$99, 7,FALSE), IFERROR(VLOOKUP($A656,'ABB ExDa'!$A$2:$N$184, 2,FALSE), IFERROR(VLOOKUP($A656,'Vocus SIT ExDa'!$B$2:$J$173, 0,FALSE), IFERROR(VLOOKUP($A656,'Telstra ExDa'!$B$2:$K$310, 7,FALSE), IFERROR(VLOOKUP($A656,'Vocus RVC ExDa'!$C$2:$R$155, 2,FALSE), IFERROR(VLOOKUP($A656,'Fusion ExDa'!$B$2:$D$16, 3,FALSE), IFERROR(VLOOKUP($A656,'Exetel ExDa'!$C$2:$N$14, 0,FALSE), IFERROR(VLOOKUP($A656,'Infinet ExDa'!$B$2:$E$14, 0,FALSE), "Not Found"))))))))</f>
        <v>Not Found</v>
      </c>
      <c r="K656" t="str">
        <f>IFERROR(VLOOKUP($A656,'AAPT ExDa'!$B$2:$U$99, 12,FALSE), IFERROR(VLOOKUP($A656,'ABB ExDa'!$A$2:$N$184, 0,FALSE), IFERROR(VLOOKUP($A656,'Vocus SIT ExDa'!$B$2:$J$173, 0,FALSE), IFERROR(VLOOKUP($A656,'Telstra ExDa'!$B$2:$K$310, 0,FALSE), IFERROR(VLOOKUP($A656,'Vocus RVC ExDa'!$C$2:$R$155, 0,FALSE), IFERROR(VLOOKUP($A656,'Fusion ExDa'!$B$2:$D$16, 0,FALSE), IFERROR(VLOOKUP($A656,'Exetel ExDa'!$C$2:$N$14, 12,FALSE), IFERROR(VLOOKUP($A656,'Infinet ExDa'!$B$2:$E$14, 0,FALSE), "Not Found"))))))))</f>
        <v>Not Found</v>
      </c>
      <c r="L656" s="235" t="str">
        <f>IFERROR(VLOOKUP($A656,'AAPT ExDa'!$B$2:$U$99, 11,FALSE), IFERROR(VLOOKUP($A656,'ABB ExDa'!$A$2:$N$184, 9,FALSE), IFERROR(VLOOKUP($A656,'Vocus SIT ExDa'!$B$2:$J$173, 8,FALSE), IFERROR(VLOOKUP($A656,'Telstra ExDa'!$B$2:$K$310, 0,FALSE), IFERROR(VLOOKUP($A656,'Vocus RVC ExDa'!$C$2:$R$155, 0,FALSE), IFERROR(VLOOKUP($A656,'Fusion ExDa'!$B$2:$D$16, 0,FALSE), IFERROR(VLOOKUP($A656,'Exetel ExDa'!$C$2:$N$14, 9,FALSE), IFERROR(VLOOKUP($A656,'Infinet ExDa'!$B$2:$E$14, 0,FALSE), "Not Found"))))))))</f>
        <v>Not Found</v>
      </c>
      <c r="M656" s="234" t="str">
        <f>IFERROR(VLOOKUP($A656,'AAPT ExDa'!$B$2:$U$99, 0,FALSE), IFERROR(VLOOKUP($A656,'ABB ExDa'!$A$2:$N$184, 0,FALSE), IFERROR(VLOOKUP($A656,'Vocus SIT ExDa'!$B$2:$J$173, 0,FALSE), IFERROR(VLOOKUP($A656,'Telstra ExDa'!$B$2:$K$310, 0,FALSE), IFERROR(VLOOKUP($A656,'Vocus RVC ExDa'!$C$2:$R$155, 0,FALSE), IFERROR(VLOOKUP($A656,'Fusion ExDa'!$B$2:$D$16, 0,FALSE), IFERROR(VLOOKUP($A656,'Exetel ExDa'!$C$2:$N$14, 11,FALSE), IFERROR(VLOOKUP($A656,'Infinet ExDa'!$B$2:$E$14, 0,FALSE), "Not Found"))))))))</f>
        <v>Not Found</v>
      </c>
      <c r="N656" t="str">
        <f>IFERROR(VLOOKUP($A656,'AAPT ExDa'!$B$2:$U$99, 0,FALSE), IFERROR(VLOOKUP($A656,'ABB ExDa'!$A$2:$N$184, 13,FALSE), IFERROR(VLOOKUP($A656,'Vocus SIT ExDa'!$B$2:$J$173, 0,FALSE), IFERROR(VLOOKUP($A656,'Telstra ExDa'!$B$2:$K$310, 0,FALSE), IFERROR(VLOOKUP($A656,'Vocus RVC ExDa'!$C$2:$R$155, 0,FALSE), IFERROR(VLOOKUP($A656,'Fusion ExDa'!$B$2:$D$16, 0,FALSE), IFERROR(VLOOKUP($A656,'Exetel ExDa'!$C$2:$N$14, 0,FALSE), IFERROR(VLOOKUP($A656,'Infinet ExDa'!$B$2:$E$14, 0,FALSE), "Not Found"))))))))</f>
        <v>Not Found</v>
      </c>
    </row>
    <row r="657" spans="1:14">
      <c r="A657">
        <v>0</v>
      </c>
      <c r="B657" t="str">
        <f>IFERROR(VLOOKUP(A657,'Exetel ExDa'!$C$2:$N$14,4,FALSE),"No Data")</f>
        <v>No Data</v>
      </c>
      <c r="C657" t="str">
        <f>IFERROR(VLOOKUP(A657,'AAPT ExDa'!$B$2:$U$99, 2,FALSE), IFERROR(VLOOKUP(A657,'ABB ExDa'!$A$2:$N$184, 2,FALSE), IFERROR(VLOOKUP(A657,'Vocus SIT ExDa'!$B$2:$J$173, 7,FALSE), IFERROR(VLOOKUP(A657,'Telstra ExDa'!$B$2:$K$310, 2,FALSE), IFERROR(VLOOKUP(A657,'Vocus RVC ExDa'!$C$2:$R$155, 3,FALSE), IFERROR(VLOOKUP(A657,'Fusion ExDa'!$B$2:$D$16, 2,FALSE), IFERROR(VLOOKUP(A657,'Exetel ExDa'!$C$2:$N$14, 2,FALSE), IFERROR(VLOOKUP(A657,'Infinet ExDa'!$B$2:$E$14, 2,FALSE), "Not Found"))))))))</f>
        <v>Not Found</v>
      </c>
      <c r="D657" t="str">
        <f>IFERROR(VLOOKUP($A657,'AAPT ExDa'!$B$2:$U$99, 15,FALSE), IFERROR(VLOOKUP($A657,'ABB ExDa'!$A$2:$N$184, 4,FALSE), IFERROR(VLOOKUP($A657,'Vocus SIT ExDa'!$B$2:$J$173, 5,FALSE), IFERROR(VLOOKUP($A657,'Telstra ExDa'!$B$2:$K$310, 8,FALSE), IFERROR(VLOOKUP($A657,'Vocus RVC ExDa'!$C$2:$R$155, 6,FALSE), IFERROR(VLOOKUP($A657,'Fusion ExDa'!$B$2:$D$16, 4,FALSE), IFERROR(VLOOKUP($A657,'Exetel ExDa'!$C$2:$N$14, 3,FALSE), IFERROR(VLOOKUP($A657,'Infinet ExDa'!$B$2:$E$14, 3,FALSE), "Not Found"))))))))</f>
        <v>Not Found</v>
      </c>
      <c r="E657" t="str">
        <f>IFERROR(VLOOKUP($A657,'AAPT ExDa'!$B$2:$U$99, 3,FALSE), IFERROR(VLOOKUP($A657,'ABB ExDa'!$A$2:$N$184, 5,FALSE), IFERROR(VLOOKUP($A657,'Vocus SIT ExDa'!$B$2:$J$173, 2,FALSE), IFERROR(VLOOKUP($A657,'Telstra ExDa'!$B$2:$K$310, 4,FALSE), IFERROR(VLOOKUP($A657,'Vocus RVC ExDa'!$C$2:$R$155, 8,FALSE), IFERROR(VLOOKUP($A657,'Fusion ExDa'!$B$2:$D$16, 4,FALSE), IFERROR(VLOOKUP($A657,'Exetel ExDa'!$C$2:$N$14, 5,FALSE), IFERROR(VLOOKUP($A657,'Infinet ExDa'!$B$2:$E$14, 3,FALSE), "Not Found"))))))))</f>
        <v>Not Found</v>
      </c>
      <c r="F657" t="str">
        <f>IFERROR(VLOOKUP($A657,'AAPT ExDa'!$B$2:$U$99, 4,FALSE), IFERROR(VLOOKUP($A657,'ABB ExDa'!$A$2:$N$184, 6,FALSE), IFERROR(VLOOKUP($A657,'Vocus SIT ExDa'!$B$2:$J$173, 3,FALSE), IFERROR(VLOOKUP($A657,'Telstra ExDa'!$B$2:$K$310, 5,FALSE), IFERROR(VLOOKUP($A657,'Vocus RVC ExDa'!$C$2:$R$155, 9,FALSE), IFERROR(VLOOKUP($A657,'Fusion ExDa'!$B$2:$D$16, 0,FALSE), IFERROR(VLOOKUP($A657,'Exetel ExDa'!$C$2:$N$14, 6,FALSE), IFERROR(VLOOKUP($A657,'Infinet ExDa'!$B$2:$E$14, 0,FALSE), "Not Found"))))))))</f>
        <v>Not Found</v>
      </c>
      <c r="G657" t="str">
        <f>IFERROR(VLOOKUP($A657,'AAPT ExDa'!$B$2:$U$99, 5,FALSE), IFERROR(VLOOKUP($A657,'ABB ExDa'!$A$2:$N$184, 8,FALSE), IFERROR(VLOOKUP($A657,'Vocus SIT ExDa'!$B$2:$J$173, 6,FALSE), IFERROR(VLOOKUP($A657,'Telstra ExDa'!$B$2:$K$310, 0,FALSE), IFERROR(VLOOKUP($A657,'Vocus RVC ExDa'!$C$2:$R$155, 15,FALSE), IFERROR(VLOOKUP($A657,'Fusion ExDa'!$B$2:$D$16, 0,FALSE), IFERROR(VLOOKUP($A657,'Exetel ExDa'!$C$2:$N$14, 7,FALSE), IFERROR(VLOOKUP($A657,'Infinet ExDa'!$B$2:$E$14, 0,FALSE), "Not Found"))))))))</f>
        <v>Not Found</v>
      </c>
      <c r="H657" t="str">
        <f>IFERROR(VLOOKUP($A657,'AAPT ExDa'!$B$2:$U$99, 6,FALSE), IFERROR(VLOOKUP($A657,'ABB ExDa'!$A$2:$N$184, 0,FALSE), IFERROR(VLOOKUP($A657,'Vocus SIT ExDa'!$B$2:$J$173, 0,FALSE), IFERROR(VLOOKUP($A657,'Telstra ExDa'!$B$2:$K$310, 0,FALSE), IFERROR(VLOOKUP($A657,'Vocus RVC ExDa'!$C$2:$R$155, 16,FALSE), IFERROR(VLOOKUP($A657,'Fusion ExDa'!$B$2:$D$16, 0,FALSE), IFERROR(VLOOKUP($A657,'Exetel ExDa'!$C$2:$N$14, 0,FALSE), IFERROR(VLOOKUP($A657,'Infinet ExDa'!$B$2:$E$14, 0,FALSE), "Not Found"))))))))</f>
        <v>Not Found</v>
      </c>
      <c r="I657" t="str">
        <f>IFERROR(VLOOKUP($A657,'AAPT ExDa'!$B$2:$U$99, 0,FALSE), IFERROR(VLOOKUP($A657,'ABB ExDa'!$A$2:$N$184, 0,FALSE), IFERROR(VLOOKUP($A657,'Vocus SIT ExDa'!$B$2:$J$173, 0,FALSE), IFERROR(VLOOKUP($A657,'Telstra ExDa'!$B$2:$K$310, 0,FALSE), IFERROR(VLOOKUP($A657,'Vocus RVC ExDa'!$C$2:$R$155, 0,FALSE), IFERROR(VLOOKUP($A657,'Fusion ExDa'!$B$2:$D$16, 0,FALSE), IFERROR(VLOOKUP($A657,'Exetel ExDa'!$C$2:$N$14, 8,FALSE), IFERROR(VLOOKUP($A657,'Infinet ExDa'!$B$2:$E$14, 0,FALSE), "Not Found"))))))))</f>
        <v>Not Found</v>
      </c>
      <c r="J657" t="str">
        <f>IFERROR(VLOOKUP($A657,'AAPT ExDa'!$B$2:$U$99, 7,FALSE), IFERROR(VLOOKUP($A657,'ABB ExDa'!$A$2:$N$184, 2,FALSE), IFERROR(VLOOKUP($A657,'Vocus SIT ExDa'!$B$2:$J$173, 0,FALSE), IFERROR(VLOOKUP($A657,'Telstra ExDa'!$B$2:$K$310, 7,FALSE), IFERROR(VLOOKUP($A657,'Vocus RVC ExDa'!$C$2:$R$155, 2,FALSE), IFERROR(VLOOKUP($A657,'Fusion ExDa'!$B$2:$D$16, 3,FALSE), IFERROR(VLOOKUP($A657,'Exetel ExDa'!$C$2:$N$14, 0,FALSE), IFERROR(VLOOKUP($A657,'Infinet ExDa'!$B$2:$E$14, 0,FALSE), "Not Found"))))))))</f>
        <v>Not Found</v>
      </c>
      <c r="K657" t="str">
        <f>IFERROR(VLOOKUP($A657,'AAPT ExDa'!$B$2:$U$99, 12,FALSE), IFERROR(VLOOKUP($A657,'ABB ExDa'!$A$2:$N$184, 0,FALSE), IFERROR(VLOOKUP($A657,'Vocus SIT ExDa'!$B$2:$J$173, 0,FALSE), IFERROR(VLOOKUP($A657,'Telstra ExDa'!$B$2:$K$310, 0,FALSE), IFERROR(VLOOKUP($A657,'Vocus RVC ExDa'!$C$2:$R$155, 0,FALSE), IFERROR(VLOOKUP($A657,'Fusion ExDa'!$B$2:$D$16, 0,FALSE), IFERROR(VLOOKUP($A657,'Exetel ExDa'!$C$2:$N$14, 12,FALSE), IFERROR(VLOOKUP($A657,'Infinet ExDa'!$B$2:$E$14, 0,FALSE), "Not Found"))))))))</f>
        <v>Not Found</v>
      </c>
      <c r="L657" s="235" t="str">
        <f>IFERROR(VLOOKUP($A657,'AAPT ExDa'!$B$2:$U$99, 11,FALSE), IFERROR(VLOOKUP($A657,'ABB ExDa'!$A$2:$N$184, 9,FALSE), IFERROR(VLOOKUP($A657,'Vocus SIT ExDa'!$B$2:$J$173, 8,FALSE), IFERROR(VLOOKUP($A657,'Telstra ExDa'!$B$2:$K$310, 0,FALSE), IFERROR(VLOOKUP($A657,'Vocus RVC ExDa'!$C$2:$R$155, 0,FALSE), IFERROR(VLOOKUP($A657,'Fusion ExDa'!$B$2:$D$16, 0,FALSE), IFERROR(VLOOKUP($A657,'Exetel ExDa'!$C$2:$N$14, 9,FALSE), IFERROR(VLOOKUP($A657,'Infinet ExDa'!$B$2:$E$14, 0,FALSE), "Not Found"))))))))</f>
        <v>Not Found</v>
      </c>
      <c r="M657" s="234" t="str">
        <f>IFERROR(VLOOKUP($A657,'AAPT ExDa'!$B$2:$U$99, 0,FALSE), IFERROR(VLOOKUP($A657,'ABB ExDa'!$A$2:$N$184, 0,FALSE), IFERROR(VLOOKUP($A657,'Vocus SIT ExDa'!$B$2:$J$173, 0,FALSE), IFERROR(VLOOKUP($A657,'Telstra ExDa'!$B$2:$K$310, 0,FALSE), IFERROR(VLOOKUP($A657,'Vocus RVC ExDa'!$C$2:$R$155, 0,FALSE), IFERROR(VLOOKUP($A657,'Fusion ExDa'!$B$2:$D$16, 0,FALSE), IFERROR(VLOOKUP($A657,'Exetel ExDa'!$C$2:$N$14, 11,FALSE), IFERROR(VLOOKUP($A657,'Infinet ExDa'!$B$2:$E$14, 0,FALSE), "Not Found"))))))))</f>
        <v>Not Found</v>
      </c>
      <c r="N657" t="str">
        <f>IFERROR(VLOOKUP($A657,'AAPT ExDa'!$B$2:$U$99, 0,FALSE), IFERROR(VLOOKUP($A657,'ABB ExDa'!$A$2:$N$184, 13,FALSE), IFERROR(VLOOKUP($A657,'Vocus SIT ExDa'!$B$2:$J$173, 0,FALSE), IFERROR(VLOOKUP($A657,'Telstra ExDa'!$B$2:$K$310, 0,FALSE), IFERROR(VLOOKUP($A657,'Vocus RVC ExDa'!$C$2:$R$155, 0,FALSE), IFERROR(VLOOKUP($A657,'Fusion ExDa'!$B$2:$D$16, 0,FALSE), IFERROR(VLOOKUP($A657,'Exetel ExDa'!$C$2:$N$14, 0,FALSE), IFERROR(VLOOKUP($A657,'Infinet ExDa'!$B$2:$E$14, 0,FALSE), "Not Found"))))))))</f>
        <v>Not Found</v>
      </c>
    </row>
    <row r="658" spans="1:14">
      <c r="A658">
        <v>0</v>
      </c>
      <c r="B658" t="str">
        <f>IFERROR(VLOOKUP(A658,'Exetel ExDa'!$C$2:$N$14,4,FALSE),"No Data")</f>
        <v>No Data</v>
      </c>
      <c r="C658" t="str">
        <f>IFERROR(VLOOKUP(A658,'AAPT ExDa'!$B$2:$U$99, 2,FALSE), IFERROR(VLOOKUP(A658,'ABB ExDa'!$A$2:$N$184, 2,FALSE), IFERROR(VLOOKUP(A658,'Vocus SIT ExDa'!$B$2:$J$173, 7,FALSE), IFERROR(VLOOKUP(A658,'Telstra ExDa'!$B$2:$K$310, 2,FALSE), IFERROR(VLOOKUP(A658,'Vocus RVC ExDa'!$C$2:$R$155, 3,FALSE), IFERROR(VLOOKUP(A658,'Fusion ExDa'!$B$2:$D$16, 2,FALSE), IFERROR(VLOOKUP(A658,'Exetel ExDa'!$C$2:$N$14, 2,FALSE), IFERROR(VLOOKUP(A658,'Infinet ExDa'!$B$2:$E$14, 2,FALSE), "Not Found"))))))))</f>
        <v>Not Found</v>
      </c>
      <c r="D658" t="str">
        <f>IFERROR(VLOOKUP($A658,'AAPT ExDa'!$B$2:$U$99, 15,FALSE), IFERROR(VLOOKUP($A658,'ABB ExDa'!$A$2:$N$184, 4,FALSE), IFERROR(VLOOKUP($A658,'Vocus SIT ExDa'!$B$2:$J$173, 5,FALSE), IFERROR(VLOOKUP($A658,'Telstra ExDa'!$B$2:$K$310, 8,FALSE), IFERROR(VLOOKUP($A658,'Vocus RVC ExDa'!$C$2:$R$155, 6,FALSE), IFERROR(VLOOKUP($A658,'Fusion ExDa'!$B$2:$D$16, 4,FALSE), IFERROR(VLOOKUP($A658,'Exetel ExDa'!$C$2:$N$14, 3,FALSE), IFERROR(VLOOKUP($A658,'Infinet ExDa'!$B$2:$E$14, 3,FALSE), "Not Found"))))))))</f>
        <v>Not Found</v>
      </c>
      <c r="E658" t="str">
        <f>IFERROR(VLOOKUP($A658,'AAPT ExDa'!$B$2:$U$99, 3,FALSE), IFERROR(VLOOKUP($A658,'ABB ExDa'!$A$2:$N$184, 5,FALSE), IFERROR(VLOOKUP($A658,'Vocus SIT ExDa'!$B$2:$J$173, 2,FALSE), IFERROR(VLOOKUP($A658,'Telstra ExDa'!$B$2:$K$310, 4,FALSE), IFERROR(VLOOKUP($A658,'Vocus RVC ExDa'!$C$2:$R$155, 8,FALSE), IFERROR(VLOOKUP($A658,'Fusion ExDa'!$B$2:$D$16, 4,FALSE), IFERROR(VLOOKUP($A658,'Exetel ExDa'!$C$2:$N$14, 5,FALSE), IFERROR(VLOOKUP($A658,'Infinet ExDa'!$B$2:$E$14, 3,FALSE), "Not Found"))))))))</f>
        <v>Not Found</v>
      </c>
      <c r="F658" t="str">
        <f>IFERROR(VLOOKUP($A658,'AAPT ExDa'!$B$2:$U$99, 4,FALSE), IFERROR(VLOOKUP($A658,'ABB ExDa'!$A$2:$N$184, 6,FALSE), IFERROR(VLOOKUP($A658,'Vocus SIT ExDa'!$B$2:$J$173, 3,FALSE), IFERROR(VLOOKUP($A658,'Telstra ExDa'!$B$2:$K$310, 5,FALSE), IFERROR(VLOOKUP($A658,'Vocus RVC ExDa'!$C$2:$R$155, 9,FALSE), IFERROR(VLOOKUP($A658,'Fusion ExDa'!$B$2:$D$16, 0,FALSE), IFERROR(VLOOKUP($A658,'Exetel ExDa'!$C$2:$N$14, 6,FALSE), IFERROR(VLOOKUP($A658,'Infinet ExDa'!$B$2:$E$14, 0,FALSE), "Not Found"))))))))</f>
        <v>Not Found</v>
      </c>
      <c r="G658" t="str">
        <f>IFERROR(VLOOKUP($A658,'AAPT ExDa'!$B$2:$U$99, 5,FALSE), IFERROR(VLOOKUP($A658,'ABB ExDa'!$A$2:$N$184, 8,FALSE), IFERROR(VLOOKUP($A658,'Vocus SIT ExDa'!$B$2:$J$173, 6,FALSE), IFERROR(VLOOKUP($A658,'Telstra ExDa'!$B$2:$K$310, 0,FALSE), IFERROR(VLOOKUP($A658,'Vocus RVC ExDa'!$C$2:$R$155, 15,FALSE), IFERROR(VLOOKUP($A658,'Fusion ExDa'!$B$2:$D$16, 0,FALSE), IFERROR(VLOOKUP($A658,'Exetel ExDa'!$C$2:$N$14, 7,FALSE), IFERROR(VLOOKUP($A658,'Infinet ExDa'!$B$2:$E$14, 0,FALSE), "Not Found"))))))))</f>
        <v>Not Found</v>
      </c>
      <c r="H658" t="str">
        <f>IFERROR(VLOOKUP($A658,'AAPT ExDa'!$B$2:$U$99, 6,FALSE), IFERROR(VLOOKUP($A658,'ABB ExDa'!$A$2:$N$184, 0,FALSE), IFERROR(VLOOKUP($A658,'Vocus SIT ExDa'!$B$2:$J$173, 0,FALSE), IFERROR(VLOOKUP($A658,'Telstra ExDa'!$B$2:$K$310, 0,FALSE), IFERROR(VLOOKUP($A658,'Vocus RVC ExDa'!$C$2:$R$155, 16,FALSE), IFERROR(VLOOKUP($A658,'Fusion ExDa'!$B$2:$D$16, 0,FALSE), IFERROR(VLOOKUP($A658,'Exetel ExDa'!$C$2:$N$14, 0,FALSE), IFERROR(VLOOKUP($A658,'Infinet ExDa'!$B$2:$E$14, 0,FALSE), "Not Found"))))))))</f>
        <v>Not Found</v>
      </c>
      <c r="I658" t="str">
        <f>IFERROR(VLOOKUP($A658,'AAPT ExDa'!$B$2:$U$99, 0,FALSE), IFERROR(VLOOKUP($A658,'ABB ExDa'!$A$2:$N$184, 0,FALSE), IFERROR(VLOOKUP($A658,'Vocus SIT ExDa'!$B$2:$J$173, 0,FALSE), IFERROR(VLOOKUP($A658,'Telstra ExDa'!$B$2:$K$310, 0,FALSE), IFERROR(VLOOKUP($A658,'Vocus RVC ExDa'!$C$2:$R$155, 0,FALSE), IFERROR(VLOOKUP($A658,'Fusion ExDa'!$B$2:$D$16, 0,FALSE), IFERROR(VLOOKUP($A658,'Exetel ExDa'!$C$2:$N$14, 8,FALSE), IFERROR(VLOOKUP($A658,'Infinet ExDa'!$B$2:$E$14, 0,FALSE), "Not Found"))))))))</f>
        <v>Not Found</v>
      </c>
      <c r="J658" t="str">
        <f>IFERROR(VLOOKUP($A658,'AAPT ExDa'!$B$2:$U$99, 7,FALSE), IFERROR(VLOOKUP($A658,'ABB ExDa'!$A$2:$N$184, 2,FALSE), IFERROR(VLOOKUP($A658,'Vocus SIT ExDa'!$B$2:$J$173, 0,FALSE), IFERROR(VLOOKUP($A658,'Telstra ExDa'!$B$2:$K$310, 7,FALSE), IFERROR(VLOOKUP($A658,'Vocus RVC ExDa'!$C$2:$R$155, 2,FALSE), IFERROR(VLOOKUP($A658,'Fusion ExDa'!$B$2:$D$16, 3,FALSE), IFERROR(VLOOKUP($A658,'Exetel ExDa'!$C$2:$N$14, 0,FALSE), IFERROR(VLOOKUP($A658,'Infinet ExDa'!$B$2:$E$14, 0,FALSE), "Not Found"))))))))</f>
        <v>Not Found</v>
      </c>
      <c r="K658" t="str">
        <f>IFERROR(VLOOKUP($A658,'AAPT ExDa'!$B$2:$U$99, 12,FALSE), IFERROR(VLOOKUP($A658,'ABB ExDa'!$A$2:$N$184, 0,FALSE), IFERROR(VLOOKUP($A658,'Vocus SIT ExDa'!$B$2:$J$173, 0,FALSE), IFERROR(VLOOKUP($A658,'Telstra ExDa'!$B$2:$K$310, 0,FALSE), IFERROR(VLOOKUP($A658,'Vocus RVC ExDa'!$C$2:$R$155, 0,FALSE), IFERROR(VLOOKUP($A658,'Fusion ExDa'!$B$2:$D$16, 0,FALSE), IFERROR(VLOOKUP($A658,'Exetel ExDa'!$C$2:$N$14, 12,FALSE), IFERROR(VLOOKUP($A658,'Infinet ExDa'!$B$2:$E$14, 0,FALSE), "Not Found"))))))))</f>
        <v>Not Found</v>
      </c>
      <c r="L658" s="235" t="str">
        <f>IFERROR(VLOOKUP($A658,'AAPT ExDa'!$B$2:$U$99, 11,FALSE), IFERROR(VLOOKUP($A658,'ABB ExDa'!$A$2:$N$184, 9,FALSE), IFERROR(VLOOKUP($A658,'Vocus SIT ExDa'!$B$2:$J$173, 8,FALSE), IFERROR(VLOOKUP($A658,'Telstra ExDa'!$B$2:$K$310, 0,FALSE), IFERROR(VLOOKUP($A658,'Vocus RVC ExDa'!$C$2:$R$155, 0,FALSE), IFERROR(VLOOKUP($A658,'Fusion ExDa'!$B$2:$D$16, 0,FALSE), IFERROR(VLOOKUP($A658,'Exetel ExDa'!$C$2:$N$14, 9,FALSE), IFERROR(VLOOKUP($A658,'Infinet ExDa'!$B$2:$E$14, 0,FALSE), "Not Found"))))))))</f>
        <v>Not Found</v>
      </c>
      <c r="M658" s="234" t="str">
        <f>IFERROR(VLOOKUP($A658,'AAPT ExDa'!$B$2:$U$99, 0,FALSE), IFERROR(VLOOKUP($A658,'ABB ExDa'!$A$2:$N$184, 0,FALSE), IFERROR(VLOOKUP($A658,'Vocus SIT ExDa'!$B$2:$J$173, 0,FALSE), IFERROR(VLOOKUP($A658,'Telstra ExDa'!$B$2:$K$310, 0,FALSE), IFERROR(VLOOKUP($A658,'Vocus RVC ExDa'!$C$2:$R$155, 0,FALSE), IFERROR(VLOOKUP($A658,'Fusion ExDa'!$B$2:$D$16, 0,FALSE), IFERROR(VLOOKUP($A658,'Exetel ExDa'!$C$2:$N$14, 11,FALSE), IFERROR(VLOOKUP($A658,'Infinet ExDa'!$B$2:$E$14, 0,FALSE), "Not Found"))))))))</f>
        <v>Not Found</v>
      </c>
      <c r="N658" t="str">
        <f>IFERROR(VLOOKUP($A658,'AAPT ExDa'!$B$2:$U$99, 0,FALSE), IFERROR(VLOOKUP($A658,'ABB ExDa'!$A$2:$N$184, 13,FALSE), IFERROR(VLOOKUP($A658,'Vocus SIT ExDa'!$B$2:$J$173, 0,FALSE), IFERROR(VLOOKUP($A658,'Telstra ExDa'!$B$2:$K$310, 0,FALSE), IFERROR(VLOOKUP($A658,'Vocus RVC ExDa'!$C$2:$R$155, 0,FALSE), IFERROR(VLOOKUP($A658,'Fusion ExDa'!$B$2:$D$16, 0,FALSE), IFERROR(VLOOKUP($A658,'Exetel ExDa'!$C$2:$N$14, 0,FALSE), IFERROR(VLOOKUP($A658,'Infinet ExDa'!$B$2:$E$14, 0,FALSE), "Not Found"))))))))</f>
        <v>Not Found</v>
      </c>
    </row>
    <row r="659" spans="1:14">
      <c r="A659">
        <v>0</v>
      </c>
      <c r="B659" t="str">
        <f>IFERROR(VLOOKUP(A659,'Exetel ExDa'!$C$2:$N$14,4,FALSE),"No Data")</f>
        <v>No Data</v>
      </c>
      <c r="C659" t="str">
        <f>IFERROR(VLOOKUP(A659,'AAPT ExDa'!$B$2:$U$99, 2,FALSE), IFERROR(VLOOKUP(A659,'ABB ExDa'!$A$2:$N$184, 2,FALSE), IFERROR(VLOOKUP(A659,'Vocus SIT ExDa'!$B$2:$J$173, 7,FALSE), IFERROR(VLOOKUP(A659,'Telstra ExDa'!$B$2:$K$310, 2,FALSE), IFERROR(VLOOKUP(A659,'Vocus RVC ExDa'!$C$2:$R$155, 3,FALSE), IFERROR(VLOOKUP(A659,'Fusion ExDa'!$B$2:$D$16, 2,FALSE), IFERROR(VLOOKUP(A659,'Exetel ExDa'!$C$2:$N$14, 2,FALSE), IFERROR(VLOOKUP(A659,'Infinet ExDa'!$B$2:$E$14, 2,FALSE), "Not Found"))))))))</f>
        <v>Not Found</v>
      </c>
      <c r="D659" t="str">
        <f>IFERROR(VLOOKUP($A659,'AAPT ExDa'!$B$2:$U$99, 15,FALSE), IFERROR(VLOOKUP($A659,'ABB ExDa'!$A$2:$N$184, 4,FALSE), IFERROR(VLOOKUP($A659,'Vocus SIT ExDa'!$B$2:$J$173, 5,FALSE), IFERROR(VLOOKUP($A659,'Telstra ExDa'!$B$2:$K$310, 8,FALSE), IFERROR(VLOOKUP($A659,'Vocus RVC ExDa'!$C$2:$R$155, 6,FALSE), IFERROR(VLOOKUP($A659,'Fusion ExDa'!$B$2:$D$16, 4,FALSE), IFERROR(VLOOKUP($A659,'Exetel ExDa'!$C$2:$N$14, 3,FALSE), IFERROR(VLOOKUP($A659,'Infinet ExDa'!$B$2:$E$14, 3,FALSE), "Not Found"))))))))</f>
        <v>Not Found</v>
      </c>
      <c r="E659" t="str">
        <f>IFERROR(VLOOKUP($A659,'AAPT ExDa'!$B$2:$U$99, 3,FALSE), IFERROR(VLOOKUP($A659,'ABB ExDa'!$A$2:$N$184, 5,FALSE), IFERROR(VLOOKUP($A659,'Vocus SIT ExDa'!$B$2:$J$173, 2,FALSE), IFERROR(VLOOKUP($A659,'Telstra ExDa'!$B$2:$K$310, 4,FALSE), IFERROR(VLOOKUP($A659,'Vocus RVC ExDa'!$C$2:$R$155, 8,FALSE), IFERROR(VLOOKUP($A659,'Fusion ExDa'!$B$2:$D$16, 4,FALSE), IFERROR(VLOOKUP($A659,'Exetel ExDa'!$C$2:$N$14, 5,FALSE), IFERROR(VLOOKUP($A659,'Infinet ExDa'!$B$2:$E$14, 3,FALSE), "Not Found"))))))))</f>
        <v>Not Found</v>
      </c>
      <c r="F659" t="str">
        <f>IFERROR(VLOOKUP($A659,'AAPT ExDa'!$B$2:$U$99, 4,FALSE), IFERROR(VLOOKUP($A659,'ABB ExDa'!$A$2:$N$184, 6,FALSE), IFERROR(VLOOKUP($A659,'Vocus SIT ExDa'!$B$2:$J$173, 3,FALSE), IFERROR(VLOOKUP($A659,'Telstra ExDa'!$B$2:$K$310, 5,FALSE), IFERROR(VLOOKUP($A659,'Vocus RVC ExDa'!$C$2:$R$155, 9,FALSE), IFERROR(VLOOKUP($A659,'Fusion ExDa'!$B$2:$D$16, 0,FALSE), IFERROR(VLOOKUP($A659,'Exetel ExDa'!$C$2:$N$14, 6,FALSE), IFERROR(VLOOKUP($A659,'Infinet ExDa'!$B$2:$E$14, 0,FALSE), "Not Found"))))))))</f>
        <v>Not Found</v>
      </c>
      <c r="G659" t="str">
        <f>IFERROR(VLOOKUP($A659,'AAPT ExDa'!$B$2:$U$99, 5,FALSE), IFERROR(VLOOKUP($A659,'ABB ExDa'!$A$2:$N$184, 8,FALSE), IFERROR(VLOOKUP($A659,'Vocus SIT ExDa'!$B$2:$J$173, 6,FALSE), IFERROR(VLOOKUP($A659,'Telstra ExDa'!$B$2:$K$310, 0,FALSE), IFERROR(VLOOKUP($A659,'Vocus RVC ExDa'!$C$2:$R$155, 15,FALSE), IFERROR(VLOOKUP($A659,'Fusion ExDa'!$B$2:$D$16, 0,FALSE), IFERROR(VLOOKUP($A659,'Exetel ExDa'!$C$2:$N$14, 7,FALSE), IFERROR(VLOOKUP($A659,'Infinet ExDa'!$B$2:$E$14, 0,FALSE), "Not Found"))))))))</f>
        <v>Not Found</v>
      </c>
      <c r="H659" t="str">
        <f>IFERROR(VLOOKUP($A659,'AAPT ExDa'!$B$2:$U$99, 6,FALSE), IFERROR(VLOOKUP($A659,'ABB ExDa'!$A$2:$N$184, 0,FALSE), IFERROR(VLOOKUP($A659,'Vocus SIT ExDa'!$B$2:$J$173, 0,FALSE), IFERROR(VLOOKUP($A659,'Telstra ExDa'!$B$2:$K$310, 0,FALSE), IFERROR(VLOOKUP($A659,'Vocus RVC ExDa'!$C$2:$R$155, 16,FALSE), IFERROR(VLOOKUP($A659,'Fusion ExDa'!$B$2:$D$16, 0,FALSE), IFERROR(VLOOKUP($A659,'Exetel ExDa'!$C$2:$N$14, 0,FALSE), IFERROR(VLOOKUP($A659,'Infinet ExDa'!$B$2:$E$14, 0,FALSE), "Not Found"))))))))</f>
        <v>Not Found</v>
      </c>
      <c r="I659" t="str">
        <f>IFERROR(VLOOKUP($A659,'AAPT ExDa'!$B$2:$U$99, 0,FALSE), IFERROR(VLOOKUP($A659,'ABB ExDa'!$A$2:$N$184, 0,FALSE), IFERROR(VLOOKUP($A659,'Vocus SIT ExDa'!$B$2:$J$173, 0,FALSE), IFERROR(VLOOKUP($A659,'Telstra ExDa'!$B$2:$K$310, 0,FALSE), IFERROR(VLOOKUP($A659,'Vocus RVC ExDa'!$C$2:$R$155, 0,FALSE), IFERROR(VLOOKUP($A659,'Fusion ExDa'!$B$2:$D$16, 0,FALSE), IFERROR(VLOOKUP($A659,'Exetel ExDa'!$C$2:$N$14, 8,FALSE), IFERROR(VLOOKUP($A659,'Infinet ExDa'!$B$2:$E$14, 0,FALSE), "Not Found"))))))))</f>
        <v>Not Found</v>
      </c>
      <c r="J659" t="str">
        <f>IFERROR(VLOOKUP($A659,'AAPT ExDa'!$B$2:$U$99, 7,FALSE), IFERROR(VLOOKUP($A659,'ABB ExDa'!$A$2:$N$184, 2,FALSE), IFERROR(VLOOKUP($A659,'Vocus SIT ExDa'!$B$2:$J$173, 0,FALSE), IFERROR(VLOOKUP($A659,'Telstra ExDa'!$B$2:$K$310, 7,FALSE), IFERROR(VLOOKUP($A659,'Vocus RVC ExDa'!$C$2:$R$155, 2,FALSE), IFERROR(VLOOKUP($A659,'Fusion ExDa'!$B$2:$D$16, 3,FALSE), IFERROR(VLOOKUP($A659,'Exetel ExDa'!$C$2:$N$14, 0,FALSE), IFERROR(VLOOKUP($A659,'Infinet ExDa'!$B$2:$E$14, 0,FALSE), "Not Found"))))))))</f>
        <v>Not Found</v>
      </c>
      <c r="K659" t="str">
        <f>IFERROR(VLOOKUP($A659,'AAPT ExDa'!$B$2:$U$99, 12,FALSE), IFERROR(VLOOKUP($A659,'ABB ExDa'!$A$2:$N$184, 0,FALSE), IFERROR(VLOOKUP($A659,'Vocus SIT ExDa'!$B$2:$J$173, 0,FALSE), IFERROR(VLOOKUP($A659,'Telstra ExDa'!$B$2:$K$310, 0,FALSE), IFERROR(VLOOKUP($A659,'Vocus RVC ExDa'!$C$2:$R$155, 0,FALSE), IFERROR(VLOOKUP($A659,'Fusion ExDa'!$B$2:$D$16, 0,FALSE), IFERROR(VLOOKUP($A659,'Exetel ExDa'!$C$2:$N$14, 12,FALSE), IFERROR(VLOOKUP($A659,'Infinet ExDa'!$B$2:$E$14, 0,FALSE), "Not Found"))))))))</f>
        <v>Not Found</v>
      </c>
      <c r="L659" s="235" t="str">
        <f>IFERROR(VLOOKUP($A659,'AAPT ExDa'!$B$2:$U$99, 11,FALSE), IFERROR(VLOOKUP($A659,'ABB ExDa'!$A$2:$N$184, 9,FALSE), IFERROR(VLOOKUP($A659,'Vocus SIT ExDa'!$B$2:$J$173, 8,FALSE), IFERROR(VLOOKUP($A659,'Telstra ExDa'!$B$2:$K$310, 0,FALSE), IFERROR(VLOOKUP($A659,'Vocus RVC ExDa'!$C$2:$R$155, 0,FALSE), IFERROR(VLOOKUP($A659,'Fusion ExDa'!$B$2:$D$16, 0,FALSE), IFERROR(VLOOKUP($A659,'Exetel ExDa'!$C$2:$N$14, 9,FALSE), IFERROR(VLOOKUP($A659,'Infinet ExDa'!$B$2:$E$14, 0,FALSE), "Not Found"))))))))</f>
        <v>Not Found</v>
      </c>
      <c r="M659" s="234" t="str">
        <f>IFERROR(VLOOKUP($A659,'AAPT ExDa'!$B$2:$U$99, 0,FALSE), IFERROR(VLOOKUP($A659,'ABB ExDa'!$A$2:$N$184, 0,FALSE), IFERROR(VLOOKUP($A659,'Vocus SIT ExDa'!$B$2:$J$173, 0,FALSE), IFERROR(VLOOKUP($A659,'Telstra ExDa'!$B$2:$K$310, 0,FALSE), IFERROR(VLOOKUP($A659,'Vocus RVC ExDa'!$C$2:$R$155, 0,FALSE), IFERROR(VLOOKUP($A659,'Fusion ExDa'!$B$2:$D$16, 0,FALSE), IFERROR(VLOOKUP($A659,'Exetel ExDa'!$C$2:$N$14, 11,FALSE), IFERROR(VLOOKUP($A659,'Infinet ExDa'!$B$2:$E$14, 0,FALSE), "Not Found"))))))))</f>
        <v>Not Found</v>
      </c>
      <c r="N659" t="str">
        <f>IFERROR(VLOOKUP($A659,'AAPT ExDa'!$B$2:$U$99, 0,FALSE), IFERROR(VLOOKUP($A659,'ABB ExDa'!$A$2:$N$184, 13,FALSE), IFERROR(VLOOKUP($A659,'Vocus SIT ExDa'!$B$2:$J$173, 0,FALSE), IFERROR(VLOOKUP($A659,'Telstra ExDa'!$B$2:$K$310, 0,FALSE), IFERROR(VLOOKUP($A659,'Vocus RVC ExDa'!$C$2:$R$155, 0,FALSE), IFERROR(VLOOKUP($A659,'Fusion ExDa'!$B$2:$D$16, 0,FALSE), IFERROR(VLOOKUP($A659,'Exetel ExDa'!$C$2:$N$14, 0,FALSE), IFERROR(VLOOKUP($A659,'Infinet ExDa'!$B$2:$E$14, 0,FALSE), "Not Found"))))))))</f>
        <v>Not Found</v>
      </c>
    </row>
    <row r="660" spans="1:14">
      <c r="A660">
        <v>0</v>
      </c>
      <c r="B660" t="str">
        <f>IFERROR(VLOOKUP(A660,'Exetel ExDa'!$C$2:$N$14,4,FALSE),"No Data")</f>
        <v>No Data</v>
      </c>
      <c r="C660" t="str">
        <f>IFERROR(VLOOKUP(A660,'AAPT ExDa'!$B$2:$U$99, 2,FALSE), IFERROR(VLOOKUP(A660,'ABB ExDa'!$A$2:$N$184, 2,FALSE), IFERROR(VLOOKUP(A660,'Vocus SIT ExDa'!$B$2:$J$173, 7,FALSE), IFERROR(VLOOKUP(A660,'Telstra ExDa'!$B$2:$K$310, 2,FALSE), IFERROR(VLOOKUP(A660,'Vocus RVC ExDa'!$C$2:$R$155, 3,FALSE), IFERROR(VLOOKUP(A660,'Fusion ExDa'!$B$2:$D$16, 2,FALSE), IFERROR(VLOOKUP(A660,'Exetel ExDa'!$C$2:$N$14, 2,FALSE), IFERROR(VLOOKUP(A660,'Infinet ExDa'!$B$2:$E$14, 2,FALSE), "Not Found"))))))))</f>
        <v>Not Found</v>
      </c>
      <c r="D660" t="str">
        <f>IFERROR(VLOOKUP($A660,'AAPT ExDa'!$B$2:$U$99, 15,FALSE), IFERROR(VLOOKUP($A660,'ABB ExDa'!$A$2:$N$184, 4,FALSE), IFERROR(VLOOKUP($A660,'Vocus SIT ExDa'!$B$2:$J$173, 5,FALSE), IFERROR(VLOOKUP($A660,'Telstra ExDa'!$B$2:$K$310, 8,FALSE), IFERROR(VLOOKUP($A660,'Vocus RVC ExDa'!$C$2:$R$155, 6,FALSE), IFERROR(VLOOKUP($A660,'Fusion ExDa'!$B$2:$D$16, 4,FALSE), IFERROR(VLOOKUP($A660,'Exetel ExDa'!$C$2:$N$14, 3,FALSE), IFERROR(VLOOKUP($A660,'Infinet ExDa'!$B$2:$E$14, 3,FALSE), "Not Found"))))))))</f>
        <v>Not Found</v>
      </c>
      <c r="E660" t="str">
        <f>IFERROR(VLOOKUP($A660,'AAPT ExDa'!$B$2:$U$99, 3,FALSE), IFERROR(VLOOKUP($A660,'ABB ExDa'!$A$2:$N$184, 5,FALSE), IFERROR(VLOOKUP($A660,'Vocus SIT ExDa'!$B$2:$J$173, 2,FALSE), IFERROR(VLOOKUP($A660,'Telstra ExDa'!$B$2:$K$310, 4,FALSE), IFERROR(VLOOKUP($A660,'Vocus RVC ExDa'!$C$2:$R$155, 8,FALSE), IFERROR(VLOOKUP($A660,'Fusion ExDa'!$B$2:$D$16, 4,FALSE), IFERROR(VLOOKUP($A660,'Exetel ExDa'!$C$2:$N$14, 5,FALSE), IFERROR(VLOOKUP($A660,'Infinet ExDa'!$B$2:$E$14, 3,FALSE), "Not Found"))))))))</f>
        <v>Not Found</v>
      </c>
      <c r="F660" t="str">
        <f>IFERROR(VLOOKUP($A660,'AAPT ExDa'!$B$2:$U$99, 4,FALSE), IFERROR(VLOOKUP($A660,'ABB ExDa'!$A$2:$N$184, 6,FALSE), IFERROR(VLOOKUP($A660,'Vocus SIT ExDa'!$B$2:$J$173, 3,FALSE), IFERROR(VLOOKUP($A660,'Telstra ExDa'!$B$2:$K$310, 5,FALSE), IFERROR(VLOOKUP($A660,'Vocus RVC ExDa'!$C$2:$R$155, 9,FALSE), IFERROR(VLOOKUP($A660,'Fusion ExDa'!$B$2:$D$16, 0,FALSE), IFERROR(VLOOKUP($A660,'Exetel ExDa'!$C$2:$N$14, 6,FALSE), IFERROR(VLOOKUP($A660,'Infinet ExDa'!$B$2:$E$14, 0,FALSE), "Not Found"))))))))</f>
        <v>Not Found</v>
      </c>
      <c r="G660" t="str">
        <f>IFERROR(VLOOKUP($A660,'AAPT ExDa'!$B$2:$U$99, 5,FALSE), IFERROR(VLOOKUP($A660,'ABB ExDa'!$A$2:$N$184, 8,FALSE), IFERROR(VLOOKUP($A660,'Vocus SIT ExDa'!$B$2:$J$173, 6,FALSE), IFERROR(VLOOKUP($A660,'Telstra ExDa'!$B$2:$K$310, 0,FALSE), IFERROR(VLOOKUP($A660,'Vocus RVC ExDa'!$C$2:$R$155, 15,FALSE), IFERROR(VLOOKUP($A660,'Fusion ExDa'!$B$2:$D$16, 0,FALSE), IFERROR(VLOOKUP($A660,'Exetel ExDa'!$C$2:$N$14, 7,FALSE), IFERROR(VLOOKUP($A660,'Infinet ExDa'!$B$2:$E$14, 0,FALSE), "Not Found"))))))))</f>
        <v>Not Found</v>
      </c>
      <c r="H660" t="str">
        <f>IFERROR(VLOOKUP($A660,'AAPT ExDa'!$B$2:$U$99, 6,FALSE), IFERROR(VLOOKUP($A660,'ABB ExDa'!$A$2:$N$184, 0,FALSE), IFERROR(VLOOKUP($A660,'Vocus SIT ExDa'!$B$2:$J$173, 0,FALSE), IFERROR(VLOOKUP($A660,'Telstra ExDa'!$B$2:$K$310, 0,FALSE), IFERROR(VLOOKUP($A660,'Vocus RVC ExDa'!$C$2:$R$155, 16,FALSE), IFERROR(VLOOKUP($A660,'Fusion ExDa'!$B$2:$D$16, 0,FALSE), IFERROR(VLOOKUP($A660,'Exetel ExDa'!$C$2:$N$14, 0,FALSE), IFERROR(VLOOKUP($A660,'Infinet ExDa'!$B$2:$E$14, 0,FALSE), "Not Found"))))))))</f>
        <v>Not Found</v>
      </c>
      <c r="I660" t="str">
        <f>IFERROR(VLOOKUP($A660,'AAPT ExDa'!$B$2:$U$99, 0,FALSE), IFERROR(VLOOKUP($A660,'ABB ExDa'!$A$2:$N$184, 0,FALSE), IFERROR(VLOOKUP($A660,'Vocus SIT ExDa'!$B$2:$J$173, 0,FALSE), IFERROR(VLOOKUP($A660,'Telstra ExDa'!$B$2:$K$310, 0,FALSE), IFERROR(VLOOKUP($A660,'Vocus RVC ExDa'!$C$2:$R$155, 0,FALSE), IFERROR(VLOOKUP($A660,'Fusion ExDa'!$B$2:$D$16, 0,FALSE), IFERROR(VLOOKUP($A660,'Exetel ExDa'!$C$2:$N$14, 8,FALSE), IFERROR(VLOOKUP($A660,'Infinet ExDa'!$B$2:$E$14, 0,FALSE), "Not Found"))))))))</f>
        <v>Not Found</v>
      </c>
      <c r="J660" t="str">
        <f>IFERROR(VLOOKUP($A660,'AAPT ExDa'!$B$2:$U$99, 7,FALSE), IFERROR(VLOOKUP($A660,'ABB ExDa'!$A$2:$N$184, 2,FALSE), IFERROR(VLOOKUP($A660,'Vocus SIT ExDa'!$B$2:$J$173, 0,FALSE), IFERROR(VLOOKUP($A660,'Telstra ExDa'!$B$2:$K$310, 7,FALSE), IFERROR(VLOOKUP($A660,'Vocus RVC ExDa'!$C$2:$R$155, 2,FALSE), IFERROR(VLOOKUP($A660,'Fusion ExDa'!$B$2:$D$16, 3,FALSE), IFERROR(VLOOKUP($A660,'Exetel ExDa'!$C$2:$N$14, 0,FALSE), IFERROR(VLOOKUP($A660,'Infinet ExDa'!$B$2:$E$14, 0,FALSE), "Not Found"))))))))</f>
        <v>Not Found</v>
      </c>
      <c r="K660" t="str">
        <f>IFERROR(VLOOKUP($A660,'AAPT ExDa'!$B$2:$U$99, 12,FALSE), IFERROR(VLOOKUP($A660,'ABB ExDa'!$A$2:$N$184, 0,FALSE), IFERROR(VLOOKUP($A660,'Vocus SIT ExDa'!$B$2:$J$173, 0,FALSE), IFERROR(VLOOKUP($A660,'Telstra ExDa'!$B$2:$K$310, 0,FALSE), IFERROR(VLOOKUP($A660,'Vocus RVC ExDa'!$C$2:$R$155, 0,FALSE), IFERROR(VLOOKUP($A660,'Fusion ExDa'!$B$2:$D$16, 0,FALSE), IFERROR(VLOOKUP($A660,'Exetel ExDa'!$C$2:$N$14, 12,FALSE), IFERROR(VLOOKUP($A660,'Infinet ExDa'!$B$2:$E$14, 0,FALSE), "Not Found"))))))))</f>
        <v>Not Found</v>
      </c>
      <c r="L660" s="235" t="str">
        <f>IFERROR(VLOOKUP($A660,'AAPT ExDa'!$B$2:$U$99, 11,FALSE), IFERROR(VLOOKUP($A660,'ABB ExDa'!$A$2:$N$184, 9,FALSE), IFERROR(VLOOKUP($A660,'Vocus SIT ExDa'!$B$2:$J$173, 8,FALSE), IFERROR(VLOOKUP($A660,'Telstra ExDa'!$B$2:$K$310, 0,FALSE), IFERROR(VLOOKUP($A660,'Vocus RVC ExDa'!$C$2:$R$155, 0,FALSE), IFERROR(VLOOKUP($A660,'Fusion ExDa'!$B$2:$D$16, 0,FALSE), IFERROR(VLOOKUP($A660,'Exetel ExDa'!$C$2:$N$14, 9,FALSE), IFERROR(VLOOKUP($A660,'Infinet ExDa'!$B$2:$E$14, 0,FALSE), "Not Found"))))))))</f>
        <v>Not Found</v>
      </c>
      <c r="M660" s="234" t="str">
        <f>IFERROR(VLOOKUP($A660,'AAPT ExDa'!$B$2:$U$99, 0,FALSE), IFERROR(VLOOKUP($A660,'ABB ExDa'!$A$2:$N$184, 0,FALSE), IFERROR(VLOOKUP($A660,'Vocus SIT ExDa'!$B$2:$J$173, 0,FALSE), IFERROR(VLOOKUP($A660,'Telstra ExDa'!$B$2:$K$310, 0,FALSE), IFERROR(VLOOKUP($A660,'Vocus RVC ExDa'!$C$2:$R$155, 0,FALSE), IFERROR(VLOOKUP($A660,'Fusion ExDa'!$B$2:$D$16, 0,FALSE), IFERROR(VLOOKUP($A660,'Exetel ExDa'!$C$2:$N$14, 11,FALSE), IFERROR(VLOOKUP($A660,'Infinet ExDa'!$B$2:$E$14, 0,FALSE), "Not Found"))))))))</f>
        <v>Not Found</v>
      </c>
      <c r="N660" t="str">
        <f>IFERROR(VLOOKUP($A660,'AAPT ExDa'!$B$2:$U$99, 0,FALSE), IFERROR(VLOOKUP($A660,'ABB ExDa'!$A$2:$N$184, 13,FALSE), IFERROR(VLOOKUP($A660,'Vocus SIT ExDa'!$B$2:$J$173, 0,FALSE), IFERROR(VLOOKUP($A660,'Telstra ExDa'!$B$2:$K$310, 0,FALSE), IFERROR(VLOOKUP($A660,'Vocus RVC ExDa'!$C$2:$R$155, 0,FALSE), IFERROR(VLOOKUP($A660,'Fusion ExDa'!$B$2:$D$16, 0,FALSE), IFERROR(VLOOKUP($A660,'Exetel ExDa'!$C$2:$N$14, 0,FALSE), IFERROR(VLOOKUP($A660,'Infinet ExDa'!$B$2:$E$14, 0,FALSE), "Not Found"))))))))</f>
        <v>Not Found</v>
      </c>
    </row>
    <row r="661" spans="1:14">
      <c r="A661">
        <v>0</v>
      </c>
      <c r="B661" t="str">
        <f>IFERROR(VLOOKUP(A661,'Exetel ExDa'!$C$2:$N$14,4,FALSE),"No Data")</f>
        <v>No Data</v>
      </c>
      <c r="C661" t="str">
        <f>IFERROR(VLOOKUP(A661,'AAPT ExDa'!$B$2:$U$99, 2,FALSE), IFERROR(VLOOKUP(A661,'ABB ExDa'!$A$2:$N$184, 2,FALSE), IFERROR(VLOOKUP(A661,'Vocus SIT ExDa'!$B$2:$J$173, 7,FALSE), IFERROR(VLOOKUP(A661,'Telstra ExDa'!$B$2:$K$310, 2,FALSE), IFERROR(VLOOKUP(A661,'Vocus RVC ExDa'!$C$2:$R$155, 3,FALSE), IFERROR(VLOOKUP(A661,'Fusion ExDa'!$B$2:$D$16, 2,FALSE), IFERROR(VLOOKUP(A661,'Exetel ExDa'!$C$2:$N$14, 2,FALSE), IFERROR(VLOOKUP(A661,'Infinet ExDa'!$B$2:$E$14, 2,FALSE), "Not Found"))))))))</f>
        <v>Not Found</v>
      </c>
      <c r="D661" t="str">
        <f>IFERROR(VLOOKUP($A661,'AAPT ExDa'!$B$2:$U$99, 15,FALSE), IFERROR(VLOOKUP($A661,'ABB ExDa'!$A$2:$N$184, 4,FALSE), IFERROR(VLOOKUP($A661,'Vocus SIT ExDa'!$B$2:$J$173, 5,FALSE), IFERROR(VLOOKUP($A661,'Telstra ExDa'!$B$2:$K$310, 8,FALSE), IFERROR(VLOOKUP($A661,'Vocus RVC ExDa'!$C$2:$R$155, 6,FALSE), IFERROR(VLOOKUP($A661,'Fusion ExDa'!$B$2:$D$16, 4,FALSE), IFERROR(VLOOKUP($A661,'Exetel ExDa'!$C$2:$N$14, 3,FALSE), IFERROR(VLOOKUP($A661,'Infinet ExDa'!$B$2:$E$14, 3,FALSE), "Not Found"))))))))</f>
        <v>Not Found</v>
      </c>
      <c r="E661" t="str">
        <f>IFERROR(VLOOKUP($A661,'AAPT ExDa'!$B$2:$U$99, 3,FALSE), IFERROR(VLOOKUP($A661,'ABB ExDa'!$A$2:$N$184, 5,FALSE), IFERROR(VLOOKUP($A661,'Vocus SIT ExDa'!$B$2:$J$173, 2,FALSE), IFERROR(VLOOKUP($A661,'Telstra ExDa'!$B$2:$K$310, 4,FALSE), IFERROR(VLOOKUP($A661,'Vocus RVC ExDa'!$C$2:$R$155, 8,FALSE), IFERROR(VLOOKUP($A661,'Fusion ExDa'!$B$2:$D$16, 4,FALSE), IFERROR(VLOOKUP($A661,'Exetel ExDa'!$C$2:$N$14, 5,FALSE), IFERROR(VLOOKUP($A661,'Infinet ExDa'!$B$2:$E$14, 3,FALSE), "Not Found"))))))))</f>
        <v>Not Found</v>
      </c>
      <c r="F661" t="str">
        <f>IFERROR(VLOOKUP($A661,'AAPT ExDa'!$B$2:$U$99, 4,FALSE), IFERROR(VLOOKUP($A661,'ABB ExDa'!$A$2:$N$184, 6,FALSE), IFERROR(VLOOKUP($A661,'Vocus SIT ExDa'!$B$2:$J$173, 3,FALSE), IFERROR(VLOOKUP($A661,'Telstra ExDa'!$B$2:$K$310, 5,FALSE), IFERROR(VLOOKUP($A661,'Vocus RVC ExDa'!$C$2:$R$155, 9,FALSE), IFERROR(VLOOKUP($A661,'Fusion ExDa'!$B$2:$D$16, 0,FALSE), IFERROR(VLOOKUP($A661,'Exetel ExDa'!$C$2:$N$14, 6,FALSE), IFERROR(VLOOKUP($A661,'Infinet ExDa'!$B$2:$E$14, 0,FALSE), "Not Found"))))))))</f>
        <v>Not Found</v>
      </c>
      <c r="G661" t="str">
        <f>IFERROR(VLOOKUP($A661,'AAPT ExDa'!$B$2:$U$99, 5,FALSE), IFERROR(VLOOKUP($A661,'ABB ExDa'!$A$2:$N$184, 8,FALSE), IFERROR(VLOOKUP($A661,'Vocus SIT ExDa'!$B$2:$J$173, 6,FALSE), IFERROR(VLOOKUP($A661,'Telstra ExDa'!$B$2:$K$310, 0,FALSE), IFERROR(VLOOKUP($A661,'Vocus RVC ExDa'!$C$2:$R$155, 15,FALSE), IFERROR(VLOOKUP($A661,'Fusion ExDa'!$B$2:$D$16, 0,FALSE), IFERROR(VLOOKUP($A661,'Exetel ExDa'!$C$2:$N$14, 7,FALSE), IFERROR(VLOOKUP($A661,'Infinet ExDa'!$B$2:$E$14, 0,FALSE), "Not Found"))))))))</f>
        <v>Not Found</v>
      </c>
      <c r="H661" t="str">
        <f>IFERROR(VLOOKUP($A661,'AAPT ExDa'!$B$2:$U$99, 6,FALSE), IFERROR(VLOOKUP($A661,'ABB ExDa'!$A$2:$N$184, 0,FALSE), IFERROR(VLOOKUP($A661,'Vocus SIT ExDa'!$B$2:$J$173, 0,FALSE), IFERROR(VLOOKUP($A661,'Telstra ExDa'!$B$2:$K$310, 0,FALSE), IFERROR(VLOOKUP($A661,'Vocus RVC ExDa'!$C$2:$R$155, 16,FALSE), IFERROR(VLOOKUP($A661,'Fusion ExDa'!$B$2:$D$16, 0,FALSE), IFERROR(VLOOKUP($A661,'Exetel ExDa'!$C$2:$N$14, 0,FALSE), IFERROR(VLOOKUP($A661,'Infinet ExDa'!$B$2:$E$14, 0,FALSE), "Not Found"))))))))</f>
        <v>Not Found</v>
      </c>
      <c r="I661" t="str">
        <f>IFERROR(VLOOKUP($A661,'AAPT ExDa'!$B$2:$U$99, 0,FALSE), IFERROR(VLOOKUP($A661,'ABB ExDa'!$A$2:$N$184, 0,FALSE), IFERROR(VLOOKUP($A661,'Vocus SIT ExDa'!$B$2:$J$173, 0,FALSE), IFERROR(VLOOKUP($A661,'Telstra ExDa'!$B$2:$K$310, 0,FALSE), IFERROR(VLOOKUP($A661,'Vocus RVC ExDa'!$C$2:$R$155, 0,FALSE), IFERROR(VLOOKUP($A661,'Fusion ExDa'!$B$2:$D$16, 0,FALSE), IFERROR(VLOOKUP($A661,'Exetel ExDa'!$C$2:$N$14, 8,FALSE), IFERROR(VLOOKUP($A661,'Infinet ExDa'!$B$2:$E$14, 0,FALSE), "Not Found"))))))))</f>
        <v>Not Found</v>
      </c>
      <c r="J661" t="str">
        <f>IFERROR(VLOOKUP($A661,'AAPT ExDa'!$B$2:$U$99, 7,FALSE), IFERROR(VLOOKUP($A661,'ABB ExDa'!$A$2:$N$184, 2,FALSE), IFERROR(VLOOKUP($A661,'Vocus SIT ExDa'!$B$2:$J$173, 0,FALSE), IFERROR(VLOOKUP($A661,'Telstra ExDa'!$B$2:$K$310, 7,FALSE), IFERROR(VLOOKUP($A661,'Vocus RVC ExDa'!$C$2:$R$155, 2,FALSE), IFERROR(VLOOKUP($A661,'Fusion ExDa'!$B$2:$D$16, 3,FALSE), IFERROR(VLOOKUP($A661,'Exetel ExDa'!$C$2:$N$14, 0,FALSE), IFERROR(VLOOKUP($A661,'Infinet ExDa'!$B$2:$E$14, 0,FALSE), "Not Found"))))))))</f>
        <v>Not Found</v>
      </c>
      <c r="K661" t="str">
        <f>IFERROR(VLOOKUP($A661,'AAPT ExDa'!$B$2:$U$99, 12,FALSE), IFERROR(VLOOKUP($A661,'ABB ExDa'!$A$2:$N$184, 0,FALSE), IFERROR(VLOOKUP($A661,'Vocus SIT ExDa'!$B$2:$J$173, 0,FALSE), IFERROR(VLOOKUP($A661,'Telstra ExDa'!$B$2:$K$310, 0,FALSE), IFERROR(VLOOKUP($A661,'Vocus RVC ExDa'!$C$2:$R$155, 0,FALSE), IFERROR(VLOOKUP($A661,'Fusion ExDa'!$B$2:$D$16, 0,FALSE), IFERROR(VLOOKUP($A661,'Exetel ExDa'!$C$2:$N$14, 12,FALSE), IFERROR(VLOOKUP($A661,'Infinet ExDa'!$B$2:$E$14, 0,FALSE), "Not Found"))))))))</f>
        <v>Not Found</v>
      </c>
      <c r="L661" s="235" t="str">
        <f>IFERROR(VLOOKUP($A661,'AAPT ExDa'!$B$2:$U$99, 11,FALSE), IFERROR(VLOOKUP($A661,'ABB ExDa'!$A$2:$N$184, 9,FALSE), IFERROR(VLOOKUP($A661,'Vocus SIT ExDa'!$B$2:$J$173, 8,FALSE), IFERROR(VLOOKUP($A661,'Telstra ExDa'!$B$2:$K$310, 0,FALSE), IFERROR(VLOOKUP($A661,'Vocus RVC ExDa'!$C$2:$R$155, 0,FALSE), IFERROR(VLOOKUP($A661,'Fusion ExDa'!$B$2:$D$16, 0,FALSE), IFERROR(VLOOKUP($A661,'Exetel ExDa'!$C$2:$N$14, 9,FALSE), IFERROR(VLOOKUP($A661,'Infinet ExDa'!$B$2:$E$14, 0,FALSE), "Not Found"))))))))</f>
        <v>Not Found</v>
      </c>
      <c r="M661" s="234" t="str">
        <f>IFERROR(VLOOKUP($A661,'AAPT ExDa'!$B$2:$U$99, 0,FALSE), IFERROR(VLOOKUP($A661,'ABB ExDa'!$A$2:$N$184, 0,FALSE), IFERROR(VLOOKUP($A661,'Vocus SIT ExDa'!$B$2:$J$173, 0,FALSE), IFERROR(VLOOKUP($A661,'Telstra ExDa'!$B$2:$K$310, 0,FALSE), IFERROR(VLOOKUP($A661,'Vocus RVC ExDa'!$C$2:$R$155, 0,FALSE), IFERROR(VLOOKUP($A661,'Fusion ExDa'!$B$2:$D$16, 0,FALSE), IFERROR(VLOOKUP($A661,'Exetel ExDa'!$C$2:$N$14, 11,FALSE), IFERROR(VLOOKUP($A661,'Infinet ExDa'!$B$2:$E$14, 0,FALSE), "Not Found"))))))))</f>
        <v>Not Found</v>
      </c>
      <c r="N661" t="str">
        <f>IFERROR(VLOOKUP($A661,'AAPT ExDa'!$B$2:$U$99, 0,FALSE), IFERROR(VLOOKUP($A661,'ABB ExDa'!$A$2:$N$184, 13,FALSE), IFERROR(VLOOKUP($A661,'Vocus SIT ExDa'!$B$2:$J$173, 0,FALSE), IFERROR(VLOOKUP($A661,'Telstra ExDa'!$B$2:$K$310, 0,FALSE), IFERROR(VLOOKUP($A661,'Vocus RVC ExDa'!$C$2:$R$155, 0,FALSE), IFERROR(VLOOKUP($A661,'Fusion ExDa'!$B$2:$D$16, 0,FALSE), IFERROR(VLOOKUP($A661,'Exetel ExDa'!$C$2:$N$14, 0,FALSE), IFERROR(VLOOKUP($A661,'Infinet ExDa'!$B$2:$E$14, 0,FALSE), "Not Found"))))))))</f>
        <v>Not Found</v>
      </c>
    </row>
    <row r="662" spans="1:14">
      <c r="A662">
        <v>0</v>
      </c>
      <c r="B662" t="str">
        <f>IFERROR(VLOOKUP(A662,'Exetel ExDa'!$C$2:$N$14,4,FALSE),"No Data")</f>
        <v>No Data</v>
      </c>
      <c r="C662" t="str">
        <f>IFERROR(VLOOKUP(A662,'AAPT ExDa'!$B$2:$U$99, 2,FALSE), IFERROR(VLOOKUP(A662,'ABB ExDa'!$A$2:$N$184, 2,FALSE), IFERROR(VLOOKUP(A662,'Vocus SIT ExDa'!$B$2:$J$173, 7,FALSE), IFERROR(VLOOKUP(A662,'Telstra ExDa'!$B$2:$K$310, 2,FALSE), IFERROR(VLOOKUP(A662,'Vocus RVC ExDa'!$C$2:$R$155, 3,FALSE), IFERROR(VLOOKUP(A662,'Fusion ExDa'!$B$2:$D$16, 2,FALSE), IFERROR(VLOOKUP(A662,'Exetel ExDa'!$C$2:$N$14, 2,FALSE), IFERROR(VLOOKUP(A662,'Infinet ExDa'!$B$2:$E$14, 2,FALSE), "Not Found"))))))))</f>
        <v>Not Found</v>
      </c>
      <c r="D662" t="str">
        <f>IFERROR(VLOOKUP($A662,'AAPT ExDa'!$B$2:$U$99, 15,FALSE), IFERROR(VLOOKUP($A662,'ABB ExDa'!$A$2:$N$184, 4,FALSE), IFERROR(VLOOKUP($A662,'Vocus SIT ExDa'!$B$2:$J$173, 5,FALSE), IFERROR(VLOOKUP($A662,'Telstra ExDa'!$B$2:$K$310, 8,FALSE), IFERROR(VLOOKUP($A662,'Vocus RVC ExDa'!$C$2:$R$155, 6,FALSE), IFERROR(VLOOKUP($A662,'Fusion ExDa'!$B$2:$D$16, 4,FALSE), IFERROR(VLOOKUP($A662,'Exetel ExDa'!$C$2:$N$14, 3,FALSE), IFERROR(VLOOKUP($A662,'Infinet ExDa'!$B$2:$E$14, 3,FALSE), "Not Found"))))))))</f>
        <v>Not Found</v>
      </c>
      <c r="E662" t="str">
        <f>IFERROR(VLOOKUP($A662,'AAPT ExDa'!$B$2:$U$99, 3,FALSE), IFERROR(VLOOKUP($A662,'ABB ExDa'!$A$2:$N$184, 5,FALSE), IFERROR(VLOOKUP($A662,'Vocus SIT ExDa'!$B$2:$J$173, 2,FALSE), IFERROR(VLOOKUP($A662,'Telstra ExDa'!$B$2:$K$310, 4,FALSE), IFERROR(VLOOKUP($A662,'Vocus RVC ExDa'!$C$2:$R$155, 8,FALSE), IFERROR(VLOOKUP($A662,'Fusion ExDa'!$B$2:$D$16, 4,FALSE), IFERROR(VLOOKUP($A662,'Exetel ExDa'!$C$2:$N$14, 5,FALSE), IFERROR(VLOOKUP($A662,'Infinet ExDa'!$B$2:$E$14, 3,FALSE), "Not Found"))))))))</f>
        <v>Not Found</v>
      </c>
      <c r="F662" t="str">
        <f>IFERROR(VLOOKUP($A662,'AAPT ExDa'!$B$2:$U$99, 4,FALSE), IFERROR(VLOOKUP($A662,'ABB ExDa'!$A$2:$N$184, 6,FALSE), IFERROR(VLOOKUP($A662,'Vocus SIT ExDa'!$B$2:$J$173, 3,FALSE), IFERROR(VLOOKUP($A662,'Telstra ExDa'!$B$2:$K$310, 5,FALSE), IFERROR(VLOOKUP($A662,'Vocus RVC ExDa'!$C$2:$R$155, 9,FALSE), IFERROR(VLOOKUP($A662,'Fusion ExDa'!$B$2:$D$16, 0,FALSE), IFERROR(VLOOKUP($A662,'Exetel ExDa'!$C$2:$N$14, 6,FALSE), IFERROR(VLOOKUP($A662,'Infinet ExDa'!$B$2:$E$14, 0,FALSE), "Not Found"))))))))</f>
        <v>Not Found</v>
      </c>
      <c r="G662" t="str">
        <f>IFERROR(VLOOKUP($A662,'AAPT ExDa'!$B$2:$U$99, 5,FALSE), IFERROR(VLOOKUP($A662,'ABB ExDa'!$A$2:$N$184, 8,FALSE), IFERROR(VLOOKUP($A662,'Vocus SIT ExDa'!$B$2:$J$173, 6,FALSE), IFERROR(VLOOKUP($A662,'Telstra ExDa'!$B$2:$K$310, 0,FALSE), IFERROR(VLOOKUP($A662,'Vocus RVC ExDa'!$C$2:$R$155, 15,FALSE), IFERROR(VLOOKUP($A662,'Fusion ExDa'!$B$2:$D$16, 0,FALSE), IFERROR(VLOOKUP($A662,'Exetel ExDa'!$C$2:$N$14, 7,FALSE), IFERROR(VLOOKUP($A662,'Infinet ExDa'!$B$2:$E$14, 0,FALSE), "Not Found"))))))))</f>
        <v>Not Found</v>
      </c>
      <c r="H662" t="str">
        <f>IFERROR(VLOOKUP($A662,'AAPT ExDa'!$B$2:$U$99, 6,FALSE), IFERROR(VLOOKUP($A662,'ABB ExDa'!$A$2:$N$184, 0,FALSE), IFERROR(VLOOKUP($A662,'Vocus SIT ExDa'!$B$2:$J$173, 0,FALSE), IFERROR(VLOOKUP($A662,'Telstra ExDa'!$B$2:$K$310, 0,FALSE), IFERROR(VLOOKUP($A662,'Vocus RVC ExDa'!$C$2:$R$155, 16,FALSE), IFERROR(VLOOKUP($A662,'Fusion ExDa'!$B$2:$D$16, 0,FALSE), IFERROR(VLOOKUP($A662,'Exetel ExDa'!$C$2:$N$14, 0,FALSE), IFERROR(VLOOKUP($A662,'Infinet ExDa'!$B$2:$E$14, 0,FALSE), "Not Found"))))))))</f>
        <v>Not Found</v>
      </c>
      <c r="I662" t="str">
        <f>IFERROR(VLOOKUP($A662,'AAPT ExDa'!$B$2:$U$99, 0,FALSE), IFERROR(VLOOKUP($A662,'ABB ExDa'!$A$2:$N$184, 0,FALSE), IFERROR(VLOOKUP($A662,'Vocus SIT ExDa'!$B$2:$J$173, 0,FALSE), IFERROR(VLOOKUP($A662,'Telstra ExDa'!$B$2:$K$310, 0,FALSE), IFERROR(VLOOKUP($A662,'Vocus RVC ExDa'!$C$2:$R$155, 0,FALSE), IFERROR(VLOOKUP($A662,'Fusion ExDa'!$B$2:$D$16, 0,FALSE), IFERROR(VLOOKUP($A662,'Exetel ExDa'!$C$2:$N$14, 8,FALSE), IFERROR(VLOOKUP($A662,'Infinet ExDa'!$B$2:$E$14, 0,FALSE), "Not Found"))))))))</f>
        <v>Not Found</v>
      </c>
      <c r="J662" t="str">
        <f>IFERROR(VLOOKUP($A662,'AAPT ExDa'!$B$2:$U$99, 7,FALSE), IFERROR(VLOOKUP($A662,'ABB ExDa'!$A$2:$N$184, 2,FALSE), IFERROR(VLOOKUP($A662,'Vocus SIT ExDa'!$B$2:$J$173, 0,FALSE), IFERROR(VLOOKUP($A662,'Telstra ExDa'!$B$2:$K$310, 7,FALSE), IFERROR(VLOOKUP($A662,'Vocus RVC ExDa'!$C$2:$R$155, 2,FALSE), IFERROR(VLOOKUP($A662,'Fusion ExDa'!$B$2:$D$16, 3,FALSE), IFERROR(VLOOKUP($A662,'Exetel ExDa'!$C$2:$N$14, 0,FALSE), IFERROR(VLOOKUP($A662,'Infinet ExDa'!$B$2:$E$14, 0,FALSE), "Not Found"))))))))</f>
        <v>Not Found</v>
      </c>
      <c r="K662" t="str">
        <f>IFERROR(VLOOKUP($A662,'AAPT ExDa'!$B$2:$U$99, 12,FALSE), IFERROR(VLOOKUP($A662,'ABB ExDa'!$A$2:$N$184, 0,FALSE), IFERROR(VLOOKUP($A662,'Vocus SIT ExDa'!$B$2:$J$173, 0,FALSE), IFERROR(VLOOKUP($A662,'Telstra ExDa'!$B$2:$K$310, 0,FALSE), IFERROR(VLOOKUP($A662,'Vocus RVC ExDa'!$C$2:$R$155, 0,FALSE), IFERROR(VLOOKUP($A662,'Fusion ExDa'!$B$2:$D$16, 0,FALSE), IFERROR(VLOOKUP($A662,'Exetel ExDa'!$C$2:$N$14, 12,FALSE), IFERROR(VLOOKUP($A662,'Infinet ExDa'!$B$2:$E$14, 0,FALSE), "Not Found"))))))))</f>
        <v>Not Found</v>
      </c>
      <c r="L662" s="235" t="str">
        <f>IFERROR(VLOOKUP($A662,'AAPT ExDa'!$B$2:$U$99, 11,FALSE), IFERROR(VLOOKUP($A662,'ABB ExDa'!$A$2:$N$184, 9,FALSE), IFERROR(VLOOKUP($A662,'Vocus SIT ExDa'!$B$2:$J$173, 8,FALSE), IFERROR(VLOOKUP($A662,'Telstra ExDa'!$B$2:$K$310, 0,FALSE), IFERROR(VLOOKUP($A662,'Vocus RVC ExDa'!$C$2:$R$155, 0,FALSE), IFERROR(VLOOKUP($A662,'Fusion ExDa'!$B$2:$D$16, 0,FALSE), IFERROR(VLOOKUP($A662,'Exetel ExDa'!$C$2:$N$14, 9,FALSE), IFERROR(VLOOKUP($A662,'Infinet ExDa'!$B$2:$E$14, 0,FALSE), "Not Found"))))))))</f>
        <v>Not Found</v>
      </c>
      <c r="M662" s="234" t="str">
        <f>IFERROR(VLOOKUP($A662,'AAPT ExDa'!$B$2:$U$99, 0,FALSE), IFERROR(VLOOKUP($A662,'ABB ExDa'!$A$2:$N$184, 0,FALSE), IFERROR(VLOOKUP($A662,'Vocus SIT ExDa'!$B$2:$J$173, 0,FALSE), IFERROR(VLOOKUP($A662,'Telstra ExDa'!$B$2:$K$310, 0,FALSE), IFERROR(VLOOKUP($A662,'Vocus RVC ExDa'!$C$2:$R$155, 0,FALSE), IFERROR(VLOOKUP($A662,'Fusion ExDa'!$B$2:$D$16, 0,FALSE), IFERROR(VLOOKUP($A662,'Exetel ExDa'!$C$2:$N$14, 11,FALSE), IFERROR(VLOOKUP($A662,'Infinet ExDa'!$B$2:$E$14, 0,FALSE), "Not Found"))))))))</f>
        <v>Not Found</v>
      </c>
      <c r="N662" t="str">
        <f>IFERROR(VLOOKUP($A662,'AAPT ExDa'!$B$2:$U$99, 0,FALSE), IFERROR(VLOOKUP($A662,'ABB ExDa'!$A$2:$N$184, 13,FALSE), IFERROR(VLOOKUP($A662,'Vocus SIT ExDa'!$B$2:$J$173, 0,FALSE), IFERROR(VLOOKUP($A662,'Telstra ExDa'!$B$2:$K$310, 0,FALSE), IFERROR(VLOOKUP($A662,'Vocus RVC ExDa'!$C$2:$R$155, 0,FALSE), IFERROR(VLOOKUP($A662,'Fusion ExDa'!$B$2:$D$16, 0,FALSE), IFERROR(VLOOKUP($A662,'Exetel ExDa'!$C$2:$N$14, 0,FALSE), IFERROR(VLOOKUP($A662,'Infinet ExDa'!$B$2:$E$14, 0,FALSE), "Not Found"))))))))</f>
        <v>Not Found</v>
      </c>
    </row>
    <row r="663" spans="1:14">
      <c r="A663">
        <v>0</v>
      </c>
      <c r="B663" t="str">
        <f>IFERROR(VLOOKUP(A663,'Exetel ExDa'!$C$2:$N$14,4,FALSE),"No Data")</f>
        <v>No Data</v>
      </c>
      <c r="C663" t="str">
        <f>IFERROR(VLOOKUP(A663,'AAPT ExDa'!$B$2:$U$99, 2,FALSE), IFERROR(VLOOKUP(A663,'ABB ExDa'!$A$2:$N$184, 2,FALSE), IFERROR(VLOOKUP(A663,'Vocus SIT ExDa'!$B$2:$J$173, 7,FALSE), IFERROR(VLOOKUP(A663,'Telstra ExDa'!$B$2:$K$310, 2,FALSE), IFERROR(VLOOKUP(A663,'Vocus RVC ExDa'!$C$2:$R$155, 3,FALSE), IFERROR(VLOOKUP(A663,'Fusion ExDa'!$B$2:$D$16, 2,FALSE), IFERROR(VLOOKUP(A663,'Exetel ExDa'!$C$2:$N$14, 2,FALSE), IFERROR(VLOOKUP(A663,'Infinet ExDa'!$B$2:$E$14, 2,FALSE), "Not Found"))))))))</f>
        <v>Not Found</v>
      </c>
      <c r="D663" t="str">
        <f>IFERROR(VLOOKUP($A663,'AAPT ExDa'!$B$2:$U$99, 15,FALSE), IFERROR(VLOOKUP($A663,'ABB ExDa'!$A$2:$N$184, 4,FALSE), IFERROR(VLOOKUP($A663,'Vocus SIT ExDa'!$B$2:$J$173, 5,FALSE), IFERROR(VLOOKUP($A663,'Telstra ExDa'!$B$2:$K$310, 8,FALSE), IFERROR(VLOOKUP($A663,'Vocus RVC ExDa'!$C$2:$R$155, 6,FALSE), IFERROR(VLOOKUP($A663,'Fusion ExDa'!$B$2:$D$16, 4,FALSE), IFERROR(VLOOKUP($A663,'Exetel ExDa'!$C$2:$N$14, 3,FALSE), IFERROR(VLOOKUP($A663,'Infinet ExDa'!$B$2:$E$14, 3,FALSE), "Not Found"))))))))</f>
        <v>Not Found</v>
      </c>
      <c r="E663" t="str">
        <f>IFERROR(VLOOKUP($A663,'AAPT ExDa'!$B$2:$U$99, 3,FALSE), IFERROR(VLOOKUP($A663,'ABB ExDa'!$A$2:$N$184, 5,FALSE), IFERROR(VLOOKUP($A663,'Vocus SIT ExDa'!$B$2:$J$173, 2,FALSE), IFERROR(VLOOKUP($A663,'Telstra ExDa'!$B$2:$K$310, 4,FALSE), IFERROR(VLOOKUP($A663,'Vocus RVC ExDa'!$C$2:$R$155, 8,FALSE), IFERROR(VLOOKUP($A663,'Fusion ExDa'!$B$2:$D$16, 4,FALSE), IFERROR(VLOOKUP($A663,'Exetel ExDa'!$C$2:$N$14, 5,FALSE), IFERROR(VLOOKUP($A663,'Infinet ExDa'!$B$2:$E$14, 3,FALSE), "Not Found"))))))))</f>
        <v>Not Found</v>
      </c>
      <c r="F663" t="str">
        <f>IFERROR(VLOOKUP($A663,'AAPT ExDa'!$B$2:$U$99, 4,FALSE), IFERROR(VLOOKUP($A663,'ABB ExDa'!$A$2:$N$184, 6,FALSE), IFERROR(VLOOKUP($A663,'Vocus SIT ExDa'!$B$2:$J$173, 3,FALSE), IFERROR(VLOOKUP($A663,'Telstra ExDa'!$B$2:$K$310, 5,FALSE), IFERROR(VLOOKUP($A663,'Vocus RVC ExDa'!$C$2:$R$155, 9,FALSE), IFERROR(VLOOKUP($A663,'Fusion ExDa'!$B$2:$D$16, 0,FALSE), IFERROR(VLOOKUP($A663,'Exetel ExDa'!$C$2:$N$14, 6,FALSE), IFERROR(VLOOKUP($A663,'Infinet ExDa'!$B$2:$E$14, 0,FALSE), "Not Found"))))))))</f>
        <v>Not Found</v>
      </c>
      <c r="G663" t="str">
        <f>IFERROR(VLOOKUP($A663,'AAPT ExDa'!$B$2:$U$99, 5,FALSE), IFERROR(VLOOKUP($A663,'ABB ExDa'!$A$2:$N$184, 8,FALSE), IFERROR(VLOOKUP($A663,'Vocus SIT ExDa'!$B$2:$J$173, 6,FALSE), IFERROR(VLOOKUP($A663,'Telstra ExDa'!$B$2:$K$310, 0,FALSE), IFERROR(VLOOKUP($A663,'Vocus RVC ExDa'!$C$2:$R$155, 15,FALSE), IFERROR(VLOOKUP($A663,'Fusion ExDa'!$B$2:$D$16, 0,FALSE), IFERROR(VLOOKUP($A663,'Exetel ExDa'!$C$2:$N$14, 7,FALSE), IFERROR(VLOOKUP($A663,'Infinet ExDa'!$B$2:$E$14, 0,FALSE), "Not Found"))))))))</f>
        <v>Not Found</v>
      </c>
      <c r="H663" t="str">
        <f>IFERROR(VLOOKUP($A663,'AAPT ExDa'!$B$2:$U$99, 6,FALSE), IFERROR(VLOOKUP($A663,'ABB ExDa'!$A$2:$N$184, 0,FALSE), IFERROR(VLOOKUP($A663,'Vocus SIT ExDa'!$B$2:$J$173, 0,FALSE), IFERROR(VLOOKUP($A663,'Telstra ExDa'!$B$2:$K$310, 0,FALSE), IFERROR(VLOOKUP($A663,'Vocus RVC ExDa'!$C$2:$R$155, 16,FALSE), IFERROR(VLOOKUP($A663,'Fusion ExDa'!$B$2:$D$16, 0,FALSE), IFERROR(VLOOKUP($A663,'Exetel ExDa'!$C$2:$N$14, 0,FALSE), IFERROR(VLOOKUP($A663,'Infinet ExDa'!$B$2:$E$14, 0,FALSE), "Not Found"))))))))</f>
        <v>Not Found</v>
      </c>
      <c r="I663" t="str">
        <f>IFERROR(VLOOKUP($A663,'AAPT ExDa'!$B$2:$U$99, 0,FALSE), IFERROR(VLOOKUP($A663,'ABB ExDa'!$A$2:$N$184, 0,FALSE), IFERROR(VLOOKUP($A663,'Vocus SIT ExDa'!$B$2:$J$173, 0,FALSE), IFERROR(VLOOKUP($A663,'Telstra ExDa'!$B$2:$K$310, 0,FALSE), IFERROR(VLOOKUP($A663,'Vocus RVC ExDa'!$C$2:$R$155, 0,FALSE), IFERROR(VLOOKUP($A663,'Fusion ExDa'!$B$2:$D$16, 0,FALSE), IFERROR(VLOOKUP($A663,'Exetel ExDa'!$C$2:$N$14, 8,FALSE), IFERROR(VLOOKUP($A663,'Infinet ExDa'!$B$2:$E$14, 0,FALSE), "Not Found"))))))))</f>
        <v>Not Found</v>
      </c>
      <c r="J663" t="str">
        <f>IFERROR(VLOOKUP($A663,'AAPT ExDa'!$B$2:$U$99, 7,FALSE), IFERROR(VLOOKUP($A663,'ABB ExDa'!$A$2:$N$184, 2,FALSE), IFERROR(VLOOKUP($A663,'Vocus SIT ExDa'!$B$2:$J$173, 0,FALSE), IFERROR(VLOOKUP($A663,'Telstra ExDa'!$B$2:$K$310, 7,FALSE), IFERROR(VLOOKUP($A663,'Vocus RVC ExDa'!$C$2:$R$155, 2,FALSE), IFERROR(VLOOKUP($A663,'Fusion ExDa'!$B$2:$D$16, 3,FALSE), IFERROR(VLOOKUP($A663,'Exetel ExDa'!$C$2:$N$14, 0,FALSE), IFERROR(VLOOKUP($A663,'Infinet ExDa'!$B$2:$E$14, 0,FALSE), "Not Found"))))))))</f>
        <v>Not Found</v>
      </c>
      <c r="K663" t="str">
        <f>IFERROR(VLOOKUP($A663,'AAPT ExDa'!$B$2:$U$99, 12,FALSE), IFERROR(VLOOKUP($A663,'ABB ExDa'!$A$2:$N$184, 0,FALSE), IFERROR(VLOOKUP($A663,'Vocus SIT ExDa'!$B$2:$J$173, 0,FALSE), IFERROR(VLOOKUP($A663,'Telstra ExDa'!$B$2:$K$310, 0,FALSE), IFERROR(VLOOKUP($A663,'Vocus RVC ExDa'!$C$2:$R$155, 0,FALSE), IFERROR(VLOOKUP($A663,'Fusion ExDa'!$B$2:$D$16, 0,FALSE), IFERROR(VLOOKUP($A663,'Exetel ExDa'!$C$2:$N$14, 12,FALSE), IFERROR(VLOOKUP($A663,'Infinet ExDa'!$B$2:$E$14, 0,FALSE), "Not Found"))))))))</f>
        <v>Not Found</v>
      </c>
      <c r="L663" s="235" t="str">
        <f>IFERROR(VLOOKUP($A663,'AAPT ExDa'!$B$2:$U$99, 11,FALSE), IFERROR(VLOOKUP($A663,'ABB ExDa'!$A$2:$N$184, 9,FALSE), IFERROR(VLOOKUP($A663,'Vocus SIT ExDa'!$B$2:$J$173, 8,FALSE), IFERROR(VLOOKUP($A663,'Telstra ExDa'!$B$2:$K$310, 0,FALSE), IFERROR(VLOOKUP($A663,'Vocus RVC ExDa'!$C$2:$R$155, 0,FALSE), IFERROR(VLOOKUP($A663,'Fusion ExDa'!$B$2:$D$16, 0,FALSE), IFERROR(VLOOKUP($A663,'Exetel ExDa'!$C$2:$N$14, 9,FALSE), IFERROR(VLOOKUP($A663,'Infinet ExDa'!$B$2:$E$14, 0,FALSE), "Not Found"))))))))</f>
        <v>Not Found</v>
      </c>
      <c r="M663" s="234" t="str">
        <f>IFERROR(VLOOKUP($A663,'AAPT ExDa'!$B$2:$U$99, 0,FALSE), IFERROR(VLOOKUP($A663,'ABB ExDa'!$A$2:$N$184, 0,FALSE), IFERROR(VLOOKUP($A663,'Vocus SIT ExDa'!$B$2:$J$173, 0,FALSE), IFERROR(VLOOKUP($A663,'Telstra ExDa'!$B$2:$K$310, 0,FALSE), IFERROR(VLOOKUP($A663,'Vocus RVC ExDa'!$C$2:$R$155, 0,FALSE), IFERROR(VLOOKUP($A663,'Fusion ExDa'!$B$2:$D$16, 0,FALSE), IFERROR(VLOOKUP($A663,'Exetel ExDa'!$C$2:$N$14, 11,FALSE), IFERROR(VLOOKUP($A663,'Infinet ExDa'!$B$2:$E$14, 0,FALSE), "Not Found"))))))))</f>
        <v>Not Found</v>
      </c>
      <c r="N663" t="str">
        <f>IFERROR(VLOOKUP($A663,'AAPT ExDa'!$B$2:$U$99, 0,FALSE), IFERROR(VLOOKUP($A663,'ABB ExDa'!$A$2:$N$184, 13,FALSE), IFERROR(VLOOKUP($A663,'Vocus SIT ExDa'!$B$2:$J$173, 0,FALSE), IFERROR(VLOOKUP($A663,'Telstra ExDa'!$B$2:$K$310, 0,FALSE), IFERROR(VLOOKUP($A663,'Vocus RVC ExDa'!$C$2:$R$155, 0,FALSE), IFERROR(VLOOKUP($A663,'Fusion ExDa'!$B$2:$D$16, 0,FALSE), IFERROR(VLOOKUP($A663,'Exetel ExDa'!$C$2:$N$14, 0,FALSE), IFERROR(VLOOKUP($A663,'Infinet ExDa'!$B$2:$E$14, 0,FALSE), "Not Found"))))))))</f>
        <v>Not Found</v>
      </c>
    </row>
    <row r="664" spans="1:14">
      <c r="A664">
        <v>0</v>
      </c>
      <c r="B664" t="str">
        <f>IFERROR(VLOOKUP(A664,'Exetel ExDa'!$C$2:$N$14,4,FALSE),"No Data")</f>
        <v>No Data</v>
      </c>
      <c r="C664" t="str">
        <f>IFERROR(VLOOKUP(A664,'AAPT ExDa'!$B$2:$U$99, 2,FALSE), IFERROR(VLOOKUP(A664,'ABB ExDa'!$A$2:$N$184, 2,FALSE), IFERROR(VLOOKUP(A664,'Vocus SIT ExDa'!$B$2:$J$173, 7,FALSE), IFERROR(VLOOKUP(A664,'Telstra ExDa'!$B$2:$K$310, 2,FALSE), IFERROR(VLOOKUP(A664,'Vocus RVC ExDa'!$C$2:$R$155, 3,FALSE), IFERROR(VLOOKUP(A664,'Fusion ExDa'!$B$2:$D$16, 2,FALSE), IFERROR(VLOOKUP(A664,'Exetel ExDa'!$C$2:$N$14, 2,FALSE), IFERROR(VLOOKUP(A664,'Infinet ExDa'!$B$2:$E$14, 2,FALSE), "Not Found"))))))))</f>
        <v>Not Found</v>
      </c>
      <c r="D664" t="str">
        <f>IFERROR(VLOOKUP($A664,'AAPT ExDa'!$B$2:$U$99, 15,FALSE), IFERROR(VLOOKUP($A664,'ABB ExDa'!$A$2:$N$184, 4,FALSE), IFERROR(VLOOKUP($A664,'Vocus SIT ExDa'!$B$2:$J$173, 5,FALSE), IFERROR(VLOOKUP($A664,'Telstra ExDa'!$B$2:$K$310, 8,FALSE), IFERROR(VLOOKUP($A664,'Vocus RVC ExDa'!$C$2:$R$155, 6,FALSE), IFERROR(VLOOKUP($A664,'Fusion ExDa'!$B$2:$D$16, 4,FALSE), IFERROR(VLOOKUP($A664,'Exetel ExDa'!$C$2:$N$14, 3,FALSE), IFERROR(VLOOKUP($A664,'Infinet ExDa'!$B$2:$E$14, 3,FALSE), "Not Found"))))))))</f>
        <v>Not Found</v>
      </c>
      <c r="E664" t="str">
        <f>IFERROR(VLOOKUP($A664,'AAPT ExDa'!$B$2:$U$99, 3,FALSE), IFERROR(VLOOKUP($A664,'ABB ExDa'!$A$2:$N$184, 5,FALSE), IFERROR(VLOOKUP($A664,'Vocus SIT ExDa'!$B$2:$J$173, 2,FALSE), IFERROR(VLOOKUP($A664,'Telstra ExDa'!$B$2:$K$310, 4,FALSE), IFERROR(VLOOKUP($A664,'Vocus RVC ExDa'!$C$2:$R$155, 8,FALSE), IFERROR(VLOOKUP($A664,'Fusion ExDa'!$B$2:$D$16, 4,FALSE), IFERROR(VLOOKUP($A664,'Exetel ExDa'!$C$2:$N$14, 5,FALSE), IFERROR(VLOOKUP($A664,'Infinet ExDa'!$B$2:$E$14, 3,FALSE), "Not Found"))))))))</f>
        <v>Not Found</v>
      </c>
      <c r="F664" t="str">
        <f>IFERROR(VLOOKUP($A664,'AAPT ExDa'!$B$2:$U$99, 4,FALSE), IFERROR(VLOOKUP($A664,'ABB ExDa'!$A$2:$N$184, 6,FALSE), IFERROR(VLOOKUP($A664,'Vocus SIT ExDa'!$B$2:$J$173, 3,FALSE), IFERROR(VLOOKUP($A664,'Telstra ExDa'!$B$2:$K$310, 5,FALSE), IFERROR(VLOOKUP($A664,'Vocus RVC ExDa'!$C$2:$R$155, 9,FALSE), IFERROR(VLOOKUP($A664,'Fusion ExDa'!$B$2:$D$16, 0,FALSE), IFERROR(VLOOKUP($A664,'Exetel ExDa'!$C$2:$N$14, 6,FALSE), IFERROR(VLOOKUP($A664,'Infinet ExDa'!$B$2:$E$14, 0,FALSE), "Not Found"))))))))</f>
        <v>Not Found</v>
      </c>
      <c r="G664" t="str">
        <f>IFERROR(VLOOKUP($A664,'AAPT ExDa'!$B$2:$U$99, 5,FALSE), IFERROR(VLOOKUP($A664,'ABB ExDa'!$A$2:$N$184, 8,FALSE), IFERROR(VLOOKUP($A664,'Vocus SIT ExDa'!$B$2:$J$173, 6,FALSE), IFERROR(VLOOKUP($A664,'Telstra ExDa'!$B$2:$K$310, 0,FALSE), IFERROR(VLOOKUP($A664,'Vocus RVC ExDa'!$C$2:$R$155, 15,FALSE), IFERROR(VLOOKUP($A664,'Fusion ExDa'!$B$2:$D$16, 0,FALSE), IFERROR(VLOOKUP($A664,'Exetel ExDa'!$C$2:$N$14, 7,FALSE), IFERROR(VLOOKUP($A664,'Infinet ExDa'!$B$2:$E$14, 0,FALSE), "Not Found"))))))))</f>
        <v>Not Found</v>
      </c>
      <c r="H664" t="str">
        <f>IFERROR(VLOOKUP($A664,'AAPT ExDa'!$B$2:$U$99, 6,FALSE), IFERROR(VLOOKUP($A664,'ABB ExDa'!$A$2:$N$184, 0,FALSE), IFERROR(VLOOKUP($A664,'Vocus SIT ExDa'!$B$2:$J$173, 0,FALSE), IFERROR(VLOOKUP($A664,'Telstra ExDa'!$B$2:$K$310, 0,FALSE), IFERROR(VLOOKUP($A664,'Vocus RVC ExDa'!$C$2:$R$155, 16,FALSE), IFERROR(VLOOKUP($A664,'Fusion ExDa'!$B$2:$D$16, 0,FALSE), IFERROR(VLOOKUP($A664,'Exetel ExDa'!$C$2:$N$14, 0,FALSE), IFERROR(VLOOKUP($A664,'Infinet ExDa'!$B$2:$E$14, 0,FALSE), "Not Found"))))))))</f>
        <v>Not Found</v>
      </c>
      <c r="I664" t="str">
        <f>IFERROR(VLOOKUP($A664,'AAPT ExDa'!$B$2:$U$99, 0,FALSE), IFERROR(VLOOKUP($A664,'ABB ExDa'!$A$2:$N$184, 0,FALSE), IFERROR(VLOOKUP($A664,'Vocus SIT ExDa'!$B$2:$J$173, 0,FALSE), IFERROR(VLOOKUP($A664,'Telstra ExDa'!$B$2:$K$310, 0,FALSE), IFERROR(VLOOKUP($A664,'Vocus RVC ExDa'!$C$2:$R$155, 0,FALSE), IFERROR(VLOOKUP($A664,'Fusion ExDa'!$B$2:$D$16, 0,FALSE), IFERROR(VLOOKUP($A664,'Exetel ExDa'!$C$2:$N$14, 8,FALSE), IFERROR(VLOOKUP($A664,'Infinet ExDa'!$B$2:$E$14, 0,FALSE), "Not Found"))))))))</f>
        <v>Not Found</v>
      </c>
      <c r="J664" t="str">
        <f>IFERROR(VLOOKUP($A664,'AAPT ExDa'!$B$2:$U$99, 7,FALSE), IFERROR(VLOOKUP($A664,'ABB ExDa'!$A$2:$N$184, 2,FALSE), IFERROR(VLOOKUP($A664,'Vocus SIT ExDa'!$B$2:$J$173, 0,FALSE), IFERROR(VLOOKUP($A664,'Telstra ExDa'!$B$2:$K$310, 7,FALSE), IFERROR(VLOOKUP($A664,'Vocus RVC ExDa'!$C$2:$R$155, 2,FALSE), IFERROR(VLOOKUP($A664,'Fusion ExDa'!$B$2:$D$16, 3,FALSE), IFERROR(VLOOKUP($A664,'Exetel ExDa'!$C$2:$N$14, 0,FALSE), IFERROR(VLOOKUP($A664,'Infinet ExDa'!$B$2:$E$14, 0,FALSE), "Not Found"))))))))</f>
        <v>Not Found</v>
      </c>
      <c r="K664" t="str">
        <f>IFERROR(VLOOKUP($A664,'AAPT ExDa'!$B$2:$U$99, 12,FALSE), IFERROR(VLOOKUP($A664,'ABB ExDa'!$A$2:$N$184, 0,FALSE), IFERROR(VLOOKUP($A664,'Vocus SIT ExDa'!$B$2:$J$173, 0,FALSE), IFERROR(VLOOKUP($A664,'Telstra ExDa'!$B$2:$K$310, 0,FALSE), IFERROR(VLOOKUP($A664,'Vocus RVC ExDa'!$C$2:$R$155, 0,FALSE), IFERROR(VLOOKUP($A664,'Fusion ExDa'!$B$2:$D$16, 0,FALSE), IFERROR(VLOOKUP($A664,'Exetel ExDa'!$C$2:$N$14, 12,FALSE), IFERROR(VLOOKUP($A664,'Infinet ExDa'!$B$2:$E$14, 0,FALSE), "Not Found"))))))))</f>
        <v>Not Found</v>
      </c>
      <c r="L664" s="235" t="str">
        <f>IFERROR(VLOOKUP($A664,'AAPT ExDa'!$B$2:$U$99, 11,FALSE), IFERROR(VLOOKUP($A664,'ABB ExDa'!$A$2:$N$184, 9,FALSE), IFERROR(VLOOKUP($A664,'Vocus SIT ExDa'!$B$2:$J$173, 8,FALSE), IFERROR(VLOOKUP($A664,'Telstra ExDa'!$B$2:$K$310, 0,FALSE), IFERROR(VLOOKUP($A664,'Vocus RVC ExDa'!$C$2:$R$155, 0,FALSE), IFERROR(VLOOKUP($A664,'Fusion ExDa'!$B$2:$D$16, 0,FALSE), IFERROR(VLOOKUP($A664,'Exetel ExDa'!$C$2:$N$14, 9,FALSE), IFERROR(VLOOKUP($A664,'Infinet ExDa'!$B$2:$E$14, 0,FALSE), "Not Found"))))))))</f>
        <v>Not Found</v>
      </c>
      <c r="M664" s="234" t="str">
        <f>IFERROR(VLOOKUP($A664,'AAPT ExDa'!$B$2:$U$99, 0,FALSE), IFERROR(VLOOKUP($A664,'ABB ExDa'!$A$2:$N$184, 0,FALSE), IFERROR(VLOOKUP($A664,'Vocus SIT ExDa'!$B$2:$J$173, 0,FALSE), IFERROR(VLOOKUP($A664,'Telstra ExDa'!$B$2:$K$310, 0,FALSE), IFERROR(VLOOKUP($A664,'Vocus RVC ExDa'!$C$2:$R$155, 0,FALSE), IFERROR(VLOOKUP($A664,'Fusion ExDa'!$B$2:$D$16, 0,FALSE), IFERROR(VLOOKUP($A664,'Exetel ExDa'!$C$2:$N$14, 11,FALSE), IFERROR(VLOOKUP($A664,'Infinet ExDa'!$B$2:$E$14, 0,FALSE), "Not Found"))))))))</f>
        <v>Not Found</v>
      </c>
      <c r="N664" t="str">
        <f>IFERROR(VLOOKUP($A664,'AAPT ExDa'!$B$2:$U$99, 0,FALSE), IFERROR(VLOOKUP($A664,'ABB ExDa'!$A$2:$N$184, 13,FALSE), IFERROR(VLOOKUP($A664,'Vocus SIT ExDa'!$B$2:$J$173, 0,FALSE), IFERROR(VLOOKUP($A664,'Telstra ExDa'!$B$2:$K$310, 0,FALSE), IFERROR(VLOOKUP($A664,'Vocus RVC ExDa'!$C$2:$R$155, 0,FALSE), IFERROR(VLOOKUP($A664,'Fusion ExDa'!$B$2:$D$16, 0,FALSE), IFERROR(VLOOKUP($A664,'Exetel ExDa'!$C$2:$N$14, 0,FALSE), IFERROR(VLOOKUP($A664,'Infinet ExDa'!$B$2:$E$14, 0,FALSE), "Not Found"))))))))</f>
        <v>Not Found</v>
      </c>
    </row>
    <row r="665" spans="1:14">
      <c r="A665">
        <v>0</v>
      </c>
      <c r="B665" t="str">
        <f>IFERROR(VLOOKUP(A665,'Exetel ExDa'!$C$2:$N$14,4,FALSE),"No Data")</f>
        <v>No Data</v>
      </c>
      <c r="C665" t="str">
        <f>IFERROR(VLOOKUP(A665,'AAPT ExDa'!$B$2:$U$99, 2,FALSE), IFERROR(VLOOKUP(A665,'ABB ExDa'!$A$2:$N$184, 2,FALSE), IFERROR(VLOOKUP(A665,'Vocus SIT ExDa'!$B$2:$J$173, 7,FALSE), IFERROR(VLOOKUP(A665,'Telstra ExDa'!$B$2:$K$310, 2,FALSE), IFERROR(VLOOKUP(A665,'Vocus RVC ExDa'!$C$2:$R$155, 3,FALSE), IFERROR(VLOOKUP(A665,'Fusion ExDa'!$B$2:$D$16, 2,FALSE), IFERROR(VLOOKUP(A665,'Exetel ExDa'!$C$2:$N$14, 2,FALSE), IFERROR(VLOOKUP(A665,'Infinet ExDa'!$B$2:$E$14, 2,FALSE), "Not Found"))))))))</f>
        <v>Not Found</v>
      </c>
      <c r="D665" t="str">
        <f>IFERROR(VLOOKUP($A665,'AAPT ExDa'!$B$2:$U$99, 15,FALSE), IFERROR(VLOOKUP($A665,'ABB ExDa'!$A$2:$N$184, 4,FALSE), IFERROR(VLOOKUP($A665,'Vocus SIT ExDa'!$B$2:$J$173, 5,FALSE), IFERROR(VLOOKUP($A665,'Telstra ExDa'!$B$2:$K$310, 8,FALSE), IFERROR(VLOOKUP($A665,'Vocus RVC ExDa'!$C$2:$R$155, 6,FALSE), IFERROR(VLOOKUP($A665,'Fusion ExDa'!$B$2:$D$16, 4,FALSE), IFERROR(VLOOKUP($A665,'Exetel ExDa'!$C$2:$N$14, 3,FALSE), IFERROR(VLOOKUP($A665,'Infinet ExDa'!$B$2:$E$14, 3,FALSE), "Not Found"))))))))</f>
        <v>Not Found</v>
      </c>
      <c r="E665" t="str">
        <f>IFERROR(VLOOKUP($A665,'AAPT ExDa'!$B$2:$U$99, 3,FALSE), IFERROR(VLOOKUP($A665,'ABB ExDa'!$A$2:$N$184, 5,FALSE), IFERROR(VLOOKUP($A665,'Vocus SIT ExDa'!$B$2:$J$173, 2,FALSE), IFERROR(VLOOKUP($A665,'Telstra ExDa'!$B$2:$K$310, 4,FALSE), IFERROR(VLOOKUP($A665,'Vocus RVC ExDa'!$C$2:$R$155, 8,FALSE), IFERROR(VLOOKUP($A665,'Fusion ExDa'!$B$2:$D$16, 4,FALSE), IFERROR(VLOOKUP($A665,'Exetel ExDa'!$C$2:$N$14, 5,FALSE), IFERROR(VLOOKUP($A665,'Infinet ExDa'!$B$2:$E$14, 3,FALSE), "Not Found"))))))))</f>
        <v>Not Found</v>
      </c>
      <c r="F665" t="str">
        <f>IFERROR(VLOOKUP($A665,'AAPT ExDa'!$B$2:$U$99, 4,FALSE), IFERROR(VLOOKUP($A665,'ABB ExDa'!$A$2:$N$184, 6,FALSE), IFERROR(VLOOKUP($A665,'Vocus SIT ExDa'!$B$2:$J$173, 3,FALSE), IFERROR(VLOOKUP($A665,'Telstra ExDa'!$B$2:$K$310, 5,FALSE), IFERROR(VLOOKUP($A665,'Vocus RVC ExDa'!$C$2:$R$155, 9,FALSE), IFERROR(VLOOKUP($A665,'Fusion ExDa'!$B$2:$D$16, 0,FALSE), IFERROR(VLOOKUP($A665,'Exetel ExDa'!$C$2:$N$14, 6,FALSE), IFERROR(VLOOKUP($A665,'Infinet ExDa'!$B$2:$E$14, 0,FALSE), "Not Found"))))))))</f>
        <v>Not Found</v>
      </c>
      <c r="G665" t="str">
        <f>IFERROR(VLOOKUP($A665,'AAPT ExDa'!$B$2:$U$99, 5,FALSE), IFERROR(VLOOKUP($A665,'ABB ExDa'!$A$2:$N$184, 8,FALSE), IFERROR(VLOOKUP($A665,'Vocus SIT ExDa'!$B$2:$J$173, 6,FALSE), IFERROR(VLOOKUP($A665,'Telstra ExDa'!$B$2:$K$310, 0,FALSE), IFERROR(VLOOKUP($A665,'Vocus RVC ExDa'!$C$2:$R$155, 15,FALSE), IFERROR(VLOOKUP($A665,'Fusion ExDa'!$B$2:$D$16, 0,FALSE), IFERROR(VLOOKUP($A665,'Exetel ExDa'!$C$2:$N$14, 7,FALSE), IFERROR(VLOOKUP($A665,'Infinet ExDa'!$B$2:$E$14, 0,FALSE), "Not Found"))))))))</f>
        <v>Not Found</v>
      </c>
      <c r="H665" t="str">
        <f>IFERROR(VLOOKUP($A665,'AAPT ExDa'!$B$2:$U$99, 6,FALSE), IFERROR(VLOOKUP($A665,'ABB ExDa'!$A$2:$N$184, 0,FALSE), IFERROR(VLOOKUP($A665,'Vocus SIT ExDa'!$B$2:$J$173, 0,FALSE), IFERROR(VLOOKUP($A665,'Telstra ExDa'!$B$2:$K$310, 0,FALSE), IFERROR(VLOOKUP($A665,'Vocus RVC ExDa'!$C$2:$R$155, 16,FALSE), IFERROR(VLOOKUP($A665,'Fusion ExDa'!$B$2:$D$16, 0,FALSE), IFERROR(VLOOKUP($A665,'Exetel ExDa'!$C$2:$N$14, 0,FALSE), IFERROR(VLOOKUP($A665,'Infinet ExDa'!$B$2:$E$14, 0,FALSE), "Not Found"))))))))</f>
        <v>Not Found</v>
      </c>
      <c r="I665" t="str">
        <f>IFERROR(VLOOKUP($A665,'AAPT ExDa'!$B$2:$U$99, 0,FALSE), IFERROR(VLOOKUP($A665,'ABB ExDa'!$A$2:$N$184, 0,FALSE), IFERROR(VLOOKUP($A665,'Vocus SIT ExDa'!$B$2:$J$173, 0,FALSE), IFERROR(VLOOKUP($A665,'Telstra ExDa'!$B$2:$K$310, 0,FALSE), IFERROR(VLOOKUP($A665,'Vocus RVC ExDa'!$C$2:$R$155, 0,FALSE), IFERROR(VLOOKUP($A665,'Fusion ExDa'!$B$2:$D$16, 0,FALSE), IFERROR(VLOOKUP($A665,'Exetel ExDa'!$C$2:$N$14, 8,FALSE), IFERROR(VLOOKUP($A665,'Infinet ExDa'!$B$2:$E$14, 0,FALSE), "Not Found"))))))))</f>
        <v>Not Found</v>
      </c>
      <c r="J665" t="str">
        <f>IFERROR(VLOOKUP($A665,'AAPT ExDa'!$B$2:$U$99, 7,FALSE), IFERROR(VLOOKUP($A665,'ABB ExDa'!$A$2:$N$184, 2,FALSE), IFERROR(VLOOKUP($A665,'Vocus SIT ExDa'!$B$2:$J$173, 0,FALSE), IFERROR(VLOOKUP($A665,'Telstra ExDa'!$B$2:$K$310, 7,FALSE), IFERROR(VLOOKUP($A665,'Vocus RVC ExDa'!$C$2:$R$155, 2,FALSE), IFERROR(VLOOKUP($A665,'Fusion ExDa'!$B$2:$D$16, 3,FALSE), IFERROR(VLOOKUP($A665,'Exetel ExDa'!$C$2:$N$14, 0,FALSE), IFERROR(VLOOKUP($A665,'Infinet ExDa'!$B$2:$E$14, 0,FALSE), "Not Found"))))))))</f>
        <v>Not Found</v>
      </c>
      <c r="K665" t="str">
        <f>IFERROR(VLOOKUP($A665,'AAPT ExDa'!$B$2:$U$99, 12,FALSE), IFERROR(VLOOKUP($A665,'ABB ExDa'!$A$2:$N$184, 0,FALSE), IFERROR(VLOOKUP($A665,'Vocus SIT ExDa'!$B$2:$J$173, 0,FALSE), IFERROR(VLOOKUP($A665,'Telstra ExDa'!$B$2:$K$310, 0,FALSE), IFERROR(VLOOKUP($A665,'Vocus RVC ExDa'!$C$2:$R$155, 0,FALSE), IFERROR(VLOOKUP($A665,'Fusion ExDa'!$B$2:$D$16, 0,FALSE), IFERROR(VLOOKUP($A665,'Exetel ExDa'!$C$2:$N$14, 12,FALSE), IFERROR(VLOOKUP($A665,'Infinet ExDa'!$B$2:$E$14, 0,FALSE), "Not Found"))))))))</f>
        <v>Not Found</v>
      </c>
      <c r="L665" s="235" t="str">
        <f>IFERROR(VLOOKUP($A665,'AAPT ExDa'!$B$2:$U$99, 11,FALSE), IFERROR(VLOOKUP($A665,'ABB ExDa'!$A$2:$N$184, 9,FALSE), IFERROR(VLOOKUP($A665,'Vocus SIT ExDa'!$B$2:$J$173, 8,FALSE), IFERROR(VLOOKUP($A665,'Telstra ExDa'!$B$2:$K$310, 0,FALSE), IFERROR(VLOOKUP($A665,'Vocus RVC ExDa'!$C$2:$R$155, 0,FALSE), IFERROR(VLOOKUP($A665,'Fusion ExDa'!$B$2:$D$16, 0,FALSE), IFERROR(VLOOKUP($A665,'Exetel ExDa'!$C$2:$N$14, 9,FALSE), IFERROR(VLOOKUP($A665,'Infinet ExDa'!$B$2:$E$14, 0,FALSE), "Not Found"))))))))</f>
        <v>Not Found</v>
      </c>
      <c r="M665" s="234" t="str">
        <f>IFERROR(VLOOKUP($A665,'AAPT ExDa'!$B$2:$U$99, 0,FALSE), IFERROR(VLOOKUP($A665,'ABB ExDa'!$A$2:$N$184, 0,FALSE), IFERROR(VLOOKUP($A665,'Vocus SIT ExDa'!$B$2:$J$173, 0,FALSE), IFERROR(VLOOKUP($A665,'Telstra ExDa'!$B$2:$K$310, 0,FALSE), IFERROR(VLOOKUP($A665,'Vocus RVC ExDa'!$C$2:$R$155, 0,FALSE), IFERROR(VLOOKUP($A665,'Fusion ExDa'!$B$2:$D$16, 0,FALSE), IFERROR(VLOOKUP($A665,'Exetel ExDa'!$C$2:$N$14, 11,FALSE), IFERROR(VLOOKUP($A665,'Infinet ExDa'!$B$2:$E$14, 0,FALSE), "Not Found"))))))))</f>
        <v>Not Found</v>
      </c>
      <c r="N665" t="str">
        <f>IFERROR(VLOOKUP($A665,'AAPT ExDa'!$B$2:$U$99, 0,FALSE), IFERROR(VLOOKUP($A665,'ABB ExDa'!$A$2:$N$184, 13,FALSE), IFERROR(VLOOKUP($A665,'Vocus SIT ExDa'!$B$2:$J$173, 0,FALSE), IFERROR(VLOOKUP($A665,'Telstra ExDa'!$B$2:$K$310, 0,FALSE), IFERROR(VLOOKUP($A665,'Vocus RVC ExDa'!$C$2:$R$155, 0,FALSE), IFERROR(VLOOKUP($A665,'Fusion ExDa'!$B$2:$D$16, 0,FALSE), IFERROR(VLOOKUP($A665,'Exetel ExDa'!$C$2:$N$14, 0,FALSE), IFERROR(VLOOKUP($A665,'Infinet ExDa'!$B$2:$E$14, 0,FALSE), "Not Found"))))))))</f>
        <v>Not Found</v>
      </c>
    </row>
    <row r="666" spans="1:14">
      <c r="A666">
        <v>0</v>
      </c>
      <c r="B666" t="str">
        <f>IFERROR(VLOOKUP(A666,'Exetel ExDa'!$C$2:$N$14,4,FALSE),"No Data")</f>
        <v>No Data</v>
      </c>
      <c r="C666" t="str">
        <f>IFERROR(VLOOKUP(A666,'AAPT ExDa'!$B$2:$U$99, 2,FALSE), IFERROR(VLOOKUP(A666,'ABB ExDa'!$A$2:$N$184, 2,FALSE), IFERROR(VLOOKUP(A666,'Vocus SIT ExDa'!$B$2:$J$173, 7,FALSE), IFERROR(VLOOKUP(A666,'Telstra ExDa'!$B$2:$K$310, 2,FALSE), IFERROR(VLOOKUP(A666,'Vocus RVC ExDa'!$C$2:$R$155, 3,FALSE), IFERROR(VLOOKUP(A666,'Fusion ExDa'!$B$2:$D$16, 2,FALSE), IFERROR(VLOOKUP(A666,'Exetel ExDa'!$C$2:$N$14, 2,FALSE), IFERROR(VLOOKUP(A666,'Infinet ExDa'!$B$2:$E$14, 2,FALSE), "Not Found"))))))))</f>
        <v>Not Found</v>
      </c>
      <c r="D666" t="str">
        <f>IFERROR(VLOOKUP($A666,'AAPT ExDa'!$B$2:$U$99, 15,FALSE), IFERROR(VLOOKUP($A666,'ABB ExDa'!$A$2:$N$184, 4,FALSE), IFERROR(VLOOKUP($A666,'Vocus SIT ExDa'!$B$2:$J$173, 5,FALSE), IFERROR(VLOOKUP($A666,'Telstra ExDa'!$B$2:$K$310, 8,FALSE), IFERROR(VLOOKUP($A666,'Vocus RVC ExDa'!$C$2:$R$155, 6,FALSE), IFERROR(VLOOKUP($A666,'Fusion ExDa'!$B$2:$D$16, 4,FALSE), IFERROR(VLOOKUP($A666,'Exetel ExDa'!$C$2:$N$14, 3,FALSE), IFERROR(VLOOKUP($A666,'Infinet ExDa'!$B$2:$E$14, 3,FALSE), "Not Found"))))))))</f>
        <v>Not Found</v>
      </c>
      <c r="E666" t="str">
        <f>IFERROR(VLOOKUP($A666,'AAPT ExDa'!$B$2:$U$99, 3,FALSE), IFERROR(VLOOKUP($A666,'ABB ExDa'!$A$2:$N$184, 5,FALSE), IFERROR(VLOOKUP($A666,'Vocus SIT ExDa'!$B$2:$J$173, 2,FALSE), IFERROR(VLOOKUP($A666,'Telstra ExDa'!$B$2:$K$310, 4,FALSE), IFERROR(VLOOKUP($A666,'Vocus RVC ExDa'!$C$2:$R$155, 8,FALSE), IFERROR(VLOOKUP($A666,'Fusion ExDa'!$B$2:$D$16, 4,FALSE), IFERROR(VLOOKUP($A666,'Exetel ExDa'!$C$2:$N$14, 5,FALSE), IFERROR(VLOOKUP($A666,'Infinet ExDa'!$B$2:$E$14, 3,FALSE), "Not Found"))))))))</f>
        <v>Not Found</v>
      </c>
      <c r="F666" t="str">
        <f>IFERROR(VLOOKUP($A666,'AAPT ExDa'!$B$2:$U$99, 4,FALSE), IFERROR(VLOOKUP($A666,'ABB ExDa'!$A$2:$N$184, 6,FALSE), IFERROR(VLOOKUP($A666,'Vocus SIT ExDa'!$B$2:$J$173, 3,FALSE), IFERROR(VLOOKUP($A666,'Telstra ExDa'!$B$2:$K$310, 5,FALSE), IFERROR(VLOOKUP($A666,'Vocus RVC ExDa'!$C$2:$R$155, 9,FALSE), IFERROR(VLOOKUP($A666,'Fusion ExDa'!$B$2:$D$16, 0,FALSE), IFERROR(VLOOKUP($A666,'Exetel ExDa'!$C$2:$N$14, 6,FALSE), IFERROR(VLOOKUP($A666,'Infinet ExDa'!$B$2:$E$14, 0,FALSE), "Not Found"))))))))</f>
        <v>Not Found</v>
      </c>
      <c r="G666" t="str">
        <f>IFERROR(VLOOKUP($A666,'AAPT ExDa'!$B$2:$U$99, 5,FALSE), IFERROR(VLOOKUP($A666,'ABB ExDa'!$A$2:$N$184, 8,FALSE), IFERROR(VLOOKUP($A666,'Vocus SIT ExDa'!$B$2:$J$173, 6,FALSE), IFERROR(VLOOKUP($A666,'Telstra ExDa'!$B$2:$K$310, 0,FALSE), IFERROR(VLOOKUP($A666,'Vocus RVC ExDa'!$C$2:$R$155, 15,FALSE), IFERROR(VLOOKUP($A666,'Fusion ExDa'!$B$2:$D$16, 0,FALSE), IFERROR(VLOOKUP($A666,'Exetel ExDa'!$C$2:$N$14, 7,FALSE), IFERROR(VLOOKUP($A666,'Infinet ExDa'!$B$2:$E$14, 0,FALSE), "Not Found"))))))))</f>
        <v>Not Found</v>
      </c>
      <c r="H666" t="str">
        <f>IFERROR(VLOOKUP($A666,'AAPT ExDa'!$B$2:$U$99, 6,FALSE), IFERROR(VLOOKUP($A666,'ABB ExDa'!$A$2:$N$184, 0,FALSE), IFERROR(VLOOKUP($A666,'Vocus SIT ExDa'!$B$2:$J$173, 0,FALSE), IFERROR(VLOOKUP($A666,'Telstra ExDa'!$B$2:$K$310, 0,FALSE), IFERROR(VLOOKUP($A666,'Vocus RVC ExDa'!$C$2:$R$155, 16,FALSE), IFERROR(VLOOKUP($A666,'Fusion ExDa'!$B$2:$D$16, 0,FALSE), IFERROR(VLOOKUP($A666,'Exetel ExDa'!$C$2:$N$14, 0,FALSE), IFERROR(VLOOKUP($A666,'Infinet ExDa'!$B$2:$E$14, 0,FALSE), "Not Found"))))))))</f>
        <v>Not Found</v>
      </c>
      <c r="I666" t="str">
        <f>IFERROR(VLOOKUP($A666,'AAPT ExDa'!$B$2:$U$99, 0,FALSE), IFERROR(VLOOKUP($A666,'ABB ExDa'!$A$2:$N$184, 0,FALSE), IFERROR(VLOOKUP($A666,'Vocus SIT ExDa'!$B$2:$J$173, 0,FALSE), IFERROR(VLOOKUP($A666,'Telstra ExDa'!$B$2:$K$310, 0,FALSE), IFERROR(VLOOKUP($A666,'Vocus RVC ExDa'!$C$2:$R$155, 0,FALSE), IFERROR(VLOOKUP($A666,'Fusion ExDa'!$B$2:$D$16, 0,FALSE), IFERROR(VLOOKUP($A666,'Exetel ExDa'!$C$2:$N$14, 8,FALSE), IFERROR(VLOOKUP($A666,'Infinet ExDa'!$B$2:$E$14, 0,FALSE), "Not Found"))))))))</f>
        <v>Not Found</v>
      </c>
      <c r="J666" t="str">
        <f>IFERROR(VLOOKUP($A666,'AAPT ExDa'!$B$2:$U$99, 7,FALSE), IFERROR(VLOOKUP($A666,'ABB ExDa'!$A$2:$N$184, 2,FALSE), IFERROR(VLOOKUP($A666,'Vocus SIT ExDa'!$B$2:$J$173, 0,FALSE), IFERROR(VLOOKUP($A666,'Telstra ExDa'!$B$2:$K$310, 7,FALSE), IFERROR(VLOOKUP($A666,'Vocus RVC ExDa'!$C$2:$R$155, 2,FALSE), IFERROR(VLOOKUP($A666,'Fusion ExDa'!$B$2:$D$16, 3,FALSE), IFERROR(VLOOKUP($A666,'Exetel ExDa'!$C$2:$N$14, 0,FALSE), IFERROR(VLOOKUP($A666,'Infinet ExDa'!$B$2:$E$14, 0,FALSE), "Not Found"))))))))</f>
        <v>Not Found</v>
      </c>
      <c r="K666" t="str">
        <f>IFERROR(VLOOKUP($A666,'AAPT ExDa'!$B$2:$U$99, 12,FALSE), IFERROR(VLOOKUP($A666,'ABB ExDa'!$A$2:$N$184, 0,FALSE), IFERROR(VLOOKUP($A666,'Vocus SIT ExDa'!$B$2:$J$173, 0,FALSE), IFERROR(VLOOKUP($A666,'Telstra ExDa'!$B$2:$K$310, 0,FALSE), IFERROR(VLOOKUP($A666,'Vocus RVC ExDa'!$C$2:$R$155, 0,FALSE), IFERROR(VLOOKUP($A666,'Fusion ExDa'!$B$2:$D$16, 0,FALSE), IFERROR(VLOOKUP($A666,'Exetel ExDa'!$C$2:$N$14, 12,FALSE), IFERROR(VLOOKUP($A666,'Infinet ExDa'!$B$2:$E$14, 0,FALSE), "Not Found"))))))))</f>
        <v>Not Found</v>
      </c>
      <c r="L666" s="235" t="str">
        <f>IFERROR(VLOOKUP($A666,'AAPT ExDa'!$B$2:$U$99, 11,FALSE), IFERROR(VLOOKUP($A666,'ABB ExDa'!$A$2:$N$184, 9,FALSE), IFERROR(VLOOKUP($A666,'Vocus SIT ExDa'!$B$2:$J$173, 8,FALSE), IFERROR(VLOOKUP($A666,'Telstra ExDa'!$B$2:$K$310, 0,FALSE), IFERROR(VLOOKUP($A666,'Vocus RVC ExDa'!$C$2:$R$155, 0,FALSE), IFERROR(VLOOKUP($A666,'Fusion ExDa'!$B$2:$D$16, 0,FALSE), IFERROR(VLOOKUP($A666,'Exetel ExDa'!$C$2:$N$14, 9,FALSE), IFERROR(VLOOKUP($A666,'Infinet ExDa'!$B$2:$E$14, 0,FALSE), "Not Found"))))))))</f>
        <v>Not Found</v>
      </c>
      <c r="M666" s="234" t="str">
        <f>IFERROR(VLOOKUP($A666,'AAPT ExDa'!$B$2:$U$99, 0,FALSE), IFERROR(VLOOKUP($A666,'ABB ExDa'!$A$2:$N$184, 0,FALSE), IFERROR(VLOOKUP($A666,'Vocus SIT ExDa'!$B$2:$J$173, 0,FALSE), IFERROR(VLOOKUP($A666,'Telstra ExDa'!$B$2:$K$310, 0,FALSE), IFERROR(VLOOKUP($A666,'Vocus RVC ExDa'!$C$2:$R$155, 0,FALSE), IFERROR(VLOOKUP($A666,'Fusion ExDa'!$B$2:$D$16, 0,FALSE), IFERROR(VLOOKUP($A666,'Exetel ExDa'!$C$2:$N$14, 11,FALSE), IFERROR(VLOOKUP($A666,'Infinet ExDa'!$B$2:$E$14, 0,FALSE), "Not Found"))))))))</f>
        <v>Not Found</v>
      </c>
      <c r="N666" t="str">
        <f>IFERROR(VLOOKUP($A666,'AAPT ExDa'!$B$2:$U$99, 0,FALSE), IFERROR(VLOOKUP($A666,'ABB ExDa'!$A$2:$N$184, 13,FALSE), IFERROR(VLOOKUP($A666,'Vocus SIT ExDa'!$B$2:$J$173, 0,FALSE), IFERROR(VLOOKUP($A666,'Telstra ExDa'!$B$2:$K$310, 0,FALSE), IFERROR(VLOOKUP($A666,'Vocus RVC ExDa'!$C$2:$R$155, 0,FALSE), IFERROR(VLOOKUP($A666,'Fusion ExDa'!$B$2:$D$16, 0,FALSE), IFERROR(VLOOKUP($A666,'Exetel ExDa'!$C$2:$N$14, 0,FALSE), IFERROR(VLOOKUP($A666,'Infinet ExDa'!$B$2:$E$14, 0,FALSE), "Not Found"))))))))</f>
        <v>Not Found</v>
      </c>
    </row>
    <row r="667" spans="1:14">
      <c r="A667">
        <v>0</v>
      </c>
      <c r="B667" t="str">
        <f>IFERROR(VLOOKUP(A667,'Exetel ExDa'!$C$2:$N$14,4,FALSE),"No Data")</f>
        <v>No Data</v>
      </c>
      <c r="C667" t="str">
        <f>IFERROR(VLOOKUP(A667,'AAPT ExDa'!$B$2:$U$99, 2,FALSE), IFERROR(VLOOKUP(A667,'ABB ExDa'!$A$2:$N$184, 2,FALSE), IFERROR(VLOOKUP(A667,'Vocus SIT ExDa'!$B$2:$J$173, 7,FALSE), IFERROR(VLOOKUP(A667,'Telstra ExDa'!$B$2:$K$310, 2,FALSE), IFERROR(VLOOKUP(A667,'Vocus RVC ExDa'!$C$2:$R$155, 3,FALSE), IFERROR(VLOOKUP(A667,'Fusion ExDa'!$B$2:$D$16, 2,FALSE), IFERROR(VLOOKUP(A667,'Exetel ExDa'!$C$2:$N$14, 2,FALSE), IFERROR(VLOOKUP(A667,'Infinet ExDa'!$B$2:$E$14, 2,FALSE), "Not Found"))))))))</f>
        <v>Not Found</v>
      </c>
      <c r="D667" t="str">
        <f>IFERROR(VLOOKUP($A667,'AAPT ExDa'!$B$2:$U$99, 15,FALSE), IFERROR(VLOOKUP($A667,'ABB ExDa'!$A$2:$N$184, 4,FALSE), IFERROR(VLOOKUP($A667,'Vocus SIT ExDa'!$B$2:$J$173, 5,FALSE), IFERROR(VLOOKUP($A667,'Telstra ExDa'!$B$2:$K$310, 8,FALSE), IFERROR(VLOOKUP($A667,'Vocus RVC ExDa'!$C$2:$R$155, 6,FALSE), IFERROR(VLOOKUP($A667,'Fusion ExDa'!$B$2:$D$16, 4,FALSE), IFERROR(VLOOKUP($A667,'Exetel ExDa'!$C$2:$N$14, 3,FALSE), IFERROR(VLOOKUP($A667,'Infinet ExDa'!$B$2:$E$14, 3,FALSE), "Not Found"))))))))</f>
        <v>Not Found</v>
      </c>
      <c r="E667" t="str">
        <f>IFERROR(VLOOKUP($A667,'AAPT ExDa'!$B$2:$U$99, 3,FALSE), IFERROR(VLOOKUP($A667,'ABB ExDa'!$A$2:$N$184, 5,FALSE), IFERROR(VLOOKUP($A667,'Vocus SIT ExDa'!$B$2:$J$173, 2,FALSE), IFERROR(VLOOKUP($A667,'Telstra ExDa'!$B$2:$K$310, 4,FALSE), IFERROR(VLOOKUP($A667,'Vocus RVC ExDa'!$C$2:$R$155, 8,FALSE), IFERROR(VLOOKUP($A667,'Fusion ExDa'!$B$2:$D$16, 4,FALSE), IFERROR(VLOOKUP($A667,'Exetel ExDa'!$C$2:$N$14, 5,FALSE), IFERROR(VLOOKUP($A667,'Infinet ExDa'!$B$2:$E$14, 3,FALSE), "Not Found"))))))))</f>
        <v>Not Found</v>
      </c>
      <c r="F667" t="str">
        <f>IFERROR(VLOOKUP($A667,'AAPT ExDa'!$B$2:$U$99, 4,FALSE), IFERROR(VLOOKUP($A667,'ABB ExDa'!$A$2:$N$184, 6,FALSE), IFERROR(VLOOKUP($A667,'Vocus SIT ExDa'!$B$2:$J$173, 3,FALSE), IFERROR(VLOOKUP($A667,'Telstra ExDa'!$B$2:$K$310, 5,FALSE), IFERROR(VLOOKUP($A667,'Vocus RVC ExDa'!$C$2:$R$155, 9,FALSE), IFERROR(VLOOKUP($A667,'Fusion ExDa'!$B$2:$D$16, 0,FALSE), IFERROR(VLOOKUP($A667,'Exetel ExDa'!$C$2:$N$14, 6,FALSE), IFERROR(VLOOKUP($A667,'Infinet ExDa'!$B$2:$E$14, 0,FALSE), "Not Found"))))))))</f>
        <v>Not Found</v>
      </c>
      <c r="G667" t="str">
        <f>IFERROR(VLOOKUP($A667,'AAPT ExDa'!$B$2:$U$99, 5,FALSE), IFERROR(VLOOKUP($A667,'ABB ExDa'!$A$2:$N$184, 8,FALSE), IFERROR(VLOOKUP($A667,'Vocus SIT ExDa'!$B$2:$J$173, 6,FALSE), IFERROR(VLOOKUP($A667,'Telstra ExDa'!$B$2:$K$310, 0,FALSE), IFERROR(VLOOKUP($A667,'Vocus RVC ExDa'!$C$2:$R$155, 15,FALSE), IFERROR(VLOOKUP($A667,'Fusion ExDa'!$B$2:$D$16, 0,FALSE), IFERROR(VLOOKUP($A667,'Exetel ExDa'!$C$2:$N$14, 7,FALSE), IFERROR(VLOOKUP($A667,'Infinet ExDa'!$B$2:$E$14, 0,FALSE), "Not Found"))))))))</f>
        <v>Not Found</v>
      </c>
      <c r="H667" t="str">
        <f>IFERROR(VLOOKUP($A667,'AAPT ExDa'!$B$2:$U$99, 6,FALSE), IFERROR(VLOOKUP($A667,'ABB ExDa'!$A$2:$N$184, 0,FALSE), IFERROR(VLOOKUP($A667,'Vocus SIT ExDa'!$B$2:$J$173, 0,FALSE), IFERROR(VLOOKUP($A667,'Telstra ExDa'!$B$2:$K$310, 0,FALSE), IFERROR(VLOOKUP($A667,'Vocus RVC ExDa'!$C$2:$R$155, 16,FALSE), IFERROR(VLOOKUP($A667,'Fusion ExDa'!$B$2:$D$16, 0,FALSE), IFERROR(VLOOKUP($A667,'Exetel ExDa'!$C$2:$N$14, 0,FALSE), IFERROR(VLOOKUP($A667,'Infinet ExDa'!$B$2:$E$14, 0,FALSE), "Not Found"))))))))</f>
        <v>Not Found</v>
      </c>
      <c r="I667" t="str">
        <f>IFERROR(VLOOKUP($A667,'AAPT ExDa'!$B$2:$U$99, 0,FALSE), IFERROR(VLOOKUP($A667,'ABB ExDa'!$A$2:$N$184, 0,FALSE), IFERROR(VLOOKUP($A667,'Vocus SIT ExDa'!$B$2:$J$173, 0,FALSE), IFERROR(VLOOKUP($A667,'Telstra ExDa'!$B$2:$K$310, 0,FALSE), IFERROR(VLOOKUP($A667,'Vocus RVC ExDa'!$C$2:$R$155, 0,FALSE), IFERROR(VLOOKUP($A667,'Fusion ExDa'!$B$2:$D$16, 0,FALSE), IFERROR(VLOOKUP($A667,'Exetel ExDa'!$C$2:$N$14, 8,FALSE), IFERROR(VLOOKUP($A667,'Infinet ExDa'!$B$2:$E$14, 0,FALSE), "Not Found"))))))))</f>
        <v>Not Found</v>
      </c>
      <c r="J667" t="str">
        <f>IFERROR(VLOOKUP($A667,'AAPT ExDa'!$B$2:$U$99, 7,FALSE), IFERROR(VLOOKUP($A667,'ABB ExDa'!$A$2:$N$184, 2,FALSE), IFERROR(VLOOKUP($A667,'Vocus SIT ExDa'!$B$2:$J$173, 0,FALSE), IFERROR(VLOOKUP($A667,'Telstra ExDa'!$B$2:$K$310, 7,FALSE), IFERROR(VLOOKUP($A667,'Vocus RVC ExDa'!$C$2:$R$155, 2,FALSE), IFERROR(VLOOKUP($A667,'Fusion ExDa'!$B$2:$D$16, 3,FALSE), IFERROR(VLOOKUP($A667,'Exetel ExDa'!$C$2:$N$14, 0,FALSE), IFERROR(VLOOKUP($A667,'Infinet ExDa'!$B$2:$E$14, 0,FALSE), "Not Found"))))))))</f>
        <v>Not Found</v>
      </c>
      <c r="K667" t="str">
        <f>IFERROR(VLOOKUP($A667,'AAPT ExDa'!$B$2:$U$99, 12,FALSE), IFERROR(VLOOKUP($A667,'ABB ExDa'!$A$2:$N$184, 0,FALSE), IFERROR(VLOOKUP($A667,'Vocus SIT ExDa'!$B$2:$J$173, 0,FALSE), IFERROR(VLOOKUP($A667,'Telstra ExDa'!$B$2:$K$310, 0,FALSE), IFERROR(VLOOKUP($A667,'Vocus RVC ExDa'!$C$2:$R$155, 0,FALSE), IFERROR(VLOOKUP($A667,'Fusion ExDa'!$B$2:$D$16, 0,FALSE), IFERROR(VLOOKUP($A667,'Exetel ExDa'!$C$2:$N$14, 12,FALSE), IFERROR(VLOOKUP($A667,'Infinet ExDa'!$B$2:$E$14, 0,FALSE), "Not Found"))))))))</f>
        <v>Not Found</v>
      </c>
      <c r="L667" s="235" t="str">
        <f>IFERROR(VLOOKUP($A667,'AAPT ExDa'!$B$2:$U$99, 11,FALSE), IFERROR(VLOOKUP($A667,'ABB ExDa'!$A$2:$N$184, 9,FALSE), IFERROR(VLOOKUP($A667,'Vocus SIT ExDa'!$B$2:$J$173, 8,FALSE), IFERROR(VLOOKUP($A667,'Telstra ExDa'!$B$2:$K$310, 0,FALSE), IFERROR(VLOOKUP($A667,'Vocus RVC ExDa'!$C$2:$R$155, 0,FALSE), IFERROR(VLOOKUP($A667,'Fusion ExDa'!$B$2:$D$16, 0,FALSE), IFERROR(VLOOKUP($A667,'Exetel ExDa'!$C$2:$N$14, 9,FALSE), IFERROR(VLOOKUP($A667,'Infinet ExDa'!$B$2:$E$14, 0,FALSE), "Not Found"))))))))</f>
        <v>Not Found</v>
      </c>
      <c r="M667" s="234" t="str">
        <f>IFERROR(VLOOKUP($A667,'AAPT ExDa'!$B$2:$U$99, 0,FALSE), IFERROR(VLOOKUP($A667,'ABB ExDa'!$A$2:$N$184, 0,FALSE), IFERROR(VLOOKUP($A667,'Vocus SIT ExDa'!$B$2:$J$173, 0,FALSE), IFERROR(VLOOKUP($A667,'Telstra ExDa'!$B$2:$K$310, 0,FALSE), IFERROR(VLOOKUP($A667,'Vocus RVC ExDa'!$C$2:$R$155, 0,FALSE), IFERROR(VLOOKUP($A667,'Fusion ExDa'!$B$2:$D$16, 0,FALSE), IFERROR(VLOOKUP($A667,'Exetel ExDa'!$C$2:$N$14, 11,FALSE), IFERROR(VLOOKUP($A667,'Infinet ExDa'!$B$2:$E$14, 0,FALSE), "Not Found"))))))))</f>
        <v>Not Found</v>
      </c>
      <c r="N667" t="str">
        <f>IFERROR(VLOOKUP($A667,'AAPT ExDa'!$B$2:$U$99, 0,FALSE), IFERROR(VLOOKUP($A667,'ABB ExDa'!$A$2:$N$184, 13,FALSE), IFERROR(VLOOKUP($A667,'Vocus SIT ExDa'!$B$2:$J$173, 0,FALSE), IFERROR(VLOOKUP($A667,'Telstra ExDa'!$B$2:$K$310, 0,FALSE), IFERROR(VLOOKUP($A667,'Vocus RVC ExDa'!$C$2:$R$155, 0,FALSE), IFERROR(VLOOKUP($A667,'Fusion ExDa'!$B$2:$D$16, 0,FALSE), IFERROR(VLOOKUP($A667,'Exetel ExDa'!$C$2:$N$14, 0,FALSE), IFERROR(VLOOKUP($A667,'Infinet ExDa'!$B$2:$E$14, 0,FALSE), "Not Found"))))))))</f>
        <v>Not Found</v>
      </c>
    </row>
    <row r="668" spans="1:14">
      <c r="A668">
        <v>0</v>
      </c>
      <c r="B668" t="str">
        <f>IFERROR(VLOOKUP(A668,'Exetel ExDa'!$C$2:$N$14,4,FALSE),"No Data")</f>
        <v>No Data</v>
      </c>
      <c r="C668" t="str">
        <f>IFERROR(VLOOKUP(A668,'AAPT ExDa'!$B$2:$U$99, 2,FALSE), IFERROR(VLOOKUP(A668,'ABB ExDa'!$A$2:$N$184, 2,FALSE), IFERROR(VLOOKUP(A668,'Vocus SIT ExDa'!$B$2:$J$173, 7,FALSE), IFERROR(VLOOKUP(A668,'Telstra ExDa'!$B$2:$K$310, 2,FALSE), IFERROR(VLOOKUP(A668,'Vocus RVC ExDa'!$C$2:$R$155, 3,FALSE), IFERROR(VLOOKUP(A668,'Fusion ExDa'!$B$2:$D$16, 2,FALSE), IFERROR(VLOOKUP(A668,'Exetel ExDa'!$C$2:$N$14, 2,FALSE), IFERROR(VLOOKUP(A668,'Infinet ExDa'!$B$2:$E$14, 2,FALSE), "Not Found"))))))))</f>
        <v>Not Found</v>
      </c>
      <c r="D668" t="str">
        <f>IFERROR(VLOOKUP($A668,'AAPT ExDa'!$B$2:$U$99, 15,FALSE), IFERROR(VLOOKUP($A668,'ABB ExDa'!$A$2:$N$184, 4,FALSE), IFERROR(VLOOKUP($A668,'Vocus SIT ExDa'!$B$2:$J$173, 5,FALSE), IFERROR(VLOOKUP($A668,'Telstra ExDa'!$B$2:$K$310, 8,FALSE), IFERROR(VLOOKUP($A668,'Vocus RVC ExDa'!$C$2:$R$155, 6,FALSE), IFERROR(VLOOKUP($A668,'Fusion ExDa'!$B$2:$D$16, 4,FALSE), IFERROR(VLOOKUP($A668,'Exetel ExDa'!$C$2:$N$14, 3,FALSE), IFERROR(VLOOKUP($A668,'Infinet ExDa'!$B$2:$E$14, 3,FALSE), "Not Found"))))))))</f>
        <v>Not Found</v>
      </c>
      <c r="E668" t="str">
        <f>IFERROR(VLOOKUP($A668,'AAPT ExDa'!$B$2:$U$99, 3,FALSE), IFERROR(VLOOKUP($A668,'ABB ExDa'!$A$2:$N$184, 5,FALSE), IFERROR(VLOOKUP($A668,'Vocus SIT ExDa'!$B$2:$J$173, 2,FALSE), IFERROR(VLOOKUP($A668,'Telstra ExDa'!$B$2:$K$310, 4,FALSE), IFERROR(VLOOKUP($A668,'Vocus RVC ExDa'!$C$2:$R$155, 8,FALSE), IFERROR(VLOOKUP($A668,'Fusion ExDa'!$B$2:$D$16, 4,FALSE), IFERROR(VLOOKUP($A668,'Exetel ExDa'!$C$2:$N$14, 5,FALSE), IFERROR(VLOOKUP($A668,'Infinet ExDa'!$B$2:$E$14, 3,FALSE), "Not Found"))))))))</f>
        <v>Not Found</v>
      </c>
      <c r="F668" t="str">
        <f>IFERROR(VLOOKUP($A668,'AAPT ExDa'!$B$2:$U$99, 4,FALSE), IFERROR(VLOOKUP($A668,'ABB ExDa'!$A$2:$N$184, 6,FALSE), IFERROR(VLOOKUP($A668,'Vocus SIT ExDa'!$B$2:$J$173, 3,FALSE), IFERROR(VLOOKUP($A668,'Telstra ExDa'!$B$2:$K$310, 5,FALSE), IFERROR(VLOOKUP($A668,'Vocus RVC ExDa'!$C$2:$R$155, 9,FALSE), IFERROR(VLOOKUP($A668,'Fusion ExDa'!$B$2:$D$16, 0,FALSE), IFERROR(VLOOKUP($A668,'Exetel ExDa'!$C$2:$N$14, 6,FALSE), IFERROR(VLOOKUP($A668,'Infinet ExDa'!$B$2:$E$14, 0,FALSE), "Not Found"))))))))</f>
        <v>Not Found</v>
      </c>
      <c r="G668" t="str">
        <f>IFERROR(VLOOKUP($A668,'AAPT ExDa'!$B$2:$U$99, 5,FALSE), IFERROR(VLOOKUP($A668,'ABB ExDa'!$A$2:$N$184, 8,FALSE), IFERROR(VLOOKUP($A668,'Vocus SIT ExDa'!$B$2:$J$173, 6,FALSE), IFERROR(VLOOKUP($A668,'Telstra ExDa'!$B$2:$K$310, 0,FALSE), IFERROR(VLOOKUP($A668,'Vocus RVC ExDa'!$C$2:$R$155, 15,FALSE), IFERROR(VLOOKUP($A668,'Fusion ExDa'!$B$2:$D$16, 0,FALSE), IFERROR(VLOOKUP($A668,'Exetel ExDa'!$C$2:$N$14, 7,FALSE), IFERROR(VLOOKUP($A668,'Infinet ExDa'!$B$2:$E$14, 0,FALSE), "Not Found"))))))))</f>
        <v>Not Found</v>
      </c>
      <c r="H668" t="str">
        <f>IFERROR(VLOOKUP($A668,'AAPT ExDa'!$B$2:$U$99, 6,FALSE), IFERROR(VLOOKUP($A668,'ABB ExDa'!$A$2:$N$184, 0,FALSE), IFERROR(VLOOKUP($A668,'Vocus SIT ExDa'!$B$2:$J$173, 0,FALSE), IFERROR(VLOOKUP($A668,'Telstra ExDa'!$B$2:$K$310, 0,FALSE), IFERROR(VLOOKUP($A668,'Vocus RVC ExDa'!$C$2:$R$155, 16,FALSE), IFERROR(VLOOKUP($A668,'Fusion ExDa'!$B$2:$D$16, 0,FALSE), IFERROR(VLOOKUP($A668,'Exetel ExDa'!$C$2:$N$14, 0,FALSE), IFERROR(VLOOKUP($A668,'Infinet ExDa'!$B$2:$E$14, 0,FALSE), "Not Found"))))))))</f>
        <v>Not Found</v>
      </c>
      <c r="I668" t="str">
        <f>IFERROR(VLOOKUP($A668,'AAPT ExDa'!$B$2:$U$99, 0,FALSE), IFERROR(VLOOKUP($A668,'ABB ExDa'!$A$2:$N$184, 0,FALSE), IFERROR(VLOOKUP($A668,'Vocus SIT ExDa'!$B$2:$J$173, 0,FALSE), IFERROR(VLOOKUP($A668,'Telstra ExDa'!$B$2:$K$310, 0,FALSE), IFERROR(VLOOKUP($A668,'Vocus RVC ExDa'!$C$2:$R$155, 0,FALSE), IFERROR(VLOOKUP($A668,'Fusion ExDa'!$B$2:$D$16, 0,FALSE), IFERROR(VLOOKUP($A668,'Exetel ExDa'!$C$2:$N$14, 8,FALSE), IFERROR(VLOOKUP($A668,'Infinet ExDa'!$B$2:$E$14, 0,FALSE), "Not Found"))))))))</f>
        <v>Not Found</v>
      </c>
      <c r="J668" t="str">
        <f>IFERROR(VLOOKUP($A668,'AAPT ExDa'!$B$2:$U$99, 7,FALSE), IFERROR(VLOOKUP($A668,'ABB ExDa'!$A$2:$N$184, 2,FALSE), IFERROR(VLOOKUP($A668,'Vocus SIT ExDa'!$B$2:$J$173, 0,FALSE), IFERROR(VLOOKUP($A668,'Telstra ExDa'!$B$2:$K$310, 7,FALSE), IFERROR(VLOOKUP($A668,'Vocus RVC ExDa'!$C$2:$R$155, 2,FALSE), IFERROR(VLOOKUP($A668,'Fusion ExDa'!$B$2:$D$16, 3,FALSE), IFERROR(VLOOKUP($A668,'Exetel ExDa'!$C$2:$N$14, 0,FALSE), IFERROR(VLOOKUP($A668,'Infinet ExDa'!$B$2:$E$14, 0,FALSE), "Not Found"))))))))</f>
        <v>Not Found</v>
      </c>
      <c r="K668" t="str">
        <f>IFERROR(VLOOKUP($A668,'AAPT ExDa'!$B$2:$U$99, 12,FALSE), IFERROR(VLOOKUP($A668,'ABB ExDa'!$A$2:$N$184, 0,FALSE), IFERROR(VLOOKUP($A668,'Vocus SIT ExDa'!$B$2:$J$173, 0,FALSE), IFERROR(VLOOKUP($A668,'Telstra ExDa'!$B$2:$K$310, 0,FALSE), IFERROR(VLOOKUP($A668,'Vocus RVC ExDa'!$C$2:$R$155, 0,FALSE), IFERROR(VLOOKUP($A668,'Fusion ExDa'!$B$2:$D$16, 0,FALSE), IFERROR(VLOOKUP($A668,'Exetel ExDa'!$C$2:$N$14, 12,FALSE), IFERROR(VLOOKUP($A668,'Infinet ExDa'!$B$2:$E$14, 0,FALSE), "Not Found"))))))))</f>
        <v>Not Found</v>
      </c>
      <c r="L668" s="235" t="str">
        <f>IFERROR(VLOOKUP($A668,'AAPT ExDa'!$B$2:$U$99, 11,FALSE), IFERROR(VLOOKUP($A668,'ABB ExDa'!$A$2:$N$184, 9,FALSE), IFERROR(VLOOKUP($A668,'Vocus SIT ExDa'!$B$2:$J$173, 8,FALSE), IFERROR(VLOOKUP($A668,'Telstra ExDa'!$B$2:$K$310, 0,FALSE), IFERROR(VLOOKUP($A668,'Vocus RVC ExDa'!$C$2:$R$155, 0,FALSE), IFERROR(VLOOKUP($A668,'Fusion ExDa'!$B$2:$D$16, 0,FALSE), IFERROR(VLOOKUP($A668,'Exetel ExDa'!$C$2:$N$14, 9,FALSE), IFERROR(VLOOKUP($A668,'Infinet ExDa'!$B$2:$E$14, 0,FALSE), "Not Found"))))))))</f>
        <v>Not Found</v>
      </c>
      <c r="M668" s="234" t="str">
        <f>IFERROR(VLOOKUP($A668,'AAPT ExDa'!$B$2:$U$99, 0,FALSE), IFERROR(VLOOKUP($A668,'ABB ExDa'!$A$2:$N$184, 0,FALSE), IFERROR(VLOOKUP($A668,'Vocus SIT ExDa'!$B$2:$J$173, 0,FALSE), IFERROR(VLOOKUP($A668,'Telstra ExDa'!$B$2:$K$310, 0,FALSE), IFERROR(VLOOKUP($A668,'Vocus RVC ExDa'!$C$2:$R$155, 0,FALSE), IFERROR(VLOOKUP($A668,'Fusion ExDa'!$B$2:$D$16, 0,FALSE), IFERROR(VLOOKUP($A668,'Exetel ExDa'!$C$2:$N$14, 11,FALSE), IFERROR(VLOOKUP($A668,'Infinet ExDa'!$B$2:$E$14, 0,FALSE), "Not Found"))))))))</f>
        <v>Not Found</v>
      </c>
      <c r="N668" t="str">
        <f>IFERROR(VLOOKUP($A668,'AAPT ExDa'!$B$2:$U$99, 0,FALSE), IFERROR(VLOOKUP($A668,'ABB ExDa'!$A$2:$N$184, 13,FALSE), IFERROR(VLOOKUP($A668,'Vocus SIT ExDa'!$B$2:$J$173, 0,FALSE), IFERROR(VLOOKUP($A668,'Telstra ExDa'!$B$2:$K$310, 0,FALSE), IFERROR(VLOOKUP($A668,'Vocus RVC ExDa'!$C$2:$R$155, 0,FALSE), IFERROR(VLOOKUP($A668,'Fusion ExDa'!$B$2:$D$16, 0,FALSE), IFERROR(VLOOKUP($A668,'Exetel ExDa'!$C$2:$N$14, 0,FALSE), IFERROR(VLOOKUP($A668,'Infinet ExDa'!$B$2:$E$14, 0,FALSE), "Not Found"))))))))</f>
        <v>Not Found</v>
      </c>
    </row>
    <row r="669" spans="1:14">
      <c r="A669">
        <v>0</v>
      </c>
      <c r="B669" t="str">
        <f>IFERROR(VLOOKUP(A669,'Exetel ExDa'!$C$2:$N$14,4,FALSE),"No Data")</f>
        <v>No Data</v>
      </c>
      <c r="C669" t="str">
        <f>IFERROR(VLOOKUP(A669,'AAPT ExDa'!$B$2:$U$99, 2,FALSE), IFERROR(VLOOKUP(A669,'ABB ExDa'!$A$2:$N$184, 2,FALSE), IFERROR(VLOOKUP(A669,'Vocus SIT ExDa'!$B$2:$J$173, 7,FALSE), IFERROR(VLOOKUP(A669,'Telstra ExDa'!$B$2:$K$310, 2,FALSE), IFERROR(VLOOKUP(A669,'Vocus RVC ExDa'!$C$2:$R$155, 3,FALSE), IFERROR(VLOOKUP(A669,'Fusion ExDa'!$B$2:$D$16, 2,FALSE), IFERROR(VLOOKUP(A669,'Exetel ExDa'!$C$2:$N$14, 2,FALSE), IFERROR(VLOOKUP(A669,'Infinet ExDa'!$B$2:$E$14, 2,FALSE), "Not Found"))))))))</f>
        <v>Not Found</v>
      </c>
      <c r="D669" t="str">
        <f>IFERROR(VLOOKUP($A669,'AAPT ExDa'!$B$2:$U$99, 15,FALSE), IFERROR(VLOOKUP($A669,'ABB ExDa'!$A$2:$N$184, 4,FALSE), IFERROR(VLOOKUP($A669,'Vocus SIT ExDa'!$B$2:$J$173, 5,FALSE), IFERROR(VLOOKUP($A669,'Telstra ExDa'!$B$2:$K$310, 8,FALSE), IFERROR(VLOOKUP($A669,'Vocus RVC ExDa'!$C$2:$R$155, 6,FALSE), IFERROR(VLOOKUP($A669,'Fusion ExDa'!$B$2:$D$16, 4,FALSE), IFERROR(VLOOKUP($A669,'Exetel ExDa'!$C$2:$N$14, 3,FALSE), IFERROR(VLOOKUP($A669,'Infinet ExDa'!$B$2:$E$14, 3,FALSE), "Not Found"))))))))</f>
        <v>Not Found</v>
      </c>
      <c r="E669" t="str">
        <f>IFERROR(VLOOKUP($A669,'AAPT ExDa'!$B$2:$U$99, 3,FALSE), IFERROR(VLOOKUP($A669,'ABB ExDa'!$A$2:$N$184, 5,FALSE), IFERROR(VLOOKUP($A669,'Vocus SIT ExDa'!$B$2:$J$173, 2,FALSE), IFERROR(VLOOKUP($A669,'Telstra ExDa'!$B$2:$K$310, 4,FALSE), IFERROR(VLOOKUP($A669,'Vocus RVC ExDa'!$C$2:$R$155, 8,FALSE), IFERROR(VLOOKUP($A669,'Fusion ExDa'!$B$2:$D$16, 4,FALSE), IFERROR(VLOOKUP($A669,'Exetel ExDa'!$C$2:$N$14, 5,FALSE), IFERROR(VLOOKUP($A669,'Infinet ExDa'!$B$2:$E$14, 3,FALSE), "Not Found"))))))))</f>
        <v>Not Found</v>
      </c>
      <c r="F669" t="str">
        <f>IFERROR(VLOOKUP($A669,'AAPT ExDa'!$B$2:$U$99, 4,FALSE), IFERROR(VLOOKUP($A669,'ABB ExDa'!$A$2:$N$184, 6,FALSE), IFERROR(VLOOKUP($A669,'Vocus SIT ExDa'!$B$2:$J$173, 3,FALSE), IFERROR(VLOOKUP($A669,'Telstra ExDa'!$B$2:$K$310, 5,FALSE), IFERROR(VLOOKUP($A669,'Vocus RVC ExDa'!$C$2:$R$155, 9,FALSE), IFERROR(VLOOKUP($A669,'Fusion ExDa'!$B$2:$D$16, 0,FALSE), IFERROR(VLOOKUP($A669,'Exetel ExDa'!$C$2:$N$14, 6,FALSE), IFERROR(VLOOKUP($A669,'Infinet ExDa'!$B$2:$E$14, 0,FALSE), "Not Found"))))))))</f>
        <v>Not Found</v>
      </c>
      <c r="G669" t="str">
        <f>IFERROR(VLOOKUP($A669,'AAPT ExDa'!$B$2:$U$99, 5,FALSE), IFERROR(VLOOKUP($A669,'ABB ExDa'!$A$2:$N$184, 8,FALSE), IFERROR(VLOOKUP($A669,'Vocus SIT ExDa'!$B$2:$J$173, 6,FALSE), IFERROR(VLOOKUP($A669,'Telstra ExDa'!$B$2:$K$310, 0,FALSE), IFERROR(VLOOKUP($A669,'Vocus RVC ExDa'!$C$2:$R$155, 15,FALSE), IFERROR(VLOOKUP($A669,'Fusion ExDa'!$B$2:$D$16, 0,FALSE), IFERROR(VLOOKUP($A669,'Exetel ExDa'!$C$2:$N$14, 7,FALSE), IFERROR(VLOOKUP($A669,'Infinet ExDa'!$B$2:$E$14, 0,FALSE), "Not Found"))))))))</f>
        <v>Not Found</v>
      </c>
      <c r="H669" t="str">
        <f>IFERROR(VLOOKUP($A669,'AAPT ExDa'!$B$2:$U$99, 6,FALSE), IFERROR(VLOOKUP($A669,'ABB ExDa'!$A$2:$N$184, 0,FALSE), IFERROR(VLOOKUP($A669,'Vocus SIT ExDa'!$B$2:$J$173, 0,FALSE), IFERROR(VLOOKUP($A669,'Telstra ExDa'!$B$2:$K$310, 0,FALSE), IFERROR(VLOOKUP($A669,'Vocus RVC ExDa'!$C$2:$R$155, 16,FALSE), IFERROR(VLOOKUP($A669,'Fusion ExDa'!$B$2:$D$16, 0,FALSE), IFERROR(VLOOKUP($A669,'Exetel ExDa'!$C$2:$N$14, 0,FALSE), IFERROR(VLOOKUP($A669,'Infinet ExDa'!$B$2:$E$14, 0,FALSE), "Not Found"))))))))</f>
        <v>Not Found</v>
      </c>
      <c r="I669" t="str">
        <f>IFERROR(VLOOKUP($A669,'AAPT ExDa'!$B$2:$U$99, 0,FALSE), IFERROR(VLOOKUP($A669,'ABB ExDa'!$A$2:$N$184, 0,FALSE), IFERROR(VLOOKUP($A669,'Vocus SIT ExDa'!$B$2:$J$173, 0,FALSE), IFERROR(VLOOKUP($A669,'Telstra ExDa'!$B$2:$K$310, 0,FALSE), IFERROR(VLOOKUP($A669,'Vocus RVC ExDa'!$C$2:$R$155, 0,FALSE), IFERROR(VLOOKUP($A669,'Fusion ExDa'!$B$2:$D$16, 0,FALSE), IFERROR(VLOOKUP($A669,'Exetel ExDa'!$C$2:$N$14, 8,FALSE), IFERROR(VLOOKUP($A669,'Infinet ExDa'!$B$2:$E$14, 0,FALSE), "Not Found"))))))))</f>
        <v>Not Found</v>
      </c>
      <c r="J669" t="str">
        <f>IFERROR(VLOOKUP($A669,'AAPT ExDa'!$B$2:$U$99, 7,FALSE), IFERROR(VLOOKUP($A669,'ABB ExDa'!$A$2:$N$184, 2,FALSE), IFERROR(VLOOKUP($A669,'Vocus SIT ExDa'!$B$2:$J$173, 0,FALSE), IFERROR(VLOOKUP($A669,'Telstra ExDa'!$B$2:$K$310, 7,FALSE), IFERROR(VLOOKUP($A669,'Vocus RVC ExDa'!$C$2:$R$155, 2,FALSE), IFERROR(VLOOKUP($A669,'Fusion ExDa'!$B$2:$D$16, 3,FALSE), IFERROR(VLOOKUP($A669,'Exetel ExDa'!$C$2:$N$14, 0,FALSE), IFERROR(VLOOKUP($A669,'Infinet ExDa'!$B$2:$E$14, 0,FALSE), "Not Found"))))))))</f>
        <v>Not Found</v>
      </c>
      <c r="K669" t="str">
        <f>IFERROR(VLOOKUP($A669,'AAPT ExDa'!$B$2:$U$99, 12,FALSE), IFERROR(VLOOKUP($A669,'ABB ExDa'!$A$2:$N$184, 0,FALSE), IFERROR(VLOOKUP($A669,'Vocus SIT ExDa'!$B$2:$J$173, 0,FALSE), IFERROR(VLOOKUP($A669,'Telstra ExDa'!$B$2:$K$310, 0,FALSE), IFERROR(VLOOKUP($A669,'Vocus RVC ExDa'!$C$2:$R$155, 0,FALSE), IFERROR(VLOOKUP($A669,'Fusion ExDa'!$B$2:$D$16, 0,FALSE), IFERROR(VLOOKUP($A669,'Exetel ExDa'!$C$2:$N$14, 12,FALSE), IFERROR(VLOOKUP($A669,'Infinet ExDa'!$B$2:$E$14, 0,FALSE), "Not Found"))))))))</f>
        <v>Not Found</v>
      </c>
      <c r="L669" s="235" t="str">
        <f>IFERROR(VLOOKUP($A669,'AAPT ExDa'!$B$2:$U$99, 11,FALSE), IFERROR(VLOOKUP($A669,'ABB ExDa'!$A$2:$N$184, 9,FALSE), IFERROR(VLOOKUP($A669,'Vocus SIT ExDa'!$B$2:$J$173, 8,FALSE), IFERROR(VLOOKUP($A669,'Telstra ExDa'!$B$2:$K$310, 0,FALSE), IFERROR(VLOOKUP($A669,'Vocus RVC ExDa'!$C$2:$R$155, 0,FALSE), IFERROR(VLOOKUP($A669,'Fusion ExDa'!$B$2:$D$16, 0,FALSE), IFERROR(VLOOKUP($A669,'Exetel ExDa'!$C$2:$N$14, 9,FALSE), IFERROR(VLOOKUP($A669,'Infinet ExDa'!$B$2:$E$14, 0,FALSE), "Not Found"))))))))</f>
        <v>Not Found</v>
      </c>
      <c r="M669" s="234" t="str">
        <f>IFERROR(VLOOKUP($A669,'AAPT ExDa'!$B$2:$U$99, 0,FALSE), IFERROR(VLOOKUP($A669,'ABB ExDa'!$A$2:$N$184, 0,FALSE), IFERROR(VLOOKUP($A669,'Vocus SIT ExDa'!$B$2:$J$173, 0,FALSE), IFERROR(VLOOKUP($A669,'Telstra ExDa'!$B$2:$K$310, 0,FALSE), IFERROR(VLOOKUP($A669,'Vocus RVC ExDa'!$C$2:$R$155, 0,FALSE), IFERROR(VLOOKUP($A669,'Fusion ExDa'!$B$2:$D$16, 0,FALSE), IFERROR(VLOOKUP($A669,'Exetel ExDa'!$C$2:$N$14, 11,FALSE), IFERROR(VLOOKUP($A669,'Infinet ExDa'!$B$2:$E$14, 0,FALSE), "Not Found"))))))))</f>
        <v>Not Found</v>
      </c>
      <c r="N669" t="str">
        <f>IFERROR(VLOOKUP($A669,'AAPT ExDa'!$B$2:$U$99, 0,FALSE), IFERROR(VLOOKUP($A669,'ABB ExDa'!$A$2:$N$184, 13,FALSE), IFERROR(VLOOKUP($A669,'Vocus SIT ExDa'!$B$2:$J$173, 0,FALSE), IFERROR(VLOOKUP($A669,'Telstra ExDa'!$B$2:$K$310, 0,FALSE), IFERROR(VLOOKUP($A669,'Vocus RVC ExDa'!$C$2:$R$155, 0,FALSE), IFERROR(VLOOKUP($A669,'Fusion ExDa'!$B$2:$D$16, 0,FALSE), IFERROR(VLOOKUP($A669,'Exetel ExDa'!$C$2:$N$14, 0,FALSE), IFERROR(VLOOKUP($A669,'Infinet ExDa'!$B$2:$E$14, 0,FALSE), "Not Found"))))))))</f>
        <v>Not Found</v>
      </c>
    </row>
    <row r="670" spans="1:14">
      <c r="A670">
        <v>0</v>
      </c>
      <c r="B670" t="str">
        <f>IFERROR(VLOOKUP(A670,'Exetel ExDa'!$C$2:$N$14,4,FALSE),"No Data")</f>
        <v>No Data</v>
      </c>
      <c r="C670" t="str">
        <f>IFERROR(VLOOKUP(A670,'AAPT ExDa'!$B$2:$U$99, 2,FALSE), IFERROR(VLOOKUP(A670,'ABB ExDa'!$A$2:$N$184, 2,FALSE), IFERROR(VLOOKUP(A670,'Vocus SIT ExDa'!$B$2:$J$173, 7,FALSE), IFERROR(VLOOKUP(A670,'Telstra ExDa'!$B$2:$K$310, 2,FALSE), IFERROR(VLOOKUP(A670,'Vocus RVC ExDa'!$C$2:$R$155, 3,FALSE), IFERROR(VLOOKUP(A670,'Fusion ExDa'!$B$2:$D$16, 2,FALSE), IFERROR(VLOOKUP(A670,'Exetel ExDa'!$C$2:$N$14, 2,FALSE), IFERROR(VLOOKUP(A670,'Infinet ExDa'!$B$2:$E$14, 2,FALSE), "Not Found"))))))))</f>
        <v>Not Found</v>
      </c>
      <c r="D670" t="str">
        <f>IFERROR(VLOOKUP($A670,'AAPT ExDa'!$B$2:$U$99, 15,FALSE), IFERROR(VLOOKUP($A670,'ABB ExDa'!$A$2:$N$184, 4,FALSE), IFERROR(VLOOKUP($A670,'Vocus SIT ExDa'!$B$2:$J$173, 5,FALSE), IFERROR(VLOOKUP($A670,'Telstra ExDa'!$B$2:$K$310, 8,FALSE), IFERROR(VLOOKUP($A670,'Vocus RVC ExDa'!$C$2:$R$155, 6,FALSE), IFERROR(VLOOKUP($A670,'Fusion ExDa'!$B$2:$D$16, 4,FALSE), IFERROR(VLOOKUP($A670,'Exetel ExDa'!$C$2:$N$14, 3,FALSE), IFERROR(VLOOKUP($A670,'Infinet ExDa'!$B$2:$E$14, 3,FALSE), "Not Found"))))))))</f>
        <v>Not Found</v>
      </c>
      <c r="E670" t="str">
        <f>IFERROR(VLOOKUP($A670,'AAPT ExDa'!$B$2:$U$99, 3,FALSE), IFERROR(VLOOKUP($A670,'ABB ExDa'!$A$2:$N$184, 5,FALSE), IFERROR(VLOOKUP($A670,'Vocus SIT ExDa'!$B$2:$J$173, 2,FALSE), IFERROR(VLOOKUP($A670,'Telstra ExDa'!$B$2:$K$310, 4,FALSE), IFERROR(VLOOKUP($A670,'Vocus RVC ExDa'!$C$2:$R$155, 8,FALSE), IFERROR(VLOOKUP($A670,'Fusion ExDa'!$B$2:$D$16, 4,FALSE), IFERROR(VLOOKUP($A670,'Exetel ExDa'!$C$2:$N$14, 5,FALSE), IFERROR(VLOOKUP($A670,'Infinet ExDa'!$B$2:$E$14, 3,FALSE), "Not Found"))))))))</f>
        <v>Not Found</v>
      </c>
      <c r="F670" t="str">
        <f>IFERROR(VLOOKUP($A670,'AAPT ExDa'!$B$2:$U$99, 4,FALSE), IFERROR(VLOOKUP($A670,'ABB ExDa'!$A$2:$N$184, 6,FALSE), IFERROR(VLOOKUP($A670,'Vocus SIT ExDa'!$B$2:$J$173, 3,FALSE), IFERROR(VLOOKUP($A670,'Telstra ExDa'!$B$2:$K$310, 5,FALSE), IFERROR(VLOOKUP($A670,'Vocus RVC ExDa'!$C$2:$R$155, 9,FALSE), IFERROR(VLOOKUP($A670,'Fusion ExDa'!$B$2:$D$16, 0,FALSE), IFERROR(VLOOKUP($A670,'Exetel ExDa'!$C$2:$N$14, 6,FALSE), IFERROR(VLOOKUP($A670,'Infinet ExDa'!$B$2:$E$14, 0,FALSE), "Not Found"))))))))</f>
        <v>Not Found</v>
      </c>
      <c r="G670" t="str">
        <f>IFERROR(VLOOKUP($A670,'AAPT ExDa'!$B$2:$U$99, 5,FALSE), IFERROR(VLOOKUP($A670,'ABB ExDa'!$A$2:$N$184, 8,FALSE), IFERROR(VLOOKUP($A670,'Vocus SIT ExDa'!$B$2:$J$173, 6,FALSE), IFERROR(VLOOKUP($A670,'Telstra ExDa'!$B$2:$K$310, 0,FALSE), IFERROR(VLOOKUP($A670,'Vocus RVC ExDa'!$C$2:$R$155, 15,FALSE), IFERROR(VLOOKUP($A670,'Fusion ExDa'!$B$2:$D$16, 0,FALSE), IFERROR(VLOOKUP($A670,'Exetel ExDa'!$C$2:$N$14, 7,FALSE), IFERROR(VLOOKUP($A670,'Infinet ExDa'!$B$2:$E$14, 0,FALSE), "Not Found"))))))))</f>
        <v>Not Found</v>
      </c>
      <c r="H670" t="str">
        <f>IFERROR(VLOOKUP($A670,'AAPT ExDa'!$B$2:$U$99, 6,FALSE), IFERROR(VLOOKUP($A670,'ABB ExDa'!$A$2:$N$184, 0,FALSE), IFERROR(VLOOKUP($A670,'Vocus SIT ExDa'!$B$2:$J$173, 0,FALSE), IFERROR(VLOOKUP($A670,'Telstra ExDa'!$B$2:$K$310, 0,FALSE), IFERROR(VLOOKUP($A670,'Vocus RVC ExDa'!$C$2:$R$155, 16,FALSE), IFERROR(VLOOKUP($A670,'Fusion ExDa'!$B$2:$D$16, 0,FALSE), IFERROR(VLOOKUP($A670,'Exetel ExDa'!$C$2:$N$14, 0,FALSE), IFERROR(VLOOKUP($A670,'Infinet ExDa'!$B$2:$E$14, 0,FALSE), "Not Found"))))))))</f>
        <v>Not Found</v>
      </c>
      <c r="I670" t="str">
        <f>IFERROR(VLOOKUP($A670,'AAPT ExDa'!$B$2:$U$99, 0,FALSE), IFERROR(VLOOKUP($A670,'ABB ExDa'!$A$2:$N$184, 0,FALSE), IFERROR(VLOOKUP($A670,'Vocus SIT ExDa'!$B$2:$J$173, 0,FALSE), IFERROR(VLOOKUP($A670,'Telstra ExDa'!$B$2:$K$310, 0,FALSE), IFERROR(VLOOKUP($A670,'Vocus RVC ExDa'!$C$2:$R$155, 0,FALSE), IFERROR(VLOOKUP($A670,'Fusion ExDa'!$B$2:$D$16, 0,FALSE), IFERROR(VLOOKUP($A670,'Exetel ExDa'!$C$2:$N$14, 8,FALSE), IFERROR(VLOOKUP($A670,'Infinet ExDa'!$B$2:$E$14, 0,FALSE), "Not Found"))))))))</f>
        <v>Not Found</v>
      </c>
      <c r="J670" t="str">
        <f>IFERROR(VLOOKUP($A670,'AAPT ExDa'!$B$2:$U$99, 7,FALSE), IFERROR(VLOOKUP($A670,'ABB ExDa'!$A$2:$N$184, 2,FALSE), IFERROR(VLOOKUP($A670,'Vocus SIT ExDa'!$B$2:$J$173, 0,FALSE), IFERROR(VLOOKUP($A670,'Telstra ExDa'!$B$2:$K$310, 7,FALSE), IFERROR(VLOOKUP($A670,'Vocus RVC ExDa'!$C$2:$R$155, 2,FALSE), IFERROR(VLOOKUP($A670,'Fusion ExDa'!$B$2:$D$16, 3,FALSE), IFERROR(VLOOKUP($A670,'Exetel ExDa'!$C$2:$N$14, 0,FALSE), IFERROR(VLOOKUP($A670,'Infinet ExDa'!$B$2:$E$14, 0,FALSE), "Not Found"))))))))</f>
        <v>Not Found</v>
      </c>
      <c r="K670" t="str">
        <f>IFERROR(VLOOKUP($A670,'AAPT ExDa'!$B$2:$U$99, 12,FALSE), IFERROR(VLOOKUP($A670,'ABB ExDa'!$A$2:$N$184, 0,FALSE), IFERROR(VLOOKUP($A670,'Vocus SIT ExDa'!$B$2:$J$173, 0,FALSE), IFERROR(VLOOKUP($A670,'Telstra ExDa'!$B$2:$K$310, 0,FALSE), IFERROR(VLOOKUP($A670,'Vocus RVC ExDa'!$C$2:$R$155, 0,FALSE), IFERROR(VLOOKUP($A670,'Fusion ExDa'!$B$2:$D$16, 0,FALSE), IFERROR(VLOOKUP($A670,'Exetel ExDa'!$C$2:$N$14, 12,FALSE), IFERROR(VLOOKUP($A670,'Infinet ExDa'!$B$2:$E$14, 0,FALSE), "Not Found"))))))))</f>
        <v>Not Found</v>
      </c>
      <c r="L670" s="235" t="str">
        <f>IFERROR(VLOOKUP($A670,'AAPT ExDa'!$B$2:$U$99, 11,FALSE), IFERROR(VLOOKUP($A670,'ABB ExDa'!$A$2:$N$184, 9,FALSE), IFERROR(VLOOKUP($A670,'Vocus SIT ExDa'!$B$2:$J$173, 8,FALSE), IFERROR(VLOOKUP($A670,'Telstra ExDa'!$B$2:$K$310, 0,FALSE), IFERROR(VLOOKUP($A670,'Vocus RVC ExDa'!$C$2:$R$155, 0,FALSE), IFERROR(VLOOKUP($A670,'Fusion ExDa'!$B$2:$D$16, 0,FALSE), IFERROR(VLOOKUP($A670,'Exetel ExDa'!$C$2:$N$14, 9,FALSE), IFERROR(VLOOKUP($A670,'Infinet ExDa'!$B$2:$E$14, 0,FALSE), "Not Found"))))))))</f>
        <v>Not Found</v>
      </c>
      <c r="M670" s="234" t="str">
        <f>IFERROR(VLOOKUP($A670,'AAPT ExDa'!$B$2:$U$99, 0,FALSE), IFERROR(VLOOKUP($A670,'ABB ExDa'!$A$2:$N$184, 0,FALSE), IFERROR(VLOOKUP($A670,'Vocus SIT ExDa'!$B$2:$J$173, 0,FALSE), IFERROR(VLOOKUP($A670,'Telstra ExDa'!$B$2:$K$310, 0,FALSE), IFERROR(VLOOKUP($A670,'Vocus RVC ExDa'!$C$2:$R$155, 0,FALSE), IFERROR(VLOOKUP($A670,'Fusion ExDa'!$B$2:$D$16, 0,FALSE), IFERROR(VLOOKUP($A670,'Exetel ExDa'!$C$2:$N$14, 11,FALSE), IFERROR(VLOOKUP($A670,'Infinet ExDa'!$B$2:$E$14, 0,FALSE), "Not Found"))))))))</f>
        <v>Not Found</v>
      </c>
      <c r="N670" t="str">
        <f>IFERROR(VLOOKUP($A670,'AAPT ExDa'!$B$2:$U$99, 0,FALSE), IFERROR(VLOOKUP($A670,'ABB ExDa'!$A$2:$N$184, 13,FALSE), IFERROR(VLOOKUP($A670,'Vocus SIT ExDa'!$B$2:$J$173, 0,FALSE), IFERROR(VLOOKUP($A670,'Telstra ExDa'!$B$2:$K$310, 0,FALSE), IFERROR(VLOOKUP($A670,'Vocus RVC ExDa'!$C$2:$R$155, 0,FALSE), IFERROR(VLOOKUP($A670,'Fusion ExDa'!$B$2:$D$16, 0,FALSE), IFERROR(VLOOKUP($A670,'Exetel ExDa'!$C$2:$N$14, 0,FALSE), IFERROR(VLOOKUP($A670,'Infinet ExDa'!$B$2:$E$14, 0,FALSE), "Not Found"))))))))</f>
        <v>Not Found</v>
      </c>
    </row>
    <row r="671" spans="1:14">
      <c r="A671">
        <v>0</v>
      </c>
      <c r="B671" t="str">
        <f>IFERROR(VLOOKUP(A671,'Exetel ExDa'!$C$2:$N$14,4,FALSE),"No Data")</f>
        <v>No Data</v>
      </c>
      <c r="C671" t="str">
        <f>IFERROR(VLOOKUP(A671,'AAPT ExDa'!$B$2:$U$99, 2,FALSE), IFERROR(VLOOKUP(A671,'ABB ExDa'!$A$2:$N$184, 2,FALSE), IFERROR(VLOOKUP(A671,'Vocus SIT ExDa'!$B$2:$J$173, 7,FALSE), IFERROR(VLOOKUP(A671,'Telstra ExDa'!$B$2:$K$310, 2,FALSE), IFERROR(VLOOKUP(A671,'Vocus RVC ExDa'!$C$2:$R$155, 3,FALSE), IFERROR(VLOOKUP(A671,'Fusion ExDa'!$B$2:$D$16, 2,FALSE), IFERROR(VLOOKUP(A671,'Exetel ExDa'!$C$2:$N$14, 2,FALSE), IFERROR(VLOOKUP(A671,'Infinet ExDa'!$B$2:$E$14, 2,FALSE), "Not Found"))))))))</f>
        <v>Not Found</v>
      </c>
      <c r="D671" t="str">
        <f>IFERROR(VLOOKUP($A671,'AAPT ExDa'!$B$2:$U$99, 15,FALSE), IFERROR(VLOOKUP($A671,'ABB ExDa'!$A$2:$N$184, 4,FALSE), IFERROR(VLOOKUP($A671,'Vocus SIT ExDa'!$B$2:$J$173, 5,FALSE), IFERROR(VLOOKUP($A671,'Telstra ExDa'!$B$2:$K$310, 8,FALSE), IFERROR(VLOOKUP($A671,'Vocus RVC ExDa'!$C$2:$R$155, 6,FALSE), IFERROR(VLOOKUP($A671,'Fusion ExDa'!$B$2:$D$16, 4,FALSE), IFERROR(VLOOKUP($A671,'Exetel ExDa'!$C$2:$N$14, 3,FALSE), IFERROR(VLOOKUP($A671,'Infinet ExDa'!$B$2:$E$14, 3,FALSE), "Not Found"))))))))</f>
        <v>Not Found</v>
      </c>
      <c r="E671" t="str">
        <f>IFERROR(VLOOKUP($A671,'AAPT ExDa'!$B$2:$U$99, 3,FALSE), IFERROR(VLOOKUP($A671,'ABB ExDa'!$A$2:$N$184, 5,FALSE), IFERROR(VLOOKUP($A671,'Vocus SIT ExDa'!$B$2:$J$173, 2,FALSE), IFERROR(VLOOKUP($A671,'Telstra ExDa'!$B$2:$K$310, 4,FALSE), IFERROR(VLOOKUP($A671,'Vocus RVC ExDa'!$C$2:$R$155, 8,FALSE), IFERROR(VLOOKUP($A671,'Fusion ExDa'!$B$2:$D$16, 4,FALSE), IFERROR(VLOOKUP($A671,'Exetel ExDa'!$C$2:$N$14, 5,FALSE), IFERROR(VLOOKUP($A671,'Infinet ExDa'!$B$2:$E$14, 3,FALSE), "Not Found"))))))))</f>
        <v>Not Found</v>
      </c>
      <c r="F671" t="str">
        <f>IFERROR(VLOOKUP($A671,'AAPT ExDa'!$B$2:$U$99, 4,FALSE), IFERROR(VLOOKUP($A671,'ABB ExDa'!$A$2:$N$184, 6,FALSE), IFERROR(VLOOKUP($A671,'Vocus SIT ExDa'!$B$2:$J$173, 3,FALSE), IFERROR(VLOOKUP($A671,'Telstra ExDa'!$B$2:$K$310, 5,FALSE), IFERROR(VLOOKUP($A671,'Vocus RVC ExDa'!$C$2:$R$155, 9,FALSE), IFERROR(VLOOKUP($A671,'Fusion ExDa'!$B$2:$D$16, 0,FALSE), IFERROR(VLOOKUP($A671,'Exetel ExDa'!$C$2:$N$14, 6,FALSE), IFERROR(VLOOKUP($A671,'Infinet ExDa'!$B$2:$E$14, 0,FALSE), "Not Found"))))))))</f>
        <v>Not Found</v>
      </c>
      <c r="G671" t="str">
        <f>IFERROR(VLOOKUP($A671,'AAPT ExDa'!$B$2:$U$99, 5,FALSE), IFERROR(VLOOKUP($A671,'ABB ExDa'!$A$2:$N$184, 8,FALSE), IFERROR(VLOOKUP($A671,'Vocus SIT ExDa'!$B$2:$J$173, 6,FALSE), IFERROR(VLOOKUP($A671,'Telstra ExDa'!$B$2:$K$310, 0,FALSE), IFERROR(VLOOKUP($A671,'Vocus RVC ExDa'!$C$2:$R$155, 15,FALSE), IFERROR(VLOOKUP($A671,'Fusion ExDa'!$B$2:$D$16, 0,FALSE), IFERROR(VLOOKUP($A671,'Exetel ExDa'!$C$2:$N$14, 7,FALSE), IFERROR(VLOOKUP($A671,'Infinet ExDa'!$B$2:$E$14, 0,FALSE), "Not Found"))))))))</f>
        <v>Not Found</v>
      </c>
      <c r="H671" t="str">
        <f>IFERROR(VLOOKUP($A671,'AAPT ExDa'!$B$2:$U$99, 6,FALSE), IFERROR(VLOOKUP($A671,'ABB ExDa'!$A$2:$N$184, 0,FALSE), IFERROR(VLOOKUP($A671,'Vocus SIT ExDa'!$B$2:$J$173, 0,FALSE), IFERROR(VLOOKUP($A671,'Telstra ExDa'!$B$2:$K$310, 0,FALSE), IFERROR(VLOOKUP($A671,'Vocus RVC ExDa'!$C$2:$R$155, 16,FALSE), IFERROR(VLOOKUP($A671,'Fusion ExDa'!$B$2:$D$16, 0,FALSE), IFERROR(VLOOKUP($A671,'Exetel ExDa'!$C$2:$N$14, 0,FALSE), IFERROR(VLOOKUP($A671,'Infinet ExDa'!$B$2:$E$14, 0,FALSE), "Not Found"))))))))</f>
        <v>Not Found</v>
      </c>
      <c r="I671" t="str">
        <f>IFERROR(VLOOKUP($A671,'AAPT ExDa'!$B$2:$U$99, 0,FALSE), IFERROR(VLOOKUP($A671,'ABB ExDa'!$A$2:$N$184, 0,FALSE), IFERROR(VLOOKUP($A671,'Vocus SIT ExDa'!$B$2:$J$173, 0,FALSE), IFERROR(VLOOKUP($A671,'Telstra ExDa'!$B$2:$K$310, 0,FALSE), IFERROR(VLOOKUP($A671,'Vocus RVC ExDa'!$C$2:$R$155, 0,FALSE), IFERROR(VLOOKUP($A671,'Fusion ExDa'!$B$2:$D$16, 0,FALSE), IFERROR(VLOOKUP($A671,'Exetel ExDa'!$C$2:$N$14, 8,FALSE), IFERROR(VLOOKUP($A671,'Infinet ExDa'!$B$2:$E$14, 0,FALSE), "Not Found"))))))))</f>
        <v>Not Found</v>
      </c>
      <c r="J671" t="str">
        <f>IFERROR(VLOOKUP($A671,'AAPT ExDa'!$B$2:$U$99, 7,FALSE), IFERROR(VLOOKUP($A671,'ABB ExDa'!$A$2:$N$184, 2,FALSE), IFERROR(VLOOKUP($A671,'Vocus SIT ExDa'!$B$2:$J$173, 0,FALSE), IFERROR(VLOOKUP($A671,'Telstra ExDa'!$B$2:$K$310, 7,FALSE), IFERROR(VLOOKUP($A671,'Vocus RVC ExDa'!$C$2:$R$155, 2,FALSE), IFERROR(VLOOKUP($A671,'Fusion ExDa'!$B$2:$D$16, 3,FALSE), IFERROR(VLOOKUP($A671,'Exetel ExDa'!$C$2:$N$14, 0,FALSE), IFERROR(VLOOKUP($A671,'Infinet ExDa'!$B$2:$E$14, 0,FALSE), "Not Found"))))))))</f>
        <v>Not Found</v>
      </c>
      <c r="K671" t="str">
        <f>IFERROR(VLOOKUP($A671,'AAPT ExDa'!$B$2:$U$99, 12,FALSE), IFERROR(VLOOKUP($A671,'ABB ExDa'!$A$2:$N$184, 0,FALSE), IFERROR(VLOOKUP($A671,'Vocus SIT ExDa'!$B$2:$J$173, 0,FALSE), IFERROR(VLOOKUP($A671,'Telstra ExDa'!$B$2:$K$310, 0,FALSE), IFERROR(VLOOKUP($A671,'Vocus RVC ExDa'!$C$2:$R$155, 0,FALSE), IFERROR(VLOOKUP($A671,'Fusion ExDa'!$B$2:$D$16, 0,FALSE), IFERROR(VLOOKUP($A671,'Exetel ExDa'!$C$2:$N$14, 12,FALSE), IFERROR(VLOOKUP($A671,'Infinet ExDa'!$B$2:$E$14, 0,FALSE), "Not Found"))))))))</f>
        <v>Not Found</v>
      </c>
      <c r="L671" s="235" t="str">
        <f>IFERROR(VLOOKUP($A671,'AAPT ExDa'!$B$2:$U$99, 11,FALSE), IFERROR(VLOOKUP($A671,'ABB ExDa'!$A$2:$N$184, 9,FALSE), IFERROR(VLOOKUP($A671,'Vocus SIT ExDa'!$B$2:$J$173, 8,FALSE), IFERROR(VLOOKUP($A671,'Telstra ExDa'!$B$2:$K$310, 0,FALSE), IFERROR(VLOOKUP($A671,'Vocus RVC ExDa'!$C$2:$R$155, 0,FALSE), IFERROR(VLOOKUP($A671,'Fusion ExDa'!$B$2:$D$16, 0,FALSE), IFERROR(VLOOKUP($A671,'Exetel ExDa'!$C$2:$N$14, 9,FALSE), IFERROR(VLOOKUP($A671,'Infinet ExDa'!$B$2:$E$14, 0,FALSE), "Not Found"))))))))</f>
        <v>Not Found</v>
      </c>
      <c r="M671" s="234" t="str">
        <f>IFERROR(VLOOKUP($A671,'AAPT ExDa'!$B$2:$U$99, 0,FALSE), IFERROR(VLOOKUP($A671,'ABB ExDa'!$A$2:$N$184, 0,FALSE), IFERROR(VLOOKUP($A671,'Vocus SIT ExDa'!$B$2:$J$173, 0,FALSE), IFERROR(VLOOKUP($A671,'Telstra ExDa'!$B$2:$K$310, 0,FALSE), IFERROR(VLOOKUP($A671,'Vocus RVC ExDa'!$C$2:$R$155, 0,FALSE), IFERROR(VLOOKUP($A671,'Fusion ExDa'!$B$2:$D$16, 0,FALSE), IFERROR(VLOOKUP($A671,'Exetel ExDa'!$C$2:$N$14, 11,FALSE), IFERROR(VLOOKUP($A671,'Infinet ExDa'!$B$2:$E$14, 0,FALSE), "Not Found"))))))))</f>
        <v>Not Found</v>
      </c>
      <c r="N671" t="str">
        <f>IFERROR(VLOOKUP($A671,'AAPT ExDa'!$B$2:$U$99, 0,FALSE), IFERROR(VLOOKUP($A671,'ABB ExDa'!$A$2:$N$184, 13,FALSE), IFERROR(VLOOKUP($A671,'Vocus SIT ExDa'!$B$2:$J$173, 0,FALSE), IFERROR(VLOOKUP($A671,'Telstra ExDa'!$B$2:$K$310, 0,FALSE), IFERROR(VLOOKUP($A671,'Vocus RVC ExDa'!$C$2:$R$155, 0,FALSE), IFERROR(VLOOKUP($A671,'Fusion ExDa'!$B$2:$D$16, 0,FALSE), IFERROR(VLOOKUP($A671,'Exetel ExDa'!$C$2:$N$14, 0,FALSE), IFERROR(VLOOKUP($A671,'Infinet ExDa'!$B$2:$E$14, 0,FALSE), "Not Found"))))))))</f>
        <v>Not Found</v>
      </c>
    </row>
    <row r="672" spans="1:14">
      <c r="A672">
        <v>0</v>
      </c>
      <c r="B672" t="str">
        <f>IFERROR(VLOOKUP(A672,'Exetel ExDa'!$C$2:$N$14,4,FALSE),"No Data")</f>
        <v>No Data</v>
      </c>
      <c r="C672" t="str">
        <f>IFERROR(VLOOKUP(A672,'AAPT ExDa'!$B$2:$U$99, 2,FALSE), IFERROR(VLOOKUP(A672,'ABB ExDa'!$A$2:$N$184, 2,FALSE), IFERROR(VLOOKUP(A672,'Vocus SIT ExDa'!$B$2:$J$173, 7,FALSE), IFERROR(VLOOKUP(A672,'Telstra ExDa'!$B$2:$K$310, 2,FALSE), IFERROR(VLOOKUP(A672,'Vocus RVC ExDa'!$C$2:$R$155, 3,FALSE), IFERROR(VLOOKUP(A672,'Fusion ExDa'!$B$2:$D$16, 2,FALSE), IFERROR(VLOOKUP(A672,'Exetel ExDa'!$C$2:$N$14, 2,FALSE), IFERROR(VLOOKUP(A672,'Infinet ExDa'!$B$2:$E$14, 2,FALSE), "Not Found"))))))))</f>
        <v>Not Found</v>
      </c>
      <c r="D672" t="str">
        <f>IFERROR(VLOOKUP($A672,'AAPT ExDa'!$B$2:$U$99, 15,FALSE), IFERROR(VLOOKUP($A672,'ABB ExDa'!$A$2:$N$184, 4,FALSE), IFERROR(VLOOKUP($A672,'Vocus SIT ExDa'!$B$2:$J$173, 5,FALSE), IFERROR(VLOOKUP($A672,'Telstra ExDa'!$B$2:$K$310, 8,FALSE), IFERROR(VLOOKUP($A672,'Vocus RVC ExDa'!$C$2:$R$155, 6,FALSE), IFERROR(VLOOKUP($A672,'Fusion ExDa'!$B$2:$D$16, 4,FALSE), IFERROR(VLOOKUP($A672,'Exetel ExDa'!$C$2:$N$14, 3,FALSE), IFERROR(VLOOKUP($A672,'Infinet ExDa'!$B$2:$E$14, 3,FALSE), "Not Found"))))))))</f>
        <v>Not Found</v>
      </c>
      <c r="E672" t="str">
        <f>IFERROR(VLOOKUP($A672,'AAPT ExDa'!$B$2:$U$99, 3,FALSE), IFERROR(VLOOKUP($A672,'ABB ExDa'!$A$2:$N$184, 5,FALSE), IFERROR(VLOOKUP($A672,'Vocus SIT ExDa'!$B$2:$J$173, 2,FALSE), IFERROR(VLOOKUP($A672,'Telstra ExDa'!$B$2:$K$310, 4,FALSE), IFERROR(VLOOKUP($A672,'Vocus RVC ExDa'!$C$2:$R$155, 8,FALSE), IFERROR(VLOOKUP($A672,'Fusion ExDa'!$B$2:$D$16, 4,FALSE), IFERROR(VLOOKUP($A672,'Exetel ExDa'!$C$2:$N$14, 5,FALSE), IFERROR(VLOOKUP($A672,'Infinet ExDa'!$B$2:$E$14, 3,FALSE), "Not Found"))))))))</f>
        <v>Not Found</v>
      </c>
      <c r="F672" t="str">
        <f>IFERROR(VLOOKUP($A672,'AAPT ExDa'!$B$2:$U$99, 4,FALSE), IFERROR(VLOOKUP($A672,'ABB ExDa'!$A$2:$N$184, 6,FALSE), IFERROR(VLOOKUP($A672,'Vocus SIT ExDa'!$B$2:$J$173, 3,FALSE), IFERROR(VLOOKUP($A672,'Telstra ExDa'!$B$2:$K$310, 5,FALSE), IFERROR(VLOOKUP($A672,'Vocus RVC ExDa'!$C$2:$R$155, 9,FALSE), IFERROR(VLOOKUP($A672,'Fusion ExDa'!$B$2:$D$16, 0,FALSE), IFERROR(VLOOKUP($A672,'Exetel ExDa'!$C$2:$N$14, 6,FALSE), IFERROR(VLOOKUP($A672,'Infinet ExDa'!$B$2:$E$14, 0,FALSE), "Not Found"))))))))</f>
        <v>Not Found</v>
      </c>
      <c r="G672" t="str">
        <f>IFERROR(VLOOKUP($A672,'AAPT ExDa'!$B$2:$U$99, 5,FALSE), IFERROR(VLOOKUP($A672,'ABB ExDa'!$A$2:$N$184, 8,FALSE), IFERROR(VLOOKUP($A672,'Vocus SIT ExDa'!$B$2:$J$173, 6,FALSE), IFERROR(VLOOKUP($A672,'Telstra ExDa'!$B$2:$K$310, 0,FALSE), IFERROR(VLOOKUP($A672,'Vocus RVC ExDa'!$C$2:$R$155, 15,FALSE), IFERROR(VLOOKUP($A672,'Fusion ExDa'!$B$2:$D$16, 0,FALSE), IFERROR(VLOOKUP($A672,'Exetel ExDa'!$C$2:$N$14, 7,FALSE), IFERROR(VLOOKUP($A672,'Infinet ExDa'!$B$2:$E$14, 0,FALSE), "Not Found"))))))))</f>
        <v>Not Found</v>
      </c>
      <c r="H672" t="str">
        <f>IFERROR(VLOOKUP($A672,'AAPT ExDa'!$B$2:$U$99, 6,FALSE), IFERROR(VLOOKUP($A672,'ABB ExDa'!$A$2:$N$184, 0,FALSE), IFERROR(VLOOKUP($A672,'Vocus SIT ExDa'!$B$2:$J$173, 0,FALSE), IFERROR(VLOOKUP($A672,'Telstra ExDa'!$B$2:$K$310, 0,FALSE), IFERROR(VLOOKUP($A672,'Vocus RVC ExDa'!$C$2:$R$155, 16,FALSE), IFERROR(VLOOKUP($A672,'Fusion ExDa'!$B$2:$D$16, 0,FALSE), IFERROR(VLOOKUP($A672,'Exetel ExDa'!$C$2:$N$14, 0,FALSE), IFERROR(VLOOKUP($A672,'Infinet ExDa'!$B$2:$E$14, 0,FALSE), "Not Found"))))))))</f>
        <v>Not Found</v>
      </c>
      <c r="I672" t="str">
        <f>IFERROR(VLOOKUP($A672,'AAPT ExDa'!$B$2:$U$99, 0,FALSE), IFERROR(VLOOKUP($A672,'ABB ExDa'!$A$2:$N$184, 0,FALSE), IFERROR(VLOOKUP($A672,'Vocus SIT ExDa'!$B$2:$J$173, 0,FALSE), IFERROR(VLOOKUP($A672,'Telstra ExDa'!$B$2:$K$310, 0,FALSE), IFERROR(VLOOKUP($A672,'Vocus RVC ExDa'!$C$2:$R$155, 0,FALSE), IFERROR(VLOOKUP($A672,'Fusion ExDa'!$B$2:$D$16, 0,FALSE), IFERROR(VLOOKUP($A672,'Exetel ExDa'!$C$2:$N$14, 8,FALSE), IFERROR(VLOOKUP($A672,'Infinet ExDa'!$B$2:$E$14, 0,FALSE), "Not Found"))))))))</f>
        <v>Not Found</v>
      </c>
      <c r="J672" t="str">
        <f>IFERROR(VLOOKUP($A672,'AAPT ExDa'!$B$2:$U$99, 7,FALSE), IFERROR(VLOOKUP($A672,'ABB ExDa'!$A$2:$N$184, 2,FALSE), IFERROR(VLOOKUP($A672,'Vocus SIT ExDa'!$B$2:$J$173, 0,FALSE), IFERROR(VLOOKUP($A672,'Telstra ExDa'!$B$2:$K$310, 7,FALSE), IFERROR(VLOOKUP($A672,'Vocus RVC ExDa'!$C$2:$R$155, 2,FALSE), IFERROR(VLOOKUP($A672,'Fusion ExDa'!$B$2:$D$16, 3,FALSE), IFERROR(VLOOKUP($A672,'Exetel ExDa'!$C$2:$N$14, 0,FALSE), IFERROR(VLOOKUP($A672,'Infinet ExDa'!$B$2:$E$14, 0,FALSE), "Not Found"))))))))</f>
        <v>Not Found</v>
      </c>
      <c r="K672" t="str">
        <f>IFERROR(VLOOKUP($A672,'AAPT ExDa'!$B$2:$U$99, 12,FALSE), IFERROR(VLOOKUP($A672,'ABB ExDa'!$A$2:$N$184, 0,FALSE), IFERROR(VLOOKUP($A672,'Vocus SIT ExDa'!$B$2:$J$173, 0,FALSE), IFERROR(VLOOKUP($A672,'Telstra ExDa'!$B$2:$K$310, 0,FALSE), IFERROR(VLOOKUP($A672,'Vocus RVC ExDa'!$C$2:$R$155, 0,FALSE), IFERROR(VLOOKUP($A672,'Fusion ExDa'!$B$2:$D$16, 0,FALSE), IFERROR(VLOOKUP($A672,'Exetel ExDa'!$C$2:$N$14, 12,FALSE), IFERROR(VLOOKUP($A672,'Infinet ExDa'!$B$2:$E$14, 0,FALSE), "Not Found"))))))))</f>
        <v>Not Found</v>
      </c>
      <c r="L672" s="235" t="str">
        <f>IFERROR(VLOOKUP($A672,'AAPT ExDa'!$B$2:$U$99, 11,FALSE), IFERROR(VLOOKUP($A672,'ABB ExDa'!$A$2:$N$184, 9,FALSE), IFERROR(VLOOKUP($A672,'Vocus SIT ExDa'!$B$2:$J$173, 8,FALSE), IFERROR(VLOOKUP($A672,'Telstra ExDa'!$B$2:$K$310, 0,FALSE), IFERROR(VLOOKUP($A672,'Vocus RVC ExDa'!$C$2:$R$155, 0,FALSE), IFERROR(VLOOKUP($A672,'Fusion ExDa'!$B$2:$D$16, 0,FALSE), IFERROR(VLOOKUP($A672,'Exetel ExDa'!$C$2:$N$14, 9,FALSE), IFERROR(VLOOKUP($A672,'Infinet ExDa'!$B$2:$E$14, 0,FALSE), "Not Found"))))))))</f>
        <v>Not Found</v>
      </c>
      <c r="M672" s="234" t="str">
        <f>IFERROR(VLOOKUP($A672,'AAPT ExDa'!$B$2:$U$99, 0,FALSE), IFERROR(VLOOKUP($A672,'ABB ExDa'!$A$2:$N$184, 0,FALSE), IFERROR(VLOOKUP($A672,'Vocus SIT ExDa'!$B$2:$J$173, 0,FALSE), IFERROR(VLOOKUP($A672,'Telstra ExDa'!$B$2:$K$310, 0,FALSE), IFERROR(VLOOKUP($A672,'Vocus RVC ExDa'!$C$2:$R$155, 0,FALSE), IFERROR(VLOOKUP($A672,'Fusion ExDa'!$B$2:$D$16, 0,FALSE), IFERROR(VLOOKUP($A672,'Exetel ExDa'!$C$2:$N$14, 11,FALSE), IFERROR(VLOOKUP($A672,'Infinet ExDa'!$B$2:$E$14, 0,FALSE), "Not Found"))))))))</f>
        <v>Not Found</v>
      </c>
      <c r="N672" t="str">
        <f>IFERROR(VLOOKUP($A672,'AAPT ExDa'!$B$2:$U$99, 0,FALSE), IFERROR(VLOOKUP($A672,'ABB ExDa'!$A$2:$N$184, 13,FALSE), IFERROR(VLOOKUP($A672,'Vocus SIT ExDa'!$B$2:$J$173, 0,FALSE), IFERROR(VLOOKUP($A672,'Telstra ExDa'!$B$2:$K$310, 0,FALSE), IFERROR(VLOOKUP($A672,'Vocus RVC ExDa'!$C$2:$R$155, 0,FALSE), IFERROR(VLOOKUP($A672,'Fusion ExDa'!$B$2:$D$16, 0,FALSE), IFERROR(VLOOKUP($A672,'Exetel ExDa'!$C$2:$N$14, 0,FALSE), IFERROR(VLOOKUP($A672,'Infinet ExDa'!$B$2:$E$14, 0,FALSE), "Not Found"))))))))</f>
        <v>Not Found</v>
      </c>
    </row>
    <row r="673" spans="1:14">
      <c r="A673">
        <v>0</v>
      </c>
      <c r="B673" t="str">
        <f>IFERROR(VLOOKUP(A673,'Exetel ExDa'!$C$2:$N$14,4,FALSE),"No Data")</f>
        <v>No Data</v>
      </c>
      <c r="C673" t="str">
        <f>IFERROR(VLOOKUP(A673,'AAPT ExDa'!$B$2:$U$99, 2,FALSE), IFERROR(VLOOKUP(A673,'ABB ExDa'!$A$2:$N$184, 2,FALSE), IFERROR(VLOOKUP(A673,'Vocus SIT ExDa'!$B$2:$J$173, 7,FALSE), IFERROR(VLOOKUP(A673,'Telstra ExDa'!$B$2:$K$310, 2,FALSE), IFERROR(VLOOKUP(A673,'Vocus RVC ExDa'!$C$2:$R$155, 3,FALSE), IFERROR(VLOOKUP(A673,'Fusion ExDa'!$B$2:$D$16, 2,FALSE), IFERROR(VLOOKUP(A673,'Exetel ExDa'!$C$2:$N$14, 2,FALSE), IFERROR(VLOOKUP(A673,'Infinet ExDa'!$B$2:$E$14, 2,FALSE), "Not Found"))))))))</f>
        <v>Not Found</v>
      </c>
      <c r="D673" t="str">
        <f>IFERROR(VLOOKUP($A673,'AAPT ExDa'!$B$2:$U$99, 15,FALSE), IFERROR(VLOOKUP($A673,'ABB ExDa'!$A$2:$N$184, 4,FALSE), IFERROR(VLOOKUP($A673,'Vocus SIT ExDa'!$B$2:$J$173, 5,FALSE), IFERROR(VLOOKUP($A673,'Telstra ExDa'!$B$2:$K$310, 8,FALSE), IFERROR(VLOOKUP($A673,'Vocus RVC ExDa'!$C$2:$R$155, 6,FALSE), IFERROR(VLOOKUP($A673,'Fusion ExDa'!$B$2:$D$16, 4,FALSE), IFERROR(VLOOKUP($A673,'Exetel ExDa'!$C$2:$N$14, 3,FALSE), IFERROR(VLOOKUP($A673,'Infinet ExDa'!$B$2:$E$14, 3,FALSE), "Not Found"))))))))</f>
        <v>Not Found</v>
      </c>
      <c r="E673" t="str">
        <f>IFERROR(VLOOKUP($A673,'AAPT ExDa'!$B$2:$U$99, 3,FALSE), IFERROR(VLOOKUP($A673,'ABB ExDa'!$A$2:$N$184, 5,FALSE), IFERROR(VLOOKUP($A673,'Vocus SIT ExDa'!$B$2:$J$173, 2,FALSE), IFERROR(VLOOKUP($A673,'Telstra ExDa'!$B$2:$K$310, 4,FALSE), IFERROR(VLOOKUP($A673,'Vocus RVC ExDa'!$C$2:$R$155, 8,FALSE), IFERROR(VLOOKUP($A673,'Fusion ExDa'!$B$2:$D$16, 4,FALSE), IFERROR(VLOOKUP($A673,'Exetel ExDa'!$C$2:$N$14, 5,FALSE), IFERROR(VLOOKUP($A673,'Infinet ExDa'!$B$2:$E$14, 3,FALSE), "Not Found"))))))))</f>
        <v>Not Found</v>
      </c>
      <c r="F673" t="str">
        <f>IFERROR(VLOOKUP($A673,'AAPT ExDa'!$B$2:$U$99, 4,FALSE), IFERROR(VLOOKUP($A673,'ABB ExDa'!$A$2:$N$184, 6,FALSE), IFERROR(VLOOKUP($A673,'Vocus SIT ExDa'!$B$2:$J$173, 3,FALSE), IFERROR(VLOOKUP($A673,'Telstra ExDa'!$B$2:$K$310, 5,FALSE), IFERROR(VLOOKUP($A673,'Vocus RVC ExDa'!$C$2:$R$155, 9,FALSE), IFERROR(VLOOKUP($A673,'Fusion ExDa'!$B$2:$D$16, 0,FALSE), IFERROR(VLOOKUP($A673,'Exetel ExDa'!$C$2:$N$14, 6,FALSE), IFERROR(VLOOKUP($A673,'Infinet ExDa'!$B$2:$E$14, 0,FALSE), "Not Found"))))))))</f>
        <v>Not Found</v>
      </c>
      <c r="G673" t="str">
        <f>IFERROR(VLOOKUP($A673,'AAPT ExDa'!$B$2:$U$99, 5,FALSE), IFERROR(VLOOKUP($A673,'ABB ExDa'!$A$2:$N$184, 8,FALSE), IFERROR(VLOOKUP($A673,'Vocus SIT ExDa'!$B$2:$J$173, 6,FALSE), IFERROR(VLOOKUP($A673,'Telstra ExDa'!$B$2:$K$310, 0,FALSE), IFERROR(VLOOKUP($A673,'Vocus RVC ExDa'!$C$2:$R$155, 15,FALSE), IFERROR(VLOOKUP($A673,'Fusion ExDa'!$B$2:$D$16, 0,FALSE), IFERROR(VLOOKUP($A673,'Exetel ExDa'!$C$2:$N$14, 7,FALSE), IFERROR(VLOOKUP($A673,'Infinet ExDa'!$B$2:$E$14, 0,FALSE), "Not Found"))))))))</f>
        <v>Not Found</v>
      </c>
      <c r="H673" t="str">
        <f>IFERROR(VLOOKUP($A673,'AAPT ExDa'!$B$2:$U$99, 6,FALSE), IFERROR(VLOOKUP($A673,'ABB ExDa'!$A$2:$N$184, 0,FALSE), IFERROR(VLOOKUP($A673,'Vocus SIT ExDa'!$B$2:$J$173, 0,FALSE), IFERROR(VLOOKUP($A673,'Telstra ExDa'!$B$2:$K$310, 0,FALSE), IFERROR(VLOOKUP($A673,'Vocus RVC ExDa'!$C$2:$R$155, 16,FALSE), IFERROR(VLOOKUP($A673,'Fusion ExDa'!$B$2:$D$16, 0,FALSE), IFERROR(VLOOKUP($A673,'Exetel ExDa'!$C$2:$N$14, 0,FALSE), IFERROR(VLOOKUP($A673,'Infinet ExDa'!$B$2:$E$14, 0,FALSE), "Not Found"))))))))</f>
        <v>Not Found</v>
      </c>
      <c r="I673" t="str">
        <f>IFERROR(VLOOKUP($A673,'AAPT ExDa'!$B$2:$U$99, 0,FALSE), IFERROR(VLOOKUP($A673,'ABB ExDa'!$A$2:$N$184, 0,FALSE), IFERROR(VLOOKUP($A673,'Vocus SIT ExDa'!$B$2:$J$173, 0,FALSE), IFERROR(VLOOKUP($A673,'Telstra ExDa'!$B$2:$K$310, 0,FALSE), IFERROR(VLOOKUP($A673,'Vocus RVC ExDa'!$C$2:$R$155, 0,FALSE), IFERROR(VLOOKUP($A673,'Fusion ExDa'!$B$2:$D$16, 0,FALSE), IFERROR(VLOOKUP($A673,'Exetel ExDa'!$C$2:$N$14, 8,FALSE), IFERROR(VLOOKUP($A673,'Infinet ExDa'!$B$2:$E$14, 0,FALSE), "Not Found"))))))))</f>
        <v>Not Found</v>
      </c>
      <c r="J673" t="str">
        <f>IFERROR(VLOOKUP($A673,'AAPT ExDa'!$B$2:$U$99, 7,FALSE), IFERROR(VLOOKUP($A673,'ABB ExDa'!$A$2:$N$184, 2,FALSE), IFERROR(VLOOKUP($A673,'Vocus SIT ExDa'!$B$2:$J$173, 0,FALSE), IFERROR(VLOOKUP($A673,'Telstra ExDa'!$B$2:$K$310, 7,FALSE), IFERROR(VLOOKUP($A673,'Vocus RVC ExDa'!$C$2:$R$155, 2,FALSE), IFERROR(VLOOKUP($A673,'Fusion ExDa'!$B$2:$D$16, 3,FALSE), IFERROR(VLOOKUP($A673,'Exetel ExDa'!$C$2:$N$14, 0,FALSE), IFERROR(VLOOKUP($A673,'Infinet ExDa'!$B$2:$E$14, 0,FALSE), "Not Found"))))))))</f>
        <v>Not Found</v>
      </c>
      <c r="K673" t="str">
        <f>IFERROR(VLOOKUP($A673,'AAPT ExDa'!$B$2:$U$99, 12,FALSE), IFERROR(VLOOKUP($A673,'ABB ExDa'!$A$2:$N$184, 0,FALSE), IFERROR(VLOOKUP($A673,'Vocus SIT ExDa'!$B$2:$J$173, 0,FALSE), IFERROR(VLOOKUP($A673,'Telstra ExDa'!$B$2:$K$310, 0,FALSE), IFERROR(VLOOKUP($A673,'Vocus RVC ExDa'!$C$2:$R$155, 0,FALSE), IFERROR(VLOOKUP($A673,'Fusion ExDa'!$B$2:$D$16, 0,FALSE), IFERROR(VLOOKUP($A673,'Exetel ExDa'!$C$2:$N$14, 12,FALSE), IFERROR(VLOOKUP($A673,'Infinet ExDa'!$B$2:$E$14, 0,FALSE), "Not Found"))))))))</f>
        <v>Not Found</v>
      </c>
      <c r="L673" s="235" t="str">
        <f>IFERROR(VLOOKUP($A673,'AAPT ExDa'!$B$2:$U$99, 11,FALSE), IFERROR(VLOOKUP($A673,'ABB ExDa'!$A$2:$N$184, 9,FALSE), IFERROR(VLOOKUP($A673,'Vocus SIT ExDa'!$B$2:$J$173, 8,FALSE), IFERROR(VLOOKUP($A673,'Telstra ExDa'!$B$2:$K$310, 0,FALSE), IFERROR(VLOOKUP($A673,'Vocus RVC ExDa'!$C$2:$R$155, 0,FALSE), IFERROR(VLOOKUP($A673,'Fusion ExDa'!$B$2:$D$16, 0,FALSE), IFERROR(VLOOKUP($A673,'Exetel ExDa'!$C$2:$N$14, 9,FALSE), IFERROR(VLOOKUP($A673,'Infinet ExDa'!$B$2:$E$14, 0,FALSE), "Not Found"))))))))</f>
        <v>Not Found</v>
      </c>
      <c r="M673" s="234" t="str">
        <f>IFERROR(VLOOKUP($A673,'AAPT ExDa'!$B$2:$U$99, 0,FALSE), IFERROR(VLOOKUP($A673,'ABB ExDa'!$A$2:$N$184, 0,FALSE), IFERROR(VLOOKUP($A673,'Vocus SIT ExDa'!$B$2:$J$173, 0,FALSE), IFERROR(VLOOKUP($A673,'Telstra ExDa'!$B$2:$K$310, 0,FALSE), IFERROR(VLOOKUP($A673,'Vocus RVC ExDa'!$C$2:$R$155, 0,FALSE), IFERROR(VLOOKUP($A673,'Fusion ExDa'!$B$2:$D$16, 0,FALSE), IFERROR(VLOOKUP($A673,'Exetel ExDa'!$C$2:$N$14, 11,FALSE), IFERROR(VLOOKUP($A673,'Infinet ExDa'!$B$2:$E$14, 0,FALSE), "Not Found"))))))))</f>
        <v>Not Found</v>
      </c>
      <c r="N673" t="str">
        <f>IFERROR(VLOOKUP($A673,'AAPT ExDa'!$B$2:$U$99, 0,FALSE), IFERROR(VLOOKUP($A673,'ABB ExDa'!$A$2:$N$184, 13,FALSE), IFERROR(VLOOKUP($A673,'Vocus SIT ExDa'!$B$2:$J$173, 0,FALSE), IFERROR(VLOOKUP($A673,'Telstra ExDa'!$B$2:$K$310, 0,FALSE), IFERROR(VLOOKUP($A673,'Vocus RVC ExDa'!$C$2:$R$155, 0,FALSE), IFERROR(VLOOKUP($A673,'Fusion ExDa'!$B$2:$D$16, 0,FALSE), IFERROR(VLOOKUP($A673,'Exetel ExDa'!$C$2:$N$14, 0,FALSE), IFERROR(VLOOKUP($A673,'Infinet ExDa'!$B$2:$E$14, 0,FALSE), "Not Found"))))))))</f>
        <v>Not Found</v>
      </c>
    </row>
    <row r="674" spans="1:14">
      <c r="A674">
        <v>0</v>
      </c>
      <c r="B674" t="str">
        <f>IFERROR(VLOOKUP(A674,'Exetel ExDa'!$C$2:$N$14,4,FALSE),"No Data")</f>
        <v>No Data</v>
      </c>
      <c r="C674" t="str">
        <f>IFERROR(VLOOKUP(A674,'AAPT ExDa'!$B$2:$U$99, 2,FALSE), IFERROR(VLOOKUP(A674,'ABB ExDa'!$A$2:$N$184, 2,FALSE), IFERROR(VLOOKUP(A674,'Vocus SIT ExDa'!$B$2:$J$173, 7,FALSE), IFERROR(VLOOKUP(A674,'Telstra ExDa'!$B$2:$K$310, 2,FALSE), IFERROR(VLOOKUP(A674,'Vocus RVC ExDa'!$C$2:$R$155, 3,FALSE), IFERROR(VLOOKUP(A674,'Fusion ExDa'!$B$2:$D$16, 2,FALSE), IFERROR(VLOOKUP(A674,'Exetel ExDa'!$C$2:$N$14, 2,FALSE), IFERROR(VLOOKUP(A674,'Infinet ExDa'!$B$2:$E$14, 2,FALSE), "Not Found"))))))))</f>
        <v>Not Found</v>
      </c>
      <c r="D674" t="str">
        <f>IFERROR(VLOOKUP($A674,'AAPT ExDa'!$B$2:$U$99, 15,FALSE), IFERROR(VLOOKUP($A674,'ABB ExDa'!$A$2:$N$184, 4,FALSE), IFERROR(VLOOKUP($A674,'Vocus SIT ExDa'!$B$2:$J$173, 5,FALSE), IFERROR(VLOOKUP($A674,'Telstra ExDa'!$B$2:$K$310, 8,FALSE), IFERROR(VLOOKUP($A674,'Vocus RVC ExDa'!$C$2:$R$155, 6,FALSE), IFERROR(VLOOKUP($A674,'Fusion ExDa'!$B$2:$D$16, 4,FALSE), IFERROR(VLOOKUP($A674,'Exetel ExDa'!$C$2:$N$14, 3,FALSE), IFERROR(VLOOKUP($A674,'Infinet ExDa'!$B$2:$E$14, 3,FALSE), "Not Found"))))))))</f>
        <v>Not Found</v>
      </c>
      <c r="E674" t="str">
        <f>IFERROR(VLOOKUP($A674,'AAPT ExDa'!$B$2:$U$99, 3,FALSE), IFERROR(VLOOKUP($A674,'ABB ExDa'!$A$2:$N$184, 5,FALSE), IFERROR(VLOOKUP($A674,'Vocus SIT ExDa'!$B$2:$J$173, 2,FALSE), IFERROR(VLOOKUP($A674,'Telstra ExDa'!$B$2:$K$310, 4,FALSE), IFERROR(VLOOKUP($A674,'Vocus RVC ExDa'!$C$2:$R$155, 8,FALSE), IFERROR(VLOOKUP($A674,'Fusion ExDa'!$B$2:$D$16, 4,FALSE), IFERROR(VLOOKUP($A674,'Exetel ExDa'!$C$2:$N$14, 5,FALSE), IFERROR(VLOOKUP($A674,'Infinet ExDa'!$B$2:$E$14, 3,FALSE), "Not Found"))))))))</f>
        <v>Not Found</v>
      </c>
      <c r="F674" t="str">
        <f>IFERROR(VLOOKUP($A674,'AAPT ExDa'!$B$2:$U$99, 4,FALSE), IFERROR(VLOOKUP($A674,'ABB ExDa'!$A$2:$N$184, 6,FALSE), IFERROR(VLOOKUP($A674,'Vocus SIT ExDa'!$B$2:$J$173, 3,FALSE), IFERROR(VLOOKUP($A674,'Telstra ExDa'!$B$2:$K$310, 5,FALSE), IFERROR(VLOOKUP($A674,'Vocus RVC ExDa'!$C$2:$R$155, 9,FALSE), IFERROR(VLOOKUP($A674,'Fusion ExDa'!$B$2:$D$16, 0,FALSE), IFERROR(VLOOKUP($A674,'Exetel ExDa'!$C$2:$N$14, 6,FALSE), IFERROR(VLOOKUP($A674,'Infinet ExDa'!$B$2:$E$14, 0,FALSE), "Not Found"))))))))</f>
        <v>Not Found</v>
      </c>
      <c r="G674" t="str">
        <f>IFERROR(VLOOKUP($A674,'AAPT ExDa'!$B$2:$U$99, 5,FALSE), IFERROR(VLOOKUP($A674,'ABB ExDa'!$A$2:$N$184, 8,FALSE), IFERROR(VLOOKUP($A674,'Vocus SIT ExDa'!$B$2:$J$173, 6,FALSE), IFERROR(VLOOKUP($A674,'Telstra ExDa'!$B$2:$K$310, 0,FALSE), IFERROR(VLOOKUP($A674,'Vocus RVC ExDa'!$C$2:$R$155, 15,FALSE), IFERROR(VLOOKUP($A674,'Fusion ExDa'!$B$2:$D$16, 0,FALSE), IFERROR(VLOOKUP($A674,'Exetel ExDa'!$C$2:$N$14, 7,FALSE), IFERROR(VLOOKUP($A674,'Infinet ExDa'!$B$2:$E$14, 0,FALSE), "Not Found"))))))))</f>
        <v>Not Found</v>
      </c>
      <c r="H674" t="str">
        <f>IFERROR(VLOOKUP($A674,'AAPT ExDa'!$B$2:$U$99, 6,FALSE), IFERROR(VLOOKUP($A674,'ABB ExDa'!$A$2:$N$184, 0,FALSE), IFERROR(VLOOKUP($A674,'Vocus SIT ExDa'!$B$2:$J$173, 0,FALSE), IFERROR(VLOOKUP($A674,'Telstra ExDa'!$B$2:$K$310, 0,FALSE), IFERROR(VLOOKUP($A674,'Vocus RVC ExDa'!$C$2:$R$155, 16,FALSE), IFERROR(VLOOKUP($A674,'Fusion ExDa'!$B$2:$D$16, 0,FALSE), IFERROR(VLOOKUP($A674,'Exetel ExDa'!$C$2:$N$14, 0,FALSE), IFERROR(VLOOKUP($A674,'Infinet ExDa'!$B$2:$E$14, 0,FALSE), "Not Found"))))))))</f>
        <v>Not Found</v>
      </c>
      <c r="I674" t="str">
        <f>IFERROR(VLOOKUP($A674,'AAPT ExDa'!$B$2:$U$99, 0,FALSE), IFERROR(VLOOKUP($A674,'ABB ExDa'!$A$2:$N$184, 0,FALSE), IFERROR(VLOOKUP($A674,'Vocus SIT ExDa'!$B$2:$J$173, 0,FALSE), IFERROR(VLOOKUP($A674,'Telstra ExDa'!$B$2:$K$310, 0,FALSE), IFERROR(VLOOKUP($A674,'Vocus RVC ExDa'!$C$2:$R$155, 0,FALSE), IFERROR(VLOOKUP($A674,'Fusion ExDa'!$B$2:$D$16, 0,FALSE), IFERROR(VLOOKUP($A674,'Exetel ExDa'!$C$2:$N$14, 8,FALSE), IFERROR(VLOOKUP($A674,'Infinet ExDa'!$B$2:$E$14, 0,FALSE), "Not Found"))))))))</f>
        <v>Not Found</v>
      </c>
      <c r="J674" t="str">
        <f>IFERROR(VLOOKUP($A674,'AAPT ExDa'!$B$2:$U$99, 7,FALSE), IFERROR(VLOOKUP($A674,'ABB ExDa'!$A$2:$N$184, 2,FALSE), IFERROR(VLOOKUP($A674,'Vocus SIT ExDa'!$B$2:$J$173, 0,FALSE), IFERROR(VLOOKUP($A674,'Telstra ExDa'!$B$2:$K$310, 7,FALSE), IFERROR(VLOOKUP($A674,'Vocus RVC ExDa'!$C$2:$R$155, 2,FALSE), IFERROR(VLOOKUP($A674,'Fusion ExDa'!$B$2:$D$16, 3,FALSE), IFERROR(VLOOKUP($A674,'Exetel ExDa'!$C$2:$N$14, 0,FALSE), IFERROR(VLOOKUP($A674,'Infinet ExDa'!$B$2:$E$14, 0,FALSE), "Not Found"))))))))</f>
        <v>Not Found</v>
      </c>
      <c r="K674" t="str">
        <f>IFERROR(VLOOKUP($A674,'AAPT ExDa'!$B$2:$U$99, 12,FALSE), IFERROR(VLOOKUP($A674,'ABB ExDa'!$A$2:$N$184, 0,FALSE), IFERROR(VLOOKUP($A674,'Vocus SIT ExDa'!$B$2:$J$173, 0,FALSE), IFERROR(VLOOKUP($A674,'Telstra ExDa'!$B$2:$K$310, 0,FALSE), IFERROR(VLOOKUP($A674,'Vocus RVC ExDa'!$C$2:$R$155, 0,FALSE), IFERROR(VLOOKUP($A674,'Fusion ExDa'!$B$2:$D$16, 0,FALSE), IFERROR(VLOOKUP($A674,'Exetel ExDa'!$C$2:$N$14, 12,FALSE), IFERROR(VLOOKUP($A674,'Infinet ExDa'!$B$2:$E$14, 0,FALSE), "Not Found"))))))))</f>
        <v>Not Found</v>
      </c>
      <c r="L674" s="235" t="str">
        <f>IFERROR(VLOOKUP($A674,'AAPT ExDa'!$B$2:$U$99, 11,FALSE), IFERROR(VLOOKUP($A674,'ABB ExDa'!$A$2:$N$184, 9,FALSE), IFERROR(VLOOKUP($A674,'Vocus SIT ExDa'!$B$2:$J$173, 8,FALSE), IFERROR(VLOOKUP($A674,'Telstra ExDa'!$B$2:$K$310, 0,FALSE), IFERROR(VLOOKUP($A674,'Vocus RVC ExDa'!$C$2:$R$155, 0,FALSE), IFERROR(VLOOKUP($A674,'Fusion ExDa'!$B$2:$D$16, 0,FALSE), IFERROR(VLOOKUP($A674,'Exetel ExDa'!$C$2:$N$14, 9,FALSE), IFERROR(VLOOKUP($A674,'Infinet ExDa'!$B$2:$E$14, 0,FALSE), "Not Found"))))))))</f>
        <v>Not Found</v>
      </c>
      <c r="M674" s="234" t="str">
        <f>IFERROR(VLOOKUP($A674,'AAPT ExDa'!$B$2:$U$99, 0,FALSE), IFERROR(VLOOKUP($A674,'ABB ExDa'!$A$2:$N$184, 0,FALSE), IFERROR(VLOOKUP($A674,'Vocus SIT ExDa'!$B$2:$J$173, 0,FALSE), IFERROR(VLOOKUP($A674,'Telstra ExDa'!$B$2:$K$310, 0,FALSE), IFERROR(VLOOKUP($A674,'Vocus RVC ExDa'!$C$2:$R$155, 0,FALSE), IFERROR(VLOOKUP($A674,'Fusion ExDa'!$B$2:$D$16, 0,FALSE), IFERROR(VLOOKUP($A674,'Exetel ExDa'!$C$2:$N$14, 11,FALSE), IFERROR(VLOOKUP($A674,'Infinet ExDa'!$B$2:$E$14, 0,FALSE), "Not Found"))))))))</f>
        <v>Not Found</v>
      </c>
      <c r="N674" t="str">
        <f>IFERROR(VLOOKUP($A674,'AAPT ExDa'!$B$2:$U$99, 0,FALSE), IFERROR(VLOOKUP($A674,'ABB ExDa'!$A$2:$N$184, 13,FALSE), IFERROR(VLOOKUP($A674,'Vocus SIT ExDa'!$B$2:$J$173, 0,FALSE), IFERROR(VLOOKUP($A674,'Telstra ExDa'!$B$2:$K$310, 0,FALSE), IFERROR(VLOOKUP($A674,'Vocus RVC ExDa'!$C$2:$R$155, 0,FALSE), IFERROR(VLOOKUP($A674,'Fusion ExDa'!$B$2:$D$16, 0,FALSE), IFERROR(VLOOKUP($A674,'Exetel ExDa'!$C$2:$N$14, 0,FALSE), IFERROR(VLOOKUP($A674,'Infinet ExDa'!$B$2:$E$14, 0,FALSE), "Not Found"))))))))</f>
        <v>Not Found</v>
      </c>
    </row>
    <row r="675" spans="1:14">
      <c r="A675">
        <v>0</v>
      </c>
      <c r="B675" t="str">
        <f>IFERROR(VLOOKUP(A675,'Exetel ExDa'!$C$2:$N$14,4,FALSE),"No Data")</f>
        <v>No Data</v>
      </c>
      <c r="C675" t="str">
        <f>IFERROR(VLOOKUP(A675,'AAPT ExDa'!$B$2:$U$99, 2,FALSE), IFERROR(VLOOKUP(A675,'ABB ExDa'!$A$2:$N$184, 2,FALSE), IFERROR(VLOOKUP(A675,'Vocus SIT ExDa'!$B$2:$J$173, 7,FALSE), IFERROR(VLOOKUP(A675,'Telstra ExDa'!$B$2:$K$310, 2,FALSE), IFERROR(VLOOKUP(A675,'Vocus RVC ExDa'!$C$2:$R$155, 3,FALSE), IFERROR(VLOOKUP(A675,'Fusion ExDa'!$B$2:$D$16, 2,FALSE), IFERROR(VLOOKUP(A675,'Exetel ExDa'!$C$2:$N$14, 2,FALSE), IFERROR(VLOOKUP(A675,'Infinet ExDa'!$B$2:$E$14, 2,FALSE), "Not Found"))))))))</f>
        <v>Not Found</v>
      </c>
      <c r="D675" t="str">
        <f>IFERROR(VLOOKUP($A675,'AAPT ExDa'!$B$2:$U$99, 15,FALSE), IFERROR(VLOOKUP($A675,'ABB ExDa'!$A$2:$N$184, 4,FALSE), IFERROR(VLOOKUP($A675,'Vocus SIT ExDa'!$B$2:$J$173, 5,FALSE), IFERROR(VLOOKUP($A675,'Telstra ExDa'!$B$2:$K$310, 8,FALSE), IFERROR(VLOOKUP($A675,'Vocus RVC ExDa'!$C$2:$R$155, 6,FALSE), IFERROR(VLOOKUP($A675,'Fusion ExDa'!$B$2:$D$16, 4,FALSE), IFERROR(VLOOKUP($A675,'Exetel ExDa'!$C$2:$N$14, 3,FALSE), IFERROR(VLOOKUP($A675,'Infinet ExDa'!$B$2:$E$14, 3,FALSE), "Not Found"))))))))</f>
        <v>Not Found</v>
      </c>
      <c r="E675" t="str">
        <f>IFERROR(VLOOKUP($A675,'AAPT ExDa'!$B$2:$U$99, 3,FALSE), IFERROR(VLOOKUP($A675,'ABB ExDa'!$A$2:$N$184, 5,FALSE), IFERROR(VLOOKUP($A675,'Vocus SIT ExDa'!$B$2:$J$173, 2,FALSE), IFERROR(VLOOKUP($A675,'Telstra ExDa'!$B$2:$K$310, 4,FALSE), IFERROR(VLOOKUP($A675,'Vocus RVC ExDa'!$C$2:$R$155, 8,FALSE), IFERROR(VLOOKUP($A675,'Fusion ExDa'!$B$2:$D$16, 4,FALSE), IFERROR(VLOOKUP($A675,'Exetel ExDa'!$C$2:$N$14, 5,FALSE), IFERROR(VLOOKUP($A675,'Infinet ExDa'!$B$2:$E$14, 3,FALSE), "Not Found"))))))))</f>
        <v>Not Found</v>
      </c>
      <c r="F675" t="str">
        <f>IFERROR(VLOOKUP($A675,'AAPT ExDa'!$B$2:$U$99, 4,FALSE), IFERROR(VLOOKUP($A675,'ABB ExDa'!$A$2:$N$184, 6,FALSE), IFERROR(VLOOKUP($A675,'Vocus SIT ExDa'!$B$2:$J$173, 3,FALSE), IFERROR(VLOOKUP($A675,'Telstra ExDa'!$B$2:$K$310, 5,FALSE), IFERROR(VLOOKUP($A675,'Vocus RVC ExDa'!$C$2:$R$155, 9,FALSE), IFERROR(VLOOKUP($A675,'Fusion ExDa'!$B$2:$D$16, 0,FALSE), IFERROR(VLOOKUP($A675,'Exetel ExDa'!$C$2:$N$14, 6,FALSE), IFERROR(VLOOKUP($A675,'Infinet ExDa'!$B$2:$E$14, 0,FALSE), "Not Found"))))))))</f>
        <v>Not Found</v>
      </c>
      <c r="G675" t="str">
        <f>IFERROR(VLOOKUP($A675,'AAPT ExDa'!$B$2:$U$99, 5,FALSE), IFERROR(VLOOKUP($A675,'ABB ExDa'!$A$2:$N$184, 8,FALSE), IFERROR(VLOOKUP($A675,'Vocus SIT ExDa'!$B$2:$J$173, 6,FALSE), IFERROR(VLOOKUP($A675,'Telstra ExDa'!$B$2:$K$310, 0,FALSE), IFERROR(VLOOKUP($A675,'Vocus RVC ExDa'!$C$2:$R$155, 15,FALSE), IFERROR(VLOOKUP($A675,'Fusion ExDa'!$B$2:$D$16, 0,FALSE), IFERROR(VLOOKUP($A675,'Exetel ExDa'!$C$2:$N$14, 7,FALSE), IFERROR(VLOOKUP($A675,'Infinet ExDa'!$B$2:$E$14, 0,FALSE), "Not Found"))))))))</f>
        <v>Not Found</v>
      </c>
      <c r="H675" t="str">
        <f>IFERROR(VLOOKUP($A675,'AAPT ExDa'!$B$2:$U$99, 6,FALSE), IFERROR(VLOOKUP($A675,'ABB ExDa'!$A$2:$N$184, 0,FALSE), IFERROR(VLOOKUP($A675,'Vocus SIT ExDa'!$B$2:$J$173, 0,FALSE), IFERROR(VLOOKUP($A675,'Telstra ExDa'!$B$2:$K$310, 0,FALSE), IFERROR(VLOOKUP($A675,'Vocus RVC ExDa'!$C$2:$R$155, 16,FALSE), IFERROR(VLOOKUP($A675,'Fusion ExDa'!$B$2:$D$16, 0,FALSE), IFERROR(VLOOKUP($A675,'Exetel ExDa'!$C$2:$N$14, 0,FALSE), IFERROR(VLOOKUP($A675,'Infinet ExDa'!$B$2:$E$14, 0,FALSE), "Not Found"))))))))</f>
        <v>Not Found</v>
      </c>
      <c r="I675" t="str">
        <f>IFERROR(VLOOKUP($A675,'AAPT ExDa'!$B$2:$U$99, 0,FALSE), IFERROR(VLOOKUP($A675,'ABB ExDa'!$A$2:$N$184, 0,FALSE), IFERROR(VLOOKUP($A675,'Vocus SIT ExDa'!$B$2:$J$173, 0,FALSE), IFERROR(VLOOKUP($A675,'Telstra ExDa'!$B$2:$K$310, 0,FALSE), IFERROR(VLOOKUP($A675,'Vocus RVC ExDa'!$C$2:$R$155, 0,FALSE), IFERROR(VLOOKUP($A675,'Fusion ExDa'!$B$2:$D$16, 0,FALSE), IFERROR(VLOOKUP($A675,'Exetel ExDa'!$C$2:$N$14, 8,FALSE), IFERROR(VLOOKUP($A675,'Infinet ExDa'!$B$2:$E$14, 0,FALSE), "Not Found"))))))))</f>
        <v>Not Found</v>
      </c>
      <c r="J675" t="str">
        <f>IFERROR(VLOOKUP($A675,'AAPT ExDa'!$B$2:$U$99, 7,FALSE), IFERROR(VLOOKUP($A675,'ABB ExDa'!$A$2:$N$184, 2,FALSE), IFERROR(VLOOKUP($A675,'Vocus SIT ExDa'!$B$2:$J$173, 0,FALSE), IFERROR(VLOOKUP($A675,'Telstra ExDa'!$B$2:$K$310, 7,FALSE), IFERROR(VLOOKUP($A675,'Vocus RVC ExDa'!$C$2:$R$155, 2,FALSE), IFERROR(VLOOKUP($A675,'Fusion ExDa'!$B$2:$D$16, 3,FALSE), IFERROR(VLOOKUP($A675,'Exetel ExDa'!$C$2:$N$14, 0,FALSE), IFERROR(VLOOKUP($A675,'Infinet ExDa'!$B$2:$E$14, 0,FALSE), "Not Found"))))))))</f>
        <v>Not Found</v>
      </c>
      <c r="K675" t="str">
        <f>IFERROR(VLOOKUP($A675,'AAPT ExDa'!$B$2:$U$99, 12,FALSE), IFERROR(VLOOKUP($A675,'ABB ExDa'!$A$2:$N$184, 0,FALSE), IFERROR(VLOOKUP($A675,'Vocus SIT ExDa'!$B$2:$J$173, 0,FALSE), IFERROR(VLOOKUP($A675,'Telstra ExDa'!$B$2:$K$310, 0,FALSE), IFERROR(VLOOKUP($A675,'Vocus RVC ExDa'!$C$2:$R$155, 0,FALSE), IFERROR(VLOOKUP($A675,'Fusion ExDa'!$B$2:$D$16, 0,FALSE), IFERROR(VLOOKUP($A675,'Exetel ExDa'!$C$2:$N$14, 12,FALSE), IFERROR(VLOOKUP($A675,'Infinet ExDa'!$B$2:$E$14, 0,FALSE), "Not Found"))))))))</f>
        <v>Not Found</v>
      </c>
      <c r="L675" s="235" t="str">
        <f>IFERROR(VLOOKUP($A675,'AAPT ExDa'!$B$2:$U$99, 11,FALSE), IFERROR(VLOOKUP($A675,'ABB ExDa'!$A$2:$N$184, 9,FALSE), IFERROR(VLOOKUP($A675,'Vocus SIT ExDa'!$B$2:$J$173, 8,FALSE), IFERROR(VLOOKUP($A675,'Telstra ExDa'!$B$2:$K$310, 0,FALSE), IFERROR(VLOOKUP($A675,'Vocus RVC ExDa'!$C$2:$R$155, 0,FALSE), IFERROR(VLOOKUP($A675,'Fusion ExDa'!$B$2:$D$16, 0,FALSE), IFERROR(VLOOKUP($A675,'Exetel ExDa'!$C$2:$N$14, 9,FALSE), IFERROR(VLOOKUP($A675,'Infinet ExDa'!$B$2:$E$14, 0,FALSE), "Not Found"))))))))</f>
        <v>Not Found</v>
      </c>
      <c r="M675" s="234" t="str">
        <f>IFERROR(VLOOKUP($A675,'AAPT ExDa'!$B$2:$U$99, 0,FALSE), IFERROR(VLOOKUP($A675,'ABB ExDa'!$A$2:$N$184, 0,FALSE), IFERROR(VLOOKUP($A675,'Vocus SIT ExDa'!$B$2:$J$173, 0,FALSE), IFERROR(VLOOKUP($A675,'Telstra ExDa'!$B$2:$K$310, 0,FALSE), IFERROR(VLOOKUP($A675,'Vocus RVC ExDa'!$C$2:$R$155, 0,FALSE), IFERROR(VLOOKUP($A675,'Fusion ExDa'!$B$2:$D$16, 0,FALSE), IFERROR(VLOOKUP($A675,'Exetel ExDa'!$C$2:$N$14, 11,FALSE), IFERROR(VLOOKUP($A675,'Infinet ExDa'!$B$2:$E$14, 0,FALSE), "Not Found"))))))))</f>
        <v>Not Found</v>
      </c>
      <c r="N675" t="str">
        <f>IFERROR(VLOOKUP($A675,'AAPT ExDa'!$B$2:$U$99, 0,FALSE), IFERROR(VLOOKUP($A675,'ABB ExDa'!$A$2:$N$184, 13,FALSE), IFERROR(VLOOKUP($A675,'Vocus SIT ExDa'!$B$2:$J$173, 0,FALSE), IFERROR(VLOOKUP($A675,'Telstra ExDa'!$B$2:$K$310, 0,FALSE), IFERROR(VLOOKUP($A675,'Vocus RVC ExDa'!$C$2:$R$155, 0,FALSE), IFERROR(VLOOKUP($A675,'Fusion ExDa'!$B$2:$D$16, 0,FALSE), IFERROR(VLOOKUP($A675,'Exetel ExDa'!$C$2:$N$14, 0,FALSE), IFERROR(VLOOKUP($A675,'Infinet ExDa'!$B$2:$E$14, 0,FALSE), "Not Found"))))))))</f>
        <v>Not Found</v>
      </c>
    </row>
    <row r="676" spans="1:14">
      <c r="A676">
        <v>0</v>
      </c>
      <c r="B676" t="str">
        <f>IFERROR(VLOOKUP(A676,'Exetel ExDa'!$C$2:$N$14,4,FALSE),"No Data")</f>
        <v>No Data</v>
      </c>
      <c r="C676" t="str">
        <f>IFERROR(VLOOKUP(A676,'AAPT ExDa'!$B$2:$U$99, 2,FALSE), IFERROR(VLOOKUP(A676,'ABB ExDa'!$A$2:$N$184, 2,FALSE), IFERROR(VLOOKUP(A676,'Vocus SIT ExDa'!$B$2:$J$173, 7,FALSE), IFERROR(VLOOKUP(A676,'Telstra ExDa'!$B$2:$K$310, 2,FALSE), IFERROR(VLOOKUP(A676,'Vocus RVC ExDa'!$C$2:$R$155, 3,FALSE), IFERROR(VLOOKUP(A676,'Fusion ExDa'!$B$2:$D$16, 2,FALSE), IFERROR(VLOOKUP(A676,'Exetel ExDa'!$C$2:$N$14, 2,FALSE), IFERROR(VLOOKUP(A676,'Infinet ExDa'!$B$2:$E$14, 2,FALSE), "Not Found"))))))))</f>
        <v>Not Found</v>
      </c>
      <c r="D676" t="str">
        <f>IFERROR(VLOOKUP($A676,'AAPT ExDa'!$B$2:$U$99, 15,FALSE), IFERROR(VLOOKUP($A676,'ABB ExDa'!$A$2:$N$184, 4,FALSE), IFERROR(VLOOKUP($A676,'Vocus SIT ExDa'!$B$2:$J$173, 5,FALSE), IFERROR(VLOOKUP($A676,'Telstra ExDa'!$B$2:$K$310, 8,FALSE), IFERROR(VLOOKUP($A676,'Vocus RVC ExDa'!$C$2:$R$155, 6,FALSE), IFERROR(VLOOKUP($A676,'Fusion ExDa'!$B$2:$D$16, 4,FALSE), IFERROR(VLOOKUP($A676,'Exetel ExDa'!$C$2:$N$14, 3,FALSE), IFERROR(VLOOKUP($A676,'Infinet ExDa'!$B$2:$E$14, 3,FALSE), "Not Found"))))))))</f>
        <v>Not Found</v>
      </c>
      <c r="E676" t="str">
        <f>IFERROR(VLOOKUP($A676,'AAPT ExDa'!$B$2:$U$99, 3,FALSE), IFERROR(VLOOKUP($A676,'ABB ExDa'!$A$2:$N$184, 5,FALSE), IFERROR(VLOOKUP($A676,'Vocus SIT ExDa'!$B$2:$J$173, 2,FALSE), IFERROR(VLOOKUP($A676,'Telstra ExDa'!$B$2:$K$310, 4,FALSE), IFERROR(VLOOKUP($A676,'Vocus RVC ExDa'!$C$2:$R$155, 8,FALSE), IFERROR(VLOOKUP($A676,'Fusion ExDa'!$B$2:$D$16, 4,FALSE), IFERROR(VLOOKUP($A676,'Exetel ExDa'!$C$2:$N$14, 5,FALSE), IFERROR(VLOOKUP($A676,'Infinet ExDa'!$B$2:$E$14, 3,FALSE), "Not Found"))))))))</f>
        <v>Not Found</v>
      </c>
      <c r="F676" t="str">
        <f>IFERROR(VLOOKUP($A676,'AAPT ExDa'!$B$2:$U$99, 4,FALSE), IFERROR(VLOOKUP($A676,'ABB ExDa'!$A$2:$N$184, 6,FALSE), IFERROR(VLOOKUP($A676,'Vocus SIT ExDa'!$B$2:$J$173, 3,FALSE), IFERROR(VLOOKUP($A676,'Telstra ExDa'!$B$2:$K$310, 5,FALSE), IFERROR(VLOOKUP($A676,'Vocus RVC ExDa'!$C$2:$R$155, 9,FALSE), IFERROR(VLOOKUP($A676,'Fusion ExDa'!$B$2:$D$16, 0,FALSE), IFERROR(VLOOKUP($A676,'Exetel ExDa'!$C$2:$N$14, 6,FALSE), IFERROR(VLOOKUP($A676,'Infinet ExDa'!$B$2:$E$14, 0,FALSE), "Not Found"))))))))</f>
        <v>Not Found</v>
      </c>
      <c r="G676" t="str">
        <f>IFERROR(VLOOKUP($A676,'AAPT ExDa'!$B$2:$U$99, 5,FALSE), IFERROR(VLOOKUP($A676,'ABB ExDa'!$A$2:$N$184, 8,FALSE), IFERROR(VLOOKUP($A676,'Vocus SIT ExDa'!$B$2:$J$173, 6,FALSE), IFERROR(VLOOKUP($A676,'Telstra ExDa'!$B$2:$K$310, 0,FALSE), IFERROR(VLOOKUP($A676,'Vocus RVC ExDa'!$C$2:$R$155, 15,FALSE), IFERROR(VLOOKUP($A676,'Fusion ExDa'!$B$2:$D$16, 0,FALSE), IFERROR(VLOOKUP($A676,'Exetel ExDa'!$C$2:$N$14, 7,FALSE), IFERROR(VLOOKUP($A676,'Infinet ExDa'!$B$2:$E$14, 0,FALSE), "Not Found"))))))))</f>
        <v>Not Found</v>
      </c>
      <c r="H676" t="str">
        <f>IFERROR(VLOOKUP($A676,'AAPT ExDa'!$B$2:$U$99, 6,FALSE), IFERROR(VLOOKUP($A676,'ABB ExDa'!$A$2:$N$184, 0,FALSE), IFERROR(VLOOKUP($A676,'Vocus SIT ExDa'!$B$2:$J$173, 0,FALSE), IFERROR(VLOOKUP($A676,'Telstra ExDa'!$B$2:$K$310, 0,FALSE), IFERROR(VLOOKUP($A676,'Vocus RVC ExDa'!$C$2:$R$155, 16,FALSE), IFERROR(VLOOKUP($A676,'Fusion ExDa'!$B$2:$D$16, 0,FALSE), IFERROR(VLOOKUP($A676,'Exetel ExDa'!$C$2:$N$14, 0,FALSE), IFERROR(VLOOKUP($A676,'Infinet ExDa'!$B$2:$E$14, 0,FALSE), "Not Found"))))))))</f>
        <v>Not Found</v>
      </c>
      <c r="I676" t="str">
        <f>IFERROR(VLOOKUP($A676,'AAPT ExDa'!$B$2:$U$99, 0,FALSE), IFERROR(VLOOKUP($A676,'ABB ExDa'!$A$2:$N$184, 0,FALSE), IFERROR(VLOOKUP($A676,'Vocus SIT ExDa'!$B$2:$J$173, 0,FALSE), IFERROR(VLOOKUP($A676,'Telstra ExDa'!$B$2:$K$310, 0,FALSE), IFERROR(VLOOKUP($A676,'Vocus RVC ExDa'!$C$2:$R$155, 0,FALSE), IFERROR(VLOOKUP($A676,'Fusion ExDa'!$B$2:$D$16, 0,FALSE), IFERROR(VLOOKUP($A676,'Exetel ExDa'!$C$2:$N$14, 8,FALSE), IFERROR(VLOOKUP($A676,'Infinet ExDa'!$B$2:$E$14, 0,FALSE), "Not Found"))))))))</f>
        <v>Not Found</v>
      </c>
      <c r="J676" t="str">
        <f>IFERROR(VLOOKUP($A676,'AAPT ExDa'!$B$2:$U$99, 7,FALSE), IFERROR(VLOOKUP($A676,'ABB ExDa'!$A$2:$N$184, 2,FALSE), IFERROR(VLOOKUP($A676,'Vocus SIT ExDa'!$B$2:$J$173, 0,FALSE), IFERROR(VLOOKUP($A676,'Telstra ExDa'!$B$2:$K$310, 7,FALSE), IFERROR(VLOOKUP($A676,'Vocus RVC ExDa'!$C$2:$R$155, 2,FALSE), IFERROR(VLOOKUP($A676,'Fusion ExDa'!$B$2:$D$16, 3,FALSE), IFERROR(VLOOKUP($A676,'Exetel ExDa'!$C$2:$N$14, 0,FALSE), IFERROR(VLOOKUP($A676,'Infinet ExDa'!$B$2:$E$14, 0,FALSE), "Not Found"))))))))</f>
        <v>Not Found</v>
      </c>
      <c r="K676" t="str">
        <f>IFERROR(VLOOKUP($A676,'AAPT ExDa'!$B$2:$U$99, 12,FALSE), IFERROR(VLOOKUP($A676,'ABB ExDa'!$A$2:$N$184, 0,FALSE), IFERROR(VLOOKUP($A676,'Vocus SIT ExDa'!$B$2:$J$173, 0,FALSE), IFERROR(VLOOKUP($A676,'Telstra ExDa'!$B$2:$K$310, 0,FALSE), IFERROR(VLOOKUP($A676,'Vocus RVC ExDa'!$C$2:$R$155, 0,FALSE), IFERROR(VLOOKUP($A676,'Fusion ExDa'!$B$2:$D$16, 0,FALSE), IFERROR(VLOOKUP($A676,'Exetel ExDa'!$C$2:$N$14, 12,FALSE), IFERROR(VLOOKUP($A676,'Infinet ExDa'!$B$2:$E$14, 0,FALSE), "Not Found"))))))))</f>
        <v>Not Found</v>
      </c>
      <c r="L676" s="235" t="str">
        <f>IFERROR(VLOOKUP($A676,'AAPT ExDa'!$B$2:$U$99, 11,FALSE), IFERROR(VLOOKUP($A676,'ABB ExDa'!$A$2:$N$184, 9,FALSE), IFERROR(VLOOKUP($A676,'Vocus SIT ExDa'!$B$2:$J$173, 8,FALSE), IFERROR(VLOOKUP($A676,'Telstra ExDa'!$B$2:$K$310, 0,FALSE), IFERROR(VLOOKUP($A676,'Vocus RVC ExDa'!$C$2:$R$155, 0,FALSE), IFERROR(VLOOKUP($A676,'Fusion ExDa'!$B$2:$D$16, 0,FALSE), IFERROR(VLOOKUP($A676,'Exetel ExDa'!$C$2:$N$14, 9,FALSE), IFERROR(VLOOKUP($A676,'Infinet ExDa'!$B$2:$E$14, 0,FALSE), "Not Found"))))))))</f>
        <v>Not Found</v>
      </c>
      <c r="M676" s="234" t="str">
        <f>IFERROR(VLOOKUP($A676,'AAPT ExDa'!$B$2:$U$99, 0,FALSE), IFERROR(VLOOKUP($A676,'ABB ExDa'!$A$2:$N$184, 0,FALSE), IFERROR(VLOOKUP($A676,'Vocus SIT ExDa'!$B$2:$J$173, 0,FALSE), IFERROR(VLOOKUP($A676,'Telstra ExDa'!$B$2:$K$310, 0,FALSE), IFERROR(VLOOKUP($A676,'Vocus RVC ExDa'!$C$2:$R$155, 0,FALSE), IFERROR(VLOOKUP($A676,'Fusion ExDa'!$B$2:$D$16, 0,FALSE), IFERROR(VLOOKUP($A676,'Exetel ExDa'!$C$2:$N$14, 11,FALSE), IFERROR(VLOOKUP($A676,'Infinet ExDa'!$B$2:$E$14, 0,FALSE), "Not Found"))))))))</f>
        <v>Not Found</v>
      </c>
      <c r="N676" t="str">
        <f>IFERROR(VLOOKUP($A676,'AAPT ExDa'!$B$2:$U$99, 0,FALSE), IFERROR(VLOOKUP($A676,'ABB ExDa'!$A$2:$N$184, 13,FALSE), IFERROR(VLOOKUP($A676,'Vocus SIT ExDa'!$B$2:$J$173, 0,FALSE), IFERROR(VLOOKUP($A676,'Telstra ExDa'!$B$2:$K$310, 0,FALSE), IFERROR(VLOOKUP($A676,'Vocus RVC ExDa'!$C$2:$R$155, 0,FALSE), IFERROR(VLOOKUP($A676,'Fusion ExDa'!$B$2:$D$16, 0,FALSE), IFERROR(VLOOKUP($A676,'Exetel ExDa'!$C$2:$N$14, 0,FALSE), IFERROR(VLOOKUP($A676,'Infinet ExDa'!$B$2:$E$14, 0,FALSE), "Not Found"))))))))</f>
        <v>Not Found</v>
      </c>
    </row>
    <row r="677" spans="1:14">
      <c r="A677">
        <v>0</v>
      </c>
      <c r="B677" t="str">
        <f>IFERROR(VLOOKUP(A677,'Exetel ExDa'!$C$2:$N$14,4,FALSE),"No Data")</f>
        <v>No Data</v>
      </c>
      <c r="C677" t="str">
        <f>IFERROR(VLOOKUP(A677,'AAPT ExDa'!$B$2:$U$99, 2,FALSE), IFERROR(VLOOKUP(A677,'ABB ExDa'!$A$2:$N$184, 2,FALSE), IFERROR(VLOOKUP(A677,'Vocus SIT ExDa'!$B$2:$J$173, 7,FALSE), IFERROR(VLOOKUP(A677,'Telstra ExDa'!$B$2:$K$310, 2,FALSE), IFERROR(VLOOKUP(A677,'Vocus RVC ExDa'!$C$2:$R$155, 3,FALSE), IFERROR(VLOOKUP(A677,'Fusion ExDa'!$B$2:$D$16, 2,FALSE), IFERROR(VLOOKUP(A677,'Exetel ExDa'!$C$2:$N$14, 2,FALSE), IFERROR(VLOOKUP(A677,'Infinet ExDa'!$B$2:$E$14, 2,FALSE), "Not Found"))))))))</f>
        <v>Not Found</v>
      </c>
      <c r="D677" t="str">
        <f>IFERROR(VLOOKUP($A677,'AAPT ExDa'!$B$2:$U$99, 15,FALSE), IFERROR(VLOOKUP($A677,'ABB ExDa'!$A$2:$N$184, 4,FALSE), IFERROR(VLOOKUP($A677,'Vocus SIT ExDa'!$B$2:$J$173, 5,FALSE), IFERROR(VLOOKUP($A677,'Telstra ExDa'!$B$2:$K$310, 8,FALSE), IFERROR(VLOOKUP($A677,'Vocus RVC ExDa'!$C$2:$R$155, 6,FALSE), IFERROR(VLOOKUP($A677,'Fusion ExDa'!$B$2:$D$16, 4,FALSE), IFERROR(VLOOKUP($A677,'Exetel ExDa'!$C$2:$N$14, 3,FALSE), IFERROR(VLOOKUP($A677,'Infinet ExDa'!$B$2:$E$14, 3,FALSE), "Not Found"))))))))</f>
        <v>Not Found</v>
      </c>
      <c r="E677" t="str">
        <f>IFERROR(VLOOKUP($A677,'AAPT ExDa'!$B$2:$U$99, 3,FALSE), IFERROR(VLOOKUP($A677,'ABB ExDa'!$A$2:$N$184, 5,FALSE), IFERROR(VLOOKUP($A677,'Vocus SIT ExDa'!$B$2:$J$173, 2,FALSE), IFERROR(VLOOKUP($A677,'Telstra ExDa'!$B$2:$K$310, 4,FALSE), IFERROR(VLOOKUP($A677,'Vocus RVC ExDa'!$C$2:$R$155, 8,FALSE), IFERROR(VLOOKUP($A677,'Fusion ExDa'!$B$2:$D$16, 4,FALSE), IFERROR(VLOOKUP($A677,'Exetel ExDa'!$C$2:$N$14, 5,FALSE), IFERROR(VLOOKUP($A677,'Infinet ExDa'!$B$2:$E$14, 3,FALSE), "Not Found"))))))))</f>
        <v>Not Found</v>
      </c>
      <c r="F677" t="str">
        <f>IFERROR(VLOOKUP($A677,'AAPT ExDa'!$B$2:$U$99, 4,FALSE), IFERROR(VLOOKUP($A677,'ABB ExDa'!$A$2:$N$184, 6,FALSE), IFERROR(VLOOKUP($A677,'Vocus SIT ExDa'!$B$2:$J$173, 3,FALSE), IFERROR(VLOOKUP($A677,'Telstra ExDa'!$B$2:$K$310, 5,FALSE), IFERROR(VLOOKUP($A677,'Vocus RVC ExDa'!$C$2:$R$155, 9,FALSE), IFERROR(VLOOKUP($A677,'Fusion ExDa'!$B$2:$D$16, 0,FALSE), IFERROR(VLOOKUP($A677,'Exetel ExDa'!$C$2:$N$14, 6,FALSE), IFERROR(VLOOKUP($A677,'Infinet ExDa'!$B$2:$E$14, 0,FALSE), "Not Found"))))))))</f>
        <v>Not Found</v>
      </c>
      <c r="G677" t="str">
        <f>IFERROR(VLOOKUP($A677,'AAPT ExDa'!$B$2:$U$99, 5,FALSE), IFERROR(VLOOKUP($A677,'ABB ExDa'!$A$2:$N$184, 8,FALSE), IFERROR(VLOOKUP($A677,'Vocus SIT ExDa'!$B$2:$J$173, 6,FALSE), IFERROR(VLOOKUP($A677,'Telstra ExDa'!$B$2:$K$310, 0,FALSE), IFERROR(VLOOKUP($A677,'Vocus RVC ExDa'!$C$2:$R$155, 15,FALSE), IFERROR(VLOOKUP($A677,'Fusion ExDa'!$B$2:$D$16, 0,FALSE), IFERROR(VLOOKUP($A677,'Exetel ExDa'!$C$2:$N$14, 7,FALSE), IFERROR(VLOOKUP($A677,'Infinet ExDa'!$B$2:$E$14, 0,FALSE), "Not Found"))))))))</f>
        <v>Not Found</v>
      </c>
      <c r="H677" t="str">
        <f>IFERROR(VLOOKUP($A677,'AAPT ExDa'!$B$2:$U$99, 6,FALSE), IFERROR(VLOOKUP($A677,'ABB ExDa'!$A$2:$N$184, 0,FALSE), IFERROR(VLOOKUP($A677,'Vocus SIT ExDa'!$B$2:$J$173, 0,FALSE), IFERROR(VLOOKUP($A677,'Telstra ExDa'!$B$2:$K$310, 0,FALSE), IFERROR(VLOOKUP($A677,'Vocus RVC ExDa'!$C$2:$R$155, 16,FALSE), IFERROR(VLOOKUP($A677,'Fusion ExDa'!$B$2:$D$16, 0,FALSE), IFERROR(VLOOKUP($A677,'Exetel ExDa'!$C$2:$N$14, 0,FALSE), IFERROR(VLOOKUP($A677,'Infinet ExDa'!$B$2:$E$14, 0,FALSE), "Not Found"))))))))</f>
        <v>Not Found</v>
      </c>
      <c r="I677" t="str">
        <f>IFERROR(VLOOKUP($A677,'AAPT ExDa'!$B$2:$U$99, 0,FALSE), IFERROR(VLOOKUP($A677,'ABB ExDa'!$A$2:$N$184, 0,FALSE), IFERROR(VLOOKUP($A677,'Vocus SIT ExDa'!$B$2:$J$173, 0,FALSE), IFERROR(VLOOKUP($A677,'Telstra ExDa'!$B$2:$K$310, 0,FALSE), IFERROR(VLOOKUP($A677,'Vocus RVC ExDa'!$C$2:$R$155, 0,FALSE), IFERROR(VLOOKUP($A677,'Fusion ExDa'!$B$2:$D$16, 0,FALSE), IFERROR(VLOOKUP($A677,'Exetel ExDa'!$C$2:$N$14, 8,FALSE), IFERROR(VLOOKUP($A677,'Infinet ExDa'!$B$2:$E$14, 0,FALSE), "Not Found"))))))))</f>
        <v>Not Found</v>
      </c>
      <c r="J677" t="str">
        <f>IFERROR(VLOOKUP($A677,'AAPT ExDa'!$B$2:$U$99, 7,FALSE), IFERROR(VLOOKUP($A677,'ABB ExDa'!$A$2:$N$184, 2,FALSE), IFERROR(VLOOKUP($A677,'Vocus SIT ExDa'!$B$2:$J$173, 0,FALSE), IFERROR(VLOOKUP($A677,'Telstra ExDa'!$B$2:$K$310, 7,FALSE), IFERROR(VLOOKUP($A677,'Vocus RVC ExDa'!$C$2:$R$155, 2,FALSE), IFERROR(VLOOKUP($A677,'Fusion ExDa'!$B$2:$D$16, 3,FALSE), IFERROR(VLOOKUP($A677,'Exetel ExDa'!$C$2:$N$14, 0,FALSE), IFERROR(VLOOKUP($A677,'Infinet ExDa'!$B$2:$E$14, 0,FALSE), "Not Found"))))))))</f>
        <v>Not Found</v>
      </c>
      <c r="K677" t="str">
        <f>IFERROR(VLOOKUP($A677,'AAPT ExDa'!$B$2:$U$99, 12,FALSE), IFERROR(VLOOKUP($A677,'ABB ExDa'!$A$2:$N$184, 0,FALSE), IFERROR(VLOOKUP($A677,'Vocus SIT ExDa'!$B$2:$J$173, 0,FALSE), IFERROR(VLOOKUP($A677,'Telstra ExDa'!$B$2:$K$310, 0,FALSE), IFERROR(VLOOKUP($A677,'Vocus RVC ExDa'!$C$2:$R$155, 0,FALSE), IFERROR(VLOOKUP($A677,'Fusion ExDa'!$B$2:$D$16, 0,FALSE), IFERROR(VLOOKUP($A677,'Exetel ExDa'!$C$2:$N$14, 12,FALSE), IFERROR(VLOOKUP($A677,'Infinet ExDa'!$B$2:$E$14, 0,FALSE), "Not Found"))))))))</f>
        <v>Not Found</v>
      </c>
      <c r="L677" s="235" t="str">
        <f>IFERROR(VLOOKUP($A677,'AAPT ExDa'!$B$2:$U$99, 11,FALSE), IFERROR(VLOOKUP($A677,'ABB ExDa'!$A$2:$N$184, 9,FALSE), IFERROR(VLOOKUP($A677,'Vocus SIT ExDa'!$B$2:$J$173, 8,FALSE), IFERROR(VLOOKUP($A677,'Telstra ExDa'!$B$2:$K$310, 0,FALSE), IFERROR(VLOOKUP($A677,'Vocus RVC ExDa'!$C$2:$R$155, 0,FALSE), IFERROR(VLOOKUP($A677,'Fusion ExDa'!$B$2:$D$16, 0,FALSE), IFERROR(VLOOKUP($A677,'Exetel ExDa'!$C$2:$N$14, 9,FALSE), IFERROR(VLOOKUP($A677,'Infinet ExDa'!$B$2:$E$14, 0,FALSE), "Not Found"))))))))</f>
        <v>Not Found</v>
      </c>
      <c r="M677" s="234" t="str">
        <f>IFERROR(VLOOKUP($A677,'AAPT ExDa'!$B$2:$U$99, 0,FALSE), IFERROR(VLOOKUP($A677,'ABB ExDa'!$A$2:$N$184, 0,FALSE), IFERROR(VLOOKUP($A677,'Vocus SIT ExDa'!$B$2:$J$173, 0,FALSE), IFERROR(VLOOKUP($A677,'Telstra ExDa'!$B$2:$K$310, 0,FALSE), IFERROR(VLOOKUP($A677,'Vocus RVC ExDa'!$C$2:$R$155, 0,FALSE), IFERROR(VLOOKUP($A677,'Fusion ExDa'!$B$2:$D$16, 0,FALSE), IFERROR(VLOOKUP($A677,'Exetel ExDa'!$C$2:$N$14, 11,FALSE), IFERROR(VLOOKUP($A677,'Infinet ExDa'!$B$2:$E$14, 0,FALSE), "Not Found"))))))))</f>
        <v>Not Found</v>
      </c>
      <c r="N677" t="str">
        <f>IFERROR(VLOOKUP($A677,'AAPT ExDa'!$B$2:$U$99, 0,FALSE), IFERROR(VLOOKUP($A677,'ABB ExDa'!$A$2:$N$184, 13,FALSE), IFERROR(VLOOKUP($A677,'Vocus SIT ExDa'!$B$2:$J$173, 0,FALSE), IFERROR(VLOOKUP($A677,'Telstra ExDa'!$B$2:$K$310, 0,FALSE), IFERROR(VLOOKUP($A677,'Vocus RVC ExDa'!$C$2:$R$155, 0,FALSE), IFERROR(VLOOKUP($A677,'Fusion ExDa'!$B$2:$D$16, 0,FALSE), IFERROR(VLOOKUP($A677,'Exetel ExDa'!$C$2:$N$14, 0,FALSE), IFERROR(VLOOKUP($A677,'Infinet ExDa'!$B$2:$E$14, 0,FALSE), "Not Found"))))))))</f>
        <v>Not Found</v>
      </c>
    </row>
    <row r="678" spans="1:14">
      <c r="A678">
        <v>0</v>
      </c>
      <c r="B678" t="str">
        <f>IFERROR(VLOOKUP(A678,'Exetel ExDa'!$C$2:$N$14,4,FALSE),"No Data")</f>
        <v>No Data</v>
      </c>
      <c r="C678" t="str">
        <f>IFERROR(VLOOKUP(A678,'AAPT ExDa'!$B$2:$U$99, 2,FALSE), IFERROR(VLOOKUP(A678,'ABB ExDa'!$A$2:$N$184, 2,FALSE), IFERROR(VLOOKUP(A678,'Vocus SIT ExDa'!$B$2:$J$173, 7,FALSE), IFERROR(VLOOKUP(A678,'Telstra ExDa'!$B$2:$K$310, 2,FALSE), IFERROR(VLOOKUP(A678,'Vocus RVC ExDa'!$C$2:$R$155, 3,FALSE), IFERROR(VLOOKUP(A678,'Fusion ExDa'!$B$2:$D$16, 2,FALSE), IFERROR(VLOOKUP(A678,'Exetel ExDa'!$C$2:$N$14, 2,FALSE), IFERROR(VLOOKUP(A678,'Infinet ExDa'!$B$2:$E$14, 2,FALSE), "Not Found"))))))))</f>
        <v>Not Found</v>
      </c>
      <c r="D678" t="str">
        <f>IFERROR(VLOOKUP($A678,'AAPT ExDa'!$B$2:$U$99, 15,FALSE), IFERROR(VLOOKUP($A678,'ABB ExDa'!$A$2:$N$184, 4,FALSE), IFERROR(VLOOKUP($A678,'Vocus SIT ExDa'!$B$2:$J$173, 5,FALSE), IFERROR(VLOOKUP($A678,'Telstra ExDa'!$B$2:$K$310, 8,FALSE), IFERROR(VLOOKUP($A678,'Vocus RVC ExDa'!$C$2:$R$155, 6,FALSE), IFERROR(VLOOKUP($A678,'Fusion ExDa'!$B$2:$D$16, 4,FALSE), IFERROR(VLOOKUP($A678,'Exetel ExDa'!$C$2:$N$14, 3,FALSE), IFERROR(VLOOKUP($A678,'Infinet ExDa'!$B$2:$E$14, 3,FALSE), "Not Found"))))))))</f>
        <v>Not Found</v>
      </c>
      <c r="E678" t="str">
        <f>IFERROR(VLOOKUP($A678,'AAPT ExDa'!$B$2:$U$99, 3,FALSE), IFERROR(VLOOKUP($A678,'ABB ExDa'!$A$2:$N$184, 5,FALSE), IFERROR(VLOOKUP($A678,'Vocus SIT ExDa'!$B$2:$J$173, 2,FALSE), IFERROR(VLOOKUP($A678,'Telstra ExDa'!$B$2:$K$310, 4,FALSE), IFERROR(VLOOKUP($A678,'Vocus RVC ExDa'!$C$2:$R$155, 8,FALSE), IFERROR(VLOOKUP($A678,'Fusion ExDa'!$B$2:$D$16, 4,FALSE), IFERROR(VLOOKUP($A678,'Exetel ExDa'!$C$2:$N$14, 5,FALSE), IFERROR(VLOOKUP($A678,'Infinet ExDa'!$B$2:$E$14, 3,FALSE), "Not Found"))))))))</f>
        <v>Not Found</v>
      </c>
      <c r="F678" t="str">
        <f>IFERROR(VLOOKUP($A678,'AAPT ExDa'!$B$2:$U$99, 4,FALSE), IFERROR(VLOOKUP($A678,'ABB ExDa'!$A$2:$N$184, 6,FALSE), IFERROR(VLOOKUP($A678,'Vocus SIT ExDa'!$B$2:$J$173, 3,FALSE), IFERROR(VLOOKUP($A678,'Telstra ExDa'!$B$2:$K$310, 5,FALSE), IFERROR(VLOOKUP($A678,'Vocus RVC ExDa'!$C$2:$R$155, 9,FALSE), IFERROR(VLOOKUP($A678,'Fusion ExDa'!$B$2:$D$16, 0,FALSE), IFERROR(VLOOKUP($A678,'Exetel ExDa'!$C$2:$N$14, 6,FALSE), IFERROR(VLOOKUP($A678,'Infinet ExDa'!$B$2:$E$14, 0,FALSE), "Not Found"))))))))</f>
        <v>Not Found</v>
      </c>
      <c r="G678" t="str">
        <f>IFERROR(VLOOKUP($A678,'AAPT ExDa'!$B$2:$U$99, 5,FALSE), IFERROR(VLOOKUP($A678,'ABB ExDa'!$A$2:$N$184, 8,FALSE), IFERROR(VLOOKUP($A678,'Vocus SIT ExDa'!$B$2:$J$173, 6,FALSE), IFERROR(VLOOKUP($A678,'Telstra ExDa'!$B$2:$K$310, 0,FALSE), IFERROR(VLOOKUP($A678,'Vocus RVC ExDa'!$C$2:$R$155, 15,FALSE), IFERROR(VLOOKUP($A678,'Fusion ExDa'!$B$2:$D$16, 0,FALSE), IFERROR(VLOOKUP($A678,'Exetel ExDa'!$C$2:$N$14, 7,FALSE), IFERROR(VLOOKUP($A678,'Infinet ExDa'!$B$2:$E$14, 0,FALSE), "Not Found"))))))))</f>
        <v>Not Found</v>
      </c>
      <c r="H678" t="str">
        <f>IFERROR(VLOOKUP($A678,'AAPT ExDa'!$B$2:$U$99, 6,FALSE), IFERROR(VLOOKUP($A678,'ABB ExDa'!$A$2:$N$184, 0,FALSE), IFERROR(VLOOKUP($A678,'Vocus SIT ExDa'!$B$2:$J$173, 0,FALSE), IFERROR(VLOOKUP($A678,'Telstra ExDa'!$B$2:$K$310, 0,FALSE), IFERROR(VLOOKUP($A678,'Vocus RVC ExDa'!$C$2:$R$155, 16,FALSE), IFERROR(VLOOKUP($A678,'Fusion ExDa'!$B$2:$D$16, 0,FALSE), IFERROR(VLOOKUP($A678,'Exetel ExDa'!$C$2:$N$14, 0,FALSE), IFERROR(VLOOKUP($A678,'Infinet ExDa'!$B$2:$E$14, 0,FALSE), "Not Found"))))))))</f>
        <v>Not Found</v>
      </c>
      <c r="I678" t="str">
        <f>IFERROR(VLOOKUP($A678,'AAPT ExDa'!$B$2:$U$99, 0,FALSE), IFERROR(VLOOKUP($A678,'ABB ExDa'!$A$2:$N$184, 0,FALSE), IFERROR(VLOOKUP($A678,'Vocus SIT ExDa'!$B$2:$J$173, 0,FALSE), IFERROR(VLOOKUP($A678,'Telstra ExDa'!$B$2:$K$310, 0,FALSE), IFERROR(VLOOKUP($A678,'Vocus RVC ExDa'!$C$2:$R$155, 0,FALSE), IFERROR(VLOOKUP($A678,'Fusion ExDa'!$B$2:$D$16, 0,FALSE), IFERROR(VLOOKUP($A678,'Exetel ExDa'!$C$2:$N$14, 8,FALSE), IFERROR(VLOOKUP($A678,'Infinet ExDa'!$B$2:$E$14, 0,FALSE), "Not Found"))))))))</f>
        <v>Not Found</v>
      </c>
      <c r="J678" t="str">
        <f>IFERROR(VLOOKUP($A678,'AAPT ExDa'!$B$2:$U$99, 7,FALSE), IFERROR(VLOOKUP($A678,'ABB ExDa'!$A$2:$N$184, 2,FALSE), IFERROR(VLOOKUP($A678,'Vocus SIT ExDa'!$B$2:$J$173, 0,FALSE), IFERROR(VLOOKUP($A678,'Telstra ExDa'!$B$2:$K$310, 7,FALSE), IFERROR(VLOOKUP($A678,'Vocus RVC ExDa'!$C$2:$R$155, 2,FALSE), IFERROR(VLOOKUP($A678,'Fusion ExDa'!$B$2:$D$16, 3,FALSE), IFERROR(VLOOKUP($A678,'Exetel ExDa'!$C$2:$N$14, 0,FALSE), IFERROR(VLOOKUP($A678,'Infinet ExDa'!$B$2:$E$14, 0,FALSE), "Not Found"))))))))</f>
        <v>Not Found</v>
      </c>
      <c r="K678" t="str">
        <f>IFERROR(VLOOKUP($A678,'AAPT ExDa'!$B$2:$U$99, 12,FALSE), IFERROR(VLOOKUP($A678,'ABB ExDa'!$A$2:$N$184, 0,FALSE), IFERROR(VLOOKUP($A678,'Vocus SIT ExDa'!$B$2:$J$173, 0,FALSE), IFERROR(VLOOKUP($A678,'Telstra ExDa'!$B$2:$K$310, 0,FALSE), IFERROR(VLOOKUP($A678,'Vocus RVC ExDa'!$C$2:$R$155, 0,FALSE), IFERROR(VLOOKUP($A678,'Fusion ExDa'!$B$2:$D$16, 0,FALSE), IFERROR(VLOOKUP($A678,'Exetel ExDa'!$C$2:$N$14, 12,FALSE), IFERROR(VLOOKUP($A678,'Infinet ExDa'!$B$2:$E$14, 0,FALSE), "Not Found"))))))))</f>
        <v>Not Found</v>
      </c>
      <c r="L678" s="235" t="str">
        <f>IFERROR(VLOOKUP($A678,'AAPT ExDa'!$B$2:$U$99, 11,FALSE), IFERROR(VLOOKUP($A678,'ABB ExDa'!$A$2:$N$184, 9,FALSE), IFERROR(VLOOKUP($A678,'Vocus SIT ExDa'!$B$2:$J$173, 8,FALSE), IFERROR(VLOOKUP($A678,'Telstra ExDa'!$B$2:$K$310, 0,FALSE), IFERROR(VLOOKUP($A678,'Vocus RVC ExDa'!$C$2:$R$155, 0,FALSE), IFERROR(VLOOKUP($A678,'Fusion ExDa'!$B$2:$D$16, 0,FALSE), IFERROR(VLOOKUP($A678,'Exetel ExDa'!$C$2:$N$14, 9,FALSE), IFERROR(VLOOKUP($A678,'Infinet ExDa'!$B$2:$E$14, 0,FALSE), "Not Found"))))))))</f>
        <v>Not Found</v>
      </c>
      <c r="M678" s="234" t="str">
        <f>IFERROR(VLOOKUP($A678,'AAPT ExDa'!$B$2:$U$99, 0,FALSE), IFERROR(VLOOKUP($A678,'ABB ExDa'!$A$2:$N$184, 0,FALSE), IFERROR(VLOOKUP($A678,'Vocus SIT ExDa'!$B$2:$J$173, 0,FALSE), IFERROR(VLOOKUP($A678,'Telstra ExDa'!$B$2:$K$310, 0,FALSE), IFERROR(VLOOKUP($A678,'Vocus RVC ExDa'!$C$2:$R$155, 0,FALSE), IFERROR(VLOOKUP($A678,'Fusion ExDa'!$B$2:$D$16, 0,FALSE), IFERROR(VLOOKUP($A678,'Exetel ExDa'!$C$2:$N$14, 11,FALSE), IFERROR(VLOOKUP($A678,'Infinet ExDa'!$B$2:$E$14, 0,FALSE), "Not Found"))))))))</f>
        <v>Not Found</v>
      </c>
      <c r="N678" t="str">
        <f>IFERROR(VLOOKUP($A678,'AAPT ExDa'!$B$2:$U$99, 0,FALSE), IFERROR(VLOOKUP($A678,'ABB ExDa'!$A$2:$N$184, 13,FALSE), IFERROR(VLOOKUP($A678,'Vocus SIT ExDa'!$B$2:$J$173, 0,FALSE), IFERROR(VLOOKUP($A678,'Telstra ExDa'!$B$2:$K$310, 0,FALSE), IFERROR(VLOOKUP($A678,'Vocus RVC ExDa'!$C$2:$R$155, 0,FALSE), IFERROR(VLOOKUP($A678,'Fusion ExDa'!$B$2:$D$16, 0,FALSE), IFERROR(VLOOKUP($A678,'Exetel ExDa'!$C$2:$N$14, 0,FALSE), IFERROR(VLOOKUP($A678,'Infinet ExDa'!$B$2:$E$14, 0,FALSE), "Not Found"))))))))</f>
        <v>Not Found</v>
      </c>
    </row>
    <row r="679" spans="1:14">
      <c r="A679">
        <v>0</v>
      </c>
      <c r="B679" t="str">
        <f>IFERROR(VLOOKUP(A679,'Exetel ExDa'!$C$2:$N$14,4,FALSE),"No Data")</f>
        <v>No Data</v>
      </c>
      <c r="C679" t="str">
        <f>IFERROR(VLOOKUP(A679,'AAPT ExDa'!$B$2:$U$99, 2,FALSE), IFERROR(VLOOKUP(A679,'ABB ExDa'!$A$2:$N$184, 2,FALSE), IFERROR(VLOOKUP(A679,'Vocus SIT ExDa'!$B$2:$J$173, 7,FALSE), IFERROR(VLOOKUP(A679,'Telstra ExDa'!$B$2:$K$310, 2,FALSE), IFERROR(VLOOKUP(A679,'Vocus RVC ExDa'!$C$2:$R$155, 3,FALSE), IFERROR(VLOOKUP(A679,'Fusion ExDa'!$B$2:$D$16, 2,FALSE), IFERROR(VLOOKUP(A679,'Exetel ExDa'!$C$2:$N$14, 2,FALSE), IFERROR(VLOOKUP(A679,'Infinet ExDa'!$B$2:$E$14, 2,FALSE), "Not Found"))))))))</f>
        <v>Not Found</v>
      </c>
      <c r="D679" t="str">
        <f>IFERROR(VLOOKUP($A679,'AAPT ExDa'!$B$2:$U$99, 15,FALSE), IFERROR(VLOOKUP($A679,'ABB ExDa'!$A$2:$N$184, 4,FALSE), IFERROR(VLOOKUP($A679,'Vocus SIT ExDa'!$B$2:$J$173, 5,FALSE), IFERROR(VLOOKUP($A679,'Telstra ExDa'!$B$2:$K$310, 8,FALSE), IFERROR(VLOOKUP($A679,'Vocus RVC ExDa'!$C$2:$R$155, 6,FALSE), IFERROR(VLOOKUP($A679,'Fusion ExDa'!$B$2:$D$16, 4,FALSE), IFERROR(VLOOKUP($A679,'Exetel ExDa'!$C$2:$N$14, 3,FALSE), IFERROR(VLOOKUP($A679,'Infinet ExDa'!$B$2:$E$14, 3,FALSE), "Not Found"))))))))</f>
        <v>Not Found</v>
      </c>
      <c r="E679" t="str">
        <f>IFERROR(VLOOKUP($A679,'AAPT ExDa'!$B$2:$U$99, 3,FALSE), IFERROR(VLOOKUP($A679,'ABB ExDa'!$A$2:$N$184, 5,FALSE), IFERROR(VLOOKUP($A679,'Vocus SIT ExDa'!$B$2:$J$173, 2,FALSE), IFERROR(VLOOKUP($A679,'Telstra ExDa'!$B$2:$K$310, 4,FALSE), IFERROR(VLOOKUP($A679,'Vocus RVC ExDa'!$C$2:$R$155, 8,FALSE), IFERROR(VLOOKUP($A679,'Fusion ExDa'!$B$2:$D$16, 4,FALSE), IFERROR(VLOOKUP($A679,'Exetel ExDa'!$C$2:$N$14, 5,FALSE), IFERROR(VLOOKUP($A679,'Infinet ExDa'!$B$2:$E$14, 3,FALSE), "Not Found"))))))))</f>
        <v>Not Found</v>
      </c>
      <c r="F679" t="str">
        <f>IFERROR(VLOOKUP($A679,'AAPT ExDa'!$B$2:$U$99, 4,FALSE), IFERROR(VLOOKUP($A679,'ABB ExDa'!$A$2:$N$184, 6,FALSE), IFERROR(VLOOKUP($A679,'Vocus SIT ExDa'!$B$2:$J$173, 3,FALSE), IFERROR(VLOOKUP($A679,'Telstra ExDa'!$B$2:$K$310, 5,FALSE), IFERROR(VLOOKUP($A679,'Vocus RVC ExDa'!$C$2:$R$155, 9,FALSE), IFERROR(VLOOKUP($A679,'Fusion ExDa'!$B$2:$D$16, 0,FALSE), IFERROR(VLOOKUP($A679,'Exetel ExDa'!$C$2:$N$14, 6,FALSE), IFERROR(VLOOKUP($A679,'Infinet ExDa'!$B$2:$E$14, 0,FALSE), "Not Found"))))))))</f>
        <v>Not Found</v>
      </c>
      <c r="G679" t="str">
        <f>IFERROR(VLOOKUP($A679,'AAPT ExDa'!$B$2:$U$99, 5,FALSE), IFERROR(VLOOKUP($A679,'ABB ExDa'!$A$2:$N$184, 8,FALSE), IFERROR(VLOOKUP($A679,'Vocus SIT ExDa'!$B$2:$J$173, 6,FALSE), IFERROR(VLOOKUP($A679,'Telstra ExDa'!$B$2:$K$310, 0,FALSE), IFERROR(VLOOKUP($A679,'Vocus RVC ExDa'!$C$2:$R$155, 15,FALSE), IFERROR(VLOOKUP($A679,'Fusion ExDa'!$B$2:$D$16, 0,FALSE), IFERROR(VLOOKUP($A679,'Exetel ExDa'!$C$2:$N$14, 7,FALSE), IFERROR(VLOOKUP($A679,'Infinet ExDa'!$B$2:$E$14, 0,FALSE), "Not Found"))))))))</f>
        <v>Not Found</v>
      </c>
      <c r="H679" t="str">
        <f>IFERROR(VLOOKUP($A679,'AAPT ExDa'!$B$2:$U$99, 6,FALSE), IFERROR(VLOOKUP($A679,'ABB ExDa'!$A$2:$N$184, 0,FALSE), IFERROR(VLOOKUP($A679,'Vocus SIT ExDa'!$B$2:$J$173, 0,FALSE), IFERROR(VLOOKUP($A679,'Telstra ExDa'!$B$2:$K$310, 0,FALSE), IFERROR(VLOOKUP($A679,'Vocus RVC ExDa'!$C$2:$R$155, 16,FALSE), IFERROR(VLOOKUP($A679,'Fusion ExDa'!$B$2:$D$16, 0,FALSE), IFERROR(VLOOKUP($A679,'Exetel ExDa'!$C$2:$N$14, 0,FALSE), IFERROR(VLOOKUP($A679,'Infinet ExDa'!$B$2:$E$14, 0,FALSE), "Not Found"))))))))</f>
        <v>Not Found</v>
      </c>
      <c r="I679" t="str">
        <f>IFERROR(VLOOKUP($A679,'AAPT ExDa'!$B$2:$U$99, 0,FALSE), IFERROR(VLOOKUP($A679,'ABB ExDa'!$A$2:$N$184, 0,FALSE), IFERROR(VLOOKUP($A679,'Vocus SIT ExDa'!$B$2:$J$173, 0,FALSE), IFERROR(VLOOKUP($A679,'Telstra ExDa'!$B$2:$K$310, 0,FALSE), IFERROR(VLOOKUP($A679,'Vocus RVC ExDa'!$C$2:$R$155, 0,FALSE), IFERROR(VLOOKUP($A679,'Fusion ExDa'!$B$2:$D$16, 0,FALSE), IFERROR(VLOOKUP($A679,'Exetel ExDa'!$C$2:$N$14, 8,FALSE), IFERROR(VLOOKUP($A679,'Infinet ExDa'!$B$2:$E$14, 0,FALSE), "Not Found"))))))))</f>
        <v>Not Found</v>
      </c>
      <c r="J679" t="str">
        <f>IFERROR(VLOOKUP($A679,'AAPT ExDa'!$B$2:$U$99, 7,FALSE), IFERROR(VLOOKUP($A679,'ABB ExDa'!$A$2:$N$184, 2,FALSE), IFERROR(VLOOKUP($A679,'Vocus SIT ExDa'!$B$2:$J$173, 0,FALSE), IFERROR(VLOOKUP($A679,'Telstra ExDa'!$B$2:$K$310, 7,FALSE), IFERROR(VLOOKUP($A679,'Vocus RVC ExDa'!$C$2:$R$155, 2,FALSE), IFERROR(VLOOKUP($A679,'Fusion ExDa'!$B$2:$D$16, 3,FALSE), IFERROR(VLOOKUP($A679,'Exetel ExDa'!$C$2:$N$14, 0,FALSE), IFERROR(VLOOKUP($A679,'Infinet ExDa'!$B$2:$E$14, 0,FALSE), "Not Found"))))))))</f>
        <v>Not Found</v>
      </c>
      <c r="K679" t="str">
        <f>IFERROR(VLOOKUP($A679,'AAPT ExDa'!$B$2:$U$99, 12,FALSE), IFERROR(VLOOKUP($A679,'ABB ExDa'!$A$2:$N$184, 0,FALSE), IFERROR(VLOOKUP($A679,'Vocus SIT ExDa'!$B$2:$J$173, 0,FALSE), IFERROR(VLOOKUP($A679,'Telstra ExDa'!$B$2:$K$310, 0,FALSE), IFERROR(VLOOKUP($A679,'Vocus RVC ExDa'!$C$2:$R$155, 0,FALSE), IFERROR(VLOOKUP($A679,'Fusion ExDa'!$B$2:$D$16, 0,FALSE), IFERROR(VLOOKUP($A679,'Exetel ExDa'!$C$2:$N$14, 12,FALSE), IFERROR(VLOOKUP($A679,'Infinet ExDa'!$B$2:$E$14, 0,FALSE), "Not Found"))))))))</f>
        <v>Not Found</v>
      </c>
      <c r="L679" s="235" t="str">
        <f>IFERROR(VLOOKUP($A679,'AAPT ExDa'!$B$2:$U$99, 11,FALSE), IFERROR(VLOOKUP($A679,'ABB ExDa'!$A$2:$N$184, 9,FALSE), IFERROR(VLOOKUP($A679,'Vocus SIT ExDa'!$B$2:$J$173, 8,FALSE), IFERROR(VLOOKUP($A679,'Telstra ExDa'!$B$2:$K$310, 0,FALSE), IFERROR(VLOOKUP($A679,'Vocus RVC ExDa'!$C$2:$R$155, 0,FALSE), IFERROR(VLOOKUP($A679,'Fusion ExDa'!$B$2:$D$16, 0,FALSE), IFERROR(VLOOKUP($A679,'Exetel ExDa'!$C$2:$N$14, 9,FALSE), IFERROR(VLOOKUP($A679,'Infinet ExDa'!$B$2:$E$14, 0,FALSE), "Not Found"))))))))</f>
        <v>Not Found</v>
      </c>
      <c r="M679" s="234" t="str">
        <f>IFERROR(VLOOKUP($A679,'AAPT ExDa'!$B$2:$U$99, 0,FALSE), IFERROR(VLOOKUP($A679,'ABB ExDa'!$A$2:$N$184, 0,FALSE), IFERROR(VLOOKUP($A679,'Vocus SIT ExDa'!$B$2:$J$173, 0,FALSE), IFERROR(VLOOKUP($A679,'Telstra ExDa'!$B$2:$K$310, 0,FALSE), IFERROR(VLOOKUP($A679,'Vocus RVC ExDa'!$C$2:$R$155, 0,FALSE), IFERROR(VLOOKUP($A679,'Fusion ExDa'!$B$2:$D$16, 0,FALSE), IFERROR(VLOOKUP($A679,'Exetel ExDa'!$C$2:$N$14, 11,FALSE), IFERROR(VLOOKUP($A679,'Infinet ExDa'!$B$2:$E$14, 0,FALSE), "Not Found"))))))))</f>
        <v>Not Found</v>
      </c>
      <c r="N679" t="str">
        <f>IFERROR(VLOOKUP($A679,'AAPT ExDa'!$B$2:$U$99, 0,FALSE), IFERROR(VLOOKUP($A679,'ABB ExDa'!$A$2:$N$184, 13,FALSE), IFERROR(VLOOKUP($A679,'Vocus SIT ExDa'!$B$2:$J$173, 0,FALSE), IFERROR(VLOOKUP($A679,'Telstra ExDa'!$B$2:$K$310, 0,FALSE), IFERROR(VLOOKUP($A679,'Vocus RVC ExDa'!$C$2:$R$155, 0,FALSE), IFERROR(VLOOKUP($A679,'Fusion ExDa'!$B$2:$D$16, 0,FALSE), IFERROR(VLOOKUP($A679,'Exetel ExDa'!$C$2:$N$14, 0,FALSE), IFERROR(VLOOKUP($A679,'Infinet ExDa'!$B$2:$E$14, 0,FALSE), "Not Found"))))))))</f>
        <v>Not Found</v>
      </c>
    </row>
    <row r="680" spans="1:14">
      <c r="A680">
        <v>0</v>
      </c>
      <c r="B680" t="str">
        <f>IFERROR(VLOOKUP(A680,'Exetel ExDa'!$C$2:$N$14,4,FALSE),"No Data")</f>
        <v>No Data</v>
      </c>
      <c r="C680" t="str">
        <f>IFERROR(VLOOKUP(A680,'AAPT ExDa'!$B$2:$U$99, 2,FALSE), IFERROR(VLOOKUP(A680,'ABB ExDa'!$A$2:$N$184, 2,FALSE), IFERROR(VLOOKUP(A680,'Vocus SIT ExDa'!$B$2:$J$173, 7,FALSE), IFERROR(VLOOKUP(A680,'Telstra ExDa'!$B$2:$K$310, 2,FALSE), IFERROR(VLOOKUP(A680,'Vocus RVC ExDa'!$C$2:$R$155, 3,FALSE), IFERROR(VLOOKUP(A680,'Fusion ExDa'!$B$2:$D$16, 2,FALSE), IFERROR(VLOOKUP(A680,'Exetel ExDa'!$C$2:$N$14, 2,FALSE), IFERROR(VLOOKUP(A680,'Infinet ExDa'!$B$2:$E$14, 2,FALSE), "Not Found"))))))))</f>
        <v>Not Found</v>
      </c>
      <c r="D680" t="str">
        <f>IFERROR(VLOOKUP($A680,'AAPT ExDa'!$B$2:$U$99, 15,FALSE), IFERROR(VLOOKUP($A680,'ABB ExDa'!$A$2:$N$184, 4,FALSE), IFERROR(VLOOKUP($A680,'Vocus SIT ExDa'!$B$2:$J$173, 5,FALSE), IFERROR(VLOOKUP($A680,'Telstra ExDa'!$B$2:$K$310, 8,FALSE), IFERROR(VLOOKUP($A680,'Vocus RVC ExDa'!$C$2:$R$155, 6,FALSE), IFERROR(VLOOKUP($A680,'Fusion ExDa'!$B$2:$D$16, 4,FALSE), IFERROR(VLOOKUP($A680,'Exetel ExDa'!$C$2:$N$14, 3,FALSE), IFERROR(VLOOKUP($A680,'Infinet ExDa'!$B$2:$E$14, 3,FALSE), "Not Found"))))))))</f>
        <v>Not Found</v>
      </c>
      <c r="E680" t="str">
        <f>IFERROR(VLOOKUP($A680,'AAPT ExDa'!$B$2:$U$99, 3,FALSE), IFERROR(VLOOKUP($A680,'ABB ExDa'!$A$2:$N$184, 5,FALSE), IFERROR(VLOOKUP($A680,'Vocus SIT ExDa'!$B$2:$J$173, 2,FALSE), IFERROR(VLOOKUP($A680,'Telstra ExDa'!$B$2:$K$310, 4,FALSE), IFERROR(VLOOKUP($A680,'Vocus RVC ExDa'!$C$2:$R$155, 8,FALSE), IFERROR(VLOOKUP($A680,'Fusion ExDa'!$B$2:$D$16, 4,FALSE), IFERROR(VLOOKUP($A680,'Exetel ExDa'!$C$2:$N$14, 5,FALSE), IFERROR(VLOOKUP($A680,'Infinet ExDa'!$B$2:$E$14, 3,FALSE), "Not Found"))))))))</f>
        <v>Not Found</v>
      </c>
      <c r="F680" t="str">
        <f>IFERROR(VLOOKUP($A680,'AAPT ExDa'!$B$2:$U$99, 4,FALSE), IFERROR(VLOOKUP($A680,'ABB ExDa'!$A$2:$N$184, 6,FALSE), IFERROR(VLOOKUP($A680,'Vocus SIT ExDa'!$B$2:$J$173, 3,FALSE), IFERROR(VLOOKUP($A680,'Telstra ExDa'!$B$2:$K$310, 5,FALSE), IFERROR(VLOOKUP($A680,'Vocus RVC ExDa'!$C$2:$R$155, 9,FALSE), IFERROR(VLOOKUP($A680,'Fusion ExDa'!$B$2:$D$16, 0,FALSE), IFERROR(VLOOKUP($A680,'Exetel ExDa'!$C$2:$N$14, 6,FALSE), IFERROR(VLOOKUP($A680,'Infinet ExDa'!$B$2:$E$14, 0,FALSE), "Not Found"))))))))</f>
        <v>Not Found</v>
      </c>
      <c r="G680" t="str">
        <f>IFERROR(VLOOKUP($A680,'AAPT ExDa'!$B$2:$U$99, 5,FALSE), IFERROR(VLOOKUP($A680,'ABB ExDa'!$A$2:$N$184, 8,FALSE), IFERROR(VLOOKUP($A680,'Vocus SIT ExDa'!$B$2:$J$173, 6,FALSE), IFERROR(VLOOKUP($A680,'Telstra ExDa'!$B$2:$K$310, 0,FALSE), IFERROR(VLOOKUP($A680,'Vocus RVC ExDa'!$C$2:$R$155, 15,FALSE), IFERROR(VLOOKUP($A680,'Fusion ExDa'!$B$2:$D$16, 0,FALSE), IFERROR(VLOOKUP($A680,'Exetel ExDa'!$C$2:$N$14, 7,FALSE), IFERROR(VLOOKUP($A680,'Infinet ExDa'!$B$2:$E$14, 0,FALSE), "Not Found"))))))))</f>
        <v>Not Found</v>
      </c>
      <c r="H680" t="str">
        <f>IFERROR(VLOOKUP($A680,'AAPT ExDa'!$B$2:$U$99, 6,FALSE), IFERROR(VLOOKUP($A680,'ABB ExDa'!$A$2:$N$184, 0,FALSE), IFERROR(VLOOKUP($A680,'Vocus SIT ExDa'!$B$2:$J$173, 0,FALSE), IFERROR(VLOOKUP($A680,'Telstra ExDa'!$B$2:$K$310, 0,FALSE), IFERROR(VLOOKUP($A680,'Vocus RVC ExDa'!$C$2:$R$155, 16,FALSE), IFERROR(VLOOKUP($A680,'Fusion ExDa'!$B$2:$D$16, 0,FALSE), IFERROR(VLOOKUP($A680,'Exetel ExDa'!$C$2:$N$14, 0,FALSE), IFERROR(VLOOKUP($A680,'Infinet ExDa'!$B$2:$E$14, 0,FALSE), "Not Found"))))))))</f>
        <v>Not Found</v>
      </c>
      <c r="I680" t="str">
        <f>IFERROR(VLOOKUP($A680,'AAPT ExDa'!$B$2:$U$99, 0,FALSE), IFERROR(VLOOKUP($A680,'ABB ExDa'!$A$2:$N$184, 0,FALSE), IFERROR(VLOOKUP($A680,'Vocus SIT ExDa'!$B$2:$J$173, 0,FALSE), IFERROR(VLOOKUP($A680,'Telstra ExDa'!$B$2:$K$310, 0,FALSE), IFERROR(VLOOKUP($A680,'Vocus RVC ExDa'!$C$2:$R$155, 0,FALSE), IFERROR(VLOOKUP($A680,'Fusion ExDa'!$B$2:$D$16, 0,FALSE), IFERROR(VLOOKUP($A680,'Exetel ExDa'!$C$2:$N$14, 8,FALSE), IFERROR(VLOOKUP($A680,'Infinet ExDa'!$B$2:$E$14, 0,FALSE), "Not Found"))))))))</f>
        <v>Not Found</v>
      </c>
      <c r="J680" t="str">
        <f>IFERROR(VLOOKUP($A680,'AAPT ExDa'!$B$2:$U$99, 7,FALSE), IFERROR(VLOOKUP($A680,'ABB ExDa'!$A$2:$N$184, 2,FALSE), IFERROR(VLOOKUP($A680,'Vocus SIT ExDa'!$B$2:$J$173, 0,FALSE), IFERROR(VLOOKUP($A680,'Telstra ExDa'!$B$2:$K$310, 7,FALSE), IFERROR(VLOOKUP($A680,'Vocus RVC ExDa'!$C$2:$R$155, 2,FALSE), IFERROR(VLOOKUP($A680,'Fusion ExDa'!$B$2:$D$16, 3,FALSE), IFERROR(VLOOKUP($A680,'Exetel ExDa'!$C$2:$N$14, 0,FALSE), IFERROR(VLOOKUP($A680,'Infinet ExDa'!$B$2:$E$14, 0,FALSE), "Not Found"))))))))</f>
        <v>Not Found</v>
      </c>
      <c r="K680" t="str">
        <f>IFERROR(VLOOKUP($A680,'AAPT ExDa'!$B$2:$U$99, 12,FALSE), IFERROR(VLOOKUP($A680,'ABB ExDa'!$A$2:$N$184, 0,FALSE), IFERROR(VLOOKUP($A680,'Vocus SIT ExDa'!$B$2:$J$173, 0,FALSE), IFERROR(VLOOKUP($A680,'Telstra ExDa'!$B$2:$K$310, 0,FALSE), IFERROR(VLOOKUP($A680,'Vocus RVC ExDa'!$C$2:$R$155, 0,FALSE), IFERROR(VLOOKUP($A680,'Fusion ExDa'!$B$2:$D$16, 0,FALSE), IFERROR(VLOOKUP($A680,'Exetel ExDa'!$C$2:$N$14, 12,FALSE), IFERROR(VLOOKUP($A680,'Infinet ExDa'!$B$2:$E$14, 0,FALSE), "Not Found"))))))))</f>
        <v>Not Found</v>
      </c>
      <c r="L680" s="235" t="str">
        <f>IFERROR(VLOOKUP($A680,'AAPT ExDa'!$B$2:$U$99, 11,FALSE), IFERROR(VLOOKUP($A680,'ABB ExDa'!$A$2:$N$184, 9,FALSE), IFERROR(VLOOKUP($A680,'Vocus SIT ExDa'!$B$2:$J$173, 8,FALSE), IFERROR(VLOOKUP($A680,'Telstra ExDa'!$B$2:$K$310, 0,FALSE), IFERROR(VLOOKUP($A680,'Vocus RVC ExDa'!$C$2:$R$155, 0,FALSE), IFERROR(VLOOKUP($A680,'Fusion ExDa'!$B$2:$D$16, 0,FALSE), IFERROR(VLOOKUP($A680,'Exetel ExDa'!$C$2:$N$14, 9,FALSE), IFERROR(VLOOKUP($A680,'Infinet ExDa'!$B$2:$E$14, 0,FALSE), "Not Found"))))))))</f>
        <v>Not Found</v>
      </c>
      <c r="M680" s="234" t="str">
        <f>IFERROR(VLOOKUP($A680,'AAPT ExDa'!$B$2:$U$99, 0,FALSE), IFERROR(VLOOKUP($A680,'ABB ExDa'!$A$2:$N$184, 0,FALSE), IFERROR(VLOOKUP($A680,'Vocus SIT ExDa'!$B$2:$J$173, 0,FALSE), IFERROR(VLOOKUP($A680,'Telstra ExDa'!$B$2:$K$310, 0,FALSE), IFERROR(VLOOKUP($A680,'Vocus RVC ExDa'!$C$2:$R$155, 0,FALSE), IFERROR(VLOOKUP($A680,'Fusion ExDa'!$B$2:$D$16, 0,FALSE), IFERROR(VLOOKUP($A680,'Exetel ExDa'!$C$2:$N$14, 11,FALSE), IFERROR(VLOOKUP($A680,'Infinet ExDa'!$B$2:$E$14, 0,FALSE), "Not Found"))))))))</f>
        <v>Not Found</v>
      </c>
      <c r="N680" t="str">
        <f>IFERROR(VLOOKUP($A680,'AAPT ExDa'!$B$2:$U$99, 0,FALSE), IFERROR(VLOOKUP($A680,'ABB ExDa'!$A$2:$N$184, 13,FALSE), IFERROR(VLOOKUP($A680,'Vocus SIT ExDa'!$B$2:$J$173, 0,FALSE), IFERROR(VLOOKUP($A680,'Telstra ExDa'!$B$2:$K$310, 0,FALSE), IFERROR(VLOOKUP($A680,'Vocus RVC ExDa'!$C$2:$R$155, 0,FALSE), IFERROR(VLOOKUP($A680,'Fusion ExDa'!$B$2:$D$16, 0,FALSE), IFERROR(VLOOKUP($A680,'Exetel ExDa'!$C$2:$N$14, 0,FALSE), IFERROR(VLOOKUP($A680,'Infinet ExDa'!$B$2:$E$14, 0,FALSE), "Not Found"))))))))</f>
        <v>Not Found</v>
      </c>
    </row>
    <row r="681" spans="1:14">
      <c r="A681">
        <v>0</v>
      </c>
      <c r="B681" t="str">
        <f>IFERROR(VLOOKUP(A681,'Exetel ExDa'!$C$2:$N$14,4,FALSE),"No Data")</f>
        <v>No Data</v>
      </c>
      <c r="C681" t="str">
        <f>IFERROR(VLOOKUP(A681,'AAPT ExDa'!$B$2:$U$99, 2,FALSE), IFERROR(VLOOKUP(A681,'ABB ExDa'!$A$2:$N$184, 2,FALSE), IFERROR(VLOOKUP(A681,'Vocus SIT ExDa'!$B$2:$J$173, 7,FALSE), IFERROR(VLOOKUP(A681,'Telstra ExDa'!$B$2:$K$310, 2,FALSE), IFERROR(VLOOKUP(A681,'Vocus RVC ExDa'!$C$2:$R$155, 3,FALSE), IFERROR(VLOOKUP(A681,'Fusion ExDa'!$B$2:$D$16, 2,FALSE), IFERROR(VLOOKUP(A681,'Exetel ExDa'!$C$2:$N$14, 2,FALSE), IFERROR(VLOOKUP(A681,'Infinet ExDa'!$B$2:$E$14, 2,FALSE), "Not Found"))))))))</f>
        <v>Not Found</v>
      </c>
      <c r="D681" t="str">
        <f>IFERROR(VLOOKUP($A681,'AAPT ExDa'!$B$2:$U$99, 15,FALSE), IFERROR(VLOOKUP($A681,'ABB ExDa'!$A$2:$N$184, 4,FALSE), IFERROR(VLOOKUP($A681,'Vocus SIT ExDa'!$B$2:$J$173, 5,FALSE), IFERROR(VLOOKUP($A681,'Telstra ExDa'!$B$2:$K$310, 8,FALSE), IFERROR(VLOOKUP($A681,'Vocus RVC ExDa'!$C$2:$R$155, 6,FALSE), IFERROR(VLOOKUP($A681,'Fusion ExDa'!$B$2:$D$16, 4,FALSE), IFERROR(VLOOKUP($A681,'Exetel ExDa'!$C$2:$N$14, 3,FALSE), IFERROR(VLOOKUP($A681,'Infinet ExDa'!$B$2:$E$14, 3,FALSE), "Not Found"))))))))</f>
        <v>Not Found</v>
      </c>
      <c r="E681" t="str">
        <f>IFERROR(VLOOKUP($A681,'AAPT ExDa'!$B$2:$U$99, 3,FALSE), IFERROR(VLOOKUP($A681,'ABB ExDa'!$A$2:$N$184, 5,FALSE), IFERROR(VLOOKUP($A681,'Vocus SIT ExDa'!$B$2:$J$173, 2,FALSE), IFERROR(VLOOKUP($A681,'Telstra ExDa'!$B$2:$K$310, 4,FALSE), IFERROR(VLOOKUP($A681,'Vocus RVC ExDa'!$C$2:$R$155, 8,FALSE), IFERROR(VLOOKUP($A681,'Fusion ExDa'!$B$2:$D$16, 4,FALSE), IFERROR(VLOOKUP($A681,'Exetel ExDa'!$C$2:$N$14, 5,FALSE), IFERROR(VLOOKUP($A681,'Infinet ExDa'!$B$2:$E$14, 3,FALSE), "Not Found"))))))))</f>
        <v>Not Found</v>
      </c>
      <c r="F681" t="str">
        <f>IFERROR(VLOOKUP($A681,'AAPT ExDa'!$B$2:$U$99, 4,FALSE), IFERROR(VLOOKUP($A681,'ABB ExDa'!$A$2:$N$184, 6,FALSE), IFERROR(VLOOKUP($A681,'Vocus SIT ExDa'!$B$2:$J$173, 3,FALSE), IFERROR(VLOOKUP($A681,'Telstra ExDa'!$B$2:$K$310, 5,FALSE), IFERROR(VLOOKUP($A681,'Vocus RVC ExDa'!$C$2:$R$155, 9,FALSE), IFERROR(VLOOKUP($A681,'Fusion ExDa'!$B$2:$D$16, 0,FALSE), IFERROR(VLOOKUP($A681,'Exetel ExDa'!$C$2:$N$14, 6,FALSE), IFERROR(VLOOKUP($A681,'Infinet ExDa'!$B$2:$E$14, 0,FALSE), "Not Found"))))))))</f>
        <v>Not Found</v>
      </c>
      <c r="G681" t="str">
        <f>IFERROR(VLOOKUP($A681,'AAPT ExDa'!$B$2:$U$99, 5,FALSE), IFERROR(VLOOKUP($A681,'ABB ExDa'!$A$2:$N$184, 8,FALSE), IFERROR(VLOOKUP($A681,'Vocus SIT ExDa'!$B$2:$J$173, 6,FALSE), IFERROR(VLOOKUP($A681,'Telstra ExDa'!$B$2:$K$310, 0,FALSE), IFERROR(VLOOKUP($A681,'Vocus RVC ExDa'!$C$2:$R$155, 15,FALSE), IFERROR(VLOOKUP($A681,'Fusion ExDa'!$B$2:$D$16, 0,FALSE), IFERROR(VLOOKUP($A681,'Exetel ExDa'!$C$2:$N$14, 7,FALSE), IFERROR(VLOOKUP($A681,'Infinet ExDa'!$B$2:$E$14, 0,FALSE), "Not Found"))))))))</f>
        <v>Not Found</v>
      </c>
      <c r="H681" t="str">
        <f>IFERROR(VLOOKUP($A681,'AAPT ExDa'!$B$2:$U$99, 6,FALSE), IFERROR(VLOOKUP($A681,'ABB ExDa'!$A$2:$N$184, 0,FALSE), IFERROR(VLOOKUP($A681,'Vocus SIT ExDa'!$B$2:$J$173, 0,FALSE), IFERROR(VLOOKUP($A681,'Telstra ExDa'!$B$2:$K$310, 0,FALSE), IFERROR(VLOOKUP($A681,'Vocus RVC ExDa'!$C$2:$R$155, 16,FALSE), IFERROR(VLOOKUP($A681,'Fusion ExDa'!$B$2:$D$16, 0,FALSE), IFERROR(VLOOKUP($A681,'Exetel ExDa'!$C$2:$N$14, 0,FALSE), IFERROR(VLOOKUP($A681,'Infinet ExDa'!$B$2:$E$14, 0,FALSE), "Not Found"))))))))</f>
        <v>Not Found</v>
      </c>
      <c r="I681" t="str">
        <f>IFERROR(VLOOKUP($A681,'AAPT ExDa'!$B$2:$U$99, 0,FALSE), IFERROR(VLOOKUP($A681,'ABB ExDa'!$A$2:$N$184, 0,FALSE), IFERROR(VLOOKUP($A681,'Vocus SIT ExDa'!$B$2:$J$173, 0,FALSE), IFERROR(VLOOKUP($A681,'Telstra ExDa'!$B$2:$K$310, 0,FALSE), IFERROR(VLOOKUP($A681,'Vocus RVC ExDa'!$C$2:$R$155, 0,FALSE), IFERROR(VLOOKUP($A681,'Fusion ExDa'!$B$2:$D$16, 0,FALSE), IFERROR(VLOOKUP($A681,'Exetel ExDa'!$C$2:$N$14, 8,FALSE), IFERROR(VLOOKUP($A681,'Infinet ExDa'!$B$2:$E$14, 0,FALSE), "Not Found"))))))))</f>
        <v>Not Found</v>
      </c>
      <c r="J681" t="str">
        <f>IFERROR(VLOOKUP($A681,'AAPT ExDa'!$B$2:$U$99, 7,FALSE), IFERROR(VLOOKUP($A681,'ABB ExDa'!$A$2:$N$184, 2,FALSE), IFERROR(VLOOKUP($A681,'Vocus SIT ExDa'!$B$2:$J$173, 0,FALSE), IFERROR(VLOOKUP($A681,'Telstra ExDa'!$B$2:$K$310, 7,FALSE), IFERROR(VLOOKUP($A681,'Vocus RVC ExDa'!$C$2:$R$155, 2,FALSE), IFERROR(VLOOKUP($A681,'Fusion ExDa'!$B$2:$D$16, 3,FALSE), IFERROR(VLOOKUP($A681,'Exetel ExDa'!$C$2:$N$14, 0,FALSE), IFERROR(VLOOKUP($A681,'Infinet ExDa'!$B$2:$E$14, 0,FALSE), "Not Found"))))))))</f>
        <v>Not Found</v>
      </c>
      <c r="K681" t="str">
        <f>IFERROR(VLOOKUP($A681,'AAPT ExDa'!$B$2:$U$99, 12,FALSE), IFERROR(VLOOKUP($A681,'ABB ExDa'!$A$2:$N$184, 0,FALSE), IFERROR(VLOOKUP($A681,'Vocus SIT ExDa'!$B$2:$J$173, 0,FALSE), IFERROR(VLOOKUP($A681,'Telstra ExDa'!$B$2:$K$310, 0,FALSE), IFERROR(VLOOKUP($A681,'Vocus RVC ExDa'!$C$2:$R$155, 0,FALSE), IFERROR(VLOOKUP($A681,'Fusion ExDa'!$B$2:$D$16, 0,FALSE), IFERROR(VLOOKUP($A681,'Exetel ExDa'!$C$2:$N$14, 12,FALSE), IFERROR(VLOOKUP($A681,'Infinet ExDa'!$B$2:$E$14, 0,FALSE), "Not Found"))))))))</f>
        <v>Not Found</v>
      </c>
      <c r="L681" s="235" t="str">
        <f>IFERROR(VLOOKUP($A681,'AAPT ExDa'!$B$2:$U$99, 11,FALSE), IFERROR(VLOOKUP($A681,'ABB ExDa'!$A$2:$N$184, 9,FALSE), IFERROR(VLOOKUP($A681,'Vocus SIT ExDa'!$B$2:$J$173, 8,FALSE), IFERROR(VLOOKUP($A681,'Telstra ExDa'!$B$2:$K$310, 0,FALSE), IFERROR(VLOOKUP($A681,'Vocus RVC ExDa'!$C$2:$R$155, 0,FALSE), IFERROR(VLOOKUP($A681,'Fusion ExDa'!$B$2:$D$16, 0,FALSE), IFERROR(VLOOKUP($A681,'Exetel ExDa'!$C$2:$N$14, 9,FALSE), IFERROR(VLOOKUP($A681,'Infinet ExDa'!$B$2:$E$14, 0,FALSE), "Not Found"))))))))</f>
        <v>Not Found</v>
      </c>
      <c r="M681" s="234" t="str">
        <f>IFERROR(VLOOKUP($A681,'AAPT ExDa'!$B$2:$U$99, 0,FALSE), IFERROR(VLOOKUP($A681,'ABB ExDa'!$A$2:$N$184, 0,FALSE), IFERROR(VLOOKUP($A681,'Vocus SIT ExDa'!$B$2:$J$173, 0,FALSE), IFERROR(VLOOKUP($A681,'Telstra ExDa'!$B$2:$K$310, 0,FALSE), IFERROR(VLOOKUP($A681,'Vocus RVC ExDa'!$C$2:$R$155, 0,FALSE), IFERROR(VLOOKUP($A681,'Fusion ExDa'!$B$2:$D$16, 0,FALSE), IFERROR(VLOOKUP($A681,'Exetel ExDa'!$C$2:$N$14, 11,FALSE), IFERROR(VLOOKUP($A681,'Infinet ExDa'!$B$2:$E$14, 0,FALSE), "Not Found"))))))))</f>
        <v>Not Found</v>
      </c>
      <c r="N681" t="str">
        <f>IFERROR(VLOOKUP($A681,'AAPT ExDa'!$B$2:$U$99, 0,FALSE), IFERROR(VLOOKUP($A681,'ABB ExDa'!$A$2:$N$184, 13,FALSE), IFERROR(VLOOKUP($A681,'Vocus SIT ExDa'!$B$2:$J$173, 0,FALSE), IFERROR(VLOOKUP($A681,'Telstra ExDa'!$B$2:$K$310, 0,FALSE), IFERROR(VLOOKUP($A681,'Vocus RVC ExDa'!$C$2:$R$155, 0,FALSE), IFERROR(VLOOKUP($A681,'Fusion ExDa'!$B$2:$D$16, 0,FALSE), IFERROR(VLOOKUP($A681,'Exetel ExDa'!$C$2:$N$14, 0,FALSE), IFERROR(VLOOKUP($A681,'Infinet ExDa'!$B$2:$E$14, 0,FALSE), "Not Found"))))))))</f>
        <v>Not Found</v>
      </c>
    </row>
    <row r="682" spans="1:14">
      <c r="A682">
        <v>0</v>
      </c>
      <c r="B682" t="str">
        <f>IFERROR(VLOOKUP(A682,'Exetel ExDa'!$C$2:$N$14,4,FALSE),"No Data")</f>
        <v>No Data</v>
      </c>
      <c r="C682" t="str">
        <f>IFERROR(VLOOKUP(A682,'AAPT ExDa'!$B$2:$U$99, 2,FALSE), IFERROR(VLOOKUP(A682,'ABB ExDa'!$A$2:$N$184, 2,FALSE), IFERROR(VLOOKUP(A682,'Vocus SIT ExDa'!$B$2:$J$173, 7,FALSE), IFERROR(VLOOKUP(A682,'Telstra ExDa'!$B$2:$K$310, 2,FALSE), IFERROR(VLOOKUP(A682,'Vocus RVC ExDa'!$C$2:$R$155, 3,FALSE), IFERROR(VLOOKUP(A682,'Fusion ExDa'!$B$2:$D$16, 2,FALSE), IFERROR(VLOOKUP(A682,'Exetel ExDa'!$C$2:$N$14, 2,FALSE), IFERROR(VLOOKUP(A682,'Infinet ExDa'!$B$2:$E$14, 2,FALSE), "Not Found"))))))))</f>
        <v>Not Found</v>
      </c>
      <c r="D682" t="str">
        <f>IFERROR(VLOOKUP($A682,'AAPT ExDa'!$B$2:$U$99, 15,FALSE), IFERROR(VLOOKUP($A682,'ABB ExDa'!$A$2:$N$184, 4,FALSE), IFERROR(VLOOKUP($A682,'Vocus SIT ExDa'!$B$2:$J$173, 5,FALSE), IFERROR(VLOOKUP($A682,'Telstra ExDa'!$B$2:$K$310, 8,FALSE), IFERROR(VLOOKUP($A682,'Vocus RVC ExDa'!$C$2:$R$155, 6,FALSE), IFERROR(VLOOKUP($A682,'Fusion ExDa'!$B$2:$D$16, 4,FALSE), IFERROR(VLOOKUP($A682,'Exetel ExDa'!$C$2:$N$14, 3,FALSE), IFERROR(VLOOKUP($A682,'Infinet ExDa'!$B$2:$E$14, 3,FALSE), "Not Found"))))))))</f>
        <v>Not Found</v>
      </c>
      <c r="E682" t="str">
        <f>IFERROR(VLOOKUP($A682,'AAPT ExDa'!$B$2:$U$99, 3,FALSE), IFERROR(VLOOKUP($A682,'ABB ExDa'!$A$2:$N$184, 5,FALSE), IFERROR(VLOOKUP($A682,'Vocus SIT ExDa'!$B$2:$J$173, 2,FALSE), IFERROR(VLOOKUP($A682,'Telstra ExDa'!$B$2:$K$310, 4,FALSE), IFERROR(VLOOKUP($A682,'Vocus RVC ExDa'!$C$2:$R$155, 8,FALSE), IFERROR(VLOOKUP($A682,'Fusion ExDa'!$B$2:$D$16, 4,FALSE), IFERROR(VLOOKUP($A682,'Exetel ExDa'!$C$2:$N$14, 5,FALSE), IFERROR(VLOOKUP($A682,'Infinet ExDa'!$B$2:$E$14, 3,FALSE), "Not Found"))))))))</f>
        <v>Not Found</v>
      </c>
      <c r="F682" t="str">
        <f>IFERROR(VLOOKUP($A682,'AAPT ExDa'!$B$2:$U$99, 4,FALSE), IFERROR(VLOOKUP($A682,'ABB ExDa'!$A$2:$N$184, 6,FALSE), IFERROR(VLOOKUP($A682,'Vocus SIT ExDa'!$B$2:$J$173, 3,FALSE), IFERROR(VLOOKUP($A682,'Telstra ExDa'!$B$2:$K$310, 5,FALSE), IFERROR(VLOOKUP($A682,'Vocus RVC ExDa'!$C$2:$R$155, 9,FALSE), IFERROR(VLOOKUP($A682,'Fusion ExDa'!$B$2:$D$16, 0,FALSE), IFERROR(VLOOKUP($A682,'Exetel ExDa'!$C$2:$N$14, 6,FALSE), IFERROR(VLOOKUP($A682,'Infinet ExDa'!$B$2:$E$14, 0,FALSE), "Not Found"))))))))</f>
        <v>Not Found</v>
      </c>
      <c r="G682" t="str">
        <f>IFERROR(VLOOKUP($A682,'AAPT ExDa'!$B$2:$U$99, 5,FALSE), IFERROR(VLOOKUP($A682,'ABB ExDa'!$A$2:$N$184, 8,FALSE), IFERROR(VLOOKUP($A682,'Vocus SIT ExDa'!$B$2:$J$173, 6,FALSE), IFERROR(VLOOKUP($A682,'Telstra ExDa'!$B$2:$K$310, 0,FALSE), IFERROR(VLOOKUP($A682,'Vocus RVC ExDa'!$C$2:$R$155, 15,FALSE), IFERROR(VLOOKUP($A682,'Fusion ExDa'!$B$2:$D$16, 0,FALSE), IFERROR(VLOOKUP($A682,'Exetel ExDa'!$C$2:$N$14, 7,FALSE), IFERROR(VLOOKUP($A682,'Infinet ExDa'!$B$2:$E$14, 0,FALSE), "Not Found"))))))))</f>
        <v>Not Found</v>
      </c>
      <c r="H682" t="str">
        <f>IFERROR(VLOOKUP($A682,'AAPT ExDa'!$B$2:$U$99, 6,FALSE), IFERROR(VLOOKUP($A682,'ABB ExDa'!$A$2:$N$184, 0,FALSE), IFERROR(VLOOKUP($A682,'Vocus SIT ExDa'!$B$2:$J$173, 0,FALSE), IFERROR(VLOOKUP($A682,'Telstra ExDa'!$B$2:$K$310, 0,FALSE), IFERROR(VLOOKUP($A682,'Vocus RVC ExDa'!$C$2:$R$155, 16,FALSE), IFERROR(VLOOKUP($A682,'Fusion ExDa'!$B$2:$D$16, 0,FALSE), IFERROR(VLOOKUP($A682,'Exetel ExDa'!$C$2:$N$14, 0,FALSE), IFERROR(VLOOKUP($A682,'Infinet ExDa'!$B$2:$E$14, 0,FALSE), "Not Found"))))))))</f>
        <v>Not Found</v>
      </c>
      <c r="I682" t="str">
        <f>IFERROR(VLOOKUP($A682,'AAPT ExDa'!$B$2:$U$99, 0,FALSE), IFERROR(VLOOKUP($A682,'ABB ExDa'!$A$2:$N$184, 0,FALSE), IFERROR(VLOOKUP($A682,'Vocus SIT ExDa'!$B$2:$J$173, 0,FALSE), IFERROR(VLOOKUP($A682,'Telstra ExDa'!$B$2:$K$310, 0,FALSE), IFERROR(VLOOKUP($A682,'Vocus RVC ExDa'!$C$2:$R$155, 0,FALSE), IFERROR(VLOOKUP($A682,'Fusion ExDa'!$B$2:$D$16, 0,FALSE), IFERROR(VLOOKUP($A682,'Exetel ExDa'!$C$2:$N$14, 8,FALSE), IFERROR(VLOOKUP($A682,'Infinet ExDa'!$B$2:$E$14, 0,FALSE), "Not Found"))))))))</f>
        <v>Not Found</v>
      </c>
      <c r="J682" t="str">
        <f>IFERROR(VLOOKUP($A682,'AAPT ExDa'!$B$2:$U$99, 7,FALSE), IFERROR(VLOOKUP($A682,'ABB ExDa'!$A$2:$N$184, 2,FALSE), IFERROR(VLOOKUP($A682,'Vocus SIT ExDa'!$B$2:$J$173, 0,FALSE), IFERROR(VLOOKUP($A682,'Telstra ExDa'!$B$2:$K$310, 7,FALSE), IFERROR(VLOOKUP($A682,'Vocus RVC ExDa'!$C$2:$R$155, 2,FALSE), IFERROR(VLOOKUP($A682,'Fusion ExDa'!$B$2:$D$16, 3,FALSE), IFERROR(VLOOKUP($A682,'Exetel ExDa'!$C$2:$N$14, 0,FALSE), IFERROR(VLOOKUP($A682,'Infinet ExDa'!$B$2:$E$14, 0,FALSE), "Not Found"))))))))</f>
        <v>Not Found</v>
      </c>
      <c r="K682" t="str">
        <f>IFERROR(VLOOKUP($A682,'AAPT ExDa'!$B$2:$U$99, 12,FALSE), IFERROR(VLOOKUP($A682,'ABB ExDa'!$A$2:$N$184, 0,FALSE), IFERROR(VLOOKUP($A682,'Vocus SIT ExDa'!$B$2:$J$173, 0,FALSE), IFERROR(VLOOKUP($A682,'Telstra ExDa'!$B$2:$K$310, 0,FALSE), IFERROR(VLOOKUP($A682,'Vocus RVC ExDa'!$C$2:$R$155, 0,FALSE), IFERROR(VLOOKUP($A682,'Fusion ExDa'!$B$2:$D$16, 0,FALSE), IFERROR(VLOOKUP($A682,'Exetel ExDa'!$C$2:$N$14, 12,FALSE), IFERROR(VLOOKUP($A682,'Infinet ExDa'!$B$2:$E$14, 0,FALSE), "Not Found"))))))))</f>
        <v>Not Found</v>
      </c>
      <c r="L682" s="235" t="str">
        <f>IFERROR(VLOOKUP($A682,'AAPT ExDa'!$B$2:$U$99, 11,FALSE), IFERROR(VLOOKUP($A682,'ABB ExDa'!$A$2:$N$184, 9,FALSE), IFERROR(VLOOKUP($A682,'Vocus SIT ExDa'!$B$2:$J$173, 8,FALSE), IFERROR(VLOOKUP($A682,'Telstra ExDa'!$B$2:$K$310, 0,FALSE), IFERROR(VLOOKUP($A682,'Vocus RVC ExDa'!$C$2:$R$155, 0,FALSE), IFERROR(VLOOKUP($A682,'Fusion ExDa'!$B$2:$D$16, 0,FALSE), IFERROR(VLOOKUP($A682,'Exetel ExDa'!$C$2:$N$14, 9,FALSE), IFERROR(VLOOKUP($A682,'Infinet ExDa'!$B$2:$E$14, 0,FALSE), "Not Found"))))))))</f>
        <v>Not Found</v>
      </c>
      <c r="M682" s="234" t="str">
        <f>IFERROR(VLOOKUP($A682,'AAPT ExDa'!$B$2:$U$99, 0,FALSE), IFERROR(VLOOKUP($A682,'ABB ExDa'!$A$2:$N$184, 0,FALSE), IFERROR(VLOOKUP($A682,'Vocus SIT ExDa'!$B$2:$J$173, 0,FALSE), IFERROR(VLOOKUP($A682,'Telstra ExDa'!$B$2:$K$310, 0,FALSE), IFERROR(VLOOKUP($A682,'Vocus RVC ExDa'!$C$2:$R$155, 0,FALSE), IFERROR(VLOOKUP($A682,'Fusion ExDa'!$B$2:$D$16, 0,FALSE), IFERROR(VLOOKUP($A682,'Exetel ExDa'!$C$2:$N$14, 11,FALSE), IFERROR(VLOOKUP($A682,'Infinet ExDa'!$B$2:$E$14, 0,FALSE), "Not Found"))))))))</f>
        <v>Not Found</v>
      </c>
      <c r="N682" t="str">
        <f>IFERROR(VLOOKUP($A682,'AAPT ExDa'!$B$2:$U$99, 0,FALSE), IFERROR(VLOOKUP($A682,'ABB ExDa'!$A$2:$N$184, 13,FALSE), IFERROR(VLOOKUP($A682,'Vocus SIT ExDa'!$B$2:$J$173, 0,FALSE), IFERROR(VLOOKUP($A682,'Telstra ExDa'!$B$2:$K$310, 0,FALSE), IFERROR(VLOOKUP($A682,'Vocus RVC ExDa'!$C$2:$R$155, 0,FALSE), IFERROR(VLOOKUP($A682,'Fusion ExDa'!$B$2:$D$16, 0,FALSE), IFERROR(VLOOKUP($A682,'Exetel ExDa'!$C$2:$N$14, 0,FALSE), IFERROR(VLOOKUP($A682,'Infinet ExDa'!$B$2:$E$14, 0,FALSE), "Not Found"))))))))</f>
        <v>Not Found</v>
      </c>
    </row>
    <row r="683" spans="1:14">
      <c r="A683">
        <v>0</v>
      </c>
      <c r="B683" t="str">
        <f>IFERROR(VLOOKUP(A683,'Exetel ExDa'!$C$2:$N$14,4,FALSE),"No Data")</f>
        <v>No Data</v>
      </c>
      <c r="C683" t="str">
        <f>IFERROR(VLOOKUP(A683,'AAPT ExDa'!$B$2:$U$99, 2,FALSE), IFERROR(VLOOKUP(A683,'ABB ExDa'!$A$2:$N$184, 2,FALSE), IFERROR(VLOOKUP(A683,'Vocus SIT ExDa'!$B$2:$J$173, 7,FALSE), IFERROR(VLOOKUP(A683,'Telstra ExDa'!$B$2:$K$310, 2,FALSE), IFERROR(VLOOKUP(A683,'Vocus RVC ExDa'!$C$2:$R$155, 3,FALSE), IFERROR(VLOOKUP(A683,'Fusion ExDa'!$B$2:$D$16, 2,FALSE), IFERROR(VLOOKUP(A683,'Exetel ExDa'!$C$2:$N$14, 2,FALSE), IFERROR(VLOOKUP(A683,'Infinet ExDa'!$B$2:$E$14, 2,FALSE), "Not Found"))))))))</f>
        <v>Not Found</v>
      </c>
      <c r="D683" t="str">
        <f>IFERROR(VLOOKUP($A683,'AAPT ExDa'!$B$2:$U$99, 15,FALSE), IFERROR(VLOOKUP($A683,'ABB ExDa'!$A$2:$N$184, 4,FALSE), IFERROR(VLOOKUP($A683,'Vocus SIT ExDa'!$B$2:$J$173, 5,FALSE), IFERROR(VLOOKUP($A683,'Telstra ExDa'!$B$2:$K$310, 8,FALSE), IFERROR(VLOOKUP($A683,'Vocus RVC ExDa'!$C$2:$R$155, 6,FALSE), IFERROR(VLOOKUP($A683,'Fusion ExDa'!$B$2:$D$16, 4,FALSE), IFERROR(VLOOKUP($A683,'Exetel ExDa'!$C$2:$N$14, 3,FALSE), IFERROR(VLOOKUP($A683,'Infinet ExDa'!$B$2:$E$14, 3,FALSE), "Not Found"))))))))</f>
        <v>Not Found</v>
      </c>
      <c r="E683" t="str">
        <f>IFERROR(VLOOKUP($A683,'AAPT ExDa'!$B$2:$U$99, 3,FALSE), IFERROR(VLOOKUP($A683,'ABB ExDa'!$A$2:$N$184, 5,FALSE), IFERROR(VLOOKUP($A683,'Vocus SIT ExDa'!$B$2:$J$173, 2,FALSE), IFERROR(VLOOKUP($A683,'Telstra ExDa'!$B$2:$K$310, 4,FALSE), IFERROR(VLOOKUP($A683,'Vocus RVC ExDa'!$C$2:$R$155, 8,FALSE), IFERROR(VLOOKUP($A683,'Fusion ExDa'!$B$2:$D$16, 4,FALSE), IFERROR(VLOOKUP($A683,'Exetel ExDa'!$C$2:$N$14, 5,FALSE), IFERROR(VLOOKUP($A683,'Infinet ExDa'!$B$2:$E$14, 3,FALSE), "Not Found"))))))))</f>
        <v>Not Found</v>
      </c>
      <c r="F683" t="str">
        <f>IFERROR(VLOOKUP($A683,'AAPT ExDa'!$B$2:$U$99, 4,FALSE), IFERROR(VLOOKUP($A683,'ABB ExDa'!$A$2:$N$184, 6,FALSE), IFERROR(VLOOKUP($A683,'Vocus SIT ExDa'!$B$2:$J$173, 3,FALSE), IFERROR(VLOOKUP($A683,'Telstra ExDa'!$B$2:$K$310, 5,FALSE), IFERROR(VLOOKUP($A683,'Vocus RVC ExDa'!$C$2:$R$155, 9,FALSE), IFERROR(VLOOKUP($A683,'Fusion ExDa'!$B$2:$D$16, 0,FALSE), IFERROR(VLOOKUP($A683,'Exetel ExDa'!$C$2:$N$14, 6,FALSE), IFERROR(VLOOKUP($A683,'Infinet ExDa'!$B$2:$E$14, 0,FALSE), "Not Found"))))))))</f>
        <v>Not Found</v>
      </c>
      <c r="G683" t="str">
        <f>IFERROR(VLOOKUP($A683,'AAPT ExDa'!$B$2:$U$99, 5,FALSE), IFERROR(VLOOKUP($A683,'ABB ExDa'!$A$2:$N$184, 8,FALSE), IFERROR(VLOOKUP($A683,'Vocus SIT ExDa'!$B$2:$J$173, 6,FALSE), IFERROR(VLOOKUP($A683,'Telstra ExDa'!$B$2:$K$310, 0,FALSE), IFERROR(VLOOKUP($A683,'Vocus RVC ExDa'!$C$2:$R$155, 15,FALSE), IFERROR(VLOOKUP($A683,'Fusion ExDa'!$B$2:$D$16, 0,FALSE), IFERROR(VLOOKUP($A683,'Exetel ExDa'!$C$2:$N$14, 7,FALSE), IFERROR(VLOOKUP($A683,'Infinet ExDa'!$B$2:$E$14, 0,FALSE), "Not Found"))))))))</f>
        <v>Not Found</v>
      </c>
      <c r="H683" t="str">
        <f>IFERROR(VLOOKUP($A683,'AAPT ExDa'!$B$2:$U$99, 6,FALSE), IFERROR(VLOOKUP($A683,'ABB ExDa'!$A$2:$N$184, 0,FALSE), IFERROR(VLOOKUP($A683,'Vocus SIT ExDa'!$B$2:$J$173, 0,FALSE), IFERROR(VLOOKUP($A683,'Telstra ExDa'!$B$2:$K$310, 0,FALSE), IFERROR(VLOOKUP($A683,'Vocus RVC ExDa'!$C$2:$R$155, 16,FALSE), IFERROR(VLOOKUP($A683,'Fusion ExDa'!$B$2:$D$16, 0,FALSE), IFERROR(VLOOKUP($A683,'Exetel ExDa'!$C$2:$N$14, 0,FALSE), IFERROR(VLOOKUP($A683,'Infinet ExDa'!$B$2:$E$14, 0,FALSE), "Not Found"))))))))</f>
        <v>Not Found</v>
      </c>
      <c r="I683" t="str">
        <f>IFERROR(VLOOKUP($A683,'AAPT ExDa'!$B$2:$U$99, 0,FALSE), IFERROR(VLOOKUP($A683,'ABB ExDa'!$A$2:$N$184, 0,FALSE), IFERROR(VLOOKUP($A683,'Vocus SIT ExDa'!$B$2:$J$173, 0,FALSE), IFERROR(VLOOKUP($A683,'Telstra ExDa'!$B$2:$K$310, 0,FALSE), IFERROR(VLOOKUP($A683,'Vocus RVC ExDa'!$C$2:$R$155, 0,FALSE), IFERROR(VLOOKUP($A683,'Fusion ExDa'!$B$2:$D$16, 0,FALSE), IFERROR(VLOOKUP($A683,'Exetel ExDa'!$C$2:$N$14, 8,FALSE), IFERROR(VLOOKUP($A683,'Infinet ExDa'!$B$2:$E$14, 0,FALSE), "Not Found"))))))))</f>
        <v>Not Found</v>
      </c>
      <c r="J683" t="str">
        <f>IFERROR(VLOOKUP($A683,'AAPT ExDa'!$B$2:$U$99, 7,FALSE), IFERROR(VLOOKUP($A683,'ABB ExDa'!$A$2:$N$184, 2,FALSE), IFERROR(VLOOKUP($A683,'Vocus SIT ExDa'!$B$2:$J$173, 0,FALSE), IFERROR(VLOOKUP($A683,'Telstra ExDa'!$B$2:$K$310, 7,FALSE), IFERROR(VLOOKUP($A683,'Vocus RVC ExDa'!$C$2:$R$155, 2,FALSE), IFERROR(VLOOKUP($A683,'Fusion ExDa'!$B$2:$D$16, 3,FALSE), IFERROR(VLOOKUP($A683,'Exetel ExDa'!$C$2:$N$14, 0,FALSE), IFERROR(VLOOKUP($A683,'Infinet ExDa'!$B$2:$E$14, 0,FALSE), "Not Found"))))))))</f>
        <v>Not Found</v>
      </c>
      <c r="K683" t="str">
        <f>IFERROR(VLOOKUP($A683,'AAPT ExDa'!$B$2:$U$99, 12,FALSE), IFERROR(VLOOKUP($A683,'ABB ExDa'!$A$2:$N$184, 0,FALSE), IFERROR(VLOOKUP($A683,'Vocus SIT ExDa'!$B$2:$J$173, 0,FALSE), IFERROR(VLOOKUP($A683,'Telstra ExDa'!$B$2:$K$310, 0,FALSE), IFERROR(VLOOKUP($A683,'Vocus RVC ExDa'!$C$2:$R$155, 0,FALSE), IFERROR(VLOOKUP($A683,'Fusion ExDa'!$B$2:$D$16, 0,FALSE), IFERROR(VLOOKUP($A683,'Exetel ExDa'!$C$2:$N$14, 12,FALSE), IFERROR(VLOOKUP($A683,'Infinet ExDa'!$B$2:$E$14, 0,FALSE), "Not Found"))))))))</f>
        <v>Not Found</v>
      </c>
      <c r="L683" s="235" t="str">
        <f>IFERROR(VLOOKUP($A683,'AAPT ExDa'!$B$2:$U$99, 11,FALSE), IFERROR(VLOOKUP($A683,'ABB ExDa'!$A$2:$N$184, 9,FALSE), IFERROR(VLOOKUP($A683,'Vocus SIT ExDa'!$B$2:$J$173, 8,FALSE), IFERROR(VLOOKUP($A683,'Telstra ExDa'!$B$2:$K$310, 0,FALSE), IFERROR(VLOOKUP($A683,'Vocus RVC ExDa'!$C$2:$R$155, 0,FALSE), IFERROR(VLOOKUP($A683,'Fusion ExDa'!$B$2:$D$16, 0,FALSE), IFERROR(VLOOKUP($A683,'Exetel ExDa'!$C$2:$N$14, 9,FALSE), IFERROR(VLOOKUP($A683,'Infinet ExDa'!$B$2:$E$14, 0,FALSE), "Not Found"))))))))</f>
        <v>Not Found</v>
      </c>
      <c r="M683" s="234" t="str">
        <f>IFERROR(VLOOKUP($A683,'AAPT ExDa'!$B$2:$U$99, 0,FALSE), IFERROR(VLOOKUP($A683,'ABB ExDa'!$A$2:$N$184, 0,FALSE), IFERROR(VLOOKUP($A683,'Vocus SIT ExDa'!$B$2:$J$173, 0,FALSE), IFERROR(VLOOKUP($A683,'Telstra ExDa'!$B$2:$K$310, 0,FALSE), IFERROR(VLOOKUP($A683,'Vocus RVC ExDa'!$C$2:$R$155, 0,FALSE), IFERROR(VLOOKUP($A683,'Fusion ExDa'!$B$2:$D$16, 0,FALSE), IFERROR(VLOOKUP($A683,'Exetel ExDa'!$C$2:$N$14, 11,FALSE), IFERROR(VLOOKUP($A683,'Infinet ExDa'!$B$2:$E$14, 0,FALSE), "Not Found"))))))))</f>
        <v>Not Found</v>
      </c>
      <c r="N683" t="str">
        <f>IFERROR(VLOOKUP($A683,'AAPT ExDa'!$B$2:$U$99, 0,FALSE), IFERROR(VLOOKUP($A683,'ABB ExDa'!$A$2:$N$184, 13,FALSE), IFERROR(VLOOKUP($A683,'Vocus SIT ExDa'!$B$2:$J$173, 0,FALSE), IFERROR(VLOOKUP($A683,'Telstra ExDa'!$B$2:$K$310, 0,FALSE), IFERROR(VLOOKUP($A683,'Vocus RVC ExDa'!$C$2:$R$155, 0,FALSE), IFERROR(VLOOKUP($A683,'Fusion ExDa'!$B$2:$D$16, 0,FALSE), IFERROR(VLOOKUP($A683,'Exetel ExDa'!$C$2:$N$14, 0,FALSE), IFERROR(VLOOKUP($A683,'Infinet ExDa'!$B$2:$E$14, 0,FALSE), "Not Found"))))))))</f>
        <v>Not Found</v>
      </c>
    </row>
    <row r="684" spans="1:14">
      <c r="A684">
        <v>0</v>
      </c>
      <c r="B684" t="str">
        <f>IFERROR(VLOOKUP(A684,'Exetel ExDa'!$C$2:$N$14,4,FALSE),"No Data")</f>
        <v>No Data</v>
      </c>
      <c r="C684" t="str">
        <f>IFERROR(VLOOKUP(A684,'AAPT ExDa'!$B$2:$U$99, 2,FALSE), IFERROR(VLOOKUP(A684,'ABB ExDa'!$A$2:$N$184, 2,FALSE), IFERROR(VLOOKUP(A684,'Vocus SIT ExDa'!$B$2:$J$173, 7,FALSE), IFERROR(VLOOKUP(A684,'Telstra ExDa'!$B$2:$K$310, 2,FALSE), IFERROR(VLOOKUP(A684,'Vocus RVC ExDa'!$C$2:$R$155, 3,FALSE), IFERROR(VLOOKUP(A684,'Fusion ExDa'!$B$2:$D$16, 2,FALSE), IFERROR(VLOOKUP(A684,'Exetel ExDa'!$C$2:$N$14, 2,FALSE), IFERROR(VLOOKUP(A684,'Infinet ExDa'!$B$2:$E$14, 2,FALSE), "Not Found"))))))))</f>
        <v>Not Found</v>
      </c>
      <c r="D684" t="str">
        <f>IFERROR(VLOOKUP($A684,'AAPT ExDa'!$B$2:$U$99, 15,FALSE), IFERROR(VLOOKUP($A684,'ABB ExDa'!$A$2:$N$184, 4,FALSE), IFERROR(VLOOKUP($A684,'Vocus SIT ExDa'!$B$2:$J$173, 5,FALSE), IFERROR(VLOOKUP($A684,'Telstra ExDa'!$B$2:$K$310, 8,FALSE), IFERROR(VLOOKUP($A684,'Vocus RVC ExDa'!$C$2:$R$155, 6,FALSE), IFERROR(VLOOKUP($A684,'Fusion ExDa'!$B$2:$D$16, 4,FALSE), IFERROR(VLOOKUP($A684,'Exetel ExDa'!$C$2:$N$14, 3,FALSE), IFERROR(VLOOKUP($A684,'Infinet ExDa'!$B$2:$E$14, 3,FALSE), "Not Found"))))))))</f>
        <v>Not Found</v>
      </c>
      <c r="E684" t="str">
        <f>IFERROR(VLOOKUP($A684,'AAPT ExDa'!$B$2:$U$99, 3,FALSE), IFERROR(VLOOKUP($A684,'ABB ExDa'!$A$2:$N$184, 5,FALSE), IFERROR(VLOOKUP($A684,'Vocus SIT ExDa'!$B$2:$J$173, 2,FALSE), IFERROR(VLOOKUP($A684,'Telstra ExDa'!$B$2:$K$310, 4,FALSE), IFERROR(VLOOKUP($A684,'Vocus RVC ExDa'!$C$2:$R$155, 8,FALSE), IFERROR(VLOOKUP($A684,'Fusion ExDa'!$B$2:$D$16, 4,FALSE), IFERROR(VLOOKUP($A684,'Exetel ExDa'!$C$2:$N$14, 5,FALSE), IFERROR(VLOOKUP($A684,'Infinet ExDa'!$B$2:$E$14, 3,FALSE), "Not Found"))))))))</f>
        <v>Not Found</v>
      </c>
      <c r="F684" t="str">
        <f>IFERROR(VLOOKUP($A684,'AAPT ExDa'!$B$2:$U$99, 4,FALSE), IFERROR(VLOOKUP($A684,'ABB ExDa'!$A$2:$N$184, 6,FALSE), IFERROR(VLOOKUP($A684,'Vocus SIT ExDa'!$B$2:$J$173, 3,FALSE), IFERROR(VLOOKUP($A684,'Telstra ExDa'!$B$2:$K$310, 5,FALSE), IFERROR(VLOOKUP($A684,'Vocus RVC ExDa'!$C$2:$R$155, 9,FALSE), IFERROR(VLOOKUP($A684,'Fusion ExDa'!$B$2:$D$16, 0,FALSE), IFERROR(VLOOKUP($A684,'Exetel ExDa'!$C$2:$N$14, 6,FALSE), IFERROR(VLOOKUP($A684,'Infinet ExDa'!$B$2:$E$14, 0,FALSE), "Not Found"))))))))</f>
        <v>Not Found</v>
      </c>
      <c r="G684" t="str">
        <f>IFERROR(VLOOKUP($A684,'AAPT ExDa'!$B$2:$U$99, 5,FALSE), IFERROR(VLOOKUP($A684,'ABB ExDa'!$A$2:$N$184, 8,FALSE), IFERROR(VLOOKUP($A684,'Vocus SIT ExDa'!$B$2:$J$173, 6,FALSE), IFERROR(VLOOKUP($A684,'Telstra ExDa'!$B$2:$K$310, 0,FALSE), IFERROR(VLOOKUP($A684,'Vocus RVC ExDa'!$C$2:$R$155, 15,FALSE), IFERROR(VLOOKUP($A684,'Fusion ExDa'!$B$2:$D$16, 0,FALSE), IFERROR(VLOOKUP($A684,'Exetel ExDa'!$C$2:$N$14, 7,FALSE), IFERROR(VLOOKUP($A684,'Infinet ExDa'!$B$2:$E$14, 0,FALSE), "Not Found"))))))))</f>
        <v>Not Found</v>
      </c>
      <c r="H684" t="str">
        <f>IFERROR(VLOOKUP($A684,'AAPT ExDa'!$B$2:$U$99, 6,FALSE), IFERROR(VLOOKUP($A684,'ABB ExDa'!$A$2:$N$184, 0,FALSE), IFERROR(VLOOKUP($A684,'Vocus SIT ExDa'!$B$2:$J$173, 0,FALSE), IFERROR(VLOOKUP($A684,'Telstra ExDa'!$B$2:$K$310, 0,FALSE), IFERROR(VLOOKUP($A684,'Vocus RVC ExDa'!$C$2:$R$155, 16,FALSE), IFERROR(VLOOKUP($A684,'Fusion ExDa'!$B$2:$D$16, 0,FALSE), IFERROR(VLOOKUP($A684,'Exetel ExDa'!$C$2:$N$14, 0,FALSE), IFERROR(VLOOKUP($A684,'Infinet ExDa'!$B$2:$E$14, 0,FALSE), "Not Found"))))))))</f>
        <v>Not Found</v>
      </c>
      <c r="I684" t="str">
        <f>IFERROR(VLOOKUP($A684,'AAPT ExDa'!$B$2:$U$99, 0,FALSE), IFERROR(VLOOKUP($A684,'ABB ExDa'!$A$2:$N$184, 0,FALSE), IFERROR(VLOOKUP($A684,'Vocus SIT ExDa'!$B$2:$J$173, 0,FALSE), IFERROR(VLOOKUP($A684,'Telstra ExDa'!$B$2:$K$310, 0,FALSE), IFERROR(VLOOKUP($A684,'Vocus RVC ExDa'!$C$2:$R$155, 0,FALSE), IFERROR(VLOOKUP($A684,'Fusion ExDa'!$B$2:$D$16, 0,FALSE), IFERROR(VLOOKUP($A684,'Exetel ExDa'!$C$2:$N$14, 8,FALSE), IFERROR(VLOOKUP($A684,'Infinet ExDa'!$B$2:$E$14, 0,FALSE), "Not Found"))))))))</f>
        <v>Not Found</v>
      </c>
      <c r="J684" t="str">
        <f>IFERROR(VLOOKUP($A684,'AAPT ExDa'!$B$2:$U$99, 7,FALSE), IFERROR(VLOOKUP($A684,'ABB ExDa'!$A$2:$N$184, 2,FALSE), IFERROR(VLOOKUP($A684,'Vocus SIT ExDa'!$B$2:$J$173, 0,FALSE), IFERROR(VLOOKUP($A684,'Telstra ExDa'!$B$2:$K$310, 7,FALSE), IFERROR(VLOOKUP($A684,'Vocus RVC ExDa'!$C$2:$R$155, 2,FALSE), IFERROR(VLOOKUP($A684,'Fusion ExDa'!$B$2:$D$16, 3,FALSE), IFERROR(VLOOKUP($A684,'Exetel ExDa'!$C$2:$N$14, 0,FALSE), IFERROR(VLOOKUP($A684,'Infinet ExDa'!$B$2:$E$14, 0,FALSE), "Not Found"))))))))</f>
        <v>Not Found</v>
      </c>
      <c r="K684" t="str">
        <f>IFERROR(VLOOKUP($A684,'AAPT ExDa'!$B$2:$U$99, 12,FALSE), IFERROR(VLOOKUP($A684,'ABB ExDa'!$A$2:$N$184, 0,FALSE), IFERROR(VLOOKUP($A684,'Vocus SIT ExDa'!$B$2:$J$173, 0,FALSE), IFERROR(VLOOKUP($A684,'Telstra ExDa'!$B$2:$K$310, 0,FALSE), IFERROR(VLOOKUP($A684,'Vocus RVC ExDa'!$C$2:$R$155, 0,FALSE), IFERROR(VLOOKUP($A684,'Fusion ExDa'!$B$2:$D$16, 0,FALSE), IFERROR(VLOOKUP($A684,'Exetel ExDa'!$C$2:$N$14, 12,FALSE), IFERROR(VLOOKUP($A684,'Infinet ExDa'!$B$2:$E$14, 0,FALSE), "Not Found"))))))))</f>
        <v>Not Found</v>
      </c>
      <c r="L684" s="235" t="str">
        <f>IFERROR(VLOOKUP($A684,'AAPT ExDa'!$B$2:$U$99, 11,FALSE), IFERROR(VLOOKUP($A684,'ABB ExDa'!$A$2:$N$184, 9,FALSE), IFERROR(VLOOKUP($A684,'Vocus SIT ExDa'!$B$2:$J$173, 8,FALSE), IFERROR(VLOOKUP($A684,'Telstra ExDa'!$B$2:$K$310, 0,FALSE), IFERROR(VLOOKUP($A684,'Vocus RVC ExDa'!$C$2:$R$155, 0,FALSE), IFERROR(VLOOKUP($A684,'Fusion ExDa'!$B$2:$D$16, 0,FALSE), IFERROR(VLOOKUP($A684,'Exetel ExDa'!$C$2:$N$14, 9,FALSE), IFERROR(VLOOKUP($A684,'Infinet ExDa'!$B$2:$E$14, 0,FALSE), "Not Found"))))))))</f>
        <v>Not Found</v>
      </c>
      <c r="M684" s="234" t="str">
        <f>IFERROR(VLOOKUP($A684,'AAPT ExDa'!$B$2:$U$99, 0,FALSE), IFERROR(VLOOKUP($A684,'ABB ExDa'!$A$2:$N$184, 0,FALSE), IFERROR(VLOOKUP($A684,'Vocus SIT ExDa'!$B$2:$J$173, 0,FALSE), IFERROR(VLOOKUP($A684,'Telstra ExDa'!$B$2:$K$310, 0,FALSE), IFERROR(VLOOKUP($A684,'Vocus RVC ExDa'!$C$2:$R$155, 0,FALSE), IFERROR(VLOOKUP($A684,'Fusion ExDa'!$B$2:$D$16, 0,FALSE), IFERROR(VLOOKUP($A684,'Exetel ExDa'!$C$2:$N$14, 11,FALSE), IFERROR(VLOOKUP($A684,'Infinet ExDa'!$B$2:$E$14, 0,FALSE), "Not Found"))))))))</f>
        <v>Not Found</v>
      </c>
      <c r="N684" t="str">
        <f>IFERROR(VLOOKUP($A684,'AAPT ExDa'!$B$2:$U$99, 0,FALSE), IFERROR(VLOOKUP($A684,'ABB ExDa'!$A$2:$N$184, 13,FALSE), IFERROR(VLOOKUP($A684,'Vocus SIT ExDa'!$B$2:$J$173, 0,FALSE), IFERROR(VLOOKUP($A684,'Telstra ExDa'!$B$2:$K$310, 0,FALSE), IFERROR(VLOOKUP($A684,'Vocus RVC ExDa'!$C$2:$R$155, 0,FALSE), IFERROR(VLOOKUP($A684,'Fusion ExDa'!$B$2:$D$16, 0,FALSE), IFERROR(VLOOKUP($A684,'Exetel ExDa'!$C$2:$N$14, 0,FALSE), IFERROR(VLOOKUP($A684,'Infinet ExDa'!$B$2:$E$14, 0,FALSE), "Not Found"))))))))</f>
        <v>Not Found</v>
      </c>
    </row>
    <row r="685" spans="1:14">
      <c r="A685">
        <v>0</v>
      </c>
      <c r="B685" t="str">
        <f>IFERROR(VLOOKUP(A685,'Exetel ExDa'!$C$2:$N$14,4,FALSE),"No Data")</f>
        <v>No Data</v>
      </c>
      <c r="C685" t="str">
        <f>IFERROR(VLOOKUP(A685,'AAPT ExDa'!$B$2:$U$99, 2,FALSE), IFERROR(VLOOKUP(A685,'ABB ExDa'!$A$2:$N$184, 2,FALSE), IFERROR(VLOOKUP(A685,'Vocus SIT ExDa'!$B$2:$J$173, 7,FALSE), IFERROR(VLOOKUP(A685,'Telstra ExDa'!$B$2:$K$310, 2,FALSE), IFERROR(VLOOKUP(A685,'Vocus RVC ExDa'!$C$2:$R$155, 3,FALSE), IFERROR(VLOOKUP(A685,'Fusion ExDa'!$B$2:$D$16, 2,FALSE), IFERROR(VLOOKUP(A685,'Exetel ExDa'!$C$2:$N$14, 2,FALSE), IFERROR(VLOOKUP(A685,'Infinet ExDa'!$B$2:$E$14, 2,FALSE), "Not Found"))))))))</f>
        <v>Not Found</v>
      </c>
      <c r="D685" t="str">
        <f>IFERROR(VLOOKUP($A685,'AAPT ExDa'!$B$2:$U$99, 15,FALSE), IFERROR(VLOOKUP($A685,'ABB ExDa'!$A$2:$N$184, 4,FALSE), IFERROR(VLOOKUP($A685,'Vocus SIT ExDa'!$B$2:$J$173, 5,FALSE), IFERROR(VLOOKUP($A685,'Telstra ExDa'!$B$2:$K$310, 8,FALSE), IFERROR(VLOOKUP($A685,'Vocus RVC ExDa'!$C$2:$R$155, 6,FALSE), IFERROR(VLOOKUP($A685,'Fusion ExDa'!$B$2:$D$16, 4,FALSE), IFERROR(VLOOKUP($A685,'Exetel ExDa'!$C$2:$N$14, 3,FALSE), IFERROR(VLOOKUP($A685,'Infinet ExDa'!$B$2:$E$14, 3,FALSE), "Not Found"))))))))</f>
        <v>Not Found</v>
      </c>
      <c r="E685" t="str">
        <f>IFERROR(VLOOKUP($A685,'AAPT ExDa'!$B$2:$U$99, 3,FALSE), IFERROR(VLOOKUP($A685,'ABB ExDa'!$A$2:$N$184, 5,FALSE), IFERROR(VLOOKUP($A685,'Vocus SIT ExDa'!$B$2:$J$173, 2,FALSE), IFERROR(VLOOKUP($A685,'Telstra ExDa'!$B$2:$K$310, 4,FALSE), IFERROR(VLOOKUP($A685,'Vocus RVC ExDa'!$C$2:$R$155, 8,FALSE), IFERROR(VLOOKUP($A685,'Fusion ExDa'!$B$2:$D$16, 4,FALSE), IFERROR(VLOOKUP($A685,'Exetel ExDa'!$C$2:$N$14, 5,FALSE), IFERROR(VLOOKUP($A685,'Infinet ExDa'!$B$2:$E$14, 3,FALSE), "Not Found"))))))))</f>
        <v>Not Found</v>
      </c>
      <c r="F685" t="str">
        <f>IFERROR(VLOOKUP($A685,'AAPT ExDa'!$B$2:$U$99, 4,FALSE), IFERROR(VLOOKUP($A685,'ABB ExDa'!$A$2:$N$184, 6,FALSE), IFERROR(VLOOKUP($A685,'Vocus SIT ExDa'!$B$2:$J$173, 3,FALSE), IFERROR(VLOOKUP($A685,'Telstra ExDa'!$B$2:$K$310, 5,FALSE), IFERROR(VLOOKUP($A685,'Vocus RVC ExDa'!$C$2:$R$155, 9,FALSE), IFERROR(VLOOKUP($A685,'Fusion ExDa'!$B$2:$D$16, 0,FALSE), IFERROR(VLOOKUP($A685,'Exetel ExDa'!$C$2:$N$14, 6,FALSE), IFERROR(VLOOKUP($A685,'Infinet ExDa'!$B$2:$E$14, 0,FALSE), "Not Found"))))))))</f>
        <v>Not Found</v>
      </c>
      <c r="G685" t="str">
        <f>IFERROR(VLOOKUP($A685,'AAPT ExDa'!$B$2:$U$99, 5,FALSE), IFERROR(VLOOKUP($A685,'ABB ExDa'!$A$2:$N$184, 8,FALSE), IFERROR(VLOOKUP($A685,'Vocus SIT ExDa'!$B$2:$J$173, 6,FALSE), IFERROR(VLOOKUP($A685,'Telstra ExDa'!$B$2:$K$310, 0,FALSE), IFERROR(VLOOKUP($A685,'Vocus RVC ExDa'!$C$2:$R$155, 15,FALSE), IFERROR(VLOOKUP($A685,'Fusion ExDa'!$B$2:$D$16, 0,FALSE), IFERROR(VLOOKUP($A685,'Exetel ExDa'!$C$2:$N$14, 7,FALSE), IFERROR(VLOOKUP($A685,'Infinet ExDa'!$B$2:$E$14, 0,FALSE), "Not Found"))))))))</f>
        <v>Not Found</v>
      </c>
      <c r="H685" t="str">
        <f>IFERROR(VLOOKUP($A685,'AAPT ExDa'!$B$2:$U$99, 6,FALSE), IFERROR(VLOOKUP($A685,'ABB ExDa'!$A$2:$N$184, 0,FALSE), IFERROR(VLOOKUP($A685,'Vocus SIT ExDa'!$B$2:$J$173, 0,FALSE), IFERROR(VLOOKUP($A685,'Telstra ExDa'!$B$2:$K$310, 0,FALSE), IFERROR(VLOOKUP($A685,'Vocus RVC ExDa'!$C$2:$R$155, 16,FALSE), IFERROR(VLOOKUP($A685,'Fusion ExDa'!$B$2:$D$16, 0,FALSE), IFERROR(VLOOKUP($A685,'Exetel ExDa'!$C$2:$N$14, 0,FALSE), IFERROR(VLOOKUP($A685,'Infinet ExDa'!$B$2:$E$14, 0,FALSE), "Not Found"))))))))</f>
        <v>Not Found</v>
      </c>
      <c r="I685" t="str">
        <f>IFERROR(VLOOKUP($A685,'AAPT ExDa'!$B$2:$U$99, 0,FALSE), IFERROR(VLOOKUP($A685,'ABB ExDa'!$A$2:$N$184, 0,FALSE), IFERROR(VLOOKUP($A685,'Vocus SIT ExDa'!$B$2:$J$173, 0,FALSE), IFERROR(VLOOKUP($A685,'Telstra ExDa'!$B$2:$K$310, 0,FALSE), IFERROR(VLOOKUP($A685,'Vocus RVC ExDa'!$C$2:$R$155, 0,FALSE), IFERROR(VLOOKUP($A685,'Fusion ExDa'!$B$2:$D$16, 0,FALSE), IFERROR(VLOOKUP($A685,'Exetel ExDa'!$C$2:$N$14, 8,FALSE), IFERROR(VLOOKUP($A685,'Infinet ExDa'!$B$2:$E$14, 0,FALSE), "Not Found"))))))))</f>
        <v>Not Found</v>
      </c>
      <c r="J685" t="str">
        <f>IFERROR(VLOOKUP($A685,'AAPT ExDa'!$B$2:$U$99, 7,FALSE), IFERROR(VLOOKUP($A685,'ABB ExDa'!$A$2:$N$184, 2,FALSE), IFERROR(VLOOKUP($A685,'Vocus SIT ExDa'!$B$2:$J$173, 0,FALSE), IFERROR(VLOOKUP($A685,'Telstra ExDa'!$B$2:$K$310, 7,FALSE), IFERROR(VLOOKUP($A685,'Vocus RVC ExDa'!$C$2:$R$155, 2,FALSE), IFERROR(VLOOKUP($A685,'Fusion ExDa'!$B$2:$D$16, 3,FALSE), IFERROR(VLOOKUP($A685,'Exetel ExDa'!$C$2:$N$14, 0,FALSE), IFERROR(VLOOKUP($A685,'Infinet ExDa'!$B$2:$E$14, 0,FALSE), "Not Found"))))))))</f>
        <v>Not Found</v>
      </c>
      <c r="K685" t="str">
        <f>IFERROR(VLOOKUP($A685,'AAPT ExDa'!$B$2:$U$99, 12,FALSE), IFERROR(VLOOKUP($A685,'ABB ExDa'!$A$2:$N$184, 0,FALSE), IFERROR(VLOOKUP($A685,'Vocus SIT ExDa'!$B$2:$J$173, 0,FALSE), IFERROR(VLOOKUP($A685,'Telstra ExDa'!$B$2:$K$310, 0,FALSE), IFERROR(VLOOKUP($A685,'Vocus RVC ExDa'!$C$2:$R$155, 0,FALSE), IFERROR(VLOOKUP($A685,'Fusion ExDa'!$B$2:$D$16, 0,FALSE), IFERROR(VLOOKUP($A685,'Exetel ExDa'!$C$2:$N$14, 12,FALSE), IFERROR(VLOOKUP($A685,'Infinet ExDa'!$B$2:$E$14, 0,FALSE), "Not Found"))))))))</f>
        <v>Not Found</v>
      </c>
      <c r="L685" s="235" t="str">
        <f>IFERROR(VLOOKUP($A685,'AAPT ExDa'!$B$2:$U$99, 11,FALSE), IFERROR(VLOOKUP($A685,'ABB ExDa'!$A$2:$N$184, 9,FALSE), IFERROR(VLOOKUP($A685,'Vocus SIT ExDa'!$B$2:$J$173, 8,FALSE), IFERROR(VLOOKUP($A685,'Telstra ExDa'!$B$2:$K$310, 0,FALSE), IFERROR(VLOOKUP($A685,'Vocus RVC ExDa'!$C$2:$R$155, 0,FALSE), IFERROR(VLOOKUP($A685,'Fusion ExDa'!$B$2:$D$16, 0,FALSE), IFERROR(VLOOKUP($A685,'Exetel ExDa'!$C$2:$N$14, 9,FALSE), IFERROR(VLOOKUP($A685,'Infinet ExDa'!$B$2:$E$14, 0,FALSE), "Not Found"))))))))</f>
        <v>Not Found</v>
      </c>
      <c r="M685" s="234" t="str">
        <f>IFERROR(VLOOKUP($A685,'AAPT ExDa'!$B$2:$U$99, 0,FALSE), IFERROR(VLOOKUP($A685,'ABB ExDa'!$A$2:$N$184, 0,FALSE), IFERROR(VLOOKUP($A685,'Vocus SIT ExDa'!$B$2:$J$173, 0,FALSE), IFERROR(VLOOKUP($A685,'Telstra ExDa'!$B$2:$K$310, 0,FALSE), IFERROR(VLOOKUP($A685,'Vocus RVC ExDa'!$C$2:$R$155, 0,FALSE), IFERROR(VLOOKUP($A685,'Fusion ExDa'!$B$2:$D$16, 0,FALSE), IFERROR(VLOOKUP($A685,'Exetel ExDa'!$C$2:$N$14, 11,FALSE), IFERROR(VLOOKUP($A685,'Infinet ExDa'!$B$2:$E$14, 0,FALSE), "Not Found"))))))))</f>
        <v>Not Found</v>
      </c>
      <c r="N685" t="str">
        <f>IFERROR(VLOOKUP($A685,'AAPT ExDa'!$B$2:$U$99, 0,FALSE), IFERROR(VLOOKUP($A685,'ABB ExDa'!$A$2:$N$184, 13,FALSE), IFERROR(VLOOKUP($A685,'Vocus SIT ExDa'!$B$2:$J$173, 0,FALSE), IFERROR(VLOOKUP($A685,'Telstra ExDa'!$B$2:$K$310, 0,FALSE), IFERROR(VLOOKUP($A685,'Vocus RVC ExDa'!$C$2:$R$155, 0,FALSE), IFERROR(VLOOKUP($A685,'Fusion ExDa'!$B$2:$D$16, 0,FALSE), IFERROR(VLOOKUP($A685,'Exetel ExDa'!$C$2:$N$14, 0,FALSE), IFERROR(VLOOKUP($A685,'Infinet ExDa'!$B$2:$E$14, 0,FALSE), "Not Found"))))))))</f>
        <v>Not Found</v>
      </c>
    </row>
    <row r="686" spans="1:14">
      <c r="A686">
        <v>0</v>
      </c>
      <c r="B686" t="str">
        <f>IFERROR(VLOOKUP(A686,'Exetel ExDa'!$C$2:$N$14,4,FALSE),"No Data")</f>
        <v>No Data</v>
      </c>
      <c r="C686" t="str">
        <f>IFERROR(VLOOKUP(A686,'AAPT ExDa'!$B$2:$U$99, 2,FALSE), IFERROR(VLOOKUP(A686,'ABB ExDa'!$A$2:$N$184, 2,FALSE), IFERROR(VLOOKUP(A686,'Vocus SIT ExDa'!$B$2:$J$173, 7,FALSE), IFERROR(VLOOKUP(A686,'Telstra ExDa'!$B$2:$K$310, 2,FALSE), IFERROR(VLOOKUP(A686,'Vocus RVC ExDa'!$C$2:$R$155, 3,FALSE), IFERROR(VLOOKUP(A686,'Fusion ExDa'!$B$2:$D$16, 2,FALSE), IFERROR(VLOOKUP(A686,'Exetel ExDa'!$C$2:$N$14, 2,FALSE), IFERROR(VLOOKUP(A686,'Infinet ExDa'!$B$2:$E$14, 2,FALSE), "Not Found"))))))))</f>
        <v>Not Found</v>
      </c>
      <c r="D686" t="str">
        <f>IFERROR(VLOOKUP($A686,'AAPT ExDa'!$B$2:$U$99, 15,FALSE), IFERROR(VLOOKUP($A686,'ABB ExDa'!$A$2:$N$184, 4,FALSE), IFERROR(VLOOKUP($A686,'Vocus SIT ExDa'!$B$2:$J$173, 5,FALSE), IFERROR(VLOOKUP($A686,'Telstra ExDa'!$B$2:$K$310, 8,FALSE), IFERROR(VLOOKUP($A686,'Vocus RVC ExDa'!$C$2:$R$155, 6,FALSE), IFERROR(VLOOKUP($A686,'Fusion ExDa'!$B$2:$D$16, 4,FALSE), IFERROR(VLOOKUP($A686,'Exetel ExDa'!$C$2:$N$14, 3,FALSE), IFERROR(VLOOKUP($A686,'Infinet ExDa'!$B$2:$E$14, 3,FALSE), "Not Found"))))))))</f>
        <v>Not Found</v>
      </c>
      <c r="E686" t="str">
        <f>IFERROR(VLOOKUP($A686,'AAPT ExDa'!$B$2:$U$99, 3,FALSE), IFERROR(VLOOKUP($A686,'ABB ExDa'!$A$2:$N$184, 5,FALSE), IFERROR(VLOOKUP($A686,'Vocus SIT ExDa'!$B$2:$J$173, 2,FALSE), IFERROR(VLOOKUP($A686,'Telstra ExDa'!$B$2:$K$310, 4,FALSE), IFERROR(VLOOKUP($A686,'Vocus RVC ExDa'!$C$2:$R$155, 8,FALSE), IFERROR(VLOOKUP($A686,'Fusion ExDa'!$B$2:$D$16, 4,FALSE), IFERROR(VLOOKUP($A686,'Exetel ExDa'!$C$2:$N$14, 5,FALSE), IFERROR(VLOOKUP($A686,'Infinet ExDa'!$B$2:$E$14, 3,FALSE), "Not Found"))))))))</f>
        <v>Not Found</v>
      </c>
      <c r="F686" t="str">
        <f>IFERROR(VLOOKUP($A686,'AAPT ExDa'!$B$2:$U$99, 4,FALSE), IFERROR(VLOOKUP($A686,'ABB ExDa'!$A$2:$N$184, 6,FALSE), IFERROR(VLOOKUP($A686,'Vocus SIT ExDa'!$B$2:$J$173, 3,FALSE), IFERROR(VLOOKUP($A686,'Telstra ExDa'!$B$2:$K$310, 5,FALSE), IFERROR(VLOOKUP($A686,'Vocus RVC ExDa'!$C$2:$R$155, 9,FALSE), IFERROR(VLOOKUP($A686,'Fusion ExDa'!$B$2:$D$16, 0,FALSE), IFERROR(VLOOKUP($A686,'Exetel ExDa'!$C$2:$N$14, 6,FALSE), IFERROR(VLOOKUP($A686,'Infinet ExDa'!$B$2:$E$14, 0,FALSE), "Not Found"))))))))</f>
        <v>Not Found</v>
      </c>
      <c r="G686" t="str">
        <f>IFERROR(VLOOKUP($A686,'AAPT ExDa'!$B$2:$U$99, 5,FALSE), IFERROR(VLOOKUP($A686,'ABB ExDa'!$A$2:$N$184, 8,FALSE), IFERROR(VLOOKUP($A686,'Vocus SIT ExDa'!$B$2:$J$173, 6,FALSE), IFERROR(VLOOKUP($A686,'Telstra ExDa'!$B$2:$K$310, 0,FALSE), IFERROR(VLOOKUP($A686,'Vocus RVC ExDa'!$C$2:$R$155, 15,FALSE), IFERROR(VLOOKUP($A686,'Fusion ExDa'!$B$2:$D$16, 0,FALSE), IFERROR(VLOOKUP($A686,'Exetel ExDa'!$C$2:$N$14, 7,FALSE), IFERROR(VLOOKUP($A686,'Infinet ExDa'!$B$2:$E$14, 0,FALSE), "Not Found"))))))))</f>
        <v>Not Found</v>
      </c>
      <c r="H686" t="str">
        <f>IFERROR(VLOOKUP($A686,'AAPT ExDa'!$B$2:$U$99, 6,FALSE), IFERROR(VLOOKUP($A686,'ABB ExDa'!$A$2:$N$184, 0,FALSE), IFERROR(VLOOKUP($A686,'Vocus SIT ExDa'!$B$2:$J$173, 0,FALSE), IFERROR(VLOOKUP($A686,'Telstra ExDa'!$B$2:$K$310, 0,FALSE), IFERROR(VLOOKUP($A686,'Vocus RVC ExDa'!$C$2:$R$155, 16,FALSE), IFERROR(VLOOKUP($A686,'Fusion ExDa'!$B$2:$D$16, 0,FALSE), IFERROR(VLOOKUP($A686,'Exetel ExDa'!$C$2:$N$14, 0,FALSE), IFERROR(VLOOKUP($A686,'Infinet ExDa'!$B$2:$E$14, 0,FALSE), "Not Found"))))))))</f>
        <v>Not Found</v>
      </c>
      <c r="I686" t="str">
        <f>IFERROR(VLOOKUP($A686,'AAPT ExDa'!$B$2:$U$99, 0,FALSE), IFERROR(VLOOKUP($A686,'ABB ExDa'!$A$2:$N$184, 0,FALSE), IFERROR(VLOOKUP($A686,'Vocus SIT ExDa'!$B$2:$J$173, 0,FALSE), IFERROR(VLOOKUP($A686,'Telstra ExDa'!$B$2:$K$310, 0,FALSE), IFERROR(VLOOKUP($A686,'Vocus RVC ExDa'!$C$2:$R$155, 0,FALSE), IFERROR(VLOOKUP($A686,'Fusion ExDa'!$B$2:$D$16, 0,FALSE), IFERROR(VLOOKUP($A686,'Exetel ExDa'!$C$2:$N$14, 8,FALSE), IFERROR(VLOOKUP($A686,'Infinet ExDa'!$B$2:$E$14, 0,FALSE), "Not Found"))))))))</f>
        <v>Not Found</v>
      </c>
      <c r="J686" t="str">
        <f>IFERROR(VLOOKUP($A686,'AAPT ExDa'!$B$2:$U$99, 7,FALSE), IFERROR(VLOOKUP($A686,'ABB ExDa'!$A$2:$N$184, 2,FALSE), IFERROR(VLOOKUP($A686,'Vocus SIT ExDa'!$B$2:$J$173, 0,FALSE), IFERROR(VLOOKUP($A686,'Telstra ExDa'!$B$2:$K$310, 7,FALSE), IFERROR(VLOOKUP($A686,'Vocus RVC ExDa'!$C$2:$R$155, 2,FALSE), IFERROR(VLOOKUP($A686,'Fusion ExDa'!$B$2:$D$16, 3,FALSE), IFERROR(VLOOKUP($A686,'Exetel ExDa'!$C$2:$N$14, 0,FALSE), IFERROR(VLOOKUP($A686,'Infinet ExDa'!$B$2:$E$14, 0,FALSE), "Not Found"))))))))</f>
        <v>Not Found</v>
      </c>
      <c r="K686" t="str">
        <f>IFERROR(VLOOKUP($A686,'AAPT ExDa'!$B$2:$U$99, 12,FALSE), IFERROR(VLOOKUP($A686,'ABB ExDa'!$A$2:$N$184, 0,FALSE), IFERROR(VLOOKUP($A686,'Vocus SIT ExDa'!$B$2:$J$173, 0,FALSE), IFERROR(VLOOKUP($A686,'Telstra ExDa'!$B$2:$K$310, 0,FALSE), IFERROR(VLOOKUP($A686,'Vocus RVC ExDa'!$C$2:$R$155, 0,FALSE), IFERROR(VLOOKUP($A686,'Fusion ExDa'!$B$2:$D$16, 0,FALSE), IFERROR(VLOOKUP($A686,'Exetel ExDa'!$C$2:$N$14, 12,FALSE), IFERROR(VLOOKUP($A686,'Infinet ExDa'!$B$2:$E$14, 0,FALSE), "Not Found"))))))))</f>
        <v>Not Found</v>
      </c>
      <c r="L686" s="235" t="str">
        <f>IFERROR(VLOOKUP($A686,'AAPT ExDa'!$B$2:$U$99, 11,FALSE), IFERROR(VLOOKUP($A686,'ABB ExDa'!$A$2:$N$184, 9,FALSE), IFERROR(VLOOKUP($A686,'Vocus SIT ExDa'!$B$2:$J$173, 8,FALSE), IFERROR(VLOOKUP($A686,'Telstra ExDa'!$B$2:$K$310, 0,FALSE), IFERROR(VLOOKUP($A686,'Vocus RVC ExDa'!$C$2:$R$155, 0,FALSE), IFERROR(VLOOKUP($A686,'Fusion ExDa'!$B$2:$D$16, 0,FALSE), IFERROR(VLOOKUP($A686,'Exetel ExDa'!$C$2:$N$14, 9,FALSE), IFERROR(VLOOKUP($A686,'Infinet ExDa'!$B$2:$E$14, 0,FALSE), "Not Found"))))))))</f>
        <v>Not Found</v>
      </c>
      <c r="M686" s="234" t="str">
        <f>IFERROR(VLOOKUP($A686,'AAPT ExDa'!$B$2:$U$99, 0,FALSE), IFERROR(VLOOKUP($A686,'ABB ExDa'!$A$2:$N$184, 0,FALSE), IFERROR(VLOOKUP($A686,'Vocus SIT ExDa'!$B$2:$J$173, 0,FALSE), IFERROR(VLOOKUP($A686,'Telstra ExDa'!$B$2:$K$310, 0,FALSE), IFERROR(VLOOKUP($A686,'Vocus RVC ExDa'!$C$2:$R$155, 0,FALSE), IFERROR(VLOOKUP($A686,'Fusion ExDa'!$B$2:$D$16, 0,FALSE), IFERROR(VLOOKUP($A686,'Exetel ExDa'!$C$2:$N$14, 11,FALSE), IFERROR(VLOOKUP($A686,'Infinet ExDa'!$B$2:$E$14, 0,FALSE), "Not Found"))))))))</f>
        <v>Not Found</v>
      </c>
      <c r="N686" t="str">
        <f>IFERROR(VLOOKUP($A686,'AAPT ExDa'!$B$2:$U$99, 0,FALSE), IFERROR(VLOOKUP($A686,'ABB ExDa'!$A$2:$N$184, 13,FALSE), IFERROR(VLOOKUP($A686,'Vocus SIT ExDa'!$B$2:$J$173, 0,FALSE), IFERROR(VLOOKUP($A686,'Telstra ExDa'!$B$2:$K$310, 0,FALSE), IFERROR(VLOOKUP($A686,'Vocus RVC ExDa'!$C$2:$R$155, 0,FALSE), IFERROR(VLOOKUP($A686,'Fusion ExDa'!$B$2:$D$16, 0,FALSE), IFERROR(VLOOKUP($A686,'Exetel ExDa'!$C$2:$N$14, 0,FALSE), IFERROR(VLOOKUP($A686,'Infinet ExDa'!$B$2:$E$14, 0,FALSE), "Not Found"))))))))</f>
        <v>Not Found</v>
      </c>
    </row>
    <row r="687" spans="1:14">
      <c r="A687">
        <v>0</v>
      </c>
      <c r="B687" t="str">
        <f>IFERROR(VLOOKUP(A687,'Exetel ExDa'!$C$2:$N$14,4,FALSE),"No Data")</f>
        <v>No Data</v>
      </c>
      <c r="C687" t="str">
        <f>IFERROR(VLOOKUP(A687,'AAPT ExDa'!$B$2:$U$99, 2,FALSE), IFERROR(VLOOKUP(A687,'ABB ExDa'!$A$2:$N$184, 2,FALSE), IFERROR(VLOOKUP(A687,'Vocus SIT ExDa'!$B$2:$J$173, 7,FALSE), IFERROR(VLOOKUP(A687,'Telstra ExDa'!$B$2:$K$310, 2,FALSE), IFERROR(VLOOKUP(A687,'Vocus RVC ExDa'!$C$2:$R$155, 3,FALSE), IFERROR(VLOOKUP(A687,'Fusion ExDa'!$B$2:$D$16, 2,FALSE), IFERROR(VLOOKUP(A687,'Exetel ExDa'!$C$2:$N$14, 2,FALSE), IFERROR(VLOOKUP(A687,'Infinet ExDa'!$B$2:$E$14, 2,FALSE), "Not Found"))))))))</f>
        <v>Not Found</v>
      </c>
      <c r="D687" t="str">
        <f>IFERROR(VLOOKUP($A687,'AAPT ExDa'!$B$2:$U$99, 15,FALSE), IFERROR(VLOOKUP($A687,'ABB ExDa'!$A$2:$N$184, 4,FALSE), IFERROR(VLOOKUP($A687,'Vocus SIT ExDa'!$B$2:$J$173, 5,FALSE), IFERROR(VLOOKUP($A687,'Telstra ExDa'!$B$2:$K$310, 8,FALSE), IFERROR(VLOOKUP($A687,'Vocus RVC ExDa'!$C$2:$R$155, 6,FALSE), IFERROR(VLOOKUP($A687,'Fusion ExDa'!$B$2:$D$16, 4,FALSE), IFERROR(VLOOKUP($A687,'Exetel ExDa'!$C$2:$N$14, 3,FALSE), IFERROR(VLOOKUP($A687,'Infinet ExDa'!$B$2:$E$14, 3,FALSE), "Not Found"))))))))</f>
        <v>Not Found</v>
      </c>
      <c r="E687" t="str">
        <f>IFERROR(VLOOKUP($A687,'AAPT ExDa'!$B$2:$U$99, 3,FALSE), IFERROR(VLOOKUP($A687,'ABB ExDa'!$A$2:$N$184, 5,FALSE), IFERROR(VLOOKUP($A687,'Vocus SIT ExDa'!$B$2:$J$173, 2,FALSE), IFERROR(VLOOKUP($A687,'Telstra ExDa'!$B$2:$K$310, 4,FALSE), IFERROR(VLOOKUP($A687,'Vocus RVC ExDa'!$C$2:$R$155, 8,FALSE), IFERROR(VLOOKUP($A687,'Fusion ExDa'!$B$2:$D$16, 4,FALSE), IFERROR(VLOOKUP($A687,'Exetel ExDa'!$C$2:$N$14, 5,FALSE), IFERROR(VLOOKUP($A687,'Infinet ExDa'!$B$2:$E$14, 3,FALSE), "Not Found"))))))))</f>
        <v>Not Found</v>
      </c>
      <c r="F687" t="str">
        <f>IFERROR(VLOOKUP($A687,'AAPT ExDa'!$B$2:$U$99, 4,FALSE), IFERROR(VLOOKUP($A687,'ABB ExDa'!$A$2:$N$184, 6,FALSE), IFERROR(VLOOKUP($A687,'Vocus SIT ExDa'!$B$2:$J$173, 3,FALSE), IFERROR(VLOOKUP($A687,'Telstra ExDa'!$B$2:$K$310, 5,FALSE), IFERROR(VLOOKUP($A687,'Vocus RVC ExDa'!$C$2:$R$155, 9,FALSE), IFERROR(VLOOKUP($A687,'Fusion ExDa'!$B$2:$D$16, 0,FALSE), IFERROR(VLOOKUP($A687,'Exetel ExDa'!$C$2:$N$14, 6,FALSE), IFERROR(VLOOKUP($A687,'Infinet ExDa'!$B$2:$E$14, 0,FALSE), "Not Found"))))))))</f>
        <v>Not Found</v>
      </c>
      <c r="G687" t="str">
        <f>IFERROR(VLOOKUP($A687,'AAPT ExDa'!$B$2:$U$99, 5,FALSE), IFERROR(VLOOKUP($A687,'ABB ExDa'!$A$2:$N$184, 8,FALSE), IFERROR(VLOOKUP($A687,'Vocus SIT ExDa'!$B$2:$J$173, 6,FALSE), IFERROR(VLOOKUP($A687,'Telstra ExDa'!$B$2:$K$310, 0,FALSE), IFERROR(VLOOKUP($A687,'Vocus RVC ExDa'!$C$2:$R$155, 15,FALSE), IFERROR(VLOOKUP($A687,'Fusion ExDa'!$B$2:$D$16, 0,FALSE), IFERROR(VLOOKUP($A687,'Exetel ExDa'!$C$2:$N$14, 7,FALSE), IFERROR(VLOOKUP($A687,'Infinet ExDa'!$B$2:$E$14, 0,FALSE), "Not Found"))))))))</f>
        <v>Not Found</v>
      </c>
      <c r="H687" t="str">
        <f>IFERROR(VLOOKUP($A687,'AAPT ExDa'!$B$2:$U$99, 6,FALSE), IFERROR(VLOOKUP($A687,'ABB ExDa'!$A$2:$N$184, 0,FALSE), IFERROR(VLOOKUP($A687,'Vocus SIT ExDa'!$B$2:$J$173, 0,FALSE), IFERROR(VLOOKUP($A687,'Telstra ExDa'!$B$2:$K$310, 0,FALSE), IFERROR(VLOOKUP($A687,'Vocus RVC ExDa'!$C$2:$R$155, 16,FALSE), IFERROR(VLOOKUP($A687,'Fusion ExDa'!$B$2:$D$16, 0,FALSE), IFERROR(VLOOKUP($A687,'Exetel ExDa'!$C$2:$N$14, 0,FALSE), IFERROR(VLOOKUP($A687,'Infinet ExDa'!$B$2:$E$14, 0,FALSE), "Not Found"))))))))</f>
        <v>Not Found</v>
      </c>
      <c r="I687" t="str">
        <f>IFERROR(VLOOKUP($A687,'AAPT ExDa'!$B$2:$U$99, 0,FALSE), IFERROR(VLOOKUP($A687,'ABB ExDa'!$A$2:$N$184, 0,FALSE), IFERROR(VLOOKUP($A687,'Vocus SIT ExDa'!$B$2:$J$173, 0,FALSE), IFERROR(VLOOKUP($A687,'Telstra ExDa'!$B$2:$K$310, 0,FALSE), IFERROR(VLOOKUP($A687,'Vocus RVC ExDa'!$C$2:$R$155, 0,FALSE), IFERROR(VLOOKUP($A687,'Fusion ExDa'!$B$2:$D$16, 0,FALSE), IFERROR(VLOOKUP($A687,'Exetel ExDa'!$C$2:$N$14, 8,FALSE), IFERROR(VLOOKUP($A687,'Infinet ExDa'!$B$2:$E$14, 0,FALSE), "Not Found"))))))))</f>
        <v>Not Found</v>
      </c>
      <c r="J687" t="str">
        <f>IFERROR(VLOOKUP($A687,'AAPT ExDa'!$B$2:$U$99, 7,FALSE), IFERROR(VLOOKUP($A687,'ABB ExDa'!$A$2:$N$184, 2,FALSE), IFERROR(VLOOKUP($A687,'Vocus SIT ExDa'!$B$2:$J$173, 0,FALSE), IFERROR(VLOOKUP($A687,'Telstra ExDa'!$B$2:$K$310, 7,FALSE), IFERROR(VLOOKUP($A687,'Vocus RVC ExDa'!$C$2:$R$155, 2,FALSE), IFERROR(VLOOKUP($A687,'Fusion ExDa'!$B$2:$D$16, 3,FALSE), IFERROR(VLOOKUP($A687,'Exetel ExDa'!$C$2:$N$14, 0,FALSE), IFERROR(VLOOKUP($A687,'Infinet ExDa'!$B$2:$E$14, 0,FALSE), "Not Found"))))))))</f>
        <v>Not Found</v>
      </c>
      <c r="K687" t="str">
        <f>IFERROR(VLOOKUP($A687,'AAPT ExDa'!$B$2:$U$99, 12,FALSE), IFERROR(VLOOKUP($A687,'ABB ExDa'!$A$2:$N$184, 0,FALSE), IFERROR(VLOOKUP($A687,'Vocus SIT ExDa'!$B$2:$J$173, 0,FALSE), IFERROR(VLOOKUP($A687,'Telstra ExDa'!$B$2:$K$310, 0,FALSE), IFERROR(VLOOKUP($A687,'Vocus RVC ExDa'!$C$2:$R$155, 0,FALSE), IFERROR(VLOOKUP($A687,'Fusion ExDa'!$B$2:$D$16, 0,FALSE), IFERROR(VLOOKUP($A687,'Exetel ExDa'!$C$2:$N$14, 12,FALSE), IFERROR(VLOOKUP($A687,'Infinet ExDa'!$B$2:$E$14, 0,FALSE), "Not Found"))))))))</f>
        <v>Not Found</v>
      </c>
      <c r="L687" s="235" t="str">
        <f>IFERROR(VLOOKUP($A687,'AAPT ExDa'!$B$2:$U$99, 11,FALSE), IFERROR(VLOOKUP($A687,'ABB ExDa'!$A$2:$N$184, 9,FALSE), IFERROR(VLOOKUP($A687,'Vocus SIT ExDa'!$B$2:$J$173, 8,FALSE), IFERROR(VLOOKUP($A687,'Telstra ExDa'!$B$2:$K$310, 0,FALSE), IFERROR(VLOOKUP($A687,'Vocus RVC ExDa'!$C$2:$R$155, 0,FALSE), IFERROR(VLOOKUP($A687,'Fusion ExDa'!$B$2:$D$16, 0,FALSE), IFERROR(VLOOKUP($A687,'Exetel ExDa'!$C$2:$N$14, 9,FALSE), IFERROR(VLOOKUP($A687,'Infinet ExDa'!$B$2:$E$14, 0,FALSE), "Not Found"))))))))</f>
        <v>Not Found</v>
      </c>
      <c r="M687" s="234" t="str">
        <f>IFERROR(VLOOKUP($A687,'AAPT ExDa'!$B$2:$U$99, 0,FALSE), IFERROR(VLOOKUP($A687,'ABB ExDa'!$A$2:$N$184, 0,FALSE), IFERROR(VLOOKUP($A687,'Vocus SIT ExDa'!$B$2:$J$173, 0,FALSE), IFERROR(VLOOKUP($A687,'Telstra ExDa'!$B$2:$K$310, 0,FALSE), IFERROR(VLOOKUP($A687,'Vocus RVC ExDa'!$C$2:$R$155, 0,FALSE), IFERROR(VLOOKUP($A687,'Fusion ExDa'!$B$2:$D$16, 0,FALSE), IFERROR(VLOOKUP($A687,'Exetel ExDa'!$C$2:$N$14, 11,FALSE), IFERROR(VLOOKUP($A687,'Infinet ExDa'!$B$2:$E$14, 0,FALSE), "Not Found"))))))))</f>
        <v>Not Found</v>
      </c>
      <c r="N687" t="str">
        <f>IFERROR(VLOOKUP($A687,'AAPT ExDa'!$B$2:$U$99, 0,FALSE), IFERROR(VLOOKUP($A687,'ABB ExDa'!$A$2:$N$184, 13,FALSE), IFERROR(VLOOKUP($A687,'Vocus SIT ExDa'!$B$2:$J$173, 0,FALSE), IFERROR(VLOOKUP($A687,'Telstra ExDa'!$B$2:$K$310, 0,FALSE), IFERROR(VLOOKUP($A687,'Vocus RVC ExDa'!$C$2:$R$155, 0,FALSE), IFERROR(VLOOKUP($A687,'Fusion ExDa'!$B$2:$D$16, 0,FALSE), IFERROR(VLOOKUP($A687,'Exetel ExDa'!$C$2:$N$14, 0,FALSE), IFERROR(VLOOKUP($A687,'Infinet ExDa'!$B$2:$E$14, 0,FALSE), "Not Found"))))))))</f>
        <v>Not Found</v>
      </c>
    </row>
    <row r="688" spans="1:14">
      <c r="A688">
        <v>0</v>
      </c>
      <c r="B688" t="str">
        <f>IFERROR(VLOOKUP(A688,'Exetel ExDa'!$C$2:$N$14,4,FALSE),"No Data")</f>
        <v>No Data</v>
      </c>
      <c r="C688" t="str">
        <f>IFERROR(VLOOKUP(A688,'AAPT ExDa'!$B$2:$U$99, 2,FALSE), IFERROR(VLOOKUP(A688,'ABB ExDa'!$A$2:$N$184, 2,FALSE), IFERROR(VLOOKUP(A688,'Vocus SIT ExDa'!$B$2:$J$173, 7,FALSE), IFERROR(VLOOKUP(A688,'Telstra ExDa'!$B$2:$K$310, 2,FALSE), IFERROR(VLOOKUP(A688,'Vocus RVC ExDa'!$C$2:$R$155, 3,FALSE), IFERROR(VLOOKUP(A688,'Fusion ExDa'!$B$2:$D$16, 2,FALSE), IFERROR(VLOOKUP(A688,'Exetel ExDa'!$C$2:$N$14, 2,FALSE), IFERROR(VLOOKUP(A688,'Infinet ExDa'!$B$2:$E$14, 2,FALSE), "Not Found"))))))))</f>
        <v>Not Found</v>
      </c>
      <c r="D688" t="str">
        <f>IFERROR(VLOOKUP($A688,'AAPT ExDa'!$B$2:$U$99, 15,FALSE), IFERROR(VLOOKUP($A688,'ABB ExDa'!$A$2:$N$184, 4,FALSE), IFERROR(VLOOKUP($A688,'Vocus SIT ExDa'!$B$2:$J$173, 5,FALSE), IFERROR(VLOOKUP($A688,'Telstra ExDa'!$B$2:$K$310, 8,FALSE), IFERROR(VLOOKUP($A688,'Vocus RVC ExDa'!$C$2:$R$155, 6,FALSE), IFERROR(VLOOKUP($A688,'Fusion ExDa'!$B$2:$D$16, 4,FALSE), IFERROR(VLOOKUP($A688,'Exetel ExDa'!$C$2:$N$14, 3,FALSE), IFERROR(VLOOKUP($A688,'Infinet ExDa'!$B$2:$E$14, 3,FALSE), "Not Found"))))))))</f>
        <v>Not Found</v>
      </c>
      <c r="E688" t="str">
        <f>IFERROR(VLOOKUP($A688,'AAPT ExDa'!$B$2:$U$99, 3,FALSE), IFERROR(VLOOKUP($A688,'ABB ExDa'!$A$2:$N$184, 5,FALSE), IFERROR(VLOOKUP($A688,'Vocus SIT ExDa'!$B$2:$J$173, 2,FALSE), IFERROR(VLOOKUP($A688,'Telstra ExDa'!$B$2:$K$310, 4,FALSE), IFERROR(VLOOKUP($A688,'Vocus RVC ExDa'!$C$2:$R$155, 8,FALSE), IFERROR(VLOOKUP($A688,'Fusion ExDa'!$B$2:$D$16, 4,FALSE), IFERROR(VLOOKUP($A688,'Exetel ExDa'!$C$2:$N$14, 5,FALSE), IFERROR(VLOOKUP($A688,'Infinet ExDa'!$B$2:$E$14, 3,FALSE), "Not Found"))))))))</f>
        <v>Not Found</v>
      </c>
      <c r="F688" t="str">
        <f>IFERROR(VLOOKUP($A688,'AAPT ExDa'!$B$2:$U$99, 4,FALSE), IFERROR(VLOOKUP($A688,'ABB ExDa'!$A$2:$N$184, 6,FALSE), IFERROR(VLOOKUP($A688,'Vocus SIT ExDa'!$B$2:$J$173, 3,FALSE), IFERROR(VLOOKUP($A688,'Telstra ExDa'!$B$2:$K$310, 5,FALSE), IFERROR(VLOOKUP($A688,'Vocus RVC ExDa'!$C$2:$R$155, 9,FALSE), IFERROR(VLOOKUP($A688,'Fusion ExDa'!$B$2:$D$16, 0,FALSE), IFERROR(VLOOKUP($A688,'Exetel ExDa'!$C$2:$N$14, 6,FALSE), IFERROR(VLOOKUP($A688,'Infinet ExDa'!$B$2:$E$14, 0,FALSE), "Not Found"))))))))</f>
        <v>Not Found</v>
      </c>
      <c r="G688" t="str">
        <f>IFERROR(VLOOKUP($A688,'AAPT ExDa'!$B$2:$U$99, 5,FALSE), IFERROR(VLOOKUP($A688,'ABB ExDa'!$A$2:$N$184, 8,FALSE), IFERROR(VLOOKUP($A688,'Vocus SIT ExDa'!$B$2:$J$173, 6,FALSE), IFERROR(VLOOKUP($A688,'Telstra ExDa'!$B$2:$K$310, 0,FALSE), IFERROR(VLOOKUP($A688,'Vocus RVC ExDa'!$C$2:$R$155, 15,FALSE), IFERROR(VLOOKUP($A688,'Fusion ExDa'!$B$2:$D$16, 0,FALSE), IFERROR(VLOOKUP($A688,'Exetel ExDa'!$C$2:$N$14, 7,FALSE), IFERROR(VLOOKUP($A688,'Infinet ExDa'!$B$2:$E$14, 0,FALSE), "Not Found"))))))))</f>
        <v>Not Found</v>
      </c>
      <c r="H688" t="str">
        <f>IFERROR(VLOOKUP($A688,'AAPT ExDa'!$B$2:$U$99, 6,FALSE), IFERROR(VLOOKUP($A688,'ABB ExDa'!$A$2:$N$184, 0,FALSE), IFERROR(VLOOKUP($A688,'Vocus SIT ExDa'!$B$2:$J$173, 0,FALSE), IFERROR(VLOOKUP($A688,'Telstra ExDa'!$B$2:$K$310, 0,FALSE), IFERROR(VLOOKUP($A688,'Vocus RVC ExDa'!$C$2:$R$155, 16,FALSE), IFERROR(VLOOKUP($A688,'Fusion ExDa'!$B$2:$D$16, 0,FALSE), IFERROR(VLOOKUP($A688,'Exetel ExDa'!$C$2:$N$14, 0,FALSE), IFERROR(VLOOKUP($A688,'Infinet ExDa'!$B$2:$E$14, 0,FALSE), "Not Found"))))))))</f>
        <v>Not Found</v>
      </c>
      <c r="I688" t="str">
        <f>IFERROR(VLOOKUP($A688,'AAPT ExDa'!$B$2:$U$99, 0,FALSE), IFERROR(VLOOKUP($A688,'ABB ExDa'!$A$2:$N$184, 0,FALSE), IFERROR(VLOOKUP($A688,'Vocus SIT ExDa'!$B$2:$J$173, 0,FALSE), IFERROR(VLOOKUP($A688,'Telstra ExDa'!$B$2:$K$310, 0,FALSE), IFERROR(VLOOKUP($A688,'Vocus RVC ExDa'!$C$2:$R$155, 0,FALSE), IFERROR(VLOOKUP($A688,'Fusion ExDa'!$B$2:$D$16, 0,FALSE), IFERROR(VLOOKUP($A688,'Exetel ExDa'!$C$2:$N$14, 8,FALSE), IFERROR(VLOOKUP($A688,'Infinet ExDa'!$B$2:$E$14, 0,FALSE), "Not Found"))))))))</f>
        <v>Not Found</v>
      </c>
      <c r="J688" t="str">
        <f>IFERROR(VLOOKUP($A688,'AAPT ExDa'!$B$2:$U$99, 7,FALSE), IFERROR(VLOOKUP($A688,'ABB ExDa'!$A$2:$N$184, 2,FALSE), IFERROR(VLOOKUP($A688,'Vocus SIT ExDa'!$B$2:$J$173, 0,FALSE), IFERROR(VLOOKUP($A688,'Telstra ExDa'!$B$2:$K$310, 7,FALSE), IFERROR(VLOOKUP($A688,'Vocus RVC ExDa'!$C$2:$R$155, 2,FALSE), IFERROR(VLOOKUP($A688,'Fusion ExDa'!$B$2:$D$16, 3,FALSE), IFERROR(VLOOKUP($A688,'Exetel ExDa'!$C$2:$N$14, 0,FALSE), IFERROR(VLOOKUP($A688,'Infinet ExDa'!$B$2:$E$14, 0,FALSE), "Not Found"))))))))</f>
        <v>Not Found</v>
      </c>
      <c r="K688" t="str">
        <f>IFERROR(VLOOKUP($A688,'AAPT ExDa'!$B$2:$U$99, 12,FALSE), IFERROR(VLOOKUP($A688,'ABB ExDa'!$A$2:$N$184, 0,FALSE), IFERROR(VLOOKUP($A688,'Vocus SIT ExDa'!$B$2:$J$173, 0,FALSE), IFERROR(VLOOKUP($A688,'Telstra ExDa'!$B$2:$K$310, 0,FALSE), IFERROR(VLOOKUP($A688,'Vocus RVC ExDa'!$C$2:$R$155, 0,FALSE), IFERROR(VLOOKUP($A688,'Fusion ExDa'!$B$2:$D$16, 0,FALSE), IFERROR(VLOOKUP($A688,'Exetel ExDa'!$C$2:$N$14, 12,FALSE), IFERROR(VLOOKUP($A688,'Infinet ExDa'!$B$2:$E$14, 0,FALSE), "Not Found"))))))))</f>
        <v>Not Found</v>
      </c>
      <c r="L688" s="235" t="str">
        <f>IFERROR(VLOOKUP($A688,'AAPT ExDa'!$B$2:$U$99, 11,FALSE), IFERROR(VLOOKUP($A688,'ABB ExDa'!$A$2:$N$184, 9,FALSE), IFERROR(VLOOKUP($A688,'Vocus SIT ExDa'!$B$2:$J$173, 8,FALSE), IFERROR(VLOOKUP($A688,'Telstra ExDa'!$B$2:$K$310, 0,FALSE), IFERROR(VLOOKUP($A688,'Vocus RVC ExDa'!$C$2:$R$155, 0,FALSE), IFERROR(VLOOKUP($A688,'Fusion ExDa'!$B$2:$D$16, 0,FALSE), IFERROR(VLOOKUP($A688,'Exetel ExDa'!$C$2:$N$14, 9,FALSE), IFERROR(VLOOKUP($A688,'Infinet ExDa'!$B$2:$E$14, 0,FALSE), "Not Found"))))))))</f>
        <v>Not Found</v>
      </c>
      <c r="M688" s="234" t="str">
        <f>IFERROR(VLOOKUP($A688,'AAPT ExDa'!$B$2:$U$99, 0,FALSE), IFERROR(VLOOKUP($A688,'ABB ExDa'!$A$2:$N$184, 0,FALSE), IFERROR(VLOOKUP($A688,'Vocus SIT ExDa'!$B$2:$J$173, 0,FALSE), IFERROR(VLOOKUP($A688,'Telstra ExDa'!$B$2:$K$310, 0,FALSE), IFERROR(VLOOKUP($A688,'Vocus RVC ExDa'!$C$2:$R$155, 0,FALSE), IFERROR(VLOOKUP($A688,'Fusion ExDa'!$B$2:$D$16, 0,FALSE), IFERROR(VLOOKUP($A688,'Exetel ExDa'!$C$2:$N$14, 11,FALSE), IFERROR(VLOOKUP($A688,'Infinet ExDa'!$B$2:$E$14, 0,FALSE), "Not Found"))))))))</f>
        <v>Not Found</v>
      </c>
      <c r="N688" t="str">
        <f>IFERROR(VLOOKUP($A688,'AAPT ExDa'!$B$2:$U$99, 0,FALSE), IFERROR(VLOOKUP($A688,'ABB ExDa'!$A$2:$N$184, 13,FALSE), IFERROR(VLOOKUP($A688,'Vocus SIT ExDa'!$B$2:$J$173, 0,FALSE), IFERROR(VLOOKUP($A688,'Telstra ExDa'!$B$2:$K$310, 0,FALSE), IFERROR(VLOOKUP($A688,'Vocus RVC ExDa'!$C$2:$R$155, 0,FALSE), IFERROR(VLOOKUP($A688,'Fusion ExDa'!$B$2:$D$16, 0,FALSE), IFERROR(VLOOKUP($A688,'Exetel ExDa'!$C$2:$N$14, 0,FALSE), IFERROR(VLOOKUP($A688,'Infinet ExDa'!$B$2:$E$14, 0,FALSE), "Not Found"))))))))</f>
        <v>Not Found</v>
      </c>
    </row>
    <row r="689" spans="1:14">
      <c r="A689">
        <v>0</v>
      </c>
      <c r="B689" t="str">
        <f>IFERROR(VLOOKUP(A689,'Exetel ExDa'!$C$2:$N$14,4,FALSE),"No Data")</f>
        <v>No Data</v>
      </c>
      <c r="C689" t="str">
        <f>IFERROR(VLOOKUP(A689,'AAPT ExDa'!$B$2:$U$99, 2,FALSE), IFERROR(VLOOKUP(A689,'ABB ExDa'!$A$2:$N$184, 2,FALSE), IFERROR(VLOOKUP(A689,'Vocus SIT ExDa'!$B$2:$J$173, 7,FALSE), IFERROR(VLOOKUP(A689,'Telstra ExDa'!$B$2:$K$310, 2,FALSE), IFERROR(VLOOKUP(A689,'Vocus RVC ExDa'!$C$2:$R$155, 3,FALSE), IFERROR(VLOOKUP(A689,'Fusion ExDa'!$B$2:$D$16, 2,FALSE), IFERROR(VLOOKUP(A689,'Exetel ExDa'!$C$2:$N$14, 2,FALSE), IFERROR(VLOOKUP(A689,'Infinet ExDa'!$B$2:$E$14, 2,FALSE), "Not Found"))))))))</f>
        <v>Not Found</v>
      </c>
      <c r="D689" t="str">
        <f>IFERROR(VLOOKUP($A689,'AAPT ExDa'!$B$2:$U$99, 15,FALSE), IFERROR(VLOOKUP($A689,'ABB ExDa'!$A$2:$N$184, 4,FALSE), IFERROR(VLOOKUP($A689,'Vocus SIT ExDa'!$B$2:$J$173, 5,FALSE), IFERROR(VLOOKUP($A689,'Telstra ExDa'!$B$2:$K$310, 8,FALSE), IFERROR(VLOOKUP($A689,'Vocus RVC ExDa'!$C$2:$R$155, 6,FALSE), IFERROR(VLOOKUP($A689,'Fusion ExDa'!$B$2:$D$16, 4,FALSE), IFERROR(VLOOKUP($A689,'Exetel ExDa'!$C$2:$N$14, 3,FALSE), IFERROR(VLOOKUP($A689,'Infinet ExDa'!$B$2:$E$14, 3,FALSE), "Not Found"))))))))</f>
        <v>Not Found</v>
      </c>
      <c r="E689" t="str">
        <f>IFERROR(VLOOKUP($A689,'AAPT ExDa'!$B$2:$U$99, 3,FALSE), IFERROR(VLOOKUP($A689,'ABB ExDa'!$A$2:$N$184, 5,FALSE), IFERROR(VLOOKUP($A689,'Vocus SIT ExDa'!$B$2:$J$173, 2,FALSE), IFERROR(VLOOKUP($A689,'Telstra ExDa'!$B$2:$K$310, 4,FALSE), IFERROR(VLOOKUP($A689,'Vocus RVC ExDa'!$C$2:$R$155, 8,FALSE), IFERROR(VLOOKUP($A689,'Fusion ExDa'!$B$2:$D$16, 4,FALSE), IFERROR(VLOOKUP($A689,'Exetel ExDa'!$C$2:$N$14, 5,FALSE), IFERROR(VLOOKUP($A689,'Infinet ExDa'!$B$2:$E$14, 3,FALSE), "Not Found"))))))))</f>
        <v>Not Found</v>
      </c>
      <c r="F689" t="str">
        <f>IFERROR(VLOOKUP($A689,'AAPT ExDa'!$B$2:$U$99, 4,FALSE), IFERROR(VLOOKUP($A689,'ABB ExDa'!$A$2:$N$184, 6,FALSE), IFERROR(VLOOKUP($A689,'Vocus SIT ExDa'!$B$2:$J$173, 3,FALSE), IFERROR(VLOOKUP($A689,'Telstra ExDa'!$B$2:$K$310, 5,FALSE), IFERROR(VLOOKUP($A689,'Vocus RVC ExDa'!$C$2:$R$155, 9,FALSE), IFERROR(VLOOKUP($A689,'Fusion ExDa'!$B$2:$D$16, 0,FALSE), IFERROR(VLOOKUP($A689,'Exetel ExDa'!$C$2:$N$14, 6,FALSE), IFERROR(VLOOKUP($A689,'Infinet ExDa'!$B$2:$E$14, 0,FALSE), "Not Found"))))))))</f>
        <v>Not Found</v>
      </c>
      <c r="G689" t="str">
        <f>IFERROR(VLOOKUP($A689,'AAPT ExDa'!$B$2:$U$99, 5,FALSE), IFERROR(VLOOKUP($A689,'ABB ExDa'!$A$2:$N$184, 8,FALSE), IFERROR(VLOOKUP($A689,'Vocus SIT ExDa'!$B$2:$J$173, 6,FALSE), IFERROR(VLOOKUP($A689,'Telstra ExDa'!$B$2:$K$310, 0,FALSE), IFERROR(VLOOKUP($A689,'Vocus RVC ExDa'!$C$2:$R$155, 15,FALSE), IFERROR(VLOOKUP($A689,'Fusion ExDa'!$B$2:$D$16, 0,FALSE), IFERROR(VLOOKUP($A689,'Exetel ExDa'!$C$2:$N$14, 7,FALSE), IFERROR(VLOOKUP($A689,'Infinet ExDa'!$B$2:$E$14, 0,FALSE), "Not Found"))))))))</f>
        <v>Not Found</v>
      </c>
      <c r="H689" t="str">
        <f>IFERROR(VLOOKUP($A689,'AAPT ExDa'!$B$2:$U$99, 6,FALSE), IFERROR(VLOOKUP($A689,'ABB ExDa'!$A$2:$N$184, 0,FALSE), IFERROR(VLOOKUP($A689,'Vocus SIT ExDa'!$B$2:$J$173, 0,FALSE), IFERROR(VLOOKUP($A689,'Telstra ExDa'!$B$2:$K$310, 0,FALSE), IFERROR(VLOOKUP($A689,'Vocus RVC ExDa'!$C$2:$R$155, 16,FALSE), IFERROR(VLOOKUP($A689,'Fusion ExDa'!$B$2:$D$16, 0,FALSE), IFERROR(VLOOKUP($A689,'Exetel ExDa'!$C$2:$N$14, 0,FALSE), IFERROR(VLOOKUP($A689,'Infinet ExDa'!$B$2:$E$14, 0,FALSE), "Not Found"))))))))</f>
        <v>Not Found</v>
      </c>
      <c r="I689" t="str">
        <f>IFERROR(VLOOKUP($A689,'AAPT ExDa'!$B$2:$U$99, 0,FALSE), IFERROR(VLOOKUP($A689,'ABB ExDa'!$A$2:$N$184, 0,FALSE), IFERROR(VLOOKUP($A689,'Vocus SIT ExDa'!$B$2:$J$173, 0,FALSE), IFERROR(VLOOKUP($A689,'Telstra ExDa'!$B$2:$K$310, 0,FALSE), IFERROR(VLOOKUP($A689,'Vocus RVC ExDa'!$C$2:$R$155, 0,FALSE), IFERROR(VLOOKUP($A689,'Fusion ExDa'!$B$2:$D$16, 0,FALSE), IFERROR(VLOOKUP($A689,'Exetel ExDa'!$C$2:$N$14, 8,FALSE), IFERROR(VLOOKUP($A689,'Infinet ExDa'!$B$2:$E$14, 0,FALSE), "Not Found"))))))))</f>
        <v>Not Found</v>
      </c>
      <c r="J689" t="str">
        <f>IFERROR(VLOOKUP($A689,'AAPT ExDa'!$B$2:$U$99, 7,FALSE), IFERROR(VLOOKUP($A689,'ABB ExDa'!$A$2:$N$184, 2,FALSE), IFERROR(VLOOKUP($A689,'Vocus SIT ExDa'!$B$2:$J$173, 0,FALSE), IFERROR(VLOOKUP($A689,'Telstra ExDa'!$B$2:$K$310, 7,FALSE), IFERROR(VLOOKUP($A689,'Vocus RVC ExDa'!$C$2:$R$155, 2,FALSE), IFERROR(VLOOKUP($A689,'Fusion ExDa'!$B$2:$D$16, 3,FALSE), IFERROR(VLOOKUP($A689,'Exetel ExDa'!$C$2:$N$14, 0,FALSE), IFERROR(VLOOKUP($A689,'Infinet ExDa'!$B$2:$E$14, 0,FALSE), "Not Found"))))))))</f>
        <v>Not Found</v>
      </c>
      <c r="K689" t="str">
        <f>IFERROR(VLOOKUP($A689,'AAPT ExDa'!$B$2:$U$99, 12,FALSE), IFERROR(VLOOKUP($A689,'ABB ExDa'!$A$2:$N$184, 0,FALSE), IFERROR(VLOOKUP($A689,'Vocus SIT ExDa'!$B$2:$J$173, 0,FALSE), IFERROR(VLOOKUP($A689,'Telstra ExDa'!$B$2:$K$310, 0,FALSE), IFERROR(VLOOKUP($A689,'Vocus RVC ExDa'!$C$2:$R$155, 0,FALSE), IFERROR(VLOOKUP($A689,'Fusion ExDa'!$B$2:$D$16, 0,FALSE), IFERROR(VLOOKUP($A689,'Exetel ExDa'!$C$2:$N$14, 12,FALSE), IFERROR(VLOOKUP($A689,'Infinet ExDa'!$B$2:$E$14, 0,FALSE), "Not Found"))))))))</f>
        <v>Not Found</v>
      </c>
      <c r="L689" s="235" t="str">
        <f>IFERROR(VLOOKUP($A689,'AAPT ExDa'!$B$2:$U$99, 11,FALSE), IFERROR(VLOOKUP($A689,'ABB ExDa'!$A$2:$N$184, 9,FALSE), IFERROR(VLOOKUP($A689,'Vocus SIT ExDa'!$B$2:$J$173, 8,FALSE), IFERROR(VLOOKUP($A689,'Telstra ExDa'!$B$2:$K$310, 0,FALSE), IFERROR(VLOOKUP($A689,'Vocus RVC ExDa'!$C$2:$R$155, 0,FALSE), IFERROR(VLOOKUP($A689,'Fusion ExDa'!$B$2:$D$16, 0,FALSE), IFERROR(VLOOKUP($A689,'Exetel ExDa'!$C$2:$N$14, 9,FALSE), IFERROR(VLOOKUP($A689,'Infinet ExDa'!$B$2:$E$14, 0,FALSE), "Not Found"))))))))</f>
        <v>Not Found</v>
      </c>
      <c r="M689" s="234" t="str">
        <f>IFERROR(VLOOKUP($A689,'AAPT ExDa'!$B$2:$U$99, 0,FALSE), IFERROR(VLOOKUP($A689,'ABB ExDa'!$A$2:$N$184, 0,FALSE), IFERROR(VLOOKUP($A689,'Vocus SIT ExDa'!$B$2:$J$173, 0,FALSE), IFERROR(VLOOKUP($A689,'Telstra ExDa'!$B$2:$K$310, 0,FALSE), IFERROR(VLOOKUP($A689,'Vocus RVC ExDa'!$C$2:$R$155, 0,FALSE), IFERROR(VLOOKUP($A689,'Fusion ExDa'!$B$2:$D$16, 0,FALSE), IFERROR(VLOOKUP($A689,'Exetel ExDa'!$C$2:$N$14, 11,FALSE), IFERROR(VLOOKUP($A689,'Infinet ExDa'!$B$2:$E$14, 0,FALSE), "Not Found"))))))))</f>
        <v>Not Found</v>
      </c>
      <c r="N689" t="str">
        <f>IFERROR(VLOOKUP($A689,'AAPT ExDa'!$B$2:$U$99, 0,FALSE), IFERROR(VLOOKUP($A689,'ABB ExDa'!$A$2:$N$184, 13,FALSE), IFERROR(VLOOKUP($A689,'Vocus SIT ExDa'!$B$2:$J$173, 0,FALSE), IFERROR(VLOOKUP($A689,'Telstra ExDa'!$B$2:$K$310, 0,FALSE), IFERROR(VLOOKUP($A689,'Vocus RVC ExDa'!$C$2:$R$155, 0,FALSE), IFERROR(VLOOKUP($A689,'Fusion ExDa'!$B$2:$D$16, 0,FALSE), IFERROR(VLOOKUP($A689,'Exetel ExDa'!$C$2:$N$14, 0,FALSE), IFERROR(VLOOKUP($A689,'Infinet ExDa'!$B$2:$E$14, 0,FALSE), "Not Found"))))))))</f>
        <v>Not Found</v>
      </c>
    </row>
    <row r="690" spans="1:14">
      <c r="A690">
        <v>0</v>
      </c>
      <c r="B690" t="str">
        <f>IFERROR(VLOOKUP(A690,'Exetel ExDa'!$C$2:$N$14,4,FALSE),"No Data")</f>
        <v>No Data</v>
      </c>
      <c r="C690" t="str">
        <f>IFERROR(VLOOKUP(A690,'AAPT ExDa'!$B$2:$U$99, 2,FALSE), IFERROR(VLOOKUP(A690,'ABB ExDa'!$A$2:$N$184, 2,FALSE), IFERROR(VLOOKUP(A690,'Vocus SIT ExDa'!$B$2:$J$173, 7,FALSE), IFERROR(VLOOKUP(A690,'Telstra ExDa'!$B$2:$K$310, 2,FALSE), IFERROR(VLOOKUP(A690,'Vocus RVC ExDa'!$C$2:$R$155, 3,FALSE), IFERROR(VLOOKUP(A690,'Fusion ExDa'!$B$2:$D$16, 2,FALSE), IFERROR(VLOOKUP(A690,'Exetel ExDa'!$C$2:$N$14, 2,FALSE), IFERROR(VLOOKUP(A690,'Infinet ExDa'!$B$2:$E$14, 2,FALSE), "Not Found"))))))))</f>
        <v>Not Found</v>
      </c>
      <c r="D690" t="str">
        <f>IFERROR(VLOOKUP($A690,'AAPT ExDa'!$B$2:$U$99, 15,FALSE), IFERROR(VLOOKUP($A690,'ABB ExDa'!$A$2:$N$184, 4,FALSE), IFERROR(VLOOKUP($A690,'Vocus SIT ExDa'!$B$2:$J$173, 5,FALSE), IFERROR(VLOOKUP($A690,'Telstra ExDa'!$B$2:$K$310, 8,FALSE), IFERROR(VLOOKUP($A690,'Vocus RVC ExDa'!$C$2:$R$155, 6,FALSE), IFERROR(VLOOKUP($A690,'Fusion ExDa'!$B$2:$D$16, 4,FALSE), IFERROR(VLOOKUP($A690,'Exetel ExDa'!$C$2:$N$14, 3,FALSE), IFERROR(VLOOKUP($A690,'Infinet ExDa'!$B$2:$E$14, 3,FALSE), "Not Found"))))))))</f>
        <v>Not Found</v>
      </c>
      <c r="E690" t="str">
        <f>IFERROR(VLOOKUP($A690,'AAPT ExDa'!$B$2:$U$99, 3,FALSE), IFERROR(VLOOKUP($A690,'ABB ExDa'!$A$2:$N$184, 5,FALSE), IFERROR(VLOOKUP($A690,'Vocus SIT ExDa'!$B$2:$J$173, 2,FALSE), IFERROR(VLOOKUP($A690,'Telstra ExDa'!$B$2:$K$310, 4,FALSE), IFERROR(VLOOKUP($A690,'Vocus RVC ExDa'!$C$2:$R$155, 8,FALSE), IFERROR(VLOOKUP($A690,'Fusion ExDa'!$B$2:$D$16, 4,FALSE), IFERROR(VLOOKUP($A690,'Exetel ExDa'!$C$2:$N$14, 5,FALSE), IFERROR(VLOOKUP($A690,'Infinet ExDa'!$B$2:$E$14, 3,FALSE), "Not Found"))))))))</f>
        <v>Not Found</v>
      </c>
      <c r="F690" t="str">
        <f>IFERROR(VLOOKUP($A690,'AAPT ExDa'!$B$2:$U$99, 4,FALSE), IFERROR(VLOOKUP($A690,'ABB ExDa'!$A$2:$N$184, 6,FALSE), IFERROR(VLOOKUP($A690,'Vocus SIT ExDa'!$B$2:$J$173, 3,FALSE), IFERROR(VLOOKUP($A690,'Telstra ExDa'!$B$2:$K$310, 5,FALSE), IFERROR(VLOOKUP($A690,'Vocus RVC ExDa'!$C$2:$R$155, 9,FALSE), IFERROR(VLOOKUP($A690,'Fusion ExDa'!$B$2:$D$16, 0,FALSE), IFERROR(VLOOKUP($A690,'Exetel ExDa'!$C$2:$N$14, 6,FALSE), IFERROR(VLOOKUP($A690,'Infinet ExDa'!$B$2:$E$14, 0,FALSE), "Not Found"))))))))</f>
        <v>Not Found</v>
      </c>
      <c r="G690" t="str">
        <f>IFERROR(VLOOKUP($A690,'AAPT ExDa'!$B$2:$U$99, 5,FALSE), IFERROR(VLOOKUP($A690,'ABB ExDa'!$A$2:$N$184, 8,FALSE), IFERROR(VLOOKUP($A690,'Vocus SIT ExDa'!$B$2:$J$173, 6,FALSE), IFERROR(VLOOKUP($A690,'Telstra ExDa'!$B$2:$K$310, 0,FALSE), IFERROR(VLOOKUP($A690,'Vocus RVC ExDa'!$C$2:$R$155, 15,FALSE), IFERROR(VLOOKUP($A690,'Fusion ExDa'!$B$2:$D$16, 0,FALSE), IFERROR(VLOOKUP($A690,'Exetel ExDa'!$C$2:$N$14, 7,FALSE), IFERROR(VLOOKUP($A690,'Infinet ExDa'!$B$2:$E$14, 0,FALSE), "Not Found"))))))))</f>
        <v>Not Found</v>
      </c>
      <c r="H690" t="str">
        <f>IFERROR(VLOOKUP($A690,'AAPT ExDa'!$B$2:$U$99, 6,FALSE), IFERROR(VLOOKUP($A690,'ABB ExDa'!$A$2:$N$184, 0,FALSE), IFERROR(VLOOKUP($A690,'Vocus SIT ExDa'!$B$2:$J$173, 0,FALSE), IFERROR(VLOOKUP($A690,'Telstra ExDa'!$B$2:$K$310, 0,FALSE), IFERROR(VLOOKUP($A690,'Vocus RVC ExDa'!$C$2:$R$155, 16,FALSE), IFERROR(VLOOKUP($A690,'Fusion ExDa'!$B$2:$D$16, 0,FALSE), IFERROR(VLOOKUP($A690,'Exetel ExDa'!$C$2:$N$14, 0,FALSE), IFERROR(VLOOKUP($A690,'Infinet ExDa'!$B$2:$E$14, 0,FALSE), "Not Found"))))))))</f>
        <v>Not Found</v>
      </c>
      <c r="I690" t="str">
        <f>IFERROR(VLOOKUP($A690,'AAPT ExDa'!$B$2:$U$99, 0,FALSE), IFERROR(VLOOKUP($A690,'ABB ExDa'!$A$2:$N$184, 0,FALSE), IFERROR(VLOOKUP($A690,'Vocus SIT ExDa'!$B$2:$J$173, 0,FALSE), IFERROR(VLOOKUP($A690,'Telstra ExDa'!$B$2:$K$310, 0,FALSE), IFERROR(VLOOKUP($A690,'Vocus RVC ExDa'!$C$2:$R$155, 0,FALSE), IFERROR(VLOOKUP($A690,'Fusion ExDa'!$B$2:$D$16, 0,FALSE), IFERROR(VLOOKUP($A690,'Exetel ExDa'!$C$2:$N$14, 8,FALSE), IFERROR(VLOOKUP($A690,'Infinet ExDa'!$B$2:$E$14, 0,FALSE), "Not Found"))))))))</f>
        <v>Not Found</v>
      </c>
      <c r="J690" t="str">
        <f>IFERROR(VLOOKUP($A690,'AAPT ExDa'!$B$2:$U$99, 7,FALSE), IFERROR(VLOOKUP($A690,'ABB ExDa'!$A$2:$N$184, 2,FALSE), IFERROR(VLOOKUP($A690,'Vocus SIT ExDa'!$B$2:$J$173, 0,FALSE), IFERROR(VLOOKUP($A690,'Telstra ExDa'!$B$2:$K$310, 7,FALSE), IFERROR(VLOOKUP($A690,'Vocus RVC ExDa'!$C$2:$R$155, 2,FALSE), IFERROR(VLOOKUP($A690,'Fusion ExDa'!$B$2:$D$16, 3,FALSE), IFERROR(VLOOKUP($A690,'Exetel ExDa'!$C$2:$N$14, 0,FALSE), IFERROR(VLOOKUP($A690,'Infinet ExDa'!$B$2:$E$14, 0,FALSE), "Not Found"))))))))</f>
        <v>Not Found</v>
      </c>
      <c r="K690" t="str">
        <f>IFERROR(VLOOKUP($A690,'AAPT ExDa'!$B$2:$U$99, 12,FALSE), IFERROR(VLOOKUP($A690,'ABB ExDa'!$A$2:$N$184, 0,FALSE), IFERROR(VLOOKUP($A690,'Vocus SIT ExDa'!$B$2:$J$173, 0,FALSE), IFERROR(VLOOKUP($A690,'Telstra ExDa'!$B$2:$K$310, 0,FALSE), IFERROR(VLOOKUP($A690,'Vocus RVC ExDa'!$C$2:$R$155, 0,FALSE), IFERROR(VLOOKUP($A690,'Fusion ExDa'!$B$2:$D$16, 0,FALSE), IFERROR(VLOOKUP($A690,'Exetel ExDa'!$C$2:$N$14, 12,FALSE), IFERROR(VLOOKUP($A690,'Infinet ExDa'!$B$2:$E$14, 0,FALSE), "Not Found"))))))))</f>
        <v>Not Found</v>
      </c>
      <c r="L690" s="235" t="str">
        <f>IFERROR(VLOOKUP($A690,'AAPT ExDa'!$B$2:$U$99, 11,FALSE), IFERROR(VLOOKUP($A690,'ABB ExDa'!$A$2:$N$184, 9,FALSE), IFERROR(VLOOKUP($A690,'Vocus SIT ExDa'!$B$2:$J$173, 8,FALSE), IFERROR(VLOOKUP($A690,'Telstra ExDa'!$B$2:$K$310, 0,FALSE), IFERROR(VLOOKUP($A690,'Vocus RVC ExDa'!$C$2:$R$155, 0,FALSE), IFERROR(VLOOKUP($A690,'Fusion ExDa'!$B$2:$D$16, 0,FALSE), IFERROR(VLOOKUP($A690,'Exetel ExDa'!$C$2:$N$14, 9,FALSE), IFERROR(VLOOKUP($A690,'Infinet ExDa'!$B$2:$E$14, 0,FALSE), "Not Found"))))))))</f>
        <v>Not Found</v>
      </c>
      <c r="M690" s="234" t="str">
        <f>IFERROR(VLOOKUP($A690,'AAPT ExDa'!$B$2:$U$99, 0,FALSE), IFERROR(VLOOKUP($A690,'ABB ExDa'!$A$2:$N$184, 0,FALSE), IFERROR(VLOOKUP($A690,'Vocus SIT ExDa'!$B$2:$J$173, 0,FALSE), IFERROR(VLOOKUP($A690,'Telstra ExDa'!$B$2:$K$310, 0,FALSE), IFERROR(VLOOKUP($A690,'Vocus RVC ExDa'!$C$2:$R$155, 0,FALSE), IFERROR(VLOOKUP($A690,'Fusion ExDa'!$B$2:$D$16, 0,FALSE), IFERROR(VLOOKUP($A690,'Exetel ExDa'!$C$2:$N$14, 11,FALSE), IFERROR(VLOOKUP($A690,'Infinet ExDa'!$B$2:$E$14, 0,FALSE), "Not Found"))))))))</f>
        <v>Not Found</v>
      </c>
      <c r="N690" t="str">
        <f>IFERROR(VLOOKUP($A690,'AAPT ExDa'!$B$2:$U$99, 0,FALSE), IFERROR(VLOOKUP($A690,'ABB ExDa'!$A$2:$N$184, 13,FALSE), IFERROR(VLOOKUP($A690,'Vocus SIT ExDa'!$B$2:$J$173, 0,FALSE), IFERROR(VLOOKUP($A690,'Telstra ExDa'!$B$2:$K$310, 0,FALSE), IFERROR(VLOOKUP($A690,'Vocus RVC ExDa'!$C$2:$R$155, 0,FALSE), IFERROR(VLOOKUP($A690,'Fusion ExDa'!$B$2:$D$16, 0,FALSE), IFERROR(VLOOKUP($A690,'Exetel ExDa'!$C$2:$N$14, 0,FALSE), IFERROR(VLOOKUP($A690,'Infinet ExDa'!$B$2:$E$14, 0,FALSE), "Not Found"))))))))</f>
        <v>Not Found</v>
      </c>
    </row>
    <row r="691" spans="1:14">
      <c r="A691">
        <v>0</v>
      </c>
      <c r="B691" t="str">
        <f>IFERROR(VLOOKUP(A691,'Exetel ExDa'!$C$2:$N$14,4,FALSE),"No Data")</f>
        <v>No Data</v>
      </c>
      <c r="C691" t="str">
        <f>IFERROR(VLOOKUP(A691,'AAPT ExDa'!$B$2:$U$99, 2,FALSE), IFERROR(VLOOKUP(A691,'ABB ExDa'!$A$2:$N$184, 2,FALSE), IFERROR(VLOOKUP(A691,'Vocus SIT ExDa'!$B$2:$J$173, 7,FALSE), IFERROR(VLOOKUP(A691,'Telstra ExDa'!$B$2:$K$310, 2,FALSE), IFERROR(VLOOKUP(A691,'Vocus RVC ExDa'!$C$2:$R$155, 3,FALSE), IFERROR(VLOOKUP(A691,'Fusion ExDa'!$B$2:$D$16, 2,FALSE), IFERROR(VLOOKUP(A691,'Exetel ExDa'!$C$2:$N$14, 2,FALSE), IFERROR(VLOOKUP(A691,'Infinet ExDa'!$B$2:$E$14, 2,FALSE), "Not Found"))))))))</f>
        <v>Not Found</v>
      </c>
      <c r="D691" t="str">
        <f>IFERROR(VLOOKUP($A691,'AAPT ExDa'!$B$2:$U$99, 15,FALSE), IFERROR(VLOOKUP($A691,'ABB ExDa'!$A$2:$N$184, 4,FALSE), IFERROR(VLOOKUP($A691,'Vocus SIT ExDa'!$B$2:$J$173, 5,FALSE), IFERROR(VLOOKUP($A691,'Telstra ExDa'!$B$2:$K$310, 8,FALSE), IFERROR(VLOOKUP($A691,'Vocus RVC ExDa'!$C$2:$R$155, 6,FALSE), IFERROR(VLOOKUP($A691,'Fusion ExDa'!$B$2:$D$16, 4,FALSE), IFERROR(VLOOKUP($A691,'Exetel ExDa'!$C$2:$N$14, 3,FALSE), IFERROR(VLOOKUP($A691,'Infinet ExDa'!$B$2:$E$14, 3,FALSE), "Not Found"))))))))</f>
        <v>Not Found</v>
      </c>
      <c r="E691" t="str">
        <f>IFERROR(VLOOKUP($A691,'AAPT ExDa'!$B$2:$U$99, 3,FALSE), IFERROR(VLOOKUP($A691,'ABB ExDa'!$A$2:$N$184, 5,FALSE), IFERROR(VLOOKUP($A691,'Vocus SIT ExDa'!$B$2:$J$173, 2,FALSE), IFERROR(VLOOKUP($A691,'Telstra ExDa'!$B$2:$K$310, 4,FALSE), IFERROR(VLOOKUP($A691,'Vocus RVC ExDa'!$C$2:$R$155, 8,FALSE), IFERROR(VLOOKUP($A691,'Fusion ExDa'!$B$2:$D$16, 4,FALSE), IFERROR(VLOOKUP($A691,'Exetel ExDa'!$C$2:$N$14, 5,FALSE), IFERROR(VLOOKUP($A691,'Infinet ExDa'!$B$2:$E$14, 3,FALSE), "Not Found"))))))))</f>
        <v>Not Found</v>
      </c>
      <c r="F691" t="str">
        <f>IFERROR(VLOOKUP($A691,'AAPT ExDa'!$B$2:$U$99, 4,FALSE), IFERROR(VLOOKUP($A691,'ABB ExDa'!$A$2:$N$184, 6,FALSE), IFERROR(VLOOKUP($A691,'Vocus SIT ExDa'!$B$2:$J$173, 3,FALSE), IFERROR(VLOOKUP($A691,'Telstra ExDa'!$B$2:$K$310, 5,FALSE), IFERROR(VLOOKUP($A691,'Vocus RVC ExDa'!$C$2:$R$155, 9,FALSE), IFERROR(VLOOKUP($A691,'Fusion ExDa'!$B$2:$D$16, 0,FALSE), IFERROR(VLOOKUP($A691,'Exetel ExDa'!$C$2:$N$14, 6,FALSE), IFERROR(VLOOKUP($A691,'Infinet ExDa'!$B$2:$E$14, 0,FALSE), "Not Found"))))))))</f>
        <v>Not Found</v>
      </c>
      <c r="G691" t="str">
        <f>IFERROR(VLOOKUP($A691,'AAPT ExDa'!$B$2:$U$99, 5,FALSE), IFERROR(VLOOKUP($A691,'ABB ExDa'!$A$2:$N$184, 8,FALSE), IFERROR(VLOOKUP($A691,'Vocus SIT ExDa'!$B$2:$J$173, 6,FALSE), IFERROR(VLOOKUP($A691,'Telstra ExDa'!$B$2:$K$310, 0,FALSE), IFERROR(VLOOKUP($A691,'Vocus RVC ExDa'!$C$2:$R$155, 15,FALSE), IFERROR(VLOOKUP($A691,'Fusion ExDa'!$B$2:$D$16, 0,FALSE), IFERROR(VLOOKUP($A691,'Exetel ExDa'!$C$2:$N$14, 7,FALSE), IFERROR(VLOOKUP($A691,'Infinet ExDa'!$B$2:$E$14, 0,FALSE), "Not Found"))))))))</f>
        <v>Not Found</v>
      </c>
      <c r="H691" t="str">
        <f>IFERROR(VLOOKUP($A691,'AAPT ExDa'!$B$2:$U$99, 6,FALSE), IFERROR(VLOOKUP($A691,'ABB ExDa'!$A$2:$N$184, 0,FALSE), IFERROR(VLOOKUP($A691,'Vocus SIT ExDa'!$B$2:$J$173, 0,FALSE), IFERROR(VLOOKUP($A691,'Telstra ExDa'!$B$2:$K$310, 0,FALSE), IFERROR(VLOOKUP($A691,'Vocus RVC ExDa'!$C$2:$R$155, 16,FALSE), IFERROR(VLOOKUP($A691,'Fusion ExDa'!$B$2:$D$16, 0,FALSE), IFERROR(VLOOKUP($A691,'Exetel ExDa'!$C$2:$N$14, 0,FALSE), IFERROR(VLOOKUP($A691,'Infinet ExDa'!$B$2:$E$14, 0,FALSE), "Not Found"))))))))</f>
        <v>Not Found</v>
      </c>
      <c r="I691" t="str">
        <f>IFERROR(VLOOKUP($A691,'AAPT ExDa'!$B$2:$U$99, 0,FALSE), IFERROR(VLOOKUP($A691,'ABB ExDa'!$A$2:$N$184, 0,FALSE), IFERROR(VLOOKUP($A691,'Vocus SIT ExDa'!$B$2:$J$173, 0,FALSE), IFERROR(VLOOKUP($A691,'Telstra ExDa'!$B$2:$K$310, 0,FALSE), IFERROR(VLOOKUP($A691,'Vocus RVC ExDa'!$C$2:$R$155, 0,FALSE), IFERROR(VLOOKUP($A691,'Fusion ExDa'!$B$2:$D$16, 0,FALSE), IFERROR(VLOOKUP($A691,'Exetel ExDa'!$C$2:$N$14, 8,FALSE), IFERROR(VLOOKUP($A691,'Infinet ExDa'!$B$2:$E$14, 0,FALSE), "Not Found"))))))))</f>
        <v>Not Found</v>
      </c>
      <c r="J691" t="str">
        <f>IFERROR(VLOOKUP($A691,'AAPT ExDa'!$B$2:$U$99, 7,FALSE), IFERROR(VLOOKUP($A691,'ABB ExDa'!$A$2:$N$184, 2,FALSE), IFERROR(VLOOKUP($A691,'Vocus SIT ExDa'!$B$2:$J$173, 0,FALSE), IFERROR(VLOOKUP($A691,'Telstra ExDa'!$B$2:$K$310, 7,FALSE), IFERROR(VLOOKUP($A691,'Vocus RVC ExDa'!$C$2:$R$155, 2,FALSE), IFERROR(VLOOKUP($A691,'Fusion ExDa'!$B$2:$D$16, 3,FALSE), IFERROR(VLOOKUP($A691,'Exetel ExDa'!$C$2:$N$14, 0,FALSE), IFERROR(VLOOKUP($A691,'Infinet ExDa'!$B$2:$E$14, 0,FALSE), "Not Found"))))))))</f>
        <v>Not Found</v>
      </c>
      <c r="K691" t="str">
        <f>IFERROR(VLOOKUP($A691,'AAPT ExDa'!$B$2:$U$99, 12,FALSE), IFERROR(VLOOKUP($A691,'ABB ExDa'!$A$2:$N$184, 0,FALSE), IFERROR(VLOOKUP($A691,'Vocus SIT ExDa'!$B$2:$J$173, 0,FALSE), IFERROR(VLOOKUP($A691,'Telstra ExDa'!$B$2:$K$310, 0,FALSE), IFERROR(VLOOKUP($A691,'Vocus RVC ExDa'!$C$2:$R$155, 0,FALSE), IFERROR(VLOOKUP($A691,'Fusion ExDa'!$B$2:$D$16, 0,FALSE), IFERROR(VLOOKUP($A691,'Exetel ExDa'!$C$2:$N$14, 12,FALSE), IFERROR(VLOOKUP($A691,'Infinet ExDa'!$B$2:$E$14, 0,FALSE), "Not Found"))))))))</f>
        <v>Not Found</v>
      </c>
      <c r="L691" s="235" t="str">
        <f>IFERROR(VLOOKUP($A691,'AAPT ExDa'!$B$2:$U$99, 11,FALSE), IFERROR(VLOOKUP($A691,'ABB ExDa'!$A$2:$N$184, 9,FALSE), IFERROR(VLOOKUP($A691,'Vocus SIT ExDa'!$B$2:$J$173, 8,FALSE), IFERROR(VLOOKUP($A691,'Telstra ExDa'!$B$2:$K$310, 0,FALSE), IFERROR(VLOOKUP($A691,'Vocus RVC ExDa'!$C$2:$R$155, 0,FALSE), IFERROR(VLOOKUP($A691,'Fusion ExDa'!$B$2:$D$16, 0,FALSE), IFERROR(VLOOKUP($A691,'Exetel ExDa'!$C$2:$N$14, 9,FALSE), IFERROR(VLOOKUP($A691,'Infinet ExDa'!$B$2:$E$14, 0,FALSE), "Not Found"))))))))</f>
        <v>Not Found</v>
      </c>
      <c r="M691" s="234" t="str">
        <f>IFERROR(VLOOKUP($A691,'AAPT ExDa'!$B$2:$U$99, 0,FALSE), IFERROR(VLOOKUP($A691,'ABB ExDa'!$A$2:$N$184, 0,FALSE), IFERROR(VLOOKUP($A691,'Vocus SIT ExDa'!$B$2:$J$173, 0,FALSE), IFERROR(VLOOKUP($A691,'Telstra ExDa'!$B$2:$K$310, 0,FALSE), IFERROR(VLOOKUP($A691,'Vocus RVC ExDa'!$C$2:$R$155, 0,FALSE), IFERROR(VLOOKUP($A691,'Fusion ExDa'!$B$2:$D$16, 0,FALSE), IFERROR(VLOOKUP($A691,'Exetel ExDa'!$C$2:$N$14, 11,FALSE), IFERROR(VLOOKUP($A691,'Infinet ExDa'!$B$2:$E$14, 0,FALSE), "Not Found"))))))))</f>
        <v>Not Found</v>
      </c>
      <c r="N691" t="str">
        <f>IFERROR(VLOOKUP($A691,'AAPT ExDa'!$B$2:$U$99, 0,FALSE), IFERROR(VLOOKUP($A691,'ABB ExDa'!$A$2:$N$184, 13,FALSE), IFERROR(VLOOKUP($A691,'Vocus SIT ExDa'!$B$2:$J$173, 0,FALSE), IFERROR(VLOOKUP($A691,'Telstra ExDa'!$B$2:$K$310, 0,FALSE), IFERROR(VLOOKUP($A691,'Vocus RVC ExDa'!$C$2:$R$155, 0,FALSE), IFERROR(VLOOKUP($A691,'Fusion ExDa'!$B$2:$D$16, 0,FALSE), IFERROR(VLOOKUP($A691,'Exetel ExDa'!$C$2:$N$14, 0,FALSE), IFERROR(VLOOKUP($A691,'Infinet ExDa'!$B$2:$E$14, 0,FALSE), "Not Found"))))))))</f>
        <v>Not Found</v>
      </c>
    </row>
    <row r="692" spans="1:14">
      <c r="A692">
        <v>0</v>
      </c>
      <c r="B692" t="str">
        <f>IFERROR(VLOOKUP(A692,'Exetel ExDa'!$C$2:$N$14,4,FALSE),"No Data")</f>
        <v>No Data</v>
      </c>
      <c r="C692" t="str">
        <f>IFERROR(VLOOKUP(A692,'AAPT ExDa'!$B$2:$U$99, 2,FALSE), IFERROR(VLOOKUP(A692,'ABB ExDa'!$A$2:$N$184, 2,FALSE), IFERROR(VLOOKUP(A692,'Vocus SIT ExDa'!$B$2:$J$173, 7,FALSE), IFERROR(VLOOKUP(A692,'Telstra ExDa'!$B$2:$K$310, 2,FALSE), IFERROR(VLOOKUP(A692,'Vocus RVC ExDa'!$C$2:$R$155, 3,FALSE), IFERROR(VLOOKUP(A692,'Fusion ExDa'!$B$2:$D$16, 2,FALSE), IFERROR(VLOOKUP(A692,'Exetel ExDa'!$C$2:$N$14, 2,FALSE), IFERROR(VLOOKUP(A692,'Infinet ExDa'!$B$2:$E$14, 2,FALSE), "Not Found"))))))))</f>
        <v>Not Found</v>
      </c>
      <c r="D692" t="str">
        <f>IFERROR(VLOOKUP($A692,'AAPT ExDa'!$B$2:$U$99, 15,FALSE), IFERROR(VLOOKUP($A692,'ABB ExDa'!$A$2:$N$184, 4,FALSE), IFERROR(VLOOKUP($A692,'Vocus SIT ExDa'!$B$2:$J$173, 5,FALSE), IFERROR(VLOOKUP($A692,'Telstra ExDa'!$B$2:$K$310, 8,FALSE), IFERROR(VLOOKUP($A692,'Vocus RVC ExDa'!$C$2:$R$155, 6,FALSE), IFERROR(VLOOKUP($A692,'Fusion ExDa'!$B$2:$D$16, 4,FALSE), IFERROR(VLOOKUP($A692,'Exetel ExDa'!$C$2:$N$14, 3,FALSE), IFERROR(VLOOKUP($A692,'Infinet ExDa'!$B$2:$E$14, 3,FALSE), "Not Found"))))))))</f>
        <v>Not Found</v>
      </c>
      <c r="E692" t="str">
        <f>IFERROR(VLOOKUP($A692,'AAPT ExDa'!$B$2:$U$99, 3,FALSE), IFERROR(VLOOKUP($A692,'ABB ExDa'!$A$2:$N$184, 5,FALSE), IFERROR(VLOOKUP($A692,'Vocus SIT ExDa'!$B$2:$J$173, 2,FALSE), IFERROR(VLOOKUP($A692,'Telstra ExDa'!$B$2:$K$310, 4,FALSE), IFERROR(VLOOKUP($A692,'Vocus RVC ExDa'!$C$2:$R$155, 8,FALSE), IFERROR(VLOOKUP($A692,'Fusion ExDa'!$B$2:$D$16, 4,FALSE), IFERROR(VLOOKUP($A692,'Exetel ExDa'!$C$2:$N$14, 5,FALSE), IFERROR(VLOOKUP($A692,'Infinet ExDa'!$B$2:$E$14, 3,FALSE), "Not Found"))))))))</f>
        <v>Not Found</v>
      </c>
      <c r="F692" t="str">
        <f>IFERROR(VLOOKUP($A692,'AAPT ExDa'!$B$2:$U$99, 4,FALSE), IFERROR(VLOOKUP($A692,'ABB ExDa'!$A$2:$N$184, 6,FALSE), IFERROR(VLOOKUP($A692,'Vocus SIT ExDa'!$B$2:$J$173, 3,FALSE), IFERROR(VLOOKUP($A692,'Telstra ExDa'!$B$2:$K$310, 5,FALSE), IFERROR(VLOOKUP($A692,'Vocus RVC ExDa'!$C$2:$R$155, 9,FALSE), IFERROR(VLOOKUP($A692,'Fusion ExDa'!$B$2:$D$16, 0,FALSE), IFERROR(VLOOKUP($A692,'Exetel ExDa'!$C$2:$N$14, 6,FALSE), IFERROR(VLOOKUP($A692,'Infinet ExDa'!$B$2:$E$14, 0,FALSE), "Not Found"))))))))</f>
        <v>Not Found</v>
      </c>
      <c r="G692" t="str">
        <f>IFERROR(VLOOKUP($A692,'AAPT ExDa'!$B$2:$U$99, 5,FALSE), IFERROR(VLOOKUP($A692,'ABB ExDa'!$A$2:$N$184, 8,FALSE), IFERROR(VLOOKUP($A692,'Vocus SIT ExDa'!$B$2:$J$173, 6,FALSE), IFERROR(VLOOKUP($A692,'Telstra ExDa'!$B$2:$K$310, 0,FALSE), IFERROR(VLOOKUP($A692,'Vocus RVC ExDa'!$C$2:$R$155, 15,FALSE), IFERROR(VLOOKUP($A692,'Fusion ExDa'!$B$2:$D$16, 0,FALSE), IFERROR(VLOOKUP($A692,'Exetel ExDa'!$C$2:$N$14, 7,FALSE), IFERROR(VLOOKUP($A692,'Infinet ExDa'!$B$2:$E$14, 0,FALSE), "Not Found"))))))))</f>
        <v>Not Found</v>
      </c>
      <c r="H692" t="str">
        <f>IFERROR(VLOOKUP($A692,'AAPT ExDa'!$B$2:$U$99, 6,FALSE), IFERROR(VLOOKUP($A692,'ABB ExDa'!$A$2:$N$184, 0,FALSE), IFERROR(VLOOKUP($A692,'Vocus SIT ExDa'!$B$2:$J$173, 0,FALSE), IFERROR(VLOOKUP($A692,'Telstra ExDa'!$B$2:$K$310, 0,FALSE), IFERROR(VLOOKUP($A692,'Vocus RVC ExDa'!$C$2:$R$155, 16,FALSE), IFERROR(VLOOKUP($A692,'Fusion ExDa'!$B$2:$D$16, 0,FALSE), IFERROR(VLOOKUP($A692,'Exetel ExDa'!$C$2:$N$14, 0,FALSE), IFERROR(VLOOKUP($A692,'Infinet ExDa'!$B$2:$E$14, 0,FALSE), "Not Found"))))))))</f>
        <v>Not Found</v>
      </c>
      <c r="I692" t="str">
        <f>IFERROR(VLOOKUP($A692,'AAPT ExDa'!$B$2:$U$99, 0,FALSE), IFERROR(VLOOKUP($A692,'ABB ExDa'!$A$2:$N$184, 0,FALSE), IFERROR(VLOOKUP($A692,'Vocus SIT ExDa'!$B$2:$J$173, 0,FALSE), IFERROR(VLOOKUP($A692,'Telstra ExDa'!$B$2:$K$310, 0,FALSE), IFERROR(VLOOKUP($A692,'Vocus RVC ExDa'!$C$2:$R$155, 0,FALSE), IFERROR(VLOOKUP($A692,'Fusion ExDa'!$B$2:$D$16, 0,FALSE), IFERROR(VLOOKUP($A692,'Exetel ExDa'!$C$2:$N$14, 8,FALSE), IFERROR(VLOOKUP($A692,'Infinet ExDa'!$B$2:$E$14, 0,FALSE), "Not Found"))))))))</f>
        <v>Not Found</v>
      </c>
      <c r="J692" t="str">
        <f>IFERROR(VLOOKUP($A692,'AAPT ExDa'!$B$2:$U$99, 7,FALSE), IFERROR(VLOOKUP($A692,'ABB ExDa'!$A$2:$N$184, 2,FALSE), IFERROR(VLOOKUP($A692,'Vocus SIT ExDa'!$B$2:$J$173, 0,FALSE), IFERROR(VLOOKUP($A692,'Telstra ExDa'!$B$2:$K$310, 7,FALSE), IFERROR(VLOOKUP($A692,'Vocus RVC ExDa'!$C$2:$R$155, 2,FALSE), IFERROR(VLOOKUP($A692,'Fusion ExDa'!$B$2:$D$16, 3,FALSE), IFERROR(VLOOKUP($A692,'Exetel ExDa'!$C$2:$N$14, 0,FALSE), IFERROR(VLOOKUP($A692,'Infinet ExDa'!$B$2:$E$14, 0,FALSE), "Not Found"))))))))</f>
        <v>Not Found</v>
      </c>
      <c r="K692" t="str">
        <f>IFERROR(VLOOKUP($A692,'AAPT ExDa'!$B$2:$U$99, 12,FALSE), IFERROR(VLOOKUP($A692,'ABB ExDa'!$A$2:$N$184, 0,FALSE), IFERROR(VLOOKUP($A692,'Vocus SIT ExDa'!$B$2:$J$173, 0,FALSE), IFERROR(VLOOKUP($A692,'Telstra ExDa'!$B$2:$K$310, 0,FALSE), IFERROR(VLOOKUP($A692,'Vocus RVC ExDa'!$C$2:$R$155, 0,FALSE), IFERROR(VLOOKUP($A692,'Fusion ExDa'!$B$2:$D$16, 0,FALSE), IFERROR(VLOOKUP($A692,'Exetel ExDa'!$C$2:$N$14, 12,FALSE), IFERROR(VLOOKUP($A692,'Infinet ExDa'!$B$2:$E$14, 0,FALSE), "Not Found"))))))))</f>
        <v>Not Found</v>
      </c>
      <c r="L692" s="235" t="str">
        <f>IFERROR(VLOOKUP($A692,'AAPT ExDa'!$B$2:$U$99, 11,FALSE), IFERROR(VLOOKUP($A692,'ABB ExDa'!$A$2:$N$184, 9,FALSE), IFERROR(VLOOKUP($A692,'Vocus SIT ExDa'!$B$2:$J$173, 8,FALSE), IFERROR(VLOOKUP($A692,'Telstra ExDa'!$B$2:$K$310, 0,FALSE), IFERROR(VLOOKUP($A692,'Vocus RVC ExDa'!$C$2:$R$155, 0,FALSE), IFERROR(VLOOKUP($A692,'Fusion ExDa'!$B$2:$D$16, 0,FALSE), IFERROR(VLOOKUP($A692,'Exetel ExDa'!$C$2:$N$14, 9,FALSE), IFERROR(VLOOKUP($A692,'Infinet ExDa'!$B$2:$E$14, 0,FALSE), "Not Found"))))))))</f>
        <v>Not Found</v>
      </c>
      <c r="M692" s="234" t="str">
        <f>IFERROR(VLOOKUP($A692,'AAPT ExDa'!$B$2:$U$99, 0,FALSE), IFERROR(VLOOKUP($A692,'ABB ExDa'!$A$2:$N$184, 0,FALSE), IFERROR(VLOOKUP($A692,'Vocus SIT ExDa'!$B$2:$J$173, 0,FALSE), IFERROR(VLOOKUP($A692,'Telstra ExDa'!$B$2:$K$310, 0,FALSE), IFERROR(VLOOKUP($A692,'Vocus RVC ExDa'!$C$2:$R$155, 0,FALSE), IFERROR(VLOOKUP($A692,'Fusion ExDa'!$B$2:$D$16, 0,FALSE), IFERROR(VLOOKUP($A692,'Exetel ExDa'!$C$2:$N$14, 11,FALSE), IFERROR(VLOOKUP($A692,'Infinet ExDa'!$B$2:$E$14, 0,FALSE), "Not Found"))))))))</f>
        <v>Not Found</v>
      </c>
      <c r="N692" t="str">
        <f>IFERROR(VLOOKUP($A692,'AAPT ExDa'!$B$2:$U$99, 0,FALSE), IFERROR(VLOOKUP($A692,'ABB ExDa'!$A$2:$N$184, 13,FALSE), IFERROR(VLOOKUP($A692,'Vocus SIT ExDa'!$B$2:$J$173, 0,FALSE), IFERROR(VLOOKUP($A692,'Telstra ExDa'!$B$2:$K$310, 0,FALSE), IFERROR(VLOOKUP($A692,'Vocus RVC ExDa'!$C$2:$R$155, 0,FALSE), IFERROR(VLOOKUP($A692,'Fusion ExDa'!$B$2:$D$16, 0,FALSE), IFERROR(VLOOKUP($A692,'Exetel ExDa'!$C$2:$N$14, 0,FALSE), IFERROR(VLOOKUP($A692,'Infinet ExDa'!$B$2:$E$14, 0,FALSE), "Not Found"))))))))</f>
        <v>Not Found</v>
      </c>
    </row>
    <row r="693" spans="1:14">
      <c r="A693">
        <v>0</v>
      </c>
      <c r="B693" t="str">
        <f>IFERROR(VLOOKUP(A693,'Exetel ExDa'!$C$2:$N$14,4,FALSE),"No Data")</f>
        <v>No Data</v>
      </c>
      <c r="C693" t="str">
        <f>IFERROR(VLOOKUP(A693,'AAPT ExDa'!$B$2:$U$99, 2,FALSE), IFERROR(VLOOKUP(A693,'ABB ExDa'!$A$2:$N$184, 2,FALSE), IFERROR(VLOOKUP(A693,'Vocus SIT ExDa'!$B$2:$J$173, 7,FALSE), IFERROR(VLOOKUP(A693,'Telstra ExDa'!$B$2:$K$310, 2,FALSE), IFERROR(VLOOKUP(A693,'Vocus RVC ExDa'!$C$2:$R$155, 3,FALSE), IFERROR(VLOOKUP(A693,'Fusion ExDa'!$B$2:$D$16, 2,FALSE), IFERROR(VLOOKUP(A693,'Exetel ExDa'!$C$2:$N$14, 2,FALSE), IFERROR(VLOOKUP(A693,'Infinet ExDa'!$B$2:$E$14, 2,FALSE), "Not Found"))))))))</f>
        <v>Not Found</v>
      </c>
      <c r="D693" t="str">
        <f>IFERROR(VLOOKUP($A693,'AAPT ExDa'!$B$2:$U$99, 15,FALSE), IFERROR(VLOOKUP($A693,'ABB ExDa'!$A$2:$N$184, 4,FALSE), IFERROR(VLOOKUP($A693,'Vocus SIT ExDa'!$B$2:$J$173, 5,FALSE), IFERROR(VLOOKUP($A693,'Telstra ExDa'!$B$2:$K$310, 8,FALSE), IFERROR(VLOOKUP($A693,'Vocus RVC ExDa'!$C$2:$R$155, 6,FALSE), IFERROR(VLOOKUP($A693,'Fusion ExDa'!$B$2:$D$16, 4,FALSE), IFERROR(VLOOKUP($A693,'Exetel ExDa'!$C$2:$N$14, 3,FALSE), IFERROR(VLOOKUP($A693,'Infinet ExDa'!$B$2:$E$14, 3,FALSE), "Not Found"))))))))</f>
        <v>Not Found</v>
      </c>
      <c r="E693" t="str">
        <f>IFERROR(VLOOKUP($A693,'AAPT ExDa'!$B$2:$U$99, 3,FALSE), IFERROR(VLOOKUP($A693,'ABB ExDa'!$A$2:$N$184, 5,FALSE), IFERROR(VLOOKUP($A693,'Vocus SIT ExDa'!$B$2:$J$173, 2,FALSE), IFERROR(VLOOKUP($A693,'Telstra ExDa'!$B$2:$K$310, 4,FALSE), IFERROR(VLOOKUP($A693,'Vocus RVC ExDa'!$C$2:$R$155, 8,FALSE), IFERROR(VLOOKUP($A693,'Fusion ExDa'!$B$2:$D$16, 4,FALSE), IFERROR(VLOOKUP($A693,'Exetel ExDa'!$C$2:$N$14, 5,FALSE), IFERROR(VLOOKUP($A693,'Infinet ExDa'!$B$2:$E$14, 3,FALSE), "Not Found"))))))))</f>
        <v>Not Found</v>
      </c>
      <c r="F693" t="str">
        <f>IFERROR(VLOOKUP($A693,'AAPT ExDa'!$B$2:$U$99, 4,FALSE), IFERROR(VLOOKUP($A693,'ABB ExDa'!$A$2:$N$184, 6,FALSE), IFERROR(VLOOKUP($A693,'Vocus SIT ExDa'!$B$2:$J$173, 3,FALSE), IFERROR(VLOOKUP($A693,'Telstra ExDa'!$B$2:$K$310, 5,FALSE), IFERROR(VLOOKUP($A693,'Vocus RVC ExDa'!$C$2:$R$155, 9,FALSE), IFERROR(VLOOKUP($A693,'Fusion ExDa'!$B$2:$D$16, 0,FALSE), IFERROR(VLOOKUP($A693,'Exetel ExDa'!$C$2:$N$14, 6,FALSE), IFERROR(VLOOKUP($A693,'Infinet ExDa'!$B$2:$E$14, 0,FALSE), "Not Found"))))))))</f>
        <v>Not Found</v>
      </c>
      <c r="G693" t="str">
        <f>IFERROR(VLOOKUP($A693,'AAPT ExDa'!$B$2:$U$99, 5,FALSE), IFERROR(VLOOKUP($A693,'ABB ExDa'!$A$2:$N$184, 8,FALSE), IFERROR(VLOOKUP($A693,'Vocus SIT ExDa'!$B$2:$J$173, 6,FALSE), IFERROR(VLOOKUP($A693,'Telstra ExDa'!$B$2:$K$310, 0,FALSE), IFERROR(VLOOKUP($A693,'Vocus RVC ExDa'!$C$2:$R$155, 15,FALSE), IFERROR(VLOOKUP($A693,'Fusion ExDa'!$B$2:$D$16, 0,FALSE), IFERROR(VLOOKUP($A693,'Exetel ExDa'!$C$2:$N$14, 7,FALSE), IFERROR(VLOOKUP($A693,'Infinet ExDa'!$B$2:$E$14, 0,FALSE), "Not Found"))))))))</f>
        <v>Not Found</v>
      </c>
      <c r="H693" t="str">
        <f>IFERROR(VLOOKUP($A693,'AAPT ExDa'!$B$2:$U$99, 6,FALSE), IFERROR(VLOOKUP($A693,'ABB ExDa'!$A$2:$N$184, 0,FALSE), IFERROR(VLOOKUP($A693,'Vocus SIT ExDa'!$B$2:$J$173, 0,FALSE), IFERROR(VLOOKUP($A693,'Telstra ExDa'!$B$2:$K$310, 0,FALSE), IFERROR(VLOOKUP($A693,'Vocus RVC ExDa'!$C$2:$R$155, 16,FALSE), IFERROR(VLOOKUP($A693,'Fusion ExDa'!$B$2:$D$16, 0,FALSE), IFERROR(VLOOKUP($A693,'Exetel ExDa'!$C$2:$N$14, 0,FALSE), IFERROR(VLOOKUP($A693,'Infinet ExDa'!$B$2:$E$14, 0,FALSE), "Not Found"))))))))</f>
        <v>Not Found</v>
      </c>
      <c r="I693" t="str">
        <f>IFERROR(VLOOKUP($A693,'AAPT ExDa'!$B$2:$U$99, 0,FALSE), IFERROR(VLOOKUP($A693,'ABB ExDa'!$A$2:$N$184, 0,FALSE), IFERROR(VLOOKUP($A693,'Vocus SIT ExDa'!$B$2:$J$173, 0,FALSE), IFERROR(VLOOKUP($A693,'Telstra ExDa'!$B$2:$K$310, 0,FALSE), IFERROR(VLOOKUP($A693,'Vocus RVC ExDa'!$C$2:$R$155, 0,FALSE), IFERROR(VLOOKUP($A693,'Fusion ExDa'!$B$2:$D$16, 0,FALSE), IFERROR(VLOOKUP($A693,'Exetel ExDa'!$C$2:$N$14, 8,FALSE), IFERROR(VLOOKUP($A693,'Infinet ExDa'!$B$2:$E$14, 0,FALSE), "Not Found"))))))))</f>
        <v>Not Found</v>
      </c>
      <c r="J693" t="str">
        <f>IFERROR(VLOOKUP($A693,'AAPT ExDa'!$B$2:$U$99, 7,FALSE), IFERROR(VLOOKUP($A693,'ABB ExDa'!$A$2:$N$184, 2,FALSE), IFERROR(VLOOKUP($A693,'Vocus SIT ExDa'!$B$2:$J$173, 0,FALSE), IFERROR(VLOOKUP($A693,'Telstra ExDa'!$B$2:$K$310, 7,FALSE), IFERROR(VLOOKUP($A693,'Vocus RVC ExDa'!$C$2:$R$155, 2,FALSE), IFERROR(VLOOKUP($A693,'Fusion ExDa'!$B$2:$D$16, 3,FALSE), IFERROR(VLOOKUP($A693,'Exetel ExDa'!$C$2:$N$14, 0,FALSE), IFERROR(VLOOKUP($A693,'Infinet ExDa'!$B$2:$E$14, 0,FALSE), "Not Found"))))))))</f>
        <v>Not Found</v>
      </c>
      <c r="K693" t="str">
        <f>IFERROR(VLOOKUP($A693,'AAPT ExDa'!$B$2:$U$99, 12,FALSE), IFERROR(VLOOKUP($A693,'ABB ExDa'!$A$2:$N$184, 0,FALSE), IFERROR(VLOOKUP($A693,'Vocus SIT ExDa'!$B$2:$J$173, 0,FALSE), IFERROR(VLOOKUP($A693,'Telstra ExDa'!$B$2:$K$310, 0,FALSE), IFERROR(VLOOKUP($A693,'Vocus RVC ExDa'!$C$2:$R$155, 0,FALSE), IFERROR(VLOOKUP($A693,'Fusion ExDa'!$B$2:$D$16, 0,FALSE), IFERROR(VLOOKUP($A693,'Exetel ExDa'!$C$2:$N$14, 12,FALSE), IFERROR(VLOOKUP($A693,'Infinet ExDa'!$B$2:$E$14, 0,FALSE), "Not Found"))))))))</f>
        <v>Not Found</v>
      </c>
      <c r="L693" s="235" t="str">
        <f>IFERROR(VLOOKUP($A693,'AAPT ExDa'!$B$2:$U$99, 11,FALSE), IFERROR(VLOOKUP($A693,'ABB ExDa'!$A$2:$N$184, 9,FALSE), IFERROR(VLOOKUP($A693,'Vocus SIT ExDa'!$B$2:$J$173, 8,FALSE), IFERROR(VLOOKUP($A693,'Telstra ExDa'!$B$2:$K$310, 0,FALSE), IFERROR(VLOOKUP($A693,'Vocus RVC ExDa'!$C$2:$R$155, 0,FALSE), IFERROR(VLOOKUP($A693,'Fusion ExDa'!$B$2:$D$16, 0,FALSE), IFERROR(VLOOKUP($A693,'Exetel ExDa'!$C$2:$N$14, 9,FALSE), IFERROR(VLOOKUP($A693,'Infinet ExDa'!$B$2:$E$14, 0,FALSE), "Not Found"))))))))</f>
        <v>Not Found</v>
      </c>
      <c r="M693" s="234" t="str">
        <f>IFERROR(VLOOKUP($A693,'AAPT ExDa'!$B$2:$U$99, 0,FALSE), IFERROR(VLOOKUP($A693,'ABB ExDa'!$A$2:$N$184, 0,FALSE), IFERROR(VLOOKUP($A693,'Vocus SIT ExDa'!$B$2:$J$173, 0,FALSE), IFERROR(VLOOKUP($A693,'Telstra ExDa'!$B$2:$K$310, 0,FALSE), IFERROR(VLOOKUP($A693,'Vocus RVC ExDa'!$C$2:$R$155, 0,FALSE), IFERROR(VLOOKUP($A693,'Fusion ExDa'!$B$2:$D$16, 0,FALSE), IFERROR(VLOOKUP($A693,'Exetel ExDa'!$C$2:$N$14, 11,FALSE), IFERROR(VLOOKUP($A693,'Infinet ExDa'!$B$2:$E$14, 0,FALSE), "Not Found"))))))))</f>
        <v>Not Found</v>
      </c>
      <c r="N693" t="str">
        <f>IFERROR(VLOOKUP($A693,'AAPT ExDa'!$B$2:$U$99, 0,FALSE), IFERROR(VLOOKUP($A693,'ABB ExDa'!$A$2:$N$184, 13,FALSE), IFERROR(VLOOKUP($A693,'Vocus SIT ExDa'!$B$2:$J$173, 0,FALSE), IFERROR(VLOOKUP($A693,'Telstra ExDa'!$B$2:$K$310, 0,FALSE), IFERROR(VLOOKUP($A693,'Vocus RVC ExDa'!$C$2:$R$155, 0,FALSE), IFERROR(VLOOKUP($A693,'Fusion ExDa'!$B$2:$D$16, 0,FALSE), IFERROR(VLOOKUP($A693,'Exetel ExDa'!$C$2:$N$14, 0,FALSE), IFERROR(VLOOKUP($A693,'Infinet ExDa'!$B$2:$E$14, 0,FALSE), "Not Found"))))))))</f>
        <v>Not Found</v>
      </c>
    </row>
    <row r="694" spans="1:14">
      <c r="A694">
        <v>0</v>
      </c>
      <c r="B694" t="str">
        <f>IFERROR(VLOOKUP(A694,'Exetel ExDa'!$C$2:$N$14,4,FALSE),"No Data")</f>
        <v>No Data</v>
      </c>
      <c r="C694" t="str">
        <f>IFERROR(VLOOKUP(A694,'AAPT ExDa'!$B$2:$U$99, 2,FALSE), IFERROR(VLOOKUP(A694,'ABB ExDa'!$A$2:$N$184, 2,FALSE), IFERROR(VLOOKUP(A694,'Vocus SIT ExDa'!$B$2:$J$173, 7,FALSE), IFERROR(VLOOKUP(A694,'Telstra ExDa'!$B$2:$K$310, 2,FALSE), IFERROR(VLOOKUP(A694,'Vocus RVC ExDa'!$C$2:$R$155, 3,FALSE), IFERROR(VLOOKUP(A694,'Fusion ExDa'!$B$2:$D$16, 2,FALSE), IFERROR(VLOOKUP(A694,'Exetel ExDa'!$C$2:$N$14, 2,FALSE), IFERROR(VLOOKUP(A694,'Infinet ExDa'!$B$2:$E$14, 2,FALSE), "Not Found"))))))))</f>
        <v>Not Found</v>
      </c>
      <c r="D694" t="str">
        <f>IFERROR(VLOOKUP($A694,'AAPT ExDa'!$B$2:$U$99, 15,FALSE), IFERROR(VLOOKUP($A694,'ABB ExDa'!$A$2:$N$184, 4,FALSE), IFERROR(VLOOKUP($A694,'Vocus SIT ExDa'!$B$2:$J$173, 5,FALSE), IFERROR(VLOOKUP($A694,'Telstra ExDa'!$B$2:$K$310, 8,FALSE), IFERROR(VLOOKUP($A694,'Vocus RVC ExDa'!$C$2:$R$155, 6,FALSE), IFERROR(VLOOKUP($A694,'Fusion ExDa'!$B$2:$D$16, 4,FALSE), IFERROR(VLOOKUP($A694,'Exetel ExDa'!$C$2:$N$14, 3,FALSE), IFERROR(VLOOKUP($A694,'Infinet ExDa'!$B$2:$E$14, 3,FALSE), "Not Found"))))))))</f>
        <v>Not Found</v>
      </c>
      <c r="E694" t="str">
        <f>IFERROR(VLOOKUP($A694,'AAPT ExDa'!$B$2:$U$99, 3,FALSE), IFERROR(VLOOKUP($A694,'ABB ExDa'!$A$2:$N$184, 5,FALSE), IFERROR(VLOOKUP($A694,'Vocus SIT ExDa'!$B$2:$J$173, 2,FALSE), IFERROR(VLOOKUP($A694,'Telstra ExDa'!$B$2:$K$310, 4,FALSE), IFERROR(VLOOKUP($A694,'Vocus RVC ExDa'!$C$2:$R$155, 8,FALSE), IFERROR(VLOOKUP($A694,'Fusion ExDa'!$B$2:$D$16, 4,FALSE), IFERROR(VLOOKUP($A694,'Exetel ExDa'!$C$2:$N$14, 5,FALSE), IFERROR(VLOOKUP($A694,'Infinet ExDa'!$B$2:$E$14, 3,FALSE), "Not Found"))))))))</f>
        <v>Not Found</v>
      </c>
      <c r="F694" t="str">
        <f>IFERROR(VLOOKUP($A694,'AAPT ExDa'!$B$2:$U$99, 4,FALSE), IFERROR(VLOOKUP($A694,'ABB ExDa'!$A$2:$N$184, 6,FALSE), IFERROR(VLOOKUP($A694,'Vocus SIT ExDa'!$B$2:$J$173, 3,FALSE), IFERROR(VLOOKUP($A694,'Telstra ExDa'!$B$2:$K$310, 5,FALSE), IFERROR(VLOOKUP($A694,'Vocus RVC ExDa'!$C$2:$R$155, 9,FALSE), IFERROR(VLOOKUP($A694,'Fusion ExDa'!$B$2:$D$16, 0,FALSE), IFERROR(VLOOKUP($A694,'Exetel ExDa'!$C$2:$N$14, 6,FALSE), IFERROR(VLOOKUP($A694,'Infinet ExDa'!$B$2:$E$14, 0,FALSE), "Not Found"))))))))</f>
        <v>Not Found</v>
      </c>
      <c r="G694" t="str">
        <f>IFERROR(VLOOKUP($A694,'AAPT ExDa'!$B$2:$U$99, 5,FALSE), IFERROR(VLOOKUP($A694,'ABB ExDa'!$A$2:$N$184, 8,FALSE), IFERROR(VLOOKUP($A694,'Vocus SIT ExDa'!$B$2:$J$173, 6,FALSE), IFERROR(VLOOKUP($A694,'Telstra ExDa'!$B$2:$K$310, 0,FALSE), IFERROR(VLOOKUP($A694,'Vocus RVC ExDa'!$C$2:$R$155, 15,FALSE), IFERROR(VLOOKUP($A694,'Fusion ExDa'!$B$2:$D$16, 0,FALSE), IFERROR(VLOOKUP($A694,'Exetel ExDa'!$C$2:$N$14, 7,FALSE), IFERROR(VLOOKUP($A694,'Infinet ExDa'!$B$2:$E$14, 0,FALSE), "Not Found"))))))))</f>
        <v>Not Found</v>
      </c>
      <c r="H694" t="str">
        <f>IFERROR(VLOOKUP($A694,'AAPT ExDa'!$B$2:$U$99, 6,FALSE), IFERROR(VLOOKUP($A694,'ABB ExDa'!$A$2:$N$184, 0,FALSE), IFERROR(VLOOKUP($A694,'Vocus SIT ExDa'!$B$2:$J$173, 0,FALSE), IFERROR(VLOOKUP($A694,'Telstra ExDa'!$B$2:$K$310, 0,FALSE), IFERROR(VLOOKUP($A694,'Vocus RVC ExDa'!$C$2:$R$155, 16,FALSE), IFERROR(VLOOKUP($A694,'Fusion ExDa'!$B$2:$D$16, 0,FALSE), IFERROR(VLOOKUP($A694,'Exetel ExDa'!$C$2:$N$14, 0,FALSE), IFERROR(VLOOKUP($A694,'Infinet ExDa'!$B$2:$E$14, 0,FALSE), "Not Found"))))))))</f>
        <v>Not Found</v>
      </c>
      <c r="I694" t="str">
        <f>IFERROR(VLOOKUP($A694,'AAPT ExDa'!$B$2:$U$99, 0,FALSE), IFERROR(VLOOKUP($A694,'ABB ExDa'!$A$2:$N$184, 0,FALSE), IFERROR(VLOOKUP($A694,'Vocus SIT ExDa'!$B$2:$J$173, 0,FALSE), IFERROR(VLOOKUP($A694,'Telstra ExDa'!$B$2:$K$310, 0,FALSE), IFERROR(VLOOKUP($A694,'Vocus RVC ExDa'!$C$2:$R$155, 0,FALSE), IFERROR(VLOOKUP($A694,'Fusion ExDa'!$B$2:$D$16, 0,FALSE), IFERROR(VLOOKUP($A694,'Exetel ExDa'!$C$2:$N$14, 8,FALSE), IFERROR(VLOOKUP($A694,'Infinet ExDa'!$B$2:$E$14, 0,FALSE), "Not Found"))))))))</f>
        <v>Not Found</v>
      </c>
      <c r="J694" t="str">
        <f>IFERROR(VLOOKUP($A694,'AAPT ExDa'!$B$2:$U$99, 7,FALSE), IFERROR(VLOOKUP($A694,'ABB ExDa'!$A$2:$N$184, 2,FALSE), IFERROR(VLOOKUP($A694,'Vocus SIT ExDa'!$B$2:$J$173, 0,FALSE), IFERROR(VLOOKUP($A694,'Telstra ExDa'!$B$2:$K$310, 7,FALSE), IFERROR(VLOOKUP($A694,'Vocus RVC ExDa'!$C$2:$R$155, 2,FALSE), IFERROR(VLOOKUP($A694,'Fusion ExDa'!$B$2:$D$16, 3,FALSE), IFERROR(VLOOKUP($A694,'Exetel ExDa'!$C$2:$N$14, 0,FALSE), IFERROR(VLOOKUP($A694,'Infinet ExDa'!$B$2:$E$14, 0,FALSE), "Not Found"))))))))</f>
        <v>Not Found</v>
      </c>
      <c r="K694" t="str">
        <f>IFERROR(VLOOKUP($A694,'AAPT ExDa'!$B$2:$U$99, 12,FALSE), IFERROR(VLOOKUP($A694,'ABB ExDa'!$A$2:$N$184, 0,FALSE), IFERROR(VLOOKUP($A694,'Vocus SIT ExDa'!$B$2:$J$173, 0,FALSE), IFERROR(VLOOKUP($A694,'Telstra ExDa'!$B$2:$K$310, 0,FALSE), IFERROR(VLOOKUP($A694,'Vocus RVC ExDa'!$C$2:$R$155, 0,FALSE), IFERROR(VLOOKUP($A694,'Fusion ExDa'!$B$2:$D$16, 0,FALSE), IFERROR(VLOOKUP($A694,'Exetel ExDa'!$C$2:$N$14, 12,FALSE), IFERROR(VLOOKUP($A694,'Infinet ExDa'!$B$2:$E$14, 0,FALSE), "Not Found"))))))))</f>
        <v>Not Found</v>
      </c>
      <c r="L694" s="235" t="str">
        <f>IFERROR(VLOOKUP($A694,'AAPT ExDa'!$B$2:$U$99, 11,FALSE), IFERROR(VLOOKUP($A694,'ABB ExDa'!$A$2:$N$184, 9,FALSE), IFERROR(VLOOKUP($A694,'Vocus SIT ExDa'!$B$2:$J$173, 8,FALSE), IFERROR(VLOOKUP($A694,'Telstra ExDa'!$B$2:$K$310, 0,FALSE), IFERROR(VLOOKUP($A694,'Vocus RVC ExDa'!$C$2:$R$155, 0,FALSE), IFERROR(VLOOKUP($A694,'Fusion ExDa'!$B$2:$D$16, 0,FALSE), IFERROR(VLOOKUP($A694,'Exetel ExDa'!$C$2:$N$14, 9,FALSE), IFERROR(VLOOKUP($A694,'Infinet ExDa'!$B$2:$E$14, 0,FALSE), "Not Found"))))))))</f>
        <v>Not Found</v>
      </c>
      <c r="M694" s="234" t="str">
        <f>IFERROR(VLOOKUP($A694,'AAPT ExDa'!$B$2:$U$99, 0,FALSE), IFERROR(VLOOKUP($A694,'ABB ExDa'!$A$2:$N$184, 0,FALSE), IFERROR(VLOOKUP($A694,'Vocus SIT ExDa'!$B$2:$J$173, 0,FALSE), IFERROR(VLOOKUP($A694,'Telstra ExDa'!$B$2:$K$310, 0,FALSE), IFERROR(VLOOKUP($A694,'Vocus RVC ExDa'!$C$2:$R$155, 0,FALSE), IFERROR(VLOOKUP($A694,'Fusion ExDa'!$B$2:$D$16, 0,FALSE), IFERROR(VLOOKUP($A694,'Exetel ExDa'!$C$2:$N$14, 11,FALSE), IFERROR(VLOOKUP($A694,'Infinet ExDa'!$B$2:$E$14, 0,FALSE), "Not Found"))))))))</f>
        <v>Not Found</v>
      </c>
      <c r="N694" t="str">
        <f>IFERROR(VLOOKUP($A694,'AAPT ExDa'!$B$2:$U$99, 0,FALSE), IFERROR(VLOOKUP($A694,'ABB ExDa'!$A$2:$N$184, 13,FALSE), IFERROR(VLOOKUP($A694,'Vocus SIT ExDa'!$B$2:$J$173, 0,FALSE), IFERROR(VLOOKUP($A694,'Telstra ExDa'!$B$2:$K$310, 0,FALSE), IFERROR(VLOOKUP($A694,'Vocus RVC ExDa'!$C$2:$R$155, 0,FALSE), IFERROR(VLOOKUP($A694,'Fusion ExDa'!$B$2:$D$16, 0,FALSE), IFERROR(VLOOKUP($A694,'Exetel ExDa'!$C$2:$N$14, 0,FALSE), IFERROR(VLOOKUP($A694,'Infinet ExDa'!$B$2:$E$14, 0,FALSE), "Not Found"))))))))</f>
        <v>Not Found</v>
      </c>
    </row>
    <row r="695" spans="1:14">
      <c r="A695">
        <v>0</v>
      </c>
      <c r="B695" t="str">
        <f>IFERROR(VLOOKUP(A695,'Exetel ExDa'!$C$2:$N$14,4,FALSE),"No Data")</f>
        <v>No Data</v>
      </c>
      <c r="C695" t="str">
        <f>IFERROR(VLOOKUP(A695,'AAPT ExDa'!$B$2:$U$99, 2,FALSE), IFERROR(VLOOKUP(A695,'ABB ExDa'!$A$2:$N$184, 2,FALSE), IFERROR(VLOOKUP(A695,'Vocus SIT ExDa'!$B$2:$J$173, 7,FALSE), IFERROR(VLOOKUP(A695,'Telstra ExDa'!$B$2:$K$310, 2,FALSE), IFERROR(VLOOKUP(A695,'Vocus RVC ExDa'!$C$2:$R$155, 3,FALSE), IFERROR(VLOOKUP(A695,'Fusion ExDa'!$B$2:$D$16, 2,FALSE), IFERROR(VLOOKUP(A695,'Exetel ExDa'!$C$2:$N$14, 2,FALSE), IFERROR(VLOOKUP(A695,'Infinet ExDa'!$B$2:$E$14, 2,FALSE), "Not Found"))))))))</f>
        <v>Not Found</v>
      </c>
      <c r="D695" t="str">
        <f>IFERROR(VLOOKUP($A695,'AAPT ExDa'!$B$2:$U$99, 15,FALSE), IFERROR(VLOOKUP($A695,'ABB ExDa'!$A$2:$N$184, 4,FALSE), IFERROR(VLOOKUP($A695,'Vocus SIT ExDa'!$B$2:$J$173, 5,FALSE), IFERROR(VLOOKUP($A695,'Telstra ExDa'!$B$2:$K$310, 8,FALSE), IFERROR(VLOOKUP($A695,'Vocus RVC ExDa'!$C$2:$R$155, 6,FALSE), IFERROR(VLOOKUP($A695,'Fusion ExDa'!$B$2:$D$16, 4,FALSE), IFERROR(VLOOKUP($A695,'Exetel ExDa'!$C$2:$N$14, 3,FALSE), IFERROR(VLOOKUP($A695,'Infinet ExDa'!$B$2:$E$14, 3,FALSE), "Not Found"))))))))</f>
        <v>Not Found</v>
      </c>
      <c r="E695" t="str">
        <f>IFERROR(VLOOKUP($A695,'AAPT ExDa'!$B$2:$U$99, 3,FALSE), IFERROR(VLOOKUP($A695,'ABB ExDa'!$A$2:$N$184, 5,FALSE), IFERROR(VLOOKUP($A695,'Vocus SIT ExDa'!$B$2:$J$173, 2,FALSE), IFERROR(VLOOKUP($A695,'Telstra ExDa'!$B$2:$K$310, 4,FALSE), IFERROR(VLOOKUP($A695,'Vocus RVC ExDa'!$C$2:$R$155, 8,FALSE), IFERROR(VLOOKUP($A695,'Fusion ExDa'!$B$2:$D$16, 4,FALSE), IFERROR(VLOOKUP($A695,'Exetel ExDa'!$C$2:$N$14, 5,FALSE), IFERROR(VLOOKUP($A695,'Infinet ExDa'!$B$2:$E$14, 3,FALSE), "Not Found"))))))))</f>
        <v>Not Found</v>
      </c>
      <c r="F695" t="str">
        <f>IFERROR(VLOOKUP($A695,'AAPT ExDa'!$B$2:$U$99, 4,FALSE), IFERROR(VLOOKUP($A695,'ABB ExDa'!$A$2:$N$184, 6,FALSE), IFERROR(VLOOKUP($A695,'Vocus SIT ExDa'!$B$2:$J$173, 3,FALSE), IFERROR(VLOOKUP($A695,'Telstra ExDa'!$B$2:$K$310, 5,FALSE), IFERROR(VLOOKUP($A695,'Vocus RVC ExDa'!$C$2:$R$155, 9,FALSE), IFERROR(VLOOKUP($A695,'Fusion ExDa'!$B$2:$D$16, 0,FALSE), IFERROR(VLOOKUP($A695,'Exetel ExDa'!$C$2:$N$14, 6,FALSE), IFERROR(VLOOKUP($A695,'Infinet ExDa'!$B$2:$E$14, 0,FALSE), "Not Found"))))))))</f>
        <v>Not Found</v>
      </c>
      <c r="G695" t="str">
        <f>IFERROR(VLOOKUP($A695,'AAPT ExDa'!$B$2:$U$99, 5,FALSE), IFERROR(VLOOKUP($A695,'ABB ExDa'!$A$2:$N$184, 8,FALSE), IFERROR(VLOOKUP($A695,'Vocus SIT ExDa'!$B$2:$J$173, 6,FALSE), IFERROR(VLOOKUP($A695,'Telstra ExDa'!$B$2:$K$310, 0,FALSE), IFERROR(VLOOKUP($A695,'Vocus RVC ExDa'!$C$2:$R$155, 15,FALSE), IFERROR(VLOOKUP($A695,'Fusion ExDa'!$B$2:$D$16, 0,FALSE), IFERROR(VLOOKUP($A695,'Exetel ExDa'!$C$2:$N$14, 7,FALSE), IFERROR(VLOOKUP($A695,'Infinet ExDa'!$B$2:$E$14, 0,FALSE), "Not Found"))))))))</f>
        <v>Not Found</v>
      </c>
      <c r="H695" t="str">
        <f>IFERROR(VLOOKUP($A695,'AAPT ExDa'!$B$2:$U$99, 6,FALSE), IFERROR(VLOOKUP($A695,'ABB ExDa'!$A$2:$N$184, 0,FALSE), IFERROR(VLOOKUP($A695,'Vocus SIT ExDa'!$B$2:$J$173, 0,FALSE), IFERROR(VLOOKUP($A695,'Telstra ExDa'!$B$2:$K$310, 0,FALSE), IFERROR(VLOOKUP($A695,'Vocus RVC ExDa'!$C$2:$R$155, 16,FALSE), IFERROR(VLOOKUP($A695,'Fusion ExDa'!$B$2:$D$16, 0,FALSE), IFERROR(VLOOKUP($A695,'Exetel ExDa'!$C$2:$N$14, 0,FALSE), IFERROR(VLOOKUP($A695,'Infinet ExDa'!$B$2:$E$14, 0,FALSE), "Not Found"))))))))</f>
        <v>Not Found</v>
      </c>
      <c r="I695" t="str">
        <f>IFERROR(VLOOKUP($A695,'AAPT ExDa'!$B$2:$U$99, 0,FALSE), IFERROR(VLOOKUP($A695,'ABB ExDa'!$A$2:$N$184, 0,FALSE), IFERROR(VLOOKUP($A695,'Vocus SIT ExDa'!$B$2:$J$173, 0,FALSE), IFERROR(VLOOKUP($A695,'Telstra ExDa'!$B$2:$K$310, 0,FALSE), IFERROR(VLOOKUP($A695,'Vocus RVC ExDa'!$C$2:$R$155, 0,FALSE), IFERROR(VLOOKUP($A695,'Fusion ExDa'!$B$2:$D$16, 0,FALSE), IFERROR(VLOOKUP($A695,'Exetel ExDa'!$C$2:$N$14, 8,FALSE), IFERROR(VLOOKUP($A695,'Infinet ExDa'!$B$2:$E$14, 0,FALSE), "Not Found"))))))))</f>
        <v>Not Found</v>
      </c>
      <c r="J695" t="str">
        <f>IFERROR(VLOOKUP($A695,'AAPT ExDa'!$B$2:$U$99, 7,FALSE), IFERROR(VLOOKUP($A695,'ABB ExDa'!$A$2:$N$184, 2,FALSE), IFERROR(VLOOKUP($A695,'Vocus SIT ExDa'!$B$2:$J$173, 0,FALSE), IFERROR(VLOOKUP($A695,'Telstra ExDa'!$B$2:$K$310, 7,FALSE), IFERROR(VLOOKUP($A695,'Vocus RVC ExDa'!$C$2:$R$155, 2,FALSE), IFERROR(VLOOKUP($A695,'Fusion ExDa'!$B$2:$D$16, 3,FALSE), IFERROR(VLOOKUP($A695,'Exetel ExDa'!$C$2:$N$14, 0,FALSE), IFERROR(VLOOKUP($A695,'Infinet ExDa'!$B$2:$E$14, 0,FALSE), "Not Found"))))))))</f>
        <v>Not Found</v>
      </c>
      <c r="K695" t="str">
        <f>IFERROR(VLOOKUP($A695,'AAPT ExDa'!$B$2:$U$99, 12,FALSE), IFERROR(VLOOKUP($A695,'ABB ExDa'!$A$2:$N$184, 0,FALSE), IFERROR(VLOOKUP($A695,'Vocus SIT ExDa'!$B$2:$J$173, 0,FALSE), IFERROR(VLOOKUP($A695,'Telstra ExDa'!$B$2:$K$310, 0,FALSE), IFERROR(VLOOKUP($A695,'Vocus RVC ExDa'!$C$2:$R$155, 0,FALSE), IFERROR(VLOOKUP($A695,'Fusion ExDa'!$B$2:$D$16, 0,FALSE), IFERROR(VLOOKUP($A695,'Exetel ExDa'!$C$2:$N$14, 12,FALSE), IFERROR(VLOOKUP($A695,'Infinet ExDa'!$B$2:$E$14, 0,FALSE), "Not Found"))))))))</f>
        <v>Not Found</v>
      </c>
      <c r="L695" s="235" t="str">
        <f>IFERROR(VLOOKUP($A695,'AAPT ExDa'!$B$2:$U$99, 11,FALSE), IFERROR(VLOOKUP($A695,'ABB ExDa'!$A$2:$N$184, 9,FALSE), IFERROR(VLOOKUP($A695,'Vocus SIT ExDa'!$B$2:$J$173, 8,FALSE), IFERROR(VLOOKUP($A695,'Telstra ExDa'!$B$2:$K$310, 0,FALSE), IFERROR(VLOOKUP($A695,'Vocus RVC ExDa'!$C$2:$R$155, 0,FALSE), IFERROR(VLOOKUP($A695,'Fusion ExDa'!$B$2:$D$16, 0,FALSE), IFERROR(VLOOKUP($A695,'Exetel ExDa'!$C$2:$N$14, 9,FALSE), IFERROR(VLOOKUP($A695,'Infinet ExDa'!$B$2:$E$14, 0,FALSE), "Not Found"))))))))</f>
        <v>Not Found</v>
      </c>
      <c r="M695" s="234" t="str">
        <f>IFERROR(VLOOKUP($A695,'AAPT ExDa'!$B$2:$U$99, 0,FALSE), IFERROR(VLOOKUP($A695,'ABB ExDa'!$A$2:$N$184, 0,FALSE), IFERROR(VLOOKUP($A695,'Vocus SIT ExDa'!$B$2:$J$173, 0,FALSE), IFERROR(VLOOKUP($A695,'Telstra ExDa'!$B$2:$K$310, 0,FALSE), IFERROR(VLOOKUP($A695,'Vocus RVC ExDa'!$C$2:$R$155, 0,FALSE), IFERROR(VLOOKUP($A695,'Fusion ExDa'!$B$2:$D$16, 0,FALSE), IFERROR(VLOOKUP($A695,'Exetel ExDa'!$C$2:$N$14, 11,FALSE), IFERROR(VLOOKUP($A695,'Infinet ExDa'!$B$2:$E$14, 0,FALSE), "Not Found"))))))))</f>
        <v>Not Found</v>
      </c>
      <c r="N695" t="str">
        <f>IFERROR(VLOOKUP($A695,'AAPT ExDa'!$B$2:$U$99, 0,FALSE), IFERROR(VLOOKUP($A695,'ABB ExDa'!$A$2:$N$184, 13,FALSE), IFERROR(VLOOKUP($A695,'Vocus SIT ExDa'!$B$2:$J$173, 0,FALSE), IFERROR(VLOOKUP($A695,'Telstra ExDa'!$B$2:$K$310, 0,FALSE), IFERROR(VLOOKUP($A695,'Vocus RVC ExDa'!$C$2:$R$155, 0,FALSE), IFERROR(VLOOKUP($A695,'Fusion ExDa'!$B$2:$D$16, 0,FALSE), IFERROR(VLOOKUP($A695,'Exetel ExDa'!$C$2:$N$14, 0,FALSE), IFERROR(VLOOKUP($A695,'Infinet ExDa'!$B$2:$E$14, 0,FALSE), "Not Found"))))))))</f>
        <v>Not Found</v>
      </c>
    </row>
    <row r="696" spans="1:14">
      <c r="A696">
        <v>0</v>
      </c>
      <c r="B696" t="str">
        <f>IFERROR(VLOOKUP(A696,'Exetel ExDa'!$C$2:$N$14,4,FALSE),"No Data")</f>
        <v>No Data</v>
      </c>
      <c r="C696" t="str">
        <f>IFERROR(VLOOKUP(A696,'AAPT ExDa'!$B$2:$U$99, 2,FALSE), IFERROR(VLOOKUP(A696,'ABB ExDa'!$A$2:$N$184, 2,FALSE), IFERROR(VLOOKUP(A696,'Vocus SIT ExDa'!$B$2:$J$173, 7,FALSE), IFERROR(VLOOKUP(A696,'Telstra ExDa'!$B$2:$K$310, 2,FALSE), IFERROR(VLOOKUP(A696,'Vocus RVC ExDa'!$C$2:$R$155, 3,FALSE), IFERROR(VLOOKUP(A696,'Fusion ExDa'!$B$2:$D$16, 2,FALSE), IFERROR(VLOOKUP(A696,'Exetel ExDa'!$C$2:$N$14, 2,FALSE), IFERROR(VLOOKUP(A696,'Infinet ExDa'!$B$2:$E$14, 2,FALSE), "Not Found"))))))))</f>
        <v>Not Found</v>
      </c>
      <c r="D696" t="str">
        <f>IFERROR(VLOOKUP($A696,'AAPT ExDa'!$B$2:$U$99, 15,FALSE), IFERROR(VLOOKUP($A696,'ABB ExDa'!$A$2:$N$184, 4,FALSE), IFERROR(VLOOKUP($A696,'Vocus SIT ExDa'!$B$2:$J$173, 5,FALSE), IFERROR(VLOOKUP($A696,'Telstra ExDa'!$B$2:$K$310, 8,FALSE), IFERROR(VLOOKUP($A696,'Vocus RVC ExDa'!$C$2:$R$155, 6,FALSE), IFERROR(VLOOKUP($A696,'Fusion ExDa'!$B$2:$D$16, 4,FALSE), IFERROR(VLOOKUP($A696,'Exetel ExDa'!$C$2:$N$14, 3,FALSE), IFERROR(VLOOKUP($A696,'Infinet ExDa'!$B$2:$E$14, 3,FALSE), "Not Found"))))))))</f>
        <v>Not Found</v>
      </c>
      <c r="E696" t="str">
        <f>IFERROR(VLOOKUP($A696,'AAPT ExDa'!$B$2:$U$99, 3,FALSE), IFERROR(VLOOKUP($A696,'ABB ExDa'!$A$2:$N$184, 5,FALSE), IFERROR(VLOOKUP($A696,'Vocus SIT ExDa'!$B$2:$J$173, 2,FALSE), IFERROR(VLOOKUP($A696,'Telstra ExDa'!$B$2:$K$310, 4,FALSE), IFERROR(VLOOKUP($A696,'Vocus RVC ExDa'!$C$2:$R$155, 8,FALSE), IFERROR(VLOOKUP($A696,'Fusion ExDa'!$B$2:$D$16, 4,FALSE), IFERROR(VLOOKUP($A696,'Exetel ExDa'!$C$2:$N$14, 5,FALSE), IFERROR(VLOOKUP($A696,'Infinet ExDa'!$B$2:$E$14, 3,FALSE), "Not Found"))))))))</f>
        <v>Not Found</v>
      </c>
      <c r="F696" t="str">
        <f>IFERROR(VLOOKUP($A696,'AAPT ExDa'!$B$2:$U$99, 4,FALSE), IFERROR(VLOOKUP($A696,'ABB ExDa'!$A$2:$N$184, 6,FALSE), IFERROR(VLOOKUP($A696,'Vocus SIT ExDa'!$B$2:$J$173, 3,FALSE), IFERROR(VLOOKUP($A696,'Telstra ExDa'!$B$2:$K$310, 5,FALSE), IFERROR(VLOOKUP($A696,'Vocus RVC ExDa'!$C$2:$R$155, 9,FALSE), IFERROR(VLOOKUP($A696,'Fusion ExDa'!$B$2:$D$16, 0,FALSE), IFERROR(VLOOKUP($A696,'Exetel ExDa'!$C$2:$N$14, 6,FALSE), IFERROR(VLOOKUP($A696,'Infinet ExDa'!$B$2:$E$14, 0,FALSE), "Not Found"))))))))</f>
        <v>Not Found</v>
      </c>
      <c r="G696" t="str">
        <f>IFERROR(VLOOKUP($A696,'AAPT ExDa'!$B$2:$U$99, 5,FALSE), IFERROR(VLOOKUP($A696,'ABB ExDa'!$A$2:$N$184, 8,FALSE), IFERROR(VLOOKUP($A696,'Vocus SIT ExDa'!$B$2:$J$173, 6,FALSE), IFERROR(VLOOKUP($A696,'Telstra ExDa'!$B$2:$K$310, 0,FALSE), IFERROR(VLOOKUP($A696,'Vocus RVC ExDa'!$C$2:$R$155, 15,FALSE), IFERROR(VLOOKUP($A696,'Fusion ExDa'!$B$2:$D$16, 0,FALSE), IFERROR(VLOOKUP($A696,'Exetel ExDa'!$C$2:$N$14, 7,FALSE), IFERROR(VLOOKUP($A696,'Infinet ExDa'!$B$2:$E$14, 0,FALSE), "Not Found"))))))))</f>
        <v>Not Found</v>
      </c>
      <c r="H696" t="str">
        <f>IFERROR(VLOOKUP($A696,'AAPT ExDa'!$B$2:$U$99, 6,FALSE), IFERROR(VLOOKUP($A696,'ABB ExDa'!$A$2:$N$184, 0,FALSE), IFERROR(VLOOKUP($A696,'Vocus SIT ExDa'!$B$2:$J$173, 0,FALSE), IFERROR(VLOOKUP($A696,'Telstra ExDa'!$B$2:$K$310, 0,FALSE), IFERROR(VLOOKUP($A696,'Vocus RVC ExDa'!$C$2:$R$155, 16,FALSE), IFERROR(VLOOKUP($A696,'Fusion ExDa'!$B$2:$D$16, 0,FALSE), IFERROR(VLOOKUP($A696,'Exetel ExDa'!$C$2:$N$14, 0,FALSE), IFERROR(VLOOKUP($A696,'Infinet ExDa'!$B$2:$E$14, 0,FALSE), "Not Found"))))))))</f>
        <v>Not Found</v>
      </c>
      <c r="I696" t="str">
        <f>IFERROR(VLOOKUP($A696,'AAPT ExDa'!$B$2:$U$99, 0,FALSE), IFERROR(VLOOKUP($A696,'ABB ExDa'!$A$2:$N$184, 0,FALSE), IFERROR(VLOOKUP($A696,'Vocus SIT ExDa'!$B$2:$J$173, 0,FALSE), IFERROR(VLOOKUP($A696,'Telstra ExDa'!$B$2:$K$310, 0,FALSE), IFERROR(VLOOKUP($A696,'Vocus RVC ExDa'!$C$2:$R$155, 0,FALSE), IFERROR(VLOOKUP($A696,'Fusion ExDa'!$B$2:$D$16, 0,FALSE), IFERROR(VLOOKUP($A696,'Exetel ExDa'!$C$2:$N$14, 8,FALSE), IFERROR(VLOOKUP($A696,'Infinet ExDa'!$B$2:$E$14, 0,FALSE), "Not Found"))))))))</f>
        <v>Not Found</v>
      </c>
      <c r="J696" t="str">
        <f>IFERROR(VLOOKUP($A696,'AAPT ExDa'!$B$2:$U$99, 7,FALSE), IFERROR(VLOOKUP($A696,'ABB ExDa'!$A$2:$N$184, 2,FALSE), IFERROR(VLOOKUP($A696,'Vocus SIT ExDa'!$B$2:$J$173, 0,FALSE), IFERROR(VLOOKUP($A696,'Telstra ExDa'!$B$2:$K$310, 7,FALSE), IFERROR(VLOOKUP($A696,'Vocus RVC ExDa'!$C$2:$R$155, 2,FALSE), IFERROR(VLOOKUP($A696,'Fusion ExDa'!$B$2:$D$16, 3,FALSE), IFERROR(VLOOKUP($A696,'Exetel ExDa'!$C$2:$N$14, 0,FALSE), IFERROR(VLOOKUP($A696,'Infinet ExDa'!$B$2:$E$14, 0,FALSE), "Not Found"))))))))</f>
        <v>Not Found</v>
      </c>
      <c r="K696" t="str">
        <f>IFERROR(VLOOKUP($A696,'AAPT ExDa'!$B$2:$U$99, 12,FALSE), IFERROR(VLOOKUP($A696,'ABB ExDa'!$A$2:$N$184, 0,FALSE), IFERROR(VLOOKUP($A696,'Vocus SIT ExDa'!$B$2:$J$173, 0,FALSE), IFERROR(VLOOKUP($A696,'Telstra ExDa'!$B$2:$K$310, 0,FALSE), IFERROR(VLOOKUP($A696,'Vocus RVC ExDa'!$C$2:$R$155, 0,FALSE), IFERROR(VLOOKUP($A696,'Fusion ExDa'!$B$2:$D$16, 0,FALSE), IFERROR(VLOOKUP($A696,'Exetel ExDa'!$C$2:$N$14, 12,FALSE), IFERROR(VLOOKUP($A696,'Infinet ExDa'!$B$2:$E$14, 0,FALSE), "Not Found"))))))))</f>
        <v>Not Found</v>
      </c>
      <c r="L696" s="235" t="str">
        <f>IFERROR(VLOOKUP($A696,'AAPT ExDa'!$B$2:$U$99, 11,FALSE), IFERROR(VLOOKUP($A696,'ABB ExDa'!$A$2:$N$184, 9,FALSE), IFERROR(VLOOKUP($A696,'Vocus SIT ExDa'!$B$2:$J$173, 8,FALSE), IFERROR(VLOOKUP($A696,'Telstra ExDa'!$B$2:$K$310, 0,FALSE), IFERROR(VLOOKUP($A696,'Vocus RVC ExDa'!$C$2:$R$155, 0,FALSE), IFERROR(VLOOKUP($A696,'Fusion ExDa'!$B$2:$D$16, 0,FALSE), IFERROR(VLOOKUP($A696,'Exetel ExDa'!$C$2:$N$14, 9,FALSE), IFERROR(VLOOKUP($A696,'Infinet ExDa'!$B$2:$E$14, 0,FALSE), "Not Found"))))))))</f>
        <v>Not Found</v>
      </c>
      <c r="M696" s="234" t="str">
        <f>IFERROR(VLOOKUP($A696,'AAPT ExDa'!$B$2:$U$99, 0,FALSE), IFERROR(VLOOKUP($A696,'ABB ExDa'!$A$2:$N$184, 0,FALSE), IFERROR(VLOOKUP($A696,'Vocus SIT ExDa'!$B$2:$J$173, 0,FALSE), IFERROR(VLOOKUP($A696,'Telstra ExDa'!$B$2:$K$310, 0,FALSE), IFERROR(VLOOKUP($A696,'Vocus RVC ExDa'!$C$2:$R$155, 0,FALSE), IFERROR(VLOOKUP($A696,'Fusion ExDa'!$B$2:$D$16, 0,FALSE), IFERROR(VLOOKUP($A696,'Exetel ExDa'!$C$2:$N$14, 11,FALSE), IFERROR(VLOOKUP($A696,'Infinet ExDa'!$B$2:$E$14, 0,FALSE), "Not Found"))))))))</f>
        <v>Not Found</v>
      </c>
      <c r="N696" t="str">
        <f>IFERROR(VLOOKUP($A696,'AAPT ExDa'!$B$2:$U$99, 0,FALSE), IFERROR(VLOOKUP($A696,'ABB ExDa'!$A$2:$N$184, 13,FALSE), IFERROR(VLOOKUP($A696,'Vocus SIT ExDa'!$B$2:$J$173, 0,FALSE), IFERROR(VLOOKUP($A696,'Telstra ExDa'!$B$2:$K$310, 0,FALSE), IFERROR(VLOOKUP($A696,'Vocus RVC ExDa'!$C$2:$R$155, 0,FALSE), IFERROR(VLOOKUP($A696,'Fusion ExDa'!$B$2:$D$16, 0,FALSE), IFERROR(VLOOKUP($A696,'Exetel ExDa'!$C$2:$N$14, 0,FALSE), IFERROR(VLOOKUP($A696,'Infinet ExDa'!$B$2:$E$14, 0,FALSE), "Not Found"))))))))</f>
        <v>Not Found</v>
      </c>
    </row>
    <row r="697" spans="1:14">
      <c r="A697">
        <v>0</v>
      </c>
      <c r="B697" t="str">
        <f>IFERROR(VLOOKUP(A697,'Exetel ExDa'!$C$2:$N$14,4,FALSE),"No Data")</f>
        <v>No Data</v>
      </c>
      <c r="C697" t="str">
        <f>IFERROR(VLOOKUP(A697,'AAPT ExDa'!$B$2:$U$99, 2,FALSE), IFERROR(VLOOKUP(A697,'ABB ExDa'!$A$2:$N$184, 2,FALSE), IFERROR(VLOOKUP(A697,'Vocus SIT ExDa'!$B$2:$J$173, 7,FALSE), IFERROR(VLOOKUP(A697,'Telstra ExDa'!$B$2:$K$310, 2,FALSE), IFERROR(VLOOKUP(A697,'Vocus RVC ExDa'!$C$2:$R$155, 3,FALSE), IFERROR(VLOOKUP(A697,'Fusion ExDa'!$B$2:$D$16, 2,FALSE), IFERROR(VLOOKUP(A697,'Exetel ExDa'!$C$2:$N$14, 2,FALSE), IFERROR(VLOOKUP(A697,'Infinet ExDa'!$B$2:$E$14, 2,FALSE), "Not Found"))))))))</f>
        <v>Not Found</v>
      </c>
      <c r="D697" t="str">
        <f>IFERROR(VLOOKUP($A697,'AAPT ExDa'!$B$2:$U$99, 15,FALSE), IFERROR(VLOOKUP($A697,'ABB ExDa'!$A$2:$N$184, 4,FALSE), IFERROR(VLOOKUP($A697,'Vocus SIT ExDa'!$B$2:$J$173, 5,FALSE), IFERROR(VLOOKUP($A697,'Telstra ExDa'!$B$2:$K$310, 8,FALSE), IFERROR(VLOOKUP($A697,'Vocus RVC ExDa'!$C$2:$R$155, 6,FALSE), IFERROR(VLOOKUP($A697,'Fusion ExDa'!$B$2:$D$16, 4,FALSE), IFERROR(VLOOKUP($A697,'Exetel ExDa'!$C$2:$N$14, 3,FALSE), IFERROR(VLOOKUP($A697,'Infinet ExDa'!$B$2:$E$14, 3,FALSE), "Not Found"))))))))</f>
        <v>Not Found</v>
      </c>
      <c r="E697" t="str">
        <f>IFERROR(VLOOKUP($A697,'AAPT ExDa'!$B$2:$U$99, 3,FALSE), IFERROR(VLOOKUP($A697,'ABB ExDa'!$A$2:$N$184, 5,FALSE), IFERROR(VLOOKUP($A697,'Vocus SIT ExDa'!$B$2:$J$173, 2,FALSE), IFERROR(VLOOKUP($A697,'Telstra ExDa'!$B$2:$K$310, 4,FALSE), IFERROR(VLOOKUP($A697,'Vocus RVC ExDa'!$C$2:$R$155, 8,FALSE), IFERROR(VLOOKUP($A697,'Fusion ExDa'!$B$2:$D$16, 4,FALSE), IFERROR(VLOOKUP($A697,'Exetel ExDa'!$C$2:$N$14, 5,FALSE), IFERROR(VLOOKUP($A697,'Infinet ExDa'!$B$2:$E$14, 3,FALSE), "Not Found"))))))))</f>
        <v>Not Found</v>
      </c>
      <c r="F697" t="str">
        <f>IFERROR(VLOOKUP($A697,'AAPT ExDa'!$B$2:$U$99, 4,FALSE), IFERROR(VLOOKUP($A697,'ABB ExDa'!$A$2:$N$184, 6,FALSE), IFERROR(VLOOKUP($A697,'Vocus SIT ExDa'!$B$2:$J$173, 3,FALSE), IFERROR(VLOOKUP($A697,'Telstra ExDa'!$B$2:$K$310, 5,FALSE), IFERROR(VLOOKUP($A697,'Vocus RVC ExDa'!$C$2:$R$155, 9,FALSE), IFERROR(VLOOKUP($A697,'Fusion ExDa'!$B$2:$D$16, 0,FALSE), IFERROR(VLOOKUP($A697,'Exetel ExDa'!$C$2:$N$14, 6,FALSE), IFERROR(VLOOKUP($A697,'Infinet ExDa'!$B$2:$E$14, 0,FALSE), "Not Found"))))))))</f>
        <v>Not Found</v>
      </c>
      <c r="G697" t="str">
        <f>IFERROR(VLOOKUP($A697,'AAPT ExDa'!$B$2:$U$99, 5,FALSE), IFERROR(VLOOKUP($A697,'ABB ExDa'!$A$2:$N$184, 8,FALSE), IFERROR(VLOOKUP($A697,'Vocus SIT ExDa'!$B$2:$J$173, 6,FALSE), IFERROR(VLOOKUP($A697,'Telstra ExDa'!$B$2:$K$310, 0,FALSE), IFERROR(VLOOKUP($A697,'Vocus RVC ExDa'!$C$2:$R$155, 15,FALSE), IFERROR(VLOOKUP($A697,'Fusion ExDa'!$B$2:$D$16, 0,FALSE), IFERROR(VLOOKUP($A697,'Exetel ExDa'!$C$2:$N$14, 7,FALSE), IFERROR(VLOOKUP($A697,'Infinet ExDa'!$B$2:$E$14, 0,FALSE), "Not Found"))))))))</f>
        <v>Not Found</v>
      </c>
      <c r="H697" t="str">
        <f>IFERROR(VLOOKUP($A697,'AAPT ExDa'!$B$2:$U$99, 6,FALSE), IFERROR(VLOOKUP($A697,'ABB ExDa'!$A$2:$N$184, 0,FALSE), IFERROR(VLOOKUP($A697,'Vocus SIT ExDa'!$B$2:$J$173, 0,FALSE), IFERROR(VLOOKUP($A697,'Telstra ExDa'!$B$2:$K$310, 0,FALSE), IFERROR(VLOOKUP($A697,'Vocus RVC ExDa'!$C$2:$R$155, 16,FALSE), IFERROR(VLOOKUP($A697,'Fusion ExDa'!$B$2:$D$16, 0,FALSE), IFERROR(VLOOKUP($A697,'Exetel ExDa'!$C$2:$N$14, 0,FALSE), IFERROR(VLOOKUP($A697,'Infinet ExDa'!$B$2:$E$14, 0,FALSE), "Not Found"))))))))</f>
        <v>Not Found</v>
      </c>
      <c r="I697" t="str">
        <f>IFERROR(VLOOKUP($A697,'AAPT ExDa'!$B$2:$U$99, 0,FALSE), IFERROR(VLOOKUP($A697,'ABB ExDa'!$A$2:$N$184, 0,FALSE), IFERROR(VLOOKUP($A697,'Vocus SIT ExDa'!$B$2:$J$173, 0,FALSE), IFERROR(VLOOKUP($A697,'Telstra ExDa'!$B$2:$K$310, 0,FALSE), IFERROR(VLOOKUP($A697,'Vocus RVC ExDa'!$C$2:$R$155, 0,FALSE), IFERROR(VLOOKUP($A697,'Fusion ExDa'!$B$2:$D$16, 0,FALSE), IFERROR(VLOOKUP($A697,'Exetel ExDa'!$C$2:$N$14, 8,FALSE), IFERROR(VLOOKUP($A697,'Infinet ExDa'!$B$2:$E$14, 0,FALSE), "Not Found"))))))))</f>
        <v>Not Found</v>
      </c>
      <c r="J697" t="str">
        <f>IFERROR(VLOOKUP($A697,'AAPT ExDa'!$B$2:$U$99, 7,FALSE), IFERROR(VLOOKUP($A697,'ABB ExDa'!$A$2:$N$184, 2,FALSE), IFERROR(VLOOKUP($A697,'Vocus SIT ExDa'!$B$2:$J$173, 0,FALSE), IFERROR(VLOOKUP($A697,'Telstra ExDa'!$B$2:$K$310, 7,FALSE), IFERROR(VLOOKUP($A697,'Vocus RVC ExDa'!$C$2:$R$155, 2,FALSE), IFERROR(VLOOKUP($A697,'Fusion ExDa'!$B$2:$D$16, 3,FALSE), IFERROR(VLOOKUP($A697,'Exetel ExDa'!$C$2:$N$14, 0,FALSE), IFERROR(VLOOKUP($A697,'Infinet ExDa'!$B$2:$E$14, 0,FALSE), "Not Found"))))))))</f>
        <v>Not Found</v>
      </c>
      <c r="K697" t="str">
        <f>IFERROR(VLOOKUP($A697,'AAPT ExDa'!$B$2:$U$99, 12,FALSE), IFERROR(VLOOKUP($A697,'ABB ExDa'!$A$2:$N$184, 0,FALSE), IFERROR(VLOOKUP($A697,'Vocus SIT ExDa'!$B$2:$J$173, 0,FALSE), IFERROR(VLOOKUP($A697,'Telstra ExDa'!$B$2:$K$310, 0,FALSE), IFERROR(VLOOKUP($A697,'Vocus RVC ExDa'!$C$2:$R$155, 0,FALSE), IFERROR(VLOOKUP($A697,'Fusion ExDa'!$B$2:$D$16, 0,FALSE), IFERROR(VLOOKUP($A697,'Exetel ExDa'!$C$2:$N$14, 12,FALSE), IFERROR(VLOOKUP($A697,'Infinet ExDa'!$B$2:$E$14, 0,FALSE), "Not Found"))))))))</f>
        <v>Not Found</v>
      </c>
      <c r="L697" s="235" t="str">
        <f>IFERROR(VLOOKUP($A697,'AAPT ExDa'!$B$2:$U$99, 11,FALSE), IFERROR(VLOOKUP($A697,'ABB ExDa'!$A$2:$N$184, 9,FALSE), IFERROR(VLOOKUP($A697,'Vocus SIT ExDa'!$B$2:$J$173, 8,FALSE), IFERROR(VLOOKUP($A697,'Telstra ExDa'!$B$2:$K$310, 0,FALSE), IFERROR(VLOOKUP($A697,'Vocus RVC ExDa'!$C$2:$R$155, 0,FALSE), IFERROR(VLOOKUP($A697,'Fusion ExDa'!$B$2:$D$16, 0,FALSE), IFERROR(VLOOKUP($A697,'Exetel ExDa'!$C$2:$N$14, 9,FALSE), IFERROR(VLOOKUP($A697,'Infinet ExDa'!$B$2:$E$14, 0,FALSE), "Not Found"))))))))</f>
        <v>Not Found</v>
      </c>
      <c r="M697" s="234" t="str">
        <f>IFERROR(VLOOKUP($A697,'AAPT ExDa'!$B$2:$U$99, 0,FALSE), IFERROR(VLOOKUP($A697,'ABB ExDa'!$A$2:$N$184, 0,FALSE), IFERROR(VLOOKUP($A697,'Vocus SIT ExDa'!$B$2:$J$173, 0,FALSE), IFERROR(VLOOKUP($A697,'Telstra ExDa'!$B$2:$K$310, 0,FALSE), IFERROR(VLOOKUP($A697,'Vocus RVC ExDa'!$C$2:$R$155, 0,FALSE), IFERROR(VLOOKUP($A697,'Fusion ExDa'!$B$2:$D$16, 0,FALSE), IFERROR(VLOOKUP($A697,'Exetel ExDa'!$C$2:$N$14, 11,FALSE), IFERROR(VLOOKUP($A697,'Infinet ExDa'!$B$2:$E$14, 0,FALSE), "Not Found"))))))))</f>
        <v>Not Found</v>
      </c>
      <c r="N697" t="str">
        <f>IFERROR(VLOOKUP($A697,'AAPT ExDa'!$B$2:$U$99, 0,FALSE), IFERROR(VLOOKUP($A697,'ABB ExDa'!$A$2:$N$184, 13,FALSE), IFERROR(VLOOKUP($A697,'Vocus SIT ExDa'!$B$2:$J$173, 0,FALSE), IFERROR(VLOOKUP($A697,'Telstra ExDa'!$B$2:$K$310, 0,FALSE), IFERROR(VLOOKUP($A697,'Vocus RVC ExDa'!$C$2:$R$155, 0,FALSE), IFERROR(VLOOKUP($A697,'Fusion ExDa'!$B$2:$D$16, 0,FALSE), IFERROR(VLOOKUP($A697,'Exetel ExDa'!$C$2:$N$14, 0,FALSE), IFERROR(VLOOKUP($A697,'Infinet ExDa'!$B$2:$E$14, 0,FALSE), "Not Found"))))))))</f>
        <v>Not Found</v>
      </c>
    </row>
    <row r="698" spans="1:14">
      <c r="A698">
        <v>0</v>
      </c>
      <c r="B698" t="str">
        <f>IFERROR(VLOOKUP(A698,'Exetel ExDa'!$C$2:$N$14,4,FALSE),"No Data")</f>
        <v>No Data</v>
      </c>
      <c r="C698" t="str">
        <f>IFERROR(VLOOKUP(A698,'AAPT ExDa'!$B$2:$U$99, 2,FALSE), IFERROR(VLOOKUP(A698,'ABB ExDa'!$A$2:$N$184, 2,FALSE), IFERROR(VLOOKUP(A698,'Vocus SIT ExDa'!$B$2:$J$173, 7,FALSE), IFERROR(VLOOKUP(A698,'Telstra ExDa'!$B$2:$K$310, 2,FALSE), IFERROR(VLOOKUP(A698,'Vocus RVC ExDa'!$C$2:$R$155, 3,FALSE), IFERROR(VLOOKUP(A698,'Fusion ExDa'!$B$2:$D$16, 2,FALSE), IFERROR(VLOOKUP(A698,'Exetel ExDa'!$C$2:$N$14, 2,FALSE), IFERROR(VLOOKUP(A698,'Infinet ExDa'!$B$2:$E$14, 2,FALSE), "Not Found"))))))))</f>
        <v>Not Found</v>
      </c>
      <c r="D698" t="str">
        <f>IFERROR(VLOOKUP($A698,'AAPT ExDa'!$B$2:$U$99, 15,FALSE), IFERROR(VLOOKUP($A698,'ABB ExDa'!$A$2:$N$184, 4,FALSE), IFERROR(VLOOKUP($A698,'Vocus SIT ExDa'!$B$2:$J$173, 5,FALSE), IFERROR(VLOOKUP($A698,'Telstra ExDa'!$B$2:$K$310, 8,FALSE), IFERROR(VLOOKUP($A698,'Vocus RVC ExDa'!$C$2:$R$155, 6,FALSE), IFERROR(VLOOKUP($A698,'Fusion ExDa'!$B$2:$D$16, 4,FALSE), IFERROR(VLOOKUP($A698,'Exetel ExDa'!$C$2:$N$14, 3,FALSE), IFERROR(VLOOKUP($A698,'Infinet ExDa'!$B$2:$E$14, 3,FALSE), "Not Found"))))))))</f>
        <v>Not Found</v>
      </c>
      <c r="E698" t="str">
        <f>IFERROR(VLOOKUP($A698,'AAPT ExDa'!$B$2:$U$99, 3,FALSE), IFERROR(VLOOKUP($A698,'ABB ExDa'!$A$2:$N$184, 5,FALSE), IFERROR(VLOOKUP($A698,'Vocus SIT ExDa'!$B$2:$J$173, 2,FALSE), IFERROR(VLOOKUP($A698,'Telstra ExDa'!$B$2:$K$310, 4,FALSE), IFERROR(VLOOKUP($A698,'Vocus RVC ExDa'!$C$2:$R$155, 8,FALSE), IFERROR(VLOOKUP($A698,'Fusion ExDa'!$B$2:$D$16, 4,FALSE), IFERROR(VLOOKUP($A698,'Exetel ExDa'!$C$2:$N$14, 5,FALSE), IFERROR(VLOOKUP($A698,'Infinet ExDa'!$B$2:$E$14, 3,FALSE), "Not Found"))))))))</f>
        <v>Not Found</v>
      </c>
      <c r="F698" t="str">
        <f>IFERROR(VLOOKUP($A698,'AAPT ExDa'!$B$2:$U$99, 4,FALSE), IFERROR(VLOOKUP($A698,'ABB ExDa'!$A$2:$N$184, 6,FALSE), IFERROR(VLOOKUP($A698,'Vocus SIT ExDa'!$B$2:$J$173, 3,FALSE), IFERROR(VLOOKUP($A698,'Telstra ExDa'!$B$2:$K$310, 5,FALSE), IFERROR(VLOOKUP($A698,'Vocus RVC ExDa'!$C$2:$R$155, 9,FALSE), IFERROR(VLOOKUP($A698,'Fusion ExDa'!$B$2:$D$16, 0,FALSE), IFERROR(VLOOKUP($A698,'Exetel ExDa'!$C$2:$N$14, 6,FALSE), IFERROR(VLOOKUP($A698,'Infinet ExDa'!$B$2:$E$14, 0,FALSE), "Not Found"))))))))</f>
        <v>Not Found</v>
      </c>
      <c r="G698" t="str">
        <f>IFERROR(VLOOKUP($A698,'AAPT ExDa'!$B$2:$U$99, 5,FALSE), IFERROR(VLOOKUP($A698,'ABB ExDa'!$A$2:$N$184, 8,FALSE), IFERROR(VLOOKUP($A698,'Vocus SIT ExDa'!$B$2:$J$173, 6,FALSE), IFERROR(VLOOKUP($A698,'Telstra ExDa'!$B$2:$K$310, 0,FALSE), IFERROR(VLOOKUP($A698,'Vocus RVC ExDa'!$C$2:$R$155, 15,FALSE), IFERROR(VLOOKUP($A698,'Fusion ExDa'!$B$2:$D$16, 0,FALSE), IFERROR(VLOOKUP($A698,'Exetel ExDa'!$C$2:$N$14, 7,FALSE), IFERROR(VLOOKUP($A698,'Infinet ExDa'!$B$2:$E$14, 0,FALSE), "Not Found"))))))))</f>
        <v>Not Found</v>
      </c>
      <c r="H698" t="str">
        <f>IFERROR(VLOOKUP($A698,'AAPT ExDa'!$B$2:$U$99, 6,FALSE), IFERROR(VLOOKUP($A698,'ABB ExDa'!$A$2:$N$184, 0,FALSE), IFERROR(VLOOKUP($A698,'Vocus SIT ExDa'!$B$2:$J$173, 0,FALSE), IFERROR(VLOOKUP($A698,'Telstra ExDa'!$B$2:$K$310, 0,FALSE), IFERROR(VLOOKUP($A698,'Vocus RVC ExDa'!$C$2:$R$155, 16,FALSE), IFERROR(VLOOKUP($A698,'Fusion ExDa'!$B$2:$D$16, 0,FALSE), IFERROR(VLOOKUP($A698,'Exetel ExDa'!$C$2:$N$14, 0,FALSE), IFERROR(VLOOKUP($A698,'Infinet ExDa'!$B$2:$E$14, 0,FALSE), "Not Found"))))))))</f>
        <v>Not Found</v>
      </c>
      <c r="I698" t="str">
        <f>IFERROR(VLOOKUP($A698,'AAPT ExDa'!$B$2:$U$99, 0,FALSE), IFERROR(VLOOKUP($A698,'ABB ExDa'!$A$2:$N$184, 0,FALSE), IFERROR(VLOOKUP($A698,'Vocus SIT ExDa'!$B$2:$J$173, 0,FALSE), IFERROR(VLOOKUP($A698,'Telstra ExDa'!$B$2:$K$310, 0,FALSE), IFERROR(VLOOKUP($A698,'Vocus RVC ExDa'!$C$2:$R$155, 0,FALSE), IFERROR(VLOOKUP($A698,'Fusion ExDa'!$B$2:$D$16, 0,FALSE), IFERROR(VLOOKUP($A698,'Exetel ExDa'!$C$2:$N$14, 8,FALSE), IFERROR(VLOOKUP($A698,'Infinet ExDa'!$B$2:$E$14, 0,FALSE), "Not Found"))))))))</f>
        <v>Not Found</v>
      </c>
      <c r="J698" t="str">
        <f>IFERROR(VLOOKUP($A698,'AAPT ExDa'!$B$2:$U$99, 7,FALSE), IFERROR(VLOOKUP($A698,'ABB ExDa'!$A$2:$N$184, 2,FALSE), IFERROR(VLOOKUP($A698,'Vocus SIT ExDa'!$B$2:$J$173, 0,FALSE), IFERROR(VLOOKUP($A698,'Telstra ExDa'!$B$2:$K$310, 7,FALSE), IFERROR(VLOOKUP($A698,'Vocus RVC ExDa'!$C$2:$R$155, 2,FALSE), IFERROR(VLOOKUP($A698,'Fusion ExDa'!$B$2:$D$16, 3,FALSE), IFERROR(VLOOKUP($A698,'Exetel ExDa'!$C$2:$N$14, 0,FALSE), IFERROR(VLOOKUP($A698,'Infinet ExDa'!$B$2:$E$14, 0,FALSE), "Not Found"))))))))</f>
        <v>Not Found</v>
      </c>
      <c r="K698" t="str">
        <f>IFERROR(VLOOKUP($A698,'AAPT ExDa'!$B$2:$U$99, 12,FALSE), IFERROR(VLOOKUP($A698,'ABB ExDa'!$A$2:$N$184, 0,FALSE), IFERROR(VLOOKUP($A698,'Vocus SIT ExDa'!$B$2:$J$173, 0,FALSE), IFERROR(VLOOKUP($A698,'Telstra ExDa'!$B$2:$K$310, 0,FALSE), IFERROR(VLOOKUP($A698,'Vocus RVC ExDa'!$C$2:$R$155, 0,FALSE), IFERROR(VLOOKUP($A698,'Fusion ExDa'!$B$2:$D$16, 0,FALSE), IFERROR(VLOOKUP($A698,'Exetel ExDa'!$C$2:$N$14, 12,FALSE), IFERROR(VLOOKUP($A698,'Infinet ExDa'!$B$2:$E$14, 0,FALSE), "Not Found"))))))))</f>
        <v>Not Found</v>
      </c>
      <c r="L698" s="235" t="str">
        <f>IFERROR(VLOOKUP($A698,'AAPT ExDa'!$B$2:$U$99, 11,FALSE), IFERROR(VLOOKUP($A698,'ABB ExDa'!$A$2:$N$184, 9,FALSE), IFERROR(VLOOKUP($A698,'Vocus SIT ExDa'!$B$2:$J$173, 8,FALSE), IFERROR(VLOOKUP($A698,'Telstra ExDa'!$B$2:$K$310, 0,FALSE), IFERROR(VLOOKUP($A698,'Vocus RVC ExDa'!$C$2:$R$155, 0,FALSE), IFERROR(VLOOKUP($A698,'Fusion ExDa'!$B$2:$D$16, 0,FALSE), IFERROR(VLOOKUP($A698,'Exetel ExDa'!$C$2:$N$14, 9,FALSE), IFERROR(VLOOKUP($A698,'Infinet ExDa'!$B$2:$E$14, 0,FALSE), "Not Found"))))))))</f>
        <v>Not Found</v>
      </c>
      <c r="M698" s="234" t="str">
        <f>IFERROR(VLOOKUP($A698,'AAPT ExDa'!$B$2:$U$99, 0,FALSE), IFERROR(VLOOKUP($A698,'ABB ExDa'!$A$2:$N$184, 0,FALSE), IFERROR(VLOOKUP($A698,'Vocus SIT ExDa'!$B$2:$J$173, 0,FALSE), IFERROR(VLOOKUP($A698,'Telstra ExDa'!$B$2:$K$310, 0,FALSE), IFERROR(VLOOKUP($A698,'Vocus RVC ExDa'!$C$2:$R$155, 0,FALSE), IFERROR(VLOOKUP($A698,'Fusion ExDa'!$B$2:$D$16, 0,FALSE), IFERROR(VLOOKUP($A698,'Exetel ExDa'!$C$2:$N$14, 11,FALSE), IFERROR(VLOOKUP($A698,'Infinet ExDa'!$B$2:$E$14, 0,FALSE), "Not Found"))))))))</f>
        <v>Not Found</v>
      </c>
      <c r="N698" t="str">
        <f>IFERROR(VLOOKUP($A698,'AAPT ExDa'!$B$2:$U$99, 0,FALSE), IFERROR(VLOOKUP($A698,'ABB ExDa'!$A$2:$N$184, 13,FALSE), IFERROR(VLOOKUP($A698,'Vocus SIT ExDa'!$B$2:$J$173, 0,FALSE), IFERROR(VLOOKUP($A698,'Telstra ExDa'!$B$2:$K$310, 0,FALSE), IFERROR(VLOOKUP($A698,'Vocus RVC ExDa'!$C$2:$R$155, 0,FALSE), IFERROR(VLOOKUP($A698,'Fusion ExDa'!$B$2:$D$16, 0,FALSE), IFERROR(VLOOKUP($A698,'Exetel ExDa'!$C$2:$N$14, 0,FALSE), IFERROR(VLOOKUP($A698,'Infinet ExDa'!$B$2:$E$14, 0,FALSE), "Not Found"))))))))</f>
        <v>Not Found</v>
      </c>
    </row>
    <row r="699" spans="1:14">
      <c r="A699">
        <v>0</v>
      </c>
      <c r="B699" t="str">
        <f>IFERROR(VLOOKUP(A699,'Exetel ExDa'!$C$2:$N$14,4,FALSE),"No Data")</f>
        <v>No Data</v>
      </c>
      <c r="C699" t="str">
        <f>IFERROR(VLOOKUP(A699,'AAPT ExDa'!$B$2:$U$99, 2,FALSE), IFERROR(VLOOKUP(A699,'ABB ExDa'!$A$2:$N$184, 2,FALSE), IFERROR(VLOOKUP(A699,'Vocus SIT ExDa'!$B$2:$J$173, 7,FALSE), IFERROR(VLOOKUP(A699,'Telstra ExDa'!$B$2:$K$310, 2,FALSE), IFERROR(VLOOKUP(A699,'Vocus RVC ExDa'!$C$2:$R$155, 3,FALSE), IFERROR(VLOOKUP(A699,'Fusion ExDa'!$B$2:$D$16, 2,FALSE), IFERROR(VLOOKUP(A699,'Exetel ExDa'!$C$2:$N$14, 2,FALSE), IFERROR(VLOOKUP(A699,'Infinet ExDa'!$B$2:$E$14, 2,FALSE), "Not Found"))))))))</f>
        <v>Not Found</v>
      </c>
      <c r="D699" t="str">
        <f>IFERROR(VLOOKUP($A699,'AAPT ExDa'!$B$2:$U$99, 15,FALSE), IFERROR(VLOOKUP($A699,'ABB ExDa'!$A$2:$N$184, 4,FALSE), IFERROR(VLOOKUP($A699,'Vocus SIT ExDa'!$B$2:$J$173, 5,FALSE), IFERROR(VLOOKUP($A699,'Telstra ExDa'!$B$2:$K$310, 8,FALSE), IFERROR(VLOOKUP($A699,'Vocus RVC ExDa'!$C$2:$R$155, 6,FALSE), IFERROR(VLOOKUP($A699,'Fusion ExDa'!$B$2:$D$16, 4,FALSE), IFERROR(VLOOKUP($A699,'Exetel ExDa'!$C$2:$N$14, 3,FALSE), IFERROR(VLOOKUP($A699,'Infinet ExDa'!$B$2:$E$14, 3,FALSE), "Not Found"))))))))</f>
        <v>Not Found</v>
      </c>
      <c r="E699" t="str">
        <f>IFERROR(VLOOKUP($A699,'AAPT ExDa'!$B$2:$U$99, 3,FALSE), IFERROR(VLOOKUP($A699,'ABB ExDa'!$A$2:$N$184, 5,FALSE), IFERROR(VLOOKUP($A699,'Vocus SIT ExDa'!$B$2:$J$173, 2,FALSE), IFERROR(VLOOKUP($A699,'Telstra ExDa'!$B$2:$K$310, 4,FALSE), IFERROR(VLOOKUP($A699,'Vocus RVC ExDa'!$C$2:$R$155, 8,FALSE), IFERROR(VLOOKUP($A699,'Fusion ExDa'!$B$2:$D$16, 4,FALSE), IFERROR(VLOOKUP($A699,'Exetel ExDa'!$C$2:$N$14, 5,FALSE), IFERROR(VLOOKUP($A699,'Infinet ExDa'!$B$2:$E$14, 3,FALSE), "Not Found"))))))))</f>
        <v>Not Found</v>
      </c>
      <c r="F699" t="str">
        <f>IFERROR(VLOOKUP($A699,'AAPT ExDa'!$B$2:$U$99, 4,FALSE), IFERROR(VLOOKUP($A699,'ABB ExDa'!$A$2:$N$184, 6,FALSE), IFERROR(VLOOKUP($A699,'Vocus SIT ExDa'!$B$2:$J$173, 3,FALSE), IFERROR(VLOOKUP($A699,'Telstra ExDa'!$B$2:$K$310, 5,FALSE), IFERROR(VLOOKUP($A699,'Vocus RVC ExDa'!$C$2:$R$155, 9,FALSE), IFERROR(VLOOKUP($A699,'Fusion ExDa'!$B$2:$D$16, 0,FALSE), IFERROR(VLOOKUP($A699,'Exetel ExDa'!$C$2:$N$14, 6,FALSE), IFERROR(VLOOKUP($A699,'Infinet ExDa'!$B$2:$E$14, 0,FALSE), "Not Found"))))))))</f>
        <v>Not Found</v>
      </c>
      <c r="G699" t="str">
        <f>IFERROR(VLOOKUP($A699,'AAPT ExDa'!$B$2:$U$99, 5,FALSE), IFERROR(VLOOKUP($A699,'ABB ExDa'!$A$2:$N$184, 8,FALSE), IFERROR(VLOOKUP($A699,'Vocus SIT ExDa'!$B$2:$J$173, 6,FALSE), IFERROR(VLOOKUP($A699,'Telstra ExDa'!$B$2:$K$310, 0,FALSE), IFERROR(VLOOKUP($A699,'Vocus RVC ExDa'!$C$2:$R$155, 15,FALSE), IFERROR(VLOOKUP($A699,'Fusion ExDa'!$B$2:$D$16, 0,FALSE), IFERROR(VLOOKUP($A699,'Exetel ExDa'!$C$2:$N$14, 7,FALSE), IFERROR(VLOOKUP($A699,'Infinet ExDa'!$B$2:$E$14, 0,FALSE), "Not Found"))))))))</f>
        <v>Not Found</v>
      </c>
      <c r="H699" t="str">
        <f>IFERROR(VLOOKUP($A699,'AAPT ExDa'!$B$2:$U$99, 6,FALSE), IFERROR(VLOOKUP($A699,'ABB ExDa'!$A$2:$N$184, 0,FALSE), IFERROR(VLOOKUP($A699,'Vocus SIT ExDa'!$B$2:$J$173, 0,FALSE), IFERROR(VLOOKUP($A699,'Telstra ExDa'!$B$2:$K$310, 0,FALSE), IFERROR(VLOOKUP($A699,'Vocus RVC ExDa'!$C$2:$R$155, 16,FALSE), IFERROR(VLOOKUP($A699,'Fusion ExDa'!$B$2:$D$16, 0,FALSE), IFERROR(VLOOKUP($A699,'Exetel ExDa'!$C$2:$N$14, 0,FALSE), IFERROR(VLOOKUP($A699,'Infinet ExDa'!$B$2:$E$14, 0,FALSE), "Not Found"))))))))</f>
        <v>Not Found</v>
      </c>
      <c r="I699" t="str">
        <f>IFERROR(VLOOKUP($A699,'AAPT ExDa'!$B$2:$U$99, 0,FALSE), IFERROR(VLOOKUP($A699,'ABB ExDa'!$A$2:$N$184, 0,FALSE), IFERROR(VLOOKUP($A699,'Vocus SIT ExDa'!$B$2:$J$173, 0,FALSE), IFERROR(VLOOKUP($A699,'Telstra ExDa'!$B$2:$K$310, 0,FALSE), IFERROR(VLOOKUP($A699,'Vocus RVC ExDa'!$C$2:$R$155, 0,FALSE), IFERROR(VLOOKUP($A699,'Fusion ExDa'!$B$2:$D$16, 0,FALSE), IFERROR(VLOOKUP($A699,'Exetel ExDa'!$C$2:$N$14, 8,FALSE), IFERROR(VLOOKUP($A699,'Infinet ExDa'!$B$2:$E$14, 0,FALSE), "Not Found"))))))))</f>
        <v>Not Found</v>
      </c>
      <c r="J699" t="str">
        <f>IFERROR(VLOOKUP($A699,'AAPT ExDa'!$B$2:$U$99, 7,FALSE), IFERROR(VLOOKUP($A699,'ABB ExDa'!$A$2:$N$184, 2,FALSE), IFERROR(VLOOKUP($A699,'Vocus SIT ExDa'!$B$2:$J$173, 0,FALSE), IFERROR(VLOOKUP($A699,'Telstra ExDa'!$B$2:$K$310, 7,FALSE), IFERROR(VLOOKUP($A699,'Vocus RVC ExDa'!$C$2:$R$155, 2,FALSE), IFERROR(VLOOKUP($A699,'Fusion ExDa'!$B$2:$D$16, 3,FALSE), IFERROR(VLOOKUP($A699,'Exetel ExDa'!$C$2:$N$14, 0,FALSE), IFERROR(VLOOKUP($A699,'Infinet ExDa'!$B$2:$E$14, 0,FALSE), "Not Found"))))))))</f>
        <v>Not Found</v>
      </c>
      <c r="K699" t="str">
        <f>IFERROR(VLOOKUP($A699,'AAPT ExDa'!$B$2:$U$99, 12,FALSE), IFERROR(VLOOKUP($A699,'ABB ExDa'!$A$2:$N$184, 0,FALSE), IFERROR(VLOOKUP($A699,'Vocus SIT ExDa'!$B$2:$J$173, 0,FALSE), IFERROR(VLOOKUP($A699,'Telstra ExDa'!$B$2:$K$310, 0,FALSE), IFERROR(VLOOKUP($A699,'Vocus RVC ExDa'!$C$2:$R$155, 0,FALSE), IFERROR(VLOOKUP($A699,'Fusion ExDa'!$B$2:$D$16, 0,FALSE), IFERROR(VLOOKUP($A699,'Exetel ExDa'!$C$2:$N$14, 12,FALSE), IFERROR(VLOOKUP($A699,'Infinet ExDa'!$B$2:$E$14, 0,FALSE), "Not Found"))))))))</f>
        <v>Not Found</v>
      </c>
      <c r="L699" s="235" t="str">
        <f>IFERROR(VLOOKUP($A699,'AAPT ExDa'!$B$2:$U$99, 11,FALSE), IFERROR(VLOOKUP($A699,'ABB ExDa'!$A$2:$N$184, 9,FALSE), IFERROR(VLOOKUP($A699,'Vocus SIT ExDa'!$B$2:$J$173, 8,FALSE), IFERROR(VLOOKUP($A699,'Telstra ExDa'!$B$2:$K$310, 0,FALSE), IFERROR(VLOOKUP($A699,'Vocus RVC ExDa'!$C$2:$R$155, 0,FALSE), IFERROR(VLOOKUP($A699,'Fusion ExDa'!$B$2:$D$16, 0,FALSE), IFERROR(VLOOKUP($A699,'Exetel ExDa'!$C$2:$N$14, 9,FALSE), IFERROR(VLOOKUP($A699,'Infinet ExDa'!$B$2:$E$14, 0,FALSE), "Not Found"))))))))</f>
        <v>Not Found</v>
      </c>
      <c r="M699" s="234" t="str">
        <f>IFERROR(VLOOKUP($A699,'AAPT ExDa'!$B$2:$U$99, 0,FALSE), IFERROR(VLOOKUP($A699,'ABB ExDa'!$A$2:$N$184, 0,FALSE), IFERROR(VLOOKUP($A699,'Vocus SIT ExDa'!$B$2:$J$173, 0,FALSE), IFERROR(VLOOKUP($A699,'Telstra ExDa'!$B$2:$K$310, 0,FALSE), IFERROR(VLOOKUP($A699,'Vocus RVC ExDa'!$C$2:$R$155, 0,FALSE), IFERROR(VLOOKUP($A699,'Fusion ExDa'!$B$2:$D$16, 0,FALSE), IFERROR(VLOOKUP($A699,'Exetel ExDa'!$C$2:$N$14, 11,FALSE), IFERROR(VLOOKUP($A699,'Infinet ExDa'!$B$2:$E$14, 0,FALSE), "Not Found"))))))))</f>
        <v>Not Found</v>
      </c>
      <c r="N699" t="str">
        <f>IFERROR(VLOOKUP($A699,'AAPT ExDa'!$B$2:$U$99, 0,FALSE), IFERROR(VLOOKUP($A699,'ABB ExDa'!$A$2:$N$184, 13,FALSE), IFERROR(VLOOKUP($A699,'Vocus SIT ExDa'!$B$2:$J$173, 0,FALSE), IFERROR(VLOOKUP($A699,'Telstra ExDa'!$B$2:$K$310, 0,FALSE), IFERROR(VLOOKUP($A699,'Vocus RVC ExDa'!$C$2:$R$155, 0,FALSE), IFERROR(VLOOKUP($A699,'Fusion ExDa'!$B$2:$D$16, 0,FALSE), IFERROR(VLOOKUP($A699,'Exetel ExDa'!$C$2:$N$14, 0,FALSE), IFERROR(VLOOKUP($A699,'Infinet ExDa'!$B$2:$E$14, 0,FALSE), "Not Found"))))))))</f>
        <v>Not Found</v>
      </c>
    </row>
    <row r="700" spans="1:14">
      <c r="A700">
        <v>0</v>
      </c>
      <c r="B700" t="str">
        <f>IFERROR(VLOOKUP(A700,'Exetel ExDa'!$C$2:$N$14,4,FALSE),"No Data")</f>
        <v>No Data</v>
      </c>
      <c r="C700" t="str">
        <f>IFERROR(VLOOKUP(A700,'AAPT ExDa'!$B$2:$U$99, 2,FALSE), IFERROR(VLOOKUP(A700,'ABB ExDa'!$A$2:$N$184, 2,FALSE), IFERROR(VLOOKUP(A700,'Vocus SIT ExDa'!$B$2:$J$173, 7,FALSE), IFERROR(VLOOKUP(A700,'Telstra ExDa'!$B$2:$K$310, 2,FALSE), IFERROR(VLOOKUP(A700,'Vocus RVC ExDa'!$C$2:$R$155, 3,FALSE), IFERROR(VLOOKUP(A700,'Fusion ExDa'!$B$2:$D$16, 2,FALSE), IFERROR(VLOOKUP(A700,'Exetel ExDa'!$C$2:$N$14, 2,FALSE), IFERROR(VLOOKUP(A700,'Infinet ExDa'!$B$2:$E$14, 2,FALSE), "Not Found"))))))))</f>
        <v>Not Found</v>
      </c>
      <c r="D700" t="str">
        <f>IFERROR(VLOOKUP($A700,'AAPT ExDa'!$B$2:$U$99, 15,FALSE), IFERROR(VLOOKUP($A700,'ABB ExDa'!$A$2:$N$184, 4,FALSE), IFERROR(VLOOKUP($A700,'Vocus SIT ExDa'!$B$2:$J$173, 5,FALSE), IFERROR(VLOOKUP($A700,'Telstra ExDa'!$B$2:$K$310, 8,FALSE), IFERROR(VLOOKUP($A700,'Vocus RVC ExDa'!$C$2:$R$155, 6,FALSE), IFERROR(VLOOKUP($A700,'Fusion ExDa'!$B$2:$D$16, 4,FALSE), IFERROR(VLOOKUP($A700,'Exetel ExDa'!$C$2:$N$14, 3,FALSE), IFERROR(VLOOKUP($A700,'Infinet ExDa'!$B$2:$E$14, 3,FALSE), "Not Found"))))))))</f>
        <v>Not Found</v>
      </c>
      <c r="E700" t="str">
        <f>IFERROR(VLOOKUP($A700,'AAPT ExDa'!$B$2:$U$99, 3,FALSE), IFERROR(VLOOKUP($A700,'ABB ExDa'!$A$2:$N$184, 5,FALSE), IFERROR(VLOOKUP($A700,'Vocus SIT ExDa'!$B$2:$J$173, 2,FALSE), IFERROR(VLOOKUP($A700,'Telstra ExDa'!$B$2:$K$310, 4,FALSE), IFERROR(VLOOKUP($A700,'Vocus RVC ExDa'!$C$2:$R$155, 8,FALSE), IFERROR(VLOOKUP($A700,'Fusion ExDa'!$B$2:$D$16, 4,FALSE), IFERROR(VLOOKUP($A700,'Exetel ExDa'!$C$2:$N$14, 5,FALSE), IFERROR(VLOOKUP($A700,'Infinet ExDa'!$B$2:$E$14, 3,FALSE), "Not Found"))))))))</f>
        <v>Not Found</v>
      </c>
      <c r="F700" t="str">
        <f>IFERROR(VLOOKUP($A700,'AAPT ExDa'!$B$2:$U$99, 4,FALSE), IFERROR(VLOOKUP($A700,'ABB ExDa'!$A$2:$N$184, 6,FALSE), IFERROR(VLOOKUP($A700,'Vocus SIT ExDa'!$B$2:$J$173, 3,FALSE), IFERROR(VLOOKUP($A700,'Telstra ExDa'!$B$2:$K$310, 5,FALSE), IFERROR(VLOOKUP($A700,'Vocus RVC ExDa'!$C$2:$R$155, 9,FALSE), IFERROR(VLOOKUP($A700,'Fusion ExDa'!$B$2:$D$16, 0,FALSE), IFERROR(VLOOKUP($A700,'Exetel ExDa'!$C$2:$N$14, 6,FALSE), IFERROR(VLOOKUP($A700,'Infinet ExDa'!$B$2:$E$14, 0,FALSE), "Not Found"))))))))</f>
        <v>Not Found</v>
      </c>
      <c r="G700" t="str">
        <f>IFERROR(VLOOKUP($A700,'AAPT ExDa'!$B$2:$U$99, 5,FALSE), IFERROR(VLOOKUP($A700,'ABB ExDa'!$A$2:$N$184, 8,FALSE), IFERROR(VLOOKUP($A700,'Vocus SIT ExDa'!$B$2:$J$173, 6,FALSE), IFERROR(VLOOKUP($A700,'Telstra ExDa'!$B$2:$K$310, 0,FALSE), IFERROR(VLOOKUP($A700,'Vocus RVC ExDa'!$C$2:$R$155, 15,FALSE), IFERROR(VLOOKUP($A700,'Fusion ExDa'!$B$2:$D$16, 0,FALSE), IFERROR(VLOOKUP($A700,'Exetel ExDa'!$C$2:$N$14, 7,FALSE), IFERROR(VLOOKUP($A700,'Infinet ExDa'!$B$2:$E$14, 0,FALSE), "Not Found"))))))))</f>
        <v>Not Found</v>
      </c>
      <c r="H700" t="str">
        <f>IFERROR(VLOOKUP($A700,'AAPT ExDa'!$B$2:$U$99, 6,FALSE), IFERROR(VLOOKUP($A700,'ABB ExDa'!$A$2:$N$184, 0,FALSE), IFERROR(VLOOKUP($A700,'Vocus SIT ExDa'!$B$2:$J$173, 0,FALSE), IFERROR(VLOOKUP($A700,'Telstra ExDa'!$B$2:$K$310, 0,FALSE), IFERROR(VLOOKUP($A700,'Vocus RVC ExDa'!$C$2:$R$155, 16,FALSE), IFERROR(VLOOKUP($A700,'Fusion ExDa'!$B$2:$D$16, 0,FALSE), IFERROR(VLOOKUP($A700,'Exetel ExDa'!$C$2:$N$14, 0,FALSE), IFERROR(VLOOKUP($A700,'Infinet ExDa'!$B$2:$E$14, 0,FALSE), "Not Found"))))))))</f>
        <v>Not Found</v>
      </c>
      <c r="I700" t="str">
        <f>IFERROR(VLOOKUP($A700,'AAPT ExDa'!$B$2:$U$99, 0,FALSE), IFERROR(VLOOKUP($A700,'ABB ExDa'!$A$2:$N$184, 0,FALSE), IFERROR(VLOOKUP($A700,'Vocus SIT ExDa'!$B$2:$J$173, 0,FALSE), IFERROR(VLOOKUP($A700,'Telstra ExDa'!$B$2:$K$310, 0,FALSE), IFERROR(VLOOKUP($A700,'Vocus RVC ExDa'!$C$2:$R$155, 0,FALSE), IFERROR(VLOOKUP($A700,'Fusion ExDa'!$B$2:$D$16, 0,FALSE), IFERROR(VLOOKUP($A700,'Exetel ExDa'!$C$2:$N$14, 8,FALSE), IFERROR(VLOOKUP($A700,'Infinet ExDa'!$B$2:$E$14, 0,FALSE), "Not Found"))))))))</f>
        <v>Not Found</v>
      </c>
      <c r="J700" t="str">
        <f>IFERROR(VLOOKUP($A700,'AAPT ExDa'!$B$2:$U$99, 7,FALSE), IFERROR(VLOOKUP($A700,'ABB ExDa'!$A$2:$N$184, 2,FALSE), IFERROR(VLOOKUP($A700,'Vocus SIT ExDa'!$B$2:$J$173, 0,FALSE), IFERROR(VLOOKUP($A700,'Telstra ExDa'!$B$2:$K$310, 7,FALSE), IFERROR(VLOOKUP($A700,'Vocus RVC ExDa'!$C$2:$R$155, 2,FALSE), IFERROR(VLOOKUP($A700,'Fusion ExDa'!$B$2:$D$16, 3,FALSE), IFERROR(VLOOKUP($A700,'Exetel ExDa'!$C$2:$N$14, 0,FALSE), IFERROR(VLOOKUP($A700,'Infinet ExDa'!$B$2:$E$14, 0,FALSE), "Not Found"))))))))</f>
        <v>Not Found</v>
      </c>
      <c r="K700" t="str">
        <f>IFERROR(VLOOKUP($A700,'AAPT ExDa'!$B$2:$U$99, 12,FALSE), IFERROR(VLOOKUP($A700,'ABB ExDa'!$A$2:$N$184, 0,FALSE), IFERROR(VLOOKUP($A700,'Vocus SIT ExDa'!$B$2:$J$173, 0,FALSE), IFERROR(VLOOKUP($A700,'Telstra ExDa'!$B$2:$K$310, 0,FALSE), IFERROR(VLOOKUP($A700,'Vocus RVC ExDa'!$C$2:$R$155, 0,FALSE), IFERROR(VLOOKUP($A700,'Fusion ExDa'!$B$2:$D$16, 0,FALSE), IFERROR(VLOOKUP($A700,'Exetel ExDa'!$C$2:$N$14, 12,FALSE), IFERROR(VLOOKUP($A700,'Infinet ExDa'!$B$2:$E$14, 0,FALSE), "Not Found"))))))))</f>
        <v>Not Found</v>
      </c>
      <c r="L700" s="235" t="str">
        <f>IFERROR(VLOOKUP($A700,'AAPT ExDa'!$B$2:$U$99, 11,FALSE), IFERROR(VLOOKUP($A700,'ABB ExDa'!$A$2:$N$184, 9,FALSE), IFERROR(VLOOKUP($A700,'Vocus SIT ExDa'!$B$2:$J$173, 8,FALSE), IFERROR(VLOOKUP($A700,'Telstra ExDa'!$B$2:$K$310, 0,FALSE), IFERROR(VLOOKUP($A700,'Vocus RVC ExDa'!$C$2:$R$155, 0,FALSE), IFERROR(VLOOKUP($A700,'Fusion ExDa'!$B$2:$D$16, 0,FALSE), IFERROR(VLOOKUP($A700,'Exetel ExDa'!$C$2:$N$14, 9,FALSE), IFERROR(VLOOKUP($A700,'Infinet ExDa'!$B$2:$E$14, 0,FALSE), "Not Found"))))))))</f>
        <v>Not Found</v>
      </c>
      <c r="M700" s="234" t="str">
        <f>IFERROR(VLOOKUP($A700,'AAPT ExDa'!$B$2:$U$99, 0,FALSE), IFERROR(VLOOKUP($A700,'ABB ExDa'!$A$2:$N$184, 0,FALSE), IFERROR(VLOOKUP($A700,'Vocus SIT ExDa'!$B$2:$J$173, 0,FALSE), IFERROR(VLOOKUP($A700,'Telstra ExDa'!$B$2:$K$310, 0,FALSE), IFERROR(VLOOKUP($A700,'Vocus RVC ExDa'!$C$2:$R$155, 0,FALSE), IFERROR(VLOOKUP($A700,'Fusion ExDa'!$B$2:$D$16, 0,FALSE), IFERROR(VLOOKUP($A700,'Exetel ExDa'!$C$2:$N$14, 11,FALSE), IFERROR(VLOOKUP($A700,'Infinet ExDa'!$B$2:$E$14, 0,FALSE), "Not Found"))))))))</f>
        <v>Not Found</v>
      </c>
      <c r="N700" t="str">
        <f>IFERROR(VLOOKUP($A700,'AAPT ExDa'!$B$2:$U$99, 0,FALSE), IFERROR(VLOOKUP($A700,'ABB ExDa'!$A$2:$N$184, 13,FALSE), IFERROR(VLOOKUP($A700,'Vocus SIT ExDa'!$B$2:$J$173, 0,FALSE), IFERROR(VLOOKUP($A700,'Telstra ExDa'!$B$2:$K$310, 0,FALSE), IFERROR(VLOOKUP($A700,'Vocus RVC ExDa'!$C$2:$R$155, 0,FALSE), IFERROR(VLOOKUP($A700,'Fusion ExDa'!$B$2:$D$16, 0,FALSE), IFERROR(VLOOKUP($A700,'Exetel ExDa'!$C$2:$N$14, 0,FALSE), IFERROR(VLOOKUP($A700,'Infinet ExDa'!$B$2:$E$14, 0,FALSE), "Not Found"))))))))</f>
        <v>Not Found</v>
      </c>
    </row>
    <row r="701" spans="1:14">
      <c r="A701">
        <v>0</v>
      </c>
      <c r="B701" t="str">
        <f>IFERROR(VLOOKUP(A701,'Exetel ExDa'!$C$2:$N$14,4,FALSE),"No Data")</f>
        <v>No Data</v>
      </c>
      <c r="C701" t="str">
        <f>IFERROR(VLOOKUP(A701,'AAPT ExDa'!$B$2:$U$99, 2,FALSE), IFERROR(VLOOKUP(A701,'ABB ExDa'!$A$2:$N$184, 2,FALSE), IFERROR(VLOOKUP(A701,'Vocus SIT ExDa'!$B$2:$J$173, 7,FALSE), IFERROR(VLOOKUP(A701,'Telstra ExDa'!$B$2:$K$310, 2,FALSE), IFERROR(VLOOKUP(A701,'Vocus RVC ExDa'!$C$2:$R$155, 3,FALSE), IFERROR(VLOOKUP(A701,'Fusion ExDa'!$B$2:$D$16, 2,FALSE), IFERROR(VLOOKUP(A701,'Exetel ExDa'!$C$2:$N$14, 2,FALSE), IFERROR(VLOOKUP(A701,'Infinet ExDa'!$B$2:$E$14, 2,FALSE), "Not Found"))))))))</f>
        <v>Not Found</v>
      </c>
      <c r="D701" t="str">
        <f>IFERROR(VLOOKUP($A701,'AAPT ExDa'!$B$2:$U$99, 15,FALSE), IFERROR(VLOOKUP($A701,'ABB ExDa'!$A$2:$N$184, 4,FALSE), IFERROR(VLOOKUP($A701,'Vocus SIT ExDa'!$B$2:$J$173, 5,FALSE), IFERROR(VLOOKUP($A701,'Telstra ExDa'!$B$2:$K$310, 8,FALSE), IFERROR(VLOOKUP($A701,'Vocus RVC ExDa'!$C$2:$R$155, 6,FALSE), IFERROR(VLOOKUP($A701,'Fusion ExDa'!$B$2:$D$16, 4,FALSE), IFERROR(VLOOKUP($A701,'Exetel ExDa'!$C$2:$N$14, 3,FALSE), IFERROR(VLOOKUP($A701,'Infinet ExDa'!$B$2:$E$14, 3,FALSE), "Not Found"))))))))</f>
        <v>Not Found</v>
      </c>
      <c r="E701" t="str">
        <f>IFERROR(VLOOKUP($A701,'AAPT ExDa'!$B$2:$U$99, 3,FALSE), IFERROR(VLOOKUP($A701,'ABB ExDa'!$A$2:$N$184, 5,FALSE), IFERROR(VLOOKUP($A701,'Vocus SIT ExDa'!$B$2:$J$173, 2,FALSE), IFERROR(VLOOKUP($A701,'Telstra ExDa'!$B$2:$K$310, 4,FALSE), IFERROR(VLOOKUP($A701,'Vocus RVC ExDa'!$C$2:$R$155, 8,FALSE), IFERROR(VLOOKUP($A701,'Fusion ExDa'!$B$2:$D$16, 4,FALSE), IFERROR(VLOOKUP($A701,'Exetel ExDa'!$C$2:$N$14, 5,FALSE), IFERROR(VLOOKUP($A701,'Infinet ExDa'!$B$2:$E$14, 3,FALSE), "Not Found"))))))))</f>
        <v>Not Found</v>
      </c>
      <c r="F701" t="str">
        <f>IFERROR(VLOOKUP($A701,'AAPT ExDa'!$B$2:$U$99, 4,FALSE), IFERROR(VLOOKUP($A701,'ABB ExDa'!$A$2:$N$184, 6,FALSE), IFERROR(VLOOKUP($A701,'Vocus SIT ExDa'!$B$2:$J$173, 3,FALSE), IFERROR(VLOOKUP($A701,'Telstra ExDa'!$B$2:$K$310, 5,FALSE), IFERROR(VLOOKUP($A701,'Vocus RVC ExDa'!$C$2:$R$155, 9,FALSE), IFERROR(VLOOKUP($A701,'Fusion ExDa'!$B$2:$D$16, 0,FALSE), IFERROR(VLOOKUP($A701,'Exetel ExDa'!$C$2:$N$14, 6,FALSE), IFERROR(VLOOKUP($A701,'Infinet ExDa'!$B$2:$E$14, 0,FALSE), "Not Found"))))))))</f>
        <v>Not Found</v>
      </c>
      <c r="G701" t="str">
        <f>IFERROR(VLOOKUP($A701,'AAPT ExDa'!$B$2:$U$99, 5,FALSE), IFERROR(VLOOKUP($A701,'ABB ExDa'!$A$2:$N$184, 8,FALSE), IFERROR(VLOOKUP($A701,'Vocus SIT ExDa'!$B$2:$J$173, 6,FALSE), IFERROR(VLOOKUP($A701,'Telstra ExDa'!$B$2:$K$310, 0,FALSE), IFERROR(VLOOKUP($A701,'Vocus RVC ExDa'!$C$2:$R$155, 15,FALSE), IFERROR(VLOOKUP($A701,'Fusion ExDa'!$B$2:$D$16, 0,FALSE), IFERROR(VLOOKUP($A701,'Exetel ExDa'!$C$2:$N$14, 7,FALSE), IFERROR(VLOOKUP($A701,'Infinet ExDa'!$B$2:$E$14, 0,FALSE), "Not Found"))))))))</f>
        <v>Not Found</v>
      </c>
      <c r="H701" t="str">
        <f>IFERROR(VLOOKUP($A701,'AAPT ExDa'!$B$2:$U$99, 6,FALSE), IFERROR(VLOOKUP($A701,'ABB ExDa'!$A$2:$N$184, 0,FALSE), IFERROR(VLOOKUP($A701,'Vocus SIT ExDa'!$B$2:$J$173, 0,FALSE), IFERROR(VLOOKUP($A701,'Telstra ExDa'!$B$2:$K$310, 0,FALSE), IFERROR(VLOOKUP($A701,'Vocus RVC ExDa'!$C$2:$R$155, 16,FALSE), IFERROR(VLOOKUP($A701,'Fusion ExDa'!$B$2:$D$16, 0,FALSE), IFERROR(VLOOKUP($A701,'Exetel ExDa'!$C$2:$N$14, 0,FALSE), IFERROR(VLOOKUP($A701,'Infinet ExDa'!$B$2:$E$14, 0,FALSE), "Not Found"))))))))</f>
        <v>Not Found</v>
      </c>
      <c r="I701" t="str">
        <f>IFERROR(VLOOKUP($A701,'AAPT ExDa'!$B$2:$U$99, 0,FALSE), IFERROR(VLOOKUP($A701,'ABB ExDa'!$A$2:$N$184, 0,FALSE), IFERROR(VLOOKUP($A701,'Vocus SIT ExDa'!$B$2:$J$173, 0,FALSE), IFERROR(VLOOKUP($A701,'Telstra ExDa'!$B$2:$K$310, 0,FALSE), IFERROR(VLOOKUP($A701,'Vocus RVC ExDa'!$C$2:$R$155, 0,FALSE), IFERROR(VLOOKUP($A701,'Fusion ExDa'!$B$2:$D$16, 0,FALSE), IFERROR(VLOOKUP($A701,'Exetel ExDa'!$C$2:$N$14, 8,FALSE), IFERROR(VLOOKUP($A701,'Infinet ExDa'!$B$2:$E$14, 0,FALSE), "Not Found"))))))))</f>
        <v>Not Found</v>
      </c>
      <c r="J701" t="str">
        <f>IFERROR(VLOOKUP($A701,'AAPT ExDa'!$B$2:$U$99, 7,FALSE), IFERROR(VLOOKUP($A701,'ABB ExDa'!$A$2:$N$184, 2,FALSE), IFERROR(VLOOKUP($A701,'Vocus SIT ExDa'!$B$2:$J$173, 0,FALSE), IFERROR(VLOOKUP($A701,'Telstra ExDa'!$B$2:$K$310, 7,FALSE), IFERROR(VLOOKUP($A701,'Vocus RVC ExDa'!$C$2:$R$155, 2,FALSE), IFERROR(VLOOKUP($A701,'Fusion ExDa'!$B$2:$D$16, 3,FALSE), IFERROR(VLOOKUP($A701,'Exetel ExDa'!$C$2:$N$14, 0,FALSE), IFERROR(VLOOKUP($A701,'Infinet ExDa'!$B$2:$E$14, 0,FALSE), "Not Found"))))))))</f>
        <v>Not Found</v>
      </c>
      <c r="K701" t="str">
        <f>IFERROR(VLOOKUP($A701,'AAPT ExDa'!$B$2:$U$99, 12,FALSE), IFERROR(VLOOKUP($A701,'ABB ExDa'!$A$2:$N$184, 0,FALSE), IFERROR(VLOOKUP($A701,'Vocus SIT ExDa'!$B$2:$J$173, 0,FALSE), IFERROR(VLOOKUP($A701,'Telstra ExDa'!$B$2:$K$310, 0,FALSE), IFERROR(VLOOKUP($A701,'Vocus RVC ExDa'!$C$2:$R$155, 0,FALSE), IFERROR(VLOOKUP($A701,'Fusion ExDa'!$B$2:$D$16, 0,FALSE), IFERROR(VLOOKUP($A701,'Exetel ExDa'!$C$2:$N$14, 12,FALSE), IFERROR(VLOOKUP($A701,'Infinet ExDa'!$B$2:$E$14, 0,FALSE), "Not Found"))))))))</f>
        <v>Not Found</v>
      </c>
      <c r="L701" s="235" t="str">
        <f>IFERROR(VLOOKUP($A701,'AAPT ExDa'!$B$2:$U$99, 11,FALSE), IFERROR(VLOOKUP($A701,'ABB ExDa'!$A$2:$N$184, 9,FALSE), IFERROR(VLOOKUP($A701,'Vocus SIT ExDa'!$B$2:$J$173, 8,FALSE), IFERROR(VLOOKUP($A701,'Telstra ExDa'!$B$2:$K$310, 0,FALSE), IFERROR(VLOOKUP($A701,'Vocus RVC ExDa'!$C$2:$R$155, 0,FALSE), IFERROR(VLOOKUP($A701,'Fusion ExDa'!$B$2:$D$16, 0,FALSE), IFERROR(VLOOKUP($A701,'Exetel ExDa'!$C$2:$N$14, 9,FALSE), IFERROR(VLOOKUP($A701,'Infinet ExDa'!$B$2:$E$14, 0,FALSE), "Not Found"))))))))</f>
        <v>Not Found</v>
      </c>
      <c r="M701" s="234" t="str">
        <f>IFERROR(VLOOKUP($A701,'AAPT ExDa'!$B$2:$U$99, 0,FALSE), IFERROR(VLOOKUP($A701,'ABB ExDa'!$A$2:$N$184, 0,FALSE), IFERROR(VLOOKUP($A701,'Vocus SIT ExDa'!$B$2:$J$173, 0,FALSE), IFERROR(VLOOKUP($A701,'Telstra ExDa'!$B$2:$K$310, 0,FALSE), IFERROR(VLOOKUP($A701,'Vocus RVC ExDa'!$C$2:$R$155, 0,FALSE), IFERROR(VLOOKUP($A701,'Fusion ExDa'!$B$2:$D$16, 0,FALSE), IFERROR(VLOOKUP($A701,'Exetel ExDa'!$C$2:$N$14, 11,FALSE), IFERROR(VLOOKUP($A701,'Infinet ExDa'!$B$2:$E$14, 0,FALSE), "Not Found"))))))))</f>
        <v>Not Found</v>
      </c>
      <c r="N701" t="str">
        <f>IFERROR(VLOOKUP($A701,'AAPT ExDa'!$B$2:$U$99, 0,FALSE), IFERROR(VLOOKUP($A701,'ABB ExDa'!$A$2:$N$184, 13,FALSE), IFERROR(VLOOKUP($A701,'Vocus SIT ExDa'!$B$2:$J$173, 0,FALSE), IFERROR(VLOOKUP($A701,'Telstra ExDa'!$B$2:$K$310, 0,FALSE), IFERROR(VLOOKUP($A701,'Vocus RVC ExDa'!$C$2:$R$155, 0,FALSE), IFERROR(VLOOKUP($A701,'Fusion ExDa'!$B$2:$D$16, 0,FALSE), IFERROR(VLOOKUP($A701,'Exetel ExDa'!$C$2:$N$14, 0,FALSE), IFERROR(VLOOKUP($A701,'Infinet ExDa'!$B$2:$E$14, 0,FALSE), "Not Found"))))))))</f>
        <v>Not Found</v>
      </c>
    </row>
    <row r="702" spans="1:14">
      <c r="A702">
        <v>0</v>
      </c>
      <c r="B702" t="str">
        <f>IFERROR(VLOOKUP(A702,'Exetel ExDa'!$C$2:$N$14,4,FALSE),"No Data")</f>
        <v>No Data</v>
      </c>
      <c r="C702" t="str">
        <f>IFERROR(VLOOKUP(A702,'AAPT ExDa'!$B$2:$U$99, 2,FALSE), IFERROR(VLOOKUP(A702,'ABB ExDa'!$A$2:$N$184, 2,FALSE), IFERROR(VLOOKUP(A702,'Vocus SIT ExDa'!$B$2:$J$173, 7,FALSE), IFERROR(VLOOKUP(A702,'Telstra ExDa'!$B$2:$K$310, 2,FALSE), IFERROR(VLOOKUP(A702,'Vocus RVC ExDa'!$C$2:$R$155, 3,FALSE), IFERROR(VLOOKUP(A702,'Fusion ExDa'!$B$2:$D$16, 2,FALSE), IFERROR(VLOOKUP(A702,'Exetel ExDa'!$C$2:$N$14, 2,FALSE), IFERROR(VLOOKUP(A702,'Infinet ExDa'!$B$2:$E$14, 2,FALSE), "Not Found"))))))))</f>
        <v>Not Found</v>
      </c>
      <c r="D702" t="str">
        <f>IFERROR(VLOOKUP($A702,'AAPT ExDa'!$B$2:$U$99, 15,FALSE), IFERROR(VLOOKUP($A702,'ABB ExDa'!$A$2:$N$184, 4,FALSE), IFERROR(VLOOKUP($A702,'Vocus SIT ExDa'!$B$2:$J$173, 5,FALSE), IFERROR(VLOOKUP($A702,'Telstra ExDa'!$B$2:$K$310, 8,FALSE), IFERROR(VLOOKUP($A702,'Vocus RVC ExDa'!$C$2:$R$155, 6,FALSE), IFERROR(VLOOKUP($A702,'Fusion ExDa'!$B$2:$D$16, 4,FALSE), IFERROR(VLOOKUP($A702,'Exetel ExDa'!$C$2:$N$14, 3,FALSE), IFERROR(VLOOKUP($A702,'Infinet ExDa'!$B$2:$E$14, 3,FALSE), "Not Found"))))))))</f>
        <v>Not Found</v>
      </c>
      <c r="E702" t="str">
        <f>IFERROR(VLOOKUP($A702,'AAPT ExDa'!$B$2:$U$99, 3,FALSE), IFERROR(VLOOKUP($A702,'ABB ExDa'!$A$2:$N$184, 5,FALSE), IFERROR(VLOOKUP($A702,'Vocus SIT ExDa'!$B$2:$J$173, 2,FALSE), IFERROR(VLOOKUP($A702,'Telstra ExDa'!$B$2:$K$310, 4,FALSE), IFERROR(VLOOKUP($A702,'Vocus RVC ExDa'!$C$2:$R$155, 8,FALSE), IFERROR(VLOOKUP($A702,'Fusion ExDa'!$B$2:$D$16, 4,FALSE), IFERROR(VLOOKUP($A702,'Exetel ExDa'!$C$2:$N$14, 5,FALSE), IFERROR(VLOOKUP($A702,'Infinet ExDa'!$B$2:$E$14, 3,FALSE), "Not Found"))))))))</f>
        <v>Not Found</v>
      </c>
      <c r="F702" t="str">
        <f>IFERROR(VLOOKUP($A702,'AAPT ExDa'!$B$2:$U$99, 4,FALSE), IFERROR(VLOOKUP($A702,'ABB ExDa'!$A$2:$N$184, 6,FALSE), IFERROR(VLOOKUP($A702,'Vocus SIT ExDa'!$B$2:$J$173, 3,FALSE), IFERROR(VLOOKUP($A702,'Telstra ExDa'!$B$2:$K$310, 5,FALSE), IFERROR(VLOOKUP($A702,'Vocus RVC ExDa'!$C$2:$R$155, 9,FALSE), IFERROR(VLOOKUP($A702,'Fusion ExDa'!$B$2:$D$16, 0,FALSE), IFERROR(VLOOKUP($A702,'Exetel ExDa'!$C$2:$N$14, 6,FALSE), IFERROR(VLOOKUP($A702,'Infinet ExDa'!$B$2:$E$14, 0,FALSE), "Not Found"))))))))</f>
        <v>Not Found</v>
      </c>
      <c r="G702" t="str">
        <f>IFERROR(VLOOKUP($A702,'AAPT ExDa'!$B$2:$U$99, 5,FALSE), IFERROR(VLOOKUP($A702,'ABB ExDa'!$A$2:$N$184, 8,FALSE), IFERROR(VLOOKUP($A702,'Vocus SIT ExDa'!$B$2:$J$173, 6,FALSE), IFERROR(VLOOKUP($A702,'Telstra ExDa'!$B$2:$K$310, 0,FALSE), IFERROR(VLOOKUP($A702,'Vocus RVC ExDa'!$C$2:$R$155, 15,FALSE), IFERROR(VLOOKUP($A702,'Fusion ExDa'!$B$2:$D$16, 0,FALSE), IFERROR(VLOOKUP($A702,'Exetel ExDa'!$C$2:$N$14, 7,FALSE), IFERROR(VLOOKUP($A702,'Infinet ExDa'!$B$2:$E$14, 0,FALSE), "Not Found"))))))))</f>
        <v>Not Found</v>
      </c>
      <c r="H702" t="str">
        <f>IFERROR(VLOOKUP($A702,'AAPT ExDa'!$B$2:$U$99, 6,FALSE), IFERROR(VLOOKUP($A702,'ABB ExDa'!$A$2:$N$184, 0,FALSE), IFERROR(VLOOKUP($A702,'Vocus SIT ExDa'!$B$2:$J$173, 0,FALSE), IFERROR(VLOOKUP($A702,'Telstra ExDa'!$B$2:$K$310, 0,FALSE), IFERROR(VLOOKUP($A702,'Vocus RVC ExDa'!$C$2:$R$155, 16,FALSE), IFERROR(VLOOKUP($A702,'Fusion ExDa'!$B$2:$D$16, 0,FALSE), IFERROR(VLOOKUP($A702,'Exetel ExDa'!$C$2:$N$14, 0,FALSE), IFERROR(VLOOKUP($A702,'Infinet ExDa'!$B$2:$E$14, 0,FALSE), "Not Found"))))))))</f>
        <v>Not Found</v>
      </c>
      <c r="I702" t="str">
        <f>IFERROR(VLOOKUP($A702,'AAPT ExDa'!$B$2:$U$99, 0,FALSE), IFERROR(VLOOKUP($A702,'ABB ExDa'!$A$2:$N$184, 0,FALSE), IFERROR(VLOOKUP($A702,'Vocus SIT ExDa'!$B$2:$J$173, 0,FALSE), IFERROR(VLOOKUP($A702,'Telstra ExDa'!$B$2:$K$310, 0,FALSE), IFERROR(VLOOKUP($A702,'Vocus RVC ExDa'!$C$2:$R$155, 0,FALSE), IFERROR(VLOOKUP($A702,'Fusion ExDa'!$B$2:$D$16, 0,FALSE), IFERROR(VLOOKUP($A702,'Exetel ExDa'!$C$2:$N$14, 8,FALSE), IFERROR(VLOOKUP($A702,'Infinet ExDa'!$B$2:$E$14, 0,FALSE), "Not Found"))))))))</f>
        <v>Not Found</v>
      </c>
      <c r="J702" t="str">
        <f>IFERROR(VLOOKUP($A702,'AAPT ExDa'!$B$2:$U$99, 7,FALSE), IFERROR(VLOOKUP($A702,'ABB ExDa'!$A$2:$N$184, 2,FALSE), IFERROR(VLOOKUP($A702,'Vocus SIT ExDa'!$B$2:$J$173, 0,FALSE), IFERROR(VLOOKUP($A702,'Telstra ExDa'!$B$2:$K$310, 7,FALSE), IFERROR(VLOOKUP($A702,'Vocus RVC ExDa'!$C$2:$R$155, 2,FALSE), IFERROR(VLOOKUP($A702,'Fusion ExDa'!$B$2:$D$16, 3,FALSE), IFERROR(VLOOKUP($A702,'Exetel ExDa'!$C$2:$N$14, 0,FALSE), IFERROR(VLOOKUP($A702,'Infinet ExDa'!$B$2:$E$14, 0,FALSE), "Not Found"))))))))</f>
        <v>Not Found</v>
      </c>
      <c r="K702" t="str">
        <f>IFERROR(VLOOKUP($A702,'AAPT ExDa'!$B$2:$U$99, 12,FALSE), IFERROR(VLOOKUP($A702,'ABB ExDa'!$A$2:$N$184, 0,FALSE), IFERROR(VLOOKUP($A702,'Vocus SIT ExDa'!$B$2:$J$173, 0,FALSE), IFERROR(VLOOKUP($A702,'Telstra ExDa'!$B$2:$K$310, 0,FALSE), IFERROR(VLOOKUP($A702,'Vocus RVC ExDa'!$C$2:$R$155, 0,FALSE), IFERROR(VLOOKUP($A702,'Fusion ExDa'!$B$2:$D$16, 0,FALSE), IFERROR(VLOOKUP($A702,'Exetel ExDa'!$C$2:$N$14, 12,FALSE), IFERROR(VLOOKUP($A702,'Infinet ExDa'!$B$2:$E$14, 0,FALSE), "Not Found"))))))))</f>
        <v>Not Found</v>
      </c>
      <c r="L702" s="235" t="str">
        <f>IFERROR(VLOOKUP($A702,'AAPT ExDa'!$B$2:$U$99, 11,FALSE), IFERROR(VLOOKUP($A702,'ABB ExDa'!$A$2:$N$184, 9,FALSE), IFERROR(VLOOKUP($A702,'Vocus SIT ExDa'!$B$2:$J$173, 8,FALSE), IFERROR(VLOOKUP($A702,'Telstra ExDa'!$B$2:$K$310, 0,FALSE), IFERROR(VLOOKUP($A702,'Vocus RVC ExDa'!$C$2:$R$155, 0,FALSE), IFERROR(VLOOKUP($A702,'Fusion ExDa'!$B$2:$D$16, 0,FALSE), IFERROR(VLOOKUP($A702,'Exetel ExDa'!$C$2:$N$14, 9,FALSE), IFERROR(VLOOKUP($A702,'Infinet ExDa'!$B$2:$E$14, 0,FALSE), "Not Found"))))))))</f>
        <v>Not Found</v>
      </c>
      <c r="M702" s="234" t="str">
        <f>IFERROR(VLOOKUP($A702,'AAPT ExDa'!$B$2:$U$99, 0,FALSE), IFERROR(VLOOKUP($A702,'ABB ExDa'!$A$2:$N$184, 0,FALSE), IFERROR(VLOOKUP($A702,'Vocus SIT ExDa'!$B$2:$J$173, 0,FALSE), IFERROR(VLOOKUP($A702,'Telstra ExDa'!$B$2:$K$310, 0,FALSE), IFERROR(VLOOKUP($A702,'Vocus RVC ExDa'!$C$2:$R$155, 0,FALSE), IFERROR(VLOOKUP($A702,'Fusion ExDa'!$B$2:$D$16, 0,FALSE), IFERROR(VLOOKUP($A702,'Exetel ExDa'!$C$2:$N$14, 11,FALSE), IFERROR(VLOOKUP($A702,'Infinet ExDa'!$B$2:$E$14, 0,FALSE), "Not Found"))))))))</f>
        <v>Not Found</v>
      </c>
      <c r="N702" t="str">
        <f>IFERROR(VLOOKUP($A702,'AAPT ExDa'!$B$2:$U$99, 0,FALSE), IFERROR(VLOOKUP($A702,'ABB ExDa'!$A$2:$N$184, 13,FALSE), IFERROR(VLOOKUP($A702,'Vocus SIT ExDa'!$B$2:$J$173, 0,FALSE), IFERROR(VLOOKUP($A702,'Telstra ExDa'!$B$2:$K$310, 0,FALSE), IFERROR(VLOOKUP($A702,'Vocus RVC ExDa'!$C$2:$R$155, 0,FALSE), IFERROR(VLOOKUP($A702,'Fusion ExDa'!$B$2:$D$16, 0,FALSE), IFERROR(VLOOKUP($A702,'Exetel ExDa'!$C$2:$N$14, 0,FALSE), IFERROR(VLOOKUP($A702,'Infinet ExDa'!$B$2:$E$14, 0,FALSE), "Not Found"))))))))</f>
        <v>Not Found</v>
      </c>
    </row>
    <row r="703" spans="1:14">
      <c r="A703">
        <v>0</v>
      </c>
      <c r="B703" t="str">
        <f>IFERROR(VLOOKUP(A703,'Exetel ExDa'!$C$2:$N$14,4,FALSE),"No Data")</f>
        <v>No Data</v>
      </c>
      <c r="C703" t="str">
        <f>IFERROR(VLOOKUP(A703,'AAPT ExDa'!$B$2:$U$99, 2,FALSE), IFERROR(VLOOKUP(A703,'ABB ExDa'!$A$2:$N$184, 2,FALSE), IFERROR(VLOOKUP(A703,'Vocus SIT ExDa'!$B$2:$J$173, 7,FALSE), IFERROR(VLOOKUP(A703,'Telstra ExDa'!$B$2:$K$310, 2,FALSE), IFERROR(VLOOKUP(A703,'Vocus RVC ExDa'!$C$2:$R$155, 3,FALSE), IFERROR(VLOOKUP(A703,'Fusion ExDa'!$B$2:$D$16, 2,FALSE), IFERROR(VLOOKUP(A703,'Exetel ExDa'!$C$2:$N$14, 2,FALSE), IFERROR(VLOOKUP(A703,'Infinet ExDa'!$B$2:$E$14, 2,FALSE), "Not Found"))))))))</f>
        <v>Not Found</v>
      </c>
      <c r="D703" t="str">
        <f>IFERROR(VLOOKUP($A703,'AAPT ExDa'!$B$2:$U$99, 15,FALSE), IFERROR(VLOOKUP($A703,'ABB ExDa'!$A$2:$N$184, 4,FALSE), IFERROR(VLOOKUP($A703,'Vocus SIT ExDa'!$B$2:$J$173, 5,FALSE), IFERROR(VLOOKUP($A703,'Telstra ExDa'!$B$2:$K$310, 8,FALSE), IFERROR(VLOOKUP($A703,'Vocus RVC ExDa'!$C$2:$R$155, 6,FALSE), IFERROR(VLOOKUP($A703,'Fusion ExDa'!$B$2:$D$16, 4,FALSE), IFERROR(VLOOKUP($A703,'Exetel ExDa'!$C$2:$N$14, 3,FALSE), IFERROR(VLOOKUP($A703,'Infinet ExDa'!$B$2:$E$14, 3,FALSE), "Not Found"))))))))</f>
        <v>Not Found</v>
      </c>
      <c r="E703" t="str">
        <f>IFERROR(VLOOKUP($A703,'AAPT ExDa'!$B$2:$U$99, 3,FALSE), IFERROR(VLOOKUP($A703,'ABB ExDa'!$A$2:$N$184, 5,FALSE), IFERROR(VLOOKUP($A703,'Vocus SIT ExDa'!$B$2:$J$173, 2,FALSE), IFERROR(VLOOKUP($A703,'Telstra ExDa'!$B$2:$K$310, 4,FALSE), IFERROR(VLOOKUP($A703,'Vocus RVC ExDa'!$C$2:$R$155, 8,FALSE), IFERROR(VLOOKUP($A703,'Fusion ExDa'!$B$2:$D$16, 4,FALSE), IFERROR(VLOOKUP($A703,'Exetel ExDa'!$C$2:$N$14, 5,FALSE), IFERROR(VLOOKUP($A703,'Infinet ExDa'!$B$2:$E$14, 3,FALSE), "Not Found"))))))))</f>
        <v>Not Found</v>
      </c>
      <c r="F703" t="str">
        <f>IFERROR(VLOOKUP($A703,'AAPT ExDa'!$B$2:$U$99, 4,FALSE), IFERROR(VLOOKUP($A703,'ABB ExDa'!$A$2:$N$184, 6,FALSE), IFERROR(VLOOKUP($A703,'Vocus SIT ExDa'!$B$2:$J$173, 3,FALSE), IFERROR(VLOOKUP($A703,'Telstra ExDa'!$B$2:$K$310, 5,FALSE), IFERROR(VLOOKUP($A703,'Vocus RVC ExDa'!$C$2:$R$155, 9,FALSE), IFERROR(VLOOKUP($A703,'Fusion ExDa'!$B$2:$D$16, 0,FALSE), IFERROR(VLOOKUP($A703,'Exetel ExDa'!$C$2:$N$14, 6,FALSE), IFERROR(VLOOKUP($A703,'Infinet ExDa'!$B$2:$E$14, 0,FALSE), "Not Found"))))))))</f>
        <v>Not Found</v>
      </c>
      <c r="G703" t="str">
        <f>IFERROR(VLOOKUP($A703,'AAPT ExDa'!$B$2:$U$99, 5,FALSE), IFERROR(VLOOKUP($A703,'ABB ExDa'!$A$2:$N$184, 8,FALSE), IFERROR(VLOOKUP($A703,'Vocus SIT ExDa'!$B$2:$J$173, 6,FALSE), IFERROR(VLOOKUP($A703,'Telstra ExDa'!$B$2:$K$310, 0,FALSE), IFERROR(VLOOKUP($A703,'Vocus RVC ExDa'!$C$2:$R$155, 15,FALSE), IFERROR(VLOOKUP($A703,'Fusion ExDa'!$B$2:$D$16, 0,FALSE), IFERROR(VLOOKUP($A703,'Exetel ExDa'!$C$2:$N$14, 7,FALSE), IFERROR(VLOOKUP($A703,'Infinet ExDa'!$B$2:$E$14, 0,FALSE), "Not Found"))))))))</f>
        <v>Not Found</v>
      </c>
      <c r="H703" t="str">
        <f>IFERROR(VLOOKUP($A703,'AAPT ExDa'!$B$2:$U$99, 6,FALSE), IFERROR(VLOOKUP($A703,'ABB ExDa'!$A$2:$N$184, 0,FALSE), IFERROR(VLOOKUP($A703,'Vocus SIT ExDa'!$B$2:$J$173, 0,FALSE), IFERROR(VLOOKUP($A703,'Telstra ExDa'!$B$2:$K$310, 0,FALSE), IFERROR(VLOOKUP($A703,'Vocus RVC ExDa'!$C$2:$R$155, 16,FALSE), IFERROR(VLOOKUP($A703,'Fusion ExDa'!$B$2:$D$16, 0,FALSE), IFERROR(VLOOKUP($A703,'Exetel ExDa'!$C$2:$N$14, 0,FALSE), IFERROR(VLOOKUP($A703,'Infinet ExDa'!$B$2:$E$14, 0,FALSE), "Not Found"))))))))</f>
        <v>Not Found</v>
      </c>
      <c r="I703" t="str">
        <f>IFERROR(VLOOKUP($A703,'AAPT ExDa'!$B$2:$U$99, 0,FALSE), IFERROR(VLOOKUP($A703,'ABB ExDa'!$A$2:$N$184, 0,FALSE), IFERROR(VLOOKUP($A703,'Vocus SIT ExDa'!$B$2:$J$173, 0,FALSE), IFERROR(VLOOKUP($A703,'Telstra ExDa'!$B$2:$K$310, 0,FALSE), IFERROR(VLOOKUP($A703,'Vocus RVC ExDa'!$C$2:$R$155, 0,FALSE), IFERROR(VLOOKUP($A703,'Fusion ExDa'!$B$2:$D$16, 0,FALSE), IFERROR(VLOOKUP($A703,'Exetel ExDa'!$C$2:$N$14, 8,FALSE), IFERROR(VLOOKUP($A703,'Infinet ExDa'!$B$2:$E$14, 0,FALSE), "Not Found"))))))))</f>
        <v>Not Found</v>
      </c>
      <c r="J703" t="str">
        <f>IFERROR(VLOOKUP($A703,'AAPT ExDa'!$B$2:$U$99, 7,FALSE), IFERROR(VLOOKUP($A703,'ABB ExDa'!$A$2:$N$184, 2,FALSE), IFERROR(VLOOKUP($A703,'Vocus SIT ExDa'!$B$2:$J$173, 0,FALSE), IFERROR(VLOOKUP($A703,'Telstra ExDa'!$B$2:$K$310, 7,FALSE), IFERROR(VLOOKUP($A703,'Vocus RVC ExDa'!$C$2:$R$155, 2,FALSE), IFERROR(VLOOKUP($A703,'Fusion ExDa'!$B$2:$D$16, 3,FALSE), IFERROR(VLOOKUP($A703,'Exetel ExDa'!$C$2:$N$14, 0,FALSE), IFERROR(VLOOKUP($A703,'Infinet ExDa'!$B$2:$E$14, 0,FALSE), "Not Found"))))))))</f>
        <v>Not Found</v>
      </c>
      <c r="K703" t="str">
        <f>IFERROR(VLOOKUP($A703,'AAPT ExDa'!$B$2:$U$99, 12,FALSE), IFERROR(VLOOKUP($A703,'ABB ExDa'!$A$2:$N$184, 0,FALSE), IFERROR(VLOOKUP($A703,'Vocus SIT ExDa'!$B$2:$J$173, 0,FALSE), IFERROR(VLOOKUP($A703,'Telstra ExDa'!$B$2:$K$310, 0,FALSE), IFERROR(VLOOKUP($A703,'Vocus RVC ExDa'!$C$2:$R$155, 0,FALSE), IFERROR(VLOOKUP($A703,'Fusion ExDa'!$B$2:$D$16, 0,FALSE), IFERROR(VLOOKUP($A703,'Exetel ExDa'!$C$2:$N$14, 12,FALSE), IFERROR(VLOOKUP($A703,'Infinet ExDa'!$B$2:$E$14, 0,FALSE), "Not Found"))))))))</f>
        <v>Not Found</v>
      </c>
      <c r="L703" s="235" t="str">
        <f>IFERROR(VLOOKUP($A703,'AAPT ExDa'!$B$2:$U$99, 11,FALSE), IFERROR(VLOOKUP($A703,'ABB ExDa'!$A$2:$N$184, 9,FALSE), IFERROR(VLOOKUP($A703,'Vocus SIT ExDa'!$B$2:$J$173, 8,FALSE), IFERROR(VLOOKUP($A703,'Telstra ExDa'!$B$2:$K$310, 0,FALSE), IFERROR(VLOOKUP($A703,'Vocus RVC ExDa'!$C$2:$R$155, 0,FALSE), IFERROR(VLOOKUP($A703,'Fusion ExDa'!$B$2:$D$16, 0,FALSE), IFERROR(VLOOKUP($A703,'Exetel ExDa'!$C$2:$N$14, 9,FALSE), IFERROR(VLOOKUP($A703,'Infinet ExDa'!$B$2:$E$14, 0,FALSE), "Not Found"))))))))</f>
        <v>Not Found</v>
      </c>
      <c r="M703" s="234" t="str">
        <f>IFERROR(VLOOKUP($A703,'AAPT ExDa'!$B$2:$U$99, 0,FALSE), IFERROR(VLOOKUP($A703,'ABB ExDa'!$A$2:$N$184, 0,FALSE), IFERROR(VLOOKUP($A703,'Vocus SIT ExDa'!$B$2:$J$173, 0,FALSE), IFERROR(VLOOKUP($A703,'Telstra ExDa'!$B$2:$K$310, 0,FALSE), IFERROR(VLOOKUP($A703,'Vocus RVC ExDa'!$C$2:$R$155, 0,FALSE), IFERROR(VLOOKUP($A703,'Fusion ExDa'!$B$2:$D$16, 0,FALSE), IFERROR(VLOOKUP($A703,'Exetel ExDa'!$C$2:$N$14, 11,FALSE), IFERROR(VLOOKUP($A703,'Infinet ExDa'!$B$2:$E$14, 0,FALSE), "Not Found"))))))))</f>
        <v>Not Found</v>
      </c>
      <c r="N703" t="str">
        <f>IFERROR(VLOOKUP($A703,'AAPT ExDa'!$B$2:$U$99, 0,FALSE), IFERROR(VLOOKUP($A703,'ABB ExDa'!$A$2:$N$184, 13,FALSE), IFERROR(VLOOKUP($A703,'Vocus SIT ExDa'!$B$2:$J$173, 0,FALSE), IFERROR(VLOOKUP($A703,'Telstra ExDa'!$B$2:$K$310, 0,FALSE), IFERROR(VLOOKUP($A703,'Vocus RVC ExDa'!$C$2:$R$155, 0,FALSE), IFERROR(VLOOKUP($A703,'Fusion ExDa'!$B$2:$D$16, 0,FALSE), IFERROR(VLOOKUP($A703,'Exetel ExDa'!$C$2:$N$14, 0,FALSE), IFERROR(VLOOKUP($A703,'Infinet ExDa'!$B$2:$E$14, 0,FALSE), "Not Found"))))))))</f>
        <v>Not Found</v>
      </c>
    </row>
    <row r="704" spans="1:14">
      <c r="A704" t="str">
        <v>Zambrero Northpoint</v>
      </c>
      <c r="B704" t="str">
        <f>IFERROR(VLOOKUP(A704,'Exetel ExDa'!$C$2:$N$14,4,FALSE),"No Data")</f>
        <v>No Data</v>
      </c>
      <c r="C704" t="str">
        <f>IFERROR(VLOOKUP(A704,'AAPT ExDa'!$B$2:$U$99, 2,FALSE), IFERROR(VLOOKUP(A704,'ABB ExDa'!$A$2:$N$184, 2,FALSE), IFERROR(VLOOKUP(A704,'Vocus SIT ExDa'!$B$2:$J$173, 7,FALSE), IFERROR(VLOOKUP(A704,'Telstra ExDa'!$B$2:$K$310, 2,FALSE), IFERROR(VLOOKUP(A704,'Vocus RVC ExDa'!$C$2:$R$155, 3,FALSE), IFERROR(VLOOKUP(A704,'Fusion ExDa'!$B$2:$D$16, 2,FALSE), IFERROR(VLOOKUP(A704,'Exetel ExDa'!$C$2:$N$14, 2,FALSE), IFERROR(VLOOKUP(A704,'Infinet ExDa'!$B$2:$E$14, 2,FALSE), "Not Found"))))))))</f>
        <v xml:space="preserve">
NORTHPOINT SHOPPING CENTRE, BG 1, LG 1, SHOP 14, HARLAXTON QLD 4350</v>
      </c>
      <c r="D704" t="str">
        <f>IFERROR(VLOOKUP($A704,'AAPT ExDa'!$B$2:$U$99, 15,FALSE), IFERROR(VLOOKUP($A704,'ABB ExDa'!$A$2:$N$184, 4,FALSE), IFERROR(VLOOKUP($A704,'Vocus SIT ExDa'!$B$2:$J$173, 5,FALSE), IFERROR(VLOOKUP($A704,'Telstra ExDa'!$B$2:$K$310, 8,FALSE), IFERROR(VLOOKUP($A704,'Vocus RVC ExDa'!$C$2:$R$155, 6,FALSE), IFERROR(VLOOKUP($A704,'Fusion ExDa'!$B$2:$D$16, 4,FALSE), IFERROR(VLOOKUP($A704,'Exetel ExDa'!$C$2:$N$14, 3,FALSE), IFERROR(VLOOKUP($A704,'Infinet ExDa'!$B$2:$E$14, 3,FALSE), "Not Found"))))))))</f>
        <v>Telstra</v>
      </c>
      <c r="E704" t="str">
        <f>IFERROR(VLOOKUP($A704,'AAPT ExDa'!$B$2:$U$99, 3,FALSE), IFERROR(VLOOKUP($A704,'ABB ExDa'!$A$2:$N$184, 5,FALSE), IFERROR(VLOOKUP($A704,'Vocus SIT ExDa'!$B$2:$J$173, 2,FALSE), IFERROR(VLOOKUP($A704,'Telstra ExDa'!$B$2:$K$310, 4,FALSE), IFERROR(VLOOKUP($A704,'Vocus RVC ExDa'!$C$2:$R$155, 8,FALSE), IFERROR(VLOOKUP($A704,'Fusion ExDa'!$B$2:$D$16, 4,FALSE), IFERROR(VLOOKUP($A704,'Exetel ExDa'!$C$2:$N$14, 5,FALSE), IFERROR(VLOOKUP($A704,'Infinet ExDa'!$B$2:$E$14, 3,FALSE), "Not Found"))))))))</f>
        <v>NBN 25Mbps/10Mbps speed</v>
      </c>
      <c r="F704">
        <f>IFERROR(VLOOKUP($A704,'AAPT ExDa'!$B$2:$U$99, 4,FALSE), IFERROR(VLOOKUP($A704,'ABB ExDa'!$A$2:$N$184, 6,FALSE), IFERROR(VLOOKUP($A704,'Vocus SIT ExDa'!$B$2:$J$173, 3,FALSE), IFERROR(VLOOKUP($A704,'Telstra ExDa'!$B$2:$K$310, 5,FALSE), IFERROR(VLOOKUP($A704,'Vocus RVC ExDa'!$C$2:$R$155, 9,FALSE), IFERROR(VLOOKUP($A704,'Fusion ExDa'!$B$2:$D$16, 0,FALSE), IFERROR(VLOOKUP($A704,'Exetel ExDa'!$C$2:$N$14, 6,FALSE), IFERROR(VLOOKUP($A704,'Infinet ExDa'!$B$2:$E$14, 0,FALSE), "Not Found"))))))))</f>
        <v>0</v>
      </c>
      <c r="G704" t="str">
        <f>IFERROR(VLOOKUP($A704,'AAPT ExDa'!$B$2:$U$99, 5,FALSE), IFERROR(VLOOKUP($A704,'ABB ExDa'!$A$2:$N$184, 8,FALSE), IFERROR(VLOOKUP($A704,'Vocus SIT ExDa'!$B$2:$J$173, 6,FALSE), IFERROR(VLOOKUP($A704,'Telstra ExDa'!$B$2:$K$310, 0,FALSE), IFERROR(VLOOKUP($A704,'Vocus RVC ExDa'!$C$2:$R$155, 15,FALSE), IFERROR(VLOOKUP($A704,'Fusion ExDa'!$B$2:$D$16, 0,FALSE), IFERROR(VLOOKUP($A704,'Exetel ExDa'!$C$2:$N$14, 7,FALSE), IFERROR(VLOOKUP($A704,'Infinet ExDa'!$B$2:$E$14, 0,FALSE), "Not Found"))))))))</f>
        <v>Not Found</v>
      </c>
      <c r="H704" t="str">
        <f>IFERROR(VLOOKUP($A704,'AAPT ExDa'!$B$2:$U$99, 6,FALSE), IFERROR(VLOOKUP($A704,'ABB ExDa'!$A$2:$N$184, 0,FALSE), IFERROR(VLOOKUP($A704,'Vocus SIT ExDa'!$B$2:$J$173, 0,FALSE), IFERROR(VLOOKUP($A704,'Telstra ExDa'!$B$2:$K$310, 0,FALSE), IFERROR(VLOOKUP($A704,'Vocus RVC ExDa'!$C$2:$R$155, 16,FALSE), IFERROR(VLOOKUP($A704,'Fusion ExDa'!$B$2:$D$16, 0,FALSE), IFERROR(VLOOKUP($A704,'Exetel ExDa'!$C$2:$N$14, 0,FALSE), IFERROR(VLOOKUP($A704,'Infinet ExDa'!$B$2:$E$14, 0,FALSE), "Not Found"))))))))</f>
        <v>Not Found</v>
      </c>
      <c r="I704" t="str">
        <f>IFERROR(VLOOKUP($A704,'AAPT ExDa'!$B$2:$U$99, 0,FALSE), IFERROR(VLOOKUP($A704,'ABB ExDa'!$A$2:$N$184, 0,FALSE), IFERROR(VLOOKUP($A704,'Vocus SIT ExDa'!$B$2:$J$173, 0,FALSE), IFERROR(VLOOKUP($A704,'Telstra ExDa'!$B$2:$K$310, 0,FALSE), IFERROR(VLOOKUP($A704,'Vocus RVC ExDa'!$C$2:$R$155, 0,FALSE), IFERROR(VLOOKUP($A704,'Fusion ExDa'!$B$2:$D$16, 0,FALSE), IFERROR(VLOOKUP($A704,'Exetel ExDa'!$C$2:$N$14, 8,FALSE), IFERROR(VLOOKUP($A704,'Infinet ExDa'!$B$2:$E$14, 0,FALSE), "Not Found"))))))))</f>
        <v>Not Found</v>
      </c>
      <c r="J704">
        <f>IFERROR(VLOOKUP($A704,'AAPT ExDa'!$B$2:$U$99, 7,FALSE), IFERROR(VLOOKUP($A704,'ABB ExDa'!$A$2:$N$184, 2,FALSE), IFERROR(VLOOKUP($A704,'Vocus SIT ExDa'!$B$2:$J$173, 0,FALSE), IFERROR(VLOOKUP($A704,'Telstra ExDa'!$B$2:$K$310, 7,FALSE), IFERROR(VLOOKUP($A704,'Vocus RVC ExDa'!$C$2:$R$155, 2,FALSE), IFERROR(VLOOKUP($A704,'Fusion ExDa'!$B$2:$D$16, 3,FALSE), IFERROR(VLOOKUP($A704,'Exetel ExDa'!$C$2:$N$14, 0,FALSE), IFERROR(VLOOKUP($A704,'Infinet ExDa'!$B$2:$E$14, 0,FALSE), "Not Found"))))))))</f>
        <v>0</v>
      </c>
      <c r="K704" t="str">
        <f>IFERROR(VLOOKUP($A704,'AAPT ExDa'!$B$2:$U$99, 12,FALSE), IFERROR(VLOOKUP($A704,'ABB ExDa'!$A$2:$N$184, 0,FALSE), IFERROR(VLOOKUP($A704,'Vocus SIT ExDa'!$B$2:$J$173, 0,FALSE), IFERROR(VLOOKUP($A704,'Telstra ExDa'!$B$2:$K$310, 0,FALSE), IFERROR(VLOOKUP($A704,'Vocus RVC ExDa'!$C$2:$R$155, 0,FALSE), IFERROR(VLOOKUP($A704,'Fusion ExDa'!$B$2:$D$16, 0,FALSE), IFERROR(VLOOKUP($A704,'Exetel ExDa'!$C$2:$N$14, 12,FALSE), IFERROR(VLOOKUP($A704,'Infinet ExDa'!$B$2:$E$14, 0,FALSE), "Not Found"))))))))</f>
        <v>Not Found</v>
      </c>
      <c r="L704" s="235" t="str">
        <f>IFERROR(VLOOKUP($A704,'AAPT ExDa'!$B$2:$U$99, 11,FALSE), IFERROR(VLOOKUP($A704,'ABB ExDa'!$A$2:$N$184, 9,FALSE), IFERROR(VLOOKUP($A704,'Vocus SIT ExDa'!$B$2:$J$173, 8,FALSE), IFERROR(VLOOKUP($A704,'Telstra ExDa'!$B$2:$K$310, 0,FALSE), IFERROR(VLOOKUP($A704,'Vocus RVC ExDa'!$C$2:$R$155, 0,FALSE), IFERROR(VLOOKUP($A704,'Fusion ExDa'!$B$2:$D$16, 0,FALSE), IFERROR(VLOOKUP($A704,'Exetel ExDa'!$C$2:$N$14, 9,FALSE), IFERROR(VLOOKUP($A704,'Infinet ExDa'!$B$2:$E$14, 0,FALSE), "Not Found"))))))))</f>
        <v>Not Found</v>
      </c>
      <c r="M704" s="234" t="str">
        <f>IFERROR(VLOOKUP($A704,'AAPT ExDa'!$B$2:$U$99, 0,FALSE), IFERROR(VLOOKUP($A704,'ABB ExDa'!$A$2:$N$184, 0,FALSE), IFERROR(VLOOKUP($A704,'Vocus SIT ExDa'!$B$2:$J$173, 0,FALSE), IFERROR(VLOOKUP($A704,'Telstra ExDa'!$B$2:$K$310, 0,FALSE), IFERROR(VLOOKUP($A704,'Vocus RVC ExDa'!$C$2:$R$155, 0,FALSE), IFERROR(VLOOKUP($A704,'Fusion ExDa'!$B$2:$D$16, 0,FALSE), IFERROR(VLOOKUP($A704,'Exetel ExDa'!$C$2:$N$14, 11,FALSE), IFERROR(VLOOKUP($A704,'Infinet ExDa'!$B$2:$E$14, 0,FALSE), "Not Found"))))))))</f>
        <v>Not Found</v>
      </c>
      <c r="N704" t="str">
        <f>IFERROR(VLOOKUP($A704,'AAPT ExDa'!$B$2:$U$99, 0,FALSE), IFERROR(VLOOKUP($A704,'ABB ExDa'!$A$2:$N$184, 13,FALSE), IFERROR(VLOOKUP($A704,'Vocus SIT ExDa'!$B$2:$J$173, 0,FALSE), IFERROR(VLOOKUP($A704,'Telstra ExDa'!$B$2:$K$310, 0,FALSE), IFERROR(VLOOKUP($A704,'Vocus RVC ExDa'!$C$2:$R$155, 0,FALSE), IFERROR(VLOOKUP($A704,'Fusion ExDa'!$B$2:$D$16, 0,FALSE), IFERROR(VLOOKUP($A704,'Exetel ExDa'!$C$2:$N$14, 0,FALSE), IFERROR(VLOOKUP($A704,'Infinet ExDa'!$B$2:$E$14, 0,FALSE), "Not Found"))))))))</f>
        <v>Not Found</v>
      </c>
    </row>
    <row r="705" spans="1:14">
      <c r="A705" t="str">
        <v>Zambrero Jindalee</v>
      </c>
      <c r="B705" t="str">
        <f>IFERROR(VLOOKUP(A705,'Exetel ExDa'!$C$2:$N$14,4,FALSE),"No Data")</f>
        <v>No Data</v>
      </c>
      <c r="C705" t="str">
        <f>IFERROR(VLOOKUP(A705,'AAPT ExDa'!$B$2:$U$99, 2,FALSE), IFERROR(VLOOKUP(A705,'ABB ExDa'!$A$2:$N$184, 2,FALSE), IFERROR(VLOOKUP(A705,'Vocus SIT ExDa'!$B$2:$J$173, 7,FALSE), IFERROR(VLOOKUP(A705,'Telstra ExDa'!$B$2:$K$310, 2,FALSE), IFERROR(VLOOKUP(A705,'Vocus RVC ExDa'!$C$2:$R$155, 3,FALSE), IFERROR(VLOOKUP(A705,'Fusion ExDa'!$B$2:$D$16, 2,FALSE), IFERROR(VLOOKUP(A705,'Exetel ExDa'!$C$2:$N$14, 2,FALSE), IFERROR(VLOOKUP(A705,'Infinet ExDa'!$B$2:$E$14, 2,FALSE), "Not Found"))))))))</f>
        <v>BG 4, G, U 12B, 6 JINDALEE BVD, JINDALEE WA 6036</v>
      </c>
      <c r="D705" t="str">
        <f>IFERROR(VLOOKUP($A705,'AAPT ExDa'!$B$2:$U$99, 15,FALSE), IFERROR(VLOOKUP($A705,'ABB ExDa'!$A$2:$N$184, 4,FALSE), IFERROR(VLOOKUP($A705,'Vocus SIT ExDa'!$B$2:$J$173, 5,FALSE), IFERROR(VLOOKUP($A705,'Telstra ExDa'!$B$2:$K$310, 8,FALSE), IFERROR(VLOOKUP($A705,'Vocus RVC ExDa'!$C$2:$R$155, 6,FALSE), IFERROR(VLOOKUP($A705,'Fusion ExDa'!$B$2:$D$16, 4,FALSE), IFERROR(VLOOKUP($A705,'Exetel ExDa'!$C$2:$N$14, 3,FALSE), IFERROR(VLOOKUP($A705,'Infinet ExDa'!$B$2:$E$14, 3,FALSE), "Not Found"))))))))</f>
        <v>Telstra</v>
      </c>
      <c r="E705" t="str">
        <f>IFERROR(VLOOKUP($A705,'AAPT ExDa'!$B$2:$U$99, 3,FALSE), IFERROR(VLOOKUP($A705,'ABB ExDa'!$A$2:$N$184, 5,FALSE), IFERROR(VLOOKUP($A705,'Vocus SIT ExDa'!$B$2:$J$173, 2,FALSE), IFERROR(VLOOKUP($A705,'Telstra ExDa'!$B$2:$K$310, 4,FALSE), IFERROR(VLOOKUP($A705,'Vocus RVC ExDa'!$C$2:$R$155, 8,FALSE), IFERROR(VLOOKUP($A705,'Fusion ExDa'!$B$2:$D$16, 4,FALSE), IFERROR(VLOOKUP($A705,'Exetel ExDa'!$C$2:$N$14, 5,FALSE), IFERROR(VLOOKUP($A705,'Infinet ExDa'!$B$2:$E$14, 3,FALSE), "Not Found"))))))))</f>
        <v>Internet and Data 3457388090</v>
      </c>
      <c r="F705">
        <f>IFERROR(VLOOKUP($A705,'AAPT ExDa'!$B$2:$U$99, 4,FALSE), IFERROR(VLOOKUP($A705,'ABB ExDa'!$A$2:$N$184, 6,FALSE), IFERROR(VLOOKUP($A705,'Vocus SIT ExDa'!$B$2:$J$173, 3,FALSE), IFERROR(VLOOKUP($A705,'Telstra ExDa'!$B$2:$K$310, 5,FALSE), IFERROR(VLOOKUP($A705,'Vocus RVC ExDa'!$C$2:$R$155, 9,FALSE), IFERROR(VLOOKUP($A705,'Fusion ExDa'!$B$2:$D$16, 0,FALSE), IFERROR(VLOOKUP($A705,'Exetel ExDa'!$C$2:$N$14, 6,FALSE), IFERROR(VLOOKUP($A705,'Infinet ExDa'!$B$2:$E$14, 0,FALSE), "Not Found"))))))))</f>
        <v>0</v>
      </c>
      <c r="G705" t="str">
        <f>IFERROR(VLOOKUP($A705,'AAPT ExDa'!$B$2:$U$99, 5,FALSE), IFERROR(VLOOKUP($A705,'ABB ExDa'!$A$2:$N$184, 8,FALSE), IFERROR(VLOOKUP($A705,'Vocus SIT ExDa'!$B$2:$J$173, 6,FALSE), IFERROR(VLOOKUP($A705,'Telstra ExDa'!$B$2:$K$310, 0,FALSE), IFERROR(VLOOKUP($A705,'Vocus RVC ExDa'!$C$2:$R$155, 15,FALSE), IFERROR(VLOOKUP($A705,'Fusion ExDa'!$B$2:$D$16, 0,FALSE), IFERROR(VLOOKUP($A705,'Exetel ExDa'!$C$2:$N$14, 7,FALSE), IFERROR(VLOOKUP($A705,'Infinet ExDa'!$B$2:$E$14, 0,FALSE), "Not Found"))))))))</f>
        <v>Not Found</v>
      </c>
      <c r="H705" t="str">
        <f>IFERROR(VLOOKUP($A705,'AAPT ExDa'!$B$2:$U$99, 6,FALSE), IFERROR(VLOOKUP($A705,'ABB ExDa'!$A$2:$N$184, 0,FALSE), IFERROR(VLOOKUP($A705,'Vocus SIT ExDa'!$B$2:$J$173, 0,FALSE), IFERROR(VLOOKUP($A705,'Telstra ExDa'!$B$2:$K$310, 0,FALSE), IFERROR(VLOOKUP($A705,'Vocus RVC ExDa'!$C$2:$R$155, 16,FALSE), IFERROR(VLOOKUP($A705,'Fusion ExDa'!$B$2:$D$16, 0,FALSE), IFERROR(VLOOKUP($A705,'Exetel ExDa'!$C$2:$N$14, 0,FALSE), IFERROR(VLOOKUP($A705,'Infinet ExDa'!$B$2:$E$14, 0,FALSE), "Not Found"))))))))</f>
        <v>Not Found</v>
      </c>
      <c r="I705" t="str">
        <f>IFERROR(VLOOKUP($A705,'AAPT ExDa'!$B$2:$U$99, 0,FALSE), IFERROR(VLOOKUP($A705,'ABB ExDa'!$A$2:$N$184, 0,FALSE), IFERROR(VLOOKUP($A705,'Vocus SIT ExDa'!$B$2:$J$173, 0,FALSE), IFERROR(VLOOKUP($A705,'Telstra ExDa'!$B$2:$K$310, 0,FALSE), IFERROR(VLOOKUP($A705,'Vocus RVC ExDa'!$C$2:$R$155, 0,FALSE), IFERROR(VLOOKUP($A705,'Fusion ExDa'!$B$2:$D$16, 0,FALSE), IFERROR(VLOOKUP($A705,'Exetel ExDa'!$C$2:$N$14, 8,FALSE), IFERROR(VLOOKUP($A705,'Infinet ExDa'!$B$2:$E$14, 0,FALSE), "Not Found"))))))))</f>
        <v>Not Found</v>
      </c>
      <c r="J705">
        <f>IFERROR(VLOOKUP($A705,'AAPT ExDa'!$B$2:$U$99, 7,FALSE), IFERROR(VLOOKUP($A705,'ABB ExDa'!$A$2:$N$184, 2,FALSE), IFERROR(VLOOKUP($A705,'Vocus SIT ExDa'!$B$2:$J$173, 0,FALSE), IFERROR(VLOOKUP($A705,'Telstra ExDa'!$B$2:$K$310, 7,FALSE), IFERROR(VLOOKUP($A705,'Vocus RVC ExDa'!$C$2:$R$155, 2,FALSE), IFERROR(VLOOKUP($A705,'Fusion ExDa'!$B$2:$D$16, 3,FALSE), IFERROR(VLOOKUP($A705,'Exetel ExDa'!$C$2:$N$14, 0,FALSE), IFERROR(VLOOKUP($A705,'Infinet ExDa'!$B$2:$E$14, 0,FALSE), "Not Found"))))))))</f>
        <v>0</v>
      </c>
      <c r="K705" t="str">
        <f>IFERROR(VLOOKUP($A705,'AAPT ExDa'!$B$2:$U$99, 12,FALSE), IFERROR(VLOOKUP($A705,'ABB ExDa'!$A$2:$N$184, 0,FALSE), IFERROR(VLOOKUP($A705,'Vocus SIT ExDa'!$B$2:$J$173, 0,FALSE), IFERROR(VLOOKUP($A705,'Telstra ExDa'!$B$2:$K$310, 0,FALSE), IFERROR(VLOOKUP($A705,'Vocus RVC ExDa'!$C$2:$R$155, 0,FALSE), IFERROR(VLOOKUP($A705,'Fusion ExDa'!$B$2:$D$16, 0,FALSE), IFERROR(VLOOKUP($A705,'Exetel ExDa'!$C$2:$N$14, 12,FALSE), IFERROR(VLOOKUP($A705,'Infinet ExDa'!$B$2:$E$14, 0,FALSE), "Not Found"))))))))</f>
        <v>Not Found</v>
      </c>
      <c r="L705" s="235" t="str">
        <f>IFERROR(VLOOKUP($A705,'AAPT ExDa'!$B$2:$U$99, 11,FALSE), IFERROR(VLOOKUP($A705,'ABB ExDa'!$A$2:$N$184, 9,FALSE), IFERROR(VLOOKUP($A705,'Vocus SIT ExDa'!$B$2:$J$173, 8,FALSE), IFERROR(VLOOKUP($A705,'Telstra ExDa'!$B$2:$K$310, 0,FALSE), IFERROR(VLOOKUP($A705,'Vocus RVC ExDa'!$C$2:$R$155, 0,FALSE), IFERROR(VLOOKUP($A705,'Fusion ExDa'!$B$2:$D$16, 0,FALSE), IFERROR(VLOOKUP($A705,'Exetel ExDa'!$C$2:$N$14, 9,FALSE), IFERROR(VLOOKUP($A705,'Infinet ExDa'!$B$2:$E$14, 0,FALSE), "Not Found"))))))))</f>
        <v>Not Found</v>
      </c>
      <c r="M705" s="234" t="str">
        <f>IFERROR(VLOOKUP($A705,'AAPT ExDa'!$B$2:$U$99, 0,FALSE), IFERROR(VLOOKUP($A705,'ABB ExDa'!$A$2:$N$184, 0,FALSE), IFERROR(VLOOKUP($A705,'Vocus SIT ExDa'!$B$2:$J$173, 0,FALSE), IFERROR(VLOOKUP($A705,'Telstra ExDa'!$B$2:$K$310, 0,FALSE), IFERROR(VLOOKUP($A705,'Vocus RVC ExDa'!$C$2:$R$155, 0,FALSE), IFERROR(VLOOKUP($A705,'Fusion ExDa'!$B$2:$D$16, 0,FALSE), IFERROR(VLOOKUP($A705,'Exetel ExDa'!$C$2:$N$14, 11,FALSE), IFERROR(VLOOKUP($A705,'Infinet ExDa'!$B$2:$E$14, 0,FALSE), "Not Found"))))))))</f>
        <v>Not Found</v>
      </c>
      <c r="N705" t="str">
        <f>IFERROR(VLOOKUP($A705,'AAPT ExDa'!$B$2:$U$99, 0,FALSE), IFERROR(VLOOKUP($A705,'ABB ExDa'!$A$2:$N$184, 13,FALSE), IFERROR(VLOOKUP($A705,'Vocus SIT ExDa'!$B$2:$J$173, 0,FALSE), IFERROR(VLOOKUP($A705,'Telstra ExDa'!$B$2:$K$310, 0,FALSE), IFERROR(VLOOKUP($A705,'Vocus RVC ExDa'!$C$2:$R$155, 0,FALSE), IFERROR(VLOOKUP($A705,'Fusion ExDa'!$B$2:$D$16, 0,FALSE), IFERROR(VLOOKUP($A705,'Exetel ExDa'!$C$2:$N$14, 0,FALSE), IFERROR(VLOOKUP($A705,'Infinet ExDa'!$B$2:$E$14, 0,FALSE), "Not Found"))))))))</f>
        <v>Not Found</v>
      </c>
    </row>
    <row r="706" spans="1:14">
      <c r="A706" t="str">
        <v>Little Cha Green Hills</v>
      </c>
      <c r="B706" t="str">
        <f>IFERROR(VLOOKUP(A706,'Exetel ExDa'!$C$2:$N$14,4,FALSE),"No Data")</f>
        <v>No Data</v>
      </c>
      <c r="C706" t="str">
        <f>IFERROR(VLOOKUP(A706,'AAPT ExDa'!$B$2:$U$99, 2,FALSE), IFERROR(VLOOKUP(A706,'ABB ExDa'!$A$2:$N$184, 2,FALSE), IFERROR(VLOOKUP(A706,'Vocus SIT ExDa'!$B$2:$J$173, 7,FALSE), IFERROR(VLOOKUP(A706,'Telstra ExDa'!$B$2:$K$310, 2,FALSE), IFERROR(VLOOKUP(A706,'Vocus RVC ExDa'!$C$2:$R$155, 3,FALSE), IFERROR(VLOOKUP(A706,'Fusion ExDa'!$B$2:$D$16, 2,FALSE), IFERROR(VLOOKUP(A706,'Exetel ExDa'!$C$2:$N$14, 2,FALSE), IFERROR(VLOOKUP(A706,'Infinet ExDa'!$B$2:$E$14, 2,FALSE), "Not Found"))))))))</f>
        <v>Shop K123, Stockland Green Hills, 1 Molly Morgan Drive, East Maitland NSW 2323</v>
      </c>
      <c r="D706" t="str">
        <f>IFERROR(VLOOKUP($A706,'AAPT ExDa'!$B$2:$U$99, 15,FALSE), IFERROR(VLOOKUP($A706,'ABB ExDa'!$A$2:$N$184, 4,FALSE), IFERROR(VLOOKUP($A706,'Vocus SIT ExDa'!$B$2:$J$173, 5,FALSE), IFERROR(VLOOKUP($A706,'Telstra ExDa'!$B$2:$K$310, 8,FALSE), IFERROR(VLOOKUP($A706,'Vocus RVC ExDa'!$C$2:$R$155, 6,FALSE), IFERROR(VLOOKUP($A706,'Fusion ExDa'!$B$2:$D$16, 4,FALSE), IFERROR(VLOOKUP($A706,'Exetel ExDa'!$C$2:$N$14, 3,FALSE), IFERROR(VLOOKUP($A706,'Infinet ExDa'!$B$2:$E$14, 3,FALSE), "Not Found"))))))))</f>
        <v>Telstra</v>
      </c>
      <c r="E706" t="str">
        <f>IFERROR(VLOOKUP($A706,'AAPT ExDa'!$B$2:$U$99, 3,FALSE), IFERROR(VLOOKUP($A706,'ABB ExDa'!$A$2:$N$184, 5,FALSE), IFERROR(VLOOKUP($A706,'Vocus SIT ExDa'!$B$2:$J$173, 2,FALSE), IFERROR(VLOOKUP($A706,'Telstra ExDa'!$B$2:$K$310, 4,FALSE), IFERROR(VLOOKUP($A706,'Vocus RVC ExDa'!$C$2:$R$155, 8,FALSE), IFERROR(VLOOKUP($A706,'Fusion ExDa'!$B$2:$D$16, 4,FALSE), IFERROR(VLOOKUP($A706,'Exetel ExDa'!$C$2:$N$14, 5,FALSE), IFERROR(VLOOKUP($A706,'Infinet ExDa'!$B$2:$E$14, 3,FALSE), "Not Found"))))))))</f>
        <v>Internet and Data 3459679090</v>
      </c>
      <c r="F706" t="str">
        <f>IFERROR(VLOOKUP($A706,'AAPT ExDa'!$B$2:$U$99, 4,FALSE), IFERROR(VLOOKUP($A706,'ABB ExDa'!$A$2:$N$184, 6,FALSE), IFERROR(VLOOKUP($A706,'Vocus SIT ExDa'!$B$2:$J$173, 3,FALSE), IFERROR(VLOOKUP($A706,'Telstra ExDa'!$B$2:$K$310, 5,FALSE), IFERROR(VLOOKUP($A706,'Vocus RVC ExDa'!$C$2:$R$155, 9,FALSE), IFERROR(VLOOKUP($A706,'Fusion ExDa'!$B$2:$D$16, 0,FALSE), IFERROR(VLOOKUP($A706,'Exetel ExDa'!$C$2:$N$14, 6,FALSE), IFERROR(VLOOKUP($A706,'Infinet ExDa'!$B$2:$E$14, 0,FALSE), "Not Found"))))))))</f>
        <v>green.hills.lil.cha@bigpond.com</v>
      </c>
      <c r="G706" t="str">
        <f>IFERROR(VLOOKUP($A706,'AAPT ExDa'!$B$2:$U$99, 5,FALSE), IFERROR(VLOOKUP($A706,'ABB ExDa'!$A$2:$N$184, 8,FALSE), IFERROR(VLOOKUP($A706,'Vocus SIT ExDa'!$B$2:$J$173, 6,FALSE), IFERROR(VLOOKUP($A706,'Telstra ExDa'!$B$2:$K$310, 0,FALSE), IFERROR(VLOOKUP($A706,'Vocus RVC ExDa'!$C$2:$R$155, 15,FALSE), IFERROR(VLOOKUP($A706,'Fusion ExDa'!$B$2:$D$16, 0,FALSE), IFERROR(VLOOKUP($A706,'Exetel ExDa'!$C$2:$N$14, 7,FALSE), IFERROR(VLOOKUP($A706,'Infinet ExDa'!$B$2:$E$14, 0,FALSE), "Not Found"))))))))</f>
        <v>Not Found</v>
      </c>
      <c r="H706" t="str">
        <f>IFERROR(VLOOKUP($A706,'AAPT ExDa'!$B$2:$U$99, 6,FALSE), IFERROR(VLOOKUP($A706,'ABB ExDa'!$A$2:$N$184, 0,FALSE), IFERROR(VLOOKUP($A706,'Vocus SIT ExDa'!$B$2:$J$173, 0,FALSE), IFERROR(VLOOKUP($A706,'Telstra ExDa'!$B$2:$K$310, 0,FALSE), IFERROR(VLOOKUP($A706,'Vocus RVC ExDa'!$C$2:$R$155, 16,FALSE), IFERROR(VLOOKUP($A706,'Fusion ExDa'!$B$2:$D$16, 0,FALSE), IFERROR(VLOOKUP($A706,'Exetel ExDa'!$C$2:$N$14, 0,FALSE), IFERROR(VLOOKUP($A706,'Infinet ExDa'!$B$2:$E$14, 0,FALSE), "Not Found"))))))))</f>
        <v>Not Found</v>
      </c>
      <c r="I706" t="str">
        <f>IFERROR(VLOOKUP($A706,'AAPT ExDa'!$B$2:$U$99, 0,FALSE), IFERROR(VLOOKUP($A706,'ABB ExDa'!$A$2:$N$184, 0,FALSE), IFERROR(VLOOKUP($A706,'Vocus SIT ExDa'!$B$2:$J$173, 0,FALSE), IFERROR(VLOOKUP($A706,'Telstra ExDa'!$B$2:$K$310, 0,FALSE), IFERROR(VLOOKUP($A706,'Vocus RVC ExDa'!$C$2:$R$155, 0,FALSE), IFERROR(VLOOKUP($A706,'Fusion ExDa'!$B$2:$D$16, 0,FALSE), IFERROR(VLOOKUP($A706,'Exetel ExDa'!$C$2:$N$14, 8,FALSE), IFERROR(VLOOKUP($A706,'Infinet ExDa'!$B$2:$E$14, 0,FALSE), "Not Found"))))))))</f>
        <v>Not Found</v>
      </c>
      <c r="J706">
        <f>IFERROR(VLOOKUP($A706,'AAPT ExDa'!$B$2:$U$99, 7,FALSE), IFERROR(VLOOKUP($A706,'ABB ExDa'!$A$2:$N$184, 2,FALSE), IFERROR(VLOOKUP($A706,'Vocus SIT ExDa'!$B$2:$J$173, 0,FALSE), IFERROR(VLOOKUP($A706,'Telstra ExDa'!$B$2:$K$310, 7,FALSE), IFERROR(VLOOKUP($A706,'Vocus RVC ExDa'!$C$2:$R$155, 2,FALSE), IFERROR(VLOOKUP($A706,'Fusion ExDa'!$B$2:$D$16, 3,FALSE), IFERROR(VLOOKUP($A706,'Exetel ExDa'!$C$2:$N$14, 0,FALSE), IFERROR(VLOOKUP($A706,'Infinet ExDa'!$B$2:$E$14, 0,FALSE), "Not Found"))))))))</f>
        <v>0</v>
      </c>
      <c r="K706" t="str">
        <f>IFERROR(VLOOKUP($A706,'AAPT ExDa'!$B$2:$U$99, 12,FALSE), IFERROR(VLOOKUP($A706,'ABB ExDa'!$A$2:$N$184, 0,FALSE), IFERROR(VLOOKUP($A706,'Vocus SIT ExDa'!$B$2:$J$173, 0,FALSE), IFERROR(VLOOKUP($A706,'Telstra ExDa'!$B$2:$K$310, 0,FALSE), IFERROR(VLOOKUP($A706,'Vocus RVC ExDa'!$C$2:$R$155, 0,FALSE), IFERROR(VLOOKUP($A706,'Fusion ExDa'!$B$2:$D$16, 0,FALSE), IFERROR(VLOOKUP($A706,'Exetel ExDa'!$C$2:$N$14, 12,FALSE), IFERROR(VLOOKUP($A706,'Infinet ExDa'!$B$2:$E$14, 0,FALSE), "Not Found"))))))))</f>
        <v>Not Found</v>
      </c>
      <c r="L706" s="235" t="str">
        <f>IFERROR(VLOOKUP($A706,'AAPT ExDa'!$B$2:$U$99, 11,FALSE), IFERROR(VLOOKUP($A706,'ABB ExDa'!$A$2:$N$184, 9,FALSE), IFERROR(VLOOKUP($A706,'Vocus SIT ExDa'!$B$2:$J$173, 8,FALSE), IFERROR(VLOOKUP($A706,'Telstra ExDa'!$B$2:$K$310, 0,FALSE), IFERROR(VLOOKUP($A706,'Vocus RVC ExDa'!$C$2:$R$155, 0,FALSE), IFERROR(VLOOKUP($A706,'Fusion ExDa'!$B$2:$D$16, 0,FALSE), IFERROR(VLOOKUP($A706,'Exetel ExDa'!$C$2:$N$14, 9,FALSE), IFERROR(VLOOKUP($A706,'Infinet ExDa'!$B$2:$E$14, 0,FALSE), "Not Found"))))))))</f>
        <v>Not Found</v>
      </c>
      <c r="M706" s="234" t="str">
        <f>IFERROR(VLOOKUP($A706,'AAPT ExDa'!$B$2:$U$99, 0,FALSE), IFERROR(VLOOKUP($A706,'ABB ExDa'!$A$2:$N$184, 0,FALSE), IFERROR(VLOOKUP($A706,'Vocus SIT ExDa'!$B$2:$J$173, 0,FALSE), IFERROR(VLOOKUP($A706,'Telstra ExDa'!$B$2:$K$310, 0,FALSE), IFERROR(VLOOKUP($A706,'Vocus RVC ExDa'!$C$2:$R$155, 0,FALSE), IFERROR(VLOOKUP($A706,'Fusion ExDa'!$B$2:$D$16, 0,FALSE), IFERROR(VLOOKUP($A706,'Exetel ExDa'!$C$2:$N$14, 11,FALSE), IFERROR(VLOOKUP($A706,'Infinet ExDa'!$B$2:$E$14, 0,FALSE), "Not Found"))))))))</f>
        <v>Not Found</v>
      </c>
      <c r="N706" t="str">
        <f>IFERROR(VLOOKUP($A706,'AAPT ExDa'!$B$2:$U$99, 0,FALSE), IFERROR(VLOOKUP($A706,'ABB ExDa'!$A$2:$N$184, 13,FALSE), IFERROR(VLOOKUP($A706,'Vocus SIT ExDa'!$B$2:$J$173, 0,FALSE), IFERROR(VLOOKUP($A706,'Telstra ExDa'!$B$2:$K$310, 0,FALSE), IFERROR(VLOOKUP($A706,'Vocus RVC ExDa'!$C$2:$R$155, 0,FALSE), IFERROR(VLOOKUP($A706,'Fusion ExDa'!$B$2:$D$16, 0,FALSE), IFERROR(VLOOKUP($A706,'Exetel ExDa'!$C$2:$N$14, 0,FALSE), IFERROR(VLOOKUP($A706,'Infinet ExDa'!$B$2:$E$14, 0,FALSE), "Not Found"))))))))</f>
        <v>Not Found</v>
      </c>
    </row>
    <row r="707" spans="1:14">
      <c r="A707" t="str">
        <v>Little Cha Mt Druitt</v>
      </c>
      <c r="B707" t="str">
        <f>IFERROR(VLOOKUP(A707,'Exetel ExDa'!$C$2:$N$14,4,FALSE),"No Data")</f>
        <v>No Data</v>
      </c>
      <c r="C707" t="str">
        <f>IFERROR(VLOOKUP(A707,'AAPT ExDa'!$B$2:$U$99, 2,FALSE), IFERROR(VLOOKUP(A707,'ABB ExDa'!$A$2:$N$184, 2,FALSE), IFERROR(VLOOKUP(A707,'Vocus SIT ExDa'!$B$2:$J$173, 7,FALSE), IFERROR(VLOOKUP(A707,'Telstra ExDa'!$B$2:$K$310, 2,FALSE), IFERROR(VLOOKUP(A707,'Vocus RVC ExDa'!$C$2:$R$155, 3,FALSE), IFERROR(VLOOKUP(A707,'Fusion ExDa'!$B$2:$D$16, 2,FALSE), IFERROR(VLOOKUP(A707,'Exetel ExDa'!$C$2:$N$14, 2,FALSE), IFERROR(VLOOKUP(A707,'Infinet ExDa'!$B$2:$E$14, 2,FALSE), "Not Found"))))))))</f>
        <v>K29A Carlisle Ave &amp;, Luxford Rd, Mount Druitt NSW 2770, Australia</v>
      </c>
      <c r="D707" t="str">
        <f>IFERROR(VLOOKUP($A707,'AAPT ExDa'!$B$2:$U$99, 15,FALSE), IFERROR(VLOOKUP($A707,'ABB ExDa'!$A$2:$N$184, 4,FALSE), IFERROR(VLOOKUP($A707,'Vocus SIT ExDa'!$B$2:$J$173, 5,FALSE), IFERROR(VLOOKUP($A707,'Telstra ExDa'!$B$2:$K$310, 8,FALSE), IFERROR(VLOOKUP($A707,'Vocus RVC ExDa'!$C$2:$R$155, 6,FALSE), IFERROR(VLOOKUP($A707,'Fusion ExDa'!$B$2:$D$16, 4,FALSE), IFERROR(VLOOKUP($A707,'Exetel ExDa'!$C$2:$N$14, 3,FALSE), IFERROR(VLOOKUP($A707,'Infinet ExDa'!$B$2:$E$14, 3,FALSE), "Not Found"))))))))</f>
        <v>Telstra</v>
      </c>
      <c r="E707" t="str">
        <f>IFERROR(VLOOKUP($A707,'AAPT ExDa'!$B$2:$U$99, 3,FALSE), IFERROR(VLOOKUP($A707,'ABB ExDa'!$A$2:$N$184, 5,FALSE), IFERROR(VLOOKUP($A707,'Vocus SIT ExDa'!$B$2:$J$173, 2,FALSE), IFERROR(VLOOKUP($A707,'Telstra ExDa'!$B$2:$K$310, 4,FALSE), IFERROR(VLOOKUP($A707,'Vocus RVC ExDa'!$C$2:$R$155, 8,FALSE), IFERROR(VLOOKUP($A707,'Fusion ExDa'!$B$2:$D$16, 4,FALSE), IFERROR(VLOOKUP($A707,'Exetel ExDa'!$C$2:$N$14, 5,FALSE), IFERROR(VLOOKUP($A707,'Infinet ExDa'!$B$2:$E$14, 3,FALSE), "Not Found"))))))))</f>
        <v>Internet and Data 3538267980</v>
      </c>
      <c r="F707" t="str">
        <f>IFERROR(VLOOKUP($A707,'AAPT ExDa'!$B$2:$U$99, 4,FALSE), IFERROR(VLOOKUP($A707,'ABB ExDa'!$A$2:$N$184, 6,FALSE), IFERROR(VLOOKUP($A707,'Vocus SIT ExDa'!$B$2:$J$173, 3,FALSE), IFERROR(VLOOKUP($A707,'Telstra ExDa'!$B$2:$K$310, 5,FALSE), IFERROR(VLOOKUP($A707,'Vocus RVC ExDa'!$C$2:$R$155, 9,FALSE), IFERROR(VLOOKUP($A707,'Fusion ExDa'!$B$2:$D$16, 0,FALSE), IFERROR(VLOOKUP($A707,'Exetel ExDa'!$C$2:$N$14, 6,FALSE), IFERROR(VLOOKUP($A707,'Infinet ExDa'!$B$2:$E$14, 0,FALSE), "Not Found"))))))))</f>
        <v>littlechamtdruitt@bigpond.com</v>
      </c>
      <c r="G707" t="str">
        <f>IFERROR(VLOOKUP($A707,'AAPT ExDa'!$B$2:$U$99, 5,FALSE), IFERROR(VLOOKUP($A707,'ABB ExDa'!$A$2:$N$184, 8,FALSE), IFERROR(VLOOKUP($A707,'Vocus SIT ExDa'!$B$2:$J$173, 6,FALSE), IFERROR(VLOOKUP($A707,'Telstra ExDa'!$B$2:$K$310, 0,FALSE), IFERROR(VLOOKUP($A707,'Vocus RVC ExDa'!$C$2:$R$155, 15,FALSE), IFERROR(VLOOKUP($A707,'Fusion ExDa'!$B$2:$D$16, 0,FALSE), IFERROR(VLOOKUP($A707,'Exetel ExDa'!$C$2:$N$14, 7,FALSE), IFERROR(VLOOKUP($A707,'Infinet ExDa'!$B$2:$E$14, 0,FALSE), "Not Found"))))))))</f>
        <v>Not Found</v>
      </c>
      <c r="H707" t="str">
        <f>IFERROR(VLOOKUP($A707,'AAPT ExDa'!$B$2:$U$99, 6,FALSE), IFERROR(VLOOKUP($A707,'ABB ExDa'!$A$2:$N$184, 0,FALSE), IFERROR(VLOOKUP($A707,'Vocus SIT ExDa'!$B$2:$J$173, 0,FALSE), IFERROR(VLOOKUP($A707,'Telstra ExDa'!$B$2:$K$310, 0,FALSE), IFERROR(VLOOKUP($A707,'Vocus RVC ExDa'!$C$2:$R$155, 16,FALSE), IFERROR(VLOOKUP($A707,'Fusion ExDa'!$B$2:$D$16, 0,FALSE), IFERROR(VLOOKUP($A707,'Exetel ExDa'!$C$2:$N$14, 0,FALSE), IFERROR(VLOOKUP($A707,'Infinet ExDa'!$B$2:$E$14, 0,FALSE), "Not Found"))))))))</f>
        <v>Not Found</v>
      </c>
      <c r="I707" t="str">
        <f>IFERROR(VLOOKUP($A707,'AAPT ExDa'!$B$2:$U$99, 0,FALSE), IFERROR(VLOOKUP($A707,'ABB ExDa'!$A$2:$N$184, 0,FALSE), IFERROR(VLOOKUP($A707,'Vocus SIT ExDa'!$B$2:$J$173, 0,FALSE), IFERROR(VLOOKUP($A707,'Telstra ExDa'!$B$2:$K$310, 0,FALSE), IFERROR(VLOOKUP($A707,'Vocus RVC ExDa'!$C$2:$R$155, 0,FALSE), IFERROR(VLOOKUP($A707,'Fusion ExDa'!$B$2:$D$16, 0,FALSE), IFERROR(VLOOKUP($A707,'Exetel ExDa'!$C$2:$N$14, 8,FALSE), IFERROR(VLOOKUP($A707,'Infinet ExDa'!$B$2:$E$14, 0,FALSE), "Not Found"))))))))</f>
        <v>Not Found</v>
      </c>
      <c r="J707">
        <f>IFERROR(VLOOKUP($A707,'AAPT ExDa'!$B$2:$U$99, 7,FALSE), IFERROR(VLOOKUP($A707,'ABB ExDa'!$A$2:$N$184, 2,FALSE), IFERROR(VLOOKUP($A707,'Vocus SIT ExDa'!$B$2:$J$173, 0,FALSE), IFERROR(VLOOKUP($A707,'Telstra ExDa'!$B$2:$K$310, 7,FALSE), IFERROR(VLOOKUP($A707,'Vocus RVC ExDa'!$C$2:$R$155, 2,FALSE), IFERROR(VLOOKUP($A707,'Fusion ExDa'!$B$2:$D$16, 3,FALSE), IFERROR(VLOOKUP($A707,'Exetel ExDa'!$C$2:$N$14, 0,FALSE), IFERROR(VLOOKUP($A707,'Infinet ExDa'!$B$2:$E$14, 0,FALSE), "Not Found"))))))))</f>
        <v>0</v>
      </c>
      <c r="K707" t="str">
        <f>IFERROR(VLOOKUP($A707,'AAPT ExDa'!$B$2:$U$99, 12,FALSE), IFERROR(VLOOKUP($A707,'ABB ExDa'!$A$2:$N$184, 0,FALSE), IFERROR(VLOOKUP($A707,'Vocus SIT ExDa'!$B$2:$J$173, 0,FALSE), IFERROR(VLOOKUP($A707,'Telstra ExDa'!$B$2:$K$310, 0,FALSE), IFERROR(VLOOKUP($A707,'Vocus RVC ExDa'!$C$2:$R$155, 0,FALSE), IFERROR(VLOOKUP($A707,'Fusion ExDa'!$B$2:$D$16, 0,FALSE), IFERROR(VLOOKUP($A707,'Exetel ExDa'!$C$2:$N$14, 12,FALSE), IFERROR(VLOOKUP($A707,'Infinet ExDa'!$B$2:$E$14, 0,FALSE), "Not Found"))))))))</f>
        <v>Not Found</v>
      </c>
      <c r="L707" s="235" t="str">
        <f>IFERROR(VLOOKUP($A707,'AAPT ExDa'!$B$2:$U$99, 11,FALSE), IFERROR(VLOOKUP($A707,'ABB ExDa'!$A$2:$N$184, 9,FALSE), IFERROR(VLOOKUP($A707,'Vocus SIT ExDa'!$B$2:$J$173, 8,FALSE), IFERROR(VLOOKUP($A707,'Telstra ExDa'!$B$2:$K$310, 0,FALSE), IFERROR(VLOOKUP($A707,'Vocus RVC ExDa'!$C$2:$R$155, 0,FALSE), IFERROR(VLOOKUP($A707,'Fusion ExDa'!$B$2:$D$16, 0,FALSE), IFERROR(VLOOKUP($A707,'Exetel ExDa'!$C$2:$N$14, 9,FALSE), IFERROR(VLOOKUP($A707,'Infinet ExDa'!$B$2:$E$14, 0,FALSE), "Not Found"))))))))</f>
        <v>Not Found</v>
      </c>
      <c r="M707" s="234" t="str">
        <f>IFERROR(VLOOKUP($A707,'AAPT ExDa'!$B$2:$U$99, 0,FALSE), IFERROR(VLOOKUP($A707,'ABB ExDa'!$A$2:$N$184, 0,FALSE), IFERROR(VLOOKUP($A707,'Vocus SIT ExDa'!$B$2:$J$173, 0,FALSE), IFERROR(VLOOKUP($A707,'Telstra ExDa'!$B$2:$K$310, 0,FALSE), IFERROR(VLOOKUP($A707,'Vocus RVC ExDa'!$C$2:$R$155, 0,FALSE), IFERROR(VLOOKUP($A707,'Fusion ExDa'!$B$2:$D$16, 0,FALSE), IFERROR(VLOOKUP($A707,'Exetel ExDa'!$C$2:$N$14, 11,FALSE), IFERROR(VLOOKUP($A707,'Infinet ExDa'!$B$2:$E$14, 0,FALSE), "Not Found"))))))))</f>
        <v>Not Found</v>
      </c>
      <c r="N707" t="str">
        <f>IFERROR(VLOOKUP($A707,'AAPT ExDa'!$B$2:$U$99, 0,FALSE), IFERROR(VLOOKUP($A707,'ABB ExDa'!$A$2:$N$184, 13,FALSE), IFERROR(VLOOKUP($A707,'Vocus SIT ExDa'!$B$2:$J$173, 0,FALSE), IFERROR(VLOOKUP($A707,'Telstra ExDa'!$B$2:$K$310, 0,FALSE), IFERROR(VLOOKUP($A707,'Vocus RVC ExDa'!$C$2:$R$155, 0,FALSE), IFERROR(VLOOKUP($A707,'Fusion ExDa'!$B$2:$D$16, 0,FALSE), IFERROR(VLOOKUP($A707,'Exetel ExDa'!$C$2:$N$14, 0,FALSE), IFERROR(VLOOKUP($A707,'Infinet ExDa'!$B$2:$E$14, 0,FALSE), "Not Found"))))))))</f>
        <v>Not Found</v>
      </c>
    </row>
    <row r="708" spans="1:14">
      <c r="A708" t="str">
        <v>Zambrero Lithgow</v>
      </c>
      <c r="B708" t="str">
        <f>IFERROR(VLOOKUP(A708,'Exetel ExDa'!$C$2:$N$14,4,FALSE),"No Data")</f>
        <v>No Data</v>
      </c>
      <c r="C708" t="str">
        <f>IFERROR(VLOOKUP(A708,'AAPT ExDa'!$B$2:$U$99, 2,FALSE), IFERROR(VLOOKUP(A708,'ABB ExDa'!$A$2:$N$184, 2,FALSE), IFERROR(VLOOKUP(A708,'Vocus SIT ExDa'!$B$2:$J$173, 7,FALSE), IFERROR(VLOOKUP(A708,'Telstra ExDa'!$B$2:$K$310, 2,FALSE), IFERROR(VLOOKUP(A708,'Vocus RVC ExDa'!$C$2:$R$155, 3,FALSE), IFERROR(VLOOKUP(A708,'Fusion ExDa'!$B$2:$D$16, 2,FALSE), IFERROR(VLOOKUP(A708,'Exetel ExDa'!$C$2:$N$14, 2,FALSE), IFERROR(VLOOKUP(A708,'Infinet ExDa'!$B$2:$E$14, 2,FALSE), "Not Found"))))))))</f>
        <v>1129 GREAT WESTERN HWY, BOWENFELS NSW 2790</v>
      </c>
      <c r="D708" t="str">
        <f>IFERROR(VLOOKUP($A708,'AAPT ExDa'!$B$2:$U$99, 15,FALSE), IFERROR(VLOOKUP($A708,'ABB ExDa'!$A$2:$N$184, 4,FALSE), IFERROR(VLOOKUP($A708,'Vocus SIT ExDa'!$B$2:$J$173, 5,FALSE), IFERROR(VLOOKUP($A708,'Telstra ExDa'!$B$2:$K$310, 8,FALSE), IFERROR(VLOOKUP($A708,'Vocus RVC ExDa'!$C$2:$R$155, 6,FALSE), IFERROR(VLOOKUP($A708,'Fusion ExDa'!$B$2:$D$16, 4,FALSE), IFERROR(VLOOKUP($A708,'Exetel ExDa'!$C$2:$N$14, 3,FALSE), IFERROR(VLOOKUP($A708,'Infinet ExDa'!$B$2:$E$14, 3,FALSE), "Not Found"))))))))</f>
        <v>Telstra</v>
      </c>
      <c r="E708" t="str">
        <f>IFERROR(VLOOKUP($A708,'AAPT ExDa'!$B$2:$U$99, 3,FALSE), IFERROR(VLOOKUP($A708,'ABB ExDa'!$A$2:$N$184, 5,FALSE), IFERROR(VLOOKUP($A708,'Vocus SIT ExDa'!$B$2:$J$173, 2,FALSE), IFERROR(VLOOKUP($A708,'Telstra ExDa'!$B$2:$K$310, 4,FALSE), IFERROR(VLOOKUP($A708,'Vocus RVC ExDa'!$C$2:$R$155, 8,FALSE), IFERROR(VLOOKUP($A708,'Fusion ExDa'!$B$2:$D$16, 4,FALSE), IFERROR(VLOOKUP($A708,'Exetel ExDa'!$C$2:$N$14, 5,FALSE), IFERROR(VLOOKUP($A708,'Infinet ExDa'!$B$2:$E$14, 3,FALSE), "Not Found"))))))))</f>
        <v>Internet and Data 3935572690</v>
      </c>
      <c r="F708" t="str">
        <f>IFERROR(VLOOKUP($A708,'AAPT ExDa'!$B$2:$U$99, 4,FALSE), IFERROR(VLOOKUP($A708,'ABB ExDa'!$A$2:$N$184, 6,FALSE), IFERROR(VLOOKUP($A708,'Vocus SIT ExDa'!$B$2:$J$173, 3,FALSE), IFERROR(VLOOKUP($A708,'Telstra ExDa'!$B$2:$K$310, 5,FALSE), IFERROR(VLOOKUP($A708,'Vocus RVC ExDa'!$C$2:$R$155, 9,FALSE), IFERROR(VLOOKUP($A708,'Fusion ExDa'!$B$2:$D$16, 0,FALSE), IFERROR(VLOOKUP($A708,'Exetel ExDa'!$C$2:$N$14, 6,FALSE), IFERROR(VLOOKUP($A708,'Infinet ExDa'!$B$2:$E$14, 0,FALSE), "Not Found"))))))))</f>
        <v>zambrerolithgow@bigpond.com</v>
      </c>
      <c r="G708" t="str">
        <f>IFERROR(VLOOKUP($A708,'AAPT ExDa'!$B$2:$U$99, 5,FALSE), IFERROR(VLOOKUP($A708,'ABB ExDa'!$A$2:$N$184, 8,FALSE), IFERROR(VLOOKUP($A708,'Vocus SIT ExDa'!$B$2:$J$173, 6,FALSE), IFERROR(VLOOKUP($A708,'Telstra ExDa'!$B$2:$K$310, 0,FALSE), IFERROR(VLOOKUP($A708,'Vocus RVC ExDa'!$C$2:$R$155, 15,FALSE), IFERROR(VLOOKUP($A708,'Fusion ExDa'!$B$2:$D$16, 0,FALSE), IFERROR(VLOOKUP($A708,'Exetel ExDa'!$C$2:$N$14, 7,FALSE), IFERROR(VLOOKUP($A708,'Infinet ExDa'!$B$2:$E$14, 0,FALSE), "Not Found"))))))))</f>
        <v>Not Found</v>
      </c>
      <c r="H708" t="str">
        <f>IFERROR(VLOOKUP($A708,'AAPT ExDa'!$B$2:$U$99, 6,FALSE), IFERROR(VLOOKUP($A708,'ABB ExDa'!$A$2:$N$184, 0,FALSE), IFERROR(VLOOKUP($A708,'Vocus SIT ExDa'!$B$2:$J$173, 0,FALSE), IFERROR(VLOOKUP($A708,'Telstra ExDa'!$B$2:$K$310, 0,FALSE), IFERROR(VLOOKUP($A708,'Vocus RVC ExDa'!$C$2:$R$155, 16,FALSE), IFERROR(VLOOKUP($A708,'Fusion ExDa'!$B$2:$D$16, 0,FALSE), IFERROR(VLOOKUP($A708,'Exetel ExDa'!$C$2:$N$14, 0,FALSE), IFERROR(VLOOKUP($A708,'Infinet ExDa'!$B$2:$E$14, 0,FALSE), "Not Found"))))))))</f>
        <v>Not Found</v>
      </c>
      <c r="I708" t="str">
        <f>IFERROR(VLOOKUP($A708,'AAPT ExDa'!$B$2:$U$99, 0,FALSE), IFERROR(VLOOKUP($A708,'ABB ExDa'!$A$2:$N$184, 0,FALSE), IFERROR(VLOOKUP($A708,'Vocus SIT ExDa'!$B$2:$J$173, 0,FALSE), IFERROR(VLOOKUP($A708,'Telstra ExDa'!$B$2:$K$310, 0,FALSE), IFERROR(VLOOKUP($A708,'Vocus RVC ExDa'!$C$2:$R$155, 0,FALSE), IFERROR(VLOOKUP($A708,'Fusion ExDa'!$B$2:$D$16, 0,FALSE), IFERROR(VLOOKUP($A708,'Exetel ExDa'!$C$2:$N$14, 8,FALSE), IFERROR(VLOOKUP($A708,'Infinet ExDa'!$B$2:$E$14, 0,FALSE), "Not Found"))))))))</f>
        <v>Not Found</v>
      </c>
      <c r="J708">
        <f>IFERROR(VLOOKUP($A708,'AAPT ExDa'!$B$2:$U$99, 7,FALSE), IFERROR(VLOOKUP($A708,'ABB ExDa'!$A$2:$N$184, 2,FALSE), IFERROR(VLOOKUP($A708,'Vocus SIT ExDa'!$B$2:$J$173, 0,FALSE), IFERROR(VLOOKUP($A708,'Telstra ExDa'!$B$2:$K$310, 7,FALSE), IFERROR(VLOOKUP($A708,'Vocus RVC ExDa'!$C$2:$R$155, 2,FALSE), IFERROR(VLOOKUP($A708,'Fusion ExDa'!$B$2:$D$16, 3,FALSE), IFERROR(VLOOKUP($A708,'Exetel ExDa'!$C$2:$N$14, 0,FALSE), IFERROR(VLOOKUP($A708,'Infinet ExDa'!$B$2:$E$14, 0,FALSE), "Not Found"))))))))</f>
        <v>0</v>
      </c>
      <c r="K708" t="str">
        <f>IFERROR(VLOOKUP($A708,'AAPT ExDa'!$B$2:$U$99, 12,FALSE), IFERROR(VLOOKUP($A708,'ABB ExDa'!$A$2:$N$184, 0,FALSE), IFERROR(VLOOKUP($A708,'Vocus SIT ExDa'!$B$2:$J$173, 0,FALSE), IFERROR(VLOOKUP($A708,'Telstra ExDa'!$B$2:$K$310, 0,FALSE), IFERROR(VLOOKUP($A708,'Vocus RVC ExDa'!$C$2:$R$155, 0,FALSE), IFERROR(VLOOKUP($A708,'Fusion ExDa'!$B$2:$D$16, 0,FALSE), IFERROR(VLOOKUP($A708,'Exetel ExDa'!$C$2:$N$14, 12,FALSE), IFERROR(VLOOKUP($A708,'Infinet ExDa'!$B$2:$E$14, 0,FALSE), "Not Found"))))))))</f>
        <v>Not Found</v>
      </c>
      <c r="L708" s="235" t="str">
        <f>IFERROR(VLOOKUP($A708,'AAPT ExDa'!$B$2:$U$99, 11,FALSE), IFERROR(VLOOKUP($A708,'ABB ExDa'!$A$2:$N$184, 9,FALSE), IFERROR(VLOOKUP($A708,'Vocus SIT ExDa'!$B$2:$J$173, 8,FALSE), IFERROR(VLOOKUP($A708,'Telstra ExDa'!$B$2:$K$310, 0,FALSE), IFERROR(VLOOKUP($A708,'Vocus RVC ExDa'!$C$2:$R$155, 0,FALSE), IFERROR(VLOOKUP($A708,'Fusion ExDa'!$B$2:$D$16, 0,FALSE), IFERROR(VLOOKUP($A708,'Exetel ExDa'!$C$2:$N$14, 9,FALSE), IFERROR(VLOOKUP($A708,'Infinet ExDa'!$B$2:$E$14, 0,FALSE), "Not Found"))))))))</f>
        <v>Not Found</v>
      </c>
      <c r="M708" s="234" t="str">
        <f>IFERROR(VLOOKUP($A708,'AAPT ExDa'!$B$2:$U$99, 0,FALSE), IFERROR(VLOOKUP($A708,'ABB ExDa'!$A$2:$N$184, 0,FALSE), IFERROR(VLOOKUP($A708,'Vocus SIT ExDa'!$B$2:$J$173, 0,FALSE), IFERROR(VLOOKUP($A708,'Telstra ExDa'!$B$2:$K$310, 0,FALSE), IFERROR(VLOOKUP($A708,'Vocus RVC ExDa'!$C$2:$R$155, 0,FALSE), IFERROR(VLOOKUP($A708,'Fusion ExDa'!$B$2:$D$16, 0,FALSE), IFERROR(VLOOKUP($A708,'Exetel ExDa'!$C$2:$N$14, 11,FALSE), IFERROR(VLOOKUP($A708,'Infinet ExDa'!$B$2:$E$14, 0,FALSE), "Not Found"))))))))</f>
        <v>Not Found</v>
      </c>
      <c r="N708" t="str">
        <f>IFERROR(VLOOKUP($A708,'AAPT ExDa'!$B$2:$U$99, 0,FALSE), IFERROR(VLOOKUP($A708,'ABB ExDa'!$A$2:$N$184, 13,FALSE), IFERROR(VLOOKUP($A708,'Vocus SIT ExDa'!$B$2:$J$173, 0,FALSE), IFERROR(VLOOKUP($A708,'Telstra ExDa'!$B$2:$K$310, 0,FALSE), IFERROR(VLOOKUP($A708,'Vocus RVC ExDa'!$C$2:$R$155, 0,FALSE), IFERROR(VLOOKUP($A708,'Fusion ExDa'!$B$2:$D$16, 0,FALSE), IFERROR(VLOOKUP($A708,'Exetel ExDa'!$C$2:$N$14, 0,FALSE), IFERROR(VLOOKUP($A708,'Infinet ExDa'!$B$2:$E$14, 0,FALSE), "Not Found"))))))))</f>
        <v>Not Found</v>
      </c>
    </row>
    <row r="709" spans="1:14">
      <c r="A709" t="str">
        <v>Zambrero Biggera Waters</v>
      </c>
      <c r="B709" t="str">
        <f>IFERROR(VLOOKUP(A709,'Exetel ExDa'!$C$2:$N$14,4,FALSE),"No Data")</f>
        <v>No Data</v>
      </c>
      <c r="C709" t="str">
        <f>IFERROR(VLOOKUP(A709,'AAPT ExDa'!$B$2:$U$99, 2,FALSE), IFERROR(VLOOKUP(A709,'ABB ExDa'!$A$2:$N$184, 2,FALSE), IFERROR(VLOOKUP(A709,'Vocus SIT ExDa'!$B$2:$J$173, 7,FALSE), IFERROR(VLOOKUP(A709,'Telstra ExDa'!$B$2:$K$310, 2,FALSE), IFERROR(VLOOKUP(A709,'Vocus RVC ExDa'!$C$2:$R$155, 3,FALSE), IFERROR(VLOOKUP(A709,'Fusion ExDa'!$B$2:$D$16, 2,FALSE), IFERROR(VLOOKUP(A709,'Exetel ExDa'!$C$2:$N$14, 2,FALSE), IFERROR(VLOOKUP(A709,'Infinet ExDa'!$B$2:$E$14, 2,FALSE), "Not Found"))))))))</f>
        <v>Shop 11, Treasure Cove Shopping Centre , 2 Treasure Island Dr, Biggera Waters QLD 4216</v>
      </c>
      <c r="D709" t="str">
        <f>IFERROR(VLOOKUP($A709,'AAPT ExDa'!$B$2:$U$99, 15,FALSE), IFERROR(VLOOKUP($A709,'ABB ExDa'!$A$2:$N$184, 4,FALSE), IFERROR(VLOOKUP($A709,'Vocus SIT ExDa'!$B$2:$J$173, 5,FALSE), IFERROR(VLOOKUP($A709,'Telstra ExDa'!$B$2:$K$310, 8,FALSE), IFERROR(VLOOKUP($A709,'Vocus RVC ExDa'!$C$2:$R$155, 6,FALSE), IFERROR(VLOOKUP($A709,'Fusion ExDa'!$B$2:$D$16, 4,FALSE), IFERROR(VLOOKUP($A709,'Exetel ExDa'!$C$2:$N$14, 3,FALSE), IFERROR(VLOOKUP($A709,'Infinet ExDa'!$B$2:$E$14, 3,FALSE), "Not Found"))))))))</f>
        <v>Telstra</v>
      </c>
      <c r="E709" t="str">
        <f>IFERROR(VLOOKUP($A709,'AAPT ExDa'!$B$2:$U$99, 3,FALSE), IFERROR(VLOOKUP($A709,'ABB ExDa'!$A$2:$N$184, 5,FALSE), IFERROR(VLOOKUP($A709,'Vocus SIT ExDa'!$B$2:$J$173, 2,FALSE), IFERROR(VLOOKUP($A709,'Telstra ExDa'!$B$2:$K$310, 4,FALSE), IFERROR(VLOOKUP($A709,'Vocus RVC ExDa'!$C$2:$R$155, 8,FALSE), IFERROR(VLOOKUP($A709,'Fusion ExDa'!$B$2:$D$16, 4,FALSE), IFERROR(VLOOKUP($A709,'Exetel ExDa'!$C$2:$N$14, 5,FALSE), IFERROR(VLOOKUP($A709,'Infinet ExDa'!$B$2:$E$14, 3,FALSE), "Not Found"))))))))</f>
        <v>Internet and Data 3975865580</v>
      </c>
      <c r="F709" t="str">
        <f>IFERROR(VLOOKUP($A709,'AAPT ExDa'!$B$2:$U$99, 4,FALSE), IFERROR(VLOOKUP($A709,'ABB ExDa'!$A$2:$N$184, 6,FALSE), IFERROR(VLOOKUP($A709,'Vocus SIT ExDa'!$B$2:$J$173, 3,FALSE), IFERROR(VLOOKUP($A709,'Telstra ExDa'!$B$2:$K$310, 5,FALSE), IFERROR(VLOOKUP($A709,'Vocus RVC ExDa'!$C$2:$R$155, 9,FALSE), IFERROR(VLOOKUP($A709,'Fusion ExDa'!$B$2:$D$16, 0,FALSE), IFERROR(VLOOKUP($A709,'Exetel ExDa'!$C$2:$N$14, 6,FALSE), IFERROR(VLOOKUP($A709,'Infinet ExDa'!$B$2:$E$14, 0,FALSE), "Not Found"))))))))</f>
        <v>zambiggerawaters@bigpond.com</v>
      </c>
      <c r="G709">
        <f>IFERROR(VLOOKUP($A709,'AAPT ExDa'!$B$2:$U$99, 5,FALSE), IFERROR(VLOOKUP($A709,'ABB ExDa'!$A$2:$N$184, 8,FALSE), IFERROR(VLOOKUP($A709,'Vocus SIT ExDa'!$B$2:$J$173, 6,FALSE), IFERROR(VLOOKUP($A709,'Telstra ExDa'!$B$2:$K$310, 0,FALSE), IFERROR(VLOOKUP($A709,'Vocus RVC ExDa'!$C$2:$R$155, 15,FALSE), IFERROR(VLOOKUP($A709,'Fusion ExDa'!$B$2:$D$16, 0,FALSE), IFERROR(VLOOKUP($A709,'Exetel ExDa'!$C$2:$N$14, 7,FALSE), IFERROR(VLOOKUP($A709,'Infinet ExDa'!$B$2:$E$14, 0,FALSE), "Not Found"))))))))</f>
        <v>0</v>
      </c>
      <c r="H709">
        <f>IFERROR(VLOOKUP($A709,'AAPT ExDa'!$B$2:$U$99, 6,FALSE), IFERROR(VLOOKUP($A709,'ABB ExDa'!$A$2:$N$184, 0,FALSE), IFERROR(VLOOKUP($A709,'Vocus SIT ExDa'!$B$2:$J$173, 0,FALSE), IFERROR(VLOOKUP($A709,'Telstra ExDa'!$B$2:$K$310, 0,FALSE), IFERROR(VLOOKUP($A709,'Vocus RVC ExDa'!$C$2:$R$155, 16,FALSE), IFERROR(VLOOKUP($A709,'Fusion ExDa'!$B$2:$D$16, 0,FALSE), IFERROR(VLOOKUP($A709,'Exetel ExDa'!$C$2:$N$14, 0,FALSE), IFERROR(VLOOKUP($A709,'Infinet ExDa'!$B$2:$E$14, 0,FALSE), "Not Found"))))))))</f>
        <v>0</v>
      </c>
      <c r="I709" t="str">
        <f>IFERROR(VLOOKUP($A709,'AAPT ExDa'!$B$2:$U$99, 0,FALSE), IFERROR(VLOOKUP($A709,'ABB ExDa'!$A$2:$N$184, 0,FALSE), IFERROR(VLOOKUP($A709,'Vocus SIT ExDa'!$B$2:$J$173, 0,FALSE), IFERROR(VLOOKUP($A709,'Telstra ExDa'!$B$2:$K$310, 0,FALSE), IFERROR(VLOOKUP($A709,'Vocus RVC ExDa'!$C$2:$R$155, 0,FALSE), IFERROR(VLOOKUP($A709,'Fusion ExDa'!$B$2:$D$16, 0,FALSE), IFERROR(VLOOKUP($A709,'Exetel ExDa'!$C$2:$N$14, 8,FALSE), IFERROR(VLOOKUP($A709,'Infinet ExDa'!$B$2:$E$14, 0,FALSE), "Not Found"))))))))</f>
        <v>Not Found</v>
      </c>
      <c r="J709">
        <f>IFERROR(VLOOKUP($A709,'AAPT ExDa'!$B$2:$U$99, 7,FALSE), IFERROR(VLOOKUP($A709,'ABB ExDa'!$A$2:$N$184, 2,FALSE), IFERROR(VLOOKUP($A709,'Vocus SIT ExDa'!$B$2:$J$173, 0,FALSE), IFERROR(VLOOKUP($A709,'Telstra ExDa'!$B$2:$K$310, 7,FALSE), IFERROR(VLOOKUP($A709,'Vocus RVC ExDa'!$C$2:$R$155, 2,FALSE), IFERROR(VLOOKUP($A709,'Fusion ExDa'!$B$2:$D$16, 3,FALSE), IFERROR(VLOOKUP($A709,'Exetel ExDa'!$C$2:$N$14, 0,FALSE), IFERROR(VLOOKUP($A709,'Infinet ExDa'!$B$2:$E$14, 0,FALSE), "Not Found"))))))))</f>
        <v>0</v>
      </c>
      <c r="K709" t="str">
        <f>IFERROR(VLOOKUP($A709,'AAPT ExDa'!$B$2:$U$99, 12,FALSE), IFERROR(VLOOKUP($A709,'ABB ExDa'!$A$2:$N$184, 0,FALSE), IFERROR(VLOOKUP($A709,'Vocus SIT ExDa'!$B$2:$J$173, 0,FALSE), IFERROR(VLOOKUP($A709,'Telstra ExDa'!$B$2:$K$310, 0,FALSE), IFERROR(VLOOKUP($A709,'Vocus RVC ExDa'!$C$2:$R$155, 0,FALSE), IFERROR(VLOOKUP($A709,'Fusion ExDa'!$B$2:$D$16, 0,FALSE), IFERROR(VLOOKUP($A709,'Exetel ExDa'!$C$2:$N$14, 12,FALSE), IFERROR(VLOOKUP($A709,'Infinet ExDa'!$B$2:$E$14, 0,FALSE), "Not Found"))))))))</f>
        <v>Not Found</v>
      </c>
      <c r="L709" s="235" t="str">
        <f>IFERROR(VLOOKUP($A709,'AAPT ExDa'!$B$2:$U$99, 11,FALSE), IFERROR(VLOOKUP($A709,'ABB ExDa'!$A$2:$N$184, 9,FALSE), IFERROR(VLOOKUP($A709,'Vocus SIT ExDa'!$B$2:$J$173, 8,FALSE), IFERROR(VLOOKUP($A709,'Telstra ExDa'!$B$2:$K$310, 0,FALSE), IFERROR(VLOOKUP($A709,'Vocus RVC ExDa'!$C$2:$R$155, 0,FALSE), IFERROR(VLOOKUP($A709,'Fusion ExDa'!$B$2:$D$16, 0,FALSE), IFERROR(VLOOKUP($A709,'Exetel ExDa'!$C$2:$N$14, 9,FALSE), IFERROR(VLOOKUP($A709,'Infinet ExDa'!$B$2:$E$14, 0,FALSE), "Not Found"))))))))</f>
        <v>Not Found</v>
      </c>
      <c r="M709" s="234" t="str">
        <f>IFERROR(VLOOKUP($A709,'AAPT ExDa'!$B$2:$U$99, 0,FALSE), IFERROR(VLOOKUP($A709,'ABB ExDa'!$A$2:$N$184, 0,FALSE), IFERROR(VLOOKUP($A709,'Vocus SIT ExDa'!$B$2:$J$173, 0,FALSE), IFERROR(VLOOKUP($A709,'Telstra ExDa'!$B$2:$K$310, 0,FALSE), IFERROR(VLOOKUP($A709,'Vocus RVC ExDa'!$C$2:$R$155, 0,FALSE), IFERROR(VLOOKUP($A709,'Fusion ExDa'!$B$2:$D$16, 0,FALSE), IFERROR(VLOOKUP($A709,'Exetel ExDa'!$C$2:$N$14, 11,FALSE), IFERROR(VLOOKUP($A709,'Infinet ExDa'!$B$2:$E$14, 0,FALSE), "Not Found"))))))))</f>
        <v>Not Found</v>
      </c>
      <c r="N709" t="str">
        <f>IFERROR(VLOOKUP($A709,'AAPT ExDa'!$B$2:$U$99, 0,FALSE), IFERROR(VLOOKUP($A709,'ABB ExDa'!$A$2:$N$184, 13,FALSE), IFERROR(VLOOKUP($A709,'Vocus SIT ExDa'!$B$2:$J$173, 0,FALSE), IFERROR(VLOOKUP($A709,'Telstra ExDa'!$B$2:$K$310, 0,FALSE), IFERROR(VLOOKUP($A709,'Vocus RVC ExDa'!$C$2:$R$155, 0,FALSE), IFERROR(VLOOKUP($A709,'Fusion ExDa'!$B$2:$D$16, 0,FALSE), IFERROR(VLOOKUP($A709,'Exetel ExDa'!$C$2:$N$14, 0,FALSE), IFERROR(VLOOKUP($A709,'Infinet ExDa'!$B$2:$E$14, 0,FALSE), "Not Found"))))))))</f>
        <v>Not Found</v>
      </c>
    </row>
    <row r="710" spans="1:14">
      <c r="A710" t="str">
        <v>Zambrero Coffs Harbour</v>
      </c>
      <c r="B710" t="str">
        <f>IFERROR(VLOOKUP(A710,'Exetel ExDa'!$C$2:$N$14,4,FALSE),"No Data")</f>
        <v>No Data</v>
      </c>
      <c r="C710" t="str">
        <f>IFERROR(VLOOKUP(A710,'AAPT ExDa'!$B$2:$U$99, 2,FALSE), IFERROR(VLOOKUP(A710,'ABB ExDa'!$A$2:$N$184, 2,FALSE), IFERROR(VLOOKUP(A710,'Vocus SIT ExDa'!$B$2:$J$173, 7,FALSE), IFERROR(VLOOKUP(A710,'Telstra ExDa'!$B$2:$K$310, 2,FALSE), IFERROR(VLOOKUP(A710,'Vocus RVC ExDa'!$C$2:$R$155, 3,FALSE), IFERROR(VLOOKUP(A710,'Fusion ExDa'!$B$2:$D$16, 2,FALSE), IFERROR(VLOOKUP(A710,'Exetel ExDa'!$C$2:$N$14, 2,FALSE), IFERROR(VLOOKUP(A710,'Infinet ExDa'!$B$2:$E$14, 2,FALSE), "Not Found"))))))))</f>
        <v>SHOP 2 399 PACIFIC HWY, COFFS HARBOUR, NSW 2450</v>
      </c>
      <c r="D710" t="str">
        <f>IFERROR(VLOOKUP($A710,'AAPT ExDa'!$B$2:$U$99, 15,FALSE), IFERROR(VLOOKUP($A710,'ABB ExDa'!$A$2:$N$184, 4,FALSE), IFERROR(VLOOKUP($A710,'Vocus SIT ExDa'!$B$2:$J$173, 5,FALSE), IFERROR(VLOOKUP($A710,'Telstra ExDa'!$B$2:$K$310, 8,FALSE), IFERROR(VLOOKUP($A710,'Vocus RVC ExDa'!$C$2:$R$155, 6,FALSE), IFERROR(VLOOKUP($A710,'Fusion ExDa'!$B$2:$D$16, 4,FALSE), IFERROR(VLOOKUP($A710,'Exetel ExDa'!$C$2:$N$14, 3,FALSE), IFERROR(VLOOKUP($A710,'Infinet ExDa'!$B$2:$E$14, 3,FALSE), "Not Found"))))))))</f>
        <v>Telstra</v>
      </c>
      <c r="E710" t="str">
        <f>IFERROR(VLOOKUP($A710,'AAPT ExDa'!$B$2:$U$99, 3,FALSE), IFERROR(VLOOKUP($A710,'ABB ExDa'!$A$2:$N$184, 5,FALSE), IFERROR(VLOOKUP($A710,'Vocus SIT ExDa'!$B$2:$J$173, 2,FALSE), IFERROR(VLOOKUP($A710,'Telstra ExDa'!$B$2:$K$310, 4,FALSE), IFERROR(VLOOKUP($A710,'Vocus RVC ExDa'!$C$2:$R$155, 8,FALSE), IFERROR(VLOOKUP($A710,'Fusion ExDa'!$B$2:$D$16, 4,FALSE), IFERROR(VLOOKUP($A710,'Exetel ExDa'!$C$2:$N$14, 5,FALSE), IFERROR(VLOOKUP($A710,'Infinet ExDa'!$B$2:$E$14, 3,FALSE), "Not Found"))))))))</f>
        <v>Internet and Data 3976086580</v>
      </c>
      <c r="F710" t="str">
        <f>IFERROR(VLOOKUP($A710,'AAPT ExDa'!$B$2:$U$99, 4,FALSE), IFERROR(VLOOKUP($A710,'ABB ExDa'!$A$2:$N$184, 6,FALSE), IFERROR(VLOOKUP($A710,'Vocus SIT ExDa'!$B$2:$J$173, 3,FALSE), IFERROR(VLOOKUP($A710,'Telstra ExDa'!$B$2:$K$310, 5,FALSE), IFERROR(VLOOKUP($A710,'Vocus RVC ExDa'!$C$2:$R$155, 9,FALSE), IFERROR(VLOOKUP($A710,'Fusion ExDa'!$B$2:$D$16, 0,FALSE), IFERROR(VLOOKUP($A710,'Exetel ExDa'!$C$2:$N$14, 6,FALSE), IFERROR(VLOOKUP($A710,'Infinet ExDa'!$B$2:$E$14, 0,FALSE), "Not Found"))))))))</f>
        <v>zamcoffsharbour@bigpond.com</v>
      </c>
      <c r="G710" t="str">
        <f>IFERROR(VLOOKUP($A710,'AAPT ExDa'!$B$2:$U$99, 5,FALSE), IFERROR(VLOOKUP($A710,'ABB ExDa'!$A$2:$N$184, 8,FALSE), IFERROR(VLOOKUP($A710,'Vocus SIT ExDa'!$B$2:$J$173, 6,FALSE), IFERROR(VLOOKUP($A710,'Telstra ExDa'!$B$2:$K$310, 0,FALSE), IFERROR(VLOOKUP($A710,'Vocus RVC ExDa'!$C$2:$R$155, 15,FALSE), IFERROR(VLOOKUP($A710,'Fusion ExDa'!$B$2:$D$16, 0,FALSE), IFERROR(VLOOKUP($A710,'Exetel ExDa'!$C$2:$N$14, 7,FALSE), IFERROR(VLOOKUP($A710,'Infinet ExDa'!$B$2:$E$14, 0,FALSE), "Not Found"))))))))</f>
        <v>Not Found</v>
      </c>
      <c r="H710" t="str">
        <f>IFERROR(VLOOKUP($A710,'AAPT ExDa'!$B$2:$U$99, 6,FALSE), IFERROR(VLOOKUP($A710,'ABB ExDa'!$A$2:$N$184, 0,FALSE), IFERROR(VLOOKUP($A710,'Vocus SIT ExDa'!$B$2:$J$173, 0,FALSE), IFERROR(VLOOKUP($A710,'Telstra ExDa'!$B$2:$K$310, 0,FALSE), IFERROR(VLOOKUP($A710,'Vocus RVC ExDa'!$C$2:$R$155, 16,FALSE), IFERROR(VLOOKUP($A710,'Fusion ExDa'!$B$2:$D$16, 0,FALSE), IFERROR(VLOOKUP($A710,'Exetel ExDa'!$C$2:$N$14, 0,FALSE), IFERROR(VLOOKUP($A710,'Infinet ExDa'!$B$2:$E$14, 0,FALSE), "Not Found"))))))))</f>
        <v>Not Found</v>
      </c>
      <c r="I710" t="str">
        <f>IFERROR(VLOOKUP($A710,'AAPT ExDa'!$B$2:$U$99, 0,FALSE), IFERROR(VLOOKUP($A710,'ABB ExDa'!$A$2:$N$184, 0,FALSE), IFERROR(VLOOKUP($A710,'Vocus SIT ExDa'!$B$2:$J$173, 0,FALSE), IFERROR(VLOOKUP($A710,'Telstra ExDa'!$B$2:$K$310, 0,FALSE), IFERROR(VLOOKUP($A710,'Vocus RVC ExDa'!$C$2:$R$155, 0,FALSE), IFERROR(VLOOKUP($A710,'Fusion ExDa'!$B$2:$D$16, 0,FALSE), IFERROR(VLOOKUP($A710,'Exetel ExDa'!$C$2:$N$14, 8,FALSE), IFERROR(VLOOKUP($A710,'Infinet ExDa'!$B$2:$E$14, 0,FALSE), "Not Found"))))))))</f>
        <v>Not Found</v>
      </c>
      <c r="J710">
        <f>IFERROR(VLOOKUP($A710,'AAPT ExDa'!$B$2:$U$99, 7,FALSE), IFERROR(VLOOKUP($A710,'ABB ExDa'!$A$2:$N$184, 2,FALSE), IFERROR(VLOOKUP($A710,'Vocus SIT ExDa'!$B$2:$J$173, 0,FALSE), IFERROR(VLOOKUP($A710,'Telstra ExDa'!$B$2:$K$310, 7,FALSE), IFERROR(VLOOKUP($A710,'Vocus RVC ExDa'!$C$2:$R$155, 2,FALSE), IFERROR(VLOOKUP($A710,'Fusion ExDa'!$B$2:$D$16, 3,FALSE), IFERROR(VLOOKUP($A710,'Exetel ExDa'!$C$2:$N$14, 0,FALSE), IFERROR(VLOOKUP($A710,'Infinet ExDa'!$B$2:$E$14, 0,FALSE), "Not Found"))))))))</f>
        <v>0</v>
      </c>
      <c r="K710" t="str">
        <f>IFERROR(VLOOKUP($A710,'AAPT ExDa'!$B$2:$U$99, 12,FALSE), IFERROR(VLOOKUP($A710,'ABB ExDa'!$A$2:$N$184, 0,FALSE), IFERROR(VLOOKUP($A710,'Vocus SIT ExDa'!$B$2:$J$173, 0,FALSE), IFERROR(VLOOKUP($A710,'Telstra ExDa'!$B$2:$K$310, 0,FALSE), IFERROR(VLOOKUP($A710,'Vocus RVC ExDa'!$C$2:$R$155, 0,FALSE), IFERROR(VLOOKUP($A710,'Fusion ExDa'!$B$2:$D$16, 0,FALSE), IFERROR(VLOOKUP($A710,'Exetel ExDa'!$C$2:$N$14, 12,FALSE), IFERROR(VLOOKUP($A710,'Infinet ExDa'!$B$2:$E$14, 0,FALSE), "Not Found"))))))))</f>
        <v>Not Found</v>
      </c>
      <c r="L710" s="235" t="str">
        <f>IFERROR(VLOOKUP($A710,'AAPT ExDa'!$B$2:$U$99, 11,FALSE), IFERROR(VLOOKUP($A710,'ABB ExDa'!$A$2:$N$184, 9,FALSE), IFERROR(VLOOKUP($A710,'Vocus SIT ExDa'!$B$2:$J$173, 8,FALSE), IFERROR(VLOOKUP($A710,'Telstra ExDa'!$B$2:$K$310, 0,FALSE), IFERROR(VLOOKUP($A710,'Vocus RVC ExDa'!$C$2:$R$155, 0,FALSE), IFERROR(VLOOKUP($A710,'Fusion ExDa'!$B$2:$D$16, 0,FALSE), IFERROR(VLOOKUP($A710,'Exetel ExDa'!$C$2:$N$14, 9,FALSE), IFERROR(VLOOKUP($A710,'Infinet ExDa'!$B$2:$E$14, 0,FALSE), "Not Found"))))))))</f>
        <v>Not Found</v>
      </c>
      <c r="M710" s="234" t="str">
        <f>IFERROR(VLOOKUP($A710,'AAPT ExDa'!$B$2:$U$99, 0,FALSE), IFERROR(VLOOKUP($A710,'ABB ExDa'!$A$2:$N$184, 0,FALSE), IFERROR(VLOOKUP($A710,'Vocus SIT ExDa'!$B$2:$J$173, 0,FALSE), IFERROR(VLOOKUP($A710,'Telstra ExDa'!$B$2:$K$310, 0,FALSE), IFERROR(VLOOKUP($A710,'Vocus RVC ExDa'!$C$2:$R$155, 0,FALSE), IFERROR(VLOOKUP($A710,'Fusion ExDa'!$B$2:$D$16, 0,FALSE), IFERROR(VLOOKUP($A710,'Exetel ExDa'!$C$2:$N$14, 11,FALSE), IFERROR(VLOOKUP($A710,'Infinet ExDa'!$B$2:$E$14, 0,FALSE), "Not Found"))))))))</f>
        <v>Not Found</v>
      </c>
      <c r="N710" t="str">
        <f>IFERROR(VLOOKUP($A710,'AAPT ExDa'!$B$2:$U$99, 0,FALSE), IFERROR(VLOOKUP($A710,'ABB ExDa'!$A$2:$N$184, 13,FALSE), IFERROR(VLOOKUP($A710,'Vocus SIT ExDa'!$B$2:$J$173, 0,FALSE), IFERROR(VLOOKUP($A710,'Telstra ExDa'!$B$2:$K$310, 0,FALSE), IFERROR(VLOOKUP($A710,'Vocus RVC ExDa'!$C$2:$R$155, 0,FALSE), IFERROR(VLOOKUP($A710,'Fusion ExDa'!$B$2:$D$16, 0,FALSE), IFERROR(VLOOKUP($A710,'Exetel ExDa'!$C$2:$N$14, 0,FALSE), IFERROR(VLOOKUP($A710,'Infinet ExDa'!$B$2:$E$14, 0,FALSE), "Not Found"))))))))</f>
        <v>Not Found</v>
      </c>
    </row>
    <row r="711" spans="1:14">
      <c r="A711" t="str">
        <v>Zambrero Yamanto</v>
      </c>
      <c r="B711" t="str">
        <f>IFERROR(VLOOKUP(A711,'Exetel ExDa'!$C$2:$N$14,4,FALSE),"No Data")</f>
        <v>No Data</v>
      </c>
      <c r="C711" t="str">
        <f>IFERROR(VLOOKUP(A711,'AAPT ExDa'!$B$2:$U$99, 2,FALSE), IFERROR(VLOOKUP(A711,'ABB ExDa'!$A$2:$N$184, 2,FALSE), IFERROR(VLOOKUP(A711,'Vocus SIT ExDa'!$B$2:$J$173, 7,FALSE), IFERROR(VLOOKUP(A711,'Telstra ExDa'!$B$2:$K$310, 2,FALSE), IFERROR(VLOOKUP(A711,'Vocus RVC ExDa'!$C$2:$R$155, 3,FALSE), IFERROR(VLOOKUP(A711,'Fusion ExDa'!$B$2:$D$16, 2,FALSE), IFERROR(VLOOKUP(A711,'Exetel ExDa'!$C$2:$N$14, 2,FALSE), IFERROR(VLOOKUP(A711,'Infinet ExDa'!$B$2:$E$14, 2,FALSE), "Not Found"))))))))</f>
        <v>SHOP 3 YAMANTO VILLAGE SQUARE, 422 - 436 WARWICK RD, 
YAMANTO, QLD 4305</v>
      </c>
      <c r="D711" t="str">
        <f>IFERROR(VLOOKUP($A711,'AAPT ExDa'!$B$2:$U$99, 15,FALSE), IFERROR(VLOOKUP($A711,'ABB ExDa'!$A$2:$N$184, 4,FALSE), IFERROR(VLOOKUP($A711,'Vocus SIT ExDa'!$B$2:$J$173, 5,FALSE), IFERROR(VLOOKUP($A711,'Telstra ExDa'!$B$2:$K$310, 8,FALSE), IFERROR(VLOOKUP($A711,'Vocus RVC ExDa'!$C$2:$R$155, 6,FALSE), IFERROR(VLOOKUP($A711,'Fusion ExDa'!$B$2:$D$16, 4,FALSE), IFERROR(VLOOKUP($A711,'Exetel ExDa'!$C$2:$N$14, 3,FALSE), IFERROR(VLOOKUP($A711,'Infinet ExDa'!$B$2:$E$14, 3,FALSE), "Not Found"))))))))</f>
        <v>Telstra</v>
      </c>
      <c r="E711" t="str">
        <f>IFERROR(VLOOKUP($A711,'AAPT ExDa'!$B$2:$U$99, 3,FALSE), IFERROR(VLOOKUP($A711,'ABB ExDa'!$A$2:$N$184, 5,FALSE), IFERROR(VLOOKUP($A711,'Vocus SIT ExDa'!$B$2:$J$173, 2,FALSE), IFERROR(VLOOKUP($A711,'Telstra ExDa'!$B$2:$K$310, 4,FALSE), IFERROR(VLOOKUP($A711,'Vocus RVC ExDa'!$C$2:$R$155, 8,FALSE), IFERROR(VLOOKUP($A711,'Fusion ExDa'!$B$2:$D$16, 4,FALSE), IFERROR(VLOOKUP($A711,'Exetel ExDa'!$C$2:$N$14, 5,FALSE), IFERROR(VLOOKUP($A711,'Infinet ExDa'!$B$2:$E$14, 3,FALSE), "Not Found"))))))))</f>
        <v>Internet and Data 3978936580</v>
      </c>
      <c r="F711" t="str">
        <f>IFERROR(VLOOKUP($A711,'AAPT ExDa'!$B$2:$U$99, 4,FALSE), IFERROR(VLOOKUP($A711,'ABB ExDa'!$A$2:$N$184, 6,FALSE), IFERROR(VLOOKUP($A711,'Vocus SIT ExDa'!$B$2:$J$173, 3,FALSE), IFERROR(VLOOKUP($A711,'Telstra ExDa'!$B$2:$K$310, 5,FALSE), IFERROR(VLOOKUP($A711,'Vocus RVC ExDa'!$C$2:$R$155, 9,FALSE), IFERROR(VLOOKUP($A711,'Fusion ExDa'!$B$2:$D$16, 0,FALSE), IFERROR(VLOOKUP($A711,'Exetel ExDa'!$C$2:$N$14, 6,FALSE), IFERROR(VLOOKUP($A711,'Infinet ExDa'!$B$2:$E$14, 0,FALSE), "Not Found"))))))))</f>
        <v>zamyamanto7@bigpond.com</v>
      </c>
      <c r="G711" t="str">
        <f>IFERROR(VLOOKUP($A711,'AAPT ExDa'!$B$2:$U$99, 5,FALSE), IFERROR(VLOOKUP($A711,'ABB ExDa'!$A$2:$N$184, 8,FALSE), IFERROR(VLOOKUP($A711,'Vocus SIT ExDa'!$B$2:$J$173, 6,FALSE), IFERROR(VLOOKUP($A711,'Telstra ExDa'!$B$2:$K$310, 0,FALSE), IFERROR(VLOOKUP($A711,'Vocus RVC ExDa'!$C$2:$R$155, 15,FALSE), IFERROR(VLOOKUP($A711,'Fusion ExDa'!$B$2:$D$16, 0,FALSE), IFERROR(VLOOKUP($A711,'Exetel ExDa'!$C$2:$N$14, 7,FALSE), IFERROR(VLOOKUP($A711,'Infinet ExDa'!$B$2:$E$14, 0,FALSE), "Not Found"))))))))</f>
        <v>Not Found</v>
      </c>
      <c r="H711" t="str">
        <f>IFERROR(VLOOKUP($A711,'AAPT ExDa'!$B$2:$U$99, 6,FALSE), IFERROR(VLOOKUP($A711,'ABB ExDa'!$A$2:$N$184, 0,FALSE), IFERROR(VLOOKUP($A711,'Vocus SIT ExDa'!$B$2:$J$173, 0,FALSE), IFERROR(VLOOKUP($A711,'Telstra ExDa'!$B$2:$K$310, 0,FALSE), IFERROR(VLOOKUP($A711,'Vocus RVC ExDa'!$C$2:$R$155, 16,FALSE), IFERROR(VLOOKUP($A711,'Fusion ExDa'!$B$2:$D$16, 0,FALSE), IFERROR(VLOOKUP($A711,'Exetel ExDa'!$C$2:$N$14, 0,FALSE), IFERROR(VLOOKUP($A711,'Infinet ExDa'!$B$2:$E$14, 0,FALSE), "Not Found"))))))))</f>
        <v>Not Found</v>
      </c>
      <c r="I711" t="str">
        <f>IFERROR(VLOOKUP($A711,'AAPT ExDa'!$B$2:$U$99, 0,FALSE), IFERROR(VLOOKUP($A711,'ABB ExDa'!$A$2:$N$184, 0,FALSE), IFERROR(VLOOKUP($A711,'Vocus SIT ExDa'!$B$2:$J$173, 0,FALSE), IFERROR(VLOOKUP($A711,'Telstra ExDa'!$B$2:$K$310, 0,FALSE), IFERROR(VLOOKUP($A711,'Vocus RVC ExDa'!$C$2:$R$155, 0,FALSE), IFERROR(VLOOKUP($A711,'Fusion ExDa'!$B$2:$D$16, 0,FALSE), IFERROR(VLOOKUP($A711,'Exetel ExDa'!$C$2:$N$14, 8,FALSE), IFERROR(VLOOKUP($A711,'Infinet ExDa'!$B$2:$E$14, 0,FALSE), "Not Found"))))))))</f>
        <v>Not Found</v>
      </c>
      <c r="J711">
        <f>IFERROR(VLOOKUP($A711,'AAPT ExDa'!$B$2:$U$99, 7,FALSE), IFERROR(VLOOKUP($A711,'ABB ExDa'!$A$2:$N$184, 2,FALSE), IFERROR(VLOOKUP($A711,'Vocus SIT ExDa'!$B$2:$J$173, 0,FALSE), IFERROR(VLOOKUP($A711,'Telstra ExDa'!$B$2:$K$310, 7,FALSE), IFERROR(VLOOKUP($A711,'Vocus RVC ExDa'!$C$2:$R$155, 2,FALSE), IFERROR(VLOOKUP($A711,'Fusion ExDa'!$B$2:$D$16, 3,FALSE), IFERROR(VLOOKUP($A711,'Exetel ExDa'!$C$2:$N$14, 0,FALSE), IFERROR(VLOOKUP($A711,'Infinet ExDa'!$B$2:$E$14, 0,FALSE), "Not Found"))))))))</f>
        <v>0</v>
      </c>
      <c r="K711" t="str">
        <f>IFERROR(VLOOKUP($A711,'AAPT ExDa'!$B$2:$U$99, 12,FALSE), IFERROR(VLOOKUP($A711,'ABB ExDa'!$A$2:$N$184, 0,FALSE), IFERROR(VLOOKUP($A711,'Vocus SIT ExDa'!$B$2:$J$173, 0,FALSE), IFERROR(VLOOKUP($A711,'Telstra ExDa'!$B$2:$K$310, 0,FALSE), IFERROR(VLOOKUP($A711,'Vocus RVC ExDa'!$C$2:$R$155, 0,FALSE), IFERROR(VLOOKUP($A711,'Fusion ExDa'!$B$2:$D$16, 0,FALSE), IFERROR(VLOOKUP($A711,'Exetel ExDa'!$C$2:$N$14, 12,FALSE), IFERROR(VLOOKUP($A711,'Infinet ExDa'!$B$2:$E$14, 0,FALSE), "Not Found"))))))))</f>
        <v>Not Found</v>
      </c>
      <c r="L711" s="235" t="str">
        <f>IFERROR(VLOOKUP($A711,'AAPT ExDa'!$B$2:$U$99, 11,FALSE), IFERROR(VLOOKUP($A711,'ABB ExDa'!$A$2:$N$184, 9,FALSE), IFERROR(VLOOKUP($A711,'Vocus SIT ExDa'!$B$2:$J$173, 8,FALSE), IFERROR(VLOOKUP($A711,'Telstra ExDa'!$B$2:$K$310, 0,FALSE), IFERROR(VLOOKUP($A711,'Vocus RVC ExDa'!$C$2:$R$155, 0,FALSE), IFERROR(VLOOKUP($A711,'Fusion ExDa'!$B$2:$D$16, 0,FALSE), IFERROR(VLOOKUP($A711,'Exetel ExDa'!$C$2:$N$14, 9,FALSE), IFERROR(VLOOKUP($A711,'Infinet ExDa'!$B$2:$E$14, 0,FALSE), "Not Found"))))))))</f>
        <v>Not Found</v>
      </c>
      <c r="M711" s="234" t="str">
        <f>IFERROR(VLOOKUP($A711,'AAPT ExDa'!$B$2:$U$99, 0,FALSE), IFERROR(VLOOKUP($A711,'ABB ExDa'!$A$2:$N$184, 0,FALSE), IFERROR(VLOOKUP($A711,'Vocus SIT ExDa'!$B$2:$J$173, 0,FALSE), IFERROR(VLOOKUP($A711,'Telstra ExDa'!$B$2:$K$310, 0,FALSE), IFERROR(VLOOKUP($A711,'Vocus RVC ExDa'!$C$2:$R$155, 0,FALSE), IFERROR(VLOOKUP($A711,'Fusion ExDa'!$B$2:$D$16, 0,FALSE), IFERROR(VLOOKUP($A711,'Exetel ExDa'!$C$2:$N$14, 11,FALSE), IFERROR(VLOOKUP($A711,'Infinet ExDa'!$B$2:$E$14, 0,FALSE), "Not Found"))))))))</f>
        <v>Not Found</v>
      </c>
      <c r="N711" t="str">
        <f>IFERROR(VLOOKUP($A711,'AAPT ExDa'!$B$2:$U$99, 0,FALSE), IFERROR(VLOOKUP($A711,'ABB ExDa'!$A$2:$N$184, 13,FALSE), IFERROR(VLOOKUP($A711,'Vocus SIT ExDa'!$B$2:$J$173, 0,FALSE), IFERROR(VLOOKUP($A711,'Telstra ExDa'!$B$2:$K$310, 0,FALSE), IFERROR(VLOOKUP($A711,'Vocus RVC ExDa'!$C$2:$R$155, 0,FALSE), IFERROR(VLOOKUP($A711,'Fusion ExDa'!$B$2:$D$16, 0,FALSE), IFERROR(VLOOKUP($A711,'Exetel ExDa'!$C$2:$N$14, 0,FALSE), IFERROR(VLOOKUP($A711,'Infinet ExDa'!$B$2:$E$14, 0,FALSE), "Not Found"))))))))</f>
        <v>Not Found</v>
      </c>
    </row>
    <row r="712" spans="1:14">
      <c r="A712" t="str">
        <v>Zambrero Canning Vale</v>
      </c>
      <c r="B712" t="str">
        <f>IFERROR(VLOOKUP(A712,'Exetel ExDa'!$C$2:$N$14,4,FALSE),"No Data")</f>
        <v>No Data</v>
      </c>
      <c r="C712" t="str">
        <f>IFERROR(VLOOKUP(A712,'AAPT ExDa'!$B$2:$U$99, 2,FALSE), IFERROR(VLOOKUP(A712,'ABB ExDa'!$A$2:$N$184, 2,FALSE), IFERROR(VLOOKUP(A712,'Vocus SIT ExDa'!$B$2:$J$173, 7,FALSE), IFERROR(VLOOKUP(A712,'Telstra ExDa'!$B$2:$K$310, 2,FALSE), IFERROR(VLOOKUP(A712,'Vocus RVC ExDa'!$C$2:$R$155, 3,FALSE), IFERROR(VLOOKUP(A712,'Fusion ExDa'!$B$2:$D$16, 2,FALSE), IFERROR(VLOOKUP(A712,'Exetel ExDa'!$C$2:$N$14, 2,FALSE), IFERROR(VLOOKUP(A712,'Infinet ExDa'!$B$2:$E$14, 2,FALSE), "Not Found"))))))))</f>
        <v>KFC, 96 RANFORD RD, CANNING VALE WA 6155</v>
      </c>
      <c r="D712" t="str">
        <f>IFERROR(VLOOKUP($A712,'AAPT ExDa'!$B$2:$U$99, 15,FALSE), IFERROR(VLOOKUP($A712,'ABB ExDa'!$A$2:$N$184, 4,FALSE), IFERROR(VLOOKUP($A712,'Vocus SIT ExDa'!$B$2:$J$173, 5,FALSE), IFERROR(VLOOKUP($A712,'Telstra ExDa'!$B$2:$K$310, 8,FALSE), IFERROR(VLOOKUP($A712,'Vocus RVC ExDa'!$C$2:$R$155, 6,FALSE), IFERROR(VLOOKUP($A712,'Fusion ExDa'!$B$2:$D$16, 4,FALSE), IFERROR(VLOOKUP($A712,'Exetel ExDa'!$C$2:$N$14, 3,FALSE), IFERROR(VLOOKUP($A712,'Infinet ExDa'!$B$2:$E$14, 3,FALSE), "Not Found"))))))))</f>
        <v>Telstra</v>
      </c>
      <c r="E712" t="str">
        <f>IFERROR(VLOOKUP($A712,'AAPT ExDa'!$B$2:$U$99, 3,FALSE), IFERROR(VLOOKUP($A712,'ABB ExDa'!$A$2:$N$184, 5,FALSE), IFERROR(VLOOKUP($A712,'Vocus SIT ExDa'!$B$2:$J$173, 2,FALSE), IFERROR(VLOOKUP($A712,'Telstra ExDa'!$B$2:$K$310, 4,FALSE), IFERROR(VLOOKUP($A712,'Vocus RVC ExDa'!$C$2:$R$155, 8,FALSE), IFERROR(VLOOKUP($A712,'Fusion ExDa'!$B$2:$D$16, 4,FALSE), IFERROR(VLOOKUP($A712,'Exetel ExDa'!$C$2:$N$14, 5,FALSE), IFERROR(VLOOKUP($A712,'Infinet ExDa'!$B$2:$E$14, 3,FALSE), "Not Found"))))))))</f>
        <v>Internet and Data 5254603190</v>
      </c>
      <c r="F712" t="str">
        <f>IFERROR(VLOOKUP($A712,'AAPT ExDa'!$B$2:$U$99, 4,FALSE), IFERROR(VLOOKUP($A712,'ABB ExDa'!$A$2:$N$184, 6,FALSE), IFERROR(VLOOKUP($A712,'Vocus SIT ExDa'!$B$2:$J$173, 3,FALSE), IFERROR(VLOOKUP($A712,'Telstra ExDa'!$B$2:$K$310, 5,FALSE), IFERROR(VLOOKUP($A712,'Vocus RVC ExDa'!$C$2:$R$155, 9,FALSE), IFERROR(VLOOKUP($A712,'Fusion ExDa'!$B$2:$D$16, 0,FALSE), IFERROR(VLOOKUP($A712,'Exetel ExDa'!$C$2:$N$14, 6,FALSE), IFERROR(VLOOKUP($A712,'Infinet ExDa'!$B$2:$E$14, 0,FALSE), "Not Found"))))))))</f>
        <v>zambrerocanningvale@bigpond.com</v>
      </c>
      <c r="G712" t="str">
        <f>IFERROR(VLOOKUP($A712,'AAPT ExDa'!$B$2:$U$99, 5,FALSE), IFERROR(VLOOKUP($A712,'ABB ExDa'!$A$2:$N$184, 8,FALSE), IFERROR(VLOOKUP($A712,'Vocus SIT ExDa'!$B$2:$J$173, 6,FALSE), IFERROR(VLOOKUP($A712,'Telstra ExDa'!$B$2:$K$310, 0,FALSE), IFERROR(VLOOKUP($A712,'Vocus RVC ExDa'!$C$2:$R$155, 15,FALSE), IFERROR(VLOOKUP($A712,'Fusion ExDa'!$B$2:$D$16, 0,FALSE), IFERROR(VLOOKUP($A712,'Exetel ExDa'!$C$2:$N$14, 7,FALSE), IFERROR(VLOOKUP($A712,'Infinet ExDa'!$B$2:$E$14, 0,FALSE), "Not Found"))))))))</f>
        <v>Not Found</v>
      </c>
      <c r="H712" t="str">
        <f>IFERROR(VLOOKUP($A712,'AAPT ExDa'!$B$2:$U$99, 6,FALSE), IFERROR(VLOOKUP($A712,'ABB ExDa'!$A$2:$N$184, 0,FALSE), IFERROR(VLOOKUP($A712,'Vocus SIT ExDa'!$B$2:$J$173, 0,FALSE), IFERROR(VLOOKUP($A712,'Telstra ExDa'!$B$2:$K$310, 0,FALSE), IFERROR(VLOOKUP($A712,'Vocus RVC ExDa'!$C$2:$R$155, 16,FALSE), IFERROR(VLOOKUP($A712,'Fusion ExDa'!$B$2:$D$16, 0,FALSE), IFERROR(VLOOKUP($A712,'Exetel ExDa'!$C$2:$N$14, 0,FALSE), IFERROR(VLOOKUP($A712,'Infinet ExDa'!$B$2:$E$14, 0,FALSE), "Not Found"))))))))</f>
        <v>Not Found</v>
      </c>
      <c r="I712" t="str">
        <f>IFERROR(VLOOKUP($A712,'AAPT ExDa'!$B$2:$U$99, 0,FALSE), IFERROR(VLOOKUP($A712,'ABB ExDa'!$A$2:$N$184, 0,FALSE), IFERROR(VLOOKUP($A712,'Vocus SIT ExDa'!$B$2:$J$173, 0,FALSE), IFERROR(VLOOKUP($A712,'Telstra ExDa'!$B$2:$K$310, 0,FALSE), IFERROR(VLOOKUP($A712,'Vocus RVC ExDa'!$C$2:$R$155, 0,FALSE), IFERROR(VLOOKUP($A712,'Fusion ExDa'!$B$2:$D$16, 0,FALSE), IFERROR(VLOOKUP($A712,'Exetel ExDa'!$C$2:$N$14, 8,FALSE), IFERROR(VLOOKUP($A712,'Infinet ExDa'!$B$2:$E$14, 0,FALSE), "Not Found"))))))))</f>
        <v>Not Found</v>
      </c>
      <c r="J712">
        <f>IFERROR(VLOOKUP($A712,'AAPT ExDa'!$B$2:$U$99, 7,FALSE), IFERROR(VLOOKUP($A712,'ABB ExDa'!$A$2:$N$184, 2,FALSE), IFERROR(VLOOKUP($A712,'Vocus SIT ExDa'!$B$2:$J$173, 0,FALSE), IFERROR(VLOOKUP($A712,'Telstra ExDa'!$B$2:$K$310, 7,FALSE), IFERROR(VLOOKUP($A712,'Vocus RVC ExDa'!$C$2:$R$155, 2,FALSE), IFERROR(VLOOKUP($A712,'Fusion ExDa'!$B$2:$D$16, 3,FALSE), IFERROR(VLOOKUP($A712,'Exetel ExDa'!$C$2:$N$14, 0,FALSE), IFERROR(VLOOKUP($A712,'Infinet ExDa'!$B$2:$E$14, 0,FALSE), "Not Found"))))))))</f>
        <v>0</v>
      </c>
      <c r="K712" t="str">
        <f>IFERROR(VLOOKUP($A712,'AAPT ExDa'!$B$2:$U$99, 12,FALSE), IFERROR(VLOOKUP($A712,'ABB ExDa'!$A$2:$N$184, 0,FALSE), IFERROR(VLOOKUP($A712,'Vocus SIT ExDa'!$B$2:$J$173, 0,FALSE), IFERROR(VLOOKUP($A712,'Telstra ExDa'!$B$2:$K$310, 0,FALSE), IFERROR(VLOOKUP($A712,'Vocus RVC ExDa'!$C$2:$R$155, 0,FALSE), IFERROR(VLOOKUP($A712,'Fusion ExDa'!$B$2:$D$16, 0,FALSE), IFERROR(VLOOKUP($A712,'Exetel ExDa'!$C$2:$N$14, 12,FALSE), IFERROR(VLOOKUP($A712,'Infinet ExDa'!$B$2:$E$14, 0,FALSE), "Not Found"))))))))</f>
        <v>Not Found</v>
      </c>
      <c r="L712" s="235" t="str">
        <f>IFERROR(VLOOKUP($A712,'AAPT ExDa'!$B$2:$U$99, 11,FALSE), IFERROR(VLOOKUP($A712,'ABB ExDa'!$A$2:$N$184, 9,FALSE), IFERROR(VLOOKUP($A712,'Vocus SIT ExDa'!$B$2:$J$173, 8,FALSE), IFERROR(VLOOKUP($A712,'Telstra ExDa'!$B$2:$K$310, 0,FALSE), IFERROR(VLOOKUP($A712,'Vocus RVC ExDa'!$C$2:$R$155, 0,FALSE), IFERROR(VLOOKUP($A712,'Fusion ExDa'!$B$2:$D$16, 0,FALSE), IFERROR(VLOOKUP($A712,'Exetel ExDa'!$C$2:$N$14, 9,FALSE), IFERROR(VLOOKUP($A712,'Infinet ExDa'!$B$2:$E$14, 0,FALSE), "Not Found"))))))))</f>
        <v>Not Found</v>
      </c>
      <c r="M712" s="234" t="str">
        <f>IFERROR(VLOOKUP($A712,'AAPT ExDa'!$B$2:$U$99, 0,FALSE), IFERROR(VLOOKUP($A712,'ABB ExDa'!$A$2:$N$184, 0,FALSE), IFERROR(VLOOKUP($A712,'Vocus SIT ExDa'!$B$2:$J$173, 0,FALSE), IFERROR(VLOOKUP($A712,'Telstra ExDa'!$B$2:$K$310, 0,FALSE), IFERROR(VLOOKUP($A712,'Vocus RVC ExDa'!$C$2:$R$155, 0,FALSE), IFERROR(VLOOKUP($A712,'Fusion ExDa'!$B$2:$D$16, 0,FALSE), IFERROR(VLOOKUP($A712,'Exetel ExDa'!$C$2:$N$14, 11,FALSE), IFERROR(VLOOKUP($A712,'Infinet ExDa'!$B$2:$E$14, 0,FALSE), "Not Found"))))))))</f>
        <v>Not Found</v>
      </c>
      <c r="N712" t="str">
        <f>IFERROR(VLOOKUP($A712,'AAPT ExDa'!$B$2:$U$99, 0,FALSE), IFERROR(VLOOKUP($A712,'ABB ExDa'!$A$2:$N$184, 13,FALSE), IFERROR(VLOOKUP($A712,'Vocus SIT ExDa'!$B$2:$J$173, 0,FALSE), IFERROR(VLOOKUP($A712,'Telstra ExDa'!$B$2:$K$310, 0,FALSE), IFERROR(VLOOKUP($A712,'Vocus RVC ExDa'!$C$2:$R$155, 0,FALSE), IFERROR(VLOOKUP($A712,'Fusion ExDa'!$B$2:$D$16, 0,FALSE), IFERROR(VLOOKUP($A712,'Exetel ExDa'!$C$2:$N$14, 0,FALSE), IFERROR(VLOOKUP($A712,'Infinet ExDa'!$B$2:$E$14, 0,FALSE), "Not Found"))))))))</f>
        <v>Not Found</v>
      </c>
    </row>
    <row r="713" spans="1:14">
      <c r="A713" t="str">
        <v>Zambrero Byford</v>
      </c>
      <c r="B713" t="str">
        <f>IFERROR(VLOOKUP(A713,'Exetel ExDa'!$C$2:$N$14,4,FALSE),"No Data")</f>
        <v>No Data</v>
      </c>
      <c r="C713" t="str">
        <f>IFERROR(VLOOKUP(A713,'AAPT ExDa'!$B$2:$U$99, 2,FALSE), IFERROR(VLOOKUP(A713,'ABB ExDa'!$A$2:$N$184, 2,FALSE), IFERROR(VLOOKUP(A713,'Vocus SIT ExDa'!$B$2:$J$173, 7,FALSE), IFERROR(VLOOKUP(A713,'Telstra ExDa'!$B$2:$K$310, 2,FALSE), IFERROR(VLOOKUP(A713,'Vocus RVC ExDa'!$C$2:$R$155, 3,FALSE), IFERROR(VLOOKUP(A713,'Fusion ExDa'!$B$2:$D$16, 2,FALSE), IFERROR(VLOOKUP(A713,'Exetel ExDa'!$C$2:$N$14, 2,FALSE), IFERROR(VLOOKUP(A713,'Infinet ExDa'!$B$2:$E$14, 2,FALSE), "Not Found"))))))))</f>
        <v xml:space="preserve">
BYFORD SHOPPING CENTRE, SHOP 1, 837 SOUTH WESTERN HWY, BYFORD, WA 6122</v>
      </c>
      <c r="D713" t="str">
        <f>IFERROR(VLOOKUP($A713,'AAPT ExDa'!$B$2:$U$99, 15,FALSE), IFERROR(VLOOKUP($A713,'ABB ExDa'!$A$2:$N$184, 4,FALSE), IFERROR(VLOOKUP($A713,'Vocus SIT ExDa'!$B$2:$J$173, 5,FALSE), IFERROR(VLOOKUP($A713,'Telstra ExDa'!$B$2:$K$310, 8,FALSE), IFERROR(VLOOKUP($A713,'Vocus RVC ExDa'!$C$2:$R$155, 6,FALSE), IFERROR(VLOOKUP($A713,'Fusion ExDa'!$B$2:$D$16, 4,FALSE), IFERROR(VLOOKUP($A713,'Exetel ExDa'!$C$2:$N$14, 3,FALSE), IFERROR(VLOOKUP($A713,'Infinet ExDa'!$B$2:$E$14, 3,FALSE), "Not Found"))))))))</f>
        <v>Telstra</v>
      </c>
      <c r="E713" t="str">
        <f>IFERROR(VLOOKUP($A713,'AAPT ExDa'!$B$2:$U$99, 3,FALSE), IFERROR(VLOOKUP($A713,'ABB ExDa'!$A$2:$N$184, 5,FALSE), IFERROR(VLOOKUP($A713,'Vocus SIT ExDa'!$B$2:$J$173, 2,FALSE), IFERROR(VLOOKUP($A713,'Telstra ExDa'!$B$2:$K$310, 4,FALSE), IFERROR(VLOOKUP($A713,'Vocus RVC ExDa'!$C$2:$R$155, 8,FALSE), IFERROR(VLOOKUP($A713,'Fusion ExDa'!$B$2:$D$16, 4,FALSE), IFERROR(VLOOKUP($A713,'Exetel ExDa'!$C$2:$N$14, 5,FALSE), IFERROR(VLOOKUP($A713,'Infinet ExDa'!$B$2:$E$14, 3,FALSE), "Not Found"))))))))</f>
        <v>Internet and Data 5298791580</v>
      </c>
      <c r="F713" t="str">
        <f>IFERROR(VLOOKUP($A713,'AAPT ExDa'!$B$2:$U$99, 4,FALSE), IFERROR(VLOOKUP($A713,'ABB ExDa'!$A$2:$N$184, 6,FALSE), IFERROR(VLOOKUP($A713,'Vocus SIT ExDa'!$B$2:$J$173, 3,FALSE), IFERROR(VLOOKUP($A713,'Telstra ExDa'!$B$2:$K$310, 5,FALSE), IFERROR(VLOOKUP($A713,'Vocus RVC ExDa'!$C$2:$R$155, 9,FALSE), IFERROR(VLOOKUP($A713,'Fusion ExDa'!$B$2:$D$16, 0,FALSE), IFERROR(VLOOKUP($A713,'Exetel ExDa'!$C$2:$N$14, 6,FALSE), IFERROR(VLOOKUP($A713,'Infinet ExDa'!$B$2:$E$14, 0,FALSE), "Not Found"))))))))</f>
        <v>zam.byford@bigpond.com</v>
      </c>
      <c r="G713" t="str">
        <f>IFERROR(VLOOKUP($A713,'AAPT ExDa'!$B$2:$U$99, 5,FALSE), IFERROR(VLOOKUP($A713,'ABB ExDa'!$A$2:$N$184, 8,FALSE), IFERROR(VLOOKUP($A713,'Vocus SIT ExDa'!$B$2:$J$173, 6,FALSE), IFERROR(VLOOKUP($A713,'Telstra ExDa'!$B$2:$K$310, 0,FALSE), IFERROR(VLOOKUP($A713,'Vocus RVC ExDa'!$C$2:$R$155, 15,FALSE), IFERROR(VLOOKUP($A713,'Fusion ExDa'!$B$2:$D$16, 0,FALSE), IFERROR(VLOOKUP($A713,'Exetel ExDa'!$C$2:$N$14, 7,FALSE), IFERROR(VLOOKUP($A713,'Infinet ExDa'!$B$2:$E$14, 0,FALSE), "Not Found"))))))))</f>
        <v>Not Found</v>
      </c>
      <c r="H713" t="str">
        <f>IFERROR(VLOOKUP($A713,'AAPT ExDa'!$B$2:$U$99, 6,FALSE), IFERROR(VLOOKUP($A713,'ABB ExDa'!$A$2:$N$184, 0,FALSE), IFERROR(VLOOKUP($A713,'Vocus SIT ExDa'!$B$2:$J$173, 0,FALSE), IFERROR(VLOOKUP($A713,'Telstra ExDa'!$B$2:$K$310, 0,FALSE), IFERROR(VLOOKUP($A713,'Vocus RVC ExDa'!$C$2:$R$155, 16,FALSE), IFERROR(VLOOKUP($A713,'Fusion ExDa'!$B$2:$D$16, 0,FALSE), IFERROR(VLOOKUP($A713,'Exetel ExDa'!$C$2:$N$14, 0,FALSE), IFERROR(VLOOKUP($A713,'Infinet ExDa'!$B$2:$E$14, 0,FALSE), "Not Found"))))))))</f>
        <v>Not Found</v>
      </c>
      <c r="I713" t="str">
        <f>IFERROR(VLOOKUP($A713,'AAPT ExDa'!$B$2:$U$99, 0,FALSE), IFERROR(VLOOKUP($A713,'ABB ExDa'!$A$2:$N$184, 0,FALSE), IFERROR(VLOOKUP($A713,'Vocus SIT ExDa'!$B$2:$J$173, 0,FALSE), IFERROR(VLOOKUP($A713,'Telstra ExDa'!$B$2:$K$310, 0,FALSE), IFERROR(VLOOKUP($A713,'Vocus RVC ExDa'!$C$2:$R$155, 0,FALSE), IFERROR(VLOOKUP($A713,'Fusion ExDa'!$B$2:$D$16, 0,FALSE), IFERROR(VLOOKUP($A713,'Exetel ExDa'!$C$2:$N$14, 8,FALSE), IFERROR(VLOOKUP($A713,'Infinet ExDa'!$B$2:$E$14, 0,FALSE), "Not Found"))))))))</f>
        <v>Not Found</v>
      </c>
      <c r="J713">
        <f>IFERROR(VLOOKUP($A713,'AAPT ExDa'!$B$2:$U$99, 7,FALSE), IFERROR(VLOOKUP($A713,'ABB ExDa'!$A$2:$N$184, 2,FALSE), IFERROR(VLOOKUP($A713,'Vocus SIT ExDa'!$B$2:$J$173, 0,FALSE), IFERROR(VLOOKUP($A713,'Telstra ExDa'!$B$2:$K$310, 7,FALSE), IFERROR(VLOOKUP($A713,'Vocus RVC ExDa'!$C$2:$R$155, 2,FALSE), IFERROR(VLOOKUP($A713,'Fusion ExDa'!$B$2:$D$16, 3,FALSE), IFERROR(VLOOKUP($A713,'Exetel ExDa'!$C$2:$N$14, 0,FALSE), IFERROR(VLOOKUP($A713,'Infinet ExDa'!$B$2:$E$14, 0,FALSE), "Not Found"))))))))</f>
        <v>0</v>
      </c>
      <c r="K713" t="str">
        <f>IFERROR(VLOOKUP($A713,'AAPT ExDa'!$B$2:$U$99, 12,FALSE), IFERROR(VLOOKUP($A713,'ABB ExDa'!$A$2:$N$184, 0,FALSE), IFERROR(VLOOKUP($A713,'Vocus SIT ExDa'!$B$2:$J$173, 0,FALSE), IFERROR(VLOOKUP($A713,'Telstra ExDa'!$B$2:$K$310, 0,FALSE), IFERROR(VLOOKUP($A713,'Vocus RVC ExDa'!$C$2:$R$155, 0,FALSE), IFERROR(VLOOKUP($A713,'Fusion ExDa'!$B$2:$D$16, 0,FALSE), IFERROR(VLOOKUP($A713,'Exetel ExDa'!$C$2:$N$14, 12,FALSE), IFERROR(VLOOKUP($A713,'Infinet ExDa'!$B$2:$E$14, 0,FALSE), "Not Found"))))))))</f>
        <v>Not Found</v>
      </c>
      <c r="L713" s="235" t="str">
        <f>IFERROR(VLOOKUP($A713,'AAPT ExDa'!$B$2:$U$99, 11,FALSE), IFERROR(VLOOKUP($A713,'ABB ExDa'!$A$2:$N$184, 9,FALSE), IFERROR(VLOOKUP($A713,'Vocus SIT ExDa'!$B$2:$J$173, 8,FALSE), IFERROR(VLOOKUP($A713,'Telstra ExDa'!$B$2:$K$310, 0,FALSE), IFERROR(VLOOKUP($A713,'Vocus RVC ExDa'!$C$2:$R$155, 0,FALSE), IFERROR(VLOOKUP($A713,'Fusion ExDa'!$B$2:$D$16, 0,FALSE), IFERROR(VLOOKUP($A713,'Exetel ExDa'!$C$2:$N$14, 9,FALSE), IFERROR(VLOOKUP($A713,'Infinet ExDa'!$B$2:$E$14, 0,FALSE), "Not Found"))))))))</f>
        <v>Not Found</v>
      </c>
      <c r="M713" s="234" t="str">
        <f>IFERROR(VLOOKUP($A713,'AAPT ExDa'!$B$2:$U$99, 0,FALSE), IFERROR(VLOOKUP($A713,'ABB ExDa'!$A$2:$N$184, 0,FALSE), IFERROR(VLOOKUP($A713,'Vocus SIT ExDa'!$B$2:$J$173, 0,FALSE), IFERROR(VLOOKUP($A713,'Telstra ExDa'!$B$2:$K$310, 0,FALSE), IFERROR(VLOOKUP($A713,'Vocus RVC ExDa'!$C$2:$R$155, 0,FALSE), IFERROR(VLOOKUP($A713,'Fusion ExDa'!$B$2:$D$16, 0,FALSE), IFERROR(VLOOKUP($A713,'Exetel ExDa'!$C$2:$N$14, 11,FALSE), IFERROR(VLOOKUP($A713,'Infinet ExDa'!$B$2:$E$14, 0,FALSE), "Not Found"))))))))</f>
        <v>Not Found</v>
      </c>
      <c r="N713" t="str">
        <f>IFERROR(VLOOKUP($A713,'AAPT ExDa'!$B$2:$U$99, 0,FALSE), IFERROR(VLOOKUP($A713,'ABB ExDa'!$A$2:$N$184, 13,FALSE), IFERROR(VLOOKUP($A713,'Vocus SIT ExDa'!$B$2:$J$173, 0,FALSE), IFERROR(VLOOKUP($A713,'Telstra ExDa'!$B$2:$K$310, 0,FALSE), IFERROR(VLOOKUP($A713,'Vocus RVC ExDa'!$C$2:$R$155, 0,FALSE), IFERROR(VLOOKUP($A713,'Fusion ExDa'!$B$2:$D$16, 0,FALSE), IFERROR(VLOOKUP($A713,'Exetel ExDa'!$C$2:$N$14, 0,FALSE), IFERROR(VLOOKUP($A713,'Infinet ExDa'!$B$2:$E$14, 0,FALSE), "Not Found"))))))))</f>
        <v>Not Found</v>
      </c>
    </row>
    <row r="714" spans="1:14">
      <c r="A714" t="str">
        <v>Zambrero Morley</v>
      </c>
      <c r="B714" t="str">
        <f>IFERROR(VLOOKUP(A714,'Exetel ExDa'!$C$2:$N$14,4,FALSE),"No Data")</f>
        <v>No Data</v>
      </c>
      <c r="C714" t="str">
        <f>IFERROR(VLOOKUP(A714,'AAPT ExDa'!$B$2:$U$99, 2,FALSE), IFERROR(VLOOKUP(A714,'ABB ExDa'!$A$2:$N$184, 2,FALSE), IFERROR(VLOOKUP(A714,'Vocus SIT ExDa'!$B$2:$J$173, 7,FALSE), IFERROR(VLOOKUP(A714,'Telstra ExDa'!$B$2:$K$310, 2,FALSE), IFERROR(VLOOKUP(A714,'Vocus RVC ExDa'!$C$2:$R$155, 3,FALSE), IFERROR(VLOOKUP(A714,'Fusion ExDa'!$B$2:$D$16, 2,FALSE), IFERROR(VLOOKUP(A714,'Exetel ExDa'!$C$2:$N$14, 2,FALSE), IFERROR(VLOOKUP(A714,'Infinet ExDa'!$B$2:$E$14, 2,FALSE), "Not Found"))))))))</f>
        <v>SHOP FS003, 266 - 282 WALTER RD W, MORLEY WA 6062</v>
      </c>
      <c r="D714" t="str">
        <f>IFERROR(VLOOKUP($A714,'AAPT ExDa'!$B$2:$U$99, 15,FALSE), IFERROR(VLOOKUP($A714,'ABB ExDa'!$A$2:$N$184, 4,FALSE), IFERROR(VLOOKUP($A714,'Vocus SIT ExDa'!$B$2:$J$173, 5,FALSE), IFERROR(VLOOKUP($A714,'Telstra ExDa'!$B$2:$K$310, 8,FALSE), IFERROR(VLOOKUP($A714,'Vocus RVC ExDa'!$C$2:$R$155, 6,FALSE), IFERROR(VLOOKUP($A714,'Fusion ExDa'!$B$2:$D$16, 4,FALSE), IFERROR(VLOOKUP($A714,'Exetel ExDa'!$C$2:$N$14, 3,FALSE), IFERROR(VLOOKUP($A714,'Infinet ExDa'!$B$2:$E$14, 3,FALSE), "Not Found"))))))))</f>
        <v>Telstra</v>
      </c>
      <c r="E714" t="str">
        <f>IFERROR(VLOOKUP($A714,'AAPT ExDa'!$B$2:$U$99, 3,FALSE), IFERROR(VLOOKUP($A714,'ABB ExDa'!$A$2:$N$184, 5,FALSE), IFERROR(VLOOKUP($A714,'Vocus SIT ExDa'!$B$2:$J$173, 2,FALSE), IFERROR(VLOOKUP($A714,'Telstra ExDa'!$B$2:$K$310, 4,FALSE), IFERROR(VLOOKUP($A714,'Vocus RVC ExDa'!$C$2:$R$155, 8,FALSE), IFERROR(VLOOKUP($A714,'Fusion ExDa'!$B$2:$D$16, 4,FALSE), IFERROR(VLOOKUP($A714,'Exetel ExDa'!$C$2:$N$14, 5,FALSE), IFERROR(VLOOKUP($A714,'Infinet ExDa'!$B$2:$E$14, 3,FALSE), "Not Found"))))))))</f>
        <v>Internet and Data 5330119090</v>
      </c>
      <c r="F714" t="str">
        <f>IFERROR(VLOOKUP($A714,'AAPT ExDa'!$B$2:$U$99, 4,FALSE), IFERROR(VLOOKUP($A714,'ABB ExDa'!$A$2:$N$184, 6,FALSE), IFERROR(VLOOKUP($A714,'Vocus SIT ExDa'!$B$2:$J$173, 3,FALSE), IFERROR(VLOOKUP($A714,'Telstra ExDa'!$B$2:$K$310, 5,FALSE), IFERROR(VLOOKUP($A714,'Vocus RVC ExDa'!$C$2:$R$155, 9,FALSE), IFERROR(VLOOKUP($A714,'Fusion ExDa'!$B$2:$D$16, 0,FALSE), IFERROR(VLOOKUP($A714,'Exetel ExDa'!$C$2:$N$14, 6,FALSE), IFERROR(VLOOKUP($A714,'Infinet ExDa'!$B$2:$E$14, 0,FALSE), "Not Found"))))))))</f>
        <v>zambreromorley@bigpond.com</v>
      </c>
      <c r="G714" t="str">
        <f>IFERROR(VLOOKUP($A714,'AAPT ExDa'!$B$2:$U$99, 5,FALSE), IFERROR(VLOOKUP($A714,'ABB ExDa'!$A$2:$N$184, 8,FALSE), IFERROR(VLOOKUP($A714,'Vocus SIT ExDa'!$B$2:$J$173, 6,FALSE), IFERROR(VLOOKUP($A714,'Telstra ExDa'!$B$2:$K$310, 0,FALSE), IFERROR(VLOOKUP($A714,'Vocus RVC ExDa'!$C$2:$R$155, 15,FALSE), IFERROR(VLOOKUP($A714,'Fusion ExDa'!$B$2:$D$16, 0,FALSE), IFERROR(VLOOKUP($A714,'Exetel ExDa'!$C$2:$N$14, 7,FALSE), IFERROR(VLOOKUP($A714,'Infinet ExDa'!$B$2:$E$14, 0,FALSE), "Not Found"))))))))</f>
        <v>Not Found</v>
      </c>
      <c r="H714" t="str">
        <f>IFERROR(VLOOKUP($A714,'AAPT ExDa'!$B$2:$U$99, 6,FALSE), IFERROR(VLOOKUP($A714,'ABB ExDa'!$A$2:$N$184, 0,FALSE), IFERROR(VLOOKUP($A714,'Vocus SIT ExDa'!$B$2:$J$173, 0,FALSE), IFERROR(VLOOKUP($A714,'Telstra ExDa'!$B$2:$K$310, 0,FALSE), IFERROR(VLOOKUP($A714,'Vocus RVC ExDa'!$C$2:$R$155, 16,FALSE), IFERROR(VLOOKUP($A714,'Fusion ExDa'!$B$2:$D$16, 0,FALSE), IFERROR(VLOOKUP($A714,'Exetel ExDa'!$C$2:$N$14, 0,FALSE), IFERROR(VLOOKUP($A714,'Infinet ExDa'!$B$2:$E$14, 0,FALSE), "Not Found"))))))))</f>
        <v>Not Found</v>
      </c>
      <c r="I714" t="str">
        <f>IFERROR(VLOOKUP($A714,'AAPT ExDa'!$B$2:$U$99, 0,FALSE), IFERROR(VLOOKUP($A714,'ABB ExDa'!$A$2:$N$184, 0,FALSE), IFERROR(VLOOKUP($A714,'Vocus SIT ExDa'!$B$2:$J$173, 0,FALSE), IFERROR(VLOOKUP($A714,'Telstra ExDa'!$B$2:$K$310, 0,FALSE), IFERROR(VLOOKUP($A714,'Vocus RVC ExDa'!$C$2:$R$155, 0,FALSE), IFERROR(VLOOKUP($A714,'Fusion ExDa'!$B$2:$D$16, 0,FALSE), IFERROR(VLOOKUP($A714,'Exetel ExDa'!$C$2:$N$14, 8,FALSE), IFERROR(VLOOKUP($A714,'Infinet ExDa'!$B$2:$E$14, 0,FALSE), "Not Found"))))))))</f>
        <v>Not Found</v>
      </c>
      <c r="J714">
        <f>IFERROR(VLOOKUP($A714,'AAPT ExDa'!$B$2:$U$99, 7,FALSE), IFERROR(VLOOKUP($A714,'ABB ExDa'!$A$2:$N$184, 2,FALSE), IFERROR(VLOOKUP($A714,'Vocus SIT ExDa'!$B$2:$J$173, 0,FALSE), IFERROR(VLOOKUP($A714,'Telstra ExDa'!$B$2:$K$310, 7,FALSE), IFERROR(VLOOKUP($A714,'Vocus RVC ExDa'!$C$2:$R$155, 2,FALSE), IFERROR(VLOOKUP($A714,'Fusion ExDa'!$B$2:$D$16, 3,FALSE), IFERROR(VLOOKUP($A714,'Exetel ExDa'!$C$2:$N$14, 0,FALSE), IFERROR(VLOOKUP($A714,'Infinet ExDa'!$B$2:$E$14, 0,FALSE), "Not Found"))))))))</f>
        <v>0</v>
      </c>
      <c r="K714" t="str">
        <f>IFERROR(VLOOKUP($A714,'AAPT ExDa'!$B$2:$U$99, 12,FALSE), IFERROR(VLOOKUP($A714,'ABB ExDa'!$A$2:$N$184, 0,FALSE), IFERROR(VLOOKUP($A714,'Vocus SIT ExDa'!$B$2:$J$173, 0,FALSE), IFERROR(VLOOKUP($A714,'Telstra ExDa'!$B$2:$K$310, 0,FALSE), IFERROR(VLOOKUP($A714,'Vocus RVC ExDa'!$C$2:$R$155, 0,FALSE), IFERROR(VLOOKUP($A714,'Fusion ExDa'!$B$2:$D$16, 0,FALSE), IFERROR(VLOOKUP($A714,'Exetel ExDa'!$C$2:$N$14, 12,FALSE), IFERROR(VLOOKUP($A714,'Infinet ExDa'!$B$2:$E$14, 0,FALSE), "Not Found"))))))))</f>
        <v>Not Found</v>
      </c>
      <c r="L714" s="235" t="str">
        <f>IFERROR(VLOOKUP($A714,'AAPT ExDa'!$B$2:$U$99, 11,FALSE), IFERROR(VLOOKUP($A714,'ABB ExDa'!$A$2:$N$184, 9,FALSE), IFERROR(VLOOKUP($A714,'Vocus SIT ExDa'!$B$2:$J$173, 8,FALSE), IFERROR(VLOOKUP($A714,'Telstra ExDa'!$B$2:$K$310, 0,FALSE), IFERROR(VLOOKUP($A714,'Vocus RVC ExDa'!$C$2:$R$155, 0,FALSE), IFERROR(VLOOKUP($A714,'Fusion ExDa'!$B$2:$D$16, 0,FALSE), IFERROR(VLOOKUP($A714,'Exetel ExDa'!$C$2:$N$14, 9,FALSE), IFERROR(VLOOKUP($A714,'Infinet ExDa'!$B$2:$E$14, 0,FALSE), "Not Found"))))))))</f>
        <v>Not Found</v>
      </c>
      <c r="M714" s="234" t="str">
        <f>IFERROR(VLOOKUP($A714,'AAPT ExDa'!$B$2:$U$99, 0,FALSE), IFERROR(VLOOKUP($A714,'ABB ExDa'!$A$2:$N$184, 0,FALSE), IFERROR(VLOOKUP($A714,'Vocus SIT ExDa'!$B$2:$J$173, 0,FALSE), IFERROR(VLOOKUP($A714,'Telstra ExDa'!$B$2:$K$310, 0,FALSE), IFERROR(VLOOKUP($A714,'Vocus RVC ExDa'!$C$2:$R$155, 0,FALSE), IFERROR(VLOOKUP($A714,'Fusion ExDa'!$B$2:$D$16, 0,FALSE), IFERROR(VLOOKUP($A714,'Exetel ExDa'!$C$2:$N$14, 11,FALSE), IFERROR(VLOOKUP($A714,'Infinet ExDa'!$B$2:$E$14, 0,FALSE), "Not Found"))))))))</f>
        <v>Not Found</v>
      </c>
      <c r="N714" t="str">
        <f>IFERROR(VLOOKUP($A714,'AAPT ExDa'!$B$2:$U$99, 0,FALSE), IFERROR(VLOOKUP($A714,'ABB ExDa'!$A$2:$N$184, 13,FALSE), IFERROR(VLOOKUP($A714,'Vocus SIT ExDa'!$B$2:$J$173, 0,FALSE), IFERROR(VLOOKUP($A714,'Telstra ExDa'!$B$2:$K$310, 0,FALSE), IFERROR(VLOOKUP($A714,'Vocus RVC ExDa'!$C$2:$R$155, 0,FALSE), IFERROR(VLOOKUP($A714,'Fusion ExDa'!$B$2:$D$16, 0,FALSE), IFERROR(VLOOKUP($A714,'Exetel ExDa'!$C$2:$N$14, 0,FALSE), IFERROR(VLOOKUP($A714,'Infinet ExDa'!$B$2:$E$14, 0,FALSE), "Not Found"))))))))</f>
        <v>Not Found</v>
      </c>
    </row>
    <row r="715" spans="1:14">
      <c r="A715" t="str">
        <v>Zambrero Nundah</v>
      </c>
      <c r="B715" t="str">
        <f>IFERROR(VLOOKUP(A715,'Exetel ExDa'!$C$2:$N$14,4,FALSE),"No Data")</f>
        <v>No Data</v>
      </c>
      <c r="C715" t="str">
        <f>IFERROR(VLOOKUP(A715,'AAPT ExDa'!$B$2:$U$99, 2,FALSE), IFERROR(VLOOKUP(A715,'ABB ExDa'!$A$2:$N$184, 2,FALSE), IFERROR(VLOOKUP(A715,'Vocus SIT ExDa'!$B$2:$J$173, 7,FALSE), IFERROR(VLOOKUP(A715,'Telstra ExDa'!$B$2:$K$310, 2,FALSE), IFERROR(VLOOKUP(A715,'Vocus RVC ExDa'!$C$2:$R$155, 3,FALSE), IFERROR(VLOOKUP(A715,'Fusion ExDa'!$B$2:$D$16, 2,FALSE), IFERROR(VLOOKUP(A715,'Exetel ExDa'!$C$2:$N$14, 2,FALSE), IFERROR(VLOOKUP(A715,'Infinet ExDa'!$B$2:$E$14, 2,FALSE), "Not Found"))))))))</f>
        <v>CIRCA NUNDAH VILLAGE, BG 1, G, SHOP 2E, NUNDAH QLD 4012</v>
      </c>
      <c r="D715" t="str">
        <f>IFERROR(VLOOKUP($A715,'AAPT ExDa'!$B$2:$U$99, 15,FALSE), IFERROR(VLOOKUP($A715,'ABB ExDa'!$A$2:$N$184, 4,FALSE), IFERROR(VLOOKUP($A715,'Vocus SIT ExDa'!$B$2:$J$173, 5,FALSE), IFERROR(VLOOKUP($A715,'Telstra ExDa'!$B$2:$K$310, 8,FALSE), IFERROR(VLOOKUP($A715,'Vocus RVC ExDa'!$C$2:$R$155, 6,FALSE), IFERROR(VLOOKUP($A715,'Fusion ExDa'!$B$2:$D$16, 4,FALSE), IFERROR(VLOOKUP($A715,'Exetel ExDa'!$C$2:$N$14, 3,FALSE), IFERROR(VLOOKUP($A715,'Infinet ExDa'!$B$2:$E$14, 3,FALSE), "Not Found"))))))))</f>
        <v>Telstra</v>
      </c>
      <c r="E715" t="str">
        <f>IFERROR(VLOOKUP($A715,'AAPT ExDa'!$B$2:$U$99, 3,FALSE), IFERROR(VLOOKUP($A715,'ABB ExDa'!$A$2:$N$184, 5,FALSE), IFERROR(VLOOKUP($A715,'Vocus SIT ExDa'!$B$2:$J$173, 2,FALSE), IFERROR(VLOOKUP($A715,'Telstra ExDa'!$B$2:$K$310, 4,FALSE), IFERROR(VLOOKUP($A715,'Vocus RVC ExDa'!$C$2:$R$155, 8,FALSE), IFERROR(VLOOKUP($A715,'Fusion ExDa'!$B$2:$D$16, 4,FALSE), IFERROR(VLOOKUP($A715,'Exetel ExDa'!$C$2:$N$14, 5,FALSE), IFERROR(VLOOKUP($A715,'Infinet ExDa'!$B$2:$E$14, 3,FALSE), "Not Found"))))))))</f>
        <v>Internet and Data 5333159090</v>
      </c>
      <c r="F715" t="str">
        <f>IFERROR(VLOOKUP($A715,'AAPT ExDa'!$B$2:$U$99, 4,FALSE), IFERROR(VLOOKUP($A715,'ABB ExDa'!$A$2:$N$184, 6,FALSE), IFERROR(VLOOKUP($A715,'Vocus SIT ExDa'!$B$2:$J$173, 3,FALSE), IFERROR(VLOOKUP($A715,'Telstra ExDa'!$B$2:$K$310, 5,FALSE), IFERROR(VLOOKUP($A715,'Vocus RVC ExDa'!$C$2:$R$155, 9,FALSE), IFERROR(VLOOKUP($A715,'Fusion ExDa'!$B$2:$D$16, 0,FALSE), IFERROR(VLOOKUP($A715,'Exetel ExDa'!$C$2:$N$14, 6,FALSE), IFERROR(VLOOKUP($A715,'Infinet ExDa'!$B$2:$E$14, 0,FALSE), "Not Found"))))))))</f>
        <v>zambreronundah2@bigpond.com</v>
      </c>
      <c r="G715" t="str">
        <f>IFERROR(VLOOKUP($A715,'AAPT ExDa'!$B$2:$U$99, 5,FALSE), IFERROR(VLOOKUP($A715,'ABB ExDa'!$A$2:$N$184, 8,FALSE), IFERROR(VLOOKUP($A715,'Vocus SIT ExDa'!$B$2:$J$173, 6,FALSE), IFERROR(VLOOKUP($A715,'Telstra ExDa'!$B$2:$K$310, 0,FALSE), IFERROR(VLOOKUP($A715,'Vocus RVC ExDa'!$C$2:$R$155, 15,FALSE), IFERROR(VLOOKUP($A715,'Fusion ExDa'!$B$2:$D$16, 0,FALSE), IFERROR(VLOOKUP($A715,'Exetel ExDa'!$C$2:$N$14, 7,FALSE), IFERROR(VLOOKUP($A715,'Infinet ExDa'!$B$2:$E$14, 0,FALSE), "Not Found"))))))))</f>
        <v>Not Found</v>
      </c>
      <c r="H715" t="str">
        <f>IFERROR(VLOOKUP($A715,'AAPT ExDa'!$B$2:$U$99, 6,FALSE), IFERROR(VLOOKUP($A715,'ABB ExDa'!$A$2:$N$184, 0,FALSE), IFERROR(VLOOKUP($A715,'Vocus SIT ExDa'!$B$2:$J$173, 0,FALSE), IFERROR(VLOOKUP($A715,'Telstra ExDa'!$B$2:$K$310, 0,FALSE), IFERROR(VLOOKUP($A715,'Vocus RVC ExDa'!$C$2:$R$155, 16,FALSE), IFERROR(VLOOKUP($A715,'Fusion ExDa'!$B$2:$D$16, 0,FALSE), IFERROR(VLOOKUP($A715,'Exetel ExDa'!$C$2:$N$14, 0,FALSE), IFERROR(VLOOKUP($A715,'Infinet ExDa'!$B$2:$E$14, 0,FALSE), "Not Found"))))))))</f>
        <v>Not Found</v>
      </c>
      <c r="I715" t="str">
        <f>IFERROR(VLOOKUP($A715,'AAPT ExDa'!$B$2:$U$99, 0,FALSE), IFERROR(VLOOKUP($A715,'ABB ExDa'!$A$2:$N$184, 0,FALSE), IFERROR(VLOOKUP($A715,'Vocus SIT ExDa'!$B$2:$J$173, 0,FALSE), IFERROR(VLOOKUP($A715,'Telstra ExDa'!$B$2:$K$310, 0,FALSE), IFERROR(VLOOKUP($A715,'Vocus RVC ExDa'!$C$2:$R$155, 0,FALSE), IFERROR(VLOOKUP($A715,'Fusion ExDa'!$B$2:$D$16, 0,FALSE), IFERROR(VLOOKUP($A715,'Exetel ExDa'!$C$2:$N$14, 8,FALSE), IFERROR(VLOOKUP($A715,'Infinet ExDa'!$B$2:$E$14, 0,FALSE), "Not Found"))))))))</f>
        <v>Not Found</v>
      </c>
      <c r="J715">
        <f>IFERROR(VLOOKUP($A715,'AAPT ExDa'!$B$2:$U$99, 7,FALSE), IFERROR(VLOOKUP($A715,'ABB ExDa'!$A$2:$N$184, 2,FALSE), IFERROR(VLOOKUP($A715,'Vocus SIT ExDa'!$B$2:$J$173, 0,FALSE), IFERROR(VLOOKUP($A715,'Telstra ExDa'!$B$2:$K$310, 7,FALSE), IFERROR(VLOOKUP($A715,'Vocus RVC ExDa'!$C$2:$R$155, 2,FALSE), IFERROR(VLOOKUP($A715,'Fusion ExDa'!$B$2:$D$16, 3,FALSE), IFERROR(VLOOKUP($A715,'Exetel ExDa'!$C$2:$N$14, 0,FALSE), IFERROR(VLOOKUP($A715,'Infinet ExDa'!$B$2:$E$14, 0,FALSE), "Not Found"))))))))</f>
        <v>0</v>
      </c>
      <c r="K715" t="str">
        <f>IFERROR(VLOOKUP($A715,'AAPT ExDa'!$B$2:$U$99, 12,FALSE), IFERROR(VLOOKUP($A715,'ABB ExDa'!$A$2:$N$184, 0,FALSE), IFERROR(VLOOKUP($A715,'Vocus SIT ExDa'!$B$2:$J$173, 0,FALSE), IFERROR(VLOOKUP($A715,'Telstra ExDa'!$B$2:$K$310, 0,FALSE), IFERROR(VLOOKUP($A715,'Vocus RVC ExDa'!$C$2:$R$155, 0,FALSE), IFERROR(VLOOKUP($A715,'Fusion ExDa'!$B$2:$D$16, 0,FALSE), IFERROR(VLOOKUP($A715,'Exetel ExDa'!$C$2:$N$14, 12,FALSE), IFERROR(VLOOKUP($A715,'Infinet ExDa'!$B$2:$E$14, 0,FALSE), "Not Found"))))))))</f>
        <v>Not Found</v>
      </c>
      <c r="L715" s="235" t="str">
        <f>IFERROR(VLOOKUP($A715,'AAPT ExDa'!$B$2:$U$99, 11,FALSE), IFERROR(VLOOKUP($A715,'ABB ExDa'!$A$2:$N$184, 9,FALSE), IFERROR(VLOOKUP($A715,'Vocus SIT ExDa'!$B$2:$J$173, 8,FALSE), IFERROR(VLOOKUP($A715,'Telstra ExDa'!$B$2:$K$310, 0,FALSE), IFERROR(VLOOKUP($A715,'Vocus RVC ExDa'!$C$2:$R$155, 0,FALSE), IFERROR(VLOOKUP($A715,'Fusion ExDa'!$B$2:$D$16, 0,FALSE), IFERROR(VLOOKUP($A715,'Exetel ExDa'!$C$2:$N$14, 9,FALSE), IFERROR(VLOOKUP($A715,'Infinet ExDa'!$B$2:$E$14, 0,FALSE), "Not Found"))))))))</f>
        <v>Not Found</v>
      </c>
      <c r="M715" s="234" t="str">
        <f>IFERROR(VLOOKUP($A715,'AAPT ExDa'!$B$2:$U$99, 0,FALSE), IFERROR(VLOOKUP($A715,'ABB ExDa'!$A$2:$N$184, 0,FALSE), IFERROR(VLOOKUP($A715,'Vocus SIT ExDa'!$B$2:$J$173, 0,FALSE), IFERROR(VLOOKUP($A715,'Telstra ExDa'!$B$2:$K$310, 0,FALSE), IFERROR(VLOOKUP($A715,'Vocus RVC ExDa'!$C$2:$R$155, 0,FALSE), IFERROR(VLOOKUP($A715,'Fusion ExDa'!$B$2:$D$16, 0,FALSE), IFERROR(VLOOKUP($A715,'Exetel ExDa'!$C$2:$N$14, 11,FALSE), IFERROR(VLOOKUP($A715,'Infinet ExDa'!$B$2:$E$14, 0,FALSE), "Not Found"))))))))</f>
        <v>Not Found</v>
      </c>
      <c r="N715" t="str">
        <f>IFERROR(VLOOKUP($A715,'AAPT ExDa'!$B$2:$U$99, 0,FALSE), IFERROR(VLOOKUP($A715,'ABB ExDa'!$A$2:$N$184, 13,FALSE), IFERROR(VLOOKUP($A715,'Vocus SIT ExDa'!$B$2:$J$173, 0,FALSE), IFERROR(VLOOKUP($A715,'Telstra ExDa'!$B$2:$K$310, 0,FALSE), IFERROR(VLOOKUP($A715,'Vocus RVC ExDa'!$C$2:$R$155, 0,FALSE), IFERROR(VLOOKUP($A715,'Fusion ExDa'!$B$2:$D$16, 0,FALSE), IFERROR(VLOOKUP($A715,'Exetel ExDa'!$C$2:$N$14, 0,FALSE), IFERROR(VLOOKUP($A715,'Infinet ExDa'!$B$2:$E$14, 0,FALSE), "Not Found"))))))))</f>
        <v>Not Found</v>
      </c>
    </row>
    <row r="716" spans="1:14">
      <c r="A716" t="str">
        <v>Little Cha Tuggerah</v>
      </c>
      <c r="B716" t="str">
        <f>IFERROR(VLOOKUP(A716,'Exetel ExDa'!$C$2:$N$14,4,FALSE),"No Data")</f>
        <v>No Data</v>
      </c>
      <c r="C716" t="str">
        <f>IFERROR(VLOOKUP(A716,'AAPT ExDa'!$B$2:$U$99, 2,FALSE), IFERROR(VLOOKUP(A716,'ABB ExDa'!$A$2:$N$184, 2,FALSE), IFERROR(VLOOKUP(A716,'Vocus SIT ExDa'!$B$2:$J$173, 7,FALSE), IFERROR(VLOOKUP(A716,'Telstra ExDa'!$B$2:$K$310, 2,FALSE), IFERROR(VLOOKUP(A716,'Vocus RVC ExDa'!$C$2:$R$155, 3,FALSE), IFERROR(VLOOKUP(A716,'Fusion ExDa'!$B$2:$D$16, 2,FALSE), IFERROR(VLOOKUP(A716,'Exetel ExDa'!$C$2:$N$14, 2,FALSE), IFERROR(VLOOKUP(A716,'Infinet ExDa'!$B$2:$E$14, 2,FALSE), "Not Found"))))))))</f>
        <v>Shop K133, Westfield Tuggerah, 50 Wyong Rd, Tuggerah NSW 2259</v>
      </c>
      <c r="D716" t="str">
        <f>IFERROR(VLOOKUP($A716,'AAPT ExDa'!$B$2:$U$99, 15,FALSE), IFERROR(VLOOKUP($A716,'ABB ExDa'!$A$2:$N$184, 4,FALSE), IFERROR(VLOOKUP($A716,'Vocus SIT ExDa'!$B$2:$J$173, 5,FALSE), IFERROR(VLOOKUP($A716,'Telstra ExDa'!$B$2:$K$310, 8,FALSE), IFERROR(VLOOKUP($A716,'Vocus RVC ExDa'!$C$2:$R$155, 6,FALSE), IFERROR(VLOOKUP($A716,'Fusion ExDa'!$B$2:$D$16, 4,FALSE), IFERROR(VLOOKUP($A716,'Exetel ExDa'!$C$2:$N$14, 3,FALSE), IFERROR(VLOOKUP($A716,'Infinet ExDa'!$B$2:$E$14, 3,FALSE), "Not Found"))))))))</f>
        <v>Telstra</v>
      </c>
      <c r="E716" t="str">
        <f>IFERROR(VLOOKUP($A716,'AAPT ExDa'!$B$2:$U$99, 3,FALSE), IFERROR(VLOOKUP($A716,'ABB ExDa'!$A$2:$N$184, 5,FALSE), IFERROR(VLOOKUP($A716,'Vocus SIT ExDa'!$B$2:$J$173, 2,FALSE), IFERROR(VLOOKUP($A716,'Telstra ExDa'!$B$2:$K$310, 4,FALSE), IFERROR(VLOOKUP($A716,'Vocus RVC ExDa'!$C$2:$R$155, 8,FALSE), IFERROR(VLOOKUP($A716,'Fusion ExDa'!$B$2:$D$16, 4,FALSE), IFERROR(VLOOKUP($A716,'Exetel ExDa'!$C$2:$N$14, 5,FALSE), IFERROR(VLOOKUP($A716,'Infinet ExDa'!$B$2:$E$14, 3,FALSE), "Not Found"))))))))</f>
        <v>Internet and Data 5338638090</v>
      </c>
      <c r="F716" t="str">
        <f>IFERROR(VLOOKUP($A716,'AAPT ExDa'!$B$2:$U$99, 4,FALSE), IFERROR(VLOOKUP($A716,'ABB ExDa'!$A$2:$N$184, 6,FALSE), IFERROR(VLOOKUP($A716,'Vocus SIT ExDa'!$B$2:$J$173, 3,FALSE), IFERROR(VLOOKUP($A716,'Telstra ExDa'!$B$2:$K$310, 5,FALSE), IFERROR(VLOOKUP($A716,'Vocus RVC ExDa'!$C$2:$R$155, 9,FALSE), IFERROR(VLOOKUP($A716,'Fusion ExDa'!$B$2:$D$16, 0,FALSE), IFERROR(VLOOKUP($A716,'Exetel ExDa'!$C$2:$N$14, 6,FALSE), IFERROR(VLOOKUP($A716,'Infinet ExDa'!$B$2:$E$14, 0,FALSE), "Not Found"))))))))</f>
        <v>littlechatuggerah@bigpond.com</v>
      </c>
      <c r="G716" t="str">
        <f>IFERROR(VLOOKUP($A716,'AAPT ExDa'!$B$2:$U$99, 5,FALSE), IFERROR(VLOOKUP($A716,'ABB ExDa'!$A$2:$N$184, 8,FALSE), IFERROR(VLOOKUP($A716,'Vocus SIT ExDa'!$B$2:$J$173, 6,FALSE), IFERROR(VLOOKUP($A716,'Telstra ExDa'!$B$2:$K$310, 0,FALSE), IFERROR(VLOOKUP($A716,'Vocus RVC ExDa'!$C$2:$R$155, 15,FALSE), IFERROR(VLOOKUP($A716,'Fusion ExDa'!$B$2:$D$16, 0,FALSE), IFERROR(VLOOKUP($A716,'Exetel ExDa'!$C$2:$N$14, 7,FALSE), IFERROR(VLOOKUP($A716,'Infinet ExDa'!$B$2:$E$14, 0,FALSE), "Not Found"))))))))</f>
        <v>Not Found</v>
      </c>
      <c r="H716" t="str">
        <f>IFERROR(VLOOKUP($A716,'AAPT ExDa'!$B$2:$U$99, 6,FALSE), IFERROR(VLOOKUP($A716,'ABB ExDa'!$A$2:$N$184, 0,FALSE), IFERROR(VLOOKUP($A716,'Vocus SIT ExDa'!$B$2:$J$173, 0,FALSE), IFERROR(VLOOKUP($A716,'Telstra ExDa'!$B$2:$K$310, 0,FALSE), IFERROR(VLOOKUP($A716,'Vocus RVC ExDa'!$C$2:$R$155, 16,FALSE), IFERROR(VLOOKUP($A716,'Fusion ExDa'!$B$2:$D$16, 0,FALSE), IFERROR(VLOOKUP($A716,'Exetel ExDa'!$C$2:$N$14, 0,FALSE), IFERROR(VLOOKUP($A716,'Infinet ExDa'!$B$2:$E$14, 0,FALSE), "Not Found"))))))))</f>
        <v>Not Found</v>
      </c>
      <c r="I716" t="str">
        <f>IFERROR(VLOOKUP($A716,'AAPT ExDa'!$B$2:$U$99, 0,FALSE), IFERROR(VLOOKUP($A716,'ABB ExDa'!$A$2:$N$184, 0,FALSE), IFERROR(VLOOKUP($A716,'Vocus SIT ExDa'!$B$2:$J$173, 0,FALSE), IFERROR(VLOOKUP($A716,'Telstra ExDa'!$B$2:$K$310, 0,FALSE), IFERROR(VLOOKUP($A716,'Vocus RVC ExDa'!$C$2:$R$155, 0,FALSE), IFERROR(VLOOKUP($A716,'Fusion ExDa'!$B$2:$D$16, 0,FALSE), IFERROR(VLOOKUP($A716,'Exetel ExDa'!$C$2:$N$14, 8,FALSE), IFERROR(VLOOKUP($A716,'Infinet ExDa'!$B$2:$E$14, 0,FALSE), "Not Found"))))))))</f>
        <v>Not Found</v>
      </c>
      <c r="J716">
        <f>IFERROR(VLOOKUP($A716,'AAPT ExDa'!$B$2:$U$99, 7,FALSE), IFERROR(VLOOKUP($A716,'ABB ExDa'!$A$2:$N$184, 2,FALSE), IFERROR(VLOOKUP($A716,'Vocus SIT ExDa'!$B$2:$J$173, 0,FALSE), IFERROR(VLOOKUP($A716,'Telstra ExDa'!$B$2:$K$310, 7,FALSE), IFERROR(VLOOKUP($A716,'Vocus RVC ExDa'!$C$2:$R$155, 2,FALSE), IFERROR(VLOOKUP($A716,'Fusion ExDa'!$B$2:$D$16, 3,FALSE), IFERROR(VLOOKUP($A716,'Exetel ExDa'!$C$2:$N$14, 0,FALSE), IFERROR(VLOOKUP($A716,'Infinet ExDa'!$B$2:$E$14, 0,FALSE), "Not Found"))))))))</f>
        <v>0</v>
      </c>
      <c r="K716" t="str">
        <f>IFERROR(VLOOKUP($A716,'AAPT ExDa'!$B$2:$U$99, 12,FALSE), IFERROR(VLOOKUP($A716,'ABB ExDa'!$A$2:$N$184, 0,FALSE), IFERROR(VLOOKUP($A716,'Vocus SIT ExDa'!$B$2:$J$173, 0,FALSE), IFERROR(VLOOKUP($A716,'Telstra ExDa'!$B$2:$K$310, 0,FALSE), IFERROR(VLOOKUP($A716,'Vocus RVC ExDa'!$C$2:$R$155, 0,FALSE), IFERROR(VLOOKUP($A716,'Fusion ExDa'!$B$2:$D$16, 0,FALSE), IFERROR(VLOOKUP($A716,'Exetel ExDa'!$C$2:$N$14, 12,FALSE), IFERROR(VLOOKUP($A716,'Infinet ExDa'!$B$2:$E$14, 0,FALSE), "Not Found"))))))))</f>
        <v>Not Found</v>
      </c>
      <c r="L716" s="235" t="str">
        <f>IFERROR(VLOOKUP($A716,'AAPT ExDa'!$B$2:$U$99, 11,FALSE), IFERROR(VLOOKUP($A716,'ABB ExDa'!$A$2:$N$184, 9,FALSE), IFERROR(VLOOKUP($A716,'Vocus SIT ExDa'!$B$2:$J$173, 8,FALSE), IFERROR(VLOOKUP($A716,'Telstra ExDa'!$B$2:$K$310, 0,FALSE), IFERROR(VLOOKUP($A716,'Vocus RVC ExDa'!$C$2:$R$155, 0,FALSE), IFERROR(VLOOKUP($A716,'Fusion ExDa'!$B$2:$D$16, 0,FALSE), IFERROR(VLOOKUP($A716,'Exetel ExDa'!$C$2:$N$14, 9,FALSE), IFERROR(VLOOKUP($A716,'Infinet ExDa'!$B$2:$E$14, 0,FALSE), "Not Found"))))))))</f>
        <v>Not Found</v>
      </c>
      <c r="M716" s="234" t="str">
        <f>IFERROR(VLOOKUP($A716,'AAPT ExDa'!$B$2:$U$99, 0,FALSE), IFERROR(VLOOKUP($A716,'ABB ExDa'!$A$2:$N$184, 0,FALSE), IFERROR(VLOOKUP($A716,'Vocus SIT ExDa'!$B$2:$J$173, 0,FALSE), IFERROR(VLOOKUP($A716,'Telstra ExDa'!$B$2:$K$310, 0,FALSE), IFERROR(VLOOKUP($A716,'Vocus RVC ExDa'!$C$2:$R$155, 0,FALSE), IFERROR(VLOOKUP($A716,'Fusion ExDa'!$B$2:$D$16, 0,FALSE), IFERROR(VLOOKUP($A716,'Exetel ExDa'!$C$2:$N$14, 11,FALSE), IFERROR(VLOOKUP($A716,'Infinet ExDa'!$B$2:$E$14, 0,FALSE), "Not Found"))))))))</f>
        <v>Not Found</v>
      </c>
      <c r="N716" t="str">
        <f>IFERROR(VLOOKUP($A716,'AAPT ExDa'!$B$2:$U$99, 0,FALSE), IFERROR(VLOOKUP($A716,'ABB ExDa'!$A$2:$N$184, 13,FALSE), IFERROR(VLOOKUP($A716,'Vocus SIT ExDa'!$B$2:$J$173, 0,FALSE), IFERROR(VLOOKUP($A716,'Telstra ExDa'!$B$2:$K$310, 0,FALSE), IFERROR(VLOOKUP($A716,'Vocus RVC ExDa'!$C$2:$R$155, 0,FALSE), IFERROR(VLOOKUP($A716,'Fusion ExDa'!$B$2:$D$16, 0,FALSE), IFERROR(VLOOKUP($A716,'Exetel ExDa'!$C$2:$N$14, 0,FALSE), IFERROR(VLOOKUP($A716,'Infinet ExDa'!$B$2:$E$14, 0,FALSE), "Not Found"))))))))</f>
        <v>Not Found</v>
      </c>
    </row>
    <row r="717" spans="1:14">
      <c r="A717" t="str">
        <v>Little Cha Lake Haven</v>
      </c>
      <c r="B717" t="str">
        <f>IFERROR(VLOOKUP(A717,'Exetel ExDa'!$C$2:$N$14,4,FALSE),"No Data")</f>
        <v>No Data</v>
      </c>
      <c r="C717" t="str">
        <f>IFERROR(VLOOKUP(A717,'AAPT ExDa'!$B$2:$U$99, 2,FALSE), IFERROR(VLOOKUP(A717,'ABB ExDa'!$A$2:$N$184, 2,FALSE), IFERROR(VLOOKUP(A717,'Vocus SIT ExDa'!$B$2:$J$173, 7,FALSE), IFERROR(VLOOKUP(A717,'Telstra ExDa'!$B$2:$K$310, 2,FALSE), IFERROR(VLOOKUP(A717,'Vocus RVC ExDa'!$C$2:$R$155, 3,FALSE), IFERROR(VLOOKUP(A717,'Fusion ExDa'!$B$2:$D$16, 2,FALSE), IFERROR(VLOOKUP(A717,'Exetel ExDa'!$C$2:$N$14, 2,FALSE), IFERROR(VLOOKUP(A717,'Infinet ExDa'!$B$2:$E$14, 2,FALSE), "Not Found"))))))))</f>
        <v>Shop K10, Lake Haven centre, Lake Haven Drive and Goobarabah Avenue, NSW 2263</v>
      </c>
      <c r="D717" t="str">
        <f>IFERROR(VLOOKUP($A717,'AAPT ExDa'!$B$2:$U$99, 15,FALSE), IFERROR(VLOOKUP($A717,'ABB ExDa'!$A$2:$N$184, 4,FALSE), IFERROR(VLOOKUP($A717,'Vocus SIT ExDa'!$B$2:$J$173, 5,FALSE), IFERROR(VLOOKUP($A717,'Telstra ExDa'!$B$2:$K$310, 8,FALSE), IFERROR(VLOOKUP($A717,'Vocus RVC ExDa'!$C$2:$R$155, 6,FALSE), IFERROR(VLOOKUP($A717,'Fusion ExDa'!$B$2:$D$16, 4,FALSE), IFERROR(VLOOKUP($A717,'Exetel ExDa'!$C$2:$N$14, 3,FALSE), IFERROR(VLOOKUP($A717,'Infinet ExDa'!$B$2:$E$14, 3,FALSE), "Not Found"))))))))</f>
        <v>Telstra</v>
      </c>
      <c r="E717" t="str">
        <f>IFERROR(VLOOKUP($A717,'AAPT ExDa'!$B$2:$U$99, 3,FALSE), IFERROR(VLOOKUP($A717,'ABB ExDa'!$A$2:$N$184, 5,FALSE), IFERROR(VLOOKUP($A717,'Vocus SIT ExDa'!$B$2:$J$173, 2,FALSE), IFERROR(VLOOKUP($A717,'Telstra ExDa'!$B$2:$K$310, 4,FALSE), IFERROR(VLOOKUP($A717,'Vocus RVC ExDa'!$C$2:$R$155, 8,FALSE), IFERROR(VLOOKUP($A717,'Fusion ExDa'!$B$2:$D$16, 4,FALSE), IFERROR(VLOOKUP($A717,'Exetel ExDa'!$C$2:$N$14, 5,FALSE), IFERROR(VLOOKUP($A717,'Infinet ExDa'!$B$2:$E$14, 3,FALSE), "Not Found"))))))))</f>
        <v>Internet and Data 5610688880</v>
      </c>
      <c r="F717" t="str">
        <f>IFERROR(VLOOKUP($A717,'AAPT ExDa'!$B$2:$U$99, 4,FALSE), IFERROR(VLOOKUP($A717,'ABB ExDa'!$A$2:$N$184, 6,FALSE), IFERROR(VLOOKUP($A717,'Vocus SIT ExDa'!$B$2:$J$173, 3,FALSE), IFERROR(VLOOKUP($A717,'Telstra ExDa'!$B$2:$K$310, 5,FALSE), IFERROR(VLOOKUP($A717,'Vocus RVC ExDa'!$C$2:$R$155, 9,FALSE), IFERROR(VLOOKUP($A717,'Fusion ExDa'!$B$2:$D$16, 0,FALSE), IFERROR(VLOOKUP($A717,'Exetel ExDa'!$C$2:$N$14, 6,FALSE), IFERROR(VLOOKUP($A717,'Infinet ExDa'!$B$2:$E$14, 0,FALSE), "Not Found"))))))))</f>
        <v>littlechalakehaven1@bigpond.com</v>
      </c>
      <c r="G717" t="str">
        <f>IFERROR(VLOOKUP($A717,'AAPT ExDa'!$B$2:$U$99, 5,FALSE), IFERROR(VLOOKUP($A717,'ABB ExDa'!$A$2:$N$184, 8,FALSE), IFERROR(VLOOKUP($A717,'Vocus SIT ExDa'!$B$2:$J$173, 6,FALSE), IFERROR(VLOOKUP($A717,'Telstra ExDa'!$B$2:$K$310, 0,FALSE), IFERROR(VLOOKUP($A717,'Vocus RVC ExDa'!$C$2:$R$155, 15,FALSE), IFERROR(VLOOKUP($A717,'Fusion ExDa'!$B$2:$D$16, 0,FALSE), IFERROR(VLOOKUP($A717,'Exetel ExDa'!$C$2:$N$14, 7,FALSE), IFERROR(VLOOKUP($A717,'Infinet ExDa'!$B$2:$E$14, 0,FALSE), "Not Found"))))))))</f>
        <v>Not Found</v>
      </c>
      <c r="H717" t="str">
        <f>IFERROR(VLOOKUP($A717,'AAPT ExDa'!$B$2:$U$99, 6,FALSE), IFERROR(VLOOKUP($A717,'ABB ExDa'!$A$2:$N$184, 0,FALSE), IFERROR(VLOOKUP($A717,'Vocus SIT ExDa'!$B$2:$J$173, 0,FALSE), IFERROR(VLOOKUP($A717,'Telstra ExDa'!$B$2:$K$310, 0,FALSE), IFERROR(VLOOKUP($A717,'Vocus RVC ExDa'!$C$2:$R$155, 16,FALSE), IFERROR(VLOOKUP($A717,'Fusion ExDa'!$B$2:$D$16, 0,FALSE), IFERROR(VLOOKUP($A717,'Exetel ExDa'!$C$2:$N$14, 0,FALSE), IFERROR(VLOOKUP($A717,'Infinet ExDa'!$B$2:$E$14, 0,FALSE), "Not Found"))))))))</f>
        <v>Not Found</v>
      </c>
      <c r="I717" t="str">
        <f>IFERROR(VLOOKUP($A717,'AAPT ExDa'!$B$2:$U$99, 0,FALSE), IFERROR(VLOOKUP($A717,'ABB ExDa'!$A$2:$N$184, 0,FALSE), IFERROR(VLOOKUP($A717,'Vocus SIT ExDa'!$B$2:$J$173, 0,FALSE), IFERROR(VLOOKUP($A717,'Telstra ExDa'!$B$2:$K$310, 0,FALSE), IFERROR(VLOOKUP($A717,'Vocus RVC ExDa'!$C$2:$R$155, 0,FALSE), IFERROR(VLOOKUP($A717,'Fusion ExDa'!$B$2:$D$16, 0,FALSE), IFERROR(VLOOKUP($A717,'Exetel ExDa'!$C$2:$N$14, 8,FALSE), IFERROR(VLOOKUP($A717,'Infinet ExDa'!$B$2:$E$14, 0,FALSE), "Not Found"))))))))</f>
        <v>Not Found</v>
      </c>
      <c r="J717">
        <f>IFERROR(VLOOKUP($A717,'AAPT ExDa'!$B$2:$U$99, 7,FALSE), IFERROR(VLOOKUP($A717,'ABB ExDa'!$A$2:$N$184, 2,FALSE), IFERROR(VLOOKUP($A717,'Vocus SIT ExDa'!$B$2:$J$173, 0,FALSE), IFERROR(VLOOKUP($A717,'Telstra ExDa'!$B$2:$K$310, 7,FALSE), IFERROR(VLOOKUP($A717,'Vocus RVC ExDa'!$C$2:$R$155, 2,FALSE), IFERROR(VLOOKUP($A717,'Fusion ExDa'!$B$2:$D$16, 3,FALSE), IFERROR(VLOOKUP($A717,'Exetel ExDa'!$C$2:$N$14, 0,FALSE), IFERROR(VLOOKUP($A717,'Infinet ExDa'!$B$2:$E$14, 0,FALSE), "Not Found"))))))))</f>
        <v>0</v>
      </c>
      <c r="K717" t="str">
        <f>IFERROR(VLOOKUP($A717,'AAPT ExDa'!$B$2:$U$99, 12,FALSE), IFERROR(VLOOKUP($A717,'ABB ExDa'!$A$2:$N$184, 0,FALSE), IFERROR(VLOOKUP($A717,'Vocus SIT ExDa'!$B$2:$J$173, 0,FALSE), IFERROR(VLOOKUP($A717,'Telstra ExDa'!$B$2:$K$310, 0,FALSE), IFERROR(VLOOKUP($A717,'Vocus RVC ExDa'!$C$2:$R$155, 0,FALSE), IFERROR(VLOOKUP($A717,'Fusion ExDa'!$B$2:$D$16, 0,FALSE), IFERROR(VLOOKUP($A717,'Exetel ExDa'!$C$2:$N$14, 12,FALSE), IFERROR(VLOOKUP($A717,'Infinet ExDa'!$B$2:$E$14, 0,FALSE), "Not Found"))))))))</f>
        <v>Not Found</v>
      </c>
      <c r="L717" s="235" t="str">
        <f>IFERROR(VLOOKUP($A717,'AAPT ExDa'!$B$2:$U$99, 11,FALSE), IFERROR(VLOOKUP($A717,'ABB ExDa'!$A$2:$N$184, 9,FALSE), IFERROR(VLOOKUP($A717,'Vocus SIT ExDa'!$B$2:$J$173, 8,FALSE), IFERROR(VLOOKUP($A717,'Telstra ExDa'!$B$2:$K$310, 0,FALSE), IFERROR(VLOOKUP($A717,'Vocus RVC ExDa'!$C$2:$R$155, 0,FALSE), IFERROR(VLOOKUP($A717,'Fusion ExDa'!$B$2:$D$16, 0,FALSE), IFERROR(VLOOKUP($A717,'Exetel ExDa'!$C$2:$N$14, 9,FALSE), IFERROR(VLOOKUP($A717,'Infinet ExDa'!$B$2:$E$14, 0,FALSE), "Not Found"))))))))</f>
        <v>Not Found</v>
      </c>
      <c r="M717" s="234" t="str">
        <f>IFERROR(VLOOKUP($A717,'AAPT ExDa'!$B$2:$U$99, 0,FALSE), IFERROR(VLOOKUP($A717,'ABB ExDa'!$A$2:$N$184, 0,FALSE), IFERROR(VLOOKUP($A717,'Vocus SIT ExDa'!$B$2:$J$173, 0,FALSE), IFERROR(VLOOKUP($A717,'Telstra ExDa'!$B$2:$K$310, 0,FALSE), IFERROR(VLOOKUP($A717,'Vocus RVC ExDa'!$C$2:$R$155, 0,FALSE), IFERROR(VLOOKUP($A717,'Fusion ExDa'!$B$2:$D$16, 0,FALSE), IFERROR(VLOOKUP($A717,'Exetel ExDa'!$C$2:$N$14, 11,FALSE), IFERROR(VLOOKUP($A717,'Infinet ExDa'!$B$2:$E$14, 0,FALSE), "Not Found"))))))))</f>
        <v>Not Found</v>
      </c>
      <c r="N717" t="str">
        <f>IFERROR(VLOOKUP($A717,'AAPT ExDa'!$B$2:$U$99, 0,FALSE), IFERROR(VLOOKUP($A717,'ABB ExDa'!$A$2:$N$184, 13,FALSE), IFERROR(VLOOKUP($A717,'Vocus SIT ExDa'!$B$2:$J$173, 0,FALSE), IFERROR(VLOOKUP($A717,'Telstra ExDa'!$B$2:$K$310, 0,FALSE), IFERROR(VLOOKUP($A717,'Vocus RVC ExDa'!$C$2:$R$155, 0,FALSE), IFERROR(VLOOKUP($A717,'Fusion ExDa'!$B$2:$D$16, 0,FALSE), IFERROR(VLOOKUP($A717,'Exetel ExDa'!$C$2:$N$14, 0,FALSE), IFERROR(VLOOKUP($A717,'Infinet ExDa'!$B$2:$E$14, 0,FALSE), "Not Found"))))))))</f>
        <v>Not Found</v>
      </c>
    </row>
    <row r="718" spans="1:14">
      <c r="A718" t="str">
        <v>Little Cha Erina Fair</v>
      </c>
      <c r="B718" t="str">
        <f>IFERROR(VLOOKUP(A718,'Exetel ExDa'!$C$2:$N$14,4,FALSE),"No Data")</f>
        <v>No Data</v>
      </c>
      <c r="C718" t="str">
        <f>IFERROR(VLOOKUP(A718,'AAPT ExDa'!$B$2:$U$99, 2,FALSE), IFERROR(VLOOKUP(A718,'ABB ExDa'!$A$2:$N$184, 2,FALSE), IFERROR(VLOOKUP(A718,'Vocus SIT ExDa'!$B$2:$J$173, 7,FALSE), IFERROR(VLOOKUP(A718,'Telstra ExDa'!$B$2:$K$310, 2,FALSE), IFERROR(VLOOKUP(A718,'Vocus RVC ExDa'!$C$2:$R$155, 3,FALSE), IFERROR(VLOOKUP(A718,'Fusion ExDa'!$B$2:$D$16, 2,FALSE), IFERROR(VLOOKUP(A718,'Exetel ExDa'!$C$2:$N$14, 2,FALSE), IFERROR(VLOOKUP(A718,'Infinet ExDa'!$B$2:$E$14, 2,FALSE), "Not Found"))))))))</f>
        <v>ERINA FAIR SHOPPING CENTRE, BG 1, G, SHOP R05, ERINA NSW 2250</v>
      </c>
      <c r="D718" t="str">
        <f>IFERROR(VLOOKUP($A718,'AAPT ExDa'!$B$2:$U$99, 15,FALSE), IFERROR(VLOOKUP($A718,'ABB ExDa'!$A$2:$N$184, 4,FALSE), IFERROR(VLOOKUP($A718,'Vocus SIT ExDa'!$B$2:$J$173, 5,FALSE), IFERROR(VLOOKUP($A718,'Telstra ExDa'!$B$2:$K$310, 8,FALSE), IFERROR(VLOOKUP($A718,'Vocus RVC ExDa'!$C$2:$R$155, 6,FALSE), IFERROR(VLOOKUP($A718,'Fusion ExDa'!$B$2:$D$16, 4,FALSE), IFERROR(VLOOKUP($A718,'Exetel ExDa'!$C$2:$N$14, 3,FALSE), IFERROR(VLOOKUP($A718,'Infinet ExDa'!$B$2:$E$14, 3,FALSE), "Not Found"))))))))</f>
        <v>Telstra</v>
      </c>
      <c r="E718" t="str">
        <f>IFERROR(VLOOKUP($A718,'AAPT ExDa'!$B$2:$U$99, 3,FALSE), IFERROR(VLOOKUP($A718,'ABB ExDa'!$A$2:$N$184, 5,FALSE), IFERROR(VLOOKUP($A718,'Vocus SIT ExDa'!$B$2:$J$173, 2,FALSE), IFERROR(VLOOKUP($A718,'Telstra ExDa'!$B$2:$K$310, 4,FALSE), IFERROR(VLOOKUP($A718,'Vocus RVC ExDa'!$C$2:$R$155, 8,FALSE), IFERROR(VLOOKUP($A718,'Fusion ExDa'!$B$2:$D$16, 4,FALSE), IFERROR(VLOOKUP($A718,'Exetel ExDa'!$C$2:$N$14, 5,FALSE), IFERROR(VLOOKUP($A718,'Infinet ExDa'!$B$2:$E$14, 3,FALSE), "Not Found"))))))))</f>
        <v>Standard Speed NBN 25Mbps</v>
      </c>
      <c r="F718" t="str">
        <f>IFERROR(VLOOKUP($A718,'AAPT ExDa'!$B$2:$U$99, 4,FALSE), IFERROR(VLOOKUP($A718,'ABB ExDa'!$A$2:$N$184, 6,FALSE), IFERROR(VLOOKUP($A718,'Vocus SIT ExDa'!$B$2:$J$173, 3,FALSE), IFERROR(VLOOKUP($A718,'Telstra ExDa'!$B$2:$K$310, 5,FALSE), IFERROR(VLOOKUP($A718,'Vocus RVC ExDa'!$C$2:$R$155, 9,FALSE), IFERROR(VLOOKUP($A718,'Fusion ExDa'!$B$2:$D$16, 0,FALSE), IFERROR(VLOOKUP($A718,'Exetel ExDa'!$C$2:$N$14, 6,FALSE), IFERROR(VLOOKUP($A718,'Infinet ExDa'!$B$2:$E$14, 0,FALSE), "Not Found"))))))))</f>
        <v>Core Internet</v>
      </c>
      <c r="G718" t="str">
        <f>IFERROR(VLOOKUP($A718,'AAPT ExDa'!$B$2:$U$99, 5,FALSE), IFERROR(VLOOKUP($A718,'ABB ExDa'!$A$2:$N$184, 8,FALSE), IFERROR(VLOOKUP($A718,'Vocus SIT ExDa'!$B$2:$J$173, 6,FALSE), IFERROR(VLOOKUP($A718,'Telstra ExDa'!$B$2:$K$310, 0,FALSE), IFERROR(VLOOKUP($A718,'Vocus RVC ExDa'!$C$2:$R$155, 15,FALSE), IFERROR(VLOOKUP($A718,'Fusion ExDa'!$B$2:$D$16, 0,FALSE), IFERROR(VLOOKUP($A718,'Exetel ExDa'!$C$2:$N$14, 7,FALSE), IFERROR(VLOOKUP($A718,'Infinet ExDa'!$B$2:$E$14, 0,FALSE), "Not Found"))))))))</f>
        <v>Not Found</v>
      </c>
      <c r="H718" t="str">
        <f>IFERROR(VLOOKUP($A718,'AAPT ExDa'!$B$2:$U$99, 6,FALSE), IFERROR(VLOOKUP($A718,'ABB ExDa'!$A$2:$N$184, 0,FALSE), IFERROR(VLOOKUP($A718,'Vocus SIT ExDa'!$B$2:$J$173, 0,FALSE), IFERROR(VLOOKUP($A718,'Telstra ExDa'!$B$2:$K$310, 0,FALSE), IFERROR(VLOOKUP($A718,'Vocus RVC ExDa'!$C$2:$R$155, 16,FALSE), IFERROR(VLOOKUP($A718,'Fusion ExDa'!$B$2:$D$16, 0,FALSE), IFERROR(VLOOKUP($A718,'Exetel ExDa'!$C$2:$N$14, 0,FALSE), IFERROR(VLOOKUP($A718,'Infinet ExDa'!$B$2:$E$14, 0,FALSE), "Not Found"))))))))</f>
        <v>Not Found</v>
      </c>
      <c r="I718" t="str">
        <f>IFERROR(VLOOKUP($A718,'AAPT ExDa'!$B$2:$U$99, 0,FALSE), IFERROR(VLOOKUP($A718,'ABB ExDa'!$A$2:$N$184, 0,FALSE), IFERROR(VLOOKUP($A718,'Vocus SIT ExDa'!$B$2:$J$173, 0,FALSE), IFERROR(VLOOKUP($A718,'Telstra ExDa'!$B$2:$K$310, 0,FALSE), IFERROR(VLOOKUP($A718,'Vocus RVC ExDa'!$C$2:$R$155, 0,FALSE), IFERROR(VLOOKUP($A718,'Fusion ExDa'!$B$2:$D$16, 0,FALSE), IFERROR(VLOOKUP($A718,'Exetel ExDa'!$C$2:$N$14, 8,FALSE), IFERROR(VLOOKUP($A718,'Infinet ExDa'!$B$2:$E$14, 0,FALSE), "Not Found"))))))))</f>
        <v>Not Found</v>
      </c>
      <c r="J718">
        <f>IFERROR(VLOOKUP($A718,'AAPT ExDa'!$B$2:$U$99, 7,FALSE), IFERROR(VLOOKUP($A718,'ABB ExDa'!$A$2:$N$184, 2,FALSE), IFERROR(VLOOKUP($A718,'Vocus SIT ExDa'!$B$2:$J$173, 0,FALSE), IFERROR(VLOOKUP($A718,'Telstra ExDa'!$B$2:$K$310, 7,FALSE), IFERROR(VLOOKUP($A718,'Vocus RVC ExDa'!$C$2:$R$155, 2,FALSE), IFERROR(VLOOKUP($A718,'Fusion ExDa'!$B$2:$D$16, 3,FALSE), IFERROR(VLOOKUP($A718,'Exetel ExDa'!$C$2:$N$14, 0,FALSE), IFERROR(VLOOKUP($A718,'Infinet ExDa'!$B$2:$E$14, 0,FALSE), "Not Found"))))))))</f>
        <v>0</v>
      </c>
      <c r="K718" t="str">
        <f>IFERROR(VLOOKUP($A718,'AAPT ExDa'!$B$2:$U$99, 12,FALSE), IFERROR(VLOOKUP($A718,'ABB ExDa'!$A$2:$N$184, 0,FALSE), IFERROR(VLOOKUP($A718,'Vocus SIT ExDa'!$B$2:$J$173, 0,FALSE), IFERROR(VLOOKUP($A718,'Telstra ExDa'!$B$2:$K$310, 0,FALSE), IFERROR(VLOOKUP($A718,'Vocus RVC ExDa'!$C$2:$R$155, 0,FALSE), IFERROR(VLOOKUP($A718,'Fusion ExDa'!$B$2:$D$16, 0,FALSE), IFERROR(VLOOKUP($A718,'Exetel ExDa'!$C$2:$N$14, 12,FALSE), IFERROR(VLOOKUP($A718,'Infinet ExDa'!$B$2:$E$14, 0,FALSE), "Not Found"))))))))</f>
        <v>Not Found</v>
      </c>
      <c r="L718" s="235" t="str">
        <f>IFERROR(VLOOKUP($A718,'AAPT ExDa'!$B$2:$U$99, 11,FALSE), IFERROR(VLOOKUP($A718,'ABB ExDa'!$A$2:$N$184, 9,FALSE), IFERROR(VLOOKUP($A718,'Vocus SIT ExDa'!$B$2:$J$173, 8,FALSE), IFERROR(VLOOKUP($A718,'Telstra ExDa'!$B$2:$K$310, 0,FALSE), IFERROR(VLOOKUP($A718,'Vocus RVC ExDa'!$C$2:$R$155, 0,FALSE), IFERROR(VLOOKUP($A718,'Fusion ExDa'!$B$2:$D$16, 0,FALSE), IFERROR(VLOOKUP($A718,'Exetel ExDa'!$C$2:$N$14, 9,FALSE), IFERROR(VLOOKUP($A718,'Infinet ExDa'!$B$2:$E$14, 0,FALSE), "Not Found"))))))))</f>
        <v>Not Found</v>
      </c>
      <c r="M718" s="234" t="str">
        <f>IFERROR(VLOOKUP($A718,'AAPT ExDa'!$B$2:$U$99, 0,FALSE), IFERROR(VLOOKUP($A718,'ABB ExDa'!$A$2:$N$184, 0,FALSE), IFERROR(VLOOKUP($A718,'Vocus SIT ExDa'!$B$2:$J$173, 0,FALSE), IFERROR(VLOOKUP($A718,'Telstra ExDa'!$B$2:$K$310, 0,FALSE), IFERROR(VLOOKUP($A718,'Vocus RVC ExDa'!$C$2:$R$155, 0,FALSE), IFERROR(VLOOKUP($A718,'Fusion ExDa'!$B$2:$D$16, 0,FALSE), IFERROR(VLOOKUP($A718,'Exetel ExDa'!$C$2:$N$14, 11,FALSE), IFERROR(VLOOKUP($A718,'Infinet ExDa'!$B$2:$E$14, 0,FALSE), "Not Found"))))))))</f>
        <v>Not Found</v>
      </c>
      <c r="N718" t="str">
        <f>IFERROR(VLOOKUP($A718,'AAPT ExDa'!$B$2:$U$99, 0,FALSE), IFERROR(VLOOKUP($A718,'ABB ExDa'!$A$2:$N$184, 13,FALSE), IFERROR(VLOOKUP($A718,'Vocus SIT ExDa'!$B$2:$J$173, 0,FALSE), IFERROR(VLOOKUP($A718,'Telstra ExDa'!$B$2:$K$310, 0,FALSE), IFERROR(VLOOKUP($A718,'Vocus RVC ExDa'!$C$2:$R$155, 0,FALSE), IFERROR(VLOOKUP($A718,'Fusion ExDa'!$B$2:$D$16, 0,FALSE), IFERROR(VLOOKUP($A718,'Exetel ExDa'!$C$2:$N$14, 0,FALSE), IFERROR(VLOOKUP($A718,'Infinet ExDa'!$B$2:$E$14, 0,FALSE), "Not Found"))))))))</f>
        <v>Not Found</v>
      </c>
    </row>
    <row r="719" spans="1:14">
      <c r="A719" t="str">
        <v>Zambrero Kalgoorlie</v>
      </c>
      <c r="B719" t="str">
        <f>IFERROR(VLOOKUP(A719,'Exetel ExDa'!$C$2:$N$14,4,FALSE),"No Data")</f>
        <v>No Data</v>
      </c>
      <c r="C719" t="str">
        <f>IFERROR(VLOOKUP(A719,'AAPT ExDa'!$B$2:$U$99, 2,FALSE), IFERROR(VLOOKUP(A719,'ABB ExDa'!$A$2:$N$184, 2,FALSE), IFERROR(VLOOKUP(A719,'Vocus SIT ExDa'!$B$2:$J$173, 7,FALSE), IFERROR(VLOOKUP(A719,'Telstra ExDa'!$B$2:$K$310, 2,FALSE), IFERROR(VLOOKUP(A719,'Vocus RVC ExDa'!$C$2:$R$155, 3,FALSE), IFERROR(VLOOKUP(A719,'Fusion ExDa'!$B$2:$D$16, 2,FALSE), IFERROR(VLOOKUP(A719,'Exetel ExDa'!$C$2:$N$14, 2,FALSE), IFERROR(VLOOKUP(A719,'Infinet ExDa'!$B$2:$E$14, 2,FALSE), "Not Found"))))))))</f>
        <v>15 - 17 BOULDER RD, KALGOORLIE WA 6430</v>
      </c>
      <c r="D719" t="str">
        <f>IFERROR(VLOOKUP($A719,'AAPT ExDa'!$B$2:$U$99, 15,FALSE), IFERROR(VLOOKUP($A719,'ABB ExDa'!$A$2:$N$184, 4,FALSE), IFERROR(VLOOKUP($A719,'Vocus SIT ExDa'!$B$2:$J$173, 5,FALSE), IFERROR(VLOOKUP($A719,'Telstra ExDa'!$B$2:$K$310, 8,FALSE), IFERROR(VLOOKUP($A719,'Vocus RVC ExDa'!$C$2:$R$155, 6,FALSE), IFERROR(VLOOKUP($A719,'Fusion ExDa'!$B$2:$D$16, 4,FALSE), IFERROR(VLOOKUP($A719,'Exetel ExDa'!$C$2:$N$14, 3,FALSE), IFERROR(VLOOKUP($A719,'Infinet ExDa'!$B$2:$E$14, 3,FALSE), "Not Found"))))))))</f>
        <v>Telstra</v>
      </c>
      <c r="E719" t="str">
        <f>IFERROR(VLOOKUP($A719,'AAPT ExDa'!$B$2:$U$99, 3,FALSE), IFERROR(VLOOKUP($A719,'ABB ExDa'!$A$2:$N$184, 5,FALSE), IFERROR(VLOOKUP($A719,'Vocus SIT ExDa'!$B$2:$J$173, 2,FALSE), IFERROR(VLOOKUP($A719,'Telstra ExDa'!$B$2:$K$310, 4,FALSE), IFERROR(VLOOKUP($A719,'Vocus RVC ExDa'!$C$2:$R$155, 8,FALSE), IFERROR(VLOOKUP($A719,'Fusion ExDa'!$B$2:$D$16, 4,FALSE), IFERROR(VLOOKUP($A719,'Exetel ExDa'!$C$2:$N$14, 5,FALSE), IFERROR(VLOOKUP($A719,'Infinet ExDa'!$B$2:$E$14, 3,FALSE), "Not Found"))))))))</f>
        <v>Internet and Data 5617808880</v>
      </c>
      <c r="F719" t="str">
        <f>IFERROR(VLOOKUP($A719,'AAPT ExDa'!$B$2:$U$99, 4,FALSE), IFERROR(VLOOKUP($A719,'ABB ExDa'!$A$2:$N$184, 6,FALSE), IFERROR(VLOOKUP($A719,'Vocus SIT ExDa'!$B$2:$J$173, 3,FALSE), IFERROR(VLOOKUP($A719,'Telstra ExDa'!$B$2:$K$310, 5,FALSE), IFERROR(VLOOKUP($A719,'Vocus RVC ExDa'!$C$2:$R$155, 9,FALSE), IFERROR(VLOOKUP($A719,'Fusion ExDa'!$B$2:$D$16, 0,FALSE), IFERROR(VLOOKUP($A719,'Exetel ExDa'!$C$2:$N$14, 6,FALSE), IFERROR(VLOOKUP($A719,'Infinet ExDa'!$B$2:$E$14, 0,FALSE), "Not Found"))))))))</f>
        <v>zambrerokalgoorlie@bigpond.com</v>
      </c>
      <c r="G719" t="str">
        <f>IFERROR(VLOOKUP($A719,'AAPT ExDa'!$B$2:$U$99, 5,FALSE), IFERROR(VLOOKUP($A719,'ABB ExDa'!$A$2:$N$184, 8,FALSE), IFERROR(VLOOKUP($A719,'Vocus SIT ExDa'!$B$2:$J$173, 6,FALSE), IFERROR(VLOOKUP($A719,'Telstra ExDa'!$B$2:$K$310, 0,FALSE), IFERROR(VLOOKUP($A719,'Vocus RVC ExDa'!$C$2:$R$155, 15,FALSE), IFERROR(VLOOKUP($A719,'Fusion ExDa'!$B$2:$D$16, 0,FALSE), IFERROR(VLOOKUP($A719,'Exetel ExDa'!$C$2:$N$14, 7,FALSE), IFERROR(VLOOKUP($A719,'Infinet ExDa'!$B$2:$E$14, 0,FALSE), "Not Found"))))))))</f>
        <v>Not Found</v>
      </c>
      <c r="H719" t="str">
        <f>IFERROR(VLOOKUP($A719,'AAPT ExDa'!$B$2:$U$99, 6,FALSE), IFERROR(VLOOKUP($A719,'ABB ExDa'!$A$2:$N$184, 0,FALSE), IFERROR(VLOOKUP($A719,'Vocus SIT ExDa'!$B$2:$J$173, 0,FALSE), IFERROR(VLOOKUP($A719,'Telstra ExDa'!$B$2:$K$310, 0,FALSE), IFERROR(VLOOKUP($A719,'Vocus RVC ExDa'!$C$2:$R$155, 16,FALSE), IFERROR(VLOOKUP($A719,'Fusion ExDa'!$B$2:$D$16, 0,FALSE), IFERROR(VLOOKUP($A719,'Exetel ExDa'!$C$2:$N$14, 0,FALSE), IFERROR(VLOOKUP($A719,'Infinet ExDa'!$B$2:$E$14, 0,FALSE), "Not Found"))))))))</f>
        <v>Not Found</v>
      </c>
      <c r="I719" t="str">
        <f>IFERROR(VLOOKUP($A719,'AAPT ExDa'!$B$2:$U$99, 0,FALSE), IFERROR(VLOOKUP($A719,'ABB ExDa'!$A$2:$N$184, 0,FALSE), IFERROR(VLOOKUP($A719,'Vocus SIT ExDa'!$B$2:$J$173, 0,FALSE), IFERROR(VLOOKUP($A719,'Telstra ExDa'!$B$2:$K$310, 0,FALSE), IFERROR(VLOOKUP($A719,'Vocus RVC ExDa'!$C$2:$R$155, 0,FALSE), IFERROR(VLOOKUP($A719,'Fusion ExDa'!$B$2:$D$16, 0,FALSE), IFERROR(VLOOKUP($A719,'Exetel ExDa'!$C$2:$N$14, 8,FALSE), IFERROR(VLOOKUP($A719,'Infinet ExDa'!$B$2:$E$14, 0,FALSE), "Not Found"))))))))</f>
        <v>Not Found</v>
      </c>
      <c r="J719">
        <f>IFERROR(VLOOKUP($A719,'AAPT ExDa'!$B$2:$U$99, 7,FALSE), IFERROR(VLOOKUP($A719,'ABB ExDa'!$A$2:$N$184, 2,FALSE), IFERROR(VLOOKUP($A719,'Vocus SIT ExDa'!$B$2:$J$173, 0,FALSE), IFERROR(VLOOKUP($A719,'Telstra ExDa'!$B$2:$K$310, 7,FALSE), IFERROR(VLOOKUP($A719,'Vocus RVC ExDa'!$C$2:$R$155, 2,FALSE), IFERROR(VLOOKUP($A719,'Fusion ExDa'!$B$2:$D$16, 3,FALSE), IFERROR(VLOOKUP($A719,'Exetel ExDa'!$C$2:$N$14, 0,FALSE), IFERROR(VLOOKUP($A719,'Infinet ExDa'!$B$2:$E$14, 0,FALSE), "Not Found"))))))))</f>
        <v>0</v>
      </c>
      <c r="K719" t="str">
        <f>IFERROR(VLOOKUP($A719,'AAPT ExDa'!$B$2:$U$99, 12,FALSE), IFERROR(VLOOKUP($A719,'ABB ExDa'!$A$2:$N$184, 0,FALSE), IFERROR(VLOOKUP($A719,'Vocus SIT ExDa'!$B$2:$J$173, 0,FALSE), IFERROR(VLOOKUP($A719,'Telstra ExDa'!$B$2:$K$310, 0,FALSE), IFERROR(VLOOKUP($A719,'Vocus RVC ExDa'!$C$2:$R$155, 0,FALSE), IFERROR(VLOOKUP($A719,'Fusion ExDa'!$B$2:$D$16, 0,FALSE), IFERROR(VLOOKUP($A719,'Exetel ExDa'!$C$2:$N$14, 12,FALSE), IFERROR(VLOOKUP($A719,'Infinet ExDa'!$B$2:$E$14, 0,FALSE), "Not Found"))))))))</f>
        <v>Not Found</v>
      </c>
      <c r="L719" s="235" t="str">
        <f>IFERROR(VLOOKUP($A719,'AAPT ExDa'!$B$2:$U$99, 11,FALSE), IFERROR(VLOOKUP($A719,'ABB ExDa'!$A$2:$N$184, 9,FALSE), IFERROR(VLOOKUP($A719,'Vocus SIT ExDa'!$B$2:$J$173, 8,FALSE), IFERROR(VLOOKUP($A719,'Telstra ExDa'!$B$2:$K$310, 0,FALSE), IFERROR(VLOOKUP($A719,'Vocus RVC ExDa'!$C$2:$R$155, 0,FALSE), IFERROR(VLOOKUP($A719,'Fusion ExDa'!$B$2:$D$16, 0,FALSE), IFERROR(VLOOKUP($A719,'Exetel ExDa'!$C$2:$N$14, 9,FALSE), IFERROR(VLOOKUP($A719,'Infinet ExDa'!$B$2:$E$14, 0,FALSE), "Not Found"))))))))</f>
        <v>Not Found</v>
      </c>
      <c r="M719" s="234" t="str">
        <f>IFERROR(VLOOKUP($A719,'AAPT ExDa'!$B$2:$U$99, 0,FALSE), IFERROR(VLOOKUP($A719,'ABB ExDa'!$A$2:$N$184, 0,FALSE), IFERROR(VLOOKUP($A719,'Vocus SIT ExDa'!$B$2:$J$173, 0,FALSE), IFERROR(VLOOKUP($A719,'Telstra ExDa'!$B$2:$K$310, 0,FALSE), IFERROR(VLOOKUP($A719,'Vocus RVC ExDa'!$C$2:$R$155, 0,FALSE), IFERROR(VLOOKUP($A719,'Fusion ExDa'!$B$2:$D$16, 0,FALSE), IFERROR(VLOOKUP($A719,'Exetel ExDa'!$C$2:$N$14, 11,FALSE), IFERROR(VLOOKUP($A719,'Infinet ExDa'!$B$2:$E$14, 0,FALSE), "Not Found"))))))))</f>
        <v>Not Found</v>
      </c>
      <c r="N719" t="str">
        <f>IFERROR(VLOOKUP($A719,'AAPT ExDa'!$B$2:$U$99, 0,FALSE), IFERROR(VLOOKUP($A719,'ABB ExDa'!$A$2:$N$184, 13,FALSE), IFERROR(VLOOKUP($A719,'Vocus SIT ExDa'!$B$2:$J$173, 0,FALSE), IFERROR(VLOOKUP($A719,'Telstra ExDa'!$B$2:$K$310, 0,FALSE), IFERROR(VLOOKUP($A719,'Vocus RVC ExDa'!$C$2:$R$155, 0,FALSE), IFERROR(VLOOKUP($A719,'Fusion ExDa'!$B$2:$D$16, 0,FALSE), IFERROR(VLOOKUP($A719,'Exetel ExDa'!$C$2:$N$14, 0,FALSE), IFERROR(VLOOKUP($A719,'Infinet ExDa'!$B$2:$E$14, 0,FALSE), "Not Found"))))))))</f>
        <v>Not Found</v>
      </c>
    </row>
    <row r="720" spans="1:14">
      <c r="A720">
        <v>0</v>
      </c>
      <c r="B720" t="str">
        <f>IFERROR(VLOOKUP(A720,'Exetel ExDa'!$C$2:$N$14,4,FALSE),"No Data")</f>
        <v>No Data</v>
      </c>
      <c r="C720" t="str">
        <f>IFERROR(VLOOKUP(A720,'AAPT ExDa'!$B$2:$U$99, 2,FALSE), IFERROR(VLOOKUP(A720,'ABB ExDa'!$A$2:$N$184, 2,FALSE), IFERROR(VLOOKUP(A720,'Vocus SIT ExDa'!$B$2:$J$173, 7,FALSE), IFERROR(VLOOKUP(A720,'Telstra ExDa'!$B$2:$K$310, 2,FALSE), IFERROR(VLOOKUP(A720,'Vocus RVC ExDa'!$C$2:$R$155, 3,FALSE), IFERROR(VLOOKUP(A720,'Fusion ExDa'!$B$2:$D$16, 2,FALSE), IFERROR(VLOOKUP(A720,'Exetel ExDa'!$C$2:$N$14, 2,FALSE), IFERROR(VLOOKUP(A720,'Infinet ExDa'!$B$2:$E$14, 2,FALSE), "Not Found"))))))))</f>
        <v>Not Found</v>
      </c>
      <c r="D720" t="str">
        <f>IFERROR(VLOOKUP($A720,'AAPT ExDa'!$B$2:$U$99, 15,FALSE), IFERROR(VLOOKUP($A720,'ABB ExDa'!$A$2:$N$184, 4,FALSE), IFERROR(VLOOKUP($A720,'Vocus SIT ExDa'!$B$2:$J$173, 5,FALSE), IFERROR(VLOOKUP($A720,'Telstra ExDa'!$B$2:$K$310, 8,FALSE), IFERROR(VLOOKUP($A720,'Vocus RVC ExDa'!$C$2:$R$155, 6,FALSE), IFERROR(VLOOKUP($A720,'Fusion ExDa'!$B$2:$D$16, 4,FALSE), IFERROR(VLOOKUP($A720,'Exetel ExDa'!$C$2:$N$14, 3,FALSE), IFERROR(VLOOKUP($A720,'Infinet ExDa'!$B$2:$E$14, 3,FALSE), "Not Found"))))))))</f>
        <v>Not Found</v>
      </c>
      <c r="E720" t="str">
        <f>IFERROR(VLOOKUP($A720,'AAPT ExDa'!$B$2:$U$99, 3,FALSE), IFERROR(VLOOKUP($A720,'ABB ExDa'!$A$2:$N$184, 5,FALSE), IFERROR(VLOOKUP($A720,'Vocus SIT ExDa'!$B$2:$J$173, 2,FALSE), IFERROR(VLOOKUP($A720,'Telstra ExDa'!$B$2:$K$310, 4,FALSE), IFERROR(VLOOKUP($A720,'Vocus RVC ExDa'!$C$2:$R$155, 8,FALSE), IFERROR(VLOOKUP($A720,'Fusion ExDa'!$B$2:$D$16, 4,FALSE), IFERROR(VLOOKUP($A720,'Exetel ExDa'!$C$2:$N$14, 5,FALSE), IFERROR(VLOOKUP($A720,'Infinet ExDa'!$B$2:$E$14, 3,FALSE), "Not Found"))))))))</f>
        <v>Not Found</v>
      </c>
      <c r="F720" t="str">
        <f>IFERROR(VLOOKUP($A720,'AAPT ExDa'!$B$2:$U$99, 4,FALSE), IFERROR(VLOOKUP($A720,'ABB ExDa'!$A$2:$N$184, 6,FALSE), IFERROR(VLOOKUP($A720,'Vocus SIT ExDa'!$B$2:$J$173, 3,FALSE), IFERROR(VLOOKUP($A720,'Telstra ExDa'!$B$2:$K$310, 5,FALSE), IFERROR(VLOOKUP($A720,'Vocus RVC ExDa'!$C$2:$R$155, 9,FALSE), IFERROR(VLOOKUP($A720,'Fusion ExDa'!$B$2:$D$16, 0,FALSE), IFERROR(VLOOKUP($A720,'Exetel ExDa'!$C$2:$N$14, 6,FALSE), IFERROR(VLOOKUP($A720,'Infinet ExDa'!$B$2:$E$14, 0,FALSE), "Not Found"))))))))</f>
        <v>Not Found</v>
      </c>
      <c r="G720" t="str">
        <f>IFERROR(VLOOKUP($A720,'AAPT ExDa'!$B$2:$U$99, 5,FALSE), IFERROR(VLOOKUP($A720,'ABB ExDa'!$A$2:$N$184, 8,FALSE), IFERROR(VLOOKUP($A720,'Vocus SIT ExDa'!$B$2:$J$173, 6,FALSE), IFERROR(VLOOKUP($A720,'Telstra ExDa'!$B$2:$K$310, 0,FALSE), IFERROR(VLOOKUP($A720,'Vocus RVC ExDa'!$C$2:$R$155, 15,FALSE), IFERROR(VLOOKUP($A720,'Fusion ExDa'!$B$2:$D$16, 0,FALSE), IFERROR(VLOOKUP($A720,'Exetel ExDa'!$C$2:$N$14, 7,FALSE), IFERROR(VLOOKUP($A720,'Infinet ExDa'!$B$2:$E$14, 0,FALSE), "Not Found"))))))))</f>
        <v>Not Found</v>
      </c>
      <c r="H720" t="str">
        <f>IFERROR(VLOOKUP($A720,'AAPT ExDa'!$B$2:$U$99, 6,FALSE), IFERROR(VLOOKUP($A720,'ABB ExDa'!$A$2:$N$184, 0,FALSE), IFERROR(VLOOKUP($A720,'Vocus SIT ExDa'!$B$2:$J$173, 0,FALSE), IFERROR(VLOOKUP($A720,'Telstra ExDa'!$B$2:$K$310, 0,FALSE), IFERROR(VLOOKUP($A720,'Vocus RVC ExDa'!$C$2:$R$155, 16,FALSE), IFERROR(VLOOKUP($A720,'Fusion ExDa'!$B$2:$D$16, 0,FALSE), IFERROR(VLOOKUP($A720,'Exetel ExDa'!$C$2:$N$14, 0,FALSE), IFERROR(VLOOKUP($A720,'Infinet ExDa'!$B$2:$E$14, 0,FALSE), "Not Found"))))))))</f>
        <v>Not Found</v>
      </c>
      <c r="I720" t="str">
        <f>IFERROR(VLOOKUP($A720,'AAPT ExDa'!$B$2:$U$99, 0,FALSE), IFERROR(VLOOKUP($A720,'ABB ExDa'!$A$2:$N$184, 0,FALSE), IFERROR(VLOOKUP($A720,'Vocus SIT ExDa'!$B$2:$J$173, 0,FALSE), IFERROR(VLOOKUP($A720,'Telstra ExDa'!$B$2:$K$310, 0,FALSE), IFERROR(VLOOKUP($A720,'Vocus RVC ExDa'!$C$2:$R$155, 0,FALSE), IFERROR(VLOOKUP($A720,'Fusion ExDa'!$B$2:$D$16, 0,FALSE), IFERROR(VLOOKUP($A720,'Exetel ExDa'!$C$2:$N$14, 8,FALSE), IFERROR(VLOOKUP($A720,'Infinet ExDa'!$B$2:$E$14, 0,FALSE), "Not Found"))))))))</f>
        <v>Not Found</v>
      </c>
      <c r="J720" t="str">
        <f>IFERROR(VLOOKUP($A720,'AAPT ExDa'!$B$2:$U$99, 7,FALSE), IFERROR(VLOOKUP($A720,'ABB ExDa'!$A$2:$N$184, 2,FALSE), IFERROR(VLOOKUP($A720,'Vocus SIT ExDa'!$B$2:$J$173, 0,FALSE), IFERROR(VLOOKUP($A720,'Telstra ExDa'!$B$2:$K$310, 7,FALSE), IFERROR(VLOOKUP($A720,'Vocus RVC ExDa'!$C$2:$R$155, 2,FALSE), IFERROR(VLOOKUP($A720,'Fusion ExDa'!$B$2:$D$16, 3,FALSE), IFERROR(VLOOKUP($A720,'Exetel ExDa'!$C$2:$N$14, 0,FALSE), IFERROR(VLOOKUP($A720,'Infinet ExDa'!$B$2:$E$14, 0,FALSE), "Not Found"))))))))</f>
        <v>Not Found</v>
      </c>
      <c r="K720" t="str">
        <f>IFERROR(VLOOKUP($A720,'AAPT ExDa'!$B$2:$U$99, 12,FALSE), IFERROR(VLOOKUP($A720,'ABB ExDa'!$A$2:$N$184, 0,FALSE), IFERROR(VLOOKUP($A720,'Vocus SIT ExDa'!$B$2:$J$173, 0,FALSE), IFERROR(VLOOKUP($A720,'Telstra ExDa'!$B$2:$K$310, 0,FALSE), IFERROR(VLOOKUP($A720,'Vocus RVC ExDa'!$C$2:$R$155, 0,FALSE), IFERROR(VLOOKUP($A720,'Fusion ExDa'!$B$2:$D$16, 0,FALSE), IFERROR(VLOOKUP($A720,'Exetel ExDa'!$C$2:$N$14, 12,FALSE), IFERROR(VLOOKUP($A720,'Infinet ExDa'!$B$2:$E$14, 0,FALSE), "Not Found"))))))))</f>
        <v>Not Found</v>
      </c>
      <c r="L720" s="235" t="str">
        <f>IFERROR(VLOOKUP($A720,'AAPT ExDa'!$B$2:$U$99, 11,FALSE), IFERROR(VLOOKUP($A720,'ABB ExDa'!$A$2:$N$184, 9,FALSE), IFERROR(VLOOKUP($A720,'Vocus SIT ExDa'!$B$2:$J$173, 8,FALSE), IFERROR(VLOOKUP($A720,'Telstra ExDa'!$B$2:$K$310, 0,FALSE), IFERROR(VLOOKUP($A720,'Vocus RVC ExDa'!$C$2:$R$155, 0,FALSE), IFERROR(VLOOKUP($A720,'Fusion ExDa'!$B$2:$D$16, 0,FALSE), IFERROR(VLOOKUP($A720,'Exetel ExDa'!$C$2:$N$14, 9,FALSE), IFERROR(VLOOKUP($A720,'Infinet ExDa'!$B$2:$E$14, 0,FALSE), "Not Found"))))))))</f>
        <v>Not Found</v>
      </c>
      <c r="M720" s="234" t="str">
        <f>IFERROR(VLOOKUP($A720,'AAPT ExDa'!$B$2:$U$99, 0,FALSE), IFERROR(VLOOKUP($A720,'ABB ExDa'!$A$2:$N$184, 0,FALSE), IFERROR(VLOOKUP($A720,'Vocus SIT ExDa'!$B$2:$J$173, 0,FALSE), IFERROR(VLOOKUP($A720,'Telstra ExDa'!$B$2:$K$310, 0,FALSE), IFERROR(VLOOKUP($A720,'Vocus RVC ExDa'!$C$2:$R$155, 0,FALSE), IFERROR(VLOOKUP($A720,'Fusion ExDa'!$B$2:$D$16, 0,FALSE), IFERROR(VLOOKUP($A720,'Exetel ExDa'!$C$2:$N$14, 11,FALSE), IFERROR(VLOOKUP($A720,'Infinet ExDa'!$B$2:$E$14, 0,FALSE), "Not Found"))))))))</f>
        <v>Not Found</v>
      </c>
      <c r="N720" t="str">
        <f>IFERROR(VLOOKUP($A720,'AAPT ExDa'!$B$2:$U$99, 0,FALSE), IFERROR(VLOOKUP($A720,'ABB ExDa'!$A$2:$N$184, 13,FALSE), IFERROR(VLOOKUP($A720,'Vocus SIT ExDa'!$B$2:$J$173, 0,FALSE), IFERROR(VLOOKUP($A720,'Telstra ExDa'!$B$2:$K$310, 0,FALSE), IFERROR(VLOOKUP($A720,'Vocus RVC ExDa'!$C$2:$R$155, 0,FALSE), IFERROR(VLOOKUP($A720,'Fusion ExDa'!$B$2:$D$16, 0,FALSE), IFERROR(VLOOKUP($A720,'Exetel ExDa'!$C$2:$N$14, 0,FALSE), IFERROR(VLOOKUP($A720,'Infinet ExDa'!$B$2:$E$14, 0,FALSE), "Not Found"))))))))</f>
        <v>Not Found</v>
      </c>
    </row>
    <row r="721" spans="1:14">
      <c r="A721">
        <v>0</v>
      </c>
      <c r="B721" t="str">
        <f>IFERROR(VLOOKUP(A721,'Exetel ExDa'!$C$2:$N$14,4,FALSE),"No Data")</f>
        <v>No Data</v>
      </c>
      <c r="C721" t="str">
        <f>IFERROR(VLOOKUP(A721,'AAPT ExDa'!$B$2:$U$99, 2,FALSE), IFERROR(VLOOKUP(A721,'ABB ExDa'!$A$2:$N$184, 2,FALSE), IFERROR(VLOOKUP(A721,'Vocus SIT ExDa'!$B$2:$J$173, 7,FALSE), IFERROR(VLOOKUP(A721,'Telstra ExDa'!$B$2:$K$310, 2,FALSE), IFERROR(VLOOKUP(A721,'Vocus RVC ExDa'!$C$2:$R$155, 3,FALSE), IFERROR(VLOOKUP(A721,'Fusion ExDa'!$B$2:$D$16, 2,FALSE), IFERROR(VLOOKUP(A721,'Exetel ExDa'!$C$2:$N$14, 2,FALSE), IFERROR(VLOOKUP(A721,'Infinet ExDa'!$B$2:$E$14, 2,FALSE), "Not Found"))))))))</f>
        <v>Not Found</v>
      </c>
      <c r="D721" t="str">
        <f>IFERROR(VLOOKUP($A721,'AAPT ExDa'!$B$2:$U$99, 15,FALSE), IFERROR(VLOOKUP($A721,'ABB ExDa'!$A$2:$N$184, 4,FALSE), IFERROR(VLOOKUP($A721,'Vocus SIT ExDa'!$B$2:$J$173, 5,FALSE), IFERROR(VLOOKUP($A721,'Telstra ExDa'!$B$2:$K$310, 8,FALSE), IFERROR(VLOOKUP($A721,'Vocus RVC ExDa'!$C$2:$R$155, 6,FALSE), IFERROR(VLOOKUP($A721,'Fusion ExDa'!$B$2:$D$16, 4,FALSE), IFERROR(VLOOKUP($A721,'Exetel ExDa'!$C$2:$N$14, 3,FALSE), IFERROR(VLOOKUP($A721,'Infinet ExDa'!$B$2:$E$14, 3,FALSE), "Not Found"))))))))</f>
        <v>Not Found</v>
      </c>
      <c r="E721" t="str">
        <f>IFERROR(VLOOKUP($A721,'AAPT ExDa'!$B$2:$U$99, 3,FALSE), IFERROR(VLOOKUP($A721,'ABB ExDa'!$A$2:$N$184, 5,FALSE), IFERROR(VLOOKUP($A721,'Vocus SIT ExDa'!$B$2:$J$173, 2,FALSE), IFERROR(VLOOKUP($A721,'Telstra ExDa'!$B$2:$K$310, 4,FALSE), IFERROR(VLOOKUP($A721,'Vocus RVC ExDa'!$C$2:$R$155, 8,FALSE), IFERROR(VLOOKUP($A721,'Fusion ExDa'!$B$2:$D$16, 4,FALSE), IFERROR(VLOOKUP($A721,'Exetel ExDa'!$C$2:$N$14, 5,FALSE), IFERROR(VLOOKUP($A721,'Infinet ExDa'!$B$2:$E$14, 3,FALSE), "Not Found"))))))))</f>
        <v>Not Found</v>
      </c>
      <c r="F721" t="str">
        <f>IFERROR(VLOOKUP($A721,'AAPT ExDa'!$B$2:$U$99, 4,FALSE), IFERROR(VLOOKUP($A721,'ABB ExDa'!$A$2:$N$184, 6,FALSE), IFERROR(VLOOKUP($A721,'Vocus SIT ExDa'!$B$2:$J$173, 3,FALSE), IFERROR(VLOOKUP($A721,'Telstra ExDa'!$B$2:$K$310, 5,FALSE), IFERROR(VLOOKUP($A721,'Vocus RVC ExDa'!$C$2:$R$155, 9,FALSE), IFERROR(VLOOKUP($A721,'Fusion ExDa'!$B$2:$D$16, 0,FALSE), IFERROR(VLOOKUP($A721,'Exetel ExDa'!$C$2:$N$14, 6,FALSE), IFERROR(VLOOKUP($A721,'Infinet ExDa'!$B$2:$E$14, 0,FALSE), "Not Found"))))))))</f>
        <v>Not Found</v>
      </c>
      <c r="G721" t="str">
        <f>IFERROR(VLOOKUP($A721,'AAPT ExDa'!$B$2:$U$99, 5,FALSE), IFERROR(VLOOKUP($A721,'ABB ExDa'!$A$2:$N$184, 8,FALSE), IFERROR(VLOOKUP($A721,'Vocus SIT ExDa'!$B$2:$J$173, 6,FALSE), IFERROR(VLOOKUP($A721,'Telstra ExDa'!$B$2:$K$310, 0,FALSE), IFERROR(VLOOKUP($A721,'Vocus RVC ExDa'!$C$2:$R$155, 15,FALSE), IFERROR(VLOOKUP($A721,'Fusion ExDa'!$B$2:$D$16, 0,FALSE), IFERROR(VLOOKUP($A721,'Exetel ExDa'!$C$2:$N$14, 7,FALSE), IFERROR(VLOOKUP($A721,'Infinet ExDa'!$B$2:$E$14, 0,FALSE), "Not Found"))))))))</f>
        <v>Not Found</v>
      </c>
      <c r="H721" t="str">
        <f>IFERROR(VLOOKUP($A721,'AAPT ExDa'!$B$2:$U$99, 6,FALSE), IFERROR(VLOOKUP($A721,'ABB ExDa'!$A$2:$N$184, 0,FALSE), IFERROR(VLOOKUP($A721,'Vocus SIT ExDa'!$B$2:$J$173, 0,FALSE), IFERROR(VLOOKUP($A721,'Telstra ExDa'!$B$2:$K$310, 0,FALSE), IFERROR(VLOOKUP($A721,'Vocus RVC ExDa'!$C$2:$R$155, 16,FALSE), IFERROR(VLOOKUP($A721,'Fusion ExDa'!$B$2:$D$16, 0,FALSE), IFERROR(VLOOKUP($A721,'Exetel ExDa'!$C$2:$N$14, 0,FALSE), IFERROR(VLOOKUP($A721,'Infinet ExDa'!$B$2:$E$14, 0,FALSE), "Not Found"))))))))</f>
        <v>Not Found</v>
      </c>
      <c r="I721" t="str">
        <f>IFERROR(VLOOKUP($A721,'AAPT ExDa'!$B$2:$U$99, 0,FALSE), IFERROR(VLOOKUP($A721,'ABB ExDa'!$A$2:$N$184, 0,FALSE), IFERROR(VLOOKUP($A721,'Vocus SIT ExDa'!$B$2:$J$173, 0,FALSE), IFERROR(VLOOKUP($A721,'Telstra ExDa'!$B$2:$K$310, 0,FALSE), IFERROR(VLOOKUP($A721,'Vocus RVC ExDa'!$C$2:$R$155, 0,FALSE), IFERROR(VLOOKUP($A721,'Fusion ExDa'!$B$2:$D$16, 0,FALSE), IFERROR(VLOOKUP($A721,'Exetel ExDa'!$C$2:$N$14, 8,FALSE), IFERROR(VLOOKUP($A721,'Infinet ExDa'!$B$2:$E$14, 0,FALSE), "Not Found"))))))))</f>
        <v>Not Found</v>
      </c>
      <c r="J721" t="str">
        <f>IFERROR(VLOOKUP($A721,'AAPT ExDa'!$B$2:$U$99, 7,FALSE), IFERROR(VLOOKUP($A721,'ABB ExDa'!$A$2:$N$184, 2,FALSE), IFERROR(VLOOKUP($A721,'Vocus SIT ExDa'!$B$2:$J$173, 0,FALSE), IFERROR(VLOOKUP($A721,'Telstra ExDa'!$B$2:$K$310, 7,FALSE), IFERROR(VLOOKUP($A721,'Vocus RVC ExDa'!$C$2:$R$155, 2,FALSE), IFERROR(VLOOKUP($A721,'Fusion ExDa'!$B$2:$D$16, 3,FALSE), IFERROR(VLOOKUP($A721,'Exetel ExDa'!$C$2:$N$14, 0,FALSE), IFERROR(VLOOKUP($A721,'Infinet ExDa'!$B$2:$E$14, 0,FALSE), "Not Found"))))))))</f>
        <v>Not Found</v>
      </c>
      <c r="K721" t="str">
        <f>IFERROR(VLOOKUP($A721,'AAPT ExDa'!$B$2:$U$99, 12,FALSE), IFERROR(VLOOKUP($A721,'ABB ExDa'!$A$2:$N$184, 0,FALSE), IFERROR(VLOOKUP($A721,'Vocus SIT ExDa'!$B$2:$J$173, 0,FALSE), IFERROR(VLOOKUP($A721,'Telstra ExDa'!$B$2:$K$310, 0,FALSE), IFERROR(VLOOKUP($A721,'Vocus RVC ExDa'!$C$2:$R$155, 0,FALSE), IFERROR(VLOOKUP($A721,'Fusion ExDa'!$B$2:$D$16, 0,FALSE), IFERROR(VLOOKUP($A721,'Exetel ExDa'!$C$2:$N$14, 12,FALSE), IFERROR(VLOOKUP($A721,'Infinet ExDa'!$B$2:$E$14, 0,FALSE), "Not Found"))))))))</f>
        <v>Not Found</v>
      </c>
      <c r="L721" s="235" t="str">
        <f>IFERROR(VLOOKUP($A721,'AAPT ExDa'!$B$2:$U$99, 11,FALSE), IFERROR(VLOOKUP($A721,'ABB ExDa'!$A$2:$N$184, 9,FALSE), IFERROR(VLOOKUP($A721,'Vocus SIT ExDa'!$B$2:$J$173, 8,FALSE), IFERROR(VLOOKUP($A721,'Telstra ExDa'!$B$2:$K$310, 0,FALSE), IFERROR(VLOOKUP($A721,'Vocus RVC ExDa'!$C$2:$R$155, 0,FALSE), IFERROR(VLOOKUP($A721,'Fusion ExDa'!$B$2:$D$16, 0,FALSE), IFERROR(VLOOKUP($A721,'Exetel ExDa'!$C$2:$N$14, 9,FALSE), IFERROR(VLOOKUP($A721,'Infinet ExDa'!$B$2:$E$14, 0,FALSE), "Not Found"))))))))</f>
        <v>Not Found</v>
      </c>
      <c r="M721" s="234" t="str">
        <f>IFERROR(VLOOKUP($A721,'AAPT ExDa'!$B$2:$U$99, 0,FALSE), IFERROR(VLOOKUP($A721,'ABB ExDa'!$A$2:$N$184, 0,FALSE), IFERROR(VLOOKUP($A721,'Vocus SIT ExDa'!$B$2:$J$173, 0,FALSE), IFERROR(VLOOKUP($A721,'Telstra ExDa'!$B$2:$K$310, 0,FALSE), IFERROR(VLOOKUP($A721,'Vocus RVC ExDa'!$C$2:$R$155, 0,FALSE), IFERROR(VLOOKUP($A721,'Fusion ExDa'!$B$2:$D$16, 0,FALSE), IFERROR(VLOOKUP($A721,'Exetel ExDa'!$C$2:$N$14, 11,FALSE), IFERROR(VLOOKUP($A721,'Infinet ExDa'!$B$2:$E$14, 0,FALSE), "Not Found"))))))))</f>
        <v>Not Found</v>
      </c>
      <c r="N721" t="str">
        <f>IFERROR(VLOOKUP($A721,'AAPT ExDa'!$B$2:$U$99, 0,FALSE), IFERROR(VLOOKUP($A721,'ABB ExDa'!$A$2:$N$184, 13,FALSE), IFERROR(VLOOKUP($A721,'Vocus SIT ExDa'!$B$2:$J$173, 0,FALSE), IFERROR(VLOOKUP($A721,'Telstra ExDa'!$B$2:$K$310, 0,FALSE), IFERROR(VLOOKUP($A721,'Vocus RVC ExDa'!$C$2:$R$155, 0,FALSE), IFERROR(VLOOKUP($A721,'Fusion ExDa'!$B$2:$D$16, 0,FALSE), IFERROR(VLOOKUP($A721,'Exetel ExDa'!$C$2:$N$14, 0,FALSE), IFERROR(VLOOKUP($A721,'Infinet ExDa'!$B$2:$E$14, 0,FALSE), "Not Found"))))))))</f>
        <v>Not Found</v>
      </c>
    </row>
    <row r="722" spans="1:14">
      <c r="A722">
        <v>0</v>
      </c>
      <c r="B722" t="str">
        <f>IFERROR(VLOOKUP(A722,'Exetel ExDa'!$C$2:$N$14,4,FALSE),"No Data")</f>
        <v>No Data</v>
      </c>
      <c r="C722" t="str">
        <f>IFERROR(VLOOKUP(A722,'AAPT ExDa'!$B$2:$U$99, 2,FALSE), IFERROR(VLOOKUP(A722,'ABB ExDa'!$A$2:$N$184, 2,FALSE), IFERROR(VLOOKUP(A722,'Vocus SIT ExDa'!$B$2:$J$173, 7,FALSE), IFERROR(VLOOKUP(A722,'Telstra ExDa'!$B$2:$K$310, 2,FALSE), IFERROR(VLOOKUP(A722,'Vocus RVC ExDa'!$C$2:$R$155, 3,FALSE), IFERROR(VLOOKUP(A722,'Fusion ExDa'!$B$2:$D$16, 2,FALSE), IFERROR(VLOOKUP(A722,'Exetel ExDa'!$C$2:$N$14, 2,FALSE), IFERROR(VLOOKUP(A722,'Infinet ExDa'!$B$2:$E$14, 2,FALSE), "Not Found"))))))))</f>
        <v>Not Found</v>
      </c>
      <c r="D722" t="str">
        <f>IFERROR(VLOOKUP($A722,'AAPT ExDa'!$B$2:$U$99, 15,FALSE), IFERROR(VLOOKUP($A722,'ABB ExDa'!$A$2:$N$184, 4,FALSE), IFERROR(VLOOKUP($A722,'Vocus SIT ExDa'!$B$2:$J$173, 5,FALSE), IFERROR(VLOOKUP($A722,'Telstra ExDa'!$B$2:$K$310, 8,FALSE), IFERROR(VLOOKUP($A722,'Vocus RVC ExDa'!$C$2:$R$155, 6,FALSE), IFERROR(VLOOKUP($A722,'Fusion ExDa'!$B$2:$D$16, 4,FALSE), IFERROR(VLOOKUP($A722,'Exetel ExDa'!$C$2:$N$14, 3,FALSE), IFERROR(VLOOKUP($A722,'Infinet ExDa'!$B$2:$E$14, 3,FALSE), "Not Found"))))))))</f>
        <v>Not Found</v>
      </c>
      <c r="E722" t="str">
        <f>IFERROR(VLOOKUP($A722,'AAPT ExDa'!$B$2:$U$99, 3,FALSE), IFERROR(VLOOKUP($A722,'ABB ExDa'!$A$2:$N$184, 5,FALSE), IFERROR(VLOOKUP($A722,'Vocus SIT ExDa'!$B$2:$J$173, 2,FALSE), IFERROR(VLOOKUP($A722,'Telstra ExDa'!$B$2:$K$310, 4,FALSE), IFERROR(VLOOKUP($A722,'Vocus RVC ExDa'!$C$2:$R$155, 8,FALSE), IFERROR(VLOOKUP($A722,'Fusion ExDa'!$B$2:$D$16, 4,FALSE), IFERROR(VLOOKUP($A722,'Exetel ExDa'!$C$2:$N$14, 5,FALSE), IFERROR(VLOOKUP($A722,'Infinet ExDa'!$B$2:$E$14, 3,FALSE), "Not Found"))))))))</f>
        <v>Not Found</v>
      </c>
      <c r="F722" t="str">
        <f>IFERROR(VLOOKUP($A722,'AAPT ExDa'!$B$2:$U$99, 4,FALSE), IFERROR(VLOOKUP($A722,'ABB ExDa'!$A$2:$N$184, 6,FALSE), IFERROR(VLOOKUP($A722,'Vocus SIT ExDa'!$B$2:$J$173, 3,FALSE), IFERROR(VLOOKUP($A722,'Telstra ExDa'!$B$2:$K$310, 5,FALSE), IFERROR(VLOOKUP($A722,'Vocus RVC ExDa'!$C$2:$R$155, 9,FALSE), IFERROR(VLOOKUP($A722,'Fusion ExDa'!$B$2:$D$16, 0,FALSE), IFERROR(VLOOKUP($A722,'Exetel ExDa'!$C$2:$N$14, 6,FALSE), IFERROR(VLOOKUP($A722,'Infinet ExDa'!$B$2:$E$14, 0,FALSE), "Not Found"))))))))</f>
        <v>Not Found</v>
      </c>
      <c r="G722" t="str">
        <f>IFERROR(VLOOKUP($A722,'AAPT ExDa'!$B$2:$U$99, 5,FALSE), IFERROR(VLOOKUP($A722,'ABB ExDa'!$A$2:$N$184, 8,FALSE), IFERROR(VLOOKUP($A722,'Vocus SIT ExDa'!$B$2:$J$173, 6,FALSE), IFERROR(VLOOKUP($A722,'Telstra ExDa'!$B$2:$K$310, 0,FALSE), IFERROR(VLOOKUP($A722,'Vocus RVC ExDa'!$C$2:$R$155, 15,FALSE), IFERROR(VLOOKUP($A722,'Fusion ExDa'!$B$2:$D$16, 0,FALSE), IFERROR(VLOOKUP($A722,'Exetel ExDa'!$C$2:$N$14, 7,FALSE), IFERROR(VLOOKUP($A722,'Infinet ExDa'!$B$2:$E$14, 0,FALSE), "Not Found"))))))))</f>
        <v>Not Found</v>
      </c>
      <c r="H722" t="str">
        <f>IFERROR(VLOOKUP($A722,'AAPT ExDa'!$B$2:$U$99, 6,FALSE), IFERROR(VLOOKUP($A722,'ABB ExDa'!$A$2:$N$184, 0,FALSE), IFERROR(VLOOKUP($A722,'Vocus SIT ExDa'!$B$2:$J$173, 0,FALSE), IFERROR(VLOOKUP($A722,'Telstra ExDa'!$B$2:$K$310, 0,FALSE), IFERROR(VLOOKUP($A722,'Vocus RVC ExDa'!$C$2:$R$155, 16,FALSE), IFERROR(VLOOKUP($A722,'Fusion ExDa'!$B$2:$D$16, 0,FALSE), IFERROR(VLOOKUP($A722,'Exetel ExDa'!$C$2:$N$14, 0,FALSE), IFERROR(VLOOKUP($A722,'Infinet ExDa'!$B$2:$E$14, 0,FALSE), "Not Found"))))))))</f>
        <v>Not Found</v>
      </c>
      <c r="I722" t="str">
        <f>IFERROR(VLOOKUP($A722,'AAPT ExDa'!$B$2:$U$99, 0,FALSE), IFERROR(VLOOKUP($A722,'ABB ExDa'!$A$2:$N$184, 0,FALSE), IFERROR(VLOOKUP($A722,'Vocus SIT ExDa'!$B$2:$J$173, 0,FALSE), IFERROR(VLOOKUP($A722,'Telstra ExDa'!$B$2:$K$310, 0,FALSE), IFERROR(VLOOKUP($A722,'Vocus RVC ExDa'!$C$2:$R$155, 0,FALSE), IFERROR(VLOOKUP($A722,'Fusion ExDa'!$B$2:$D$16, 0,FALSE), IFERROR(VLOOKUP($A722,'Exetel ExDa'!$C$2:$N$14, 8,FALSE), IFERROR(VLOOKUP($A722,'Infinet ExDa'!$B$2:$E$14, 0,FALSE), "Not Found"))))))))</f>
        <v>Not Found</v>
      </c>
      <c r="J722" t="str">
        <f>IFERROR(VLOOKUP($A722,'AAPT ExDa'!$B$2:$U$99, 7,FALSE), IFERROR(VLOOKUP($A722,'ABB ExDa'!$A$2:$N$184, 2,FALSE), IFERROR(VLOOKUP($A722,'Vocus SIT ExDa'!$B$2:$J$173, 0,FALSE), IFERROR(VLOOKUP($A722,'Telstra ExDa'!$B$2:$K$310, 7,FALSE), IFERROR(VLOOKUP($A722,'Vocus RVC ExDa'!$C$2:$R$155, 2,FALSE), IFERROR(VLOOKUP($A722,'Fusion ExDa'!$B$2:$D$16, 3,FALSE), IFERROR(VLOOKUP($A722,'Exetel ExDa'!$C$2:$N$14, 0,FALSE), IFERROR(VLOOKUP($A722,'Infinet ExDa'!$B$2:$E$14, 0,FALSE), "Not Found"))))))))</f>
        <v>Not Found</v>
      </c>
      <c r="K722" t="str">
        <f>IFERROR(VLOOKUP($A722,'AAPT ExDa'!$B$2:$U$99, 12,FALSE), IFERROR(VLOOKUP($A722,'ABB ExDa'!$A$2:$N$184, 0,FALSE), IFERROR(VLOOKUP($A722,'Vocus SIT ExDa'!$B$2:$J$173, 0,FALSE), IFERROR(VLOOKUP($A722,'Telstra ExDa'!$B$2:$K$310, 0,FALSE), IFERROR(VLOOKUP($A722,'Vocus RVC ExDa'!$C$2:$R$155, 0,FALSE), IFERROR(VLOOKUP($A722,'Fusion ExDa'!$B$2:$D$16, 0,FALSE), IFERROR(VLOOKUP($A722,'Exetel ExDa'!$C$2:$N$14, 12,FALSE), IFERROR(VLOOKUP($A722,'Infinet ExDa'!$B$2:$E$14, 0,FALSE), "Not Found"))))))))</f>
        <v>Not Found</v>
      </c>
      <c r="L722" s="235" t="str">
        <f>IFERROR(VLOOKUP($A722,'AAPT ExDa'!$B$2:$U$99, 11,FALSE), IFERROR(VLOOKUP($A722,'ABB ExDa'!$A$2:$N$184, 9,FALSE), IFERROR(VLOOKUP($A722,'Vocus SIT ExDa'!$B$2:$J$173, 8,FALSE), IFERROR(VLOOKUP($A722,'Telstra ExDa'!$B$2:$K$310, 0,FALSE), IFERROR(VLOOKUP($A722,'Vocus RVC ExDa'!$C$2:$R$155, 0,FALSE), IFERROR(VLOOKUP($A722,'Fusion ExDa'!$B$2:$D$16, 0,FALSE), IFERROR(VLOOKUP($A722,'Exetel ExDa'!$C$2:$N$14, 9,FALSE), IFERROR(VLOOKUP($A722,'Infinet ExDa'!$B$2:$E$14, 0,FALSE), "Not Found"))))))))</f>
        <v>Not Found</v>
      </c>
      <c r="M722" s="234" t="str">
        <f>IFERROR(VLOOKUP($A722,'AAPT ExDa'!$B$2:$U$99, 0,FALSE), IFERROR(VLOOKUP($A722,'ABB ExDa'!$A$2:$N$184, 0,FALSE), IFERROR(VLOOKUP($A722,'Vocus SIT ExDa'!$B$2:$J$173, 0,FALSE), IFERROR(VLOOKUP($A722,'Telstra ExDa'!$B$2:$K$310, 0,FALSE), IFERROR(VLOOKUP($A722,'Vocus RVC ExDa'!$C$2:$R$155, 0,FALSE), IFERROR(VLOOKUP($A722,'Fusion ExDa'!$B$2:$D$16, 0,FALSE), IFERROR(VLOOKUP($A722,'Exetel ExDa'!$C$2:$N$14, 11,FALSE), IFERROR(VLOOKUP($A722,'Infinet ExDa'!$B$2:$E$14, 0,FALSE), "Not Found"))))))))</f>
        <v>Not Found</v>
      </c>
      <c r="N722" t="str">
        <f>IFERROR(VLOOKUP($A722,'AAPT ExDa'!$B$2:$U$99, 0,FALSE), IFERROR(VLOOKUP($A722,'ABB ExDa'!$A$2:$N$184, 13,FALSE), IFERROR(VLOOKUP($A722,'Vocus SIT ExDa'!$B$2:$J$173, 0,FALSE), IFERROR(VLOOKUP($A722,'Telstra ExDa'!$B$2:$K$310, 0,FALSE), IFERROR(VLOOKUP($A722,'Vocus RVC ExDa'!$C$2:$R$155, 0,FALSE), IFERROR(VLOOKUP($A722,'Fusion ExDa'!$B$2:$D$16, 0,FALSE), IFERROR(VLOOKUP($A722,'Exetel ExDa'!$C$2:$N$14, 0,FALSE), IFERROR(VLOOKUP($A722,'Infinet ExDa'!$B$2:$E$14, 0,FALSE), "Not Found"))))))))</f>
        <v>Not Found</v>
      </c>
    </row>
    <row r="723" spans="1:14">
      <c r="A723">
        <v>0</v>
      </c>
      <c r="B723" t="str">
        <f>IFERROR(VLOOKUP(A723,'Exetel ExDa'!$C$2:$N$14,4,FALSE),"No Data")</f>
        <v>No Data</v>
      </c>
      <c r="C723" t="str">
        <f>IFERROR(VLOOKUP(A723,'AAPT ExDa'!$B$2:$U$99, 2,FALSE), IFERROR(VLOOKUP(A723,'ABB ExDa'!$A$2:$N$184, 2,FALSE), IFERROR(VLOOKUP(A723,'Vocus SIT ExDa'!$B$2:$J$173, 7,FALSE), IFERROR(VLOOKUP(A723,'Telstra ExDa'!$B$2:$K$310, 2,FALSE), IFERROR(VLOOKUP(A723,'Vocus RVC ExDa'!$C$2:$R$155, 3,FALSE), IFERROR(VLOOKUP(A723,'Fusion ExDa'!$B$2:$D$16, 2,FALSE), IFERROR(VLOOKUP(A723,'Exetel ExDa'!$C$2:$N$14, 2,FALSE), IFERROR(VLOOKUP(A723,'Infinet ExDa'!$B$2:$E$14, 2,FALSE), "Not Found"))))))))</f>
        <v>Not Found</v>
      </c>
      <c r="D723" t="str">
        <f>IFERROR(VLOOKUP($A723,'AAPT ExDa'!$B$2:$U$99, 15,FALSE), IFERROR(VLOOKUP($A723,'ABB ExDa'!$A$2:$N$184, 4,FALSE), IFERROR(VLOOKUP($A723,'Vocus SIT ExDa'!$B$2:$J$173, 5,FALSE), IFERROR(VLOOKUP($A723,'Telstra ExDa'!$B$2:$K$310, 8,FALSE), IFERROR(VLOOKUP($A723,'Vocus RVC ExDa'!$C$2:$R$155, 6,FALSE), IFERROR(VLOOKUP($A723,'Fusion ExDa'!$B$2:$D$16, 4,FALSE), IFERROR(VLOOKUP($A723,'Exetel ExDa'!$C$2:$N$14, 3,FALSE), IFERROR(VLOOKUP($A723,'Infinet ExDa'!$B$2:$E$14, 3,FALSE), "Not Found"))))))))</f>
        <v>Not Found</v>
      </c>
      <c r="E723" t="str">
        <f>IFERROR(VLOOKUP($A723,'AAPT ExDa'!$B$2:$U$99, 3,FALSE), IFERROR(VLOOKUP($A723,'ABB ExDa'!$A$2:$N$184, 5,FALSE), IFERROR(VLOOKUP($A723,'Vocus SIT ExDa'!$B$2:$J$173, 2,FALSE), IFERROR(VLOOKUP($A723,'Telstra ExDa'!$B$2:$K$310, 4,FALSE), IFERROR(VLOOKUP($A723,'Vocus RVC ExDa'!$C$2:$R$155, 8,FALSE), IFERROR(VLOOKUP($A723,'Fusion ExDa'!$B$2:$D$16, 4,FALSE), IFERROR(VLOOKUP($A723,'Exetel ExDa'!$C$2:$N$14, 5,FALSE), IFERROR(VLOOKUP($A723,'Infinet ExDa'!$B$2:$E$14, 3,FALSE), "Not Found"))))))))</f>
        <v>Not Found</v>
      </c>
      <c r="F723" t="str">
        <f>IFERROR(VLOOKUP($A723,'AAPT ExDa'!$B$2:$U$99, 4,FALSE), IFERROR(VLOOKUP($A723,'ABB ExDa'!$A$2:$N$184, 6,FALSE), IFERROR(VLOOKUP($A723,'Vocus SIT ExDa'!$B$2:$J$173, 3,FALSE), IFERROR(VLOOKUP($A723,'Telstra ExDa'!$B$2:$K$310, 5,FALSE), IFERROR(VLOOKUP($A723,'Vocus RVC ExDa'!$C$2:$R$155, 9,FALSE), IFERROR(VLOOKUP($A723,'Fusion ExDa'!$B$2:$D$16, 0,FALSE), IFERROR(VLOOKUP($A723,'Exetel ExDa'!$C$2:$N$14, 6,FALSE), IFERROR(VLOOKUP($A723,'Infinet ExDa'!$B$2:$E$14, 0,FALSE), "Not Found"))))))))</f>
        <v>Not Found</v>
      </c>
      <c r="G723" t="str">
        <f>IFERROR(VLOOKUP($A723,'AAPT ExDa'!$B$2:$U$99, 5,FALSE), IFERROR(VLOOKUP($A723,'ABB ExDa'!$A$2:$N$184, 8,FALSE), IFERROR(VLOOKUP($A723,'Vocus SIT ExDa'!$B$2:$J$173, 6,FALSE), IFERROR(VLOOKUP($A723,'Telstra ExDa'!$B$2:$K$310, 0,FALSE), IFERROR(VLOOKUP($A723,'Vocus RVC ExDa'!$C$2:$R$155, 15,FALSE), IFERROR(VLOOKUP($A723,'Fusion ExDa'!$B$2:$D$16, 0,FALSE), IFERROR(VLOOKUP($A723,'Exetel ExDa'!$C$2:$N$14, 7,FALSE), IFERROR(VLOOKUP($A723,'Infinet ExDa'!$B$2:$E$14, 0,FALSE), "Not Found"))))))))</f>
        <v>Not Found</v>
      </c>
      <c r="H723" t="str">
        <f>IFERROR(VLOOKUP($A723,'AAPT ExDa'!$B$2:$U$99, 6,FALSE), IFERROR(VLOOKUP($A723,'ABB ExDa'!$A$2:$N$184, 0,FALSE), IFERROR(VLOOKUP($A723,'Vocus SIT ExDa'!$B$2:$J$173, 0,FALSE), IFERROR(VLOOKUP($A723,'Telstra ExDa'!$B$2:$K$310, 0,FALSE), IFERROR(VLOOKUP($A723,'Vocus RVC ExDa'!$C$2:$R$155, 16,FALSE), IFERROR(VLOOKUP($A723,'Fusion ExDa'!$B$2:$D$16, 0,FALSE), IFERROR(VLOOKUP($A723,'Exetel ExDa'!$C$2:$N$14, 0,FALSE), IFERROR(VLOOKUP($A723,'Infinet ExDa'!$B$2:$E$14, 0,FALSE), "Not Found"))))))))</f>
        <v>Not Found</v>
      </c>
      <c r="I723" t="str">
        <f>IFERROR(VLOOKUP($A723,'AAPT ExDa'!$B$2:$U$99, 0,FALSE), IFERROR(VLOOKUP($A723,'ABB ExDa'!$A$2:$N$184, 0,FALSE), IFERROR(VLOOKUP($A723,'Vocus SIT ExDa'!$B$2:$J$173, 0,FALSE), IFERROR(VLOOKUP($A723,'Telstra ExDa'!$B$2:$K$310, 0,FALSE), IFERROR(VLOOKUP($A723,'Vocus RVC ExDa'!$C$2:$R$155, 0,FALSE), IFERROR(VLOOKUP($A723,'Fusion ExDa'!$B$2:$D$16, 0,FALSE), IFERROR(VLOOKUP($A723,'Exetel ExDa'!$C$2:$N$14, 8,FALSE), IFERROR(VLOOKUP($A723,'Infinet ExDa'!$B$2:$E$14, 0,FALSE), "Not Found"))))))))</f>
        <v>Not Found</v>
      </c>
      <c r="J723" t="str">
        <f>IFERROR(VLOOKUP($A723,'AAPT ExDa'!$B$2:$U$99, 7,FALSE), IFERROR(VLOOKUP($A723,'ABB ExDa'!$A$2:$N$184, 2,FALSE), IFERROR(VLOOKUP($A723,'Vocus SIT ExDa'!$B$2:$J$173, 0,FALSE), IFERROR(VLOOKUP($A723,'Telstra ExDa'!$B$2:$K$310, 7,FALSE), IFERROR(VLOOKUP($A723,'Vocus RVC ExDa'!$C$2:$R$155, 2,FALSE), IFERROR(VLOOKUP($A723,'Fusion ExDa'!$B$2:$D$16, 3,FALSE), IFERROR(VLOOKUP($A723,'Exetel ExDa'!$C$2:$N$14, 0,FALSE), IFERROR(VLOOKUP($A723,'Infinet ExDa'!$B$2:$E$14, 0,FALSE), "Not Found"))))))))</f>
        <v>Not Found</v>
      </c>
      <c r="K723" t="str">
        <f>IFERROR(VLOOKUP($A723,'AAPT ExDa'!$B$2:$U$99, 12,FALSE), IFERROR(VLOOKUP($A723,'ABB ExDa'!$A$2:$N$184, 0,FALSE), IFERROR(VLOOKUP($A723,'Vocus SIT ExDa'!$B$2:$J$173, 0,FALSE), IFERROR(VLOOKUP($A723,'Telstra ExDa'!$B$2:$K$310, 0,FALSE), IFERROR(VLOOKUP($A723,'Vocus RVC ExDa'!$C$2:$R$155, 0,FALSE), IFERROR(VLOOKUP($A723,'Fusion ExDa'!$B$2:$D$16, 0,FALSE), IFERROR(VLOOKUP($A723,'Exetel ExDa'!$C$2:$N$14, 12,FALSE), IFERROR(VLOOKUP($A723,'Infinet ExDa'!$B$2:$E$14, 0,FALSE), "Not Found"))))))))</f>
        <v>Not Found</v>
      </c>
      <c r="L723" s="235" t="str">
        <f>IFERROR(VLOOKUP($A723,'AAPT ExDa'!$B$2:$U$99, 11,FALSE), IFERROR(VLOOKUP($A723,'ABB ExDa'!$A$2:$N$184, 9,FALSE), IFERROR(VLOOKUP($A723,'Vocus SIT ExDa'!$B$2:$J$173, 8,FALSE), IFERROR(VLOOKUP($A723,'Telstra ExDa'!$B$2:$K$310, 0,FALSE), IFERROR(VLOOKUP($A723,'Vocus RVC ExDa'!$C$2:$R$155, 0,FALSE), IFERROR(VLOOKUP($A723,'Fusion ExDa'!$B$2:$D$16, 0,FALSE), IFERROR(VLOOKUP($A723,'Exetel ExDa'!$C$2:$N$14, 9,FALSE), IFERROR(VLOOKUP($A723,'Infinet ExDa'!$B$2:$E$14, 0,FALSE), "Not Found"))))))))</f>
        <v>Not Found</v>
      </c>
      <c r="M723" s="234" t="str">
        <f>IFERROR(VLOOKUP($A723,'AAPT ExDa'!$B$2:$U$99, 0,FALSE), IFERROR(VLOOKUP($A723,'ABB ExDa'!$A$2:$N$184, 0,FALSE), IFERROR(VLOOKUP($A723,'Vocus SIT ExDa'!$B$2:$J$173, 0,FALSE), IFERROR(VLOOKUP($A723,'Telstra ExDa'!$B$2:$K$310, 0,FALSE), IFERROR(VLOOKUP($A723,'Vocus RVC ExDa'!$C$2:$R$155, 0,FALSE), IFERROR(VLOOKUP($A723,'Fusion ExDa'!$B$2:$D$16, 0,FALSE), IFERROR(VLOOKUP($A723,'Exetel ExDa'!$C$2:$N$14, 11,FALSE), IFERROR(VLOOKUP($A723,'Infinet ExDa'!$B$2:$E$14, 0,FALSE), "Not Found"))))))))</f>
        <v>Not Found</v>
      </c>
      <c r="N723" t="str">
        <f>IFERROR(VLOOKUP($A723,'AAPT ExDa'!$B$2:$U$99, 0,FALSE), IFERROR(VLOOKUP($A723,'ABB ExDa'!$A$2:$N$184, 13,FALSE), IFERROR(VLOOKUP($A723,'Vocus SIT ExDa'!$B$2:$J$173, 0,FALSE), IFERROR(VLOOKUP($A723,'Telstra ExDa'!$B$2:$K$310, 0,FALSE), IFERROR(VLOOKUP($A723,'Vocus RVC ExDa'!$C$2:$R$155, 0,FALSE), IFERROR(VLOOKUP($A723,'Fusion ExDa'!$B$2:$D$16, 0,FALSE), IFERROR(VLOOKUP($A723,'Exetel ExDa'!$C$2:$N$14, 0,FALSE), IFERROR(VLOOKUP($A723,'Infinet ExDa'!$B$2:$E$14, 0,FALSE), "Not Found"))))))))</f>
        <v>Not Found</v>
      </c>
    </row>
    <row r="724" spans="1:14">
      <c r="A724">
        <v>0</v>
      </c>
      <c r="B724" t="str">
        <f>IFERROR(VLOOKUP(A724,'Exetel ExDa'!$C$2:$N$14,4,FALSE),"No Data")</f>
        <v>No Data</v>
      </c>
      <c r="C724" t="str">
        <f>IFERROR(VLOOKUP(A724,'AAPT ExDa'!$B$2:$U$99, 2,FALSE), IFERROR(VLOOKUP(A724,'ABB ExDa'!$A$2:$N$184, 2,FALSE), IFERROR(VLOOKUP(A724,'Vocus SIT ExDa'!$B$2:$J$173, 7,FALSE), IFERROR(VLOOKUP(A724,'Telstra ExDa'!$B$2:$K$310, 2,FALSE), IFERROR(VLOOKUP(A724,'Vocus RVC ExDa'!$C$2:$R$155, 3,FALSE), IFERROR(VLOOKUP(A724,'Fusion ExDa'!$B$2:$D$16, 2,FALSE), IFERROR(VLOOKUP(A724,'Exetel ExDa'!$C$2:$N$14, 2,FALSE), IFERROR(VLOOKUP(A724,'Infinet ExDa'!$B$2:$E$14, 2,FALSE), "Not Found"))))))))</f>
        <v>Not Found</v>
      </c>
      <c r="D724" t="str">
        <f>IFERROR(VLOOKUP($A724,'AAPT ExDa'!$B$2:$U$99, 15,FALSE), IFERROR(VLOOKUP($A724,'ABB ExDa'!$A$2:$N$184, 4,FALSE), IFERROR(VLOOKUP($A724,'Vocus SIT ExDa'!$B$2:$J$173, 5,FALSE), IFERROR(VLOOKUP($A724,'Telstra ExDa'!$B$2:$K$310, 8,FALSE), IFERROR(VLOOKUP($A724,'Vocus RVC ExDa'!$C$2:$R$155, 6,FALSE), IFERROR(VLOOKUP($A724,'Fusion ExDa'!$B$2:$D$16, 4,FALSE), IFERROR(VLOOKUP($A724,'Exetel ExDa'!$C$2:$N$14, 3,FALSE), IFERROR(VLOOKUP($A724,'Infinet ExDa'!$B$2:$E$14, 3,FALSE), "Not Found"))))))))</f>
        <v>Not Found</v>
      </c>
      <c r="E724" t="str">
        <f>IFERROR(VLOOKUP($A724,'AAPT ExDa'!$B$2:$U$99, 3,FALSE), IFERROR(VLOOKUP($A724,'ABB ExDa'!$A$2:$N$184, 5,FALSE), IFERROR(VLOOKUP($A724,'Vocus SIT ExDa'!$B$2:$J$173, 2,FALSE), IFERROR(VLOOKUP($A724,'Telstra ExDa'!$B$2:$K$310, 4,FALSE), IFERROR(VLOOKUP($A724,'Vocus RVC ExDa'!$C$2:$R$155, 8,FALSE), IFERROR(VLOOKUP($A724,'Fusion ExDa'!$B$2:$D$16, 4,FALSE), IFERROR(VLOOKUP($A724,'Exetel ExDa'!$C$2:$N$14, 5,FALSE), IFERROR(VLOOKUP($A724,'Infinet ExDa'!$B$2:$E$14, 3,FALSE), "Not Found"))))))))</f>
        <v>Not Found</v>
      </c>
      <c r="F724" t="str">
        <f>IFERROR(VLOOKUP($A724,'AAPT ExDa'!$B$2:$U$99, 4,FALSE), IFERROR(VLOOKUP($A724,'ABB ExDa'!$A$2:$N$184, 6,FALSE), IFERROR(VLOOKUP($A724,'Vocus SIT ExDa'!$B$2:$J$173, 3,FALSE), IFERROR(VLOOKUP($A724,'Telstra ExDa'!$B$2:$K$310, 5,FALSE), IFERROR(VLOOKUP($A724,'Vocus RVC ExDa'!$C$2:$R$155, 9,FALSE), IFERROR(VLOOKUP($A724,'Fusion ExDa'!$B$2:$D$16, 0,FALSE), IFERROR(VLOOKUP($A724,'Exetel ExDa'!$C$2:$N$14, 6,FALSE), IFERROR(VLOOKUP($A724,'Infinet ExDa'!$B$2:$E$14, 0,FALSE), "Not Found"))))))))</f>
        <v>Not Found</v>
      </c>
      <c r="G724" t="str">
        <f>IFERROR(VLOOKUP($A724,'AAPT ExDa'!$B$2:$U$99, 5,FALSE), IFERROR(VLOOKUP($A724,'ABB ExDa'!$A$2:$N$184, 8,FALSE), IFERROR(VLOOKUP($A724,'Vocus SIT ExDa'!$B$2:$J$173, 6,FALSE), IFERROR(VLOOKUP($A724,'Telstra ExDa'!$B$2:$K$310, 0,FALSE), IFERROR(VLOOKUP($A724,'Vocus RVC ExDa'!$C$2:$R$155, 15,FALSE), IFERROR(VLOOKUP($A724,'Fusion ExDa'!$B$2:$D$16, 0,FALSE), IFERROR(VLOOKUP($A724,'Exetel ExDa'!$C$2:$N$14, 7,FALSE), IFERROR(VLOOKUP($A724,'Infinet ExDa'!$B$2:$E$14, 0,FALSE), "Not Found"))))))))</f>
        <v>Not Found</v>
      </c>
      <c r="H724" t="str">
        <f>IFERROR(VLOOKUP($A724,'AAPT ExDa'!$B$2:$U$99, 6,FALSE), IFERROR(VLOOKUP($A724,'ABB ExDa'!$A$2:$N$184, 0,FALSE), IFERROR(VLOOKUP($A724,'Vocus SIT ExDa'!$B$2:$J$173, 0,FALSE), IFERROR(VLOOKUP($A724,'Telstra ExDa'!$B$2:$K$310, 0,FALSE), IFERROR(VLOOKUP($A724,'Vocus RVC ExDa'!$C$2:$R$155, 16,FALSE), IFERROR(VLOOKUP($A724,'Fusion ExDa'!$B$2:$D$16, 0,FALSE), IFERROR(VLOOKUP($A724,'Exetel ExDa'!$C$2:$N$14, 0,FALSE), IFERROR(VLOOKUP($A724,'Infinet ExDa'!$B$2:$E$14, 0,FALSE), "Not Found"))))))))</f>
        <v>Not Found</v>
      </c>
      <c r="I724" t="str">
        <f>IFERROR(VLOOKUP($A724,'AAPT ExDa'!$B$2:$U$99, 0,FALSE), IFERROR(VLOOKUP($A724,'ABB ExDa'!$A$2:$N$184, 0,FALSE), IFERROR(VLOOKUP($A724,'Vocus SIT ExDa'!$B$2:$J$173, 0,FALSE), IFERROR(VLOOKUP($A724,'Telstra ExDa'!$B$2:$K$310, 0,FALSE), IFERROR(VLOOKUP($A724,'Vocus RVC ExDa'!$C$2:$R$155, 0,FALSE), IFERROR(VLOOKUP($A724,'Fusion ExDa'!$B$2:$D$16, 0,FALSE), IFERROR(VLOOKUP($A724,'Exetel ExDa'!$C$2:$N$14, 8,FALSE), IFERROR(VLOOKUP($A724,'Infinet ExDa'!$B$2:$E$14, 0,FALSE), "Not Found"))))))))</f>
        <v>Not Found</v>
      </c>
      <c r="J724" t="str">
        <f>IFERROR(VLOOKUP($A724,'AAPT ExDa'!$B$2:$U$99, 7,FALSE), IFERROR(VLOOKUP($A724,'ABB ExDa'!$A$2:$N$184, 2,FALSE), IFERROR(VLOOKUP($A724,'Vocus SIT ExDa'!$B$2:$J$173, 0,FALSE), IFERROR(VLOOKUP($A724,'Telstra ExDa'!$B$2:$K$310, 7,FALSE), IFERROR(VLOOKUP($A724,'Vocus RVC ExDa'!$C$2:$R$155, 2,FALSE), IFERROR(VLOOKUP($A724,'Fusion ExDa'!$B$2:$D$16, 3,FALSE), IFERROR(VLOOKUP($A724,'Exetel ExDa'!$C$2:$N$14, 0,FALSE), IFERROR(VLOOKUP($A724,'Infinet ExDa'!$B$2:$E$14, 0,FALSE), "Not Found"))))))))</f>
        <v>Not Found</v>
      </c>
      <c r="K724" t="str">
        <f>IFERROR(VLOOKUP($A724,'AAPT ExDa'!$B$2:$U$99, 12,FALSE), IFERROR(VLOOKUP($A724,'ABB ExDa'!$A$2:$N$184, 0,FALSE), IFERROR(VLOOKUP($A724,'Vocus SIT ExDa'!$B$2:$J$173, 0,FALSE), IFERROR(VLOOKUP($A724,'Telstra ExDa'!$B$2:$K$310, 0,FALSE), IFERROR(VLOOKUP($A724,'Vocus RVC ExDa'!$C$2:$R$155, 0,FALSE), IFERROR(VLOOKUP($A724,'Fusion ExDa'!$B$2:$D$16, 0,FALSE), IFERROR(VLOOKUP($A724,'Exetel ExDa'!$C$2:$N$14, 12,FALSE), IFERROR(VLOOKUP($A724,'Infinet ExDa'!$B$2:$E$14, 0,FALSE), "Not Found"))))))))</f>
        <v>Not Found</v>
      </c>
      <c r="L724" s="235" t="str">
        <f>IFERROR(VLOOKUP($A724,'AAPT ExDa'!$B$2:$U$99, 11,FALSE), IFERROR(VLOOKUP($A724,'ABB ExDa'!$A$2:$N$184, 9,FALSE), IFERROR(VLOOKUP($A724,'Vocus SIT ExDa'!$B$2:$J$173, 8,FALSE), IFERROR(VLOOKUP($A724,'Telstra ExDa'!$B$2:$K$310, 0,FALSE), IFERROR(VLOOKUP($A724,'Vocus RVC ExDa'!$C$2:$R$155, 0,FALSE), IFERROR(VLOOKUP($A724,'Fusion ExDa'!$B$2:$D$16, 0,FALSE), IFERROR(VLOOKUP($A724,'Exetel ExDa'!$C$2:$N$14, 9,FALSE), IFERROR(VLOOKUP($A724,'Infinet ExDa'!$B$2:$E$14, 0,FALSE), "Not Found"))))))))</f>
        <v>Not Found</v>
      </c>
      <c r="M724" s="234" t="str">
        <f>IFERROR(VLOOKUP($A724,'AAPT ExDa'!$B$2:$U$99, 0,FALSE), IFERROR(VLOOKUP($A724,'ABB ExDa'!$A$2:$N$184, 0,FALSE), IFERROR(VLOOKUP($A724,'Vocus SIT ExDa'!$B$2:$J$173, 0,FALSE), IFERROR(VLOOKUP($A724,'Telstra ExDa'!$B$2:$K$310, 0,FALSE), IFERROR(VLOOKUP($A724,'Vocus RVC ExDa'!$C$2:$R$155, 0,FALSE), IFERROR(VLOOKUP($A724,'Fusion ExDa'!$B$2:$D$16, 0,FALSE), IFERROR(VLOOKUP($A724,'Exetel ExDa'!$C$2:$N$14, 11,FALSE), IFERROR(VLOOKUP($A724,'Infinet ExDa'!$B$2:$E$14, 0,FALSE), "Not Found"))))))))</f>
        <v>Not Found</v>
      </c>
      <c r="N724" t="str">
        <f>IFERROR(VLOOKUP($A724,'AAPT ExDa'!$B$2:$U$99, 0,FALSE), IFERROR(VLOOKUP($A724,'ABB ExDa'!$A$2:$N$184, 13,FALSE), IFERROR(VLOOKUP($A724,'Vocus SIT ExDa'!$B$2:$J$173, 0,FALSE), IFERROR(VLOOKUP($A724,'Telstra ExDa'!$B$2:$K$310, 0,FALSE), IFERROR(VLOOKUP($A724,'Vocus RVC ExDa'!$C$2:$R$155, 0,FALSE), IFERROR(VLOOKUP($A724,'Fusion ExDa'!$B$2:$D$16, 0,FALSE), IFERROR(VLOOKUP($A724,'Exetel ExDa'!$C$2:$N$14, 0,FALSE), IFERROR(VLOOKUP($A724,'Infinet ExDa'!$B$2:$E$14, 0,FALSE), "Not Found"))))))))</f>
        <v>Not Found</v>
      </c>
    </row>
    <row r="725" spans="1:14">
      <c r="A725">
        <v>0</v>
      </c>
      <c r="B725" t="str">
        <f>IFERROR(VLOOKUP(A725,'Exetel ExDa'!$C$2:$N$14,4,FALSE),"No Data")</f>
        <v>No Data</v>
      </c>
      <c r="C725" t="str">
        <f>IFERROR(VLOOKUP(A725,'AAPT ExDa'!$B$2:$U$99, 2,FALSE), IFERROR(VLOOKUP(A725,'ABB ExDa'!$A$2:$N$184, 2,FALSE), IFERROR(VLOOKUP(A725,'Vocus SIT ExDa'!$B$2:$J$173, 7,FALSE), IFERROR(VLOOKUP(A725,'Telstra ExDa'!$B$2:$K$310, 2,FALSE), IFERROR(VLOOKUP(A725,'Vocus RVC ExDa'!$C$2:$R$155, 3,FALSE), IFERROR(VLOOKUP(A725,'Fusion ExDa'!$B$2:$D$16, 2,FALSE), IFERROR(VLOOKUP(A725,'Exetel ExDa'!$C$2:$N$14, 2,FALSE), IFERROR(VLOOKUP(A725,'Infinet ExDa'!$B$2:$E$14, 2,FALSE), "Not Found"))))))))</f>
        <v>Not Found</v>
      </c>
      <c r="D725" t="str">
        <f>IFERROR(VLOOKUP($A725,'AAPT ExDa'!$B$2:$U$99, 15,FALSE), IFERROR(VLOOKUP($A725,'ABB ExDa'!$A$2:$N$184, 4,FALSE), IFERROR(VLOOKUP($A725,'Vocus SIT ExDa'!$B$2:$J$173, 5,FALSE), IFERROR(VLOOKUP($A725,'Telstra ExDa'!$B$2:$K$310, 8,FALSE), IFERROR(VLOOKUP($A725,'Vocus RVC ExDa'!$C$2:$R$155, 6,FALSE), IFERROR(VLOOKUP($A725,'Fusion ExDa'!$B$2:$D$16, 4,FALSE), IFERROR(VLOOKUP($A725,'Exetel ExDa'!$C$2:$N$14, 3,FALSE), IFERROR(VLOOKUP($A725,'Infinet ExDa'!$B$2:$E$14, 3,FALSE), "Not Found"))))))))</f>
        <v>Not Found</v>
      </c>
      <c r="E725" t="str">
        <f>IFERROR(VLOOKUP($A725,'AAPT ExDa'!$B$2:$U$99, 3,FALSE), IFERROR(VLOOKUP($A725,'ABB ExDa'!$A$2:$N$184, 5,FALSE), IFERROR(VLOOKUP($A725,'Vocus SIT ExDa'!$B$2:$J$173, 2,FALSE), IFERROR(VLOOKUP($A725,'Telstra ExDa'!$B$2:$K$310, 4,FALSE), IFERROR(VLOOKUP($A725,'Vocus RVC ExDa'!$C$2:$R$155, 8,FALSE), IFERROR(VLOOKUP($A725,'Fusion ExDa'!$B$2:$D$16, 4,FALSE), IFERROR(VLOOKUP($A725,'Exetel ExDa'!$C$2:$N$14, 5,FALSE), IFERROR(VLOOKUP($A725,'Infinet ExDa'!$B$2:$E$14, 3,FALSE), "Not Found"))))))))</f>
        <v>Not Found</v>
      </c>
      <c r="F725" t="str">
        <f>IFERROR(VLOOKUP($A725,'AAPT ExDa'!$B$2:$U$99, 4,FALSE), IFERROR(VLOOKUP($A725,'ABB ExDa'!$A$2:$N$184, 6,FALSE), IFERROR(VLOOKUP($A725,'Vocus SIT ExDa'!$B$2:$J$173, 3,FALSE), IFERROR(VLOOKUP($A725,'Telstra ExDa'!$B$2:$K$310, 5,FALSE), IFERROR(VLOOKUP($A725,'Vocus RVC ExDa'!$C$2:$R$155, 9,FALSE), IFERROR(VLOOKUP($A725,'Fusion ExDa'!$B$2:$D$16, 0,FALSE), IFERROR(VLOOKUP($A725,'Exetel ExDa'!$C$2:$N$14, 6,FALSE), IFERROR(VLOOKUP($A725,'Infinet ExDa'!$B$2:$E$14, 0,FALSE), "Not Found"))))))))</f>
        <v>Not Found</v>
      </c>
      <c r="G725" t="str">
        <f>IFERROR(VLOOKUP($A725,'AAPT ExDa'!$B$2:$U$99, 5,FALSE), IFERROR(VLOOKUP($A725,'ABB ExDa'!$A$2:$N$184, 8,FALSE), IFERROR(VLOOKUP($A725,'Vocus SIT ExDa'!$B$2:$J$173, 6,FALSE), IFERROR(VLOOKUP($A725,'Telstra ExDa'!$B$2:$K$310, 0,FALSE), IFERROR(VLOOKUP($A725,'Vocus RVC ExDa'!$C$2:$R$155, 15,FALSE), IFERROR(VLOOKUP($A725,'Fusion ExDa'!$B$2:$D$16, 0,FALSE), IFERROR(VLOOKUP($A725,'Exetel ExDa'!$C$2:$N$14, 7,FALSE), IFERROR(VLOOKUP($A725,'Infinet ExDa'!$B$2:$E$14, 0,FALSE), "Not Found"))))))))</f>
        <v>Not Found</v>
      </c>
      <c r="H725" t="str">
        <f>IFERROR(VLOOKUP($A725,'AAPT ExDa'!$B$2:$U$99, 6,FALSE), IFERROR(VLOOKUP($A725,'ABB ExDa'!$A$2:$N$184, 0,FALSE), IFERROR(VLOOKUP($A725,'Vocus SIT ExDa'!$B$2:$J$173, 0,FALSE), IFERROR(VLOOKUP($A725,'Telstra ExDa'!$B$2:$K$310, 0,FALSE), IFERROR(VLOOKUP($A725,'Vocus RVC ExDa'!$C$2:$R$155, 16,FALSE), IFERROR(VLOOKUP($A725,'Fusion ExDa'!$B$2:$D$16, 0,FALSE), IFERROR(VLOOKUP($A725,'Exetel ExDa'!$C$2:$N$14, 0,FALSE), IFERROR(VLOOKUP($A725,'Infinet ExDa'!$B$2:$E$14, 0,FALSE), "Not Found"))))))))</f>
        <v>Not Found</v>
      </c>
      <c r="I725" t="str">
        <f>IFERROR(VLOOKUP($A725,'AAPT ExDa'!$B$2:$U$99, 0,FALSE), IFERROR(VLOOKUP($A725,'ABB ExDa'!$A$2:$N$184, 0,FALSE), IFERROR(VLOOKUP($A725,'Vocus SIT ExDa'!$B$2:$J$173, 0,FALSE), IFERROR(VLOOKUP($A725,'Telstra ExDa'!$B$2:$K$310, 0,FALSE), IFERROR(VLOOKUP($A725,'Vocus RVC ExDa'!$C$2:$R$155, 0,FALSE), IFERROR(VLOOKUP($A725,'Fusion ExDa'!$B$2:$D$16, 0,FALSE), IFERROR(VLOOKUP($A725,'Exetel ExDa'!$C$2:$N$14, 8,FALSE), IFERROR(VLOOKUP($A725,'Infinet ExDa'!$B$2:$E$14, 0,FALSE), "Not Found"))))))))</f>
        <v>Not Found</v>
      </c>
      <c r="J725" t="str">
        <f>IFERROR(VLOOKUP($A725,'AAPT ExDa'!$B$2:$U$99, 7,FALSE), IFERROR(VLOOKUP($A725,'ABB ExDa'!$A$2:$N$184, 2,FALSE), IFERROR(VLOOKUP($A725,'Vocus SIT ExDa'!$B$2:$J$173, 0,FALSE), IFERROR(VLOOKUP($A725,'Telstra ExDa'!$B$2:$K$310, 7,FALSE), IFERROR(VLOOKUP($A725,'Vocus RVC ExDa'!$C$2:$R$155, 2,FALSE), IFERROR(VLOOKUP($A725,'Fusion ExDa'!$B$2:$D$16, 3,FALSE), IFERROR(VLOOKUP($A725,'Exetel ExDa'!$C$2:$N$14, 0,FALSE), IFERROR(VLOOKUP($A725,'Infinet ExDa'!$B$2:$E$14, 0,FALSE), "Not Found"))))))))</f>
        <v>Not Found</v>
      </c>
      <c r="K725" t="str">
        <f>IFERROR(VLOOKUP($A725,'AAPT ExDa'!$B$2:$U$99, 12,FALSE), IFERROR(VLOOKUP($A725,'ABB ExDa'!$A$2:$N$184, 0,FALSE), IFERROR(VLOOKUP($A725,'Vocus SIT ExDa'!$B$2:$J$173, 0,FALSE), IFERROR(VLOOKUP($A725,'Telstra ExDa'!$B$2:$K$310, 0,FALSE), IFERROR(VLOOKUP($A725,'Vocus RVC ExDa'!$C$2:$R$155, 0,FALSE), IFERROR(VLOOKUP($A725,'Fusion ExDa'!$B$2:$D$16, 0,FALSE), IFERROR(VLOOKUP($A725,'Exetel ExDa'!$C$2:$N$14, 12,FALSE), IFERROR(VLOOKUP($A725,'Infinet ExDa'!$B$2:$E$14, 0,FALSE), "Not Found"))))))))</f>
        <v>Not Found</v>
      </c>
      <c r="L725" s="235" t="str">
        <f>IFERROR(VLOOKUP($A725,'AAPT ExDa'!$B$2:$U$99, 11,FALSE), IFERROR(VLOOKUP($A725,'ABB ExDa'!$A$2:$N$184, 9,FALSE), IFERROR(VLOOKUP($A725,'Vocus SIT ExDa'!$B$2:$J$173, 8,FALSE), IFERROR(VLOOKUP($A725,'Telstra ExDa'!$B$2:$K$310, 0,FALSE), IFERROR(VLOOKUP($A725,'Vocus RVC ExDa'!$C$2:$R$155, 0,FALSE), IFERROR(VLOOKUP($A725,'Fusion ExDa'!$B$2:$D$16, 0,FALSE), IFERROR(VLOOKUP($A725,'Exetel ExDa'!$C$2:$N$14, 9,FALSE), IFERROR(VLOOKUP($A725,'Infinet ExDa'!$B$2:$E$14, 0,FALSE), "Not Found"))))))))</f>
        <v>Not Found</v>
      </c>
      <c r="M725" s="234" t="str">
        <f>IFERROR(VLOOKUP($A725,'AAPT ExDa'!$B$2:$U$99, 0,FALSE), IFERROR(VLOOKUP($A725,'ABB ExDa'!$A$2:$N$184, 0,FALSE), IFERROR(VLOOKUP($A725,'Vocus SIT ExDa'!$B$2:$J$173, 0,FALSE), IFERROR(VLOOKUP($A725,'Telstra ExDa'!$B$2:$K$310, 0,FALSE), IFERROR(VLOOKUP($A725,'Vocus RVC ExDa'!$C$2:$R$155, 0,FALSE), IFERROR(VLOOKUP($A725,'Fusion ExDa'!$B$2:$D$16, 0,FALSE), IFERROR(VLOOKUP($A725,'Exetel ExDa'!$C$2:$N$14, 11,FALSE), IFERROR(VLOOKUP($A725,'Infinet ExDa'!$B$2:$E$14, 0,FALSE), "Not Found"))))))))</f>
        <v>Not Found</v>
      </c>
      <c r="N725" t="str">
        <f>IFERROR(VLOOKUP($A725,'AAPT ExDa'!$B$2:$U$99, 0,FALSE), IFERROR(VLOOKUP($A725,'ABB ExDa'!$A$2:$N$184, 13,FALSE), IFERROR(VLOOKUP($A725,'Vocus SIT ExDa'!$B$2:$J$173, 0,FALSE), IFERROR(VLOOKUP($A725,'Telstra ExDa'!$B$2:$K$310, 0,FALSE), IFERROR(VLOOKUP($A725,'Vocus RVC ExDa'!$C$2:$R$155, 0,FALSE), IFERROR(VLOOKUP($A725,'Fusion ExDa'!$B$2:$D$16, 0,FALSE), IFERROR(VLOOKUP($A725,'Exetel ExDa'!$C$2:$N$14, 0,FALSE), IFERROR(VLOOKUP($A725,'Infinet ExDa'!$B$2:$E$14, 0,FALSE), "Not Found"))))))))</f>
        <v>Not Found</v>
      </c>
    </row>
    <row r="726" spans="1:14">
      <c r="A726" t="str">
        <v>Little Cha Lake Haven</v>
      </c>
      <c r="B726" t="str">
        <f>IFERROR(VLOOKUP(A726,'Exetel ExDa'!$C$2:$N$14,4,FALSE),"No Data")</f>
        <v>No Data</v>
      </c>
      <c r="C726" t="str">
        <f>IFERROR(VLOOKUP(A726,'AAPT ExDa'!$B$2:$U$99, 2,FALSE), IFERROR(VLOOKUP(A726,'ABB ExDa'!$A$2:$N$184, 2,FALSE), IFERROR(VLOOKUP(A726,'Vocus SIT ExDa'!$B$2:$J$173, 7,FALSE), IFERROR(VLOOKUP(A726,'Telstra ExDa'!$B$2:$K$310, 2,FALSE), IFERROR(VLOOKUP(A726,'Vocus RVC ExDa'!$C$2:$R$155, 3,FALSE), IFERROR(VLOOKUP(A726,'Fusion ExDa'!$B$2:$D$16, 2,FALSE), IFERROR(VLOOKUP(A726,'Exetel ExDa'!$C$2:$N$14, 2,FALSE), IFERROR(VLOOKUP(A726,'Infinet ExDa'!$B$2:$E$14, 2,FALSE), "Not Found"))))))))</f>
        <v>Shop K10, Lake Haven centre, Lake Haven Drive and Goobarabah Avenue, NSW 2263</v>
      </c>
      <c r="D726" t="str">
        <f>IFERROR(VLOOKUP($A726,'AAPT ExDa'!$B$2:$U$99, 15,FALSE), IFERROR(VLOOKUP($A726,'ABB ExDa'!$A$2:$N$184, 4,FALSE), IFERROR(VLOOKUP($A726,'Vocus SIT ExDa'!$B$2:$J$173, 5,FALSE), IFERROR(VLOOKUP($A726,'Telstra ExDa'!$B$2:$K$310, 8,FALSE), IFERROR(VLOOKUP($A726,'Vocus RVC ExDa'!$C$2:$R$155, 6,FALSE), IFERROR(VLOOKUP($A726,'Fusion ExDa'!$B$2:$D$16, 4,FALSE), IFERROR(VLOOKUP($A726,'Exetel ExDa'!$C$2:$N$14, 3,FALSE), IFERROR(VLOOKUP($A726,'Infinet ExDa'!$B$2:$E$14, 3,FALSE), "Not Found"))))))))</f>
        <v>Telstra</v>
      </c>
      <c r="E726" t="str">
        <f>IFERROR(VLOOKUP($A726,'AAPT ExDa'!$B$2:$U$99, 3,FALSE), IFERROR(VLOOKUP($A726,'ABB ExDa'!$A$2:$N$184, 5,FALSE), IFERROR(VLOOKUP($A726,'Vocus SIT ExDa'!$B$2:$J$173, 2,FALSE), IFERROR(VLOOKUP($A726,'Telstra ExDa'!$B$2:$K$310, 4,FALSE), IFERROR(VLOOKUP($A726,'Vocus RVC ExDa'!$C$2:$R$155, 8,FALSE), IFERROR(VLOOKUP($A726,'Fusion ExDa'!$B$2:$D$16, 4,FALSE), IFERROR(VLOOKUP($A726,'Exetel ExDa'!$C$2:$N$14, 5,FALSE), IFERROR(VLOOKUP($A726,'Infinet ExDa'!$B$2:$E$14, 3,FALSE), "Not Found"))))))))</f>
        <v>Internet and Data 5610688880</v>
      </c>
      <c r="F726" t="str">
        <f>IFERROR(VLOOKUP($A726,'AAPT ExDa'!$B$2:$U$99, 4,FALSE), IFERROR(VLOOKUP($A726,'ABB ExDa'!$A$2:$N$184, 6,FALSE), IFERROR(VLOOKUP($A726,'Vocus SIT ExDa'!$B$2:$J$173, 3,FALSE), IFERROR(VLOOKUP($A726,'Telstra ExDa'!$B$2:$K$310, 5,FALSE), IFERROR(VLOOKUP($A726,'Vocus RVC ExDa'!$C$2:$R$155, 9,FALSE), IFERROR(VLOOKUP($A726,'Fusion ExDa'!$B$2:$D$16, 0,FALSE), IFERROR(VLOOKUP($A726,'Exetel ExDa'!$C$2:$N$14, 6,FALSE), IFERROR(VLOOKUP($A726,'Infinet ExDa'!$B$2:$E$14, 0,FALSE), "Not Found"))))))))</f>
        <v>littlechalakehaven1@bigpond.com</v>
      </c>
      <c r="G726" t="str">
        <f>IFERROR(VLOOKUP($A726,'AAPT ExDa'!$B$2:$U$99, 5,FALSE), IFERROR(VLOOKUP($A726,'ABB ExDa'!$A$2:$N$184, 8,FALSE), IFERROR(VLOOKUP($A726,'Vocus SIT ExDa'!$B$2:$J$173, 6,FALSE), IFERROR(VLOOKUP($A726,'Telstra ExDa'!$B$2:$K$310, 0,FALSE), IFERROR(VLOOKUP($A726,'Vocus RVC ExDa'!$C$2:$R$155, 15,FALSE), IFERROR(VLOOKUP($A726,'Fusion ExDa'!$B$2:$D$16, 0,FALSE), IFERROR(VLOOKUP($A726,'Exetel ExDa'!$C$2:$N$14, 7,FALSE), IFERROR(VLOOKUP($A726,'Infinet ExDa'!$B$2:$E$14, 0,FALSE), "Not Found"))))))))</f>
        <v>Not Found</v>
      </c>
      <c r="H726" t="str">
        <f>IFERROR(VLOOKUP($A726,'AAPT ExDa'!$B$2:$U$99, 6,FALSE), IFERROR(VLOOKUP($A726,'ABB ExDa'!$A$2:$N$184, 0,FALSE), IFERROR(VLOOKUP($A726,'Vocus SIT ExDa'!$B$2:$J$173, 0,FALSE), IFERROR(VLOOKUP($A726,'Telstra ExDa'!$B$2:$K$310, 0,FALSE), IFERROR(VLOOKUP($A726,'Vocus RVC ExDa'!$C$2:$R$155, 16,FALSE), IFERROR(VLOOKUP($A726,'Fusion ExDa'!$B$2:$D$16, 0,FALSE), IFERROR(VLOOKUP($A726,'Exetel ExDa'!$C$2:$N$14, 0,FALSE), IFERROR(VLOOKUP($A726,'Infinet ExDa'!$B$2:$E$14, 0,FALSE), "Not Found"))))))))</f>
        <v>Not Found</v>
      </c>
      <c r="I726" t="str">
        <f>IFERROR(VLOOKUP($A726,'AAPT ExDa'!$B$2:$U$99, 0,FALSE), IFERROR(VLOOKUP($A726,'ABB ExDa'!$A$2:$N$184, 0,FALSE), IFERROR(VLOOKUP($A726,'Vocus SIT ExDa'!$B$2:$J$173, 0,FALSE), IFERROR(VLOOKUP($A726,'Telstra ExDa'!$B$2:$K$310, 0,FALSE), IFERROR(VLOOKUP($A726,'Vocus RVC ExDa'!$C$2:$R$155, 0,FALSE), IFERROR(VLOOKUP($A726,'Fusion ExDa'!$B$2:$D$16, 0,FALSE), IFERROR(VLOOKUP($A726,'Exetel ExDa'!$C$2:$N$14, 8,FALSE), IFERROR(VLOOKUP($A726,'Infinet ExDa'!$B$2:$E$14, 0,FALSE), "Not Found"))))))))</f>
        <v>Not Found</v>
      </c>
      <c r="J726">
        <f>IFERROR(VLOOKUP($A726,'AAPT ExDa'!$B$2:$U$99, 7,FALSE), IFERROR(VLOOKUP($A726,'ABB ExDa'!$A$2:$N$184, 2,FALSE), IFERROR(VLOOKUP($A726,'Vocus SIT ExDa'!$B$2:$J$173, 0,FALSE), IFERROR(VLOOKUP($A726,'Telstra ExDa'!$B$2:$K$310, 7,FALSE), IFERROR(VLOOKUP($A726,'Vocus RVC ExDa'!$C$2:$R$155, 2,FALSE), IFERROR(VLOOKUP($A726,'Fusion ExDa'!$B$2:$D$16, 3,FALSE), IFERROR(VLOOKUP($A726,'Exetel ExDa'!$C$2:$N$14, 0,FALSE), IFERROR(VLOOKUP($A726,'Infinet ExDa'!$B$2:$E$14, 0,FALSE), "Not Found"))))))))</f>
        <v>0</v>
      </c>
      <c r="K726" t="str">
        <f>IFERROR(VLOOKUP($A726,'AAPT ExDa'!$B$2:$U$99, 12,FALSE), IFERROR(VLOOKUP($A726,'ABB ExDa'!$A$2:$N$184, 0,FALSE), IFERROR(VLOOKUP($A726,'Vocus SIT ExDa'!$B$2:$J$173, 0,FALSE), IFERROR(VLOOKUP($A726,'Telstra ExDa'!$B$2:$K$310, 0,FALSE), IFERROR(VLOOKUP($A726,'Vocus RVC ExDa'!$C$2:$R$155, 0,FALSE), IFERROR(VLOOKUP($A726,'Fusion ExDa'!$B$2:$D$16, 0,FALSE), IFERROR(VLOOKUP($A726,'Exetel ExDa'!$C$2:$N$14, 12,FALSE), IFERROR(VLOOKUP($A726,'Infinet ExDa'!$B$2:$E$14, 0,FALSE), "Not Found"))))))))</f>
        <v>Not Found</v>
      </c>
      <c r="L726" s="235" t="str">
        <f>IFERROR(VLOOKUP($A726,'AAPT ExDa'!$B$2:$U$99, 11,FALSE), IFERROR(VLOOKUP($A726,'ABB ExDa'!$A$2:$N$184, 9,FALSE), IFERROR(VLOOKUP($A726,'Vocus SIT ExDa'!$B$2:$J$173, 8,FALSE), IFERROR(VLOOKUP($A726,'Telstra ExDa'!$B$2:$K$310, 0,FALSE), IFERROR(VLOOKUP($A726,'Vocus RVC ExDa'!$C$2:$R$155, 0,FALSE), IFERROR(VLOOKUP($A726,'Fusion ExDa'!$B$2:$D$16, 0,FALSE), IFERROR(VLOOKUP($A726,'Exetel ExDa'!$C$2:$N$14, 9,FALSE), IFERROR(VLOOKUP($A726,'Infinet ExDa'!$B$2:$E$14, 0,FALSE), "Not Found"))))))))</f>
        <v>Not Found</v>
      </c>
      <c r="M726" s="234" t="str">
        <f>IFERROR(VLOOKUP($A726,'AAPT ExDa'!$B$2:$U$99, 0,FALSE), IFERROR(VLOOKUP($A726,'ABB ExDa'!$A$2:$N$184, 0,FALSE), IFERROR(VLOOKUP($A726,'Vocus SIT ExDa'!$B$2:$J$173, 0,FALSE), IFERROR(VLOOKUP($A726,'Telstra ExDa'!$B$2:$K$310, 0,FALSE), IFERROR(VLOOKUP($A726,'Vocus RVC ExDa'!$C$2:$R$155, 0,FALSE), IFERROR(VLOOKUP($A726,'Fusion ExDa'!$B$2:$D$16, 0,FALSE), IFERROR(VLOOKUP($A726,'Exetel ExDa'!$C$2:$N$14, 11,FALSE), IFERROR(VLOOKUP($A726,'Infinet ExDa'!$B$2:$E$14, 0,FALSE), "Not Found"))))))))</f>
        <v>Not Found</v>
      </c>
      <c r="N726" t="str">
        <f>IFERROR(VLOOKUP($A726,'AAPT ExDa'!$B$2:$U$99, 0,FALSE), IFERROR(VLOOKUP($A726,'ABB ExDa'!$A$2:$N$184, 13,FALSE), IFERROR(VLOOKUP($A726,'Vocus SIT ExDa'!$B$2:$J$173, 0,FALSE), IFERROR(VLOOKUP($A726,'Telstra ExDa'!$B$2:$K$310, 0,FALSE), IFERROR(VLOOKUP($A726,'Vocus RVC ExDa'!$C$2:$R$155, 0,FALSE), IFERROR(VLOOKUP($A726,'Fusion ExDa'!$B$2:$D$16, 0,FALSE), IFERROR(VLOOKUP($A726,'Exetel ExDa'!$C$2:$N$14, 0,FALSE), IFERROR(VLOOKUP($A726,'Infinet ExDa'!$B$2:$E$14, 0,FALSE), "Not Found"))))))))</f>
        <v>Not Found</v>
      </c>
    </row>
    <row r="727" spans="1:14">
      <c r="A727" t="str">
        <v>Little Cha Erina Fair</v>
      </c>
      <c r="B727" t="str">
        <f>IFERROR(VLOOKUP(A727,'Exetel ExDa'!$C$2:$N$14,4,FALSE),"No Data")</f>
        <v>No Data</v>
      </c>
      <c r="C727" t="str">
        <f>IFERROR(VLOOKUP(A727,'AAPT ExDa'!$B$2:$U$99, 2,FALSE), IFERROR(VLOOKUP(A727,'ABB ExDa'!$A$2:$N$184, 2,FALSE), IFERROR(VLOOKUP(A727,'Vocus SIT ExDa'!$B$2:$J$173, 7,FALSE), IFERROR(VLOOKUP(A727,'Telstra ExDa'!$B$2:$K$310, 2,FALSE), IFERROR(VLOOKUP(A727,'Vocus RVC ExDa'!$C$2:$R$155, 3,FALSE), IFERROR(VLOOKUP(A727,'Fusion ExDa'!$B$2:$D$16, 2,FALSE), IFERROR(VLOOKUP(A727,'Exetel ExDa'!$C$2:$N$14, 2,FALSE), IFERROR(VLOOKUP(A727,'Infinet ExDa'!$B$2:$E$14, 2,FALSE), "Not Found"))))))))</f>
        <v>ERINA FAIR SHOPPING CENTRE, BG 1, G, SHOP R05, ERINA NSW 2250</v>
      </c>
      <c r="D727" t="str">
        <f>IFERROR(VLOOKUP($A727,'AAPT ExDa'!$B$2:$U$99, 15,FALSE), IFERROR(VLOOKUP($A727,'ABB ExDa'!$A$2:$N$184, 4,FALSE), IFERROR(VLOOKUP($A727,'Vocus SIT ExDa'!$B$2:$J$173, 5,FALSE), IFERROR(VLOOKUP($A727,'Telstra ExDa'!$B$2:$K$310, 8,FALSE), IFERROR(VLOOKUP($A727,'Vocus RVC ExDa'!$C$2:$R$155, 6,FALSE), IFERROR(VLOOKUP($A727,'Fusion ExDa'!$B$2:$D$16, 4,FALSE), IFERROR(VLOOKUP($A727,'Exetel ExDa'!$C$2:$N$14, 3,FALSE), IFERROR(VLOOKUP($A727,'Infinet ExDa'!$B$2:$E$14, 3,FALSE), "Not Found"))))))))</f>
        <v>Telstra</v>
      </c>
      <c r="E727" t="str">
        <f>IFERROR(VLOOKUP($A727,'AAPT ExDa'!$B$2:$U$99, 3,FALSE), IFERROR(VLOOKUP($A727,'ABB ExDa'!$A$2:$N$184, 5,FALSE), IFERROR(VLOOKUP($A727,'Vocus SIT ExDa'!$B$2:$J$173, 2,FALSE), IFERROR(VLOOKUP($A727,'Telstra ExDa'!$B$2:$K$310, 4,FALSE), IFERROR(VLOOKUP($A727,'Vocus RVC ExDa'!$C$2:$R$155, 8,FALSE), IFERROR(VLOOKUP($A727,'Fusion ExDa'!$B$2:$D$16, 4,FALSE), IFERROR(VLOOKUP($A727,'Exetel ExDa'!$C$2:$N$14, 5,FALSE), IFERROR(VLOOKUP($A727,'Infinet ExDa'!$B$2:$E$14, 3,FALSE), "Not Found"))))))))</f>
        <v>Standard Speed NBN 25Mbps</v>
      </c>
      <c r="F727" t="str">
        <f>IFERROR(VLOOKUP($A727,'AAPT ExDa'!$B$2:$U$99, 4,FALSE), IFERROR(VLOOKUP($A727,'ABB ExDa'!$A$2:$N$184, 6,FALSE), IFERROR(VLOOKUP($A727,'Vocus SIT ExDa'!$B$2:$J$173, 3,FALSE), IFERROR(VLOOKUP($A727,'Telstra ExDa'!$B$2:$K$310, 5,FALSE), IFERROR(VLOOKUP($A727,'Vocus RVC ExDa'!$C$2:$R$155, 9,FALSE), IFERROR(VLOOKUP($A727,'Fusion ExDa'!$B$2:$D$16, 0,FALSE), IFERROR(VLOOKUP($A727,'Exetel ExDa'!$C$2:$N$14, 6,FALSE), IFERROR(VLOOKUP($A727,'Infinet ExDa'!$B$2:$E$14, 0,FALSE), "Not Found"))))))))</f>
        <v>Core Internet</v>
      </c>
      <c r="G727" t="str">
        <f>IFERROR(VLOOKUP($A727,'AAPT ExDa'!$B$2:$U$99, 5,FALSE), IFERROR(VLOOKUP($A727,'ABB ExDa'!$A$2:$N$184, 8,FALSE), IFERROR(VLOOKUP($A727,'Vocus SIT ExDa'!$B$2:$J$173, 6,FALSE), IFERROR(VLOOKUP($A727,'Telstra ExDa'!$B$2:$K$310, 0,FALSE), IFERROR(VLOOKUP($A727,'Vocus RVC ExDa'!$C$2:$R$155, 15,FALSE), IFERROR(VLOOKUP($A727,'Fusion ExDa'!$B$2:$D$16, 0,FALSE), IFERROR(VLOOKUP($A727,'Exetel ExDa'!$C$2:$N$14, 7,FALSE), IFERROR(VLOOKUP($A727,'Infinet ExDa'!$B$2:$E$14, 0,FALSE), "Not Found"))))))))</f>
        <v>Not Found</v>
      </c>
      <c r="H727" t="str">
        <f>IFERROR(VLOOKUP($A727,'AAPT ExDa'!$B$2:$U$99, 6,FALSE), IFERROR(VLOOKUP($A727,'ABB ExDa'!$A$2:$N$184, 0,FALSE), IFERROR(VLOOKUP($A727,'Vocus SIT ExDa'!$B$2:$J$173, 0,FALSE), IFERROR(VLOOKUP($A727,'Telstra ExDa'!$B$2:$K$310, 0,FALSE), IFERROR(VLOOKUP($A727,'Vocus RVC ExDa'!$C$2:$R$155, 16,FALSE), IFERROR(VLOOKUP($A727,'Fusion ExDa'!$B$2:$D$16, 0,FALSE), IFERROR(VLOOKUP($A727,'Exetel ExDa'!$C$2:$N$14, 0,FALSE), IFERROR(VLOOKUP($A727,'Infinet ExDa'!$B$2:$E$14, 0,FALSE), "Not Found"))))))))</f>
        <v>Not Found</v>
      </c>
      <c r="I727" t="str">
        <f>IFERROR(VLOOKUP($A727,'AAPT ExDa'!$B$2:$U$99, 0,FALSE), IFERROR(VLOOKUP($A727,'ABB ExDa'!$A$2:$N$184, 0,FALSE), IFERROR(VLOOKUP($A727,'Vocus SIT ExDa'!$B$2:$J$173, 0,FALSE), IFERROR(VLOOKUP($A727,'Telstra ExDa'!$B$2:$K$310, 0,FALSE), IFERROR(VLOOKUP($A727,'Vocus RVC ExDa'!$C$2:$R$155, 0,FALSE), IFERROR(VLOOKUP($A727,'Fusion ExDa'!$B$2:$D$16, 0,FALSE), IFERROR(VLOOKUP($A727,'Exetel ExDa'!$C$2:$N$14, 8,FALSE), IFERROR(VLOOKUP($A727,'Infinet ExDa'!$B$2:$E$14, 0,FALSE), "Not Found"))))))))</f>
        <v>Not Found</v>
      </c>
      <c r="J727">
        <f>IFERROR(VLOOKUP($A727,'AAPT ExDa'!$B$2:$U$99, 7,FALSE), IFERROR(VLOOKUP($A727,'ABB ExDa'!$A$2:$N$184, 2,FALSE), IFERROR(VLOOKUP($A727,'Vocus SIT ExDa'!$B$2:$J$173, 0,FALSE), IFERROR(VLOOKUP($A727,'Telstra ExDa'!$B$2:$K$310, 7,FALSE), IFERROR(VLOOKUP($A727,'Vocus RVC ExDa'!$C$2:$R$155, 2,FALSE), IFERROR(VLOOKUP($A727,'Fusion ExDa'!$B$2:$D$16, 3,FALSE), IFERROR(VLOOKUP($A727,'Exetel ExDa'!$C$2:$N$14, 0,FALSE), IFERROR(VLOOKUP($A727,'Infinet ExDa'!$B$2:$E$14, 0,FALSE), "Not Found"))))))))</f>
        <v>0</v>
      </c>
      <c r="K727" t="str">
        <f>IFERROR(VLOOKUP($A727,'AAPT ExDa'!$B$2:$U$99, 12,FALSE), IFERROR(VLOOKUP($A727,'ABB ExDa'!$A$2:$N$184, 0,FALSE), IFERROR(VLOOKUP($A727,'Vocus SIT ExDa'!$B$2:$J$173, 0,FALSE), IFERROR(VLOOKUP($A727,'Telstra ExDa'!$B$2:$K$310, 0,FALSE), IFERROR(VLOOKUP($A727,'Vocus RVC ExDa'!$C$2:$R$155, 0,FALSE), IFERROR(VLOOKUP($A727,'Fusion ExDa'!$B$2:$D$16, 0,FALSE), IFERROR(VLOOKUP($A727,'Exetel ExDa'!$C$2:$N$14, 12,FALSE), IFERROR(VLOOKUP($A727,'Infinet ExDa'!$B$2:$E$14, 0,FALSE), "Not Found"))))))))</f>
        <v>Not Found</v>
      </c>
      <c r="L727" s="235" t="str">
        <f>IFERROR(VLOOKUP($A727,'AAPT ExDa'!$B$2:$U$99, 11,FALSE), IFERROR(VLOOKUP($A727,'ABB ExDa'!$A$2:$N$184, 9,FALSE), IFERROR(VLOOKUP($A727,'Vocus SIT ExDa'!$B$2:$J$173, 8,FALSE), IFERROR(VLOOKUP($A727,'Telstra ExDa'!$B$2:$K$310, 0,FALSE), IFERROR(VLOOKUP($A727,'Vocus RVC ExDa'!$C$2:$R$155, 0,FALSE), IFERROR(VLOOKUP($A727,'Fusion ExDa'!$B$2:$D$16, 0,FALSE), IFERROR(VLOOKUP($A727,'Exetel ExDa'!$C$2:$N$14, 9,FALSE), IFERROR(VLOOKUP($A727,'Infinet ExDa'!$B$2:$E$14, 0,FALSE), "Not Found"))))))))</f>
        <v>Not Found</v>
      </c>
      <c r="M727" s="234" t="str">
        <f>IFERROR(VLOOKUP($A727,'AAPT ExDa'!$B$2:$U$99, 0,FALSE), IFERROR(VLOOKUP($A727,'ABB ExDa'!$A$2:$N$184, 0,FALSE), IFERROR(VLOOKUP($A727,'Vocus SIT ExDa'!$B$2:$J$173, 0,FALSE), IFERROR(VLOOKUP($A727,'Telstra ExDa'!$B$2:$K$310, 0,FALSE), IFERROR(VLOOKUP($A727,'Vocus RVC ExDa'!$C$2:$R$155, 0,FALSE), IFERROR(VLOOKUP($A727,'Fusion ExDa'!$B$2:$D$16, 0,FALSE), IFERROR(VLOOKUP($A727,'Exetel ExDa'!$C$2:$N$14, 11,FALSE), IFERROR(VLOOKUP($A727,'Infinet ExDa'!$B$2:$E$14, 0,FALSE), "Not Found"))))))))</f>
        <v>Not Found</v>
      </c>
      <c r="N727" t="str">
        <f>IFERROR(VLOOKUP($A727,'AAPT ExDa'!$B$2:$U$99, 0,FALSE), IFERROR(VLOOKUP($A727,'ABB ExDa'!$A$2:$N$184, 13,FALSE), IFERROR(VLOOKUP($A727,'Vocus SIT ExDa'!$B$2:$J$173, 0,FALSE), IFERROR(VLOOKUP($A727,'Telstra ExDa'!$B$2:$K$310, 0,FALSE), IFERROR(VLOOKUP($A727,'Vocus RVC ExDa'!$C$2:$R$155, 0,FALSE), IFERROR(VLOOKUP($A727,'Fusion ExDa'!$B$2:$D$16, 0,FALSE), IFERROR(VLOOKUP($A727,'Exetel ExDa'!$C$2:$N$14, 0,FALSE), IFERROR(VLOOKUP($A727,'Infinet ExDa'!$B$2:$E$14, 0,FALSE), "Not Found"))))))))</f>
        <v>Not Found</v>
      </c>
    </row>
    <row r="728" spans="1:14">
      <c r="A728" t="str">
        <v>Zambrero Kalgoorlie</v>
      </c>
      <c r="B728" t="str">
        <f>IFERROR(VLOOKUP(A728,'Exetel ExDa'!$C$2:$N$14,4,FALSE),"No Data")</f>
        <v>No Data</v>
      </c>
      <c r="C728" t="str">
        <f>IFERROR(VLOOKUP(A728,'AAPT ExDa'!$B$2:$U$99, 2,FALSE), IFERROR(VLOOKUP(A728,'ABB ExDa'!$A$2:$N$184, 2,FALSE), IFERROR(VLOOKUP(A728,'Vocus SIT ExDa'!$B$2:$J$173, 7,FALSE), IFERROR(VLOOKUP(A728,'Telstra ExDa'!$B$2:$K$310, 2,FALSE), IFERROR(VLOOKUP(A728,'Vocus RVC ExDa'!$C$2:$R$155, 3,FALSE), IFERROR(VLOOKUP(A728,'Fusion ExDa'!$B$2:$D$16, 2,FALSE), IFERROR(VLOOKUP(A728,'Exetel ExDa'!$C$2:$N$14, 2,FALSE), IFERROR(VLOOKUP(A728,'Infinet ExDa'!$B$2:$E$14, 2,FALSE), "Not Found"))))))))</f>
        <v>15 - 17 BOULDER RD, KALGOORLIE WA 6430</v>
      </c>
      <c r="D728" t="str">
        <f>IFERROR(VLOOKUP($A728,'AAPT ExDa'!$B$2:$U$99, 15,FALSE), IFERROR(VLOOKUP($A728,'ABB ExDa'!$A$2:$N$184, 4,FALSE), IFERROR(VLOOKUP($A728,'Vocus SIT ExDa'!$B$2:$J$173, 5,FALSE), IFERROR(VLOOKUP($A728,'Telstra ExDa'!$B$2:$K$310, 8,FALSE), IFERROR(VLOOKUP($A728,'Vocus RVC ExDa'!$C$2:$R$155, 6,FALSE), IFERROR(VLOOKUP($A728,'Fusion ExDa'!$B$2:$D$16, 4,FALSE), IFERROR(VLOOKUP($A728,'Exetel ExDa'!$C$2:$N$14, 3,FALSE), IFERROR(VLOOKUP($A728,'Infinet ExDa'!$B$2:$E$14, 3,FALSE), "Not Found"))))))))</f>
        <v>Telstra</v>
      </c>
      <c r="E728" t="str">
        <f>IFERROR(VLOOKUP($A728,'AAPT ExDa'!$B$2:$U$99, 3,FALSE), IFERROR(VLOOKUP($A728,'ABB ExDa'!$A$2:$N$184, 5,FALSE), IFERROR(VLOOKUP($A728,'Vocus SIT ExDa'!$B$2:$J$173, 2,FALSE), IFERROR(VLOOKUP($A728,'Telstra ExDa'!$B$2:$K$310, 4,FALSE), IFERROR(VLOOKUP($A728,'Vocus RVC ExDa'!$C$2:$R$155, 8,FALSE), IFERROR(VLOOKUP($A728,'Fusion ExDa'!$B$2:$D$16, 4,FALSE), IFERROR(VLOOKUP($A728,'Exetel ExDa'!$C$2:$N$14, 5,FALSE), IFERROR(VLOOKUP($A728,'Infinet ExDa'!$B$2:$E$14, 3,FALSE), "Not Found"))))))))</f>
        <v>Internet and Data 5617808880</v>
      </c>
      <c r="F728" t="str">
        <f>IFERROR(VLOOKUP($A728,'AAPT ExDa'!$B$2:$U$99, 4,FALSE), IFERROR(VLOOKUP($A728,'ABB ExDa'!$A$2:$N$184, 6,FALSE), IFERROR(VLOOKUP($A728,'Vocus SIT ExDa'!$B$2:$J$173, 3,FALSE), IFERROR(VLOOKUP($A728,'Telstra ExDa'!$B$2:$K$310, 5,FALSE), IFERROR(VLOOKUP($A728,'Vocus RVC ExDa'!$C$2:$R$155, 9,FALSE), IFERROR(VLOOKUP($A728,'Fusion ExDa'!$B$2:$D$16, 0,FALSE), IFERROR(VLOOKUP($A728,'Exetel ExDa'!$C$2:$N$14, 6,FALSE), IFERROR(VLOOKUP($A728,'Infinet ExDa'!$B$2:$E$14, 0,FALSE), "Not Found"))))))))</f>
        <v>zambrerokalgoorlie@bigpond.com</v>
      </c>
      <c r="G728" t="str">
        <f>IFERROR(VLOOKUP($A728,'AAPT ExDa'!$B$2:$U$99, 5,FALSE), IFERROR(VLOOKUP($A728,'ABB ExDa'!$A$2:$N$184, 8,FALSE), IFERROR(VLOOKUP($A728,'Vocus SIT ExDa'!$B$2:$J$173, 6,FALSE), IFERROR(VLOOKUP($A728,'Telstra ExDa'!$B$2:$K$310, 0,FALSE), IFERROR(VLOOKUP($A728,'Vocus RVC ExDa'!$C$2:$R$155, 15,FALSE), IFERROR(VLOOKUP($A728,'Fusion ExDa'!$B$2:$D$16, 0,FALSE), IFERROR(VLOOKUP($A728,'Exetel ExDa'!$C$2:$N$14, 7,FALSE), IFERROR(VLOOKUP($A728,'Infinet ExDa'!$B$2:$E$14, 0,FALSE), "Not Found"))))))))</f>
        <v>Not Found</v>
      </c>
      <c r="H728" t="str">
        <f>IFERROR(VLOOKUP($A728,'AAPT ExDa'!$B$2:$U$99, 6,FALSE), IFERROR(VLOOKUP($A728,'ABB ExDa'!$A$2:$N$184, 0,FALSE), IFERROR(VLOOKUP($A728,'Vocus SIT ExDa'!$B$2:$J$173, 0,FALSE), IFERROR(VLOOKUP($A728,'Telstra ExDa'!$B$2:$K$310, 0,FALSE), IFERROR(VLOOKUP($A728,'Vocus RVC ExDa'!$C$2:$R$155, 16,FALSE), IFERROR(VLOOKUP($A728,'Fusion ExDa'!$B$2:$D$16, 0,FALSE), IFERROR(VLOOKUP($A728,'Exetel ExDa'!$C$2:$N$14, 0,FALSE), IFERROR(VLOOKUP($A728,'Infinet ExDa'!$B$2:$E$14, 0,FALSE), "Not Found"))))))))</f>
        <v>Not Found</v>
      </c>
      <c r="I728" t="str">
        <f>IFERROR(VLOOKUP($A728,'AAPT ExDa'!$B$2:$U$99, 0,FALSE), IFERROR(VLOOKUP($A728,'ABB ExDa'!$A$2:$N$184, 0,FALSE), IFERROR(VLOOKUP($A728,'Vocus SIT ExDa'!$B$2:$J$173, 0,FALSE), IFERROR(VLOOKUP($A728,'Telstra ExDa'!$B$2:$K$310, 0,FALSE), IFERROR(VLOOKUP($A728,'Vocus RVC ExDa'!$C$2:$R$155, 0,FALSE), IFERROR(VLOOKUP($A728,'Fusion ExDa'!$B$2:$D$16, 0,FALSE), IFERROR(VLOOKUP($A728,'Exetel ExDa'!$C$2:$N$14, 8,FALSE), IFERROR(VLOOKUP($A728,'Infinet ExDa'!$B$2:$E$14, 0,FALSE), "Not Found"))))))))</f>
        <v>Not Found</v>
      </c>
      <c r="J728">
        <f>IFERROR(VLOOKUP($A728,'AAPT ExDa'!$B$2:$U$99, 7,FALSE), IFERROR(VLOOKUP($A728,'ABB ExDa'!$A$2:$N$184, 2,FALSE), IFERROR(VLOOKUP($A728,'Vocus SIT ExDa'!$B$2:$J$173, 0,FALSE), IFERROR(VLOOKUP($A728,'Telstra ExDa'!$B$2:$K$310, 7,FALSE), IFERROR(VLOOKUP($A728,'Vocus RVC ExDa'!$C$2:$R$155, 2,FALSE), IFERROR(VLOOKUP($A728,'Fusion ExDa'!$B$2:$D$16, 3,FALSE), IFERROR(VLOOKUP($A728,'Exetel ExDa'!$C$2:$N$14, 0,FALSE), IFERROR(VLOOKUP($A728,'Infinet ExDa'!$B$2:$E$14, 0,FALSE), "Not Found"))))))))</f>
        <v>0</v>
      </c>
      <c r="K728" t="str">
        <f>IFERROR(VLOOKUP($A728,'AAPT ExDa'!$B$2:$U$99, 12,FALSE), IFERROR(VLOOKUP($A728,'ABB ExDa'!$A$2:$N$184, 0,FALSE), IFERROR(VLOOKUP($A728,'Vocus SIT ExDa'!$B$2:$J$173, 0,FALSE), IFERROR(VLOOKUP($A728,'Telstra ExDa'!$B$2:$K$310, 0,FALSE), IFERROR(VLOOKUP($A728,'Vocus RVC ExDa'!$C$2:$R$155, 0,FALSE), IFERROR(VLOOKUP($A728,'Fusion ExDa'!$B$2:$D$16, 0,FALSE), IFERROR(VLOOKUP($A728,'Exetel ExDa'!$C$2:$N$14, 12,FALSE), IFERROR(VLOOKUP($A728,'Infinet ExDa'!$B$2:$E$14, 0,FALSE), "Not Found"))))))))</f>
        <v>Not Found</v>
      </c>
      <c r="L728" s="235" t="str">
        <f>IFERROR(VLOOKUP($A728,'AAPT ExDa'!$B$2:$U$99, 11,FALSE), IFERROR(VLOOKUP($A728,'ABB ExDa'!$A$2:$N$184, 9,FALSE), IFERROR(VLOOKUP($A728,'Vocus SIT ExDa'!$B$2:$J$173, 8,FALSE), IFERROR(VLOOKUP($A728,'Telstra ExDa'!$B$2:$K$310, 0,FALSE), IFERROR(VLOOKUP($A728,'Vocus RVC ExDa'!$C$2:$R$155, 0,FALSE), IFERROR(VLOOKUP($A728,'Fusion ExDa'!$B$2:$D$16, 0,FALSE), IFERROR(VLOOKUP($A728,'Exetel ExDa'!$C$2:$N$14, 9,FALSE), IFERROR(VLOOKUP($A728,'Infinet ExDa'!$B$2:$E$14, 0,FALSE), "Not Found"))))))))</f>
        <v>Not Found</v>
      </c>
      <c r="M728" s="234" t="str">
        <f>IFERROR(VLOOKUP($A728,'AAPT ExDa'!$B$2:$U$99, 0,FALSE), IFERROR(VLOOKUP($A728,'ABB ExDa'!$A$2:$N$184, 0,FALSE), IFERROR(VLOOKUP($A728,'Vocus SIT ExDa'!$B$2:$J$173, 0,FALSE), IFERROR(VLOOKUP($A728,'Telstra ExDa'!$B$2:$K$310, 0,FALSE), IFERROR(VLOOKUP($A728,'Vocus RVC ExDa'!$C$2:$R$155, 0,FALSE), IFERROR(VLOOKUP($A728,'Fusion ExDa'!$B$2:$D$16, 0,FALSE), IFERROR(VLOOKUP($A728,'Exetel ExDa'!$C$2:$N$14, 11,FALSE), IFERROR(VLOOKUP($A728,'Infinet ExDa'!$B$2:$E$14, 0,FALSE), "Not Found"))))))))</f>
        <v>Not Found</v>
      </c>
      <c r="N728" t="str">
        <f>IFERROR(VLOOKUP($A728,'AAPT ExDa'!$B$2:$U$99, 0,FALSE), IFERROR(VLOOKUP($A728,'ABB ExDa'!$A$2:$N$184, 13,FALSE), IFERROR(VLOOKUP($A728,'Vocus SIT ExDa'!$B$2:$J$173, 0,FALSE), IFERROR(VLOOKUP($A728,'Telstra ExDa'!$B$2:$K$310, 0,FALSE), IFERROR(VLOOKUP($A728,'Vocus RVC ExDa'!$C$2:$R$155, 0,FALSE), IFERROR(VLOOKUP($A728,'Fusion ExDa'!$B$2:$D$16, 0,FALSE), IFERROR(VLOOKUP($A728,'Exetel ExDa'!$C$2:$N$14, 0,FALSE), IFERROR(VLOOKUP($A728,'Infinet ExDa'!$B$2:$E$14, 0,FALSE), "Not Found"))))))))</f>
        <v>Not Found</v>
      </c>
    </row>
    <row r="729" spans="1:14">
      <c r="A729" t="str">
        <v>Zambrero Innaloo</v>
      </c>
      <c r="B729" t="str">
        <f>IFERROR(VLOOKUP(A729,'Exetel ExDa'!$C$2:$N$14,4,FALSE),"No Data")</f>
        <v>No Data</v>
      </c>
      <c r="C729" t="str">
        <f>IFERROR(VLOOKUP(A729,'AAPT ExDa'!$B$2:$U$99, 2,FALSE), IFERROR(VLOOKUP(A729,'ABB ExDa'!$A$2:$N$184, 2,FALSE), IFERROR(VLOOKUP(A729,'Vocus SIT ExDa'!$B$2:$J$173, 7,FALSE), IFERROR(VLOOKUP(A729,'Telstra ExDa'!$B$2:$K$310, 2,FALSE), IFERROR(VLOOKUP(A729,'Vocus RVC ExDa'!$C$2:$R$155, 3,FALSE), IFERROR(VLOOKUP(A729,'Fusion ExDa'!$B$2:$D$16, 2,FALSE), IFERROR(VLOOKUP(A729,'Exetel ExDa'!$C$2:$N$14, 2,FALSE), IFERROR(VLOOKUP(A729,'Infinet ExDa'!$B$2:$E$14, 2,FALSE), "Not Found"))))))))</f>
        <v>SHOP 5, 377 SCARBOROUGH BEACH RD, INNALOO WA 6018</v>
      </c>
      <c r="D729" t="str">
        <f>IFERROR(VLOOKUP($A729,'AAPT ExDa'!$B$2:$U$99, 15,FALSE), IFERROR(VLOOKUP($A729,'ABB ExDa'!$A$2:$N$184, 4,FALSE), IFERROR(VLOOKUP($A729,'Vocus SIT ExDa'!$B$2:$J$173, 5,FALSE), IFERROR(VLOOKUP($A729,'Telstra ExDa'!$B$2:$K$310, 8,FALSE), IFERROR(VLOOKUP($A729,'Vocus RVC ExDa'!$C$2:$R$155, 6,FALSE), IFERROR(VLOOKUP($A729,'Fusion ExDa'!$B$2:$D$16, 4,FALSE), IFERROR(VLOOKUP($A729,'Exetel ExDa'!$C$2:$N$14, 3,FALSE), IFERROR(VLOOKUP($A729,'Infinet ExDa'!$B$2:$E$14, 3,FALSE), "Not Found"))))))))</f>
        <v>Telstra</v>
      </c>
      <c r="E729" t="str">
        <f>IFERROR(VLOOKUP($A729,'AAPT ExDa'!$B$2:$U$99, 3,FALSE), IFERROR(VLOOKUP($A729,'ABB ExDa'!$A$2:$N$184, 5,FALSE), IFERROR(VLOOKUP($A729,'Vocus SIT ExDa'!$B$2:$J$173, 2,FALSE), IFERROR(VLOOKUP($A729,'Telstra ExDa'!$B$2:$K$310, 4,FALSE), IFERROR(VLOOKUP($A729,'Vocus RVC ExDa'!$C$2:$R$155, 8,FALSE), IFERROR(VLOOKUP($A729,'Fusion ExDa'!$B$2:$D$16, 4,FALSE), IFERROR(VLOOKUP($A729,'Exetel ExDa'!$C$2:$N$14, 5,FALSE), IFERROR(VLOOKUP($A729,'Infinet ExDa'!$B$2:$E$14, 3,FALSE), "Not Found"))))))))</f>
        <v>Internet and Data 7453795190</v>
      </c>
      <c r="F729" t="str">
        <f>IFERROR(VLOOKUP($A729,'AAPT ExDa'!$B$2:$U$99, 4,FALSE), IFERROR(VLOOKUP($A729,'ABB ExDa'!$A$2:$N$184, 6,FALSE), IFERROR(VLOOKUP($A729,'Vocus SIT ExDa'!$B$2:$J$173, 3,FALSE), IFERROR(VLOOKUP($A729,'Telstra ExDa'!$B$2:$K$310, 5,FALSE), IFERROR(VLOOKUP($A729,'Vocus RVC ExDa'!$C$2:$R$155, 9,FALSE), IFERROR(VLOOKUP($A729,'Fusion ExDa'!$B$2:$D$16, 0,FALSE), IFERROR(VLOOKUP($A729,'Exetel ExDa'!$C$2:$N$14, 6,FALSE), IFERROR(VLOOKUP($A729,'Infinet ExDa'!$B$2:$E$14, 0,FALSE), "Not Found"))))))))</f>
        <v>zambreroinnaloo@bigpond.com</v>
      </c>
      <c r="G729" t="str">
        <f>IFERROR(VLOOKUP($A729,'AAPT ExDa'!$B$2:$U$99, 5,FALSE), IFERROR(VLOOKUP($A729,'ABB ExDa'!$A$2:$N$184, 8,FALSE), IFERROR(VLOOKUP($A729,'Vocus SIT ExDa'!$B$2:$J$173, 6,FALSE), IFERROR(VLOOKUP($A729,'Telstra ExDa'!$B$2:$K$310, 0,FALSE), IFERROR(VLOOKUP($A729,'Vocus RVC ExDa'!$C$2:$R$155, 15,FALSE), IFERROR(VLOOKUP($A729,'Fusion ExDa'!$B$2:$D$16, 0,FALSE), IFERROR(VLOOKUP($A729,'Exetel ExDa'!$C$2:$N$14, 7,FALSE), IFERROR(VLOOKUP($A729,'Infinet ExDa'!$B$2:$E$14, 0,FALSE), "Not Found"))))))))</f>
        <v>Not Found</v>
      </c>
      <c r="H729" t="str">
        <f>IFERROR(VLOOKUP($A729,'AAPT ExDa'!$B$2:$U$99, 6,FALSE), IFERROR(VLOOKUP($A729,'ABB ExDa'!$A$2:$N$184, 0,FALSE), IFERROR(VLOOKUP($A729,'Vocus SIT ExDa'!$B$2:$J$173, 0,FALSE), IFERROR(VLOOKUP($A729,'Telstra ExDa'!$B$2:$K$310, 0,FALSE), IFERROR(VLOOKUP($A729,'Vocus RVC ExDa'!$C$2:$R$155, 16,FALSE), IFERROR(VLOOKUP($A729,'Fusion ExDa'!$B$2:$D$16, 0,FALSE), IFERROR(VLOOKUP($A729,'Exetel ExDa'!$C$2:$N$14, 0,FALSE), IFERROR(VLOOKUP($A729,'Infinet ExDa'!$B$2:$E$14, 0,FALSE), "Not Found"))))))))</f>
        <v>Not Found</v>
      </c>
      <c r="I729" t="str">
        <f>IFERROR(VLOOKUP($A729,'AAPT ExDa'!$B$2:$U$99, 0,FALSE), IFERROR(VLOOKUP($A729,'ABB ExDa'!$A$2:$N$184, 0,FALSE), IFERROR(VLOOKUP($A729,'Vocus SIT ExDa'!$B$2:$J$173, 0,FALSE), IFERROR(VLOOKUP($A729,'Telstra ExDa'!$B$2:$K$310, 0,FALSE), IFERROR(VLOOKUP($A729,'Vocus RVC ExDa'!$C$2:$R$155, 0,FALSE), IFERROR(VLOOKUP($A729,'Fusion ExDa'!$B$2:$D$16, 0,FALSE), IFERROR(VLOOKUP($A729,'Exetel ExDa'!$C$2:$N$14, 8,FALSE), IFERROR(VLOOKUP($A729,'Infinet ExDa'!$B$2:$E$14, 0,FALSE), "Not Found"))))))))</f>
        <v>Not Found</v>
      </c>
      <c r="J729">
        <f>IFERROR(VLOOKUP($A729,'AAPT ExDa'!$B$2:$U$99, 7,FALSE), IFERROR(VLOOKUP($A729,'ABB ExDa'!$A$2:$N$184, 2,FALSE), IFERROR(VLOOKUP($A729,'Vocus SIT ExDa'!$B$2:$J$173, 0,FALSE), IFERROR(VLOOKUP($A729,'Telstra ExDa'!$B$2:$K$310, 7,FALSE), IFERROR(VLOOKUP($A729,'Vocus RVC ExDa'!$C$2:$R$155, 2,FALSE), IFERROR(VLOOKUP($A729,'Fusion ExDa'!$B$2:$D$16, 3,FALSE), IFERROR(VLOOKUP($A729,'Exetel ExDa'!$C$2:$N$14, 0,FALSE), IFERROR(VLOOKUP($A729,'Infinet ExDa'!$B$2:$E$14, 0,FALSE), "Not Found"))))))))</f>
        <v>0</v>
      </c>
      <c r="K729" t="str">
        <f>IFERROR(VLOOKUP($A729,'AAPT ExDa'!$B$2:$U$99, 12,FALSE), IFERROR(VLOOKUP($A729,'ABB ExDa'!$A$2:$N$184, 0,FALSE), IFERROR(VLOOKUP($A729,'Vocus SIT ExDa'!$B$2:$J$173, 0,FALSE), IFERROR(VLOOKUP($A729,'Telstra ExDa'!$B$2:$K$310, 0,FALSE), IFERROR(VLOOKUP($A729,'Vocus RVC ExDa'!$C$2:$R$155, 0,FALSE), IFERROR(VLOOKUP($A729,'Fusion ExDa'!$B$2:$D$16, 0,FALSE), IFERROR(VLOOKUP($A729,'Exetel ExDa'!$C$2:$N$14, 12,FALSE), IFERROR(VLOOKUP($A729,'Infinet ExDa'!$B$2:$E$14, 0,FALSE), "Not Found"))))))))</f>
        <v>Not Found</v>
      </c>
      <c r="L729" s="235" t="str">
        <f>IFERROR(VLOOKUP($A729,'AAPT ExDa'!$B$2:$U$99, 11,FALSE), IFERROR(VLOOKUP($A729,'ABB ExDa'!$A$2:$N$184, 9,FALSE), IFERROR(VLOOKUP($A729,'Vocus SIT ExDa'!$B$2:$J$173, 8,FALSE), IFERROR(VLOOKUP($A729,'Telstra ExDa'!$B$2:$K$310, 0,FALSE), IFERROR(VLOOKUP($A729,'Vocus RVC ExDa'!$C$2:$R$155, 0,FALSE), IFERROR(VLOOKUP($A729,'Fusion ExDa'!$B$2:$D$16, 0,FALSE), IFERROR(VLOOKUP($A729,'Exetel ExDa'!$C$2:$N$14, 9,FALSE), IFERROR(VLOOKUP($A729,'Infinet ExDa'!$B$2:$E$14, 0,FALSE), "Not Found"))))))))</f>
        <v>Not Found</v>
      </c>
      <c r="M729" s="234" t="str">
        <f>IFERROR(VLOOKUP($A729,'AAPT ExDa'!$B$2:$U$99, 0,FALSE), IFERROR(VLOOKUP($A729,'ABB ExDa'!$A$2:$N$184, 0,FALSE), IFERROR(VLOOKUP($A729,'Vocus SIT ExDa'!$B$2:$J$173, 0,FALSE), IFERROR(VLOOKUP($A729,'Telstra ExDa'!$B$2:$K$310, 0,FALSE), IFERROR(VLOOKUP($A729,'Vocus RVC ExDa'!$C$2:$R$155, 0,FALSE), IFERROR(VLOOKUP($A729,'Fusion ExDa'!$B$2:$D$16, 0,FALSE), IFERROR(VLOOKUP($A729,'Exetel ExDa'!$C$2:$N$14, 11,FALSE), IFERROR(VLOOKUP($A729,'Infinet ExDa'!$B$2:$E$14, 0,FALSE), "Not Found"))))))))</f>
        <v>Not Found</v>
      </c>
      <c r="N729" t="str">
        <f>IFERROR(VLOOKUP($A729,'AAPT ExDa'!$B$2:$U$99, 0,FALSE), IFERROR(VLOOKUP($A729,'ABB ExDa'!$A$2:$N$184, 13,FALSE), IFERROR(VLOOKUP($A729,'Vocus SIT ExDa'!$B$2:$J$173, 0,FALSE), IFERROR(VLOOKUP($A729,'Telstra ExDa'!$B$2:$K$310, 0,FALSE), IFERROR(VLOOKUP($A729,'Vocus RVC ExDa'!$C$2:$R$155, 0,FALSE), IFERROR(VLOOKUP($A729,'Fusion ExDa'!$B$2:$D$16, 0,FALSE), IFERROR(VLOOKUP($A729,'Exetel ExDa'!$C$2:$N$14, 0,FALSE), IFERROR(VLOOKUP($A729,'Infinet ExDa'!$B$2:$E$14, 0,FALSE), "Not Found"))))))))</f>
        <v>Not Found</v>
      </c>
    </row>
    <row r="730" spans="1:14">
      <c r="A730" t="str">
        <v>Zambrero Coopers Plains</v>
      </c>
      <c r="B730" t="str">
        <f>IFERROR(VLOOKUP(A730,'Exetel ExDa'!$C$2:$N$14,4,FALSE),"No Data")</f>
        <v>No Data</v>
      </c>
      <c r="C730" t="str">
        <f>IFERROR(VLOOKUP(A730,'AAPT ExDa'!$B$2:$U$99, 2,FALSE), IFERROR(VLOOKUP(A730,'ABB ExDa'!$A$2:$N$184, 2,FALSE), IFERROR(VLOOKUP(A730,'Vocus SIT ExDa'!$B$2:$J$173, 7,FALSE), IFERROR(VLOOKUP(A730,'Telstra ExDa'!$B$2:$K$310, 2,FALSE), IFERROR(VLOOKUP(A730,'Vocus RVC ExDa'!$C$2:$R$155, 3,FALSE), IFERROR(VLOOKUP(A730,'Fusion ExDa'!$B$2:$D$16, 2,FALSE), IFERROR(VLOOKUP(A730,'Exetel ExDa'!$C$2:$N$14, 2,FALSE), IFERROR(VLOOKUP(A730,'Infinet ExDa'!$B$2:$E$14, 2,FALSE), "Not Found"))))))))</f>
        <v>SHOP 2, 19 KESSELS RD, SALISBURY QLD 4107</v>
      </c>
      <c r="D730" t="str">
        <f>IFERROR(VLOOKUP($A730,'AAPT ExDa'!$B$2:$U$99, 15,FALSE), IFERROR(VLOOKUP($A730,'ABB ExDa'!$A$2:$N$184, 4,FALSE), IFERROR(VLOOKUP($A730,'Vocus SIT ExDa'!$B$2:$J$173, 5,FALSE), IFERROR(VLOOKUP($A730,'Telstra ExDa'!$B$2:$K$310, 8,FALSE), IFERROR(VLOOKUP($A730,'Vocus RVC ExDa'!$C$2:$R$155, 6,FALSE), IFERROR(VLOOKUP($A730,'Fusion ExDa'!$B$2:$D$16, 4,FALSE), IFERROR(VLOOKUP($A730,'Exetel ExDa'!$C$2:$N$14, 3,FALSE), IFERROR(VLOOKUP($A730,'Infinet ExDa'!$B$2:$E$14, 3,FALSE), "Not Found"))))))))</f>
        <v>Telstra</v>
      </c>
      <c r="E730" t="str">
        <f>IFERROR(VLOOKUP($A730,'AAPT ExDa'!$B$2:$U$99, 3,FALSE), IFERROR(VLOOKUP($A730,'ABB ExDa'!$A$2:$N$184, 5,FALSE), IFERROR(VLOOKUP($A730,'Vocus SIT ExDa'!$B$2:$J$173, 2,FALSE), IFERROR(VLOOKUP($A730,'Telstra ExDa'!$B$2:$K$310, 4,FALSE), IFERROR(VLOOKUP($A730,'Vocus RVC ExDa'!$C$2:$R$155, 8,FALSE), IFERROR(VLOOKUP($A730,'Fusion ExDa'!$B$2:$D$16, 4,FALSE), IFERROR(VLOOKUP($A730,'Exetel ExDa'!$C$2:$N$14, 5,FALSE), IFERROR(VLOOKUP($A730,'Infinet ExDa'!$B$2:$E$14, 3,FALSE), "Not Found"))))))))</f>
        <v>Internet and Data 7455483190</v>
      </c>
      <c r="F730" t="str">
        <f>IFERROR(VLOOKUP($A730,'AAPT ExDa'!$B$2:$U$99, 4,FALSE), IFERROR(VLOOKUP($A730,'ABB ExDa'!$A$2:$N$184, 6,FALSE), IFERROR(VLOOKUP($A730,'Vocus SIT ExDa'!$B$2:$J$173, 3,FALSE), IFERROR(VLOOKUP($A730,'Telstra ExDa'!$B$2:$K$310, 5,FALSE), IFERROR(VLOOKUP($A730,'Vocus RVC ExDa'!$C$2:$R$155, 9,FALSE), IFERROR(VLOOKUP($A730,'Fusion ExDa'!$B$2:$D$16, 0,FALSE), IFERROR(VLOOKUP($A730,'Exetel ExDa'!$C$2:$N$14, 6,FALSE), IFERROR(VLOOKUP($A730,'Infinet ExDa'!$B$2:$E$14, 0,FALSE), "Not Found"))))))))</f>
        <v>zambrerocoopers@bigpond.com</v>
      </c>
      <c r="G730" t="str">
        <f>IFERROR(VLOOKUP($A730,'AAPT ExDa'!$B$2:$U$99, 5,FALSE), IFERROR(VLOOKUP($A730,'ABB ExDa'!$A$2:$N$184, 8,FALSE), IFERROR(VLOOKUP($A730,'Vocus SIT ExDa'!$B$2:$J$173, 6,FALSE), IFERROR(VLOOKUP($A730,'Telstra ExDa'!$B$2:$K$310, 0,FALSE), IFERROR(VLOOKUP($A730,'Vocus RVC ExDa'!$C$2:$R$155, 15,FALSE), IFERROR(VLOOKUP($A730,'Fusion ExDa'!$B$2:$D$16, 0,FALSE), IFERROR(VLOOKUP($A730,'Exetel ExDa'!$C$2:$N$14, 7,FALSE), IFERROR(VLOOKUP($A730,'Infinet ExDa'!$B$2:$E$14, 0,FALSE), "Not Found"))))))))</f>
        <v>Not Found</v>
      </c>
      <c r="H730" t="str">
        <f>IFERROR(VLOOKUP($A730,'AAPT ExDa'!$B$2:$U$99, 6,FALSE), IFERROR(VLOOKUP($A730,'ABB ExDa'!$A$2:$N$184, 0,FALSE), IFERROR(VLOOKUP($A730,'Vocus SIT ExDa'!$B$2:$J$173, 0,FALSE), IFERROR(VLOOKUP($A730,'Telstra ExDa'!$B$2:$K$310, 0,FALSE), IFERROR(VLOOKUP($A730,'Vocus RVC ExDa'!$C$2:$R$155, 16,FALSE), IFERROR(VLOOKUP($A730,'Fusion ExDa'!$B$2:$D$16, 0,FALSE), IFERROR(VLOOKUP($A730,'Exetel ExDa'!$C$2:$N$14, 0,FALSE), IFERROR(VLOOKUP($A730,'Infinet ExDa'!$B$2:$E$14, 0,FALSE), "Not Found"))))))))</f>
        <v>Not Found</v>
      </c>
      <c r="I730" t="str">
        <f>IFERROR(VLOOKUP($A730,'AAPT ExDa'!$B$2:$U$99, 0,FALSE), IFERROR(VLOOKUP($A730,'ABB ExDa'!$A$2:$N$184, 0,FALSE), IFERROR(VLOOKUP($A730,'Vocus SIT ExDa'!$B$2:$J$173, 0,FALSE), IFERROR(VLOOKUP($A730,'Telstra ExDa'!$B$2:$K$310, 0,FALSE), IFERROR(VLOOKUP($A730,'Vocus RVC ExDa'!$C$2:$R$155, 0,FALSE), IFERROR(VLOOKUP($A730,'Fusion ExDa'!$B$2:$D$16, 0,FALSE), IFERROR(VLOOKUP($A730,'Exetel ExDa'!$C$2:$N$14, 8,FALSE), IFERROR(VLOOKUP($A730,'Infinet ExDa'!$B$2:$E$14, 0,FALSE), "Not Found"))))))))</f>
        <v>Not Found</v>
      </c>
      <c r="J730">
        <f>IFERROR(VLOOKUP($A730,'AAPT ExDa'!$B$2:$U$99, 7,FALSE), IFERROR(VLOOKUP($A730,'ABB ExDa'!$A$2:$N$184, 2,FALSE), IFERROR(VLOOKUP($A730,'Vocus SIT ExDa'!$B$2:$J$173, 0,FALSE), IFERROR(VLOOKUP($A730,'Telstra ExDa'!$B$2:$K$310, 7,FALSE), IFERROR(VLOOKUP($A730,'Vocus RVC ExDa'!$C$2:$R$155, 2,FALSE), IFERROR(VLOOKUP($A730,'Fusion ExDa'!$B$2:$D$16, 3,FALSE), IFERROR(VLOOKUP($A730,'Exetel ExDa'!$C$2:$N$14, 0,FALSE), IFERROR(VLOOKUP($A730,'Infinet ExDa'!$B$2:$E$14, 0,FALSE), "Not Found"))))))))</f>
        <v>0</v>
      </c>
      <c r="K730" t="str">
        <f>IFERROR(VLOOKUP($A730,'AAPT ExDa'!$B$2:$U$99, 12,FALSE), IFERROR(VLOOKUP($A730,'ABB ExDa'!$A$2:$N$184, 0,FALSE), IFERROR(VLOOKUP($A730,'Vocus SIT ExDa'!$B$2:$J$173, 0,FALSE), IFERROR(VLOOKUP($A730,'Telstra ExDa'!$B$2:$K$310, 0,FALSE), IFERROR(VLOOKUP($A730,'Vocus RVC ExDa'!$C$2:$R$155, 0,FALSE), IFERROR(VLOOKUP($A730,'Fusion ExDa'!$B$2:$D$16, 0,FALSE), IFERROR(VLOOKUP($A730,'Exetel ExDa'!$C$2:$N$14, 12,FALSE), IFERROR(VLOOKUP($A730,'Infinet ExDa'!$B$2:$E$14, 0,FALSE), "Not Found"))))))))</f>
        <v>Not Found</v>
      </c>
      <c r="L730" s="235" t="str">
        <f>IFERROR(VLOOKUP($A730,'AAPT ExDa'!$B$2:$U$99, 11,FALSE), IFERROR(VLOOKUP($A730,'ABB ExDa'!$A$2:$N$184, 9,FALSE), IFERROR(VLOOKUP($A730,'Vocus SIT ExDa'!$B$2:$J$173, 8,FALSE), IFERROR(VLOOKUP($A730,'Telstra ExDa'!$B$2:$K$310, 0,FALSE), IFERROR(VLOOKUP($A730,'Vocus RVC ExDa'!$C$2:$R$155, 0,FALSE), IFERROR(VLOOKUP($A730,'Fusion ExDa'!$B$2:$D$16, 0,FALSE), IFERROR(VLOOKUP($A730,'Exetel ExDa'!$C$2:$N$14, 9,FALSE), IFERROR(VLOOKUP($A730,'Infinet ExDa'!$B$2:$E$14, 0,FALSE), "Not Found"))))))))</f>
        <v>Not Found</v>
      </c>
      <c r="M730" s="234" t="str">
        <f>IFERROR(VLOOKUP($A730,'AAPT ExDa'!$B$2:$U$99, 0,FALSE), IFERROR(VLOOKUP($A730,'ABB ExDa'!$A$2:$N$184, 0,FALSE), IFERROR(VLOOKUP($A730,'Vocus SIT ExDa'!$B$2:$J$173, 0,FALSE), IFERROR(VLOOKUP($A730,'Telstra ExDa'!$B$2:$K$310, 0,FALSE), IFERROR(VLOOKUP($A730,'Vocus RVC ExDa'!$C$2:$R$155, 0,FALSE), IFERROR(VLOOKUP($A730,'Fusion ExDa'!$B$2:$D$16, 0,FALSE), IFERROR(VLOOKUP($A730,'Exetel ExDa'!$C$2:$N$14, 11,FALSE), IFERROR(VLOOKUP($A730,'Infinet ExDa'!$B$2:$E$14, 0,FALSE), "Not Found"))))))))</f>
        <v>Not Found</v>
      </c>
      <c r="N730" t="str">
        <f>IFERROR(VLOOKUP($A730,'AAPT ExDa'!$B$2:$U$99, 0,FALSE), IFERROR(VLOOKUP($A730,'ABB ExDa'!$A$2:$N$184, 13,FALSE), IFERROR(VLOOKUP($A730,'Vocus SIT ExDa'!$B$2:$J$173, 0,FALSE), IFERROR(VLOOKUP($A730,'Telstra ExDa'!$B$2:$K$310, 0,FALSE), IFERROR(VLOOKUP($A730,'Vocus RVC ExDa'!$C$2:$R$155, 0,FALSE), IFERROR(VLOOKUP($A730,'Fusion ExDa'!$B$2:$D$16, 0,FALSE), IFERROR(VLOOKUP($A730,'Exetel ExDa'!$C$2:$N$14, 0,FALSE), IFERROR(VLOOKUP($A730,'Infinet ExDa'!$B$2:$E$14, 0,FALSE), "Not Found"))))))))</f>
        <v>Not Found</v>
      </c>
    </row>
    <row r="731" spans="1:14">
      <c r="A731" t="str">
        <v>Zambrero Geraldton</v>
      </c>
      <c r="B731" t="str">
        <f>IFERROR(VLOOKUP(A731,'Exetel ExDa'!$C$2:$N$14,4,FALSE),"No Data")</f>
        <v>No Data</v>
      </c>
      <c r="C731" t="str">
        <f>IFERROR(VLOOKUP(A731,'AAPT ExDa'!$B$2:$U$99, 2,FALSE), IFERROR(VLOOKUP(A731,'ABB ExDa'!$A$2:$N$184, 2,FALSE), IFERROR(VLOOKUP(A731,'Vocus SIT ExDa'!$B$2:$J$173, 7,FALSE), IFERROR(VLOOKUP(A731,'Telstra ExDa'!$B$2:$K$310, 2,FALSE), IFERROR(VLOOKUP(A731,'Vocus RVC ExDa'!$C$2:$R$155, 3,FALSE), IFERROR(VLOOKUP(A731,'Fusion ExDa'!$B$2:$D$16, 2,FALSE), IFERROR(VLOOKUP(A731,'Exetel ExDa'!$C$2:$N$14, 2,FALSE), IFERROR(VLOOKUP(A731,'Infinet ExDa'!$B$2:$E$14, 2,FALSE), "Not Found"))))))))</f>
        <v>SHOP 26 GROUND / GROUND FLOOR BUILDING 1 
NORTHGATE SHOPPING CENTRE 110 CHAPMAN ROAD , 
GERALDTON , WA 6530 Australia</v>
      </c>
      <c r="D731" t="str">
        <f>IFERROR(VLOOKUP($A731,'AAPT ExDa'!$B$2:$U$99, 15,FALSE), IFERROR(VLOOKUP($A731,'ABB ExDa'!$A$2:$N$184, 4,FALSE), IFERROR(VLOOKUP($A731,'Vocus SIT ExDa'!$B$2:$J$173, 5,FALSE), IFERROR(VLOOKUP($A731,'Telstra ExDa'!$B$2:$K$310, 8,FALSE), IFERROR(VLOOKUP($A731,'Vocus RVC ExDa'!$C$2:$R$155, 6,FALSE), IFERROR(VLOOKUP($A731,'Fusion ExDa'!$B$2:$D$16, 4,FALSE), IFERROR(VLOOKUP($A731,'Exetel ExDa'!$C$2:$N$14, 3,FALSE), IFERROR(VLOOKUP($A731,'Infinet ExDa'!$B$2:$E$14, 3,FALSE), "Not Found"))))))))</f>
        <v>Telstra</v>
      </c>
      <c r="E731" t="str">
        <f>IFERROR(VLOOKUP($A731,'AAPT ExDa'!$B$2:$U$99, 3,FALSE), IFERROR(VLOOKUP($A731,'ABB ExDa'!$A$2:$N$184, 5,FALSE), IFERROR(VLOOKUP($A731,'Vocus SIT ExDa'!$B$2:$J$173, 2,FALSE), IFERROR(VLOOKUP($A731,'Telstra ExDa'!$B$2:$K$310, 4,FALSE), IFERROR(VLOOKUP($A731,'Vocus RVC ExDa'!$C$2:$R$155, 8,FALSE), IFERROR(VLOOKUP($A731,'Fusion ExDa'!$B$2:$D$16, 4,FALSE), IFERROR(VLOOKUP($A731,'Exetel ExDa'!$C$2:$N$14, 5,FALSE), IFERROR(VLOOKUP($A731,'Infinet ExDa'!$B$2:$E$14, 3,FALSE), "Not Found"))))))))</f>
        <v>Internet and Data 7457621880</v>
      </c>
      <c r="F731" t="str">
        <f>IFERROR(VLOOKUP($A731,'AAPT ExDa'!$B$2:$U$99, 4,FALSE), IFERROR(VLOOKUP($A731,'ABB ExDa'!$A$2:$N$184, 6,FALSE), IFERROR(VLOOKUP($A731,'Vocus SIT ExDa'!$B$2:$J$173, 3,FALSE), IFERROR(VLOOKUP($A731,'Telstra ExDa'!$B$2:$K$310, 5,FALSE), IFERROR(VLOOKUP($A731,'Vocus RVC ExDa'!$C$2:$R$155, 9,FALSE), IFERROR(VLOOKUP($A731,'Fusion ExDa'!$B$2:$D$16, 0,FALSE), IFERROR(VLOOKUP($A731,'Exetel ExDa'!$C$2:$N$14, 6,FALSE), IFERROR(VLOOKUP($A731,'Infinet ExDa'!$B$2:$E$14, 0,FALSE), "Not Found"))))))))</f>
        <v>amageraldton@bigpond.com</v>
      </c>
      <c r="G731" t="str">
        <f>IFERROR(VLOOKUP($A731,'AAPT ExDa'!$B$2:$U$99, 5,FALSE), IFERROR(VLOOKUP($A731,'ABB ExDa'!$A$2:$N$184, 8,FALSE), IFERROR(VLOOKUP($A731,'Vocus SIT ExDa'!$B$2:$J$173, 6,FALSE), IFERROR(VLOOKUP($A731,'Telstra ExDa'!$B$2:$K$310, 0,FALSE), IFERROR(VLOOKUP($A731,'Vocus RVC ExDa'!$C$2:$R$155, 15,FALSE), IFERROR(VLOOKUP($A731,'Fusion ExDa'!$B$2:$D$16, 0,FALSE), IFERROR(VLOOKUP($A731,'Exetel ExDa'!$C$2:$N$14, 7,FALSE), IFERROR(VLOOKUP($A731,'Infinet ExDa'!$B$2:$E$14, 0,FALSE), "Not Found"))))))))</f>
        <v>Not Found</v>
      </c>
      <c r="H731" t="str">
        <f>IFERROR(VLOOKUP($A731,'AAPT ExDa'!$B$2:$U$99, 6,FALSE), IFERROR(VLOOKUP($A731,'ABB ExDa'!$A$2:$N$184, 0,FALSE), IFERROR(VLOOKUP($A731,'Vocus SIT ExDa'!$B$2:$J$173, 0,FALSE), IFERROR(VLOOKUP($A731,'Telstra ExDa'!$B$2:$K$310, 0,FALSE), IFERROR(VLOOKUP($A731,'Vocus RVC ExDa'!$C$2:$R$155, 16,FALSE), IFERROR(VLOOKUP($A731,'Fusion ExDa'!$B$2:$D$16, 0,FALSE), IFERROR(VLOOKUP($A731,'Exetel ExDa'!$C$2:$N$14, 0,FALSE), IFERROR(VLOOKUP($A731,'Infinet ExDa'!$B$2:$E$14, 0,FALSE), "Not Found"))))))))</f>
        <v>Not Found</v>
      </c>
      <c r="I731" t="str">
        <f>IFERROR(VLOOKUP($A731,'AAPT ExDa'!$B$2:$U$99, 0,FALSE), IFERROR(VLOOKUP($A731,'ABB ExDa'!$A$2:$N$184, 0,FALSE), IFERROR(VLOOKUP($A731,'Vocus SIT ExDa'!$B$2:$J$173, 0,FALSE), IFERROR(VLOOKUP($A731,'Telstra ExDa'!$B$2:$K$310, 0,FALSE), IFERROR(VLOOKUP($A731,'Vocus RVC ExDa'!$C$2:$R$155, 0,FALSE), IFERROR(VLOOKUP($A731,'Fusion ExDa'!$B$2:$D$16, 0,FALSE), IFERROR(VLOOKUP($A731,'Exetel ExDa'!$C$2:$N$14, 8,FALSE), IFERROR(VLOOKUP($A731,'Infinet ExDa'!$B$2:$E$14, 0,FALSE), "Not Found"))))))))</f>
        <v>Not Found</v>
      </c>
      <c r="J731">
        <f>IFERROR(VLOOKUP($A731,'AAPT ExDa'!$B$2:$U$99, 7,FALSE), IFERROR(VLOOKUP($A731,'ABB ExDa'!$A$2:$N$184, 2,FALSE), IFERROR(VLOOKUP($A731,'Vocus SIT ExDa'!$B$2:$J$173, 0,FALSE), IFERROR(VLOOKUP($A731,'Telstra ExDa'!$B$2:$K$310, 7,FALSE), IFERROR(VLOOKUP($A731,'Vocus RVC ExDa'!$C$2:$R$155, 2,FALSE), IFERROR(VLOOKUP($A731,'Fusion ExDa'!$B$2:$D$16, 3,FALSE), IFERROR(VLOOKUP($A731,'Exetel ExDa'!$C$2:$N$14, 0,FALSE), IFERROR(VLOOKUP($A731,'Infinet ExDa'!$B$2:$E$14, 0,FALSE), "Not Found"))))))))</f>
        <v>0</v>
      </c>
      <c r="K731" t="str">
        <f>IFERROR(VLOOKUP($A731,'AAPT ExDa'!$B$2:$U$99, 12,FALSE), IFERROR(VLOOKUP($A731,'ABB ExDa'!$A$2:$N$184, 0,FALSE), IFERROR(VLOOKUP($A731,'Vocus SIT ExDa'!$B$2:$J$173, 0,FALSE), IFERROR(VLOOKUP($A731,'Telstra ExDa'!$B$2:$K$310, 0,FALSE), IFERROR(VLOOKUP($A731,'Vocus RVC ExDa'!$C$2:$R$155, 0,FALSE), IFERROR(VLOOKUP($A731,'Fusion ExDa'!$B$2:$D$16, 0,FALSE), IFERROR(VLOOKUP($A731,'Exetel ExDa'!$C$2:$N$14, 12,FALSE), IFERROR(VLOOKUP($A731,'Infinet ExDa'!$B$2:$E$14, 0,FALSE), "Not Found"))))))))</f>
        <v>Not Found</v>
      </c>
      <c r="L731" s="235" t="str">
        <f>IFERROR(VLOOKUP($A731,'AAPT ExDa'!$B$2:$U$99, 11,FALSE), IFERROR(VLOOKUP($A731,'ABB ExDa'!$A$2:$N$184, 9,FALSE), IFERROR(VLOOKUP($A731,'Vocus SIT ExDa'!$B$2:$J$173, 8,FALSE), IFERROR(VLOOKUP($A731,'Telstra ExDa'!$B$2:$K$310, 0,FALSE), IFERROR(VLOOKUP($A731,'Vocus RVC ExDa'!$C$2:$R$155, 0,FALSE), IFERROR(VLOOKUP($A731,'Fusion ExDa'!$B$2:$D$16, 0,FALSE), IFERROR(VLOOKUP($A731,'Exetel ExDa'!$C$2:$N$14, 9,FALSE), IFERROR(VLOOKUP($A731,'Infinet ExDa'!$B$2:$E$14, 0,FALSE), "Not Found"))))))))</f>
        <v>Not Found</v>
      </c>
      <c r="M731" s="234" t="str">
        <f>IFERROR(VLOOKUP($A731,'AAPT ExDa'!$B$2:$U$99, 0,FALSE), IFERROR(VLOOKUP($A731,'ABB ExDa'!$A$2:$N$184, 0,FALSE), IFERROR(VLOOKUP($A731,'Vocus SIT ExDa'!$B$2:$J$173, 0,FALSE), IFERROR(VLOOKUP($A731,'Telstra ExDa'!$B$2:$K$310, 0,FALSE), IFERROR(VLOOKUP($A731,'Vocus RVC ExDa'!$C$2:$R$155, 0,FALSE), IFERROR(VLOOKUP($A731,'Fusion ExDa'!$B$2:$D$16, 0,FALSE), IFERROR(VLOOKUP($A731,'Exetel ExDa'!$C$2:$N$14, 11,FALSE), IFERROR(VLOOKUP($A731,'Infinet ExDa'!$B$2:$E$14, 0,FALSE), "Not Found"))))))))</f>
        <v>Not Found</v>
      </c>
      <c r="N731" t="str">
        <f>IFERROR(VLOOKUP($A731,'AAPT ExDa'!$B$2:$U$99, 0,FALSE), IFERROR(VLOOKUP($A731,'ABB ExDa'!$A$2:$N$184, 13,FALSE), IFERROR(VLOOKUP($A731,'Vocus SIT ExDa'!$B$2:$J$173, 0,FALSE), IFERROR(VLOOKUP($A731,'Telstra ExDa'!$B$2:$K$310, 0,FALSE), IFERROR(VLOOKUP($A731,'Vocus RVC ExDa'!$C$2:$R$155, 0,FALSE), IFERROR(VLOOKUP($A731,'Fusion ExDa'!$B$2:$D$16, 0,FALSE), IFERROR(VLOOKUP($A731,'Exetel ExDa'!$C$2:$N$14, 0,FALSE), IFERROR(VLOOKUP($A731,'Infinet ExDa'!$B$2:$E$14, 0,FALSE), "Not Found"))))))))</f>
        <v>Not Found</v>
      </c>
    </row>
    <row r="732" spans="1:14">
      <c r="A732" t="str">
        <v>Zambrero Trinity</v>
      </c>
      <c r="B732" t="str">
        <f>IFERROR(VLOOKUP(A732,'Exetel ExDa'!$C$2:$N$14,4,FALSE),"No Data")</f>
        <v>No Data</v>
      </c>
      <c r="C732" t="str">
        <f>IFERROR(VLOOKUP(A732,'AAPT ExDa'!$B$2:$U$99, 2,FALSE), IFERROR(VLOOKUP(A732,'ABB ExDa'!$A$2:$N$184, 2,FALSE), IFERROR(VLOOKUP(A732,'Vocus SIT ExDa'!$B$2:$J$173, 7,FALSE), IFERROR(VLOOKUP(A732,'Telstra ExDa'!$B$2:$K$310, 2,FALSE), IFERROR(VLOOKUP(A732,'Vocus RVC ExDa'!$C$2:$R$155, 3,FALSE), IFERROR(VLOOKUP(A732,'Fusion ExDa'!$B$2:$D$16, 2,FALSE), IFERROR(VLOOKUP(A732,'Exetel ExDa'!$C$2:$N$14, 2,FALSE), IFERROR(VLOOKUP(A732,'Infinet ExDa'!$B$2:$E$14, 2,FALSE), "Not Found"))))))))</f>
        <v>Trinity Arcade, 72 St Georges Terrace, Perth WA 6000</v>
      </c>
      <c r="D732" t="str">
        <f>IFERROR(VLOOKUP($A732,'AAPT ExDa'!$B$2:$U$99, 15,FALSE), IFERROR(VLOOKUP($A732,'ABB ExDa'!$A$2:$N$184, 4,FALSE), IFERROR(VLOOKUP($A732,'Vocus SIT ExDa'!$B$2:$J$173, 5,FALSE), IFERROR(VLOOKUP($A732,'Telstra ExDa'!$B$2:$K$310, 8,FALSE), IFERROR(VLOOKUP($A732,'Vocus RVC ExDa'!$C$2:$R$155, 6,FALSE), IFERROR(VLOOKUP($A732,'Fusion ExDa'!$B$2:$D$16, 4,FALSE), IFERROR(VLOOKUP($A732,'Exetel ExDa'!$C$2:$N$14, 3,FALSE), IFERROR(VLOOKUP($A732,'Infinet ExDa'!$B$2:$E$14, 3,FALSE), "Not Found"))))))))</f>
        <v>Telstra</v>
      </c>
      <c r="E732" t="str">
        <f>IFERROR(VLOOKUP($A732,'AAPT ExDa'!$B$2:$U$99, 3,FALSE), IFERROR(VLOOKUP($A732,'ABB ExDa'!$A$2:$N$184, 5,FALSE), IFERROR(VLOOKUP($A732,'Vocus SIT ExDa'!$B$2:$J$173, 2,FALSE), IFERROR(VLOOKUP($A732,'Telstra ExDa'!$B$2:$K$310, 4,FALSE), IFERROR(VLOOKUP($A732,'Vocus RVC ExDa'!$C$2:$R$155, 8,FALSE), IFERROR(VLOOKUP($A732,'Fusion ExDa'!$B$2:$D$16, 4,FALSE), IFERROR(VLOOKUP($A732,'Exetel ExDa'!$C$2:$N$14, 5,FALSE), IFERROR(VLOOKUP($A732,'Infinet ExDa'!$B$2:$E$14, 3,FALSE), "Not Found"))))))))</f>
        <v>Internet and Data 7853745780</v>
      </c>
      <c r="F732" t="str">
        <f>IFERROR(VLOOKUP($A732,'AAPT ExDa'!$B$2:$U$99, 4,FALSE), IFERROR(VLOOKUP($A732,'ABB ExDa'!$A$2:$N$184, 6,FALSE), IFERROR(VLOOKUP($A732,'Vocus SIT ExDa'!$B$2:$J$173, 3,FALSE), IFERROR(VLOOKUP($A732,'Telstra ExDa'!$B$2:$K$310, 5,FALSE), IFERROR(VLOOKUP($A732,'Vocus RVC ExDa'!$C$2:$R$155, 9,FALSE), IFERROR(VLOOKUP($A732,'Fusion ExDa'!$B$2:$D$16, 0,FALSE), IFERROR(VLOOKUP($A732,'Exetel ExDa'!$C$2:$N$14, 6,FALSE), IFERROR(VLOOKUP($A732,'Infinet ExDa'!$B$2:$E$14, 0,FALSE), "Not Found"))))))))</f>
        <v>zambrerotrinity@bigpond.com</v>
      </c>
      <c r="G732" t="str">
        <f>IFERROR(VLOOKUP($A732,'AAPT ExDa'!$B$2:$U$99, 5,FALSE), IFERROR(VLOOKUP($A732,'ABB ExDa'!$A$2:$N$184, 8,FALSE), IFERROR(VLOOKUP($A732,'Vocus SIT ExDa'!$B$2:$J$173, 6,FALSE), IFERROR(VLOOKUP($A732,'Telstra ExDa'!$B$2:$K$310, 0,FALSE), IFERROR(VLOOKUP($A732,'Vocus RVC ExDa'!$C$2:$R$155, 15,FALSE), IFERROR(VLOOKUP($A732,'Fusion ExDa'!$B$2:$D$16, 0,FALSE), IFERROR(VLOOKUP($A732,'Exetel ExDa'!$C$2:$N$14, 7,FALSE), IFERROR(VLOOKUP($A732,'Infinet ExDa'!$B$2:$E$14, 0,FALSE), "Not Found"))))))))</f>
        <v>Not Found</v>
      </c>
      <c r="H732" t="str">
        <f>IFERROR(VLOOKUP($A732,'AAPT ExDa'!$B$2:$U$99, 6,FALSE), IFERROR(VLOOKUP($A732,'ABB ExDa'!$A$2:$N$184, 0,FALSE), IFERROR(VLOOKUP($A732,'Vocus SIT ExDa'!$B$2:$J$173, 0,FALSE), IFERROR(VLOOKUP($A732,'Telstra ExDa'!$B$2:$K$310, 0,FALSE), IFERROR(VLOOKUP($A732,'Vocus RVC ExDa'!$C$2:$R$155, 16,FALSE), IFERROR(VLOOKUP($A732,'Fusion ExDa'!$B$2:$D$16, 0,FALSE), IFERROR(VLOOKUP($A732,'Exetel ExDa'!$C$2:$N$14, 0,FALSE), IFERROR(VLOOKUP($A732,'Infinet ExDa'!$B$2:$E$14, 0,FALSE), "Not Found"))))))))</f>
        <v>Not Found</v>
      </c>
      <c r="I732" t="str">
        <f>IFERROR(VLOOKUP($A732,'AAPT ExDa'!$B$2:$U$99, 0,FALSE), IFERROR(VLOOKUP($A732,'ABB ExDa'!$A$2:$N$184, 0,FALSE), IFERROR(VLOOKUP($A732,'Vocus SIT ExDa'!$B$2:$J$173, 0,FALSE), IFERROR(VLOOKUP($A732,'Telstra ExDa'!$B$2:$K$310, 0,FALSE), IFERROR(VLOOKUP($A732,'Vocus RVC ExDa'!$C$2:$R$155, 0,FALSE), IFERROR(VLOOKUP($A732,'Fusion ExDa'!$B$2:$D$16, 0,FALSE), IFERROR(VLOOKUP($A732,'Exetel ExDa'!$C$2:$N$14, 8,FALSE), IFERROR(VLOOKUP($A732,'Infinet ExDa'!$B$2:$E$14, 0,FALSE), "Not Found"))))))))</f>
        <v>Not Found</v>
      </c>
      <c r="J732">
        <f>IFERROR(VLOOKUP($A732,'AAPT ExDa'!$B$2:$U$99, 7,FALSE), IFERROR(VLOOKUP($A732,'ABB ExDa'!$A$2:$N$184, 2,FALSE), IFERROR(VLOOKUP($A732,'Vocus SIT ExDa'!$B$2:$J$173, 0,FALSE), IFERROR(VLOOKUP($A732,'Telstra ExDa'!$B$2:$K$310, 7,FALSE), IFERROR(VLOOKUP($A732,'Vocus RVC ExDa'!$C$2:$R$155, 2,FALSE), IFERROR(VLOOKUP($A732,'Fusion ExDa'!$B$2:$D$16, 3,FALSE), IFERROR(VLOOKUP($A732,'Exetel ExDa'!$C$2:$N$14, 0,FALSE), IFERROR(VLOOKUP($A732,'Infinet ExDa'!$B$2:$E$14, 0,FALSE), "Not Found"))))))))</f>
        <v>0</v>
      </c>
      <c r="K732" t="str">
        <f>IFERROR(VLOOKUP($A732,'AAPT ExDa'!$B$2:$U$99, 12,FALSE), IFERROR(VLOOKUP($A732,'ABB ExDa'!$A$2:$N$184, 0,FALSE), IFERROR(VLOOKUP($A732,'Vocus SIT ExDa'!$B$2:$J$173, 0,FALSE), IFERROR(VLOOKUP($A732,'Telstra ExDa'!$B$2:$K$310, 0,FALSE), IFERROR(VLOOKUP($A732,'Vocus RVC ExDa'!$C$2:$R$155, 0,FALSE), IFERROR(VLOOKUP($A732,'Fusion ExDa'!$B$2:$D$16, 0,FALSE), IFERROR(VLOOKUP($A732,'Exetel ExDa'!$C$2:$N$14, 12,FALSE), IFERROR(VLOOKUP($A732,'Infinet ExDa'!$B$2:$E$14, 0,FALSE), "Not Found"))))))))</f>
        <v>Not Found</v>
      </c>
      <c r="L732" s="235" t="str">
        <f>IFERROR(VLOOKUP($A732,'AAPT ExDa'!$B$2:$U$99, 11,FALSE), IFERROR(VLOOKUP($A732,'ABB ExDa'!$A$2:$N$184, 9,FALSE), IFERROR(VLOOKUP($A732,'Vocus SIT ExDa'!$B$2:$J$173, 8,FALSE), IFERROR(VLOOKUP($A732,'Telstra ExDa'!$B$2:$K$310, 0,FALSE), IFERROR(VLOOKUP($A732,'Vocus RVC ExDa'!$C$2:$R$155, 0,FALSE), IFERROR(VLOOKUP($A732,'Fusion ExDa'!$B$2:$D$16, 0,FALSE), IFERROR(VLOOKUP($A732,'Exetel ExDa'!$C$2:$N$14, 9,FALSE), IFERROR(VLOOKUP($A732,'Infinet ExDa'!$B$2:$E$14, 0,FALSE), "Not Found"))))))))</f>
        <v>Not Found</v>
      </c>
      <c r="M732" s="234" t="str">
        <f>IFERROR(VLOOKUP($A732,'AAPT ExDa'!$B$2:$U$99, 0,FALSE), IFERROR(VLOOKUP($A732,'ABB ExDa'!$A$2:$N$184, 0,FALSE), IFERROR(VLOOKUP($A732,'Vocus SIT ExDa'!$B$2:$J$173, 0,FALSE), IFERROR(VLOOKUP($A732,'Telstra ExDa'!$B$2:$K$310, 0,FALSE), IFERROR(VLOOKUP($A732,'Vocus RVC ExDa'!$C$2:$R$155, 0,FALSE), IFERROR(VLOOKUP($A732,'Fusion ExDa'!$B$2:$D$16, 0,FALSE), IFERROR(VLOOKUP($A732,'Exetel ExDa'!$C$2:$N$14, 11,FALSE), IFERROR(VLOOKUP($A732,'Infinet ExDa'!$B$2:$E$14, 0,FALSE), "Not Found"))))))))</f>
        <v>Not Found</v>
      </c>
      <c r="N732" t="str">
        <f>IFERROR(VLOOKUP($A732,'AAPT ExDa'!$B$2:$U$99, 0,FALSE), IFERROR(VLOOKUP($A732,'ABB ExDa'!$A$2:$N$184, 13,FALSE), IFERROR(VLOOKUP($A732,'Vocus SIT ExDa'!$B$2:$J$173, 0,FALSE), IFERROR(VLOOKUP($A732,'Telstra ExDa'!$B$2:$K$310, 0,FALSE), IFERROR(VLOOKUP($A732,'Vocus RVC ExDa'!$C$2:$R$155, 0,FALSE), IFERROR(VLOOKUP($A732,'Fusion ExDa'!$B$2:$D$16, 0,FALSE), IFERROR(VLOOKUP($A732,'Exetel ExDa'!$C$2:$N$14, 0,FALSE), IFERROR(VLOOKUP($A732,'Infinet ExDa'!$B$2:$E$14, 0,FALSE), "Not Found"))))))))</f>
        <v>Not Found</v>
      </c>
    </row>
    <row r="733" spans="1:14">
      <c r="A733" t="str">
        <v>Poppy G's Burgers</v>
      </c>
      <c r="B733" t="str">
        <f>IFERROR(VLOOKUP(A733,'Exetel ExDa'!$C$2:$N$14,4,FALSE),"No Data")</f>
        <v>No Data</v>
      </c>
      <c r="C733" t="str">
        <f>IFERROR(VLOOKUP(A733,'AAPT ExDa'!$B$2:$U$99, 2,FALSE), IFERROR(VLOOKUP(A733,'ABB ExDa'!$A$2:$N$184, 2,FALSE), IFERROR(VLOOKUP(A733,'Vocus SIT ExDa'!$B$2:$J$173, 7,FALSE), IFERROR(VLOOKUP(A733,'Telstra ExDa'!$B$2:$K$310, 2,FALSE), IFERROR(VLOOKUP(A733,'Vocus RVC ExDa'!$C$2:$R$155, 3,FALSE), IFERROR(VLOOKUP(A733,'Fusion ExDa'!$B$2:$D$16, 2,FALSE), IFERROR(VLOOKUP(A733,'Exetel ExDa'!$C$2:$N$14, 2,FALSE), IFERROR(VLOOKUP(A733,'Infinet ExDa'!$B$2:$E$14, 2,FALSE), "Not Found"))))))))</f>
        <v>Unit B 2/16A Lloyd St,, Midland, WA 6056</v>
      </c>
      <c r="D733" t="str">
        <f>IFERROR(VLOOKUP($A733,'AAPT ExDa'!$B$2:$U$99, 15,FALSE), IFERROR(VLOOKUP($A733,'ABB ExDa'!$A$2:$N$184, 4,FALSE), IFERROR(VLOOKUP($A733,'Vocus SIT ExDa'!$B$2:$J$173, 5,FALSE), IFERROR(VLOOKUP($A733,'Telstra ExDa'!$B$2:$K$310, 8,FALSE), IFERROR(VLOOKUP($A733,'Vocus RVC ExDa'!$C$2:$R$155, 6,FALSE), IFERROR(VLOOKUP($A733,'Fusion ExDa'!$B$2:$D$16, 4,FALSE), IFERROR(VLOOKUP($A733,'Exetel ExDa'!$C$2:$N$14, 3,FALSE), IFERROR(VLOOKUP($A733,'Infinet ExDa'!$B$2:$E$14, 3,FALSE), "Not Found"))))))))</f>
        <v>Telstra</v>
      </c>
      <c r="E733" t="str">
        <f>IFERROR(VLOOKUP($A733,'AAPT ExDa'!$B$2:$U$99, 3,FALSE), IFERROR(VLOOKUP($A733,'ABB ExDa'!$A$2:$N$184, 5,FALSE), IFERROR(VLOOKUP($A733,'Vocus SIT ExDa'!$B$2:$J$173, 2,FALSE), IFERROR(VLOOKUP($A733,'Telstra ExDa'!$B$2:$K$310, 4,FALSE), IFERROR(VLOOKUP($A733,'Vocus RVC ExDa'!$C$2:$R$155, 8,FALSE), IFERROR(VLOOKUP($A733,'Fusion ExDa'!$B$2:$D$16, 4,FALSE), IFERROR(VLOOKUP($A733,'Exetel ExDa'!$C$2:$N$14, 5,FALSE), IFERROR(VLOOKUP($A733,'Infinet ExDa'!$B$2:$E$14, 3,FALSE), "Not Found"))))))))</f>
        <v>Internet and Data 7890661680</v>
      </c>
      <c r="F733" t="str">
        <f>IFERROR(VLOOKUP($A733,'AAPT ExDa'!$B$2:$U$99, 4,FALSE), IFERROR(VLOOKUP($A733,'ABB ExDa'!$A$2:$N$184, 6,FALSE), IFERROR(VLOOKUP($A733,'Vocus SIT ExDa'!$B$2:$J$173, 3,FALSE), IFERROR(VLOOKUP($A733,'Telstra ExDa'!$B$2:$K$310, 5,FALSE), IFERROR(VLOOKUP($A733,'Vocus RVC ExDa'!$C$2:$R$155, 9,FALSE), IFERROR(VLOOKUP($A733,'Fusion ExDa'!$B$2:$D$16, 0,FALSE), IFERROR(VLOOKUP($A733,'Exetel ExDa'!$C$2:$N$14, 6,FALSE), IFERROR(VLOOKUP($A733,'Infinet ExDa'!$B$2:$E$14, 0,FALSE), "Not Found"))))))))</f>
        <v>poppygsburgers@bigpond.com</v>
      </c>
      <c r="G733" t="str">
        <f>IFERROR(VLOOKUP($A733,'AAPT ExDa'!$B$2:$U$99, 5,FALSE), IFERROR(VLOOKUP($A733,'ABB ExDa'!$A$2:$N$184, 8,FALSE), IFERROR(VLOOKUP($A733,'Vocus SIT ExDa'!$B$2:$J$173, 6,FALSE), IFERROR(VLOOKUP($A733,'Telstra ExDa'!$B$2:$K$310, 0,FALSE), IFERROR(VLOOKUP($A733,'Vocus RVC ExDa'!$C$2:$R$155, 15,FALSE), IFERROR(VLOOKUP($A733,'Fusion ExDa'!$B$2:$D$16, 0,FALSE), IFERROR(VLOOKUP($A733,'Exetel ExDa'!$C$2:$N$14, 7,FALSE), IFERROR(VLOOKUP($A733,'Infinet ExDa'!$B$2:$E$14, 0,FALSE), "Not Found"))))))))</f>
        <v>Not Found</v>
      </c>
      <c r="H733" t="str">
        <f>IFERROR(VLOOKUP($A733,'AAPT ExDa'!$B$2:$U$99, 6,FALSE), IFERROR(VLOOKUP($A733,'ABB ExDa'!$A$2:$N$184, 0,FALSE), IFERROR(VLOOKUP($A733,'Vocus SIT ExDa'!$B$2:$J$173, 0,FALSE), IFERROR(VLOOKUP($A733,'Telstra ExDa'!$B$2:$K$310, 0,FALSE), IFERROR(VLOOKUP($A733,'Vocus RVC ExDa'!$C$2:$R$155, 16,FALSE), IFERROR(VLOOKUP($A733,'Fusion ExDa'!$B$2:$D$16, 0,FALSE), IFERROR(VLOOKUP($A733,'Exetel ExDa'!$C$2:$N$14, 0,FALSE), IFERROR(VLOOKUP($A733,'Infinet ExDa'!$B$2:$E$14, 0,FALSE), "Not Found"))))))))</f>
        <v>Not Found</v>
      </c>
      <c r="I733" t="str">
        <f>IFERROR(VLOOKUP($A733,'AAPT ExDa'!$B$2:$U$99, 0,FALSE), IFERROR(VLOOKUP($A733,'ABB ExDa'!$A$2:$N$184, 0,FALSE), IFERROR(VLOOKUP($A733,'Vocus SIT ExDa'!$B$2:$J$173, 0,FALSE), IFERROR(VLOOKUP($A733,'Telstra ExDa'!$B$2:$K$310, 0,FALSE), IFERROR(VLOOKUP($A733,'Vocus RVC ExDa'!$C$2:$R$155, 0,FALSE), IFERROR(VLOOKUP($A733,'Fusion ExDa'!$B$2:$D$16, 0,FALSE), IFERROR(VLOOKUP($A733,'Exetel ExDa'!$C$2:$N$14, 8,FALSE), IFERROR(VLOOKUP($A733,'Infinet ExDa'!$B$2:$E$14, 0,FALSE), "Not Found"))))))))</f>
        <v>Not Found</v>
      </c>
      <c r="J733">
        <f>IFERROR(VLOOKUP($A733,'AAPT ExDa'!$B$2:$U$99, 7,FALSE), IFERROR(VLOOKUP($A733,'ABB ExDa'!$A$2:$N$184, 2,FALSE), IFERROR(VLOOKUP($A733,'Vocus SIT ExDa'!$B$2:$J$173, 0,FALSE), IFERROR(VLOOKUP($A733,'Telstra ExDa'!$B$2:$K$310, 7,FALSE), IFERROR(VLOOKUP($A733,'Vocus RVC ExDa'!$C$2:$R$155, 2,FALSE), IFERROR(VLOOKUP($A733,'Fusion ExDa'!$B$2:$D$16, 3,FALSE), IFERROR(VLOOKUP($A733,'Exetel ExDa'!$C$2:$N$14, 0,FALSE), IFERROR(VLOOKUP($A733,'Infinet ExDa'!$B$2:$E$14, 0,FALSE), "Not Found"))))))))</f>
        <v>0</v>
      </c>
      <c r="K733" t="str">
        <f>IFERROR(VLOOKUP($A733,'AAPT ExDa'!$B$2:$U$99, 12,FALSE), IFERROR(VLOOKUP($A733,'ABB ExDa'!$A$2:$N$184, 0,FALSE), IFERROR(VLOOKUP($A733,'Vocus SIT ExDa'!$B$2:$J$173, 0,FALSE), IFERROR(VLOOKUP($A733,'Telstra ExDa'!$B$2:$K$310, 0,FALSE), IFERROR(VLOOKUP($A733,'Vocus RVC ExDa'!$C$2:$R$155, 0,FALSE), IFERROR(VLOOKUP($A733,'Fusion ExDa'!$B$2:$D$16, 0,FALSE), IFERROR(VLOOKUP($A733,'Exetel ExDa'!$C$2:$N$14, 12,FALSE), IFERROR(VLOOKUP($A733,'Infinet ExDa'!$B$2:$E$14, 0,FALSE), "Not Found"))))))))</f>
        <v>Not Found</v>
      </c>
      <c r="L733" s="235" t="str">
        <f>IFERROR(VLOOKUP($A733,'AAPT ExDa'!$B$2:$U$99, 11,FALSE), IFERROR(VLOOKUP($A733,'ABB ExDa'!$A$2:$N$184, 9,FALSE), IFERROR(VLOOKUP($A733,'Vocus SIT ExDa'!$B$2:$J$173, 8,FALSE), IFERROR(VLOOKUP($A733,'Telstra ExDa'!$B$2:$K$310, 0,FALSE), IFERROR(VLOOKUP($A733,'Vocus RVC ExDa'!$C$2:$R$155, 0,FALSE), IFERROR(VLOOKUP($A733,'Fusion ExDa'!$B$2:$D$16, 0,FALSE), IFERROR(VLOOKUP($A733,'Exetel ExDa'!$C$2:$N$14, 9,FALSE), IFERROR(VLOOKUP($A733,'Infinet ExDa'!$B$2:$E$14, 0,FALSE), "Not Found"))))))))</f>
        <v>Not Found</v>
      </c>
      <c r="M733" s="234" t="str">
        <f>IFERROR(VLOOKUP($A733,'AAPT ExDa'!$B$2:$U$99, 0,FALSE), IFERROR(VLOOKUP($A733,'ABB ExDa'!$A$2:$N$184, 0,FALSE), IFERROR(VLOOKUP($A733,'Vocus SIT ExDa'!$B$2:$J$173, 0,FALSE), IFERROR(VLOOKUP($A733,'Telstra ExDa'!$B$2:$K$310, 0,FALSE), IFERROR(VLOOKUP($A733,'Vocus RVC ExDa'!$C$2:$R$155, 0,FALSE), IFERROR(VLOOKUP($A733,'Fusion ExDa'!$B$2:$D$16, 0,FALSE), IFERROR(VLOOKUP($A733,'Exetel ExDa'!$C$2:$N$14, 11,FALSE), IFERROR(VLOOKUP($A733,'Infinet ExDa'!$B$2:$E$14, 0,FALSE), "Not Found"))))))))</f>
        <v>Not Found</v>
      </c>
      <c r="N733" t="str">
        <f>IFERROR(VLOOKUP($A733,'AAPT ExDa'!$B$2:$U$99, 0,FALSE), IFERROR(VLOOKUP($A733,'ABB ExDa'!$A$2:$N$184, 13,FALSE), IFERROR(VLOOKUP($A733,'Vocus SIT ExDa'!$B$2:$J$173, 0,FALSE), IFERROR(VLOOKUP($A733,'Telstra ExDa'!$B$2:$K$310, 0,FALSE), IFERROR(VLOOKUP($A733,'Vocus RVC ExDa'!$C$2:$R$155, 0,FALSE), IFERROR(VLOOKUP($A733,'Fusion ExDa'!$B$2:$D$16, 0,FALSE), IFERROR(VLOOKUP($A733,'Exetel ExDa'!$C$2:$N$14, 0,FALSE), IFERROR(VLOOKUP($A733,'Infinet ExDa'!$B$2:$E$14, 0,FALSE), "Not Found"))))))))</f>
        <v>Not Found</v>
      </c>
    </row>
    <row r="734" spans="1:14">
      <c r="A734" t="str">
        <v>The Yiros Shop Jindalee</v>
      </c>
      <c r="B734" t="str">
        <f>IFERROR(VLOOKUP(A734,'Exetel ExDa'!$C$2:$N$14,4,FALSE),"No Data")</f>
        <v>No Data</v>
      </c>
      <c r="C734" t="str">
        <f>IFERROR(VLOOKUP(A734,'AAPT ExDa'!$B$2:$U$99, 2,FALSE), IFERROR(VLOOKUP(A734,'ABB ExDa'!$A$2:$N$184, 2,FALSE), IFERROR(VLOOKUP(A734,'Vocus SIT ExDa'!$B$2:$J$173, 7,FALSE), IFERROR(VLOOKUP(A734,'Telstra ExDa'!$B$2:$K$310, 2,FALSE), IFERROR(VLOOKUP(A734,'Vocus RVC ExDa'!$C$2:$R$155, 3,FALSE), IFERROR(VLOOKUP(A734,'Fusion ExDa'!$B$2:$D$16, 2,FALSE), IFERROR(VLOOKUP(A734,'Exetel ExDa'!$C$2:$N$14, 2,FALSE), IFERROR(VLOOKUP(A734,'Infinet ExDa'!$B$2:$E$14, 2,FALSE), "Not Found"))))))))</f>
        <v>SHOP 47, 16 AMAZONS PL, JINDALEE QLD</v>
      </c>
      <c r="D734" t="str">
        <f>IFERROR(VLOOKUP($A734,'AAPT ExDa'!$B$2:$U$99, 15,FALSE), IFERROR(VLOOKUP($A734,'ABB ExDa'!$A$2:$N$184, 4,FALSE), IFERROR(VLOOKUP($A734,'Vocus SIT ExDa'!$B$2:$J$173, 5,FALSE), IFERROR(VLOOKUP($A734,'Telstra ExDa'!$B$2:$K$310, 8,FALSE), IFERROR(VLOOKUP($A734,'Vocus RVC ExDa'!$C$2:$R$155, 6,FALSE), IFERROR(VLOOKUP($A734,'Fusion ExDa'!$B$2:$D$16, 4,FALSE), IFERROR(VLOOKUP($A734,'Exetel ExDa'!$C$2:$N$14, 3,FALSE), IFERROR(VLOOKUP($A734,'Infinet ExDa'!$B$2:$E$14, 3,FALSE), "Not Found"))))))))</f>
        <v>ABB</v>
      </c>
      <c r="E734" t="str">
        <f>IFERROR(VLOOKUP($A734,'AAPT ExDa'!$B$2:$U$99, 3,FALSE), IFERROR(VLOOKUP($A734,'ABB ExDa'!$A$2:$N$184, 5,FALSE), IFERROR(VLOOKUP($A734,'Vocus SIT ExDa'!$B$2:$J$173, 2,FALSE), IFERROR(VLOOKUP($A734,'Telstra ExDa'!$B$2:$K$310, 4,FALSE), IFERROR(VLOOKUP($A734,'Vocus RVC ExDa'!$C$2:$R$155, 8,FALSE), IFERROR(VLOOKUP($A734,'Fusion ExDa'!$B$2:$D$16, 4,FALSE), IFERROR(VLOOKUP($A734,'Exetel ExDa'!$C$2:$N$14, 5,FALSE), IFERROR(VLOOKUP($A734,'Infinet ExDa'!$B$2:$E$14, 3,FALSE), "Not Found"))))))))</f>
        <v>NBN 25/10</v>
      </c>
      <c r="F734" t="str">
        <f>IFERROR(VLOOKUP($A734,'AAPT ExDa'!$B$2:$U$99, 4,FALSE), IFERROR(VLOOKUP($A734,'ABB ExDa'!$A$2:$N$184, 6,FALSE), IFERROR(VLOOKUP($A734,'Vocus SIT ExDa'!$B$2:$J$173, 3,FALSE), IFERROR(VLOOKUP($A734,'Telstra ExDa'!$B$2:$K$310, 5,FALSE), IFERROR(VLOOKUP($A734,'Vocus RVC ExDa'!$C$2:$R$155, 9,FALSE), IFERROR(VLOOKUP($A734,'Fusion ExDa'!$B$2:$D$16, 0,FALSE), IFERROR(VLOOKUP($A734,'Exetel ExDa'!$C$2:$N$14, 6,FALSE), IFERROR(VLOOKUP($A734,'Infinet ExDa'!$B$2:$E$14, 0,FALSE), "Not Found"))))))))</f>
        <v>FTTN</v>
      </c>
      <c r="G734" t="str">
        <f>IFERROR(VLOOKUP($A734,'AAPT ExDa'!$B$2:$U$99, 5,FALSE), IFERROR(VLOOKUP($A734,'ABB ExDa'!$A$2:$N$184, 8,FALSE), IFERROR(VLOOKUP($A734,'Vocus SIT ExDa'!$B$2:$J$173, 6,FALSE), IFERROR(VLOOKUP($A734,'Telstra ExDa'!$B$2:$K$310, 0,FALSE), IFERROR(VLOOKUP($A734,'Vocus RVC ExDa'!$C$2:$R$155, 15,FALSE), IFERROR(VLOOKUP($A734,'Fusion ExDa'!$B$2:$D$16, 0,FALSE), IFERROR(VLOOKUP($A734,'Exetel ExDa'!$C$2:$N$14, 7,FALSE), IFERROR(VLOOKUP($A734,'Infinet ExDa'!$B$2:$E$14, 0,FALSE), "Not Found"))))))))</f>
        <v>180.181.208.243</v>
      </c>
      <c r="H734">
        <f>IFERROR(VLOOKUP($A734,'AAPT ExDa'!$B$2:$U$99, 6,FALSE), IFERROR(VLOOKUP($A734,'ABB ExDa'!$A$2:$N$184, 0,FALSE), IFERROR(VLOOKUP($A734,'Vocus SIT ExDa'!$B$2:$J$173, 0,FALSE), IFERROR(VLOOKUP($A734,'Telstra ExDa'!$B$2:$K$310, 0,FALSE), IFERROR(VLOOKUP($A734,'Vocus RVC ExDa'!$C$2:$R$155, 16,FALSE), IFERROR(VLOOKUP($A734,'Fusion ExDa'!$B$2:$D$16, 0,FALSE), IFERROR(VLOOKUP($A734,'Exetel ExDa'!$C$2:$N$14, 0,FALSE), IFERROR(VLOOKUP($A734,'Infinet ExDa'!$B$2:$E$14, 0,FALSE), "Not Found"))))))))</f>
        <v>0</v>
      </c>
      <c r="I734" t="str">
        <f>IFERROR(VLOOKUP($A734,'AAPT ExDa'!$B$2:$U$99, 0,FALSE), IFERROR(VLOOKUP($A734,'ABB ExDa'!$A$2:$N$184, 0,FALSE), IFERROR(VLOOKUP($A734,'Vocus SIT ExDa'!$B$2:$J$173, 0,FALSE), IFERROR(VLOOKUP($A734,'Telstra ExDa'!$B$2:$K$310, 0,FALSE), IFERROR(VLOOKUP($A734,'Vocus RVC ExDa'!$C$2:$R$155, 0,FALSE), IFERROR(VLOOKUP($A734,'Fusion ExDa'!$B$2:$D$16, 0,FALSE), IFERROR(VLOOKUP($A734,'Exetel ExDa'!$C$2:$N$14, 8,FALSE), IFERROR(VLOOKUP($A734,'Infinet ExDa'!$B$2:$E$14, 0,FALSE), "Not Found"))))))))</f>
        <v>Not Found</v>
      </c>
      <c r="J734" t="str">
        <f>IFERROR(VLOOKUP($A734,'AAPT ExDa'!$B$2:$U$99, 7,FALSE), IFERROR(VLOOKUP($A734,'ABB ExDa'!$A$2:$N$184, 2,FALSE), IFERROR(VLOOKUP($A734,'Vocus SIT ExDa'!$B$2:$J$173, 0,FALSE), IFERROR(VLOOKUP($A734,'Telstra ExDa'!$B$2:$K$310, 7,FALSE), IFERROR(VLOOKUP($A734,'Vocus RVC ExDa'!$C$2:$R$155, 2,FALSE), IFERROR(VLOOKUP($A734,'Fusion ExDa'!$B$2:$D$16, 3,FALSE), IFERROR(VLOOKUP($A734,'Exetel ExDa'!$C$2:$N$14, 0,FALSE), IFERROR(VLOOKUP($A734,'Infinet ExDa'!$B$2:$E$14, 0,FALSE), "Not Found"))))))))</f>
        <v>SHOP 47, 16 AMAZONS PL, JINDALEE QLD</v>
      </c>
      <c r="K734" t="str">
        <f>IFERROR(VLOOKUP($A734,'AAPT ExDa'!$B$2:$U$99, 12,FALSE), IFERROR(VLOOKUP($A734,'ABB ExDa'!$A$2:$N$184, 0,FALSE), IFERROR(VLOOKUP($A734,'Vocus SIT ExDa'!$B$2:$J$173, 0,FALSE), IFERROR(VLOOKUP($A734,'Telstra ExDa'!$B$2:$K$310, 0,FALSE), IFERROR(VLOOKUP($A734,'Vocus RVC ExDa'!$C$2:$R$155, 0,FALSE), IFERROR(VLOOKUP($A734,'Fusion ExDa'!$B$2:$D$16, 0,FALSE), IFERROR(VLOOKUP($A734,'Exetel ExDa'!$C$2:$N$14, 12,FALSE), IFERROR(VLOOKUP($A734,'Infinet ExDa'!$B$2:$E$14, 0,FALSE), "Not Found"))))))))</f>
        <v>Not Found</v>
      </c>
      <c r="L734" s="235" t="str">
        <f>IFERROR(VLOOKUP($A734,'AAPT ExDa'!$B$2:$U$99, 11,FALSE), IFERROR(VLOOKUP($A734,'ABB ExDa'!$A$2:$N$184, 9,FALSE), IFERROR(VLOOKUP($A734,'Vocus SIT ExDa'!$B$2:$J$173, 8,FALSE), IFERROR(VLOOKUP($A734,'Telstra ExDa'!$B$2:$K$310, 0,FALSE), IFERROR(VLOOKUP($A734,'Vocus RVC ExDa'!$C$2:$R$155, 0,FALSE), IFERROR(VLOOKUP($A734,'Fusion ExDa'!$B$2:$D$16, 0,FALSE), IFERROR(VLOOKUP($A734,'Exetel ExDa'!$C$2:$N$14, 9,FALSE), IFERROR(VLOOKUP($A734,'Infinet ExDa'!$B$2:$E$14, 0,FALSE), "Not Found"))))))))</f>
        <v>20 May2025</v>
      </c>
      <c r="M734" s="234" t="str">
        <f>IFERROR(VLOOKUP($A734,'AAPT ExDa'!$B$2:$U$99, 0,FALSE), IFERROR(VLOOKUP($A734,'ABB ExDa'!$A$2:$N$184, 0,FALSE), IFERROR(VLOOKUP($A734,'Vocus SIT ExDa'!$B$2:$J$173, 0,FALSE), IFERROR(VLOOKUP($A734,'Telstra ExDa'!$B$2:$K$310, 0,FALSE), IFERROR(VLOOKUP($A734,'Vocus RVC ExDa'!$C$2:$R$155, 0,FALSE), IFERROR(VLOOKUP($A734,'Fusion ExDa'!$B$2:$D$16, 0,FALSE), IFERROR(VLOOKUP($A734,'Exetel ExDa'!$C$2:$N$14, 11,FALSE), IFERROR(VLOOKUP($A734,'Infinet ExDa'!$B$2:$E$14, 0,FALSE), "Not Found"))))))))</f>
        <v>Not Found</v>
      </c>
      <c r="N734" t="str">
        <f>IFERROR(VLOOKUP($A734,'AAPT ExDa'!$B$2:$U$99, 0,FALSE), IFERROR(VLOOKUP($A734,'ABB ExDa'!$A$2:$N$184, 13,FALSE), IFERROR(VLOOKUP($A734,'Vocus SIT ExDa'!$B$2:$J$173, 0,FALSE), IFERROR(VLOOKUP($A734,'Telstra ExDa'!$B$2:$K$310, 0,FALSE), IFERROR(VLOOKUP($A734,'Vocus RVC ExDa'!$C$2:$R$155, 0,FALSE), IFERROR(VLOOKUP($A734,'Fusion ExDa'!$B$2:$D$16, 0,FALSE), IFERROR(VLOOKUP($A734,'Exetel ExDa'!$C$2:$N$14, 0,FALSE), IFERROR(VLOOKUP($A734,'Infinet ExDa'!$B$2:$E$14, 0,FALSE), "Not Found"))))))))</f>
        <v>Onebill</v>
      </c>
    </row>
    <row r="735" spans="1:14">
      <c r="A735" t="str">
        <v>Zambrero Eaton Fair</v>
      </c>
      <c r="B735" t="str">
        <f>IFERROR(VLOOKUP(A735,'Exetel ExDa'!$C$2:$N$14,4,FALSE),"No Data")</f>
        <v>No Data</v>
      </c>
      <c r="C735" t="str">
        <f>IFERROR(VLOOKUP(A735,'AAPT ExDa'!$B$2:$U$99, 2,FALSE), IFERROR(VLOOKUP(A735,'ABB ExDa'!$A$2:$N$184, 2,FALSE), IFERROR(VLOOKUP(A735,'Vocus SIT ExDa'!$B$2:$J$173, 7,FALSE), IFERROR(VLOOKUP(A735,'Telstra ExDa'!$B$2:$K$310, 2,FALSE), IFERROR(VLOOKUP(A735,'Vocus RVC ExDa'!$C$2:$R$155, 3,FALSE), IFERROR(VLOOKUP(A735,'Fusion ExDa'!$B$2:$D$16, 2,FALSE), IFERROR(VLOOKUP(A735,'Exetel ExDa'!$C$2:$N$14, 2,FALSE), IFERROR(VLOOKUP(A735,'Infinet ExDa'!$B$2:$E$14, 2,FALSE), "Not Found"))))))))</f>
        <v>Shop T62 Eaton Fair Shopping Centre, 2 
Recreation Drive, Eaton WA 6232</v>
      </c>
      <c r="D735" t="str">
        <f>IFERROR(VLOOKUP($A735,'AAPT ExDa'!$B$2:$U$99, 15,FALSE), IFERROR(VLOOKUP($A735,'ABB ExDa'!$A$2:$N$184, 4,FALSE), IFERROR(VLOOKUP($A735,'Vocus SIT ExDa'!$B$2:$J$173, 5,FALSE), IFERROR(VLOOKUP($A735,'Telstra ExDa'!$B$2:$K$310, 8,FALSE), IFERROR(VLOOKUP($A735,'Vocus RVC ExDa'!$C$2:$R$155, 6,FALSE), IFERROR(VLOOKUP($A735,'Fusion ExDa'!$B$2:$D$16, 4,FALSE), IFERROR(VLOOKUP($A735,'Exetel ExDa'!$C$2:$N$14, 3,FALSE), IFERROR(VLOOKUP($A735,'Infinet ExDa'!$B$2:$E$14, 3,FALSE), "Not Found"))))))))</f>
        <v>Telstra</v>
      </c>
      <c r="E735" t="str">
        <f>IFERROR(VLOOKUP($A735,'AAPT ExDa'!$B$2:$U$99, 3,FALSE), IFERROR(VLOOKUP($A735,'ABB ExDa'!$A$2:$N$184, 5,FALSE), IFERROR(VLOOKUP($A735,'Vocus SIT ExDa'!$B$2:$J$173, 2,FALSE), IFERROR(VLOOKUP($A735,'Telstra ExDa'!$B$2:$K$310, 4,FALSE), IFERROR(VLOOKUP($A735,'Vocus RVC ExDa'!$C$2:$R$155, 8,FALSE), IFERROR(VLOOKUP($A735,'Fusion ExDa'!$B$2:$D$16, 4,FALSE), IFERROR(VLOOKUP($A735,'Exetel ExDa'!$C$2:$N$14, 5,FALSE), IFERROR(VLOOKUP($A735,'Infinet ExDa'!$B$2:$E$14, 3,FALSE), "Not Found"))))))))</f>
        <v>Internet and Data 8372161780</v>
      </c>
      <c r="F735" t="str">
        <f>IFERROR(VLOOKUP($A735,'AAPT ExDa'!$B$2:$U$99, 4,FALSE), IFERROR(VLOOKUP($A735,'ABB ExDa'!$A$2:$N$184, 6,FALSE), IFERROR(VLOOKUP($A735,'Vocus SIT ExDa'!$B$2:$J$173, 3,FALSE), IFERROR(VLOOKUP($A735,'Telstra ExDa'!$B$2:$K$310, 5,FALSE), IFERROR(VLOOKUP($A735,'Vocus RVC ExDa'!$C$2:$R$155, 9,FALSE), IFERROR(VLOOKUP($A735,'Fusion ExDa'!$B$2:$D$16, 0,FALSE), IFERROR(VLOOKUP($A735,'Exetel ExDa'!$C$2:$N$14, 6,FALSE), IFERROR(VLOOKUP($A735,'Infinet ExDa'!$B$2:$E$14, 0,FALSE), "Not Found"))))))))</f>
        <v>zambreroeaton@bigpond.com</v>
      </c>
      <c r="G735" t="str">
        <f>IFERROR(VLOOKUP($A735,'AAPT ExDa'!$B$2:$U$99, 5,FALSE), IFERROR(VLOOKUP($A735,'ABB ExDa'!$A$2:$N$184, 8,FALSE), IFERROR(VLOOKUP($A735,'Vocus SIT ExDa'!$B$2:$J$173, 6,FALSE), IFERROR(VLOOKUP($A735,'Telstra ExDa'!$B$2:$K$310, 0,FALSE), IFERROR(VLOOKUP($A735,'Vocus RVC ExDa'!$C$2:$R$155, 15,FALSE), IFERROR(VLOOKUP($A735,'Fusion ExDa'!$B$2:$D$16, 0,FALSE), IFERROR(VLOOKUP($A735,'Exetel ExDa'!$C$2:$N$14, 7,FALSE), IFERROR(VLOOKUP($A735,'Infinet ExDa'!$B$2:$E$14, 0,FALSE), "Not Found"))))))))</f>
        <v>Not Found</v>
      </c>
      <c r="H735" t="str">
        <f>IFERROR(VLOOKUP($A735,'AAPT ExDa'!$B$2:$U$99, 6,FALSE), IFERROR(VLOOKUP($A735,'ABB ExDa'!$A$2:$N$184, 0,FALSE), IFERROR(VLOOKUP($A735,'Vocus SIT ExDa'!$B$2:$J$173, 0,FALSE), IFERROR(VLOOKUP($A735,'Telstra ExDa'!$B$2:$K$310, 0,FALSE), IFERROR(VLOOKUP($A735,'Vocus RVC ExDa'!$C$2:$R$155, 16,FALSE), IFERROR(VLOOKUP($A735,'Fusion ExDa'!$B$2:$D$16, 0,FALSE), IFERROR(VLOOKUP($A735,'Exetel ExDa'!$C$2:$N$14, 0,FALSE), IFERROR(VLOOKUP($A735,'Infinet ExDa'!$B$2:$E$14, 0,FALSE), "Not Found"))))))))</f>
        <v>Not Found</v>
      </c>
      <c r="I735" t="str">
        <f>IFERROR(VLOOKUP($A735,'AAPT ExDa'!$B$2:$U$99, 0,FALSE), IFERROR(VLOOKUP($A735,'ABB ExDa'!$A$2:$N$184, 0,FALSE), IFERROR(VLOOKUP($A735,'Vocus SIT ExDa'!$B$2:$J$173, 0,FALSE), IFERROR(VLOOKUP($A735,'Telstra ExDa'!$B$2:$K$310, 0,FALSE), IFERROR(VLOOKUP($A735,'Vocus RVC ExDa'!$C$2:$R$155, 0,FALSE), IFERROR(VLOOKUP($A735,'Fusion ExDa'!$B$2:$D$16, 0,FALSE), IFERROR(VLOOKUP($A735,'Exetel ExDa'!$C$2:$N$14, 8,FALSE), IFERROR(VLOOKUP($A735,'Infinet ExDa'!$B$2:$E$14, 0,FALSE), "Not Found"))))))))</f>
        <v>Not Found</v>
      </c>
      <c r="J735">
        <f>IFERROR(VLOOKUP($A735,'AAPT ExDa'!$B$2:$U$99, 7,FALSE), IFERROR(VLOOKUP($A735,'ABB ExDa'!$A$2:$N$184, 2,FALSE), IFERROR(VLOOKUP($A735,'Vocus SIT ExDa'!$B$2:$J$173, 0,FALSE), IFERROR(VLOOKUP($A735,'Telstra ExDa'!$B$2:$K$310, 7,FALSE), IFERROR(VLOOKUP($A735,'Vocus RVC ExDa'!$C$2:$R$155, 2,FALSE), IFERROR(VLOOKUP($A735,'Fusion ExDa'!$B$2:$D$16, 3,FALSE), IFERROR(VLOOKUP($A735,'Exetel ExDa'!$C$2:$N$14, 0,FALSE), IFERROR(VLOOKUP($A735,'Infinet ExDa'!$B$2:$E$14, 0,FALSE), "Not Found"))))))))</f>
        <v>0</v>
      </c>
      <c r="K735" t="str">
        <f>IFERROR(VLOOKUP($A735,'AAPT ExDa'!$B$2:$U$99, 12,FALSE), IFERROR(VLOOKUP($A735,'ABB ExDa'!$A$2:$N$184, 0,FALSE), IFERROR(VLOOKUP($A735,'Vocus SIT ExDa'!$B$2:$J$173, 0,FALSE), IFERROR(VLOOKUP($A735,'Telstra ExDa'!$B$2:$K$310, 0,FALSE), IFERROR(VLOOKUP($A735,'Vocus RVC ExDa'!$C$2:$R$155, 0,FALSE), IFERROR(VLOOKUP($A735,'Fusion ExDa'!$B$2:$D$16, 0,FALSE), IFERROR(VLOOKUP($A735,'Exetel ExDa'!$C$2:$N$14, 12,FALSE), IFERROR(VLOOKUP($A735,'Infinet ExDa'!$B$2:$E$14, 0,FALSE), "Not Found"))))))))</f>
        <v>Not Found</v>
      </c>
      <c r="L735" s="235" t="str">
        <f>IFERROR(VLOOKUP($A735,'AAPT ExDa'!$B$2:$U$99, 11,FALSE), IFERROR(VLOOKUP($A735,'ABB ExDa'!$A$2:$N$184, 9,FALSE), IFERROR(VLOOKUP($A735,'Vocus SIT ExDa'!$B$2:$J$173, 8,FALSE), IFERROR(VLOOKUP($A735,'Telstra ExDa'!$B$2:$K$310, 0,FALSE), IFERROR(VLOOKUP($A735,'Vocus RVC ExDa'!$C$2:$R$155, 0,FALSE), IFERROR(VLOOKUP($A735,'Fusion ExDa'!$B$2:$D$16, 0,FALSE), IFERROR(VLOOKUP($A735,'Exetel ExDa'!$C$2:$N$14, 9,FALSE), IFERROR(VLOOKUP($A735,'Infinet ExDa'!$B$2:$E$14, 0,FALSE), "Not Found"))))))))</f>
        <v>Not Found</v>
      </c>
      <c r="M735" s="234" t="str">
        <f>IFERROR(VLOOKUP($A735,'AAPT ExDa'!$B$2:$U$99, 0,FALSE), IFERROR(VLOOKUP($A735,'ABB ExDa'!$A$2:$N$184, 0,FALSE), IFERROR(VLOOKUP($A735,'Vocus SIT ExDa'!$B$2:$J$173, 0,FALSE), IFERROR(VLOOKUP($A735,'Telstra ExDa'!$B$2:$K$310, 0,FALSE), IFERROR(VLOOKUP($A735,'Vocus RVC ExDa'!$C$2:$R$155, 0,FALSE), IFERROR(VLOOKUP($A735,'Fusion ExDa'!$B$2:$D$16, 0,FALSE), IFERROR(VLOOKUP($A735,'Exetel ExDa'!$C$2:$N$14, 11,FALSE), IFERROR(VLOOKUP($A735,'Infinet ExDa'!$B$2:$E$14, 0,FALSE), "Not Found"))))))))</f>
        <v>Not Found</v>
      </c>
      <c r="N735" t="str">
        <f>IFERROR(VLOOKUP($A735,'AAPT ExDa'!$B$2:$U$99, 0,FALSE), IFERROR(VLOOKUP($A735,'ABB ExDa'!$A$2:$N$184, 13,FALSE), IFERROR(VLOOKUP($A735,'Vocus SIT ExDa'!$B$2:$J$173, 0,FALSE), IFERROR(VLOOKUP($A735,'Telstra ExDa'!$B$2:$K$310, 0,FALSE), IFERROR(VLOOKUP($A735,'Vocus RVC ExDa'!$C$2:$R$155, 0,FALSE), IFERROR(VLOOKUP($A735,'Fusion ExDa'!$B$2:$D$16, 0,FALSE), IFERROR(VLOOKUP($A735,'Exetel ExDa'!$C$2:$N$14, 0,FALSE), IFERROR(VLOOKUP($A735,'Infinet ExDa'!$B$2:$E$14, 0,FALSE), "Not Found"))))))))</f>
        <v>Not Found</v>
      </c>
    </row>
    <row r="736" spans="1:14">
      <c r="A736" t="str">
        <v>Zambrero Crowsnest</v>
      </c>
      <c r="B736" t="str">
        <f>IFERROR(VLOOKUP(A736,'Exetel ExDa'!$C$2:$N$14,4,FALSE),"No Data")</f>
        <v>No Data</v>
      </c>
      <c r="C736" t="str">
        <f>IFERROR(VLOOKUP(A736,'AAPT ExDa'!$B$2:$U$99, 2,FALSE), IFERROR(VLOOKUP(A736,'ABB ExDa'!$A$2:$N$184, 2,FALSE), IFERROR(VLOOKUP(A736,'Vocus SIT ExDa'!$B$2:$J$173, 7,FALSE), IFERROR(VLOOKUP(A736,'Telstra ExDa'!$B$2:$K$310, 2,FALSE), IFERROR(VLOOKUP(A736,'Vocus RVC ExDa'!$C$2:$R$155, 3,FALSE), IFERROR(VLOOKUP(A736,'Fusion ExDa'!$B$2:$D$16, 2,FALSE), IFERROR(VLOOKUP(A736,'Exetel ExDa'!$C$2:$N$14, 2,FALSE), IFERROR(VLOOKUP(A736,'Infinet ExDa'!$B$2:$E$14, 2,FALSE), "Not Found"))))))))</f>
        <v>84 Willoughby Rd, Crows Nest NSW 2065</v>
      </c>
      <c r="D736" t="str">
        <f>IFERROR(VLOOKUP($A736,'AAPT ExDa'!$B$2:$U$99, 15,FALSE), IFERROR(VLOOKUP($A736,'ABB ExDa'!$A$2:$N$184, 4,FALSE), IFERROR(VLOOKUP($A736,'Vocus SIT ExDa'!$B$2:$J$173, 5,FALSE), IFERROR(VLOOKUP($A736,'Telstra ExDa'!$B$2:$K$310, 8,FALSE), IFERROR(VLOOKUP($A736,'Vocus RVC ExDa'!$C$2:$R$155, 6,FALSE), IFERROR(VLOOKUP($A736,'Fusion ExDa'!$B$2:$D$16, 4,FALSE), IFERROR(VLOOKUP($A736,'Exetel ExDa'!$C$2:$N$14, 3,FALSE), IFERROR(VLOOKUP($A736,'Infinet ExDa'!$B$2:$E$14, 3,FALSE), "Not Found"))))))))</f>
        <v>Telstra</v>
      </c>
      <c r="E736" t="str">
        <f>IFERROR(VLOOKUP($A736,'AAPT ExDa'!$B$2:$U$99, 3,FALSE), IFERROR(VLOOKUP($A736,'ABB ExDa'!$A$2:$N$184, 5,FALSE), IFERROR(VLOOKUP($A736,'Vocus SIT ExDa'!$B$2:$J$173, 2,FALSE), IFERROR(VLOOKUP($A736,'Telstra ExDa'!$B$2:$K$310, 4,FALSE), IFERROR(VLOOKUP($A736,'Vocus RVC ExDa'!$C$2:$R$155, 8,FALSE), IFERROR(VLOOKUP($A736,'Fusion ExDa'!$B$2:$D$16, 4,FALSE), IFERROR(VLOOKUP($A736,'Exetel ExDa'!$C$2:$N$14, 5,FALSE), IFERROR(VLOOKUP($A736,'Infinet ExDa'!$B$2:$E$14, 3,FALSE), "Not Found"))))))))</f>
        <v>Internet and Data 8410605580</v>
      </c>
      <c r="F736" t="str">
        <f>IFERROR(VLOOKUP($A736,'AAPT ExDa'!$B$2:$U$99, 4,FALSE), IFERROR(VLOOKUP($A736,'ABB ExDa'!$A$2:$N$184, 6,FALSE), IFERROR(VLOOKUP($A736,'Vocus SIT ExDa'!$B$2:$J$173, 3,FALSE), IFERROR(VLOOKUP($A736,'Telstra ExDa'!$B$2:$K$310, 5,FALSE), IFERROR(VLOOKUP($A736,'Vocus RVC ExDa'!$C$2:$R$155, 9,FALSE), IFERROR(VLOOKUP($A736,'Fusion ExDa'!$B$2:$D$16, 0,FALSE), IFERROR(VLOOKUP($A736,'Exetel ExDa'!$C$2:$N$14, 6,FALSE), IFERROR(VLOOKUP($A736,'Infinet ExDa'!$B$2:$E$14, 0,FALSE), "Not Found"))))))))</f>
        <v>zamcrowsnest1@bigpond.com</v>
      </c>
      <c r="G736" t="str">
        <f>IFERROR(VLOOKUP($A736,'AAPT ExDa'!$B$2:$U$99, 5,FALSE), IFERROR(VLOOKUP($A736,'ABB ExDa'!$A$2:$N$184, 8,FALSE), IFERROR(VLOOKUP($A736,'Vocus SIT ExDa'!$B$2:$J$173, 6,FALSE), IFERROR(VLOOKUP($A736,'Telstra ExDa'!$B$2:$K$310, 0,FALSE), IFERROR(VLOOKUP($A736,'Vocus RVC ExDa'!$C$2:$R$155, 15,FALSE), IFERROR(VLOOKUP($A736,'Fusion ExDa'!$B$2:$D$16, 0,FALSE), IFERROR(VLOOKUP($A736,'Exetel ExDa'!$C$2:$N$14, 7,FALSE), IFERROR(VLOOKUP($A736,'Infinet ExDa'!$B$2:$E$14, 0,FALSE), "Not Found"))))))))</f>
        <v>Not Found</v>
      </c>
      <c r="H736" t="str">
        <f>IFERROR(VLOOKUP($A736,'AAPT ExDa'!$B$2:$U$99, 6,FALSE), IFERROR(VLOOKUP($A736,'ABB ExDa'!$A$2:$N$184, 0,FALSE), IFERROR(VLOOKUP($A736,'Vocus SIT ExDa'!$B$2:$J$173, 0,FALSE), IFERROR(VLOOKUP($A736,'Telstra ExDa'!$B$2:$K$310, 0,FALSE), IFERROR(VLOOKUP($A736,'Vocus RVC ExDa'!$C$2:$R$155, 16,FALSE), IFERROR(VLOOKUP($A736,'Fusion ExDa'!$B$2:$D$16, 0,FALSE), IFERROR(VLOOKUP($A736,'Exetel ExDa'!$C$2:$N$14, 0,FALSE), IFERROR(VLOOKUP($A736,'Infinet ExDa'!$B$2:$E$14, 0,FALSE), "Not Found"))))))))</f>
        <v>Not Found</v>
      </c>
      <c r="I736" t="str">
        <f>IFERROR(VLOOKUP($A736,'AAPT ExDa'!$B$2:$U$99, 0,FALSE), IFERROR(VLOOKUP($A736,'ABB ExDa'!$A$2:$N$184, 0,FALSE), IFERROR(VLOOKUP($A736,'Vocus SIT ExDa'!$B$2:$J$173, 0,FALSE), IFERROR(VLOOKUP($A736,'Telstra ExDa'!$B$2:$K$310, 0,FALSE), IFERROR(VLOOKUP($A736,'Vocus RVC ExDa'!$C$2:$R$155, 0,FALSE), IFERROR(VLOOKUP($A736,'Fusion ExDa'!$B$2:$D$16, 0,FALSE), IFERROR(VLOOKUP($A736,'Exetel ExDa'!$C$2:$N$14, 8,FALSE), IFERROR(VLOOKUP($A736,'Infinet ExDa'!$B$2:$E$14, 0,FALSE), "Not Found"))))))))</f>
        <v>Not Found</v>
      </c>
      <c r="J736">
        <f>IFERROR(VLOOKUP($A736,'AAPT ExDa'!$B$2:$U$99, 7,FALSE), IFERROR(VLOOKUP($A736,'ABB ExDa'!$A$2:$N$184, 2,FALSE), IFERROR(VLOOKUP($A736,'Vocus SIT ExDa'!$B$2:$J$173, 0,FALSE), IFERROR(VLOOKUP($A736,'Telstra ExDa'!$B$2:$K$310, 7,FALSE), IFERROR(VLOOKUP($A736,'Vocus RVC ExDa'!$C$2:$R$155, 2,FALSE), IFERROR(VLOOKUP($A736,'Fusion ExDa'!$B$2:$D$16, 3,FALSE), IFERROR(VLOOKUP($A736,'Exetel ExDa'!$C$2:$N$14, 0,FALSE), IFERROR(VLOOKUP($A736,'Infinet ExDa'!$B$2:$E$14, 0,FALSE), "Not Found"))))))))</f>
        <v>0</v>
      </c>
      <c r="K736" t="str">
        <f>IFERROR(VLOOKUP($A736,'AAPT ExDa'!$B$2:$U$99, 12,FALSE), IFERROR(VLOOKUP($A736,'ABB ExDa'!$A$2:$N$184, 0,FALSE), IFERROR(VLOOKUP($A736,'Vocus SIT ExDa'!$B$2:$J$173, 0,FALSE), IFERROR(VLOOKUP($A736,'Telstra ExDa'!$B$2:$K$310, 0,FALSE), IFERROR(VLOOKUP($A736,'Vocus RVC ExDa'!$C$2:$R$155, 0,FALSE), IFERROR(VLOOKUP($A736,'Fusion ExDa'!$B$2:$D$16, 0,FALSE), IFERROR(VLOOKUP($A736,'Exetel ExDa'!$C$2:$N$14, 12,FALSE), IFERROR(VLOOKUP($A736,'Infinet ExDa'!$B$2:$E$14, 0,FALSE), "Not Found"))))))))</f>
        <v>Not Found</v>
      </c>
      <c r="L736" s="235" t="str">
        <f>IFERROR(VLOOKUP($A736,'AAPT ExDa'!$B$2:$U$99, 11,FALSE), IFERROR(VLOOKUP($A736,'ABB ExDa'!$A$2:$N$184, 9,FALSE), IFERROR(VLOOKUP($A736,'Vocus SIT ExDa'!$B$2:$J$173, 8,FALSE), IFERROR(VLOOKUP($A736,'Telstra ExDa'!$B$2:$K$310, 0,FALSE), IFERROR(VLOOKUP($A736,'Vocus RVC ExDa'!$C$2:$R$155, 0,FALSE), IFERROR(VLOOKUP($A736,'Fusion ExDa'!$B$2:$D$16, 0,FALSE), IFERROR(VLOOKUP($A736,'Exetel ExDa'!$C$2:$N$14, 9,FALSE), IFERROR(VLOOKUP($A736,'Infinet ExDa'!$B$2:$E$14, 0,FALSE), "Not Found"))))))))</f>
        <v>Not Found</v>
      </c>
      <c r="M736" s="234" t="str">
        <f>IFERROR(VLOOKUP($A736,'AAPT ExDa'!$B$2:$U$99, 0,FALSE), IFERROR(VLOOKUP($A736,'ABB ExDa'!$A$2:$N$184, 0,FALSE), IFERROR(VLOOKUP($A736,'Vocus SIT ExDa'!$B$2:$J$173, 0,FALSE), IFERROR(VLOOKUP($A736,'Telstra ExDa'!$B$2:$K$310, 0,FALSE), IFERROR(VLOOKUP($A736,'Vocus RVC ExDa'!$C$2:$R$155, 0,FALSE), IFERROR(VLOOKUP($A736,'Fusion ExDa'!$B$2:$D$16, 0,FALSE), IFERROR(VLOOKUP($A736,'Exetel ExDa'!$C$2:$N$14, 11,FALSE), IFERROR(VLOOKUP($A736,'Infinet ExDa'!$B$2:$E$14, 0,FALSE), "Not Found"))))))))</f>
        <v>Not Found</v>
      </c>
      <c r="N736" t="str">
        <f>IFERROR(VLOOKUP($A736,'AAPT ExDa'!$B$2:$U$99, 0,FALSE), IFERROR(VLOOKUP($A736,'ABB ExDa'!$A$2:$N$184, 13,FALSE), IFERROR(VLOOKUP($A736,'Vocus SIT ExDa'!$B$2:$J$173, 0,FALSE), IFERROR(VLOOKUP($A736,'Telstra ExDa'!$B$2:$K$310, 0,FALSE), IFERROR(VLOOKUP($A736,'Vocus RVC ExDa'!$C$2:$R$155, 0,FALSE), IFERROR(VLOOKUP($A736,'Fusion ExDa'!$B$2:$D$16, 0,FALSE), IFERROR(VLOOKUP($A736,'Exetel ExDa'!$C$2:$N$14, 0,FALSE), IFERROR(VLOOKUP($A736,'Infinet ExDa'!$B$2:$E$14, 0,FALSE), "Not Found"))))))))</f>
        <v>Not Found</v>
      </c>
    </row>
    <row r="737" spans="1:14">
      <c r="A737" t="str">
        <v>The Yiros Marketplace</v>
      </c>
      <c r="B737" t="str">
        <f>IFERROR(VLOOKUP(A737,'Exetel ExDa'!$C$2:$N$14,4,FALSE),"No Data")</f>
        <v>No Data</v>
      </c>
      <c r="C737">
        <f>IFERROR(VLOOKUP(A737,'AAPT ExDa'!$B$2:$U$99, 2,FALSE), IFERROR(VLOOKUP(A737,'ABB ExDa'!$A$2:$N$184, 2,FALSE), IFERROR(VLOOKUP(A737,'Vocus SIT ExDa'!$B$2:$J$173, 7,FALSE), IFERROR(VLOOKUP(A737,'Telstra ExDa'!$B$2:$K$310, 2,FALSE), IFERROR(VLOOKUP(A737,'Vocus RVC ExDa'!$C$2:$R$155, 3,FALSE), IFERROR(VLOOKUP(A737,'Fusion ExDa'!$B$2:$D$16, 2,FALSE), IFERROR(VLOOKUP(A737,'Exetel ExDa'!$C$2:$N$14, 2,FALSE), IFERROR(VLOOKUP(A737,'Infinet ExDa'!$B$2:$E$14, 2,FALSE), "Not Found"))))))))</f>
        <v>0</v>
      </c>
      <c r="D737" t="str">
        <f>IFERROR(VLOOKUP($A737,'AAPT ExDa'!$B$2:$U$99, 15,FALSE), IFERROR(VLOOKUP($A737,'ABB ExDa'!$A$2:$N$184, 4,FALSE), IFERROR(VLOOKUP($A737,'Vocus SIT ExDa'!$B$2:$J$173, 5,FALSE), IFERROR(VLOOKUP($A737,'Telstra ExDa'!$B$2:$K$310, 8,FALSE), IFERROR(VLOOKUP($A737,'Vocus RVC ExDa'!$C$2:$R$155, 6,FALSE), IFERROR(VLOOKUP($A737,'Fusion ExDa'!$B$2:$D$16, 4,FALSE), IFERROR(VLOOKUP($A737,'Exetel ExDa'!$C$2:$N$14, 3,FALSE), IFERROR(VLOOKUP($A737,'Infinet ExDa'!$B$2:$E$14, 3,FALSE), "Not Found"))))))))</f>
        <v>Telstra</v>
      </c>
      <c r="E737" t="str">
        <f>IFERROR(VLOOKUP($A737,'AAPT ExDa'!$B$2:$U$99, 3,FALSE), IFERROR(VLOOKUP($A737,'ABB ExDa'!$A$2:$N$184, 5,FALSE), IFERROR(VLOOKUP($A737,'Vocus SIT ExDa'!$B$2:$J$173, 2,FALSE), IFERROR(VLOOKUP($A737,'Telstra ExDa'!$B$2:$K$310, 4,FALSE), IFERROR(VLOOKUP($A737,'Vocus RVC ExDa'!$C$2:$R$155, 8,FALSE), IFERROR(VLOOKUP($A737,'Fusion ExDa'!$B$2:$D$16, 4,FALSE), IFERROR(VLOOKUP($A737,'Exetel ExDa'!$C$2:$N$14, 5,FALSE), IFERROR(VLOOKUP($A737,'Infinet ExDa'!$B$2:$E$14, 3,FALSE), "Not Found"))))))))</f>
        <v>Internet and Data 8856262090</v>
      </c>
      <c r="F737" t="str">
        <f>IFERROR(VLOOKUP($A737,'AAPT ExDa'!$B$2:$U$99, 4,FALSE), IFERROR(VLOOKUP($A737,'ABB ExDa'!$A$2:$N$184, 6,FALSE), IFERROR(VLOOKUP($A737,'Vocus SIT ExDa'!$B$2:$J$173, 3,FALSE), IFERROR(VLOOKUP($A737,'Telstra ExDa'!$B$2:$K$310, 5,FALSE), IFERROR(VLOOKUP($A737,'Vocus RVC ExDa'!$C$2:$R$155, 9,FALSE), IFERROR(VLOOKUP($A737,'Fusion ExDa'!$B$2:$D$16, 0,FALSE), IFERROR(VLOOKUP($A737,'Exetel ExDa'!$C$2:$N$14, 6,FALSE), IFERROR(VLOOKUP($A737,'Infinet ExDa'!$B$2:$E$14, 0,FALSE), "Not Found"))))))))</f>
        <v>yiros.marketplace@bigpond.com</v>
      </c>
      <c r="G737" t="str">
        <f>IFERROR(VLOOKUP($A737,'AAPT ExDa'!$B$2:$U$99, 5,FALSE), IFERROR(VLOOKUP($A737,'ABB ExDa'!$A$2:$N$184, 8,FALSE), IFERROR(VLOOKUP($A737,'Vocus SIT ExDa'!$B$2:$J$173, 6,FALSE), IFERROR(VLOOKUP($A737,'Telstra ExDa'!$B$2:$K$310, 0,FALSE), IFERROR(VLOOKUP($A737,'Vocus RVC ExDa'!$C$2:$R$155, 15,FALSE), IFERROR(VLOOKUP($A737,'Fusion ExDa'!$B$2:$D$16, 0,FALSE), IFERROR(VLOOKUP($A737,'Exetel ExDa'!$C$2:$N$14, 7,FALSE), IFERROR(VLOOKUP($A737,'Infinet ExDa'!$B$2:$E$14, 0,FALSE), "Not Found"))))))))</f>
        <v>Not Found</v>
      </c>
      <c r="H737" t="str">
        <f>IFERROR(VLOOKUP($A737,'AAPT ExDa'!$B$2:$U$99, 6,FALSE), IFERROR(VLOOKUP($A737,'ABB ExDa'!$A$2:$N$184, 0,FALSE), IFERROR(VLOOKUP($A737,'Vocus SIT ExDa'!$B$2:$J$173, 0,FALSE), IFERROR(VLOOKUP($A737,'Telstra ExDa'!$B$2:$K$310, 0,FALSE), IFERROR(VLOOKUP($A737,'Vocus RVC ExDa'!$C$2:$R$155, 16,FALSE), IFERROR(VLOOKUP($A737,'Fusion ExDa'!$B$2:$D$16, 0,FALSE), IFERROR(VLOOKUP($A737,'Exetel ExDa'!$C$2:$N$14, 0,FALSE), IFERROR(VLOOKUP($A737,'Infinet ExDa'!$B$2:$E$14, 0,FALSE), "Not Found"))))))))</f>
        <v>Not Found</v>
      </c>
      <c r="I737" t="str">
        <f>IFERROR(VLOOKUP($A737,'AAPT ExDa'!$B$2:$U$99, 0,FALSE), IFERROR(VLOOKUP($A737,'ABB ExDa'!$A$2:$N$184, 0,FALSE), IFERROR(VLOOKUP($A737,'Vocus SIT ExDa'!$B$2:$J$173, 0,FALSE), IFERROR(VLOOKUP($A737,'Telstra ExDa'!$B$2:$K$310, 0,FALSE), IFERROR(VLOOKUP($A737,'Vocus RVC ExDa'!$C$2:$R$155, 0,FALSE), IFERROR(VLOOKUP($A737,'Fusion ExDa'!$B$2:$D$16, 0,FALSE), IFERROR(VLOOKUP($A737,'Exetel ExDa'!$C$2:$N$14, 8,FALSE), IFERROR(VLOOKUP($A737,'Infinet ExDa'!$B$2:$E$14, 0,FALSE), "Not Found"))))))))</f>
        <v>Not Found</v>
      </c>
      <c r="J737">
        <f>IFERROR(VLOOKUP($A737,'AAPT ExDa'!$B$2:$U$99, 7,FALSE), IFERROR(VLOOKUP($A737,'ABB ExDa'!$A$2:$N$184, 2,FALSE), IFERROR(VLOOKUP($A737,'Vocus SIT ExDa'!$B$2:$J$173, 0,FALSE), IFERROR(VLOOKUP($A737,'Telstra ExDa'!$B$2:$K$310, 7,FALSE), IFERROR(VLOOKUP($A737,'Vocus RVC ExDa'!$C$2:$R$155, 2,FALSE), IFERROR(VLOOKUP($A737,'Fusion ExDa'!$B$2:$D$16, 3,FALSE), IFERROR(VLOOKUP($A737,'Exetel ExDa'!$C$2:$N$14, 0,FALSE), IFERROR(VLOOKUP($A737,'Infinet ExDa'!$B$2:$E$14, 0,FALSE), "Not Found"))))))))</f>
        <v>0</v>
      </c>
      <c r="K737" t="str">
        <f>IFERROR(VLOOKUP($A737,'AAPT ExDa'!$B$2:$U$99, 12,FALSE), IFERROR(VLOOKUP($A737,'ABB ExDa'!$A$2:$N$184, 0,FALSE), IFERROR(VLOOKUP($A737,'Vocus SIT ExDa'!$B$2:$J$173, 0,FALSE), IFERROR(VLOOKUP($A737,'Telstra ExDa'!$B$2:$K$310, 0,FALSE), IFERROR(VLOOKUP($A737,'Vocus RVC ExDa'!$C$2:$R$155, 0,FALSE), IFERROR(VLOOKUP($A737,'Fusion ExDa'!$B$2:$D$16, 0,FALSE), IFERROR(VLOOKUP($A737,'Exetel ExDa'!$C$2:$N$14, 12,FALSE), IFERROR(VLOOKUP($A737,'Infinet ExDa'!$B$2:$E$14, 0,FALSE), "Not Found"))))))))</f>
        <v>Not Found</v>
      </c>
      <c r="L737" s="235" t="str">
        <f>IFERROR(VLOOKUP($A737,'AAPT ExDa'!$B$2:$U$99, 11,FALSE), IFERROR(VLOOKUP($A737,'ABB ExDa'!$A$2:$N$184, 9,FALSE), IFERROR(VLOOKUP($A737,'Vocus SIT ExDa'!$B$2:$J$173, 8,FALSE), IFERROR(VLOOKUP($A737,'Telstra ExDa'!$B$2:$K$310, 0,FALSE), IFERROR(VLOOKUP($A737,'Vocus RVC ExDa'!$C$2:$R$155, 0,FALSE), IFERROR(VLOOKUP($A737,'Fusion ExDa'!$B$2:$D$16, 0,FALSE), IFERROR(VLOOKUP($A737,'Exetel ExDa'!$C$2:$N$14, 9,FALSE), IFERROR(VLOOKUP($A737,'Infinet ExDa'!$B$2:$E$14, 0,FALSE), "Not Found"))))))))</f>
        <v>Not Found</v>
      </c>
      <c r="M737" s="234" t="str">
        <f>IFERROR(VLOOKUP($A737,'AAPT ExDa'!$B$2:$U$99, 0,FALSE), IFERROR(VLOOKUP($A737,'ABB ExDa'!$A$2:$N$184, 0,FALSE), IFERROR(VLOOKUP($A737,'Vocus SIT ExDa'!$B$2:$J$173, 0,FALSE), IFERROR(VLOOKUP($A737,'Telstra ExDa'!$B$2:$K$310, 0,FALSE), IFERROR(VLOOKUP($A737,'Vocus RVC ExDa'!$C$2:$R$155, 0,FALSE), IFERROR(VLOOKUP($A737,'Fusion ExDa'!$B$2:$D$16, 0,FALSE), IFERROR(VLOOKUP($A737,'Exetel ExDa'!$C$2:$N$14, 11,FALSE), IFERROR(VLOOKUP($A737,'Infinet ExDa'!$B$2:$E$14, 0,FALSE), "Not Found"))))))))</f>
        <v>Not Found</v>
      </c>
      <c r="N737" t="str">
        <f>IFERROR(VLOOKUP($A737,'AAPT ExDa'!$B$2:$U$99, 0,FALSE), IFERROR(VLOOKUP($A737,'ABB ExDa'!$A$2:$N$184, 13,FALSE), IFERROR(VLOOKUP($A737,'Vocus SIT ExDa'!$B$2:$J$173, 0,FALSE), IFERROR(VLOOKUP($A737,'Telstra ExDa'!$B$2:$K$310, 0,FALSE), IFERROR(VLOOKUP($A737,'Vocus RVC ExDa'!$C$2:$R$155, 0,FALSE), IFERROR(VLOOKUP($A737,'Fusion ExDa'!$B$2:$D$16, 0,FALSE), IFERROR(VLOOKUP($A737,'Exetel ExDa'!$C$2:$N$14, 0,FALSE), IFERROR(VLOOKUP($A737,'Infinet ExDa'!$B$2:$E$14, 0,FALSE), "Not Found"))))))))</f>
        <v>Not Found</v>
      </c>
    </row>
    <row r="738" spans="1:14">
      <c r="A738" t="str">
        <v>Little Cha St. Ives</v>
      </c>
      <c r="B738" t="str">
        <f>IFERROR(VLOOKUP(A738,'Exetel ExDa'!$C$2:$N$14,4,FALSE),"No Data")</f>
        <v>No Data</v>
      </c>
      <c r="C738" t="str">
        <f>IFERROR(VLOOKUP(A738,'AAPT ExDa'!$B$2:$U$99, 2,FALSE), IFERROR(VLOOKUP(A738,'ABB ExDa'!$A$2:$N$184, 2,FALSE), IFERROR(VLOOKUP(A738,'Vocus SIT ExDa'!$B$2:$J$173, 7,FALSE), IFERROR(VLOOKUP(A738,'Telstra ExDa'!$B$2:$K$310, 2,FALSE), IFERROR(VLOOKUP(A738,'Vocus RVC ExDa'!$C$2:$R$155, 3,FALSE), IFERROR(VLOOKUP(A738,'Fusion ExDa'!$B$2:$D$16, 2,FALSE), IFERROR(VLOOKUP(A738,'Exetel ExDa'!$C$2:$N$14, 2,FALSE), IFERROR(VLOOKUP(A738,'Infinet ExDa'!$B$2:$E$14, 2,FALSE), "Not Found"))))))))</f>
        <v>Shop 145, St Ives Shopping Village, 166 Mona Vale Road, St Ives NSW 2075</v>
      </c>
      <c r="D738" t="str">
        <f>IFERROR(VLOOKUP($A738,'AAPT ExDa'!$B$2:$U$99, 15,FALSE), IFERROR(VLOOKUP($A738,'ABB ExDa'!$A$2:$N$184, 4,FALSE), IFERROR(VLOOKUP($A738,'Vocus SIT ExDa'!$B$2:$J$173, 5,FALSE), IFERROR(VLOOKUP($A738,'Telstra ExDa'!$B$2:$K$310, 8,FALSE), IFERROR(VLOOKUP($A738,'Vocus RVC ExDa'!$C$2:$R$155, 6,FALSE), IFERROR(VLOOKUP($A738,'Fusion ExDa'!$B$2:$D$16, 4,FALSE), IFERROR(VLOOKUP($A738,'Exetel ExDa'!$C$2:$N$14, 3,FALSE), IFERROR(VLOOKUP($A738,'Infinet ExDa'!$B$2:$E$14, 3,FALSE), "Not Found"))))))))</f>
        <v>Telstra</v>
      </c>
      <c r="E738" t="str">
        <f>IFERROR(VLOOKUP($A738,'AAPT ExDa'!$B$2:$U$99, 3,FALSE), IFERROR(VLOOKUP($A738,'ABB ExDa'!$A$2:$N$184, 5,FALSE), IFERROR(VLOOKUP($A738,'Vocus SIT ExDa'!$B$2:$J$173, 2,FALSE), IFERROR(VLOOKUP($A738,'Telstra ExDa'!$B$2:$K$310, 4,FALSE), IFERROR(VLOOKUP($A738,'Vocus RVC ExDa'!$C$2:$R$155, 8,FALSE), IFERROR(VLOOKUP($A738,'Fusion ExDa'!$B$2:$D$16, 4,FALSE), IFERROR(VLOOKUP($A738,'Exetel ExDa'!$C$2:$N$14, 5,FALSE), IFERROR(VLOOKUP($A738,'Infinet ExDa'!$B$2:$E$14, 3,FALSE), "Not Found"))))))))</f>
        <v>Internet and Data 9257690190</v>
      </c>
      <c r="F738" t="str">
        <f>IFERROR(VLOOKUP($A738,'AAPT ExDa'!$B$2:$U$99, 4,FALSE), IFERROR(VLOOKUP($A738,'ABB ExDa'!$A$2:$N$184, 6,FALSE), IFERROR(VLOOKUP($A738,'Vocus SIT ExDa'!$B$2:$J$173, 3,FALSE), IFERROR(VLOOKUP($A738,'Telstra ExDa'!$B$2:$K$310, 5,FALSE), IFERROR(VLOOKUP($A738,'Vocus RVC ExDa'!$C$2:$R$155, 9,FALSE), IFERROR(VLOOKUP($A738,'Fusion ExDa'!$B$2:$D$16, 0,FALSE), IFERROR(VLOOKUP($A738,'Exetel ExDa'!$C$2:$N$14, 6,FALSE), IFERROR(VLOOKUP($A738,'Infinet ExDa'!$B$2:$E$14, 0,FALSE), "Not Found"))))))))</f>
        <v>st.ives.lilcha@bigpond.com</v>
      </c>
      <c r="G738" t="str">
        <f>IFERROR(VLOOKUP($A738,'AAPT ExDa'!$B$2:$U$99, 5,FALSE), IFERROR(VLOOKUP($A738,'ABB ExDa'!$A$2:$N$184, 8,FALSE), IFERROR(VLOOKUP($A738,'Vocus SIT ExDa'!$B$2:$J$173, 6,FALSE), IFERROR(VLOOKUP($A738,'Telstra ExDa'!$B$2:$K$310, 0,FALSE), IFERROR(VLOOKUP($A738,'Vocus RVC ExDa'!$C$2:$R$155, 15,FALSE), IFERROR(VLOOKUP($A738,'Fusion ExDa'!$B$2:$D$16, 0,FALSE), IFERROR(VLOOKUP($A738,'Exetel ExDa'!$C$2:$N$14, 7,FALSE), IFERROR(VLOOKUP($A738,'Infinet ExDa'!$B$2:$E$14, 0,FALSE), "Not Found"))))))))</f>
        <v>Not Found</v>
      </c>
      <c r="H738" t="str">
        <f>IFERROR(VLOOKUP($A738,'AAPT ExDa'!$B$2:$U$99, 6,FALSE), IFERROR(VLOOKUP($A738,'ABB ExDa'!$A$2:$N$184, 0,FALSE), IFERROR(VLOOKUP($A738,'Vocus SIT ExDa'!$B$2:$J$173, 0,FALSE), IFERROR(VLOOKUP($A738,'Telstra ExDa'!$B$2:$K$310, 0,FALSE), IFERROR(VLOOKUP($A738,'Vocus RVC ExDa'!$C$2:$R$155, 16,FALSE), IFERROR(VLOOKUP($A738,'Fusion ExDa'!$B$2:$D$16, 0,FALSE), IFERROR(VLOOKUP($A738,'Exetel ExDa'!$C$2:$N$14, 0,FALSE), IFERROR(VLOOKUP($A738,'Infinet ExDa'!$B$2:$E$14, 0,FALSE), "Not Found"))))))))</f>
        <v>Not Found</v>
      </c>
      <c r="I738" t="str">
        <f>IFERROR(VLOOKUP($A738,'AAPT ExDa'!$B$2:$U$99, 0,FALSE), IFERROR(VLOOKUP($A738,'ABB ExDa'!$A$2:$N$184, 0,FALSE), IFERROR(VLOOKUP($A738,'Vocus SIT ExDa'!$B$2:$J$173, 0,FALSE), IFERROR(VLOOKUP($A738,'Telstra ExDa'!$B$2:$K$310, 0,FALSE), IFERROR(VLOOKUP($A738,'Vocus RVC ExDa'!$C$2:$R$155, 0,FALSE), IFERROR(VLOOKUP($A738,'Fusion ExDa'!$B$2:$D$16, 0,FALSE), IFERROR(VLOOKUP($A738,'Exetel ExDa'!$C$2:$N$14, 8,FALSE), IFERROR(VLOOKUP($A738,'Infinet ExDa'!$B$2:$E$14, 0,FALSE), "Not Found"))))))))</f>
        <v>Not Found</v>
      </c>
      <c r="J738">
        <f>IFERROR(VLOOKUP($A738,'AAPT ExDa'!$B$2:$U$99, 7,FALSE), IFERROR(VLOOKUP($A738,'ABB ExDa'!$A$2:$N$184, 2,FALSE), IFERROR(VLOOKUP($A738,'Vocus SIT ExDa'!$B$2:$J$173, 0,FALSE), IFERROR(VLOOKUP($A738,'Telstra ExDa'!$B$2:$K$310, 7,FALSE), IFERROR(VLOOKUP($A738,'Vocus RVC ExDa'!$C$2:$R$155, 2,FALSE), IFERROR(VLOOKUP($A738,'Fusion ExDa'!$B$2:$D$16, 3,FALSE), IFERROR(VLOOKUP($A738,'Exetel ExDa'!$C$2:$N$14, 0,FALSE), IFERROR(VLOOKUP($A738,'Infinet ExDa'!$B$2:$E$14, 0,FALSE), "Not Found"))))))))</f>
        <v>0</v>
      </c>
      <c r="K738" t="str">
        <f>IFERROR(VLOOKUP($A738,'AAPT ExDa'!$B$2:$U$99, 12,FALSE), IFERROR(VLOOKUP($A738,'ABB ExDa'!$A$2:$N$184, 0,FALSE), IFERROR(VLOOKUP($A738,'Vocus SIT ExDa'!$B$2:$J$173, 0,FALSE), IFERROR(VLOOKUP($A738,'Telstra ExDa'!$B$2:$K$310, 0,FALSE), IFERROR(VLOOKUP($A738,'Vocus RVC ExDa'!$C$2:$R$155, 0,FALSE), IFERROR(VLOOKUP($A738,'Fusion ExDa'!$B$2:$D$16, 0,FALSE), IFERROR(VLOOKUP($A738,'Exetel ExDa'!$C$2:$N$14, 12,FALSE), IFERROR(VLOOKUP($A738,'Infinet ExDa'!$B$2:$E$14, 0,FALSE), "Not Found"))))))))</f>
        <v>Not Found</v>
      </c>
      <c r="L738" s="235" t="str">
        <f>IFERROR(VLOOKUP($A738,'AAPT ExDa'!$B$2:$U$99, 11,FALSE), IFERROR(VLOOKUP($A738,'ABB ExDa'!$A$2:$N$184, 9,FALSE), IFERROR(VLOOKUP($A738,'Vocus SIT ExDa'!$B$2:$J$173, 8,FALSE), IFERROR(VLOOKUP($A738,'Telstra ExDa'!$B$2:$K$310, 0,FALSE), IFERROR(VLOOKUP($A738,'Vocus RVC ExDa'!$C$2:$R$155, 0,FALSE), IFERROR(VLOOKUP($A738,'Fusion ExDa'!$B$2:$D$16, 0,FALSE), IFERROR(VLOOKUP($A738,'Exetel ExDa'!$C$2:$N$14, 9,FALSE), IFERROR(VLOOKUP($A738,'Infinet ExDa'!$B$2:$E$14, 0,FALSE), "Not Found"))))))))</f>
        <v>Not Found</v>
      </c>
      <c r="M738" s="234" t="str">
        <f>IFERROR(VLOOKUP($A738,'AAPT ExDa'!$B$2:$U$99, 0,FALSE), IFERROR(VLOOKUP($A738,'ABB ExDa'!$A$2:$N$184, 0,FALSE), IFERROR(VLOOKUP($A738,'Vocus SIT ExDa'!$B$2:$J$173, 0,FALSE), IFERROR(VLOOKUP($A738,'Telstra ExDa'!$B$2:$K$310, 0,FALSE), IFERROR(VLOOKUP($A738,'Vocus RVC ExDa'!$C$2:$R$155, 0,FALSE), IFERROR(VLOOKUP($A738,'Fusion ExDa'!$B$2:$D$16, 0,FALSE), IFERROR(VLOOKUP($A738,'Exetel ExDa'!$C$2:$N$14, 11,FALSE), IFERROR(VLOOKUP($A738,'Infinet ExDa'!$B$2:$E$14, 0,FALSE), "Not Found"))))))))</f>
        <v>Not Found</v>
      </c>
      <c r="N738" t="str">
        <f>IFERROR(VLOOKUP($A738,'AAPT ExDa'!$B$2:$U$99, 0,FALSE), IFERROR(VLOOKUP($A738,'ABB ExDa'!$A$2:$N$184, 13,FALSE), IFERROR(VLOOKUP($A738,'Vocus SIT ExDa'!$B$2:$J$173, 0,FALSE), IFERROR(VLOOKUP($A738,'Telstra ExDa'!$B$2:$K$310, 0,FALSE), IFERROR(VLOOKUP($A738,'Vocus RVC ExDa'!$C$2:$R$155, 0,FALSE), IFERROR(VLOOKUP($A738,'Fusion ExDa'!$B$2:$D$16, 0,FALSE), IFERROR(VLOOKUP($A738,'Exetel ExDa'!$C$2:$N$14, 0,FALSE), IFERROR(VLOOKUP($A738,'Infinet ExDa'!$B$2:$E$14, 0,FALSE), "Not Found"))))))))</f>
        <v>Not Found</v>
      </c>
    </row>
    <row r="739" spans="1:14">
      <c r="A739" t="str">
        <v>Zambrero Vermont South</v>
      </c>
      <c r="B739" t="str">
        <f>IFERROR(VLOOKUP(A739,'Exetel ExDa'!$C$2:$N$14,4,FALSE),"No Data")</f>
        <v>No Data</v>
      </c>
      <c r="C739" t="str">
        <f>IFERROR(VLOOKUP(A739,'AAPT ExDa'!$B$2:$U$99, 2,FALSE), IFERROR(VLOOKUP(A739,'ABB ExDa'!$A$2:$N$184, 2,FALSE), IFERROR(VLOOKUP(A739,'Vocus SIT ExDa'!$B$2:$J$173, 7,FALSE), IFERROR(VLOOKUP(A739,'Telstra ExDa'!$B$2:$K$310, 2,FALSE), IFERROR(VLOOKUP(A739,'Vocus RVC ExDa'!$C$2:$R$155, 3,FALSE), IFERROR(VLOOKUP(A739,'Fusion ExDa'!$B$2:$D$16, 2,FALSE), IFERROR(VLOOKUP(A739,'Exetel ExDa'!$C$2:$N$14, 2,FALSE), IFERROR(VLOOKUP(A739,'Infinet ExDa'!$B$2:$E$14, 2,FALSE), "Not Found"))))))))</f>
        <v>Shop 1, 475 Burwood Highway Vermont South VIC 3133</v>
      </c>
      <c r="D739" t="str">
        <f>IFERROR(VLOOKUP($A739,'AAPT ExDa'!$B$2:$U$99, 15,FALSE), IFERROR(VLOOKUP($A739,'ABB ExDa'!$A$2:$N$184, 4,FALSE), IFERROR(VLOOKUP($A739,'Vocus SIT ExDa'!$B$2:$J$173, 5,FALSE), IFERROR(VLOOKUP($A739,'Telstra ExDa'!$B$2:$K$310, 8,FALSE), IFERROR(VLOOKUP($A739,'Vocus RVC ExDa'!$C$2:$R$155, 6,FALSE), IFERROR(VLOOKUP($A739,'Fusion ExDa'!$B$2:$D$16, 4,FALSE), IFERROR(VLOOKUP($A739,'Exetel ExDa'!$C$2:$N$14, 3,FALSE), IFERROR(VLOOKUP($A739,'Infinet ExDa'!$B$2:$E$14, 3,FALSE), "Not Found"))))))))</f>
        <v>Telstra</v>
      </c>
      <c r="E739" t="str">
        <f>IFERROR(VLOOKUP($A739,'AAPT ExDa'!$B$2:$U$99, 3,FALSE), IFERROR(VLOOKUP($A739,'ABB ExDa'!$A$2:$N$184, 5,FALSE), IFERROR(VLOOKUP($A739,'Vocus SIT ExDa'!$B$2:$J$173, 2,FALSE), IFERROR(VLOOKUP($A739,'Telstra ExDa'!$B$2:$K$310, 4,FALSE), IFERROR(VLOOKUP($A739,'Vocus RVC ExDa'!$C$2:$R$155, 8,FALSE), IFERROR(VLOOKUP($A739,'Fusion ExDa'!$B$2:$D$16, 4,FALSE), IFERROR(VLOOKUP($A739,'Exetel ExDa'!$C$2:$N$14, 5,FALSE), IFERROR(VLOOKUP($A739,'Infinet ExDa'!$B$2:$E$14, 3,FALSE), "Not Found"))))))))</f>
        <v>Internet and Data 9372598090</v>
      </c>
      <c r="F739" t="str">
        <f>IFERROR(VLOOKUP($A739,'AAPT ExDa'!$B$2:$U$99, 4,FALSE), IFERROR(VLOOKUP($A739,'ABB ExDa'!$A$2:$N$184, 6,FALSE), IFERROR(VLOOKUP($A739,'Vocus SIT ExDa'!$B$2:$J$173, 3,FALSE), IFERROR(VLOOKUP($A739,'Telstra ExDa'!$B$2:$K$310, 5,FALSE), IFERROR(VLOOKUP($A739,'Vocus RVC ExDa'!$C$2:$R$155, 9,FALSE), IFERROR(VLOOKUP($A739,'Fusion ExDa'!$B$2:$D$16, 0,FALSE), IFERROR(VLOOKUP($A739,'Exetel ExDa'!$C$2:$N$14, 6,FALSE), IFERROR(VLOOKUP($A739,'Infinet ExDa'!$B$2:$E$14, 0,FALSE), "Not Found"))))))))</f>
        <v>burwood.zambrero@bigpond.com</v>
      </c>
      <c r="G739" t="str">
        <f>IFERROR(VLOOKUP($A739,'AAPT ExDa'!$B$2:$U$99, 5,FALSE), IFERROR(VLOOKUP($A739,'ABB ExDa'!$A$2:$N$184, 8,FALSE), IFERROR(VLOOKUP($A739,'Vocus SIT ExDa'!$B$2:$J$173, 6,FALSE), IFERROR(VLOOKUP($A739,'Telstra ExDa'!$B$2:$K$310, 0,FALSE), IFERROR(VLOOKUP($A739,'Vocus RVC ExDa'!$C$2:$R$155, 15,FALSE), IFERROR(VLOOKUP($A739,'Fusion ExDa'!$B$2:$D$16, 0,FALSE), IFERROR(VLOOKUP($A739,'Exetel ExDa'!$C$2:$N$14, 7,FALSE), IFERROR(VLOOKUP($A739,'Infinet ExDa'!$B$2:$E$14, 0,FALSE), "Not Found"))))))))</f>
        <v>Not Found</v>
      </c>
      <c r="H739" t="str">
        <f>IFERROR(VLOOKUP($A739,'AAPT ExDa'!$B$2:$U$99, 6,FALSE), IFERROR(VLOOKUP($A739,'ABB ExDa'!$A$2:$N$184, 0,FALSE), IFERROR(VLOOKUP($A739,'Vocus SIT ExDa'!$B$2:$J$173, 0,FALSE), IFERROR(VLOOKUP($A739,'Telstra ExDa'!$B$2:$K$310, 0,FALSE), IFERROR(VLOOKUP($A739,'Vocus RVC ExDa'!$C$2:$R$155, 16,FALSE), IFERROR(VLOOKUP($A739,'Fusion ExDa'!$B$2:$D$16, 0,FALSE), IFERROR(VLOOKUP($A739,'Exetel ExDa'!$C$2:$N$14, 0,FALSE), IFERROR(VLOOKUP($A739,'Infinet ExDa'!$B$2:$E$14, 0,FALSE), "Not Found"))))))))</f>
        <v>Not Found</v>
      </c>
      <c r="I739" t="str">
        <f>IFERROR(VLOOKUP($A739,'AAPT ExDa'!$B$2:$U$99, 0,FALSE), IFERROR(VLOOKUP($A739,'ABB ExDa'!$A$2:$N$184, 0,FALSE), IFERROR(VLOOKUP($A739,'Vocus SIT ExDa'!$B$2:$J$173, 0,FALSE), IFERROR(VLOOKUP($A739,'Telstra ExDa'!$B$2:$K$310, 0,FALSE), IFERROR(VLOOKUP($A739,'Vocus RVC ExDa'!$C$2:$R$155, 0,FALSE), IFERROR(VLOOKUP($A739,'Fusion ExDa'!$B$2:$D$16, 0,FALSE), IFERROR(VLOOKUP($A739,'Exetel ExDa'!$C$2:$N$14, 8,FALSE), IFERROR(VLOOKUP($A739,'Infinet ExDa'!$B$2:$E$14, 0,FALSE), "Not Found"))))))))</f>
        <v>Not Found</v>
      </c>
      <c r="J739">
        <f>IFERROR(VLOOKUP($A739,'AAPT ExDa'!$B$2:$U$99, 7,FALSE), IFERROR(VLOOKUP($A739,'ABB ExDa'!$A$2:$N$184, 2,FALSE), IFERROR(VLOOKUP($A739,'Vocus SIT ExDa'!$B$2:$J$173, 0,FALSE), IFERROR(VLOOKUP($A739,'Telstra ExDa'!$B$2:$K$310, 7,FALSE), IFERROR(VLOOKUP($A739,'Vocus RVC ExDa'!$C$2:$R$155, 2,FALSE), IFERROR(VLOOKUP($A739,'Fusion ExDa'!$B$2:$D$16, 3,FALSE), IFERROR(VLOOKUP($A739,'Exetel ExDa'!$C$2:$N$14, 0,FALSE), IFERROR(VLOOKUP($A739,'Infinet ExDa'!$B$2:$E$14, 0,FALSE), "Not Found"))))))))</f>
        <v>0</v>
      </c>
      <c r="K739" t="str">
        <f>IFERROR(VLOOKUP($A739,'AAPT ExDa'!$B$2:$U$99, 12,FALSE), IFERROR(VLOOKUP($A739,'ABB ExDa'!$A$2:$N$184, 0,FALSE), IFERROR(VLOOKUP($A739,'Vocus SIT ExDa'!$B$2:$J$173, 0,FALSE), IFERROR(VLOOKUP($A739,'Telstra ExDa'!$B$2:$K$310, 0,FALSE), IFERROR(VLOOKUP($A739,'Vocus RVC ExDa'!$C$2:$R$155, 0,FALSE), IFERROR(VLOOKUP($A739,'Fusion ExDa'!$B$2:$D$16, 0,FALSE), IFERROR(VLOOKUP($A739,'Exetel ExDa'!$C$2:$N$14, 12,FALSE), IFERROR(VLOOKUP($A739,'Infinet ExDa'!$B$2:$E$14, 0,FALSE), "Not Found"))))))))</f>
        <v>Not Found</v>
      </c>
      <c r="L739" s="235" t="str">
        <f>IFERROR(VLOOKUP($A739,'AAPT ExDa'!$B$2:$U$99, 11,FALSE), IFERROR(VLOOKUP($A739,'ABB ExDa'!$A$2:$N$184, 9,FALSE), IFERROR(VLOOKUP($A739,'Vocus SIT ExDa'!$B$2:$J$173, 8,FALSE), IFERROR(VLOOKUP($A739,'Telstra ExDa'!$B$2:$K$310, 0,FALSE), IFERROR(VLOOKUP($A739,'Vocus RVC ExDa'!$C$2:$R$155, 0,FALSE), IFERROR(VLOOKUP($A739,'Fusion ExDa'!$B$2:$D$16, 0,FALSE), IFERROR(VLOOKUP($A739,'Exetel ExDa'!$C$2:$N$14, 9,FALSE), IFERROR(VLOOKUP($A739,'Infinet ExDa'!$B$2:$E$14, 0,FALSE), "Not Found"))))))))</f>
        <v>Not Found</v>
      </c>
      <c r="M739" s="234" t="str">
        <f>IFERROR(VLOOKUP($A739,'AAPT ExDa'!$B$2:$U$99, 0,FALSE), IFERROR(VLOOKUP($A739,'ABB ExDa'!$A$2:$N$184, 0,FALSE), IFERROR(VLOOKUP($A739,'Vocus SIT ExDa'!$B$2:$J$173, 0,FALSE), IFERROR(VLOOKUP($A739,'Telstra ExDa'!$B$2:$K$310, 0,FALSE), IFERROR(VLOOKUP($A739,'Vocus RVC ExDa'!$C$2:$R$155, 0,FALSE), IFERROR(VLOOKUP($A739,'Fusion ExDa'!$B$2:$D$16, 0,FALSE), IFERROR(VLOOKUP($A739,'Exetel ExDa'!$C$2:$N$14, 11,FALSE), IFERROR(VLOOKUP($A739,'Infinet ExDa'!$B$2:$E$14, 0,FALSE), "Not Found"))))))))</f>
        <v>Not Found</v>
      </c>
      <c r="N739" t="str">
        <f>IFERROR(VLOOKUP($A739,'AAPT ExDa'!$B$2:$U$99, 0,FALSE), IFERROR(VLOOKUP($A739,'ABB ExDa'!$A$2:$N$184, 13,FALSE), IFERROR(VLOOKUP($A739,'Vocus SIT ExDa'!$B$2:$J$173, 0,FALSE), IFERROR(VLOOKUP($A739,'Telstra ExDa'!$B$2:$K$310, 0,FALSE), IFERROR(VLOOKUP($A739,'Vocus RVC ExDa'!$C$2:$R$155, 0,FALSE), IFERROR(VLOOKUP($A739,'Fusion ExDa'!$B$2:$D$16, 0,FALSE), IFERROR(VLOOKUP($A739,'Exetel ExDa'!$C$2:$N$14, 0,FALSE), IFERROR(VLOOKUP($A739,'Infinet ExDa'!$B$2:$E$14, 0,FALSE), "Not Found"))))))))</f>
        <v>Not Found</v>
      </c>
    </row>
    <row r="740" spans="1:14">
      <c r="A740" t="str">
        <v>Holy Shot</v>
      </c>
      <c r="B740" t="str">
        <f>IFERROR(VLOOKUP(A740,'Exetel ExDa'!$C$2:$N$14,4,FALSE),"No Data")</f>
        <v>No Data</v>
      </c>
      <c r="C740" t="str">
        <f>IFERROR(VLOOKUP(A740,'AAPT ExDa'!$B$2:$U$99, 2,FALSE), IFERROR(VLOOKUP(A740,'ABB ExDa'!$A$2:$N$184, 2,FALSE), IFERROR(VLOOKUP(A740,'Vocus SIT ExDa'!$B$2:$J$173, 7,FALSE), IFERROR(VLOOKUP(A740,'Telstra ExDa'!$B$2:$K$310, 2,FALSE), IFERROR(VLOOKUP(A740,'Vocus RVC ExDa'!$C$2:$R$155, 3,FALSE), IFERROR(VLOOKUP(A740,'Fusion ExDa'!$B$2:$D$16, 2,FALSE), IFERROR(VLOOKUP(A740,'Exetel ExDa'!$C$2:$N$14, 2,FALSE), IFERROR(VLOOKUP(A740,'Infinet ExDa'!$B$2:$E$14, 2,FALSE), "Not Found"))))))))</f>
        <v>Shop 2, 938 Brunswick Street, New Farm, QLD 4005</v>
      </c>
      <c r="D740" t="str">
        <f>IFERROR(VLOOKUP($A740,'AAPT ExDa'!$B$2:$U$99, 15,FALSE), IFERROR(VLOOKUP($A740,'ABB ExDa'!$A$2:$N$184, 4,FALSE), IFERROR(VLOOKUP($A740,'Vocus SIT ExDa'!$B$2:$J$173, 5,FALSE), IFERROR(VLOOKUP($A740,'Telstra ExDa'!$B$2:$K$310, 8,FALSE), IFERROR(VLOOKUP($A740,'Vocus RVC ExDa'!$C$2:$R$155, 6,FALSE), IFERROR(VLOOKUP($A740,'Fusion ExDa'!$B$2:$D$16, 4,FALSE), IFERROR(VLOOKUP($A740,'Exetel ExDa'!$C$2:$N$14, 3,FALSE), IFERROR(VLOOKUP($A740,'Infinet ExDa'!$B$2:$E$14, 3,FALSE), "Not Found"))))))))</f>
        <v>Telstra</v>
      </c>
      <c r="E740" t="str">
        <f>IFERROR(VLOOKUP($A740,'AAPT ExDa'!$B$2:$U$99, 3,FALSE), IFERROR(VLOOKUP($A740,'ABB ExDa'!$A$2:$N$184, 5,FALSE), IFERROR(VLOOKUP($A740,'Vocus SIT ExDa'!$B$2:$J$173, 2,FALSE), IFERROR(VLOOKUP($A740,'Telstra ExDa'!$B$2:$K$310, 4,FALSE), IFERROR(VLOOKUP($A740,'Vocus RVC ExDa'!$C$2:$R$155, 8,FALSE), IFERROR(VLOOKUP($A740,'Fusion ExDa'!$B$2:$D$16, 4,FALSE), IFERROR(VLOOKUP($A740,'Exetel ExDa'!$C$2:$N$14, 5,FALSE), IFERROR(VLOOKUP($A740,'Infinet ExDa'!$B$2:$E$14, 3,FALSE), "Not Found"))))))))</f>
        <v>Internet and Data 3499568680</v>
      </c>
      <c r="F740" t="str">
        <f>IFERROR(VLOOKUP($A740,'AAPT ExDa'!$B$2:$U$99, 4,FALSE), IFERROR(VLOOKUP($A740,'ABB ExDa'!$A$2:$N$184, 6,FALSE), IFERROR(VLOOKUP($A740,'Vocus SIT ExDa'!$B$2:$J$173, 3,FALSE), IFERROR(VLOOKUP($A740,'Telstra ExDa'!$B$2:$K$310, 5,FALSE), IFERROR(VLOOKUP($A740,'Vocus RVC ExDa'!$C$2:$R$155, 9,FALSE), IFERROR(VLOOKUP($A740,'Fusion ExDa'!$B$2:$D$16, 0,FALSE), IFERROR(VLOOKUP($A740,'Exetel ExDa'!$C$2:$N$14, 6,FALSE), IFERROR(VLOOKUP($A740,'Infinet ExDa'!$B$2:$E$14, 0,FALSE), "Not Found"))))))))</f>
        <v>AVC000121449559</v>
      </c>
      <c r="G740" t="str">
        <f>IFERROR(VLOOKUP($A740,'AAPT ExDa'!$B$2:$U$99, 5,FALSE), IFERROR(VLOOKUP($A740,'ABB ExDa'!$A$2:$N$184, 8,FALSE), IFERROR(VLOOKUP($A740,'Vocus SIT ExDa'!$B$2:$J$173, 6,FALSE), IFERROR(VLOOKUP($A740,'Telstra ExDa'!$B$2:$K$310, 0,FALSE), IFERROR(VLOOKUP($A740,'Vocus RVC ExDa'!$C$2:$R$155, 15,FALSE), IFERROR(VLOOKUP($A740,'Fusion ExDa'!$B$2:$D$16, 0,FALSE), IFERROR(VLOOKUP($A740,'Exetel ExDa'!$C$2:$N$14, 7,FALSE), IFERROR(VLOOKUP($A740,'Infinet ExDa'!$B$2:$E$14, 0,FALSE), "Not Found"))))))))</f>
        <v>Not Found</v>
      </c>
      <c r="H740" t="str">
        <f>IFERROR(VLOOKUP($A740,'AAPT ExDa'!$B$2:$U$99, 6,FALSE), IFERROR(VLOOKUP($A740,'ABB ExDa'!$A$2:$N$184, 0,FALSE), IFERROR(VLOOKUP($A740,'Vocus SIT ExDa'!$B$2:$J$173, 0,FALSE), IFERROR(VLOOKUP($A740,'Telstra ExDa'!$B$2:$K$310, 0,FALSE), IFERROR(VLOOKUP($A740,'Vocus RVC ExDa'!$C$2:$R$155, 16,FALSE), IFERROR(VLOOKUP($A740,'Fusion ExDa'!$B$2:$D$16, 0,FALSE), IFERROR(VLOOKUP($A740,'Exetel ExDa'!$C$2:$N$14, 0,FALSE), IFERROR(VLOOKUP($A740,'Infinet ExDa'!$B$2:$E$14, 0,FALSE), "Not Found"))))))))</f>
        <v>Not Found</v>
      </c>
      <c r="I740" t="str">
        <f>IFERROR(VLOOKUP($A740,'AAPT ExDa'!$B$2:$U$99, 0,FALSE), IFERROR(VLOOKUP($A740,'ABB ExDa'!$A$2:$N$184, 0,FALSE), IFERROR(VLOOKUP($A740,'Vocus SIT ExDa'!$B$2:$J$173, 0,FALSE), IFERROR(VLOOKUP($A740,'Telstra ExDa'!$B$2:$K$310, 0,FALSE), IFERROR(VLOOKUP($A740,'Vocus RVC ExDa'!$C$2:$R$155, 0,FALSE), IFERROR(VLOOKUP($A740,'Fusion ExDa'!$B$2:$D$16, 0,FALSE), IFERROR(VLOOKUP($A740,'Exetel ExDa'!$C$2:$N$14, 8,FALSE), IFERROR(VLOOKUP($A740,'Infinet ExDa'!$B$2:$E$14, 0,FALSE), "Not Found"))))))))</f>
        <v>Not Found</v>
      </c>
      <c r="J740">
        <f>IFERROR(VLOOKUP($A740,'AAPT ExDa'!$B$2:$U$99, 7,FALSE), IFERROR(VLOOKUP($A740,'ABB ExDa'!$A$2:$N$184, 2,FALSE), IFERROR(VLOOKUP($A740,'Vocus SIT ExDa'!$B$2:$J$173, 0,FALSE), IFERROR(VLOOKUP($A740,'Telstra ExDa'!$B$2:$K$310, 7,FALSE), IFERROR(VLOOKUP($A740,'Vocus RVC ExDa'!$C$2:$R$155, 2,FALSE), IFERROR(VLOOKUP($A740,'Fusion ExDa'!$B$2:$D$16, 3,FALSE), IFERROR(VLOOKUP($A740,'Exetel ExDa'!$C$2:$N$14, 0,FALSE), IFERROR(VLOOKUP($A740,'Infinet ExDa'!$B$2:$E$14, 0,FALSE), "Not Found"))))))))</f>
        <v>0</v>
      </c>
      <c r="K740" t="str">
        <f>IFERROR(VLOOKUP($A740,'AAPT ExDa'!$B$2:$U$99, 12,FALSE), IFERROR(VLOOKUP($A740,'ABB ExDa'!$A$2:$N$184, 0,FALSE), IFERROR(VLOOKUP($A740,'Vocus SIT ExDa'!$B$2:$J$173, 0,FALSE), IFERROR(VLOOKUP($A740,'Telstra ExDa'!$B$2:$K$310, 0,FALSE), IFERROR(VLOOKUP($A740,'Vocus RVC ExDa'!$C$2:$R$155, 0,FALSE), IFERROR(VLOOKUP($A740,'Fusion ExDa'!$B$2:$D$16, 0,FALSE), IFERROR(VLOOKUP($A740,'Exetel ExDa'!$C$2:$N$14, 12,FALSE), IFERROR(VLOOKUP($A740,'Infinet ExDa'!$B$2:$E$14, 0,FALSE), "Not Found"))))))))</f>
        <v>Not Found</v>
      </c>
      <c r="L740" s="235" t="str">
        <f>IFERROR(VLOOKUP($A740,'AAPT ExDa'!$B$2:$U$99, 11,FALSE), IFERROR(VLOOKUP($A740,'ABB ExDa'!$A$2:$N$184, 9,FALSE), IFERROR(VLOOKUP($A740,'Vocus SIT ExDa'!$B$2:$J$173, 8,FALSE), IFERROR(VLOOKUP($A740,'Telstra ExDa'!$B$2:$K$310, 0,FALSE), IFERROR(VLOOKUP($A740,'Vocus RVC ExDa'!$C$2:$R$155, 0,FALSE), IFERROR(VLOOKUP($A740,'Fusion ExDa'!$B$2:$D$16, 0,FALSE), IFERROR(VLOOKUP($A740,'Exetel ExDa'!$C$2:$N$14, 9,FALSE), IFERROR(VLOOKUP($A740,'Infinet ExDa'!$B$2:$E$14, 0,FALSE), "Not Found"))))))))</f>
        <v>Not Found</v>
      </c>
      <c r="M740" s="234" t="str">
        <f>IFERROR(VLOOKUP($A740,'AAPT ExDa'!$B$2:$U$99, 0,FALSE), IFERROR(VLOOKUP($A740,'ABB ExDa'!$A$2:$N$184, 0,FALSE), IFERROR(VLOOKUP($A740,'Vocus SIT ExDa'!$B$2:$J$173, 0,FALSE), IFERROR(VLOOKUP($A740,'Telstra ExDa'!$B$2:$K$310, 0,FALSE), IFERROR(VLOOKUP($A740,'Vocus RVC ExDa'!$C$2:$R$155, 0,FALSE), IFERROR(VLOOKUP($A740,'Fusion ExDa'!$B$2:$D$16, 0,FALSE), IFERROR(VLOOKUP($A740,'Exetel ExDa'!$C$2:$N$14, 11,FALSE), IFERROR(VLOOKUP($A740,'Infinet ExDa'!$B$2:$E$14, 0,FALSE), "Not Found"))))))))</f>
        <v>Not Found</v>
      </c>
      <c r="N740" t="str">
        <f>IFERROR(VLOOKUP($A740,'AAPT ExDa'!$B$2:$U$99, 0,FALSE), IFERROR(VLOOKUP($A740,'ABB ExDa'!$A$2:$N$184, 13,FALSE), IFERROR(VLOOKUP($A740,'Vocus SIT ExDa'!$B$2:$J$173, 0,FALSE), IFERROR(VLOOKUP($A740,'Telstra ExDa'!$B$2:$K$310, 0,FALSE), IFERROR(VLOOKUP($A740,'Vocus RVC ExDa'!$C$2:$R$155, 0,FALSE), IFERROR(VLOOKUP($A740,'Fusion ExDa'!$B$2:$D$16, 0,FALSE), IFERROR(VLOOKUP($A740,'Exetel ExDa'!$C$2:$N$14, 0,FALSE), IFERROR(VLOOKUP($A740,'Infinet ExDa'!$B$2:$E$14, 0,FALSE), "Not Found"))))))))</f>
        <v>Not Found</v>
      </c>
    </row>
    <row r="741" spans="1:14">
      <c r="A741" t="str">
        <v>Zambrero Kwinana</v>
      </c>
      <c r="B741" t="str">
        <f>IFERROR(VLOOKUP(A741,'Exetel ExDa'!$C$2:$N$14,4,FALSE),"No Data")</f>
        <v>No Data</v>
      </c>
      <c r="C741" t="str">
        <f>IFERROR(VLOOKUP(A741,'AAPT ExDa'!$B$2:$U$99, 2,FALSE), IFERROR(VLOOKUP(A741,'ABB ExDa'!$A$2:$N$184, 2,FALSE), IFERROR(VLOOKUP(A741,'Vocus SIT ExDa'!$B$2:$J$173, 7,FALSE), IFERROR(VLOOKUP(A741,'Telstra ExDa'!$B$2:$K$310, 2,FALSE), IFERROR(VLOOKUP(A741,'Vocus RVC ExDa'!$C$2:$R$155, 3,FALSE), IFERROR(VLOOKUP(A741,'Fusion ExDa'!$B$2:$D$16, 2,FALSE), IFERROR(VLOOKUP(A741,'Exetel ExDa'!$C$2:$N$14, 2,FALSE), IFERROR(VLOOKUP(A741,'Infinet ExDa'!$B$2:$E$14, 2,FALSE), "Not Found"))))))))</f>
        <v>SHOP 104, G, BG 1 KWINANA MARKETPLACE, KWINANA TOWN CENTRE WA 6167</v>
      </c>
      <c r="D741" t="str">
        <f>IFERROR(VLOOKUP($A741,'AAPT ExDa'!$B$2:$U$99, 15,FALSE), IFERROR(VLOOKUP($A741,'ABB ExDa'!$A$2:$N$184, 4,FALSE), IFERROR(VLOOKUP($A741,'Vocus SIT ExDa'!$B$2:$J$173, 5,FALSE), IFERROR(VLOOKUP($A741,'Telstra ExDa'!$B$2:$K$310, 8,FALSE), IFERROR(VLOOKUP($A741,'Vocus RVC ExDa'!$C$2:$R$155, 6,FALSE), IFERROR(VLOOKUP($A741,'Fusion ExDa'!$B$2:$D$16, 4,FALSE), IFERROR(VLOOKUP($A741,'Exetel ExDa'!$C$2:$N$14, 3,FALSE), IFERROR(VLOOKUP($A741,'Infinet ExDa'!$B$2:$E$14, 3,FALSE), "Not Found"))))))))</f>
        <v>Telstra</v>
      </c>
      <c r="E741" t="str">
        <f>IFERROR(VLOOKUP($A741,'AAPT ExDa'!$B$2:$U$99, 3,FALSE), IFERROR(VLOOKUP($A741,'ABB ExDa'!$A$2:$N$184, 5,FALSE), IFERROR(VLOOKUP($A741,'Vocus SIT ExDa'!$B$2:$J$173, 2,FALSE), IFERROR(VLOOKUP($A741,'Telstra ExDa'!$B$2:$K$310, 4,FALSE), IFERROR(VLOOKUP($A741,'Vocus RVC ExDa'!$C$2:$R$155, 8,FALSE), IFERROR(VLOOKUP($A741,'Fusion ExDa'!$B$2:$D$16, 4,FALSE), IFERROR(VLOOKUP($A741,'Exetel ExDa'!$C$2:$N$14, 5,FALSE), IFERROR(VLOOKUP($A741,'Infinet ExDa'!$B$2:$E$14, 3,FALSE), "Not Found"))))))))</f>
        <v>Standard Speed NBN 25Mbps &amp; Static IP</v>
      </c>
      <c r="F741" t="str">
        <f>IFERROR(VLOOKUP($A741,'AAPT ExDa'!$B$2:$U$99, 4,FALSE), IFERROR(VLOOKUP($A741,'ABB ExDa'!$A$2:$N$184, 6,FALSE), IFERROR(VLOOKUP($A741,'Vocus SIT ExDa'!$B$2:$J$173, 3,FALSE), IFERROR(VLOOKUP($A741,'Telstra ExDa'!$B$2:$K$310, 5,FALSE), IFERROR(VLOOKUP($A741,'Vocus RVC ExDa'!$C$2:$R$155, 9,FALSE), IFERROR(VLOOKUP($A741,'Fusion ExDa'!$B$2:$D$16, 0,FALSE), IFERROR(VLOOKUP($A741,'Exetel ExDa'!$C$2:$N$14, 6,FALSE), IFERROR(VLOOKUP($A741,'Infinet ExDa'!$B$2:$E$14, 0,FALSE), "Not Found"))))))))</f>
        <v>accountm016@bigpond.com</v>
      </c>
      <c r="G741" t="str">
        <f>IFERROR(VLOOKUP($A741,'AAPT ExDa'!$B$2:$U$99, 5,FALSE), IFERROR(VLOOKUP($A741,'ABB ExDa'!$A$2:$N$184, 8,FALSE), IFERROR(VLOOKUP($A741,'Vocus SIT ExDa'!$B$2:$J$173, 6,FALSE), IFERROR(VLOOKUP($A741,'Telstra ExDa'!$B$2:$K$310, 0,FALSE), IFERROR(VLOOKUP($A741,'Vocus RVC ExDa'!$C$2:$R$155, 15,FALSE), IFERROR(VLOOKUP($A741,'Fusion ExDa'!$B$2:$D$16, 0,FALSE), IFERROR(VLOOKUP($A741,'Exetel ExDa'!$C$2:$N$14, 7,FALSE), IFERROR(VLOOKUP($A741,'Infinet ExDa'!$B$2:$E$14, 0,FALSE), "Not Found"))))))))</f>
        <v>Not Found</v>
      </c>
      <c r="H741" t="str">
        <f>IFERROR(VLOOKUP($A741,'AAPT ExDa'!$B$2:$U$99, 6,FALSE), IFERROR(VLOOKUP($A741,'ABB ExDa'!$A$2:$N$184, 0,FALSE), IFERROR(VLOOKUP($A741,'Vocus SIT ExDa'!$B$2:$J$173, 0,FALSE), IFERROR(VLOOKUP($A741,'Telstra ExDa'!$B$2:$K$310, 0,FALSE), IFERROR(VLOOKUP($A741,'Vocus RVC ExDa'!$C$2:$R$155, 16,FALSE), IFERROR(VLOOKUP($A741,'Fusion ExDa'!$B$2:$D$16, 0,FALSE), IFERROR(VLOOKUP($A741,'Exetel ExDa'!$C$2:$N$14, 0,FALSE), IFERROR(VLOOKUP($A741,'Infinet ExDa'!$B$2:$E$14, 0,FALSE), "Not Found"))))))))</f>
        <v>Not Found</v>
      </c>
      <c r="I741" t="str">
        <f>IFERROR(VLOOKUP($A741,'AAPT ExDa'!$B$2:$U$99, 0,FALSE), IFERROR(VLOOKUP($A741,'ABB ExDa'!$A$2:$N$184, 0,FALSE), IFERROR(VLOOKUP($A741,'Vocus SIT ExDa'!$B$2:$J$173, 0,FALSE), IFERROR(VLOOKUP($A741,'Telstra ExDa'!$B$2:$K$310, 0,FALSE), IFERROR(VLOOKUP($A741,'Vocus RVC ExDa'!$C$2:$R$155, 0,FALSE), IFERROR(VLOOKUP($A741,'Fusion ExDa'!$B$2:$D$16, 0,FALSE), IFERROR(VLOOKUP($A741,'Exetel ExDa'!$C$2:$N$14, 8,FALSE), IFERROR(VLOOKUP($A741,'Infinet ExDa'!$B$2:$E$14, 0,FALSE), "Not Found"))))))))</f>
        <v>Not Found</v>
      </c>
      <c r="J741">
        <f>IFERROR(VLOOKUP($A741,'AAPT ExDa'!$B$2:$U$99, 7,FALSE), IFERROR(VLOOKUP($A741,'ABB ExDa'!$A$2:$N$184, 2,FALSE), IFERROR(VLOOKUP($A741,'Vocus SIT ExDa'!$B$2:$J$173, 0,FALSE), IFERROR(VLOOKUP($A741,'Telstra ExDa'!$B$2:$K$310, 7,FALSE), IFERROR(VLOOKUP($A741,'Vocus RVC ExDa'!$C$2:$R$155, 2,FALSE), IFERROR(VLOOKUP($A741,'Fusion ExDa'!$B$2:$D$16, 3,FALSE), IFERROR(VLOOKUP($A741,'Exetel ExDa'!$C$2:$N$14, 0,FALSE), IFERROR(VLOOKUP($A741,'Infinet ExDa'!$B$2:$E$14, 0,FALSE), "Not Found"))))))))</f>
        <v>0</v>
      </c>
      <c r="K741" t="str">
        <f>IFERROR(VLOOKUP($A741,'AAPT ExDa'!$B$2:$U$99, 12,FALSE), IFERROR(VLOOKUP($A741,'ABB ExDa'!$A$2:$N$184, 0,FALSE), IFERROR(VLOOKUP($A741,'Vocus SIT ExDa'!$B$2:$J$173, 0,FALSE), IFERROR(VLOOKUP($A741,'Telstra ExDa'!$B$2:$K$310, 0,FALSE), IFERROR(VLOOKUP($A741,'Vocus RVC ExDa'!$C$2:$R$155, 0,FALSE), IFERROR(VLOOKUP($A741,'Fusion ExDa'!$B$2:$D$16, 0,FALSE), IFERROR(VLOOKUP($A741,'Exetel ExDa'!$C$2:$N$14, 12,FALSE), IFERROR(VLOOKUP($A741,'Infinet ExDa'!$B$2:$E$14, 0,FALSE), "Not Found"))))))))</f>
        <v>Not Found</v>
      </c>
      <c r="L741" s="235" t="str">
        <f>IFERROR(VLOOKUP($A741,'AAPT ExDa'!$B$2:$U$99, 11,FALSE), IFERROR(VLOOKUP($A741,'ABB ExDa'!$A$2:$N$184, 9,FALSE), IFERROR(VLOOKUP($A741,'Vocus SIT ExDa'!$B$2:$J$173, 8,FALSE), IFERROR(VLOOKUP($A741,'Telstra ExDa'!$B$2:$K$310, 0,FALSE), IFERROR(VLOOKUP($A741,'Vocus RVC ExDa'!$C$2:$R$155, 0,FALSE), IFERROR(VLOOKUP($A741,'Fusion ExDa'!$B$2:$D$16, 0,FALSE), IFERROR(VLOOKUP($A741,'Exetel ExDa'!$C$2:$N$14, 9,FALSE), IFERROR(VLOOKUP($A741,'Infinet ExDa'!$B$2:$E$14, 0,FALSE), "Not Found"))))))))</f>
        <v>Not Found</v>
      </c>
      <c r="M741" s="234" t="str">
        <f>IFERROR(VLOOKUP($A741,'AAPT ExDa'!$B$2:$U$99, 0,FALSE), IFERROR(VLOOKUP($A741,'ABB ExDa'!$A$2:$N$184, 0,FALSE), IFERROR(VLOOKUP($A741,'Vocus SIT ExDa'!$B$2:$J$173, 0,FALSE), IFERROR(VLOOKUP($A741,'Telstra ExDa'!$B$2:$K$310, 0,FALSE), IFERROR(VLOOKUP($A741,'Vocus RVC ExDa'!$C$2:$R$155, 0,FALSE), IFERROR(VLOOKUP($A741,'Fusion ExDa'!$B$2:$D$16, 0,FALSE), IFERROR(VLOOKUP($A741,'Exetel ExDa'!$C$2:$N$14, 11,FALSE), IFERROR(VLOOKUP($A741,'Infinet ExDa'!$B$2:$E$14, 0,FALSE), "Not Found"))))))))</f>
        <v>Not Found</v>
      </c>
      <c r="N741" t="str">
        <f>IFERROR(VLOOKUP($A741,'AAPT ExDa'!$B$2:$U$99, 0,FALSE), IFERROR(VLOOKUP($A741,'ABB ExDa'!$A$2:$N$184, 13,FALSE), IFERROR(VLOOKUP($A741,'Vocus SIT ExDa'!$B$2:$J$173, 0,FALSE), IFERROR(VLOOKUP($A741,'Telstra ExDa'!$B$2:$K$310, 0,FALSE), IFERROR(VLOOKUP($A741,'Vocus RVC ExDa'!$C$2:$R$155, 0,FALSE), IFERROR(VLOOKUP($A741,'Fusion ExDa'!$B$2:$D$16, 0,FALSE), IFERROR(VLOOKUP($A741,'Exetel ExDa'!$C$2:$N$14, 0,FALSE), IFERROR(VLOOKUP($A741,'Infinet ExDa'!$B$2:$E$14, 0,FALSE), "Not Found"))))))))</f>
        <v>Not Found</v>
      </c>
    </row>
    <row r="742" spans="1:14">
      <c r="A742" t="str">
        <v>Zambrero Bassendean</v>
      </c>
      <c r="B742" t="str">
        <f>IFERROR(VLOOKUP(A742,'Exetel ExDa'!$C$2:$N$14,4,FALSE),"No Data")</f>
        <v>No Data</v>
      </c>
      <c r="C742" t="str">
        <f>IFERROR(VLOOKUP(A742,'AAPT ExDa'!$B$2:$U$99, 2,FALSE), IFERROR(VLOOKUP(A742,'ABB ExDa'!$A$2:$N$184, 2,FALSE), IFERROR(VLOOKUP(A742,'Vocus SIT ExDa'!$B$2:$J$173, 7,FALSE), IFERROR(VLOOKUP(A742,'Telstra ExDa'!$B$2:$K$310, 2,FALSE), IFERROR(VLOOKUP(A742,'Vocus RVC ExDa'!$C$2:$R$155, 3,FALSE), IFERROR(VLOOKUP(A742,'Fusion ExDa'!$B$2:$D$16, 2,FALSE), IFERROR(VLOOKUP(A742,'Exetel ExDa'!$C$2:$N$14, 2,FALSE), IFERROR(VLOOKUP(A742,'Infinet ExDa'!$B$2:$E$14, 2,FALSE), "Not Found"))))))))</f>
        <v>HAWAIIAN'S BASSENDEAN SHOPPING CENTRE, BG 1, G, SHOP 8A, BASSENDEAN WA 6054</v>
      </c>
      <c r="D742" t="str">
        <f>IFERROR(VLOOKUP($A742,'AAPT ExDa'!$B$2:$U$99, 15,FALSE), IFERROR(VLOOKUP($A742,'ABB ExDa'!$A$2:$N$184, 4,FALSE), IFERROR(VLOOKUP($A742,'Vocus SIT ExDa'!$B$2:$J$173, 5,FALSE), IFERROR(VLOOKUP($A742,'Telstra ExDa'!$B$2:$K$310, 8,FALSE), IFERROR(VLOOKUP($A742,'Vocus RVC ExDa'!$C$2:$R$155, 6,FALSE), IFERROR(VLOOKUP($A742,'Fusion ExDa'!$B$2:$D$16, 4,FALSE), IFERROR(VLOOKUP($A742,'Exetel ExDa'!$C$2:$N$14, 3,FALSE), IFERROR(VLOOKUP($A742,'Infinet ExDa'!$B$2:$E$14, 3,FALSE), "Not Found"))))))))</f>
        <v>Telstra</v>
      </c>
      <c r="E742" t="str">
        <f>IFERROR(VLOOKUP($A742,'AAPT ExDa'!$B$2:$U$99, 3,FALSE), IFERROR(VLOOKUP($A742,'ABB ExDa'!$A$2:$N$184, 5,FALSE), IFERROR(VLOOKUP($A742,'Vocus SIT ExDa'!$B$2:$J$173, 2,FALSE), IFERROR(VLOOKUP($A742,'Telstra ExDa'!$B$2:$K$310, 4,FALSE), IFERROR(VLOOKUP($A742,'Vocus RVC ExDa'!$C$2:$R$155, 8,FALSE), IFERROR(VLOOKUP($A742,'Fusion ExDa'!$B$2:$D$16, 4,FALSE), IFERROR(VLOOKUP($A742,'Exetel ExDa'!$C$2:$N$14, 5,FALSE), IFERROR(VLOOKUP($A742,'Infinet ExDa'!$B$2:$E$14, 3,FALSE), "Not Found"))))))))</f>
        <v>Standard Speed NBN 25Mbps</v>
      </c>
      <c r="F742" t="str">
        <f>IFERROR(VLOOKUP($A742,'AAPT ExDa'!$B$2:$U$99, 4,FALSE), IFERROR(VLOOKUP($A742,'ABB ExDa'!$A$2:$N$184, 6,FALSE), IFERROR(VLOOKUP($A742,'Vocus SIT ExDa'!$B$2:$J$173, 3,FALSE), IFERROR(VLOOKUP($A742,'Telstra ExDa'!$B$2:$K$310, 5,FALSE), IFERROR(VLOOKUP($A742,'Vocus RVC ExDa'!$C$2:$R$155, 9,FALSE), IFERROR(VLOOKUP($A742,'Fusion ExDa'!$B$2:$D$16, 0,FALSE), IFERROR(VLOOKUP($A742,'Exetel ExDa'!$C$2:$N$14, 6,FALSE), IFERROR(VLOOKUP($A742,'Infinet ExDa'!$B$2:$E$14, 0,FALSE), "Not Found"))))))))</f>
        <v>aattard542@bigpond.com</v>
      </c>
      <c r="G742" t="str">
        <f>IFERROR(VLOOKUP($A742,'AAPT ExDa'!$B$2:$U$99, 5,FALSE), IFERROR(VLOOKUP($A742,'ABB ExDa'!$A$2:$N$184, 8,FALSE), IFERROR(VLOOKUP($A742,'Vocus SIT ExDa'!$B$2:$J$173, 6,FALSE), IFERROR(VLOOKUP($A742,'Telstra ExDa'!$B$2:$K$310, 0,FALSE), IFERROR(VLOOKUP($A742,'Vocus RVC ExDa'!$C$2:$R$155, 15,FALSE), IFERROR(VLOOKUP($A742,'Fusion ExDa'!$B$2:$D$16, 0,FALSE), IFERROR(VLOOKUP($A742,'Exetel ExDa'!$C$2:$N$14, 7,FALSE), IFERROR(VLOOKUP($A742,'Infinet ExDa'!$B$2:$E$14, 0,FALSE), "Not Found"))))))))</f>
        <v>Not Found</v>
      </c>
      <c r="H742" t="str">
        <f>IFERROR(VLOOKUP($A742,'AAPT ExDa'!$B$2:$U$99, 6,FALSE), IFERROR(VLOOKUP($A742,'ABB ExDa'!$A$2:$N$184, 0,FALSE), IFERROR(VLOOKUP($A742,'Vocus SIT ExDa'!$B$2:$J$173, 0,FALSE), IFERROR(VLOOKUP($A742,'Telstra ExDa'!$B$2:$K$310, 0,FALSE), IFERROR(VLOOKUP($A742,'Vocus RVC ExDa'!$C$2:$R$155, 16,FALSE), IFERROR(VLOOKUP($A742,'Fusion ExDa'!$B$2:$D$16, 0,FALSE), IFERROR(VLOOKUP($A742,'Exetel ExDa'!$C$2:$N$14, 0,FALSE), IFERROR(VLOOKUP($A742,'Infinet ExDa'!$B$2:$E$14, 0,FALSE), "Not Found"))))))))</f>
        <v>Not Found</v>
      </c>
      <c r="I742" t="str">
        <f>IFERROR(VLOOKUP($A742,'AAPT ExDa'!$B$2:$U$99, 0,FALSE), IFERROR(VLOOKUP($A742,'ABB ExDa'!$A$2:$N$184, 0,FALSE), IFERROR(VLOOKUP($A742,'Vocus SIT ExDa'!$B$2:$J$173, 0,FALSE), IFERROR(VLOOKUP($A742,'Telstra ExDa'!$B$2:$K$310, 0,FALSE), IFERROR(VLOOKUP($A742,'Vocus RVC ExDa'!$C$2:$R$155, 0,FALSE), IFERROR(VLOOKUP($A742,'Fusion ExDa'!$B$2:$D$16, 0,FALSE), IFERROR(VLOOKUP($A742,'Exetel ExDa'!$C$2:$N$14, 8,FALSE), IFERROR(VLOOKUP($A742,'Infinet ExDa'!$B$2:$E$14, 0,FALSE), "Not Found"))))))))</f>
        <v>Not Found</v>
      </c>
      <c r="J742">
        <f>IFERROR(VLOOKUP($A742,'AAPT ExDa'!$B$2:$U$99, 7,FALSE), IFERROR(VLOOKUP($A742,'ABB ExDa'!$A$2:$N$184, 2,FALSE), IFERROR(VLOOKUP($A742,'Vocus SIT ExDa'!$B$2:$J$173, 0,FALSE), IFERROR(VLOOKUP($A742,'Telstra ExDa'!$B$2:$K$310, 7,FALSE), IFERROR(VLOOKUP($A742,'Vocus RVC ExDa'!$C$2:$R$155, 2,FALSE), IFERROR(VLOOKUP($A742,'Fusion ExDa'!$B$2:$D$16, 3,FALSE), IFERROR(VLOOKUP($A742,'Exetel ExDa'!$C$2:$N$14, 0,FALSE), IFERROR(VLOOKUP($A742,'Infinet ExDa'!$B$2:$E$14, 0,FALSE), "Not Found"))))))))</f>
        <v>0</v>
      </c>
      <c r="K742" t="str">
        <f>IFERROR(VLOOKUP($A742,'AAPT ExDa'!$B$2:$U$99, 12,FALSE), IFERROR(VLOOKUP($A742,'ABB ExDa'!$A$2:$N$184, 0,FALSE), IFERROR(VLOOKUP($A742,'Vocus SIT ExDa'!$B$2:$J$173, 0,FALSE), IFERROR(VLOOKUP($A742,'Telstra ExDa'!$B$2:$K$310, 0,FALSE), IFERROR(VLOOKUP($A742,'Vocus RVC ExDa'!$C$2:$R$155, 0,FALSE), IFERROR(VLOOKUP($A742,'Fusion ExDa'!$B$2:$D$16, 0,FALSE), IFERROR(VLOOKUP($A742,'Exetel ExDa'!$C$2:$N$14, 12,FALSE), IFERROR(VLOOKUP($A742,'Infinet ExDa'!$B$2:$E$14, 0,FALSE), "Not Found"))))))))</f>
        <v>Not Found</v>
      </c>
      <c r="L742" s="235" t="str">
        <f>IFERROR(VLOOKUP($A742,'AAPT ExDa'!$B$2:$U$99, 11,FALSE), IFERROR(VLOOKUP($A742,'ABB ExDa'!$A$2:$N$184, 9,FALSE), IFERROR(VLOOKUP($A742,'Vocus SIT ExDa'!$B$2:$J$173, 8,FALSE), IFERROR(VLOOKUP($A742,'Telstra ExDa'!$B$2:$K$310, 0,FALSE), IFERROR(VLOOKUP($A742,'Vocus RVC ExDa'!$C$2:$R$155, 0,FALSE), IFERROR(VLOOKUP($A742,'Fusion ExDa'!$B$2:$D$16, 0,FALSE), IFERROR(VLOOKUP($A742,'Exetel ExDa'!$C$2:$N$14, 9,FALSE), IFERROR(VLOOKUP($A742,'Infinet ExDa'!$B$2:$E$14, 0,FALSE), "Not Found"))))))))</f>
        <v>Not Found</v>
      </c>
      <c r="M742" s="234" t="str">
        <f>IFERROR(VLOOKUP($A742,'AAPT ExDa'!$B$2:$U$99, 0,FALSE), IFERROR(VLOOKUP($A742,'ABB ExDa'!$A$2:$N$184, 0,FALSE), IFERROR(VLOOKUP($A742,'Vocus SIT ExDa'!$B$2:$J$173, 0,FALSE), IFERROR(VLOOKUP($A742,'Telstra ExDa'!$B$2:$K$310, 0,FALSE), IFERROR(VLOOKUP($A742,'Vocus RVC ExDa'!$C$2:$R$155, 0,FALSE), IFERROR(VLOOKUP($A742,'Fusion ExDa'!$B$2:$D$16, 0,FALSE), IFERROR(VLOOKUP($A742,'Exetel ExDa'!$C$2:$N$14, 11,FALSE), IFERROR(VLOOKUP($A742,'Infinet ExDa'!$B$2:$E$14, 0,FALSE), "Not Found"))))))))</f>
        <v>Not Found</v>
      </c>
      <c r="N742" t="str">
        <f>IFERROR(VLOOKUP($A742,'AAPT ExDa'!$B$2:$U$99, 0,FALSE), IFERROR(VLOOKUP($A742,'ABB ExDa'!$A$2:$N$184, 13,FALSE), IFERROR(VLOOKUP($A742,'Vocus SIT ExDa'!$B$2:$J$173, 0,FALSE), IFERROR(VLOOKUP($A742,'Telstra ExDa'!$B$2:$K$310, 0,FALSE), IFERROR(VLOOKUP($A742,'Vocus RVC ExDa'!$C$2:$R$155, 0,FALSE), IFERROR(VLOOKUP($A742,'Fusion ExDa'!$B$2:$D$16, 0,FALSE), IFERROR(VLOOKUP($A742,'Exetel ExDa'!$C$2:$N$14, 0,FALSE), IFERROR(VLOOKUP($A742,'Infinet ExDa'!$B$2:$E$14, 0,FALSE), "Not Found"))))))))</f>
        <v>Not Found</v>
      </c>
    </row>
    <row r="743" spans="1:14">
      <c r="A743" t="str">
        <v>Zambrero Essendon</v>
      </c>
      <c r="B743" t="str">
        <f>IFERROR(VLOOKUP(A743,'Exetel ExDa'!$C$2:$N$14,4,FALSE),"No Data")</f>
        <v>No Data</v>
      </c>
      <c r="C743" t="str">
        <f>IFERROR(VLOOKUP(A743,'AAPT ExDa'!$B$2:$U$99, 2,FALSE), IFERROR(VLOOKUP(A743,'ABB ExDa'!$A$2:$N$184, 2,FALSE), IFERROR(VLOOKUP(A743,'Vocus SIT ExDa'!$B$2:$J$173, 7,FALSE), IFERROR(VLOOKUP(A743,'Telstra ExDa'!$B$2:$K$310, 2,FALSE), IFERROR(VLOOKUP(A743,'Vocus RVC ExDa'!$C$2:$R$155, 3,FALSE), IFERROR(VLOOKUP(A743,'Fusion ExDa'!$B$2:$D$16, 2,FALSE), IFERROR(VLOOKUP(A743,'Exetel ExDa'!$C$2:$N$14, 2,FALSE), IFERROR(VLOOKUP(A743,'Infinet ExDa'!$B$2:$E$14, 2,FALSE), "Not Found"))))))))</f>
        <v>1120 MT ALEXANDER RD, ESSENDON VIC 3040</v>
      </c>
      <c r="D743" t="str">
        <f>IFERROR(VLOOKUP($A743,'AAPT ExDa'!$B$2:$U$99, 15,FALSE), IFERROR(VLOOKUP($A743,'ABB ExDa'!$A$2:$N$184, 4,FALSE), IFERROR(VLOOKUP($A743,'Vocus SIT ExDa'!$B$2:$J$173, 5,FALSE), IFERROR(VLOOKUP($A743,'Telstra ExDa'!$B$2:$K$310, 8,FALSE), IFERROR(VLOOKUP($A743,'Vocus RVC ExDa'!$C$2:$R$155, 6,FALSE), IFERROR(VLOOKUP($A743,'Fusion ExDa'!$B$2:$D$16, 4,FALSE), IFERROR(VLOOKUP($A743,'Exetel ExDa'!$C$2:$N$14, 3,FALSE), IFERROR(VLOOKUP($A743,'Infinet ExDa'!$B$2:$E$14, 3,FALSE), "Not Found"))))))))</f>
        <v>Telstra</v>
      </c>
      <c r="E743" t="str">
        <f>IFERROR(VLOOKUP($A743,'AAPT ExDa'!$B$2:$U$99, 3,FALSE), IFERROR(VLOOKUP($A743,'ABB ExDa'!$A$2:$N$184, 5,FALSE), IFERROR(VLOOKUP($A743,'Vocus SIT ExDa'!$B$2:$J$173, 2,FALSE), IFERROR(VLOOKUP($A743,'Telstra ExDa'!$B$2:$K$310, 4,FALSE), IFERROR(VLOOKUP($A743,'Vocus RVC ExDa'!$C$2:$R$155, 8,FALSE), IFERROR(VLOOKUP($A743,'Fusion ExDa'!$B$2:$D$16, 4,FALSE), IFERROR(VLOOKUP($A743,'Exetel ExDa'!$C$2:$N$14, 5,FALSE), IFERROR(VLOOKUP($A743,'Infinet ExDa'!$B$2:$E$14, 3,FALSE), "Not Found"))))))))</f>
        <v>Standard Speed NBN 25Mbps</v>
      </c>
      <c r="F743" t="str">
        <f>IFERROR(VLOOKUP($A743,'AAPT ExDa'!$B$2:$U$99, 4,FALSE), IFERROR(VLOOKUP($A743,'ABB ExDa'!$A$2:$N$184, 6,FALSE), IFERROR(VLOOKUP($A743,'Vocus SIT ExDa'!$B$2:$J$173, 3,FALSE), IFERROR(VLOOKUP($A743,'Telstra ExDa'!$B$2:$K$310, 5,FALSE), IFERROR(VLOOKUP($A743,'Vocus RVC ExDa'!$C$2:$R$155, 9,FALSE), IFERROR(VLOOKUP($A743,'Fusion ExDa'!$B$2:$D$16, 0,FALSE), IFERROR(VLOOKUP($A743,'Exetel ExDa'!$C$2:$N$14, 6,FALSE), IFERROR(VLOOKUP($A743,'Infinet ExDa'!$B$2:$E$14, 0,FALSE), "Not Found"))))))))</f>
        <v>dhskjdhds@bigpond.com</v>
      </c>
      <c r="G743" t="str">
        <f>IFERROR(VLOOKUP($A743,'AAPT ExDa'!$B$2:$U$99, 5,FALSE), IFERROR(VLOOKUP($A743,'ABB ExDa'!$A$2:$N$184, 8,FALSE), IFERROR(VLOOKUP($A743,'Vocus SIT ExDa'!$B$2:$J$173, 6,FALSE), IFERROR(VLOOKUP($A743,'Telstra ExDa'!$B$2:$K$310, 0,FALSE), IFERROR(VLOOKUP($A743,'Vocus RVC ExDa'!$C$2:$R$155, 15,FALSE), IFERROR(VLOOKUP($A743,'Fusion ExDa'!$B$2:$D$16, 0,FALSE), IFERROR(VLOOKUP($A743,'Exetel ExDa'!$C$2:$N$14, 7,FALSE), IFERROR(VLOOKUP($A743,'Infinet ExDa'!$B$2:$E$14, 0,FALSE), "Not Found"))))))))</f>
        <v>Not Found</v>
      </c>
      <c r="H743" t="str">
        <f>IFERROR(VLOOKUP($A743,'AAPT ExDa'!$B$2:$U$99, 6,FALSE), IFERROR(VLOOKUP($A743,'ABB ExDa'!$A$2:$N$184, 0,FALSE), IFERROR(VLOOKUP($A743,'Vocus SIT ExDa'!$B$2:$J$173, 0,FALSE), IFERROR(VLOOKUP($A743,'Telstra ExDa'!$B$2:$K$310, 0,FALSE), IFERROR(VLOOKUP($A743,'Vocus RVC ExDa'!$C$2:$R$155, 16,FALSE), IFERROR(VLOOKUP($A743,'Fusion ExDa'!$B$2:$D$16, 0,FALSE), IFERROR(VLOOKUP($A743,'Exetel ExDa'!$C$2:$N$14, 0,FALSE), IFERROR(VLOOKUP($A743,'Infinet ExDa'!$B$2:$E$14, 0,FALSE), "Not Found"))))))))</f>
        <v>Not Found</v>
      </c>
      <c r="I743" t="str">
        <f>IFERROR(VLOOKUP($A743,'AAPT ExDa'!$B$2:$U$99, 0,FALSE), IFERROR(VLOOKUP($A743,'ABB ExDa'!$A$2:$N$184, 0,FALSE), IFERROR(VLOOKUP($A743,'Vocus SIT ExDa'!$B$2:$J$173, 0,FALSE), IFERROR(VLOOKUP($A743,'Telstra ExDa'!$B$2:$K$310, 0,FALSE), IFERROR(VLOOKUP($A743,'Vocus RVC ExDa'!$C$2:$R$155, 0,FALSE), IFERROR(VLOOKUP($A743,'Fusion ExDa'!$B$2:$D$16, 0,FALSE), IFERROR(VLOOKUP($A743,'Exetel ExDa'!$C$2:$N$14, 8,FALSE), IFERROR(VLOOKUP($A743,'Infinet ExDa'!$B$2:$E$14, 0,FALSE), "Not Found"))))))))</f>
        <v>Not Found</v>
      </c>
      <c r="J743">
        <f>IFERROR(VLOOKUP($A743,'AAPT ExDa'!$B$2:$U$99, 7,FALSE), IFERROR(VLOOKUP($A743,'ABB ExDa'!$A$2:$N$184, 2,FALSE), IFERROR(VLOOKUP($A743,'Vocus SIT ExDa'!$B$2:$J$173, 0,FALSE), IFERROR(VLOOKUP($A743,'Telstra ExDa'!$B$2:$K$310, 7,FALSE), IFERROR(VLOOKUP($A743,'Vocus RVC ExDa'!$C$2:$R$155, 2,FALSE), IFERROR(VLOOKUP($A743,'Fusion ExDa'!$B$2:$D$16, 3,FALSE), IFERROR(VLOOKUP($A743,'Exetel ExDa'!$C$2:$N$14, 0,FALSE), IFERROR(VLOOKUP($A743,'Infinet ExDa'!$B$2:$E$14, 0,FALSE), "Not Found"))))))))</f>
        <v>0</v>
      </c>
      <c r="K743" t="str">
        <f>IFERROR(VLOOKUP($A743,'AAPT ExDa'!$B$2:$U$99, 12,FALSE), IFERROR(VLOOKUP($A743,'ABB ExDa'!$A$2:$N$184, 0,FALSE), IFERROR(VLOOKUP($A743,'Vocus SIT ExDa'!$B$2:$J$173, 0,FALSE), IFERROR(VLOOKUP($A743,'Telstra ExDa'!$B$2:$K$310, 0,FALSE), IFERROR(VLOOKUP($A743,'Vocus RVC ExDa'!$C$2:$R$155, 0,FALSE), IFERROR(VLOOKUP($A743,'Fusion ExDa'!$B$2:$D$16, 0,FALSE), IFERROR(VLOOKUP($A743,'Exetel ExDa'!$C$2:$N$14, 12,FALSE), IFERROR(VLOOKUP($A743,'Infinet ExDa'!$B$2:$E$14, 0,FALSE), "Not Found"))))))))</f>
        <v>Not Found</v>
      </c>
      <c r="L743" s="235" t="str">
        <f>IFERROR(VLOOKUP($A743,'AAPT ExDa'!$B$2:$U$99, 11,FALSE), IFERROR(VLOOKUP($A743,'ABB ExDa'!$A$2:$N$184, 9,FALSE), IFERROR(VLOOKUP($A743,'Vocus SIT ExDa'!$B$2:$J$173, 8,FALSE), IFERROR(VLOOKUP($A743,'Telstra ExDa'!$B$2:$K$310, 0,FALSE), IFERROR(VLOOKUP($A743,'Vocus RVC ExDa'!$C$2:$R$155, 0,FALSE), IFERROR(VLOOKUP($A743,'Fusion ExDa'!$B$2:$D$16, 0,FALSE), IFERROR(VLOOKUP($A743,'Exetel ExDa'!$C$2:$N$14, 9,FALSE), IFERROR(VLOOKUP($A743,'Infinet ExDa'!$B$2:$E$14, 0,FALSE), "Not Found"))))))))</f>
        <v>Not Found</v>
      </c>
      <c r="M743" s="234" t="str">
        <f>IFERROR(VLOOKUP($A743,'AAPT ExDa'!$B$2:$U$99, 0,FALSE), IFERROR(VLOOKUP($A743,'ABB ExDa'!$A$2:$N$184, 0,FALSE), IFERROR(VLOOKUP($A743,'Vocus SIT ExDa'!$B$2:$J$173, 0,FALSE), IFERROR(VLOOKUP($A743,'Telstra ExDa'!$B$2:$K$310, 0,FALSE), IFERROR(VLOOKUP($A743,'Vocus RVC ExDa'!$C$2:$R$155, 0,FALSE), IFERROR(VLOOKUP($A743,'Fusion ExDa'!$B$2:$D$16, 0,FALSE), IFERROR(VLOOKUP($A743,'Exetel ExDa'!$C$2:$N$14, 11,FALSE), IFERROR(VLOOKUP($A743,'Infinet ExDa'!$B$2:$E$14, 0,FALSE), "Not Found"))))))))</f>
        <v>Not Found</v>
      </c>
      <c r="N743" t="str">
        <f>IFERROR(VLOOKUP($A743,'AAPT ExDa'!$B$2:$U$99, 0,FALSE), IFERROR(VLOOKUP($A743,'ABB ExDa'!$A$2:$N$184, 13,FALSE), IFERROR(VLOOKUP($A743,'Vocus SIT ExDa'!$B$2:$J$173, 0,FALSE), IFERROR(VLOOKUP($A743,'Telstra ExDa'!$B$2:$K$310, 0,FALSE), IFERROR(VLOOKUP($A743,'Vocus RVC ExDa'!$C$2:$R$155, 0,FALSE), IFERROR(VLOOKUP($A743,'Fusion ExDa'!$B$2:$D$16, 0,FALSE), IFERROR(VLOOKUP($A743,'Exetel ExDa'!$C$2:$N$14, 0,FALSE), IFERROR(VLOOKUP($A743,'Infinet ExDa'!$B$2:$E$14, 0,FALSE), "Not Found"))))))))</f>
        <v>Not Found</v>
      </c>
    </row>
    <row r="744" spans="1:14">
      <c r="A744">
        <v>0</v>
      </c>
      <c r="B744" t="str">
        <f>IFERROR(VLOOKUP(A744,'Exetel ExDa'!$C$2:$N$14,4,FALSE),"No Data")</f>
        <v>No Data</v>
      </c>
      <c r="C744" t="str">
        <f>IFERROR(VLOOKUP(A744,'AAPT ExDa'!$B$2:$U$99, 2,FALSE), IFERROR(VLOOKUP(A744,'ABB ExDa'!$A$2:$N$184, 2,FALSE), IFERROR(VLOOKUP(A744,'Vocus SIT ExDa'!$B$2:$J$173, 7,FALSE), IFERROR(VLOOKUP(A744,'Telstra ExDa'!$B$2:$K$310, 2,FALSE), IFERROR(VLOOKUP(A744,'Vocus RVC ExDa'!$C$2:$R$155, 3,FALSE), IFERROR(VLOOKUP(A744,'Fusion ExDa'!$B$2:$D$16, 2,FALSE), IFERROR(VLOOKUP(A744,'Exetel ExDa'!$C$2:$N$14, 2,FALSE), IFERROR(VLOOKUP(A744,'Infinet ExDa'!$B$2:$E$14, 2,FALSE), "Not Found"))))))))</f>
        <v>Not Found</v>
      </c>
      <c r="D744" t="str">
        <f>IFERROR(VLOOKUP($A744,'AAPT ExDa'!$B$2:$U$99, 15,FALSE), IFERROR(VLOOKUP($A744,'ABB ExDa'!$A$2:$N$184, 4,FALSE), IFERROR(VLOOKUP($A744,'Vocus SIT ExDa'!$B$2:$J$173, 5,FALSE), IFERROR(VLOOKUP($A744,'Telstra ExDa'!$B$2:$K$310, 8,FALSE), IFERROR(VLOOKUP($A744,'Vocus RVC ExDa'!$C$2:$R$155, 6,FALSE), IFERROR(VLOOKUP($A744,'Fusion ExDa'!$B$2:$D$16, 4,FALSE), IFERROR(VLOOKUP($A744,'Exetel ExDa'!$C$2:$N$14, 3,FALSE), IFERROR(VLOOKUP($A744,'Infinet ExDa'!$B$2:$E$14, 3,FALSE), "Not Found"))))))))</f>
        <v>Not Found</v>
      </c>
      <c r="E744" t="str">
        <f>IFERROR(VLOOKUP($A744,'AAPT ExDa'!$B$2:$U$99, 3,FALSE), IFERROR(VLOOKUP($A744,'ABB ExDa'!$A$2:$N$184, 5,FALSE), IFERROR(VLOOKUP($A744,'Vocus SIT ExDa'!$B$2:$J$173, 2,FALSE), IFERROR(VLOOKUP($A744,'Telstra ExDa'!$B$2:$K$310, 4,FALSE), IFERROR(VLOOKUP($A744,'Vocus RVC ExDa'!$C$2:$R$155, 8,FALSE), IFERROR(VLOOKUP($A744,'Fusion ExDa'!$B$2:$D$16, 4,FALSE), IFERROR(VLOOKUP($A744,'Exetel ExDa'!$C$2:$N$14, 5,FALSE), IFERROR(VLOOKUP($A744,'Infinet ExDa'!$B$2:$E$14, 3,FALSE), "Not Found"))))))))</f>
        <v>Not Found</v>
      </c>
      <c r="F744" t="str">
        <f>IFERROR(VLOOKUP($A744,'AAPT ExDa'!$B$2:$U$99, 4,FALSE), IFERROR(VLOOKUP($A744,'ABB ExDa'!$A$2:$N$184, 6,FALSE), IFERROR(VLOOKUP($A744,'Vocus SIT ExDa'!$B$2:$J$173, 3,FALSE), IFERROR(VLOOKUP($A744,'Telstra ExDa'!$B$2:$K$310, 5,FALSE), IFERROR(VLOOKUP($A744,'Vocus RVC ExDa'!$C$2:$R$155, 9,FALSE), IFERROR(VLOOKUP($A744,'Fusion ExDa'!$B$2:$D$16, 0,FALSE), IFERROR(VLOOKUP($A744,'Exetel ExDa'!$C$2:$N$14, 6,FALSE), IFERROR(VLOOKUP($A744,'Infinet ExDa'!$B$2:$E$14, 0,FALSE), "Not Found"))))))))</f>
        <v>Not Found</v>
      </c>
      <c r="G744" t="str">
        <f>IFERROR(VLOOKUP($A744,'AAPT ExDa'!$B$2:$U$99, 5,FALSE), IFERROR(VLOOKUP($A744,'ABB ExDa'!$A$2:$N$184, 8,FALSE), IFERROR(VLOOKUP($A744,'Vocus SIT ExDa'!$B$2:$J$173, 6,FALSE), IFERROR(VLOOKUP($A744,'Telstra ExDa'!$B$2:$K$310, 0,FALSE), IFERROR(VLOOKUP($A744,'Vocus RVC ExDa'!$C$2:$R$155, 15,FALSE), IFERROR(VLOOKUP($A744,'Fusion ExDa'!$B$2:$D$16, 0,FALSE), IFERROR(VLOOKUP($A744,'Exetel ExDa'!$C$2:$N$14, 7,FALSE), IFERROR(VLOOKUP($A744,'Infinet ExDa'!$B$2:$E$14, 0,FALSE), "Not Found"))))))))</f>
        <v>Not Found</v>
      </c>
      <c r="H744" t="str">
        <f>IFERROR(VLOOKUP($A744,'AAPT ExDa'!$B$2:$U$99, 6,FALSE), IFERROR(VLOOKUP($A744,'ABB ExDa'!$A$2:$N$184, 0,FALSE), IFERROR(VLOOKUP($A744,'Vocus SIT ExDa'!$B$2:$J$173, 0,FALSE), IFERROR(VLOOKUP($A744,'Telstra ExDa'!$B$2:$K$310, 0,FALSE), IFERROR(VLOOKUP($A744,'Vocus RVC ExDa'!$C$2:$R$155, 16,FALSE), IFERROR(VLOOKUP($A744,'Fusion ExDa'!$B$2:$D$16, 0,FALSE), IFERROR(VLOOKUP($A744,'Exetel ExDa'!$C$2:$N$14, 0,FALSE), IFERROR(VLOOKUP($A744,'Infinet ExDa'!$B$2:$E$14, 0,FALSE), "Not Found"))))))))</f>
        <v>Not Found</v>
      </c>
      <c r="I744" t="str">
        <f>IFERROR(VLOOKUP($A744,'AAPT ExDa'!$B$2:$U$99, 0,FALSE), IFERROR(VLOOKUP($A744,'ABB ExDa'!$A$2:$N$184, 0,FALSE), IFERROR(VLOOKUP($A744,'Vocus SIT ExDa'!$B$2:$J$173, 0,FALSE), IFERROR(VLOOKUP($A744,'Telstra ExDa'!$B$2:$K$310, 0,FALSE), IFERROR(VLOOKUP($A744,'Vocus RVC ExDa'!$C$2:$R$155, 0,FALSE), IFERROR(VLOOKUP($A744,'Fusion ExDa'!$B$2:$D$16, 0,FALSE), IFERROR(VLOOKUP($A744,'Exetel ExDa'!$C$2:$N$14, 8,FALSE), IFERROR(VLOOKUP($A744,'Infinet ExDa'!$B$2:$E$14, 0,FALSE), "Not Found"))))))))</f>
        <v>Not Found</v>
      </c>
      <c r="J744" t="str">
        <f>IFERROR(VLOOKUP($A744,'AAPT ExDa'!$B$2:$U$99, 7,FALSE), IFERROR(VLOOKUP($A744,'ABB ExDa'!$A$2:$N$184, 2,FALSE), IFERROR(VLOOKUP($A744,'Vocus SIT ExDa'!$B$2:$J$173, 0,FALSE), IFERROR(VLOOKUP($A744,'Telstra ExDa'!$B$2:$K$310, 7,FALSE), IFERROR(VLOOKUP($A744,'Vocus RVC ExDa'!$C$2:$R$155, 2,FALSE), IFERROR(VLOOKUP($A744,'Fusion ExDa'!$B$2:$D$16, 3,FALSE), IFERROR(VLOOKUP($A744,'Exetel ExDa'!$C$2:$N$14, 0,FALSE), IFERROR(VLOOKUP($A744,'Infinet ExDa'!$B$2:$E$14, 0,FALSE), "Not Found"))))))))</f>
        <v>Not Found</v>
      </c>
      <c r="K744" t="str">
        <f>IFERROR(VLOOKUP($A744,'AAPT ExDa'!$B$2:$U$99, 12,FALSE), IFERROR(VLOOKUP($A744,'ABB ExDa'!$A$2:$N$184, 0,FALSE), IFERROR(VLOOKUP($A744,'Vocus SIT ExDa'!$B$2:$J$173, 0,FALSE), IFERROR(VLOOKUP($A744,'Telstra ExDa'!$B$2:$K$310, 0,FALSE), IFERROR(VLOOKUP($A744,'Vocus RVC ExDa'!$C$2:$R$155, 0,FALSE), IFERROR(VLOOKUP($A744,'Fusion ExDa'!$B$2:$D$16, 0,FALSE), IFERROR(VLOOKUP($A744,'Exetel ExDa'!$C$2:$N$14, 12,FALSE), IFERROR(VLOOKUP($A744,'Infinet ExDa'!$B$2:$E$14, 0,FALSE), "Not Found"))))))))</f>
        <v>Not Found</v>
      </c>
      <c r="L744" s="235" t="str">
        <f>IFERROR(VLOOKUP($A744,'AAPT ExDa'!$B$2:$U$99, 11,FALSE), IFERROR(VLOOKUP($A744,'ABB ExDa'!$A$2:$N$184, 9,FALSE), IFERROR(VLOOKUP($A744,'Vocus SIT ExDa'!$B$2:$J$173, 8,FALSE), IFERROR(VLOOKUP($A744,'Telstra ExDa'!$B$2:$K$310, 0,FALSE), IFERROR(VLOOKUP($A744,'Vocus RVC ExDa'!$C$2:$R$155, 0,FALSE), IFERROR(VLOOKUP($A744,'Fusion ExDa'!$B$2:$D$16, 0,FALSE), IFERROR(VLOOKUP($A744,'Exetel ExDa'!$C$2:$N$14, 9,FALSE), IFERROR(VLOOKUP($A744,'Infinet ExDa'!$B$2:$E$14, 0,FALSE), "Not Found"))))))))</f>
        <v>Not Found</v>
      </c>
      <c r="M744" s="234" t="str">
        <f>IFERROR(VLOOKUP($A744,'AAPT ExDa'!$B$2:$U$99, 0,FALSE), IFERROR(VLOOKUP($A744,'ABB ExDa'!$A$2:$N$184, 0,FALSE), IFERROR(VLOOKUP($A744,'Vocus SIT ExDa'!$B$2:$J$173, 0,FALSE), IFERROR(VLOOKUP($A744,'Telstra ExDa'!$B$2:$K$310, 0,FALSE), IFERROR(VLOOKUP($A744,'Vocus RVC ExDa'!$C$2:$R$155, 0,FALSE), IFERROR(VLOOKUP($A744,'Fusion ExDa'!$B$2:$D$16, 0,FALSE), IFERROR(VLOOKUP($A744,'Exetel ExDa'!$C$2:$N$14, 11,FALSE), IFERROR(VLOOKUP($A744,'Infinet ExDa'!$B$2:$E$14, 0,FALSE), "Not Found"))))))))</f>
        <v>Not Found</v>
      </c>
      <c r="N744" t="str">
        <f>IFERROR(VLOOKUP($A744,'AAPT ExDa'!$B$2:$U$99, 0,FALSE), IFERROR(VLOOKUP($A744,'ABB ExDa'!$A$2:$N$184, 13,FALSE), IFERROR(VLOOKUP($A744,'Vocus SIT ExDa'!$B$2:$J$173, 0,FALSE), IFERROR(VLOOKUP($A744,'Telstra ExDa'!$B$2:$K$310, 0,FALSE), IFERROR(VLOOKUP($A744,'Vocus RVC ExDa'!$C$2:$R$155, 0,FALSE), IFERROR(VLOOKUP($A744,'Fusion ExDa'!$B$2:$D$16, 0,FALSE), IFERROR(VLOOKUP($A744,'Exetel ExDa'!$C$2:$N$14, 0,FALSE), IFERROR(VLOOKUP($A744,'Infinet ExDa'!$B$2:$E$14, 0,FALSE), "Not Found"))))))))</f>
        <v>Not Found</v>
      </c>
    </row>
    <row r="745" spans="1:14">
      <c r="A745" t="str">
        <v>Zambrero Rockingham</v>
      </c>
      <c r="B745" t="str">
        <f>IFERROR(VLOOKUP(A745,'Exetel ExDa'!$C$2:$N$14,4,FALSE),"No Data")</f>
        <v>No Data</v>
      </c>
      <c r="C745" t="str">
        <f>IFERROR(VLOOKUP(A745,'AAPT ExDa'!$B$2:$U$99, 2,FALSE), IFERROR(VLOOKUP(A745,'ABB ExDa'!$A$2:$N$184, 2,FALSE), IFERROR(VLOOKUP(A745,'Vocus SIT ExDa'!$B$2:$J$173, 7,FALSE), IFERROR(VLOOKUP(A745,'Telstra ExDa'!$B$2:$K$310, 2,FALSE), IFERROR(VLOOKUP(A745,'Vocus RVC ExDa'!$C$2:$R$155, 3,FALSE), IFERROR(VLOOKUP(A745,'Fusion ExDa'!$B$2:$D$16, 2,FALSE), IFERROR(VLOOKUP(A745,'Exetel ExDa'!$C$2:$N$14, 2,FALSE), IFERROR(VLOOKUP(A745,'Infinet ExDa'!$B$2:$E$14, 2,FALSE), "Not Found"))))))))</f>
        <v xml:space="preserve"> SHOP 5 2 SEPIA CT, ROCKINGHAM WA 6168</v>
      </c>
      <c r="D745" t="str">
        <f>IFERROR(VLOOKUP($A745,'AAPT ExDa'!$B$2:$U$99, 15,FALSE), IFERROR(VLOOKUP($A745,'ABB ExDa'!$A$2:$N$184, 4,FALSE), IFERROR(VLOOKUP($A745,'Vocus SIT ExDa'!$B$2:$J$173, 5,FALSE), IFERROR(VLOOKUP($A745,'Telstra ExDa'!$B$2:$K$310, 8,FALSE), IFERROR(VLOOKUP($A745,'Vocus RVC ExDa'!$C$2:$R$155, 6,FALSE), IFERROR(VLOOKUP($A745,'Fusion ExDa'!$B$2:$D$16, 4,FALSE), IFERROR(VLOOKUP($A745,'Exetel ExDa'!$C$2:$N$14, 3,FALSE), IFERROR(VLOOKUP($A745,'Infinet ExDa'!$B$2:$E$14, 3,FALSE), "Not Found"))))))))</f>
        <v>Telstra</v>
      </c>
      <c r="E745" t="str">
        <f>IFERROR(VLOOKUP($A745,'AAPT ExDa'!$B$2:$U$99, 3,FALSE), IFERROR(VLOOKUP($A745,'ABB ExDa'!$A$2:$N$184, 5,FALSE), IFERROR(VLOOKUP($A745,'Vocus SIT ExDa'!$B$2:$J$173, 2,FALSE), IFERROR(VLOOKUP($A745,'Telstra ExDa'!$B$2:$K$310, 4,FALSE), IFERROR(VLOOKUP($A745,'Vocus RVC ExDa'!$C$2:$R$155, 8,FALSE), IFERROR(VLOOKUP($A745,'Fusion ExDa'!$B$2:$D$16, 4,FALSE), IFERROR(VLOOKUP($A745,'Exetel ExDa'!$C$2:$N$14, 5,FALSE), IFERROR(VLOOKUP($A745,'Infinet ExDa'!$B$2:$E$14, 3,FALSE), "Not Found"))))))))</f>
        <v>Standard Speed NBN 25Mbps</v>
      </c>
      <c r="F745" t="str">
        <f>IFERROR(VLOOKUP($A745,'AAPT ExDa'!$B$2:$U$99, 4,FALSE), IFERROR(VLOOKUP($A745,'ABB ExDa'!$A$2:$N$184, 6,FALSE), IFERROR(VLOOKUP($A745,'Vocus SIT ExDa'!$B$2:$J$173, 3,FALSE), IFERROR(VLOOKUP($A745,'Telstra ExDa'!$B$2:$K$310, 5,FALSE), IFERROR(VLOOKUP($A745,'Vocus RVC ExDa'!$C$2:$R$155, 9,FALSE), IFERROR(VLOOKUP($A745,'Fusion ExDa'!$B$2:$D$16, 0,FALSE), IFERROR(VLOOKUP($A745,'Exetel ExDa'!$C$2:$N$14, 6,FALSE), IFERROR(VLOOKUP($A745,'Infinet ExDa'!$B$2:$E$14, 0,FALSE), "Not Found"))))))))</f>
        <v>zambrerorockingham@bigpond.com</v>
      </c>
      <c r="G745" t="str">
        <f>IFERROR(VLOOKUP($A745,'AAPT ExDa'!$B$2:$U$99, 5,FALSE), IFERROR(VLOOKUP($A745,'ABB ExDa'!$A$2:$N$184, 8,FALSE), IFERROR(VLOOKUP($A745,'Vocus SIT ExDa'!$B$2:$J$173, 6,FALSE), IFERROR(VLOOKUP($A745,'Telstra ExDa'!$B$2:$K$310, 0,FALSE), IFERROR(VLOOKUP($A745,'Vocus RVC ExDa'!$C$2:$R$155, 15,FALSE), IFERROR(VLOOKUP($A745,'Fusion ExDa'!$B$2:$D$16, 0,FALSE), IFERROR(VLOOKUP($A745,'Exetel ExDa'!$C$2:$N$14, 7,FALSE), IFERROR(VLOOKUP($A745,'Infinet ExDa'!$B$2:$E$14, 0,FALSE), "Not Found"))))))))</f>
        <v>Not Found</v>
      </c>
      <c r="H745" t="str">
        <f>IFERROR(VLOOKUP($A745,'AAPT ExDa'!$B$2:$U$99, 6,FALSE), IFERROR(VLOOKUP($A745,'ABB ExDa'!$A$2:$N$184, 0,FALSE), IFERROR(VLOOKUP($A745,'Vocus SIT ExDa'!$B$2:$J$173, 0,FALSE), IFERROR(VLOOKUP($A745,'Telstra ExDa'!$B$2:$K$310, 0,FALSE), IFERROR(VLOOKUP($A745,'Vocus RVC ExDa'!$C$2:$R$155, 16,FALSE), IFERROR(VLOOKUP($A745,'Fusion ExDa'!$B$2:$D$16, 0,FALSE), IFERROR(VLOOKUP($A745,'Exetel ExDa'!$C$2:$N$14, 0,FALSE), IFERROR(VLOOKUP($A745,'Infinet ExDa'!$B$2:$E$14, 0,FALSE), "Not Found"))))))))</f>
        <v>Not Found</v>
      </c>
      <c r="I745" t="str">
        <f>IFERROR(VLOOKUP($A745,'AAPT ExDa'!$B$2:$U$99, 0,FALSE), IFERROR(VLOOKUP($A745,'ABB ExDa'!$A$2:$N$184, 0,FALSE), IFERROR(VLOOKUP($A745,'Vocus SIT ExDa'!$B$2:$J$173, 0,FALSE), IFERROR(VLOOKUP($A745,'Telstra ExDa'!$B$2:$K$310, 0,FALSE), IFERROR(VLOOKUP($A745,'Vocus RVC ExDa'!$C$2:$R$155, 0,FALSE), IFERROR(VLOOKUP($A745,'Fusion ExDa'!$B$2:$D$16, 0,FALSE), IFERROR(VLOOKUP($A745,'Exetel ExDa'!$C$2:$N$14, 8,FALSE), IFERROR(VLOOKUP($A745,'Infinet ExDa'!$B$2:$E$14, 0,FALSE), "Not Found"))))))))</f>
        <v>Not Found</v>
      </c>
      <c r="J745">
        <f>IFERROR(VLOOKUP($A745,'AAPT ExDa'!$B$2:$U$99, 7,FALSE), IFERROR(VLOOKUP($A745,'ABB ExDa'!$A$2:$N$184, 2,FALSE), IFERROR(VLOOKUP($A745,'Vocus SIT ExDa'!$B$2:$J$173, 0,FALSE), IFERROR(VLOOKUP($A745,'Telstra ExDa'!$B$2:$K$310, 7,FALSE), IFERROR(VLOOKUP($A745,'Vocus RVC ExDa'!$C$2:$R$155, 2,FALSE), IFERROR(VLOOKUP($A745,'Fusion ExDa'!$B$2:$D$16, 3,FALSE), IFERROR(VLOOKUP($A745,'Exetel ExDa'!$C$2:$N$14, 0,FALSE), IFERROR(VLOOKUP($A745,'Infinet ExDa'!$B$2:$E$14, 0,FALSE), "Not Found"))))))))</f>
        <v>0</v>
      </c>
      <c r="K745" t="str">
        <f>IFERROR(VLOOKUP($A745,'AAPT ExDa'!$B$2:$U$99, 12,FALSE), IFERROR(VLOOKUP($A745,'ABB ExDa'!$A$2:$N$184, 0,FALSE), IFERROR(VLOOKUP($A745,'Vocus SIT ExDa'!$B$2:$J$173, 0,FALSE), IFERROR(VLOOKUP($A745,'Telstra ExDa'!$B$2:$K$310, 0,FALSE), IFERROR(VLOOKUP($A745,'Vocus RVC ExDa'!$C$2:$R$155, 0,FALSE), IFERROR(VLOOKUP($A745,'Fusion ExDa'!$B$2:$D$16, 0,FALSE), IFERROR(VLOOKUP($A745,'Exetel ExDa'!$C$2:$N$14, 12,FALSE), IFERROR(VLOOKUP($A745,'Infinet ExDa'!$B$2:$E$14, 0,FALSE), "Not Found"))))))))</f>
        <v>Not Found</v>
      </c>
      <c r="L745" s="235" t="str">
        <f>IFERROR(VLOOKUP($A745,'AAPT ExDa'!$B$2:$U$99, 11,FALSE), IFERROR(VLOOKUP($A745,'ABB ExDa'!$A$2:$N$184, 9,FALSE), IFERROR(VLOOKUP($A745,'Vocus SIT ExDa'!$B$2:$J$173, 8,FALSE), IFERROR(VLOOKUP($A745,'Telstra ExDa'!$B$2:$K$310, 0,FALSE), IFERROR(VLOOKUP($A745,'Vocus RVC ExDa'!$C$2:$R$155, 0,FALSE), IFERROR(VLOOKUP($A745,'Fusion ExDa'!$B$2:$D$16, 0,FALSE), IFERROR(VLOOKUP($A745,'Exetel ExDa'!$C$2:$N$14, 9,FALSE), IFERROR(VLOOKUP($A745,'Infinet ExDa'!$B$2:$E$14, 0,FALSE), "Not Found"))))))))</f>
        <v>Not Found</v>
      </c>
      <c r="M745" s="234" t="str">
        <f>IFERROR(VLOOKUP($A745,'AAPT ExDa'!$B$2:$U$99, 0,FALSE), IFERROR(VLOOKUP($A745,'ABB ExDa'!$A$2:$N$184, 0,FALSE), IFERROR(VLOOKUP($A745,'Vocus SIT ExDa'!$B$2:$J$173, 0,FALSE), IFERROR(VLOOKUP($A745,'Telstra ExDa'!$B$2:$K$310, 0,FALSE), IFERROR(VLOOKUP($A745,'Vocus RVC ExDa'!$C$2:$R$155, 0,FALSE), IFERROR(VLOOKUP($A745,'Fusion ExDa'!$B$2:$D$16, 0,FALSE), IFERROR(VLOOKUP($A745,'Exetel ExDa'!$C$2:$N$14, 11,FALSE), IFERROR(VLOOKUP($A745,'Infinet ExDa'!$B$2:$E$14, 0,FALSE), "Not Found"))))))))</f>
        <v>Not Found</v>
      </c>
      <c r="N745" t="str">
        <f>IFERROR(VLOOKUP($A745,'AAPT ExDa'!$B$2:$U$99, 0,FALSE), IFERROR(VLOOKUP($A745,'ABB ExDa'!$A$2:$N$184, 13,FALSE), IFERROR(VLOOKUP($A745,'Vocus SIT ExDa'!$B$2:$J$173, 0,FALSE), IFERROR(VLOOKUP($A745,'Telstra ExDa'!$B$2:$K$310, 0,FALSE), IFERROR(VLOOKUP($A745,'Vocus RVC ExDa'!$C$2:$R$155, 0,FALSE), IFERROR(VLOOKUP($A745,'Fusion ExDa'!$B$2:$D$16, 0,FALSE), IFERROR(VLOOKUP($A745,'Exetel ExDa'!$C$2:$N$14, 0,FALSE), IFERROR(VLOOKUP($A745,'Infinet ExDa'!$B$2:$E$14, 0,FALSE), "Not Found"))))))))</f>
        <v>Not Found</v>
      </c>
    </row>
    <row r="746" spans="1:14">
      <c r="A746" t="str">
        <v>Zambrero Woodvale</v>
      </c>
      <c r="B746" t="str">
        <f>IFERROR(VLOOKUP(A746,'Exetel ExDa'!$C$2:$N$14,4,FALSE),"No Data")</f>
        <v>No Data</v>
      </c>
      <c r="C746" t="str">
        <f>IFERROR(VLOOKUP(A746,'AAPT ExDa'!$B$2:$U$99, 2,FALSE), IFERROR(VLOOKUP(A746,'ABB ExDa'!$A$2:$N$184, 2,FALSE), IFERROR(VLOOKUP(A746,'Vocus SIT ExDa'!$B$2:$J$173, 7,FALSE), IFERROR(VLOOKUP(A746,'Telstra ExDa'!$B$2:$K$310, 2,FALSE), IFERROR(VLOOKUP(A746,'Vocus RVC ExDa'!$C$2:$R$155, 3,FALSE), IFERROR(VLOOKUP(A746,'Fusion ExDa'!$B$2:$D$16, 2,FALSE), IFERROR(VLOOKUP(A746,'Exetel ExDa'!$C$2:$N$14, 2,FALSE), IFERROR(VLOOKUP(A746,'Infinet ExDa'!$B$2:$E$14, 2,FALSE), "Not Found"))))))))</f>
        <v>WOODVALE BOULEVARD SHOPPING CENTER, SHOP 5, WOODVALE WA 6026</v>
      </c>
      <c r="D746" t="str">
        <f>IFERROR(VLOOKUP($A746,'AAPT ExDa'!$B$2:$U$99, 15,FALSE), IFERROR(VLOOKUP($A746,'ABB ExDa'!$A$2:$N$184, 4,FALSE), IFERROR(VLOOKUP($A746,'Vocus SIT ExDa'!$B$2:$J$173, 5,FALSE), IFERROR(VLOOKUP($A746,'Telstra ExDa'!$B$2:$K$310, 8,FALSE), IFERROR(VLOOKUP($A746,'Vocus RVC ExDa'!$C$2:$R$155, 6,FALSE), IFERROR(VLOOKUP($A746,'Fusion ExDa'!$B$2:$D$16, 4,FALSE), IFERROR(VLOOKUP($A746,'Exetel ExDa'!$C$2:$N$14, 3,FALSE), IFERROR(VLOOKUP($A746,'Infinet ExDa'!$B$2:$E$14, 3,FALSE), "Not Found"))))))))</f>
        <v>Telstra</v>
      </c>
      <c r="E746" t="str">
        <f>IFERROR(VLOOKUP($A746,'AAPT ExDa'!$B$2:$U$99, 3,FALSE), IFERROR(VLOOKUP($A746,'ABB ExDa'!$A$2:$N$184, 5,FALSE), IFERROR(VLOOKUP($A746,'Vocus SIT ExDa'!$B$2:$J$173, 2,FALSE), IFERROR(VLOOKUP($A746,'Telstra ExDa'!$B$2:$K$310, 4,FALSE), IFERROR(VLOOKUP($A746,'Vocus RVC ExDa'!$C$2:$R$155, 8,FALSE), IFERROR(VLOOKUP($A746,'Fusion ExDa'!$B$2:$D$16, 4,FALSE), IFERROR(VLOOKUP($A746,'Exetel ExDa'!$C$2:$N$14, 5,FALSE), IFERROR(VLOOKUP($A746,'Infinet ExDa'!$B$2:$E$14, 3,FALSE), "Not Found"))))))))</f>
        <v>Standard Speed NBN 25Mbps</v>
      </c>
      <c r="F746" t="str">
        <f>IFERROR(VLOOKUP($A746,'AAPT ExDa'!$B$2:$U$99, 4,FALSE), IFERROR(VLOOKUP($A746,'ABB ExDa'!$A$2:$N$184, 6,FALSE), IFERROR(VLOOKUP($A746,'Vocus SIT ExDa'!$B$2:$J$173, 3,FALSE), IFERROR(VLOOKUP($A746,'Telstra ExDa'!$B$2:$K$310, 5,FALSE), IFERROR(VLOOKUP($A746,'Vocus RVC ExDa'!$C$2:$R$155, 9,FALSE), IFERROR(VLOOKUP($A746,'Fusion ExDa'!$B$2:$D$16, 0,FALSE), IFERROR(VLOOKUP($A746,'Exetel ExDa'!$C$2:$N$14, 6,FALSE), IFERROR(VLOOKUP($A746,'Infinet ExDa'!$B$2:$E$14, 0,FALSE), "Not Found"))))))))</f>
        <v>zambrerowoodvale@bigpond.com</v>
      </c>
      <c r="G746" t="str">
        <f>IFERROR(VLOOKUP($A746,'AAPT ExDa'!$B$2:$U$99, 5,FALSE), IFERROR(VLOOKUP($A746,'ABB ExDa'!$A$2:$N$184, 8,FALSE), IFERROR(VLOOKUP($A746,'Vocus SIT ExDa'!$B$2:$J$173, 6,FALSE), IFERROR(VLOOKUP($A746,'Telstra ExDa'!$B$2:$K$310, 0,FALSE), IFERROR(VLOOKUP($A746,'Vocus RVC ExDa'!$C$2:$R$155, 15,FALSE), IFERROR(VLOOKUP($A746,'Fusion ExDa'!$B$2:$D$16, 0,FALSE), IFERROR(VLOOKUP($A746,'Exetel ExDa'!$C$2:$N$14, 7,FALSE), IFERROR(VLOOKUP($A746,'Infinet ExDa'!$B$2:$E$14, 0,FALSE), "Not Found"))))))))</f>
        <v>Not Found</v>
      </c>
      <c r="H746" t="str">
        <f>IFERROR(VLOOKUP($A746,'AAPT ExDa'!$B$2:$U$99, 6,FALSE), IFERROR(VLOOKUP($A746,'ABB ExDa'!$A$2:$N$184, 0,FALSE), IFERROR(VLOOKUP($A746,'Vocus SIT ExDa'!$B$2:$J$173, 0,FALSE), IFERROR(VLOOKUP($A746,'Telstra ExDa'!$B$2:$K$310, 0,FALSE), IFERROR(VLOOKUP($A746,'Vocus RVC ExDa'!$C$2:$R$155, 16,FALSE), IFERROR(VLOOKUP($A746,'Fusion ExDa'!$B$2:$D$16, 0,FALSE), IFERROR(VLOOKUP($A746,'Exetel ExDa'!$C$2:$N$14, 0,FALSE), IFERROR(VLOOKUP($A746,'Infinet ExDa'!$B$2:$E$14, 0,FALSE), "Not Found"))))))))</f>
        <v>Not Found</v>
      </c>
      <c r="I746" t="str">
        <f>IFERROR(VLOOKUP($A746,'AAPT ExDa'!$B$2:$U$99, 0,FALSE), IFERROR(VLOOKUP($A746,'ABB ExDa'!$A$2:$N$184, 0,FALSE), IFERROR(VLOOKUP($A746,'Vocus SIT ExDa'!$B$2:$J$173, 0,FALSE), IFERROR(VLOOKUP($A746,'Telstra ExDa'!$B$2:$K$310, 0,FALSE), IFERROR(VLOOKUP($A746,'Vocus RVC ExDa'!$C$2:$R$155, 0,FALSE), IFERROR(VLOOKUP($A746,'Fusion ExDa'!$B$2:$D$16, 0,FALSE), IFERROR(VLOOKUP($A746,'Exetel ExDa'!$C$2:$N$14, 8,FALSE), IFERROR(VLOOKUP($A746,'Infinet ExDa'!$B$2:$E$14, 0,FALSE), "Not Found"))))))))</f>
        <v>Not Found</v>
      </c>
      <c r="J746">
        <f>IFERROR(VLOOKUP($A746,'AAPT ExDa'!$B$2:$U$99, 7,FALSE), IFERROR(VLOOKUP($A746,'ABB ExDa'!$A$2:$N$184, 2,FALSE), IFERROR(VLOOKUP($A746,'Vocus SIT ExDa'!$B$2:$J$173, 0,FALSE), IFERROR(VLOOKUP($A746,'Telstra ExDa'!$B$2:$K$310, 7,FALSE), IFERROR(VLOOKUP($A746,'Vocus RVC ExDa'!$C$2:$R$155, 2,FALSE), IFERROR(VLOOKUP($A746,'Fusion ExDa'!$B$2:$D$16, 3,FALSE), IFERROR(VLOOKUP($A746,'Exetel ExDa'!$C$2:$N$14, 0,FALSE), IFERROR(VLOOKUP($A746,'Infinet ExDa'!$B$2:$E$14, 0,FALSE), "Not Found"))))))))</f>
        <v>0</v>
      </c>
      <c r="K746" t="str">
        <f>IFERROR(VLOOKUP($A746,'AAPT ExDa'!$B$2:$U$99, 12,FALSE), IFERROR(VLOOKUP($A746,'ABB ExDa'!$A$2:$N$184, 0,FALSE), IFERROR(VLOOKUP($A746,'Vocus SIT ExDa'!$B$2:$J$173, 0,FALSE), IFERROR(VLOOKUP($A746,'Telstra ExDa'!$B$2:$K$310, 0,FALSE), IFERROR(VLOOKUP($A746,'Vocus RVC ExDa'!$C$2:$R$155, 0,FALSE), IFERROR(VLOOKUP($A746,'Fusion ExDa'!$B$2:$D$16, 0,FALSE), IFERROR(VLOOKUP($A746,'Exetel ExDa'!$C$2:$N$14, 12,FALSE), IFERROR(VLOOKUP($A746,'Infinet ExDa'!$B$2:$E$14, 0,FALSE), "Not Found"))))))))</f>
        <v>Not Found</v>
      </c>
      <c r="L746" s="235" t="str">
        <f>IFERROR(VLOOKUP($A746,'AAPT ExDa'!$B$2:$U$99, 11,FALSE), IFERROR(VLOOKUP($A746,'ABB ExDa'!$A$2:$N$184, 9,FALSE), IFERROR(VLOOKUP($A746,'Vocus SIT ExDa'!$B$2:$J$173, 8,FALSE), IFERROR(VLOOKUP($A746,'Telstra ExDa'!$B$2:$K$310, 0,FALSE), IFERROR(VLOOKUP($A746,'Vocus RVC ExDa'!$C$2:$R$155, 0,FALSE), IFERROR(VLOOKUP($A746,'Fusion ExDa'!$B$2:$D$16, 0,FALSE), IFERROR(VLOOKUP($A746,'Exetel ExDa'!$C$2:$N$14, 9,FALSE), IFERROR(VLOOKUP($A746,'Infinet ExDa'!$B$2:$E$14, 0,FALSE), "Not Found"))))))))</f>
        <v>Not Found</v>
      </c>
      <c r="M746" s="234" t="str">
        <f>IFERROR(VLOOKUP($A746,'AAPT ExDa'!$B$2:$U$99, 0,FALSE), IFERROR(VLOOKUP($A746,'ABB ExDa'!$A$2:$N$184, 0,FALSE), IFERROR(VLOOKUP($A746,'Vocus SIT ExDa'!$B$2:$J$173, 0,FALSE), IFERROR(VLOOKUP($A746,'Telstra ExDa'!$B$2:$K$310, 0,FALSE), IFERROR(VLOOKUP($A746,'Vocus RVC ExDa'!$C$2:$R$155, 0,FALSE), IFERROR(VLOOKUP($A746,'Fusion ExDa'!$B$2:$D$16, 0,FALSE), IFERROR(VLOOKUP($A746,'Exetel ExDa'!$C$2:$N$14, 11,FALSE), IFERROR(VLOOKUP($A746,'Infinet ExDa'!$B$2:$E$14, 0,FALSE), "Not Found"))))))))</f>
        <v>Not Found</v>
      </c>
      <c r="N746" t="str">
        <f>IFERROR(VLOOKUP($A746,'AAPT ExDa'!$B$2:$U$99, 0,FALSE), IFERROR(VLOOKUP($A746,'ABB ExDa'!$A$2:$N$184, 13,FALSE), IFERROR(VLOOKUP($A746,'Vocus SIT ExDa'!$B$2:$J$173, 0,FALSE), IFERROR(VLOOKUP($A746,'Telstra ExDa'!$B$2:$K$310, 0,FALSE), IFERROR(VLOOKUP($A746,'Vocus RVC ExDa'!$C$2:$R$155, 0,FALSE), IFERROR(VLOOKUP($A746,'Fusion ExDa'!$B$2:$D$16, 0,FALSE), IFERROR(VLOOKUP($A746,'Exetel ExDa'!$C$2:$N$14, 0,FALSE), IFERROR(VLOOKUP($A746,'Infinet ExDa'!$B$2:$E$14, 0,FALSE), "Not Found"))))))))</f>
        <v>Not Found</v>
      </c>
    </row>
    <row r="747" spans="1:14">
      <c r="A747">
        <v>0</v>
      </c>
      <c r="B747" t="str">
        <f>IFERROR(VLOOKUP(A747,'Exetel ExDa'!$C$2:$N$14,4,FALSE),"No Data")</f>
        <v>No Data</v>
      </c>
      <c r="C747" t="str">
        <f>IFERROR(VLOOKUP(A747,'AAPT ExDa'!$B$2:$U$99, 2,FALSE), IFERROR(VLOOKUP(A747,'ABB ExDa'!$A$2:$N$184, 2,FALSE), IFERROR(VLOOKUP(A747,'Vocus SIT ExDa'!$B$2:$J$173, 7,FALSE), IFERROR(VLOOKUP(A747,'Telstra ExDa'!$B$2:$K$310, 2,FALSE), IFERROR(VLOOKUP(A747,'Vocus RVC ExDa'!$C$2:$R$155, 3,FALSE), IFERROR(VLOOKUP(A747,'Fusion ExDa'!$B$2:$D$16, 2,FALSE), IFERROR(VLOOKUP(A747,'Exetel ExDa'!$C$2:$N$14, 2,FALSE), IFERROR(VLOOKUP(A747,'Infinet ExDa'!$B$2:$E$14, 2,FALSE), "Not Found"))))))))</f>
        <v>Not Found</v>
      </c>
      <c r="D747" t="str">
        <f>IFERROR(VLOOKUP($A747,'AAPT ExDa'!$B$2:$U$99, 15,FALSE), IFERROR(VLOOKUP($A747,'ABB ExDa'!$A$2:$N$184, 4,FALSE), IFERROR(VLOOKUP($A747,'Vocus SIT ExDa'!$B$2:$J$173, 5,FALSE), IFERROR(VLOOKUP($A747,'Telstra ExDa'!$B$2:$K$310, 8,FALSE), IFERROR(VLOOKUP($A747,'Vocus RVC ExDa'!$C$2:$R$155, 6,FALSE), IFERROR(VLOOKUP($A747,'Fusion ExDa'!$B$2:$D$16, 4,FALSE), IFERROR(VLOOKUP($A747,'Exetel ExDa'!$C$2:$N$14, 3,FALSE), IFERROR(VLOOKUP($A747,'Infinet ExDa'!$B$2:$E$14, 3,FALSE), "Not Found"))))))))</f>
        <v>Not Found</v>
      </c>
      <c r="E747" t="str">
        <f>IFERROR(VLOOKUP($A747,'AAPT ExDa'!$B$2:$U$99, 3,FALSE), IFERROR(VLOOKUP($A747,'ABB ExDa'!$A$2:$N$184, 5,FALSE), IFERROR(VLOOKUP($A747,'Vocus SIT ExDa'!$B$2:$J$173, 2,FALSE), IFERROR(VLOOKUP($A747,'Telstra ExDa'!$B$2:$K$310, 4,FALSE), IFERROR(VLOOKUP($A747,'Vocus RVC ExDa'!$C$2:$R$155, 8,FALSE), IFERROR(VLOOKUP($A747,'Fusion ExDa'!$B$2:$D$16, 4,FALSE), IFERROR(VLOOKUP($A747,'Exetel ExDa'!$C$2:$N$14, 5,FALSE), IFERROR(VLOOKUP($A747,'Infinet ExDa'!$B$2:$E$14, 3,FALSE), "Not Found"))))))))</f>
        <v>Not Found</v>
      </c>
      <c r="F747" t="str">
        <f>IFERROR(VLOOKUP($A747,'AAPT ExDa'!$B$2:$U$99, 4,FALSE), IFERROR(VLOOKUP($A747,'ABB ExDa'!$A$2:$N$184, 6,FALSE), IFERROR(VLOOKUP($A747,'Vocus SIT ExDa'!$B$2:$J$173, 3,FALSE), IFERROR(VLOOKUP($A747,'Telstra ExDa'!$B$2:$K$310, 5,FALSE), IFERROR(VLOOKUP($A747,'Vocus RVC ExDa'!$C$2:$R$155, 9,FALSE), IFERROR(VLOOKUP($A747,'Fusion ExDa'!$B$2:$D$16, 0,FALSE), IFERROR(VLOOKUP($A747,'Exetel ExDa'!$C$2:$N$14, 6,FALSE), IFERROR(VLOOKUP($A747,'Infinet ExDa'!$B$2:$E$14, 0,FALSE), "Not Found"))))))))</f>
        <v>Not Found</v>
      </c>
      <c r="G747" t="str">
        <f>IFERROR(VLOOKUP($A747,'AAPT ExDa'!$B$2:$U$99, 5,FALSE), IFERROR(VLOOKUP($A747,'ABB ExDa'!$A$2:$N$184, 8,FALSE), IFERROR(VLOOKUP($A747,'Vocus SIT ExDa'!$B$2:$J$173, 6,FALSE), IFERROR(VLOOKUP($A747,'Telstra ExDa'!$B$2:$K$310, 0,FALSE), IFERROR(VLOOKUP($A747,'Vocus RVC ExDa'!$C$2:$R$155, 15,FALSE), IFERROR(VLOOKUP($A747,'Fusion ExDa'!$B$2:$D$16, 0,FALSE), IFERROR(VLOOKUP($A747,'Exetel ExDa'!$C$2:$N$14, 7,FALSE), IFERROR(VLOOKUP($A747,'Infinet ExDa'!$B$2:$E$14, 0,FALSE), "Not Found"))))))))</f>
        <v>Not Found</v>
      </c>
      <c r="H747" t="str">
        <f>IFERROR(VLOOKUP($A747,'AAPT ExDa'!$B$2:$U$99, 6,FALSE), IFERROR(VLOOKUP($A747,'ABB ExDa'!$A$2:$N$184, 0,FALSE), IFERROR(VLOOKUP($A747,'Vocus SIT ExDa'!$B$2:$J$173, 0,FALSE), IFERROR(VLOOKUP($A747,'Telstra ExDa'!$B$2:$K$310, 0,FALSE), IFERROR(VLOOKUP($A747,'Vocus RVC ExDa'!$C$2:$R$155, 16,FALSE), IFERROR(VLOOKUP($A747,'Fusion ExDa'!$B$2:$D$16, 0,FALSE), IFERROR(VLOOKUP($A747,'Exetel ExDa'!$C$2:$N$14, 0,FALSE), IFERROR(VLOOKUP($A747,'Infinet ExDa'!$B$2:$E$14, 0,FALSE), "Not Found"))))))))</f>
        <v>Not Found</v>
      </c>
      <c r="I747" t="str">
        <f>IFERROR(VLOOKUP($A747,'AAPT ExDa'!$B$2:$U$99, 0,FALSE), IFERROR(VLOOKUP($A747,'ABB ExDa'!$A$2:$N$184, 0,FALSE), IFERROR(VLOOKUP($A747,'Vocus SIT ExDa'!$B$2:$J$173, 0,FALSE), IFERROR(VLOOKUP($A747,'Telstra ExDa'!$B$2:$K$310, 0,FALSE), IFERROR(VLOOKUP($A747,'Vocus RVC ExDa'!$C$2:$R$155, 0,FALSE), IFERROR(VLOOKUP($A747,'Fusion ExDa'!$B$2:$D$16, 0,FALSE), IFERROR(VLOOKUP($A747,'Exetel ExDa'!$C$2:$N$14, 8,FALSE), IFERROR(VLOOKUP($A747,'Infinet ExDa'!$B$2:$E$14, 0,FALSE), "Not Found"))))))))</f>
        <v>Not Found</v>
      </c>
      <c r="J747" t="str">
        <f>IFERROR(VLOOKUP($A747,'AAPT ExDa'!$B$2:$U$99, 7,FALSE), IFERROR(VLOOKUP($A747,'ABB ExDa'!$A$2:$N$184, 2,FALSE), IFERROR(VLOOKUP($A747,'Vocus SIT ExDa'!$B$2:$J$173, 0,FALSE), IFERROR(VLOOKUP($A747,'Telstra ExDa'!$B$2:$K$310, 7,FALSE), IFERROR(VLOOKUP($A747,'Vocus RVC ExDa'!$C$2:$R$155, 2,FALSE), IFERROR(VLOOKUP($A747,'Fusion ExDa'!$B$2:$D$16, 3,FALSE), IFERROR(VLOOKUP($A747,'Exetel ExDa'!$C$2:$N$14, 0,FALSE), IFERROR(VLOOKUP($A747,'Infinet ExDa'!$B$2:$E$14, 0,FALSE), "Not Found"))))))))</f>
        <v>Not Found</v>
      </c>
      <c r="K747" t="str">
        <f>IFERROR(VLOOKUP($A747,'AAPT ExDa'!$B$2:$U$99, 12,FALSE), IFERROR(VLOOKUP($A747,'ABB ExDa'!$A$2:$N$184, 0,FALSE), IFERROR(VLOOKUP($A747,'Vocus SIT ExDa'!$B$2:$J$173, 0,FALSE), IFERROR(VLOOKUP($A747,'Telstra ExDa'!$B$2:$K$310, 0,FALSE), IFERROR(VLOOKUP($A747,'Vocus RVC ExDa'!$C$2:$R$155, 0,FALSE), IFERROR(VLOOKUP($A747,'Fusion ExDa'!$B$2:$D$16, 0,FALSE), IFERROR(VLOOKUP($A747,'Exetel ExDa'!$C$2:$N$14, 12,FALSE), IFERROR(VLOOKUP($A747,'Infinet ExDa'!$B$2:$E$14, 0,FALSE), "Not Found"))))))))</f>
        <v>Not Found</v>
      </c>
      <c r="L747" s="235" t="str">
        <f>IFERROR(VLOOKUP($A747,'AAPT ExDa'!$B$2:$U$99, 11,FALSE), IFERROR(VLOOKUP($A747,'ABB ExDa'!$A$2:$N$184, 9,FALSE), IFERROR(VLOOKUP($A747,'Vocus SIT ExDa'!$B$2:$J$173, 8,FALSE), IFERROR(VLOOKUP($A747,'Telstra ExDa'!$B$2:$K$310, 0,FALSE), IFERROR(VLOOKUP($A747,'Vocus RVC ExDa'!$C$2:$R$155, 0,FALSE), IFERROR(VLOOKUP($A747,'Fusion ExDa'!$B$2:$D$16, 0,FALSE), IFERROR(VLOOKUP($A747,'Exetel ExDa'!$C$2:$N$14, 9,FALSE), IFERROR(VLOOKUP($A747,'Infinet ExDa'!$B$2:$E$14, 0,FALSE), "Not Found"))))))))</f>
        <v>Not Found</v>
      </c>
      <c r="M747" s="234" t="str">
        <f>IFERROR(VLOOKUP($A747,'AAPT ExDa'!$B$2:$U$99, 0,FALSE), IFERROR(VLOOKUP($A747,'ABB ExDa'!$A$2:$N$184, 0,FALSE), IFERROR(VLOOKUP($A747,'Vocus SIT ExDa'!$B$2:$J$173, 0,FALSE), IFERROR(VLOOKUP($A747,'Telstra ExDa'!$B$2:$K$310, 0,FALSE), IFERROR(VLOOKUP($A747,'Vocus RVC ExDa'!$C$2:$R$155, 0,FALSE), IFERROR(VLOOKUP($A747,'Fusion ExDa'!$B$2:$D$16, 0,FALSE), IFERROR(VLOOKUP($A747,'Exetel ExDa'!$C$2:$N$14, 11,FALSE), IFERROR(VLOOKUP($A747,'Infinet ExDa'!$B$2:$E$14, 0,FALSE), "Not Found"))))))))</f>
        <v>Not Found</v>
      </c>
      <c r="N747" t="str">
        <f>IFERROR(VLOOKUP($A747,'AAPT ExDa'!$B$2:$U$99, 0,FALSE), IFERROR(VLOOKUP($A747,'ABB ExDa'!$A$2:$N$184, 13,FALSE), IFERROR(VLOOKUP($A747,'Vocus SIT ExDa'!$B$2:$J$173, 0,FALSE), IFERROR(VLOOKUP($A747,'Telstra ExDa'!$B$2:$K$310, 0,FALSE), IFERROR(VLOOKUP($A747,'Vocus RVC ExDa'!$C$2:$R$155, 0,FALSE), IFERROR(VLOOKUP($A747,'Fusion ExDa'!$B$2:$D$16, 0,FALSE), IFERROR(VLOOKUP($A747,'Exetel ExDa'!$C$2:$N$14, 0,FALSE), IFERROR(VLOOKUP($A747,'Infinet ExDa'!$B$2:$E$14, 0,FALSE), "Not Found"))))))))</f>
        <v>Not Found</v>
      </c>
    </row>
    <row r="748" spans="1:14">
      <c r="A748">
        <v>0</v>
      </c>
      <c r="B748" t="str">
        <f>IFERROR(VLOOKUP(A748,'Exetel ExDa'!$C$2:$N$14,4,FALSE),"No Data")</f>
        <v>No Data</v>
      </c>
      <c r="C748" t="str">
        <f>IFERROR(VLOOKUP(A748,'AAPT ExDa'!$B$2:$U$99, 2,FALSE), IFERROR(VLOOKUP(A748,'ABB ExDa'!$A$2:$N$184, 2,FALSE), IFERROR(VLOOKUP(A748,'Vocus SIT ExDa'!$B$2:$J$173, 7,FALSE), IFERROR(VLOOKUP(A748,'Telstra ExDa'!$B$2:$K$310, 2,FALSE), IFERROR(VLOOKUP(A748,'Vocus RVC ExDa'!$C$2:$R$155, 3,FALSE), IFERROR(VLOOKUP(A748,'Fusion ExDa'!$B$2:$D$16, 2,FALSE), IFERROR(VLOOKUP(A748,'Exetel ExDa'!$C$2:$N$14, 2,FALSE), IFERROR(VLOOKUP(A748,'Infinet ExDa'!$B$2:$E$14, 2,FALSE), "Not Found"))))))))</f>
        <v>Not Found</v>
      </c>
      <c r="D748" t="str">
        <f>IFERROR(VLOOKUP($A748,'AAPT ExDa'!$B$2:$U$99, 15,FALSE), IFERROR(VLOOKUP($A748,'ABB ExDa'!$A$2:$N$184, 4,FALSE), IFERROR(VLOOKUP($A748,'Vocus SIT ExDa'!$B$2:$J$173, 5,FALSE), IFERROR(VLOOKUP($A748,'Telstra ExDa'!$B$2:$K$310, 8,FALSE), IFERROR(VLOOKUP($A748,'Vocus RVC ExDa'!$C$2:$R$155, 6,FALSE), IFERROR(VLOOKUP($A748,'Fusion ExDa'!$B$2:$D$16, 4,FALSE), IFERROR(VLOOKUP($A748,'Exetel ExDa'!$C$2:$N$14, 3,FALSE), IFERROR(VLOOKUP($A748,'Infinet ExDa'!$B$2:$E$14, 3,FALSE), "Not Found"))))))))</f>
        <v>Not Found</v>
      </c>
      <c r="E748" t="str">
        <f>IFERROR(VLOOKUP($A748,'AAPT ExDa'!$B$2:$U$99, 3,FALSE), IFERROR(VLOOKUP($A748,'ABB ExDa'!$A$2:$N$184, 5,FALSE), IFERROR(VLOOKUP($A748,'Vocus SIT ExDa'!$B$2:$J$173, 2,FALSE), IFERROR(VLOOKUP($A748,'Telstra ExDa'!$B$2:$K$310, 4,FALSE), IFERROR(VLOOKUP($A748,'Vocus RVC ExDa'!$C$2:$R$155, 8,FALSE), IFERROR(VLOOKUP($A748,'Fusion ExDa'!$B$2:$D$16, 4,FALSE), IFERROR(VLOOKUP($A748,'Exetel ExDa'!$C$2:$N$14, 5,FALSE), IFERROR(VLOOKUP($A748,'Infinet ExDa'!$B$2:$E$14, 3,FALSE), "Not Found"))))))))</f>
        <v>Not Found</v>
      </c>
      <c r="F748" t="str">
        <f>IFERROR(VLOOKUP($A748,'AAPT ExDa'!$B$2:$U$99, 4,FALSE), IFERROR(VLOOKUP($A748,'ABB ExDa'!$A$2:$N$184, 6,FALSE), IFERROR(VLOOKUP($A748,'Vocus SIT ExDa'!$B$2:$J$173, 3,FALSE), IFERROR(VLOOKUP($A748,'Telstra ExDa'!$B$2:$K$310, 5,FALSE), IFERROR(VLOOKUP($A748,'Vocus RVC ExDa'!$C$2:$R$155, 9,FALSE), IFERROR(VLOOKUP($A748,'Fusion ExDa'!$B$2:$D$16, 0,FALSE), IFERROR(VLOOKUP($A748,'Exetel ExDa'!$C$2:$N$14, 6,FALSE), IFERROR(VLOOKUP($A748,'Infinet ExDa'!$B$2:$E$14, 0,FALSE), "Not Found"))))))))</f>
        <v>Not Found</v>
      </c>
      <c r="G748" t="str">
        <f>IFERROR(VLOOKUP($A748,'AAPT ExDa'!$B$2:$U$99, 5,FALSE), IFERROR(VLOOKUP($A748,'ABB ExDa'!$A$2:$N$184, 8,FALSE), IFERROR(VLOOKUP($A748,'Vocus SIT ExDa'!$B$2:$J$173, 6,FALSE), IFERROR(VLOOKUP($A748,'Telstra ExDa'!$B$2:$K$310, 0,FALSE), IFERROR(VLOOKUP($A748,'Vocus RVC ExDa'!$C$2:$R$155, 15,FALSE), IFERROR(VLOOKUP($A748,'Fusion ExDa'!$B$2:$D$16, 0,FALSE), IFERROR(VLOOKUP($A748,'Exetel ExDa'!$C$2:$N$14, 7,FALSE), IFERROR(VLOOKUP($A748,'Infinet ExDa'!$B$2:$E$14, 0,FALSE), "Not Found"))))))))</f>
        <v>Not Found</v>
      </c>
      <c r="H748" t="str">
        <f>IFERROR(VLOOKUP($A748,'AAPT ExDa'!$B$2:$U$99, 6,FALSE), IFERROR(VLOOKUP($A748,'ABB ExDa'!$A$2:$N$184, 0,FALSE), IFERROR(VLOOKUP($A748,'Vocus SIT ExDa'!$B$2:$J$173, 0,FALSE), IFERROR(VLOOKUP($A748,'Telstra ExDa'!$B$2:$K$310, 0,FALSE), IFERROR(VLOOKUP($A748,'Vocus RVC ExDa'!$C$2:$R$155, 16,FALSE), IFERROR(VLOOKUP($A748,'Fusion ExDa'!$B$2:$D$16, 0,FALSE), IFERROR(VLOOKUP($A748,'Exetel ExDa'!$C$2:$N$14, 0,FALSE), IFERROR(VLOOKUP($A748,'Infinet ExDa'!$B$2:$E$14, 0,FALSE), "Not Found"))))))))</f>
        <v>Not Found</v>
      </c>
      <c r="I748" t="str">
        <f>IFERROR(VLOOKUP($A748,'AAPT ExDa'!$B$2:$U$99, 0,FALSE), IFERROR(VLOOKUP($A748,'ABB ExDa'!$A$2:$N$184, 0,FALSE), IFERROR(VLOOKUP($A748,'Vocus SIT ExDa'!$B$2:$J$173, 0,FALSE), IFERROR(VLOOKUP($A748,'Telstra ExDa'!$B$2:$K$310, 0,FALSE), IFERROR(VLOOKUP($A748,'Vocus RVC ExDa'!$C$2:$R$155, 0,FALSE), IFERROR(VLOOKUP($A748,'Fusion ExDa'!$B$2:$D$16, 0,FALSE), IFERROR(VLOOKUP($A748,'Exetel ExDa'!$C$2:$N$14, 8,FALSE), IFERROR(VLOOKUP($A748,'Infinet ExDa'!$B$2:$E$14, 0,FALSE), "Not Found"))))))))</f>
        <v>Not Found</v>
      </c>
      <c r="J748" t="str">
        <f>IFERROR(VLOOKUP($A748,'AAPT ExDa'!$B$2:$U$99, 7,FALSE), IFERROR(VLOOKUP($A748,'ABB ExDa'!$A$2:$N$184, 2,FALSE), IFERROR(VLOOKUP($A748,'Vocus SIT ExDa'!$B$2:$J$173, 0,FALSE), IFERROR(VLOOKUP($A748,'Telstra ExDa'!$B$2:$K$310, 7,FALSE), IFERROR(VLOOKUP($A748,'Vocus RVC ExDa'!$C$2:$R$155, 2,FALSE), IFERROR(VLOOKUP($A748,'Fusion ExDa'!$B$2:$D$16, 3,FALSE), IFERROR(VLOOKUP($A748,'Exetel ExDa'!$C$2:$N$14, 0,FALSE), IFERROR(VLOOKUP($A748,'Infinet ExDa'!$B$2:$E$14, 0,FALSE), "Not Found"))))))))</f>
        <v>Not Found</v>
      </c>
      <c r="K748" t="str">
        <f>IFERROR(VLOOKUP($A748,'AAPT ExDa'!$B$2:$U$99, 12,FALSE), IFERROR(VLOOKUP($A748,'ABB ExDa'!$A$2:$N$184, 0,FALSE), IFERROR(VLOOKUP($A748,'Vocus SIT ExDa'!$B$2:$J$173, 0,FALSE), IFERROR(VLOOKUP($A748,'Telstra ExDa'!$B$2:$K$310, 0,FALSE), IFERROR(VLOOKUP($A748,'Vocus RVC ExDa'!$C$2:$R$155, 0,FALSE), IFERROR(VLOOKUP($A748,'Fusion ExDa'!$B$2:$D$16, 0,FALSE), IFERROR(VLOOKUP($A748,'Exetel ExDa'!$C$2:$N$14, 12,FALSE), IFERROR(VLOOKUP($A748,'Infinet ExDa'!$B$2:$E$14, 0,FALSE), "Not Found"))))))))</f>
        <v>Not Found</v>
      </c>
      <c r="L748" s="235" t="str">
        <f>IFERROR(VLOOKUP($A748,'AAPT ExDa'!$B$2:$U$99, 11,FALSE), IFERROR(VLOOKUP($A748,'ABB ExDa'!$A$2:$N$184, 9,FALSE), IFERROR(VLOOKUP($A748,'Vocus SIT ExDa'!$B$2:$J$173, 8,FALSE), IFERROR(VLOOKUP($A748,'Telstra ExDa'!$B$2:$K$310, 0,FALSE), IFERROR(VLOOKUP($A748,'Vocus RVC ExDa'!$C$2:$R$155, 0,FALSE), IFERROR(VLOOKUP($A748,'Fusion ExDa'!$B$2:$D$16, 0,FALSE), IFERROR(VLOOKUP($A748,'Exetel ExDa'!$C$2:$N$14, 9,FALSE), IFERROR(VLOOKUP($A748,'Infinet ExDa'!$B$2:$E$14, 0,FALSE), "Not Found"))))))))</f>
        <v>Not Found</v>
      </c>
      <c r="M748" s="234" t="str">
        <f>IFERROR(VLOOKUP($A748,'AAPT ExDa'!$B$2:$U$99, 0,FALSE), IFERROR(VLOOKUP($A748,'ABB ExDa'!$A$2:$N$184, 0,FALSE), IFERROR(VLOOKUP($A748,'Vocus SIT ExDa'!$B$2:$J$173, 0,FALSE), IFERROR(VLOOKUP($A748,'Telstra ExDa'!$B$2:$K$310, 0,FALSE), IFERROR(VLOOKUP($A748,'Vocus RVC ExDa'!$C$2:$R$155, 0,FALSE), IFERROR(VLOOKUP($A748,'Fusion ExDa'!$B$2:$D$16, 0,FALSE), IFERROR(VLOOKUP($A748,'Exetel ExDa'!$C$2:$N$14, 11,FALSE), IFERROR(VLOOKUP($A748,'Infinet ExDa'!$B$2:$E$14, 0,FALSE), "Not Found"))))))))</f>
        <v>Not Found</v>
      </c>
      <c r="N748" t="str">
        <f>IFERROR(VLOOKUP($A748,'AAPT ExDa'!$B$2:$U$99, 0,FALSE), IFERROR(VLOOKUP($A748,'ABB ExDa'!$A$2:$N$184, 13,FALSE), IFERROR(VLOOKUP($A748,'Vocus SIT ExDa'!$B$2:$J$173, 0,FALSE), IFERROR(VLOOKUP($A748,'Telstra ExDa'!$B$2:$K$310, 0,FALSE), IFERROR(VLOOKUP($A748,'Vocus RVC ExDa'!$C$2:$R$155, 0,FALSE), IFERROR(VLOOKUP($A748,'Fusion ExDa'!$B$2:$D$16, 0,FALSE), IFERROR(VLOOKUP($A748,'Exetel ExDa'!$C$2:$N$14, 0,FALSE), IFERROR(VLOOKUP($A748,'Infinet ExDa'!$B$2:$E$14, 0,FALSE), "Not Found"))))))))</f>
        <v>Not Found</v>
      </c>
    </row>
    <row r="749" spans="1:14">
      <c r="A749" t="str">
        <v>Sunshine Coast</v>
      </c>
      <c r="B749" t="str">
        <f>IFERROR(VLOOKUP(A749,'Exetel ExDa'!$C$2:$N$14,4,FALSE),"No Data")</f>
        <v>No Data</v>
      </c>
      <c r="C749" t="str">
        <f>IFERROR(VLOOKUP(A749,'AAPT ExDa'!$B$2:$U$99, 2,FALSE), IFERROR(VLOOKUP(A749,'ABB ExDa'!$A$2:$N$184, 2,FALSE), IFERROR(VLOOKUP(A749,'Vocus SIT ExDa'!$B$2:$J$173, 7,FALSE), IFERROR(VLOOKUP(A749,'Telstra ExDa'!$B$2:$K$310, 2,FALSE), IFERROR(VLOOKUP(A749,'Vocus RVC ExDa'!$C$2:$R$155, 3,FALSE), IFERROR(VLOOKUP(A749,'Fusion ExDa'!$B$2:$D$16, 2,FALSE), IFERROR(VLOOKUP(A749,'Exetel ExDa'!$C$2:$N$14, 2,FALSE), IFERROR(VLOOKUP(A749,'Infinet ExDa'!$B$2:$E$14, 2,FALSE), "Not Found"))))))))</f>
        <v xml:space="preserve">Lot: 432 6 Cala Luna Pde </v>
      </c>
      <c r="D749">
        <f>IFERROR(VLOOKUP($A749,'AAPT ExDa'!$B$2:$U$99, 15,FALSE), IFERROR(VLOOKUP($A749,'ABB ExDa'!$A$2:$N$184, 4,FALSE), IFERROR(VLOOKUP($A749,'Vocus SIT ExDa'!$B$2:$J$173, 5,FALSE), IFERROR(VLOOKUP($A749,'Telstra ExDa'!$B$2:$K$310, 8,FALSE), IFERROR(VLOOKUP($A749,'Vocus RVC ExDa'!$C$2:$R$155, 6,FALSE), IFERROR(VLOOKUP($A749,'Fusion ExDa'!$B$2:$D$16, 4,FALSE), IFERROR(VLOOKUP($A749,'Exetel ExDa'!$C$2:$N$14, 3,FALSE), IFERROR(VLOOKUP($A749,'Infinet ExDa'!$B$2:$E$14, 3,FALSE), "Not Found"))))))))</f>
        <v>4573</v>
      </c>
      <c r="E749" t="str">
        <f>IFERROR(VLOOKUP($A749,'AAPT ExDa'!$B$2:$U$99, 3,FALSE), IFERROR(VLOOKUP($A749,'ABB ExDa'!$A$2:$N$184, 5,FALSE), IFERROR(VLOOKUP($A749,'Vocus SIT ExDa'!$B$2:$J$173, 2,FALSE), IFERROR(VLOOKUP($A749,'Telstra ExDa'!$B$2:$K$310, 4,FALSE), IFERROR(VLOOKUP($A749,'Vocus RVC ExDa'!$C$2:$R$155, 8,FALSE), IFERROR(VLOOKUP($A749,'Fusion ExDa'!$B$2:$D$16, 4,FALSE), IFERROR(VLOOKUP($A749,'Exetel ExDa'!$C$2:$N$14, 5,FALSE), IFERROR(VLOOKUP($A749,'Infinet ExDa'!$B$2:$E$14, 3,FALSE), "Not Found"))))))))</f>
        <v>250Mbps/25Mbps Home SuperFast</v>
      </c>
      <c r="F749" t="str">
        <f>IFERROR(VLOOKUP($A749,'AAPT ExDa'!$B$2:$U$99, 4,FALSE), IFERROR(VLOOKUP($A749,'ABB ExDa'!$A$2:$N$184, 6,FALSE), IFERROR(VLOOKUP($A749,'Vocus SIT ExDa'!$B$2:$J$173, 3,FALSE), IFERROR(VLOOKUP($A749,'Telstra ExDa'!$B$2:$K$310, 5,FALSE), IFERROR(VLOOKUP($A749,'Vocus RVC ExDa'!$C$2:$R$155, 9,FALSE), IFERROR(VLOOKUP($A749,'Fusion ExDa'!$B$2:$D$16, 0,FALSE), IFERROR(VLOOKUP($A749,'Exetel ExDa'!$C$2:$N$14, 6,FALSE), IFERROR(VLOOKUP($A749,'Infinet ExDa'!$B$2:$E$14, 0,FALSE), "Not Found"))))))))</f>
        <v xml:space="preserve">NBN Reseller  G4 </v>
      </c>
      <c r="G749" t="str">
        <f>IFERROR(VLOOKUP($A749,'AAPT ExDa'!$B$2:$U$99, 5,FALSE), IFERROR(VLOOKUP($A749,'ABB ExDa'!$A$2:$N$184, 8,FALSE), IFERROR(VLOOKUP($A749,'Vocus SIT ExDa'!$B$2:$J$173, 6,FALSE), IFERROR(VLOOKUP($A749,'Telstra ExDa'!$B$2:$K$310, 0,FALSE), IFERROR(VLOOKUP($A749,'Vocus RVC ExDa'!$C$2:$R$155, 15,FALSE), IFERROR(VLOOKUP($A749,'Fusion ExDa'!$B$2:$D$16, 0,FALSE), IFERROR(VLOOKUP($A749,'Exetel ExDa'!$C$2:$N$14, 7,FALSE), IFERROR(VLOOKUP($A749,'Infinet ExDa'!$B$2:$E$14, 0,FALSE), "Not Found"))))))))</f>
        <v>122.148.151.59</v>
      </c>
      <c r="H749" t="str">
        <f>IFERROR(VLOOKUP($A749,'AAPT ExDa'!$B$2:$U$99, 6,FALSE), IFERROR(VLOOKUP($A749,'ABB ExDa'!$A$2:$N$184, 0,FALSE), IFERROR(VLOOKUP($A749,'Vocus SIT ExDa'!$B$2:$J$173, 0,FALSE), IFERROR(VLOOKUP($A749,'Telstra ExDa'!$B$2:$K$310, 0,FALSE), IFERROR(VLOOKUP($A749,'Vocus RVC ExDa'!$C$2:$R$155, 16,FALSE), IFERROR(VLOOKUP($A749,'Fusion ExDa'!$B$2:$D$16, 0,FALSE), IFERROR(VLOOKUP($A749,'Exetel ExDa'!$C$2:$N$14, 0,FALSE), IFERROR(VLOOKUP($A749,'Infinet ExDa'!$B$2:$E$14, 0,FALSE), "Not Found"))))))))</f>
        <v>PPPoE</v>
      </c>
      <c r="I749" t="str">
        <f>IFERROR(VLOOKUP($A749,'AAPT ExDa'!$B$2:$U$99, 0,FALSE), IFERROR(VLOOKUP($A749,'ABB ExDa'!$A$2:$N$184, 0,FALSE), IFERROR(VLOOKUP($A749,'Vocus SIT ExDa'!$B$2:$J$173, 0,FALSE), IFERROR(VLOOKUP($A749,'Telstra ExDa'!$B$2:$K$310, 0,FALSE), IFERROR(VLOOKUP($A749,'Vocus RVC ExDa'!$C$2:$R$155, 0,FALSE), IFERROR(VLOOKUP($A749,'Fusion ExDa'!$B$2:$D$16, 0,FALSE), IFERROR(VLOOKUP($A749,'Exetel ExDa'!$C$2:$N$14, 8,FALSE), IFERROR(VLOOKUP($A749,'Infinet ExDa'!$B$2:$E$14, 0,FALSE), "Not Found"))))))))</f>
        <v>Not Found</v>
      </c>
      <c r="J749" t="str">
        <f>IFERROR(VLOOKUP($A749,'AAPT ExDa'!$B$2:$U$99, 7,FALSE), IFERROR(VLOOKUP($A749,'ABB ExDa'!$A$2:$N$184, 2,FALSE), IFERROR(VLOOKUP($A749,'Vocus SIT ExDa'!$B$2:$J$173, 0,FALSE), IFERROR(VLOOKUP($A749,'Telstra ExDa'!$B$2:$K$310, 7,FALSE), IFERROR(VLOOKUP($A749,'Vocus RVC ExDa'!$C$2:$R$155, 2,FALSE), IFERROR(VLOOKUP($A749,'Fusion ExDa'!$B$2:$D$16, 3,FALSE), IFERROR(VLOOKUP($A749,'Exetel ExDa'!$C$2:$N$14, 0,FALSE), IFERROR(VLOOKUP($A749,'Infinet ExDa'!$B$2:$E$14, 0,FALSE), "Not Found"))))))))</f>
        <v>AVC000047946345</v>
      </c>
      <c r="K749" t="str">
        <f>IFERROR(VLOOKUP($A749,'AAPT ExDa'!$B$2:$U$99, 12,FALSE), IFERROR(VLOOKUP($A749,'ABB ExDa'!$A$2:$N$184, 0,FALSE), IFERROR(VLOOKUP($A749,'Vocus SIT ExDa'!$B$2:$J$173, 0,FALSE), IFERROR(VLOOKUP($A749,'Telstra ExDa'!$B$2:$K$310, 0,FALSE), IFERROR(VLOOKUP($A749,'Vocus RVC ExDa'!$C$2:$R$155, 0,FALSE), IFERROR(VLOOKUP($A749,'Fusion ExDa'!$B$2:$D$16, 0,FALSE), IFERROR(VLOOKUP($A749,'Exetel ExDa'!$C$2:$N$14, 12,FALSE), IFERROR(VLOOKUP($A749,'Infinet ExDa'!$B$2:$E$14, 0,FALSE), "Not Found"))))))))</f>
        <v>Not Found</v>
      </c>
      <c r="L749" s="235" t="str">
        <f>IFERROR(VLOOKUP($A749,'AAPT ExDa'!$B$2:$U$99, 11,FALSE), IFERROR(VLOOKUP($A749,'ABB ExDa'!$A$2:$N$184, 9,FALSE), IFERROR(VLOOKUP($A749,'Vocus SIT ExDa'!$B$2:$J$173, 8,FALSE), IFERROR(VLOOKUP($A749,'Telstra ExDa'!$B$2:$K$310, 0,FALSE), IFERROR(VLOOKUP($A749,'Vocus RVC ExDa'!$C$2:$R$155, 0,FALSE), IFERROR(VLOOKUP($A749,'Fusion ExDa'!$B$2:$D$16, 0,FALSE), IFERROR(VLOOKUP($A749,'Exetel ExDa'!$C$2:$N$14, 9,FALSE), IFERROR(VLOOKUP($A749,'Infinet ExDa'!$B$2:$E$14, 0,FALSE), "Not Found"))))))))</f>
        <v>Not Found</v>
      </c>
      <c r="M749" s="234" t="str">
        <f>IFERROR(VLOOKUP($A749,'AAPT ExDa'!$B$2:$U$99, 0,FALSE), IFERROR(VLOOKUP($A749,'ABB ExDa'!$A$2:$N$184, 0,FALSE), IFERROR(VLOOKUP($A749,'Vocus SIT ExDa'!$B$2:$J$173, 0,FALSE), IFERROR(VLOOKUP($A749,'Telstra ExDa'!$B$2:$K$310, 0,FALSE), IFERROR(VLOOKUP($A749,'Vocus RVC ExDa'!$C$2:$R$155, 0,FALSE), IFERROR(VLOOKUP($A749,'Fusion ExDa'!$B$2:$D$16, 0,FALSE), IFERROR(VLOOKUP($A749,'Exetel ExDa'!$C$2:$N$14, 11,FALSE), IFERROR(VLOOKUP($A749,'Infinet ExDa'!$B$2:$E$14, 0,FALSE), "Not Found"))))))))</f>
        <v>Not Found</v>
      </c>
      <c r="N749" t="str">
        <f>IFERROR(VLOOKUP($A749,'AAPT ExDa'!$B$2:$U$99, 0,FALSE), IFERROR(VLOOKUP($A749,'ABB ExDa'!$A$2:$N$184, 13,FALSE), IFERROR(VLOOKUP($A749,'Vocus SIT ExDa'!$B$2:$J$173, 0,FALSE), IFERROR(VLOOKUP($A749,'Telstra ExDa'!$B$2:$K$310, 0,FALSE), IFERROR(VLOOKUP($A749,'Vocus RVC ExDa'!$C$2:$R$155, 0,FALSE), IFERROR(VLOOKUP($A749,'Fusion ExDa'!$B$2:$D$16, 0,FALSE), IFERROR(VLOOKUP($A749,'Exetel ExDa'!$C$2:$N$14, 0,FALSE), IFERROR(VLOOKUP($A749,'Infinet ExDa'!$B$2:$E$14, 0,FALSE), "Not Found"))))))))</f>
        <v>Not Found</v>
      </c>
    </row>
    <row r="750" spans="1:14">
      <c r="A750" t="str">
        <v>Flutterbys Childcare</v>
      </c>
      <c r="B750" t="str">
        <f>IFERROR(VLOOKUP(A750,'Exetel ExDa'!$C$2:$N$14,4,FALSE),"No Data")</f>
        <v>No Data</v>
      </c>
      <c r="C750" t="str">
        <f>IFERROR(VLOOKUP(A750,'AAPT ExDa'!$B$2:$U$99, 2,FALSE), IFERROR(VLOOKUP(A750,'ABB ExDa'!$A$2:$N$184, 2,FALSE), IFERROR(VLOOKUP(A750,'Vocus SIT ExDa'!$B$2:$J$173, 7,FALSE), IFERROR(VLOOKUP(A750,'Telstra ExDa'!$B$2:$K$310, 2,FALSE), IFERROR(VLOOKUP(A750,'Vocus RVC ExDa'!$C$2:$R$155, 3,FALSE), IFERROR(VLOOKUP(A750,'Fusion ExDa'!$B$2:$D$16, 2,FALSE), IFERROR(VLOOKUP(A750,'Exetel ExDa'!$C$2:$N$14, 2,FALSE), IFERROR(VLOOKUP(A750,'Infinet ExDa'!$B$2:$E$14, 2,FALSE), "Not Found"))))))))</f>
        <v xml:space="preserve">Other Childcare 234 Albany Creek Rd </v>
      </c>
      <c r="D750">
        <f>IFERROR(VLOOKUP($A750,'AAPT ExDa'!$B$2:$U$99, 15,FALSE), IFERROR(VLOOKUP($A750,'ABB ExDa'!$A$2:$N$184, 4,FALSE), IFERROR(VLOOKUP($A750,'Vocus SIT ExDa'!$B$2:$J$173, 5,FALSE), IFERROR(VLOOKUP($A750,'Telstra ExDa'!$B$2:$K$310, 8,FALSE), IFERROR(VLOOKUP($A750,'Vocus RVC ExDa'!$C$2:$R$155, 6,FALSE), IFERROR(VLOOKUP($A750,'Fusion ExDa'!$B$2:$D$16, 4,FALSE), IFERROR(VLOOKUP($A750,'Exetel ExDa'!$C$2:$N$14, 3,FALSE), IFERROR(VLOOKUP($A750,'Infinet ExDa'!$B$2:$E$14, 3,FALSE), "Not Found"))))))))</f>
        <v>4035</v>
      </c>
      <c r="E750" t="str">
        <f>IFERROR(VLOOKUP($A750,'AAPT ExDa'!$B$2:$U$99, 3,FALSE), IFERROR(VLOOKUP($A750,'ABB ExDa'!$A$2:$N$184, 5,FALSE), IFERROR(VLOOKUP($A750,'Vocus SIT ExDa'!$B$2:$J$173, 2,FALSE), IFERROR(VLOOKUP($A750,'Telstra ExDa'!$B$2:$K$310, 4,FALSE), IFERROR(VLOOKUP($A750,'Vocus RVC ExDa'!$C$2:$R$155, 8,FALSE), IFERROR(VLOOKUP($A750,'Fusion ExDa'!$B$2:$D$16, 4,FALSE), IFERROR(VLOOKUP($A750,'Exetel ExDa'!$C$2:$N$14, 5,FALSE), IFERROR(VLOOKUP($A750,'Infinet ExDa'!$B$2:$E$14, 3,FALSE), "Not Found"))))))))</f>
        <v>100Mbps/40Mbps</v>
      </c>
      <c r="F750" t="str">
        <f>IFERROR(VLOOKUP($A750,'AAPT ExDa'!$B$2:$U$99, 4,FALSE), IFERROR(VLOOKUP($A750,'ABB ExDa'!$A$2:$N$184, 6,FALSE), IFERROR(VLOOKUP($A750,'Vocus SIT ExDa'!$B$2:$J$173, 3,FALSE), IFERROR(VLOOKUP($A750,'Telstra ExDa'!$B$2:$K$310, 5,FALSE), IFERROR(VLOOKUP($A750,'Vocus RVC ExDa'!$C$2:$R$155, 9,FALSE), IFERROR(VLOOKUP($A750,'Fusion ExDa'!$B$2:$D$16, 0,FALSE), IFERROR(VLOOKUP($A750,'Exetel ExDa'!$C$2:$N$14, 6,FALSE), IFERROR(VLOOKUP($A750,'Infinet ExDa'!$B$2:$E$14, 0,FALSE), "Not Found"))))))))</f>
        <v>NBN Reseller G4  FTTP</v>
      </c>
      <c r="G750" t="str">
        <f>IFERROR(VLOOKUP($A750,'AAPT ExDa'!$B$2:$U$99, 5,FALSE), IFERROR(VLOOKUP($A750,'ABB ExDa'!$A$2:$N$184, 8,FALSE), IFERROR(VLOOKUP($A750,'Vocus SIT ExDa'!$B$2:$J$173, 6,FALSE), IFERROR(VLOOKUP($A750,'Telstra ExDa'!$B$2:$K$310, 0,FALSE), IFERROR(VLOOKUP($A750,'Vocus RVC ExDa'!$C$2:$R$155, 15,FALSE), IFERROR(VLOOKUP($A750,'Fusion ExDa'!$B$2:$D$16, 0,FALSE), IFERROR(VLOOKUP($A750,'Exetel ExDa'!$C$2:$N$14, 7,FALSE), IFERROR(VLOOKUP($A750,'Infinet ExDa'!$B$2:$E$14, 0,FALSE), "Not Found"))))))))</f>
        <v>211.27.129.138</v>
      </c>
      <c r="H750" t="str">
        <f>IFERROR(VLOOKUP($A750,'AAPT ExDa'!$B$2:$U$99, 6,FALSE), IFERROR(VLOOKUP($A750,'ABB ExDa'!$A$2:$N$184, 0,FALSE), IFERROR(VLOOKUP($A750,'Vocus SIT ExDa'!$B$2:$J$173, 0,FALSE), IFERROR(VLOOKUP($A750,'Telstra ExDa'!$B$2:$K$310, 0,FALSE), IFERROR(VLOOKUP($A750,'Vocus RVC ExDa'!$C$2:$R$155, 16,FALSE), IFERROR(VLOOKUP($A750,'Fusion ExDa'!$B$2:$D$16, 0,FALSE), IFERROR(VLOOKUP($A750,'Exetel ExDa'!$C$2:$N$14, 0,FALSE), IFERROR(VLOOKUP($A750,'Infinet ExDa'!$B$2:$E$14, 0,FALSE), "Not Found"))))))))</f>
        <v>PPPoE</v>
      </c>
      <c r="I750" t="str">
        <f>IFERROR(VLOOKUP($A750,'AAPT ExDa'!$B$2:$U$99, 0,FALSE), IFERROR(VLOOKUP($A750,'ABB ExDa'!$A$2:$N$184, 0,FALSE), IFERROR(VLOOKUP($A750,'Vocus SIT ExDa'!$B$2:$J$173, 0,FALSE), IFERROR(VLOOKUP($A750,'Telstra ExDa'!$B$2:$K$310, 0,FALSE), IFERROR(VLOOKUP($A750,'Vocus RVC ExDa'!$C$2:$R$155, 0,FALSE), IFERROR(VLOOKUP($A750,'Fusion ExDa'!$B$2:$D$16, 0,FALSE), IFERROR(VLOOKUP($A750,'Exetel ExDa'!$C$2:$N$14, 8,FALSE), IFERROR(VLOOKUP($A750,'Infinet ExDa'!$B$2:$E$14, 0,FALSE), "Not Found"))))))))</f>
        <v>Not Found</v>
      </c>
      <c r="J750" t="str">
        <f>IFERROR(VLOOKUP($A750,'AAPT ExDa'!$B$2:$U$99, 7,FALSE), IFERROR(VLOOKUP($A750,'ABB ExDa'!$A$2:$N$184, 2,FALSE), IFERROR(VLOOKUP($A750,'Vocus SIT ExDa'!$B$2:$J$173, 0,FALSE), IFERROR(VLOOKUP($A750,'Telstra ExDa'!$B$2:$K$310, 7,FALSE), IFERROR(VLOOKUP($A750,'Vocus RVC ExDa'!$C$2:$R$155, 2,FALSE), IFERROR(VLOOKUP($A750,'Fusion ExDa'!$B$2:$D$16, 3,FALSE), IFERROR(VLOOKUP($A750,'Exetel ExDa'!$C$2:$N$14, 0,FALSE), IFERROR(VLOOKUP($A750,'Infinet ExDa'!$B$2:$E$14, 0,FALSE), "Not Found"))))))))</f>
        <v xml:space="preserve">	AVC000129588747</v>
      </c>
      <c r="K750" t="str">
        <f>IFERROR(VLOOKUP($A750,'AAPT ExDa'!$B$2:$U$99, 12,FALSE), IFERROR(VLOOKUP($A750,'ABB ExDa'!$A$2:$N$184, 0,FALSE), IFERROR(VLOOKUP($A750,'Vocus SIT ExDa'!$B$2:$J$173, 0,FALSE), IFERROR(VLOOKUP($A750,'Telstra ExDa'!$B$2:$K$310, 0,FALSE), IFERROR(VLOOKUP($A750,'Vocus RVC ExDa'!$C$2:$R$155, 0,FALSE), IFERROR(VLOOKUP($A750,'Fusion ExDa'!$B$2:$D$16, 0,FALSE), IFERROR(VLOOKUP($A750,'Exetel ExDa'!$C$2:$N$14, 12,FALSE), IFERROR(VLOOKUP($A750,'Infinet ExDa'!$B$2:$E$14, 0,FALSE), "Not Found"))))))))</f>
        <v>Not Found</v>
      </c>
      <c r="L750" s="235" t="str">
        <f>IFERROR(VLOOKUP($A750,'AAPT ExDa'!$B$2:$U$99, 11,FALSE), IFERROR(VLOOKUP($A750,'ABB ExDa'!$A$2:$N$184, 9,FALSE), IFERROR(VLOOKUP($A750,'Vocus SIT ExDa'!$B$2:$J$173, 8,FALSE), IFERROR(VLOOKUP($A750,'Telstra ExDa'!$B$2:$K$310, 0,FALSE), IFERROR(VLOOKUP($A750,'Vocus RVC ExDa'!$C$2:$R$155, 0,FALSE), IFERROR(VLOOKUP($A750,'Fusion ExDa'!$B$2:$D$16, 0,FALSE), IFERROR(VLOOKUP($A750,'Exetel ExDa'!$C$2:$N$14, 9,FALSE), IFERROR(VLOOKUP($A750,'Infinet ExDa'!$B$2:$E$14, 0,FALSE), "Not Found"))))))))</f>
        <v>Not Found</v>
      </c>
      <c r="M750" s="234" t="str">
        <f>IFERROR(VLOOKUP($A750,'AAPT ExDa'!$B$2:$U$99, 0,FALSE), IFERROR(VLOOKUP($A750,'ABB ExDa'!$A$2:$N$184, 0,FALSE), IFERROR(VLOOKUP($A750,'Vocus SIT ExDa'!$B$2:$J$173, 0,FALSE), IFERROR(VLOOKUP($A750,'Telstra ExDa'!$B$2:$K$310, 0,FALSE), IFERROR(VLOOKUP($A750,'Vocus RVC ExDa'!$C$2:$R$155, 0,FALSE), IFERROR(VLOOKUP($A750,'Fusion ExDa'!$B$2:$D$16, 0,FALSE), IFERROR(VLOOKUP($A750,'Exetel ExDa'!$C$2:$N$14, 11,FALSE), IFERROR(VLOOKUP($A750,'Infinet ExDa'!$B$2:$E$14, 0,FALSE), "Not Found"))))))))</f>
        <v>Not Found</v>
      </c>
      <c r="N750" t="str">
        <f>IFERROR(VLOOKUP($A750,'AAPT ExDa'!$B$2:$U$99, 0,FALSE), IFERROR(VLOOKUP($A750,'ABB ExDa'!$A$2:$N$184, 13,FALSE), IFERROR(VLOOKUP($A750,'Vocus SIT ExDa'!$B$2:$J$173, 0,FALSE), IFERROR(VLOOKUP($A750,'Telstra ExDa'!$B$2:$K$310, 0,FALSE), IFERROR(VLOOKUP($A750,'Vocus RVC ExDa'!$C$2:$R$155, 0,FALSE), IFERROR(VLOOKUP($A750,'Fusion ExDa'!$B$2:$D$16, 0,FALSE), IFERROR(VLOOKUP($A750,'Exetel ExDa'!$C$2:$N$14, 0,FALSE), IFERROR(VLOOKUP($A750,'Infinet ExDa'!$B$2:$E$14, 0,FALSE), "Not Found"))))))))</f>
        <v>Not Found</v>
      </c>
    </row>
    <row r="751" spans="1:14">
      <c r="A751" t="str">
        <v>A M Emerick &amp; T J Morrice</v>
      </c>
      <c r="B751" t="str">
        <f>IFERROR(VLOOKUP(A751,'Exetel ExDa'!$C$2:$N$14,4,FALSE),"No Data")</f>
        <v>No Data</v>
      </c>
      <c r="C751" t="str">
        <f>IFERROR(VLOOKUP(A751,'AAPT ExDa'!$B$2:$U$99, 2,FALSE), IFERROR(VLOOKUP(A751,'ABB ExDa'!$A$2:$N$184, 2,FALSE), IFERROR(VLOOKUP(A751,'Vocus SIT ExDa'!$B$2:$J$173, 7,FALSE), IFERROR(VLOOKUP(A751,'Telstra ExDa'!$B$2:$K$310, 2,FALSE), IFERROR(VLOOKUP(A751,'Vocus RVC ExDa'!$C$2:$R$155, 3,FALSE), IFERROR(VLOOKUP(A751,'Fusion ExDa'!$B$2:$D$16, 2,FALSE), IFERROR(VLOOKUP(A751,'Exetel ExDa'!$C$2:$N$14, 2,FALSE), IFERROR(VLOOKUP(A751,'Infinet ExDa'!$B$2:$E$14, 2,FALSE), "Not Found"))))))))</f>
        <v xml:space="preserve">Lot: 2 136 Tarrants Rd </v>
      </c>
      <c r="D751">
        <f>IFERROR(VLOOKUP($A751,'AAPT ExDa'!$B$2:$U$99, 15,FALSE), IFERROR(VLOOKUP($A751,'ABB ExDa'!$A$2:$N$184, 4,FALSE), IFERROR(VLOOKUP($A751,'Vocus SIT ExDa'!$B$2:$J$173, 5,FALSE), IFERROR(VLOOKUP($A751,'Telstra ExDa'!$B$2:$K$310, 8,FALSE), IFERROR(VLOOKUP($A751,'Vocus RVC ExDa'!$C$2:$R$155, 6,FALSE), IFERROR(VLOOKUP($A751,'Fusion ExDa'!$B$2:$D$16, 4,FALSE), IFERROR(VLOOKUP($A751,'Exetel ExDa'!$C$2:$N$14, 3,FALSE), IFERROR(VLOOKUP($A751,'Infinet ExDa'!$B$2:$E$14, 3,FALSE), "Not Found"))))))))</f>
        <v>4670</v>
      </c>
      <c r="E751" t="str">
        <f>IFERROR(VLOOKUP($A751,'AAPT ExDa'!$B$2:$U$99, 3,FALSE), IFERROR(VLOOKUP($A751,'ABB ExDa'!$A$2:$N$184, 5,FALSE), IFERROR(VLOOKUP($A751,'Vocus SIT ExDa'!$B$2:$J$173, 2,FALSE), IFERROR(VLOOKUP($A751,'Telstra ExDa'!$B$2:$K$310, 4,FALSE), IFERROR(VLOOKUP($A751,'Vocus RVC ExDa'!$C$2:$R$155, 8,FALSE), IFERROR(VLOOKUP($A751,'Fusion ExDa'!$B$2:$D$16, 4,FALSE), IFERROR(VLOOKUP($A751,'Exetel ExDa'!$C$2:$N$14, 5,FALSE), IFERROR(VLOOKUP($A751,'Infinet ExDa'!$B$2:$E$14, 3,FALSE), "Not Found"))))))))</f>
        <v>150Mbps/30Mbps</v>
      </c>
      <c r="F751" t="str">
        <f>IFERROR(VLOOKUP($A751,'AAPT ExDa'!$B$2:$U$99, 4,FALSE), IFERROR(VLOOKUP($A751,'ABB ExDa'!$A$2:$N$184, 6,FALSE), IFERROR(VLOOKUP($A751,'Vocus SIT ExDa'!$B$2:$J$173, 3,FALSE), IFERROR(VLOOKUP($A751,'Telstra ExDa'!$B$2:$K$310, 5,FALSE), IFERROR(VLOOKUP($A751,'Vocus RVC ExDa'!$C$2:$R$155, 9,FALSE), IFERROR(VLOOKUP($A751,'Fusion ExDa'!$B$2:$D$16, 0,FALSE), IFERROR(VLOOKUP($A751,'Exetel ExDa'!$C$2:$N$14, 6,FALSE), IFERROR(VLOOKUP($A751,'Infinet ExDa'!$B$2:$E$14, 0,FALSE), "Not Found"))))))))</f>
        <v xml:space="preserve">NBN Reseller G4 WLS </v>
      </c>
      <c r="G751" t="str">
        <f>IFERROR(VLOOKUP($A751,'AAPT ExDa'!$B$2:$U$99, 5,FALSE), IFERROR(VLOOKUP($A751,'ABB ExDa'!$A$2:$N$184, 8,FALSE), IFERROR(VLOOKUP($A751,'Vocus SIT ExDa'!$B$2:$J$173, 6,FALSE), IFERROR(VLOOKUP($A751,'Telstra ExDa'!$B$2:$K$310, 0,FALSE), IFERROR(VLOOKUP($A751,'Vocus RVC ExDa'!$C$2:$R$155, 15,FALSE), IFERROR(VLOOKUP($A751,'Fusion ExDa'!$B$2:$D$16, 0,FALSE), IFERROR(VLOOKUP($A751,'Exetel ExDa'!$C$2:$N$14, 7,FALSE), IFERROR(VLOOKUP($A751,'Infinet ExDa'!$B$2:$E$14, 0,FALSE), "Not Found"))))))))</f>
        <v>122.151.165.26</v>
      </c>
      <c r="H751" t="str">
        <f>IFERROR(VLOOKUP($A751,'AAPT ExDa'!$B$2:$U$99, 6,FALSE), IFERROR(VLOOKUP($A751,'ABB ExDa'!$A$2:$N$184, 0,FALSE), IFERROR(VLOOKUP($A751,'Vocus SIT ExDa'!$B$2:$J$173, 0,FALSE), IFERROR(VLOOKUP($A751,'Telstra ExDa'!$B$2:$K$310, 0,FALSE), IFERROR(VLOOKUP($A751,'Vocus RVC ExDa'!$C$2:$R$155, 16,FALSE), IFERROR(VLOOKUP($A751,'Fusion ExDa'!$B$2:$D$16, 0,FALSE), IFERROR(VLOOKUP($A751,'Exetel ExDa'!$C$2:$N$14, 0,FALSE), IFERROR(VLOOKUP($A751,'Infinet ExDa'!$B$2:$E$14, 0,FALSE), "Not Found"))))))))</f>
        <v>PPPoE</v>
      </c>
      <c r="I751" t="str">
        <f>IFERROR(VLOOKUP($A751,'AAPT ExDa'!$B$2:$U$99, 0,FALSE), IFERROR(VLOOKUP($A751,'ABB ExDa'!$A$2:$N$184, 0,FALSE), IFERROR(VLOOKUP($A751,'Vocus SIT ExDa'!$B$2:$J$173, 0,FALSE), IFERROR(VLOOKUP($A751,'Telstra ExDa'!$B$2:$K$310, 0,FALSE), IFERROR(VLOOKUP($A751,'Vocus RVC ExDa'!$C$2:$R$155, 0,FALSE), IFERROR(VLOOKUP($A751,'Fusion ExDa'!$B$2:$D$16, 0,FALSE), IFERROR(VLOOKUP($A751,'Exetel ExDa'!$C$2:$N$14, 8,FALSE), IFERROR(VLOOKUP($A751,'Infinet ExDa'!$B$2:$E$14, 0,FALSE), "Not Found"))))))))</f>
        <v>Not Found</v>
      </c>
      <c r="J751" t="str">
        <f>IFERROR(VLOOKUP($A751,'AAPT ExDa'!$B$2:$U$99, 7,FALSE), IFERROR(VLOOKUP($A751,'ABB ExDa'!$A$2:$N$184, 2,FALSE), IFERROR(VLOOKUP($A751,'Vocus SIT ExDa'!$B$2:$J$173, 0,FALSE), IFERROR(VLOOKUP($A751,'Telstra ExDa'!$B$2:$K$310, 7,FALSE), IFERROR(VLOOKUP($A751,'Vocus RVC ExDa'!$C$2:$R$155, 2,FALSE), IFERROR(VLOOKUP($A751,'Fusion ExDa'!$B$2:$D$16, 3,FALSE), IFERROR(VLOOKUP($A751,'Exetel ExDa'!$C$2:$N$14, 0,FALSE), IFERROR(VLOOKUP($A751,'Infinet ExDa'!$B$2:$E$14, 0,FALSE), "Not Found"))))))))</f>
        <v>AVC000131593506</v>
      </c>
      <c r="K751" t="str">
        <f>IFERROR(VLOOKUP($A751,'AAPT ExDa'!$B$2:$U$99, 12,FALSE), IFERROR(VLOOKUP($A751,'ABB ExDa'!$A$2:$N$184, 0,FALSE), IFERROR(VLOOKUP($A751,'Vocus SIT ExDa'!$B$2:$J$173, 0,FALSE), IFERROR(VLOOKUP($A751,'Telstra ExDa'!$B$2:$K$310, 0,FALSE), IFERROR(VLOOKUP($A751,'Vocus RVC ExDa'!$C$2:$R$155, 0,FALSE), IFERROR(VLOOKUP($A751,'Fusion ExDa'!$B$2:$D$16, 0,FALSE), IFERROR(VLOOKUP($A751,'Exetel ExDa'!$C$2:$N$14, 12,FALSE), IFERROR(VLOOKUP($A751,'Infinet ExDa'!$B$2:$E$14, 0,FALSE), "Not Found"))))))))</f>
        <v>Not Found</v>
      </c>
      <c r="L751" s="235" t="str">
        <f>IFERROR(VLOOKUP($A751,'AAPT ExDa'!$B$2:$U$99, 11,FALSE), IFERROR(VLOOKUP($A751,'ABB ExDa'!$A$2:$N$184, 9,FALSE), IFERROR(VLOOKUP($A751,'Vocus SIT ExDa'!$B$2:$J$173, 8,FALSE), IFERROR(VLOOKUP($A751,'Telstra ExDa'!$B$2:$K$310, 0,FALSE), IFERROR(VLOOKUP($A751,'Vocus RVC ExDa'!$C$2:$R$155, 0,FALSE), IFERROR(VLOOKUP($A751,'Fusion ExDa'!$B$2:$D$16, 0,FALSE), IFERROR(VLOOKUP($A751,'Exetel ExDa'!$C$2:$N$14, 9,FALSE), IFERROR(VLOOKUP($A751,'Infinet ExDa'!$B$2:$E$14, 0,FALSE), "Not Found"))))))))</f>
        <v>Not Found</v>
      </c>
      <c r="M751" s="234" t="str">
        <f>IFERROR(VLOOKUP($A751,'AAPT ExDa'!$B$2:$U$99, 0,FALSE), IFERROR(VLOOKUP($A751,'ABB ExDa'!$A$2:$N$184, 0,FALSE), IFERROR(VLOOKUP($A751,'Vocus SIT ExDa'!$B$2:$J$173, 0,FALSE), IFERROR(VLOOKUP($A751,'Telstra ExDa'!$B$2:$K$310, 0,FALSE), IFERROR(VLOOKUP($A751,'Vocus RVC ExDa'!$C$2:$R$155, 0,FALSE), IFERROR(VLOOKUP($A751,'Fusion ExDa'!$B$2:$D$16, 0,FALSE), IFERROR(VLOOKUP($A751,'Exetel ExDa'!$C$2:$N$14, 11,FALSE), IFERROR(VLOOKUP($A751,'Infinet ExDa'!$B$2:$E$14, 0,FALSE), "Not Found"))))))))</f>
        <v>Not Found</v>
      </c>
      <c r="N751" t="str">
        <f>IFERROR(VLOOKUP($A751,'AAPT ExDa'!$B$2:$U$99, 0,FALSE), IFERROR(VLOOKUP($A751,'ABB ExDa'!$A$2:$N$184, 13,FALSE), IFERROR(VLOOKUP($A751,'Vocus SIT ExDa'!$B$2:$J$173, 0,FALSE), IFERROR(VLOOKUP($A751,'Telstra ExDa'!$B$2:$K$310, 0,FALSE), IFERROR(VLOOKUP($A751,'Vocus RVC ExDa'!$C$2:$R$155, 0,FALSE), IFERROR(VLOOKUP($A751,'Fusion ExDa'!$B$2:$D$16, 0,FALSE), IFERROR(VLOOKUP($A751,'Exetel ExDa'!$C$2:$N$14, 0,FALSE), IFERROR(VLOOKUP($A751,'Infinet ExDa'!$B$2:$E$14, 0,FALSE), "Not Found"))))))))</f>
        <v>Not Found</v>
      </c>
    </row>
    <row r="752" spans="1:14">
      <c r="A752" t="str">
        <v>W&amp;T Parcel &amp; Freight</v>
      </c>
      <c r="B752" t="str">
        <f>IFERROR(VLOOKUP(A752,'Exetel ExDa'!$C$2:$N$14,4,FALSE),"No Data")</f>
        <v>No Data</v>
      </c>
      <c r="C752" t="str">
        <f>IFERROR(VLOOKUP(A752,'AAPT ExDa'!$B$2:$U$99, 2,FALSE), IFERROR(VLOOKUP(A752,'ABB ExDa'!$A$2:$N$184, 2,FALSE), IFERROR(VLOOKUP(A752,'Vocus SIT ExDa'!$B$2:$J$173, 7,FALSE), IFERROR(VLOOKUP(A752,'Telstra ExDa'!$B$2:$K$310, 2,FALSE), IFERROR(VLOOKUP(A752,'Vocus RVC ExDa'!$C$2:$R$155, 3,FALSE), IFERROR(VLOOKUP(A752,'Fusion ExDa'!$B$2:$D$16, 2,FALSE), IFERROR(VLOOKUP(A752,'Exetel ExDa'!$C$2:$N$14, 2,FALSE), IFERROR(VLOOKUP(A752,'Infinet ExDa'!$B$2:$E$14, 2,FALSE), "Not Found"))))))))</f>
        <v xml:space="preserve">Shed 7 17 Kingston Dr </v>
      </c>
      <c r="D752">
        <f>IFERROR(VLOOKUP($A752,'AAPT ExDa'!$B$2:$U$99, 15,FALSE), IFERROR(VLOOKUP($A752,'ABB ExDa'!$A$2:$N$184, 4,FALSE), IFERROR(VLOOKUP($A752,'Vocus SIT ExDa'!$B$2:$J$173, 5,FALSE), IFERROR(VLOOKUP($A752,'Telstra ExDa'!$B$2:$K$310, 8,FALSE), IFERROR(VLOOKUP($A752,'Vocus RVC ExDa'!$C$2:$R$155, 6,FALSE), IFERROR(VLOOKUP($A752,'Fusion ExDa'!$B$2:$D$16, 4,FALSE), IFERROR(VLOOKUP($A752,'Exetel ExDa'!$C$2:$N$14, 3,FALSE), IFERROR(VLOOKUP($A752,'Infinet ExDa'!$B$2:$E$14, 3,FALSE), "Not Found"))))))))</f>
        <v>4650</v>
      </c>
      <c r="E752" t="str">
        <f>IFERROR(VLOOKUP($A752,'AAPT ExDa'!$B$2:$U$99, 3,FALSE), IFERROR(VLOOKUP($A752,'ABB ExDa'!$A$2:$N$184, 5,FALSE), IFERROR(VLOOKUP($A752,'Vocus SIT ExDa'!$B$2:$J$173, 2,FALSE), IFERROR(VLOOKUP($A752,'Telstra ExDa'!$B$2:$K$310, 4,FALSE), IFERROR(VLOOKUP($A752,'Vocus RVC ExDa'!$C$2:$R$155, 8,FALSE), IFERROR(VLOOKUP($A752,'Fusion ExDa'!$B$2:$D$16, 4,FALSE), IFERROR(VLOOKUP($A752,'Exetel ExDa'!$C$2:$N$14, 5,FALSE), IFERROR(VLOOKUP($A752,'Infinet ExDa'!$B$2:$E$14, 3,FALSE), "Not Found"))))))))</f>
        <v>150Mbps/30Mbps</v>
      </c>
      <c r="F752" t="str">
        <f>IFERROR(VLOOKUP($A752,'AAPT ExDa'!$B$2:$U$99, 4,FALSE), IFERROR(VLOOKUP($A752,'ABB ExDa'!$A$2:$N$184, 6,FALSE), IFERROR(VLOOKUP($A752,'Vocus SIT ExDa'!$B$2:$J$173, 3,FALSE), IFERROR(VLOOKUP($A752,'Telstra ExDa'!$B$2:$K$310, 5,FALSE), IFERROR(VLOOKUP($A752,'Vocus RVC ExDa'!$C$2:$R$155, 9,FALSE), IFERROR(VLOOKUP($A752,'Fusion ExDa'!$B$2:$D$16, 0,FALSE), IFERROR(VLOOKUP($A752,'Exetel ExDa'!$C$2:$N$14, 6,FALSE), IFERROR(VLOOKUP($A752,'Infinet ExDa'!$B$2:$E$14, 0,FALSE), "Not Found"))))))))</f>
        <v xml:space="preserve">NBN Reseller G4 WLS </v>
      </c>
      <c r="G752" t="str">
        <f>IFERROR(VLOOKUP($A752,'AAPT ExDa'!$B$2:$U$99, 5,FALSE), IFERROR(VLOOKUP($A752,'ABB ExDa'!$A$2:$N$184, 8,FALSE), IFERROR(VLOOKUP($A752,'Vocus SIT ExDa'!$B$2:$J$173, 6,FALSE), IFERROR(VLOOKUP($A752,'Telstra ExDa'!$B$2:$K$310, 0,FALSE), IFERROR(VLOOKUP($A752,'Vocus RVC ExDa'!$C$2:$R$155, 15,FALSE), IFERROR(VLOOKUP($A752,'Fusion ExDa'!$B$2:$D$16, 0,FALSE), IFERROR(VLOOKUP($A752,'Exetel ExDa'!$C$2:$N$14, 7,FALSE), IFERROR(VLOOKUP($A752,'Infinet ExDa'!$B$2:$E$14, 0,FALSE), "Not Found"))))))))</f>
        <v>125.168.90.21</v>
      </c>
      <c r="H752" t="str">
        <f>IFERROR(VLOOKUP($A752,'AAPT ExDa'!$B$2:$U$99, 6,FALSE), IFERROR(VLOOKUP($A752,'ABB ExDa'!$A$2:$N$184, 0,FALSE), IFERROR(VLOOKUP($A752,'Vocus SIT ExDa'!$B$2:$J$173, 0,FALSE), IFERROR(VLOOKUP($A752,'Telstra ExDa'!$B$2:$K$310, 0,FALSE), IFERROR(VLOOKUP($A752,'Vocus RVC ExDa'!$C$2:$R$155, 16,FALSE), IFERROR(VLOOKUP($A752,'Fusion ExDa'!$B$2:$D$16, 0,FALSE), IFERROR(VLOOKUP($A752,'Exetel ExDa'!$C$2:$N$14, 0,FALSE), IFERROR(VLOOKUP($A752,'Infinet ExDa'!$B$2:$E$14, 0,FALSE), "Not Found"))))))))</f>
        <v>PPPoE</v>
      </c>
      <c r="I752" t="str">
        <f>IFERROR(VLOOKUP($A752,'AAPT ExDa'!$B$2:$U$99, 0,FALSE), IFERROR(VLOOKUP($A752,'ABB ExDa'!$A$2:$N$184, 0,FALSE), IFERROR(VLOOKUP($A752,'Vocus SIT ExDa'!$B$2:$J$173, 0,FALSE), IFERROR(VLOOKUP($A752,'Telstra ExDa'!$B$2:$K$310, 0,FALSE), IFERROR(VLOOKUP($A752,'Vocus RVC ExDa'!$C$2:$R$155, 0,FALSE), IFERROR(VLOOKUP($A752,'Fusion ExDa'!$B$2:$D$16, 0,FALSE), IFERROR(VLOOKUP($A752,'Exetel ExDa'!$C$2:$N$14, 8,FALSE), IFERROR(VLOOKUP($A752,'Infinet ExDa'!$B$2:$E$14, 0,FALSE), "Not Found"))))))))</f>
        <v>Not Found</v>
      </c>
      <c r="J752" t="str">
        <f>IFERROR(VLOOKUP($A752,'AAPT ExDa'!$B$2:$U$99, 7,FALSE), IFERROR(VLOOKUP($A752,'ABB ExDa'!$A$2:$N$184, 2,FALSE), IFERROR(VLOOKUP($A752,'Vocus SIT ExDa'!$B$2:$J$173, 0,FALSE), IFERROR(VLOOKUP($A752,'Telstra ExDa'!$B$2:$K$310, 7,FALSE), IFERROR(VLOOKUP($A752,'Vocus RVC ExDa'!$C$2:$R$155, 2,FALSE), IFERROR(VLOOKUP($A752,'Fusion ExDa'!$B$2:$D$16, 3,FALSE), IFERROR(VLOOKUP($A752,'Exetel ExDa'!$C$2:$N$14, 0,FALSE), IFERROR(VLOOKUP($A752,'Infinet ExDa'!$B$2:$E$14, 0,FALSE), "Not Found"))))))))</f>
        <v>AVC000132016238</v>
      </c>
      <c r="K752" t="str">
        <f>IFERROR(VLOOKUP($A752,'AAPT ExDa'!$B$2:$U$99, 12,FALSE), IFERROR(VLOOKUP($A752,'ABB ExDa'!$A$2:$N$184, 0,FALSE), IFERROR(VLOOKUP($A752,'Vocus SIT ExDa'!$B$2:$J$173, 0,FALSE), IFERROR(VLOOKUP($A752,'Telstra ExDa'!$B$2:$K$310, 0,FALSE), IFERROR(VLOOKUP($A752,'Vocus RVC ExDa'!$C$2:$R$155, 0,FALSE), IFERROR(VLOOKUP($A752,'Fusion ExDa'!$B$2:$D$16, 0,FALSE), IFERROR(VLOOKUP($A752,'Exetel ExDa'!$C$2:$N$14, 12,FALSE), IFERROR(VLOOKUP($A752,'Infinet ExDa'!$B$2:$E$14, 0,FALSE), "Not Found"))))))))</f>
        <v>Not Found</v>
      </c>
      <c r="L752" s="235" t="str">
        <f>IFERROR(VLOOKUP($A752,'AAPT ExDa'!$B$2:$U$99, 11,FALSE), IFERROR(VLOOKUP($A752,'ABB ExDa'!$A$2:$N$184, 9,FALSE), IFERROR(VLOOKUP($A752,'Vocus SIT ExDa'!$B$2:$J$173, 8,FALSE), IFERROR(VLOOKUP($A752,'Telstra ExDa'!$B$2:$K$310, 0,FALSE), IFERROR(VLOOKUP($A752,'Vocus RVC ExDa'!$C$2:$R$155, 0,FALSE), IFERROR(VLOOKUP($A752,'Fusion ExDa'!$B$2:$D$16, 0,FALSE), IFERROR(VLOOKUP($A752,'Exetel ExDa'!$C$2:$N$14, 9,FALSE), IFERROR(VLOOKUP($A752,'Infinet ExDa'!$B$2:$E$14, 0,FALSE), "Not Found"))))))))</f>
        <v>Not Found</v>
      </c>
      <c r="M752" s="234" t="str">
        <f>IFERROR(VLOOKUP($A752,'AAPT ExDa'!$B$2:$U$99, 0,FALSE), IFERROR(VLOOKUP($A752,'ABB ExDa'!$A$2:$N$184, 0,FALSE), IFERROR(VLOOKUP($A752,'Vocus SIT ExDa'!$B$2:$J$173, 0,FALSE), IFERROR(VLOOKUP($A752,'Telstra ExDa'!$B$2:$K$310, 0,FALSE), IFERROR(VLOOKUP($A752,'Vocus RVC ExDa'!$C$2:$R$155, 0,FALSE), IFERROR(VLOOKUP($A752,'Fusion ExDa'!$B$2:$D$16, 0,FALSE), IFERROR(VLOOKUP($A752,'Exetel ExDa'!$C$2:$N$14, 11,FALSE), IFERROR(VLOOKUP($A752,'Infinet ExDa'!$B$2:$E$14, 0,FALSE), "Not Found"))))))))</f>
        <v>Not Found</v>
      </c>
      <c r="N752" t="str">
        <f>IFERROR(VLOOKUP($A752,'AAPT ExDa'!$B$2:$U$99, 0,FALSE), IFERROR(VLOOKUP($A752,'ABB ExDa'!$A$2:$N$184, 13,FALSE), IFERROR(VLOOKUP($A752,'Vocus SIT ExDa'!$B$2:$J$173, 0,FALSE), IFERROR(VLOOKUP($A752,'Telstra ExDa'!$B$2:$K$310, 0,FALSE), IFERROR(VLOOKUP($A752,'Vocus RVC ExDa'!$C$2:$R$155, 0,FALSE), IFERROR(VLOOKUP($A752,'Fusion ExDa'!$B$2:$D$16, 0,FALSE), IFERROR(VLOOKUP($A752,'Exetel ExDa'!$C$2:$N$14, 0,FALSE), IFERROR(VLOOKUP($A752,'Infinet ExDa'!$B$2:$E$14, 0,FALSE), "Not Found"))))))))</f>
        <v>Not Found</v>
      </c>
    </row>
    <row r="753" spans="1:14">
      <c r="A753" t="str">
        <v>Expert Electrical Aus Pty Ltd</v>
      </c>
      <c r="B753" t="str">
        <f>IFERROR(VLOOKUP(A753,'Exetel ExDa'!$C$2:$N$14,4,FALSE),"No Data")</f>
        <v>No Data</v>
      </c>
      <c r="C753" t="str">
        <f>IFERROR(VLOOKUP(A753,'AAPT ExDa'!$B$2:$U$99, 2,FALSE), IFERROR(VLOOKUP(A753,'ABB ExDa'!$A$2:$N$184, 2,FALSE), IFERROR(VLOOKUP(A753,'Vocus SIT ExDa'!$B$2:$J$173, 7,FALSE), IFERROR(VLOOKUP(A753,'Telstra ExDa'!$B$2:$K$310, 2,FALSE), IFERROR(VLOOKUP(A753,'Vocus RVC ExDa'!$C$2:$R$155, 3,FALSE), IFERROR(VLOOKUP(A753,'Fusion ExDa'!$B$2:$D$16, 2,FALSE), IFERROR(VLOOKUP(A753,'Exetel ExDa'!$C$2:$N$14, 2,FALSE), IFERROR(VLOOKUP(A753,'Infinet ExDa'!$B$2:$E$14, 2,FALSE), "Not Found"))))))))</f>
        <v xml:space="preserve">Lot: 6 Unit 6 20 Kenworth Pl </v>
      </c>
      <c r="D753">
        <f>IFERROR(VLOOKUP($A753,'AAPT ExDa'!$B$2:$U$99, 15,FALSE), IFERROR(VLOOKUP($A753,'ABB ExDa'!$A$2:$N$184, 4,FALSE), IFERROR(VLOOKUP($A753,'Vocus SIT ExDa'!$B$2:$J$173, 5,FALSE), IFERROR(VLOOKUP($A753,'Telstra ExDa'!$B$2:$K$310, 8,FALSE), IFERROR(VLOOKUP($A753,'Vocus RVC ExDa'!$C$2:$R$155, 6,FALSE), IFERROR(VLOOKUP($A753,'Fusion ExDa'!$B$2:$D$16, 4,FALSE), IFERROR(VLOOKUP($A753,'Exetel ExDa'!$C$2:$N$14, 3,FALSE), IFERROR(VLOOKUP($A753,'Infinet ExDa'!$B$2:$E$14, 3,FALSE), "Not Found"))))))))</f>
        <v>4500</v>
      </c>
      <c r="E753" t="str">
        <f>IFERROR(VLOOKUP($A753,'AAPT ExDa'!$B$2:$U$99, 3,FALSE), IFERROR(VLOOKUP($A753,'ABB ExDa'!$A$2:$N$184, 5,FALSE), IFERROR(VLOOKUP($A753,'Vocus SIT ExDa'!$B$2:$J$173, 2,FALSE), IFERROR(VLOOKUP($A753,'Telstra ExDa'!$B$2:$K$310, 4,FALSE), IFERROR(VLOOKUP($A753,'Vocus RVC ExDa'!$C$2:$R$155, 8,FALSE), IFERROR(VLOOKUP($A753,'Fusion ExDa'!$B$2:$D$16, 4,FALSE), IFERROR(VLOOKUP($A753,'Exetel ExDa'!$C$2:$N$14, 5,FALSE), IFERROR(VLOOKUP($A753,'Infinet ExDa'!$B$2:$E$14, 3,FALSE), "Not Found"))))))))</f>
        <v>100Mbps/40Mbps</v>
      </c>
      <c r="F753" t="str">
        <f>IFERROR(VLOOKUP($A753,'AAPT ExDa'!$B$2:$U$99, 4,FALSE), IFERROR(VLOOKUP($A753,'ABB ExDa'!$A$2:$N$184, 6,FALSE), IFERROR(VLOOKUP($A753,'Vocus SIT ExDa'!$B$2:$J$173, 3,FALSE), IFERROR(VLOOKUP($A753,'Telstra ExDa'!$B$2:$K$310, 5,FALSE), IFERROR(VLOOKUP($A753,'Vocus RVC ExDa'!$C$2:$R$155, 9,FALSE), IFERROR(VLOOKUP($A753,'Fusion ExDa'!$B$2:$D$16, 0,FALSE), IFERROR(VLOOKUP($A753,'Exetel ExDa'!$C$2:$N$14, 6,FALSE), IFERROR(VLOOKUP($A753,'Infinet ExDa'!$B$2:$E$14, 0,FALSE), "Not Found"))))))))</f>
        <v>NBN Reseller G4 FTTN</v>
      </c>
      <c r="G753" t="str">
        <f>IFERROR(VLOOKUP($A753,'AAPT ExDa'!$B$2:$U$99, 5,FALSE), IFERROR(VLOOKUP($A753,'ABB ExDa'!$A$2:$N$184, 8,FALSE), IFERROR(VLOOKUP($A753,'Vocus SIT ExDa'!$B$2:$J$173, 6,FALSE), IFERROR(VLOOKUP($A753,'Telstra ExDa'!$B$2:$K$310, 0,FALSE), IFERROR(VLOOKUP($A753,'Vocus RVC ExDa'!$C$2:$R$155, 15,FALSE), IFERROR(VLOOKUP($A753,'Fusion ExDa'!$B$2:$D$16, 0,FALSE), IFERROR(VLOOKUP($A753,'Exetel ExDa'!$C$2:$N$14, 7,FALSE), IFERROR(VLOOKUP($A753,'Infinet ExDa'!$B$2:$E$14, 0,FALSE), "Not Found"))))))))</f>
        <v>122.151.161.248</v>
      </c>
      <c r="H753" t="str">
        <f>IFERROR(VLOOKUP($A753,'AAPT ExDa'!$B$2:$U$99, 6,FALSE), IFERROR(VLOOKUP($A753,'ABB ExDa'!$A$2:$N$184, 0,FALSE), IFERROR(VLOOKUP($A753,'Vocus SIT ExDa'!$B$2:$J$173, 0,FALSE), IFERROR(VLOOKUP($A753,'Telstra ExDa'!$B$2:$K$310, 0,FALSE), IFERROR(VLOOKUP($A753,'Vocus RVC ExDa'!$C$2:$R$155, 16,FALSE), IFERROR(VLOOKUP($A753,'Fusion ExDa'!$B$2:$D$16, 0,FALSE), IFERROR(VLOOKUP($A753,'Exetel ExDa'!$C$2:$N$14, 0,FALSE), IFERROR(VLOOKUP($A753,'Infinet ExDa'!$B$2:$E$14, 0,FALSE), "Not Found"))))))))</f>
        <v>PPPoE</v>
      </c>
      <c r="I753" t="str">
        <f>IFERROR(VLOOKUP($A753,'AAPT ExDa'!$B$2:$U$99, 0,FALSE), IFERROR(VLOOKUP($A753,'ABB ExDa'!$A$2:$N$184, 0,FALSE), IFERROR(VLOOKUP($A753,'Vocus SIT ExDa'!$B$2:$J$173, 0,FALSE), IFERROR(VLOOKUP($A753,'Telstra ExDa'!$B$2:$K$310, 0,FALSE), IFERROR(VLOOKUP($A753,'Vocus RVC ExDa'!$C$2:$R$155, 0,FALSE), IFERROR(VLOOKUP($A753,'Fusion ExDa'!$B$2:$D$16, 0,FALSE), IFERROR(VLOOKUP($A753,'Exetel ExDa'!$C$2:$N$14, 8,FALSE), IFERROR(VLOOKUP($A753,'Infinet ExDa'!$B$2:$E$14, 0,FALSE), "Not Found"))))))))</f>
        <v>Not Found</v>
      </c>
      <c r="J753" t="str">
        <f>IFERROR(VLOOKUP($A753,'AAPT ExDa'!$B$2:$U$99, 7,FALSE), IFERROR(VLOOKUP($A753,'ABB ExDa'!$A$2:$N$184, 2,FALSE), IFERROR(VLOOKUP($A753,'Vocus SIT ExDa'!$B$2:$J$173, 0,FALSE), IFERROR(VLOOKUP($A753,'Telstra ExDa'!$B$2:$K$310, 7,FALSE), IFERROR(VLOOKUP($A753,'Vocus RVC ExDa'!$C$2:$R$155, 2,FALSE), IFERROR(VLOOKUP($A753,'Fusion ExDa'!$B$2:$D$16, 3,FALSE), IFERROR(VLOOKUP($A753,'Exetel ExDa'!$C$2:$N$14, 0,FALSE), IFERROR(VLOOKUP($A753,'Infinet ExDa'!$B$2:$E$14, 0,FALSE), "Not Found"))))))))</f>
        <v>AVC000139819908</v>
      </c>
      <c r="K753" t="str">
        <f>IFERROR(VLOOKUP($A753,'AAPT ExDa'!$B$2:$U$99, 12,FALSE), IFERROR(VLOOKUP($A753,'ABB ExDa'!$A$2:$N$184, 0,FALSE), IFERROR(VLOOKUP($A753,'Vocus SIT ExDa'!$B$2:$J$173, 0,FALSE), IFERROR(VLOOKUP($A753,'Telstra ExDa'!$B$2:$K$310, 0,FALSE), IFERROR(VLOOKUP($A753,'Vocus RVC ExDa'!$C$2:$R$155, 0,FALSE), IFERROR(VLOOKUP($A753,'Fusion ExDa'!$B$2:$D$16, 0,FALSE), IFERROR(VLOOKUP($A753,'Exetel ExDa'!$C$2:$N$14, 12,FALSE), IFERROR(VLOOKUP($A753,'Infinet ExDa'!$B$2:$E$14, 0,FALSE), "Not Found"))))))))</f>
        <v>Not Found</v>
      </c>
      <c r="L753" s="235" t="str">
        <f>IFERROR(VLOOKUP($A753,'AAPT ExDa'!$B$2:$U$99, 11,FALSE), IFERROR(VLOOKUP($A753,'ABB ExDa'!$A$2:$N$184, 9,FALSE), IFERROR(VLOOKUP($A753,'Vocus SIT ExDa'!$B$2:$J$173, 8,FALSE), IFERROR(VLOOKUP($A753,'Telstra ExDa'!$B$2:$K$310, 0,FALSE), IFERROR(VLOOKUP($A753,'Vocus RVC ExDa'!$C$2:$R$155, 0,FALSE), IFERROR(VLOOKUP($A753,'Fusion ExDa'!$B$2:$D$16, 0,FALSE), IFERROR(VLOOKUP($A753,'Exetel ExDa'!$C$2:$N$14, 9,FALSE), IFERROR(VLOOKUP($A753,'Infinet ExDa'!$B$2:$E$14, 0,FALSE), "Not Found"))))))))</f>
        <v>Not Found</v>
      </c>
      <c r="M753" s="234" t="str">
        <f>IFERROR(VLOOKUP($A753,'AAPT ExDa'!$B$2:$U$99, 0,FALSE), IFERROR(VLOOKUP($A753,'ABB ExDa'!$A$2:$N$184, 0,FALSE), IFERROR(VLOOKUP($A753,'Vocus SIT ExDa'!$B$2:$J$173, 0,FALSE), IFERROR(VLOOKUP($A753,'Telstra ExDa'!$B$2:$K$310, 0,FALSE), IFERROR(VLOOKUP($A753,'Vocus RVC ExDa'!$C$2:$R$155, 0,FALSE), IFERROR(VLOOKUP($A753,'Fusion ExDa'!$B$2:$D$16, 0,FALSE), IFERROR(VLOOKUP($A753,'Exetel ExDa'!$C$2:$N$14, 11,FALSE), IFERROR(VLOOKUP($A753,'Infinet ExDa'!$B$2:$E$14, 0,FALSE), "Not Found"))))))))</f>
        <v>Not Found</v>
      </c>
      <c r="N753" t="str">
        <f>IFERROR(VLOOKUP($A753,'AAPT ExDa'!$B$2:$U$99, 0,FALSE), IFERROR(VLOOKUP($A753,'ABB ExDa'!$A$2:$N$184, 13,FALSE), IFERROR(VLOOKUP($A753,'Vocus SIT ExDa'!$B$2:$J$173, 0,FALSE), IFERROR(VLOOKUP($A753,'Telstra ExDa'!$B$2:$K$310, 0,FALSE), IFERROR(VLOOKUP($A753,'Vocus RVC ExDa'!$C$2:$R$155, 0,FALSE), IFERROR(VLOOKUP($A753,'Fusion ExDa'!$B$2:$D$16, 0,FALSE), IFERROR(VLOOKUP($A753,'Exetel ExDa'!$C$2:$N$14, 0,FALSE), IFERROR(VLOOKUP($A753,'Infinet ExDa'!$B$2:$E$14, 0,FALSE), "Not Found"))))))))</f>
        <v>Not Found</v>
      </c>
    </row>
    <row r="754" spans="1:14">
      <c r="A754" t="str">
        <v>Jayden Adams</v>
      </c>
      <c r="B754" t="str">
        <f>IFERROR(VLOOKUP(A754,'Exetel ExDa'!$C$2:$N$14,4,FALSE),"No Data")</f>
        <v>No Data</v>
      </c>
      <c r="C754" t="str">
        <f>IFERROR(VLOOKUP(A754,'AAPT ExDa'!$B$2:$U$99, 2,FALSE), IFERROR(VLOOKUP(A754,'ABB ExDa'!$A$2:$N$184, 2,FALSE), IFERROR(VLOOKUP(A754,'Vocus SIT ExDa'!$B$2:$J$173, 7,FALSE), IFERROR(VLOOKUP(A754,'Telstra ExDa'!$B$2:$K$310, 2,FALSE), IFERROR(VLOOKUP(A754,'Vocus RVC ExDa'!$C$2:$R$155, 3,FALSE), IFERROR(VLOOKUP(A754,'Fusion ExDa'!$B$2:$D$16, 2,FALSE), IFERROR(VLOOKUP(A754,'Exetel ExDa'!$C$2:$N$14, 2,FALSE), IFERROR(VLOOKUP(A754,'Infinet ExDa'!$B$2:$E$14, 2,FALSE), "Not Found"))))))))</f>
        <v xml:space="preserve">Lot 56 25 Halyard Dr </v>
      </c>
      <c r="D754">
        <f>IFERROR(VLOOKUP($A754,'AAPT ExDa'!$B$2:$U$99, 15,FALSE), IFERROR(VLOOKUP($A754,'ABB ExDa'!$A$2:$N$184, 4,FALSE), IFERROR(VLOOKUP($A754,'Vocus SIT ExDa'!$B$2:$J$173, 5,FALSE), IFERROR(VLOOKUP($A754,'Telstra ExDa'!$B$2:$K$310, 8,FALSE), IFERROR(VLOOKUP($A754,'Vocus RVC ExDa'!$C$2:$R$155, 6,FALSE), IFERROR(VLOOKUP($A754,'Fusion ExDa'!$B$2:$D$16, 4,FALSE), IFERROR(VLOOKUP($A754,'Exetel ExDa'!$C$2:$N$14, 3,FALSE), IFERROR(VLOOKUP($A754,'Infinet ExDa'!$B$2:$E$14, 3,FALSE), "Not Found"))))))))</f>
        <v>4575</v>
      </c>
      <c r="E754" t="str">
        <f>IFERROR(VLOOKUP($A754,'AAPT ExDa'!$B$2:$U$99, 3,FALSE), IFERROR(VLOOKUP($A754,'ABB ExDa'!$A$2:$N$184, 5,FALSE), IFERROR(VLOOKUP($A754,'Vocus SIT ExDa'!$B$2:$J$173, 2,FALSE), IFERROR(VLOOKUP($A754,'Telstra ExDa'!$B$2:$K$310, 4,FALSE), IFERROR(VLOOKUP($A754,'Vocus RVC ExDa'!$C$2:$R$155, 8,FALSE), IFERROR(VLOOKUP($A754,'Fusion ExDa'!$B$2:$D$16, 4,FALSE), IFERROR(VLOOKUP($A754,'Exetel ExDa'!$C$2:$N$14, 5,FALSE), IFERROR(VLOOKUP($A754,'Infinet ExDa'!$B$2:$E$14, 3,FALSE), "Not Found"))))))))</f>
        <v>50Mbps/20Mbps</v>
      </c>
      <c r="F754" t="str">
        <f>IFERROR(VLOOKUP($A754,'AAPT ExDa'!$B$2:$U$99, 4,FALSE), IFERROR(VLOOKUP($A754,'ABB ExDa'!$A$2:$N$184, 6,FALSE), IFERROR(VLOOKUP($A754,'Vocus SIT ExDa'!$B$2:$J$173, 3,FALSE), IFERROR(VLOOKUP($A754,'Telstra ExDa'!$B$2:$K$310, 5,FALSE), IFERROR(VLOOKUP($A754,'Vocus RVC ExDa'!$C$2:$R$155, 9,FALSE), IFERROR(VLOOKUP($A754,'Fusion ExDa'!$B$2:$D$16, 0,FALSE), IFERROR(VLOOKUP($A754,'Exetel ExDa'!$C$2:$N$14, 6,FALSE), IFERROR(VLOOKUP($A754,'Infinet ExDa'!$B$2:$E$14, 0,FALSE), "Not Found"))))))))</f>
        <v>NBN Reseller G4 FTTN</v>
      </c>
      <c r="G754" t="str">
        <f>IFERROR(VLOOKUP($A754,'AAPT ExDa'!$B$2:$U$99, 5,FALSE), IFERROR(VLOOKUP($A754,'ABB ExDa'!$A$2:$N$184, 8,FALSE), IFERROR(VLOOKUP($A754,'Vocus SIT ExDa'!$B$2:$J$173, 6,FALSE), IFERROR(VLOOKUP($A754,'Telstra ExDa'!$B$2:$K$310, 0,FALSE), IFERROR(VLOOKUP($A754,'Vocus RVC ExDa'!$C$2:$R$155, 15,FALSE), IFERROR(VLOOKUP($A754,'Fusion ExDa'!$B$2:$D$16, 0,FALSE), IFERROR(VLOOKUP($A754,'Exetel ExDa'!$C$2:$N$14, 7,FALSE), IFERROR(VLOOKUP($A754,'Infinet ExDa'!$B$2:$E$14, 0,FALSE), "Not Found"))))))))</f>
        <v>122.148.147.141</v>
      </c>
      <c r="H754" t="str">
        <f>IFERROR(VLOOKUP($A754,'AAPT ExDa'!$B$2:$U$99, 6,FALSE), IFERROR(VLOOKUP($A754,'ABB ExDa'!$A$2:$N$184, 0,FALSE), IFERROR(VLOOKUP($A754,'Vocus SIT ExDa'!$B$2:$J$173, 0,FALSE), IFERROR(VLOOKUP($A754,'Telstra ExDa'!$B$2:$K$310, 0,FALSE), IFERROR(VLOOKUP($A754,'Vocus RVC ExDa'!$C$2:$R$155, 16,FALSE), IFERROR(VLOOKUP($A754,'Fusion ExDa'!$B$2:$D$16, 0,FALSE), IFERROR(VLOOKUP($A754,'Exetel ExDa'!$C$2:$N$14, 0,FALSE), IFERROR(VLOOKUP($A754,'Infinet ExDa'!$B$2:$E$14, 0,FALSE), "Not Found"))))))))</f>
        <v>PPPoE</v>
      </c>
      <c r="I754" t="str">
        <f>IFERROR(VLOOKUP($A754,'AAPT ExDa'!$B$2:$U$99, 0,FALSE), IFERROR(VLOOKUP($A754,'ABB ExDa'!$A$2:$N$184, 0,FALSE), IFERROR(VLOOKUP($A754,'Vocus SIT ExDa'!$B$2:$J$173, 0,FALSE), IFERROR(VLOOKUP($A754,'Telstra ExDa'!$B$2:$K$310, 0,FALSE), IFERROR(VLOOKUP($A754,'Vocus RVC ExDa'!$C$2:$R$155, 0,FALSE), IFERROR(VLOOKUP($A754,'Fusion ExDa'!$B$2:$D$16, 0,FALSE), IFERROR(VLOOKUP($A754,'Exetel ExDa'!$C$2:$N$14, 8,FALSE), IFERROR(VLOOKUP($A754,'Infinet ExDa'!$B$2:$E$14, 0,FALSE), "Not Found"))))))))</f>
        <v>Not Found</v>
      </c>
      <c r="J754" t="str">
        <f>IFERROR(VLOOKUP($A754,'AAPT ExDa'!$B$2:$U$99, 7,FALSE), IFERROR(VLOOKUP($A754,'ABB ExDa'!$A$2:$N$184, 2,FALSE), IFERROR(VLOOKUP($A754,'Vocus SIT ExDa'!$B$2:$J$173, 0,FALSE), IFERROR(VLOOKUP($A754,'Telstra ExDa'!$B$2:$K$310, 7,FALSE), IFERROR(VLOOKUP($A754,'Vocus RVC ExDa'!$C$2:$R$155, 2,FALSE), IFERROR(VLOOKUP($A754,'Fusion ExDa'!$B$2:$D$16, 3,FALSE), IFERROR(VLOOKUP($A754,'Exetel ExDa'!$C$2:$N$14, 0,FALSE), IFERROR(VLOOKUP($A754,'Infinet ExDa'!$B$2:$E$14, 0,FALSE), "Not Found"))))))))</f>
        <v xml:space="preserve">	AVC000140655586</v>
      </c>
      <c r="K754" t="str">
        <f>IFERROR(VLOOKUP($A754,'AAPT ExDa'!$B$2:$U$99, 12,FALSE), IFERROR(VLOOKUP($A754,'ABB ExDa'!$A$2:$N$184, 0,FALSE), IFERROR(VLOOKUP($A754,'Vocus SIT ExDa'!$B$2:$J$173, 0,FALSE), IFERROR(VLOOKUP($A754,'Telstra ExDa'!$B$2:$K$310, 0,FALSE), IFERROR(VLOOKUP($A754,'Vocus RVC ExDa'!$C$2:$R$155, 0,FALSE), IFERROR(VLOOKUP($A754,'Fusion ExDa'!$B$2:$D$16, 0,FALSE), IFERROR(VLOOKUP($A754,'Exetel ExDa'!$C$2:$N$14, 12,FALSE), IFERROR(VLOOKUP($A754,'Infinet ExDa'!$B$2:$E$14, 0,FALSE), "Not Found"))))))))</f>
        <v>Not Found</v>
      </c>
      <c r="L754" s="235" t="str">
        <f>IFERROR(VLOOKUP($A754,'AAPT ExDa'!$B$2:$U$99, 11,FALSE), IFERROR(VLOOKUP($A754,'ABB ExDa'!$A$2:$N$184, 9,FALSE), IFERROR(VLOOKUP($A754,'Vocus SIT ExDa'!$B$2:$J$173, 8,FALSE), IFERROR(VLOOKUP($A754,'Telstra ExDa'!$B$2:$K$310, 0,FALSE), IFERROR(VLOOKUP($A754,'Vocus RVC ExDa'!$C$2:$R$155, 0,FALSE), IFERROR(VLOOKUP($A754,'Fusion ExDa'!$B$2:$D$16, 0,FALSE), IFERROR(VLOOKUP($A754,'Exetel ExDa'!$C$2:$N$14, 9,FALSE), IFERROR(VLOOKUP($A754,'Infinet ExDa'!$B$2:$E$14, 0,FALSE), "Not Found"))))))))</f>
        <v>Not Found</v>
      </c>
      <c r="M754" s="234" t="str">
        <f>IFERROR(VLOOKUP($A754,'AAPT ExDa'!$B$2:$U$99, 0,FALSE), IFERROR(VLOOKUP($A754,'ABB ExDa'!$A$2:$N$184, 0,FALSE), IFERROR(VLOOKUP($A754,'Vocus SIT ExDa'!$B$2:$J$173, 0,FALSE), IFERROR(VLOOKUP($A754,'Telstra ExDa'!$B$2:$K$310, 0,FALSE), IFERROR(VLOOKUP($A754,'Vocus RVC ExDa'!$C$2:$R$155, 0,FALSE), IFERROR(VLOOKUP($A754,'Fusion ExDa'!$B$2:$D$16, 0,FALSE), IFERROR(VLOOKUP($A754,'Exetel ExDa'!$C$2:$N$14, 11,FALSE), IFERROR(VLOOKUP($A754,'Infinet ExDa'!$B$2:$E$14, 0,FALSE), "Not Found"))))))))</f>
        <v>Not Found</v>
      </c>
      <c r="N754" t="str">
        <f>IFERROR(VLOOKUP($A754,'AAPT ExDa'!$B$2:$U$99, 0,FALSE), IFERROR(VLOOKUP($A754,'ABB ExDa'!$A$2:$N$184, 13,FALSE), IFERROR(VLOOKUP($A754,'Vocus SIT ExDa'!$B$2:$J$173, 0,FALSE), IFERROR(VLOOKUP($A754,'Telstra ExDa'!$B$2:$K$310, 0,FALSE), IFERROR(VLOOKUP($A754,'Vocus RVC ExDa'!$C$2:$R$155, 0,FALSE), IFERROR(VLOOKUP($A754,'Fusion ExDa'!$B$2:$D$16, 0,FALSE), IFERROR(VLOOKUP($A754,'Exetel ExDa'!$C$2:$N$14, 0,FALSE), IFERROR(VLOOKUP($A754,'Infinet ExDa'!$B$2:$E$14, 0,FALSE), "Not Found"))))))))</f>
        <v>Not Found</v>
      </c>
    </row>
    <row r="755" spans="1:14">
      <c r="A755" t="str">
        <v>Catolin Pty Ltd T/As Helloworld Strathpine</v>
      </c>
      <c r="B755" t="str">
        <f>IFERROR(VLOOKUP(A755,'Exetel ExDa'!$C$2:$N$14,4,FALSE),"No Data")</f>
        <v>No Data</v>
      </c>
      <c r="C755" t="str">
        <f>IFERROR(VLOOKUP(A755,'AAPT ExDa'!$B$2:$U$99, 2,FALSE), IFERROR(VLOOKUP(A755,'ABB ExDa'!$A$2:$N$184, 2,FALSE), IFERROR(VLOOKUP(A755,'Vocus SIT ExDa'!$B$2:$J$173, 7,FALSE), IFERROR(VLOOKUP(A755,'Telstra ExDa'!$B$2:$K$310, 2,FALSE), IFERROR(VLOOKUP(A755,'Vocus RVC ExDa'!$C$2:$R$155, 3,FALSE), IFERROR(VLOOKUP(A755,'Fusion ExDa'!$B$2:$D$16, 2,FALSE), IFERROR(VLOOKUP(A755,'Exetel ExDa'!$C$2:$N$14, 2,FALSE), IFERROR(VLOOKUP(A755,'Infinet ExDa'!$B$2:$E$14, 2,FALSE), "Not Found"))))))))</f>
        <v xml:space="preserve">Shop 58 295 Gympie Rd </v>
      </c>
      <c r="D755">
        <f>IFERROR(VLOOKUP($A755,'AAPT ExDa'!$B$2:$U$99, 15,FALSE), IFERROR(VLOOKUP($A755,'ABB ExDa'!$A$2:$N$184, 4,FALSE), IFERROR(VLOOKUP($A755,'Vocus SIT ExDa'!$B$2:$J$173, 5,FALSE), IFERROR(VLOOKUP($A755,'Telstra ExDa'!$B$2:$K$310, 8,FALSE), IFERROR(VLOOKUP($A755,'Vocus RVC ExDa'!$C$2:$R$155, 6,FALSE), IFERROR(VLOOKUP($A755,'Fusion ExDa'!$B$2:$D$16, 4,FALSE), IFERROR(VLOOKUP($A755,'Exetel ExDa'!$C$2:$N$14, 3,FALSE), IFERROR(VLOOKUP($A755,'Infinet ExDa'!$B$2:$E$14, 3,FALSE), "Not Found"))))))))</f>
        <v>4500</v>
      </c>
      <c r="E755" t="str">
        <f>IFERROR(VLOOKUP($A755,'AAPT ExDa'!$B$2:$U$99, 3,FALSE), IFERROR(VLOOKUP($A755,'ABB ExDa'!$A$2:$N$184, 5,FALSE), IFERROR(VLOOKUP($A755,'Vocus SIT ExDa'!$B$2:$J$173, 2,FALSE), IFERROR(VLOOKUP($A755,'Telstra ExDa'!$B$2:$K$310, 4,FALSE), IFERROR(VLOOKUP($A755,'Vocus RVC ExDa'!$C$2:$R$155, 8,FALSE), IFERROR(VLOOKUP($A755,'Fusion ExDa'!$B$2:$D$16, 4,FALSE), IFERROR(VLOOKUP($A755,'Exetel ExDa'!$C$2:$N$14, 5,FALSE), IFERROR(VLOOKUP($A755,'Infinet ExDa'!$B$2:$E$14, 3,FALSE), "Not Found"))))))))</f>
        <v>100Mbps/40Mbps</v>
      </c>
      <c r="F755" t="str">
        <f>IFERROR(VLOOKUP($A755,'AAPT ExDa'!$B$2:$U$99, 4,FALSE), IFERROR(VLOOKUP($A755,'ABB ExDa'!$A$2:$N$184, 6,FALSE), IFERROR(VLOOKUP($A755,'Vocus SIT ExDa'!$B$2:$J$173, 3,FALSE), IFERROR(VLOOKUP($A755,'Telstra ExDa'!$B$2:$K$310, 5,FALSE), IFERROR(VLOOKUP($A755,'Vocus RVC ExDa'!$C$2:$R$155, 9,FALSE), IFERROR(VLOOKUP($A755,'Fusion ExDa'!$B$2:$D$16, 0,FALSE), IFERROR(VLOOKUP($A755,'Exetel ExDa'!$C$2:$N$14, 6,FALSE), IFERROR(VLOOKUP($A755,'Infinet ExDa'!$B$2:$E$14, 0,FALSE), "Not Found"))))))))</f>
        <v>NBN Reseller G4 FTTB</v>
      </c>
      <c r="G755" t="str">
        <f>IFERROR(VLOOKUP($A755,'AAPT ExDa'!$B$2:$U$99, 5,FALSE), IFERROR(VLOOKUP($A755,'ABB ExDa'!$A$2:$N$184, 8,FALSE), IFERROR(VLOOKUP($A755,'Vocus SIT ExDa'!$B$2:$J$173, 6,FALSE), IFERROR(VLOOKUP($A755,'Telstra ExDa'!$B$2:$K$310, 0,FALSE), IFERROR(VLOOKUP($A755,'Vocus RVC ExDa'!$C$2:$R$155, 15,FALSE), IFERROR(VLOOKUP($A755,'Fusion ExDa'!$B$2:$D$16, 0,FALSE), IFERROR(VLOOKUP($A755,'Exetel ExDa'!$C$2:$N$14, 7,FALSE), IFERROR(VLOOKUP($A755,'Infinet ExDa'!$B$2:$E$14, 0,FALSE), "Not Found"))))))))</f>
        <v>202.62.138.82</v>
      </c>
      <c r="H755" t="str">
        <f>IFERROR(VLOOKUP($A755,'AAPT ExDa'!$B$2:$U$99, 6,FALSE), IFERROR(VLOOKUP($A755,'ABB ExDa'!$A$2:$N$184, 0,FALSE), IFERROR(VLOOKUP($A755,'Vocus SIT ExDa'!$B$2:$J$173, 0,FALSE), IFERROR(VLOOKUP($A755,'Telstra ExDa'!$B$2:$K$310, 0,FALSE), IFERROR(VLOOKUP($A755,'Vocus RVC ExDa'!$C$2:$R$155, 16,FALSE), IFERROR(VLOOKUP($A755,'Fusion ExDa'!$B$2:$D$16, 0,FALSE), IFERROR(VLOOKUP($A755,'Exetel ExDa'!$C$2:$N$14, 0,FALSE), IFERROR(VLOOKUP($A755,'Infinet ExDa'!$B$2:$E$14, 0,FALSE), "Not Found"))))))))</f>
        <v>PPPoE</v>
      </c>
      <c r="I755" t="str">
        <f>IFERROR(VLOOKUP($A755,'AAPT ExDa'!$B$2:$U$99, 0,FALSE), IFERROR(VLOOKUP($A755,'ABB ExDa'!$A$2:$N$184, 0,FALSE), IFERROR(VLOOKUP($A755,'Vocus SIT ExDa'!$B$2:$J$173, 0,FALSE), IFERROR(VLOOKUP($A755,'Telstra ExDa'!$B$2:$K$310, 0,FALSE), IFERROR(VLOOKUP($A755,'Vocus RVC ExDa'!$C$2:$R$155, 0,FALSE), IFERROR(VLOOKUP($A755,'Fusion ExDa'!$B$2:$D$16, 0,FALSE), IFERROR(VLOOKUP($A755,'Exetel ExDa'!$C$2:$N$14, 8,FALSE), IFERROR(VLOOKUP($A755,'Infinet ExDa'!$B$2:$E$14, 0,FALSE), "Not Found"))))))))</f>
        <v>Not Found</v>
      </c>
      <c r="J755" t="str">
        <f>IFERROR(VLOOKUP($A755,'AAPT ExDa'!$B$2:$U$99, 7,FALSE), IFERROR(VLOOKUP($A755,'ABB ExDa'!$A$2:$N$184, 2,FALSE), IFERROR(VLOOKUP($A755,'Vocus SIT ExDa'!$B$2:$J$173, 0,FALSE), IFERROR(VLOOKUP($A755,'Telstra ExDa'!$B$2:$K$310, 7,FALSE), IFERROR(VLOOKUP($A755,'Vocus RVC ExDa'!$C$2:$R$155, 2,FALSE), IFERROR(VLOOKUP($A755,'Fusion ExDa'!$B$2:$D$16, 3,FALSE), IFERROR(VLOOKUP($A755,'Exetel ExDa'!$C$2:$N$14, 0,FALSE), IFERROR(VLOOKUP($A755,'Infinet ExDa'!$B$2:$E$14, 0,FALSE), "Not Found"))))))))</f>
        <v>AVC000098846268</v>
      </c>
      <c r="K755" t="str">
        <f>IFERROR(VLOOKUP($A755,'AAPT ExDa'!$B$2:$U$99, 12,FALSE), IFERROR(VLOOKUP($A755,'ABB ExDa'!$A$2:$N$184, 0,FALSE), IFERROR(VLOOKUP($A755,'Vocus SIT ExDa'!$B$2:$J$173, 0,FALSE), IFERROR(VLOOKUP($A755,'Telstra ExDa'!$B$2:$K$310, 0,FALSE), IFERROR(VLOOKUP($A755,'Vocus RVC ExDa'!$C$2:$R$155, 0,FALSE), IFERROR(VLOOKUP($A755,'Fusion ExDa'!$B$2:$D$16, 0,FALSE), IFERROR(VLOOKUP($A755,'Exetel ExDa'!$C$2:$N$14, 12,FALSE), IFERROR(VLOOKUP($A755,'Infinet ExDa'!$B$2:$E$14, 0,FALSE), "Not Found"))))))))</f>
        <v>Not Found</v>
      </c>
      <c r="L755" s="235" t="str">
        <f>IFERROR(VLOOKUP($A755,'AAPT ExDa'!$B$2:$U$99, 11,FALSE), IFERROR(VLOOKUP($A755,'ABB ExDa'!$A$2:$N$184, 9,FALSE), IFERROR(VLOOKUP($A755,'Vocus SIT ExDa'!$B$2:$J$173, 8,FALSE), IFERROR(VLOOKUP($A755,'Telstra ExDa'!$B$2:$K$310, 0,FALSE), IFERROR(VLOOKUP($A755,'Vocus RVC ExDa'!$C$2:$R$155, 0,FALSE), IFERROR(VLOOKUP($A755,'Fusion ExDa'!$B$2:$D$16, 0,FALSE), IFERROR(VLOOKUP($A755,'Exetel ExDa'!$C$2:$N$14, 9,FALSE), IFERROR(VLOOKUP($A755,'Infinet ExDa'!$B$2:$E$14, 0,FALSE), "Not Found"))))))))</f>
        <v>Not Found</v>
      </c>
      <c r="M755" s="234" t="str">
        <f>IFERROR(VLOOKUP($A755,'AAPT ExDa'!$B$2:$U$99, 0,FALSE), IFERROR(VLOOKUP($A755,'ABB ExDa'!$A$2:$N$184, 0,FALSE), IFERROR(VLOOKUP($A755,'Vocus SIT ExDa'!$B$2:$J$173, 0,FALSE), IFERROR(VLOOKUP($A755,'Telstra ExDa'!$B$2:$K$310, 0,FALSE), IFERROR(VLOOKUP($A755,'Vocus RVC ExDa'!$C$2:$R$155, 0,FALSE), IFERROR(VLOOKUP($A755,'Fusion ExDa'!$B$2:$D$16, 0,FALSE), IFERROR(VLOOKUP($A755,'Exetel ExDa'!$C$2:$N$14, 11,FALSE), IFERROR(VLOOKUP($A755,'Infinet ExDa'!$B$2:$E$14, 0,FALSE), "Not Found"))))))))</f>
        <v>Not Found</v>
      </c>
      <c r="N755" t="str">
        <f>IFERROR(VLOOKUP($A755,'AAPT ExDa'!$B$2:$U$99, 0,FALSE), IFERROR(VLOOKUP($A755,'ABB ExDa'!$A$2:$N$184, 13,FALSE), IFERROR(VLOOKUP($A755,'Vocus SIT ExDa'!$B$2:$J$173, 0,FALSE), IFERROR(VLOOKUP($A755,'Telstra ExDa'!$B$2:$K$310, 0,FALSE), IFERROR(VLOOKUP($A755,'Vocus RVC ExDa'!$C$2:$R$155, 0,FALSE), IFERROR(VLOOKUP($A755,'Fusion ExDa'!$B$2:$D$16, 0,FALSE), IFERROR(VLOOKUP($A755,'Exetel ExDa'!$C$2:$N$14, 0,FALSE), IFERROR(VLOOKUP($A755,'Infinet ExDa'!$B$2:$E$14, 0,FALSE), "Not Found"))))))))</f>
        <v>Not Found</v>
      </c>
    </row>
    <row r="756" spans="1:14">
      <c r="A756" t="str">
        <v>Hervey Bay Garden Centre</v>
      </c>
      <c r="B756" t="str">
        <f>IFERROR(VLOOKUP(A756,'Exetel ExDa'!$C$2:$N$14,4,FALSE),"No Data")</f>
        <v>No Data</v>
      </c>
      <c r="C756" t="str">
        <f>IFERROR(VLOOKUP(A756,'AAPT ExDa'!$B$2:$U$99, 2,FALSE), IFERROR(VLOOKUP(A756,'ABB ExDa'!$A$2:$N$184, 2,FALSE), IFERROR(VLOOKUP(A756,'Vocus SIT ExDa'!$B$2:$J$173, 7,FALSE), IFERROR(VLOOKUP(A756,'Telstra ExDa'!$B$2:$K$310, 2,FALSE), IFERROR(VLOOKUP(A756,'Vocus RVC ExDa'!$C$2:$R$155, 3,FALSE), IFERROR(VLOOKUP(A756,'Fusion ExDa'!$B$2:$D$16, 2,FALSE), IFERROR(VLOOKUP(A756,'Exetel ExDa'!$C$2:$N$14, 2,FALSE), IFERROR(VLOOKUP(A756,'Infinet ExDa'!$B$2:$E$14, 2,FALSE), "Not Found"))))))))</f>
        <v>7 BARNSTAPLE ST, TORQUAY QLD</v>
      </c>
      <c r="D756" t="str">
        <f>IFERROR(VLOOKUP($A756,'AAPT ExDa'!$B$2:$U$99, 15,FALSE), IFERROR(VLOOKUP($A756,'ABB ExDa'!$A$2:$N$184, 4,FALSE), IFERROR(VLOOKUP($A756,'Vocus SIT ExDa'!$B$2:$J$173, 5,FALSE), IFERROR(VLOOKUP($A756,'Telstra ExDa'!$B$2:$K$310, 8,FALSE), IFERROR(VLOOKUP($A756,'Vocus RVC ExDa'!$C$2:$R$155, 6,FALSE), IFERROR(VLOOKUP($A756,'Fusion ExDa'!$B$2:$D$16, 4,FALSE), IFERROR(VLOOKUP($A756,'Exetel ExDa'!$C$2:$N$14, 3,FALSE), IFERROR(VLOOKUP($A756,'Infinet ExDa'!$B$2:$E$14, 3,FALSE), "Not Found"))))))))</f>
        <v>ABB</v>
      </c>
      <c r="E756" t="str">
        <f>IFERROR(VLOOKUP($A756,'AAPT ExDa'!$B$2:$U$99, 3,FALSE), IFERROR(VLOOKUP($A756,'ABB ExDa'!$A$2:$N$184, 5,FALSE), IFERROR(VLOOKUP($A756,'Vocus SIT ExDa'!$B$2:$J$173, 2,FALSE), IFERROR(VLOOKUP($A756,'Telstra ExDa'!$B$2:$K$310, 4,FALSE), IFERROR(VLOOKUP($A756,'Vocus RVC ExDa'!$C$2:$R$155, 8,FALSE), IFERROR(VLOOKUP($A756,'Fusion ExDa'!$B$2:$D$16, 4,FALSE), IFERROR(VLOOKUP($A756,'Exetel ExDa'!$C$2:$N$14, 5,FALSE), IFERROR(VLOOKUP($A756,'Infinet ExDa'!$B$2:$E$14, 3,FALSE), "Not Found"))))))))</f>
        <v>NBN 50/20</v>
      </c>
      <c r="F756" t="str">
        <f>IFERROR(VLOOKUP($A756,'AAPT ExDa'!$B$2:$U$99, 4,FALSE), IFERROR(VLOOKUP($A756,'ABB ExDa'!$A$2:$N$184, 6,FALSE), IFERROR(VLOOKUP($A756,'Vocus SIT ExDa'!$B$2:$J$173, 3,FALSE), IFERROR(VLOOKUP($A756,'Telstra ExDa'!$B$2:$K$310, 5,FALSE), IFERROR(VLOOKUP($A756,'Vocus RVC ExDa'!$C$2:$R$155, 9,FALSE), IFERROR(VLOOKUP($A756,'Fusion ExDa'!$B$2:$D$16, 0,FALSE), IFERROR(VLOOKUP($A756,'Exetel ExDa'!$C$2:$N$14, 6,FALSE), IFERROR(VLOOKUP($A756,'Infinet ExDa'!$B$2:$E$14, 0,FALSE), "Not Found"))))))))</f>
        <v>Fibre</v>
      </c>
      <c r="G756" t="str">
        <f>IFERROR(VLOOKUP($A756,'AAPT ExDa'!$B$2:$U$99, 5,FALSE), IFERROR(VLOOKUP($A756,'ABB ExDa'!$A$2:$N$184, 8,FALSE), IFERROR(VLOOKUP($A756,'Vocus SIT ExDa'!$B$2:$J$173, 6,FALSE), IFERROR(VLOOKUP($A756,'Telstra ExDa'!$B$2:$K$310, 0,FALSE), IFERROR(VLOOKUP($A756,'Vocus RVC ExDa'!$C$2:$R$155, 15,FALSE), IFERROR(VLOOKUP($A756,'Fusion ExDa'!$B$2:$D$16, 0,FALSE), IFERROR(VLOOKUP($A756,'Exetel ExDa'!$C$2:$N$14, 7,FALSE), IFERROR(VLOOKUP($A756,'Infinet ExDa'!$B$2:$E$14, 0,FALSE), "Not Found"))))))))</f>
        <v>144.6.255.200</v>
      </c>
      <c r="H756" t="str">
        <f>IFERROR(VLOOKUP($A756,'AAPT ExDa'!$B$2:$U$99, 6,FALSE), IFERROR(VLOOKUP($A756,'ABB ExDa'!$A$2:$N$184, 0,FALSE), IFERROR(VLOOKUP($A756,'Vocus SIT ExDa'!$B$2:$J$173, 0,FALSE), IFERROR(VLOOKUP($A756,'Telstra ExDa'!$B$2:$K$310, 0,FALSE), IFERROR(VLOOKUP($A756,'Vocus RVC ExDa'!$C$2:$R$155, 16,FALSE), IFERROR(VLOOKUP($A756,'Fusion ExDa'!$B$2:$D$16, 0,FALSE), IFERROR(VLOOKUP($A756,'Exetel ExDa'!$C$2:$N$14, 0,FALSE), IFERROR(VLOOKUP($A756,'Infinet ExDa'!$B$2:$E$14, 0,FALSE), "Not Found"))))))))</f>
        <v>PPPoE</v>
      </c>
      <c r="I756" t="str">
        <f>IFERROR(VLOOKUP($A756,'AAPT ExDa'!$B$2:$U$99, 0,FALSE), IFERROR(VLOOKUP($A756,'ABB ExDa'!$A$2:$N$184, 0,FALSE), IFERROR(VLOOKUP($A756,'Vocus SIT ExDa'!$B$2:$J$173, 0,FALSE), IFERROR(VLOOKUP($A756,'Telstra ExDa'!$B$2:$K$310, 0,FALSE), IFERROR(VLOOKUP($A756,'Vocus RVC ExDa'!$C$2:$R$155, 0,FALSE), IFERROR(VLOOKUP($A756,'Fusion ExDa'!$B$2:$D$16, 0,FALSE), IFERROR(VLOOKUP($A756,'Exetel ExDa'!$C$2:$N$14, 8,FALSE), IFERROR(VLOOKUP($A756,'Infinet ExDa'!$B$2:$E$14, 0,FALSE), "Not Found"))))))))</f>
        <v>Not Found</v>
      </c>
      <c r="J756" t="str">
        <f>IFERROR(VLOOKUP($A756,'AAPT ExDa'!$B$2:$U$99, 7,FALSE), IFERROR(VLOOKUP($A756,'ABB ExDa'!$A$2:$N$184, 2,FALSE), IFERROR(VLOOKUP($A756,'Vocus SIT ExDa'!$B$2:$J$173, 0,FALSE), IFERROR(VLOOKUP($A756,'Telstra ExDa'!$B$2:$K$310, 7,FALSE), IFERROR(VLOOKUP($A756,'Vocus RVC ExDa'!$C$2:$R$155, 2,FALSE), IFERROR(VLOOKUP($A756,'Fusion ExDa'!$B$2:$D$16, 3,FALSE), IFERROR(VLOOKUP($A756,'Exetel ExDa'!$C$2:$N$14, 0,FALSE), IFERROR(VLOOKUP($A756,'Infinet ExDa'!$B$2:$E$14, 0,FALSE), "Not Found"))))))))</f>
        <v>7 BARNSTAPLE ST, TORQUAY QLD</v>
      </c>
      <c r="K756" t="str">
        <f>IFERROR(VLOOKUP($A756,'AAPT ExDa'!$B$2:$U$99, 12,FALSE), IFERROR(VLOOKUP($A756,'ABB ExDa'!$A$2:$N$184, 0,FALSE), IFERROR(VLOOKUP($A756,'Vocus SIT ExDa'!$B$2:$J$173, 0,FALSE), IFERROR(VLOOKUP($A756,'Telstra ExDa'!$B$2:$K$310, 0,FALSE), IFERROR(VLOOKUP($A756,'Vocus RVC ExDa'!$C$2:$R$155, 0,FALSE), IFERROR(VLOOKUP($A756,'Fusion ExDa'!$B$2:$D$16, 0,FALSE), IFERROR(VLOOKUP($A756,'Exetel ExDa'!$C$2:$N$14, 12,FALSE), IFERROR(VLOOKUP($A756,'Infinet ExDa'!$B$2:$E$14, 0,FALSE), "Not Found"))))))))</f>
        <v>Not Found</v>
      </c>
      <c r="L756" s="235" t="str">
        <f>IFERROR(VLOOKUP($A756,'AAPT ExDa'!$B$2:$U$99, 11,FALSE), IFERROR(VLOOKUP($A756,'ABB ExDa'!$A$2:$N$184, 9,FALSE), IFERROR(VLOOKUP($A756,'Vocus SIT ExDa'!$B$2:$J$173, 8,FALSE), IFERROR(VLOOKUP($A756,'Telstra ExDa'!$B$2:$K$310, 0,FALSE), IFERROR(VLOOKUP($A756,'Vocus RVC ExDa'!$C$2:$R$155, 0,FALSE), IFERROR(VLOOKUP($A756,'Fusion ExDa'!$B$2:$D$16, 0,FALSE), IFERROR(VLOOKUP($A756,'Exetel ExDa'!$C$2:$N$14, 9,FALSE), IFERROR(VLOOKUP($A756,'Infinet ExDa'!$B$2:$E$14, 0,FALSE), "Not Found"))))))))</f>
        <v>19 June 2025</v>
      </c>
      <c r="M756" s="234" t="str">
        <f>IFERROR(VLOOKUP($A756,'AAPT ExDa'!$B$2:$U$99, 0,FALSE), IFERROR(VLOOKUP($A756,'ABB ExDa'!$A$2:$N$184, 0,FALSE), IFERROR(VLOOKUP($A756,'Vocus SIT ExDa'!$B$2:$J$173, 0,FALSE), IFERROR(VLOOKUP($A756,'Telstra ExDa'!$B$2:$K$310, 0,FALSE), IFERROR(VLOOKUP($A756,'Vocus RVC ExDa'!$C$2:$R$155, 0,FALSE), IFERROR(VLOOKUP($A756,'Fusion ExDa'!$B$2:$D$16, 0,FALSE), IFERROR(VLOOKUP($A756,'Exetel ExDa'!$C$2:$N$14, 11,FALSE), IFERROR(VLOOKUP($A756,'Infinet ExDa'!$B$2:$E$14, 0,FALSE), "Not Found"))))))))</f>
        <v>Not Found</v>
      </c>
      <c r="N756" t="str">
        <f>IFERROR(VLOOKUP($A756,'AAPT ExDa'!$B$2:$U$99, 0,FALSE), IFERROR(VLOOKUP($A756,'ABB ExDa'!$A$2:$N$184, 13,FALSE), IFERROR(VLOOKUP($A756,'Vocus SIT ExDa'!$B$2:$J$173, 0,FALSE), IFERROR(VLOOKUP($A756,'Telstra ExDa'!$B$2:$K$310, 0,FALSE), IFERROR(VLOOKUP($A756,'Vocus RVC ExDa'!$C$2:$R$155, 0,FALSE), IFERROR(VLOOKUP($A756,'Fusion ExDa'!$B$2:$D$16, 0,FALSE), IFERROR(VLOOKUP($A756,'Exetel ExDa'!$C$2:$N$14, 0,FALSE), IFERROR(VLOOKUP($A756,'Infinet ExDa'!$B$2:$E$14, 0,FALSE), "Not Found"))))))))</f>
        <v>ECN/Sasboss</v>
      </c>
    </row>
    <row r="757" spans="1:14">
      <c r="A757">
        <v>0</v>
      </c>
      <c r="B757" t="str">
        <f>IFERROR(VLOOKUP(A757,'Exetel ExDa'!$C$2:$N$14,4,FALSE),"No Data")</f>
        <v>No Data</v>
      </c>
      <c r="C757" t="str">
        <f>IFERROR(VLOOKUP(A757,'AAPT ExDa'!$B$2:$U$99, 2,FALSE), IFERROR(VLOOKUP(A757,'ABB ExDa'!$A$2:$N$184, 2,FALSE), IFERROR(VLOOKUP(A757,'Vocus SIT ExDa'!$B$2:$J$173, 7,FALSE), IFERROR(VLOOKUP(A757,'Telstra ExDa'!$B$2:$K$310, 2,FALSE), IFERROR(VLOOKUP(A757,'Vocus RVC ExDa'!$C$2:$R$155, 3,FALSE), IFERROR(VLOOKUP(A757,'Fusion ExDa'!$B$2:$D$16, 2,FALSE), IFERROR(VLOOKUP(A757,'Exetel ExDa'!$C$2:$N$14, 2,FALSE), IFERROR(VLOOKUP(A757,'Infinet ExDa'!$B$2:$E$14, 2,FALSE), "Not Found"))))))))</f>
        <v>Not Found</v>
      </c>
      <c r="D757" t="str">
        <f>IFERROR(VLOOKUP($A757,'AAPT ExDa'!$B$2:$U$99, 15,FALSE), IFERROR(VLOOKUP($A757,'ABB ExDa'!$A$2:$N$184, 4,FALSE), IFERROR(VLOOKUP($A757,'Vocus SIT ExDa'!$B$2:$J$173, 5,FALSE), IFERROR(VLOOKUP($A757,'Telstra ExDa'!$B$2:$K$310, 8,FALSE), IFERROR(VLOOKUP($A757,'Vocus RVC ExDa'!$C$2:$R$155, 6,FALSE), IFERROR(VLOOKUP($A757,'Fusion ExDa'!$B$2:$D$16, 4,FALSE), IFERROR(VLOOKUP($A757,'Exetel ExDa'!$C$2:$N$14, 3,FALSE), IFERROR(VLOOKUP($A757,'Infinet ExDa'!$B$2:$E$14, 3,FALSE), "Not Found"))))))))</f>
        <v>Not Found</v>
      </c>
      <c r="E757" t="str">
        <f>IFERROR(VLOOKUP($A757,'AAPT ExDa'!$B$2:$U$99, 3,FALSE), IFERROR(VLOOKUP($A757,'ABB ExDa'!$A$2:$N$184, 5,FALSE), IFERROR(VLOOKUP($A757,'Vocus SIT ExDa'!$B$2:$J$173, 2,FALSE), IFERROR(VLOOKUP($A757,'Telstra ExDa'!$B$2:$K$310, 4,FALSE), IFERROR(VLOOKUP($A757,'Vocus RVC ExDa'!$C$2:$R$155, 8,FALSE), IFERROR(VLOOKUP($A757,'Fusion ExDa'!$B$2:$D$16, 4,FALSE), IFERROR(VLOOKUP($A757,'Exetel ExDa'!$C$2:$N$14, 5,FALSE), IFERROR(VLOOKUP($A757,'Infinet ExDa'!$B$2:$E$14, 3,FALSE), "Not Found"))))))))</f>
        <v>Not Found</v>
      </c>
      <c r="F757" t="str">
        <f>IFERROR(VLOOKUP($A757,'AAPT ExDa'!$B$2:$U$99, 4,FALSE), IFERROR(VLOOKUP($A757,'ABB ExDa'!$A$2:$N$184, 6,FALSE), IFERROR(VLOOKUP($A757,'Vocus SIT ExDa'!$B$2:$J$173, 3,FALSE), IFERROR(VLOOKUP($A757,'Telstra ExDa'!$B$2:$K$310, 5,FALSE), IFERROR(VLOOKUP($A757,'Vocus RVC ExDa'!$C$2:$R$155, 9,FALSE), IFERROR(VLOOKUP($A757,'Fusion ExDa'!$B$2:$D$16, 0,FALSE), IFERROR(VLOOKUP($A757,'Exetel ExDa'!$C$2:$N$14, 6,FALSE), IFERROR(VLOOKUP($A757,'Infinet ExDa'!$B$2:$E$14, 0,FALSE), "Not Found"))))))))</f>
        <v>Not Found</v>
      </c>
      <c r="G757" t="str">
        <f>IFERROR(VLOOKUP($A757,'AAPT ExDa'!$B$2:$U$99, 5,FALSE), IFERROR(VLOOKUP($A757,'ABB ExDa'!$A$2:$N$184, 8,FALSE), IFERROR(VLOOKUP($A757,'Vocus SIT ExDa'!$B$2:$J$173, 6,FALSE), IFERROR(VLOOKUP($A757,'Telstra ExDa'!$B$2:$K$310, 0,FALSE), IFERROR(VLOOKUP($A757,'Vocus RVC ExDa'!$C$2:$R$155, 15,FALSE), IFERROR(VLOOKUP($A757,'Fusion ExDa'!$B$2:$D$16, 0,FALSE), IFERROR(VLOOKUP($A757,'Exetel ExDa'!$C$2:$N$14, 7,FALSE), IFERROR(VLOOKUP($A757,'Infinet ExDa'!$B$2:$E$14, 0,FALSE), "Not Found"))))))))</f>
        <v>Not Found</v>
      </c>
      <c r="H757" t="str">
        <f>IFERROR(VLOOKUP($A757,'AAPT ExDa'!$B$2:$U$99, 6,FALSE), IFERROR(VLOOKUP($A757,'ABB ExDa'!$A$2:$N$184, 0,FALSE), IFERROR(VLOOKUP($A757,'Vocus SIT ExDa'!$B$2:$J$173, 0,FALSE), IFERROR(VLOOKUP($A757,'Telstra ExDa'!$B$2:$K$310, 0,FALSE), IFERROR(VLOOKUP($A757,'Vocus RVC ExDa'!$C$2:$R$155, 16,FALSE), IFERROR(VLOOKUP($A757,'Fusion ExDa'!$B$2:$D$16, 0,FALSE), IFERROR(VLOOKUP($A757,'Exetel ExDa'!$C$2:$N$14, 0,FALSE), IFERROR(VLOOKUP($A757,'Infinet ExDa'!$B$2:$E$14, 0,FALSE), "Not Found"))))))))</f>
        <v>Not Found</v>
      </c>
      <c r="I757" t="str">
        <f>IFERROR(VLOOKUP($A757,'AAPT ExDa'!$B$2:$U$99, 0,FALSE), IFERROR(VLOOKUP($A757,'ABB ExDa'!$A$2:$N$184, 0,FALSE), IFERROR(VLOOKUP($A757,'Vocus SIT ExDa'!$B$2:$J$173, 0,FALSE), IFERROR(VLOOKUP($A757,'Telstra ExDa'!$B$2:$K$310, 0,FALSE), IFERROR(VLOOKUP($A757,'Vocus RVC ExDa'!$C$2:$R$155, 0,FALSE), IFERROR(VLOOKUP($A757,'Fusion ExDa'!$B$2:$D$16, 0,FALSE), IFERROR(VLOOKUP($A757,'Exetel ExDa'!$C$2:$N$14, 8,FALSE), IFERROR(VLOOKUP($A757,'Infinet ExDa'!$B$2:$E$14, 0,FALSE), "Not Found"))))))))</f>
        <v>Not Found</v>
      </c>
      <c r="J757" t="str">
        <f>IFERROR(VLOOKUP($A757,'AAPT ExDa'!$B$2:$U$99, 7,FALSE), IFERROR(VLOOKUP($A757,'ABB ExDa'!$A$2:$N$184, 2,FALSE), IFERROR(VLOOKUP($A757,'Vocus SIT ExDa'!$B$2:$J$173, 0,FALSE), IFERROR(VLOOKUP($A757,'Telstra ExDa'!$B$2:$K$310, 7,FALSE), IFERROR(VLOOKUP($A757,'Vocus RVC ExDa'!$C$2:$R$155, 2,FALSE), IFERROR(VLOOKUP($A757,'Fusion ExDa'!$B$2:$D$16, 3,FALSE), IFERROR(VLOOKUP($A757,'Exetel ExDa'!$C$2:$N$14, 0,FALSE), IFERROR(VLOOKUP($A757,'Infinet ExDa'!$B$2:$E$14, 0,FALSE), "Not Found"))))))))</f>
        <v>Not Found</v>
      </c>
      <c r="K757" t="str">
        <f>IFERROR(VLOOKUP($A757,'AAPT ExDa'!$B$2:$U$99, 12,FALSE), IFERROR(VLOOKUP($A757,'ABB ExDa'!$A$2:$N$184, 0,FALSE), IFERROR(VLOOKUP($A757,'Vocus SIT ExDa'!$B$2:$J$173, 0,FALSE), IFERROR(VLOOKUP($A757,'Telstra ExDa'!$B$2:$K$310, 0,FALSE), IFERROR(VLOOKUP($A757,'Vocus RVC ExDa'!$C$2:$R$155, 0,FALSE), IFERROR(VLOOKUP($A757,'Fusion ExDa'!$B$2:$D$16, 0,FALSE), IFERROR(VLOOKUP($A757,'Exetel ExDa'!$C$2:$N$14, 12,FALSE), IFERROR(VLOOKUP($A757,'Infinet ExDa'!$B$2:$E$14, 0,FALSE), "Not Found"))))))))</f>
        <v>Not Found</v>
      </c>
      <c r="L757" s="235" t="str">
        <f>IFERROR(VLOOKUP($A757,'AAPT ExDa'!$B$2:$U$99, 11,FALSE), IFERROR(VLOOKUP($A757,'ABB ExDa'!$A$2:$N$184, 9,FALSE), IFERROR(VLOOKUP($A757,'Vocus SIT ExDa'!$B$2:$J$173, 8,FALSE), IFERROR(VLOOKUP($A757,'Telstra ExDa'!$B$2:$K$310, 0,FALSE), IFERROR(VLOOKUP($A757,'Vocus RVC ExDa'!$C$2:$R$155, 0,FALSE), IFERROR(VLOOKUP($A757,'Fusion ExDa'!$B$2:$D$16, 0,FALSE), IFERROR(VLOOKUP($A757,'Exetel ExDa'!$C$2:$N$14, 9,FALSE), IFERROR(VLOOKUP($A757,'Infinet ExDa'!$B$2:$E$14, 0,FALSE), "Not Found"))))))))</f>
        <v>Not Found</v>
      </c>
      <c r="M757" s="234" t="str">
        <f>IFERROR(VLOOKUP($A757,'AAPT ExDa'!$B$2:$U$99, 0,FALSE), IFERROR(VLOOKUP($A757,'ABB ExDa'!$A$2:$N$184, 0,FALSE), IFERROR(VLOOKUP($A757,'Vocus SIT ExDa'!$B$2:$J$173, 0,FALSE), IFERROR(VLOOKUP($A757,'Telstra ExDa'!$B$2:$K$310, 0,FALSE), IFERROR(VLOOKUP($A757,'Vocus RVC ExDa'!$C$2:$R$155, 0,FALSE), IFERROR(VLOOKUP($A757,'Fusion ExDa'!$B$2:$D$16, 0,FALSE), IFERROR(VLOOKUP($A757,'Exetel ExDa'!$C$2:$N$14, 11,FALSE), IFERROR(VLOOKUP($A757,'Infinet ExDa'!$B$2:$E$14, 0,FALSE), "Not Found"))))))))</f>
        <v>Not Found</v>
      </c>
      <c r="N757" t="str">
        <f>IFERROR(VLOOKUP($A757,'AAPT ExDa'!$B$2:$U$99, 0,FALSE), IFERROR(VLOOKUP($A757,'ABB ExDa'!$A$2:$N$184, 13,FALSE), IFERROR(VLOOKUP($A757,'Vocus SIT ExDa'!$B$2:$J$173, 0,FALSE), IFERROR(VLOOKUP($A757,'Telstra ExDa'!$B$2:$K$310, 0,FALSE), IFERROR(VLOOKUP($A757,'Vocus RVC ExDa'!$C$2:$R$155, 0,FALSE), IFERROR(VLOOKUP($A757,'Fusion ExDa'!$B$2:$D$16, 0,FALSE), IFERROR(VLOOKUP($A757,'Exetel ExDa'!$C$2:$N$14, 0,FALSE), IFERROR(VLOOKUP($A757,'Infinet ExDa'!$B$2:$E$14, 0,FALSE), "Not Found"))))))))</f>
        <v>Not Found</v>
      </c>
    </row>
    <row r="758" spans="1:14">
      <c r="A758" t="str">
        <v>Core Glass &amp; Aluminium</v>
      </c>
      <c r="B758" t="str">
        <f>IFERROR(VLOOKUP(A758,'Exetel ExDa'!$C$2:$N$14,4,FALSE),"No Data")</f>
        <v>No Data</v>
      </c>
      <c r="C758" t="str">
        <f>IFERROR(VLOOKUP(A758,'AAPT ExDa'!$B$2:$U$99, 2,FALSE), IFERROR(VLOOKUP(A758,'ABB ExDa'!$A$2:$N$184, 2,FALSE), IFERROR(VLOOKUP(A758,'Vocus SIT ExDa'!$B$2:$J$173, 7,FALSE), IFERROR(VLOOKUP(A758,'Telstra ExDa'!$B$2:$K$310, 2,FALSE), IFERROR(VLOOKUP(A758,'Vocus RVC ExDa'!$C$2:$R$155, 3,FALSE), IFERROR(VLOOKUP(A758,'Fusion ExDa'!$B$2:$D$16, 2,FALSE), IFERROR(VLOOKUP(A758,'Exetel ExDa'!$C$2:$N$14, 2,FALSE), IFERROR(VLOOKUP(A758,'Infinet ExDa'!$B$2:$E$14, 2,FALSE), "Not Found"))))))))</f>
        <v xml:space="preserve">Unit 1 Lot 1 56 Eagleview Pl </v>
      </c>
      <c r="D758">
        <f>IFERROR(VLOOKUP($A758,'AAPT ExDa'!$B$2:$U$99, 15,FALSE), IFERROR(VLOOKUP($A758,'ABB ExDa'!$A$2:$N$184, 4,FALSE), IFERROR(VLOOKUP($A758,'Vocus SIT ExDa'!$B$2:$J$173, 5,FALSE), IFERROR(VLOOKUP($A758,'Telstra ExDa'!$B$2:$K$310, 8,FALSE), IFERROR(VLOOKUP($A758,'Vocus RVC ExDa'!$C$2:$R$155, 6,FALSE), IFERROR(VLOOKUP($A758,'Fusion ExDa'!$B$2:$D$16, 4,FALSE), IFERROR(VLOOKUP($A758,'Exetel ExDa'!$C$2:$N$14, 3,FALSE), IFERROR(VLOOKUP($A758,'Infinet ExDa'!$B$2:$E$14, 3,FALSE), "Not Found"))))))))</f>
        <v>4009</v>
      </c>
      <c r="E758" t="str">
        <f>IFERROR(VLOOKUP($A758,'AAPT ExDa'!$B$2:$U$99, 3,FALSE), IFERROR(VLOOKUP($A758,'ABB ExDa'!$A$2:$N$184, 5,FALSE), IFERROR(VLOOKUP($A758,'Vocus SIT ExDa'!$B$2:$J$173, 2,FALSE), IFERROR(VLOOKUP($A758,'Telstra ExDa'!$B$2:$K$310, 4,FALSE), IFERROR(VLOOKUP($A758,'Vocus RVC ExDa'!$C$2:$R$155, 8,FALSE), IFERROR(VLOOKUP($A758,'Fusion ExDa'!$B$2:$D$16, 4,FALSE), IFERROR(VLOOKUP($A758,'Exetel ExDa'!$C$2:$N$14, 5,FALSE), IFERROR(VLOOKUP($A758,'Infinet ExDa'!$B$2:$E$14, 3,FALSE), "Not Found"))))))))</f>
        <v>100Mbps/40Mbps</v>
      </c>
      <c r="F758" t="str">
        <f>IFERROR(VLOOKUP($A758,'AAPT ExDa'!$B$2:$U$99, 4,FALSE), IFERROR(VLOOKUP($A758,'ABB ExDa'!$A$2:$N$184, 6,FALSE), IFERROR(VLOOKUP($A758,'Vocus SIT ExDa'!$B$2:$J$173, 3,FALSE), IFERROR(VLOOKUP($A758,'Telstra ExDa'!$B$2:$K$310, 5,FALSE), IFERROR(VLOOKUP($A758,'Vocus RVC ExDa'!$C$2:$R$155, 9,FALSE), IFERROR(VLOOKUP($A758,'Fusion ExDa'!$B$2:$D$16, 0,FALSE), IFERROR(VLOOKUP($A758,'Exetel ExDa'!$C$2:$N$14, 6,FALSE), IFERROR(VLOOKUP($A758,'Infinet ExDa'!$B$2:$E$14, 0,FALSE), "Not Found"))))))))</f>
        <v>NBN Reseller G4  FTTP</v>
      </c>
      <c r="G758" t="str">
        <f>IFERROR(VLOOKUP($A758,'AAPT ExDa'!$B$2:$U$99, 5,FALSE), IFERROR(VLOOKUP($A758,'ABB ExDa'!$A$2:$N$184, 8,FALSE), IFERROR(VLOOKUP($A758,'Vocus SIT ExDa'!$B$2:$J$173, 6,FALSE), IFERROR(VLOOKUP($A758,'Telstra ExDa'!$B$2:$K$310, 0,FALSE), IFERROR(VLOOKUP($A758,'Vocus RVC ExDa'!$C$2:$R$155, 15,FALSE), IFERROR(VLOOKUP($A758,'Fusion ExDa'!$B$2:$D$16, 0,FALSE), IFERROR(VLOOKUP($A758,'Exetel ExDa'!$C$2:$N$14, 7,FALSE), IFERROR(VLOOKUP($A758,'Infinet ExDa'!$B$2:$E$14, 0,FALSE), "Not Found"))))))))</f>
        <v>202.62.138.84</v>
      </c>
      <c r="H758" t="str">
        <f>IFERROR(VLOOKUP($A758,'AAPT ExDa'!$B$2:$U$99, 6,FALSE), IFERROR(VLOOKUP($A758,'ABB ExDa'!$A$2:$N$184, 0,FALSE), IFERROR(VLOOKUP($A758,'Vocus SIT ExDa'!$B$2:$J$173, 0,FALSE), IFERROR(VLOOKUP($A758,'Telstra ExDa'!$B$2:$K$310, 0,FALSE), IFERROR(VLOOKUP($A758,'Vocus RVC ExDa'!$C$2:$R$155, 16,FALSE), IFERROR(VLOOKUP($A758,'Fusion ExDa'!$B$2:$D$16, 0,FALSE), IFERROR(VLOOKUP($A758,'Exetel ExDa'!$C$2:$N$14, 0,FALSE), IFERROR(VLOOKUP($A758,'Infinet ExDa'!$B$2:$E$14, 0,FALSE), "Not Found"))))))))</f>
        <v>PPPoE</v>
      </c>
      <c r="I758" t="str">
        <f>IFERROR(VLOOKUP($A758,'AAPT ExDa'!$B$2:$U$99, 0,FALSE), IFERROR(VLOOKUP($A758,'ABB ExDa'!$A$2:$N$184, 0,FALSE), IFERROR(VLOOKUP($A758,'Vocus SIT ExDa'!$B$2:$J$173, 0,FALSE), IFERROR(VLOOKUP($A758,'Telstra ExDa'!$B$2:$K$310, 0,FALSE), IFERROR(VLOOKUP($A758,'Vocus RVC ExDa'!$C$2:$R$155, 0,FALSE), IFERROR(VLOOKUP($A758,'Fusion ExDa'!$B$2:$D$16, 0,FALSE), IFERROR(VLOOKUP($A758,'Exetel ExDa'!$C$2:$N$14, 8,FALSE), IFERROR(VLOOKUP($A758,'Infinet ExDa'!$B$2:$E$14, 0,FALSE), "Not Found"))))))))</f>
        <v>Not Found</v>
      </c>
      <c r="J758" t="str">
        <f>IFERROR(VLOOKUP($A758,'AAPT ExDa'!$B$2:$U$99, 7,FALSE), IFERROR(VLOOKUP($A758,'ABB ExDa'!$A$2:$N$184, 2,FALSE), IFERROR(VLOOKUP($A758,'Vocus SIT ExDa'!$B$2:$J$173, 0,FALSE), IFERROR(VLOOKUP($A758,'Telstra ExDa'!$B$2:$K$310, 7,FALSE), IFERROR(VLOOKUP($A758,'Vocus RVC ExDa'!$C$2:$R$155, 2,FALSE), IFERROR(VLOOKUP($A758,'Fusion ExDa'!$B$2:$D$16, 3,FALSE), IFERROR(VLOOKUP($A758,'Exetel ExDa'!$C$2:$N$14, 0,FALSE), IFERROR(VLOOKUP($A758,'Infinet ExDa'!$B$2:$E$14, 0,FALSE), "Not Found"))))))))</f>
        <v>AVC000141161835</v>
      </c>
      <c r="K758" t="str">
        <f>IFERROR(VLOOKUP($A758,'AAPT ExDa'!$B$2:$U$99, 12,FALSE), IFERROR(VLOOKUP($A758,'ABB ExDa'!$A$2:$N$184, 0,FALSE), IFERROR(VLOOKUP($A758,'Vocus SIT ExDa'!$B$2:$J$173, 0,FALSE), IFERROR(VLOOKUP($A758,'Telstra ExDa'!$B$2:$K$310, 0,FALSE), IFERROR(VLOOKUP($A758,'Vocus RVC ExDa'!$C$2:$R$155, 0,FALSE), IFERROR(VLOOKUP($A758,'Fusion ExDa'!$B$2:$D$16, 0,FALSE), IFERROR(VLOOKUP($A758,'Exetel ExDa'!$C$2:$N$14, 12,FALSE), IFERROR(VLOOKUP($A758,'Infinet ExDa'!$B$2:$E$14, 0,FALSE), "Not Found"))))))))</f>
        <v>Not Found</v>
      </c>
      <c r="L758" s="235" t="str">
        <f>IFERROR(VLOOKUP($A758,'AAPT ExDa'!$B$2:$U$99, 11,FALSE), IFERROR(VLOOKUP($A758,'ABB ExDa'!$A$2:$N$184, 9,FALSE), IFERROR(VLOOKUP($A758,'Vocus SIT ExDa'!$B$2:$J$173, 8,FALSE), IFERROR(VLOOKUP($A758,'Telstra ExDa'!$B$2:$K$310, 0,FALSE), IFERROR(VLOOKUP($A758,'Vocus RVC ExDa'!$C$2:$R$155, 0,FALSE), IFERROR(VLOOKUP($A758,'Fusion ExDa'!$B$2:$D$16, 0,FALSE), IFERROR(VLOOKUP($A758,'Exetel ExDa'!$C$2:$N$14, 9,FALSE), IFERROR(VLOOKUP($A758,'Infinet ExDa'!$B$2:$E$14, 0,FALSE), "Not Found"))))))))</f>
        <v>Not Found</v>
      </c>
      <c r="M758" s="234" t="str">
        <f>IFERROR(VLOOKUP($A758,'AAPT ExDa'!$B$2:$U$99, 0,FALSE), IFERROR(VLOOKUP($A758,'ABB ExDa'!$A$2:$N$184, 0,FALSE), IFERROR(VLOOKUP($A758,'Vocus SIT ExDa'!$B$2:$J$173, 0,FALSE), IFERROR(VLOOKUP($A758,'Telstra ExDa'!$B$2:$K$310, 0,FALSE), IFERROR(VLOOKUP($A758,'Vocus RVC ExDa'!$C$2:$R$155, 0,FALSE), IFERROR(VLOOKUP($A758,'Fusion ExDa'!$B$2:$D$16, 0,FALSE), IFERROR(VLOOKUP($A758,'Exetel ExDa'!$C$2:$N$14, 11,FALSE), IFERROR(VLOOKUP($A758,'Infinet ExDa'!$B$2:$E$14, 0,FALSE), "Not Found"))))))))</f>
        <v>Not Found</v>
      </c>
      <c r="N758" t="str">
        <f>IFERROR(VLOOKUP($A758,'AAPT ExDa'!$B$2:$U$99, 0,FALSE), IFERROR(VLOOKUP($A758,'ABB ExDa'!$A$2:$N$184, 13,FALSE), IFERROR(VLOOKUP($A758,'Vocus SIT ExDa'!$B$2:$J$173, 0,FALSE), IFERROR(VLOOKUP($A758,'Telstra ExDa'!$B$2:$K$310, 0,FALSE), IFERROR(VLOOKUP($A758,'Vocus RVC ExDa'!$C$2:$R$155, 0,FALSE), IFERROR(VLOOKUP($A758,'Fusion ExDa'!$B$2:$D$16, 0,FALSE), IFERROR(VLOOKUP($A758,'Exetel ExDa'!$C$2:$N$14, 0,FALSE), IFERROR(VLOOKUP($A758,'Infinet ExDa'!$B$2:$E$14, 0,FALSE), "Not Found"))))))))</f>
        <v>Not Found</v>
      </c>
    </row>
    <row r="759" spans="1:14">
      <c r="A759" t="str">
        <v>Gordon Orchards Pty Ltd</v>
      </c>
      <c r="B759" t="str">
        <f>IFERROR(VLOOKUP(A759,'Exetel ExDa'!$C$2:$N$14,4,FALSE),"No Data")</f>
        <v>No Data</v>
      </c>
      <c r="C759" t="str">
        <f>IFERROR(VLOOKUP(A759,'AAPT ExDa'!$B$2:$U$99, 2,FALSE), IFERROR(VLOOKUP(A759,'ABB ExDa'!$A$2:$N$184, 2,FALSE), IFERROR(VLOOKUP(A759,'Vocus SIT ExDa'!$B$2:$J$173, 7,FALSE), IFERROR(VLOOKUP(A759,'Telstra ExDa'!$B$2:$K$310, 2,FALSE), IFERROR(VLOOKUP(A759,'Vocus RVC ExDa'!$C$2:$R$155, 3,FALSE), IFERROR(VLOOKUP(A759,'Fusion ExDa'!$B$2:$D$16, 2,FALSE), IFERROR(VLOOKUP(A759,'Exetel ExDa'!$C$2:$N$14, 2,FALSE), IFERROR(VLOOKUP(A759,'Infinet ExDa'!$B$2:$E$14, 2,FALSE), "Not Found"))))))))</f>
        <v xml:space="preserve">Lot 1 165 Langbeckers Rd </v>
      </c>
      <c r="D759">
        <f>IFERROR(VLOOKUP($A759,'AAPT ExDa'!$B$2:$U$99, 15,FALSE), IFERROR(VLOOKUP($A759,'ABB ExDa'!$A$2:$N$184, 4,FALSE), IFERROR(VLOOKUP($A759,'Vocus SIT ExDa'!$B$2:$J$173, 5,FALSE), IFERROR(VLOOKUP($A759,'Telstra ExDa'!$B$2:$K$310, 8,FALSE), IFERROR(VLOOKUP($A759,'Vocus RVC ExDa'!$C$2:$R$155, 6,FALSE), IFERROR(VLOOKUP($A759,'Fusion ExDa'!$B$2:$D$16, 4,FALSE), IFERROR(VLOOKUP($A759,'Exetel ExDa'!$C$2:$N$14, 3,FALSE), IFERROR(VLOOKUP($A759,'Infinet ExDa'!$B$2:$E$14, 3,FALSE), "Not Found"))))))))</f>
        <v>4670</v>
      </c>
      <c r="E759" t="str">
        <f>IFERROR(VLOOKUP($A759,'AAPT ExDa'!$B$2:$U$99, 3,FALSE), IFERROR(VLOOKUP($A759,'ABB ExDa'!$A$2:$N$184, 5,FALSE), IFERROR(VLOOKUP($A759,'Vocus SIT ExDa'!$B$2:$J$173, 2,FALSE), IFERROR(VLOOKUP($A759,'Telstra ExDa'!$B$2:$K$310, 4,FALSE), IFERROR(VLOOKUP($A759,'Vocus RVC ExDa'!$C$2:$R$155, 8,FALSE), IFERROR(VLOOKUP($A759,'Fusion ExDa'!$B$2:$D$16, 4,FALSE), IFERROR(VLOOKUP($A759,'Exetel ExDa'!$C$2:$N$14, 5,FALSE), IFERROR(VLOOKUP($A759,'Infinet ExDa'!$B$2:$E$14, 3,FALSE), "Not Found"))))))))</f>
        <v>150Mbps/30Mbps</v>
      </c>
      <c r="F759" t="str">
        <f>IFERROR(VLOOKUP($A759,'AAPT ExDa'!$B$2:$U$99, 4,FALSE), IFERROR(VLOOKUP($A759,'ABB ExDa'!$A$2:$N$184, 6,FALSE), IFERROR(VLOOKUP($A759,'Vocus SIT ExDa'!$B$2:$J$173, 3,FALSE), IFERROR(VLOOKUP($A759,'Telstra ExDa'!$B$2:$K$310, 5,FALSE), IFERROR(VLOOKUP($A759,'Vocus RVC ExDa'!$C$2:$R$155, 9,FALSE), IFERROR(VLOOKUP($A759,'Fusion ExDa'!$B$2:$D$16, 0,FALSE), IFERROR(VLOOKUP($A759,'Exetel ExDa'!$C$2:$N$14, 6,FALSE), IFERROR(VLOOKUP($A759,'Infinet ExDa'!$B$2:$E$14, 0,FALSE), "Not Found"))))))))</f>
        <v xml:space="preserve">NBN Reseller G4 WLS </v>
      </c>
      <c r="G759" t="str">
        <f>IFERROR(VLOOKUP($A759,'AAPT ExDa'!$B$2:$U$99, 5,FALSE), IFERROR(VLOOKUP($A759,'ABB ExDa'!$A$2:$N$184, 8,FALSE), IFERROR(VLOOKUP($A759,'Vocus SIT ExDa'!$B$2:$J$173, 6,FALSE), IFERROR(VLOOKUP($A759,'Telstra ExDa'!$B$2:$K$310, 0,FALSE), IFERROR(VLOOKUP($A759,'Vocus RVC ExDa'!$C$2:$R$155, 15,FALSE), IFERROR(VLOOKUP($A759,'Fusion ExDa'!$B$2:$D$16, 0,FALSE), IFERROR(VLOOKUP($A759,'Exetel ExDa'!$C$2:$N$14, 7,FALSE), IFERROR(VLOOKUP($A759,'Infinet ExDa'!$B$2:$E$14, 0,FALSE), "Not Found"))))))))</f>
        <v>211.27.182.160</v>
      </c>
      <c r="H759" t="str">
        <f>IFERROR(VLOOKUP($A759,'AAPT ExDa'!$B$2:$U$99, 6,FALSE), IFERROR(VLOOKUP($A759,'ABB ExDa'!$A$2:$N$184, 0,FALSE), IFERROR(VLOOKUP($A759,'Vocus SIT ExDa'!$B$2:$J$173, 0,FALSE), IFERROR(VLOOKUP($A759,'Telstra ExDa'!$B$2:$K$310, 0,FALSE), IFERROR(VLOOKUP($A759,'Vocus RVC ExDa'!$C$2:$R$155, 16,FALSE), IFERROR(VLOOKUP($A759,'Fusion ExDa'!$B$2:$D$16, 0,FALSE), IFERROR(VLOOKUP($A759,'Exetel ExDa'!$C$2:$N$14, 0,FALSE), IFERROR(VLOOKUP($A759,'Infinet ExDa'!$B$2:$E$14, 0,FALSE), "Not Found"))))))))</f>
        <v>PPPoE</v>
      </c>
      <c r="I759" t="str">
        <f>IFERROR(VLOOKUP($A759,'AAPT ExDa'!$B$2:$U$99, 0,FALSE), IFERROR(VLOOKUP($A759,'ABB ExDa'!$A$2:$N$184, 0,FALSE), IFERROR(VLOOKUP($A759,'Vocus SIT ExDa'!$B$2:$J$173, 0,FALSE), IFERROR(VLOOKUP($A759,'Telstra ExDa'!$B$2:$K$310, 0,FALSE), IFERROR(VLOOKUP($A759,'Vocus RVC ExDa'!$C$2:$R$155, 0,FALSE), IFERROR(VLOOKUP($A759,'Fusion ExDa'!$B$2:$D$16, 0,FALSE), IFERROR(VLOOKUP($A759,'Exetel ExDa'!$C$2:$N$14, 8,FALSE), IFERROR(VLOOKUP($A759,'Infinet ExDa'!$B$2:$E$14, 0,FALSE), "Not Found"))))))))</f>
        <v>Not Found</v>
      </c>
      <c r="J759" t="str">
        <f>IFERROR(VLOOKUP($A759,'AAPT ExDa'!$B$2:$U$99, 7,FALSE), IFERROR(VLOOKUP($A759,'ABB ExDa'!$A$2:$N$184, 2,FALSE), IFERROR(VLOOKUP($A759,'Vocus SIT ExDa'!$B$2:$J$173, 0,FALSE), IFERROR(VLOOKUP($A759,'Telstra ExDa'!$B$2:$K$310, 7,FALSE), IFERROR(VLOOKUP($A759,'Vocus RVC ExDa'!$C$2:$R$155, 2,FALSE), IFERROR(VLOOKUP($A759,'Fusion ExDa'!$B$2:$D$16, 3,FALSE), IFERROR(VLOOKUP($A759,'Exetel ExDa'!$C$2:$N$14, 0,FALSE), IFERROR(VLOOKUP($A759,'Infinet ExDa'!$B$2:$E$14, 0,FALSE), "Not Found"))))))))</f>
        <v>AVC000141252438</v>
      </c>
      <c r="K759" t="str">
        <f>IFERROR(VLOOKUP($A759,'AAPT ExDa'!$B$2:$U$99, 12,FALSE), IFERROR(VLOOKUP($A759,'ABB ExDa'!$A$2:$N$184, 0,FALSE), IFERROR(VLOOKUP($A759,'Vocus SIT ExDa'!$B$2:$J$173, 0,FALSE), IFERROR(VLOOKUP($A759,'Telstra ExDa'!$B$2:$K$310, 0,FALSE), IFERROR(VLOOKUP($A759,'Vocus RVC ExDa'!$C$2:$R$155, 0,FALSE), IFERROR(VLOOKUP($A759,'Fusion ExDa'!$B$2:$D$16, 0,FALSE), IFERROR(VLOOKUP($A759,'Exetel ExDa'!$C$2:$N$14, 12,FALSE), IFERROR(VLOOKUP($A759,'Infinet ExDa'!$B$2:$E$14, 0,FALSE), "Not Found"))))))))</f>
        <v>Not Found</v>
      </c>
      <c r="L759" s="235" t="str">
        <f>IFERROR(VLOOKUP($A759,'AAPT ExDa'!$B$2:$U$99, 11,FALSE), IFERROR(VLOOKUP($A759,'ABB ExDa'!$A$2:$N$184, 9,FALSE), IFERROR(VLOOKUP($A759,'Vocus SIT ExDa'!$B$2:$J$173, 8,FALSE), IFERROR(VLOOKUP($A759,'Telstra ExDa'!$B$2:$K$310, 0,FALSE), IFERROR(VLOOKUP($A759,'Vocus RVC ExDa'!$C$2:$R$155, 0,FALSE), IFERROR(VLOOKUP($A759,'Fusion ExDa'!$B$2:$D$16, 0,FALSE), IFERROR(VLOOKUP($A759,'Exetel ExDa'!$C$2:$N$14, 9,FALSE), IFERROR(VLOOKUP($A759,'Infinet ExDa'!$B$2:$E$14, 0,FALSE), "Not Found"))))))))</f>
        <v>Not Found</v>
      </c>
      <c r="M759" s="234" t="str">
        <f>IFERROR(VLOOKUP($A759,'AAPT ExDa'!$B$2:$U$99, 0,FALSE), IFERROR(VLOOKUP($A759,'ABB ExDa'!$A$2:$N$184, 0,FALSE), IFERROR(VLOOKUP($A759,'Vocus SIT ExDa'!$B$2:$J$173, 0,FALSE), IFERROR(VLOOKUP($A759,'Telstra ExDa'!$B$2:$K$310, 0,FALSE), IFERROR(VLOOKUP($A759,'Vocus RVC ExDa'!$C$2:$R$155, 0,FALSE), IFERROR(VLOOKUP($A759,'Fusion ExDa'!$B$2:$D$16, 0,FALSE), IFERROR(VLOOKUP($A759,'Exetel ExDa'!$C$2:$N$14, 11,FALSE), IFERROR(VLOOKUP($A759,'Infinet ExDa'!$B$2:$E$14, 0,FALSE), "Not Found"))))))))</f>
        <v>Not Found</v>
      </c>
      <c r="N759" t="str">
        <f>IFERROR(VLOOKUP($A759,'AAPT ExDa'!$B$2:$U$99, 0,FALSE), IFERROR(VLOOKUP($A759,'ABB ExDa'!$A$2:$N$184, 13,FALSE), IFERROR(VLOOKUP($A759,'Vocus SIT ExDa'!$B$2:$J$173, 0,FALSE), IFERROR(VLOOKUP($A759,'Telstra ExDa'!$B$2:$K$310, 0,FALSE), IFERROR(VLOOKUP($A759,'Vocus RVC ExDa'!$C$2:$R$155, 0,FALSE), IFERROR(VLOOKUP($A759,'Fusion ExDa'!$B$2:$D$16, 0,FALSE), IFERROR(VLOOKUP($A759,'Exetel ExDa'!$C$2:$N$14, 0,FALSE), IFERROR(VLOOKUP($A759,'Infinet ExDa'!$B$2:$E$14, 0,FALSE), "Not Found"))))))))</f>
        <v>Not Found</v>
      </c>
    </row>
    <row r="760" spans="1:14">
      <c r="A760" t="str">
        <v>DJ Steel - Lyndarr Constructions Pty Ltd</v>
      </c>
      <c r="B760" t="str">
        <f>IFERROR(VLOOKUP(A760,'Exetel ExDa'!$C$2:$N$14,4,FALSE),"No Data")</f>
        <v>No Data</v>
      </c>
      <c r="C760" t="str">
        <f>IFERROR(VLOOKUP(A760,'AAPT ExDa'!$B$2:$U$99, 2,FALSE), IFERROR(VLOOKUP(A760,'ABB ExDa'!$A$2:$N$184, 2,FALSE), IFERROR(VLOOKUP(A760,'Vocus SIT ExDa'!$B$2:$J$173, 7,FALSE), IFERROR(VLOOKUP(A760,'Telstra ExDa'!$B$2:$K$310, 2,FALSE), IFERROR(VLOOKUP(A760,'Vocus RVC ExDa'!$C$2:$R$155, 3,FALSE), IFERROR(VLOOKUP(A760,'Fusion ExDa'!$B$2:$D$16, 2,FALSE), IFERROR(VLOOKUP(A760,'Exetel ExDa'!$C$2:$N$14, 2,FALSE), IFERROR(VLOOKUP(A760,'Infinet ExDa'!$B$2:$E$14, 2,FALSE), "Not Found"))))))))</f>
        <v xml:space="preserve">Lot 1 16 Mill Rd </v>
      </c>
      <c r="D760">
        <f>IFERROR(VLOOKUP($A760,'AAPT ExDa'!$B$2:$U$99, 15,FALSE), IFERROR(VLOOKUP($A760,'ABB ExDa'!$A$2:$N$184, 4,FALSE), IFERROR(VLOOKUP($A760,'Vocus SIT ExDa'!$B$2:$J$173, 5,FALSE), IFERROR(VLOOKUP($A760,'Telstra ExDa'!$B$2:$K$310, 8,FALSE), IFERROR(VLOOKUP($A760,'Vocus RVC ExDa'!$C$2:$R$155, 6,FALSE), IFERROR(VLOOKUP($A760,'Fusion ExDa'!$B$2:$D$16, 4,FALSE), IFERROR(VLOOKUP($A760,'Exetel ExDa'!$C$2:$N$14, 3,FALSE), IFERROR(VLOOKUP($A760,'Infinet ExDa'!$B$2:$E$14, 3,FALSE), "Not Found"))))))))</f>
        <v>4630</v>
      </c>
      <c r="E760" t="str">
        <f>IFERROR(VLOOKUP($A760,'AAPT ExDa'!$B$2:$U$99, 3,FALSE), IFERROR(VLOOKUP($A760,'ABB ExDa'!$A$2:$N$184, 5,FALSE), IFERROR(VLOOKUP($A760,'Vocus SIT ExDa'!$B$2:$J$173, 2,FALSE), IFERROR(VLOOKUP($A760,'Telstra ExDa'!$B$2:$K$310, 4,FALSE), IFERROR(VLOOKUP($A760,'Vocus RVC ExDa'!$C$2:$R$155, 8,FALSE), IFERROR(VLOOKUP($A760,'Fusion ExDa'!$B$2:$D$16, 4,FALSE), IFERROR(VLOOKUP($A760,'Exetel ExDa'!$C$2:$N$14, 5,FALSE), IFERROR(VLOOKUP($A760,'Infinet ExDa'!$B$2:$E$14, 3,FALSE), "Not Found"))))))))</f>
        <v>50Mbps/20Mbps</v>
      </c>
      <c r="F760" t="str">
        <f>IFERROR(VLOOKUP($A760,'AAPT ExDa'!$B$2:$U$99, 4,FALSE), IFERROR(VLOOKUP($A760,'ABB ExDa'!$A$2:$N$184, 6,FALSE), IFERROR(VLOOKUP($A760,'Vocus SIT ExDa'!$B$2:$J$173, 3,FALSE), IFERROR(VLOOKUP($A760,'Telstra ExDa'!$B$2:$K$310, 5,FALSE), IFERROR(VLOOKUP($A760,'Vocus RVC ExDa'!$C$2:$R$155, 9,FALSE), IFERROR(VLOOKUP($A760,'Fusion ExDa'!$B$2:$D$16, 0,FALSE), IFERROR(VLOOKUP($A760,'Exetel ExDa'!$C$2:$N$14, 6,FALSE), IFERROR(VLOOKUP($A760,'Infinet ExDa'!$B$2:$E$14, 0,FALSE), "Not Found"))))))))</f>
        <v>NBN Reseller G4 FTTC</v>
      </c>
      <c r="G760" t="str">
        <f>IFERROR(VLOOKUP($A760,'AAPT ExDa'!$B$2:$U$99, 5,FALSE), IFERROR(VLOOKUP($A760,'ABB ExDa'!$A$2:$N$184, 8,FALSE), IFERROR(VLOOKUP($A760,'Vocus SIT ExDa'!$B$2:$J$173, 6,FALSE), IFERROR(VLOOKUP($A760,'Telstra ExDa'!$B$2:$K$310, 0,FALSE), IFERROR(VLOOKUP($A760,'Vocus RVC ExDa'!$C$2:$R$155, 15,FALSE), IFERROR(VLOOKUP($A760,'Fusion ExDa'!$B$2:$D$16, 0,FALSE), IFERROR(VLOOKUP($A760,'Exetel ExDa'!$C$2:$N$14, 7,FALSE), IFERROR(VLOOKUP($A760,'Infinet ExDa'!$B$2:$E$14, 0,FALSE), "Not Found"))))))))</f>
        <v>122.148.134.162</v>
      </c>
      <c r="H760" t="str">
        <f>IFERROR(VLOOKUP($A760,'AAPT ExDa'!$B$2:$U$99, 6,FALSE), IFERROR(VLOOKUP($A760,'ABB ExDa'!$A$2:$N$184, 0,FALSE), IFERROR(VLOOKUP($A760,'Vocus SIT ExDa'!$B$2:$J$173, 0,FALSE), IFERROR(VLOOKUP($A760,'Telstra ExDa'!$B$2:$K$310, 0,FALSE), IFERROR(VLOOKUP($A760,'Vocus RVC ExDa'!$C$2:$R$155, 16,FALSE), IFERROR(VLOOKUP($A760,'Fusion ExDa'!$B$2:$D$16, 0,FALSE), IFERROR(VLOOKUP($A760,'Exetel ExDa'!$C$2:$N$14, 0,FALSE), IFERROR(VLOOKUP($A760,'Infinet ExDa'!$B$2:$E$14, 0,FALSE), "Not Found"))))))))</f>
        <v>PPPoE</v>
      </c>
      <c r="I760" t="str">
        <f>IFERROR(VLOOKUP($A760,'AAPT ExDa'!$B$2:$U$99, 0,FALSE), IFERROR(VLOOKUP($A760,'ABB ExDa'!$A$2:$N$184, 0,FALSE), IFERROR(VLOOKUP($A760,'Vocus SIT ExDa'!$B$2:$J$173, 0,FALSE), IFERROR(VLOOKUP($A760,'Telstra ExDa'!$B$2:$K$310, 0,FALSE), IFERROR(VLOOKUP($A760,'Vocus RVC ExDa'!$C$2:$R$155, 0,FALSE), IFERROR(VLOOKUP($A760,'Fusion ExDa'!$B$2:$D$16, 0,FALSE), IFERROR(VLOOKUP($A760,'Exetel ExDa'!$C$2:$N$14, 8,FALSE), IFERROR(VLOOKUP($A760,'Infinet ExDa'!$B$2:$E$14, 0,FALSE), "Not Found"))))))))</f>
        <v>Not Found</v>
      </c>
      <c r="J760" t="str">
        <f>IFERROR(VLOOKUP($A760,'AAPT ExDa'!$B$2:$U$99, 7,FALSE), IFERROR(VLOOKUP($A760,'ABB ExDa'!$A$2:$N$184, 2,FALSE), IFERROR(VLOOKUP($A760,'Vocus SIT ExDa'!$B$2:$J$173, 0,FALSE), IFERROR(VLOOKUP($A760,'Telstra ExDa'!$B$2:$K$310, 7,FALSE), IFERROR(VLOOKUP($A760,'Vocus RVC ExDa'!$C$2:$R$155, 2,FALSE), IFERROR(VLOOKUP($A760,'Fusion ExDa'!$B$2:$D$16, 3,FALSE), IFERROR(VLOOKUP($A760,'Exetel ExDa'!$C$2:$N$14, 0,FALSE), IFERROR(VLOOKUP($A760,'Infinet ExDa'!$B$2:$E$14, 0,FALSE), "Not Found"))))))))</f>
        <v>AVC000102465668</v>
      </c>
      <c r="K760" t="str">
        <f>IFERROR(VLOOKUP($A760,'AAPT ExDa'!$B$2:$U$99, 12,FALSE), IFERROR(VLOOKUP($A760,'ABB ExDa'!$A$2:$N$184, 0,FALSE), IFERROR(VLOOKUP($A760,'Vocus SIT ExDa'!$B$2:$J$173, 0,FALSE), IFERROR(VLOOKUP($A760,'Telstra ExDa'!$B$2:$K$310, 0,FALSE), IFERROR(VLOOKUP($A760,'Vocus RVC ExDa'!$C$2:$R$155, 0,FALSE), IFERROR(VLOOKUP($A760,'Fusion ExDa'!$B$2:$D$16, 0,FALSE), IFERROR(VLOOKUP($A760,'Exetel ExDa'!$C$2:$N$14, 12,FALSE), IFERROR(VLOOKUP($A760,'Infinet ExDa'!$B$2:$E$14, 0,FALSE), "Not Found"))))))))</f>
        <v>Not Found</v>
      </c>
      <c r="L760" s="235" t="str">
        <f>IFERROR(VLOOKUP($A760,'AAPT ExDa'!$B$2:$U$99, 11,FALSE), IFERROR(VLOOKUP($A760,'ABB ExDa'!$A$2:$N$184, 9,FALSE), IFERROR(VLOOKUP($A760,'Vocus SIT ExDa'!$B$2:$J$173, 8,FALSE), IFERROR(VLOOKUP($A760,'Telstra ExDa'!$B$2:$K$310, 0,FALSE), IFERROR(VLOOKUP($A760,'Vocus RVC ExDa'!$C$2:$R$155, 0,FALSE), IFERROR(VLOOKUP($A760,'Fusion ExDa'!$B$2:$D$16, 0,FALSE), IFERROR(VLOOKUP($A760,'Exetel ExDa'!$C$2:$N$14, 9,FALSE), IFERROR(VLOOKUP($A760,'Infinet ExDa'!$B$2:$E$14, 0,FALSE), "Not Found"))))))))</f>
        <v>Not Found</v>
      </c>
      <c r="M760" s="234" t="str">
        <f>IFERROR(VLOOKUP($A760,'AAPT ExDa'!$B$2:$U$99, 0,FALSE), IFERROR(VLOOKUP($A760,'ABB ExDa'!$A$2:$N$184, 0,FALSE), IFERROR(VLOOKUP($A760,'Vocus SIT ExDa'!$B$2:$J$173, 0,FALSE), IFERROR(VLOOKUP($A760,'Telstra ExDa'!$B$2:$K$310, 0,FALSE), IFERROR(VLOOKUP($A760,'Vocus RVC ExDa'!$C$2:$R$155, 0,FALSE), IFERROR(VLOOKUP($A760,'Fusion ExDa'!$B$2:$D$16, 0,FALSE), IFERROR(VLOOKUP($A760,'Exetel ExDa'!$C$2:$N$14, 11,FALSE), IFERROR(VLOOKUP($A760,'Infinet ExDa'!$B$2:$E$14, 0,FALSE), "Not Found"))))))))</f>
        <v>Not Found</v>
      </c>
      <c r="N760" t="str">
        <f>IFERROR(VLOOKUP($A760,'AAPT ExDa'!$B$2:$U$99, 0,FALSE), IFERROR(VLOOKUP($A760,'ABB ExDa'!$A$2:$N$184, 13,FALSE), IFERROR(VLOOKUP($A760,'Vocus SIT ExDa'!$B$2:$J$173, 0,FALSE), IFERROR(VLOOKUP($A760,'Telstra ExDa'!$B$2:$K$310, 0,FALSE), IFERROR(VLOOKUP($A760,'Vocus RVC ExDa'!$C$2:$R$155, 0,FALSE), IFERROR(VLOOKUP($A760,'Fusion ExDa'!$B$2:$D$16, 0,FALSE), IFERROR(VLOOKUP($A760,'Exetel ExDa'!$C$2:$N$14, 0,FALSE), IFERROR(VLOOKUP($A760,'Infinet ExDa'!$B$2:$E$14, 0,FALSE), "Not Found"))))))))</f>
        <v>Not Found</v>
      </c>
    </row>
    <row r="761" spans="1:14">
      <c r="A761" t="str">
        <v>Rochedale Doctors</v>
      </c>
      <c r="B761" t="str">
        <f>IFERROR(VLOOKUP(A761,'Exetel ExDa'!$C$2:$N$14,4,FALSE),"No Data")</f>
        <v>No Data</v>
      </c>
      <c r="C761" t="str">
        <f>IFERROR(VLOOKUP(A761,'AAPT ExDa'!$B$2:$U$99, 2,FALSE), IFERROR(VLOOKUP(A761,'ABB ExDa'!$A$2:$N$184, 2,FALSE), IFERROR(VLOOKUP(A761,'Vocus SIT ExDa'!$B$2:$J$173, 7,FALSE), IFERROR(VLOOKUP(A761,'Telstra ExDa'!$B$2:$K$310, 2,FALSE), IFERROR(VLOOKUP(A761,'Vocus RVC ExDa'!$C$2:$R$155, 3,FALSE), IFERROR(VLOOKUP(A761,'Fusion ExDa'!$B$2:$D$16, 2,FALSE), IFERROR(VLOOKUP(A761,'Exetel ExDa'!$C$2:$N$14, 2,FALSE), IFERROR(VLOOKUP(A761,'Infinet ExDa'!$B$2:$E$14, 2,FALSE), "Not Found"))))))))</f>
        <v xml:space="preserve">Tncy 10 21 Lorisch Way Rochedale (the Village </v>
      </c>
      <c r="D761">
        <f>IFERROR(VLOOKUP($A761,'AAPT ExDa'!$B$2:$U$99, 15,FALSE), IFERROR(VLOOKUP($A761,'ABB ExDa'!$A$2:$N$184, 4,FALSE), IFERROR(VLOOKUP($A761,'Vocus SIT ExDa'!$B$2:$J$173, 5,FALSE), IFERROR(VLOOKUP($A761,'Telstra ExDa'!$B$2:$K$310, 8,FALSE), IFERROR(VLOOKUP($A761,'Vocus RVC ExDa'!$C$2:$R$155, 6,FALSE), IFERROR(VLOOKUP($A761,'Fusion ExDa'!$B$2:$D$16, 4,FALSE), IFERROR(VLOOKUP($A761,'Exetel ExDa'!$C$2:$N$14, 3,FALSE), IFERROR(VLOOKUP($A761,'Infinet ExDa'!$B$2:$E$14, 3,FALSE), "Not Found"))))))))</f>
        <v>4123</v>
      </c>
      <c r="E761" t="str">
        <f>IFERROR(VLOOKUP($A761,'AAPT ExDa'!$B$2:$U$99, 3,FALSE), IFERROR(VLOOKUP($A761,'ABB ExDa'!$A$2:$N$184, 5,FALSE), IFERROR(VLOOKUP($A761,'Vocus SIT ExDa'!$B$2:$J$173, 2,FALSE), IFERROR(VLOOKUP($A761,'Telstra ExDa'!$B$2:$K$310, 4,FALSE), IFERROR(VLOOKUP($A761,'Vocus RVC ExDa'!$C$2:$R$155, 8,FALSE), IFERROR(VLOOKUP($A761,'Fusion ExDa'!$B$2:$D$16, 4,FALSE), IFERROR(VLOOKUP($A761,'Exetel ExDa'!$C$2:$N$14, 5,FALSE), IFERROR(VLOOKUP($A761,'Infinet ExDa'!$B$2:$E$14, 3,FALSE), "Not Found"))))))))</f>
        <v>100Mbps/40Mbps</v>
      </c>
      <c r="F761" t="str">
        <f>IFERROR(VLOOKUP($A761,'AAPT ExDa'!$B$2:$U$99, 4,FALSE), IFERROR(VLOOKUP($A761,'ABB ExDa'!$A$2:$N$184, 6,FALSE), IFERROR(VLOOKUP($A761,'Vocus SIT ExDa'!$B$2:$J$173, 3,FALSE), IFERROR(VLOOKUP($A761,'Telstra ExDa'!$B$2:$K$310, 5,FALSE), IFERROR(VLOOKUP($A761,'Vocus RVC ExDa'!$C$2:$R$155, 9,FALSE), IFERROR(VLOOKUP($A761,'Fusion ExDa'!$B$2:$D$16, 0,FALSE), IFERROR(VLOOKUP($A761,'Exetel ExDa'!$C$2:$N$14, 6,FALSE), IFERROR(VLOOKUP($A761,'Infinet ExDa'!$B$2:$E$14, 0,FALSE), "Not Found"))))))))</f>
        <v>NBN Reseller G4  FTTP</v>
      </c>
      <c r="G761" t="str">
        <f>IFERROR(VLOOKUP($A761,'AAPT ExDa'!$B$2:$U$99, 5,FALSE), IFERROR(VLOOKUP($A761,'ABB ExDa'!$A$2:$N$184, 8,FALSE), IFERROR(VLOOKUP($A761,'Vocus SIT ExDa'!$B$2:$J$173, 6,FALSE), IFERROR(VLOOKUP($A761,'Telstra ExDa'!$B$2:$K$310, 0,FALSE), IFERROR(VLOOKUP($A761,'Vocus RVC ExDa'!$C$2:$R$155, 15,FALSE), IFERROR(VLOOKUP($A761,'Fusion ExDa'!$B$2:$D$16, 0,FALSE), IFERROR(VLOOKUP($A761,'Exetel ExDa'!$C$2:$N$14, 7,FALSE), IFERROR(VLOOKUP($A761,'Infinet ExDa'!$B$2:$E$14, 0,FALSE), "Not Found"))))))))</f>
        <v>202.62.138.85</v>
      </c>
      <c r="H761" t="str">
        <f>IFERROR(VLOOKUP($A761,'AAPT ExDa'!$B$2:$U$99, 6,FALSE), IFERROR(VLOOKUP($A761,'ABB ExDa'!$A$2:$N$184, 0,FALSE), IFERROR(VLOOKUP($A761,'Vocus SIT ExDa'!$B$2:$J$173, 0,FALSE), IFERROR(VLOOKUP($A761,'Telstra ExDa'!$B$2:$K$310, 0,FALSE), IFERROR(VLOOKUP($A761,'Vocus RVC ExDa'!$C$2:$R$155, 16,FALSE), IFERROR(VLOOKUP($A761,'Fusion ExDa'!$B$2:$D$16, 0,FALSE), IFERROR(VLOOKUP($A761,'Exetel ExDa'!$C$2:$N$14, 0,FALSE), IFERROR(VLOOKUP($A761,'Infinet ExDa'!$B$2:$E$14, 0,FALSE), "Not Found"))))))))</f>
        <v>PPPoE</v>
      </c>
      <c r="I761" t="str">
        <f>IFERROR(VLOOKUP($A761,'AAPT ExDa'!$B$2:$U$99, 0,FALSE), IFERROR(VLOOKUP($A761,'ABB ExDa'!$A$2:$N$184, 0,FALSE), IFERROR(VLOOKUP($A761,'Vocus SIT ExDa'!$B$2:$J$173, 0,FALSE), IFERROR(VLOOKUP($A761,'Telstra ExDa'!$B$2:$K$310, 0,FALSE), IFERROR(VLOOKUP($A761,'Vocus RVC ExDa'!$C$2:$R$155, 0,FALSE), IFERROR(VLOOKUP($A761,'Fusion ExDa'!$B$2:$D$16, 0,FALSE), IFERROR(VLOOKUP($A761,'Exetel ExDa'!$C$2:$N$14, 8,FALSE), IFERROR(VLOOKUP($A761,'Infinet ExDa'!$B$2:$E$14, 0,FALSE), "Not Found"))))))))</f>
        <v>Not Found</v>
      </c>
      <c r="J761" t="str">
        <f>IFERROR(VLOOKUP($A761,'AAPT ExDa'!$B$2:$U$99, 7,FALSE), IFERROR(VLOOKUP($A761,'ABB ExDa'!$A$2:$N$184, 2,FALSE), IFERROR(VLOOKUP($A761,'Vocus SIT ExDa'!$B$2:$J$173, 0,FALSE), IFERROR(VLOOKUP($A761,'Telstra ExDa'!$B$2:$K$310, 7,FALSE), IFERROR(VLOOKUP($A761,'Vocus RVC ExDa'!$C$2:$R$155, 2,FALSE), IFERROR(VLOOKUP($A761,'Fusion ExDa'!$B$2:$D$16, 3,FALSE), IFERROR(VLOOKUP($A761,'Exetel ExDa'!$C$2:$N$14, 0,FALSE), IFERROR(VLOOKUP($A761,'Infinet ExDa'!$B$2:$E$14, 0,FALSE), "Not Found"))))))))</f>
        <v xml:space="preserve">	AVC000142166382</v>
      </c>
      <c r="K761" t="str">
        <f>IFERROR(VLOOKUP($A761,'AAPT ExDa'!$B$2:$U$99, 12,FALSE), IFERROR(VLOOKUP($A761,'ABB ExDa'!$A$2:$N$184, 0,FALSE), IFERROR(VLOOKUP($A761,'Vocus SIT ExDa'!$B$2:$J$173, 0,FALSE), IFERROR(VLOOKUP($A761,'Telstra ExDa'!$B$2:$K$310, 0,FALSE), IFERROR(VLOOKUP($A761,'Vocus RVC ExDa'!$C$2:$R$155, 0,FALSE), IFERROR(VLOOKUP($A761,'Fusion ExDa'!$B$2:$D$16, 0,FALSE), IFERROR(VLOOKUP($A761,'Exetel ExDa'!$C$2:$N$14, 12,FALSE), IFERROR(VLOOKUP($A761,'Infinet ExDa'!$B$2:$E$14, 0,FALSE), "Not Found"))))))))</f>
        <v>Not Found</v>
      </c>
      <c r="L761" s="235" t="str">
        <f>IFERROR(VLOOKUP($A761,'AAPT ExDa'!$B$2:$U$99, 11,FALSE), IFERROR(VLOOKUP($A761,'ABB ExDa'!$A$2:$N$184, 9,FALSE), IFERROR(VLOOKUP($A761,'Vocus SIT ExDa'!$B$2:$J$173, 8,FALSE), IFERROR(VLOOKUP($A761,'Telstra ExDa'!$B$2:$K$310, 0,FALSE), IFERROR(VLOOKUP($A761,'Vocus RVC ExDa'!$C$2:$R$155, 0,FALSE), IFERROR(VLOOKUP($A761,'Fusion ExDa'!$B$2:$D$16, 0,FALSE), IFERROR(VLOOKUP($A761,'Exetel ExDa'!$C$2:$N$14, 9,FALSE), IFERROR(VLOOKUP($A761,'Infinet ExDa'!$B$2:$E$14, 0,FALSE), "Not Found"))))))))</f>
        <v>Not Found</v>
      </c>
      <c r="M761" s="234" t="str">
        <f>IFERROR(VLOOKUP($A761,'AAPT ExDa'!$B$2:$U$99, 0,FALSE), IFERROR(VLOOKUP($A761,'ABB ExDa'!$A$2:$N$184, 0,FALSE), IFERROR(VLOOKUP($A761,'Vocus SIT ExDa'!$B$2:$J$173, 0,FALSE), IFERROR(VLOOKUP($A761,'Telstra ExDa'!$B$2:$K$310, 0,FALSE), IFERROR(VLOOKUP($A761,'Vocus RVC ExDa'!$C$2:$R$155, 0,FALSE), IFERROR(VLOOKUP($A761,'Fusion ExDa'!$B$2:$D$16, 0,FALSE), IFERROR(VLOOKUP($A761,'Exetel ExDa'!$C$2:$N$14, 11,FALSE), IFERROR(VLOOKUP($A761,'Infinet ExDa'!$B$2:$E$14, 0,FALSE), "Not Found"))))))))</f>
        <v>Not Found</v>
      </c>
      <c r="N761" t="str">
        <f>IFERROR(VLOOKUP($A761,'AAPT ExDa'!$B$2:$U$99, 0,FALSE), IFERROR(VLOOKUP($A761,'ABB ExDa'!$A$2:$N$184, 13,FALSE), IFERROR(VLOOKUP($A761,'Vocus SIT ExDa'!$B$2:$J$173, 0,FALSE), IFERROR(VLOOKUP($A761,'Telstra ExDa'!$B$2:$K$310, 0,FALSE), IFERROR(VLOOKUP($A761,'Vocus RVC ExDa'!$C$2:$R$155, 0,FALSE), IFERROR(VLOOKUP($A761,'Fusion ExDa'!$B$2:$D$16, 0,FALSE), IFERROR(VLOOKUP($A761,'Exetel ExDa'!$C$2:$N$14, 0,FALSE), IFERROR(VLOOKUP($A761,'Infinet ExDa'!$B$2:$E$14, 0,FALSE), "Not Found"))))))))</f>
        <v>Not Found</v>
      </c>
    </row>
    <row r="762" spans="1:14">
      <c r="A762" t="str">
        <v>Rochedale Village Doctors</v>
      </c>
      <c r="B762" t="str">
        <f>IFERROR(VLOOKUP(A762,'Exetel ExDa'!$C$2:$N$14,4,FALSE),"No Data")</f>
        <v>No Data</v>
      </c>
      <c r="C762" t="str">
        <f>IFERROR(VLOOKUP(A762,'AAPT ExDa'!$B$2:$U$99, 2,FALSE), IFERROR(VLOOKUP(A762,'ABB ExDa'!$A$2:$N$184, 2,FALSE), IFERROR(VLOOKUP(A762,'Vocus SIT ExDa'!$B$2:$J$173, 7,FALSE), IFERROR(VLOOKUP(A762,'Telstra ExDa'!$B$2:$K$310, 2,FALSE), IFERROR(VLOOKUP(A762,'Vocus RVC ExDa'!$C$2:$R$155, 3,FALSE), IFERROR(VLOOKUP(A762,'Fusion ExDa'!$B$2:$D$16, 2,FALSE), IFERROR(VLOOKUP(A762,'Exetel ExDa'!$C$2:$N$14, 2,FALSE), IFERROR(VLOOKUP(A762,'Infinet ExDa'!$B$2:$E$14, 2,FALSE), "Not Found"))))))))</f>
        <v xml:space="preserve">Shop T03 Lot 2 448 Miles Platting Rd </v>
      </c>
      <c r="D762">
        <f>IFERROR(VLOOKUP($A762,'AAPT ExDa'!$B$2:$U$99, 15,FALSE), IFERROR(VLOOKUP($A762,'ABB ExDa'!$A$2:$N$184, 4,FALSE), IFERROR(VLOOKUP($A762,'Vocus SIT ExDa'!$B$2:$J$173, 5,FALSE), IFERROR(VLOOKUP($A762,'Telstra ExDa'!$B$2:$K$310, 8,FALSE), IFERROR(VLOOKUP($A762,'Vocus RVC ExDa'!$C$2:$R$155, 6,FALSE), IFERROR(VLOOKUP($A762,'Fusion ExDa'!$B$2:$D$16, 4,FALSE), IFERROR(VLOOKUP($A762,'Exetel ExDa'!$C$2:$N$14, 3,FALSE), IFERROR(VLOOKUP($A762,'Infinet ExDa'!$B$2:$E$14, 3,FALSE), "Not Found"))))))))</f>
        <v>4123</v>
      </c>
      <c r="E762" t="str">
        <f>IFERROR(VLOOKUP($A762,'AAPT ExDa'!$B$2:$U$99, 3,FALSE), IFERROR(VLOOKUP($A762,'ABB ExDa'!$A$2:$N$184, 5,FALSE), IFERROR(VLOOKUP($A762,'Vocus SIT ExDa'!$B$2:$J$173, 2,FALSE), IFERROR(VLOOKUP($A762,'Telstra ExDa'!$B$2:$K$310, 4,FALSE), IFERROR(VLOOKUP($A762,'Vocus RVC ExDa'!$C$2:$R$155, 8,FALSE), IFERROR(VLOOKUP($A762,'Fusion ExDa'!$B$2:$D$16, 4,FALSE), IFERROR(VLOOKUP($A762,'Exetel ExDa'!$C$2:$N$14, 5,FALSE), IFERROR(VLOOKUP($A762,'Infinet ExDa'!$B$2:$E$14, 3,FALSE), "Not Found"))))))))</f>
        <v>100Mbps/40Mbps</v>
      </c>
      <c r="F762" t="str">
        <f>IFERROR(VLOOKUP($A762,'AAPT ExDa'!$B$2:$U$99, 4,FALSE), IFERROR(VLOOKUP($A762,'ABB ExDa'!$A$2:$N$184, 6,FALSE), IFERROR(VLOOKUP($A762,'Vocus SIT ExDa'!$B$2:$J$173, 3,FALSE), IFERROR(VLOOKUP($A762,'Telstra ExDa'!$B$2:$K$310, 5,FALSE), IFERROR(VLOOKUP($A762,'Vocus RVC ExDa'!$C$2:$R$155, 9,FALSE), IFERROR(VLOOKUP($A762,'Fusion ExDa'!$B$2:$D$16, 0,FALSE), IFERROR(VLOOKUP($A762,'Exetel ExDa'!$C$2:$N$14, 6,FALSE), IFERROR(VLOOKUP($A762,'Infinet ExDa'!$B$2:$E$14, 0,FALSE), "Not Found"))))))))</f>
        <v>NBN Reseller G4  FTTP</v>
      </c>
      <c r="G762" t="str">
        <f>IFERROR(VLOOKUP($A762,'AAPT ExDa'!$B$2:$U$99, 5,FALSE), IFERROR(VLOOKUP($A762,'ABB ExDa'!$A$2:$N$184, 8,FALSE), IFERROR(VLOOKUP($A762,'Vocus SIT ExDa'!$B$2:$J$173, 6,FALSE), IFERROR(VLOOKUP($A762,'Telstra ExDa'!$B$2:$K$310, 0,FALSE), IFERROR(VLOOKUP($A762,'Vocus RVC ExDa'!$C$2:$R$155, 15,FALSE), IFERROR(VLOOKUP($A762,'Fusion ExDa'!$B$2:$D$16, 0,FALSE), IFERROR(VLOOKUP($A762,'Exetel ExDa'!$C$2:$N$14, 7,FALSE), IFERROR(VLOOKUP($A762,'Infinet ExDa'!$B$2:$E$14, 0,FALSE), "Not Found"))))))))</f>
        <v>202.62.138.86</v>
      </c>
      <c r="H762" t="str">
        <f>IFERROR(VLOOKUP($A762,'AAPT ExDa'!$B$2:$U$99, 6,FALSE), IFERROR(VLOOKUP($A762,'ABB ExDa'!$A$2:$N$184, 0,FALSE), IFERROR(VLOOKUP($A762,'Vocus SIT ExDa'!$B$2:$J$173, 0,FALSE), IFERROR(VLOOKUP($A762,'Telstra ExDa'!$B$2:$K$310, 0,FALSE), IFERROR(VLOOKUP($A762,'Vocus RVC ExDa'!$C$2:$R$155, 16,FALSE), IFERROR(VLOOKUP($A762,'Fusion ExDa'!$B$2:$D$16, 0,FALSE), IFERROR(VLOOKUP($A762,'Exetel ExDa'!$C$2:$N$14, 0,FALSE), IFERROR(VLOOKUP($A762,'Infinet ExDa'!$B$2:$E$14, 0,FALSE), "Not Found"))))))))</f>
        <v>PPPoE</v>
      </c>
      <c r="I762" t="str">
        <f>IFERROR(VLOOKUP($A762,'AAPT ExDa'!$B$2:$U$99, 0,FALSE), IFERROR(VLOOKUP($A762,'ABB ExDa'!$A$2:$N$184, 0,FALSE), IFERROR(VLOOKUP($A762,'Vocus SIT ExDa'!$B$2:$J$173, 0,FALSE), IFERROR(VLOOKUP($A762,'Telstra ExDa'!$B$2:$K$310, 0,FALSE), IFERROR(VLOOKUP($A762,'Vocus RVC ExDa'!$C$2:$R$155, 0,FALSE), IFERROR(VLOOKUP($A762,'Fusion ExDa'!$B$2:$D$16, 0,FALSE), IFERROR(VLOOKUP($A762,'Exetel ExDa'!$C$2:$N$14, 8,FALSE), IFERROR(VLOOKUP($A762,'Infinet ExDa'!$B$2:$E$14, 0,FALSE), "Not Found"))))))))</f>
        <v>Not Found</v>
      </c>
      <c r="J762" t="str">
        <f>IFERROR(VLOOKUP($A762,'AAPT ExDa'!$B$2:$U$99, 7,FALSE), IFERROR(VLOOKUP($A762,'ABB ExDa'!$A$2:$N$184, 2,FALSE), IFERROR(VLOOKUP($A762,'Vocus SIT ExDa'!$B$2:$J$173, 0,FALSE), IFERROR(VLOOKUP($A762,'Telstra ExDa'!$B$2:$K$310, 7,FALSE), IFERROR(VLOOKUP($A762,'Vocus RVC ExDa'!$C$2:$R$155, 2,FALSE), IFERROR(VLOOKUP($A762,'Fusion ExDa'!$B$2:$D$16, 3,FALSE), IFERROR(VLOOKUP($A762,'Exetel ExDa'!$C$2:$N$14, 0,FALSE), IFERROR(VLOOKUP($A762,'Infinet ExDa'!$B$2:$E$14, 0,FALSE), "Not Found"))))))))</f>
        <v>AVC000142167023</v>
      </c>
      <c r="K762" t="str">
        <f>IFERROR(VLOOKUP($A762,'AAPT ExDa'!$B$2:$U$99, 12,FALSE), IFERROR(VLOOKUP($A762,'ABB ExDa'!$A$2:$N$184, 0,FALSE), IFERROR(VLOOKUP($A762,'Vocus SIT ExDa'!$B$2:$J$173, 0,FALSE), IFERROR(VLOOKUP($A762,'Telstra ExDa'!$B$2:$K$310, 0,FALSE), IFERROR(VLOOKUP($A762,'Vocus RVC ExDa'!$C$2:$R$155, 0,FALSE), IFERROR(VLOOKUP($A762,'Fusion ExDa'!$B$2:$D$16, 0,FALSE), IFERROR(VLOOKUP($A762,'Exetel ExDa'!$C$2:$N$14, 12,FALSE), IFERROR(VLOOKUP($A762,'Infinet ExDa'!$B$2:$E$14, 0,FALSE), "Not Found"))))))))</f>
        <v>Not Found</v>
      </c>
      <c r="L762" s="235" t="str">
        <f>IFERROR(VLOOKUP($A762,'AAPT ExDa'!$B$2:$U$99, 11,FALSE), IFERROR(VLOOKUP($A762,'ABB ExDa'!$A$2:$N$184, 9,FALSE), IFERROR(VLOOKUP($A762,'Vocus SIT ExDa'!$B$2:$J$173, 8,FALSE), IFERROR(VLOOKUP($A762,'Telstra ExDa'!$B$2:$K$310, 0,FALSE), IFERROR(VLOOKUP($A762,'Vocus RVC ExDa'!$C$2:$R$155, 0,FALSE), IFERROR(VLOOKUP($A762,'Fusion ExDa'!$B$2:$D$16, 0,FALSE), IFERROR(VLOOKUP($A762,'Exetel ExDa'!$C$2:$N$14, 9,FALSE), IFERROR(VLOOKUP($A762,'Infinet ExDa'!$B$2:$E$14, 0,FALSE), "Not Found"))))))))</f>
        <v>Not Found</v>
      </c>
      <c r="M762" s="234" t="str">
        <f>IFERROR(VLOOKUP($A762,'AAPT ExDa'!$B$2:$U$99, 0,FALSE), IFERROR(VLOOKUP($A762,'ABB ExDa'!$A$2:$N$184, 0,FALSE), IFERROR(VLOOKUP($A762,'Vocus SIT ExDa'!$B$2:$J$173, 0,FALSE), IFERROR(VLOOKUP($A762,'Telstra ExDa'!$B$2:$K$310, 0,FALSE), IFERROR(VLOOKUP($A762,'Vocus RVC ExDa'!$C$2:$R$155, 0,FALSE), IFERROR(VLOOKUP($A762,'Fusion ExDa'!$B$2:$D$16, 0,FALSE), IFERROR(VLOOKUP($A762,'Exetel ExDa'!$C$2:$N$14, 11,FALSE), IFERROR(VLOOKUP($A762,'Infinet ExDa'!$B$2:$E$14, 0,FALSE), "Not Found"))))))))</f>
        <v>Not Found</v>
      </c>
      <c r="N762" t="str">
        <f>IFERROR(VLOOKUP($A762,'AAPT ExDa'!$B$2:$U$99, 0,FALSE), IFERROR(VLOOKUP($A762,'ABB ExDa'!$A$2:$N$184, 13,FALSE), IFERROR(VLOOKUP($A762,'Vocus SIT ExDa'!$B$2:$J$173, 0,FALSE), IFERROR(VLOOKUP($A762,'Telstra ExDa'!$B$2:$K$310, 0,FALSE), IFERROR(VLOOKUP($A762,'Vocus RVC ExDa'!$C$2:$R$155, 0,FALSE), IFERROR(VLOOKUP($A762,'Fusion ExDa'!$B$2:$D$16, 0,FALSE), IFERROR(VLOOKUP($A762,'Exetel ExDa'!$C$2:$N$14, 0,FALSE), IFERROR(VLOOKUP($A762,'Infinet ExDa'!$B$2:$E$14, 0,FALSE), "Not Found"))))))))</f>
        <v>Not Found</v>
      </c>
    </row>
    <row r="763" spans="1:14">
      <c r="A763" t="str">
        <v>TerryWhite Chemmart Caboolture North</v>
      </c>
      <c r="B763" t="str">
        <f>IFERROR(VLOOKUP(A763,'Exetel ExDa'!$C$2:$N$14,4,FALSE),"No Data")</f>
        <v>No Data</v>
      </c>
      <c r="C763" t="str">
        <f>IFERROR(VLOOKUP(A763,'AAPT ExDa'!$B$2:$U$99, 2,FALSE), IFERROR(VLOOKUP(A763,'ABB ExDa'!$A$2:$N$184, 2,FALSE), IFERROR(VLOOKUP(A763,'Vocus SIT ExDa'!$B$2:$J$173, 7,FALSE), IFERROR(VLOOKUP(A763,'Telstra ExDa'!$B$2:$K$310, 2,FALSE), IFERROR(VLOOKUP(A763,'Vocus RVC ExDa'!$C$2:$R$155, 3,FALSE), IFERROR(VLOOKUP(A763,'Fusion ExDa'!$B$2:$D$16, 2,FALSE), IFERROR(VLOOKUP(A763,'Exetel ExDa'!$C$2:$N$14, 2,FALSE), IFERROR(VLOOKUP(A763,'Infinet ExDa'!$B$2:$E$14, 2,FALSE), "Not Found"))))))))</f>
        <v xml:space="preserve">Shop 11 1-21 Pettigrew St </v>
      </c>
      <c r="D763">
        <f>IFERROR(VLOOKUP($A763,'AAPT ExDa'!$B$2:$U$99, 15,FALSE), IFERROR(VLOOKUP($A763,'ABB ExDa'!$A$2:$N$184, 4,FALSE), IFERROR(VLOOKUP($A763,'Vocus SIT ExDa'!$B$2:$J$173, 5,FALSE), IFERROR(VLOOKUP($A763,'Telstra ExDa'!$B$2:$K$310, 8,FALSE), IFERROR(VLOOKUP($A763,'Vocus RVC ExDa'!$C$2:$R$155, 6,FALSE), IFERROR(VLOOKUP($A763,'Fusion ExDa'!$B$2:$D$16, 4,FALSE), IFERROR(VLOOKUP($A763,'Exetel ExDa'!$C$2:$N$14, 3,FALSE), IFERROR(VLOOKUP($A763,'Infinet ExDa'!$B$2:$E$14, 3,FALSE), "Not Found"))))))))</f>
        <v>4510</v>
      </c>
      <c r="E763" t="str">
        <f>IFERROR(VLOOKUP($A763,'AAPT ExDa'!$B$2:$U$99, 3,FALSE), IFERROR(VLOOKUP($A763,'ABB ExDa'!$A$2:$N$184, 5,FALSE), IFERROR(VLOOKUP($A763,'Vocus SIT ExDa'!$B$2:$J$173, 2,FALSE), IFERROR(VLOOKUP($A763,'Telstra ExDa'!$B$2:$K$310, 4,FALSE), IFERROR(VLOOKUP($A763,'Vocus RVC ExDa'!$C$2:$R$155, 8,FALSE), IFERROR(VLOOKUP($A763,'Fusion ExDa'!$B$2:$D$16, 4,FALSE), IFERROR(VLOOKUP($A763,'Exetel ExDa'!$C$2:$N$14, 5,FALSE), IFERROR(VLOOKUP($A763,'Infinet ExDa'!$B$2:$E$14, 3,FALSE), "Not Found"))))))))</f>
        <v>50Mbps/20Mbps</v>
      </c>
      <c r="F763" t="str">
        <f>IFERROR(VLOOKUP($A763,'AAPT ExDa'!$B$2:$U$99, 4,FALSE), IFERROR(VLOOKUP($A763,'ABB ExDa'!$A$2:$N$184, 6,FALSE), IFERROR(VLOOKUP($A763,'Vocus SIT ExDa'!$B$2:$J$173, 3,FALSE), IFERROR(VLOOKUP($A763,'Telstra ExDa'!$B$2:$K$310, 5,FALSE), IFERROR(VLOOKUP($A763,'Vocus RVC ExDa'!$C$2:$R$155, 9,FALSE), IFERROR(VLOOKUP($A763,'Fusion ExDa'!$B$2:$D$16, 0,FALSE), IFERROR(VLOOKUP($A763,'Exetel ExDa'!$C$2:$N$14, 6,FALSE), IFERROR(VLOOKUP($A763,'Infinet ExDa'!$B$2:$E$14, 0,FALSE), "Not Found"))))))))</f>
        <v>NBN Reseller G4 FTTN</v>
      </c>
      <c r="G763" t="str">
        <f>IFERROR(VLOOKUP($A763,'AAPT ExDa'!$B$2:$U$99, 5,FALSE), IFERROR(VLOOKUP($A763,'ABB ExDa'!$A$2:$N$184, 8,FALSE), IFERROR(VLOOKUP($A763,'Vocus SIT ExDa'!$B$2:$J$173, 6,FALSE), IFERROR(VLOOKUP($A763,'Telstra ExDa'!$B$2:$K$310, 0,FALSE), IFERROR(VLOOKUP($A763,'Vocus RVC ExDa'!$C$2:$R$155, 15,FALSE), IFERROR(VLOOKUP($A763,'Fusion ExDa'!$B$2:$D$16, 0,FALSE), IFERROR(VLOOKUP($A763,'Exetel ExDa'!$C$2:$N$14, 7,FALSE), IFERROR(VLOOKUP($A763,'Infinet ExDa'!$B$2:$E$14, 0,FALSE), "Not Found"))))))))</f>
        <v>202.62.138.99</v>
      </c>
      <c r="H763" t="str">
        <f>IFERROR(VLOOKUP($A763,'AAPT ExDa'!$B$2:$U$99, 6,FALSE), IFERROR(VLOOKUP($A763,'ABB ExDa'!$A$2:$N$184, 0,FALSE), IFERROR(VLOOKUP($A763,'Vocus SIT ExDa'!$B$2:$J$173, 0,FALSE), IFERROR(VLOOKUP($A763,'Telstra ExDa'!$B$2:$K$310, 0,FALSE), IFERROR(VLOOKUP($A763,'Vocus RVC ExDa'!$C$2:$R$155, 16,FALSE), IFERROR(VLOOKUP($A763,'Fusion ExDa'!$B$2:$D$16, 0,FALSE), IFERROR(VLOOKUP($A763,'Exetel ExDa'!$C$2:$N$14, 0,FALSE), IFERROR(VLOOKUP($A763,'Infinet ExDa'!$B$2:$E$14, 0,FALSE), "Not Found"))))))))</f>
        <v>PPPoE</v>
      </c>
      <c r="I763" t="str">
        <f>IFERROR(VLOOKUP($A763,'AAPT ExDa'!$B$2:$U$99, 0,FALSE), IFERROR(VLOOKUP($A763,'ABB ExDa'!$A$2:$N$184, 0,FALSE), IFERROR(VLOOKUP($A763,'Vocus SIT ExDa'!$B$2:$J$173, 0,FALSE), IFERROR(VLOOKUP($A763,'Telstra ExDa'!$B$2:$K$310, 0,FALSE), IFERROR(VLOOKUP($A763,'Vocus RVC ExDa'!$C$2:$R$155, 0,FALSE), IFERROR(VLOOKUP($A763,'Fusion ExDa'!$B$2:$D$16, 0,FALSE), IFERROR(VLOOKUP($A763,'Exetel ExDa'!$C$2:$N$14, 8,FALSE), IFERROR(VLOOKUP($A763,'Infinet ExDa'!$B$2:$E$14, 0,FALSE), "Not Found"))))))))</f>
        <v>Not Found</v>
      </c>
      <c r="J763" t="str">
        <f>IFERROR(VLOOKUP($A763,'AAPT ExDa'!$B$2:$U$99, 7,FALSE), IFERROR(VLOOKUP($A763,'ABB ExDa'!$A$2:$N$184, 2,FALSE), IFERROR(VLOOKUP($A763,'Vocus SIT ExDa'!$B$2:$J$173, 0,FALSE), IFERROR(VLOOKUP($A763,'Telstra ExDa'!$B$2:$K$310, 7,FALSE), IFERROR(VLOOKUP($A763,'Vocus RVC ExDa'!$C$2:$R$155, 2,FALSE), IFERROR(VLOOKUP($A763,'Fusion ExDa'!$B$2:$D$16, 3,FALSE), IFERROR(VLOOKUP($A763,'Exetel ExDa'!$C$2:$N$14, 0,FALSE), IFERROR(VLOOKUP($A763,'Infinet ExDa'!$B$2:$E$14, 0,FALSE), "Not Found"))))))))</f>
        <v xml:space="preserve">	AVC000142493653</v>
      </c>
      <c r="K763" t="str">
        <f>IFERROR(VLOOKUP($A763,'AAPT ExDa'!$B$2:$U$99, 12,FALSE), IFERROR(VLOOKUP($A763,'ABB ExDa'!$A$2:$N$184, 0,FALSE), IFERROR(VLOOKUP($A763,'Vocus SIT ExDa'!$B$2:$J$173, 0,FALSE), IFERROR(VLOOKUP($A763,'Telstra ExDa'!$B$2:$K$310, 0,FALSE), IFERROR(VLOOKUP($A763,'Vocus RVC ExDa'!$C$2:$R$155, 0,FALSE), IFERROR(VLOOKUP($A763,'Fusion ExDa'!$B$2:$D$16, 0,FALSE), IFERROR(VLOOKUP($A763,'Exetel ExDa'!$C$2:$N$14, 12,FALSE), IFERROR(VLOOKUP($A763,'Infinet ExDa'!$B$2:$E$14, 0,FALSE), "Not Found"))))))))</f>
        <v>Not Found</v>
      </c>
      <c r="L763" s="235" t="str">
        <f>IFERROR(VLOOKUP($A763,'AAPT ExDa'!$B$2:$U$99, 11,FALSE), IFERROR(VLOOKUP($A763,'ABB ExDa'!$A$2:$N$184, 9,FALSE), IFERROR(VLOOKUP($A763,'Vocus SIT ExDa'!$B$2:$J$173, 8,FALSE), IFERROR(VLOOKUP($A763,'Telstra ExDa'!$B$2:$K$310, 0,FALSE), IFERROR(VLOOKUP($A763,'Vocus RVC ExDa'!$C$2:$R$155, 0,FALSE), IFERROR(VLOOKUP($A763,'Fusion ExDa'!$B$2:$D$16, 0,FALSE), IFERROR(VLOOKUP($A763,'Exetel ExDa'!$C$2:$N$14, 9,FALSE), IFERROR(VLOOKUP($A763,'Infinet ExDa'!$B$2:$E$14, 0,FALSE), "Not Found"))))))))</f>
        <v>Not Found</v>
      </c>
      <c r="M763" s="234" t="str">
        <f>IFERROR(VLOOKUP($A763,'AAPT ExDa'!$B$2:$U$99, 0,FALSE), IFERROR(VLOOKUP($A763,'ABB ExDa'!$A$2:$N$184, 0,FALSE), IFERROR(VLOOKUP($A763,'Vocus SIT ExDa'!$B$2:$J$173, 0,FALSE), IFERROR(VLOOKUP($A763,'Telstra ExDa'!$B$2:$K$310, 0,FALSE), IFERROR(VLOOKUP($A763,'Vocus RVC ExDa'!$C$2:$R$155, 0,FALSE), IFERROR(VLOOKUP($A763,'Fusion ExDa'!$B$2:$D$16, 0,FALSE), IFERROR(VLOOKUP($A763,'Exetel ExDa'!$C$2:$N$14, 11,FALSE), IFERROR(VLOOKUP($A763,'Infinet ExDa'!$B$2:$E$14, 0,FALSE), "Not Found"))))))))</f>
        <v>Not Found</v>
      </c>
      <c r="N763" t="str">
        <f>IFERROR(VLOOKUP($A763,'AAPT ExDa'!$B$2:$U$99, 0,FALSE), IFERROR(VLOOKUP($A763,'ABB ExDa'!$A$2:$N$184, 13,FALSE), IFERROR(VLOOKUP($A763,'Vocus SIT ExDa'!$B$2:$J$173, 0,FALSE), IFERROR(VLOOKUP($A763,'Telstra ExDa'!$B$2:$K$310, 0,FALSE), IFERROR(VLOOKUP($A763,'Vocus RVC ExDa'!$C$2:$R$155, 0,FALSE), IFERROR(VLOOKUP($A763,'Fusion ExDa'!$B$2:$D$16, 0,FALSE), IFERROR(VLOOKUP($A763,'Exetel ExDa'!$C$2:$N$14, 0,FALSE), IFERROR(VLOOKUP($A763,'Infinet ExDa'!$B$2:$E$14, 0,FALSE), "Not Found"))))))))</f>
        <v>Not Found</v>
      </c>
    </row>
    <row r="764" spans="1:14">
      <c r="A764" t="str">
        <v>TerryWhite Chemmart Caboolture North</v>
      </c>
      <c r="B764" t="str">
        <f>IFERROR(VLOOKUP(A764,'Exetel ExDa'!$C$2:$N$14,4,FALSE),"No Data")</f>
        <v>No Data</v>
      </c>
      <c r="C764" t="str">
        <f>IFERROR(VLOOKUP(A764,'AAPT ExDa'!$B$2:$U$99, 2,FALSE), IFERROR(VLOOKUP(A764,'ABB ExDa'!$A$2:$N$184, 2,FALSE), IFERROR(VLOOKUP(A764,'Vocus SIT ExDa'!$B$2:$J$173, 7,FALSE), IFERROR(VLOOKUP(A764,'Telstra ExDa'!$B$2:$K$310, 2,FALSE), IFERROR(VLOOKUP(A764,'Vocus RVC ExDa'!$C$2:$R$155, 3,FALSE), IFERROR(VLOOKUP(A764,'Fusion ExDa'!$B$2:$D$16, 2,FALSE), IFERROR(VLOOKUP(A764,'Exetel ExDa'!$C$2:$N$14, 2,FALSE), IFERROR(VLOOKUP(A764,'Infinet ExDa'!$B$2:$E$14, 2,FALSE), "Not Found"))))))))</f>
        <v xml:space="preserve">Shop 11 1-21 Pettigrew St </v>
      </c>
      <c r="D764">
        <f>IFERROR(VLOOKUP($A764,'AAPT ExDa'!$B$2:$U$99, 15,FALSE), IFERROR(VLOOKUP($A764,'ABB ExDa'!$A$2:$N$184, 4,FALSE), IFERROR(VLOOKUP($A764,'Vocus SIT ExDa'!$B$2:$J$173, 5,FALSE), IFERROR(VLOOKUP($A764,'Telstra ExDa'!$B$2:$K$310, 8,FALSE), IFERROR(VLOOKUP($A764,'Vocus RVC ExDa'!$C$2:$R$155, 6,FALSE), IFERROR(VLOOKUP($A764,'Fusion ExDa'!$B$2:$D$16, 4,FALSE), IFERROR(VLOOKUP($A764,'Exetel ExDa'!$C$2:$N$14, 3,FALSE), IFERROR(VLOOKUP($A764,'Infinet ExDa'!$B$2:$E$14, 3,FALSE), "Not Found"))))))))</f>
        <v>4510</v>
      </c>
      <c r="E764" t="str">
        <f>IFERROR(VLOOKUP($A764,'AAPT ExDa'!$B$2:$U$99, 3,FALSE), IFERROR(VLOOKUP($A764,'ABB ExDa'!$A$2:$N$184, 5,FALSE), IFERROR(VLOOKUP($A764,'Vocus SIT ExDa'!$B$2:$J$173, 2,FALSE), IFERROR(VLOOKUP($A764,'Telstra ExDa'!$B$2:$K$310, 4,FALSE), IFERROR(VLOOKUP($A764,'Vocus RVC ExDa'!$C$2:$R$155, 8,FALSE), IFERROR(VLOOKUP($A764,'Fusion ExDa'!$B$2:$D$16, 4,FALSE), IFERROR(VLOOKUP($A764,'Exetel ExDa'!$C$2:$N$14, 5,FALSE), IFERROR(VLOOKUP($A764,'Infinet ExDa'!$B$2:$E$14, 3,FALSE), "Not Found"))))))))</f>
        <v>50Mbps/20Mbps</v>
      </c>
      <c r="F764" t="str">
        <f>IFERROR(VLOOKUP($A764,'AAPT ExDa'!$B$2:$U$99, 4,FALSE), IFERROR(VLOOKUP($A764,'ABB ExDa'!$A$2:$N$184, 6,FALSE), IFERROR(VLOOKUP($A764,'Vocus SIT ExDa'!$B$2:$J$173, 3,FALSE), IFERROR(VLOOKUP($A764,'Telstra ExDa'!$B$2:$K$310, 5,FALSE), IFERROR(VLOOKUP($A764,'Vocus RVC ExDa'!$C$2:$R$155, 9,FALSE), IFERROR(VLOOKUP($A764,'Fusion ExDa'!$B$2:$D$16, 0,FALSE), IFERROR(VLOOKUP($A764,'Exetel ExDa'!$C$2:$N$14, 6,FALSE), IFERROR(VLOOKUP($A764,'Infinet ExDa'!$B$2:$E$14, 0,FALSE), "Not Found"))))))))</f>
        <v>NBN Reseller G4 FTTN</v>
      </c>
      <c r="G764" t="str">
        <f>IFERROR(VLOOKUP($A764,'AAPT ExDa'!$B$2:$U$99, 5,FALSE), IFERROR(VLOOKUP($A764,'ABB ExDa'!$A$2:$N$184, 8,FALSE), IFERROR(VLOOKUP($A764,'Vocus SIT ExDa'!$B$2:$J$173, 6,FALSE), IFERROR(VLOOKUP($A764,'Telstra ExDa'!$B$2:$K$310, 0,FALSE), IFERROR(VLOOKUP($A764,'Vocus RVC ExDa'!$C$2:$R$155, 15,FALSE), IFERROR(VLOOKUP($A764,'Fusion ExDa'!$B$2:$D$16, 0,FALSE), IFERROR(VLOOKUP($A764,'Exetel ExDa'!$C$2:$N$14, 7,FALSE), IFERROR(VLOOKUP($A764,'Infinet ExDa'!$B$2:$E$14, 0,FALSE), "Not Found"))))))))</f>
        <v>202.62.138.99</v>
      </c>
      <c r="H764" t="str">
        <f>IFERROR(VLOOKUP($A764,'AAPT ExDa'!$B$2:$U$99, 6,FALSE), IFERROR(VLOOKUP($A764,'ABB ExDa'!$A$2:$N$184, 0,FALSE), IFERROR(VLOOKUP($A764,'Vocus SIT ExDa'!$B$2:$J$173, 0,FALSE), IFERROR(VLOOKUP($A764,'Telstra ExDa'!$B$2:$K$310, 0,FALSE), IFERROR(VLOOKUP($A764,'Vocus RVC ExDa'!$C$2:$R$155, 16,FALSE), IFERROR(VLOOKUP($A764,'Fusion ExDa'!$B$2:$D$16, 0,FALSE), IFERROR(VLOOKUP($A764,'Exetel ExDa'!$C$2:$N$14, 0,FALSE), IFERROR(VLOOKUP($A764,'Infinet ExDa'!$B$2:$E$14, 0,FALSE), "Not Found"))))))))</f>
        <v>PPPoE</v>
      </c>
      <c r="I764" t="str">
        <f>IFERROR(VLOOKUP($A764,'AAPT ExDa'!$B$2:$U$99, 0,FALSE), IFERROR(VLOOKUP($A764,'ABB ExDa'!$A$2:$N$184, 0,FALSE), IFERROR(VLOOKUP($A764,'Vocus SIT ExDa'!$B$2:$J$173, 0,FALSE), IFERROR(VLOOKUP($A764,'Telstra ExDa'!$B$2:$K$310, 0,FALSE), IFERROR(VLOOKUP($A764,'Vocus RVC ExDa'!$C$2:$R$155, 0,FALSE), IFERROR(VLOOKUP($A764,'Fusion ExDa'!$B$2:$D$16, 0,FALSE), IFERROR(VLOOKUP($A764,'Exetel ExDa'!$C$2:$N$14, 8,FALSE), IFERROR(VLOOKUP($A764,'Infinet ExDa'!$B$2:$E$14, 0,FALSE), "Not Found"))))))))</f>
        <v>Not Found</v>
      </c>
      <c r="J764" t="str">
        <f>IFERROR(VLOOKUP($A764,'AAPT ExDa'!$B$2:$U$99, 7,FALSE), IFERROR(VLOOKUP($A764,'ABB ExDa'!$A$2:$N$184, 2,FALSE), IFERROR(VLOOKUP($A764,'Vocus SIT ExDa'!$B$2:$J$173, 0,FALSE), IFERROR(VLOOKUP($A764,'Telstra ExDa'!$B$2:$K$310, 7,FALSE), IFERROR(VLOOKUP($A764,'Vocus RVC ExDa'!$C$2:$R$155, 2,FALSE), IFERROR(VLOOKUP($A764,'Fusion ExDa'!$B$2:$D$16, 3,FALSE), IFERROR(VLOOKUP($A764,'Exetel ExDa'!$C$2:$N$14, 0,FALSE), IFERROR(VLOOKUP($A764,'Infinet ExDa'!$B$2:$E$14, 0,FALSE), "Not Found"))))))))</f>
        <v xml:space="preserve">	AVC000142493653</v>
      </c>
      <c r="K764" t="str">
        <f>IFERROR(VLOOKUP($A764,'AAPT ExDa'!$B$2:$U$99, 12,FALSE), IFERROR(VLOOKUP($A764,'ABB ExDa'!$A$2:$N$184, 0,FALSE), IFERROR(VLOOKUP($A764,'Vocus SIT ExDa'!$B$2:$J$173, 0,FALSE), IFERROR(VLOOKUP($A764,'Telstra ExDa'!$B$2:$K$310, 0,FALSE), IFERROR(VLOOKUP($A764,'Vocus RVC ExDa'!$C$2:$R$155, 0,FALSE), IFERROR(VLOOKUP($A764,'Fusion ExDa'!$B$2:$D$16, 0,FALSE), IFERROR(VLOOKUP($A764,'Exetel ExDa'!$C$2:$N$14, 12,FALSE), IFERROR(VLOOKUP($A764,'Infinet ExDa'!$B$2:$E$14, 0,FALSE), "Not Found"))))))))</f>
        <v>Not Found</v>
      </c>
      <c r="L764" s="235" t="str">
        <f>IFERROR(VLOOKUP($A764,'AAPT ExDa'!$B$2:$U$99, 11,FALSE), IFERROR(VLOOKUP($A764,'ABB ExDa'!$A$2:$N$184, 9,FALSE), IFERROR(VLOOKUP($A764,'Vocus SIT ExDa'!$B$2:$J$173, 8,FALSE), IFERROR(VLOOKUP($A764,'Telstra ExDa'!$B$2:$K$310, 0,FALSE), IFERROR(VLOOKUP($A764,'Vocus RVC ExDa'!$C$2:$R$155, 0,FALSE), IFERROR(VLOOKUP($A764,'Fusion ExDa'!$B$2:$D$16, 0,FALSE), IFERROR(VLOOKUP($A764,'Exetel ExDa'!$C$2:$N$14, 9,FALSE), IFERROR(VLOOKUP($A764,'Infinet ExDa'!$B$2:$E$14, 0,FALSE), "Not Found"))))))))</f>
        <v>Not Found</v>
      </c>
      <c r="M764" s="234" t="str">
        <f>IFERROR(VLOOKUP($A764,'AAPT ExDa'!$B$2:$U$99, 0,FALSE), IFERROR(VLOOKUP($A764,'ABB ExDa'!$A$2:$N$184, 0,FALSE), IFERROR(VLOOKUP($A764,'Vocus SIT ExDa'!$B$2:$J$173, 0,FALSE), IFERROR(VLOOKUP($A764,'Telstra ExDa'!$B$2:$K$310, 0,FALSE), IFERROR(VLOOKUP($A764,'Vocus RVC ExDa'!$C$2:$R$155, 0,FALSE), IFERROR(VLOOKUP($A764,'Fusion ExDa'!$B$2:$D$16, 0,FALSE), IFERROR(VLOOKUP($A764,'Exetel ExDa'!$C$2:$N$14, 11,FALSE), IFERROR(VLOOKUP($A764,'Infinet ExDa'!$B$2:$E$14, 0,FALSE), "Not Found"))))))))</f>
        <v>Not Found</v>
      </c>
      <c r="N764" t="str">
        <f>IFERROR(VLOOKUP($A764,'AAPT ExDa'!$B$2:$U$99, 0,FALSE), IFERROR(VLOOKUP($A764,'ABB ExDa'!$A$2:$N$184, 13,FALSE), IFERROR(VLOOKUP($A764,'Vocus SIT ExDa'!$B$2:$J$173, 0,FALSE), IFERROR(VLOOKUP($A764,'Telstra ExDa'!$B$2:$K$310, 0,FALSE), IFERROR(VLOOKUP($A764,'Vocus RVC ExDa'!$C$2:$R$155, 0,FALSE), IFERROR(VLOOKUP($A764,'Fusion ExDa'!$B$2:$D$16, 0,FALSE), IFERROR(VLOOKUP($A764,'Exetel ExDa'!$C$2:$N$14, 0,FALSE), IFERROR(VLOOKUP($A764,'Infinet ExDa'!$B$2:$E$14, 0,FALSE), "Not Found"))))))))</f>
        <v>Not Found</v>
      </c>
    </row>
    <row r="765" spans="1:14">
      <c r="A765" t="str">
        <v>Locanda Pty Ltd</v>
      </c>
      <c r="B765" t="str">
        <f>IFERROR(VLOOKUP(A765,'Exetel ExDa'!$C$2:$N$14,4,FALSE),"No Data")</f>
        <v>No Data</v>
      </c>
      <c r="C765" t="str">
        <f>IFERROR(VLOOKUP(A765,'AAPT ExDa'!$B$2:$U$99, 2,FALSE), IFERROR(VLOOKUP(A765,'ABB ExDa'!$A$2:$N$184, 2,FALSE), IFERROR(VLOOKUP(A765,'Vocus SIT ExDa'!$B$2:$J$173, 7,FALSE), IFERROR(VLOOKUP(A765,'Telstra ExDa'!$B$2:$K$310, 2,FALSE), IFERROR(VLOOKUP(A765,'Vocus RVC ExDa'!$C$2:$R$155, 3,FALSE), IFERROR(VLOOKUP(A765,'Fusion ExDa'!$B$2:$D$16, 2,FALSE), IFERROR(VLOOKUP(A765,'Exetel ExDa'!$C$2:$N$14, 2,FALSE), IFERROR(VLOOKUP(A765,'Infinet ExDa'!$B$2:$E$14, 2,FALSE), "Not Found"))))))))</f>
        <v xml:space="preserve">Shop 7 62 Hastings St </v>
      </c>
      <c r="D765">
        <f>IFERROR(VLOOKUP($A765,'AAPT ExDa'!$B$2:$U$99, 15,FALSE), IFERROR(VLOOKUP($A765,'ABB ExDa'!$A$2:$N$184, 4,FALSE), IFERROR(VLOOKUP($A765,'Vocus SIT ExDa'!$B$2:$J$173, 5,FALSE), IFERROR(VLOOKUP($A765,'Telstra ExDa'!$B$2:$K$310, 8,FALSE), IFERROR(VLOOKUP($A765,'Vocus RVC ExDa'!$C$2:$R$155, 6,FALSE), IFERROR(VLOOKUP($A765,'Fusion ExDa'!$B$2:$D$16, 4,FALSE), IFERROR(VLOOKUP($A765,'Exetel ExDa'!$C$2:$N$14, 3,FALSE), IFERROR(VLOOKUP($A765,'Infinet ExDa'!$B$2:$E$14, 3,FALSE), "Not Found"))))))))</f>
        <v>4567</v>
      </c>
      <c r="E765" t="str">
        <f>IFERROR(VLOOKUP($A765,'AAPT ExDa'!$B$2:$U$99, 3,FALSE), IFERROR(VLOOKUP($A765,'ABB ExDa'!$A$2:$N$184, 5,FALSE), IFERROR(VLOOKUP($A765,'Vocus SIT ExDa'!$B$2:$J$173, 2,FALSE), IFERROR(VLOOKUP($A765,'Telstra ExDa'!$B$2:$K$310, 4,FALSE), IFERROR(VLOOKUP($A765,'Vocus RVC ExDa'!$C$2:$R$155, 8,FALSE), IFERROR(VLOOKUP($A765,'Fusion ExDa'!$B$2:$D$16, 4,FALSE), IFERROR(VLOOKUP($A765,'Exetel ExDa'!$C$2:$N$14, 5,FALSE), IFERROR(VLOOKUP($A765,'Infinet ExDa'!$B$2:$E$14, 3,FALSE), "Not Found"))))))))</f>
        <v>50Mbps/20Mbps</v>
      </c>
      <c r="F765" t="str">
        <f>IFERROR(VLOOKUP($A765,'AAPT ExDa'!$B$2:$U$99, 4,FALSE), IFERROR(VLOOKUP($A765,'ABB ExDa'!$A$2:$N$184, 6,FALSE), IFERROR(VLOOKUP($A765,'Vocus SIT ExDa'!$B$2:$J$173, 3,FALSE), IFERROR(VLOOKUP($A765,'Telstra ExDa'!$B$2:$K$310, 5,FALSE), IFERROR(VLOOKUP($A765,'Vocus RVC ExDa'!$C$2:$R$155, 9,FALSE), IFERROR(VLOOKUP($A765,'Fusion ExDa'!$B$2:$D$16, 0,FALSE), IFERROR(VLOOKUP($A765,'Exetel ExDa'!$C$2:$N$14, 6,FALSE), IFERROR(VLOOKUP($A765,'Infinet ExDa'!$B$2:$E$14, 0,FALSE), "Not Found"))))))))</f>
        <v>NBN Reseller G4 FTTN</v>
      </c>
      <c r="G765" t="str">
        <f>IFERROR(VLOOKUP($A765,'AAPT ExDa'!$B$2:$U$99, 5,FALSE), IFERROR(VLOOKUP($A765,'ABB ExDa'!$A$2:$N$184, 8,FALSE), IFERROR(VLOOKUP($A765,'Vocus SIT ExDa'!$B$2:$J$173, 6,FALSE), IFERROR(VLOOKUP($A765,'Telstra ExDa'!$B$2:$K$310, 0,FALSE), IFERROR(VLOOKUP($A765,'Vocus RVC ExDa'!$C$2:$R$155, 15,FALSE), IFERROR(VLOOKUP($A765,'Fusion ExDa'!$B$2:$D$16, 0,FALSE), IFERROR(VLOOKUP($A765,'Exetel ExDa'!$C$2:$N$14, 7,FALSE), IFERROR(VLOOKUP($A765,'Infinet ExDa'!$B$2:$E$14, 0,FALSE), "Not Found"))))))))</f>
        <v>139.218.116.193</v>
      </c>
      <c r="H765" t="str">
        <f>IFERROR(VLOOKUP($A765,'AAPT ExDa'!$B$2:$U$99, 6,FALSE), IFERROR(VLOOKUP($A765,'ABB ExDa'!$A$2:$N$184, 0,FALSE), IFERROR(VLOOKUP($A765,'Vocus SIT ExDa'!$B$2:$J$173, 0,FALSE), IFERROR(VLOOKUP($A765,'Telstra ExDa'!$B$2:$K$310, 0,FALSE), IFERROR(VLOOKUP($A765,'Vocus RVC ExDa'!$C$2:$R$155, 16,FALSE), IFERROR(VLOOKUP($A765,'Fusion ExDa'!$B$2:$D$16, 0,FALSE), IFERROR(VLOOKUP($A765,'Exetel ExDa'!$C$2:$N$14, 0,FALSE), IFERROR(VLOOKUP($A765,'Infinet ExDa'!$B$2:$E$14, 0,FALSE), "Not Found"))))))))</f>
        <v>PPPoE</v>
      </c>
      <c r="I765" t="str">
        <f>IFERROR(VLOOKUP($A765,'AAPT ExDa'!$B$2:$U$99, 0,FALSE), IFERROR(VLOOKUP($A765,'ABB ExDa'!$A$2:$N$184, 0,FALSE), IFERROR(VLOOKUP($A765,'Vocus SIT ExDa'!$B$2:$J$173, 0,FALSE), IFERROR(VLOOKUP($A765,'Telstra ExDa'!$B$2:$K$310, 0,FALSE), IFERROR(VLOOKUP($A765,'Vocus RVC ExDa'!$C$2:$R$155, 0,FALSE), IFERROR(VLOOKUP($A765,'Fusion ExDa'!$B$2:$D$16, 0,FALSE), IFERROR(VLOOKUP($A765,'Exetel ExDa'!$C$2:$N$14, 8,FALSE), IFERROR(VLOOKUP($A765,'Infinet ExDa'!$B$2:$E$14, 0,FALSE), "Not Found"))))))))</f>
        <v>Not Found</v>
      </c>
      <c r="J765" t="str">
        <f>IFERROR(VLOOKUP($A765,'AAPT ExDa'!$B$2:$U$99, 7,FALSE), IFERROR(VLOOKUP($A765,'ABB ExDa'!$A$2:$N$184, 2,FALSE), IFERROR(VLOOKUP($A765,'Vocus SIT ExDa'!$B$2:$J$173, 0,FALSE), IFERROR(VLOOKUP($A765,'Telstra ExDa'!$B$2:$K$310, 7,FALSE), IFERROR(VLOOKUP($A765,'Vocus RVC ExDa'!$C$2:$R$155, 2,FALSE), IFERROR(VLOOKUP($A765,'Fusion ExDa'!$B$2:$D$16, 3,FALSE), IFERROR(VLOOKUP($A765,'Exetel ExDa'!$C$2:$N$14, 0,FALSE), IFERROR(VLOOKUP($A765,'Infinet ExDa'!$B$2:$E$14, 0,FALSE), "Not Found"))))))))</f>
        <v xml:space="preserve">	AVC000132307172</v>
      </c>
      <c r="K765" t="str">
        <f>IFERROR(VLOOKUP($A765,'AAPT ExDa'!$B$2:$U$99, 12,FALSE), IFERROR(VLOOKUP($A765,'ABB ExDa'!$A$2:$N$184, 0,FALSE), IFERROR(VLOOKUP($A765,'Vocus SIT ExDa'!$B$2:$J$173, 0,FALSE), IFERROR(VLOOKUP($A765,'Telstra ExDa'!$B$2:$K$310, 0,FALSE), IFERROR(VLOOKUP($A765,'Vocus RVC ExDa'!$C$2:$R$155, 0,FALSE), IFERROR(VLOOKUP($A765,'Fusion ExDa'!$B$2:$D$16, 0,FALSE), IFERROR(VLOOKUP($A765,'Exetel ExDa'!$C$2:$N$14, 12,FALSE), IFERROR(VLOOKUP($A765,'Infinet ExDa'!$B$2:$E$14, 0,FALSE), "Not Found"))))))))</f>
        <v>Not Found</v>
      </c>
      <c r="L765" s="235" t="str">
        <f>IFERROR(VLOOKUP($A765,'AAPT ExDa'!$B$2:$U$99, 11,FALSE), IFERROR(VLOOKUP($A765,'ABB ExDa'!$A$2:$N$184, 9,FALSE), IFERROR(VLOOKUP($A765,'Vocus SIT ExDa'!$B$2:$J$173, 8,FALSE), IFERROR(VLOOKUP($A765,'Telstra ExDa'!$B$2:$K$310, 0,FALSE), IFERROR(VLOOKUP($A765,'Vocus RVC ExDa'!$C$2:$R$155, 0,FALSE), IFERROR(VLOOKUP($A765,'Fusion ExDa'!$B$2:$D$16, 0,FALSE), IFERROR(VLOOKUP($A765,'Exetel ExDa'!$C$2:$N$14, 9,FALSE), IFERROR(VLOOKUP($A765,'Infinet ExDa'!$B$2:$E$14, 0,FALSE), "Not Found"))))))))</f>
        <v>Not Found</v>
      </c>
      <c r="M765" s="234" t="str">
        <f>IFERROR(VLOOKUP($A765,'AAPT ExDa'!$B$2:$U$99, 0,FALSE), IFERROR(VLOOKUP($A765,'ABB ExDa'!$A$2:$N$184, 0,FALSE), IFERROR(VLOOKUP($A765,'Vocus SIT ExDa'!$B$2:$J$173, 0,FALSE), IFERROR(VLOOKUP($A765,'Telstra ExDa'!$B$2:$K$310, 0,FALSE), IFERROR(VLOOKUP($A765,'Vocus RVC ExDa'!$C$2:$R$155, 0,FALSE), IFERROR(VLOOKUP($A765,'Fusion ExDa'!$B$2:$D$16, 0,FALSE), IFERROR(VLOOKUP($A765,'Exetel ExDa'!$C$2:$N$14, 11,FALSE), IFERROR(VLOOKUP($A765,'Infinet ExDa'!$B$2:$E$14, 0,FALSE), "Not Found"))))))))</f>
        <v>Not Found</v>
      </c>
      <c r="N765" t="str">
        <f>IFERROR(VLOOKUP($A765,'AAPT ExDa'!$B$2:$U$99, 0,FALSE), IFERROR(VLOOKUP($A765,'ABB ExDa'!$A$2:$N$184, 13,FALSE), IFERROR(VLOOKUP($A765,'Vocus SIT ExDa'!$B$2:$J$173, 0,FALSE), IFERROR(VLOOKUP($A765,'Telstra ExDa'!$B$2:$K$310, 0,FALSE), IFERROR(VLOOKUP($A765,'Vocus RVC ExDa'!$C$2:$R$155, 0,FALSE), IFERROR(VLOOKUP($A765,'Fusion ExDa'!$B$2:$D$16, 0,FALSE), IFERROR(VLOOKUP($A765,'Exetel ExDa'!$C$2:$N$14, 0,FALSE), IFERROR(VLOOKUP($A765,'Infinet ExDa'!$B$2:$E$14, 0,FALSE), "Not Found"))))))))</f>
        <v>Not Found</v>
      </c>
    </row>
    <row r="766" spans="1:14">
      <c r="A766" t="str">
        <v>TerryWhite Chemmart Oxenford</v>
      </c>
      <c r="B766" t="str">
        <f>IFERROR(VLOOKUP(A766,'Exetel ExDa'!$C$2:$N$14,4,FALSE),"No Data")</f>
        <v>No Data</v>
      </c>
      <c r="C766" t="str">
        <f>IFERROR(VLOOKUP(A766,'AAPT ExDa'!$B$2:$U$99, 2,FALSE), IFERROR(VLOOKUP(A766,'ABB ExDa'!$A$2:$N$184, 2,FALSE), IFERROR(VLOOKUP(A766,'Vocus SIT ExDa'!$B$2:$J$173, 7,FALSE), IFERROR(VLOOKUP(A766,'Telstra ExDa'!$B$2:$K$310, 2,FALSE), IFERROR(VLOOKUP(A766,'Vocus RVC ExDa'!$C$2:$R$155, 3,FALSE), IFERROR(VLOOKUP(A766,'Fusion ExDa'!$B$2:$D$16, 2,FALSE), IFERROR(VLOOKUP(A766,'Exetel ExDa'!$C$2:$N$14, 2,FALSE), IFERROR(VLOOKUP(A766,'Infinet ExDa'!$B$2:$E$14, 2,FALSE), "Not Found"))))))))</f>
        <v xml:space="preserve">Shop 7 5 Michigan Dr </v>
      </c>
      <c r="D766">
        <f>IFERROR(VLOOKUP($A766,'AAPT ExDa'!$B$2:$U$99, 15,FALSE), IFERROR(VLOOKUP($A766,'ABB ExDa'!$A$2:$N$184, 4,FALSE), IFERROR(VLOOKUP($A766,'Vocus SIT ExDa'!$B$2:$J$173, 5,FALSE), IFERROR(VLOOKUP($A766,'Telstra ExDa'!$B$2:$K$310, 8,FALSE), IFERROR(VLOOKUP($A766,'Vocus RVC ExDa'!$C$2:$R$155, 6,FALSE), IFERROR(VLOOKUP($A766,'Fusion ExDa'!$B$2:$D$16, 4,FALSE), IFERROR(VLOOKUP($A766,'Exetel ExDa'!$C$2:$N$14, 3,FALSE), IFERROR(VLOOKUP($A766,'Infinet ExDa'!$B$2:$E$14, 3,FALSE), "Not Found"))))))))</f>
        <v>4210</v>
      </c>
      <c r="E766" t="str">
        <f>IFERROR(VLOOKUP($A766,'AAPT ExDa'!$B$2:$U$99, 3,FALSE), IFERROR(VLOOKUP($A766,'ABB ExDa'!$A$2:$N$184, 5,FALSE), IFERROR(VLOOKUP($A766,'Vocus SIT ExDa'!$B$2:$J$173, 2,FALSE), IFERROR(VLOOKUP($A766,'Telstra ExDa'!$B$2:$K$310, 4,FALSE), IFERROR(VLOOKUP($A766,'Vocus RVC ExDa'!$C$2:$R$155, 8,FALSE), IFERROR(VLOOKUP($A766,'Fusion ExDa'!$B$2:$D$16, 4,FALSE), IFERROR(VLOOKUP($A766,'Exetel ExDa'!$C$2:$N$14, 5,FALSE), IFERROR(VLOOKUP($A766,'Infinet ExDa'!$B$2:$E$14, 3,FALSE), "Not Found"))))))))</f>
        <v>100Mbps/40Mbps</v>
      </c>
      <c r="F766" t="str">
        <f>IFERROR(VLOOKUP($A766,'AAPT ExDa'!$B$2:$U$99, 4,FALSE), IFERROR(VLOOKUP($A766,'ABB ExDa'!$A$2:$N$184, 6,FALSE), IFERROR(VLOOKUP($A766,'Vocus SIT ExDa'!$B$2:$J$173, 3,FALSE), IFERROR(VLOOKUP($A766,'Telstra ExDa'!$B$2:$K$310, 5,FALSE), IFERROR(VLOOKUP($A766,'Vocus RVC ExDa'!$C$2:$R$155, 9,FALSE), IFERROR(VLOOKUP($A766,'Fusion ExDa'!$B$2:$D$16, 0,FALSE), IFERROR(VLOOKUP($A766,'Exetel ExDa'!$C$2:$N$14, 6,FALSE), IFERROR(VLOOKUP($A766,'Infinet ExDa'!$B$2:$E$14, 0,FALSE), "Not Found"))))))))</f>
        <v>NBN Reseller G4 HFC</v>
      </c>
      <c r="G766" t="str">
        <f>IFERROR(VLOOKUP($A766,'AAPT ExDa'!$B$2:$U$99, 5,FALSE), IFERROR(VLOOKUP($A766,'ABB ExDa'!$A$2:$N$184, 8,FALSE), IFERROR(VLOOKUP($A766,'Vocus SIT ExDa'!$B$2:$J$173, 6,FALSE), IFERROR(VLOOKUP($A766,'Telstra ExDa'!$B$2:$K$310, 0,FALSE), IFERROR(VLOOKUP($A766,'Vocus RVC ExDa'!$C$2:$R$155, 15,FALSE), IFERROR(VLOOKUP($A766,'Fusion ExDa'!$B$2:$D$16, 0,FALSE), IFERROR(VLOOKUP($A766,'Exetel ExDa'!$C$2:$N$14, 7,FALSE), IFERROR(VLOOKUP($A766,'Infinet ExDa'!$B$2:$E$14, 0,FALSE), "Not Found"))))))))</f>
        <v>202.62.138.106</v>
      </c>
      <c r="H766" t="str">
        <f>IFERROR(VLOOKUP($A766,'AAPT ExDa'!$B$2:$U$99, 6,FALSE), IFERROR(VLOOKUP($A766,'ABB ExDa'!$A$2:$N$184, 0,FALSE), IFERROR(VLOOKUP($A766,'Vocus SIT ExDa'!$B$2:$J$173, 0,FALSE), IFERROR(VLOOKUP($A766,'Telstra ExDa'!$B$2:$K$310, 0,FALSE), IFERROR(VLOOKUP($A766,'Vocus RVC ExDa'!$C$2:$R$155, 16,FALSE), IFERROR(VLOOKUP($A766,'Fusion ExDa'!$B$2:$D$16, 0,FALSE), IFERROR(VLOOKUP($A766,'Exetel ExDa'!$C$2:$N$14, 0,FALSE), IFERROR(VLOOKUP($A766,'Infinet ExDa'!$B$2:$E$14, 0,FALSE), "Not Found"))))))))</f>
        <v>PPPoE</v>
      </c>
      <c r="I766" t="str">
        <f>IFERROR(VLOOKUP($A766,'AAPT ExDa'!$B$2:$U$99, 0,FALSE), IFERROR(VLOOKUP($A766,'ABB ExDa'!$A$2:$N$184, 0,FALSE), IFERROR(VLOOKUP($A766,'Vocus SIT ExDa'!$B$2:$J$173, 0,FALSE), IFERROR(VLOOKUP($A766,'Telstra ExDa'!$B$2:$K$310, 0,FALSE), IFERROR(VLOOKUP($A766,'Vocus RVC ExDa'!$C$2:$R$155, 0,FALSE), IFERROR(VLOOKUP($A766,'Fusion ExDa'!$B$2:$D$16, 0,FALSE), IFERROR(VLOOKUP($A766,'Exetel ExDa'!$C$2:$N$14, 8,FALSE), IFERROR(VLOOKUP($A766,'Infinet ExDa'!$B$2:$E$14, 0,FALSE), "Not Found"))))))))</f>
        <v>Not Found</v>
      </c>
      <c r="J766" t="str">
        <f>IFERROR(VLOOKUP($A766,'AAPT ExDa'!$B$2:$U$99, 7,FALSE), IFERROR(VLOOKUP($A766,'ABB ExDa'!$A$2:$N$184, 2,FALSE), IFERROR(VLOOKUP($A766,'Vocus SIT ExDa'!$B$2:$J$173, 0,FALSE), IFERROR(VLOOKUP($A766,'Telstra ExDa'!$B$2:$K$310, 7,FALSE), IFERROR(VLOOKUP($A766,'Vocus RVC ExDa'!$C$2:$R$155, 2,FALSE), IFERROR(VLOOKUP($A766,'Fusion ExDa'!$B$2:$D$16, 3,FALSE), IFERROR(VLOOKUP($A766,'Exetel ExDa'!$C$2:$N$14, 0,FALSE), IFERROR(VLOOKUP($A766,'Infinet ExDa'!$B$2:$E$14, 0,FALSE), "Not Found"))))))))</f>
        <v>AVC400036477257</v>
      </c>
      <c r="K766" t="str">
        <f>IFERROR(VLOOKUP($A766,'AAPT ExDa'!$B$2:$U$99, 12,FALSE), IFERROR(VLOOKUP($A766,'ABB ExDa'!$A$2:$N$184, 0,FALSE), IFERROR(VLOOKUP($A766,'Vocus SIT ExDa'!$B$2:$J$173, 0,FALSE), IFERROR(VLOOKUP($A766,'Telstra ExDa'!$B$2:$K$310, 0,FALSE), IFERROR(VLOOKUP($A766,'Vocus RVC ExDa'!$C$2:$R$155, 0,FALSE), IFERROR(VLOOKUP($A766,'Fusion ExDa'!$B$2:$D$16, 0,FALSE), IFERROR(VLOOKUP($A766,'Exetel ExDa'!$C$2:$N$14, 12,FALSE), IFERROR(VLOOKUP($A766,'Infinet ExDa'!$B$2:$E$14, 0,FALSE), "Not Found"))))))))</f>
        <v>Not Found</v>
      </c>
      <c r="L766" s="235" t="str">
        <f>IFERROR(VLOOKUP($A766,'AAPT ExDa'!$B$2:$U$99, 11,FALSE), IFERROR(VLOOKUP($A766,'ABB ExDa'!$A$2:$N$184, 9,FALSE), IFERROR(VLOOKUP($A766,'Vocus SIT ExDa'!$B$2:$J$173, 8,FALSE), IFERROR(VLOOKUP($A766,'Telstra ExDa'!$B$2:$K$310, 0,FALSE), IFERROR(VLOOKUP($A766,'Vocus RVC ExDa'!$C$2:$R$155, 0,FALSE), IFERROR(VLOOKUP($A766,'Fusion ExDa'!$B$2:$D$16, 0,FALSE), IFERROR(VLOOKUP($A766,'Exetel ExDa'!$C$2:$N$14, 9,FALSE), IFERROR(VLOOKUP($A766,'Infinet ExDa'!$B$2:$E$14, 0,FALSE), "Not Found"))))))))</f>
        <v>Not Found</v>
      </c>
      <c r="M766" s="234" t="str">
        <f>IFERROR(VLOOKUP($A766,'AAPT ExDa'!$B$2:$U$99, 0,FALSE), IFERROR(VLOOKUP($A766,'ABB ExDa'!$A$2:$N$184, 0,FALSE), IFERROR(VLOOKUP($A766,'Vocus SIT ExDa'!$B$2:$J$173, 0,FALSE), IFERROR(VLOOKUP($A766,'Telstra ExDa'!$B$2:$K$310, 0,FALSE), IFERROR(VLOOKUP($A766,'Vocus RVC ExDa'!$C$2:$R$155, 0,FALSE), IFERROR(VLOOKUP($A766,'Fusion ExDa'!$B$2:$D$16, 0,FALSE), IFERROR(VLOOKUP($A766,'Exetel ExDa'!$C$2:$N$14, 11,FALSE), IFERROR(VLOOKUP($A766,'Infinet ExDa'!$B$2:$E$14, 0,FALSE), "Not Found"))))))))</f>
        <v>Not Found</v>
      </c>
      <c r="N766" t="str">
        <f>IFERROR(VLOOKUP($A766,'AAPT ExDa'!$B$2:$U$99, 0,FALSE), IFERROR(VLOOKUP($A766,'ABB ExDa'!$A$2:$N$184, 13,FALSE), IFERROR(VLOOKUP($A766,'Vocus SIT ExDa'!$B$2:$J$173, 0,FALSE), IFERROR(VLOOKUP($A766,'Telstra ExDa'!$B$2:$K$310, 0,FALSE), IFERROR(VLOOKUP($A766,'Vocus RVC ExDa'!$C$2:$R$155, 0,FALSE), IFERROR(VLOOKUP($A766,'Fusion ExDa'!$B$2:$D$16, 0,FALSE), IFERROR(VLOOKUP($A766,'Exetel ExDa'!$C$2:$N$14, 0,FALSE), IFERROR(VLOOKUP($A766,'Infinet ExDa'!$B$2:$E$14, 0,FALSE), "Not Found"))))))))</f>
        <v>Not Found</v>
      </c>
    </row>
    <row r="767" spans="1:14">
      <c r="A767">
        <v>0</v>
      </c>
      <c r="B767" t="str">
        <f>IFERROR(VLOOKUP(A767,'Exetel ExDa'!$C$2:$N$14,4,FALSE),"No Data")</f>
        <v>No Data</v>
      </c>
      <c r="C767" t="str">
        <f>IFERROR(VLOOKUP(A767,'AAPT ExDa'!$B$2:$U$99, 2,FALSE), IFERROR(VLOOKUP(A767,'ABB ExDa'!$A$2:$N$184, 2,FALSE), IFERROR(VLOOKUP(A767,'Vocus SIT ExDa'!$B$2:$J$173, 7,FALSE), IFERROR(VLOOKUP(A767,'Telstra ExDa'!$B$2:$K$310, 2,FALSE), IFERROR(VLOOKUP(A767,'Vocus RVC ExDa'!$C$2:$R$155, 3,FALSE), IFERROR(VLOOKUP(A767,'Fusion ExDa'!$B$2:$D$16, 2,FALSE), IFERROR(VLOOKUP(A767,'Exetel ExDa'!$C$2:$N$14, 2,FALSE), IFERROR(VLOOKUP(A767,'Infinet ExDa'!$B$2:$E$14, 2,FALSE), "Not Found"))))))))</f>
        <v>Not Found</v>
      </c>
      <c r="D767" t="str">
        <f>IFERROR(VLOOKUP($A767,'AAPT ExDa'!$B$2:$U$99, 15,FALSE), IFERROR(VLOOKUP($A767,'ABB ExDa'!$A$2:$N$184, 4,FALSE), IFERROR(VLOOKUP($A767,'Vocus SIT ExDa'!$B$2:$J$173, 5,FALSE), IFERROR(VLOOKUP($A767,'Telstra ExDa'!$B$2:$K$310, 8,FALSE), IFERROR(VLOOKUP($A767,'Vocus RVC ExDa'!$C$2:$R$155, 6,FALSE), IFERROR(VLOOKUP($A767,'Fusion ExDa'!$B$2:$D$16, 4,FALSE), IFERROR(VLOOKUP($A767,'Exetel ExDa'!$C$2:$N$14, 3,FALSE), IFERROR(VLOOKUP($A767,'Infinet ExDa'!$B$2:$E$14, 3,FALSE), "Not Found"))))))))</f>
        <v>Not Found</v>
      </c>
      <c r="E767" t="str">
        <f>IFERROR(VLOOKUP($A767,'AAPT ExDa'!$B$2:$U$99, 3,FALSE), IFERROR(VLOOKUP($A767,'ABB ExDa'!$A$2:$N$184, 5,FALSE), IFERROR(VLOOKUP($A767,'Vocus SIT ExDa'!$B$2:$J$173, 2,FALSE), IFERROR(VLOOKUP($A767,'Telstra ExDa'!$B$2:$K$310, 4,FALSE), IFERROR(VLOOKUP($A767,'Vocus RVC ExDa'!$C$2:$R$155, 8,FALSE), IFERROR(VLOOKUP($A767,'Fusion ExDa'!$B$2:$D$16, 4,FALSE), IFERROR(VLOOKUP($A767,'Exetel ExDa'!$C$2:$N$14, 5,FALSE), IFERROR(VLOOKUP($A767,'Infinet ExDa'!$B$2:$E$14, 3,FALSE), "Not Found"))))))))</f>
        <v>Not Found</v>
      </c>
      <c r="F767" t="str">
        <f>IFERROR(VLOOKUP($A767,'AAPT ExDa'!$B$2:$U$99, 4,FALSE), IFERROR(VLOOKUP($A767,'ABB ExDa'!$A$2:$N$184, 6,FALSE), IFERROR(VLOOKUP($A767,'Vocus SIT ExDa'!$B$2:$J$173, 3,FALSE), IFERROR(VLOOKUP($A767,'Telstra ExDa'!$B$2:$K$310, 5,FALSE), IFERROR(VLOOKUP($A767,'Vocus RVC ExDa'!$C$2:$R$155, 9,FALSE), IFERROR(VLOOKUP($A767,'Fusion ExDa'!$B$2:$D$16, 0,FALSE), IFERROR(VLOOKUP($A767,'Exetel ExDa'!$C$2:$N$14, 6,FALSE), IFERROR(VLOOKUP($A767,'Infinet ExDa'!$B$2:$E$14, 0,FALSE), "Not Found"))))))))</f>
        <v>Not Found</v>
      </c>
      <c r="G767" t="str">
        <f>IFERROR(VLOOKUP($A767,'AAPT ExDa'!$B$2:$U$99, 5,FALSE), IFERROR(VLOOKUP($A767,'ABB ExDa'!$A$2:$N$184, 8,FALSE), IFERROR(VLOOKUP($A767,'Vocus SIT ExDa'!$B$2:$J$173, 6,FALSE), IFERROR(VLOOKUP($A767,'Telstra ExDa'!$B$2:$K$310, 0,FALSE), IFERROR(VLOOKUP($A767,'Vocus RVC ExDa'!$C$2:$R$155, 15,FALSE), IFERROR(VLOOKUP($A767,'Fusion ExDa'!$B$2:$D$16, 0,FALSE), IFERROR(VLOOKUP($A767,'Exetel ExDa'!$C$2:$N$14, 7,FALSE), IFERROR(VLOOKUP($A767,'Infinet ExDa'!$B$2:$E$14, 0,FALSE), "Not Found"))))))))</f>
        <v>Not Found</v>
      </c>
      <c r="H767" t="str">
        <f>IFERROR(VLOOKUP($A767,'AAPT ExDa'!$B$2:$U$99, 6,FALSE), IFERROR(VLOOKUP($A767,'ABB ExDa'!$A$2:$N$184, 0,FALSE), IFERROR(VLOOKUP($A767,'Vocus SIT ExDa'!$B$2:$J$173, 0,FALSE), IFERROR(VLOOKUP($A767,'Telstra ExDa'!$B$2:$K$310, 0,FALSE), IFERROR(VLOOKUP($A767,'Vocus RVC ExDa'!$C$2:$R$155, 16,FALSE), IFERROR(VLOOKUP($A767,'Fusion ExDa'!$B$2:$D$16, 0,FALSE), IFERROR(VLOOKUP($A767,'Exetel ExDa'!$C$2:$N$14, 0,FALSE), IFERROR(VLOOKUP($A767,'Infinet ExDa'!$B$2:$E$14, 0,FALSE), "Not Found"))))))))</f>
        <v>Not Found</v>
      </c>
      <c r="I767" t="str">
        <f>IFERROR(VLOOKUP($A767,'AAPT ExDa'!$B$2:$U$99, 0,FALSE), IFERROR(VLOOKUP($A767,'ABB ExDa'!$A$2:$N$184, 0,FALSE), IFERROR(VLOOKUP($A767,'Vocus SIT ExDa'!$B$2:$J$173, 0,FALSE), IFERROR(VLOOKUP($A767,'Telstra ExDa'!$B$2:$K$310, 0,FALSE), IFERROR(VLOOKUP($A767,'Vocus RVC ExDa'!$C$2:$R$155, 0,FALSE), IFERROR(VLOOKUP($A767,'Fusion ExDa'!$B$2:$D$16, 0,FALSE), IFERROR(VLOOKUP($A767,'Exetel ExDa'!$C$2:$N$14, 8,FALSE), IFERROR(VLOOKUP($A767,'Infinet ExDa'!$B$2:$E$14, 0,FALSE), "Not Found"))))))))</f>
        <v>Not Found</v>
      </c>
      <c r="J767" t="str">
        <f>IFERROR(VLOOKUP($A767,'AAPT ExDa'!$B$2:$U$99, 7,FALSE), IFERROR(VLOOKUP($A767,'ABB ExDa'!$A$2:$N$184, 2,FALSE), IFERROR(VLOOKUP($A767,'Vocus SIT ExDa'!$B$2:$J$173, 0,FALSE), IFERROR(VLOOKUP($A767,'Telstra ExDa'!$B$2:$K$310, 7,FALSE), IFERROR(VLOOKUP($A767,'Vocus RVC ExDa'!$C$2:$R$155, 2,FALSE), IFERROR(VLOOKUP($A767,'Fusion ExDa'!$B$2:$D$16, 3,FALSE), IFERROR(VLOOKUP($A767,'Exetel ExDa'!$C$2:$N$14, 0,FALSE), IFERROR(VLOOKUP($A767,'Infinet ExDa'!$B$2:$E$14, 0,FALSE), "Not Found"))))))))</f>
        <v>Not Found</v>
      </c>
      <c r="K767" t="str">
        <f>IFERROR(VLOOKUP($A767,'AAPT ExDa'!$B$2:$U$99, 12,FALSE), IFERROR(VLOOKUP($A767,'ABB ExDa'!$A$2:$N$184, 0,FALSE), IFERROR(VLOOKUP($A767,'Vocus SIT ExDa'!$B$2:$J$173, 0,FALSE), IFERROR(VLOOKUP($A767,'Telstra ExDa'!$B$2:$K$310, 0,FALSE), IFERROR(VLOOKUP($A767,'Vocus RVC ExDa'!$C$2:$R$155, 0,FALSE), IFERROR(VLOOKUP($A767,'Fusion ExDa'!$B$2:$D$16, 0,FALSE), IFERROR(VLOOKUP($A767,'Exetel ExDa'!$C$2:$N$14, 12,FALSE), IFERROR(VLOOKUP($A767,'Infinet ExDa'!$B$2:$E$14, 0,FALSE), "Not Found"))))))))</f>
        <v>Not Found</v>
      </c>
      <c r="L767" s="235" t="str">
        <f>IFERROR(VLOOKUP($A767,'AAPT ExDa'!$B$2:$U$99, 11,FALSE), IFERROR(VLOOKUP($A767,'ABB ExDa'!$A$2:$N$184, 9,FALSE), IFERROR(VLOOKUP($A767,'Vocus SIT ExDa'!$B$2:$J$173, 8,FALSE), IFERROR(VLOOKUP($A767,'Telstra ExDa'!$B$2:$K$310, 0,FALSE), IFERROR(VLOOKUP($A767,'Vocus RVC ExDa'!$C$2:$R$155, 0,FALSE), IFERROR(VLOOKUP($A767,'Fusion ExDa'!$B$2:$D$16, 0,FALSE), IFERROR(VLOOKUP($A767,'Exetel ExDa'!$C$2:$N$14, 9,FALSE), IFERROR(VLOOKUP($A767,'Infinet ExDa'!$B$2:$E$14, 0,FALSE), "Not Found"))))))))</f>
        <v>Not Found</v>
      </c>
      <c r="M767" s="234" t="str">
        <f>IFERROR(VLOOKUP($A767,'AAPT ExDa'!$B$2:$U$99, 0,FALSE), IFERROR(VLOOKUP($A767,'ABB ExDa'!$A$2:$N$184, 0,FALSE), IFERROR(VLOOKUP($A767,'Vocus SIT ExDa'!$B$2:$J$173, 0,FALSE), IFERROR(VLOOKUP($A767,'Telstra ExDa'!$B$2:$K$310, 0,FALSE), IFERROR(VLOOKUP($A767,'Vocus RVC ExDa'!$C$2:$R$155, 0,FALSE), IFERROR(VLOOKUP($A767,'Fusion ExDa'!$B$2:$D$16, 0,FALSE), IFERROR(VLOOKUP($A767,'Exetel ExDa'!$C$2:$N$14, 11,FALSE), IFERROR(VLOOKUP($A767,'Infinet ExDa'!$B$2:$E$14, 0,FALSE), "Not Found"))))))))</f>
        <v>Not Found</v>
      </c>
      <c r="N767" t="str">
        <f>IFERROR(VLOOKUP($A767,'AAPT ExDa'!$B$2:$U$99, 0,FALSE), IFERROR(VLOOKUP($A767,'ABB ExDa'!$A$2:$N$184, 13,FALSE), IFERROR(VLOOKUP($A767,'Vocus SIT ExDa'!$B$2:$J$173, 0,FALSE), IFERROR(VLOOKUP($A767,'Telstra ExDa'!$B$2:$K$310, 0,FALSE), IFERROR(VLOOKUP($A767,'Vocus RVC ExDa'!$C$2:$R$155, 0,FALSE), IFERROR(VLOOKUP($A767,'Fusion ExDa'!$B$2:$D$16, 0,FALSE), IFERROR(VLOOKUP($A767,'Exetel ExDa'!$C$2:$N$14, 0,FALSE), IFERROR(VLOOKUP($A767,'Infinet ExDa'!$B$2:$E$14, 0,FALSE), "Not Found"))))))))</f>
        <v>Not Found</v>
      </c>
    </row>
    <row r="768" spans="1:14">
      <c r="A768" t="str">
        <v>Firstcare Doctors Pty Ltd</v>
      </c>
      <c r="B768" t="str">
        <f>IFERROR(VLOOKUP(A768,'Exetel ExDa'!$C$2:$N$14,4,FALSE),"No Data")</f>
        <v>No Data</v>
      </c>
      <c r="C768" t="str">
        <f>IFERROR(VLOOKUP(A768,'AAPT ExDa'!$B$2:$U$99, 2,FALSE), IFERROR(VLOOKUP(A768,'ABB ExDa'!$A$2:$N$184, 2,FALSE), IFERROR(VLOOKUP(A768,'Vocus SIT ExDa'!$B$2:$J$173, 7,FALSE), IFERROR(VLOOKUP(A768,'Telstra ExDa'!$B$2:$K$310, 2,FALSE), IFERROR(VLOOKUP(A768,'Vocus RVC ExDa'!$C$2:$R$155, 3,FALSE), IFERROR(VLOOKUP(A768,'Fusion ExDa'!$B$2:$D$16, 2,FALSE), IFERROR(VLOOKUP(A768,'Exetel ExDa'!$C$2:$N$14, 2,FALSE), IFERROR(VLOOKUP(A768,'Infinet ExDa'!$B$2:$E$14, 2,FALSE), "Not Found"))))))))</f>
        <v xml:space="preserve">Unit A 181 Elizabeth St </v>
      </c>
      <c r="D768">
        <f>IFERROR(VLOOKUP($A768,'AAPT ExDa'!$B$2:$U$99, 15,FALSE), IFERROR(VLOOKUP($A768,'ABB ExDa'!$A$2:$N$184, 4,FALSE), IFERROR(VLOOKUP($A768,'Vocus SIT ExDa'!$B$2:$J$173, 5,FALSE), IFERROR(VLOOKUP($A768,'Telstra ExDa'!$B$2:$K$310, 8,FALSE), IFERROR(VLOOKUP($A768,'Vocus RVC ExDa'!$C$2:$R$155, 6,FALSE), IFERROR(VLOOKUP($A768,'Fusion ExDa'!$B$2:$D$16, 4,FALSE), IFERROR(VLOOKUP($A768,'Exetel ExDa'!$C$2:$N$14, 3,FALSE), IFERROR(VLOOKUP($A768,'Infinet ExDa'!$B$2:$E$14, 3,FALSE), "Not Found"))))))))</f>
        <v>4000</v>
      </c>
      <c r="E768" t="str">
        <f>IFERROR(VLOOKUP($A768,'AAPT ExDa'!$B$2:$U$99, 3,FALSE), IFERROR(VLOOKUP($A768,'ABB ExDa'!$A$2:$N$184, 5,FALSE), IFERROR(VLOOKUP($A768,'Vocus SIT ExDa'!$B$2:$J$173, 2,FALSE), IFERROR(VLOOKUP($A768,'Telstra ExDa'!$B$2:$K$310, 4,FALSE), IFERROR(VLOOKUP($A768,'Vocus RVC ExDa'!$C$2:$R$155, 8,FALSE), IFERROR(VLOOKUP($A768,'Fusion ExDa'!$B$2:$D$16, 4,FALSE), IFERROR(VLOOKUP($A768,'Exetel ExDa'!$C$2:$N$14, 5,FALSE), IFERROR(VLOOKUP($A768,'Infinet ExDa'!$B$2:$E$14, 3,FALSE), "Not Found"))))))))</f>
        <v>50Mbps/20Mbps</v>
      </c>
      <c r="F768" t="str">
        <f>IFERROR(VLOOKUP($A768,'AAPT ExDa'!$B$2:$U$99, 4,FALSE), IFERROR(VLOOKUP($A768,'ABB ExDa'!$A$2:$N$184, 6,FALSE), IFERROR(VLOOKUP($A768,'Vocus SIT ExDa'!$B$2:$J$173, 3,FALSE), IFERROR(VLOOKUP($A768,'Telstra ExDa'!$B$2:$K$310, 5,FALSE), IFERROR(VLOOKUP($A768,'Vocus RVC ExDa'!$C$2:$R$155, 9,FALSE), IFERROR(VLOOKUP($A768,'Fusion ExDa'!$B$2:$D$16, 0,FALSE), IFERROR(VLOOKUP($A768,'Exetel ExDa'!$C$2:$N$14, 6,FALSE), IFERROR(VLOOKUP($A768,'Infinet ExDa'!$B$2:$E$14, 0,FALSE), "Not Found"))))))))</f>
        <v>NBN Reseller G4 FTTC</v>
      </c>
      <c r="G768" t="str">
        <f>IFERROR(VLOOKUP($A768,'AAPT ExDa'!$B$2:$U$99, 5,FALSE), IFERROR(VLOOKUP($A768,'ABB ExDa'!$A$2:$N$184, 8,FALSE), IFERROR(VLOOKUP($A768,'Vocus SIT ExDa'!$B$2:$J$173, 6,FALSE), IFERROR(VLOOKUP($A768,'Telstra ExDa'!$B$2:$K$310, 0,FALSE), IFERROR(VLOOKUP($A768,'Vocus RVC ExDa'!$C$2:$R$155, 15,FALSE), IFERROR(VLOOKUP($A768,'Fusion ExDa'!$B$2:$D$16, 0,FALSE), IFERROR(VLOOKUP($A768,'Exetel ExDa'!$C$2:$N$14, 7,FALSE), IFERROR(VLOOKUP($A768,'Infinet ExDa'!$B$2:$E$14, 0,FALSE), "Not Found"))))))))</f>
        <v>202.62.138.96</v>
      </c>
      <c r="H768" t="str">
        <f>IFERROR(VLOOKUP($A768,'AAPT ExDa'!$B$2:$U$99, 6,FALSE), IFERROR(VLOOKUP($A768,'ABB ExDa'!$A$2:$N$184, 0,FALSE), IFERROR(VLOOKUP($A768,'Vocus SIT ExDa'!$B$2:$J$173, 0,FALSE), IFERROR(VLOOKUP($A768,'Telstra ExDa'!$B$2:$K$310, 0,FALSE), IFERROR(VLOOKUP($A768,'Vocus RVC ExDa'!$C$2:$R$155, 16,FALSE), IFERROR(VLOOKUP($A768,'Fusion ExDa'!$B$2:$D$16, 0,FALSE), IFERROR(VLOOKUP($A768,'Exetel ExDa'!$C$2:$N$14, 0,FALSE), IFERROR(VLOOKUP($A768,'Infinet ExDa'!$B$2:$E$14, 0,FALSE), "Not Found"))))))))</f>
        <v>PPPoE</v>
      </c>
      <c r="I768" t="str">
        <f>IFERROR(VLOOKUP($A768,'AAPT ExDa'!$B$2:$U$99, 0,FALSE), IFERROR(VLOOKUP($A768,'ABB ExDa'!$A$2:$N$184, 0,FALSE), IFERROR(VLOOKUP($A768,'Vocus SIT ExDa'!$B$2:$J$173, 0,FALSE), IFERROR(VLOOKUP($A768,'Telstra ExDa'!$B$2:$K$310, 0,FALSE), IFERROR(VLOOKUP($A768,'Vocus RVC ExDa'!$C$2:$R$155, 0,FALSE), IFERROR(VLOOKUP($A768,'Fusion ExDa'!$B$2:$D$16, 0,FALSE), IFERROR(VLOOKUP($A768,'Exetel ExDa'!$C$2:$N$14, 8,FALSE), IFERROR(VLOOKUP($A768,'Infinet ExDa'!$B$2:$E$14, 0,FALSE), "Not Found"))))))))</f>
        <v>Not Found</v>
      </c>
      <c r="J768" t="str">
        <f>IFERROR(VLOOKUP($A768,'AAPT ExDa'!$B$2:$U$99, 7,FALSE), IFERROR(VLOOKUP($A768,'ABB ExDa'!$A$2:$N$184, 2,FALSE), IFERROR(VLOOKUP($A768,'Vocus SIT ExDa'!$B$2:$J$173, 0,FALSE), IFERROR(VLOOKUP($A768,'Telstra ExDa'!$B$2:$K$310, 7,FALSE), IFERROR(VLOOKUP($A768,'Vocus RVC ExDa'!$C$2:$R$155, 2,FALSE), IFERROR(VLOOKUP($A768,'Fusion ExDa'!$B$2:$D$16, 3,FALSE), IFERROR(VLOOKUP($A768,'Exetel ExDa'!$C$2:$N$14, 0,FALSE), IFERROR(VLOOKUP($A768,'Infinet ExDa'!$B$2:$E$14, 0,FALSE), "Not Found"))))))))</f>
        <v>AVC000145427184</v>
      </c>
      <c r="K768" t="str">
        <f>IFERROR(VLOOKUP($A768,'AAPT ExDa'!$B$2:$U$99, 12,FALSE), IFERROR(VLOOKUP($A768,'ABB ExDa'!$A$2:$N$184, 0,FALSE), IFERROR(VLOOKUP($A768,'Vocus SIT ExDa'!$B$2:$J$173, 0,FALSE), IFERROR(VLOOKUP($A768,'Telstra ExDa'!$B$2:$K$310, 0,FALSE), IFERROR(VLOOKUP($A768,'Vocus RVC ExDa'!$C$2:$R$155, 0,FALSE), IFERROR(VLOOKUP($A768,'Fusion ExDa'!$B$2:$D$16, 0,FALSE), IFERROR(VLOOKUP($A768,'Exetel ExDa'!$C$2:$N$14, 12,FALSE), IFERROR(VLOOKUP($A768,'Infinet ExDa'!$B$2:$E$14, 0,FALSE), "Not Found"))))))))</f>
        <v>Not Found</v>
      </c>
      <c r="L768" s="235" t="str">
        <f>IFERROR(VLOOKUP($A768,'AAPT ExDa'!$B$2:$U$99, 11,FALSE), IFERROR(VLOOKUP($A768,'ABB ExDa'!$A$2:$N$184, 9,FALSE), IFERROR(VLOOKUP($A768,'Vocus SIT ExDa'!$B$2:$J$173, 8,FALSE), IFERROR(VLOOKUP($A768,'Telstra ExDa'!$B$2:$K$310, 0,FALSE), IFERROR(VLOOKUP($A768,'Vocus RVC ExDa'!$C$2:$R$155, 0,FALSE), IFERROR(VLOOKUP($A768,'Fusion ExDa'!$B$2:$D$16, 0,FALSE), IFERROR(VLOOKUP($A768,'Exetel ExDa'!$C$2:$N$14, 9,FALSE), IFERROR(VLOOKUP($A768,'Infinet ExDa'!$B$2:$E$14, 0,FALSE), "Not Found"))))))))</f>
        <v>Not Found</v>
      </c>
      <c r="M768" s="234" t="str">
        <f>IFERROR(VLOOKUP($A768,'AAPT ExDa'!$B$2:$U$99, 0,FALSE), IFERROR(VLOOKUP($A768,'ABB ExDa'!$A$2:$N$184, 0,FALSE), IFERROR(VLOOKUP($A768,'Vocus SIT ExDa'!$B$2:$J$173, 0,FALSE), IFERROR(VLOOKUP($A768,'Telstra ExDa'!$B$2:$K$310, 0,FALSE), IFERROR(VLOOKUP($A768,'Vocus RVC ExDa'!$C$2:$R$155, 0,FALSE), IFERROR(VLOOKUP($A768,'Fusion ExDa'!$B$2:$D$16, 0,FALSE), IFERROR(VLOOKUP($A768,'Exetel ExDa'!$C$2:$N$14, 11,FALSE), IFERROR(VLOOKUP($A768,'Infinet ExDa'!$B$2:$E$14, 0,FALSE), "Not Found"))))))))</f>
        <v>Not Found</v>
      </c>
      <c r="N768" t="str">
        <f>IFERROR(VLOOKUP($A768,'AAPT ExDa'!$B$2:$U$99, 0,FALSE), IFERROR(VLOOKUP($A768,'ABB ExDa'!$A$2:$N$184, 13,FALSE), IFERROR(VLOOKUP($A768,'Vocus SIT ExDa'!$B$2:$J$173, 0,FALSE), IFERROR(VLOOKUP($A768,'Telstra ExDa'!$B$2:$K$310, 0,FALSE), IFERROR(VLOOKUP($A768,'Vocus RVC ExDa'!$C$2:$R$155, 0,FALSE), IFERROR(VLOOKUP($A768,'Fusion ExDa'!$B$2:$D$16, 0,FALSE), IFERROR(VLOOKUP($A768,'Exetel ExDa'!$C$2:$N$14, 0,FALSE), IFERROR(VLOOKUP($A768,'Infinet ExDa'!$B$2:$E$14, 0,FALSE), "Not Found"))))))))</f>
        <v>Not Found</v>
      </c>
    </row>
    <row r="769" spans="1:14">
      <c r="A769" t="str">
        <v>WorkFit Medical Australia</v>
      </c>
      <c r="B769" t="str">
        <f>IFERROR(VLOOKUP(A769,'Exetel ExDa'!$C$2:$N$14,4,FALSE),"No Data")</f>
        <v>No Data</v>
      </c>
      <c r="C769" t="str">
        <f>IFERROR(VLOOKUP(A769,'AAPT ExDa'!$B$2:$U$99, 2,FALSE), IFERROR(VLOOKUP(A769,'ABB ExDa'!$A$2:$N$184, 2,FALSE), IFERROR(VLOOKUP(A769,'Vocus SIT ExDa'!$B$2:$J$173, 7,FALSE), IFERROR(VLOOKUP(A769,'Telstra ExDa'!$B$2:$K$310, 2,FALSE), IFERROR(VLOOKUP(A769,'Vocus RVC ExDa'!$C$2:$R$155, 3,FALSE), IFERROR(VLOOKUP(A769,'Fusion ExDa'!$B$2:$D$16, 2,FALSE), IFERROR(VLOOKUP(A769,'Exetel ExDa'!$C$2:$N$14, 2,FALSE), IFERROR(VLOOKUP(A769,'Infinet ExDa'!$B$2:$E$14, 2,FALSE), "Not Found"))))))))</f>
        <v xml:space="preserve">Unit A 181 Elizabeth St </v>
      </c>
      <c r="D769">
        <f>IFERROR(VLOOKUP($A769,'AAPT ExDa'!$B$2:$U$99, 15,FALSE), IFERROR(VLOOKUP($A769,'ABB ExDa'!$A$2:$N$184, 4,FALSE), IFERROR(VLOOKUP($A769,'Vocus SIT ExDa'!$B$2:$J$173, 5,FALSE), IFERROR(VLOOKUP($A769,'Telstra ExDa'!$B$2:$K$310, 8,FALSE), IFERROR(VLOOKUP($A769,'Vocus RVC ExDa'!$C$2:$R$155, 6,FALSE), IFERROR(VLOOKUP($A769,'Fusion ExDa'!$B$2:$D$16, 4,FALSE), IFERROR(VLOOKUP($A769,'Exetel ExDa'!$C$2:$N$14, 3,FALSE), IFERROR(VLOOKUP($A769,'Infinet ExDa'!$B$2:$E$14, 3,FALSE), "Not Found"))))))))</f>
        <v>4000</v>
      </c>
      <c r="E769" t="str">
        <f>IFERROR(VLOOKUP($A769,'AAPT ExDa'!$B$2:$U$99, 3,FALSE), IFERROR(VLOOKUP($A769,'ABB ExDa'!$A$2:$N$184, 5,FALSE), IFERROR(VLOOKUP($A769,'Vocus SIT ExDa'!$B$2:$J$173, 2,FALSE), IFERROR(VLOOKUP($A769,'Telstra ExDa'!$B$2:$K$310, 4,FALSE), IFERROR(VLOOKUP($A769,'Vocus RVC ExDa'!$C$2:$R$155, 8,FALSE), IFERROR(VLOOKUP($A769,'Fusion ExDa'!$B$2:$D$16, 4,FALSE), IFERROR(VLOOKUP($A769,'Exetel ExDa'!$C$2:$N$14, 5,FALSE), IFERROR(VLOOKUP($A769,'Infinet ExDa'!$B$2:$E$14, 3,FALSE), "Not Found"))))))))</f>
        <v>50Mbps/20Mbps</v>
      </c>
      <c r="F769" t="str">
        <f>IFERROR(VLOOKUP($A769,'AAPT ExDa'!$B$2:$U$99, 4,FALSE), IFERROR(VLOOKUP($A769,'ABB ExDa'!$A$2:$N$184, 6,FALSE), IFERROR(VLOOKUP($A769,'Vocus SIT ExDa'!$B$2:$J$173, 3,FALSE), IFERROR(VLOOKUP($A769,'Telstra ExDa'!$B$2:$K$310, 5,FALSE), IFERROR(VLOOKUP($A769,'Vocus RVC ExDa'!$C$2:$R$155, 9,FALSE), IFERROR(VLOOKUP($A769,'Fusion ExDa'!$B$2:$D$16, 0,FALSE), IFERROR(VLOOKUP($A769,'Exetel ExDa'!$C$2:$N$14, 6,FALSE), IFERROR(VLOOKUP($A769,'Infinet ExDa'!$B$2:$E$14, 0,FALSE), "Not Found"))))))))</f>
        <v>NBN Reseller G4 FTTC</v>
      </c>
      <c r="G769" t="str">
        <f>IFERROR(VLOOKUP($A769,'AAPT ExDa'!$B$2:$U$99, 5,FALSE), IFERROR(VLOOKUP($A769,'ABB ExDa'!$A$2:$N$184, 8,FALSE), IFERROR(VLOOKUP($A769,'Vocus SIT ExDa'!$B$2:$J$173, 6,FALSE), IFERROR(VLOOKUP($A769,'Telstra ExDa'!$B$2:$K$310, 0,FALSE), IFERROR(VLOOKUP($A769,'Vocus RVC ExDa'!$C$2:$R$155, 15,FALSE), IFERROR(VLOOKUP($A769,'Fusion ExDa'!$B$2:$D$16, 0,FALSE), IFERROR(VLOOKUP($A769,'Exetel ExDa'!$C$2:$N$14, 7,FALSE), IFERROR(VLOOKUP($A769,'Infinet ExDa'!$B$2:$E$14, 0,FALSE), "Not Found"))))))))</f>
        <v>202.62.138.97</v>
      </c>
      <c r="H769" t="str">
        <f>IFERROR(VLOOKUP($A769,'AAPT ExDa'!$B$2:$U$99, 6,FALSE), IFERROR(VLOOKUP($A769,'ABB ExDa'!$A$2:$N$184, 0,FALSE), IFERROR(VLOOKUP($A769,'Vocus SIT ExDa'!$B$2:$J$173, 0,FALSE), IFERROR(VLOOKUP($A769,'Telstra ExDa'!$B$2:$K$310, 0,FALSE), IFERROR(VLOOKUP($A769,'Vocus RVC ExDa'!$C$2:$R$155, 16,FALSE), IFERROR(VLOOKUP($A769,'Fusion ExDa'!$B$2:$D$16, 0,FALSE), IFERROR(VLOOKUP($A769,'Exetel ExDa'!$C$2:$N$14, 0,FALSE), IFERROR(VLOOKUP($A769,'Infinet ExDa'!$B$2:$E$14, 0,FALSE), "Not Found"))))))))</f>
        <v>PPPoE</v>
      </c>
      <c r="I769" t="str">
        <f>IFERROR(VLOOKUP($A769,'AAPT ExDa'!$B$2:$U$99, 0,FALSE), IFERROR(VLOOKUP($A769,'ABB ExDa'!$A$2:$N$184, 0,FALSE), IFERROR(VLOOKUP($A769,'Vocus SIT ExDa'!$B$2:$J$173, 0,FALSE), IFERROR(VLOOKUP($A769,'Telstra ExDa'!$B$2:$K$310, 0,FALSE), IFERROR(VLOOKUP($A769,'Vocus RVC ExDa'!$C$2:$R$155, 0,FALSE), IFERROR(VLOOKUP($A769,'Fusion ExDa'!$B$2:$D$16, 0,FALSE), IFERROR(VLOOKUP($A769,'Exetel ExDa'!$C$2:$N$14, 8,FALSE), IFERROR(VLOOKUP($A769,'Infinet ExDa'!$B$2:$E$14, 0,FALSE), "Not Found"))))))))</f>
        <v>Not Found</v>
      </c>
      <c r="J769" t="str">
        <f>IFERROR(VLOOKUP($A769,'AAPT ExDa'!$B$2:$U$99, 7,FALSE), IFERROR(VLOOKUP($A769,'ABB ExDa'!$A$2:$N$184, 2,FALSE), IFERROR(VLOOKUP($A769,'Vocus SIT ExDa'!$B$2:$J$173, 0,FALSE), IFERROR(VLOOKUP($A769,'Telstra ExDa'!$B$2:$K$310, 7,FALSE), IFERROR(VLOOKUP($A769,'Vocus RVC ExDa'!$C$2:$R$155, 2,FALSE), IFERROR(VLOOKUP($A769,'Fusion ExDa'!$B$2:$D$16, 3,FALSE), IFERROR(VLOOKUP($A769,'Exetel ExDa'!$C$2:$N$14, 0,FALSE), IFERROR(VLOOKUP($A769,'Infinet ExDa'!$B$2:$E$14, 0,FALSE), "Not Found"))))))))</f>
        <v xml:space="preserve">	AVC000145741930</v>
      </c>
      <c r="K769" t="str">
        <f>IFERROR(VLOOKUP($A769,'AAPT ExDa'!$B$2:$U$99, 12,FALSE), IFERROR(VLOOKUP($A769,'ABB ExDa'!$A$2:$N$184, 0,FALSE), IFERROR(VLOOKUP($A769,'Vocus SIT ExDa'!$B$2:$J$173, 0,FALSE), IFERROR(VLOOKUP($A769,'Telstra ExDa'!$B$2:$K$310, 0,FALSE), IFERROR(VLOOKUP($A769,'Vocus RVC ExDa'!$C$2:$R$155, 0,FALSE), IFERROR(VLOOKUP($A769,'Fusion ExDa'!$B$2:$D$16, 0,FALSE), IFERROR(VLOOKUP($A769,'Exetel ExDa'!$C$2:$N$14, 12,FALSE), IFERROR(VLOOKUP($A769,'Infinet ExDa'!$B$2:$E$14, 0,FALSE), "Not Found"))))))))</f>
        <v>Not Found</v>
      </c>
      <c r="L769" s="235" t="str">
        <f>IFERROR(VLOOKUP($A769,'AAPT ExDa'!$B$2:$U$99, 11,FALSE), IFERROR(VLOOKUP($A769,'ABB ExDa'!$A$2:$N$184, 9,FALSE), IFERROR(VLOOKUP($A769,'Vocus SIT ExDa'!$B$2:$J$173, 8,FALSE), IFERROR(VLOOKUP($A769,'Telstra ExDa'!$B$2:$K$310, 0,FALSE), IFERROR(VLOOKUP($A769,'Vocus RVC ExDa'!$C$2:$R$155, 0,FALSE), IFERROR(VLOOKUP($A769,'Fusion ExDa'!$B$2:$D$16, 0,FALSE), IFERROR(VLOOKUP($A769,'Exetel ExDa'!$C$2:$N$14, 9,FALSE), IFERROR(VLOOKUP($A769,'Infinet ExDa'!$B$2:$E$14, 0,FALSE), "Not Found"))))))))</f>
        <v>Not Found</v>
      </c>
      <c r="M769" s="234" t="str">
        <f>IFERROR(VLOOKUP($A769,'AAPT ExDa'!$B$2:$U$99, 0,FALSE), IFERROR(VLOOKUP($A769,'ABB ExDa'!$A$2:$N$184, 0,FALSE), IFERROR(VLOOKUP($A769,'Vocus SIT ExDa'!$B$2:$J$173, 0,FALSE), IFERROR(VLOOKUP($A769,'Telstra ExDa'!$B$2:$K$310, 0,FALSE), IFERROR(VLOOKUP($A769,'Vocus RVC ExDa'!$C$2:$R$155, 0,FALSE), IFERROR(VLOOKUP($A769,'Fusion ExDa'!$B$2:$D$16, 0,FALSE), IFERROR(VLOOKUP($A769,'Exetel ExDa'!$C$2:$N$14, 11,FALSE), IFERROR(VLOOKUP($A769,'Infinet ExDa'!$B$2:$E$14, 0,FALSE), "Not Found"))))))))</f>
        <v>Not Found</v>
      </c>
      <c r="N769" t="str">
        <f>IFERROR(VLOOKUP($A769,'AAPT ExDa'!$B$2:$U$99, 0,FALSE), IFERROR(VLOOKUP($A769,'ABB ExDa'!$A$2:$N$184, 13,FALSE), IFERROR(VLOOKUP($A769,'Vocus SIT ExDa'!$B$2:$J$173, 0,FALSE), IFERROR(VLOOKUP($A769,'Telstra ExDa'!$B$2:$K$310, 0,FALSE), IFERROR(VLOOKUP($A769,'Vocus RVC ExDa'!$C$2:$R$155, 0,FALSE), IFERROR(VLOOKUP($A769,'Fusion ExDa'!$B$2:$D$16, 0,FALSE), IFERROR(VLOOKUP($A769,'Exetel ExDa'!$C$2:$N$14, 0,FALSE), IFERROR(VLOOKUP($A769,'Infinet ExDa'!$B$2:$E$14, 0,FALSE), "Not Found"))))))))</f>
        <v>Not Found</v>
      </c>
    </row>
    <row r="770" spans="1:14">
      <c r="A770" t="str">
        <v>Coastal Dental Specialists</v>
      </c>
      <c r="B770" t="str">
        <f>IFERROR(VLOOKUP(A770,'Exetel ExDa'!$C$2:$N$14,4,FALSE),"No Data")</f>
        <v>No Data</v>
      </c>
      <c r="C770" t="str">
        <f>IFERROR(VLOOKUP(A770,'AAPT ExDa'!$B$2:$U$99, 2,FALSE), IFERROR(VLOOKUP(A770,'ABB ExDa'!$A$2:$N$184, 2,FALSE), IFERROR(VLOOKUP(A770,'Vocus SIT ExDa'!$B$2:$J$173, 7,FALSE), IFERROR(VLOOKUP(A770,'Telstra ExDa'!$B$2:$K$310, 2,FALSE), IFERROR(VLOOKUP(A770,'Vocus RVC ExDa'!$C$2:$R$155, 3,FALSE), IFERROR(VLOOKUP(A770,'Fusion ExDa'!$B$2:$D$16, 2,FALSE), IFERROR(VLOOKUP(A770,'Exetel ExDa'!$C$2:$N$14, 2,FALSE), IFERROR(VLOOKUP(A770,'Infinet ExDa'!$B$2:$E$14, 2,FALSE), "Not Found"))))))))</f>
        <v xml:space="preserve">Shop 203 67 Regatta Bvd </v>
      </c>
      <c r="D770">
        <f>IFERROR(VLOOKUP($A770,'AAPT ExDa'!$B$2:$U$99, 15,FALSE), IFERROR(VLOOKUP($A770,'ABB ExDa'!$A$2:$N$184, 4,FALSE), IFERROR(VLOOKUP($A770,'Vocus SIT ExDa'!$B$2:$J$173, 5,FALSE), IFERROR(VLOOKUP($A770,'Telstra ExDa'!$B$2:$K$310, 8,FALSE), IFERROR(VLOOKUP($A770,'Vocus RVC ExDa'!$C$2:$R$155, 6,FALSE), IFERROR(VLOOKUP($A770,'Fusion ExDa'!$B$2:$D$16, 4,FALSE), IFERROR(VLOOKUP($A770,'Exetel ExDa'!$C$2:$N$14, 3,FALSE), IFERROR(VLOOKUP($A770,'Infinet ExDa'!$B$2:$E$14, 3,FALSE), "Not Found"))))))))</f>
        <v>4575</v>
      </c>
      <c r="E770" t="str">
        <f>IFERROR(VLOOKUP($A770,'AAPT ExDa'!$B$2:$U$99, 3,FALSE), IFERROR(VLOOKUP($A770,'ABB ExDa'!$A$2:$N$184, 5,FALSE), IFERROR(VLOOKUP($A770,'Vocus SIT ExDa'!$B$2:$J$173, 2,FALSE), IFERROR(VLOOKUP($A770,'Telstra ExDa'!$B$2:$K$310, 4,FALSE), IFERROR(VLOOKUP($A770,'Vocus RVC ExDa'!$C$2:$R$155, 8,FALSE), IFERROR(VLOOKUP($A770,'Fusion ExDa'!$B$2:$D$16, 4,FALSE), IFERROR(VLOOKUP($A770,'Exetel ExDa'!$C$2:$N$14, 5,FALSE), IFERROR(VLOOKUP($A770,'Infinet ExDa'!$B$2:$E$14, 3,FALSE), "Not Found"))))))))</f>
        <v>100Mbps/40Mbps</v>
      </c>
      <c r="F770" t="str">
        <f>IFERROR(VLOOKUP($A770,'AAPT ExDa'!$B$2:$U$99, 4,FALSE), IFERROR(VLOOKUP($A770,'ABB ExDa'!$A$2:$N$184, 6,FALSE), IFERROR(VLOOKUP($A770,'Vocus SIT ExDa'!$B$2:$J$173, 3,FALSE), IFERROR(VLOOKUP($A770,'Telstra ExDa'!$B$2:$K$310, 5,FALSE), IFERROR(VLOOKUP($A770,'Vocus RVC ExDa'!$C$2:$R$155, 9,FALSE), IFERROR(VLOOKUP($A770,'Fusion ExDa'!$B$2:$D$16, 0,FALSE), IFERROR(VLOOKUP($A770,'Exetel ExDa'!$C$2:$N$14, 6,FALSE), IFERROR(VLOOKUP($A770,'Infinet ExDa'!$B$2:$E$14, 0,FALSE), "Not Found"))))))))</f>
        <v>NBN Reseller G4  FTTP</v>
      </c>
      <c r="G770" t="str">
        <f>IFERROR(VLOOKUP($A770,'AAPT ExDa'!$B$2:$U$99, 5,FALSE), IFERROR(VLOOKUP($A770,'ABB ExDa'!$A$2:$N$184, 8,FALSE), IFERROR(VLOOKUP($A770,'Vocus SIT ExDa'!$B$2:$J$173, 6,FALSE), IFERROR(VLOOKUP($A770,'Telstra ExDa'!$B$2:$K$310, 0,FALSE), IFERROR(VLOOKUP($A770,'Vocus RVC ExDa'!$C$2:$R$155, 15,FALSE), IFERROR(VLOOKUP($A770,'Fusion ExDa'!$B$2:$D$16, 0,FALSE), IFERROR(VLOOKUP($A770,'Exetel ExDa'!$C$2:$N$14, 7,FALSE), IFERROR(VLOOKUP($A770,'Infinet ExDa'!$B$2:$E$14, 0,FALSE), "Not Found"))))))))</f>
        <v>122.151.188.4</v>
      </c>
      <c r="H770" t="str">
        <f>IFERROR(VLOOKUP($A770,'AAPT ExDa'!$B$2:$U$99, 6,FALSE), IFERROR(VLOOKUP($A770,'ABB ExDa'!$A$2:$N$184, 0,FALSE), IFERROR(VLOOKUP($A770,'Vocus SIT ExDa'!$B$2:$J$173, 0,FALSE), IFERROR(VLOOKUP($A770,'Telstra ExDa'!$B$2:$K$310, 0,FALSE), IFERROR(VLOOKUP($A770,'Vocus RVC ExDa'!$C$2:$R$155, 16,FALSE), IFERROR(VLOOKUP($A770,'Fusion ExDa'!$B$2:$D$16, 0,FALSE), IFERROR(VLOOKUP($A770,'Exetel ExDa'!$C$2:$N$14, 0,FALSE), IFERROR(VLOOKUP($A770,'Infinet ExDa'!$B$2:$E$14, 0,FALSE), "Not Found"))))))))</f>
        <v>PPPoE</v>
      </c>
      <c r="I770" t="str">
        <f>IFERROR(VLOOKUP($A770,'AAPT ExDa'!$B$2:$U$99, 0,FALSE), IFERROR(VLOOKUP($A770,'ABB ExDa'!$A$2:$N$184, 0,FALSE), IFERROR(VLOOKUP($A770,'Vocus SIT ExDa'!$B$2:$J$173, 0,FALSE), IFERROR(VLOOKUP($A770,'Telstra ExDa'!$B$2:$K$310, 0,FALSE), IFERROR(VLOOKUP($A770,'Vocus RVC ExDa'!$C$2:$R$155, 0,FALSE), IFERROR(VLOOKUP($A770,'Fusion ExDa'!$B$2:$D$16, 0,FALSE), IFERROR(VLOOKUP($A770,'Exetel ExDa'!$C$2:$N$14, 8,FALSE), IFERROR(VLOOKUP($A770,'Infinet ExDa'!$B$2:$E$14, 0,FALSE), "Not Found"))))))))</f>
        <v>Not Found</v>
      </c>
      <c r="J770" t="str">
        <f>IFERROR(VLOOKUP($A770,'AAPT ExDa'!$B$2:$U$99, 7,FALSE), IFERROR(VLOOKUP($A770,'ABB ExDa'!$A$2:$N$184, 2,FALSE), IFERROR(VLOOKUP($A770,'Vocus SIT ExDa'!$B$2:$J$173, 0,FALSE), IFERROR(VLOOKUP($A770,'Telstra ExDa'!$B$2:$K$310, 7,FALSE), IFERROR(VLOOKUP($A770,'Vocus RVC ExDa'!$C$2:$R$155, 2,FALSE), IFERROR(VLOOKUP($A770,'Fusion ExDa'!$B$2:$D$16, 3,FALSE), IFERROR(VLOOKUP($A770,'Exetel ExDa'!$C$2:$N$14, 0,FALSE), IFERROR(VLOOKUP($A770,'Infinet ExDa'!$B$2:$E$14, 0,FALSE), "Not Found"))))))))</f>
        <v xml:space="preserve">	AVC000147565979</v>
      </c>
      <c r="K770" t="str">
        <f>IFERROR(VLOOKUP($A770,'AAPT ExDa'!$B$2:$U$99, 12,FALSE), IFERROR(VLOOKUP($A770,'ABB ExDa'!$A$2:$N$184, 0,FALSE), IFERROR(VLOOKUP($A770,'Vocus SIT ExDa'!$B$2:$J$173, 0,FALSE), IFERROR(VLOOKUP($A770,'Telstra ExDa'!$B$2:$K$310, 0,FALSE), IFERROR(VLOOKUP($A770,'Vocus RVC ExDa'!$C$2:$R$155, 0,FALSE), IFERROR(VLOOKUP($A770,'Fusion ExDa'!$B$2:$D$16, 0,FALSE), IFERROR(VLOOKUP($A770,'Exetel ExDa'!$C$2:$N$14, 12,FALSE), IFERROR(VLOOKUP($A770,'Infinet ExDa'!$B$2:$E$14, 0,FALSE), "Not Found"))))))))</f>
        <v>Not Found</v>
      </c>
      <c r="L770" s="235" t="str">
        <f>IFERROR(VLOOKUP($A770,'AAPT ExDa'!$B$2:$U$99, 11,FALSE), IFERROR(VLOOKUP($A770,'ABB ExDa'!$A$2:$N$184, 9,FALSE), IFERROR(VLOOKUP($A770,'Vocus SIT ExDa'!$B$2:$J$173, 8,FALSE), IFERROR(VLOOKUP($A770,'Telstra ExDa'!$B$2:$K$310, 0,FALSE), IFERROR(VLOOKUP($A770,'Vocus RVC ExDa'!$C$2:$R$155, 0,FALSE), IFERROR(VLOOKUP($A770,'Fusion ExDa'!$B$2:$D$16, 0,FALSE), IFERROR(VLOOKUP($A770,'Exetel ExDa'!$C$2:$N$14, 9,FALSE), IFERROR(VLOOKUP($A770,'Infinet ExDa'!$B$2:$E$14, 0,FALSE), "Not Found"))))))))</f>
        <v>Not Found</v>
      </c>
      <c r="M770" s="234" t="str">
        <f>IFERROR(VLOOKUP($A770,'AAPT ExDa'!$B$2:$U$99, 0,FALSE), IFERROR(VLOOKUP($A770,'ABB ExDa'!$A$2:$N$184, 0,FALSE), IFERROR(VLOOKUP($A770,'Vocus SIT ExDa'!$B$2:$J$173, 0,FALSE), IFERROR(VLOOKUP($A770,'Telstra ExDa'!$B$2:$K$310, 0,FALSE), IFERROR(VLOOKUP($A770,'Vocus RVC ExDa'!$C$2:$R$155, 0,FALSE), IFERROR(VLOOKUP($A770,'Fusion ExDa'!$B$2:$D$16, 0,FALSE), IFERROR(VLOOKUP($A770,'Exetel ExDa'!$C$2:$N$14, 11,FALSE), IFERROR(VLOOKUP($A770,'Infinet ExDa'!$B$2:$E$14, 0,FALSE), "Not Found"))))))))</f>
        <v>Not Found</v>
      </c>
      <c r="N770" t="str">
        <f>IFERROR(VLOOKUP($A770,'AAPT ExDa'!$B$2:$U$99, 0,FALSE), IFERROR(VLOOKUP($A770,'ABB ExDa'!$A$2:$N$184, 13,FALSE), IFERROR(VLOOKUP($A770,'Vocus SIT ExDa'!$B$2:$J$173, 0,FALSE), IFERROR(VLOOKUP($A770,'Telstra ExDa'!$B$2:$K$310, 0,FALSE), IFERROR(VLOOKUP($A770,'Vocus RVC ExDa'!$C$2:$R$155, 0,FALSE), IFERROR(VLOOKUP($A770,'Fusion ExDa'!$B$2:$D$16, 0,FALSE), IFERROR(VLOOKUP($A770,'Exetel ExDa'!$C$2:$N$14, 0,FALSE), IFERROR(VLOOKUP($A770,'Infinet ExDa'!$B$2:$E$14, 0,FALSE), "Not Found"))))))))</f>
        <v>Not Found</v>
      </c>
    </row>
    <row r="771" spans="1:14">
      <c r="A771" t="str">
        <v>Maroochydore Doctors at Sunshine Plaza</v>
      </c>
      <c r="B771" t="str">
        <f>IFERROR(VLOOKUP(A771,'Exetel ExDa'!$C$2:$N$14,4,FALSE),"No Data")</f>
        <v>No Data</v>
      </c>
      <c r="C771" t="str">
        <f>IFERROR(VLOOKUP(A771,'AAPT ExDa'!$B$2:$U$99, 2,FALSE), IFERROR(VLOOKUP(A771,'ABB ExDa'!$A$2:$N$184, 2,FALSE), IFERROR(VLOOKUP(A771,'Vocus SIT ExDa'!$B$2:$J$173, 7,FALSE), IFERROR(VLOOKUP(A771,'Telstra ExDa'!$B$2:$K$310, 2,FALSE), IFERROR(VLOOKUP(A771,'Vocus RVC ExDa'!$C$2:$R$155, 3,FALSE), IFERROR(VLOOKUP(A771,'Fusion ExDa'!$B$2:$D$16, 2,FALSE), IFERROR(VLOOKUP(A771,'Exetel ExDa'!$C$2:$N$14, 2,FALSE), IFERROR(VLOOKUP(A771,'Infinet ExDa'!$B$2:$E$14, 2,FALSE), "Not Found"))))))))</f>
        <v xml:space="preserve">Shop 300 154-164 Horton Pde </v>
      </c>
      <c r="D771">
        <f>IFERROR(VLOOKUP($A771,'AAPT ExDa'!$B$2:$U$99, 15,FALSE), IFERROR(VLOOKUP($A771,'ABB ExDa'!$A$2:$N$184, 4,FALSE), IFERROR(VLOOKUP($A771,'Vocus SIT ExDa'!$B$2:$J$173, 5,FALSE), IFERROR(VLOOKUP($A771,'Telstra ExDa'!$B$2:$K$310, 8,FALSE), IFERROR(VLOOKUP($A771,'Vocus RVC ExDa'!$C$2:$R$155, 6,FALSE), IFERROR(VLOOKUP($A771,'Fusion ExDa'!$B$2:$D$16, 4,FALSE), IFERROR(VLOOKUP($A771,'Exetel ExDa'!$C$2:$N$14, 3,FALSE), IFERROR(VLOOKUP($A771,'Infinet ExDa'!$B$2:$E$14, 3,FALSE), "Not Found"))))))))</f>
        <v>4558</v>
      </c>
      <c r="E771" t="str">
        <f>IFERROR(VLOOKUP($A771,'AAPT ExDa'!$B$2:$U$99, 3,FALSE), IFERROR(VLOOKUP($A771,'ABB ExDa'!$A$2:$N$184, 5,FALSE), IFERROR(VLOOKUP($A771,'Vocus SIT ExDa'!$B$2:$J$173, 2,FALSE), IFERROR(VLOOKUP($A771,'Telstra ExDa'!$B$2:$K$310, 4,FALSE), IFERROR(VLOOKUP($A771,'Vocus RVC ExDa'!$C$2:$R$155, 8,FALSE), IFERROR(VLOOKUP($A771,'Fusion ExDa'!$B$2:$D$16, 4,FALSE), IFERROR(VLOOKUP($A771,'Exetel ExDa'!$C$2:$N$14, 5,FALSE), IFERROR(VLOOKUP($A771,'Infinet ExDa'!$B$2:$E$14, 3,FALSE), "Not Found"))))))))</f>
        <v>100Mbps/40Mbps</v>
      </c>
      <c r="F771" t="str">
        <f>IFERROR(VLOOKUP($A771,'AAPT ExDa'!$B$2:$U$99, 4,FALSE), IFERROR(VLOOKUP($A771,'ABB ExDa'!$A$2:$N$184, 6,FALSE), IFERROR(VLOOKUP($A771,'Vocus SIT ExDa'!$B$2:$J$173, 3,FALSE), IFERROR(VLOOKUP($A771,'Telstra ExDa'!$B$2:$K$310, 5,FALSE), IFERROR(VLOOKUP($A771,'Vocus RVC ExDa'!$C$2:$R$155, 9,FALSE), IFERROR(VLOOKUP($A771,'Fusion ExDa'!$B$2:$D$16, 0,FALSE), IFERROR(VLOOKUP($A771,'Exetel ExDa'!$C$2:$N$14, 6,FALSE), IFERROR(VLOOKUP($A771,'Infinet ExDa'!$B$2:$E$14, 0,FALSE), "Not Found"))))))))</f>
        <v>NBN Reseller G4 FTTB</v>
      </c>
      <c r="G771" t="str">
        <f>IFERROR(VLOOKUP($A771,'AAPT ExDa'!$B$2:$U$99, 5,FALSE), IFERROR(VLOOKUP($A771,'ABB ExDa'!$A$2:$N$184, 8,FALSE), IFERROR(VLOOKUP($A771,'Vocus SIT ExDa'!$B$2:$J$173, 6,FALSE), IFERROR(VLOOKUP($A771,'Telstra ExDa'!$B$2:$K$310, 0,FALSE), IFERROR(VLOOKUP($A771,'Vocus RVC ExDa'!$C$2:$R$155, 15,FALSE), IFERROR(VLOOKUP($A771,'Fusion ExDa'!$B$2:$D$16, 0,FALSE), IFERROR(VLOOKUP($A771,'Exetel ExDa'!$C$2:$N$14, 7,FALSE), IFERROR(VLOOKUP($A771,'Infinet ExDa'!$B$2:$E$14, 0,FALSE), "Not Found"))))))))</f>
        <v>202.62.138.88</v>
      </c>
      <c r="H771" t="str">
        <f>IFERROR(VLOOKUP($A771,'AAPT ExDa'!$B$2:$U$99, 6,FALSE), IFERROR(VLOOKUP($A771,'ABB ExDa'!$A$2:$N$184, 0,FALSE), IFERROR(VLOOKUP($A771,'Vocus SIT ExDa'!$B$2:$J$173, 0,FALSE), IFERROR(VLOOKUP($A771,'Telstra ExDa'!$B$2:$K$310, 0,FALSE), IFERROR(VLOOKUP($A771,'Vocus RVC ExDa'!$C$2:$R$155, 16,FALSE), IFERROR(VLOOKUP($A771,'Fusion ExDa'!$B$2:$D$16, 0,FALSE), IFERROR(VLOOKUP($A771,'Exetel ExDa'!$C$2:$N$14, 0,FALSE), IFERROR(VLOOKUP($A771,'Infinet ExDa'!$B$2:$E$14, 0,FALSE), "Not Found"))))))))</f>
        <v>PPPoE</v>
      </c>
      <c r="I771" t="str">
        <f>IFERROR(VLOOKUP($A771,'AAPT ExDa'!$B$2:$U$99, 0,FALSE), IFERROR(VLOOKUP($A771,'ABB ExDa'!$A$2:$N$184, 0,FALSE), IFERROR(VLOOKUP($A771,'Vocus SIT ExDa'!$B$2:$J$173, 0,FALSE), IFERROR(VLOOKUP($A771,'Telstra ExDa'!$B$2:$K$310, 0,FALSE), IFERROR(VLOOKUP($A771,'Vocus RVC ExDa'!$C$2:$R$155, 0,FALSE), IFERROR(VLOOKUP($A771,'Fusion ExDa'!$B$2:$D$16, 0,FALSE), IFERROR(VLOOKUP($A771,'Exetel ExDa'!$C$2:$N$14, 8,FALSE), IFERROR(VLOOKUP($A771,'Infinet ExDa'!$B$2:$E$14, 0,FALSE), "Not Found"))))))))</f>
        <v>Not Found</v>
      </c>
      <c r="J771" t="str">
        <f>IFERROR(VLOOKUP($A771,'AAPT ExDa'!$B$2:$U$99, 7,FALSE), IFERROR(VLOOKUP($A771,'ABB ExDa'!$A$2:$N$184, 2,FALSE), IFERROR(VLOOKUP($A771,'Vocus SIT ExDa'!$B$2:$J$173, 0,FALSE), IFERROR(VLOOKUP($A771,'Telstra ExDa'!$B$2:$K$310, 7,FALSE), IFERROR(VLOOKUP($A771,'Vocus RVC ExDa'!$C$2:$R$155, 2,FALSE), IFERROR(VLOOKUP($A771,'Fusion ExDa'!$B$2:$D$16, 3,FALSE), IFERROR(VLOOKUP($A771,'Exetel ExDa'!$C$2:$N$14, 0,FALSE), IFERROR(VLOOKUP($A771,'Infinet ExDa'!$B$2:$E$14, 0,FALSE), "Not Found"))))))))</f>
        <v>AVC000147594569</v>
      </c>
      <c r="K771" t="str">
        <f>IFERROR(VLOOKUP($A771,'AAPT ExDa'!$B$2:$U$99, 12,FALSE), IFERROR(VLOOKUP($A771,'ABB ExDa'!$A$2:$N$184, 0,FALSE), IFERROR(VLOOKUP($A771,'Vocus SIT ExDa'!$B$2:$J$173, 0,FALSE), IFERROR(VLOOKUP($A771,'Telstra ExDa'!$B$2:$K$310, 0,FALSE), IFERROR(VLOOKUP($A771,'Vocus RVC ExDa'!$C$2:$R$155, 0,FALSE), IFERROR(VLOOKUP($A771,'Fusion ExDa'!$B$2:$D$16, 0,FALSE), IFERROR(VLOOKUP($A771,'Exetel ExDa'!$C$2:$N$14, 12,FALSE), IFERROR(VLOOKUP($A771,'Infinet ExDa'!$B$2:$E$14, 0,FALSE), "Not Found"))))))))</f>
        <v>Not Found</v>
      </c>
      <c r="L771" s="235" t="str">
        <f>IFERROR(VLOOKUP($A771,'AAPT ExDa'!$B$2:$U$99, 11,FALSE), IFERROR(VLOOKUP($A771,'ABB ExDa'!$A$2:$N$184, 9,FALSE), IFERROR(VLOOKUP($A771,'Vocus SIT ExDa'!$B$2:$J$173, 8,FALSE), IFERROR(VLOOKUP($A771,'Telstra ExDa'!$B$2:$K$310, 0,FALSE), IFERROR(VLOOKUP($A771,'Vocus RVC ExDa'!$C$2:$R$155, 0,FALSE), IFERROR(VLOOKUP($A771,'Fusion ExDa'!$B$2:$D$16, 0,FALSE), IFERROR(VLOOKUP($A771,'Exetel ExDa'!$C$2:$N$14, 9,FALSE), IFERROR(VLOOKUP($A771,'Infinet ExDa'!$B$2:$E$14, 0,FALSE), "Not Found"))))))))</f>
        <v>Not Found</v>
      </c>
      <c r="M771" s="234" t="str">
        <f>IFERROR(VLOOKUP($A771,'AAPT ExDa'!$B$2:$U$99, 0,FALSE), IFERROR(VLOOKUP($A771,'ABB ExDa'!$A$2:$N$184, 0,FALSE), IFERROR(VLOOKUP($A771,'Vocus SIT ExDa'!$B$2:$J$173, 0,FALSE), IFERROR(VLOOKUP($A771,'Telstra ExDa'!$B$2:$K$310, 0,FALSE), IFERROR(VLOOKUP($A771,'Vocus RVC ExDa'!$C$2:$R$155, 0,FALSE), IFERROR(VLOOKUP($A771,'Fusion ExDa'!$B$2:$D$16, 0,FALSE), IFERROR(VLOOKUP($A771,'Exetel ExDa'!$C$2:$N$14, 11,FALSE), IFERROR(VLOOKUP($A771,'Infinet ExDa'!$B$2:$E$14, 0,FALSE), "Not Found"))))))))</f>
        <v>Not Found</v>
      </c>
      <c r="N771" t="str">
        <f>IFERROR(VLOOKUP($A771,'AAPT ExDa'!$B$2:$U$99, 0,FALSE), IFERROR(VLOOKUP($A771,'ABB ExDa'!$A$2:$N$184, 13,FALSE), IFERROR(VLOOKUP($A771,'Vocus SIT ExDa'!$B$2:$J$173, 0,FALSE), IFERROR(VLOOKUP($A771,'Telstra ExDa'!$B$2:$K$310, 0,FALSE), IFERROR(VLOOKUP($A771,'Vocus RVC ExDa'!$C$2:$R$155, 0,FALSE), IFERROR(VLOOKUP($A771,'Fusion ExDa'!$B$2:$D$16, 0,FALSE), IFERROR(VLOOKUP($A771,'Exetel ExDa'!$C$2:$N$14, 0,FALSE), IFERROR(VLOOKUP($A771,'Infinet ExDa'!$B$2:$E$14, 0,FALSE), "Not Found"))))))))</f>
        <v>Not Found</v>
      </c>
    </row>
    <row r="772" spans="1:14">
      <c r="A772" t="str">
        <v>Southside Specialist Medical and Geriatric Centre</v>
      </c>
      <c r="B772" t="str">
        <f>IFERROR(VLOOKUP(A772,'Exetel ExDa'!$C$2:$N$14,4,FALSE),"No Data")</f>
        <v>No Data</v>
      </c>
      <c r="C772" t="str">
        <f>IFERROR(VLOOKUP(A772,'AAPT ExDa'!$B$2:$U$99, 2,FALSE), IFERROR(VLOOKUP(A772,'ABB ExDa'!$A$2:$N$184, 2,FALSE), IFERROR(VLOOKUP(A772,'Vocus SIT ExDa'!$B$2:$J$173, 7,FALSE), IFERROR(VLOOKUP(A772,'Telstra ExDa'!$B$2:$K$310, 2,FALSE), IFERROR(VLOOKUP(A772,'Vocus RVC ExDa'!$C$2:$R$155, 3,FALSE), IFERROR(VLOOKUP(A772,'Fusion ExDa'!$B$2:$D$16, 2,FALSE), IFERROR(VLOOKUP(A772,'Exetel ExDa'!$C$2:$N$14, 2,FALSE), IFERROR(VLOOKUP(A772,'Infinet ExDa'!$B$2:$E$14, 2,FALSE), "Not Found"))))))))</f>
        <v xml:space="preserve">Offc Suite 4-04 2 Wellness Way </v>
      </c>
      <c r="D772">
        <f>IFERROR(VLOOKUP($A772,'AAPT ExDa'!$B$2:$U$99, 15,FALSE), IFERROR(VLOOKUP($A772,'ABB ExDa'!$A$2:$N$184, 4,FALSE), IFERROR(VLOOKUP($A772,'Vocus SIT ExDa'!$B$2:$J$173, 5,FALSE), IFERROR(VLOOKUP($A772,'Telstra ExDa'!$B$2:$K$310, 8,FALSE), IFERROR(VLOOKUP($A772,'Vocus RVC ExDa'!$C$2:$R$155, 6,FALSE), IFERROR(VLOOKUP($A772,'Fusion ExDa'!$B$2:$D$16, 4,FALSE), IFERROR(VLOOKUP($A772,'Exetel ExDa'!$C$2:$N$14, 3,FALSE), IFERROR(VLOOKUP($A772,'Infinet ExDa'!$B$2:$E$14, 3,FALSE), "Not Found"))))))))</f>
        <v>4300</v>
      </c>
      <c r="E772" t="str">
        <f>IFERROR(VLOOKUP($A772,'AAPT ExDa'!$B$2:$U$99, 3,FALSE), IFERROR(VLOOKUP($A772,'ABB ExDa'!$A$2:$N$184, 5,FALSE), IFERROR(VLOOKUP($A772,'Vocus SIT ExDa'!$B$2:$J$173, 2,FALSE), IFERROR(VLOOKUP($A772,'Telstra ExDa'!$B$2:$K$310, 4,FALSE), IFERROR(VLOOKUP($A772,'Vocus RVC ExDa'!$C$2:$R$155, 8,FALSE), IFERROR(VLOOKUP($A772,'Fusion ExDa'!$B$2:$D$16, 4,FALSE), IFERROR(VLOOKUP($A772,'Exetel ExDa'!$C$2:$N$14, 5,FALSE), IFERROR(VLOOKUP($A772,'Infinet ExDa'!$B$2:$E$14, 3,FALSE), "Not Found"))))))))</f>
        <v>100Mbps/40Mbps</v>
      </c>
      <c r="F772" t="str">
        <f>IFERROR(VLOOKUP($A772,'AAPT ExDa'!$B$2:$U$99, 4,FALSE), IFERROR(VLOOKUP($A772,'ABB ExDa'!$A$2:$N$184, 6,FALSE), IFERROR(VLOOKUP($A772,'Vocus SIT ExDa'!$B$2:$J$173, 3,FALSE), IFERROR(VLOOKUP($A772,'Telstra ExDa'!$B$2:$K$310, 5,FALSE), IFERROR(VLOOKUP($A772,'Vocus RVC ExDa'!$C$2:$R$155, 9,FALSE), IFERROR(VLOOKUP($A772,'Fusion ExDa'!$B$2:$D$16, 0,FALSE), IFERROR(VLOOKUP($A772,'Exetel ExDa'!$C$2:$N$14, 6,FALSE), IFERROR(VLOOKUP($A772,'Infinet ExDa'!$B$2:$E$14, 0,FALSE), "Not Found"))))))))</f>
        <v>NBN Reseller G4  FTTP</v>
      </c>
      <c r="G772" t="str">
        <f>IFERROR(VLOOKUP($A772,'AAPT ExDa'!$B$2:$U$99, 5,FALSE), IFERROR(VLOOKUP($A772,'ABB ExDa'!$A$2:$N$184, 8,FALSE), IFERROR(VLOOKUP($A772,'Vocus SIT ExDa'!$B$2:$J$173, 6,FALSE), IFERROR(VLOOKUP($A772,'Telstra ExDa'!$B$2:$K$310, 0,FALSE), IFERROR(VLOOKUP($A772,'Vocus RVC ExDa'!$C$2:$R$155, 15,FALSE), IFERROR(VLOOKUP($A772,'Fusion ExDa'!$B$2:$D$16, 0,FALSE), IFERROR(VLOOKUP($A772,'Exetel ExDa'!$C$2:$N$14, 7,FALSE), IFERROR(VLOOKUP($A772,'Infinet ExDa'!$B$2:$E$14, 0,FALSE), "Not Found"))))))))</f>
        <v>122.148.128.143</v>
      </c>
      <c r="H772" t="str">
        <f>IFERROR(VLOOKUP($A772,'AAPT ExDa'!$B$2:$U$99, 6,FALSE), IFERROR(VLOOKUP($A772,'ABB ExDa'!$A$2:$N$184, 0,FALSE), IFERROR(VLOOKUP($A772,'Vocus SIT ExDa'!$B$2:$J$173, 0,FALSE), IFERROR(VLOOKUP($A772,'Telstra ExDa'!$B$2:$K$310, 0,FALSE), IFERROR(VLOOKUP($A772,'Vocus RVC ExDa'!$C$2:$R$155, 16,FALSE), IFERROR(VLOOKUP($A772,'Fusion ExDa'!$B$2:$D$16, 0,FALSE), IFERROR(VLOOKUP($A772,'Exetel ExDa'!$C$2:$N$14, 0,FALSE), IFERROR(VLOOKUP($A772,'Infinet ExDa'!$B$2:$E$14, 0,FALSE), "Not Found"))))))))</f>
        <v>PPPoE</v>
      </c>
      <c r="I772" t="str">
        <f>IFERROR(VLOOKUP($A772,'AAPT ExDa'!$B$2:$U$99, 0,FALSE), IFERROR(VLOOKUP($A772,'ABB ExDa'!$A$2:$N$184, 0,FALSE), IFERROR(VLOOKUP($A772,'Vocus SIT ExDa'!$B$2:$J$173, 0,FALSE), IFERROR(VLOOKUP($A772,'Telstra ExDa'!$B$2:$K$310, 0,FALSE), IFERROR(VLOOKUP($A772,'Vocus RVC ExDa'!$C$2:$R$155, 0,FALSE), IFERROR(VLOOKUP($A772,'Fusion ExDa'!$B$2:$D$16, 0,FALSE), IFERROR(VLOOKUP($A772,'Exetel ExDa'!$C$2:$N$14, 8,FALSE), IFERROR(VLOOKUP($A772,'Infinet ExDa'!$B$2:$E$14, 0,FALSE), "Not Found"))))))))</f>
        <v>Not Found</v>
      </c>
      <c r="J772" t="str">
        <f>IFERROR(VLOOKUP($A772,'AAPT ExDa'!$B$2:$U$99, 7,FALSE), IFERROR(VLOOKUP($A772,'ABB ExDa'!$A$2:$N$184, 2,FALSE), IFERROR(VLOOKUP($A772,'Vocus SIT ExDa'!$B$2:$J$173, 0,FALSE), IFERROR(VLOOKUP($A772,'Telstra ExDa'!$B$2:$K$310, 7,FALSE), IFERROR(VLOOKUP($A772,'Vocus RVC ExDa'!$C$2:$R$155, 2,FALSE), IFERROR(VLOOKUP($A772,'Fusion ExDa'!$B$2:$D$16, 3,FALSE), IFERROR(VLOOKUP($A772,'Exetel ExDa'!$C$2:$N$14, 0,FALSE), IFERROR(VLOOKUP($A772,'Infinet ExDa'!$B$2:$E$14, 0,FALSE), "Not Found"))))))))</f>
        <v xml:space="preserve">	AVC000150450293</v>
      </c>
      <c r="K772" t="str">
        <f>IFERROR(VLOOKUP($A772,'AAPT ExDa'!$B$2:$U$99, 12,FALSE), IFERROR(VLOOKUP($A772,'ABB ExDa'!$A$2:$N$184, 0,FALSE), IFERROR(VLOOKUP($A772,'Vocus SIT ExDa'!$B$2:$J$173, 0,FALSE), IFERROR(VLOOKUP($A772,'Telstra ExDa'!$B$2:$K$310, 0,FALSE), IFERROR(VLOOKUP($A772,'Vocus RVC ExDa'!$C$2:$R$155, 0,FALSE), IFERROR(VLOOKUP($A772,'Fusion ExDa'!$B$2:$D$16, 0,FALSE), IFERROR(VLOOKUP($A772,'Exetel ExDa'!$C$2:$N$14, 12,FALSE), IFERROR(VLOOKUP($A772,'Infinet ExDa'!$B$2:$E$14, 0,FALSE), "Not Found"))))))))</f>
        <v>Not Found</v>
      </c>
      <c r="L772" s="235" t="str">
        <f>IFERROR(VLOOKUP($A772,'AAPT ExDa'!$B$2:$U$99, 11,FALSE), IFERROR(VLOOKUP($A772,'ABB ExDa'!$A$2:$N$184, 9,FALSE), IFERROR(VLOOKUP($A772,'Vocus SIT ExDa'!$B$2:$J$173, 8,FALSE), IFERROR(VLOOKUP($A772,'Telstra ExDa'!$B$2:$K$310, 0,FALSE), IFERROR(VLOOKUP($A772,'Vocus RVC ExDa'!$C$2:$R$155, 0,FALSE), IFERROR(VLOOKUP($A772,'Fusion ExDa'!$B$2:$D$16, 0,FALSE), IFERROR(VLOOKUP($A772,'Exetel ExDa'!$C$2:$N$14, 9,FALSE), IFERROR(VLOOKUP($A772,'Infinet ExDa'!$B$2:$E$14, 0,FALSE), "Not Found"))))))))</f>
        <v>Not Found</v>
      </c>
      <c r="M772" s="234" t="str">
        <f>IFERROR(VLOOKUP($A772,'AAPT ExDa'!$B$2:$U$99, 0,FALSE), IFERROR(VLOOKUP($A772,'ABB ExDa'!$A$2:$N$184, 0,FALSE), IFERROR(VLOOKUP($A772,'Vocus SIT ExDa'!$B$2:$J$173, 0,FALSE), IFERROR(VLOOKUP($A772,'Telstra ExDa'!$B$2:$K$310, 0,FALSE), IFERROR(VLOOKUP($A772,'Vocus RVC ExDa'!$C$2:$R$155, 0,FALSE), IFERROR(VLOOKUP($A772,'Fusion ExDa'!$B$2:$D$16, 0,FALSE), IFERROR(VLOOKUP($A772,'Exetel ExDa'!$C$2:$N$14, 11,FALSE), IFERROR(VLOOKUP($A772,'Infinet ExDa'!$B$2:$E$14, 0,FALSE), "Not Found"))))))))</f>
        <v>Not Found</v>
      </c>
      <c r="N772" t="str">
        <f>IFERROR(VLOOKUP($A772,'AAPT ExDa'!$B$2:$U$99, 0,FALSE), IFERROR(VLOOKUP($A772,'ABB ExDa'!$A$2:$N$184, 13,FALSE), IFERROR(VLOOKUP($A772,'Vocus SIT ExDa'!$B$2:$J$173, 0,FALSE), IFERROR(VLOOKUP($A772,'Telstra ExDa'!$B$2:$K$310, 0,FALSE), IFERROR(VLOOKUP($A772,'Vocus RVC ExDa'!$C$2:$R$155, 0,FALSE), IFERROR(VLOOKUP($A772,'Fusion ExDa'!$B$2:$D$16, 0,FALSE), IFERROR(VLOOKUP($A772,'Exetel ExDa'!$C$2:$N$14, 0,FALSE), IFERROR(VLOOKUP($A772,'Infinet ExDa'!$B$2:$E$14, 0,FALSE), "Not Found"))))))))</f>
        <v>Not Found</v>
      </c>
    </row>
    <row r="773" spans="1:14">
      <c r="A773" t="str">
        <v>Mother Duck Enoggera Pty Ltd</v>
      </c>
      <c r="B773" t="str">
        <f>IFERROR(VLOOKUP(A773,'Exetel ExDa'!$C$2:$N$14,4,FALSE),"No Data")</f>
        <v>No Data</v>
      </c>
      <c r="C773" t="str">
        <f>IFERROR(VLOOKUP(A773,'AAPT ExDa'!$B$2:$U$99, 2,FALSE), IFERROR(VLOOKUP(A773,'ABB ExDa'!$A$2:$N$184, 2,FALSE), IFERROR(VLOOKUP(A773,'Vocus SIT ExDa'!$B$2:$J$173, 7,FALSE), IFERROR(VLOOKUP(A773,'Telstra ExDa'!$B$2:$K$310, 2,FALSE), IFERROR(VLOOKUP(A773,'Vocus RVC ExDa'!$C$2:$R$155, 3,FALSE), IFERROR(VLOOKUP(A773,'Fusion ExDa'!$B$2:$D$16, 2,FALSE), IFERROR(VLOOKUP(A773,'Exetel ExDa'!$C$2:$N$14, 2,FALSE), IFERROR(VLOOKUP(A773,'Infinet ExDa'!$B$2:$E$14, 2,FALSE), "Not Found"))))))))</f>
        <v xml:space="preserve">Lot 0 36 Glenalva Tce </v>
      </c>
      <c r="D773">
        <f>IFERROR(VLOOKUP($A773,'AAPT ExDa'!$B$2:$U$99, 15,FALSE), IFERROR(VLOOKUP($A773,'ABB ExDa'!$A$2:$N$184, 4,FALSE), IFERROR(VLOOKUP($A773,'Vocus SIT ExDa'!$B$2:$J$173, 5,FALSE), IFERROR(VLOOKUP($A773,'Telstra ExDa'!$B$2:$K$310, 8,FALSE), IFERROR(VLOOKUP($A773,'Vocus RVC ExDa'!$C$2:$R$155, 6,FALSE), IFERROR(VLOOKUP($A773,'Fusion ExDa'!$B$2:$D$16, 4,FALSE), IFERROR(VLOOKUP($A773,'Exetel ExDa'!$C$2:$N$14, 3,FALSE), IFERROR(VLOOKUP($A773,'Infinet ExDa'!$B$2:$E$14, 3,FALSE), "Not Found"))))))))</f>
        <v>4051</v>
      </c>
      <c r="E773" t="str">
        <f>IFERROR(VLOOKUP($A773,'AAPT ExDa'!$B$2:$U$99, 3,FALSE), IFERROR(VLOOKUP($A773,'ABB ExDa'!$A$2:$N$184, 5,FALSE), IFERROR(VLOOKUP($A773,'Vocus SIT ExDa'!$B$2:$J$173, 2,FALSE), IFERROR(VLOOKUP($A773,'Telstra ExDa'!$B$2:$K$310, 4,FALSE), IFERROR(VLOOKUP($A773,'Vocus RVC ExDa'!$C$2:$R$155, 8,FALSE), IFERROR(VLOOKUP($A773,'Fusion ExDa'!$B$2:$D$16, 4,FALSE), IFERROR(VLOOKUP($A773,'Exetel ExDa'!$C$2:$N$14, 5,FALSE), IFERROR(VLOOKUP($A773,'Infinet ExDa'!$B$2:$E$14, 3,FALSE), "Not Found"))))))))</f>
        <v>50Mbps/20Mbps</v>
      </c>
      <c r="F773" t="str">
        <f>IFERROR(VLOOKUP($A773,'AAPT ExDa'!$B$2:$U$99, 4,FALSE), IFERROR(VLOOKUP($A773,'ABB ExDa'!$A$2:$N$184, 6,FALSE), IFERROR(VLOOKUP($A773,'Vocus SIT ExDa'!$B$2:$J$173, 3,FALSE), IFERROR(VLOOKUP($A773,'Telstra ExDa'!$B$2:$K$310, 5,FALSE), IFERROR(VLOOKUP($A773,'Vocus RVC ExDa'!$C$2:$R$155, 9,FALSE), IFERROR(VLOOKUP($A773,'Fusion ExDa'!$B$2:$D$16, 0,FALSE), IFERROR(VLOOKUP($A773,'Exetel ExDa'!$C$2:$N$14, 6,FALSE), IFERROR(VLOOKUP($A773,'Infinet ExDa'!$B$2:$E$14, 0,FALSE), "Not Found"))))))))</f>
        <v>NBN Reseller G4 HFC</v>
      </c>
      <c r="G773" t="str">
        <f>IFERROR(VLOOKUP($A773,'AAPT ExDa'!$B$2:$U$99, 5,FALSE), IFERROR(VLOOKUP($A773,'ABB ExDa'!$A$2:$N$184, 8,FALSE), IFERROR(VLOOKUP($A773,'Vocus SIT ExDa'!$B$2:$J$173, 6,FALSE), IFERROR(VLOOKUP($A773,'Telstra ExDa'!$B$2:$K$310, 0,FALSE), IFERROR(VLOOKUP($A773,'Vocus RVC ExDa'!$C$2:$R$155, 15,FALSE), IFERROR(VLOOKUP($A773,'Fusion ExDa'!$B$2:$D$16, 0,FALSE), IFERROR(VLOOKUP($A773,'Exetel ExDa'!$C$2:$N$14, 7,FALSE), IFERROR(VLOOKUP($A773,'Infinet ExDa'!$B$2:$E$14, 0,FALSE), "Not Found"))))))))</f>
        <v>125.168.82.142</v>
      </c>
      <c r="H773" t="str">
        <f>IFERROR(VLOOKUP($A773,'AAPT ExDa'!$B$2:$U$99, 6,FALSE), IFERROR(VLOOKUP($A773,'ABB ExDa'!$A$2:$N$184, 0,FALSE), IFERROR(VLOOKUP($A773,'Vocus SIT ExDa'!$B$2:$J$173, 0,FALSE), IFERROR(VLOOKUP($A773,'Telstra ExDa'!$B$2:$K$310, 0,FALSE), IFERROR(VLOOKUP($A773,'Vocus RVC ExDa'!$C$2:$R$155, 16,FALSE), IFERROR(VLOOKUP($A773,'Fusion ExDa'!$B$2:$D$16, 0,FALSE), IFERROR(VLOOKUP($A773,'Exetel ExDa'!$C$2:$N$14, 0,FALSE), IFERROR(VLOOKUP($A773,'Infinet ExDa'!$B$2:$E$14, 0,FALSE), "Not Found"))))))))</f>
        <v>PPPoE</v>
      </c>
      <c r="I773" t="str">
        <f>IFERROR(VLOOKUP($A773,'AAPT ExDa'!$B$2:$U$99, 0,FALSE), IFERROR(VLOOKUP($A773,'ABB ExDa'!$A$2:$N$184, 0,FALSE), IFERROR(VLOOKUP($A773,'Vocus SIT ExDa'!$B$2:$J$173, 0,FALSE), IFERROR(VLOOKUP($A773,'Telstra ExDa'!$B$2:$K$310, 0,FALSE), IFERROR(VLOOKUP($A773,'Vocus RVC ExDa'!$C$2:$R$155, 0,FALSE), IFERROR(VLOOKUP($A773,'Fusion ExDa'!$B$2:$D$16, 0,FALSE), IFERROR(VLOOKUP($A773,'Exetel ExDa'!$C$2:$N$14, 8,FALSE), IFERROR(VLOOKUP($A773,'Infinet ExDa'!$B$2:$E$14, 0,FALSE), "Not Found"))))))))</f>
        <v>Not Found</v>
      </c>
      <c r="J773" t="str">
        <f>IFERROR(VLOOKUP($A773,'AAPT ExDa'!$B$2:$U$99, 7,FALSE), IFERROR(VLOOKUP($A773,'ABB ExDa'!$A$2:$N$184, 2,FALSE), IFERROR(VLOOKUP($A773,'Vocus SIT ExDa'!$B$2:$J$173, 0,FALSE), IFERROR(VLOOKUP($A773,'Telstra ExDa'!$B$2:$K$310, 7,FALSE), IFERROR(VLOOKUP($A773,'Vocus RVC ExDa'!$C$2:$R$155, 2,FALSE), IFERROR(VLOOKUP($A773,'Fusion ExDa'!$B$2:$D$16, 3,FALSE), IFERROR(VLOOKUP($A773,'Exetel ExDa'!$C$2:$N$14, 0,FALSE), IFERROR(VLOOKUP($A773,'Infinet ExDa'!$B$2:$E$14, 0,FALSE), "Not Found"))))))))</f>
        <v>AVC400039229676</v>
      </c>
      <c r="K773" t="str">
        <f>IFERROR(VLOOKUP($A773,'AAPT ExDa'!$B$2:$U$99, 12,FALSE), IFERROR(VLOOKUP($A773,'ABB ExDa'!$A$2:$N$184, 0,FALSE), IFERROR(VLOOKUP($A773,'Vocus SIT ExDa'!$B$2:$J$173, 0,FALSE), IFERROR(VLOOKUP($A773,'Telstra ExDa'!$B$2:$K$310, 0,FALSE), IFERROR(VLOOKUP($A773,'Vocus RVC ExDa'!$C$2:$R$155, 0,FALSE), IFERROR(VLOOKUP($A773,'Fusion ExDa'!$B$2:$D$16, 0,FALSE), IFERROR(VLOOKUP($A773,'Exetel ExDa'!$C$2:$N$14, 12,FALSE), IFERROR(VLOOKUP($A773,'Infinet ExDa'!$B$2:$E$14, 0,FALSE), "Not Found"))))))))</f>
        <v>Not Found</v>
      </c>
      <c r="L773" s="235" t="str">
        <f>IFERROR(VLOOKUP($A773,'AAPT ExDa'!$B$2:$U$99, 11,FALSE), IFERROR(VLOOKUP($A773,'ABB ExDa'!$A$2:$N$184, 9,FALSE), IFERROR(VLOOKUP($A773,'Vocus SIT ExDa'!$B$2:$J$173, 8,FALSE), IFERROR(VLOOKUP($A773,'Telstra ExDa'!$B$2:$K$310, 0,FALSE), IFERROR(VLOOKUP($A773,'Vocus RVC ExDa'!$C$2:$R$155, 0,FALSE), IFERROR(VLOOKUP($A773,'Fusion ExDa'!$B$2:$D$16, 0,FALSE), IFERROR(VLOOKUP($A773,'Exetel ExDa'!$C$2:$N$14, 9,FALSE), IFERROR(VLOOKUP($A773,'Infinet ExDa'!$B$2:$E$14, 0,FALSE), "Not Found"))))))))</f>
        <v>Not Found</v>
      </c>
      <c r="M773" s="234" t="str">
        <f>IFERROR(VLOOKUP($A773,'AAPT ExDa'!$B$2:$U$99, 0,FALSE), IFERROR(VLOOKUP($A773,'ABB ExDa'!$A$2:$N$184, 0,FALSE), IFERROR(VLOOKUP($A773,'Vocus SIT ExDa'!$B$2:$J$173, 0,FALSE), IFERROR(VLOOKUP($A773,'Telstra ExDa'!$B$2:$K$310, 0,FALSE), IFERROR(VLOOKUP($A773,'Vocus RVC ExDa'!$C$2:$R$155, 0,FALSE), IFERROR(VLOOKUP($A773,'Fusion ExDa'!$B$2:$D$16, 0,FALSE), IFERROR(VLOOKUP($A773,'Exetel ExDa'!$C$2:$N$14, 11,FALSE), IFERROR(VLOOKUP($A773,'Infinet ExDa'!$B$2:$E$14, 0,FALSE), "Not Found"))))))))</f>
        <v>Not Found</v>
      </c>
      <c r="N773" t="str">
        <f>IFERROR(VLOOKUP($A773,'AAPT ExDa'!$B$2:$U$99, 0,FALSE), IFERROR(VLOOKUP($A773,'ABB ExDa'!$A$2:$N$184, 13,FALSE), IFERROR(VLOOKUP($A773,'Vocus SIT ExDa'!$B$2:$J$173, 0,FALSE), IFERROR(VLOOKUP($A773,'Telstra ExDa'!$B$2:$K$310, 0,FALSE), IFERROR(VLOOKUP($A773,'Vocus RVC ExDa'!$C$2:$R$155, 0,FALSE), IFERROR(VLOOKUP($A773,'Fusion ExDa'!$B$2:$D$16, 0,FALSE), IFERROR(VLOOKUP($A773,'Exetel ExDa'!$C$2:$N$14, 0,FALSE), IFERROR(VLOOKUP($A773,'Infinet ExDa'!$B$2:$E$14, 0,FALSE), "Not Found"))))))))</f>
        <v>Not Found</v>
      </c>
    </row>
    <row r="774" spans="1:14">
      <c r="A774" t="str">
        <v>Medpods Medical Centre - Yeppoon</v>
      </c>
      <c r="B774" t="str">
        <f>IFERROR(VLOOKUP(A774,'Exetel ExDa'!$C$2:$N$14,4,FALSE),"No Data")</f>
        <v>No Data</v>
      </c>
      <c r="C774" t="str">
        <f>IFERROR(VLOOKUP(A774,'AAPT ExDa'!$B$2:$U$99, 2,FALSE), IFERROR(VLOOKUP(A774,'ABB ExDa'!$A$2:$N$184, 2,FALSE), IFERROR(VLOOKUP(A774,'Vocus SIT ExDa'!$B$2:$J$173, 7,FALSE), IFERROR(VLOOKUP(A774,'Telstra ExDa'!$B$2:$K$310, 2,FALSE), IFERROR(VLOOKUP(A774,'Vocus RVC ExDa'!$C$2:$R$155, 3,FALSE), IFERROR(VLOOKUP(A774,'Fusion ExDa'!$B$2:$D$16, 2,FALSE), IFERROR(VLOOKUP(A774,'Exetel ExDa'!$C$2:$N$14, 2,FALSE), IFERROR(VLOOKUP(A774,'Infinet ExDa'!$B$2:$E$14, 2,FALSE), "Not Found"))))))))</f>
        <v xml:space="preserve">Offc 20b-b 10 Mulwala Dr </v>
      </c>
      <c r="D774">
        <f>IFERROR(VLOOKUP($A774,'AAPT ExDa'!$B$2:$U$99, 15,FALSE), IFERROR(VLOOKUP($A774,'ABB ExDa'!$A$2:$N$184, 4,FALSE), IFERROR(VLOOKUP($A774,'Vocus SIT ExDa'!$B$2:$J$173, 5,FALSE), IFERROR(VLOOKUP($A774,'Telstra ExDa'!$B$2:$K$310, 8,FALSE), IFERROR(VLOOKUP($A774,'Vocus RVC ExDa'!$C$2:$R$155, 6,FALSE), IFERROR(VLOOKUP($A774,'Fusion ExDa'!$B$2:$D$16, 4,FALSE), IFERROR(VLOOKUP($A774,'Exetel ExDa'!$C$2:$N$14, 3,FALSE), IFERROR(VLOOKUP($A774,'Infinet ExDa'!$B$2:$E$14, 3,FALSE), "Not Found"))))))))</f>
        <v>3754</v>
      </c>
      <c r="E774" t="str">
        <f>IFERROR(VLOOKUP($A774,'AAPT ExDa'!$B$2:$U$99, 3,FALSE), IFERROR(VLOOKUP($A774,'ABB ExDa'!$A$2:$N$184, 5,FALSE), IFERROR(VLOOKUP($A774,'Vocus SIT ExDa'!$B$2:$J$173, 2,FALSE), IFERROR(VLOOKUP($A774,'Telstra ExDa'!$B$2:$K$310, 4,FALSE), IFERROR(VLOOKUP($A774,'Vocus RVC ExDa'!$C$2:$R$155, 8,FALSE), IFERROR(VLOOKUP($A774,'Fusion ExDa'!$B$2:$D$16, 4,FALSE), IFERROR(VLOOKUP($A774,'Exetel ExDa'!$C$2:$N$14, 5,FALSE), IFERROR(VLOOKUP($A774,'Infinet ExDa'!$B$2:$E$14, 3,FALSE), "Not Found"))))))))</f>
        <v>100Mbps/40Mbps</v>
      </c>
      <c r="F774" t="str">
        <f>IFERROR(VLOOKUP($A774,'AAPT ExDa'!$B$2:$U$99, 4,FALSE), IFERROR(VLOOKUP($A774,'ABB ExDa'!$A$2:$N$184, 6,FALSE), IFERROR(VLOOKUP($A774,'Vocus SIT ExDa'!$B$2:$J$173, 3,FALSE), IFERROR(VLOOKUP($A774,'Telstra ExDa'!$B$2:$K$310, 5,FALSE), IFERROR(VLOOKUP($A774,'Vocus RVC ExDa'!$C$2:$R$155, 9,FALSE), IFERROR(VLOOKUP($A774,'Fusion ExDa'!$B$2:$D$16, 0,FALSE), IFERROR(VLOOKUP($A774,'Exetel ExDa'!$C$2:$N$14, 6,FALSE), IFERROR(VLOOKUP($A774,'Infinet ExDa'!$B$2:$E$14, 0,FALSE), "Not Found"))))))))</f>
        <v>NBN Reseller G4  FTTP</v>
      </c>
      <c r="G774" t="str">
        <f>IFERROR(VLOOKUP($A774,'AAPT ExDa'!$B$2:$U$99, 5,FALSE), IFERROR(VLOOKUP($A774,'ABB ExDa'!$A$2:$N$184, 8,FALSE), IFERROR(VLOOKUP($A774,'Vocus SIT ExDa'!$B$2:$J$173, 6,FALSE), IFERROR(VLOOKUP($A774,'Telstra ExDa'!$B$2:$K$310, 0,FALSE), IFERROR(VLOOKUP($A774,'Vocus RVC ExDa'!$C$2:$R$155, 15,FALSE), IFERROR(VLOOKUP($A774,'Fusion ExDa'!$B$2:$D$16, 0,FALSE), IFERROR(VLOOKUP($A774,'Exetel ExDa'!$C$2:$N$14, 7,FALSE), IFERROR(VLOOKUP($A774,'Infinet ExDa'!$B$2:$E$14, 0,FALSE), "Not Found"))))))))</f>
        <v>202.62.147.185</v>
      </c>
      <c r="H774" t="str">
        <f>IFERROR(VLOOKUP($A774,'AAPT ExDa'!$B$2:$U$99, 6,FALSE), IFERROR(VLOOKUP($A774,'ABB ExDa'!$A$2:$N$184, 0,FALSE), IFERROR(VLOOKUP($A774,'Vocus SIT ExDa'!$B$2:$J$173, 0,FALSE), IFERROR(VLOOKUP($A774,'Telstra ExDa'!$B$2:$K$310, 0,FALSE), IFERROR(VLOOKUP($A774,'Vocus RVC ExDa'!$C$2:$R$155, 16,FALSE), IFERROR(VLOOKUP($A774,'Fusion ExDa'!$B$2:$D$16, 0,FALSE), IFERROR(VLOOKUP($A774,'Exetel ExDa'!$C$2:$N$14, 0,FALSE), IFERROR(VLOOKUP($A774,'Infinet ExDa'!$B$2:$E$14, 0,FALSE), "Not Found"))))))))</f>
        <v>PPPoE</v>
      </c>
      <c r="I774" t="str">
        <f>IFERROR(VLOOKUP($A774,'AAPT ExDa'!$B$2:$U$99, 0,FALSE), IFERROR(VLOOKUP($A774,'ABB ExDa'!$A$2:$N$184, 0,FALSE), IFERROR(VLOOKUP($A774,'Vocus SIT ExDa'!$B$2:$J$173, 0,FALSE), IFERROR(VLOOKUP($A774,'Telstra ExDa'!$B$2:$K$310, 0,FALSE), IFERROR(VLOOKUP($A774,'Vocus RVC ExDa'!$C$2:$R$155, 0,FALSE), IFERROR(VLOOKUP($A774,'Fusion ExDa'!$B$2:$D$16, 0,FALSE), IFERROR(VLOOKUP($A774,'Exetel ExDa'!$C$2:$N$14, 8,FALSE), IFERROR(VLOOKUP($A774,'Infinet ExDa'!$B$2:$E$14, 0,FALSE), "Not Found"))))))))</f>
        <v>Not Found</v>
      </c>
      <c r="J774" t="str">
        <f>IFERROR(VLOOKUP($A774,'AAPT ExDa'!$B$2:$U$99, 7,FALSE), IFERROR(VLOOKUP($A774,'ABB ExDa'!$A$2:$N$184, 2,FALSE), IFERROR(VLOOKUP($A774,'Vocus SIT ExDa'!$B$2:$J$173, 0,FALSE), IFERROR(VLOOKUP($A774,'Telstra ExDa'!$B$2:$K$310, 7,FALSE), IFERROR(VLOOKUP($A774,'Vocus RVC ExDa'!$C$2:$R$155, 2,FALSE), IFERROR(VLOOKUP($A774,'Fusion ExDa'!$B$2:$D$16, 3,FALSE), IFERROR(VLOOKUP($A774,'Exetel ExDa'!$C$2:$N$14, 0,FALSE), IFERROR(VLOOKUP($A774,'Infinet ExDa'!$B$2:$E$14, 0,FALSE), "Not Found"))))))))</f>
        <v xml:space="preserve">	AVC000156863063</v>
      </c>
      <c r="K774" t="str">
        <f>IFERROR(VLOOKUP($A774,'AAPT ExDa'!$B$2:$U$99, 12,FALSE), IFERROR(VLOOKUP($A774,'ABB ExDa'!$A$2:$N$184, 0,FALSE), IFERROR(VLOOKUP($A774,'Vocus SIT ExDa'!$B$2:$J$173, 0,FALSE), IFERROR(VLOOKUP($A774,'Telstra ExDa'!$B$2:$K$310, 0,FALSE), IFERROR(VLOOKUP($A774,'Vocus RVC ExDa'!$C$2:$R$155, 0,FALSE), IFERROR(VLOOKUP($A774,'Fusion ExDa'!$B$2:$D$16, 0,FALSE), IFERROR(VLOOKUP($A774,'Exetel ExDa'!$C$2:$N$14, 12,FALSE), IFERROR(VLOOKUP($A774,'Infinet ExDa'!$B$2:$E$14, 0,FALSE), "Not Found"))))))))</f>
        <v>Not Found</v>
      </c>
      <c r="L774" s="235" t="str">
        <f>IFERROR(VLOOKUP($A774,'AAPT ExDa'!$B$2:$U$99, 11,FALSE), IFERROR(VLOOKUP($A774,'ABB ExDa'!$A$2:$N$184, 9,FALSE), IFERROR(VLOOKUP($A774,'Vocus SIT ExDa'!$B$2:$J$173, 8,FALSE), IFERROR(VLOOKUP($A774,'Telstra ExDa'!$B$2:$K$310, 0,FALSE), IFERROR(VLOOKUP($A774,'Vocus RVC ExDa'!$C$2:$R$155, 0,FALSE), IFERROR(VLOOKUP($A774,'Fusion ExDa'!$B$2:$D$16, 0,FALSE), IFERROR(VLOOKUP($A774,'Exetel ExDa'!$C$2:$N$14, 9,FALSE), IFERROR(VLOOKUP($A774,'Infinet ExDa'!$B$2:$E$14, 0,FALSE), "Not Found"))))))))</f>
        <v>Not Found</v>
      </c>
      <c r="M774" s="234" t="str">
        <f>IFERROR(VLOOKUP($A774,'AAPT ExDa'!$B$2:$U$99, 0,FALSE), IFERROR(VLOOKUP($A774,'ABB ExDa'!$A$2:$N$184, 0,FALSE), IFERROR(VLOOKUP($A774,'Vocus SIT ExDa'!$B$2:$J$173, 0,FALSE), IFERROR(VLOOKUP($A774,'Telstra ExDa'!$B$2:$K$310, 0,FALSE), IFERROR(VLOOKUP($A774,'Vocus RVC ExDa'!$C$2:$R$155, 0,FALSE), IFERROR(VLOOKUP($A774,'Fusion ExDa'!$B$2:$D$16, 0,FALSE), IFERROR(VLOOKUP($A774,'Exetel ExDa'!$C$2:$N$14, 11,FALSE), IFERROR(VLOOKUP($A774,'Infinet ExDa'!$B$2:$E$14, 0,FALSE), "Not Found"))))))))</f>
        <v>Not Found</v>
      </c>
      <c r="N774" t="str">
        <f>IFERROR(VLOOKUP($A774,'AAPT ExDa'!$B$2:$U$99, 0,FALSE), IFERROR(VLOOKUP($A774,'ABB ExDa'!$A$2:$N$184, 13,FALSE), IFERROR(VLOOKUP($A774,'Vocus SIT ExDa'!$B$2:$J$173, 0,FALSE), IFERROR(VLOOKUP($A774,'Telstra ExDa'!$B$2:$K$310, 0,FALSE), IFERROR(VLOOKUP($A774,'Vocus RVC ExDa'!$C$2:$R$155, 0,FALSE), IFERROR(VLOOKUP($A774,'Fusion ExDa'!$B$2:$D$16, 0,FALSE), IFERROR(VLOOKUP($A774,'Exetel ExDa'!$C$2:$N$14, 0,FALSE), IFERROR(VLOOKUP($A774,'Infinet ExDa'!$B$2:$E$14, 0,FALSE), "Not Found"))))))))</f>
        <v>Not Found</v>
      </c>
    </row>
    <row r="775" spans="1:14">
      <c r="A775" t="str">
        <v>UMC North Lakes</v>
      </c>
      <c r="B775" t="str">
        <f>IFERROR(VLOOKUP(A775,'Exetel ExDa'!$C$2:$N$14,4,FALSE),"No Data")</f>
        <v>No Data</v>
      </c>
      <c r="C775" t="str">
        <f>IFERROR(VLOOKUP(A775,'AAPT ExDa'!$B$2:$U$99, 2,FALSE), IFERROR(VLOOKUP(A775,'ABB ExDa'!$A$2:$N$184, 2,FALSE), IFERROR(VLOOKUP(A775,'Vocus SIT ExDa'!$B$2:$J$173, 7,FALSE), IFERROR(VLOOKUP(A775,'Telstra ExDa'!$B$2:$K$310, 2,FALSE), IFERROR(VLOOKUP(A775,'Vocus RVC ExDa'!$C$2:$R$155, 3,FALSE), IFERROR(VLOOKUP(A775,'Fusion ExDa'!$B$2:$D$16, 2,FALSE), IFERROR(VLOOKUP(A775,'Exetel ExDa'!$C$2:$N$14, 2,FALSE), IFERROR(VLOOKUP(A775,'Infinet ExDa'!$B$2:$E$14, 2,FALSE), "Not Found"))))))))</f>
        <v xml:space="preserve">Offc 1 26 Torres Cr </v>
      </c>
      <c r="D775">
        <f>IFERROR(VLOOKUP($A775,'AAPT ExDa'!$B$2:$U$99, 15,FALSE), IFERROR(VLOOKUP($A775,'ABB ExDa'!$A$2:$N$184, 4,FALSE), IFERROR(VLOOKUP($A775,'Vocus SIT ExDa'!$B$2:$J$173, 5,FALSE), IFERROR(VLOOKUP($A775,'Telstra ExDa'!$B$2:$K$310, 8,FALSE), IFERROR(VLOOKUP($A775,'Vocus RVC ExDa'!$C$2:$R$155, 6,FALSE), IFERROR(VLOOKUP($A775,'Fusion ExDa'!$B$2:$D$16, 4,FALSE), IFERROR(VLOOKUP($A775,'Exetel ExDa'!$C$2:$N$14, 3,FALSE), IFERROR(VLOOKUP($A775,'Infinet ExDa'!$B$2:$E$14, 3,FALSE), "Not Found"))))))))</f>
        <v>4509</v>
      </c>
      <c r="E775" t="str">
        <f>IFERROR(VLOOKUP($A775,'AAPT ExDa'!$B$2:$U$99, 3,FALSE), IFERROR(VLOOKUP($A775,'ABB ExDa'!$A$2:$N$184, 5,FALSE), IFERROR(VLOOKUP($A775,'Vocus SIT ExDa'!$B$2:$J$173, 2,FALSE), IFERROR(VLOOKUP($A775,'Telstra ExDa'!$B$2:$K$310, 4,FALSE), IFERROR(VLOOKUP($A775,'Vocus RVC ExDa'!$C$2:$R$155, 8,FALSE), IFERROR(VLOOKUP($A775,'Fusion ExDa'!$B$2:$D$16, 4,FALSE), IFERROR(VLOOKUP($A775,'Exetel ExDa'!$C$2:$N$14, 5,FALSE), IFERROR(VLOOKUP($A775,'Infinet ExDa'!$B$2:$E$14, 3,FALSE), "Not Found"))))))))</f>
        <v>100Mbps/40Mbps</v>
      </c>
      <c r="F775" t="str">
        <f>IFERROR(VLOOKUP($A775,'AAPT ExDa'!$B$2:$U$99, 4,FALSE), IFERROR(VLOOKUP($A775,'ABB ExDa'!$A$2:$N$184, 6,FALSE), IFERROR(VLOOKUP($A775,'Vocus SIT ExDa'!$B$2:$J$173, 3,FALSE), IFERROR(VLOOKUP($A775,'Telstra ExDa'!$B$2:$K$310, 5,FALSE), IFERROR(VLOOKUP($A775,'Vocus RVC ExDa'!$C$2:$R$155, 9,FALSE), IFERROR(VLOOKUP($A775,'Fusion ExDa'!$B$2:$D$16, 0,FALSE), IFERROR(VLOOKUP($A775,'Exetel ExDa'!$C$2:$N$14, 6,FALSE), IFERROR(VLOOKUP($A775,'Infinet ExDa'!$B$2:$E$14, 0,FALSE), "Not Found"))))))))</f>
        <v>NBN Reseller G4  FTTP</v>
      </c>
      <c r="G775" t="str">
        <f>IFERROR(VLOOKUP($A775,'AAPT ExDa'!$B$2:$U$99, 5,FALSE), IFERROR(VLOOKUP($A775,'ABB ExDa'!$A$2:$N$184, 8,FALSE), IFERROR(VLOOKUP($A775,'Vocus SIT ExDa'!$B$2:$J$173, 6,FALSE), IFERROR(VLOOKUP($A775,'Telstra ExDa'!$B$2:$K$310, 0,FALSE), IFERROR(VLOOKUP($A775,'Vocus RVC ExDa'!$C$2:$R$155, 15,FALSE), IFERROR(VLOOKUP($A775,'Fusion ExDa'!$B$2:$D$16, 0,FALSE), IFERROR(VLOOKUP($A775,'Exetel ExDa'!$C$2:$N$14, 7,FALSE), IFERROR(VLOOKUP($A775,'Infinet ExDa'!$B$2:$E$14, 0,FALSE), "Not Found"))))))))</f>
        <v>202.62.138.80</v>
      </c>
      <c r="H775" t="str">
        <f>IFERROR(VLOOKUP($A775,'AAPT ExDa'!$B$2:$U$99, 6,FALSE), IFERROR(VLOOKUP($A775,'ABB ExDa'!$A$2:$N$184, 0,FALSE), IFERROR(VLOOKUP($A775,'Vocus SIT ExDa'!$B$2:$J$173, 0,FALSE), IFERROR(VLOOKUP($A775,'Telstra ExDa'!$B$2:$K$310, 0,FALSE), IFERROR(VLOOKUP($A775,'Vocus RVC ExDa'!$C$2:$R$155, 16,FALSE), IFERROR(VLOOKUP($A775,'Fusion ExDa'!$B$2:$D$16, 0,FALSE), IFERROR(VLOOKUP($A775,'Exetel ExDa'!$C$2:$N$14, 0,FALSE), IFERROR(VLOOKUP($A775,'Infinet ExDa'!$B$2:$E$14, 0,FALSE), "Not Found"))))))))</f>
        <v>PPPoE</v>
      </c>
      <c r="I775" t="str">
        <f>IFERROR(VLOOKUP($A775,'AAPT ExDa'!$B$2:$U$99, 0,FALSE), IFERROR(VLOOKUP($A775,'ABB ExDa'!$A$2:$N$184, 0,FALSE), IFERROR(VLOOKUP($A775,'Vocus SIT ExDa'!$B$2:$J$173, 0,FALSE), IFERROR(VLOOKUP($A775,'Telstra ExDa'!$B$2:$K$310, 0,FALSE), IFERROR(VLOOKUP($A775,'Vocus RVC ExDa'!$C$2:$R$155, 0,FALSE), IFERROR(VLOOKUP($A775,'Fusion ExDa'!$B$2:$D$16, 0,FALSE), IFERROR(VLOOKUP($A775,'Exetel ExDa'!$C$2:$N$14, 8,FALSE), IFERROR(VLOOKUP($A775,'Infinet ExDa'!$B$2:$E$14, 0,FALSE), "Not Found"))))))))</f>
        <v>Not Found</v>
      </c>
      <c r="J775" t="str">
        <f>IFERROR(VLOOKUP($A775,'AAPT ExDa'!$B$2:$U$99, 7,FALSE), IFERROR(VLOOKUP($A775,'ABB ExDa'!$A$2:$N$184, 2,FALSE), IFERROR(VLOOKUP($A775,'Vocus SIT ExDa'!$B$2:$J$173, 0,FALSE), IFERROR(VLOOKUP($A775,'Telstra ExDa'!$B$2:$K$310, 7,FALSE), IFERROR(VLOOKUP($A775,'Vocus RVC ExDa'!$C$2:$R$155, 2,FALSE), IFERROR(VLOOKUP($A775,'Fusion ExDa'!$B$2:$D$16, 3,FALSE), IFERROR(VLOOKUP($A775,'Exetel ExDa'!$C$2:$N$14, 0,FALSE), IFERROR(VLOOKUP($A775,'Infinet ExDa'!$B$2:$E$14, 0,FALSE), "Not Found"))))))))</f>
        <v>AVC000157763345</v>
      </c>
      <c r="K775" t="str">
        <f>IFERROR(VLOOKUP($A775,'AAPT ExDa'!$B$2:$U$99, 12,FALSE), IFERROR(VLOOKUP($A775,'ABB ExDa'!$A$2:$N$184, 0,FALSE), IFERROR(VLOOKUP($A775,'Vocus SIT ExDa'!$B$2:$J$173, 0,FALSE), IFERROR(VLOOKUP($A775,'Telstra ExDa'!$B$2:$K$310, 0,FALSE), IFERROR(VLOOKUP($A775,'Vocus RVC ExDa'!$C$2:$R$155, 0,FALSE), IFERROR(VLOOKUP($A775,'Fusion ExDa'!$B$2:$D$16, 0,FALSE), IFERROR(VLOOKUP($A775,'Exetel ExDa'!$C$2:$N$14, 12,FALSE), IFERROR(VLOOKUP($A775,'Infinet ExDa'!$B$2:$E$14, 0,FALSE), "Not Found"))))))))</f>
        <v>Not Found</v>
      </c>
      <c r="L775" s="235" t="str">
        <f>IFERROR(VLOOKUP($A775,'AAPT ExDa'!$B$2:$U$99, 11,FALSE), IFERROR(VLOOKUP($A775,'ABB ExDa'!$A$2:$N$184, 9,FALSE), IFERROR(VLOOKUP($A775,'Vocus SIT ExDa'!$B$2:$J$173, 8,FALSE), IFERROR(VLOOKUP($A775,'Telstra ExDa'!$B$2:$K$310, 0,FALSE), IFERROR(VLOOKUP($A775,'Vocus RVC ExDa'!$C$2:$R$155, 0,FALSE), IFERROR(VLOOKUP($A775,'Fusion ExDa'!$B$2:$D$16, 0,FALSE), IFERROR(VLOOKUP($A775,'Exetel ExDa'!$C$2:$N$14, 9,FALSE), IFERROR(VLOOKUP($A775,'Infinet ExDa'!$B$2:$E$14, 0,FALSE), "Not Found"))))))))</f>
        <v>Not Found</v>
      </c>
      <c r="M775" s="234" t="str">
        <f>IFERROR(VLOOKUP($A775,'AAPT ExDa'!$B$2:$U$99, 0,FALSE), IFERROR(VLOOKUP($A775,'ABB ExDa'!$A$2:$N$184, 0,FALSE), IFERROR(VLOOKUP($A775,'Vocus SIT ExDa'!$B$2:$J$173, 0,FALSE), IFERROR(VLOOKUP($A775,'Telstra ExDa'!$B$2:$K$310, 0,FALSE), IFERROR(VLOOKUP($A775,'Vocus RVC ExDa'!$C$2:$R$155, 0,FALSE), IFERROR(VLOOKUP($A775,'Fusion ExDa'!$B$2:$D$16, 0,FALSE), IFERROR(VLOOKUP($A775,'Exetel ExDa'!$C$2:$N$14, 11,FALSE), IFERROR(VLOOKUP($A775,'Infinet ExDa'!$B$2:$E$14, 0,FALSE), "Not Found"))))))))</f>
        <v>Not Found</v>
      </c>
      <c r="N775" t="str">
        <f>IFERROR(VLOOKUP($A775,'AAPT ExDa'!$B$2:$U$99, 0,FALSE), IFERROR(VLOOKUP($A775,'ABB ExDa'!$A$2:$N$184, 13,FALSE), IFERROR(VLOOKUP($A775,'Vocus SIT ExDa'!$B$2:$J$173, 0,FALSE), IFERROR(VLOOKUP($A775,'Telstra ExDa'!$B$2:$K$310, 0,FALSE), IFERROR(VLOOKUP($A775,'Vocus RVC ExDa'!$C$2:$R$155, 0,FALSE), IFERROR(VLOOKUP($A775,'Fusion ExDa'!$B$2:$D$16, 0,FALSE), IFERROR(VLOOKUP($A775,'Exetel ExDa'!$C$2:$N$14, 0,FALSE), IFERROR(VLOOKUP($A775,'Infinet ExDa'!$B$2:$E$14, 0,FALSE), "Not Found"))))))))</f>
        <v>Not Found</v>
      </c>
    </row>
    <row r="776" spans="1:14">
      <c r="A776">
        <v>0</v>
      </c>
      <c r="B776" t="str">
        <f>IFERROR(VLOOKUP(A776,'Exetel ExDa'!$C$2:$N$14,4,FALSE),"No Data")</f>
        <v>No Data</v>
      </c>
      <c r="C776" t="str">
        <f>IFERROR(VLOOKUP(A776,'AAPT ExDa'!$B$2:$U$99, 2,FALSE), IFERROR(VLOOKUP(A776,'ABB ExDa'!$A$2:$N$184, 2,FALSE), IFERROR(VLOOKUP(A776,'Vocus SIT ExDa'!$B$2:$J$173, 7,FALSE), IFERROR(VLOOKUP(A776,'Telstra ExDa'!$B$2:$K$310, 2,FALSE), IFERROR(VLOOKUP(A776,'Vocus RVC ExDa'!$C$2:$R$155, 3,FALSE), IFERROR(VLOOKUP(A776,'Fusion ExDa'!$B$2:$D$16, 2,FALSE), IFERROR(VLOOKUP(A776,'Exetel ExDa'!$C$2:$N$14, 2,FALSE), IFERROR(VLOOKUP(A776,'Infinet ExDa'!$B$2:$E$14, 2,FALSE), "Not Found"))))))))</f>
        <v>Not Found</v>
      </c>
      <c r="D776" t="str">
        <f>IFERROR(VLOOKUP($A776,'AAPT ExDa'!$B$2:$U$99, 15,FALSE), IFERROR(VLOOKUP($A776,'ABB ExDa'!$A$2:$N$184, 4,FALSE), IFERROR(VLOOKUP($A776,'Vocus SIT ExDa'!$B$2:$J$173, 5,FALSE), IFERROR(VLOOKUP($A776,'Telstra ExDa'!$B$2:$K$310, 8,FALSE), IFERROR(VLOOKUP($A776,'Vocus RVC ExDa'!$C$2:$R$155, 6,FALSE), IFERROR(VLOOKUP($A776,'Fusion ExDa'!$B$2:$D$16, 4,FALSE), IFERROR(VLOOKUP($A776,'Exetel ExDa'!$C$2:$N$14, 3,FALSE), IFERROR(VLOOKUP($A776,'Infinet ExDa'!$B$2:$E$14, 3,FALSE), "Not Found"))))))))</f>
        <v>Not Found</v>
      </c>
      <c r="E776" t="str">
        <f>IFERROR(VLOOKUP($A776,'AAPT ExDa'!$B$2:$U$99, 3,FALSE), IFERROR(VLOOKUP($A776,'ABB ExDa'!$A$2:$N$184, 5,FALSE), IFERROR(VLOOKUP($A776,'Vocus SIT ExDa'!$B$2:$J$173, 2,FALSE), IFERROR(VLOOKUP($A776,'Telstra ExDa'!$B$2:$K$310, 4,FALSE), IFERROR(VLOOKUP($A776,'Vocus RVC ExDa'!$C$2:$R$155, 8,FALSE), IFERROR(VLOOKUP($A776,'Fusion ExDa'!$B$2:$D$16, 4,FALSE), IFERROR(VLOOKUP($A776,'Exetel ExDa'!$C$2:$N$14, 5,FALSE), IFERROR(VLOOKUP($A776,'Infinet ExDa'!$B$2:$E$14, 3,FALSE), "Not Found"))))))))</f>
        <v>Not Found</v>
      </c>
      <c r="F776" t="str">
        <f>IFERROR(VLOOKUP($A776,'AAPT ExDa'!$B$2:$U$99, 4,FALSE), IFERROR(VLOOKUP($A776,'ABB ExDa'!$A$2:$N$184, 6,FALSE), IFERROR(VLOOKUP($A776,'Vocus SIT ExDa'!$B$2:$J$173, 3,FALSE), IFERROR(VLOOKUP($A776,'Telstra ExDa'!$B$2:$K$310, 5,FALSE), IFERROR(VLOOKUP($A776,'Vocus RVC ExDa'!$C$2:$R$155, 9,FALSE), IFERROR(VLOOKUP($A776,'Fusion ExDa'!$B$2:$D$16, 0,FALSE), IFERROR(VLOOKUP($A776,'Exetel ExDa'!$C$2:$N$14, 6,FALSE), IFERROR(VLOOKUP($A776,'Infinet ExDa'!$B$2:$E$14, 0,FALSE), "Not Found"))))))))</f>
        <v>Not Found</v>
      </c>
      <c r="G776" t="str">
        <f>IFERROR(VLOOKUP($A776,'AAPT ExDa'!$B$2:$U$99, 5,FALSE), IFERROR(VLOOKUP($A776,'ABB ExDa'!$A$2:$N$184, 8,FALSE), IFERROR(VLOOKUP($A776,'Vocus SIT ExDa'!$B$2:$J$173, 6,FALSE), IFERROR(VLOOKUP($A776,'Telstra ExDa'!$B$2:$K$310, 0,FALSE), IFERROR(VLOOKUP($A776,'Vocus RVC ExDa'!$C$2:$R$155, 15,FALSE), IFERROR(VLOOKUP($A776,'Fusion ExDa'!$B$2:$D$16, 0,FALSE), IFERROR(VLOOKUP($A776,'Exetel ExDa'!$C$2:$N$14, 7,FALSE), IFERROR(VLOOKUP($A776,'Infinet ExDa'!$B$2:$E$14, 0,FALSE), "Not Found"))))))))</f>
        <v>Not Found</v>
      </c>
      <c r="H776" t="str">
        <f>IFERROR(VLOOKUP($A776,'AAPT ExDa'!$B$2:$U$99, 6,FALSE), IFERROR(VLOOKUP($A776,'ABB ExDa'!$A$2:$N$184, 0,FALSE), IFERROR(VLOOKUP($A776,'Vocus SIT ExDa'!$B$2:$J$173, 0,FALSE), IFERROR(VLOOKUP($A776,'Telstra ExDa'!$B$2:$K$310, 0,FALSE), IFERROR(VLOOKUP($A776,'Vocus RVC ExDa'!$C$2:$R$155, 16,FALSE), IFERROR(VLOOKUP($A776,'Fusion ExDa'!$B$2:$D$16, 0,FALSE), IFERROR(VLOOKUP($A776,'Exetel ExDa'!$C$2:$N$14, 0,FALSE), IFERROR(VLOOKUP($A776,'Infinet ExDa'!$B$2:$E$14, 0,FALSE), "Not Found"))))))))</f>
        <v>Not Found</v>
      </c>
      <c r="I776" t="str">
        <f>IFERROR(VLOOKUP($A776,'AAPT ExDa'!$B$2:$U$99, 0,FALSE), IFERROR(VLOOKUP($A776,'ABB ExDa'!$A$2:$N$184, 0,FALSE), IFERROR(VLOOKUP($A776,'Vocus SIT ExDa'!$B$2:$J$173, 0,FALSE), IFERROR(VLOOKUP($A776,'Telstra ExDa'!$B$2:$K$310, 0,FALSE), IFERROR(VLOOKUP($A776,'Vocus RVC ExDa'!$C$2:$R$155, 0,FALSE), IFERROR(VLOOKUP($A776,'Fusion ExDa'!$B$2:$D$16, 0,FALSE), IFERROR(VLOOKUP($A776,'Exetel ExDa'!$C$2:$N$14, 8,FALSE), IFERROR(VLOOKUP($A776,'Infinet ExDa'!$B$2:$E$14, 0,FALSE), "Not Found"))))))))</f>
        <v>Not Found</v>
      </c>
      <c r="J776" t="str">
        <f>IFERROR(VLOOKUP($A776,'AAPT ExDa'!$B$2:$U$99, 7,FALSE), IFERROR(VLOOKUP($A776,'ABB ExDa'!$A$2:$N$184, 2,FALSE), IFERROR(VLOOKUP($A776,'Vocus SIT ExDa'!$B$2:$J$173, 0,FALSE), IFERROR(VLOOKUP($A776,'Telstra ExDa'!$B$2:$K$310, 7,FALSE), IFERROR(VLOOKUP($A776,'Vocus RVC ExDa'!$C$2:$R$155, 2,FALSE), IFERROR(VLOOKUP($A776,'Fusion ExDa'!$B$2:$D$16, 3,FALSE), IFERROR(VLOOKUP($A776,'Exetel ExDa'!$C$2:$N$14, 0,FALSE), IFERROR(VLOOKUP($A776,'Infinet ExDa'!$B$2:$E$14, 0,FALSE), "Not Found"))))))))</f>
        <v>Not Found</v>
      </c>
      <c r="K776" t="str">
        <f>IFERROR(VLOOKUP($A776,'AAPT ExDa'!$B$2:$U$99, 12,FALSE), IFERROR(VLOOKUP($A776,'ABB ExDa'!$A$2:$N$184, 0,FALSE), IFERROR(VLOOKUP($A776,'Vocus SIT ExDa'!$B$2:$J$173, 0,FALSE), IFERROR(VLOOKUP($A776,'Telstra ExDa'!$B$2:$K$310, 0,FALSE), IFERROR(VLOOKUP($A776,'Vocus RVC ExDa'!$C$2:$R$155, 0,FALSE), IFERROR(VLOOKUP($A776,'Fusion ExDa'!$B$2:$D$16, 0,FALSE), IFERROR(VLOOKUP($A776,'Exetel ExDa'!$C$2:$N$14, 12,FALSE), IFERROR(VLOOKUP($A776,'Infinet ExDa'!$B$2:$E$14, 0,FALSE), "Not Found"))))))))</f>
        <v>Not Found</v>
      </c>
      <c r="L776" s="235" t="str">
        <f>IFERROR(VLOOKUP($A776,'AAPT ExDa'!$B$2:$U$99, 11,FALSE), IFERROR(VLOOKUP($A776,'ABB ExDa'!$A$2:$N$184, 9,FALSE), IFERROR(VLOOKUP($A776,'Vocus SIT ExDa'!$B$2:$J$173, 8,FALSE), IFERROR(VLOOKUP($A776,'Telstra ExDa'!$B$2:$K$310, 0,FALSE), IFERROR(VLOOKUP($A776,'Vocus RVC ExDa'!$C$2:$R$155, 0,FALSE), IFERROR(VLOOKUP($A776,'Fusion ExDa'!$B$2:$D$16, 0,FALSE), IFERROR(VLOOKUP($A776,'Exetel ExDa'!$C$2:$N$14, 9,FALSE), IFERROR(VLOOKUP($A776,'Infinet ExDa'!$B$2:$E$14, 0,FALSE), "Not Found"))))))))</f>
        <v>Not Found</v>
      </c>
      <c r="M776" s="234" t="str">
        <f>IFERROR(VLOOKUP($A776,'AAPT ExDa'!$B$2:$U$99, 0,FALSE), IFERROR(VLOOKUP($A776,'ABB ExDa'!$A$2:$N$184, 0,FALSE), IFERROR(VLOOKUP($A776,'Vocus SIT ExDa'!$B$2:$J$173, 0,FALSE), IFERROR(VLOOKUP($A776,'Telstra ExDa'!$B$2:$K$310, 0,FALSE), IFERROR(VLOOKUP($A776,'Vocus RVC ExDa'!$C$2:$R$155, 0,FALSE), IFERROR(VLOOKUP($A776,'Fusion ExDa'!$B$2:$D$16, 0,FALSE), IFERROR(VLOOKUP($A776,'Exetel ExDa'!$C$2:$N$14, 11,FALSE), IFERROR(VLOOKUP($A776,'Infinet ExDa'!$B$2:$E$14, 0,FALSE), "Not Found"))))))))</f>
        <v>Not Found</v>
      </c>
      <c r="N776" t="str">
        <f>IFERROR(VLOOKUP($A776,'AAPT ExDa'!$B$2:$U$99, 0,FALSE), IFERROR(VLOOKUP($A776,'ABB ExDa'!$A$2:$N$184, 13,FALSE), IFERROR(VLOOKUP($A776,'Vocus SIT ExDa'!$B$2:$J$173, 0,FALSE), IFERROR(VLOOKUP($A776,'Telstra ExDa'!$B$2:$K$310, 0,FALSE), IFERROR(VLOOKUP($A776,'Vocus RVC ExDa'!$C$2:$R$155, 0,FALSE), IFERROR(VLOOKUP($A776,'Fusion ExDa'!$B$2:$D$16, 0,FALSE), IFERROR(VLOOKUP($A776,'Exetel ExDa'!$C$2:$N$14, 0,FALSE), IFERROR(VLOOKUP($A776,'Infinet ExDa'!$B$2:$E$14, 0,FALSE), "Not Found"))))))))</f>
        <v>Not Found</v>
      </c>
    </row>
    <row r="777" spans="1:14">
      <c r="A777">
        <v>0</v>
      </c>
      <c r="B777" t="str">
        <f>IFERROR(VLOOKUP(A777,'Exetel ExDa'!$C$2:$N$14,4,FALSE),"No Data")</f>
        <v>No Data</v>
      </c>
      <c r="C777" t="str">
        <f>IFERROR(VLOOKUP(A777,'AAPT ExDa'!$B$2:$U$99, 2,FALSE), IFERROR(VLOOKUP(A777,'ABB ExDa'!$A$2:$N$184, 2,FALSE), IFERROR(VLOOKUP(A777,'Vocus SIT ExDa'!$B$2:$J$173, 7,FALSE), IFERROR(VLOOKUP(A777,'Telstra ExDa'!$B$2:$K$310, 2,FALSE), IFERROR(VLOOKUP(A777,'Vocus RVC ExDa'!$C$2:$R$155, 3,FALSE), IFERROR(VLOOKUP(A777,'Fusion ExDa'!$B$2:$D$16, 2,FALSE), IFERROR(VLOOKUP(A777,'Exetel ExDa'!$C$2:$N$14, 2,FALSE), IFERROR(VLOOKUP(A777,'Infinet ExDa'!$B$2:$E$14, 2,FALSE), "Not Found"))))))))</f>
        <v>Not Found</v>
      </c>
      <c r="D777" t="str">
        <f>IFERROR(VLOOKUP($A777,'AAPT ExDa'!$B$2:$U$99, 15,FALSE), IFERROR(VLOOKUP($A777,'ABB ExDa'!$A$2:$N$184, 4,FALSE), IFERROR(VLOOKUP($A777,'Vocus SIT ExDa'!$B$2:$J$173, 5,FALSE), IFERROR(VLOOKUP($A777,'Telstra ExDa'!$B$2:$K$310, 8,FALSE), IFERROR(VLOOKUP($A777,'Vocus RVC ExDa'!$C$2:$R$155, 6,FALSE), IFERROR(VLOOKUP($A777,'Fusion ExDa'!$B$2:$D$16, 4,FALSE), IFERROR(VLOOKUP($A777,'Exetel ExDa'!$C$2:$N$14, 3,FALSE), IFERROR(VLOOKUP($A777,'Infinet ExDa'!$B$2:$E$14, 3,FALSE), "Not Found"))))))))</f>
        <v>Not Found</v>
      </c>
      <c r="E777" t="str">
        <f>IFERROR(VLOOKUP($A777,'AAPT ExDa'!$B$2:$U$99, 3,FALSE), IFERROR(VLOOKUP($A777,'ABB ExDa'!$A$2:$N$184, 5,FALSE), IFERROR(VLOOKUP($A777,'Vocus SIT ExDa'!$B$2:$J$173, 2,FALSE), IFERROR(VLOOKUP($A777,'Telstra ExDa'!$B$2:$K$310, 4,FALSE), IFERROR(VLOOKUP($A777,'Vocus RVC ExDa'!$C$2:$R$155, 8,FALSE), IFERROR(VLOOKUP($A777,'Fusion ExDa'!$B$2:$D$16, 4,FALSE), IFERROR(VLOOKUP($A777,'Exetel ExDa'!$C$2:$N$14, 5,FALSE), IFERROR(VLOOKUP($A777,'Infinet ExDa'!$B$2:$E$14, 3,FALSE), "Not Found"))))))))</f>
        <v>Not Found</v>
      </c>
      <c r="F777" t="str">
        <f>IFERROR(VLOOKUP($A777,'AAPT ExDa'!$B$2:$U$99, 4,FALSE), IFERROR(VLOOKUP($A777,'ABB ExDa'!$A$2:$N$184, 6,FALSE), IFERROR(VLOOKUP($A777,'Vocus SIT ExDa'!$B$2:$J$173, 3,FALSE), IFERROR(VLOOKUP($A777,'Telstra ExDa'!$B$2:$K$310, 5,FALSE), IFERROR(VLOOKUP($A777,'Vocus RVC ExDa'!$C$2:$R$155, 9,FALSE), IFERROR(VLOOKUP($A777,'Fusion ExDa'!$B$2:$D$16, 0,FALSE), IFERROR(VLOOKUP($A777,'Exetel ExDa'!$C$2:$N$14, 6,FALSE), IFERROR(VLOOKUP($A777,'Infinet ExDa'!$B$2:$E$14, 0,FALSE), "Not Found"))))))))</f>
        <v>Not Found</v>
      </c>
      <c r="G777" t="str">
        <f>IFERROR(VLOOKUP($A777,'AAPT ExDa'!$B$2:$U$99, 5,FALSE), IFERROR(VLOOKUP($A777,'ABB ExDa'!$A$2:$N$184, 8,FALSE), IFERROR(VLOOKUP($A777,'Vocus SIT ExDa'!$B$2:$J$173, 6,FALSE), IFERROR(VLOOKUP($A777,'Telstra ExDa'!$B$2:$K$310, 0,FALSE), IFERROR(VLOOKUP($A777,'Vocus RVC ExDa'!$C$2:$R$155, 15,FALSE), IFERROR(VLOOKUP($A777,'Fusion ExDa'!$B$2:$D$16, 0,FALSE), IFERROR(VLOOKUP($A777,'Exetel ExDa'!$C$2:$N$14, 7,FALSE), IFERROR(VLOOKUP($A777,'Infinet ExDa'!$B$2:$E$14, 0,FALSE), "Not Found"))))))))</f>
        <v>Not Found</v>
      </c>
      <c r="H777" t="str">
        <f>IFERROR(VLOOKUP($A777,'AAPT ExDa'!$B$2:$U$99, 6,FALSE), IFERROR(VLOOKUP($A777,'ABB ExDa'!$A$2:$N$184, 0,FALSE), IFERROR(VLOOKUP($A777,'Vocus SIT ExDa'!$B$2:$J$173, 0,FALSE), IFERROR(VLOOKUP($A777,'Telstra ExDa'!$B$2:$K$310, 0,FALSE), IFERROR(VLOOKUP($A777,'Vocus RVC ExDa'!$C$2:$R$155, 16,FALSE), IFERROR(VLOOKUP($A777,'Fusion ExDa'!$B$2:$D$16, 0,FALSE), IFERROR(VLOOKUP($A777,'Exetel ExDa'!$C$2:$N$14, 0,FALSE), IFERROR(VLOOKUP($A777,'Infinet ExDa'!$B$2:$E$14, 0,FALSE), "Not Found"))))))))</f>
        <v>Not Found</v>
      </c>
      <c r="I777" t="str">
        <f>IFERROR(VLOOKUP($A777,'AAPT ExDa'!$B$2:$U$99, 0,FALSE), IFERROR(VLOOKUP($A777,'ABB ExDa'!$A$2:$N$184, 0,FALSE), IFERROR(VLOOKUP($A777,'Vocus SIT ExDa'!$B$2:$J$173, 0,FALSE), IFERROR(VLOOKUP($A777,'Telstra ExDa'!$B$2:$K$310, 0,FALSE), IFERROR(VLOOKUP($A777,'Vocus RVC ExDa'!$C$2:$R$155, 0,FALSE), IFERROR(VLOOKUP($A777,'Fusion ExDa'!$B$2:$D$16, 0,FALSE), IFERROR(VLOOKUP($A777,'Exetel ExDa'!$C$2:$N$14, 8,FALSE), IFERROR(VLOOKUP($A777,'Infinet ExDa'!$B$2:$E$14, 0,FALSE), "Not Found"))))))))</f>
        <v>Not Found</v>
      </c>
      <c r="J777" t="str">
        <f>IFERROR(VLOOKUP($A777,'AAPT ExDa'!$B$2:$U$99, 7,FALSE), IFERROR(VLOOKUP($A777,'ABB ExDa'!$A$2:$N$184, 2,FALSE), IFERROR(VLOOKUP($A777,'Vocus SIT ExDa'!$B$2:$J$173, 0,FALSE), IFERROR(VLOOKUP($A777,'Telstra ExDa'!$B$2:$K$310, 7,FALSE), IFERROR(VLOOKUP($A777,'Vocus RVC ExDa'!$C$2:$R$155, 2,FALSE), IFERROR(VLOOKUP($A777,'Fusion ExDa'!$B$2:$D$16, 3,FALSE), IFERROR(VLOOKUP($A777,'Exetel ExDa'!$C$2:$N$14, 0,FALSE), IFERROR(VLOOKUP($A777,'Infinet ExDa'!$B$2:$E$14, 0,FALSE), "Not Found"))))))))</f>
        <v>Not Found</v>
      </c>
      <c r="K777" t="str">
        <f>IFERROR(VLOOKUP($A777,'AAPT ExDa'!$B$2:$U$99, 12,FALSE), IFERROR(VLOOKUP($A777,'ABB ExDa'!$A$2:$N$184, 0,FALSE), IFERROR(VLOOKUP($A777,'Vocus SIT ExDa'!$B$2:$J$173, 0,FALSE), IFERROR(VLOOKUP($A777,'Telstra ExDa'!$B$2:$K$310, 0,FALSE), IFERROR(VLOOKUP($A777,'Vocus RVC ExDa'!$C$2:$R$155, 0,FALSE), IFERROR(VLOOKUP($A777,'Fusion ExDa'!$B$2:$D$16, 0,FALSE), IFERROR(VLOOKUP($A777,'Exetel ExDa'!$C$2:$N$14, 12,FALSE), IFERROR(VLOOKUP($A777,'Infinet ExDa'!$B$2:$E$14, 0,FALSE), "Not Found"))))))))</f>
        <v>Not Found</v>
      </c>
      <c r="L777" s="235" t="str">
        <f>IFERROR(VLOOKUP($A777,'AAPT ExDa'!$B$2:$U$99, 11,FALSE), IFERROR(VLOOKUP($A777,'ABB ExDa'!$A$2:$N$184, 9,FALSE), IFERROR(VLOOKUP($A777,'Vocus SIT ExDa'!$B$2:$J$173, 8,FALSE), IFERROR(VLOOKUP($A777,'Telstra ExDa'!$B$2:$K$310, 0,FALSE), IFERROR(VLOOKUP($A777,'Vocus RVC ExDa'!$C$2:$R$155, 0,FALSE), IFERROR(VLOOKUP($A777,'Fusion ExDa'!$B$2:$D$16, 0,FALSE), IFERROR(VLOOKUP($A777,'Exetel ExDa'!$C$2:$N$14, 9,FALSE), IFERROR(VLOOKUP($A777,'Infinet ExDa'!$B$2:$E$14, 0,FALSE), "Not Found"))))))))</f>
        <v>Not Found</v>
      </c>
      <c r="M777" s="234" t="str">
        <f>IFERROR(VLOOKUP($A777,'AAPT ExDa'!$B$2:$U$99, 0,FALSE), IFERROR(VLOOKUP($A777,'ABB ExDa'!$A$2:$N$184, 0,FALSE), IFERROR(VLOOKUP($A777,'Vocus SIT ExDa'!$B$2:$J$173, 0,FALSE), IFERROR(VLOOKUP($A777,'Telstra ExDa'!$B$2:$K$310, 0,FALSE), IFERROR(VLOOKUP($A777,'Vocus RVC ExDa'!$C$2:$R$155, 0,FALSE), IFERROR(VLOOKUP($A777,'Fusion ExDa'!$B$2:$D$16, 0,FALSE), IFERROR(VLOOKUP($A777,'Exetel ExDa'!$C$2:$N$14, 11,FALSE), IFERROR(VLOOKUP($A777,'Infinet ExDa'!$B$2:$E$14, 0,FALSE), "Not Found"))))))))</f>
        <v>Not Found</v>
      </c>
      <c r="N777" t="str">
        <f>IFERROR(VLOOKUP($A777,'AAPT ExDa'!$B$2:$U$99, 0,FALSE), IFERROR(VLOOKUP($A777,'ABB ExDa'!$A$2:$N$184, 13,FALSE), IFERROR(VLOOKUP($A777,'Vocus SIT ExDa'!$B$2:$J$173, 0,FALSE), IFERROR(VLOOKUP($A777,'Telstra ExDa'!$B$2:$K$310, 0,FALSE), IFERROR(VLOOKUP($A777,'Vocus RVC ExDa'!$C$2:$R$155, 0,FALSE), IFERROR(VLOOKUP($A777,'Fusion ExDa'!$B$2:$D$16, 0,FALSE), IFERROR(VLOOKUP($A777,'Exetel ExDa'!$C$2:$N$14, 0,FALSE), IFERROR(VLOOKUP($A777,'Infinet ExDa'!$B$2:$E$14, 0,FALSE), "Not Found"))))))))</f>
        <v>Not Found</v>
      </c>
    </row>
    <row r="778" spans="1:14">
      <c r="A778">
        <v>0</v>
      </c>
      <c r="B778" t="str">
        <f>IFERROR(VLOOKUP(A778,'Exetel ExDa'!$C$2:$N$14,4,FALSE),"No Data")</f>
        <v>No Data</v>
      </c>
      <c r="C778" t="str">
        <f>IFERROR(VLOOKUP(A778,'AAPT ExDa'!$B$2:$U$99, 2,FALSE), IFERROR(VLOOKUP(A778,'ABB ExDa'!$A$2:$N$184, 2,FALSE), IFERROR(VLOOKUP(A778,'Vocus SIT ExDa'!$B$2:$J$173, 7,FALSE), IFERROR(VLOOKUP(A778,'Telstra ExDa'!$B$2:$K$310, 2,FALSE), IFERROR(VLOOKUP(A778,'Vocus RVC ExDa'!$C$2:$R$155, 3,FALSE), IFERROR(VLOOKUP(A778,'Fusion ExDa'!$B$2:$D$16, 2,FALSE), IFERROR(VLOOKUP(A778,'Exetel ExDa'!$C$2:$N$14, 2,FALSE), IFERROR(VLOOKUP(A778,'Infinet ExDa'!$B$2:$E$14, 2,FALSE), "Not Found"))))))))</f>
        <v>Not Found</v>
      </c>
      <c r="D778" t="str">
        <f>IFERROR(VLOOKUP($A778,'AAPT ExDa'!$B$2:$U$99, 15,FALSE), IFERROR(VLOOKUP($A778,'ABB ExDa'!$A$2:$N$184, 4,FALSE), IFERROR(VLOOKUP($A778,'Vocus SIT ExDa'!$B$2:$J$173, 5,FALSE), IFERROR(VLOOKUP($A778,'Telstra ExDa'!$B$2:$K$310, 8,FALSE), IFERROR(VLOOKUP($A778,'Vocus RVC ExDa'!$C$2:$R$155, 6,FALSE), IFERROR(VLOOKUP($A778,'Fusion ExDa'!$B$2:$D$16, 4,FALSE), IFERROR(VLOOKUP($A778,'Exetel ExDa'!$C$2:$N$14, 3,FALSE), IFERROR(VLOOKUP($A778,'Infinet ExDa'!$B$2:$E$14, 3,FALSE), "Not Found"))))))))</f>
        <v>Not Found</v>
      </c>
      <c r="E778" t="str">
        <f>IFERROR(VLOOKUP($A778,'AAPT ExDa'!$B$2:$U$99, 3,FALSE), IFERROR(VLOOKUP($A778,'ABB ExDa'!$A$2:$N$184, 5,FALSE), IFERROR(VLOOKUP($A778,'Vocus SIT ExDa'!$B$2:$J$173, 2,FALSE), IFERROR(VLOOKUP($A778,'Telstra ExDa'!$B$2:$K$310, 4,FALSE), IFERROR(VLOOKUP($A778,'Vocus RVC ExDa'!$C$2:$R$155, 8,FALSE), IFERROR(VLOOKUP($A778,'Fusion ExDa'!$B$2:$D$16, 4,FALSE), IFERROR(VLOOKUP($A778,'Exetel ExDa'!$C$2:$N$14, 5,FALSE), IFERROR(VLOOKUP($A778,'Infinet ExDa'!$B$2:$E$14, 3,FALSE), "Not Found"))))))))</f>
        <v>Not Found</v>
      </c>
      <c r="F778" t="str">
        <f>IFERROR(VLOOKUP($A778,'AAPT ExDa'!$B$2:$U$99, 4,FALSE), IFERROR(VLOOKUP($A778,'ABB ExDa'!$A$2:$N$184, 6,FALSE), IFERROR(VLOOKUP($A778,'Vocus SIT ExDa'!$B$2:$J$173, 3,FALSE), IFERROR(VLOOKUP($A778,'Telstra ExDa'!$B$2:$K$310, 5,FALSE), IFERROR(VLOOKUP($A778,'Vocus RVC ExDa'!$C$2:$R$155, 9,FALSE), IFERROR(VLOOKUP($A778,'Fusion ExDa'!$B$2:$D$16, 0,FALSE), IFERROR(VLOOKUP($A778,'Exetel ExDa'!$C$2:$N$14, 6,FALSE), IFERROR(VLOOKUP($A778,'Infinet ExDa'!$B$2:$E$14, 0,FALSE), "Not Found"))))))))</f>
        <v>Not Found</v>
      </c>
      <c r="G778" t="str">
        <f>IFERROR(VLOOKUP($A778,'AAPT ExDa'!$B$2:$U$99, 5,FALSE), IFERROR(VLOOKUP($A778,'ABB ExDa'!$A$2:$N$184, 8,FALSE), IFERROR(VLOOKUP($A778,'Vocus SIT ExDa'!$B$2:$J$173, 6,FALSE), IFERROR(VLOOKUP($A778,'Telstra ExDa'!$B$2:$K$310, 0,FALSE), IFERROR(VLOOKUP($A778,'Vocus RVC ExDa'!$C$2:$R$155, 15,FALSE), IFERROR(VLOOKUP($A778,'Fusion ExDa'!$B$2:$D$16, 0,FALSE), IFERROR(VLOOKUP($A778,'Exetel ExDa'!$C$2:$N$14, 7,FALSE), IFERROR(VLOOKUP($A778,'Infinet ExDa'!$B$2:$E$14, 0,FALSE), "Not Found"))))))))</f>
        <v>Not Found</v>
      </c>
      <c r="H778" t="str">
        <f>IFERROR(VLOOKUP($A778,'AAPT ExDa'!$B$2:$U$99, 6,FALSE), IFERROR(VLOOKUP($A778,'ABB ExDa'!$A$2:$N$184, 0,FALSE), IFERROR(VLOOKUP($A778,'Vocus SIT ExDa'!$B$2:$J$173, 0,FALSE), IFERROR(VLOOKUP($A778,'Telstra ExDa'!$B$2:$K$310, 0,FALSE), IFERROR(VLOOKUP($A778,'Vocus RVC ExDa'!$C$2:$R$155, 16,FALSE), IFERROR(VLOOKUP($A778,'Fusion ExDa'!$B$2:$D$16, 0,FALSE), IFERROR(VLOOKUP($A778,'Exetel ExDa'!$C$2:$N$14, 0,FALSE), IFERROR(VLOOKUP($A778,'Infinet ExDa'!$B$2:$E$14, 0,FALSE), "Not Found"))))))))</f>
        <v>Not Found</v>
      </c>
      <c r="I778" t="str">
        <f>IFERROR(VLOOKUP($A778,'AAPT ExDa'!$B$2:$U$99, 0,FALSE), IFERROR(VLOOKUP($A778,'ABB ExDa'!$A$2:$N$184, 0,FALSE), IFERROR(VLOOKUP($A778,'Vocus SIT ExDa'!$B$2:$J$173, 0,FALSE), IFERROR(VLOOKUP($A778,'Telstra ExDa'!$B$2:$K$310, 0,FALSE), IFERROR(VLOOKUP($A778,'Vocus RVC ExDa'!$C$2:$R$155, 0,FALSE), IFERROR(VLOOKUP($A778,'Fusion ExDa'!$B$2:$D$16, 0,FALSE), IFERROR(VLOOKUP($A778,'Exetel ExDa'!$C$2:$N$14, 8,FALSE), IFERROR(VLOOKUP($A778,'Infinet ExDa'!$B$2:$E$14, 0,FALSE), "Not Found"))))))))</f>
        <v>Not Found</v>
      </c>
      <c r="J778" t="str">
        <f>IFERROR(VLOOKUP($A778,'AAPT ExDa'!$B$2:$U$99, 7,FALSE), IFERROR(VLOOKUP($A778,'ABB ExDa'!$A$2:$N$184, 2,FALSE), IFERROR(VLOOKUP($A778,'Vocus SIT ExDa'!$B$2:$J$173, 0,FALSE), IFERROR(VLOOKUP($A778,'Telstra ExDa'!$B$2:$K$310, 7,FALSE), IFERROR(VLOOKUP($A778,'Vocus RVC ExDa'!$C$2:$R$155, 2,FALSE), IFERROR(VLOOKUP($A778,'Fusion ExDa'!$B$2:$D$16, 3,FALSE), IFERROR(VLOOKUP($A778,'Exetel ExDa'!$C$2:$N$14, 0,FALSE), IFERROR(VLOOKUP($A778,'Infinet ExDa'!$B$2:$E$14, 0,FALSE), "Not Found"))))))))</f>
        <v>Not Found</v>
      </c>
      <c r="K778" t="str">
        <f>IFERROR(VLOOKUP($A778,'AAPT ExDa'!$B$2:$U$99, 12,FALSE), IFERROR(VLOOKUP($A778,'ABB ExDa'!$A$2:$N$184, 0,FALSE), IFERROR(VLOOKUP($A778,'Vocus SIT ExDa'!$B$2:$J$173, 0,FALSE), IFERROR(VLOOKUP($A778,'Telstra ExDa'!$B$2:$K$310, 0,FALSE), IFERROR(VLOOKUP($A778,'Vocus RVC ExDa'!$C$2:$R$155, 0,FALSE), IFERROR(VLOOKUP($A778,'Fusion ExDa'!$B$2:$D$16, 0,FALSE), IFERROR(VLOOKUP($A778,'Exetel ExDa'!$C$2:$N$14, 12,FALSE), IFERROR(VLOOKUP($A778,'Infinet ExDa'!$B$2:$E$14, 0,FALSE), "Not Found"))))))))</f>
        <v>Not Found</v>
      </c>
      <c r="L778" s="235" t="str">
        <f>IFERROR(VLOOKUP($A778,'AAPT ExDa'!$B$2:$U$99, 11,FALSE), IFERROR(VLOOKUP($A778,'ABB ExDa'!$A$2:$N$184, 9,FALSE), IFERROR(VLOOKUP($A778,'Vocus SIT ExDa'!$B$2:$J$173, 8,FALSE), IFERROR(VLOOKUP($A778,'Telstra ExDa'!$B$2:$K$310, 0,FALSE), IFERROR(VLOOKUP($A778,'Vocus RVC ExDa'!$C$2:$R$155, 0,FALSE), IFERROR(VLOOKUP($A778,'Fusion ExDa'!$B$2:$D$16, 0,FALSE), IFERROR(VLOOKUP($A778,'Exetel ExDa'!$C$2:$N$14, 9,FALSE), IFERROR(VLOOKUP($A778,'Infinet ExDa'!$B$2:$E$14, 0,FALSE), "Not Found"))))))))</f>
        <v>Not Found</v>
      </c>
      <c r="M778" s="234" t="str">
        <f>IFERROR(VLOOKUP($A778,'AAPT ExDa'!$B$2:$U$99, 0,FALSE), IFERROR(VLOOKUP($A778,'ABB ExDa'!$A$2:$N$184, 0,FALSE), IFERROR(VLOOKUP($A778,'Vocus SIT ExDa'!$B$2:$J$173, 0,FALSE), IFERROR(VLOOKUP($A778,'Telstra ExDa'!$B$2:$K$310, 0,FALSE), IFERROR(VLOOKUP($A778,'Vocus RVC ExDa'!$C$2:$R$155, 0,FALSE), IFERROR(VLOOKUP($A778,'Fusion ExDa'!$B$2:$D$16, 0,FALSE), IFERROR(VLOOKUP($A778,'Exetel ExDa'!$C$2:$N$14, 11,FALSE), IFERROR(VLOOKUP($A778,'Infinet ExDa'!$B$2:$E$14, 0,FALSE), "Not Found"))))))))</f>
        <v>Not Found</v>
      </c>
      <c r="N778" t="str">
        <f>IFERROR(VLOOKUP($A778,'AAPT ExDa'!$B$2:$U$99, 0,FALSE), IFERROR(VLOOKUP($A778,'ABB ExDa'!$A$2:$N$184, 13,FALSE), IFERROR(VLOOKUP($A778,'Vocus SIT ExDa'!$B$2:$J$173, 0,FALSE), IFERROR(VLOOKUP($A778,'Telstra ExDa'!$B$2:$K$310, 0,FALSE), IFERROR(VLOOKUP($A778,'Vocus RVC ExDa'!$C$2:$R$155, 0,FALSE), IFERROR(VLOOKUP($A778,'Fusion ExDa'!$B$2:$D$16, 0,FALSE), IFERROR(VLOOKUP($A778,'Exetel ExDa'!$C$2:$N$14, 0,FALSE), IFERROR(VLOOKUP($A778,'Infinet ExDa'!$B$2:$E$14, 0,FALSE), "Not Found"))))))))</f>
        <v>Not Found</v>
      </c>
    </row>
    <row r="779" spans="1:14">
      <c r="A779" t="str">
        <v>Edens Landing Doctors</v>
      </c>
      <c r="B779" t="str">
        <f>IFERROR(VLOOKUP(A779,'Exetel ExDa'!$C$2:$N$14,4,FALSE),"No Data")</f>
        <v>No Data</v>
      </c>
      <c r="C779" t="str">
        <f>IFERROR(VLOOKUP(A779,'AAPT ExDa'!$B$2:$U$99, 2,FALSE), IFERROR(VLOOKUP(A779,'ABB ExDa'!$A$2:$N$184, 2,FALSE), IFERROR(VLOOKUP(A779,'Vocus SIT ExDa'!$B$2:$J$173, 7,FALSE), IFERROR(VLOOKUP(A779,'Telstra ExDa'!$B$2:$K$310, 2,FALSE), IFERROR(VLOOKUP(A779,'Vocus RVC ExDa'!$C$2:$R$155, 3,FALSE), IFERROR(VLOOKUP(A779,'Fusion ExDa'!$B$2:$D$16, 2,FALSE), IFERROR(VLOOKUP(A779,'Exetel ExDa'!$C$2:$N$14, 2,FALSE), IFERROR(VLOOKUP(A779,'Infinet ExDa'!$B$2:$E$14, 2,FALSE), "Not Found"))))))))</f>
        <v>Shop 10 125-127 Castile Cr Edens Landing (</v>
      </c>
      <c r="D779">
        <f>IFERROR(VLOOKUP($A779,'AAPT ExDa'!$B$2:$U$99, 15,FALSE), IFERROR(VLOOKUP($A779,'ABB ExDa'!$A$2:$N$184, 4,FALSE), IFERROR(VLOOKUP($A779,'Vocus SIT ExDa'!$B$2:$J$173, 5,FALSE), IFERROR(VLOOKUP($A779,'Telstra ExDa'!$B$2:$K$310, 8,FALSE), IFERROR(VLOOKUP($A779,'Vocus RVC ExDa'!$C$2:$R$155, 6,FALSE), IFERROR(VLOOKUP($A779,'Fusion ExDa'!$B$2:$D$16, 4,FALSE), IFERROR(VLOOKUP($A779,'Exetel ExDa'!$C$2:$N$14, 3,FALSE), IFERROR(VLOOKUP($A779,'Infinet ExDa'!$B$2:$E$14, 3,FALSE), "Not Found"))))))))</f>
        <v>4207</v>
      </c>
      <c r="E779" t="str">
        <f>IFERROR(VLOOKUP($A779,'AAPT ExDa'!$B$2:$U$99, 3,FALSE), IFERROR(VLOOKUP($A779,'ABB ExDa'!$A$2:$N$184, 5,FALSE), IFERROR(VLOOKUP($A779,'Vocus SIT ExDa'!$B$2:$J$173, 2,FALSE), IFERROR(VLOOKUP($A779,'Telstra ExDa'!$B$2:$K$310, 4,FALSE), IFERROR(VLOOKUP($A779,'Vocus RVC ExDa'!$C$2:$R$155, 8,FALSE), IFERROR(VLOOKUP($A779,'Fusion ExDa'!$B$2:$D$16, 4,FALSE), IFERROR(VLOOKUP($A779,'Exetel ExDa'!$C$2:$N$14, 5,FALSE), IFERROR(VLOOKUP($A779,'Infinet ExDa'!$B$2:$E$14, 3,FALSE), "Not Found"))))))))</f>
        <v>100Mbps/40Mbps</v>
      </c>
      <c r="F779" t="str">
        <f>IFERROR(VLOOKUP($A779,'AAPT ExDa'!$B$2:$U$99, 4,FALSE), IFERROR(VLOOKUP($A779,'ABB ExDa'!$A$2:$N$184, 6,FALSE), IFERROR(VLOOKUP($A779,'Vocus SIT ExDa'!$B$2:$J$173, 3,FALSE), IFERROR(VLOOKUP($A779,'Telstra ExDa'!$B$2:$K$310, 5,FALSE), IFERROR(VLOOKUP($A779,'Vocus RVC ExDa'!$C$2:$R$155, 9,FALSE), IFERROR(VLOOKUP($A779,'Fusion ExDa'!$B$2:$D$16, 0,FALSE), IFERROR(VLOOKUP($A779,'Exetel ExDa'!$C$2:$N$14, 6,FALSE), IFERROR(VLOOKUP($A779,'Infinet ExDa'!$B$2:$E$14, 0,FALSE), "Not Found"))))))))</f>
        <v>NBN Reseller G4 HFC</v>
      </c>
      <c r="G779" t="str">
        <f>IFERROR(VLOOKUP($A779,'AAPT ExDa'!$B$2:$U$99, 5,FALSE), IFERROR(VLOOKUP($A779,'ABB ExDa'!$A$2:$N$184, 8,FALSE), IFERROR(VLOOKUP($A779,'Vocus SIT ExDa'!$B$2:$J$173, 6,FALSE), IFERROR(VLOOKUP($A779,'Telstra ExDa'!$B$2:$K$310, 0,FALSE), IFERROR(VLOOKUP($A779,'Vocus RVC ExDa'!$C$2:$R$155, 15,FALSE), IFERROR(VLOOKUP($A779,'Fusion ExDa'!$B$2:$D$16, 0,FALSE), IFERROR(VLOOKUP($A779,'Exetel ExDa'!$C$2:$N$14, 7,FALSE), IFERROR(VLOOKUP($A779,'Infinet ExDa'!$B$2:$E$14, 0,FALSE), "Not Found"))))))))</f>
        <v>203.91.240.231</v>
      </c>
      <c r="H779" t="str">
        <f>IFERROR(VLOOKUP($A779,'AAPT ExDa'!$B$2:$U$99, 6,FALSE), IFERROR(VLOOKUP($A779,'ABB ExDa'!$A$2:$N$184, 0,FALSE), IFERROR(VLOOKUP($A779,'Vocus SIT ExDa'!$B$2:$J$173, 0,FALSE), IFERROR(VLOOKUP($A779,'Telstra ExDa'!$B$2:$K$310, 0,FALSE), IFERROR(VLOOKUP($A779,'Vocus RVC ExDa'!$C$2:$R$155, 16,FALSE), IFERROR(VLOOKUP($A779,'Fusion ExDa'!$B$2:$D$16, 0,FALSE), IFERROR(VLOOKUP($A779,'Exetel ExDa'!$C$2:$N$14, 0,FALSE), IFERROR(VLOOKUP($A779,'Infinet ExDa'!$B$2:$E$14, 0,FALSE), "Not Found"))))))))</f>
        <v>PPPoE</v>
      </c>
      <c r="I779" t="str">
        <f>IFERROR(VLOOKUP($A779,'AAPT ExDa'!$B$2:$U$99, 0,FALSE), IFERROR(VLOOKUP($A779,'ABB ExDa'!$A$2:$N$184, 0,FALSE), IFERROR(VLOOKUP($A779,'Vocus SIT ExDa'!$B$2:$J$173, 0,FALSE), IFERROR(VLOOKUP($A779,'Telstra ExDa'!$B$2:$K$310, 0,FALSE), IFERROR(VLOOKUP($A779,'Vocus RVC ExDa'!$C$2:$R$155, 0,FALSE), IFERROR(VLOOKUP($A779,'Fusion ExDa'!$B$2:$D$16, 0,FALSE), IFERROR(VLOOKUP($A779,'Exetel ExDa'!$C$2:$N$14, 8,FALSE), IFERROR(VLOOKUP($A779,'Infinet ExDa'!$B$2:$E$14, 0,FALSE), "Not Found"))))))))</f>
        <v>Not Found</v>
      </c>
      <c r="J779" t="str">
        <f>IFERROR(VLOOKUP($A779,'AAPT ExDa'!$B$2:$U$99, 7,FALSE), IFERROR(VLOOKUP($A779,'ABB ExDa'!$A$2:$N$184, 2,FALSE), IFERROR(VLOOKUP($A779,'Vocus SIT ExDa'!$B$2:$J$173, 0,FALSE), IFERROR(VLOOKUP($A779,'Telstra ExDa'!$B$2:$K$310, 7,FALSE), IFERROR(VLOOKUP($A779,'Vocus RVC ExDa'!$C$2:$R$155, 2,FALSE), IFERROR(VLOOKUP($A779,'Fusion ExDa'!$B$2:$D$16, 3,FALSE), IFERROR(VLOOKUP($A779,'Exetel ExDa'!$C$2:$N$14, 0,FALSE), IFERROR(VLOOKUP($A779,'Infinet ExDa'!$B$2:$E$14, 0,FALSE), "Not Found"))))))))</f>
        <v xml:space="preserve">	AVC400041787008</v>
      </c>
      <c r="K779" t="str">
        <f>IFERROR(VLOOKUP($A779,'AAPT ExDa'!$B$2:$U$99, 12,FALSE), IFERROR(VLOOKUP($A779,'ABB ExDa'!$A$2:$N$184, 0,FALSE), IFERROR(VLOOKUP($A779,'Vocus SIT ExDa'!$B$2:$J$173, 0,FALSE), IFERROR(VLOOKUP($A779,'Telstra ExDa'!$B$2:$K$310, 0,FALSE), IFERROR(VLOOKUP($A779,'Vocus RVC ExDa'!$C$2:$R$155, 0,FALSE), IFERROR(VLOOKUP($A779,'Fusion ExDa'!$B$2:$D$16, 0,FALSE), IFERROR(VLOOKUP($A779,'Exetel ExDa'!$C$2:$N$14, 12,FALSE), IFERROR(VLOOKUP($A779,'Infinet ExDa'!$B$2:$E$14, 0,FALSE), "Not Found"))))))))</f>
        <v>Not Found</v>
      </c>
      <c r="L779" s="235" t="str">
        <f>IFERROR(VLOOKUP($A779,'AAPT ExDa'!$B$2:$U$99, 11,FALSE), IFERROR(VLOOKUP($A779,'ABB ExDa'!$A$2:$N$184, 9,FALSE), IFERROR(VLOOKUP($A779,'Vocus SIT ExDa'!$B$2:$J$173, 8,FALSE), IFERROR(VLOOKUP($A779,'Telstra ExDa'!$B$2:$K$310, 0,FALSE), IFERROR(VLOOKUP($A779,'Vocus RVC ExDa'!$C$2:$R$155, 0,FALSE), IFERROR(VLOOKUP($A779,'Fusion ExDa'!$B$2:$D$16, 0,FALSE), IFERROR(VLOOKUP($A779,'Exetel ExDa'!$C$2:$N$14, 9,FALSE), IFERROR(VLOOKUP($A779,'Infinet ExDa'!$B$2:$E$14, 0,FALSE), "Not Found"))))))))</f>
        <v>Not Found</v>
      </c>
      <c r="M779" s="234" t="str">
        <f>IFERROR(VLOOKUP($A779,'AAPT ExDa'!$B$2:$U$99, 0,FALSE), IFERROR(VLOOKUP($A779,'ABB ExDa'!$A$2:$N$184, 0,FALSE), IFERROR(VLOOKUP($A779,'Vocus SIT ExDa'!$B$2:$J$173, 0,FALSE), IFERROR(VLOOKUP($A779,'Telstra ExDa'!$B$2:$K$310, 0,FALSE), IFERROR(VLOOKUP($A779,'Vocus RVC ExDa'!$C$2:$R$155, 0,FALSE), IFERROR(VLOOKUP($A779,'Fusion ExDa'!$B$2:$D$16, 0,FALSE), IFERROR(VLOOKUP($A779,'Exetel ExDa'!$C$2:$N$14, 11,FALSE), IFERROR(VLOOKUP($A779,'Infinet ExDa'!$B$2:$E$14, 0,FALSE), "Not Found"))))))))</f>
        <v>Not Found</v>
      </c>
      <c r="N779" t="str">
        <f>IFERROR(VLOOKUP($A779,'AAPT ExDa'!$B$2:$U$99, 0,FALSE), IFERROR(VLOOKUP($A779,'ABB ExDa'!$A$2:$N$184, 13,FALSE), IFERROR(VLOOKUP($A779,'Vocus SIT ExDa'!$B$2:$J$173, 0,FALSE), IFERROR(VLOOKUP($A779,'Telstra ExDa'!$B$2:$K$310, 0,FALSE), IFERROR(VLOOKUP($A779,'Vocus RVC ExDa'!$C$2:$R$155, 0,FALSE), IFERROR(VLOOKUP($A779,'Fusion ExDa'!$B$2:$D$16, 0,FALSE), IFERROR(VLOOKUP($A779,'Exetel ExDa'!$C$2:$N$14, 0,FALSE), IFERROR(VLOOKUP($A779,'Infinet ExDa'!$B$2:$E$14, 0,FALSE), "Not Found"))))))))</f>
        <v>Not Found</v>
      </c>
    </row>
    <row r="780" spans="1:14">
      <c r="A780" t="str">
        <v>True Metal Solutions</v>
      </c>
      <c r="B780" t="str">
        <f>IFERROR(VLOOKUP(A780,'Exetel ExDa'!$C$2:$N$14,4,FALSE),"No Data")</f>
        <v>No Data</v>
      </c>
      <c r="C780" t="str">
        <f>IFERROR(VLOOKUP(A780,'AAPT ExDa'!$B$2:$U$99, 2,FALSE), IFERROR(VLOOKUP(A780,'ABB ExDa'!$A$2:$N$184, 2,FALSE), IFERROR(VLOOKUP(A780,'Vocus SIT ExDa'!$B$2:$J$173, 7,FALSE), IFERROR(VLOOKUP(A780,'Telstra ExDa'!$B$2:$K$310, 2,FALSE), IFERROR(VLOOKUP(A780,'Vocus RVC ExDa'!$C$2:$R$155, 3,FALSE), IFERROR(VLOOKUP(A780,'Fusion ExDa'!$B$2:$D$16, 2,FALSE), IFERROR(VLOOKUP(A780,'Exetel ExDa'!$C$2:$N$14, 2,FALSE), IFERROR(VLOOKUP(A780,'Infinet ExDa'!$B$2:$E$14, 2,FALSE), "Not Found"))))))))</f>
        <v xml:space="preserve">Unit 2 594 Old Gympie Rd </v>
      </c>
      <c r="D780">
        <f>IFERROR(VLOOKUP($A780,'AAPT ExDa'!$B$2:$U$99, 15,FALSE), IFERROR(VLOOKUP($A780,'ABB ExDa'!$A$2:$N$184, 4,FALSE), IFERROR(VLOOKUP($A780,'Vocus SIT ExDa'!$B$2:$J$173, 5,FALSE), IFERROR(VLOOKUP($A780,'Telstra ExDa'!$B$2:$K$310, 8,FALSE), IFERROR(VLOOKUP($A780,'Vocus RVC ExDa'!$C$2:$R$155, 6,FALSE), IFERROR(VLOOKUP($A780,'Fusion ExDa'!$B$2:$D$16, 4,FALSE), IFERROR(VLOOKUP($A780,'Exetel ExDa'!$C$2:$N$14, 3,FALSE), IFERROR(VLOOKUP($A780,'Infinet ExDa'!$B$2:$E$14, 3,FALSE), "Not Found"))))))))</f>
        <v>4504</v>
      </c>
      <c r="E780" t="str">
        <f>IFERROR(VLOOKUP($A780,'AAPT ExDa'!$B$2:$U$99, 3,FALSE), IFERROR(VLOOKUP($A780,'ABB ExDa'!$A$2:$N$184, 5,FALSE), IFERROR(VLOOKUP($A780,'Vocus SIT ExDa'!$B$2:$J$173, 2,FALSE), IFERROR(VLOOKUP($A780,'Telstra ExDa'!$B$2:$K$310, 4,FALSE), IFERROR(VLOOKUP($A780,'Vocus RVC ExDa'!$C$2:$R$155, 8,FALSE), IFERROR(VLOOKUP($A780,'Fusion ExDa'!$B$2:$D$16, 4,FALSE), IFERROR(VLOOKUP($A780,'Exetel ExDa'!$C$2:$N$14, 5,FALSE), IFERROR(VLOOKUP($A780,'Infinet ExDa'!$B$2:$E$14, 3,FALSE), "Not Found"))))))))</f>
        <v>100Mbps/40Mbps</v>
      </c>
      <c r="F780" t="str">
        <f>IFERROR(VLOOKUP($A780,'AAPT ExDa'!$B$2:$U$99, 4,FALSE), IFERROR(VLOOKUP($A780,'ABB ExDa'!$A$2:$N$184, 6,FALSE), IFERROR(VLOOKUP($A780,'Vocus SIT ExDa'!$B$2:$J$173, 3,FALSE), IFERROR(VLOOKUP($A780,'Telstra ExDa'!$B$2:$K$310, 5,FALSE), IFERROR(VLOOKUP($A780,'Vocus RVC ExDa'!$C$2:$R$155, 9,FALSE), IFERROR(VLOOKUP($A780,'Fusion ExDa'!$B$2:$D$16, 0,FALSE), IFERROR(VLOOKUP($A780,'Exetel ExDa'!$C$2:$N$14, 6,FALSE), IFERROR(VLOOKUP($A780,'Infinet ExDa'!$B$2:$E$14, 0,FALSE), "Not Found"))))))))</f>
        <v>NBN Reseller G4 FTTN</v>
      </c>
      <c r="G780" t="str">
        <f>IFERROR(VLOOKUP($A780,'AAPT ExDa'!$B$2:$U$99, 5,FALSE), IFERROR(VLOOKUP($A780,'ABB ExDa'!$A$2:$N$184, 8,FALSE), IFERROR(VLOOKUP($A780,'Vocus SIT ExDa'!$B$2:$J$173, 6,FALSE), IFERROR(VLOOKUP($A780,'Telstra ExDa'!$B$2:$K$310, 0,FALSE), IFERROR(VLOOKUP($A780,'Vocus RVC ExDa'!$C$2:$R$155, 15,FALSE), IFERROR(VLOOKUP($A780,'Fusion ExDa'!$B$2:$D$16, 0,FALSE), IFERROR(VLOOKUP($A780,'Exetel ExDa'!$C$2:$N$14, 7,FALSE), IFERROR(VLOOKUP($A780,'Infinet ExDa'!$B$2:$E$14, 0,FALSE), "Not Found"))))))))</f>
        <v>202.62.138.103</v>
      </c>
      <c r="H780" t="str">
        <f>IFERROR(VLOOKUP($A780,'AAPT ExDa'!$B$2:$U$99, 6,FALSE), IFERROR(VLOOKUP($A780,'ABB ExDa'!$A$2:$N$184, 0,FALSE), IFERROR(VLOOKUP($A780,'Vocus SIT ExDa'!$B$2:$J$173, 0,FALSE), IFERROR(VLOOKUP($A780,'Telstra ExDa'!$B$2:$K$310, 0,FALSE), IFERROR(VLOOKUP($A780,'Vocus RVC ExDa'!$C$2:$R$155, 16,FALSE), IFERROR(VLOOKUP($A780,'Fusion ExDa'!$B$2:$D$16, 0,FALSE), IFERROR(VLOOKUP($A780,'Exetel ExDa'!$C$2:$N$14, 0,FALSE), IFERROR(VLOOKUP($A780,'Infinet ExDa'!$B$2:$E$14, 0,FALSE), "Not Found"))))))))</f>
        <v>PPPoE</v>
      </c>
      <c r="I780" t="str">
        <f>IFERROR(VLOOKUP($A780,'AAPT ExDa'!$B$2:$U$99, 0,FALSE), IFERROR(VLOOKUP($A780,'ABB ExDa'!$A$2:$N$184, 0,FALSE), IFERROR(VLOOKUP($A780,'Vocus SIT ExDa'!$B$2:$J$173, 0,FALSE), IFERROR(VLOOKUP($A780,'Telstra ExDa'!$B$2:$K$310, 0,FALSE), IFERROR(VLOOKUP($A780,'Vocus RVC ExDa'!$C$2:$R$155, 0,FALSE), IFERROR(VLOOKUP($A780,'Fusion ExDa'!$B$2:$D$16, 0,FALSE), IFERROR(VLOOKUP($A780,'Exetel ExDa'!$C$2:$N$14, 8,FALSE), IFERROR(VLOOKUP($A780,'Infinet ExDa'!$B$2:$E$14, 0,FALSE), "Not Found"))))))))</f>
        <v>Not Found</v>
      </c>
      <c r="J780" t="str">
        <f>IFERROR(VLOOKUP($A780,'AAPT ExDa'!$B$2:$U$99, 7,FALSE), IFERROR(VLOOKUP($A780,'ABB ExDa'!$A$2:$N$184, 2,FALSE), IFERROR(VLOOKUP($A780,'Vocus SIT ExDa'!$B$2:$J$173, 0,FALSE), IFERROR(VLOOKUP($A780,'Telstra ExDa'!$B$2:$K$310, 7,FALSE), IFERROR(VLOOKUP($A780,'Vocus RVC ExDa'!$C$2:$R$155, 2,FALSE), IFERROR(VLOOKUP($A780,'Fusion ExDa'!$B$2:$D$16, 3,FALSE), IFERROR(VLOOKUP($A780,'Exetel ExDa'!$C$2:$N$14, 0,FALSE), IFERROR(VLOOKUP($A780,'Infinet ExDa'!$B$2:$E$14, 0,FALSE), "Not Found"))))))))</f>
        <v xml:space="preserve">	AVC000161817610</v>
      </c>
      <c r="K780" t="str">
        <f>IFERROR(VLOOKUP($A780,'AAPT ExDa'!$B$2:$U$99, 12,FALSE), IFERROR(VLOOKUP($A780,'ABB ExDa'!$A$2:$N$184, 0,FALSE), IFERROR(VLOOKUP($A780,'Vocus SIT ExDa'!$B$2:$J$173, 0,FALSE), IFERROR(VLOOKUP($A780,'Telstra ExDa'!$B$2:$K$310, 0,FALSE), IFERROR(VLOOKUP($A780,'Vocus RVC ExDa'!$C$2:$R$155, 0,FALSE), IFERROR(VLOOKUP($A780,'Fusion ExDa'!$B$2:$D$16, 0,FALSE), IFERROR(VLOOKUP($A780,'Exetel ExDa'!$C$2:$N$14, 12,FALSE), IFERROR(VLOOKUP($A780,'Infinet ExDa'!$B$2:$E$14, 0,FALSE), "Not Found"))))))))</f>
        <v>Not Found</v>
      </c>
      <c r="L780" s="235" t="str">
        <f>IFERROR(VLOOKUP($A780,'AAPT ExDa'!$B$2:$U$99, 11,FALSE), IFERROR(VLOOKUP($A780,'ABB ExDa'!$A$2:$N$184, 9,FALSE), IFERROR(VLOOKUP($A780,'Vocus SIT ExDa'!$B$2:$J$173, 8,FALSE), IFERROR(VLOOKUP($A780,'Telstra ExDa'!$B$2:$K$310, 0,FALSE), IFERROR(VLOOKUP($A780,'Vocus RVC ExDa'!$C$2:$R$155, 0,FALSE), IFERROR(VLOOKUP($A780,'Fusion ExDa'!$B$2:$D$16, 0,FALSE), IFERROR(VLOOKUP($A780,'Exetel ExDa'!$C$2:$N$14, 9,FALSE), IFERROR(VLOOKUP($A780,'Infinet ExDa'!$B$2:$E$14, 0,FALSE), "Not Found"))))))))</f>
        <v>Not Found</v>
      </c>
      <c r="M780" s="234" t="str">
        <f>IFERROR(VLOOKUP($A780,'AAPT ExDa'!$B$2:$U$99, 0,FALSE), IFERROR(VLOOKUP($A780,'ABB ExDa'!$A$2:$N$184, 0,FALSE), IFERROR(VLOOKUP($A780,'Vocus SIT ExDa'!$B$2:$J$173, 0,FALSE), IFERROR(VLOOKUP($A780,'Telstra ExDa'!$B$2:$K$310, 0,FALSE), IFERROR(VLOOKUP($A780,'Vocus RVC ExDa'!$C$2:$R$155, 0,FALSE), IFERROR(VLOOKUP($A780,'Fusion ExDa'!$B$2:$D$16, 0,FALSE), IFERROR(VLOOKUP($A780,'Exetel ExDa'!$C$2:$N$14, 11,FALSE), IFERROR(VLOOKUP($A780,'Infinet ExDa'!$B$2:$E$14, 0,FALSE), "Not Found"))))))))</f>
        <v>Not Found</v>
      </c>
      <c r="N780" t="str">
        <f>IFERROR(VLOOKUP($A780,'AAPT ExDa'!$B$2:$U$99, 0,FALSE), IFERROR(VLOOKUP($A780,'ABB ExDa'!$A$2:$N$184, 13,FALSE), IFERROR(VLOOKUP($A780,'Vocus SIT ExDa'!$B$2:$J$173, 0,FALSE), IFERROR(VLOOKUP($A780,'Telstra ExDa'!$B$2:$K$310, 0,FALSE), IFERROR(VLOOKUP($A780,'Vocus RVC ExDa'!$C$2:$R$155, 0,FALSE), IFERROR(VLOOKUP($A780,'Fusion ExDa'!$B$2:$D$16, 0,FALSE), IFERROR(VLOOKUP($A780,'Exetel ExDa'!$C$2:$N$14, 0,FALSE), IFERROR(VLOOKUP($A780,'Infinet ExDa'!$B$2:$E$14, 0,FALSE), "Not Found"))))))))</f>
        <v>Not Found</v>
      </c>
    </row>
    <row r="781" spans="1:14">
      <c r="A781" t="str">
        <v>Stafford City Doctors</v>
      </c>
      <c r="B781" t="str">
        <f>IFERROR(VLOOKUP(A781,'Exetel ExDa'!$C$2:$N$14,4,FALSE),"No Data")</f>
        <v>No Data</v>
      </c>
      <c r="C781" t="str">
        <f>IFERROR(VLOOKUP(A781,'AAPT ExDa'!$B$2:$U$99, 2,FALSE), IFERROR(VLOOKUP(A781,'ABB ExDa'!$A$2:$N$184, 2,FALSE), IFERROR(VLOOKUP(A781,'Vocus SIT ExDa'!$B$2:$J$173, 7,FALSE), IFERROR(VLOOKUP(A781,'Telstra ExDa'!$B$2:$K$310, 2,FALSE), IFERROR(VLOOKUP(A781,'Vocus RVC ExDa'!$C$2:$R$155, 3,FALSE), IFERROR(VLOOKUP(A781,'Fusion ExDa'!$B$2:$D$16, 2,FALSE), IFERROR(VLOOKUP(A781,'Exetel ExDa'!$C$2:$N$14, 2,FALSE), IFERROR(VLOOKUP(A781,'Infinet ExDa'!$B$2:$E$14, 2,FALSE), "Not Found"))))))))</f>
        <v>Shop 93 400 Stafford Rd Stafford (</v>
      </c>
      <c r="D781">
        <f>IFERROR(VLOOKUP($A781,'AAPT ExDa'!$B$2:$U$99, 15,FALSE), IFERROR(VLOOKUP($A781,'ABB ExDa'!$A$2:$N$184, 4,FALSE), IFERROR(VLOOKUP($A781,'Vocus SIT ExDa'!$B$2:$J$173, 5,FALSE), IFERROR(VLOOKUP($A781,'Telstra ExDa'!$B$2:$K$310, 8,FALSE), IFERROR(VLOOKUP($A781,'Vocus RVC ExDa'!$C$2:$R$155, 6,FALSE), IFERROR(VLOOKUP($A781,'Fusion ExDa'!$B$2:$D$16, 4,FALSE), IFERROR(VLOOKUP($A781,'Exetel ExDa'!$C$2:$N$14, 3,FALSE), IFERROR(VLOOKUP($A781,'Infinet ExDa'!$B$2:$E$14, 3,FALSE), "Not Found"))))))))</f>
        <v>4053</v>
      </c>
      <c r="E781" t="str">
        <f>IFERROR(VLOOKUP($A781,'AAPT ExDa'!$B$2:$U$99, 3,FALSE), IFERROR(VLOOKUP($A781,'ABB ExDa'!$A$2:$N$184, 5,FALSE), IFERROR(VLOOKUP($A781,'Vocus SIT ExDa'!$B$2:$J$173, 2,FALSE), IFERROR(VLOOKUP($A781,'Telstra ExDa'!$B$2:$K$310, 4,FALSE), IFERROR(VLOOKUP($A781,'Vocus RVC ExDa'!$C$2:$R$155, 8,FALSE), IFERROR(VLOOKUP($A781,'Fusion ExDa'!$B$2:$D$16, 4,FALSE), IFERROR(VLOOKUP($A781,'Exetel ExDa'!$C$2:$N$14, 5,FALSE), IFERROR(VLOOKUP($A781,'Infinet ExDa'!$B$2:$E$14, 3,FALSE), "Not Found"))))))))</f>
        <v>100Mbps/40Mbps</v>
      </c>
      <c r="F781" t="str">
        <f>IFERROR(VLOOKUP($A781,'AAPT ExDa'!$B$2:$U$99, 4,FALSE), IFERROR(VLOOKUP($A781,'ABB ExDa'!$A$2:$N$184, 6,FALSE), IFERROR(VLOOKUP($A781,'Vocus SIT ExDa'!$B$2:$J$173, 3,FALSE), IFERROR(VLOOKUP($A781,'Telstra ExDa'!$B$2:$K$310, 5,FALSE), IFERROR(VLOOKUP($A781,'Vocus RVC ExDa'!$C$2:$R$155, 9,FALSE), IFERROR(VLOOKUP($A781,'Fusion ExDa'!$B$2:$D$16, 0,FALSE), IFERROR(VLOOKUP($A781,'Exetel ExDa'!$C$2:$N$14, 6,FALSE), IFERROR(VLOOKUP($A781,'Infinet ExDa'!$B$2:$E$14, 0,FALSE), "Not Found"))))))))</f>
        <v>NBN Reseller G4 FTTB</v>
      </c>
      <c r="G781" t="str">
        <f>IFERROR(VLOOKUP($A781,'AAPT ExDa'!$B$2:$U$99, 5,FALSE), IFERROR(VLOOKUP($A781,'ABB ExDa'!$A$2:$N$184, 8,FALSE), IFERROR(VLOOKUP($A781,'Vocus SIT ExDa'!$B$2:$J$173, 6,FALSE), IFERROR(VLOOKUP($A781,'Telstra ExDa'!$B$2:$K$310, 0,FALSE), IFERROR(VLOOKUP($A781,'Vocus RVC ExDa'!$C$2:$R$155, 15,FALSE), IFERROR(VLOOKUP($A781,'Fusion ExDa'!$B$2:$D$16, 0,FALSE), IFERROR(VLOOKUP($A781,'Exetel ExDa'!$C$2:$N$14, 7,FALSE), IFERROR(VLOOKUP($A781,'Infinet ExDa'!$B$2:$E$14, 0,FALSE), "Not Found"))))))))</f>
        <v>202.62.138.90</v>
      </c>
      <c r="H781" t="str">
        <f>IFERROR(VLOOKUP($A781,'AAPT ExDa'!$B$2:$U$99, 6,FALSE), IFERROR(VLOOKUP($A781,'ABB ExDa'!$A$2:$N$184, 0,FALSE), IFERROR(VLOOKUP($A781,'Vocus SIT ExDa'!$B$2:$J$173, 0,FALSE), IFERROR(VLOOKUP($A781,'Telstra ExDa'!$B$2:$K$310, 0,FALSE), IFERROR(VLOOKUP($A781,'Vocus RVC ExDa'!$C$2:$R$155, 16,FALSE), IFERROR(VLOOKUP($A781,'Fusion ExDa'!$B$2:$D$16, 0,FALSE), IFERROR(VLOOKUP($A781,'Exetel ExDa'!$C$2:$N$14, 0,FALSE), IFERROR(VLOOKUP($A781,'Infinet ExDa'!$B$2:$E$14, 0,FALSE), "Not Found"))))))))</f>
        <v>PPPoE</v>
      </c>
      <c r="I781" t="str">
        <f>IFERROR(VLOOKUP($A781,'AAPT ExDa'!$B$2:$U$99, 0,FALSE), IFERROR(VLOOKUP($A781,'ABB ExDa'!$A$2:$N$184, 0,FALSE), IFERROR(VLOOKUP($A781,'Vocus SIT ExDa'!$B$2:$J$173, 0,FALSE), IFERROR(VLOOKUP($A781,'Telstra ExDa'!$B$2:$K$310, 0,FALSE), IFERROR(VLOOKUP($A781,'Vocus RVC ExDa'!$C$2:$R$155, 0,FALSE), IFERROR(VLOOKUP($A781,'Fusion ExDa'!$B$2:$D$16, 0,FALSE), IFERROR(VLOOKUP($A781,'Exetel ExDa'!$C$2:$N$14, 8,FALSE), IFERROR(VLOOKUP($A781,'Infinet ExDa'!$B$2:$E$14, 0,FALSE), "Not Found"))))))))</f>
        <v>Not Found</v>
      </c>
      <c r="J781" t="str">
        <f>IFERROR(VLOOKUP($A781,'AAPT ExDa'!$B$2:$U$99, 7,FALSE), IFERROR(VLOOKUP($A781,'ABB ExDa'!$A$2:$N$184, 2,FALSE), IFERROR(VLOOKUP($A781,'Vocus SIT ExDa'!$B$2:$J$173, 0,FALSE), IFERROR(VLOOKUP($A781,'Telstra ExDa'!$B$2:$K$310, 7,FALSE), IFERROR(VLOOKUP($A781,'Vocus RVC ExDa'!$C$2:$R$155, 2,FALSE), IFERROR(VLOOKUP($A781,'Fusion ExDa'!$B$2:$D$16, 3,FALSE), IFERROR(VLOOKUP($A781,'Exetel ExDa'!$C$2:$N$14, 0,FALSE), IFERROR(VLOOKUP($A781,'Infinet ExDa'!$B$2:$E$14, 0,FALSE), "Not Found"))))))))</f>
        <v xml:space="preserve">	AVC000104836836</v>
      </c>
      <c r="K781" t="str">
        <f>IFERROR(VLOOKUP($A781,'AAPT ExDa'!$B$2:$U$99, 12,FALSE), IFERROR(VLOOKUP($A781,'ABB ExDa'!$A$2:$N$184, 0,FALSE), IFERROR(VLOOKUP($A781,'Vocus SIT ExDa'!$B$2:$J$173, 0,FALSE), IFERROR(VLOOKUP($A781,'Telstra ExDa'!$B$2:$K$310, 0,FALSE), IFERROR(VLOOKUP($A781,'Vocus RVC ExDa'!$C$2:$R$155, 0,FALSE), IFERROR(VLOOKUP($A781,'Fusion ExDa'!$B$2:$D$16, 0,FALSE), IFERROR(VLOOKUP($A781,'Exetel ExDa'!$C$2:$N$14, 12,FALSE), IFERROR(VLOOKUP($A781,'Infinet ExDa'!$B$2:$E$14, 0,FALSE), "Not Found"))))))))</f>
        <v>Not Found</v>
      </c>
      <c r="L781" s="235" t="str">
        <f>IFERROR(VLOOKUP($A781,'AAPT ExDa'!$B$2:$U$99, 11,FALSE), IFERROR(VLOOKUP($A781,'ABB ExDa'!$A$2:$N$184, 9,FALSE), IFERROR(VLOOKUP($A781,'Vocus SIT ExDa'!$B$2:$J$173, 8,FALSE), IFERROR(VLOOKUP($A781,'Telstra ExDa'!$B$2:$K$310, 0,FALSE), IFERROR(VLOOKUP($A781,'Vocus RVC ExDa'!$C$2:$R$155, 0,FALSE), IFERROR(VLOOKUP($A781,'Fusion ExDa'!$B$2:$D$16, 0,FALSE), IFERROR(VLOOKUP($A781,'Exetel ExDa'!$C$2:$N$14, 9,FALSE), IFERROR(VLOOKUP($A781,'Infinet ExDa'!$B$2:$E$14, 0,FALSE), "Not Found"))))))))</f>
        <v>Not Found</v>
      </c>
      <c r="M781" s="234" t="str">
        <f>IFERROR(VLOOKUP($A781,'AAPT ExDa'!$B$2:$U$99, 0,FALSE), IFERROR(VLOOKUP($A781,'ABB ExDa'!$A$2:$N$184, 0,FALSE), IFERROR(VLOOKUP($A781,'Vocus SIT ExDa'!$B$2:$J$173, 0,FALSE), IFERROR(VLOOKUP($A781,'Telstra ExDa'!$B$2:$K$310, 0,FALSE), IFERROR(VLOOKUP($A781,'Vocus RVC ExDa'!$C$2:$R$155, 0,FALSE), IFERROR(VLOOKUP($A781,'Fusion ExDa'!$B$2:$D$16, 0,FALSE), IFERROR(VLOOKUP($A781,'Exetel ExDa'!$C$2:$N$14, 11,FALSE), IFERROR(VLOOKUP($A781,'Infinet ExDa'!$B$2:$E$14, 0,FALSE), "Not Found"))))))))</f>
        <v>Not Found</v>
      </c>
      <c r="N781" t="str">
        <f>IFERROR(VLOOKUP($A781,'AAPT ExDa'!$B$2:$U$99, 0,FALSE), IFERROR(VLOOKUP($A781,'ABB ExDa'!$A$2:$N$184, 13,FALSE), IFERROR(VLOOKUP($A781,'Vocus SIT ExDa'!$B$2:$J$173, 0,FALSE), IFERROR(VLOOKUP($A781,'Telstra ExDa'!$B$2:$K$310, 0,FALSE), IFERROR(VLOOKUP($A781,'Vocus RVC ExDa'!$C$2:$R$155, 0,FALSE), IFERROR(VLOOKUP($A781,'Fusion ExDa'!$B$2:$D$16, 0,FALSE), IFERROR(VLOOKUP($A781,'Exetel ExDa'!$C$2:$N$14, 0,FALSE), IFERROR(VLOOKUP($A781,'Infinet ExDa'!$B$2:$E$14, 0,FALSE), "Not Found"))))))))</f>
        <v>Not Found</v>
      </c>
    </row>
    <row r="782" spans="1:14">
      <c r="A782" t="str">
        <v>Red Ridge Produce</v>
      </c>
      <c r="B782" t="str">
        <f>IFERROR(VLOOKUP(A782,'Exetel ExDa'!$C$2:$N$14,4,FALSE),"No Data")</f>
        <v>No Data</v>
      </c>
      <c r="C782" t="str">
        <f>IFERROR(VLOOKUP(A782,'AAPT ExDa'!$B$2:$U$99, 2,FALSE), IFERROR(VLOOKUP(A782,'ABB ExDa'!$A$2:$N$184, 2,FALSE), IFERROR(VLOOKUP(A782,'Vocus SIT ExDa'!$B$2:$J$173, 7,FALSE), IFERROR(VLOOKUP(A782,'Telstra ExDa'!$B$2:$K$310, 2,FALSE), IFERROR(VLOOKUP(A782,'Vocus RVC ExDa'!$C$2:$R$155, 3,FALSE), IFERROR(VLOOKUP(A782,'Fusion ExDa'!$B$2:$D$16, 2,FALSE), IFERROR(VLOOKUP(A782,'Exetel ExDa'!$C$2:$N$14, 2,FALSE), IFERROR(VLOOKUP(A782,'Infinet ExDa'!$B$2:$E$14, 2,FALSE), "Not Found"))))))))</f>
        <v xml:space="preserve">Lot 3 4387 Goodwood Rd </v>
      </c>
      <c r="D782">
        <f>IFERROR(VLOOKUP($A782,'AAPT ExDa'!$B$2:$U$99, 15,FALSE), IFERROR(VLOOKUP($A782,'ABB ExDa'!$A$2:$N$184, 4,FALSE), IFERROR(VLOOKUP($A782,'Vocus SIT ExDa'!$B$2:$J$173, 5,FALSE), IFERROR(VLOOKUP($A782,'Telstra ExDa'!$B$2:$K$310, 8,FALSE), IFERROR(VLOOKUP($A782,'Vocus RVC ExDa'!$C$2:$R$155, 6,FALSE), IFERROR(VLOOKUP($A782,'Fusion ExDa'!$B$2:$D$16, 4,FALSE), IFERROR(VLOOKUP($A782,'Exetel ExDa'!$C$2:$N$14, 3,FALSE), IFERROR(VLOOKUP($A782,'Infinet ExDa'!$B$2:$E$14, 3,FALSE), "Not Found"))))))))</f>
        <v>4670</v>
      </c>
      <c r="E782" t="str">
        <f>IFERROR(VLOOKUP($A782,'AAPT ExDa'!$B$2:$U$99, 3,FALSE), IFERROR(VLOOKUP($A782,'ABB ExDa'!$A$2:$N$184, 5,FALSE), IFERROR(VLOOKUP($A782,'Vocus SIT ExDa'!$B$2:$J$173, 2,FALSE), IFERROR(VLOOKUP($A782,'Telstra ExDa'!$B$2:$K$310, 4,FALSE), IFERROR(VLOOKUP($A782,'Vocus RVC ExDa'!$C$2:$R$155, 8,FALSE), IFERROR(VLOOKUP($A782,'Fusion ExDa'!$B$2:$D$16, 4,FALSE), IFERROR(VLOOKUP($A782,'Exetel ExDa'!$C$2:$N$14, 5,FALSE), IFERROR(VLOOKUP($A782,'Infinet ExDa'!$B$2:$E$14, 3,FALSE), "Not Found"))))))))</f>
        <v>150Mbps/30Mbps</v>
      </c>
      <c r="F782" t="str">
        <f>IFERROR(VLOOKUP($A782,'AAPT ExDa'!$B$2:$U$99, 4,FALSE), IFERROR(VLOOKUP($A782,'ABB ExDa'!$A$2:$N$184, 6,FALSE), IFERROR(VLOOKUP($A782,'Vocus SIT ExDa'!$B$2:$J$173, 3,FALSE), IFERROR(VLOOKUP($A782,'Telstra ExDa'!$B$2:$K$310, 5,FALSE), IFERROR(VLOOKUP($A782,'Vocus RVC ExDa'!$C$2:$R$155, 9,FALSE), IFERROR(VLOOKUP($A782,'Fusion ExDa'!$B$2:$D$16, 0,FALSE), IFERROR(VLOOKUP($A782,'Exetel ExDa'!$C$2:$N$14, 6,FALSE), IFERROR(VLOOKUP($A782,'Infinet ExDa'!$B$2:$E$14, 0,FALSE), "Not Found"))))))))</f>
        <v xml:space="preserve">NBN Reseller G4 WLS </v>
      </c>
      <c r="G782" t="str">
        <f>IFERROR(VLOOKUP($A782,'AAPT ExDa'!$B$2:$U$99, 5,FALSE), IFERROR(VLOOKUP($A782,'ABB ExDa'!$A$2:$N$184, 8,FALSE), IFERROR(VLOOKUP($A782,'Vocus SIT ExDa'!$B$2:$J$173, 6,FALSE), IFERROR(VLOOKUP($A782,'Telstra ExDa'!$B$2:$K$310, 0,FALSE), IFERROR(VLOOKUP($A782,'Vocus RVC ExDa'!$C$2:$R$155, 15,FALSE), IFERROR(VLOOKUP($A782,'Fusion ExDa'!$B$2:$D$16, 0,FALSE), IFERROR(VLOOKUP($A782,'Exetel ExDa'!$C$2:$N$14, 7,FALSE), IFERROR(VLOOKUP($A782,'Infinet ExDa'!$B$2:$E$14, 0,FALSE), "Not Found"))))))))</f>
        <v>122.151.247.20</v>
      </c>
      <c r="H782" t="str">
        <f>IFERROR(VLOOKUP($A782,'AAPT ExDa'!$B$2:$U$99, 6,FALSE), IFERROR(VLOOKUP($A782,'ABB ExDa'!$A$2:$N$184, 0,FALSE), IFERROR(VLOOKUP($A782,'Vocus SIT ExDa'!$B$2:$J$173, 0,FALSE), IFERROR(VLOOKUP($A782,'Telstra ExDa'!$B$2:$K$310, 0,FALSE), IFERROR(VLOOKUP($A782,'Vocus RVC ExDa'!$C$2:$R$155, 16,FALSE), IFERROR(VLOOKUP($A782,'Fusion ExDa'!$B$2:$D$16, 0,FALSE), IFERROR(VLOOKUP($A782,'Exetel ExDa'!$C$2:$N$14, 0,FALSE), IFERROR(VLOOKUP($A782,'Infinet ExDa'!$B$2:$E$14, 0,FALSE), "Not Found"))))))))</f>
        <v>PPPoE</v>
      </c>
      <c r="I782" t="str">
        <f>IFERROR(VLOOKUP($A782,'AAPT ExDa'!$B$2:$U$99, 0,FALSE), IFERROR(VLOOKUP($A782,'ABB ExDa'!$A$2:$N$184, 0,FALSE), IFERROR(VLOOKUP($A782,'Vocus SIT ExDa'!$B$2:$J$173, 0,FALSE), IFERROR(VLOOKUP($A782,'Telstra ExDa'!$B$2:$K$310, 0,FALSE), IFERROR(VLOOKUP($A782,'Vocus RVC ExDa'!$C$2:$R$155, 0,FALSE), IFERROR(VLOOKUP($A782,'Fusion ExDa'!$B$2:$D$16, 0,FALSE), IFERROR(VLOOKUP($A782,'Exetel ExDa'!$C$2:$N$14, 8,FALSE), IFERROR(VLOOKUP($A782,'Infinet ExDa'!$B$2:$E$14, 0,FALSE), "Not Found"))))))))</f>
        <v>Not Found</v>
      </c>
      <c r="J782" t="str">
        <f>IFERROR(VLOOKUP($A782,'AAPT ExDa'!$B$2:$U$99, 7,FALSE), IFERROR(VLOOKUP($A782,'ABB ExDa'!$A$2:$N$184, 2,FALSE), IFERROR(VLOOKUP($A782,'Vocus SIT ExDa'!$B$2:$J$173, 0,FALSE), IFERROR(VLOOKUP($A782,'Telstra ExDa'!$B$2:$K$310, 7,FALSE), IFERROR(VLOOKUP($A782,'Vocus RVC ExDa'!$C$2:$R$155, 2,FALSE), IFERROR(VLOOKUP($A782,'Fusion ExDa'!$B$2:$D$16, 3,FALSE), IFERROR(VLOOKUP($A782,'Exetel ExDa'!$C$2:$N$14, 0,FALSE), IFERROR(VLOOKUP($A782,'Infinet ExDa'!$B$2:$E$14, 0,FALSE), "Not Found"))))))))</f>
        <v xml:space="preserve">	AVC000164293884</v>
      </c>
      <c r="K782" t="str">
        <f>IFERROR(VLOOKUP($A782,'AAPT ExDa'!$B$2:$U$99, 12,FALSE), IFERROR(VLOOKUP($A782,'ABB ExDa'!$A$2:$N$184, 0,FALSE), IFERROR(VLOOKUP($A782,'Vocus SIT ExDa'!$B$2:$J$173, 0,FALSE), IFERROR(VLOOKUP($A782,'Telstra ExDa'!$B$2:$K$310, 0,FALSE), IFERROR(VLOOKUP($A782,'Vocus RVC ExDa'!$C$2:$R$155, 0,FALSE), IFERROR(VLOOKUP($A782,'Fusion ExDa'!$B$2:$D$16, 0,FALSE), IFERROR(VLOOKUP($A782,'Exetel ExDa'!$C$2:$N$14, 12,FALSE), IFERROR(VLOOKUP($A782,'Infinet ExDa'!$B$2:$E$14, 0,FALSE), "Not Found"))))))))</f>
        <v>Not Found</v>
      </c>
      <c r="L782" s="235" t="str">
        <f>IFERROR(VLOOKUP($A782,'AAPT ExDa'!$B$2:$U$99, 11,FALSE), IFERROR(VLOOKUP($A782,'ABB ExDa'!$A$2:$N$184, 9,FALSE), IFERROR(VLOOKUP($A782,'Vocus SIT ExDa'!$B$2:$J$173, 8,FALSE), IFERROR(VLOOKUP($A782,'Telstra ExDa'!$B$2:$K$310, 0,FALSE), IFERROR(VLOOKUP($A782,'Vocus RVC ExDa'!$C$2:$R$155, 0,FALSE), IFERROR(VLOOKUP($A782,'Fusion ExDa'!$B$2:$D$16, 0,FALSE), IFERROR(VLOOKUP($A782,'Exetel ExDa'!$C$2:$N$14, 9,FALSE), IFERROR(VLOOKUP($A782,'Infinet ExDa'!$B$2:$E$14, 0,FALSE), "Not Found"))))))))</f>
        <v>Not Found</v>
      </c>
      <c r="M782" s="234" t="str">
        <f>IFERROR(VLOOKUP($A782,'AAPT ExDa'!$B$2:$U$99, 0,FALSE), IFERROR(VLOOKUP($A782,'ABB ExDa'!$A$2:$N$184, 0,FALSE), IFERROR(VLOOKUP($A782,'Vocus SIT ExDa'!$B$2:$J$173, 0,FALSE), IFERROR(VLOOKUP($A782,'Telstra ExDa'!$B$2:$K$310, 0,FALSE), IFERROR(VLOOKUP($A782,'Vocus RVC ExDa'!$C$2:$R$155, 0,FALSE), IFERROR(VLOOKUP($A782,'Fusion ExDa'!$B$2:$D$16, 0,FALSE), IFERROR(VLOOKUP($A782,'Exetel ExDa'!$C$2:$N$14, 11,FALSE), IFERROR(VLOOKUP($A782,'Infinet ExDa'!$B$2:$E$14, 0,FALSE), "Not Found"))))))))</f>
        <v>Not Found</v>
      </c>
      <c r="N782" t="str">
        <f>IFERROR(VLOOKUP($A782,'AAPT ExDa'!$B$2:$U$99, 0,FALSE), IFERROR(VLOOKUP($A782,'ABB ExDa'!$A$2:$N$184, 13,FALSE), IFERROR(VLOOKUP($A782,'Vocus SIT ExDa'!$B$2:$J$173, 0,FALSE), IFERROR(VLOOKUP($A782,'Telstra ExDa'!$B$2:$K$310, 0,FALSE), IFERROR(VLOOKUP($A782,'Vocus RVC ExDa'!$C$2:$R$155, 0,FALSE), IFERROR(VLOOKUP($A782,'Fusion ExDa'!$B$2:$D$16, 0,FALSE), IFERROR(VLOOKUP($A782,'Exetel ExDa'!$C$2:$N$14, 0,FALSE), IFERROR(VLOOKUP($A782,'Infinet ExDa'!$B$2:$E$14, 0,FALSE), "Not Found"))))))))</f>
        <v>Not Found</v>
      </c>
    </row>
    <row r="783" spans="1:14">
      <c r="A783" t="str">
        <v>Red Ridge Produce</v>
      </c>
      <c r="B783" t="str">
        <f>IFERROR(VLOOKUP(A783,'Exetel ExDa'!$C$2:$N$14,4,FALSE),"No Data")</f>
        <v>No Data</v>
      </c>
      <c r="C783" t="str">
        <f>IFERROR(VLOOKUP(A783,'AAPT ExDa'!$B$2:$U$99, 2,FALSE), IFERROR(VLOOKUP(A783,'ABB ExDa'!$A$2:$N$184, 2,FALSE), IFERROR(VLOOKUP(A783,'Vocus SIT ExDa'!$B$2:$J$173, 7,FALSE), IFERROR(VLOOKUP(A783,'Telstra ExDa'!$B$2:$K$310, 2,FALSE), IFERROR(VLOOKUP(A783,'Vocus RVC ExDa'!$C$2:$R$155, 3,FALSE), IFERROR(VLOOKUP(A783,'Fusion ExDa'!$B$2:$D$16, 2,FALSE), IFERROR(VLOOKUP(A783,'Exetel ExDa'!$C$2:$N$14, 2,FALSE), IFERROR(VLOOKUP(A783,'Infinet ExDa'!$B$2:$E$14, 2,FALSE), "Not Found"))))))))</f>
        <v xml:space="preserve">Lot 3 4387 Goodwood Rd </v>
      </c>
      <c r="D783">
        <f>IFERROR(VLOOKUP($A783,'AAPT ExDa'!$B$2:$U$99, 15,FALSE), IFERROR(VLOOKUP($A783,'ABB ExDa'!$A$2:$N$184, 4,FALSE), IFERROR(VLOOKUP($A783,'Vocus SIT ExDa'!$B$2:$J$173, 5,FALSE), IFERROR(VLOOKUP($A783,'Telstra ExDa'!$B$2:$K$310, 8,FALSE), IFERROR(VLOOKUP($A783,'Vocus RVC ExDa'!$C$2:$R$155, 6,FALSE), IFERROR(VLOOKUP($A783,'Fusion ExDa'!$B$2:$D$16, 4,FALSE), IFERROR(VLOOKUP($A783,'Exetel ExDa'!$C$2:$N$14, 3,FALSE), IFERROR(VLOOKUP($A783,'Infinet ExDa'!$B$2:$E$14, 3,FALSE), "Not Found"))))))))</f>
        <v>4670</v>
      </c>
      <c r="E783" t="str">
        <f>IFERROR(VLOOKUP($A783,'AAPT ExDa'!$B$2:$U$99, 3,FALSE), IFERROR(VLOOKUP($A783,'ABB ExDa'!$A$2:$N$184, 5,FALSE), IFERROR(VLOOKUP($A783,'Vocus SIT ExDa'!$B$2:$J$173, 2,FALSE), IFERROR(VLOOKUP($A783,'Telstra ExDa'!$B$2:$K$310, 4,FALSE), IFERROR(VLOOKUP($A783,'Vocus RVC ExDa'!$C$2:$R$155, 8,FALSE), IFERROR(VLOOKUP($A783,'Fusion ExDa'!$B$2:$D$16, 4,FALSE), IFERROR(VLOOKUP($A783,'Exetel ExDa'!$C$2:$N$14, 5,FALSE), IFERROR(VLOOKUP($A783,'Infinet ExDa'!$B$2:$E$14, 3,FALSE), "Not Found"))))))))</f>
        <v>150Mbps/30Mbps</v>
      </c>
      <c r="F783" t="str">
        <f>IFERROR(VLOOKUP($A783,'AAPT ExDa'!$B$2:$U$99, 4,FALSE), IFERROR(VLOOKUP($A783,'ABB ExDa'!$A$2:$N$184, 6,FALSE), IFERROR(VLOOKUP($A783,'Vocus SIT ExDa'!$B$2:$J$173, 3,FALSE), IFERROR(VLOOKUP($A783,'Telstra ExDa'!$B$2:$K$310, 5,FALSE), IFERROR(VLOOKUP($A783,'Vocus RVC ExDa'!$C$2:$R$155, 9,FALSE), IFERROR(VLOOKUP($A783,'Fusion ExDa'!$B$2:$D$16, 0,FALSE), IFERROR(VLOOKUP($A783,'Exetel ExDa'!$C$2:$N$14, 6,FALSE), IFERROR(VLOOKUP($A783,'Infinet ExDa'!$B$2:$E$14, 0,FALSE), "Not Found"))))))))</f>
        <v xml:space="preserve">NBN Reseller G4 WLS </v>
      </c>
      <c r="G783" t="str">
        <f>IFERROR(VLOOKUP($A783,'AAPT ExDa'!$B$2:$U$99, 5,FALSE), IFERROR(VLOOKUP($A783,'ABB ExDa'!$A$2:$N$184, 8,FALSE), IFERROR(VLOOKUP($A783,'Vocus SIT ExDa'!$B$2:$J$173, 6,FALSE), IFERROR(VLOOKUP($A783,'Telstra ExDa'!$B$2:$K$310, 0,FALSE), IFERROR(VLOOKUP($A783,'Vocus RVC ExDa'!$C$2:$R$155, 15,FALSE), IFERROR(VLOOKUP($A783,'Fusion ExDa'!$B$2:$D$16, 0,FALSE), IFERROR(VLOOKUP($A783,'Exetel ExDa'!$C$2:$N$14, 7,FALSE), IFERROR(VLOOKUP($A783,'Infinet ExDa'!$B$2:$E$14, 0,FALSE), "Not Found"))))))))</f>
        <v>122.151.247.20</v>
      </c>
      <c r="H783" t="str">
        <f>IFERROR(VLOOKUP($A783,'AAPT ExDa'!$B$2:$U$99, 6,FALSE), IFERROR(VLOOKUP($A783,'ABB ExDa'!$A$2:$N$184, 0,FALSE), IFERROR(VLOOKUP($A783,'Vocus SIT ExDa'!$B$2:$J$173, 0,FALSE), IFERROR(VLOOKUP($A783,'Telstra ExDa'!$B$2:$K$310, 0,FALSE), IFERROR(VLOOKUP($A783,'Vocus RVC ExDa'!$C$2:$R$155, 16,FALSE), IFERROR(VLOOKUP($A783,'Fusion ExDa'!$B$2:$D$16, 0,FALSE), IFERROR(VLOOKUP($A783,'Exetel ExDa'!$C$2:$N$14, 0,FALSE), IFERROR(VLOOKUP($A783,'Infinet ExDa'!$B$2:$E$14, 0,FALSE), "Not Found"))))))))</f>
        <v>PPPoE</v>
      </c>
      <c r="I783" t="str">
        <f>IFERROR(VLOOKUP($A783,'AAPT ExDa'!$B$2:$U$99, 0,FALSE), IFERROR(VLOOKUP($A783,'ABB ExDa'!$A$2:$N$184, 0,FALSE), IFERROR(VLOOKUP($A783,'Vocus SIT ExDa'!$B$2:$J$173, 0,FALSE), IFERROR(VLOOKUP($A783,'Telstra ExDa'!$B$2:$K$310, 0,FALSE), IFERROR(VLOOKUP($A783,'Vocus RVC ExDa'!$C$2:$R$155, 0,FALSE), IFERROR(VLOOKUP($A783,'Fusion ExDa'!$B$2:$D$16, 0,FALSE), IFERROR(VLOOKUP($A783,'Exetel ExDa'!$C$2:$N$14, 8,FALSE), IFERROR(VLOOKUP($A783,'Infinet ExDa'!$B$2:$E$14, 0,FALSE), "Not Found"))))))))</f>
        <v>Not Found</v>
      </c>
      <c r="J783" t="str">
        <f>IFERROR(VLOOKUP($A783,'AAPT ExDa'!$B$2:$U$99, 7,FALSE), IFERROR(VLOOKUP($A783,'ABB ExDa'!$A$2:$N$184, 2,FALSE), IFERROR(VLOOKUP($A783,'Vocus SIT ExDa'!$B$2:$J$173, 0,FALSE), IFERROR(VLOOKUP($A783,'Telstra ExDa'!$B$2:$K$310, 7,FALSE), IFERROR(VLOOKUP($A783,'Vocus RVC ExDa'!$C$2:$R$155, 2,FALSE), IFERROR(VLOOKUP($A783,'Fusion ExDa'!$B$2:$D$16, 3,FALSE), IFERROR(VLOOKUP($A783,'Exetel ExDa'!$C$2:$N$14, 0,FALSE), IFERROR(VLOOKUP($A783,'Infinet ExDa'!$B$2:$E$14, 0,FALSE), "Not Found"))))))))</f>
        <v xml:space="preserve">	AVC000164293884</v>
      </c>
      <c r="K783" t="str">
        <f>IFERROR(VLOOKUP($A783,'AAPT ExDa'!$B$2:$U$99, 12,FALSE), IFERROR(VLOOKUP($A783,'ABB ExDa'!$A$2:$N$184, 0,FALSE), IFERROR(VLOOKUP($A783,'Vocus SIT ExDa'!$B$2:$J$173, 0,FALSE), IFERROR(VLOOKUP($A783,'Telstra ExDa'!$B$2:$K$310, 0,FALSE), IFERROR(VLOOKUP($A783,'Vocus RVC ExDa'!$C$2:$R$155, 0,FALSE), IFERROR(VLOOKUP($A783,'Fusion ExDa'!$B$2:$D$16, 0,FALSE), IFERROR(VLOOKUP($A783,'Exetel ExDa'!$C$2:$N$14, 12,FALSE), IFERROR(VLOOKUP($A783,'Infinet ExDa'!$B$2:$E$14, 0,FALSE), "Not Found"))))))))</f>
        <v>Not Found</v>
      </c>
      <c r="L783" s="235" t="str">
        <f>IFERROR(VLOOKUP($A783,'AAPT ExDa'!$B$2:$U$99, 11,FALSE), IFERROR(VLOOKUP($A783,'ABB ExDa'!$A$2:$N$184, 9,FALSE), IFERROR(VLOOKUP($A783,'Vocus SIT ExDa'!$B$2:$J$173, 8,FALSE), IFERROR(VLOOKUP($A783,'Telstra ExDa'!$B$2:$K$310, 0,FALSE), IFERROR(VLOOKUP($A783,'Vocus RVC ExDa'!$C$2:$R$155, 0,FALSE), IFERROR(VLOOKUP($A783,'Fusion ExDa'!$B$2:$D$16, 0,FALSE), IFERROR(VLOOKUP($A783,'Exetel ExDa'!$C$2:$N$14, 9,FALSE), IFERROR(VLOOKUP($A783,'Infinet ExDa'!$B$2:$E$14, 0,FALSE), "Not Found"))))))))</f>
        <v>Not Found</v>
      </c>
      <c r="M783" s="234" t="str">
        <f>IFERROR(VLOOKUP($A783,'AAPT ExDa'!$B$2:$U$99, 0,FALSE), IFERROR(VLOOKUP($A783,'ABB ExDa'!$A$2:$N$184, 0,FALSE), IFERROR(VLOOKUP($A783,'Vocus SIT ExDa'!$B$2:$J$173, 0,FALSE), IFERROR(VLOOKUP($A783,'Telstra ExDa'!$B$2:$K$310, 0,FALSE), IFERROR(VLOOKUP($A783,'Vocus RVC ExDa'!$C$2:$R$155, 0,FALSE), IFERROR(VLOOKUP($A783,'Fusion ExDa'!$B$2:$D$16, 0,FALSE), IFERROR(VLOOKUP($A783,'Exetel ExDa'!$C$2:$N$14, 11,FALSE), IFERROR(VLOOKUP($A783,'Infinet ExDa'!$B$2:$E$14, 0,FALSE), "Not Found"))))))))</f>
        <v>Not Found</v>
      </c>
      <c r="N783" t="str">
        <f>IFERROR(VLOOKUP($A783,'AAPT ExDa'!$B$2:$U$99, 0,FALSE), IFERROR(VLOOKUP($A783,'ABB ExDa'!$A$2:$N$184, 13,FALSE), IFERROR(VLOOKUP($A783,'Vocus SIT ExDa'!$B$2:$J$173, 0,FALSE), IFERROR(VLOOKUP($A783,'Telstra ExDa'!$B$2:$K$310, 0,FALSE), IFERROR(VLOOKUP($A783,'Vocus RVC ExDa'!$C$2:$R$155, 0,FALSE), IFERROR(VLOOKUP($A783,'Fusion ExDa'!$B$2:$D$16, 0,FALSE), IFERROR(VLOOKUP($A783,'Exetel ExDa'!$C$2:$N$14, 0,FALSE), IFERROR(VLOOKUP($A783,'Infinet ExDa'!$B$2:$E$14, 0,FALSE), "Not Found"))))))))</f>
        <v>Not Found</v>
      </c>
    </row>
    <row r="784" spans="1:14">
      <c r="A784" t="str">
        <v>Jack Green</v>
      </c>
      <c r="B784" t="str">
        <f>IFERROR(VLOOKUP(A784,'Exetel ExDa'!$C$2:$N$14,4,FALSE),"No Data")</f>
        <v>No Data</v>
      </c>
      <c r="C784" t="str">
        <f>IFERROR(VLOOKUP(A784,'AAPT ExDa'!$B$2:$U$99, 2,FALSE), IFERROR(VLOOKUP(A784,'ABB ExDa'!$A$2:$N$184, 2,FALSE), IFERROR(VLOOKUP(A784,'Vocus SIT ExDa'!$B$2:$J$173, 7,FALSE), IFERROR(VLOOKUP(A784,'Telstra ExDa'!$B$2:$K$310, 2,FALSE), IFERROR(VLOOKUP(A784,'Vocus RVC ExDa'!$C$2:$R$155, 3,FALSE), IFERROR(VLOOKUP(A784,'Fusion ExDa'!$B$2:$D$16, 2,FALSE), IFERROR(VLOOKUP(A784,'Exetel ExDa'!$C$2:$N$14, 2,FALSE), IFERROR(VLOOKUP(A784,'Infinet ExDa'!$B$2:$E$14, 2,FALSE), "Not Found"))))))))</f>
        <v xml:space="preserve">Lot 20 30 Claremont Dr </v>
      </c>
      <c r="D784">
        <f>IFERROR(VLOOKUP($A784,'AAPT ExDa'!$B$2:$U$99, 15,FALSE), IFERROR(VLOOKUP($A784,'ABB ExDa'!$A$2:$N$184, 4,FALSE), IFERROR(VLOOKUP($A784,'Vocus SIT ExDa'!$B$2:$J$173, 5,FALSE), IFERROR(VLOOKUP($A784,'Telstra ExDa'!$B$2:$K$310, 8,FALSE), IFERROR(VLOOKUP($A784,'Vocus RVC ExDa'!$C$2:$R$155, 6,FALSE), IFERROR(VLOOKUP($A784,'Fusion ExDa'!$B$2:$D$16, 4,FALSE), IFERROR(VLOOKUP($A784,'Exetel ExDa'!$C$2:$N$14, 3,FALSE), IFERROR(VLOOKUP($A784,'Infinet ExDa'!$B$2:$E$14, 3,FALSE), "Not Found"))))))))</f>
        <v>4558</v>
      </c>
      <c r="E784" t="str">
        <f>IFERROR(VLOOKUP($A784,'AAPT ExDa'!$B$2:$U$99, 3,FALSE), IFERROR(VLOOKUP($A784,'ABB ExDa'!$A$2:$N$184, 5,FALSE), IFERROR(VLOOKUP($A784,'Vocus SIT ExDa'!$B$2:$J$173, 2,FALSE), IFERROR(VLOOKUP($A784,'Telstra ExDa'!$B$2:$K$310, 4,FALSE), IFERROR(VLOOKUP($A784,'Vocus RVC ExDa'!$C$2:$R$155, 8,FALSE), IFERROR(VLOOKUP($A784,'Fusion ExDa'!$B$2:$D$16, 4,FALSE), IFERROR(VLOOKUP($A784,'Exetel ExDa'!$C$2:$N$14, 5,FALSE), IFERROR(VLOOKUP($A784,'Infinet ExDa'!$B$2:$E$14, 3,FALSE), "Not Found"))))))))</f>
        <v>100Mbps/40Mbps</v>
      </c>
      <c r="F784" t="str">
        <f>IFERROR(VLOOKUP($A784,'AAPT ExDa'!$B$2:$U$99, 4,FALSE), IFERROR(VLOOKUP($A784,'ABB ExDa'!$A$2:$N$184, 6,FALSE), IFERROR(VLOOKUP($A784,'Vocus SIT ExDa'!$B$2:$J$173, 3,FALSE), IFERROR(VLOOKUP($A784,'Telstra ExDa'!$B$2:$K$310, 5,FALSE), IFERROR(VLOOKUP($A784,'Vocus RVC ExDa'!$C$2:$R$155, 9,FALSE), IFERROR(VLOOKUP($A784,'Fusion ExDa'!$B$2:$D$16, 0,FALSE), IFERROR(VLOOKUP($A784,'Exetel ExDa'!$C$2:$N$14, 6,FALSE), IFERROR(VLOOKUP($A784,'Infinet ExDa'!$B$2:$E$14, 0,FALSE), "Not Found"))))))))</f>
        <v xml:space="preserve">NBN Reseller G4 </v>
      </c>
      <c r="G784">
        <f>IFERROR(VLOOKUP($A784,'AAPT ExDa'!$B$2:$U$99, 5,FALSE), IFERROR(VLOOKUP($A784,'ABB ExDa'!$A$2:$N$184, 8,FALSE), IFERROR(VLOOKUP($A784,'Vocus SIT ExDa'!$B$2:$J$173, 6,FALSE), IFERROR(VLOOKUP($A784,'Telstra ExDa'!$B$2:$K$310, 0,FALSE), IFERROR(VLOOKUP($A784,'Vocus RVC ExDa'!$C$2:$R$155, 15,FALSE), IFERROR(VLOOKUP($A784,'Fusion ExDa'!$B$2:$D$16, 0,FALSE), IFERROR(VLOOKUP($A784,'Exetel ExDa'!$C$2:$N$14, 7,FALSE), IFERROR(VLOOKUP($A784,'Infinet ExDa'!$B$2:$E$14, 0,FALSE), "Not Found"))))))))</f>
        <v>0</v>
      </c>
      <c r="H784" t="str">
        <f>IFERROR(VLOOKUP($A784,'AAPT ExDa'!$B$2:$U$99, 6,FALSE), IFERROR(VLOOKUP($A784,'ABB ExDa'!$A$2:$N$184, 0,FALSE), IFERROR(VLOOKUP($A784,'Vocus SIT ExDa'!$B$2:$J$173, 0,FALSE), IFERROR(VLOOKUP($A784,'Telstra ExDa'!$B$2:$K$310, 0,FALSE), IFERROR(VLOOKUP($A784,'Vocus RVC ExDa'!$C$2:$R$155, 16,FALSE), IFERROR(VLOOKUP($A784,'Fusion ExDa'!$B$2:$D$16, 0,FALSE), IFERROR(VLOOKUP($A784,'Exetel ExDa'!$C$2:$N$14, 0,FALSE), IFERROR(VLOOKUP($A784,'Infinet ExDa'!$B$2:$E$14, 0,FALSE), "Not Found"))))))))</f>
        <v>PPPoE</v>
      </c>
      <c r="I784" t="str">
        <f>IFERROR(VLOOKUP($A784,'AAPT ExDa'!$B$2:$U$99, 0,FALSE), IFERROR(VLOOKUP($A784,'ABB ExDa'!$A$2:$N$184, 0,FALSE), IFERROR(VLOOKUP($A784,'Vocus SIT ExDa'!$B$2:$J$173, 0,FALSE), IFERROR(VLOOKUP($A784,'Telstra ExDa'!$B$2:$K$310, 0,FALSE), IFERROR(VLOOKUP($A784,'Vocus RVC ExDa'!$C$2:$R$155, 0,FALSE), IFERROR(VLOOKUP($A784,'Fusion ExDa'!$B$2:$D$16, 0,FALSE), IFERROR(VLOOKUP($A784,'Exetel ExDa'!$C$2:$N$14, 8,FALSE), IFERROR(VLOOKUP($A784,'Infinet ExDa'!$B$2:$E$14, 0,FALSE), "Not Found"))))))))</f>
        <v>Not Found</v>
      </c>
      <c r="J784" t="str">
        <f>IFERROR(VLOOKUP($A784,'AAPT ExDa'!$B$2:$U$99, 7,FALSE), IFERROR(VLOOKUP($A784,'ABB ExDa'!$A$2:$N$184, 2,FALSE), IFERROR(VLOOKUP($A784,'Vocus SIT ExDa'!$B$2:$J$173, 0,FALSE), IFERROR(VLOOKUP($A784,'Telstra ExDa'!$B$2:$K$310, 7,FALSE), IFERROR(VLOOKUP($A784,'Vocus RVC ExDa'!$C$2:$R$155, 2,FALSE), IFERROR(VLOOKUP($A784,'Fusion ExDa'!$B$2:$D$16, 3,FALSE), IFERROR(VLOOKUP($A784,'Exetel ExDa'!$C$2:$N$14, 0,FALSE), IFERROR(VLOOKUP($A784,'Infinet ExDa'!$B$2:$E$14, 0,FALSE), "Not Found"))))))))</f>
        <v xml:space="preserve">	AVC000166229424</v>
      </c>
      <c r="K784" t="str">
        <f>IFERROR(VLOOKUP($A784,'AAPT ExDa'!$B$2:$U$99, 12,FALSE), IFERROR(VLOOKUP($A784,'ABB ExDa'!$A$2:$N$184, 0,FALSE), IFERROR(VLOOKUP($A784,'Vocus SIT ExDa'!$B$2:$J$173, 0,FALSE), IFERROR(VLOOKUP($A784,'Telstra ExDa'!$B$2:$K$310, 0,FALSE), IFERROR(VLOOKUP($A784,'Vocus RVC ExDa'!$C$2:$R$155, 0,FALSE), IFERROR(VLOOKUP($A784,'Fusion ExDa'!$B$2:$D$16, 0,FALSE), IFERROR(VLOOKUP($A784,'Exetel ExDa'!$C$2:$N$14, 12,FALSE), IFERROR(VLOOKUP($A784,'Infinet ExDa'!$B$2:$E$14, 0,FALSE), "Not Found"))))))))</f>
        <v>Not Found</v>
      </c>
      <c r="L784" s="235" t="str">
        <f>IFERROR(VLOOKUP($A784,'AAPT ExDa'!$B$2:$U$99, 11,FALSE), IFERROR(VLOOKUP($A784,'ABB ExDa'!$A$2:$N$184, 9,FALSE), IFERROR(VLOOKUP($A784,'Vocus SIT ExDa'!$B$2:$J$173, 8,FALSE), IFERROR(VLOOKUP($A784,'Telstra ExDa'!$B$2:$K$310, 0,FALSE), IFERROR(VLOOKUP($A784,'Vocus RVC ExDa'!$C$2:$R$155, 0,FALSE), IFERROR(VLOOKUP($A784,'Fusion ExDa'!$B$2:$D$16, 0,FALSE), IFERROR(VLOOKUP($A784,'Exetel ExDa'!$C$2:$N$14, 9,FALSE), IFERROR(VLOOKUP($A784,'Infinet ExDa'!$B$2:$E$14, 0,FALSE), "Not Found"))))))))</f>
        <v>Not Found</v>
      </c>
      <c r="M784" s="234" t="str">
        <f>IFERROR(VLOOKUP($A784,'AAPT ExDa'!$B$2:$U$99, 0,FALSE), IFERROR(VLOOKUP($A784,'ABB ExDa'!$A$2:$N$184, 0,FALSE), IFERROR(VLOOKUP($A784,'Vocus SIT ExDa'!$B$2:$J$173, 0,FALSE), IFERROR(VLOOKUP($A784,'Telstra ExDa'!$B$2:$K$310, 0,FALSE), IFERROR(VLOOKUP($A784,'Vocus RVC ExDa'!$C$2:$R$155, 0,FALSE), IFERROR(VLOOKUP($A784,'Fusion ExDa'!$B$2:$D$16, 0,FALSE), IFERROR(VLOOKUP($A784,'Exetel ExDa'!$C$2:$N$14, 11,FALSE), IFERROR(VLOOKUP($A784,'Infinet ExDa'!$B$2:$E$14, 0,FALSE), "Not Found"))))))))</f>
        <v>Not Found</v>
      </c>
      <c r="N784" t="str">
        <f>IFERROR(VLOOKUP($A784,'AAPT ExDa'!$B$2:$U$99, 0,FALSE), IFERROR(VLOOKUP($A784,'ABB ExDa'!$A$2:$N$184, 13,FALSE), IFERROR(VLOOKUP($A784,'Vocus SIT ExDa'!$B$2:$J$173, 0,FALSE), IFERROR(VLOOKUP($A784,'Telstra ExDa'!$B$2:$K$310, 0,FALSE), IFERROR(VLOOKUP($A784,'Vocus RVC ExDa'!$C$2:$R$155, 0,FALSE), IFERROR(VLOOKUP($A784,'Fusion ExDa'!$B$2:$D$16, 0,FALSE), IFERROR(VLOOKUP($A784,'Exetel ExDa'!$C$2:$N$14, 0,FALSE), IFERROR(VLOOKUP($A784,'Infinet ExDa'!$B$2:$E$14, 0,FALSE), "Not Found"))))))))</f>
        <v>Not Found</v>
      </c>
    </row>
    <row r="785" spans="1:14">
      <c r="A785" t="str">
        <v>Elm Wurgler</v>
      </c>
      <c r="B785" t="str">
        <f>IFERROR(VLOOKUP(A785,'Exetel ExDa'!$C$2:$N$14,4,FALSE),"No Data")</f>
        <v>No Data</v>
      </c>
      <c r="C785" t="str">
        <f>IFERROR(VLOOKUP(A785,'AAPT ExDa'!$B$2:$U$99, 2,FALSE), IFERROR(VLOOKUP(A785,'ABB ExDa'!$A$2:$N$184, 2,FALSE), IFERROR(VLOOKUP(A785,'Vocus SIT ExDa'!$B$2:$J$173, 7,FALSE), IFERROR(VLOOKUP(A785,'Telstra ExDa'!$B$2:$K$310, 2,FALSE), IFERROR(VLOOKUP(A785,'Vocus RVC ExDa'!$C$2:$R$155, 3,FALSE), IFERROR(VLOOKUP(A785,'Fusion ExDa'!$B$2:$D$16, 2,FALSE), IFERROR(VLOOKUP(A785,'Exetel ExDa'!$C$2:$N$14, 2,FALSE), IFERROR(VLOOKUP(A785,'Infinet ExDa'!$B$2:$E$14, 2,FALSE), "Not Found"))))))))</f>
        <v xml:space="preserve">Lot 2 316 Dr Mays Crossing Rd </v>
      </c>
      <c r="D785">
        <f>IFERROR(VLOOKUP($A785,'AAPT ExDa'!$B$2:$U$99, 15,FALSE), IFERROR(VLOOKUP($A785,'ABB ExDa'!$A$2:$N$184, 4,FALSE), IFERROR(VLOOKUP($A785,'Vocus SIT ExDa'!$B$2:$J$173, 5,FALSE), IFERROR(VLOOKUP($A785,'Telstra ExDa'!$B$2:$K$310, 8,FALSE), IFERROR(VLOOKUP($A785,'Vocus RVC ExDa'!$C$2:$R$155, 6,FALSE), IFERROR(VLOOKUP($A785,'Fusion ExDa'!$B$2:$D$16, 4,FALSE), IFERROR(VLOOKUP($A785,'Exetel ExDa'!$C$2:$N$14, 3,FALSE), IFERROR(VLOOKUP($A785,'Infinet ExDa'!$B$2:$E$14, 3,FALSE), "Not Found"))))))))</f>
        <v>4670</v>
      </c>
      <c r="E785" t="str">
        <f>IFERROR(VLOOKUP($A785,'AAPT ExDa'!$B$2:$U$99, 3,FALSE), IFERROR(VLOOKUP($A785,'ABB ExDa'!$A$2:$N$184, 5,FALSE), IFERROR(VLOOKUP($A785,'Vocus SIT ExDa'!$B$2:$J$173, 2,FALSE), IFERROR(VLOOKUP($A785,'Telstra ExDa'!$B$2:$K$310, 4,FALSE), IFERROR(VLOOKUP($A785,'Vocus RVC ExDa'!$C$2:$R$155, 8,FALSE), IFERROR(VLOOKUP($A785,'Fusion ExDa'!$B$2:$D$16, 4,FALSE), IFERROR(VLOOKUP($A785,'Exetel ExDa'!$C$2:$N$14, 5,FALSE), IFERROR(VLOOKUP($A785,'Infinet ExDa'!$B$2:$E$14, 3,FALSE), "Not Found"))))))))</f>
        <v>150Mbps/30Mbps</v>
      </c>
      <c r="F785" t="str">
        <f>IFERROR(VLOOKUP($A785,'AAPT ExDa'!$B$2:$U$99, 4,FALSE), IFERROR(VLOOKUP($A785,'ABB ExDa'!$A$2:$N$184, 6,FALSE), IFERROR(VLOOKUP($A785,'Vocus SIT ExDa'!$B$2:$J$173, 3,FALSE), IFERROR(VLOOKUP($A785,'Telstra ExDa'!$B$2:$K$310, 5,FALSE), IFERROR(VLOOKUP($A785,'Vocus RVC ExDa'!$C$2:$R$155, 9,FALSE), IFERROR(VLOOKUP($A785,'Fusion ExDa'!$B$2:$D$16, 0,FALSE), IFERROR(VLOOKUP($A785,'Exetel ExDa'!$C$2:$N$14, 6,FALSE), IFERROR(VLOOKUP($A785,'Infinet ExDa'!$B$2:$E$14, 0,FALSE), "Not Found"))))))))</f>
        <v xml:space="preserve">NBN Reseller G4 WLS </v>
      </c>
      <c r="G785" t="str">
        <f>IFERROR(VLOOKUP($A785,'AAPT ExDa'!$B$2:$U$99, 5,FALSE), IFERROR(VLOOKUP($A785,'ABB ExDa'!$A$2:$N$184, 8,FALSE), IFERROR(VLOOKUP($A785,'Vocus SIT ExDa'!$B$2:$J$173, 6,FALSE), IFERROR(VLOOKUP($A785,'Telstra ExDa'!$B$2:$K$310, 0,FALSE), IFERROR(VLOOKUP($A785,'Vocus RVC ExDa'!$C$2:$R$155, 15,FALSE), IFERROR(VLOOKUP($A785,'Fusion ExDa'!$B$2:$D$16, 0,FALSE), IFERROR(VLOOKUP($A785,'Exetel ExDa'!$C$2:$N$14, 7,FALSE), IFERROR(VLOOKUP($A785,'Infinet ExDa'!$B$2:$E$14, 0,FALSE), "Not Found"))))))))</f>
        <v>125.168.84.8</v>
      </c>
      <c r="H785" t="str">
        <f>IFERROR(VLOOKUP($A785,'AAPT ExDa'!$B$2:$U$99, 6,FALSE), IFERROR(VLOOKUP($A785,'ABB ExDa'!$A$2:$N$184, 0,FALSE), IFERROR(VLOOKUP($A785,'Vocus SIT ExDa'!$B$2:$J$173, 0,FALSE), IFERROR(VLOOKUP($A785,'Telstra ExDa'!$B$2:$K$310, 0,FALSE), IFERROR(VLOOKUP($A785,'Vocus RVC ExDa'!$C$2:$R$155, 16,FALSE), IFERROR(VLOOKUP($A785,'Fusion ExDa'!$B$2:$D$16, 0,FALSE), IFERROR(VLOOKUP($A785,'Exetel ExDa'!$C$2:$N$14, 0,FALSE), IFERROR(VLOOKUP($A785,'Infinet ExDa'!$B$2:$E$14, 0,FALSE), "Not Found"))))))))</f>
        <v>PPPoE</v>
      </c>
      <c r="I785" t="str">
        <f>IFERROR(VLOOKUP($A785,'AAPT ExDa'!$B$2:$U$99, 0,FALSE), IFERROR(VLOOKUP($A785,'ABB ExDa'!$A$2:$N$184, 0,FALSE), IFERROR(VLOOKUP($A785,'Vocus SIT ExDa'!$B$2:$J$173, 0,FALSE), IFERROR(VLOOKUP($A785,'Telstra ExDa'!$B$2:$K$310, 0,FALSE), IFERROR(VLOOKUP($A785,'Vocus RVC ExDa'!$C$2:$R$155, 0,FALSE), IFERROR(VLOOKUP($A785,'Fusion ExDa'!$B$2:$D$16, 0,FALSE), IFERROR(VLOOKUP($A785,'Exetel ExDa'!$C$2:$N$14, 8,FALSE), IFERROR(VLOOKUP($A785,'Infinet ExDa'!$B$2:$E$14, 0,FALSE), "Not Found"))))))))</f>
        <v>Not Found</v>
      </c>
      <c r="J785" t="str">
        <f>IFERROR(VLOOKUP($A785,'AAPT ExDa'!$B$2:$U$99, 7,FALSE), IFERROR(VLOOKUP($A785,'ABB ExDa'!$A$2:$N$184, 2,FALSE), IFERROR(VLOOKUP($A785,'Vocus SIT ExDa'!$B$2:$J$173, 0,FALSE), IFERROR(VLOOKUP($A785,'Telstra ExDa'!$B$2:$K$310, 7,FALSE), IFERROR(VLOOKUP($A785,'Vocus RVC ExDa'!$C$2:$R$155, 2,FALSE), IFERROR(VLOOKUP($A785,'Fusion ExDa'!$B$2:$D$16, 3,FALSE), IFERROR(VLOOKUP($A785,'Exetel ExDa'!$C$2:$N$14, 0,FALSE), IFERROR(VLOOKUP($A785,'Infinet ExDa'!$B$2:$E$14, 0,FALSE), "Not Found"))))))))</f>
        <v xml:space="preserve">	AVC000166734915</v>
      </c>
      <c r="K785" t="str">
        <f>IFERROR(VLOOKUP($A785,'AAPT ExDa'!$B$2:$U$99, 12,FALSE), IFERROR(VLOOKUP($A785,'ABB ExDa'!$A$2:$N$184, 0,FALSE), IFERROR(VLOOKUP($A785,'Vocus SIT ExDa'!$B$2:$J$173, 0,FALSE), IFERROR(VLOOKUP($A785,'Telstra ExDa'!$B$2:$K$310, 0,FALSE), IFERROR(VLOOKUP($A785,'Vocus RVC ExDa'!$C$2:$R$155, 0,FALSE), IFERROR(VLOOKUP($A785,'Fusion ExDa'!$B$2:$D$16, 0,FALSE), IFERROR(VLOOKUP($A785,'Exetel ExDa'!$C$2:$N$14, 12,FALSE), IFERROR(VLOOKUP($A785,'Infinet ExDa'!$B$2:$E$14, 0,FALSE), "Not Found"))))))))</f>
        <v>Not Found</v>
      </c>
      <c r="L785" s="235" t="str">
        <f>IFERROR(VLOOKUP($A785,'AAPT ExDa'!$B$2:$U$99, 11,FALSE), IFERROR(VLOOKUP($A785,'ABB ExDa'!$A$2:$N$184, 9,FALSE), IFERROR(VLOOKUP($A785,'Vocus SIT ExDa'!$B$2:$J$173, 8,FALSE), IFERROR(VLOOKUP($A785,'Telstra ExDa'!$B$2:$K$310, 0,FALSE), IFERROR(VLOOKUP($A785,'Vocus RVC ExDa'!$C$2:$R$155, 0,FALSE), IFERROR(VLOOKUP($A785,'Fusion ExDa'!$B$2:$D$16, 0,FALSE), IFERROR(VLOOKUP($A785,'Exetel ExDa'!$C$2:$N$14, 9,FALSE), IFERROR(VLOOKUP($A785,'Infinet ExDa'!$B$2:$E$14, 0,FALSE), "Not Found"))))))))</f>
        <v>Not Found</v>
      </c>
      <c r="M785" s="234" t="str">
        <f>IFERROR(VLOOKUP($A785,'AAPT ExDa'!$B$2:$U$99, 0,FALSE), IFERROR(VLOOKUP($A785,'ABB ExDa'!$A$2:$N$184, 0,FALSE), IFERROR(VLOOKUP($A785,'Vocus SIT ExDa'!$B$2:$J$173, 0,FALSE), IFERROR(VLOOKUP($A785,'Telstra ExDa'!$B$2:$K$310, 0,FALSE), IFERROR(VLOOKUP($A785,'Vocus RVC ExDa'!$C$2:$R$155, 0,FALSE), IFERROR(VLOOKUP($A785,'Fusion ExDa'!$B$2:$D$16, 0,FALSE), IFERROR(VLOOKUP($A785,'Exetel ExDa'!$C$2:$N$14, 11,FALSE), IFERROR(VLOOKUP($A785,'Infinet ExDa'!$B$2:$E$14, 0,FALSE), "Not Found"))))))))</f>
        <v>Not Found</v>
      </c>
      <c r="N785" t="str">
        <f>IFERROR(VLOOKUP($A785,'AAPT ExDa'!$B$2:$U$99, 0,FALSE), IFERROR(VLOOKUP($A785,'ABB ExDa'!$A$2:$N$184, 13,FALSE), IFERROR(VLOOKUP($A785,'Vocus SIT ExDa'!$B$2:$J$173, 0,FALSE), IFERROR(VLOOKUP($A785,'Telstra ExDa'!$B$2:$K$310, 0,FALSE), IFERROR(VLOOKUP($A785,'Vocus RVC ExDa'!$C$2:$R$155, 0,FALSE), IFERROR(VLOOKUP($A785,'Fusion ExDa'!$B$2:$D$16, 0,FALSE), IFERROR(VLOOKUP($A785,'Exetel ExDa'!$C$2:$N$14, 0,FALSE), IFERROR(VLOOKUP($A785,'Infinet ExDa'!$B$2:$E$14, 0,FALSE), "Not Found"))))))))</f>
        <v>Not Found</v>
      </c>
    </row>
    <row r="786" spans="1:14">
      <c r="A786" t="str">
        <v>Oakhurst Gun Works</v>
      </c>
      <c r="B786" t="str">
        <f>IFERROR(VLOOKUP(A786,'Exetel ExDa'!$C$2:$N$14,4,FALSE),"No Data")</f>
        <v>No Data</v>
      </c>
      <c r="C786" t="str">
        <f>IFERROR(VLOOKUP(A786,'AAPT ExDa'!$B$2:$U$99, 2,FALSE), IFERROR(VLOOKUP(A786,'ABB ExDa'!$A$2:$N$184, 2,FALSE), IFERROR(VLOOKUP(A786,'Vocus SIT ExDa'!$B$2:$J$173, 7,FALSE), IFERROR(VLOOKUP(A786,'Telstra ExDa'!$B$2:$K$310, 2,FALSE), IFERROR(VLOOKUP(A786,'Vocus RVC ExDa'!$C$2:$R$155, 3,FALSE), IFERROR(VLOOKUP(A786,'Fusion ExDa'!$B$2:$D$16, 2,FALSE), IFERROR(VLOOKUP(A786,'Exetel ExDa'!$C$2:$N$14, 2,FALSE), IFERROR(VLOOKUP(A786,'Infinet ExDa'!$B$2:$E$14, 2,FALSE), "Not Found"))))))))</f>
        <v xml:space="preserve">67 Woocoo Dr </v>
      </c>
      <c r="D786">
        <f>IFERROR(VLOOKUP($A786,'AAPT ExDa'!$B$2:$U$99, 15,FALSE), IFERROR(VLOOKUP($A786,'ABB ExDa'!$A$2:$N$184, 4,FALSE), IFERROR(VLOOKUP($A786,'Vocus SIT ExDa'!$B$2:$J$173, 5,FALSE), IFERROR(VLOOKUP($A786,'Telstra ExDa'!$B$2:$K$310, 8,FALSE), IFERROR(VLOOKUP($A786,'Vocus RVC ExDa'!$C$2:$R$155, 6,FALSE), IFERROR(VLOOKUP($A786,'Fusion ExDa'!$B$2:$D$16, 4,FALSE), IFERROR(VLOOKUP($A786,'Exetel ExDa'!$C$2:$N$14, 3,FALSE), IFERROR(VLOOKUP($A786,'Infinet ExDa'!$B$2:$E$14, 3,FALSE), "Not Found"))))))))</f>
        <v>4650</v>
      </c>
      <c r="E786" t="str">
        <f>IFERROR(VLOOKUP($A786,'AAPT ExDa'!$B$2:$U$99, 3,FALSE), IFERROR(VLOOKUP($A786,'ABB ExDa'!$A$2:$N$184, 5,FALSE), IFERROR(VLOOKUP($A786,'Vocus SIT ExDa'!$B$2:$J$173, 2,FALSE), IFERROR(VLOOKUP($A786,'Telstra ExDa'!$B$2:$K$310, 4,FALSE), IFERROR(VLOOKUP($A786,'Vocus RVC ExDa'!$C$2:$R$155, 8,FALSE), IFERROR(VLOOKUP($A786,'Fusion ExDa'!$B$2:$D$16, 4,FALSE), IFERROR(VLOOKUP($A786,'Exetel ExDa'!$C$2:$N$14, 5,FALSE), IFERROR(VLOOKUP($A786,'Infinet ExDa'!$B$2:$E$14, 3,FALSE), "Not Found"))))))))</f>
        <v>25Mbps/5Mbps</v>
      </c>
      <c r="F786" t="str">
        <f>IFERROR(VLOOKUP($A786,'AAPT ExDa'!$B$2:$U$99, 4,FALSE), IFERROR(VLOOKUP($A786,'ABB ExDa'!$A$2:$N$184, 6,FALSE), IFERROR(VLOOKUP($A786,'Vocus SIT ExDa'!$B$2:$J$173, 3,FALSE), IFERROR(VLOOKUP($A786,'Telstra ExDa'!$B$2:$K$310, 5,FALSE), IFERROR(VLOOKUP($A786,'Vocus RVC ExDa'!$C$2:$R$155, 9,FALSE), IFERROR(VLOOKUP($A786,'Fusion ExDa'!$B$2:$D$16, 0,FALSE), IFERROR(VLOOKUP($A786,'Exetel ExDa'!$C$2:$N$14, 6,FALSE), IFERROR(VLOOKUP($A786,'Infinet ExDa'!$B$2:$E$14, 0,FALSE), "Not Found"))))))))</f>
        <v xml:space="preserve">NBN Reseller G4 WLS </v>
      </c>
      <c r="G786" t="str">
        <f>IFERROR(VLOOKUP($A786,'AAPT ExDa'!$B$2:$U$99, 5,FALSE), IFERROR(VLOOKUP($A786,'ABB ExDa'!$A$2:$N$184, 8,FALSE), IFERROR(VLOOKUP($A786,'Vocus SIT ExDa'!$B$2:$J$173, 6,FALSE), IFERROR(VLOOKUP($A786,'Telstra ExDa'!$B$2:$K$310, 0,FALSE), IFERROR(VLOOKUP($A786,'Vocus RVC ExDa'!$C$2:$R$155, 15,FALSE), IFERROR(VLOOKUP($A786,'Fusion ExDa'!$B$2:$D$16, 0,FALSE), IFERROR(VLOOKUP($A786,'Exetel ExDa'!$C$2:$N$14, 7,FALSE), IFERROR(VLOOKUP($A786,'Infinet ExDa'!$B$2:$E$14, 0,FALSE), "Not Found"))))))))</f>
        <v>125.168.87.239</v>
      </c>
      <c r="H786" t="str">
        <f>IFERROR(VLOOKUP($A786,'AAPT ExDa'!$B$2:$U$99, 6,FALSE), IFERROR(VLOOKUP($A786,'ABB ExDa'!$A$2:$N$184, 0,FALSE), IFERROR(VLOOKUP($A786,'Vocus SIT ExDa'!$B$2:$J$173, 0,FALSE), IFERROR(VLOOKUP($A786,'Telstra ExDa'!$B$2:$K$310, 0,FALSE), IFERROR(VLOOKUP($A786,'Vocus RVC ExDa'!$C$2:$R$155, 16,FALSE), IFERROR(VLOOKUP($A786,'Fusion ExDa'!$B$2:$D$16, 0,FALSE), IFERROR(VLOOKUP($A786,'Exetel ExDa'!$C$2:$N$14, 0,FALSE), IFERROR(VLOOKUP($A786,'Infinet ExDa'!$B$2:$E$14, 0,FALSE), "Not Found"))))))))</f>
        <v>PPPoE</v>
      </c>
      <c r="I786" t="str">
        <f>IFERROR(VLOOKUP($A786,'AAPT ExDa'!$B$2:$U$99, 0,FALSE), IFERROR(VLOOKUP($A786,'ABB ExDa'!$A$2:$N$184, 0,FALSE), IFERROR(VLOOKUP($A786,'Vocus SIT ExDa'!$B$2:$J$173, 0,FALSE), IFERROR(VLOOKUP($A786,'Telstra ExDa'!$B$2:$K$310, 0,FALSE), IFERROR(VLOOKUP($A786,'Vocus RVC ExDa'!$C$2:$R$155, 0,FALSE), IFERROR(VLOOKUP($A786,'Fusion ExDa'!$B$2:$D$16, 0,FALSE), IFERROR(VLOOKUP($A786,'Exetel ExDa'!$C$2:$N$14, 8,FALSE), IFERROR(VLOOKUP($A786,'Infinet ExDa'!$B$2:$E$14, 0,FALSE), "Not Found"))))))))</f>
        <v>Not Found</v>
      </c>
      <c r="J786" t="str">
        <f>IFERROR(VLOOKUP($A786,'AAPT ExDa'!$B$2:$U$99, 7,FALSE), IFERROR(VLOOKUP($A786,'ABB ExDa'!$A$2:$N$184, 2,FALSE), IFERROR(VLOOKUP($A786,'Vocus SIT ExDa'!$B$2:$J$173, 0,FALSE), IFERROR(VLOOKUP($A786,'Telstra ExDa'!$B$2:$K$310, 7,FALSE), IFERROR(VLOOKUP($A786,'Vocus RVC ExDa'!$C$2:$R$155, 2,FALSE), IFERROR(VLOOKUP($A786,'Fusion ExDa'!$B$2:$D$16, 3,FALSE), IFERROR(VLOOKUP($A786,'Exetel ExDa'!$C$2:$N$14, 0,FALSE), IFERROR(VLOOKUP($A786,'Infinet ExDa'!$B$2:$E$14, 0,FALSE), "Not Found"))))))))</f>
        <v xml:space="preserve">	AVC000125914480</v>
      </c>
      <c r="K786" t="str">
        <f>IFERROR(VLOOKUP($A786,'AAPT ExDa'!$B$2:$U$99, 12,FALSE), IFERROR(VLOOKUP($A786,'ABB ExDa'!$A$2:$N$184, 0,FALSE), IFERROR(VLOOKUP($A786,'Vocus SIT ExDa'!$B$2:$J$173, 0,FALSE), IFERROR(VLOOKUP($A786,'Telstra ExDa'!$B$2:$K$310, 0,FALSE), IFERROR(VLOOKUP($A786,'Vocus RVC ExDa'!$C$2:$R$155, 0,FALSE), IFERROR(VLOOKUP($A786,'Fusion ExDa'!$B$2:$D$16, 0,FALSE), IFERROR(VLOOKUP($A786,'Exetel ExDa'!$C$2:$N$14, 12,FALSE), IFERROR(VLOOKUP($A786,'Infinet ExDa'!$B$2:$E$14, 0,FALSE), "Not Found"))))))))</f>
        <v>Not Found</v>
      </c>
      <c r="L786" s="235" t="str">
        <f>IFERROR(VLOOKUP($A786,'AAPT ExDa'!$B$2:$U$99, 11,FALSE), IFERROR(VLOOKUP($A786,'ABB ExDa'!$A$2:$N$184, 9,FALSE), IFERROR(VLOOKUP($A786,'Vocus SIT ExDa'!$B$2:$J$173, 8,FALSE), IFERROR(VLOOKUP($A786,'Telstra ExDa'!$B$2:$K$310, 0,FALSE), IFERROR(VLOOKUP($A786,'Vocus RVC ExDa'!$C$2:$R$155, 0,FALSE), IFERROR(VLOOKUP($A786,'Fusion ExDa'!$B$2:$D$16, 0,FALSE), IFERROR(VLOOKUP($A786,'Exetel ExDa'!$C$2:$N$14, 9,FALSE), IFERROR(VLOOKUP($A786,'Infinet ExDa'!$B$2:$E$14, 0,FALSE), "Not Found"))))))))</f>
        <v>Not Found</v>
      </c>
      <c r="M786" s="234" t="str">
        <f>IFERROR(VLOOKUP($A786,'AAPT ExDa'!$B$2:$U$99, 0,FALSE), IFERROR(VLOOKUP($A786,'ABB ExDa'!$A$2:$N$184, 0,FALSE), IFERROR(VLOOKUP($A786,'Vocus SIT ExDa'!$B$2:$J$173, 0,FALSE), IFERROR(VLOOKUP($A786,'Telstra ExDa'!$B$2:$K$310, 0,FALSE), IFERROR(VLOOKUP($A786,'Vocus RVC ExDa'!$C$2:$R$155, 0,FALSE), IFERROR(VLOOKUP($A786,'Fusion ExDa'!$B$2:$D$16, 0,FALSE), IFERROR(VLOOKUP($A786,'Exetel ExDa'!$C$2:$N$14, 11,FALSE), IFERROR(VLOOKUP($A786,'Infinet ExDa'!$B$2:$E$14, 0,FALSE), "Not Found"))))))))</f>
        <v>Not Found</v>
      </c>
      <c r="N786" t="str">
        <f>IFERROR(VLOOKUP($A786,'AAPT ExDa'!$B$2:$U$99, 0,FALSE), IFERROR(VLOOKUP($A786,'ABB ExDa'!$A$2:$N$184, 13,FALSE), IFERROR(VLOOKUP($A786,'Vocus SIT ExDa'!$B$2:$J$173, 0,FALSE), IFERROR(VLOOKUP($A786,'Telstra ExDa'!$B$2:$K$310, 0,FALSE), IFERROR(VLOOKUP($A786,'Vocus RVC ExDa'!$C$2:$R$155, 0,FALSE), IFERROR(VLOOKUP($A786,'Fusion ExDa'!$B$2:$D$16, 0,FALSE), IFERROR(VLOOKUP($A786,'Exetel ExDa'!$C$2:$N$14, 0,FALSE), IFERROR(VLOOKUP($A786,'Infinet ExDa'!$B$2:$E$14, 0,FALSE), "Not Found"))))))))</f>
        <v>Not Found</v>
      </c>
    </row>
    <row r="787" spans="1:14">
      <c r="A787" t="str">
        <v>All Crops</v>
      </c>
      <c r="B787" t="str">
        <f>IFERROR(VLOOKUP(A787,'Exetel ExDa'!$C$2:$N$14,4,FALSE),"No Data")</f>
        <v>No Data</v>
      </c>
      <c r="C787" t="str">
        <f>IFERROR(VLOOKUP(A787,'AAPT ExDa'!$B$2:$U$99, 2,FALSE), IFERROR(VLOOKUP(A787,'ABB ExDa'!$A$2:$N$184, 2,FALSE), IFERROR(VLOOKUP(A787,'Vocus SIT ExDa'!$B$2:$J$173, 7,FALSE), IFERROR(VLOOKUP(A787,'Telstra ExDa'!$B$2:$K$310, 2,FALSE), IFERROR(VLOOKUP(A787,'Vocus RVC ExDa'!$C$2:$R$155, 3,FALSE), IFERROR(VLOOKUP(A787,'Fusion ExDa'!$B$2:$D$16, 2,FALSE), IFERROR(VLOOKUP(A787,'Exetel ExDa'!$C$2:$N$14, 2,FALSE), IFERROR(VLOOKUP(A787,'Infinet ExDa'!$B$2:$E$14, 2,FALSE), "Not Found"))))))))</f>
        <v xml:space="preserve">Lot 7 28672 Bruce Hwy </v>
      </c>
      <c r="D787">
        <f>IFERROR(VLOOKUP($A787,'AAPT ExDa'!$B$2:$U$99, 15,FALSE), IFERROR(VLOOKUP($A787,'ABB ExDa'!$A$2:$N$184, 4,FALSE), IFERROR(VLOOKUP($A787,'Vocus SIT ExDa'!$B$2:$J$173, 5,FALSE), IFERROR(VLOOKUP($A787,'Telstra ExDa'!$B$2:$K$310, 8,FALSE), IFERROR(VLOOKUP($A787,'Vocus RVC ExDa'!$C$2:$R$155, 6,FALSE), IFERROR(VLOOKUP($A787,'Fusion ExDa'!$B$2:$D$16, 4,FALSE), IFERROR(VLOOKUP($A787,'Exetel ExDa'!$C$2:$N$14, 3,FALSE), IFERROR(VLOOKUP($A787,'Infinet ExDa'!$B$2:$E$14, 3,FALSE), "Not Found"))))))))</f>
        <v>4660</v>
      </c>
      <c r="E787" t="str">
        <f>IFERROR(VLOOKUP($A787,'AAPT ExDa'!$B$2:$U$99, 3,FALSE), IFERROR(VLOOKUP($A787,'ABB ExDa'!$A$2:$N$184, 5,FALSE), IFERROR(VLOOKUP($A787,'Vocus SIT ExDa'!$B$2:$J$173, 2,FALSE), IFERROR(VLOOKUP($A787,'Telstra ExDa'!$B$2:$K$310, 4,FALSE), IFERROR(VLOOKUP($A787,'Vocus RVC ExDa'!$C$2:$R$155, 8,FALSE), IFERROR(VLOOKUP($A787,'Fusion ExDa'!$B$2:$D$16, 4,FALSE), IFERROR(VLOOKUP($A787,'Exetel ExDa'!$C$2:$N$14, 5,FALSE), IFERROR(VLOOKUP($A787,'Infinet ExDa'!$B$2:$E$14, 3,FALSE), "Not Found"))))))))</f>
        <v>100Mbps/40Mbps</v>
      </c>
      <c r="F787" t="str">
        <f>IFERROR(VLOOKUP($A787,'AAPT ExDa'!$B$2:$U$99, 4,FALSE), IFERROR(VLOOKUP($A787,'ABB ExDa'!$A$2:$N$184, 6,FALSE), IFERROR(VLOOKUP($A787,'Vocus SIT ExDa'!$B$2:$J$173, 3,FALSE), IFERROR(VLOOKUP($A787,'Telstra ExDa'!$B$2:$K$310, 5,FALSE), IFERROR(VLOOKUP($A787,'Vocus RVC ExDa'!$C$2:$R$155, 9,FALSE), IFERROR(VLOOKUP($A787,'Fusion ExDa'!$B$2:$D$16, 0,FALSE), IFERROR(VLOOKUP($A787,'Exetel ExDa'!$C$2:$N$14, 6,FALSE), IFERROR(VLOOKUP($A787,'Infinet ExDa'!$B$2:$E$14, 0,FALSE), "Not Found"))))))))</f>
        <v>NBN Reseller G4 FTTC</v>
      </c>
      <c r="G787" t="str">
        <f>IFERROR(VLOOKUP($A787,'AAPT ExDa'!$B$2:$U$99, 5,FALSE), IFERROR(VLOOKUP($A787,'ABB ExDa'!$A$2:$N$184, 8,FALSE), IFERROR(VLOOKUP($A787,'Vocus SIT ExDa'!$B$2:$J$173, 6,FALSE), IFERROR(VLOOKUP($A787,'Telstra ExDa'!$B$2:$K$310, 0,FALSE), IFERROR(VLOOKUP($A787,'Vocus RVC ExDa'!$C$2:$R$155, 15,FALSE), IFERROR(VLOOKUP($A787,'Fusion ExDa'!$B$2:$D$16, 0,FALSE), IFERROR(VLOOKUP($A787,'Exetel ExDa'!$C$2:$N$14, 7,FALSE), IFERROR(VLOOKUP($A787,'Infinet ExDa'!$B$2:$E$14, 0,FALSE), "Not Found"))))))))</f>
        <v>125.168.88.232</v>
      </c>
      <c r="H787" t="str">
        <f>IFERROR(VLOOKUP($A787,'AAPT ExDa'!$B$2:$U$99, 6,FALSE), IFERROR(VLOOKUP($A787,'ABB ExDa'!$A$2:$N$184, 0,FALSE), IFERROR(VLOOKUP($A787,'Vocus SIT ExDa'!$B$2:$J$173, 0,FALSE), IFERROR(VLOOKUP($A787,'Telstra ExDa'!$B$2:$K$310, 0,FALSE), IFERROR(VLOOKUP($A787,'Vocus RVC ExDa'!$C$2:$R$155, 16,FALSE), IFERROR(VLOOKUP($A787,'Fusion ExDa'!$B$2:$D$16, 0,FALSE), IFERROR(VLOOKUP($A787,'Exetel ExDa'!$C$2:$N$14, 0,FALSE), IFERROR(VLOOKUP($A787,'Infinet ExDa'!$B$2:$E$14, 0,FALSE), "Not Found"))))))))</f>
        <v>PPPoE</v>
      </c>
      <c r="I787" t="str">
        <f>IFERROR(VLOOKUP($A787,'AAPT ExDa'!$B$2:$U$99, 0,FALSE), IFERROR(VLOOKUP($A787,'ABB ExDa'!$A$2:$N$184, 0,FALSE), IFERROR(VLOOKUP($A787,'Vocus SIT ExDa'!$B$2:$J$173, 0,FALSE), IFERROR(VLOOKUP($A787,'Telstra ExDa'!$B$2:$K$310, 0,FALSE), IFERROR(VLOOKUP($A787,'Vocus RVC ExDa'!$C$2:$R$155, 0,FALSE), IFERROR(VLOOKUP($A787,'Fusion ExDa'!$B$2:$D$16, 0,FALSE), IFERROR(VLOOKUP($A787,'Exetel ExDa'!$C$2:$N$14, 8,FALSE), IFERROR(VLOOKUP($A787,'Infinet ExDa'!$B$2:$E$14, 0,FALSE), "Not Found"))))))))</f>
        <v>Not Found</v>
      </c>
      <c r="J787" t="str">
        <f>IFERROR(VLOOKUP($A787,'AAPT ExDa'!$B$2:$U$99, 7,FALSE), IFERROR(VLOOKUP($A787,'ABB ExDa'!$A$2:$N$184, 2,FALSE), IFERROR(VLOOKUP($A787,'Vocus SIT ExDa'!$B$2:$J$173, 0,FALSE), IFERROR(VLOOKUP($A787,'Telstra ExDa'!$B$2:$K$310, 7,FALSE), IFERROR(VLOOKUP($A787,'Vocus RVC ExDa'!$C$2:$R$155, 2,FALSE), IFERROR(VLOOKUP($A787,'Fusion ExDa'!$B$2:$D$16, 3,FALSE), IFERROR(VLOOKUP($A787,'Exetel ExDa'!$C$2:$N$14, 0,FALSE), IFERROR(VLOOKUP($A787,'Infinet ExDa'!$B$2:$E$14, 0,FALSE), "Not Found"))))))))</f>
        <v xml:space="preserve">	AVC000123456625</v>
      </c>
      <c r="K787" t="str">
        <f>IFERROR(VLOOKUP($A787,'AAPT ExDa'!$B$2:$U$99, 12,FALSE), IFERROR(VLOOKUP($A787,'ABB ExDa'!$A$2:$N$184, 0,FALSE), IFERROR(VLOOKUP($A787,'Vocus SIT ExDa'!$B$2:$J$173, 0,FALSE), IFERROR(VLOOKUP($A787,'Telstra ExDa'!$B$2:$K$310, 0,FALSE), IFERROR(VLOOKUP($A787,'Vocus RVC ExDa'!$C$2:$R$155, 0,FALSE), IFERROR(VLOOKUP($A787,'Fusion ExDa'!$B$2:$D$16, 0,FALSE), IFERROR(VLOOKUP($A787,'Exetel ExDa'!$C$2:$N$14, 12,FALSE), IFERROR(VLOOKUP($A787,'Infinet ExDa'!$B$2:$E$14, 0,FALSE), "Not Found"))))))))</f>
        <v>Not Found</v>
      </c>
      <c r="L787" s="235" t="str">
        <f>IFERROR(VLOOKUP($A787,'AAPT ExDa'!$B$2:$U$99, 11,FALSE), IFERROR(VLOOKUP($A787,'ABB ExDa'!$A$2:$N$184, 9,FALSE), IFERROR(VLOOKUP($A787,'Vocus SIT ExDa'!$B$2:$J$173, 8,FALSE), IFERROR(VLOOKUP($A787,'Telstra ExDa'!$B$2:$K$310, 0,FALSE), IFERROR(VLOOKUP($A787,'Vocus RVC ExDa'!$C$2:$R$155, 0,FALSE), IFERROR(VLOOKUP($A787,'Fusion ExDa'!$B$2:$D$16, 0,FALSE), IFERROR(VLOOKUP($A787,'Exetel ExDa'!$C$2:$N$14, 9,FALSE), IFERROR(VLOOKUP($A787,'Infinet ExDa'!$B$2:$E$14, 0,FALSE), "Not Found"))))))))</f>
        <v>Not Found</v>
      </c>
      <c r="M787" s="234" t="str">
        <f>IFERROR(VLOOKUP($A787,'AAPT ExDa'!$B$2:$U$99, 0,FALSE), IFERROR(VLOOKUP($A787,'ABB ExDa'!$A$2:$N$184, 0,FALSE), IFERROR(VLOOKUP($A787,'Vocus SIT ExDa'!$B$2:$J$173, 0,FALSE), IFERROR(VLOOKUP($A787,'Telstra ExDa'!$B$2:$K$310, 0,FALSE), IFERROR(VLOOKUP($A787,'Vocus RVC ExDa'!$C$2:$R$155, 0,FALSE), IFERROR(VLOOKUP($A787,'Fusion ExDa'!$B$2:$D$16, 0,FALSE), IFERROR(VLOOKUP($A787,'Exetel ExDa'!$C$2:$N$14, 11,FALSE), IFERROR(VLOOKUP($A787,'Infinet ExDa'!$B$2:$E$14, 0,FALSE), "Not Found"))))))))</f>
        <v>Not Found</v>
      </c>
      <c r="N787" t="str">
        <f>IFERROR(VLOOKUP($A787,'AAPT ExDa'!$B$2:$U$99, 0,FALSE), IFERROR(VLOOKUP($A787,'ABB ExDa'!$A$2:$N$184, 13,FALSE), IFERROR(VLOOKUP($A787,'Vocus SIT ExDa'!$B$2:$J$173, 0,FALSE), IFERROR(VLOOKUP($A787,'Telstra ExDa'!$B$2:$K$310, 0,FALSE), IFERROR(VLOOKUP($A787,'Vocus RVC ExDa'!$C$2:$R$155, 0,FALSE), IFERROR(VLOOKUP($A787,'Fusion ExDa'!$B$2:$D$16, 0,FALSE), IFERROR(VLOOKUP($A787,'Exetel ExDa'!$C$2:$N$14, 0,FALSE), IFERROR(VLOOKUP($A787,'Infinet ExDa'!$B$2:$E$14, 0,FALSE), "Not Found"))))))))</f>
        <v>Not Found</v>
      </c>
    </row>
    <row r="788" spans="1:14">
      <c r="A788" t="str">
        <v>Gumdale Dentists</v>
      </c>
      <c r="B788" t="str">
        <f>IFERROR(VLOOKUP(A788,'Exetel ExDa'!$C$2:$N$14,4,FALSE),"No Data")</f>
        <v>No Data</v>
      </c>
      <c r="C788" t="str">
        <f>IFERROR(VLOOKUP(A788,'AAPT ExDa'!$B$2:$U$99, 2,FALSE), IFERROR(VLOOKUP(A788,'ABB ExDa'!$A$2:$N$184, 2,FALSE), IFERROR(VLOOKUP(A788,'Vocus SIT ExDa'!$B$2:$J$173, 7,FALSE), IFERROR(VLOOKUP(A788,'Telstra ExDa'!$B$2:$K$310, 2,FALSE), IFERROR(VLOOKUP(A788,'Vocus RVC ExDa'!$C$2:$R$155, 3,FALSE), IFERROR(VLOOKUP(A788,'Fusion ExDa'!$B$2:$D$16, 2,FALSE), IFERROR(VLOOKUP(A788,'Exetel ExDa'!$C$2:$N$14, 2,FALSE), IFERROR(VLOOKUP(A788,'Infinet ExDa'!$B$2:$E$14, 2,FALSE), "Not Found"))))))))</f>
        <v xml:space="preserve">Shop 22 Lot 0 696 New Cleveland Rd </v>
      </c>
      <c r="D788">
        <f>IFERROR(VLOOKUP($A788,'AAPT ExDa'!$B$2:$U$99, 15,FALSE), IFERROR(VLOOKUP($A788,'ABB ExDa'!$A$2:$N$184, 4,FALSE), IFERROR(VLOOKUP($A788,'Vocus SIT ExDa'!$B$2:$J$173, 5,FALSE), IFERROR(VLOOKUP($A788,'Telstra ExDa'!$B$2:$K$310, 8,FALSE), IFERROR(VLOOKUP($A788,'Vocus RVC ExDa'!$C$2:$R$155, 6,FALSE), IFERROR(VLOOKUP($A788,'Fusion ExDa'!$B$2:$D$16, 4,FALSE), IFERROR(VLOOKUP($A788,'Exetel ExDa'!$C$2:$N$14, 3,FALSE), IFERROR(VLOOKUP($A788,'Infinet ExDa'!$B$2:$E$14, 3,FALSE), "Not Found"))))))))</f>
        <v>4154</v>
      </c>
      <c r="E788" t="str">
        <f>IFERROR(VLOOKUP($A788,'AAPT ExDa'!$B$2:$U$99, 3,FALSE), IFERROR(VLOOKUP($A788,'ABB ExDa'!$A$2:$N$184, 5,FALSE), IFERROR(VLOOKUP($A788,'Vocus SIT ExDa'!$B$2:$J$173, 2,FALSE), IFERROR(VLOOKUP($A788,'Telstra ExDa'!$B$2:$K$310, 4,FALSE), IFERROR(VLOOKUP($A788,'Vocus RVC ExDa'!$C$2:$R$155, 8,FALSE), IFERROR(VLOOKUP($A788,'Fusion ExDa'!$B$2:$D$16, 4,FALSE), IFERROR(VLOOKUP($A788,'Exetel ExDa'!$C$2:$N$14, 5,FALSE), IFERROR(VLOOKUP($A788,'Infinet ExDa'!$B$2:$E$14, 3,FALSE), "Not Found"))))))))</f>
        <v>100Mbps/40Mbps</v>
      </c>
      <c r="F788" t="str">
        <f>IFERROR(VLOOKUP($A788,'AAPT ExDa'!$B$2:$U$99, 4,FALSE), IFERROR(VLOOKUP($A788,'ABB ExDa'!$A$2:$N$184, 6,FALSE), IFERROR(VLOOKUP($A788,'Vocus SIT ExDa'!$B$2:$J$173, 3,FALSE), IFERROR(VLOOKUP($A788,'Telstra ExDa'!$B$2:$K$310, 5,FALSE), IFERROR(VLOOKUP($A788,'Vocus RVC ExDa'!$C$2:$R$155, 9,FALSE), IFERROR(VLOOKUP($A788,'Fusion ExDa'!$B$2:$D$16, 0,FALSE), IFERROR(VLOOKUP($A788,'Exetel ExDa'!$C$2:$N$14, 6,FALSE), IFERROR(VLOOKUP($A788,'Infinet ExDa'!$B$2:$E$14, 0,FALSE), "Not Found"))))))))</f>
        <v>NBN Reseller G4 FTTB</v>
      </c>
      <c r="G788" t="str">
        <f>IFERROR(VLOOKUP($A788,'AAPT ExDa'!$B$2:$U$99, 5,FALSE), IFERROR(VLOOKUP($A788,'ABB ExDa'!$A$2:$N$184, 8,FALSE), IFERROR(VLOOKUP($A788,'Vocus SIT ExDa'!$B$2:$J$173, 6,FALSE), IFERROR(VLOOKUP($A788,'Telstra ExDa'!$B$2:$K$310, 0,FALSE), IFERROR(VLOOKUP($A788,'Vocus RVC ExDa'!$C$2:$R$155, 15,FALSE), IFERROR(VLOOKUP($A788,'Fusion ExDa'!$B$2:$D$16, 0,FALSE), IFERROR(VLOOKUP($A788,'Exetel ExDa'!$C$2:$N$14, 7,FALSE), IFERROR(VLOOKUP($A788,'Infinet ExDa'!$B$2:$E$14, 0,FALSE), "Not Found"))))))))</f>
        <v>122.148.147.47</v>
      </c>
      <c r="H788" t="str">
        <f>IFERROR(VLOOKUP($A788,'AAPT ExDa'!$B$2:$U$99, 6,FALSE), IFERROR(VLOOKUP($A788,'ABB ExDa'!$A$2:$N$184, 0,FALSE), IFERROR(VLOOKUP($A788,'Vocus SIT ExDa'!$B$2:$J$173, 0,FALSE), IFERROR(VLOOKUP($A788,'Telstra ExDa'!$B$2:$K$310, 0,FALSE), IFERROR(VLOOKUP($A788,'Vocus RVC ExDa'!$C$2:$R$155, 16,FALSE), IFERROR(VLOOKUP($A788,'Fusion ExDa'!$B$2:$D$16, 0,FALSE), IFERROR(VLOOKUP($A788,'Exetel ExDa'!$C$2:$N$14, 0,FALSE), IFERROR(VLOOKUP($A788,'Infinet ExDa'!$B$2:$E$14, 0,FALSE), "Not Found"))))))))</f>
        <v>PPPoE</v>
      </c>
      <c r="I788" t="str">
        <f>IFERROR(VLOOKUP($A788,'AAPT ExDa'!$B$2:$U$99, 0,FALSE), IFERROR(VLOOKUP($A788,'ABB ExDa'!$A$2:$N$184, 0,FALSE), IFERROR(VLOOKUP($A788,'Vocus SIT ExDa'!$B$2:$J$173, 0,FALSE), IFERROR(VLOOKUP($A788,'Telstra ExDa'!$B$2:$K$310, 0,FALSE), IFERROR(VLOOKUP($A788,'Vocus RVC ExDa'!$C$2:$R$155, 0,FALSE), IFERROR(VLOOKUP($A788,'Fusion ExDa'!$B$2:$D$16, 0,FALSE), IFERROR(VLOOKUP($A788,'Exetel ExDa'!$C$2:$N$14, 8,FALSE), IFERROR(VLOOKUP($A788,'Infinet ExDa'!$B$2:$E$14, 0,FALSE), "Not Found"))))))))</f>
        <v>Not Found</v>
      </c>
      <c r="J788" t="str">
        <f>IFERROR(VLOOKUP($A788,'AAPT ExDa'!$B$2:$U$99, 7,FALSE), IFERROR(VLOOKUP($A788,'ABB ExDa'!$A$2:$N$184, 2,FALSE), IFERROR(VLOOKUP($A788,'Vocus SIT ExDa'!$B$2:$J$173, 0,FALSE), IFERROR(VLOOKUP($A788,'Telstra ExDa'!$B$2:$K$310, 7,FALSE), IFERROR(VLOOKUP($A788,'Vocus RVC ExDa'!$C$2:$R$155, 2,FALSE), IFERROR(VLOOKUP($A788,'Fusion ExDa'!$B$2:$D$16, 3,FALSE), IFERROR(VLOOKUP($A788,'Exetel ExDa'!$C$2:$N$14, 0,FALSE), IFERROR(VLOOKUP($A788,'Infinet ExDa'!$B$2:$E$14, 0,FALSE), "Not Found"))))))))</f>
        <v>AVC000123456625</v>
      </c>
      <c r="K788" t="str">
        <f>IFERROR(VLOOKUP($A788,'AAPT ExDa'!$B$2:$U$99, 12,FALSE), IFERROR(VLOOKUP($A788,'ABB ExDa'!$A$2:$N$184, 0,FALSE), IFERROR(VLOOKUP($A788,'Vocus SIT ExDa'!$B$2:$J$173, 0,FALSE), IFERROR(VLOOKUP($A788,'Telstra ExDa'!$B$2:$K$310, 0,FALSE), IFERROR(VLOOKUP($A788,'Vocus RVC ExDa'!$C$2:$R$155, 0,FALSE), IFERROR(VLOOKUP($A788,'Fusion ExDa'!$B$2:$D$16, 0,FALSE), IFERROR(VLOOKUP($A788,'Exetel ExDa'!$C$2:$N$14, 12,FALSE), IFERROR(VLOOKUP($A788,'Infinet ExDa'!$B$2:$E$14, 0,FALSE), "Not Found"))))))))</f>
        <v>Not Found</v>
      </c>
      <c r="L788" s="235" t="str">
        <f>IFERROR(VLOOKUP($A788,'AAPT ExDa'!$B$2:$U$99, 11,FALSE), IFERROR(VLOOKUP($A788,'ABB ExDa'!$A$2:$N$184, 9,FALSE), IFERROR(VLOOKUP($A788,'Vocus SIT ExDa'!$B$2:$J$173, 8,FALSE), IFERROR(VLOOKUP($A788,'Telstra ExDa'!$B$2:$K$310, 0,FALSE), IFERROR(VLOOKUP($A788,'Vocus RVC ExDa'!$C$2:$R$155, 0,FALSE), IFERROR(VLOOKUP($A788,'Fusion ExDa'!$B$2:$D$16, 0,FALSE), IFERROR(VLOOKUP($A788,'Exetel ExDa'!$C$2:$N$14, 9,FALSE), IFERROR(VLOOKUP($A788,'Infinet ExDa'!$B$2:$E$14, 0,FALSE), "Not Found"))))))))</f>
        <v>Not Found</v>
      </c>
      <c r="M788" s="234" t="str">
        <f>IFERROR(VLOOKUP($A788,'AAPT ExDa'!$B$2:$U$99, 0,FALSE), IFERROR(VLOOKUP($A788,'ABB ExDa'!$A$2:$N$184, 0,FALSE), IFERROR(VLOOKUP($A788,'Vocus SIT ExDa'!$B$2:$J$173, 0,FALSE), IFERROR(VLOOKUP($A788,'Telstra ExDa'!$B$2:$K$310, 0,FALSE), IFERROR(VLOOKUP($A788,'Vocus RVC ExDa'!$C$2:$R$155, 0,FALSE), IFERROR(VLOOKUP($A788,'Fusion ExDa'!$B$2:$D$16, 0,FALSE), IFERROR(VLOOKUP($A788,'Exetel ExDa'!$C$2:$N$14, 11,FALSE), IFERROR(VLOOKUP($A788,'Infinet ExDa'!$B$2:$E$14, 0,FALSE), "Not Found"))))))))</f>
        <v>Not Found</v>
      </c>
      <c r="N788" t="str">
        <f>IFERROR(VLOOKUP($A788,'AAPT ExDa'!$B$2:$U$99, 0,FALSE), IFERROR(VLOOKUP($A788,'ABB ExDa'!$A$2:$N$184, 13,FALSE), IFERROR(VLOOKUP($A788,'Vocus SIT ExDa'!$B$2:$J$173, 0,FALSE), IFERROR(VLOOKUP($A788,'Telstra ExDa'!$B$2:$K$310, 0,FALSE), IFERROR(VLOOKUP($A788,'Vocus RVC ExDa'!$C$2:$R$155, 0,FALSE), IFERROR(VLOOKUP($A788,'Fusion ExDa'!$B$2:$D$16, 0,FALSE), IFERROR(VLOOKUP($A788,'Exetel ExDa'!$C$2:$N$14, 0,FALSE), IFERROR(VLOOKUP($A788,'Infinet ExDa'!$B$2:$E$14, 0,FALSE), "Not Found"))))))))</f>
        <v>Not Found</v>
      </c>
    </row>
    <row r="789" spans="1:14">
      <c r="A789" t="str">
        <v>First National Childers</v>
      </c>
      <c r="B789" t="str">
        <f>IFERROR(VLOOKUP(A789,'Exetel ExDa'!$C$2:$N$14,4,FALSE),"No Data")</f>
        <v>No Data</v>
      </c>
      <c r="C789" t="str">
        <f>IFERROR(VLOOKUP(A789,'AAPT ExDa'!$B$2:$U$99, 2,FALSE), IFERROR(VLOOKUP(A789,'ABB ExDa'!$A$2:$N$184, 2,FALSE), IFERROR(VLOOKUP(A789,'Vocus SIT ExDa'!$B$2:$J$173, 7,FALSE), IFERROR(VLOOKUP(A789,'Telstra ExDa'!$B$2:$K$310, 2,FALSE), IFERROR(VLOOKUP(A789,'Vocus RVC ExDa'!$C$2:$R$155, 3,FALSE), IFERROR(VLOOKUP(A789,'Fusion ExDa'!$B$2:$D$16, 2,FALSE), IFERROR(VLOOKUP(A789,'Exetel ExDa'!$C$2:$N$14, 2,FALSE), IFERROR(VLOOKUP(A789,'Infinet ExDa'!$B$2:$E$14, 2,FALSE), "Not Found"))))))))</f>
        <v xml:space="preserve">86 Churchill St </v>
      </c>
      <c r="D789">
        <f>IFERROR(VLOOKUP($A789,'AAPT ExDa'!$B$2:$U$99, 15,FALSE), IFERROR(VLOOKUP($A789,'ABB ExDa'!$A$2:$N$184, 4,FALSE), IFERROR(VLOOKUP($A789,'Vocus SIT ExDa'!$B$2:$J$173, 5,FALSE), IFERROR(VLOOKUP($A789,'Telstra ExDa'!$B$2:$K$310, 8,FALSE), IFERROR(VLOOKUP($A789,'Vocus RVC ExDa'!$C$2:$R$155, 6,FALSE), IFERROR(VLOOKUP($A789,'Fusion ExDa'!$B$2:$D$16, 4,FALSE), IFERROR(VLOOKUP($A789,'Exetel ExDa'!$C$2:$N$14, 3,FALSE), IFERROR(VLOOKUP($A789,'Infinet ExDa'!$B$2:$E$14, 3,FALSE), "Not Found"))))))))</f>
        <v>4660</v>
      </c>
      <c r="E789" t="str">
        <f>IFERROR(VLOOKUP($A789,'AAPT ExDa'!$B$2:$U$99, 3,FALSE), IFERROR(VLOOKUP($A789,'ABB ExDa'!$A$2:$N$184, 5,FALSE), IFERROR(VLOOKUP($A789,'Vocus SIT ExDa'!$B$2:$J$173, 2,FALSE), IFERROR(VLOOKUP($A789,'Telstra ExDa'!$B$2:$K$310, 4,FALSE), IFERROR(VLOOKUP($A789,'Vocus RVC ExDa'!$C$2:$R$155, 8,FALSE), IFERROR(VLOOKUP($A789,'Fusion ExDa'!$B$2:$D$16, 4,FALSE), IFERROR(VLOOKUP($A789,'Exetel ExDa'!$C$2:$N$14, 5,FALSE), IFERROR(VLOOKUP($A789,'Infinet ExDa'!$B$2:$E$14, 3,FALSE), "Not Found"))))))))</f>
        <v>100Mbps/40Mbps</v>
      </c>
      <c r="F789" t="str">
        <f>IFERROR(VLOOKUP($A789,'AAPT ExDa'!$B$2:$U$99, 4,FALSE), IFERROR(VLOOKUP($A789,'ABB ExDa'!$A$2:$N$184, 6,FALSE), IFERROR(VLOOKUP($A789,'Vocus SIT ExDa'!$B$2:$J$173, 3,FALSE), IFERROR(VLOOKUP($A789,'Telstra ExDa'!$B$2:$K$310, 5,FALSE), IFERROR(VLOOKUP($A789,'Vocus RVC ExDa'!$C$2:$R$155, 9,FALSE), IFERROR(VLOOKUP($A789,'Fusion ExDa'!$B$2:$D$16, 0,FALSE), IFERROR(VLOOKUP($A789,'Exetel ExDa'!$C$2:$N$14, 6,FALSE), IFERROR(VLOOKUP($A789,'Infinet ExDa'!$B$2:$E$14, 0,FALSE), "Not Found"))))))))</f>
        <v>NBN Reseller G4 FTTC</v>
      </c>
      <c r="G789" t="str">
        <f>IFERROR(VLOOKUP($A789,'AAPT ExDa'!$B$2:$U$99, 5,FALSE), IFERROR(VLOOKUP($A789,'ABB ExDa'!$A$2:$N$184, 8,FALSE), IFERROR(VLOOKUP($A789,'Vocus SIT ExDa'!$B$2:$J$173, 6,FALSE), IFERROR(VLOOKUP($A789,'Telstra ExDa'!$B$2:$K$310, 0,FALSE), IFERROR(VLOOKUP($A789,'Vocus RVC ExDa'!$C$2:$R$155, 15,FALSE), IFERROR(VLOOKUP($A789,'Fusion ExDa'!$B$2:$D$16, 0,FALSE), IFERROR(VLOOKUP($A789,'Exetel ExDa'!$C$2:$N$14, 7,FALSE), IFERROR(VLOOKUP($A789,'Infinet ExDa'!$B$2:$E$14, 0,FALSE), "Not Found"))))))))</f>
        <v>125.168.61.226</v>
      </c>
      <c r="H789" t="str">
        <f>IFERROR(VLOOKUP($A789,'AAPT ExDa'!$B$2:$U$99, 6,FALSE), IFERROR(VLOOKUP($A789,'ABB ExDa'!$A$2:$N$184, 0,FALSE), IFERROR(VLOOKUP($A789,'Vocus SIT ExDa'!$B$2:$J$173, 0,FALSE), IFERROR(VLOOKUP($A789,'Telstra ExDa'!$B$2:$K$310, 0,FALSE), IFERROR(VLOOKUP($A789,'Vocus RVC ExDa'!$C$2:$R$155, 16,FALSE), IFERROR(VLOOKUP($A789,'Fusion ExDa'!$B$2:$D$16, 0,FALSE), IFERROR(VLOOKUP($A789,'Exetel ExDa'!$C$2:$N$14, 0,FALSE), IFERROR(VLOOKUP($A789,'Infinet ExDa'!$B$2:$E$14, 0,FALSE), "Not Found"))))))))</f>
        <v>PPPoE</v>
      </c>
      <c r="I789" t="str">
        <f>IFERROR(VLOOKUP($A789,'AAPT ExDa'!$B$2:$U$99, 0,FALSE), IFERROR(VLOOKUP($A789,'ABB ExDa'!$A$2:$N$184, 0,FALSE), IFERROR(VLOOKUP($A789,'Vocus SIT ExDa'!$B$2:$J$173, 0,FALSE), IFERROR(VLOOKUP($A789,'Telstra ExDa'!$B$2:$K$310, 0,FALSE), IFERROR(VLOOKUP($A789,'Vocus RVC ExDa'!$C$2:$R$155, 0,FALSE), IFERROR(VLOOKUP($A789,'Fusion ExDa'!$B$2:$D$16, 0,FALSE), IFERROR(VLOOKUP($A789,'Exetel ExDa'!$C$2:$N$14, 8,FALSE), IFERROR(VLOOKUP($A789,'Infinet ExDa'!$B$2:$E$14, 0,FALSE), "Not Found"))))))))</f>
        <v>Not Found</v>
      </c>
      <c r="J789" t="str">
        <f>IFERROR(VLOOKUP($A789,'AAPT ExDa'!$B$2:$U$99, 7,FALSE), IFERROR(VLOOKUP($A789,'ABB ExDa'!$A$2:$N$184, 2,FALSE), IFERROR(VLOOKUP($A789,'Vocus SIT ExDa'!$B$2:$J$173, 0,FALSE), IFERROR(VLOOKUP($A789,'Telstra ExDa'!$B$2:$K$310, 7,FALSE), IFERROR(VLOOKUP($A789,'Vocus RVC ExDa'!$C$2:$R$155, 2,FALSE), IFERROR(VLOOKUP($A789,'Fusion ExDa'!$B$2:$D$16, 3,FALSE), IFERROR(VLOOKUP($A789,'Exetel ExDa'!$C$2:$N$14, 0,FALSE), IFERROR(VLOOKUP($A789,'Infinet ExDa'!$B$2:$E$14, 0,FALSE), "Not Found"))))))))</f>
        <v>AVC000122982203</v>
      </c>
      <c r="K789" t="str">
        <f>IFERROR(VLOOKUP($A789,'AAPT ExDa'!$B$2:$U$99, 12,FALSE), IFERROR(VLOOKUP($A789,'ABB ExDa'!$A$2:$N$184, 0,FALSE), IFERROR(VLOOKUP($A789,'Vocus SIT ExDa'!$B$2:$J$173, 0,FALSE), IFERROR(VLOOKUP($A789,'Telstra ExDa'!$B$2:$K$310, 0,FALSE), IFERROR(VLOOKUP($A789,'Vocus RVC ExDa'!$C$2:$R$155, 0,FALSE), IFERROR(VLOOKUP($A789,'Fusion ExDa'!$B$2:$D$16, 0,FALSE), IFERROR(VLOOKUP($A789,'Exetel ExDa'!$C$2:$N$14, 12,FALSE), IFERROR(VLOOKUP($A789,'Infinet ExDa'!$B$2:$E$14, 0,FALSE), "Not Found"))))))))</f>
        <v>Not Found</v>
      </c>
      <c r="L789" s="235" t="str">
        <f>IFERROR(VLOOKUP($A789,'AAPT ExDa'!$B$2:$U$99, 11,FALSE), IFERROR(VLOOKUP($A789,'ABB ExDa'!$A$2:$N$184, 9,FALSE), IFERROR(VLOOKUP($A789,'Vocus SIT ExDa'!$B$2:$J$173, 8,FALSE), IFERROR(VLOOKUP($A789,'Telstra ExDa'!$B$2:$K$310, 0,FALSE), IFERROR(VLOOKUP($A789,'Vocus RVC ExDa'!$C$2:$R$155, 0,FALSE), IFERROR(VLOOKUP($A789,'Fusion ExDa'!$B$2:$D$16, 0,FALSE), IFERROR(VLOOKUP($A789,'Exetel ExDa'!$C$2:$N$14, 9,FALSE), IFERROR(VLOOKUP($A789,'Infinet ExDa'!$B$2:$E$14, 0,FALSE), "Not Found"))))))))</f>
        <v>Not Found</v>
      </c>
      <c r="M789" s="234" t="str">
        <f>IFERROR(VLOOKUP($A789,'AAPT ExDa'!$B$2:$U$99, 0,FALSE), IFERROR(VLOOKUP($A789,'ABB ExDa'!$A$2:$N$184, 0,FALSE), IFERROR(VLOOKUP($A789,'Vocus SIT ExDa'!$B$2:$J$173, 0,FALSE), IFERROR(VLOOKUP($A789,'Telstra ExDa'!$B$2:$K$310, 0,FALSE), IFERROR(VLOOKUP($A789,'Vocus RVC ExDa'!$C$2:$R$155, 0,FALSE), IFERROR(VLOOKUP($A789,'Fusion ExDa'!$B$2:$D$16, 0,FALSE), IFERROR(VLOOKUP($A789,'Exetel ExDa'!$C$2:$N$14, 11,FALSE), IFERROR(VLOOKUP($A789,'Infinet ExDa'!$B$2:$E$14, 0,FALSE), "Not Found"))))))))</f>
        <v>Not Found</v>
      </c>
      <c r="N789" t="str">
        <f>IFERROR(VLOOKUP($A789,'AAPT ExDa'!$B$2:$U$99, 0,FALSE), IFERROR(VLOOKUP($A789,'ABB ExDa'!$A$2:$N$184, 13,FALSE), IFERROR(VLOOKUP($A789,'Vocus SIT ExDa'!$B$2:$J$173, 0,FALSE), IFERROR(VLOOKUP($A789,'Telstra ExDa'!$B$2:$K$310, 0,FALSE), IFERROR(VLOOKUP($A789,'Vocus RVC ExDa'!$C$2:$R$155, 0,FALSE), IFERROR(VLOOKUP($A789,'Fusion ExDa'!$B$2:$D$16, 0,FALSE), IFERROR(VLOOKUP($A789,'Exetel ExDa'!$C$2:$N$14, 0,FALSE), IFERROR(VLOOKUP($A789,'Infinet ExDa'!$B$2:$E$14, 0,FALSE), "Not Found"))))))))</f>
        <v>Not Found</v>
      </c>
    </row>
    <row r="790" spans="1:14">
      <c r="A790" t="str">
        <v>Northshore Dental and Oral Health</v>
      </c>
      <c r="B790" t="str">
        <f>IFERROR(VLOOKUP(A790,'Exetel ExDa'!$C$2:$N$14,4,FALSE),"No Data")</f>
        <v>No Data</v>
      </c>
      <c r="C790" t="str">
        <f>IFERROR(VLOOKUP(A790,'AAPT ExDa'!$B$2:$U$99, 2,FALSE), IFERROR(VLOOKUP(A790,'ABB ExDa'!$A$2:$N$184, 2,FALSE), IFERROR(VLOOKUP(A790,'Vocus SIT ExDa'!$B$2:$J$173, 7,FALSE), IFERROR(VLOOKUP(A790,'Telstra ExDa'!$B$2:$K$310, 2,FALSE), IFERROR(VLOOKUP(A790,'Vocus RVC ExDa'!$C$2:$R$155, 3,FALSE), IFERROR(VLOOKUP(A790,'Fusion ExDa'!$B$2:$D$16, 2,FALSE), IFERROR(VLOOKUP(A790,'Exetel ExDa'!$C$2:$N$14, 2,FALSE), IFERROR(VLOOKUP(A790,'Infinet ExDa'!$B$2:$E$14, 2,FALSE), "Not Found"))))))))</f>
        <v xml:space="preserve">Lot 1 710 David Low Way </v>
      </c>
      <c r="D790">
        <f>IFERROR(VLOOKUP($A790,'AAPT ExDa'!$B$2:$U$99, 15,FALSE), IFERROR(VLOOKUP($A790,'ABB ExDa'!$A$2:$N$184, 4,FALSE), IFERROR(VLOOKUP($A790,'Vocus SIT ExDa'!$B$2:$J$173, 5,FALSE), IFERROR(VLOOKUP($A790,'Telstra ExDa'!$B$2:$K$310, 8,FALSE), IFERROR(VLOOKUP($A790,'Vocus RVC ExDa'!$C$2:$R$155, 6,FALSE), IFERROR(VLOOKUP($A790,'Fusion ExDa'!$B$2:$D$16, 4,FALSE), IFERROR(VLOOKUP($A790,'Exetel ExDa'!$C$2:$N$14, 3,FALSE), IFERROR(VLOOKUP($A790,'Infinet ExDa'!$B$2:$E$14, 3,FALSE), "Not Found"))))))))</f>
        <v>4564</v>
      </c>
      <c r="E790" t="str">
        <f>IFERROR(VLOOKUP($A790,'AAPT ExDa'!$B$2:$U$99, 3,FALSE), IFERROR(VLOOKUP($A790,'ABB ExDa'!$A$2:$N$184, 5,FALSE), IFERROR(VLOOKUP($A790,'Vocus SIT ExDa'!$B$2:$J$173, 2,FALSE), IFERROR(VLOOKUP($A790,'Telstra ExDa'!$B$2:$K$310, 4,FALSE), IFERROR(VLOOKUP($A790,'Vocus RVC ExDa'!$C$2:$R$155, 8,FALSE), IFERROR(VLOOKUP($A790,'Fusion ExDa'!$B$2:$D$16, 4,FALSE), IFERROR(VLOOKUP($A790,'Exetel ExDa'!$C$2:$N$14, 5,FALSE), IFERROR(VLOOKUP($A790,'Infinet ExDa'!$B$2:$E$14, 3,FALSE), "Not Found"))))))))</f>
        <v>250Mbps/100Mbps</v>
      </c>
      <c r="F790" t="str">
        <f>IFERROR(VLOOKUP($A790,'AAPT ExDa'!$B$2:$U$99, 4,FALSE), IFERROR(VLOOKUP($A790,'ABB ExDa'!$A$2:$N$184, 6,FALSE), IFERROR(VLOOKUP($A790,'Vocus SIT ExDa'!$B$2:$J$173, 3,FALSE), IFERROR(VLOOKUP($A790,'Telstra ExDa'!$B$2:$K$310, 5,FALSE), IFERROR(VLOOKUP($A790,'Vocus RVC ExDa'!$C$2:$R$155, 9,FALSE), IFERROR(VLOOKUP($A790,'Fusion ExDa'!$B$2:$D$16, 0,FALSE), IFERROR(VLOOKUP($A790,'Exetel ExDa'!$C$2:$N$14, 6,FALSE), IFERROR(VLOOKUP($A790,'Infinet ExDa'!$B$2:$E$14, 0,FALSE), "Not Found"))))))))</f>
        <v xml:space="preserve">NBN Reseller  G4 </v>
      </c>
      <c r="G790" t="str">
        <f>IFERROR(VLOOKUP($A790,'AAPT ExDa'!$B$2:$U$99, 5,FALSE), IFERROR(VLOOKUP($A790,'ABB ExDa'!$A$2:$N$184, 8,FALSE), IFERROR(VLOOKUP($A790,'Vocus SIT ExDa'!$B$2:$J$173, 6,FALSE), IFERROR(VLOOKUP($A790,'Telstra ExDa'!$B$2:$K$310, 0,FALSE), IFERROR(VLOOKUP($A790,'Vocus RVC ExDa'!$C$2:$R$155, 15,FALSE), IFERROR(VLOOKUP($A790,'Fusion ExDa'!$B$2:$D$16, 0,FALSE), IFERROR(VLOOKUP($A790,'Exetel ExDa'!$C$2:$N$14, 7,FALSE), IFERROR(VLOOKUP($A790,'Infinet ExDa'!$B$2:$E$14, 0,FALSE), "Not Found"))))))))</f>
        <v>122.151.185.7</v>
      </c>
      <c r="H790" t="str">
        <f>IFERROR(VLOOKUP($A790,'AAPT ExDa'!$B$2:$U$99, 6,FALSE), IFERROR(VLOOKUP($A790,'ABB ExDa'!$A$2:$N$184, 0,FALSE), IFERROR(VLOOKUP($A790,'Vocus SIT ExDa'!$B$2:$J$173, 0,FALSE), IFERROR(VLOOKUP($A790,'Telstra ExDa'!$B$2:$K$310, 0,FALSE), IFERROR(VLOOKUP($A790,'Vocus RVC ExDa'!$C$2:$R$155, 16,FALSE), IFERROR(VLOOKUP($A790,'Fusion ExDa'!$B$2:$D$16, 0,FALSE), IFERROR(VLOOKUP($A790,'Exetel ExDa'!$C$2:$N$14, 0,FALSE), IFERROR(VLOOKUP($A790,'Infinet ExDa'!$B$2:$E$14, 0,FALSE), "Not Found"))))))))</f>
        <v>PPPoE</v>
      </c>
      <c r="I790" t="str">
        <f>IFERROR(VLOOKUP($A790,'AAPT ExDa'!$B$2:$U$99, 0,FALSE), IFERROR(VLOOKUP($A790,'ABB ExDa'!$A$2:$N$184, 0,FALSE), IFERROR(VLOOKUP($A790,'Vocus SIT ExDa'!$B$2:$J$173, 0,FALSE), IFERROR(VLOOKUP($A790,'Telstra ExDa'!$B$2:$K$310, 0,FALSE), IFERROR(VLOOKUP($A790,'Vocus RVC ExDa'!$C$2:$R$155, 0,FALSE), IFERROR(VLOOKUP($A790,'Fusion ExDa'!$B$2:$D$16, 0,FALSE), IFERROR(VLOOKUP($A790,'Exetel ExDa'!$C$2:$N$14, 8,FALSE), IFERROR(VLOOKUP($A790,'Infinet ExDa'!$B$2:$E$14, 0,FALSE), "Not Found"))))))))</f>
        <v>Not Found</v>
      </c>
      <c r="J790" t="str">
        <f>IFERROR(VLOOKUP($A790,'AAPT ExDa'!$B$2:$U$99, 7,FALSE), IFERROR(VLOOKUP($A790,'ABB ExDa'!$A$2:$N$184, 2,FALSE), IFERROR(VLOOKUP($A790,'Vocus SIT ExDa'!$B$2:$J$173, 0,FALSE), IFERROR(VLOOKUP($A790,'Telstra ExDa'!$B$2:$K$310, 7,FALSE), IFERROR(VLOOKUP($A790,'Vocus RVC ExDa'!$C$2:$R$155, 2,FALSE), IFERROR(VLOOKUP($A790,'Fusion ExDa'!$B$2:$D$16, 3,FALSE), IFERROR(VLOOKUP($A790,'Exetel ExDa'!$C$2:$N$14, 0,FALSE), IFERROR(VLOOKUP($A790,'Infinet ExDa'!$B$2:$E$14, 0,FALSE), "Not Found"))))))))</f>
        <v>AVC000168127184</v>
      </c>
      <c r="K790" t="str">
        <f>IFERROR(VLOOKUP($A790,'AAPT ExDa'!$B$2:$U$99, 12,FALSE), IFERROR(VLOOKUP($A790,'ABB ExDa'!$A$2:$N$184, 0,FALSE), IFERROR(VLOOKUP($A790,'Vocus SIT ExDa'!$B$2:$J$173, 0,FALSE), IFERROR(VLOOKUP($A790,'Telstra ExDa'!$B$2:$K$310, 0,FALSE), IFERROR(VLOOKUP($A790,'Vocus RVC ExDa'!$C$2:$R$155, 0,FALSE), IFERROR(VLOOKUP($A790,'Fusion ExDa'!$B$2:$D$16, 0,FALSE), IFERROR(VLOOKUP($A790,'Exetel ExDa'!$C$2:$N$14, 12,FALSE), IFERROR(VLOOKUP($A790,'Infinet ExDa'!$B$2:$E$14, 0,FALSE), "Not Found"))))))))</f>
        <v>Not Found</v>
      </c>
      <c r="L790" s="235" t="str">
        <f>IFERROR(VLOOKUP($A790,'AAPT ExDa'!$B$2:$U$99, 11,FALSE), IFERROR(VLOOKUP($A790,'ABB ExDa'!$A$2:$N$184, 9,FALSE), IFERROR(VLOOKUP($A790,'Vocus SIT ExDa'!$B$2:$J$173, 8,FALSE), IFERROR(VLOOKUP($A790,'Telstra ExDa'!$B$2:$K$310, 0,FALSE), IFERROR(VLOOKUP($A790,'Vocus RVC ExDa'!$C$2:$R$155, 0,FALSE), IFERROR(VLOOKUP($A790,'Fusion ExDa'!$B$2:$D$16, 0,FALSE), IFERROR(VLOOKUP($A790,'Exetel ExDa'!$C$2:$N$14, 9,FALSE), IFERROR(VLOOKUP($A790,'Infinet ExDa'!$B$2:$E$14, 0,FALSE), "Not Found"))))))))</f>
        <v>Not Found</v>
      </c>
      <c r="M790" s="234" t="str">
        <f>IFERROR(VLOOKUP($A790,'AAPT ExDa'!$B$2:$U$99, 0,FALSE), IFERROR(VLOOKUP($A790,'ABB ExDa'!$A$2:$N$184, 0,FALSE), IFERROR(VLOOKUP($A790,'Vocus SIT ExDa'!$B$2:$J$173, 0,FALSE), IFERROR(VLOOKUP($A790,'Telstra ExDa'!$B$2:$K$310, 0,FALSE), IFERROR(VLOOKUP($A790,'Vocus RVC ExDa'!$C$2:$R$155, 0,FALSE), IFERROR(VLOOKUP($A790,'Fusion ExDa'!$B$2:$D$16, 0,FALSE), IFERROR(VLOOKUP($A790,'Exetel ExDa'!$C$2:$N$14, 11,FALSE), IFERROR(VLOOKUP($A790,'Infinet ExDa'!$B$2:$E$14, 0,FALSE), "Not Found"))))))))</f>
        <v>Not Found</v>
      </c>
      <c r="N790" t="str">
        <f>IFERROR(VLOOKUP($A790,'AAPT ExDa'!$B$2:$U$99, 0,FALSE), IFERROR(VLOOKUP($A790,'ABB ExDa'!$A$2:$N$184, 13,FALSE), IFERROR(VLOOKUP($A790,'Vocus SIT ExDa'!$B$2:$J$173, 0,FALSE), IFERROR(VLOOKUP($A790,'Telstra ExDa'!$B$2:$K$310, 0,FALSE), IFERROR(VLOOKUP($A790,'Vocus RVC ExDa'!$C$2:$R$155, 0,FALSE), IFERROR(VLOOKUP($A790,'Fusion ExDa'!$B$2:$D$16, 0,FALSE), IFERROR(VLOOKUP($A790,'Exetel ExDa'!$C$2:$N$14, 0,FALSE), IFERROR(VLOOKUP($A790,'Infinet ExDa'!$B$2:$E$14, 0,FALSE), "Not Found"))))))))</f>
        <v>Not Found</v>
      </c>
    </row>
    <row r="791" spans="1:14">
      <c r="A791">
        <v>0</v>
      </c>
      <c r="B791" t="str">
        <f>IFERROR(VLOOKUP(A791,'Exetel ExDa'!$C$2:$N$14,4,FALSE),"No Data")</f>
        <v>No Data</v>
      </c>
      <c r="C791" t="str">
        <f>IFERROR(VLOOKUP(A791,'AAPT ExDa'!$B$2:$U$99, 2,FALSE), IFERROR(VLOOKUP(A791,'ABB ExDa'!$A$2:$N$184, 2,FALSE), IFERROR(VLOOKUP(A791,'Vocus SIT ExDa'!$B$2:$J$173, 7,FALSE), IFERROR(VLOOKUP(A791,'Telstra ExDa'!$B$2:$K$310, 2,FALSE), IFERROR(VLOOKUP(A791,'Vocus RVC ExDa'!$C$2:$R$155, 3,FALSE), IFERROR(VLOOKUP(A791,'Fusion ExDa'!$B$2:$D$16, 2,FALSE), IFERROR(VLOOKUP(A791,'Exetel ExDa'!$C$2:$N$14, 2,FALSE), IFERROR(VLOOKUP(A791,'Infinet ExDa'!$B$2:$E$14, 2,FALSE), "Not Found"))))))))</f>
        <v>Not Found</v>
      </c>
      <c r="D791" t="str">
        <f>IFERROR(VLOOKUP($A791,'AAPT ExDa'!$B$2:$U$99, 15,FALSE), IFERROR(VLOOKUP($A791,'ABB ExDa'!$A$2:$N$184, 4,FALSE), IFERROR(VLOOKUP($A791,'Vocus SIT ExDa'!$B$2:$J$173, 5,FALSE), IFERROR(VLOOKUP($A791,'Telstra ExDa'!$B$2:$K$310, 8,FALSE), IFERROR(VLOOKUP($A791,'Vocus RVC ExDa'!$C$2:$R$155, 6,FALSE), IFERROR(VLOOKUP($A791,'Fusion ExDa'!$B$2:$D$16, 4,FALSE), IFERROR(VLOOKUP($A791,'Exetel ExDa'!$C$2:$N$14, 3,FALSE), IFERROR(VLOOKUP($A791,'Infinet ExDa'!$B$2:$E$14, 3,FALSE), "Not Found"))))))))</f>
        <v>Not Found</v>
      </c>
      <c r="E791" t="str">
        <f>IFERROR(VLOOKUP($A791,'AAPT ExDa'!$B$2:$U$99, 3,FALSE), IFERROR(VLOOKUP($A791,'ABB ExDa'!$A$2:$N$184, 5,FALSE), IFERROR(VLOOKUP($A791,'Vocus SIT ExDa'!$B$2:$J$173, 2,FALSE), IFERROR(VLOOKUP($A791,'Telstra ExDa'!$B$2:$K$310, 4,FALSE), IFERROR(VLOOKUP($A791,'Vocus RVC ExDa'!$C$2:$R$155, 8,FALSE), IFERROR(VLOOKUP($A791,'Fusion ExDa'!$B$2:$D$16, 4,FALSE), IFERROR(VLOOKUP($A791,'Exetel ExDa'!$C$2:$N$14, 5,FALSE), IFERROR(VLOOKUP($A791,'Infinet ExDa'!$B$2:$E$14, 3,FALSE), "Not Found"))))))))</f>
        <v>Not Found</v>
      </c>
      <c r="F791" t="str">
        <f>IFERROR(VLOOKUP($A791,'AAPT ExDa'!$B$2:$U$99, 4,FALSE), IFERROR(VLOOKUP($A791,'ABB ExDa'!$A$2:$N$184, 6,FALSE), IFERROR(VLOOKUP($A791,'Vocus SIT ExDa'!$B$2:$J$173, 3,FALSE), IFERROR(VLOOKUP($A791,'Telstra ExDa'!$B$2:$K$310, 5,FALSE), IFERROR(VLOOKUP($A791,'Vocus RVC ExDa'!$C$2:$R$155, 9,FALSE), IFERROR(VLOOKUP($A791,'Fusion ExDa'!$B$2:$D$16, 0,FALSE), IFERROR(VLOOKUP($A791,'Exetel ExDa'!$C$2:$N$14, 6,FALSE), IFERROR(VLOOKUP($A791,'Infinet ExDa'!$B$2:$E$14, 0,FALSE), "Not Found"))))))))</f>
        <v>Not Found</v>
      </c>
      <c r="G791" t="str">
        <f>IFERROR(VLOOKUP($A791,'AAPT ExDa'!$B$2:$U$99, 5,FALSE), IFERROR(VLOOKUP($A791,'ABB ExDa'!$A$2:$N$184, 8,FALSE), IFERROR(VLOOKUP($A791,'Vocus SIT ExDa'!$B$2:$J$173, 6,FALSE), IFERROR(VLOOKUP($A791,'Telstra ExDa'!$B$2:$K$310, 0,FALSE), IFERROR(VLOOKUP($A791,'Vocus RVC ExDa'!$C$2:$R$155, 15,FALSE), IFERROR(VLOOKUP($A791,'Fusion ExDa'!$B$2:$D$16, 0,FALSE), IFERROR(VLOOKUP($A791,'Exetel ExDa'!$C$2:$N$14, 7,FALSE), IFERROR(VLOOKUP($A791,'Infinet ExDa'!$B$2:$E$14, 0,FALSE), "Not Found"))))))))</f>
        <v>Not Found</v>
      </c>
      <c r="H791" t="str">
        <f>IFERROR(VLOOKUP($A791,'AAPT ExDa'!$B$2:$U$99, 6,FALSE), IFERROR(VLOOKUP($A791,'ABB ExDa'!$A$2:$N$184, 0,FALSE), IFERROR(VLOOKUP($A791,'Vocus SIT ExDa'!$B$2:$J$173, 0,FALSE), IFERROR(VLOOKUP($A791,'Telstra ExDa'!$B$2:$K$310, 0,FALSE), IFERROR(VLOOKUP($A791,'Vocus RVC ExDa'!$C$2:$R$155, 16,FALSE), IFERROR(VLOOKUP($A791,'Fusion ExDa'!$B$2:$D$16, 0,FALSE), IFERROR(VLOOKUP($A791,'Exetel ExDa'!$C$2:$N$14, 0,FALSE), IFERROR(VLOOKUP($A791,'Infinet ExDa'!$B$2:$E$14, 0,FALSE), "Not Found"))))))))</f>
        <v>Not Found</v>
      </c>
      <c r="I791" t="str">
        <f>IFERROR(VLOOKUP($A791,'AAPT ExDa'!$B$2:$U$99, 0,FALSE), IFERROR(VLOOKUP($A791,'ABB ExDa'!$A$2:$N$184, 0,FALSE), IFERROR(VLOOKUP($A791,'Vocus SIT ExDa'!$B$2:$J$173, 0,FALSE), IFERROR(VLOOKUP($A791,'Telstra ExDa'!$B$2:$K$310, 0,FALSE), IFERROR(VLOOKUP($A791,'Vocus RVC ExDa'!$C$2:$R$155, 0,FALSE), IFERROR(VLOOKUP($A791,'Fusion ExDa'!$B$2:$D$16, 0,FALSE), IFERROR(VLOOKUP($A791,'Exetel ExDa'!$C$2:$N$14, 8,FALSE), IFERROR(VLOOKUP($A791,'Infinet ExDa'!$B$2:$E$14, 0,FALSE), "Not Found"))))))))</f>
        <v>Not Found</v>
      </c>
      <c r="J791" t="str">
        <f>IFERROR(VLOOKUP($A791,'AAPT ExDa'!$B$2:$U$99, 7,FALSE), IFERROR(VLOOKUP($A791,'ABB ExDa'!$A$2:$N$184, 2,FALSE), IFERROR(VLOOKUP($A791,'Vocus SIT ExDa'!$B$2:$J$173, 0,FALSE), IFERROR(VLOOKUP($A791,'Telstra ExDa'!$B$2:$K$310, 7,FALSE), IFERROR(VLOOKUP($A791,'Vocus RVC ExDa'!$C$2:$R$155, 2,FALSE), IFERROR(VLOOKUP($A791,'Fusion ExDa'!$B$2:$D$16, 3,FALSE), IFERROR(VLOOKUP($A791,'Exetel ExDa'!$C$2:$N$14, 0,FALSE), IFERROR(VLOOKUP($A791,'Infinet ExDa'!$B$2:$E$14, 0,FALSE), "Not Found"))))))))</f>
        <v>Not Found</v>
      </c>
      <c r="K791" t="str">
        <f>IFERROR(VLOOKUP($A791,'AAPT ExDa'!$B$2:$U$99, 12,FALSE), IFERROR(VLOOKUP($A791,'ABB ExDa'!$A$2:$N$184, 0,FALSE), IFERROR(VLOOKUP($A791,'Vocus SIT ExDa'!$B$2:$J$173, 0,FALSE), IFERROR(VLOOKUP($A791,'Telstra ExDa'!$B$2:$K$310, 0,FALSE), IFERROR(VLOOKUP($A791,'Vocus RVC ExDa'!$C$2:$R$155, 0,FALSE), IFERROR(VLOOKUP($A791,'Fusion ExDa'!$B$2:$D$16, 0,FALSE), IFERROR(VLOOKUP($A791,'Exetel ExDa'!$C$2:$N$14, 12,FALSE), IFERROR(VLOOKUP($A791,'Infinet ExDa'!$B$2:$E$14, 0,FALSE), "Not Found"))))))))</f>
        <v>Not Found</v>
      </c>
      <c r="L791" s="235" t="str">
        <f>IFERROR(VLOOKUP($A791,'AAPT ExDa'!$B$2:$U$99, 11,FALSE), IFERROR(VLOOKUP($A791,'ABB ExDa'!$A$2:$N$184, 9,FALSE), IFERROR(VLOOKUP($A791,'Vocus SIT ExDa'!$B$2:$J$173, 8,FALSE), IFERROR(VLOOKUP($A791,'Telstra ExDa'!$B$2:$K$310, 0,FALSE), IFERROR(VLOOKUP($A791,'Vocus RVC ExDa'!$C$2:$R$155, 0,FALSE), IFERROR(VLOOKUP($A791,'Fusion ExDa'!$B$2:$D$16, 0,FALSE), IFERROR(VLOOKUP($A791,'Exetel ExDa'!$C$2:$N$14, 9,FALSE), IFERROR(VLOOKUP($A791,'Infinet ExDa'!$B$2:$E$14, 0,FALSE), "Not Found"))))))))</f>
        <v>Not Found</v>
      </c>
      <c r="M791" s="234" t="str">
        <f>IFERROR(VLOOKUP($A791,'AAPT ExDa'!$B$2:$U$99, 0,FALSE), IFERROR(VLOOKUP($A791,'ABB ExDa'!$A$2:$N$184, 0,FALSE), IFERROR(VLOOKUP($A791,'Vocus SIT ExDa'!$B$2:$J$173, 0,FALSE), IFERROR(VLOOKUP($A791,'Telstra ExDa'!$B$2:$K$310, 0,FALSE), IFERROR(VLOOKUP($A791,'Vocus RVC ExDa'!$C$2:$R$155, 0,FALSE), IFERROR(VLOOKUP($A791,'Fusion ExDa'!$B$2:$D$16, 0,FALSE), IFERROR(VLOOKUP($A791,'Exetel ExDa'!$C$2:$N$14, 11,FALSE), IFERROR(VLOOKUP($A791,'Infinet ExDa'!$B$2:$E$14, 0,FALSE), "Not Found"))))))))</f>
        <v>Not Found</v>
      </c>
      <c r="N791" t="str">
        <f>IFERROR(VLOOKUP($A791,'AAPT ExDa'!$B$2:$U$99, 0,FALSE), IFERROR(VLOOKUP($A791,'ABB ExDa'!$A$2:$N$184, 13,FALSE), IFERROR(VLOOKUP($A791,'Vocus SIT ExDa'!$B$2:$J$173, 0,FALSE), IFERROR(VLOOKUP($A791,'Telstra ExDa'!$B$2:$K$310, 0,FALSE), IFERROR(VLOOKUP($A791,'Vocus RVC ExDa'!$C$2:$R$155, 0,FALSE), IFERROR(VLOOKUP($A791,'Fusion ExDa'!$B$2:$D$16, 0,FALSE), IFERROR(VLOOKUP($A791,'Exetel ExDa'!$C$2:$N$14, 0,FALSE), IFERROR(VLOOKUP($A791,'Infinet ExDa'!$B$2:$E$14, 0,FALSE), "Not Found"))))))))</f>
        <v>Not Found</v>
      </c>
    </row>
    <row r="792" spans="1:14">
      <c r="A792" t="str">
        <v>Greg &amp; Jan Taylor</v>
      </c>
      <c r="B792" t="str">
        <f>IFERROR(VLOOKUP(A792,'Exetel ExDa'!$C$2:$N$14,4,FALSE),"No Data")</f>
        <v>No Data</v>
      </c>
      <c r="C792" t="str">
        <f>IFERROR(VLOOKUP(A792,'AAPT ExDa'!$B$2:$U$99, 2,FALSE), IFERROR(VLOOKUP(A792,'ABB ExDa'!$A$2:$N$184, 2,FALSE), IFERROR(VLOOKUP(A792,'Vocus SIT ExDa'!$B$2:$J$173, 7,FALSE), IFERROR(VLOOKUP(A792,'Telstra ExDa'!$B$2:$K$310, 2,FALSE), IFERROR(VLOOKUP(A792,'Vocus RVC ExDa'!$C$2:$R$155, 3,FALSE), IFERROR(VLOOKUP(A792,'Fusion ExDa'!$B$2:$D$16, 2,FALSE), IFERROR(VLOOKUP(A792,'Exetel ExDa'!$C$2:$N$14, 2,FALSE), IFERROR(VLOOKUP(A792,'Infinet ExDa'!$B$2:$E$14, 2,FALSE), "Not Found"))))))))</f>
        <v xml:space="preserve">Lot 28 44 Mary St </v>
      </c>
      <c r="D792">
        <f>IFERROR(VLOOKUP($A792,'AAPT ExDa'!$B$2:$U$99, 15,FALSE), IFERROR(VLOOKUP($A792,'ABB ExDa'!$A$2:$N$184, 4,FALSE), IFERROR(VLOOKUP($A792,'Vocus SIT ExDa'!$B$2:$J$173, 5,FALSE), IFERROR(VLOOKUP($A792,'Telstra ExDa'!$B$2:$K$310, 8,FALSE), IFERROR(VLOOKUP($A792,'Vocus RVC ExDa'!$C$2:$R$155, 6,FALSE), IFERROR(VLOOKUP($A792,'Fusion ExDa'!$B$2:$D$16, 4,FALSE), IFERROR(VLOOKUP($A792,'Exetel ExDa'!$C$2:$N$14, 3,FALSE), IFERROR(VLOOKUP($A792,'Infinet ExDa'!$B$2:$E$14, 3,FALSE), "Not Found"))))))))</f>
        <v>4572</v>
      </c>
      <c r="E792" t="str">
        <f>IFERROR(VLOOKUP($A792,'AAPT ExDa'!$B$2:$U$99, 3,FALSE), IFERROR(VLOOKUP($A792,'ABB ExDa'!$A$2:$N$184, 5,FALSE), IFERROR(VLOOKUP($A792,'Vocus SIT ExDa'!$B$2:$J$173, 2,FALSE), IFERROR(VLOOKUP($A792,'Telstra ExDa'!$B$2:$K$310, 4,FALSE), IFERROR(VLOOKUP($A792,'Vocus RVC ExDa'!$C$2:$R$155, 8,FALSE), IFERROR(VLOOKUP($A792,'Fusion ExDa'!$B$2:$D$16, 4,FALSE), IFERROR(VLOOKUP($A792,'Exetel ExDa'!$C$2:$N$14, 5,FALSE), IFERROR(VLOOKUP($A792,'Infinet ExDa'!$B$2:$E$14, 3,FALSE), "Not Found"))))))))</f>
        <v>100Mbps/40Mbps</v>
      </c>
      <c r="F792" t="str">
        <f>IFERROR(VLOOKUP($A792,'AAPT ExDa'!$B$2:$U$99, 4,FALSE), IFERROR(VLOOKUP($A792,'ABB ExDa'!$A$2:$N$184, 6,FALSE), IFERROR(VLOOKUP($A792,'Vocus SIT ExDa'!$B$2:$J$173, 3,FALSE), IFERROR(VLOOKUP($A792,'Telstra ExDa'!$B$2:$K$310, 5,FALSE), IFERROR(VLOOKUP($A792,'Vocus RVC ExDa'!$C$2:$R$155, 9,FALSE), IFERROR(VLOOKUP($A792,'Fusion ExDa'!$B$2:$D$16, 0,FALSE), IFERROR(VLOOKUP($A792,'Exetel ExDa'!$C$2:$N$14, 6,FALSE), IFERROR(VLOOKUP($A792,'Infinet ExDa'!$B$2:$E$14, 0,FALSE), "Not Found"))))))))</f>
        <v xml:space="preserve">NBN Reseller G4 </v>
      </c>
      <c r="G792" t="str">
        <f>IFERROR(VLOOKUP($A792,'AAPT ExDa'!$B$2:$U$99, 5,FALSE), IFERROR(VLOOKUP($A792,'ABB ExDa'!$A$2:$N$184, 8,FALSE), IFERROR(VLOOKUP($A792,'Vocus SIT ExDa'!$B$2:$J$173, 6,FALSE), IFERROR(VLOOKUP($A792,'Telstra ExDa'!$B$2:$K$310, 0,FALSE), IFERROR(VLOOKUP($A792,'Vocus RVC ExDa'!$C$2:$R$155, 15,FALSE), IFERROR(VLOOKUP($A792,'Fusion ExDa'!$B$2:$D$16, 0,FALSE), IFERROR(VLOOKUP($A792,'Exetel ExDa'!$C$2:$N$14, 7,FALSE), IFERROR(VLOOKUP($A792,'Infinet ExDa'!$B$2:$E$14, 0,FALSE), "Not Found"))))))))</f>
        <v>122.151.191.50</v>
      </c>
      <c r="H792" t="str">
        <f>IFERROR(VLOOKUP($A792,'AAPT ExDa'!$B$2:$U$99, 6,FALSE), IFERROR(VLOOKUP($A792,'ABB ExDa'!$A$2:$N$184, 0,FALSE), IFERROR(VLOOKUP($A792,'Vocus SIT ExDa'!$B$2:$J$173, 0,FALSE), IFERROR(VLOOKUP($A792,'Telstra ExDa'!$B$2:$K$310, 0,FALSE), IFERROR(VLOOKUP($A792,'Vocus RVC ExDa'!$C$2:$R$155, 16,FALSE), IFERROR(VLOOKUP($A792,'Fusion ExDa'!$B$2:$D$16, 0,FALSE), IFERROR(VLOOKUP($A792,'Exetel ExDa'!$C$2:$N$14, 0,FALSE), IFERROR(VLOOKUP($A792,'Infinet ExDa'!$B$2:$E$14, 0,FALSE), "Not Found"))))))))</f>
        <v>PPPoE</v>
      </c>
      <c r="I792" t="str">
        <f>IFERROR(VLOOKUP($A792,'AAPT ExDa'!$B$2:$U$99, 0,FALSE), IFERROR(VLOOKUP($A792,'ABB ExDa'!$A$2:$N$184, 0,FALSE), IFERROR(VLOOKUP($A792,'Vocus SIT ExDa'!$B$2:$J$173, 0,FALSE), IFERROR(VLOOKUP($A792,'Telstra ExDa'!$B$2:$K$310, 0,FALSE), IFERROR(VLOOKUP($A792,'Vocus RVC ExDa'!$C$2:$R$155, 0,FALSE), IFERROR(VLOOKUP($A792,'Fusion ExDa'!$B$2:$D$16, 0,FALSE), IFERROR(VLOOKUP($A792,'Exetel ExDa'!$C$2:$N$14, 8,FALSE), IFERROR(VLOOKUP($A792,'Infinet ExDa'!$B$2:$E$14, 0,FALSE), "Not Found"))))))))</f>
        <v>Not Found</v>
      </c>
      <c r="J792" t="str">
        <f>IFERROR(VLOOKUP($A792,'AAPT ExDa'!$B$2:$U$99, 7,FALSE), IFERROR(VLOOKUP($A792,'ABB ExDa'!$A$2:$N$184, 2,FALSE), IFERROR(VLOOKUP($A792,'Vocus SIT ExDa'!$B$2:$J$173, 0,FALSE), IFERROR(VLOOKUP($A792,'Telstra ExDa'!$B$2:$K$310, 7,FALSE), IFERROR(VLOOKUP($A792,'Vocus RVC ExDa'!$C$2:$R$155, 2,FALSE), IFERROR(VLOOKUP($A792,'Fusion ExDa'!$B$2:$D$16, 3,FALSE), IFERROR(VLOOKUP($A792,'Exetel ExDa'!$C$2:$N$14, 0,FALSE), IFERROR(VLOOKUP($A792,'Infinet ExDa'!$B$2:$E$14, 0,FALSE), "Not Found"))))))))</f>
        <v>AVC000168987260</v>
      </c>
      <c r="K792" t="str">
        <f>IFERROR(VLOOKUP($A792,'AAPT ExDa'!$B$2:$U$99, 12,FALSE), IFERROR(VLOOKUP($A792,'ABB ExDa'!$A$2:$N$184, 0,FALSE), IFERROR(VLOOKUP($A792,'Vocus SIT ExDa'!$B$2:$J$173, 0,FALSE), IFERROR(VLOOKUP($A792,'Telstra ExDa'!$B$2:$K$310, 0,FALSE), IFERROR(VLOOKUP($A792,'Vocus RVC ExDa'!$C$2:$R$155, 0,FALSE), IFERROR(VLOOKUP($A792,'Fusion ExDa'!$B$2:$D$16, 0,FALSE), IFERROR(VLOOKUP($A792,'Exetel ExDa'!$C$2:$N$14, 12,FALSE), IFERROR(VLOOKUP($A792,'Infinet ExDa'!$B$2:$E$14, 0,FALSE), "Not Found"))))))))</f>
        <v>Not Found</v>
      </c>
      <c r="L792" s="235" t="str">
        <f>IFERROR(VLOOKUP($A792,'AAPT ExDa'!$B$2:$U$99, 11,FALSE), IFERROR(VLOOKUP($A792,'ABB ExDa'!$A$2:$N$184, 9,FALSE), IFERROR(VLOOKUP($A792,'Vocus SIT ExDa'!$B$2:$J$173, 8,FALSE), IFERROR(VLOOKUP($A792,'Telstra ExDa'!$B$2:$K$310, 0,FALSE), IFERROR(VLOOKUP($A792,'Vocus RVC ExDa'!$C$2:$R$155, 0,FALSE), IFERROR(VLOOKUP($A792,'Fusion ExDa'!$B$2:$D$16, 0,FALSE), IFERROR(VLOOKUP($A792,'Exetel ExDa'!$C$2:$N$14, 9,FALSE), IFERROR(VLOOKUP($A792,'Infinet ExDa'!$B$2:$E$14, 0,FALSE), "Not Found"))))))))</f>
        <v>Not Found</v>
      </c>
      <c r="M792" s="234" t="str">
        <f>IFERROR(VLOOKUP($A792,'AAPT ExDa'!$B$2:$U$99, 0,FALSE), IFERROR(VLOOKUP($A792,'ABB ExDa'!$A$2:$N$184, 0,FALSE), IFERROR(VLOOKUP($A792,'Vocus SIT ExDa'!$B$2:$J$173, 0,FALSE), IFERROR(VLOOKUP($A792,'Telstra ExDa'!$B$2:$K$310, 0,FALSE), IFERROR(VLOOKUP($A792,'Vocus RVC ExDa'!$C$2:$R$155, 0,FALSE), IFERROR(VLOOKUP($A792,'Fusion ExDa'!$B$2:$D$16, 0,FALSE), IFERROR(VLOOKUP($A792,'Exetel ExDa'!$C$2:$N$14, 11,FALSE), IFERROR(VLOOKUP($A792,'Infinet ExDa'!$B$2:$E$14, 0,FALSE), "Not Found"))))))))</f>
        <v>Not Found</v>
      </c>
      <c r="N792" t="str">
        <f>IFERROR(VLOOKUP($A792,'AAPT ExDa'!$B$2:$U$99, 0,FALSE), IFERROR(VLOOKUP($A792,'ABB ExDa'!$A$2:$N$184, 13,FALSE), IFERROR(VLOOKUP($A792,'Vocus SIT ExDa'!$B$2:$J$173, 0,FALSE), IFERROR(VLOOKUP($A792,'Telstra ExDa'!$B$2:$K$310, 0,FALSE), IFERROR(VLOOKUP($A792,'Vocus RVC ExDa'!$C$2:$R$155, 0,FALSE), IFERROR(VLOOKUP($A792,'Fusion ExDa'!$B$2:$D$16, 0,FALSE), IFERROR(VLOOKUP($A792,'Exetel ExDa'!$C$2:$N$14, 0,FALSE), IFERROR(VLOOKUP($A792,'Infinet ExDa'!$B$2:$E$14, 0,FALSE), "Not Found"))))))))</f>
        <v>Not Found</v>
      </c>
    </row>
    <row r="793" spans="1:14">
      <c r="A793" t="str">
        <v>Ausdocs Carindale Pty Ltd</v>
      </c>
      <c r="B793" t="str">
        <f>IFERROR(VLOOKUP(A793,'Exetel ExDa'!$C$2:$N$14,4,FALSE),"No Data")</f>
        <v>No Data</v>
      </c>
      <c r="C793" t="str">
        <f>IFERROR(VLOOKUP(A793,'AAPT ExDa'!$B$2:$U$99, 2,FALSE), IFERROR(VLOOKUP(A793,'ABB ExDa'!$A$2:$N$184, 2,FALSE), IFERROR(VLOOKUP(A793,'Vocus SIT ExDa'!$B$2:$J$173, 7,FALSE), IFERROR(VLOOKUP(A793,'Telstra ExDa'!$B$2:$K$310, 2,FALSE), IFERROR(VLOOKUP(A793,'Vocus RVC ExDa'!$C$2:$R$155, 3,FALSE), IFERROR(VLOOKUP(A793,'Fusion ExDa'!$B$2:$D$16, 2,FALSE), IFERROR(VLOOKUP(A793,'Exetel ExDa'!$C$2:$N$14, 2,FALSE), IFERROR(VLOOKUP(A793,'Infinet ExDa'!$B$2:$E$14, 2,FALSE), "Not Found"))))))))</f>
        <v xml:space="preserve">Shop 2066 1151 Creek Rd Carindale (level 1 Westfield </v>
      </c>
      <c r="D793">
        <f>IFERROR(VLOOKUP($A793,'AAPT ExDa'!$B$2:$U$99, 15,FALSE), IFERROR(VLOOKUP($A793,'ABB ExDa'!$A$2:$N$184, 4,FALSE), IFERROR(VLOOKUP($A793,'Vocus SIT ExDa'!$B$2:$J$173, 5,FALSE), IFERROR(VLOOKUP($A793,'Telstra ExDa'!$B$2:$K$310, 8,FALSE), IFERROR(VLOOKUP($A793,'Vocus RVC ExDa'!$C$2:$R$155, 6,FALSE), IFERROR(VLOOKUP($A793,'Fusion ExDa'!$B$2:$D$16, 4,FALSE), IFERROR(VLOOKUP($A793,'Exetel ExDa'!$C$2:$N$14, 3,FALSE), IFERROR(VLOOKUP($A793,'Infinet ExDa'!$B$2:$E$14, 3,FALSE), "Not Found"))))))))</f>
        <v>4152</v>
      </c>
      <c r="E793" t="str">
        <f>IFERROR(VLOOKUP($A793,'AAPT ExDa'!$B$2:$U$99, 3,FALSE), IFERROR(VLOOKUP($A793,'ABB ExDa'!$A$2:$N$184, 5,FALSE), IFERROR(VLOOKUP($A793,'Vocus SIT ExDa'!$B$2:$J$173, 2,FALSE), IFERROR(VLOOKUP($A793,'Telstra ExDa'!$B$2:$K$310, 4,FALSE), IFERROR(VLOOKUP($A793,'Vocus RVC ExDa'!$C$2:$R$155, 8,FALSE), IFERROR(VLOOKUP($A793,'Fusion ExDa'!$B$2:$D$16, 4,FALSE), IFERROR(VLOOKUP($A793,'Exetel ExDa'!$C$2:$N$14, 5,FALSE), IFERROR(VLOOKUP($A793,'Infinet ExDa'!$B$2:$E$14, 3,FALSE), "Not Found"))))))))</f>
        <v>100Mbps/40Mbps</v>
      </c>
      <c r="F793" t="str">
        <f>IFERROR(VLOOKUP($A793,'AAPT ExDa'!$B$2:$U$99, 4,FALSE), IFERROR(VLOOKUP($A793,'ABB ExDa'!$A$2:$N$184, 6,FALSE), IFERROR(VLOOKUP($A793,'Vocus SIT ExDa'!$B$2:$J$173, 3,FALSE), IFERROR(VLOOKUP($A793,'Telstra ExDa'!$B$2:$K$310, 5,FALSE), IFERROR(VLOOKUP($A793,'Vocus RVC ExDa'!$C$2:$R$155, 9,FALSE), IFERROR(VLOOKUP($A793,'Fusion ExDa'!$B$2:$D$16, 0,FALSE), IFERROR(VLOOKUP($A793,'Exetel ExDa'!$C$2:$N$14, 6,FALSE), IFERROR(VLOOKUP($A793,'Infinet ExDa'!$B$2:$E$14, 0,FALSE), "Not Found"))))))))</f>
        <v>NBN Reseller G4 FTTB</v>
      </c>
      <c r="G793" t="str">
        <f>IFERROR(VLOOKUP($A793,'AAPT ExDa'!$B$2:$U$99, 5,FALSE), IFERROR(VLOOKUP($A793,'ABB ExDa'!$A$2:$N$184, 8,FALSE), IFERROR(VLOOKUP($A793,'Vocus SIT ExDa'!$B$2:$J$173, 6,FALSE), IFERROR(VLOOKUP($A793,'Telstra ExDa'!$B$2:$K$310, 0,FALSE), IFERROR(VLOOKUP($A793,'Vocus RVC ExDa'!$C$2:$R$155, 15,FALSE), IFERROR(VLOOKUP($A793,'Fusion ExDa'!$B$2:$D$16, 0,FALSE), IFERROR(VLOOKUP($A793,'Exetel ExDa'!$C$2:$N$14, 7,FALSE), IFERROR(VLOOKUP($A793,'Infinet ExDa'!$B$2:$E$14, 0,FALSE), "Not Found"))))))))</f>
        <v>202.62.138.91</v>
      </c>
      <c r="H793" t="str">
        <f>IFERROR(VLOOKUP($A793,'AAPT ExDa'!$B$2:$U$99, 6,FALSE), IFERROR(VLOOKUP($A793,'ABB ExDa'!$A$2:$N$184, 0,FALSE), IFERROR(VLOOKUP($A793,'Vocus SIT ExDa'!$B$2:$J$173, 0,FALSE), IFERROR(VLOOKUP($A793,'Telstra ExDa'!$B$2:$K$310, 0,FALSE), IFERROR(VLOOKUP($A793,'Vocus RVC ExDa'!$C$2:$R$155, 16,FALSE), IFERROR(VLOOKUP($A793,'Fusion ExDa'!$B$2:$D$16, 0,FALSE), IFERROR(VLOOKUP($A793,'Exetel ExDa'!$C$2:$N$14, 0,FALSE), IFERROR(VLOOKUP($A793,'Infinet ExDa'!$B$2:$E$14, 0,FALSE), "Not Found"))))))))</f>
        <v>PPPoE</v>
      </c>
      <c r="I793" t="str">
        <f>IFERROR(VLOOKUP($A793,'AAPT ExDa'!$B$2:$U$99, 0,FALSE), IFERROR(VLOOKUP($A793,'ABB ExDa'!$A$2:$N$184, 0,FALSE), IFERROR(VLOOKUP($A793,'Vocus SIT ExDa'!$B$2:$J$173, 0,FALSE), IFERROR(VLOOKUP($A793,'Telstra ExDa'!$B$2:$K$310, 0,FALSE), IFERROR(VLOOKUP($A793,'Vocus RVC ExDa'!$C$2:$R$155, 0,FALSE), IFERROR(VLOOKUP($A793,'Fusion ExDa'!$B$2:$D$16, 0,FALSE), IFERROR(VLOOKUP($A793,'Exetel ExDa'!$C$2:$N$14, 8,FALSE), IFERROR(VLOOKUP($A793,'Infinet ExDa'!$B$2:$E$14, 0,FALSE), "Not Found"))))))))</f>
        <v>Not Found</v>
      </c>
      <c r="J793" t="str">
        <f>IFERROR(VLOOKUP($A793,'AAPT ExDa'!$B$2:$U$99, 7,FALSE), IFERROR(VLOOKUP($A793,'ABB ExDa'!$A$2:$N$184, 2,FALSE), IFERROR(VLOOKUP($A793,'Vocus SIT ExDa'!$B$2:$J$173, 0,FALSE), IFERROR(VLOOKUP($A793,'Telstra ExDa'!$B$2:$K$310, 7,FALSE), IFERROR(VLOOKUP($A793,'Vocus RVC ExDa'!$C$2:$R$155, 2,FALSE), IFERROR(VLOOKUP($A793,'Fusion ExDa'!$B$2:$D$16, 3,FALSE), IFERROR(VLOOKUP($A793,'Exetel ExDa'!$C$2:$N$14, 0,FALSE), IFERROR(VLOOKUP($A793,'Infinet ExDa'!$B$2:$E$14, 0,FALSE), "Not Found"))))))))</f>
        <v xml:space="preserve">	AVC000170137637</v>
      </c>
      <c r="K793" t="str">
        <f>IFERROR(VLOOKUP($A793,'AAPT ExDa'!$B$2:$U$99, 12,FALSE), IFERROR(VLOOKUP($A793,'ABB ExDa'!$A$2:$N$184, 0,FALSE), IFERROR(VLOOKUP($A793,'Vocus SIT ExDa'!$B$2:$J$173, 0,FALSE), IFERROR(VLOOKUP($A793,'Telstra ExDa'!$B$2:$K$310, 0,FALSE), IFERROR(VLOOKUP($A793,'Vocus RVC ExDa'!$C$2:$R$155, 0,FALSE), IFERROR(VLOOKUP($A793,'Fusion ExDa'!$B$2:$D$16, 0,FALSE), IFERROR(VLOOKUP($A793,'Exetel ExDa'!$C$2:$N$14, 12,FALSE), IFERROR(VLOOKUP($A793,'Infinet ExDa'!$B$2:$E$14, 0,FALSE), "Not Found"))))))))</f>
        <v>Not Found</v>
      </c>
      <c r="L793" s="235" t="str">
        <f>IFERROR(VLOOKUP($A793,'AAPT ExDa'!$B$2:$U$99, 11,FALSE), IFERROR(VLOOKUP($A793,'ABB ExDa'!$A$2:$N$184, 9,FALSE), IFERROR(VLOOKUP($A793,'Vocus SIT ExDa'!$B$2:$J$173, 8,FALSE), IFERROR(VLOOKUP($A793,'Telstra ExDa'!$B$2:$K$310, 0,FALSE), IFERROR(VLOOKUP($A793,'Vocus RVC ExDa'!$C$2:$R$155, 0,FALSE), IFERROR(VLOOKUP($A793,'Fusion ExDa'!$B$2:$D$16, 0,FALSE), IFERROR(VLOOKUP($A793,'Exetel ExDa'!$C$2:$N$14, 9,FALSE), IFERROR(VLOOKUP($A793,'Infinet ExDa'!$B$2:$E$14, 0,FALSE), "Not Found"))))))))</f>
        <v>Not Found</v>
      </c>
      <c r="M793" s="234" t="str">
        <f>IFERROR(VLOOKUP($A793,'AAPT ExDa'!$B$2:$U$99, 0,FALSE), IFERROR(VLOOKUP($A793,'ABB ExDa'!$A$2:$N$184, 0,FALSE), IFERROR(VLOOKUP($A793,'Vocus SIT ExDa'!$B$2:$J$173, 0,FALSE), IFERROR(VLOOKUP($A793,'Telstra ExDa'!$B$2:$K$310, 0,FALSE), IFERROR(VLOOKUP($A793,'Vocus RVC ExDa'!$C$2:$R$155, 0,FALSE), IFERROR(VLOOKUP($A793,'Fusion ExDa'!$B$2:$D$16, 0,FALSE), IFERROR(VLOOKUP($A793,'Exetel ExDa'!$C$2:$N$14, 11,FALSE), IFERROR(VLOOKUP($A793,'Infinet ExDa'!$B$2:$E$14, 0,FALSE), "Not Found"))))))))</f>
        <v>Not Found</v>
      </c>
      <c r="N793" t="str">
        <f>IFERROR(VLOOKUP($A793,'AAPT ExDa'!$B$2:$U$99, 0,FALSE), IFERROR(VLOOKUP($A793,'ABB ExDa'!$A$2:$N$184, 13,FALSE), IFERROR(VLOOKUP($A793,'Vocus SIT ExDa'!$B$2:$J$173, 0,FALSE), IFERROR(VLOOKUP($A793,'Telstra ExDa'!$B$2:$K$310, 0,FALSE), IFERROR(VLOOKUP($A793,'Vocus RVC ExDa'!$C$2:$R$155, 0,FALSE), IFERROR(VLOOKUP($A793,'Fusion ExDa'!$B$2:$D$16, 0,FALSE), IFERROR(VLOOKUP($A793,'Exetel ExDa'!$C$2:$N$14, 0,FALSE), IFERROR(VLOOKUP($A793,'Infinet ExDa'!$B$2:$E$14, 0,FALSE), "Not Found"))))))))</f>
        <v>Not Found</v>
      </c>
    </row>
    <row r="794" spans="1:14">
      <c r="A794" t="str">
        <v>Livingstone Low Electrical Pty Ltd</v>
      </c>
      <c r="B794" t="str">
        <f>IFERROR(VLOOKUP(A794,'Exetel ExDa'!$C$2:$N$14,4,FALSE),"No Data")</f>
        <v>No Data</v>
      </c>
      <c r="C794" t="str">
        <f>IFERROR(VLOOKUP(A794,'AAPT ExDa'!$B$2:$U$99, 2,FALSE), IFERROR(VLOOKUP(A794,'ABB ExDa'!$A$2:$N$184, 2,FALSE), IFERROR(VLOOKUP(A794,'Vocus SIT ExDa'!$B$2:$J$173, 7,FALSE), IFERROR(VLOOKUP(A794,'Telstra ExDa'!$B$2:$K$310, 2,FALSE), IFERROR(VLOOKUP(A794,'Vocus RVC ExDa'!$C$2:$R$155, 3,FALSE), IFERROR(VLOOKUP(A794,'Fusion ExDa'!$B$2:$D$16, 2,FALSE), IFERROR(VLOOKUP(A794,'Exetel ExDa'!$C$2:$N$14, 2,FALSE), IFERROR(VLOOKUP(A794,'Infinet ExDa'!$B$2:$E$14, 2,FALSE), "Not Found"))))))))</f>
        <v xml:space="preserve">Unit 4 Lot 4 6 Phoebe Cr </v>
      </c>
      <c r="D794">
        <f>IFERROR(VLOOKUP($A794,'AAPT ExDa'!$B$2:$U$99, 15,FALSE), IFERROR(VLOOKUP($A794,'ABB ExDa'!$A$2:$N$184, 4,FALSE), IFERROR(VLOOKUP($A794,'Vocus SIT ExDa'!$B$2:$J$173, 5,FALSE), IFERROR(VLOOKUP($A794,'Telstra ExDa'!$B$2:$K$310, 8,FALSE), IFERROR(VLOOKUP($A794,'Vocus RVC ExDa'!$C$2:$R$155, 6,FALSE), IFERROR(VLOOKUP($A794,'Fusion ExDa'!$B$2:$D$16, 4,FALSE), IFERROR(VLOOKUP($A794,'Exetel ExDa'!$C$2:$N$14, 3,FALSE), IFERROR(VLOOKUP($A794,'Infinet ExDa'!$B$2:$E$14, 3,FALSE), "Not Found"))))))))</f>
        <v>4670</v>
      </c>
      <c r="E794" t="str">
        <f>IFERROR(VLOOKUP($A794,'AAPT ExDa'!$B$2:$U$99, 3,FALSE), IFERROR(VLOOKUP($A794,'ABB ExDa'!$A$2:$N$184, 5,FALSE), IFERROR(VLOOKUP($A794,'Vocus SIT ExDa'!$B$2:$J$173, 2,FALSE), IFERROR(VLOOKUP($A794,'Telstra ExDa'!$B$2:$K$310, 4,FALSE), IFERROR(VLOOKUP($A794,'Vocus RVC ExDa'!$C$2:$R$155, 8,FALSE), IFERROR(VLOOKUP($A794,'Fusion ExDa'!$B$2:$D$16, 4,FALSE), IFERROR(VLOOKUP($A794,'Exetel ExDa'!$C$2:$N$14, 5,FALSE), IFERROR(VLOOKUP($A794,'Infinet ExDa'!$B$2:$E$14, 3,FALSE), "Not Found"))))))))</f>
        <v>50Mbps/20Mbps</v>
      </c>
      <c r="F794" t="str">
        <f>IFERROR(VLOOKUP($A794,'AAPT ExDa'!$B$2:$U$99, 4,FALSE), IFERROR(VLOOKUP($A794,'ABB ExDa'!$A$2:$N$184, 6,FALSE), IFERROR(VLOOKUP($A794,'Vocus SIT ExDa'!$B$2:$J$173, 3,FALSE), IFERROR(VLOOKUP($A794,'Telstra ExDa'!$B$2:$K$310, 5,FALSE), IFERROR(VLOOKUP($A794,'Vocus RVC ExDa'!$C$2:$R$155, 9,FALSE), IFERROR(VLOOKUP($A794,'Fusion ExDa'!$B$2:$D$16, 0,FALSE), IFERROR(VLOOKUP($A794,'Exetel ExDa'!$C$2:$N$14, 6,FALSE), IFERROR(VLOOKUP($A794,'Infinet ExDa'!$B$2:$E$14, 0,FALSE), "Not Found"))))))))</f>
        <v>NBN Reseller G4 FTTN</v>
      </c>
      <c r="G794">
        <f>IFERROR(VLOOKUP($A794,'AAPT ExDa'!$B$2:$U$99, 5,FALSE), IFERROR(VLOOKUP($A794,'ABB ExDa'!$A$2:$N$184, 8,FALSE), IFERROR(VLOOKUP($A794,'Vocus SIT ExDa'!$B$2:$J$173, 6,FALSE), IFERROR(VLOOKUP($A794,'Telstra ExDa'!$B$2:$K$310, 0,FALSE), IFERROR(VLOOKUP($A794,'Vocus RVC ExDa'!$C$2:$R$155, 15,FALSE), IFERROR(VLOOKUP($A794,'Fusion ExDa'!$B$2:$D$16, 0,FALSE), IFERROR(VLOOKUP($A794,'Exetel ExDa'!$C$2:$N$14, 7,FALSE), IFERROR(VLOOKUP($A794,'Infinet ExDa'!$B$2:$E$14, 0,FALSE), "Not Found"))))))))</f>
        <v>0</v>
      </c>
      <c r="H794" t="str">
        <f>IFERROR(VLOOKUP($A794,'AAPT ExDa'!$B$2:$U$99, 6,FALSE), IFERROR(VLOOKUP($A794,'ABB ExDa'!$A$2:$N$184, 0,FALSE), IFERROR(VLOOKUP($A794,'Vocus SIT ExDa'!$B$2:$J$173, 0,FALSE), IFERROR(VLOOKUP($A794,'Telstra ExDa'!$B$2:$K$310, 0,FALSE), IFERROR(VLOOKUP($A794,'Vocus RVC ExDa'!$C$2:$R$155, 16,FALSE), IFERROR(VLOOKUP($A794,'Fusion ExDa'!$B$2:$D$16, 0,FALSE), IFERROR(VLOOKUP($A794,'Exetel ExDa'!$C$2:$N$14, 0,FALSE), IFERROR(VLOOKUP($A794,'Infinet ExDa'!$B$2:$E$14, 0,FALSE), "Not Found"))))))))</f>
        <v>PPPoE</v>
      </c>
      <c r="I794" t="str">
        <f>IFERROR(VLOOKUP($A794,'AAPT ExDa'!$B$2:$U$99, 0,FALSE), IFERROR(VLOOKUP($A794,'ABB ExDa'!$A$2:$N$184, 0,FALSE), IFERROR(VLOOKUP($A794,'Vocus SIT ExDa'!$B$2:$J$173, 0,FALSE), IFERROR(VLOOKUP($A794,'Telstra ExDa'!$B$2:$K$310, 0,FALSE), IFERROR(VLOOKUP($A794,'Vocus RVC ExDa'!$C$2:$R$155, 0,FALSE), IFERROR(VLOOKUP($A794,'Fusion ExDa'!$B$2:$D$16, 0,FALSE), IFERROR(VLOOKUP($A794,'Exetel ExDa'!$C$2:$N$14, 8,FALSE), IFERROR(VLOOKUP($A794,'Infinet ExDa'!$B$2:$E$14, 0,FALSE), "Not Found"))))))))</f>
        <v>Not Found</v>
      </c>
      <c r="J794" t="str">
        <f>IFERROR(VLOOKUP($A794,'AAPT ExDa'!$B$2:$U$99, 7,FALSE), IFERROR(VLOOKUP($A794,'ABB ExDa'!$A$2:$N$184, 2,FALSE), IFERROR(VLOOKUP($A794,'Vocus SIT ExDa'!$B$2:$J$173, 0,FALSE), IFERROR(VLOOKUP($A794,'Telstra ExDa'!$B$2:$K$310, 7,FALSE), IFERROR(VLOOKUP($A794,'Vocus RVC ExDa'!$C$2:$R$155, 2,FALSE), IFERROR(VLOOKUP($A794,'Fusion ExDa'!$B$2:$D$16, 3,FALSE), IFERROR(VLOOKUP($A794,'Exetel ExDa'!$C$2:$N$14, 0,FALSE), IFERROR(VLOOKUP($A794,'Infinet ExDa'!$B$2:$E$14, 0,FALSE), "Not Found"))))))))</f>
        <v>AVC000173412783</v>
      </c>
      <c r="K794" t="str">
        <f>IFERROR(VLOOKUP($A794,'AAPT ExDa'!$B$2:$U$99, 12,FALSE), IFERROR(VLOOKUP($A794,'ABB ExDa'!$A$2:$N$184, 0,FALSE), IFERROR(VLOOKUP($A794,'Vocus SIT ExDa'!$B$2:$J$173, 0,FALSE), IFERROR(VLOOKUP($A794,'Telstra ExDa'!$B$2:$K$310, 0,FALSE), IFERROR(VLOOKUP($A794,'Vocus RVC ExDa'!$C$2:$R$155, 0,FALSE), IFERROR(VLOOKUP($A794,'Fusion ExDa'!$B$2:$D$16, 0,FALSE), IFERROR(VLOOKUP($A794,'Exetel ExDa'!$C$2:$N$14, 12,FALSE), IFERROR(VLOOKUP($A794,'Infinet ExDa'!$B$2:$E$14, 0,FALSE), "Not Found"))))))))</f>
        <v>Not Found</v>
      </c>
      <c r="L794" s="235" t="str">
        <f>IFERROR(VLOOKUP($A794,'AAPT ExDa'!$B$2:$U$99, 11,FALSE), IFERROR(VLOOKUP($A794,'ABB ExDa'!$A$2:$N$184, 9,FALSE), IFERROR(VLOOKUP($A794,'Vocus SIT ExDa'!$B$2:$J$173, 8,FALSE), IFERROR(VLOOKUP($A794,'Telstra ExDa'!$B$2:$K$310, 0,FALSE), IFERROR(VLOOKUP($A794,'Vocus RVC ExDa'!$C$2:$R$155, 0,FALSE), IFERROR(VLOOKUP($A794,'Fusion ExDa'!$B$2:$D$16, 0,FALSE), IFERROR(VLOOKUP($A794,'Exetel ExDa'!$C$2:$N$14, 9,FALSE), IFERROR(VLOOKUP($A794,'Infinet ExDa'!$B$2:$E$14, 0,FALSE), "Not Found"))))))))</f>
        <v>Not Found</v>
      </c>
      <c r="M794" s="234" t="str">
        <f>IFERROR(VLOOKUP($A794,'AAPT ExDa'!$B$2:$U$99, 0,FALSE), IFERROR(VLOOKUP($A794,'ABB ExDa'!$A$2:$N$184, 0,FALSE), IFERROR(VLOOKUP($A794,'Vocus SIT ExDa'!$B$2:$J$173, 0,FALSE), IFERROR(VLOOKUP($A794,'Telstra ExDa'!$B$2:$K$310, 0,FALSE), IFERROR(VLOOKUP($A794,'Vocus RVC ExDa'!$C$2:$R$155, 0,FALSE), IFERROR(VLOOKUP($A794,'Fusion ExDa'!$B$2:$D$16, 0,FALSE), IFERROR(VLOOKUP($A794,'Exetel ExDa'!$C$2:$N$14, 11,FALSE), IFERROR(VLOOKUP($A794,'Infinet ExDa'!$B$2:$E$14, 0,FALSE), "Not Found"))))))))</f>
        <v>Not Found</v>
      </c>
      <c r="N794" t="str">
        <f>IFERROR(VLOOKUP($A794,'AAPT ExDa'!$B$2:$U$99, 0,FALSE), IFERROR(VLOOKUP($A794,'ABB ExDa'!$A$2:$N$184, 13,FALSE), IFERROR(VLOOKUP($A794,'Vocus SIT ExDa'!$B$2:$J$173, 0,FALSE), IFERROR(VLOOKUP($A794,'Telstra ExDa'!$B$2:$K$310, 0,FALSE), IFERROR(VLOOKUP($A794,'Vocus RVC ExDa'!$C$2:$R$155, 0,FALSE), IFERROR(VLOOKUP($A794,'Fusion ExDa'!$B$2:$D$16, 0,FALSE), IFERROR(VLOOKUP($A794,'Exetel ExDa'!$C$2:$N$14, 0,FALSE), IFERROR(VLOOKUP($A794,'Infinet ExDa'!$B$2:$E$14, 0,FALSE), "Not Found"))))))))</f>
        <v>Not Found</v>
      </c>
    </row>
    <row r="795" spans="1:14">
      <c r="A795" t="str">
        <v>Doctors at Samford Valley</v>
      </c>
      <c r="B795" t="str">
        <f>IFERROR(VLOOKUP(A795,'Exetel ExDa'!$C$2:$N$14,4,FALSE),"No Data")</f>
        <v>No Data</v>
      </c>
      <c r="C795" t="str">
        <f>IFERROR(VLOOKUP(A795,'AAPT ExDa'!$B$2:$U$99, 2,FALSE), IFERROR(VLOOKUP(A795,'ABB ExDa'!$A$2:$N$184, 2,FALSE), IFERROR(VLOOKUP(A795,'Vocus SIT ExDa'!$B$2:$J$173, 7,FALSE), IFERROR(VLOOKUP(A795,'Telstra ExDa'!$B$2:$K$310, 2,FALSE), IFERROR(VLOOKUP(A795,'Vocus RVC ExDa'!$C$2:$R$155, 3,FALSE), IFERROR(VLOOKUP(A795,'Fusion ExDa'!$B$2:$D$16, 2,FALSE), IFERROR(VLOOKUP(A795,'Exetel ExDa'!$C$2:$N$14, 2,FALSE), IFERROR(VLOOKUP(A795,'Infinet ExDa'!$B$2:$E$14, 2,FALSE), "Not Found"))))))))</f>
        <v xml:space="preserve">Unit 4 Lot 4 39 Main St </v>
      </c>
      <c r="D795">
        <f>IFERROR(VLOOKUP($A795,'AAPT ExDa'!$B$2:$U$99, 15,FALSE), IFERROR(VLOOKUP($A795,'ABB ExDa'!$A$2:$N$184, 4,FALSE), IFERROR(VLOOKUP($A795,'Vocus SIT ExDa'!$B$2:$J$173, 5,FALSE), IFERROR(VLOOKUP($A795,'Telstra ExDa'!$B$2:$K$310, 8,FALSE), IFERROR(VLOOKUP($A795,'Vocus RVC ExDa'!$C$2:$R$155, 6,FALSE), IFERROR(VLOOKUP($A795,'Fusion ExDa'!$B$2:$D$16, 4,FALSE), IFERROR(VLOOKUP($A795,'Exetel ExDa'!$C$2:$N$14, 3,FALSE), IFERROR(VLOOKUP($A795,'Infinet ExDa'!$B$2:$E$14, 3,FALSE), "Not Found"))))))))</f>
        <v>4520</v>
      </c>
      <c r="E795" t="str">
        <f>IFERROR(VLOOKUP($A795,'AAPT ExDa'!$B$2:$U$99, 3,FALSE), IFERROR(VLOOKUP($A795,'ABB ExDa'!$A$2:$N$184, 5,FALSE), IFERROR(VLOOKUP($A795,'Vocus SIT ExDa'!$B$2:$J$173, 2,FALSE), IFERROR(VLOOKUP($A795,'Telstra ExDa'!$B$2:$K$310, 4,FALSE), IFERROR(VLOOKUP($A795,'Vocus RVC ExDa'!$C$2:$R$155, 8,FALSE), IFERROR(VLOOKUP($A795,'Fusion ExDa'!$B$2:$D$16, 4,FALSE), IFERROR(VLOOKUP($A795,'Exetel ExDa'!$C$2:$N$14, 5,FALSE), IFERROR(VLOOKUP($A795,'Infinet ExDa'!$B$2:$E$14, 3,FALSE), "Not Found"))))))))</f>
        <v>100Mbps/40Mbps</v>
      </c>
      <c r="F795" t="str">
        <f>IFERROR(VLOOKUP($A795,'AAPT ExDa'!$B$2:$U$99, 4,FALSE), IFERROR(VLOOKUP($A795,'ABB ExDa'!$A$2:$N$184, 6,FALSE), IFERROR(VLOOKUP($A795,'Vocus SIT ExDa'!$B$2:$J$173, 3,FALSE), IFERROR(VLOOKUP($A795,'Telstra ExDa'!$B$2:$K$310, 5,FALSE), IFERROR(VLOOKUP($A795,'Vocus RVC ExDa'!$C$2:$R$155, 9,FALSE), IFERROR(VLOOKUP($A795,'Fusion ExDa'!$B$2:$D$16, 0,FALSE), IFERROR(VLOOKUP($A795,'Exetel ExDa'!$C$2:$N$14, 6,FALSE), IFERROR(VLOOKUP($A795,'Infinet ExDa'!$B$2:$E$14, 0,FALSE), "Not Found"))))))))</f>
        <v>NBN Reseller G4 FTTC</v>
      </c>
      <c r="G795" t="str">
        <f>IFERROR(VLOOKUP($A795,'AAPT ExDa'!$B$2:$U$99, 5,FALSE), IFERROR(VLOOKUP($A795,'ABB ExDa'!$A$2:$N$184, 8,FALSE), IFERROR(VLOOKUP($A795,'Vocus SIT ExDa'!$B$2:$J$173, 6,FALSE), IFERROR(VLOOKUP($A795,'Telstra ExDa'!$B$2:$K$310, 0,FALSE), IFERROR(VLOOKUP($A795,'Vocus RVC ExDa'!$C$2:$R$155, 15,FALSE), IFERROR(VLOOKUP($A795,'Fusion ExDa'!$B$2:$D$16, 0,FALSE), IFERROR(VLOOKUP($A795,'Exetel ExDa'!$C$2:$N$14, 7,FALSE), IFERROR(VLOOKUP($A795,'Infinet ExDa'!$B$2:$E$14, 0,FALSE), "Not Found"))))))))</f>
        <v>202.62.138.98</v>
      </c>
      <c r="H795" t="str">
        <f>IFERROR(VLOOKUP($A795,'AAPT ExDa'!$B$2:$U$99, 6,FALSE), IFERROR(VLOOKUP($A795,'ABB ExDa'!$A$2:$N$184, 0,FALSE), IFERROR(VLOOKUP($A795,'Vocus SIT ExDa'!$B$2:$J$173, 0,FALSE), IFERROR(VLOOKUP($A795,'Telstra ExDa'!$B$2:$K$310, 0,FALSE), IFERROR(VLOOKUP($A795,'Vocus RVC ExDa'!$C$2:$R$155, 16,FALSE), IFERROR(VLOOKUP($A795,'Fusion ExDa'!$B$2:$D$16, 0,FALSE), IFERROR(VLOOKUP($A795,'Exetel ExDa'!$C$2:$N$14, 0,FALSE), IFERROR(VLOOKUP($A795,'Infinet ExDa'!$B$2:$E$14, 0,FALSE), "Not Found"))))))))</f>
        <v>PPPoE</v>
      </c>
      <c r="I795" t="str">
        <f>IFERROR(VLOOKUP($A795,'AAPT ExDa'!$B$2:$U$99, 0,FALSE), IFERROR(VLOOKUP($A795,'ABB ExDa'!$A$2:$N$184, 0,FALSE), IFERROR(VLOOKUP($A795,'Vocus SIT ExDa'!$B$2:$J$173, 0,FALSE), IFERROR(VLOOKUP($A795,'Telstra ExDa'!$B$2:$K$310, 0,FALSE), IFERROR(VLOOKUP($A795,'Vocus RVC ExDa'!$C$2:$R$155, 0,FALSE), IFERROR(VLOOKUP($A795,'Fusion ExDa'!$B$2:$D$16, 0,FALSE), IFERROR(VLOOKUP($A795,'Exetel ExDa'!$C$2:$N$14, 8,FALSE), IFERROR(VLOOKUP($A795,'Infinet ExDa'!$B$2:$E$14, 0,FALSE), "Not Found"))))))))</f>
        <v>Not Found</v>
      </c>
      <c r="J795" t="str">
        <f>IFERROR(VLOOKUP($A795,'AAPT ExDa'!$B$2:$U$99, 7,FALSE), IFERROR(VLOOKUP($A795,'ABB ExDa'!$A$2:$N$184, 2,FALSE), IFERROR(VLOOKUP($A795,'Vocus SIT ExDa'!$B$2:$J$173, 0,FALSE), IFERROR(VLOOKUP($A795,'Telstra ExDa'!$B$2:$K$310, 7,FALSE), IFERROR(VLOOKUP($A795,'Vocus RVC ExDa'!$C$2:$R$155, 2,FALSE), IFERROR(VLOOKUP($A795,'Fusion ExDa'!$B$2:$D$16, 3,FALSE), IFERROR(VLOOKUP($A795,'Exetel ExDa'!$C$2:$N$14, 0,FALSE), IFERROR(VLOOKUP($A795,'Infinet ExDa'!$B$2:$E$14, 0,FALSE), "Not Found"))))))))</f>
        <v xml:space="preserve">	AVC000173412783</v>
      </c>
      <c r="K795" t="str">
        <f>IFERROR(VLOOKUP($A795,'AAPT ExDa'!$B$2:$U$99, 12,FALSE), IFERROR(VLOOKUP($A795,'ABB ExDa'!$A$2:$N$184, 0,FALSE), IFERROR(VLOOKUP($A795,'Vocus SIT ExDa'!$B$2:$J$173, 0,FALSE), IFERROR(VLOOKUP($A795,'Telstra ExDa'!$B$2:$K$310, 0,FALSE), IFERROR(VLOOKUP($A795,'Vocus RVC ExDa'!$C$2:$R$155, 0,FALSE), IFERROR(VLOOKUP($A795,'Fusion ExDa'!$B$2:$D$16, 0,FALSE), IFERROR(VLOOKUP($A795,'Exetel ExDa'!$C$2:$N$14, 12,FALSE), IFERROR(VLOOKUP($A795,'Infinet ExDa'!$B$2:$E$14, 0,FALSE), "Not Found"))))))))</f>
        <v>Not Found</v>
      </c>
      <c r="L795" s="235" t="str">
        <f>IFERROR(VLOOKUP($A795,'AAPT ExDa'!$B$2:$U$99, 11,FALSE), IFERROR(VLOOKUP($A795,'ABB ExDa'!$A$2:$N$184, 9,FALSE), IFERROR(VLOOKUP($A795,'Vocus SIT ExDa'!$B$2:$J$173, 8,FALSE), IFERROR(VLOOKUP($A795,'Telstra ExDa'!$B$2:$K$310, 0,FALSE), IFERROR(VLOOKUP($A795,'Vocus RVC ExDa'!$C$2:$R$155, 0,FALSE), IFERROR(VLOOKUP($A795,'Fusion ExDa'!$B$2:$D$16, 0,FALSE), IFERROR(VLOOKUP($A795,'Exetel ExDa'!$C$2:$N$14, 9,FALSE), IFERROR(VLOOKUP($A795,'Infinet ExDa'!$B$2:$E$14, 0,FALSE), "Not Found"))))))))</f>
        <v>Not Found</v>
      </c>
      <c r="M795" s="234" t="str">
        <f>IFERROR(VLOOKUP($A795,'AAPT ExDa'!$B$2:$U$99, 0,FALSE), IFERROR(VLOOKUP($A795,'ABB ExDa'!$A$2:$N$184, 0,FALSE), IFERROR(VLOOKUP($A795,'Vocus SIT ExDa'!$B$2:$J$173, 0,FALSE), IFERROR(VLOOKUP($A795,'Telstra ExDa'!$B$2:$K$310, 0,FALSE), IFERROR(VLOOKUP($A795,'Vocus RVC ExDa'!$C$2:$R$155, 0,FALSE), IFERROR(VLOOKUP($A795,'Fusion ExDa'!$B$2:$D$16, 0,FALSE), IFERROR(VLOOKUP($A795,'Exetel ExDa'!$C$2:$N$14, 11,FALSE), IFERROR(VLOOKUP($A795,'Infinet ExDa'!$B$2:$E$14, 0,FALSE), "Not Found"))))))))</f>
        <v>Not Found</v>
      </c>
      <c r="N795" t="str">
        <f>IFERROR(VLOOKUP($A795,'AAPT ExDa'!$B$2:$U$99, 0,FALSE), IFERROR(VLOOKUP($A795,'ABB ExDa'!$A$2:$N$184, 13,FALSE), IFERROR(VLOOKUP($A795,'Vocus SIT ExDa'!$B$2:$J$173, 0,FALSE), IFERROR(VLOOKUP($A795,'Telstra ExDa'!$B$2:$K$310, 0,FALSE), IFERROR(VLOOKUP($A795,'Vocus RVC ExDa'!$C$2:$R$155, 0,FALSE), IFERROR(VLOOKUP($A795,'Fusion ExDa'!$B$2:$D$16, 0,FALSE), IFERROR(VLOOKUP($A795,'Exetel ExDa'!$C$2:$N$14, 0,FALSE), IFERROR(VLOOKUP($A795,'Infinet ExDa'!$B$2:$E$14, 0,FALSE), "Not Found"))))))))</f>
        <v>Not Found</v>
      </c>
    </row>
    <row r="796" spans="1:14">
      <c r="A796" t="str">
        <v>Mooloolaba Osteopathy and Massage</v>
      </c>
      <c r="B796" t="str">
        <f>IFERROR(VLOOKUP(A796,'Exetel ExDa'!$C$2:$N$14,4,FALSE),"No Data")</f>
        <v>No Data</v>
      </c>
      <c r="C796" t="str">
        <f>IFERROR(VLOOKUP(A796,'AAPT ExDa'!$B$2:$U$99, 2,FALSE), IFERROR(VLOOKUP(A796,'ABB ExDa'!$A$2:$N$184, 2,FALSE), IFERROR(VLOOKUP(A796,'Vocus SIT ExDa'!$B$2:$J$173, 7,FALSE), IFERROR(VLOOKUP(A796,'Telstra ExDa'!$B$2:$K$310, 2,FALSE), IFERROR(VLOOKUP(A796,'Vocus RVC ExDa'!$C$2:$R$155, 3,FALSE), IFERROR(VLOOKUP(A796,'Fusion ExDa'!$B$2:$D$16, 2,FALSE), IFERROR(VLOOKUP(A796,'Exetel ExDa'!$C$2:$N$14, 2,FALSE), IFERROR(VLOOKUP(A796,'Infinet ExDa'!$B$2:$E$14, 2,FALSE), "Not Found"))))))))</f>
        <v xml:space="preserve">Shop 1d Lot 1 77 Mooloolaba Esp </v>
      </c>
      <c r="D796">
        <f>IFERROR(VLOOKUP($A796,'AAPT ExDa'!$B$2:$U$99, 15,FALSE), IFERROR(VLOOKUP($A796,'ABB ExDa'!$A$2:$N$184, 4,FALSE), IFERROR(VLOOKUP($A796,'Vocus SIT ExDa'!$B$2:$J$173, 5,FALSE), IFERROR(VLOOKUP($A796,'Telstra ExDa'!$B$2:$K$310, 8,FALSE), IFERROR(VLOOKUP($A796,'Vocus RVC ExDa'!$C$2:$R$155, 6,FALSE), IFERROR(VLOOKUP($A796,'Fusion ExDa'!$B$2:$D$16, 4,FALSE), IFERROR(VLOOKUP($A796,'Exetel ExDa'!$C$2:$N$14, 3,FALSE), IFERROR(VLOOKUP($A796,'Infinet ExDa'!$B$2:$E$14, 3,FALSE), "Not Found"))))))))</f>
        <v>4557</v>
      </c>
      <c r="E796" t="str">
        <f>IFERROR(VLOOKUP($A796,'AAPT ExDa'!$B$2:$U$99, 3,FALSE), IFERROR(VLOOKUP($A796,'ABB ExDa'!$A$2:$N$184, 5,FALSE), IFERROR(VLOOKUP($A796,'Vocus SIT ExDa'!$B$2:$J$173, 2,FALSE), IFERROR(VLOOKUP($A796,'Telstra ExDa'!$B$2:$K$310, 4,FALSE), IFERROR(VLOOKUP($A796,'Vocus RVC ExDa'!$C$2:$R$155, 8,FALSE), IFERROR(VLOOKUP($A796,'Fusion ExDa'!$B$2:$D$16, 4,FALSE), IFERROR(VLOOKUP($A796,'Exetel ExDa'!$C$2:$N$14, 5,FALSE), IFERROR(VLOOKUP($A796,'Infinet ExDa'!$B$2:$E$14, 3,FALSE), "Not Found"))))))))</f>
        <v>100Mbps/40Mbps</v>
      </c>
      <c r="F796" t="str">
        <f>IFERROR(VLOOKUP($A796,'AAPT ExDa'!$B$2:$U$99, 4,FALSE), IFERROR(VLOOKUP($A796,'ABB ExDa'!$A$2:$N$184, 6,FALSE), IFERROR(VLOOKUP($A796,'Vocus SIT ExDa'!$B$2:$J$173, 3,FALSE), IFERROR(VLOOKUP($A796,'Telstra ExDa'!$B$2:$K$310, 5,FALSE), IFERROR(VLOOKUP($A796,'Vocus RVC ExDa'!$C$2:$R$155, 9,FALSE), IFERROR(VLOOKUP($A796,'Fusion ExDa'!$B$2:$D$16, 0,FALSE), IFERROR(VLOOKUP($A796,'Exetel ExDa'!$C$2:$N$14, 6,FALSE), IFERROR(VLOOKUP($A796,'Infinet ExDa'!$B$2:$E$14, 0,FALSE), "Not Found"))))))))</f>
        <v>NBN Reseller G4 FTTN</v>
      </c>
      <c r="G796" t="str">
        <f>IFERROR(VLOOKUP($A796,'AAPT ExDa'!$B$2:$U$99, 5,FALSE), IFERROR(VLOOKUP($A796,'ABB ExDa'!$A$2:$N$184, 8,FALSE), IFERROR(VLOOKUP($A796,'Vocus SIT ExDa'!$B$2:$J$173, 6,FALSE), IFERROR(VLOOKUP($A796,'Telstra ExDa'!$B$2:$K$310, 0,FALSE), IFERROR(VLOOKUP($A796,'Vocus RVC ExDa'!$C$2:$R$155, 15,FALSE), IFERROR(VLOOKUP($A796,'Fusion ExDa'!$B$2:$D$16, 0,FALSE), IFERROR(VLOOKUP($A796,'Exetel ExDa'!$C$2:$N$14, 7,FALSE), IFERROR(VLOOKUP($A796,'Infinet ExDa'!$B$2:$E$14, 0,FALSE), "Not Found"))))))))</f>
        <v>122.151.202.186</v>
      </c>
      <c r="H796" t="str">
        <f>IFERROR(VLOOKUP($A796,'AAPT ExDa'!$B$2:$U$99, 6,FALSE), IFERROR(VLOOKUP($A796,'ABB ExDa'!$A$2:$N$184, 0,FALSE), IFERROR(VLOOKUP($A796,'Vocus SIT ExDa'!$B$2:$J$173, 0,FALSE), IFERROR(VLOOKUP($A796,'Telstra ExDa'!$B$2:$K$310, 0,FALSE), IFERROR(VLOOKUP($A796,'Vocus RVC ExDa'!$C$2:$R$155, 16,FALSE), IFERROR(VLOOKUP($A796,'Fusion ExDa'!$B$2:$D$16, 0,FALSE), IFERROR(VLOOKUP($A796,'Exetel ExDa'!$C$2:$N$14, 0,FALSE), IFERROR(VLOOKUP($A796,'Infinet ExDa'!$B$2:$E$14, 0,FALSE), "Not Found"))))))))</f>
        <v>PPPoE</v>
      </c>
      <c r="I796" t="str">
        <f>IFERROR(VLOOKUP($A796,'AAPT ExDa'!$B$2:$U$99, 0,FALSE), IFERROR(VLOOKUP($A796,'ABB ExDa'!$A$2:$N$184, 0,FALSE), IFERROR(VLOOKUP($A796,'Vocus SIT ExDa'!$B$2:$J$173, 0,FALSE), IFERROR(VLOOKUP($A796,'Telstra ExDa'!$B$2:$K$310, 0,FALSE), IFERROR(VLOOKUP($A796,'Vocus RVC ExDa'!$C$2:$R$155, 0,FALSE), IFERROR(VLOOKUP($A796,'Fusion ExDa'!$B$2:$D$16, 0,FALSE), IFERROR(VLOOKUP($A796,'Exetel ExDa'!$C$2:$N$14, 8,FALSE), IFERROR(VLOOKUP($A796,'Infinet ExDa'!$B$2:$E$14, 0,FALSE), "Not Found"))))))))</f>
        <v>Not Found</v>
      </c>
      <c r="J796" t="str">
        <f>IFERROR(VLOOKUP($A796,'AAPT ExDa'!$B$2:$U$99, 7,FALSE), IFERROR(VLOOKUP($A796,'ABB ExDa'!$A$2:$N$184, 2,FALSE), IFERROR(VLOOKUP($A796,'Vocus SIT ExDa'!$B$2:$J$173, 0,FALSE), IFERROR(VLOOKUP($A796,'Telstra ExDa'!$B$2:$K$310, 7,FALSE), IFERROR(VLOOKUP($A796,'Vocus RVC ExDa'!$C$2:$R$155, 2,FALSE), IFERROR(VLOOKUP($A796,'Fusion ExDa'!$B$2:$D$16, 3,FALSE), IFERROR(VLOOKUP($A796,'Exetel ExDa'!$C$2:$N$14, 0,FALSE), IFERROR(VLOOKUP($A796,'Infinet ExDa'!$B$2:$E$14, 0,FALSE), "Not Found"))))))))</f>
        <v xml:space="preserve">	AVC000173495822</v>
      </c>
      <c r="K796" t="str">
        <f>IFERROR(VLOOKUP($A796,'AAPT ExDa'!$B$2:$U$99, 12,FALSE), IFERROR(VLOOKUP($A796,'ABB ExDa'!$A$2:$N$184, 0,FALSE), IFERROR(VLOOKUP($A796,'Vocus SIT ExDa'!$B$2:$J$173, 0,FALSE), IFERROR(VLOOKUP($A796,'Telstra ExDa'!$B$2:$K$310, 0,FALSE), IFERROR(VLOOKUP($A796,'Vocus RVC ExDa'!$C$2:$R$155, 0,FALSE), IFERROR(VLOOKUP($A796,'Fusion ExDa'!$B$2:$D$16, 0,FALSE), IFERROR(VLOOKUP($A796,'Exetel ExDa'!$C$2:$N$14, 12,FALSE), IFERROR(VLOOKUP($A796,'Infinet ExDa'!$B$2:$E$14, 0,FALSE), "Not Found"))))))))</f>
        <v>Not Found</v>
      </c>
      <c r="L796" s="235" t="str">
        <f>IFERROR(VLOOKUP($A796,'AAPT ExDa'!$B$2:$U$99, 11,FALSE), IFERROR(VLOOKUP($A796,'ABB ExDa'!$A$2:$N$184, 9,FALSE), IFERROR(VLOOKUP($A796,'Vocus SIT ExDa'!$B$2:$J$173, 8,FALSE), IFERROR(VLOOKUP($A796,'Telstra ExDa'!$B$2:$K$310, 0,FALSE), IFERROR(VLOOKUP($A796,'Vocus RVC ExDa'!$C$2:$R$155, 0,FALSE), IFERROR(VLOOKUP($A796,'Fusion ExDa'!$B$2:$D$16, 0,FALSE), IFERROR(VLOOKUP($A796,'Exetel ExDa'!$C$2:$N$14, 9,FALSE), IFERROR(VLOOKUP($A796,'Infinet ExDa'!$B$2:$E$14, 0,FALSE), "Not Found"))))))))</f>
        <v>Not Found</v>
      </c>
      <c r="M796" s="234" t="str">
        <f>IFERROR(VLOOKUP($A796,'AAPT ExDa'!$B$2:$U$99, 0,FALSE), IFERROR(VLOOKUP($A796,'ABB ExDa'!$A$2:$N$184, 0,FALSE), IFERROR(VLOOKUP($A796,'Vocus SIT ExDa'!$B$2:$J$173, 0,FALSE), IFERROR(VLOOKUP($A796,'Telstra ExDa'!$B$2:$K$310, 0,FALSE), IFERROR(VLOOKUP($A796,'Vocus RVC ExDa'!$C$2:$R$155, 0,FALSE), IFERROR(VLOOKUP($A796,'Fusion ExDa'!$B$2:$D$16, 0,FALSE), IFERROR(VLOOKUP($A796,'Exetel ExDa'!$C$2:$N$14, 11,FALSE), IFERROR(VLOOKUP($A796,'Infinet ExDa'!$B$2:$E$14, 0,FALSE), "Not Found"))))))))</f>
        <v>Not Found</v>
      </c>
      <c r="N796" t="str">
        <f>IFERROR(VLOOKUP($A796,'AAPT ExDa'!$B$2:$U$99, 0,FALSE), IFERROR(VLOOKUP($A796,'ABB ExDa'!$A$2:$N$184, 13,FALSE), IFERROR(VLOOKUP($A796,'Vocus SIT ExDa'!$B$2:$J$173, 0,FALSE), IFERROR(VLOOKUP($A796,'Telstra ExDa'!$B$2:$K$310, 0,FALSE), IFERROR(VLOOKUP($A796,'Vocus RVC ExDa'!$C$2:$R$155, 0,FALSE), IFERROR(VLOOKUP($A796,'Fusion ExDa'!$B$2:$D$16, 0,FALSE), IFERROR(VLOOKUP($A796,'Exetel ExDa'!$C$2:$N$14, 0,FALSE), IFERROR(VLOOKUP($A796,'Infinet ExDa'!$B$2:$E$14, 0,FALSE), "Not Found"))))))))</f>
        <v>Not Found</v>
      </c>
    </row>
    <row r="797" spans="1:14">
      <c r="A797" t="str">
        <v>Creek St Pharmacy</v>
      </c>
      <c r="B797" t="str">
        <f>IFERROR(VLOOKUP(A797,'Exetel ExDa'!$C$2:$N$14,4,FALSE),"No Data")</f>
        <v>No Data</v>
      </c>
      <c r="C797" t="str">
        <f>IFERROR(VLOOKUP(A797,'AAPT ExDa'!$B$2:$U$99, 2,FALSE), IFERROR(VLOOKUP(A797,'ABB ExDa'!$A$2:$N$184, 2,FALSE), IFERROR(VLOOKUP(A797,'Vocus SIT ExDa'!$B$2:$J$173, 7,FALSE), IFERROR(VLOOKUP(A797,'Telstra ExDa'!$B$2:$K$310, 2,FALSE), IFERROR(VLOOKUP(A797,'Vocus RVC ExDa'!$C$2:$R$155, 3,FALSE), IFERROR(VLOOKUP(A797,'Fusion ExDa'!$B$2:$D$16, 2,FALSE), IFERROR(VLOOKUP(A797,'Exetel ExDa'!$C$2:$N$14, 2,FALSE), IFERROR(VLOOKUP(A797,'Infinet ExDa'!$B$2:$E$14, 2,FALSE), "Not Found"))))))))</f>
        <v xml:space="preserve">Shop 1 40 Creek St </v>
      </c>
      <c r="D797">
        <f>IFERROR(VLOOKUP($A797,'AAPT ExDa'!$B$2:$U$99, 15,FALSE), IFERROR(VLOOKUP($A797,'ABB ExDa'!$A$2:$N$184, 4,FALSE), IFERROR(VLOOKUP($A797,'Vocus SIT ExDa'!$B$2:$J$173, 5,FALSE), IFERROR(VLOOKUP($A797,'Telstra ExDa'!$B$2:$K$310, 8,FALSE), IFERROR(VLOOKUP($A797,'Vocus RVC ExDa'!$C$2:$R$155, 6,FALSE), IFERROR(VLOOKUP($A797,'Fusion ExDa'!$B$2:$D$16, 4,FALSE), IFERROR(VLOOKUP($A797,'Exetel ExDa'!$C$2:$N$14, 3,FALSE), IFERROR(VLOOKUP($A797,'Infinet ExDa'!$B$2:$E$14, 3,FALSE), "Not Found"))))))))</f>
        <v>4000</v>
      </c>
      <c r="E797" t="str">
        <f>IFERROR(VLOOKUP($A797,'AAPT ExDa'!$B$2:$U$99, 3,FALSE), IFERROR(VLOOKUP($A797,'ABB ExDa'!$A$2:$N$184, 5,FALSE), IFERROR(VLOOKUP($A797,'Vocus SIT ExDa'!$B$2:$J$173, 2,FALSE), IFERROR(VLOOKUP($A797,'Telstra ExDa'!$B$2:$K$310, 4,FALSE), IFERROR(VLOOKUP($A797,'Vocus RVC ExDa'!$C$2:$R$155, 8,FALSE), IFERROR(VLOOKUP($A797,'Fusion ExDa'!$B$2:$D$16, 4,FALSE), IFERROR(VLOOKUP($A797,'Exetel ExDa'!$C$2:$N$14, 5,FALSE), IFERROR(VLOOKUP($A797,'Infinet ExDa'!$B$2:$E$14, 3,FALSE), "Not Found"))))))))</f>
        <v>100Mbps/40Mbps</v>
      </c>
      <c r="F797" t="str">
        <f>IFERROR(VLOOKUP($A797,'AAPT ExDa'!$B$2:$U$99, 4,FALSE), IFERROR(VLOOKUP($A797,'ABB ExDa'!$A$2:$N$184, 6,FALSE), IFERROR(VLOOKUP($A797,'Vocus SIT ExDa'!$B$2:$J$173, 3,FALSE), IFERROR(VLOOKUP($A797,'Telstra ExDa'!$B$2:$K$310, 5,FALSE), IFERROR(VLOOKUP($A797,'Vocus RVC ExDa'!$C$2:$R$155, 9,FALSE), IFERROR(VLOOKUP($A797,'Fusion ExDa'!$B$2:$D$16, 0,FALSE), IFERROR(VLOOKUP($A797,'Exetel ExDa'!$C$2:$N$14, 6,FALSE), IFERROR(VLOOKUP($A797,'Infinet ExDa'!$B$2:$E$14, 0,FALSE), "Not Found"))))))))</f>
        <v>NBN Reseller G4 FTTB</v>
      </c>
      <c r="G797" t="str">
        <f>IFERROR(VLOOKUP($A797,'AAPT ExDa'!$B$2:$U$99, 5,FALSE), IFERROR(VLOOKUP($A797,'ABB ExDa'!$A$2:$N$184, 8,FALSE), IFERROR(VLOOKUP($A797,'Vocus SIT ExDa'!$B$2:$J$173, 6,FALSE), IFERROR(VLOOKUP($A797,'Telstra ExDa'!$B$2:$K$310, 0,FALSE), IFERROR(VLOOKUP($A797,'Vocus RVC ExDa'!$C$2:$R$155, 15,FALSE), IFERROR(VLOOKUP($A797,'Fusion ExDa'!$B$2:$D$16, 0,FALSE), IFERROR(VLOOKUP($A797,'Exetel ExDa'!$C$2:$N$14, 7,FALSE), IFERROR(VLOOKUP($A797,'Infinet ExDa'!$B$2:$E$14, 0,FALSE), "Not Found"))))))))</f>
        <v>202.62.138.110</v>
      </c>
      <c r="H797" t="str">
        <f>IFERROR(VLOOKUP($A797,'AAPT ExDa'!$B$2:$U$99, 6,FALSE), IFERROR(VLOOKUP($A797,'ABB ExDa'!$A$2:$N$184, 0,FALSE), IFERROR(VLOOKUP($A797,'Vocus SIT ExDa'!$B$2:$J$173, 0,FALSE), IFERROR(VLOOKUP($A797,'Telstra ExDa'!$B$2:$K$310, 0,FALSE), IFERROR(VLOOKUP($A797,'Vocus RVC ExDa'!$C$2:$R$155, 16,FALSE), IFERROR(VLOOKUP($A797,'Fusion ExDa'!$B$2:$D$16, 0,FALSE), IFERROR(VLOOKUP($A797,'Exetel ExDa'!$C$2:$N$14, 0,FALSE), IFERROR(VLOOKUP($A797,'Infinet ExDa'!$B$2:$E$14, 0,FALSE), "Not Found"))))))))</f>
        <v>PPPoE</v>
      </c>
      <c r="I797" t="str">
        <f>IFERROR(VLOOKUP($A797,'AAPT ExDa'!$B$2:$U$99, 0,FALSE), IFERROR(VLOOKUP($A797,'ABB ExDa'!$A$2:$N$184, 0,FALSE), IFERROR(VLOOKUP($A797,'Vocus SIT ExDa'!$B$2:$J$173, 0,FALSE), IFERROR(VLOOKUP($A797,'Telstra ExDa'!$B$2:$K$310, 0,FALSE), IFERROR(VLOOKUP($A797,'Vocus RVC ExDa'!$C$2:$R$155, 0,FALSE), IFERROR(VLOOKUP($A797,'Fusion ExDa'!$B$2:$D$16, 0,FALSE), IFERROR(VLOOKUP($A797,'Exetel ExDa'!$C$2:$N$14, 8,FALSE), IFERROR(VLOOKUP($A797,'Infinet ExDa'!$B$2:$E$14, 0,FALSE), "Not Found"))))))))</f>
        <v>Not Found</v>
      </c>
      <c r="J797" t="str">
        <f>IFERROR(VLOOKUP($A797,'AAPT ExDa'!$B$2:$U$99, 7,FALSE), IFERROR(VLOOKUP($A797,'ABB ExDa'!$A$2:$N$184, 2,FALSE), IFERROR(VLOOKUP($A797,'Vocus SIT ExDa'!$B$2:$J$173, 0,FALSE), IFERROR(VLOOKUP($A797,'Telstra ExDa'!$B$2:$K$310, 7,FALSE), IFERROR(VLOOKUP($A797,'Vocus RVC ExDa'!$C$2:$R$155, 2,FALSE), IFERROR(VLOOKUP($A797,'Fusion ExDa'!$B$2:$D$16, 3,FALSE), IFERROR(VLOOKUP($A797,'Exetel ExDa'!$C$2:$N$14, 0,FALSE), IFERROR(VLOOKUP($A797,'Infinet ExDa'!$B$2:$E$14, 0,FALSE), "Not Found"))))))))</f>
        <v xml:space="preserve">	AVC000174052602</v>
      </c>
      <c r="K797" t="str">
        <f>IFERROR(VLOOKUP($A797,'AAPT ExDa'!$B$2:$U$99, 12,FALSE), IFERROR(VLOOKUP($A797,'ABB ExDa'!$A$2:$N$184, 0,FALSE), IFERROR(VLOOKUP($A797,'Vocus SIT ExDa'!$B$2:$J$173, 0,FALSE), IFERROR(VLOOKUP($A797,'Telstra ExDa'!$B$2:$K$310, 0,FALSE), IFERROR(VLOOKUP($A797,'Vocus RVC ExDa'!$C$2:$R$155, 0,FALSE), IFERROR(VLOOKUP($A797,'Fusion ExDa'!$B$2:$D$16, 0,FALSE), IFERROR(VLOOKUP($A797,'Exetel ExDa'!$C$2:$N$14, 12,FALSE), IFERROR(VLOOKUP($A797,'Infinet ExDa'!$B$2:$E$14, 0,FALSE), "Not Found"))))))))</f>
        <v>Not Found</v>
      </c>
      <c r="L797" s="235" t="str">
        <f>IFERROR(VLOOKUP($A797,'AAPT ExDa'!$B$2:$U$99, 11,FALSE), IFERROR(VLOOKUP($A797,'ABB ExDa'!$A$2:$N$184, 9,FALSE), IFERROR(VLOOKUP($A797,'Vocus SIT ExDa'!$B$2:$J$173, 8,FALSE), IFERROR(VLOOKUP($A797,'Telstra ExDa'!$B$2:$K$310, 0,FALSE), IFERROR(VLOOKUP($A797,'Vocus RVC ExDa'!$C$2:$R$155, 0,FALSE), IFERROR(VLOOKUP($A797,'Fusion ExDa'!$B$2:$D$16, 0,FALSE), IFERROR(VLOOKUP($A797,'Exetel ExDa'!$C$2:$N$14, 9,FALSE), IFERROR(VLOOKUP($A797,'Infinet ExDa'!$B$2:$E$14, 0,FALSE), "Not Found"))))))))</f>
        <v>Not Found</v>
      </c>
      <c r="M797" s="234" t="str">
        <f>IFERROR(VLOOKUP($A797,'AAPT ExDa'!$B$2:$U$99, 0,FALSE), IFERROR(VLOOKUP($A797,'ABB ExDa'!$A$2:$N$184, 0,FALSE), IFERROR(VLOOKUP($A797,'Vocus SIT ExDa'!$B$2:$J$173, 0,FALSE), IFERROR(VLOOKUP($A797,'Telstra ExDa'!$B$2:$K$310, 0,FALSE), IFERROR(VLOOKUP($A797,'Vocus RVC ExDa'!$C$2:$R$155, 0,FALSE), IFERROR(VLOOKUP($A797,'Fusion ExDa'!$B$2:$D$16, 0,FALSE), IFERROR(VLOOKUP($A797,'Exetel ExDa'!$C$2:$N$14, 11,FALSE), IFERROR(VLOOKUP($A797,'Infinet ExDa'!$B$2:$E$14, 0,FALSE), "Not Found"))))))))</f>
        <v>Not Found</v>
      </c>
      <c r="N797" t="str">
        <f>IFERROR(VLOOKUP($A797,'AAPT ExDa'!$B$2:$U$99, 0,FALSE), IFERROR(VLOOKUP($A797,'ABB ExDa'!$A$2:$N$184, 13,FALSE), IFERROR(VLOOKUP($A797,'Vocus SIT ExDa'!$B$2:$J$173, 0,FALSE), IFERROR(VLOOKUP($A797,'Telstra ExDa'!$B$2:$K$310, 0,FALSE), IFERROR(VLOOKUP($A797,'Vocus RVC ExDa'!$C$2:$R$155, 0,FALSE), IFERROR(VLOOKUP($A797,'Fusion ExDa'!$B$2:$D$16, 0,FALSE), IFERROR(VLOOKUP($A797,'Exetel ExDa'!$C$2:$N$14, 0,FALSE), IFERROR(VLOOKUP($A797,'Infinet ExDa'!$B$2:$E$14, 0,FALSE), "Not Found"))))))))</f>
        <v>Not Found</v>
      </c>
    </row>
    <row r="798" spans="1:14">
      <c r="A798" t="str">
        <v>Gladstone GP Super Clinic</v>
      </c>
      <c r="B798" t="str">
        <f>IFERROR(VLOOKUP(A798,'Exetel ExDa'!$C$2:$N$14,4,FALSE),"No Data")</f>
        <v>No Data</v>
      </c>
      <c r="C798" t="str">
        <f>IFERROR(VLOOKUP(A798,'AAPT ExDa'!$B$2:$U$99, 2,FALSE), IFERROR(VLOOKUP(A798,'ABB ExDa'!$A$2:$N$184, 2,FALSE), IFERROR(VLOOKUP(A798,'Vocus SIT ExDa'!$B$2:$J$173, 7,FALSE), IFERROR(VLOOKUP(A798,'Telstra ExDa'!$B$2:$K$310, 2,FALSE), IFERROR(VLOOKUP(A798,'Vocus RVC ExDa'!$C$2:$R$155, 3,FALSE), IFERROR(VLOOKUP(A798,'Fusion ExDa'!$B$2:$D$16, 2,FALSE), IFERROR(VLOOKUP(A798,'Exetel ExDa'!$C$2:$N$14, 2,FALSE), IFERROR(VLOOKUP(A798,'Infinet ExDa'!$B$2:$E$14, 2,FALSE), "Not Found"))))))))</f>
        <v xml:space="preserve">Lot 1 206 Philip St </v>
      </c>
      <c r="D798">
        <f>IFERROR(VLOOKUP($A798,'AAPT ExDa'!$B$2:$U$99, 15,FALSE), IFERROR(VLOOKUP($A798,'ABB ExDa'!$A$2:$N$184, 4,FALSE), IFERROR(VLOOKUP($A798,'Vocus SIT ExDa'!$B$2:$J$173, 5,FALSE), IFERROR(VLOOKUP($A798,'Telstra ExDa'!$B$2:$K$310, 8,FALSE), IFERROR(VLOOKUP($A798,'Vocus RVC ExDa'!$C$2:$R$155, 6,FALSE), IFERROR(VLOOKUP($A798,'Fusion ExDa'!$B$2:$D$16, 4,FALSE), IFERROR(VLOOKUP($A798,'Exetel ExDa'!$C$2:$N$14, 3,FALSE), IFERROR(VLOOKUP($A798,'Infinet ExDa'!$B$2:$E$14, 3,FALSE), "Not Found"))))))))</f>
        <v>4680</v>
      </c>
      <c r="E798" t="str">
        <f>IFERROR(VLOOKUP($A798,'AAPT ExDa'!$B$2:$U$99, 3,FALSE), IFERROR(VLOOKUP($A798,'ABB ExDa'!$A$2:$N$184, 5,FALSE), IFERROR(VLOOKUP($A798,'Vocus SIT ExDa'!$B$2:$J$173, 2,FALSE), IFERROR(VLOOKUP($A798,'Telstra ExDa'!$B$2:$K$310, 4,FALSE), IFERROR(VLOOKUP($A798,'Vocus RVC ExDa'!$C$2:$R$155, 8,FALSE), IFERROR(VLOOKUP($A798,'Fusion ExDa'!$B$2:$D$16, 4,FALSE), IFERROR(VLOOKUP($A798,'Exetel ExDa'!$C$2:$N$14, 5,FALSE), IFERROR(VLOOKUP($A798,'Infinet ExDa'!$B$2:$E$14, 3,FALSE), "Not Found"))))))))</f>
        <v>100Mbps/40Mbps</v>
      </c>
      <c r="F798" t="str">
        <f>IFERROR(VLOOKUP($A798,'AAPT ExDa'!$B$2:$U$99, 4,FALSE), IFERROR(VLOOKUP($A798,'ABB ExDa'!$A$2:$N$184, 6,FALSE), IFERROR(VLOOKUP($A798,'Vocus SIT ExDa'!$B$2:$J$173, 3,FALSE), IFERROR(VLOOKUP($A798,'Telstra ExDa'!$B$2:$K$310, 5,FALSE), IFERROR(VLOOKUP($A798,'Vocus RVC ExDa'!$C$2:$R$155, 9,FALSE), IFERROR(VLOOKUP($A798,'Fusion ExDa'!$B$2:$D$16, 0,FALSE), IFERROR(VLOOKUP($A798,'Exetel ExDa'!$C$2:$N$14, 6,FALSE), IFERROR(VLOOKUP($A798,'Infinet ExDa'!$B$2:$E$14, 0,FALSE), "Not Found"))))))))</f>
        <v>NBN Reseller G4 FTTN</v>
      </c>
      <c r="G798" t="str">
        <f>IFERROR(VLOOKUP($A798,'AAPT ExDa'!$B$2:$U$99, 5,FALSE), IFERROR(VLOOKUP($A798,'ABB ExDa'!$A$2:$N$184, 8,FALSE), IFERROR(VLOOKUP($A798,'Vocus SIT ExDa'!$B$2:$J$173, 6,FALSE), IFERROR(VLOOKUP($A798,'Telstra ExDa'!$B$2:$K$310, 0,FALSE), IFERROR(VLOOKUP($A798,'Vocus RVC ExDa'!$C$2:$R$155, 15,FALSE), IFERROR(VLOOKUP($A798,'Fusion ExDa'!$B$2:$D$16, 0,FALSE), IFERROR(VLOOKUP($A798,'Exetel ExDa'!$C$2:$N$14, 7,FALSE), IFERROR(VLOOKUP($A798,'Infinet ExDa'!$B$2:$E$14, 0,FALSE), "Not Found"))))))))</f>
        <v>122.151.98.146</v>
      </c>
      <c r="H798" t="str">
        <f>IFERROR(VLOOKUP($A798,'AAPT ExDa'!$B$2:$U$99, 6,FALSE), IFERROR(VLOOKUP($A798,'ABB ExDa'!$A$2:$N$184, 0,FALSE), IFERROR(VLOOKUP($A798,'Vocus SIT ExDa'!$B$2:$J$173, 0,FALSE), IFERROR(VLOOKUP($A798,'Telstra ExDa'!$B$2:$K$310, 0,FALSE), IFERROR(VLOOKUP($A798,'Vocus RVC ExDa'!$C$2:$R$155, 16,FALSE), IFERROR(VLOOKUP($A798,'Fusion ExDa'!$B$2:$D$16, 0,FALSE), IFERROR(VLOOKUP($A798,'Exetel ExDa'!$C$2:$N$14, 0,FALSE), IFERROR(VLOOKUP($A798,'Infinet ExDa'!$B$2:$E$14, 0,FALSE), "Not Found"))))))))</f>
        <v>PPPoE</v>
      </c>
      <c r="I798" t="str">
        <f>IFERROR(VLOOKUP($A798,'AAPT ExDa'!$B$2:$U$99, 0,FALSE), IFERROR(VLOOKUP($A798,'ABB ExDa'!$A$2:$N$184, 0,FALSE), IFERROR(VLOOKUP($A798,'Vocus SIT ExDa'!$B$2:$J$173, 0,FALSE), IFERROR(VLOOKUP($A798,'Telstra ExDa'!$B$2:$K$310, 0,FALSE), IFERROR(VLOOKUP($A798,'Vocus RVC ExDa'!$C$2:$R$155, 0,FALSE), IFERROR(VLOOKUP($A798,'Fusion ExDa'!$B$2:$D$16, 0,FALSE), IFERROR(VLOOKUP($A798,'Exetel ExDa'!$C$2:$N$14, 8,FALSE), IFERROR(VLOOKUP($A798,'Infinet ExDa'!$B$2:$E$14, 0,FALSE), "Not Found"))))))))</f>
        <v>Not Found</v>
      </c>
      <c r="J798" t="str">
        <f>IFERROR(VLOOKUP($A798,'AAPT ExDa'!$B$2:$U$99, 7,FALSE), IFERROR(VLOOKUP($A798,'ABB ExDa'!$A$2:$N$184, 2,FALSE), IFERROR(VLOOKUP($A798,'Vocus SIT ExDa'!$B$2:$J$173, 0,FALSE), IFERROR(VLOOKUP($A798,'Telstra ExDa'!$B$2:$K$310, 7,FALSE), IFERROR(VLOOKUP($A798,'Vocus RVC ExDa'!$C$2:$R$155, 2,FALSE), IFERROR(VLOOKUP($A798,'Fusion ExDa'!$B$2:$D$16, 3,FALSE), IFERROR(VLOOKUP($A798,'Exetel ExDa'!$C$2:$N$14, 0,FALSE), IFERROR(VLOOKUP($A798,'Infinet ExDa'!$B$2:$E$14, 0,FALSE), "Not Found"))))))))</f>
        <v>AVC000175051541</v>
      </c>
      <c r="K798" t="str">
        <f>IFERROR(VLOOKUP($A798,'AAPT ExDa'!$B$2:$U$99, 12,FALSE), IFERROR(VLOOKUP($A798,'ABB ExDa'!$A$2:$N$184, 0,FALSE), IFERROR(VLOOKUP($A798,'Vocus SIT ExDa'!$B$2:$J$173, 0,FALSE), IFERROR(VLOOKUP($A798,'Telstra ExDa'!$B$2:$K$310, 0,FALSE), IFERROR(VLOOKUP($A798,'Vocus RVC ExDa'!$C$2:$R$155, 0,FALSE), IFERROR(VLOOKUP($A798,'Fusion ExDa'!$B$2:$D$16, 0,FALSE), IFERROR(VLOOKUP($A798,'Exetel ExDa'!$C$2:$N$14, 12,FALSE), IFERROR(VLOOKUP($A798,'Infinet ExDa'!$B$2:$E$14, 0,FALSE), "Not Found"))))))))</f>
        <v>Not Found</v>
      </c>
      <c r="L798" s="235" t="str">
        <f>IFERROR(VLOOKUP($A798,'AAPT ExDa'!$B$2:$U$99, 11,FALSE), IFERROR(VLOOKUP($A798,'ABB ExDa'!$A$2:$N$184, 9,FALSE), IFERROR(VLOOKUP($A798,'Vocus SIT ExDa'!$B$2:$J$173, 8,FALSE), IFERROR(VLOOKUP($A798,'Telstra ExDa'!$B$2:$K$310, 0,FALSE), IFERROR(VLOOKUP($A798,'Vocus RVC ExDa'!$C$2:$R$155, 0,FALSE), IFERROR(VLOOKUP($A798,'Fusion ExDa'!$B$2:$D$16, 0,FALSE), IFERROR(VLOOKUP($A798,'Exetel ExDa'!$C$2:$N$14, 9,FALSE), IFERROR(VLOOKUP($A798,'Infinet ExDa'!$B$2:$E$14, 0,FALSE), "Not Found"))))))))</f>
        <v>Not Found</v>
      </c>
      <c r="M798" s="234" t="str">
        <f>IFERROR(VLOOKUP($A798,'AAPT ExDa'!$B$2:$U$99, 0,FALSE), IFERROR(VLOOKUP($A798,'ABB ExDa'!$A$2:$N$184, 0,FALSE), IFERROR(VLOOKUP($A798,'Vocus SIT ExDa'!$B$2:$J$173, 0,FALSE), IFERROR(VLOOKUP($A798,'Telstra ExDa'!$B$2:$K$310, 0,FALSE), IFERROR(VLOOKUP($A798,'Vocus RVC ExDa'!$C$2:$R$155, 0,FALSE), IFERROR(VLOOKUP($A798,'Fusion ExDa'!$B$2:$D$16, 0,FALSE), IFERROR(VLOOKUP($A798,'Exetel ExDa'!$C$2:$N$14, 11,FALSE), IFERROR(VLOOKUP($A798,'Infinet ExDa'!$B$2:$E$14, 0,FALSE), "Not Found"))))))))</f>
        <v>Not Found</v>
      </c>
      <c r="N798" t="str">
        <f>IFERROR(VLOOKUP($A798,'AAPT ExDa'!$B$2:$U$99, 0,FALSE), IFERROR(VLOOKUP($A798,'ABB ExDa'!$A$2:$N$184, 13,FALSE), IFERROR(VLOOKUP($A798,'Vocus SIT ExDa'!$B$2:$J$173, 0,FALSE), IFERROR(VLOOKUP($A798,'Telstra ExDa'!$B$2:$K$310, 0,FALSE), IFERROR(VLOOKUP($A798,'Vocus RVC ExDa'!$C$2:$R$155, 0,FALSE), IFERROR(VLOOKUP($A798,'Fusion ExDa'!$B$2:$D$16, 0,FALSE), IFERROR(VLOOKUP($A798,'Exetel ExDa'!$C$2:$N$14, 0,FALSE), IFERROR(VLOOKUP($A798,'Infinet ExDa'!$B$2:$E$14, 0,FALSE), "Not Found"))))))))</f>
        <v>Not Found</v>
      </c>
    </row>
    <row r="799" spans="1:14">
      <c r="A799" t="str">
        <v>OceanMed Enterprises Pty Ltd</v>
      </c>
      <c r="B799" t="str">
        <f>IFERROR(VLOOKUP(A799,'Exetel ExDa'!$C$2:$N$14,4,FALSE),"No Data")</f>
        <v>No Data</v>
      </c>
      <c r="C799" t="str">
        <f>IFERROR(VLOOKUP(A799,'AAPT ExDa'!$B$2:$U$99, 2,FALSE), IFERROR(VLOOKUP(A799,'ABB ExDa'!$A$2:$N$184, 2,FALSE), IFERROR(VLOOKUP(A799,'Vocus SIT ExDa'!$B$2:$J$173, 7,FALSE), IFERROR(VLOOKUP(A799,'Telstra ExDa'!$B$2:$K$310, 2,FALSE), IFERROR(VLOOKUP(A799,'Vocus RVC ExDa'!$C$2:$R$155, 3,FALSE), IFERROR(VLOOKUP(A799,'Fusion ExDa'!$B$2:$D$16, 2,FALSE), IFERROR(VLOOKUP(A799,'Exetel ExDa'!$C$2:$N$14, 2,FALSE), IFERROR(VLOOKUP(A799,'Infinet ExDa'!$B$2:$E$14, 2,FALSE), "Not Found"))))))))</f>
        <v xml:space="preserve">Lot 27 74 Helensvale Rd </v>
      </c>
      <c r="D799">
        <f>IFERROR(VLOOKUP($A799,'AAPT ExDa'!$B$2:$U$99, 15,FALSE), IFERROR(VLOOKUP($A799,'ABB ExDa'!$A$2:$N$184, 4,FALSE), IFERROR(VLOOKUP($A799,'Vocus SIT ExDa'!$B$2:$J$173, 5,FALSE), IFERROR(VLOOKUP($A799,'Telstra ExDa'!$B$2:$K$310, 8,FALSE), IFERROR(VLOOKUP($A799,'Vocus RVC ExDa'!$C$2:$R$155, 6,FALSE), IFERROR(VLOOKUP($A799,'Fusion ExDa'!$B$2:$D$16, 4,FALSE), IFERROR(VLOOKUP($A799,'Exetel ExDa'!$C$2:$N$14, 3,FALSE), IFERROR(VLOOKUP($A799,'Infinet ExDa'!$B$2:$E$14, 3,FALSE), "Not Found"))))))))</f>
        <v>4212</v>
      </c>
      <c r="E799" t="str">
        <f>IFERROR(VLOOKUP($A799,'AAPT ExDa'!$B$2:$U$99, 3,FALSE), IFERROR(VLOOKUP($A799,'ABB ExDa'!$A$2:$N$184, 5,FALSE), IFERROR(VLOOKUP($A799,'Vocus SIT ExDa'!$B$2:$J$173, 2,FALSE), IFERROR(VLOOKUP($A799,'Telstra ExDa'!$B$2:$K$310, 4,FALSE), IFERROR(VLOOKUP($A799,'Vocus RVC ExDa'!$C$2:$R$155, 8,FALSE), IFERROR(VLOOKUP($A799,'Fusion ExDa'!$B$2:$D$16, 4,FALSE), IFERROR(VLOOKUP($A799,'Exetel ExDa'!$C$2:$N$14, 5,FALSE), IFERROR(VLOOKUP($A799,'Infinet ExDa'!$B$2:$E$14, 3,FALSE), "Not Found"))))))))</f>
        <v>250Mbps/100Mbps</v>
      </c>
      <c r="F799" t="str">
        <f>IFERROR(VLOOKUP($A799,'AAPT ExDa'!$B$2:$U$99, 4,FALSE), IFERROR(VLOOKUP($A799,'ABB ExDa'!$A$2:$N$184, 6,FALSE), IFERROR(VLOOKUP($A799,'Vocus SIT ExDa'!$B$2:$J$173, 3,FALSE), IFERROR(VLOOKUP($A799,'Telstra ExDa'!$B$2:$K$310, 5,FALSE), IFERROR(VLOOKUP($A799,'Vocus RVC ExDa'!$C$2:$R$155, 9,FALSE), IFERROR(VLOOKUP($A799,'Fusion ExDa'!$B$2:$D$16, 0,FALSE), IFERROR(VLOOKUP($A799,'Exetel ExDa'!$C$2:$N$14, 6,FALSE), IFERROR(VLOOKUP($A799,'Infinet ExDa'!$B$2:$E$14, 0,FALSE), "Not Found"))))))))</f>
        <v xml:space="preserve">NBN Reseller  G4 </v>
      </c>
      <c r="G799" t="str">
        <f>IFERROR(VLOOKUP($A799,'AAPT ExDa'!$B$2:$U$99, 5,FALSE), IFERROR(VLOOKUP($A799,'ABB ExDa'!$A$2:$N$184, 8,FALSE), IFERROR(VLOOKUP($A799,'Vocus SIT ExDa'!$B$2:$J$173, 6,FALSE), IFERROR(VLOOKUP($A799,'Telstra ExDa'!$B$2:$K$310, 0,FALSE), IFERROR(VLOOKUP($A799,'Vocus RVC ExDa'!$C$2:$R$155, 15,FALSE), IFERROR(VLOOKUP($A799,'Fusion ExDa'!$B$2:$D$16, 0,FALSE), IFERROR(VLOOKUP($A799,'Exetel ExDa'!$C$2:$N$14, 7,FALSE), IFERROR(VLOOKUP($A799,'Infinet ExDa'!$B$2:$E$14, 0,FALSE), "Not Found"))))))))</f>
        <v>202.62.138.111</v>
      </c>
      <c r="H799" t="str">
        <f>IFERROR(VLOOKUP($A799,'AAPT ExDa'!$B$2:$U$99, 6,FALSE), IFERROR(VLOOKUP($A799,'ABB ExDa'!$A$2:$N$184, 0,FALSE), IFERROR(VLOOKUP($A799,'Vocus SIT ExDa'!$B$2:$J$173, 0,FALSE), IFERROR(VLOOKUP($A799,'Telstra ExDa'!$B$2:$K$310, 0,FALSE), IFERROR(VLOOKUP($A799,'Vocus RVC ExDa'!$C$2:$R$155, 16,FALSE), IFERROR(VLOOKUP($A799,'Fusion ExDa'!$B$2:$D$16, 0,FALSE), IFERROR(VLOOKUP($A799,'Exetel ExDa'!$C$2:$N$14, 0,FALSE), IFERROR(VLOOKUP($A799,'Infinet ExDa'!$B$2:$E$14, 0,FALSE), "Not Found"))))))))</f>
        <v>PPPoE</v>
      </c>
      <c r="I799" t="str">
        <f>IFERROR(VLOOKUP($A799,'AAPT ExDa'!$B$2:$U$99, 0,FALSE), IFERROR(VLOOKUP($A799,'ABB ExDa'!$A$2:$N$184, 0,FALSE), IFERROR(VLOOKUP($A799,'Vocus SIT ExDa'!$B$2:$J$173, 0,FALSE), IFERROR(VLOOKUP($A799,'Telstra ExDa'!$B$2:$K$310, 0,FALSE), IFERROR(VLOOKUP($A799,'Vocus RVC ExDa'!$C$2:$R$155, 0,FALSE), IFERROR(VLOOKUP($A799,'Fusion ExDa'!$B$2:$D$16, 0,FALSE), IFERROR(VLOOKUP($A799,'Exetel ExDa'!$C$2:$N$14, 8,FALSE), IFERROR(VLOOKUP($A799,'Infinet ExDa'!$B$2:$E$14, 0,FALSE), "Not Found"))))))))</f>
        <v>Not Found</v>
      </c>
      <c r="J799" t="str">
        <f>IFERROR(VLOOKUP($A799,'AAPT ExDa'!$B$2:$U$99, 7,FALSE), IFERROR(VLOOKUP($A799,'ABB ExDa'!$A$2:$N$184, 2,FALSE), IFERROR(VLOOKUP($A799,'Vocus SIT ExDa'!$B$2:$J$173, 0,FALSE), IFERROR(VLOOKUP($A799,'Telstra ExDa'!$B$2:$K$310, 7,FALSE), IFERROR(VLOOKUP($A799,'Vocus RVC ExDa'!$C$2:$R$155, 2,FALSE), IFERROR(VLOOKUP($A799,'Fusion ExDa'!$B$2:$D$16, 3,FALSE), IFERROR(VLOOKUP($A799,'Exetel ExDa'!$C$2:$N$14, 0,FALSE), IFERROR(VLOOKUP($A799,'Infinet ExDa'!$B$2:$E$14, 0,FALSE), "Not Found"))))))))</f>
        <v>AVC000175248441</v>
      </c>
      <c r="K799" t="str">
        <f>IFERROR(VLOOKUP($A799,'AAPT ExDa'!$B$2:$U$99, 12,FALSE), IFERROR(VLOOKUP($A799,'ABB ExDa'!$A$2:$N$184, 0,FALSE), IFERROR(VLOOKUP($A799,'Vocus SIT ExDa'!$B$2:$J$173, 0,FALSE), IFERROR(VLOOKUP($A799,'Telstra ExDa'!$B$2:$K$310, 0,FALSE), IFERROR(VLOOKUP($A799,'Vocus RVC ExDa'!$C$2:$R$155, 0,FALSE), IFERROR(VLOOKUP($A799,'Fusion ExDa'!$B$2:$D$16, 0,FALSE), IFERROR(VLOOKUP($A799,'Exetel ExDa'!$C$2:$N$14, 12,FALSE), IFERROR(VLOOKUP($A799,'Infinet ExDa'!$B$2:$E$14, 0,FALSE), "Not Found"))))))))</f>
        <v>Not Found</v>
      </c>
      <c r="L799" s="235" t="str">
        <f>IFERROR(VLOOKUP($A799,'AAPT ExDa'!$B$2:$U$99, 11,FALSE), IFERROR(VLOOKUP($A799,'ABB ExDa'!$A$2:$N$184, 9,FALSE), IFERROR(VLOOKUP($A799,'Vocus SIT ExDa'!$B$2:$J$173, 8,FALSE), IFERROR(VLOOKUP($A799,'Telstra ExDa'!$B$2:$K$310, 0,FALSE), IFERROR(VLOOKUP($A799,'Vocus RVC ExDa'!$C$2:$R$155, 0,FALSE), IFERROR(VLOOKUP($A799,'Fusion ExDa'!$B$2:$D$16, 0,FALSE), IFERROR(VLOOKUP($A799,'Exetel ExDa'!$C$2:$N$14, 9,FALSE), IFERROR(VLOOKUP($A799,'Infinet ExDa'!$B$2:$E$14, 0,FALSE), "Not Found"))))))))</f>
        <v>Not Found</v>
      </c>
      <c r="M799" s="234" t="str">
        <f>IFERROR(VLOOKUP($A799,'AAPT ExDa'!$B$2:$U$99, 0,FALSE), IFERROR(VLOOKUP($A799,'ABB ExDa'!$A$2:$N$184, 0,FALSE), IFERROR(VLOOKUP($A799,'Vocus SIT ExDa'!$B$2:$J$173, 0,FALSE), IFERROR(VLOOKUP($A799,'Telstra ExDa'!$B$2:$K$310, 0,FALSE), IFERROR(VLOOKUP($A799,'Vocus RVC ExDa'!$C$2:$R$155, 0,FALSE), IFERROR(VLOOKUP($A799,'Fusion ExDa'!$B$2:$D$16, 0,FALSE), IFERROR(VLOOKUP($A799,'Exetel ExDa'!$C$2:$N$14, 11,FALSE), IFERROR(VLOOKUP($A799,'Infinet ExDa'!$B$2:$E$14, 0,FALSE), "Not Found"))))))))</f>
        <v>Not Found</v>
      </c>
      <c r="N799" t="str">
        <f>IFERROR(VLOOKUP($A799,'AAPT ExDa'!$B$2:$U$99, 0,FALSE), IFERROR(VLOOKUP($A799,'ABB ExDa'!$A$2:$N$184, 13,FALSE), IFERROR(VLOOKUP($A799,'Vocus SIT ExDa'!$B$2:$J$173, 0,FALSE), IFERROR(VLOOKUP($A799,'Telstra ExDa'!$B$2:$K$310, 0,FALSE), IFERROR(VLOOKUP($A799,'Vocus RVC ExDa'!$C$2:$R$155, 0,FALSE), IFERROR(VLOOKUP($A799,'Fusion ExDa'!$B$2:$D$16, 0,FALSE), IFERROR(VLOOKUP($A799,'Exetel ExDa'!$C$2:$N$14, 0,FALSE), IFERROR(VLOOKUP($A799,'Infinet ExDa'!$B$2:$E$14, 0,FALSE), "Not Found"))))))))</f>
        <v>Not Found</v>
      </c>
    </row>
    <row r="800" spans="1:14">
      <c r="A800" t="str">
        <v>Albany Family Doctors</v>
      </c>
      <c r="B800" t="str">
        <f>IFERROR(VLOOKUP(A800,'Exetel ExDa'!$C$2:$N$14,4,FALSE),"No Data")</f>
        <v>No Data</v>
      </c>
      <c r="C800" t="str">
        <f>IFERROR(VLOOKUP(A800,'AAPT ExDa'!$B$2:$U$99, 2,FALSE), IFERROR(VLOOKUP(A800,'ABB ExDa'!$A$2:$N$184, 2,FALSE), IFERROR(VLOOKUP(A800,'Vocus SIT ExDa'!$B$2:$J$173, 7,FALSE), IFERROR(VLOOKUP(A800,'Telstra ExDa'!$B$2:$K$310, 2,FALSE), IFERROR(VLOOKUP(A800,'Vocus RVC ExDa'!$C$2:$R$155, 3,FALSE), IFERROR(VLOOKUP(A800,'Fusion ExDa'!$B$2:$D$16, 2,FALSE), IFERROR(VLOOKUP(A800,'Exetel ExDa'!$C$2:$N$14, 2,FALSE), IFERROR(VLOOKUP(A800,'Infinet ExDa'!$B$2:$E$14, 2,FALSE), "Not Found"))))))))</f>
        <v xml:space="preserve">Shop 3 715 Albany Creek Rd </v>
      </c>
      <c r="D800">
        <f>IFERROR(VLOOKUP($A800,'AAPT ExDa'!$B$2:$U$99, 15,FALSE), IFERROR(VLOOKUP($A800,'ABB ExDa'!$A$2:$N$184, 4,FALSE), IFERROR(VLOOKUP($A800,'Vocus SIT ExDa'!$B$2:$J$173, 5,FALSE), IFERROR(VLOOKUP($A800,'Telstra ExDa'!$B$2:$K$310, 8,FALSE), IFERROR(VLOOKUP($A800,'Vocus RVC ExDa'!$C$2:$R$155, 6,FALSE), IFERROR(VLOOKUP($A800,'Fusion ExDa'!$B$2:$D$16, 4,FALSE), IFERROR(VLOOKUP($A800,'Exetel ExDa'!$C$2:$N$14, 3,FALSE), IFERROR(VLOOKUP($A800,'Infinet ExDa'!$B$2:$E$14, 3,FALSE), "Not Found"))))))))</f>
        <v>4035</v>
      </c>
      <c r="E800" t="str">
        <f>IFERROR(VLOOKUP($A800,'AAPT ExDa'!$B$2:$U$99, 3,FALSE), IFERROR(VLOOKUP($A800,'ABB ExDa'!$A$2:$N$184, 5,FALSE), IFERROR(VLOOKUP($A800,'Vocus SIT ExDa'!$B$2:$J$173, 2,FALSE), IFERROR(VLOOKUP($A800,'Telstra ExDa'!$B$2:$K$310, 4,FALSE), IFERROR(VLOOKUP($A800,'Vocus RVC ExDa'!$C$2:$R$155, 8,FALSE), IFERROR(VLOOKUP($A800,'Fusion ExDa'!$B$2:$D$16, 4,FALSE), IFERROR(VLOOKUP($A800,'Exetel ExDa'!$C$2:$N$14, 5,FALSE), IFERROR(VLOOKUP($A800,'Infinet ExDa'!$B$2:$E$14, 3,FALSE), "Not Found"))))))))</f>
        <v>100Mbps/40Mbps</v>
      </c>
      <c r="F800" t="str">
        <f>IFERROR(VLOOKUP($A800,'AAPT ExDa'!$B$2:$U$99, 4,FALSE), IFERROR(VLOOKUP($A800,'ABB ExDa'!$A$2:$N$184, 6,FALSE), IFERROR(VLOOKUP($A800,'Vocus SIT ExDa'!$B$2:$J$173, 3,FALSE), IFERROR(VLOOKUP($A800,'Telstra ExDa'!$B$2:$K$310, 5,FALSE), IFERROR(VLOOKUP($A800,'Vocus RVC ExDa'!$C$2:$R$155, 9,FALSE), IFERROR(VLOOKUP($A800,'Fusion ExDa'!$B$2:$D$16, 0,FALSE), IFERROR(VLOOKUP($A800,'Exetel ExDa'!$C$2:$N$14, 6,FALSE), IFERROR(VLOOKUP($A800,'Infinet ExDa'!$B$2:$E$14, 0,FALSE), "Not Found"))))))))</f>
        <v>NBN Reseller G4 HFC</v>
      </c>
      <c r="G800" t="str">
        <f>IFERROR(VLOOKUP($A800,'AAPT ExDa'!$B$2:$U$99, 5,FALSE), IFERROR(VLOOKUP($A800,'ABB ExDa'!$A$2:$N$184, 8,FALSE), IFERROR(VLOOKUP($A800,'Vocus SIT ExDa'!$B$2:$J$173, 6,FALSE), IFERROR(VLOOKUP($A800,'Telstra ExDa'!$B$2:$K$310, 0,FALSE), IFERROR(VLOOKUP($A800,'Vocus RVC ExDa'!$C$2:$R$155, 15,FALSE), IFERROR(VLOOKUP($A800,'Fusion ExDa'!$B$2:$D$16, 0,FALSE), IFERROR(VLOOKUP($A800,'Exetel ExDa'!$C$2:$N$14, 7,FALSE), IFERROR(VLOOKUP($A800,'Infinet ExDa'!$B$2:$E$14, 0,FALSE), "Not Found"))))))))</f>
        <v>202.62.138.107</v>
      </c>
      <c r="H800" t="str">
        <f>IFERROR(VLOOKUP($A800,'AAPT ExDa'!$B$2:$U$99, 6,FALSE), IFERROR(VLOOKUP($A800,'ABB ExDa'!$A$2:$N$184, 0,FALSE), IFERROR(VLOOKUP($A800,'Vocus SIT ExDa'!$B$2:$J$173, 0,FALSE), IFERROR(VLOOKUP($A800,'Telstra ExDa'!$B$2:$K$310, 0,FALSE), IFERROR(VLOOKUP($A800,'Vocus RVC ExDa'!$C$2:$R$155, 16,FALSE), IFERROR(VLOOKUP($A800,'Fusion ExDa'!$B$2:$D$16, 0,FALSE), IFERROR(VLOOKUP($A800,'Exetel ExDa'!$C$2:$N$14, 0,FALSE), IFERROR(VLOOKUP($A800,'Infinet ExDa'!$B$2:$E$14, 0,FALSE), "Not Found"))))))))</f>
        <v>PPPoE</v>
      </c>
      <c r="I800" t="str">
        <f>IFERROR(VLOOKUP($A800,'AAPT ExDa'!$B$2:$U$99, 0,FALSE), IFERROR(VLOOKUP($A800,'ABB ExDa'!$A$2:$N$184, 0,FALSE), IFERROR(VLOOKUP($A800,'Vocus SIT ExDa'!$B$2:$J$173, 0,FALSE), IFERROR(VLOOKUP($A800,'Telstra ExDa'!$B$2:$K$310, 0,FALSE), IFERROR(VLOOKUP($A800,'Vocus RVC ExDa'!$C$2:$R$155, 0,FALSE), IFERROR(VLOOKUP($A800,'Fusion ExDa'!$B$2:$D$16, 0,FALSE), IFERROR(VLOOKUP($A800,'Exetel ExDa'!$C$2:$N$14, 8,FALSE), IFERROR(VLOOKUP($A800,'Infinet ExDa'!$B$2:$E$14, 0,FALSE), "Not Found"))))))))</f>
        <v>Not Found</v>
      </c>
      <c r="J800" t="str">
        <f>IFERROR(VLOOKUP($A800,'AAPT ExDa'!$B$2:$U$99, 7,FALSE), IFERROR(VLOOKUP($A800,'ABB ExDa'!$A$2:$N$184, 2,FALSE), IFERROR(VLOOKUP($A800,'Vocus SIT ExDa'!$B$2:$J$173, 0,FALSE), IFERROR(VLOOKUP($A800,'Telstra ExDa'!$B$2:$K$310, 7,FALSE), IFERROR(VLOOKUP($A800,'Vocus RVC ExDa'!$C$2:$R$155, 2,FALSE), IFERROR(VLOOKUP($A800,'Fusion ExDa'!$B$2:$D$16, 3,FALSE), IFERROR(VLOOKUP($A800,'Exetel ExDa'!$C$2:$N$14, 0,FALSE), IFERROR(VLOOKUP($A800,'Infinet ExDa'!$B$2:$E$14, 0,FALSE), "Not Found"))))))))</f>
        <v xml:space="preserve">	AVC400045677083</v>
      </c>
      <c r="K800" t="str">
        <f>IFERROR(VLOOKUP($A800,'AAPT ExDa'!$B$2:$U$99, 12,FALSE), IFERROR(VLOOKUP($A800,'ABB ExDa'!$A$2:$N$184, 0,FALSE), IFERROR(VLOOKUP($A800,'Vocus SIT ExDa'!$B$2:$J$173, 0,FALSE), IFERROR(VLOOKUP($A800,'Telstra ExDa'!$B$2:$K$310, 0,FALSE), IFERROR(VLOOKUP($A800,'Vocus RVC ExDa'!$C$2:$R$155, 0,FALSE), IFERROR(VLOOKUP($A800,'Fusion ExDa'!$B$2:$D$16, 0,FALSE), IFERROR(VLOOKUP($A800,'Exetel ExDa'!$C$2:$N$14, 12,FALSE), IFERROR(VLOOKUP($A800,'Infinet ExDa'!$B$2:$E$14, 0,FALSE), "Not Found"))))))))</f>
        <v>Not Found</v>
      </c>
      <c r="L800" s="235" t="str">
        <f>IFERROR(VLOOKUP($A800,'AAPT ExDa'!$B$2:$U$99, 11,FALSE), IFERROR(VLOOKUP($A800,'ABB ExDa'!$A$2:$N$184, 9,FALSE), IFERROR(VLOOKUP($A800,'Vocus SIT ExDa'!$B$2:$J$173, 8,FALSE), IFERROR(VLOOKUP($A800,'Telstra ExDa'!$B$2:$K$310, 0,FALSE), IFERROR(VLOOKUP($A800,'Vocus RVC ExDa'!$C$2:$R$155, 0,FALSE), IFERROR(VLOOKUP($A800,'Fusion ExDa'!$B$2:$D$16, 0,FALSE), IFERROR(VLOOKUP($A800,'Exetel ExDa'!$C$2:$N$14, 9,FALSE), IFERROR(VLOOKUP($A800,'Infinet ExDa'!$B$2:$E$14, 0,FALSE), "Not Found"))))))))</f>
        <v>Not Found</v>
      </c>
      <c r="M800" s="234" t="str">
        <f>IFERROR(VLOOKUP($A800,'AAPT ExDa'!$B$2:$U$99, 0,FALSE), IFERROR(VLOOKUP($A800,'ABB ExDa'!$A$2:$N$184, 0,FALSE), IFERROR(VLOOKUP($A800,'Vocus SIT ExDa'!$B$2:$J$173, 0,FALSE), IFERROR(VLOOKUP($A800,'Telstra ExDa'!$B$2:$K$310, 0,FALSE), IFERROR(VLOOKUP($A800,'Vocus RVC ExDa'!$C$2:$R$155, 0,FALSE), IFERROR(VLOOKUP($A800,'Fusion ExDa'!$B$2:$D$16, 0,FALSE), IFERROR(VLOOKUP($A800,'Exetel ExDa'!$C$2:$N$14, 11,FALSE), IFERROR(VLOOKUP($A800,'Infinet ExDa'!$B$2:$E$14, 0,FALSE), "Not Found"))))))))</f>
        <v>Not Found</v>
      </c>
      <c r="N800" t="str">
        <f>IFERROR(VLOOKUP($A800,'AAPT ExDa'!$B$2:$U$99, 0,FALSE), IFERROR(VLOOKUP($A800,'ABB ExDa'!$A$2:$N$184, 13,FALSE), IFERROR(VLOOKUP($A800,'Vocus SIT ExDa'!$B$2:$J$173, 0,FALSE), IFERROR(VLOOKUP($A800,'Telstra ExDa'!$B$2:$K$310, 0,FALSE), IFERROR(VLOOKUP($A800,'Vocus RVC ExDa'!$C$2:$R$155, 0,FALSE), IFERROR(VLOOKUP($A800,'Fusion ExDa'!$B$2:$D$16, 0,FALSE), IFERROR(VLOOKUP($A800,'Exetel ExDa'!$C$2:$N$14, 0,FALSE), IFERROR(VLOOKUP($A800,'Infinet ExDa'!$B$2:$E$14, 0,FALSE), "Not Found"))))))))</f>
        <v>Not Found</v>
      </c>
    </row>
    <row r="801" spans="1:14">
      <c r="A801">
        <v>0</v>
      </c>
      <c r="B801" t="str">
        <f>IFERROR(VLOOKUP(A801,'Exetel ExDa'!$C$2:$N$14,4,FALSE),"No Data")</f>
        <v>No Data</v>
      </c>
      <c r="C801" t="str">
        <f>IFERROR(VLOOKUP(A801,'AAPT ExDa'!$B$2:$U$99, 2,FALSE), IFERROR(VLOOKUP(A801,'ABB ExDa'!$A$2:$N$184, 2,FALSE), IFERROR(VLOOKUP(A801,'Vocus SIT ExDa'!$B$2:$J$173, 7,FALSE), IFERROR(VLOOKUP(A801,'Telstra ExDa'!$B$2:$K$310, 2,FALSE), IFERROR(VLOOKUP(A801,'Vocus RVC ExDa'!$C$2:$R$155, 3,FALSE), IFERROR(VLOOKUP(A801,'Fusion ExDa'!$B$2:$D$16, 2,FALSE), IFERROR(VLOOKUP(A801,'Exetel ExDa'!$C$2:$N$14, 2,FALSE), IFERROR(VLOOKUP(A801,'Infinet ExDa'!$B$2:$E$14, 2,FALSE), "Not Found"))))))))</f>
        <v>Not Found</v>
      </c>
      <c r="D801" t="str">
        <f>IFERROR(VLOOKUP($A801,'AAPT ExDa'!$B$2:$U$99, 15,FALSE), IFERROR(VLOOKUP($A801,'ABB ExDa'!$A$2:$N$184, 4,FALSE), IFERROR(VLOOKUP($A801,'Vocus SIT ExDa'!$B$2:$J$173, 5,FALSE), IFERROR(VLOOKUP($A801,'Telstra ExDa'!$B$2:$K$310, 8,FALSE), IFERROR(VLOOKUP($A801,'Vocus RVC ExDa'!$C$2:$R$155, 6,FALSE), IFERROR(VLOOKUP($A801,'Fusion ExDa'!$B$2:$D$16, 4,FALSE), IFERROR(VLOOKUP($A801,'Exetel ExDa'!$C$2:$N$14, 3,FALSE), IFERROR(VLOOKUP($A801,'Infinet ExDa'!$B$2:$E$14, 3,FALSE), "Not Found"))))))))</f>
        <v>Not Found</v>
      </c>
      <c r="E801" t="str">
        <f>IFERROR(VLOOKUP($A801,'AAPT ExDa'!$B$2:$U$99, 3,FALSE), IFERROR(VLOOKUP($A801,'ABB ExDa'!$A$2:$N$184, 5,FALSE), IFERROR(VLOOKUP($A801,'Vocus SIT ExDa'!$B$2:$J$173, 2,FALSE), IFERROR(VLOOKUP($A801,'Telstra ExDa'!$B$2:$K$310, 4,FALSE), IFERROR(VLOOKUP($A801,'Vocus RVC ExDa'!$C$2:$R$155, 8,FALSE), IFERROR(VLOOKUP($A801,'Fusion ExDa'!$B$2:$D$16, 4,FALSE), IFERROR(VLOOKUP($A801,'Exetel ExDa'!$C$2:$N$14, 5,FALSE), IFERROR(VLOOKUP($A801,'Infinet ExDa'!$B$2:$E$14, 3,FALSE), "Not Found"))))))))</f>
        <v>Not Found</v>
      </c>
      <c r="F801" t="str">
        <f>IFERROR(VLOOKUP($A801,'AAPT ExDa'!$B$2:$U$99, 4,FALSE), IFERROR(VLOOKUP($A801,'ABB ExDa'!$A$2:$N$184, 6,FALSE), IFERROR(VLOOKUP($A801,'Vocus SIT ExDa'!$B$2:$J$173, 3,FALSE), IFERROR(VLOOKUP($A801,'Telstra ExDa'!$B$2:$K$310, 5,FALSE), IFERROR(VLOOKUP($A801,'Vocus RVC ExDa'!$C$2:$R$155, 9,FALSE), IFERROR(VLOOKUP($A801,'Fusion ExDa'!$B$2:$D$16, 0,FALSE), IFERROR(VLOOKUP($A801,'Exetel ExDa'!$C$2:$N$14, 6,FALSE), IFERROR(VLOOKUP($A801,'Infinet ExDa'!$B$2:$E$14, 0,FALSE), "Not Found"))))))))</f>
        <v>Not Found</v>
      </c>
      <c r="G801" t="str">
        <f>IFERROR(VLOOKUP($A801,'AAPT ExDa'!$B$2:$U$99, 5,FALSE), IFERROR(VLOOKUP($A801,'ABB ExDa'!$A$2:$N$184, 8,FALSE), IFERROR(VLOOKUP($A801,'Vocus SIT ExDa'!$B$2:$J$173, 6,FALSE), IFERROR(VLOOKUP($A801,'Telstra ExDa'!$B$2:$K$310, 0,FALSE), IFERROR(VLOOKUP($A801,'Vocus RVC ExDa'!$C$2:$R$155, 15,FALSE), IFERROR(VLOOKUP($A801,'Fusion ExDa'!$B$2:$D$16, 0,FALSE), IFERROR(VLOOKUP($A801,'Exetel ExDa'!$C$2:$N$14, 7,FALSE), IFERROR(VLOOKUP($A801,'Infinet ExDa'!$B$2:$E$14, 0,FALSE), "Not Found"))))))))</f>
        <v>Not Found</v>
      </c>
      <c r="H801" t="str">
        <f>IFERROR(VLOOKUP($A801,'AAPT ExDa'!$B$2:$U$99, 6,FALSE), IFERROR(VLOOKUP($A801,'ABB ExDa'!$A$2:$N$184, 0,FALSE), IFERROR(VLOOKUP($A801,'Vocus SIT ExDa'!$B$2:$J$173, 0,FALSE), IFERROR(VLOOKUP($A801,'Telstra ExDa'!$B$2:$K$310, 0,FALSE), IFERROR(VLOOKUP($A801,'Vocus RVC ExDa'!$C$2:$R$155, 16,FALSE), IFERROR(VLOOKUP($A801,'Fusion ExDa'!$B$2:$D$16, 0,FALSE), IFERROR(VLOOKUP($A801,'Exetel ExDa'!$C$2:$N$14, 0,FALSE), IFERROR(VLOOKUP($A801,'Infinet ExDa'!$B$2:$E$14, 0,FALSE), "Not Found"))))))))</f>
        <v>Not Found</v>
      </c>
      <c r="I801" t="str">
        <f>IFERROR(VLOOKUP($A801,'AAPT ExDa'!$B$2:$U$99, 0,FALSE), IFERROR(VLOOKUP($A801,'ABB ExDa'!$A$2:$N$184, 0,FALSE), IFERROR(VLOOKUP($A801,'Vocus SIT ExDa'!$B$2:$J$173, 0,FALSE), IFERROR(VLOOKUP($A801,'Telstra ExDa'!$B$2:$K$310, 0,FALSE), IFERROR(VLOOKUP($A801,'Vocus RVC ExDa'!$C$2:$R$155, 0,FALSE), IFERROR(VLOOKUP($A801,'Fusion ExDa'!$B$2:$D$16, 0,FALSE), IFERROR(VLOOKUP($A801,'Exetel ExDa'!$C$2:$N$14, 8,FALSE), IFERROR(VLOOKUP($A801,'Infinet ExDa'!$B$2:$E$14, 0,FALSE), "Not Found"))))))))</f>
        <v>Not Found</v>
      </c>
      <c r="J801" t="str">
        <f>IFERROR(VLOOKUP($A801,'AAPT ExDa'!$B$2:$U$99, 7,FALSE), IFERROR(VLOOKUP($A801,'ABB ExDa'!$A$2:$N$184, 2,FALSE), IFERROR(VLOOKUP($A801,'Vocus SIT ExDa'!$B$2:$J$173, 0,FALSE), IFERROR(VLOOKUP($A801,'Telstra ExDa'!$B$2:$K$310, 7,FALSE), IFERROR(VLOOKUP($A801,'Vocus RVC ExDa'!$C$2:$R$155, 2,FALSE), IFERROR(VLOOKUP($A801,'Fusion ExDa'!$B$2:$D$16, 3,FALSE), IFERROR(VLOOKUP($A801,'Exetel ExDa'!$C$2:$N$14, 0,FALSE), IFERROR(VLOOKUP($A801,'Infinet ExDa'!$B$2:$E$14, 0,FALSE), "Not Found"))))))))</f>
        <v>Not Found</v>
      </c>
      <c r="K801" t="str">
        <f>IFERROR(VLOOKUP($A801,'AAPT ExDa'!$B$2:$U$99, 12,FALSE), IFERROR(VLOOKUP($A801,'ABB ExDa'!$A$2:$N$184, 0,FALSE), IFERROR(VLOOKUP($A801,'Vocus SIT ExDa'!$B$2:$J$173, 0,FALSE), IFERROR(VLOOKUP($A801,'Telstra ExDa'!$B$2:$K$310, 0,FALSE), IFERROR(VLOOKUP($A801,'Vocus RVC ExDa'!$C$2:$R$155, 0,FALSE), IFERROR(VLOOKUP($A801,'Fusion ExDa'!$B$2:$D$16, 0,FALSE), IFERROR(VLOOKUP($A801,'Exetel ExDa'!$C$2:$N$14, 12,FALSE), IFERROR(VLOOKUP($A801,'Infinet ExDa'!$B$2:$E$14, 0,FALSE), "Not Found"))))))))</f>
        <v>Not Found</v>
      </c>
      <c r="L801" s="235" t="str">
        <f>IFERROR(VLOOKUP($A801,'AAPT ExDa'!$B$2:$U$99, 11,FALSE), IFERROR(VLOOKUP($A801,'ABB ExDa'!$A$2:$N$184, 9,FALSE), IFERROR(VLOOKUP($A801,'Vocus SIT ExDa'!$B$2:$J$173, 8,FALSE), IFERROR(VLOOKUP($A801,'Telstra ExDa'!$B$2:$K$310, 0,FALSE), IFERROR(VLOOKUP($A801,'Vocus RVC ExDa'!$C$2:$R$155, 0,FALSE), IFERROR(VLOOKUP($A801,'Fusion ExDa'!$B$2:$D$16, 0,FALSE), IFERROR(VLOOKUP($A801,'Exetel ExDa'!$C$2:$N$14, 9,FALSE), IFERROR(VLOOKUP($A801,'Infinet ExDa'!$B$2:$E$14, 0,FALSE), "Not Found"))))))))</f>
        <v>Not Found</v>
      </c>
      <c r="M801" s="234" t="str">
        <f>IFERROR(VLOOKUP($A801,'AAPT ExDa'!$B$2:$U$99, 0,FALSE), IFERROR(VLOOKUP($A801,'ABB ExDa'!$A$2:$N$184, 0,FALSE), IFERROR(VLOOKUP($A801,'Vocus SIT ExDa'!$B$2:$J$173, 0,FALSE), IFERROR(VLOOKUP($A801,'Telstra ExDa'!$B$2:$K$310, 0,FALSE), IFERROR(VLOOKUP($A801,'Vocus RVC ExDa'!$C$2:$R$155, 0,FALSE), IFERROR(VLOOKUP($A801,'Fusion ExDa'!$B$2:$D$16, 0,FALSE), IFERROR(VLOOKUP($A801,'Exetel ExDa'!$C$2:$N$14, 11,FALSE), IFERROR(VLOOKUP($A801,'Infinet ExDa'!$B$2:$E$14, 0,FALSE), "Not Found"))))))))</f>
        <v>Not Found</v>
      </c>
      <c r="N801" t="str">
        <f>IFERROR(VLOOKUP($A801,'AAPT ExDa'!$B$2:$U$99, 0,FALSE), IFERROR(VLOOKUP($A801,'ABB ExDa'!$A$2:$N$184, 13,FALSE), IFERROR(VLOOKUP($A801,'Vocus SIT ExDa'!$B$2:$J$173, 0,FALSE), IFERROR(VLOOKUP($A801,'Telstra ExDa'!$B$2:$K$310, 0,FALSE), IFERROR(VLOOKUP($A801,'Vocus RVC ExDa'!$C$2:$R$155, 0,FALSE), IFERROR(VLOOKUP($A801,'Fusion ExDa'!$B$2:$D$16, 0,FALSE), IFERROR(VLOOKUP($A801,'Exetel ExDa'!$C$2:$N$14, 0,FALSE), IFERROR(VLOOKUP($A801,'Infinet ExDa'!$B$2:$E$14, 0,FALSE), "Not Found"))))))))</f>
        <v>Not Found</v>
      </c>
    </row>
    <row r="802" spans="1:14">
      <c r="A802">
        <v>0</v>
      </c>
      <c r="B802" t="str">
        <f>IFERROR(VLOOKUP(A802,'Exetel ExDa'!$C$2:$N$14,4,FALSE),"No Data")</f>
        <v>No Data</v>
      </c>
      <c r="C802" t="str">
        <f>IFERROR(VLOOKUP(A802,'AAPT ExDa'!$B$2:$U$99, 2,FALSE), IFERROR(VLOOKUP(A802,'ABB ExDa'!$A$2:$N$184, 2,FALSE), IFERROR(VLOOKUP(A802,'Vocus SIT ExDa'!$B$2:$J$173, 7,FALSE), IFERROR(VLOOKUP(A802,'Telstra ExDa'!$B$2:$K$310, 2,FALSE), IFERROR(VLOOKUP(A802,'Vocus RVC ExDa'!$C$2:$R$155, 3,FALSE), IFERROR(VLOOKUP(A802,'Fusion ExDa'!$B$2:$D$16, 2,FALSE), IFERROR(VLOOKUP(A802,'Exetel ExDa'!$C$2:$N$14, 2,FALSE), IFERROR(VLOOKUP(A802,'Infinet ExDa'!$B$2:$E$14, 2,FALSE), "Not Found"))))))))</f>
        <v>Not Found</v>
      </c>
      <c r="D802" t="str">
        <f>IFERROR(VLOOKUP($A802,'AAPT ExDa'!$B$2:$U$99, 15,FALSE), IFERROR(VLOOKUP($A802,'ABB ExDa'!$A$2:$N$184, 4,FALSE), IFERROR(VLOOKUP($A802,'Vocus SIT ExDa'!$B$2:$J$173, 5,FALSE), IFERROR(VLOOKUP($A802,'Telstra ExDa'!$B$2:$K$310, 8,FALSE), IFERROR(VLOOKUP($A802,'Vocus RVC ExDa'!$C$2:$R$155, 6,FALSE), IFERROR(VLOOKUP($A802,'Fusion ExDa'!$B$2:$D$16, 4,FALSE), IFERROR(VLOOKUP($A802,'Exetel ExDa'!$C$2:$N$14, 3,FALSE), IFERROR(VLOOKUP($A802,'Infinet ExDa'!$B$2:$E$14, 3,FALSE), "Not Found"))))))))</f>
        <v>Not Found</v>
      </c>
      <c r="E802" t="str">
        <f>IFERROR(VLOOKUP($A802,'AAPT ExDa'!$B$2:$U$99, 3,FALSE), IFERROR(VLOOKUP($A802,'ABB ExDa'!$A$2:$N$184, 5,FALSE), IFERROR(VLOOKUP($A802,'Vocus SIT ExDa'!$B$2:$J$173, 2,FALSE), IFERROR(VLOOKUP($A802,'Telstra ExDa'!$B$2:$K$310, 4,FALSE), IFERROR(VLOOKUP($A802,'Vocus RVC ExDa'!$C$2:$R$155, 8,FALSE), IFERROR(VLOOKUP($A802,'Fusion ExDa'!$B$2:$D$16, 4,FALSE), IFERROR(VLOOKUP($A802,'Exetel ExDa'!$C$2:$N$14, 5,FALSE), IFERROR(VLOOKUP($A802,'Infinet ExDa'!$B$2:$E$14, 3,FALSE), "Not Found"))))))))</f>
        <v>Not Found</v>
      </c>
      <c r="F802" t="str">
        <f>IFERROR(VLOOKUP($A802,'AAPT ExDa'!$B$2:$U$99, 4,FALSE), IFERROR(VLOOKUP($A802,'ABB ExDa'!$A$2:$N$184, 6,FALSE), IFERROR(VLOOKUP($A802,'Vocus SIT ExDa'!$B$2:$J$173, 3,FALSE), IFERROR(VLOOKUP($A802,'Telstra ExDa'!$B$2:$K$310, 5,FALSE), IFERROR(VLOOKUP($A802,'Vocus RVC ExDa'!$C$2:$R$155, 9,FALSE), IFERROR(VLOOKUP($A802,'Fusion ExDa'!$B$2:$D$16, 0,FALSE), IFERROR(VLOOKUP($A802,'Exetel ExDa'!$C$2:$N$14, 6,FALSE), IFERROR(VLOOKUP($A802,'Infinet ExDa'!$B$2:$E$14, 0,FALSE), "Not Found"))))))))</f>
        <v>Not Found</v>
      </c>
      <c r="G802" t="str">
        <f>IFERROR(VLOOKUP($A802,'AAPT ExDa'!$B$2:$U$99, 5,FALSE), IFERROR(VLOOKUP($A802,'ABB ExDa'!$A$2:$N$184, 8,FALSE), IFERROR(VLOOKUP($A802,'Vocus SIT ExDa'!$B$2:$J$173, 6,FALSE), IFERROR(VLOOKUP($A802,'Telstra ExDa'!$B$2:$K$310, 0,FALSE), IFERROR(VLOOKUP($A802,'Vocus RVC ExDa'!$C$2:$R$155, 15,FALSE), IFERROR(VLOOKUP($A802,'Fusion ExDa'!$B$2:$D$16, 0,FALSE), IFERROR(VLOOKUP($A802,'Exetel ExDa'!$C$2:$N$14, 7,FALSE), IFERROR(VLOOKUP($A802,'Infinet ExDa'!$B$2:$E$14, 0,FALSE), "Not Found"))))))))</f>
        <v>Not Found</v>
      </c>
      <c r="H802" t="str">
        <f>IFERROR(VLOOKUP($A802,'AAPT ExDa'!$B$2:$U$99, 6,FALSE), IFERROR(VLOOKUP($A802,'ABB ExDa'!$A$2:$N$184, 0,FALSE), IFERROR(VLOOKUP($A802,'Vocus SIT ExDa'!$B$2:$J$173, 0,FALSE), IFERROR(VLOOKUP($A802,'Telstra ExDa'!$B$2:$K$310, 0,FALSE), IFERROR(VLOOKUP($A802,'Vocus RVC ExDa'!$C$2:$R$155, 16,FALSE), IFERROR(VLOOKUP($A802,'Fusion ExDa'!$B$2:$D$16, 0,FALSE), IFERROR(VLOOKUP($A802,'Exetel ExDa'!$C$2:$N$14, 0,FALSE), IFERROR(VLOOKUP($A802,'Infinet ExDa'!$B$2:$E$14, 0,FALSE), "Not Found"))))))))</f>
        <v>Not Found</v>
      </c>
      <c r="I802" t="str">
        <f>IFERROR(VLOOKUP($A802,'AAPT ExDa'!$B$2:$U$99, 0,FALSE), IFERROR(VLOOKUP($A802,'ABB ExDa'!$A$2:$N$184, 0,FALSE), IFERROR(VLOOKUP($A802,'Vocus SIT ExDa'!$B$2:$J$173, 0,FALSE), IFERROR(VLOOKUP($A802,'Telstra ExDa'!$B$2:$K$310, 0,FALSE), IFERROR(VLOOKUP($A802,'Vocus RVC ExDa'!$C$2:$R$155, 0,FALSE), IFERROR(VLOOKUP($A802,'Fusion ExDa'!$B$2:$D$16, 0,FALSE), IFERROR(VLOOKUP($A802,'Exetel ExDa'!$C$2:$N$14, 8,FALSE), IFERROR(VLOOKUP($A802,'Infinet ExDa'!$B$2:$E$14, 0,FALSE), "Not Found"))))))))</f>
        <v>Not Found</v>
      </c>
      <c r="J802" t="str">
        <f>IFERROR(VLOOKUP($A802,'AAPT ExDa'!$B$2:$U$99, 7,FALSE), IFERROR(VLOOKUP($A802,'ABB ExDa'!$A$2:$N$184, 2,FALSE), IFERROR(VLOOKUP($A802,'Vocus SIT ExDa'!$B$2:$J$173, 0,FALSE), IFERROR(VLOOKUP($A802,'Telstra ExDa'!$B$2:$K$310, 7,FALSE), IFERROR(VLOOKUP($A802,'Vocus RVC ExDa'!$C$2:$R$155, 2,FALSE), IFERROR(VLOOKUP($A802,'Fusion ExDa'!$B$2:$D$16, 3,FALSE), IFERROR(VLOOKUP($A802,'Exetel ExDa'!$C$2:$N$14, 0,FALSE), IFERROR(VLOOKUP($A802,'Infinet ExDa'!$B$2:$E$14, 0,FALSE), "Not Found"))))))))</f>
        <v>Not Found</v>
      </c>
      <c r="K802" t="str">
        <f>IFERROR(VLOOKUP($A802,'AAPT ExDa'!$B$2:$U$99, 12,FALSE), IFERROR(VLOOKUP($A802,'ABB ExDa'!$A$2:$N$184, 0,FALSE), IFERROR(VLOOKUP($A802,'Vocus SIT ExDa'!$B$2:$J$173, 0,FALSE), IFERROR(VLOOKUP($A802,'Telstra ExDa'!$B$2:$K$310, 0,FALSE), IFERROR(VLOOKUP($A802,'Vocus RVC ExDa'!$C$2:$R$155, 0,FALSE), IFERROR(VLOOKUP($A802,'Fusion ExDa'!$B$2:$D$16, 0,FALSE), IFERROR(VLOOKUP($A802,'Exetel ExDa'!$C$2:$N$14, 12,FALSE), IFERROR(VLOOKUP($A802,'Infinet ExDa'!$B$2:$E$14, 0,FALSE), "Not Found"))))))))</f>
        <v>Not Found</v>
      </c>
      <c r="L802" s="235" t="str">
        <f>IFERROR(VLOOKUP($A802,'AAPT ExDa'!$B$2:$U$99, 11,FALSE), IFERROR(VLOOKUP($A802,'ABB ExDa'!$A$2:$N$184, 9,FALSE), IFERROR(VLOOKUP($A802,'Vocus SIT ExDa'!$B$2:$J$173, 8,FALSE), IFERROR(VLOOKUP($A802,'Telstra ExDa'!$B$2:$K$310, 0,FALSE), IFERROR(VLOOKUP($A802,'Vocus RVC ExDa'!$C$2:$R$155, 0,FALSE), IFERROR(VLOOKUP($A802,'Fusion ExDa'!$B$2:$D$16, 0,FALSE), IFERROR(VLOOKUP($A802,'Exetel ExDa'!$C$2:$N$14, 9,FALSE), IFERROR(VLOOKUP($A802,'Infinet ExDa'!$B$2:$E$14, 0,FALSE), "Not Found"))))))))</f>
        <v>Not Found</v>
      </c>
      <c r="M802" s="234" t="str">
        <f>IFERROR(VLOOKUP($A802,'AAPT ExDa'!$B$2:$U$99, 0,FALSE), IFERROR(VLOOKUP($A802,'ABB ExDa'!$A$2:$N$184, 0,FALSE), IFERROR(VLOOKUP($A802,'Vocus SIT ExDa'!$B$2:$J$173, 0,FALSE), IFERROR(VLOOKUP($A802,'Telstra ExDa'!$B$2:$K$310, 0,FALSE), IFERROR(VLOOKUP($A802,'Vocus RVC ExDa'!$C$2:$R$155, 0,FALSE), IFERROR(VLOOKUP($A802,'Fusion ExDa'!$B$2:$D$16, 0,FALSE), IFERROR(VLOOKUP($A802,'Exetel ExDa'!$C$2:$N$14, 11,FALSE), IFERROR(VLOOKUP($A802,'Infinet ExDa'!$B$2:$E$14, 0,FALSE), "Not Found"))))))))</f>
        <v>Not Found</v>
      </c>
      <c r="N802" t="str">
        <f>IFERROR(VLOOKUP($A802,'AAPT ExDa'!$B$2:$U$99, 0,FALSE), IFERROR(VLOOKUP($A802,'ABB ExDa'!$A$2:$N$184, 13,FALSE), IFERROR(VLOOKUP($A802,'Vocus SIT ExDa'!$B$2:$J$173, 0,FALSE), IFERROR(VLOOKUP($A802,'Telstra ExDa'!$B$2:$K$310, 0,FALSE), IFERROR(VLOOKUP($A802,'Vocus RVC ExDa'!$C$2:$R$155, 0,FALSE), IFERROR(VLOOKUP($A802,'Fusion ExDa'!$B$2:$D$16, 0,FALSE), IFERROR(VLOOKUP($A802,'Exetel ExDa'!$C$2:$N$14, 0,FALSE), IFERROR(VLOOKUP($A802,'Infinet ExDa'!$B$2:$E$14, 0,FALSE), "Not Found"))))))))</f>
        <v>Not Found</v>
      </c>
    </row>
    <row r="803" spans="1:14">
      <c r="A803" t="str">
        <v>Suncoast Building Approvals</v>
      </c>
      <c r="B803" t="str">
        <f>IFERROR(VLOOKUP(A803,'Exetel ExDa'!$C$2:$N$14,4,FALSE),"No Data")</f>
        <v>No Data</v>
      </c>
      <c r="C803" t="str">
        <f>IFERROR(VLOOKUP(A803,'AAPT ExDa'!$B$2:$U$99, 2,FALSE), IFERROR(VLOOKUP(A803,'ABB ExDa'!$A$2:$N$184, 2,FALSE), IFERROR(VLOOKUP(A803,'Vocus SIT ExDa'!$B$2:$J$173, 7,FALSE), IFERROR(VLOOKUP(A803,'Telstra ExDa'!$B$2:$K$310, 2,FALSE), IFERROR(VLOOKUP(A803,'Vocus RVC ExDa'!$C$2:$R$155, 3,FALSE), IFERROR(VLOOKUP(A803,'Fusion ExDa'!$B$2:$D$16, 2,FALSE), IFERROR(VLOOKUP(A803,'Exetel ExDa'!$C$2:$N$14, 2,FALSE), IFERROR(VLOOKUP(A803,'Infinet ExDa'!$B$2:$E$14, 2,FALSE), "Not Found"))))))))</f>
        <v xml:space="preserve">Unit 3 63 The Esplanade </v>
      </c>
      <c r="D803">
        <f>IFERROR(VLOOKUP($A803,'AAPT ExDa'!$B$2:$U$99, 15,FALSE), IFERROR(VLOOKUP($A803,'ABB ExDa'!$A$2:$N$184, 4,FALSE), IFERROR(VLOOKUP($A803,'Vocus SIT ExDa'!$B$2:$J$173, 5,FALSE), IFERROR(VLOOKUP($A803,'Telstra ExDa'!$B$2:$K$310, 8,FALSE), IFERROR(VLOOKUP($A803,'Vocus RVC ExDa'!$C$2:$R$155, 6,FALSE), IFERROR(VLOOKUP($A803,'Fusion ExDa'!$B$2:$D$16, 4,FALSE), IFERROR(VLOOKUP($A803,'Exetel ExDa'!$C$2:$N$14, 3,FALSE), IFERROR(VLOOKUP($A803,'Infinet ExDa'!$B$2:$E$14, 3,FALSE), "Not Found"))))))))</f>
        <v>4558</v>
      </c>
      <c r="E803" t="str">
        <f>IFERROR(VLOOKUP($A803,'AAPT ExDa'!$B$2:$U$99, 3,FALSE), IFERROR(VLOOKUP($A803,'ABB ExDa'!$A$2:$N$184, 5,FALSE), IFERROR(VLOOKUP($A803,'Vocus SIT ExDa'!$B$2:$J$173, 2,FALSE), IFERROR(VLOOKUP($A803,'Telstra ExDa'!$B$2:$K$310, 4,FALSE), IFERROR(VLOOKUP($A803,'Vocus RVC ExDa'!$C$2:$R$155, 8,FALSE), IFERROR(VLOOKUP($A803,'Fusion ExDa'!$B$2:$D$16, 4,FALSE), IFERROR(VLOOKUP($A803,'Exetel ExDa'!$C$2:$N$14, 5,FALSE), IFERROR(VLOOKUP($A803,'Infinet ExDa'!$B$2:$E$14, 3,FALSE), "Not Found"))))))))</f>
        <v>100Mbps/40Mbps</v>
      </c>
      <c r="F803" t="str">
        <f>IFERROR(VLOOKUP($A803,'AAPT ExDa'!$B$2:$U$99, 4,FALSE), IFERROR(VLOOKUP($A803,'ABB ExDa'!$A$2:$N$184, 6,FALSE), IFERROR(VLOOKUP($A803,'Vocus SIT ExDa'!$B$2:$J$173, 3,FALSE), IFERROR(VLOOKUP($A803,'Telstra ExDa'!$B$2:$K$310, 5,FALSE), IFERROR(VLOOKUP($A803,'Vocus RVC ExDa'!$C$2:$R$155, 9,FALSE), IFERROR(VLOOKUP($A803,'Fusion ExDa'!$B$2:$D$16, 0,FALSE), IFERROR(VLOOKUP($A803,'Exetel ExDa'!$C$2:$N$14, 6,FALSE), IFERROR(VLOOKUP($A803,'Infinet ExDa'!$B$2:$E$14, 0,FALSE), "Not Found"))))))))</f>
        <v>NBN Reseller G4 FTTN</v>
      </c>
      <c r="G803" t="str">
        <f>IFERROR(VLOOKUP($A803,'AAPT ExDa'!$B$2:$U$99, 5,FALSE), IFERROR(VLOOKUP($A803,'ABB ExDa'!$A$2:$N$184, 8,FALSE), IFERROR(VLOOKUP($A803,'Vocus SIT ExDa'!$B$2:$J$173, 6,FALSE), IFERROR(VLOOKUP($A803,'Telstra ExDa'!$B$2:$K$310, 0,FALSE), IFERROR(VLOOKUP($A803,'Vocus RVC ExDa'!$C$2:$R$155, 15,FALSE), IFERROR(VLOOKUP($A803,'Fusion ExDa'!$B$2:$D$16, 0,FALSE), IFERROR(VLOOKUP($A803,'Exetel ExDa'!$C$2:$N$14, 7,FALSE), IFERROR(VLOOKUP($A803,'Infinet ExDa'!$B$2:$E$14, 0,FALSE), "Not Found"))))))))</f>
        <v>122.151.108.112</v>
      </c>
      <c r="H803" t="str">
        <f>IFERROR(VLOOKUP($A803,'AAPT ExDa'!$B$2:$U$99, 6,FALSE), IFERROR(VLOOKUP($A803,'ABB ExDa'!$A$2:$N$184, 0,FALSE), IFERROR(VLOOKUP($A803,'Vocus SIT ExDa'!$B$2:$J$173, 0,FALSE), IFERROR(VLOOKUP($A803,'Telstra ExDa'!$B$2:$K$310, 0,FALSE), IFERROR(VLOOKUP($A803,'Vocus RVC ExDa'!$C$2:$R$155, 16,FALSE), IFERROR(VLOOKUP($A803,'Fusion ExDa'!$B$2:$D$16, 0,FALSE), IFERROR(VLOOKUP($A803,'Exetel ExDa'!$C$2:$N$14, 0,FALSE), IFERROR(VLOOKUP($A803,'Infinet ExDa'!$B$2:$E$14, 0,FALSE), "Not Found"))))))))</f>
        <v>PPPoE</v>
      </c>
      <c r="I803" t="str">
        <f>IFERROR(VLOOKUP($A803,'AAPT ExDa'!$B$2:$U$99, 0,FALSE), IFERROR(VLOOKUP($A803,'ABB ExDa'!$A$2:$N$184, 0,FALSE), IFERROR(VLOOKUP($A803,'Vocus SIT ExDa'!$B$2:$J$173, 0,FALSE), IFERROR(VLOOKUP($A803,'Telstra ExDa'!$B$2:$K$310, 0,FALSE), IFERROR(VLOOKUP($A803,'Vocus RVC ExDa'!$C$2:$R$155, 0,FALSE), IFERROR(VLOOKUP($A803,'Fusion ExDa'!$B$2:$D$16, 0,FALSE), IFERROR(VLOOKUP($A803,'Exetel ExDa'!$C$2:$N$14, 8,FALSE), IFERROR(VLOOKUP($A803,'Infinet ExDa'!$B$2:$E$14, 0,FALSE), "Not Found"))))))))</f>
        <v>Not Found</v>
      </c>
      <c r="J803" t="str">
        <f>IFERROR(VLOOKUP($A803,'AAPT ExDa'!$B$2:$U$99, 7,FALSE), IFERROR(VLOOKUP($A803,'ABB ExDa'!$A$2:$N$184, 2,FALSE), IFERROR(VLOOKUP($A803,'Vocus SIT ExDa'!$B$2:$J$173, 0,FALSE), IFERROR(VLOOKUP($A803,'Telstra ExDa'!$B$2:$K$310, 7,FALSE), IFERROR(VLOOKUP($A803,'Vocus RVC ExDa'!$C$2:$R$155, 2,FALSE), IFERROR(VLOOKUP($A803,'Fusion ExDa'!$B$2:$D$16, 3,FALSE), IFERROR(VLOOKUP($A803,'Exetel ExDa'!$C$2:$N$14, 0,FALSE), IFERROR(VLOOKUP($A803,'Infinet ExDa'!$B$2:$E$14, 0,FALSE), "Not Found"))))))))</f>
        <v>AVC000178598979</v>
      </c>
      <c r="K803" t="str">
        <f>IFERROR(VLOOKUP($A803,'AAPT ExDa'!$B$2:$U$99, 12,FALSE), IFERROR(VLOOKUP($A803,'ABB ExDa'!$A$2:$N$184, 0,FALSE), IFERROR(VLOOKUP($A803,'Vocus SIT ExDa'!$B$2:$J$173, 0,FALSE), IFERROR(VLOOKUP($A803,'Telstra ExDa'!$B$2:$K$310, 0,FALSE), IFERROR(VLOOKUP($A803,'Vocus RVC ExDa'!$C$2:$R$155, 0,FALSE), IFERROR(VLOOKUP($A803,'Fusion ExDa'!$B$2:$D$16, 0,FALSE), IFERROR(VLOOKUP($A803,'Exetel ExDa'!$C$2:$N$14, 12,FALSE), IFERROR(VLOOKUP($A803,'Infinet ExDa'!$B$2:$E$14, 0,FALSE), "Not Found"))))))))</f>
        <v>Not Found</v>
      </c>
      <c r="L803" s="235" t="str">
        <f>IFERROR(VLOOKUP($A803,'AAPT ExDa'!$B$2:$U$99, 11,FALSE), IFERROR(VLOOKUP($A803,'ABB ExDa'!$A$2:$N$184, 9,FALSE), IFERROR(VLOOKUP($A803,'Vocus SIT ExDa'!$B$2:$J$173, 8,FALSE), IFERROR(VLOOKUP($A803,'Telstra ExDa'!$B$2:$K$310, 0,FALSE), IFERROR(VLOOKUP($A803,'Vocus RVC ExDa'!$C$2:$R$155, 0,FALSE), IFERROR(VLOOKUP($A803,'Fusion ExDa'!$B$2:$D$16, 0,FALSE), IFERROR(VLOOKUP($A803,'Exetel ExDa'!$C$2:$N$14, 9,FALSE), IFERROR(VLOOKUP($A803,'Infinet ExDa'!$B$2:$E$14, 0,FALSE), "Not Found"))))))))</f>
        <v>Not Found</v>
      </c>
      <c r="M803" s="234" t="str">
        <f>IFERROR(VLOOKUP($A803,'AAPT ExDa'!$B$2:$U$99, 0,FALSE), IFERROR(VLOOKUP($A803,'ABB ExDa'!$A$2:$N$184, 0,FALSE), IFERROR(VLOOKUP($A803,'Vocus SIT ExDa'!$B$2:$J$173, 0,FALSE), IFERROR(VLOOKUP($A803,'Telstra ExDa'!$B$2:$K$310, 0,FALSE), IFERROR(VLOOKUP($A803,'Vocus RVC ExDa'!$C$2:$R$155, 0,FALSE), IFERROR(VLOOKUP($A803,'Fusion ExDa'!$B$2:$D$16, 0,FALSE), IFERROR(VLOOKUP($A803,'Exetel ExDa'!$C$2:$N$14, 11,FALSE), IFERROR(VLOOKUP($A803,'Infinet ExDa'!$B$2:$E$14, 0,FALSE), "Not Found"))))))))</f>
        <v>Not Found</v>
      </c>
      <c r="N803" t="str">
        <f>IFERROR(VLOOKUP($A803,'AAPT ExDa'!$B$2:$U$99, 0,FALSE), IFERROR(VLOOKUP($A803,'ABB ExDa'!$A$2:$N$184, 13,FALSE), IFERROR(VLOOKUP($A803,'Vocus SIT ExDa'!$B$2:$J$173, 0,FALSE), IFERROR(VLOOKUP($A803,'Telstra ExDa'!$B$2:$K$310, 0,FALSE), IFERROR(VLOOKUP($A803,'Vocus RVC ExDa'!$C$2:$R$155, 0,FALSE), IFERROR(VLOOKUP($A803,'Fusion ExDa'!$B$2:$D$16, 0,FALSE), IFERROR(VLOOKUP($A803,'Exetel ExDa'!$C$2:$N$14, 0,FALSE), IFERROR(VLOOKUP($A803,'Infinet ExDa'!$B$2:$E$14, 0,FALSE), "Not Found"))))))))</f>
        <v>Not Found</v>
      </c>
    </row>
    <row r="804" spans="1:14">
      <c r="A804" t="str">
        <v>Mother Duck Bridge</v>
      </c>
      <c r="B804" t="str">
        <f>IFERROR(VLOOKUP(A804,'Exetel ExDa'!$C$2:$N$14,4,FALSE),"No Data")</f>
        <v>No Data</v>
      </c>
      <c r="C804" t="str">
        <f>IFERROR(VLOOKUP(A804,'AAPT ExDa'!$B$2:$U$99, 2,FALSE), IFERROR(VLOOKUP(A804,'ABB ExDa'!$A$2:$N$184, 2,FALSE), IFERROR(VLOOKUP(A804,'Vocus SIT ExDa'!$B$2:$J$173, 7,FALSE), IFERROR(VLOOKUP(A804,'Telstra ExDa'!$B$2:$K$310, 2,FALSE), IFERROR(VLOOKUP(A804,'Vocus RVC ExDa'!$C$2:$R$155, 3,FALSE), IFERROR(VLOOKUP(A804,'Fusion ExDa'!$B$2:$D$16, 2,FALSE), IFERROR(VLOOKUP(A804,'Exetel ExDa'!$C$2:$N$14, 2,FALSE), IFERROR(VLOOKUP(A804,'Infinet ExDa'!$B$2:$E$14, 2,FALSE), "Not Found"))))))))</f>
        <v xml:space="preserve">Lot 141 96 Barrett St </v>
      </c>
      <c r="D804">
        <f>IFERROR(VLOOKUP($A804,'AAPT ExDa'!$B$2:$U$99, 15,FALSE), IFERROR(VLOOKUP($A804,'ABB ExDa'!$A$2:$N$184, 4,FALSE), IFERROR(VLOOKUP($A804,'Vocus SIT ExDa'!$B$2:$J$173, 5,FALSE), IFERROR(VLOOKUP($A804,'Telstra ExDa'!$B$2:$K$310, 8,FALSE), IFERROR(VLOOKUP($A804,'Vocus RVC ExDa'!$C$2:$R$155, 6,FALSE), IFERROR(VLOOKUP($A804,'Fusion ExDa'!$B$2:$D$16, 4,FALSE), IFERROR(VLOOKUP($A804,'Exetel ExDa'!$C$2:$N$14, 3,FALSE), IFERROR(VLOOKUP($A804,'Infinet ExDa'!$B$2:$E$14, 3,FALSE), "Not Found"))))))))</f>
        <v>4017</v>
      </c>
      <c r="E804" t="str">
        <f>IFERROR(VLOOKUP($A804,'AAPT ExDa'!$B$2:$U$99, 3,FALSE), IFERROR(VLOOKUP($A804,'ABB ExDa'!$A$2:$N$184, 5,FALSE), IFERROR(VLOOKUP($A804,'Vocus SIT ExDa'!$B$2:$J$173, 2,FALSE), IFERROR(VLOOKUP($A804,'Telstra ExDa'!$B$2:$K$310, 4,FALSE), IFERROR(VLOOKUP($A804,'Vocus RVC ExDa'!$C$2:$R$155, 8,FALSE), IFERROR(VLOOKUP($A804,'Fusion ExDa'!$B$2:$D$16, 4,FALSE), IFERROR(VLOOKUP($A804,'Exetel ExDa'!$C$2:$N$14, 5,FALSE), IFERROR(VLOOKUP($A804,'Infinet ExDa'!$B$2:$E$14, 3,FALSE), "Not Found"))))))))</f>
        <v>100Mbps/40Mbps</v>
      </c>
      <c r="F804" t="str">
        <f>IFERROR(VLOOKUP($A804,'AAPT ExDa'!$B$2:$U$99, 4,FALSE), IFERROR(VLOOKUP($A804,'ABB ExDa'!$A$2:$N$184, 6,FALSE), IFERROR(VLOOKUP($A804,'Vocus SIT ExDa'!$B$2:$J$173, 3,FALSE), IFERROR(VLOOKUP($A804,'Telstra ExDa'!$B$2:$K$310, 5,FALSE), IFERROR(VLOOKUP($A804,'Vocus RVC ExDa'!$C$2:$R$155, 9,FALSE), IFERROR(VLOOKUP($A804,'Fusion ExDa'!$B$2:$D$16, 0,FALSE), IFERROR(VLOOKUP($A804,'Exetel ExDa'!$C$2:$N$14, 6,FALSE), IFERROR(VLOOKUP($A804,'Infinet ExDa'!$B$2:$E$14, 0,FALSE), "Not Found"))))))))</f>
        <v xml:space="preserve">NBN Reseller G4 </v>
      </c>
      <c r="G804" t="str">
        <f>IFERROR(VLOOKUP($A804,'AAPT ExDa'!$B$2:$U$99, 5,FALSE), IFERROR(VLOOKUP($A804,'ABB ExDa'!$A$2:$N$184, 8,FALSE), IFERROR(VLOOKUP($A804,'Vocus SIT ExDa'!$B$2:$J$173, 6,FALSE), IFERROR(VLOOKUP($A804,'Telstra ExDa'!$B$2:$K$310, 0,FALSE), IFERROR(VLOOKUP($A804,'Vocus RVC ExDa'!$C$2:$R$155, 15,FALSE), IFERROR(VLOOKUP($A804,'Fusion ExDa'!$B$2:$D$16, 0,FALSE), IFERROR(VLOOKUP($A804,'Exetel ExDa'!$C$2:$N$14, 7,FALSE), IFERROR(VLOOKUP($A804,'Infinet ExDa'!$B$2:$E$14, 0,FALSE), "Not Found"))))))))</f>
        <v>203.91.243.33</v>
      </c>
      <c r="H804" t="str">
        <f>IFERROR(VLOOKUP($A804,'AAPT ExDa'!$B$2:$U$99, 6,FALSE), IFERROR(VLOOKUP($A804,'ABB ExDa'!$A$2:$N$184, 0,FALSE), IFERROR(VLOOKUP($A804,'Vocus SIT ExDa'!$B$2:$J$173, 0,FALSE), IFERROR(VLOOKUP($A804,'Telstra ExDa'!$B$2:$K$310, 0,FALSE), IFERROR(VLOOKUP($A804,'Vocus RVC ExDa'!$C$2:$R$155, 16,FALSE), IFERROR(VLOOKUP($A804,'Fusion ExDa'!$B$2:$D$16, 0,FALSE), IFERROR(VLOOKUP($A804,'Exetel ExDa'!$C$2:$N$14, 0,FALSE), IFERROR(VLOOKUP($A804,'Infinet ExDa'!$B$2:$E$14, 0,FALSE), "Not Found"))))))))</f>
        <v>PPPoE</v>
      </c>
      <c r="I804" t="str">
        <f>IFERROR(VLOOKUP($A804,'AAPT ExDa'!$B$2:$U$99, 0,FALSE), IFERROR(VLOOKUP($A804,'ABB ExDa'!$A$2:$N$184, 0,FALSE), IFERROR(VLOOKUP($A804,'Vocus SIT ExDa'!$B$2:$J$173, 0,FALSE), IFERROR(VLOOKUP($A804,'Telstra ExDa'!$B$2:$K$310, 0,FALSE), IFERROR(VLOOKUP($A804,'Vocus RVC ExDa'!$C$2:$R$155, 0,FALSE), IFERROR(VLOOKUP($A804,'Fusion ExDa'!$B$2:$D$16, 0,FALSE), IFERROR(VLOOKUP($A804,'Exetel ExDa'!$C$2:$N$14, 8,FALSE), IFERROR(VLOOKUP($A804,'Infinet ExDa'!$B$2:$E$14, 0,FALSE), "Not Found"))))))))</f>
        <v>Not Found</v>
      </c>
      <c r="J804" t="str">
        <f>IFERROR(VLOOKUP($A804,'AAPT ExDa'!$B$2:$U$99, 7,FALSE), IFERROR(VLOOKUP($A804,'ABB ExDa'!$A$2:$N$184, 2,FALSE), IFERROR(VLOOKUP($A804,'Vocus SIT ExDa'!$B$2:$J$173, 0,FALSE), IFERROR(VLOOKUP($A804,'Telstra ExDa'!$B$2:$K$310, 7,FALSE), IFERROR(VLOOKUP($A804,'Vocus RVC ExDa'!$C$2:$R$155, 2,FALSE), IFERROR(VLOOKUP($A804,'Fusion ExDa'!$B$2:$D$16, 3,FALSE), IFERROR(VLOOKUP($A804,'Exetel ExDa'!$C$2:$N$14, 0,FALSE), IFERROR(VLOOKUP($A804,'Infinet ExDa'!$B$2:$E$14, 0,FALSE), "Not Found"))))))))</f>
        <v xml:space="preserve">	AVC000179635205</v>
      </c>
      <c r="K804" t="str">
        <f>IFERROR(VLOOKUP($A804,'AAPT ExDa'!$B$2:$U$99, 12,FALSE), IFERROR(VLOOKUP($A804,'ABB ExDa'!$A$2:$N$184, 0,FALSE), IFERROR(VLOOKUP($A804,'Vocus SIT ExDa'!$B$2:$J$173, 0,FALSE), IFERROR(VLOOKUP($A804,'Telstra ExDa'!$B$2:$K$310, 0,FALSE), IFERROR(VLOOKUP($A804,'Vocus RVC ExDa'!$C$2:$R$155, 0,FALSE), IFERROR(VLOOKUP($A804,'Fusion ExDa'!$B$2:$D$16, 0,FALSE), IFERROR(VLOOKUP($A804,'Exetel ExDa'!$C$2:$N$14, 12,FALSE), IFERROR(VLOOKUP($A804,'Infinet ExDa'!$B$2:$E$14, 0,FALSE), "Not Found"))))))))</f>
        <v>Not Found</v>
      </c>
      <c r="L804" s="235" t="str">
        <f>IFERROR(VLOOKUP($A804,'AAPT ExDa'!$B$2:$U$99, 11,FALSE), IFERROR(VLOOKUP($A804,'ABB ExDa'!$A$2:$N$184, 9,FALSE), IFERROR(VLOOKUP($A804,'Vocus SIT ExDa'!$B$2:$J$173, 8,FALSE), IFERROR(VLOOKUP($A804,'Telstra ExDa'!$B$2:$K$310, 0,FALSE), IFERROR(VLOOKUP($A804,'Vocus RVC ExDa'!$C$2:$R$155, 0,FALSE), IFERROR(VLOOKUP($A804,'Fusion ExDa'!$B$2:$D$16, 0,FALSE), IFERROR(VLOOKUP($A804,'Exetel ExDa'!$C$2:$N$14, 9,FALSE), IFERROR(VLOOKUP($A804,'Infinet ExDa'!$B$2:$E$14, 0,FALSE), "Not Found"))))))))</f>
        <v>Not Found</v>
      </c>
      <c r="M804" s="234" t="str">
        <f>IFERROR(VLOOKUP($A804,'AAPT ExDa'!$B$2:$U$99, 0,FALSE), IFERROR(VLOOKUP($A804,'ABB ExDa'!$A$2:$N$184, 0,FALSE), IFERROR(VLOOKUP($A804,'Vocus SIT ExDa'!$B$2:$J$173, 0,FALSE), IFERROR(VLOOKUP($A804,'Telstra ExDa'!$B$2:$K$310, 0,FALSE), IFERROR(VLOOKUP($A804,'Vocus RVC ExDa'!$C$2:$R$155, 0,FALSE), IFERROR(VLOOKUP($A804,'Fusion ExDa'!$B$2:$D$16, 0,FALSE), IFERROR(VLOOKUP($A804,'Exetel ExDa'!$C$2:$N$14, 11,FALSE), IFERROR(VLOOKUP($A804,'Infinet ExDa'!$B$2:$E$14, 0,FALSE), "Not Found"))))))))</f>
        <v>Not Found</v>
      </c>
      <c r="N804" t="str">
        <f>IFERROR(VLOOKUP($A804,'AAPT ExDa'!$B$2:$U$99, 0,FALSE), IFERROR(VLOOKUP($A804,'ABB ExDa'!$A$2:$N$184, 13,FALSE), IFERROR(VLOOKUP($A804,'Vocus SIT ExDa'!$B$2:$J$173, 0,FALSE), IFERROR(VLOOKUP($A804,'Telstra ExDa'!$B$2:$K$310, 0,FALSE), IFERROR(VLOOKUP($A804,'Vocus RVC ExDa'!$C$2:$R$155, 0,FALSE), IFERROR(VLOOKUP($A804,'Fusion ExDa'!$B$2:$D$16, 0,FALSE), IFERROR(VLOOKUP($A804,'Exetel ExDa'!$C$2:$N$14, 0,FALSE), IFERROR(VLOOKUP($A804,'Infinet ExDa'!$B$2:$E$14, 0,FALSE), "Not Found"))))))))</f>
        <v>Not Found</v>
      </c>
    </row>
    <row r="805" spans="1:14">
      <c r="A805" t="str">
        <v>Bundy Homes</v>
      </c>
      <c r="B805" t="str">
        <f>IFERROR(VLOOKUP(A805,'Exetel ExDa'!$C$2:$N$14,4,FALSE),"No Data")</f>
        <v>No Data</v>
      </c>
      <c r="C805" t="str">
        <f>IFERROR(VLOOKUP(A805,'AAPT ExDa'!$B$2:$U$99, 2,FALSE), IFERROR(VLOOKUP(A805,'ABB ExDa'!$A$2:$N$184, 2,FALSE), IFERROR(VLOOKUP(A805,'Vocus SIT ExDa'!$B$2:$J$173, 7,FALSE), IFERROR(VLOOKUP(A805,'Telstra ExDa'!$B$2:$K$310, 2,FALSE), IFERROR(VLOOKUP(A805,'Vocus RVC ExDa'!$C$2:$R$155, 3,FALSE), IFERROR(VLOOKUP(A805,'Fusion ExDa'!$B$2:$D$16, 2,FALSE), IFERROR(VLOOKUP(A805,'Exetel ExDa'!$C$2:$N$14, 2,FALSE), IFERROR(VLOOKUP(A805,'Infinet ExDa'!$B$2:$E$14, 2,FALSE), "Not Found"))))))))</f>
        <v xml:space="preserve">Offc 1 53 Perry St </v>
      </c>
      <c r="D805">
        <f>IFERROR(VLOOKUP($A805,'AAPT ExDa'!$B$2:$U$99, 15,FALSE), IFERROR(VLOOKUP($A805,'ABB ExDa'!$A$2:$N$184, 4,FALSE), IFERROR(VLOOKUP($A805,'Vocus SIT ExDa'!$B$2:$J$173, 5,FALSE), IFERROR(VLOOKUP($A805,'Telstra ExDa'!$B$2:$K$310, 8,FALSE), IFERROR(VLOOKUP($A805,'Vocus RVC ExDa'!$C$2:$R$155, 6,FALSE), IFERROR(VLOOKUP($A805,'Fusion ExDa'!$B$2:$D$16, 4,FALSE), IFERROR(VLOOKUP($A805,'Exetel ExDa'!$C$2:$N$14, 3,FALSE), IFERROR(VLOOKUP($A805,'Infinet ExDa'!$B$2:$E$14, 3,FALSE), "Not Found"))))))))</f>
        <v>4670</v>
      </c>
      <c r="E805" t="str">
        <f>IFERROR(VLOOKUP($A805,'AAPT ExDa'!$B$2:$U$99, 3,FALSE), IFERROR(VLOOKUP($A805,'ABB ExDa'!$A$2:$N$184, 5,FALSE), IFERROR(VLOOKUP($A805,'Vocus SIT ExDa'!$B$2:$J$173, 2,FALSE), IFERROR(VLOOKUP($A805,'Telstra ExDa'!$B$2:$K$310, 4,FALSE), IFERROR(VLOOKUP($A805,'Vocus RVC ExDa'!$C$2:$R$155, 8,FALSE), IFERROR(VLOOKUP($A805,'Fusion ExDa'!$B$2:$D$16, 4,FALSE), IFERROR(VLOOKUP($A805,'Exetel ExDa'!$C$2:$N$14, 5,FALSE), IFERROR(VLOOKUP($A805,'Infinet ExDa'!$B$2:$E$14, 3,FALSE), "Not Found"))))))))</f>
        <v>50Mbps/20Mbps</v>
      </c>
      <c r="F805" t="str">
        <f>IFERROR(VLOOKUP($A805,'AAPT ExDa'!$B$2:$U$99, 4,FALSE), IFERROR(VLOOKUP($A805,'ABB ExDa'!$A$2:$N$184, 6,FALSE), IFERROR(VLOOKUP($A805,'Vocus SIT ExDa'!$B$2:$J$173, 3,FALSE), IFERROR(VLOOKUP($A805,'Telstra ExDa'!$B$2:$K$310, 5,FALSE), IFERROR(VLOOKUP($A805,'Vocus RVC ExDa'!$C$2:$R$155, 9,FALSE), IFERROR(VLOOKUP($A805,'Fusion ExDa'!$B$2:$D$16, 0,FALSE), IFERROR(VLOOKUP($A805,'Exetel ExDa'!$C$2:$N$14, 6,FALSE), IFERROR(VLOOKUP($A805,'Infinet ExDa'!$B$2:$E$14, 0,FALSE), "Not Found"))))))))</f>
        <v>NBN Reseller G4 FTTN</v>
      </c>
      <c r="G805" t="str">
        <f>IFERROR(VLOOKUP($A805,'AAPT ExDa'!$B$2:$U$99, 5,FALSE), IFERROR(VLOOKUP($A805,'ABB ExDa'!$A$2:$N$184, 8,FALSE), IFERROR(VLOOKUP($A805,'Vocus SIT ExDa'!$B$2:$J$173, 6,FALSE), IFERROR(VLOOKUP($A805,'Telstra ExDa'!$B$2:$K$310, 0,FALSE), IFERROR(VLOOKUP($A805,'Vocus RVC ExDa'!$C$2:$R$155, 15,FALSE), IFERROR(VLOOKUP($A805,'Fusion ExDa'!$B$2:$D$16, 0,FALSE), IFERROR(VLOOKUP($A805,'Exetel ExDa'!$C$2:$N$14, 7,FALSE), IFERROR(VLOOKUP($A805,'Infinet ExDa'!$B$2:$E$14, 0,FALSE), "Not Found"))))))))</f>
        <v>111.220.28.24</v>
      </c>
      <c r="H805" t="str">
        <f>IFERROR(VLOOKUP($A805,'AAPT ExDa'!$B$2:$U$99, 6,FALSE), IFERROR(VLOOKUP($A805,'ABB ExDa'!$A$2:$N$184, 0,FALSE), IFERROR(VLOOKUP($A805,'Vocus SIT ExDa'!$B$2:$J$173, 0,FALSE), IFERROR(VLOOKUP($A805,'Telstra ExDa'!$B$2:$K$310, 0,FALSE), IFERROR(VLOOKUP($A805,'Vocus RVC ExDa'!$C$2:$R$155, 16,FALSE), IFERROR(VLOOKUP($A805,'Fusion ExDa'!$B$2:$D$16, 0,FALSE), IFERROR(VLOOKUP($A805,'Exetel ExDa'!$C$2:$N$14, 0,FALSE), IFERROR(VLOOKUP($A805,'Infinet ExDa'!$B$2:$E$14, 0,FALSE), "Not Found"))))))))</f>
        <v>PPPoE</v>
      </c>
      <c r="I805" t="str">
        <f>IFERROR(VLOOKUP($A805,'AAPT ExDa'!$B$2:$U$99, 0,FALSE), IFERROR(VLOOKUP($A805,'ABB ExDa'!$A$2:$N$184, 0,FALSE), IFERROR(VLOOKUP($A805,'Vocus SIT ExDa'!$B$2:$J$173, 0,FALSE), IFERROR(VLOOKUP($A805,'Telstra ExDa'!$B$2:$K$310, 0,FALSE), IFERROR(VLOOKUP($A805,'Vocus RVC ExDa'!$C$2:$R$155, 0,FALSE), IFERROR(VLOOKUP($A805,'Fusion ExDa'!$B$2:$D$16, 0,FALSE), IFERROR(VLOOKUP($A805,'Exetel ExDa'!$C$2:$N$14, 8,FALSE), IFERROR(VLOOKUP($A805,'Infinet ExDa'!$B$2:$E$14, 0,FALSE), "Not Found"))))))))</f>
        <v>Not Found</v>
      </c>
      <c r="J805" t="str">
        <f>IFERROR(VLOOKUP($A805,'AAPT ExDa'!$B$2:$U$99, 7,FALSE), IFERROR(VLOOKUP($A805,'ABB ExDa'!$A$2:$N$184, 2,FALSE), IFERROR(VLOOKUP($A805,'Vocus SIT ExDa'!$B$2:$J$173, 0,FALSE), IFERROR(VLOOKUP($A805,'Telstra ExDa'!$B$2:$K$310, 7,FALSE), IFERROR(VLOOKUP($A805,'Vocus RVC ExDa'!$C$2:$R$155, 2,FALSE), IFERROR(VLOOKUP($A805,'Fusion ExDa'!$B$2:$D$16, 3,FALSE), IFERROR(VLOOKUP($A805,'Exetel ExDa'!$C$2:$N$14, 0,FALSE), IFERROR(VLOOKUP($A805,'Infinet ExDa'!$B$2:$E$14, 0,FALSE), "Not Found"))))))))</f>
        <v xml:space="preserve">	AVC000180229260</v>
      </c>
      <c r="K805" t="str">
        <f>IFERROR(VLOOKUP($A805,'AAPT ExDa'!$B$2:$U$99, 12,FALSE), IFERROR(VLOOKUP($A805,'ABB ExDa'!$A$2:$N$184, 0,FALSE), IFERROR(VLOOKUP($A805,'Vocus SIT ExDa'!$B$2:$J$173, 0,FALSE), IFERROR(VLOOKUP($A805,'Telstra ExDa'!$B$2:$K$310, 0,FALSE), IFERROR(VLOOKUP($A805,'Vocus RVC ExDa'!$C$2:$R$155, 0,FALSE), IFERROR(VLOOKUP($A805,'Fusion ExDa'!$B$2:$D$16, 0,FALSE), IFERROR(VLOOKUP($A805,'Exetel ExDa'!$C$2:$N$14, 12,FALSE), IFERROR(VLOOKUP($A805,'Infinet ExDa'!$B$2:$E$14, 0,FALSE), "Not Found"))))))))</f>
        <v>Not Found</v>
      </c>
      <c r="L805" s="235" t="str">
        <f>IFERROR(VLOOKUP($A805,'AAPT ExDa'!$B$2:$U$99, 11,FALSE), IFERROR(VLOOKUP($A805,'ABB ExDa'!$A$2:$N$184, 9,FALSE), IFERROR(VLOOKUP($A805,'Vocus SIT ExDa'!$B$2:$J$173, 8,FALSE), IFERROR(VLOOKUP($A805,'Telstra ExDa'!$B$2:$K$310, 0,FALSE), IFERROR(VLOOKUP($A805,'Vocus RVC ExDa'!$C$2:$R$155, 0,FALSE), IFERROR(VLOOKUP($A805,'Fusion ExDa'!$B$2:$D$16, 0,FALSE), IFERROR(VLOOKUP($A805,'Exetel ExDa'!$C$2:$N$14, 9,FALSE), IFERROR(VLOOKUP($A805,'Infinet ExDa'!$B$2:$E$14, 0,FALSE), "Not Found"))))))))</f>
        <v>Not Found</v>
      </c>
      <c r="M805" s="234" t="str">
        <f>IFERROR(VLOOKUP($A805,'AAPT ExDa'!$B$2:$U$99, 0,FALSE), IFERROR(VLOOKUP($A805,'ABB ExDa'!$A$2:$N$184, 0,FALSE), IFERROR(VLOOKUP($A805,'Vocus SIT ExDa'!$B$2:$J$173, 0,FALSE), IFERROR(VLOOKUP($A805,'Telstra ExDa'!$B$2:$K$310, 0,FALSE), IFERROR(VLOOKUP($A805,'Vocus RVC ExDa'!$C$2:$R$155, 0,FALSE), IFERROR(VLOOKUP($A805,'Fusion ExDa'!$B$2:$D$16, 0,FALSE), IFERROR(VLOOKUP($A805,'Exetel ExDa'!$C$2:$N$14, 11,FALSE), IFERROR(VLOOKUP($A805,'Infinet ExDa'!$B$2:$E$14, 0,FALSE), "Not Found"))))))))</f>
        <v>Not Found</v>
      </c>
      <c r="N805" t="str">
        <f>IFERROR(VLOOKUP($A805,'AAPT ExDa'!$B$2:$U$99, 0,FALSE), IFERROR(VLOOKUP($A805,'ABB ExDa'!$A$2:$N$184, 13,FALSE), IFERROR(VLOOKUP($A805,'Vocus SIT ExDa'!$B$2:$J$173, 0,FALSE), IFERROR(VLOOKUP($A805,'Telstra ExDa'!$B$2:$K$310, 0,FALSE), IFERROR(VLOOKUP($A805,'Vocus RVC ExDa'!$C$2:$R$155, 0,FALSE), IFERROR(VLOOKUP($A805,'Fusion ExDa'!$B$2:$D$16, 0,FALSE), IFERROR(VLOOKUP($A805,'Exetel ExDa'!$C$2:$N$14, 0,FALSE), IFERROR(VLOOKUP($A805,'Infinet ExDa'!$B$2:$E$14, 0,FALSE), "Not Found"))))))))</f>
        <v>Not Found</v>
      </c>
    </row>
    <row r="806" spans="1:14">
      <c r="A806" t="str">
        <v>Agnes Water Doctors</v>
      </c>
      <c r="B806" t="str">
        <f>IFERROR(VLOOKUP(A806,'Exetel ExDa'!$C$2:$N$14,4,FALSE),"No Data")</f>
        <v>No Data</v>
      </c>
      <c r="C806" t="str">
        <f>IFERROR(VLOOKUP(A806,'AAPT ExDa'!$B$2:$U$99, 2,FALSE), IFERROR(VLOOKUP(A806,'ABB ExDa'!$A$2:$N$184, 2,FALSE), IFERROR(VLOOKUP(A806,'Vocus SIT ExDa'!$B$2:$J$173, 7,FALSE), IFERROR(VLOOKUP(A806,'Telstra ExDa'!$B$2:$K$310, 2,FALSE), IFERROR(VLOOKUP(A806,'Vocus RVC ExDa'!$C$2:$R$155, 3,FALSE), IFERROR(VLOOKUP(A806,'Fusion ExDa'!$B$2:$D$16, 2,FALSE), IFERROR(VLOOKUP(A806,'Exetel ExDa'!$C$2:$N$14, 2,FALSE), IFERROR(VLOOKUP(A806,'Infinet ExDa'!$B$2:$E$14, 2,FALSE), "Not Found"))))))))</f>
        <v xml:space="preserve">Tncy 15 2875 Round Hill Rd </v>
      </c>
      <c r="D806">
        <f>IFERROR(VLOOKUP($A806,'AAPT ExDa'!$B$2:$U$99, 15,FALSE), IFERROR(VLOOKUP($A806,'ABB ExDa'!$A$2:$N$184, 4,FALSE), IFERROR(VLOOKUP($A806,'Vocus SIT ExDa'!$B$2:$J$173, 5,FALSE), IFERROR(VLOOKUP($A806,'Telstra ExDa'!$B$2:$K$310, 8,FALSE), IFERROR(VLOOKUP($A806,'Vocus RVC ExDa'!$C$2:$R$155, 6,FALSE), IFERROR(VLOOKUP($A806,'Fusion ExDa'!$B$2:$D$16, 4,FALSE), IFERROR(VLOOKUP($A806,'Exetel ExDa'!$C$2:$N$14, 3,FALSE), IFERROR(VLOOKUP($A806,'Infinet ExDa'!$B$2:$E$14, 3,FALSE), "Not Found"))))))))</f>
        <v>4677</v>
      </c>
      <c r="E806" t="str">
        <f>IFERROR(VLOOKUP($A806,'AAPT ExDa'!$B$2:$U$99, 3,FALSE), IFERROR(VLOOKUP($A806,'ABB ExDa'!$A$2:$N$184, 5,FALSE), IFERROR(VLOOKUP($A806,'Vocus SIT ExDa'!$B$2:$J$173, 2,FALSE), IFERROR(VLOOKUP($A806,'Telstra ExDa'!$B$2:$K$310, 4,FALSE), IFERROR(VLOOKUP($A806,'Vocus RVC ExDa'!$C$2:$R$155, 8,FALSE), IFERROR(VLOOKUP($A806,'Fusion ExDa'!$B$2:$D$16, 4,FALSE), IFERROR(VLOOKUP($A806,'Exetel ExDa'!$C$2:$N$14, 5,FALSE), IFERROR(VLOOKUP($A806,'Infinet ExDa'!$B$2:$E$14, 3,FALSE), "Not Found"))))))))</f>
        <v>100Mbps/40Mbps</v>
      </c>
      <c r="F806" t="str">
        <f>IFERROR(VLOOKUP($A806,'AAPT ExDa'!$B$2:$U$99, 4,FALSE), IFERROR(VLOOKUP($A806,'ABB ExDa'!$A$2:$N$184, 6,FALSE), IFERROR(VLOOKUP($A806,'Vocus SIT ExDa'!$B$2:$J$173, 3,FALSE), IFERROR(VLOOKUP($A806,'Telstra ExDa'!$B$2:$K$310, 5,FALSE), IFERROR(VLOOKUP($A806,'Vocus RVC ExDa'!$C$2:$R$155, 9,FALSE), IFERROR(VLOOKUP($A806,'Fusion ExDa'!$B$2:$D$16, 0,FALSE), IFERROR(VLOOKUP($A806,'Exetel ExDa'!$C$2:$N$14, 6,FALSE), IFERROR(VLOOKUP($A806,'Infinet ExDa'!$B$2:$E$14, 0,FALSE), "Not Found"))))))))</f>
        <v xml:space="preserve">NBN Reseller G4 </v>
      </c>
      <c r="G806">
        <f>IFERROR(VLOOKUP($A806,'AAPT ExDa'!$B$2:$U$99, 5,FALSE), IFERROR(VLOOKUP($A806,'ABB ExDa'!$A$2:$N$184, 8,FALSE), IFERROR(VLOOKUP($A806,'Vocus SIT ExDa'!$B$2:$J$173, 6,FALSE), IFERROR(VLOOKUP($A806,'Telstra ExDa'!$B$2:$K$310, 0,FALSE), IFERROR(VLOOKUP($A806,'Vocus RVC ExDa'!$C$2:$R$155, 15,FALSE), IFERROR(VLOOKUP($A806,'Fusion ExDa'!$B$2:$D$16, 0,FALSE), IFERROR(VLOOKUP($A806,'Exetel ExDa'!$C$2:$N$14, 7,FALSE), IFERROR(VLOOKUP($A806,'Infinet ExDa'!$B$2:$E$14, 0,FALSE), "Not Found"))))))))</f>
        <v>0</v>
      </c>
      <c r="H806" t="str">
        <f>IFERROR(VLOOKUP($A806,'AAPT ExDa'!$B$2:$U$99, 6,FALSE), IFERROR(VLOOKUP($A806,'ABB ExDa'!$A$2:$N$184, 0,FALSE), IFERROR(VLOOKUP($A806,'Vocus SIT ExDa'!$B$2:$J$173, 0,FALSE), IFERROR(VLOOKUP($A806,'Telstra ExDa'!$B$2:$K$310, 0,FALSE), IFERROR(VLOOKUP($A806,'Vocus RVC ExDa'!$C$2:$R$155, 16,FALSE), IFERROR(VLOOKUP($A806,'Fusion ExDa'!$B$2:$D$16, 0,FALSE), IFERROR(VLOOKUP($A806,'Exetel ExDa'!$C$2:$N$14, 0,FALSE), IFERROR(VLOOKUP($A806,'Infinet ExDa'!$B$2:$E$14, 0,FALSE), "Not Found"))))))))</f>
        <v>PPPoE</v>
      </c>
      <c r="I806" t="str">
        <f>IFERROR(VLOOKUP($A806,'AAPT ExDa'!$B$2:$U$99, 0,FALSE), IFERROR(VLOOKUP($A806,'ABB ExDa'!$A$2:$N$184, 0,FALSE), IFERROR(VLOOKUP($A806,'Vocus SIT ExDa'!$B$2:$J$173, 0,FALSE), IFERROR(VLOOKUP($A806,'Telstra ExDa'!$B$2:$K$310, 0,FALSE), IFERROR(VLOOKUP($A806,'Vocus RVC ExDa'!$C$2:$R$155, 0,FALSE), IFERROR(VLOOKUP($A806,'Fusion ExDa'!$B$2:$D$16, 0,FALSE), IFERROR(VLOOKUP($A806,'Exetel ExDa'!$C$2:$N$14, 8,FALSE), IFERROR(VLOOKUP($A806,'Infinet ExDa'!$B$2:$E$14, 0,FALSE), "Not Found"))))))))</f>
        <v>Not Found</v>
      </c>
      <c r="J806" t="str">
        <f>IFERROR(VLOOKUP($A806,'AAPT ExDa'!$B$2:$U$99, 7,FALSE), IFERROR(VLOOKUP($A806,'ABB ExDa'!$A$2:$N$184, 2,FALSE), IFERROR(VLOOKUP($A806,'Vocus SIT ExDa'!$B$2:$J$173, 0,FALSE), IFERROR(VLOOKUP($A806,'Telstra ExDa'!$B$2:$K$310, 7,FALSE), IFERROR(VLOOKUP($A806,'Vocus RVC ExDa'!$C$2:$R$155, 2,FALSE), IFERROR(VLOOKUP($A806,'Fusion ExDa'!$B$2:$D$16, 3,FALSE), IFERROR(VLOOKUP($A806,'Exetel ExDa'!$C$2:$N$14, 0,FALSE), IFERROR(VLOOKUP($A806,'Infinet ExDa'!$B$2:$E$14, 0,FALSE), "Not Found"))))))))</f>
        <v>AVC000180125510</v>
      </c>
      <c r="K806" t="str">
        <f>IFERROR(VLOOKUP($A806,'AAPT ExDa'!$B$2:$U$99, 12,FALSE), IFERROR(VLOOKUP($A806,'ABB ExDa'!$A$2:$N$184, 0,FALSE), IFERROR(VLOOKUP($A806,'Vocus SIT ExDa'!$B$2:$J$173, 0,FALSE), IFERROR(VLOOKUP($A806,'Telstra ExDa'!$B$2:$K$310, 0,FALSE), IFERROR(VLOOKUP($A806,'Vocus RVC ExDa'!$C$2:$R$155, 0,FALSE), IFERROR(VLOOKUP($A806,'Fusion ExDa'!$B$2:$D$16, 0,FALSE), IFERROR(VLOOKUP($A806,'Exetel ExDa'!$C$2:$N$14, 12,FALSE), IFERROR(VLOOKUP($A806,'Infinet ExDa'!$B$2:$E$14, 0,FALSE), "Not Found"))))))))</f>
        <v>Not Found</v>
      </c>
      <c r="L806" s="235" t="str">
        <f>IFERROR(VLOOKUP($A806,'AAPT ExDa'!$B$2:$U$99, 11,FALSE), IFERROR(VLOOKUP($A806,'ABB ExDa'!$A$2:$N$184, 9,FALSE), IFERROR(VLOOKUP($A806,'Vocus SIT ExDa'!$B$2:$J$173, 8,FALSE), IFERROR(VLOOKUP($A806,'Telstra ExDa'!$B$2:$K$310, 0,FALSE), IFERROR(VLOOKUP($A806,'Vocus RVC ExDa'!$C$2:$R$155, 0,FALSE), IFERROR(VLOOKUP($A806,'Fusion ExDa'!$B$2:$D$16, 0,FALSE), IFERROR(VLOOKUP($A806,'Exetel ExDa'!$C$2:$N$14, 9,FALSE), IFERROR(VLOOKUP($A806,'Infinet ExDa'!$B$2:$E$14, 0,FALSE), "Not Found"))))))))</f>
        <v>Not Found</v>
      </c>
      <c r="M806" s="234" t="str">
        <f>IFERROR(VLOOKUP($A806,'AAPT ExDa'!$B$2:$U$99, 0,FALSE), IFERROR(VLOOKUP($A806,'ABB ExDa'!$A$2:$N$184, 0,FALSE), IFERROR(VLOOKUP($A806,'Vocus SIT ExDa'!$B$2:$J$173, 0,FALSE), IFERROR(VLOOKUP($A806,'Telstra ExDa'!$B$2:$K$310, 0,FALSE), IFERROR(VLOOKUP($A806,'Vocus RVC ExDa'!$C$2:$R$155, 0,FALSE), IFERROR(VLOOKUP($A806,'Fusion ExDa'!$B$2:$D$16, 0,FALSE), IFERROR(VLOOKUP($A806,'Exetel ExDa'!$C$2:$N$14, 11,FALSE), IFERROR(VLOOKUP($A806,'Infinet ExDa'!$B$2:$E$14, 0,FALSE), "Not Found"))))))))</f>
        <v>Not Found</v>
      </c>
      <c r="N806" t="str">
        <f>IFERROR(VLOOKUP($A806,'AAPT ExDa'!$B$2:$U$99, 0,FALSE), IFERROR(VLOOKUP($A806,'ABB ExDa'!$A$2:$N$184, 13,FALSE), IFERROR(VLOOKUP($A806,'Vocus SIT ExDa'!$B$2:$J$173, 0,FALSE), IFERROR(VLOOKUP($A806,'Telstra ExDa'!$B$2:$K$310, 0,FALSE), IFERROR(VLOOKUP($A806,'Vocus RVC ExDa'!$C$2:$R$155, 0,FALSE), IFERROR(VLOOKUP($A806,'Fusion ExDa'!$B$2:$D$16, 0,FALSE), IFERROR(VLOOKUP($A806,'Exetel ExDa'!$C$2:$N$14, 0,FALSE), IFERROR(VLOOKUP($A806,'Infinet ExDa'!$B$2:$E$14, 0,FALSE), "Not Found"))))))))</f>
        <v>Not Found</v>
      </c>
    </row>
    <row r="807" spans="1:14">
      <c r="A807" t="str">
        <v>DJ Steel Eidsvold</v>
      </c>
      <c r="B807" t="str">
        <f>IFERROR(VLOOKUP(A807,'Exetel ExDa'!$C$2:$N$14,4,FALSE),"No Data")</f>
        <v>No Data</v>
      </c>
      <c r="C807" t="str">
        <f>IFERROR(VLOOKUP(A807,'AAPT ExDa'!$B$2:$U$99, 2,FALSE), IFERROR(VLOOKUP(A807,'ABB ExDa'!$A$2:$N$184, 2,FALSE), IFERROR(VLOOKUP(A807,'Vocus SIT ExDa'!$B$2:$J$173, 7,FALSE), IFERROR(VLOOKUP(A807,'Telstra ExDa'!$B$2:$K$310, 2,FALSE), IFERROR(VLOOKUP(A807,'Vocus RVC ExDa'!$C$2:$R$155, 3,FALSE), IFERROR(VLOOKUP(A807,'Fusion ExDa'!$B$2:$D$16, 2,FALSE), IFERROR(VLOOKUP(A807,'Exetel ExDa'!$C$2:$N$14, 2,FALSE), IFERROR(VLOOKUP(A807,'Infinet ExDa'!$B$2:$E$14, 2,FALSE), "Not Found"))))))))</f>
        <v xml:space="preserve">Lot 1 32 Moreton St </v>
      </c>
      <c r="D807">
        <f>IFERROR(VLOOKUP($A807,'AAPT ExDa'!$B$2:$U$99, 15,FALSE), IFERROR(VLOOKUP($A807,'ABB ExDa'!$A$2:$N$184, 4,FALSE), IFERROR(VLOOKUP($A807,'Vocus SIT ExDa'!$B$2:$J$173, 5,FALSE), IFERROR(VLOOKUP($A807,'Telstra ExDa'!$B$2:$K$310, 8,FALSE), IFERROR(VLOOKUP($A807,'Vocus RVC ExDa'!$C$2:$R$155, 6,FALSE), IFERROR(VLOOKUP($A807,'Fusion ExDa'!$B$2:$D$16, 4,FALSE), IFERROR(VLOOKUP($A807,'Exetel ExDa'!$C$2:$N$14, 3,FALSE), IFERROR(VLOOKUP($A807,'Infinet ExDa'!$B$2:$E$14, 3,FALSE), "Not Found"))))))))</f>
        <v>4627</v>
      </c>
      <c r="E807" t="str">
        <f>IFERROR(VLOOKUP($A807,'AAPT ExDa'!$B$2:$U$99, 3,FALSE), IFERROR(VLOOKUP($A807,'ABB ExDa'!$A$2:$N$184, 5,FALSE), IFERROR(VLOOKUP($A807,'Vocus SIT ExDa'!$B$2:$J$173, 2,FALSE), IFERROR(VLOOKUP($A807,'Telstra ExDa'!$B$2:$K$310, 4,FALSE), IFERROR(VLOOKUP($A807,'Vocus RVC ExDa'!$C$2:$R$155, 8,FALSE), IFERROR(VLOOKUP($A807,'Fusion ExDa'!$B$2:$D$16, 4,FALSE), IFERROR(VLOOKUP($A807,'Exetel ExDa'!$C$2:$N$14, 5,FALSE), IFERROR(VLOOKUP($A807,'Infinet ExDa'!$B$2:$E$14, 3,FALSE), "Not Found"))))))))</f>
        <v>150Mbps/30Mbps</v>
      </c>
      <c r="F807" t="str">
        <f>IFERROR(VLOOKUP($A807,'AAPT ExDa'!$B$2:$U$99, 4,FALSE), IFERROR(VLOOKUP($A807,'ABB ExDa'!$A$2:$N$184, 6,FALSE), IFERROR(VLOOKUP($A807,'Vocus SIT ExDa'!$B$2:$J$173, 3,FALSE), IFERROR(VLOOKUP($A807,'Telstra ExDa'!$B$2:$K$310, 5,FALSE), IFERROR(VLOOKUP($A807,'Vocus RVC ExDa'!$C$2:$R$155, 9,FALSE), IFERROR(VLOOKUP($A807,'Fusion ExDa'!$B$2:$D$16, 0,FALSE), IFERROR(VLOOKUP($A807,'Exetel ExDa'!$C$2:$N$14, 6,FALSE), IFERROR(VLOOKUP($A807,'Infinet ExDa'!$B$2:$E$14, 0,FALSE), "Not Found"))))))))</f>
        <v xml:space="preserve">NBN Reseller G4 WLS </v>
      </c>
      <c r="G807" t="str">
        <f>IFERROR(VLOOKUP($A807,'AAPT ExDa'!$B$2:$U$99, 5,FALSE), IFERROR(VLOOKUP($A807,'ABB ExDa'!$A$2:$N$184, 8,FALSE), IFERROR(VLOOKUP($A807,'Vocus SIT ExDa'!$B$2:$J$173, 6,FALSE), IFERROR(VLOOKUP($A807,'Telstra ExDa'!$B$2:$K$310, 0,FALSE), IFERROR(VLOOKUP($A807,'Vocus RVC ExDa'!$C$2:$R$155, 15,FALSE), IFERROR(VLOOKUP($A807,'Fusion ExDa'!$B$2:$D$16, 0,FALSE), IFERROR(VLOOKUP($A807,'Exetel ExDa'!$C$2:$N$14, 7,FALSE), IFERROR(VLOOKUP($A807,'Infinet ExDa'!$B$2:$E$14, 0,FALSE), "Not Found"))))))))</f>
        <v>139.218.209.51</v>
      </c>
      <c r="H807" t="str">
        <f>IFERROR(VLOOKUP($A807,'AAPT ExDa'!$B$2:$U$99, 6,FALSE), IFERROR(VLOOKUP($A807,'ABB ExDa'!$A$2:$N$184, 0,FALSE), IFERROR(VLOOKUP($A807,'Vocus SIT ExDa'!$B$2:$J$173, 0,FALSE), IFERROR(VLOOKUP($A807,'Telstra ExDa'!$B$2:$K$310, 0,FALSE), IFERROR(VLOOKUP($A807,'Vocus RVC ExDa'!$C$2:$R$155, 16,FALSE), IFERROR(VLOOKUP($A807,'Fusion ExDa'!$B$2:$D$16, 0,FALSE), IFERROR(VLOOKUP($A807,'Exetel ExDa'!$C$2:$N$14, 0,FALSE), IFERROR(VLOOKUP($A807,'Infinet ExDa'!$B$2:$E$14, 0,FALSE), "Not Found"))))))))</f>
        <v>PPPoE</v>
      </c>
      <c r="I807" t="str">
        <f>IFERROR(VLOOKUP($A807,'AAPT ExDa'!$B$2:$U$99, 0,FALSE), IFERROR(VLOOKUP($A807,'ABB ExDa'!$A$2:$N$184, 0,FALSE), IFERROR(VLOOKUP($A807,'Vocus SIT ExDa'!$B$2:$J$173, 0,FALSE), IFERROR(VLOOKUP($A807,'Telstra ExDa'!$B$2:$K$310, 0,FALSE), IFERROR(VLOOKUP($A807,'Vocus RVC ExDa'!$C$2:$R$155, 0,FALSE), IFERROR(VLOOKUP($A807,'Fusion ExDa'!$B$2:$D$16, 0,FALSE), IFERROR(VLOOKUP($A807,'Exetel ExDa'!$C$2:$N$14, 8,FALSE), IFERROR(VLOOKUP($A807,'Infinet ExDa'!$B$2:$E$14, 0,FALSE), "Not Found"))))))))</f>
        <v>Not Found</v>
      </c>
      <c r="J807" t="str">
        <f>IFERROR(VLOOKUP($A807,'AAPT ExDa'!$B$2:$U$99, 7,FALSE), IFERROR(VLOOKUP($A807,'ABB ExDa'!$A$2:$N$184, 2,FALSE), IFERROR(VLOOKUP($A807,'Vocus SIT ExDa'!$B$2:$J$173, 0,FALSE), IFERROR(VLOOKUP($A807,'Telstra ExDa'!$B$2:$K$310, 7,FALSE), IFERROR(VLOOKUP($A807,'Vocus RVC ExDa'!$C$2:$R$155, 2,FALSE), IFERROR(VLOOKUP($A807,'Fusion ExDa'!$B$2:$D$16, 3,FALSE), IFERROR(VLOOKUP($A807,'Exetel ExDa'!$C$2:$N$14, 0,FALSE), IFERROR(VLOOKUP($A807,'Infinet ExDa'!$B$2:$E$14, 0,FALSE), "Not Found"))))))))</f>
        <v xml:space="preserve">	AVC000181597024</v>
      </c>
      <c r="K807" t="str">
        <f>IFERROR(VLOOKUP($A807,'AAPT ExDa'!$B$2:$U$99, 12,FALSE), IFERROR(VLOOKUP($A807,'ABB ExDa'!$A$2:$N$184, 0,FALSE), IFERROR(VLOOKUP($A807,'Vocus SIT ExDa'!$B$2:$J$173, 0,FALSE), IFERROR(VLOOKUP($A807,'Telstra ExDa'!$B$2:$K$310, 0,FALSE), IFERROR(VLOOKUP($A807,'Vocus RVC ExDa'!$C$2:$R$155, 0,FALSE), IFERROR(VLOOKUP($A807,'Fusion ExDa'!$B$2:$D$16, 0,FALSE), IFERROR(VLOOKUP($A807,'Exetel ExDa'!$C$2:$N$14, 12,FALSE), IFERROR(VLOOKUP($A807,'Infinet ExDa'!$B$2:$E$14, 0,FALSE), "Not Found"))))))))</f>
        <v>Not Found</v>
      </c>
      <c r="L807" s="235" t="str">
        <f>IFERROR(VLOOKUP($A807,'AAPT ExDa'!$B$2:$U$99, 11,FALSE), IFERROR(VLOOKUP($A807,'ABB ExDa'!$A$2:$N$184, 9,FALSE), IFERROR(VLOOKUP($A807,'Vocus SIT ExDa'!$B$2:$J$173, 8,FALSE), IFERROR(VLOOKUP($A807,'Telstra ExDa'!$B$2:$K$310, 0,FALSE), IFERROR(VLOOKUP($A807,'Vocus RVC ExDa'!$C$2:$R$155, 0,FALSE), IFERROR(VLOOKUP($A807,'Fusion ExDa'!$B$2:$D$16, 0,FALSE), IFERROR(VLOOKUP($A807,'Exetel ExDa'!$C$2:$N$14, 9,FALSE), IFERROR(VLOOKUP($A807,'Infinet ExDa'!$B$2:$E$14, 0,FALSE), "Not Found"))))))))</f>
        <v>Not Found</v>
      </c>
      <c r="M807" s="234" t="str">
        <f>IFERROR(VLOOKUP($A807,'AAPT ExDa'!$B$2:$U$99, 0,FALSE), IFERROR(VLOOKUP($A807,'ABB ExDa'!$A$2:$N$184, 0,FALSE), IFERROR(VLOOKUP($A807,'Vocus SIT ExDa'!$B$2:$J$173, 0,FALSE), IFERROR(VLOOKUP($A807,'Telstra ExDa'!$B$2:$K$310, 0,FALSE), IFERROR(VLOOKUP($A807,'Vocus RVC ExDa'!$C$2:$R$155, 0,FALSE), IFERROR(VLOOKUP($A807,'Fusion ExDa'!$B$2:$D$16, 0,FALSE), IFERROR(VLOOKUP($A807,'Exetel ExDa'!$C$2:$N$14, 11,FALSE), IFERROR(VLOOKUP($A807,'Infinet ExDa'!$B$2:$E$14, 0,FALSE), "Not Found"))))))))</f>
        <v>Not Found</v>
      </c>
      <c r="N807" t="str">
        <f>IFERROR(VLOOKUP($A807,'AAPT ExDa'!$B$2:$U$99, 0,FALSE), IFERROR(VLOOKUP($A807,'ABB ExDa'!$A$2:$N$184, 13,FALSE), IFERROR(VLOOKUP($A807,'Vocus SIT ExDa'!$B$2:$J$173, 0,FALSE), IFERROR(VLOOKUP($A807,'Telstra ExDa'!$B$2:$K$310, 0,FALSE), IFERROR(VLOOKUP($A807,'Vocus RVC ExDa'!$C$2:$R$155, 0,FALSE), IFERROR(VLOOKUP($A807,'Fusion ExDa'!$B$2:$D$16, 0,FALSE), IFERROR(VLOOKUP($A807,'Exetel ExDa'!$C$2:$N$14, 0,FALSE), IFERROR(VLOOKUP($A807,'Infinet ExDa'!$B$2:$E$14, 0,FALSE), "Not Found"))))))))</f>
        <v>Not Found</v>
      </c>
    </row>
    <row r="808" spans="1:14">
      <c r="A808" t="str">
        <v>Armani Tobacconist</v>
      </c>
      <c r="B808" t="str">
        <f>IFERROR(VLOOKUP(A808,'Exetel ExDa'!$C$2:$N$14,4,FALSE),"No Data")</f>
        <v>No Data</v>
      </c>
      <c r="C808" t="str">
        <f>IFERROR(VLOOKUP(A808,'AAPT ExDa'!$B$2:$U$99, 2,FALSE), IFERROR(VLOOKUP(A808,'ABB ExDa'!$A$2:$N$184, 2,FALSE), IFERROR(VLOOKUP(A808,'Vocus SIT ExDa'!$B$2:$J$173, 7,FALSE), IFERROR(VLOOKUP(A808,'Telstra ExDa'!$B$2:$K$310, 2,FALSE), IFERROR(VLOOKUP(A808,'Vocus RVC ExDa'!$C$2:$R$155, 3,FALSE), IFERROR(VLOOKUP(A808,'Fusion ExDa'!$B$2:$D$16, 2,FALSE), IFERROR(VLOOKUP(A808,'Exetel ExDa'!$C$2:$N$14, 2,FALSE), IFERROR(VLOOKUP(A808,'Infinet ExDa'!$B$2:$E$14, 2,FALSE), "Not Found"))))))))</f>
        <v xml:space="preserve">Tncy 9 2875 Round Hill Rd </v>
      </c>
      <c r="D808">
        <f>IFERROR(VLOOKUP($A808,'AAPT ExDa'!$B$2:$U$99, 15,FALSE), IFERROR(VLOOKUP($A808,'ABB ExDa'!$A$2:$N$184, 4,FALSE), IFERROR(VLOOKUP($A808,'Vocus SIT ExDa'!$B$2:$J$173, 5,FALSE), IFERROR(VLOOKUP($A808,'Telstra ExDa'!$B$2:$K$310, 8,FALSE), IFERROR(VLOOKUP($A808,'Vocus RVC ExDa'!$C$2:$R$155, 6,FALSE), IFERROR(VLOOKUP($A808,'Fusion ExDa'!$B$2:$D$16, 4,FALSE), IFERROR(VLOOKUP($A808,'Exetel ExDa'!$C$2:$N$14, 3,FALSE), IFERROR(VLOOKUP($A808,'Infinet ExDa'!$B$2:$E$14, 3,FALSE), "Not Found"))))))))</f>
        <v>4677</v>
      </c>
      <c r="E808" t="str">
        <f>IFERROR(VLOOKUP($A808,'AAPT ExDa'!$B$2:$U$99, 3,FALSE), IFERROR(VLOOKUP($A808,'ABB ExDa'!$A$2:$N$184, 5,FALSE), IFERROR(VLOOKUP($A808,'Vocus SIT ExDa'!$B$2:$J$173, 2,FALSE), IFERROR(VLOOKUP($A808,'Telstra ExDa'!$B$2:$K$310, 4,FALSE), IFERROR(VLOOKUP($A808,'Vocus RVC ExDa'!$C$2:$R$155, 8,FALSE), IFERROR(VLOOKUP($A808,'Fusion ExDa'!$B$2:$D$16, 4,FALSE), IFERROR(VLOOKUP($A808,'Exetel ExDa'!$C$2:$N$14, 5,FALSE), IFERROR(VLOOKUP($A808,'Infinet ExDa'!$B$2:$E$14, 3,FALSE), "Not Found"))))))))</f>
        <v>50Mbps/20Mbps</v>
      </c>
      <c r="F808" t="str">
        <f>IFERROR(VLOOKUP($A808,'AAPT ExDa'!$B$2:$U$99, 4,FALSE), IFERROR(VLOOKUP($A808,'ABB ExDa'!$A$2:$N$184, 6,FALSE), IFERROR(VLOOKUP($A808,'Vocus SIT ExDa'!$B$2:$J$173, 3,FALSE), IFERROR(VLOOKUP($A808,'Telstra ExDa'!$B$2:$K$310, 5,FALSE), IFERROR(VLOOKUP($A808,'Vocus RVC ExDa'!$C$2:$R$155, 9,FALSE), IFERROR(VLOOKUP($A808,'Fusion ExDa'!$B$2:$D$16, 0,FALSE), IFERROR(VLOOKUP($A808,'Exetel ExDa'!$C$2:$N$14, 6,FALSE), IFERROR(VLOOKUP($A808,'Infinet ExDa'!$B$2:$E$14, 0,FALSE), "Not Found"))))))))</f>
        <v xml:space="preserve">NBN Reseller G4 </v>
      </c>
      <c r="G808">
        <f>IFERROR(VLOOKUP($A808,'AAPT ExDa'!$B$2:$U$99, 5,FALSE), IFERROR(VLOOKUP($A808,'ABB ExDa'!$A$2:$N$184, 8,FALSE), IFERROR(VLOOKUP($A808,'Vocus SIT ExDa'!$B$2:$J$173, 6,FALSE), IFERROR(VLOOKUP($A808,'Telstra ExDa'!$B$2:$K$310, 0,FALSE), IFERROR(VLOOKUP($A808,'Vocus RVC ExDa'!$C$2:$R$155, 15,FALSE), IFERROR(VLOOKUP($A808,'Fusion ExDa'!$B$2:$D$16, 0,FALSE), IFERROR(VLOOKUP($A808,'Exetel ExDa'!$C$2:$N$14, 7,FALSE), IFERROR(VLOOKUP($A808,'Infinet ExDa'!$B$2:$E$14, 0,FALSE), "Not Found"))))))))</f>
        <v>0</v>
      </c>
      <c r="H808" t="str">
        <f>IFERROR(VLOOKUP($A808,'AAPT ExDa'!$B$2:$U$99, 6,FALSE), IFERROR(VLOOKUP($A808,'ABB ExDa'!$A$2:$N$184, 0,FALSE), IFERROR(VLOOKUP($A808,'Vocus SIT ExDa'!$B$2:$J$173, 0,FALSE), IFERROR(VLOOKUP($A808,'Telstra ExDa'!$B$2:$K$310, 0,FALSE), IFERROR(VLOOKUP($A808,'Vocus RVC ExDa'!$C$2:$R$155, 16,FALSE), IFERROR(VLOOKUP($A808,'Fusion ExDa'!$B$2:$D$16, 0,FALSE), IFERROR(VLOOKUP($A808,'Exetel ExDa'!$C$2:$N$14, 0,FALSE), IFERROR(VLOOKUP($A808,'Infinet ExDa'!$B$2:$E$14, 0,FALSE), "Not Found"))))))))</f>
        <v>PPPoE</v>
      </c>
      <c r="I808" t="str">
        <f>IFERROR(VLOOKUP($A808,'AAPT ExDa'!$B$2:$U$99, 0,FALSE), IFERROR(VLOOKUP($A808,'ABB ExDa'!$A$2:$N$184, 0,FALSE), IFERROR(VLOOKUP($A808,'Vocus SIT ExDa'!$B$2:$J$173, 0,FALSE), IFERROR(VLOOKUP($A808,'Telstra ExDa'!$B$2:$K$310, 0,FALSE), IFERROR(VLOOKUP($A808,'Vocus RVC ExDa'!$C$2:$R$155, 0,FALSE), IFERROR(VLOOKUP($A808,'Fusion ExDa'!$B$2:$D$16, 0,FALSE), IFERROR(VLOOKUP($A808,'Exetel ExDa'!$C$2:$N$14, 8,FALSE), IFERROR(VLOOKUP($A808,'Infinet ExDa'!$B$2:$E$14, 0,FALSE), "Not Found"))))))))</f>
        <v>Not Found</v>
      </c>
      <c r="J808" t="str">
        <f>IFERROR(VLOOKUP($A808,'AAPT ExDa'!$B$2:$U$99, 7,FALSE), IFERROR(VLOOKUP($A808,'ABB ExDa'!$A$2:$N$184, 2,FALSE), IFERROR(VLOOKUP($A808,'Vocus SIT ExDa'!$B$2:$J$173, 0,FALSE), IFERROR(VLOOKUP($A808,'Telstra ExDa'!$B$2:$K$310, 7,FALSE), IFERROR(VLOOKUP($A808,'Vocus RVC ExDa'!$C$2:$R$155, 2,FALSE), IFERROR(VLOOKUP($A808,'Fusion ExDa'!$B$2:$D$16, 3,FALSE), IFERROR(VLOOKUP($A808,'Exetel ExDa'!$C$2:$N$14, 0,FALSE), IFERROR(VLOOKUP($A808,'Infinet ExDa'!$B$2:$E$14, 0,FALSE), "Not Found"))))))))</f>
        <v>AVC000181744365</v>
      </c>
      <c r="K808" t="str">
        <f>IFERROR(VLOOKUP($A808,'AAPT ExDa'!$B$2:$U$99, 12,FALSE), IFERROR(VLOOKUP($A808,'ABB ExDa'!$A$2:$N$184, 0,FALSE), IFERROR(VLOOKUP($A808,'Vocus SIT ExDa'!$B$2:$J$173, 0,FALSE), IFERROR(VLOOKUP($A808,'Telstra ExDa'!$B$2:$K$310, 0,FALSE), IFERROR(VLOOKUP($A808,'Vocus RVC ExDa'!$C$2:$R$155, 0,FALSE), IFERROR(VLOOKUP($A808,'Fusion ExDa'!$B$2:$D$16, 0,FALSE), IFERROR(VLOOKUP($A808,'Exetel ExDa'!$C$2:$N$14, 12,FALSE), IFERROR(VLOOKUP($A808,'Infinet ExDa'!$B$2:$E$14, 0,FALSE), "Not Found"))))))))</f>
        <v>Not Found</v>
      </c>
      <c r="L808" s="235" t="str">
        <f>IFERROR(VLOOKUP($A808,'AAPT ExDa'!$B$2:$U$99, 11,FALSE), IFERROR(VLOOKUP($A808,'ABB ExDa'!$A$2:$N$184, 9,FALSE), IFERROR(VLOOKUP($A808,'Vocus SIT ExDa'!$B$2:$J$173, 8,FALSE), IFERROR(VLOOKUP($A808,'Telstra ExDa'!$B$2:$K$310, 0,FALSE), IFERROR(VLOOKUP($A808,'Vocus RVC ExDa'!$C$2:$R$155, 0,FALSE), IFERROR(VLOOKUP($A808,'Fusion ExDa'!$B$2:$D$16, 0,FALSE), IFERROR(VLOOKUP($A808,'Exetel ExDa'!$C$2:$N$14, 9,FALSE), IFERROR(VLOOKUP($A808,'Infinet ExDa'!$B$2:$E$14, 0,FALSE), "Not Found"))))))))</f>
        <v>Not Found</v>
      </c>
      <c r="M808" s="234" t="str">
        <f>IFERROR(VLOOKUP($A808,'AAPT ExDa'!$B$2:$U$99, 0,FALSE), IFERROR(VLOOKUP($A808,'ABB ExDa'!$A$2:$N$184, 0,FALSE), IFERROR(VLOOKUP($A808,'Vocus SIT ExDa'!$B$2:$J$173, 0,FALSE), IFERROR(VLOOKUP($A808,'Telstra ExDa'!$B$2:$K$310, 0,FALSE), IFERROR(VLOOKUP($A808,'Vocus RVC ExDa'!$C$2:$R$155, 0,FALSE), IFERROR(VLOOKUP($A808,'Fusion ExDa'!$B$2:$D$16, 0,FALSE), IFERROR(VLOOKUP($A808,'Exetel ExDa'!$C$2:$N$14, 11,FALSE), IFERROR(VLOOKUP($A808,'Infinet ExDa'!$B$2:$E$14, 0,FALSE), "Not Found"))))))))</f>
        <v>Not Found</v>
      </c>
      <c r="N808" t="str">
        <f>IFERROR(VLOOKUP($A808,'AAPT ExDa'!$B$2:$U$99, 0,FALSE), IFERROR(VLOOKUP($A808,'ABB ExDa'!$A$2:$N$184, 13,FALSE), IFERROR(VLOOKUP($A808,'Vocus SIT ExDa'!$B$2:$J$173, 0,FALSE), IFERROR(VLOOKUP($A808,'Telstra ExDa'!$B$2:$K$310, 0,FALSE), IFERROR(VLOOKUP($A808,'Vocus RVC ExDa'!$C$2:$R$155, 0,FALSE), IFERROR(VLOOKUP($A808,'Fusion ExDa'!$B$2:$D$16, 0,FALSE), IFERROR(VLOOKUP($A808,'Exetel ExDa'!$C$2:$N$14, 0,FALSE), IFERROR(VLOOKUP($A808,'Infinet ExDa'!$B$2:$E$14, 0,FALSE), "Not Found"))))))))</f>
        <v>Not Found</v>
      </c>
    </row>
    <row r="809" spans="1:14">
      <c r="A809" t="str">
        <v>Rio Capurso</v>
      </c>
      <c r="B809" t="str">
        <f>IFERROR(VLOOKUP(A809,'Exetel ExDa'!$C$2:$N$14,4,FALSE),"No Data")</f>
        <v>No Data</v>
      </c>
      <c r="C809" t="str">
        <f>IFERROR(VLOOKUP(A809,'AAPT ExDa'!$B$2:$U$99, 2,FALSE), IFERROR(VLOOKUP(A809,'ABB ExDa'!$A$2:$N$184, 2,FALSE), IFERROR(VLOOKUP(A809,'Vocus SIT ExDa'!$B$2:$J$173, 7,FALSE), IFERROR(VLOOKUP(A809,'Telstra ExDa'!$B$2:$K$310, 2,FALSE), IFERROR(VLOOKUP(A809,'Vocus RVC ExDa'!$C$2:$R$155, 3,FALSE), IFERROR(VLOOKUP(A809,'Fusion ExDa'!$B$2:$D$16, 2,FALSE), IFERROR(VLOOKUP(A809,'Exetel ExDa'!$C$2:$N$14, 2,FALSE), IFERROR(VLOOKUP(A809,'Infinet ExDa'!$B$2:$E$14, 2,FALSE), "Not Found"))))))))</f>
        <v xml:space="preserve">Lot 1 34 Whyandra Cl </v>
      </c>
      <c r="D809">
        <f>IFERROR(VLOOKUP($A809,'AAPT ExDa'!$B$2:$U$99, 15,FALSE), IFERROR(VLOOKUP($A809,'ABB ExDa'!$A$2:$N$184, 4,FALSE), IFERROR(VLOOKUP($A809,'Vocus SIT ExDa'!$B$2:$J$173, 5,FALSE), IFERROR(VLOOKUP($A809,'Telstra ExDa'!$B$2:$K$310, 8,FALSE), IFERROR(VLOOKUP($A809,'Vocus RVC ExDa'!$C$2:$R$155, 6,FALSE), IFERROR(VLOOKUP($A809,'Fusion ExDa'!$B$2:$D$16, 4,FALSE), IFERROR(VLOOKUP($A809,'Exetel ExDa'!$C$2:$N$14, 3,FALSE), IFERROR(VLOOKUP($A809,'Infinet ExDa'!$B$2:$E$14, 3,FALSE), "Not Found"))))))))</f>
        <v>4562</v>
      </c>
      <c r="E809" t="str">
        <f>IFERROR(VLOOKUP($A809,'AAPT ExDa'!$B$2:$U$99, 3,FALSE), IFERROR(VLOOKUP($A809,'ABB ExDa'!$A$2:$N$184, 5,FALSE), IFERROR(VLOOKUP($A809,'Vocus SIT ExDa'!$B$2:$J$173, 2,FALSE), IFERROR(VLOOKUP($A809,'Telstra ExDa'!$B$2:$K$310, 4,FALSE), IFERROR(VLOOKUP($A809,'Vocus RVC ExDa'!$C$2:$R$155, 8,FALSE), IFERROR(VLOOKUP($A809,'Fusion ExDa'!$B$2:$D$16, 4,FALSE), IFERROR(VLOOKUP($A809,'Exetel ExDa'!$C$2:$N$14, 5,FALSE), IFERROR(VLOOKUP($A809,'Infinet ExDa'!$B$2:$E$14, 3,FALSE), "Not Found"))))))))</f>
        <v>100Mbps/40Mbps</v>
      </c>
      <c r="F809" t="str">
        <f>IFERROR(VLOOKUP($A809,'AAPT ExDa'!$B$2:$U$99, 4,FALSE), IFERROR(VLOOKUP($A809,'ABB ExDa'!$A$2:$N$184, 6,FALSE), IFERROR(VLOOKUP($A809,'Vocus SIT ExDa'!$B$2:$J$173, 3,FALSE), IFERROR(VLOOKUP($A809,'Telstra ExDa'!$B$2:$K$310, 5,FALSE), IFERROR(VLOOKUP($A809,'Vocus RVC ExDa'!$C$2:$R$155, 9,FALSE), IFERROR(VLOOKUP($A809,'Fusion ExDa'!$B$2:$D$16, 0,FALSE), IFERROR(VLOOKUP($A809,'Exetel ExDa'!$C$2:$N$14, 6,FALSE), IFERROR(VLOOKUP($A809,'Infinet ExDa'!$B$2:$E$14, 0,FALSE), "Not Found"))))))))</f>
        <v>NBN Reseller G4 FTTN</v>
      </c>
      <c r="G809" t="str">
        <f>IFERROR(VLOOKUP($A809,'AAPT ExDa'!$B$2:$U$99, 5,FALSE), IFERROR(VLOOKUP($A809,'ABB ExDa'!$A$2:$N$184, 8,FALSE), IFERROR(VLOOKUP($A809,'Vocus SIT ExDa'!$B$2:$J$173, 6,FALSE), IFERROR(VLOOKUP($A809,'Telstra ExDa'!$B$2:$K$310, 0,FALSE), IFERROR(VLOOKUP($A809,'Vocus RVC ExDa'!$C$2:$R$155, 15,FALSE), IFERROR(VLOOKUP($A809,'Fusion ExDa'!$B$2:$D$16, 0,FALSE), IFERROR(VLOOKUP($A809,'Exetel ExDa'!$C$2:$N$14, 7,FALSE), IFERROR(VLOOKUP($A809,'Infinet ExDa'!$B$2:$E$14, 0,FALSE), "Not Found"))))))))</f>
        <v>122.151.204.1</v>
      </c>
      <c r="H809" t="str">
        <f>IFERROR(VLOOKUP($A809,'AAPT ExDa'!$B$2:$U$99, 6,FALSE), IFERROR(VLOOKUP($A809,'ABB ExDa'!$A$2:$N$184, 0,FALSE), IFERROR(VLOOKUP($A809,'Vocus SIT ExDa'!$B$2:$J$173, 0,FALSE), IFERROR(VLOOKUP($A809,'Telstra ExDa'!$B$2:$K$310, 0,FALSE), IFERROR(VLOOKUP($A809,'Vocus RVC ExDa'!$C$2:$R$155, 16,FALSE), IFERROR(VLOOKUP($A809,'Fusion ExDa'!$B$2:$D$16, 0,FALSE), IFERROR(VLOOKUP($A809,'Exetel ExDa'!$C$2:$N$14, 0,FALSE), IFERROR(VLOOKUP($A809,'Infinet ExDa'!$B$2:$E$14, 0,FALSE), "Not Found"))))))))</f>
        <v>PPPoE</v>
      </c>
      <c r="I809" t="str">
        <f>IFERROR(VLOOKUP($A809,'AAPT ExDa'!$B$2:$U$99, 0,FALSE), IFERROR(VLOOKUP($A809,'ABB ExDa'!$A$2:$N$184, 0,FALSE), IFERROR(VLOOKUP($A809,'Vocus SIT ExDa'!$B$2:$J$173, 0,FALSE), IFERROR(VLOOKUP($A809,'Telstra ExDa'!$B$2:$K$310, 0,FALSE), IFERROR(VLOOKUP($A809,'Vocus RVC ExDa'!$C$2:$R$155, 0,FALSE), IFERROR(VLOOKUP($A809,'Fusion ExDa'!$B$2:$D$16, 0,FALSE), IFERROR(VLOOKUP($A809,'Exetel ExDa'!$C$2:$N$14, 8,FALSE), IFERROR(VLOOKUP($A809,'Infinet ExDa'!$B$2:$E$14, 0,FALSE), "Not Found"))))))))</f>
        <v>Not Found</v>
      </c>
      <c r="J809" t="str">
        <f>IFERROR(VLOOKUP($A809,'AAPT ExDa'!$B$2:$U$99, 7,FALSE), IFERROR(VLOOKUP($A809,'ABB ExDa'!$A$2:$N$184, 2,FALSE), IFERROR(VLOOKUP($A809,'Vocus SIT ExDa'!$B$2:$J$173, 0,FALSE), IFERROR(VLOOKUP($A809,'Telstra ExDa'!$B$2:$K$310, 7,FALSE), IFERROR(VLOOKUP($A809,'Vocus RVC ExDa'!$C$2:$R$155, 2,FALSE), IFERROR(VLOOKUP($A809,'Fusion ExDa'!$B$2:$D$16, 3,FALSE), IFERROR(VLOOKUP($A809,'Exetel ExDa'!$C$2:$N$14, 0,FALSE), IFERROR(VLOOKUP($A809,'Infinet ExDa'!$B$2:$E$14, 0,FALSE), "Not Found"))))))))</f>
        <v>AVC000182095955</v>
      </c>
      <c r="K809" t="str">
        <f>IFERROR(VLOOKUP($A809,'AAPT ExDa'!$B$2:$U$99, 12,FALSE), IFERROR(VLOOKUP($A809,'ABB ExDa'!$A$2:$N$184, 0,FALSE), IFERROR(VLOOKUP($A809,'Vocus SIT ExDa'!$B$2:$J$173, 0,FALSE), IFERROR(VLOOKUP($A809,'Telstra ExDa'!$B$2:$K$310, 0,FALSE), IFERROR(VLOOKUP($A809,'Vocus RVC ExDa'!$C$2:$R$155, 0,FALSE), IFERROR(VLOOKUP($A809,'Fusion ExDa'!$B$2:$D$16, 0,FALSE), IFERROR(VLOOKUP($A809,'Exetel ExDa'!$C$2:$N$14, 12,FALSE), IFERROR(VLOOKUP($A809,'Infinet ExDa'!$B$2:$E$14, 0,FALSE), "Not Found"))))))))</f>
        <v>Not Found</v>
      </c>
      <c r="L809" s="235" t="str">
        <f>IFERROR(VLOOKUP($A809,'AAPT ExDa'!$B$2:$U$99, 11,FALSE), IFERROR(VLOOKUP($A809,'ABB ExDa'!$A$2:$N$184, 9,FALSE), IFERROR(VLOOKUP($A809,'Vocus SIT ExDa'!$B$2:$J$173, 8,FALSE), IFERROR(VLOOKUP($A809,'Telstra ExDa'!$B$2:$K$310, 0,FALSE), IFERROR(VLOOKUP($A809,'Vocus RVC ExDa'!$C$2:$R$155, 0,FALSE), IFERROR(VLOOKUP($A809,'Fusion ExDa'!$B$2:$D$16, 0,FALSE), IFERROR(VLOOKUP($A809,'Exetel ExDa'!$C$2:$N$14, 9,FALSE), IFERROR(VLOOKUP($A809,'Infinet ExDa'!$B$2:$E$14, 0,FALSE), "Not Found"))))))))</f>
        <v>Not Found</v>
      </c>
      <c r="M809" s="234" t="str">
        <f>IFERROR(VLOOKUP($A809,'AAPT ExDa'!$B$2:$U$99, 0,FALSE), IFERROR(VLOOKUP($A809,'ABB ExDa'!$A$2:$N$184, 0,FALSE), IFERROR(VLOOKUP($A809,'Vocus SIT ExDa'!$B$2:$J$173, 0,FALSE), IFERROR(VLOOKUP($A809,'Telstra ExDa'!$B$2:$K$310, 0,FALSE), IFERROR(VLOOKUP($A809,'Vocus RVC ExDa'!$C$2:$R$155, 0,FALSE), IFERROR(VLOOKUP($A809,'Fusion ExDa'!$B$2:$D$16, 0,FALSE), IFERROR(VLOOKUP($A809,'Exetel ExDa'!$C$2:$N$14, 11,FALSE), IFERROR(VLOOKUP($A809,'Infinet ExDa'!$B$2:$E$14, 0,FALSE), "Not Found"))))))))</f>
        <v>Not Found</v>
      </c>
      <c r="N809" t="str">
        <f>IFERROR(VLOOKUP($A809,'AAPT ExDa'!$B$2:$U$99, 0,FALSE), IFERROR(VLOOKUP($A809,'ABB ExDa'!$A$2:$N$184, 13,FALSE), IFERROR(VLOOKUP($A809,'Vocus SIT ExDa'!$B$2:$J$173, 0,FALSE), IFERROR(VLOOKUP($A809,'Telstra ExDa'!$B$2:$K$310, 0,FALSE), IFERROR(VLOOKUP($A809,'Vocus RVC ExDa'!$C$2:$R$155, 0,FALSE), IFERROR(VLOOKUP($A809,'Fusion ExDa'!$B$2:$D$16, 0,FALSE), IFERROR(VLOOKUP($A809,'Exetel ExDa'!$C$2:$N$14, 0,FALSE), IFERROR(VLOOKUP($A809,'Infinet ExDa'!$B$2:$E$14, 0,FALSE), "Not Found"))))))))</f>
        <v>Not Found</v>
      </c>
    </row>
    <row r="810" spans="1:14">
      <c r="A810" t="str">
        <v>Elanora Heights Medical Practice</v>
      </c>
      <c r="B810" t="str">
        <f>IFERROR(VLOOKUP(A810,'Exetel ExDa'!$C$2:$N$14,4,FALSE),"No Data")</f>
        <v>No Data</v>
      </c>
      <c r="C810" t="str">
        <f>IFERROR(VLOOKUP(A810,'AAPT ExDa'!$B$2:$U$99, 2,FALSE), IFERROR(VLOOKUP(A810,'ABB ExDa'!$A$2:$N$184, 2,FALSE), IFERROR(VLOOKUP(A810,'Vocus SIT ExDa'!$B$2:$J$173, 7,FALSE), IFERROR(VLOOKUP(A810,'Telstra ExDa'!$B$2:$K$310, 2,FALSE), IFERROR(VLOOKUP(A810,'Vocus RVC ExDa'!$C$2:$R$155, 3,FALSE), IFERROR(VLOOKUP(A810,'Fusion ExDa'!$B$2:$D$16, 2,FALSE), IFERROR(VLOOKUP(A810,'Exetel ExDa'!$C$2:$N$14, 2,FALSE), IFERROR(VLOOKUP(A810,'Infinet ExDa'!$B$2:$E$14, 2,FALSE), "Not Found"))))))))</f>
        <v xml:space="preserve">Shop 3 69 Kalang Rd </v>
      </c>
      <c r="D810">
        <f>IFERROR(VLOOKUP($A810,'AAPT ExDa'!$B$2:$U$99, 15,FALSE), IFERROR(VLOOKUP($A810,'ABB ExDa'!$A$2:$N$184, 4,FALSE), IFERROR(VLOOKUP($A810,'Vocus SIT ExDa'!$B$2:$J$173, 5,FALSE), IFERROR(VLOOKUP($A810,'Telstra ExDa'!$B$2:$K$310, 8,FALSE), IFERROR(VLOOKUP($A810,'Vocus RVC ExDa'!$C$2:$R$155, 6,FALSE), IFERROR(VLOOKUP($A810,'Fusion ExDa'!$B$2:$D$16, 4,FALSE), IFERROR(VLOOKUP($A810,'Exetel ExDa'!$C$2:$N$14, 3,FALSE), IFERROR(VLOOKUP($A810,'Infinet ExDa'!$B$2:$E$14, 3,FALSE), "Not Found"))))))))</f>
        <v>2101</v>
      </c>
      <c r="E810" t="str">
        <f>IFERROR(VLOOKUP($A810,'AAPT ExDa'!$B$2:$U$99, 3,FALSE), IFERROR(VLOOKUP($A810,'ABB ExDa'!$A$2:$N$184, 5,FALSE), IFERROR(VLOOKUP($A810,'Vocus SIT ExDa'!$B$2:$J$173, 2,FALSE), IFERROR(VLOOKUP($A810,'Telstra ExDa'!$B$2:$K$310, 4,FALSE), IFERROR(VLOOKUP($A810,'Vocus RVC ExDa'!$C$2:$R$155, 8,FALSE), IFERROR(VLOOKUP($A810,'Fusion ExDa'!$B$2:$D$16, 4,FALSE), IFERROR(VLOOKUP($A810,'Exetel ExDa'!$C$2:$N$14, 5,FALSE), IFERROR(VLOOKUP($A810,'Infinet ExDa'!$B$2:$E$14, 3,FALSE), "Not Found"))))))))</f>
        <v>100Mbps/40Mbps</v>
      </c>
      <c r="F810" t="str">
        <f>IFERROR(VLOOKUP($A810,'AAPT ExDa'!$B$2:$U$99, 4,FALSE), IFERROR(VLOOKUP($A810,'ABB ExDa'!$A$2:$N$184, 6,FALSE), IFERROR(VLOOKUP($A810,'Vocus SIT ExDa'!$B$2:$J$173, 3,FALSE), IFERROR(VLOOKUP($A810,'Telstra ExDa'!$B$2:$K$310, 5,FALSE), IFERROR(VLOOKUP($A810,'Vocus RVC ExDa'!$C$2:$R$155, 9,FALSE), IFERROR(VLOOKUP($A810,'Fusion ExDa'!$B$2:$D$16, 0,FALSE), IFERROR(VLOOKUP($A810,'Exetel ExDa'!$C$2:$N$14, 6,FALSE), IFERROR(VLOOKUP($A810,'Infinet ExDa'!$B$2:$E$14, 0,FALSE), "Not Found"))))))))</f>
        <v>NBN Reseller G4 FTTB</v>
      </c>
      <c r="G810" t="str">
        <f>IFERROR(VLOOKUP($A810,'AAPT ExDa'!$B$2:$U$99, 5,FALSE), IFERROR(VLOOKUP($A810,'ABB ExDa'!$A$2:$N$184, 8,FALSE), IFERROR(VLOOKUP($A810,'Vocus SIT ExDa'!$B$2:$J$173, 6,FALSE), IFERROR(VLOOKUP($A810,'Telstra ExDa'!$B$2:$K$310, 0,FALSE), IFERROR(VLOOKUP($A810,'Vocus RVC ExDa'!$C$2:$R$155, 15,FALSE), IFERROR(VLOOKUP($A810,'Fusion ExDa'!$B$2:$D$16, 0,FALSE), IFERROR(VLOOKUP($A810,'Exetel ExDa'!$C$2:$N$14, 7,FALSE), IFERROR(VLOOKUP($A810,'Infinet ExDa'!$B$2:$E$14, 0,FALSE), "Not Found"))))))))</f>
        <v>202.62.155.211</v>
      </c>
      <c r="H810" t="str">
        <f>IFERROR(VLOOKUP($A810,'AAPT ExDa'!$B$2:$U$99, 6,FALSE), IFERROR(VLOOKUP($A810,'ABB ExDa'!$A$2:$N$184, 0,FALSE), IFERROR(VLOOKUP($A810,'Vocus SIT ExDa'!$B$2:$J$173, 0,FALSE), IFERROR(VLOOKUP($A810,'Telstra ExDa'!$B$2:$K$310, 0,FALSE), IFERROR(VLOOKUP($A810,'Vocus RVC ExDa'!$C$2:$R$155, 16,FALSE), IFERROR(VLOOKUP($A810,'Fusion ExDa'!$B$2:$D$16, 0,FALSE), IFERROR(VLOOKUP($A810,'Exetel ExDa'!$C$2:$N$14, 0,FALSE), IFERROR(VLOOKUP($A810,'Infinet ExDa'!$B$2:$E$14, 0,FALSE), "Not Found"))))))))</f>
        <v>PPPoE</v>
      </c>
      <c r="I810" t="str">
        <f>IFERROR(VLOOKUP($A810,'AAPT ExDa'!$B$2:$U$99, 0,FALSE), IFERROR(VLOOKUP($A810,'ABB ExDa'!$A$2:$N$184, 0,FALSE), IFERROR(VLOOKUP($A810,'Vocus SIT ExDa'!$B$2:$J$173, 0,FALSE), IFERROR(VLOOKUP($A810,'Telstra ExDa'!$B$2:$K$310, 0,FALSE), IFERROR(VLOOKUP($A810,'Vocus RVC ExDa'!$C$2:$R$155, 0,FALSE), IFERROR(VLOOKUP($A810,'Fusion ExDa'!$B$2:$D$16, 0,FALSE), IFERROR(VLOOKUP($A810,'Exetel ExDa'!$C$2:$N$14, 8,FALSE), IFERROR(VLOOKUP($A810,'Infinet ExDa'!$B$2:$E$14, 0,FALSE), "Not Found"))))))))</f>
        <v>Not Found</v>
      </c>
      <c r="J810" t="str">
        <f>IFERROR(VLOOKUP($A810,'AAPT ExDa'!$B$2:$U$99, 7,FALSE), IFERROR(VLOOKUP($A810,'ABB ExDa'!$A$2:$N$184, 2,FALSE), IFERROR(VLOOKUP($A810,'Vocus SIT ExDa'!$B$2:$J$173, 0,FALSE), IFERROR(VLOOKUP($A810,'Telstra ExDa'!$B$2:$K$310, 7,FALSE), IFERROR(VLOOKUP($A810,'Vocus RVC ExDa'!$C$2:$R$155, 2,FALSE), IFERROR(VLOOKUP($A810,'Fusion ExDa'!$B$2:$D$16, 3,FALSE), IFERROR(VLOOKUP($A810,'Exetel ExDa'!$C$2:$N$14, 0,FALSE), IFERROR(VLOOKUP($A810,'Infinet ExDa'!$B$2:$E$14, 0,FALSE), "Not Found"))))))))</f>
        <v xml:space="preserve">	AVC000182527035</v>
      </c>
      <c r="K810" t="str">
        <f>IFERROR(VLOOKUP($A810,'AAPT ExDa'!$B$2:$U$99, 12,FALSE), IFERROR(VLOOKUP($A810,'ABB ExDa'!$A$2:$N$184, 0,FALSE), IFERROR(VLOOKUP($A810,'Vocus SIT ExDa'!$B$2:$J$173, 0,FALSE), IFERROR(VLOOKUP($A810,'Telstra ExDa'!$B$2:$K$310, 0,FALSE), IFERROR(VLOOKUP($A810,'Vocus RVC ExDa'!$C$2:$R$155, 0,FALSE), IFERROR(VLOOKUP($A810,'Fusion ExDa'!$B$2:$D$16, 0,FALSE), IFERROR(VLOOKUP($A810,'Exetel ExDa'!$C$2:$N$14, 12,FALSE), IFERROR(VLOOKUP($A810,'Infinet ExDa'!$B$2:$E$14, 0,FALSE), "Not Found"))))))))</f>
        <v>Not Found</v>
      </c>
      <c r="L810" s="235" t="str">
        <f>IFERROR(VLOOKUP($A810,'AAPT ExDa'!$B$2:$U$99, 11,FALSE), IFERROR(VLOOKUP($A810,'ABB ExDa'!$A$2:$N$184, 9,FALSE), IFERROR(VLOOKUP($A810,'Vocus SIT ExDa'!$B$2:$J$173, 8,FALSE), IFERROR(VLOOKUP($A810,'Telstra ExDa'!$B$2:$K$310, 0,FALSE), IFERROR(VLOOKUP($A810,'Vocus RVC ExDa'!$C$2:$R$155, 0,FALSE), IFERROR(VLOOKUP($A810,'Fusion ExDa'!$B$2:$D$16, 0,FALSE), IFERROR(VLOOKUP($A810,'Exetel ExDa'!$C$2:$N$14, 9,FALSE), IFERROR(VLOOKUP($A810,'Infinet ExDa'!$B$2:$E$14, 0,FALSE), "Not Found"))))))))</f>
        <v>Not Found</v>
      </c>
      <c r="M810" s="234" t="str">
        <f>IFERROR(VLOOKUP($A810,'AAPT ExDa'!$B$2:$U$99, 0,FALSE), IFERROR(VLOOKUP($A810,'ABB ExDa'!$A$2:$N$184, 0,FALSE), IFERROR(VLOOKUP($A810,'Vocus SIT ExDa'!$B$2:$J$173, 0,FALSE), IFERROR(VLOOKUP($A810,'Telstra ExDa'!$B$2:$K$310, 0,FALSE), IFERROR(VLOOKUP($A810,'Vocus RVC ExDa'!$C$2:$R$155, 0,FALSE), IFERROR(VLOOKUP($A810,'Fusion ExDa'!$B$2:$D$16, 0,FALSE), IFERROR(VLOOKUP($A810,'Exetel ExDa'!$C$2:$N$14, 11,FALSE), IFERROR(VLOOKUP($A810,'Infinet ExDa'!$B$2:$E$14, 0,FALSE), "Not Found"))))))))</f>
        <v>Not Found</v>
      </c>
      <c r="N810" t="str">
        <f>IFERROR(VLOOKUP($A810,'AAPT ExDa'!$B$2:$U$99, 0,FALSE), IFERROR(VLOOKUP($A810,'ABB ExDa'!$A$2:$N$184, 13,FALSE), IFERROR(VLOOKUP($A810,'Vocus SIT ExDa'!$B$2:$J$173, 0,FALSE), IFERROR(VLOOKUP($A810,'Telstra ExDa'!$B$2:$K$310, 0,FALSE), IFERROR(VLOOKUP($A810,'Vocus RVC ExDa'!$C$2:$R$155, 0,FALSE), IFERROR(VLOOKUP($A810,'Fusion ExDa'!$B$2:$D$16, 0,FALSE), IFERROR(VLOOKUP($A810,'Exetel ExDa'!$C$2:$N$14, 0,FALSE), IFERROR(VLOOKUP($A810,'Infinet ExDa'!$B$2:$E$14, 0,FALSE), "Not Found"))))))))</f>
        <v>Not Found</v>
      </c>
    </row>
    <row r="811" spans="1:14">
      <c r="A811" t="str">
        <v>Body Corporate for Osprey Mooloolaba</v>
      </c>
      <c r="B811" t="str">
        <f>IFERROR(VLOOKUP(A811,'Exetel ExDa'!$C$2:$N$14,4,FALSE),"No Data")</f>
        <v>No Data</v>
      </c>
      <c r="C811" t="str">
        <f>IFERROR(VLOOKUP(A811,'AAPT ExDa'!$B$2:$U$99, 2,FALSE), IFERROR(VLOOKUP(A811,'ABB ExDa'!$A$2:$N$184, 2,FALSE), IFERROR(VLOOKUP(A811,'Vocus SIT ExDa'!$B$2:$J$173, 7,FALSE), IFERROR(VLOOKUP(A811,'Telstra ExDa'!$B$2:$K$310, 2,FALSE), IFERROR(VLOOKUP(A811,'Vocus RVC ExDa'!$C$2:$R$155, 3,FALSE), IFERROR(VLOOKUP(A811,'Fusion ExDa'!$B$2:$D$16, 2,FALSE), IFERROR(VLOOKUP(A811,'Exetel ExDa'!$C$2:$N$14, 2,FALSE), IFERROR(VLOOKUP(A811,'Infinet ExDa'!$B$2:$E$14, 2,FALSE), "Not Found"))))))))</f>
        <v xml:space="preserve">Unit 1 Lot 1 1-3 Buderim Av </v>
      </c>
      <c r="D811">
        <f>IFERROR(VLOOKUP($A811,'AAPT ExDa'!$B$2:$U$99, 15,FALSE), IFERROR(VLOOKUP($A811,'ABB ExDa'!$A$2:$N$184, 4,FALSE), IFERROR(VLOOKUP($A811,'Vocus SIT ExDa'!$B$2:$J$173, 5,FALSE), IFERROR(VLOOKUP($A811,'Telstra ExDa'!$B$2:$K$310, 8,FALSE), IFERROR(VLOOKUP($A811,'Vocus RVC ExDa'!$C$2:$R$155, 6,FALSE), IFERROR(VLOOKUP($A811,'Fusion ExDa'!$B$2:$D$16, 4,FALSE), IFERROR(VLOOKUP($A811,'Exetel ExDa'!$C$2:$N$14, 3,FALSE), IFERROR(VLOOKUP($A811,'Infinet ExDa'!$B$2:$E$14, 3,FALSE), "Not Found"))))))))</f>
        <v>4557</v>
      </c>
      <c r="E811" t="str">
        <f>IFERROR(VLOOKUP($A811,'AAPT ExDa'!$B$2:$U$99, 3,FALSE), IFERROR(VLOOKUP($A811,'ABB ExDa'!$A$2:$N$184, 5,FALSE), IFERROR(VLOOKUP($A811,'Vocus SIT ExDa'!$B$2:$J$173, 2,FALSE), IFERROR(VLOOKUP($A811,'Telstra ExDa'!$B$2:$K$310, 4,FALSE), IFERROR(VLOOKUP($A811,'Vocus RVC ExDa'!$C$2:$R$155, 8,FALSE), IFERROR(VLOOKUP($A811,'Fusion ExDa'!$B$2:$D$16, 4,FALSE), IFERROR(VLOOKUP($A811,'Exetel ExDa'!$C$2:$N$14, 5,FALSE), IFERROR(VLOOKUP($A811,'Infinet ExDa'!$B$2:$E$14, 3,FALSE), "Not Found"))))))))</f>
        <v>100Mbps/40Mbps</v>
      </c>
      <c r="F811" t="str">
        <f>IFERROR(VLOOKUP($A811,'AAPT ExDa'!$B$2:$U$99, 4,FALSE), IFERROR(VLOOKUP($A811,'ABB ExDa'!$A$2:$N$184, 6,FALSE), IFERROR(VLOOKUP($A811,'Vocus SIT ExDa'!$B$2:$J$173, 3,FALSE), IFERROR(VLOOKUP($A811,'Telstra ExDa'!$B$2:$K$310, 5,FALSE), IFERROR(VLOOKUP($A811,'Vocus RVC ExDa'!$C$2:$R$155, 9,FALSE), IFERROR(VLOOKUP($A811,'Fusion ExDa'!$B$2:$D$16, 0,FALSE), IFERROR(VLOOKUP($A811,'Exetel ExDa'!$C$2:$N$14, 6,FALSE), IFERROR(VLOOKUP($A811,'Infinet ExDa'!$B$2:$E$14, 0,FALSE), "Not Found"))))))))</f>
        <v>NBN Reseller G4 FTTN</v>
      </c>
      <c r="G811" t="str">
        <f>IFERROR(VLOOKUP($A811,'AAPT ExDa'!$B$2:$U$99, 5,FALSE), IFERROR(VLOOKUP($A811,'ABB ExDa'!$A$2:$N$184, 8,FALSE), IFERROR(VLOOKUP($A811,'Vocus SIT ExDa'!$B$2:$J$173, 6,FALSE), IFERROR(VLOOKUP($A811,'Telstra ExDa'!$B$2:$K$310, 0,FALSE), IFERROR(VLOOKUP($A811,'Vocus RVC ExDa'!$C$2:$R$155, 15,FALSE), IFERROR(VLOOKUP($A811,'Fusion ExDa'!$B$2:$D$16, 0,FALSE), IFERROR(VLOOKUP($A811,'Exetel ExDa'!$C$2:$N$14, 7,FALSE), IFERROR(VLOOKUP($A811,'Infinet ExDa'!$B$2:$E$14, 0,FALSE), "Not Found"))))))))</f>
        <v>125.168.244.174</v>
      </c>
      <c r="H811" t="str">
        <f>IFERROR(VLOOKUP($A811,'AAPT ExDa'!$B$2:$U$99, 6,FALSE), IFERROR(VLOOKUP($A811,'ABB ExDa'!$A$2:$N$184, 0,FALSE), IFERROR(VLOOKUP($A811,'Vocus SIT ExDa'!$B$2:$J$173, 0,FALSE), IFERROR(VLOOKUP($A811,'Telstra ExDa'!$B$2:$K$310, 0,FALSE), IFERROR(VLOOKUP($A811,'Vocus RVC ExDa'!$C$2:$R$155, 16,FALSE), IFERROR(VLOOKUP($A811,'Fusion ExDa'!$B$2:$D$16, 0,FALSE), IFERROR(VLOOKUP($A811,'Exetel ExDa'!$C$2:$N$14, 0,FALSE), IFERROR(VLOOKUP($A811,'Infinet ExDa'!$B$2:$E$14, 0,FALSE), "Not Found"))))))))</f>
        <v>PPPoE</v>
      </c>
      <c r="I811" t="str">
        <f>IFERROR(VLOOKUP($A811,'AAPT ExDa'!$B$2:$U$99, 0,FALSE), IFERROR(VLOOKUP($A811,'ABB ExDa'!$A$2:$N$184, 0,FALSE), IFERROR(VLOOKUP($A811,'Vocus SIT ExDa'!$B$2:$J$173, 0,FALSE), IFERROR(VLOOKUP($A811,'Telstra ExDa'!$B$2:$K$310, 0,FALSE), IFERROR(VLOOKUP($A811,'Vocus RVC ExDa'!$C$2:$R$155, 0,FALSE), IFERROR(VLOOKUP($A811,'Fusion ExDa'!$B$2:$D$16, 0,FALSE), IFERROR(VLOOKUP($A811,'Exetel ExDa'!$C$2:$N$14, 8,FALSE), IFERROR(VLOOKUP($A811,'Infinet ExDa'!$B$2:$E$14, 0,FALSE), "Not Found"))))))))</f>
        <v>Not Found</v>
      </c>
      <c r="J811" t="str">
        <f>IFERROR(VLOOKUP($A811,'AAPT ExDa'!$B$2:$U$99, 7,FALSE), IFERROR(VLOOKUP($A811,'ABB ExDa'!$A$2:$N$184, 2,FALSE), IFERROR(VLOOKUP($A811,'Vocus SIT ExDa'!$B$2:$J$173, 0,FALSE), IFERROR(VLOOKUP($A811,'Telstra ExDa'!$B$2:$K$310, 7,FALSE), IFERROR(VLOOKUP($A811,'Vocus RVC ExDa'!$C$2:$R$155, 2,FALSE), IFERROR(VLOOKUP($A811,'Fusion ExDa'!$B$2:$D$16, 3,FALSE), IFERROR(VLOOKUP($A811,'Exetel ExDa'!$C$2:$N$14, 0,FALSE), IFERROR(VLOOKUP($A811,'Infinet ExDa'!$B$2:$E$14, 0,FALSE), "Not Found"))))))))</f>
        <v>AVC000182740718</v>
      </c>
      <c r="K811" t="str">
        <f>IFERROR(VLOOKUP($A811,'AAPT ExDa'!$B$2:$U$99, 12,FALSE), IFERROR(VLOOKUP($A811,'ABB ExDa'!$A$2:$N$184, 0,FALSE), IFERROR(VLOOKUP($A811,'Vocus SIT ExDa'!$B$2:$J$173, 0,FALSE), IFERROR(VLOOKUP($A811,'Telstra ExDa'!$B$2:$K$310, 0,FALSE), IFERROR(VLOOKUP($A811,'Vocus RVC ExDa'!$C$2:$R$155, 0,FALSE), IFERROR(VLOOKUP($A811,'Fusion ExDa'!$B$2:$D$16, 0,FALSE), IFERROR(VLOOKUP($A811,'Exetel ExDa'!$C$2:$N$14, 12,FALSE), IFERROR(VLOOKUP($A811,'Infinet ExDa'!$B$2:$E$14, 0,FALSE), "Not Found"))))))))</f>
        <v>Not Found</v>
      </c>
      <c r="L811" s="235" t="str">
        <f>IFERROR(VLOOKUP($A811,'AAPT ExDa'!$B$2:$U$99, 11,FALSE), IFERROR(VLOOKUP($A811,'ABB ExDa'!$A$2:$N$184, 9,FALSE), IFERROR(VLOOKUP($A811,'Vocus SIT ExDa'!$B$2:$J$173, 8,FALSE), IFERROR(VLOOKUP($A811,'Telstra ExDa'!$B$2:$K$310, 0,FALSE), IFERROR(VLOOKUP($A811,'Vocus RVC ExDa'!$C$2:$R$155, 0,FALSE), IFERROR(VLOOKUP($A811,'Fusion ExDa'!$B$2:$D$16, 0,FALSE), IFERROR(VLOOKUP($A811,'Exetel ExDa'!$C$2:$N$14, 9,FALSE), IFERROR(VLOOKUP($A811,'Infinet ExDa'!$B$2:$E$14, 0,FALSE), "Not Found"))))))))</f>
        <v>Not Found</v>
      </c>
      <c r="M811" s="234" t="str">
        <f>IFERROR(VLOOKUP($A811,'AAPT ExDa'!$B$2:$U$99, 0,FALSE), IFERROR(VLOOKUP($A811,'ABB ExDa'!$A$2:$N$184, 0,FALSE), IFERROR(VLOOKUP($A811,'Vocus SIT ExDa'!$B$2:$J$173, 0,FALSE), IFERROR(VLOOKUP($A811,'Telstra ExDa'!$B$2:$K$310, 0,FALSE), IFERROR(VLOOKUP($A811,'Vocus RVC ExDa'!$C$2:$R$155, 0,FALSE), IFERROR(VLOOKUP($A811,'Fusion ExDa'!$B$2:$D$16, 0,FALSE), IFERROR(VLOOKUP($A811,'Exetel ExDa'!$C$2:$N$14, 11,FALSE), IFERROR(VLOOKUP($A811,'Infinet ExDa'!$B$2:$E$14, 0,FALSE), "Not Found"))))))))</f>
        <v>Not Found</v>
      </c>
      <c r="N811" t="str">
        <f>IFERROR(VLOOKUP($A811,'AAPT ExDa'!$B$2:$U$99, 0,FALSE), IFERROR(VLOOKUP($A811,'ABB ExDa'!$A$2:$N$184, 13,FALSE), IFERROR(VLOOKUP($A811,'Vocus SIT ExDa'!$B$2:$J$173, 0,FALSE), IFERROR(VLOOKUP($A811,'Telstra ExDa'!$B$2:$K$310, 0,FALSE), IFERROR(VLOOKUP($A811,'Vocus RVC ExDa'!$C$2:$R$155, 0,FALSE), IFERROR(VLOOKUP($A811,'Fusion ExDa'!$B$2:$D$16, 0,FALSE), IFERROR(VLOOKUP($A811,'Exetel ExDa'!$C$2:$N$14, 0,FALSE), IFERROR(VLOOKUP($A811,'Infinet ExDa'!$B$2:$E$14, 0,FALSE), "Not Found"))))))))</f>
        <v>Not Found</v>
      </c>
    </row>
    <row r="812" spans="1:14">
      <c r="A812" t="str">
        <v>Body Corporate for Osprey Mooloolaba</v>
      </c>
      <c r="B812" t="str">
        <f>IFERROR(VLOOKUP(A812,'Exetel ExDa'!$C$2:$N$14,4,FALSE),"No Data")</f>
        <v>No Data</v>
      </c>
      <c r="C812" t="str">
        <f>IFERROR(VLOOKUP(A812,'AAPT ExDa'!$B$2:$U$99, 2,FALSE), IFERROR(VLOOKUP(A812,'ABB ExDa'!$A$2:$N$184, 2,FALSE), IFERROR(VLOOKUP(A812,'Vocus SIT ExDa'!$B$2:$J$173, 7,FALSE), IFERROR(VLOOKUP(A812,'Telstra ExDa'!$B$2:$K$310, 2,FALSE), IFERROR(VLOOKUP(A812,'Vocus RVC ExDa'!$C$2:$R$155, 3,FALSE), IFERROR(VLOOKUP(A812,'Fusion ExDa'!$B$2:$D$16, 2,FALSE), IFERROR(VLOOKUP(A812,'Exetel ExDa'!$C$2:$N$14, 2,FALSE), IFERROR(VLOOKUP(A812,'Infinet ExDa'!$B$2:$E$14, 2,FALSE), "Not Found"))))))))</f>
        <v xml:space="preserve">Unit 1 Lot 1 1-3 Buderim Av </v>
      </c>
      <c r="D812">
        <f>IFERROR(VLOOKUP($A812,'AAPT ExDa'!$B$2:$U$99, 15,FALSE), IFERROR(VLOOKUP($A812,'ABB ExDa'!$A$2:$N$184, 4,FALSE), IFERROR(VLOOKUP($A812,'Vocus SIT ExDa'!$B$2:$J$173, 5,FALSE), IFERROR(VLOOKUP($A812,'Telstra ExDa'!$B$2:$K$310, 8,FALSE), IFERROR(VLOOKUP($A812,'Vocus RVC ExDa'!$C$2:$R$155, 6,FALSE), IFERROR(VLOOKUP($A812,'Fusion ExDa'!$B$2:$D$16, 4,FALSE), IFERROR(VLOOKUP($A812,'Exetel ExDa'!$C$2:$N$14, 3,FALSE), IFERROR(VLOOKUP($A812,'Infinet ExDa'!$B$2:$E$14, 3,FALSE), "Not Found"))))))))</f>
        <v>4557</v>
      </c>
      <c r="E812" t="str">
        <f>IFERROR(VLOOKUP($A812,'AAPT ExDa'!$B$2:$U$99, 3,FALSE), IFERROR(VLOOKUP($A812,'ABB ExDa'!$A$2:$N$184, 5,FALSE), IFERROR(VLOOKUP($A812,'Vocus SIT ExDa'!$B$2:$J$173, 2,FALSE), IFERROR(VLOOKUP($A812,'Telstra ExDa'!$B$2:$K$310, 4,FALSE), IFERROR(VLOOKUP($A812,'Vocus RVC ExDa'!$C$2:$R$155, 8,FALSE), IFERROR(VLOOKUP($A812,'Fusion ExDa'!$B$2:$D$16, 4,FALSE), IFERROR(VLOOKUP($A812,'Exetel ExDa'!$C$2:$N$14, 5,FALSE), IFERROR(VLOOKUP($A812,'Infinet ExDa'!$B$2:$E$14, 3,FALSE), "Not Found"))))))))</f>
        <v>100Mbps/40Mbps</v>
      </c>
      <c r="F812" t="str">
        <f>IFERROR(VLOOKUP($A812,'AAPT ExDa'!$B$2:$U$99, 4,FALSE), IFERROR(VLOOKUP($A812,'ABB ExDa'!$A$2:$N$184, 6,FALSE), IFERROR(VLOOKUP($A812,'Vocus SIT ExDa'!$B$2:$J$173, 3,FALSE), IFERROR(VLOOKUP($A812,'Telstra ExDa'!$B$2:$K$310, 5,FALSE), IFERROR(VLOOKUP($A812,'Vocus RVC ExDa'!$C$2:$R$155, 9,FALSE), IFERROR(VLOOKUP($A812,'Fusion ExDa'!$B$2:$D$16, 0,FALSE), IFERROR(VLOOKUP($A812,'Exetel ExDa'!$C$2:$N$14, 6,FALSE), IFERROR(VLOOKUP($A812,'Infinet ExDa'!$B$2:$E$14, 0,FALSE), "Not Found"))))))))</f>
        <v>NBN Reseller G4 FTTN</v>
      </c>
      <c r="G812" t="str">
        <f>IFERROR(VLOOKUP($A812,'AAPT ExDa'!$B$2:$U$99, 5,FALSE), IFERROR(VLOOKUP($A812,'ABB ExDa'!$A$2:$N$184, 8,FALSE), IFERROR(VLOOKUP($A812,'Vocus SIT ExDa'!$B$2:$J$173, 6,FALSE), IFERROR(VLOOKUP($A812,'Telstra ExDa'!$B$2:$K$310, 0,FALSE), IFERROR(VLOOKUP($A812,'Vocus RVC ExDa'!$C$2:$R$155, 15,FALSE), IFERROR(VLOOKUP($A812,'Fusion ExDa'!$B$2:$D$16, 0,FALSE), IFERROR(VLOOKUP($A812,'Exetel ExDa'!$C$2:$N$14, 7,FALSE), IFERROR(VLOOKUP($A812,'Infinet ExDa'!$B$2:$E$14, 0,FALSE), "Not Found"))))))))</f>
        <v>125.168.244.174</v>
      </c>
      <c r="H812" t="str">
        <f>IFERROR(VLOOKUP($A812,'AAPT ExDa'!$B$2:$U$99, 6,FALSE), IFERROR(VLOOKUP($A812,'ABB ExDa'!$A$2:$N$184, 0,FALSE), IFERROR(VLOOKUP($A812,'Vocus SIT ExDa'!$B$2:$J$173, 0,FALSE), IFERROR(VLOOKUP($A812,'Telstra ExDa'!$B$2:$K$310, 0,FALSE), IFERROR(VLOOKUP($A812,'Vocus RVC ExDa'!$C$2:$R$155, 16,FALSE), IFERROR(VLOOKUP($A812,'Fusion ExDa'!$B$2:$D$16, 0,FALSE), IFERROR(VLOOKUP($A812,'Exetel ExDa'!$C$2:$N$14, 0,FALSE), IFERROR(VLOOKUP($A812,'Infinet ExDa'!$B$2:$E$14, 0,FALSE), "Not Found"))))))))</f>
        <v>PPPoE</v>
      </c>
      <c r="I812" t="str">
        <f>IFERROR(VLOOKUP($A812,'AAPT ExDa'!$B$2:$U$99, 0,FALSE), IFERROR(VLOOKUP($A812,'ABB ExDa'!$A$2:$N$184, 0,FALSE), IFERROR(VLOOKUP($A812,'Vocus SIT ExDa'!$B$2:$J$173, 0,FALSE), IFERROR(VLOOKUP($A812,'Telstra ExDa'!$B$2:$K$310, 0,FALSE), IFERROR(VLOOKUP($A812,'Vocus RVC ExDa'!$C$2:$R$155, 0,FALSE), IFERROR(VLOOKUP($A812,'Fusion ExDa'!$B$2:$D$16, 0,FALSE), IFERROR(VLOOKUP($A812,'Exetel ExDa'!$C$2:$N$14, 8,FALSE), IFERROR(VLOOKUP($A812,'Infinet ExDa'!$B$2:$E$14, 0,FALSE), "Not Found"))))))))</f>
        <v>Not Found</v>
      </c>
      <c r="J812" t="str">
        <f>IFERROR(VLOOKUP($A812,'AAPT ExDa'!$B$2:$U$99, 7,FALSE), IFERROR(VLOOKUP($A812,'ABB ExDa'!$A$2:$N$184, 2,FALSE), IFERROR(VLOOKUP($A812,'Vocus SIT ExDa'!$B$2:$J$173, 0,FALSE), IFERROR(VLOOKUP($A812,'Telstra ExDa'!$B$2:$K$310, 7,FALSE), IFERROR(VLOOKUP($A812,'Vocus RVC ExDa'!$C$2:$R$155, 2,FALSE), IFERROR(VLOOKUP($A812,'Fusion ExDa'!$B$2:$D$16, 3,FALSE), IFERROR(VLOOKUP($A812,'Exetel ExDa'!$C$2:$N$14, 0,FALSE), IFERROR(VLOOKUP($A812,'Infinet ExDa'!$B$2:$E$14, 0,FALSE), "Not Found"))))))))</f>
        <v>AVC000182740718</v>
      </c>
      <c r="K812" t="str">
        <f>IFERROR(VLOOKUP($A812,'AAPT ExDa'!$B$2:$U$99, 12,FALSE), IFERROR(VLOOKUP($A812,'ABB ExDa'!$A$2:$N$184, 0,FALSE), IFERROR(VLOOKUP($A812,'Vocus SIT ExDa'!$B$2:$J$173, 0,FALSE), IFERROR(VLOOKUP($A812,'Telstra ExDa'!$B$2:$K$310, 0,FALSE), IFERROR(VLOOKUP($A812,'Vocus RVC ExDa'!$C$2:$R$155, 0,FALSE), IFERROR(VLOOKUP($A812,'Fusion ExDa'!$B$2:$D$16, 0,FALSE), IFERROR(VLOOKUP($A812,'Exetel ExDa'!$C$2:$N$14, 12,FALSE), IFERROR(VLOOKUP($A812,'Infinet ExDa'!$B$2:$E$14, 0,FALSE), "Not Found"))))))))</f>
        <v>Not Found</v>
      </c>
      <c r="L812" s="235" t="str">
        <f>IFERROR(VLOOKUP($A812,'AAPT ExDa'!$B$2:$U$99, 11,FALSE), IFERROR(VLOOKUP($A812,'ABB ExDa'!$A$2:$N$184, 9,FALSE), IFERROR(VLOOKUP($A812,'Vocus SIT ExDa'!$B$2:$J$173, 8,FALSE), IFERROR(VLOOKUP($A812,'Telstra ExDa'!$B$2:$K$310, 0,FALSE), IFERROR(VLOOKUP($A812,'Vocus RVC ExDa'!$C$2:$R$155, 0,FALSE), IFERROR(VLOOKUP($A812,'Fusion ExDa'!$B$2:$D$16, 0,FALSE), IFERROR(VLOOKUP($A812,'Exetel ExDa'!$C$2:$N$14, 9,FALSE), IFERROR(VLOOKUP($A812,'Infinet ExDa'!$B$2:$E$14, 0,FALSE), "Not Found"))))))))</f>
        <v>Not Found</v>
      </c>
      <c r="M812" s="234" t="str">
        <f>IFERROR(VLOOKUP($A812,'AAPT ExDa'!$B$2:$U$99, 0,FALSE), IFERROR(VLOOKUP($A812,'ABB ExDa'!$A$2:$N$184, 0,FALSE), IFERROR(VLOOKUP($A812,'Vocus SIT ExDa'!$B$2:$J$173, 0,FALSE), IFERROR(VLOOKUP($A812,'Telstra ExDa'!$B$2:$K$310, 0,FALSE), IFERROR(VLOOKUP($A812,'Vocus RVC ExDa'!$C$2:$R$155, 0,FALSE), IFERROR(VLOOKUP($A812,'Fusion ExDa'!$B$2:$D$16, 0,FALSE), IFERROR(VLOOKUP($A812,'Exetel ExDa'!$C$2:$N$14, 11,FALSE), IFERROR(VLOOKUP($A812,'Infinet ExDa'!$B$2:$E$14, 0,FALSE), "Not Found"))))))))</f>
        <v>Not Found</v>
      </c>
      <c r="N812" t="str">
        <f>IFERROR(VLOOKUP($A812,'AAPT ExDa'!$B$2:$U$99, 0,FALSE), IFERROR(VLOOKUP($A812,'ABB ExDa'!$A$2:$N$184, 13,FALSE), IFERROR(VLOOKUP($A812,'Vocus SIT ExDa'!$B$2:$J$173, 0,FALSE), IFERROR(VLOOKUP($A812,'Telstra ExDa'!$B$2:$K$310, 0,FALSE), IFERROR(VLOOKUP($A812,'Vocus RVC ExDa'!$C$2:$R$155, 0,FALSE), IFERROR(VLOOKUP($A812,'Fusion ExDa'!$B$2:$D$16, 0,FALSE), IFERROR(VLOOKUP($A812,'Exetel ExDa'!$C$2:$N$14, 0,FALSE), IFERROR(VLOOKUP($A812,'Infinet ExDa'!$B$2:$E$14, 0,FALSE), "Not Found"))))))))</f>
        <v>Not Found</v>
      </c>
    </row>
    <row r="813" spans="1:14">
      <c r="A813" t="str">
        <v>Brands Pharmacy Spring Hill</v>
      </c>
      <c r="B813" t="str">
        <f>IFERROR(VLOOKUP(A813,'Exetel ExDa'!$C$2:$N$14,4,FALSE),"No Data")</f>
        <v>No Data</v>
      </c>
      <c r="C813" t="str">
        <f>IFERROR(VLOOKUP(A813,'AAPT ExDa'!$B$2:$U$99, 2,FALSE), IFERROR(VLOOKUP(A813,'ABB ExDa'!$A$2:$N$184, 2,FALSE), IFERROR(VLOOKUP(A813,'Vocus SIT ExDa'!$B$2:$J$173, 7,FALSE), IFERROR(VLOOKUP(A813,'Telstra ExDa'!$B$2:$K$310, 2,FALSE), IFERROR(VLOOKUP(A813,'Vocus RVC ExDa'!$C$2:$R$155, 3,FALSE), IFERROR(VLOOKUP(A813,'Fusion ExDa'!$B$2:$D$16, 2,FALSE), IFERROR(VLOOKUP(A813,'Exetel ExDa'!$C$2:$N$14, 2,FALSE), IFERROR(VLOOKUP(A813,'Infinet ExDa'!$B$2:$E$14, 2,FALSE), "Not Found"))))))))</f>
        <v xml:space="preserve">Shop 6 448 Boundary St </v>
      </c>
      <c r="D813">
        <f>IFERROR(VLOOKUP($A813,'AAPT ExDa'!$B$2:$U$99, 15,FALSE), IFERROR(VLOOKUP($A813,'ABB ExDa'!$A$2:$N$184, 4,FALSE), IFERROR(VLOOKUP($A813,'Vocus SIT ExDa'!$B$2:$J$173, 5,FALSE), IFERROR(VLOOKUP($A813,'Telstra ExDa'!$B$2:$K$310, 8,FALSE), IFERROR(VLOOKUP($A813,'Vocus RVC ExDa'!$C$2:$R$155, 6,FALSE), IFERROR(VLOOKUP($A813,'Fusion ExDa'!$B$2:$D$16, 4,FALSE), IFERROR(VLOOKUP($A813,'Exetel ExDa'!$C$2:$N$14, 3,FALSE), IFERROR(VLOOKUP($A813,'Infinet ExDa'!$B$2:$E$14, 3,FALSE), "Not Found"))))))))</f>
        <v>4004</v>
      </c>
      <c r="E813" t="str">
        <f>IFERROR(VLOOKUP($A813,'AAPT ExDa'!$B$2:$U$99, 3,FALSE), IFERROR(VLOOKUP($A813,'ABB ExDa'!$A$2:$N$184, 5,FALSE), IFERROR(VLOOKUP($A813,'Vocus SIT ExDa'!$B$2:$J$173, 2,FALSE), IFERROR(VLOOKUP($A813,'Telstra ExDa'!$B$2:$K$310, 4,FALSE), IFERROR(VLOOKUP($A813,'Vocus RVC ExDa'!$C$2:$R$155, 8,FALSE), IFERROR(VLOOKUP($A813,'Fusion ExDa'!$B$2:$D$16, 4,FALSE), IFERROR(VLOOKUP($A813,'Exetel ExDa'!$C$2:$N$14, 5,FALSE), IFERROR(VLOOKUP($A813,'Infinet ExDa'!$B$2:$E$14, 3,FALSE), "Not Found"))))))))</f>
        <v>100Mbps/40Mbps</v>
      </c>
      <c r="F813" t="str">
        <f>IFERROR(VLOOKUP($A813,'AAPT ExDa'!$B$2:$U$99, 4,FALSE), IFERROR(VLOOKUP($A813,'ABB ExDa'!$A$2:$N$184, 6,FALSE), IFERROR(VLOOKUP($A813,'Vocus SIT ExDa'!$B$2:$J$173, 3,FALSE), IFERROR(VLOOKUP($A813,'Telstra ExDa'!$B$2:$K$310, 5,FALSE), IFERROR(VLOOKUP($A813,'Vocus RVC ExDa'!$C$2:$R$155, 9,FALSE), IFERROR(VLOOKUP($A813,'Fusion ExDa'!$B$2:$D$16, 0,FALSE), IFERROR(VLOOKUP($A813,'Exetel ExDa'!$C$2:$N$14, 6,FALSE), IFERROR(VLOOKUP($A813,'Infinet ExDa'!$B$2:$E$14, 0,FALSE), "Not Found"))))))))</f>
        <v>NBN Reseller G4 FTTB</v>
      </c>
      <c r="G813" t="str">
        <f>IFERROR(VLOOKUP($A813,'AAPT ExDa'!$B$2:$U$99, 5,FALSE), IFERROR(VLOOKUP($A813,'ABB ExDa'!$A$2:$N$184, 8,FALSE), IFERROR(VLOOKUP($A813,'Vocus SIT ExDa'!$B$2:$J$173, 6,FALSE), IFERROR(VLOOKUP($A813,'Telstra ExDa'!$B$2:$K$310, 0,FALSE), IFERROR(VLOOKUP($A813,'Vocus RVC ExDa'!$C$2:$R$155, 15,FALSE), IFERROR(VLOOKUP($A813,'Fusion ExDa'!$B$2:$D$16, 0,FALSE), IFERROR(VLOOKUP($A813,'Exetel ExDa'!$C$2:$N$14, 7,FALSE), IFERROR(VLOOKUP($A813,'Infinet ExDa'!$B$2:$E$14, 0,FALSE), "Not Found"))))))))</f>
        <v>202.62.138.92</v>
      </c>
      <c r="H813" t="str">
        <f>IFERROR(VLOOKUP($A813,'AAPT ExDa'!$B$2:$U$99, 6,FALSE), IFERROR(VLOOKUP($A813,'ABB ExDa'!$A$2:$N$184, 0,FALSE), IFERROR(VLOOKUP($A813,'Vocus SIT ExDa'!$B$2:$J$173, 0,FALSE), IFERROR(VLOOKUP($A813,'Telstra ExDa'!$B$2:$K$310, 0,FALSE), IFERROR(VLOOKUP($A813,'Vocus RVC ExDa'!$C$2:$R$155, 16,FALSE), IFERROR(VLOOKUP($A813,'Fusion ExDa'!$B$2:$D$16, 0,FALSE), IFERROR(VLOOKUP($A813,'Exetel ExDa'!$C$2:$N$14, 0,FALSE), IFERROR(VLOOKUP($A813,'Infinet ExDa'!$B$2:$E$14, 0,FALSE), "Not Found"))))))))</f>
        <v>PPPoE</v>
      </c>
      <c r="I813" t="str">
        <f>IFERROR(VLOOKUP($A813,'AAPT ExDa'!$B$2:$U$99, 0,FALSE), IFERROR(VLOOKUP($A813,'ABB ExDa'!$A$2:$N$184, 0,FALSE), IFERROR(VLOOKUP($A813,'Vocus SIT ExDa'!$B$2:$J$173, 0,FALSE), IFERROR(VLOOKUP($A813,'Telstra ExDa'!$B$2:$K$310, 0,FALSE), IFERROR(VLOOKUP($A813,'Vocus RVC ExDa'!$C$2:$R$155, 0,FALSE), IFERROR(VLOOKUP($A813,'Fusion ExDa'!$B$2:$D$16, 0,FALSE), IFERROR(VLOOKUP($A813,'Exetel ExDa'!$C$2:$N$14, 8,FALSE), IFERROR(VLOOKUP($A813,'Infinet ExDa'!$B$2:$E$14, 0,FALSE), "Not Found"))))))))</f>
        <v>Not Found</v>
      </c>
      <c r="J813" t="str">
        <f>IFERROR(VLOOKUP($A813,'AAPT ExDa'!$B$2:$U$99, 7,FALSE), IFERROR(VLOOKUP($A813,'ABB ExDa'!$A$2:$N$184, 2,FALSE), IFERROR(VLOOKUP($A813,'Vocus SIT ExDa'!$B$2:$J$173, 0,FALSE), IFERROR(VLOOKUP($A813,'Telstra ExDa'!$B$2:$K$310, 7,FALSE), IFERROR(VLOOKUP($A813,'Vocus RVC ExDa'!$C$2:$R$155, 2,FALSE), IFERROR(VLOOKUP($A813,'Fusion ExDa'!$B$2:$D$16, 3,FALSE), IFERROR(VLOOKUP($A813,'Exetel ExDa'!$C$2:$N$14, 0,FALSE), IFERROR(VLOOKUP($A813,'Infinet ExDa'!$B$2:$E$14, 0,FALSE), "Not Found"))))))))</f>
        <v xml:space="preserve">	AVC000183229482</v>
      </c>
      <c r="K813" t="str">
        <f>IFERROR(VLOOKUP($A813,'AAPT ExDa'!$B$2:$U$99, 12,FALSE), IFERROR(VLOOKUP($A813,'ABB ExDa'!$A$2:$N$184, 0,FALSE), IFERROR(VLOOKUP($A813,'Vocus SIT ExDa'!$B$2:$J$173, 0,FALSE), IFERROR(VLOOKUP($A813,'Telstra ExDa'!$B$2:$K$310, 0,FALSE), IFERROR(VLOOKUP($A813,'Vocus RVC ExDa'!$C$2:$R$155, 0,FALSE), IFERROR(VLOOKUP($A813,'Fusion ExDa'!$B$2:$D$16, 0,FALSE), IFERROR(VLOOKUP($A813,'Exetel ExDa'!$C$2:$N$14, 12,FALSE), IFERROR(VLOOKUP($A813,'Infinet ExDa'!$B$2:$E$14, 0,FALSE), "Not Found"))))))))</f>
        <v>Not Found</v>
      </c>
      <c r="L813" s="235" t="str">
        <f>IFERROR(VLOOKUP($A813,'AAPT ExDa'!$B$2:$U$99, 11,FALSE), IFERROR(VLOOKUP($A813,'ABB ExDa'!$A$2:$N$184, 9,FALSE), IFERROR(VLOOKUP($A813,'Vocus SIT ExDa'!$B$2:$J$173, 8,FALSE), IFERROR(VLOOKUP($A813,'Telstra ExDa'!$B$2:$K$310, 0,FALSE), IFERROR(VLOOKUP($A813,'Vocus RVC ExDa'!$C$2:$R$155, 0,FALSE), IFERROR(VLOOKUP($A813,'Fusion ExDa'!$B$2:$D$16, 0,FALSE), IFERROR(VLOOKUP($A813,'Exetel ExDa'!$C$2:$N$14, 9,FALSE), IFERROR(VLOOKUP($A813,'Infinet ExDa'!$B$2:$E$14, 0,FALSE), "Not Found"))))))))</f>
        <v>Not Found</v>
      </c>
      <c r="M813" s="234" t="str">
        <f>IFERROR(VLOOKUP($A813,'AAPT ExDa'!$B$2:$U$99, 0,FALSE), IFERROR(VLOOKUP($A813,'ABB ExDa'!$A$2:$N$184, 0,FALSE), IFERROR(VLOOKUP($A813,'Vocus SIT ExDa'!$B$2:$J$173, 0,FALSE), IFERROR(VLOOKUP($A813,'Telstra ExDa'!$B$2:$K$310, 0,FALSE), IFERROR(VLOOKUP($A813,'Vocus RVC ExDa'!$C$2:$R$155, 0,FALSE), IFERROR(VLOOKUP($A813,'Fusion ExDa'!$B$2:$D$16, 0,FALSE), IFERROR(VLOOKUP($A813,'Exetel ExDa'!$C$2:$N$14, 11,FALSE), IFERROR(VLOOKUP($A813,'Infinet ExDa'!$B$2:$E$14, 0,FALSE), "Not Found"))))))))</f>
        <v>Not Found</v>
      </c>
      <c r="N813" t="str">
        <f>IFERROR(VLOOKUP($A813,'AAPT ExDa'!$B$2:$U$99, 0,FALSE), IFERROR(VLOOKUP($A813,'ABB ExDa'!$A$2:$N$184, 13,FALSE), IFERROR(VLOOKUP($A813,'Vocus SIT ExDa'!$B$2:$J$173, 0,FALSE), IFERROR(VLOOKUP($A813,'Telstra ExDa'!$B$2:$K$310, 0,FALSE), IFERROR(VLOOKUP($A813,'Vocus RVC ExDa'!$C$2:$R$155, 0,FALSE), IFERROR(VLOOKUP($A813,'Fusion ExDa'!$B$2:$D$16, 0,FALSE), IFERROR(VLOOKUP($A813,'Exetel ExDa'!$C$2:$N$14, 0,FALSE), IFERROR(VLOOKUP($A813,'Infinet ExDa'!$B$2:$E$14, 0,FALSE), "Not Found"))))))))</f>
        <v>Not Found</v>
      </c>
    </row>
    <row r="814" spans="1:14">
      <c r="A814" t="str">
        <v>Canossa Medical Centre Pharmacy</v>
      </c>
      <c r="B814" t="str">
        <f>IFERROR(VLOOKUP(A814,'Exetel ExDa'!$C$2:$N$14,4,FALSE),"No Data")</f>
        <v>No Data</v>
      </c>
      <c r="C814" t="str">
        <f>IFERROR(VLOOKUP(A814,'AAPT ExDa'!$B$2:$U$99, 2,FALSE), IFERROR(VLOOKUP(A814,'ABB ExDa'!$A$2:$N$184, 2,FALSE), IFERROR(VLOOKUP(A814,'Vocus SIT ExDa'!$B$2:$J$173, 7,FALSE), IFERROR(VLOOKUP(A814,'Telstra ExDa'!$B$2:$K$310, 2,FALSE), IFERROR(VLOOKUP(A814,'Vocus RVC ExDa'!$C$2:$R$155, 3,FALSE), IFERROR(VLOOKUP(A814,'Fusion ExDa'!$B$2:$D$16, 2,FALSE), IFERROR(VLOOKUP(A814,'Exetel ExDa'!$C$2:$N$14, 2,FALSE), IFERROR(VLOOKUP(A814,'Infinet ExDa'!$B$2:$E$14, 2,FALSE), "Not Found"))))))))</f>
        <v xml:space="preserve">Se 5 169 Seventeen Mile Rocks Rd </v>
      </c>
      <c r="D814">
        <f>IFERROR(VLOOKUP($A814,'AAPT ExDa'!$B$2:$U$99, 15,FALSE), IFERROR(VLOOKUP($A814,'ABB ExDa'!$A$2:$N$184, 4,FALSE), IFERROR(VLOOKUP($A814,'Vocus SIT ExDa'!$B$2:$J$173, 5,FALSE), IFERROR(VLOOKUP($A814,'Telstra ExDa'!$B$2:$K$310, 8,FALSE), IFERROR(VLOOKUP($A814,'Vocus RVC ExDa'!$C$2:$R$155, 6,FALSE), IFERROR(VLOOKUP($A814,'Fusion ExDa'!$B$2:$D$16, 4,FALSE), IFERROR(VLOOKUP($A814,'Exetel ExDa'!$C$2:$N$14, 3,FALSE), IFERROR(VLOOKUP($A814,'Infinet ExDa'!$B$2:$E$14, 3,FALSE), "Not Found"))))))))</f>
        <v>4075</v>
      </c>
      <c r="E814" t="str">
        <f>IFERROR(VLOOKUP($A814,'AAPT ExDa'!$B$2:$U$99, 3,FALSE), IFERROR(VLOOKUP($A814,'ABB ExDa'!$A$2:$N$184, 5,FALSE), IFERROR(VLOOKUP($A814,'Vocus SIT ExDa'!$B$2:$J$173, 2,FALSE), IFERROR(VLOOKUP($A814,'Telstra ExDa'!$B$2:$K$310, 4,FALSE), IFERROR(VLOOKUP($A814,'Vocus RVC ExDa'!$C$2:$R$155, 8,FALSE), IFERROR(VLOOKUP($A814,'Fusion ExDa'!$B$2:$D$16, 4,FALSE), IFERROR(VLOOKUP($A814,'Exetel ExDa'!$C$2:$N$14, 5,FALSE), IFERROR(VLOOKUP($A814,'Infinet ExDa'!$B$2:$E$14, 3,FALSE), "Not Found"))))))))</f>
        <v>100Mbps/40Mbps</v>
      </c>
      <c r="F814" t="str">
        <f>IFERROR(VLOOKUP($A814,'AAPT ExDa'!$B$2:$U$99, 4,FALSE), IFERROR(VLOOKUP($A814,'ABB ExDa'!$A$2:$N$184, 6,FALSE), IFERROR(VLOOKUP($A814,'Vocus SIT ExDa'!$B$2:$J$173, 3,FALSE), IFERROR(VLOOKUP($A814,'Telstra ExDa'!$B$2:$K$310, 5,FALSE), IFERROR(VLOOKUP($A814,'Vocus RVC ExDa'!$C$2:$R$155, 9,FALSE), IFERROR(VLOOKUP($A814,'Fusion ExDa'!$B$2:$D$16, 0,FALSE), IFERROR(VLOOKUP($A814,'Exetel ExDa'!$C$2:$N$14, 6,FALSE), IFERROR(VLOOKUP($A814,'Infinet ExDa'!$B$2:$E$14, 0,FALSE), "Not Found"))))))))</f>
        <v>NBN Reseller G4 FTTN</v>
      </c>
      <c r="G814" t="str">
        <f>IFERROR(VLOOKUP($A814,'AAPT ExDa'!$B$2:$U$99, 5,FALSE), IFERROR(VLOOKUP($A814,'ABB ExDa'!$A$2:$N$184, 8,FALSE), IFERROR(VLOOKUP($A814,'Vocus SIT ExDa'!$B$2:$J$173, 6,FALSE), IFERROR(VLOOKUP($A814,'Telstra ExDa'!$B$2:$K$310, 0,FALSE), IFERROR(VLOOKUP($A814,'Vocus RVC ExDa'!$C$2:$R$155, 15,FALSE), IFERROR(VLOOKUP($A814,'Fusion ExDa'!$B$2:$D$16, 0,FALSE), IFERROR(VLOOKUP($A814,'Exetel ExDa'!$C$2:$N$14, 7,FALSE), IFERROR(VLOOKUP($A814,'Infinet ExDa'!$B$2:$E$14, 0,FALSE), "Not Found"))))))))</f>
        <v>202.62.138.105</v>
      </c>
      <c r="H814" t="str">
        <f>IFERROR(VLOOKUP($A814,'AAPT ExDa'!$B$2:$U$99, 6,FALSE), IFERROR(VLOOKUP($A814,'ABB ExDa'!$A$2:$N$184, 0,FALSE), IFERROR(VLOOKUP($A814,'Vocus SIT ExDa'!$B$2:$J$173, 0,FALSE), IFERROR(VLOOKUP($A814,'Telstra ExDa'!$B$2:$K$310, 0,FALSE), IFERROR(VLOOKUP($A814,'Vocus RVC ExDa'!$C$2:$R$155, 16,FALSE), IFERROR(VLOOKUP($A814,'Fusion ExDa'!$B$2:$D$16, 0,FALSE), IFERROR(VLOOKUP($A814,'Exetel ExDa'!$C$2:$N$14, 0,FALSE), IFERROR(VLOOKUP($A814,'Infinet ExDa'!$B$2:$E$14, 0,FALSE), "Not Found"))))))))</f>
        <v>PPPoE</v>
      </c>
      <c r="I814" t="str">
        <f>IFERROR(VLOOKUP($A814,'AAPT ExDa'!$B$2:$U$99, 0,FALSE), IFERROR(VLOOKUP($A814,'ABB ExDa'!$A$2:$N$184, 0,FALSE), IFERROR(VLOOKUP($A814,'Vocus SIT ExDa'!$B$2:$J$173, 0,FALSE), IFERROR(VLOOKUP($A814,'Telstra ExDa'!$B$2:$K$310, 0,FALSE), IFERROR(VLOOKUP($A814,'Vocus RVC ExDa'!$C$2:$R$155, 0,FALSE), IFERROR(VLOOKUP($A814,'Fusion ExDa'!$B$2:$D$16, 0,FALSE), IFERROR(VLOOKUP($A814,'Exetel ExDa'!$C$2:$N$14, 8,FALSE), IFERROR(VLOOKUP($A814,'Infinet ExDa'!$B$2:$E$14, 0,FALSE), "Not Found"))))))))</f>
        <v>Not Found</v>
      </c>
      <c r="J814" t="str">
        <f>IFERROR(VLOOKUP($A814,'AAPT ExDa'!$B$2:$U$99, 7,FALSE), IFERROR(VLOOKUP($A814,'ABB ExDa'!$A$2:$N$184, 2,FALSE), IFERROR(VLOOKUP($A814,'Vocus SIT ExDa'!$B$2:$J$173, 0,FALSE), IFERROR(VLOOKUP($A814,'Telstra ExDa'!$B$2:$K$310, 7,FALSE), IFERROR(VLOOKUP($A814,'Vocus RVC ExDa'!$C$2:$R$155, 2,FALSE), IFERROR(VLOOKUP($A814,'Fusion ExDa'!$B$2:$D$16, 3,FALSE), IFERROR(VLOOKUP($A814,'Exetel ExDa'!$C$2:$N$14, 0,FALSE), IFERROR(VLOOKUP($A814,'Infinet ExDa'!$B$2:$E$14, 0,FALSE), "Not Found"))))))))</f>
        <v xml:space="preserve">	AVC000183261130</v>
      </c>
      <c r="K814" t="str">
        <f>IFERROR(VLOOKUP($A814,'AAPT ExDa'!$B$2:$U$99, 12,FALSE), IFERROR(VLOOKUP($A814,'ABB ExDa'!$A$2:$N$184, 0,FALSE), IFERROR(VLOOKUP($A814,'Vocus SIT ExDa'!$B$2:$J$173, 0,FALSE), IFERROR(VLOOKUP($A814,'Telstra ExDa'!$B$2:$K$310, 0,FALSE), IFERROR(VLOOKUP($A814,'Vocus RVC ExDa'!$C$2:$R$155, 0,FALSE), IFERROR(VLOOKUP($A814,'Fusion ExDa'!$B$2:$D$16, 0,FALSE), IFERROR(VLOOKUP($A814,'Exetel ExDa'!$C$2:$N$14, 12,FALSE), IFERROR(VLOOKUP($A814,'Infinet ExDa'!$B$2:$E$14, 0,FALSE), "Not Found"))))))))</f>
        <v>Not Found</v>
      </c>
      <c r="L814" s="235" t="str">
        <f>IFERROR(VLOOKUP($A814,'AAPT ExDa'!$B$2:$U$99, 11,FALSE), IFERROR(VLOOKUP($A814,'ABB ExDa'!$A$2:$N$184, 9,FALSE), IFERROR(VLOOKUP($A814,'Vocus SIT ExDa'!$B$2:$J$173, 8,FALSE), IFERROR(VLOOKUP($A814,'Telstra ExDa'!$B$2:$K$310, 0,FALSE), IFERROR(VLOOKUP($A814,'Vocus RVC ExDa'!$C$2:$R$155, 0,FALSE), IFERROR(VLOOKUP($A814,'Fusion ExDa'!$B$2:$D$16, 0,FALSE), IFERROR(VLOOKUP($A814,'Exetel ExDa'!$C$2:$N$14, 9,FALSE), IFERROR(VLOOKUP($A814,'Infinet ExDa'!$B$2:$E$14, 0,FALSE), "Not Found"))))))))</f>
        <v>Not Found</v>
      </c>
      <c r="M814" s="234" t="str">
        <f>IFERROR(VLOOKUP($A814,'AAPT ExDa'!$B$2:$U$99, 0,FALSE), IFERROR(VLOOKUP($A814,'ABB ExDa'!$A$2:$N$184, 0,FALSE), IFERROR(VLOOKUP($A814,'Vocus SIT ExDa'!$B$2:$J$173, 0,FALSE), IFERROR(VLOOKUP($A814,'Telstra ExDa'!$B$2:$K$310, 0,FALSE), IFERROR(VLOOKUP($A814,'Vocus RVC ExDa'!$C$2:$R$155, 0,FALSE), IFERROR(VLOOKUP($A814,'Fusion ExDa'!$B$2:$D$16, 0,FALSE), IFERROR(VLOOKUP($A814,'Exetel ExDa'!$C$2:$N$14, 11,FALSE), IFERROR(VLOOKUP($A814,'Infinet ExDa'!$B$2:$E$14, 0,FALSE), "Not Found"))))))))</f>
        <v>Not Found</v>
      </c>
      <c r="N814" t="str">
        <f>IFERROR(VLOOKUP($A814,'AAPT ExDa'!$B$2:$U$99, 0,FALSE), IFERROR(VLOOKUP($A814,'ABB ExDa'!$A$2:$N$184, 13,FALSE), IFERROR(VLOOKUP($A814,'Vocus SIT ExDa'!$B$2:$J$173, 0,FALSE), IFERROR(VLOOKUP($A814,'Telstra ExDa'!$B$2:$K$310, 0,FALSE), IFERROR(VLOOKUP($A814,'Vocus RVC ExDa'!$C$2:$R$155, 0,FALSE), IFERROR(VLOOKUP($A814,'Fusion ExDa'!$B$2:$D$16, 0,FALSE), IFERROR(VLOOKUP($A814,'Exetel ExDa'!$C$2:$N$14, 0,FALSE), IFERROR(VLOOKUP($A814,'Infinet ExDa'!$B$2:$E$14, 0,FALSE), "Not Found"))))))))</f>
        <v>Not Found</v>
      </c>
    </row>
    <row r="815" spans="1:14">
      <c r="A815" t="str">
        <v>Agnes Water Beauty Hub</v>
      </c>
      <c r="B815" t="str">
        <f>IFERROR(VLOOKUP(A815,'Exetel ExDa'!$C$2:$N$14,4,FALSE),"No Data")</f>
        <v>No Data</v>
      </c>
      <c r="C815" t="str">
        <f>IFERROR(VLOOKUP(A815,'AAPT ExDa'!$B$2:$U$99, 2,FALSE), IFERROR(VLOOKUP(A815,'ABB ExDa'!$A$2:$N$184, 2,FALSE), IFERROR(VLOOKUP(A815,'Vocus SIT ExDa'!$B$2:$J$173, 7,FALSE), IFERROR(VLOOKUP(A815,'Telstra ExDa'!$B$2:$K$310, 2,FALSE), IFERROR(VLOOKUP(A815,'Vocus RVC ExDa'!$C$2:$R$155, 3,FALSE), IFERROR(VLOOKUP(A815,'Fusion ExDa'!$B$2:$D$16, 2,FALSE), IFERROR(VLOOKUP(A815,'Exetel ExDa'!$C$2:$N$14, 2,FALSE), IFERROR(VLOOKUP(A815,'Infinet ExDa'!$B$2:$E$14, 2,FALSE), "Not Found"))))))))</f>
        <v xml:space="preserve">Tncy 14 2875 Round Hill Rd </v>
      </c>
      <c r="D815">
        <f>IFERROR(VLOOKUP($A815,'AAPT ExDa'!$B$2:$U$99, 15,FALSE), IFERROR(VLOOKUP($A815,'ABB ExDa'!$A$2:$N$184, 4,FALSE), IFERROR(VLOOKUP($A815,'Vocus SIT ExDa'!$B$2:$J$173, 5,FALSE), IFERROR(VLOOKUP($A815,'Telstra ExDa'!$B$2:$K$310, 8,FALSE), IFERROR(VLOOKUP($A815,'Vocus RVC ExDa'!$C$2:$R$155, 6,FALSE), IFERROR(VLOOKUP($A815,'Fusion ExDa'!$B$2:$D$16, 4,FALSE), IFERROR(VLOOKUP($A815,'Exetel ExDa'!$C$2:$N$14, 3,FALSE), IFERROR(VLOOKUP($A815,'Infinet ExDa'!$B$2:$E$14, 3,FALSE), "Not Found"))))))))</f>
        <v>4677</v>
      </c>
      <c r="E815" t="str">
        <f>IFERROR(VLOOKUP($A815,'AAPT ExDa'!$B$2:$U$99, 3,FALSE), IFERROR(VLOOKUP($A815,'ABB ExDa'!$A$2:$N$184, 5,FALSE), IFERROR(VLOOKUP($A815,'Vocus SIT ExDa'!$B$2:$J$173, 2,FALSE), IFERROR(VLOOKUP($A815,'Telstra ExDa'!$B$2:$K$310, 4,FALSE), IFERROR(VLOOKUP($A815,'Vocus RVC ExDa'!$C$2:$R$155, 8,FALSE), IFERROR(VLOOKUP($A815,'Fusion ExDa'!$B$2:$D$16, 4,FALSE), IFERROR(VLOOKUP($A815,'Exetel ExDa'!$C$2:$N$14, 5,FALSE), IFERROR(VLOOKUP($A815,'Infinet ExDa'!$B$2:$E$14, 3,FALSE), "Not Found"))))))))</f>
        <v>50Mbps/20Mbps</v>
      </c>
      <c r="F815" t="str">
        <f>IFERROR(VLOOKUP($A815,'AAPT ExDa'!$B$2:$U$99, 4,FALSE), IFERROR(VLOOKUP($A815,'ABB ExDa'!$A$2:$N$184, 6,FALSE), IFERROR(VLOOKUP($A815,'Vocus SIT ExDa'!$B$2:$J$173, 3,FALSE), IFERROR(VLOOKUP($A815,'Telstra ExDa'!$B$2:$K$310, 5,FALSE), IFERROR(VLOOKUP($A815,'Vocus RVC ExDa'!$C$2:$R$155, 9,FALSE), IFERROR(VLOOKUP($A815,'Fusion ExDa'!$B$2:$D$16, 0,FALSE), IFERROR(VLOOKUP($A815,'Exetel ExDa'!$C$2:$N$14, 6,FALSE), IFERROR(VLOOKUP($A815,'Infinet ExDa'!$B$2:$E$14, 0,FALSE), "Not Found"))))))))</f>
        <v xml:space="preserve">NBN Reseller G4 </v>
      </c>
      <c r="G815" t="str">
        <f>IFERROR(VLOOKUP($A815,'AAPT ExDa'!$B$2:$U$99, 5,FALSE), IFERROR(VLOOKUP($A815,'ABB ExDa'!$A$2:$N$184, 8,FALSE), IFERROR(VLOOKUP($A815,'Vocus SIT ExDa'!$B$2:$J$173, 6,FALSE), IFERROR(VLOOKUP($A815,'Telstra ExDa'!$B$2:$K$310, 0,FALSE), IFERROR(VLOOKUP($A815,'Vocus RVC ExDa'!$C$2:$R$155, 15,FALSE), IFERROR(VLOOKUP($A815,'Fusion ExDa'!$B$2:$D$16, 0,FALSE), IFERROR(VLOOKUP($A815,'Exetel ExDa'!$C$2:$N$14, 7,FALSE), IFERROR(VLOOKUP($A815,'Infinet ExDa'!$B$2:$E$14, 0,FALSE), "Not Found"))))))))</f>
        <v>122.151.163.33</v>
      </c>
      <c r="H815" t="str">
        <f>IFERROR(VLOOKUP($A815,'AAPT ExDa'!$B$2:$U$99, 6,FALSE), IFERROR(VLOOKUP($A815,'ABB ExDa'!$A$2:$N$184, 0,FALSE), IFERROR(VLOOKUP($A815,'Vocus SIT ExDa'!$B$2:$J$173, 0,FALSE), IFERROR(VLOOKUP($A815,'Telstra ExDa'!$B$2:$K$310, 0,FALSE), IFERROR(VLOOKUP($A815,'Vocus RVC ExDa'!$C$2:$R$155, 16,FALSE), IFERROR(VLOOKUP($A815,'Fusion ExDa'!$B$2:$D$16, 0,FALSE), IFERROR(VLOOKUP($A815,'Exetel ExDa'!$C$2:$N$14, 0,FALSE), IFERROR(VLOOKUP($A815,'Infinet ExDa'!$B$2:$E$14, 0,FALSE), "Not Found"))))))))</f>
        <v>PPPoE</v>
      </c>
      <c r="I815" t="str">
        <f>IFERROR(VLOOKUP($A815,'AAPT ExDa'!$B$2:$U$99, 0,FALSE), IFERROR(VLOOKUP($A815,'ABB ExDa'!$A$2:$N$184, 0,FALSE), IFERROR(VLOOKUP($A815,'Vocus SIT ExDa'!$B$2:$J$173, 0,FALSE), IFERROR(VLOOKUP($A815,'Telstra ExDa'!$B$2:$K$310, 0,FALSE), IFERROR(VLOOKUP($A815,'Vocus RVC ExDa'!$C$2:$R$155, 0,FALSE), IFERROR(VLOOKUP($A815,'Fusion ExDa'!$B$2:$D$16, 0,FALSE), IFERROR(VLOOKUP($A815,'Exetel ExDa'!$C$2:$N$14, 8,FALSE), IFERROR(VLOOKUP($A815,'Infinet ExDa'!$B$2:$E$14, 0,FALSE), "Not Found"))))))))</f>
        <v>Not Found</v>
      </c>
      <c r="J815" t="str">
        <f>IFERROR(VLOOKUP($A815,'AAPT ExDa'!$B$2:$U$99, 7,FALSE), IFERROR(VLOOKUP($A815,'ABB ExDa'!$A$2:$N$184, 2,FALSE), IFERROR(VLOOKUP($A815,'Vocus SIT ExDa'!$B$2:$J$173, 0,FALSE), IFERROR(VLOOKUP($A815,'Telstra ExDa'!$B$2:$K$310, 7,FALSE), IFERROR(VLOOKUP($A815,'Vocus RVC ExDa'!$C$2:$R$155, 2,FALSE), IFERROR(VLOOKUP($A815,'Fusion ExDa'!$B$2:$D$16, 3,FALSE), IFERROR(VLOOKUP($A815,'Exetel ExDa'!$C$2:$N$14, 0,FALSE), IFERROR(VLOOKUP($A815,'Infinet ExDa'!$B$2:$E$14, 0,FALSE), "Not Found"))))))))</f>
        <v xml:space="preserve">	AVC000183920492</v>
      </c>
      <c r="K815" t="str">
        <f>IFERROR(VLOOKUP($A815,'AAPT ExDa'!$B$2:$U$99, 12,FALSE), IFERROR(VLOOKUP($A815,'ABB ExDa'!$A$2:$N$184, 0,FALSE), IFERROR(VLOOKUP($A815,'Vocus SIT ExDa'!$B$2:$J$173, 0,FALSE), IFERROR(VLOOKUP($A815,'Telstra ExDa'!$B$2:$K$310, 0,FALSE), IFERROR(VLOOKUP($A815,'Vocus RVC ExDa'!$C$2:$R$155, 0,FALSE), IFERROR(VLOOKUP($A815,'Fusion ExDa'!$B$2:$D$16, 0,FALSE), IFERROR(VLOOKUP($A815,'Exetel ExDa'!$C$2:$N$14, 12,FALSE), IFERROR(VLOOKUP($A815,'Infinet ExDa'!$B$2:$E$14, 0,FALSE), "Not Found"))))))))</f>
        <v>Not Found</v>
      </c>
      <c r="L815" s="235" t="str">
        <f>IFERROR(VLOOKUP($A815,'AAPT ExDa'!$B$2:$U$99, 11,FALSE), IFERROR(VLOOKUP($A815,'ABB ExDa'!$A$2:$N$184, 9,FALSE), IFERROR(VLOOKUP($A815,'Vocus SIT ExDa'!$B$2:$J$173, 8,FALSE), IFERROR(VLOOKUP($A815,'Telstra ExDa'!$B$2:$K$310, 0,FALSE), IFERROR(VLOOKUP($A815,'Vocus RVC ExDa'!$C$2:$R$155, 0,FALSE), IFERROR(VLOOKUP($A815,'Fusion ExDa'!$B$2:$D$16, 0,FALSE), IFERROR(VLOOKUP($A815,'Exetel ExDa'!$C$2:$N$14, 9,FALSE), IFERROR(VLOOKUP($A815,'Infinet ExDa'!$B$2:$E$14, 0,FALSE), "Not Found"))))))))</f>
        <v>Not Found</v>
      </c>
      <c r="M815" s="234" t="str">
        <f>IFERROR(VLOOKUP($A815,'AAPT ExDa'!$B$2:$U$99, 0,FALSE), IFERROR(VLOOKUP($A815,'ABB ExDa'!$A$2:$N$184, 0,FALSE), IFERROR(VLOOKUP($A815,'Vocus SIT ExDa'!$B$2:$J$173, 0,FALSE), IFERROR(VLOOKUP($A815,'Telstra ExDa'!$B$2:$K$310, 0,FALSE), IFERROR(VLOOKUP($A815,'Vocus RVC ExDa'!$C$2:$R$155, 0,FALSE), IFERROR(VLOOKUP($A815,'Fusion ExDa'!$B$2:$D$16, 0,FALSE), IFERROR(VLOOKUP($A815,'Exetel ExDa'!$C$2:$N$14, 11,FALSE), IFERROR(VLOOKUP($A815,'Infinet ExDa'!$B$2:$E$14, 0,FALSE), "Not Found"))))))))</f>
        <v>Not Found</v>
      </c>
      <c r="N815" t="str">
        <f>IFERROR(VLOOKUP($A815,'AAPT ExDa'!$B$2:$U$99, 0,FALSE), IFERROR(VLOOKUP($A815,'ABB ExDa'!$A$2:$N$184, 13,FALSE), IFERROR(VLOOKUP($A815,'Vocus SIT ExDa'!$B$2:$J$173, 0,FALSE), IFERROR(VLOOKUP($A815,'Telstra ExDa'!$B$2:$K$310, 0,FALSE), IFERROR(VLOOKUP($A815,'Vocus RVC ExDa'!$C$2:$R$155, 0,FALSE), IFERROR(VLOOKUP($A815,'Fusion ExDa'!$B$2:$D$16, 0,FALSE), IFERROR(VLOOKUP($A815,'Exetel ExDa'!$C$2:$N$14, 0,FALSE), IFERROR(VLOOKUP($A815,'Infinet ExDa'!$B$2:$E$14, 0,FALSE), "Not Found"))))))))</f>
        <v>Not Found</v>
      </c>
    </row>
    <row r="816" spans="1:14">
      <c r="A816" t="str">
        <v>Barracks Pharmacy</v>
      </c>
      <c r="B816" t="str">
        <f>IFERROR(VLOOKUP(A816,'Exetel ExDa'!$C$2:$N$14,4,FALSE),"No Data")</f>
        <v>No Data</v>
      </c>
      <c r="C816" t="str">
        <f>IFERROR(VLOOKUP(A816,'AAPT ExDa'!$B$2:$U$99, 2,FALSE), IFERROR(VLOOKUP(A816,'ABB ExDa'!$A$2:$N$184, 2,FALSE), IFERROR(VLOOKUP(A816,'Vocus SIT ExDa'!$B$2:$J$173, 7,FALSE), IFERROR(VLOOKUP(A816,'Telstra ExDa'!$B$2:$K$310, 2,FALSE), IFERROR(VLOOKUP(A816,'Vocus RVC ExDa'!$C$2:$R$155, 3,FALSE), IFERROR(VLOOKUP(A816,'Fusion ExDa'!$B$2:$D$16, 2,FALSE), IFERROR(VLOOKUP(A816,'Exetel ExDa'!$C$2:$N$14, 2,FALSE), IFERROR(VLOOKUP(A816,'Infinet ExDa'!$B$2:$E$14, 2,FALSE), "Not Found"))))))))</f>
        <v xml:space="preserve">Shop 16 Lot 0 61 Petrie Tce </v>
      </c>
      <c r="D816">
        <f>IFERROR(VLOOKUP($A816,'AAPT ExDa'!$B$2:$U$99, 15,FALSE), IFERROR(VLOOKUP($A816,'ABB ExDa'!$A$2:$N$184, 4,FALSE), IFERROR(VLOOKUP($A816,'Vocus SIT ExDa'!$B$2:$J$173, 5,FALSE), IFERROR(VLOOKUP($A816,'Telstra ExDa'!$B$2:$K$310, 8,FALSE), IFERROR(VLOOKUP($A816,'Vocus RVC ExDa'!$C$2:$R$155, 6,FALSE), IFERROR(VLOOKUP($A816,'Fusion ExDa'!$B$2:$D$16, 4,FALSE), IFERROR(VLOOKUP($A816,'Exetel ExDa'!$C$2:$N$14, 3,FALSE), IFERROR(VLOOKUP($A816,'Infinet ExDa'!$B$2:$E$14, 3,FALSE), "Not Found"))))))))</f>
        <v>4000</v>
      </c>
      <c r="E816" t="str">
        <f>IFERROR(VLOOKUP($A816,'AAPT ExDa'!$B$2:$U$99, 3,FALSE), IFERROR(VLOOKUP($A816,'ABB ExDa'!$A$2:$N$184, 5,FALSE), IFERROR(VLOOKUP($A816,'Vocus SIT ExDa'!$B$2:$J$173, 2,FALSE), IFERROR(VLOOKUP($A816,'Telstra ExDa'!$B$2:$K$310, 4,FALSE), IFERROR(VLOOKUP($A816,'Vocus RVC ExDa'!$C$2:$R$155, 8,FALSE), IFERROR(VLOOKUP($A816,'Fusion ExDa'!$B$2:$D$16, 4,FALSE), IFERROR(VLOOKUP($A816,'Exetel ExDa'!$C$2:$N$14, 5,FALSE), IFERROR(VLOOKUP($A816,'Infinet ExDa'!$B$2:$E$14, 3,FALSE), "Not Found"))))))))</f>
        <v>100Mbps/40Mbps</v>
      </c>
      <c r="F816" t="str">
        <f>IFERROR(VLOOKUP($A816,'AAPT ExDa'!$B$2:$U$99, 4,FALSE), IFERROR(VLOOKUP($A816,'ABB ExDa'!$A$2:$N$184, 6,FALSE), IFERROR(VLOOKUP($A816,'Vocus SIT ExDa'!$B$2:$J$173, 3,FALSE), IFERROR(VLOOKUP($A816,'Telstra ExDa'!$B$2:$K$310, 5,FALSE), IFERROR(VLOOKUP($A816,'Vocus RVC ExDa'!$C$2:$R$155, 9,FALSE), IFERROR(VLOOKUP($A816,'Fusion ExDa'!$B$2:$D$16, 0,FALSE), IFERROR(VLOOKUP($A816,'Exetel ExDa'!$C$2:$N$14, 6,FALSE), IFERROR(VLOOKUP($A816,'Infinet ExDa'!$B$2:$E$14, 0,FALSE), "Not Found"))))))))</f>
        <v>NBN Reseller G4 FTTB</v>
      </c>
      <c r="G816" t="str">
        <f>IFERROR(VLOOKUP($A816,'AAPT ExDa'!$B$2:$U$99, 5,FALSE), IFERROR(VLOOKUP($A816,'ABB ExDa'!$A$2:$N$184, 8,FALSE), IFERROR(VLOOKUP($A816,'Vocus SIT ExDa'!$B$2:$J$173, 6,FALSE), IFERROR(VLOOKUP($A816,'Telstra ExDa'!$B$2:$K$310, 0,FALSE), IFERROR(VLOOKUP($A816,'Vocus RVC ExDa'!$C$2:$R$155, 15,FALSE), IFERROR(VLOOKUP($A816,'Fusion ExDa'!$B$2:$D$16, 0,FALSE), IFERROR(VLOOKUP($A816,'Exetel ExDa'!$C$2:$N$14, 7,FALSE), IFERROR(VLOOKUP($A816,'Infinet ExDa'!$B$2:$E$14, 0,FALSE), "Not Found"))))))))</f>
        <v>202.62.138.94</v>
      </c>
      <c r="H816" t="str">
        <f>IFERROR(VLOOKUP($A816,'AAPT ExDa'!$B$2:$U$99, 6,FALSE), IFERROR(VLOOKUP($A816,'ABB ExDa'!$A$2:$N$184, 0,FALSE), IFERROR(VLOOKUP($A816,'Vocus SIT ExDa'!$B$2:$J$173, 0,FALSE), IFERROR(VLOOKUP($A816,'Telstra ExDa'!$B$2:$K$310, 0,FALSE), IFERROR(VLOOKUP($A816,'Vocus RVC ExDa'!$C$2:$R$155, 16,FALSE), IFERROR(VLOOKUP($A816,'Fusion ExDa'!$B$2:$D$16, 0,FALSE), IFERROR(VLOOKUP($A816,'Exetel ExDa'!$C$2:$N$14, 0,FALSE), IFERROR(VLOOKUP($A816,'Infinet ExDa'!$B$2:$E$14, 0,FALSE), "Not Found"))))))))</f>
        <v>PPPoE</v>
      </c>
      <c r="I816" t="str">
        <f>IFERROR(VLOOKUP($A816,'AAPT ExDa'!$B$2:$U$99, 0,FALSE), IFERROR(VLOOKUP($A816,'ABB ExDa'!$A$2:$N$184, 0,FALSE), IFERROR(VLOOKUP($A816,'Vocus SIT ExDa'!$B$2:$J$173, 0,FALSE), IFERROR(VLOOKUP($A816,'Telstra ExDa'!$B$2:$K$310, 0,FALSE), IFERROR(VLOOKUP($A816,'Vocus RVC ExDa'!$C$2:$R$155, 0,FALSE), IFERROR(VLOOKUP($A816,'Fusion ExDa'!$B$2:$D$16, 0,FALSE), IFERROR(VLOOKUP($A816,'Exetel ExDa'!$C$2:$N$14, 8,FALSE), IFERROR(VLOOKUP($A816,'Infinet ExDa'!$B$2:$E$14, 0,FALSE), "Not Found"))))))))</f>
        <v>Not Found</v>
      </c>
      <c r="J816" t="str">
        <f>IFERROR(VLOOKUP($A816,'AAPT ExDa'!$B$2:$U$99, 7,FALSE), IFERROR(VLOOKUP($A816,'ABB ExDa'!$A$2:$N$184, 2,FALSE), IFERROR(VLOOKUP($A816,'Vocus SIT ExDa'!$B$2:$J$173, 0,FALSE), IFERROR(VLOOKUP($A816,'Telstra ExDa'!$B$2:$K$310, 7,FALSE), IFERROR(VLOOKUP($A816,'Vocus RVC ExDa'!$C$2:$R$155, 2,FALSE), IFERROR(VLOOKUP($A816,'Fusion ExDa'!$B$2:$D$16, 3,FALSE), IFERROR(VLOOKUP($A816,'Exetel ExDa'!$C$2:$N$14, 0,FALSE), IFERROR(VLOOKUP($A816,'Infinet ExDa'!$B$2:$E$14, 0,FALSE), "Not Found"))))))))</f>
        <v xml:space="preserve">	AVC000184132374</v>
      </c>
      <c r="K816" t="str">
        <f>IFERROR(VLOOKUP($A816,'AAPT ExDa'!$B$2:$U$99, 12,FALSE), IFERROR(VLOOKUP($A816,'ABB ExDa'!$A$2:$N$184, 0,FALSE), IFERROR(VLOOKUP($A816,'Vocus SIT ExDa'!$B$2:$J$173, 0,FALSE), IFERROR(VLOOKUP($A816,'Telstra ExDa'!$B$2:$K$310, 0,FALSE), IFERROR(VLOOKUP($A816,'Vocus RVC ExDa'!$C$2:$R$155, 0,FALSE), IFERROR(VLOOKUP($A816,'Fusion ExDa'!$B$2:$D$16, 0,FALSE), IFERROR(VLOOKUP($A816,'Exetel ExDa'!$C$2:$N$14, 12,FALSE), IFERROR(VLOOKUP($A816,'Infinet ExDa'!$B$2:$E$14, 0,FALSE), "Not Found"))))))))</f>
        <v>Not Found</v>
      </c>
      <c r="L816" s="235" t="str">
        <f>IFERROR(VLOOKUP($A816,'AAPT ExDa'!$B$2:$U$99, 11,FALSE), IFERROR(VLOOKUP($A816,'ABB ExDa'!$A$2:$N$184, 9,FALSE), IFERROR(VLOOKUP($A816,'Vocus SIT ExDa'!$B$2:$J$173, 8,FALSE), IFERROR(VLOOKUP($A816,'Telstra ExDa'!$B$2:$K$310, 0,FALSE), IFERROR(VLOOKUP($A816,'Vocus RVC ExDa'!$C$2:$R$155, 0,FALSE), IFERROR(VLOOKUP($A816,'Fusion ExDa'!$B$2:$D$16, 0,FALSE), IFERROR(VLOOKUP($A816,'Exetel ExDa'!$C$2:$N$14, 9,FALSE), IFERROR(VLOOKUP($A816,'Infinet ExDa'!$B$2:$E$14, 0,FALSE), "Not Found"))))))))</f>
        <v>Not Found</v>
      </c>
      <c r="M816" s="234" t="str">
        <f>IFERROR(VLOOKUP($A816,'AAPT ExDa'!$B$2:$U$99, 0,FALSE), IFERROR(VLOOKUP($A816,'ABB ExDa'!$A$2:$N$184, 0,FALSE), IFERROR(VLOOKUP($A816,'Vocus SIT ExDa'!$B$2:$J$173, 0,FALSE), IFERROR(VLOOKUP($A816,'Telstra ExDa'!$B$2:$K$310, 0,FALSE), IFERROR(VLOOKUP($A816,'Vocus RVC ExDa'!$C$2:$R$155, 0,FALSE), IFERROR(VLOOKUP($A816,'Fusion ExDa'!$B$2:$D$16, 0,FALSE), IFERROR(VLOOKUP($A816,'Exetel ExDa'!$C$2:$N$14, 11,FALSE), IFERROR(VLOOKUP($A816,'Infinet ExDa'!$B$2:$E$14, 0,FALSE), "Not Found"))))))))</f>
        <v>Not Found</v>
      </c>
      <c r="N816" t="str">
        <f>IFERROR(VLOOKUP($A816,'AAPT ExDa'!$B$2:$U$99, 0,FALSE), IFERROR(VLOOKUP($A816,'ABB ExDa'!$A$2:$N$184, 13,FALSE), IFERROR(VLOOKUP($A816,'Vocus SIT ExDa'!$B$2:$J$173, 0,FALSE), IFERROR(VLOOKUP($A816,'Telstra ExDa'!$B$2:$K$310, 0,FALSE), IFERROR(VLOOKUP($A816,'Vocus RVC ExDa'!$C$2:$R$155, 0,FALSE), IFERROR(VLOOKUP($A816,'Fusion ExDa'!$B$2:$D$16, 0,FALSE), IFERROR(VLOOKUP($A816,'Exetel ExDa'!$C$2:$N$14, 0,FALSE), IFERROR(VLOOKUP($A816,'Infinet ExDa'!$B$2:$E$14, 0,FALSE), "Not Found"))))))))</f>
        <v>Not Found</v>
      </c>
    </row>
    <row r="817" spans="1:14">
      <c r="A817" t="str">
        <v>RVC Home</v>
      </c>
      <c r="B817" t="str">
        <f>IFERROR(VLOOKUP(A817,'Exetel ExDa'!$C$2:$N$14,4,FALSE),"No Data")</f>
        <v>No Data</v>
      </c>
      <c r="C817" t="str">
        <f>IFERROR(VLOOKUP(A817,'AAPT ExDa'!$B$2:$U$99, 2,FALSE), IFERROR(VLOOKUP(A817,'ABB ExDa'!$A$2:$N$184, 2,FALSE), IFERROR(VLOOKUP(A817,'Vocus SIT ExDa'!$B$2:$J$173, 7,FALSE), IFERROR(VLOOKUP(A817,'Telstra ExDa'!$B$2:$K$310, 2,FALSE), IFERROR(VLOOKUP(A817,'Vocus RVC ExDa'!$C$2:$R$155, 3,FALSE), IFERROR(VLOOKUP(A817,'Fusion ExDa'!$B$2:$D$16, 2,FALSE), IFERROR(VLOOKUP(A817,'Exetel ExDa'!$C$2:$N$14, 2,FALSE), IFERROR(VLOOKUP(A817,'Infinet ExDa'!$B$2:$E$14, 2,FALSE), "Not Found"))))))))</f>
        <v xml:space="preserve">Lot 518 14 Page St </v>
      </c>
      <c r="D817">
        <f>IFERROR(VLOOKUP($A817,'AAPT ExDa'!$B$2:$U$99, 15,FALSE), IFERROR(VLOOKUP($A817,'ABB ExDa'!$A$2:$N$184, 4,FALSE), IFERROR(VLOOKUP($A817,'Vocus SIT ExDa'!$B$2:$J$173, 5,FALSE), IFERROR(VLOOKUP($A817,'Telstra ExDa'!$B$2:$K$310, 8,FALSE), IFERROR(VLOOKUP($A817,'Vocus RVC ExDa'!$C$2:$R$155, 6,FALSE), IFERROR(VLOOKUP($A817,'Fusion ExDa'!$B$2:$D$16, 4,FALSE), IFERROR(VLOOKUP($A817,'Exetel ExDa'!$C$2:$N$14, 3,FALSE), IFERROR(VLOOKUP($A817,'Infinet ExDa'!$B$2:$E$14, 3,FALSE), "Not Found"))))))))</f>
        <v>4509</v>
      </c>
      <c r="E817" t="str">
        <f>IFERROR(VLOOKUP($A817,'AAPT ExDa'!$B$2:$U$99, 3,FALSE), IFERROR(VLOOKUP($A817,'ABB ExDa'!$A$2:$N$184, 5,FALSE), IFERROR(VLOOKUP($A817,'Vocus SIT ExDa'!$B$2:$J$173, 2,FALSE), IFERROR(VLOOKUP($A817,'Telstra ExDa'!$B$2:$K$310, 4,FALSE), IFERROR(VLOOKUP($A817,'Vocus RVC ExDa'!$C$2:$R$155, 8,FALSE), IFERROR(VLOOKUP($A817,'Fusion ExDa'!$B$2:$D$16, 4,FALSE), IFERROR(VLOOKUP($A817,'Exetel ExDa'!$C$2:$N$14, 5,FALSE), IFERROR(VLOOKUP($A817,'Infinet ExDa'!$B$2:$E$14, 3,FALSE), "Not Found"))))))))</f>
        <v>100Mbps/40Mbps</v>
      </c>
      <c r="F817" t="str">
        <f>IFERROR(VLOOKUP($A817,'AAPT ExDa'!$B$2:$U$99, 4,FALSE), IFERROR(VLOOKUP($A817,'ABB ExDa'!$A$2:$N$184, 6,FALSE), IFERROR(VLOOKUP($A817,'Vocus SIT ExDa'!$B$2:$J$173, 3,FALSE), IFERROR(VLOOKUP($A817,'Telstra ExDa'!$B$2:$K$310, 5,FALSE), IFERROR(VLOOKUP($A817,'Vocus RVC ExDa'!$C$2:$R$155, 9,FALSE), IFERROR(VLOOKUP($A817,'Fusion ExDa'!$B$2:$D$16, 0,FALSE), IFERROR(VLOOKUP($A817,'Exetel ExDa'!$C$2:$N$14, 6,FALSE), IFERROR(VLOOKUP($A817,'Infinet ExDa'!$B$2:$E$14, 0,FALSE), "Not Found"))))))))</f>
        <v xml:space="preserve">NBN Reseller G4 </v>
      </c>
      <c r="G817" t="str">
        <f>IFERROR(VLOOKUP($A817,'AAPT ExDa'!$B$2:$U$99, 5,FALSE), IFERROR(VLOOKUP($A817,'ABB ExDa'!$A$2:$N$184, 8,FALSE), IFERROR(VLOOKUP($A817,'Vocus SIT ExDa'!$B$2:$J$173, 6,FALSE), IFERROR(VLOOKUP($A817,'Telstra ExDa'!$B$2:$K$310, 0,FALSE), IFERROR(VLOOKUP($A817,'Vocus RVC ExDa'!$C$2:$R$155, 15,FALSE), IFERROR(VLOOKUP($A817,'Fusion ExDa'!$B$2:$D$16, 0,FALSE), IFERROR(VLOOKUP($A817,'Exetel ExDa'!$C$2:$N$14, 7,FALSE), IFERROR(VLOOKUP($A817,'Infinet ExDa'!$B$2:$E$14, 0,FALSE), "Not Found"))))))))</f>
        <v>202.62.138.79</v>
      </c>
      <c r="H817" t="str">
        <f>IFERROR(VLOOKUP($A817,'AAPT ExDa'!$B$2:$U$99, 6,FALSE), IFERROR(VLOOKUP($A817,'ABB ExDa'!$A$2:$N$184, 0,FALSE), IFERROR(VLOOKUP($A817,'Vocus SIT ExDa'!$B$2:$J$173, 0,FALSE), IFERROR(VLOOKUP($A817,'Telstra ExDa'!$B$2:$K$310, 0,FALSE), IFERROR(VLOOKUP($A817,'Vocus RVC ExDa'!$C$2:$R$155, 16,FALSE), IFERROR(VLOOKUP($A817,'Fusion ExDa'!$B$2:$D$16, 0,FALSE), IFERROR(VLOOKUP($A817,'Exetel ExDa'!$C$2:$N$14, 0,FALSE), IFERROR(VLOOKUP($A817,'Infinet ExDa'!$B$2:$E$14, 0,FALSE), "Not Found"))))))))</f>
        <v>PPPoE</v>
      </c>
      <c r="I817" t="str">
        <f>IFERROR(VLOOKUP($A817,'AAPT ExDa'!$B$2:$U$99, 0,FALSE), IFERROR(VLOOKUP($A817,'ABB ExDa'!$A$2:$N$184, 0,FALSE), IFERROR(VLOOKUP($A817,'Vocus SIT ExDa'!$B$2:$J$173, 0,FALSE), IFERROR(VLOOKUP($A817,'Telstra ExDa'!$B$2:$K$310, 0,FALSE), IFERROR(VLOOKUP($A817,'Vocus RVC ExDa'!$C$2:$R$155, 0,FALSE), IFERROR(VLOOKUP($A817,'Fusion ExDa'!$B$2:$D$16, 0,FALSE), IFERROR(VLOOKUP($A817,'Exetel ExDa'!$C$2:$N$14, 8,FALSE), IFERROR(VLOOKUP($A817,'Infinet ExDa'!$B$2:$E$14, 0,FALSE), "Not Found"))))))))</f>
        <v>Not Found</v>
      </c>
      <c r="J817" t="str">
        <f>IFERROR(VLOOKUP($A817,'AAPT ExDa'!$B$2:$U$99, 7,FALSE), IFERROR(VLOOKUP($A817,'ABB ExDa'!$A$2:$N$184, 2,FALSE), IFERROR(VLOOKUP($A817,'Vocus SIT ExDa'!$B$2:$J$173, 0,FALSE), IFERROR(VLOOKUP($A817,'Telstra ExDa'!$B$2:$K$310, 7,FALSE), IFERROR(VLOOKUP($A817,'Vocus RVC ExDa'!$C$2:$R$155, 2,FALSE), IFERROR(VLOOKUP($A817,'Fusion ExDa'!$B$2:$D$16, 3,FALSE), IFERROR(VLOOKUP($A817,'Exetel ExDa'!$C$2:$N$14, 0,FALSE), IFERROR(VLOOKUP($A817,'Infinet ExDa'!$B$2:$E$14, 0,FALSE), "Not Found"))))))))</f>
        <v xml:space="preserve">	AVC000186915715</v>
      </c>
      <c r="K817" t="str">
        <f>IFERROR(VLOOKUP($A817,'AAPT ExDa'!$B$2:$U$99, 12,FALSE), IFERROR(VLOOKUP($A817,'ABB ExDa'!$A$2:$N$184, 0,FALSE), IFERROR(VLOOKUP($A817,'Vocus SIT ExDa'!$B$2:$J$173, 0,FALSE), IFERROR(VLOOKUP($A817,'Telstra ExDa'!$B$2:$K$310, 0,FALSE), IFERROR(VLOOKUP($A817,'Vocus RVC ExDa'!$C$2:$R$155, 0,FALSE), IFERROR(VLOOKUP($A817,'Fusion ExDa'!$B$2:$D$16, 0,FALSE), IFERROR(VLOOKUP($A817,'Exetel ExDa'!$C$2:$N$14, 12,FALSE), IFERROR(VLOOKUP($A817,'Infinet ExDa'!$B$2:$E$14, 0,FALSE), "Not Found"))))))))</f>
        <v>Not Found</v>
      </c>
      <c r="L817" s="235" t="str">
        <f>IFERROR(VLOOKUP($A817,'AAPT ExDa'!$B$2:$U$99, 11,FALSE), IFERROR(VLOOKUP($A817,'ABB ExDa'!$A$2:$N$184, 9,FALSE), IFERROR(VLOOKUP($A817,'Vocus SIT ExDa'!$B$2:$J$173, 8,FALSE), IFERROR(VLOOKUP($A817,'Telstra ExDa'!$B$2:$K$310, 0,FALSE), IFERROR(VLOOKUP($A817,'Vocus RVC ExDa'!$C$2:$R$155, 0,FALSE), IFERROR(VLOOKUP($A817,'Fusion ExDa'!$B$2:$D$16, 0,FALSE), IFERROR(VLOOKUP($A817,'Exetel ExDa'!$C$2:$N$14, 9,FALSE), IFERROR(VLOOKUP($A817,'Infinet ExDa'!$B$2:$E$14, 0,FALSE), "Not Found"))))))))</f>
        <v>Not Found</v>
      </c>
      <c r="M817" s="234" t="str">
        <f>IFERROR(VLOOKUP($A817,'AAPT ExDa'!$B$2:$U$99, 0,FALSE), IFERROR(VLOOKUP($A817,'ABB ExDa'!$A$2:$N$184, 0,FALSE), IFERROR(VLOOKUP($A817,'Vocus SIT ExDa'!$B$2:$J$173, 0,FALSE), IFERROR(VLOOKUP($A817,'Telstra ExDa'!$B$2:$K$310, 0,FALSE), IFERROR(VLOOKUP($A817,'Vocus RVC ExDa'!$C$2:$R$155, 0,FALSE), IFERROR(VLOOKUP($A817,'Fusion ExDa'!$B$2:$D$16, 0,FALSE), IFERROR(VLOOKUP($A817,'Exetel ExDa'!$C$2:$N$14, 11,FALSE), IFERROR(VLOOKUP($A817,'Infinet ExDa'!$B$2:$E$14, 0,FALSE), "Not Found"))))))))</f>
        <v>Not Found</v>
      </c>
      <c r="N817" t="str">
        <f>IFERROR(VLOOKUP($A817,'AAPT ExDa'!$B$2:$U$99, 0,FALSE), IFERROR(VLOOKUP($A817,'ABB ExDa'!$A$2:$N$184, 13,FALSE), IFERROR(VLOOKUP($A817,'Vocus SIT ExDa'!$B$2:$J$173, 0,FALSE), IFERROR(VLOOKUP($A817,'Telstra ExDa'!$B$2:$K$310, 0,FALSE), IFERROR(VLOOKUP($A817,'Vocus RVC ExDa'!$C$2:$R$155, 0,FALSE), IFERROR(VLOOKUP($A817,'Fusion ExDa'!$B$2:$D$16, 0,FALSE), IFERROR(VLOOKUP($A817,'Exetel ExDa'!$C$2:$N$14, 0,FALSE), IFERROR(VLOOKUP($A817,'Infinet ExDa'!$B$2:$E$14, 0,FALSE), "Not Found"))))))))</f>
        <v>Not Found</v>
      </c>
    </row>
    <row r="818" spans="1:14">
      <c r="A818" t="str">
        <v>Kaleidoscope Australasia Pty Ltd</v>
      </c>
      <c r="B818" t="str">
        <f>IFERROR(VLOOKUP(A818,'Exetel ExDa'!$C$2:$N$14,4,FALSE),"No Data")</f>
        <v>No Data</v>
      </c>
      <c r="C818" t="str">
        <f>IFERROR(VLOOKUP(A818,'AAPT ExDa'!$B$2:$U$99, 2,FALSE), IFERROR(VLOOKUP(A818,'ABB ExDa'!$A$2:$N$184, 2,FALSE), IFERROR(VLOOKUP(A818,'Vocus SIT ExDa'!$B$2:$J$173, 7,FALSE), IFERROR(VLOOKUP(A818,'Telstra ExDa'!$B$2:$K$310, 2,FALSE), IFERROR(VLOOKUP(A818,'Vocus RVC ExDa'!$C$2:$R$155, 3,FALSE), IFERROR(VLOOKUP(A818,'Fusion ExDa'!$B$2:$D$16, 2,FALSE), IFERROR(VLOOKUP(A818,'Exetel ExDa'!$C$2:$N$14, 2,FALSE), IFERROR(VLOOKUP(A818,'Infinet ExDa'!$B$2:$E$14, 2,FALSE), "Not Found"))))))))</f>
        <v xml:space="preserve">Lot 148 11 Enterprise St </v>
      </c>
      <c r="D818">
        <f>IFERROR(VLOOKUP($A818,'AAPT ExDa'!$B$2:$U$99, 15,FALSE), IFERROR(VLOOKUP($A818,'ABB ExDa'!$A$2:$N$184, 4,FALSE), IFERROR(VLOOKUP($A818,'Vocus SIT ExDa'!$B$2:$J$173, 5,FALSE), IFERROR(VLOOKUP($A818,'Telstra ExDa'!$B$2:$K$310, 8,FALSE), IFERROR(VLOOKUP($A818,'Vocus RVC ExDa'!$C$2:$R$155, 6,FALSE), IFERROR(VLOOKUP($A818,'Fusion ExDa'!$B$2:$D$16, 4,FALSE), IFERROR(VLOOKUP($A818,'Exetel ExDa'!$C$2:$N$14, 3,FALSE), IFERROR(VLOOKUP($A818,'Infinet ExDa'!$B$2:$E$14, 3,FALSE), "Not Found"))))))))</f>
        <v>4077</v>
      </c>
      <c r="E818" t="str">
        <f>IFERROR(VLOOKUP($A818,'AAPT ExDa'!$B$2:$U$99, 3,FALSE), IFERROR(VLOOKUP($A818,'ABB ExDa'!$A$2:$N$184, 5,FALSE), IFERROR(VLOOKUP($A818,'Vocus SIT ExDa'!$B$2:$J$173, 2,FALSE), IFERROR(VLOOKUP($A818,'Telstra ExDa'!$B$2:$K$310, 4,FALSE), IFERROR(VLOOKUP($A818,'Vocus RVC ExDa'!$C$2:$R$155, 8,FALSE), IFERROR(VLOOKUP($A818,'Fusion ExDa'!$B$2:$D$16, 4,FALSE), IFERROR(VLOOKUP($A818,'Exetel ExDa'!$C$2:$N$14, 5,FALSE), IFERROR(VLOOKUP($A818,'Infinet ExDa'!$B$2:$E$14, 3,FALSE), "Not Found"))))))))</f>
        <v>50Mbps/20Mbps</v>
      </c>
      <c r="F818" t="str">
        <f>IFERROR(VLOOKUP($A818,'AAPT ExDa'!$B$2:$U$99, 4,FALSE), IFERROR(VLOOKUP($A818,'ABB ExDa'!$A$2:$N$184, 6,FALSE), IFERROR(VLOOKUP($A818,'Vocus SIT ExDa'!$B$2:$J$173, 3,FALSE), IFERROR(VLOOKUP($A818,'Telstra ExDa'!$B$2:$K$310, 5,FALSE), IFERROR(VLOOKUP($A818,'Vocus RVC ExDa'!$C$2:$R$155, 9,FALSE), IFERROR(VLOOKUP($A818,'Fusion ExDa'!$B$2:$D$16, 0,FALSE), IFERROR(VLOOKUP($A818,'Exetel ExDa'!$C$2:$N$14, 6,FALSE), IFERROR(VLOOKUP($A818,'Infinet ExDa'!$B$2:$E$14, 0,FALSE), "Not Found"))))))))</f>
        <v xml:space="preserve">NBN Reseller G4 </v>
      </c>
      <c r="G818">
        <f>IFERROR(VLOOKUP($A818,'AAPT ExDa'!$B$2:$U$99, 5,FALSE), IFERROR(VLOOKUP($A818,'ABB ExDa'!$A$2:$N$184, 8,FALSE), IFERROR(VLOOKUP($A818,'Vocus SIT ExDa'!$B$2:$J$173, 6,FALSE), IFERROR(VLOOKUP($A818,'Telstra ExDa'!$B$2:$K$310, 0,FALSE), IFERROR(VLOOKUP($A818,'Vocus RVC ExDa'!$C$2:$R$155, 15,FALSE), IFERROR(VLOOKUP($A818,'Fusion ExDa'!$B$2:$D$16, 0,FALSE), IFERROR(VLOOKUP($A818,'Exetel ExDa'!$C$2:$N$14, 7,FALSE), IFERROR(VLOOKUP($A818,'Infinet ExDa'!$B$2:$E$14, 0,FALSE), "Not Found"))))))))</f>
        <v>0</v>
      </c>
      <c r="H818" t="str">
        <f>IFERROR(VLOOKUP($A818,'AAPT ExDa'!$B$2:$U$99, 6,FALSE), IFERROR(VLOOKUP($A818,'ABB ExDa'!$A$2:$N$184, 0,FALSE), IFERROR(VLOOKUP($A818,'Vocus SIT ExDa'!$B$2:$J$173, 0,FALSE), IFERROR(VLOOKUP($A818,'Telstra ExDa'!$B$2:$K$310, 0,FALSE), IFERROR(VLOOKUP($A818,'Vocus RVC ExDa'!$C$2:$R$155, 16,FALSE), IFERROR(VLOOKUP($A818,'Fusion ExDa'!$B$2:$D$16, 0,FALSE), IFERROR(VLOOKUP($A818,'Exetel ExDa'!$C$2:$N$14, 0,FALSE), IFERROR(VLOOKUP($A818,'Infinet ExDa'!$B$2:$E$14, 0,FALSE), "Not Found"))))))))</f>
        <v>PPPoE</v>
      </c>
      <c r="I818" t="str">
        <f>IFERROR(VLOOKUP($A818,'AAPT ExDa'!$B$2:$U$99, 0,FALSE), IFERROR(VLOOKUP($A818,'ABB ExDa'!$A$2:$N$184, 0,FALSE), IFERROR(VLOOKUP($A818,'Vocus SIT ExDa'!$B$2:$J$173, 0,FALSE), IFERROR(VLOOKUP($A818,'Telstra ExDa'!$B$2:$K$310, 0,FALSE), IFERROR(VLOOKUP($A818,'Vocus RVC ExDa'!$C$2:$R$155, 0,FALSE), IFERROR(VLOOKUP($A818,'Fusion ExDa'!$B$2:$D$16, 0,FALSE), IFERROR(VLOOKUP($A818,'Exetel ExDa'!$C$2:$N$14, 8,FALSE), IFERROR(VLOOKUP($A818,'Infinet ExDa'!$B$2:$E$14, 0,FALSE), "Not Found"))))))))</f>
        <v>Not Found</v>
      </c>
      <c r="J818" t="str">
        <f>IFERROR(VLOOKUP($A818,'AAPT ExDa'!$B$2:$U$99, 7,FALSE), IFERROR(VLOOKUP($A818,'ABB ExDa'!$A$2:$N$184, 2,FALSE), IFERROR(VLOOKUP($A818,'Vocus SIT ExDa'!$B$2:$J$173, 0,FALSE), IFERROR(VLOOKUP($A818,'Telstra ExDa'!$B$2:$K$310, 7,FALSE), IFERROR(VLOOKUP($A818,'Vocus RVC ExDa'!$C$2:$R$155, 2,FALSE), IFERROR(VLOOKUP($A818,'Fusion ExDa'!$B$2:$D$16, 3,FALSE), IFERROR(VLOOKUP($A818,'Exetel ExDa'!$C$2:$N$14, 0,FALSE), IFERROR(VLOOKUP($A818,'Infinet ExDa'!$B$2:$E$14, 0,FALSE), "Not Found"))))))))</f>
        <v xml:space="preserve">	AVC000188300054</v>
      </c>
      <c r="K818" t="str">
        <f>IFERROR(VLOOKUP($A818,'AAPT ExDa'!$B$2:$U$99, 12,FALSE), IFERROR(VLOOKUP($A818,'ABB ExDa'!$A$2:$N$184, 0,FALSE), IFERROR(VLOOKUP($A818,'Vocus SIT ExDa'!$B$2:$J$173, 0,FALSE), IFERROR(VLOOKUP($A818,'Telstra ExDa'!$B$2:$K$310, 0,FALSE), IFERROR(VLOOKUP($A818,'Vocus RVC ExDa'!$C$2:$R$155, 0,FALSE), IFERROR(VLOOKUP($A818,'Fusion ExDa'!$B$2:$D$16, 0,FALSE), IFERROR(VLOOKUP($A818,'Exetel ExDa'!$C$2:$N$14, 12,FALSE), IFERROR(VLOOKUP($A818,'Infinet ExDa'!$B$2:$E$14, 0,FALSE), "Not Found"))))))))</f>
        <v>Not Found</v>
      </c>
      <c r="L818" s="235" t="str">
        <f>IFERROR(VLOOKUP($A818,'AAPT ExDa'!$B$2:$U$99, 11,FALSE), IFERROR(VLOOKUP($A818,'ABB ExDa'!$A$2:$N$184, 9,FALSE), IFERROR(VLOOKUP($A818,'Vocus SIT ExDa'!$B$2:$J$173, 8,FALSE), IFERROR(VLOOKUP($A818,'Telstra ExDa'!$B$2:$K$310, 0,FALSE), IFERROR(VLOOKUP($A818,'Vocus RVC ExDa'!$C$2:$R$155, 0,FALSE), IFERROR(VLOOKUP($A818,'Fusion ExDa'!$B$2:$D$16, 0,FALSE), IFERROR(VLOOKUP($A818,'Exetel ExDa'!$C$2:$N$14, 9,FALSE), IFERROR(VLOOKUP($A818,'Infinet ExDa'!$B$2:$E$14, 0,FALSE), "Not Found"))))))))</f>
        <v>Not Found</v>
      </c>
      <c r="M818" s="234" t="str">
        <f>IFERROR(VLOOKUP($A818,'AAPT ExDa'!$B$2:$U$99, 0,FALSE), IFERROR(VLOOKUP($A818,'ABB ExDa'!$A$2:$N$184, 0,FALSE), IFERROR(VLOOKUP($A818,'Vocus SIT ExDa'!$B$2:$J$173, 0,FALSE), IFERROR(VLOOKUP($A818,'Telstra ExDa'!$B$2:$K$310, 0,FALSE), IFERROR(VLOOKUP($A818,'Vocus RVC ExDa'!$C$2:$R$155, 0,FALSE), IFERROR(VLOOKUP($A818,'Fusion ExDa'!$B$2:$D$16, 0,FALSE), IFERROR(VLOOKUP($A818,'Exetel ExDa'!$C$2:$N$14, 11,FALSE), IFERROR(VLOOKUP($A818,'Infinet ExDa'!$B$2:$E$14, 0,FALSE), "Not Found"))))))))</f>
        <v>Not Found</v>
      </c>
      <c r="N818" t="str">
        <f>IFERROR(VLOOKUP($A818,'AAPT ExDa'!$B$2:$U$99, 0,FALSE), IFERROR(VLOOKUP($A818,'ABB ExDa'!$A$2:$N$184, 13,FALSE), IFERROR(VLOOKUP($A818,'Vocus SIT ExDa'!$B$2:$J$173, 0,FALSE), IFERROR(VLOOKUP($A818,'Telstra ExDa'!$B$2:$K$310, 0,FALSE), IFERROR(VLOOKUP($A818,'Vocus RVC ExDa'!$C$2:$R$155, 0,FALSE), IFERROR(VLOOKUP($A818,'Fusion ExDa'!$B$2:$D$16, 0,FALSE), IFERROR(VLOOKUP($A818,'Exetel ExDa'!$C$2:$N$14, 0,FALSE), IFERROR(VLOOKUP($A818,'Infinet ExDa'!$B$2:$E$14, 0,FALSE), "Not Found"))))))))</f>
        <v>Not Found</v>
      </c>
    </row>
    <row r="819" spans="1:14">
      <c r="A819" t="str">
        <v>EcoLife Solutions Canberra</v>
      </c>
      <c r="B819" t="str">
        <f>IFERROR(VLOOKUP(A819,'Exetel ExDa'!$C$2:$N$14,4,FALSE),"No Data")</f>
        <v>No Data</v>
      </c>
      <c r="C819" t="str">
        <f>IFERROR(VLOOKUP(A819,'AAPT ExDa'!$B$2:$U$99, 2,FALSE), IFERROR(VLOOKUP(A819,'ABB ExDa'!$A$2:$N$184, 2,FALSE), IFERROR(VLOOKUP(A819,'Vocus SIT ExDa'!$B$2:$J$173, 7,FALSE), IFERROR(VLOOKUP(A819,'Telstra ExDa'!$B$2:$K$310, 2,FALSE), IFERROR(VLOOKUP(A819,'Vocus RVC ExDa'!$C$2:$R$155, 3,FALSE), IFERROR(VLOOKUP(A819,'Fusion ExDa'!$B$2:$D$16, 2,FALSE), IFERROR(VLOOKUP(A819,'Exetel ExDa'!$C$2:$N$14, 2,FALSE), IFERROR(VLOOKUP(A819,'Infinet ExDa'!$B$2:$E$14, 2,FALSE), "Not Found"))))))))</f>
        <v xml:space="preserve">Unit 3 33 Lorn Rd </v>
      </c>
      <c r="D819">
        <f>IFERROR(VLOOKUP($A819,'AAPT ExDa'!$B$2:$U$99, 15,FALSE), IFERROR(VLOOKUP($A819,'ABB ExDa'!$A$2:$N$184, 4,FALSE), IFERROR(VLOOKUP($A819,'Vocus SIT ExDa'!$B$2:$J$173, 5,FALSE), IFERROR(VLOOKUP($A819,'Telstra ExDa'!$B$2:$K$310, 8,FALSE), IFERROR(VLOOKUP($A819,'Vocus RVC ExDa'!$C$2:$R$155, 6,FALSE), IFERROR(VLOOKUP($A819,'Fusion ExDa'!$B$2:$D$16, 4,FALSE), IFERROR(VLOOKUP($A819,'Exetel ExDa'!$C$2:$N$14, 3,FALSE), IFERROR(VLOOKUP($A819,'Infinet ExDa'!$B$2:$E$14, 3,FALSE), "Not Found"))))))))</f>
        <v>2153</v>
      </c>
      <c r="E819" t="str">
        <f>IFERROR(VLOOKUP($A819,'AAPT ExDa'!$B$2:$U$99, 3,FALSE), IFERROR(VLOOKUP($A819,'ABB ExDa'!$A$2:$N$184, 5,FALSE), IFERROR(VLOOKUP($A819,'Vocus SIT ExDa'!$B$2:$J$173, 2,FALSE), IFERROR(VLOOKUP($A819,'Telstra ExDa'!$B$2:$K$310, 4,FALSE), IFERROR(VLOOKUP($A819,'Vocus RVC ExDa'!$C$2:$R$155, 8,FALSE), IFERROR(VLOOKUP($A819,'Fusion ExDa'!$B$2:$D$16, 4,FALSE), IFERROR(VLOOKUP($A819,'Exetel ExDa'!$C$2:$N$14, 5,FALSE), IFERROR(VLOOKUP($A819,'Infinet ExDa'!$B$2:$E$14, 3,FALSE), "Not Found"))))))))</f>
        <v>50Mbps/20Mbps</v>
      </c>
      <c r="F819" t="str">
        <f>IFERROR(VLOOKUP($A819,'AAPT ExDa'!$B$2:$U$99, 4,FALSE), IFERROR(VLOOKUP($A819,'ABB ExDa'!$A$2:$N$184, 6,FALSE), IFERROR(VLOOKUP($A819,'Vocus SIT ExDa'!$B$2:$J$173, 3,FALSE), IFERROR(VLOOKUP($A819,'Telstra ExDa'!$B$2:$K$310, 5,FALSE), IFERROR(VLOOKUP($A819,'Vocus RVC ExDa'!$C$2:$R$155, 9,FALSE), IFERROR(VLOOKUP($A819,'Fusion ExDa'!$B$2:$D$16, 0,FALSE), IFERROR(VLOOKUP($A819,'Exetel ExDa'!$C$2:$N$14, 6,FALSE), IFERROR(VLOOKUP($A819,'Infinet ExDa'!$B$2:$E$14, 0,FALSE), "Not Found"))))))))</f>
        <v xml:space="preserve">NBN Reseller G4 </v>
      </c>
      <c r="G819" t="str">
        <f>IFERROR(VLOOKUP($A819,'AAPT ExDa'!$B$2:$U$99, 5,FALSE), IFERROR(VLOOKUP($A819,'ABB ExDa'!$A$2:$N$184, 8,FALSE), IFERROR(VLOOKUP($A819,'Vocus SIT ExDa'!$B$2:$J$173, 6,FALSE), IFERROR(VLOOKUP($A819,'Telstra ExDa'!$B$2:$K$310, 0,FALSE), IFERROR(VLOOKUP($A819,'Vocus RVC ExDa'!$C$2:$R$155, 15,FALSE), IFERROR(VLOOKUP($A819,'Fusion ExDa'!$B$2:$D$16, 0,FALSE), IFERROR(VLOOKUP($A819,'Exetel ExDa'!$C$2:$N$14, 7,FALSE), IFERROR(VLOOKUP($A819,'Infinet ExDa'!$B$2:$E$14, 0,FALSE), "Not Found"))))))))</f>
        <v>125.168.126.128</v>
      </c>
      <c r="H819" t="str">
        <f>IFERROR(VLOOKUP($A819,'AAPT ExDa'!$B$2:$U$99, 6,FALSE), IFERROR(VLOOKUP($A819,'ABB ExDa'!$A$2:$N$184, 0,FALSE), IFERROR(VLOOKUP($A819,'Vocus SIT ExDa'!$B$2:$J$173, 0,FALSE), IFERROR(VLOOKUP($A819,'Telstra ExDa'!$B$2:$K$310, 0,FALSE), IFERROR(VLOOKUP($A819,'Vocus RVC ExDa'!$C$2:$R$155, 16,FALSE), IFERROR(VLOOKUP($A819,'Fusion ExDa'!$B$2:$D$16, 0,FALSE), IFERROR(VLOOKUP($A819,'Exetel ExDa'!$C$2:$N$14, 0,FALSE), IFERROR(VLOOKUP($A819,'Infinet ExDa'!$B$2:$E$14, 0,FALSE), "Not Found"))))))))</f>
        <v>PPPoE</v>
      </c>
      <c r="I819" t="str">
        <f>IFERROR(VLOOKUP($A819,'AAPT ExDa'!$B$2:$U$99, 0,FALSE), IFERROR(VLOOKUP($A819,'ABB ExDa'!$A$2:$N$184, 0,FALSE), IFERROR(VLOOKUP($A819,'Vocus SIT ExDa'!$B$2:$J$173, 0,FALSE), IFERROR(VLOOKUP($A819,'Telstra ExDa'!$B$2:$K$310, 0,FALSE), IFERROR(VLOOKUP($A819,'Vocus RVC ExDa'!$C$2:$R$155, 0,FALSE), IFERROR(VLOOKUP($A819,'Fusion ExDa'!$B$2:$D$16, 0,FALSE), IFERROR(VLOOKUP($A819,'Exetel ExDa'!$C$2:$N$14, 8,FALSE), IFERROR(VLOOKUP($A819,'Infinet ExDa'!$B$2:$E$14, 0,FALSE), "Not Found"))))))))</f>
        <v>Not Found</v>
      </c>
      <c r="J819" t="str">
        <f>IFERROR(VLOOKUP($A819,'AAPT ExDa'!$B$2:$U$99, 7,FALSE), IFERROR(VLOOKUP($A819,'ABB ExDa'!$A$2:$N$184, 2,FALSE), IFERROR(VLOOKUP($A819,'Vocus SIT ExDa'!$B$2:$J$173, 0,FALSE), IFERROR(VLOOKUP($A819,'Telstra ExDa'!$B$2:$K$310, 7,FALSE), IFERROR(VLOOKUP($A819,'Vocus RVC ExDa'!$C$2:$R$155, 2,FALSE), IFERROR(VLOOKUP($A819,'Fusion ExDa'!$B$2:$D$16, 3,FALSE), IFERROR(VLOOKUP($A819,'Exetel ExDa'!$C$2:$N$14, 0,FALSE), IFERROR(VLOOKUP($A819,'Infinet ExDa'!$B$2:$E$14, 0,FALSE), "Not Found"))))))))</f>
        <v xml:space="preserve">	AVC000189527266</v>
      </c>
      <c r="K819" t="str">
        <f>IFERROR(VLOOKUP($A819,'AAPT ExDa'!$B$2:$U$99, 12,FALSE), IFERROR(VLOOKUP($A819,'ABB ExDa'!$A$2:$N$184, 0,FALSE), IFERROR(VLOOKUP($A819,'Vocus SIT ExDa'!$B$2:$J$173, 0,FALSE), IFERROR(VLOOKUP($A819,'Telstra ExDa'!$B$2:$K$310, 0,FALSE), IFERROR(VLOOKUP($A819,'Vocus RVC ExDa'!$C$2:$R$155, 0,FALSE), IFERROR(VLOOKUP($A819,'Fusion ExDa'!$B$2:$D$16, 0,FALSE), IFERROR(VLOOKUP($A819,'Exetel ExDa'!$C$2:$N$14, 12,FALSE), IFERROR(VLOOKUP($A819,'Infinet ExDa'!$B$2:$E$14, 0,FALSE), "Not Found"))))))))</f>
        <v>Not Found</v>
      </c>
      <c r="L819" s="235" t="str">
        <f>IFERROR(VLOOKUP($A819,'AAPT ExDa'!$B$2:$U$99, 11,FALSE), IFERROR(VLOOKUP($A819,'ABB ExDa'!$A$2:$N$184, 9,FALSE), IFERROR(VLOOKUP($A819,'Vocus SIT ExDa'!$B$2:$J$173, 8,FALSE), IFERROR(VLOOKUP($A819,'Telstra ExDa'!$B$2:$K$310, 0,FALSE), IFERROR(VLOOKUP($A819,'Vocus RVC ExDa'!$C$2:$R$155, 0,FALSE), IFERROR(VLOOKUP($A819,'Fusion ExDa'!$B$2:$D$16, 0,FALSE), IFERROR(VLOOKUP($A819,'Exetel ExDa'!$C$2:$N$14, 9,FALSE), IFERROR(VLOOKUP($A819,'Infinet ExDa'!$B$2:$E$14, 0,FALSE), "Not Found"))))))))</f>
        <v>Not Found</v>
      </c>
      <c r="M819" s="234" t="str">
        <f>IFERROR(VLOOKUP($A819,'AAPT ExDa'!$B$2:$U$99, 0,FALSE), IFERROR(VLOOKUP($A819,'ABB ExDa'!$A$2:$N$184, 0,FALSE), IFERROR(VLOOKUP($A819,'Vocus SIT ExDa'!$B$2:$J$173, 0,FALSE), IFERROR(VLOOKUP($A819,'Telstra ExDa'!$B$2:$K$310, 0,FALSE), IFERROR(VLOOKUP($A819,'Vocus RVC ExDa'!$C$2:$R$155, 0,FALSE), IFERROR(VLOOKUP($A819,'Fusion ExDa'!$B$2:$D$16, 0,FALSE), IFERROR(VLOOKUP($A819,'Exetel ExDa'!$C$2:$N$14, 11,FALSE), IFERROR(VLOOKUP($A819,'Infinet ExDa'!$B$2:$E$14, 0,FALSE), "Not Found"))))))))</f>
        <v>Not Found</v>
      </c>
      <c r="N819" t="str">
        <f>IFERROR(VLOOKUP($A819,'AAPT ExDa'!$B$2:$U$99, 0,FALSE), IFERROR(VLOOKUP($A819,'ABB ExDa'!$A$2:$N$184, 13,FALSE), IFERROR(VLOOKUP($A819,'Vocus SIT ExDa'!$B$2:$J$173, 0,FALSE), IFERROR(VLOOKUP($A819,'Telstra ExDa'!$B$2:$K$310, 0,FALSE), IFERROR(VLOOKUP($A819,'Vocus RVC ExDa'!$C$2:$R$155, 0,FALSE), IFERROR(VLOOKUP($A819,'Fusion ExDa'!$B$2:$D$16, 0,FALSE), IFERROR(VLOOKUP($A819,'Exetel ExDa'!$C$2:$N$14, 0,FALSE), IFERROR(VLOOKUP($A819,'Infinet ExDa'!$B$2:$E$14, 0,FALSE), "Not Found"))))))))</f>
        <v>Not Found</v>
      </c>
    </row>
    <row r="820" spans="1:14">
      <c r="A820" t="str">
        <v>Touring Solutions Australia</v>
      </c>
      <c r="B820" t="str">
        <f>IFERROR(VLOOKUP(A820,'Exetel ExDa'!$C$2:$N$14,4,FALSE),"No Data")</f>
        <v>No Data</v>
      </c>
      <c r="C820" t="str">
        <f>IFERROR(VLOOKUP(A820,'AAPT ExDa'!$B$2:$U$99, 2,FALSE), IFERROR(VLOOKUP(A820,'ABB ExDa'!$A$2:$N$184, 2,FALSE), IFERROR(VLOOKUP(A820,'Vocus SIT ExDa'!$B$2:$J$173, 7,FALSE), IFERROR(VLOOKUP(A820,'Telstra ExDa'!$B$2:$K$310, 2,FALSE), IFERROR(VLOOKUP(A820,'Vocus RVC ExDa'!$C$2:$R$155, 3,FALSE), IFERROR(VLOOKUP(A820,'Fusion ExDa'!$B$2:$D$16, 2,FALSE), IFERROR(VLOOKUP(A820,'Exetel ExDa'!$C$2:$N$14, 2,FALSE), IFERROR(VLOOKUP(A820,'Infinet ExDa'!$B$2:$E$14, 2,FALSE), "Not Found"))))))))</f>
        <v xml:space="preserve">Lot 9 31 Jones St </v>
      </c>
      <c r="D820">
        <f>IFERROR(VLOOKUP($A820,'AAPT ExDa'!$B$2:$U$99, 15,FALSE), IFERROR(VLOOKUP($A820,'ABB ExDa'!$A$2:$N$184, 4,FALSE), IFERROR(VLOOKUP($A820,'Vocus SIT ExDa'!$B$2:$J$173, 5,FALSE), IFERROR(VLOOKUP($A820,'Telstra ExDa'!$B$2:$K$310, 8,FALSE), IFERROR(VLOOKUP($A820,'Vocus RVC ExDa'!$C$2:$R$155, 6,FALSE), IFERROR(VLOOKUP($A820,'Fusion ExDa'!$B$2:$D$16, 4,FALSE), IFERROR(VLOOKUP($A820,'Exetel ExDa'!$C$2:$N$14, 3,FALSE), IFERROR(VLOOKUP($A820,'Infinet ExDa'!$B$2:$E$14, 3,FALSE), "Not Found"))))))))</f>
        <v>4350</v>
      </c>
      <c r="E820" t="str">
        <f>IFERROR(VLOOKUP($A820,'AAPT ExDa'!$B$2:$U$99, 3,FALSE), IFERROR(VLOOKUP($A820,'ABB ExDa'!$A$2:$N$184, 5,FALSE), IFERROR(VLOOKUP($A820,'Vocus SIT ExDa'!$B$2:$J$173, 2,FALSE), IFERROR(VLOOKUP($A820,'Telstra ExDa'!$B$2:$K$310, 4,FALSE), IFERROR(VLOOKUP($A820,'Vocus RVC ExDa'!$C$2:$R$155, 8,FALSE), IFERROR(VLOOKUP($A820,'Fusion ExDa'!$B$2:$D$16, 4,FALSE), IFERROR(VLOOKUP($A820,'Exetel ExDa'!$C$2:$N$14, 5,FALSE), IFERROR(VLOOKUP($A820,'Infinet ExDa'!$B$2:$E$14, 3,FALSE), "Not Found"))))))))</f>
        <v>100Mbps/40Mbps</v>
      </c>
      <c r="F820" t="str">
        <f>IFERROR(VLOOKUP($A820,'AAPT ExDa'!$B$2:$U$99, 4,FALSE), IFERROR(VLOOKUP($A820,'ABB ExDa'!$A$2:$N$184, 6,FALSE), IFERROR(VLOOKUP($A820,'Vocus SIT ExDa'!$B$2:$J$173, 3,FALSE), IFERROR(VLOOKUP($A820,'Telstra ExDa'!$B$2:$K$310, 5,FALSE), IFERROR(VLOOKUP($A820,'Vocus RVC ExDa'!$C$2:$R$155, 9,FALSE), IFERROR(VLOOKUP($A820,'Fusion ExDa'!$B$2:$D$16, 0,FALSE), IFERROR(VLOOKUP($A820,'Exetel ExDa'!$C$2:$N$14, 6,FALSE), IFERROR(VLOOKUP($A820,'Infinet ExDa'!$B$2:$E$14, 0,FALSE), "Not Found"))))))))</f>
        <v xml:space="preserve">NBN Reseller G4 </v>
      </c>
      <c r="G820" t="str">
        <f>IFERROR(VLOOKUP($A820,'AAPT ExDa'!$B$2:$U$99, 5,FALSE), IFERROR(VLOOKUP($A820,'ABB ExDa'!$A$2:$N$184, 8,FALSE), IFERROR(VLOOKUP($A820,'Vocus SIT ExDa'!$B$2:$J$173, 6,FALSE), IFERROR(VLOOKUP($A820,'Telstra ExDa'!$B$2:$K$310, 0,FALSE), IFERROR(VLOOKUP($A820,'Vocus RVC ExDa'!$C$2:$R$155, 15,FALSE), IFERROR(VLOOKUP($A820,'Fusion ExDa'!$B$2:$D$16, 0,FALSE), IFERROR(VLOOKUP($A820,'Exetel ExDa'!$C$2:$N$14, 7,FALSE), IFERROR(VLOOKUP($A820,'Infinet ExDa'!$B$2:$E$14, 0,FALSE), "Not Found"))))))))</f>
        <v>125.168.95.165</v>
      </c>
      <c r="H820" t="str">
        <f>IFERROR(VLOOKUP($A820,'AAPT ExDa'!$B$2:$U$99, 6,FALSE), IFERROR(VLOOKUP($A820,'ABB ExDa'!$A$2:$N$184, 0,FALSE), IFERROR(VLOOKUP($A820,'Vocus SIT ExDa'!$B$2:$J$173, 0,FALSE), IFERROR(VLOOKUP($A820,'Telstra ExDa'!$B$2:$K$310, 0,FALSE), IFERROR(VLOOKUP($A820,'Vocus RVC ExDa'!$C$2:$R$155, 16,FALSE), IFERROR(VLOOKUP($A820,'Fusion ExDa'!$B$2:$D$16, 0,FALSE), IFERROR(VLOOKUP($A820,'Exetel ExDa'!$C$2:$N$14, 0,FALSE), IFERROR(VLOOKUP($A820,'Infinet ExDa'!$B$2:$E$14, 0,FALSE), "Not Found"))))))))</f>
        <v>PPPoE</v>
      </c>
      <c r="I820" t="str">
        <f>IFERROR(VLOOKUP($A820,'AAPT ExDa'!$B$2:$U$99, 0,FALSE), IFERROR(VLOOKUP($A820,'ABB ExDa'!$A$2:$N$184, 0,FALSE), IFERROR(VLOOKUP($A820,'Vocus SIT ExDa'!$B$2:$J$173, 0,FALSE), IFERROR(VLOOKUP($A820,'Telstra ExDa'!$B$2:$K$310, 0,FALSE), IFERROR(VLOOKUP($A820,'Vocus RVC ExDa'!$C$2:$R$155, 0,FALSE), IFERROR(VLOOKUP($A820,'Fusion ExDa'!$B$2:$D$16, 0,FALSE), IFERROR(VLOOKUP($A820,'Exetel ExDa'!$C$2:$N$14, 8,FALSE), IFERROR(VLOOKUP($A820,'Infinet ExDa'!$B$2:$E$14, 0,FALSE), "Not Found"))))))))</f>
        <v>Not Found</v>
      </c>
      <c r="J820" t="str">
        <f>IFERROR(VLOOKUP($A820,'AAPT ExDa'!$B$2:$U$99, 7,FALSE), IFERROR(VLOOKUP($A820,'ABB ExDa'!$A$2:$N$184, 2,FALSE), IFERROR(VLOOKUP($A820,'Vocus SIT ExDa'!$B$2:$J$173, 0,FALSE), IFERROR(VLOOKUP($A820,'Telstra ExDa'!$B$2:$K$310, 7,FALSE), IFERROR(VLOOKUP($A820,'Vocus RVC ExDa'!$C$2:$R$155, 2,FALSE), IFERROR(VLOOKUP($A820,'Fusion ExDa'!$B$2:$D$16, 3,FALSE), IFERROR(VLOOKUP($A820,'Exetel ExDa'!$C$2:$N$14, 0,FALSE), IFERROR(VLOOKUP($A820,'Infinet ExDa'!$B$2:$E$14, 0,FALSE), "Not Found"))))))))</f>
        <v xml:space="preserve">	AVC000191016024</v>
      </c>
      <c r="K820" t="str">
        <f>IFERROR(VLOOKUP($A820,'AAPT ExDa'!$B$2:$U$99, 12,FALSE), IFERROR(VLOOKUP($A820,'ABB ExDa'!$A$2:$N$184, 0,FALSE), IFERROR(VLOOKUP($A820,'Vocus SIT ExDa'!$B$2:$J$173, 0,FALSE), IFERROR(VLOOKUP($A820,'Telstra ExDa'!$B$2:$K$310, 0,FALSE), IFERROR(VLOOKUP($A820,'Vocus RVC ExDa'!$C$2:$R$155, 0,FALSE), IFERROR(VLOOKUP($A820,'Fusion ExDa'!$B$2:$D$16, 0,FALSE), IFERROR(VLOOKUP($A820,'Exetel ExDa'!$C$2:$N$14, 12,FALSE), IFERROR(VLOOKUP($A820,'Infinet ExDa'!$B$2:$E$14, 0,FALSE), "Not Found"))))))))</f>
        <v>Not Found</v>
      </c>
      <c r="L820" s="235" t="str">
        <f>IFERROR(VLOOKUP($A820,'AAPT ExDa'!$B$2:$U$99, 11,FALSE), IFERROR(VLOOKUP($A820,'ABB ExDa'!$A$2:$N$184, 9,FALSE), IFERROR(VLOOKUP($A820,'Vocus SIT ExDa'!$B$2:$J$173, 8,FALSE), IFERROR(VLOOKUP($A820,'Telstra ExDa'!$B$2:$K$310, 0,FALSE), IFERROR(VLOOKUP($A820,'Vocus RVC ExDa'!$C$2:$R$155, 0,FALSE), IFERROR(VLOOKUP($A820,'Fusion ExDa'!$B$2:$D$16, 0,FALSE), IFERROR(VLOOKUP($A820,'Exetel ExDa'!$C$2:$N$14, 9,FALSE), IFERROR(VLOOKUP($A820,'Infinet ExDa'!$B$2:$E$14, 0,FALSE), "Not Found"))))))))</f>
        <v>Not Found</v>
      </c>
      <c r="M820" s="234" t="str">
        <f>IFERROR(VLOOKUP($A820,'AAPT ExDa'!$B$2:$U$99, 0,FALSE), IFERROR(VLOOKUP($A820,'ABB ExDa'!$A$2:$N$184, 0,FALSE), IFERROR(VLOOKUP($A820,'Vocus SIT ExDa'!$B$2:$J$173, 0,FALSE), IFERROR(VLOOKUP($A820,'Telstra ExDa'!$B$2:$K$310, 0,FALSE), IFERROR(VLOOKUP($A820,'Vocus RVC ExDa'!$C$2:$R$155, 0,FALSE), IFERROR(VLOOKUP($A820,'Fusion ExDa'!$B$2:$D$16, 0,FALSE), IFERROR(VLOOKUP($A820,'Exetel ExDa'!$C$2:$N$14, 11,FALSE), IFERROR(VLOOKUP($A820,'Infinet ExDa'!$B$2:$E$14, 0,FALSE), "Not Found"))))))))</f>
        <v>Not Found</v>
      </c>
      <c r="N820" t="str">
        <f>IFERROR(VLOOKUP($A820,'AAPT ExDa'!$B$2:$U$99, 0,FALSE), IFERROR(VLOOKUP($A820,'ABB ExDa'!$A$2:$N$184, 13,FALSE), IFERROR(VLOOKUP($A820,'Vocus SIT ExDa'!$B$2:$J$173, 0,FALSE), IFERROR(VLOOKUP($A820,'Telstra ExDa'!$B$2:$K$310, 0,FALSE), IFERROR(VLOOKUP($A820,'Vocus RVC ExDa'!$C$2:$R$155, 0,FALSE), IFERROR(VLOOKUP($A820,'Fusion ExDa'!$B$2:$D$16, 0,FALSE), IFERROR(VLOOKUP($A820,'Exetel ExDa'!$C$2:$N$14, 0,FALSE), IFERROR(VLOOKUP($A820,'Infinet ExDa'!$B$2:$E$14, 0,FALSE), "Not Found"))))))))</f>
        <v>Not Found</v>
      </c>
    </row>
    <row r="821" spans="1:14">
      <c r="A821" t="str">
        <v>Mother Duck Bellbowrie</v>
      </c>
      <c r="B821" t="str">
        <f>IFERROR(VLOOKUP(A821,'Exetel ExDa'!$C$2:$N$14,4,FALSE),"No Data")</f>
        <v>No Data</v>
      </c>
      <c r="C821" t="str">
        <f>IFERROR(VLOOKUP(A821,'AAPT ExDa'!$B$2:$U$99, 2,FALSE), IFERROR(VLOOKUP(A821,'ABB ExDa'!$A$2:$N$184, 2,FALSE), IFERROR(VLOOKUP(A821,'Vocus SIT ExDa'!$B$2:$J$173, 7,FALSE), IFERROR(VLOOKUP(A821,'Telstra ExDa'!$B$2:$K$310, 2,FALSE), IFERROR(VLOOKUP(A821,'Vocus RVC ExDa'!$C$2:$R$155, 3,FALSE), IFERROR(VLOOKUP(A821,'Fusion ExDa'!$B$2:$D$16, 2,FALSE), IFERROR(VLOOKUP(A821,'Exetel ExDa'!$C$2:$N$14, 2,FALSE), IFERROR(VLOOKUP(A821,'Infinet ExDa'!$B$2:$E$14, 2,FALSE), "Not Found"))))))))</f>
        <v xml:space="preserve">38 Sugarwood Street </v>
      </c>
      <c r="D821">
        <f>IFERROR(VLOOKUP($A821,'AAPT ExDa'!$B$2:$U$99, 15,FALSE), IFERROR(VLOOKUP($A821,'ABB ExDa'!$A$2:$N$184, 4,FALSE), IFERROR(VLOOKUP($A821,'Vocus SIT ExDa'!$B$2:$J$173, 5,FALSE), IFERROR(VLOOKUP($A821,'Telstra ExDa'!$B$2:$K$310, 8,FALSE), IFERROR(VLOOKUP($A821,'Vocus RVC ExDa'!$C$2:$R$155, 6,FALSE), IFERROR(VLOOKUP($A821,'Fusion ExDa'!$B$2:$D$16, 4,FALSE), IFERROR(VLOOKUP($A821,'Exetel ExDa'!$C$2:$N$14, 3,FALSE), IFERROR(VLOOKUP($A821,'Infinet ExDa'!$B$2:$E$14, 3,FALSE), "Not Found"))))))))</f>
        <v>4070</v>
      </c>
      <c r="E821" t="str">
        <f>IFERROR(VLOOKUP($A821,'AAPT ExDa'!$B$2:$U$99, 3,FALSE), IFERROR(VLOOKUP($A821,'ABB ExDa'!$A$2:$N$184, 5,FALSE), IFERROR(VLOOKUP($A821,'Vocus SIT ExDa'!$B$2:$J$173, 2,FALSE), IFERROR(VLOOKUP($A821,'Telstra ExDa'!$B$2:$K$310, 4,FALSE), IFERROR(VLOOKUP($A821,'Vocus RVC ExDa'!$C$2:$R$155, 8,FALSE), IFERROR(VLOOKUP($A821,'Fusion ExDa'!$B$2:$D$16, 4,FALSE), IFERROR(VLOOKUP($A821,'Exetel ExDa'!$C$2:$N$14, 5,FALSE), IFERROR(VLOOKUP($A821,'Infinet ExDa'!$B$2:$E$14, 3,FALSE), "Not Found"))))))))</f>
        <v>100Mbps/40Mbps</v>
      </c>
      <c r="F821" t="str">
        <f>IFERROR(VLOOKUP($A821,'AAPT ExDa'!$B$2:$U$99, 4,FALSE), IFERROR(VLOOKUP($A821,'ABB ExDa'!$A$2:$N$184, 6,FALSE), IFERROR(VLOOKUP($A821,'Vocus SIT ExDa'!$B$2:$J$173, 3,FALSE), IFERROR(VLOOKUP($A821,'Telstra ExDa'!$B$2:$K$310, 5,FALSE), IFERROR(VLOOKUP($A821,'Vocus RVC ExDa'!$C$2:$R$155, 9,FALSE), IFERROR(VLOOKUP($A821,'Fusion ExDa'!$B$2:$D$16, 0,FALSE), IFERROR(VLOOKUP($A821,'Exetel ExDa'!$C$2:$N$14, 6,FALSE), IFERROR(VLOOKUP($A821,'Infinet ExDa'!$B$2:$E$14, 0,FALSE), "Not Found"))))))))</f>
        <v xml:space="preserve">NBN Reseller G4 </v>
      </c>
      <c r="G821" t="str">
        <f>IFERROR(VLOOKUP($A821,'AAPT ExDa'!$B$2:$U$99, 5,FALSE), IFERROR(VLOOKUP($A821,'ABB ExDa'!$A$2:$N$184, 8,FALSE), IFERROR(VLOOKUP($A821,'Vocus SIT ExDa'!$B$2:$J$173, 6,FALSE), IFERROR(VLOOKUP($A821,'Telstra ExDa'!$B$2:$K$310, 0,FALSE), IFERROR(VLOOKUP($A821,'Vocus RVC ExDa'!$C$2:$R$155, 15,FALSE), IFERROR(VLOOKUP($A821,'Fusion ExDa'!$B$2:$D$16, 0,FALSE), IFERROR(VLOOKUP($A821,'Exetel ExDa'!$C$2:$N$14, 7,FALSE), IFERROR(VLOOKUP($A821,'Infinet ExDa'!$B$2:$E$14, 0,FALSE), "Not Found"))))))))</f>
        <v>111.220.129.19</v>
      </c>
      <c r="H821" t="str">
        <f>IFERROR(VLOOKUP($A821,'AAPT ExDa'!$B$2:$U$99, 6,FALSE), IFERROR(VLOOKUP($A821,'ABB ExDa'!$A$2:$N$184, 0,FALSE), IFERROR(VLOOKUP($A821,'Vocus SIT ExDa'!$B$2:$J$173, 0,FALSE), IFERROR(VLOOKUP($A821,'Telstra ExDa'!$B$2:$K$310, 0,FALSE), IFERROR(VLOOKUP($A821,'Vocus RVC ExDa'!$C$2:$R$155, 16,FALSE), IFERROR(VLOOKUP($A821,'Fusion ExDa'!$B$2:$D$16, 0,FALSE), IFERROR(VLOOKUP($A821,'Exetel ExDa'!$C$2:$N$14, 0,FALSE), IFERROR(VLOOKUP($A821,'Infinet ExDa'!$B$2:$E$14, 0,FALSE), "Not Found"))))))))</f>
        <v>PPPoE</v>
      </c>
      <c r="I821" t="str">
        <f>IFERROR(VLOOKUP($A821,'AAPT ExDa'!$B$2:$U$99, 0,FALSE), IFERROR(VLOOKUP($A821,'ABB ExDa'!$A$2:$N$184, 0,FALSE), IFERROR(VLOOKUP($A821,'Vocus SIT ExDa'!$B$2:$J$173, 0,FALSE), IFERROR(VLOOKUP($A821,'Telstra ExDa'!$B$2:$K$310, 0,FALSE), IFERROR(VLOOKUP($A821,'Vocus RVC ExDa'!$C$2:$R$155, 0,FALSE), IFERROR(VLOOKUP($A821,'Fusion ExDa'!$B$2:$D$16, 0,FALSE), IFERROR(VLOOKUP($A821,'Exetel ExDa'!$C$2:$N$14, 8,FALSE), IFERROR(VLOOKUP($A821,'Infinet ExDa'!$B$2:$E$14, 0,FALSE), "Not Found"))))))))</f>
        <v>Not Found</v>
      </c>
      <c r="J821" t="str">
        <f>IFERROR(VLOOKUP($A821,'AAPT ExDa'!$B$2:$U$99, 7,FALSE), IFERROR(VLOOKUP($A821,'ABB ExDa'!$A$2:$N$184, 2,FALSE), IFERROR(VLOOKUP($A821,'Vocus SIT ExDa'!$B$2:$J$173, 0,FALSE), IFERROR(VLOOKUP($A821,'Telstra ExDa'!$B$2:$K$310, 7,FALSE), IFERROR(VLOOKUP($A821,'Vocus RVC ExDa'!$C$2:$R$155, 2,FALSE), IFERROR(VLOOKUP($A821,'Fusion ExDa'!$B$2:$D$16, 3,FALSE), IFERROR(VLOOKUP($A821,'Exetel ExDa'!$C$2:$N$14, 0,FALSE), IFERROR(VLOOKUP($A821,'Infinet ExDa'!$B$2:$E$14, 0,FALSE), "Not Found"))))))))</f>
        <v>AVC000191546910</v>
      </c>
      <c r="K821" t="str">
        <f>IFERROR(VLOOKUP($A821,'AAPT ExDa'!$B$2:$U$99, 12,FALSE), IFERROR(VLOOKUP($A821,'ABB ExDa'!$A$2:$N$184, 0,FALSE), IFERROR(VLOOKUP($A821,'Vocus SIT ExDa'!$B$2:$J$173, 0,FALSE), IFERROR(VLOOKUP($A821,'Telstra ExDa'!$B$2:$K$310, 0,FALSE), IFERROR(VLOOKUP($A821,'Vocus RVC ExDa'!$C$2:$R$155, 0,FALSE), IFERROR(VLOOKUP($A821,'Fusion ExDa'!$B$2:$D$16, 0,FALSE), IFERROR(VLOOKUP($A821,'Exetel ExDa'!$C$2:$N$14, 12,FALSE), IFERROR(VLOOKUP($A821,'Infinet ExDa'!$B$2:$E$14, 0,FALSE), "Not Found"))))))))</f>
        <v>Not Found</v>
      </c>
      <c r="L821" s="235" t="str">
        <f>IFERROR(VLOOKUP($A821,'AAPT ExDa'!$B$2:$U$99, 11,FALSE), IFERROR(VLOOKUP($A821,'ABB ExDa'!$A$2:$N$184, 9,FALSE), IFERROR(VLOOKUP($A821,'Vocus SIT ExDa'!$B$2:$J$173, 8,FALSE), IFERROR(VLOOKUP($A821,'Telstra ExDa'!$B$2:$K$310, 0,FALSE), IFERROR(VLOOKUP($A821,'Vocus RVC ExDa'!$C$2:$R$155, 0,FALSE), IFERROR(VLOOKUP($A821,'Fusion ExDa'!$B$2:$D$16, 0,FALSE), IFERROR(VLOOKUP($A821,'Exetel ExDa'!$C$2:$N$14, 9,FALSE), IFERROR(VLOOKUP($A821,'Infinet ExDa'!$B$2:$E$14, 0,FALSE), "Not Found"))))))))</f>
        <v>Not Found</v>
      </c>
      <c r="M821" s="234" t="str">
        <f>IFERROR(VLOOKUP($A821,'AAPT ExDa'!$B$2:$U$99, 0,FALSE), IFERROR(VLOOKUP($A821,'ABB ExDa'!$A$2:$N$184, 0,FALSE), IFERROR(VLOOKUP($A821,'Vocus SIT ExDa'!$B$2:$J$173, 0,FALSE), IFERROR(VLOOKUP($A821,'Telstra ExDa'!$B$2:$K$310, 0,FALSE), IFERROR(VLOOKUP($A821,'Vocus RVC ExDa'!$C$2:$R$155, 0,FALSE), IFERROR(VLOOKUP($A821,'Fusion ExDa'!$B$2:$D$16, 0,FALSE), IFERROR(VLOOKUP($A821,'Exetel ExDa'!$C$2:$N$14, 11,FALSE), IFERROR(VLOOKUP($A821,'Infinet ExDa'!$B$2:$E$14, 0,FALSE), "Not Found"))))))))</f>
        <v>Not Found</v>
      </c>
      <c r="N821" t="str">
        <f>IFERROR(VLOOKUP($A821,'AAPT ExDa'!$B$2:$U$99, 0,FALSE), IFERROR(VLOOKUP($A821,'ABB ExDa'!$A$2:$N$184, 13,FALSE), IFERROR(VLOOKUP($A821,'Vocus SIT ExDa'!$B$2:$J$173, 0,FALSE), IFERROR(VLOOKUP($A821,'Telstra ExDa'!$B$2:$K$310, 0,FALSE), IFERROR(VLOOKUP($A821,'Vocus RVC ExDa'!$C$2:$R$155, 0,FALSE), IFERROR(VLOOKUP($A821,'Fusion ExDa'!$B$2:$D$16, 0,FALSE), IFERROR(VLOOKUP($A821,'Exetel ExDa'!$C$2:$N$14, 0,FALSE), IFERROR(VLOOKUP($A821,'Infinet ExDa'!$B$2:$E$14, 0,FALSE), "Not Found"))))))))</f>
        <v>Not Found</v>
      </c>
    </row>
    <row r="822" spans="1:14">
      <c r="A822" t="str">
        <v>Smile IT</v>
      </c>
      <c r="B822" t="str">
        <f>IFERROR(VLOOKUP(A822,'Exetel ExDa'!$C$2:$N$14,4,FALSE),"No Data")</f>
        <v>0701561050</v>
      </c>
      <c r="C822">
        <f>IFERROR(VLOOKUP(A822,'AAPT ExDa'!$B$2:$U$99, 2,FALSE), IFERROR(VLOOKUP(A822,'ABB ExDa'!$A$2:$N$184, 2,FALSE), IFERROR(VLOOKUP(A822,'Vocus SIT ExDa'!$B$2:$J$173, 7,FALSE), IFERROR(VLOOKUP(A822,'Telstra ExDa'!$B$2:$K$310, 2,FALSE), IFERROR(VLOOKUP(A822,'Vocus RVC ExDa'!$C$2:$R$155, 3,FALSE), IFERROR(VLOOKUP(A822,'Fusion ExDa'!$B$2:$D$16, 2,FALSE), IFERROR(VLOOKUP(A822,'Exetel ExDa'!$C$2:$N$14, 2,FALSE), IFERROR(VLOOKUP(A822,'Infinet ExDa'!$B$2:$E$14, 2,FALSE), "Not Found"))))))))</f>
        <v>0</v>
      </c>
      <c r="D822" t="str">
        <f>IFERROR(VLOOKUP($A822,'AAPT ExDa'!$B$2:$U$99, 15,FALSE), IFERROR(VLOOKUP($A822,'ABB ExDa'!$A$2:$N$184, 4,FALSE), IFERROR(VLOOKUP($A822,'Vocus SIT ExDa'!$B$2:$J$173, 5,FALSE), IFERROR(VLOOKUP($A822,'Telstra ExDa'!$B$2:$K$310, 8,FALSE), IFERROR(VLOOKUP($A822,'Vocus RVC ExDa'!$C$2:$R$155, 6,FALSE), IFERROR(VLOOKUP($A822,'Fusion ExDa'!$B$2:$D$16, 4,FALSE), IFERROR(VLOOKUP($A822,'Exetel ExDa'!$C$2:$N$14, 3,FALSE), IFERROR(VLOOKUP($A822,'Infinet ExDa'!$B$2:$E$14, 3,FALSE), "Not Found"))))))))</f>
        <v>AAPT</v>
      </c>
      <c r="E822" t="str">
        <f>IFERROR(VLOOKUP($A822,'AAPT ExDa'!$B$2:$U$99, 3,FALSE), IFERROR(VLOOKUP($A822,'ABB ExDa'!$A$2:$N$184, 5,FALSE), IFERROR(VLOOKUP($A822,'Vocus SIT ExDa'!$B$2:$J$173, 2,FALSE), IFERROR(VLOOKUP($A822,'Telstra ExDa'!$B$2:$K$310, 4,FALSE), IFERROR(VLOOKUP($A822,'Vocus RVC ExDa'!$C$2:$R$155, 8,FALSE), IFERROR(VLOOKUP($A822,'Fusion ExDa'!$B$2:$D$16, 4,FALSE), IFERROR(VLOOKUP($A822,'Exetel ExDa'!$C$2:$N$14, 5,FALSE), IFERROR(VLOOKUP($A822,'Infinet ExDa'!$B$2:$E$14, 3,FALSE), "Not Found"))))))))</f>
        <v>IP-Line</v>
      </c>
      <c r="F822" t="str">
        <f>IFERROR(VLOOKUP($A822,'AAPT ExDa'!$B$2:$U$99, 4,FALSE), IFERROR(VLOOKUP($A822,'ABB ExDa'!$A$2:$N$184, 6,FALSE), IFERROR(VLOOKUP($A822,'Vocus SIT ExDa'!$B$2:$J$173, 3,FALSE), IFERROR(VLOOKUP($A822,'Telstra ExDa'!$B$2:$K$310, 5,FALSE), IFERROR(VLOOKUP($A822,'Vocus RVC ExDa'!$C$2:$R$155, 9,FALSE), IFERROR(VLOOKUP($A822,'Fusion ExDa'!$B$2:$D$16, 0,FALSE), IFERROR(VLOOKUP($A822,'Exetel ExDa'!$C$2:$N$14, 6,FALSE), IFERROR(VLOOKUP($A822,'Infinet ExDa'!$B$2:$E$14, 0,FALSE), "Not Found"))))))))</f>
        <v>IP-Line Link</v>
      </c>
      <c r="G822" t="str">
        <f>IFERROR(VLOOKUP($A822,'AAPT ExDa'!$B$2:$U$99, 5,FALSE), IFERROR(VLOOKUP($A822,'ABB ExDa'!$A$2:$N$184, 8,FALSE), IFERROR(VLOOKUP($A822,'Vocus SIT ExDa'!$B$2:$J$173, 6,FALSE), IFERROR(VLOOKUP($A822,'Telstra ExDa'!$B$2:$K$310, 0,FALSE), IFERROR(VLOOKUP($A822,'Vocus RVC ExDa'!$C$2:$R$155, 15,FALSE), IFERROR(VLOOKUP($A822,'Fusion ExDa'!$B$2:$D$16, 0,FALSE), IFERROR(VLOOKUP($A822,'Exetel ExDa'!$C$2:$N$14, 7,FALSE), IFERROR(VLOOKUP($A822,'Infinet ExDa'!$B$2:$E$14, 0,FALSE), "Not Found"))))))))</f>
        <v>Connecting IP-Line 6023265 to Access 100773541</v>
      </c>
      <c r="H822" t="str">
        <f>IFERROR(VLOOKUP($A822,'AAPT ExDa'!$B$2:$U$99, 6,FALSE), IFERROR(VLOOKUP($A822,'ABB ExDa'!$A$2:$N$184, 0,FALSE), IFERROR(VLOOKUP($A822,'Vocus SIT ExDa'!$B$2:$J$173, 0,FALSE), IFERROR(VLOOKUP($A822,'Telstra ExDa'!$B$2:$K$310, 0,FALSE), IFERROR(VLOOKUP($A822,'Vocus RVC ExDa'!$C$2:$R$155, 16,FALSE), IFERROR(VLOOKUP($A822,'Fusion ExDa'!$B$2:$D$16, 0,FALSE), IFERROR(VLOOKUP($A822,'Exetel ExDa'!$C$2:$N$14, 0,FALSE), IFERROR(VLOOKUP($A822,'Infinet ExDa'!$B$2:$E$14, 0,FALSE), "Not Found"))))))))</f>
        <v>Up to 100/40Mbps; AVC ID:AVC000141025780</v>
      </c>
      <c r="I822">
        <f>IFERROR(VLOOKUP($A822,'AAPT ExDa'!$B$2:$U$99, 0,FALSE), IFERROR(VLOOKUP($A822,'ABB ExDa'!$A$2:$N$184, 0,FALSE), IFERROR(VLOOKUP($A822,'Vocus SIT ExDa'!$B$2:$J$173, 0,FALSE), IFERROR(VLOOKUP($A822,'Telstra ExDa'!$B$2:$K$310, 0,FALSE), IFERROR(VLOOKUP($A822,'Vocus RVC ExDa'!$C$2:$R$155, 0,FALSE), IFERROR(VLOOKUP($A822,'Fusion ExDa'!$B$2:$D$16, 0,FALSE), IFERROR(VLOOKUP($A822,'Exetel ExDa'!$C$2:$N$14, 8,FALSE), IFERROR(VLOOKUP($A822,'Infinet ExDa'!$B$2:$E$14, 0,FALSE), "Not Found"))))))))</f>
        <v>0</v>
      </c>
      <c r="J822" t="str">
        <f>IFERROR(VLOOKUP($A822,'AAPT ExDa'!$B$2:$U$99, 7,FALSE), IFERROR(VLOOKUP($A822,'ABB ExDa'!$A$2:$N$184, 2,FALSE), IFERROR(VLOOKUP($A822,'Vocus SIT ExDa'!$B$2:$J$173, 0,FALSE), IFERROR(VLOOKUP($A822,'Telstra ExDa'!$B$2:$K$310, 7,FALSE), IFERROR(VLOOKUP($A822,'Vocus RVC ExDa'!$C$2:$R$155, 2,FALSE), IFERROR(VLOOKUP($A822,'Fusion ExDa'!$B$2:$D$16, 3,FALSE), IFERROR(VLOOKUP($A822,'Exetel ExDa'!$C$2:$N$14, 0,FALSE), IFERROR(VLOOKUP($A822,'Infinet ExDa'!$B$2:$E$14, 0,FALSE), "Not Found"))))))))</f>
        <v>AVC000141025780</v>
      </c>
      <c r="K822" t="str">
        <f>IFERROR(VLOOKUP($A822,'AAPT ExDa'!$B$2:$U$99, 12,FALSE), IFERROR(VLOOKUP($A822,'ABB ExDa'!$A$2:$N$184, 0,FALSE), IFERROR(VLOOKUP($A822,'Vocus SIT ExDa'!$B$2:$J$173, 0,FALSE), IFERROR(VLOOKUP($A822,'Telstra ExDa'!$B$2:$K$310, 0,FALSE), IFERROR(VLOOKUP($A822,'Vocus RVC ExDa'!$C$2:$R$155, 0,FALSE), IFERROR(VLOOKUP($A822,'Fusion ExDa'!$B$2:$D$16, 0,FALSE), IFERROR(VLOOKUP($A822,'Exetel ExDa'!$C$2:$N$14, 12,FALSE), IFERROR(VLOOKUP($A822,'Infinet ExDa'!$B$2:$E$14, 0,FALSE), "Not Found"))))))))</f>
        <v>12 Months</v>
      </c>
      <c r="L822" s="235">
        <f>IFERROR(VLOOKUP($A822,'AAPT ExDa'!$B$2:$U$99, 11,FALSE), IFERROR(VLOOKUP($A822,'ABB ExDa'!$A$2:$N$184, 9,FALSE), IFERROR(VLOOKUP($A822,'Vocus SIT ExDa'!$B$2:$J$173, 8,FALSE), IFERROR(VLOOKUP($A822,'Telstra ExDa'!$B$2:$K$310, 0,FALSE), IFERROR(VLOOKUP($A822,'Vocus RVC ExDa'!$C$2:$R$155, 0,FALSE), IFERROR(VLOOKUP($A822,'Fusion ExDa'!$B$2:$D$16, 0,FALSE), IFERROR(VLOOKUP($A822,'Exetel ExDa'!$C$2:$N$14, 9,FALSE), IFERROR(VLOOKUP($A822,'Infinet ExDa'!$B$2:$E$14, 0,FALSE), "Not Found"))))))))</f>
        <v>44297</v>
      </c>
      <c r="M822" s="234">
        <f>IFERROR(VLOOKUP($A822,'AAPT ExDa'!$B$2:$U$99, 0,FALSE), IFERROR(VLOOKUP($A822,'ABB ExDa'!$A$2:$N$184, 0,FALSE), IFERROR(VLOOKUP($A822,'Vocus SIT ExDa'!$B$2:$J$173, 0,FALSE), IFERROR(VLOOKUP($A822,'Telstra ExDa'!$B$2:$K$310, 0,FALSE), IFERROR(VLOOKUP($A822,'Vocus RVC ExDa'!$C$2:$R$155, 0,FALSE), IFERROR(VLOOKUP($A822,'Fusion ExDa'!$B$2:$D$16, 0,FALSE), IFERROR(VLOOKUP($A822,'Exetel ExDa'!$C$2:$N$14, 11,FALSE), IFERROR(VLOOKUP($A822,'Infinet ExDa'!$B$2:$E$14, 0,FALSE), "Not Found"))))))))</f>
        <v>0</v>
      </c>
      <c r="N822" t="str">
        <f>IFERROR(VLOOKUP($A822,'AAPT ExDa'!$B$2:$U$99, 0,FALSE), IFERROR(VLOOKUP($A822,'ABB ExDa'!$A$2:$N$184, 13,FALSE), IFERROR(VLOOKUP($A822,'Vocus SIT ExDa'!$B$2:$J$173, 0,FALSE), IFERROR(VLOOKUP($A822,'Telstra ExDa'!$B$2:$K$310, 0,FALSE), IFERROR(VLOOKUP($A822,'Vocus RVC ExDa'!$C$2:$R$155, 0,FALSE), IFERROR(VLOOKUP($A822,'Fusion ExDa'!$B$2:$D$16, 0,FALSE), IFERROR(VLOOKUP($A822,'Exetel ExDa'!$C$2:$N$14, 0,FALSE), IFERROR(VLOOKUP($A822,'Infinet ExDa'!$B$2:$E$14, 0,FALSE), "Not Found"))))))))</f>
        <v>Not Found</v>
      </c>
    </row>
    <row r="823" spans="1:14">
      <c r="A823" t="str">
        <v>Zambrero Scarborough</v>
      </c>
      <c r="B823" t="str">
        <f>IFERROR(VLOOKUP(A823,'Exetel ExDa'!$C$2:$N$14,4,FALSE),"No Data")</f>
        <v>No Data</v>
      </c>
      <c r="C823" t="str">
        <f>IFERROR(VLOOKUP(A823,'AAPT ExDa'!$B$2:$U$99, 2,FALSE), IFERROR(VLOOKUP(A823,'ABB ExDa'!$A$2:$N$184, 2,FALSE), IFERROR(VLOOKUP(A823,'Vocus SIT ExDa'!$B$2:$J$173, 7,FALSE), IFERROR(VLOOKUP(A823,'Telstra ExDa'!$B$2:$K$310, 2,FALSE), IFERROR(VLOOKUP(A823,'Vocus RVC ExDa'!$C$2:$R$155, 3,FALSE), IFERROR(VLOOKUP(A823,'Fusion ExDa'!$B$2:$D$16, 2,FALSE), IFERROR(VLOOKUP(A823,'Exetel ExDa'!$C$2:$N$14, 2,FALSE), IFERROR(VLOOKUP(A823,'Infinet ExDa'!$B$2:$E$14, 2,FALSE), "Not Found"))))))))</f>
        <v>SHOP 10, 148 THE ESPLANADE , SCARBOROUGH WA</v>
      </c>
      <c r="D823" t="str">
        <f>IFERROR(VLOOKUP($A823,'AAPT ExDa'!$B$2:$U$99, 15,FALSE), IFERROR(VLOOKUP($A823,'ABB ExDa'!$A$2:$N$184, 4,FALSE), IFERROR(VLOOKUP($A823,'Vocus SIT ExDa'!$B$2:$J$173, 5,FALSE), IFERROR(VLOOKUP($A823,'Telstra ExDa'!$B$2:$K$310, 8,FALSE), IFERROR(VLOOKUP($A823,'Vocus RVC ExDa'!$C$2:$R$155, 6,FALSE), IFERROR(VLOOKUP($A823,'Fusion ExDa'!$B$2:$D$16, 4,FALSE), IFERROR(VLOOKUP($A823,'Exetel ExDa'!$C$2:$N$14, 3,FALSE), IFERROR(VLOOKUP($A823,'Infinet ExDa'!$B$2:$E$14, 3,FALSE), "Not Found"))))))))</f>
        <v>ABB</v>
      </c>
      <c r="E823" t="str">
        <f>IFERROR(VLOOKUP($A823,'AAPT ExDa'!$B$2:$U$99, 3,FALSE), IFERROR(VLOOKUP($A823,'ABB ExDa'!$A$2:$N$184, 5,FALSE), IFERROR(VLOOKUP($A823,'Vocus SIT ExDa'!$B$2:$J$173, 2,FALSE), IFERROR(VLOOKUP($A823,'Telstra ExDa'!$B$2:$K$310, 4,FALSE), IFERROR(VLOOKUP($A823,'Vocus RVC ExDa'!$C$2:$R$155, 8,FALSE), IFERROR(VLOOKUP($A823,'Fusion ExDa'!$B$2:$D$16, 4,FALSE), IFERROR(VLOOKUP($A823,'Exetel ExDa'!$C$2:$N$14, 5,FALSE), IFERROR(VLOOKUP($A823,'Infinet ExDa'!$B$2:$E$14, 3,FALSE), "Not Found"))))))))</f>
        <v>NBN 25/10</v>
      </c>
      <c r="F823" t="str">
        <f>IFERROR(VLOOKUP($A823,'AAPT ExDa'!$B$2:$U$99, 4,FALSE), IFERROR(VLOOKUP($A823,'ABB ExDa'!$A$2:$N$184, 6,FALSE), IFERROR(VLOOKUP($A823,'Vocus SIT ExDa'!$B$2:$J$173, 3,FALSE), IFERROR(VLOOKUP($A823,'Telstra ExDa'!$B$2:$K$310, 5,FALSE), IFERROR(VLOOKUP($A823,'Vocus RVC ExDa'!$C$2:$R$155, 9,FALSE), IFERROR(VLOOKUP($A823,'Fusion ExDa'!$B$2:$D$16, 0,FALSE), IFERROR(VLOOKUP($A823,'Exetel ExDa'!$C$2:$N$14, 6,FALSE), IFERROR(VLOOKUP($A823,'Infinet ExDa'!$B$2:$E$14, 0,FALSE), "Not Found"))))))))</f>
        <v xml:space="preserve">FTTN </v>
      </c>
      <c r="G823" t="str">
        <f>IFERROR(VLOOKUP($A823,'AAPT ExDa'!$B$2:$U$99, 5,FALSE), IFERROR(VLOOKUP($A823,'ABB ExDa'!$A$2:$N$184, 8,FALSE), IFERROR(VLOOKUP($A823,'Vocus SIT ExDa'!$B$2:$J$173, 6,FALSE), IFERROR(VLOOKUP($A823,'Telstra ExDa'!$B$2:$K$310, 0,FALSE), IFERROR(VLOOKUP($A823,'Vocus RVC ExDa'!$C$2:$R$155, 15,FALSE), IFERROR(VLOOKUP($A823,'Fusion ExDa'!$B$2:$D$16, 0,FALSE), IFERROR(VLOOKUP($A823,'Exetel ExDa'!$C$2:$N$14, 7,FALSE), IFERROR(VLOOKUP($A823,'Infinet ExDa'!$B$2:$E$14, 0,FALSE), "Not Found"))))))))</f>
        <v>144.6.149.196</v>
      </c>
      <c r="H823">
        <f>IFERROR(VLOOKUP($A823,'AAPT ExDa'!$B$2:$U$99, 6,FALSE), IFERROR(VLOOKUP($A823,'ABB ExDa'!$A$2:$N$184, 0,FALSE), IFERROR(VLOOKUP($A823,'Vocus SIT ExDa'!$B$2:$J$173, 0,FALSE), IFERROR(VLOOKUP($A823,'Telstra ExDa'!$B$2:$K$310, 0,FALSE), IFERROR(VLOOKUP($A823,'Vocus RVC ExDa'!$C$2:$R$155, 16,FALSE), IFERROR(VLOOKUP($A823,'Fusion ExDa'!$B$2:$D$16, 0,FALSE), IFERROR(VLOOKUP($A823,'Exetel ExDa'!$C$2:$N$14, 0,FALSE), IFERROR(VLOOKUP($A823,'Infinet ExDa'!$B$2:$E$14, 0,FALSE), "Not Found"))))))))</f>
        <v>0</v>
      </c>
      <c r="I823" t="str">
        <f>IFERROR(VLOOKUP($A823,'AAPT ExDa'!$B$2:$U$99, 0,FALSE), IFERROR(VLOOKUP($A823,'ABB ExDa'!$A$2:$N$184, 0,FALSE), IFERROR(VLOOKUP($A823,'Vocus SIT ExDa'!$B$2:$J$173, 0,FALSE), IFERROR(VLOOKUP($A823,'Telstra ExDa'!$B$2:$K$310, 0,FALSE), IFERROR(VLOOKUP($A823,'Vocus RVC ExDa'!$C$2:$R$155, 0,FALSE), IFERROR(VLOOKUP($A823,'Fusion ExDa'!$B$2:$D$16, 0,FALSE), IFERROR(VLOOKUP($A823,'Exetel ExDa'!$C$2:$N$14, 8,FALSE), IFERROR(VLOOKUP($A823,'Infinet ExDa'!$B$2:$E$14, 0,FALSE), "Not Found"))))))))</f>
        <v>Not Found</v>
      </c>
      <c r="J823" t="str">
        <f>IFERROR(VLOOKUP($A823,'AAPT ExDa'!$B$2:$U$99, 7,FALSE), IFERROR(VLOOKUP($A823,'ABB ExDa'!$A$2:$N$184, 2,FALSE), IFERROR(VLOOKUP($A823,'Vocus SIT ExDa'!$B$2:$J$173, 0,FALSE), IFERROR(VLOOKUP($A823,'Telstra ExDa'!$B$2:$K$310, 7,FALSE), IFERROR(VLOOKUP($A823,'Vocus RVC ExDa'!$C$2:$R$155, 2,FALSE), IFERROR(VLOOKUP($A823,'Fusion ExDa'!$B$2:$D$16, 3,FALSE), IFERROR(VLOOKUP($A823,'Exetel ExDa'!$C$2:$N$14, 0,FALSE), IFERROR(VLOOKUP($A823,'Infinet ExDa'!$B$2:$E$14, 0,FALSE), "Not Found"))))))))</f>
        <v>SHOP 10, 148 THE ESPLANADE , SCARBOROUGH WA</v>
      </c>
      <c r="K823" t="str">
        <f>IFERROR(VLOOKUP($A823,'AAPT ExDa'!$B$2:$U$99, 12,FALSE), IFERROR(VLOOKUP($A823,'ABB ExDa'!$A$2:$N$184, 0,FALSE), IFERROR(VLOOKUP($A823,'Vocus SIT ExDa'!$B$2:$J$173, 0,FALSE), IFERROR(VLOOKUP($A823,'Telstra ExDa'!$B$2:$K$310, 0,FALSE), IFERROR(VLOOKUP($A823,'Vocus RVC ExDa'!$C$2:$R$155, 0,FALSE), IFERROR(VLOOKUP($A823,'Fusion ExDa'!$B$2:$D$16, 0,FALSE), IFERROR(VLOOKUP($A823,'Exetel ExDa'!$C$2:$N$14, 12,FALSE), IFERROR(VLOOKUP($A823,'Infinet ExDa'!$B$2:$E$14, 0,FALSE), "Not Found"))))))))</f>
        <v>Not Found</v>
      </c>
      <c r="L823" s="235" t="str">
        <f>IFERROR(VLOOKUP($A823,'AAPT ExDa'!$B$2:$U$99, 11,FALSE), IFERROR(VLOOKUP($A823,'ABB ExDa'!$A$2:$N$184, 9,FALSE), IFERROR(VLOOKUP($A823,'Vocus SIT ExDa'!$B$2:$J$173, 8,FALSE), IFERROR(VLOOKUP($A823,'Telstra ExDa'!$B$2:$K$310, 0,FALSE), IFERROR(VLOOKUP($A823,'Vocus RVC ExDa'!$C$2:$R$155, 0,FALSE), IFERROR(VLOOKUP($A823,'Fusion ExDa'!$B$2:$D$16, 0,FALSE), IFERROR(VLOOKUP($A823,'Exetel ExDa'!$C$2:$N$14, 9,FALSE), IFERROR(VLOOKUP($A823,'Infinet ExDa'!$B$2:$E$14, 0,FALSE), "Not Found"))))))))</f>
        <v>27 Nov 2024</v>
      </c>
      <c r="M823" s="234" t="str">
        <f>IFERROR(VLOOKUP($A823,'AAPT ExDa'!$B$2:$U$99, 0,FALSE), IFERROR(VLOOKUP($A823,'ABB ExDa'!$A$2:$N$184, 0,FALSE), IFERROR(VLOOKUP($A823,'Vocus SIT ExDa'!$B$2:$J$173, 0,FALSE), IFERROR(VLOOKUP($A823,'Telstra ExDa'!$B$2:$K$310, 0,FALSE), IFERROR(VLOOKUP($A823,'Vocus RVC ExDa'!$C$2:$R$155, 0,FALSE), IFERROR(VLOOKUP($A823,'Fusion ExDa'!$B$2:$D$16, 0,FALSE), IFERROR(VLOOKUP($A823,'Exetel ExDa'!$C$2:$N$14, 11,FALSE), IFERROR(VLOOKUP($A823,'Infinet ExDa'!$B$2:$E$14, 0,FALSE), "Not Found"))))))))</f>
        <v>Not Found</v>
      </c>
      <c r="N823" t="str">
        <f>IFERROR(VLOOKUP($A823,'AAPT ExDa'!$B$2:$U$99, 0,FALSE), IFERROR(VLOOKUP($A823,'ABB ExDa'!$A$2:$N$184, 13,FALSE), IFERROR(VLOOKUP($A823,'Vocus SIT ExDa'!$B$2:$J$173, 0,FALSE), IFERROR(VLOOKUP($A823,'Telstra ExDa'!$B$2:$K$310, 0,FALSE), IFERROR(VLOOKUP($A823,'Vocus RVC ExDa'!$C$2:$R$155, 0,FALSE), IFERROR(VLOOKUP($A823,'Fusion ExDa'!$B$2:$D$16, 0,FALSE), IFERROR(VLOOKUP($A823,'Exetel ExDa'!$C$2:$N$14, 0,FALSE), IFERROR(VLOOKUP($A823,'Infinet ExDa'!$B$2:$E$14, 0,FALSE), "Not Found"))))))))</f>
        <v>Onebill</v>
      </c>
    </row>
    <row r="824" spans="1:14">
      <c r="A824" t="str">
        <v xml:space="preserve">	Zambrero Wodonga</v>
      </c>
      <c r="B824" t="str">
        <f>IFERROR(VLOOKUP(A824,'Exetel ExDa'!$C$2:$N$14,4,FALSE),"No Data")</f>
        <v>No Data</v>
      </c>
      <c r="C824" t="str">
        <f>IFERROR(VLOOKUP(A824,'AAPT ExDa'!$B$2:$U$99, 2,FALSE), IFERROR(VLOOKUP(A824,'ABB ExDa'!$A$2:$N$184, 2,FALSE), IFERROR(VLOOKUP(A824,'Vocus SIT ExDa'!$B$2:$J$173, 7,FALSE), IFERROR(VLOOKUP(A824,'Telstra ExDa'!$B$2:$K$310, 2,FALSE), IFERROR(VLOOKUP(A824,'Vocus RVC ExDa'!$C$2:$R$155, 3,FALSE), IFERROR(VLOOKUP(A824,'Fusion ExDa'!$B$2:$D$16, 2,FALSE), IFERROR(VLOOKUP(A824,'Exetel ExDa'!$C$2:$N$14, 2,FALSE), IFERROR(VLOOKUP(A824,'Infinet ExDa'!$B$2:$E$14, 2,FALSE), "Not Found"))))))))</f>
        <v>154 High Street ST</v>
      </c>
      <c r="D824">
        <f>IFERROR(VLOOKUP($A824,'AAPT ExDa'!$B$2:$U$99, 15,FALSE), IFERROR(VLOOKUP($A824,'ABB ExDa'!$A$2:$N$184, 4,FALSE), IFERROR(VLOOKUP($A824,'Vocus SIT ExDa'!$B$2:$J$173, 5,FALSE), IFERROR(VLOOKUP($A824,'Telstra ExDa'!$B$2:$K$310, 8,FALSE), IFERROR(VLOOKUP($A824,'Vocus RVC ExDa'!$C$2:$R$155, 6,FALSE), IFERROR(VLOOKUP($A824,'Fusion ExDa'!$B$2:$D$16, 4,FALSE), IFERROR(VLOOKUP($A824,'Exetel ExDa'!$C$2:$N$14, 3,FALSE), IFERROR(VLOOKUP($A824,'Infinet ExDa'!$B$2:$E$14, 3,FALSE), "Not Found"))))))))</f>
        <v>3690</v>
      </c>
      <c r="E824" t="str">
        <f>IFERROR(VLOOKUP($A824,'AAPT ExDa'!$B$2:$U$99, 3,FALSE), IFERROR(VLOOKUP($A824,'ABB ExDa'!$A$2:$N$184, 5,FALSE), IFERROR(VLOOKUP($A824,'Vocus SIT ExDa'!$B$2:$J$173, 2,FALSE), IFERROR(VLOOKUP($A824,'Telstra ExDa'!$B$2:$K$310, 4,FALSE), IFERROR(VLOOKUP($A824,'Vocus RVC ExDa'!$C$2:$R$155, 8,FALSE), IFERROR(VLOOKUP($A824,'Fusion ExDa'!$B$2:$D$16, 4,FALSE), IFERROR(VLOOKUP($A824,'Exetel ExDa'!$C$2:$N$14, 5,FALSE), IFERROR(VLOOKUP($A824,'Infinet ExDa'!$B$2:$E$14, 3,FALSE), "Not Found"))))))))</f>
        <v>Mobile Service</v>
      </c>
      <c r="F824">
        <f>IFERROR(VLOOKUP($A824,'AAPT ExDa'!$B$2:$U$99, 4,FALSE), IFERROR(VLOOKUP($A824,'ABB ExDa'!$A$2:$N$184, 6,FALSE), IFERROR(VLOOKUP($A824,'Vocus SIT ExDa'!$B$2:$J$173, 3,FALSE), IFERROR(VLOOKUP($A824,'Telstra ExDa'!$B$2:$K$310, 5,FALSE), IFERROR(VLOOKUP($A824,'Vocus RVC ExDa'!$C$2:$R$155, 9,FALSE), IFERROR(VLOOKUP($A824,'Fusion ExDa'!$B$2:$D$16, 0,FALSE), IFERROR(VLOOKUP($A824,'Exetel ExDa'!$C$2:$N$14, 6,FALSE), IFERROR(VLOOKUP($A824,'Infinet ExDa'!$B$2:$E$14, 0,FALSE), "Not Found"))))))))</f>
        <v>45614</v>
      </c>
      <c r="G824">
        <f>IFERROR(VLOOKUP($A824,'AAPT ExDa'!$B$2:$U$99, 5,FALSE), IFERROR(VLOOKUP($A824,'ABB ExDa'!$A$2:$N$184, 8,FALSE), IFERROR(VLOOKUP($A824,'Vocus SIT ExDa'!$B$2:$J$173, 6,FALSE), IFERROR(VLOOKUP($A824,'Telstra ExDa'!$B$2:$K$310, 0,FALSE), IFERROR(VLOOKUP($A824,'Vocus RVC ExDa'!$C$2:$R$155, 15,FALSE), IFERROR(VLOOKUP($A824,'Fusion ExDa'!$B$2:$D$16, 0,FALSE), IFERROR(VLOOKUP($A824,'Exetel ExDa'!$C$2:$N$14, 7,FALSE), IFERROR(VLOOKUP($A824,'Infinet ExDa'!$B$2:$E$14, 0,FALSE), "Not Found"))))))))</f>
        <v>0</v>
      </c>
      <c r="H824">
        <f>IFERROR(VLOOKUP($A824,'AAPT ExDa'!$B$2:$U$99, 6,FALSE), IFERROR(VLOOKUP($A824,'ABB ExDa'!$A$2:$N$184, 0,FALSE), IFERROR(VLOOKUP($A824,'Vocus SIT ExDa'!$B$2:$J$173, 0,FALSE), IFERROR(VLOOKUP($A824,'Telstra ExDa'!$B$2:$K$310, 0,FALSE), IFERROR(VLOOKUP($A824,'Vocus RVC ExDa'!$C$2:$R$155, 16,FALSE), IFERROR(VLOOKUP($A824,'Fusion ExDa'!$B$2:$D$16, 0,FALSE), IFERROR(VLOOKUP($A824,'Exetel ExDa'!$C$2:$N$14, 0,FALSE), IFERROR(VLOOKUP($A824,'Infinet ExDa'!$B$2:$E$14, 0,FALSE), "Not Found"))))))))</f>
        <v>0</v>
      </c>
      <c r="I824" t="str">
        <f>IFERROR(VLOOKUP($A824,'AAPT ExDa'!$B$2:$U$99, 0,FALSE), IFERROR(VLOOKUP($A824,'ABB ExDa'!$A$2:$N$184, 0,FALSE), IFERROR(VLOOKUP($A824,'Vocus SIT ExDa'!$B$2:$J$173, 0,FALSE), IFERROR(VLOOKUP($A824,'Telstra ExDa'!$B$2:$K$310, 0,FALSE), IFERROR(VLOOKUP($A824,'Vocus RVC ExDa'!$C$2:$R$155, 0,FALSE), IFERROR(VLOOKUP($A824,'Fusion ExDa'!$B$2:$D$16, 0,FALSE), IFERROR(VLOOKUP($A824,'Exetel ExDa'!$C$2:$N$14, 8,FALSE), IFERROR(VLOOKUP($A824,'Infinet ExDa'!$B$2:$E$14, 0,FALSE), "Not Found"))))))))</f>
        <v>Not Found</v>
      </c>
      <c r="J824">
        <f>IFERROR(VLOOKUP($A824,'AAPT ExDa'!$B$2:$U$99, 7,FALSE), IFERROR(VLOOKUP($A824,'ABB ExDa'!$A$2:$N$184, 2,FALSE), IFERROR(VLOOKUP($A824,'Vocus SIT ExDa'!$B$2:$J$173, 0,FALSE), IFERROR(VLOOKUP($A824,'Telstra ExDa'!$B$2:$K$310, 7,FALSE), IFERROR(VLOOKUP($A824,'Vocus RVC ExDa'!$C$2:$R$155, 2,FALSE), IFERROR(VLOOKUP($A824,'Fusion ExDa'!$B$2:$D$16, 3,FALSE), IFERROR(VLOOKUP($A824,'Exetel ExDa'!$C$2:$N$14, 0,FALSE), IFERROR(VLOOKUP($A824,'Infinet ExDa'!$B$2:$E$14, 0,FALSE), "Not Found"))))))))</f>
        <v>0</v>
      </c>
      <c r="K824" t="str">
        <f>IFERROR(VLOOKUP($A824,'AAPT ExDa'!$B$2:$U$99, 12,FALSE), IFERROR(VLOOKUP($A824,'ABB ExDa'!$A$2:$N$184, 0,FALSE), IFERROR(VLOOKUP($A824,'Vocus SIT ExDa'!$B$2:$J$173, 0,FALSE), IFERROR(VLOOKUP($A824,'Telstra ExDa'!$B$2:$K$310, 0,FALSE), IFERROR(VLOOKUP($A824,'Vocus RVC ExDa'!$C$2:$R$155, 0,FALSE), IFERROR(VLOOKUP($A824,'Fusion ExDa'!$B$2:$D$16, 0,FALSE), IFERROR(VLOOKUP($A824,'Exetel ExDa'!$C$2:$N$14, 12,FALSE), IFERROR(VLOOKUP($A824,'Infinet ExDa'!$B$2:$E$14, 0,FALSE), "Not Found"))))))))</f>
        <v>Not Found</v>
      </c>
      <c r="L824" s="235" t="str">
        <f>IFERROR(VLOOKUP($A824,'AAPT ExDa'!$B$2:$U$99, 11,FALSE), IFERROR(VLOOKUP($A824,'ABB ExDa'!$A$2:$N$184, 9,FALSE), IFERROR(VLOOKUP($A824,'Vocus SIT ExDa'!$B$2:$J$173, 8,FALSE), IFERROR(VLOOKUP($A824,'Telstra ExDa'!$B$2:$K$310, 0,FALSE), IFERROR(VLOOKUP($A824,'Vocus RVC ExDa'!$C$2:$R$155, 0,FALSE), IFERROR(VLOOKUP($A824,'Fusion ExDa'!$B$2:$D$16, 0,FALSE), IFERROR(VLOOKUP($A824,'Exetel ExDa'!$C$2:$N$14, 9,FALSE), IFERROR(VLOOKUP($A824,'Infinet ExDa'!$B$2:$E$14, 0,FALSE), "Not Found"))))))))</f>
        <v>Not Found</v>
      </c>
      <c r="M824" s="234" t="str">
        <f>IFERROR(VLOOKUP($A824,'AAPT ExDa'!$B$2:$U$99, 0,FALSE), IFERROR(VLOOKUP($A824,'ABB ExDa'!$A$2:$N$184, 0,FALSE), IFERROR(VLOOKUP($A824,'Vocus SIT ExDa'!$B$2:$J$173, 0,FALSE), IFERROR(VLOOKUP($A824,'Telstra ExDa'!$B$2:$K$310, 0,FALSE), IFERROR(VLOOKUP($A824,'Vocus RVC ExDa'!$C$2:$R$155, 0,FALSE), IFERROR(VLOOKUP($A824,'Fusion ExDa'!$B$2:$D$16, 0,FALSE), IFERROR(VLOOKUP($A824,'Exetel ExDa'!$C$2:$N$14, 11,FALSE), IFERROR(VLOOKUP($A824,'Infinet ExDa'!$B$2:$E$14, 0,FALSE), "Not Found"))))))))</f>
        <v>Not Found</v>
      </c>
      <c r="N824" t="str">
        <f>IFERROR(VLOOKUP($A824,'AAPT ExDa'!$B$2:$U$99, 0,FALSE), IFERROR(VLOOKUP($A824,'ABB ExDa'!$A$2:$N$184, 13,FALSE), IFERROR(VLOOKUP($A824,'Vocus SIT ExDa'!$B$2:$J$173, 0,FALSE), IFERROR(VLOOKUP($A824,'Telstra ExDa'!$B$2:$K$310, 0,FALSE), IFERROR(VLOOKUP($A824,'Vocus RVC ExDa'!$C$2:$R$155, 0,FALSE), IFERROR(VLOOKUP($A824,'Fusion ExDa'!$B$2:$D$16, 0,FALSE), IFERROR(VLOOKUP($A824,'Exetel ExDa'!$C$2:$N$14, 0,FALSE), IFERROR(VLOOKUP($A824,'Infinet ExDa'!$B$2:$E$14, 0,FALSE), "Not Found"))))))))</f>
        <v>Not Found</v>
      </c>
    </row>
    <row r="825" spans="1:14">
      <c r="A825" t="str">
        <v>Zambrero Hawthorn</v>
      </c>
      <c r="B825" t="str">
        <f>IFERROR(VLOOKUP(A825,'Exetel ExDa'!$C$2:$N$14,4,FALSE),"No Data")</f>
        <v>No Data</v>
      </c>
      <c r="C825" t="str">
        <f>IFERROR(VLOOKUP(A825,'AAPT ExDa'!$B$2:$U$99, 2,FALSE), IFERROR(VLOOKUP(A825,'ABB ExDa'!$A$2:$N$184, 2,FALSE), IFERROR(VLOOKUP(A825,'Vocus SIT ExDa'!$B$2:$J$173, 7,FALSE), IFERROR(VLOOKUP(A825,'Telstra ExDa'!$B$2:$K$310, 2,FALSE), IFERROR(VLOOKUP(A825,'Vocus RVC ExDa'!$C$2:$R$155, 3,FALSE), IFERROR(VLOOKUP(A825,'Fusion ExDa'!$B$2:$D$16, 2,FALSE), IFERROR(VLOOKUP(A825,'Exetel ExDa'!$C$2:$N$14, 2,FALSE), IFERROR(VLOOKUP(A825,'Infinet ExDa'!$B$2:$E$14, 2,FALSE), "Not Found"))))))))</f>
        <v>UN 1, 672 GLENFERRIE RD, HAWTHORN VIC</v>
      </c>
      <c r="D825" t="str">
        <f>IFERROR(VLOOKUP($A825,'AAPT ExDa'!$B$2:$U$99, 15,FALSE), IFERROR(VLOOKUP($A825,'ABB ExDa'!$A$2:$N$184, 4,FALSE), IFERROR(VLOOKUP($A825,'Vocus SIT ExDa'!$B$2:$J$173, 5,FALSE), IFERROR(VLOOKUP($A825,'Telstra ExDa'!$B$2:$K$310, 8,FALSE), IFERROR(VLOOKUP($A825,'Vocus RVC ExDa'!$C$2:$R$155, 6,FALSE), IFERROR(VLOOKUP($A825,'Fusion ExDa'!$B$2:$D$16, 4,FALSE), IFERROR(VLOOKUP($A825,'Exetel ExDa'!$C$2:$N$14, 3,FALSE), IFERROR(VLOOKUP($A825,'Infinet ExDa'!$B$2:$E$14, 3,FALSE), "Not Found"))))))))</f>
        <v>ABB</v>
      </c>
      <c r="E825" t="str">
        <f>IFERROR(VLOOKUP($A825,'AAPT ExDa'!$B$2:$U$99, 3,FALSE), IFERROR(VLOOKUP($A825,'ABB ExDa'!$A$2:$N$184, 5,FALSE), IFERROR(VLOOKUP($A825,'Vocus SIT ExDa'!$B$2:$J$173, 2,FALSE), IFERROR(VLOOKUP($A825,'Telstra ExDa'!$B$2:$K$310, 4,FALSE), IFERROR(VLOOKUP($A825,'Vocus RVC ExDa'!$C$2:$R$155, 8,FALSE), IFERROR(VLOOKUP($A825,'Fusion ExDa'!$B$2:$D$16, 4,FALSE), IFERROR(VLOOKUP($A825,'Exetel ExDa'!$C$2:$N$14, 5,FALSE), IFERROR(VLOOKUP($A825,'Infinet ExDa'!$B$2:$E$14, 3,FALSE), "Not Found"))))))))</f>
        <v>NBN 25/10</v>
      </c>
      <c r="F825" t="str">
        <f>IFERROR(VLOOKUP($A825,'AAPT ExDa'!$B$2:$U$99, 4,FALSE), IFERROR(VLOOKUP($A825,'ABB ExDa'!$A$2:$N$184, 6,FALSE), IFERROR(VLOOKUP($A825,'Vocus SIT ExDa'!$B$2:$J$173, 3,FALSE), IFERROR(VLOOKUP($A825,'Telstra ExDa'!$B$2:$K$310, 5,FALSE), IFERROR(VLOOKUP($A825,'Vocus RVC ExDa'!$C$2:$R$155, 9,FALSE), IFERROR(VLOOKUP($A825,'Fusion ExDa'!$B$2:$D$16, 0,FALSE), IFERROR(VLOOKUP($A825,'Exetel ExDa'!$C$2:$N$14, 6,FALSE), IFERROR(VLOOKUP($A825,'Infinet ExDa'!$B$2:$E$14, 0,FALSE), "Not Found"))))))))</f>
        <v>FTTC</v>
      </c>
      <c r="G825" t="str">
        <f>IFERROR(VLOOKUP($A825,'AAPT ExDa'!$B$2:$U$99, 5,FALSE), IFERROR(VLOOKUP($A825,'ABB ExDa'!$A$2:$N$184, 8,FALSE), IFERROR(VLOOKUP($A825,'Vocus SIT ExDa'!$B$2:$J$173, 6,FALSE), IFERROR(VLOOKUP($A825,'Telstra ExDa'!$B$2:$K$310, 0,FALSE), IFERROR(VLOOKUP($A825,'Vocus RVC ExDa'!$C$2:$R$155, 15,FALSE), IFERROR(VLOOKUP($A825,'Fusion ExDa'!$B$2:$D$16, 0,FALSE), IFERROR(VLOOKUP($A825,'Exetel ExDa'!$C$2:$N$14, 7,FALSE), IFERROR(VLOOKUP($A825,'Infinet ExDa'!$B$2:$E$14, 0,FALSE), "Not Found"))))))))</f>
        <v>121.200.28.216</v>
      </c>
      <c r="H825">
        <f>IFERROR(VLOOKUP($A825,'AAPT ExDa'!$B$2:$U$99, 6,FALSE), IFERROR(VLOOKUP($A825,'ABB ExDa'!$A$2:$N$184, 0,FALSE), IFERROR(VLOOKUP($A825,'Vocus SIT ExDa'!$B$2:$J$173, 0,FALSE), IFERROR(VLOOKUP($A825,'Telstra ExDa'!$B$2:$K$310, 0,FALSE), IFERROR(VLOOKUP($A825,'Vocus RVC ExDa'!$C$2:$R$155, 16,FALSE), IFERROR(VLOOKUP($A825,'Fusion ExDa'!$B$2:$D$16, 0,FALSE), IFERROR(VLOOKUP($A825,'Exetel ExDa'!$C$2:$N$14, 0,FALSE), IFERROR(VLOOKUP($A825,'Infinet ExDa'!$B$2:$E$14, 0,FALSE), "Not Found"))))))))</f>
        <v>0</v>
      </c>
      <c r="I825" t="str">
        <f>IFERROR(VLOOKUP($A825,'AAPT ExDa'!$B$2:$U$99, 0,FALSE), IFERROR(VLOOKUP($A825,'ABB ExDa'!$A$2:$N$184, 0,FALSE), IFERROR(VLOOKUP($A825,'Vocus SIT ExDa'!$B$2:$J$173, 0,FALSE), IFERROR(VLOOKUP($A825,'Telstra ExDa'!$B$2:$K$310, 0,FALSE), IFERROR(VLOOKUP($A825,'Vocus RVC ExDa'!$C$2:$R$155, 0,FALSE), IFERROR(VLOOKUP($A825,'Fusion ExDa'!$B$2:$D$16, 0,FALSE), IFERROR(VLOOKUP($A825,'Exetel ExDa'!$C$2:$N$14, 8,FALSE), IFERROR(VLOOKUP($A825,'Infinet ExDa'!$B$2:$E$14, 0,FALSE), "Not Found"))))))))</f>
        <v>Not Found</v>
      </c>
      <c r="J825" t="str">
        <f>IFERROR(VLOOKUP($A825,'AAPT ExDa'!$B$2:$U$99, 7,FALSE), IFERROR(VLOOKUP($A825,'ABB ExDa'!$A$2:$N$184, 2,FALSE), IFERROR(VLOOKUP($A825,'Vocus SIT ExDa'!$B$2:$J$173, 0,FALSE), IFERROR(VLOOKUP($A825,'Telstra ExDa'!$B$2:$K$310, 7,FALSE), IFERROR(VLOOKUP($A825,'Vocus RVC ExDa'!$C$2:$R$155, 2,FALSE), IFERROR(VLOOKUP($A825,'Fusion ExDa'!$B$2:$D$16, 3,FALSE), IFERROR(VLOOKUP($A825,'Exetel ExDa'!$C$2:$N$14, 0,FALSE), IFERROR(VLOOKUP($A825,'Infinet ExDa'!$B$2:$E$14, 0,FALSE), "Not Found"))))))))</f>
        <v>UN 1, 672 GLENFERRIE RD, HAWTHORN VIC</v>
      </c>
      <c r="K825" t="str">
        <f>IFERROR(VLOOKUP($A825,'AAPT ExDa'!$B$2:$U$99, 12,FALSE), IFERROR(VLOOKUP($A825,'ABB ExDa'!$A$2:$N$184, 0,FALSE), IFERROR(VLOOKUP($A825,'Vocus SIT ExDa'!$B$2:$J$173, 0,FALSE), IFERROR(VLOOKUP($A825,'Telstra ExDa'!$B$2:$K$310, 0,FALSE), IFERROR(VLOOKUP($A825,'Vocus RVC ExDa'!$C$2:$R$155, 0,FALSE), IFERROR(VLOOKUP($A825,'Fusion ExDa'!$B$2:$D$16, 0,FALSE), IFERROR(VLOOKUP($A825,'Exetel ExDa'!$C$2:$N$14, 12,FALSE), IFERROR(VLOOKUP($A825,'Infinet ExDa'!$B$2:$E$14, 0,FALSE), "Not Found"))))))))</f>
        <v>Not Found</v>
      </c>
      <c r="L825" s="235" t="str">
        <f>IFERROR(VLOOKUP($A825,'AAPT ExDa'!$B$2:$U$99, 11,FALSE), IFERROR(VLOOKUP($A825,'ABB ExDa'!$A$2:$N$184, 9,FALSE), IFERROR(VLOOKUP($A825,'Vocus SIT ExDa'!$B$2:$J$173, 8,FALSE), IFERROR(VLOOKUP($A825,'Telstra ExDa'!$B$2:$K$310, 0,FALSE), IFERROR(VLOOKUP($A825,'Vocus RVC ExDa'!$C$2:$R$155, 0,FALSE), IFERROR(VLOOKUP($A825,'Fusion ExDa'!$B$2:$D$16, 0,FALSE), IFERROR(VLOOKUP($A825,'Exetel ExDa'!$C$2:$N$14, 9,FALSE), IFERROR(VLOOKUP($A825,'Infinet ExDa'!$B$2:$E$14, 0,FALSE), "Not Found"))))))))</f>
        <v>10 Sept 2024</v>
      </c>
      <c r="M825" s="234" t="str">
        <f>IFERROR(VLOOKUP($A825,'AAPT ExDa'!$B$2:$U$99, 0,FALSE), IFERROR(VLOOKUP($A825,'ABB ExDa'!$A$2:$N$184, 0,FALSE), IFERROR(VLOOKUP($A825,'Vocus SIT ExDa'!$B$2:$J$173, 0,FALSE), IFERROR(VLOOKUP($A825,'Telstra ExDa'!$B$2:$K$310, 0,FALSE), IFERROR(VLOOKUP($A825,'Vocus RVC ExDa'!$C$2:$R$155, 0,FALSE), IFERROR(VLOOKUP($A825,'Fusion ExDa'!$B$2:$D$16, 0,FALSE), IFERROR(VLOOKUP($A825,'Exetel ExDa'!$C$2:$N$14, 11,FALSE), IFERROR(VLOOKUP($A825,'Infinet ExDa'!$B$2:$E$14, 0,FALSE), "Not Found"))))))))</f>
        <v>Not Found</v>
      </c>
      <c r="N825" t="str">
        <f>IFERROR(VLOOKUP($A825,'AAPT ExDa'!$B$2:$U$99, 0,FALSE), IFERROR(VLOOKUP($A825,'ABB ExDa'!$A$2:$N$184, 13,FALSE), IFERROR(VLOOKUP($A825,'Vocus SIT ExDa'!$B$2:$J$173, 0,FALSE), IFERROR(VLOOKUP($A825,'Telstra ExDa'!$B$2:$K$310, 0,FALSE), IFERROR(VLOOKUP($A825,'Vocus RVC ExDa'!$C$2:$R$155, 0,FALSE), IFERROR(VLOOKUP($A825,'Fusion ExDa'!$B$2:$D$16, 0,FALSE), IFERROR(VLOOKUP($A825,'Exetel ExDa'!$C$2:$N$14, 0,FALSE), IFERROR(VLOOKUP($A825,'Infinet ExDa'!$B$2:$E$14, 0,FALSE), "Not Found"))))))))</f>
        <v>Onebill</v>
      </c>
    </row>
    <row r="826" spans="1:14">
      <c r="A826" t="str">
        <v>Zambrero Wodonga East</v>
      </c>
      <c r="B826" t="str">
        <f>IFERROR(VLOOKUP(A826,'Exetel ExDa'!$C$2:$N$14,4,FALSE),"No Data")</f>
        <v>No Data</v>
      </c>
      <c r="C826" t="str">
        <f>IFERROR(VLOOKUP(A826,'AAPT ExDa'!$B$2:$U$99, 2,FALSE), IFERROR(VLOOKUP(A826,'ABB ExDa'!$A$2:$N$184, 2,FALSE), IFERROR(VLOOKUP(A826,'Vocus SIT ExDa'!$B$2:$J$173, 7,FALSE), IFERROR(VLOOKUP(A826,'Telstra ExDa'!$B$2:$K$310, 2,FALSE), IFERROR(VLOOKUP(A826,'Vocus RVC ExDa'!$C$2:$R$155, 3,FALSE), IFERROR(VLOOKUP(A826,'Fusion ExDa'!$B$2:$D$16, 2,FALSE), IFERROR(VLOOKUP(A826,'Exetel ExDa'!$C$2:$N$14, 2,FALSE), IFERROR(VLOOKUP(A826,'Infinet ExDa'!$B$2:$E$14, 2,FALSE), "Not Found"))))))))</f>
        <v>TNCY 3, 4353 ANZAC PDE, WODONGA VIC</v>
      </c>
      <c r="D826" t="str">
        <f>IFERROR(VLOOKUP($A826,'AAPT ExDa'!$B$2:$U$99, 15,FALSE), IFERROR(VLOOKUP($A826,'ABB ExDa'!$A$2:$N$184, 4,FALSE), IFERROR(VLOOKUP($A826,'Vocus SIT ExDa'!$B$2:$J$173, 5,FALSE), IFERROR(VLOOKUP($A826,'Telstra ExDa'!$B$2:$K$310, 8,FALSE), IFERROR(VLOOKUP($A826,'Vocus RVC ExDa'!$C$2:$R$155, 6,FALSE), IFERROR(VLOOKUP($A826,'Fusion ExDa'!$B$2:$D$16, 4,FALSE), IFERROR(VLOOKUP($A826,'Exetel ExDa'!$C$2:$N$14, 3,FALSE), IFERROR(VLOOKUP($A826,'Infinet ExDa'!$B$2:$E$14, 3,FALSE), "Not Found"))))))))</f>
        <v>ABB</v>
      </c>
      <c r="E826" t="str">
        <f>IFERROR(VLOOKUP($A826,'AAPT ExDa'!$B$2:$U$99, 3,FALSE), IFERROR(VLOOKUP($A826,'ABB ExDa'!$A$2:$N$184, 5,FALSE), IFERROR(VLOOKUP($A826,'Vocus SIT ExDa'!$B$2:$J$173, 2,FALSE), IFERROR(VLOOKUP($A826,'Telstra ExDa'!$B$2:$K$310, 4,FALSE), IFERROR(VLOOKUP($A826,'Vocus RVC ExDa'!$C$2:$R$155, 8,FALSE), IFERROR(VLOOKUP($A826,'Fusion ExDa'!$B$2:$D$16, 4,FALSE), IFERROR(VLOOKUP($A826,'Exetel ExDa'!$C$2:$N$14, 5,FALSE), IFERROR(VLOOKUP($A826,'Infinet ExDa'!$B$2:$E$14, 3,FALSE), "Not Found"))))))))</f>
        <v>NBN 25/10</v>
      </c>
      <c r="F826" t="str">
        <f>IFERROR(VLOOKUP($A826,'AAPT ExDa'!$B$2:$U$99, 4,FALSE), IFERROR(VLOOKUP($A826,'ABB ExDa'!$A$2:$N$184, 6,FALSE), IFERROR(VLOOKUP($A826,'Vocus SIT ExDa'!$B$2:$J$173, 3,FALSE), IFERROR(VLOOKUP($A826,'Telstra ExDa'!$B$2:$K$310, 5,FALSE), IFERROR(VLOOKUP($A826,'Vocus RVC ExDa'!$C$2:$R$155, 9,FALSE), IFERROR(VLOOKUP($A826,'Fusion ExDa'!$B$2:$D$16, 0,FALSE), IFERROR(VLOOKUP($A826,'Exetel ExDa'!$C$2:$N$14, 6,FALSE), IFERROR(VLOOKUP($A826,'Infinet ExDa'!$B$2:$E$14, 0,FALSE), "Not Found"))))))))</f>
        <v xml:space="preserve">Fibre </v>
      </c>
      <c r="G826" t="str">
        <f>IFERROR(VLOOKUP($A826,'AAPT ExDa'!$B$2:$U$99, 5,FALSE), IFERROR(VLOOKUP($A826,'ABB ExDa'!$A$2:$N$184, 8,FALSE), IFERROR(VLOOKUP($A826,'Vocus SIT ExDa'!$B$2:$J$173, 6,FALSE), IFERROR(VLOOKUP($A826,'Telstra ExDa'!$B$2:$K$310, 0,FALSE), IFERROR(VLOOKUP($A826,'Vocus RVC ExDa'!$C$2:$R$155, 15,FALSE), IFERROR(VLOOKUP($A826,'Fusion ExDa'!$B$2:$D$16, 0,FALSE), IFERROR(VLOOKUP($A826,'Exetel ExDa'!$C$2:$N$14, 7,FALSE), IFERROR(VLOOKUP($A826,'Infinet ExDa'!$B$2:$E$14, 0,FALSE), "Not Found"))))))))</f>
        <v>144.6.203.105</v>
      </c>
      <c r="H826">
        <f>IFERROR(VLOOKUP($A826,'AAPT ExDa'!$B$2:$U$99, 6,FALSE), IFERROR(VLOOKUP($A826,'ABB ExDa'!$A$2:$N$184, 0,FALSE), IFERROR(VLOOKUP($A826,'Vocus SIT ExDa'!$B$2:$J$173, 0,FALSE), IFERROR(VLOOKUP($A826,'Telstra ExDa'!$B$2:$K$310, 0,FALSE), IFERROR(VLOOKUP($A826,'Vocus RVC ExDa'!$C$2:$R$155, 16,FALSE), IFERROR(VLOOKUP($A826,'Fusion ExDa'!$B$2:$D$16, 0,FALSE), IFERROR(VLOOKUP($A826,'Exetel ExDa'!$C$2:$N$14, 0,FALSE), IFERROR(VLOOKUP($A826,'Infinet ExDa'!$B$2:$E$14, 0,FALSE), "Not Found"))))))))</f>
        <v>0</v>
      </c>
      <c r="I826" t="str">
        <f>IFERROR(VLOOKUP($A826,'AAPT ExDa'!$B$2:$U$99, 0,FALSE), IFERROR(VLOOKUP($A826,'ABB ExDa'!$A$2:$N$184, 0,FALSE), IFERROR(VLOOKUP($A826,'Vocus SIT ExDa'!$B$2:$J$173, 0,FALSE), IFERROR(VLOOKUP($A826,'Telstra ExDa'!$B$2:$K$310, 0,FALSE), IFERROR(VLOOKUP($A826,'Vocus RVC ExDa'!$C$2:$R$155, 0,FALSE), IFERROR(VLOOKUP($A826,'Fusion ExDa'!$B$2:$D$16, 0,FALSE), IFERROR(VLOOKUP($A826,'Exetel ExDa'!$C$2:$N$14, 8,FALSE), IFERROR(VLOOKUP($A826,'Infinet ExDa'!$B$2:$E$14, 0,FALSE), "Not Found"))))))))</f>
        <v>Not Found</v>
      </c>
      <c r="J826" t="str">
        <f>IFERROR(VLOOKUP($A826,'AAPT ExDa'!$B$2:$U$99, 7,FALSE), IFERROR(VLOOKUP($A826,'ABB ExDa'!$A$2:$N$184, 2,FALSE), IFERROR(VLOOKUP($A826,'Vocus SIT ExDa'!$B$2:$J$173, 0,FALSE), IFERROR(VLOOKUP($A826,'Telstra ExDa'!$B$2:$K$310, 7,FALSE), IFERROR(VLOOKUP($A826,'Vocus RVC ExDa'!$C$2:$R$155, 2,FALSE), IFERROR(VLOOKUP($A826,'Fusion ExDa'!$B$2:$D$16, 3,FALSE), IFERROR(VLOOKUP($A826,'Exetel ExDa'!$C$2:$N$14, 0,FALSE), IFERROR(VLOOKUP($A826,'Infinet ExDa'!$B$2:$E$14, 0,FALSE), "Not Found"))))))))</f>
        <v>TNCY 3, 4353 ANZAC PDE, WODONGA VIC</v>
      </c>
      <c r="K826" t="str">
        <f>IFERROR(VLOOKUP($A826,'AAPT ExDa'!$B$2:$U$99, 12,FALSE), IFERROR(VLOOKUP($A826,'ABB ExDa'!$A$2:$N$184, 0,FALSE), IFERROR(VLOOKUP($A826,'Vocus SIT ExDa'!$B$2:$J$173, 0,FALSE), IFERROR(VLOOKUP($A826,'Telstra ExDa'!$B$2:$K$310, 0,FALSE), IFERROR(VLOOKUP($A826,'Vocus RVC ExDa'!$C$2:$R$155, 0,FALSE), IFERROR(VLOOKUP($A826,'Fusion ExDa'!$B$2:$D$16, 0,FALSE), IFERROR(VLOOKUP($A826,'Exetel ExDa'!$C$2:$N$14, 12,FALSE), IFERROR(VLOOKUP($A826,'Infinet ExDa'!$B$2:$E$14, 0,FALSE), "Not Found"))))))))</f>
        <v>Not Found</v>
      </c>
      <c r="L826" s="235" t="str">
        <f>IFERROR(VLOOKUP($A826,'AAPT ExDa'!$B$2:$U$99, 11,FALSE), IFERROR(VLOOKUP($A826,'ABB ExDa'!$A$2:$N$184, 9,FALSE), IFERROR(VLOOKUP($A826,'Vocus SIT ExDa'!$B$2:$J$173, 8,FALSE), IFERROR(VLOOKUP($A826,'Telstra ExDa'!$B$2:$K$310, 0,FALSE), IFERROR(VLOOKUP($A826,'Vocus RVC ExDa'!$C$2:$R$155, 0,FALSE), IFERROR(VLOOKUP($A826,'Fusion ExDa'!$B$2:$D$16, 0,FALSE), IFERROR(VLOOKUP($A826,'Exetel ExDa'!$C$2:$N$14, 9,FALSE), IFERROR(VLOOKUP($A826,'Infinet ExDa'!$B$2:$E$14, 0,FALSE), "Not Found"))))))))</f>
        <v>24 June 2024</v>
      </c>
      <c r="M826" s="234" t="str">
        <f>IFERROR(VLOOKUP($A826,'AAPT ExDa'!$B$2:$U$99, 0,FALSE), IFERROR(VLOOKUP($A826,'ABB ExDa'!$A$2:$N$184, 0,FALSE), IFERROR(VLOOKUP($A826,'Vocus SIT ExDa'!$B$2:$J$173, 0,FALSE), IFERROR(VLOOKUP($A826,'Telstra ExDa'!$B$2:$K$310, 0,FALSE), IFERROR(VLOOKUP($A826,'Vocus RVC ExDa'!$C$2:$R$155, 0,FALSE), IFERROR(VLOOKUP($A826,'Fusion ExDa'!$B$2:$D$16, 0,FALSE), IFERROR(VLOOKUP($A826,'Exetel ExDa'!$C$2:$N$14, 11,FALSE), IFERROR(VLOOKUP($A826,'Infinet ExDa'!$B$2:$E$14, 0,FALSE), "Not Found"))))))))</f>
        <v>Not Found</v>
      </c>
      <c r="N826" t="str">
        <f>IFERROR(VLOOKUP($A826,'AAPT ExDa'!$B$2:$U$99, 0,FALSE), IFERROR(VLOOKUP($A826,'ABB ExDa'!$A$2:$N$184, 13,FALSE), IFERROR(VLOOKUP($A826,'Vocus SIT ExDa'!$B$2:$J$173, 0,FALSE), IFERROR(VLOOKUP($A826,'Telstra ExDa'!$B$2:$K$310, 0,FALSE), IFERROR(VLOOKUP($A826,'Vocus RVC ExDa'!$C$2:$R$155, 0,FALSE), IFERROR(VLOOKUP($A826,'Fusion ExDa'!$B$2:$D$16, 0,FALSE), IFERROR(VLOOKUP($A826,'Exetel ExDa'!$C$2:$N$14, 0,FALSE), IFERROR(VLOOKUP($A826,'Infinet ExDa'!$B$2:$E$14, 0,FALSE), "Not Found"))))))))</f>
        <v>Onebill</v>
      </c>
    </row>
    <row r="827" spans="1:14">
      <c r="A827" t="str">
        <v>Just Better Care</v>
      </c>
      <c r="B827" t="str">
        <f>IFERROR(VLOOKUP(A827,'Exetel ExDa'!$C$2:$N$14,4,FALSE),"No Data")</f>
        <v>No Data</v>
      </c>
      <c r="C827" t="str">
        <f>IFERROR(VLOOKUP(A827,'AAPT ExDa'!$B$2:$U$99, 2,FALSE), IFERROR(VLOOKUP(A827,'ABB ExDa'!$A$2:$N$184, 2,FALSE), IFERROR(VLOOKUP(A827,'Vocus SIT ExDa'!$B$2:$J$173, 7,FALSE), IFERROR(VLOOKUP(A827,'Telstra ExDa'!$B$2:$K$310, 2,FALSE), IFERROR(VLOOKUP(A827,'Vocus RVC ExDa'!$C$2:$R$155, 3,FALSE), IFERROR(VLOOKUP(A827,'Fusion ExDa'!$B$2:$D$16, 2,FALSE), IFERROR(VLOOKUP(A827,'Exetel ExDa'!$C$2:$N$14, 2,FALSE), IFERROR(VLOOKUP(A827,'Infinet ExDa'!$B$2:$E$14, 2,FALSE), "Not Found"))))))))</f>
        <v>UN 11, 621 GYMPIE RD, CHERMSIDE QLD</v>
      </c>
      <c r="D827" t="str">
        <f>IFERROR(VLOOKUP($A827,'AAPT ExDa'!$B$2:$U$99, 15,FALSE), IFERROR(VLOOKUP($A827,'ABB ExDa'!$A$2:$N$184, 4,FALSE), IFERROR(VLOOKUP($A827,'Vocus SIT ExDa'!$B$2:$J$173, 5,FALSE), IFERROR(VLOOKUP($A827,'Telstra ExDa'!$B$2:$K$310, 8,FALSE), IFERROR(VLOOKUP($A827,'Vocus RVC ExDa'!$C$2:$R$155, 6,FALSE), IFERROR(VLOOKUP($A827,'Fusion ExDa'!$B$2:$D$16, 4,FALSE), IFERROR(VLOOKUP($A827,'Exetel ExDa'!$C$2:$N$14, 3,FALSE), IFERROR(VLOOKUP($A827,'Infinet ExDa'!$B$2:$E$14, 3,FALSE), "Not Found"))))))))</f>
        <v>ABB</v>
      </c>
      <c r="E827" t="str">
        <f>IFERROR(VLOOKUP($A827,'AAPT ExDa'!$B$2:$U$99, 3,FALSE), IFERROR(VLOOKUP($A827,'ABB ExDa'!$A$2:$N$184, 5,FALSE), IFERROR(VLOOKUP($A827,'Vocus SIT ExDa'!$B$2:$J$173, 2,FALSE), IFERROR(VLOOKUP($A827,'Telstra ExDa'!$B$2:$K$310, 4,FALSE), IFERROR(VLOOKUP($A827,'Vocus RVC ExDa'!$C$2:$R$155, 8,FALSE), IFERROR(VLOOKUP($A827,'Fusion ExDa'!$B$2:$D$16, 4,FALSE), IFERROR(VLOOKUP($A827,'Exetel ExDa'!$C$2:$N$14, 5,FALSE), IFERROR(VLOOKUP($A827,'Infinet ExDa'!$B$2:$E$14, 3,FALSE), "Not Found"))))))))</f>
        <v>NBN 100/40</v>
      </c>
      <c r="F827" t="str">
        <f>IFERROR(VLOOKUP($A827,'AAPT ExDa'!$B$2:$U$99, 4,FALSE), IFERROR(VLOOKUP($A827,'ABB ExDa'!$A$2:$N$184, 6,FALSE), IFERROR(VLOOKUP($A827,'Vocus SIT ExDa'!$B$2:$J$173, 3,FALSE), IFERROR(VLOOKUP($A827,'Telstra ExDa'!$B$2:$K$310, 5,FALSE), IFERROR(VLOOKUP($A827,'Vocus RVC ExDa'!$C$2:$R$155, 9,FALSE), IFERROR(VLOOKUP($A827,'Fusion ExDa'!$B$2:$D$16, 0,FALSE), IFERROR(VLOOKUP($A827,'Exetel ExDa'!$C$2:$N$14, 6,FALSE), IFERROR(VLOOKUP($A827,'Infinet ExDa'!$B$2:$E$14, 0,FALSE), "Not Found"))))))))</f>
        <v xml:space="preserve">Fibre </v>
      </c>
      <c r="G827" t="str">
        <f>IFERROR(VLOOKUP($A827,'AAPT ExDa'!$B$2:$U$99, 5,FALSE), IFERROR(VLOOKUP($A827,'ABB ExDa'!$A$2:$N$184, 8,FALSE), IFERROR(VLOOKUP($A827,'Vocus SIT ExDa'!$B$2:$J$173, 6,FALSE), IFERROR(VLOOKUP($A827,'Telstra ExDa'!$B$2:$K$310, 0,FALSE), IFERROR(VLOOKUP($A827,'Vocus RVC ExDa'!$C$2:$R$155, 15,FALSE), IFERROR(VLOOKUP($A827,'Fusion ExDa'!$B$2:$D$16, 0,FALSE), IFERROR(VLOOKUP($A827,'Exetel ExDa'!$C$2:$N$14, 7,FALSE), IFERROR(VLOOKUP($A827,'Infinet ExDa'!$B$2:$E$14, 0,FALSE), "Not Found"))))))))</f>
        <v>120.88.114.41</v>
      </c>
      <c r="H827">
        <f>IFERROR(VLOOKUP($A827,'AAPT ExDa'!$B$2:$U$99, 6,FALSE), IFERROR(VLOOKUP($A827,'ABB ExDa'!$A$2:$N$184, 0,FALSE), IFERROR(VLOOKUP($A827,'Vocus SIT ExDa'!$B$2:$J$173, 0,FALSE), IFERROR(VLOOKUP($A827,'Telstra ExDa'!$B$2:$K$310, 0,FALSE), IFERROR(VLOOKUP($A827,'Vocus RVC ExDa'!$C$2:$R$155, 16,FALSE), IFERROR(VLOOKUP($A827,'Fusion ExDa'!$B$2:$D$16, 0,FALSE), IFERROR(VLOOKUP($A827,'Exetel ExDa'!$C$2:$N$14, 0,FALSE), IFERROR(VLOOKUP($A827,'Infinet ExDa'!$B$2:$E$14, 0,FALSE), "Not Found"))))))))</f>
        <v>0</v>
      </c>
      <c r="I827" t="str">
        <f>IFERROR(VLOOKUP($A827,'AAPT ExDa'!$B$2:$U$99, 0,FALSE), IFERROR(VLOOKUP($A827,'ABB ExDa'!$A$2:$N$184, 0,FALSE), IFERROR(VLOOKUP($A827,'Vocus SIT ExDa'!$B$2:$J$173, 0,FALSE), IFERROR(VLOOKUP($A827,'Telstra ExDa'!$B$2:$K$310, 0,FALSE), IFERROR(VLOOKUP($A827,'Vocus RVC ExDa'!$C$2:$R$155, 0,FALSE), IFERROR(VLOOKUP($A827,'Fusion ExDa'!$B$2:$D$16, 0,FALSE), IFERROR(VLOOKUP($A827,'Exetel ExDa'!$C$2:$N$14, 8,FALSE), IFERROR(VLOOKUP($A827,'Infinet ExDa'!$B$2:$E$14, 0,FALSE), "Not Found"))))))))</f>
        <v>Not Found</v>
      </c>
      <c r="J827" t="str">
        <f>IFERROR(VLOOKUP($A827,'AAPT ExDa'!$B$2:$U$99, 7,FALSE), IFERROR(VLOOKUP($A827,'ABB ExDa'!$A$2:$N$184, 2,FALSE), IFERROR(VLOOKUP($A827,'Vocus SIT ExDa'!$B$2:$J$173, 0,FALSE), IFERROR(VLOOKUP($A827,'Telstra ExDa'!$B$2:$K$310, 7,FALSE), IFERROR(VLOOKUP($A827,'Vocus RVC ExDa'!$C$2:$R$155, 2,FALSE), IFERROR(VLOOKUP($A827,'Fusion ExDa'!$B$2:$D$16, 3,FALSE), IFERROR(VLOOKUP($A827,'Exetel ExDa'!$C$2:$N$14, 0,FALSE), IFERROR(VLOOKUP($A827,'Infinet ExDa'!$B$2:$E$14, 0,FALSE), "Not Found"))))))))</f>
        <v>UN 11, 621 GYMPIE RD, CHERMSIDE QLD</v>
      </c>
      <c r="K827" t="str">
        <f>IFERROR(VLOOKUP($A827,'AAPT ExDa'!$B$2:$U$99, 12,FALSE), IFERROR(VLOOKUP($A827,'ABB ExDa'!$A$2:$N$184, 0,FALSE), IFERROR(VLOOKUP($A827,'Vocus SIT ExDa'!$B$2:$J$173, 0,FALSE), IFERROR(VLOOKUP($A827,'Telstra ExDa'!$B$2:$K$310, 0,FALSE), IFERROR(VLOOKUP($A827,'Vocus RVC ExDa'!$C$2:$R$155, 0,FALSE), IFERROR(VLOOKUP($A827,'Fusion ExDa'!$B$2:$D$16, 0,FALSE), IFERROR(VLOOKUP($A827,'Exetel ExDa'!$C$2:$N$14, 12,FALSE), IFERROR(VLOOKUP($A827,'Infinet ExDa'!$B$2:$E$14, 0,FALSE), "Not Found"))))))))</f>
        <v>Not Found</v>
      </c>
      <c r="L827" s="235" t="str">
        <f>IFERROR(VLOOKUP($A827,'AAPT ExDa'!$B$2:$U$99, 11,FALSE), IFERROR(VLOOKUP($A827,'ABB ExDa'!$A$2:$N$184, 9,FALSE), IFERROR(VLOOKUP($A827,'Vocus SIT ExDa'!$B$2:$J$173, 8,FALSE), IFERROR(VLOOKUP($A827,'Telstra ExDa'!$B$2:$K$310, 0,FALSE), IFERROR(VLOOKUP($A827,'Vocus RVC ExDa'!$C$2:$R$155, 0,FALSE), IFERROR(VLOOKUP($A827,'Fusion ExDa'!$B$2:$D$16, 0,FALSE), IFERROR(VLOOKUP($A827,'Exetel ExDa'!$C$2:$N$14, 9,FALSE), IFERROR(VLOOKUP($A827,'Infinet ExDa'!$B$2:$E$14, 0,FALSE), "Not Found"))))))))</f>
        <v>17 Sept 2024</v>
      </c>
      <c r="M827" s="234" t="str">
        <f>IFERROR(VLOOKUP($A827,'AAPT ExDa'!$B$2:$U$99, 0,FALSE), IFERROR(VLOOKUP($A827,'ABB ExDa'!$A$2:$N$184, 0,FALSE), IFERROR(VLOOKUP($A827,'Vocus SIT ExDa'!$B$2:$J$173, 0,FALSE), IFERROR(VLOOKUP($A827,'Telstra ExDa'!$B$2:$K$310, 0,FALSE), IFERROR(VLOOKUP($A827,'Vocus RVC ExDa'!$C$2:$R$155, 0,FALSE), IFERROR(VLOOKUP($A827,'Fusion ExDa'!$B$2:$D$16, 0,FALSE), IFERROR(VLOOKUP($A827,'Exetel ExDa'!$C$2:$N$14, 11,FALSE), IFERROR(VLOOKUP($A827,'Infinet ExDa'!$B$2:$E$14, 0,FALSE), "Not Found"))))))))</f>
        <v>Not Found</v>
      </c>
      <c r="N827" t="str">
        <f>IFERROR(VLOOKUP($A827,'AAPT ExDa'!$B$2:$U$99, 0,FALSE), IFERROR(VLOOKUP($A827,'ABB ExDa'!$A$2:$N$184, 13,FALSE), IFERROR(VLOOKUP($A827,'Vocus SIT ExDa'!$B$2:$J$173, 0,FALSE), IFERROR(VLOOKUP($A827,'Telstra ExDa'!$B$2:$K$310, 0,FALSE), IFERROR(VLOOKUP($A827,'Vocus RVC ExDa'!$C$2:$R$155, 0,FALSE), IFERROR(VLOOKUP($A827,'Fusion ExDa'!$B$2:$D$16, 0,FALSE), IFERROR(VLOOKUP($A827,'Exetel ExDa'!$C$2:$N$14, 0,FALSE), IFERROR(VLOOKUP($A827,'Infinet ExDa'!$B$2:$E$14, 0,FALSE), "Not Found"))))))))</f>
        <v>Onebill/ Sasboss</v>
      </c>
    </row>
    <row r="828" spans="1:14">
      <c r="A828" t="str">
        <v>Nodo Newstead</v>
      </c>
      <c r="B828" t="str">
        <f>IFERROR(VLOOKUP(A828,'Exetel ExDa'!$C$2:$N$14,4,FALSE),"No Data")</f>
        <v>No Data</v>
      </c>
      <c r="C828" t="str">
        <f>IFERROR(VLOOKUP(A828,'AAPT ExDa'!$B$2:$U$99, 2,FALSE), IFERROR(VLOOKUP(A828,'ABB ExDa'!$A$2:$N$184, 2,FALSE), IFERROR(VLOOKUP(A828,'Vocus SIT ExDa'!$B$2:$J$173, 7,FALSE), IFERROR(VLOOKUP(A828,'Telstra ExDa'!$B$2:$K$310, 2,FALSE), IFERROR(VLOOKUP(A828,'Vocus RVC ExDa'!$C$2:$R$155, 3,FALSE), IFERROR(VLOOKUP(A828,'Fusion ExDa'!$B$2:$D$16, 2,FALSE), IFERROR(VLOOKUP(A828,'Exetel ExDa'!$C$2:$N$14, 2,FALSE), IFERROR(VLOOKUP(A828,'Infinet ExDa'!$B$2:$E$14, 2,FALSE), "Not Found"))))))))</f>
        <v>SHOP 3, 1 ELLA ST, NEWSTEAD QLD</v>
      </c>
      <c r="D828" t="str">
        <f>IFERROR(VLOOKUP($A828,'AAPT ExDa'!$B$2:$U$99, 15,FALSE), IFERROR(VLOOKUP($A828,'ABB ExDa'!$A$2:$N$184, 4,FALSE), IFERROR(VLOOKUP($A828,'Vocus SIT ExDa'!$B$2:$J$173, 5,FALSE), IFERROR(VLOOKUP($A828,'Telstra ExDa'!$B$2:$K$310, 8,FALSE), IFERROR(VLOOKUP($A828,'Vocus RVC ExDa'!$C$2:$R$155, 6,FALSE), IFERROR(VLOOKUP($A828,'Fusion ExDa'!$B$2:$D$16, 4,FALSE), IFERROR(VLOOKUP($A828,'Exetel ExDa'!$C$2:$N$14, 3,FALSE), IFERROR(VLOOKUP($A828,'Infinet ExDa'!$B$2:$E$14, 3,FALSE), "Not Found"))))))))</f>
        <v>ABB</v>
      </c>
      <c r="E828">
        <f>IFERROR(VLOOKUP($A828,'AAPT ExDa'!$B$2:$U$99, 3,FALSE), IFERROR(VLOOKUP($A828,'ABB ExDa'!$A$2:$N$184, 5,FALSE), IFERROR(VLOOKUP($A828,'Vocus SIT ExDa'!$B$2:$J$173, 2,FALSE), IFERROR(VLOOKUP($A828,'Telstra ExDa'!$B$2:$K$310, 4,FALSE), IFERROR(VLOOKUP($A828,'Vocus RVC ExDa'!$C$2:$R$155, 8,FALSE), IFERROR(VLOOKUP($A828,'Fusion ExDa'!$B$2:$D$16, 4,FALSE), IFERROR(VLOOKUP($A828,'Exetel ExDa'!$C$2:$N$14, 5,FALSE), IFERROR(VLOOKUP($A828,'Infinet ExDa'!$B$2:$E$14, 3,FALSE), "Not Found"))))))))</f>
        <v>0</v>
      </c>
      <c r="F828" t="str">
        <f>IFERROR(VLOOKUP($A828,'AAPT ExDa'!$B$2:$U$99, 4,FALSE), IFERROR(VLOOKUP($A828,'ABB ExDa'!$A$2:$N$184, 6,FALSE), IFERROR(VLOOKUP($A828,'Vocus SIT ExDa'!$B$2:$J$173, 3,FALSE), IFERROR(VLOOKUP($A828,'Telstra ExDa'!$B$2:$K$310, 5,FALSE), IFERROR(VLOOKUP($A828,'Vocus RVC ExDa'!$C$2:$R$155, 9,FALSE), IFERROR(VLOOKUP($A828,'Fusion ExDa'!$B$2:$D$16, 0,FALSE), IFERROR(VLOOKUP($A828,'Exetel ExDa'!$C$2:$N$14, 6,FALSE), IFERROR(VLOOKUP($A828,'Infinet ExDa'!$B$2:$E$14, 0,FALSE), "Not Found"))))))))</f>
        <v>FTTB</v>
      </c>
      <c r="G828">
        <f>IFERROR(VLOOKUP($A828,'AAPT ExDa'!$B$2:$U$99, 5,FALSE), IFERROR(VLOOKUP($A828,'ABB ExDa'!$A$2:$N$184, 8,FALSE), IFERROR(VLOOKUP($A828,'Vocus SIT ExDa'!$B$2:$J$173, 6,FALSE), IFERROR(VLOOKUP($A828,'Telstra ExDa'!$B$2:$K$310, 0,FALSE), IFERROR(VLOOKUP($A828,'Vocus RVC ExDa'!$C$2:$R$155, 15,FALSE), IFERROR(VLOOKUP($A828,'Fusion ExDa'!$B$2:$D$16, 0,FALSE), IFERROR(VLOOKUP($A828,'Exetel ExDa'!$C$2:$N$14, 7,FALSE), IFERROR(VLOOKUP($A828,'Infinet ExDa'!$B$2:$E$14, 0,FALSE), "Not Found"))))))))</f>
        <v>0</v>
      </c>
      <c r="H828">
        <f>IFERROR(VLOOKUP($A828,'AAPT ExDa'!$B$2:$U$99, 6,FALSE), IFERROR(VLOOKUP($A828,'ABB ExDa'!$A$2:$N$184, 0,FALSE), IFERROR(VLOOKUP($A828,'Vocus SIT ExDa'!$B$2:$J$173, 0,FALSE), IFERROR(VLOOKUP($A828,'Telstra ExDa'!$B$2:$K$310, 0,FALSE), IFERROR(VLOOKUP($A828,'Vocus RVC ExDa'!$C$2:$R$155, 16,FALSE), IFERROR(VLOOKUP($A828,'Fusion ExDa'!$B$2:$D$16, 0,FALSE), IFERROR(VLOOKUP($A828,'Exetel ExDa'!$C$2:$N$14, 0,FALSE), IFERROR(VLOOKUP($A828,'Infinet ExDa'!$B$2:$E$14, 0,FALSE), "Not Found"))))))))</f>
        <v>0</v>
      </c>
      <c r="I828" t="str">
        <f>IFERROR(VLOOKUP($A828,'AAPT ExDa'!$B$2:$U$99, 0,FALSE), IFERROR(VLOOKUP($A828,'ABB ExDa'!$A$2:$N$184, 0,FALSE), IFERROR(VLOOKUP($A828,'Vocus SIT ExDa'!$B$2:$J$173, 0,FALSE), IFERROR(VLOOKUP($A828,'Telstra ExDa'!$B$2:$K$310, 0,FALSE), IFERROR(VLOOKUP($A828,'Vocus RVC ExDa'!$C$2:$R$155, 0,FALSE), IFERROR(VLOOKUP($A828,'Fusion ExDa'!$B$2:$D$16, 0,FALSE), IFERROR(VLOOKUP($A828,'Exetel ExDa'!$C$2:$N$14, 8,FALSE), IFERROR(VLOOKUP($A828,'Infinet ExDa'!$B$2:$E$14, 0,FALSE), "Not Found"))))))))</f>
        <v>Not Found</v>
      </c>
      <c r="J828" t="str">
        <f>IFERROR(VLOOKUP($A828,'AAPT ExDa'!$B$2:$U$99, 7,FALSE), IFERROR(VLOOKUP($A828,'ABB ExDa'!$A$2:$N$184, 2,FALSE), IFERROR(VLOOKUP($A828,'Vocus SIT ExDa'!$B$2:$J$173, 0,FALSE), IFERROR(VLOOKUP($A828,'Telstra ExDa'!$B$2:$K$310, 7,FALSE), IFERROR(VLOOKUP($A828,'Vocus RVC ExDa'!$C$2:$R$155, 2,FALSE), IFERROR(VLOOKUP($A828,'Fusion ExDa'!$B$2:$D$16, 3,FALSE), IFERROR(VLOOKUP($A828,'Exetel ExDa'!$C$2:$N$14, 0,FALSE), IFERROR(VLOOKUP($A828,'Infinet ExDa'!$B$2:$E$14, 0,FALSE), "Not Found"))))))))</f>
        <v>SHOP 3, 1 ELLA ST, NEWSTEAD QLD</v>
      </c>
      <c r="K828" t="str">
        <f>IFERROR(VLOOKUP($A828,'AAPT ExDa'!$B$2:$U$99, 12,FALSE), IFERROR(VLOOKUP($A828,'ABB ExDa'!$A$2:$N$184, 0,FALSE), IFERROR(VLOOKUP($A828,'Vocus SIT ExDa'!$B$2:$J$173, 0,FALSE), IFERROR(VLOOKUP($A828,'Telstra ExDa'!$B$2:$K$310, 0,FALSE), IFERROR(VLOOKUP($A828,'Vocus RVC ExDa'!$C$2:$R$155, 0,FALSE), IFERROR(VLOOKUP($A828,'Fusion ExDa'!$B$2:$D$16, 0,FALSE), IFERROR(VLOOKUP($A828,'Exetel ExDa'!$C$2:$N$14, 12,FALSE), IFERROR(VLOOKUP($A828,'Infinet ExDa'!$B$2:$E$14, 0,FALSE), "Not Found"))))))))</f>
        <v>Not Found</v>
      </c>
      <c r="L828" s="235" t="str">
        <f>IFERROR(VLOOKUP($A828,'AAPT ExDa'!$B$2:$U$99, 11,FALSE), IFERROR(VLOOKUP($A828,'ABB ExDa'!$A$2:$N$184, 9,FALSE), IFERROR(VLOOKUP($A828,'Vocus SIT ExDa'!$B$2:$J$173, 8,FALSE), IFERROR(VLOOKUP($A828,'Telstra ExDa'!$B$2:$K$310, 0,FALSE), IFERROR(VLOOKUP($A828,'Vocus RVC ExDa'!$C$2:$R$155, 0,FALSE), IFERROR(VLOOKUP($A828,'Fusion ExDa'!$B$2:$D$16, 0,FALSE), IFERROR(VLOOKUP($A828,'Exetel ExDa'!$C$2:$N$14, 9,FALSE), IFERROR(VLOOKUP($A828,'Infinet ExDa'!$B$2:$E$14, 0,FALSE), "Not Found"))))))))</f>
        <v>28 Aug 2025</v>
      </c>
      <c r="M828" s="234" t="str">
        <f>IFERROR(VLOOKUP($A828,'AAPT ExDa'!$B$2:$U$99, 0,FALSE), IFERROR(VLOOKUP($A828,'ABB ExDa'!$A$2:$N$184, 0,FALSE), IFERROR(VLOOKUP($A828,'Vocus SIT ExDa'!$B$2:$J$173, 0,FALSE), IFERROR(VLOOKUP($A828,'Telstra ExDa'!$B$2:$K$310, 0,FALSE), IFERROR(VLOOKUP($A828,'Vocus RVC ExDa'!$C$2:$R$155, 0,FALSE), IFERROR(VLOOKUP($A828,'Fusion ExDa'!$B$2:$D$16, 0,FALSE), IFERROR(VLOOKUP($A828,'Exetel ExDa'!$C$2:$N$14, 11,FALSE), IFERROR(VLOOKUP($A828,'Infinet ExDa'!$B$2:$E$14, 0,FALSE), "Not Found"))))))))</f>
        <v>Not Found</v>
      </c>
      <c r="N828" t="str">
        <f>IFERROR(VLOOKUP($A828,'AAPT ExDa'!$B$2:$U$99, 0,FALSE), IFERROR(VLOOKUP($A828,'ABB ExDa'!$A$2:$N$184, 13,FALSE), IFERROR(VLOOKUP($A828,'Vocus SIT ExDa'!$B$2:$J$173, 0,FALSE), IFERROR(VLOOKUP($A828,'Telstra ExDa'!$B$2:$K$310, 0,FALSE), IFERROR(VLOOKUP($A828,'Vocus RVC ExDa'!$C$2:$R$155, 0,FALSE), IFERROR(VLOOKUP($A828,'Fusion ExDa'!$B$2:$D$16, 0,FALSE), IFERROR(VLOOKUP($A828,'Exetel ExDa'!$C$2:$N$14, 0,FALSE), IFERROR(VLOOKUP($A828,'Infinet ExDa'!$B$2:$E$14, 0,FALSE), "Not Found"))))))))</f>
        <v>TBA</v>
      </c>
    </row>
    <row r="829" spans="1:14">
      <c r="A829" t="str">
        <v>N/A</v>
      </c>
      <c r="B829" t="str">
        <f>IFERROR(VLOOKUP(A829,'Exetel ExDa'!$C$2:$N$14,4,FALSE),"No Data")</f>
        <v>No Data</v>
      </c>
      <c r="C829" t="str">
        <f>IFERROR(VLOOKUP(A829,'AAPT ExDa'!$B$2:$U$99, 2,FALSE), IFERROR(VLOOKUP(A829,'ABB ExDa'!$A$2:$N$184, 2,FALSE), IFERROR(VLOOKUP(A829,'Vocus SIT ExDa'!$B$2:$J$173, 7,FALSE), IFERROR(VLOOKUP(A829,'Telstra ExDa'!$B$2:$K$310, 2,FALSE), IFERROR(VLOOKUP(A829,'Vocus RVC ExDa'!$C$2:$R$155, 3,FALSE), IFERROR(VLOOKUP(A829,'Fusion ExDa'!$B$2:$D$16, 2,FALSE), IFERROR(VLOOKUP(A829,'Exetel ExDa'!$C$2:$N$14, 2,FALSE), IFERROR(VLOOKUP(A829,'Infinet ExDa'!$B$2:$E$14, 2,FALSE), "Not Found"))))))))</f>
        <v>T103 115 Dunning AV</v>
      </c>
      <c r="D829">
        <f>IFERROR(VLOOKUP($A829,'AAPT ExDa'!$B$2:$U$99, 15,FALSE), IFERROR(VLOOKUP($A829,'ABB ExDa'!$A$2:$N$184, 4,FALSE), IFERROR(VLOOKUP($A829,'Vocus SIT ExDa'!$B$2:$J$173, 5,FALSE), IFERROR(VLOOKUP($A829,'Telstra ExDa'!$B$2:$K$310, 8,FALSE), IFERROR(VLOOKUP($A829,'Vocus RVC ExDa'!$C$2:$R$155, 6,FALSE), IFERROR(VLOOKUP($A829,'Fusion ExDa'!$B$2:$D$16, 4,FALSE), IFERROR(VLOOKUP($A829,'Exetel ExDa'!$C$2:$N$14, 3,FALSE), IFERROR(VLOOKUP($A829,'Infinet ExDa'!$B$2:$E$14, 3,FALSE), "Not Found"))))))))</f>
        <v>2018</v>
      </c>
      <c r="E829" t="str">
        <f>IFERROR(VLOOKUP($A829,'AAPT ExDa'!$B$2:$U$99, 3,FALSE), IFERROR(VLOOKUP($A829,'ABB ExDa'!$A$2:$N$184, 5,FALSE), IFERROR(VLOOKUP($A829,'Vocus SIT ExDa'!$B$2:$J$173, 2,FALSE), IFERROR(VLOOKUP($A829,'Telstra ExDa'!$B$2:$K$310, 4,FALSE), IFERROR(VLOOKUP($A829,'Vocus RVC ExDa'!$C$2:$R$155, 8,FALSE), IFERROR(VLOOKUP($A829,'Fusion ExDa'!$B$2:$D$16, 4,FALSE), IFERROR(VLOOKUP($A829,'Exetel ExDa'!$C$2:$N$14, 5,FALSE), IFERROR(VLOOKUP($A829,'Infinet ExDa'!$B$2:$E$14, 3,FALSE), "Not Found"))))))))</f>
        <v>Mobile Service</v>
      </c>
      <c r="F829">
        <f>IFERROR(VLOOKUP($A829,'AAPT ExDa'!$B$2:$U$99, 4,FALSE), IFERROR(VLOOKUP($A829,'ABB ExDa'!$A$2:$N$184, 6,FALSE), IFERROR(VLOOKUP($A829,'Vocus SIT ExDa'!$B$2:$J$173, 3,FALSE), IFERROR(VLOOKUP($A829,'Telstra ExDa'!$B$2:$K$310, 5,FALSE), IFERROR(VLOOKUP($A829,'Vocus RVC ExDa'!$C$2:$R$155, 9,FALSE), IFERROR(VLOOKUP($A829,'Fusion ExDa'!$B$2:$D$16, 0,FALSE), IFERROR(VLOOKUP($A829,'Exetel ExDa'!$C$2:$N$14, 6,FALSE), IFERROR(VLOOKUP($A829,'Infinet ExDa'!$B$2:$E$14, 0,FALSE), "Not Found"))))))))</f>
        <v>45617</v>
      </c>
      <c r="G829">
        <f>IFERROR(VLOOKUP($A829,'AAPT ExDa'!$B$2:$U$99, 5,FALSE), IFERROR(VLOOKUP($A829,'ABB ExDa'!$A$2:$N$184, 8,FALSE), IFERROR(VLOOKUP($A829,'Vocus SIT ExDa'!$B$2:$J$173, 6,FALSE), IFERROR(VLOOKUP($A829,'Telstra ExDa'!$B$2:$K$310, 0,FALSE), IFERROR(VLOOKUP($A829,'Vocus RVC ExDa'!$C$2:$R$155, 15,FALSE), IFERROR(VLOOKUP($A829,'Fusion ExDa'!$B$2:$D$16, 0,FALSE), IFERROR(VLOOKUP($A829,'Exetel ExDa'!$C$2:$N$14, 7,FALSE), IFERROR(VLOOKUP($A829,'Infinet ExDa'!$B$2:$E$14, 0,FALSE), "Not Found"))))))))</f>
        <v>0</v>
      </c>
      <c r="H829">
        <f>IFERROR(VLOOKUP($A829,'AAPT ExDa'!$B$2:$U$99, 6,FALSE), IFERROR(VLOOKUP($A829,'ABB ExDa'!$A$2:$N$184, 0,FALSE), IFERROR(VLOOKUP($A829,'Vocus SIT ExDa'!$B$2:$J$173, 0,FALSE), IFERROR(VLOOKUP($A829,'Telstra ExDa'!$B$2:$K$310, 0,FALSE), IFERROR(VLOOKUP($A829,'Vocus RVC ExDa'!$C$2:$R$155, 16,FALSE), IFERROR(VLOOKUP($A829,'Fusion ExDa'!$B$2:$D$16, 0,FALSE), IFERROR(VLOOKUP($A829,'Exetel ExDa'!$C$2:$N$14, 0,FALSE), IFERROR(VLOOKUP($A829,'Infinet ExDa'!$B$2:$E$14, 0,FALSE), "Not Found"))))))))</f>
        <v>0</v>
      </c>
      <c r="I829" t="str">
        <f>IFERROR(VLOOKUP($A829,'AAPT ExDa'!$B$2:$U$99, 0,FALSE), IFERROR(VLOOKUP($A829,'ABB ExDa'!$A$2:$N$184, 0,FALSE), IFERROR(VLOOKUP($A829,'Vocus SIT ExDa'!$B$2:$J$173, 0,FALSE), IFERROR(VLOOKUP($A829,'Telstra ExDa'!$B$2:$K$310, 0,FALSE), IFERROR(VLOOKUP($A829,'Vocus RVC ExDa'!$C$2:$R$155, 0,FALSE), IFERROR(VLOOKUP($A829,'Fusion ExDa'!$B$2:$D$16, 0,FALSE), IFERROR(VLOOKUP($A829,'Exetel ExDa'!$C$2:$N$14, 8,FALSE), IFERROR(VLOOKUP($A829,'Infinet ExDa'!$B$2:$E$14, 0,FALSE), "Not Found"))))))))</f>
        <v>Not Found</v>
      </c>
      <c r="J829">
        <f>IFERROR(VLOOKUP($A829,'AAPT ExDa'!$B$2:$U$99, 7,FALSE), IFERROR(VLOOKUP($A829,'ABB ExDa'!$A$2:$N$184, 2,FALSE), IFERROR(VLOOKUP($A829,'Vocus SIT ExDa'!$B$2:$J$173, 0,FALSE), IFERROR(VLOOKUP($A829,'Telstra ExDa'!$B$2:$K$310, 7,FALSE), IFERROR(VLOOKUP($A829,'Vocus RVC ExDa'!$C$2:$R$155, 2,FALSE), IFERROR(VLOOKUP($A829,'Fusion ExDa'!$B$2:$D$16, 3,FALSE), IFERROR(VLOOKUP($A829,'Exetel ExDa'!$C$2:$N$14, 0,FALSE), IFERROR(VLOOKUP($A829,'Infinet ExDa'!$B$2:$E$14, 0,FALSE), "Not Found"))))))))</f>
        <v>0</v>
      </c>
      <c r="K829" t="str">
        <f>IFERROR(VLOOKUP($A829,'AAPT ExDa'!$B$2:$U$99, 12,FALSE), IFERROR(VLOOKUP($A829,'ABB ExDa'!$A$2:$N$184, 0,FALSE), IFERROR(VLOOKUP($A829,'Vocus SIT ExDa'!$B$2:$J$173, 0,FALSE), IFERROR(VLOOKUP($A829,'Telstra ExDa'!$B$2:$K$310, 0,FALSE), IFERROR(VLOOKUP($A829,'Vocus RVC ExDa'!$C$2:$R$155, 0,FALSE), IFERROR(VLOOKUP($A829,'Fusion ExDa'!$B$2:$D$16, 0,FALSE), IFERROR(VLOOKUP($A829,'Exetel ExDa'!$C$2:$N$14, 12,FALSE), IFERROR(VLOOKUP($A829,'Infinet ExDa'!$B$2:$E$14, 0,FALSE), "Not Found"))))))))</f>
        <v>Not Found</v>
      </c>
      <c r="L829" s="235" t="str">
        <f>IFERROR(VLOOKUP($A829,'AAPT ExDa'!$B$2:$U$99, 11,FALSE), IFERROR(VLOOKUP($A829,'ABB ExDa'!$A$2:$N$184, 9,FALSE), IFERROR(VLOOKUP($A829,'Vocus SIT ExDa'!$B$2:$J$173, 8,FALSE), IFERROR(VLOOKUP($A829,'Telstra ExDa'!$B$2:$K$310, 0,FALSE), IFERROR(VLOOKUP($A829,'Vocus RVC ExDa'!$C$2:$R$155, 0,FALSE), IFERROR(VLOOKUP($A829,'Fusion ExDa'!$B$2:$D$16, 0,FALSE), IFERROR(VLOOKUP($A829,'Exetel ExDa'!$C$2:$N$14, 9,FALSE), IFERROR(VLOOKUP($A829,'Infinet ExDa'!$B$2:$E$14, 0,FALSE), "Not Found"))))))))</f>
        <v>Not Found</v>
      </c>
      <c r="M829" s="234" t="str">
        <f>IFERROR(VLOOKUP($A829,'AAPT ExDa'!$B$2:$U$99, 0,FALSE), IFERROR(VLOOKUP($A829,'ABB ExDa'!$A$2:$N$184, 0,FALSE), IFERROR(VLOOKUP($A829,'Vocus SIT ExDa'!$B$2:$J$173, 0,FALSE), IFERROR(VLOOKUP($A829,'Telstra ExDa'!$B$2:$K$310, 0,FALSE), IFERROR(VLOOKUP($A829,'Vocus RVC ExDa'!$C$2:$R$155, 0,FALSE), IFERROR(VLOOKUP($A829,'Fusion ExDa'!$B$2:$D$16, 0,FALSE), IFERROR(VLOOKUP($A829,'Exetel ExDa'!$C$2:$N$14, 11,FALSE), IFERROR(VLOOKUP($A829,'Infinet ExDa'!$B$2:$E$14, 0,FALSE), "Not Found"))))))))</f>
        <v>Not Found</v>
      </c>
      <c r="N829" t="str">
        <f>IFERROR(VLOOKUP($A829,'AAPT ExDa'!$B$2:$U$99, 0,FALSE), IFERROR(VLOOKUP($A829,'ABB ExDa'!$A$2:$N$184, 13,FALSE), IFERROR(VLOOKUP($A829,'Vocus SIT ExDa'!$B$2:$J$173, 0,FALSE), IFERROR(VLOOKUP($A829,'Telstra ExDa'!$B$2:$K$310, 0,FALSE), IFERROR(VLOOKUP($A829,'Vocus RVC ExDa'!$C$2:$R$155, 0,FALSE), IFERROR(VLOOKUP($A829,'Fusion ExDa'!$B$2:$D$16, 0,FALSE), IFERROR(VLOOKUP($A829,'Exetel ExDa'!$C$2:$N$14, 0,FALSE), IFERROR(VLOOKUP($A829,'Infinet ExDa'!$B$2:$E$14, 0,FALSE), "Not Found"))))))))</f>
        <v>Not Found</v>
      </c>
    </row>
    <row r="830" spans="1:14">
      <c r="A830" t="str">
        <v xml:space="preserve">	Zam Torquay LOAN</v>
      </c>
      <c r="B830" t="str">
        <f>IFERROR(VLOOKUP(A830,'Exetel ExDa'!$C$2:$N$14,4,FALSE),"No Data")</f>
        <v>No Data</v>
      </c>
      <c r="C830" t="str">
        <f>IFERROR(VLOOKUP(A830,'AAPT ExDa'!$B$2:$U$99, 2,FALSE), IFERROR(VLOOKUP(A830,'ABB ExDa'!$A$2:$N$184, 2,FALSE), IFERROR(VLOOKUP(A830,'Vocus SIT ExDa'!$B$2:$J$173, 7,FALSE), IFERROR(VLOOKUP(A830,'Telstra ExDa'!$B$2:$K$310, 2,FALSE), IFERROR(VLOOKUP(A830,'Vocus RVC ExDa'!$C$2:$R$155, 3,FALSE), IFERROR(VLOOKUP(A830,'Fusion ExDa'!$B$2:$D$16, 2,FALSE), IFERROR(VLOOKUP(A830,'Exetel ExDa'!$C$2:$N$14, 2,FALSE), IFERROR(VLOOKUP(A830,'Infinet ExDa'!$B$2:$E$14, 2,FALSE), "Not Found"))))))))</f>
        <v>85 Surf Coast  HWY</v>
      </c>
      <c r="D830">
        <f>IFERROR(VLOOKUP($A830,'AAPT ExDa'!$B$2:$U$99, 15,FALSE), IFERROR(VLOOKUP($A830,'ABB ExDa'!$A$2:$N$184, 4,FALSE), IFERROR(VLOOKUP($A830,'Vocus SIT ExDa'!$B$2:$J$173, 5,FALSE), IFERROR(VLOOKUP($A830,'Telstra ExDa'!$B$2:$K$310, 8,FALSE), IFERROR(VLOOKUP($A830,'Vocus RVC ExDa'!$C$2:$R$155, 6,FALSE), IFERROR(VLOOKUP($A830,'Fusion ExDa'!$B$2:$D$16, 4,FALSE), IFERROR(VLOOKUP($A830,'Exetel ExDa'!$C$2:$N$14, 3,FALSE), IFERROR(VLOOKUP($A830,'Infinet ExDa'!$B$2:$E$14, 3,FALSE), "Not Found"))))))))</f>
        <v>3228</v>
      </c>
      <c r="E830" t="str">
        <f>IFERROR(VLOOKUP($A830,'AAPT ExDa'!$B$2:$U$99, 3,FALSE), IFERROR(VLOOKUP($A830,'ABB ExDa'!$A$2:$N$184, 5,FALSE), IFERROR(VLOOKUP($A830,'Vocus SIT ExDa'!$B$2:$J$173, 2,FALSE), IFERROR(VLOOKUP($A830,'Telstra ExDa'!$B$2:$K$310, 4,FALSE), IFERROR(VLOOKUP($A830,'Vocus RVC ExDa'!$C$2:$R$155, 8,FALSE), IFERROR(VLOOKUP($A830,'Fusion ExDa'!$B$2:$D$16, 4,FALSE), IFERROR(VLOOKUP($A830,'Exetel ExDa'!$C$2:$N$14, 5,FALSE), IFERROR(VLOOKUP($A830,'Infinet ExDa'!$B$2:$E$14, 3,FALSE), "Not Found"))))))))</f>
        <v>Mobile Service</v>
      </c>
      <c r="F830">
        <f>IFERROR(VLOOKUP($A830,'AAPT ExDa'!$B$2:$U$99, 4,FALSE), IFERROR(VLOOKUP($A830,'ABB ExDa'!$A$2:$N$184, 6,FALSE), IFERROR(VLOOKUP($A830,'Vocus SIT ExDa'!$B$2:$J$173, 3,FALSE), IFERROR(VLOOKUP($A830,'Telstra ExDa'!$B$2:$K$310, 5,FALSE), IFERROR(VLOOKUP($A830,'Vocus RVC ExDa'!$C$2:$R$155, 9,FALSE), IFERROR(VLOOKUP($A830,'Fusion ExDa'!$B$2:$D$16, 0,FALSE), IFERROR(VLOOKUP($A830,'Exetel ExDa'!$C$2:$N$14, 6,FALSE), IFERROR(VLOOKUP($A830,'Infinet ExDa'!$B$2:$E$14, 0,FALSE), "Not Found"))))))))</f>
        <v>45621</v>
      </c>
      <c r="G830">
        <f>IFERROR(VLOOKUP($A830,'AAPT ExDa'!$B$2:$U$99, 5,FALSE), IFERROR(VLOOKUP($A830,'ABB ExDa'!$A$2:$N$184, 8,FALSE), IFERROR(VLOOKUP($A830,'Vocus SIT ExDa'!$B$2:$J$173, 6,FALSE), IFERROR(VLOOKUP($A830,'Telstra ExDa'!$B$2:$K$310, 0,FALSE), IFERROR(VLOOKUP($A830,'Vocus RVC ExDa'!$C$2:$R$155, 15,FALSE), IFERROR(VLOOKUP($A830,'Fusion ExDa'!$B$2:$D$16, 0,FALSE), IFERROR(VLOOKUP($A830,'Exetel ExDa'!$C$2:$N$14, 7,FALSE), IFERROR(VLOOKUP($A830,'Infinet ExDa'!$B$2:$E$14, 0,FALSE), "Not Found"))))))))</f>
        <v>0</v>
      </c>
      <c r="H830">
        <f>IFERROR(VLOOKUP($A830,'AAPT ExDa'!$B$2:$U$99, 6,FALSE), IFERROR(VLOOKUP($A830,'ABB ExDa'!$A$2:$N$184, 0,FALSE), IFERROR(VLOOKUP($A830,'Vocus SIT ExDa'!$B$2:$J$173, 0,FALSE), IFERROR(VLOOKUP($A830,'Telstra ExDa'!$B$2:$K$310, 0,FALSE), IFERROR(VLOOKUP($A830,'Vocus RVC ExDa'!$C$2:$R$155, 16,FALSE), IFERROR(VLOOKUP($A830,'Fusion ExDa'!$B$2:$D$16, 0,FALSE), IFERROR(VLOOKUP($A830,'Exetel ExDa'!$C$2:$N$14, 0,FALSE), IFERROR(VLOOKUP($A830,'Infinet ExDa'!$B$2:$E$14, 0,FALSE), "Not Found"))))))))</f>
        <v>0</v>
      </c>
      <c r="I830" t="str">
        <f>IFERROR(VLOOKUP($A830,'AAPT ExDa'!$B$2:$U$99, 0,FALSE), IFERROR(VLOOKUP($A830,'ABB ExDa'!$A$2:$N$184, 0,FALSE), IFERROR(VLOOKUP($A830,'Vocus SIT ExDa'!$B$2:$J$173, 0,FALSE), IFERROR(VLOOKUP($A830,'Telstra ExDa'!$B$2:$K$310, 0,FALSE), IFERROR(VLOOKUP($A830,'Vocus RVC ExDa'!$C$2:$R$155, 0,FALSE), IFERROR(VLOOKUP($A830,'Fusion ExDa'!$B$2:$D$16, 0,FALSE), IFERROR(VLOOKUP($A830,'Exetel ExDa'!$C$2:$N$14, 8,FALSE), IFERROR(VLOOKUP($A830,'Infinet ExDa'!$B$2:$E$14, 0,FALSE), "Not Found"))))))))</f>
        <v>Not Found</v>
      </c>
      <c r="J830">
        <f>IFERROR(VLOOKUP($A830,'AAPT ExDa'!$B$2:$U$99, 7,FALSE), IFERROR(VLOOKUP($A830,'ABB ExDa'!$A$2:$N$184, 2,FALSE), IFERROR(VLOOKUP($A830,'Vocus SIT ExDa'!$B$2:$J$173, 0,FALSE), IFERROR(VLOOKUP($A830,'Telstra ExDa'!$B$2:$K$310, 7,FALSE), IFERROR(VLOOKUP($A830,'Vocus RVC ExDa'!$C$2:$R$155, 2,FALSE), IFERROR(VLOOKUP($A830,'Fusion ExDa'!$B$2:$D$16, 3,FALSE), IFERROR(VLOOKUP($A830,'Exetel ExDa'!$C$2:$N$14, 0,FALSE), IFERROR(VLOOKUP($A830,'Infinet ExDa'!$B$2:$E$14, 0,FALSE), "Not Found"))))))))</f>
        <v>0</v>
      </c>
      <c r="K830" t="str">
        <f>IFERROR(VLOOKUP($A830,'AAPT ExDa'!$B$2:$U$99, 12,FALSE), IFERROR(VLOOKUP($A830,'ABB ExDa'!$A$2:$N$184, 0,FALSE), IFERROR(VLOOKUP($A830,'Vocus SIT ExDa'!$B$2:$J$173, 0,FALSE), IFERROR(VLOOKUP($A830,'Telstra ExDa'!$B$2:$K$310, 0,FALSE), IFERROR(VLOOKUP($A830,'Vocus RVC ExDa'!$C$2:$R$155, 0,FALSE), IFERROR(VLOOKUP($A830,'Fusion ExDa'!$B$2:$D$16, 0,FALSE), IFERROR(VLOOKUP($A830,'Exetel ExDa'!$C$2:$N$14, 12,FALSE), IFERROR(VLOOKUP($A830,'Infinet ExDa'!$B$2:$E$14, 0,FALSE), "Not Found"))))))))</f>
        <v>Not Found</v>
      </c>
      <c r="L830" s="235" t="str">
        <f>IFERROR(VLOOKUP($A830,'AAPT ExDa'!$B$2:$U$99, 11,FALSE), IFERROR(VLOOKUP($A830,'ABB ExDa'!$A$2:$N$184, 9,FALSE), IFERROR(VLOOKUP($A830,'Vocus SIT ExDa'!$B$2:$J$173, 8,FALSE), IFERROR(VLOOKUP($A830,'Telstra ExDa'!$B$2:$K$310, 0,FALSE), IFERROR(VLOOKUP($A830,'Vocus RVC ExDa'!$C$2:$R$155, 0,FALSE), IFERROR(VLOOKUP($A830,'Fusion ExDa'!$B$2:$D$16, 0,FALSE), IFERROR(VLOOKUP($A830,'Exetel ExDa'!$C$2:$N$14, 9,FALSE), IFERROR(VLOOKUP($A830,'Infinet ExDa'!$B$2:$E$14, 0,FALSE), "Not Found"))))))))</f>
        <v>Not Found</v>
      </c>
      <c r="M830" s="234" t="str">
        <f>IFERROR(VLOOKUP($A830,'AAPT ExDa'!$B$2:$U$99, 0,FALSE), IFERROR(VLOOKUP($A830,'ABB ExDa'!$A$2:$N$184, 0,FALSE), IFERROR(VLOOKUP($A830,'Vocus SIT ExDa'!$B$2:$J$173, 0,FALSE), IFERROR(VLOOKUP($A830,'Telstra ExDa'!$B$2:$K$310, 0,FALSE), IFERROR(VLOOKUP($A830,'Vocus RVC ExDa'!$C$2:$R$155, 0,FALSE), IFERROR(VLOOKUP($A830,'Fusion ExDa'!$B$2:$D$16, 0,FALSE), IFERROR(VLOOKUP($A830,'Exetel ExDa'!$C$2:$N$14, 11,FALSE), IFERROR(VLOOKUP($A830,'Infinet ExDa'!$B$2:$E$14, 0,FALSE), "Not Found"))))))))</f>
        <v>Not Found</v>
      </c>
      <c r="N830" t="str">
        <f>IFERROR(VLOOKUP($A830,'AAPT ExDa'!$B$2:$U$99, 0,FALSE), IFERROR(VLOOKUP($A830,'ABB ExDa'!$A$2:$N$184, 13,FALSE), IFERROR(VLOOKUP($A830,'Vocus SIT ExDa'!$B$2:$J$173, 0,FALSE), IFERROR(VLOOKUP($A830,'Telstra ExDa'!$B$2:$K$310, 0,FALSE), IFERROR(VLOOKUP($A830,'Vocus RVC ExDa'!$C$2:$R$155, 0,FALSE), IFERROR(VLOOKUP($A830,'Fusion ExDa'!$B$2:$D$16, 0,FALSE), IFERROR(VLOOKUP($A830,'Exetel ExDa'!$C$2:$N$14, 0,FALSE), IFERROR(VLOOKUP($A830,'Infinet ExDa'!$B$2:$E$14, 0,FALSE), "Not Found"))))))))</f>
        <v>Not Found</v>
      </c>
    </row>
    <row r="831" spans="1:14">
      <c r="A831" t="str">
        <v xml:space="preserve">	Red Roo Backup</v>
      </c>
      <c r="B831" t="str">
        <f>IFERROR(VLOOKUP(A831,'Exetel ExDa'!$C$2:$N$14,4,FALSE),"No Data")</f>
        <v>No Data</v>
      </c>
      <c r="C831" t="str">
        <f>IFERROR(VLOOKUP(A831,'AAPT ExDa'!$B$2:$U$99, 2,FALSE), IFERROR(VLOOKUP(A831,'ABB ExDa'!$A$2:$N$184, 2,FALSE), IFERROR(VLOOKUP(A831,'Vocus SIT ExDa'!$B$2:$J$173, 7,FALSE), IFERROR(VLOOKUP(A831,'Telstra ExDa'!$B$2:$K$310, 2,FALSE), IFERROR(VLOOKUP(A831,'Vocus RVC ExDa'!$C$2:$R$155, 3,FALSE), IFERROR(VLOOKUP(A831,'Fusion ExDa'!$B$2:$D$16, 2,FALSE), IFERROR(VLOOKUP(A831,'Exetel ExDa'!$C$2:$N$14, 2,FALSE), IFERROR(VLOOKUP(A831,'Infinet ExDa'!$B$2:$E$14, 2,FALSE), "Not Found"))))))))</f>
        <v>3 45 Kingtel  PL</v>
      </c>
      <c r="D831">
        <f>IFERROR(VLOOKUP($A831,'AAPT ExDa'!$B$2:$U$99, 15,FALSE), IFERROR(VLOOKUP($A831,'ABB ExDa'!$A$2:$N$184, 4,FALSE), IFERROR(VLOOKUP($A831,'Vocus SIT ExDa'!$B$2:$J$173, 5,FALSE), IFERROR(VLOOKUP($A831,'Telstra ExDa'!$B$2:$K$310, 8,FALSE), IFERROR(VLOOKUP($A831,'Vocus RVC ExDa'!$C$2:$R$155, 6,FALSE), IFERROR(VLOOKUP($A831,'Fusion ExDa'!$B$2:$D$16, 4,FALSE), IFERROR(VLOOKUP($A831,'Exetel ExDa'!$C$2:$N$14, 3,FALSE), IFERROR(VLOOKUP($A831,'Infinet ExDa'!$B$2:$E$14, 3,FALSE), "Not Found"))))))))</f>
        <v>4034</v>
      </c>
      <c r="E831" t="str">
        <f>IFERROR(VLOOKUP($A831,'AAPT ExDa'!$B$2:$U$99, 3,FALSE), IFERROR(VLOOKUP($A831,'ABB ExDa'!$A$2:$N$184, 5,FALSE), IFERROR(VLOOKUP($A831,'Vocus SIT ExDa'!$B$2:$J$173, 2,FALSE), IFERROR(VLOOKUP($A831,'Telstra ExDa'!$B$2:$K$310, 4,FALSE), IFERROR(VLOOKUP($A831,'Vocus RVC ExDa'!$C$2:$R$155, 8,FALSE), IFERROR(VLOOKUP($A831,'Fusion ExDa'!$B$2:$D$16, 4,FALSE), IFERROR(VLOOKUP($A831,'Exetel ExDa'!$C$2:$N$14, 5,FALSE), IFERROR(VLOOKUP($A831,'Infinet ExDa'!$B$2:$E$14, 3,FALSE), "Not Found"))))))))</f>
        <v>Mobile Service</v>
      </c>
      <c r="F831">
        <f>IFERROR(VLOOKUP($A831,'AAPT ExDa'!$B$2:$U$99, 4,FALSE), IFERROR(VLOOKUP($A831,'ABB ExDa'!$A$2:$N$184, 6,FALSE), IFERROR(VLOOKUP($A831,'Vocus SIT ExDa'!$B$2:$J$173, 3,FALSE), IFERROR(VLOOKUP($A831,'Telstra ExDa'!$B$2:$K$310, 5,FALSE), IFERROR(VLOOKUP($A831,'Vocus RVC ExDa'!$C$2:$R$155, 9,FALSE), IFERROR(VLOOKUP($A831,'Fusion ExDa'!$B$2:$D$16, 0,FALSE), IFERROR(VLOOKUP($A831,'Exetel ExDa'!$C$2:$N$14, 6,FALSE), IFERROR(VLOOKUP($A831,'Infinet ExDa'!$B$2:$E$14, 0,FALSE), "Not Found"))))))))</f>
        <v>45621</v>
      </c>
      <c r="G831">
        <f>IFERROR(VLOOKUP($A831,'AAPT ExDa'!$B$2:$U$99, 5,FALSE), IFERROR(VLOOKUP($A831,'ABB ExDa'!$A$2:$N$184, 8,FALSE), IFERROR(VLOOKUP($A831,'Vocus SIT ExDa'!$B$2:$J$173, 6,FALSE), IFERROR(VLOOKUP($A831,'Telstra ExDa'!$B$2:$K$310, 0,FALSE), IFERROR(VLOOKUP($A831,'Vocus RVC ExDa'!$C$2:$R$155, 15,FALSE), IFERROR(VLOOKUP($A831,'Fusion ExDa'!$B$2:$D$16, 0,FALSE), IFERROR(VLOOKUP($A831,'Exetel ExDa'!$C$2:$N$14, 7,FALSE), IFERROR(VLOOKUP($A831,'Infinet ExDa'!$B$2:$E$14, 0,FALSE), "Not Found"))))))))</f>
        <v>0</v>
      </c>
      <c r="H831">
        <f>IFERROR(VLOOKUP($A831,'AAPT ExDa'!$B$2:$U$99, 6,FALSE), IFERROR(VLOOKUP($A831,'ABB ExDa'!$A$2:$N$184, 0,FALSE), IFERROR(VLOOKUP($A831,'Vocus SIT ExDa'!$B$2:$J$173, 0,FALSE), IFERROR(VLOOKUP($A831,'Telstra ExDa'!$B$2:$K$310, 0,FALSE), IFERROR(VLOOKUP($A831,'Vocus RVC ExDa'!$C$2:$R$155, 16,FALSE), IFERROR(VLOOKUP($A831,'Fusion ExDa'!$B$2:$D$16, 0,FALSE), IFERROR(VLOOKUP($A831,'Exetel ExDa'!$C$2:$N$14, 0,FALSE), IFERROR(VLOOKUP($A831,'Infinet ExDa'!$B$2:$E$14, 0,FALSE), "Not Found"))))))))</f>
        <v>0</v>
      </c>
      <c r="I831" t="str">
        <f>IFERROR(VLOOKUP($A831,'AAPT ExDa'!$B$2:$U$99, 0,FALSE), IFERROR(VLOOKUP($A831,'ABB ExDa'!$A$2:$N$184, 0,FALSE), IFERROR(VLOOKUP($A831,'Vocus SIT ExDa'!$B$2:$J$173, 0,FALSE), IFERROR(VLOOKUP($A831,'Telstra ExDa'!$B$2:$K$310, 0,FALSE), IFERROR(VLOOKUP($A831,'Vocus RVC ExDa'!$C$2:$R$155, 0,FALSE), IFERROR(VLOOKUP($A831,'Fusion ExDa'!$B$2:$D$16, 0,FALSE), IFERROR(VLOOKUP($A831,'Exetel ExDa'!$C$2:$N$14, 8,FALSE), IFERROR(VLOOKUP($A831,'Infinet ExDa'!$B$2:$E$14, 0,FALSE), "Not Found"))))))))</f>
        <v>Not Found</v>
      </c>
      <c r="J831">
        <f>IFERROR(VLOOKUP($A831,'AAPT ExDa'!$B$2:$U$99, 7,FALSE), IFERROR(VLOOKUP($A831,'ABB ExDa'!$A$2:$N$184, 2,FALSE), IFERROR(VLOOKUP($A831,'Vocus SIT ExDa'!$B$2:$J$173, 0,FALSE), IFERROR(VLOOKUP($A831,'Telstra ExDa'!$B$2:$K$310, 7,FALSE), IFERROR(VLOOKUP($A831,'Vocus RVC ExDa'!$C$2:$R$155, 2,FALSE), IFERROR(VLOOKUP($A831,'Fusion ExDa'!$B$2:$D$16, 3,FALSE), IFERROR(VLOOKUP($A831,'Exetel ExDa'!$C$2:$N$14, 0,FALSE), IFERROR(VLOOKUP($A831,'Infinet ExDa'!$B$2:$E$14, 0,FALSE), "Not Found"))))))))</f>
        <v>0</v>
      </c>
      <c r="K831" t="str">
        <f>IFERROR(VLOOKUP($A831,'AAPT ExDa'!$B$2:$U$99, 12,FALSE), IFERROR(VLOOKUP($A831,'ABB ExDa'!$A$2:$N$184, 0,FALSE), IFERROR(VLOOKUP($A831,'Vocus SIT ExDa'!$B$2:$J$173, 0,FALSE), IFERROR(VLOOKUP($A831,'Telstra ExDa'!$B$2:$K$310, 0,FALSE), IFERROR(VLOOKUP($A831,'Vocus RVC ExDa'!$C$2:$R$155, 0,FALSE), IFERROR(VLOOKUP($A831,'Fusion ExDa'!$B$2:$D$16, 0,FALSE), IFERROR(VLOOKUP($A831,'Exetel ExDa'!$C$2:$N$14, 12,FALSE), IFERROR(VLOOKUP($A831,'Infinet ExDa'!$B$2:$E$14, 0,FALSE), "Not Found"))))))))</f>
        <v>Not Found</v>
      </c>
      <c r="L831" s="235" t="str">
        <f>IFERROR(VLOOKUP($A831,'AAPT ExDa'!$B$2:$U$99, 11,FALSE), IFERROR(VLOOKUP($A831,'ABB ExDa'!$A$2:$N$184, 9,FALSE), IFERROR(VLOOKUP($A831,'Vocus SIT ExDa'!$B$2:$J$173, 8,FALSE), IFERROR(VLOOKUP($A831,'Telstra ExDa'!$B$2:$K$310, 0,FALSE), IFERROR(VLOOKUP($A831,'Vocus RVC ExDa'!$C$2:$R$155, 0,FALSE), IFERROR(VLOOKUP($A831,'Fusion ExDa'!$B$2:$D$16, 0,FALSE), IFERROR(VLOOKUP($A831,'Exetel ExDa'!$C$2:$N$14, 9,FALSE), IFERROR(VLOOKUP($A831,'Infinet ExDa'!$B$2:$E$14, 0,FALSE), "Not Found"))))))))</f>
        <v>Not Found</v>
      </c>
      <c r="M831" s="234" t="str">
        <f>IFERROR(VLOOKUP($A831,'AAPT ExDa'!$B$2:$U$99, 0,FALSE), IFERROR(VLOOKUP($A831,'ABB ExDa'!$A$2:$N$184, 0,FALSE), IFERROR(VLOOKUP($A831,'Vocus SIT ExDa'!$B$2:$J$173, 0,FALSE), IFERROR(VLOOKUP($A831,'Telstra ExDa'!$B$2:$K$310, 0,FALSE), IFERROR(VLOOKUP($A831,'Vocus RVC ExDa'!$C$2:$R$155, 0,FALSE), IFERROR(VLOOKUP($A831,'Fusion ExDa'!$B$2:$D$16, 0,FALSE), IFERROR(VLOOKUP($A831,'Exetel ExDa'!$C$2:$N$14, 11,FALSE), IFERROR(VLOOKUP($A831,'Infinet ExDa'!$B$2:$E$14, 0,FALSE), "Not Found"))))))))</f>
        <v>Not Found</v>
      </c>
      <c r="N831" t="str">
        <f>IFERROR(VLOOKUP($A831,'AAPT ExDa'!$B$2:$U$99, 0,FALSE), IFERROR(VLOOKUP($A831,'ABB ExDa'!$A$2:$N$184, 13,FALSE), IFERROR(VLOOKUP($A831,'Vocus SIT ExDa'!$B$2:$J$173, 0,FALSE), IFERROR(VLOOKUP($A831,'Telstra ExDa'!$B$2:$K$310, 0,FALSE), IFERROR(VLOOKUP($A831,'Vocus RVC ExDa'!$C$2:$R$155, 0,FALSE), IFERROR(VLOOKUP($A831,'Fusion ExDa'!$B$2:$D$16, 0,FALSE), IFERROR(VLOOKUP($A831,'Exetel ExDa'!$C$2:$N$14, 0,FALSE), IFERROR(VLOOKUP($A831,'Infinet ExDa'!$B$2:$E$14, 0,FALSE), "Not Found"))))))))</f>
        <v>Not Found</v>
      </c>
    </row>
    <row r="832" spans="1:14">
      <c r="A832" t="str">
        <v>Signs ETC</v>
      </c>
      <c r="B832" t="str">
        <f>IFERROR(VLOOKUP(A832,'Exetel ExDa'!$C$2:$N$14,4,FALSE),"No Data")</f>
        <v>No Data</v>
      </c>
      <c r="C832" t="str">
        <f>IFERROR(VLOOKUP(A832,'AAPT ExDa'!$B$2:$U$99, 2,FALSE), IFERROR(VLOOKUP(A832,'ABB ExDa'!$A$2:$N$184, 2,FALSE), IFERROR(VLOOKUP(A832,'Vocus SIT ExDa'!$B$2:$J$173, 7,FALSE), IFERROR(VLOOKUP(A832,'Telstra ExDa'!$B$2:$K$310, 2,FALSE), IFERROR(VLOOKUP(A832,'Vocus RVC ExDa'!$C$2:$R$155, 3,FALSE), IFERROR(VLOOKUP(A832,'Fusion ExDa'!$B$2:$D$16, 2,FALSE), IFERROR(VLOOKUP(A832,'Exetel ExDa'!$C$2:$N$14, 2,FALSE), IFERROR(VLOOKUP(A832,'Infinet ExDa'!$B$2:$E$14, 2,FALSE), "Not Found"))))))))</f>
        <v>12 Horizon DR</v>
      </c>
      <c r="D832">
        <f>IFERROR(VLOOKUP($A832,'AAPT ExDa'!$B$2:$U$99, 15,FALSE), IFERROR(VLOOKUP($A832,'ABB ExDa'!$A$2:$N$184, 4,FALSE), IFERROR(VLOOKUP($A832,'Vocus SIT ExDa'!$B$2:$J$173, 5,FALSE), IFERROR(VLOOKUP($A832,'Telstra ExDa'!$B$2:$K$310, 8,FALSE), IFERROR(VLOOKUP($A832,'Vocus RVC ExDa'!$C$2:$R$155, 6,FALSE), IFERROR(VLOOKUP($A832,'Fusion ExDa'!$B$2:$D$16, 4,FALSE), IFERROR(VLOOKUP($A832,'Exetel ExDa'!$C$2:$N$14, 3,FALSE), IFERROR(VLOOKUP($A832,'Infinet ExDa'!$B$2:$E$14, 3,FALSE), "Not Found"))))))))</f>
        <v>4207</v>
      </c>
      <c r="E832" t="str">
        <f>IFERROR(VLOOKUP($A832,'AAPT ExDa'!$B$2:$U$99, 3,FALSE), IFERROR(VLOOKUP($A832,'ABB ExDa'!$A$2:$N$184, 5,FALSE), IFERROR(VLOOKUP($A832,'Vocus SIT ExDa'!$B$2:$J$173, 2,FALSE), IFERROR(VLOOKUP($A832,'Telstra ExDa'!$B$2:$K$310, 4,FALSE), IFERROR(VLOOKUP($A832,'Vocus RVC ExDa'!$C$2:$R$155, 8,FALSE), IFERROR(VLOOKUP($A832,'Fusion ExDa'!$B$2:$D$16, 4,FALSE), IFERROR(VLOOKUP($A832,'Exetel ExDa'!$C$2:$N$14, 5,FALSE), IFERROR(VLOOKUP($A832,'Infinet ExDa'!$B$2:$E$14, 3,FALSE), "Not Found"))))))))</f>
        <v>Mobile Service</v>
      </c>
      <c r="F832">
        <f>IFERROR(VLOOKUP($A832,'AAPT ExDa'!$B$2:$U$99, 4,FALSE), IFERROR(VLOOKUP($A832,'ABB ExDa'!$A$2:$N$184, 6,FALSE), IFERROR(VLOOKUP($A832,'Vocus SIT ExDa'!$B$2:$J$173, 3,FALSE), IFERROR(VLOOKUP($A832,'Telstra ExDa'!$B$2:$K$310, 5,FALSE), IFERROR(VLOOKUP($A832,'Vocus RVC ExDa'!$C$2:$R$155, 9,FALSE), IFERROR(VLOOKUP($A832,'Fusion ExDa'!$B$2:$D$16, 0,FALSE), IFERROR(VLOOKUP($A832,'Exetel ExDa'!$C$2:$N$14, 6,FALSE), IFERROR(VLOOKUP($A832,'Infinet ExDa'!$B$2:$E$14, 0,FALSE), "Not Found"))))))))</f>
        <v>45628</v>
      </c>
      <c r="G832">
        <f>IFERROR(VLOOKUP($A832,'AAPT ExDa'!$B$2:$U$99, 5,FALSE), IFERROR(VLOOKUP($A832,'ABB ExDa'!$A$2:$N$184, 8,FALSE), IFERROR(VLOOKUP($A832,'Vocus SIT ExDa'!$B$2:$J$173, 6,FALSE), IFERROR(VLOOKUP($A832,'Telstra ExDa'!$B$2:$K$310, 0,FALSE), IFERROR(VLOOKUP($A832,'Vocus RVC ExDa'!$C$2:$R$155, 15,FALSE), IFERROR(VLOOKUP($A832,'Fusion ExDa'!$B$2:$D$16, 0,FALSE), IFERROR(VLOOKUP($A832,'Exetel ExDa'!$C$2:$N$14, 7,FALSE), IFERROR(VLOOKUP($A832,'Infinet ExDa'!$B$2:$E$14, 0,FALSE), "Not Found"))))))))</f>
        <v>0</v>
      </c>
      <c r="H832">
        <f>IFERROR(VLOOKUP($A832,'AAPT ExDa'!$B$2:$U$99, 6,FALSE), IFERROR(VLOOKUP($A832,'ABB ExDa'!$A$2:$N$184, 0,FALSE), IFERROR(VLOOKUP($A832,'Vocus SIT ExDa'!$B$2:$J$173, 0,FALSE), IFERROR(VLOOKUP($A832,'Telstra ExDa'!$B$2:$K$310, 0,FALSE), IFERROR(VLOOKUP($A832,'Vocus RVC ExDa'!$C$2:$R$155, 16,FALSE), IFERROR(VLOOKUP($A832,'Fusion ExDa'!$B$2:$D$16, 0,FALSE), IFERROR(VLOOKUP($A832,'Exetel ExDa'!$C$2:$N$14, 0,FALSE), IFERROR(VLOOKUP($A832,'Infinet ExDa'!$B$2:$E$14, 0,FALSE), "Not Found"))))))))</f>
        <v>0</v>
      </c>
      <c r="I832" t="str">
        <f>IFERROR(VLOOKUP($A832,'AAPT ExDa'!$B$2:$U$99, 0,FALSE), IFERROR(VLOOKUP($A832,'ABB ExDa'!$A$2:$N$184, 0,FALSE), IFERROR(VLOOKUP($A832,'Vocus SIT ExDa'!$B$2:$J$173, 0,FALSE), IFERROR(VLOOKUP($A832,'Telstra ExDa'!$B$2:$K$310, 0,FALSE), IFERROR(VLOOKUP($A832,'Vocus RVC ExDa'!$C$2:$R$155, 0,FALSE), IFERROR(VLOOKUP($A832,'Fusion ExDa'!$B$2:$D$16, 0,FALSE), IFERROR(VLOOKUP($A832,'Exetel ExDa'!$C$2:$N$14, 8,FALSE), IFERROR(VLOOKUP($A832,'Infinet ExDa'!$B$2:$E$14, 0,FALSE), "Not Found"))))))))</f>
        <v>Not Found</v>
      </c>
      <c r="J832">
        <f>IFERROR(VLOOKUP($A832,'AAPT ExDa'!$B$2:$U$99, 7,FALSE), IFERROR(VLOOKUP($A832,'ABB ExDa'!$A$2:$N$184, 2,FALSE), IFERROR(VLOOKUP($A832,'Vocus SIT ExDa'!$B$2:$J$173, 0,FALSE), IFERROR(VLOOKUP($A832,'Telstra ExDa'!$B$2:$K$310, 7,FALSE), IFERROR(VLOOKUP($A832,'Vocus RVC ExDa'!$C$2:$R$155, 2,FALSE), IFERROR(VLOOKUP($A832,'Fusion ExDa'!$B$2:$D$16, 3,FALSE), IFERROR(VLOOKUP($A832,'Exetel ExDa'!$C$2:$N$14, 0,FALSE), IFERROR(VLOOKUP($A832,'Infinet ExDa'!$B$2:$E$14, 0,FALSE), "Not Found"))))))))</f>
        <v>0</v>
      </c>
      <c r="K832" t="str">
        <f>IFERROR(VLOOKUP($A832,'AAPT ExDa'!$B$2:$U$99, 12,FALSE), IFERROR(VLOOKUP($A832,'ABB ExDa'!$A$2:$N$184, 0,FALSE), IFERROR(VLOOKUP($A832,'Vocus SIT ExDa'!$B$2:$J$173, 0,FALSE), IFERROR(VLOOKUP($A832,'Telstra ExDa'!$B$2:$K$310, 0,FALSE), IFERROR(VLOOKUP($A832,'Vocus RVC ExDa'!$C$2:$R$155, 0,FALSE), IFERROR(VLOOKUP($A832,'Fusion ExDa'!$B$2:$D$16, 0,FALSE), IFERROR(VLOOKUP($A832,'Exetel ExDa'!$C$2:$N$14, 12,FALSE), IFERROR(VLOOKUP($A832,'Infinet ExDa'!$B$2:$E$14, 0,FALSE), "Not Found"))))))))</f>
        <v>Not Found</v>
      </c>
      <c r="L832" s="235" t="str">
        <f>IFERROR(VLOOKUP($A832,'AAPT ExDa'!$B$2:$U$99, 11,FALSE), IFERROR(VLOOKUP($A832,'ABB ExDa'!$A$2:$N$184, 9,FALSE), IFERROR(VLOOKUP($A832,'Vocus SIT ExDa'!$B$2:$J$173, 8,FALSE), IFERROR(VLOOKUP($A832,'Telstra ExDa'!$B$2:$K$310, 0,FALSE), IFERROR(VLOOKUP($A832,'Vocus RVC ExDa'!$C$2:$R$155, 0,FALSE), IFERROR(VLOOKUP($A832,'Fusion ExDa'!$B$2:$D$16, 0,FALSE), IFERROR(VLOOKUP($A832,'Exetel ExDa'!$C$2:$N$14, 9,FALSE), IFERROR(VLOOKUP($A832,'Infinet ExDa'!$B$2:$E$14, 0,FALSE), "Not Found"))))))))</f>
        <v>Not Found</v>
      </c>
      <c r="M832" s="234" t="str">
        <f>IFERROR(VLOOKUP($A832,'AAPT ExDa'!$B$2:$U$99, 0,FALSE), IFERROR(VLOOKUP($A832,'ABB ExDa'!$A$2:$N$184, 0,FALSE), IFERROR(VLOOKUP($A832,'Vocus SIT ExDa'!$B$2:$J$173, 0,FALSE), IFERROR(VLOOKUP($A832,'Telstra ExDa'!$B$2:$K$310, 0,FALSE), IFERROR(VLOOKUP($A832,'Vocus RVC ExDa'!$C$2:$R$155, 0,FALSE), IFERROR(VLOOKUP($A832,'Fusion ExDa'!$B$2:$D$16, 0,FALSE), IFERROR(VLOOKUP($A832,'Exetel ExDa'!$C$2:$N$14, 11,FALSE), IFERROR(VLOOKUP($A832,'Infinet ExDa'!$B$2:$E$14, 0,FALSE), "Not Found"))))))))</f>
        <v>Not Found</v>
      </c>
      <c r="N832" t="str">
        <f>IFERROR(VLOOKUP($A832,'AAPT ExDa'!$B$2:$U$99, 0,FALSE), IFERROR(VLOOKUP($A832,'ABB ExDa'!$A$2:$N$184, 13,FALSE), IFERROR(VLOOKUP($A832,'Vocus SIT ExDa'!$B$2:$J$173, 0,FALSE), IFERROR(VLOOKUP($A832,'Telstra ExDa'!$B$2:$K$310, 0,FALSE), IFERROR(VLOOKUP($A832,'Vocus RVC ExDa'!$C$2:$R$155, 0,FALSE), IFERROR(VLOOKUP($A832,'Fusion ExDa'!$B$2:$D$16, 0,FALSE), IFERROR(VLOOKUP($A832,'Exetel ExDa'!$C$2:$N$14, 0,FALSE), IFERROR(VLOOKUP($A832,'Infinet ExDa'!$B$2:$E$14, 0,FALSE), "Not Found"))))))))</f>
        <v>Not Found</v>
      </c>
    </row>
    <row r="833" spans="1:14">
      <c r="A833" t="str">
        <v xml:space="preserve">	Zambrero Caroline Springs</v>
      </c>
      <c r="B833" t="str">
        <f>IFERROR(VLOOKUP(A833,'Exetel ExDa'!$C$2:$N$14,4,FALSE),"No Data")</f>
        <v>No Data</v>
      </c>
      <c r="C833" t="str">
        <f>IFERROR(VLOOKUP(A833,'AAPT ExDa'!$B$2:$U$99, 2,FALSE), IFERROR(VLOOKUP(A833,'ABB ExDa'!$A$2:$N$184, 2,FALSE), IFERROR(VLOOKUP(A833,'Vocus SIT ExDa'!$B$2:$J$173, 7,FALSE), IFERROR(VLOOKUP(A833,'Telstra ExDa'!$B$2:$K$310, 2,FALSE), IFERROR(VLOOKUP(A833,'Vocus RVC ExDa'!$C$2:$R$155, 3,FALSE), IFERROR(VLOOKUP(A833,'Fusion ExDa'!$B$2:$D$16, 2,FALSE), IFERROR(VLOOKUP(A833,'Exetel ExDa'!$C$2:$N$14, 2,FALSE), IFERROR(VLOOKUP(A833,'Infinet ExDa'!$B$2:$E$14, 2,FALSE), "Not Found"))))))))</f>
        <v>11 13 Lake ST</v>
      </c>
      <c r="D833">
        <f>IFERROR(VLOOKUP($A833,'AAPT ExDa'!$B$2:$U$99, 15,FALSE), IFERROR(VLOOKUP($A833,'ABB ExDa'!$A$2:$N$184, 4,FALSE), IFERROR(VLOOKUP($A833,'Vocus SIT ExDa'!$B$2:$J$173, 5,FALSE), IFERROR(VLOOKUP($A833,'Telstra ExDa'!$B$2:$K$310, 8,FALSE), IFERROR(VLOOKUP($A833,'Vocus RVC ExDa'!$C$2:$R$155, 6,FALSE), IFERROR(VLOOKUP($A833,'Fusion ExDa'!$B$2:$D$16, 4,FALSE), IFERROR(VLOOKUP($A833,'Exetel ExDa'!$C$2:$N$14, 3,FALSE), IFERROR(VLOOKUP($A833,'Infinet ExDa'!$B$2:$E$14, 3,FALSE), "Not Found"))))))))</f>
        <v>3023</v>
      </c>
      <c r="E833" t="str">
        <f>IFERROR(VLOOKUP($A833,'AAPT ExDa'!$B$2:$U$99, 3,FALSE), IFERROR(VLOOKUP($A833,'ABB ExDa'!$A$2:$N$184, 5,FALSE), IFERROR(VLOOKUP($A833,'Vocus SIT ExDa'!$B$2:$J$173, 2,FALSE), IFERROR(VLOOKUP($A833,'Telstra ExDa'!$B$2:$K$310, 4,FALSE), IFERROR(VLOOKUP($A833,'Vocus RVC ExDa'!$C$2:$R$155, 8,FALSE), IFERROR(VLOOKUP($A833,'Fusion ExDa'!$B$2:$D$16, 4,FALSE), IFERROR(VLOOKUP($A833,'Exetel ExDa'!$C$2:$N$14, 5,FALSE), IFERROR(VLOOKUP($A833,'Infinet ExDa'!$B$2:$E$14, 3,FALSE), "Not Found"))))))))</f>
        <v>Mobile Service</v>
      </c>
      <c r="F833">
        <f>IFERROR(VLOOKUP($A833,'AAPT ExDa'!$B$2:$U$99, 4,FALSE), IFERROR(VLOOKUP($A833,'ABB ExDa'!$A$2:$N$184, 6,FALSE), IFERROR(VLOOKUP($A833,'Vocus SIT ExDa'!$B$2:$J$173, 3,FALSE), IFERROR(VLOOKUP($A833,'Telstra ExDa'!$B$2:$K$310, 5,FALSE), IFERROR(VLOOKUP($A833,'Vocus RVC ExDa'!$C$2:$R$155, 9,FALSE), IFERROR(VLOOKUP($A833,'Fusion ExDa'!$B$2:$D$16, 0,FALSE), IFERROR(VLOOKUP($A833,'Exetel ExDa'!$C$2:$N$14, 6,FALSE), IFERROR(VLOOKUP($A833,'Infinet ExDa'!$B$2:$E$14, 0,FALSE), "Not Found"))))))))</f>
        <v>45630</v>
      </c>
      <c r="G833">
        <f>IFERROR(VLOOKUP($A833,'AAPT ExDa'!$B$2:$U$99, 5,FALSE), IFERROR(VLOOKUP($A833,'ABB ExDa'!$A$2:$N$184, 8,FALSE), IFERROR(VLOOKUP($A833,'Vocus SIT ExDa'!$B$2:$J$173, 6,FALSE), IFERROR(VLOOKUP($A833,'Telstra ExDa'!$B$2:$K$310, 0,FALSE), IFERROR(VLOOKUP($A833,'Vocus RVC ExDa'!$C$2:$R$155, 15,FALSE), IFERROR(VLOOKUP($A833,'Fusion ExDa'!$B$2:$D$16, 0,FALSE), IFERROR(VLOOKUP($A833,'Exetel ExDa'!$C$2:$N$14, 7,FALSE), IFERROR(VLOOKUP($A833,'Infinet ExDa'!$B$2:$E$14, 0,FALSE), "Not Found"))))))))</f>
        <v>0</v>
      </c>
      <c r="H833">
        <f>IFERROR(VLOOKUP($A833,'AAPT ExDa'!$B$2:$U$99, 6,FALSE), IFERROR(VLOOKUP($A833,'ABB ExDa'!$A$2:$N$184, 0,FALSE), IFERROR(VLOOKUP($A833,'Vocus SIT ExDa'!$B$2:$J$173, 0,FALSE), IFERROR(VLOOKUP($A833,'Telstra ExDa'!$B$2:$K$310, 0,FALSE), IFERROR(VLOOKUP($A833,'Vocus RVC ExDa'!$C$2:$R$155, 16,FALSE), IFERROR(VLOOKUP($A833,'Fusion ExDa'!$B$2:$D$16, 0,FALSE), IFERROR(VLOOKUP($A833,'Exetel ExDa'!$C$2:$N$14, 0,FALSE), IFERROR(VLOOKUP($A833,'Infinet ExDa'!$B$2:$E$14, 0,FALSE), "Not Found"))))))))</f>
        <v>0</v>
      </c>
      <c r="I833" t="str">
        <f>IFERROR(VLOOKUP($A833,'AAPT ExDa'!$B$2:$U$99, 0,FALSE), IFERROR(VLOOKUP($A833,'ABB ExDa'!$A$2:$N$184, 0,FALSE), IFERROR(VLOOKUP($A833,'Vocus SIT ExDa'!$B$2:$J$173, 0,FALSE), IFERROR(VLOOKUP($A833,'Telstra ExDa'!$B$2:$K$310, 0,FALSE), IFERROR(VLOOKUP($A833,'Vocus RVC ExDa'!$C$2:$R$155, 0,FALSE), IFERROR(VLOOKUP($A833,'Fusion ExDa'!$B$2:$D$16, 0,FALSE), IFERROR(VLOOKUP($A833,'Exetel ExDa'!$C$2:$N$14, 8,FALSE), IFERROR(VLOOKUP($A833,'Infinet ExDa'!$B$2:$E$14, 0,FALSE), "Not Found"))))))))</f>
        <v>Not Found</v>
      </c>
      <c r="J833">
        <f>IFERROR(VLOOKUP($A833,'AAPT ExDa'!$B$2:$U$99, 7,FALSE), IFERROR(VLOOKUP($A833,'ABB ExDa'!$A$2:$N$184, 2,FALSE), IFERROR(VLOOKUP($A833,'Vocus SIT ExDa'!$B$2:$J$173, 0,FALSE), IFERROR(VLOOKUP($A833,'Telstra ExDa'!$B$2:$K$310, 7,FALSE), IFERROR(VLOOKUP($A833,'Vocus RVC ExDa'!$C$2:$R$155, 2,FALSE), IFERROR(VLOOKUP($A833,'Fusion ExDa'!$B$2:$D$16, 3,FALSE), IFERROR(VLOOKUP($A833,'Exetel ExDa'!$C$2:$N$14, 0,FALSE), IFERROR(VLOOKUP($A833,'Infinet ExDa'!$B$2:$E$14, 0,FALSE), "Not Found"))))))))</f>
        <v>0</v>
      </c>
      <c r="K833" t="str">
        <f>IFERROR(VLOOKUP($A833,'AAPT ExDa'!$B$2:$U$99, 12,FALSE), IFERROR(VLOOKUP($A833,'ABB ExDa'!$A$2:$N$184, 0,FALSE), IFERROR(VLOOKUP($A833,'Vocus SIT ExDa'!$B$2:$J$173, 0,FALSE), IFERROR(VLOOKUP($A833,'Telstra ExDa'!$B$2:$K$310, 0,FALSE), IFERROR(VLOOKUP($A833,'Vocus RVC ExDa'!$C$2:$R$155, 0,FALSE), IFERROR(VLOOKUP($A833,'Fusion ExDa'!$B$2:$D$16, 0,FALSE), IFERROR(VLOOKUP($A833,'Exetel ExDa'!$C$2:$N$14, 12,FALSE), IFERROR(VLOOKUP($A833,'Infinet ExDa'!$B$2:$E$14, 0,FALSE), "Not Found"))))))))</f>
        <v>Not Found</v>
      </c>
      <c r="L833" s="235" t="str">
        <f>IFERROR(VLOOKUP($A833,'AAPT ExDa'!$B$2:$U$99, 11,FALSE), IFERROR(VLOOKUP($A833,'ABB ExDa'!$A$2:$N$184, 9,FALSE), IFERROR(VLOOKUP($A833,'Vocus SIT ExDa'!$B$2:$J$173, 8,FALSE), IFERROR(VLOOKUP($A833,'Telstra ExDa'!$B$2:$K$310, 0,FALSE), IFERROR(VLOOKUP($A833,'Vocus RVC ExDa'!$C$2:$R$155, 0,FALSE), IFERROR(VLOOKUP($A833,'Fusion ExDa'!$B$2:$D$16, 0,FALSE), IFERROR(VLOOKUP($A833,'Exetel ExDa'!$C$2:$N$14, 9,FALSE), IFERROR(VLOOKUP($A833,'Infinet ExDa'!$B$2:$E$14, 0,FALSE), "Not Found"))))))))</f>
        <v>Not Found</v>
      </c>
      <c r="M833" s="234" t="str">
        <f>IFERROR(VLOOKUP($A833,'AAPT ExDa'!$B$2:$U$99, 0,FALSE), IFERROR(VLOOKUP($A833,'ABB ExDa'!$A$2:$N$184, 0,FALSE), IFERROR(VLOOKUP($A833,'Vocus SIT ExDa'!$B$2:$J$173, 0,FALSE), IFERROR(VLOOKUP($A833,'Telstra ExDa'!$B$2:$K$310, 0,FALSE), IFERROR(VLOOKUP($A833,'Vocus RVC ExDa'!$C$2:$R$155, 0,FALSE), IFERROR(VLOOKUP($A833,'Fusion ExDa'!$B$2:$D$16, 0,FALSE), IFERROR(VLOOKUP($A833,'Exetel ExDa'!$C$2:$N$14, 11,FALSE), IFERROR(VLOOKUP($A833,'Infinet ExDa'!$B$2:$E$14, 0,FALSE), "Not Found"))))))))</f>
        <v>Not Found</v>
      </c>
      <c r="N833" t="str">
        <f>IFERROR(VLOOKUP($A833,'AAPT ExDa'!$B$2:$U$99, 0,FALSE), IFERROR(VLOOKUP($A833,'ABB ExDa'!$A$2:$N$184, 13,FALSE), IFERROR(VLOOKUP($A833,'Vocus SIT ExDa'!$B$2:$J$173, 0,FALSE), IFERROR(VLOOKUP($A833,'Telstra ExDa'!$B$2:$K$310, 0,FALSE), IFERROR(VLOOKUP($A833,'Vocus RVC ExDa'!$C$2:$R$155, 0,FALSE), IFERROR(VLOOKUP($A833,'Fusion ExDa'!$B$2:$D$16, 0,FALSE), IFERROR(VLOOKUP($A833,'Exetel ExDa'!$C$2:$N$14, 0,FALSE), IFERROR(VLOOKUP($A833,'Infinet ExDa'!$B$2:$E$14, 0,FALSE), "Not Found"))))))))</f>
        <v>Not Found</v>
      </c>
    </row>
    <row r="834" spans="1:14">
      <c r="A834" t="str">
        <v>Nodo Fortitude Valley</v>
      </c>
      <c r="B834" t="str">
        <f>IFERROR(VLOOKUP(A834,'Exetel ExDa'!$C$2:$N$14,4,FALSE),"No Data")</f>
        <v>No Data</v>
      </c>
      <c r="C834" t="str">
        <f>IFERROR(VLOOKUP(A834,'AAPT ExDa'!$B$2:$U$99, 2,FALSE), IFERROR(VLOOKUP(A834,'ABB ExDa'!$A$2:$N$184, 2,FALSE), IFERROR(VLOOKUP(A834,'Vocus SIT ExDa'!$B$2:$J$173, 7,FALSE), IFERROR(VLOOKUP(A834,'Telstra ExDa'!$B$2:$K$310, 2,FALSE), IFERROR(VLOOKUP(A834,'Vocus RVC ExDa'!$C$2:$R$155, 3,FALSE), IFERROR(VLOOKUP(A834,'Fusion ExDa'!$B$2:$D$16, 2,FALSE), IFERROR(VLOOKUP(A834,'Exetel ExDa'!$C$2:$N$14, 2,FALSE), IFERROR(VLOOKUP(A834,'Infinet ExDa'!$B$2:$E$14, 2,FALSE), "Not Found"))))))))</f>
        <v>2 26 Wandoo  ST</v>
      </c>
      <c r="D834">
        <f>IFERROR(VLOOKUP($A834,'AAPT ExDa'!$B$2:$U$99, 15,FALSE), IFERROR(VLOOKUP($A834,'ABB ExDa'!$A$2:$N$184, 4,FALSE), IFERROR(VLOOKUP($A834,'Vocus SIT ExDa'!$B$2:$J$173, 5,FALSE), IFERROR(VLOOKUP($A834,'Telstra ExDa'!$B$2:$K$310, 8,FALSE), IFERROR(VLOOKUP($A834,'Vocus RVC ExDa'!$C$2:$R$155, 6,FALSE), IFERROR(VLOOKUP($A834,'Fusion ExDa'!$B$2:$D$16, 4,FALSE), IFERROR(VLOOKUP($A834,'Exetel ExDa'!$C$2:$N$14, 3,FALSE), IFERROR(VLOOKUP($A834,'Infinet ExDa'!$B$2:$E$14, 3,FALSE), "Not Found"))))))))</f>
        <v>4006</v>
      </c>
      <c r="E834" t="str">
        <f>IFERROR(VLOOKUP($A834,'AAPT ExDa'!$B$2:$U$99, 3,FALSE), IFERROR(VLOOKUP($A834,'ABB ExDa'!$A$2:$N$184, 5,FALSE), IFERROR(VLOOKUP($A834,'Vocus SIT ExDa'!$B$2:$J$173, 2,FALSE), IFERROR(VLOOKUP($A834,'Telstra ExDa'!$B$2:$K$310, 4,FALSE), IFERROR(VLOOKUP($A834,'Vocus RVC ExDa'!$C$2:$R$155, 8,FALSE), IFERROR(VLOOKUP($A834,'Fusion ExDa'!$B$2:$D$16, 4,FALSE), IFERROR(VLOOKUP($A834,'Exetel ExDa'!$C$2:$N$14, 5,FALSE), IFERROR(VLOOKUP($A834,'Infinet ExDa'!$B$2:$E$14, 3,FALSE), "Not Found"))))))))</f>
        <v>Mobile Service</v>
      </c>
      <c r="F834">
        <f>IFERROR(VLOOKUP($A834,'AAPT ExDa'!$B$2:$U$99, 4,FALSE), IFERROR(VLOOKUP($A834,'ABB ExDa'!$A$2:$N$184, 6,FALSE), IFERROR(VLOOKUP($A834,'Vocus SIT ExDa'!$B$2:$J$173, 3,FALSE), IFERROR(VLOOKUP($A834,'Telstra ExDa'!$B$2:$K$310, 5,FALSE), IFERROR(VLOOKUP($A834,'Vocus RVC ExDa'!$C$2:$R$155, 9,FALSE), IFERROR(VLOOKUP($A834,'Fusion ExDa'!$B$2:$D$16, 0,FALSE), IFERROR(VLOOKUP($A834,'Exetel ExDa'!$C$2:$N$14, 6,FALSE), IFERROR(VLOOKUP($A834,'Infinet ExDa'!$B$2:$E$14, 0,FALSE), "Not Found"))))))))</f>
        <v>45631</v>
      </c>
      <c r="G834">
        <f>IFERROR(VLOOKUP($A834,'AAPT ExDa'!$B$2:$U$99, 5,FALSE), IFERROR(VLOOKUP($A834,'ABB ExDa'!$A$2:$N$184, 8,FALSE), IFERROR(VLOOKUP($A834,'Vocus SIT ExDa'!$B$2:$J$173, 6,FALSE), IFERROR(VLOOKUP($A834,'Telstra ExDa'!$B$2:$K$310, 0,FALSE), IFERROR(VLOOKUP($A834,'Vocus RVC ExDa'!$C$2:$R$155, 15,FALSE), IFERROR(VLOOKUP($A834,'Fusion ExDa'!$B$2:$D$16, 0,FALSE), IFERROR(VLOOKUP($A834,'Exetel ExDa'!$C$2:$N$14, 7,FALSE), IFERROR(VLOOKUP($A834,'Infinet ExDa'!$B$2:$E$14, 0,FALSE), "Not Found"))))))))</f>
        <v>0</v>
      </c>
      <c r="H834">
        <f>IFERROR(VLOOKUP($A834,'AAPT ExDa'!$B$2:$U$99, 6,FALSE), IFERROR(VLOOKUP($A834,'ABB ExDa'!$A$2:$N$184, 0,FALSE), IFERROR(VLOOKUP($A834,'Vocus SIT ExDa'!$B$2:$J$173, 0,FALSE), IFERROR(VLOOKUP($A834,'Telstra ExDa'!$B$2:$K$310, 0,FALSE), IFERROR(VLOOKUP($A834,'Vocus RVC ExDa'!$C$2:$R$155, 16,FALSE), IFERROR(VLOOKUP($A834,'Fusion ExDa'!$B$2:$D$16, 0,FALSE), IFERROR(VLOOKUP($A834,'Exetel ExDa'!$C$2:$N$14, 0,FALSE), IFERROR(VLOOKUP($A834,'Infinet ExDa'!$B$2:$E$14, 0,FALSE), "Not Found"))))))))</f>
        <v>0</v>
      </c>
      <c r="I834" t="str">
        <f>IFERROR(VLOOKUP($A834,'AAPT ExDa'!$B$2:$U$99, 0,FALSE), IFERROR(VLOOKUP($A834,'ABB ExDa'!$A$2:$N$184, 0,FALSE), IFERROR(VLOOKUP($A834,'Vocus SIT ExDa'!$B$2:$J$173, 0,FALSE), IFERROR(VLOOKUP($A834,'Telstra ExDa'!$B$2:$K$310, 0,FALSE), IFERROR(VLOOKUP($A834,'Vocus RVC ExDa'!$C$2:$R$155, 0,FALSE), IFERROR(VLOOKUP($A834,'Fusion ExDa'!$B$2:$D$16, 0,FALSE), IFERROR(VLOOKUP($A834,'Exetel ExDa'!$C$2:$N$14, 8,FALSE), IFERROR(VLOOKUP($A834,'Infinet ExDa'!$B$2:$E$14, 0,FALSE), "Not Found"))))))))</f>
        <v>Not Found</v>
      </c>
      <c r="J834">
        <f>IFERROR(VLOOKUP($A834,'AAPT ExDa'!$B$2:$U$99, 7,FALSE), IFERROR(VLOOKUP($A834,'ABB ExDa'!$A$2:$N$184, 2,FALSE), IFERROR(VLOOKUP($A834,'Vocus SIT ExDa'!$B$2:$J$173, 0,FALSE), IFERROR(VLOOKUP($A834,'Telstra ExDa'!$B$2:$K$310, 7,FALSE), IFERROR(VLOOKUP($A834,'Vocus RVC ExDa'!$C$2:$R$155, 2,FALSE), IFERROR(VLOOKUP($A834,'Fusion ExDa'!$B$2:$D$16, 3,FALSE), IFERROR(VLOOKUP($A834,'Exetel ExDa'!$C$2:$N$14, 0,FALSE), IFERROR(VLOOKUP($A834,'Infinet ExDa'!$B$2:$E$14, 0,FALSE), "Not Found"))))))))</f>
        <v>0</v>
      </c>
      <c r="K834" t="str">
        <f>IFERROR(VLOOKUP($A834,'AAPT ExDa'!$B$2:$U$99, 12,FALSE), IFERROR(VLOOKUP($A834,'ABB ExDa'!$A$2:$N$184, 0,FALSE), IFERROR(VLOOKUP($A834,'Vocus SIT ExDa'!$B$2:$J$173, 0,FALSE), IFERROR(VLOOKUP($A834,'Telstra ExDa'!$B$2:$K$310, 0,FALSE), IFERROR(VLOOKUP($A834,'Vocus RVC ExDa'!$C$2:$R$155, 0,FALSE), IFERROR(VLOOKUP($A834,'Fusion ExDa'!$B$2:$D$16, 0,FALSE), IFERROR(VLOOKUP($A834,'Exetel ExDa'!$C$2:$N$14, 12,FALSE), IFERROR(VLOOKUP($A834,'Infinet ExDa'!$B$2:$E$14, 0,FALSE), "Not Found"))))))))</f>
        <v>Not Found</v>
      </c>
      <c r="L834" s="235" t="str">
        <f>IFERROR(VLOOKUP($A834,'AAPT ExDa'!$B$2:$U$99, 11,FALSE), IFERROR(VLOOKUP($A834,'ABB ExDa'!$A$2:$N$184, 9,FALSE), IFERROR(VLOOKUP($A834,'Vocus SIT ExDa'!$B$2:$J$173, 8,FALSE), IFERROR(VLOOKUP($A834,'Telstra ExDa'!$B$2:$K$310, 0,FALSE), IFERROR(VLOOKUP($A834,'Vocus RVC ExDa'!$C$2:$R$155, 0,FALSE), IFERROR(VLOOKUP($A834,'Fusion ExDa'!$B$2:$D$16, 0,FALSE), IFERROR(VLOOKUP($A834,'Exetel ExDa'!$C$2:$N$14, 9,FALSE), IFERROR(VLOOKUP($A834,'Infinet ExDa'!$B$2:$E$14, 0,FALSE), "Not Found"))))))))</f>
        <v>Not Found</v>
      </c>
      <c r="M834" s="234" t="str">
        <f>IFERROR(VLOOKUP($A834,'AAPT ExDa'!$B$2:$U$99, 0,FALSE), IFERROR(VLOOKUP($A834,'ABB ExDa'!$A$2:$N$184, 0,FALSE), IFERROR(VLOOKUP($A834,'Vocus SIT ExDa'!$B$2:$J$173, 0,FALSE), IFERROR(VLOOKUP($A834,'Telstra ExDa'!$B$2:$K$310, 0,FALSE), IFERROR(VLOOKUP($A834,'Vocus RVC ExDa'!$C$2:$R$155, 0,FALSE), IFERROR(VLOOKUP($A834,'Fusion ExDa'!$B$2:$D$16, 0,FALSE), IFERROR(VLOOKUP($A834,'Exetel ExDa'!$C$2:$N$14, 11,FALSE), IFERROR(VLOOKUP($A834,'Infinet ExDa'!$B$2:$E$14, 0,FALSE), "Not Found"))))))))</f>
        <v>Not Found</v>
      </c>
      <c r="N834" t="str">
        <f>IFERROR(VLOOKUP($A834,'AAPT ExDa'!$B$2:$U$99, 0,FALSE), IFERROR(VLOOKUP($A834,'ABB ExDa'!$A$2:$N$184, 13,FALSE), IFERROR(VLOOKUP($A834,'Vocus SIT ExDa'!$B$2:$J$173, 0,FALSE), IFERROR(VLOOKUP($A834,'Telstra ExDa'!$B$2:$K$310, 0,FALSE), IFERROR(VLOOKUP($A834,'Vocus RVC ExDa'!$C$2:$R$155, 0,FALSE), IFERROR(VLOOKUP($A834,'Fusion ExDa'!$B$2:$D$16, 0,FALSE), IFERROR(VLOOKUP($A834,'Exetel ExDa'!$C$2:$N$14, 0,FALSE), IFERROR(VLOOKUP($A834,'Infinet ExDa'!$B$2:$E$14, 0,FALSE), "Not Found"))))))))</f>
        <v>Not Found</v>
      </c>
    </row>
    <row r="835" spans="1:14">
      <c r="A835" t="str">
        <v xml:space="preserve">	Zambrero Gold Coast University Hospital</v>
      </c>
      <c r="B835" t="str">
        <f>IFERROR(VLOOKUP(A835,'Exetel ExDa'!$C$2:$N$14,4,FALSE),"No Data")</f>
        <v>No Data</v>
      </c>
      <c r="C835" t="str">
        <f>IFERROR(VLOOKUP(A835,'AAPT ExDa'!$B$2:$U$99, 2,FALSE), IFERROR(VLOOKUP(A835,'ABB ExDa'!$A$2:$N$184, 2,FALSE), IFERROR(VLOOKUP(A835,'Vocus SIT ExDa'!$B$2:$J$173, 7,FALSE), IFERROR(VLOOKUP(A835,'Telstra ExDa'!$B$2:$K$310, 2,FALSE), IFERROR(VLOOKUP(A835,'Vocus RVC ExDa'!$C$2:$R$155, 3,FALSE), IFERROR(VLOOKUP(A835,'Fusion ExDa'!$B$2:$D$16, 2,FALSE), IFERROR(VLOOKUP(A835,'Exetel ExDa'!$C$2:$N$14, 2,FALSE), IFERROR(VLOOKUP(A835,'Infinet ExDa'!$B$2:$E$14, 2,FALSE), "Not Found"))))))))</f>
        <v>3 1 Hospital  BVD</v>
      </c>
      <c r="D835">
        <f>IFERROR(VLOOKUP($A835,'AAPT ExDa'!$B$2:$U$99, 15,FALSE), IFERROR(VLOOKUP($A835,'ABB ExDa'!$A$2:$N$184, 4,FALSE), IFERROR(VLOOKUP($A835,'Vocus SIT ExDa'!$B$2:$J$173, 5,FALSE), IFERROR(VLOOKUP($A835,'Telstra ExDa'!$B$2:$K$310, 8,FALSE), IFERROR(VLOOKUP($A835,'Vocus RVC ExDa'!$C$2:$R$155, 6,FALSE), IFERROR(VLOOKUP($A835,'Fusion ExDa'!$B$2:$D$16, 4,FALSE), IFERROR(VLOOKUP($A835,'Exetel ExDa'!$C$2:$N$14, 3,FALSE), IFERROR(VLOOKUP($A835,'Infinet ExDa'!$B$2:$E$14, 3,FALSE), "Not Found"))))))))</f>
        <v>4215</v>
      </c>
      <c r="E835" t="str">
        <f>IFERROR(VLOOKUP($A835,'AAPT ExDa'!$B$2:$U$99, 3,FALSE), IFERROR(VLOOKUP($A835,'ABB ExDa'!$A$2:$N$184, 5,FALSE), IFERROR(VLOOKUP($A835,'Vocus SIT ExDa'!$B$2:$J$173, 2,FALSE), IFERROR(VLOOKUP($A835,'Telstra ExDa'!$B$2:$K$310, 4,FALSE), IFERROR(VLOOKUP($A835,'Vocus RVC ExDa'!$C$2:$R$155, 8,FALSE), IFERROR(VLOOKUP($A835,'Fusion ExDa'!$B$2:$D$16, 4,FALSE), IFERROR(VLOOKUP($A835,'Exetel ExDa'!$C$2:$N$14, 5,FALSE), IFERROR(VLOOKUP($A835,'Infinet ExDa'!$B$2:$E$14, 3,FALSE), "Not Found"))))))))</f>
        <v>Mobile Service</v>
      </c>
      <c r="F835">
        <f>IFERROR(VLOOKUP($A835,'AAPT ExDa'!$B$2:$U$99, 4,FALSE), IFERROR(VLOOKUP($A835,'ABB ExDa'!$A$2:$N$184, 6,FALSE), IFERROR(VLOOKUP($A835,'Vocus SIT ExDa'!$B$2:$J$173, 3,FALSE), IFERROR(VLOOKUP($A835,'Telstra ExDa'!$B$2:$K$310, 5,FALSE), IFERROR(VLOOKUP($A835,'Vocus RVC ExDa'!$C$2:$R$155, 9,FALSE), IFERROR(VLOOKUP($A835,'Fusion ExDa'!$B$2:$D$16, 0,FALSE), IFERROR(VLOOKUP($A835,'Exetel ExDa'!$C$2:$N$14, 6,FALSE), IFERROR(VLOOKUP($A835,'Infinet ExDa'!$B$2:$E$14, 0,FALSE), "Not Found"))))))))</f>
        <v>45637</v>
      </c>
      <c r="G835">
        <f>IFERROR(VLOOKUP($A835,'AAPT ExDa'!$B$2:$U$99, 5,FALSE), IFERROR(VLOOKUP($A835,'ABB ExDa'!$A$2:$N$184, 8,FALSE), IFERROR(VLOOKUP($A835,'Vocus SIT ExDa'!$B$2:$J$173, 6,FALSE), IFERROR(VLOOKUP($A835,'Telstra ExDa'!$B$2:$K$310, 0,FALSE), IFERROR(VLOOKUP($A835,'Vocus RVC ExDa'!$C$2:$R$155, 15,FALSE), IFERROR(VLOOKUP($A835,'Fusion ExDa'!$B$2:$D$16, 0,FALSE), IFERROR(VLOOKUP($A835,'Exetel ExDa'!$C$2:$N$14, 7,FALSE), IFERROR(VLOOKUP($A835,'Infinet ExDa'!$B$2:$E$14, 0,FALSE), "Not Found"))))))))</f>
        <v>0</v>
      </c>
      <c r="H835">
        <f>IFERROR(VLOOKUP($A835,'AAPT ExDa'!$B$2:$U$99, 6,FALSE), IFERROR(VLOOKUP($A835,'ABB ExDa'!$A$2:$N$184, 0,FALSE), IFERROR(VLOOKUP($A835,'Vocus SIT ExDa'!$B$2:$J$173, 0,FALSE), IFERROR(VLOOKUP($A835,'Telstra ExDa'!$B$2:$K$310, 0,FALSE), IFERROR(VLOOKUP($A835,'Vocus RVC ExDa'!$C$2:$R$155, 16,FALSE), IFERROR(VLOOKUP($A835,'Fusion ExDa'!$B$2:$D$16, 0,FALSE), IFERROR(VLOOKUP($A835,'Exetel ExDa'!$C$2:$N$14, 0,FALSE), IFERROR(VLOOKUP($A835,'Infinet ExDa'!$B$2:$E$14, 0,FALSE), "Not Found"))))))))</f>
        <v>0</v>
      </c>
      <c r="I835" t="str">
        <f>IFERROR(VLOOKUP($A835,'AAPT ExDa'!$B$2:$U$99, 0,FALSE), IFERROR(VLOOKUP($A835,'ABB ExDa'!$A$2:$N$184, 0,FALSE), IFERROR(VLOOKUP($A835,'Vocus SIT ExDa'!$B$2:$J$173, 0,FALSE), IFERROR(VLOOKUP($A835,'Telstra ExDa'!$B$2:$K$310, 0,FALSE), IFERROR(VLOOKUP($A835,'Vocus RVC ExDa'!$C$2:$R$155, 0,FALSE), IFERROR(VLOOKUP($A835,'Fusion ExDa'!$B$2:$D$16, 0,FALSE), IFERROR(VLOOKUP($A835,'Exetel ExDa'!$C$2:$N$14, 8,FALSE), IFERROR(VLOOKUP($A835,'Infinet ExDa'!$B$2:$E$14, 0,FALSE), "Not Found"))))))))</f>
        <v>Not Found</v>
      </c>
      <c r="J835">
        <f>IFERROR(VLOOKUP($A835,'AAPT ExDa'!$B$2:$U$99, 7,FALSE), IFERROR(VLOOKUP($A835,'ABB ExDa'!$A$2:$N$184, 2,FALSE), IFERROR(VLOOKUP($A835,'Vocus SIT ExDa'!$B$2:$J$173, 0,FALSE), IFERROR(VLOOKUP($A835,'Telstra ExDa'!$B$2:$K$310, 7,FALSE), IFERROR(VLOOKUP($A835,'Vocus RVC ExDa'!$C$2:$R$155, 2,FALSE), IFERROR(VLOOKUP($A835,'Fusion ExDa'!$B$2:$D$16, 3,FALSE), IFERROR(VLOOKUP($A835,'Exetel ExDa'!$C$2:$N$14, 0,FALSE), IFERROR(VLOOKUP($A835,'Infinet ExDa'!$B$2:$E$14, 0,FALSE), "Not Found"))))))))</f>
        <v>0</v>
      </c>
      <c r="K835" t="str">
        <f>IFERROR(VLOOKUP($A835,'AAPT ExDa'!$B$2:$U$99, 12,FALSE), IFERROR(VLOOKUP($A835,'ABB ExDa'!$A$2:$N$184, 0,FALSE), IFERROR(VLOOKUP($A835,'Vocus SIT ExDa'!$B$2:$J$173, 0,FALSE), IFERROR(VLOOKUP($A835,'Telstra ExDa'!$B$2:$K$310, 0,FALSE), IFERROR(VLOOKUP($A835,'Vocus RVC ExDa'!$C$2:$R$155, 0,FALSE), IFERROR(VLOOKUP($A835,'Fusion ExDa'!$B$2:$D$16, 0,FALSE), IFERROR(VLOOKUP($A835,'Exetel ExDa'!$C$2:$N$14, 12,FALSE), IFERROR(VLOOKUP($A835,'Infinet ExDa'!$B$2:$E$14, 0,FALSE), "Not Found"))))))))</f>
        <v>Not Found</v>
      </c>
      <c r="L835" s="235" t="str">
        <f>IFERROR(VLOOKUP($A835,'AAPT ExDa'!$B$2:$U$99, 11,FALSE), IFERROR(VLOOKUP($A835,'ABB ExDa'!$A$2:$N$184, 9,FALSE), IFERROR(VLOOKUP($A835,'Vocus SIT ExDa'!$B$2:$J$173, 8,FALSE), IFERROR(VLOOKUP($A835,'Telstra ExDa'!$B$2:$K$310, 0,FALSE), IFERROR(VLOOKUP($A835,'Vocus RVC ExDa'!$C$2:$R$155, 0,FALSE), IFERROR(VLOOKUP($A835,'Fusion ExDa'!$B$2:$D$16, 0,FALSE), IFERROR(VLOOKUP($A835,'Exetel ExDa'!$C$2:$N$14, 9,FALSE), IFERROR(VLOOKUP($A835,'Infinet ExDa'!$B$2:$E$14, 0,FALSE), "Not Found"))))))))</f>
        <v>Not Found</v>
      </c>
      <c r="M835" s="234" t="str">
        <f>IFERROR(VLOOKUP($A835,'AAPT ExDa'!$B$2:$U$99, 0,FALSE), IFERROR(VLOOKUP($A835,'ABB ExDa'!$A$2:$N$184, 0,FALSE), IFERROR(VLOOKUP($A835,'Vocus SIT ExDa'!$B$2:$J$173, 0,FALSE), IFERROR(VLOOKUP($A835,'Telstra ExDa'!$B$2:$K$310, 0,FALSE), IFERROR(VLOOKUP($A835,'Vocus RVC ExDa'!$C$2:$R$155, 0,FALSE), IFERROR(VLOOKUP($A835,'Fusion ExDa'!$B$2:$D$16, 0,FALSE), IFERROR(VLOOKUP($A835,'Exetel ExDa'!$C$2:$N$14, 11,FALSE), IFERROR(VLOOKUP($A835,'Infinet ExDa'!$B$2:$E$14, 0,FALSE), "Not Found"))))))))</f>
        <v>Not Found</v>
      </c>
      <c r="N835" t="str">
        <f>IFERROR(VLOOKUP($A835,'AAPT ExDa'!$B$2:$U$99, 0,FALSE), IFERROR(VLOOKUP($A835,'ABB ExDa'!$A$2:$N$184, 13,FALSE), IFERROR(VLOOKUP($A835,'Vocus SIT ExDa'!$B$2:$J$173, 0,FALSE), IFERROR(VLOOKUP($A835,'Telstra ExDa'!$B$2:$K$310, 0,FALSE), IFERROR(VLOOKUP($A835,'Vocus RVC ExDa'!$C$2:$R$155, 0,FALSE), IFERROR(VLOOKUP($A835,'Fusion ExDa'!$B$2:$D$16, 0,FALSE), IFERROR(VLOOKUP($A835,'Exetel ExDa'!$C$2:$N$14, 0,FALSE), IFERROR(VLOOKUP($A835,'Infinet ExDa'!$B$2:$E$14, 0,FALSE), "Not Found"))))))))</f>
        <v>Not Found</v>
      </c>
    </row>
    <row r="836" spans="1:14">
      <c r="A836" t="str">
        <v xml:space="preserve">	Zambrero Sanctuary Lakes</v>
      </c>
      <c r="B836" t="str">
        <f>IFERROR(VLOOKUP(A836,'Exetel ExDa'!$C$2:$N$14,4,FALSE),"No Data")</f>
        <v>No Data</v>
      </c>
      <c r="C836" t="str">
        <f>IFERROR(VLOOKUP(A836,'AAPT ExDa'!$B$2:$U$99, 2,FALSE), IFERROR(VLOOKUP(A836,'ABB ExDa'!$A$2:$N$184, 2,FALSE), IFERROR(VLOOKUP(A836,'Vocus SIT ExDa'!$B$2:$J$173, 7,FALSE), IFERROR(VLOOKUP(A836,'Telstra ExDa'!$B$2:$K$310, 2,FALSE), IFERROR(VLOOKUP(A836,'Vocus RVC ExDa'!$C$2:$R$155, 3,FALSE), IFERROR(VLOOKUP(A836,'Fusion ExDa'!$B$2:$D$16, 2,FALSE), IFERROR(VLOOKUP(A836,'Exetel ExDa'!$C$2:$N$14, 2,FALSE), IFERROR(VLOOKUP(A836,'Infinet ExDa'!$B$2:$E$14, 2,FALSE), "Not Found"))))))))</f>
        <v>39 300 Point Cook RD</v>
      </c>
      <c r="D836">
        <f>IFERROR(VLOOKUP($A836,'AAPT ExDa'!$B$2:$U$99, 15,FALSE), IFERROR(VLOOKUP($A836,'ABB ExDa'!$A$2:$N$184, 4,FALSE), IFERROR(VLOOKUP($A836,'Vocus SIT ExDa'!$B$2:$J$173, 5,FALSE), IFERROR(VLOOKUP($A836,'Telstra ExDa'!$B$2:$K$310, 8,FALSE), IFERROR(VLOOKUP($A836,'Vocus RVC ExDa'!$C$2:$R$155, 6,FALSE), IFERROR(VLOOKUP($A836,'Fusion ExDa'!$B$2:$D$16, 4,FALSE), IFERROR(VLOOKUP($A836,'Exetel ExDa'!$C$2:$N$14, 3,FALSE), IFERROR(VLOOKUP($A836,'Infinet ExDa'!$B$2:$E$14, 3,FALSE), "Not Found"))))))))</f>
        <v>3030</v>
      </c>
      <c r="E836" t="str">
        <f>IFERROR(VLOOKUP($A836,'AAPT ExDa'!$B$2:$U$99, 3,FALSE), IFERROR(VLOOKUP($A836,'ABB ExDa'!$A$2:$N$184, 5,FALSE), IFERROR(VLOOKUP($A836,'Vocus SIT ExDa'!$B$2:$J$173, 2,FALSE), IFERROR(VLOOKUP($A836,'Telstra ExDa'!$B$2:$K$310, 4,FALSE), IFERROR(VLOOKUP($A836,'Vocus RVC ExDa'!$C$2:$R$155, 8,FALSE), IFERROR(VLOOKUP($A836,'Fusion ExDa'!$B$2:$D$16, 4,FALSE), IFERROR(VLOOKUP($A836,'Exetel ExDa'!$C$2:$N$14, 5,FALSE), IFERROR(VLOOKUP($A836,'Infinet ExDa'!$B$2:$E$14, 3,FALSE), "Not Found"))))))))</f>
        <v>Mobile Service</v>
      </c>
      <c r="F836">
        <f>IFERROR(VLOOKUP($A836,'AAPT ExDa'!$B$2:$U$99, 4,FALSE), IFERROR(VLOOKUP($A836,'ABB ExDa'!$A$2:$N$184, 6,FALSE), IFERROR(VLOOKUP($A836,'Vocus SIT ExDa'!$B$2:$J$173, 3,FALSE), IFERROR(VLOOKUP($A836,'Telstra ExDa'!$B$2:$K$310, 5,FALSE), IFERROR(VLOOKUP($A836,'Vocus RVC ExDa'!$C$2:$R$155, 9,FALSE), IFERROR(VLOOKUP($A836,'Fusion ExDa'!$B$2:$D$16, 0,FALSE), IFERROR(VLOOKUP($A836,'Exetel ExDa'!$C$2:$N$14, 6,FALSE), IFERROR(VLOOKUP($A836,'Infinet ExDa'!$B$2:$E$14, 0,FALSE), "Not Found"))))))))</f>
        <v>45637</v>
      </c>
      <c r="G836">
        <f>IFERROR(VLOOKUP($A836,'AAPT ExDa'!$B$2:$U$99, 5,FALSE), IFERROR(VLOOKUP($A836,'ABB ExDa'!$A$2:$N$184, 8,FALSE), IFERROR(VLOOKUP($A836,'Vocus SIT ExDa'!$B$2:$J$173, 6,FALSE), IFERROR(VLOOKUP($A836,'Telstra ExDa'!$B$2:$K$310, 0,FALSE), IFERROR(VLOOKUP($A836,'Vocus RVC ExDa'!$C$2:$R$155, 15,FALSE), IFERROR(VLOOKUP($A836,'Fusion ExDa'!$B$2:$D$16, 0,FALSE), IFERROR(VLOOKUP($A836,'Exetel ExDa'!$C$2:$N$14, 7,FALSE), IFERROR(VLOOKUP($A836,'Infinet ExDa'!$B$2:$E$14, 0,FALSE), "Not Found"))))))))</f>
        <v>0</v>
      </c>
      <c r="H836">
        <f>IFERROR(VLOOKUP($A836,'AAPT ExDa'!$B$2:$U$99, 6,FALSE), IFERROR(VLOOKUP($A836,'ABB ExDa'!$A$2:$N$184, 0,FALSE), IFERROR(VLOOKUP($A836,'Vocus SIT ExDa'!$B$2:$J$173, 0,FALSE), IFERROR(VLOOKUP($A836,'Telstra ExDa'!$B$2:$K$310, 0,FALSE), IFERROR(VLOOKUP($A836,'Vocus RVC ExDa'!$C$2:$R$155, 16,FALSE), IFERROR(VLOOKUP($A836,'Fusion ExDa'!$B$2:$D$16, 0,FALSE), IFERROR(VLOOKUP($A836,'Exetel ExDa'!$C$2:$N$14, 0,FALSE), IFERROR(VLOOKUP($A836,'Infinet ExDa'!$B$2:$E$14, 0,FALSE), "Not Found"))))))))</f>
        <v>0</v>
      </c>
      <c r="I836" t="str">
        <f>IFERROR(VLOOKUP($A836,'AAPT ExDa'!$B$2:$U$99, 0,FALSE), IFERROR(VLOOKUP($A836,'ABB ExDa'!$A$2:$N$184, 0,FALSE), IFERROR(VLOOKUP($A836,'Vocus SIT ExDa'!$B$2:$J$173, 0,FALSE), IFERROR(VLOOKUP($A836,'Telstra ExDa'!$B$2:$K$310, 0,FALSE), IFERROR(VLOOKUP($A836,'Vocus RVC ExDa'!$C$2:$R$155, 0,FALSE), IFERROR(VLOOKUP($A836,'Fusion ExDa'!$B$2:$D$16, 0,FALSE), IFERROR(VLOOKUP($A836,'Exetel ExDa'!$C$2:$N$14, 8,FALSE), IFERROR(VLOOKUP($A836,'Infinet ExDa'!$B$2:$E$14, 0,FALSE), "Not Found"))))))))</f>
        <v>Not Found</v>
      </c>
      <c r="J836">
        <f>IFERROR(VLOOKUP($A836,'AAPT ExDa'!$B$2:$U$99, 7,FALSE), IFERROR(VLOOKUP($A836,'ABB ExDa'!$A$2:$N$184, 2,FALSE), IFERROR(VLOOKUP($A836,'Vocus SIT ExDa'!$B$2:$J$173, 0,FALSE), IFERROR(VLOOKUP($A836,'Telstra ExDa'!$B$2:$K$310, 7,FALSE), IFERROR(VLOOKUP($A836,'Vocus RVC ExDa'!$C$2:$R$155, 2,FALSE), IFERROR(VLOOKUP($A836,'Fusion ExDa'!$B$2:$D$16, 3,FALSE), IFERROR(VLOOKUP($A836,'Exetel ExDa'!$C$2:$N$14, 0,FALSE), IFERROR(VLOOKUP($A836,'Infinet ExDa'!$B$2:$E$14, 0,FALSE), "Not Found"))))))))</f>
        <v>0</v>
      </c>
      <c r="K836" t="str">
        <f>IFERROR(VLOOKUP($A836,'AAPT ExDa'!$B$2:$U$99, 12,FALSE), IFERROR(VLOOKUP($A836,'ABB ExDa'!$A$2:$N$184, 0,FALSE), IFERROR(VLOOKUP($A836,'Vocus SIT ExDa'!$B$2:$J$173, 0,FALSE), IFERROR(VLOOKUP($A836,'Telstra ExDa'!$B$2:$K$310, 0,FALSE), IFERROR(VLOOKUP($A836,'Vocus RVC ExDa'!$C$2:$R$155, 0,FALSE), IFERROR(VLOOKUP($A836,'Fusion ExDa'!$B$2:$D$16, 0,FALSE), IFERROR(VLOOKUP($A836,'Exetel ExDa'!$C$2:$N$14, 12,FALSE), IFERROR(VLOOKUP($A836,'Infinet ExDa'!$B$2:$E$14, 0,FALSE), "Not Found"))))))))</f>
        <v>Not Found</v>
      </c>
      <c r="L836" s="235" t="str">
        <f>IFERROR(VLOOKUP($A836,'AAPT ExDa'!$B$2:$U$99, 11,FALSE), IFERROR(VLOOKUP($A836,'ABB ExDa'!$A$2:$N$184, 9,FALSE), IFERROR(VLOOKUP($A836,'Vocus SIT ExDa'!$B$2:$J$173, 8,FALSE), IFERROR(VLOOKUP($A836,'Telstra ExDa'!$B$2:$K$310, 0,FALSE), IFERROR(VLOOKUP($A836,'Vocus RVC ExDa'!$C$2:$R$155, 0,FALSE), IFERROR(VLOOKUP($A836,'Fusion ExDa'!$B$2:$D$16, 0,FALSE), IFERROR(VLOOKUP($A836,'Exetel ExDa'!$C$2:$N$14, 9,FALSE), IFERROR(VLOOKUP($A836,'Infinet ExDa'!$B$2:$E$14, 0,FALSE), "Not Found"))))))))</f>
        <v>Not Found</v>
      </c>
      <c r="M836" s="234" t="str">
        <f>IFERROR(VLOOKUP($A836,'AAPT ExDa'!$B$2:$U$99, 0,FALSE), IFERROR(VLOOKUP($A836,'ABB ExDa'!$A$2:$N$184, 0,FALSE), IFERROR(VLOOKUP($A836,'Vocus SIT ExDa'!$B$2:$J$173, 0,FALSE), IFERROR(VLOOKUP($A836,'Telstra ExDa'!$B$2:$K$310, 0,FALSE), IFERROR(VLOOKUP($A836,'Vocus RVC ExDa'!$C$2:$R$155, 0,FALSE), IFERROR(VLOOKUP($A836,'Fusion ExDa'!$B$2:$D$16, 0,FALSE), IFERROR(VLOOKUP($A836,'Exetel ExDa'!$C$2:$N$14, 11,FALSE), IFERROR(VLOOKUP($A836,'Infinet ExDa'!$B$2:$E$14, 0,FALSE), "Not Found"))))))))</f>
        <v>Not Found</v>
      </c>
      <c r="N836" t="str">
        <f>IFERROR(VLOOKUP($A836,'AAPT ExDa'!$B$2:$U$99, 0,FALSE), IFERROR(VLOOKUP($A836,'ABB ExDa'!$A$2:$N$184, 13,FALSE), IFERROR(VLOOKUP($A836,'Vocus SIT ExDa'!$B$2:$J$173, 0,FALSE), IFERROR(VLOOKUP($A836,'Telstra ExDa'!$B$2:$K$310, 0,FALSE), IFERROR(VLOOKUP($A836,'Vocus RVC ExDa'!$C$2:$R$155, 0,FALSE), IFERROR(VLOOKUP($A836,'Fusion ExDa'!$B$2:$D$16, 0,FALSE), IFERROR(VLOOKUP($A836,'Exetel ExDa'!$C$2:$N$14, 0,FALSE), IFERROR(VLOOKUP($A836,'Infinet ExDa'!$B$2:$E$14, 0,FALSE), "Not Found"))))))))</f>
        <v>Not Found</v>
      </c>
    </row>
    <row r="837" spans="1:14">
      <c r="A837" t="str">
        <v xml:space="preserve">	Zambrero Burleigh Heads</v>
      </c>
      <c r="B837" t="str">
        <f>IFERROR(VLOOKUP(A837,'Exetel ExDa'!$C$2:$N$14,4,FALSE),"No Data")</f>
        <v>No Data</v>
      </c>
      <c r="C837" t="str">
        <f>IFERROR(VLOOKUP(A837,'AAPT ExDa'!$B$2:$U$99, 2,FALSE), IFERROR(VLOOKUP(A837,'ABB ExDa'!$A$2:$N$184, 2,FALSE), IFERROR(VLOOKUP(A837,'Vocus SIT ExDa'!$B$2:$J$173, 7,FALSE), IFERROR(VLOOKUP(A837,'Telstra ExDa'!$B$2:$K$310, 2,FALSE), IFERROR(VLOOKUP(A837,'Vocus RVC ExDa'!$C$2:$R$155, 3,FALSE), IFERROR(VLOOKUP(A837,'Fusion ExDa'!$B$2:$D$16, 2,FALSE), IFERROR(VLOOKUP(A837,'Exetel ExDa'!$C$2:$N$14, 2,FALSE), IFERROR(VLOOKUP(A837,'Infinet ExDa'!$B$2:$E$14, 2,FALSE), "Not Found"))))))))</f>
        <v>3 Connor  ST</v>
      </c>
      <c r="D837">
        <f>IFERROR(VLOOKUP($A837,'AAPT ExDa'!$B$2:$U$99, 15,FALSE), IFERROR(VLOOKUP($A837,'ABB ExDa'!$A$2:$N$184, 4,FALSE), IFERROR(VLOOKUP($A837,'Vocus SIT ExDa'!$B$2:$J$173, 5,FALSE), IFERROR(VLOOKUP($A837,'Telstra ExDa'!$B$2:$K$310, 8,FALSE), IFERROR(VLOOKUP($A837,'Vocus RVC ExDa'!$C$2:$R$155, 6,FALSE), IFERROR(VLOOKUP($A837,'Fusion ExDa'!$B$2:$D$16, 4,FALSE), IFERROR(VLOOKUP($A837,'Exetel ExDa'!$C$2:$N$14, 3,FALSE), IFERROR(VLOOKUP($A837,'Infinet ExDa'!$B$2:$E$14, 3,FALSE), "Not Found"))))))))</f>
        <v>4220</v>
      </c>
      <c r="E837" t="str">
        <f>IFERROR(VLOOKUP($A837,'AAPT ExDa'!$B$2:$U$99, 3,FALSE), IFERROR(VLOOKUP($A837,'ABB ExDa'!$A$2:$N$184, 5,FALSE), IFERROR(VLOOKUP($A837,'Vocus SIT ExDa'!$B$2:$J$173, 2,FALSE), IFERROR(VLOOKUP($A837,'Telstra ExDa'!$B$2:$K$310, 4,FALSE), IFERROR(VLOOKUP($A837,'Vocus RVC ExDa'!$C$2:$R$155, 8,FALSE), IFERROR(VLOOKUP($A837,'Fusion ExDa'!$B$2:$D$16, 4,FALSE), IFERROR(VLOOKUP($A837,'Exetel ExDa'!$C$2:$N$14, 5,FALSE), IFERROR(VLOOKUP($A837,'Infinet ExDa'!$B$2:$E$14, 3,FALSE), "Not Found"))))))))</f>
        <v>Mobile Service</v>
      </c>
      <c r="F837">
        <f>IFERROR(VLOOKUP($A837,'AAPT ExDa'!$B$2:$U$99, 4,FALSE), IFERROR(VLOOKUP($A837,'ABB ExDa'!$A$2:$N$184, 6,FALSE), IFERROR(VLOOKUP($A837,'Vocus SIT ExDa'!$B$2:$J$173, 3,FALSE), IFERROR(VLOOKUP($A837,'Telstra ExDa'!$B$2:$K$310, 5,FALSE), IFERROR(VLOOKUP($A837,'Vocus RVC ExDa'!$C$2:$R$155, 9,FALSE), IFERROR(VLOOKUP($A837,'Fusion ExDa'!$B$2:$D$16, 0,FALSE), IFERROR(VLOOKUP($A837,'Exetel ExDa'!$C$2:$N$14, 6,FALSE), IFERROR(VLOOKUP($A837,'Infinet ExDa'!$B$2:$E$14, 0,FALSE), "Not Found"))))))))</f>
        <v>45638</v>
      </c>
      <c r="G837">
        <f>IFERROR(VLOOKUP($A837,'AAPT ExDa'!$B$2:$U$99, 5,FALSE), IFERROR(VLOOKUP($A837,'ABB ExDa'!$A$2:$N$184, 8,FALSE), IFERROR(VLOOKUP($A837,'Vocus SIT ExDa'!$B$2:$J$173, 6,FALSE), IFERROR(VLOOKUP($A837,'Telstra ExDa'!$B$2:$K$310, 0,FALSE), IFERROR(VLOOKUP($A837,'Vocus RVC ExDa'!$C$2:$R$155, 15,FALSE), IFERROR(VLOOKUP($A837,'Fusion ExDa'!$B$2:$D$16, 0,FALSE), IFERROR(VLOOKUP($A837,'Exetel ExDa'!$C$2:$N$14, 7,FALSE), IFERROR(VLOOKUP($A837,'Infinet ExDa'!$B$2:$E$14, 0,FALSE), "Not Found"))))))))</f>
        <v>0</v>
      </c>
      <c r="H837">
        <f>IFERROR(VLOOKUP($A837,'AAPT ExDa'!$B$2:$U$99, 6,FALSE), IFERROR(VLOOKUP($A837,'ABB ExDa'!$A$2:$N$184, 0,FALSE), IFERROR(VLOOKUP($A837,'Vocus SIT ExDa'!$B$2:$J$173, 0,FALSE), IFERROR(VLOOKUP($A837,'Telstra ExDa'!$B$2:$K$310, 0,FALSE), IFERROR(VLOOKUP($A837,'Vocus RVC ExDa'!$C$2:$R$155, 16,FALSE), IFERROR(VLOOKUP($A837,'Fusion ExDa'!$B$2:$D$16, 0,FALSE), IFERROR(VLOOKUP($A837,'Exetel ExDa'!$C$2:$N$14, 0,FALSE), IFERROR(VLOOKUP($A837,'Infinet ExDa'!$B$2:$E$14, 0,FALSE), "Not Found"))))))))</f>
        <v>0</v>
      </c>
      <c r="I837" t="str">
        <f>IFERROR(VLOOKUP($A837,'AAPT ExDa'!$B$2:$U$99, 0,FALSE), IFERROR(VLOOKUP($A837,'ABB ExDa'!$A$2:$N$184, 0,FALSE), IFERROR(VLOOKUP($A837,'Vocus SIT ExDa'!$B$2:$J$173, 0,FALSE), IFERROR(VLOOKUP($A837,'Telstra ExDa'!$B$2:$K$310, 0,FALSE), IFERROR(VLOOKUP($A837,'Vocus RVC ExDa'!$C$2:$R$155, 0,FALSE), IFERROR(VLOOKUP($A837,'Fusion ExDa'!$B$2:$D$16, 0,FALSE), IFERROR(VLOOKUP($A837,'Exetel ExDa'!$C$2:$N$14, 8,FALSE), IFERROR(VLOOKUP($A837,'Infinet ExDa'!$B$2:$E$14, 0,FALSE), "Not Found"))))))))</f>
        <v>Not Found</v>
      </c>
      <c r="J837">
        <f>IFERROR(VLOOKUP($A837,'AAPT ExDa'!$B$2:$U$99, 7,FALSE), IFERROR(VLOOKUP($A837,'ABB ExDa'!$A$2:$N$184, 2,FALSE), IFERROR(VLOOKUP($A837,'Vocus SIT ExDa'!$B$2:$J$173, 0,FALSE), IFERROR(VLOOKUP($A837,'Telstra ExDa'!$B$2:$K$310, 7,FALSE), IFERROR(VLOOKUP($A837,'Vocus RVC ExDa'!$C$2:$R$155, 2,FALSE), IFERROR(VLOOKUP($A837,'Fusion ExDa'!$B$2:$D$16, 3,FALSE), IFERROR(VLOOKUP($A837,'Exetel ExDa'!$C$2:$N$14, 0,FALSE), IFERROR(VLOOKUP($A837,'Infinet ExDa'!$B$2:$E$14, 0,FALSE), "Not Found"))))))))</f>
        <v>0</v>
      </c>
      <c r="K837" t="str">
        <f>IFERROR(VLOOKUP($A837,'AAPT ExDa'!$B$2:$U$99, 12,FALSE), IFERROR(VLOOKUP($A837,'ABB ExDa'!$A$2:$N$184, 0,FALSE), IFERROR(VLOOKUP($A837,'Vocus SIT ExDa'!$B$2:$J$173, 0,FALSE), IFERROR(VLOOKUP($A837,'Telstra ExDa'!$B$2:$K$310, 0,FALSE), IFERROR(VLOOKUP($A837,'Vocus RVC ExDa'!$C$2:$R$155, 0,FALSE), IFERROR(VLOOKUP($A837,'Fusion ExDa'!$B$2:$D$16, 0,FALSE), IFERROR(VLOOKUP($A837,'Exetel ExDa'!$C$2:$N$14, 12,FALSE), IFERROR(VLOOKUP($A837,'Infinet ExDa'!$B$2:$E$14, 0,FALSE), "Not Found"))))))))</f>
        <v>Not Found</v>
      </c>
      <c r="L837" s="235" t="str">
        <f>IFERROR(VLOOKUP($A837,'AAPT ExDa'!$B$2:$U$99, 11,FALSE), IFERROR(VLOOKUP($A837,'ABB ExDa'!$A$2:$N$184, 9,FALSE), IFERROR(VLOOKUP($A837,'Vocus SIT ExDa'!$B$2:$J$173, 8,FALSE), IFERROR(VLOOKUP($A837,'Telstra ExDa'!$B$2:$K$310, 0,FALSE), IFERROR(VLOOKUP($A837,'Vocus RVC ExDa'!$C$2:$R$155, 0,FALSE), IFERROR(VLOOKUP($A837,'Fusion ExDa'!$B$2:$D$16, 0,FALSE), IFERROR(VLOOKUP($A837,'Exetel ExDa'!$C$2:$N$14, 9,FALSE), IFERROR(VLOOKUP($A837,'Infinet ExDa'!$B$2:$E$14, 0,FALSE), "Not Found"))))))))</f>
        <v>Not Found</v>
      </c>
      <c r="M837" s="234" t="str">
        <f>IFERROR(VLOOKUP($A837,'AAPT ExDa'!$B$2:$U$99, 0,FALSE), IFERROR(VLOOKUP($A837,'ABB ExDa'!$A$2:$N$184, 0,FALSE), IFERROR(VLOOKUP($A837,'Vocus SIT ExDa'!$B$2:$J$173, 0,FALSE), IFERROR(VLOOKUP($A837,'Telstra ExDa'!$B$2:$K$310, 0,FALSE), IFERROR(VLOOKUP($A837,'Vocus RVC ExDa'!$C$2:$R$155, 0,FALSE), IFERROR(VLOOKUP($A837,'Fusion ExDa'!$B$2:$D$16, 0,FALSE), IFERROR(VLOOKUP($A837,'Exetel ExDa'!$C$2:$N$14, 11,FALSE), IFERROR(VLOOKUP($A837,'Infinet ExDa'!$B$2:$E$14, 0,FALSE), "Not Found"))))))))</f>
        <v>Not Found</v>
      </c>
      <c r="N837" t="str">
        <f>IFERROR(VLOOKUP($A837,'AAPT ExDa'!$B$2:$U$99, 0,FALSE), IFERROR(VLOOKUP($A837,'ABB ExDa'!$A$2:$N$184, 13,FALSE), IFERROR(VLOOKUP($A837,'Vocus SIT ExDa'!$B$2:$J$173, 0,FALSE), IFERROR(VLOOKUP($A837,'Telstra ExDa'!$B$2:$K$310, 0,FALSE), IFERROR(VLOOKUP($A837,'Vocus RVC ExDa'!$C$2:$R$155, 0,FALSE), IFERROR(VLOOKUP($A837,'Fusion ExDa'!$B$2:$D$16, 0,FALSE), IFERROR(VLOOKUP($A837,'Exetel ExDa'!$C$2:$N$14, 0,FALSE), IFERROR(VLOOKUP($A837,'Infinet ExDa'!$B$2:$E$14, 0,FALSE), "Not Found"))))))))</f>
        <v>Not Found</v>
      </c>
    </row>
    <row r="838" spans="1:14">
      <c r="A838" t="str">
        <v>Nodo Elizabeth St</v>
      </c>
      <c r="B838" t="str">
        <f>IFERROR(VLOOKUP(A838,'Exetel ExDa'!$C$2:$N$14,4,FALSE),"No Data")</f>
        <v>No Data</v>
      </c>
      <c r="C838" t="str">
        <f>IFERROR(VLOOKUP(A838,'AAPT ExDa'!$B$2:$U$99, 2,FALSE), IFERROR(VLOOKUP(A838,'ABB ExDa'!$A$2:$N$184, 2,FALSE), IFERROR(VLOOKUP(A838,'Vocus SIT ExDa'!$B$2:$J$173, 7,FALSE), IFERROR(VLOOKUP(A838,'Telstra ExDa'!$B$2:$K$310, 2,FALSE), IFERROR(VLOOKUP(A838,'Vocus RVC ExDa'!$C$2:$R$155, 3,FALSE), IFERROR(VLOOKUP(A838,'Fusion ExDa'!$B$2:$D$16, 2,FALSE), IFERROR(VLOOKUP(A838,'Exetel ExDa'!$C$2:$N$14, 2,FALSE), IFERROR(VLOOKUP(A838,'Infinet ExDa'!$B$2:$E$14, 2,FALSE), "Not Found"))))))))</f>
        <v>300 Elizabeth  ST</v>
      </c>
      <c r="D838">
        <f>IFERROR(VLOOKUP($A838,'AAPT ExDa'!$B$2:$U$99, 15,FALSE), IFERROR(VLOOKUP($A838,'ABB ExDa'!$A$2:$N$184, 4,FALSE), IFERROR(VLOOKUP($A838,'Vocus SIT ExDa'!$B$2:$J$173, 5,FALSE), IFERROR(VLOOKUP($A838,'Telstra ExDa'!$B$2:$K$310, 8,FALSE), IFERROR(VLOOKUP($A838,'Vocus RVC ExDa'!$C$2:$R$155, 6,FALSE), IFERROR(VLOOKUP($A838,'Fusion ExDa'!$B$2:$D$16, 4,FALSE), IFERROR(VLOOKUP($A838,'Exetel ExDa'!$C$2:$N$14, 3,FALSE), IFERROR(VLOOKUP($A838,'Infinet ExDa'!$B$2:$E$14, 3,FALSE), "Not Found"))))))))</f>
        <v>4000</v>
      </c>
      <c r="E838" t="str">
        <f>IFERROR(VLOOKUP($A838,'AAPT ExDa'!$B$2:$U$99, 3,FALSE), IFERROR(VLOOKUP($A838,'ABB ExDa'!$A$2:$N$184, 5,FALSE), IFERROR(VLOOKUP($A838,'Vocus SIT ExDa'!$B$2:$J$173, 2,FALSE), IFERROR(VLOOKUP($A838,'Telstra ExDa'!$B$2:$K$310, 4,FALSE), IFERROR(VLOOKUP($A838,'Vocus RVC ExDa'!$C$2:$R$155, 8,FALSE), IFERROR(VLOOKUP($A838,'Fusion ExDa'!$B$2:$D$16, 4,FALSE), IFERROR(VLOOKUP($A838,'Exetel ExDa'!$C$2:$N$14, 5,FALSE), IFERROR(VLOOKUP($A838,'Infinet ExDa'!$B$2:$E$14, 3,FALSE), "Not Found"))))))))</f>
        <v>Mobile Service</v>
      </c>
      <c r="F838">
        <f>IFERROR(VLOOKUP($A838,'AAPT ExDa'!$B$2:$U$99, 4,FALSE), IFERROR(VLOOKUP($A838,'ABB ExDa'!$A$2:$N$184, 6,FALSE), IFERROR(VLOOKUP($A838,'Vocus SIT ExDa'!$B$2:$J$173, 3,FALSE), IFERROR(VLOOKUP($A838,'Telstra ExDa'!$B$2:$K$310, 5,FALSE), IFERROR(VLOOKUP($A838,'Vocus RVC ExDa'!$C$2:$R$155, 9,FALSE), IFERROR(VLOOKUP($A838,'Fusion ExDa'!$B$2:$D$16, 0,FALSE), IFERROR(VLOOKUP($A838,'Exetel ExDa'!$C$2:$N$14, 6,FALSE), IFERROR(VLOOKUP($A838,'Infinet ExDa'!$B$2:$E$14, 0,FALSE), "Not Found"))))))))</f>
        <v>45642</v>
      </c>
      <c r="G838">
        <f>IFERROR(VLOOKUP($A838,'AAPT ExDa'!$B$2:$U$99, 5,FALSE), IFERROR(VLOOKUP($A838,'ABB ExDa'!$A$2:$N$184, 8,FALSE), IFERROR(VLOOKUP($A838,'Vocus SIT ExDa'!$B$2:$J$173, 6,FALSE), IFERROR(VLOOKUP($A838,'Telstra ExDa'!$B$2:$K$310, 0,FALSE), IFERROR(VLOOKUP($A838,'Vocus RVC ExDa'!$C$2:$R$155, 15,FALSE), IFERROR(VLOOKUP($A838,'Fusion ExDa'!$B$2:$D$16, 0,FALSE), IFERROR(VLOOKUP($A838,'Exetel ExDa'!$C$2:$N$14, 7,FALSE), IFERROR(VLOOKUP($A838,'Infinet ExDa'!$B$2:$E$14, 0,FALSE), "Not Found"))))))))</f>
        <v>0</v>
      </c>
      <c r="H838">
        <f>IFERROR(VLOOKUP($A838,'AAPT ExDa'!$B$2:$U$99, 6,FALSE), IFERROR(VLOOKUP($A838,'ABB ExDa'!$A$2:$N$184, 0,FALSE), IFERROR(VLOOKUP($A838,'Vocus SIT ExDa'!$B$2:$J$173, 0,FALSE), IFERROR(VLOOKUP($A838,'Telstra ExDa'!$B$2:$K$310, 0,FALSE), IFERROR(VLOOKUP($A838,'Vocus RVC ExDa'!$C$2:$R$155, 16,FALSE), IFERROR(VLOOKUP($A838,'Fusion ExDa'!$B$2:$D$16, 0,FALSE), IFERROR(VLOOKUP($A838,'Exetel ExDa'!$C$2:$N$14, 0,FALSE), IFERROR(VLOOKUP($A838,'Infinet ExDa'!$B$2:$E$14, 0,FALSE), "Not Found"))))))))</f>
        <v>0</v>
      </c>
      <c r="I838" t="str">
        <f>IFERROR(VLOOKUP($A838,'AAPT ExDa'!$B$2:$U$99, 0,FALSE), IFERROR(VLOOKUP($A838,'ABB ExDa'!$A$2:$N$184, 0,FALSE), IFERROR(VLOOKUP($A838,'Vocus SIT ExDa'!$B$2:$J$173, 0,FALSE), IFERROR(VLOOKUP($A838,'Telstra ExDa'!$B$2:$K$310, 0,FALSE), IFERROR(VLOOKUP($A838,'Vocus RVC ExDa'!$C$2:$R$155, 0,FALSE), IFERROR(VLOOKUP($A838,'Fusion ExDa'!$B$2:$D$16, 0,FALSE), IFERROR(VLOOKUP($A838,'Exetel ExDa'!$C$2:$N$14, 8,FALSE), IFERROR(VLOOKUP($A838,'Infinet ExDa'!$B$2:$E$14, 0,FALSE), "Not Found"))))))))</f>
        <v>Not Found</v>
      </c>
      <c r="J838">
        <f>IFERROR(VLOOKUP($A838,'AAPT ExDa'!$B$2:$U$99, 7,FALSE), IFERROR(VLOOKUP($A838,'ABB ExDa'!$A$2:$N$184, 2,FALSE), IFERROR(VLOOKUP($A838,'Vocus SIT ExDa'!$B$2:$J$173, 0,FALSE), IFERROR(VLOOKUP($A838,'Telstra ExDa'!$B$2:$K$310, 7,FALSE), IFERROR(VLOOKUP($A838,'Vocus RVC ExDa'!$C$2:$R$155, 2,FALSE), IFERROR(VLOOKUP($A838,'Fusion ExDa'!$B$2:$D$16, 3,FALSE), IFERROR(VLOOKUP($A838,'Exetel ExDa'!$C$2:$N$14, 0,FALSE), IFERROR(VLOOKUP($A838,'Infinet ExDa'!$B$2:$E$14, 0,FALSE), "Not Found"))))))))</f>
        <v>0</v>
      </c>
      <c r="K838" t="str">
        <f>IFERROR(VLOOKUP($A838,'AAPT ExDa'!$B$2:$U$99, 12,FALSE), IFERROR(VLOOKUP($A838,'ABB ExDa'!$A$2:$N$184, 0,FALSE), IFERROR(VLOOKUP($A838,'Vocus SIT ExDa'!$B$2:$J$173, 0,FALSE), IFERROR(VLOOKUP($A838,'Telstra ExDa'!$B$2:$K$310, 0,FALSE), IFERROR(VLOOKUP($A838,'Vocus RVC ExDa'!$C$2:$R$155, 0,FALSE), IFERROR(VLOOKUP($A838,'Fusion ExDa'!$B$2:$D$16, 0,FALSE), IFERROR(VLOOKUP($A838,'Exetel ExDa'!$C$2:$N$14, 12,FALSE), IFERROR(VLOOKUP($A838,'Infinet ExDa'!$B$2:$E$14, 0,FALSE), "Not Found"))))))))</f>
        <v>Not Found</v>
      </c>
      <c r="L838" s="235" t="str">
        <f>IFERROR(VLOOKUP($A838,'AAPT ExDa'!$B$2:$U$99, 11,FALSE), IFERROR(VLOOKUP($A838,'ABB ExDa'!$A$2:$N$184, 9,FALSE), IFERROR(VLOOKUP($A838,'Vocus SIT ExDa'!$B$2:$J$173, 8,FALSE), IFERROR(VLOOKUP($A838,'Telstra ExDa'!$B$2:$K$310, 0,FALSE), IFERROR(VLOOKUP($A838,'Vocus RVC ExDa'!$C$2:$R$155, 0,FALSE), IFERROR(VLOOKUP($A838,'Fusion ExDa'!$B$2:$D$16, 0,FALSE), IFERROR(VLOOKUP($A838,'Exetel ExDa'!$C$2:$N$14, 9,FALSE), IFERROR(VLOOKUP($A838,'Infinet ExDa'!$B$2:$E$14, 0,FALSE), "Not Found"))))))))</f>
        <v>Not Found</v>
      </c>
      <c r="M838" s="234" t="str">
        <f>IFERROR(VLOOKUP($A838,'AAPT ExDa'!$B$2:$U$99, 0,FALSE), IFERROR(VLOOKUP($A838,'ABB ExDa'!$A$2:$N$184, 0,FALSE), IFERROR(VLOOKUP($A838,'Vocus SIT ExDa'!$B$2:$J$173, 0,FALSE), IFERROR(VLOOKUP($A838,'Telstra ExDa'!$B$2:$K$310, 0,FALSE), IFERROR(VLOOKUP($A838,'Vocus RVC ExDa'!$C$2:$R$155, 0,FALSE), IFERROR(VLOOKUP($A838,'Fusion ExDa'!$B$2:$D$16, 0,FALSE), IFERROR(VLOOKUP($A838,'Exetel ExDa'!$C$2:$N$14, 11,FALSE), IFERROR(VLOOKUP($A838,'Infinet ExDa'!$B$2:$E$14, 0,FALSE), "Not Found"))))))))</f>
        <v>Not Found</v>
      </c>
      <c r="N838" t="str">
        <f>IFERROR(VLOOKUP($A838,'AAPT ExDa'!$B$2:$U$99, 0,FALSE), IFERROR(VLOOKUP($A838,'ABB ExDa'!$A$2:$N$184, 13,FALSE), IFERROR(VLOOKUP($A838,'Vocus SIT ExDa'!$B$2:$J$173, 0,FALSE), IFERROR(VLOOKUP($A838,'Telstra ExDa'!$B$2:$K$310, 0,FALSE), IFERROR(VLOOKUP($A838,'Vocus RVC ExDa'!$C$2:$R$155, 0,FALSE), IFERROR(VLOOKUP($A838,'Fusion ExDa'!$B$2:$D$16, 0,FALSE), IFERROR(VLOOKUP($A838,'Exetel ExDa'!$C$2:$N$14, 0,FALSE), IFERROR(VLOOKUP($A838,'Infinet ExDa'!$B$2:$E$14, 0,FALSE), "Not Found"))))))))</f>
        <v>Not Found</v>
      </c>
    </row>
    <row r="839" spans="1:14">
      <c r="A839" t="str">
        <v xml:space="preserve">	Zambrero Wyoming</v>
      </c>
      <c r="B839" t="str">
        <f>IFERROR(VLOOKUP(A839,'Exetel ExDa'!$C$2:$N$14,4,FALSE),"No Data")</f>
        <v>No Data</v>
      </c>
      <c r="C839" t="str">
        <f>IFERROR(VLOOKUP(A839,'AAPT ExDa'!$B$2:$U$99, 2,FALSE), IFERROR(VLOOKUP(A839,'ABB ExDa'!$A$2:$N$184, 2,FALSE), IFERROR(VLOOKUP(A839,'Vocus SIT ExDa'!$B$2:$J$173, 7,FALSE), IFERROR(VLOOKUP(A839,'Telstra ExDa'!$B$2:$K$310, 2,FALSE), IFERROR(VLOOKUP(A839,'Vocus RVC ExDa'!$C$2:$R$155, 3,FALSE), IFERROR(VLOOKUP(A839,'Fusion ExDa'!$B$2:$D$16, 2,FALSE), IFERROR(VLOOKUP(A839,'Exetel ExDa'!$C$2:$N$14, 2,FALSE), IFERROR(VLOOKUP(A839,'Infinet ExDa'!$B$2:$E$14, 2,FALSE), "Not Found"))))))))</f>
        <v>459 Pacific  HWY</v>
      </c>
      <c r="D839">
        <f>IFERROR(VLOOKUP($A839,'AAPT ExDa'!$B$2:$U$99, 15,FALSE), IFERROR(VLOOKUP($A839,'ABB ExDa'!$A$2:$N$184, 4,FALSE), IFERROR(VLOOKUP($A839,'Vocus SIT ExDa'!$B$2:$J$173, 5,FALSE), IFERROR(VLOOKUP($A839,'Telstra ExDa'!$B$2:$K$310, 8,FALSE), IFERROR(VLOOKUP($A839,'Vocus RVC ExDa'!$C$2:$R$155, 6,FALSE), IFERROR(VLOOKUP($A839,'Fusion ExDa'!$B$2:$D$16, 4,FALSE), IFERROR(VLOOKUP($A839,'Exetel ExDa'!$C$2:$N$14, 3,FALSE), IFERROR(VLOOKUP($A839,'Infinet ExDa'!$B$2:$E$14, 3,FALSE), "Not Found"))))))))</f>
        <v>2250</v>
      </c>
      <c r="E839" t="str">
        <f>IFERROR(VLOOKUP($A839,'AAPT ExDa'!$B$2:$U$99, 3,FALSE), IFERROR(VLOOKUP($A839,'ABB ExDa'!$A$2:$N$184, 5,FALSE), IFERROR(VLOOKUP($A839,'Vocus SIT ExDa'!$B$2:$J$173, 2,FALSE), IFERROR(VLOOKUP($A839,'Telstra ExDa'!$B$2:$K$310, 4,FALSE), IFERROR(VLOOKUP($A839,'Vocus RVC ExDa'!$C$2:$R$155, 8,FALSE), IFERROR(VLOOKUP($A839,'Fusion ExDa'!$B$2:$D$16, 4,FALSE), IFERROR(VLOOKUP($A839,'Exetel ExDa'!$C$2:$N$14, 5,FALSE), IFERROR(VLOOKUP($A839,'Infinet ExDa'!$B$2:$E$14, 3,FALSE), "Not Found"))))))))</f>
        <v>Mobile Service</v>
      </c>
      <c r="F839">
        <f>IFERROR(VLOOKUP($A839,'AAPT ExDa'!$B$2:$U$99, 4,FALSE), IFERROR(VLOOKUP($A839,'ABB ExDa'!$A$2:$N$184, 6,FALSE), IFERROR(VLOOKUP($A839,'Vocus SIT ExDa'!$B$2:$J$173, 3,FALSE), IFERROR(VLOOKUP($A839,'Telstra ExDa'!$B$2:$K$310, 5,FALSE), IFERROR(VLOOKUP($A839,'Vocus RVC ExDa'!$C$2:$R$155, 9,FALSE), IFERROR(VLOOKUP($A839,'Fusion ExDa'!$B$2:$D$16, 0,FALSE), IFERROR(VLOOKUP($A839,'Exetel ExDa'!$C$2:$N$14, 6,FALSE), IFERROR(VLOOKUP($A839,'Infinet ExDa'!$B$2:$E$14, 0,FALSE), "Not Found"))))))))</f>
        <v>45644</v>
      </c>
      <c r="G839">
        <f>IFERROR(VLOOKUP($A839,'AAPT ExDa'!$B$2:$U$99, 5,FALSE), IFERROR(VLOOKUP($A839,'ABB ExDa'!$A$2:$N$184, 8,FALSE), IFERROR(VLOOKUP($A839,'Vocus SIT ExDa'!$B$2:$J$173, 6,FALSE), IFERROR(VLOOKUP($A839,'Telstra ExDa'!$B$2:$K$310, 0,FALSE), IFERROR(VLOOKUP($A839,'Vocus RVC ExDa'!$C$2:$R$155, 15,FALSE), IFERROR(VLOOKUP($A839,'Fusion ExDa'!$B$2:$D$16, 0,FALSE), IFERROR(VLOOKUP($A839,'Exetel ExDa'!$C$2:$N$14, 7,FALSE), IFERROR(VLOOKUP($A839,'Infinet ExDa'!$B$2:$E$14, 0,FALSE), "Not Found"))))))))</f>
        <v>0</v>
      </c>
      <c r="H839">
        <f>IFERROR(VLOOKUP($A839,'AAPT ExDa'!$B$2:$U$99, 6,FALSE), IFERROR(VLOOKUP($A839,'ABB ExDa'!$A$2:$N$184, 0,FALSE), IFERROR(VLOOKUP($A839,'Vocus SIT ExDa'!$B$2:$J$173, 0,FALSE), IFERROR(VLOOKUP($A839,'Telstra ExDa'!$B$2:$K$310, 0,FALSE), IFERROR(VLOOKUP($A839,'Vocus RVC ExDa'!$C$2:$R$155, 16,FALSE), IFERROR(VLOOKUP($A839,'Fusion ExDa'!$B$2:$D$16, 0,FALSE), IFERROR(VLOOKUP($A839,'Exetel ExDa'!$C$2:$N$14, 0,FALSE), IFERROR(VLOOKUP($A839,'Infinet ExDa'!$B$2:$E$14, 0,FALSE), "Not Found"))))))))</f>
        <v>0</v>
      </c>
      <c r="I839" t="str">
        <f>IFERROR(VLOOKUP($A839,'AAPT ExDa'!$B$2:$U$99, 0,FALSE), IFERROR(VLOOKUP($A839,'ABB ExDa'!$A$2:$N$184, 0,FALSE), IFERROR(VLOOKUP($A839,'Vocus SIT ExDa'!$B$2:$J$173, 0,FALSE), IFERROR(VLOOKUP($A839,'Telstra ExDa'!$B$2:$K$310, 0,FALSE), IFERROR(VLOOKUP($A839,'Vocus RVC ExDa'!$C$2:$R$155, 0,FALSE), IFERROR(VLOOKUP($A839,'Fusion ExDa'!$B$2:$D$16, 0,FALSE), IFERROR(VLOOKUP($A839,'Exetel ExDa'!$C$2:$N$14, 8,FALSE), IFERROR(VLOOKUP($A839,'Infinet ExDa'!$B$2:$E$14, 0,FALSE), "Not Found"))))))))</f>
        <v>Not Found</v>
      </c>
      <c r="J839">
        <f>IFERROR(VLOOKUP($A839,'AAPT ExDa'!$B$2:$U$99, 7,FALSE), IFERROR(VLOOKUP($A839,'ABB ExDa'!$A$2:$N$184, 2,FALSE), IFERROR(VLOOKUP($A839,'Vocus SIT ExDa'!$B$2:$J$173, 0,FALSE), IFERROR(VLOOKUP($A839,'Telstra ExDa'!$B$2:$K$310, 7,FALSE), IFERROR(VLOOKUP($A839,'Vocus RVC ExDa'!$C$2:$R$155, 2,FALSE), IFERROR(VLOOKUP($A839,'Fusion ExDa'!$B$2:$D$16, 3,FALSE), IFERROR(VLOOKUP($A839,'Exetel ExDa'!$C$2:$N$14, 0,FALSE), IFERROR(VLOOKUP($A839,'Infinet ExDa'!$B$2:$E$14, 0,FALSE), "Not Found"))))))))</f>
        <v>0</v>
      </c>
      <c r="K839" t="str">
        <f>IFERROR(VLOOKUP($A839,'AAPT ExDa'!$B$2:$U$99, 12,FALSE), IFERROR(VLOOKUP($A839,'ABB ExDa'!$A$2:$N$184, 0,FALSE), IFERROR(VLOOKUP($A839,'Vocus SIT ExDa'!$B$2:$J$173, 0,FALSE), IFERROR(VLOOKUP($A839,'Telstra ExDa'!$B$2:$K$310, 0,FALSE), IFERROR(VLOOKUP($A839,'Vocus RVC ExDa'!$C$2:$R$155, 0,FALSE), IFERROR(VLOOKUP($A839,'Fusion ExDa'!$B$2:$D$16, 0,FALSE), IFERROR(VLOOKUP($A839,'Exetel ExDa'!$C$2:$N$14, 12,FALSE), IFERROR(VLOOKUP($A839,'Infinet ExDa'!$B$2:$E$14, 0,FALSE), "Not Found"))))))))</f>
        <v>Not Found</v>
      </c>
      <c r="L839" s="235" t="str">
        <f>IFERROR(VLOOKUP($A839,'AAPT ExDa'!$B$2:$U$99, 11,FALSE), IFERROR(VLOOKUP($A839,'ABB ExDa'!$A$2:$N$184, 9,FALSE), IFERROR(VLOOKUP($A839,'Vocus SIT ExDa'!$B$2:$J$173, 8,FALSE), IFERROR(VLOOKUP($A839,'Telstra ExDa'!$B$2:$K$310, 0,FALSE), IFERROR(VLOOKUP($A839,'Vocus RVC ExDa'!$C$2:$R$155, 0,FALSE), IFERROR(VLOOKUP($A839,'Fusion ExDa'!$B$2:$D$16, 0,FALSE), IFERROR(VLOOKUP($A839,'Exetel ExDa'!$C$2:$N$14, 9,FALSE), IFERROR(VLOOKUP($A839,'Infinet ExDa'!$B$2:$E$14, 0,FALSE), "Not Found"))))))))</f>
        <v>Not Found</v>
      </c>
      <c r="M839" s="234" t="str">
        <f>IFERROR(VLOOKUP($A839,'AAPT ExDa'!$B$2:$U$99, 0,FALSE), IFERROR(VLOOKUP($A839,'ABB ExDa'!$A$2:$N$184, 0,FALSE), IFERROR(VLOOKUP($A839,'Vocus SIT ExDa'!$B$2:$J$173, 0,FALSE), IFERROR(VLOOKUP($A839,'Telstra ExDa'!$B$2:$K$310, 0,FALSE), IFERROR(VLOOKUP($A839,'Vocus RVC ExDa'!$C$2:$R$155, 0,FALSE), IFERROR(VLOOKUP($A839,'Fusion ExDa'!$B$2:$D$16, 0,FALSE), IFERROR(VLOOKUP($A839,'Exetel ExDa'!$C$2:$N$14, 11,FALSE), IFERROR(VLOOKUP($A839,'Infinet ExDa'!$B$2:$E$14, 0,FALSE), "Not Found"))))))))</f>
        <v>Not Found</v>
      </c>
      <c r="N839" t="str">
        <f>IFERROR(VLOOKUP($A839,'AAPT ExDa'!$B$2:$U$99, 0,FALSE), IFERROR(VLOOKUP($A839,'ABB ExDa'!$A$2:$N$184, 13,FALSE), IFERROR(VLOOKUP($A839,'Vocus SIT ExDa'!$B$2:$J$173, 0,FALSE), IFERROR(VLOOKUP($A839,'Telstra ExDa'!$B$2:$K$310, 0,FALSE), IFERROR(VLOOKUP($A839,'Vocus RVC ExDa'!$C$2:$R$155, 0,FALSE), IFERROR(VLOOKUP($A839,'Fusion ExDa'!$B$2:$D$16, 0,FALSE), IFERROR(VLOOKUP($A839,'Exetel ExDa'!$C$2:$N$14, 0,FALSE), IFERROR(VLOOKUP($A839,'Infinet ExDa'!$B$2:$E$14, 0,FALSE), "Not Found"))))))))</f>
        <v>Not Found</v>
      </c>
    </row>
    <row r="840" spans="1:14">
      <c r="A840" t="str">
        <v xml:space="preserve">	The Yiros Shop Southport</v>
      </c>
      <c r="B840" t="str">
        <f>IFERROR(VLOOKUP(A840,'Exetel ExDa'!$C$2:$N$14,4,FALSE),"No Data")</f>
        <v>No Data</v>
      </c>
      <c r="C840" t="str">
        <f>IFERROR(VLOOKUP(A840,'AAPT ExDa'!$B$2:$U$99, 2,FALSE), IFERROR(VLOOKUP(A840,'ABB ExDa'!$A$2:$N$184, 2,FALSE), IFERROR(VLOOKUP(A840,'Vocus SIT ExDa'!$B$2:$J$173, 7,FALSE), IFERROR(VLOOKUP(A840,'Telstra ExDa'!$B$2:$K$310, 2,FALSE), IFERROR(VLOOKUP(A840,'Vocus RVC ExDa'!$C$2:$R$155, 3,FALSE), IFERROR(VLOOKUP(A840,'Fusion ExDa'!$B$2:$D$16, 2,FALSE), IFERROR(VLOOKUP(A840,'Exetel ExDa'!$C$2:$N$14, 2,FALSE), IFERROR(VLOOKUP(A840,'Infinet ExDa'!$B$2:$E$14, 2,FALSE), "Not Found"))))))))</f>
        <v>T9A 129 Queen ST</v>
      </c>
      <c r="D840">
        <f>IFERROR(VLOOKUP($A840,'AAPT ExDa'!$B$2:$U$99, 15,FALSE), IFERROR(VLOOKUP($A840,'ABB ExDa'!$A$2:$N$184, 4,FALSE), IFERROR(VLOOKUP($A840,'Vocus SIT ExDa'!$B$2:$J$173, 5,FALSE), IFERROR(VLOOKUP($A840,'Telstra ExDa'!$B$2:$K$310, 8,FALSE), IFERROR(VLOOKUP($A840,'Vocus RVC ExDa'!$C$2:$R$155, 6,FALSE), IFERROR(VLOOKUP($A840,'Fusion ExDa'!$B$2:$D$16, 4,FALSE), IFERROR(VLOOKUP($A840,'Exetel ExDa'!$C$2:$N$14, 3,FALSE), IFERROR(VLOOKUP($A840,'Infinet ExDa'!$B$2:$E$14, 3,FALSE), "Not Found"))))))))</f>
        <v>4215</v>
      </c>
      <c r="E840" t="str">
        <f>IFERROR(VLOOKUP($A840,'AAPT ExDa'!$B$2:$U$99, 3,FALSE), IFERROR(VLOOKUP($A840,'ABB ExDa'!$A$2:$N$184, 5,FALSE), IFERROR(VLOOKUP($A840,'Vocus SIT ExDa'!$B$2:$J$173, 2,FALSE), IFERROR(VLOOKUP($A840,'Telstra ExDa'!$B$2:$K$310, 4,FALSE), IFERROR(VLOOKUP($A840,'Vocus RVC ExDa'!$C$2:$R$155, 8,FALSE), IFERROR(VLOOKUP($A840,'Fusion ExDa'!$B$2:$D$16, 4,FALSE), IFERROR(VLOOKUP($A840,'Exetel ExDa'!$C$2:$N$14, 5,FALSE), IFERROR(VLOOKUP($A840,'Infinet ExDa'!$B$2:$E$14, 3,FALSE), "Not Found"))))))))</f>
        <v>Mobile Service</v>
      </c>
      <c r="F840">
        <f>IFERROR(VLOOKUP($A840,'AAPT ExDa'!$B$2:$U$99, 4,FALSE), IFERROR(VLOOKUP($A840,'ABB ExDa'!$A$2:$N$184, 6,FALSE), IFERROR(VLOOKUP($A840,'Vocus SIT ExDa'!$B$2:$J$173, 3,FALSE), IFERROR(VLOOKUP($A840,'Telstra ExDa'!$B$2:$K$310, 5,FALSE), IFERROR(VLOOKUP($A840,'Vocus RVC ExDa'!$C$2:$R$155, 9,FALSE), IFERROR(VLOOKUP($A840,'Fusion ExDa'!$B$2:$D$16, 0,FALSE), IFERROR(VLOOKUP($A840,'Exetel ExDa'!$C$2:$N$14, 6,FALSE), IFERROR(VLOOKUP($A840,'Infinet ExDa'!$B$2:$E$14, 0,FALSE), "Not Found"))))))))</f>
        <v>45646</v>
      </c>
      <c r="G840">
        <f>IFERROR(VLOOKUP($A840,'AAPT ExDa'!$B$2:$U$99, 5,FALSE), IFERROR(VLOOKUP($A840,'ABB ExDa'!$A$2:$N$184, 8,FALSE), IFERROR(VLOOKUP($A840,'Vocus SIT ExDa'!$B$2:$J$173, 6,FALSE), IFERROR(VLOOKUP($A840,'Telstra ExDa'!$B$2:$K$310, 0,FALSE), IFERROR(VLOOKUP($A840,'Vocus RVC ExDa'!$C$2:$R$155, 15,FALSE), IFERROR(VLOOKUP($A840,'Fusion ExDa'!$B$2:$D$16, 0,FALSE), IFERROR(VLOOKUP($A840,'Exetel ExDa'!$C$2:$N$14, 7,FALSE), IFERROR(VLOOKUP($A840,'Infinet ExDa'!$B$2:$E$14, 0,FALSE), "Not Found"))))))))</f>
        <v>0</v>
      </c>
      <c r="H840">
        <f>IFERROR(VLOOKUP($A840,'AAPT ExDa'!$B$2:$U$99, 6,FALSE), IFERROR(VLOOKUP($A840,'ABB ExDa'!$A$2:$N$184, 0,FALSE), IFERROR(VLOOKUP($A840,'Vocus SIT ExDa'!$B$2:$J$173, 0,FALSE), IFERROR(VLOOKUP($A840,'Telstra ExDa'!$B$2:$K$310, 0,FALSE), IFERROR(VLOOKUP($A840,'Vocus RVC ExDa'!$C$2:$R$155, 16,FALSE), IFERROR(VLOOKUP($A840,'Fusion ExDa'!$B$2:$D$16, 0,FALSE), IFERROR(VLOOKUP($A840,'Exetel ExDa'!$C$2:$N$14, 0,FALSE), IFERROR(VLOOKUP($A840,'Infinet ExDa'!$B$2:$E$14, 0,FALSE), "Not Found"))))))))</f>
        <v>0</v>
      </c>
      <c r="I840" t="str">
        <f>IFERROR(VLOOKUP($A840,'AAPT ExDa'!$B$2:$U$99, 0,FALSE), IFERROR(VLOOKUP($A840,'ABB ExDa'!$A$2:$N$184, 0,FALSE), IFERROR(VLOOKUP($A840,'Vocus SIT ExDa'!$B$2:$J$173, 0,FALSE), IFERROR(VLOOKUP($A840,'Telstra ExDa'!$B$2:$K$310, 0,FALSE), IFERROR(VLOOKUP($A840,'Vocus RVC ExDa'!$C$2:$R$155, 0,FALSE), IFERROR(VLOOKUP($A840,'Fusion ExDa'!$B$2:$D$16, 0,FALSE), IFERROR(VLOOKUP($A840,'Exetel ExDa'!$C$2:$N$14, 8,FALSE), IFERROR(VLOOKUP($A840,'Infinet ExDa'!$B$2:$E$14, 0,FALSE), "Not Found"))))))))</f>
        <v>Not Found</v>
      </c>
      <c r="J840">
        <f>IFERROR(VLOOKUP($A840,'AAPT ExDa'!$B$2:$U$99, 7,FALSE), IFERROR(VLOOKUP($A840,'ABB ExDa'!$A$2:$N$184, 2,FALSE), IFERROR(VLOOKUP($A840,'Vocus SIT ExDa'!$B$2:$J$173, 0,FALSE), IFERROR(VLOOKUP($A840,'Telstra ExDa'!$B$2:$K$310, 7,FALSE), IFERROR(VLOOKUP($A840,'Vocus RVC ExDa'!$C$2:$R$155, 2,FALSE), IFERROR(VLOOKUP($A840,'Fusion ExDa'!$B$2:$D$16, 3,FALSE), IFERROR(VLOOKUP($A840,'Exetel ExDa'!$C$2:$N$14, 0,FALSE), IFERROR(VLOOKUP($A840,'Infinet ExDa'!$B$2:$E$14, 0,FALSE), "Not Found"))))))))</f>
        <v>0</v>
      </c>
      <c r="K840" t="str">
        <f>IFERROR(VLOOKUP($A840,'AAPT ExDa'!$B$2:$U$99, 12,FALSE), IFERROR(VLOOKUP($A840,'ABB ExDa'!$A$2:$N$184, 0,FALSE), IFERROR(VLOOKUP($A840,'Vocus SIT ExDa'!$B$2:$J$173, 0,FALSE), IFERROR(VLOOKUP($A840,'Telstra ExDa'!$B$2:$K$310, 0,FALSE), IFERROR(VLOOKUP($A840,'Vocus RVC ExDa'!$C$2:$R$155, 0,FALSE), IFERROR(VLOOKUP($A840,'Fusion ExDa'!$B$2:$D$16, 0,FALSE), IFERROR(VLOOKUP($A840,'Exetel ExDa'!$C$2:$N$14, 12,FALSE), IFERROR(VLOOKUP($A840,'Infinet ExDa'!$B$2:$E$14, 0,FALSE), "Not Found"))))))))</f>
        <v>Not Found</v>
      </c>
      <c r="L840" s="235" t="str">
        <f>IFERROR(VLOOKUP($A840,'AAPT ExDa'!$B$2:$U$99, 11,FALSE), IFERROR(VLOOKUP($A840,'ABB ExDa'!$A$2:$N$184, 9,FALSE), IFERROR(VLOOKUP($A840,'Vocus SIT ExDa'!$B$2:$J$173, 8,FALSE), IFERROR(VLOOKUP($A840,'Telstra ExDa'!$B$2:$K$310, 0,FALSE), IFERROR(VLOOKUP($A840,'Vocus RVC ExDa'!$C$2:$R$155, 0,FALSE), IFERROR(VLOOKUP($A840,'Fusion ExDa'!$B$2:$D$16, 0,FALSE), IFERROR(VLOOKUP($A840,'Exetel ExDa'!$C$2:$N$14, 9,FALSE), IFERROR(VLOOKUP($A840,'Infinet ExDa'!$B$2:$E$14, 0,FALSE), "Not Found"))))))))</f>
        <v>Not Found</v>
      </c>
      <c r="M840" s="234" t="str">
        <f>IFERROR(VLOOKUP($A840,'AAPT ExDa'!$B$2:$U$99, 0,FALSE), IFERROR(VLOOKUP($A840,'ABB ExDa'!$A$2:$N$184, 0,FALSE), IFERROR(VLOOKUP($A840,'Vocus SIT ExDa'!$B$2:$J$173, 0,FALSE), IFERROR(VLOOKUP($A840,'Telstra ExDa'!$B$2:$K$310, 0,FALSE), IFERROR(VLOOKUP($A840,'Vocus RVC ExDa'!$C$2:$R$155, 0,FALSE), IFERROR(VLOOKUP($A840,'Fusion ExDa'!$B$2:$D$16, 0,FALSE), IFERROR(VLOOKUP($A840,'Exetel ExDa'!$C$2:$N$14, 11,FALSE), IFERROR(VLOOKUP($A840,'Infinet ExDa'!$B$2:$E$14, 0,FALSE), "Not Found"))))))))</f>
        <v>Not Found</v>
      </c>
      <c r="N840" t="str">
        <f>IFERROR(VLOOKUP($A840,'AAPT ExDa'!$B$2:$U$99, 0,FALSE), IFERROR(VLOOKUP($A840,'ABB ExDa'!$A$2:$N$184, 13,FALSE), IFERROR(VLOOKUP($A840,'Vocus SIT ExDa'!$B$2:$J$173, 0,FALSE), IFERROR(VLOOKUP($A840,'Telstra ExDa'!$B$2:$K$310, 0,FALSE), IFERROR(VLOOKUP($A840,'Vocus RVC ExDa'!$C$2:$R$155, 0,FALSE), IFERROR(VLOOKUP($A840,'Fusion ExDa'!$B$2:$D$16, 0,FALSE), IFERROR(VLOOKUP($A840,'Exetel ExDa'!$C$2:$N$14, 0,FALSE), IFERROR(VLOOKUP($A840,'Infinet ExDa'!$B$2:$E$14, 0,FALSE), "Not Found"))))))))</f>
        <v>Not Found</v>
      </c>
    </row>
    <row r="841" spans="1:14">
      <c r="A841" t="str">
        <v xml:space="preserve">	Zambrero Coolangatta</v>
      </c>
      <c r="B841" t="str">
        <f>IFERROR(VLOOKUP(A841,'Exetel ExDa'!$C$2:$N$14,4,FALSE),"No Data")</f>
        <v>No Data</v>
      </c>
      <c r="C841" t="str">
        <f>IFERROR(VLOOKUP(A841,'AAPT ExDa'!$B$2:$U$99, 2,FALSE), IFERROR(VLOOKUP(A841,'ABB ExDa'!$A$2:$N$184, 2,FALSE), IFERROR(VLOOKUP(A841,'Vocus SIT ExDa'!$B$2:$J$173, 7,FALSE), IFERROR(VLOOKUP(A841,'Telstra ExDa'!$B$2:$K$310, 2,FALSE), IFERROR(VLOOKUP(A841,'Vocus RVC ExDa'!$C$2:$R$155, 3,FALSE), IFERROR(VLOOKUP(A841,'Fusion ExDa'!$B$2:$D$16, 2,FALSE), IFERROR(VLOOKUP(A841,'Exetel ExDa'!$C$2:$N$14, 2,FALSE), IFERROR(VLOOKUP(A841,'Infinet ExDa'!$B$2:$E$14, 2,FALSE), "Not Found"))))))))</f>
        <v>56 Griffith St ST</v>
      </c>
      <c r="D841">
        <f>IFERROR(VLOOKUP($A841,'AAPT ExDa'!$B$2:$U$99, 15,FALSE), IFERROR(VLOOKUP($A841,'ABB ExDa'!$A$2:$N$184, 4,FALSE), IFERROR(VLOOKUP($A841,'Vocus SIT ExDa'!$B$2:$J$173, 5,FALSE), IFERROR(VLOOKUP($A841,'Telstra ExDa'!$B$2:$K$310, 8,FALSE), IFERROR(VLOOKUP($A841,'Vocus RVC ExDa'!$C$2:$R$155, 6,FALSE), IFERROR(VLOOKUP($A841,'Fusion ExDa'!$B$2:$D$16, 4,FALSE), IFERROR(VLOOKUP($A841,'Exetel ExDa'!$C$2:$N$14, 3,FALSE), IFERROR(VLOOKUP($A841,'Infinet ExDa'!$B$2:$E$14, 3,FALSE), "Not Found"))))))))</f>
        <v>4225</v>
      </c>
      <c r="E841" t="str">
        <f>IFERROR(VLOOKUP($A841,'AAPT ExDa'!$B$2:$U$99, 3,FALSE), IFERROR(VLOOKUP($A841,'ABB ExDa'!$A$2:$N$184, 5,FALSE), IFERROR(VLOOKUP($A841,'Vocus SIT ExDa'!$B$2:$J$173, 2,FALSE), IFERROR(VLOOKUP($A841,'Telstra ExDa'!$B$2:$K$310, 4,FALSE), IFERROR(VLOOKUP($A841,'Vocus RVC ExDa'!$C$2:$R$155, 8,FALSE), IFERROR(VLOOKUP($A841,'Fusion ExDa'!$B$2:$D$16, 4,FALSE), IFERROR(VLOOKUP($A841,'Exetel ExDa'!$C$2:$N$14, 5,FALSE), IFERROR(VLOOKUP($A841,'Infinet ExDa'!$B$2:$E$14, 3,FALSE), "Not Found"))))))))</f>
        <v>Mobile Service</v>
      </c>
      <c r="F841">
        <f>IFERROR(VLOOKUP($A841,'AAPT ExDa'!$B$2:$U$99, 4,FALSE), IFERROR(VLOOKUP($A841,'ABB ExDa'!$A$2:$N$184, 6,FALSE), IFERROR(VLOOKUP($A841,'Vocus SIT ExDa'!$B$2:$J$173, 3,FALSE), IFERROR(VLOOKUP($A841,'Telstra ExDa'!$B$2:$K$310, 5,FALSE), IFERROR(VLOOKUP($A841,'Vocus RVC ExDa'!$C$2:$R$155, 9,FALSE), IFERROR(VLOOKUP($A841,'Fusion ExDa'!$B$2:$D$16, 0,FALSE), IFERROR(VLOOKUP($A841,'Exetel ExDa'!$C$2:$N$14, 6,FALSE), IFERROR(VLOOKUP($A841,'Infinet ExDa'!$B$2:$E$14, 0,FALSE), "Not Found"))))))))</f>
        <v>45670</v>
      </c>
      <c r="G841">
        <f>IFERROR(VLOOKUP($A841,'AAPT ExDa'!$B$2:$U$99, 5,FALSE), IFERROR(VLOOKUP($A841,'ABB ExDa'!$A$2:$N$184, 8,FALSE), IFERROR(VLOOKUP($A841,'Vocus SIT ExDa'!$B$2:$J$173, 6,FALSE), IFERROR(VLOOKUP($A841,'Telstra ExDa'!$B$2:$K$310, 0,FALSE), IFERROR(VLOOKUP($A841,'Vocus RVC ExDa'!$C$2:$R$155, 15,FALSE), IFERROR(VLOOKUP($A841,'Fusion ExDa'!$B$2:$D$16, 0,FALSE), IFERROR(VLOOKUP($A841,'Exetel ExDa'!$C$2:$N$14, 7,FALSE), IFERROR(VLOOKUP($A841,'Infinet ExDa'!$B$2:$E$14, 0,FALSE), "Not Found"))))))))</f>
        <v>0</v>
      </c>
      <c r="H841">
        <f>IFERROR(VLOOKUP($A841,'AAPT ExDa'!$B$2:$U$99, 6,FALSE), IFERROR(VLOOKUP($A841,'ABB ExDa'!$A$2:$N$184, 0,FALSE), IFERROR(VLOOKUP($A841,'Vocus SIT ExDa'!$B$2:$J$173, 0,FALSE), IFERROR(VLOOKUP($A841,'Telstra ExDa'!$B$2:$K$310, 0,FALSE), IFERROR(VLOOKUP($A841,'Vocus RVC ExDa'!$C$2:$R$155, 16,FALSE), IFERROR(VLOOKUP($A841,'Fusion ExDa'!$B$2:$D$16, 0,FALSE), IFERROR(VLOOKUP($A841,'Exetel ExDa'!$C$2:$N$14, 0,FALSE), IFERROR(VLOOKUP($A841,'Infinet ExDa'!$B$2:$E$14, 0,FALSE), "Not Found"))))))))</f>
        <v>0</v>
      </c>
      <c r="I841" t="str">
        <f>IFERROR(VLOOKUP($A841,'AAPT ExDa'!$B$2:$U$99, 0,FALSE), IFERROR(VLOOKUP($A841,'ABB ExDa'!$A$2:$N$184, 0,FALSE), IFERROR(VLOOKUP($A841,'Vocus SIT ExDa'!$B$2:$J$173, 0,FALSE), IFERROR(VLOOKUP($A841,'Telstra ExDa'!$B$2:$K$310, 0,FALSE), IFERROR(VLOOKUP($A841,'Vocus RVC ExDa'!$C$2:$R$155, 0,FALSE), IFERROR(VLOOKUP($A841,'Fusion ExDa'!$B$2:$D$16, 0,FALSE), IFERROR(VLOOKUP($A841,'Exetel ExDa'!$C$2:$N$14, 8,FALSE), IFERROR(VLOOKUP($A841,'Infinet ExDa'!$B$2:$E$14, 0,FALSE), "Not Found"))))))))</f>
        <v>Not Found</v>
      </c>
      <c r="J841">
        <f>IFERROR(VLOOKUP($A841,'AAPT ExDa'!$B$2:$U$99, 7,FALSE), IFERROR(VLOOKUP($A841,'ABB ExDa'!$A$2:$N$184, 2,FALSE), IFERROR(VLOOKUP($A841,'Vocus SIT ExDa'!$B$2:$J$173, 0,FALSE), IFERROR(VLOOKUP($A841,'Telstra ExDa'!$B$2:$K$310, 7,FALSE), IFERROR(VLOOKUP($A841,'Vocus RVC ExDa'!$C$2:$R$155, 2,FALSE), IFERROR(VLOOKUP($A841,'Fusion ExDa'!$B$2:$D$16, 3,FALSE), IFERROR(VLOOKUP($A841,'Exetel ExDa'!$C$2:$N$14, 0,FALSE), IFERROR(VLOOKUP($A841,'Infinet ExDa'!$B$2:$E$14, 0,FALSE), "Not Found"))))))))</f>
        <v>0</v>
      </c>
      <c r="K841" t="str">
        <f>IFERROR(VLOOKUP($A841,'AAPT ExDa'!$B$2:$U$99, 12,FALSE), IFERROR(VLOOKUP($A841,'ABB ExDa'!$A$2:$N$184, 0,FALSE), IFERROR(VLOOKUP($A841,'Vocus SIT ExDa'!$B$2:$J$173, 0,FALSE), IFERROR(VLOOKUP($A841,'Telstra ExDa'!$B$2:$K$310, 0,FALSE), IFERROR(VLOOKUP($A841,'Vocus RVC ExDa'!$C$2:$R$155, 0,FALSE), IFERROR(VLOOKUP($A841,'Fusion ExDa'!$B$2:$D$16, 0,FALSE), IFERROR(VLOOKUP($A841,'Exetel ExDa'!$C$2:$N$14, 12,FALSE), IFERROR(VLOOKUP($A841,'Infinet ExDa'!$B$2:$E$14, 0,FALSE), "Not Found"))))))))</f>
        <v>Not Found</v>
      </c>
      <c r="L841" s="235" t="str">
        <f>IFERROR(VLOOKUP($A841,'AAPT ExDa'!$B$2:$U$99, 11,FALSE), IFERROR(VLOOKUP($A841,'ABB ExDa'!$A$2:$N$184, 9,FALSE), IFERROR(VLOOKUP($A841,'Vocus SIT ExDa'!$B$2:$J$173, 8,FALSE), IFERROR(VLOOKUP($A841,'Telstra ExDa'!$B$2:$K$310, 0,FALSE), IFERROR(VLOOKUP($A841,'Vocus RVC ExDa'!$C$2:$R$155, 0,FALSE), IFERROR(VLOOKUP($A841,'Fusion ExDa'!$B$2:$D$16, 0,FALSE), IFERROR(VLOOKUP($A841,'Exetel ExDa'!$C$2:$N$14, 9,FALSE), IFERROR(VLOOKUP($A841,'Infinet ExDa'!$B$2:$E$14, 0,FALSE), "Not Found"))))))))</f>
        <v>Not Found</v>
      </c>
      <c r="M841" s="234" t="str">
        <f>IFERROR(VLOOKUP($A841,'AAPT ExDa'!$B$2:$U$99, 0,FALSE), IFERROR(VLOOKUP($A841,'ABB ExDa'!$A$2:$N$184, 0,FALSE), IFERROR(VLOOKUP($A841,'Vocus SIT ExDa'!$B$2:$J$173, 0,FALSE), IFERROR(VLOOKUP($A841,'Telstra ExDa'!$B$2:$K$310, 0,FALSE), IFERROR(VLOOKUP($A841,'Vocus RVC ExDa'!$C$2:$R$155, 0,FALSE), IFERROR(VLOOKUP($A841,'Fusion ExDa'!$B$2:$D$16, 0,FALSE), IFERROR(VLOOKUP($A841,'Exetel ExDa'!$C$2:$N$14, 11,FALSE), IFERROR(VLOOKUP($A841,'Infinet ExDa'!$B$2:$E$14, 0,FALSE), "Not Found"))))))))</f>
        <v>Not Found</v>
      </c>
      <c r="N841" t="str">
        <f>IFERROR(VLOOKUP($A841,'AAPT ExDa'!$B$2:$U$99, 0,FALSE), IFERROR(VLOOKUP($A841,'ABB ExDa'!$A$2:$N$184, 13,FALSE), IFERROR(VLOOKUP($A841,'Vocus SIT ExDa'!$B$2:$J$173, 0,FALSE), IFERROR(VLOOKUP($A841,'Telstra ExDa'!$B$2:$K$310, 0,FALSE), IFERROR(VLOOKUP($A841,'Vocus RVC ExDa'!$C$2:$R$155, 0,FALSE), IFERROR(VLOOKUP($A841,'Fusion ExDa'!$B$2:$D$16, 0,FALSE), IFERROR(VLOOKUP($A841,'Exetel ExDa'!$C$2:$N$14, 0,FALSE), IFERROR(VLOOKUP($A841,'Infinet ExDa'!$B$2:$E$14, 0,FALSE), "Not Found"))))))))</f>
        <v>Not Found</v>
      </c>
    </row>
    <row r="842" spans="1:14">
      <c r="A842" t="str">
        <v>Prov for Nodo Grey For Verify</v>
      </c>
      <c r="B842" t="str">
        <f>IFERROR(VLOOKUP(A842,'Exetel ExDa'!$C$2:$N$14,4,FALSE),"No Data")</f>
        <v>No Data</v>
      </c>
      <c r="C842" t="str">
        <f>IFERROR(VLOOKUP(A842,'AAPT ExDa'!$B$2:$U$99, 2,FALSE), IFERROR(VLOOKUP(A842,'ABB ExDa'!$A$2:$N$184, 2,FALSE), IFERROR(VLOOKUP(A842,'Vocus SIT ExDa'!$B$2:$J$173, 7,FALSE), IFERROR(VLOOKUP(A842,'Telstra ExDa'!$B$2:$K$310, 2,FALSE), IFERROR(VLOOKUP(A842,'Vocus RVC ExDa'!$C$2:$R$155, 3,FALSE), IFERROR(VLOOKUP(A842,'Fusion ExDa'!$B$2:$D$16, 2,FALSE), IFERROR(VLOOKUP(A842,'Exetel ExDa'!$C$2:$N$14, 2,FALSE), IFERROR(VLOOKUP(A842,'Infinet ExDa'!$B$2:$E$14, 2,FALSE), "Not Found"))))))))</f>
        <v>65 114 Grey ST</v>
      </c>
      <c r="D842">
        <f>IFERROR(VLOOKUP($A842,'AAPT ExDa'!$B$2:$U$99, 15,FALSE), IFERROR(VLOOKUP($A842,'ABB ExDa'!$A$2:$N$184, 4,FALSE), IFERROR(VLOOKUP($A842,'Vocus SIT ExDa'!$B$2:$J$173, 5,FALSE), IFERROR(VLOOKUP($A842,'Telstra ExDa'!$B$2:$K$310, 8,FALSE), IFERROR(VLOOKUP($A842,'Vocus RVC ExDa'!$C$2:$R$155, 6,FALSE), IFERROR(VLOOKUP($A842,'Fusion ExDa'!$B$2:$D$16, 4,FALSE), IFERROR(VLOOKUP($A842,'Exetel ExDa'!$C$2:$N$14, 3,FALSE), IFERROR(VLOOKUP($A842,'Infinet ExDa'!$B$2:$E$14, 3,FALSE), "Not Found"))))))))</f>
        <v>4101</v>
      </c>
      <c r="E842" t="str">
        <f>IFERROR(VLOOKUP($A842,'AAPT ExDa'!$B$2:$U$99, 3,FALSE), IFERROR(VLOOKUP($A842,'ABB ExDa'!$A$2:$N$184, 5,FALSE), IFERROR(VLOOKUP($A842,'Vocus SIT ExDa'!$B$2:$J$173, 2,FALSE), IFERROR(VLOOKUP($A842,'Telstra ExDa'!$B$2:$K$310, 4,FALSE), IFERROR(VLOOKUP($A842,'Vocus RVC ExDa'!$C$2:$R$155, 8,FALSE), IFERROR(VLOOKUP($A842,'Fusion ExDa'!$B$2:$D$16, 4,FALSE), IFERROR(VLOOKUP($A842,'Exetel ExDa'!$C$2:$N$14, 5,FALSE), IFERROR(VLOOKUP($A842,'Infinet ExDa'!$B$2:$E$14, 3,FALSE), "Not Found"))))))))</f>
        <v>Mobile Service</v>
      </c>
      <c r="F842">
        <f>IFERROR(VLOOKUP($A842,'AAPT ExDa'!$B$2:$U$99, 4,FALSE), IFERROR(VLOOKUP($A842,'ABB ExDa'!$A$2:$N$184, 6,FALSE), IFERROR(VLOOKUP($A842,'Vocus SIT ExDa'!$B$2:$J$173, 3,FALSE), IFERROR(VLOOKUP($A842,'Telstra ExDa'!$B$2:$K$310, 5,FALSE), IFERROR(VLOOKUP($A842,'Vocus RVC ExDa'!$C$2:$R$155, 9,FALSE), IFERROR(VLOOKUP($A842,'Fusion ExDa'!$B$2:$D$16, 0,FALSE), IFERROR(VLOOKUP($A842,'Exetel ExDa'!$C$2:$N$14, 6,FALSE), IFERROR(VLOOKUP($A842,'Infinet ExDa'!$B$2:$E$14, 0,FALSE), "Not Found"))))))))</f>
        <v>45680</v>
      </c>
      <c r="G842">
        <f>IFERROR(VLOOKUP($A842,'AAPT ExDa'!$B$2:$U$99, 5,FALSE), IFERROR(VLOOKUP($A842,'ABB ExDa'!$A$2:$N$184, 8,FALSE), IFERROR(VLOOKUP($A842,'Vocus SIT ExDa'!$B$2:$J$173, 6,FALSE), IFERROR(VLOOKUP($A842,'Telstra ExDa'!$B$2:$K$310, 0,FALSE), IFERROR(VLOOKUP($A842,'Vocus RVC ExDa'!$C$2:$R$155, 15,FALSE), IFERROR(VLOOKUP($A842,'Fusion ExDa'!$B$2:$D$16, 0,FALSE), IFERROR(VLOOKUP($A842,'Exetel ExDa'!$C$2:$N$14, 7,FALSE), IFERROR(VLOOKUP($A842,'Infinet ExDa'!$B$2:$E$14, 0,FALSE), "Not Found"))))))))</f>
        <v>0</v>
      </c>
      <c r="H842">
        <f>IFERROR(VLOOKUP($A842,'AAPT ExDa'!$B$2:$U$99, 6,FALSE), IFERROR(VLOOKUP($A842,'ABB ExDa'!$A$2:$N$184, 0,FALSE), IFERROR(VLOOKUP($A842,'Vocus SIT ExDa'!$B$2:$J$173, 0,FALSE), IFERROR(VLOOKUP($A842,'Telstra ExDa'!$B$2:$K$310, 0,FALSE), IFERROR(VLOOKUP($A842,'Vocus RVC ExDa'!$C$2:$R$155, 16,FALSE), IFERROR(VLOOKUP($A842,'Fusion ExDa'!$B$2:$D$16, 0,FALSE), IFERROR(VLOOKUP($A842,'Exetel ExDa'!$C$2:$N$14, 0,FALSE), IFERROR(VLOOKUP($A842,'Infinet ExDa'!$B$2:$E$14, 0,FALSE), "Not Found"))))))))</f>
        <v>0</v>
      </c>
      <c r="I842" t="str">
        <f>IFERROR(VLOOKUP($A842,'AAPT ExDa'!$B$2:$U$99, 0,FALSE), IFERROR(VLOOKUP($A842,'ABB ExDa'!$A$2:$N$184, 0,FALSE), IFERROR(VLOOKUP($A842,'Vocus SIT ExDa'!$B$2:$J$173, 0,FALSE), IFERROR(VLOOKUP($A842,'Telstra ExDa'!$B$2:$K$310, 0,FALSE), IFERROR(VLOOKUP($A842,'Vocus RVC ExDa'!$C$2:$R$155, 0,FALSE), IFERROR(VLOOKUP($A842,'Fusion ExDa'!$B$2:$D$16, 0,FALSE), IFERROR(VLOOKUP($A842,'Exetel ExDa'!$C$2:$N$14, 8,FALSE), IFERROR(VLOOKUP($A842,'Infinet ExDa'!$B$2:$E$14, 0,FALSE), "Not Found"))))))))</f>
        <v>Not Found</v>
      </c>
      <c r="J842">
        <f>IFERROR(VLOOKUP($A842,'AAPT ExDa'!$B$2:$U$99, 7,FALSE), IFERROR(VLOOKUP($A842,'ABB ExDa'!$A$2:$N$184, 2,FALSE), IFERROR(VLOOKUP($A842,'Vocus SIT ExDa'!$B$2:$J$173, 0,FALSE), IFERROR(VLOOKUP($A842,'Telstra ExDa'!$B$2:$K$310, 7,FALSE), IFERROR(VLOOKUP($A842,'Vocus RVC ExDa'!$C$2:$R$155, 2,FALSE), IFERROR(VLOOKUP($A842,'Fusion ExDa'!$B$2:$D$16, 3,FALSE), IFERROR(VLOOKUP($A842,'Exetel ExDa'!$C$2:$N$14, 0,FALSE), IFERROR(VLOOKUP($A842,'Infinet ExDa'!$B$2:$E$14, 0,FALSE), "Not Found"))))))))</f>
        <v>0</v>
      </c>
      <c r="K842" t="str">
        <f>IFERROR(VLOOKUP($A842,'AAPT ExDa'!$B$2:$U$99, 12,FALSE), IFERROR(VLOOKUP($A842,'ABB ExDa'!$A$2:$N$184, 0,FALSE), IFERROR(VLOOKUP($A842,'Vocus SIT ExDa'!$B$2:$J$173, 0,FALSE), IFERROR(VLOOKUP($A842,'Telstra ExDa'!$B$2:$K$310, 0,FALSE), IFERROR(VLOOKUP($A842,'Vocus RVC ExDa'!$C$2:$R$155, 0,FALSE), IFERROR(VLOOKUP($A842,'Fusion ExDa'!$B$2:$D$16, 0,FALSE), IFERROR(VLOOKUP($A842,'Exetel ExDa'!$C$2:$N$14, 12,FALSE), IFERROR(VLOOKUP($A842,'Infinet ExDa'!$B$2:$E$14, 0,FALSE), "Not Found"))))))))</f>
        <v>Not Found</v>
      </c>
      <c r="L842" s="235" t="str">
        <f>IFERROR(VLOOKUP($A842,'AAPT ExDa'!$B$2:$U$99, 11,FALSE), IFERROR(VLOOKUP($A842,'ABB ExDa'!$A$2:$N$184, 9,FALSE), IFERROR(VLOOKUP($A842,'Vocus SIT ExDa'!$B$2:$J$173, 8,FALSE), IFERROR(VLOOKUP($A842,'Telstra ExDa'!$B$2:$K$310, 0,FALSE), IFERROR(VLOOKUP($A842,'Vocus RVC ExDa'!$C$2:$R$155, 0,FALSE), IFERROR(VLOOKUP($A842,'Fusion ExDa'!$B$2:$D$16, 0,FALSE), IFERROR(VLOOKUP($A842,'Exetel ExDa'!$C$2:$N$14, 9,FALSE), IFERROR(VLOOKUP($A842,'Infinet ExDa'!$B$2:$E$14, 0,FALSE), "Not Found"))))))))</f>
        <v>Not Found</v>
      </c>
      <c r="M842" s="234" t="str">
        <f>IFERROR(VLOOKUP($A842,'AAPT ExDa'!$B$2:$U$99, 0,FALSE), IFERROR(VLOOKUP($A842,'ABB ExDa'!$A$2:$N$184, 0,FALSE), IFERROR(VLOOKUP($A842,'Vocus SIT ExDa'!$B$2:$J$173, 0,FALSE), IFERROR(VLOOKUP($A842,'Telstra ExDa'!$B$2:$K$310, 0,FALSE), IFERROR(VLOOKUP($A842,'Vocus RVC ExDa'!$C$2:$R$155, 0,FALSE), IFERROR(VLOOKUP($A842,'Fusion ExDa'!$B$2:$D$16, 0,FALSE), IFERROR(VLOOKUP($A842,'Exetel ExDa'!$C$2:$N$14, 11,FALSE), IFERROR(VLOOKUP($A842,'Infinet ExDa'!$B$2:$E$14, 0,FALSE), "Not Found"))))))))</f>
        <v>Not Found</v>
      </c>
      <c r="N842" t="str">
        <f>IFERROR(VLOOKUP($A842,'AAPT ExDa'!$B$2:$U$99, 0,FALSE), IFERROR(VLOOKUP($A842,'ABB ExDa'!$A$2:$N$184, 13,FALSE), IFERROR(VLOOKUP($A842,'Vocus SIT ExDa'!$B$2:$J$173, 0,FALSE), IFERROR(VLOOKUP($A842,'Telstra ExDa'!$B$2:$K$310, 0,FALSE), IFERROR(VLOOKUP($A842,'Vocus RVC ExDa'!$C$2:$R$155, 0,FALSE), IFERROR(VLOOKUP($A842,'Fusion ExDa'!$B$2:$D$16, 0,FALSE), IFERROR(VLOOKUP($A842,'Exetel ExDa'!$C$2:$N$14, 0,FALSE), IFERROR(VLOOKUP($A842,'Infinet ExDa'!$B$2:$E$14, 0,FALSE), "Not Found"))))))))</f>
        <v>Not Found</v>
      </c>
    </row>
    <row r="843" spans="1:14">
      <c r="A843" t="str">
        <v>The Yiros Shop Morayfield</v>
      </c>
      <c r="B843" t="str">
        <f>IFERROR(VLOOKUP(A843,'Exetel ExDa'!$C$2:$N$14,4,FALSE),"No Data")</f>
        <v>No Data</v>
      </c>
      <c r="C843" t="str">
        <f>IFERROR(VLOOKUP(A843,'AAPT ExDa'!$B$2:$U$99, 2,FALSE), IFERROR(VLOOKUP(A843,'ABB ExDa'!$A$2:$N$184, 2,FALSE), IFERROR(VLOOKUP(A843,'Vocus SIT ExDa'!$B$2:$J$173, 7,FALSE), IFERROR(VLOOKUP(A843,'Telstra ExDa'!$B$2:$K$310, 2,FALSE), IFERROR(VLOOKUP(A843,'Vocus RVC ExDa'!$C$2:$R$155, 3,FALSE), IFERROR(VLOOKUP(A843,'Fusion ExDa'!$B$2:$D$16, 2,FALSE), IFERROR(VLOOKUP(A843,'Exetel ExDa'!$C$2:$N$14, 2,FALSE), IFERROR(VLOOKUP(A843,'Infinet ExDa'!$B$2:$E$14, 2,FALSE), "Not Found"))))))))</f>
        <v>SHOP 1, 369 MORAYFIELD RD, MORAYFIELD QLD</v>
      </c>
      <c r="D843" t="str">
        <f>IFERROR(VLOOKUP($A843,'AAPT ExDa'!$B$2:$U$99, 15,FALSE), IFERROR(VLOOKUP($A843,'ABB ExDa'!$A$2:$N$184, 4,FALSE), IFERROR(VLOOKUP($A843,'Vocus SIT ExDa'!$B$2:$J$173, 5,FALSE), IFERROR(VLOOKUP($A843,'Telstra ExDa'!$B$2:$K$310, 8,FALSE), IFERROR(VLOOKUP($A843,'Vocus RVC ExDa'!$C$2:$R$155, 6,FALSE), IFERROR(VLOOKUP($A843,'Fusion ExDa'!$B$2:$D$16, 4,FALSE), IFERROR(VLOOKUP($A843,'Exetel ExDa'!$C$2:$N$14, 3,FALSE), IFERROR(VLOOKUP($A843,'Infinet ExDa'!$B$2:$E$14, 3,FALSE), "Not Found"))))))))</f>
        <v>ABB</v>
      </c>
      <c r="E843" t="str">
        <f>IFERROR(VLOOKUP($A843,'AAPT ExDa'!$B$2:$U$99, 3,FALSE), IFERROR(VLOOKUP($A843,'ABB ExDa'!$A$2:$N$184, 5,FALSE), IFERROR(VLOOKUP($A843,'Vocus SIT ExDa'!$B$2:$J$173, 2,FALSE), IFERROR(VLOOKUP($A843,'Telstra ExDa'!$B$2:$K$310, 4,FALSE), IFERROR(VLOOKUP($A843,'Vocus RVC ExDa'!$C$2:$R$155, 8,FALSE), IFERROR(VLOOKUP($A843,'Fusion ExDa'!$B$2:$D$16, 4,FALSE), IFERROR(VLOOKUP($A843,'Exetel ExDa'!$C$2:$N$14, 5,FALSE), IFERROR(VLOOKUP($A843,'Infinet ExDa'!$B$2:$E$14, 3,FALSE), "Not Found"))))))))</f>
        <v>NBN 50/20</v>
      </c>
      <c r="F843" t="str">
        <f>IFERROR(VLOOKUP($A843,'AAPT ExDa'!$B$2:$U$99, 4,FALSE), IFERROR(VLOOKUP($A843,'ABB ExDa'!$A$2:$N$184, 6,FALSE), IFERROR(VLOOKUP($A843,'Vocus SIT ExDa'!$B$2:$J$173, 3,FALSE), IFERROR(VLOOKUP($A843,'Telstra ExDa'!$B$2:$K$310, 5,FALSE), IFERROR(VLOOKUP($A843,'Vocus RVC ExDa'!$C$2:$R$155, 9,FALSE), IFERROR(VLOOKUP($A843,'Fusion ExDa'!$B$2:$D$16, 0,FALSE), IFERROR(VLOOKUP($A843,'Exetel ExDa'!$C$2:$N$14, 6,FALSE), IFERROR(VLOOKUP($A843,'Infinet ExDa'!$B$2:$E$14, 0,FALSE), "Not Found"))))))))</f>
        <v>FTTN</v>
      </c>
      <c r="G843" t="str">
        <f>IFERROR(VLOOKUP($A843,'AAPT ExDa'!$B$2:$U$99, 5,FALSE), IFERROR(VLOOKUP($A843,'ABB ExDa'!$A$2:$N$184, 8,FALSE), IFERROR(VLOOKUP($A843,'Vocus SIT ExDa'!$B$2:$J$173, 6,FALSE), IFERROR(VLOOKUP($A843,'Telstra ExDa'!$B$2:$K$310, 0,FALSE), IFERROR(VLOOKUP($A843,'Vocus RVC ExDa'!$C$2:$R$155, 15,FALSE), IFERROR(VLOOKUP($A843,'Fusion ExDa'!$B$2:$D$16, 0,FALSE), IFERROR(VLOOKUP($A843,'Exetel ExDa'!$C$2:$N$14, 7,FALSE), IFERROR(VLOOKUP($A843,'Infinet ExDa'!$B$2:$E$14, 0,FALSE), "Not Found"))))))))</f>
        <v>144.6.255.236</v>
      </c>
      <c r="H843">
        <f>IFERROR(VLOOKUP($A843,'AAPT ExDa'!$B$2:$U$99, 6,FALSE), IFERROR(VLOOKUP($A843,'ABB ExDa'!$A$2:$N$184, 0,FALSE), IFERROR(VLOOKUP($A843,'Vocus SIT ExDa'!$B$2:$J$173, 0,FALSE), IFERROR(VLOOKUP($A843,'Telstra ExDa'!$B$2:$K$310, 0,FALSE), IFERROR(VLOOKUP($A843,'Vocus RVC ExDa'!$C$2:$R$155, 16,FALSE), IFERROR(VLOOKUP($A843,'Fusion ExDa'!$B$2:$D$16, 0,FALSE), IFERROR(VLOOKUP($A843,'Exetel ExDa'!$C$2:$N$14, 0,FALSE), IFERROR(VLOOKUP($A843,'Infinet ExDa'!$B$2:$E$14, 0,FALSE), "Not Found"))))))))</f>
        <v>0</v>
      </c>
      <c r="I843" t="str">
        <f>IFERROR(VLOOKUP($A843,'AAPT ExDa'!$B$2:$U$99, 0,FALSE), IFERROR(VLOOKUP($A843,'ABB ExDa'!$A$2:$N$184, 0,FALSE), IFERROR(VLOOKUP($A843,'Vocus SIT ExDa'!$B$2:$J$173, 0,FALSE), IFERROR(VLOOKUP($A843,'Telstra ExDa'!$B$2:$K$310, 0,FALSE), IFERROR(VLOOKUP($A843,'Vocus RVC ExDa'!$C$2:$R$155, 0,FALSE), IFERROR(VLOOKUP($A843,'Fusion ExDa'!$B$2:$D$16, 0,FALSE), IFERROR(VLOOKUP($A843,'Exetel ExDa'!$C$2:$N$14, 8,FALSE), IFERROR(VLOOKUP($A843,'Infinet ExDa'!$B$2:$E$14, 0,FALSE), "Not Found"))))))))</f>
        <v>Not Found</v>
      </c>
      <c r="J843" t="str">
        <f>IFERROR(VLOOKUP($A843,'AAPT ExDa'!$B$2:$U$99, 7,FALSE), IFERROR(VLOOKUP($A843,'ABB ExDa'!$A$2:$N$184, 2,FALSE), IFERROR(VLOOKUP($A843,'Vocus SIT ExDa'!$B$2:$J$173, 0,FALSE), IFERROR(VLOOKUP($A843,'Telstra ExDa'!$B$2:$K$310, 7,FALSE), IFERROR(VLOOKUP($A843,'Vocus RVC ExDa'!$C$2:$R$155, 2,FALSE), IFERROR(VLOOKUP($A843,'Fusion ExDa'!$B$2:$D$16, 3,FALSE), IFERROR(VLOOKUP($A843,'Exetel ExDa'!$C$2:$N$14, 0,FALSE), IFERROR(VLOOKUP($A843,'Infinet ExDa'!$B$2:$E$14, 0,FALSE), "Not Found"))))))))</f>
        <v>SHOP 1, 369 MORAYFIELD RD, MORAYFIELD QLD</v>
      </c>
      <c r="K843" t="str">
        <f>IFERROR(VLOOKUP($A843,'AAPT ExDa'!$B$2:$U$99, 12,FALSE), IFERROR(VLOOKUP($A843,'ABB ExDa'!$A$2:$N$184, 0,FALSE), IFERROR(VLOOKUP($A843,'Vocus SIT ExDa'!$B$2:$J$173, 0,FALSE), IFERROR(VLOOKUP($A843,'Telstra ExDa'!$B$2:$K$310, 0,FALSE), IFERROR(VLOOKUP($A843,'Vocus RVC ExDa'!$C$2:$R$155, 0,FALSE), IFERROR(VLOOKUP($A843,'Fusion ExDa'!$B$2:$D$16, 0,FALSE), IFERROR(VLOOKUP($A843,'Exetel ExDa'!$C$2:$N$14, 12,FALSE), IFERROR(VLOOKUP($A843,'Infinet ExDa'!$B$2:$E$14, 0,FALSE), "Not Found"))))))))</f>
        <v>Not Found</v>
      </c>
      <c r="L843" s="235" t="str">
        <f>IFERROR(VLOOKUP($A843,'AAPT ExDa'!$B$2:$U$99, 11,FALSE), IFERROR(VLOOKUP($A843,'ABB ExDa'!$A$2:$N$184, 9,FALSE), IFERROR(VLOOKUP($A843,'Vocus SIT ExDa'!$B$2:$J$173, 8,FALSE), IFERROR(VLOOKUP($A843,'Telstra ExDa'!$B$2:$K$310, 0,FALSE), IFERROR(VLOOKUP($A843,'Vocus RVC ExDa'!$C$2:$R$155, 0,FALSE), IFERROR(VLOOKUP($A843,'Fusion ExDa'!$B$2:$D$16, 0,FALSE), IFERROR(VLOOKUP($A843,'Exetel ExDa'!$C$2:$N$14, 9,FALSE), IFERROR(VLOOKUP($A843,'Infinet ExDa'!$B$2:$E$14, 0,FALSE), "Not Found"))))))))</f>
        <v>05 Feb 2025</v>
      </c>
      <c r="M843" s="234" t="str">
        <f>IFERROR(VLOOKUP($A843,'AAPT ExDa'!$B$2:$U$99, 0,FALSE), IFERROR(VLOOKUP($A843,'ABB ExDa'!$A$2:$N$184, 0,FALSE), IFERROR(VLOOKUP($A843,'Vocus SIT ExDa'!$B$2:$J$173, 0,FALSE), IFERROR(VLOOKUP($A843,'Telstra ExDa'!$B$2:$K$310, 0,FALSE), IFERROR(VLOOKUP($A843,'Vocus RVC ExDa'!$C$2:$R$155, 0,FALSE), IFERROR(VLOOKUP($A843,'Fusion ExDa'!$B$2:$D$16, 0,FALSE), IFERROR(VLOOKUP($A843,'Exetel ExDa'!$C$2:$N$14, 11,FALSE), IFERROR(VLOOKUP($A843,'Infinet ExDa'!$B$2:$E$14, 0,FALSE), "Not Found"))))))))</f>
        <v>Not Found</v>
      </c>
      <c r="N843" t="str">
        <f>IFERROR(VLOOKUP($A843,'AAPT ExDa'!$B$2:$U$99, 0,FALSE), IFERROR(VLOOKUP($A843,'ABB ExDa'!$A$2:$N$184, 13,FALSE), IFERROR(VLOOKUP($A843,'Vocus SIT ExDa'!$B$2:$J$173, 0,FALSE), IFERROR(VLOOKUP($A843,'Telstra ExDa'!$B$2:$K$310, 0,FALSE), IFERROR(VLOOKUP($A843,'Vocus RVC ExDa'!$C$2:$R$155, 0,FALSE), IFERROR(VLOOKUP($A843,'Fusion ExDa'!$B$2:$D$16, 0,FALSE), IFERROR(VLOOKUP($A843,'Exetel ExDa'!$C$2:$N$14, 0,FALSE), IFERROR(VLOOKUP($A843,'Infinet ExDa'!$B$2:$E$14, 0,FALSE), "Not Found"))))))))</f>
        <v>Onebill</v>
      </c>
    </row>
    <row r="844" spans="1:14">
      <c r="A844" t="str">
        <v>Zambrero Waterloo</v>
      </c>
      <c r="B844" t="str">
        <f>IFERROR(VLOOKUP(A844,'Exetel ExDa'!$C$2:$N$14,4,FALSE),"No Data")</f>
        <v>No Data</v>
      </c>
      <c r="C844" t="str">
        <f>IFERROR(VLOOKUP(A844,'AAPT ExDa'!$B$2:$U$99, 2,FALSE), IFERROR(VLOOKUP(A844,'ABB ExDa'!$A$2:$N$184, 2,FALSE), IFERROR(VLOOKUP(A844,'Vocus SIT ExDa'!$B$2:$J$173, 7,FALSE), IFERROR(VLOOKUP(A844,'Telstra ExDa'!$B$2:$K$310, 2,FALSE), IFERROR(VLOOKUP(A844,'Vocus RVC ExDa'!$C$2:$R$155, 3,FALSE), IFERROR(VLOOKUP(A844,'Fusion ExDa'!$B$2:$D$16, 2,FALSE), IFERROR(VLOOKUP(A844,'Exetel ExDa'!$C$2:$N$14, 2,FALSE), IFERROR(VLOOKUP(A844,'Infinet ExDa'!$B$2:$E$14, 2,FALSE), "Not Found"))))))))</f>
        <v>SHOP CR6, 3 ARCHIBALD AV, WATERLOO NSW</v>
      </c>
      <c r="D844" t="str">
        <f>IFERROR(VLOOKUP($A844,'AAPT ExDa'!$B$2:$U$99, 15,FALSE), IFERROR(VLOOKUP($A844,'ABB ExDa'!$A$2:$N$184, 4,FALSE), IFERROR(VLOOKUP($A844,'Vocus SIT ExDa'!$B$2:$J$173, 5,FALSE), IFERROR(VLOOKUP($A844,'Telstra ExDa'!$B$2:$K$310, 8,FALSE), IFERROR(VLOOKUP($A844,'Vocus RVC ExDa'!$C$2:$R$155, 6,FALSE), IFERROR(VLOOKUP($A844,'Fusion ExDa'!$B$2:$D$16, 4,FALSE), IFERROR(VLOOKUP($A844,'Exetel ExDa'!$C$2:$N$14, 3,FALSE), IFERROR(VLOOKUP($A844,'Infinet ExDa'!$B$2:$E$14, 3,FALSE), "Not Found"))))))))</f>
        <v>ABB</v>
      </c>
      <c r="E844" t="str">
        <f>IFERROR(VLOOKUP($A844,'AAPT ExDa'!$B$2:$U$99, 3,FALSE), IFERROR(VLOOKUP($A844,'ABB ExDa'!$A$2:$N$184, 5,FALSE), IFERROR(VLOOKUP($A844,'Vocus SIT ExDa'!$B$2:$J$173, 2,FALSE), IFERROR(VLOOKUP($A844,'Telstra ExDa'!$B$2:$K$310, 4,FALSE), IFERROR(VLOOKUP($A844,'Vocus RVC ExDa'!$C$2:$R$155, 8,FALSE), IFERROR(VLOOKUP($A844,'Fusion ExDa'!$B$2:$D$16, 4,FALSE), IFERROR(VLOOKUP($A844,'Exetel ExDa'!$C$2:$N$14, 5,FALSE), IFERROR(VLOOKUP($A844,'Infinet ExDa'!$B$2:$E$14, 3,FALSE), "Not Found"))))))))</f>
        <v>NBN 25/10</v>
      </c>
      <c r="F844" t="str">
        <f>IFERROR(VLOOKUP($A844,'AAPT ExDa'!$B$2:$U$99, 4,FALSE), IFERROR(VLOOKUP($A844,'ABB ExDa'!$A$2:$N$184, 6,FALSE), IFERROR(VLOOKUP($A844,'Vocus SIT ExDa'!$B$2:$J$173, 3,FALSE), IFERROR(VLOOKUP($A844,'Telstra ExDa'!$B$2:$K$310, 5,FALSE), IFERROR(VLOOKUP($A844,'Vocus RVC ExDa'!$C$2:$R$155, 9,FALSE), IFERROR(VLOOKUP($A844,'Fusion ExDa'!$B$2:$D$16, 0,FALSE), IFERROR(VLOOKUP($A844,'Exetel ExDa'!$C$2:$N$14, 6,FALSE), IFERROR(VLOOKUP($A844,'Infinet ExDa'!$B$2:$E$14, 0,FALSE), "Not Found"))))))))</f>
        <v xml:space="preserve">Fibre </v>
      </c>
      <c r="G844" t="str">
        <f>IFERROR(VLOOKUP($A844,'AAPT ExDa'!$B$2:$U$99, 5,FALSE), IFERROR(VLOOKUP($A844,'ABB ExDa'!$A$2:$N$184, 8,FALSE), IFERROR(VLOOKUP($A844,'Vocus SIT ExDa'!$B$2:$J$173, 6,FALSE), IFERROR(VLOOKUP($A844,'Telstra ExDa'!$B$2:$K$310, 0,FALSE), IFERROR(VLOOKUP($A844,'Vocus RVC ExDa'!$C$2:$R$155, 15,FALSE), IFERROR(VLOOKUP($A844,'Fusion ExDa'!$B$2:$D$16, 0,FALSE), IFERROR(VLOOKUP($A844,'Exetel ExDa'!$C$2:$N$14, 7,FALSE), IFERROR(VLOOKUP($A844,'Infinet ExDa'!$B$2:$E$14, 0,FALSE), "Not Found"))))))))</f>
        <v>144.6.239.144</v>
      </c>
      <c r="H844">
        <f>IFERROR(VLOOKUP($A844,'AAPT ExDa'!$B$2:$U$99, 6,FALSE), IFERROR(VLOOKUP($A844,'ABB ExDa'!$A$2:$N$184, 0,FALSE), IFERROR(VLOOKUP($A844,'Vocus SIT ExDa'!$B$2:$J$173, 0,FALSE), IFERROR(VLOOKUP($A844,'Telstra ExDa'!$B$2:$K$310, 0,FALSE), IFERROR(VLOOKUP($A844,'Vocus RVC ExDa'!$C$2:$R$155, 16,FALSE), IFERROR(VLOOKUP($A844,'Fusion ExDa'!$B$2:$D$16, 0,FALSE), IFERROR(VLOOKUP($A844,'Exetel ExDa'!$C$2:$N$14, 0,FALSE), IFERROR(VLOOKUP($A844,'Infinet ExDa'!$B$2:$E$14, 0,FALSE), "Not Found"))))))))</f>
        <v>0</v>
      </c>
      <c r="I844" t="str">
        <f>IFERROR(VLOOKUP($A844,'AAPT ExDa'!$B$2:$U$99, 0,FALSE), IFERROR(VLOOKUP($A844,'ABB ExDa'!$A$2:$N$184, 0,FALSE), IFERROR(VLOOKUP($A844,'Vocus SIT ExDa'!$B$2:$J$173, 0,FALSE), IFERROR(VLOOKUP($A844,'Telstra ExDa'!$B$2:$K$310, 0,FALSE), IFERROR(VLOOKUP($A844,'Vocus RVC ExDa'!$C$2:$R$155, 0,FALSE), IFERROR(VLOOKUP($A844,'Fusion ExDa'!$B$2:$D$16, 0,FALSE), IFERROR(VLOOKUP($A844,'Exetel ExDa'!$C$2:$N$14, 8,FALSE), IFERROR(VLOOKUP($A844,'Infinet ExDa'!$B$2:$E$14, 0,FALSE), "Not Found"))))))))</f>
        <v>Not Found</v>
      </c>
      <c r="J844" t="str">
        <f>IFERROR(VLOOKUP($A844,'AAPT ExDa'!$B$2:$U$99, 7,FALSE), IFERROR(VLOOKUP($A844,'ABB ExDa'!$A$2:$N$184, 2,FALSE), IFERROR(VLOOKUP($A844,'Vocus SIT ExDa'!$B$2:$J$173, 0,FALSE), IFERROR(VLOOKUP($A844,'Telstra ExDa'!$B$2:$K$310, 7,FALSE), IFERROR(VLOOKUP($A844,'Vocus RVC ExDa'!$C$2:$R$155, 2,FALSE), IFERROR(VLOOKUP($A844,'Fusion ExDa'!$B$2:$D$16, 3,FALSE), IFERROR(VLOOKUP($A844,'Exetel ExDa'!$C$2:$N$14, 0,FALSE), IFERROR(VLOOKUP($A844,'Infinet ExDa'!$B$2:$E$14, 0,FALSE), "Not Found"))))))))</f>
        <v>SHOP CR6, 3 ARCHIBALD AV, WATERLOO NSW</v>
      </c>
      <c r="K844" t="str">
        <f>IFERROR(VLOOKUP($A844,'AAPT ExDa'!$B$2:$U$99, 12,FALSE), IFERROR(VLOOKUP($A844,'ABB ExDa'!$A$2:$N$184, 0,FALSE), IFERROR(VLOOKUP($A844,'Vocus SIT ExDa'!$B$2:$J$173, 0,FALSE), IFERROR(VLOOKUP($A844,'Telstra ExDa'!$B$2:$K$310, 0,FALSE), IFERROR(VLOOKUP($A844,'Vocus RVC ExDa'!$C$2:$R$155, 0,FALSE), IFERROR(VLOOKUP($A844,'Fusion ExDa'!$B$2:$D$16, 0,FALSE), IFERROR(VLOOKUP($A844,'Exetel ExDa'!$C$2:$N$14, 12,FALSE), IFERROR(VLOOKUP($A844,'Infinet ExDa'!$B$2:$E$14, 0,FALSE), "Not Found"))))))))</f>
        <v>Not Found</v>
      </c>
      <c r="L844" s="235" t="str">
        <f>IFERROR(VLOOKUP($A844,'AAPT ExDa'!$B$2:$U$99, 11,FALSE), IFERROR(VLOOKUP($A844,'ABB ExDa'!$A$2:$N$184, 9,FALSE), IFERROR(VLOOKUP($A844,'Vocus SIT ExDa'!$B$2:$J$173, 8,FALSE), IFERROR(VLOOKUP($A844,'Telstra ExDa'!$B$2:$K$310, 0,FALSE), IFERROR(VLOOKUP($A844,'Vocus RVC ExDa'!$C$2:$R$155, 0,FALSE), IFERROR(VLOOKUP($A844,'Fusion ExDa'!$B$2:$D$16, 0,FALSE), IFERROR(VLOOKUP($A844,'Exetel ExDa'!$C$2:$N$14, 9,FALSE), IFERROR(VLOOKUP($A844,'Infinet ExDa'!$B$2:$E$14, 0,FALSE), "Not Found"))))))))</f>
        <v>26 Feb 2025</v>
      </c>
      <c r="M844" s="234" t="str">
        <f>IFERROR(VLOOKUP($A844,'AAPT ExDa'!$B$2:$U$99, 0,FALSE), IFERROR(VLOOKUP($A844,'ABB ExDa'!$A$2:$N$184, 0,FALSE), IFERROR(VLOOKUP($A844,'Vocus SIT ExDa'!$B$2:$J$173, 0,FALSE), IFERROR(VLOOKUP($A844,'Telstra ExDa'!$B$2:$K$310, 0,FALSE), IFERROR(VLOOKUP($A844,'Vocus RVC ExDa'!$C$2:$R$155, 0,FALSE), IFERROR(VLOOKUP($A844,'Fusion ExDa'!$B$2:$D$16, 0,FALSE), IFERROR(VLOOKUP($A844,'Exetel ExDa'!$C$2:$N$14, 11,FALSE), IFERROR(VLOOKUP($A844,'Infinet ExDa'!$B$2:$E$14, 0,FALSE), "Not Found"))))))))</f>
        <v>Not Found</v>
      </c>
      <c r="N844" t="str">
        <f>IFERROR(VLOOKUP($A844,'AAPT ExDa'!$B$2:$U$99, 0,FALSE), IFERROR(VLOOKUP($A844,'ABB ExDa'!$A$2:$N$184, 13,FALSE), IFERROR(VLOOKUP($A844,'Vocus SIT ExDa'!$B$2:$J$173, 0,FALSE), IFERROR(VLOOKUP($A844,'Telstra ExDa'!$B$2:$K$310, 0,FALSE), IFERROR(VLOOKUP($A844,'Vocus RVC ExDa'!$C$2:$R$155, 0,FALSE), IFERROR(VLOOKUP($A844,'Fusion ExDa'!$B$2:$D$16, 0,FALSE), IFERROR(VLOOKUP($A844,'Exetel ExDa'!$C$2:$N$14, 0,FALSE), IFERROR(VLOOKUP($A844,'Infinet ExDa'!$B$2:$E$14, 0,FALSE), "Not Found"))))))))</f>
        <v>Onebill</v>
      </c>
    </row>
    <row r="845" spans="1:14">
      <c r="A845" t="str">
        <v xml:space="preserve">	Troocoo</v>
      </c>
      <c r="B845" t="str">
        <f>IFERROR(VLOOKUP(A845,'Exetel ExDa'!$C$2:$N$14,4,FALSE),"No Data")</f>
        <v>No Data</v>
      </c>
      <c r="C845" t="str">
        <f>IFERROR(VLOOKUP(A845,'AAPT ExDa'!$B$2:$U$99, 2,FALSE), IFERROR(VLOOKUP(A845,'ABB ExDa'!$A$2:$N$184, 2,FALSE), IFERROR(VLOOKUP(A845,'Vocus SIT ExDa'!$B$2:$J$173, 7,FALSE), IFERROR(VLOOKUP(A845,'Telstra ExDa'!$B$2:$K$310, 2,FALSE), IFERROR(VLOOKUP(A845,'Vocus RVC ExDa'!$C$2:$R$155, 3,FALSE), IFERROR(VLOOKUP(A845,'Fusion ExDa'!$B$2:$D$16, 2,FALSE), IFERROR(VLOOKUP(A845,'Exetel ExDa'!$C$2:$N$14, 2,FALSE), IFERROR(VLOOKUP(A845,'Infinet ExDa'!$B$2:$E$14, 2,FALSE), "Not Found"))))))))</f>
        <v>17 123 Eagle ST</v>
      </c>
      <c r="D845">
        <f>IFERROR(VLOOKUP($A845,'AAPT ExDa'!$B$2:$U$99, 15,FALSE), IFERROR(VLOOKUP($A845,'ABB ExDa'!$A$2:$N$184, 4,FALSE), IFERROR(VLOOKUP($A845,'Vocus SIT ExDa'!$B$2:$J$173, 5,FALSE), IFERROR(VLOOKUP($A845,'Telstra ExDa'!$B$2:$K$310, 8,FALSE), IFERROR(VLOOKUP($A845,'Vocus RVC ExDa'!$C$2:$R$155, 6,FALSE), IFERROR(VLOOKUP($A845,'Fusion ExDa'!$B$2:$D$16, 4,FALSE), IFERROR(VLOOKUP($A845,'Exetel ExDa'!$C$2:$N$14, 3,FALSE), IFERROR(VLOOKUP($A845,'Infinet ExDa'!$B$2:$E$14, 3,FALSE), "Not Found"))))))))</f>
        <v>4000</v>
      </c>
      <c r="E845" t="str">
        <f>IFERROR(VLOOKUP($A845,'AAPT ExDa'!$B$2:$U$99, 3,FALSE), IFERROR(VLOOKUP($A845,'ABB ExDa'!$A$2:$N$184, 5,FALSE), IFERROR(VLOOKUP($A845,'Vocus SIT ExDa'!$B$2:$J$173, 2,FALSE), IFERROR(VLOOKUP($A845,'Telstra ExDa'!$B$2:$K$310, 4,FALSE), IFERROR(VLOOKUP($A845,'Vocus RVC ExDa'!$C$2:$R$155, 8,FALSE), IFERROR(VLOOKUP($A845,'Fusion ExDa'!$B$2:$D$16, 4,FALSE), IFERROR(VLOOKUP($A845,'Exetel ExDa'!$C$2:$N$14, 5,FALSE), IFERROR(VLOOKUP($A845,'Infinet ExDa'!$B$2:$E$14, 3,FALSE), "Not Found"))))))))</f>
        <v>Mobile Service</v>
      </c>
      <c r="F845">
        <f>IFERROR(VLOOKUP($A845,'AAPT ExDa'!$B$2:$U$99, 4,FALSE), IFERROR(VLOOKUP($A845,'ABB ExDa'!$A$2:$N$184, 6,FALSE), IFERROR(VLOOKUP($A845,'Vocus SIT ExDa'!$B$2:$J$173, 3,FALSE), IFERROR(VLOOKUP($A845,'Telstra ExDa'!$B$2:$K$310, 5,FALSE), IFERROR(VLOOKUP($A845,'Vocus RVC ExDa'!$C$2:$R$155, 9,FALSE), IFERROR(VLOOKUP($A845,'Fusion ExDa'!$B$2:$D$16, 0,FALSE), IFERROR(VLOOKUP($A845,'Exetel ExDa'!$C$2:$N$14, 6,FALSE), IFERROR(VLOOKUP($A845,'Infinet ExDa'!$B$2:$E$14, 0,FALSE), "Not Found"))))))))</f>
        <v>45699</v>
      </c>
      <c r="G845">
        <f>IFERROR(VLOOKUP($A845,'AAPT ExDa'!$B$2:$U$99, 5,FALSE), IFERROR(VLOOKUP($A845,'ABB ExDa'!$A$2:$N$184, 8,FALSE), IFERROR(VLOOKUP($A845,'Vocus SIT ExDa'!$B$2:$J$173, 6,FALSE), IFERROR(VLOOKUP($A845,'Telstra ExDa'!$B$2:$K$310, 0,FALSE), IFERROR(VLOOKUP($A845,'Vocus RVC ExDa'!$C$2:$R$155, 15,FALSE), IFERROR(VLOOKUP($A845,'Fusion ExDa'!$B$2:$D$16, 0,FALSE), IFERROR(VLOOKUP($A845,'Exetel ExDa'!$C$2:$N$14, 7,FALSE), IFERROR(VLOOKUP($A845,'Infinet ExDa'!$B$2:$E$14, 0,FALSE), "Not Found"))))))))</f>
        <v>0</v>
      </c>
      <c r="H845">
        <f>IFERROR(VLOOKUP($A845,'AAPT ExDa'!$B$2:$U$99, 6,FALSE), IFERROR(VLOOKUP($A845,'ABB ExDa'!$A$2:$N$184, 0,FALSE), IFERROR(VLOOKUP($A845,'Vocus SIT ExDa'!$B$2:$J$173, 0,FALSE), IFERROR(VLOOKUP($A845,'Telstra ExDa'!$B$2:$K$310, 0,FALSE), IFERROR(VLOOKUP($A845,'Vocus RVC ExDa'!$C$2:$R$155, 16,FALSE), IFERROR(VLOOKUP($A845,'Fusion ExDa'!$B$2:$D$16, 0,FALSE), IFERROR(VLOOKUP($A845,'Exetel ExDa'!$C$2:$N$14, 0,FALSE), IFERROR(VLOOKUP($A845,'Infinet ExDa'!$B$2:$E$14, 0,FALSE), "Not Found"))))))))</f>
        <v>0</v>
      </c>
      <c r="I845" t="str">
        <f>IFERROR(VLOOKUP($A845,'AAPT ExDa'!$B$2:$U$99, 0,FALSE), IFERROR(VLOOKUP($A845,'ABB ExDa'!$A$2:$N$184, 0,FALSE), IFERROR(VLOOKUP($A845,'Vocus SIT ExDa'!$B$2:$J$173, 0,FALSE), IFERROR(VLOOKUP($A845,'Telstra ExDa'!$B$2:$K$310, 0,FALSE), IFERROR(VLOOKUP($A845,'Vocus RVC ExDa'!$C$2:$R$155, 0,FALSE), IFERROR(VLOOKUP($A845,'Fusion ExDa'!$B$2:$D$16, 0,FALSE), IFERROR(VLOOKUP($A845,'Exetel ExDa'!$C$2:$N$14, 8,FALSE), IFERROR(VLOOKUP($A845,'Infinet ExDa'!$B$2:$E$14, 0,FALSE), "Not Found"))))))))</f>
        <v>Not Found</v>
      </c>
      <c r="J845">
        <f>IFERROR(VLOOKUP($A845,'AAPT ExDa'!$B$2:$U$99, 7,FALSE), IFERROR(VLOOKUP($A845,'ABB ExDa'!$A$2:$N$184, 2,FALSE), IFERROR(VLOOKUP($A845,'Vocus SIT ExDa'!$B$2:$J$173, 0,FALSE), IFERROR(VLOOKUP($A845,'Telstra ExDa'!$B$2:$K$310, 7,FALSE), IFERROR(VLOOKUP($A845,'Vocus RVC ExDa'!$C$2:$R$155, 2,FALSE), IFERROR(VLOOKUP($A845,'Fusion ExDa'!$B$2:$D$16, 3,FALSE), IFERROR(VLOOKUP($A845,'Exetel ExDa'!$C$2:$N$14, 0,FALSE), IFERROR(VLOOKUP($A845,'Infinet ExDa'!$B$2:$E$14, 0,FALSE), "Not Found"))))))))</f>
        <v>0</v>
      </c>
      <c r="K845" t="str">
        <f>IFERROR(VLOOKUP($A845,'AAPT ExDa'!$B$2:$U$99, 12,FALSE), IFERROR(VLOOKUP($A845,'ABB ExDa'!$A$2:$N$184, 0,FALSE), IFERROR(VLOOKUP($A845,'Vocus SIT ExDa'!$B$2:$J$173, 0,FALSE), IFERROR(VLOOKUP($A845,'Telstra ExDa'!$B$2:$K$310, 0,FALSE), IFERROR(VLOOKUP($A845,'Vocus RVC ExDa'!$C$2:$R$155, 0,FALSE), IFERROR(VLOOKUP($A845,'Fusion ExDa'!$B$2:$D$16, 0,FALSE), IFERROR(VLOOKUP($A845,'Exetel ExDa'!$C$2:$N$14, 12,FALSE), IFERROR(VLOOKUP($A845,'Infinet ExDa'!$B$2:$E$14, 0,FALSE), "Not Found"))))))))</f>
        <v>Not Found</v>
      </c>
      <c r="L845" s="235" t="str">
        <f>IFERROR(VLOOKUP($A845,'AAPT ExDa'!$B$2:$U$99, 11,FALSE), IFERROR(VLOOKUP($A845,'ABB ExDa'!$A$2:$N$184, 9,FALSE), IFERROR(VLOOKUP($A845,'Vocus SIT ExDa'!$B$2:$J$173, 8,FALSE), IFERROR(VLOOKUP($A845,'Telstra ExDa'!$B$2:$K$310, 0,FALSE), IFERROR(VLOOKUP($A845,'Vocus RVC ExDa'!$C$2:$R$155, 0,FALSE), IFERROR(VLOOKUP($A845,'Fusion ExDa'!$B$2:$D$16, 0,FALSE), IFERROR(VLOOKUP($A845,'Exetel ExDa'!$C$2:$N$14, 9,FALSE), IFERROR(VLOOKUP($A845,'Infinet ExDa'!$B$2:$E$14, 0,FALSE), "Not Found"))))))))</f>
        <v>Not Found</v>
      </c>
      <c r="M845" s="234" t="str">
        <f>IFERROR(VLOOKUP($A845,'AAPT ExDa'!$B$2:$U$99, 0,FALSE), IFERROR(VLOOKUP($A845,'ABB ExDa'!$A$2:$N$184, 0,FALSE), IFERROR(VLOOKUP($A845,'Vocus SIT ExDa'!$B$2:$J$173, 0,FALSE), IFERROR(VLOOKUP($A845,'Telstra ExDa'!$B$2:$K$310, 0,FALSE), IFERROR(VLOOKUP($A845,'Vocus RVC ExDa'!$C$2:$R$155, 0,FALSE), IFERROR(VLOOKUP($A845,'Fusion ExDa'!$B$2:$D$16, 0,FALSE), IFERROR(VLOOKUP($A845,'Exetel ExDa'!$C$2:$N$14, 11,FALSE), IFERROR(VLOOKUP($A845,'Infinet ExDa'!$B$2:$E$14, 0,FALSE), "Not Found"))))))))</f>
        <v>Not Found</v>
      </c>
      <c r="N845" t="str">
        <f>IFERROR(VLOOKUP($A845,'AAPT ExDa'!$B$2:$U$99, 0,FALSE), IFERROR(VLOOKUP($A845,'ABB ExDa'!$A$2:$N$184, 13,FALSE), IFERROR(VLOOKUP($A845,'Vocus SIT ExDa'!$B$2:$J$173, 0,FALSE), IFERROR(VLOOKUP($A845,'Telstra ExDa'!$B$2:$K$310, 0,FALSE), IFERROR(VLOOKUP($A845,'Vocus RVC ExDa'!$C$2:$R$155, 0,FALSE), IFERROR(VLOOKUP($A845,'Fusion ExDa'!$B$2:$D$16, 0,FALSE), IFERROR(VLOOKUP($A845,'Exetel ExDa'!$C$2:$N$14, 0,FALSE), IFERROR(VLOOKUP($A845,'Infinet ExDa'!$B$2:$E$14, 0,FALSE), "Not Found"))))))))</f>
        <v>Not Found</v>
      </c>
    </row>
    <row r="846" spans="1:14">
      <c r="A846" t="str">
        <v xml:space="preserve">	Fast Cut QLD Pty Ltd</v>
      </c>
      <c r="B846" t="str">
        <f>IFERROR(VLOOKUP(A846,'Exetel ExDa'!$C$2:$N$14,4,FALSE),"No Data")</f>
        <v>No Data</v>
      </c>
      <c r="C846" t="str">
        <f>IFERROR(VLOOKUP(A846,'AAPT ExDa'!$B$2:$U$99, 2,FALSE), IFERROR(VLOOKUP(A846,'ABB ExDa'!$A$2:$N$184, 2,FALSE), IFERROR(VLOOKUP(A846,'Vocus SIT ExDa'!$B$2:$J$173, 7,FALSE), IFERROR(VLOOKUP(A846,'Telstra ExDa'!$B$2:$K$310, 2,FALSE), IFERROR(VLOOKUP(A846,'Vocus RVC ExDa'!$C$2:$R$155, 3,FALSE), IFERROR(VLOOKUP(A846,'Fusion ExDa'!$B$2:$D$16, 2,FALSE), IFERROR(VLOOKUP(A846,'Exetel ExDa'!$C$2:$N$14, 2,FALSE), IFERROR(VLOOKUP(A846,'Infinet ExDa'!$B$2:$E$14, 2,FALSE), "Not Found"))))))))</f>
        <v>1 46 Matheson ST</v>
      </c>
      <c r="D846">
        <f>IFERROR(VLOOKUP($A846,'AAPT ExDa'!$B$2:$U$99, 15,FALSE), IFERROR(VLOOKUP($A846,'ABB ExDa'!$A$2:$N$184, 4,FALSE), IFERROR(VLOOKUP($A846,'Vocus SIT ExDa'!$B$2:$J$173, 5,FALSE), IFERROR(VLOOKUP($A846,'Telstra ExDa'!$B$2:$K$310, 8,FALSE), IFERROR(VLOOKUP($A846,'Vocus RVC ExDa'!$C$2:$R$155, 6,FALSE), IFERROR(VLOOKUP($A846,'Fusion ExDa'!$B$2:$D$16, 4,FALSE), IFERROR(VLOOKUP($A846,'Exetel ExDa'!$C$2:$N$14, 3,FALSE), IFERROR(VLOOKUP($A846,'Infinet ExDa'!$B$2:$E$14, 3,FALSE), "Not Found"))))))))</f>
        <v>4014</v>
      </c>
      <c r="E846" t="str">
        <f>IFERROR(VLOOKUP($A846,'AAPT ExDa'!$B$2:$U$99, 3,FALSE), IFERROR(VLOOKUP($A846,'ABB ExDa'!$A$2:$N$184, 5,FALSE), IFERROR(VLOOKUP($A846,'Vocus SIT ExDa'!$B$2:$J$173, 2,FALSE), IFERROR(VLOOKUP($A846,'Telstra ExDa'!$B$2:$K$310, 4,FALSE), IFERROR(VLOOKUP($A846,'Vocus RVC ExDa'!$C$2:$R$155, 8,FALSE), IFERROR(VLOOKUP($A846,'Fusion ExDa'!$B$2:$D$16, 4,FALSE), IFERROR(VLOOKUP($A846,'Exetel ExDa'!$C$2:$N$14, 5,FALSE), IFERROR(VLOOKUP($A846,'Infinet ExDa'!$B$2:$E$14, 3,FALSE), "Not Found"))))))))</f>
        <v>Mobile Service</v>
      </c>
      <c r="F846">
        <f>IFERROR(VLOOKUP($A846,'AAPT ExDa'!$B$2:$U$99, 4,FALSE), IFERROR(VLOOKUP($A846,'ABB ExDa'!$A$2:$N$184, 6,FALSE), IFERROR(VLOOKUP($A846,'Vocus SIT ExDa'!$B$2:$J$173, 3,FALSE), IFERROR(VLOOKUP($A846,'Telstra ExDa'!$B$2:$K$310, 5,FALSE), IFERROR(VLOOKUP($A846,'Vocus RVC ExDa'!$C$2:$R$155, 9,FALSE), IFERROR(VLOOKUP($A846,'Fusion ExDa'!$B$2:$D$16, 0,FALSE), IFERROR(VLOOKUP($A846,'Exetel ExDa'!$C$2:$N$14, 6,FALSE), IFERROR(VLOOKUP($A846,'Infinet ExDa'!$B$2:$E$14, 0,FALSE), "Not Found"))))))))</f>
        <v>45699</v>
      </c>
      <c r="G846">
        <f>IFERROR(VLOOKUP($A846,'AAPT ExDa'!$B$2:$U$99, 5,FALSE), IFERROR(VLOOKUP($A846,'ABB ExDa'!$A$2:$N$184, 8,FALSE), IFERROR(VLOOKUP($A846,'Vocus SIT ExDa'!$B$2:$J$173, 6,FALSE), IFERROR(VLOOKUP($A846,'Telstra ExDa'!$B$2:$K$310, 0,FALSE), IFERROR(VLOOKUP($A846,'Vocus RVC ExDa'!$C$2:$R$155, 15,FALSE), IFERROR(VLOOKUP($A846,'Fusion ExDa'!$B$2:$D$16, 0,FALSE), IFERROR(VLOOKUP($A846,'Exetel ExDa'!$C$2:$N$14, 7,FALSE), IFERROR(VLOOKUP($A846,'Infinet ExDa'!$B$2:$E$14, 0,FALSE), "Not Found"))))))))</f>
        <v>0</v>
      </c>
      <c r="H846">
        <f>IFERROR(VLOOKUP($A846,'AAPT ExDa'!$B$2:$U$99, 6,FALSE), IFERROR(VLOOKUP($A846,'ABB ExDa'!$A$2:$N$184, 0,FALSE), IFERROR(VLOOKUP($A846,'Vocus SIT ExDa'!$B$2:$J$173, 0,FALSE), IFERROR(VLOOKUP($A846,'Telstra ExDa'!$B$2:$K$310, 0,FALSE), IFERROR(VLOOKUP($A846,'Vocus RVC ExDa'!$C$2:$R$155, 16,FALSE), IFERROR(VLOOKUP($A846,'Fusion ExDa'!$B$2:$D$16, 0,FALSE), IFERROR(VLOOKUP($A846,'Exetel ExDa'!$C$2:$N$14, 0,FALSE), IFERROR(VLOOKUP($A846,'Infinet ExDa'!$B$2:$E$14, 0,FALSE), "Not Found"))))))))</f>
        <v>0</v>
      </c>
      <c r="I846" t="str">
        <f>IFERROR(VLOOKUP($A846,'AAPT ExDa'!$B$2:$U$99, 0,FALSE), IFERROR(VLOOKUP($A846,'ABB ExDa'!$A$2:$N$184, 0,FALSE), IFERROR(VLOOKUP($A846,'Vocus SIT ExDa'!$B$2:$J$173, 0,FALSE), IFERROR(VLOOKUP($A846,'Telstra ExDa'!$B$2:$K$310, 0,FALSE), IFERROR(VLOOKUP($A846,'Vocus RVC ExDa'!$C$2:$R$155, 0,FALSE), IFERROR(VLOOKUP($A846,'Fusion ExDa'!$B$2:$D$16, 0,FALSE), IFERROR(VLOOKUP($A846,'Exetel ExDa'!$C$2:$N$14, 8,FALSE), IFERROR(VLOOKUP($A846,'Infinet ExDa'!$B$2:$E$14, 0,FALSE), "Not Found"))))))))</f>
        <v>Not Found</v>
      </c>
      <c r="J846">
        <f>IFERROR(VLOOKUP($A846,'AAPT ExDa'!$B$2:$U$99, 7,FALSE), IFERROR(VLOOKUP($A846,'ABB ExDa'!$A$2:$N$184, 2,FALSE), IFERROR(VLOOKUP($A846,'Vocus SIT ExDa'!$B$2:$J$173, 0,FALSE), IFERROR(VLOOKUP($A846,'Telstra ExDa'!$B$2:$K$310, 7,FALSE), IFERROR(VLOOKUP($A846,'Vocus RVC ExDa'!$C$2:$R$155, 2,FALSE), IFERROR(VLOOKUP($A846,'Fusion ExDa'!$B$2:$D$16, 3,FALSE), IFERROR(VLOOKUP($A846,'Exetel ExDa'!$C$2:$N$14, 0,FALSE), IFERROR(VLOOKUP($A846,'Infinet ExDa'!$B$2:$E$14, 0,FALSE), "Not Found"))))))))</f>
        <v>0</v>
      </c>
      <c r="K846" t="str">
        <f>IFERROR(VLOOKUP($A846,'AAPT ExDa'!$B$2:$U$99, 12,FALSE), IFERROR(VLOOKUP($A846,'ABB ExDa'!$A$2:$N$184, 0,FALSE), IFERROR(VLOOKUP($A846,'Vocus SIT ExDa'!$B$2:$J$173, 0,FALSE), IFERROR(VLOOKUP($A846,'Telstra ExDa'!$B$2:$K$310, 0,FALSE), IFERROR(VLOOKUP($A846,'Vocus RVC ExDa'!$C$2:$R$155, 0,FALSE), IFERROR(VLOOKUP($A846,'Fusion ExDa'!$B$2:$D$16, 0,FALSE), IFERROR(VLOOKUP($A846,'Exetel ExDa'!$C$2:$N$14, 12,FALSE), IFERROR(VLOOKUP($A846,'Infinet ExDa'!$B$2:$E$14, 0,FALSE), "Not Found"))))))))</f>
        <v>Not Found</v>
      </c>
      <c r="L846" s="235" t="str">
        <f>IFERROR(VLOOKUP($A846,'AAPT ExDa'!$B$2:$U$99, 11,FALSE), IFERROR(VLOOKUP($A846,'ABB ExDa'!$A$2:$N$184, 9,FALSE), IFERROR(VLOOKUP($A846,'Vocus SIT ExDa'!$B$2:$J$173, 8,FALSE), IFERROR(VLOOKUP($A846,'Telstra ExDa'!$B$2:$K$310, 0,FALSE), IFERROR(VLOOKUP($A846,'Vocus RVC ExDa'!$C$2:$R$155, 0,FALSE), IFERROR(VLOOKUP($A846,'Fusion ExDa'!$B$2:$D$16, 0,FALSE), IFERROR(VLOOKUP($A846,'Exetel ExDa'!$C$2:$N$14, 9,FALSE), IFERROR(VLOOKUP($A846,'Infinet ExDa'!$B$2:$E$14, 0,FALSE), "Not Found"))))))))</f>
        <v>Not Found</v>
      </c>
      <c r="M846" s="234" t="str">
        <f>IFERROR(VLOOKUP($A846,'AAPT ExDa'!$B$2:$U$99, 0,FALSE), IFERROR(VLOOKUP($A846,'ABB ExDa'!$A$2:$N$184, 0,FALSE), IFERROR(VLOOKUP($A846,'Vocus SIT ExDa'!$B$2:$J$173, 0,FALSE), IFERROR(VLOOKUP($A846,'Telstra ExDa'!$B$2:$K$310, 0,FALSE), IFERROR(VLOOKUP($A846,'Vocus RVC ExDa'!$C$2:$R$155, 0,FALSE), IFERROR(VLOOKUP($A846,'Fusion ExDa'!$B$2:$D$16, 0,FALSE), IFERROR(VLOOKUP($A846,'Exetel ExDa'!$C$2:$N$14, 11,FALSE), IFERROR(VLOOKUP($A846,'Infinet ExDa'!$B$2:$E$14, 0,FALSE), "Not Found"))))))))</f>
        <v>Not Found</v>
      </c>
      <c r="N846" t="str">
        <f>IFERROR(VLOOKUP($A846,'AAPT ExDa'!$B$2:$U$99, 0,FALSE), IFERROR(VLOOKUP($A846,'ABB ExDa'!$A$2:$N$184, 13,FALSE), IFERROR(VLOOKUP($A846,'Vocus SIT ExDa'!$B$2:$J$173, 0,FALSE), IFERROR(VLOOKUP($A846,'Telstra ExDa'!$B$2:$K$310, 0,FALSE), IFERROR(VLOOKUP($A846,'Vocus RVC ExDa'!$C$2:$R$155, 0,FALSE), IFERROR(VLOOKUP($A846,'Fusion ExDa'!$B$2:$D$16, 0,FALSE), IFERROR(VLOOKUP($A846,'Exetel ExDa'!$C$2:$N$14, 0,FALSE), IFERROR(VLOOKUP($A846,'Infinet ExDa'!$B$2:$E$14, 0,FALSE), "Not Found"))))))))</f>
        <v>Not Found</v>
      </c>
    </row>
    <row r="847" spans="1:14">
      <c r="A847" t="str">
        <v>Zambrero Malvern</v>
      </c>
      <c r="B847" t="str">
        <f>IFERROR(VLOOKUP(A847,'Exetel ExDa'!$C$2:$N$14,4,FALSE),"No Data")</f>
        <v>No Data</v>
      </c>
      <c r="C847" t="str">
        <f>IFERROR(VLOOKUP(A847,'AAPT ExDa'!$B$2:$U$99, 2,FALSE), IFERROR(VLOOKUP(A847,'ABB ExDa'!$A$2:$N$184, 2,FALSE), IFERROR(VLOOKUP(A847,'Vocus SIT ExDa'!$B$2:$J$173, 7,FALSE), IFERROR(VLOOKUP(A847,'Telstra ExDa'!$B$2:$K$310, 2,FALSE), IFERROR(VLOOKUP(A847,'Vocus RVC ExDa'!$C$2:$R$155, 3,FALSE), IFERROR(VLOOKUP(A847,'Fusion ExDa'!$B$2:$D$16, 2,FALSE), IFERROR(VLOOKUP(A847,'Exetel ExDa'!$C$2:$N$14, 2,FALSE), IFERROR(VLOOKUP(A847,'Infinet ExDa'!$B$2:$E$14, 2,FALSE), "Not Found"))))))))</f>
        <v>206 GLENFERRIE RD, MALVERN VIC</v>
      </c>
      <c r="D847" t="str">
        <f>IFERROR(VLOOKUP($A847,'AAPT ExDa'!$B$2:$U$99, 15,FALSE), IFERROR(VLOOKUP($A847,'ABB ExDa'!$A$2:$N$184, 4,FALSE), IFERROR(VLOOKUP($A847,'Vocus SIT ExDa'!$B$2:$J$173, 5,FALSE), IFERROR(VLOOKUP($A847,'Telstra ExDa'!$B$2:$K$310, 8,FALSE), IFERROR(VLOOKUP($A847,'Vocus RVC ExDa'!$C$2:$R$155, 6,FALSE), IFERROR(VLOOKUP($A847,'Fusion ExDa'!$B$2:$D$16, 4,FALSE), IFERROR(VLOOKUP($A847,'Exetel ExDa'!$C$2:$N$14, 3,FALSE), IFERROR(VLOOKUP($A847,'Infinet ExDa'!$B$2:$E$14, 3,FALSE), "Not Found"))))))))</f>
        <v>ABB</v>
      </c>
      <c r="E847" t="str">
        <f>IFERROR(VLOOKUP($A847,'AAPT ExDa'!$B$2:$U$99, 3,FALSE), IFERROR(VLOOKUP($A847,'ABB ExDa'!$A$2:$N$184, 5,FALSE), IFERROR(VLOOKUP($A847,'Vocus SIT ExDa'!$B$2:$J$173, 2,FALSE), IFERROR(VLOOKUP($A847,'Telstra ExDa'!$B$2:$K$310, 4,FALSE), IFERROR(VLOOKUP($A847,'Vocus RVC ExDa'!$C$2:$R$155, 8,FALSE), IFERROR(VLOOKUP($A847,'Fusion ExDa'!$B$2:$D$16, 4,FALSE), IFERROR(VLOOKUP($A847,'Exetel ExDa'!$C$2:$N$14, 5,FALSE), IFERROR(VLOOKUP($A847,'Infinet ExDa'!$B$2:$E$14, 3,FALSE), "Not Found"))))))))</f>
        <v>NBN 25/10</v>
      </c>
      <c r="F847" t="str">
        <f>IFERROR(VLOOKUP($A847,'AAPT ExDa'!$B$2:$U$99, 4,FALSE), IFERROR(VLOOKUP($A847,'ABB ExDa'!$A$2:$N$184, 6,FALSE), IFERROR(VLOOKUP($A847,'Vocus SIT ExDa'!$B$2:$J$173, 3,FALSE), IFERROR(VLOOKUP($A847,'Telstra ExDa'!$B$2:$K$310, 5,FALSE), IFERROR(VLOOKUP($A847,'Vocus RVC ExDa'!$C$2:$R$155, 9,FALSE), IFERROR(VLOOKUP($A847,'Fusion ExDa'!$B$2:$D$16, 0,FALSE), IFERROR(VLOOKUP($A847,'Exetel ExDa'!$C$2:$N$14, 6,FALSE), IFERROR(VLOOKUP($A847,'Infinet ExDa'!$B$2:$E$14, 0,FALSE), "Not Found"))))))))</f>
        <v>HFC</v>
      </c>
      <c r="G847" t="str">
        <f>IFERROR(VLOOKUP($A847,'AAPT ExDa'!$B$2:$U$99, 5,FALSE), IFERROR(VLOOKUP($A847,'ABB ExDa'!$A$2:$N$184, 8,FALSE), IFERROR(VLOOKUP($A847,'Vocus SIT ExDa'!$B$2:$J$173, 6,FALSE), IFERROR(VLOOKUP($A847,'Telstra ExDa'!$B$2:$K$310, 0,FALSE), IFERROR(VLOOKUP($A847,'Vocus RVC ExDa'!$C$2:$R$155, 15,FALSE), IFERROR(VLOOKUP($A847,'Fusion ExDa'!$B$2:$D$16, 0,FALSE), IFERROR(VLOOKUP($A847,'Exetel ExDa'!$C$2:$N$14, 7,FALSE), IFERROR(VLOOKUP($A847,'Infinet ExDa'!$B$2:$E$14, 0,FALSE), "Not Found"))))))))</f>
        <v>144.6.66.78</v>
      </c>
      <c r="H847">
        <f>IFERROR(VLOOKUP($A847,'AAPT ExDa'!$B$2:$U$99, 6,FALSE), IFERROR(VLOOKUP($A847,'ABB ExDa'!$A$2:$N$184, 0,FALSE), IFERROR(VLOOKUP($A847,'Vocus SIT ExDa'!$B$2:$J$173, 0,FALSE), IFERROR(VLOOKUP($A847,'Telstra ExDa'!$B$2:$K$310, 0,FALSE), IFERROR(VLOOKUP($A847,'Vocus RVC ExDa'!$C$2:$R$155, 16,FALSE), IFERROR(VLOOKUP($A847,'Fusion ExDa'!$B$2:$D$16, 0,FALSE), IFERROR(VLOOKUP($A847,'Exetel ExDa'!$C$2:$N$14, 0,FALSE), IFERROR(VLOOKUP($A847,'Infinet ExDa'!$B$2:$E$14, 0,FALSE), "Not Found"))))))))</f>
        <v>0</v>
      </c>
      <c r="I847" t="str">
        <f>IFERROR(VLOOKUP($A847,'AAPT ExDa'!$B$2:$U$99, 0,FALSE), IFERROR(VLOOKUP($A847,'ABB ExDa'!$A$2:$N$184, 0,FALSE), IFERROR(VLOOKUP($A847,'Vocus SIT ExDa'!$B$2:$J$173, 0,FALSE), IFERROR(VLOOKUP($A847,'Telstra ExDa'!$B$2:$K$310, 0,FALSE), IFERROR(VLOOKUP($A847,'Vocus RVC ExDa'!$C$2:$R$155, 0,FALSE), IFERROR(VLOOKUP($A847,'Fusion ExDa'!$B$2:$D$16, 0,FALSE), IFERROR(VLOOKUP($A847,'Exetel ExDa'!$C$2:$N$14, 8,FALSE), IFERROR(VLOOKUP($A847,'Infinet ExDa'!$B$2:$E$14, 0,FALSE), "Not Found"))))))))</f>
        <v>Not Found</v>
      </c>
      <c r="J847" t="str">
        <f>IFERROR(VLOOKUP($A847,'AAPT ExDa'!$B$2:$U$99, 7,FALSE), IFERROR(VLOOKUP($A847,'ABB ExDa'!$A$2:$N$184, 2,FALSE), IFERROR(VLOOKUP($A847,'Vocus SIT ExDa'!$B$2:$J$173, 0,FALSE), IFERROR(VLOOKUP($A847,'Telstra ExDa'!$B$2:$K$310, 7,FALSE), IFERROR(VLOOKUP($A847,'Vocus RVC ExDa'!$C$2:$R$155, 2,FALSE), IFERROR(VLOOKUP($A847,'Fusion ExDa'!$B$2:$D$16, 3,FALSE), IFERROR(VLOOKUP($A847,'Exetel ExDa'!$C$2:$N$14, 0,FALSE), IFERROR(VLOOKUP($A847,'Infinet ExDa'!$B$2:$E$14, 0,FALSE), "Not Found"))))))))</f>
        <v>206 GLENFERRIE RD, MALVERN VIC</v>
      </c>
      <c r="K847" t="str">
        <f>IFERROR(VLOOKUP($A847,'AAPT ExDa'!$B$2:$U$99, 12,FALSE), IFERROR(VLOOKUP($A847,'ABB ExDa'!$A$2:$N$184, 0,FALSE), IFERROR(VLOOKUP($A847,'Vocus SIT ExDa'!$B$2:$J$173, 0,FALSE), IFERROR(VLOOKUP($A847,'Telstra ExDa'!$B$2:$K$310, 0,FALSE), IFERROR(VLOOKUP($A847,'Vocus RVC ExDa'!$C$2:$R$155, 0,FALSE), IFERROR(VLOOKUP($A847,'Fusion ExDa'!$B$2:$D$16, 0,FALSE), IFERROR(VLOOKUP($A847,'Exetel ExDa'!$C$2:$N$14, 12,FALSE), IFERROR(VLOOKUP($A847,'Infinet ExDa'!$B$2:$E$14, 0,FALSE), "Not Found"))))))))</f>
        <v>Not Found</v>
      </c>
      <c r="L847" s="235" t="str">
        <f>IFERROR(VLOOKUP($A847,'AAPT ExDa'!$B$2:$U$99, 11,FALSE), IFERROR(VLOOKUP($A847,'ABB ExDa'!$A$2:$N$184, 9,FALSE), IFERROR(VLOOKUP($A847,'Vocus SIT ExDa'!$B$2:$J$173, 8,FALSE), IFERROR(VLOOKUP($A847,'Telstra ExDa'!$B$2:$K$310, 0,FALSE), IFERROR(VLOOKUP($A847,'Vocus RVC ExDa'!$C$2:$R$155, 0,FALSE), IFERROR(VLOOKUP($A847,'Fusion ExDa'!$B$2:$D$16, 0,FALSE), IFERROR(VLOOKUP($A847,'Exetel ExDa'!$C$2:$N$14, 9,FALSE), IFERROR(VLOOKUP($A847,'Infinet ExDa'!$B$2:$E$14, 0,FALSE), "Not Found"))))))))</f>
        <v>24 May 2024</v>
      </c>
      <c r="M847" s="234" t="str">
        <f>IFERROR(VLOOKUP($A847,'AAPT ExDa'!$B$2:$U$99, 0,FALSE), IFERROR(VLOOKUP($A847,'ABB ExDa'!$A$2:$N$184, 0,FALSE), IFERROR(VLOOKUP($A847,'Vocus SIT ExDa'!$B$2:$J$173, 0,FALSE), IFERROR(VLOOKUP($A847,'Telstra ExDa'!$B$2:$K$310, 0,FALSE), IFERROR(VLOOKUP($A847,'Vocus RVC ExDa'!$C$2:$R$155, 0,FALSE), IFERROR(VLOOKUP($A847,'Fusion ExDa'!$B$2:$D$16, 0,FALSE), IFERROR(VLOOKUP($A847,'Exetel ExDa'!$C$2:$N$14, 11,FALSE), IFERROR(VLOOKUP($A847,'Infinet ExDa'!$B$2:$E$14, 0,FALSE), "Not Found"))))))))</f>
        <v>Not Found</v>
      </c>
      <c r="N847" t="str">
        <f>IFERROR(VLOOKUP($A847,'AAPT ExDa'!$B$2:$U$99, 0,FALSE), IFERROR(VLOOKUP($A847,'ABB ExDa'!$A$2:$N$184, 13,FALSE), IFERROR(VLOOKUP($A847,'Vocus SIT ExDa'!$B$2:$J$173, 0,FALSE), IFERROR(VLOOKUP($A847,'Telstra ExDa'!$B$2:$K$310, 0,FALSE), IFERROR(VLOOKUP($A847,'Vocus RVC ExDa'!$C$2:$R$155, 0,FALSE), IFERROR(VLOOKUP($A847,'Fusion ExDa'!$B$2:$D$16, 0,FALSE), IFERROR(VLOOKUP($A847,'Exetel ExDa'!$C$2:$N$14, 0,FALSE), IFERROR(VLOOKUP($A847,'Infinet ExDa'!$B$2:$E$14, 0,FALSE), "Not Found"))))))))</f>
        <v>Onebill</v>
      </c>
    </row>
    <row r="848" spans="1:14">
      <c r="A848" t="str">
        <v>Zambrero Elizabeth St</v>
      </c>
      <c r="B848" t="str">
        <f>IFERROR(VLOOKUP(A848,'Exetel ExDa'!$C$2:$N$14,4,FALSE),"No Data")</f>
        <v>No Data</v>
      </c>
      <c r="C848" t="str">
        <f>IFERROR(VLOOKUP(A848,'AAPT ExDa'!$B$2:$U$99, 2,FALSE), IFERROR(VLOOKUP(A848,'ABB ExDa'!$A$2:$N$184, 2,FALSE), IFERROR(VLOOKUP(A848,'Vocus SIT ExDa'!$B$2:$J$173, 7,FALSE), IFERROR(VLOOKUP(A848,'Telstra ExDa'!$B$2:$K$310, 2,FALSE), IFERROR(VLOOKUP(A848,'Vocus RVC ExDa'!$C$2:$R$155, 3,FALSE), IFERROR(VLOOKUP(A848,'Fusion ExDa'!$B$2:$D$16, 2,FALSE), IFERROR(VLOOKUP(A848,'Exetel ExDa'!$C$2:$N$14, 2,FALSE), IFERROR(VLOOKUP(A848,'Infinet ExDa'!$B$2:$E$14, 2,FALSE), "Not Found"))))))))</f>
        <v>SHOP 2, 97 ELIZABETH ST, MELBOURNE VIC</v>
      </c>
      <c r="D848" t="str">
        <f>IFERROR(VLOOKUP($A848,'AAPT ExDa'!$B$2:$U$99, 15,FALSE), IFERROR(VLOOKUP($A848,'ABB ExDa'!$A$2:$N$184, 4,FALSE), IFERROR(VLOOKUP($A848,'Vocus SIT ExDa'!$B$2:$J$173, 5,FALSE), IFERROR(VLOOKUP($A848,'Telstra ExDa'!$B$2:$K$310, 8,FALSE), IFERROR(VLOOKUP($A848,'Vocus RVC ExDa'!$C$2:$R$155, 6,FALSE), IFERROR(VLOOKUP($A848,'Fusion ExDa'!$B$2:$D$16, 4,FALSE), IFERROR(VLOOKUP($A848,'Exetel ExDa'!$C$2:$N$14, 3,FALSE), IFERROR(VLOOKUP($A848,'Infinet ExDa'!$B$2:$E$14, 3,FALSE), "Not Found"))))))))</f>
        <v>ABB</v>
      </c>
      <c r="E848" t="str">
        <f>IFERROR(VLOOKUP($A848,'AAPT ExDa'!$B$2:$U$99, 3,FALSE), IFERROR(VLOOKUP($A848,'ABB ExDa'!$A$2:$N$184, 5,FALSE), IFERROR(VLOOKUP($A848,'Vocus SIT ExDa'!$B$2:$J$173, 2,FALSE), IFERROR(VLOOKUP($A848,'Telstra ExDa'!$B$2:$K$310, 4,FALSE), IFERROR(VLOOKUP($A848,'Vocus RVC ExDa'!$C$2:$R$155, 8,FALSE), IFERROR(VLOOKUP($A848,'Fusion ExDa'!$B$2:$D$16, 4,FALSE), IFERROR(VLOOKUP($A848,'Exetel ExDa'!$C$2:$N$14, 5,FALSE), IFERROR(VLOOKUP($A848,'Infinet ExDa'!$B$2:$E$14, 3,FALSE), "Not Found"))))))))</f>
        <v>NBN 25/10</v>
      </c>
      <c r="F848" t="str">
        <f>IFERROR(VLOOKUP($A848,'AAPT ExDa'!$B$2:$U$99, 4,FALSE), IFERROR(VLOOKUP($A848,'ABB ExDa'!$A$2:$N$184, 6,FALSE), IFERROR(VLOOKUP($A848,'Vocus SIT ExDa'!$B$2:$J$173, 3,FALSE), IFERROR(VLOOKUP($A848,'Telstra ExDa'!$B$2:$K$310, 5,FALSE), IFERROR(VLOOKUP($A848,'Vocus RVC ExDa'!$C$2:$R$155, 9,FALSE), IFERROR(VLOOKUP($A848,'Fusion ExDa'!$B$2:$D$16, 0,FALSE), IFERROR(VLOOKUP($A848,'Exetel ExDa'!$C$2:$N$14, 6,FALSE), IFERROR(VLOOKUP($A848,'Infinet ExDa'!$B$2:$E$14, 0,FALSE), "Not Found"))))))))</f>
        <v>FTTB</v>
      </c>
      <c r="G848" t="str">
        <f>IFERROR(VLOOKUP($A848,'AAPT ExDa'!$B$2:$U$99, 5,FALSE), IFERROR(VLOOKUP($A848,'ABB ExDa'!$A$2:$N$184, 8,FALSE), IFERROR(VLOOKUP($A848,'Vocus SIT ExDa'!$B$2:$J$173, 6,FALSE), IFERROR(VLOOKUP($A848,'Telstra ExDa'!$B$2:$K$310, 0,FALSE), IFERROR(VLOOKUP($A848,'Vocus RVC ExDa'!$C$2:$R$155, 15,FALSE), IFERROR(VLOOKUP($A848,'Fusion ExDa'!$B$2:$D$16, 0,FALSE), IFERROR(VLOOKUP($A848,'Exetel ExDa'!$C$2:$N$14, 7,FALSE), IFERROR(VLOOKUP($A848,'Infinet ExDa'!$B$2:$E$14, 0,FALSE), "Not Found"))))))))</f>
        <v>144.6.90.91</v>
      </c>
      <c r="H848">
        <f>IFERROR(VLOOKUP($A848,'AAPT ExDa'!$B$2:$U$99, 6,FALSE), IFERROR(VLOOKUP($A848,'ABB ExDa'!$A$2:$N$184, 0,FALSE), IFERROR(VLOOKUP($A848,'Vocus SIT ExDa'!$B$2:$J$173, 0,FALSE), IFERROR(VLOOKUP($A848,'Telstra ExDa'!$B$2:$K$310, 0,FALSE), IFERROR(VLOOKUP($A848,'Vocus RVC ExDa'!$C$2:$R$155, 16,FALSE), IFERROR(VLOOKUP($A848,'Fusion ExDa'!$B$2:$D$16, 0,FALSE), IFERROR(VLOOKUP($A848,'Exetel ExDa'!$C$2:$N$14, 0,FALSE), IFERROR(VLOOKUP($A848,'Infinet ExDa'!$B$2:$E$14, 0,FALSE), "Not Found"))))))))</f>
        <v>0</v>
      </c>
      <c r="I848" t="str">
        <f>IFERROR(VLOOKUP($A848,'AAPT ExDa'!$B$2:$U$99, 0,FALSE), IFERROR(VLOOKUP($A848,'ABB ExDa'!$A$2:$N$184, 0,FALSE), IFERROR(VLOOKUP($A848,'Vocus SIT ExDa'!$B$2:$J$173, 0,FALSE), IFERROR(VLOOKUP($A848,'Telstra ExDa'!$B$2:$K$310, 0,FALSE), IFERROR(VLOOKUP($A848,'Vocus RVC ExDa'!$C$2:$R$155, 0,FALSE), IFERROR(VLOOKUP($A848,'Fusion ExDa'!$B$2:$D$16, 0,FALSE), IFERROR(VLOOKUP($A848,'Exetel ExDa'!$C$2:$N$14, 8,FALSE), IFERROR(VLOOKUP($A848,'Infinet ExDa'!$B$2:$E$14, 0,FALSE), "Not Found"))))))))</f>
        <v>Not Found</v>
      </c>
      <c r="J848" t="str">
        <f>IFERROR(VLOOKUP($A848,'AAPT ExDa'!$B$2:$U$99, 7,FALSE), IFERROR(VLOOKUP($A848,'ABB ExDa'!$A$2:$N$184, 2,FALSE), IFERROR(VLOOKUP($A848,'Vocus SIT ExDa'!$B$2:$J$173, 0,FALSE), IFERROR(VLOOKUP($A848,'Telstra ExDa'!$B$2:$K$310, 7,FALSE), IFERROR(VLOOKUP($A848,'Vocus RVC ExDa'!$C$2:$R$155, 2,FALSE), IFERROR(VLOOKUP($A848,'Fusion ExDa'!$B$2:$D$16, 3,FALSE), IFERROR(VLOOKUP($A848,'Exetel ExDa'!$C$2:$N$14, 0,FALSE), IFERROR(VLOOKUP($A848,'Infinet ExDa'!$B$2:$E$14, 0,FALSE), "Not Found"))))))))</f>
        <v>SHOP 2, 97 ELIZABETH ST, MELBOURNE VIC</v>
      </c>
      <c r="K848" t="str">
        <f>IFERROR(VLOOKUP($A848,'AAPT ExDa'!$B$2:$U$99, 12,FALSE), IFERROR(VLOOKUP($A848,'ABB ExDa'!$A$2:$N$184, 0,FALSE), IFERROR(VLOOKUP($A848,'Vocus SIT ExDa'!$B$2:$J$173, 0,FALSE), IFERROR(VLOOKUP($A848,'Telstra ExDa'!$B$2:$K$310, 0,FALSE), IFERROR(VLOOKUP($A848,'Vocus RVC ExDa'!$C$2:$R$155, 0,FALSE), IFERROR(VLOOKUP($A848,'Fusion ExDa'!$B$2:$D$16, 0,FALSE), IFERROR(VLOOKUP($A848,'Exetel ExDa'!$C$2:$N$14, 12,FALSE), IFERROR(VLOOKUP($A848,'Infinet ExDa'!$B$2:$E$14, 0,FALSE), "Not Found"))))))))</f>
        <v>Not Found</v>
      </c>
      <c r="L848" s="235" t="str">
        <f>IFERROR(VLOOKUP($A848,'AAPT ExDa'!$B$2:$U$99, 11,FALSE), IFERROR(VLOOKUP($A848,'ABB ExDa'!$A$2:$N$184, 9,FALSE), IFERROR(VLOOKUP($A848,'Vocus SIT ExDa'!$B$2:$J$173, 8,FALSE), IFERROR(VLOOKUP($A848,'Telstra ExDa'!$B$2:$K$310, 0,FALSE), IFERROR(VLOOKUP($A848,'Vocus RVC ExDa'!$C$2:$R$155, 0,FALSE), IFERROR(VLOOKUP($A848,'Fusion ExDa'!$B$2:$D$16, 0,FALSE), IFERROR(VLOOKUP($A848,'Exetel ExDa'!$C$2:$N$14, 9,FALSE), IFERROR(VLOOKUP($A848,'Infinet ExDa'!$B$2:$E$14, 0,FALSE), "Not Found"))))))))</f>
        <v>15 Mar 2024</v>
      </c>
      <c r="M848" s="234" t="str">
        <f>IFERROR(VLOOKUP($A848,'AAPT ExDa'!$B$2:$U$99, 0,FALSE), IFERROR(VLOOKUP($A848,'ABB ExDa'!$A$2:$N$184, 0,FALSE), IFERROR(VLOOKUP($A848,'Vocus SIT ExDa'!$B$2:$J$173, 0,FALSE), IFERROR(VLOOKUP($A848,'Telstra ExDa'!$B$2:$K$310, 0,FALSE), IFERROR(VLOOKUP($A848,'Vocus RVC ExDa'!$C$2:$R$155, 0,FALSE), IFERROR(VLOOKUP($A848,'Fusion ExDa'!$B$2:$D$16, 0,FALSE), IFERROR(VLOOKUP($A848,'Exetel ExDa'!$C$2:$N$14, 11,FALSE), IFERROR(VLOOKUP($A848,'Infinet ExDa'!$B$2:$E$14, 0,FALSE), "Not Found"))))))))</f>
        <v>Not Found</v>
      </c>
      <c r="N848" t="str">
        <f>IFERROR(VLOOKUP($A848,'AAPT ExDa'!$B$2:$U$99, 0,FALSE), IFERROR(VLOOKUP($A848,'ABB ExDa'!$A$2:$N$184, 13,FALSE), IFERROR(VLOOKUP($A848,'Vocus SIT ExDa'!$B$2:$J$173, 0,FALSE), IFERROR(VLOOKUP($A848,'Telstra ExDa'!$B$2:$K$310, 0,FALSE), IFERROR(VLOOKUP($A848,'Vocus RVC ExDa'!$C$2:$R$155, 0,FALSE), IFERROR(VLOOKUP($A848,'Fusion ExDa'!$B$2:$D$16, 0,FALSE), IFERROR(VLOOKUP($A848,'Exetel ExDa'!$C$2:$N$14, 0,FALSE), IFERROR(VLOOKUP($A848,'Infinet ExDa'!$B$2:$E$14, 0,FALSE), "Not Found"))))))))</f>
        <v>Onebill</v>
      </c>
    </row>
    <row r="849" spans="1:14">
      <c r="A849" t="str">
        <v xml:space="preserve">	Zambrero Richmond</v>
      </c>
      <c r="B849" t="str">
        <f>IFERROR(VLOOKUP(A849,'Exetel ExDa'!$C$2:$N$14,4,FALSE),"No Data")</f>
        <v>No Data</v>
      </c>
      <c r="C849" t="str">
        <f>IFERROR(VLOOKUP(A849,'AAPT ExDa'!$B$2:$U$99, 2,FALSE), IFERROR(VLOOKUP(A849,'ABB ExDa'!$A$2:$N$184, 2,FALSE), IFERROR(VLOOKUP(A849,'Vocus SIT ExDa'!$B$2:$J$173, 7,FALSE), IFERROR(VLOOKUP(A849,'Telstra ExDa'!$B$2:$K$310, 2,FALSE), IFERROR(VLOOKUP(A849,'Vocus RVC ExDa'!$C$2:$R$155, 3,FALSE), IFERROR(VLOOKUP(A849,'Fusion ExDa'!$B$2:$D$16, 2,FALSE), IFERROR(VLOOKUP(A849,'Exetel ExDa'!$C$2:$N$14, 2,FALSE), IFERROR(VLOOKUP(A849,'Infinet ExDa'!$B$2:$E$14, 2,FALSE), "Not Found"))))))))</f>
        <v>166 Swan St ST</v>
      </c>
      <c r="D849">
        <f>IFERROR(VLOOKUP($A849,'AAPT ExDa'!$B$2:$U$99, 15,FALSE), IFERROR(VLOOKUP($A849,'ABB ExDa'!$A$2:$N$184, 4,FALSE), IFERROR(VLOOKUP($A849,'Vocus SIT ExDa'!$B$2:$J$173, 5,FALSE), IFERROR(VLOOKUP($A849,'Telstra ExDa'!$B$2:$K$310, 8,FALSE), IFERROR(VLOOKUP($A849,'Vocus RVC ExDa'!$C$2:$R$155, 6,FALSE), IFERROR(VLOOKUP($A849,'Fusion ExDa'!$B$2:$D$16, 4,FALSE), IFERROR(VLOOKUP($A849,'Exetel ExDa'!$C$2:$N$14, 3,FALSE), IFERROR(VLOOKUP($A849,'Infinet ExDa'!$B$2:$E$14, 3,FALSE), "Not Found"))))))))</f>
        <v>3121</v>
      </c>
      <c r="E849" t="str">
        <f>IFERROR(VLOOKUP($A849,'AAPT ExDa'!$B$2:$U$99, 3,FALSE), IFERROR(VLOOKUP($A849,'ABB ExDa'!$A$2:$N$184, 5,FALSE), IFERROR(VLOOKUP($A849,'Vocus SIT ExDa'!$B$2:$J$173, 2,FALSE), IFERROR(VLOOKUP($A849,'Telstra ExDa'!$B$2:$K$310, 4,FALSE), IFERROR(VLOOKUP($A849,'Vocus RVC ExDa'!$C$2:$R$155, 8,FALSE), IFERROR(VLOOKUP($A849,'Fusion ExDa'!$B$2:$D$16, 4,FALSE), IFERROR(VLOOKUP($A849,'Exetel ExDa'!$C$2:$N$14, 5,FALSE), IFERROR(VLOOKUP($A849,'Infinet ExDa'!$B$2:$E$14, 3,FALSE), "Not Found"))))))))</f>
        <v>Mobile Service</v>
      </c>
      <c r="F849">
        <f>IFERROR(VLOOKUP($A849,'AAPT ExDa'!$B$2:$U$99, 4,FALSE), IFERROR(VLOOKUP($A849,'ABB ExDa'!$A$2:$N$184, 6,FALSE), IFERROR(VLOOKUP($A849,'Vocus SIT ExDa'!$B$2:$J$173, 3,FALSE), IFERROR(VLOOKUP($A849,'Telstra ExDa'!$B$2:$K$310, 5,FALSE), IFERROR(VLOOKUP($A849,'Vocus RVC ExDa'!$C$2:$R$155, 9,FALSE), IFERROR(VLOOKUP($A849,'Fusion ExDa'!$B$2:$D$16, 0,FALSE), IFERROR(VLOOKUP($A849,'Exetel ExDa'!$C$2:$N$14, 6,FALSE), IFERROR(VLOOKUP($A849,'Infinet ExDa'!$B$2:$E$14, 0,FALSE), "Not Found"))))))))</f>
        <v>45712</v>
      </c>
      <c r="G849">
        <f>IFERROR(VLOOKUP($A849,'AAPT ExDa'!$B$2:$U$99, 5,FALSE), IFERROR(VLOOKUP($A849,'ABB ExDa'!$A$2:$N$184, 8,FALSE), IFERROR(VLOOKUP($A849,'Vocus SIT ExDa'!$B$2:$J$173, 6,FALSE), IFERROR(VLOOKUP($A849,'Telstra ExDa'!$B$2:$K$310, 0,FALSE), IFERROR(VLOOKUP($A849,'Vocus RVC ExDa'!$C$2:$R$155, 15,FALSE), IFERROR(VLOOKUP($A849,'Fusion ExDa'!$B$2:$D$16, 0,FALSE), IFERROR(VLOOKUP($A849,'Exetel ExDa'!$C$2:$N$14, 7,FALSE), IFERROR(VLOOKUP($A849,'Infinet ExDa'!$B$2:$E$14, 0,FALSE), "Not Found"))))))))</f>
        <v>0</v>
      </c>
      <c r="H849">
        <f>IFERROR(VLOOKUP($A849,'AAPT ExDa'!$B$2:$U$99, 6,FALSE), IFERROR(VLOOKUP($A849,'ABB ExDa'!$A$2:$N$184, 0,FALSE), IFERROR(VLOOKUP($A849,'Vocus SIT ExDa'!$B$2:$J$173, 0,FALSE), IFERROR(VLOOKUP($A849,'Telstra ExDa'!$B$2:$K$310, 0,FALSE), IFERROR(VLOOKUP($A849,'Vocus RVC ExDa'!$C$2:$R$155, 16,FALSE), IFERROR(VLOOKUP($A849,'Fusion ExDa'!$B$2:$D$16, 0,FALSE), IFERROR(VLOOKUP($A849,'Exetel ExDa'!$C$2:$N$14, 0,FALSE), IFERROR(VLOOKUP($A849,'Infinet ExDa'!$B$2:$E$14, 0,FALSE), "Not Found"))))))))</f>
        <v>0</v>
      </c>
      <c r="I849" t="str">
        <f>IFERROR(VLOOKUP($A849,'AAPT ExDa'!$B$2:$U$99, 0,FALSE), IFERROR(VLOOKUP($A849,'ABB ExDa'!$A$2:$N$184, 0,FALSE), IFERROR(VLOOKUP($A849,'Vocus SIT ExDa'!$B$2:$J$173, 0,FALSE), IFERROR(VLOOKUP($A849,'Telstra ExDa'!$B$2:$K$310, 0,FALSE), IFERROR(VLOOKUP($A849,'Vocus RVC ExDa'!$C$2:$R$155, 0,FALSE), IFERROR(VLOOKUP($A849,'Fusion ExDa'!$B$2:$D$16, 0,FALSE), IFERROR(VLOOKUP($A849,'Exetel ExDa'!$C$2:$N$14, 8,FALSE), IFERROR(VLOOKUP($A849,'Infinet ExDa'!$B$2:$E$14, 0,FALSE), "Not Found"))))))))</f>
        <v>Not Found</v>
      </c>
      <c r="J849">
        <f>IFERROR(VLOOKUP($A849,'AAPT ExDa'!$B$2:$U$99, 7,FALSE), IFERROR(VLOOKUP($A849,'ABB ExDa'!$A$2:$N$184, 2,FALSE), IFERROR(VLOOKUP($A849,'Vocus SIT ExDa'!$B$2:$J$173, 0,FALSE), IFERROR(VLOOKUP($A849,'Telstra ExDa'!$B$2:$K$310, 7,FALSE), IFERROR(VLOOKUP($A849,'Vocus RVC ExDa'!$C$2:$R$155, 2,FALSE), IFERROR(VLOOKUP($A849,'Fusion ExDa'!$B$2:$D$16, 3,FALSE), IFERROR(VLOOKUP($A849,'Exetel ExDa'!$C$2:$N$14, 0,FALSE), IFERROR(VLOOKUP($A849,'Infinet ExDa'!$B$2:$E$14, 0,FALSE), "Not Found"))))))))</f>
        <v>0</v>
      </c>
      <c r="K849" t="str">
        <f>IFERROR(VLOOKUP($A849,'AAPT ExDa'!$B$2:$U$99, 12,FALSE), IFERROR(VLOOKUP($A849,'ABB ExDa'!$A$2:$N$184, 0,FALSE), IFERROR(VLOOKUP($A849,'Vocus SIT ExDa'!$B$2:$J$173, 0,FALSE), IFERROR(VLOOKUP($A849,'Telstra ExDa'!$B$2:$K$310, 0,FALSE), IFERROR(VLOOKUP($A849,'Vocus RVC ExDa'!$C$2:$R$155, 0,FALSE), IFERROR(VLOOKUP($A849,'Fusion ExDa'!$B$2:$D$16, 0,FALSE), IFERROR(VLOOKUP($A849,'Exetel ExDa'!$C$2:$N$14, 12,FALSE), IFERROR(VLOOKUP($A849,'Infinet ExDa'!$B$2:$E$14, 0,FALSE), "Not Found"))))))))</f>
        <v>Not Found</v>
      </c>
      <c r="L849" s="235" t="str">
        <f>IFERROR(VLOOKUP($A849,'AAPT ExDa'!$B$2:$U$99, 11,FALSE), IFERROR(VLOOKUP($A849,'ABB ExDa'!$A$2:$N$184, 9,FALSE), IFERROR(VLOOKUP($A849,'Vocus SIT ExDa'!$B$2:$J$173, 8,FALSE), IFERROR(VLOOKUP($A849,'Telstra ExDa'!$B$2:$K$310, 0,FALSE), IFERROR(VLOOKUP($A849,'Vocus RVC ExDa'!$C$2:$R$155, 0,FALSE), IFERROR(VLOOKUP($A849,'Fusion ExDa'!$B$2:$D$16, 0,FALSE), IFERROR(VLOOKUP($A849,'Exetel ExDa'!$C$2:$N$14, 9,FALSE), IFERROR(VLOOKUP($A849,'Infinet ExDa'!$B$2:$E$14, 0,FALSE), "Not Found"))))))))</f>
        <v>Not Found</v>
      </c>
      <c r="M849" s="234" t="str">
        <f>IFERROR(VLOOKUP($A849,'AAPT ExDa'!$B$2:$U$99, 0,FALSE), IFERROR(VLOOKUP($A849,'ABB ExDa'!$A$2:$N$184, 0,FALSE), IFERROR(VLOOKUP($A849,'Vocus SIT ExDa'!$B$2:$J$173, 0,FALSE), IFERROR(VLOOKUP($A849,'Telstra ExDa'!$B$2:$K$310, 0,FALSE), IFERROR(VLOOKUP($A849,'Vocus RVC ExDa'!$C$2:$R$155, 0,FALSE), IFERROR(VLOOKUP($A849,'Fusion ExDa'!$B$2:$D$16, 0,FALSE), IFERROR(VLOOKUP($A849,'Exetel ExDa'!$C$2:$N$14, 11,FALSE), IFERROR(VLOOKUP($A849,'Infinet ExDa'!$B$2:$E$14, 0,FALSE), "Not Found"))))))))</f>
        <v>Not Found</v>
      </c>
      <c r="N849" t="str">
        <f>IFERROR(VLOOKUP($A849,'AAPT ExDa'!$B$2:$U$99, 0,FALSE), IFERROR(VLOOKUP($A849,'ABB ExDa'!$A$2:$N$184, 13,FALSE), IFERROR(VLOOKUP($A849,'Vocus SIT ExDa'!$B$2:$J$173, 0,FALSE), IFERROR(VLOOKUP($A849,'Telstra ExDa'!$B$2:$K$310, 0,FALSE), IFERROR(VLOOKUP($A849,'Vocus RVC ExDa'!$C$2:$R$155, 0,FALSE), IFERROR(VLOOKUP($A849,'Fusion ExDa'!$B$2:$D$16, 0,FALSE), IFERROR(VLOOKUP($A849,'Exetel ExDa'!$C$2:$N$14, 0,FALSE), IFERROR(VLOOKUP($A849,'Infinet ExDa'!$B$2:$E$14, 0,FALSE), "Not Found"))))))))</f>
        <v>Not Found</v>
      </c>
    </row>
    <row r="850" spans="1:14">
      <c r="A850" t="str">
        <v>Zambrero Bentleigh</v>
      </c>
      <c r="B850" t="str">
        <f>IFERROR(VLOOKUP(A850,'Exetel ExDa'!$C$2:$N$14,4,FALSE),"No Data")</f>
        <v>No Data</v>
      </c>
      <c r="C850" t="str">
        <f>IFERROR(VLOOKUP(A850,'AAPT ExDa'!$B$2:$U$99, 2,FALSE), IFERROR(VLOOKUP(A850,'ABB ExDa'!$A$2:$N$184, 2,FALSE), IFERROR(VLOOKUP(A850,'Vocus SIT ExDa'!$B$2:$J$173, 7,FALSE), IFERROR(VLOOKUP(A850,'Telstra ExDa'!$B$2:$K$310, 2,FALSE), IFERROR(VLOOKUP(A850,'Vocus RVC ExDa'!$C$2:$R$155, 3,FALSE), IFERROR(VLOOKUP(A850,'Fusion ExDa'!$B$2:$D$16, 2,FALSE), IFERROR(VLOOKUP(A850,'Exetel ExDa'!$C$2:$N$14, 2,FALSE), IFERROR(VLOOKUP(A850,'Infinet ExDa'!$B$2:$E$14, 2,FALSE), "Not Found"))))))))</f>
        <v>476 CENTRE RD, BENTLEIGH VIC</v>
      </c>
      <c r="D850" t="str">
        <f>IFERROR(VLOOKUP($A850,'AAPT ExDa'!$B$2:$U$99, 15,FALSE), IFERROR(VLOOKUP($A850,'ABB ExDa'!$A$2:$N$184, 4,FALSE), IFERROR(VLOOKUP($A850,'Vocus SIT ExDa'!$B$2:$J$173, 5,FALSE), IFERROR(VLOOKUP($A850,'Telstra ExDa'!$B$2:$K$310, 8,FALSE), IFERROR(VLOOKUP($A850,'Vocus RVC ExDa'!$C$2:$R$155, 6,FALSE), IFERROR(VLOOKUP($A850,'Fusion ExDa'!$B$2:$D$16, 4,FALSE), IFERROR(VLOOKUP($A850,'Exetel ExDa'!$C$2:$N$14, 3,FALSE), IFERROR(VLOOKUP($A850,'Infinet ExDa'!$B$2:$E$14, 3,FALSE), "Not Found"))))))))</f>
        <v>ABB</v>
      </c>
      <c r="E850" t="str">
        <f>IFERROR(VLOOKUP($A850,'AAPT ExDa'!$B$2:$U$99, 3,FALSE), IFERROR(VLOOKUP($A850,'ABB ExDa'!$A$2:$N$184, 5,FALSE), IFERROR(VLOOKUP($A850,'Vocus SIT ExDa'!$B$2:$J$173, 2,FALSE), IFERROR(VLOOKUP($A850,'Telstra ExDa'!$B$2:$K$310, 4,FALSE), IFERROR(VLOOKUP($A850,'Vocus RVC ExDa'!$C$2:$R$155, 8,FALSE), IFERROR(VLOOKUP($A850,'Fusion ExDa'!$B$2:$D$16, 4,FALSE), IFERROR(VLOOKUP($A850,'Exetel ExDa'!$C$2:$N$14, 5,FALSE), IFERROR(VLOOKUP($A850,'Infinet ExDa'!$B$2:$E$14, 3,FALSE), "Not Found"))))))))</f>
        <v>NBN 100/40</v>
      </c>
      <c r="F850" t="str">
        <f>IFERROR(VLOOKUP($A850,'AAPT ExDa'!$B$2:$U$99, 4,FALSE), IFERROR(VLOOKUP($A850,'ABB ExDa'!$A$2:$N$184, 6,FALSE), IFERROR(VLOOKUP($A850,'Vocus SIT ExDa'!$B$2:$J$173, 3,FALSE), IFERROR(VLOOKUP($A850,'Telstra ExDa'!$B$2:$K$310, 5,FALSE), IFERROR(VLOOKUP($A850,'Vocus RVC ExDa'!$C$2:$R$155, 9,FALSE), IFERROR(VLOOKUP($A850,'Fusion ExDa'!$B$2:$D$16, 0,FALSE), IFERROR(VLOOKUP($A850,'Exetel ExDa'!$C$2:$N$14, 6,FALSE), IFERROR(VLOOKUP($A850,'Infinet ExDa'!$B$2:$E$14, 0,FALSE), "Not Found"))))))))</f>
        <v xml:space="preserve">Fibre </v>
      </c>
      <c r="G850" t="str">
        <f>IFERROR(VLOOKUP($A850,'AAPT ExDa'!$B$2:$U$99, 5,FALSE), IFERROR(VLOOKUP($A850,'ABB ExDa'!$A$2:$N$184, 8,FALSE), IFERROR(VLOOKUP($A850,'Vocus SIT ExDa'!$B$2:$J$173, 6,FALSE), IFERROR(VLOOKUP($A850,'Telstra ExDa'!$B$2:$K$310, 0,FALSE), IFERROR(VLOOKUP($A850,'Vocus RVC ExDa'!$C$2:$R$155, 15,FALSE), IFERROR(VLOOKUP($A850,'Fusion ExDa'!$B$2:$D$16, 0,FALSE), IFERROR(VLOOKUP($A850,'Exetel ExDa'!$C$2:$N$14, 7,FALSE), IFERROR(VLOOKUP($A850,'Infinet ExDa'!$B$2:$E$14, 0,FALSE), "Not Found"))))))))</f>
        <v>180.181.192.46</v>
      </c>
      <c r="H850">
        <f>IFERROR(VLOOKUP($A850,'AAPT ExDa'!$B$2:$U$99, 6,FALSE), IFERROR(VLOOKUP($A850,'ABB ExDa'!$A$2:$N$184, 0,FALSE), IFERROR(VLOOKUP($A850,'Vocus SIT ExDa'!$B$2:$J$173, 0,FALSE), IFERROR(VLOOKUP($A850,'Telstra ExDa'!$B$2:$K$310, 0,FALSE), IFERROR(VLOOKUP($A850,'Vocus RVC ExDa'!$C$2:$R$155, 16,FALSE), IFERROR(VLOOKUP($A850,'Fusion ExDa'!$B$2:$D$16, 0,FALSE), IFERROR(VLOOKUP($A850,'Exetel ExDa'!$C$2:$N$14, 0,FALSE), IFERROR(VLOOKUP($A850,'Infinet ExDa'!$B$2:$E$14, 0,FALSE), "Not Found"))))))))</f>
        <v>0</v>
      </c>
      <c r="I850" t="str">
        <f>IFERROR(VLOOKUP($A850,'AAPT ExDa'!$B$2:$U$99, 0,FALSE), IFERROR(VLOOKUP($A850,'ABB ExDa'!$A$2:$N$184, 0,FALSE), IFERROR(VLOOKUP($A850,'Vocus SIT ExDa'!$B$2:$J$173, 0,FALSE), IFERROR(VLOOKUP($A850,'Telstra ExDa'!$B$2:$K$310, 0,FALSE), IFERROR(VLOOKUP($A850,'Vocus RVC ExDa'!$C$2:$R$155, 0,FALSE), IFERROR(VLOOKUP($A850,'Fusion ExDa'!$B$2:$D$16, 0,FALSE), IFERROR(VLOOKUP($A850,'Exetel ExDa'!$C$2:$N$14, 8,FALSE), IFERROR(VLOOKUP($A850,'Infinet ExDa'!$B$2:$E$14, 0,FALSE), "Not Found"))))))))</f>
        <v>Not Found</v>
      </c>
      <c r="J850" t="str">
        <f>IFERROR(VLOOKUP($A850,'AAPT ExDa'!$B$2:$U$99, 7,FALSE), IFERROR(VLOOKUP($A850,'ABB ExDa'!$A$2:$N$184, 2,FALSE), IFERROR(VLOOKUP($A850,'Vocus SIT ExDa'!$B$2:$J$173, 0,FALSE), IFERROR(VLOOKUP($A850,'Telstra ExDa'!$B$2:$K$310, 7,FALSE), IFERROR(VLOOKUP($A850,'Vocus RVC ExDa'!$C$2:$R$155, 2,FALSE), IFERROR(VLOOKUP($A850,'Fusion ExDa'!$B$2:$D$16, 3,FALSE), IFERROR(VLOOKUP($A850,'Exetel ExDa'!$C$2:$N$14, 0,FALSE), IFERROR(VLOOKUP($A850,'Infinet ExDa'!$B$2:$E$14, 0,FALSE), "Not Found"))))))))</f>
        <v>476 CENTRE RD, BENTLEIGH VIC</v>
      </c>
      <c r="K850" t="str">
        <f>IFERROR(VLOOKUP($A850,'AAPT ExDa'!$B$2:$U$99, 12,FALSE), IFERROR(VLOOKUP($A850,'ABB ExDa'!$A$2:$N$184, 0,FALSE), IFERROR(VLOOKUP($A850,'Vocus SIT ExDa'!$B$2:$J$173, 0,FALSE), IFERROR(VLOOKUP($A850,'Telstra ExDa'!$B$2:$K$310, 0,FALSE), IFERROR(VLOOKUP($A850,'Vocus RVC ExDa'!$C$2:$R$155, 0,FALSE), IFERROR(VLOOKUP($A850,'Fusion ExDa'!$B$2:$D$16, 0,FALSE), IFERROR(VLOOKUP($A850,'Exetel ExDa'!$C$2:$N$14, 12,FALSE), IFERROR(VLOOKUP($A850,'Infinet ExDa'!$B$2:$E$14, 0,FALSE), "Not Found"))))))))</f>
        <v>Not Found</v>
      </c>
      <c r="L850" s="235" t="str">
        <f>IFERROR(VLOOKUP($A850,'AAPT ExDa'!$B$2:$U$99, 11,FALSE), IFERROR(VLOOKUP($A850,'ABB ExDa'!$A$2:$N$184, 9,FALSE), IFERROR(VLOOKUP($A850,'Vocus SIT ExDa'!$B$2:$J$173, 8,FALSE), IFERROR(VLOOKUP($A850,'Telstra ExDa'!$B$2:$K$310, 0,FALSE), IFERROR(VLOOKUP($A850,'Vocus RVC ExDa'!$C$2:$R$155, 0,FALSE), IFERROR(VLOOKUP($A850,'Fusion ExDa'!$B$2:$D$16, 0,FALSE), IFERROR(VLOOKUP($A850,'Exetel ExDa'!$C$2:$N$14, 9,FALSE), IFERROR(VLOOKUP($A850,'Infinet ExDa'!$B$2:$E$14, 0,FALSE), "Not Found"))))))))</f>
        <v>28 Feb 2025</v>
      </c>
      <c r="M850" s="234" t="str">
        <f>IFERROR(VLOOKUP($A850,'AAPT ExDa'!$B$2:$U$99, 0,FALSE), IFERROR(VLOOKUP($A850,'ABB ExDa'!$A$2:$N$184, 0,FALSE), IFERROR(VLOOKUP($A850,'Vocus SIT ExDa'!$B$2:$J$173, 0,FALSE), IFERROR(VLOOKUP($A850,'Telstra ExDa'!$B$2:$K$310, 0,FALSE), IFERROR(VLOOKUP($A850,'Vocus RVC ExDa'!$C$2:$R$155, 0,FALSE), IFERROR(VLOOKUP($A850,'Fusion ExDa'!$B$2:$D$16, 0,FALSE), IFERROR(VLOOKUP($A850,'Exetel ExDa'!$C$2:$N$14, 11,FALSE), IFERROR(VLOOKUP($A850,'Infinet ExDa'!$B$2:$E$14, 0,FALSE), "Not Found"))))))))</f>
        <v>Not Found</v>
      </c>
      <c r="N850" t="str">
        <f>IFERROR(VLOOKUP($A850,'AAPT ExDa'!$B$2:$U$99, 0,FALSE), IFERROR(VLOOKUP($A850,'ABB ExDa'!$A$2:$N$184, 13,FALSE), IFERROR(VLOOKUP($A850,'Vocus SIT ExDa'!$B$2:$J$173, 0,FALSE), IFERROR(VLOOKUP($A850,'Telstra ExDa'!$B$2:$K$310, 0,FALSE), IFERROR(VLOOKUP($A850,'Vocus RVC ExDa'!$C$2:$R$155, 0,FALSE), IFERROR(VLOOKUP($A850,'Fusion ExDa'!$B$2:$D$16, 0,FALSE), IFERROR(VLOOKUP($A850,'Exetel ExDa'!$C$2:$N$14, 0,FALSE), IFERROR(VLOOKUP($A850,'Infinet ExDa'!$B$2:$E$14, 0,FALSE), "Not Found"))))))))</f>
        <v>Onebill</v>
      </c>
    </row>
    <row r="851" spans="1:14">
      <c r="A851" t="str">
        <v xml:space="preserve">	Zambrero Marrickville</v>
      </c>
      <c r="B851" t="str">
        <f>IFERROR(VLOOKUP(A851,'Exetel ExDa'!$C$2:$N$14,4,FALSE),"No Data")</f>
        <v>No Data</v>
      </c>
      <c r="C851" t="str">
        <f>IFERROR(VLOOKUP(A851,'AAPT ExDa'!$B$2:$U$99, 2,FALSE), IFERROR(VLOOKUP(A851,'ABB ExDa'!$A$2:$N$184, 2,FALSE), IFERROR(VLOOKUP(A851,'Vocus SIT ExDa'!$B$2:$J$173, 7,FALSE), IFERROR(VLOOKUP(A851,'Telstra ExDa'!$B$2:$K$310, 2,FALSE), IFERROR(VLOOKUP(A851,'Vocus RVC ExDa'!$C$2:$R$155, 3,FALSE), IFERROR(VLOOKUP(A851,'Fusion ExDa'!$B$2:$D$16, 2,FALSE), IFERROR(VLOOKUP(A851,'Exetel ExDa'!$C$2:$N$14, 2,FALSE), IFERROR(VLOOKUP(A851,'Infinet ExDa'!$B$2:$E$14, 2,FALSE), "Not Found"))))))))</f>
        <v>038 80 Taylors Rd RD</v>
      </c>
      <c r="D851">
        <f>IFERROR(VLOOKUP($A851,'AAPT ExDa'!$B$2:$U$99, 15,FALSE), IFERROR(VLOOKUP($A851,'ABB ExDa'!$A$2:$N$184, 4,FALSE), IFERROR(VLOOKUP($A851,'Vocus SIT ExDa'!$B$2:$J$173, 5,FALSE), IFERROR(VLOOKUP($A851,'Telstra ExDa'!$B$2:$K$310, 8,FALSE), IFERROR(VLOOKUP($A851,'Vocus RVC ExDa'!$C$2:$R$155, 6,FALSE), IFERROR(VLOOKUP($A851,'Fusion ExDa'!$B$2:$D$16, 4,FALSE), IFERROR(VLOOKUP($A851,'Exetel ExDa'!$C$2:$N$14, 3,FALSE), IFERROR(VLOOKUP($A851,'Infinet ExDa'!$B$2:$E$14, 3,FALSE), "Not Found"))))))))</f>
        <v>3038</v>
      </c>
      <c r="E851" t="str">
        <f>IFERROR(VLOOKUP($A851,'AAPT ExDa'!$B$2:$U$99, 3,FALSE), IFERROR(VLOOKUP($A851,'ABB ExDa'!$A$2:$N$184, 5,FALSE), IFERROR(VLOOKUP($A851,'Vocus SIT ExDa'!$B$2:$J$173, 2,FALSE), IFERROR(VLOOKUP($A851,'Telstra ExDa'!$B$2:$K$310, 4,FALSE), IFERROR(VLOOKUP($A851,'Vocus RVC ExDa'!$C$2:$R$155, 8,FALSE), IFERROR(VLOOKUP($A851,'Fusion ExDa'!$B$2:$D$16, 4,FALSE), IFERROR(VLOOKUP($A851,'Exetel ExDa'!$C$2:$N$14, 5,FALSE), IFERROR(VLOOKUP($A851,'Infinet ExDa'!$B$2:$E$14, 3,FALSE), "Not Found"))))))))</f>
        <v>Mobile Service</v>
      </c>
      <c r="F851">
        <f>IFERROR(VLOOKUP($A851,'AAPT ExDa'!$B$2:$U$99, 4,FALSE), IFERROR(VLOOKUP($A851,'ABB ExDa'!$A$2:$N$184, 6,FALSE), IFERROR(VLOOKUP($A851,'Vocus SIT ExDa'!$B$2:$J$173, 3,FALSE), IFERROR(VLOOKUP($A851,'Telstra ExDa'!$B$2:$K$310, 5,FALSE), IFERROR(VLOOKUP($A851,'Vocus RVC ExDa'!$C$2:$R$155, 9,FALSE), IFERROR(VLOOKUP($A851,'Fusion ExDa'!$B$2:$D$16, 0,FALSE), IFERROR(VLOOKUP($A851,'Exetel ExDa'!$C$2:$N$14, 6,FALSE), IFERROR(VLOOKUP($A851,'Infinet ExDa'!$B$2:$E$14, 0,FALSE), "Not Found"))))))))</f>
        <v>45715</v>
      </c>
      <c r="G851">
        <f>IFERROR(VLOOKUP($A851,'AAPT ExDa'!$B$2:$U$99, 5,FALSE), IFERROR(VLOOKUP($A851,'ABB ExDa'!$A$2:$N$184, 8,FALSE), IFERROR(VLOOKUP($A851,'Vocus SIT ExDa'!$B$2:$J$173, 6,FALSE), IFERROR(VLOOKUP($A851,'Telstra ExDa'!$B$2:$K$310, 0,FALSE), IFERROR(VLOOKUP($A851,'Vocus RVC ExDa'!$C$2:$R$155, 15,FALSE), IFERROR(VLOOKUP($A851,'Fusion ExDa'!$B$2:$D$16, 0,FALSE), IFERROR(VLOOKUP($A851,'Exetel ExDa'!$C$2:$N$14, 7,FALSE), IFERROR(VLOOKUP($A851,'Infinet ExDa'!$B$2:$E$14, 0,FALSE), "Not Found"))))))))</f>
        <v>0</v>
      </c>
      <c r="H851">
        <f>IFERROR(VLOOKUP($A851,'AAPT ExDa'!$B$2:$U$99, 6,FALSE), IFERROR(VLOOKUP($A851,'ABB ExDa'!$A$2:$N$184, 0,FALSE), IFERROR(VLOOKUP($A851,'Vocus SIT ExDa'!$B$2:$J$173, 0,FALSE), IFERROR(VLOOKUP($A851,'Telstra ExDa'!$B$2:$K$310, 0,FALSE), IFERROR(VLOOKUP($A851,'Vocus RVC ExDa'!$C$2:$R$155, 16,FALSE), IFERROR(VLOOKUP($A851,'Fusion ExDa'!$B$2:$D$16, 0,FALSE), IFERROR(VLOOKUP($A851,'Exetel ExDa'!$C$2:$N$14, 0,FALSE), IFERROR(VLOOKUP($A851,'Infinet ExDa'!$B$2:$E$14, 0,FALSE), "Not Found"))))))))</f>
        <v>0</v>
      </c>
      <c r="I851" t="str">
        <f>IFERROR(VLOOKUP($A851,'AAPT ExDa'!$B$2:$U$99, 0,FALSE), IFERROR(VLOOKUP($A851,'ABB ExDa'!$A$2:$N$184, 0,FALSE), IFERROR(VLOOKUP($A851,'Vocus SIT ExDa'!$B$2:$J$173, 0,FALSE), IFERROR(VLOOKUP($A851,'Telstra ExDa'!$B$2:$K$310, 0,FALSE), IFERROR(VLOOKUP($A851,'Vocus RVC ExDa'!$C$2:$R$155, 0,FALSE), IFERROR(VLOOKUP($A851,'Fusion ExDa'!$B$2:$D$16, 0,FALSE), IFERROR(VLOOKUP($A851,'Exetel ExDa'!$C$2:$N$14, 8,FALSE), IFERROR(VLOOKUP($A851,'Infinet ExDa'!$B$2:$E$14, 0,FALSE), "Not Found"))))))))</f>
        <v>Not Found</v>
      </c>
      <c r="J851">
        <f>IFERROR(VLOOKUP($A851,'AAPT ExDa'!$B$2:$U$99, 7,FALSE), IFERROR(VLOOKUP($A851,'ABB ExDa'!$A$2:$N$184, 2,FALSE), IFERROR(VLOOKUP($A851,'Vocus SIT ExDa'!$B$2:$J$173, 0,FALSE), IFERROR(VLOOKUP($A851,'Telstra ExDa'!$B$2:$K$310, 7,FALSE), IFERROR(VLOOKUP($A851,'Vocus RVC ExDa'!$C$2:$R$155, 2,FALSE), IFERROR(VLOOKUP($A851,'Fusion ExDa'!$B$2:$D$16, 3,FALSE), IFERROR(VLOOKUP($A851,'Exetel ExDa'!$C$2:$N$14, 0,FALSE), IFERROR(VLOOKUP($A851,'Infinet ExDa'!$B$2:$E$14, 0,FALSE), "Not Found"))))))))</f>
        <v>0</v>
      </c>
      <c r="K851" t="str">
        <f>IFERROR(VLOOKUP($A851,'AAPT ExDa'!$B$2:$U$99, 12,FALSE), IFERROR(VLOOKUP($A851,'ABB ExDa'!$A$2:$N$184, 0,FALSE), IFERROR(VLOOKUP($A851,'Vocus SIT ExDa'!$B$2:$J$173, 0,FALSE), IFERROR(VLOOKUP($A851,'Telstra ExDa'!$B$2:$K$310, 0,FALSE), IFERROR(VLOOKUP($A851,'Vocus RVC ExDa'!$C$2:$R$155, 0,FALSE), IFERROR(VLOOKUP($A851,'Fusion ExDa'!$B$2:$D$16, 0,FALSE), IFERROR(VLOOKUP($A851,'Exetel ExDa'!$C$2:$N$14, 12,FALSE), IFERROR(VLOOKUP($A851,'Infinet ExDa'!$B$2:$E$14, 0,FALSE), "Not Found"))))))))</f>
        <v>Not Found</v>
      </c>
      <c r="L851" s="235" t="str">
        <f>IFERROR(VLOOKUP($A851,'AAPT ExDa'!$B$2:$U$99, 11,FALSE), IFERROR(VLOOKUP($A851,'ABB ExDa'!$A$2:$N$184, 9,FALSE), IFERROR(VLOOKUP($A851,'Vocus SIT ExDa'!$B$2:$J$173, 8,FALSE), IFERROR(VLOOKUP($A851,'Telstra ExDa'!$B$2:$K$310, 0,FALSE), IFERROR(VLOOKUP($A851,'Vocus RVC ExDa'!$C$2:$R$155, 0,FALSE), IFERROR(VLOOKUP($A851,'Fusion ExDa'!$B$2:$D$16, 0,FALSE), IFERROR(VLOOKUP($A851,'Exetel ExDa'!$C$2:$N$14, 9,FALSE), IFERROR(VLOOKUP($A851,'Infinet ExDa'!$B$2:$E$14, 0,FALSE), "Not Found"))))))))</f>
        <v>Not Found</v>
      </c>
      <c r="M851" s="234" t="str">
        <f>IFERROR(VLOOKUP($A851,'AAPT ExDa'!$B$2:$U$99, 0,FALSE), IFERROR(VLOOKUP($A851,'ABB ExDa'!$A$2:$N$184, 0,FALSE), IFERROR(VLOOKUP($A851,'Vocus SIT ExDa'!$B$2:$J$173, 0,FALSE), IFERROR(VLOOKUP($A851,'Telstra ExDa'!$B$2:$K$310, 0,FALSE), IFERROR(VLOOKUP($A851,'Vocus RVC ExDa'!$C$2:$R$155, 0,FALSE), IFERROR(VLOOKUP($A851,'Fusion ExDa'!$B$2:$D$16, 0,FALSE), IFERROR(VLOOKUP($A851,'Exetel ExDa'!$C$2:$N$14, 11,FALSE), IFERROR(VLOOKUP($A851,'Infinet ExDa'!$B$2:$E$14, 0,FALSE), "Not Found"))))))))</f>
        <v>Not Found</v>
      </c>
      <c r="N851" t="str">
        <f>IFERROR(VLOOKUP($A851,'AAPT ExDa'!$B$2:$U$99, 0,FALSE), IFERROR(VLOOKUP($A851,'ABB ExDa'!$A$2:$N$184, 13,FALSE), IFERROR(VLOOKUP($A851,'Vocus SIT ExDa'!$B$2:$J$173, 0,FALSE), IFERROR(VLOOKUP($A851,'Telstra ExDa'!$B$2:$K$310, 0,FALSE), IFERROR(VLOOKUP($A851,'Vocus RVC ExDa'!$C$2:$R$155, 0,FALSE), IFERROR(VLOOKUP($A851,'Fusion ExDa'!$B$2:$D$16, 0,FALSE), IFERROR(VLOOKUP($A851,'Exetel ExDa'!$C$2:$N$14, 0,FALSE), IFERROR(VLOOKUP($A851,'Infinet ExDa'!$B$2:$E$14, 0,FALSE), "Not Found"))))))))</f>
        <v>Not Found</v>
      </c>
    </row>
    <row r="852" spans="1:14">
      <c r="A852" t="str">
        <v>Smile IT</v>
      </c>
      <c r="B852" t="str">
        <f>IFERROR(VLOOKUP(A852,'Exetel ExDa'!$C$2:$N$14,4,FALSE),"No Data")</f>
        <v>0701561050</v>
      </c>
      <c r="C852">
        <f>IFERROR(VLOOKUP(A852,'AAPT ExDa'!$B$2:$U$99, 2,FALSE), IFERROR(VLOOKUP(A852,'ABB ExDa'!$A$2:$N$184, 2,FALSE), IFERROR(VLOOKUP(A852,'Vocus SIT ExDa'!$B$2:$J$173, 7,FALSE), IFERROR(VLOOKUP(A852,'Telstra ExDa'!$B$2:$K$310, 2,FALSE), IFERROR(VLOOKUP(A852,'Vocus RVC ExDa'!$C$2:$R$155, 3,FALSE), IFERROR(VLOOKUP(A852,'Fusion ExDa'!$B$2:$D$16, 2,FALSE), IFERROR(VLOOKUP(A852,'Exetel ExDa'!$C$2:$N$14, 2,FALSE), IFERROR(VLOOKUP(A852,'Infinet ExDa'!$B$2:$E$14, 2,FALSE), "Not Found"))))))))</f>
        <v>0</v>
      </c>
      <c r="D852" t="str">
        <f>IFERROR(VLOOKUP($A852,'AAPT ExDa'!$B$2:$U$99, 15,FALSE), IFERROR(VLOOKUP($A852,'ABB ExDa'!$A$2:$N$184, 4,FALSE), IFERROR(VLOOKUP($A852,'Vocus SIT ExDa'!$B$2:$J$173, 5,FALSE), IFERROR(VLOOKUP($A852,'Telstra ExDa'!$B$2:$K$310, 8,FALSE), IFERROR(VLOOKUP($A852,'Vocus RVC ExDa'!$C$2:$R$155, 6,FALSE), IFERROR(VLOOKUP($A852,'Fusion ExDa'!$B$2:$D$16, 4,FALSE), IFERROR(VLOOKUP($A852,'Exetel ExDa'!$C$2:$N$14, 3,FALSE), IFERROR(VLOOKUP($A852,'Infinet ExDa'!$B$2:$E$14, 3,FALSE), "Not Found"))))))))</f>
        <v>AAPT</v>
      </c>
      <c r="E852" t="str">
        <f>IFERROR(VLOOKUP($A852,'AAPT ExDa'!$B$2:$U$99, 3,FALSE), IFERROR(VLOOKUP($A852,'ABB ExDa'!$A$2:$N$184, 5,FALSE), IFERROR(VLOOKUP($A852,'Vocus SIT ExDa'!$B$2:$J$173, 2,FALSE), IFERROR(VLOOKUP($A852,'Telstra ExDa'!$B$2:$K$310, 4,FALSE), IFERROR(VLOOKUP($A852,'Vocus RVC ExDa'!$C$2:$R$155, 8,FALSE), IFERROR(VLOOKUP($A852,'Fusion ExDa'!$B$2:$D$16, 4,FALSE), IFERROR(VLOOKUP($A852,'Exetel ExDa'!$C$2:$N$14, 5,FALSE), IFERROR(VLOOKUP($A852,'Infinet ExDa'!$B$2:$E$14, 3,FALSE), "Not Found"))))))))</f>
        <v>IP-Line</v>
      </c>
      <c r="F852" t="str">
        <f>IFERROR(VLOOKUP($A852,'AAPT ExDa'!$B$2:$U$99, 4,FALSE), IFERROR(VLOOKUP($A852,'ABB ExDa'!$A$2:$N$184, 6,FALSE), IFERROR(VLOOKUP($A852,'Vocus SIT ExDa'!$B$2:$J$173, 3,FALSE), IFERROR(VLOOKUP($A852,'Telstra ExDa'!$B$2:$K$310, 5,FALSE), IFERROR(VLOOKUP($A852,'Vocus RVC ExDa'!$C$2:$R$155, 9,FALSE), IFERROR(VLOOKUP($A852,'Fusion ExDa'!$B$2:$D$16, 0,FALSE), IFERROR(VLOOKUP($A852,'Exetel ExDa'!$C$2:$N$14, 6,FALSE), IFERROR(VLOOKUP($A852,'Infinet ExDa'!$B$2:$E$14, 0,FALSE), "Not Found"))))))))</f>
        <v>IP-Line Link</v>
      </c>
      <c r="G852" t="str">
        <f>IFERROR(VLOOKUP($A852,'AAPT ExDa'!$B$2:$U$99, 5,FALSE), IFERROR(VLOOKUP($A852,'ABB ExDa'!$A$2:$N$184, 8,FALSE), IFERROR(VLOOKUP($A852,'Vocus SIT ExDa'!$B$2:$J$173, 6,FALSE), IFERROR(VLOOKUP($A852,'Telstra ExDa'!$B$2:$K$310, 0,FALSE), IFERROR(VLOOKUP($A852,'Vocus RVC ExDa'!$C$2:$R$155, 15,FALSE), IFERROR(VLOOKUP($A852,'Fusion ExDa'!$B$2:$D$16, 0,FALSE), IFERROR(VLOOKUP($A852,'Exetel ExDa'!$C$2:$N$14, 7,FALSE), IFERROR(VLOOKUP($A852,'Infinet ExDa'!$B$2:$E$14, 0,FALSE), "Not Found"))))))))</f>
        <v>Connecting IP-Line 6023265 to Access 100773541</v>
      </c>
      <c r="H852" t="str">
        <f>IFERROR(VLOOKUP($A852,'AAPT ExDa'!$B$2:$U$99, 6,FALSE), IFERROR(VLOOKUP($A852,'ABB ExDa'!$A$2:$N$184, 0,FALSE), IFERROR(VLOOKUP($A852,'Vocus SIT ExDa'!$B$2:$J$173, 0,FALSE), IFERROR(VLOOKUP($A852,'Telstra ExDa'!$B$2:$K$310, 0,FALSE), IFERROR(VLOOKUP($A852,'Vocus RVC ExDa'!$C$2:$R$155, 16,FALSE), IFERROR(VLOOKUP($A852,'Fusion ExDa'!$B$2:$D$16, 0,FALSE), IFERROR(VLOOKUP($A852,'Exetel ExDa'!$C$2:$N$14, 0,FALSE), IFERROR(VLOOKUP($A852,'Infinet ExDa'!$B$2:$E$14, 0,FALSE), "Not Found"))))))))</f>
        <v>Up to 100/40Mbps; AVC ID:AVC000141025780</v>
      </c>
      <c r="I852">
        <f>IFERROR(VLOOKUP($A852,'AAPT ExDa'!$B$2:$U$99, 0,FALSE), IFERROR(VLOOKUP($A852,'ABB ExDa'!$A$2:$N$184, 0,FALSE), IFERROR(VLOOKUP($A852,'Vocus SIT ExDa'!$B$2:$J$173, 0,FALSE), IFERROR(VLOOKUP($A852,'Telstra ExDa'!$B$2:$K$310, 0,FALSE), IFERROR(VLOOKUP($A852,'Vocus RVC ExDa'!$C$2:$R$155, 0,FALSE), IFERROR(VLOOKUP($A852,'Fusion ExDa'!$B$2:$D$16, 0,FALSE), IFERROR(VLOOKUP($A852,'Exetel ExDa'!$C$2:$N$14, 8,FALSE), IFERROR(VLOOKUP($A852,'Infinet ExDa'!$B$2:$E$14, 0,FALSE), "Not Found"))))))))</f>
        <v>0</v>
      </c>
      <c r="J852" t="str">
        <f>IFERROR(VLOOKUP($A852,'AAPT ExDa'!$B$2:$U$99, 7,FALSE), IFERROR(VLOOKUP($A852,'ABB ExDa'!$A$2:$N$184, 2,FALSE), IFERROR(VLOOKUP($A852,'Vocus SIT ExDa'!$B$2:$J$173, 0,FALSE), IFERROR(VLOOKUP($A852,'Telstra ExDa'!$B$2:$K$310, 7,FALSE), IFERROR(VLOOKUP($A852,'Vocus RVC ExDa'!$C$2:$R$155, 2,FALSE), IFERROR(VLOOKUP($A852,'Fusion ExDa'!$B$2:$D$16, 3,FALSE), IFERROR(VLOOKUP($A852,'Exetel ExDa'!$C$2:$N$14, 0,FALSE), IFERROR(VLOOKUP($A852,'Infinet ExDa'!$B$2:$E$14, 0,FALSE), "Not Found"))))))))</f>
        <v>AVC000141025780</v>
      </c>
      <c r="K852" t="str">
        <f>IFERROR(VLOOKUP($A852,'AAPT ExDa'!$B$2:$U$99, 12,FALSE), IFERROR(VLOOKUP($A852,'ABB ExDa'!$A$2:$N$184, 0,FALSE), IFERROR(VLOOKUP($A852,'Vocus SIT ExDa'!$B$2:$J$173, 0,FALSE), IFERROR(VLOOKUP($A852,'Telstra ExDa'!$B$2:$K$310, 0,FALSE), IFERROR(VLOOKUP($A852,'Vocus RVC ExDa'!$C$2:$R$155, 0,FALSE), IFERROR(VLOOKUP($A852,'Fusion ExDa'!$B$2:$D$16, 0,FALSE), IFERROR(VLOOKUP($A852,'Exetel ExDa'!$C$2:$N$14, 12,FALSE), IFERROR(VLOOKUP($A852,'Infinet ExDa'!$B$2:$E$14, 0,FALSE), "Not Found"))))))))</f>
        <v>12 Months</v>
      </c>
      <c r="L852" s="235">
        <f>IFERROR(VLOOKUP($A852,'AAPT ExDa'!$B$2:$U$99, 11,FALSE), IFERROR(VLOOKUP($A852,'ABB ExDa'!$A$2:$N$184, 9,FALSE), IFERROR(VLOOKUP($A852,'Vocus SIT ExDa'!$B$2:$J$173, 8,FALSE), IFERROR(VLOOKUP($A852,'Telstra ExDa'!$B$2:$K$310, 0,FALSE), IFERROR(VLOOKUP($A852,'Vocus RVC ExDa'!$C$2:$R$155, 0,FALSE), IFERROR(VLOOKUP($A852,'Fusion ExDa'!$B$2:$D$16, 0,FALSE), IFERROR(VLOOKUP($A852,'Exetel ExDa'!$C$2:$N$14, 9,FALSE), IFERROR(VLOOKUP($A852,'Infinet ExDa'!$B$2:$E$14, 0,FALSE), "Not Found"))))))))</f>
        <v>44297</v>
      </c>
      <c r="M852" s="234">
        <f>IFERROR(VLOOKUP($A852,'AAPT ExDa'!$B$2:$U$99, 0,FALSE), IFERROR(VLOOKUP($A852,'ABB ExDa'!$A$2:$N$184, 0,FALSE), IFERROR(VLOOKUP($A852,'Vocus SIT ExDa'!$B$2:$J$173, 0,FALSE), IFERROR(VLOOKUP($A852,'Telstra ExDa'!$B$2:$K$310, 0,FALSE), IFERROR(VLOOKUP($A852,'Vocus RVC ExDa'!$C$2:$R$155, 0,FALSE), IFERROR(VLOOKUP($A852,'Fusion ExDa'!$B$2:$D$16, 0,FALSE), IFERROR(VLOOKUP($A852,'Exetel ExDa'!$C$2:$N$14, 11,FALSE), IFERROR(VLOOKUP($A852,'Infinet ExDa'!$B$2:$E$14, 0,FALSE), "Not Found"))))))))</f>
        <v>0</v>
      </c>
      <c r="N852" t="str">
        <f>IFERROR(VLOOKUP($A852,'AAPT ExDa'!$B$2:$U$99, 0,FALSE), IFERROR(VLOOKUP($A852,'ABB ExDa'!$A$2:$N$184, 13,FALSE), IFERROR(VLOOKUP($A852,'Vocus SIT ExDa'!$B$2:$J$173, 0,FALSE), IFERROR(VLOOKUP($A852,'Telstra ExDa'!$B$2:$K$310, 0,FALSE), IFERROR(VLOOKUP($A852,'Vocus RVC ExDa'!$C$2:$R$155, 0,FALSE), IFERROR(VLOOKUP($A852,'Fusion ExDa'!$B$2:$D$16, 0,FALSE), IFERROR(VLOOKUP($A852,'Exetel ExDa'!$C$2:$N$14, 0,FALSE), IFERROR(VLOOKUP($A852,'Infinet ExDa'!$B$2:$E$14, 0,FALSE), "Not Found"))))))))</f>
        <v>Not Found</v>
      </c>
    </row>
    <row r="853" spans="1:14">
      <c r="A853" t="str">
        <v>Zambrero Mooloolaba</v>
      </c>
      <c r="B853" t="str">
        <f>IFERROR(VLOOKUP(A853,'Exetel ExDa'!$C$2:$N$14,4,FALSE),"No Data")</f>
        <v>No Data</v>
      </c>
      <c r="C853" t="str">
        <f>IFERROR(VLOOKUP(A853,'AAPT ExDa'!$B$2:$U$99, 2,FALSE), IFERROR(VLOOKUP(A853,'ABB ExDa'!$A$2:$N$184, 2,FALSE), IFERROR(VLOOKUP(A853,'Vocus SIT ExDa'!$B$2:$J$173, 7,FALSE), IFERROR(VLOOKUP(A853,'Telstra ExDa'!$B$2:$K$310, 2,FALSE), IFERROR(VLOOKUP(A853,'Vocus RVC ExDa'!$C$2:$R$155, 3,FALSE), IFERROR(VLOOKUP(A853,'Fusion ExDa'!$B$2:$D$16, 2,FALSE), IFERROR(VLOOKUP(A853,'Exetel ExDa'!$C$2:$N$14, 2,FALSE), IFERROR(VLOOKUP(A853,'Infinet ExDa'!$B$2:$E$14, 2,FALSE), "Not Found"))))))))</f>
        <v>SHOP 5, 87 MOOLOOLABA ESP, MOOLOOLABA QLD</v>
      </c>
      <c r="D853" t="str">
        <f>IFERROR(VLOOKUP($A853,'AAPT ExDa'!$B$2:$U$99, 15,FALSE), IFERROR(VLOOKUP($A853,'ABB ExDa'!$A$2:$N$184, 4,FALSE), IFERROR(VLOOKUP($A853,'Vocus SIT ExDa'!$B$2:$J$173, 5,FALSE), IFERROR(VLOOKUP($A853,'Telstra ExDa'!$B$2:$K$310, 8,FALSE), IFERROR(VLOOKUP($A853,'Vocus RVC ExDa'!$C$2:$R$155, 6,FALSE), IFERROR(VLOOKUP($A853,'Fusion ExDa'!$B$2:$D$16, 4,FALSE), IFERROR(VLOOKUP($A853,'Exetel ExDa'!$C$2:$N$14, 3,FALSE), IFERROR(VLOOKUP($A853,'Infinet ExDa'!$B$2:$E$14, 3,FALSE), "Not Found"))))))))</f>
        <v>ABB</v>
      </c>
      <c r="E853" t="str">
        <f>IFERROR(VLOOKUP($A853,'AAPT ExDa'!$B$2:$U$99, 3,FALSE), IFERROR(VLOOKUP($A853,'ABB ExDa'!$A$2:$N$184, 5,FALSE), IFERROR(VLOOKUP($A853,'Vocus SIT ExDa'!$B$2:$J$173, 2,FALSE), IFERROR(VLOOKUP($A853,'Telstra ExDa'!$B$2:$K$310, 4,FALSE), IFERROR(VLOOKUP($A853,'Vocus RVC ExDa'!$C$2:$R$155, 8,FALSE), IFERROR(VLOOKUP($A853,'Fusion ExDa'!$B$2:$D$16, 4,FALSE), IFERROR(VLOOKUP($A853,'Exetel ExDa'!$C$2:$N$14, 5,FALSE), IFERROR(VLOOKUP($A853,'Infinet ExDa'!$B$2:$E$14, 3,FALSE), "Not Found"))))))))</f>
        <v>NBN 25/10</v>
      </c>
      <c r="F853" t="str">
        <f>IFERROR(VLOOKUP($A853,'AAPT ExDa'!$B$2:$U$99, 4,FALSE), IFERROR(VLOOKUP($A853,'ABB ExDa'!$A$2:$N$184, 6,FALSE), IFERROR(VLOOKUP($A853,'Vocus SIT ExDa'!$B$2:$J$173, 3,FALSE), IFERROR(VLOOKUP($A853,'Telstra ExDa'!$B$2:$K$310, 5,FALSE), IFERROR(VLOOKUP($A853,'Vocus RVC ExDa'!$C$2:$R$155, 9,FALSE), IFERROR(VLOOKUP($A853,'Fusion ExDa'!$B$2:$D$16, 0,FALSE), IFERROR(VLOOKUP($A853,'Exetel ExDa'!$C$2:$N$14, 6,FALSE), IFERROR(VLOOKUP($A853,'Infinet ExDa'!$B$2:$E$14, 0,FALSE), "Not Found"))))))))</f>
        <v>FTTN</v>
      </c>
      <c r="G853" t="str">
        <f>IFERROR(VLOOKUP($A853,'AAPT ExDa'!$B$2:$U$99, 5,FALSE), IFERROR(VLOOKUP($A853,'ABB ExDa'!$A$2:$N$184, 8,FALSE), IFERROR(VLOOKUP($A853,'Vocus SIT ExDa'!$B$2:$J$173, 6,FALSE), IFERROR(VLOOKUP($A853,'Telstra ExDa'!$B$2:$K$310, 0,FALSE), IFERROR(VLOOKUP($A853,'Vocus RVC ExDa'!$C$2:$R$155, 15,FALSE), IFERROR(VLOOKUP($A853,'Fusion ExDa'!$B$2:$D$16, 0,FALSE), IFERROR(VLOOKUP($A853,'Exetel ExDa'!$C$2:$N$14, 7,FALSE), IFERROR(VLOOKUP($A853,'Infinet ExDa'!$B$2:$E$14, 0,FALSE), "Not Found"))))))))</f>
        <v>159.196.208.225</v>
      </c>
      <c r="H853">
        <f>IFERROR(VLOOKUP($A853,'AAPT ExDa'!$B$2:$U$99, 6,FALSE), IFERROR(VLOOKUP($A853,'ABB ExDa'!$A$2:$N$184, 0,FALSE), IFERROR(VLOOKUP($A853,'Vocus SIT ExDa'!$B$2:$J$173, 0,FALSE), IFERROR(VLOOKUP($A853,'Telstra ExDa'!$B$2:$K$310, 0,FALSE), IFERROR(VLOOKUP($A853,'Vocus RVC ExDa'!$C$2:$R$155, 16,FALSE), IFERROR(VLOOKUP($A853,'Fusion ExDa'!$B$2:$D$16, 0,FALSE), IFERROR(VLOOKUP($A853,'Exetel ExDa'!$C$2:$N$14, 0,FALSE), IFERROR(VLOOKUP($A853,'Infinet ExDa'!$B$2:$E$14, 0,FALSE), "Not Found"))))))))</f>
        <v>0</v>
      </c>
      <c r="I853" t="str">
        <f>IFERROR(VLOOKUP($A853,'AAPT ExDa'!$B$2:$U$99, 0,FALSE), IFERROR(VLOOKUP($A853,'ABB ExDa'!$A$2:$N$184, 0,FALSE), IFERROR(VLOOKUP($A853,'Vocus SIT ExDa'!$B$2:$J$173, 0,FALSE), IFERROR(VLOOKUP($A853,'Telstra ExDa'!$B$2:$K$310, 0,FALSE), IFERROR(VLOOKUP($A853,'Vocus RVC ExDa'!$C$2:$R$155, 0,FALSE), IFERROR(VLOOKUP($A853,'Fusion ExDa'!$B$2:$D$16, 0,FALSE), IFERROR(VLOOKUP($A853,'Exetel ExDa'!$C$2:$N$14, 8,FALSE), IFERROR(VLOOKUP($A853,'Infinet ExDa'!$B$2:$E$14, 0,FALSE), "Not Found"))))))))</f>
        <v>Not Found</v>
      </c>
      <c r="J853" t="str">
        <f>IFERROR(VLOOKUP($A853,'AAPT ExDa'!$B$2:$U$99, 7,FALSE), IFERROR(VLOOKUP($A853,'ABB ExDa'!$A$2:$N$184, 2,FALSE), IFERROR(VLOOKUP($A853,'Vocus SIT ExDa'!$B$2:$J$173, 0,FALSE), IFERROR(VLOOKUP($A853,'Telstra ExDa'!$B$2:$K$310, 7,FALSE), IFERROR(VLOOKUP($A853,'Vocus RVC ExDa'!$C$2:$R$155, 2,FALSE), IFERROR(VLOOKUP($A853,'Fusion ExDa'!$B$2:$D$16, 3,FALSE), IFERROR(VLOOKUP($A853,'Exetel ExDa'!$C$2:$N$14, 0,FALSE), IFERROR(VLOOKUP($A853,'Infinet ExDa'!$B$2:$E$14, 0,FALSE), "Not Found"))))))))</f>
        <v>SHOP 5, 87 MOOLOOLABA ESP, MOOLOOLABA QLD</v>
      </c>
      <c r="K853" t="str">
        <f>IFERROR(VLOOKUP($A853,'AAPT ExDa'!$B$2:$U$99, 12,FALSE), IFERROR(VLOOKUP($A853,'ABB ExDa'!$A$2:$N$184, 0,FALSE), IFERROR(VLOOKUP($A853,'Vocus SIT ExDa'!$B$2:$J$173, 0,FALSE), IFERROR(VLOOKUP($A853,'Telstra ExDa'!$B$2:$K$310, 0,FALSE), IFERROR(VLOOKUP($A853,'Vocus RVC ExDa'!$C$2:$R$155, 0,FALSE), IFERROR(VLOOKUP($A853,'Fusion ExDa'!$B$2:$D$16, 0,FALSE), IFERROR(VLOOKUP($A853,'Exetel ExDa'!$C$2:$N$14, 12,FALSE), IFERROR(VLOOKUP($A853,'Infinet ExDa'!$B$2:$E$14, 0,FALSE), "Not Found"))))))))</f>
        <v>Not Found</v>
      </c>
      <c r="L853" s="235" t="str">
        <f>IFERROR(VLOOKUP($A853,'AAPT ExDa'!$B$2:$U$99, 11,FALSE), IFERROR(VLOOKUP($A853,'ABB ExDa'!$A$2:$N$184, 9,FALSE), IFERROR(VLOOKUP($A853,'Vocus SIT ExDa'!$B$2:$J$173, 8,FALSE), IFERROR(VLOOKUP($A853,'Telstra ExDa'!$B$2:$K$310, 0,FALSE), IFERROR(VLOOKUP($A853,'Vocus RVC ExDa'!$C$2:$R$155, 0,FALSE), IFERROR(VLOOKUP($A853,'Fusion ExDa'!$B$2:$D$16, 0,FALSE), IFERROR(VLOOKUP($A853,'Exetel ExDa'!$C$2:$N$14, 9,FALSE), IFERROR(VLOOKUP($A853,'Infinet ExDa'!$B$2:$E$14, 0,FALSE), "Not Found"))))))))</f>
        <v>14 March 2025</v>
      </c>
      <c r="M853" s="234" t="str">
        <f>IFERROR(VLOOKUP($A853,'AAPT ExDa'!$B$2:$U$99, 0,FALSE), IFERROR(VLOOKUP($A853,'ABB ExDa'!$A$2:$N$184, 0,FALSE), IFERROR(VLOOKUP($A853,'Vocus SIT ExDa'!$B$2:$J$173, 0,FALSE), IFERROR(VLOOKUP($A853,'Telstra ExDa'!$B$2:$K$310, 0,FALSE), IFERROR(VLOOKUP($A853,'Vocus RVC ExDa'!$C$2:$R$155, 0,FALSE), IFERROR(VLOOKUP($A853,'Fusion ExDa'!$B$2:$D$16, 0,FALSE), IFERROR(VLOOKUP($A853,'Exetel ExDa'!$C$2:$N$14, 11,FALSE), IFERROR(VLOOKUP($A853,'Infinet ExDa'!$B$2:$E$14, 0,FALSE), "Not Found"))))))))</f>
        <v>Not Found</v>
      </c>
      <c r="N853" t="str">
        <f>IFERROR(VLOOKUP($A853,'AAPT ExDa'!$B$2:$U$99, 0,FALSE), IFERROR(VLOOKUP($A853,'ABB ExDa'!$A$2:$N$184, 13,FALSE), IFERROR(VLOOKUP($A853,'Vocus SIT ExDa'!$B$2:$J$173, 0,FALSE), IFERROR(VLOOKUP($A853,'Telstra ExDa'!$B$2:$K$310, 0,FALSE), IFERROR(VLOOKUP($A853,'Vocus RVC ExDa'!$C$2:$R$155, 0,FALSE), IFERROR(VLOOKUP($A853,'Fusion ExDa'!$B$2:$D$16, 0,FALSE), IFERROR(VLOOKUP($A853,'Exetel ExDa'!$C$2:$N$14, 0,FALSE), IFERROR(VLOOKUP($A853,'Infinet ExDa'!$B$2:$E$14, 0,FALSE), "Not Found"))))))))</f>
        <v>Onebill</v>
      </c>
    </row>
    <row r="854" spans="1:14">
      <c r="A854" t="str">
        <v>London Fire and Safe</v>
      </c>
      <c r="B854" t="str">
        <f>IFERROR(VLOOKUP(A854,'Exetel ExDa'!$C$2:$N$14,4,FALSE),"No Data")</f>
        <v>No Data</v>
      </c>
      <c r="C854" t="str">
        <f>IFERROR(VLOOKUP(A854,'AAPT ExDa'!$B$2:$U$99, 2,FALSE), IFERROR(VLOOKUP(A854,'ABB ExDa'!$A$2:$N$184, 2,FALSE), IFERROR(VLOOKUP(A854,'Vocus SIT ExDa'!$B$2:$J$173, 7,FALSE), IFERROR(VLOOKUP(A854,'Telstra ExDa'!$B$2:$K$310, 2,FALSE), IFERROR(VLOOKUP(A854,'Vocus RVC ExDa'!$C$2:$R$155, 3,FALSE), IFERROR(VLOOKUP(A854,'Fusion ExDa'!$B$2:$D$16, 2,FALSE), IFERROR(VLOOKUP(A854,'Exetel ExDa'!$C$2:$N$14, 2,FALSE), IFERROR(VLOOKUP(A854,'Infinet ExDa'!$B$2:$E$14, 2,FALSE), "Not Found"))))))))</f>
        <v>UN 5, 40 CONTAINER ST, TINGALPA QLD</v>
      </c>
      <c r="D854" t="str">
        <f>IFERROR(VLOOKUP($A854,'AAPT ExDa'!$B$2:$U$99, 15,FALSE), IFERROR(VLOOKUP($A854,'ABB ExDa'!$A$2:$N$184, 4,FALSE), IFERROR(VLOOKUP($A854,'Vocus SIT ExDa'!$B$2:$J$173, 5,FALSE), IFERROR(VLOOKUP($A854,'Telstra ExDa'!$B$2:$K$310, 8,FALSE), IFERROR(VLOOKUP($A854,'Vocus RVC ExDa'!$C$2:$R$155, 6,FALSE), IFERROR(VLOOKUP($A854,'Fusion ExDa'!$B$2:$D$16, 4,FALSE), IFERROR(VLOOKUP($A854,'Exetel ExDa'!$C$2:$N$14, 3,FALSE), IFERROR(VLOOKUP($A854,'Infinet ExDa'!$B$2:$E$14, 3,FALSE), "Not Found"))))))))</f>
        <v>ABB</v>
      </c>
      <c r="E854" t="str">
        <f>IFERROR(VLOOKUP($A854,'AAPT ExDa'!$B$2:$U$99, 3,FALSE), IFERROR(VLOOKUP($A854,'ABB ExDa'!$A$2:$N$184, 5,FALSE), IFERROR(VLOOKUP($A854,'Vocus SIT ExDa'!$B$2:$J$173, 2,FALSE), IFERROR(VLOOKUP($A854,'Telstra ExDa'!$B$2:$K$310, 4,FALSE), IFERROR(VLOOKUP($A854,'Vocus RVC ExDa'!$C$2:$R$155, 8,FALSE), IFERROR(VLOOKUP($A854,'Fusion ExDa'!$B$2:$D$16, 4,FALSE), IFERROR(VLOOKUP($A854,'Exetel ExDa'!$C$2:$N$14, 5,FALSE), IFERROR(VLOOKUP($A854,'Infinet ExDa'!$B$2:$E$14, 3,FALSE), "Not Found"))))))))</f>
        <v>NBN 100/40</v>
      </c>
      <c r="F854" t="str">
        <f>IFERROR(VLOOKUP($A854,'AAPT ExDa'!$B$2:$U$99, 4,FALSE), IFERROR(VLOOKUP($A854,'ABB ExDa'!$A$2:$N$184, 6,FALSE), IFERROR(VLOOKUP($A854,'Vocus SIT ExDa'!$B$2:$J$173, 3,FALSE), IFERROR(VLOOKUP($A854,'Telstra ExDa'!$B$2:$K$310, 5,FALSE), IFERROR(VLOOKUP($A854,'Vocus RVC ExDa'!$C$2:$R$155, 9,FALSE), IFERROR(VLOOKUP($A854,'Fusion ExDa'!$B$2:$D$16, 0,FALSE), IFERROR(VLOOKUP($A854,'Exetel ExDa'!$C$2:$N$14, 6,FALSE), IFERROR(VLOOKUP($A854,'Infinet ExDa'!$B$2:$E$14, 0,FALSE), "Not Found"))))))))</f>
        <v>FTTC</v>
      </c>
      <c r="G854" t="str">
        <f>IFERROR(VLOOKUP($A854,'AAPT ExDa'!$B$2:$U$99, 5,FALSE), IFERROR(VLOOKUP($A854,'ABB ExDa'!$A$2:$N$184, 8,FALSE), IFERROR(VLOOKUP($A854,'Vocus SIT ExDa'!$B$2:$J$173, 6,FALSE), IFERROR(VLOOKUP($A854,'Telstra ExDa'!$B$2:$K$310, 0,FALSE), IFERROR(VLOOKUP($A854,'Vocus RVC ExDa'!$C$2:$R$155, 15,FALSE), IFERROR(VLOOKUP($A854,'Fusion ExDa'!$B$2:$D$16, 0,FALSE), IFERROR(VLOOKUP($A854,'Exetel ExDa'!$C$2:$N$14, 7,FALSE), IFERROR(VLOOKUP($A854,'Infinet ExDa'!$B$2:$E$14, 0,FALSE), "Not Found"))))))))</f>
        <v>119.18.38.48</v>
      </c>
      <c r="H854">
        <f>IFERROR(VLOOKUP($A854,'AAPT ExDa'!$B$2:$U$99, 6,FALSE), IFERROR(VLOOKUP($A854,'ABB ExDa'!$A$2:$N$184, 0,FALSE), IFERROR(VLOOKUP($A854,'Vocus SIT ExDa'!$B$2:$J$173, 0,FALSE), IFERROR(VLOOKUP($A854,'Telstra ExDa'!$B$2:$K$310, 0,FALSE), IFERROR(VLOOKUP($A854,'Vocus RVC ExDa'!$C$2:$R$155, 16,FALSE), IFERROR(VLOOKUP($A854,'Fusion ExDa'!$B$2:$D$16, 0,FALSE), IFERROR(VLOOKUP($A854,'Exetel ExDa'!$C$2:$N$14, 0,FALSE), IFERROR(VLOOKUP($A854,'Infinet ExDa'!$B$2:$E$14, 0,FALSE), "Not Found"))))))))</f>
        <v>0</v>
      </c>
      <c r="I854" t="str">
        <f>IFERROR(VLOOKUP($A854,'AAPT ExDa'!$B$2:$U$99, 0,FALSE), IFERROR(VLOOKUP($A854,'ABB ExDa'!$A$2:$N$184, 0,FALSE), IFERROR(VLOOKUP($A854,'Vocus SIT ExDa'!$B$2:$J$173, 0,FALSE), IFERROR(VLOOKUP($A854,'Telstra ExDa'!$B$2:$K$310, 0,FALSE), IFERROR(VLOOKUP($A854,'Vocus RVC ExDa'!$C$2:$R$155, 0,FALSE), IFERROR(VLOOKUP($A854,'Fusion ExDa'!$B$2:$D$16, 0,FALSE), IFERROR(VLOOKUP($A854,'Exetel ExDa'!$C$2:$N$14, 8,FALSE), IFERROR(VLOOKUP($A854,'Infinet ExDa'!$B$2:$E$14, 0,FALSE), "Not Found"))))))))</f>
        <v>Not Found</v>
      </c>
      <c r="J854" t="str">
        <f>IFERROR(VLOOKUP($A854,'AAPT ExDa'!$B$2:$U$99, 7,FALSE), IFERROR(VLOOKUP($A854,'ABB ExDa'!$A$2:$N$184, 2,FALSE), IFERROR(VLOOKUP($A854,'Vocus SIT ExDa'!$B$2:$J$173, 0,FALSE), IFERROR(VLOOKUP($A854,'Telstra ExDa'!$B$2:$K$310, 7,FALSE), IFERROR(VLOOKUP($A854,'Vocus RVC ExDa'!$C$2:$R$155, 2,FALSE), IFERROR(VLOOKUP($A854,'Fusion ExDa'!$B$2:$D$16, 3,FALSE), IFERROR(VLOOKUP($A854,'Exetel ExDa'!$C$2:$N$14, 0,FALSE), IFERROR(VLOOKUP($A854,'Infinet ExDa'!$B$2:$E$14, 0,FALSE), "Not Found"))))))))</f>
        <v>UN 5, 40 CONTAINER ST, TINGALPA QLD</v>
      </c>
      <c r="K854" t="str">
        <f>IFERROR(VLOOKUP($A854,'AAPT ExDa'!$B$2:$U$99, 12,FALSE), IFERROR(VLOOKUP($A854,'ABB ExDa'!$A$2:$N$184, 0,FALSE), IFERROR(VLOOKUP($A854,'Vocus SIT ExDa'!$B$2:$J$173, 0,FALSE), IFERROR(VLOOKUP($A854,'Telstra ExDa'!$B$2:$K$310, 0,FALSE), IFERROR(VLOOKUP($A854,'Vocus RVC ExDa'!$C$2:$R$155, 0,FALSE), IFERROR(VLOOKUP($A854,'Fusion ExDa'!$B$2:$D$16, 0,FALSE), IFERROR(VLOOKUP($A854,'Exetel ExDa'!$C$2:$N$14, 12,FALSE), IFERROR(VLOOKUP($A854,'Infinet ExDa'!$B$2:$E$14, 0,FALSE), "Not Found"))))))))</f>
        <v>Not Found</v>
      </c>
      <c r="L854" s="235" t="str">
        <f>IFERROR(VLOOKUP($A854,'AAPT ExDa'!$B$2:$U$99, 11,FALSE), IFERROR(VLOOKUP($A854,'ABB ExDa'!$A$2:$N$184, 9,FALSE), IFERROR(VLOOKUP($A854,'Vocus SIT ExDa'!$B$2:$J$173, 8,FALSE), IFERROR(VLOOKUP($A854,'Telstra ExDa'!$B$2:$K$310, 0,FALSE), IFERROR(VLOOKUP($A854,'Vocus RVC ExDa'!$C$2:$R$155, 0,FALSE), IFERROR(VLOOKUP($A854,'Fusion ExDa'!$B$2:$D$16, 0,FALSE), IFERROR(VLOOKUP($A854,'Exetel ExDa'!$C$2:$N$14, 9,FALSE), IFERROR(VLOOKUP($A854,'Infinet ExDa'!$B$2:$E$14, 0,FALSE), "Not Found"))))))))</f>
        <v>17 Feb 2025</v>
      </c>
      <c r="M854" s="234" t="str">
        <f>IFERROR(VLOOKUP($A854,'AAPT ExDa'!$B$2:$U$99, 0,FALSE), IFERROR(VLOOKUP($A854,'ABB ExDa'!$A$2:$N$184, 0,FALSE), IFERROR(VLOOKUP($A854,'Vocus SIT ExDa'!$B$2:$J$173, 0,FALSE), IFERROR(VLOOKUP($A854,'Telstra ExDa'!$B$2:$K$310, 0,FALSE), IFERROR(VLOOKUP($A854,'Vocus RVC ExDa'!$C$2:$R$155, 0,FALSE), IFERROR(VLOOKUP($A854,'Fusion ExDa'!$B$2:$D$16, 0,FALSE), IFERROR(VLOOKUP($A854,'Exetel ExDa'!$C$2:$N$14, 11,FALSE), IFERROR(VLOOKUP($A854,'Infinet ExDa'!$B$2:$E$14, 0,FALSE), "Not Found"))))))))</f>
        <v>Not Found</v>
      </c>
      <c r="N854" t="str">
        <f>IFERROR(VLOOKUP($A854,'AAPT ExDa'!$B$2:$U$99, 0,FALSE), IFERROR(VLOOKUP($A854,'ABB ExDa'!$A$2:$N$184, 13,FALSE), IFERROR(VLOOKUP($A854,'Vocus SIT ExDa'!$B$2:$J$173, 0,FALSE), IFERROR(VLOOKUP($A854,'Telstra ExDa'!$B$2:$K$310, 0,FALSE), IFERROR(VLOOKUP($A854,'Vocus RVC ExDa'!$C$2:$R$155, 0,FALSE), IFERROR(VLOOKUP($A854,'Fusion ExDa'!$B$2:$D$16, 0,FALSE), IFERROR(VLOOKUP($A854,'Exetel ExDa'!$C$2:$N$14, 0,FALSE), IFERROR(VLOOKUP($A854,'Infinet ExDa'!$B$2:$E$14, 0,FALSE), "Not Found"))))))))</f>
        <v>Sasboss</v>
      </c>
    </row>
    <row r="855" spans="1:14">
      <c r="A855" t="str">
        <v>The Yiros Shop North Lakes</v>
      </c>
      <c r="B855" t="str">
        <f>IFERROR(VLOOKUP(A855,'Exetel ExDa'!$C$2:$N$14,4,FALSE),"No Data")</f>
        <v>No Data</v>
      </c>
      <c r="C855" t="str">
        <f>IFERROR(VLOOKUP(A855,'AAPT ExDa'!$B$2:$U$99, 2,FALSE), IFERROR(VLOOKUP(A855,'ABB ExDa'!$A$2:$N$184, 2,FALSE), IFERROR(VLOOKUP(A855,'Vocus SIT ExDa'!$B$2:$J$173, 7,FALSE), IFERROR(VLOOKUP(A855,'Telstra ExDa'!$B$2:$K$310, 2,FALSE), IFERROR(VLOOKUP(A855,'Vocus RVC ExDa'!$C$2:$R$155, 3,FALSE), IFERROR(VLOOKUP(A855,'Fusion ExDa'!$B$2:$D$16, 2,FALSE), IFERROR(VLOOKUP(A855,'Exetel ExDa'!$C$2:$N$14, 2,FALSE), IFERROR(VLOOKUP(A855,'Infinet ExDa'!$B$2:$E$14, 2,FALSE), "Not Found"))))))))</f>
        <v>SHOP 2, 2 MASON ST, NORTH LAKES QLD</v>
      </c>
      <c r="D855" t="str">
        <f>IFERROR(VLOOKUP($A855,'AAPT ExDa'!$B$2:$U$99, 15,FALSE), IFERROR(VLOOKUP($A855,'ABB ExDa'!$A$2:$N$184, 4,FALSE), IFERROR(VLOOKUP($A855,'Vocus SIT ExDa'!$B$2:$J$173, 5,FALSE), IFERROR(VLOOKUP($A855,'Telstra ExDa'!$B$2:$K$310, 8,FALSE), IFERROR(VLOOKUP($A855,'Vocus RVC ExDa'!$C$2:$R$155, 6,FALSE), IFERROR(VLOOKUP($A855,'Fusion ExDa'!$B$2:$D$16, 4,FALSE), IFERROR(VLOOKUP($A855,'Exetel ExDa'!$C$2:$N$14, 3,FALSE), IFERROR(VLOOKUP($A855,'Infinet ExDa'!$B$2:$E$14, 3,FALSE), "Not Found"))))))))</f>
        <v>ABB</v>
      </c>
      <c r="E855" t="str">
        <f>IFERROR(VLOOKUP($A855,'AAPT ExDa'!$B$2:$U$99, 3,FALSE), IFERROR(VLOOKUP($A855,'ABB ExDa'!$A$2:$N$184, 5,FALSE), IFERROR(VLOOKUP($A855,'Vocus SIT ExDa'!$B$2:$J$173, 2,FALSE), IFERROR(VLOOKUP($A855,'Telstra ExDa'!$B$2:$K$310, 4,FALSE), IFERROR(VLOOKUP($A855,'Vocus RVC ExDa'!$C$2:$R$155, 8,FALSE), IFERROR(VLOOKUP($A855,'Fusion ExDa'!$B$2:$D$16, 4,FALSE), IFERROR(VLOOKUP($A855,'Exetel ExDa'!$C$2:$N$14, 5,FALSE), IFERROR(VLOOKUP($A855,'Infinet ExDa'!$B$2:$E$14, 3,FALSE), "Not Found"))))))))</f>
        <v>NBN 100/40</v>
      </c>
      <c r="F855" t="str">
        <f>IFERROR(VLOOKUP($A855,'AAPT ExDa'!$B$2:$U$99, 4,FALSE), IFERROR(VLOOKUP($A855,'ABB ExDa'!$A$2:$N$184, 6,FALSE), IFERROR(VLOOKUP($A855,'Vocus SIT ExDa'!$B$2:$J$173, 3,FALSE), IFERROR(VLOOKUP($A855,'Telstra ExDa'!$B$2:$K$310, 5,FALSE), IFERROR(VLOOKUP($A855,'Vocus RVC ExDa'!$C$2:$R$155, 9,FALSE), IFERROR(VLOOKUP($A855,'Fusion ExDa'!$B$2:$D$16, 0,FALSE), IFERROR(VLOOKUP($A855,'Exetel ExDa'!$C$2:$N$14, 6,FALSE), IFERROR(VLOOKUP($A855,'Infinet ExDa'!$B$2:$E$14, 0,FALSE), "Not Found"))))))))</f>
        <v>FTTN</v>
      </c>
      <c r="G855" t="str">
        <f>IFERROR(VLOOKUP($A855,'AAPT ExDa'!$B$2:$U$99, 5,FALSE), IFERROR(VLOOKUP($A855,'ABB ExDa'!$A$2:$N$184, 8,FALSE), IFERROR(VLOOKUP($A855,'Vocus SIT ExDa'!$B$2:$J$173, 6,FALSE), IFERROR(VLOOKUP($A855,'Telstra ExDa'!$B$2:$K$310, 0,FALSE), IFERROR(VLOOKUP($A855,'Vocus RVC ExDa'!$C$2:$R$155, 15,FALSE), IFERROR(VLOOKUP($A855,'Fusion ExDa'!$B$2:$D$16, 0,FALSE), IFERROR(VLOOKUP($A855,'Exetel ExDa'!$C$2:$N$14, 7,FALSE), IFERROR(VLOOKUP($A855,'Infinet ExDa'!$B$2:$E$14, 0,FALSE), "Not Found"))))))))</f>
        <v>159.196.31.236</v>
      </c>
      <c r="H855">
        <f>IFERROR(VLOOKUP($A855,'AAPT ExDa'!$B$2:$U$99, 6,FALSE), IFERROR(VLOOKUP($A855,'ABB ExDa'!$A$2:$N$184, 0,FALSE), IFERROR(VLOOKUP($A855,'Vocus SIT ExDa'!$B$2:$J$173, 0,FALSE), IFERROR(VLOOKUP($A855,'Telstra ExDa'!$B$2:$K$310, 0,FALSE), IFERROR(VLOOKUP($A855,'Vocus RVC ExDa'!$C$2:$R$155, 16,FALSE), IFERROR(VLOOKUP($A855,'Fusion ExDa'!$B$2:$D$16, 0,FALSE), IFERROR(VLOOKUP($A855,'Exetel ExDa'!$C$2:$N$14, 0,FALSE), IFERROR(VLOOKUP($A855,'Infinet ExDa'!$B$2:$E$14, 0,FALSE), "Not Found"))))))))</f>
        <v>0</v>
      </c>
      <c r="I855" t="str">
        <f>IFERROR(VLOOKUP($A855,'AAPT ExDa'!$B$2:$U$99, 0,FALSE), IFERROR(VLOOKUP($A855,'ABB ExDa'!$A$2:$N$184, 0,FALSE), IFERROR(VLOOKUP($A855,'Vocus SIT ExDa'!$B$2:$J$173, 0,FALSE), IFERROR(VLOOKUP($A855,'Telstra ExDa'!$B$2:$K$310, 0,FALSE), IFERROR(VLOOKUP($A855,'Vocus RVC ExDa'!$C$2:$R$155, 0,FALSE), IFERROR(VLOOKUP($A855,'Fusion ExDa'!$B$2:$D$16, 0,FALSE), IFERROR(VLOOKUP($A855,'Exetel ExDa'!$C$2:$N$14, 8,FALSE), IFERROR(VLOOKUP($A855,'Infinet ExDa'!$B$2:$E$14, 0,FALSE), "Not Found"))))))))</f>
        <v>Not Found</v>
      </c>
      <c r="J855" t="str">
        <f>IFERROR(VLOOKUP($A855,'AAPT ExDa'!$B$2:$U$99, 7,FALSE), IFERROR(VLOOKUP($A855,'ABB ExDa'!$A$2:$N$184, 2,FALSE), IFERROR(VLOOKUP($A855,'Vocus SIT ExDa'!$B$2:$J$173, 0,FALSE), IFERROR(VLOOKUP($A855,'Telstra ExDa'!$B$2:$K$310, 7,FALSE), IFERROR(VLOOKUP($A855,'Vocus RVC ExDa'!$C$2:$R$155, 2,FALSE), IFERROR(VLOOKUP($A855,'Fusion ExDa'!$B$2:$D$16, 3,FALSE), IFERROR(VLOOKUP($A855,'Exetel ExDa'!$C$2:$N$14, 0,FALSE), IFERROR(VLOOKUP($A855,'Infinet ExDa'!$B$2:$E$14, 0,FALSE), "Not Found"))))))))</f>
        <v>SHOP 2, 2 MASON ST, NORTH LAKES QLD</v>
      </c>
      <c r="K855" t="str">
        <f>IFERROR(VLOOKUP($A855,'AAPT ExDa'!$B$2:$U$99, 12,FALSE), IFERROR(VLOOKUP($A855,'ABB ExDa'!$A$2:$N$184, 0,FALSE), IFERROR(VLOOKUP($A855,'Vocus SIT ExDa'!$B$2:$J$173, 0,FALSE), IFERROR(VLOOKUP($A855,'Telstra ExDa'!$B$2:$K$310, 0,FALSE), IFERROR(VLOOKUP($A855,'Vocus RVC ExDa'!$C$2:$R$155, 0,FALSE), IFERROR(VLOOKUP($A855,'Fusion ExDa'!$B$2:$D$16, 0,FALSE), IFERROR(VLOOKUP($A855,'Exetel ExDa'!$C$2:$N$14, 12,FALSE), IFERROR(VLOOKUP($A855,'Infinet ExDa'!$B$2:$E$14, 0,FALSE), "Not Found"))))))))</f>
        <v>Not Found</v>
      </c>
      <c r="L855" s="235" t="str">
        <f>IFERROR(VLOOKUP($A855,'AAPT ExDa'!$B$2:$U$99, 11,FALSE), IFERROR(VLOOKUP($A855,'ABB ExDa'!$A$2:$N$184, 9,FALSE), IFERROR(VLOOKUP($A855,'Vocus SIT ExDa'!$B$2:$J$173, 8,FALSE), IFERROR(VLOOKUP($A855,'Telstra ExDa'!$B$2:$K$310, 0,FALSE), IFERROR(VLOOKUP($A855,'Vocus RVC ExDa'!$C$2:$R$155, 0,FALSE), IFERROR(VLOOKUP($A855,'Fusion ExDa'!$B$2:$D$16, 0,FALSE), IFERROR(VLOOKUP($A855,'Exetel ExDa'!$C$2:$N$14, 9,FALSE), IFERROR(VLOOKUP($A855,'Infinet ExDa'!$B$2:$E$14, 0,FALSE), "Not Found"))))))))</f>
        <v>26 March 2025</v>
      </c>
      <c r="M855" s="234" t="str">
        <f>IFERROR(VLOOKUP($A855,'AAPT ExDa'!$B$2:$U$99, 0,FALSE), IFERROR(VLOOKUP($A855,'ABB ExDa'!$A$2:$N$184, 0,FALSE), IFERROR(VLOOKUP($A855,'Vocus SIT ExDa'!$B$2:$J$173, 0,FALSE), IFERROR(VLOOKUP($A855,'Telstra ExDa'!$B$2:$K$310, 0,FALSE), IFERROR(VLOOKUP($A855,'Vocus RVC ExDa'!$C$2:$R$155, 0,FALSE), IFERROR(VLOOKUP($A855,'Fusion ExDa'!$B$2:$D$16, 0,FALSE), IFERROR(VLOOKUP($A855,'Exetel ExDa'!$C$2:$N$14, 11,FALSE), IFERROR(VLOOKUP($A855,'Infinet ExDa'!$B$2:$E$14, 0,FALSE), "Not Found"))))))))</f>
        <v>Not Found</v>
      </c>
      <c r="N855" t="str">
        <f>IFERROR(VLOOKUP($A855,'AAPT ExDa'!$B$2:$U$99, 0,FALSE), IFERROR(VLOOKUP($A855,'ABB ExDa'!$A$2:$N$184, 13,FALSE), IFERROR(VLOOKUP($A855,'Vocus SIT ExDa'!$B$2:$J$173, 0,FALSE), IFERROR(VLOOKUP($A855,'Telstra ExDa'!$B$2:$K$310, 0,FALSE), IFERROR(VLOOKUP($A855,'Vocus RVC ExDa'!$C$2:$R$155, 0,FALSE), IFERROR(VLOOKUP($A855,'Fusion ExDa'!$B$2:$D$16, 0,FALSE), IFERROR(VLOOKUP($A855,'Exetel ExDa'!$C$2:$N$14, 0,FALSE), IFERROR(VLOOKUP($A855,'Infinet ExDa'!$B$2:$E$14, 0,FALSE), "Not Found"))))))))</f>
        <v>Onebill</v>
      </c>
    </row>
    <row r="856" spans="1:14">
      <c r="A856" t="str">
        <v xml:space="preserve">	Zambrero Marrickville</v>
      </c>
      <c r="B856" t="str">
        <f>IFERROR(VLOOKUP(A856,'Exetel ExDa'!$C$2:$N$14,4,FALSE),"No Data")</f>
        <v>No Data</v>
      </c>
      <c r="C856" t="str">
        <f>IFERROR(VLOOKUP(A856,'AAPT ExDa'!$B$2:$U$99, 2,FALSE), IFERROR(VLOOKUP(A856,'ABB ExDa'!$A$2:$N$184, 2,FALSE), IFERROR(VLOOKUP(A856,'Vocus SIT ExDa'!$B$2:$J$173, 7,FALSE), IFERROR(VLOOKUP(A856,'Telstra ExDa'!$B$2:$K$310, 2,FALSE), IFERROR(VLOOKUP(A856,'Vocus RVC ExDa'!$C$2:$R$155, 3,FALSE), IFERROR(VLOOKUP(A856,'Fusion ExDa'!$B$2:$D$16, 2,FALSE), IFERROR(VLOOKUP(A856,'Exetel ExDa'!$C$2:$N$14, 2,FALSE), IFERROR(VLOOKUP(A856,'Infinet ExDa'!$B$2:$E$14, 2,FALSE), "Not Found"))))))))</f>
        <v>038 80 Taylors Rd RD</v>
      </c>
      <c r="D856">
        <f>IFERROR(VLOOKUP($A856,'AAPT ExDa'!$B$2:$U$99, 15,FALSE), IFERROR(VLOOKUP($A856,'ABB ExDa'!$A$2:$N$184, 4,FALSE), IFERROR(VLOOKUP($A856,'Vocus SIT ExDa'!$B$2:$J$173, 5,FALSE), IFERROR(VLOOKUP($A856,'Telstra ExDa'!$B$2:$K$310, 8,FALSE), IFERROR(VLOOKUP($A856,'Vocus RVC ExDa'!$C$2:$R$155, 6,FALSE), IFERROR(VLOOKUP($A856,'Fusion ExDa'!$B$2:$D$16, 4,FALSE), IFERROR(VLOOKUP($A856,'Exetel ExDa'!$C$2:$N$14, 3,FALSE), IFERROR(VLOOKUP($A856,'Infinet ExDa'!$B$2:$E$14, 3,FALSE), "Not Found"))))))))</f>
        <v>3038</v>
      </c>
      <c r="E856" t="str">
        <f>IFERROR(VLOOKUP($A856,'AAPT ExDa'!$B$2:$U$99, 3,FALSE), IFERROR(VLOOKUP($A856,'ABB ExDa'!$A$2:$N$184, 5,FALSE), IFERROR(VLOOKUP($A856,'Vocus SIT ExDa'!$B$2:$J$173, 2,FALSE), IFERROR(VLOOKUP($A856,'Telstra ExDa'!$B$2:$K$310, 4,FALSE), IFERROR(VLOOKUP($A856,'Vocus RVC ExDa'!$C$2:$R$155, 8,FALSE), IFERROR(VLOOKUP($A856,'Fusion ExDa'!$B$2:$D$16, 4,FALSE), IFERROR(VLOOKUP($A856,'Exetel ExDa'!$C$2:$N$14, 5,FALSE), IFERROR(VLOOKUP($A856,'Infinet ExDa'!$B$2:$E$14, 3,FALSE), "Not Found"))))))))</f>
        <v>Mobile Service</v>
      </c>
      <c r="F856">
        <f>IFERROR(VLOOKUP($A856,'AAPT ExDa'!$B$2:$U$99, 4,FALSE), IFERROR(VLOOKUP($A856,'ABB ExDa'!$A$2:$N$184, 6,FALSE), IFERROR(VLOOKUP($A856,'Vocus SIT ExDa'!$B$2:$J$173, 3,FALSE), IFERROR(VLOOKUP($A856,'Telstra ExDa'!$B$2:$K$310, 5,FALSE), IFERROR(VLOOKUP($A856,'Vocus RVC ExDa'!$C$2:$R$155, 9,FALSE), IFERROR(VLOOKUP($A856,'Fusion ExDa'!$B$2:$D$16, 0,FALSE), IFERROR(VLOOKUP($A856,'Exetel ExDa'!$C$2:$N$14, 6,FALSE), IFERROR(VLOOKUP($A856,'Infinet ExDa'!$B$2:$E$14, 0,FALSE), "Not Found"))))))))</f>
        <v>45715</v>
      </c>
      <c r="G856">
        <f>IFERROR(VLOOKUP($A856,'AAPT ExDa'!$B$2:$U$99, 5,FALSE), IFERROR(VLOOKUP($A856,'ABB ExDa'!$A$2:$N$184, 8,FALSE), IFERROR(VLOOKUP($A856,'Vocus SIT ExDa'!$B$2:$J$173, 6,FALSE), IFERROR(VLOOKUP($A856,'Telstra ExDa'!$B$2:$K$310, 0,FALSE), IFERROR(VLOOKUP($A856,'Vocus RVC ExDa'!$C$2:$R$155, 15,FALSE), IFERROR(VLOOKUP($A856,'Fusion ExDa'!$B$2:$D$16, 0,FALSE), IFERROR(VLOOKUP($A856,'Exetel ExDa'!$C$2:$N$14, 7,FALSE), IFERROR(VLOOKUP($A856,'Infinet ExDa'!$B$2:$E$14, 0,FALSE), "Not Found"))))))))</f>
        <v>0</v>
      </c>
      <c r="H856">
        <f>IFERROR(VLOOKUP($A856,'AAPT ExDa'!$B$2:$U$99, 6,FALSE), IFERROR(VLOOKUP($A856,'ABB ExDa'!$A$2:$N$184, 0,FALSE), IFERROR(VLOOKUP($A856,'Vocus SIT ExDa'!$B$2:$J$173, 0,FALSE), IFERROR(VLOOKUP($A856,'Telstra ExDa'!$B$2:$K$310, 0,FALSE), IFERROR(VLOOKUP($A856,'Vocus RVC ExDa'!$C$2:$R$155, 16,FALSE), IFERROR(VLOOKUP($A856,'Fusion ExDa'!$B$2:$D$16, 0,FALSE), IFERROR(VLOOKUP($A856,'Exetel ExDa'!$C$2:$N$14, 0,FALSE), IFERROR(VLOOKUP($A856,'Infinet ExDa'!$B$2:$E$14, 0,FALSE), "Not Found"))))))))</f>
        <v>0</v>
      </c>
      <c r="I856" t="str">
        <f>IFERROR(VLOOKUP($A856,'AAPT ExDa'!$B$2:$U$99, 0,FALSE), IFERROR(VLOOKUP($A856,'ABB ExDa'!$A$2:$N$184, 0,FALSE), IFERROR(VLOOKUP($A856,'Vocus SIT ExDa'!$B$2:$J$173, 0,FALSE), IFERROR(VLOOKUP($A856,'Telstra ExDa'!$B$2:$K$310, 0,FALSE), IFERROR(VLOOKUP($A856,'Vocus RVC ExDa'!$C$2:$R$155, 0,FALSE), IFERROR(VLOOKUP($A856,'Fusion ExDa'!$B$2:$D$16, 0,FALSE), IFERROR(VLOOKUP($A856,'Exetel ExDa'!$C$2:$N$14, 8,FALSE), IFERROR(VLOOKUP($A856,'Infinet ExDa'!$B$2:$E$14, 0,FALSE), "Not Found"))))))))</f>
        <v>Not Found</v>
      </c>
      <c r="J856">
        <f>IFERROR(VLOOKUP($A856,'AAPT ExDa'!$B$2:$U$99, 7,FALSE), IFERROR(VLOOKUP($A856,'ABB ExDa'!$A$2:$N$184, 2,FALSE), IFERROR(VLOOKUP($A856,'Vocus SIT ExDa'!$B$2:$J$173, 0,FALSE), IFERROR(VLOOKUP($A856,'Telstra ExDa'!$B$2:$K$310, 7,FALSE), IFERROR(VLOOKUP($A856,'Vocus RVC ExDa'!$C$2:$R$155, 2,FALSE), IFERROR(VLOOKUP($A856,'Fusion ExDa'!$B$2:$D$16, 3,FALSE), IFERROR(VLOOKUP($A856,'Exetel ExDa'!$C$2:$N$14, 0,FALSE), IFERROR(VLOOKUP($A856,'Infinet ExDa'!$B$2:$E$14, 0,FALSE), "Not Found"))))))))</f>
        <v>0</v>
      </c>
      <c r="K856" t="str">
        <f>IFERROR(VLOOKUP($A856,'AAPT ExDa'!$B$2:$U$99, 12,FALSE), IFERROR(VLOOKUP($A856,'ABB ExDa'!$A$2:$N$184, 0,FALSE), IFERROR(VLOOKUP($A856,'Vocus SIT ExDa'!$B$2:$J$173, 0,FALSE), IFERROR(VLOOKUP($A856,'Telstra ExDa'!$B$2:$K$310, 0,FALSE), IFERROR(VLOOKUP($A856,'Vocus RVC ExDa'!$C$2:$R$155, 0,FALSE), IFERROR(VLOOKUP($A856,'Fusion ExDa'!$B$2:$D$16, 0,FALSE), IFERROR(VLOOKUP($A856,'Exetel ExDa'!$C$2:$N$14, 12,FALSE), IFERROR(VLOOKUP($A856,'Infinet ExDa'!$B$2:$E$14, 0,FALSE), "Not Found"))))))))</f>
        <v>Not Found</v>
      </c>
      <c r="L856" s="235" t="str">
        <f>IFERROR(VLOOKUP($A856,'AAPT ExDa'!$B$2:$U$99, 11,FALSE), IFERROR(VLOOKUP($A856,'ABB ExDa'!$A$2:$N$184, 9,FALSE), IFERROR(VLOOKUP($A856,'Vocus SIT ExDa'!$B$2:$J$173, 8,FALSE), IFERROR(VLOOKUP($A856,'Telstra ExDa'!$B$2:$K$310, 0,FALSE), IFERROR(VLOOKUP($A856,'Vocus RVC ExDa'!$C$2:$R$155, 0,FALSE), IFERROR(VLOOKUP($A856,'Fusion ExDa'!$B$2:$D$16, 0,FALSE), IFERROR(VLOOKUP($A856,'Exetel ExDa'!$C$2:$N$14, 9,FALSE), IFERROR(VLOOKUP($A856,'Infinet ExDa'!$B$2:$E$14, 0,FALSE), "Not Found"))))))))</f>
        <v>Not Found</v>
      </c>
      <c r="M856" s="234" t="str">
        <f>IFERROR(VLOOKUP($A856,'AAPT ExDa'!$B$2:$U$99, 0,FALSE), IFERROR(VLOOKUP($A856,'ABB ExDa'!$A$2:$N$184, 0,FALSE), IFERROR(VLOOKUP($A856,'Vocus SIT ExDa'!$B$2:$J$173, 0,FALSE), IFERROR(VLOOKUP($A856,'Telstra ExDa'!$B$2:$K$310, 0,FALSE), IFERROR(VLOOKUP($A856,'Vocus RVC ExDa'!$C$2:$R$155, 0,FALSE), IFERROR(VLOOKUP($A856,'Fusion ExDa'!$B$2:$D$16, 0,FALSE), IFERROR(VLOOKUP($A856,'Exetel ExDa'!$C$2:$N$14, 11,FALSE), IFERROR(VLOOKUP($A856,'Infinet ExDa'!$B$2:$E$14, 0,FALSE), "Not Found"))))))))</f>
        <v>Not Found</v>
      </c>
      <c r="N856" t="str">
        <f>IFERROR(VLOOKUP($A856,'AAPT ExDa'!$B$2:$U$99, 0,FALSE), IFERROR(VLOOKUP($A856,'ABB ExDa'!$A$2:$N$184, 13,FALSE), IFERROR(VLOOKUP($A856,'Vocus SIT ExDa'!$B$2:$J$173, 0,FALSE), IFERROR(VLOOKUP($A856,'Telstra ExDa'!$B$2:$K$310, 0,FALSE), IFERROR(VLOOKUP($A856,'Vocus RVC ExDa'!$C$2:$R$155, 0,FALSE), IFERROR(VLOOKUP($A856,'Fusion ExDa'!$B$2:$D$16, 0,FALSE), IFERROR(VLOOKUP($A856,'Exetel ExDa'!$C$2:$N$14, 0,FALSE), IFERROR(VLOOKUP($A856,'Infinet ExDa'!$B$2:$E$14, 0,FALSE), "Not Found"))))))))</f>
        <v>Not Found</v>
      </c>
    </row>
    <row r="857" spans="1:14">
      <c r="A857" t="str">
        <v>Zambrero Balaclava</v>
      </c>
      <c r="B857" t="str">
        <f>IFERROR(VLOOKUP(A857,'Exetel ExDa'!$C$2:$N$14,4,FALSE),"No Data")</f>
        <v>No Data</v>
      </c>
      <c r="C857" t="str">
        <f>IFERROR(VLOOKUP(A857,'AAPT ExDa'!$B$2:$U$99, 2,FALSE), IFERROR(VLOOKUP(A857,'ABB ExDa'!$A$2:$N$184, 2,FALSE), IFERROR(VLOOKUP(A857,'Vocus SIT ExDa'!$B$2:$J$173, 7,FALSE), IFERROR(VLOOKUP(A857,'Telstra ExDa'!$B$2:$K$310, 2,FALSE), IFERROR(VLOOKUP(A857,'Vocus RVC ExDa'!$C$2:$R$155, 3,FALSE), IFERROR(VLOOKUP(A857,'Fusion ExDa'!$B$2:$D$16, 2,FALSE), IFERROR(VLOOKUP(A857,'Exetel ExDa'!$C$2:$N$14, 2,FALSE), IFERROR(VLOOKUP(A857,'Infinet ExDa'!$B$2:$E$14, 2,FALSE), "Not Found"))))))))</f>
        <v>254 CARLISLE ST, BALACLAVA VIC</v>
      </c>
      <c r="D857" t="str">
        <f>IFERROR(VLOOKUP($A857,'AAPT ExDa'!$B$2:$U$99, 15,FALSE), IFERROR(VLOOKUP($A857,'ABB ExDa'!$A$2:$N$184, 4,FALSE), IFERROR(VLOOKUP($A857,'Vocus SIT ExDa'!$B$2:$J$173, 5,FALSE), IFERROR(VLOOKUP($A857,'Telstra ExDa'!$B$2:$K$310, 8,FALSE), IFERROR(VLOOKUP($A857,'Vocus RVC ExDa'!$C$2:$R$155, 6,FALSE), IFERROR(VLOOKUP($A857,'Fusion ExDa'!$B$2:$D$16, 4,FALSE), IFERROR(VLOOKUP($A857,'Exetel ExDa'!$C$2:$N$14, 3,FALSE), IFERROR(VLOOKUP($A857,'Infinet ExDa'!$B$2:$E$14, 3,FALSE), "Not Found"))))))))</f>
        <v>ABB</v>
      </c>
      <c r="E857" t="str">
        <f>IFERROR(VLOOKUP($A857,'AAPT ExDa'!$B$2:$U$99, 3,FALSE), IFERROR(VLOOKUP($A857,'ABB ExDa'!$A$2:$N$184, 5,FALSE), IFERROR(VLOOKUP($A857,'Vocus SIT ExDa'!$B$2:$J$173, 2,FALSE), IFERROR(VLOOKUP($A857,'Telstra ExDa'!$B$2:$K$310, 4,FALSE), IFERROR(VLOOKUP($A857,'Vocus RVC ExDa'!$C$2:$R$155, 8,FALSE), IFERROR(VLOOKUP($A857,'Fusion ExDa'!$B$2:$D$16, 4,FALSE), IFERROR(VLOOKUP($A857,'Exetel ExDa'!$C$2:$N$14, 5,FALSE), IFERROR(VLOOKUP($A857,'Infinet ExDa'!$B$2:$E$14, 3,FALSE), "Not Found"))))))))</f>
        <v>NBN 25/10</v>
      </c>
      <c r="F857" t="str">
        <f>IFERROR(VLOOKUP($A857,'AAPT ExDa'!$B$2:$U$99, 4,FALSE), IFERROR(VLOOKUP($A857,'ABB ExDa'!$A$2:$N$184, 6,FALSE), IFERROR(VLOOKUP($A857,'Vocus SIT ExDa'!$B$2:$J$173, 3,FALSE), IFERROR(VLOOKUP($A857,'Telstra ExDa'!$B$2:$K$310, 5,FALSE), IFERROR(VLOOKUP($A857,'Vocus RVC ExDa'!$C$2:$R$155, 9,FALSE), IFERROR(VLOOKUP($A857,'Fusion ExDa'!$B$2:$D$16, 0,FALSE), IFERROR(VLOOKUP($A857,'Exetel ExDa'!$C$2:$N$14, 6,FALSE), IFERROR(VLOOKUP($A857,'Infinet ExDa'!$B$2:$E$14, 0,FALSE), "Not Found"))))))))</f>
        <v>HFC</v>
      </c>
      <c r="G857" t="str">
        <f>IFERROR(VLOOKUP($A857,'AAPT ExDa'!$B$2:$U$99, 5,FALSE), IFERROR(VLOOKUP($A857,'ABB ExDa'!$A$2:$N$184, 8,FALSE), IFERROR(VLOOKUP($A857,'Vocus SIT ExDa'!$B$2:$J$173, 6,FALSE), IFERROR(VLOOKUP($A857,'Telstra ExDa'!$B$2:$K$310, 0,FALSE), IFERROR(VLOOKUP($A857,'Vocus RVC ExDa'!$C$2:$R$155, 15,FALSE), IFERROR(VLOOKUP($A857,'Fusion ExDa'!$B$2:$D$16, 0,FALSE), IFERROR(VLOOKUP($A857,'Exetel ExDa'!$C$2:$N$14, 7,FALSE), IFERROR(VLOOKUP($A857,'Infinet ExDa'!$B$2:$E$14, 0,FALSE), "Not Found"))))))))</f>
        <v>159.196.221.125</v>
      </c>
      <c r="H857">
        <f>IFERROR(VLOOKUP($A857,'AAPT ExDa'!$B$2:$U$99, 6,FALSE), IFERROR(VLOOKUP($A857,'ABB ExDa'!$A$2:$N$184, 0,FALSE), IFERROR(VLOOKUP($A857,'Vocus SIT ExDa'!$B$2:$J$173, 0,FALSE), IFERROR(VLOOKUP($A857,'Telstra ExDa'!$B$2:$K$310, 0,FALSE), IFERROR(VLOOKUP($A857,'Vocus RVC ExDa'!$C$2:$R$155, 16,FALSE), IFERROR(VLOOKUP($A857,'Fusion ExDa'!$B$2:$D$16, 0,FALSE), IFERROR(VLOOKUP($A857,'Exetel ExDa'!$C$2:$N$14, 0,FALSE), IFERROR(VLOOKUP($A857,'Infinet ExDa'!$B$2:$E$14, 0,FALSE), "Not Found"))))))))</f>
        <v>0</v>
      </c>
      <c r="I857" t="str">
        <f>IFERROR(VLOOKUP($A857,'AAPT ExDa'!$B$2:$U$99, 0,FALSE), IFERROR(VLOOKUP($A857,'ABB ExDa'!$A$2:$N$184, 0,FALSE), IFERROR(VLOOKUP($A857,'Vocus SIT ExDa'!$B$2:$J$173, 0,FALSE), IFERROR(VLOOKUP($A857,'Telstra ExDa'!$B$2:$K$310, 0,FALSE), IFERROR(VLOOKUP($A857,'Vocus RVC ExDa'!$C$2:$R$155, 0,FALSE), IFERROR(VLOOKUP($A857,'Fusion ExDa'!$B$2:$D$16, 0,FALSE), IFERROR(VLOOKUP($A857,'Exetel ExDa'!$C$2:$N$14, 8,FALSE), IFERROR(VLOOKUP($A857,'Infinet ExDa'!$B$2:$E$14, 0,FALSE), "Not Found"))))))))</f>
        <v>Not Found</v>
      </c>
      <c r="J857" t="str">
        <f>IFERROR(VLOOKUP($A857,'AAPT ExDa'!$B$2:$U$99, 7,FALSE), IFERROR(VLOOKUP($A857,'ABB ExDa'!$A$2:$N$184, 2,FALSE), IFERROR(VLOOKUP($A857,'Vocus SIT ExDa'!$B$2:$J$173, 0,FALSE), IFERROR(VLOOKUP($A857,'Telstra ExDa'!$B$2:$K$310, 7,FALSE), IFERROR(VLOOKUP($A857,'Vocus RVC ExDa'!$C$2:$R$155, 2,FALSE), IFERROR(VLOOKUP($A857,'Fusion ExDa'!$B$2:$D$16, 3,FALSE), IFERROR(VLOOKUP($A857,'Exetel ExDa'!$C$2:$N$14, 0,FALSE), IFERROR(VLOOKUP($A857,'Infinet ExDa'!$B$2:$E$14, 0,FALSE), "Not Found"))))))))</f>
        <v>254 CARLISLE ST, BALACLAVA VIC</v>
      </c>
      <c r="K857" t="str">
        <f>IFERROR(VLOOKUP($A857,'AAPT ExDa'!$B$2:$U$99, 12,FALSE), IFERROR(VLOOKUP($A857,'ABB ExDa'!$A$2:$N$184, 0,FALSE), IFERROR(VLOOKUP($A857,'Vocus SIT ExDa'!$B$2:$J$173, 0,FALSE), IFERROR(VLOOKUP($A857,'Telstra ExDa'!$B$2:$K$310, 0,FALSE), IFERROR(VLOOKUP($A857,'Vocus RVC ExDa'!$C$2:$R$155, 0,FALSE), IFERROR(VLOOKUP($A857,'Fusion ExDa'!$B$2:$D$16, 0,FALSE), IFERROR(VLOOKUP($A857,'Exetel ExDa'!$C$2:$N$14, 12,FALSE), IFERROR(VLOOKUP($A857,'Infinet ExDa'!$B$2:$E$14, 0,FALSE), "Not Found"))))))))</f>
        <v>Not Found</v>
      </c>
      <c r="L857" s="235" t="str">
        <f>IFERROR(VLOOKUP($A857,'AAPT ExDa'!$B$2:$U$99, 11,FALSE), IFERROR(VLOOKUP($A857,'ABB ExDa'!$A$2:$N$184, 9,FALSE), IFERROR(VLOOKUP($A857,'Vocus SIT ExDa'!$B$2:$J$173, 8,FALSE), IFERROR(VLOOKUP($A857,'Telstra ExDa'!$B$2:$K$310, 0,FALSE), IFERROR(VLOOKUP($A857,'Vocus RVC ExDa'!$C$2:$R$155, 0,FALSE), IFERROR(VLOOKUP($A857,'Fusion ExDa'!$B$2:$D$16, 0,FALSE), IFERROR(VLOOKUP($A857,'Exetel ExDa'!$C$2:$N$14, 9,FALSE), IFERROR(VLOOKUP($A857,'Infinet ExDa'!$B$2:$E$14, 0,FALSE), "Not Found"))))))))</f>
        <v>31 March 2025</v>
      </c>
      <c r="M857" s="234" t="str">
        <f>IFERROR(VLOOKUP($A857,'AAPT ExDa'!$B$2:$U$99, 0,FALSE), IFERROR(VLOOKUP($A857,'ABB ExDa'!$A$2:$N$184, 0,FALSE), IFERROR(VLOOKUP($A857,'Vocus SIT ExDa'!$B$2:$J$173, 0,FALSE), IFERROR(VLOOKUP($A857,'Telstra ExDa'!$B$2:$K$310, 0,FALSE), IFERROR(VLOOKUP($A857,'Vocus RVC ExDa'!$C$2:$R$155, 0,FALSE), IFERROR(VLOOKUP($A857,'Fusion ExDa'!$B$2:$D$16, 0,FALSE), IFERROR(VLOOKUP($A857,'Exetel ExDa'!$C$2:$N$14, 11,FALSE), IFERROR(VLOOKUP($A857,'Infinet ExDa'!$B$2:$E$14, 0,FALSE), "Not Found"))))))))</f>
        <v>Not Found</v>
      </c>
      <c r="N857" t="str">
        <f>IFERROR(VLOOKUP($A857,'AAPT ExDa'!$B$2:$U$99, 0,FALSE), IFERROR(VLOOKUP($A857,'ABB ExDa'!$A$2:$N$184, 13,FALSE), IFERROR(VLOOKUP($A857,'Vocus SIT ExDa'!$B$2:$J$173, 0,FALSE), IFERROR(VLOOKUP($A857,'Telstra ExDa'!$B$2:$K$310, 0,FALSE), IFERROR(VLOOKUP($A857,'Vocus RVC ExDa'!$C$2:$R$155, 0,FALSE), IFERROR(VLOOKUP($A857,'Fusion ExDa'!$B$2:$D$16, 0,FALSE), IFERROR(VLOOKUP($A857,'Exetel ExDa'!$C$2:$N$14, 0,FALSE), IFERROR(VLOOKUP($A857,'Infinet ExDa'!$B$2:$E$14, 0,FALSE), "Not Found"))))))))</f>
        <v>Onebill</v>
      </c>
    </row>
    <row r="858" spans="1:14">
      <c r="A858" t="str">
        <v>Nodo Fortitude Valley</v>
      </c>
      <c r="B858" t="str">
        <f>IFERROR(VLOOKUP(A858,'Exetel ExDa'!$C$2:$N$14,4,FALSE),"No Data")</f>
        <v>No Data</v>
      </c>
      <c r="C858" t="str">
        <f>IFERROR(VLOOKUP(A858,'AAPT ExDa'!$B$2:$U$99, 2,FALSE), IFERROR(VLOOKUP(A858,'ABB ExDa'!$A$2:$N$184, 2,FALSE), IFERROR(VLOOKUP(A858,'Vocus SIT ExDa'!$B$2:$J$173, 7,FALSE), IFERROR(VLOOKUP(A858,'Telstra ExDa'!$B$2:$K$310, 2,FALSE), IFERROR(VLOOKUP(A858,'Vocus RVC ExDa'!$C$2:$R$155, 3,FALSE), IFERROR(VLOOKUP(A858,'Fusion ExDa'!$B$2:$D$16, 2,FALSE), IFERROR(VLOOKUP(A858,'Exetel ExDa'!$C$2:$N$14, 2,FALSE), IFERROR(VLOOKUP(A858,'Infinet ExDa'!$B$2:$E$14, 2,FALSE), "Not Found"))))))))</f>
        <v>2 26 Wandoo  ST</v>
      </c>
      <c r="D858">
        <f>IFERROR(VLOOKUP($A858,'AAPT ExDa'!$B$2:$U$99, 15,FALSE), IFERROR(VLOOKUP($A858,'ABB ExDa'!$A$2:$N$184, 4,FALSE), IFERROR(VLOOKUP($A858,'Vocus SIT ExDa'!$B$2:$J$173, 5,FALSE), IFERROR(VLOOKUP($A858,'Telstra ExDa'!$B$2:$K$310, 8,FALSE), IFERROR(VLOOKUP($A858,'Vocus RVC ExDa'!$C$2:$R$155, 6,FALSE), IFERROR(VLOOKUP($A858,'Fusion ExDa'!$B$2:$D$16, 4,FALSE), IFERROR(VLOOKUP($A858,'Exetel ExDa'!$C$2:$N$14, 3,FALSE), IFERROR(VLOOKUP($A858,'Infinet ExDa'!$B$2:$E$14, 3,FALSE), "Not Found"))))))))</f>
        <v>4006</v>
      </c>
      <c r="E858" t="str">
        <f>IFERROR(VLOOKUP($A858,'AAPT ExDa'!$B$2:$U$99, 3,FALSE), IFERROR(VLOOKUP($A858,'ABB ExDa'!$A$2:$N$184, 5,FALSE), IFERROR(VLOOKUP($A858,'Vocus SIT ExDa'!$B$2:$J$173, 2,FALSE), IFERROR(VLOOKUP($A858,'Telstra ExDa'!$B$2:$K$310, 4,FALSE), IFERROR(VLOOKUP($A858,'Vocus RVC ExDa'!$C$2:$R$155, 8,FALSE), IFERROR(VLOOKUP($A858,'Fusion ExDa'!$B$2:$D$16, 4,FALSE), IFERROR(VLOOKUP($A858,'Exetel ExDa'!$C$2:$N$14, 5,FALSE), IFERROR(VLOOKUP($A858,'Infinet ExDa'!$B$2:$E$14, 3,FALSE), "Not Found"))))))))</f>
        <v>Mobile Service</v>
      </c>
      <c r="F858">
        <f>IFERROR(VLOOKUP($A858,'AAPT ExDa'!$B$2:$U$99, 4,FALSE), IFERROR(VLOOKUP($A858,'ABB ExDa'!$A$2:$N$184, 6,FALSE), IFERROR(VLOOKUP($A858,'Vocus SIT ExDa'!$B$2:$J$173, 3,FALSE), IFERROR(VLOOKUP($A858,'Telstra ExDa'!$B$2:$K$310, 5,FALSE), IFERROR(VLOOKUP($A858,'Vocus RVC ExDa'!$C$2:$R$155, 9,FALSE), IFERROR(VLOOKUP($A858,'Fusion ExDa'!$B$2:$D$16, 0,FALSE), IFERROR(VLOOKUP($A858,'Exetel ExDa'!$C$2:$N$14, 6,FALSE), IFERROR(VLOOKUP($A858,'Infinet ExDa'!$B$2:$E$14, 0,FALSE), "Not Found"))))))))</f>
        <v>45631</v>
      </c>
      <c r="G858">
        <f>IFERROR(VLOOKUP($A858,'AAPT ExDa'!$B$2:$U$99, 5,FALSE), IFERROR(VLOOKUP($A858,'ABB ExDa'!$A$2:$N$184, 8,FALSE), IFERROR(VLOOKUP($A858,'Vocus SIT ExDa'!$B$2:$J$173, 6,FALSE), IFERROR(VLOOKUP($A858,'Telstra ExDa'!$B$2:$K$310, 0,FALSE), IFERROR(VLOOKUP($A858,'Vocus RVC ExDa'!$C$2:$R$155, 15,FALSE), IFERROR(VLOOKUP($A858,'Fusion ExDa'!$B$2:$D$16, 0,FALSE), IFERROR(VLOOKUP($A858,'Exetel ExDa'!$C$2:$N$14, 7,FALSE), IFERROR(VLOOKUP($A858,'Infinet ExDa'!$B$2:$E$14, 0,FALSE), "Not Found"))))))))</f>
        <v>0</v>
      </c>
      <c r="H858">
        <f>IFERROR(VLOOKUP($A858,'AAPT ExDa'!$B$2:$U$99, 6,FALSE), IFERROR(VLOOKUP($A858,'ABB ExDa'!$A$2:$N$184, 0,FALSE), IFERROR(VLOOKUP($A858,'Vocus SIT ExDa'!$B$2:$J$173, 0,FALSE), IFERROR(VLOOKUP($A858,'Telstra ExDa'!$B$2:$K$310, 0,FALSE), IFERROR(VLOOKUP($A858,'Vocus RVC ExDa'!$C$2:$R$155, 16,FALSE), IFERROR(VLOOKUP($A858,'Fusion ExDa'!$B$2:$D$16, 0,FALSE), IFERROR(VLOOKUP($A858,'Exetel ExDa'!$C$2:$N$14, 0,FALSE), IFERROR(VLOOKUP($A858,'Infinet ExDa'!$B$2:$E$14, 0,FALSE), "Not Found"))))))))</f>
        <v>0</v>
      </c>
      <c r="I858" t="str">
        <f>IFERROR(VLOOKUP($A858,'AAPT ExDa'!$B$2:$U$99, 0,FALSE), IFERROR(VLOOKUP($A858,'ABB ExDa'!$A$2:$N$184, 0,FALSE), IFERROR(VLOOKUP($A858,'Vocus SIT ExDa'!$B$2:$J$173, 0,FALSE), IFERROR(VLOOKUP($A858,'Telstra ExDa'!$B$2:$K$310, 0,FALSE), IFERROR(VLOOKUP($A858,'Vocus RVC ExDa'!$C$2:$R$155, 0,FALSE), IFERROR(VLOOKUP($A858,'Fusion ExDa'!$B$2:$D$16, 0,FALSE), IFERROR(VLOOKUP($A858,'Exetel ExDa'!$C$2:$N$14, 8,FALSE), IFERROR(VLOOKUP($A858,'Infinet ExDa'!$B$2:$E$14, 0,FALSE), "Not Found"))))))))</f>
        <v>Not Found</v>
      </c>
      <c r="J858">
        <f>IFERROR(VLOOKUP($A858,'AAPT ExDa'!$B$2:$U$99, 7,FALSE), IFERROR(VLOOKUP($A858,'ABB ExDa'!$A$2:$N$184, 2,FALSE), IFERROR(VLOOKUP($A858,'Vocus SIT ExDa'!$B$2:$J$173, 0,FALSE), IFERROR(VLOOKUP($A858,'Telstra ExDa'!$B$2:$K$310, 7,FALSE), IFERROR(VLOOKUP($A858,'Vocus RVC ExDa'!$C$2:$R$155, 2,FALSE), IFERROR(VLOOKUP($A858,'Fusion ExDa'!$B$2:$D$16, 3,FALSE), IFERROR(VLOOKUP($A858,'Exetel ExDa'!$C$2:$N$14, 0,FALSE), IFERROR(VLOOKUP($A858,'Infinet ExDa'!$B$2:$E$14, 0,FALSE), "Not Found"))))))))</f>
        <v>0</v>
      </c>
      <c r="K858" t="str">
        <f>IFERROR(VLOOKUP($A858,'AAPT ExDa'!$B$2:$U$99, 12,FALSE), IFERROR(VLOOKUP($A858,'ABB ExDa'!$A$2:$N$184, 0,FALSE), IFERROR(VLOOKUP($A858,'Vocus SIT ExDa'!$B$2:$J$173, 0,FALSE), IFERROR(VLOOKUP($A858,'Telstra ExDa'!$B$2:$K$310, 0,FALSE), IFERROR(VLOOKUP($A858,'Vocus RVC ExDa'!$C$2:$R$155, 0,FALSE), IFERROR(VLOOKUP($A858,'Fusion ExDa'!$B$2:$D$16, 0,FALSE), IFERROR(VLOOKUP($A858,'Exetel ExDa'!$C$2:$N$14, 12,FALSE), IFERROR(VLOOKUP($A858,'Infinet ExDa'!$B$2:$E$14, 0,FALSE), "Not Found"))))))))</f>
        <v>Not Found</v>
      </c>
      <c r="L858" s="235" t="str">
        <f>IFERROR(VLOOKUP($A858,'AAPT ExDa'!$B$2:$U$99, 11,FALSE), IFERROR(VLOOKUP($A858,'ABB ExDa'!$A$2:$N$184, 9,FALSE), IFERROR(VLOOKUP($A858,'Vocus SIT ExDa'!$B$2:$J$173, 8,FALSE), IFERROR(VLOOKUP($A858,'Telstra ExDa'!$B$2:$K$310, 0,FALSE), IFERROR(VLOOKUP($A858,'Vocus RVC ExDa'!$C$2:$R$155, 0,FALSE), IFERROR(VLOOKUP($A858,'Fusion ExDa'!$B$2:$D$16, 0,FALSE), IFERROR(VLOOKUP($A858,'Exetel ExDa'!$C$2:$N$14, 9,FALSE), IFERROR(VLOOKUP($A858,'Infinet ExDa'!$B$2:$E$14, 0,FALSE), "Not Found"))))))))</f>
        <v>Not Found</v>
      </c>
      <c r="M858" s="234" t="str">
        <f>IFERROR(VLOOKUP($A858,'AAPT ExDa'!$B$2:$U$99, 0,FALSE), IFERROR(VLOOKUP($A858,'ABB ExDa'!$A$2:$N$184, 0,FALSE), IFERROR(VLOOKUP($A858,'Vocus SIT ExDa'!$B$2:$J$173, 0,FALSE), IFERROR(VLOOKUP($A858,'Telstra ExDa'!$B$2:$K$310, 0,FALSE), IFERROR(VLOOKUP($A858,'Vocus RVC ExDa'!$C$2:$R$155, 0,FALSE), IFERROR(VLOOKUP($A858,'Fusion ExDa'!$B$2:$D$16, 0,FALSE), IFERROR(VLOOKUP($A858,'Exetel ExDa'!$C$2:$N$14, 11,FALSE), IFERROR(VLOOKUP($A858,'Infinet ExDa'!$B$2:$E$14, 0,FALSE), "Not Found"))))))))</f>
        <v>Not Found</v>
      </c>
      <c r="N858" t="str">
        <f>IFERROR(VLOOKUP($A858,'AAPT ExDa'!$B$2:$U$99, 0,FALSE), IFERROR(VLOOKUP($A858,'ABB ExDa'!$A$2:$N$184, 13,FALSE), IFERROR(VLOOKUP($A858,'Vocus SIT ExDa'!$B$2:$J$173, 0,FALSE), IFERROR(VLOOKUP($A858,'Telstra ExDa'!$B$2:$K$310, 0,FALSE), IFERROR(VLOOKUP($A858,'Vocus RVC ExDa'!$C$2:$R$155, 0,FALSE), IFERROR(VLOOKUP($A858,'Fusion ExDa'!$B$2:$D$16, 0,FALSE), IFERROR(VLOOKUP($A858,'Exetel ExDa'!$C$2:$N$14, 0,FALSE), IFERROR(VLOOKUP($A858,'Infinet ExDa'!$B$2:$E$14, 0,FALSE), "Not Found"))))))))</f>
        <v>Not Found</v>
      </c>
    </row>
    <row r="859" spans="1:14">
      <c r="A859" t="str">
        <v>QCOS Orthopaedic Pty Ltd</v>
      </c>
      <c r="B859" t="str">
        <f>IFERROR(VLOOKUP(A859,'Exetel ExDa'!$C$2:$N$14,4,FALSE),"No Data")</f>
        <v>No Data</v>
      </c>
      <c r="C859" t="str">
        <f>IFERROR(VLOOKUP(A859,'AAPT ExDa'!$B$2:$U$99, 2,FALSE), IFERROR(VLOOKUP(A859,'ABB ExDa'!$A$2:$N$184, 2,FALSE), IFERROR(VLOOKUP(A859,'Vocus SIT ExDa'!$B$2:$J$173, 7,FALSE), IFERROR(VLOOKUP(A859,'Telstra ExDa'!$B$2:$K$310, 2,FALSE), IFERROR(VLOOKUP(A859,'Vocus RVC ExDa'!$C$2:$R$155, 3,FALSE), IFERROR(VLOOKUP(A859,'Fusion ExDa'!$B$2:$D$16, 2,FALSE), IFERROR(VLOOKUP(A859,'Exetel ExDa'!$C$2:$N$14, 2,FALSE), IFERROR(VLOOKUP(A859,'Infinet ExDa'!$B$2:$E$14, 2,FALSE), "Not Found"))))))))</f>
        <v>14 24 Chasely Street ST</v>
      </c>
      <c r="D859">
        <f>IFERROR(VLOOKUP($A859,'AAPT ExDa'!$B$2:$U$99, 15,FALSE), IFERROR(VLOOKUP($A859,'ABB ExDa'!$A$2:$N$184, 4,FALSE), IFERROR(VLOOKUP($A859,'Vocus SIT ExDa'!$B$2:$J$173, 5,FALSE), IFERROR(VLOOKUP($A859,'Telstra ExDa'!$B$2:$K$310, 8,FALSE), IFERROR(VLOOKUP($A859,'Vocus RVC ExDa'!$C$2:$R$155, 6,FALSE), IFERROR(VLOOKUP($A859,'Fusion ExDa'!$B$2:$D$16, 4,FALSE), IFERROR(VLOOKUP($A859,'Exetel ExDa'!$C$2:$N$14, 3,FALSE), IFERROR(VLOOKUP($A859,'Infinet ExDa'!$B$2:$E$14, 3,FALSE), "Not Found"))))))))</f>
        <v>4066</v>
      </c>
      <c r="E859" t="str">
        <f>IFERROR(VLOOKUP($A859,'AAPT ExDa'!$B$2:$U$99, 3,FALSE), IFERROR(VLOOKUP($A859,'ABB ExDa'!$A$2:$N$184, 5,FALSE), IFERROR(VLOOKUP($A859,'Vocus SIT ExDa'!$B$2:$J$173, 2,FALSE), IFERROR(VLOOKUP($A859,'Telstra ExDa'!$B$2:$K$310, 4,FALSE), IFERROR(VLOOKUP($A859,'Vocus RVC ExDa'!$C$2:$R$155, 8,FALSE), IFERROR(VLOOKUP($A859,'Fusion ExDa'!$B$2:$D$16, 4,FALSE), IFERROR(VLOOKUP($A859,'Exetel ExDa'!$C$2:$N$14, 5,FALSE), IFERROR(VLOOKUP($A859,'Infinet ExDa'!$B$2:$E$14, 3,FALSE), "Not Found"))))))))</f>
        <v>Mobile Service</v>
      </c>
      <c r="F859">
        <f>IFERROR(VLOOKUP($A859,'AAPT ExDa'!$B$2:$U$99, 4,FALSE), IFERROR(VLOOKUP($A859,'ABB ExDa'!$A$2:$N$184, 6,FALSE), IFERROR(VLOOKUP($A859,'Vocus SIT ExDa'!$B$2:$J$173, 3,FALSE), IFERROR(VLOOKUP($A859,'Telstra ExDa'!$B$2:$K$310, 5,FALSE), IFERROR(VLOOKUP($A859,'Vocus RVC ExDa'!$C$2:$R$155, 9,FALSE), IFERROR(VLOOKUP($A859,'Fusion ExDa'!$B$2:$D$16, 0,FALSE), IFERROR(VLOOKUP($A859,'Exetel ExDa'!$C$2:$N$14, 6,FALSE), IFERROR(VLOOKUP($A859,'Infinet ExDa'!$B$2:$E$14, 0,FALSE), "Not Found"))))))))</f>
        <v>45757</v>
      </c>
      <c r="G859">
        <f>IFERROR(VLOOKUP($A859,'AAPT ExDa'!$B$2:$U$99, 5,FALSE), IFERROR(VLOOKUP($A859,'ABB ExDa'!$A$2:$N$184, 8,FALSE), IFERROR(VLOOKUP($A859,'Vocus SIT ExDa'!$B$2:$J$173, 6,FALSE), IFERROR(VLOOKUP($A859,'Telstra ExDa'!$B$2:$K$310, 0,FALSE), IFERROR(VLOOKUP($A859,'Vocus RVC ExDa'!$C$2:$R$155, 15,FALSE), IFERROR(VLOOKUP($A859,'Fusion ExDa'!$B$2:$D$16, 0,FALSE), IFERROR(VLOOKUP($A859,'Exetel ExDa'!$C$2:$N$14, 7,FALSE), IFERROR(VLOOKUP($A859,'Infinet ExDa'!$B$2:$E$14, 0,FALSE), "Not Found"))))))))</f>
        <v>0</v>
      </c>
      <c r="H859">
        <f>IFERROR(VLOOKUP($A859,'AAPT ExDa'!$B$2:$U$99, 6,FALSE), IFERROR(VLOOKUP($A859,'ABB ExDa'!$A$2:$N$184, 0,FALSE), IFERROR(VLOOKUP($A859,'Vocus SIT ExDa'!$B$2:$J$173, 0,FALSE), IFERROR(VLOOKUP($A859,'Telstra ExDa'!$B$2:$K$310, 0,FALSE), IFERROR(VLOOKUP($A859,'Vocus RVC ExDa'!$C$2:$R$155, 16,FALSE), IFERROR(VLOOKUP($A859,'Fusion ExDa'!$B$2:$D$16, 0,FALSE), IFERROR(VLOOKUP($A859,'Exetel ExDa'!$C$2:$N$14, 0,FALSE), IFERROR(VLOOKUP($A859,'Infinet ExDa'!$B$2:$E$14, 0,FALSE), "Not Found"))))))))</f>
        <v>0</v>
      </c>
      <c r="I859" t="str">
        <f>IFERROR(VLOOKUP($A859,'AAPT ExDa'!$B$2:$U$99, 0,FALSE), IFERROR(VLOOKUP($A859,'ABB ExDa'!$A$2:$N$184, 0,FALSE), IFERROR(VLOOKUP($A859,'Vocus SIT ExDa'!$B$2:$J$173, 0,FALSE), IFERROR(VLOOKUP($A859,'Telstra ExDa'!$B$2:$K$310, 0,FALSE), IFERROR(VLOOKUP($A859,'Vocus RVC ExDa'!$C$2:$R$155, 0,FALSE), IFERROR(VLOOKUP($A859,'Fusion ExDa'!$B$2:$D$16, 0,FALSE), IFERROR(VLOOKUP($A859,'Exetel ExDa'!$C$2:$N$14, 8,FALSE), IFERROR(VLOOKUP($A859,'Infinet ExDa'!$B$2:$E$14, 0,FALSE), "Not Found"))))))))</f>
        <v>Not Found</v>
      </c>
      <c r="J859">
        <f>IFERROR(VLOOKUP($A859,'AAPT ExDa'!$B$2:$U$99, 7,FALSE), IFERROR(VLOOKUP($A859,'ABB ExDa'!$A$2:$N$184, 2,FALSE), IFERROR(VLOOKUP($A859,'Vocus SIT ExDa'!$B$2:$J$173, 0,FALSE), IFERROR(VLOOKUP($A859,'Telstra ExDa'!$B$2:$K$310, 7,FALSE), IFERROR(VLOOKUP($A859,'Vocus RVC ExDa'!$C$2:$R$155, 2,FALSE), IFERROR(VLOOKUP($A859,'Fusion ExDa'!$B$2:$D$16, 3,FALSE), IFERROR(VLOOKUP($A859,'Exetel ExDa'!$C$2:$N$14, 0,FALSE), IFERROR(VLOOKUP($A859,'Infinet ExDa'!$B$2:$E$14, 0,FALSE), "Not Found"))))))))</f>
        <v>0</v>
      </c>
      <c r="K859" t="str">
        <f>IFERROR(VLOOKUP($A859,'AAPT ExDa'!$B$2:$U$99, 12,FALSE), IFERROR(VLOOKUP($A859,'ABB ExDa'!$A$2:$N$184, 0,FALSE), IFERROR(VLOOKUP($A859,'Vocus SIT ExDa'!$B$2:$J$173, 0,FALSE), IFERROR(VLOOKUP($A859,'Telstra ExDa'!$B$2:$K$310, 0,FALSE), IFERROR(VLOOKUP($A859,'Vocus RVC ExDa'!$C$2:$R$155, 0,FALSE), IFERROR(VLOOKUP($A859,'Fusion ExDa'!$B$2:$D$16, 0,FALSE), IFERROR(VLOOKUP($A859,'Exetel ExDa'!$C$2:$N$14, 12,FALSE), IFERROR(VLOOKUP($A859,'Infinet ExDa'!$B$2:$E$14, 0,FALSE), "Not Found"))))))))</f>
        <v>Not Found</v>
      </c>
      <c r="L859" s="235" t="str">
        <f>IFERROR(VLOOKUP($A859,'AAPT ExDa'!$B$2:$U$99, 11,FALSE), IFERROR(VLOOKUP($A859,'ABB ExDa'!$A$2:$N$184, 9,FALSE), IFERROR(VLOOKUP($A859,'Vocus SIT ExDa'!$B$2:$J$173, 8,FALSE), IFERROR(VLOOKUP($A859,'Telstra ExDa'!$B$2:$K$310, 0,FALSE), IFERROR(VLOOKUP($A859,'Vocus RVC ExDa'!$C$2:$R$155, 0,FALSE), IFERROR(VLOOKUP($A859,'Fusion ExDa'!$B$2:$D$16, 0,FALSE), IFERROR(VLOOKUP($A859,'Exetel ExDa'!$C$2:$N$14, 9,FALSE), IFERROR(VLOOKUP($A859,'Infinet ExDa'!$B$2:$E$14, 0,FALSE), "Not Found"))))))))</f>
        <v>Not Found</v>
      </c>
      <c r="M859" s="234" t="str">
        <f>IFERROR(VLOOKUP($A859,'AAPT ExDa'!$B$2:$U$99, 0,FALSE), IFERROR(VLOOKUP($A859,'ABB ExDa'!$A$2:$N$184, 0,FALSE), IFERROR(VLOOKUP($A859,'Vocus SIT ExDa'!$B$2:$J$173, 0,FALSE), IFERROR(VLOOKUP($A859,'Telstra ExDa'!$B$2:$K$310, 0,FALSE), IFERROR(VLOOKUP($A859,'Vocus RVC ExDa'!$C$2:$R$155, 0,FALSE), IFERROR(VLOOKUP($A859,'Fusion ExDa'!$B$2:$D$16, 0,FALSE), IFERROR(VLOOKUP($A859,'Exetel ExDa'!$C$2:$N$14, 11,FALSE), IFERROR(VLOOKUP($A859,'Infinet ExDa'!$B$2:$E$14, 0,FALSE), "Not Found"))))))))</f>
        <v>Not Found</v>
      </c>
      <c r="N859" t="str">
        <f>IFERROR(VLOOKUP($A859,'AAPT ExDa'!$B$2:$U$99, 0,FALSE), IFERROR(VLOOKUP($A859,'ABB ExDa'!$A$2:$N$184, 13,FALSE), IFERROR(VLOOKUP($A859,'Vocus SIT ExDa'!$B$2:$J$173, 0,FALSE), IFERROR(VLOOKUP($A859,'Telstra ExDa'!$B$2:$K$310, 0,FALSE), IFERROR(VLOOKUP($A859,'Vocus RVC ExDa'!$C$2:$R$155, 0,FALSE), IFERROR(VLOOKUP($A859,'Fusion ExDa'!$B$2:$D$16, 0,FALSE), IFERROR(VLOOKUP($A859,'Exetel ExDa'!$C$2:$N$14, 0,FALSE), IFERROR(VLOOKUP($A859,'Infinet ExDa'!$B$2:$E$14, 0,FALSE), "Not Found"))))))))</f>
        <v>Not Found</v>
      </c>
    </row>
    <row r="860" spans="1:14">
      <c r="A860" t="str">
        <v xml:space="preserve">	Strata Dynamics</v>
      </c>
      <c r="B860" t="str">
        <f>IFERROR(VLOOKUP(A860,'Exetel ExDa'!$C$2:$N$14,4,FALSE),"No Data")</f>
        <v>No Data</v>
      </c>
      <c r="C860" t="str">
        <f>IFERROR(VLOOKUP(A860,'AAPT ExDa'!$B$2:$U$99, 2,FALSE), IFERROR(VLOOKUP(A860,'ABB ExDa'!$A$2:$N$184, 2,FALSE), IFERROR(VLOOKUP(A860,'Vocus SIT ExDa'!$B$2:$J$173, 7,FALSE), IFERROR(VLOOKUP(A860,'Telstra ExDa'!$B$2:$K$310, 2,FALSE), IFERROR(VLOOKUP(A860,'Vocus RVC ExDa'!$C$2:$R$155, 3,FALSE), IFERROR(VLOOKUP(A860,'Fusion ExDa'!$B$2:$D$16, 2,FALSE), IFERROR(VLOOKUP(A860,'Exetel ExDa'!$C$2:$N$14, 2,FALSE), IFERROR(VLOOKUP(A860,'Infinet ExDa'!$B$2:$E$14, 2,FALSE), "Not Found"))))))))</f>
        <v>15 300 Adelaide  ST</v>
      </c>
      <c r="D860">
        <f>IFERROR(VLOOKUP($A860,'AAPT ExDa'!$B$2:$U$99, 15,FALSE), IFERROR(VLOOKUP($A860,'ABB ExDa'!$A$2:$N$184, 4,FALSE), IFERROR(VLOOKUP($A860,'Vocus SIT ExDa'!$B$2:$J$173, 5,FALSE), IFERROR(VLOOKUP($A860,'Telstra ExDa'!$B$2:$K$310, 8,FALSE), IFERROR(VLOOKUP($A860,'Vocus RVC ExDa'!$C$2:$R$155, 6,FALSE), IFERROR(VLOOKUP($A860,'Fusion ExDa'!$B$2:$D$16, 4,FALSE), IFERROR(VLOOKUP($A860,'Exetel ExDa'!$C$2:$N$14, 3,FALSE), IFERROR(VLOOKUP($A860,'Infinet ExDa'!$B$2:$E$14, 3,FALSE), "Not Found"))))))))</f>
        <v>4000</v>
      </c>
      <c r="E860" t="str">
        <f>IFERROR(VLOOKUP($A860,'AAPT ExDa'!$B$2:$U$99, 3,FALSE), IFERROR(VLOOKUP($A860,'ABB ExDa'!$A$2:$N$184, 5,FALSE), IFERROR(VLOOKUP($A860,'Vocus SIT ExDa'!$B$2:$J$173, 2,FALSE), IFERROR(VLOOKUP($A860,'Telstra ExDa'!$B$2:$K$310, 4,FALSE), IFERROR(VLOOKUP($A860,'Vocus RVC ExDa'!$C$2:$R$155, 8,FALSE), IFERROR(VLOOKUP($A860,'Fusion ExDa'!$B$2:$D$16, 4,FALSE), IFERROR(VLOOKUP($A860,'Exetel ExDa'!$C$2:$N$14, 5,FALSE), IFERROR(VLOOKUP($A860,'Infinet ExDa'!$B$2:$E$14, 3,FALSE), "Not Found"))))))))</f>
        <v>Mobile Service</v>
      </c>
      <c r="F860">
        <f>IFERROR(VLOOKUP($A860,'AAPT ExDa'!$B$2:$U$99, 4,FALSE), IFERROR(VLOOKUP($A860,'ABB ExDa'!$A$2:$N$184, 6,FALSE), IFERROR(VLOOKUP($A860,'Vocus SIT ExDa'!$B$2:$J$173, 3,FALSE), IFERROR(VLOOKUP($A860,'Telstra ExDa'!$B$2:$K$310, 5,FALSE), IFERROR(VLOOKUP($A860,'Vocus RVC ExDa'!$C$2:$R$155, 9,FALSE), IFERROR(VLOOKUP($A860,'Fusion ExDa'!$B$2:$D$16, 0,FALSE), IFERROR(VLOOKUP($A860,'Exetel ExDa'!$C$2:$N$14, 6,FALSE), IFERROR(VLOOKUP($A860,'Infinet ExDa'!$B$2:$E$14, 0,FALSE), "Not Found"))))))))</f>
        <v>45758</v>
      </c>
      <c r="G860">
        <f>IFERROR(VLOOKUP($A860,'AAPT ExDa'!$B$2:$U$99, 5,FALSE), IFERROR(VLOOKUP($A860,'ABB ExDa'!$A$2:$N$184, 8,FALSE), IFERROR(VLOOKUP($A860,'Vocus SIT ExDa'!$B$2:$J$173, 6,FALSE), IFERROR(VLOOKUP($A860,'Telstra ExDa'!$B$2:$K$310, 0,FALSE), IFERROR(VLOOKUP($A860,'Vocus RVC ExDa'!$C$2:$R$155, 15,FALSE), IFERROR(VLOOKUP($A860,'Fusion ExDa'!$B$2:$D$16, 0,FALSE), IFERROR(VLOOKUP($A860,'Exetel ExDa'!$C$2:$N$14, 7,FALSE), IFERROR(VLOOKUP($A860,'Infinet ExDa'!$B$2:$E$14, 0,FALSE), "Not Found"))))))))</f>
        <v>0</v>
      </c>
      <c r="H860">
        <f>IFERROR(VLOOKUP($A860,'AAPT ExDa'!$B$2:$U$99, 6,FALSE), IFERROR(VLOOKUP($A860,'ABB ExDa'!$A$2:$N$184, 0,FALSE), IFERROR(VLOOKUP($A860,'Vocus SIT ExDa'!$B$2:$J$173, 0,FALSE), IFERROR(VLOOKUP($A860,'Telstra ExDa'!$B$2:$K$310, 0,FALSE), IFERROR(VLOOKUP($A860,'Vocus RVC ExDa'!$C$2:$R$155, 16,FALSE), IFERROR(VLOOKUP($A860,'Fusion ExDa'!$B$2:$D$16, 0,FALSE), IFERROR(VLOOKUP($A860,'Exetel ExDa'!$C$2:$N$14, 0,FALSE), IFERROR(VLOOKUP($A860,'Infinet ExDa'!$B$2:$E$14, 0,FALSE), "Not Found"))))))))</f>
        <v>0</v>
      </c>
      <c r="I860" t="str">
        <f>IFERROR(VLOOKUP($A860,'AAPT ExDa'!$B$2:$U$99, 0,FALSE), IFERROR(VLOOKUP($A860,'ABB ExDa'!$A$2:$N$184, 0,FALSE), IFERROR(VLOOKUP($A860,'Vocus SIT ExDa'!$B$2:$J$173, 0,FALSE), IFERROR(VLOOKUP($A860,'Telstra ExDa'!$B$2:$K$310, 0,FALSE), IFERROR(VLOOKUP($A860,'Vocus RVC ExDa'!$C$2:$R$155, 0,FALSE), IFERROR(VLOOKUP($A860,'Fusion ExDa'!$B$2:$D$16, 0,FALSE), IFERROR(VLOOKUP($A860,'Exetel ExDa'!$C$2:$N$14, 8,FALSE), IFERROR(VLOOKUP($A860,'Infinet ExDa'!$B$2:$E$14, 0,FALSE), "Not Found"))))))))</f>
        <v>Not Found</v>
      </c>
      <c r="J860">
        <f>IFERROR(VLOOKUP($A860,'AAPT ExDa'!$B$2:$U$99, 7,FALSE), IFERROR(VLOOKUP($A860,'ABB ExDa'!$A$2:$N$184, 2,FALSE), IFERROR(VLOOKUP($A860,'Vocus SIT ExDa'!$B$2:$J$173, 0,FALSE), IFERROR(VLOOKUP($A860,'Telstra ExDa'!$B$2:$K$310, 7,FALSE), IFERROR(VLOOKUP($A860,'Vocus RVC ExDa'!$C$2:$R$155, 2,FALSE), IFERROR(VLOOKUP($A860,'Fusion ExDa'!$B$2:$D$16, 3,FALSE), IFERROR(VLOOKUP($A860,'Exetel ExDa'!$C$2:$N$14, 0,FALSE), IFERROR(VLOOKUP($A860,'Infinet ExDa'!$B$2:$E$14, 0,FALSE), "Not Found"))))))))</f>
        <v>0</v>
      </c>
      <c r="K860" t="str">
        <f>IFERROR(VLOOKUP($A860,'AAPT ExDa'!$B$2:$U$99, 12,FALSE), IFERROR(VLOOKUP($A860,'ABB ExDa'!$A$2:$N$184, 0,FALSE), IFERROR(VLOOKUP($A860,'Vocus SIT ExDa'!$B$2:$J$173, 0,FALSE), IFERROR(VLOOKUP($A860,'Telstra ExDa'!$B$2:$K$310, 0,FALSE), IFERROR(VLOOKUP($A860,'Vocus RVC ExDa'!$C$2:$R$155, 0,FALSE), IFERROR(VLOOKUP($A860,'Fusion ExDa'!$B$2:$D$16, 0,FALSE), IFERROR(VLOOKUP($A860,'Exetel ExDa'!$C$2:$N$14, 12,FALSE), IFERROR(VLOOKUP($A860,'Infinet ExDa'!$B$2:$E$14, 0,FALSE), "Not Found"))))))))</f>
        <v>Not Found</v>
      </c>
      <c r="L860" s="235" t="str">
        <f>IFERROR(VLOOKUP($A860,'AAPT ExDa'!$B$2:$U$99, 11,FALSE), IFERROR(VLOOKUP($A860,'ABB ExDa'!$A$2:$N$184, 9,FALSE), IFERROR(VLOOKUP($A860,'Vocus SIT ExDa'!$B$2:$J$173, 8,FALSE), IFERROR(VLOOKUP($A860,'Telstra ExDa'!$B$2:$K$310, 0,FALSE), IFERROR(VLOOKUP($A860,'Vocus RVC ExDa'!$C$2:$R$155, 0,FALSE), IFERROR(VLOOKUP($A860,'Fusion ExDa'!$B$2:$D$16, 0,FALSE), IFERROR(VLOOKUP($A860,'Exetel ExDa'!$C$2:$N$14, 9,FALSE), IFERROR(VLOOKUP($A860,'Infinet ExDa'!$B$2:$E$14, 0,FALSE), "Not Found"))))))))</f>
        <v>Not Found</v>
      </c>
      <c r="M860" s="234" t="str">
        <f>IFERROR(VLOOKUP($A860,'AAPT ExDa'!$B$2:$U$99, 0,FALSE), IFERROR(VLOOKUP($A860,'ABB ExDa'!$A$2:$N$184, 0,FALSE), IFERROR(VLOOKUP($A860,'Vocus SIT ExDa'!$B$2:$J$173, 0,FALSE), IFERROR(VLOOKUP($A860,'Telstra ExDa'!$B$2:$K$310, 0,FALSE), IFERROR(VLOOKUP($A860,'Vocus RVC ExDa'!$C$2:$R$155, 0,FALSE), IFERROR(VLOOKUP($A860,'Fusion ExDa'!$B$2:$D$16, 0,FALSE), IFERROR(VLOOKUP($A860,'Exetel ExDa'!$C$2:$N$14, 11,FALSE), IFERROR(VLOOKUP($A860,'Infinet ExDa'!$B$2:$E$14, 0,FALSE), "Not Found"))))))))</f>
        <v>Not Found</v>
      </c>
      <c r="N860" t="str">
        <f>IFERROR(VLOOKUP($A860,'AAPT ExDa'!$B$2:$U$99, 0,FALSE), IFERROR(VLOOKUP($A860,'ABB ExDa'!$A$2:$N$184, 13,FALSE), IFERROR(VLOOKUP($A860,'Vocus SIT ExDa'!$B$2:$J$173, 0,FALSE), IFERROR(VLOOKUP($A860,'Telstra ExDa'!$B$2:$K$310, 0,FALSE), IFERROR(VLOOKUP($A860,'Vocus RVC ExDa'!$C$2:$R$155, 0,FALSE), IFERROR(VLOOKUP($A860,'Fusion ExDa'!$B$2:$D$16, 0,FALSE), IFERROR(VLOOKUP($A860,'Exetel ExDa'!$C$2:$N$14, 0,FALSE), IFERROR(VLOOKUP($A860,'Infinet ExDa'!$B$2:$E$14, 0,FALSE), "Not Found"))))))))</f>
        <v>Not Found</v>
      </c>
    </row>
    <row r="861" spans="1:14">
      <c r="A861" t="str">
        <v>Graphene Manufacturing Australia</v>
      </c>
      <c r="B861" t="str">
        <f>IFERROR(VLOOKUP(A861,'Exetel ExDa'!$C$2:$N$14,4,FALSE),"No Data")</f>
        <v>No Data</v>
      </c>
      <c r="C861" t="str">
        <f>IFERROR(VLOOKUP(A861,'AAPT ExDa'!$B$2:$U$99, 2,FALSE), IFERROR(VLOOKUP(A861,'ABB ExDa'!$A$2:$N$184, 2,FALSE), IFERROR(VLOOKUP(A861,'Vocus SIT ExDa'!$B$2:$J$173, 7,FALSE), IFERROR(VLOOKUP(A861,'Telstra ExDa'!$B$2:$K$310, 2,FALSE), IFERROR(VLOOKUP(A861,'Vocus RVC ExDa'!$C$2:$R$155, 3,FALSE), IFERROR(VLOOKUP(A861,'Fusion ExDa'!$B$2:$D$16, 2,FALSE), IFERROR(VLOOKUP(A861,'Exetel ExDa'!$C$2:$N$14, 2,FALSE), IFERROR(VLOOKUP(A861,'Infinet ExDa'!$B$2:$E$14, 2,FALSE), "Not Found"))))))))</f>
        <v>5 28 Metroplex AV</v>
      </c>
      <c r="D861">
        <f>IFERROR(VLOOKUP($A861,'AAPT ExDa'!$B$2:$U$99, 15,FALSE), IFERROR(VLOOKUP($A861,'ABB ExDa'!$A$2:$N$184, 4,FALSE), IFERROR(VLOOKUP($A861,'Vocus SIT ExDa'!$B$2:$J$173, 5,FALSE), IFERROR(VLOOKUP($A861,'Telstra ExDa'!$B$2:$K$310, 8,FALSE), IFERROR(VLOOKUP($A861,'Vocus RVC ExDa'!$C$2:$R$155, 6,FALSE), IFERROR(VLOOKUP($A861,'Fusion ExDa'!$B$2:$D$16, 4,FALSE), IFERROR(VLOOKUP($A861,'Exetel ExDa'!$C$2:$N$14, 3,FALSE), IFERROR(VLOOKUP($A861,'Infinet ExDa'!$B$2:$E$14, 3,FALSE), "Not Found"))))))))</f>
        <v>4172</v>
      </c>
      <c r="E861" t="str">
        <f>IFERROR(VLOOKUP($A861,'AAPT ExDa'!$B$2:$U$99, 3,FALSE), IFERROR(VLOOKUP($A861,'ABB ExDa'!$A$2:$N$184, 5,FALSE), IFERROR(VLOOKUP($A861,'Vocus SIT ExDa'!$B$2:$J$173, 2,FALSE), IFERROR(VLOOKUP($A861,'Telstra ExDa'!$B$2:$K$310, 4,FALSE), IFERROR(VLOOKUP($A861,'Vocus RVC ExDa'!$C$2:$R$155, 8,FALSE), IFERROR(VLOOKUP($A861,'Fusion ExDa'!$B$2:$D$16, 4,FALSE), IFERROR(VLOOKUP($A861,'Exetel ExDa'!$C$2:$N$14, 5,FALSE), IFERROR(VLOOKUP($A861,'Infinet ExDa'!$B$2:$E$14, 3,FALSE), "Not Found"))))))))</f>
        <v>Mobile Service</v>
      </c>
      <c r="F861">
        <f>IFERROR(VLOOKUP($A861,'AAPT ExDa'!$B$2:$U$99, 4,FALSE), IFERROR(VLOOKUP($A861,'ABB ExDa'!$A$2:$N$184, 6,FALSE), IFERROR(VLOOKUP($A861,'Vocus SIT ExDa'!$B$2:$J$173, 3,FALSE), IFERROR(VLOOKUP($A861,'Telstra ExDa'!$B$2:$K$310, 5,FALSE), IFERROR(VLOOKUP($A861,'Vocus RVC ExDa'!$C$2:$R$155, 9,FALSE), IFERROR(VLOOKUP($A861,'Fusion ExDa'!$B$2:$D$16, 0,FALSE), IFERROR(VLOOKUP($A861,'Exetel ExDa'!$C$2:$N$14, 6,FALSE), IFERROR(VLOOKUP($A861,'Infinet ExDa'!$B$2:$E$14, 0,FALSE), "Not Found"))))))))</f>
        <v>45762</v>
      </c>
      <c r="G861">
        <f>IFERROR(VLOOKUP($A861,'AAPT ExDa'!$B$2:$U$99, 5,FALSE), IFERROR(VLOOKUP($A861,'ABB ExDa'!$A$2:$N$184, 8,FALSE), IFERROR(VLOOKUP($A861,'Vocus SIT ExDa'!$B$2:$J$173, 6,FALSE), IFERROR(VLOOKUP($A861,'Telstra ExDa'!$B$2:$K$310, 0,FALSE), IFERROR(VLOOKUP($A861,'Vocus RVC ExDa'!$C$2:$R$155, 15,FALSE), IFERROR(VLOOKUP($A861,'Fusion ExDa'!$B$2:$D$16, 0,FALSE), IFERROR(VLOOKUP($A861,'Exetel ExDa'!$C$2:$N$14, 7,FALSE), IFERROR(VLOOKUP($A861,'Infinet ExDa'!$B$2:$E$14, 0,FALSE), "Not Found"))))))))</f>
        <v>0</v>
      </c>
      <c r="H861">
        <f>IFERROR(VLOOKUP($A861,'AAPT ExDa'!$B$2:$U$99, 6,FALSE), IFERROR(VLOOKUP($A861,'ABB ExDa'!$A$2:$N$184, 0,FALSE), IFERROR(VLOOKUP($A861,'Vocus SIT ExDa'!$B$2:$J$173, 0,FALSE), IFERROR(VLOOKUP($A861,'Telstra ExDa'!$B$2:$K$310, 0,FALSE), IFERROR(VLOOKUP($A861,'Vocus RVC ExDa'!$C$2:$R$155, 16,FALSE), IFERROR(VLOOKUP($A861,'Fusion ExDa'!$B$2:$D$16, 0,FALSE), IFERROR(VLOOKUP($A861,'Exetel ExDa'!$C$2:$N$14, 0,FALSE), IFERROR(VLOOKUP($A861,'Infinet ExDa'!$B$2:$E$14, 0,FALSE), "Not Found"))))))))</f>
        <v>0</v>
      </c>
      <c r="I861" t="str">
        <f>IFERROR(VLOOKUP($A861,'AAPT ExDa'!$B$2:$U$99, 0,FALSE), IFERROR(VLOOKUP($A861,'ABB ExDa'!$A$2:$N$184, 0,FALSE), IFERROR(VLOOKUP($A861,'Vocus SIT ExDa'!$B$2:$J$173, 0,FALSE), IFERROR(VLOOKUP($A861,'Telstra ExDa'!$B$2:$K$310, 0,FALSE), IFERROR(VLOOKUP($A861,'Vocus RVC ExDa'!$C$2:$R$155, 0,FALSE), IFERROR(VLOOKUP($A861,'Fusion ExDa'!$B$2:$D$16, 0,FALSE), IFERROR(VLOOKUP($A861,'Exetel ExDa'!$C$2:$N$14, 8,FALSE), IFERROR(VLOOKUP($A861,'Infinet ExDa'!$B$2:$E$14, 0,FALSE), "Not Found"))))))))</f>
        <v>Not Found</v>
      </c>
      <c r="J861">
        <f>IFERROR(VLOOKUP($A861,'AAPT ExDa'!$B$2:$U$99, 7,FALSE), IFERROR(VLOOKUP($A861,'ABB ExDa'!$A$2:$N$184, 2,FALSE), IFERROR(VLOOKUP($A861,'Vocus SIT ExDa'!$B$2:$J$173, 0,FALSE), IFERROR(VLOOKUP($A861,'Telstra ExDa'!$B$2:$K$310, 7,FALSE), IFERROR(VLOOKUP($A861,'Vocus RVC ExDa'!$C$2:$R$155, 2,FALSE), IFERROR(VLOOKUP($A861,'Fusion ExDa'!$B$2:$D$16, 3,FALSE), IFERROR(VLOOKUP($A861,'Exetel ExDa'!$C$2:$N$14, 0,FALSE), IFERROR(VLOOKUP($A861,'Infinet ExDa'!$B$2:$E$14, 0,FALSE), "Not Found"))))))))</f>
        <v>0</v>
      </c>
      <c r="K861" t="str">
        <f>IFERROR(VLOOKUP($A861,'AAPT ExDa'!$B$2:$U$99, 12,FALSE), IFERROR(VLOOKUP($A861,'ABB ExDa'!$A$2:$N$184, 0,FALSE), IFERROR(VLOOKUP($A861,'Vocus SIT ExDa'!$B$2:$J$173, 0,FALSE), IFERROR(VLOOKUP($A861,'Telstra ExDa'!$B$2:$K$310, 0,FALSE), IFERROR(VLOOKUP($A861,'Vocus RVC ExDa'!$C$2:$R$155, 0,FALSE), IFERROR(VLOOKUP($A861,'Fusion ExDa'!$B$2:$D$16, 0,FALSE), IFERROR(VLOOKUP($A861,'Exetel ExDa'!$C$2:$N$14, 12,FALSE), IFERROR(VLOOKUP($A861,'Infinet ExDa'!$B$2:$E$14, 0,FALSE), "Not Found"))))))))</f>
        <v>Not Found</v>
      </c>
      <c r="L861" s="235" t="str">
        <f>IFERROR(VLOOKUP($A861,'AAPT ExDa'!$B$2:$U$99, 11,FALSE), IFERROR(VLOOKUP($A861,'ABB ExDa'!$A$2:$N$184, 9,FALSE), IFERROR(VLOOKUP($A861,'Vocus SIT ExDa'!$B$2:$J$173, 8,FALSE), IFERROR(VLOOKUP($A861,'Telstra ExDa'!$B$2:$K$310, 0,FALSE), IFERROR(VLOOKUP($A861,'Vocus RVC ExDa'!$C$2:$R$155, 0,FALSE), IFERROR(VLOOKUP($A861,'Fusion ExDa'!$B$2:$D$16, 0,FALSE), IFERROR(VLOOKUP($A861,'Exetel ExDa'!$C$2:$N$14, 9,FALSE), IFERROR(VLOOKUP($A861,'Infinet ExDa'!$B$2:$E$14, 0,FALSE), "Not Found"))))))))</f>
        <v>Not Found</v>
      </c>
      <c r="M861" s="234" t="str">
        <f>IFERROR(VLOOKUP($A861,'AAPT ExDa'!$B$2:$U$99, 0,FALSE), IFERROR(VLOOKUP($A861,'ABB ExDa'!$A$2:$N$184, 0,FALSE), IFERROR(VLOOKUP($A861,'Vocus SIT ExDa'!$B$2:$J$173, 0,FALSE), IFERROR(VLOOKUP($A861,'Telstra ExDa'!$B$2:$K$310, 0,FALSE), IFERROR(VLOOKUP($A861,'Vocus RVC ExDa'!$C$2:$R$155, 0,FALSE), IFERROR(VLOOKUP($A861,'Fusion ExDa'!$B$2:$D$16, 0,FALSE), IFERROR(VLOOKUP($A861,'Exetel ExDa'!$C$2:$N$14, 11,FALSE), IFERROR(VLOOKUP($A861,'Infinet ExDa'!$B$2:$E$14, 0,FALSE), "Not Found"))))))))</f>
        <v>Not Found</v>
      </c>
      <c r="N861" t="str">
        <f>IFERROR(VLOOKUP($A861,'AAPT ExDa'!$B$2:$U$99, 0,FALSE), IFERROR(VLOOKUP($A861,'ABB ExDa'!$A$2:$N$184, 13,FALSE), IFERROR(VLOOKUP($A861,'Vocus SIT ExDa'!$B$2:$J$173, 0,FALSE), IFERROR(VLOOKUP($A861,'Telstra ExDa'!$B$2:$K$310, 0,FALSE), IFERROR(VLOOKUP($A861,'Vocus RVC ExDa'!$C$2:$R$155, 0,FALSE), IFERROR(VLOOKUP($A861,'Fusion ExDa'!$B$2:$D$16, 0,FALSE), IFERROR(VLOOKUP($A861,'Exetel ExDa'!$C$2:$N$14, 0,FALSE), IFERROR(VLOOKUP($A861,'Infinet ExDa'!$B$2:$E$14, 0,FALSE), "Not Found"))))))))</f>
        <v>Not Found</v>
      </c>
    </row>
    <row r="862" spans="1:14">
      <c r="A862" t="str">
        <v>Zambrero Subiaco</v>
      </c>
      <c r="B862" t="str">
        <f>IFERROR(VLOOKUP(A862,'Exetel ExDa'!$C$2:$N$14,4,FALSE),"No Data")</f>
        <v>No Data</v>
      </c>
      <c r="C862" t="str">
        <f>IFERROR(VLOOKUP(A862,'AAPT ExDa'!$B$2:$U$99, 2,FALSE), IFERROR(VLOOKUP(A862,'ABB ExDa'!$A$2:$N$184, 2,FALSE), IFERROR(VLOOKUP(A862,'Vocus SIT ExDa'!$B$2:$J$173, 7,FALSE), IFERROR(VLOOKUP(A862,'Telstra ExDa'!$B$2:$K$310, 2,FALSE), IFERROR(VLOOKUP(A862,'Vocus RVC ExDa'!$C$2:$R$155, 3,FALSE), IFERROR(VLOOKUP(A862,'Fusion ExDa'!$B$2:$D$16, 2,FALSE), IFERROR(VLOOKUP(A862,'Exetel ExDa'!$C$2:$N$14, 2,FALSE), IFERROR(VLOOKUP(A862,'Infinet ExDa'!$B$2:$E$14, 2,FALSE), "Not Found"))))))))</f>
        <v>SHOP 3, 50 SUBIACO SQUARE RD, SUBIACO WA</v>
      </c>
      <c r="D862" t="str">
        <f>IFERROR(VLOOKUP($A862,'AAPT ExDa'!$B$2:$U$99, 15,FALSE), IFERROR(VLOOKUP($A862,'ABB ExDa'!$A$2:$N$184, 4,FALSE), IFERROR(VLOOKUP($A862,'Vocus SIT ExDa'!$B$2:$J$173, 5,FALSE), IFERROR(VLOOKUP($A862,'Telstra ExDa'!$B$2:$K$310, 8,FALSE), IFERROR(VLOOKUP($A862,'Vocus RVC ExDa'!$C$2:$R$155, 6,FALSE), IFERROR(VLOOKUP($A862,'Fusion ExDa'!$B$2:$D$16, 4,FALSE), IFERROR(VLOOKUP($A862,'Exetel ExDa'!$C$2:$N$14, 3,FALSE), IFERROR(VLOOKUP($A862,'Infinet ExDa'!$B$2:$E$14, 3,FALSE), "Not Found"))))))))</f>
        <v>ABB</v>
      </c>
      <c r="E862" t="str">
        <f>IFERROR(VLOOKUP($A862,'AAPT ExDa'!$B$2:$U$99, 3,FALSE), IFERROR(VLOOKUP($A862,'ABB ExDa'!$A$2:$N$184, 5,FALSE), IFERROR(VLOOKUP($A862,'Vocus SIT ExDa'!$B$2:$J$173, 2,FALSE), IFERROR(VLOOKUP($A862,'Telstra ExDa'!$B$2:$K$310, 4,FALSE), IFERROR(VLOOKUP($A862,'Vocus RVC ExDa'!$C$2:$R$155, 8,FALSE), IFERROR(VLOOKUP($A862,'Fusion ExDa'!$B$2:$D$16, 4,FALSE), IFERROR(VLOOKUP($A862,'Exetel ExDa'!$C$2:$N$14, 5,FALSE), IFERROR(VLOOKUP($A862,'Infinet ExDa'!$B$2:$E$14, 3,FALSE), "Not Found"))))))))</f>
        <v>NBN 100/40</v>
      </c>
      <c r="F862" t="str">
        <f>IFERROR(VLOOKUP($A862,'AAPT ExDa'!$B$2:$U$99, 4,FALSE), IFERROR(VLOOKUP($A862,'ABB ExDa'!$A$2:$N$184, 6,FALSE), IFERROR(VLOOKUP($A862,'Vocus SIT ExDa'!$B$2:$J$173, 3,FALSE), IFERROR(VLOOKUP($A862,'Telstra ExDa'!$B$2:$K$310, 5,FALSE), IFERROR(VLOOKUP($A862,'Vocus RVC ExDa'!$C$2:$R$155, 9,FALSE), IFERROR(VLOOKUP($A862,'Fusion ExDa'!$B$2:$D$16, 0,FALSE), IFERROR(VLOOKUP($A862,'Exetel ExDa'!$C$2:$N$14, 6,FALSE), IFERROR(VLOOKUP($A862,'Infinet ExDa'!$B$2:$E$14, 0,FALSE), "Not Found"))))))))</f>
        <v>FTTN</v>
      </c>
      <c r="G862" t="str">
        <f>IFERROR(VLOOKUP($A862,'AAPT ExDa'!$B$2:$U$99, 5,FALSE), IFERROR(VLOOKUP($A862,'ABB ExDa'!$A$2:$N$184, 8,FALSE), IFERROR(VLOOKUP($A862,'Vocus SIT ExDa'!$B$2:$J$173, 6,FALSE), IFERROR(VLOOKUP($A862,'Telstra ExDa'!$B$2:$K$310, 0,FALSE), IFERROR(VLOOKUP($A862,'Vocus RVC ExDa'!$C$2:$R$155, 15,FALSE), IFERROR(VLOOKUP($A862,'Fusion ExDa'!$B$2:$D$16, 0,FALSE), IFERROR(VLOOKUP($A862,'Exetel ExDa'!$C$2:$N$14, 7,FALSE), IFERROR(VLOOKUP($A862,'Infinet ExDa'!$B$2:$E$14, 0,FALSE), "Not Found"))))))))</f>
        <v>144.6.134.87</v>
      </c>
      <c r="H862">
        <f>IFERROR(VLOOKUP($A862,'AAPT ExDa'!$B$2:$U$99, 6,FALSE), IFERROR(VLOOKUP($A862,'ABB ExDa'!$A$2:$N$184, 0,FALSE), IFERROR(VLOOKUP($A862,'Vocus SIT ExDa'!$B$2:$J$173, 0,FALSE), IFERROR(VLOOKUP($A862,'Telstra ExDa'!$B$2:$K$310, 0,FALSE), IFERROR(VLOOKUP($A862,'Vocus RVC ExDa'!$C$2:$R$155, 16,FALSE), IFERROR(VLOOKUP($A862,'Fusion ExDa'!$B$2:$D$16, 0,FALSE), IFERROR(VLOOKUP($A862,'Exetel ExDa'!$C$2:$N$14, 0,FALSE), IFERROR(VLOOKUP($A862,'Infinet ExDa'!$B$2:$E$14, 0,FALSE), "Not Found"))))))))</f>
        <v>0</v>
      </c>
      <c r="I862" t="str">
        <f>IFERROR(VLOOKUP($A862,'AAPT ExDa'!$B$2:$U$99, 0,FALSE), IFERROR(VLOOKUP($A862,'ABB ExDa'!$A$2:$N$184, 0,FALSE), IFERROR(VLOOKUP($A862,'Vocus SIT ExDa'!$B$2:$J$173, 0,FALSE), IFERROR(VLOOKUP($A862,'Telstra ExDa'!$B$2:$K$310, 0,FALSE), IFERROR(VLOOKUP($A862,'Vocus RVC ExDa'!$C$2:$R$155, 0,FALSE), IFERROR(VLOOKUP($A862,'Fusion ExDa'!$B$2:$D$16, 0,FALSE), IFERROR(VLOOKUP($A862,'Exetel ExDa'!$C$2:$N$14, 8,FALSE), IFERROR(VLOOKUP($A862,'Infinet ExDa'!$B$2:$E$14, 0,FALSE), "Not Found"))))))))</f>
        <v>Not Found</v>
      </c>
      <c r="J862" t="str">
        <f>IFERROR(VLOOKUP($A862,'AAPT ExDa'!$B$2:$U$99, 7,FALSE), IFERROR(VLOOKUP($A862,'ABB ExDa'!$A$2:$N$184, 2,FALSE), IFERROR(VLOOKUP($A862,'Vocus SIT ExDa'!$B$2:$J$173, 0,FALSE), IFERROR(VLOOKUP($A862,'Telstra ExDa'!$B$2:$K$310, 7,FALSE), IFERROR(VLOOKUP($A862,'Vocus RVC ExDa'!$C$2:$R$155, 2,FALSE), IFERROR(VLOOKUP($A862,'Fusion ExDa'!$B$2:$D$16, 3,FALSE), IFERROR(VLOOKUP($A862,'Exetel ExDa'!$C$2:$N$14, 0,FALSE), IFERROR(VLOOKUP($A862,'Infinet ExDa'!$B$2:$E$14, 0,FALSE), "Not Found"))))))))</f>
        <v>SHOP 3, 50 SUBIACO SQUARE RD, SUBIACO WA</v>
      </c>
      <c r="K862" t="str">
        <f>IFERROR(VLOOKUP($A862,'AAPT ExDa'!$B$2:$U$99, 12,FALSE), IFERROR(VLOOKUP($A862,'ABB ExDa'!$A$2:$N$184, 0,FALSE), IFERROR(VLOOKUP($A862,'Vocus SIT ExDa'!$B$2:$J$173, 0,FALSE), IFERROR(VLOOKUP($A862,'Telstra ExDa'!$B$2:$K$310, 0,FALSE), IFERROR(VLOOKUP($A862,'Vocus RVC ExDa'!$C$2:$R$155, 0,FALSE), IFERROR(VLOOKUP($A862,'Fusion ExDa'!$B$2:$D$16, 0,FALSE), IFERROR(VLOOKUP($A862,'Exetel ExDa'!$C$2:$N$14, 12,FALSE), IFERROR(VLOOKUP($A862,'Infinet ExDa'!$B$2:$E$14, 0,FALSE), "Not Found"))))))))</f>
        <v>Not Found</v>
      </c>
      <c r="L862" s="235" t="str">
        <f>IFERROR(VLOOKUP($A862,'AAPT ExDa'!$B$2:$U$99, 11,FALSE), IFERROR(VLOOKUP($A862,'ABB ExDa'!$A$2:$N$184, 9,FALSE), IFERROR(VLOOKUP($A862,'Vocus SIT ExDa'!$B$2:$J$173, 8,FALSE), IFERROR(VLOOKUP($A862,'Telstra ExDa'!$B$2:$K$310, 0,FALSE), IFERROR(VLOOKUP($A862,'Vocus RVC ExDa'!$C$2:$R$155, 0,FALSE), IFERROR(VLOOKUP($A862,'Fusion ExDa'!$B$2:$D$16, 0,FALSE), IFERROR(VLOOKUP($A862,'Exetel ExDa'!$C$2:$N$14, 9,FALSE), IFERROR(VLOOKUP($A862,'Infinet ExDa'!$B$2:$E$14, 0,FALSE), "Not Found"))))))))</f>
        <v>10 April 2025</v>
      </c>
      <c r="M862" s="234" t="str">
        <f>IFERROR(VLOOKUP($A862,'AAPT ExDa'!$B$2:$U$99, 0,FALSE), IFERROR(VLOOKUP($A862,'ABB ExDa'!$A$2:$N$184, 0,FALSE), IFERROR(VLOOKUP($A862,'Vocus SIT ExDa'!$B$2:$J$173, 0,FALSE), IFERROR(VLOOKUP($A862,'Telstra ExDa'!$B$2:$K$310, 0,FALSE), IFERROR(VLOOKUP($A862,'Vocus RVC ExDa'!$C$2:$R$155, 0,FALSE), IFERROR(VLOOKUP($A862,'Fusion ExDa'!$B$2:$D$16, 0,FALSE), IFERROR(VLOOKUP($A862,'Exetel ExDa'!$C$2:$N$14, 11,FALSE), IFERROR(VLOOKUP($A862,'Infinet ExDa'!$B$2:$E$14, 0,FALSE), "Not Found"))))))))</f>
        <v>Not Found</v>
      </c>
      <c r="N862" t="str">
        <f>IFERROR(VLOOKUP($A862,'AAPT ExDa'!$B$2:$U$99, 0,FALSE), IFERROR(VLOOKUP($A862,'ABB ExDa'!$A$2:$N$184, 13,FALSE), IFERROR(VLOOKUP($A862,'Vocus SIT ExDa'!$B$2:$J$173, 0,FALSE), IFERROR(VLOOKUP($A862,'Telstra ExDa'!$B$2:$K$310, 0,FALSE), IFERROR(VLOOKUP($A862,'Vocus RVC ExDa'!$C$2:$R$155, 0,FALSE), IFERROR(VLOOKUP($A862,'Fusion ExDa'!$B$2:$D$16, 0,FALSE), IFERROR(VLOOKUP($A862,'Exetel ExDa'!$C$2:$N$14, 0,FALSE), IFERROR(VLOOKUP($A862,'Infinet ExDa'!$B$2:$E$14, 0,FALSE), "Not Found"))))))))</f>
        <v>Onebill</v>
      </c>
    </row>
    <row r="863" spans="1:14">
      <c r="A863" t="str">
        <v>Nodo Elizabeth St</v>
      </c>
      <c r="B863" t="str">
        <f>IFERROR(VLOOKUP(A863,'Exetel ExDa'!$C$2:$N$14,4,FALSE),"No Data")</f>
        <v>No Data</v>
      </c>
      <c r="C863" t="str">
        <f>IFERROR(VLOOKUP(A863,'AAPT ExDa'!$B$2:$U$99, 2,FALSE), IFERROR(VLOOKUP(A863,'ABB ExDa'!$A$2:$N$184, 2,FALSE), IFERROR(VLOOKUP(A863,'Vocus SIT ExDa'!$B$2:$J$173, 7,FALSE), IFERROR(VLOOKUP(A863,'Telstra ExDa'!$B$2:$K$310, 2,FALSE), IFERROR(VLOOKUP(A863,'Vocus RVC ExDa'!$C$2:$R$155, 3,FALSE), IFERROR(VLOOKUP(A863,'Fusion ExDa'!$B$2:$D$16, 2,FALSE), IFERROR(VLOOKUP(A863,'Exetel ExDa'!$C$2:$N$14, 2,FALSE), IFERROR(VLOOKUP(A863,'Infinet ExDa'!$B$2:$E$14, 2,FALSE), "Not Found"))))))))</f>
        <v>300 Elizabeth  ST</v>
      </c>
      <c r="D863">
        <f>IFERROR(VLOOKUP($A863,'AAPT ExDa'!$B$2:$U$99, 15,FALSE), IFERROR(VLOOKUP($A863,'ABB ExDa'!$A$2:$N$184, 4,FALSE), IFERROR(VLOOKUP($A863,'Vocus SIT ExDa'!$B$2:$J$173, 5,FALSE), IFERROR(VLOOKUP($A863,'Telstra ExDa'!$B$2:$K$310, 8,FALSE), IFERROR(VLOOKUP($A863,'Vocus RVC ExDa'!$C$2:$R$155, 6,FALSE), IFERROR(VLOOKUP($A863,'Fusion ExDa'!$B$2:$D$16, 4,FALSE), IFERROR(VLOOKUP($A863,'Exetel ExDa'!$C$2:$N$14, 3,FALSE), IFERROR(VLOOKUP($A863,'Infinet ExDa'!$B$2:$E$14, 3,FALSE), "Not Found"))))))))</f>
        <v>4000</v>
      </c>
      <c r="E863" t="str">
        <f>IFERROR(VLOOKUP($A863,'AAPT ExDa'!$B$2:$U$99, 3,FALSE), IFERROR(VLOOKUP($A863,'ABB ExDa'!$A$2:$N$184, 5,FALSE), IFERROR(VLOOKUP($A863,'Vocus SIT ExDa'!$B$2:$J$173, 2,FALSE), IFERROR(VLOOKUP($A863,'Telstra ExDa'!$B$2:$K$310, 4,FALSE), IFERROR(VLOOKUP($A863,'Vocus RVC ExDa'!$C$2:$R$155, 8,FALSE), IFERROR(VLOOKUP($A863,'Fusion ExDa'!$B$2:$D$16, 4,FALSE), IFERROR(VLOOKUP($A863,'Exetel ExDa'!$C$2:$N$14, 5,FALSE), IFERROR(VLOOKUP($A863,'Infinet ExDa'!$B$2:$E$14, 3,FALSE), "Not Found"))))))))</f>
        <v>Mobile Service</v>
      </c>
      <c r="F863">
        <f>IFERROR(VLOOKUP($A863,'AAPT ExDa'!$B$2:$U$99, 4,FALSE), IFERROR(VLOOKUP($A863,'ABB ExDa'!$A$2:$N$184, 6,FALSE), IFERROR(VLOOKUP($A863,'Vocus SIT ExDa'!$B$2:$J$173, 3,FALSE), IFERROR(VLOOKUP($A863,'Telstra ExDa'!$B$2:$K$310, 5,FALSE), IFERROR(VLOOKUP($A863,'Vocus RVC ExDa'!$C$2:$R$155, 9,FALSE), IFERROR(VLOOKUP($A863,'Fusion ExDa'!$B$2:$D$16, 0,FALSE), IFERROR(VLOOKUP($A863,'Exetel ExDa'!$C$2:$N$14, 6,FALSE), IFERROR(VLOOKUP($A863,'Infinet ExDa'!$B$2:$E$14, 0,FALSE), "Not Found"))))))))</f>
        <v>45642</v>
      </c>
      <c r="G863">
        <f>IFERROR(VLOOKUP($A863,'AAPT ExDa'!$B$2:$U$99, 5,FALSE), IFERROR(VLOOKUP($A863,'ABB ExDa'!$A$2:$N$184, 8,FALSE), IFERROR(VLOOKUP($A863,'Vocus SIT ExDa'!$B$2:$J$173, 6,FALSE), IFERROR(VLOOKUP($A863,'Telstra ExDa'!$B$2:$K$310, 0,FALSE), IFERROR(VLOOKUP($A863,'Vocus RVC ExDa'!$C$2:$R$155, 15,FALSE), IFERROR(VLOOKUP($A863,'Fusion ExDa'!$B$2:$D$16, 0,FALSE), IFERROR(VLOOKUP($A863,'Exetel ExDa'!$C$2:$N$14, 7,FALSE), IFERROR(VLOOKUP($A863,'Infinet ExDa'!$B$2:$E$14, 0,FALSE), "Not Found"))))))))</f>
        <v>0</v>
      </c>
      <c r="H863">
        <f>IFERROR(VLOOKUP($A863,'AAPT ExDa'!$B$2:$U$99, 6,FALSE), IFERROR(VLOOKUP($A863,'ABB ExDa'!$A$2:$N$184, 0,FALSE), IFERROR(VLOOKUP($A863,'Vocus SIT ExDa'!$B$2:$J$173, 0,FALSE), IFERROR(VLOOKUP($A863,'Telstra ExDa'!$B$2:$K$310, 0,FALSE), IFERROR(VLOOKUP($A863,'Vocus RVC ExDa'!$C$2:$R$155, 16,FALSE), IFERROR(VLOOKUP($A863,'Fusion ExDa'!$B$2:$D$16, 0,FALSE), IFERROR(VLOOKUP($A863,'Exetel ExDa'!$C$2:$N$14, 0,FALSE), IFERROR(VLOOKUP($A863,'Infinet ExDa'!$B$2:$E$14, 0,FALSE), "Not Found"))))))))</f>
        <v>0</v>
      </c>
      <c r="I863" t="str">
        <f>IFERROR(VLOOKUP($A863,'AAPT ExDa'!$B$2:$U$99, 0,FALSE), IFERROR(VLOOKUP($A863,'ABB ExDa'!$A$2:$N$184, 0,FALSE), IFERROR(VLOOKUP($A863,'Vocus SIT ExDa'!$B$2:$J$173, 0,FALSE), IFERROR(VLOOKUP($A863,'Telstra ExDa'!$B$2:$K$310, 0,FALSE), IFERROR(VLOOKUP($A863,'Vocus RVC ExDa'!$C$2:$R$155, 0,FALSE), IFERROR(VLOOKUP($A863,'Fusion ExDa'!$B$2:$D$16, 0,FALSE), IFERROR(VLOOKUP($A863,'Exetel ExDa'!$C$2:$N$14, 8,FALSE), IFERROR(VLOOKUP($A863,'Infinet ExDa'!$B$2:$E$14, 0,FALSE), "Not Found"))))))))</f>
        <v>Not Found</v>
      </c>
      <c r="J863">
        <f>IFERROR(VLOOKUP($A863,'AAPT ExDa'!$B$2:$U$99, 7,FALSE), IFERROR(VLOOKUP($A863,'ABB ExDa'!$A$2:$N$184, 2,FALSE), IFERROR(VLOOKUP($A863,'Vocus SIT ExDa'!$B$2:$J$173, 0,FALSE), IFERROR(VLOOKUP($A863,'Telstra ExDa'!$B$2:$K$310, 7,FALSE), IFERROR(VLOOKUP($A863,'Vocus RVC ExDa'!$C$2:$R$155, 2,FALSE), IFERROR(VLOOKUP($A863,'Fusion ExDa'!$B$2:$D$16, 3,FALSE), IFERROR(VLOOKUP($A863,'Exetel ExDa'!$C$2:$N$14, 0,FALSE), IFERROR(VLOOKUP($A863,'Infinet ExDa'!$B$2:$E$14, 0,FALSE), "Not Found"))))))))</f>
        <v>0</v>
      </c>
      <c r="K863" t="str">
        <f>IFERROR(VLOOKUP($A863,'AAPT ExDa'!$B$2:$U$99, 12,FALSE), IFERROR(VLOOKUP($A863,'ABB ExDa'!$A$2:$N$184, 0,FALSE), IFERROR(VLOOKUP($A863,'Vocus SIT ExDa'!$B$2:$J$173, 0,FALSE), IFERROR(VLOOKUP($A863,'Telstra ExDa'!$B$2:$K$310, 0,FALSE), IFERROR(VLOOKUP($A863,'Vocus RVC ExDa'!$C$2:$R$155, 0,FALSE), IFERROR(VLOOKUP($A863,'Fusion ExDa'!$B$2:$D$16, 0,FALSE), IFERROR(VLOOKUP($A863,'Exetel ExDa'!$C$2:$N$14, 12,FALSE), IFERROR(VLOOKUP($A863,'Infinet ExDa'!$B$2:$E$14, 0,FALSE), "Not Found"))))))))</f>
        <v>Not Found</v>
      </c>
      <c r="L863" s="235" t="str">
        <f>IFERROR(VLOOKUP($A863,'AAPT ExDa'!$B$2:$U$99, 11,FALSE), IFERROR(VLOOKUP($A863,'ABB ExDa'!$A$2:$N$184, 9,FALSE), IFERROR(VLOOKUP($A863,'Vocus SIT ExDa'!$B$2:$J$173, 8,FALSE), IFERROR(VLOOKUP($A863,'Telstra ExDa'!$B$2:$K$310, 0,FALSE), IFERROR(VLOOKUP($A863,'Vocus RVC ExDa'!$C$2:$R$155, 0,FALSE), IFERROR(VLOOKUP($A863,'Fusion ExDa'!$B$2:$D$16, 0,FALSE), IFERROR(VLOOKUP($A863,'Exetel ExDa'!$C$2:$N$14, 9,FALSE), IFERROR(VLOOKUP($A863,'Infinet ExDa'!$B$2:$E$14, 0,FALSE), "Not Found"))))))))</f>
        <v>Not Found</v>
      </c>
      <c r="M863" s="234" t="str">
        <f>IFERROR(VLOOKUP($A863,'AAPT ExDa'!$B$2:$U$99, 0,FALSE), IFERROR(VLOOKUP($A863,'ABB ExDa'!$A$2:$N$184, 0,FALSE), IFERROR(VLOOKUP($A863,'Vocus SIT ExDa'!$B$2:$J$173, 0,FALSE), IFERROR(VLOOKUP($A863,'Telstra ExDa'!$B$2:$K$310, 0,FALSE), IFERROR(VLOOKUP($A863,'Vocus RVC ExDa'!$C$2:$R$155, 0,FALSE), IFERROR(VLOOKUP($A863,'Fusion ExDa'!$B$2:$D$16, 0,FALSE), IFERROR(VLOOKUP($A863,'Exetel ExDa'!$C$2:$N$14, 11,FALSE), IFERROR(VLOOKUP($A863,'Infinet ExDa'!$B$2:$E$14, 0,FALSE), "Not Found"))))))))</f>
        <v>Not Found</v>
      </c>
      <c r="N863" t="str">
        <f>IFERROR(VLOOKUP($A863,'AAPT ExDa'!$B$2:$U$99, 0,FALSE), IFERROR(VLOOKUP($A863,'ABB ExDa'!$A$2:$N$184, 13,FALSE), IFERROR(VLOOKUP($A863,'Vocus SIT ExDa'!$B$2:$J$173, 0,FALSE), IFERROR(VLOOKUP($A863,'Telstra ExDa'!$B$2:$K$310, 0,FALSE), IFERROR(VLOOKUP($A863,'Vocus RVC ExDa'!$C$2:$R$155, 0,FALSE), IFERROR(VLOOKUP($A863,'Fusion ExDa'!$B$2:$D$16, 0,FALSE), IFERROR(VLOOKUP($A863,'Exetel ExDa'!$C$2:$N$14, 0,FALSE), IFERROR(VLOOKUP($A863,'Infinet ExDa'!$B$2:$E$14, 0,FALSE), "Not Found"))))))))</f>
        <v>Not Found</v>
      </c>
    </row>
    <row r="864" spans="1:14">
      <c r="A864" t="str">
        <v xml:space="preserve">	Zambrero Cronulla</v>
      </c>
      <c r="B864" t="str">
        <f>IFERROR(VLOOKUP(A864,'Exetel ExDa'!$C$2:$N$14,4,FALSE),"No Data")</f>
        <v>No Data</v>
      </c>
      <c r="C864" t="str">
        <f>IFERROR(VLOOKUP(A864,'AAPT ExDa'!$B$2:$U$99, 2,FALSE), IFERROR(VLOOKUP(A864,'ABB ExDa'!$A$2:$N$184, 2,FALSE), IFERROR(VLOOKUP(A864,'Vocus SIT ExDa'!$B$2:$J$173, 7,FALSE), IFERROR(VLOOKUP(A864,'Telstra ExDa'!$B$2:$K$310, 2,FALSE), IFERROR(VLOOKUP(A864,'Vocus RVC ExDa'!$C$2:$R$155, 3,FALSE), IFERROR(VLOOKUP(A864,'Fusion ExDa'!$B$2:$D$16, 2,FALSE), IFERROR(VLOOKUP(A864,'Exetel ExDa'!$C$2:$N$14, 2,FALSE), IFERROR(VLOOKUP(A864,'Infinet ExDa'!$B$2:$E$14, 2,FALSE), "Not Found"))))))))</f>
        <v>93 Cronulla St ST</v>
      </c>
      <c r="D864">
        <f>IFERROR(VLOOKUP($A864,'AAPT ExDa'!$B$2:$U$99, 15,FALSE), IFERROR(VLOOKUP($A864,'ABB ExDa'!$A$2:$N$184, 4,FALSE), IFERROR(VLOOKUP($A864,'Vocus SIT ExDa'!$B$2:$J$173, 5,FALSE), IFERROR(VLOOKUP($A864,'Telstra ExDa'!$B$2:$K$310, 8,FALSE), IFERROR(VLOOKUP($A864,'Vocus RVC ExDa'!$C$2:$R$155, 6,FALSE), IFERROR(VLOOKUP($A864,'Fusion ExDa'!$B$2:$D$16, 4,FALSE), IFERROR(VLOOKUP($A864,'Exetel ExDa'!$C$2:$N$14, 3,FALSE), IFERROR(VLOOKUP($A864,'Infinet ExDa'!$B$2:$E$14, 3,FALSE), "Not Found"))))))))</f>
        <v>2230</v>
      </c>
      <c r="E864" t="str">
        <f>IFERROR(VLOOKUP($A864,'AAPT ExDa'!$B$2:$U$99, 3,FALSE), IFERROR(VLOOKUP($A864,'ABB ExDa'!$A$2:$N$184, 5,FALSE), IFERROR(VLOOKUP($A864,'Vocus SIT ExDa'!$B$2:$J$173, 2,FALSE), IFERROR(VLOOKUP($A864,'Telstra ExDa'!$B$2:$K$310, 4,FALSE), IFERROR(VLOOKUP($A864,'Vocus RVC ExDa'!$C$2:$R$155, 8,FALSE), IFERROR(VLOOKUP($A864,'Fusion ExDa'!$B$2:$D$16, 4,FALSE), IFERROR(VLOOKUP($A864,'Exetel ExDa'!$C$2:$N$14, 5,FALSE), IFERROR(VLOOKUP($A864,'Infinet ExDa'!$B$2:$E$14, 3,FALSE), "Not Found"))))))))</f>
        <v>Mobile Service</v>
      </c>
      <c r="F864">
        <f>IFERROR(VLOOKUP($A864,'AAPT ExDa'!$B$2:$U$99, 4,FALSE), IFERROR(VLOOKUP($A864,'ABB ExDa'!$A$2:$N$184, 6,FALSE), IFERROR(VLOOKUP($A864,'Vocus SIT ExDa'!$B$2:$J$173, 3,FALSE), IFERROR(VLOOKUP($A864,'Telstra ExDa'!$B$2:$K$310, 5,FALSE), IFERROR(VLOOKUP($A864,'Vocus RVC ExDa'!$C$2:$R$155, 9,FALSE), IFERROR(VLOOKUP($A864,'Fusion ExDa'!$B$2:$D$16, 0,FALSE), IFERROR(VLOOKUP($A864,'Exetel ExDa'!$C$2:$N$14, 6,FALSE), IFERROR(VLOOKUP($A864,'Infinet ExDa'!$B$2:$E$14, 0,FALSE), "Not Found"))))))))</f>
        <v>45769</v>
      </c>
      <c r="G864">
        <f>IFERROR(VLOOKUP($A864,'AAPT ExDa'!$B$2:$U$99, 5,FALSE), IFERROR(VLOOKUP($A864,'ABB ExDa'!$A$2:$N$184, 8,FALSE), IFERROR(VLOOKUP($A864,'Vocus SIT ExDa'!$B$2:$J$173, 6,FALSE), IFERROR(VLOOKUP($A864,'Telstra ExDa'!$B$2:$K$310, 0,FALSE), IFERROR(VLOOKUP($A864,'Vocus RVC ExDa'!$C$2:$R$155, 15,FALSE), IFERROR(VLOOKUP($A864,'Fusion ExDa'!$B$2:$D$16, 0,FALSE), IFERROR(VLOOKUP($A864,'Exetel ExDa'!$C$2:$N$14, 7,FALSE), IFERROR(VLOOKUP($A864,'Infinet ExDa'!$B$2:$E$14, 0,FALSE), "Not Found"))))))))</f>
        <v>0</v>
      </c>
      <c r="H864">
        <f>IFERROR(VLOOKUP($A864,'AAPT ExDa'!$B$2:$U$99, 6,FALSE), IFERROR(VLOOKUP($A864,'ABB ExDa'!$A$2:$N$184, 0,FALSE), IFERROR(VLOOKUP($A864,'Vocus SIT ExDa'!$B$2:$J$173, 0,FALSE), IFERROR(VLOOKUP($A864,'Telstra ExDa'!$B$2:$K$310, 0,FALSE), IFERROR(VLOOKUP($A864,'Vocus RVC ExDa'!$C$2:$R$155, 16,FALSE), IFERROR(VLOOKUP($A864,'Fusion ExDa'!$B$2:$D$16, 0,FALSE), IFERROR(VLOOKUP($A864,'Exetel ExDa'!$C$2:$N$14, 0,FALSE), IFERROR(VLOOKUP($A864,'Infinet ExDa'!$B$2:$E$14, 0,FALSE), "Not Found"))))))))</f>
        <v>0</v>
      </c>
      <c r="I864" t="str">
        <f>IFERROR(VLOOKUP($A864,'AAPT ExDa'!$B$2:$U$99, 0,FALSE), IFERROR(VLOOKUP($A864,'ABB ExDa'!$A$2:$N$184, 0,FALSE), IFERROR(VLOOKUP($A864,'Vocus SIT ExDa'!$B$2:$J$173, 0,FALSE), IFERROR(VLOOKUP($A864,'Telstra ExDa'!$B$2:$K$310, 0,FALSE), IFERROR(VLOOKUP($A864,'Vocus RVC ExDa'!$C$2:$R$155, 0,FALSE), IFERROR(VLOOKUP($A864,'Fusion ExDa'!$B$2:$D$16, 0,FALSE), IFERROR(VLOOKUP($A864,'Exetel ExDa'!$C$2:$N$14, 8,FALSE), IFERROR(VLOOKUP($A864,'Infinet ExDa'!$B$2:$E$14, 0,FALSE), "Not Found"))))))))</f>
        <v>Not Found</v>
      </c>
      <c r="J864">
        <f>IFERROR(VLOOKUP($A864,'AAPT ExDa'!$B$2:$U$99, 7,FALSE), IFERROR(VLOOKUP($A864,'ABB ExDa'!$A$2:$N$184, 2,FALSE), IFERROR(VLOOKUP($A864,'Vocus SIT ExDa'!$B$2:$J$173, 0,FALSE), IFERROR(VLOOKUP($A864,'Telstra ExDa'!$B$2:$K$310, 7,FALSE), IFERROR(VLOOKUP($A864,'Vocus RVC ExDa'!$C$2:$R$155, 2,FALSE), IFERROR(VLOOKUP($A864,'Fusion ExDa'!$B$2:$D$16, 3,FALSE), IFERROR(VLOOKUP($A864,'Exetel ExDa'!$C$2:$N$14, 0,FALSE), IFERROR(VLOOKUP($A864,'Infinet ExDa'!$B$2:$E$14, 0,FALSE), "Not Found"))))))))</f>
        <v>0</v>
      </c>
      <c r="K864" t="str">
        <f>IFERROR(VLOOKUP($A864,'AAPT ExDa'!$B$2:$U$99, 12,FALSE), IFERROR(VLOOKUP($A864,'ABB ExDa'!$A$2:$N$184, 0,FALSE), IFERROR(VLOOKUP($A864,'Vocus SIT ExDa'!$B$2:$J$173, 0,FALSE), IFERROR(VLOOKUP($A864,'Telstra ExDa'!$B$2:$K$310, 0,FALSE), IFERROR(VLOOKUP($A864,'Vocus RVC ExDa'!$C$2:$R$155, 0,FALSE), IFERROR(VLOOKUP($A864,'Fusion ExDa'!$B$2:$D$16, 0,FALSE), IFERROR(VLOOKUP($A864,'Exetel ExDa'!$C$2:$N$14, 12,FALSE), IFERROR(VLOOKUP($A864,'Infinet ExDa'!$B$2:$E$14, 0,FALSE), "Not Found"))))))))</f>
        <v>Not Found</v>
      </c>
      <c r="L864" s="235" t="str">
        <f>IFERROR(VLOOKUP($A864,'AAPT ExDa'!$B$2:$U$99, 11,FALSE), IFERROR(VLOOKUP($A864,'ABB ExDa'!$A$2:$N$184, 9,FALSE), IFERROR(VLOOKUP($A864,'Vocus SIT ExDa'!$B$2:$J$173, 8,FALSE), IFERROR(VLOOKUP($A864,'Telstra ExDa'!$B$2:$K$310, 0,FALSE), IFERROR(VLOOKUP($A864,'Vocus RVC ExDa'!$C$2:$R$155, 0,FALSE), IFERROR(VLOOKUP($A864,'Fusion ExDa'!$B$2:$D$16, 0,FALSE), IFERROR(VLOOKUP($A864,'Exetel ExDa'!$C$2:$N$14, 9,FALSE), IFERROR(VLOOKUP($A864,'Infinet ExDa'!$B$2:$E$14, 0,FALSE), "Not Found"))))))))</f>
        <v>Not Found</v>
      </c>
      <c r="M864" s="234" t="str">
        <f>IFERROR(VLOOKUP($A864,'AAPT ExDa'!$B$2:$U$99, 0,FALSE), IFERROR(VLOOKUP($A864,'ABB ExDa'!$A$2:$N$184, 0,FALSE), IFERROR(VLOOKUP($A864,'Vocus SIT ExDa'!$B$2:$J$173, 0,FALSE), IFERROR(VLOOKUP($A864,'Telstra ExDa'!$B$2:$K$310, 0,FALSE), IFERROR(VLOOKUP($A864,'Vocus RVC ExDa'!$C$2:$R$155, 0,FALSE), IFERROR(VLOOKUP($A864,'Fusion ExDa'!$B$2:$D$16, 0,FALSE), IFERROR(VLOOKUP($A864,'Exetel ExDa'!$C$2:$N$14, 11,FALSE), IFERROR(VLOOKUP($A864,'Infinet ExDa'!$B$2:$E$14, 0,FALSE), "Not Found"))))))))</f>
        <v>Not Found</v>
      </c>
      <c r="N864" t="str">
        <f>IFERROR(VLOOKUP($A864,'AAPT ExDa'!$B$2:$U$99, 0,FALSE), IFERROR(VLOOKUP($A864,'ABB ExDa'!$A$2:$N$184, 13,FALSE), IFERROR(VLOOKUP($A864,'Vocus SIT ExDa'!$B$2:$J$173, 0,FALSE), IFERROR(VLOOKUP($A864,'Telstra ExDa'!$B$2:$K$310, 0,FALSE), IFERROR(VLOOKUP($A864,'Vocus RVC ExDa'!$C$2:$R$155, 0,FALSE), IFERROR(VLOOKUP($A864,'Fusion ExDa'!$B$2:$D$16, 0,FALSE), IFERROR(VLOOKUP($A864,'Exetel ExDa'!$C$2:$N$14, 0,FALSE), IFERROR(VLOOKUP($A864,'Infinet ExDa'!$B$2:$E$14, 0,FALSE), "Not Found"))))))))</f>
        <v>Not Found</v>
      </c>
    </row>
    <row r="865" spans="1:14">
      <c r="A865" t="str">
        <v>Zambrero Keilor Downs</v>
      </c>
      <c r="B865" t="str">
        <f>IFERROR(VLOOKUP(A865,'Exetel ExDa'!$C$2:$N$14,4,FALSE),"No Data")</f>
        <v>No Data</v>
      </c>
      <c r="C865" t="str">
        <f>IFERROR(VLOOKUP(A865,'AAPT ExDa'!$B$2:$U$99, 2,FALSE), IFERROR(VLOOKUP(A865,'ABB ExDa'!$A$2:$N$184, 2,FALSE), IFERROR(VLOOKUP(A865,'Vocus SIT ExDa'!$B$2:$J$173, 7,FALSE), IFERROR(VLOOKUP(A865,'Telstra ExDa'!$B$2:$K$310, 2,FALSE), IFERROR(VLOOKUP(A865,'Vocus RVC ExDa'!$C$2:$R$155, 3,FALSE), IFERROR(VLOOKUP(A865,'Fusion ExDa'!$B$2:$D$16, 2,FALSE), IFERROR(VLOOKUP(A865,'Exetel ExDa'!$C$2:$N$14, 2,FALSE), IFERROR(VLOOKUP(A865,'Infinet ExDa'!$B$2:$E$14, 2,FALSE), "Not Found"))))))))</f>
        <v>SHOP G-038, 80 TAYLORS RD, KEILOR DOWNS VIC</v>
      </c>
      <c r="D865" t="str">
        <f>IFERROR(VLOOKUP($A865,'AAPT ExDa'!$B$2:$U$99, 15,FALSE), IFERROR(VLOOKUP($A865,'ABB ExDa'!$A$2:$N$184, 4,FALSE), IFERROR(VLOOKUP($A865,'Vocus SIT ExDa'!$B$2:$J$173, 5,FALSE), IFERROR(VLOOKUP($A865,'Telstra ExDa'!$B$2:$K$310, 8,FALSE), IFERROR(VLOOKUP($A865,'Vocus RVC ExDa'!$C$2:$R$155, 6,FALSE), IFERROR(VLOOKUP($A865,'Fusion ExDa'!$B$2:$D$16, 4,FALSE), IFERROR(VLOOKUP($A865,'Exetel ExDa'!$C$2:$N$14, 3,FALSE), IFERROR(VLOOKUP($A865,'Infinet ExDa'!$B$2:$E$14, 3,FALSE), "Not Found"))))))))</f>
        <v>ABB</v>
      </c>
      <c r="E865" t="str">
        <f>IFERROR(VLOOKUP($A865,'AAPT ExDa'!$B$2:$U$99, 3,FALSE), IFERROR(VLOOKUP($A865,'ABB ExDa'!$A$2:$N$184, 5,FALSE), IFERROR(VLOOKUP($A865,'Vocus SIT ExDa'!$B$2:$J$173, 2,FALSE), IFERROR(VLOOKUP($A865,'Telstra ExDa'!$B$2:$K$310, 4,FALSE), IFERROR(VLOOKUP($A865,'Vocus RVC ExDa'!$C$2:$R$155, 8,FALSE), IFERROR(VLOOKUP($A865,'Fusion ExDa'!$B$2:$D$16, 4,FALSE), IFERROR(VLOOKUP($A865,'Exetel ExDa'!$C$2:$N$14, 5,FALSE), IFERROR(VLOOKUP($A865,'Infinet ExDa'!$B$2:$E$14, 3,FALSE), "Not Found"))))))))</f>
        <v>NBN 25/10</v>
      </c>
      <c r="F865" t="str">
        <f>IFERROR(VLOOKUP($A865,'AAPT ExDa'!$B$2:$U$99, 4,FALSE), IFERROR(VLOOKUP($A865,'ABB ExDa'!$A$2:$N$184, 6,FALSE), IFERROR(VLOOKUP($A865,'Vocus SIT ExDa'!$B$2:$J$173, 3,FALSE), IFERROR(VLOOKUP($A865,'Telstra ExDa'!$B$2:$K$310, 5,FALSE), IFERROR(VLOOKUP($A865,'Vocus RVC ExDa'!$C$2:$R$155, 9,FALSE), IFERROR(VLOOKUP($A865,'Fusion ExDa'!$B$2:$D$16, 0,FALSE), IFERROR(VLOOKUP($A865,'Exetel ExDa'!$C$2:$N$14, 6,FALSE), IFERROR(VLOOKUP($A865,'Infinet ExDa'!$B$2:$E$14, 0,FALSE), "Not Found"))))))))</f>
        <v>FTTB</v>
      </c>
      <c r="G865" t="str">
        <f>IFERROR(VLOOKUP($A865,'AAPT ExDa'!$B$2:$U$99, 5,FALSE), IFERROR(VLOOKUP($A865,'ABB ExDa'!$A$2:$N$184, 8,FALSE), IFERROR(VLOOKUP($A865,'Vocus SIT ExDa'!$B$2:$J$173, 6,FALSE), IFERROR(VLOOKUP($A865,'Telstra ExDa'!$B$2:$K$310, 0,FALSE), IFERROR(VLOOKUP($A865,'Vocus RVC ExDa'!$C$2:$R$155, 15,FALSE), IFERROR(VLOOKUP($A865,'Fusion ExDa'!$B$2:$D$16, 0,FALSE), IFERROR(VLOOKUP($A865,'Exetel ExDa'!$C$2:$N$14, 7,FALSE), IFERROR(VLOOKUP($A865,'Infinet ExDa'!$B$2:$E$14, 0,FALSE), "Not Found"))))))))</f>
        <v>144.6.190.31</v>
      </c>
      <c r="H865">
        <f>IFERROR(VLOOKUP($A865,'AAPT ExDa'!$B$2:$U$99, 6,FALSE), IFERROR(VLOOKUP($A865,'ABB ExDa'!$A$2:$N$184, 0,FALSE), IFERROR(VLOOKUP($A865,'Vocus SIT ExDa'!$B$2:$J$173, 0,FALSE), IFERROR(VLOOKUP($A865,'Telstra ExDa'!$B$2:$K$310, 0,FALSE), IFERROR(VLOOKUP($A865,'Vocus RVC ExDa'!$C$2:$R$155, 16,FALSE), IFERROR(VLOOKUP($A865,'Fusion ExDa'!$B$2:$D$16, 0,FALSE), IFERROR(VLOOKUP($A865,'Exetel ExDa'!$C$2:$N$14, 0,FALSE), IFERROR(VLOOKUP($A865,'Infinet ExDa'!$B$2:$E$14, 0,FALSE), "Not Found"))))))))</f>
        <v>0</v>
      </c>
      <c r="I865" t="str">
        <f>IFERROR(VLOOKUP($A865,'AAPT ExDa'!$B$2:$U$99, 0,FALSE), IFERROR(VLOOKUP($A865,'ABB ExDa'!$A$2:$N$184, 0,FALSE), IFERROR(VLOOKUP($A865,'Vocus SIT ExDa'!$B$2:$J$173, 0,FALSE), IFERROR(VLOOKUP($A865,'Telstra ExDa'!$B$2:$K$310, 0,FALSE), IFERROR(VLOOKUP($A865,'Vocus RVC ExDa'!$C$2:$R$155, 0,FALSE), IFERROR(VLOOKUP($A865,'Fusion ExDa'!$B$2:$D$16, 0,FALSE), IFERROR(VLOOKUP($A865,'Exetel ExDa'!$C$2:$N$14, 8,FALSE), IFERROR(VLOOKUP($A865,'Infinet ExDa'!$B$2:$E$14, 0,FALSE), "Not Found"))))))))</f>
        <v>Not Found</v>
      </c>
      <c r="J865" t="str">
        <f>IFERROR(VLOOKUP($A865,'AAPT ExDa'!$B$2:$U$99, 7,FALSE), IFERROR(VLOOKUP($A865,'ABB ExDa'!$A$2:$N$184, 2,FALSE), IFERROR(VLOOKUP($A865,'Vocus SIT ExDa'!$B$2:$J$173, 0,FALSE), IFERROR(VLOOKUP($A865,'Telstra ExDa'!$B$2:$K$310, 7,FALSE), IFERROR(VLOOKUP($A865,'Vocus RVC ExDa'!$C$2:$R$155, 2,FALSE), IFERROR(VLOOKUP($A865,'Fusion ExDa'!$B$2:$D$16, 3,FALSE), IFERROR(VLOOKUP($A865,'Exetel ExDa'!$C$2:$N$14, 0,FALSE), IFERROR(VLOOKUP($A865,'Infinet ExDa'!$B$2:$E$14, 0,FALSE), "Not Found"))))))))</f>
        <v>SHOP G-038, 80 TAYLORS RD, KEILOR DOWNS VIC</v>
      </c>
      <c r="K865" t="str">
        <f>IFERROR(VLOOKUP($A865,'AAPT ExDa'!$B$2:$U$99, 12,FALSE), IFERROR(VLOOKUP($A865,'ABB ExDa'!$A$2:$N$184, 0,FALSE), IFERROR(VLOOKUP($A865,'Vocus SIT ExDa'!$B$2:$J$173, 0,FALSE), IFERROR(VLOOKUP($A865,'Telstra ExDa'!$B$2:$K$310, 0,FALSE), IFERROR(VLOOKUP($A865,'Vocus RVC ExDa'!$C$2:$R$155, 0,FALSE), IFERROR(VLOOKUP($A865,'Fusion ExDa'!$B$2:$D$16, 0,FALSE), IFERROR(VLOOKUP($A865,'Exetel ExDa'!$C$2:$N$14, 12,FALSE), IFERROR(VLOOKUP($A865,'Infinet ExDa'!$B$2:$E$14, 0,FALSE), "Not Found"))))))))</f>
        <v>Not Found</v>
      </c>
      <c r="L865" s="235" t="str">
        <f>IFERROR(VLOOKUP($A865,'AAPT ExDa'!$B$2:$U$99, 11,FALSE), IFERROR(VLOOKUP($A865,'ABB ExDa'!$A$2:$N$184, 9,FALSE), IFERROR(VLOOKUP($A865,'Vocus SIT ExDa'!$B$2:$J$173, 8,FALSE), IFERROR(VLOOKUP($A865,'Telstra ExDa'!$B$2:$K$310, 0,FALSE), IFERROR(VLOOKUP($A865,'Vocus RVC ExDa'!$C$2:$R$155, 0,FALSE), IFERROR(VLOOKUP($A865,'Fusion ExDa'!$B$2:$D$16, 0,FALSE), IFERROR(VLOOKUP($A865,'Exetel ExDa'!$C$2:$N$14, 9,FALSE), IFERROR(VLOOKUP($A865,'Infinet ExDa'!$B$2:$E$14, 0,FALSE), "Not Found"))))))))</f>
        <v>05 May 2025</v>
      </c>
      <c r="M865" s="234" t="str">
        <f>IFERROR(VLOOKUP($A865,'AAPT ExDa'!$B$2:$U$99, 0,FALSE), IFERROR(VLOOKUP($A865,'ABB ExDa'!$A$2:$N$184, 0,FALSE), IFERROR(VLOOKUP($A865,'Vocus SIT ExDa'!$B$2:$J$173, 0,FALSE), IFERROR(VLOOKUP($A865,'Telstra ExDa'!$B$2:$K$310, 0,FALSE), IFERROR(VLOOKUP($A865,'Vocus RVC ExDa'!$C$2:$R$155, 0,FALSE), IFERROR(VLOOKUP($A865,'Fusion ExDa'!$B$2:$D$16, 0,FALSE), IFERROR(VLOOKUP($A865,'Exetel ExDa'!$C$2:$N$14, 11,FALSE), IFERROR(VLOOKUP($A865,'Infinet ExDa'!$B$2:$E$14, 0,FALSE), "Not Found"))))))))</f>
        <v>Not Found</v>
      </c>
      <c r="N865" t="str">
        <f>IFERROR(VLOOKUP($A865,'AAPT ExDa'!$B$2:$U$99, 0,FALSE), IFERROR(VLOOKUP($A865,'ABB ExDa'!$A$2:$N$184, 13,FALSE), IFERROR(VLOOKUP($A865,'Vocus SIT ExDa'!$B$2:$J$173, 0,FALSE), IFERROR(VLOOKUP($A865,'Telstra ExDa'!$B$2:$K$310, 0,FALSE), IFERROR(VLOOKUP($A865,'Vocus RVC ExDa'!$C$2:$R$155, 0,FALSE), IFERROR(VLOOKUP($A865,'Fusion ExDa'!$B$2:$D$16, 0,FALSE), IFERROR(VLOOKUP($A865,'Exetel ExDa'!$C$2:$N$14, 0,FALSE), IFERROR(VLOOKUP($A865,'Infinet ExDa'!$B$2:$E$14, 0,FALSE), "Not Found"))))))))</f>
        <v>Onebill</v>
      </c>
    </row>
    <row r="866" spans="1:14">
      <c r="A866" t="str">
        <v xml:space="preserve">	Zambrero Albury</v>
      </c>
      <c r="B866" t="str">
        <f>IFERROR(VLOOKUP(A866,'Exetel ExDa'!$C$2:$N$14,4,FALSE),"No Data")</f>
        <v>No Data</v>
      </c>
      <c r="C866" t="str">
        <f>IFERROR(VLOOKUP(A866,'AAPT ExDa'!$B$2:$U$99, 2,FALSE), IFERROR(VLOOKUP(A866,'ABB ExDa'!$A$2:$N$184, 2,FALSE), IFERROR(VLOOKUP(A866,'Vocus SIT ExDa'!$B$2:$J$173, 7,FALSE), IFERROR(VLOOKUP(A866,'Telstra ExDa'!$B$2:$K$310, 2,FALSE), IFERROR(VLOOKUP(A866,'Vocus RVC ExDa'!$C$2:$R$155, 3,FALSE), IFERROR(VLOOKUP(A866,'Fusion ExDa'!$B$2:$D$16, 2,FALSE), IFERROR(VLOOKUP(A866,'Exetel ExDa'!$C$2:$N$14, 2,FALSE), IFERROR(VLOOKUP(A866,'Infinet ExDa'!$B$2:$E$14, 2,FALSE), "Not Found"))))))))</f>
        <v>461 Dean St ST</v>
      </c>
      <c r="D866">
        <f>IFERROR(VLOOKUP($A866,'AAPT ExDa'!$B$2:$U$99, 15,FALSE), IFERROR(VLOOKUP($A866,'ABB ExDa'!$A$2:$N$184, 4,FALSE), IFERROR(VLOOKUP($A866,'Vocus SIT ExDa'!$B$2:$J$173, 5,FALSE), IFERROR(VLOOKUP($A866,'Telstra ExDa'!$B$2:$K$310, 8,FALSE), IFERROR(VLOOKUP($A866,'Vocus RVC ExDa'!$C$2:$R$155, 6,FALSE), IFERROR(VLOOKUP($A866,'Fusion ExDa'!$B$2:$D$16, 4,FALSE), IFERROR(VLOOKUP($A866,'Exetel ExDa'!$C$2:$N$14, 3,FALSE), IFERROR(VLOOKUP($A866,'Infinet ExDa'!$B$2:$E$14, 3,FALSE), "Not Found"))))))))</f>
        <v>2640</v>
      </c>
      <c r="E866" t="str">
        <f>IFERROR(VLOOKUP($A866,'AAPT ExDa'!$B$2:$U$99, 3,FALSE), IFERROR(VLOOKUP($A866,'ABB ExDa'!$A$2:$N$184, 5,FALSE), IFERROR(VLOOKUP($A866,'Vocus SIT ExDa'!$B$2:$J$173, 2,FALSE), IFERROR(VLOOKUP($A866,'Telstra ExDa'!$B$2:$K$310, 4,FALSE), IFERROR(VLOOKUP($A866,'Vocus RVC ExDa'!$C$2:$R$155, 8,FALSE), IFERROR(VLOOKUP($A866,'Fusion ExDa'!$B$2:$D$16, 4,FALSE), IFERROR(VLOOKUP($A866,'Exetel ExDa'!$C$2:$N$14, 5,FALSE), IFERROR(VLOOKUP($A866,'Infinet ExDa'!$B$2:$E$14, 3,FALSE), "Not Found"))))))))</f>
        <v>Mobile Service</v>
      </c>
      <c r="F866">
        <f>IFERROR(VLOOKUP($A866,'AAPT ExDa'!$B$2:$U$99, 4,FALSE), IFERROR(VLOOKUP($A866,'ABB ExDa'!$A$2:$N$184, 6,FALSE), IFERROR(VLOOKUP($A866,'Vocus SIT ExDa'!$B$2:$J$173, 3,FALSE), IFERROR(VLOOKUP($A866,'Telstra ExDa'!$B$2:$K$310, 5,FALSE), IFERROR(VLOOKUP($A866,'Vocus RVC ExDa'!$C$2:$R$155, 9,FALSE), IFERROR(VLOOKUP($A866,'Fusion ExDa'!$B$2:$D$16, 0,FALSE), IFERROR(VLOOKUP($A866,'Exetel ExDa'!$C$2:$N$14, 6,FALSE), IFERROR(VLOOKUP($A866,'Infinet ExDa'!$B$2:$E$14, 0,FALSE), "Not Found"))))))))</f>
        <v>45771</v>
      </c>
      <c r="G866">
        <f>IFERROR(VLOOKUP($A866,'AAPT ExDa'!$B$2:$U$99, 5,FALSE), IFERROR(VLOOKUP($A866,'ABB ExDa'!$A$2:$N$184, 8,FALSE), IFERROR(VLOOKUP($A866,'Vocus SIT ExDa'!$B$2:$J$173, 6,FALSE), IFERROR(VLOOKUP($A866,'Telstra ExDa'!$B$2:$K$310, 0,FALSE), IFERROR(VLOOKUP($A866,'Vocus RVC ExDa'!$C$2:$R$155, 15,FALSE), IFERROR(VLOOKUP($A866,'Fusion ExDa'!$B$2:$D$16, 0,FALSE), IFERROR(VLOOKUP($A866,'Exetel ExDa'!$C$2:$N$14, 7,FALSE), IFERROR(VLOOKUP($A866,'Infinet ExDa'!$B$2:$E$14, 0,FALSE), "Not Found"))))))))</f>
        <v>0</v>
      </c>
      <c r="H866">
        <f>IFERROR(VLOOKUP($A866,'AAPT ExDa'!$B$2:$U$99, 6,FALSE), IFERROR(VLOOKUP($A866,'ABB ExDa'!$A$2:$N$184, 0,FALSE), IFERROR(VLOOKUP($A866,'Vocus SIT ExDa'!$B$2:$J$173, 0,FALSE), IFERROR(VLOOKUP($A866,'Telstra ExDa'!$B$2:$K$310, 0,FALSE), IFERROR(VLOOKUP($A866,'Vocus RVC ExDa'!$C$2:$R$155, 16,FALSE), IFERROR(VLOOKUP($A866,'Fusion ExDa'!$B$2:$D$16, 0,FALSE), IFERROR(VLOOKUP($A866,'Exetel ExDa'!$C$2:$N$14, 0,FALSE), IFERROR(VLOOKUP($A866,'Infinet ExDa'!$B$2:$E$14, 0,FALSE), "Not Found"))))))))</f>
        <v>0</v>
      </c>
      <c r="I866" t="str">
        <f>IFERROR(VLOOKUP($A866,'AAPT ExDa'!$B$2:$U$99, 0,FALSE), IFERROR(VLOOKUP($A866,'ABB ExDa'!$A$2:$N$184, 0,FALSE), IFERROR(VLOOKUP($A866,'Vocus SIT ExDa'!$B$2:$J$173, 0,FALSE), IFERROR(VLOOKUP($A866,'Telstra ExDa'!$B$2:$K$310, 0,FALSE), IFERROR(VLOOKUP($A866,'Vocus RVC ExDa'!$C$2:$R$155, 0,FALSE), IFERROR(VLOOKUP($A866,'Fusion ExDa'!$B$2:$D$16, 0,FALSE), IFERROR(VLOOKUP($A866,'Exetel ExDa'!$C$2:$N$14, 8,FALSE), IFERROR(VLOOKUP($A866,'Infinet ExDa'!$B$2:$E$14, 0,FALSE), "Not Found"))))))))</f>
        <v>Not Found</v>
      </c>
      <c r="J866">
        <f>IFERROR(VLOOKUP($A866,'AAPT ExDa'!$B$2:$U$99, 7,FALSE), IFERROR(VLOOKUP($A866,'ABB ExDa'!$A$2:$N$184, 2,FALSE), IFERROR(VLOOKUP($A866,'Vocus SIT ExDa'!$B$2:$J$173, 0,FALSE), IFERROR(VLOOKUP($A866,'Telstra ExDa'!$B$2:$K$310, 7,FALSE), IFERROR(VLOOKUP($A866,'Vocus RVC ExDa'!$C$2:$R$155, 2,FALSE), IFERROR(VLOOKUP($A866,'Fusion ExDa'!$B$2:$D$16, 3,FALSE), IFERROR(VLOOKUP($A866,'Exetel ExDa'!$C$2:$N$14, 0,FALSE), IFERROR(VLOOKUP($A866,'Infinet ExDa'!$B$2:$E$14, 0,FALSE), "Not Found"))))))))</f>
        <v>0</v>
      </c>
      <c r="K866" t="str">
        <f>IFERROR(VLOOKUP($A866,'AAPT ExDa'!$B$2:$U$99, 12,FALSE), IFERROR(VLOOKUP($A866,'ABB ExDa'!$A$2:$N$184, 0,FALSE), IFERROR(VLOOKUP($A866,'Vocus SIT ExDa'!$B$2:$J$173, 0,FALSE), IFERROR(VLOOKUP($A866,'Telstra ExDa'!$B$2:$K$310, 0,FALSE), IFERROR(VLOOKUP($A866,'Vocus RVC ExDa'!$C$2:$R$155, 0,FALSE), IFERROR(VLOOKUP($A866,'Fusion ExDa'!$B$2:$D$16, 0,FALSE), IFERROR(VLOOKUP($A866,'Exetel ExDa'!$C$2:$N$14, 12,FALSE), IFERROR(VLOOKUP($A866,'Infinet ExDa'!$B$2:$E$14, 0,FALSE), "Not Found"))))))))</f>
        <v>Not Found</v>
      </c>
      <c r="L866" s="235" t="str">
        <f>IFERROR(VLOOKUP($A866,'AAPT ExDa'!$B$2:$U$99, 11,FALSE), IFERROR(VLOOKUP($A866,'ABB ExDa'!$A$2:$N$184, 9,FALSE), IFERROR(VLOOKUP($A866,'Vocus SIT ExDa'!$B$2:$J$173, 8,FALSE), IFERROR(VLOOKUP($A866,'Telstra ExDa'!$B$2:$K$310, 0,FALSE), IFERROR(VLOOKUP($A866,'Vocus RVC ExDa'!$C$2:$R$155, 0,FALSE), IFERROR(VLOOKUP($A866,'Fusion ExDa'!$B$2:$D$16, 0,FALSE), IFERROR(VLOOKUP($A866,'Exetel ExDa'!$C$2:$N$14, 9,FALSE), IFERROR(VLOOKUP($A866,'Infinet ExDa'!$B$2:$E$14, 0,FALSE), "Not Found"))))))))</f>
        <v>Not Found</v>
      </c>
      <c r="M866" s="234" t="str">
        <f>IFERROR(VLOOKUP($A866,'AAPT ExDa'!$B$2:$U$99, 0,FALSE), IFERROR(VLOOKUP($A866,'ABB ExDa'!$A$2:$N$184, 0,FALSE), IFERROR(VLOOKUP($A866,'Vocus SIT ExDa'!$B$2:$J$173, 0,FALSE), IFERROR(VLOOKUP($A866,'Telstra ExDa'!$B$2:$K$310, 0,FALSE), IFERROR(VLOOKUP($A866,'Vocus RVC ExDa'!$C$2:$R$155, 0,FALSE), IFERROR(VLOOKUP($A866,'Fusion ExDa'!$B$2:$D$16, 0,FALSE), IFERROR(VLOOKUP($A866,'Exetel ExDa'!$C$2:$N$14, 11,FALSE), IFERROR(VLOOKUP($A866,'Infinet ExDa'!$B$2:$E$14, 0,FALSE), "Not Found"))))))))</f>
        <v>Not Found</v>
      </c>
      <c r="N866" t="str">
        <f>IFERROR(VLOOKUP($A866,'AAPT ExDa'!$B$2:$U$99, 0,FALSE), IFERROR(VLOOKUP($A866,'ABB ExDa'!$A$2:$N$184, 13,FALSE), IFERROR(VLOOKUP($A866,'Vocus SIT ExDa'!$B$2:$J$173, 0,FALSE), IFERROR(VLOOKUP($A866,'Telstra ExDa'!$B$2:$K$310, 0,FALSE), IFERROR(VLOOKUP($A866,'Vocus RVC ExDa'!$C$2:$R$155, 0,FALSE), IFERROR(VLOOKUP($A866,'Fusion ExDa'!$B$2:$D$16, 0,FALSE), IFERROR(VLOOKUP($A866,'Exetel ExDa'!$C$2:$N$14, 0,FALSE), IFERROR(VLOOKUP($A866,'Infinet ExDa'!$B$2:$E$14, 0,FALSE), "Not Found"))))))))</f>
        <v>Not Found</v>
      </c>
    </row>
    <row r="867" spans="1:14">
      <c r="A867" t="str">
        <v>Zambrero Ocean Grove</v>
      </c>
      <c r="B867" t="str">
        <f>IFERROR(VLOOKUP(A867,'Exetel ExDa'!$C$2:$N$14,4,FALSE),"No Data")</f>
        <v>No Data</v>
      </c>
      <c r="C867" t="str">
        <f>IFERROR(VLOOKUP(A867,'AAPT ExDa'!$B$2:$U$99, 2,FALSE), IFERROR(VLOOKUP(A867,'ABB ExDa'!$A$2:$N$184, 2,FALSE), IFERROR(VLOOKUP(A867,'Vocus SIT ExDa'!$B$2:$J$173, 7,FALSE), IFERROR(VLOOKUP(A867,'Telstra ExDa'!$B$2:$K$310, 2,FALSE), IFERROR(VLOOKUP(A867,'Vocus RVC ExDa'!$C$2:$R$155, 3,FALSE), IFERROR(VLOOKUP(A867,'Fusion ExDa'!$B$2:$D$16, 2,FALSE), IFERROR(VLOOKUP(A867,'Exetel ExDa'!$C$2:$N$14, 2,FALSE), IFERROR(VLOOKUP(A867,'Infinet ExDa'!$B$2:$E$14, 2,FALSE), "Not Found"))))))))</f>
        <v>UN 24, 12 COASTAL BVD, OCEAN GROVE VIC</v>
      </c>
      <c r="D867" t="str">
        <f>IFERROR(VLOOKUP($A867,'AAPT ExDa'!$B$2:$U$99, 15,FALSE), IFERROR(VLOOKUP($A867,'ABB ExDa'!$A$2:$N$184, 4,FALSE), IFERROR(VLOOKUP($A867,'Vocus SIT ExDa'!$B$2:$J$173, 5,FALSE), IFERROR(VLOOKUP($A867,'Telstra ExDa'!$B$2:$K$310, 8,FALSE), IFERROR(VLOOKUP($A867,'Vocus RVC ExDa'!$C$2:$R$155, 6,FALSE), IFERROR(VLOOKUP($A867,'Fusion ExDa'!$B$2:$D$16, 4,FALSE), IFERROR(VLOOKUP($A867,'Exetel ExDa'!$C$2:$N$14, 3,FALSE), IFERROR(VLOOKUP($A867,'Infinet ExDa'!$B$2:$E$14, 3,FALSE), "Not Found"))))))))</f>
        <v>ABB</v>
      </c>
      <c r="E867" t="str">
        <f>IFERROR(VLOOKUP($A867,'AAPT ExDa'!$B$2:$U$99, 3,FALSE), IFERROR(VLOOKUP($A867,'ABB ExDa'!$A$2:$N$184, 5,FALSE), IFERROR(VLOOKUP($A867,'Vocus SIT ExDa'!$B$2:$J$173, 2,FALSE), IFERROR(VLOOKUP($A867,'Telstra ExDa'!$B$2:$K$310, 4,FALSE), IFERROR(VLOOKUP($A867,'Vocus RVC ExDa'!$C$2:$R$155, 8,FALSE), IFERROR(VLOOKUP($A867,'Fusion ExDa'!$B$2:$D$16, 4,FALSE), IFERROR(VLOOKUP($A867,'Exetel ExDa'!$C$2:$N$14, 5,FALSE), IFERROR(VLOOKUP($A867,'Infinet ExDa'!$B$2:$E$14, 3,FALSE), "Not Found"))))))))</f>
        <v>NBN25/10</v>
      </c>
      <c r="F867" t="str">
        <f>IFERROR(VLOOKUP($A867,'AAPT ExDa'!$B$2:$U$99, 4,FALSE), IFERROR(VLOOKUP($A867,'ABB ExDa'!$A$2:$N$184, 6,FALSE), IFERROR(VLOOKUP($A867,'Vocus SIT ExDa'!$B$2:$J$173, 3,FALSE), IFERROR(VLOOKUP($A867,'Telstra ExDa'!$B$2:$K$310, 5,FALSE), IFERROR(VLOOKUP($A867,'Vocus RVC ExDa'!$C$2:$R$155, 9,FALSE), IFERROR(VLOOKUP($A867,'Fusion ExDa'!$B$2:$D$16, 0,FALSE), IFERROR(VLOOKUP($A867,'Exetel ExDa'!$C$2:$N$14, 6,FALSE), IFERROR(VLOOKUP($A867,'Infinet ExDa'!$B$2:$E$14, 0,FALSE), "Not Found"))))))))</f>
        <v xml:space="preserve">Fibre </v>
      </c>
      <c r="G867" t="str">
        <f>IFERROR(VLOOKUP($A867,'AAPT ExDa'!$B$2:$U$99, 5,FALSE), IFERROR(VLOOKUP($A867,'ABB ExDa'!$A$2:$N$184, 8,FALSE), IFERROR(VLOOKUP($A867,'Vocus SIT ExDa'!$B$2:$J$173, 6,FALSE), IFERROR(VLOOKUP($A867,'Telstra ExDa'!$B$2:$K$310, 0,FALSE), IFERROR(VLOOKUP($A867,'Vocus RVC ExDa'!$C$2:$R$155, 15,FALSE), IFERROR(VLOOKUP($A867,'Fusion ExDa'!$B$2:$D$16, 0,FALSE), IFERROR(VLOOKUP($A867,'Exetel ExDa'!$C$2:$N$14, 7,FALSE), IFERROR(VLOOKUP($A867,'Infinet ExDa'!$B$2:$E$14, 0,FALSE), "Not Found"))))))))</f>
        <v>144.6.184.36</v>
      </c>
      <c r="H867">
        <f>IFERROR(VLOOKUP($A867,'AAPT ExDa'!$B$2:$U$99, 6,FALSE), IFERROR(VLOOKUP($A867,'ABB ExDa'!$A$2:$N$184, 0,FALSE), IFERROR(VLOOKUP($A867,'Vocus SIT ExDa'!$B$2:$J$173, 0,FALSE), IFERROR(VLOOKUP($A867,'Telstra ExDa'!$B$2:$K$310, 0,FALSE), IFERROR(VLOOKUP($A867,'Vocus RVC ExDa'!$C$2:$R$155, 16,FALSE), IFERROR(VLOOKUP($A867,'Fusion ExDa'!$B$2:$D$16, 0,FALSE), IFERROR(VLOOKUP($A867,'Exetel ExDa'!$C$2:$N$14, 0,FALSE), IFERROR(VLOOKUP($A867,'Infinet ExDa'!$B$2:$E$14, 0,FALSE), "Not Found"))))))))</f>
        <v>0</v>
      </c>
      <c r="I867" t="str">
        <f>IFERROR(VLOOKUP($A867,'AAPT ExDa'!$B$2:$U$99, 0,FALSE), IFERROR(VLOOKUP($A867,'ABB ExDa'!$A$2:$N$184, 0,FALSE), IFERROR(VLOOKUP($A867,'Vocus SIT ExDa'!$B$2:$J$173, 0,FALSE), IFERROR(VLOOKUP($A867,'Telstra ExDa'!$B$2:$K$310, 0,FALSE), IFERROR(VLOOKUP($A867,'Vocus RVC ExDa'!$C$2:$R$155, 0,FALSE), IFERROR(VLOOKUP($A867,'Fusion ExDa'!$B$2:$D$16, 0,FALSE), IFERROR(VLOOKUP($A867,'Exetel ExDa'!$C$2:$N$14, 8,FALSE), IFERROR(VLOOKUP($A867,'Infinet ExDa'!$B$2:$E$14, 0,FALSE), "Not Found"))))))))</f>
        <v>Not Found</v>
      </c>
      <c r="J867" t="str">
        <f>IFERROR(VLOOKUP($A867,'AAPT ExDa'!$B$2:$U$99, 7,FALSE), IFERROR(VLOOKUP($A867,'ABB ExDa'!$A$2:$N$184, 2,FALSE), IFERROR(VLOOKUP($A867,'Vocus SIT ExDa'!$B$2:$J$173, 0,FALSE), IFERROR(VLOOKUP($A867,'Telstra ExDa'!$B$2:$K$310, 7,FALSE), IFERROR(VLOOKUP($A867,'Vocus RVC ExDa'!$C$2:$R$155, 2,FALSE), IFERROR(VLOOKUP($A867,'Fusion ExDa'!$B$2:$D$16, 3,FALSE), IFERROR(VLOOKUP($A867,'Exetel ExDa'!$C$2:$N$14, 0,FALSE), IFERROR(VLOOKUP($A867,'Infinet ExDa'!$B$2:$E$14, 0,FALSE), "Not Found"))))))))</f>
        <v>UN 24, 12 COASTAL BVD, OCEAN GROVE VIC</v>
      </c>
      <c r="K867" t="str">
        <f>IFERROR(VLOOKUP($A867,'AAPT ExDa'!$B$2:$U$99, 12,FALSE), IFERROR(VLOOKUP($A867,'ABB ExDa'!$A$2:$N$184, 0,FALSE), IFERROR(VLOOKUP($A867,'Vocus SIT ExDa'!$B$2:$J$173, 0,FALSE), IFERROR(VLOOKUP($A867,'Telstra ExDa'!$B$2:$K$310, 0,FALSE), IFERROR(VLOOKUP($A867,'Vocus RVC ExDa'!$C$2:$R$155, 0,FALSE), IFERROR(VLOOKUP($A867,'Fusion ExDa'!$B$2:$D$16, 0,FALSE), IFERROR(VLOOKUP($A867,'Exetel ExDa'!$C$2:$N$14, 12,FALSE), IFERROR(VLOOKUP($A867,'Infinet ExDa'!$B$2:$E$14, 0,FALSE), "Not Found"))))))))</f>
        <v>Not Found</v>
      </c>
      <c r="L867" s="235" t="str">
        <f>IFERROR(VLOOKUP($A867,'AAPT ExDa'!$B$2:$U$99, 11,FALSE), IFERROR(VLOOKUP($A867,'ABB ExDa'!$A$2:$N$184, 9,FALSE), IFERROR(VLOOKUP($A867,'Vocus SIT ExDa'!$B$2:$J$173, 8,FALSE), IFERROR(VLOOKUP($A867,'Telstra ExDa'!$B$2:$K$310, 0,FALSE), IFERROR(VLOOKUP($A867,'Vocus RVC ExDa'!$C$2:$R$155, 0,FALSE), IFERROR(VLOOKUP($A867,'Fusion ExDa'!$B$2:$D$16, 0,FALSE), IFERROR(VLOOKUP($A867,'Exetel ExDa'!$C$2:$N$14, 9,FALSE), IFERROR(VLOOKUP($A867,'Infinet ExDa'!$B$2:$E$14, 0,FALSE), "Not Found"))))))))</f>
        <v>18 Nov 2024</v>
      </c>
      <c r="M867" s="234" t="str">
        <f>IFERROR(VLOOKUP($A867,'AAPT ExDa'!$B$2:$U$99, 0,FALSE), IFERROR(VLOOKUP($A867,'ABB ExDa'!$A$2:$N$184, 0,FALSE), IFERROR(VLOOKUP($A867,'Vocus SIT ExDa'!$B$2:$J$173, 0,FALSE), IFERROR(VLOOKUP($A867,'Telstra ExDa'!$B$2:$K$310, 0,FALSE), IFERROR(VLOOKUP($A867,'Vocus RVC ExDa'!$C$2:$R$155, 0,FALSE), IFERROR(VLOOKUP($A867,'Fusion ExDa'!$B$2:$D$16, 0,FALSE), IFERROR(VLOOKUP($A867,'Exetel ExDa'!$C$2:$N$14, 11,FALSE), IFERROR(VLOOKUP($A867,'Infinet ExDa'!$B$2:$E$14, 0,FALSE), "Not Found"))))))))</f>
        <v>Not Found</v>
      </c>
      <c r="N867" t="str">
        <f>IFERROR(VLOOKUP($A867,'AAPT ExDa'!$B$2:$U$99, 0,FALSE), IFERROR(VLOOKUP($A867,'ABB ExDa'!$A$2:$N$184, 13,FALSE), IFERROR(VLOOKUP($A867,'Vocus SIT ExDa'!$B$2:$J$173, 0,FALSE), IFERROR(VLOOKUP($A867,'Telstra ExDa'!$B$2:$K$310, 0,FALSE), IFERROR(VLOOKUP($A867,'Vocus RVC ExDa'!$C$2:$R$155, 0,FALSE), IFERROR(VLOOKUP($A867,'Fusion ExDa'!$B$2:$D$16, 0,FALSE), IFERROR(VLOOKUP($A867,'Exetel ExDa'!$C$2:$N$14, 0,FALSE), IFERROR(VLOOKUP($A867,'Infinet ExDa'!$B$2:$E$14, 0,FALSE), "Not Found"))))))))</f>
        <v>Onebill</v>
      </c>
    </row>
    <row r="868" spans="1:14">
      <c r="A868" t="str">
        <v xml:space="preserve">	Zambrero ST Albans</v>
      </c>
      <c r="B868" t="str">
        <f>IFERROR(VLOOKUP(A868,'Exetel ExDa'!$C$2:$N$14,4,FALSE),"No Data")</f>
        <v>No Data</v>
      </c>
      <c r="C868" t="str">
        <f>IFERROR(VLOOKUP(A868,'AAPT ExDa'!$B$2:$U$99, 2,FALSE), IFERROR(VLOOKUP(A868,'ABB ExDa'!$A$2:$N$184, 2,FALSE), IFERROR(VLOOKUP(A868,'Vocus SIT ExDa'!$B$2:$J$173, 7,FALSE), IFERROR(VLOOKUP(A868,'Telstra ExDa'!$B$2:$K$310, 2,FALSE), IFERROR(VLOOKUP(A868,'Vocus RVC ExDa'!$C$2:$R$155, 3,FALSE), IFERROR(VLOOKUP(A868,'Fusion ExDa'!$B$2:$D$16, 2,FALSE), IFERROR(VLOOKUP(A868,'Exetel ExDa'!$C$2:$N$14, 2,FALSE), IFERROR(VLOOKUP(A868,'Infinet ExDa'!$B$2:$E$14, 2,FALSE), "Not Found"))))))))</f>
        <v>53 Sunshine Avenue AV</v>
      </c>
      <c r="D868">
        <f>IFERROR(VLOOKUP($A868,'AAPT ExDa'!$B$2:$U$99, 15,FALSE), IFERROR(VLOOKUP($A868,'ABB ExDa'!$A$2:$N$184, 4,FALSE), IFERROR(VLOOKUP($A868,'Vocus SIT ExDa'!$B$2:$J$173, 5,FALSE), IFERROR(VLOOKUP($A868,'Telstra ExDa'!$B$2:$K$310, 8,FALSE), IFERROR(VLOOKUP($A868,'Vocus RVC ExDa'!$C$2:$R$155, 6,FALSE), IFERROR(VLOOKUP($A868,'Fusion ExDa'!$B$2:$D$16, 4,FALSE), IFERROR(VLOOKUP($A868,'Exetel ExDa'!$C$2:$N$14, 3,FALSE), IFERROR(VLOOKUP($A868,'Infinet ExDa'!$B$2:$E$14, 3,FALSE), "Not Found"))))))))</f>
        <v>3021</v>
      </c>
      <c r="E868" t="str">
        <f>IFERROR(VLOOKUP($A868,'AAPT ExDa'!$B$2:$U$99, 3,FALSE), IFERROR(VLOOKUP($A868,'ABB ExDa'!$A$2:$N$184, 5,FALSE), IFERROR(VLOOKUP($A868,'Vocus SIT ExDa'!$B$2:$J$173, 2,FALSE), IFERROR(VLOOKUP($A868,'Telstra ExDa'!$B$2:$K$310, 4,FALSE), IFERROR(VLOOKUP($A868,'Vocus RVC ExDa'!$C$2:$R$155, 8,FALSE), IFERROR(VLOOKUP($A868,'Fusion ExDa'!$B$2:$D$16, 4,FALSE), IFERROR(VLOOKUP($A868,'Exetel ExDa'!$C$2:$N$14, 5,FALSE), IFERROR(VLOOKUP($A868,'Infinet ExDa'!$B$2:$E$14, 3,FALSE), "Not Found"))))))))</f>
        <v>Mobile Service</v>
      </c>
      <c r="F868">
        <f>IFERROR(VLOOKUP($A868,'AAPT ExDa'!$B$2:$U$99, 4,FALSE), IFERROR(VLOOKUP($A868,'ABB ExDa'!$A$2:$N$184, 6,FALSE), IFERROR(VLOOKUP($A868,'Vocus SIT ExDa'!$B$2:$J$173, 3,FALSE), IFERROR(VLOOKUP($A868,'Telstra ExDa'!$B$2:$K$310, 5,FALSE), IFERROR(VLOOKUP($A868,'Vocus RVC ExDa'!$C$2:$R$155, 9,FALSE), IFERROR(VLOOKUP($A868,'Fusion ExDa'!$B$2:$D$16, 0,FALSE), IFERROR(VLOOKUP($A868,'Exetel ExDa'!$C$2:$N$14, 6,FALSE), IFERROR(VLOOKUP($A868,'Infinet ExDa'!$B$2:$E$14, 0,FALSE), "Not Found"))))))))</f>
        <v>45777</v>
      </c>
      <c r="G868">
        <f>IFERROR(VLOOKUP($A868,'AAPT ExDa'!$B$2:$U$99, 5,FALSE), IFERROR(VLOOKUP($A868,'ABB ExDa'!$A$2:$N$184, 8,FALSE), IFERROR(VLOOKUP($A868,'Vocus SIT ExDa'!$B$2:$J$173, 6,FALSE), IFERROR(VLOOKUP($A868,'Telstra ExDa'!$B$2:$K$310, 0,FALSE), IFERROR(VLOOKUP($A868,'Vocus RVC ExDa'!$C$2:$R$155, 15,FALSE), IFERROR(VLOOKUP($A868,'Fusion ExDa'!$B$2:$D$16, 0,FALSE), IFERROR(VLOOKUP($A868,'Exetel ExDa'!$C$2:$N$14, 7,FALSE), IFERROR(VLOOKUP($A868,'Infinet ExDa'!$B$2:$E$14, 0,FALSE), "Not Found"))))))))</f>
        <v>0</v>
      </c>
      <c r="H868">
        <f>IFERROR(VLOOKUP($A868,'AAPT ExDa'!$B$2:$U$99, 6,FALSE), IFERROR(VLOOKUP($A868,'ABB ExDa'!$A$2:$N$184, 0,FALSE), IFERROR(VLOOKUP($A868,'Vocus SIT ExDa'!$B$2:$J$173, 0,FALSE), IFERROR(VLOOKUP($A868,'Telstra ExDa'!$B$2:$K$310, 0,FALSE), IFERROR(VLOOKUP($A868,'Vocus RVC ExDa'!$C$2:$R$155, 16,FALSE), IFERROR(VLOOKUP($A868,'Fusion ExDa'!$B$2:$D$16, 0,FALSE), IFERROR(VLOOKUP($A868,'Exetel ExDa'!$C$2:$N$14, 0,FALSE), IFERROR(VLOOKUP($A868,'Infinet ExDa'!$B$2:$E$14, 0,FALSE), "Not Found"))))))))</f>
        <v>0</v>
      </c>
      <c r="I868" t="str">
        <f>IFERROR(VLOOKUP($A868,'AAPT ExDa'!$B$2:$U$99, 0,FALSE), IFERROR(VLOOKUP($A868,'ABB ExDa'!$A$2:$N$184, 0,FALSE), IFERROR(VLOOKUP($A868,'Vocus SIT ExDa'!$B$2:$J$173, 0,FALSE), IFERROR(VLOOKUP($A868,'Telstra ExDa'!$B$2:$K$310, 0,FALSE), IFERROR(VLOOKUP($A868,'Vocus RVC ExDa'!$C$2:$R$155, 0,FALSE), IFERROR(VLOOKUP($A868,'Fusion ExDa'!$B$2:$D$16, 0,FALSE), IFERROR(VLOOKUP($A868,'Exetel ExDa'!$C$2:$N$14, 8,FALSE), IFERROR(VLOOKUP($A868,'Infinet ExDa'!$B$2:$E$14, 0,FALSE), "Not Found"))))))))</f>
        <v>Not Found</v>
      </c>
      <c r="J868">
        <f>IFERROR(VLOOKUP($A868,'AAPT ExDa'!$B$2:$U$99, 7,FALSE), IFERROR(VLOOKUP($A868,'ABB ExDa'!$A$2:$N$184, 2,FALSE), IFERROR(VLOOKUP($A868,'Vocus SIT ExDa'!$B$2:$J$173, 0,FALSE), IFERROR(VLOOKUP($A868,'Telstra ExDa'!$B$2:$K$310, 7,FALSE), IFERROR(VLOOKUP($A868,'Vocus RVC ExDa'!$C$2:$R$155, 2,FALSE), IFERROR(VLOOKUP($A868,'Fusion ExDa'!$B$2:$D$16, 3,FALSE), IFERROR(VLOOKUP($A868,'Exetel ExDa'!$C$2:$N$14, 0,FALSE), IFERROR(VLOOKUP($A868,'Infinet ExDa'!$B$2:$E$14, 0,FALSE), "Not Found"))))))))</f>
        <v>0</v>
      </c>
      <c r="K868" t="str">
        <f>IFERROR(VLOOKUP($A868,'AAPT ExDa'!$B$2:$U$99, 12,FALSE), IFERROR(VLOOKUP($A868,'ABB ExDa'!$A$2:$N$184, 0,FALSE), IFERROR(VLOOKUP($A868,'Vocus SIT ExDa'!$B$2:$J$173, 0,FALSE), IFERROR(VLOOKUP($A868,'Telstra ExDa'!$B$2:$K$310, 0,FALSE), IFERROR(VLOOKUP($A868,'Vocus RVC ExDa'!$C$2:$R$155, 0,FALSE), IFERROR(VLOOKUP($A868,'Fusion ExDa'!$B$2:$D$16, 0,FALSE), IFERROR(VLOOKUP($A868,'Exetel ExDa'!$C$2:$N$14, 12,FALSE), IFERROR(VLOOKUP($A868,'Infinet ExDa'!$B$2:$E$14, 0,FALSE), "Not Found"))))))))</f>
        <v>Not Found</v>
      </c>
      <c r="L868" s="235" t="str">
        <f>IFERROR(VLOOKUP($A868,'AAPT ExDa'!$B$2:$U$99, 11,FALSE), IFERROR(VLOOKUP($A868,'ABB ExDa'!$A$2:$N$184, 9,FALSE), IFERROR(VLOOKUP($A868,'Vocus SIT ExDa'!$B$2:$J$173, 8,FALSE), IFERROR(VLOOKUP($A868,'Telstra ExDa'!$B$2:$K$310, 0,FALSE), IFERROR(VLOOKUP($A868,'Vocus RVC ExDa'!$C$2:$R$155, 0,FALSE), IFERROR(VLOOKUP($A868,'Fusion ExDa'!$B$2:$D$16, 0,FALSE), IFERROR(VLOOKUP($A868,'Exetel ExDa'!$C$2:$N$14, 9,FALSE), IFERROR(VLOOKUP($A868,'Infinet ExDa'!$B$2:$E$14, 0,FALSE), "Not Found"))))))))</f>
        <v>Not Found</v>
      </c>
      <c r="M868" s="234" t="str">
        <f>IFERROR(VLOOKUP($A868,'AAPT ExDa'!$B$2:$U$99, 0,FALSE), IFERROR(VLOOKUP($A868,'ABB ExDa'!$A$2:$N$184, 0,FALSE), IFERROR(VLOOKUP($A868,'Vocus SIT ExDa'!$B$2:$J$173, 0,FALSE), IFERROR(VLOOKUP($A868,'Telstra ExDa'!$B$2:$K$310, 0,FALSE), IFERROR(VLOOKUP($A868,'Vocus RVC ExDa'!$C$2:$R$155, 0,FALSE), IFERROR(VLOOKUP($A868,'Fusion ExDa'!$B$2:$D$16, 0,FALSE), IFERROR(VLOOKUP($A868,'Exetel ExDa'!$C$2:$N$14, 11,FALSE), IFERROR(VLOOKUP($A868,'Infinet ExDa'!$B$2:$E$14, 0,FALSE), "Not Found"))))))))</f>
        <v>Not Found</v>
      </c>
      <c r="N868" t="str">
        <f>IFERROR(VLOOKUP($A868,'AAPT ExDa'!$B$2:$U$99, 0,FALSE), IFERROR(VLOOKUP($A868,'ABB ExDa'!$A$2:$N$184, 13,FALSE), IFERROR(VLOOKUP($A868,'Vocus SIT ExDa'!$B$2:$J$173, 0,FALSE), IFERROR(VLOOKUP($A868,'Telstra ExDa'!$B$2:$K$310, 0,FALSE), IFERROR(VLOOKUP($A868,'Vocus RVC ExDa'!$C$2:$R$155, 0,FALSE), IFERROR(VLOOKUP($A868,'Fusion ExDa'!$B$2:$D$16, 0,FALSE), IFERROR(VLOOKUP($A868,'Exetel ExDa'!$C$2:$N$14, 0,FALSE), IFERROR(VLOOKUP($A868,'Infinet ExDa'!$B$2:$E$14, 0,FALSE), "Not Found"))))))))</f>
        <v>Not Found</v>
      </c>
    </row>
    <row r="869" spans="1:14">
      <c r="A869" t="str">
        <v>The Yiros Shop Jindalee</v>
      </c>
      <c r="B869" t="str">
        <f>IFERROR(VLOOKUP(A869,'Exetel ExDa'!$C$2:$N$14,4,FALSE),"No Data")</f>
        <v>No Data</v>
      </c>
      <c r="C869" t="str">
        <f>IFERROR(VLOOKUP(A869,'AAPT ExDa'!$B$2:$U$99, 2,FALSE), IFERROR(VLOOKUP(A869,'ABB ExDa'!$A$2:$N$184, 2,FALSE), IFERROR(VLOOKUP(A869,'Vocus SIT ExDa'!$B$2:$J$173, 7,FALSE), IFERROR(VLOOKUP(A869,'Telstra ExDa'!$B$2:$K$310, 2,FALSE), IFERROR(VLOOKUP(A869,'Vocus RVC ExDa'!$C$2:$R$155, 3,FALSE), IFERROR(VLOOKUP(A869,'Fusion ExDa'!$B$2:$D$16, 2,FALSE), IFERROR(VLOOKUP(A869,'Exetel ExDa'!$C$2:$N$14, 2,FALSE), IFERROR(VLOOKUP(A869,'Infinet ExDa'!$B$2:$E$14, 2,FALSE), "Not Found"))))))))</f>
        <v>SHOP 47, 16 AMAZONS PL, JINDALEE QLD</v>
      </c>
      <c r="D869" t="str">
        <f>IFERROR(VLOOKUP($A869,'AAPT ExDa'!$B$2:$U$99, 15,FALSE), IFERROR(VLOOKUP($A869,'ABB ExDa'!$A$2:$N$184, 4,FALSE), IFERROR(VLOOKUP($A869,'Vocus SIT ExDa'!$B$2:$J$173, 5,FALSE), IFERROR(VLOOKUP($A869,'Telstra ExDa'!$B$2:$K$310, 8,FALSE), IFERROR(VLOOKUP($A869,'Vocus RVC ExDa'!$C$2:$R$155, 6,FALSE), IFERROR(VLOOKUP($A869,'Fusion ExDa'!$B$2:$D$16, 4,FALSE), IFERROR(VLOOKUP($A869,'Exetel ExDa'!$C$2:$N$14, 3,FALSE), IFERROR(VLOOKUP($A869,'Infinet ExDa'!$B$2:$E$14, 3,FALSE), "Not Found"))))))))</f>
        <v>ABB</v>
      </c>
      <c r="E869" t="str">
        <f>IFERROR(VLOOKUP($A869,'AAPT ExDa'!$B$2:$U$99, 3,FALSE), IFERROR(VLOOKUP($A869,'ABB ExDa'!$A$2:$N$184, 5,FALSE), IFERROR(VLOOKUP($A869,'Vocus SIT ExDa'!$B$2:$J$173, 2,FALSE), IFERROR(VLOOKUP($A869,'Telstra ExDa'!$B$2:$K$310, 4,FALSE), IFERROR(VLOOKUP($A869,'Vocus RVC ExDa'!$C$2:$R$155, 8,FALSE), IFERROR(VLOOKUP($A869,'Fusion ExDa'!$B$2:$D$16, 4,FALSE), IFERROR(VLOOKUP($A869,'Exetel ExDa'!$C$2:$N$14, 5,FALSE), IFERROR(VLOOKUP($A869,'Infinet ExDa'!$B$2:$E$14, 3,FALSE), "Not Found"))))))))</f>
        <v>NBN 25/10</v>
      </c>
      <c r="F869" t="str">
        <f>IFERROR(VLOOKUP($A869,'AAPT ExDa'!$B$2:$U$99, 4,FALSE), IFERROR(VLOOKUP($A869,'ABB ExDa'!$A$2:$N$184, 6,FALSE), IFERROR(VLOOKUP($A869,'Vocus SIT ExDa'!$B$2:$J$173, 3,FALSE), IFERROR(VLOOKUP($A869,'Telstra ExDa'!$B$2:$K$310, 5,FALSE), IFERROR(VLOOKUP($A869,'Vocus RVC ExDa'!$C$2:$R$155, 9,FALSE), IFERROR(VLOOKUP($A869,'Fusion ExDa'!$B$2:$D$16, 0,FALSE), IFERROR(VLOOKUP($A869,'Exetel ExDa'!$C$2:$N$14, 6,FALSE), IFERROR(VLOOKUP($A869,'Infinet ExDa'!$B$2:$E$14, 0,FALSE), "Not Found"))))))))</f>
        <v>FTTN</v>
      </c>
      <c r="G869" t="str">
        <f>IFERROR(VLOOKUP($A869,'AAPT ExDa'!$B$2:$U$99, 5,FALSE), IFERROR(VLOOKUP($A869,'ABB ExDa'!$A$2:$N$184, 8,FALSE), IFERROR(VLOOKUP($A869,'Vocus SIT ExDa'!$B$2:$J$173, 6,FALSE), IFERROR(VLOOKUP($A869,'Telstra ExDa'!$B$2:$K$310, 0,FALSE), IFERROR(VLOOKUP($A869,'Vocus RVC ExDa'!$C$2:$R$155, 15,FALSE), IFERROR(VLOOKUP($A869,'Fusion ExDa'!$B$2:$D$16, 0,FALSE), IFERROR(VLOOKUP($A869,'Exetel ExDa'!$C$2:$N$14, 7,FALSE), IFERROR(VLOOKUP($A869,'Infinet ExDa'!$B$2:$E$14, 0,FALSE), "Not Found"))))))))</f>
        <v>180.181.208.243</v>
      </c>
      <c r="H869">
        <f>IFERROR(VLOOKUP($A869,'AAPT ExDa'!$B$2:$U$99, 6,FALSE), IFERROR(VLOOKUP($A869,'ABB ExDa'!$A$2:$N$184, 0,FALSE), IFERROR(VLOOKUP($A869,'Vocus SIT ExDa'!$B$2:$J$173, 0,FALSE), IFERROR(VLOOKUP($A869,'Telstra ExDa'!$B$2:$K$310, 0,FALSE), IFERROR(VLOOKUP($A869,'Vocus RVC ExDa'!$C$2:$R$155, 16,FALSE), IFERROR(VLOOKUP($A869,'Fusion ExDa'!$B$2:$D$16, 0,FALSE), IFERROR(VLOOKUP($A869,'Exetel ExDa'!$C$2:$N$14, 0,FALSE), IFERROR(VLOOKUP($A869,'Infinet ExDa'!$B$2:$E$14, 0,FALSE), "Not Found"))))))))</f>
        <v>0</v>
      </c>
      <c r="I869" t="str">
        <f>IFERROR(VLOOKUP($A869,'AAPT ExDa'!$B$2:$U$99, 0,FALSE), IFERROR(VLOOKUP($A869,'ABB ExDa'!$A$2:$N$184, 0,FALSE), IFERROR(VLOOKUP($A869,'Vocus SIT ExDa'!$B$2:$J$173, 0,FALSE), IFERROR(VLOOKUP($A869,'Telstra ExDa'!$B$2:$K$310, 0,FALSE), IFERROR(VLOOKUP($A869,'Vocus RVC ExDa'!$C$2:$R$155, 0,FALSE), IFERROR(VLOOKUP($A869,'Fusion ExDa'!$B$2:$D$16, 0,FALSE), IFERROR(VLOOKUP($A869,'Exetel ExDa'!$C$2:$N$14, 8,FALSE), IFERROR(VLOOKUP($A869,'Infinet ExDa'!$B$2:$E$14, 0,FALSE), "Not Found"))))))))</f>
        <v>Not Found</v>
      </c>
      <c r="J869" t="str">
        <f>IFERROR(VLOOKUP($A869,'AAPT ExDa'!$B$2:$U$99, 7,FALSE), IFERROR(VLOOKUP($A869,'ABB ExDa'!$A$2:$N$184, 2,FALSE), IFERROR(VLOOKUP($A869,'Vocus SIT ExDa'!$B$2:$J$173, 0,FALSE), IFERROR(VLOOKUP($A869,'Telstra ExDa'!$B$2:$K$310, 7,FALSE), IFERROR(VLOOKUP($A869,'Vocus RVC ExDa'!$C$2:$R$155, 2,FALSE), IFERROR(VLOOKUP($A869,'Fusion ExDa'!$B$2:$D$16, 3,FALSE), IFERROR(VLOOKUP($A869,'Exetel ExDa'!$C$2:$N$14, 0,FALSE), IFERROR(VLOOKUP($A869,'Infinet ExDa'!$B$2:$E$14, 0,FALSE), "Not Found"))))))))</f>
        <v>SHOP 47, 16 AMAZONS PL, JINDALEE QLD</v>
      </c>
      <c r="K869" t="str">
        <f>IFERROR(VLOOKUP($A869,'AAPT ExDa'!$B$2:$U$99, 12,FALSE), IFERROR(VLOOKUP($A869,'ABB ExDa'!$A$2:$N$184, 0,FALSE), IFERROR(VLOOKUP($A869,'Vocus SIT ExDa'!$B$2:$J$173, 0,FALSE), IFERROR(VLOOKUP($A869,'Telstra ExDa'!$B$2:$K$310, 0,FALSE), IFERROR(VLOOKUP($A869,'Vocus RVC ExDa'!$C$2:$R$155, 0,FALSE), IFERROR(VLOOKUP($A869,'Fusion ExDa'!$B$2:$D$16, 0,FALSE), IFERROR(VLOOKUP($A869,'Exetel ExDa'!$C$2:$N$14, 12,FALSE), IFERROR(VLOOKUP($A869,'Infinet ExDa'!$B$2:$E$14, 0,FALSE), "Not Found"))))))))</f>
        <v>Not Found</v>
      </c>
      <c r="L869" s="235" t="str">
        <f>IFERROR(VLOOKUP($A869,'AAPT ExDa'!$B$2:$U$99, 11,FALSE), IFERROR(VLOOKUP($A869,'ABB ExDa'!$A$2:$N$184, 9,FALSE), IFERROR(VLOOKUP($A869,'Vocus SIT ExDa'!$B$2:$J$173, 8,FALSE), IFERROR(VLOOKUP($A869,'Telstra ExDa'!$B$2:$K$310, 0,FALSE), IFERROR(VLOOKUP($A869,'Vocus RVC ExDa'!$C$2:$R$155, 0,FALSE), IFERROR(VLOOKUP($A869,'Fusion ExDa'!$B$2:$D$16, 0,FALSE), IFERROR(VLOOKUP($A869,'Exetel ExDa'!$C$2:$N$14, 9,FALSE), IFERROR(VLOOKUP($A869,'Infinet ExDa'!$B$2:$E$14, 0,FALSE), "Not Found"))))))))</f>
        <v>20 May2025</v>
      </c>
      <c r="M869" s="234" t="str">
        <f>IFERROR(VLOOKUP($A869,'AAPT ExDa'!$B$2:$U$99, 0,FALSE), IFERROR(VLOOKUP($A869,'ABB ExDa'!$A$2:$N$184, 0,FALSE), IFERROR(VLOOKUP($A869,'Vocus SIT ExDa'!$B$2:$J$173, 0,FALSE), IFERROR(VLOOKUP($A869,'Telstra ExDa'!$B$2:$K$310, 0,FALSE), IFERROR(VLOOKUP($A869,'Vocus RVC ExDa'!$C$2:$R$155, 0,FALSE), IFERROR(VLOOKUP($A869,'Fusion ExDa'!$B$2:$D$16, 0,FALSE), IFERROR(VLOOKUP($A869,'Exetel ExDa'!$C$2:$N$14, 11,FALSE), IFERROR(VLOOKUP($A869,'Infinet ExDa'!$B$2:$E$14, 0,FALSE), "Not Found"))))))))</f>
        <v>Not Found</v>
      </c>
      <c r="N869" t="str">
        <f>IFERROR(VLOOKUP($A869,'AAPT ExDa'!$B$2:$U$99, 0,FALSE), IFERROR(VLOOKUP($A869,'ABB ExDa'!$A$2:$N$184, 13,FALSE), IFERROR(VLOOKUP($A869,'Vocus SIT ExDa'!$B$2:$J$173, 0,FALSE), IFERROR(VLOOKUP($A869,'Telstra ExDa'!$B$2:$K$310, 0,FALSE), IFERROR(VLOOKUP($A869,'Vocus RVC ExDa'!$C$2:$R$155, 0,FALSE), IFERROR(VLOOKUP($A869,'Fusion ExDa'!$B$2:$D$16, 0,FALSE), IFERROR(VLOOKUP($A869,'Exetel ExDa'!$C$2:$N$14, 0,FALSE), IFERROR(VLOOKUP($A869,'Infinet ExDa'!$B$2:$E$14, 0,FALSE), "Not Found"))))))))</f>
        <v>Onebill</v>
      </c>
    </row>
    <row r="870" spans="1:14">
      <c r="A870" t="str">
        <v xml:space="preserve">	Zambrero Buranda</v>
      </c>
      <c r="B870" t="str">
        <f>IFERROR(VLOOKUP(A870,'Exetel ExDa'!$C$2:$N$14,4,FALSE),"No Data")</f>
        <v>No Data</v>
      </c>
      <c r="C870" t="str">
        <f>IFERROR(VLOOKUP(A870,'AAPT ExDa'!$B$2:$U$99, 2,FALSE), IFERROR(VLOOKUP(A870,'ABB ExDa'!$A$2:$N$184, 2,FALSE), IFERROR(VLOOKUP(A870,'Vocus SIT ExDa'!$B$2:$J$173, 7,FALSE), IFERROR(VLOOKUP(A870,'Telstra ExDa'!$B$2:$K$310, 2,FALSE), IFERROR(VLOOKUP(A870,'Vocus RVC ExDa'!$C$2:$R$155, 3,FALSE), IFERROR(VLOOKUP(A870,'Fusion ExDa'!$B$2:$D$16, 2,FALSE), IFERROR(VLOOKUP(A870,'Exetel ExDa'!$C$2:$N$14, 2,FALSE), IFERROR(VLOOKUP(A870,'Infinet ExDa'!$B$2:$E$14, 2,FALSE), "Not Found"))))))))</f>
        <v>22 250 Ipswich RD</v>
      </c>
      <c r="D870">
        <f>IFERROR(VLOOKUP($A870,'AAPT ExDa'!$B$2:$U$99, 15,FALSE), IFERROR(VLOOKUP($A870,'ABB ExDa'!$A$2:$N$184, 4,FALSE), IFERROR(VLOOKUP($A870,'Vocus SIT ExDa'!$B$2:$J$173, 5,FALSE), IFERROR(VLOOKUP($A870,'Telstra ExDa'!$B$2:$K$310, 8,FALSE), IFERROR(VLOOKUP($A870,'Vocus RVC ExDa'!$C$2:$R$155, 6,FALSE), IFERROR(VLOOKUP($A870,'Fusion ExDa'!$B$2:$D$16, 4,FALSE), IFERROR(VLOOKUP($A870,'Exetel ExDa'!$C$2:$N$14, 3,FALSE), IFERROR(VLOOKUP($A870,'Infinet ExDa'!$B$2:$E$14, 3,FALSE), "Not Found"))))))))</f>
        <v>4102</v>
      </c>
      <c r="E870" t="str">
        <f>IFERROR(VLOOKUP($A870,'AAPT ExDa'!$B$2:$U$99, 3,FALSE), IFERROR(VLOOKUP($A870,'ABB ExDa'!$A$2:$N$184, 5,FALSE), IFERROR(VLOOKUP($A870,'Vocus SIT ExDa'!$B$2:$J$173, 2,FALSE), IFERROR(VLOOKUP($A870,'Telstra ExDa'!$B$2:$K$310, 4,FALSE), IFERROR(VLOOKUP($A870,'Vocus RVC ExDa'!$C$2:$R$155, 8,FALSE), IFERROR(VLOOKUP($A870,'Fusion ExDa'!$B$2:$D$16, 4,FALSE), IFERROR(VLOOKUP($A870,'Exetel ExDa'!$C$2:$N$14, 5,FALSE), IFERROR(VLOOKUP($A870,'Infinet ExDa'!$B$2:$E$14, 3,FALSE), "Not Found"))))))))</f>
        <v>Mobile Service</v>
      </c>
      <c r="F870">
        <f>IFERROR(VLOOKUP($A870,'AAPT ExDa'!$B$2:$U$99, 4,FALSE), IFERROR(VLOOKUP($A870,'ABB ExDa'!$A$2:$N$184, 6,FALSE), IFERROR(VLOOKUP($A870,'Vocus SIT ExDa'!$B$2:$J$173, 3,FALSE), IFERROR(VLOOKUP($A870,'Telstra ExDa'!$B$2:$K$310, 5,FALSE), IFERROR(VLOOKUP($A870,'Vocus RVC ExDa'!$C$2:$R$155, 9,FALSE), IFERROR(VLOOKUP($A870,'Fusion ExDa'!$B$2:$D$16, 0,FALSE), IFERROR(VLOOKUP($A870,'Exetel ExDa'!$C$2:$N$14, 6,FALSE), IFERROR(VLOOKUP($A870,'Infinet ExDa'!$B$2:$E$14, 0,FALSE), "Not Found"))))))))</f>
        <v>45784</v>
      </c>
      <c r="G870">
        <f>IFERROR(VLOOKUP($A870,'AAPT ExDa'!$B$2:$U$99, 5,FALSE), IFERROR(VLOOKUP($A870,'ABB ExDa'!$A$2:$N$184, 8,FALSE), IFERROR(VLOOKUP($A870,'Vocus SIT ExDa'!$B$2:$J$173, 6,FALSE), IFERROR(VLOOKUP($A870,'Telstra ExDa'!$B$2:$K$310, 0,FALSE), IFERROR(VLOOKUP($A870,'Vocus RVC ExDa'!$C$2:$R$155, 15,FALSE), IFERROR(VLOOKUP($A870,'Fusion ExDa'!$B$2:$D$16, 0,FALSE), IFERROR(VLOOKUP($A870,'Exetel ExDa'!$C$2:$N$14, 7,FALSE), IFERROR(VLOOKUP($A870,'Infinet ExDa'!$B$2:$E$14, 0,FALSE), "Not Found"))))))))</f>
        <v>0</v>
      </c>
      <c r="H870">
        <f>IFERROR(VLOOKUP($A870,'AAPT ExDa'!$B$2:$U$99, 6,FALSE), IFERROR(VLOOKUP($A870,'ABB ExDa'!$A$2:$N$184, 0,FALSE), IFERROR(VLOOKUP($A870,'Vocus SIT ExDa'!$B$2:$J$173, 0,FALSE), IFERROR(VLOOKUP($A870,'Telstra ExDa'!$B$2:$K$310, 0,FALSE), IFERROR(VLOOKUP($A870,'Vocus RVC ExDa'!$C$2:$R$155, 16,FALSE), IFERROR(VLOOKUP($A870,'Fusion ExDa'!$B$2:$D$16, 0,FALSE), IFERROR(VLOOKUP($A870,'Exetel ExDa'!$C$2:$N$14, 0,FALSE), IFERROR(VLOOKUP($A870,'Infinet ExDa'!$B$2:$E$14, 0,FALSE), "Not Found"))))))))</f>
        <v>0</v>
      </c>
      <c r="I870" t="str">
        <f>IFERROR(VLOOKUP($A870,'AAPT ExDa'!$B$2:$U$99, 0,FALSE), IFERROR(VLOOKUP($A870,'ABB ExDa'!$A$2:$N$184, 0,FALSE), IFERROR(VLOOKUP($A870,'Vocus SIT ExDa'!$B$2:$J$173, 0,FALSE), IFERROR(VLOOKUP($A870,'Telstra ExDa'!$B$2:$K$310, 0,FALSE), IFERROR(VLOOKUP($A870,'Vocus RVC ExDa'!$C$2:$R$155, 0,FALSE), IFERROR(VLOOKUP($A870,'Fusion ExDa'!$B$2:$D$16, 0,FALSE), IFERROR(VLOOKUP($A870,'Exetel ExDa'!$C$2:$N$14, 8,FALSE), IFERROR(VLOOKUP($A870,'Infinet ExDa'!$B$2:$E$14, 0,FALSE), "Not Found"))))))))</f>
        <v>Not Found</v>
      </c>
      <c r="J870">
        <f>IFERROR(VLOOKUP($A870,'AAPT ExDa'!$B$2:$U$99, 7,FALSE), IFERROR(VLOOKUP($A870,'ABB ExDa'!$A$2:$N$184, 2,FALSE), IFERROR(VLOOKUP($A870,'Vocus SIT ExDa'!$B$2:$J$173, 0,FALSE), IFERROR(VLOOKUP($A870,'Telstra ExDa'!$B$2:$K$310, 7,FALSE), IFERROR(VLOOKUP($A870,'Vocus RVC ExDa'!$C$2:$R$155, 2,FALSE), IFERROR(VLOOKUP($A870,'Fusion ExDa'!$B$2:$D$16, 3,FALSE), IFERROR(VLOOKUP($A870,'Exetel ExDa'!$C$2:$N$14, 0,FALSE), IFERROR(VLOOKUP($A870,'Infinet ExDa'!$B$2:$E$14, 0,FALSE), "Not Found"))))))))</f>
        <v>0</v>
      </c>
      <c r="K870" t="str">
        <f>IFERROR(VLOOKUP($A870,'AAPT ExDa'!$B$2:$U$99, 12,FALSE), IFERROR(VLOOKUP($A870,'ABB ExDa'!$A$2:$N$184, 0,FALSE), IFERROR(VLOOKUP($A870,'Vocus SIT ExDa'!$B$2:$J$173, 0,FALSE), IFERROR(VLOOKUP($A870,'Telstra ExDa'!$B$2:$K$310, 0,FALSE), IFERROR(VLOOKUP($A870,'Vocus RVC ExDa'!$C$2:$R$155, 0,FALSE), IFERROR(VLOOKUP($A870,'Fusion ExDa'!$B$2:$D$16, 0,FALSE), IFERROR(VLOOKUP($A870,'Exetel ExDa'!$C$2:$N$14, 12,FALSE), IFERROR(VLOOKUP($A870,'Infinet ExDa'!$B$2:$E$14, 0,FALSE), "Not Found"))))))))</f>
        <v>Not Found</v>
      </c>
      <c r="L870" s="235" t="str">
        <f>IFERROR(VLOOKUP($A870,'AAPT ExDa'!$B$2:$U$99, 11,FALSE), IFERROR(VLOOKUP($A870,'ABB ExDa'!$A$2:$N$184, 9,FALSE), IFERROR(VLOOKUP($A870,'Vocus SIT ExDa'!$B$2:$J$173, 8,FALSE), IFERROR(VLOOKUP($A870,'Telstra ExDa'!$B$2:$K$310, 0,FALSE), IFERROR(VLOOKUP($A870,'Vocus RVC ExDa'!$C$2:$R$155, 0,FALSE), IFERROR(VLOOKUP($A870,'Fusion ExDa'!$B$2:$D$16, 0,FALSE), IFERROR(VLOOKUP($A870,'Exetel ExDa'!$C$2:$N$14, 9,FALSE), IFERROR(VLOOKUP($A870,'Infinet ExDa'!$B$2:$E$14, 0,FALSE), "Not Found"))))))))</f>
        <v>Not Found</v>
      </c>
      <c r="M870" s="234" t="str">
        <f>IFERROR(VLOOKUP($A870,'AAPT ExDa'!$B$2:$U$99, 0,FALSE), IFERROR(VLOOKUP($A870,'ABB ExDa'!$A$2:$N$184, 0,FALSE), IFERROR(VLOOKUP($A870,'Vocus SIT ExDa'!$B$2:$J$173, 0,FALSE), IFERROR(VLOOKUP($A870,'Telstra ExDa'!$B$2:$K$310, 0,FALSE), IFERROR(VLOOKUP($A870,'Vocus RVC ExDa'!$C$2:$R$155, 0,FALSE), IFERROR(VLOOKUP($A870,'Fusion ExDa'!$B$2:$D$16, 0,FALSE), IFERROR(VLOOKUP($A870,'Exetel ExDa'!$C$2:$N$14, 11,FALSE), IFERROR(VLOOKUP($A870,'Infinet ExDa'!$B$2:$E$14, 0,FALSE), "Not Found"))))))))</f>
        <v>Not Found</v>
      </c>
      <c r="N870" t="str">
        <f>IFERROR(VLOOKUP($A870,'AAPT ExDa'!$B$2:$U$99, 0,FALSE), IFERROR(VLOOKUP($A870,'ABB ExDa'!$A$2:$N$184, 13,FALSE), IFERROR(VLOOKUP($A870,'Vocus SIT ExDa'!$B$2:$J$173, 0,FALSE), IFERROR(VLOOKUP($A870,'Telstra ExDa'!$B$2:$K$310, 0,FALSE), IFERROR(VLOOKUP($A870,'Vocus RVC ExDa'!$C$2:$R$155, 0,FALSE), IFERROR(VLOOKUP($A870,'Fusion ExDa'!$B$2:$D$16, 0,FALSE), IFERROR(VLOOKUP($A870,'Exetel ExDa'!$C$2:$N$14, 0,FALSE), IFERROR(VLOOKUP($A870,'Infinet ExDa'!$B$2:$E$14, 0,FALSE), "Not Found"))))))))</f>
        <v>Not Found</v>
      </c>
    </row>
    <row r="871" spans="1:14">
      <c r="A871" t="str">
        <v>Smile IT</v>
      </c>
      <c r="B871" t="str">
        <f>IFERROR(VLOOKUP(A871,'Exetel ExDa'!$C$2:$N$14,4,FALSE),"No Data")</f>
        <v>0701561050</v>
      </c>
      <c r="C871">
        <f>IFERROR(VLOOKUP(A871,'AAPT ExDa'!$B$2:$U$99, 2,FALSE), IFERROR(VLOOKUP(A871,'ABB ExDa'!$A$2:$N$184, 2,FALSE), IFERROR(VLOOKUP(A871,'Vocus SIT ExDa'!$B$2:$J$173, 7,FALSE), IFERROR(VLOOKUP(A871,'Telstra ExDa'!$B$2:$K$310, 2,FALSE), IFERROR(VLOOKUP(A871,'Vocus RVC ExDa'!$C$2:$R$155, 3,FALSE), IFERROR(VLOOKUP(A871,'Fusion ExDa'!$B$2:$D$16, 2,FALSE), IFERROR(VLOOKUP(A871,'Exetel ExDa'!$C$2:$N$14, 2,FALSE), IFERROR(VLOOKUP(A871,'Infinet ExDa'!$B$2:$E$14, 2,FALSE), "Not Found"))))))))</f>
        <v>0</v>
      </c>
      <c r="D871" t="str">
        <f>IFERROR(VLOOKUP($A871,'AAPT ExDa'!$B$2:$U$99, 15,FALSE), IFERROR(VLOOKUP($A871,'ABB ExDa'!$A$2:$N$184, 4,FALSE), IFERROR(VLOOKUP($A871,'Vocus SIT ExDa'!$B$2:$J$173, 5,FALSE), IFERROR(VLOOKUP($A871,'Telstra ExDa'!$B$2:$K$310, 8,FALSE), IFERROR(VLOOKUP($A871,'Vocus RVC ExDa'!$C$2:$R$155, 6,FALSE), IFERROR(VLOOKUP($A871,'Fusion ExDa'!$B$2:$D$16, 4,FALSE), IFERROR(VLOOKUP($A871,'Exetel ExDa'!$C$2:$N$14, 3,FALSE), IFERROR(VLOOKUP($A871,'Infinet ExDa'!$B$2:$E$14, 3,FALSE), "Not Found"))))))))</f>
        <v>AAPT</v>
      </c>
      <c r="E871" t="str">
        <f>IFERROR(VLOOKUP($A871,'AAPT ExDa'!$B$2:$U$99, 3,FALSE), IFERROR(VLOOKUP($A871,'ABB ExDa'!$A$2:$N$184, 5,FALSE), IFERROR(VLOOKUP($A871,'Vocus SIT ExDa'!$B$2:$J$173, 2,FALSE), IFERROR(VLOOKUP($A871,'Telstra ExDa'!$B$2:$K$310, 4,FALSE), IFERROR(VLOOKUP($A871,'Vocus RVC ExDa'!$C$2:$R$155, 8,FALSE), IFERROR(VLOOKUP($A871,'Fusion ExDa'!$B$2:$D$16, 4,FALSE), IFERROR(VLOOKUP($A871,'Exetel ExDa'!$C$2:$N$14, 5,FALSE), IFERROR(VLOOKUP($A871,'Infinet ExDa'!$B$2:$E$14, 3,FALSE), "Not Found"))))))))</f>
        <v>IP-Line</v>
      </c>
      <c r="F871" t="str">
        <f>IFERROR(VLOOKUP($A871,'AAPT ExDa'!$B$2:$U$99, 4,FALSE), IFERROR(VLOOKUP($A871,'ABB ExDa'!$A$2:$N$184, 6,FALSE), IFERROR(VLOOKUP($A871,'Vocus SIT ExDa'!$B$2:$J$173, 3,FALSE), IFERROR(VLOOKUP($A871,'Telstra ExDa'!$B$2:$K$310, 5,FALSE), IFERROR(VLOOKUP($A871,'Vocus RVC ExDa'!$C$2:$R$155, 9,FALSE), IFERROR(VLOOKUP($A871,'Fusion ExDa'!$B$2:$D$16, 0,FALSE), IFERROR(VLOOKUP($A871,'Exetel ExDa'!$C$2:$N$14, 6,FALSE), IFERROR(VLOOKUP($A871,'Infinet ExDa'!$B$2:$E$14, 0,FALSE), "Not Found"))))))))</f>
        <v>IP-Line Link</v>
      </c>
      <c r="G871" t="str">
        <f>IFERROR(VLOOKUP($A871,'AAPT ExDa'!$B$2:$U$99, 5,FALSE), IFERROR(VLOOKUP($A871,'ABB ExDa'!$A$2:$N$184, 8,FALSE), IFERROR(VLOOKUP($A871,'Vocus SIT ExDa'!$B$2:$J$173, 6,FALSE), IFERROR(VLOOKUP($A871,'Telstra ExDa'!$B$2:$K$310, 0,FALSE), IFERROR(VLOOKUP($A871,'Vocus RVC ExDa'!$C$2:$R$155, 15,FALSE), IFERROR(VLOOKUP($A871,'Fusion ExDa'!$B$2:$D$16, 0,FALSE), IFERROR(VLOOKUP($A871,'Exetel ExDa'!$C$2:$N$14, 7,FALSE), IFERROR(VLOOKUP($A871,'Infinet ExDa'!$B$2:$E$14, 0,FALSE), "Not Found"))))))))</f>
        <v>Connecting IP-Line 6023265 to Access 100773541</v>
      </c>
      <c r="H871" t="str">
        <f>IFERROR(VLOOKUP($A871,'AAPT ExDa'!$B$2:$U$99, 6,FALSE), IFERROR(VLOOKUP($A871,'ABB ExDa'!$A$2:$N$184, 0,FALSE), IFERROR(VLOOKUP($A871,'Vocus SIT ExDa'!$B$2:$J$173, 0,FALSE), IFERROR(VLOOKUP($A871,'Telstra ExDa'!$B$2:$K$310, 0,FALSE), IFERROR(VLOOKUP($A871,'Vocus RVC ExDa'!$C$2:$R$155, 16,FALSE), IFERROR(VLOOKUP($A871,'Fusion ExDa'!$B$2:$D$16, 0,FALSE), IFERROR(VLOOKUP($A871,'Exetel ExDa'!$C$2:$N$14, 0,FALSE), IFERROR(VLOOKUP($A871,'Infinet ExDa'!$B$2:$E$14, 0,FALSE), "Not Found"))))))))</f>
        <v>Up to 100/40Mbps; AVC ID:AVC000141025780</v>
      </c>
      <c r="I871">
        <f>IFERROR(VLOOKUP($A871,'AAPT ExDa'!$B$2:$U$99, 0,FALSE), IFERROR(VLOOKUP($A871,'ABB ExDa'!$A$2:$N$184, 0,FALSE), IFERROR(VLOOKUP($A871,'Vocus SIT ExDa'!$B$2:$J$173, 0,FALSE), IFERROR(VLOOKUP($A871,'Telstra ExDa'!$B$2:$K$310, 0,FALSE), IFERROR(VLOOKUP($A871,'Vocus RVC ExDa'!$C$2:$R$155, 0,FALSE), IFERROR(VLOOKUP($A871,'Fusion ExDa'!$B$2:$D$16, 0,FALSE), IFERROR(VLOOKUP($A871,'Exetel ExDa'!$C$2:$N$14, 8,FALSE), IFERROR(VLOOKUP($A871,'Infinet ExDa'!$B$2:$E$14, 0,FALSE), "Not Found"))))))))</f>
        <v>0</v>
      </c>
      <c r="J871" t="str">
        <f>IFERROR(VLOOKUP($A871,'AAPT ExDa'!$B$2:$U$99, 7,FALSE), IFERROR(VLOOKUP($A871,'ABB ExDa'!$A$2:$N$184, 2,FALSE), IFERROR(VLOOKUP($A871,'Vocus SIT ExDa'!$B$2:$J$173, 0,FALSE), IFERROR(VLOOKUP($A871,'Telstra ExDa'!$B$2:$K$310, 7,FALSE), IFERROR(VLOOKUP($A871,'Vocus RVC ExDa'!$C$2:$R$155, 2,FALSE), IFERROR(VLOOKUP($A871,'Fusion ExDa'!$B$2:$D$16, 3,FALSE), IFERROR(VLOOKUP($A871,'Exetel ExDa'!$C$2:$N$14, 0,FALSE), IFERROR(VLOOKUP($A871,'Infinet ExDa'!$B$2:$E$14, 0,FALSE), "Not Found"))))))))</f>
        <v>AVC000141025780</v>
      </c>
      <c r="K871" t="str">
        <f>IFERROR(VLOOKUP($A871,'AAPT ExDa'!$B$2:$U$99, 12,FALSE), IFERROR(VLOOKUP($A871,'ABB ExDa'!$A$2:$N$184, 0,FALSE), IFERROR(VLOOKUP($A871,'Vocus SIT ExDa'!$B$2:$J$173, 0,FALSE), IFERROR(VLOOKUP($A871,'Telstra ExDa'!$B$2:$K$310, 0,FALSE), IFERROR(VLOOKUP($A871,'Vocus RVC ExDa'!$C$2:$R$155, 0,FALSE), IFERROR(VLOOKUP($A871,'Fusion ExDa'!$B$2:$D$16, 0,FALSE), IFERROR(VLOOKUP($A871,'Exetel ExDa'!$C$2:$N$14, 12,FALSE), IFERROR(VLOOKUP($A871,'Infinet ExDa'!$B$2:$E$14, 0,FALSE), "Not Found"))))))))</f>
        <v>12 Months</v>
      </c>
      <c r="L871" s="235">
        <f>IFERROR(VLOOKUP($A871,'AAPT ExDa'!$B$2:$U$99, 11,FALSE), IFERROR(VLOOKUP($A871,'ABB ExDa'!$A$2:$N$184, 9,FALSE), IFERROR(VLOOKUP($A871,'Vocus SIT ExDa'!$B$2:$J$173, 8,FALSE), IFERROR(VLOOKUP($A871,'Telstra ExDa'!$B$2:$K$310, 0,FALSE), IFERROR(VLOOKUP($A871,'Vocus RVC ExDa'!$C$2:$R$155, 0,FALSE), IFERROR(VLOOKUP($A871,'Fusion ExDa'!$B$2:$D$16, 0,FALSE), IFERROR(VLOOKUP($A871,'Exetel ExDa'!$C$2:$N$14, 9,FALSE), IFERROR(VLOOKUP($A871,'Infinet ExDa'!$B$2:$E$14, 0,FALSE), "Not Found"))))))))</f>
        <v>44297</v>
      </c>
      <c r="M871" s="234">
        <f>IFERROR(VLOOKUP($A871,'AAPT ExDa'!$B$2:$U$99, 0,FALSE), IFERROR(VLOOKUP($A871,'ABB ExDa'!$A$2:$N$184, 0,FALSE), IFERROR(VLOOKUP($A871,'Vocus SIT ExDa'!$B$2:$J$173, 0,FALSE), IFERROR(VLOOKUP($A871,'Telstra ExDa'!$B$2:$K$310, 0,FALSE), IFERROR(VLOOKUP($A871,'Vocus RVC ExDa'!$C$2:$R$155, 0,FALSE), IFERROR(VLOOKUP($A871,'Fusion ExDa'!$B$2:$D$16, 0,FALSE), IFERROR(VLOOKUP($A871,'Exetel ExDa'!$C$2:$N$14, 11,FALSE), IFERROR(VLOOKUP($A871,'Infinet ExDa'!$B$2:$E$14, 0,FALSE), "Not Found"))))))))</f>
        <v>0</v>
      </c>
      <c r="N871" t="str">
        <f>IFERROR(VLOOKUP($A871,'AAPT ExDa'!$B$2:$U$99, 0,FALSE), IFERROR(VLOOKUP($A871,'ABB ExDa'!$A$2:$N$184, 13,FALSE), IFERROR(VLOOKUP($A871,'Vocus SIT ExDa'!$B$2:$J$173, 0,FALSE), IFERROR(VLOOKUP($A871,'Telstra ExDa'!$B$2:$K$310, 0,FALSE), IFERROR(VLOOKUP($A871,'Vocus RVC ExDa'!$C$2:$R$155, 0,FALSE), IFERROR(VLOOKUP($A871,'Fusion ExDa'!$B$2:$D$16, 0,FALSE), IFERROR(VLOOKUP($A871,'Exetel ExDa'!$C$2:$N$14, 0,FALSE), IFERROR(VLOOKUP($A871,'Infinet ExDa'!$B$2:$E$14, 0,FALSE), "Not Found"))))))))</f>
        <v>Not Found</v>
      </c>
    </row>
    <row r="872" spans="1:14">
      <c r="A872" t="str">
        <v>Smile IT</v>
      </c>
      <c r="B872" t="str">
        <f>IFERROR(VLOOKUP(A872,'Exetel ExDa'!$C$2:$N$14,4,FALSE),"No Data")</f>
        <v>0701561050</v>
      </c>
      <c r="C872">
        <f>IFERROR(VLOOKUP(A872,'AAPT ExDa'!$B$2:$U$99, 2,FALSE), IFERROR(VLOOKUP(A872,'ABB ExDa'!$A$2:$N$184, 2,FALSE), IFERROR(VLOOKUP(A872,'Vocus SIT ExDa'!$B$2:$J$173, 7,FALSE), IFERROR(VLOOKUP(A872,'Telstra ExDa'!$B$2:$K$310, 2,FALSE), IFERROR(VLOOKUP(A872,'Vocus RVC ExDa'!$C$2:$R$155, 3,FALSE), IFERROR(VLOOKUP(A872,'Fusion ExDa'!$B$2:$D$16, 2,FALSE), IFERROR(VLOOKUP(A872,'Exetel ExDa'!$C$2:$N$14, 2,FALSE), IFERROR(VLOOKUP(A872,'Infinet ExDa'!$B$2:$E$14, 2,FALSE), "Not Found"))))))))</f>
        <v>0</v>
      </c>
      <c r="D872" t="str">
        <f>IFERROR(VLOOKUP($A872,'AAPT ExDa'!$B$2:$U$99, 15,FALSE), IFERROR(VLOOKUP($A872,'ABB ExDa'!$A$2:$N$184, 4,FALSE), IFERROR(VLOOKUP($A872,'Vocus SIT ExDa'!$B$2:$J$173, 5,FALSE), IFERROR(VLOOKUP($A872,'Telstra ExDa'!$B$2:$K$310, 8,FALSE), IFERROR(VLOOKUP($A872,'Vocus RVC ExDa'!$C$2:$R$155, 6,FALSE), IFERROR(VLOOKUP($A872,'Fusion ExDa'!$B$2:$D$16, 4,FALSE), IFERROR(VLOOKUP($A872,'Exetel ExDa'!$C$2:$N$14, 3,FALSE), IFERROR(VLOOKUP($A872,'Infinet ExDa'!$B$2:$E$14, 3,FALSE), "Not Found"))))))))</f>
        <v>AAPT</v>
      </c>
      <c r="E872" t="str">
        <f>IFERROR(VLOOKUP($A872,'AAPT ExDa'!$B$2:$U$99, 3,FALSE), IFERROR(VLOOKUP($A872,'ABB ExDa'!$A$2:$N$184, 5,FALSE), IFERROR(VLOOKUP($A872,'Vocus SIT ExDa'!$B$2:$J$173, 2,FALSE), IFERROR(VLOOKUP($A872,'Telstra ExDa'!$B$2:$K$310, 4,FALSE), IFERROR(VLOOKUP($A872,'Vocus RVC ExDa'!$C$2:$R$155, 8,FALSE), IFERROR(VLOOKUP($A872,'Fusion ExDa'!$B$2:$D$16, 4,FALSE), IFERROR(VLOOKUP($A872,'Exetel ExDa'!$C$2:$N$14, 5,FALSE), IFERROR(VLOOKUP($A872,'Infinet ExDa'!$B$2:$E$14, 3,FALSE), "Not Found"))))))))</f>
        <v>IP-Line</v>
      </c>
      <c r="F872" t="str">
        <f>IFERROR(VLOOKUP($A872,'AAPT ExDa'!$B$2:$U$99, 4,FALSE), IFERROR(VLOOKUP($A872,'ABB ExDa'!$A$2:$N$184, 6,FALSE), IFERROR(VLOOKUP($A872,'Vocus SIT ExDa'!$B$2:$J$173, 3,FALSE), IFERROR(VLOOKUP($A872,'Telstra ExDa'!$B$2:$K$310, 5,FALSE), IFERROR(VLOOKUP($A872,'Vocus RVC ExDa'!$C$2:$R$155, 9,FALSE), IFERROR(VLOOKUP($A872,'Fusion ExDa'!$B$2:$D$16, 0,FALSE), IFERROR(VLOOKUP($A872,'Exetel ExDa'!$C$2:$N$14, 6,FALSE), IFERROR(VLOOKUP($A872,'Infinet ExDa'!$B$2:$E$14, 0,FALSE), "Not Found"))))))))</f>
        <v>IP-Line Link</v>
      </c>
      <c r="G872" t="str">
        <f>IFERROR(VLOOKUP($A872,'AAPT ExDa'!$B$2:$U$99, 5,FALSE), IFERROR(VLOOKUP($A872,'ABB ExDa'!$A$2:$N$184, 8,FALSE), IFERROR(VLOOKUP($A872,'Vocus SIT ExDa'!$B$2:$J$173, 6,FALSE), IFERROR(VLOOKUP($A872,'Telstra ExDa'!$B$2:$K$310, 0,FALSE), IFERROR(VLOOKUP($A872,'Vocus RVC ExDa'!$C$2:$R$155, 15,FALSE), IFERROR(VLOOKUP($A872,'Fusion ExDa'!$B$2:$D$16, 0,FALSE), IFERROR(VLOOKUP($A872,'Exetel ExDa'!$C$2:$N$14, 7,FALSE), IFERROR(VLOOKUP($A872,'Infinet ExDa'!$B$2:$E$14, 0,FALSE), "Not Found"))))))))</f>
        <v>Connecting IP-Line 6023265 to Access 100773541</v>
      </c>
      <c r="H872" t="str">
        <f>IFERROR(VLOOKUP($A872,'AAPT ExDa'!$B$2:$U$99, 6,FALSE), IFERROR(VLOOKUP($A872,'ABB ExDa'!$A$2:$N$184, 0,FALSE), IFERROR(VLOOKUP($A872,'Vocus SIT ExDa'!$B$2:$J$173, 0,FALSE), IFERROR(VLOOKUP($A872,'Telstra ExDa'!$B$2:$K$310, 0,FALSE), IFERROR(VLOOKUP($A872,'Vocus RVC ExDa'!$C$2:$R$155, 16,FALSE), IFERROR(VLOOKUP($A872,'Fusion ExDa'!$B$2:$D$16, 0,FALSE), IFERROR(VLOOKUP($A872,'Exetel ExDa'!$C$2:$N$14, 0,FALSE), IFERROR(VLOOKUP($A872,'Infinet ExDa'!$B$2:$E$14, 0,FALSE), "Not Found"))))))))</f>
        <v>Up to 100/40Mbps; AVC ID:AVC000141025780</v>
      </c>
      <c r="I872">
        <f>IFERROR(VLOOKUP($A872,'AAPT ExDa'!$B$2:$U$99, 0,FALSE), IFERROR(VLOOKUP($A872,'ABB ExDa'!$A$2:$N$184, 0,FALSE), IFERROR(VLOOKUP($A872,'Vocus SIT ExDa'!$B$2:$J$173, 0,FALSE), IFERROR(VLOOKUP($A872,'Telstra ExDa'!$B$2:$K$310, 0,FALSE), IFERROR(VLOOKUP($A872,'Vocus RVC ExDa'!$C$2:$R$155, 0,FALSE), IFERROR(VLOOKUP($A872,'Fusion ExDa'!$B$2:$D$16, 0,FALSE), IFERROR(VLOOKUP($A872,'Exetel ExDa'!$C$2:$N$14, 8,FALSE), IFERROR(VLOOKUP($A872,'Infinet ExDa'!$B$2:$E$14, 0,FALSE), "Not Found"))))))))</f>
        <v>0</v>
      </c>
      <c r="J872" t="str">
        <f>IFERROR(VLOOKUP($A872,'AAPT ExDa'!$B$2:$U$99, 7,FALSE), IFERROR(VLOOKUP($A872,'ABB ExDa'!$A$2:$N$184, 2,FALSE), IFERROR(VLOOKUP($A872,'Vocus SIT ExDa'!$B$2:$J$173, 0,FALSE), IFERROR(VLOOKUP($A872,'Telstra ExDa'!$B$2:$K$310, 7,FALSE), IFERROR(VLOOKUP($A872,'Vocus RVC ExDa'!$C$2:$R$155, 2,FALSE), IFERROR(VLOOKUP($A872,'Fusion ExDa'!$B$2:$D$16, 3,FALSE), IFERROR(VLOOKUP($A872,'Exetel ExDa'!$C$2:$N$14, 0,FALSE), IFERROR(VLOOKUP($A872,'Infinet ExDa'!$B$2:$E$14, 0,FALSE), "Not Found"))))))))</f>
        <v>AVC000141025780</v>
      </c>
      <c r="K872" t="str">
        <f>IFERROR(VLOOKUP($A872,'AAPT ExDa'!$B$2:$U$99, 12,FALSE), IFERROR(VLOOKUP($A872,'ABB ExDa'!$A$2:$N$184, 0,FALSE), IFERROR(VLOOKUP($A872,'Vocus SIT ExDa'!$B$2:$J$173, 0,FALSE), IFERROR(VLOOKUP($A872,'Telstra ExDa'!$B$2:$K$310, 0,FALSE), IFERROR(VLOOKUP($A872,'Vocus RVC ExDa'!$C$2:$R$155, 0,FALSE), IFERROR(VLOOKUP($A872,'Fusion ExDa'!$B$2:$D$16, 0,FALSE), IFERROR(VLOOKUP($A872,'Exetel ExDa'!$C$2:$N$14, 12,FALSE), IFERROR(VLOOKUP($A872,'Infinet ExDa'!$B$2:$E$14, 0,FALSE), "Not Found"))))))))</f>
        <v>12 Months</v>
      </c>
      <c r="L872" s="235">
        <f>IFERROR(VLOOKUP($A872,'AAPT ExDa'!$B$2:$U$99, 11,FALSE), IFERROR(VLOOKUP($A872,'ABB ExDa'!$A$2:$N$184, 9,FALSE), IFERROR(VLOOKUP($A872,'Vocus SIT ExDa'!$B$2:$J$173, 8,FALSE), IFERROR(VLOOKUP($A872,'Telstra ExDa'!$B$2:$K$310, 0,FALSE), IFERROR(VLOOKUP($A872,'Vocus RVC ExDa'!$C$2:$R$155, 0,FALSE), IFERROR(VLOOKUP($A872,'Fusion ExDa'!$B$2:$D$16, 0,FALSE), IFERROR(VLOOKUP($A872,'Exetel ExDa'!$C$2:$N$14, 9,FALSE), IFERROR(VLOOKUP($A872,'Infinet ExDa'!$B$2:$E$14, 0,FALSE), "Not Found"))))))))</f>
        <v>44297</v>
      </c>
      <c r="M872" s="234">
        <f>IFERROR(VLOOKUP($A872,'AAPT ExDa'!$B$2:$U$99, 0,FALSE), IFERROR(VLOOKUP($A872,'ABB ExDa'!$A$2:$N$184, 0,FALSE), IFERROR(VLOOKUP($A872,'Vocus SIT ExDa'!$B$2:$J$173, 0,FALSE), IFERROR(VLOOKUP($A872,'Telstra ExDa'!$B$2:$K$310, 0,FALSE), IFERROR(VLOOKUP($A872,'Vocus RVC ExDa'!$C$2:$R$155, 0,FALSE), IFERROR(VLOOKUP($A872,'Fusion ExDa'!$B$2:$D$16, 0,FALSE), IFERROR(VLOOKUP($A872,'Exetel ExDa'!$C$2:$N$14, 11,FALSE), IFERROR(VLOOKUP($A872,'Infinet ExDa'!$B$2:$E$14, 0,FALSE), "Not Found"))))))))</f>
        <v>0</v>
      </c>
      <c r="N872" t="str">
        <f>IFERROR(VLOOKUP($A872,'AAPT ExDa'!$B$2:$U$99, 0,FALSE), IFERROR(VLOOKUP($A872,'ABB ExDa'!$A$2:$N$184, 13,FALSE), IFERROR(VLOOKUP($A872,'Vocus SIT ExDa'!$B$2:$J$173, 0,FALSE), IFERROR(VLOOKUP($A872,'Telstra ExDa'!$B$2:$K$310, 0,FALSE), IFERROR(VLOOKUP($A872,'Vocus RVC ExDa'!$C$2:$R$155, 0,FALSE), IFERROR(VLOOKUP($A872,'Fusion ExDa'!$B$2:$D$16, 0,FALSE), IFERROR(VLOOKUP($A872,'Exetel ExDa'!$C$2:$N$14, 0,FALSE), IFERROR(VLOOKUP($A872,'Infinet ExDa'!$B$2:$E$14, 0,FALSE), "Not Found"))))))))</f>
        <v>Not Found</v>
      </c>
    </row>
    <row r="873" spans="1:14">
      <c r="A873" t="str">
        <v xml:space="preserve">	The Yiros Shop Chermside</v>
      </c>
      <c r="B873" t="str">
        <f>IFERROR(VLOOKUP(A873,'Exetel ExDa'!$C$2:$N$14,4,FALSE),"No Data")</f>
        <v>No Data</v>
      </c>
      <c r="C873" t="str">
        <f>IFERROR(VLOOKUP(A873,'AAPT ExDa'!$B$2:$U$99, 2,FALSE), IFERROR(VLOOKUP(A873,'ABB ExDa'!$A$2:$N$184, 2,FALSE), IFERROR(VLOOKUP(A873,'Vocus SIT ExDa'!$B$2:$J$173, 7,FALSE), IFERROR(VLOOKUP(A873,'Telstra ExDa'!$B$2:$K$310, 2,FALSE), IFERROR(VLOOKUP(A873,'Vocus RVC ExDa'!$C$2:$R$155, 3,FALSE), IFERROR(VLOOKUP(A873,'Fusion ExDa'!$B$2:$D$16, 2,FALSE), IFERROR(VLOOKUP(A873,'Exetel ExDa'!$C$2:$N$14, 2,FALSE), IFERROR(VLOOKUP(A873,'Infinet ExDa'!$B$2:$E$14, 2,FALSE), "Not Found"))))))))</f>
        <v>R2A 395 Hamilton RDS</v>
      </c>
      <c r="D873">
        <f>IFERROR(VLOOKUP($A873,'AAPT ExDa'!$B$2:$U$99, 15,FALSE), IFERROR(VLOOKUP($A873,'ABB ExDa'!$A$2:$N$184, 4,FALSE), IFERROR(VLOOKUP($A873,'Vocus SIT ExDa'!$B$2:$J$173, 5,FALSE), IFERROR(VLOOKUP($A873,'Telstra ExDa'!$B$2:$K$310, 8,FALSE), IFERROR(VLOOKUP($A873,'Vocus RVC ExDa'!$C$2:$R$155, 6,FALSE), IFERROR(VLOOKUP($A873,'Fusion ExDa'!$B$2:$D$16, 4,FALSE), IFERROR(VLOOKUP($A873,'Exetel ExDa'!$C$2:$N$14, 3,FALSE), IFERROR(VLOOKUP($A873,'Infinet ExDa'!$B$2:$E$14, 3,FALSE), "Not Found"))))))))</f>
        <v>4032</v>
      </c>
      <c r="E873" t="str">
        <f>IFERROR(VLOOKUP($A873,'AAPT ExDa'!$B$2:$U$99, 3,FALSE), IFERROR(VLOOKUP($A873,'ABB ExDa'!$A$2:$N$184, 5,FALSE), IFERROR(VLOOKUP($A873,'Vocus SIT ExDa'!$B$2:$J$173, 2,FALSE), IFERROR(VLOOKUP($A873,'Telstra ExDa'!$B$2:$K$310, 4,FALSE), IFERROR(VLOOKUP($A873,'Vocus RVC ExDa'!$C$2:$R$155, 8,FALSE), IFERROR(VLOOKUP($A873,'Fusion ExDa'!$B$2:$D$16, 4,FALSE), IFERROR(VLOOKUP($A873,'Exetel ExDa'!$C$2:$N$14, 5,FALSE), IFERROR(VLOOKUP($A873,'Infinet ExDa'!$B$2:$E$14, 3,FALSE), "Not Found"))))))))</f>
        <v>Mobile Service</v>
      </c>
      <c r="F873">
        <f>IFERROR(VLOOKUP($A873,'AAPT ExDa'!$B$2:$U$99, 4,FALSE), IFERROR(VLOOKUP($A873,'ABB ExDa'!$A$2:$N$184, 6,FALSE), IFERROR(VLOOKUP($A873,'Vocus SIT ExDa'!$B$2:$J$173, 3,FALSE), IFERROR(VLOOKUP($A873,'Telstra ExDa'!$B$2:$K$310, 5,FALSE), IFERROR(VLOOKUP($A873,'Vocus RVC ExDa'!$C$2:$R$155, 9,FALSE), IFERROR(VLOOKUP($A873,'Fusion ExDa'!$B$2:$D$16, 0,FALSE), IFERROR(VLOOKUP($A873,'Exetel ExDa'!$C$2:$N$14, 6,FALSE), IFERROR(VLOOKUP($A873,'Infinet ExDa'!$B$2:$E$14, 0,FALSE), "Not Found"))))))))</f>
        <v>45791</v>
      </c>
      <c r="G873">
        <f>IFERROR(VLOOKUP($A873,'AAPT ExDa'!$B$2:$U$99, 5,FALSE), IFERROR(VLOOKUP($A873,'ABB ExDa'!$A$2:$N$184, 8,FALSE), IFERROR(VLOOKUP($A873,'Vocus SIT ExDa'!$B$2:$J$173, 6,FALSE), IFERROR(VLOOKUP($A873,'Telstra ExDa'!$B$2:$K$310, 0,FALSE), IFERROR(VLOOKUP($A873,'Vocus RVC ExDa'!$C$2:$R$155, 15,FALSE), IFERROR(VLOOKUP($A873,'Fusion ExDa'!$B$2:$D$16, 0,FALSE), IFERROR(VLOOKUP($A873,'Exetel ExDa'!$C$2:$N$14, 7,FALSE), IFERROR(VLOOKUP($A873,'Infinet ExDa'!$B$2:$E$14, 0,FALSE), "Not Found"))))))))</f>
        <v>0</v>
      </c>
      <c r="H873">
        <f>IFERROR(VLOOKUP($A873,'AAPT ExDa'!$B$2:$U$99, 6,FALSE), IFERROR(VLOOKUP($A873,'ABB ExDa'!$A$2:$N$184, 0,FALSE), IFERROR(VLOOKUP($A873,'Vocus SIT ExDa'!$B$2:$J$173, 0,FALSE), IFERROR(VLOOKUP($A873,'Telstra ExDa'!$B$2:$K$310, 0,FALSE), IFERROR(VLOOKUP($A873,'Vocus RVC ExDa'!$C$2:$R$155, 16,FALSE), IFERROR(VLOOKUP($A873,'Fusion ExDa'!$B$2:$D$16, 0,FALSE), IFERROR(VLOOKUP($A873,'Exetel ExDa'!$C$2:$N$14, 0,FALSE), IFERROR(VLOOKUP($A873,'Infinet ExDa'!$B$2:$E$14, 0,FALSE), "Not Found"))))))))</f>
        <v>0</v>
      </c>
      <c r="I873" t="str">
        <f>IFERROR(VLOOKUP($A873,'AAPT ExDa'!$B$2:$U$99, 0,FALSE), IFERROR(VLOOKUP($A873,'ABB ExDa'!$A$2:$N$184, 0,FALSE), IFERROR(VLOOKUP($A873,'Vocus SIT ExDa'!$B$2:$J$173, 0,FALSE), IFERROR(VLOOKUP($A873,'Telstra ExDa'!$B$2:$K$310, 0,FALSE), IFERROR(VLOOKUP($A873,'Vocus RVC ExDa'!$C$2:$R$155, 0,FALSE), IFERROR(VLOOKUP($A873,'Fusion ExDa'!$B$2:$D$16, 0,FALSE), IFERROR(VLOOKUP($A873,'Exetel ExDa'!$C$2:$N$14, 8,FALSE), IFERROR(VLOOKUP($A873,'Infinet ExDa'!$B$2:$E$14, 0,FALSE), "Not Found"))))))))</f>
        <v>Not Found</v>
      </c>
      <c r="J873">
        <f>IFERROR(VLOOKUP($A873,'AAPT ExDa'!$B$2:$U$99, 7,FALSE), IFERROR(VLOOKUP($A873,'ABB ExDa'!$A$2:$N$184, 2,FALSE), IFERROR(VLOOKUP($A873,'Vocus SIT ExDa'!$B$2:$J$173, 0,FALSE), IFERROR(VLOOKUP($A873,'Telstra ExDa'!$B$2:$K$310, 7,FALSE), IFERROR(VLOOKUP($A873,'Vocus RVC ExDa'!$C$2:$R$155, 2,FALSE), IFERROR(VLOOKUP($A873,'Fusion ExDa'!$B$2:$D$16, 3,FALSE), IFERROR(VLOOKUP($A873,'Exetel ExDa'!$C$2:$N$14, 0,FALSE), IFERROR(VLOOKUP($A873,'Infinet ExDa'!$B$2:$E$14, 0,FALSE), "Not Found"))))))))</f>
        <v>0</v>
      </c>
      <c r="K873" t="str">
        <f>IFERROR(VLOOKUP($A873,'AAPT ExDa'!$B$2:$U$99, 12,FALSE), IFERROR(VLOOKUP($A873,'ABB ExDa'!$A$2:$N$184, 0,FALSE), IFERROR(VLOOKUP($A873,'Vocus SIT ExDa'!$B$2:$J$173, 0,FALSE), IFERROR(VLOOKUP($A873,'Telstra ExDa'!$B$2:$K$310, 0,FALSE), IFERROR(VLOOKUP($A873,'Vocus RVC ExDa'!$C$2:$R$155, 0,FALSE), IFERROR(VLOOKUP($A873,'Fusion ExDa'!$B$2:$D$16, 0,FALSE), IFERROR(VLOOKUP($A873,'Exetel ExDa'!$C$2:$N$14, 12,FALSE), IFERROR(VLOOKUP($A873,'Infinet ExDa'!$B$2:$E$14, 0,FALSE), "Not Found"))))))))</f>
        <v>Not Found</v>
      </c>
      <c r="L873" s="235" t="str">
        <f>IFERROR(VLOOKUP($A873,'AAPT ExDa'!$B$2:$U$99, 11,FALSE), IFERROR(VLOOKUP($A873,'ABB ExDa'!$A$2:$N$184, 9,FALSE), IFERROR(VLOOKUP($A873,'Vocus SIT ExDa'!$B$2:$J$173, 8,FALSE), IFERROR(VLOOKUP($A873,'Telstra ExDa'!$B$2:$K$310, 0,FALSE), IFERROR(VLOOKUP($A873,'Vocus RVC ExDa'!$C$2:$R$155, 0,FALSE), IFERROR(VLOOKUP($A873,'Fusion ExDa'!$B$2:$D$16, 0,FALSE), IFERROR(VLOOKUP($A873,'Exetel ExDa'!$C$2:$N$14, 9,FALSE), IFERROR(VLOOKUP($A873,'Infinet ExDa'!$B$2:$E$14, 0,FALSE), "Not Found"))))))))</f>
        <v>Not Found</v>
      </c>
      <c r="M873" s="234" t="str">
        <f>IFERROR(VLOOKUP($A873,'AAPT ExDa'!$B$2:$U$99, 0,FALSE), IFERROR(VLOOKUP($A873,'ABB ExDa'!$A$2:$N$184, 0,FALSE), IFERROR(VLOOKUP($A873,'Vocus SIT ExDa'!$B$2:$J$173, 0,FALSE), IFERROR(VLOOKUP($A873,'Telstra ExDa'!$B$2:$K$310, 0,FALSE), IFERROR(VLOOKUP($A873,'Vocus RVC ExDa'!$C$2:$R$155, 0,FALSE), IFERROR(VLOOKUP($A873,'Fusion ExDa'!$B$2:$D$16, 0,FALSE), IFERROR(VLOOKUP($A873,'Exetel ExDa'!$C$2:$N$14, 11,FALSE), IFERROR(VLOOKUP($A873,'Infinet ExDa'!$B$2:$E$14, 0,FALSE), "Not Found"))))))))</f>
        <v>Not Found</v>
      </c>
      <c r="N873" t="str">
        <f>IFERROR(VLOOKUP($A873,'AAPT ExDa'!$B$2:$U$99, 0,FALSE), IFERROR(VLOOKUP($A873,'ABB ExDa'!$A$2:$N$184, 13,FALSE), IFERROR(VLOOKUP($A873,'Vocus SIT ExDa'!$B$2:$J$173, 0,FALSE), IFERROR(VLOOKUP($A873,'Telstra ExDa'!$B$2:$K$310, 0,FALSE), IFERROR(VLOOKUP($A873,'Vocus RVC ExDa'!$C$2:$R$155, 0,FALSE), IFERROR(VLOOKUP($A873,'Fusion ExDa'!$B$2:$D$16, 0,FALSE), IFERROR(VLOOKUP($A873,'Exetel ExDa'!$C$2:$N$14, 0,FALSE), IFERROR(VLOOKUP($A873,'Infinet ExDa'!$B$2:$E$14, 0,FALSE), "Not Found"))))))))</f>
        <v>Not Found</v>
      </c>
    </row>
    <row r="874" spans="1:14">
      <c r="A874" t="str">
        <v>The Yiros Shop Canon Hill</v>
      </c>
      <c r="B874" t="str">
        <f>IFERROR(VLOOKUP(A874,'Exetel ExDa'!$C$2:$N$14,4,FALSE),"No Data")</f>
        <v>No Data</v>
      </c>
      <c r="C874" t="str">
        <f>IFERROR(VLOOKUP(A874,'AAPT ExDa'!$B$2:$U$99, 2,FALSE), IFERROR(VLOOKUP(A874,'ABB ExDa'!$A$2:$N$184, 2,FALSE), IFERROR(VLOOKUP(A874,'Vocus SIT ExDa'!$B$2:$J$173, 7,FALSE), IFERROR(VLOOKUP(A874,'Telstra ExDa'!$B$2:$K$310, 2,FALSE), IFERROR(VLOOKUP(A874,'Vocus RVC ExDa'!$C$2:$R$155, 3,FALSE), IFERROR(VLOOKUP(A874,'Fusion ExDa'!$B$2:$D$16, 2,FALSE), IFERROR(VLOOKUP(A874,'Exetel ExDa'!$C$2:$N$14, 2,FALSE), IFERROR(VLOOKUP(A874,'Infinet ExDa'!$B$2:$E$14, 2,FALSE), "Not Found"))))))))</f>
        <v>8A 27 Southgate  AV</v>
      </c>
      <c r="D874">
        <f>IFERROR(VLOOKUP($A874,'AAPT ExDa'!$B$2:$U$99, 15,FALSE), IFERROR(VLOOKUP($A874,'ABB ExDa'!$A$2:$N$184, 4,FALSE), IFERROR(VLOOKUP($A874,'Vocus SIT ExDa'!$B$2:$J$173, 5,FALSE), IFERROR(VLOOKUP($A874,'Telstra ExDa'!$B$2:$K$310, 8,FALSE), IFERROR(VLOOKUP($A874,'Vocus RVC ExDa'!$C$2:$R$155, 6,FALSE), IFERROR(VLOOKUP($A874,'Fusion ExDa'!$B$2:$D$16, 4,FALSE), IFERROR(VLOOKUP($A874,'Exetel ExDa'!$C$2:$N$14, 3,FALSE), IFERROR(VLOOKUP($A874,'Infinet ExDa'!$B$2:$E$14, 3,FALSE), "Not Found"))))))))</f>
        <v>4170</v>
      </c>
      <c r="E874" t="str">
        <f>IFERROR(VLOOKUP($A874,'AAPT ExDa'!$B$2:$U$99, 3,FALSE), IFERROR(VLOOKUP($A874,'ABB ExDa'!$A$2:$N$184, 5,FALSE), IFERROR(VLOOKUP($A874,'Vocus SIT ExDa'!$B$2:$J$173, 2,FALSE), IFERROR(VLOOKUP($A874,'Telstra ExDa'!$B$2:$K$310, 4,FALSE), IFERROR(VLOOKUP($A874,'Vocus RVC ExDa'!$C$2:$R$155, 8,FALSE), IFERROR(VLOOKUP($A874,'Fusion ExDa'!$B$2:$D$16, 4,FALSE), IFERROR(VLOOKUP($A874,'Exetel ExDa'!$C$2:$N$14, 5,FALSE), IFERROR(VLOOKUP($A874,'Infinet ExDa'!$B$2:$E$14, 3,FALSE), "Not Found"))))))))</f>
        <v>Mobile Service</v>
      </c>
      <c r="F874">
        <f>IFERROR(VLOOKUP($A874,'AAPT ExDa'!$B$2:$U$99, 4,FALSE), IFERROR(VLOOKUP($A874,'ABB ExDa'!$A$2:$N$184, 6,FALSE), IFERROR(VLOOKUP($A874,'Vocus SIT ExDa'!$B$2:$J$173, 3,FALSE), IFERROR(VLOOKUP($A874,'Telstra ExDa'!$B$2:$K$310, 5,FALSE), IFERROR(VLOOKUP($A874,'Vocus RVC ExDa'!$C$2:$R$155, 9,FALSE), IFERROR(VLOOKUP($A874,'Fusion ExDa'!$B$2:$D$16, 0,FALSE), IFERROR(VLOOKUP($A874,'Exetel ExDa'!$C$2:$N$14, 6,FALSE), IFERROR(VLOOKUP($A874,'Infinet ExDa'!$B$2:$E$14, 0,FALSE), "Not Found"))))))))</f>
        <v>45800</v>
      </c>
      <c r="G874">
        <f>IFERROR(VLOOKUP($A874,'AAPT ExDa'!$B$2:$U$99, 5,FALSE), IFERROR(VLOOKUP($A874,'ABB ExDa'!$A$2:$N$184, 8,FALSE), IFERROR(VLOOKUP($A874,'Vocus SIT ExDa'!$B$2:$J$173, 6,FALSE), IFERROR(VLOOKUP($A874,'Telstra ExDa'!$B$2:$K$310, 0,FALSE), IFERROR(VLOOKUP($A874,'Vocus RVC ExDa'!$C$2:$R$155, 15,FALSE), IFERROR(VLOOKUP($A874,'Fusion ExDa'!$B$2:$D$16, 0,FALSE), IFERROR(VLOOKUP($A874,'Exetel ExDa'!$C$2:$N$14, 7,FALSE), IFERROR(VLOOKUP($A874,'Infinet ExDa'!$B$2:$E$14, 0,FALSE), "Not Found"))))))))</f>
        <v>0</v>
      </c>
      <c r="H874">
        <f>IFERROR(VLOOKUP($A874,'AAPT ExDa'!$B$2:$U$99, 6,FALSE), IFERROR(VLOOKUP($A874,'ABB ExDa'!$A$2:$N$184, 0,FALSE), IFERROR(VLOOKUP($A874,'Vocus SIT ExDa'!$B$2:$J$173, 0,FALSE), IFERROR(VLOOKUP($A874,'Telstra ExDa'!$B$2:$K$310, 0,FALSE), IFERROR(VLOOKUP($A874,'Vocus RVC ExDa'!$C$2:$R$155, 16,FALSE), IFERROR(VLOOKUP($A874,'Fusion ExDa'!$B$2:$D$16, 0,FALSE), IFERROR(VLOOKUP($A874,'Exetel ExDa'!$C$2:$N$14, 0,FALSE), IFERROR(VLOOKUP($A874,'Infinet ExDa'!$B$2:$E$14, 0,FALSE), "Not Found"))))))))</f>
        <v>0</v>
      </c>
      <c r="I874" t="str">
        <f>IFERROR(VLOOKUP($A874,'AAPT ExDa'!$B$2:$U$99, 0,FALSE), IFERROR(VLOOKUP($A874,'ABB ExDa'!$A$2:$N$184, 0,FALSE), IFERROR(VLOOKUP($A874,'Vocus SIT ExDa'!$B$2:$J$173, 0,FALSE), IFERROR(VLOOKUP($A874,'Telstra ExDa'!$B$2:$K$310, 0,FALSE), IFERROR(VLOOKUP($A874,'Vocus RVC ExDa'!$C$2:$R$155, 0,FALSE), IFERROR(VLOOKUP($A874,'Fusion ExDa'!$B$2:$D$16, 0,FALSE), IFERROR(VLOOKUP($A874,'Exetel ExDa'!$C$2:$N$14, 8,FALSE), IFERROR(VLOOKUP($A874,'Infinet ExDa'!$B$2:$E$14, 0,FALSE), "Not Found"))))))))</f>
        <v>Not Found</v>
      </c>
      <c r="J874">
        <f>IFERROR(VLOOKUP($A874,'AAPT ExDa'!$B$2:$U$99, 7,FALSE), IFERROR(VLOOKUP($A874,'ABB ExDa'!$A$2:$N$184, 2,FALSE), IFERROR(VLOOKUP($A874,'Vocus SIT ExDa'!$B$2:$J$173, 0,FALSE), IFERROR(VLOOKUP($A874,'Telstra ExDa'!$B$2:$K$310, 7,FALSE), IFERROR(VLOOKUP($A874,'Vocus RVC ExDa'!$C$2:$R$155, 2,FALSE), IFERROR(VLOOKUP($A874,'Fusion ExDa'!$B$2:$D$16, 3,FALSE), IFERROR(VLOOKUP($A874,'Exetel ExDa'!$C$2:$N$14, 0,FALSE), IFERROR(VLOOKUP($A874,'Infinet ExDa'!$B$2:$E$14, 0,FALSE), "Not Found"))))))))</f>
        <v>0</v>
      </c>
      <c r="K874" t="str">
        <f>IFERROR(VLOOKUP($A874,'AAPT ExDa'!$B$2:$U$99, 12,FALSE), IFERROR(VLOOKUP($A874,'ABB ExDa'!$A$2:$N$184, 0,FALSE), IFERROR(VLOOKUP($A874,'Vocus SIT ExDa'!$B$2:$J$173, 0,FALSE), IFERROR(VLOOKUP($A874,'Telstra ExDa'!$B$2:$K$310, 0,FALSE), IFERROR(VLOOKUP($A874,'Vocus RVC ExDa'!$C$2:$R$155, 0,FALSE), IFERROR(VLOOKUP($A874,'Fusion ExDa'!$B$2:$D$16, 0,FALSE), IFERROR(VLOOKUP($A874,'Exetel ExDa'!$C$2:$N$14, 12,FALSE), IFERROR(VLOOKUP($A874,'Infinet ExDa'!$B$2:$E$14, 0,FALSE), "Not Found"))))))))</f>
        <v>Not Found</v>
      </c>
      <c r="L874" s="235" t="str">
        <f>IFERROR(VLOOKUP($A874,'AAPT ExDa'!$B$2:$U$99, 11,FALSE), IFERROR(VLOOKUP($A874,'ABB ExDa'!$A$2:$N$184, 9,FALSE), IFERROR(VLOOKUP($A874,'Vocus SIT ExDa'!$B$2:$J$173, 8,FALSE), IFERROR(VLOOKUP($A874,'Telstra ExDa'!$B$2:$K$310, 0,FALSE), IFERROR(VLOOKUP($A874,'Vocus RVC ExDa'!$C$2:$R$155, 0,FALSE), IFERROR(VLOOKUP($A874,'Fusion ExDa'!$B$2:$D$16, 0,FALSE), IFERROR(VLOOKUP($A874,'Exetel ExDa'!$C$2:$N$14, 9,FALSE), IFERROR(VLOOKUP($A874,'Infinet ExDa'!$B$2:$E$14, 0,FALSE), "Not Found"))))))))</f>
        <v>Not Found</v>
      </c>
      <c r="M874" s="234" t="str">
        <f>IFERROR(VLOOKUP($A874,'AAPT ExDa'!$B$2:$U$99, 0,FALSE), IFERROR(VLOOKUP($A874,'ABB ExDa'!$A$2:$N$184, 0,FALSE), IFERROR(VLOOKUP($A874,'Vocus SIT ExDa'!$B$2:$J$173, 0,FALSE), IFERROR(VLOOKUP($A874,'Telstra ExDa'!$B$2:$K$310, 0,FALSE), IFERROR(VLOOKUP($A874,'Vocus RVC ExDa'!$C$2:$R$155, 0,FALSE), IFERROR(VLOOKUP($A874,'Fusion ExDa'!$B$2:$D$16, 0,FALSE), IFERROR(VLOOKUP($A874,'Exetel ExDa'!$C$2:$N$14, 11,FALSE), IFERROR(VLOOKUP($A874,'Infinet ExDa'!$B$2:$E$14, 0,FALSE), "Not Found"))))))))</f>
        <v>Not Found</v>
      </c>
      <c r="N874" t="str">
        <f>IFERROR(VLOOKUP($A874,'AAPT ExDa'!$B$2:$U$99, 0,FALSE), IFERROR(VLOOKUP($A874,'ABB ExDa'!$A$2:$N$184, 13,FALSE), IFERROR(VLOOKUP($A874,'Vocus SIT ExDa'!$B$2:$J$173, 0,FALSE), IFERROR(VLOOKUP($A874,'Telstra ExDa'!$B$2:$K$310, 0,FALSE), IFERROR(VLOOKUP($A874,'Vocus RVC ExDa'!$C$2:$R$155, 0,FALSE), IFERROR(VLOOKUP($A874,'Fusion ExDa'!$B$2:$D$16, 0,FALSE), IFERROR(VLOOKUP($A874,'Exetel ExDa'!$C$2:$N$14, 0,FALSE), IFERROR(VLOOKUP($A874,'Infinet ExDa'!$B$2:$E$14, 0,FALSE), "Not Found"))))))))</f>
        <v>Not Found</v>
      </c>
    </row>
    <row r="875" spans="1:14">
      <c r="A875" t="str">
        <v xml:space="preserve">	Zambrero Cranbourne North</v>
      </c>
      <c r="B875" t="str">
        <f>IFERROR(VLOOKUP(A875,'Exetel ExDa'!$C$2:$N$14,4,FALSE),"No Data")</f>
        <v>No Data</v>
      </c>
      <c r="C875" t="str">
        <f>IFERROR(VLOOKUP(A875,'AAPT ExDa'!$B$2:$U$99, 2,FALSE), IFERROR(VLOOKUP(A875,'ABB ExDa'!$A$2:$N$184, 2,FALSE), IFERROR(VLOOKUP(A875,'Vocus SIT ExDa'!$B$2:$J$173, 7,FALSE), IFERROR(VLOOKUP(A875,'Telstra ExDa'!$B$2:$K$310, 2,FALSE), IFERROR(VLOOKUP(A875,'Vocus RVC ExDa'!$C$2:$R$155, 3,FALSE), IFERROR(VLOOKUP(A875,'Fusion ExDa'!$B$2:$D$16, 2,FALSE), IFERROR(VLOOKUP(A875,'Exetel ExDa'!$C$2:$N$14, 2,FALSE), IFERROR(VLOOKUP(A875,'Infinet ExDa'!$B$2:$E$14, 2,FALSE), "Not Found"))))))))</f>
        <v>2 1585 Thompsons RD</v>
      </c>
      <c r="D875">
        <f>IFERROR(VLOOKUP($A875,'AAPT ExDa'!$B$2:$U$99, 15,FALSE), IFERROR(VLOOKUP($A875,'ABB ExDa'!$A$2:$N$184, 4,FALSE), IFERROR(VLOOKUP($A875,'Vocus SIT ExDa'!$B$2:$J$173, 5,FALSE), IFERROR(VLOOKUP($A875,'Telstra ExDa'!$B$2:$K$310, 8,FALSE), IFERROR(VLOOKUP($A875,'Vocus RVC ExDa'!$C$2:$R$155, 6,FALSE), IFERROR(VLOOKUP($A875,'Fusion ExDa'!$B$2:$D$16, 4,FALSE), IFERROR(VLOOKUP($A875,'Exetel ExDa'!$C$2:$N$14, 3,FALSE), IFERROR(VLOOKUP($A875,'Infinet ExDa'!$B$2:$E$14, 3,FALSE), "Not Found"))))))))</f>
        <v>3977</v>
      </c>
      <c r="E875" t="str">
        <f>IFERROR(VLOOKUP($A875,'AAPT ExDa'!$B$2:$U$99, 3,FALSE), IFERROR(VLOOKUP($A875,'ABB ExDa'!$A$2:$N$184, 5,FALSE), IFERROR(VLOOKUP($A875,'Vocus SIT ExDa'!$B$2:$J$173, 2,FALSE), IFERROR(VLOOKUP($A875,'Telstra ExDa'!$B$2:$K$310, 4,FALSE), IFERROR(VLOOKUP($A875,'Vocus RVC ExDa'!$C$2:$R$155, 8,FALSE), IFERROR(VLOOKUP($A875,'Fusion ExDa'!$B$2:$D$16, 4,FALSE), IFERROR(VLOOKUP($A875,'Exetel ExDa'!$C$2:$N$14, 5,FALSE), IFERROR(VLOOKUP($A875,'Infinet ExDa'!$B$2:$E$14, 3,FALSE), "Not Found"))))))))</f>
        <v>Mobile Service</v>
      </c>
      <c r="F875">
        <f>IFERROR(VLOOKUP($A875,'AAPT ExDa'!$B$2:$U$99, 4,FALSE), IFERROR(VLOOKUP($A875,'ABB ExDa'!$A$2:$N$184, 6,FALSE), IFERROR(VLOOKUP($A875,'Vocus SIT ExDa'!$B$2:$J$173, 3,FALSE), IFERROR(VLOOKUP($A875,'Telstra ExDa'!$B$2:$K$310, 5,FALSE), IFERROR(VLOOKUP($A875,'Vocus RVC ExDa'!$C$2:$R$155, 9,FALSE), IFERROR(VLOOKUP($A875,'Fusion ExDa'!$B$2:$D$16, 0,FALSE), IFERROR(VLOOKUP($A875,'Exetel ExDa'!$C$2:$N$14, 6,FALSE), IFERROR(VLOOKUP($A875,'Infinet ExDa'!$B$2:$E$14, 0,FALSE), "Not Found"))))))))</f>
        <v>45804</v>
      </c>
      <c r="G875">
        <f>IFERROR(VLOOKUP($A875,'AAPT ExDa'!$B$2:$U$99, 5,FALSE), IFERROR(VLOOKUP($A875,'ABB ExDa'!$A$2:$N$184, 8,FALSE), IFERROR(VLOOKUP($A875,'Vocus SIT ExDa'!$B$2:$J$173, 6,FALSE), IFERROR(VLOOKUP($A875,'Telstra ExDa'!$B$2:$K$310, 0,FALSE), IFERROR(VLOOKUP($A875,'Vocus RVC ExDa'!$C$2:$R$155, 15,FALSE), IFERROR(VLOOKUP($A875,'Fusion ExDa'!$B$2:$D$16, 0,FALSE), IFERROR(VLOOKUP($A875,'Exetel ExDa'!$C$2:$N$14, 7,FALSE), IFERROR(VLOOKUP($A875,'Infinet ExDa'!$B$2:$E$14, 0,FALSE), "Not Found"))))))))</f>
        <v>0</v>
      </c>
      <c r="H875">
        <f>IFERROR(VLOOKUP($A875,'AAPT ExDa'!$B$2:$U$99, 6,FALSE), IFERROR(VLOOKUP($A875,'ABB ExDa'!$A$2:$N$184, 0,FALSE), IFERROR(VLOOKUP($A875,'Vocus SIT ExDa'!$B$2:$J$173, 0,FALSE), IFERROR(VLOOKUP($A875,'Telstra ExDa'!$B$2:$K$310, 0,FALSE), IFERROR(VLOOKUP($A875,'Vocus RVC ExDa'!$C$2:$R$155, 16,FALSE), IFERROR(VLOOKUP($A875,'Fusion ExDa'!$B$2:$D$16, 0,FALSE), IFERROR(VLOOKUP($A875,'Exetel ExDa'!$C$2:$N$14, 0,FALSE), IFERROR(VLOOKUP($A875,'Infinet ExDa'!$B$2:$E$14, 0,FALSE), "Not Found"))))))))</f>
        <v>0</v>
      </c>
      <c r="I875" t="str">
        <f>IFERROR(VLOOKUP($A875,'AAPT ExDa'!$B$2:$U$99, 0,FALSE), IFERROR(VLOOKUP($A875,'ABB ExDa'!$A$2:$N$184, 0,FALSE), IFERROR(VLOOKUP($A875,'Vocus SIT ExDa'!$B$2:$J$173, 0,FALSE), IFERROR(VLOOKUP($A875,'Telstra ExDa'!$B$2:$K$310, 0,FALSE), IFERROR(VLOOKUP($A875,'Vocus RVC ExDa'!$C$2:$R$155, 0,FALSE), IFERROR(VLOOKUP($A875,'Fusion ExDa'!$B$2:$D$16, 0,FALSE), IFERROR(VLOOKUP($A875,'Exetel ExDa'!$C$2:$N$14, 8,FALSE), IFERROR(VLOOKUP($A875,'Infinet ExDa'!$B$2:$E$14, 0,FALSE), "Not Found"))))))))</f>
        <v>Not Found</v>
      </c>
      <c r="J875">
        <f>IFERROR(VLOOKUP($A875,'AAPT ExDa'!$B$2:$U$99, 7,FALSE), IFERROR(VLOOKUP($A875,'ABB ExDa'!$A$2:$N$184, 2,FALSE), IFERROR(VLOOKUP($A875,'Vocus SIT ExDa'!$B$2:$J$173, 0,FALSE), IFERROR(VLOOKUP($A875,'Telstra ExDa'!$B$2:$K$310, 7,FALSE), IFERROR(VLOOKUP($A875,'Vocus RVC ExDa'!$C$2:$R$155, 2,FALSE), IFERROR(VLOOKUP($A875,'Fusion ExDa'!$B$2:$D$16, 3,FALSE), IFERROR(VLOOKUP($A875,'Exetel ExDa'!$C$2:$N$14, 0,FALSE), IFERROR(VLOOKUP($A875,'Infinet ExDa'!$B$2:$E$14, 0,FALSE), "Not Found"))))))))</f>
        <v>0</v>
      </c>
      <c r="K875" t="str">
        <f>IFERROR(VLOOKUP($A875,'AAPT ExDa'!$B$2:$U$99, 12,FALSE), IFERROR(VLOOKUP($A875,'ABB ExDa'!$A$2:$N$184, 0,FALSE), IFERROR(VLOOKUP($A875,'Vocus SIT ExDa'!$B$2:$J$173, 0,FALSE), IFERROR(VLOOKUP($A875,'Telstra ExDa'!$B$2:$K$310, 0,FALSE), IFERROR(VLOOKUP($A875,'Vocus RVC ExDa'!$C$2:$R$155, 0,FALSE), IFERROR(VLOOKUP($A875,'Fusion ExDa'!$B$2:$D$16, 0,FALSE), IFERROR(VLOOKUP($A875,'Exetel ExDa'!$C$2:$N$14, 12,FALSE), IFERROR(VLOOKUP($A875,'Infinet ExDa'!$B$2:$E$14, 0,FALSE), "Not Found"))))))))</f>
        <v>Not Found</v>
      </c>
      <c r="L875" s="235" t="str">
        <f>IFERROR(VLOOKUP($A875,'AAPT ExDa'!$B$2:$U$99, 11,FALSE), IFERROR(VLOOKUP($A875,'ABB ExDa'!$A$2:$N$184, 9,FALSE), IFERROR(VLOOKUP($A875,'Vocus SIT ExDa'!$B$2:$J$173, 8,FALSE), IFERROR(VLOOKUP($A875,'Telstra ExDa'!$B$2:$K$310, 0,FALSE), IFERROR(VLOOKUP($A875,'Vocus RVC ExDa'!$C$2:$R$155, 0,FALSE), IFERROR(VLOOKUP($A875,'Fusion ExDa'!$B$2:$D$16, 0,FALSE), IFERROR(VLOOKUP($A875,'Exetel ExDa'!$C$2:$N$14, 9,FALSE), IFERROR(VLOOKUP($A875,'Infinet ExDa'!$B$2:$E$14, 0,FALSE), "Not Found"))))))))</f>
        <v>Not Found</v>
      </c>
      <c r="M875" s="234" t="str">
        <f>IFERROR(VLOOKUP($A875,'AAPT ExDa'!$B$2:$U$99, 0,FALSE), IFERROR(VLOOKUP($A875,'ABB ExDa'!$A$2:$N$184, 0,FALSE), IFERROR(VLOOKUP($A875,'Vocus SIT ExDa'!$B$2:$J$173, 0,FALSE), IFERROR(VLOOKUP($A875,'Telstra ExDa'!$B$2:$K$310, 0,FALSE), IFERROR(VLOOKUP($A875,'Vocus RVC ExDa'!$C$2:$R$155, 0,FALSE), IFERROR(VLOOKUP($A875,'Fusion ExDa'!$B$2:$D$16, 0,FALSE), IFERROR(VLOOKUP($A875,'Exetel ExDa'!$C$2:$N$14, 11,FALSE), IFERROR(VLOOKUP($A875,'Infinet ExDa'!$B$2:$E$14, 0,FALSE), "Not Found"))))))))</f>
        <v>Not Found</v>
      </c>
      <c r="N875" t="str">
        <f>IFERROR(VLOOKUP($A875,'AAPT ExDa'!$B$2:$U$99, 0,FALSE), IFERROR(VLOOKUP($A875,'ABB ExDa'!$A$2:$N$184, 13,FALSE), IFERROR(VLOOKUP($A875,'Vocus SIT ExDa'!$B$2:$J$173, 0,FALSE), IFERROR(VLOOKUP($A875,'Telstra ExDa'!$B$2:$K$310, 0,FALSE), IFERROR(VLOOKUP($A875,'Vocus RVC ExDa'!$C$2:$R$155, 0,FALSE), IFERROR(VLOOKUP($A875,'Fusion ExDa'!$B$2:$D$16, 0,FALSE), IFERROR(VLOOKUP($A875,'Exetel ExDa'!$C$2:$N$14, 0,FALSE), IFERROR(VLOOKUP($A875,'Infinet ExDa'!$B$2:$E$14, 0,FALSE), "Not Found"))))))))</f>
        <v>Not Found</v>
      </c>
    </row>
    <row r="876" spans="1:14">
      <c r="A876" t="str">
        <v>Zambrero Biggera Waters</v>
      </c>
      <c r="B876" t="str">
        <f>IFERROR(VLOOKUP(A876,'Exetel ExDa'!$C$2:$N$14,4,FALSE),"No Data")</f>
        <v>No Data</v>
      </c>
      <c r="C876" t="str">
        <f>IFERROR(VLOOKUP(A876,'AAPT ExDa'!$B$2:$U$99, 2,FALSE), IFERROR(VLOOKUP(A876,'ABB ExDa'!$A$2:$N$184, 2,FALSE), IFERROR(VLOOKUP(A876,'Vocus SIT ExDa'!$B$2:$J$173, 7,FALSE), IFERROR(VLOOKUP(A876,'Telstra ExDa'!$B$2:$K$310, 2,FALSE), IFERROR(VLOOKUP(A876,'Vocus RVC ExDa'!$C$2:$R$155, 3,FALSE), IFERROR(VLOOKUP(A876,'Fusion ExDa'!$B$2:$D$16, 2,FALSE), IFERROR(VLOOKUP(A876,'Exetel ExDa'!$C$2:$N$14, 2,FALSE), IFERROR(VLOOKUP(A876,'Infinet ExDa'!$B$2:$E$14, 2,FALSE), "Not Found"))))))))</f>
        <v>Shop 11, Treasure Cove Shopping Centre , 2 Treasure Island Dr, Biggera Waters QLD 4216</v>
      </c>
      <c r="D876" t="str">
        <f>IFERROR(VLOOKUP($A876,'AAPT ExDa'!$B$2:$U$99, 15,FALSE), IFERROR(VLOOKUP($A876,'ABB ExDa'!$A$2:$N$184, 4,FALSE), IFERROR(VLOOKUP($A876,'Vocus SIT ExDa'!$B$2:$J$173, 5,FALSE), IFERROR(VLOOKUP($A876,'Telstra ExDa'!$B$2:$K$310, 8,FALSE), IFERROR(VLOOKUP($A876,'Vocus RVC ExDa'!$C$2:$R$155, 6,FALSE), IFERROR(VLOOKUP($A876,'Fusion ExDa'!$B$2:$D$16, 4,FALSE), IFERROR(VLOOKUP($A876,'Exetel ExDa'!$C$2:$N$14, 3,FALSE), IFERROR(VLOOKUP($A876,'Infinet ExDa'!$B$2:$E$14, 3,FALSE), "Not Found"))))))))</f>
        <v>Telstra</v>
      </c>
      <c r="E876" t="str">
        <f>IFERROR(VLOOKUP($A876,'AAPT ExDa'!$B$2:$U$99, 3,FALSE), IFERROR(VLOOKUP($A876,'ABB ExDa'!$A$2:$N$184, 5,FALSE), IFERROR(VLOOKUP($A876,'Vocus SIT ExDa'!$B$2:$J$173, 2,FALSE), IFERROR(VLOOKUP($A876,'Telstra ExDa'!$B$2:$K$310, 4,FALSE), IFERROR(VLOOKUP($A876,'Vocus RVC ExDa'!$C$2:$R$155, 8,FALSE), IFERROR(VLOOKUP($A876,'Fusion ExDa'!$B$2:$D$16, 4,FALSE), IFERROR(VLOOKUP($A876,'Exetel ExDa'!$C$2:$N$14, 5,FALSE), IFERROR(VLOOKUP($A876,'Infinet ExDa'!$B$2:$E$14, 3,FALSE), "Not Found"))))))))</f>
        <v>Internet and Data 3975865580</v>
      </c>
      <c r="F876" t="str">
        <f>IFERROR(VLOOKUP($A876,'AAPT ExDa'!$B$2:$U$99, 4,FALSE), IFERROR(VLOOKUP($A876,'ABB ExDa'!$A$2:$N$184, 6,FALSE), IFERROR(VLOOKUP($A876,'Vocus SIT ExDa'!$B$2:$J$173, 3,FALSE), IFERROR(VLOOKUP($A876,'Telstra ExDa'!$B$2:$K$310, 5,FALSE), IFERROR(VLOOKUP($A876,'Vocus RVC ExDa'!$C$2:$R$155, 9,FALSE), IFERROR(VLOOKUP($A876,'Fusion ExDa'!$B$2:$D$16, 0,FALSE), IFERROR(VLOOKUP($A876,'Exetel ExDa'!$C$2:$N$14, 6,FALSE), IFERROR(VLOOKUP($A876,'Infinet ExDa'!$B$2:$E$14, 0,FALSE), "Not Found"))))))))</f>
        <v>zambiggerawaters@bigpond.com</v>
      </c>
      <c r="G876">
        <f>IFERROR(VLOOKUP($A876,'AAPT ExDa'!$B$2:$U$99, 5,FALSE), IFERROR(VLOOKUP($A876,'ABB ExDa'!$A$2:$N$184, 8,FALSE), IFERROR(VLOOKUP($A876,'Vocus SIT ExDa'!$B$2:$J$173, 6,FALSE), IFERROR(VLOOKUP($A876,'Telstra ExDa'!$B$2:$K$310, 0,FALSE), IFERROR(VLOOKUP($A876,'Vocus RVC ExDa'!$C$2:$R$155, 15,FALSE), IFERROR(VLOOKUP($A876,'Fusion ExDa'!$B$2:$D$16, 0,FALSE), IFERROR(VLOOKUP($A876,'Exetel ExDa'!$C$2:$N$14, 7,FALSE), IFERROR(VLOOKUP($A876,'Infinet ExDa'!$B$2:$E$14, 0,FALSE), "Not Found"))))))))</f>
        <v>0</v>
      </c>
      <c r="H876">
        <f>IFERROR(VLOOKUP($A876,'AAPT ExDa'!$B$2:$U$99, 6,FALSE), IFERROR(VLOOKUP($A876,'ABB ExDa'!$A$2:$N$184, 0,FALSE), IFERROR(VLOOKUP($A876,'Vocus SIT ExDa'!$B$2:$J$173, 0,FALSE), IFERROR(VLOOKUP($A876,'Telstra ExDa'!$B$2:$K$310, 0,FALSE), IFERROR(VLOOKUP($A876,'Vocus RVC ExDa'!$C$2:$R$155, 16,FALSE), IFERROR(VLOOKUP($A876,'Fusion ExDa'!$B$2:$D$16, 0,FALSE), IFERROR(VLOOKUP($A876,'Exetel ExDa'!$C$2:$N$14, 0,FALSE), IFERROR(VLOOKUP($A876,'Infinet ExDa'!$B$2:$E$14, 0,FALSE), "Not Found"))))))))</f>
        <v>0</v>
      </c>
      <c r="I876" t="str">
        <f>IFERROR(VLOOKUP($A876,'AAPT ExDa'!$B$2:$U$99, 0,FALSE), IFERROR(VLOOKUP($A876,'ABB ExDa'!$A$2:$N$184, 0,FALSE), IFERROR(VLOOKUP($A876,'Vocus SIT ExDa'!$B$2:$J$173, 0,FALSE), IFERROR(VLOOKUP($A876,'Telstra ExDa'!$B$2:$K$310, 0,FALSE), IFERROR(VLOOKUP($A876,'Vocus RVC ExDa'!$C$2:$R$155, 0,FALSE), IFERROR(VLOOKUP($A876,'Fusion ExDa'!$B$2:$D$16, 0,FALSE), IFERROR(VLOOKUP($A876,'Exetel ExDa'!$C$2:$N$14, 8,FALSE), IFERROR(VLOOKUP($A876,'Infinet ExDa'!$B$2:$E$14, 0,FALSE), "Not Found"))))))))</f>
        <v>Not Found</v>
      </c>
      <c r="J876">
        <f>IFERROR(VLOOKUP($A876,'AAPT ExDa'!$B$2:$U$99, 7,FALSE), IFERROR(VLOOKUP($A876,'ABB ExDa'!$A$2:$N$184, 2,FALSE), IFERROR(VLOOKUP($A876,'Vocus SIT ExDa'!$B$2:$J$173, 0,FALSE), IFERROR(VLOOKUP($A876,'Telstra ExDa'!$B$2:$K$310, 7,FALSE), IFERROR(VLOOKUP($A876,'Vocus RVC ExDa'!$C$2:$R$155, 2,FALSE), IFERROR(VLOOKUP($A876,'Fusion ExDa'!$B$2:$D$16, 3,FALSE), IFERROR(VLOOKUP($A876,'Exetel ExDa'!$C$2:$N$14, 0,FALSE), IFERROR(VLOOKUP($A876,'Infinet ExDa'!$B$2:$E$14, 0,FALSE), "Not Found"))))))))</f>
        <v>0</v>
      </c>
      <c r="K876" t="str">
        <f>IFERROR(VLOOKUP($A876,'AAPT ExDa'!$B$2:$U$99, 12,FALSE), IFERROR(VLOOKUP($A876,'ABB ExDa'!$A$2:$N$184, 0,FALSE), IFERROR(VLOOKUP($A876,'Vocus SIT ExDa'!$B$2:$J$173, 0,FALSE), IFERROR(VLOOKUP($A876,'Telstra ExDa'!$B$2:$K$310, 0,FALSE), IFERROR(VLOOKUP($A876,'Vocus RVC ExDa'!$C$2:$R$155, 0,FALSE), IFERROR(VLOOKUP($A876,'Fusion ExDa'!$B$2:$D$16, 0,FALSE), IFERROR(VLOOKUP($A876,'Exetel ExDa'!$C$2:$N$14, 12,FALSE), IFERROR(VLOOKUP($A876,'Infinet ExDa'!$B$2:$E$14, 0,FALSE), "Not Found"))))))))</f>
        <v>Not Found</v>
      </c>
      <c r="L876" s="235" t="str">
        <f>IFERROR(VLOOKUP($A876,'AAPT ExDa'!$B$2:$U$99, 11,FALSE), IFERROR(VLOOKUP($A876,'ABB ExDa'!$A$2:$N$184, 9,FALSE), IFERROR(VLOOKUP($A876,'Vocus SIT ExDa'!$B$2:$J$173, 8,FALSE), IFERROR(VLOOKUP($A876,'Telstra ExDa'!$B$2:$K$310, 0,FALSE), IFERROR(VLOOKUP($A876,'Vocus RVC ExDa'!$C$2:$R$155, 0,FALSE), IFERROR(VLOOKUP($A876,'Fusion ExDa'!$B$2:$D$16, 0,FALSE), IFERROR(VLOOKUP($A876,'Exetel ExDa'!$C$2:$N$14, 9,FALSE), IFERROR(VLOOKUP($A876,'Infinet ExDa'!$B$2:$E$14, 0,FALSE), "Not Found"))))))))</f>
        <v>Not Found</v>
      </c>
      <c r="M876" s="234" t="str">
        <f>IFERROR(VLOOKUP($A876,'AAPT ExDa'!$B$2:$U$99, 0,FALSE), IFERROR(VLOOKUP($A876,'ABB ExDa'!$A$2:$N$184, 0,FALSE), IFERROR(VLOOKUP($A876,'Vocus SIT ExDa'!$B$2:$J$173, 0,FALSE), IFERROR(VLOOKUP($A876,'Telstra ExDa'!$B$2:$K$310, 0,FALSE), IFERROR(VLOOKUP($A876,'Vocus RVC ExDa'!$C$2:$R$155, 0,FALSE), IFERROR(VLOOKUP($A876,'Fusion ExDa'!$B$2:$D$16, 0,FALSE), IFERROR(VLOOKUP($A876,'Exetel ExDa'!$C$2:$N$14, 11,FALSE), IFERROR(VLOOKUP($A876,'Infinet ExDa'!$B$2:$E$14, 0,FALSE), "Not Found"))))))))</f>
        <v>Not Found</v>
      </c>
      <c r="N876" t="str">
        <f>IFERROR(VLOOKUP($A876,'AAPT ExDa'!$B$2:$U$99, 0,FALSE), IFERROR(VLOOKUP($A876,'ABB ExDa'!$A$2:$N$184, 13,FALSE), IFERROR(VLOOKUP($A876,'Vocus SIT ExDa'!$B$2:$J$173, 0,FALSE), IFERROR(VLOOKUP($A876,'Telstra ExDa'!$B$2:$K$310, 0,FALSE), IFERROR(VLOOKUP($A876,'Vocus RVC ExDa'!$C$2:$R$155, 0,FALSE), IFERROR(VLOOKUP($A876,'Fusion ExDa'!$B$2:$D$16, 0,FALSE), IFERROR(VLOOKUP($A876,'Exetel ExDa'!$C$2:$N$14, 0,FALSE), IFERROR(VLOOKUP($A876,'Infinet ExDa'!$B$2:$E$14, 0,FALSE), "Not Found"))))))))</f>
        <v>Not Found</v>
      </c>
    </row>
    <row r="877" spans="1:14">
      <c r="A877" t="str">
        <v>Zambrero Casey Central</v>
      </c>
      <c r="B877" t="str">
        <f>IFERROR(VLOOKUP(A877,'Exetel ExDa'!$C$2:$N$14,4,FALSE),"No Data")</f>
        <v>No Data</v>
      </c>
      <c r="C877" t="str">
        <f>IFERROR(VLOOKUP(A877,'AAPT ExDa'!$B$2:$U$99, 2,FALSE), IFERROR(VLOOKUP(A877,'ABB ExDa'!$A$2:$N$184, 2,FALSE), IFERROR(VLOOKUP(A877,'Vocus SIT ExDa'!$B$2:$J$173, 7,FALSE), IFERROR(VLOOKUP(A877,'Telstra ExDa'!$B$2:$K$310, 2,FALSE), IFERROR(VLOOKUP(A877,'Vocus RVC ExDa'!$C$2:$R$155, 3,FALSE), IFERROR(VLOOKUP(A877,'Fusion ExDa'!$B$2:$D$16, 2,FALSE), IFERROR(VLOOKUP(A877,'Exetel ExDa'!$C$2:$N$14, 2,FALSE), IFERROR(VLOOKUP(A877,'Infinet ExDa'!$B$2:$E$14, 2,FALSE), "Not Found"))))))))</f>
        <v>SHOP F116A, 400 CRANBOURNE RD, NARRE WARREN SOUTH VIC</v>
      </c>
      <c r="D877" t="str">
        <f>IFERROR(VLOOKUP($A877,'AAPT ExDa'!$B$2:$U$99, 15,FALSE), IFERROR(VLOOKUP($A877,'ABB ExDa'!$A$2:$N$184, 4,FALSE), IFERROR(VLOOKUP($A877,'Vocus SIT ExDa'!$B$2:$J$173, 5,FALSE), IFERROR(VLOOKUP($A877,'Telstra ExDa'!$B$2:$K$310, 8,FALSE), IFERROR(VLOOKUP($A877,'Vocus RVC ExDa'!$C$2:$R$155, 6,FALSE), IFERROR(VLOOKUP($A877,'Fusion ExDa'!$B$2:$D$16, 4,FALSE), IFERROR(VLOOKUP($A877,'Exetel ExDa'!$C$2:$N$14, 3,FALSE), IFERROR(VLOOKUP($A877,'Infinet ExDa'!$B$2:$E$14, 3,FALSE), "Not Found"))))))))</f>
        <v>ABB</v>
      </c>
      <c r="E877" t="str">
        <f>IFERROR(VLOOKUP($A877,'AAPT ExDa'!$B$2:$U$99, 3,FALSE), IFERROR(VLOOKUP($A877,'ABB ExDa'!$A$2:$N$184, 5,FALSE), IFERROR(VLOOKUP($A877,'Vocus SIT ExDa'!$B$2:$J$173, 2,FALSE), IFERROR(VLOOKUP($A877,'Telstra ExDa'!$B$2:$K$310, 4,FALSE), IFERROR(VLOOKUP($A877,'Vocus RVC ExDa'!$C$2:$R$155, 8,FALSE), IFERROR(VLOOKUP($A877,'Fusion ExDa'!$B$2:$D$16, 4,FALSE), IFERROR(VLOOKUP($A877,'Exetel ExDa'!$C$2:$N$14, 5,FALSE), IFERROR(VLOOKUP($A877,'Infinet ExDa'!$B$2:$E$14, 3,FALSE), "Not Found"))))))))</f>
        <v>NBN 25/10</v>
      </c>
      <c r="F877" t="str">
        <f>IFERROR(VLOOKUP($A877,'AAPT ExDa'!$B$2:$U$99, 4,FALSE), IFERROR(VLOOKUP($A877,'ABB ExDa'!$A$2:$N$184, 6,FALSE), IFERROR(VLOOKUP($A877,'Vocus SIT ExDa'!$B$2:$J$173, 3,FALSE), IFERROR(VLOOKUP($A877,'Telstra ExDa'!$B$2:$K$310, 5,FALSE), IFERROR(VLOOKUP($A877,'Vocus RVC ExDa'!$C$2:$R$155, 9,FALSE), IFERROR(VLOOKUP($A877,'Fusion ExDa'!$B$2:$D$16, 0,FALSE), IFERROR(VLOOKUP($A877,'Exetel ExDa'!$C$2:$N$14, 6,FALSE), IFERROR(VLOOKUP($A877,'Infinet ExDa'!$B$2:$E$14, 0,FALSE), "Not Found"))))))))</f>
        <v>FTTN</v>
      </c>
      <c r="G877" t="str">
        <f>IFERROR(VLOOKUP($A877,'AAPT ExDa'!$B$2:$U$99, 5,FALSE), IFERROR(VLOOKUP($A877,'ABB ExDa'!$A$2:$N$184, 8,FALSE), IFERROR(VLOOKUP($A877,'Vocus SIT ExDa'!$B$2:$J$173, 6,FALSE), IFERROR(VLOOKUP($A877,'Telstra ExDa'!$B$2:$K$310, 0,FALSE), IFERROR(VLOOKUP($A877,'Vocus RVC ExDa'!$C$2:$R$155, 15,FALSE), IFERROR(VLOOKUP($A877,'Fusion ExDa'!$B$2:$D$16, 0,FALSE), IFERROR(VLOOKUP($A877,'Exetel ExDa'!$C$2:$N$14, 7,FALSE), IFERROR(VLOOKUP($A877,'Infinet ExDa'!$B$2:$E$14, 0,FALSE), "Not Found"))))))))</f>
        <v>180.181.200.214</v>
      </c>
      <c r="H877">
        <f>IFERROR(VLOOKUP($A877,'AAPT ExDa'!$B$2:$U$99, 6,FALSE), IFERROR(VLOOKUP($A877,'ABB ExDa'!$A$2:$N$184, 0,FALSE), IFERROR(VLOOKUP($A877,'Vocus SIT ExDa'!$B$2:$J$173, 0,FALSE), IFERROR(VLOOKUP($A877,'Telstra ExDa'!$B$2:$K$310, 0,FALSE), IFERROR(VLOOKUP($A877,'Vocus RVC ExDa'!$C$2:$R$155, 16,FALSE), IFERROR(VLOOKUP($A877,'Fusion ExDa'!$B$2:$D$16, 0,FALSE), IFERROR(VLOOKUP($A877,'Exetel ExDa'!$C$2:$N$14, 0,FALSE), IFERROR(VLOOKUP($A877,'Infinet ExDa'!$B$2:$E$14, 0,FALSE), "Not Found"))))))))</f>
        <v>0</v>
      </c>
      <c r="I877" t="str">
        <f>IFERROR(VLOOKUP($A877,'AAPT ExDa'!$B$2:$U$99, 0,FALSE), IFERROR(VLOOKUP($A877,'ABB ExDa'!$A$2:$N$184, 0,FALSE), IFERROR(VLOOKUP($A877,'Vocus SIT ExDa'!$B$2:$J$173, 0,FALSE), IFERROR(VLOOKUP($A877,'Telstra ExDa'!$B$2:$K$310, 0,FALSE), IFERROR(VLOOKUP($A877,'Vocus RVC ExDa'!$C$2:$R$155, 0,FALSE), IFERROR(VLOOKUP($A877,'Fusion ExDa'!$B$2:$D$16, 0,FALSE), IFERROR(VLOOKUP($A877,'Exetel ExDa'!$C$2:$N$14, 8,FALSE), IFERROR(VLOOKUP($A877,'Infinet ExDa'!$B$2:$E$14, 0,FALSE), "Not Found"))))))))</f>
        <v>Not Found</v>
      </c>
      <c r="J877" t="str">
        <f>IFERROR(VLOOKUP($A877,'AAPT ExDa'!$B$2:$U$99, 7,FALSE), IFERROR(VLOOKUP($A877,'ABB ExDa'!$A$2:$N$184, 2,FALSE), IFERROR(VLOOKUP($A877,'Vocus SIT ExDa'!$B$2:$J$173, 0,FALSE), IFERROR(VLOOKUP($A877,'Telstra ExDa'!$B$2:$K$310, 7,FALSE), IFERROR(VLOOKUP($A877,'Vocus RVC ExDa'!$C$2:$R$155, 2,FALSE), IFERROR(VLOOKUP($A877,'Fusion ExDa'!$B$2:$D$16, 3,FALSE), IFERROR(VLOOKUP($A877,'Exetel ExDa'!$C$2:$N$14, 0,FALSE), IFERROR(VLOOKUP($A877,'Infinet ExDa'!$B$2:$E$14, 0,FALSE), "Not Found"))))))))</f>
        <v>SHOP F116A, 400 CRANBOURNE RD, NARRE WARREN SOUTH VIC</v>
      </c>
      <c r="K877" t="str">
        <f>IFERROR(VLOOKUP($A877,'AAPT ExDa'!$B$2:$U$99, 12,FALSE), IFERROR(VLOOKUP($A877,'ABB ExDa'!$A$2:$N$184, 0,FALSE), IFERROR(VLOOKUP($A877,'Vocus SIT ExDa'!$B$2:$J$173, 0,FALSE), IFERROR(VLOOKUP($A877,'Telstra ExDa'!$B$2:$K$310, 0,FALSE), IFERROR(VLOOKUP($A877,'Vocus RVC ExDa'!$C$2:$R$155, 0,FALSE), IFERROR(VLOOKUP($A877,'Fusion ExDa'!$B$2:$D$16, 0,FALSE), IFERROR(VLOOKUP($A877,'Exetel ExDa'!$C$2:$N$14, 12,FALSE), IFERROR(VLOOKUP($A877,'Infinet ExDa'!$B$2:$E$14, 0,FALSE), "Not Found"))))))))</f>
        <v>Not Found</v>
      </c>
      <c r="L877" s="235" t="str">
        <f>IFERROR(VLOOKUP($A877,'AAPT ExDa'!$B$2:$U$99, 11,FALSE), IFERROR(VLOOKUP($A877,'ABB ExDa'!$A$2:$N$184, 9,FALSE), IFERROR(VLOOKUP($A877,'Vocus SIT ExDa'!$B$2:$J$173, 8,FALSE), IFERROR(VLOOKUP($A877,'Telstra ExDa'!$B$2:$K$310, 0,FALSE), IFERROR(VLOOKUP($A877,'Vocus RVC ExDa'!$C$2:$R$155, 0,FALSE), IFERROR(VLOOKUP($A877,'Fusion ExDa'!$B$2:$D$16, 0,FALSE), IFERROR(VLOOKUP($A877,'Exetel ExDa'!$C$2:$N$14, 9,FALSE), IFERROR(VLOOKUP($A877,'Infinet ExDa'!$B$2:$E$14, 0,FALSE), "Not Found"))))))))</f>
        <v>05 Aug 2025</v>
      </c>
      <c r="M877" s="234" t="str">
        <f>IFERROR(VLOOKUP($A877,'AAPT ExDa'!$B$2:$U$99, 0,FALSE), IFERROR(VLOOKUP($A877,'ABB ExDa'!$A$2:$N$184, 0,FALSE), IFERROR(VLOOKUP($A877,'Vocus SIT ExDa'!$B$2:$J$173, 0,FALSE), IFERROR(VLOOKUP($A877,'Telstra ExDa'!$B$2:$K$310, 0,FALSE), IFERROR(VLOOKUP($A877,'Vocus RVC ExDa'!$C$2:$R$155, 0,FALSE), IFERROR(VLOOKUP($A877,'Fusion ExDa'!$B$2:$D$16, 0,FALSE), IFERROR(VLOOKUP($A877,'Exetel ExDa'!$C$2:$N$14, 11,FALSE), IFERROR(VLOOKUP($A877,'Infinet ExDa'!$B$2:$E$14, 0,FALSE), "Not Found"))))))))</f>
        <v>Not Found</v>
      </c>
      <c r="N877" t="str">
        <f>IFERROR(VLOOKUP($A877,'AAPT ExDa'!$B$2:$U$99, 0,FALSE), IFERROR(VLOOKUP($A877,'ABB ExDa'!$A$2:$N$184, 13,FALSE), IFERROR(VLOOKUP($A877,'Vocus SIT ExDa'!$B$2:$J$173, 0,FALSE), IFERROR(VLOOKUP($A877,'Telstra ExDa'!$B$2:$K$310, 0,FALSE), IFERROR(VLOOKUP($A877,'Vocus RVC ExDa'!$C$2:$R$155, 0,FALSE), IFERROR(VLOOKUP($A877,'Fusion ExDa'!$B$2:$D$16, 0,FALSE), IFERROR(VLOOKUP($A877,'Exetel ExDa'!$C$2:$N$14, 0,FALSE), IFERROR(VLOOKUP($A877,'Infinet ExDa'!$B$2:$E$14, 0,FALSE), "Not Found"))))))))</f>
        <v>Onebill</v>
      </c>
    </row>
    <row r="878" spans="1:14">
      <c r="A878" t="str">
        <v>Zambrero Coolangatta</v>
      </c>
      <c r="B878" t="str">
        <f>IFERROR(VLOOKUP(A878,'Exetel ExDa'!$C$2:$N$14,4,FALSE),"No Data")</f>
        <v>No Data</v>
      </c>
      <c r="C878" t="str">
        <f>IFERROR(VLOOKUP(A878,'AAPT ExDa'!$B$2:$U$99, 2,FALSE), IFERROR(VLOOKUP(A878,'ABB ExDa'!$A$2:$N$184, 2,FALSE), IFERROR(VLOOKUP(A878,'Vocus SIT ExDa'!$B$2:$J$173, 7,FALSE), IFERROR(VLOOKUP(A878,'Telstra ExDa'!$B$2:$K$310, 2,FALSE), IFERROR(VLOOKUP(A878,'Vocus RVC ExDa'!$C$2:$R$155, 3,FALSE), IFERROR(VLOOKUP(A878,'Fusion ExDa'!$B$2:$D$16, 2,FALSE), IFERROR(VLOOKUP(A878,'Exetel ExDa'!$C$2:$N$14, 2,FALSE), IFERROR(VLOOKUP(A878,'Infinet ExDa'!$B$2:$E$14, 2,FALSE), "Not Found"))))))))</f>
        <v>Unit 1, 56 Griffith St, Coolangatta, QLD</v>
      </c>
      <c r="D878" t="str">
        <f>IFERROR(VLOOKUP($A878,'AAPT ExDa'!$B$2:$U$99, 15,FALSE), IFERROR(VLOOKUP($A878,'ABB ExDa'!$A$2:$N$184, 4,FALSE), IFERROR(VLOOKUP($A878,'Vocus SIT ExDa'!$B$2:$J$173, 5,FALSE), IFERROR(VLOOKUP($A878,'Telstra ExDa'!$B$2:$K$310, 8,FALSE), IFERROR(VLOOKUP($A878,'Vocus RVC ExDa'!$C$2:$R$155, 6,FALSE), IFERROR(VLOOKUP($A878,'Fusion ExDa'!$B$2:$D$16, 4,FALSE), IFERROR(VLOOKUP($A878,'Exetel ExDa'!$C$2:$N$14, 3,FALSE), IFERROR(VLOOKUP($A878,'Infinet ExDa'!$B$2:$E$14, 3,FALSE), "Not Found"))))))))</f>
        <v>Telstra</v>
      </c>
      <c r="E878">
        <f>IFERROR(VLOOKUP($A878,'AAPT ExDa'!$B$2:$U$99, 3,FALSE), IFERROR(VLOOKUP($A878,'ABB ExDa'!$A$2:$N$184, 5,FALSE), IFERROR(VLOOKUP($A878,'Vocus SIT ExDa'!$B$2:$J$173, 2,FALSE), IFERROR(VLOOKUP($A878,'Telstra ExDa'!$B$2:$K$310, 4,FALSE), IFERROR(VLOOKUP($A878,'Vocus RVC ExDa'!$C$2:$R$155, 8,FALSE), IFERROR(VLOOKUP($A878,'Fusion ExDa'!$B$2:$D$16, 4,FALSE), IFERROR(VLOOKUP($A878,'Exetel ExDa'!$C$2:$N$14, 5,FALSE), IFERROR(VLOOKUP($A878,'Infinet ExDa'!$B$2:$E$14, 3,FALSE), "Not Found"))))))))</f>
        <v>0</v>
      </c>
      <c r="F878" t="str">
        <f>IFERROR(VLOOKUP($A878,'AAPT ExDa'!$B$2:$U$99, 4,FALSE), IFERROR(VLOOKUP($A878,'ABB ExDa'!$A$2:$N$184, 6,FALSE), IFERROR(VLOOKUP($A878,'Vocus SIT ExDa'!$B$2:$J$173, 3,FALSE), IFERROR(VLOOKUP($A878,'Telstra ExDa'!$B$2:$K$310, 5,FALSE), IFERROR(VLOOKUP($A878,'Vocus RVC ExDa'!$C$2:$R$155, 9,FALSE), IFERROR(VLOOKUP($A878,'Fusion ExDa'!$B$2:$D$16, 0,FALSE), IFERROR(VLOOKUP($A878,'Exetel ExDa'!$C$2:$N$14, 6,FALSE), IFERROR(VLOOKUP($A878,'Infinet ExDa'!$B$2:$E$14, 0,FALSE), "Not Found"))))))))</f>
        <v>Main Business Number</v>
      </c>
      <c r="G878">
        <f>IFERROR(VLOOKUP($A878,'AAPT ExDa'!$B$2:$U$99, 5,FALSE), IFERROR(VLOOKUP($A878,'ABB ExDa'!$A$2:$N$184, 8,FALSE), IFERROR(VLOOKUP($A878,'Vocus SIT ExDa'!$B$2:$J$173, 6,FALSE), IFERROR(VLOOKUP($A878,'Telstra ExDa'!$B$2:$K$310, 0,FALSE), IFERROR(VLOOKUP($A878,'Vocus RVC ExDa'!$C$2:$R$155, 15,FALSE), IFERROR(VLOOKUP($A878,'Fusion ExDa'!$B$2:$D$16, 0,FALSE), IFERROR(VLOOKUP($A878,'Exetel ExDa'!$C$2:$N$14, 7,FALSE), IFERROR(VLOOKUP($A878,'Infinet ExDa'!$B$2:$E$14, 0,FALSE), "Not Found"))))))))</f>
        <v>0</v>
      </c>
      <c r="H878">
        <f>IFERROR(VLOOKUP($A878,'AAPT ExDa'!$B$2:$U$99, 6,FALSE), IFERROR(VLOOKUP($A878,'ABB ExDa'!$A$2:$N$184, 0,FALSE), IFERROR(VLOOKUP($A878,'Vocus SIT ExDa'!$B$2:$J$173, 0,FALSE), IFERROR(VLOOKUP($A878,'Telstra ExDa'!$B$2:$K$310, 0,FALSE), IFERROR(VLOOKUP($A878,'Vocus RVC ExDa'!$C$2:$R$155, 16,FALSE), IFERROR(VLOOKUP($A878,'Fusion ExDa'!$B$2:$D$16, 0,FALSE), IFERROR(VLOOKUP($A878,'Exetel ExDa'!$C$2:$N$14, 0,FALSE), IFERROR(VLOOKUP($A878,'Infinet ExDa'!$B$2:$E$14, 0,FALSE), "Not Found"))))))))</f>
        <v>0</v>
      </c>
      <c r="I878" t="str">
        <f>IFERROR(VLOOKUP($A878,'AAPT ExDa'!$B$2:$U$99, 0,FALSE), IFERROR(VLOOKUP($A878,'ABB ExDa'!$A$2:$N$184, 0,FALSE), IFERROR(VLOOKUP($A878,'Vocus SIT ExDa'!$B$2:$J$173, 0,FALSE), IFERROR(VLOOKUP($A878,'Telstra ExDa'!$B$2:$K$310, 0,FALSE), IFERROR(VLOOKUP($A878,'Vocus RVC ExDa'!$C$2:$R$155, 0,FALSE), IFERROR(VLOOKUP($A878,'Fusion ExDa'!$B$2:$D$16, 0,FALSE), IFERROR(VLOOKUP($A878,'Exetel ExDa'!$C$2:$N$14, 8,FALSE), IFERROR(VLOOKUP($A878,'Infinet ExDa'!$B$2:$E$14, 0,FALSE), "Not Found"))))))))</f>
        <v>Not Found</v>
      </c>
      <c r="J878" t="str">
        <f>IFERROR(VLOOKUP($A878,'AAPT ExDa'!$B$2:$U$99, 7,FALSE), IFERROR(VLOOKUP($A878,'ABB ExDa'!$A$2:$N$184, 2,FALSE), IFERROR(VLOOKUP($A878,'Vocus SIT ExDa'!$B$2:$J$173, 0,FALSE), IFERROR(VLOOKUP($A878,'Telstra ExDa'!$B$2:$K$310, 7,FALSE), IFERROR(VLOOKUP($A878,'Vocus RVC ExDa'!$C$2:$R$155, 2,FALSE), IFERROR(VLOOKUP($A878,'Fusion ExDa'!$B$2:$D$16, 3,FALSE), IFERROR(VLOOKUP($A878,'Exetel ExDa'!$C$2:$N$14, 0,FALSE), IFERROR(VLOOKUP($A878,'Infinet ExDa'!$B$2:$E$14, 0,FALSE), "Not Found"))))))))</f>
        <v xml:space="preserve">AVC000037209743 </v>
      </c>
      <c r="K878" t="str">
        <f>IFERROR(VLOOKUP($A878,'AAPT ExDa'!$B$2:$U$99, 12,FALSE), IFERROR(VLOOKUP($A878,'ABB ExDa'!$A$2:$N$184, 0,FALSE), IFERROR(VLOOKUP($A878,'Vocus SIT ExDa'!$B$2:$J$173, 0,FALSE), IFERROR(VLOOKUP($A878,'Telstra ExDa'!$B$2:$K$310, 0,FALSE), IFERROR(VLOOKUP($A878,'Vocus RVC ExDa'!$C$2:$R$155, 0,FALSE), IFERROR(VLOOKUP($A878,'Fusion ExDa'!$B$2:$D$16, 0,FALSE), IFERROR(VLOOKUP($A878,'Exetel ExDa'!$C$2:$N$14, 12,FALSE), IFERROR(VLOOKUP($A878,'Infinet ExDa'!$B$2:$E$14, 0,FALSE), "Not Found"))))))))</f>
        <v>Not Found</v>
      </c>
      <c r="L878" s="235" t="str">
        <f>IFERROR(VLOOKUP($A878,'AAPT ExDa'!$B$2:$U$99, 11,FALSE), IFERROR(VLOOKUP($A878,'ABB ExDa'!$A$2:$N$184, 9,FALSE), IFERROR(VLOOKUP($A878,'Vocus SIT ExDa'!$B$2:$J$173, 8,FALSE), IFERROR(VLOOKUP($A878,'Telstra ExDa'!$B$2:$K$310, 0,FALSE), IFERROR(VLOOKUP($A878,'Vocus RVC ExDa'!$C$2:$R$155, 0,FALSE), IFERROR(VLOOKUP($A878,'Fusion ExDa'!$B$2:$D$16, 0,FALSE), IFERROR(VLOOKUP($A878,'Exetel ExDa'!$C$2:$N$14, 9,FALSE), IFERROR(VLOOKUP($A878,'Infinet ExDa'!$B$2:$E$14, 0,FALSE), "Not Found"))))))))</f>
        <v>Not Found</v>
      </c>
      <c r="M878" s="234" t="str">
        <f>IFERROR(VLOOKUP($A878,'AAPT ExDa'!$B$2:$U$99, 0,FALSE), IFERROR(VLOOKUP($A878,'ABB ExDa'!$A$2:$N$184, 0,FALSE), IFERROR(VLOOKUP($A878,'Vocus SIT ExDa'!$B$2:$J$173, 0,FALSE), IFERROR(VLOOKUP($A878,'Telstra ExDa'!$B$2:$K$310, 0,FALSE), IFERROR(VLOOKUP($A878,'Vocus RVC ExDa'!$C$2:$R$155, 0,FALSE), IFERROR(VLOOKUP($A878,'Fusion ExDa'!$B$2:$D$16, 0,FALSE), IFERROR(VLOOKUP($A878,'Exetel ExDa'!$C$2:$N$14, 11,FALSE), IFERROR(VLOOKUP($A878,'Infinet ExDa'!$B$2:$E$14, 0,FALSE), "Not Found"))))))))</f>
        <v>Not Found</v>
      </c>
      <c r="N878" t="str">
        <f>IFERROR(VLOOKUP($A878,'AAPT ExDa'!$B$2:$U$99, 0,FALSE), IFERROR(VLOOKUP($A878,'ABB ExDa'!$A$2:$N$184, 13,FALSE), IFERROR(VLOOKUP($A878,'Vocus SIT ExDa'!$B$2:$J$173, 0,FALSE), IFERROR(VLOOKUP($A878,'Telstra ExDa'!$B$2:$K$310, 0,FALSE), IFERROR(VLOOKUP($A878,'Vocus RVC ExDa'!$C$2:$R$155, 0,FALSE), IFERROR(VLOOKUP($A878,'Fusion ExDa'!$B$2:$D$16, 0,FALSE), IFERROR(VLOOKUP($A878,'Exetel ExDa'!$C$2:$N$14, 0,FALSE), IFERROR(VLOOKUP($A878,'Infinet ExDa'!$B$2:$E$14, 0,FALSE), "Not Found"))))))))</f>
        <v>Not Found</v>
      </c>
    </row>
    <row r="879" spans="1:14">
      <c r="A879" t="str">
        <v xml:space="preserve">	Zambrero Broadbeach</v>
      </c>
      <c r="B879" t="str">
        <f>IFERROR(VLOOKUP(A879,'Exetel ExDa'!$C$2:$N$14,4,FALSE),"No Data")</f>
        <v>No Data</v>
      </c>
      <c r="C879" t="str">
        <f>IFERROR(VLOOKUP(A879,'AAPT ExDa'!$B$2:$U$99, 2,FALSE), IFERROR(VLOOKUP(A879,'ABB ExDa'!$A$2:$N$184, 2,FALSE), IFERROR(VLOOKUP(A879,'Vocus SIT ExDa'!$B$2:$J$173, 7,FALSE), IFERROR(VLOOKUP(A879,'Telstra ExDa'!$B$2:$K$310, 2,FALSE), IFERROR(VLOOKUP(A879,'Vocus RVC ExDa'!$C$2:$R$155, 3,FALSE), IFERROR(VLOOKUP(A879,'Fusion ExDa'!$B$2:$D$16, 2,FALSE), IFERROR(VLOOKUP(A879,'Exetel ExDa'!$C$2:$N$14, 2,FALSE), IFERROR(VLOOKUP(A879,'Infinet ExDa'!$B$2:$E$14, 2,FALSE), "Not Found"))))))))</f>
        <v>11 90 Surf PDE</v>
      </c>
      <c r="D879">
        <f>IFERROR(VLOOKUP($A879,'AAPT ExDa'!$B$2:$U$99, 15,FALSE), IFERROR(VLOOKUP($A879,'ABB ExDa'!$A$2:$N$184, 4,FALSE), IFERROR(VLOOKUP($A879,'Vocus SIT ExDa'!$B$2:$J$173, 5,FALSE), IFERROR(VLOOKUP($A879,'Telstra ExDa'!$B$2:$K$310, 8,FALSE), IFERROR(VLOOKUP($A879,'Vocus RVC ExDa'!$C$2:$R$155, 6,FALSE), IFERROR(VLOOKUP($A879,'Fusion ExDa'!$B$2:$D$16, 4,FALSE), IFERROR(VLOOKUP($A879,'Exetel ExDa'!$C$2:$N$14, 3,FALSE), IFERROR(VLOOKUP($A879,'Infinet ExDa'!$B$2:$E$14, 3,FALSE), "Not Found"))))))))</f>
        <v>4218</v>
      </c>
      <c r="E879" t="str">
        <f>IFERROR(VLOOKUP($A879,'AAPT ExDa'!$B$2:$U$99, 3,FALSE), IFERROR(VLOOKUP($A879,'ABB ExDa'!$A$2:$N$184, 5,FALSE), IFERROR(VLOOKUP($A879,'Vocus SIT ExDa'!$B$2:$J$173, 2,FALSE), IFERROR(VLOOKUP($A879,'Telstra ExDa'!$B$2:$K$310, 4,FALSE), IFERROR(VLOOKUP($A879,'Vocus RVC ExDa'!$C$2:$R$155, 8,FALSE), IFERROR(VLOOKUP($A879,'Fusion ExDa'!$B$2:$D$16, 4,FALSE), IFERROR(VLOOKUP($A879,'Exetel ExDa'!$C$2:$N$14, 5,FALSE), IFERROR(VLOOKUP($A879,'Infinet ExDa'!$B$2:$E$14, 3,FALSE), "Not Found"))))))))</f>
        <v>Mobile Service</v>
      </c>
      <c r="F879">
        <f>IFERROR(VLOOKUP($A879,'AAPT ExDa'!$B$2:$U$99, 4,FALSE), IFERROR(VLOOKUP($A879,'ABB ExDa'!$A$2:$N$184, 6,FALSE), IFERROR(VLOOKUP($A879,'Vocus SIT ExDa'!$B$2:$J$173, 3,FALSE), IFERROR(VLOOKUP($A879,'Telstra ExDa'!$B$2:$K$310, 5,FALSE), IFERROR(VLOOKUP($A879,'Vocus RVC ExDa'!$C$2:$R$155, 9,FALSE), IFERROR(VLOOKUP($A879,'Fusion ExDa'!$B$2:$D$16, 0,FALSE), IFERROR(VLOOKUP($A879,'Exetel ExDa'!$C$2:$N$14, 6,FALSE), IFERROR(VLOOKUP($A879,'Infinet ExDa'!$B$2:$E$14, 0,FALSE), "Not Found"))))))))</f>
        <v>45826</v>
      </c>
      <c r="G879">
        <f>IFERROR(VLOOKUP($A879,'AAPT ExDa'!$B$2:$U$99, 5,FALSE), IFERROR(VLOOKUP($A879,'ABB ExDa'!$A$2:$N$184, 8,FALSE), IFERROR(VLOOKUP($A879,'Vocus SIT ExDa'!$B$2:$J$173, 6,FALSE), IFERROR(VLOOKUP($A879,'Telstra ExDa'!$B$2:$K$310, 0,FALSE), IFERROR(VLOOKUP($A879,'Vocus RVC ExDa'!$C$2:$R$155, 15,FALSE), IFERROR(VLOOKUP($A879,'Fusion ExDa'!$B$2:$D$16, 0,FALSE), IFERROR(VLOOKUP($A879,'Exetel ExDa'!$C$2:$N$14, 7,FALSE), IFERROR(VLOOKUP($A879,'Infinet ExDa'!$B$2:$E$14, 0,FALSE), "Not Found"))))))))</f>
        <v>0</v>
      </c>
      <c r="H879">
        <f>IFERROR(VLOOKUP($A879,'AAPT ExDa'!$B$2:$U$99, 6,FALSE), IFERROR(VLOOKUP($A879,'ABB ExDa'!$A$2:$N$184, 0,FALSE), IFERROR(VLOOKUP($A879,'Vocus SIT ExDa'!$B$2:$J$173, 0,FALSE), IFERROR(VLOOKUP($A879,'Telstra ExDa'!$B$2:$K$310, 0,FALSE), IFERROR(VLOOKUP($A879,'Vocus RVC ExDa'!$C$2:$R$155, 16,FALSE), IFERROR(VLOOKUP($A879,'Fusion ExDa'!$B$2:$D$16, 0,FALSE), IFERROR(VLOOKUP($A879,'Exetel ExDa'!$C$2:$N$14, 0,FALSE), IFERROR(VLOOKUP($A879,'Infinet ExDa'!$B$2:$E$14, 0,FALSE), "Not Found"))))))))</f>
        <v>0</v>
      </c>
      <c r="I879" t="str">
        <f>IFERROR(VLOOKUP($A879,'AAPT ExDa'!$B$2:$U$99, 0,FALSE), IFERROR(VLOOKUP($A879,'ABB ExDa'!$A$2:$N$184, 0,FALSE), IFERROR(VLOOKUP($A879,'Vocus SIT ExDa'!$B$2:$J$173, 0,FALSE), IFERROR(VLOOKUP($A879,'Telstra ExDa'!$B$2:$K$310, 0,FALSE), IFERROR(VLOOKUP($A879,'Vocus RVC ExDa'!$C$2:$R$155, 0,FALSE), IFERROR(VLOOKUP($A879,'Fusion ExDa'!$B$2:$D$16, 0,FALSE), IFERROR(VLOOKUP($A879,'Exetel ExDa'!$C$2:$N$14, 8,FALSE), IFERROR(VLOOKUP($A879,'Infinet ExDa'!$B$2:$E$14, 0,FALSE), "Not Found"))))))))</f>
        <v>Not Found</v>
      </c>
      <c r="J879">
        <f>IFERROR(VLOOKUP($A879,'AAPT ExDa'!$B$2:$U$99, 7,FALSE), IFERROR(VLOOKUP($A879,'ABB ExDa'!$A$2:$N$184, 2,FALSE), IFERROR(VLOOKUP($A879,'Vocus SIT ExDa'!$B$2:$J$173, 0,FALSE), IFERROR(VLOOKUP($A879,'Telstra ExDa'!$B$2:$K$310, 7,FALSE), IFERROR(VLOOKUP($A879,'Vocus RVC ExDa'!$C$2:$R$155, 2,FALSE), IFERROR(VLOOKUP($A879,'Fusion ExDa'!$B$2:$D$16, 3,FALSE), IFERROR(VLOOKUP($A879,'Exetel ExDa'!$C$2:$N$14, 0,FALSE), IFERROR(VLOOKUP($A879,'Infinet ExDa'!$B$2:$E$14, 0,FALSE), "Not Found"))))))))</f>
        <v>0</v>
      </c>
      <c r="K879" t="str">
        <f>IFERROR(VLOOKUP($A879,'AAPT ExDa'!$B$2:$U$99, 12,FALSE), IFERROR(VLOOKUP($A879,'ABB ExDa'!$A$2:$N$184, 0,FALSE), IFERROR(VLOOKUP($A879,'Vocus SIT ExDa'!$B$2:$J$173, 0,FALSE), IFERROR(VLOOKUP($A879,'Telstra ExDa'!$B$2:$K$310, 0,FALSE), IFERROR(VLOOKUP($A879,'Vocus RVC ExDa'!$C$2:$R$155, 0,FALSE), IFERROR(VLOOKUP($A879,'Fusion ExDa'!$B$2:$D$16, 0,FALSE), IFERROR(VLOOKUP($A879,'Exetel ExDa'!$C$2:$N$14, 12,FALSE), IFERROR(VLOOKUP($A879,'Infinet ExDa'!$B$2:$E$14, 0,FALSE), "Not Found"))))))))</f>
        <v>Not Found</v>
      </c>
      <c r="L879" s="235" t="str">
        <f>IFERROR(VLOOKUP($A879,'AAPT ExDa'!$B$2:$U$99, 11,FALSE), IFERROR(VLOOKUP($A879,'ABB ExDa'!$A$2:$N$184, 9,FALSE), IFERROR(VLOOKUP($A879,'Vocus SIT ExDa'!$B$2:$J$173, 8,FALSE), IFERROR(VLOOKUP($A879,'Telstra ExDa'!$B$2:$K$310, 0,FALSE), IFERROR(VLOOKUP($A879,'Vocus RVC ExDa'!$C$2:$R$155, 0,FALSE), IFERROR(VLOOKUP($A879,'Fusion ExDa'!$B$2:$D$16, 0,FALSE), IFERROR(VLOOKUP($A879,'Exetel ExDa'!$C$2:$N$14, 9,FALSE), IFERROR(VLOOKUP($A879,'Infinet ExDa'!$B$2:$E$14, 0,FALSE), "Not Found"))))))))</f>
        <v>Not Found</v>
      </c>
      <c r="M879" s="234" t="str">
        <f>IFERROR(VLOOKUP($A879,'AAPT ExDa'!$B$2:$U$99, 0,FALSE), IFERROR(VLOOKUP($A879,'ABB ExDa'!$A$2:$N$184, 0,FALSE), IFERROR(VLOOKUP($A879,'Vocus SIT ExDa'!$B$2:$J$173, 0,FALSE), IFERROR(VLOOKUP($A879,'Telstra ExDa'!$B$2:$K$310, 0,FALSE), IFERROR(VLOOKUP($A879,'Vocus RVC ExDa'!$C$2:$R$155, 0,FALSE), IFERROR(VLOOKUP($A879,'Fusion ExDa'!$B$2:$D$16, 0,FALSE), IFERROR(VLOOKUP($A879,'Exetel ExDa'!$C$2:$N$14, 11,FALSE), IFERROR(VLOOKUP($A879,'Infinet ExDa'!$B$2:$E$14, 0,FALSE), "Not Found"))))))))</f>
        <v>Not Found</v>
      </c>
      <c r="N879" t="str">
        <f>IFERROR(VLOOKUP($A879,'AAPT ExDa'!$B$2:$U$99, 0,FALSE), IFERROR(VLOOKUP($A879,'ABB ExDa'!$A$2:$N$184, 13,FALSE), IFERROR(VLOOKUP($A879,'Vocus SIT ExDa'!$B$2:$J$173, 0,FALSE), IFERROR(VLOOKUP($A879,'Telstra ExDa'!$B$2:$K$310, 0,FALSE), IFERROR(VLOOKUP($A879,'Vocus RVC ExDa'!$C$2:$R$155, 0,FALSE), IFERROR(VLOOKUP($A879,'Fusion ExDa'!$B$2:$D$16, 0,FALSE), IFERROR(VLOOKUP($A879,'Exetel ExDa'!$C$2:$N$14, 0,FALSE), IFERROR(VLOOKUP($A879,'Infinet ExDa'!$B$2:$E$14, 0,FALSE), "Not Found"))))))))</f>
        <v>Not Found</v>
      </c>
    </row>
    <row r="880" spans="1:14">
      <c r="A880" t="str">
        <v>Zambrero Deception Bay</v>
      </c>
      <c r="B880" t="str">
        <f>IFERROR(VLOOKUP(A880,'Exetel ExDa'!$C$2:$N$14,4,FALSE),"No Data")</f>
        <v>No Data</v>
      </c>
      <c r="C880" t="str">
        <f>IFERROR(VLOOKUP(A880,'AAPT ExDa'!$B$2:$U$99, 2,FALSE), IFERROR(VLOOKUP(A880,'ABB ExDa'!$A$2:$N$184, 2,FALSE), IFERROR(VLOOKUP(A880,'Vocus SIT ExDa'!$B$2:$J$173, 7,FALSE), IFERROR(VLOOKUP(A880,'Telstra ExDa'!$B$2:$K$310, 2,FALSE), IFERROR(VLOOKUP(A880,'Vocus RVC ExDa'!$C$2:$R$155, 3,FALSE), IFERROR(VLOOKUP(A880,'Fusion ExDa'!$B$2:$D$16, 2,FALSE), IFERROR(VLOOKUP(A880,'Exetel ExDa'!$C$2:$N$14, 2,FALSE), IFERROR(VLOOKUP(A880,'Infinet ExDa'!$B$2:$E$14, 2,FALSE), "Not Found"))))))))</f>
        <v>378 DECEPTION BAY RD, DECEPTION BAY QLD</v>
      </c>
      <c r="D880" t="str">
        <f>IFERROR(VLOOKUP($A880,'AAPT ExDa'!$B$2:$U$99, 15,FALSE), IFERROR(VLOOKUP($A880,'ABB ExDa'!$A$2:$N$184, 4,FALSE), IFERROR(VLOOKUP($A880,'Vocus SIT ExDa'!$B$2:$J$173, 5,FALSE), IFERROR(VLOOKUP($A880,'Telstra ExDa'!$B$2:$K$310, 8,FALSE), IFERROR(VLOOKUP($A880,'Vocus RVC ExDa'!$C$2:$R$155, 6,FALSE), IFERROR(VLOOKUP($A880,'Fusion ExDa'!$B$2:$D$16, 4,FALSE), IFERROR(VLOOKUP($A880,'Exetel ExDa'!$C$2:$N$14, 3,FALSE), IFERROR(VLOOKUP($A880,'Infinet ExDa'!$B$2:$E$14, 3,FALSE), "Not Found"))))))))</f>
        <v>ABB</v>
      </c>
      <c r="E880" t="str">
        <f>IFERROR(VLOOKUP($A880,'AAPT ExDa'!$B$2:$U$99, 3,FALSE), IFERROR(VLOOKUP($A880,'ABB ExDa'!$A$2:$N$184, 5,FALSE), IFERROR(VLOOKUP($A880,'Vocus SIT ExDa'!$B$2:$J$173, 2,FALSE), IFERROR(VLOOKUP($A880,'Telstra ExDa'!$B$2:$K$310, 4,FALSE), IFERROR(VLOOKUP($A880,'Vocus RVC ExDa'!$C$2:$R$155, 8,FALSE), IFERROR(VLOOKUP($A880,'Fusion ExDa'!$B$2:$D$16, 4,FALSE), IFERROR(VLOOKUP($A880,'Exetel ExDa'!$C$2:$N$14, 5,FALSE), IFERROR(VLOOKUP($A880,'Infinet ExDa'!$B$2:$E$14, 3,FALSE), "Not Found"))))))))</f>
        <v>NBN 25/10</v>
      </c>
      <c r="F880" t="str">
        <f>IFERROR(VLOOKUP($A880,'AAPT ExDa'!$B$2:$U$99, 4,FALSE), IFERROR(VLOOKUP($A880,'ABB ExDa'!$A$2:$N$184, 6,FALSE), IFERROR(VLOOKUP($A880,'Vocus SIT ExDa'!$B$2:$J$173, 3,FALSE), IFERROR(VLOOKUP($A880,'Telstra ExDa'!$B$2:$K$310, 5,FALSE), IFERROR(VLOOKUP($A880,'Vocus RVC ExDa'!$C$2:$R$155, 9,FALSE), IFERROR(VLOOKUP($A880,'Fusion ExDa'!$B$2:$D$16, 0,FALSE), IFERROR(VLOOKUP($A880,'Exetel ExDa'!$C$2:$N$14, 6,FALSE), IFERROR(VLOOKUP($A880,'Infinet ExDa'!$B$2:$E$14, 0,FALSE), "Not Found"))))))))</f>
        <v>FTTC</v>
      </c>
      <c r="G880" t="str">
        <f>IFERROR(VLOOKUP($A880,'AAPT ExDa'!$B$2:$U$99, 5,FALSE), IFERROR(VLOOKUP($A880,'ABB ExDa'!$A$2:$N$184, 8,FALSE), IFERROR(VLOOKUP($A880,'Vocus SIT ExDa'!$B$2:$J$173, 6,FALSE), IFERROR(VLOOKUP($A880,'Telstra ExDa'!$B$2:$K$310, 0,FALSE), IFERROR(VLOOKUP($A880,'Vocus RVC ExDa'!$C$2:$R$155, 15,FALSE), IFERROR(VLOOKUP($A880,'Fusion ExDa'!$B$2:$D$16, 0,FALSE), IFERROR(VLOOKUP($A880,'Exetel ExDa'!$C$2:$N$14, 7,FALSE), IFERROR(VLOOKUP($A880,'Infinet ExDa'!$B$2:$E$14, 0,FALSE), "Not Found"))))))))</f>
        <v>180.181.211.206</v>
      </c>
      <c r="H880">
        <f>IFERROR(VLOOKUP($A880,'AAPT ExDa'!$B$2:$U$99, 6,FALSE), IFERROR(VLOOKUP($A880,'ABB ExDa'!$A$2:$N$184, 0,FALSE), IFERROR(VLOOKUP($A880,'Vocus SIT ExDa'!$B$2:$J$173, 0,FALSE), IFERROR(VLOOKUP($A880,'Telstra ExDa'!$B$2:$K$310, 0,FALSE), IFERROR(VLOOKUP($A880,'Vocus RVC ExDa'!$C$2:$R$155, 16,FALSE), IFERROR(VLOOKUP($A880,'Fusion ExDa'!$B$2:$D$16, 0,FALSE), IFERROR(VLOOKUP($A880,'Exetel ExDa'!$C$2:$N$14, 0,FALSE), IFERROR(VLOOKUP($A880,'Infinet ExDa'!$B$2:$E$14, 0,FALSE), "Not Found"))))))))</f>
        <v>0</v>
      </c>
      <c r="I880" t="str">
        <f>IFERROR(VLOOKUP($A880,'AAPT ExDa'!$B$2:$U$99, 0,FALSE), IFERROR(VLOOKUP($A880,'ABB ExDa'!$A$2:$N$184, 0,FALSE), IFERROR(VLOOKUP($A880,'Vocus SIT ExDa'!$B$2:$J$173, 0,FALSE), IFERROR(VLOOKUP($A880,'Telstra ExDa'!$B$2:$K$310, 0,FALSE), IFERROR(VLOOKUP($A880,'Vocus RVC ExDa'!$C$2:$R$155, 0,FALSE), IFERROR(VLOOKUP($A880,'Fusion ExDa'!$B$2:$D$16, 0,FALSE), IFERROR(VLOOKUP($A880,'Exetel ExDa'!$C$2:$N$14, 8,FALSE), IFERROR(VLOOKUP($A880,'Infinet ExDa'!$B$2:$E$14, 0,FALSE), "Not Found"))))))))</f>
        <v>Not Found</v>
      </c>
      <c r="J880" t="str">
        <f>IFERROR(VLOOKUP($A880,'AAPT ExDa'!$B$2:$U$99, 7,FALSE), IFERROR(VLOOKUP($A880,'ABB ExDa'!$A$2:$N$184, 2,FALSE), IFERROR(VLOOKUP($A880,'Vocus SIT ExDa'!$B$2:$J$173, 0,FALSE), IFERROR(VLOOKUP($A880,'Telstra ExDa'!$B$2:$K$310, 7,FALSE), IFERROR(VLOOKUP($A880,'Vocus RVC ExDa'!$C$2:$R$155, 2,FALSE), IFERROR(VLOOKUP($A880,'Fusion ExDa'!$B$2:$D$16, 3,FALSE), IFERROR(VLOOKUP($A880,'Exetel ExDa'!$C$2:$N$14, 0,FALSE), IFERROR(VLOOKUP($A880,'Infinet ExDa'!$B$2:$E$14, 0,FALSE), "Not Found"))))))))</f>
        <v>378 DECEPTION BAY RD, DECEPTION BAY QLD</v>
      </c>
      <c r="K880" t="str">
        <f>IFERROR(VLOOKUP($A880,'AAPT ExDa'!$B$2:$U$99, 12,FALSE), IFERROR(VLOOKUP($A880,'ABB ExDa'!$A$2:$N$184, 0,FALSE), IFERROR(VLOOKUP($A880,'Vocus SIT ExDa'!$B$2:$J$173, 0,FALSE), IFERROR(VLOOKUP($A880,'Telstra ExDa'!$B$2:$K$310, 0,FALSE), IFERROR(VLOOKUP($A880,'Vocus RVC ExDa'!$C$2:$R$155, 0,FALSE), IFERROR(VLOOKUP($A880,'Fusion ExDa'!$B$2:$D$16, 0,FALSE), IFERROR(VLOOKUP($A880,'Exetel ExDa'!$C$2:$N$14, 12,FALSE), IFERROR(VLOOKUP($A880,'Infinet ExDa'!$B$2:$E$14, 0,FALSE), "Not Found"))))))))</f>
        <v>Not Found</v>
      </c>
      <c r="L880" s="235" t="str">
        <f>IFERROR(VLOOKUP($A880,'AAPT ExDa'!$B$2:$U$99, 11,FALSE), IFERROR(VLOOKUP($A880,'ABB ExDa'!$A$2:$N$184, 9,FALSE), IFERROR(VLOOKUP($A880,'Vocus SIT ExDa'!$B$2:$J$173, 8,FALSE), IFERROR(VLOOKUP($A880,'Telstra ExDa'!$B$2:$K$310, 0,FALSE), IFERROR(VLOOKUP($A880,'Vocus RVC ExDa'!$C$2:$R$155, 0,FALSE), IFERROR(VLOOKUP($A880,'Fusion ExDa'!$B$2:$D$16, 0,FALSE), IFERROR(VLOOKUP($A880,'Exetel ExDa'!$C$2:$N$14, 9,FALSE), IFERROR(VLOOKUP($A880,'Infinet ExDa'!$B$2:$E$14, 0,FALSE), "Not Found"))))))))</f>
        <v>03 Aug 2025</v>
      </c>
      <c r="M880" s="234" t="str">
        <f>IFERROR(VLOOKUP($A880,'AAPT ExDa'!$B$2:$U$99, 0,FALSE), IFERROR(VLOOKUP($A880,'ABB ExDa'!$A$2:$N$184, 0,FALSE), IFERROR(VLOOKUP($A880,'Vocus SIT ExDa'!$B$2:$J$173, 0,FALSE), IFERROR(VLOOKUP($A880,'Telstra ExDa'!$B$2:$K$310, 0,FALSE), IFERROR(VLOOKUP($A880,'Vocus RVC ExDa'!$C$2:$R$155, 0,FALSE), IFERROR(VLOOKUP($A880,'Fusion ExDa'!$B$2:$D$16, 0,FALSE), IFERROR(VLOOKUP($A880,'Exetel ExDa'!$C$2:$N$14, 11,FALSE), IFERROR(VLOOKUP($A880,'Infinet ExDa'!$B$2:$E$14, 0,FALSE), "Not Found"))))))))</f>
        <v>Not Found</v>
      </c>
      <c r="N880" t="str">
        <f>IFERROR(VLOOKUP($A880,'AAPT ExDa'!$B$2:$U$99, 0,FALSE), IFERROR(VLOOKUP($A880,'ABB ExDa'!$A$2:$N$184, 13,FALSE), IFERROR(VLOOKUP($A880,'Vocus SIT ExDa'!$B$2:$J$173, 0,FALSE), IFERROR(VLOOKUP($A880,'Telstra ExDa'!$B$2:$K$310, 0,FALSE), IFERROR(VLOOKUP($A880,'Vocus RVC ExDa'!$C$2:$R$155, 0,FALSE), IFERROR(VLOOKUP($A880,'Fusion ExDa'!$B$2:$D$16, 0,FALSE), IFERROR(VLOOKUP($A880,'Exetel ExDa'!$C$2:$N$14, 0,FALSE), IFERROR(VLOOKUP($A880,'Infinet ExDa'!$B$2:$E$14, 0,FALSE), "Not Found"))))))))</f>
        <v>Onebill</v>
      </c>
    </row>
    <row r="881" spans="1:14">
      <c r="A881" t="str">
        <v>Zambrero Everton Park</v>
      </c>
      <c r="B881" t="str">
        <f>IFERROR(VLOOKUP(A881,'Exetel ExDa'!$C$2:$N$14,4,FALSE),"No Data")</f>
        <v>No Data</v>
      </c>
      <c r="C881" t="str">
        <f>IFERROR(VLOOKUP(A881,'AAPT ExDa'!$B$2:$U$99, 2,FALSE), IFERROR(VLOOKUP(A881,'ABB ExDa'!$A$2:$N$184, 2,FALSE), IFERROR(VLOOKUP(A881,'Vocus SIT ExDa'!$B$2:$J$173, 7,FALSE), IFERROR(VLOOKUP(A881,'Telstra ExDa'!$B$2:$K$310, 2,FALSE), IFERROR(VLOOKUP(A881,'Vocus RVC ExDa'!$C$2:$R$155, 3,FALSE), IFERROR(VLOOKUP(A881,'Fusion ExDa'!$B$2:$D$16, 2,FALSE), IFERROR(VLOOKUP(A881,'Exetel ExDa'!$C$2:$N$14, 2,FALSE), IFERROR(VLOOKUP(A881,'Infinet ExDa'!$B$2:$E$14, 2,FALSE), "Not Found"))))))))</f>
        <v>SHOP T3-4, 768 STAFFORD RD, EVERTON PARK QLD</v>
      </c>
      <c r="D881" t="str">
        <f>IFERROR(VLOOKUP($A881,'AAPT ExDa'!$B$2:$U$99, 15,FALSE), IFERROR(VLOOKUP($A881,'ABB ExDa'!$A$2:$N$184, 4,FALSE), IFERROR(VLOOKUP($A881,'Vocus SIT ExDa'!$B$2:$J$173, 5,FALSE), IFERROR(VLOOKUP($A881,'Telstra ExDa'!$B$2:$K$310, 8,FALSE), IFERROR(VLOOKUP($A881,'Vocus RVC ExDa'!$C$2:$R$155, 6,FALSE), IFERROR(VLOOKUP($A881,'Fusion ExDa'!$B$2:$D$16, 4,FALSE), IFERROR(VLOOKUP($A881,'Exetel ExDa'!$C$2:$N$14, 3,FALSE), IFERROR(VLOOKUP($A881,'Infinet ExDa'!$B$2:$E$14, 3,FALSE), "Not Found"))))))))</f>
        <v>ABB</v>
      </c>
      <c r="E881" t="str">
        <f>IFERROR(VLOOKUP($A881,'AAPT ExDa'!$B$2:$U$99, 3,FALSE), IFERROR(VLOOKUP($A881,'ABB ExDa'!$A$2:$N$184, 5,FALSE), IFERROR(VLOOKUP($A881,'Vocus SIT ExDa'!$B$2:$J$173, 2,FALSE), IFERROR(VLOOKUP($A881,'Telstra ExDa'!$B$2:$K$310, 4,FALSE), IFERROR(VLOOKUP($A881,'Vocus RVC ExDa'!$C$2:$R$155, 8,FALSE), IFERROR(VLOOKUP($A881,'Fusion ExDa'!$B$2:$D$16, 4,FALSE), IFERROR(VLOOKUP($A881,'Exetel ExDa'!$C$2:$N$14, 5,FALSE), IFERROR(VLOOKUP($A881,'Infinet ExDa'!$B$2:$E$14, 3,FALSE), "Not Found"))))))))</f>
        <v>NBN 25/10</v>
      </c>
      <c r="F881" t="str">
        <f>IFERROR(VLOOKUP($A881,'AAPT ExDa'!$B$2:$U$99, 4,FALSE), IFERROR(VLOOKUP($A881,'ABB ExDa'!$A$2:$N$184, 6,FALSE), IFERROR(VLOOKUP($A881,'Vocus SIT ExDa'!$B$2:$J$173, 3,FALSE), IFERROR(VLOOKUP($A881,'Telstra ExDa'!$B$2:$K$310, 5,FALSE), IFERROR(VLOOKUP($A881,'Vocus RVC ExDa'!$C$2:$R$155, 9,FALSE), IFERROR(VLOOKUP($A881,'Fusion ExDa'!$B$2:$D$16, 0,FALSE), IFERROR(VLOOKUP($A881,'Exetel ExDa'!$C$2:$N$14, 6,FALSE), IFERROR(VLOOKUP($A881,'Infinet ExDa'!$B$2:$E$14, 0,FALSE), "Not Found"))))))))</f>
        <v>FTTN</v>
      </c>
      <c r="G881" t="str">
        <f>IFERROR(VLOOKUP($A881,'AAPT ExDa'!$B$2:$U$99, 5,FALSE), IFERROR(VLOOKUP($A881,'ABB ExDa'!$A$2:$N$184, 8,FALSE), IFERROR(VLOOKUP($A881,'Vocus SIT ExDa'!$B$2:$J$173, 6,FALSE), IFERROR(VLOOKUP($A881,'Telstra ExDa'!$B$2:$K$310, 0,FALSE), IFERROR(VLOOKUP($A881,'Vocus RVC ExDa'!$C$2:$R$155, 15,FALSE), IFERROR(VLOOKUP($A881,'Fusion ExDa'!$B$2:$D$16, 0,FALSE), IFERROR(VLOOKUP($A881,'Exetel ExDa'!$C$2:$N$14, 7,FALSE), IFERROR(VLOOKUP($A881,'Infinet ExDa'!$B$2:$E$14, 0,FALSE), "Not Found"))))))))</f>
        <v>144.6.100.204</v>
      </c>
      <c r="H881">
        <f>IFERROR(VLOOKUP($A881,'AAPT ExDa'!$B$2:$U$99, 6,FALSE), IFERROR(VLOOKUP($A881,'ABB ExDa'!$A$2:$N$184, 0,FALSE), IFERROR(VLOOKUP($A881,'Vocus SIT ExDa'!$B$2:$J$173, 0,FALSE), IFERROR(VLOOKUP($A881,'Telstra ExDa'!$B$2:$K$310, 0,FALSE), IFERROR(VLOOKUP($A881,'Vocus RVC ExDa'!$C$2:$R$155, 16,FALSE), IFERROR(VLOOKUP($A881,'Fusion ExDa'!$B$2:$D$16, 0,FALSE), IFERROR(VLOOKUP($A881,'Exetel ExDa'!$C$2:$N$14, 0,FALSE), IFERROR(VLOOKUP($A881,'Infinet ExDa'!$B$2:$E$14, 0,FALSE), "Not Found"))))))))</f>
        <v>0</v>
      </c>
      <c r="I881" t="str">
        <f>IFERROR(VLOOKUP($A881,'AAPT ExDa'!$B$2:$U$99, 0,FALSE), IFERROR(VLOOKUP($A881,'ABB ExDa'!$A$2:$N$184, 0,FALSE), IFERROR(VLOOKUP($A881,'Vocus SIT ExDa'!$B$2:$J$173, 0,FALSE), IFERROR(VLOOKUP($A881,'Telstra ExDa'!$B$2:$K$310, 0,FALSE), IFERROR(VLOOKUP($A881,'Vocus RVC ExDa'!$C$2:$R$155, 0,FALSE), IFERROR(VLOOKUP($A881,'Fusion ExDa'!$B$2:$D$16, 0,FALSE), IFERROR(VLOOKUP($A881,'Exetel ExDa'!$C$2:$N$14, 8,FALSE), IFERROR(VLOOKUP($A881,'Infinet ExDa'!$B$2:$E$14, 0,FALSE), "Not Found"))))))))</f>
        <v>Not Found</v>
      </c>
      <c r="J881" t="str">
        <f>IFERROR(VLOOKUP($A881,'AAPT ExDa'!$B$2:$U$99, 7,FALSE), IFERROR(VLOOKUP($A881,'ABB ExDa'!$A$2:$N$184, 2,FALSE), IFERROR(VLOOKUP($A881,'Vocus SIT ExDa'!$B$2:$J$173, 0,FALSE), IFERROR(VLOOKUP($A881,'Telstra ExDa'!$B$2:$K$310, 7,FALSE), IFERROR(VLOOKUP($A881,'Vocus RVC ExDa'!$C$2:$R$155, 2,FALSE), IFERROR(VLOOKUP($A881,'Fusion ExDa'!$B$2:$D$16, 3,FALSE), IFERROR(VLOOKUP($A881,'Exetel ExDa'!$C$2:$N$14, 0,FALSE), IFERROR(VLOOKUP($A881,'Infinet ExDa'!$B$2:$E$14, 0,FALSE), "Not Found"))))))))</f>
        <v>SHOP T3-4, 768 STAFFORD RD, EVERTON PARK QLD</v>
      </c>
      <c r="K881" t="str">
        <f>IFERROR(VLOOKUP($A881,'AAPT ExDa'!$B$2:$U$99, 12,FALSE), IFERROR(VLOOKUP($A881,'ABB ExDa'!$A$2:$N$184, 0,FALSE), IFERROR(VLOOKUP($A881,'Vocus SIT ExDa'!$B$2:$J$173, 0,FALSE), IFERROR(VLOOKUP($A881,'Telstra ExDa'!$B$2:$K$310, 0,FALSE), IFERROR(VLOOKUP($A881,'Vocus RVC ExDa'!$C$2:$R$155, 0,FALSE), IFERROR(VLOOKUP($A881,'Fusion ExDa'!$B$2:$D$16, 0,FALSE), IFERROR(VLOOKUP($A881,'Exetel ExDa'!$C$2:$N$14, 12,FALSE), IFERROR(VLOOKUP($A881,'Infinet ExDa'!$B$2:$E$14, 0,FALSE), "Not Found"))))))))</f>
        <v>Not Found</v>
      </c>
      <c r="L881" s="235" t="str">
        <f>IFERROR(VLOOKUP($A881,'AAPT ExDa'!$B$2:$U$99, 11,FALSE), IFERROR(VLOOKUP($A881,'ABB ExDa'!$A$2:$N$184, 9,FALSE), IFERROR(VLOOKUP($A881,'Vocus SIT ExDa'!$B$2:$J$173, 8,FALSE), IFERROR(VLOOKUP($A881,'Telstra ExDa'!$B$2:$K$310, 0,FALSE), IFERROR(VLOOKUP($A881,'Vocus RVC ExDa'!$C$2:$R$155, 0,FALSE), IFERROR(VLOOKUP($A881,'Fusion ExDa'!$B$2:$D$16, 0,FALSE), IFERROR(VLOOKUP($A881,'Exetel ExDa'!$C$2:$N$14, 9,FALSE), IFERROR(VLOOKUP($A881,'Infinet ExDa'!$B$2:$E$14, 0,FALSE), "Not Found"))))))))</f>
        <v>17 July 2025</v>
      </c>
      <c r="M881" s="234" t="str">
        <f>IFERROR(VLOOKUP($A881,'AAPT ExDa'!$B$2:$U$99, 0,FALSE), IFERROR(VLOOKUP($A881,'ABB ExDa'!$A$2:$N$184, 0,FALSE), IFERROR(VLOOKUP($A881,'Vocus SIT ExDa'!$B$2:$J$173, 0,FALSE), IFERROR(VLOOKUP($A881,'Telstra ExDa'!$B$2:$K$310, 0,FALSE), IFERROR(VLOOKUP($A881,'Vocus RVC ExDa'!$C$2:$R$155, 0,FALSE), IFERROR(VLOOKUP($A881,'Fusion ExDa'!$B$2:$D$16, 0,FALSE), IFERROR(VLOOKUP($A881,'Exetel ExDa'!$C$2:$N$14, 11,FALSE), IFERROR(VLOOKUP($A881,'Infinet ExDa'!$B$2:$E$14, 0,FALSE), "Not Found"))))))))</f>
        <v>Not Found</v>
      </c>
      <c r="N881" t="str">
        <f>IFERROR(VLOOKUP($A881,'AAPT ExDa'!$B$2:$U$99, 0,FALSE), IFERROR(VLOOKUP($A881,'ABB ExDa'!$A$2:$N$184, 13,FALSE), IFERROR(VLOOKUP($A881,'Vocus SIT ExDa'!$B$2:$J$173, 0,FALSE), IFERROR(VLOOKUP($A881,'Telstra ExDa'!$B$2:$K$310, 0,FALSE), IFERROR(VLOOKUP($A881,'Vocus RVC ExDa'!$C$2:$R$155, 0,FALSE), IFERROR(VLOOKUP($A881,'Fusion ExDa'!$B$2:$D$16, 0,FALSE), IFERROR(VLOOKUP($A881,'Exetel ExDa'!$C$2:$N$14, 0,FALSE), IFERROR(VLOOKUP($A881,'Infinet ExDa'!$B$2:$E$14, 0,FALSE), "Not Found"))))))))</f>
        <v>Onebill</v>
      </c>
    </row>
    <row r="882" spans="1:14">
      <c r="A882" t="str">
        <v xml:space="preserve">	Cory Johnston</v>
      </c>
      <c r="B882" t="str">
        <f>IFERROR(VLOOKUP(A882,'Exetel ExDa'!$C$2:$N$14,4,FALSE),"No Data")</f>
        <v>No Data</v>
      </c>
      <c r="C882" t="str">
        <f>IFERROR(VLOOKUP(A882,'AAPT ExDa'!$B$2:$U$99, 2,FALSE), IFERROR(VLOOKUP(A882,'ABB ExDa'!$A$2:$N$184, 2,FALSE), IFERROR(VLOOKUP(A882,'Vocus SIT ExDa'!$B$2:$J$173, 7,FALSE), IFERROR(VLOOKUP(A882,'Telstra ExDa'!$B$2:$K$310, 2,FALSE), IFERROR(VLOOKUP(A882,'Vocus RVC ExDa'!$C$2:$R$155, 3,FALSE), IFERROR(VLOOKUP(A882,'Fusion ExDa'!$B$2:$D$16, 2,FALSE), IFERROR(VLOOKUP(A882,'Exetel ExDa'!$C$2:$N$14, 2,FALSE), IFERROR(VLOOKUP(A882,'Infinet ExDa'!$B$2:$E$14, 2,FALSE), "Not Found"))))))))</f>
        <v>25 8 Metroplex AV</v>
      </c>
      <c r="D882">
        <f>IFERROR(VLOOKUP($A882,'AAPT ExDa'!$B$2:$U$99, 15,FALSE), IFERROR(VLOOKUP($A882,'ABB ExDa'!$A$2:$N$184, 4,FALSE), IFERROR(VLOOKUP($A882,'Vocus SIT ExDa'!$B$2:$J$173, 5,FALSE), IFERROR(VLOOKUP($A882,'Telstra ExDa'!$B$2:$K$310, 8,FALSE), IFERROR(VLOOKUP($A882,'Vocus RVC ExDa'!$C$2:$R$155, 6,FALSE), IFERROR(VLOOKUP($A882,'Fusion ExDa'!$B$2:$D$16, 4,FALSE), IFERROR(VLOOKUP($A882,'Exetel ExDa'!$C$2:$N$14, 3,FALSE), IFERROR(VLOOKUP($A882,'Infinet ExDa'!$B$2:$E$14, 3,FALSE), "Not Found"))))))))</f>
        <v>4172</v>
      </c>
      <c r="E882" t="str">
        <f>IFERROR(VLOOKUP($A882,'AAPT ExDa'!$B$2:$U$99, 3,FALSE), IFERROR(VLOOKUP($A882,'ABB ExDa'!$A$2:$N$184, 5,FALSE), IFERROR(VLOOKUP($A882,'Vocus SIT ExDa'!$B$2:$J$173, 2,FALSE), IFERROR(VLOOKUP($A882,'Telstra ExDa'!$B$2:$K$310, 4,FALSE), IFERROR(VLOOKUP($A882,'Vocus RVC ExDa'!$C$2:$R$155, 8,FALSE), IFERROR(VLOOKUP($A882,'Fusion ExDa'!$B$2:$D$16, 4,FALSE), IFERROR(VLOOKUP($A882,'Exetel ExDa'!$C$2:$N$14, 5,FALSE), IFERROR(VLOOKUP($A882,'Infinet ExDa'!$B$2:$E$14, 3,FALSE), "Not Found"))))))))</f>
        <v>Mobile Service</v>
      </c>
      <c r="F882">
        <f>IFERROR(VLOOKUP($A882,'AAPT ExDa'!$B$2:$U$99, 4,FALSE), IFERROR(VLOOKUP($A882,'ABB ExDa'!$A$2:$N$184, 6,FALSE), IFERROR(VLOOKUP($A882,'Vocus SIT ExDa'!$B$2:$J$173, 3,FALSE), IFERROR(VLOOKUP($A882,'Telstra ExDa'!$B$2:$K$310, 5,FALSE), IFERROR(VLOOKUP($A882,'Vocus RVC ExDa'!$C$2:$R$155, 9,FALSE), IFERROR(VLOOKUP($A882,'Fusion ExDa'!$B$2:$D$16, 0,FALSE), IFERROR(VLOOKUP($A882,'Exetel ExDa'!$C$2:$N$14, 6,FALSE), IFERROR(VLOOKUP($A882,'Infinet ExDa'!$B$2:$E$14, 0,FALSE), "Not Found"))))))))</f>
        <v>45831</v>
      </c>
      <c r="G882">
        <f>IFERROR(VLOOKUP($A882,'AAPT ExDa'!$B$2:$U$99, 5,FALSE), IFERROR(VLOOKUP($A882,'ABB ExDa'!$A$2:$N$184, 8,FALSE), IFERROR(VLOOKUP($A882,'Vocus SIT ExDa'!$B$2:$J$173, 6,FALSE), IFERROR(VLOOKUP($A882,'Telstra ExDa'!$B$2:$K$310, 0,FALSE), IFERROR(VLOOKUP($A882,'Vocus RVC ExDa'!$C$2:$R$155, 15,FALSE), IFERROR(VLOOKUP($A882,'Fusion ExDa'!$B$2:$D$16, 0,FALSE), IFERROR(VLOOKUP($A882,'Exetel ExDa'!$C$2:$N$14, 7,FALSE), IFERROR(VLOOKUP($A882,'Infinet ExDa'!$B$2:$E$14, 0,FALSE), "Not Found"))))))))</f>
        <v>0</v>
      </c>
      <c r="H882">
        <f>IFERROR(VLOOKUP($A882,'AAPT ExDa'!$B$2:$U$99, 6,FALSE), IFERROR(VLOOKUP($A882,'ABB ExDa'!$A$2:$N$184, 0,FALSE), IFERROR(VLOOKUP($A882,'Vocus SIT ExDa'!$B$2:$J$173, 0,FALSE), IFERROR(VLOOKUP($A882,'Telstra ExDa'!$B$2:$K$310, 0,FALSE), IFERROR(VLOOKUP($A882,'Vocus RVC ExDa'!$C$2:$R$155, 16,FALSE), IFERROR(VLOOKUP($A882,'Fusion ExDa'!$B$2:$D$16, 0,FALSE), IFERROR(VLOOKUP($A882,'Exetel ExDa'!$C$2:$N$14, 0,FALSE), IFERROR(VLOOKUP($A882,'Infinet ExDa'!$B$2:$E$14, 0,FALSE), "Not Found"))))))))</f>
        <v>0</v>
      </c>
      <c r="I882" t="str">
        <f>IFERROR(VLOOKUP($A882,'AAPT ExDa'!$B$2:$U$99, 0,FALSE), IFERROR(VLOOKUP($A882,'ABB ExDa'!$A$2:$N$184, 0,FALSE), IFERROR(VLOOKUP($A882,'Vocus SIT ExDa'!$B$2:$J$173, 0,FALSE), IFERROR(VLOOKUP($A882,'Telstra ExDa'!$B$2:$K$310, 0,FALSE), IFERROR(VLOOKUP($A882,'Vocus RVC ExDa'!$C$2:$R$155, 0,FALSE), IFERROR(VLOOKUP($A882,'Fusion ExDa'!$B$2:$D$16, 0,FALSE), IFERROR(VLOOKUP($A882,'Exetel ExDa'!$C$2:$N$14, 8,FALSE), IFERROR(VLOOKUP($A882,'Infinet ExDa'!$B$2:$E$14, 0,FALSE), "Not Found"))))))))</f>
        <v>Not Found</v>
      </c>
      <c r="J882">
        <f>IFERROR(VLOOKUP($A882,'AAPT ExDa'!$B$2:$U$99, 7,FALSE), IFERROR(VLOOKUP($A882,'ABB ExDa'!$A$2:$N$184, 2,FALSE), IFERROR(VLOOKUP($A882,'Vocus SIT ExDa'!$B$2:$J$173, 0,FALSE), IFERROR(VLOOKUP($A882,'Telstra ExDa'!$B$2:$K$310, 7,FALSE), IFERROR(VLOOKUP($A882,'Vocus RVC ExDa'!$C$2:$R$155, 2,FALSE), IFERROR(VLOOKUP($A882,'Fusion ExDa'!$B$2:$D$16, 3,FALSE), IFERROR(VLOOKUP($A882,'Exetel ExDa'!$C$2:$N$14, 0,FALSE), IFERROR(VLOOKUP($A882,'Infinet ExDa'!$B$2:$E$14, 0,FALSE), "Not Found"))))))))</f>
        <v>0</v>
      </c>
      <c r="K882" t="str">
        <f>IFERROR(VLOOKUP($A882,'AAPT ExDa'!$B$2:$U$99, 12,FALSE), IFERROR(VLOOKUP($A882,'ABB ExDa'!$A$2:$N$184, 0,FALSE), IFERROR(VLOOKUP($A882,'Vocus SIT ExDa'!$B$2:$J$173, 0,FALSE), IFERROR(VLOOKUP($A882,'Telstra ExDa'!$B$2:$K$310, 0,FALSE), IFERROR(VLOOKUP($A882,'Vocus RVC ExDa'!$C$2:$R$155, 0,FALSE), IFERROR(VLOOKUP($A882,'Fusion ExDa'!$B$2:$D$16, 0,FALSE), IFERROR(VLOOKUP($A882,'Exetel ExDa'!$C$2:$N$14, 12,FALSE), IFERROR(VLOOKUP($A882,'Infinet ExDa'!$B$2:$E$14, 0,FALSE), "Not Found"))))))))</f>
        <v>Not Found</v>
      </c>
      <c r="L882" s="235" t="str">
        <f>IFERROR(VLOOKUP($A882,'AAPT ExDa'!$B$2:$U$99, 11,FALSE), IFERROR(VLOOKUP($A882,'ABB ExDa'!$A$2:$N$184, 9,FALSE), IFERROR(VLOOKUP($A882,'Vocus SIT ExDa'!$B$2:$J$173, 8,FALSE), IFERROR(VLOOKUP($A882,'Telstra ExDa'!$B$2:$K$310, 0,FALSE), IFERROR(VLOOKUP($A882,'Vocus RVC ExDa'!$C$2:$R$155, 0,FALSE), IFERROR(VLOOKUP($A882,'Fusion ExDa'!$B$2:$D$16, 0,FALSE), IFERROR(VLOOKUP($A882,'Exetel ExDa'!$C$2:$N$14, 9,FALSE), IFERROR(VLOOKUP($A882,'Infinet ExDa'!$B$2:$E$14, 0,FALSE), "Not Found"))))))))</f>
        <v>Not Found</v>
      </c>
      <c r="M882" s="234" t="str">
        <f>IFERROR(VLOOKUP($A882,'AAPT ExDa'!$B$2:$U$99, 0,FALSE), IFERROR(VLOOKUP($A882,'ABB ExDa'!$A$2:$N$184, 0,FALSE), IFERROR(VLOOKUP($A882,'Vocus SIT ExDa'!$B$2:$J$173, 0,FALSE), IFERROR(VLOOKUP($A882,'Telstra ExDa'!$B$2:$K$310, 0,FALSE), IFERROR(VLOOKUP($A882,'Vocus RVC ExDa'!$C$2:$R$155, 0,FALSE), IFERROR(VLOOKUP($A882,'Fusion ExDa'!$B$2:$D$16, 0,FALSE), IFERROR(VLOOKUP($A882,'Exetel ExDa'!$C$2:$N$14, 11,FALSE), IFERROR(VLOOKUP($A882,'Infinet ExDa'!$B$2:$E$14, 0,FALSE), "Not Found"))))))))</f>
        <v>Not Found</v>
      </c>
      <c r="N882" t="str">
        <f>IFERROR(VLOOKUP($A882,'AAPT ExDa'!$B$2:$U$99, 0,FALSE), IFERROR(VLOOKUP($A882,'ABB ExDa'!$A$2:$N$184, 13,FALSE), IFERROR(VLOOKUP($A882,'Vocus SIT ExDa'!$B$2:$J$173, 0,FALSE), IFERROR(VLOOKUP($A882,'Telstra ExDa'!$B$2:$K$310, 0,FALSE), IFERROR(VLOOKUP($A882,'Vocus RVC ExDa'!$C$2:$R$155, 0,FALSE), IFERROR(VLOOKUP($A882,'Fusion ExDa'!$B$2:$D$16, 0,FALSE), IFERROR(VLOOKUP($A882,'Exetel ExDa'!$C$2:$N$14, 0,FALSE), IFERROR(VLOOKUP($A882,'Infinet ExDa'!$B$2:$E$14, 0,FALSE), "Not Found"))))))))</f>
        <v>Not Found</v>
      </c>
    </row>
    <row r="883" spans="1:14">
      <c r="A883" t="str">
        <v>Smile IT</v>
      </c>
      <c r="B883" t="str">
        <f>IFERROR(VLOOKUP(A883,'Exetel ExDa'!$C$2:$N$14,4,FALSE),"No Data")</f>
        <v>0701561050</v>
      </c>
      <c r="C883">
        <f>IFERROR(VLOOKUP(A883,'AAPT ExDa'!$B$2:$U$99, 2,FALSE), IFERROR(VLOOKUP(A883,'ABB ExDa'!$A$2:$N$184, 2,FALSE), IFERROR(VLOOKUP(A883,'Vocus SIT ExDa'!$B$2:$J$173, 7,FALSE), IFERROR(VLOOKUP(A883,'Telstra ExDa'!$B$2:$K$310, 2,FALSE), IFERROR(VLOOKUP(A883,'Vocus RVC ExDa'!$C$2:$R$155, 3,FALSE), IFERROR(VLOOKUP(A883,'Fusion ExDa'!$B$2:$D$16, 2,FALSE), IFERROR(VLOOKUP(A883,'Exetel ExDa'!$C$2:$N$14, 2,FALSE), IFERROR(VLOOKUP(A883,'Infinet ExDa'!$B$2:$E$14, 2,FALSE), "Not Found"))))))))</f>
        <v>0</v>
      </c>
      <c r="D883" t="str">
        <f>IFERROR(VLOOKUP($A883,'AAPT ExDa'!$B$2:$U$99, 15,FALSE), IFERROR(VLOOKUP($A883,'ABB ExDa'!$A$2:$N$184, 4,FALSE), IFERROR(VLOOKUP($A883,'Vocus SIT ExDa'!$B$2:$J$173, 5,FALSE), IFERROR(VLOOKUP($A883,'Telstra ExDa'!$B$2:$K$310, 8,FALSE), IFERROR(VLOOKUP($A883,'Vocus RVC ExDa'!$C$2:$R$155, 6,FALSE), IFERROR(VLOOKUP($A883,'Fusion ExDa'!$B$2:$D$16, 4,FALSE), IFERROR(VLOOKUP($A883,'Exetel ExDa'!$C$2:$N$14, 3,FALSE), IFERROR(VLOOKUP($A883,'Infinet ExDa'!$B$2:$E$14, 3,FALSE), "Not Found"))))))))</f>
        <v>AAPT</v>
      </c>
      <c r="E883" t="str">
        <f>IFERROR(VLOOKUP($A883,'AAPT ExDa'!$B$2:$U$99, 3,FALSE), IFERROR(VLOOKUP($A883,'ABB ExDa'!$A$2:$N$184, 5,FALSE), IFERROR(VLOOKUP($A883,'Vocus SIT ExDa'!$B$2:$J$173, 2,FALSE), IFERROR(VLOOKUP($A883,'Telstra ExDa'!$B$2:$K$310, 4,FALSE), IFERROR(VLOOKUP($A883,'Vocus RVC ExDa'!$C$2:$R$155, 8,FALSE), IFERROR(VLOOKUP($A883,'Fusion ExDa'!$B$2:$D$16, 4,FALSE), IFERROR(VLOOKUP($A883,'Exetel ExDa'!$C$2:$N$14, 5,FALSE), IFERROR(VLOOKUP($A883,'Infinet ExDa'!$B$2:$E$14, 3,FALSE), "Not Found"))))))))</f>
        <v>IP-Line</v>
      </c>
      <c r="F883" t="str">
        <f>IFERROR(VLOOKUP($A883,'AAPT ExDa'!$B$2:$U$99, 4,FALSE), IFERROR(VLOOKUP($A883,'ABB ExDa'!$A$2:$N$184, 6,FALSE), IFERROR(VLOOKUP($A883,'Vocus SIT ExDa'!$B$2:$J$173, 3,FALSE), IFERROR(VLOOKUP($A883,'Telstra ExDa'!$B$2:$K$310, 5,FALSE), IFERROR(VLOOKUP($A883,'Vocus RVC ExDa'!$C$2:$R$155, 9,FALSE), IFERROR(VLOOKUP($A883,'Fusion ExDa'!$B$2:$D$16, 0,FALSE), IFERROR(VLOOKUP($A883,'Exetel ExDa'!$C$2:$N$14, 6,FALSE), IFERROR(VLOOKUP($A883,'Infinet ExDa'!$B$2:$E$14, 0,FALSE), "Not Found"))))))))</f>
        <v>IP-Line Link</v>
      </c>
      <c r="G883" t="str">
        <f>IFERROR(VLOOKUP($A883,'AAPT ExDa'!$B$2:$U$99, 5,FALSE), IFERROR(VLOOKUP($A883,'ABB ExDa'!$A$2:$N$184, 8,FALSE), IFERROR(VLOOKUP($A883,'Vocus SIT ExDa'!$B$2:$J$173, 6,FALSE), IFERROR(VLOOKUP($A883,'Telstra ExDa'!$B$2:$K$310, 0,FALSE), IFERROR(VLOOKUP($A883,'Vocus RVC ExDa'!$C$2:$R$155, 15,FALSE), IFERROR(VLOOKUP($A883,'Fusion ExDa'!$B$2:$D$16, 0,FALSE), IFERROR(VLOOKUP($A883,'Exetel ExDa'!$C$2:$N$14, 7,FALSE), IFERROR(VLOOKUP($A883,'Infinet ExDa'!$B$2:$E$14, 0,FALSE), "Not Found"))))))))</f>
        <v>Connecting IP-Line 6023265 to Access 100773541</v>
      </c>
      <c r="H883" t="str">
        <f>IFERROR(VLOOKUP($A883,'AAPT ExDa'!$B$2:$U$99, 6,FALSE), IFERROR(VLOOKUP($A883,'ABB ExDa'!$A$2:$N$184, 0,FALSE), IFERROR(VLOOKUP($A883,'Vocus SIT ExDa'!$B$2:$J$173, 0,FALSE), IFERROR(VLOOKUP($A883,'Telstra ExDa'!$B$2:$K$310, 0,FALSE), IFERROR(VLOOKUP($A883,'Vocus RVC ExDa'!$C$2:$R$155, 16,FALSE), IFERROR(VLOOKUP($A883,'Fusion ExDa'!$B$2:$D$16, 0,FALSE), IFERROR(VLOOKUP($A883,'Exetel ExDa'!$C$2:$N$14, 0,FALSE), IFERROR(VLOOKUP($A883,'Infinet ExDa'!$B$2:$E$14, 0,FALSE), "Not Found"))))))))</f>
        <v>Up to 100/40Mbps; AVC ID:AVC000141025780</v>
      </c>
      <c r="I883">
        <f>IFERROR(VLOOKUP($A883,'AAPT ExDa'!$B$2:$U$99, 0,FALSE), IFERROR(VLOOKUP($A883,'ABB ExDa'!$A$2:$N$184, 0,FALSE), IFERROR(VLOOKUP($A883,'Vocus SIT ExDa'!$B$2:$J$173, 0,FALSE), IFERROR(VLOOKUP($A883,'Telstra ExDa'!$B$2:$K$310, 0,FALSE), IFERROR(VLOOKUP($A883,'Vocus RVC ExDa'!$C$2:$R$155, 0,FALSE), IFERROR(VLOOKUP($A883,'Fusion ExDa'!$B$2:$D$16, 0,FALSE), IFERROR(VLOOKUP($A883,'Exetel ExDa'!$C$2:$N$14, 8,FALSE), IFERROR(VLOOKUP($A883,'Infinet ExDa'!$B$2:$E$14, 0,FALSE), "Not Found"))))))))</f>
        <v>0</v>
      </c>
      <c r="J883" t="str">
        <f>IFERROR(VLOOKUP($A883,'AAPT ExDa'!$B$2:$U$99, 7,FALSE), IFERROR(VLOOKUP($A883,'ABB ExDa'!$A$2:$N$184, 2,FALSE), IFERROR(VLOOKUP($A883,'Vocus SIT ExDa'!$B$2:$J$173, 0,FALSE), IFERROR(VLOOKUP($A883,'Telstra ExDa'!$B$2:$K$310, 7,FALSE), IFERROR(VLOOKUP($A883,'Vocus RVC ExDa'!$C$2:$R$155, 2,FALSE), IFERROR(VLOOKUP($A883,'Fusion ExDa'!$B$2:$D$16, 3,FALSE), IFERROR(VLOOKUP($A883,'Exetel ExDa'!$C$2:$N$14, 0,FALSE), IFERROR(VLOOKUP($A883,'Infinet ExDa'!$B$2:$E$14, 0,FALSE), "Not Found"))))))))</f>
        <v>AVC000141025780</v>
      </c>
      <c r="K883" t="str">
        <f>IFERROR(VLOOKUP($A883,'AAPT ExDa'!$B$2:$U$99, 12,FALSE), IFERROR(VLOOKUP($A883,'ABB ExDa'!$A$2:$N$184, 0,FALSE), IFERROR(VLOOKUP($A883,'Vocus SIT ExDa'!$B$2:$J$173, 0,FALSE), IFERROR(VLOOKUP($A883,'Telstra ExDa'!$B$2:$K$310, 0,FALSE), IFERROR(VLOOKUP($A883,'Vocus RVC ExDa'!$C$2:$R$155, 0,FALSE), IFERROR(VLOOKUP($A883,'Fusion ExDa'!$B$2:$D$16, 0,FALSE), IFERROR(VLOOKUP($A883,'Exetel ExDa'!$C$2:$N$14, 12,FALSE), IFERROR(VLOOKUP($A883,'Infinet ExDa'!$B$2:$E$14, 0,FALSE), "Not Found"))))))))</f>
        <v>12 Months</v>
      </c>
      <c r="L883" s="235">
        <f>IFERROR(VLOOKUP($A883,'AAPT ExDa'!$B$2:$U$99, 11,FALSE), IFERROR(VLOOKUP($A883,'ABB ExDa'!$A$2:$N$184, 9,FALSE), IFERROR(VLOOKUP($A883,'Vocus SIT ExDa'!$B$2:$J$173, 8,FALSE), IFERROR(VLOOKUP($A883,'Telstra ExDa'!$B$2:$K$310, 0,FALSE), IFERROR(VLOOKUP($A883,'Vocus RVC ExDa'!$C$2:$R$155, 0,FALSE), IFERROR(VLOOKUP($A883,'Fusion ExDa'!$B$2:$D$16, 0,FALSE), IFERROR(VLOOKUP($A883,'Exetel ExDa'!$C$2:$N$14, 9,FALSE), IFERROR(VLOOKUP($A883,'Infinet ExDa'!$B$2:$E$14, 0,FALSE), "Not Found"))))))))</f>
        <v>44297</v>
      </c>
      <c r="M883" s="234">
        <f>IFERROR(VLOOKUP($A883,'AAPT ExDa'!$B$2:$U$99, 0,FALSE), IFERROR(VLOOKUP($A883,'ABB ExDa'!$A$2:$N$184, 0,FALSE), IFERROR(VLOOKUP($A883,'Vocus SIT ExDa'!$B$2:$J$173, 0,FALSE), IFERROR(VLOOKUP($A883,'Telstra ExDa'!$B$2:$K$310, 0,FALSE), IFERROR(VLOOKUP($A883,'Vocus RVC ExDa'!$C$2:$R$155, 0,FALSE), IFERROR(VLOOKUP($A883,'Fusion ExDa'!$B$2:$D$16, 0,FALSE), IFERROR(VLOOKUP($A883,'Exetel ExDa'!$C$2:$N$14, 11,FALSE), IFERROR(VLOOKUP($A883,'Infinet ExDa'!$B$2:$E$14, 0,FALSE), "Not Found"))))))))</f>
        <v>0</v>
      </c>
      <c r="N883" t="str">
        <f>IFERROR(VLOOKUP($A883,'AAPT ExDa'!$B$2:$U$99, 0,FALSE), IFERROR(VLOOKUP($A883,'ABB ExDa'!$A$2:$N$184, 13,FALSE), IFERROR(VLOOKUP($A883,'Vocus SIT ExDa'!$B$2:$J$173, 0,FALSE), IFERROR(VLOOKUP($A883,'Telstra ExDa'!$B$2:$K$310, 0,FALSE), IFERROR(VLOOKUP($A883,'Vocus RVC ExDa'!$C$2:$R$155, 0,FALSE), IFERROR(VLOOKUP($A883,'Fusion ExDa'!$B$2:$D$16, 0,FALSE), IFERROR(VLOOKUP($A883,'Exetel ExDa'!$C$2:$N$14, 0,FALSE), IFERROR(VLOOKUP($A883,'Infinet ExDa'!$B$2:$E$14, 0,FALSE), "Not Found"))))))))</f>
        <v>Not Found</v>
      </c>
    </row>
    <row r="884" spans="1:14">
      <c r="A884" t="str">
        <v>Nodo Camp Hill</v>
      </c>
      <c r="B884" t="str">
        <f>IFERROR(VLOOKUP(A884,'Exetel ExDa'!$C$2:$N$14,4,FALSE),"No Data")</f>
        <v>No Data</v>
      </c>
      <c r="C884" t="str">
        <f>IFERROR(VLOOKUP(A884,'AAPT ExDa'!$B$2:$U$99, 2,FALSE), IFERROR(VLOOKUP(A884,'ABB ExDa'!$A$2:$N$184, 2,FALSE), IFERROR(VLOOKUP(A884,'Vocus SIT ExDa'!$B$2:$J$173, 7,FALSE), IFERROR(VLOOKUP(A884,'Telstra ExDa'!$B$2:$K$310, 2,FALSE), IFERROR(VLOOKUP(A884,'Vocus RVC ExDa'!$C$2:$R$155, 3,FALSE), IFERROR(VLOOKUP(A884,'Fusion ExDa'!$B$2:$D$16, 2,FALSE), IFERROR(VLOOKUP(A884,'Exetel ExDa'!$C$2:$N$14, 2,FALSE), IFERROR(VLOOKUP(A884,'Infinet ExDa'!$B$2:$E$14, 2,FALSE), "Not Found"))))))))</f>
        <v>CAMP HILL MARKETPLACE, BG 1, G, SHOP 18, CAMP HILL QLD 4152</v>
      </c>
      <c r="D884" t="str">
        <f>IFERROR(VLOOKUP($A884,'AAPT ExDa'!$B$2:$U$99, 15,FALSE), IFERROR(VLOOKUP($A884,'ABB ExDa'!$A$2:$N$184, 4,FALSE), IFERROR(VLOOKUP($A884,'Vocus SIT ExDa'!$B$2:$J$173, 5,FALSE), IFERROR(VLOOKUP($A884,'Telstra ExDa'!$B$2:$K$310, 8,FALSE), IFERROR(VLOOKUP($A884,'Vocus RVC ExDa'!$C$2:$R$155, 6,FALSE), IFERROR(VLOOKUP($A884,'Fusion ExDa'!$B$2:$D$16, 4,FALSE), IFERROR(VLOOKUP($A884,'Exetel ExDa'!$C$2:$N$14, 3,FALSE), IFERROR(VLOOKUP($A884,'Infinet ExDa'!$B$2:$E$14, 3,FALSE), "Not Found"))))))))</f>
        <v>Telstra</v>
      </c>
      <c r="E884" t="str">
        <f>IFERROR(VLOOKUP($A884,'AAPT ExDa'!$B$2:$U$99, 3,FALSE), IFERROR(VLOOKUP($A884,'ABB ExDa'!$A$2:$N$184, 5,FALSE), IFERROR(VLOOKUP($A884,'Vocus SIT ExDa'!$B$2:$J$173, 2,FALSE), IFERROR(VLOOKUP($A884,'Telstra ExDa'!$B$2:$K$310, 4,FALSE), IFERROR(VLOOKUP($A884,'Vocus RVC ExDa'!$C$2:$R$155, 8,FALSE), IFERROR(VLOOKUP($A884,'Fusion ExDa'!$B$2:$D$16, 4,FALSE), IFERROR(VLOOKUP($A884,'Exetel ExDa'!$C$2:$N$14, 5,FALSE), IFERROR(VLOOKUP($A884,'Infinet ExDa'!$B$2:$E$14, 3,FALSE), "Not Found"))))))))</f>
        <v xml:space="preserve">Standard Plus Speed NBN </v>
      </c>
      <c r="F884" t="str">
        <f>IFERROR(VLOOKUP($A884,'AAPT ExDa'!$B$2:$U$99, 4,FALSE), IFERROR(VLOOKUP($A884,'ABB ExDa'!$A$2:$N$184, 6,FALSE), IFERROR(VLOOKUP($A884,'Vocus SIT ExDa'!$B$2:$J$173, 3,FALSE), IFERROR(VLOOKUP($A884,'Telstra ExDa'!$B$2:$K$310, 5,FALSE), IFERROR(VLOOKUP($A884,'Vocus RVC ExDa'!$C$2:$R$155, 9,FALSE), IFERROR(VLOOKUP($A884,'Fusion ExDa'!$B$2:$D$16, 0,FALSE), IFERROR(VLOOKUP($A884,'Exetel ExDa'!$C$2:$N$14, 6,FALSE), IFERROR(VLOOKUP($A884,'Infinet ExDa'!$B$2:$E$14, 0,FALSE), "Not Found"))))))))</f>
        <v>Unlimited Internet</v>
      </c>
      <c r="G884">
        <f>IFERROR(VLOOKUP($A884,'AAPT ExDa'!$B$2:$U$99, 5,FALSE), IFERROR(VLOOKUP($A884,'ABB ExDa'!$A$2:$N$184, 8,FALSE), IFERROR(VLOOKUP($A884,'Vocus SIT ExDa'!$B$2:$J$173, 6,FALSE), IFERROR(VLOOKUP($A884,'Telstra ExDa'!$B$2:$K$310, 0,FALSE), IFERROR(VLOOKUP($A884,'Vocus RVC ExDa'!$C$2:$R$155, 15,FALSE), IFERROR(VLOOKUP($A884,'Fusion ExDa'!$B$2:$D$16, 0,FALSE), IFERROR(VLOOKUP($A884,'Exetel ExDa'!$C$2:$N$14, 7,FALSE), IFERROR(VLOOKUP($A884,'Infinet ExDa'!$B$2:$E$14, 0,FALSE), "Not Found"))))))))</f>
        <v>0</v>
      </c>
      <c r="H884">
        <f>IFERROR(VLOOKUP($A884,'AAPT ExDa'!$B$2:$U$99, 6,FALSE), IFERROR(VLOOKUP($A884,'ABB ExDa'!$A$2:$N$184, 0,FALSE), IFERROR(VLOOKUP($A884,'Vocus SIT ExDa'!$B$2:$J$173, 0,FALSE), IFERROR(VLOOKUP($A884,'Telstra ExDa'!$B$2:$K$310, 0,FALSE), IFERROR(VLOOKUP($A884,'Vocus RVC ExDa'!$C$2:$R$155, 16,FALSE), IFERROR(VLOOKUP($A884,'Fusion ExDa'!$B$2:$D$16, 0,FALSE), IFERROR(VLOOKUP($A884,'Exetel ExDa'!$C$2:$N$14, 0,FALSE), IFERROR(VLOOKUP($A884,'Infinet ExDa'!$B$2:$E$14, 0,FALSE), "Not Found"))))))))</f>
        <v>0</v>
      </c>
      <c r="I884" t="str">
        <f>IFERROR(VLOOKUP($A884,'AAPT ExDa'!$B$2:$U$99, 0,FALSE), IFERROR(VLOOKUP($A884,'ABB ExDa'!$A$2:$N$184, 0,FALSE), IFERROR(VLOOKUP($A884,'Vocus SIT ExDa'!$B$2:$J$173, 0,FALSE), IFERROR(VLOOKUP($A884,'Telstra ExDa'!$B$2:$K$310, 0,FALSE), IFERROR(VLOOKUP($A884,'Vocus RVC ExDa'!$C$2:$R$155, 0,FALSE), IFERROR(VLOOKUP($A884,'Fusion ExDa'!$B$2:$D$16, 0,FALSE), IFERROR(VLOOKUP($A884,'Exetel ExDa'!$C$2:$N$14, 8,FALSE), IFERROR(VLOOKUP($A884,'Infinet ExDa'!$B$2:$E$14, 0,FALSE), "Not Found"))))))))</f>
        <v>Not Found</v>
      </c>
      <c r="J884">
        <f>IFERROR(VLOOKUP($A884,'AAPT ExDa'!$B$2:$U$99, 7,FALSE), IFERROR(VLOOKUP($A884,'ABB ExDa'!$A$2:$N$184, 2,FALSE), IFERROR(VLOOKUP($A884,'Vocus SIT ExDa'!$B$2:$J$173, 0,FALSE), IFERROR(VLOOKUP($A884,'Telstra ExDa'!$B$2:$K$310, 7,FALSE), IFERROR(VLOOKUP($A884,'Vocus RVC ExDa'!$C$2:$R$155, 2,FALSE), IFERROR(VLOOKUP($A884,'Fusion ExDa'!$B$2:$D$16, 3,FALSE), IFERROR(VLOOKUP($A884,'Exetel ExDa'!$C$2:$N$14, 0,FALSE), IFERROR(VLOOKUP($A884,'Infinet ExDa'!$B$2:$E$14, 0,FALSE), "Not Found"))))))))</f>
        <v>0</v>
      </c>
      <c r="K884" t="str">
        <f>IFERROR(VLOOKUP($A884,'AAPT ExDa'!$B$2:$U$99, 12,FALSE), IFERROR(VLOOKUP($A884,'ABB ExDa'!$A$2:$N$184, 0,FALSE), IFERROR(VLOOKUP($A884,'Vocus SIT ExDa'!$B$2:$J$173, 0,FALSE), IFERROR(VLOOKUP($A884,'Telstra ExDa'!$B$2:$K$310, 0,FALSE), IFERROR(VLOOKUP($A884,'Vocus RVC ExDa'!$C$2:$R$155, 0,FALSE), IFERROR(VLOOKUP($A884,'Fusion ExDa'!$B$2:$D$16, 0,FALSE), IFERROR(VLOOKUP($A884,'Exetel ExDa'!$C$2:$N$14, 12,FALSE), IFERROR(VLOOKUP($A884,'Infinet ExDa'!$B$2:$E$14, 0,FALSE), "Not Found"))))))))</f>
        <v>Not Found</v>
      </c>
      <c r="L884" s="235" t="str">
        <f>IFERROR(VLOOKUP($A884,'AAPT ExDa'!$B$2:$U$99, 11,FALSE), IFERROR(VLOOKUP($A884,'ABB ExDa'!$A$2:$N$184, 9,FALSE), IFERROR(VLOOKUP($A884,'Vocus SIT ExDa'!$B$2:$J$173, 8,FALSE), IFERROR(VLOOKUP($A884,'Telstra ExDa'!$B$2:$K$310, 0,FALSE), IFERROR(VLOOKUP($A884,'Vocus RVC ExDa'!$C$2:$R$155, 0,FALSE), IFERROR(VLOOKUP($A884,'Fusion ExDa'!$B$2:$D$16, 0,FALSE), IFERROR(VLOOKUP($A884,'Exetel ExDa'!$C$2:$N$14, 9,FALSE), IFERROR(VLOOKUP($A884,'Infinet ExDa'!$B$2:$E$14, 0,FALSE), "Not Found"))))))))</f>
        <v>Not Found</v>
      </c>
      <c r="M884" s="234" t="str">
        <f>IFERROR(VLOOKUP($A884,'AAPT ExDa'!$B$2:$U$99, 0,FALSE), IFERROR(VLOOKUP($A884,'ABB ExDa'!$A$2:$N$184, 0,FALSE), IFERROR(VLOOKUP($A884,'Vocus SIT ExDa'!$B$2:$J$173, 0,FALSE), IFERROR(VLOOKUP($A884,'Telstra ExDa'!$B$2:$K$310, 0,FALSE), IFERROR(VLOOKUP($A884,'Vocus RVC ExDa'!$C$2:$R$155, 0,FALSE), IFERROR(VLOOKUP($A884,'Fusion ExDa'!$B$2:$D$16, 0,FALSE), IFERROR(VLOOKUP($A884,'Exetel ExDa'!$C$2:$N$14, 11,FALSE), IFERROR(VLOOKUP($A884,'Infinet ExDa'!$B$2:$E$14, 0,FALSE), "Not Found"))))))))</f>
        <v>Not Found</v>
      </c>
      <c r="N884" t="str">
        <f>IFERROR(VLOOKUP($A884,'AAPT ExDa'!$B$2:$U$99, 0,FALSE), IFERROR(VLOOKUP($A884,'ABB ExDa'!$A$2:$N$184, 13,FALSE), IFERROR(VLOOKUP($A884,'Vocus SIT ExDa'!$B$2:$J$173, 0,FALSE), IFERROR(VLOOKUP($A884,'Telstra ExDa'!$B$2:$K$310, 0,FALSE), IFERROR(VLOOKUP($A884,'Vocus RVC ExDa'!$C$2:$R$155, 0,FALSE), IFERROR(VLOOKUP($A884,'Fusion ExDa'!$B$2:$D$16, 0,FALSE), IFERROR(VLOOKUP($A884,'Exetel ExDa'!$C$2:$N$14, 0,FALSE), IFERROR(VLOOKUP($A884,'Infinet ExDa'!$B$2:$E$14, 0,FALSE), "Not Found"))))))))</f>
        <v>Not Found</v>
      </c>
    </row>
    <row r="885" spans="1:14">
      <c r="A885" t="str">
        <v>Nodo Everton Park</v>
      </c>
      <c r="B885" t="str">
        <f>IFERROR(VLOOKUP(A885,'Exetel ExDa'!$C$2:$N$14,4,FALSE),"No Data")</f>
        <v>No Data</v>
      </c>
      <c r="C885" t="str">
        <f>IFERROR(VLOOKUP(A885,'AAPT ExDa'!$B$2:$U$99, 2,FALSE), IFERROR(VLOOKUP(A885,'ABB ExDa'!$A$2:$N$184, 2,FALSE), IFERROR(VLOOKUP(A885,'Vocus SIT ExDa'!$B$2:$J$173, 7,FALSE), IFERROR(VLOOKUP(A885,'Telstra ExDa'!$B$2:$K$310, 2,FALSE), IFERROR(VLOOKUP(A885,'Vocus RVC ExDa'!$C$2:$R$155, 3,FALSE), IFERROR(VLOOKUP(A885,'Fusion ExDa'!$B$2:$D$16, 2,FALSE), IFERROR(VLOOKUP(A885,'Exetel ExDa'!$C$2:$N$14, 2,FALSE), IFERROR(VLOOKUP(A885,'Infinet ExDa'!$B$2:$E$14, 2,FALSE), "Not Found"))))))))</f>
        <v>TENANCY 28, EVERTON PLAZA , 791 STAFFORD RD, EVERTON PARK QLD</v>
      </c>
      <c r="D885" t="str">
        <f>IFERROR(VLOOKUP($A885,'AAPT ExDa'!$B$2:$U$99, 15,FALSE), IFERROR(VLOOKUP($A885,'ABB ExDa'!$A$2:$N$184, 4,FALSE), IFERROR(VLOOKUP($A885,'Vocus SIT ExDa'!$B$2:$J$173, 5,FALSE), IFERROR(VLOOKUP($A885,'Telstra ExDa'!$B$2:$K$310, 8,FALSE), IFERROR(VLOOKUP($A885,'Vocus RVC ExDa'!$C$2:$R$155, 6,FALSE), IFERROR(VLOOKUP($A885,'Fusion ExDa'!$B$2:$D$16, 4,FALSE), IFERROR(VLOOKUP($A885,'Exetel ExDa'!$C$2:$N$14, 3,FALSE), IFERROR(VLOOKUP($A885,'Infinet ExDa'!$B$2:$E$14, 3,FALSE), "Not Found"))))))))</f>
        <v>ABB</v>
      </c>
      <c r="E885" t="str">
        <f>IFERROR(VLOOKUP($A885,'AAPT ExDa'!$B$2:$U$99, 3,FALSE), IFERROR(VLOOKUP($A885,'ABB ExDa'!$A$2:$N$184, 5,FALSE), IFERROR(VLOOKUP($A885,'Vocus SIT ExDa'!$B$2:$J$173, 2,FALSE), IFERROR(VLOOKUP($A885,'Telstra ExDa'!$B$2:$K$310, 4,FALSE), IFERROR(VLOOKUP($A885,'Vocus RVC ExDa'!$C$2:$R$155, 8,FALSE), IFERROR(VLOOKUP($A885,'Fusion ExDa'!$B$2:$D$16, 4,FALSE), IFERROR(VLOOKUP($A885,'Exetel ExDa'!$C$2:$N$14, 5,FALSE), IFERROR(VLOOKUP($A885,'Infinet ExDa'!$B$2:$E$14, 3,FALSE), "Not Found"))))))))</f>
        <v>NBN 25/10</v>
      </c>
      <c r="F885" t="str">
        <f>IFERROR(VLOOKUP($A885,'AAPT ExDa'!$B$2:$U$99, 4,FALSE), IFERROR(VLOOKUP($A885,'ABB ExDa'!$A$2:$N$184, 6,FALSE), IFERROR(VLOOKUP($A885,'Vocus SIT ExDa'!$B$2:$J$173, 3,FALSE), IFERROR(VLOOKUP($A885,'Telstra ExDa'!$B$2:$K$310, 5,FALSE), IFERROR(VLOOKUP($A885,'Vocus RVC ExDa'!$C$2:$R$155, 9,FALSE), IFERROR(VLOOKUP($A885,'Fusion ExDa'!$B$2:$D$16, 0,FALSE), IFERROR(VLOOKUP($A885,'Exetel ExDa'!$C$2:$N$14, 6,FALSE), IFERROR(VLOOKUP($A885,'Infinet ExDa'!$B$2:$E$14, 0,FALSE), "Not Found"))))))))</f>
        <v>FTTN</v>
      </c>
      <c r="G885" t="str">
        <f>IFERROR(VLOOKUP($A885,'AAPT ExDa'!$B$2:$U$99, 5,FALSE), IFERROR(VLOOKUP($A885,'ABB ExDa'!$A$2:$N$184, 8,FALSE), IFERROR(VLOOKUP($A885,'Vocus SIT ExDa'!$B$2:$J$173, 6,FALSE), IFERROR(VLOOKUP($A885,'Telstra ExDa'!$B$2:$K$310, 0,FALSE), IFERROR(VLOOKUP($A885,'Vocus RVC ExDa'!$C$2:$R$155, 15,FALSE), IFERROR(VLOOKUP($A885,'Fusion ExDa'!$B$2:$D$16, 0,FALSE), IFERROR(VLOOKUP($A885,'Exetel ExDa'!$C$2:$N$14, 7,FALSE), IFERROR(VLOOKUP($A885,'Infinet ExDa'!$B$2:$E$14, 0,FALSE), "Not Found"))))))))</f>
        <v>159.196.61.249</v>
      </c>
      <c r="H885">
        <f>IFERROR(VLOOKUP($A885,'AAPT ExDa'!$B$2:$U$99, 6,FALSE), IFERROR(VLOOKUP($A885,'ABB ExDa'!$A$2:$N$184, 0,FALSE), IFERROR(VLOOKUP($A885,'Vocus SIT ExDa'!$B$2:$J$173, 0,FALSE), IFERROR(VLOOKUP($A885,'Telstra ExDa'!$B$2:$K$310, 0,FALSE), IFERROR(VLOOKUP($A885,'Vocus RVC ExDa'!$C$2:$R$155, 16,FALSE), IFERROR(VLOOKUP($A885,'Fusion ExDa'!$B$2:$D$16, 0,FALSE), IFERROR(VLOOKUP($A885,'Exetel ExDa'!$C$2:$N$14, 0,FALSE), IFERROR(VLOOKUP($A885,'Infinet ExDa'!$B$2:$E$14, 0,FALSE), "Not Found"))))))))</f>
        <v>0</v>
      </c>
      <c r="I885" t="str">
        <f>IFERROR(VLOOKUP($A885,'AAPT ExDa'!$B$2:$U$99, 0,FALSE), IFERROR(VLOOKUP($A885,'ABB ExDa'!$A$2:$N$184, 0,FALSE), IFERROR(VLOOKUP($A885,'Vocus SIT ExDa'!$B$2:$J$173, 0,FALSE), IFERROR(VLOOKUP($A885,'Telstra ExDa'!$B$2:$K$310, 0,FALSE), IFERROR(VLOOKUP($A885,'Vocus RVC ExDa'!$C$2:$R$155, 0,FALSE), IFERROR(VLOOKUP($A885,'Fusion ExDa'!$B$2:$D$16, 0,FALSE), IFERROR(VLOOKUP($A885,'Exetel ExDa'!$C$2:$N$14, 8,FALSE), IFERROR(VLOOKUP($A885,'Infinet ExDa'!$B$2:$E$14, 0,FALSE), "Not Found"))))))))</f>
        <v>Not Found</v>
      </c>
      <c r="J885" t="str">
        <f>IFERROR(VLOOKUP($A885,'AAPT ExDa'!$B$2:$U$99, 7,FALSE), IFERROR(VLOOKUP($A885,'ABB ExDa'!$A$2:$N$184, 2,FALSE), IFERROR(VLOOKUP($A885,'Vocus SIT ExDa'!$B$2:$J$173, 0,FALSE), IFERROR(VLOOKUP($A885,'Telstra ExDa'!$B$2:$K$310, 7,FALSE), IFERROR(VLOOKUP($A885,'Vocus RVC ExDa'!$C$2:$R$155, 2,FALSE), IFERROR(VLOOKUP($A885,'Fusion ExDa'!$B$2:$D$16, 3,FALSE), IFERROR(VLOOKUP($A885,'Exetel ExDa'!$C$2:$N$14, 0,FALSE), IFERROR(VLOOKUP($A885,'Infinet ExDa'!$B$2:$E$14, 0,FALSE), "Not Found"))))))))</f>
        <v>TENANCY 28, EVERTON PLAZA , 791 STAFFORD RD, EVERTON PARK QLD</v>
      </c>
      <c r="K885" t="str">
        <f>IFERROR(VLOOKUP($A885,'AAPT ExDa'!$B$2:$U$99, 12,FALSE), IFERROR(VLOOKUP($A885,'ABB ExDa'!$A$2:$N$184, 0,FALSE), IFERROR(VLOOKUP($A885,'Vocus SIT ExDa'!$B$2:$J$173, 0,FALSE), IFERROR(VLOOKUP($A885,'Telstra ExDa'!$B$2:$K$310, 0,FALSE), IFERROR(VLOOKUP($A885,'Vocus RVC ExDa'!$C$2:$R$155, 0,FALSE), IFERROR(VLOOKUP($A885,'Fusion ExDa'!$B$2:$D$16, 0,FALSE), IFERROR(VLOOKUP($A885,'Exetel ExDa'!$C$2:$N$14, 12,FALSE), IFERROR(VLOOKUP($A885,'Infinet ExDa'!$B$2:$E$14, 0,FALSE), "Not Found"))))))))</f>
        <v>Not Found</v>
      </c>
      <c r="L885" s="235" t="str">
        <f>IFERROR(VLOOKUP($A885,'AAPT ExDa'!$B$2:$U$99, 11,FALSE), IFERROR(VLOOKUP($A885,'ABB ExDa'!$A$2:$N$184, 9,FALSE), IFERROR(VLOOKUP($A885,'Vocus SIT ExDa'!$B$2:$J$173, 8,FALSE), IFERROR(VLOOKUP($A885,'Telstra ExDa'!$B$2:$K$310, 0,FALSE), IFERROR(VLOOKUP($A885,'Vocus RVC ExDa'!$C$2:$R$155, 0,FALSE), IFERROR(VLOOKUP($A885,'Fusion ExDa'!$B$2:$D$16, 0,FALSE), IFERROR(VLOOKUP($A885,'Exetel ExDa'!$C$2:$N$14, 9,FALSE), IFERROR(VLOOKUP($A885,'Infinet ExDa'!$B$2:$E$14, 0,FALSE), "Not Found"))))))))</f>
        <v>30 June 2025</v>
      </c>
      <c r="M885" s="234" t="str">
        <f>IFERROR(VLOOKUP($A885,'AAPT ExDa'!$B$2:$U$99, 0,FALSE), IFERROR(VLOOKUP($A885,'ABB ExDa'!$A$2:$N$184, 0,FALSE), IFERROR(VLOOKUP($A885,'Vocus SIT ExDa'!$B$2:$J$173, 0,FALSE), IFERROR(VLOOKUP($A885,'Telstra ExDa'!$B$2:$K$310, 0,FALSE), IFERROR(VLOOKUP($A885,'Vocus RVC ExDa'!$C$2:$R$155, 0,FALSE), IFERROR(VLOOKUP($A885,'Fusion ExDa'!$B$2:$D$16, 0,FALSE), IFERROR(VLOOKUP($A885,'Exetel ExDa'!$C$2:$N$14, 11,FALSE), IFERROR(VLOOKUP($A885,'Infinet ExDa'!$B$2:$E$14, 0,FALSE), "Not Found"))))))))</f>
        <v>Not Found</v>
      </c>
      <c r="N885" t="str">
        <f>IFERROR(VLOOKUP($A885,'AAPT ExDa'!$B$2:$U$99, 0,FALSE), IFERROR(VLOOKUP($A885,'ABB ExDa'!$A$2:$N$184, 13,FALSE), IFERROR(VLOOKUP($A885,'Vocus SIT ExDa'!$B$2:$J$173, 0,FALSE), IFERROR(VLOOKUP($A885,'Telstra ExDa'!$B$2:$K$310, 0,FALSE), IFERROR(VLOOKUP($A885,'Vocus RVC ExDa'!$C$2:$R$155, 0,FALSE), IFERROR(VLOOKUP($A885,'Fusion ExDa'!$B$2:$D$16, 0,FALSE), IFERROR(VLOOKUP($A885,'Exetel ExDa'!$C$2:$N$14, 0,FALSE), IFERROR(VLOOKUP($A885,'Infinet ExDa'!$B$2:$E$14, 0,FALSE), "Not Found"))))))))</f>
        <v>TBA</v>
      </c>
    </row>
    <row r="886" spans="1:14">
      <c r="A886" t="str">
        <v>Nodo Fortitude Valley</v>
      </c>
      <c r="B886" t="str">
        <f>IFERROR(VLOOKUP(A886,'Exetel ExDa'!$C$2:$N$14,4,FALSE),"No Data")</f>
        <v>No Data</v>
      </c>
      <c r="C886" t="str">
        <f>IFERROR(VLOOKUP(A886,'AAPT ExDa'!$B$2:$U$99, 2,FALSE), IFERROR(VLOOKUP(A886,'ABB ExDa'!$A$2:$N$184, 2,FALSE), IFERROR(VLOOKUP(A886,'Vocus SIT ExDa'!$B$2:$J$173, 7,FALSE), IFERROR(VLOOKUP(A886,'Telstra ExDa'!$B$2:$K$310, 2,FALSE), IFERROR(VLOOKUP(A886,'Vocus RVC ExDa'!$C$2:$R$155, 3,FALSE), IFERROR(VLOOKUP(A886,'Fusion ExDa'!$B$2:$D$16, 2,FALSE), IFERROR(VLOOKUP(A886,'Exetel ExDa'!$C$2:$N$14, 2,FALSE), IFERROR(VLOOKUP(A886,'Infinet ExDa'!$B$2:$E$14, 2,FALSE), "Not Found"))))))))</f>
        <v>2 26 Wandoo  ST</v>
      </c>
      <c r="D886">
        <f>IFERROR(VLOOKUP($A886,'AAPT ExDa'!$B$2:$U$99, 15,FALSE), IFERROR(VLOOKUP($A886,'ABB ExDa'!$A$2:$N$184, 4,FALSE), IFERROR(VLOOKUP($A886,'Vocus SIT ExDa'!$B$2:$J$173, 5,FALSE), IFERROR(VLOOKUP($A886,'Telstra ExDa'!$B$2:$K$310, 8,FALSE), IFERROR(VLOOKUP($A886,'Vocus RVC ExDa'!$C$2:$R$155, 6,FALSE), IFERROR(VLOOKUP($A886,'Fusion ExDa'!$B$2:$D$16, 4,FALSE), IFERROR(VLOOKUP($A886,'Exetel ExDa'!$C$2:$N$14, 3,FALSE), IFERROR(VLOOKUP($A886,'Infinet ExDa'!$B$2:$E$14, 3,FALSE), "Not Found"))))))))</f>
        <v>4006</v>
      </c>
      <c r="E886" t="str">
        <f>IFERROR(VLOOKUP($A886,'AAPT ExDa'!$B$2:$U$99, 3,FALSE), IFERROR(VLOOKUP($A886,'ABB ExDa'!$A$2:$N$184, 5,FALSE), IFERROR(VLOOKUP($A886,'Vocus SIT ExDa'!$B$2:$J$173, 2,FALSE), IFERROR(VLOOKUP($A886,'Telstra ExDa'!$B$2:$K$310, 4,FALSE), IFERROR(VLOOKUP($A886,'Vocus RVC ExDa'!$C$2:$R$155, 8,FALSE), IFERROR(VLOOKUP($A886,'Fusion ExDa'!$B$2:$D$16, 4,FALSE), IFERROR(VLOOKUP($A886,'Exetel ExDa'!$C$2:$N$14, 5,FALSE), IFERROR(VLOOKUP($A886,'Infinet ExDa'!$B$2:$E$14, 3,FALSE), "Not Found"))))))))</f>
        <v>Mobile Service</v>
      </c>
      <c r="F886">
        <f>IFERROR(VLOOKUP($A886,'AAPT ExDa'!$B$2:$U$99, 4,FALSE), IFERROR(VLOOKUP($A886,'ABB ExDa'!$A$2:$N$184, 6,FALSE), IFERROR(VLOOKUP($A886,'Vocus SIT ExDa'!$B$2:$J$173, 3,FALSE), IFERROR(VLOOKUP($A886,'Telstra ExDa'!$B$2:$K$310, 5,FALSE), IFERROR(VLOOKUP($A886,'Vocus RVC ExDa'!$C$2:$R$155, 9,FALSE), IFERROR(VLOOKUP($A886,'Fusion ExDa'!$B$2:$D$16, 0,FALSE), IFERROR(VLOOKUP($A886,'Exetel ExDa'!$C$2:$N$14, 6,FALSE), IFERROR(VLOOKUP($A886,'Infinet ExDa'!$B$2:$E$14, 0,FALSE), "Not Found"))))))))</f>
        <v>45631</v>
      </c>
      <c r="G886">
        <f>IFERROR(VLOOKUP($A886,'AAPT ExDa'!$B$2:$U$99, 5,FALSE), IFERROR(VLOOKUP($A886,'ABB ExDa'!$A$2:$N$184, 8,FALSE), IFERROR(VLOOKUP($A886,'Vocus SIT ExDa'!$B$2:$J$173, 6,FALSE), IFERROR(VLOOKUP($A886,'Telstra ExDa'!$B$2:$K$310, 0,FALSE), IFERROR(VLOOKUP($A886,'Vocus RVC ExDa'!$C$2:$R$155, 15,FALSE), IFERROR(VLOOKUP($A886,'Fusion ExDa'!$B$2:$D$16, 0,FALSE), IFERROR(VLOOKUP($A886,'Exetel ExDa'!$C$2:$N$14, 7,FALSE), IFERROR(VLOOKUP($A886,'Infinet ExDa'!$B$2:$E$14, 0,FALSE), "Not Found"))))))))</f>
        <v>0</v>
      </c>
      <c r="H886">
        <f>IFERROR(VLOOKUP($A886,'AAPT ExDa'!$B$2:$U$99, 6,FALSE), IFERROR(VLOOKUP($A886,'ABB ExDa'!$A$2:$N$184, 0,FALSE), IFERROR(VLOOKUP($A886,'Vocus SIT ExDa'!$B$2:$J$173, 0,FALSE), IFERROR(VLOOKUP($A886,'Telstra ExDa'!$B$2:$K$310, 0,FALSE), IFERROR(VLOOKUP($A886,'Vocus RVC ExDa'!$C$2:$R$155, 16,FALSE), IFERROR(VLOOKUP($A886,'Fusion ExDa'!$B$2:$D$16, 0,FALSE), IFERROR(VLOOKUP($A886,'Exetel ExDa'!$C$2:$N$14, 0,FALSE), IFERROR(VLOOKUP($A886,'Infinet ExDa'!$B$2:$E$14, 0,FALSE), "Not Found"))))))))</f>
        <v>0</v>
      </c>
      <c r="I886" t="str">
        <f>IFERROR(VLOOKUP($A886,'AAPT ExDa'!$B$2:$U$99, 0,FALSE), IFERROR(VLOOKUP($A886,'ABB ExDa'!$A$2:$N$184, 0,FALSE), IFERROR(VLOOKUP($A886,'Vocus SIT ExDa'!$B$2:$J$173, 0,FALSE), IFERROR(VLOOKUP($A886,'Telstra ExDa'!$B$2:$K$310, 0,FALSE), IFERROR(VLOOKUP($A886,'Vocus RVC ExDa'!$C$2:$R$155, 0,FALSE), IFERROR(VLOOKUP($A886,'Fusion ExDa'!$B$2:$D$16, 0,FALSE), IFERROR(VLOOKUP($A886,'Exetel ExDa'!$C$2:$N$14, 8,FALSE), IFERROR(VLOOKUP($A886,'Infinet ExDa'!$B$2:$E$14, 0,FALSE), "Not Found"))))))))</f>
        <v>Not Found</v>
      </c>
      <c r="J886">
        <f>IFERROR(VLOOKUP($A886,'AAPT ExDa'!$B$2:$U$99, 7,FALSE), IFERROR(VLOOKUP($A886,'ABB ExDa'!$A$2:$N$184, 2,FALSE), IFERROR(VLOOKUP($A886,'Vocus SIT ExDa'!$B$2:$J$173, 0,FALSE), IFERROR(VLOOKUP($A886,'Telstra ExDa'!$B$2:$K$310, 7,FALSE), IFERROR(VLOOKUP($A886,'Vocus RVC ExDa'!$C$2:$R$155, 2,FALSE), IFERROR(VLOOKUP($A886,'Fusion ExDa'!$B$2:$D$16, 3,FALSE), IFERROR(VLOOKUP($A886,'Exetel ExDa'!$C$2:$N$14, 0,FALSE), IFERROR(VLOOKUP($A886,'Infinet ExDa'!$B$2:$E$14, 0,FALSE), "Not Found"))))))))</f>
        <v>0</v>
      </c>
      <c r="K886" t="str">
        <f>IFERROR(VLOOKUP($A886,'AAPT ExDa'!$B$2:$U$99, 12,FALSE), IFERROR(VLOOKUP($A886,'ABB ExDa'!$A$2:$N$184, 0,FALSE), IFERROR(VLOOKUP($A886,'Vocus SIT ExDa'!$B$2:$J$173, 0,FALSE), IFERROR(VLOOKUP($A886,'Telstra ExDa'!$B$2:$K$310, 0,FALSE), IFERROR(VLOOKUP($A886,'Vocus RVC ExDa'!$C$2:$R$155, 0,FALSE), IFERROR(VLOOKUP($A886,'Fusion ExDa'!$B$2:$D$16, 0,FALSE), IFERROR(VLOOKUP($A886,'Exetel ExDa'!$C$2:$N$14, 12,FALSE), IFERROR(VLOOKUP($A886,'Infinet ExDa'!$B$2:$E$14, 0,FALSE), "Not Found"))))))))</f>
        <v>Not Found</v>
      </c>
      <c r="L886" s="235" t="str">
        <f>IFERROR(VLOOKUP($A886,'AAPT ExDa'!$B$2:$U$99, 11,FALSE), IFERROR(VLOOKUP($A886,'ABB ExDa'!$A$2:$N$184, 9,FALSE), IFERROR(VLOOKUP($A886,'Vocus SIT ExDa'!$B$2:$J$173, 8,FALSE), IFERROR(VLOOKUP($A886,'Telstra ExDa'!$B$2:$K$310, 0,FALSE), IFERROR(VLOOKUP($A886,'Vocus RVC ExDa'!$C$2:$R$155, 0,FALSE), IFERROR(VLOOKUP($A886,'Fusion ExDa'!$B$2:$D$16, 0,FALSE), IFERROR(VLOOKUP($A886,'Exetel ExDa'!$C$2:$N$14, 9,FALSE), IFERROR(VLOOKUP($A886,'Infinet ExDa'!$B$2:$E$14, 0,FALSE), "Not Found"))))))))</f>
        <v>Not Found</v>
      </c>
      <c r="M886" s="234" t="str">
        <f>IFERROR(VLOOKUP($A886,'AAPT ExDa'!$B$2:$U$99, 0,FALSE), IFERROR(VLOOKUP($A886,'ABB ExDa'!$A$2:$N$184, 0,FALSE), IFERROR(VLOOKUP($A886,'Vocus SIT ExDa'!$B$2:$J$173, 0,FALSE), IFERROR(VLOOKUP($A886,'Telstra ExDa'!$B$2:$K$310, 0,FALSE), IFERROR(VLOOKUP($A886,'Vocus RVC ExDa'!$C$2:$R$155, 0,FALSE), IFERROR(VLOOKUP($A886,'Fusion ExDa'!$B$2:$D$16, 0,FALSE), IFERROR(VLOOKUP($A886,'Exetel ExDa'!$C$2:$N$14, 11,FALSE), IFERROR(VLOOKUP($A886,'Infinet ExDa'!$B$2:$E$14, 0,FALSE), "Not Found"))))))))</f>
        <v>Not Found</v>
      </c>
      <c r="N886" t="str">
        <f>IFERROR(VLOOKUP($A886,'AAPT ExDa'!$B$2:$U$99, 0,FALSE), IFERROR(VLOOKUP($A886,'ABB ExDa'!$A$2:$N$184, 13,FALSE), IFERROR(VLOOKUP($A886,'Vocus SIT ExDa'!$B$2:$J$173, 0,FALSE), IFERROR(VLOOKUP($A886,'Telstra ExDa'!$B$2:$K$310, 0,FALSE), IFERROR(VLOOKUP($A886,'Vocus RVC ExDa'!$C$2:$R$155, 0,FALSE), IFERROR(VLOOKUP($A886,'Fusion ExDa'!$B$2:$D$16, 0,FALSE), IFERROR(VLOOKUP($A886,'Exetel ExDa'!$C$2:$N$14, 0,FALSE), IFERROR(VLOOKUP($A886,'Infinet ExDa'!$B$2:$E$14, 0,FALSE), "Not Found"))))))))</f>
        <v>Not Found</v>
      </c>
    </row>
    <row r="887" spans="1:14">
      <c r="A887" t="str">
        <v>Nodo West Village</v>
      </c>
      <c r="B887" t="str">
        <f>IFERROR(VLOOKUP(A887,'Exetel ExDa'!$C$2:$N$14,4,FALSE),"No Data")</f>
        <v>No Data</v>
      </c>
      <c r="C887" t="str">
        <f>IFERROR(VLOOKUP(A887,'AAPT ExDa'!$B$2:$U$99, 2,FALSE), IFERROR(VLOOKUP(A887,'ABB ExDa'!$A$2:$N$184, 2,FALSE), IFERROR(VLOOKUP(A887,'Vocus SIT ExDa'!$B$2:$J$173, 7,FALSE), IFERROR(VLOOKUP(A887,'Telstra ExDa'!$B$2:$K$310, 2,FALSE), IFERROR(VLOOKUP(A887,'Vocus RVC ExDa'!$C$2:$R$155, 3,FALSE), IFERROR(VLOOKUP(A887,'Fusion ExDa'!$B$2:$D$16, 2,FALSE), IFERROR(VLOOKUP(A887,'Exetel ExDa'!$C$2:$N$14, 2,FALSE), IFERROR(VLOOKUP(A887,'Infinet ExDa'!$B$2:$E$14, 2,FALSE), "Not Found"))))))))</f>
        <v>Kiosk 97 Boundary  ST</v>
      </c>
      <c r="D887">
        <f>IFERROR(VLOOKUP($A887,'AAPT ExDa'!$B$2:$U$99, 15,FALSE), IFERROR(VLOOKUP($A887,'ABB ExDa'!$A$2:$N$184, 4,FALSE), IFERROR(VLOOKUP($A887,'Vocus SIT ExDa'!$B$2:$J$173, 5,FALSE), IFERROR(VLOOKUP($A887,'Telstra ExDa'!$B$2:$K$310, 8,FALSE), IFERROR(VLOOKUP($A887,'Vocus RVC ExDa'!$C$2:$R$155, 6,FALSE), IFERROR(VLOOKUP($A887,'Fusion ExDa'!$B$2:$D$16, 4,FALSE), IFERROR(VLOOKUP($A887,'Exetel ExDa'!$C$2:$N$14, 3,FALSE), IFERROR(VLOOKUP($A887,'Infinet ExDa'!$B$2:$E$14, 3,FALSE), "Not Found"))))))))</f>
        <v>4101</v>
      </c>
      <c r="E887" t="str">
        <f>IFERROR(VLOOKUP($A887,'AAPT ExDa'!$B$2:$U$99, 3,FALSE), IFERROR(VLOOKUP($A887,'ABB ExDa'!$A$2:$N$184, 5,FALSE), IFERROR(VLOOKUP($A887,'Vocus SIT ExDa'!$B$2:$J$173, 2,FALSE), IFERROR(VLOOKUP($A887,'Telstra ExDa'!$B$2:$K$310, 4,FALSE), IFERROR(VLOOKUP($A887,'Vocus RVC ExDa'!$C$2:$R$155, 8,FALSE), IFERROR(VLOOKUP($A887,'Fusion ExDa'!$B$2:$D$16, 4,FALSE), IFERROR(VLOOKUP($A887,'Exetel ExDa'!$C$2:$N$14, 5,FALSE), IFERROR(VLOOKUP($A887,'Infinet ExDa'!$B$2:$E$14, 3,FALSE), "Not Found"))))))))</f>
        <v>Mobile Service</v>
      </c>
      <c r="F887">
        <f>IFERROR(VLOOKUP($A887,'AAPT ExDa'!$B$2:$U$99, 4,FALSE), IFERROR(VLOOKUP($A887,'ABB ExDa'!$A$2:$N$184, 6,FALSE), IFERROR(VLOOKUP($A887,'Vocus SIT ExDa'!$B$2:$J$173, 3,FALSE), IFERROR(VLOOKUP($A887,'Telstra ExDa'!$B$2:$K$310, 5,FALSE), IFERROR(VLOOKUP($A887,'Vocus RVC ExDa'!$C$2:$R$155, 9,FALSE), IFERROR(VLOOKUP($A887,'Fusion ExDa'!$B$2:$D$16, 0,FALSE), IFERROR(VLOOKUP($A887,'Exetel ExDa'!$C$2:$N$14, 6,FALSE), IFERROR(VLOOKUP($A887,'Infinet ExDa'!$B$2:$E$14, 0,FALSE), "Not Found"))))))))</f>
        <v>45834</v>
      </c>
      <c r="G887">
        <f>IFERROR(VLOOKUP($A887,'AAPT ExDa'!$B$2:$U$99, 5,FALSE), IFERROR(VLOOKUP($A887,'ABB ExDa'!$A$2:$N$184, 8,FALSE), IFERROR(VLOOKUP($A887,'Vocus SIT ExDa'!$B$2:$J$173, 6,FALSE), IFERROR(VLOOKUP($A887,'Telstra ExDa'!$B$2:$K$310, 0,FALSE), IFERROR(VLOOKUP($A887,'Vocus RVC ExDa'!$C$2:$R$155, 15,FALSE), IFERROR(VLOOKUP($A887,'Fusion ExDa'!$B$2:$D$16, 0,FALSE), IFERROR(VLOOKUP($A887,'Exetel ExDa'!$C$2:$N$14, 7,FALSE), IFERROR(VLOOKUP($A887,'Infinet ExDa'!$B$2:$E$14, 0,FALSE), "Not Found"))))))))</f>
        <v>0</v>
      </c>
      <c r="H887">
        <f>IFERROR(VLOOKUP($A887,'AAPT ExDa'!$B$2:$U$99, 6,FALSE), IFERROR(VLOOKUP($A887,'ABB ExDa'!$A$2:$N$184, 0,FALSE), IFERROR(VLOOKUP($A887,'Vocus SIT ExDa'!$B$2:$J$173, 0,FALSE), IFERROR(VLOOKUP($A887,'Telstra ExDa'!$B$2:$K$310, 0,FALSE), IFERROR(VLOOKUP($A887,'Vocus RVC ExDa'!$C$2:$R$155, 16,FALSE), IFERROR(VLOOKUP($A887,'Fusion ExDa'!$B$2:$D$16, 0,FALSE), IFERROR(VLOOKUP($A887,'Exetel ExDa'!$C$2:$N$14, 0,FALSE), IFERROR(VLOOKUP($A887,'Infinet ExDa'!$B$2:$E$14, 0,FALSE), "Not Found"))))))))</f>
        <v>0</v>
      </c>
      <c r="I887" t="str">
        <f>IFERROR(VLOOKUP($A887,'AAPT ExDa'!$B$2:$U$99, 0,FALSE), IFERROR(VLOOKUP($A887,'ABB ExDa'!$A$2:$N$184, 0,FALSE), IFERROR(VLOOKUP($A887,'Vocus SIT ExDa'!$B$2:$J$173, 0,FALSE), IFERROR(VLOOKUP($A887,'Telstra ExDa'!$B$2:$K$310, 0,FALSE), IFERROR(VLOOKUP($A887,'Vocus RVC ExDa'!$C$2:$R$155, 0,FALSE), IFERROR(VLOOKUP($A887,'Fusion ExDa'!$B$2:$D$16, 0,FALSE), IFERROR(VLOOKUP($A887,'Exetel ExDa'!$C$2:$N$14, 8,FALSE), IFERROR(VLOOKUP($A887,'Infinet ExDa'!$B$2:$E$14, 0,FALSE), "Not Found"))))))))</f>
        <v>Not Found</v>
      </c>
      <c r="J887">
        <f>IFERROR(VLOOKUP($A887,'AAPT ExDa'!$B$2:$U$99, 7,FALSE), IFERROR(VLOOKUP($A887,'ABB ExDa'!$A$2:$N$184, 2,FALSE), IFERROR(VLOOKUP($A887,'Vocus SIT ExDa'!$B$2:$J$173, 0,FALSE), IFERROR(VLOOKUP($A887,'Telstra ExDa'!$B$2:$K$310, 7,FALSE), IFERROR(VLOOKUP($A887,'Vocus RVC ExDa'!$C$2:$R$155, 2,FALSE), IFERROR(VLOOKUP($A887,'Fusion ExDa'!$B$2:$D$16, 3,FALSE), IFERROR(VLOOKUP($A887,'Exetel ExDa'!$C$2:$N$14, 0,FALSE), IFERROR(VLOOKUP($A887,'Infinet ExDa'!$B$2:$E$14, 0,FALSE), "Not Found"))))))))</f>
        <v>0</v>
      </c>
      <c r="K887" t="str">
        <f>IFERROR(VLOOKUP($A887,'AAPT ExDa'!$B$2:$U$99, 12,FALSE), IFERROR(VLOOKUP($A887,'ABB ExDa'!$A$2:$N$184, 0,FALSE), IFERROR(VLOOKUP($A887,'Vocus SIT ExDa'!$B$2:$J$173, 0,FALSE), IFERROR(VLOOKUP($A887,'Telstra ExDa'!$B$2:$K$310, 0,FALSE), IFERROR(VLOOKUP($A887,'Vocus RVC ExDa'!$C$2:$R$155, 0,FALSE), IFERROR(VLOOKUP($A887,'Fusion ExDa'!$B$2:$D$16, 0,FALSE), IFERROR(VLOOKUP($A887,'Exetel ExDa'!$C$2:$N$14, 12,FALSE), IFERROR(VLOOKUP($A887,'Infinet ExDa'!$B$2:$E$14, 0,FALSE), "Not Found"))))))))</f>
        <v>Not Found</v>
      </c>
      <c r="L887" s="235" t="str">
        <f>IFERROR(VLOOKUP($A887,'AAPT ExDa'!$B$2:$U$99, 11,FALSE), IFERROR(VLOOKUP($A887,'ABB ExDa'!$A$2:$N$184, 9,FALSE), IFERROR(VLOOKUP($A887,'Vocus SIT ExDa'!$B$2:$J$173, 8,FALSE), IFERROR(VLOOKUP($A887,'Telstra ExDa'!$B$2:$K$310, 0,FALSE), IFERROR(VLOOKUP($A887,'Vocus RVC ExDa'!$C$2:$R$155, 0,FALSE), IFERROR(VLOOKUP($A887,'Fusion ExDa'!$B$2:$D$16, 0,FALSE), IFERROR(VLOOKUP($A887,'Exetel ExDa'!$C$2:$N$14, 9,FALSE), IFERROR(VLOOKUP($A887,'Infinet ExDa'!$B$2:$E$14, 0,FALSE), "Not Found"))))))))</f>
        <v>Not Found</v>
      </c>
      <c r="M887" s="234" t="str">
        <f>IFERROR(VLOOKUP($A887,'AAPT ExDa'!$B$2:$U$99, 0,FALSE), IFERROR(VLOOKUP($A887,'ABB ExDa'!$A$2:$N$184, 0,FALSE), IFERROR(VLOOKUP($A887,'Vocus SIT ExDa'!$B$2:$J$173, 0,FALSE), IFERROR(VLOOKUP($A887,'Telstra ExDa'!$B$2:$K$310, 0,FALSE), IFERROR(VLOOKUP($A887,'Vocus RVC ExDa'!$C$2:$R$155, 0,FALSE), IFERROR(VLOOKUP($A887,'Fusion ExDa'!$B$2:$D$16, 0,FALSE), IFERROR(VLOOKUP($A887,'Exetel ExDa'!$C$2:$N$14, 11,FALSE), IFERROR(VLOOKUP($A887,'Infinet ExDa'!$B$2:$E$14, 0,FALSE), "Not Found"))))))))</f>
        <v>Not Found</v>
      </c>
      <c r="N887" t="str">
        <f>IFERROR(VLOOKUP($A887,'AAPT ExDa'!$B$2:$U$99, 0,FALSE), IFERROR(VLOOKUP($A887,'ABB ExDa'!$A$2:$N$184, 13,FALSE), IFERROR(VLOOKUP($A887,'Vocus SIT ExDa'!$B$2:$J$173, 0,FALSE), IFERROR(VLOOKUP($A887,'Telstra ExDa'!$B$2:$K$310, 0,FALSE), IFERROR(VLOOKUP($A887,'Vocus RVC ExDa'!$C$2:$R$155, 0,FALSE), IFERROR(VLOOKUP($A887,'Fusion ExDa'!$B$2:$D$16, 0,FALSE), IFERROR(VLOOKUP($A887,'Exetel ExDa'!$C$2:$N$14, 0,FALSE), IFERROR(VLOOKUP($A887,'Infinet ExDa'!$B$2:$E$14, 0,FALSE), "Not Found"))))))))</f>
        <v>Not Found</v>
      </c>
    </row>
    <row r="888" spans="1:14">
      <c r="A888" t="str">
        <v>Nodo Grey St (Southbank)</v>
      </c>
      <c r="B888" t="str">
        <f>IFERROR(VLOOKUP(A888,'Exetel ExDa'!$C$2:$N$14,4,FALSE),"No Data")</f>
        <v>No Data</v>
      </c>
      <c r="C888" t="str">
        <f>IFERROR(VLOOKUP(A888,'AAPT ExDa'!$B$2:$U$99, 2,FALSE), IFERROR(VLOOKUP(A888,'ABB ExDa'!$A$2:$N$184, 2,FALSE), IFERROR(VLOOKUP(A888,'Vocus SIT ExDa'!$B$2:$J$173, 7,FALSE), IFERROR(VLOOKUP(A888,'Telstra ExDa'!$B$2:$K$310, 2,FALSE), IFERROR(VLOOKUP(A888,'Vocus RVC ExDa'!$C$2:$R$155, 3,FALSE), IFERROR(VLOOKUP(A888,'Fusion ExDa'!$B$2:$D$16, 2,FALSE), IFERROR(VLOOKUP(A888,'Exetel ExDa'!$C$2:$N$14, 2,FALSE), IFERROR(VLOOKUP(A888,'Infinet ExDa'!$B$2:$E$14, 2,FALSE), "Not Found"))))))))</f>
        <v>65 114 Grey ST</v>
      </c>
      <c r="D888">
        <f>IFERROR(VLOOKUP($A888,'AAPT ExDa'!$B$2:$U$99, 15,FALSE), IFERROR(VLOOKUP($A888,'ABB ExDa'!$A$2:$N$184, 4,FALSE), IFERROR(VLOOKUP($A888,'Vocus SIT ExDa'!$B$2:$J$173, 5,FALSE), IFERROR(VLOOKUP($A888,'Telstra ExDa'!$B$2:$K$310, 8,FALSE), IFERROR(VLOOKUP($A888,'Vocus RVC ExDa'!$C$2:$R$155, 6,FALSE), IFERROR(VLOOKUP($A888,'Fusion ExDa'!$B$2:$D$16, 4,FALSE), IFERROR(VLOOKUP($A888,'Exetel ExDa'!$C$2:$N$14, 3,FALSE), IFERROR(VLOOKUP($A888,'Infinet ExDa'!$B$2:$E$14, 3,FALSE), "Not Found"))))))))</f>
        <v>4101</v>
      </c>
      <c r="E888" t="str">
        <f>IFERROR(VLOOKUP($A888,'AAPT ExDa'!$B$2:$U$99, 3,FALSE), IFERROR(VLOOKUP($A888,'ABB ExDa'!$A$2:$N$184, 5,FALSE), IFERROR(VLOOKUP($A888,'Vocus SIT ExDa'!$B$2:$J$173, 2,FALSE), IFERROR(VLOOKUP($A888,'Telstra ExDa'!$B$2:$K$310, 4,FALSE), IFERROR(VLOOKUP($A888,'Vocus RVC ExDa'!$C$2:$R$155, 8,FALSE), IFERROR(VLOOKUP($A888,'Fusion ExDa'!$B$2:$D$16, 4,FALSE), IFERROR(VLOOKUP($A888,'Exetel ExDa'!$C$2:$N$14, 5,FALSE), IFERROR(VLOOKUP($A888,'Infinet ExDa'!$B$2:$E$14, 3,FALSE), "Not Found"))))))))</f>
        <v>Mobile Service</v>
      </c>
      <c r="F888">
        <f>IFERROR(VLOOKUP($A888,'AAPT ExDa'!$B$2:$U$99, 4,FALSE), IFERROR(VLOOKUP($A888,'ABB ExDa'!$A$2:$N$184, 6,FALSE), IFERROR(VLOOKUP($A888,'Vocus SIT ExDa'!$B$2:$J$173, 3,FALSE), IFERROR(VLOOKUP($A888,'Telstra ExDa'!$B$2:$K$310, 5,FALSE), IFERROR(VLOOKUP($A888,'Vocus RVC ExDa'!$C$2:$R$155, 9,FALSE), IFERROR(VLOOKUP($A888,'Fusion ExDa'!$B$2:$D$16, 0,FALSE), IFERROR(VLOOKUP($A888,'Exetel ExDa'!$C$2:$N$14, 6,FALSE), IFERROR(VLOOKUP($A888,'Infinet ExDa'!$B$2:$E$14, 0,FALSE), "Not Found"))))))))</f>
        <v>45834</v>
      </c>
      <c r="G888">
        <f>IFERROR(VLOOKUP($A888,'AAPT ExDa'!$B$2:$U$99, 5,FALSE), IFERROR(VLOOKUP($A888,'ABB ExDa'!$A$2:$N$184, 8,FALSE), IFERROR(VLOOKUP($A888,'Vocus SIT ExDa'!$B$2:$J$173, 6,FALSE), IFERROR(VLOOKUP($A888,'Telstra ExDa'!$B$2:$K$310, 0,FALSE), IFERROR(VLOOKUP($A888,'Vocus RVC ExDa'!$C$2:$R$155, 15,FALSE), IFERROR(VLOOKUP($A888,'Fusion ExDa'!$B$2:$D$16, 0,FALSE), IFERROR(VLOOKUP($A888,'Exetel ExDa'!$C$2:$N$14, 7,FALSE), IFERROR(VLOOKUP($A888,'Infinet ExDa'!$B$2:$E$14, 0,FALSE), "Not Found"))))))))</f>
        <v>0</v>
      </c>
      <c r="H888">
        <f>IFERROR(VLOOKUP($A888,'AAPT ExDa'!$B$2:$U$99, 6,FALSE), IFERROR(VLOOKUP($A888,'ABB ExDa'!$A$2:$N$184, 0,FALSE), IFERROR(VLOOKUP($A888,'Vocus SIT ExDa'!$B$2:$J$173, 0,FALSE), IFERROR(VLOOKUP($A888,'Telstra ExDa'!$B$2:$K$310, 0,FALSE), IFERROR(VLOOKUP($A888,'Vocus RVC ExDa'!$C$2:$R$155, 16,FALSE), IFERROR(VLOOKUP($A888,'Fusion ExDa'!$B$2:$D$16, 0,FALSE), IFERROR(VLOOKUP($A888,'Exetel ExDa'!$C$2:$N$14, 0,FALSE), IFERROR(VLOOKUP($A888,'Infinet ExDa'!$B$2:$E$14, 0,FALSE), "Not Found"))))))))</f>
        <v>0</v>
      </c>
      <c r="I888" t="str">
        <f>IFERROR(VLOOKUP($A888,'AAPT ExDa'!$B$2:$U$99, 0,FALSE), IFERROR(VLOOKUP($A888,'ABB ExDa'!$A$2:$N$184, 0,FALSE), IFERROR(VLOOKUP($A888,'Vocus SIT ExDa'!$B$2:$J$173, 0,FALSE), IFERROR(VLOOKUP($A888,'Telstra ExDa'!$B$2:$K$310, 0,FALSE), IFERROR(VLOOKUP($A888,'Vocus RVC ExDa'!$C$2:$R$155, 0,FALSE), IFERROR(VLOOKUP($A888,'Fusion ExDa'!$B$2:$D$16, 0,FALSE), IFERROR(VLOOKUP($A888,'Exetel ExDa'!$C$2:$N$14, 8,FALSE), IFERROR(VLOOKUP($A888,'Infinet ExDa'!$B$2:$E$14, 0,FALSE), "Not Found"))))))))</f>
        <v>Not Found</v>
      </c>
      <c r="J888">
        <f>IFERROR(VLOOKUP($A888,'AAPT ExDa'!$B$2:$U$99, 7,FALSE), IFERROR(VLOOKUP($A888,'ABB ExDa'!$A$2:$N$184, 2,FALSE), IFERROR(VLOOKUP($A888,'Vocus SIT ExDa'!$B$2:$J$173, 0,FALSE), IFERROR(VLOOKUP($A888,'Telstra ExDa'!$B$2:$K$310, 7,FALSE), IFERROR(VLOOKUP($A888,'Vocus RVC ExDa'!$C$2:$R$155, 2,FALSE), IFERROR(VLOOKUP($A888,'Fusion ExDa'!$B$2:$D$16, 3,FALSE), IFERROR(VLOOKUP($A888,'Exetel ExDa'!$C$2:$N$14, 0,FALSE), IFERROR(VLOOKUP($A888,'Infinet ExDa'!$B$2:$E$14, 0,FALSE), "Not Found"))))))))</f>
        <v>0</v>
      </c>
      <c r="K888" t="str">
        <f>IFERROR(VLOOKUP($A888,'AAPT ExDa'!$B$2:$U$99, 12,FALSE), IFERROR(VLOOKUP($A888,'ABB ExDa'!$A$2:$N$184, 0,FALSE), IFERROR(VLOOKUP($A888,'Vocus SIT ExDa'!$B$2:$J$173, 0,FALSE), IFERROR(VLOOKUP($A888,'Telstra ExDa'!$B$2:$K$310, 0,FALSE), IFERROR(VLOOKUP($A888,'Vocus RVC ExDa'!$C$2:$R$155, 0,FALSE), IFERROR(VLOOKUP($A888,'Fusion ExDa'!$B$2:$D$16, 0,FALSE), IFERROR(VLOOKUP($A888,'Exetel ExDa'!$C$2:$N$14, 12,FALSE), IFERROR(VLOOKUP($A888,'Infinet ExDa'!$B$2:$E$14, 0,FALSE), "Not Found"))))))))</f>
        <v>Not Found</v>
      </c>
      <c r="L888" s="235" t="str">
        <f>IFERROR(VLOOKUP($A888,'AAPT ExDa'!$B$2:$U$99, 11,FALSE), IFERROR(VLOOKUP($A888,'ABB ExDa'!$A$2:$N$184, 9,FALSE), IFERROR(VLOOKUP($A888,'Vocus SIT ExDa'!$B$2:$J$173, 8,FALSE), IFERROR(VLOOKUP($A888,'Telstra ExDa'!$B$2:$K$310, 0,FALSE), IFERROR(VLOOKUP($A888,'Vocus RVC ExDa'!$C$2:$R$155, 0,FALSE), IFERROR(VLOOKUP($A888,'Fusion ExDa'!$B$2:$D$16, 0,FALSE), IFERROR(VLOOKUP($A888,'Exetel ExDa'!$C$2:$N$14, 9,FALSE), IFERROR(VLOOKUP($A888,'Infinet ExDa'!$B$2:$E$14, 0,FALSE), "Not Found"))))))))</f>
        <v>Not Found</v>
      </c>
      <c r="M888" s="234" t="str">
        <f>IFERROR(VLOOKUP($A888,'AAPT ExDa'!$B$2:$U$99, 0,FALSE), IFERROR(VLOOKUP($A888,'ABB ExDa'!$A$2:$N$184, 0,FALSE), IFERROR(VLOOKUP($A888,'Vocus SIT ExDa'!$B$2:$J$173, 0,FALSE), IFERROR(VLOOKUP($A888,'Telstra ExDa'!$B$2:$K$310, 0,FALSE), IFERROR(VLOOKUP($A888,'Vocus RVC ExDa'!$C$2:$R$155, 0,FALSE), IFERROR(VLOOKUP($A888,'Fusion ExDa'!$B$2:$D$16, 0,FALSE), IFERROR(VLOOKUP($A888,'Exetel ExDa'!$C$2:$N$14, 11,FALSE), IFERROR(VLOOKUP($A888,'Infinet ExDa'!$B$2:$E$14, 0,FALSE), "Not Found"))))))))</f>
        <v>Not Found</v>
      </c>
      <c r="N888" t="str">
        <f>IFERROR(VLOOKUP($A888,'AAPT ExDa'!$B$2:$U$99, 0,FALSE), IFERROR(VLOOKUP($A888,'ABB ExDa'!$A$2:$N$184, 13,FALSE), IFERROR(VLOOKUP($A888,'Vocus SIT ExDa'!$B$2:$J$173, 0,FALSE), IFERROR(VLOOKUP($A888,'Telstra ExDa'!$B$2:$K$310, 0,FALSE), IFERROR(VLOOKUP($A888,'Vocus RVC ExDa'!$C$2:$R$155, 0,FALSE), IFERROR(VLOOKUP($A888,'Fusion ExDa'!$B$2:$D$16, 0,FALSE), IFERROR(VLOOKUP($A888,'Exetel ExDa'!$C$2:$N$14, 0,FALSE), IFERROR(VLOOKUP($A888,'Infinet ExDa'!$B$2:$E$14, 0,FALSE), "Not Found"))))))))</f>
        <v>Not Found</v>
      </c>
    </row>
    <row r="889" spans="1:14">
      <c r="A889" t="str">
        <v>Zambrero Beldon</v>
      </c>
      <c r="B889" t="str">
        <f>IFERROR(VLOOKUP(A889,'Exetel ExDa'!$C$2:$N$14,4,FALSE),"No Data")</f>
        <v>No Data</v>
      </c>
      <c r="C889" t="str">
        <f>IFERROR(VLOOKUP(A889,'AAPT ExDa'!$B$2:$U$99, 2,FALSE), IFERROR(VLOOKUP(A889,'ABB ExDa'!$A$2:$N$184, 2,FALSE), IFERROR(VLOOKUP(A889,'Vocus SIT ExDa'!$B$2:$J$173, 7,FALSE), IFERROR(VLOOKUP(A889,'Telstra ExDa'!$B$2:$K$310, 2,FALSE), IFERROR(VLOOKUP(A889,'Vocus RVC ExDa'!$C$2:$R$155, 3,FALSE), IFERROR(VLOOKUP(A889,'Fusion ExDa'!$B$2:$D$16, 2,FALSE), IFERROR(VLOOKUP(A889,'Exetel ExDa'!$C$2:$N$14, 2,FALSE), IFERROR(VLOOKUP(A889,'Infinet ExDa'!$B$2:$E$14, 2,FALSE), "Not Found"))))))))</f>
        <v>BELRIDGE SHOPPING CENTRE UN 4, 36 GWENDOLINE DR, BELDON WA</v>
      </c>
      <c r="D889" t="str">
        <f>IFERROR(VLOOKUP($A889,'AAPT ExDa'!$B$2:$U$99, 15,FALSE), IFERROR(VLOOKUP($A889,'ABB ExDa'!$A$2:$N$184, 4,FALSE), IFERROR(VLOOKUP($A889,'Vocus SIT ExDa'!$B$2:$J$173, 5,FALSE), IFERROR(VLOOKUP($A889,'Telstra ExDa'!$B$2:$K$310, 8,FALSE), IFERROR(VLOOKUP($A889,'Vocus RVC ExDa'!$C$2:$R$155, 6,FALSE), IFERROR(VLOOKUP($A889,'Fusion ExDa'!$B$2:$D$16, 4,FALSE), IFERROR(VLOOKUP($A889,'Exetel ExDa'!$C$2:$N$14, 3,FALSE), IFERROR(VLOOKUP($A889,'Infinet ExDa'!$B$2:$E$14, 3,FALSE), "Not Found"))))))))</f>
        <v>ABB</v>
      </c>
      <c r="E889" t="str">
        <f>IFERROR(VLOOKUP($A889,'AAPT ExDa'!$B$2:$U$99, 3,FALSE), IFERROR(VLOOKUP($A889,'ABB ExDa'!$A$2:$N$184, 5,FALSE), IFERROR(VLOOKUP($A889,'Vocus SIT ExDa'!$B$2:$J$173, 2,FALSE), IFERROR(VLOOKUP($A889,'Telstra ExDa'!$B$2:$K$310, 4,FALSE), IFERROR(VLOOKUP($A889,'Vocus RVC ExDa'!$C$2:$R$155, 8,FALSE), IFERROR(VLOOKUP($A889,'Fusion ExDa'!$B$2:$D$16, 4,FALSE), IFERROR(VLOOKUP($A889,'Exetel ExDa'!$C$2:$N$14, 5,FALSE), IFERROR(VLOOKUP($A889,'Infinet ExDa'!$B$2:$E$14, 3,FALSE), "Not Found"))))))))</f>
        <v>NBN 100/20</v>
      </c>
      <c r="F889" t="str">
        <f>IFERROR(VLOOKUP($A889,'AAPT ExDa'!$B$2:$U$99, 4,FALSE), IFERROR(VLOOKUP($A889,'ABB ExDa'!$A$2:$N$184, 6,FALSE), IFERROR(VLOOKUP($A889,'Vocus SIT ExDa'!$B$2:$J$173, 3,FALSE), IFERROR(VLOOKUP($A889,'Telstra ExDa'!$B$2:$K$310, 5,FALSE), IFERROR(VLOOKUP($A889,'Vocus RVC ExDa'!$C$2:$R$155, 9,FALSE), IFERROR(VLOOKUP($A889,'Fusion ExDa'!$B$2:$D$16, 0,FALSE), IFERROR(VLOOKUP($A889,'Exetel ExDa'!$C$2:$N$14, 6,FALSE), IFERROR(VLOOKUP($A889,'Infinet ExDa'!$B$2:$E$14, 0,FALSE), "Not Found"))))))))</f>
        <v>HFC</v>
      </c>
      <c r="G889" t="str">
        <f>IFERROR(VLOOKUP($A889,'AAPT ExDa'!$B$2:$U$99, 5,FALSE), IFERROR(VLOOKUP($A889,'ABB ExDa'!$A$2:$N$184, 8,FALSE), IFERROR(VLOOKUP($A889,'Vocus SIT ExDa'!$B$2:$J$173, 6,FALSE), IFERROR(VLOOKUP($A889,'Telstra ExDa'!$B$2:$K$310, 0,FALSE), IFERROR(VLOOKUP($A889,'Vocus RVC ExDa'!$C$2:$R$155, 15,FALSE), IFERROR(VLOOKUP($A889,'Fusion ExDa'!$B$2:$D$16, 0,FALSE), IFERROR(VLOOKUP($A889,'Exetel ExDa'!$C$2:$N$14, 7,FALSE), IFERROR(VLOOKUP($A889,'Infinet ExDa'!$B$2:$E$14, 0,FALSE), "Not Found"))))))))</f>
        <v>61.245.132.106</v>
      </c>
      <c r="H889">
        <f>IFERROR(VLOOKUP($A889,'AAPT ExDa'!$B$2:$U$99, 6,FALSE), IFERROR(VLOOKUP($A889,'ABB ExDa'!$A$2:$N$184, 0,FALSE), IFERROR(VLOOKUP($A889,'Vocus SIT ExDa'!$B$2:$J$173, 0,FALSE), IFERROR(VLOOKUP($A889,'Telstra ExDa'!$B$2:$K$310, 0,FALSE), IFERROR(VLOOKUP($A889,'Vocus RVC ExDa'!$C$2:$R$155, 16,FALSE), IFERROR(VLOOKUP($A889,'Fusion ExDa'!$B$2:$D$16, 0,FALSE), IFERROR(VLOOKUP($A889,'Exetel ExDa'!$C$2:$N$14, 0,FALSE), IFERROR(VLOOKUP($A889,'Infinet ExDa'!$B$2:$E$14, 0,FALSE), "Not Found"))))))))</f>
        <v>0</v>
      </c>
      <c r="I889" t="str">
        <f>IFERROR(VLOOKUP($A889,'AAPT ExDa'!$B$2:$U$99, 0,FALSE), IFERROR(VLOOKUP($A889,'ABB ExDa'!$A$2:$N$184, 0,FALSE), IFERROR(VLOOKUP($A889,'Vocus SIT ExDa'!$B$2:$J$173, 0,FALSE), IFERROR(VLOOKUP($A889,'Telstra ExDa'!$B$2:$K$310, 0,FALSE), IFERROR(VLOOKUP($A889,'Vocus RVC ExDa'!$C$2:$R$155, 0,FALSE), IFERROR(VLOOKUP($A889,'Fusion ExDa'!$B$2:$D$16, 0,FALSE), IFERROR(VLOOKUP($A889,'Exetel ExDa'!$C$2:$N$14, 8,FALSE), IFERROR(VLOOKUP($A889,'Infinet ExDa'!$B$2:$E$14, 0,FALSE), "Not Found"))))))))</f>
        <v>Not Found</v>
      </c>
      <c r="J889" t="str">
        <f>IFERROR(VLOOKUP($A889,'AAPT ExDa'!$B$2:$U$99, 7,FALSE), IFERROR(VLOOKUP($A889,'ABB ExDa'!$A$2:$N$184, 2,FALSE), IFERROR(VLOOKUP($A889,'Vocus SIT ExDa'!$B$2:$J$173, 0,FALSE), IFERROR(VLOOKUP($A889,'Telstra ExDa'!$B$2:$K$310, 7,FALSE), IFERROR(VLOOKUP($A889,'Vocus RVC ExDa'!$C$2:$R$155, 2,FALSE), IFERROR(VLOOKUP($A889,'Fusion ExDa'!$B$2:$D$16, 3,FALSE), IFERROR(VLOOKUP($A889,'Exetel ExDa'!$C$2:$N$14, 0,FALSE), IFERROR(VLOOKUP($A889,'Infinet ExDa'!$B$2:$E$14, 0,FALSE), "Not Found"))))))))</f>
        <v>BELRIDGE SHOPPING CENTRE UN 4, 36 GWENDOLINE DR, BELDON WA</v>
      </c>
      <c r="K889" t="str">
        <f>IFERROR(VLOOKUP($A889,'AAPT ExDa'!$B$2:$U$99, 12,FALSE), IFERROR(VLOOKUP($A889,'ABB ExDa'!$A$2:$N$184, 0,FALSE), IFERROR(VLOOKUP($A889,'Vocus SIT ExDa'!$B$2:$J$173, 0,FALSE), IFERROR(VLOOKUP($A889,'Telstra ExDa'!$B$2:$K$310, 0,FALSE), IFERROR(VLOOKUP($A889,'Vocus RVC ExDa'!$C$2:$R$155, 0,FALSE), IFERROR(VLOOKUP($A889,'Fusion ExDa'!$B$2:$D$16, 0,FALSE), IFERROR(VLOOKUP($A889,'Exetel ExDa'!$C$2:$N$14, 12,FALSE), IFERROR(VLOOKUP($A889,'Infinet ExDa'!$B$2:$E$14, 0,FALSE), "Not Found"))))))))</f>
        <v>Not Found</v>
      </c>
      <c r="L889" s="235" t="str">
        <f>IFERROR(VLOOKUP($A889,'AAPT ExDa'!$B$2:$U$99, 11,FALSE), IFERROR(VLOOKUP($A889,'ABB ExDa'!$A$2:$N$184, 9,FALSE), IFERROR(VLOOKUP($A889,'Vocus SIT ExDa'!$B$2:$J$173, 8,FALSE), IFERROR(VLOOKUP($A889,'Telstra ExDa'!$B$2:$K$310, 0,FALSE), IFERROR(VLOOKUP($A889,'Vocus RVC ExDa'!$C$2:$R$155, 0,FALSE), IFERROR(VLOOKUP($A889,'Fusion ExDa'!$B$2:$D$16, 0,FALSE), IFERROR(VLOOKUP($A889,'Exetel ExDa'!$C$2:$N$14, 9,FALSE), IFERROR(VLOOKUP($A889,'Infinet ExDa'!$B$2:$E$14, 0,FALSE), "Not Found"))))))))</f>
        <v>17 July 2025</v>
      </c>
      <c r="M889" s="234" t="str">
        <f>IFERROR(VLOOKUP($A889,'AAPT ExDa'!$B$2:$U$99, 0,FALSE), IFERROR(VLOOKUP($A889,'ABB ExDa'!$A$2:$N$184, 0,FALSE), IFERROR(VLOOKUP($A889,'Vocus SIT ExDa'!$B$2:$J$173, 0,FALSE), IFERROR(VLOOKUP($A889,'Telstra ExDa'!$B$2:$K$310, 0,FALSE), IFERROR(VLOOKUP($A889,'Vocus RVC ExDa'!$C$2:$R$155, 0,FALSE), IFERROR(VLOOKUP($A889,'Fusion ExDa'!$B$2:$D$16, 0,FALSE), IFERROR(VLOOKUP($A889,'Exetel ExDa'!$C$2:$N$14, 11,FALSE), IFERROR(VLOOKUP($A889,'Infinet ExDa'!$B$2:$E$14, 0,FALSE), "Not Found"))))))))</f>
        <v>Not Found</v>
      </c>
      <c r="N889" t="str">
        <f>IFERROR(VLOOKUP($A889,'AAPT ExDa'!$B$2:$U$99, 0,FALSE), IFERROR(VLOOKUP($A889,'ABB ExDa'!$A$2:$N$184, 13,FALSE), IFERROR(VLOOKUP($A889,'Vocus SIT ExDa'!$B$2:$J$173, 0,FALSE), IFERROR(VLOOKUP($A889,'Telstra ExDa'!$B$2:$K$310, 0,FALSE), IFERROR(VLOOKUP($A889,'Vocus RVC ExDa'!$C$2:$R$155, 0,FALSE), IFERROR(VLOOKUP($A889,'Fusion ExDa'!$B$2:$D$16, 0,FALSE), IFERROR(VLOOKUP($A889,'Exetel ExDa'!$C$2:$N$14, 0,FALSE), IFERROR(VLOOKUP($A889,'Infinet ExDa'!$B$2:$E$14, 0,FALSE), "Not Found"))))))))</f>
        <v>Onebill</v>
      </c>
    </row>
    <row r="890" spans="1:14">
      <c r="A890" t="str">
        <v>Zambrero Banksia Grove</v>
      </c>
      <c r="B890" t="str">
        <f>IFERROR(VLOOKUP(A890,'Exetel ExDa'!$C$2:$N$14,4,FALSE),"No Data")</f>
        <v>No Data</v>
      </c>
      <c r="C890" t="str">
        <f>IFERROR(VLOOKUP(A890,'AAPT ExDa'!$B$2:$U$99, 2,FALSE), IFERROR(VLOOKUP(A890,'ABB ExDa'!$A$2:$N$184, 2,FALSE), IFERROR(VLOOKUP(A890,'Vocus SIT ExDa'!$B$2:$J$173, 7,FALSE), IFERROR(VLOOKUP(A890,'Telstra ExDa'!$B$2:$K$310, 2,FALSE), IFERROR(VLOOKUP(A890,'Vocus RVC ExDa'!$C$2:$R$155, 3,FALSE), IFERROR(VLOOKUP(A890,'Fusion ExDa'!$B$2:$D$16, 2,FALSE), IFERROR(VLOOKUP(A890,'Exetel ExDa'!$C$2:$N$14, 2,FALSE), IFERROR(VLOOKUP(A890,'Infinet ExDa'!$B$2:$E$14, 2,FALSE), "Not Found"))))))))</f>
        <v>BANKSIA GROVE VILLAGE TNCY 11, 1001 JOONDALUP DR, BANKSIA GROVE WA</v>
      </c>
      <c r="D890" t="str">
        <f>IFERROR(VLOOKUP($A890,'AAPT ExDa'!$B$2:$U$99, 15,FALSE), IFERROR(VLOOKUP($A890,'ABB ExDa'!$A$2:$N$184, 4,FALSE), IFERROR(VLOOKUP($A890,'Vocus SIT ExDa'!$B$2:$J$173, 5,FALSE), IFERROR(VLOOKUP($A890,'Telstra ExDa'!$B$2:$K$310, 8,FALSE), IFERROR(VLOOKUP($A890,'Vocus RVC ExDa'!$C$2:$R$155, 6,FALSE), IFERROR(VLOOKUP($A890,'Fusion ExDa'!$B$2:$D$16, 4,FALSE), IFERROR(VLOOKUP($A890,'Exetel ExDa'!$C$2:$N$14, 3,FALSE), IFERROR(VLOOKUP($A890,'Infinet ExDa'!$B$2:$E$14, 3,FALSE), "Not Found"))))))))</f>
        <v>ABB</v>
      </c>
      <c r="E890" t="str">
        <f>IFERROR(VLOOKUP($A890,'AAPT ExDa'!$B$2:$U$99, 3,FALSE), IFERROR(VLOOKUP($A890,'ABB ExDa'!$A$2:$N$184, 5,FALSE), IFERROR(VLOOKUP($A890,'Vocus SIT ExDa'!$B$2:$J$173, 2,FALSE), IFERROR(VLOOKUP($A890,'Telstra ExDa'!$B$2:$K$310, 4,FALSE), IFERROR(VLOOKUP($A890,'Vocus RVC ExDa'!$C$2:$R$155, 8,FALSE), IFERROR(VLOOKUP($A890,'Fusion ExDa'!$B$2:$D$16, 4,FALSE), IFERROR(VLOOKUP($A890,'Exetel ExDa'!$C$2:$N$14, 5,FALSE), IFERROR(VLOOKUP($A890,'Infinet ExDa'!$B$2:$E$14, 3,FALSE), "Not Found"))))))))</f>
        <v>NBN 100/40</v>
      </c>
      <c r="F890" t="str">
        <f>IFERROR(VLOOKUP($A890,'AAPT ExDa'!$B$2:$U$99, 4,FALSE), IFERROR(VLOOKUP($A890,'ABB ExDa'!$A$2:$N$184, 6,FALSE), IFERROR(VLOOKUP($A890,'Vocus SIT ExDa'!$B$2:$J$173, 3,FALSE), IFERROR(VLOOKUP($A890,'Telstra ExDa'!$B$2:$K$310, 5,FALSE), IFERROR(VLOOKUP($A890,'Vocus RVC ExDa'!$C$2:$R$155, 9,FALSE), IFERROR(VLOOKUP($A890,'Fusion ExDa'!$B$2:$D$16, 0,FALSE), IFERROR(VLOOKUP($A890,'Exetel ExDa'!$C$2:$N$14, 6,FALSE), IFERROR(VLOOKUP($A890,'Infinet ExDa'!$B$2:$E$14, 0,FALSE), "Not Found"))))))))</f>
        <v>FTTB</v>
      </c>
      <c r="G890" t="str">
        <f>IFERROR(VLOOKUP($A890,'AAPT ExDa'!$B$2:$U$99, 5,FALSE), IFERROR(VLOOKUP($A890,'ABB ExDa'!$A$2:$N$184, 8,FALSE), IFERROR(VLOOKUP($A890,'Vocus SIT ExDa'!$B$2:$J$173, 6,FALSE), IFERROR(VLOOKUP($A890,'Telstra ExDa'!$B$2:$K$310, 0,FALSE), IFERROR(VLOOKUP($A890,'Vocus RVC ExDa'!$C$2:$R$155, 15,FALSE), IFERROR(VLOOKUP($A890,'Fusion ExDa'!$B$2:$D$16, 0,FALSE), IFERROR(VLOOKUP($A890,'Exetel ExDa'!$C$2:$N$14, 7,FALSE), IFERROR(VLOOKUP($A890,'Infinet ExDa'!$B$2:$E$14, 0,FALSE), "Not Found"))))))))</f>
        <v>144.6.157.252</v>
      </c>
      <c r="H890">
        <f>IFERROR(VLOOKUP($A890,'AAPT ExDa'!$B$2:$U$99, 6,FALSE), IFERROR(VLOOKUP($A890,'ABB ExDa'!$A$2:$N$184, 0,FALSE), IFERROR(VLOOKUP($A890,'Vocus SIT ExDa'!$B$2:$J$173, 0,FALSE), IFERROR(VLOOKUP($A890,'Telstra ExDa'!$B$2:$K$310, 0,FALSE), IFERROR(VLOOKUP($A890,'Vocus RVC ExDa'!$C$2:$R$155, 16,FALSE), IFERROR(VLOOKUP($A890,'Fusion ExDa'!$B$2:$D$16, 0,FALSE), IFERROR(VLOOKUP($A890,'Exetel ExDa'!$C$2:$N$14, 0,FALSE), IFERROR(VLOOKUP($A890,'Infinet ExDa'!$B$2:$E$14, 0,FALSE), "Not Found"))))))))</f>
        <v>0</v>
      </c>
      <c r="I890" t="str">
        <f>IFERROR(VLOOKUP($A890,'AAPT ExDa'!$B$2:$U$99, 0,FALSE), IFERROR(VLOOKUP($A890,'ABB ExDa'!$A$2:$N$184, 0,FALSE), IFERROR(VLOOKUP($A890,'Vocus SIT ExDa'!$B$2:$J$173, 0,FALSE), IFERROR(VLOOKUP($A890,'Telstra ExDa'!$B$2:$K$310, 0,FALSE), IFERROR(VLOOKUP($A890,'Vocus RVC ExDa'!$C$2:$R$155, 0,FALSE), IFERROR(VLOOKUP($A890,'Fusion ExDa'!$B$2:$D$16, 0,FALSE), IFERROR(VLOOKUP($A890,'Exetel ExDa'!$C$2:$N$14, 8,FALSE), IFERROR(VLOOKUP($A890,'Infinet ExDa'!$B$2:$E$14, 0,FALSE), "Not Found"))))))))</f>
        <v>Not Found</v>
      </c>
      <c r="J890" t="str">
        <f>IFERROR(VLOOKUP($A890,'AAPT ExDa'!$B$2:$U$99, 7,FALSE), IFERROR(VLOOKUP($A890,'ABB ExDa'!$A$2:$N$184, 2,FALSE), IFERROR(VLOOKUP($A890,'Vocus SIT ExDa'!$B$2:$J$173, 0,FALSE), IFERROR(VLOOKUP($A890,'Telstra ExDa'!$B$2:$K$310, 7,FALSE), IFERROR(VLOOKUP($A890,'Vocus RVC ExDa'!$C$2:$R$155, 2,FALSE), IFERROR(VLOOKUP($A890,'Fusion ExDa'!$B$2:$D$16, 3,FALSE), IFERROR(VLOOKUP($A890,'Exetel ExDa'!$C$2:$N$14, 0,FALSE), IFERROR(VLOOKUP($A890,'Infinet ExDa'!$B$2:$E$14, 0,FALSE), "Not Found"))))))))</f>
        <v>BANKSIA GROVE VILLAGE TNCY 11, 1001 JOONDALUP DR, BANKSIA GROVE WA</v>
      </c>
      <c r="K890" t="str">
        <f>IFERROR(VLOOKUP($A890,'AAPT ExDa'!$B$2:$U$99, 12,FALSE), IFERROR(VLOOKUP($A890,'ABB ExDa'!$A$2:$N$184, 0,FALSE), IFERROR(VLOOKUP($A890,'Vocus SIT ExDa'!$B$2:$J$173, 0,FALSE), IFERROR(VLOOKUP($A890,'Telstra ExDa'!$B$2:$K$310, 0,FALSE), IFERROR(VLOOKUP($A890,'Vocus RVC ExDa'!$C$2:$R$155, 0,FALSE), IFERROR(VLOOKUP($A890,'Fusion ExDa'!$B$2:$D$16, 0,FALSE), IFERROR(VLOOKUP($A890,'Exetel ExDa'!$C$2:$N$14, 12,FALSE), IFERROR(VLOOKUP($A890,'Infinet ExDa'!$B$2:$E$14, 0,FALSE), "Not Found"))))))))</f>
        <v>Not Found</v>
      </c>
      <c r="L890" s="235" t="str">
        <f>IFERROR(VLOOKUP($A890,'AAPT ExDa'!$B$2:$U$99, 11,FALSE), IFERROR(VLOOKUP($A890,'ABB ExDa'!$A$2:$N$184, 9,FALSE), IFERROR(VLOOKUP($A890,'Vocus SIT ExDa'!$B$2:$J$173, 8,FALSE), IFERROR(VLOOKUP($A890,'Telstra ExDa'!$B$2:$K$310, 0,FALSE), IFERROR(VLOOKUP($A890,'Vocus RVC ExDa'!$C$2:$R$155, 0,FALSE), IFERROR(VLOOKUP($A890,'Fusion ExDa'!$B$2:$D$16, 0,FALSE), IFERROR(VLOOKUP($A890,'Exetel ExDa'!$C$2:$N$14, 9,FALSE), IFERROR(VLOOKUP($A890,'Infinet ExDa'!$B$2:$E$14, 0,FALSE), "Not Found"))))))))</f>
        <v>9 Sept 2025</v>
      </c>
      <c r="M890" s="234" t="str">
        <f>IFERROR(VLOOKUP($A890,'AAPT ExDa'!$B$2:$U$99, 0,FALSE), IFERROR(VLOOKUP($A890,'ABB ExDa'!$A$2:$N$184, 0,FALSE), IFERROR(VLOOKUP($A890,'Vocus SIT ExDa'!$B$2:$J$173, 0,FALSE), IFERROR(VLOOKUP($A890,'Telstra ExDa'!$B$2:$K$310, 0,FALSE), IFERROR(VLOOKUP($A890,'Vocus RVC ExDa'!$C$2:$R$155, 0,FALSE), IFERROR(VLOOKUP($A890,'Fusion ExDa'!$B$2:$D$16, 0,FALSE), IFERROR(VLOOKUP($A890,'Exetel ExDa'!$C$2:$N$14, 11,FALSE), IFERROR(VLOOKUP($A890,'Infinet ExDa'!$B$2:$E$14, 0,FALSE), "Not Found"))))))))</f>
        <v>Not Found</v>
      </c>
      <c r="N890" t="str">
        <f>IFERROR(VLOOKUP($A890,'AAPT ExDa'!$B$2:$U$99, 0,FALSE), IFERROR(VLOOKUP($A890,'ABB ExDa'!$A$2:$N$184, 13,FALSE), IFERROR(VLOOKUP($A890,'Vocus SIT ExDa'!$B$2:$J$173, 0,FALSE), IFERROR(VLOOKUP($A890,'Telstra ExDa'!$B$2:$K$310, 0,FALSE), IFERROR(VLOOKUP($A890,'Vocus RVC ExDa'!$C$2:$R$155, 0,FALSE), IFERROR(VLOOKUP($A890,'Fusion ExDa'!$B$2:$D$16, 0,FALSE), IFERROR(VLOOKUP($A890,'Exetel ExDa'!$C$2:$N$14, 0,FALSE), IFERROR(VLOOKUP($A890,'Infinet ExDa'!$B$2:$E$14, 0,FALSE), "Not Found"))))))))</f>
        <v>Onebill</v>
      </c>
    </row>
    <row r="891" spans="1:14">
      <c r="A891" t="str">
        <v>Zambrero Deception Bay</v>
      </c>
      <c r="B891" t="str">
        <f>IFERROR(VLOOKUP(A891,'Exetel ExDa'!$C$2:$N$14,4,FALSE),"No Data")</f>
        <v>No Data</v>
      </c>
      <c r="C891" t="str">
        <f>IFERROR(VLOOKUP(A891,'AAPT ExDa'!$B$2:$U$99, 2,FALSE), IFERROR(VLOOKUP(A891,'ABB ExDa'!$A$2:$N$184, 2,FALSE), IFERROR(VLOOKUP(A891,'Vocus SIT ExDa'!$B$2:$J$173, 7,FALSE), IFERROR(VLOOKUP(A891,'Telstra ExDa'!$B$2:$K$310, 2,FALSE), IFERROR(VLOOKUP(A891,'Vocus RVC ExDa'!$C$2:$R$155, 3,FALSE), IFERROR(VLOOKUP(A891,'Fusion ExDa'!$B$2:$D$16, 2,FALSE), IFERROR(VLOOKUP(A891,'Exetel ExDa'!$C$2:$N$14, 2,FALSE), IFERROR(VLOOKUP(A891,'Infinet ExDa'!$B$2:$E$14, 2,FALSE), "Not Found"))))))))</f>
        <v>378 DECEPTION BAY RD, DECEPTION BAY QLD</v>
      </c>
      <c r="D891" t="str">
        <f>IFERROR(VLOOKUP($A891,'AAPT ExDa'!$B$2:$U$99, 15,FALSE), IFERROR(VLOOKUP($A891,'ABB ExDa'!$A$2:$N$184, 4,FALSE), IFERROR(VLOOKUP($A891,'Vocus SIT ExDa'!$B$2:$J$173, 5,FALSE), IFERROR(VLOOKUP($A891,'Telstra ExDa'!$B$2:$K$310, 8,FALSE), IFERROR(VLOOKUP($A891,'Vocus RVC ExDa'!$C$2:$R$155, 6,FALSE), IFERROR(VLOOKUP($A891,'Fusion ExDa'!$B$2:$D$16, 4,FALSE), IFERROR(VLOOKUP($A891,'Exetel ExDa'!$C$2:$N$14, 3,FALSE), IFERROR(VLOOKUP($A891,'Infinet ExDa'!$B$2:$E$14, 3,FALSE), "Not Found"))))))))</f>
        <v>ABB</v>
      </c>
      <c r="E891" t="str">
        <f>IFERROR(VLOOKUP($A891,'AAPT ExDa'!$B$2:$U$99, 3,FALSE), IFERROR(VLOOKUP($A891,'ABB ExDa'!$A$2:$N$184, 5,FALSE), IFERROR(VLOOKUP($A891,'Vocus SIT ExDa'!$B$2:$J$173, 2,FALSE), IFERROR(VLOOKUP($A891,'Telstra ExDa'!$B$2:$K$310, 4,FALSE), IFERROR(VLOOKUP($A891,'Vocus RVC ExDa'!$C$2:$R$155, 8,FALSE), IFERROR(VLOOKUP($A891,'Fusion ExDa'!$B$2:$D$16, 4,FALSE), IFERROR(VLOOKUP($A891,'Exetel ExDa'!$C$2:$N$14, 5,FALSE), IFERROR(VLOOKUP($A891,'Infinet ExDa'!$B$2:$E$14, 3,FALSE), "Not Found"))))))))</f>
        <v>NBN 25/10</v>
      </c>
      <c r="F891" t="str">
        <f>IFERROR(VLOOKUP($A891,'AAPT ExDa'!$B$2:$U$99, 4,FALSE), IFERROR(VLOOKUP($A891,'ABB ExDa'!$A$2:$N$184, 6,FALSE), IFERROR(VLOOKUP($A891,'Vocus SIT ExDa'!$B$2:$J$173, 3,FALSE), IFERROR(VLOOKUP($A891,'Telstra ExDa'!$B$2:$K$310, 5,FALSE), IFERROR(VLOOKUP($A891,'Vocus RVC ExDa'!$C$2:$R$155, 9,FALSE), IFERROR(VLOOKUP($A891,'Fusion ExDa'!$B$2:$D$16, 0,FALSE), IFERROR(VLOOKUP($A891,'Exetel ExDa'!$C$2:$N$14, 6,FALSE), IFERROR(VLOOKUP($A891,'Infinet ExDa'!$B$2:$E$14, 0,FALSE), "Not Found"))))))))</f>
        <v>FTTC</v>
      </c>
      <c r="G891" t="str">
        <f>IFERROR(VLOOKUP($A891,'AAPT ExDa'!$B$2:$U$99, 5,FALSE), IFERROR(VLOOKUP($A891,'ABB ExDa'!$A$2:$N$184, 8,FALSE), IFERROR(VLOOKUP($A891,'Vocus SIT ExDa'!$B$2:$J$173, 6,FALSE), IFERROR(VLOOKUP($A891,'Telstra ExDa'!$B$2:$K$310, 0,FALSE), IFERROR(VLOOKUP($A891,'Vocus RVC ExDa'!$C$2:$R$155, 15,FALSE), IFERROR(VLOOKUP($A891,'Fusion ExDa'!$B$2:$D$16, 0,FALSE), IFERROR(VLOOKUP($A891,'Exetel ExDa'!$C$2:$N$14, 7,FALSE), IFERROR(VLOOKUP($A891,'Infinet ExDa'!$B$2:$E$14, 0,FALSE), "Not Found"))))))))</f>
        <v>180.181.211.206</v>
      </c>
      <c r="H891">
        <f>IFERROR(VLOOKUP($A891,'AAPT ExDa'!$B$2:$U$99, 6,FALSE), IFERROR(VLOOKUP($A891,'ABB ExDa'!$A$2:$N$184, 0,FALSE), IFERROR(VLOOKUP($A891,'Vocus SIT ExDa'!$B$2:$J$173, 0,FALSE), IFERROR(VLOOKUP($A891,'Telstra ExDa'!$B$2:$K$310, 0,FALSE), IFERROR(VLOOKUP($A891,'Vocus RVC ExDa'!$C$2:$R$155, 16,FALSE), IFERROR(VLOOKUP($A891,'Fusion ExDa'!$B$2:$D$16, 0,FALSE), IFERROR(VLOOKUP($A891,'Exetel ExDa'!$C$2:$N$14, 0,FALSE), IFERROR(VLOOKUP($A891,'Infinet ExDa'!$B$2:$E$14, 0,FALSE), "Not Found"))))))))</f>
        <v>0</v>
      </c>
      <c r="I891" t="str">
        <f>IFERROR(VLOOKUP($A891,'AAPT ExDa'!$B$2:$U$99, 0,FALSE), IFERROR(VLOOKUP($A891,'ABB ExDa'!$A$2:$N$184, 0,FALSE), IFERROR(VLOOKUP($A891,'Vocus SIT ExDa'!$B$2:$J$173, 0,FALSE), IFERROR(VLOOKUP($A891,'Telstra ExDa'!$B$2:$K$310, 0,FALSE), IFERROR(VLOOKUP($A891,'Vocus RVC ExDa'!$C$2:$R$155, 0,FALSE), IFERROR(VLOOKUP($A891,'Fusion ExDa'!$B$2:$D$16, 0,FALSE), IFERROR(VLOOKUP($A891,'Exetel ExDa'!$C$2:$N$14, 8,FALSE), IFERROR(VLOOKUP($A891,'Infinet ExDa'!$B$2:$E$14, 0,FALSE), "Not Found"))))))))</f>
        <v>Not Found</v>
      </c>
      <c r="J891" t="str">
        <f>IFERROR(VLOOKUP($A891,'AAPT ExDa'!$B$2:$U$99, 7,FALSE), IFERROR(VLOOKUP($A891,'ABB ExDa'!$A$2:$N$184, 2,FALSE), IFERROR(VLOOKUP($A891,'Vocus SIT ExDa'!$B$2:$J$173, 0,FALSE), IFERROR(VLOOKUP($A891,'Telstra ExDa'!$B$2:$K$310, 7,FALSE), IFERROR(VLOOKUP($A891,'Vocus RVC ExDa'!$C$2:$R$155, 2,FALSE), IFERROR(VLOOKUP($A891,'Fusion ExDa'!$B$2:$D$16, 3,FALSE), IFERROR(VLOOKUP($A891,'Exetel ExDa'!$C$2:$N$14, 0,FALSE), IFERROR(VLOOKUP($A891,'Infinet ExDa'!$B$2:$E$14, 0,FALSE), "Not Found"))))))))</f>
        <v>378 DECEPTION BAY RD, DECEPTION BAY QLD</v>
      </c>
      <c r="K891" t="str">
        <f>IFERROR(VLOOKUP($A891,'AAPT ExDa'!$B$2:$U$99, 12,FALSE), IFERROR(VLOOKUP($A891,'ABB ExDa'!$A$2:$N$184, 0,FALSE), IFERROR(VLOOKUP($A891,'Vocus SIT ExDa'!$B$2:$J$173, 0,FALSE), IFERROR(VLOOKUP($A891,'Telstra ExDa'!$B$2:$K$310, 0,FALSE), IFERROR(VLOOKUP($A891,'Vocus RVC ExDa'!$C$2:$R$155, 0,FALSE), IFERROR(VLOOKUP($A891,'Fusion ExDa'!$B$2:$D$16, 0,FALSE), IFERROR(VLOOKUP($A891,'Exetel ExDa'!$C$2:$N$14, 12,FALSE), IFERROR(VLOOKUP($A891,'Infinet ExDa'!$B$2:$E$14, 0,FALSE), "Not Found"))))))))</f>
        <v>Not Found</v>
      </c>
      <c r="L891" s="235" t="str">
        <f>IFERROR(VLOOKUP($A891,'AAPT ExDa'!$B$2:$U$99, 11,FALSE), IFERROR(VLOOKUP($A891,'ABB ExDa'!$A$2:$N$184, 9,FALSE), IFERROR(VLOOKUP($A891,'Vocus SIT ExDa'!$B$2:$J$173, 8,FALSE), IFERROR(VLOOKUP($A891,'Telstra ExDa'!$B$2:$K$310, 0,FALSE), IFERROR(VLOOKUP($A891,'Vocus RVC ExDa'!$C$2:$R$155, 0,FALSE), IFERROR(VLOOKUP($A891,'Fusion ExDa'!$B$2:$D$16, 0,FALSE), IFERROR(VLOOKUP($A891,'Exetel ExDa'!$C$2:$N$14, 9,FALSE), IFERROR(VLOOKUP($A891,'Infinet ExDa'!$B$2:$E$14, 0,FALSE), "Not Found"))))))))</f>
        <v>03 Aug 2025</v>
      </c>
      <c r="M891" s="234" t="str">
        <f>IFERROR(VLOOKUP($A891,'AAPT ExDa'!$B$2:$U$99, 0,FALSE), IFERROR(VLOOKUP($A891,'ABB ExDa'!$A$2:$N$184, 0,FALSE), IFERROR(VLOOKUP($A891,'Vocus SIT ExDa'!$B$2:$J$173, 0,FALSE), IFERROR(VLOOKUP($A891,'Telstra ExDa'!$B$2:$K$310, 0,FALSE), IFERROR(VLOOKUP($A891,'Vocus RVC ExDa'!$C$2:$R$155, 0,FALSE), IFERROR(VLOOKUP($A891,'Fusion ExDa'!$B$2:$D$16, 0,FALSE), IFERROR(VLOOKUP($A891,'Exetel ExDa'!$C$2:$N$14, 11,FALSE), IFERROR(VLOOKUP($A891,'Infinet ExDa'!$B$2:$E$14, 0,FALSE), "Not Found"))))))))</f>
        <v>Not Found</v>
      </c>
      <c r="N891" t="str">
        <f>IFERROR(VLOOKUP($A891,'AAPT ExDa'!$B$2:$U$99, 0,FALSE), IFERROR(VLOOKUP($A891,'ABB ExDa'!$A$2:$N$184, 13,FALSE), IFERROR(VLOOKUP($A891,'Vocus SIT ExDa'!$B$2:$J$173, 0,FALSE), IFERROR(VLOOKUP($A891,'Telstra ExDa'!$B$2:$K$310, 0,FALSE), IFERROR(VLOOKUP($A891,'Vocus RVC ExDa'!$C$2:$R$155, 0,FALSE), IFERROR(VLOOKUP($A891,'Fusion ExDa'!$B$2:$D$16, 0,FALSE), IFERROR(VLOOKUP($A891,'Exetel ExDa'!$C$2:$N$14, 0,FALSE), IFERROR(VLOOKUP($A891,'Infinet ExDa'!$B$2:$E$14, 0,FALSE), "Not Found"))))))))</f>
        <v>Onebill</v>
      </c>
    </row>
    <row r="892" spans="1:14">
      <c r="A892" t="str">
        <v xml:space="preserve">	The Yiros Shop Factory Unit 4</v>
      </c>
      <c r="B892" t="str">
        <f>IFERROR(VLOOKUP(A892,'Exetel ExDa'!$C$2:$N$14,4,FALSE),"No Data")</f>
        <v>No Data</v>
      </c>
      <c r="C892" t="str">
        <f>IFERROR(VLOOKUP(A892,'AAPT ExDa'!$B$2:$U$99, 2,FALSE), IFERROR(VLOOKUP(A892,'ABB ExDa'!$A$2:$N$184, 2,FALSE), IFERROR(VLOOKUP(A892,'Vocus SIT ExDa'!$B$2:$J$173, 7,FALSE), IFERROR(VLOOKUP(A892,'Telstra ExDa'!$B$2:$K$310, 2,FALSE), IFERROR(VLOOKUP(A892,'Vocus RVC ExDa'!$C$2:$R$155, 3,FALSE), IFERROR(VLOOKUP(A892,'Fusion ExDa'!$B$2:$D$16, 2,FALSE), IFERROR(VLOOKUP(A892,'Exetel ExDa'!$C$2:$N$14, 2,FALSE), IFERROR(VLOOKUP(A892,'Infinet ExDa'!$B$2:$E$14, 2,FALSE), "Not Found"))))))))</f>
        <v>4 166 Abbotsford RD</v>
      </c>
      <c r="D892">
        <f>IFERROR(VLOOKUP($A892,'AAPT ExDa'!$B$2:$U$99, 15,FALSE), IFERROR(VLOOKUP($A892,'ABB ExDa'!$A$2:$N$184, 4,FALSE), IFERROR(VLOOKUP($A892,'Vocus SIT ExDa'!$B$2:$J$173, 5,FALSE), IFERROR(VLOOKUP($A892,'Telstra ExDa'!$B$2:$K$310, 8,FALSE), IFERROR(VLOOKUP($A892,'Vocus RVC ExDa'!$C$2:$R$155, 6,FALSE), IFERROR(VLOOKUP($A892,'Fusion ExDa'!$B$2:$D$16, 4,FALSE), IFERROR(VLOOKUP($A892,'Exetel ExDa'!$C$2:$N$14, 3,FALSE), IFERROR(VLOOKUP($A892,'Infinet ExDa'!$B$2:$E$14, 3,FALSE), "Not Found"))))))))</f>
        <v>4006</v>
      </c>
      <c r="E892" t="str">
        <f>IFERROR(VLOOKUP($A892,'AAPT ExDa'!$B$2:$U$99, 3,FALSE), IFERROR(VLOOKUP($A892,'ABB ExDa'!$A$2:$N$184, 5,FALSE), IFERROR(VLOOKUP($A892,'Vocus SIT ExDa'!$B$2:$J$173, 2,FALSE), IFERROR(VLOOKUP($A892,'Telstra ExDa'!$B$2:$K$310, 4,FALSE), IFERROR(VLOOKUP($A892,'Vocus RVC ExDa'!$C$2:$R$155, 8,FALSE), IFERROR(VLOOKUP($A892,'Fusion ExDa'!$B$2:$D$16, 4,FALSE), IFERROR(VLOOKUP($A892,'Exetel ExDa'!$C$2:$N$14, 5,FALSE), IFERROR(VLOOKUP($A892,'Infinet ExDa'!$B$2:$E$14, 3,FALSE), "Not Found"))))))))</f>
        <v>Mobile Service</v>
      </c>
      <c r="F892">
        <f>IFERROR(VLOOKUP($A892,'AAPT ExDa'!$B$2:$U$99, 4,FALSE), IFERROR(VLOOKUP($A892,'ABB ExDa'!$A$2:$N$184, 6,FALSE), IFERROR(VLOOKUP($A892,'Vocus SIT ExDa'!$B$2:$J$173, 3,FALSE), IFERROR(VLOOKUP($A892,'Telstra ExDa'!$B$2:$K$310, 5,FALSE), IFERROR(VLOOKUP($A892,'Vocus RVC ExDa'!$C$2:$R$155, 9,FALSE), IFERROR(VLOOKUP($A892,'Fusion ExDa'!$B$2:$D$16, 0,FALSE), IFERROR(VLOOKUP($A892,'Exetel ExDa'!$C$2:$N$14, 6,FALSE), IFERROR(VLOOKUP($A892,'Infinet ExDa'!$B$2:$E$14, 0,FALSE), "Not Found"))))))))</f>
        <v>45860</v>
      </c>
      <c r="G892">
        <f>IFERROR(VLOOKUP($A892,'AAPT ExDa'!$B$2:$U$99, 5,FALSE), IFERROR(VLOOKUP($A892,'ABB ExDa'!$A$2:$N$184, 8,FALSE), IFERROR(VLOOKUP($A892,'Vocus SIT ExDa'!$B$2:$J$173, 6,FALSE), IFERROR(VLOOKUP($A892,'Telstra ExDa'!$B$2:$K$310, 0,FALSE), IFERROR(VLOOKUP($A892,'Vocus RVC ExDa'!$C$2:$R$155, 15,FALSE), IFERROR(VLOOKUP($A892,'Fusion ExDa'!$B$2:$D$16, 0,FALSE), IFERROR(VLOOKUP($A892,'Exetel ExDa'!$C$2:$N$14, 7,FALSE), IFERROR(VLOOKUP($A892,'Infinet ExDa'!$B$2:$E$14, 0,FALSE), "Not Found"))))))))</f>
        <v>0</v>
      </c>
      <c r="H892">
        <f>IFERROR(VLOOKUP($A892,'AAPT ExDa'!$B$2:$U$99, 6,FALSE), IFERROR(VLOOKUP($A892,'ABB ExDa'!$A$2:$N$184, 0,FALSE), IFERROR(VLOOKUP($A892,'Vocus SIT ExDa'!$B$2:$J$173, 0,FALSE), IFERROR(VLOOKUP($A892,'Telstra ExDa'!$B$2:$K$310, 0,FALSE), IFERROR(VLOOKUP($A892,'Vocus RVC ExDa'!$C$2:$R$155, 16,FALSE), IFERROR(VLOOKUP($A892,'Fusion ExDa'!$B$2:$D$16, 0,FALSE), IFERROR(VLOOKUP($A892,'Exetel ExDa'!$C$2:$N$14, 0,FALSE), IFERROR(VLOOKUP($A892,'Infinet ExDa'!$B$2:$E$14, 0,FALSE), "Not Found"))))))))</f>
        <v>0</v>
      </c>
      <c r="I892" t="str">
        <f>IFERROR(VLOOKUP($A892,'AAPT ExDa'!$B$2:$U$99, 0,FALSE), IFERROR(VLOOKUP($A892,'ABB ExDa'!$A$2:$N$184, 0,FALSE), IFERROR(VLOOKUP($A892,'Vocus SIT ExDa'!$B$2:$J$173, 0,FALSE), IFERROR(VLOOKUP($A892,'Telstra ExDa'!$B$2:$K$310, 0,FALSE), IFERROR(VLOOKUP($A892,'Vocus RVC ExDa'!$C$2:$R$155, 0,FALSE), IFERROR(VLOOKUP($A892,'Fusion ExDa'!$B$2:$D$16, 0,FALSE), IFERROR(VLOOKUP($A892,'Exetel ExDa'!$C$2:$N$14, 8,FALSE), IFERROR(VLOOKUP($A892,'Infinet ExDa'!$B$2:$E$14, 0,FALSE), "Not Found"))))))))</f>
        <v>Not Found</v>
      </c>
      <c r="J892">
        <f>IFERROR(VLOOKUP($A892,'AAPT ExDa'!$B$2:$U$99, 7,FALSE), IFERROR(VLOOKUP($A892,'ABB ExDa'!$A$2:$N$184, 2,FALSE), IFERROR(VLOOKUP($A892,'Vocus SIT ExDa'!$B$2:$J$173, 0,FALSE), IFERROR(VLOOKUP($A892,'Telstra ExDa'!$B$2:$K$310, 7,FALSE), IFERROR(VLOOKUP($A892,'Vocus RVC ExDa'!$C$2:$R$155, 2,FALSE), IFERROR(VLOOKUP($A892,'Fusion ExDa'!$B$2:$D$16, 3,FALSE), IFERROR(VLOOKUP($A892,'Exetel ExDa'!$C$2:$N$14, 0,FALSE), IFERROR(VLOOKUP($A892,'Infinet ExDa'!$B$2:$E$14, 0,FALSE), "Not Found"))))))))</f>
        <v>0</v>
      </c>
      <c r="K892" t="str">
        <f>IFERROR(VLOOKUP($A892,'AAPT ExDa'!$B$2:$U$99, 12,FALSE), IFERROR(VLOOKUP($A892,'ABB ExDa'!$A$2:$N$184, 0,FALSE), IFERROR(VLOOKUP($A892,'Vocus SIT ExDa'!$B$2:$J$173, 0,FALSE), IFERROR(VLOOKUP($A892,'Telstra ExDa'!$B$2:$K$310, 0,FALSE), IFERROR(VLOOKUP($A892,'Vocus RVC ExDa'!$C$2:$R$155, 0,FALSE), IFERROR(VLOOKUP($A892,'Fusion ExDa'!$B$2:$D$16, 0,FALSE), IFERROR(VLOOKUP($A892,'Exetel ExDa'!$C$2:$N$14, 12,FALSE), IFERROR(VLOOKUP($A892,'Infinet ExDa'!$B$2:$E$14, 0,FALSE), "Not Found"))))))))</f>
        <v>Not Found</v>
      </c>
      <c r="L892" s="235" t="str">
        <f>IFERROR(VLOOKUP($A892,'AAPT ExDa'!$B$2:$U$99, 11,FALSE), IFERROR(VLOOKUP($A892,'ABB ExDa'!$A$2:$N$184, 9,FALSE), IFERROR(VLOOKUP($A892,'Vocus SIT ExDa'!$B$2:$J$173, 8,FALSE), IFERROR(VLOOKUP($A892,'Telstra ExDa'!$B$2:$K$310, 0,FALSE), IFERROR(VLOOKUP($A892,'Vocus RVC ExDa'!$C$2:$R$155, 0,FALSE), IFERROR(VLOOKUP($A892,'Fusion ExDa'!$B$2:$D$16, 0,FALSE), IFERROR(VLOOKUP($A892,'Exetel ExDa'!$C$2:$N$14, 9,FALSE), IFERROR(VLOOKUP($A892,'Infinet ExDa'!$B$2:$E$14, 0,FALSE), "Not Found"))))))))</f>
        <v>Not Found</v>
      </c>
      <c r="M892" s="234" t="str">
        <f>IFERROR(VLOOKUP($A892,'AAPT ExDa'!$B$2:$U$99, 0,FALSE), IFERROR(VLOOKUP($A892,'ABB ExDa'!$A$2:$N$184, 0,FALSE), IFERROR(VLOOKUP($A892,'Vocus SIT ExDa'!$B$2:$J$173, 0,FALSE), IFERROR(VLOOKUP($A892,'Telstra ExDa'!$B$2:$K$310, 0,FALSE), IFERROR(VLOOKUP($A892,'Vocus RVC ExDa'!$C$2:$R$155, 0,FALSE), IFERROR(VLOOKUP($A892,'Fusion ExDa'!$B$2:$D$16, 0,FALSE), IFERROR(VLOOKUP($A892,'Exetel ExDa'!$C$2:$N$14, 11,FALSE), IFERROR(VLOOKUP($A892,'Infinet ExDa'!$B$2:$E$14, 0,FALSE), "Not Found"))))))))</f>
        <v>Not Found</v>
      </c>
      <c r="N892" t="str">
        <f>IFERROR(VLOOKUP($A892,'AAPT ExDa'!$B$2:$U$99, 0,FALSE), IFERROR(VLOOKUP($A892,'ABB ExDa'!$A$2:$N$184, 13,FALSE), IFERROR(VLOOKUP($A892,'Vocus SIT ExDa'!$B$2:$J$173, 0,FALSE), IFERROR(VLOOKUP($A892,'Telstra ExDa'!$B$2:$K$310, 0,FALSE), IFERROR(VLOOKUP($A892,'Vocus RVC ExDa'!$C$2:$R$155, 0,FALSE), IFERROR(VLOOKUP($A892,'Fusion ExDa'!$B$2:$D$16, 0,FALSE), IFERROR(VLOOKUP($A892,'Exetel ExDa'!$C$2:$N$14, 0,FALSE), IFERROR(VLOOKUP($A892,'Infinet ExDa'!$B$2:$E$14, 0,FALSE), "Not Found"))))))))</f>
        <v>Not Found</v>
      </c>
    </row>
    <row r="893" spans="1:14">
      <c r="A893" t="str">
        <v>The Yiros Shop Capalaba</v>
      </c>
      <c r="B893" t="str">
        <f>IFERROR(VLOOKUP(A893,'Exetel ExDa'!$C$2:$N$14,4,FALSE),"No Data")</f>
        <v>No Data</v>
      </c>
      <c r="C893" t="str">
        <f>IFERROR(VLOOKUP(A893,'AAPT ExDa'!$B$2:$U$99, 2,FALSE), IFERROR(VLOOKUP(A893,'ABB ExDa'!$A$2:$N$184, 2,FALSE), IFERROR(VLOOKUP(A893,'Vocus SIT ExDa'!$B$2:$J$173, 7,FALSE), IFERROR(VLOOKUP(A893,'Telstra ExDa'!$B$2:$K$310, 2,FALSE), IFERROR(VLOOKUP(A893,'Vocus RVC ExDa'!$C$2:$R$155, 3,FALSE), IFERROR(VLOOKUP(A893,'Fusion ExDa'!$B$2:$D$16, 2,FALSE), IFERROR(VLOOKUP(A893,'Exetel ExDa'!$C$2:$N$14, 2,FALSE), IFERROR(VLOOKUP(A893,'Infinet ExDa'!$B$2:$E$14, 2,FALSE), "Not Found"))))))))</f>
        <v>SHOP IDF-3B, 108 OLD CLEVELAND RD, CAPALABA QLD</v>
      </c>
      <c r="D893" t="str">
        <f>IFERROR(VLOOKUP($A893,'AAPT ExDa'!$B$2:$U$99, 15,FALSE), IFERROR(VLOOKUP($A893,'ABB ExDa'!$A$2:$N$184, 4,FALSE), IFERROR(VLOOKUP($A893,'Vocus SIT ExDa'!$B$2:$J$173, 5,FALSE), IFERROR(VLOOKUP($A893,'Telstra ExDa'!$B$2:$K$310, 8,FALSE), IFERROR(VLOOKUP($A893,'Vocus RVC ExDa'!$C$2:$R$155, 6,FALSE), IFERROR(VLOOKUP($A893,'Fusion ExDa'!$B$2:$D$16, 4,FALSE), IFERROR(VLOOKUP($A893,'Exetel ExDa'!$C$2:$N$14, 3,FALSE), IFERROR(VLOOKUP($A893,'Infinet ExDa'!$B$2:$E$14, 3,FALSE), "Not Found"))))))))</f>
        <v>ABB</v>
      </c>
      <c r="E893" t="str">
        <f>IFERROR(VLOOKUP($A893,'AAPT ExDa'!$B$2:$U$99, 3,FALSE), IFERROR(VLOOKUP($A893,'ABB ExDa'!$A$2:$N$184, 5,FALSE), IFERROR(VLOOKUP($A893,'Vocus SIT ExDa'!$B$2:$J$173, 2,FALSE), IFERROR(VLOOKUP($A893,'Telstra ExDa'!$B$2:$K$310, 4,FALSE), IFERROR(VLOOKUP($A893,'Vocus RVC ExDa'!$C$2:$R$155, 8,FALSE), IFERROR(VLOOKUP($A893,'Fusion ExDa'!$B$2:$D$16, 4,FALSE), IFERROR(VLOOKUP($A893,'Exetel ExDa'!$C$2:$N$14, 5,FALSE), IFERROR(VLOOKUP($A893,'Infinet ExDa'!$B$2:$E$14, 3,FALSE), "Not Found"))))))))</f>
        <v>NBN 100/40</v>
      </c>
      <c r="F893" t="str">
        <f>IFERROR(VLOOKUP($A893,'AAPT ExDa'!$B$2:$U$99, 4,FALSE), IFERROR(VLOOKUP($A893,'ABB ExDa'!$A$2:$N$184, 6,FALSE), IFERROR(VLOOKUP($A893,'Vocus SIT ExDa'!$B$2:$J$173, 3,FALSE), IFERROR(VLOOKUP($A893,'Telstra ExDa'!$B$2:$K$310, 5,FALSE), IFERROR(VLOOKUP($A893,'Vocus RVC ExDa'!$C$2:$R$155, 9,FALSE), IFERROR(VLOOKUP($A893,'Fusion ExDa'!$B$2:$D$16, 0,FALSE), IFERROR(VLOOKUP($A893,'Exetel ExDa'!$C$2:$N$14, 6,FALSE), IFERROR(VLOOKUP($A893,'Infinet ExDa'!$B$2:$E$14, 0,FALSE), "Not Found"))))))))</f>
        <v>Fibre</v>
      </c>
      <c r="G893" t="str">
        <f>IFERROR(VLOOKUP($A893,'AAPT ExDa'!$B$2:$U$99, 5,FALSE), IFERROR(VLOOKUP($A893,'ABB ExDa'!$A$2:$N$184, 8,FALSE), IFERROR(VLOOKUP($A893,'Vocus SIT ExDa'!$B$2:$J$173, 6,FALSE), IFERROR(VLOOKUP($A893,'Telstra ExDa'!$B$2:$K$310, 0,FALSE), IFERROR(VLOOKUP($A893,'Vocus RVC ExDa'!$C$2:$R$155, 15,FALSE), IFERROR(VLOOKUP($A893,'Fusion ExDa'!$B$2:$D$16, 0,FALSE), IFERROR(VLOOKUP($A893,'Exetel ExDa'!$C$2:$N$14, 7,FALSE), IFERROR(VLOOKUP($A893,'Infinet ExDa'!$B$2:$E$14, 0,FALSE), "Not Found"))))))))</f>
        <v>180.181.214.54</v>
      </c>
      <c r="H893">
        <f>IFERROR(VLOOKUP($A893,'AAPT ExDa'!$B$2:$U$99, 6,FALSE), IFERROR(VLOOKUP($A893,'ABB ExDa'!$A$2:$N$184, 0,FALSE), IFERROR(VLOOKUP($A893,'Vocus SIT ExDa'!$B$2:$J$173, 0,FALSE), IFERROR(VLOOKUP($A893,'Telstra ExDa'!$B$2:$K$310, 0,FALSE), IFERROR(VLOOKUP($A893,'Vocus RVC ExDa'!$C$2:$R$155, 16,FALSE), IFERROR(VLOOKUP($A893,'Fusion ExDa'!$B$2:$D$16, 0,FALSE), IFERROR(VLOOKUP($A893,'Exetel ExDa'!$C$2:$N$14, 0,FALSE), IFERROR(VLOOKUP($A893,'Infinet ExDa'!$B$2:$E$14, 0,FALSE), "Not Found"))))))))</f>
        <v>0</v>
      </c>
      <c r="I893" t="str">
        <f>IFERROR(VLOOKUP($A893,'AAPT ExDa'!$B$2:$U$99, 0,FALSE), IFERROR(VLOOKUP($A893,'ABB ExDa'!$A$2:$N$184, 0,FALSE), IFERROR(VLOOKUP($A893,'Vocus SIT ExDa'!$B$2:$J$173, 0,FALSE), IFERROR(VLOOKUP($A893,'Telstra ExDa'!$B$2:$K$310, 0,FALSE), IFERROR(VLOOKUP($A893,'Vocus RVC ExDa'!$C$2:$R$155, 0,FALSE), IFERROR(VLOOKUP($A893,'Fusion ExDa'!$B$2:$D$16, 0,FALSE), IFERROR(VLOOKUP($A893,'Exetel ExDa'!$C$2:$N$14, 8,FALSE), IFERROR(VLOOKUP($A893,'Infinet ExDa'!$B$2:$E$14, 0,FALSE), "Not Found"))))))))</f>
        <v>Not Found</v>
      </c>
      <c r="J893" t="str">
        <f>IFERROR(VLOOKUP($A893,'AAPT ExDa'!$B$2:$U$99, 7,FALSE), IFERROR(VLOOKUP($A893,'ABB ExDa'!$A$2:$N$184, 2,FALSE), IFERROR(VLOOKUP($A893,'Vocus SIT ExDa'!$B$2:$J$173, 0,FALSE), IFERROR(VLOOKUP($A893,'Telstra ExDa'!$B$2:$K$310, 7,FALSE), IFERROR(VLOOKUP($A893,'Vocus RVC ExDa'!$C$2:$R$155, 2,FALSE), IFERROR(VLOOKUP($A893,'Fusion ExDa'!$B$2:$D$16, 3,FALSE), IFERROR(VLOOKUP($A893,'Exetel ExDa'!$C$2:$N$14, 0,FALSE), IFERROR(VLOOKUP($A893,'Infinet ExDa'!$B$2:$E$14, 0,FALSE), "Not Found"))))))))</f>
        <v>SHOP IDF-3B, 108 OLD CLEVELAND RD, CAPALABA QLD</v>
      </c>
      <c r="K893" t="str">
        <f>IFERROR(VLOOKUP($A893,'AAPT ExDa'!$B$2:$U$99, 12,FALSE), IFERROR(VLOOKUP($A893,'ABB ExDa'!$A$2:$N$184, 0,FALSE), IFERROR(VLOOKUP($A893,'Vocus SIT ExDa'!$B$2:$J$173, 0,FALSE), IFERROR(VLOOKUP($A893,'Telstra ExDa'!$B$2:$K$310, 0,FALSE), IFERROR(VLOOKUP($A893,'Vocus RVC ExDa'!$C$2:$R$155, 0,FALSE), IFERROR(VLOOKUP($A893,'Fusion ExDa'!$B$2:$D$16, 0,FALSE), IFERROR(VLOOKUP($A893,'Exetel ExDa'!$C$2:$N$14, 12,FALSE), IFERROR(VLOOKUP($A893,'Infinet ExDa'!$B$2:$E$14, 0,FALSE), "Not Found"))))))))</f>
        <v>Not Found</v>
      </c>
      <c r="L893" s="235" t="str">
        <f>IFERROR(VLOOKUP($A893,'AAPT ExDa'!$B$2:$U$99, 11,FALSE), IFERROR(VLOOKUP($A893,'ABB ExDa'!$A$2:$N$184, 9,FALSE), IFERROR(VLOOKUP($A893,'Vocus SIT ExDa'!$B$2:$J$173, 8,FALSE), IFERROR(VLOOKUP($A893,'Telstra ExDa'!$B$2:$K$310, 0,FALSE), IFERROR(VLOOKUP($A893,'Vocus RVC ExDa'!$C$2:$R$155, 0,FALSE), IFERROR(VLOOKUP($A893,'Fusion ExDa'!$B$2:$D$16, 0,FALSE), IFERROR(VLOOKUP($A893,'Exetel ExDa'!$C$2:$N$14, 9,FALSE), IFERROR(VLOOKUP($A893,'Infinet ExDa'!$B$2:$E$14, 0,FALSE), "Not Found"))))))))</f>
        <v>22 July 2025</v>
      </c>
      <c r="M893" s="234" t="str">
        <f>IFERROR(VLOOKUP($A893,'AAPT ExDa'!$B$2:$U$99, 0,FALSE), IFERROR(VLOOKUP($A893,'ABB ExDa'!$A$2:$N$184, 0,FALSE), IFERROR(VLOOKUP($A893,'Vocus SIT ExDa'!$B$2:$J$173, 0,FALSE), IFERROR(VLOOKUP($A893,'Telstra ExDa'!$B$2:$K$310, 0,FALSE), IFERROR(VLOOKUP($A893,'Vocus RVC ExDa'!$C$2:$R$155, 0,FALSE), IFERROR(VLOOKUP($A893,'Fusion ExDa'!$B$2:$D$16, 0,FALSE), IFERROR(VLOOKUP($A893,'Exetel ExDa'!$C$2:$N$14, 11,FALSE), IFERROR(VLOOKUP($A893,'Infinet ExDa'!$B$2:$E$14, 0,FALSE), "Not Found"))))))))</f>
        <v>Not Found</v>
      </c>
      <c r="N893" t="str">
        <f>IFERROR(VLOOKUP($A893,'AAPT ExDa'!$B$2:$U$99, 0,FALSE), IFERROR(VLOOKUP($A893,'ABB ExDa'!$A$2:$N$184, 13,FALSE), IFERROR(VLOOKUP($A893,'Vocus SIT ExDa'!$B$2:$J$173, 0,FALSE), IFERROR(VLOOKUP($A893,'Telstra ExDa'!$B$2:$K$310, 0,FALSE), IFERROR(VLOOKUP($A893,'Vocus RVC ExDa'!$C$2:$R$155, 0,FALSE), IFERROR(VLOOKUP($A893,'Fusion ExDa'!$B$2:$D$16, 0,FALSE), IFERROR(VLOOKUP($A893,'Exetel ExDa'!$C$2:$N$14, 0,FALSE), IFERROR(VLOOKUP($A893,'Infinet ExDa'!$B$2:$E$14, 0,FALSE), "Not Found"))))))))</f>
        <v>Onebill</v>
      </c>
    </row>
    <row r="894" spans="1:14">
      <c r="A894" t="str">
        <v>Zambrero Willetton</v>
      </c>
      <c r="B894" t="str">
        <f>IFERROR(VLOOKUP(A894,'Exetel ExDa'!$C$2:$N$14,4,FALSE),"No Data")</f>
        <v>No Data</v>
      </c>
      <c r="C894" t="str">
        <f>IFERROR(VLOOKUP(A894,'AAPT ExDa'!$B$2:$U$99, 2,FALSE), IFERROR(VLOOKUP(A894,'ABB ExDa'!$A$2:$N$184, 2,FALSE), IFERROR(VLOOKUP(A894,'Vocus SIT ExDa'!$B$2:$J$173, 7,FALSE), IFERROR(VLOOKUP(A894,'Telstra ExDa'!$B$2:$K$310, 2,FALSE), IFERROR(VLOOKUP(A894,'Vocus RVC ExDa'!$C$2:$R$155, 3,FALSE), IFERROR(VLOOKUP(A894,'Fusion ExDa'!$B$2:$D$16, 2,FALSE), IFERROR(VLOOKUP(A894,'Exetel ExDa'!$C$2:$N$14, 2,FALSE), IFERROR(VLOOKUP(A894,'Infinet ExDa'!$B$2:$E$14, 2,FALSE), "Not Found"))))))))</f>
        <v>BURRENDAH TAVERN , 47 BURRENDAH BVD, WILLETTON WA</v>
      </c>
      <c r="D894" t="str">
        <f>IFERROR(VLOOKUP($A894,'AAPT ExDa'!$B$2:$U$99, 15,FALSE), IFERROR(VLOOKUP($A894,'ABB ExDa'!$A$2:$N$184, 4,FALSE), IFERROR(VLOOKUP($A894,'Vocus SIT ExDa'!$B$2:$J$173, 5,FALSE), IFERROR(VLOOKUP($A894,'Telstra ExDa'!$B$2:$K$310, 8,FALSE), IFERROR(VLOOKUP($A894,'Vocus RVC ExDa'!$C$2:$R$155, 6,FALSE), IFERROR(VLOOKUP($A894,'Fusion ExDa'!$B$2:$D$16, 4,FALSE), IFERROR(VLOOKUP($A894,'Exetel ExDa'!$C$2:$N$14, 3,FALSE), IFERROR(VLOOKUP($A894,'Infinet ExDa'!$B$2:$E$14, 3,FALSE), "Not Found"))))))))</f>
        <v>ABB</v>
      </c>
      <c r="E894" t="str">
        <f>IFERROR(VLOOKUP($A894,'AAPT ExDa'!$B$2:$U$99, 3,FALSE), IFERROR(VLOOKUP($A894,'ABB ExDa'!$A$2:$N$184, 5,FALSE), IFERROR(VLOOKUP($A894,'Vocus SIT ExDa'!$B$2:$J$173, 2,FALSE), IFERROR(VLOOKUP($A894,'Telstra ExDa'!$B$2:$K$310, 4,FALSE), IFERROR(VLOOKUP($A894,'Vocus RVC ExDa'!$C$2:$R$155, 8,FALSE), IFERROR(VLOOKUP($A894,'Fusion ExDa'!$B$2:$D$16, 4,FALSE), IFERROR(VLOOKUP($A894,'Exetel ExDa'!$C$2:$N$14, 5,FALSE), IFERROR(VLOOKUP($A894,'Infinet ExDa'!$B$2:$E$14, 3,FALSE), "Not Found"))))))))</f>
        <v>NBN 50/20</v>
      </c>
      <c r="F894" t="str">
        <f>IFERROR(VLOOKUP($A894,'AAPT ExDa'!$B$2:$U$99, 4,FALSE), IFERROR(VLOOKUP($A894,'ABB ExDa'!$A$2:$N$184, 6,FALSE), IFERROR(VLOOKUP($A894,'Vocus SIT ExDa'!$B$2:$J$173, 3,FALSE), IFERROR(VLOOKUP($A894,'Telstra ExDa'!$B$2:$K$310, 5,FALSE), IFERROR(VLOOKUP($A894,'Vocus RVC ExDa'!$C$2:$R$155, 9,FALSE), IFERROR(VLOOKUP($A894,'Fusion ExDa'!$B$2:$D$16, 0,FALSE), IFERROR(VLOOKUP($A894,'Exetel ExDa'!$C$2:$N$14, 6,FALSE), IFERROR(VLOOKUP($A894,'Infinet ExDa'!$B$2:$E$14, 0,FALSE), "Not Found"))))))))</f>
        <v>HFC</v>
      </c>
      <c r="G894" t="str">
        <f>IFERROR(VLOOKUP($A894,'AAPT ExDa'!$B$2:$U$99, 5,FALSE), IFERROR(VLOOKUP($A894,'ABB ExDa'!$A$2:$N$184, 8,FALSE), IFERROR(VLOOKUP($A894,'Vocus SIT ExDa'!$B$2:$J$173, 6,FALSE), IFERROR(VLOOKUP($A894,'Telstra ExDa'!$B$2:$K$310, 0,FALSE), IFERROR(VLOOKUP($A894,'Vocus RVC ExDa'!$C$2:$R$155, 15,FALSE), IFERROR(VLOOKUP($A894,'Fusion ExDa'!$B$2:$D$16, 0,FALSE), IFERROR(VLOOKUP($A894,'Exetel ExDa'!$C$2:$N$14, 7,FALSE), IFERROR(VLOOKUP($A894,'Infinet ExDa'!$B$2:$E$14, 0,FALSE), "Not Found"))))))))</f>
        <v>144.6.156.5</v>
      </c>
      <c r="H894">
        <f>IFERROR(VLOOKUP($A894,'AAPT ExDa'!$B$2:$U$99, 6,FALSE), IFERROR(VLOOKUP($A894,'ABB ExDa'!$A$2:$N$184, 0,FALSE), IFERROR(VLOOKUP($A894,'Vocus SIT ExDa'!$B$2:$J$173, 0,FALSE), IFERROR(VLOOKUP($A894,'Telstra ExDa'!$B$2:$K$310, 0,FALSE), IFERROR(VLOOKUP($A894,'Vocus RVC ExDa'!$C$2:$R$155, 16,FALSE), IFERROR(VLOOKUP($A894,'Fusion ExDa'!$B$2:$D$16, 0,FALSE), IFERROR(VLOOKUP($A894,'Exetel ExDa'!$C$2:$N$14, 0,FALSE), IFERROR(VLOOKUP($A894,'Infinet ExDa'!$B$2:$E$14, 0,FALSE), "Not Found"))))))))</f>
        <v>0</v>
      </c>
      <c r="I894" t="str">
        <f>IFERROR(VLOOKUP($A894,'AAPT ExDa'!$B$2:$U$99, 0,FALSE), IFERROR(VLOOKUP($A894,'ABB ExDa'!$A$2:$N$184, 0,FALSE), IFERROR(VLOOKUP($A894,'Vocus SIT ExDa'!$B$2:$J$173, 0,FALSE), IFERROR(VLOOKUP($A894,'Telstra ExDa'!$B$2:$K$310, 0,FALSE), IFERROR(VLOOKUP($A894,'Vocus RVC ExDa'!$C$2:$R$155, 0,FALSE), IFERROR(VLOOKUP($A894,'Fusion ExDa'!$B$2:$D$16, 0,FALSE), IFERROR(VLOOKUP($A894,'Exetel ExDa'!$C$2:$N$14, 8,FALSE), IFERROR(VLOOKUP($A894,'Infinet ExDa'!$B$2:$E$14, 0,FALSE), "Not Found"))))))))</f>
        <v>Not Found</v>
      </c>
      <c r="J894" t="str">
        <f>IFERROR(VLOOKUP($A894,'AAPT ExDa'!$B$2:$U$99, 7,FALSE), IFERROR(VLOOKUP($A894,'ABB ExDa'!$A$2:$N$184, 2,FALSE), IFERROR(VLOOKUP($A894,'Vocus SIT ExDa'!$B$2:$J$173, 0,FALSE), IFERROR(VLOOKUP($A894,'Telstra ExDa'!$B$2:$K$310, 7,FALSE), IFERROR(VLOOKUP($A894,'Vocus RVC ExDa'!$C$2:$R$155, 2,FALSE), IFERROR(VLOOKUP($A894,'Fusion ExDa'!$B$2:$D$16, 3,FALSE), IFERROR(VLOOKUP($A894,'Exetel ExDa'!$C$2:$N$14, 0,FALSE), IFERROR(VLOOKUP($A894,'Infinet ExDa'!$B$2:$E$14, 0,FALSE), "Not Found"))))))))</f>
        <v>BURRENDAH TAVERN , 47 BURRENDAH BVD, WILLETTON WA</v>
      </c>
      <c r="K894" t="str">
        <f>IFERROR(VLOOKUP($A894,'AAPT ExDa'!$B$2:$U$99, 12,FALSE), IFERROR(VLOOKUP($A894,'ABB ExDa'!$A$2:$N$184, 0,FALSE), IFERROR(VLOOKUP($A894,'Vocus SIT ExDa'!$B$2:$J$173, 0,FALSE), IFERROR(VLOOKUP($A894,'Telstra ExDa'!$B$2:$K$310, 0,FALSE), IFERROR(VLOOKUP($A894,'Vocus RVC ExDa'!$C$2:$R$155, 0,FALSE), IFERROR(VLOOKUP($A894,'Fusion ExDa'!$B$2:$D$16, 0,FALSE), IFERROR(VLOOKUP($A894,'Exetel ExDa'!$C$2:$N$14, 12,FALSE), IFERROR(VLOOKUP($A894,'Infinet ExDa'!$B$2:$E$14, 0,FALSE), "Not Found"))))))))</f>
        <v>Not Found</v>
      </c>
      <c r="L894" s="235" t="str">
        <f>IFERROR(VLOOKUP($A894,'AAPT ExDa'!$B$2:$U$99, 11,FALSE), IFERROR(VLOOKUP($A894,'ABB ExDa'!$A$2:$N$184, 9,FALSE), IFERROR(VLOOKUP($A894,'Vocus SIT ExDa'!$B$2:$J$173, 8,FALSE), IFERROR(VLOOKUP($A894,'Telstra ExDa'!$B$2:$K$310, 0,FALSE), IFERROR(VLOOKUP($A894,'Vocus RVC ExDa'!$C$2:$R$155, 0,FALSE), IFERROR(VLOOKUP($A894,'Fusion ExDa'!$B$2:$D$16, 0,FALSE), IFERROR(VLOOKUP($A894,'Exetel ExDa'!$C$2:$N$14, 9,FALSE), IFERROR(VLOOKUP($A894,'Infinet ExDa'!$B$2:$E$14, 0,FALSE), "Not Found"))))))))</f>
        <v>16 Sept 2025</v>
      </c>
      <c r="M894" s="234" t="str">
        <f>IFERROR(VLOOKUP($A894,'AAPT ExDa'!$B$2:$U$99, 0,FALSE), IFERROR(VLOOKUP($A894,'ABB ExDa'!$A$2:$N$184, 0,FALSE), IFERROR(VLOOKUP($A894,'Vocus SIT ExDa'!$B$2:$J$173, 0,FALSE), IFERROR(VLOOKUP($A894,'Telstra ExDa'!$B$2:$K$310, 0,FALSE), IFERROR(VLOOKUP($A894,'Vocus RVC ExDa'!$C$2:$R$155, 0,FALSE), IFERROR(VLOOKUP($A894,'Fusion ExDa'!$B$2:$D$16, 0,FALSE), IFERROR(VLOOKUP($A894,'Exetel ExDa'!$C$2:$N$14, 11,FALSE), IFERROR(VLOOKUP($A894,'Infinet ExDa'!$B$2:$E$14, 0,FALSE), "Not Found"))))))))</f>
        <v>Not Found</v>
      </c>
      <c r="N894" t="str">
        <f>IFERROR(VLOOKUP($A894,'AAPT ExDa'!$B$2:$U$99, 0,FALSE), IFERROR(VLOOKUP($A894,'ABB ExDa'!$A$2:$N$184, 13,FALSE), IFERROR(VLOOKUP($A894,'Vocus SIT ExDa'!$B$2:$J$173, 0,FALSE), IFERROR(VLOOKUP($A894,'Telstra ExDa'!$B$2:$K$310, 0,FALSE), IFERROR(VLOOKUP($A894,'Vocus RVC ExDa'!$C$2:$R$155, 0,FALSE), IFERROR(VLOOKUP($A894,'Fusion ExDa'!$B$2:$D$16, 0,FALSE), IFERROR(VLOOKUP($A894,'Exetel ExDa'!$C$2:$N$14, 0,FALSE), IFERROR(VLOOKUP($A894,'Infinet ExDa'!$B$2:$E$14, 0,FALSE), "Not Found"))))))))</f>
        <v>Onebill</v>
      </c>
    </row>
    <row r="895" spans="1:14">
      <c r="A895" t="str">
        <v>Zambrero Sutherland</v>
      </c>
      <c r="B895" t="str">
        <f>IFERROR(VLOOKUP(A895,'Exetel ExDa'!$C$2:$N$14,4,FALSE),"No Data")</f>
        <v>No Data</v>
      </c>
      <c r="C895" t="str">
        <f>IFERROR(VLOOKUP(A895,'AAPT ExDa'!$B$2:$U$99, 2,FALSE), IFERROR(VLOOKUP(A895,'ABB ExDa'!$A$2:$N$184, 2,FALSE), IFERROR(VLOOKUP(A895,'Vocus SIT ExDa'!$B$2:$J$173, 7,FALSE), IFERROR(VLOOKUP(A895,'Telstra ExDa'!$B$2:$K$310, 2,FALSE), IFERROR(VLOOKUP(A895,'Vocus RVC ExDa'!$C$2:$R$155, 3,FALSE), IFERROR(VLOOKUP(A895,'Fusion ExDa'!$B$2:$D$16, 2,FALSE), IFERROR(VLOOKUP(A895,'Exetel ExDa'!$C$2:$N$14, 2,FALSE), IFERROR(VLOOKUP(A895,'Infinet ExDa'!$B$2:$E$14, 2,FALSE), "Not Found"))))))))</f>
        <v>778 OLD PRINCES HWY, SUTHERLAND NSW</v>
      </c>
      <c r="D895" t="str">
        <f>IFERROR(VLOOKUP($A895,'AAPT ExDa'!$B$2:$U$99, 15,FALSE), IFERROR(VLOOKUP($A895,'ABB ExDa'!$A$2:$N$184, 4,FALSE), IFERROR(VLOOKUP($A895,'Vocus SIT ExDa'!$B$2:$J$173, 5,FALSE), IFERROR(VLOOKUP($A895,'Telstra ExDa'!$B$2:$K$310, 8,FALSE), IFERROR(VLOOKUP($A895,'Vocus RVC ExDa'!$C$2:$R$155, 6,FALSE), IFERROR(VLOOKUP($A895,'Fusion ExDa'!$B$2:$D$16, 4,FALSE), IFERROR(VLOOKUP($A895,'Exetel ExDa'!$C$2:$N$14, 3,FALSE), IFERROR(VLOOKUP($A895,'Infinet ExDa'!$B$2:$E$14, 3,FALSE), "Not Found"))))))))</f>
        <v>ABB</v>
      </c>
      <c r="E895" t="str">
        <f>IFERROR(VLOOKUP($A895,'AAPT ExDa'!$B$2:$U$99, 3,FALSE), IFERROR(VLOOKUP($A895,'ABB ExDa'!$A$2:$N$184, 5,FALSE), IFERROR(VLOOKUP($A895,'Vocus SIT ExDa'!$B$2:$J$173, 2,FALSE), IFERROR(VLOOKUP($A895,'Telstra ExDa'!$B$2:$K$310, 4,FALSE), IFERROR(VLOOKUP($A895,'Vocus RVC ExDa'!$C$2:$R$155, 8,FALSE), IFERROR(VLOOKUP($A895,'Fusion ExDa'!$B$2:$D$16, 4,FALSE), IFERROR(VLOOKUP($A895,'Exetel ExDa'!$C$2:$N$14, 5,FALSE), IFERROR(VLOOKUP($A895,'Infinet ExDa'!$B$2:$E$14, 3,FALSE), "Not Found"))))))))</f>
        <v>NBN 25/10</v>
      </c>
      <c r="F895" t="str">
        <f>IFERROR(VLOOKUP($A895,'AAPT ExDa'!$B$2:$U$99, 4,FALSE), IFERROR(VLOOKUP($A895,'ABB ExDa'!$A$2:$N$184, 6,FALSE), IFERROR(VLOOKUP($A895,'Vocus SIT ExDa'!$B$2:$J$173, 3,FALSE), IFERROR(VLOOKUP($A895,'Telstra ExDa'!$B$2:$K$310, 5,FALSE), IFERROR(VLOOKUP($A895,'Vocus RVC ExDa'!$C$2:$R$155, 9,FALSE), IFERROR(VLOOKUP($A895,'Fusion ExDa'!$B$2:$D$16, 0,FALSE), IFERROR(VLOOKUP($A895,'Exetel ExDa'!$C$2:$N$14, 6,FALSE), IFERROR(VLOOKUP($A895,'Infinet ExDa'!$B$2:$E$14, 0,FALSE), "Not Found"))))))))</f>
        <v>FTTC</v>
      </c>
      <c r="G895" t="str">
        <f>IFERROR(VLOOKUP($A895,'AAPT ExDa'!$B$2:$U$99, 5,FALSE), IFERROR(VLOOKUP($A895,'ABB ExDa'!$A$2:$N$184, 8,FALSE), IFERROR(VLOOKUP($A895,'Vocus SIT ExDa'!$B$2:$J$173, 6,FALSE), IFERROR(VLOOKUP($A895,'Telstra ExDa'!$B$2:$K$310, 0,FALSE), IFERROR(VLOOKUP($A895,'Vocus RVC ExDa'!$C$2:$R$155, 15,FALSE), IFERROR(VLOOKUP($A895,'Fusion ExDa'!$B$2:$D$16, 0,FALSE), IFERROR(VLOOKUP($A895,'Exetel ExDa'!$C$2:$N$14, 7,FALSE), IFERROR(VLOOKUP($A895,'Infinet ExDa'!$B$2:$E$14, 0,FALSE), "Not Found"))))))))</f>
        <v>180.181.236.118</v>
      </c>
      <c r="H895">
        <f>IFERROR(VLOOKUP($A895,'AAPT ExDa'!$B$2:$U$99, 6,FALSE), IFERROR(VLOOKUP($A895,'ABB ExDa'!$A$2:$N$184, 0,FALSE), IFERROR(VLOOKUP($A895,'Vocus SIT ExDa'!$B$2:$J$173, 0,FALSE), IFERROR(VLOOKUP($A895,'Telstra ExDa'!$B$2:$K$310, 0,FALSE), IFERROR(VLOOKUP($A895,'Vocus RVC ExDa'!$C$2:$R$155, 16,FALSE), IFERROR(VLOOKUP($A895,'Fusion ExDa'!$B$2:$D$16, 0,FALSE), IFERROR(VLOOKUP($A895,'Exetel ExDa'!$C$2:$N$14, 0,FALSE), IFERROR(VLOOKUP($A895,'Infinet ExDa'!$B$2:$E$14, 0,FALSE), "Not Found"))))))))</f>
        <v>0</v>
      </c>
      <c r="I895" t="str">
        <f>IFERROR(VLOOKUP($A895,'AAPT ExDa'!$B$2:$U$99, 0,FALSE), IFERROR(VLOOKUP($A895,'ABB ExDa'!$A$2:$N$184, 0,FALSE), IFERROR(VLOOKUP($A895,'Vocus SIT ExDa'!$B$2:$J$173, 0,FALSE), IFERROR(VLOOKUP($A895,'Telstra ExDa'!$B$2:$K$310, 0,FALSE), IFERROR(VLOOKUP($A895,'Vocus RVC ExDa'!$C$2:$R$155, 0,FALSE), IFERROR(VLOOKUP($A895,'Fusion ExDa'!$B$2:$D$16, 0,FALSE), IFERROR(VLOOKUP($A895,'Exetel ExDa'!$C$2:$N$14, 8,FALSE), IFERROR(VLOOKUP($A895,'Infinet ExDa'!$B$2:$E$14, 0,FALSE), "Not Found"))))))))</f>
        <v>Not Found</v>
      </c>
      <c r="J895" t="str">
        <f>IFERROR(VLOOKUP($A895,'AAPT ExDa'!$B$2:$U$99, 7,FALSE), IFERROR(VLOOKUP($A895,'ABB ExDa'!$A$2:$N$184, 2,FALSE), IFERROR(VLOOKUP($A895,'Vocus SIT ExDa'!$B$2:$J$173, 0,FALSE), IFERROR(VLOOKUP($A895,'Telstra ExDa'!$B$2:$K$310, 7,FALSE), IFERROR(VLOOKUP($A895,'Vocus RVC ExDa'!$C$2:$R$155, 2,FALSE), IFERROR(VLOOKUP($A895,'Fusion ExDa'!$B$2:$D$16, 3,FALSE), IFERROR(VLOOKUP($A895,'Exetel ExDa'!$C$2:$N$14, 0,FALSE), IFERROR(VLOOKUP($A895,'Infinet ExDa'!$B$2:$E$14, 0,FALSE), "Not Found"))))))))</f>
        <v>778 OLD PRINCES HWY, SUTHERLAND NSW</v>
      </c>
      <c r="K895" t="str">
        <f>IFERROR(VLOOKUP($A895,'AAPT ExDa'!$B$2:$U$99, 12,FALSE), IFERROR(VLOOKUP($A895,'ABB ExDa'!$A$2:$N$184, 0,FALSE), IFERROR(VLOOKUP($A895,'Vocus SIT ExDa'!$B$2:$J$173, 0,FALSE), IFERROR(VLOOKUP($A895,'Telstra ExDa'!$B$2:$K$310, 0,FALSE), IFERROR(VLOOKUP($A895,'Vocus RVC ExDa'!$C$2:$R$155, 0,FALSE), IFERROR(VLOOKUP($A895,'Fusion ExDa'!$B$2:$D$16, 0,FALSE), IFERROR(VLOOKUP($A895,'Exetel ExDa'!$C$2:$N$14, 12,FALSE), IFERROR(VLOOKUP($A895,'Infinet ExDa'!$B$2:$E$14, 0,FALSE), "Not Found"))))))))</f>
        <v>Not Found</v>
      </c>
      <c r="L895" s="235" t="str">
        <f>IFERROR(VLOOKUP($A895,'AAPT ExDa'!$B$2:$U$99, 11,FALSE), IFERROR(VLOOKUP($A895,'ABB ExDa'!$A$2:$N$184, 9,FALSE), IFERROR(VLOOKUP($A895,'Vocus SIT ExDa'!$B$2:$J$173, 8,FALSE), IFERROR(VLOOKUP($A895,'Telstra ExDa'!$B$2:$K$310, 0,FALSE), IFERROR(VLOOKUP($A895,'Vocus RVC ExDa'!$C$2:$R$155, 0,FALSE), IFERROR(VLOOKUP($A895,'Fusion ExDa'!$B$2:$D$16, 0,FALSE), IFERROR(VLOOKUP($A895,'Exetel ExDa'!$C$2:$N$14, 9,FALSE), IFERROR(VLOOKUP($A895,'Infinet ExDa'!$B$2:$E$14, 0,FALSE), "Not Found"))))))))</f>
        <v>18 Sept 2025</v>
      </c>
      <c r="M895" s="234" t="str">
        <f>IFERROR(VLOOKUP($A895,'AAPT ExDa'!$B$2:$U$99, 0,FALSE), IFERROR(VLOOKUP($A895,'ABB ExDa'!$A$2:$N$184, 0,FALSE), IFERROR(VLOOKUP($A895,'Vocus SIT ExDa'!$B$2:$J$173, 0,FALSE), IFERROR(VLOOKUP($A895,'Telstra ExDa'!$B$2:$K$310, 0,FALSE), IFERROR(VLOOKUP($A895,'Vocus RVC ExDa'!$C$2:$R$155, 0,FALSE), IFERROR(VLOOKUP($A895,'Fusion ExDa'!$B$2:$D$16, 0,FALSE), IFERROR(VLOOKUP($A895,'Exetel ExDa'!$C$2:$N$14, 11,FALSE), IFERROR(VLOOKUP($A895,'Infinet ExDa'!$B$2:$E$14, 0,FALSE), "Not Found"))))))))</f>
        <v>Not Found</v>
      </c>
      <c r="N895" t="str">
        <f>IFERROR(VLOOKUP($A895,'AAPT ExDa'!$B$2:$U$99, 0,FALSE), IFERROR(VLOOKUP($A895,'ABB ExDa'!$A$2:$N$184, 13,FALSE), IFERROR(VLOOKUP($A895,'Vocus SIT ExDa'!$B$2:$J$173, 0,FALSE), IFERROR(VLOOKUP($A895,'Telstra ExDa'!$B$2:$K$310, 0,FALSE), IFERROR(VLOOKUP($A895,'Vocus RVC ExDa'!$C$2:$R$155, 0,FALSE), IFERROR(VLOOKUP($A895,'Fusion ExDa'!$B$2:$D$16, 0,FALSE), IFERROR(VLOOKUP($A895,'Exetel ExDa'!$C$2:$N$14, 0,FALSE), IFERROR(VLOOKUP($A895,'Infinet ExDa'!$B$2:$E$14, 0,FALSE), "Not Found"))))))))</f>
        <v>Onebill</v>
      </c>
    </row>
    <row r="896" spans="1:14">
      <c r="A896" t="str">
        <v>The Yiros Shop Albion</v>
      </c>
      <c r="B896" t="str">
        <f>IFERROR(VLOOKUP(A896,'Exetel ExDa'!$C$2:$N$14,4,FALSE),"No Data")</f>
        <v>No Data</v>
      </c>
      <c r="C896" t="str">
        <f>IFERROR(VLOOKUP(A896,'AAPT ExDa'!$B$2:$U$99, 2,FALSE), IFERROR(VLOOKUP(A896,'ABB ExDa'!$A$2:$N$184, 2,FALSE), IFERROR(VLOOKUP(A896,'Vocus SIT ExDa'!$B$2:$J$173, 7,FALSE), IFERROR(VLOOKUP(A896,'Telstra ExDa'!$B$2:$K$310, 2,FALSE), IFERROR(VLOOKUP(A896,'Vocus RVC ExDa'!$C$2:$R$155, 3,FALSE), IFERROR(VLOOKUP(A896,'Fusion ExDa'!$B$2:$D$16, 2,FALSE), IFERROR(VLOOKUP(A896,'Exetel ExDa'!$C$2:$N$14, 2,FALSE), IFERROR(VLOOKUP(A896,'Infinet ExDa'!$B$2:$E$14, 2,FALSE), "Not Found"))))))))</f>
        <v>TNCY 6, 6 CROSBY RD, ALBION QLD</v>
      </c>
      <c r="D896" t="str">
        <f>IFERROR(VLOOKUP($A896,'AAPT ExDa'!$B$2:$U$99, 15,FALSE), IFERROR(VLOOKUP($A896,'ABB ExDa'!$A$2:$N$184, 4,FALSE), IFERROR(VLOOKUP($A896,'Vocus SIT ExDa'!$B$2:$J$173, 5,FALSE), IFERROR(VLOOKUP($A896,'Telstra ExDa'!$B$2:$K$310, 8,FALSE), IFERROR(VLOOKUP($A896,'Vocus RVC ExDa'!$C$2:$R$155, 6,FALSE), IFERROR(VLOOKUP($A896,'Fusion ExDa'!$B$2:$D$16, 4,FALSE), IFERROR(VLOOKUP($A896,'Exetel ExDa'!$C$2:$N$14, 3,FALSE), IFERROR(VLOOKUP($A896,'Infinet ExDa'!$B$2:$E$14, 3,FALSE), "Not Found"))))))))</f>
        <v>ABB</v>
      </c>
      <c r="E896" t="str">
        <f>IFERROR(VLOOKUP($A896,'AAPT ExDa'!$B$2:$U$99, 3,FALSE), IFERROR(VLOOKUP($A896,'ABB ExDa'!$A$2:$N$184, 5,FALSE), IFERROR(VLOOKUP($A896,'Vocus SIT ExDa'!$B$2:$J$173, 2,FALSE), IFERROR(VLOOKUP($A896,'Telstra ExDa'!$B$2:$K$310, 4,FALSE), IFERROR(VLOOKUP($A896,'Vocus RVC ExDa'!$C$2:$R$155, 8,FALSE), IFERROR(VLOOKUP($A896,'Fusion ExDa'!$B$2:$D$16, 4,FALSE), IFERROR(VLOOKUP($A896,'Exetel ExDa'!$C$2:$N$14, 5,FALSE), IFERROR(VLOOKUP($A896,'Infinet ExDa'!$B$2:$E$14, 3,FALSE), "Not Found"))))))))</f>
        <v>NBN 50/20</v>
      </c>
      <c r="F896" t="str">
        <f>IFERROR(VLOOKUP($A896,'AAPT ExDa'!$B$2:$U$99, 4,FALSE), IFERROR(VLOOKUP($A896,'ABB ExDa'!$A$2:$N$184, 6,FALSE), IFERROR(VLOOKUP($A896,'Vocus SIT ExDa'!$B$2:$J$173, 3,FALSE), IFERROR(VLOOKUP($A896,'Telstra ExDa'!$B$2:$K$310, 5,FALSE), IFERROR(VLOOKUP($A896,'Vocus RVC ExDa'!$C$2:$R$155, 9,FALSE), IFERROR(VLOOKUP($A896,'Fusion ExDa'!$B$2:$D$16, 0,FALSE), IFERROR(VLOOKUP($A896,'Exetel ExDa'!$C$2:$N$14, 6,FALSE), IFERROR(VLOOKUP($A896,'Infinet ExDa'!$B$2:$E$14, 0,FALSE), "Not Found"))))))))</f>
        <v>Fibre</v>
      </c>
      <c r="G896" t="str">
        <f>IFERROR(VLOOKUP($A896,'AAPT ExDa'!$B$2:$U$99, 5,FALSE), IFERROR(VLOOKUP($A896,'ABB ExDa'!$A$2:$N$184, 8,FALSE), IFERROR(VLOOKUP($A896,'Vocus SIT ExDa'!$B$2:$J$173, 6,FALSE), IFERROR(VLOOKUP($A896,'Telstra ExDa'!$B$2:$K$310, 0,FALSE), IFERROR(VLOOKUP($A896,'Vocus RVC ExDa'!$C$2:$R$155, 15,FALSE), IFERROR(VLOOKUP($A896,'Fusion ExDa'!$B$2:$D$16, 0,FALSE), IFERROR(VLOOKUP($A896,'Exetel ExDa'!$C$2:$N$14, 7,FALSE), IFERROR(VLOOKUP($A896,'Infinet ExDa'!$B$2:$E$14, 0,FALSE), "Not Found"))))))))</f>
        <v>180.181.215.213</v>
      </c>
      <c r="H896">
        <f>IFERROR(VLOOKUP($A896,'AAPT ExDa'!$B$2:$U$99, 6,FALSE), IFERROR(VLOOKUP($A896,'ABB ExDa'!$A$2:$N$184, 0,FALSE), IFERROR(VLOOKUP($A896,'Vocus SIT ExDa'!$B$2:$J$173, 0,FALSE), IFERROR(VLOOKUP($A896,'Telstra ExDa'!$B$2:$K$310, 0,FALSE), IFERROR(VLOOKUP($A896,'Vocus RVC ExDa'!$C$2:$R$155, 16,FALSE), IFERROR(VLOOKUP($A896,'Fusion ExDa'!$B$2:$D$16, 0,FALSE), IFERROR(VLOOKUP($A896,'Exetel ExDa'!$C$2:$N$14, 0,FALSE), IFERROR(VLOOKUP($A896,'Infinet ExDa'!$B$2:$E$14, 0,FALSE), "Not Found"))))))))</f>
        <v>0</v>
      </c>
      <c r="I896" t="str">
        <f>IFERROR(VLOOKUP($A896,'AAPT ExDa'!$B$2:$U$99, 0,FALSE), IFERROR(VLOOKUP($A896,'ABB ExDa'!$A$2:$N$184, 0,FALSE), IFERROR(VLOOKUP($A896,'Vocus SIT ExDa'!$B$2:$J$173, 0,FALSE), IFERROR(VLOOKUP($A896,'Telstra ExDa'!$B$2:$K$310, 0,FALSE), IFERROR(VLOOKUP($A896,'Vocus RVC ExDa'!$C$2:$R$155, 0,FALSE), IFERROR(VLOOKUP($A896,'Fusion ExDa'!$B$2:$D$16, 0,FALSE), IFERROR(VLOOKUP($A896,'Exetel ExDa'!$C$2:$N$14, 8,FALSE), IFERROR(VLOOKUP($A896,'Infinet ExDa'!$B$2:$E$14, 0,FALSE), "Not Found"))))))))</f>
        <v>Not Found</v>
      </c>
      <c r="J896" t="str">
        <f>IFERROR(VLOOKUP($A896,'AAPT ExDa'!$B$2:$U$99, 7,FALSE), IFERROR(VLOOKUP($A896,'ABB ExDa'!$A$2:$N$184, 2,FALSE), IFERROR(VLOOKUP($A896,'Vocus SIT ExDa'!$B$2:$J$173, 0,FALSE), IFERROR(VLOOKUP($A896,'Telstra ExDa'!$B$2:$K$310, 7,FALSE), IFERROR(VLOOKUP($A896,'Vocus RVC ExDa'!$C$2:$R$155, 2,FALSE), IFERROR(VLOOKUP($A896,'Fusion ExDa'!$B$2:$D$16, 3,FALSE), IFERROR(VLOOKUP($A896,'Exetel ExDa'!$C$2:$N$14, 0,FALSE), IFERROR(VLOOKUP($A896,'Infinet ExDa'!$B$2:$E$14, 0,FALSE), "Not Found"))))))))</f>
        <v>TNCY 6, 6 CROSBY RD, ALBION QLD</v>
      </c>
      <c r="K896" t="str">
        <f>IFERROR(VLOOKUP($A896,'AAPT ExDa'!$B$2:$U$99, 12,FALSE), IFERROR(VLOOKUP($A896,'ABB ExDa'!$A$2:$N$184, 0,FALSE), IFERROR(VLOOKUP($A896,'Vocus SIT ExDa'!$B$2:$J$173, 0,FALSE), IFERROR(VLOOKUP($A896,'Telstra ExDa'!$B$2:$K$310, 0,FALSE), IFERROR(VLOOKUP($A896,'Vocus RVC ExDa'!$C$2:$R$155, 0,FALSE), IFERROR(VLOOKUP($A896,'Fusion ExDa'!$B$2:$D$16, 0,FALSE), IFERROR(VLOOKUP($A896,'Exetel ExDa'!$C$2:$N$14, 12,FALSE), IFERROR(VLOOKUP($A896,'Infinet ExDa'!$B$2:$E$14, 0,FALSE), "Not Found"))))))))</f>
        <v>Not Found</v>
      </c>
      <c r="L896" s="235" t="str">
        <f>IFERROR(VLOOKUP($A896,'AAPT ExDa'!$B$2:$U$99, 11,FALSE), IFERROR(VLOOKUP($A896,'ABB ExDa'!$A$2:$N$184, 9,FALSE), IFERROR(VLOOKUP($A896,'Vocus SIT ExDa'!$B$2:$J$173, 8,FALSE), IFERROR(VLOOKUP($A896,'Telstra ExDa'!$B$2:$K$310, 0,FALSE), IFERROR(VLOOKUP($A896,'Vocus RVC ExDa'!$C$2:$R$155, 0,FALSE), IFERROR(VLOOKUP($A896,'Fusion ExDa'!$B$2:$D$16, 0,FALSE), IFERROR(VLOOKUP($A896,'Exetel ExDa'!$C$2:$N$14, 9,FALSE), IFERROR(VLOOKUP($A896,'Infinet ExDa'!$B$2:$E$14, 0,FALSE), "Not Found"))))))))</f>
        <v>02 Aug 2025</v>
      </c>
      <c r="M896" s="234" t="str">
        <f>IFERROR(VLOOKUP($A896,'AAPT ExDa'!$B$2:$U$99, 0,FALSE), IFERROR(VLOOKUP($A896,'ABB ExDa'!$A$2:$N$184, 0,FALSE), IFERROR(VLOOKUP($A896,'Vocus SIT ExDa'!$B$2:$J$173, 0,FALSE), IFERROR(VLOOKUP($A896,'Telstra ExDa'!$B$2:$K$310, 0,FALSE), IFERROR(VLOOKUP($A896,'Vocus RVC ExDa'!$C$2:$R$155, 0,FALSE), IFERROR(VLOOKUP($A896,'Fusion ExDa'!$B$2:$D$16, 0,FALSE), IFERROR(VLOOKUP($A896,'Exetel ExDa'!$C$2:$N$14, 11,FALSE), IFERROR(VLOOKUP($A896,'Infinet ExDa'!$B$2:$E$14, 0,FALSE), "Not Found"))))))))</f>
        <v>Not Found</v>
      </c>
      <c r="N896" t="str">
        <f>IFERROR(VLOOKUP($A896,'AAPT ExDa'!$B$2:$U$99, 0,FALSE), IFERROR(VLOOKUP($A896,'ABB ExDa'!$A$2:$N$184, 13,FALSE), IFERROR(VLOOKUP($A896,'Vocus SIT ExDa'!$B$2:$J$173, 0,FALSE), IFERROR(VLOOKUP($A896,'Telstra ExDa'!$B$2:$K$310, 0,FALSE), IFERROR(VLOOKUP($A896,'Vocus RVC ExDa'!$C$2:$R$155, 0,FALSE), IFERROR(VLOOKUP($A896,'Fusion ExDa'!$B$2:$D$16, 0,FALSE), IFERROR(VLOOKUP($A896,'Exetel ExDa'!$C$2:$N$14, 0,FALSE), IFERROR(VLOOKUP($A896,'Infinet ExDa'!$B$2:$E$14, 0,FALSE), "Not Found"))))))))</f>
        <v>Onebill</v>
      </c>
    </row>
    <row r="897" spans="1:14">
      <c r="A897" t="str">
        <v>Zambrero Karratha</v>
      </c>
      <c r="B897" t="str">
        <f>IFERROR(VLOOKUP(A897,'Exetel ExDa'!$C$2:$N$14,4,FALSE),"No Data")</f>
        <v>No Data</v>
      </c>
      <c r="C897" t="str">
        <f>IFERROR(VLOOKUP(A897,'AAPT ExDa'!$B$2:$U$99, 2,FALSE), IFERROR(VLOOKUP(A897,'ABB ExDa'!$A$2:$N$184, 2,FALSE), IFERROR(VLOOKUP(A897,'Vocus SIT ExDa'!$B$2:$J$173, 7,FALSE), IFERROR(VLOOKUP(A897,'Telstra ExDa'!$B$2:$K$310, 2,FALSE), IFERROR(VLOOKUP(A897,'Vocus RVC ExDa'!$C$2:$R$155, 3,FALSE), IFERROR(VLOOKUP(A897,'Fusion ExDa'!$B$2:$D$16, 2,FALSE), IFERROR(VLOOKUP(A897,'Exetel ExDa'!$C$2:$N$14, 2,FALSE), IFERROR(VLOOKUP(A897,'Infinet ExDa'!$B$2:$E$14, 2,FALSE), "Not Found"))))))))</f>
        <v>KARRATHA CITY SHOPPING CENTRE SHOP 1, 16 SHARPE AV, KARRATHA WA</v>
      </c>
      <c r="D897" t="str">
        <f>IFERROR(VLOOKUP($A897,'AAPT ExDa'!$B$2:$U$99, 15,FALSE), IFERROR(VLOOKUP($A897,'ABB ExDa'!$A$2:$N$184, 4,FALSE), IFERROR(VLOOKUP($A897,'Vocus SIT ExDa'!$B$2:$J$173, 5,FALSE), IFERROR(VLOOKUP($A897,'Telstra ExDa'!$B$2:$K$310, 8,FALSE), IFERROR(VLOOKUP($A897,'Vocus RVC ExDa'!$C$2:$R$155, 6,FALSE), IFERROR(VLOOKUP($A897,'Fusion ExDa'!$B$2:$D$16, 4,FALSE), IFERROR(VLOOKUP($A897,'Exetel ExDa'!$C$2:$N$14, 3,FALSE), IFERROR(VLOOKUP($A897,'Infinet ExDa'!$B$2:$E$14, 3,FALSE), "Not Found"))))))))</f>
        <v>ABB</v>
      </c>
      <c r="E897" t="str">
        <f>IFERROR(VLOOKUP($A897,'AAPT ExDa'!$B$2:$U$99, 3,FALSE), IFERROR(VLOOKUP($A897,'ABB ExDa'!$A$2:$N$184, 5,FALSE), IFERROR(VLOOKUP($A897,'Vocus SIT ExDa'!$B$2:$J$173, 2,FALSE), IFERROR(VLOOKUP($A897,'Telstra ExDa'!$B$2:$K$310, 4,FALSE), IFERROR(VLOOKUP($A897,'Vocus RVC ExDa'!$C$2:$R$155, 8,FALSE), IFERROR(VLOOKUP($A897,'Fusion ExDa'!$B$2:$D$16, 4,FALSE), IFERROR(VLOOKUP($A897,'Exetel ExDa'!$C$2:$N$14, 5,FALSE), IFERROR(VLOOKUP($A897,'Infinet ExDa'!$B$2:$E$14, 3,FALSE), "Not Found"))))))))</f>
        <v>NBN 25/10</v>
      </c>
      <c r="F897" t="str">
        <f>IFERROR(VLOOKUP($A897,'AAPT ExDa'!$B$2:$U$99, 4,FALSE), IFERROR(VLOOKUP($A897,'ABB ExDa'!$A$2:$N$184, 6,FALSE), IFERROR(VLOOKUP($A897,'Vocus SIT ExDa'!$B$2:$J$173, 3,FALSE), IFERROR(VLOOKUP($A897,'Telstra ExDa'!$B$2:$K$310, 5,FALSE), IFERROR(VLOOKUP($A897,'Vocus RVC ExDa'!$C$2:$R$155, 9,FALSE), IFERROR(VLOOKUP($A897,'Fusion ExDa'!$B$2:$D$16, 0,FALSE), IFERROR(VLOOKUP($A897,'Exetel ExDa'!$C$2:$N$14, 6,FALSE), IFERROR(VLOOKUP($A897,'Infinet ExDa'!$B$2:$E$14, 0,FALSE), "Not Found"))))))))</f>
        <v>FTTN</v>
      </c>
      <c r="G897" t="str">
        <f>IFERROR(VLOOKUP($A897,'AAPT ExDa'!$B$2:$U$99, 5,FALSE), IFERROR(VLOOKUP($A897,'ABB ExDa'!$A$2:$N$184, 8,FALSE), IFERROR(VLOOKUP($A897,'Vocus SIT ExDa'!$B$2:$J$173, 6,FALSE), IFERROR(VLOOKUP($A897,'Telstra ExDa'!$B$2:$K$310, 0,FALSE), IFERROR(VLOOKUP($A897,'Vocus RVC ExDa'!$C$2:$R$155, 15,FALSE), IFERROR(VLOOKUP($A897,'Fusion ExDa'!$B$2:$D$16, 0,FALSE), IFERROR(VLOOKUP($A897,'Exetel ExDa'!$C$2:$N$14, 7,FALSE), IFERROR(VLOOKUP($A897,'Infinet ExDa'!$B$2:$E$14, 0,FALSE), "Not Found"))))))))</f>
        <v>144.6.158.89</v>
      </c>
      <c r="H897">
        <f>IFERROR(VLOOKUP($A897,'AAPT ExDa'!$B$2:$U$99, 6,FALSE), IFERROR(VLOOKUP($A897,'ABB ExDa'!$A$2:$N$184, 0,FALSE), IFERROR(VLOOKUP($A897,'Vocus SIT ExDa'!$B$2:$J$173, 0,FALSE), IFERROR(VLOOKUP($A897,'Telstra ExDa'!$B$2:$K$310, 0,FALSE), IFERROR(VLOOKUP($A897,'Vocus RVC ExDa'!$C$2:$R$155, 16,FALSE), IFERROR(VLOOKUP($A897,'Fusion ExDa'!$B$2:$D$16, 0,FALSE), IFERROR(VLOOKUP($A897,'Exetel ExDa'!$C$2:$N$14, 0,FALSE), IFERROR(VLOOKUP($A897,'Infinet ExDa'!$B$2:$E$14, 0,FALSE), "Not Found"))))))))</f>
        <v>0</v>
      </c>
      <c r="I897" t="str">
        <f>IFERROR(VLOOKUP($A897,'AAPT ExDa'!$B$2:$U$99, 0,FALSE), IFERROR(VLOOKUP($A897,'ABB ExDa'!$A$2:$N$184, 0,FALSE), IFERROR(VLOOKUP($A897,'Vocus SIT ExDa'!$B$2:$J$173, 0,FALSE), IFERROR(VLOOKUP($A897,'Telstra ExDa'!$B$2:$K$310, 0,FALSE), IFERROR(VLOOKUP($A897,'Vocus RVC ExDa'!$C$2:$R$155, 0,FALSE), IFERROR(VLOOKUP($A897,'Fusion ExDa'!$B$2:$D$16, 0,FALSE), IFERROR(VLOOKUP($A897,'Exetel ExDa'!$C$2:$N$14, 8,FALSE), IFERROR(VLOOKUP($A897,'Infinet ExDa'!$B$2:$E$14, 0,FALSE), "Not Found"))))))))</f>
        <v>Not Found</v>
      </c>
      <c r="J897" t="str">
        <f>IFERROR(VLOOKUP($A897,'AAPT ExDa'!$B$2:$U$99, 7,FALSE), IFERROR(VLOOKUP($A897,'ABB ExDa'!$A$2:$N$184, 2,FALSE), IFERROR(VLOOKUP($A897,'Vocus SIT ExDa'!$B$2:$J$173, 0,FALSE), IFERROR(VLOOKUP($A897,'Telstra ExDa'!$B$2:$K$310, 7,FALSE), IFERROR(VLOOKUP($A897,'Vocus RVC ExDa'!$C$2:$R$155, 2,FALSE), IFERROR(VLOOKUP($A897,'Fusion ExDa'!$B$2:$D$16, 3,FALSE), IFERROR(VLOOKUP($A897,'Exetel ExDa'!$C$2:$N$14, 0,FALSE), IFERROR(VLOOKUP($A897,'Infinet ExDa'!$B$2:$E$14, 0,FALSE), "Not Found"))))))))</f>
        <v>KARRATHA CITY SHOPPING CENTRE SHOP 1, 16 SHARPE AV, KARRATHA WA</v>
      </c>
      <c r="K897" t="str">
        <f>IFERROR(VLOOKUP($A897,'AAPT ExDa'!$B$2:$U$99, 12,FALSE), IFERROR(VLOOKUP($A897,'ABB ExDa'!$A$2:$N$184, 0,FALSE), IFERROR(VLOOKUP($A897,'Vocus SIT ExDa'!$B$2:$J$173, 0,FALSE), IFERROR(VLOOKUP($A897,'Telstra ExDa'!$B$2:$K$310, 0,FALSE), IFERROR(VLOOKUP($A897,'Vocus RVC ExDa'!$C$2:$R$155, 0,FALSE), IFERROR(VLOOKUP($A897,'Fusion ExDa'!$B$2:$D$16, 0,FALSE), IFERROR(VLOOKUP($A897,'Exetel ExDa'!$C$2:$N$14, 12,FALSE), IFERROR(VLOOKUP($A897,'Infinet ExDa'!$B$2:$E$14, 0,FALSE), "Not Found"))))))))</f>
        <v>Not Found</v>
      </c>
      <c r="L897" s="235" t="str">
        <f>IFERROR(VLOOKUP($A897,'AAPT ExDa'!$B$2:$U$99, 11,FALSE), IFERROR(VLOOKUP($A897,'ABB ExDa'!$A$2:$N$184, 9,FALSE), IFERROR(VLOOKUP($A897,'Vocus SIT ExDa'!$B$2:$J$173, 8,FALSE), IFERROR(VLOOKUP($A897,'Telstra ExDa'!$B$2:$K$310, 0,FALSE), IFERROR(VLOOKUP($A897,'Vocus RVC ExDa'!$C$2:$R$155, 0,FALSE), IFERROR(VLOOKUP($A897,'Fusion ExDa'!$B$2:$D$16, 0,FALSE), IFERROR(VLOOKUP($A897,'Exetel ExDa'!$C$2:$N$14, 9,FALSE), IFERROR(VLOOKUP($A897,'Infinet ExDa'!$B$2:$E$14, 0,FALSE), "Not Found"))))))))</f>
        <v>15 Sept 2025</v>
      </c>
      <c r="M897" s="234" t="str">
        <f>IFERROR(VLOOKUP($A897,'AAPT ExDa'!$B$2:$U$99, 0,FALSE), IFERROR(VLOOKUP($A897,'ABB ExDa'!$A$2:$N$184, 0,FALSE), IFERROR(VLOOKUP($A897,'Vocus SIT ExDa'!$B$2:$J$173, 0,FALSE), IFERROR(VLOOKUP($A897,'Telstra ExDa'!$B$2:$K$310, 0,FALSE), IFERROR(VLOOKUP($A897,'Vocus RVC ExDa'!$C$2:$R$155, 0,FALSE), IFERROR(VLOOKUP($A897,'Fusion ExDa'!$B$2:$D$16, 0,FALSE), IFERROR(VLOOKUP($A897,'Exetel ExDa'!$C$2:$N$14, 11,FALSE), IFERROR(VLOOKUP($A897,'Infinet ExDa'!$B$2:$E$14, 0,FALSE), "Not Found"))))))))</f>
        <v>Not Found</v>
      </c>
      <c r="N897" t="str">
        <f>IFERROR(VLOOKUP($A897,'AAPT ExDa'!$B$2:$U$99, 0,FALSE), IFERROR(VLOOKUP($A897,'ABB ExDa'!$A$2:$N$184, 13,FALSE), IFERROR(VLOOKUP($A897,'Vocus SIT ExDa'!$B$2:$J$173, 0,FALSE), IFERROR(VLOOKUP($A897,'Telstra ExDa'!$B$2:$K$310, 0,FALSE), IFERROR(VLOOKUP($A897,'Vocus RVC ExDa'!$C$2:$R$155, 0,FALSE), IFERROR(VLOOKUP($A897,'Fusion ExDa'!$B$2:$D$16, 0,FALSE), IFERROR(VLOOKUP($A897,'Exetel ExDa'!$C$2:$N$14, 0,FALSE), IFERROR(VLOOKUP($A897,'Infinet ExDa'!$B$2:$E$14, 0,FALSE), "Not Found"))))))))</f>
        <v>Onebill</v>
      </c>
    </row>
    <row r="898" spans="1:14">
      <c r="A898" t="str">
        <v>Zambrero Brabham</v>
      </c>
      <c r="B898" t="str">
        <f>IFERROR(VLOOKUP(A898,'Exetel ExDa'!$C$2:$N$14,4,FALSE),"No Data")</f>
        <v>No Data</v>
      </c>
      <c r="C898" t="str">
        <f>IFERROR(VLOOKUP(A898,'AAPT ExDa'!$B$2:$U$99, 2,FALSE), IFERROR(VLOOKUP(A898,'ABB ExDa'!$A$2:$N$184, 2,FALSE), IFERROR(VLOOKUP(A898,'Vocus SIT ExDa'!$B$2:$J$173, 7,FALSE), IFERROR(VLOOKUP(A898,'Telstra ExDa'!$B$2:$K$310, 2,FALSE), IFERROR(VLOOKUP(A898,'Vocus RVC ExDa'!$C$2:$R$155, 3,FALSE), IFERROR(VLOOKUP(A898,'Fusion ExDa'!$B$2:$D$16, 2,FALSE), IFERROR(VLOOKUP(A898,'Exetel ExDa'!$C$2:$N$14, 2,FALSE), IFERROR(VLOOKUP(A898,'Infinet ExDa'!$B$2:$E$14, 2,FALSE), "Not Found"))))))))</f>
        <v>BG 1, G, SHOP TNCY8, 100 EVERGLADES AVE, BRABHAM WA 6055</v>
      </c>
      <c r="D898" t="str">
        <f>IFERROR(VLOOKUP($A898,'AAPT ExDa'!$B$2:$U$99, 15,FALSE), IFERROR(VLOOKUP($A898,'ABB ExDa'!$A$2:$N$184, 4,FALSE), IFERROR(VLOOKUP($A898,'Vocus SIT ExDa'!$B$2:$J$173, 5,FALSE), IFERROR(VLOOKUP($A898,'Telstra ExDa'!$B$2:$K$310, 8,FALSE), IFERROR(VLOOKUP($A898,'Vocus RVC ExDa'!$C$2:$R$155, 6,FALSE), IFERROR(VLOOKUP($A898,'Fusion ExDa'!$B$2:$D$16, 4,FALSE), IFERROR(VLOOKUP($A898,'Exetel ExDa'!$C$2:$N$14, 3,FALSE), IFERROR(VLOOKUP($A898,'Infinet ExDa'!$B$2:$E$14, 3,FALSE), "Not Found"))))))))</f>
        <v>Telstra</v>
      </c>
      <c r="E898" t="str">
        <f>IFERROR(VLOOKUP($A898,'AAPT ExDa'!$B$2:$U$99, 3,FALSE), IFERROR(VLOOKUP($A898,'ABB ExDa'!$A$2:$N$184, 5,FALSE), IFERROR(VLOOKUP($A898,'Vocus SIT ExDa'!$B$2:$J$173, 2,FALSE), IFERROR(VLOOKUP($A898,'Telstra ExDa'!$B$2:$K$310, 4,FALSE), IFERROR(VLOOKUP($A898,'Vocus RVC ExDa'!$C$2:$R$155, 8,FALSE), IFERROR(VLOOKUP($A898,'Fusion ExDa'!$B$2:$D$16, 4,FALSE), IFERROR(VLOOKUP($A898,'Exetel ExDa'!$C$2:$N$14, 5,FALSE), IFERROR(VLOOKUP($A898,'Infinet ExDa'!$B$2:$E$14, 3,FALSE), "Not Found"))))))))</f>
        <v xml:space="preserve">Standard Plus Speed NBN </v>
      </c>
      <c r="F898" t="str">
        <f>IFERROR(VLOOKUP($A898,'AAPT ExDa'!$B$2:$U$99, 4,FALSE), IFERROR(VLOOKUP($A898,'ABB ExDa'!$A$2:$N$184, 6,FALSE), IFERROR(VLOOKUP($A898,'Vocus SIT ExDa'!$B$2:$J$173, 3,FALSE), IFERROR(VLOOKUP($A898,'Telstra ExDa'!$B$2:$K$310, 5,FALSE), IFERROR(VLOOKUP($A898,'Vocus RVC ExDa'!$C$2:$R$155, 9,FALSE), IFERROR(VLOOKUP($A898,'Fusion ExDa'!$B$2:$D$16, 0,FALSE), IFERROR(VLOOKUP($A898,'Exetel ExDa'!$C$2:$N$14, 6,FALSE), IFERROR(VLOOKUP($A898,'Infinet ExDa'!$B$2:$E$14, 0,FALSE), "Not Found"))))))))</f>
        <v>Unlimited Internet</v>
      </c>
      <c r="G898">
        <f>IFERROR(VLOOKUP($A898,'AAPT ExDa'!$B$2:$U$99, 5,FALSE), IFERROR(VLOOKUP($A898,'ABB ExDa'!$A$2:$N$184, 8,FALSE), IFERROR(VLOOKUP($A898,'Vocus SIT ExDa'!$B$2:$J$173, 6,FALSE), IFERROR(VLOOKUP($A898,'Telstra ExDa'!$B$2:$K$310, 0,FALSE), IFERROR(VLOOKUP($A898,'Vocus RVC ExDa'!$C$2:$R$155, 15,FALSE), IFERROR(VLOOKUP($A898,'Fusion ExDa'!$B$2:$D$16, 0,FALSE), IFERROR(VLOOKUP($A898,'Exetel ExDa'!$C$2:$N$14, 7,FALSE), IFERROR(VLOOKUP($A898,'Infinet ExDa'!$B$2:$E$14, 0,FALSE), "Not Found"))))))))</f>
        <v>0</v>
      </c>
      <c r="H898">
        <f>IFERROR(VLOOKUP($A898,'AAPT ExDa'!$B$2:$U$99, 6,FALSE), IFERROR(VLOOKUP($A898,'ABB ExDa'!$A$2:$N$184, 0,FALSE), IFERROR(VLOOKUP($A898,'Vocus SIT ExDa'!$B$2:$J$173, 0,FALSE), IFERROR(VLOOKUP($A898,'Telstra ExDa'!$B$2:$K$310, 0,FALSE), IFERROR(VLOOKUP($A898,'Vocus RVC ExDa'!$C$2:$R$155, 16,FALSE), IFERROR(VLOOKUP($A898,'Fusion ExDa'!$B$2:$D$16, 0,FALSE), IFERROR(VLOOKUP($A898,'Exetel ExDa'!$C$2:$N$14, 0,FALSE), IFERROR(VLOOKUP($A898,'Infinet ExDa'!$B$2:$E$14, 0,FALSE), "Not Found"))))))))</f>
        <v>0</v>
      </c>
      <c r="I898" t="str">
        <f>IFERROR(VLOOKUP($A898,'AAPT ExDa'!$B$2:$U$99, 0,FALSE), IFERROR(VLOOKUP($A898,'ABB ExDa'!$A$2:$N$184, 0,FALSE), IFERROR(VLOOKUP($A898,'Vocus SIT ExDa'!$B$2:$J$173, 0,FALSE), IFERROR(VLOOKUP($A898,'Telstra ExDa'!$B$2:$K$310, 0,FALSE), IFERROR(VLOOKUP($A898,'Vocus RVC ExDa'!$C$2:$R$155, 0,FALSE), IFERROR(VLOOKUP($A898,'Fusion ExDa'!$B$2:$D$16, 0,FALSE), IFERROR(VLOOKUP($A898,'Exetel ExDa'!$C$2:$N$14, 8,FALSE), IFERROR(VLOOKUP($A898,'Infinet ExDa'!$B$2:$E$14, 0,FALSE), "Not Found"))))))))</f>
        <v>Not Found</v>
      </c>
      <c r="J898">
        <f>IFERROR(VLOOKUP($A898,'AAPT ExDa'!$B$2:$U$99, 7,FALSE), IFERROR(VLOOKUP($A898,'ABB ExDa'!$A$2:$N$184, 2,FALSE), IFERROR(VLOOKUP($A898,'Vocus SIT ExDa'!$B$2:$J$173, 0,FALSE), IFERROR(VLOOKUP($A898,'Telstra ExDa'!$B$2:$K$310, 7,FALSE), IFERROR(VLOOKUP($A898,'Vocus RVC ExDa'!$C$2:$R$155, 2,FALSE), IFERROR(VLOOKUP($A898,'Fusion ExDa'!$B$2:$D$16, 3,FALSE), IFERROR(VLOOKUP($A898,'Exetel ExDa'!$C$2:$N$14, 0,FALSE), IFERROR(VLOOKUP($A898,'Infinet ExDa'!$B$2:$E$14, 0,FALSE), "Not Found"))))))))</f>
        <v>0</v>
      </c>
      <c r="K898" t="str">
        <f>IFERROR(VLOOKUP($A898,'AAPT ExDa'!$B$2:$U$99, 12,FALSE), IFERROR(VLOOKUP($A898,'ABB ExDa'!$A$2:$N$184, 0,FALSE), IFERROR(VLOOKUP($A898,'Vocus SIT ExDa'!$B$2:$J$173, 0,FALSE), IFERROR(VLOOKUP($A898,'Telstra ExDa'!$B$2:$K$310, 0,FALSE), IFERROR(VLOOKUP($A898,'Vocus RVC ExDa'!$C$2:$R$155, 0,FALSE), IFERROR(VLOOKUP($A898,'Fusion ExDa'!$B$2:$D$16, 0,FALSE), IFERROR(VLOOKUP($A898,'Exetel ExDa'!$C$2:$N$14, 12,FALSE), IFERROR(VLOOKUP($A898,'Infinet ExDa'!$B$2:$E$14, 0,FALSE), "Not Found"))))))))</f>
        <v>Not Found</v>
      </c>
      <c r="L898" s="235" t="str">
        <f>IFERROR(VLOOKUP($A898,'AAPT ExDa'!$B$2:$U$99, 11,FALSE), IFERROR(VLOOKUP($A898,'ABB ExDa'!$A$2:$N$184, 9,FALSE), IFERROR(VLOOKUP($A898,'Vocus SIT ExDa'!$B$2:$J$173, 8,FALSE), IFERROR(VLOOKUP($A898,'Telstra ExDa'!$B$2:$K$310, 0,FALSE), IFERROR(VLOOKUP($A898,'Vocus RVC ExDa'!$C$2:$R$155, 0,FALSE), IFERROR(VLOOKUP($A898,'Fusion ExDa'!$B$2:$D$16, 0,FALSE), IFERROR(VLOOKUP($A898,'Exetel ExDa'!$C$2:$N$14, 9,FALSE), IFERROR(VLOOKUP($A898,'Infinet ExDa'!$B$2:$E$14, 0,FALSE), "Not Found"))))))))</f>
        <v>Not Found</v>
      </c>
      <c r="M898" s="234" t="str">
        <f>IFERROR(VLOOKUP($A898,'AAPT ExDa'!$B$2:$U$99, 0,FALSE), IFERROR(VLOOKUP($A898,'ABB ExDa'!$A$2:$N$184, 0,FALSE), IFERROR(VLOOKUP($A898,'Vocus SIT ExDa'!$B$2:$J$173, 0,FALSE), IFERROR(VLOOKUP($A898,'Telstra ExDa'!$B$2:$K$310, 0,FALSE), IFERROR(VLOOKUP($A898,'Vocus RVC ExDa'!$C$2:$R$155, 0,FALSE), IFERROR(VLOOKUP($A898,'Fusion ExDa'!$B$2:$D$16, 0,FALSE), IFERROR(VLOOKUP($A898,'Exetel ExDa'!$C$2:$N$14, 11,FALSE), IFERROR(VLOOKUP($A898,'Infinet ExDa'!$B$2:$E$14, 0,FALSE), "Not Found"))))))))</f>
        <v>Not Found</v>
      </c>
      <c r="N898" t="str">
        <f>IFERROR(VLOOKUP($A898,'AAPT ExDa'!$B$2:$U$99, 0,FALSE), IFERROR(VLOOKUP($A898,'ABB ExDa'!$A$2:$N$184, 13,FALSE), IFERROR(VLOOKUP($A898,'Vocus SIT ExDa'!$B$2:$J$173, 0,FALSE), IFERROR(VLOOKUP($A898,'Telstra ExDa'!$B$2:$K$310, 0,FALSE), IFERROR(VLOOKUP($A898,'Vocus RVC ExDa'!$C$2:$R$155, 0,FALSE), IFERROR(VLOOKUP($A898,'Fusion ExDa'!$B$2:$D$16, 0,FALSE), IFERROR(VLOOKUP($A898,'Exetel ExDa'!$C$2:$N$14, 0,FALSE), IFERROR(VLOOKUP($A898,'Infinet ExDa'!$B$2:$E$14, 0,FALSE), "Not Found"))))))))</f>
        <v>Not Found</v>
      </c>
    </row>
    <row r="899" spans="1:14">
      <c r="A899" t="str">
        <v>The Yiros Shop Newmarket</v>
      </c>
      <c r="B899" t="str">
        <f>IFERROR(VLOOKUP(A899,'Exetel ExDa'!$C$2:$N$14,4,FALSE),"No Data")</f>
        <v>No Data</v>
      </c>
      <c r="C899" t="str">
        <f>IFERROR(VLOOKUP(A899,'AAPT ExDa'!$B$2:$U$99, 2,FALSE), IFERROR(VLOOKUP(A899,'ABB ExDa'!$A$2:$N$184, 2,FALSE), IFERROR(VLOOKUP(A899,'Vocus SIT ExDa'!$B$2:$J$173, 7,FALSE), IFERROR(VLOOKUP(A899,'Telstra ExDa'!$B$2:$K$310, 2,FALSE), IFERROR(VLOOKUP(A899,'Vocus RVC ExDa'!$C$2:$R$155, 3,FALSE), IFERROR(VLOOKUP(A899,'Fusion ExDa'!$B$2:$D$16, 2,FALSE), IFERROR(VLOOKUP(A899,'Exetel ExDa'!$C$2:$N$14, 2,FALSE), IFERROR(VLOOKUP(A899,'Infinet ExDa'!$B$2:$E$14, 2,FALSE), "Not Found"))))))))</f>
        <v>SHOP 131, 400 NEWMARKET RD, NEWMARKET QLD</v>
      </c>
      <c r="D899">
        <f>IFERROR(VLOOKUP($A899,'AAPT ExDa'!$B$2:$U$99, 15,FALSE), IFERROR(VLOOKUP($A899,'ABB ExDa'!$A$2:$N$184, 4,FALSE), IFERROR(VLOOKUP($A899,'Vocus SIT ExDa'!$B$2:$J$173, 5,FALSE), IFERROR(VLOOKUP($A899,'Telstra ExDa'!$B$2:$K$310, 8,FALSE), IFERROR(VLOOKUP($A899,'Vocus RVC ExDa'!$C$2:$R$155, 6,FALSE), IFERROR(VLOOKUP($A899,'Fusion ExDa'!$B$2:$D$16, 4,FALSE), IFERROR(VLOOKUP($A899,'Exetel ExDa'!$C$2:$N$14, 3,FALSE), IFERROR(VLOOKUP($A899,'Infinet ExDa'!$B$2:$E$14, 3,FALSE), "Not Found"))))))))</f>
        <v>0</v>
      </c>
      <c r="E899" t="str">
        <f>IFERROR(VLOOKUP($A899,'AAPT ExDa'!$B$2:$U$99, 3,FALSE), IFERROR(VLOOKUP($A899,'ABB ExDa'!$A$2:$N$184, 5,FALSE), IFERROR(VLOOKUP($A899,'Vocus SIT ExDa'!$B$2:$J$173, 2,FALSE), IFERROR(VLOOKUP($A899,'Telstra ExDa'!$B$2:$K$310, 4,FALSE), IFERROR(VLOOKUP($A899,'Vocus RVC ExDa'!$C$2:$R$155, 8,FALSE), IFERROR(VLOOKUP($A899,'Fusion ExDa'!$B$2:$D$16, 4,FALSE), IFERROR(VLOOKUP($A899,'Exetel ExDa'!$C$2:$N$14, 5,FALSE), IFERROR(VLOOKUP($A899,'Infinet ExDa'!$B$2:$E$14, 3,FALSE), "Not Found"))))))))</f>
        <v>NBN 50/20</v>
      </c>
      <c r="F899" t="str">
        <f>IFERROR(VLOOKUP($A899,'AAPT ExDa'!$B$2:$U$99, 4,FALSE), IFERROR(VLOOKUP($A899,'ABB ExDa'!$A$2:$N$184, 6,FALSE), IFERROR(VLOOKUP($A899,'Vocus SIT ExDa'!$B$2:$J$173, 3,FALSE), IFERROR(VLOOKUP($A899,'Telstra ExDa'!$B$2:$K$310, 5,FALSE), IFERROR(VLOOKUP($A899,'Vocus RVC ExDa'!$C$2:$R$155, 9,FALSE), IFERROR(VLOOKUP($A899,'Fusion ExDa'!$B$2:$D$16, 0,FALSE), IFERROR(VLOOKUP($A899,'Exetel ExDa'!$C$2:$N$14, 6,FALSE), IFERROR(VLOOKUP($A899,'Infinet ExDa'!$B$2:$E$14, 0,FALSE), "Not Found"))))))))</f>
        <v>FTTB</v>
      </c>
      <c r="G899" t="str">
        <f>IFERROR(VLOOKUP($A899,'AAPT ExDa'!$B$2:$U$99, 5,FALSE), IFERROR(VLOOKUP($A899,'ABB ExDa'!$A$2:$N$184, 8,FALSE), IFERROR(VLOOKUP($A899,'Vocus SIT ExDa'!$B$2:$J$173, 6,FALSE), IFERROR(VLOOKUP($A899,'Telstra ExDa'!$B$2:$K$310, 0,FALSE), IFERROR(VLOOKUP($A899,'Vocus RVC ExDa'!$C$2:$R$155, 15,FALSE), IFERROR(VLOOKUP($A899,'Fusion ExDa'!$B$2:$D$16, 0,FALSE), IFERROR(VLOOKUP($A899,'Exetel ExDa'!$C$2:$N$14, 7,FALSE), IFERROR(VLOOKUP($A899,'Infinet ExDa'!$B$2:$E$14, 0,FALSE), "Not Found"))))))))</f>
        <v>180.181.219.27</v>
      </c>
      <c r="H899">
        <f>IFERROR(VLOOKUP($A899,'AAPT ExDa'!$B$2:$U$99, 6,FALSE), IFERROR(VLOOKUP($A899,'ABB ExDa'!$A$2:$N$184, 0,FALSE), IFERROR(VLOOKUP($A899,'Vocus SIT ExDa'!$B$2:$J$173, 0,FALSE), IFERROR(VLOOKUP($A899,'Telstra ExDa'!$B$2:$K$310, 0,FALSE), IFERROR(VLOOKUP($A899,'Vocus RVC ExDa'!$C$2:$R$155, 16,FALSE), IFERROR(VLOOKUP($A899,'Fusion ExDa'!$B$2:$D$16, 0,FALSE), IFERROR(VLOOKUP($A899,'Exetel ExDa'!$C$2:$N$14, 0,FALSE), IFERROR(VLOOKUP($A899,'Infinet ExDa'!$B$2:$E$14, 0,FALSE), "Not Found"))))))))</f>
        <v>0</v>
      </c>
      <c r="I899" t="str">
        <f>IFERROR(VLOOKUP($A899,'AAPT ExDa'!$B$2:$U$99, 0,FALSE), IFERROR(VLOOKUP($A899,'ABB ExDa'!$A$2:$N$184, 0,FALSE), IFERROR(VLOOKUP($A899,'Vocus SIT ExDa'!$B$2:$J$173, 0,FALSE), IFERROR(VLOOKUP($A899,'Telstra ExDa'!$B$2:$K$310, 0,FALSE), IFERROR(VLOOKUP($A899,'Vocus RVC ExDa'!$C$2:$R$155, 0,FALSE), IFERROR(VLOOKUP($A899,'Fusion ExDa'!$B$2:$D$16, 0,FALSE), IFERROR(VLOOKUP($A899,'Exetel ExDa'!$C$2:$N$14, 8,FALSE), IFERROR(VLOOKUP($A899,'Infinet ExDa'!$B$2:$E$14, 0,FALSE), "Not Found"))))))))</f>
        <v>Not Found</v>
      </c>
      <c r="J899" t="str">
        <f>IFERROR(VLOOKUP($A899,'AAPT ExDa'!$B$2:$U$99, 7,FALSE), IFERROR(VLOOKUP($A899,'ABB ExDa'!$A$2:$N$184, 2,FALSE), IFERROR(VLOOKUP($A899,'Vocus SIT ExDa'!$B$2:$J$173, 0,FALSE), IFERROR(VLOOKUP($A899,'Telstra ExDa'!$B$2:$K$310, 7,FALSE), IFERROR(VLOOKUP($A899,'Vocus RVC ExDa'!$C$2:$R$155, 2,FALSE), IFERROR(VLOOKUP($A899,'Fusion ExDa'!$B$2:$D$16, 3,FALSE), IFERROR(VLOOKUP($A899,'Exetel ExDa'!$C$2:$N$14, 0,FALSE), IFERROR(VLOOKUP($A899,'Infinet ExDa'!$B$2:$E$14, 0,FALSE), "Not Found"))))))))</f>
        <v>SHOP 131, 400 NEWMARKET RD, NEWMARKET QLD</v>
      </c>
      <c r="K899" t="str">
        <f>IFERROR(VLOOKUP($A899,'AAPT ExDa'!$B$2:$U$99, 12,FALSE), IFERROR(VLOOKUP($A899,'ABB ExDa'!$A$2:$N$184, 0,FALSE), IFERROR(VLOOKUP($A899,'Vocus SIT ExDa'!$B$2:$J$173, 0,FALSE), IFERROR(VLOOKUP($A899,'Telstra ExDa'!$B$2:$K$310, 0,FALSE), IFERROR(VLOOKUP($A899,'Vocus RVC ExDa'!$C$2:$R$155, 0,FALSE), IFERROR(VLOOKUP($A899,'Fusion ExDa'!$B$2:$D$16, 0,FALSE), IFERROR(VLOOKUP($A899,'Exetel ExDa'!$C$2:$N$14, 12,FALSE), IFERROR(VLOOKUP($A899,'Infinet ExDa'!$B$2:$E$14, 0,FALSE), "Not Found"))))))))</f>
        <v>Not Found</v>
      </c>
      <c r="L899" s="235" t="str">
        <f>IFERROR(VLOOKUP($A899,'AAPT ExDa'!$B$2:$U$99, 11,FALSE), IFERROR(VLOOKUP($A899,'ABB ExDa'!$A$2:$N$184, 9,FALSE), IFERROR(VLOOKUP($A899,'Vocus SIT ExDa'!$B$2:$J$173, 8,FALSE), IFERROR(VLOOKUP($A899,'Telstra ExDa'!$B$2:$K$310, 0,FALSE), IFERROR(VLOOKUP($A899,'Vocus RVC ExDa'!$C$2:$R$155, 0,FALSE), IFERROR(VLOOKUP($A899,'Fusion ExDa'!$B$2:$D$16, 0,FALSE), IFERROR(VLOOKUP($A899,'Exetel ExDa'!$C$2:$N$14, 9,FALSE), IFERROR(VLOOKUP($A899,'Infinet ExDa'!$B$2:$E$14, 0,FALSE), "Not Found"))))))))</f>
        <v>9 Sept 2025</v>
      </c>
      <c r="M899" s="234" t="str">
        <f>IFERROR(VLOOKUP($A899,'AAPT ExDa'!$B$2:$U$99, 0,FALSE), IFERROR(VLOOKUP($A899,'ABB ExDa'!$A$2:$N$184, 0,FALSE), IFERROR(VLOOKUP($A899,'Vocus SIT ExDa'!$B$2:$J$173, 0,FALSE), IFERROR(VLOOKUP($A899,'Telstra ExDa'!$B$2:$K$310, 0,FALSE), IFERROR(VLOOKUP($A899,'Vocus RVC ExDa'!$C$2:$R$155, 0,FALSE), IFERROR(VLOOKUP($A899,'Fusion ExDa'!$B$2:$D$16, 0,FALSE), IFERROR(VLOOKUP($A899,'Exetel ExDa'!$C$2:$N$14, 11,FALSE), IFERROR(VLOOKUP($A899,'Infinet ExDa'!$B$2:$E$14, 0,FALSE), "Not Found"))))))))</f>
        <v>Not Found</v>
      </c>
      <c r="N899" t="str">
        <f>IFERROR(VLOOKUP($A899,'AAPT ExDa'!$B$2:$U$99, 0,FALSE), IFERROR(VLOOKUP($A899,'ABB ExDa'!$A$2:$N$184, 13,FALSE), IFERROR(VLOOKUP($A899,'Vocus SIT ExDa'!$B$2:$J$173, 0,FALSE), IFERROR(VLOOKUP($A899,'Telstra ExDa'!$B$2:$K$310, 0,FALSE), IFERROR(VLOOKUP($A899,'Vocus RVC ExDa'!$C$2:$R$155, 0,FALSE), IFERROR(VLOOKUP($A899,'Fusion ExDa'!$B$2:$D$16, 0,FALSE), IFERROR(VLOOKUP($A899,'Exetel ExDa'!$C$2:$N$14, 0,FALSE), IFERROR(VLOOKUP($A899,'Infinet ExDa'!$B$2:$E$14, 0,FALSE), "Not Found"))))))))</f>
        <v>Onebill</v>
      </c>
    </row>
    <row r="900" spans="1:14">
      <c r="A900" t="str">
        <v xml:space="preserve">	The Yiros Shop Southbank</v>
      </c>
      <c r="B900" t="str">
        <f>IFERROR(VLOOKUP(A900,'Exetel ExDa'!$C$2:$N$14,4,FALSE),"No Data")</f>
        <v>No Data</v>
      </c>
      <c r="C900" t="str">
        <f>IFERROR(VLOOKUP(A900,'AAPT ExDa'!$B$2:$U$99, 2,FALSE), IFERROR(VLOOKUP(A900,'ABB ExDa'!$A$2:$N$184, 2,FALSE), IFERROR(VLOOKUP(A900,'Vocus SIT ExDa'!$B$2:$J$173, 7,FALSE), IFERROR(VLOOKUP(A900,'Telstra ExDa'!$B$2:$K$310, 2,FALSE), IFERROR(VLOOKUP(A900,'Vocus RVC ExDa'!$C$2:$R$155, 3,FALSE), IFERROR(VLOOKUP(A900,'Fusion ExDa'!$B$2:$D$16, 2,FALSE), IFERROR(VLOOKUP(A900,'Exetel ExDa'!$C$2:$N$14, 2,FALSE), IFERROR(VLOOKUP(A900,'Infinet ExDa'!$B$2:$E$14, 2,FALSE), "Not Found"))))))))</f>
        <v xml:space="preserve">	00 189 Grey ST </v>
      </c>
      <c r="D900">
        <f>IFERROR(VLOOKUP($A900,'AAPT ExDa'!$B$2:$U$99, 15,FALSE), IFERROR(VLOOKUP($A900,'ABB ExDa'!$A$2:$N$184, 4,FALSE), IFERROR(VLOOKUP($A900,'Vocus SIT ExDa'!$B$2:$J$173, 5,FALSE), IFERROR(VLOOKUP($A900,'Telstra ExDa'!$B$2:$K$310, 8,FALSE), IFERROR(VLOOKUP($A900,'Vocus RVC ExDa'!$C$2:$R$155, 6,FALSE), IFERROR(VLOOKUP($A900,'Fusion ExDa'!$B$2:$D$16, 4,FALSE), IFERROR(VLOOKUP($A900,'Exetel ExDa'!$C$2:$N$14, 3,FALSE), IFERROR(VLOOKUP($A900,'Infinet ExDa'!$B$2:$E$14, 3,FALSE), "Not Found"))))))))</f>
        <v>4101</v>
      </c>
      <c r="E900" t="str">
        <f>IFERROR(VLOOKUP($A900,'AAPT ExDa'!$B$2:$U$99, 3,FALSE), IFERROR(VLOOKUP($A900,'ABB ExDa'!$A$2:$N$184, 5,FALSE), IFERROR(VLOOKUP($A900,'Vocus SIT ExDa'!$B$2:$J$173, 2,FALSE), IFERROR(VLOOKUP($A900,'Telstra ExDa'!$B$2:$K$310, 4,FALSE), IFERROR(VLOOKUP($A900,'Vocus RVC ExDa'!$C$2:$R$155, 8,FALSE), IFERROR(VLOOKUP($A900,'Fusion ExDa'!$B$2:$D$16, 4,FALSE), IFERROR(VLOOKUP($A900,'Exetel ExDa'!$C$2:$N$14, 5,FALSE), IFERROR(VLOOKUP($A900,'Infinet ExDa'!$B$2:$E$14, 3,FALSE), "Not Found"))))))))</f>
        <v>4G Backup service</v>
      </c>
      <c r="F900">
        <f>IFERROR(VLOOKUP($A900,'AAPT ExDa'!$B$2:$U$99, 4,FALSE), IFERROR(VLOOKUP($A900,'ABB ExDa'!$A$2:$N$184, 6,FALSE), IFERROR(VLOOKUP($A900,'Vocus SIT ExDa'!$B$2:$J$173, 3,FALSE), IFERROR(VLOOKUP($A900,'Telstra ExDa'!$B$2:$K$310, 5,FALSE), IFERROR(VLOOKUP($A900,'Vocus RVC ExDa'!$C$2:$R$155, 9,FALSE), IFERROR(VLOOKUP($A900,'Fusion ExDa'!$B$2:$D$16, 0,FALSE), IFERROR(VLOOKUP($A900,'Exetel ExDa'!$C$2:$N$14, 6,FALSE), IFERROR(VLOOKUP($A900,'Infinet ExDa'!$B$2:$E$14, 0,FALSE), "Not Found"))))))))</f>
        <v>45891</v>
      </c>
      <c r="G900">
        <f>IFERROR(VLOOKUP($A900,'AAPT ExDa'!$B$2:$U$99, 5,FALSE), IFERROR(VLOOKUP($A900,'ABB ExDa'!$A$2:$N$184, 8,FALSE), IFERROR(VLOOKUP($A900,'Vocus SIT ExDa'!$B$2:$J$173, 6,FALSE), IFERROR(VLOOKUP($A900,'Telstra ExDa'!$B$2:$K$310, 0,FALSE), IFERROR(VLOOKUP($A900,'Vocus RVC ExDa'!$C$2:$R$155, 15,FALSE), IFERROR(VLOOKUP($A900,'Fusion ExDa'!$B$2:$D$16, 0,FALSE), IFERROR(VLOOKUP($A900,'Exetel ExDa'!$C$2:$N$14, 7,FALSE), IFERROR(VLOOKUP($A900,'Infinet ExDa'!$B$2:$E$14, 0,FALSE), "Not Found"))))))))</f>
        <v>0</v>
      </c>
      <c r="H900">
        <f>IFERROR(VLOOKUP($A900,'AAPT ExDa'!$B$2:$U$99, 6,FALSE), IFERROR(VLOOKUP($A900,'ABB ExDa'!$A$2:$N$184, 0,FALSE), IFERROR(VLOOKUP($A900,'Vocus SIT ExDa'!$B$2:$J$173, 0,FALSE), IFERROR(VLOOKUP($A900,'Telstra ExDa'!$B$2:$K$310, 0,FALSE), IFERROR(VLOOKUP($A900,'Vocus RVC ExDa'!$C$2:$R$155, 16,FALSE), IFERROR(VLOOKUP($A900,'Fusion ExDa'!$B$2:$D$16, 0,FALSE), IFERROR(VLOOKUP($A900,'Exetel ExDa'!$C$2:$N$14, 0,FALSE), IFERROR(VLOOKUP($A900,'Infinet ExDa'!$B$2:$E$14, 0,FALSE), "Not Found"))))))))</f>
        <v>0</v>
      </c>
      <c r="I900" t="str">
        <f>IFERROR(VLOOKUP($A900,'AAPT ExDa'!$B$2:$U$99, 0,FALSE), IFERROR(VLOOKUP($A900,'ABB ExDa'!$A$2:$N$184, 0,FALSE), IFERROR(VLOOKUP($A900,'Vocus SIT ExDa'!$B$2:$J$173, 0,FALSE), IFERROR(VLOOKUP($A900,'Telstra ExDa'!$B$2:$K$310, 0,FALSE), IFERROR(VLOOKUP($A900,'Vocus RVC ExDa'!$C$2:$R$155, 0,FALSE), IFERROR(VLOOKUP($A900,'Fusion ExDa'!$B$2:$D$16, 0,FALSE), IFERROR(VLOOKUP($A900,'Exetel ExDa'!$C$2:$N$14, 8,FALSE), IFERROR(VLOOKUP($A900,'Infinet ExDa'!$B$2:$E$14, 0,FALSE), "Not Found"))))))))</f>
        <v>Not Found</v>
      </c>
      <c r="J900">
        <f>IFERROR(VLOOKUP($A900,'AAPT ExDa'!$B$2:$U$99, 7,FALSE), IFERROR(VLOOKUP($A900,'ABB ExDa'!$A$2:$N$184, 2,FALSE), IFERROR(VLOOKUP($A900,'Vocus SIT ExDa'!$B$2:$J$173, 0,FALSE), IFERROR(VLOOKUP($A900,'Telstra ExDa'!$B$2:$K$310, 7,FALSE), IFERROR(VLOOKUP($A900,'Vocus RVC ExDa'!$C$2:$R$155, 2,FALSE), IFERROR(VLOOKUP($A900,'Fusion ExDa'!$B$2:$D$16, 3,FALSE), IFERROR(VLOOKUP($A900,'Exetel ExDa'!$C$2:$N$14, 0,FALSE), IFERROR(VLOOKUP($A900,'Infinet ExDa'!$B$2:$E$14, 0,FALSE), "Not Found"))))))))</f>
        <v>0</v>
      </c>
      <c r="K900" t="str">
        <f>IFERROR(VLOOKUP($A900,'AAPT ExDa'!$B$2:$U$99, 12,FALSE), IFERROR(VLOOKUP($A900,'ABB ExDa'!$A$2:$N$184, 0,FALSE), IFERROR(VLOOKUP($A900,'Vocus SIT ExDa'!$B$2:$J$173, 0,FALSE), IFERROR(VLOOKUP($A900,'Telstra ExDa'!$B$2:$K$310, 0,FALSE), IFERROR(VLOOKUP($A900,'Vocus RVC ExDa'!$C$2:$R$155, 0,FALSE), IFERROR(VLOOKUP($A900,'Fusion ExDa'!$B$2:$D$16, 0,FALSE), IFERROR(VLOOKUP($A900,'Exetel ExDa'!$C$2:$N$14, 12,FALSE), IFERROR(VLOOKUP($A900,'Infinet ExDa'!$B$2:$E$14, 0,FALSE), "Not Found"))))))))</f>
        <v>Not Found</v>
      </c>
      <c r="L900" s="235" t="str">
        <f>IFERROR(VLOOKUP($A900,'AAPT ExDa'!$B$2:$U$99, 11,FALSE), IFERROR(VLOOKUP($A900,'ABB ExDa'!$A$2:$N$184, 9,FALSE), IFERROR(VLOOKUP($A900,'Vocus SIT ExDa'!$B$2:$J$173, 8,FALSE), IFERROR(VLOOKUP($A900,'Telstra ExDa'!$B$2:$K$310, 0,FALSE), IFERROR(VLOOKUP($A900,'Vocus RVC ExDa'!$C$2:$R$155, 0,FALSE), IFERROR(VLOOKUP($A900,'Fusion ExDa'!$B$2:$D$16, 0,FALSE), IFERROR(VLOOKUP($A900,'Exetel ExDa'!$C$2:$N$14, 9,FALSE), IFERROR(VLOOKUP($A900,'Infinet ExDa'!$B$2:$E$14, 0,FALSE), "Not Found"))))))))</f>
        <v>Not Found</v>
      </c>
      <c r="M900" s="234" t="str">
        <f>IFERROR(VLOOKUP($A900,'AAPT ExDa'!$B$2:$U$99, 0,FALSE), IFERROR(VLOOKUP($A900,'ABB ExDa'!$A$2:$N$184, 0,FALSE), IFERROR(VLOOKUP($A900,'Vocus SIT ExDa'!$B$2:$J$173, 0,FALSE), IFERROR(VLOOKUP($A900,'Telstra ExDa'!$B$2:$K$310, 0,FALSE), IFERROR(VLOOKUP($A900,'Vocus RVC ExDa'!$C$2:$R$155, 0,FALSE), IFERROR(VLOOKUP($A900,'Fusion ExDa'!$B$2:$D$16, 0,FALSE), IFERROR(VLOOKUP($A900,'Exetel ExDa'!$C$2:$N$14, 11,FALSE), IFERROR(VLOOKUP($A900,'Infinet ExDa'!$B$2:$E$14, 0,FALSE), "Not Found"))))))))</f>
        <v>Not Found</v>
      </c>
      <c r="N900" t="str">
        <f>IFERROR(VLOOKUP($A900,'AAPT ExDa'!$B$2:$U$99, 0,FALSE), IFERROR(VLOOKUP($A900,'ABB ExDa'!$A$2:$N$184, 13,FALSE), IFERROR(VLOOKUP($A900,'Vocus SIT ExDa'!$B$2:$J$173, 0,FALSE), IFERROR(VLOOKUP($A900,'Telstra ExDa'!$B$2:$K$310, 0,FALSE), IFERROR(VLOOKUP($A900,'Vocus RVC ExDa'!$C$2:$R$155, 0,FALSE), IFERROR(VLOOKUP($A900,'Fusion ExDa'!$B$2:$D$16, 0,FALSE), IFERROR(VLOOKUP($A900,'Exetel ExDa'!$C$2:$N$14, 0,FALSE), IFERROR(VLOOKUP($A900,'Infinet ExDa'!$B$2:$E$14, 0,FALSE), "Not Found"))))))))</f>
        <v>Not Found</v>
      </c>
    </row>
    <row r="901" spans="1:14">
      <c r="A901" t="str">
        <v>Zambrero Coomera Square</v>
      </c>
      <c r="B901" t="str">
        <f>IFERROR(VLOOKUP(A901,'Exetel ExDa'!$C$2:$N$14,4,FALSE),"No Data")</f>
        <v>No Data</v>
      </c>
      <c r="C901" t="str">
        <f>IFERROR(VLOOKUP(A901,'AAPT ExDa'!$B$2:$U$99, 2,FALSE), IFERROR(VLOOKUP(A901,'ABB ExDa'!$A$2:$N$184, 2,FALSE), IFERROR(VLOOKUP(A901,'Vocus SIT ExDa'!$B$2:$J$173, 7,FALSE), IFERROR(VLOOKUP(A901,'Telstra ExDa'!$B$2:$K$310, 2,FALSE), IFERROR(VLOOKUP(A901,'Vocus RVC ExDa'!$C$2:$R$155, 3,FALSE), IFERROR(VLOOKUP(A901,'Fusion ExDa'!$B$2:$D$16, 2,FALSE), IFERROR(VLOOKUP(A901,'Exetel ExDa'!$C$2:$N$14, 2,FALSE), IFERROR(VLOOKUP(A901,'Infinet ExDa'!$B$2:$E$14, 2,FALSE), "Not Found"))))))))</f>
        <v>SHOP 1C, 2 CITY CENTRE DR, UPPER COOMERA QLD</v>
      </c>
      <c r="D901" t="str">
        <f>IFERROR(VLOOKUP($A901,'AAPT ExDa'!$B$2:$U$99, 15,FALSE), IFERROR(VLOOKUP($A901,'ABB ExDa'!$A$2:$N$184, 4,FALSE), IFERROR(VLOOKUP($A901,'Vocus SIT ExDa'!$B$2:$J$173, 5,FALSE), IFERROR(VLOOKUP($A901,'Telstra ExDa'!$B$2:$K$310, 8,FALSE), IFERROR(VLOOKUP($A901,'Vocus RVC ExDa'!$C$2:$R$155, 6,FALSE), IFERROR(VLOOKUP($A901,'Fusion ExDa'!$B$2:$D$16, 4,FALSE), IFERROR(VLOOKUP($A901,'Exetel ExDa'!$C$2:$N$14, 3,FALSE), IFERROR(VLOOKUP($A901,'Infinet ExDa'!$B$2:$E$14, 3,FALSE), "Not Found"))))))))</f>
        <v>ABB</v>
      </c>
      <c r="E901" t="str">
        <f>IFERROR(VLOOKUP($A901,'AAPT ExDa'!$B$2:$U$99, 3,FALSE), IFERROR(VLOOKUP($A901,'ABB ExDa'!$A$2:$N$184, 5,FALSE), IFERROR(VLOOKUP($A901,'Vocus SIT ExDa'!$B$2:$J$173, 2,FALSE), IFERROR(VLOOKUP($A901,'Telstra ExDa'!$B$2:$K$310, 4,FALSE), IFERROR(VLOOKUP($A901,'Vocus RVC ExDa'!$C$2:$R$155, 8,FALSE), IFERROR(VLOOKUP($A901,'Fusion ExDa'!$B$2:$D$16, 4,FALSE), IFERROR(VLOOKUP($A901,'Exetel ExDa'!$C$2:$N$14, 5,FALSE), IFERROR(VLOOKUP($A901,'Infinet ExDa'!$B$2:$E$14, 3,FALSE), "Not Found"))))))))</f>
        <v>NBN 50/20</v>
      </c>
      <c r="F901" t="str">
        <f>IFERROR(VLOOKUP($A901,'AAPT ExDa'!$B$2:$U$99, 4,FALSE), IFERROR(VLOOKUP($A901,'ABB ExDa'!$A$2:$N$184, 6,FALSE), IFERROR(VLOOKUP($A901,'Vocus SIT ExDa'!$B$2:$J$173, 3,FALSE), IFERROR(VLOOKUP($A901,'Telstra ExDa'!$B$2:$K$310, 5,FALSE), IFERROR(VLOOKUP($A901,'Vocus RVC ExDa'!$C$2:$R$155, 9,FALSE), IFERROR(VLOOKUP($A901,'Fusion ExDa'!$B$2:$D$16, 0,FALSE), IFERROR(VLOOKUP($A901,'Exetel ExDa'!$C$2:$N$14, 6,FALSE), IFERROR(VLOOKUP($A901,'Infinet ExDa'!$B$2:$E$14, 0,FALSE), "Not Found"))))))))</f>
        <v xml:space="preserve">FTTN </v>
      </c>
      <c r="G901" t="str">
        <f>IFERROR(VLOOKUP($A901,'AAPT ExDa'!$B$2:$U$99, 5,FALSE), IFERROR(VLOOKUP($A901,'ABB ExDa'!$A$2:$N$184, 8,FALSE), IFERROR(VLOOKUP($A901,'Vocus SIT ExDa'!$B$2:$J$173, 6,FALSE), IFERROR(VLOOKUP($A901,'Telstra ExDa'!$B$2:$K$310, 0,FALSE), IFERROR(VLOOKUP($A901,'Vocus RVC ExDa'!$C$2:$R$155, 15,FALSE), IFERROR(VLOOKUP($A901,'Fusion ExDa'!$B$2:$D$16, 0,FALSE), IFERROR(VLOOKUP($A901,'Exetel ExDa'!$C$2:$N$14, 7,FALSE), IFERROR(VLOOKUP($A901,'Infinet ExDa'!$B$2:$E$14, 0,FALSE), "Not Found"))))))))</f>
        <v>144.6.123.138</v>
      </c>
      <c r="H901">
        <f>IFERROR(VLOOKUP($A901,'AAPT ExDa'!$B$2:$U$99, 6,FALSE), IFERROR(VLOOKUP($A901,'ABB ExDa'!$A$2:$N$184, 0,FALSE), IFERROR(VLOOKUP($A901,'Vocus SIT ExDa'!$B$2:$J$173, 0,FALSE), IFERROR(VLOOKUP($A901,'Telstra ExDa'!$B$2:$K$310, 0,FALSE), IFERROR(VLOOKUP($A901,'Vocus RVC ExDa'!$C$2:$R$155, 16,FALSE), IFERROR(VLOOKUP($A901,'Fusion ExDa'!$B$2:$D$16, 0,FALSE), IFERROR(VLOOKUP($A901,'Exetel ExDa'!$C$2:$N$14, 0,FALSE), IFERROR(VLOOKUP($A901,'Infinet ExDa'!$B$2:$E$14, 0,FALSE), "Not Found"))))))))</f>
        <v>0</v>
      </c>
      <c r="I901" t="str">
        <f>IFERROR(VLOOKUP($A901,'AAPT ExDa'!$B$2:$U$99, 0,FALSE), IFERROR(VLOOKUP($A901,'ABB ExDa'!$A$2:$N$184, 0,FALSE), IFERROR(VLOOKUP($A901,'Vocus SIT ExDa'!$B$2:$J$173, 0,FALSE), IFERROR(VLOOKUP($A901,'Telstra ExDa'!$B$2:$K$310, 0,FALSE), IFERROR(VLOOKUP($A901,'Vocus RVC ExDa'!$C$2:$R$155, 0,FALSE), IFERROR(VLOOKUP($A901,'Fusion ExDa'!$B$2:$D$16, 0,FALSE), IFERROR(VLOOKUP($A901,'Exetel ExDa'!$C$2:$N$14, 8,FALSE), IFERROR(VLOOKUP($A901,'Infinet ExDa'!$B$2:$E$14, 0,FALSE), "Not Found"))))))))</f>
        <v>Not Found</v>
      </c>
      <c r="J901" t="str">
        <f>IFERROR(VLOOKUP($A901,'AAPT ExDa'!$B$2:$U$99, 7,FALSE), IFERROR(VLOOKUP($A901,'ABB ExDa'!$A$2:$N$184, 2,FALSE), IFERROR(VLOOKUP($A901,'Vocus SIT ExDa'!$B$2:$J$173, 0,FALSE), IFERROR(VLOOKUP($A901,'Telstra ExDa'!$B$2:$K$310, 7,FALSE), IFERROR(VLOOKUP($A901,'Vocus RVC ExDa'!$C$2:$R$155, 2,FALSE), IFERROR(VLOOKUP($A901,'Fusion ExDa'!$B$2:$D$16, 3,FALSE), IFERROR(VLOOKUP($A901,'Exetel ExDa'!$C$2:$N$14, 0,FALSE), IFERROR(VLOOKUP($A901,'Infinet ExDa'!$B$2:$E$14, 0,FALSE), "Not Found"))))))))</f>
        <v>SHOP 1C, 2 CITY CENTRE DR, UPPER COOMERA QLD</v>
      </c>
      <c r="K901" t="str">
        <f>IFERROR(VLOOKUP($A901,'AAPT ExDa'!$B$2:$U$99, 12,FALSE), IFERROR(VLOOKUP($A901,'ABB ExDa'!$A$2:$N$184, 0,FALSE), IFERROR(VLOOKUP($A901,'Vocus SIT ExDa'!$B$2:$J$173, 0,FALSE), IFERROR(VLOOKUP($A901,'Telstra ExDa'!$B$2:$K$310, 0,FALSE), IFERROR(VLOOKUP($A901,'Vocus RVC ExDa'!$C$2:$R$155, 0,FALSE), IFERROR(VLOOKUP($A901,'Fusion ExDa'!$B$2:$D$16, 0,FALSE), IFERROR(VLOOKUP($A901,'Exetel ExDa'!$C$2:$N$14, 12,FALSE), IFERROR(VLOOKUP($A901,'Infinet ExDa'!$B$2:$E$14, 0,FALSE), "Not Found"))))))))</f>
        <v>Not Found</v>
      </c>
      <c r="L901" s="235" t="str">
        <f>IFERROR(VLOOKUP($A901,'AAPT ExDa'!$B$2:$U$99, 11,FALSE), IFERROR(VLOOKUP($A901,'ABB ExDa'!$A$2:$N$184, 9,FALSE), IFERROR(VLOOKUP($A901,'Vocus SIT ExDa'!$B$2:$J$173, 8,FALSE), IFERROR(VLOOKUP($A901,'Telstra ExDa'!$B$2:$K$310, 0,FALSE), IFERROR(VLOOKUP($A901,'Vocus RVC ExDa'!$C$2:$R$155, 0,FALSE), IFERROR(VLOOKUP($A901,'Fusion ExDa'!$B$2:$D$16, 0,FALSE), IFERROR(VLOOKUP($A901,'Exetel ExDa'!$C$2:$N$14, 9,FALSE), IFERROR(VLOOKUP($A901,'Infinet ExDa'!$B$2:$E$14, 0,FALSE), "Not Found"))))))))</f>
        <v>05 June 2024</v>
      </c>
      <c r="M901" s="234" t="str">
        <f>IFERROR(VLOOKUP($A901,'AAPT ExDa'!$B$2:$U$99, 0,FALSE), IFERROR(VLOOKUP($A901,'ABB ExDa'!$A$2:$N$184, 0,FALSE), IFERROR(VLOOKUP($A901,'Vocus SIT ExDa'!$B$2:$J$173, 0,FALSE), IFERROR(VLOOKUP($A901,'Telstra ExDa'!$B$2:$K$310, 0,FALSE), IFERROR(VLOOKUP($A901,'Vocus RVC ExDa'!$C$2:$R$155, 0,FALSE), IFERROR(VLOOKUP($A901,'Fusion ExDa'!$B$2:$D$16, 0,FALSE), IFERROR(VLOOKUP($A901,'Exetel ExDa'!$C$2:$N$14, 11,FALSE), IFERROR(VLOOKUP($A901,'Infinet ExDa'!$B$2:$E$14, 0,FALSE), "Not Found"))))))))</f>
        <v>Not Found</v>
      </c>
      <c r="N901" t="str">
        <f>IFERROR(VLOOKUP($A901,'AAPT ExDa'!$B$2:$U$99, 0,FALSE), IFERROR(VLOOKUP($A901,'ABB ExDa'!$A$2:$N$184, 13,FALSE), IFERROR(VLOOKUP($A901,'Vocus SIT ExDa'!$B$2:$J$173, 0,FALSE), IFERROR(VLOOKUP($A901,'Telstra ExDa'!$B$2:$K$310, 0,FALSE), IFERROR(VLOOKUP($A901,'Vocus RVC ExDa'!$C$2:$R$155, 0,FALSE), IFERROR(VLOOKUP($A901,'Fusion ExDa'!$B$2:$D$16, 0,FALSE), IFERROR(VLOOKUP($A901,'Exetel ExDa'!$C$2:$N$14, 0,FALSE), IFERROR(VLOOKUP($A901,'Infinet ExDa'!$B$2:$E$14, 0,FALSE), "Not Found"))))))))</f>
        <v>Onebill</v>
      </c>
    </row>
    <row r="902" spans="1:14">
      <c r="A902" t="str">
        <v xml:space="preserve">	Zambrero Kings Cross</v>
      </c>
      <c r="B902" t="str">
        <f>IFERROR(VLOOKUP(A902,'Exetel ExDa'!$C$2:$N$14,4,FALSE),"No Data")</f>
        <v>No Data</v>
      </c>
      <c r="C902" t="str">
        <f>IFERROR(VLOOKUP(A902,'AAPT ExDa'!$B$2:$U$99, 2,FALSE), IFERROR(VLOOKUP(A902,'ABB ExDa'!$A$2:$N$184, 2,FALSE), IFERROR(VLOOKUP(A902,'Vocus SIT ExDa'!$B$2:$J$173, 7,FALSE), IFERROR(VLOOKUP(A902,'Telstra ExDa'!$B$2:$K$310, 2,FALSE), IFERROR(VLOOKUP(A902,'Vocus RVC ExDa'!$C$2:$R$155, 3,FALSE), IFERROR(VLOOKUP(A902,'Fusion ExDa'!$B$2:$D$16, 2,FALSE), IFERROR(VLOOKUP(A902,'Exetel ExDa'!$C$2:$N$14, 2,FALSE), IFERROR(VLOOKUP(A902,'Infinet ExDa'!$B$2:$E$14, 2,FALSE), "Not Found"))))))))</f>
        <v xml:space="preserve">	4 111 Darlinghurst RD </v>
      </c>
      <c r="D902">
        <f>IFERROR(VLOOKUP($A902,'AAPT ExDa'!$B$2:$U$99, 15,FALSE), IFERROR(VLOOKUP($A902,'ABB ExDa'!$A$2:$N$184, 4,FALSE), IFERROR(VLOOKUP($A902,'Vocus SIT ExDa'!$B$2:$J$173, 5,FALSE), IFERROR(VLOOKUP($A902,'Telstra ExDa'!$B$2:$K$310, 8,FALSE), IFERROR(VLOOKUP($A902,'Vocus RVC ExDa'!$C$2:$R$155, 6,FALSE), IFERROR(VLOOKUP($A902,'Fusion ExDa'!$B$2:$D$16, 4,FALSE), IFERROR(VLOOKUP($A902,'Exetel ExDa'!$C$2:$N$14, 3,FALSE), IFERROR(VLOOKUP($A902,'Infinet ExDa'!$B$2:$E$14, 3,FALSE), "Not Found"))))))))</f>
        <v>2011</v>
      </c>
      <c r="E902" t="str">
        <f>IFERROR(VLOOKUP($A902,'AAPT ExDa'!$B$2:$U$99, 3,FALSE), IFERROR(VLOOKUP($A902,'ABB ExDa'!$A$2:$N$184, 5,FALSE), IFERROR(VLOOKUP($A902,'Vocus SIT ExDa'!$B$2:$J$173, 2,FALSE), IFERROR(VLOOKUP($A902,'Telstra ExDa'!$B$2:$K$310, 4,FALSE), IFERROR(VLOOKUP($A902,'Vocus RVC ExDa'!$C$2:$R$155, 8,FALSE), IFERROR(VLOOKUP($A902,'Fusion ExDa'!$B$2:$D$16, 4,FALSE), IFERROR(VLOOKUP($A902,'Exetel ExDa'!$C$2:$N$14, 5,FALSE), IFERROR(VLOOKUP($A902,'Infinet ExDa'!$B$2:$E$14, 3,FALSE), "Not Found"))))))))</f>
        <v>4G Backup service</v>
      </c>
      <c r="F902">
        <f>IFERROR(VLOOKUP($A902,'AAPT ExDa'!$B$2:$U$99, 4,FALSE), IFERROR(VLOOKUP($A902,'ABB ExDa'!$A$2:$N$184, 6,FALSE), IFERROR(VLOOKUP($A902,'Vocus SIT ExDa'!$B$2:$J$173, 3,FALSE), IFERROR(VLOOKUP($A902,'Telstra ExDa'!$B$2:$K$310, 5,FALSE), IFERROR(VLOOKUP($A902,'Vocus RVC ExDa'!$C$2:$R$155, 9,FALSE), IFERROR(VLOOKUP($A902,'Fusion ExDa'!$B$2:$D$16, 0,FALSE), IFERROR(VLOOKUP($A902,'Exetel ExDa'!$C$2:$N$14, 6,FALSE), IFERROR(VLOOKUP($A902,'Infinet ExDa'!$B$2:$E$14, 0,FALSE), "Not Found"))))))))</f>
        <v>45896</v>
      </c>
      <c r="G902">
        <f>IFERROR(VLOOKUP($A902,'AAPT ExDa'!$B$2:$U$99, 5,FALSE), IFERROR(VLOOKUP($A902,'ABB ExDa'!$A$2:$N$184, 8,FALSE), IFERROR(VLOOKUP($A902,'Vocus SIT ExDa'!$B$2:$J$173, 6,FALSE), IFERROR(VLOOKUP($A902,'Telstra ExDa'!$B$2:$K$310, 0,FALSE), IFERROR(VLOOKUP($A902,'Vocus RVC ExDa'!$C$2:$R$155, 15,FALSE), IFERROR(VLOOKUP($A902,'Fusion ExDa'!$B$2:$D$16, 0,FALSE), IFERROR(VLOOKUP($A902,'Exetel ExDa'!$C$2:$N$14, 7,FALSE), IFERROR(VLOOKUP($A902,'Infinet ExDa'!$B$2:$E$14, 0,FALSE), "Not Found"))))))))</f>
        <v>0</v>
      </c>
      <c r="H902">
        <f>IFERROR(VLOOKUP($A902,'AAPT ExDa'!$B$2:$U$99, 6,FALSE), IFERROR(VLOOKUP($A902,'ABB ExDa'!$A$2:$N$184, 0,FALSE), IFERROR(VLOOKUP($A902,'Vocus SIT ExDa'!$B$2:$J$173, 0,FALSE), IFERROR(VLOOKUP($A902,'Telstra ExDa'!$B$2:$K$310, 0,FALSE), IFERROR(VLOOKUP($A902,'Vocus RVC ExDa'!$C$2:$R$155, 16,FALSE), IFERROR(VLOOKUP($A902,'Fusion ExDa'!$B$2:$D$16, 0,FALSE), IFERROR(VLOOKUP($A902,'Exetel ExDa'!$C$2:$N$14, 0,FALSE), IFERROR(VLOOKUP($A902,'Infinet ExDa'!$B$2:$E$14, 0,FALSE), "Not Found"))))))))</f>
        <v>0</v>
      </c>
      <c r="I902" t="str">
        <f>IFERROR(VLOOKUP($A902,'AAPT ExDa'!$B$2:$U$99, 0,FALSE), IFERROR(VLOOKUP($A902,'ABB ExDa'!$A$2:$N$184, 0,FALSE), IFERROR(VLOOKUP($A902,'Vocus SIT ExDa'!$B$2:$J$173, 0,FALSE), IFERROR(VLOOKUP($A902,'Telstra ExDa'!$B$2:$K$310, 0,FALSE), IFERROR(VLOOKUP($A902,'Vocus RVC ExDa'!$C$2:$R$155, 0,FALSE), IFERROR(VLOOKUP($A902,'Fusion ExDa'!$B$2:$D$16, 0,FALSE), IFERROR(VLOOKUP($A902,'Exetel ExDa'!$C$2:$N$14, 8,FALSE), IFERROR(VLOOKUP($A902,'Infinet ExDa'!$B$2:$E$14, 0,FALSE), "Not Found"))))))))</f>
        <v>Not Found</v>
      </c>
      <c r="J902">
        <f>IFERROR(VLOOKUP($A902,'AAPT ExDa'!$B$2:$U$99, 7,FALSE), IFERROR(VLOOKUP($A902,'ABB ExDa'!$A$2:$N$184, 2,FALSE), IFERROR(VLOOKUP($A902,'Vocus SIT ExDa'!$B$2:$J$173, 0,FALSE), IFERROR(VLOOKUP($A902,'Telstra ExDa'!$B$2:$K$310, 7,FALSE), IFERROR(VLOOKUP($A902,'Vocus RVC ExDa'!$C$2:$R$155, 2,FALSE), IFERROR(VLOOKUP($A902,'Fusion ExDa'!$B$2:$D$16, 3,FALSE), IFERROR(VLOOKUP($A902,'Exetel ExDa'!$C$2:$N$14, 0,FALSE), IFERROR(VLOOKUP($A902,'Infinet ExDa'!$B$2:$E$14, 0,FALSE), "Not Found"))))))))</f>
        <v>0</v>
      </c>
      <c r="K902" t="str">
        <f>IFERROR(VLOOKUP($A902,'AAPT ExDa'!$B$2:$U$99, 12,FALSE), IFERROR(VLOOKUP($A902,'ABB ExDa'!$A$2:$N$184, 0,FALSE), IFERROR(VLOOKUP($A902,'Vocus SIT ExDa'!$B$2:$J$173, 0,FALSE), IFERROR(VLOOKUP($A902,'Telstra ExDa'!$B$2:$K$310, 0,FALSE), IFERROR(VLOOKUP($A902,'Vocus RVC ExDa'!$C$2:$R$155, 0,FALSE), IFERROR(VLOOKUP($A902,'Fusion ExDa'!$B$2:$D$16, 0,FALSE), IFERROR(VLOOKUP($A902,'Exetel ExDa'!$C$2:$N$14, 12,FALSE), IFERROR(VLOOKUP($A902,'Infinet ExDa'!$B$2:$E$14, 0,FALSE), "Not Found"))))))))</f>
        <v>Not Found</v>
      </c>
      <c r="L902" s="235" t="str">
        <f>IFERROR(VLOOKUP($A902,'AAPT ExDa'!$B$2:$U$99, 11,FALSE), IFERROR(VLOOKUP($A902,'ABB ExDa'!$A$2:$N$184, 9,FALSE), IFERROR(VLOOKUP($A902,'Vocus SIT ExDa'!$B$2:$J$173, 8,FALSE), IFERROR(VLOOKUP($A902,'Telstra ExDa'!$B$2:$K$310, 0,FALSE), IFERROR(VLOOKUP($A902,'Vocus RVC ExDa'!$C$2:$R$155, 0,FALSE), IFERROR(VLOOKUP($A902,'Fusion ExDa'!$B$2:$D$16, 0,FALSE), IFERROR(VLOOKUP($A902,'Exetel ExDa'!$C$2:$N$14, 9,FALSE), IFERROR(VLOOKUP($A902,'Infinet ExDa'!$B$2:$E$14, 0,FALSE), "Not Found"))))))))</f>
        <v>Not Found</v>
      </c>
      <c r="M902" s="234" t="str">
        <f>IFERROR(VLOOKUP($A902,'AAPT ExDa'!$B$2:$U$99, 0,FALSE), IFERROR(VLOOKUP($A902,'ABB ExDa'!$A$2:$N$184, 0,FALSE), IFERROR(VLOOKUP($A902,'Vocus SIT ExDa'!$B$2:$J$173, 0,FALSE), IFERROR(VLOOKUP($A902,'Telstra ExDa'!$B$2:$K$310, 0,FALSE), IFERROR(VLOOKUP($A902,'Vocus RVC ExDa'!$C$2:$R$155, 0,FALSE), IFERROR(VLOOKUP($A902,'Fusion ExDa'!$B$2:$D$16, 0,FALSE), IFERROR(VLOOKUP($A902,'Exetel ExDa'!$C$2:$N$14, 11,FALSE), IFERROR(VLOOKUP($A902,'Infinet ExDa'!$B$2:$E$14, 0,FALSE), "Not Found"))))))))</f>
        <v>Not Found</v>
      </c>
      <c r="N902" t="str">
        <f>IFERROR(VLOOKUP($A902,'AAPT ExDa'!$B$2:$U$99, 0,FALSE), IFERROR(VLOOKUP($A902,'ABB ExDa'!$A$2:$N$184, 13,FALSE), IFERROR(VLOOKUP($A902,'Vocus SIT ExDa'!$B$2:$J$173, 0,FALSE), IFERROR(VLOOKUP($A902,'Telstra ExDa'!$B$2:$K$310, 0,FALSE), IFERROR(VLOOKUP($A902,'Vocus RVC ExDa'!$C$2:$R$155, 0,FALSE), IFERROR(VLOOKUP($A902,'Fusion ExDa'!$B$2:$D$16, 0,FALSE), IFERROR(VLOOKUP($A902,'Exetel ExDa'!$C$2:$N$14, 0,FALSE), IFERROR(VLOOKUP($A902,'Infinet ExDa'!$B$2:$E$14, 0,FALSE), "Not Found"))))))))</f>
        <v>Not Found</v>
      </c>
    </row>
    <row r="903" spans="1:14">
      <c r="A903">
        <v>0</v>
      </c>
      <c r="B903" t="str">
        <f>IFERROR(VLOOKUP(A903,'Exetel ExDa'!$C$2:$N$14,4,FALSE),"No Data")</f>
        <v>No Data</v>
      </c>
      <c r="C903" t="str">
        <f>IFERROR(VLOOKUP(A903,'AAPT ExDa'!$B$2:$U$99, 2,FALSE), IFERROR(VLOOKUP(A903,'ABB ExDa'!$A$2:$N$184, 2,FALSE), IFERROR(VLOOKUP(A903,'Vocus SIT ExDa'!$B$2:$J$173, 7,FALSE), IFERROR(VLOOKUP(A903,'Telstra ExDa'!$B$2:$K$310, 2,FALSE), IFERROR(VLOOKUP(A903,'Vocus RVC ExDa'!$C$2:$R$155, 3,FALSE), IFERROR(VLOOKUP(A903,'Fusion ExDa'!$B$2:$D$16, 2,FALSE), IFERROR(VLOOKUP(A903,'Exetel ExDa'!$C$2:$N$14, 2,FALSE), IFERROR(VLOOKUP(A903,'Infinet ExDa'!$B$2:$E$14, 2,FALSE), "Not Found"))))))))</f>
        <v>Not Found</v>
      </c>
      <c r="D903" t="str">
        <f>IFERROR(VLOOKUP($A903,'AAPT ExDa'!$B$2:$U$99, 15,FALSE), IFERROR(VLOOKUP($A903,'ABB ExDa'!$A$2:$N$184, 4,FALSE), IFERROR(VLOOKUP($A903,'Vocus SIT ExDa'!$B$2:$J$173, 5,FALSE), IFERROR(VLOOKUP($A903,'Telstra ExDa'!$B$2:$K$310, 8,FALSE), IFERROR(VLOOKUP($A903,'Vocus RVC ExDa'!$C$2:$R$155, 6,FALSE), IFERROR(VLOOKUP($A903,'Fusion ExDa'!$B$2:$D$16, 4,FALSE), IFERROR(VLOOKUP($A903,'Exetel ExDa'!$C$2:$N$14, 3,FALSE), IFERROR(VLOOKUP($A903,'Infinet ExDa'!$B$2:$E$14, 3,FALSE), "Not Found"))))))))</f>
        <v>Not Found</v>
      </c>
      <c r="E903" t="str">
        <f>IFERROR(VLOOKUP($A903,'AAPT ExDa'!$B$2:$U$99, 3,FALSE), IFERROR(VLOOKUP($A903,'ABB ExDa'!$A$2:$N$184, 5,FALSE), IFERROR(VLOOKUP($A903,'Vocus SIT ExDa'!$B$2:$J$173, 2,FALSE), IFERROR(VLOOKUP($A903,'Telstra ExDa'!$B$2:$K$310, 4,FALSE), IFERROR(VLOOKUP($A903,'Vocus RVC ExDa'!$C$2:$R$155, 8,FALSE), IFERROR(VLOOKUP($A903,'Fusion ExDa'!$B$2:$D$16, 4,FALSE), IFERROR(VLOOKUP($A903,'Exetel ExDa'!$C$2:$N$14, 5,FALSE), IFERROR(VLOOKUP($A903,'Infinet ExDa'!$B$2:$E$14, 3,FALSE), "Not Found"))))))))</f>
        <v>Not Found</v>
      </c>
      <c r="F903" t="str">
        <f>IFERROR(VLOOKUP($A903,'AAPT ExDa'!$B$2:$U$99, 4,FALSE), IFERROR(VLOOKUP($A903,'ABB ExDa'!$A$2:$N$184, 6,FALSE), IFERROR(VLOOKUP($A903,'Vocus SIT ExDa'!$B$2:$J$173, 3,FALSE), IFERROR(VLOOKUP($A903,'Telstra ExDa'!$B$2:$K$310, 5,FALSE), IFERROR(VLOOKUP($A903,'Vocus RVC ExDa'!$C$2:$R$155, 9,FALSE), IFERROR(VLOOKUP($A903,'Fusion ExDa'!$B$2:$D$16, 0,FALSE), IFERROR(VLOOKUP($A903,'Exetel ExDa'!$C$2:$N$14, 6,FALSE), IFERROR(VLOOKUP($A903,'Infinet ExDa'!$B$2:$E$14, 0,FALSE), "Not Found"))))))))</f>
        <v>Not Found</v>
      </c>
      <c r="G903" t="str">
        <f>IFERROR(VLOOKUP($A903,'AAPT ExDa'!$B$2:$U$99, 5,FALSE), IFERROR(VLOOKUP($A903,'ABB ExDa'!$A$2:$N$184, 8,FALSE), IFERROR(VLOOKUP($A903,'Vocus SIT ExDa'!$B$2:$J$173, 6,FALSE), IFERROR(VLOOKUP($A903,'Telstra ExDa'!$B$2:$K$310, 0,FALSE), IFERROR(VLOOKUP($A903,'Vocus RVC ExDa'!$C$2:$R$155, 15,FALSE), IFERROR(VLOOKUP($A903,'Fusion ExDa'!$B$2:$D$16, 0,FALSE), IFERROR(VLOOKUP($A903,'Exetel ExDa'!$C$2:$N$14, 7,FALSE), IFERROR(VLOOKUP($A903,'Infinet ExDa'!$B$2:$E$14, 0,FALSE), "Not Found"))))))))</f>
        <v>Not Found</v>
      </c>
      <c r="H903" t="str">
        <f>IFERROR(VLOOKUP($A903,'AAPT ExDa'!$B$2:$U$99, 6,FALSE), IFERROR(VLOOKUP($A903,'ABB ExDa'!$A$2:$N$184, 0,FALSE), IFERROR(VLOOKUP($A903,'Vocus SIT ExDa'!$B$2:$J$173, 0,FALSE), IFERROR(VLOOKUP($A903,'Telstra ExDa'!$B$2:$K$310, 0,FALSE), IFERROR(VLOOKUP($A903,'Vocus RVC ExDa'!$C$2:$R$155, 16,FALSE), IFERROR(VLOOKUP($A903,'Fusion ExDa'!$B$2:$D$16, 0,FALSE), IFERROR(VLOOKUP($A903,'Exetel ExDa'!$C$2:$N$14, 0,FALSE), IFERROR(VLOOKUP($A903,'Infinet ExDa'!$B$2:$E$14, 0,FALSE), "Not Found"))))))))</f>
        <v>Not Found</v>
      </c>
      <c r="I903" t="str">
        <f>IFERROR(VLOOKUP($A903,'AAPT ExDa'!$B$2:$U$99, 0,FALSE), IFERROR(VLOOKUP($A903,'ABB ExDa'!$A$2:$N$184, 0,FALSE), IFERROR(VLOOKUP($A903,'Vocus SIT ExDa'!$B$2:$J$173, 0,FALSE), IFERROR(VLOOKUP($A903,'Telstra ExDa'!$B$2:$K$310, 0,FALSE), IFERROR(VLOOKUP($A903,'Vocus RVC ExDa'!$C$2:$R$155, 0,FALSE), IFERROR(VLOOKUP($A903,'Fusion ExDa'!$B$2:$D$16, 0,FALSE), IFERROR(VLOOKUP($A903,'Exetel ExDa'!$C$2:$N$14, 8,FALSE), IFERROR(VLOOKUP($A903,'Infinet ExDa'!$B$2:$E$14, 0,FALSE), "Not Found"))))))))</f>
        <v>Not Found</v>
      </c>
      <c r="J903" t="str">
        <f>IFERROR(VLOOKUP($A903,'AAPT ExDa'!$B$2:$U$99, 7,FALSE), IFERROR(VLOOKUP($A903,'ABB ExDa'!$A$2:$N$184, 2,FALSE), IFERROR(VLOOKUP($A903,'Vocus SIT ExDa'!$B$2:$J$173, 0,FALSE), IFERROR(VLOOKUP($A903,'Telstra ExDa'!$B$2:$K$310, 7,FALSE), IFERROR(VLOOKUP($A903,'Vocus RVC ExDa'!$C$2:$R$155, 2,FALSE), IFERROR(VLOOKUP($A903,'Fusion ExDa'!$B$2:$D$16, 3,FALSE), IFERROR(VLOOKUP($A903,'Exetel ExDa'!$C$2:$N$14, 0,FALSE), IFERROR(VLOOKUP($A903,'Infinet ExDa'!$B$2:$E$14, 0,FALSE), "Not Found"))))))))</f>
        <v>Not Found</v>
      </c>
      <c r="K903" t="str">
        <f>IFERROR(VLOOKUP($A903,'AAPT ExDa'!$B$2:$U$99, 12,FALSE), IFERROR(VLOOKUP($A903,'ABB ExDa'!$A$2:$N$184, 0,FALSE), IFERROR(VLOOKUP($A903,'Vocus SIT ExDa'!$B$2:$J$173, 0,FALSE), IFERROR(VLOOKUP($A903,'Telstra ExDa'!$B$2:$K$310, 0,FALSE), IFERROR(VLOOKUP($A903,'Vocus RVC ExDa'!$C$2:$R$155, 0,FALSE), IFERROR(VLOOKUP($A903,'Fusion ExDa'!$B$2:$D$16, 0,FALSE), IFERROR(VLOOKUP($A903,'Exetel ExDa'!$C$2:$N$14, 12,FALSE), IFERROR(VLOOKUP($A903,'Infinet ExDa'!$B$2:$E$14, 0,FALSE), "Not Found"))))))))</f>
        <v>Not Found</v>
      </c>
      <c r="L903" s="235" t="str">
        <f>IFERROR(VLOOKUP($A903,'AAPT ExDa'!$B$2:$U$99, 11,FALSE), IFERROR(VLOOKUP($A903,'ABB ExDa'!$A$2:$N$184, 9,FALSE), IFERROR(VLOOKUP($A903,'Vocus SIT ExDa'!$B$2:$J$173, 8,FALSE), IFERROR(VLOOKUP($A903,'Telstra ExDa'!$B$2:$K$310, 0,FALSE), IFERROR(VLOOKUP($A903,'Vocus RVC ExDa'!$C$2:$R$155, 0,FALSE), IFERROR(VLOOKUP($A903,'Fusion ExDa'!$B$2:$D$16, 0,FALSE), IFERROR(VLOOKUP($A903,'Exetel ExDa'!$C$2:$N$14, 9,FALSE), IFERROR(VLOOKUP($A903,'Infinet ExDa'!$B$2:$E$14, 0,FALSE), "Not Found"))))))))</f>
        <v>Not Found</v>
      </c>
      <c r="M903" s="234" t="str">
        <f>IFERROR(VLOOKUP($A903,'AAPT ExDa'!$B$2:$U$99, 0,FALSE), IFERROR(VLOOKUP($A903,'ABB ExDa'!$A$2:$N$184, 0,FALSE), IFERROR(VLOOKUP($A903,'Vocus SIT ExDa'!$B$2:$J$173, 0,FALSE), IFERROR(VLOOKUP($A903,'Telstra ExDa'!$B$2:$K$310, 0,FALSE), IFERROR(VLOOKUP($A903,'Vocus RVC ExDa'!$C$2:$R$155, 0,FALSE), IFERROR(VLOOKUP($A903,'Fusion ExDa'!$B$2:$D$16, 0,FALSE), IFERROR(VLOOKUP($A903,'Exetel ExDa'!$C$2:$N$14, 11,FALSE), IFERROR(VLOOKUP($A903,'Infinet ExDa'!$B$2:$E$14, 0,FALSE), "Not Found"))))))))</f>
        <v>Not Found</v>
      </c>
      <c r="N903" t="str">
        <f>IFERROR(VLOOKUP($A903,'AAPT ExDa'!$B$2:$U$99, 0,FALSE), IFERROR(VLOOKUP($A903,'ABB ExDa'!$A$2:$N$184, 13,FALSE), IFERROR(VLOOKUP($A903,'Vocus SIT ExDa'!$B$2:$J$173, 0,FALSE), IFERROR(VLOOKUP($A903,'Telstra ExDa'!$B$2:$K$310, 0,FALSE), IFERROR(VLOOKUP($A903,'Vocus RVC ExDa'!$C$2:$R$155, 0,FALSE), IFERROR(VLOOKUP($A903,'Fusion ExDa'!$B$2:$D$16, 0,FALSE), IFERROR(VLOOKUP($A903,'Exetel ExDa'!$C$2:$N$14, 0,FALSE), IFERROR(VLOOKUP($A903,'Infinet ExDa'!$B$2:$E$14, 0,FALSE), "Not Found"))))))))</f>
        <v>Not Found</v>
      </c>
    </row>
    <row r="904" spans="1:14">
      <c r="A904" t="str">
        <v>Smile IT</v>
      </c>
      <c r="B904" t="str">
        <f>IFERROR(VLOOKUP(A904,'Exetel ExDa'!$C$2:$N$14,4,FALSE),"No Data")</f>
        <v>0701561050</v>
      </c>
      <c r="C904">
        <f>IFERROR(VLOOKUP(A904,'AAPT ExDa'!$B$2:$U$99, 2,FALSE), IFERROR(VLOOKUP(A904,'ABB ExDa'!$A$2:$N$184, 2,FALSE), IFERROR(VLOOKUP(A904,'Vocus SIT ExDa'!$B$2:$J$173, 7,FALSE), IFERROR(VLOOKUP(A904,'Telstra ExDa'!$B$2:$K$310, 2,FALSE), IFERROR(VLOOKUP(A904,'Vocus RVC ExDa'!$C$2:$R$155, 3,FALSE), IFERROR(VLOOKUP(A904,'Fusion ExDa'!$B$2:$D$16, 2,FALSE), IFERROR(VLOOKUP(A904,'Exetel ExDa'!$C$2:$N$14, 2,FALSE), IFERROR(VLOOKUP(A904,'Infinet ExDa'!$B$2:$E$14, 2,FALSE), "Not Found"))))))))</f>
        <v>0</v>
      </c>
      <c r="D904" t="str">
        <f>IFERROR(VLOOKUP($A904,'AAPT ExDa'!$B$2:$U$99, 15,FALSE), IFERROR(VLOOKUP($A904,'ABB ExDa'!$A$2:$N$184, 4,FALSE), IFERROR(VLOOKUP($A904,'Vocus SIT ExDa'!$B$2:$J$173, 5,FALSE), IFERROR(VLOOKUP($A904,'Telstra ExDa'!$B$2:$K$310, 8,FALSE), IFERROR(VLOOKUP($A904,'Vocus RVC ExDa'!$C$2:$R$155, 6,FALSE), IFERROR(VLOOKUP($A904,'Fusion ExDa'!$B$2:$D$16, 4,FALSE), IFERROR(VLOOKUP($A904,'Exetel ExDa'!$C$2:$N$14, 3,FALSE), IFERROR(VLOOKUP($A904,'Infinet ExDa'!$B$2:$E$14, 3,FALSE), "Not Found"))))))))</f>
        <v>AAPT</v>
      </c>
      <c r="E904" t="str">
        <f>IFERROR(VLOOKUP($A904,'AAPT ExDa'!$B$2:$U$99, 3,FALSE), IFERROR(VLOOKUP($A904,'ABB ExDa'!$A$2:$N$184, 5,FALSE), IFERROR(VLOOKUP($A904,'Vocus SIT ExDa'!$B$2:$J$173, 2,FALSE), IFERROR(VLOOKUP($A904,'Telstra ExDa'!$B$2:$K$310, 4,FALSE), IFERROR(VLOOKUP($A904,'Vocus RVC ExDa'!$C$2:$R$155, 8,FALSE), IFERROR(VLOOKUP($A904,'Fusion ExDa'!$B$2:$D$16, 4,FALSE), IFERROR(VLOOKUP($A904,'Exetel ExDa'!$C$2:$N$14, 5,FALSE), IFERROR(VLOOKUP($A904,'Infinet ExDa'!$B$2:$E$14, 3,FALSE), "Not Found"))))))))</f>
        <v>IP-Line</v>
      </c>
      <c r="F904" t="str">
        <f>IFERROR(VLOOKUP($A904,'AAPT ExDa'!$B$2:$U$99, 4,FALSE), IFERROR(VLOOKUP($A904,'ABB ExDa'!$A$2:$N$184, 6,FALSE), IFERROR(VLOOKUP($A904,'Vocus SIT ExDa'!$B$2:$J$173, 3,FALSE), IFERROR(VLOOKUP($A904,'Telstra ExDa'!$B$2:$K$310, 5,FALSE), IFERROR(VLOOKUP($A904,'Vocus RVC ExDa'!$C$2:$R$155, 9,FALSE), IFERROR(VLOOKUP($A904,'Fusion ExDa'!$B$2:$D$16, 0,FALSE), IFERROR(VLOOKUP($A904,'Exetel ExDa'!$C$2:$N$14, 6,FALSE), IFERROR(VLOOKUP($A904,'Infinet ExDa'!$B$2:$E$14, 0,FALSE), "Not Found"))))))))</f>
        <v>IP-Line Link</v>
      </c>
      <c r="G904" t="str">
        <f>IFERROR(VLOOKUP($A904,'AAPT ExDa'!$B$2:$U$99, 5,FALSE), IFERROR(VLOOKUP($A904,'ABB ExDa'!$A$2:$N$184, 8,FALSE), IFERROR(VLOOKUP($A904,'Vocus SIT ExDa'!$B$2:$J$173, 6,FALSE), IFERROR(VLOOKUP($A904,'Telstra ExDa'!$B$2:$K$310, 0,FALSE), IFERROR(VLOOKUP($A904,'Vocus RVC ExDa'!$C$2:$R$155, 15,FALSE), IFERROR(VLOOKUP($A904,'Fusion ExDa'!$B$2:$D$16, 0,FALSE), IFERROR(VLOOKUP($A904,'Exetel ExDa'!$C$2:$N$14, 7,FALSE), IFERROR(VLOOKUP($A904,'Infinet ExDa'!$B$2:$E$14, 0,FALSE), "Not Found"))))))))</f>
        <v>Connecting IP-Line 6023265 to Access 100773541</v>
      </c>
      <c r="H904" t="str">
        <f>IFERROR(VLOOKUP($A904,'AAPT ExDa'!$B$2:$U$99, 6,FALSE), IFERROR(VLOOKUP($A904,'ABB ExDa'!$A$2:$N$184, 0,FALSE), IFERROR(VLOOKUP($A904,'Vocus SIT ExDa'!$B$2:$J$173, 0,FALSE), IFERROR(VLOOKUP($A904,'Telstra ExDa'!$B$2:$K$310, 0,FALSE), IFERROR(VLOOKUP($A904,'Vocus RVC ExDa'!$C$2:$R$155, 16,FALSE), IFERROR(VLOOKUP($A904,'Fusion ExDa'!$B$2:$D$16, 0,FALSE), IFERROR(VLOOKUP($A904,'Exetel ExDa'!$C$2:$N$14, 0,FALSE), IFERROR(VLOOKUP($A904,'Infinet ExDa'!$B$2:$E$14, 0,FALSE), "Not Found"))))))))</f>
        <v>Up to 100/40Mbps; AVC ID:AVC000141025780</v>
      </c>
      <c r="I904">
        <f>IFERROR(VLOOKUP($A904,'AAPT ExDa'!$B$2:$U$99, 0,FALSE), IFERROR(VLOOKUP($A904,'ABB ExDa'!$A$2:$N$184, 0,FALSE), IFERROR(VLOOKUP($A904,'Vocus SIT ExDa'!$B$2:$J$173, 0,FALSE), IFERROR(VLOOKUP($A904,'Telstra ExDa'!$B$2:$K$310, 0,FALSE), IFERROR(VLOOKUP($A904,'Vocus RVC ExDa'!$C$2:$R$155, 0,FALSE), IFERROR(VLOOKUP($A904,'Fusion ExDa'!$B$2:$D$16, 0,FALSE), IFERROR(VLOOKUP($A904,'Exetel ExDa'!$C$2:$N$14, 8,FALSE), IFERROR(VLOOKUP($A904,'Infinet ExDa'!$B$2:$E$14, 0,FALSE), "Not Found"))))))))</f>
        <v>0</v>
      </c>
      <c r="J904" t="str">
        <f>IFERROR(VLOOKUP($A904,'AAPT ExDa'!$B$2:$U$99, 7,FALSE), IFERROR(VLOOKUP($A904,'ABB ExDa'!$A$2:$N$184, 2,FALSE), IFERROR(VLOOKUP($A904,'Vocus SIT ExDa'!$B$2:$J$173, 0,FALSE), IFERROR(VLOOKUP($A904,'Telstra ExDa'!$B$2:$K$310, 7,FALSE), IFERROR(VLOOKUP($A904,'Vocus RVC ExDa'!$C$2:$R$155, 2,FALSE), IFERROR(VLOOKUP($A904,'Fusion ExDa'!$B$2:$D$16, 3,FALSE), IFERROR(VLOOKUP($A904,'Exetel ExDa'!$C$2:$N$14, 0,FALSE), IFERROR(VLOOKUP($A904,'Infinet ExDa'!$B$2:$E$14, 0,FALSE), "Not Found"))))))))</f>
        <v>AVC000141025780</v>
      </c>
      <c r="K904" t="str">
        <f>IFERROR(VLOOKUP($A904,'AAPT ExDa'!$B$2:$U$99, 12,FALSE), IFERROR(VLOOKUP($A904,'ABB ExDa'!$A$2:$N$184, 0,FALSE), IFERROR(VLOOKUP($A904,'Vocus SIT ExDa'!$B$2:$J$173, 0,FALSE), IFERROR(VLOOKUP($A904,'Telstra ExDa'!$B$2:$K$310, 0,FALSE), IFERROR(VLOOKUP($A904,'Vocus RVC ExDa'!$C$2:$R$155, 0,FALSE), IFERROR(VLOOKUP($A904,'Fusion ExDa'!$B$2:$D$16, 0,FALSE), IFERROR(VLOOKUP($A904,'Exetel ExDa'!$C$2:$N$14, 12,FALSE), IFERROR(VLOOKUP($A904,'Infinet ExDa'!$B$2:$E$14, 0,FALSE), "Not Found"))))))))</f>
        <v>12 Months</v>
      </c>
      <c r="L904" s="235">
        <f>IFERROR(VLOOKUP($A904,'AAPT ExDa'!$B$2:$U$99, 11,FALSE), IFERROR(VLOOKUP($A904,'ABB ExDa'!$A$2:$N$184, 9,FALSE), IFERROR(VLOOKUP($A904,'Vocus SIT ExDa'!$B$2:$J$173, 8,FALSE), IFERROR(VLOOKUP($A904,'Telstra ExDa'!$B$2:$K$310, 0,FALSE), IFERROR(VLOOKUP($A904,'Vocus RVC ExDa'!$C$2:$R$155, 0,FALSE), IFERROR(VLOOKUP($A904,'Fusion ExDa'!$B$2:$D$16, 0,FALSE), IFERROR(VLOOKUP($A904,'Exetel ExDa'!$C$2:$N$14, 9,FALSE), IFERROR(VLOOKUP($A904,'Infinet ExDa'!$B$2:$E$14, 0,FALSE), "Not Found"))))))))</f>
        <v>44297</v>
      </c>
      <c r="M904" s="234">
        <f>IFERROR(VLOOKUP($A904,'AAPT ExDa'!$B$2:$U$99, 0,FALSE), IFERROR(VLOOKUP($A904,'ABB ExDa'!$A$2:$N$184, 0,FALSE), IFERROR(VLOOKUP($A904,'Vocus SIT ExDa'!$B$2:$J$173, 0,FALSE), IFERROR(VLOOKUP($A904,'Telstra ExDa'!$B$2:$K$310, 0,FALSE), IFERROR(VLOOKUP($A904,'Vocus RVC ExDa'!$C$2:$R$155, 0,FALSE), IFERROR(VLOOKUP($A904,'Fusion ExDa'!$B$2:$D$16, 0,FALSE), IFERROR(VLOOKUP($A904,'Exetel ExDa'!$C$2:$N$14, 11,FALSE), IFERROR(VLOOKUP($A904,'Infinet ExDa'!$B$2:$E$14, 0,FALSE), "Not Found"))))))))</f>
        <v>0</v>
      </c>
      <c r="N904" t="str">
        <f>IFERROR(VLOOKUP($A904,'AAPT ExDa'!$B$2:$U$99, 0,FALSE), IFERROR(VLOOKUP($A904,'ABB ExDa'!$A$2:$N$184, 13,FALSE), IFERROR(VLOOKUP($A904,'Vocus SIT ExDa'!$B$2:$J$173, 0,FALSE), IFERROR(VLOOKUP($A904,'Telstra ExDa'!$B$2:$K$310, 0,FALSE), IFERROR(VLOOKUP($A904,'Vocus RVC ExDa'!$C$2:$R$155, 0,FALSE), IFERROR(VLOOKUP($A904,'Fusion ExDa'!$B$2:$D$16, 0,FALSE), IFERROR(VLOOKUP($A904,'Exetel ExDa'!$C$2:$N$14, 0,FALSE), IFERROR(VLOOKUP($A904,'Infinet ExDa'!$B$2:$E$14, 0,FALSE), "Not Found"))))))))</f>
        <v>Not Found</v>
      </c>
    </row>
    <row r="905" spans="1:14">
      <c r="A905" t="str">
        <v>ASG Tomago</v>
      </c>
      <c r="B905" t="str">
        <f>IFERROR(VLOOKUP(A905,'Exetel ExDa'!$C$2:$N$14,4,FALSE),"No Data")</f>
        <v>0403182994</v>
      </c>
      <c r="C905" t="str">
        <f>IFERROR(VLOOKUP(A905,'AAPT ExDa'!$B$2:$U$99, 2,FALSE), IFERROR(VLOOKUP(A905,'ABB ExDa'!$A$2:$N$184, 2,FALSE), IFERROR(VLOOKUP(A905,'Vocus SIT ExDa'!$B$2:$J$173, 7,FALSE), IFERROR(VLOOKUP(A905,'Telstra ExDa'!$B$2:$K$310, 2,FALSE), IFERROR(VLOOKUP(A905,'Vocus RVC ExDa'!$C$2:$R$155, 3,FALSE), IFERROR(VLOOKUP(A905,'Fusion ExDa'!$B$2:$D$16, 2,FALSE), IFERROR(VLOOKUP(A905,'Exetel ExDa'!$C$2:$N$14, 2,FALSE), IFERROR(VLOOKUP(A905,'Infinet ExDa'!$B$2:$E$14, 2,FALSE), "Not Found"))))))))</f>
        <v>15 KILCOY DRIVE, TOMAGO, NSW, 2322</v>
      </c>
      <c r="D905" t="str">
        <f>IFERROR(VLOOKUP($A905,'AAPT ExDa'!$B$2:$U$99, 15,FALSE), IFERROR(VLOOKUP($A905,'ABB ExDa'!$A$2:$N$184, 4,FALSE), IFERROR(VLOOKUP($A905,'Vocus SIT ExDa'!$B$2:$J$173, 5,FALSE), IFERROR(VLOOKUP($A905,'Telstra ExDa'!$B$2:$K$310, 8,FALSE), IFERROR(VLOOKUP($A905,'Vocus RVC ExDa'!$C$2:$R$155, 6,FALSE), IFERROR(VLOOKUP($A905,'Fusion ExDa'!$B$2:$D$16, 4,FALSE), IFERROR(VLOOKUP($A905,'Exetel ExDa'!$C$2:$N$14, 3,FALSE), IFERROR(VLOOKUP($A905,'Infinet ExDa'!$B$2:$E$14, 3,FALSE), "Not Found"))))))))</f>
        <v>Exetel</v>
      </c>
      <c r="E905" t="str">
        <f>IFERROR(VLOOKUP($A905,'AAPT ExDa'!$B$2:$U$99, 3,FALSE), IFERROR(VLOOKUP($A905,'ABB ExDa'!$A$2:$N$184, 5,FALSE), IFERROR(VLOOKUP($A905,'Vocus SIT ExDa'!$B$2:$J$173, 2,FALSE), IFERROR(VLOOKUP($A905,'Telstra ExDa'!$B$2:$K$310, 4,FALSE), IFERROR(VLOOKUP($A905,'Vocus RVC ExDa'!$C$2:$R$155, 8,FALSE), IFERROR(VLOOKUP($A905,'Fusion ExDa'!$B$2:$D$16, 4,FALSE), IFERROR(VLOOKUP($A905,'Exetel ExDa'!$C$2:$N$14, 5,FALSE), IFERROR(VLOOKUP($A905,'Infinet ExDa'!$B$2:$E$14, 3,FALSE), "Not Found"))))))))</f>
        <v>Plan TFS100R1 AM PROMO 374</v>
      </c>
      <c r="F905" t="str">
        <f>IFERROR(VLOOKUP($A905,'AAPT ExDa'!$B$2:$U$99, 4,FALSE), IFERROR(VLOOKUP($A905,'ABB ExDa'!$A$2:$N$184, 6,FALSE), IFERROR(VLOOKUP($A905,'Vocus SIT ExDa'!$B$2:$J$173, 3,FALSE), IFERROR(VLOOKUP($A905,'Telstra ExDa'!$B$2:$K$310, 5,FALSE), IFERROR(VLOOKUP($A905,'Vocus RVC ExDa'!$C$2:$R$155, 9,FALSE), IFERROR(VLOOKUP($A905,'Fusion ExDa'!$B$2:$D$16, 0,FALSE), IFERROR(VLOOKUP($A905,'Exetel ExDa'!$C$2:$N$14, 6,FALSE), IFERROR(VLOOKUP($A905,'Infinet ExDa'!$B$2:$E$14, 0,FALSE), "Not Found"))))))))</f>
        <v>100/100Mbps</v>
      </c>
      <c r="G905" t="str">
        <f>IFERROR(VLOOKUP($A905,'AAPT ExDa'!$B$2:$U$99, 5,FALSE), IFERROR(VLOOKUP($A905,'ABB ExDa'!$A$2:$N$184, 8,FALSE), IFERROR(VLOOKUP($A905,'Vocus SIT ExDa'!$B$2:$J$173, 6,FALSE), IFERROR(VLOOKUP($A905,'Telstra ExDa'!$B$2:$K$310, 0,FALSE), IFERROR(VLOOKUP($A905,'Vocus RVC ExDa'!$C$2:$R$155, 15,FALSE), IFERROR(VLOOKUP($A905,'Fusion ExDa'!$B$2:$D$16, 0,FALSE), IFERROR(VLOOKUP($A905,'Exetel ExDa'!$C$2:$N$14, 7,FALSE), IFERROR(VLOOKUP($A905,'Infinet ExDa'!$B$2:$E$14, 0,FALSE), "Not Found"))))))))</f>
        <v>Fibre</v>
      </c>
      <c r="H905" t="str">
        <f>IFERROR(VLOOKUP($A905,'AAPT ExDa'!$B$2:$U$99, 6,FALSE), IFERROR(VLOOKUP($A905,'ABB ExDa'!$A$2:$N$184, 0,FALSE), IFERROR(VLOOKUP($A905,'Vocus SIT ExDa'!$B$2:$J$173, 0,FALSE), IFERROR(VLOOKUP($A905,'Telstra ExDa'!$B$2:$K$310, 0,FALSE), IFERROR(VLOOKUP($A905,'Vocus RVC ExDa'!$C$2:$R$155, 16,FALSE), IFERROR(VLOOKUP($A905,'Fusion ExDa'!$B$2:$D$16, 0,FALSE), IFERROR(VLOOKUP($A905,'Exetel ExDa'!$C$2:$N$14, 0,FALSE), IFERROR(VLOOKUP($A905,'Infinet ExDa'!$B$2:$E$14, 0,FALSE), "Not Found"))))))))</f>
        <v>Not Found</v>
      </c>
      <c r="I905" t="str">
        <f>IFERROR(VLOOKUP($A905,'AAPT ExDa'!$B$2:$U$99, 0,FALSE), IFERROR(VLOOKUP($A905,'ABB ExDa'!$A$2:$N$184, 0,FALSE), IFERROR(VLOOKUP($A905,'Vocus SIT ExDa'!$B$2:$J$173, 0,FALSE), IFERROR(VLOOKUP($A905,'Telstra ExDa'!$B$2:$K$310, 0,FALSE), IFERROR(VLOOKUP($A905,'Vocus RVC ExDa'!$C$2:$R$155, 0,FALSE), IFERROR(VLOOKUP($A905,'Fusion ExDa'!$B$2:$D$16, 0,FALSE), IFERROR(VLOOKUP($A905,'Exetel ExDa'!$C$2:$N$14, 8,FALSE), IFERROR(VLOOKUP($A905,'Infinet ExDa'!$B$2:$E$14, 0,FALSE), "Not Found"))))))))</f>
        <v>58.96.25.119</v>
      </c>
      <c r="J905" t="str">
        <f>IFERROR(VLOOKUP($A905,'AAPT ExDa'!$B$2:$U$99, 7,FALSE), IFERROR(VLOOKUP($A905,'ABB ExDa'!$A$2:$N$184, 2,FALSE), IFERROR(VLOOKUP($A905,'Vocus SIT ExDa'!$B$2:$J$173, 0,FALSE), IFERROR(VLOOKUP($A905,'Telstra ExDa'!$B$2:$K$310, 7,FALSE), IFERROR(VLOOKUP($A905,'Vocus RVC ExDa'!$C$2:$R$155, 2,FALSE), IFERROR(VLOOKUP($A905,'Fusion ExDa'!$B$2:$D$16, 3,FALSE), IFERROR(VLOOKUP($A905,'Exetel ExDa'!$C$2:$N$14, 0,FALSE), IFERROR(VLOOKUP($A905,'Infinet ExDa'!$B$2:$E$14, 0,FALSE), "Not Found"))))))))</f>
        <v>Not Found</v>
      </c>
      <c r="K905" t="str">
        <f>IFERROR(VLOOKUP($A905,'AAPT ExDa'!$B$2:$U$99, 12,FALSE), IFERROR(VLOOKUP($A905,'ABB ExDa'!$A$2:$N$184, 0,FALSE), IFERROR(VLOOKUP($A905,'Vocus SIT ExDa'!$B$2:$J$173, 0,FALSE), IFERROR(VLOOKUP($A905,'Telstra ExDa'!$B$2:$K$310, 0,FALSE), IFERROR(VLOOKUP($A905,'Vocus RVC ExDa'!$C$2:$R$155, 0,FALSE), IFERROR(VLOOKUP($A905,'Fusion ExDa'!$B$2:$D$16, 0,FALSE), IFERROR(VLOOKUP($A905,'Exetel ExDa'!$C$2:$N$14, 12,FALSE), IFERROR(VLOOKUP($A905,'Infinet ExDa'!$B$2:$E$14, 0,FALSE), "Not Found"))))))))</f>
        <v>36 Months</v>
      </c>
      <c r="L905" s="235" t="str">
        <f>IFERROR(VLOOKUP($A905,'AAPT ExDa'!$B$2:$U$99, 11,FALSE), IFERROR(VLOOKUP($A905,'ABB ExDa'!$A$2:$N$184, 9,FALSE), IFERROR(VLOOKUP($A905,'Vocus SIT ExDa'!$B$2:$J$173, 8,FALSE), IFERROR(VLOOKUP($A905,'Telstra ExDa'!$B$2:$K$310, 0,FALSE), IFERROR(VLOOKUP($A905,'Vocus RVC ExDa'!$C$2:$R$155, 0,FALSE), IFERROR(VLOOKUP($A905,'Fusion ExDa'!$B$2:$D$16, 0,FALSE), IFERROR(VLOOKUP($A905,'Exetel ExDa'!$C$2:$N$14, 9,FALSE), IFERROR(VLOOKUP($A905,'Infinet ExDa'!$B$2:$E$14, 0,FALSE), "Not Found"))))))))</f>
        <v>16 Nov 2017</v>
      </c>
      <c r="M905" s="234" t="str">
        <f>IFERROR(VLOOKUP($A905,'AAPT ExDa'!$B$2:$U$99, 0,FALSE), IFERROR(VLOOKUP($A905,'ABB ExDa'!$A$2:$N$184, 0,FALSE), IFERROR(VLOOKUP($A905,'Vocus SIT ExDa'!$B$2:$J$173, 0,FALSE), IFERROR(VLOOKUP($A905,'Telstra ExDa'!$B$2:$K$310, 0,FALSE), IFERROR(VLOOKUP($A905,'Vocus RVC ExDa'!$C$2:$R$155, 0,FALSE), IFERROR(VLOOKUP($A905,'Fusion ExDa'!$B$2:$D$16, 0,FALSE), IFERROR(VLOOKUP($A905,'Exetel ExDa'!$C$2:$N$14, 11,FALSE), IFERROR(VLOOKUP($A905,'Infinet ExDa'!$B$2:$E$14, 0,FALSE), "Not Found"))))))))</f>
        <v>13 Dec 2025</v>
      </c>
      <c r="N905" t="str">
        <f>IFERROR(VLOOKUP($A905,'AAPT ExDa'!$B$2:$U$99, 0,FALSE), IFERROR(VLOOKUP($A905,'ABB ExDa'!$A$2:$N$184, 13,FALSE), IFERROR(VLOOKUP($A905,'Vocus SIT ExDa'!$B$2:$J$173, 0,FALSE), IFERROR(VLOOKUP($A905,'Telstra ExDa'!$B$2:$K$310, 0,FALSE), IFERROR(VLOOKUP($A905,'Vocus RVC ExDa'!$C$2:$R$155, 0,FALSE), IFERROR(VLOOKUP($A905,'Fusion ExDa'!$B$2:$D$16, 0,FALSE), IFERROR(VLOOKUP($A905,'Exetel ExDa'!$C$2:$N$14, 0,FALSE), IFERROR(VLOOKUP($A905,'Infinet ExDa'!$B$2:$E$14, 0,FALSE), "Not Found"))))))))</f>
        <v>Not Found</v>
      </c>
    </row>
    <row r="906" spans="1:14">
      <c r="A906" t="str">
        <v>Spicers HO</v>
      </c>
      <c r="B906" t="str">
        <f>IFERROR(VLOOKUP(A906,'Exetel ExDa'!$C$2:$N$14,4,FALSE),"No Data")</f>
        <v>0731731992</v>
      </c>
      <c r="C906" t="str">
        <f>IFERROR(VLOOKUP(A906,'AAPT ExDa'!$B$2:$U$99, 2,FALSE), IFERROR(VLOOKUP(A906,'ABB ExDa'!$A$2:$N$184, 2,FALSE), IFERROR(VLOOKUP(A906,'Vocus SIT ExDa'!$B$2:$J$173, 7,FALSE), IFERROR(VLOOKUP(A906,'Telstra ExDa'!$B$2:$K$310, 2,FALSE), IFERROR(VLOOKUP(A906,'Vocus RVC ExDa'!$C$2:$R$155, 3,FALSE), IFERROR(VLOOKUP(A906,'Fusion ExDa'!$B$2:$D$16, 2,FALSE), IFERROR(VLOOKUP(A906,'Exetel ExDa'!$C$2:$N$14, 2,FALSE), IFERROR(VLOOKUP(A906,'Infinet ExDa'!$B$2:$E$14, 2,FALSE), "Not Found"))))))))</f>
        <v>168 KNAPP STREET, FORTITUDE VALLEY, QLD, 4006</v>
      </c>
      <c r="D906" t="str">
        <f>IFERROR(VLOOKUP($A906,'AAPT ExDa'!$B$2:$U$99, 15,FALSE), IFERROR(VLOOKUP($A906,'ABB ExDa'!$A$2:$N$184, 4,FALSE), IFERROR(VLOOKUP($A906,'Vocus SIT ExDa'!$B$2:$J$173, 5,FALSE), IFERROR(VLOOKUP($A906,'Telstra ExDa'!$B$2:$K$310, 8,FALSE), IFERROR(VLOOKUP($A906,'Vocus RVC ExDa'!$C$2:$R$155, 6,FALSE), IFERROR(VLOOKUP($A906,'Fusion ExDa'!$B$2:$D$16, 4,FALSE), IFERROR(VLOOKUP($A906,'Exetel ExDa'!$C$2:$N$14, 3,FALSE), IFERROR(VLOOKUP($A906,'Infinet ExDa'!$B$2:$E$14, 3,FALSE), "Not Found"))))))))</f>
        <v>Exetel</v>
      </c>
      <c r="E906" t="str">
        <f>IFERROR(VLOOKUP($A906,'AAPT ExDa'!$B$2:$U$99, 3,FALSE), IFERROR(VLOOKUP($A906,'ABB ExDa'!$A$2:$N$184, 5,FALSE), IFERROR(VLOOKUP($A906,'Vocus SIT ExDa'!$B$2:$J$173, 2,FALSE), IFERROR(VLOOKUP($A906,'Telstra ExDa'!$B$2:$K$310, 4,FALSE), IFERROR(VLOOKUP($A906,'Vocus RVC ExDa'!$C$2:$R$155, 8,FALSE), IFERROR(VLOOKUP($A906,'Fusion ExDa'!$B$2:$D$16, 4,FALSE), IFERROR(VLOOKUP($A906,'Exetel ExDa'!$C$2:$N$14, 5,FALSE), IFERROR(VLOOKUP($A906,'Infinet ExDa'!$B$2:$E$14, 3,FALSE), "Not Found"))))))))</f>
        <v>Plan TFS100 R1 Unlimited 675</v>
      </c>
      <c r="F906" t="str">
        <f>IFERROR(VLOOKUP($A906,'AAPT ExDa'!$B$2:$U$99, 4,FALSE), IFERROR(VLOOKUP($A906,'ABB ExDa'!$A$2:$N$184, 6,FALSE), IFERROR(VLOOKUP($A906,'Vocus SIT ExDa'!$B$2:$J$173, 3,FALSE), IFERROR(VLOOKUP($A906,'Telstra ExDa'!$B$2:$K$310, 5,FALSE), IFERROR(VLOOKUP($A906,'Vocus RVC ExDa'!$C$2:$R$155, 9,FALSE), IFERROR(VLOOKUP($A906,'Fusion ExDa'!$B$2:$D$16, 0,FALSE), IFERROR(VLOOKUP($A906,'Exetel ExDa'!$C$2:$N$14, 6,FALSE), IFERROR(VLOOKUP($A906,'Infinet ExDa'!$B$2:$E$14, 0,FALSE), "Not Found"))))))))</f>
        <v>100/100Mbps</v>
      </c>
      <c r="G906" t="str">
        <f>IFERROR(VLOOKUP($A906,'AAPT ExDa'!$B$2:$U$99, 5,FALSE), IFERROR(VLOOKUP($A906,'ABB ExDa'!$A$2:$N$184, 8,FALSE), IFERROR(VLOOKUP($A906,'Vocus SIT ExDa'!$B$2:$J$173, 6,FALSE), IFERROR(VLOOKUP($A906,'Telstra ExDa'!$B$2:$K$310, 0,FALSE), IFERROR(VLOOKUP($A906,'Vocus RVC ExDa'!$C$2:$R$155, 15,FALSE), IFERROR(VLOOKUP($A906,'Fusion ExDa'!$B$2:$D$16, 0,FALSE), IFERROR(VLOOKUP($A906,'Exetel ExDa'!$C$2:$N$14, 7,FALSE), IFERROR(VLOOKUP($A906,'Infinet ExDa'!$B$2:$E$14, 0,FALSE), "Not Found"))))))))</f>
        <v>Fibre</v>
      </c>
      <c r="H906" t="str">
        <f>IFERROR(VLOOKUP($A906,'AAPT ExDa'!$B$2:$U$99, 6,FALSE), IFERROR(VLOOKUP($A906,'ABB ExDa'!$A$2:$N$184, 0,FALSE), IFERROR(VLOOKUP($A906,'Vocus SIT ExDa'!$B$2:$J$173, 0,FALSE), IFERROR(VLOOKUP($A906,'Telstra ExDa'!$B$2:$K$310, 0,FALSE), IFERROR(VLOOKUP($A906,'Vocus RVC ExDa'!$C$2:$R$155, 16,FALSE), IFERROR(VLOOKUP($A906,'Fusion ExDa'!$B$2:$D$16, 0,FALSE), IFERROR(VLOOKUP($A906,'Exetel ExDa'!$C$2:$N$14, 0,FALSE), IFERROR(VLOOKUP($A906,'Infinet ExDa'!$B$2:$E$14, 0,FALSE), "Not Found"))))))))</f>
        <v>Not Found</v>
      </c>
      <c r="I906" t="str">
        <f>IFERROR(VLOOKUP($A906,'AAPT ExDa'!$B$2:$U$99, 0,FALSE), IFERROR(VLOOKUP($A906,'ABB ExDa'!$A$2:$N$184, 0,FALSE), IFERROR(VLOOKUP($A906,'Vocus SIT ExDa'!$B$2:$J$173, 0,FALSE), IFERROR(VLOOKUP($A906,'Telstra ExDa'!$B$2:$K$310, 0,FALSE), IFERROR(VLOOKUP($A906,'Vocus RVC ExDa'!$C$2:$R$155, 0,FALSE), IFERROR(VLOOKUP($A906,'Fusion ExDa'!$B$2:$D$16, 0,FALSE), IFERROR(VLOOKUP($A906,'Exetel ExDa'!$C$2:$N$14, 8,FALSE), IFERROR(VLOOKUP($A906,'Infinet ExDa'!$B$2:$E$14, 0,FALSE), "Not Found"))))))))</f>
        <v>115.70.172.81</v>
      </c>
      <c r="J906" t="str">
        <f>IFERROR(VLOOKUP($A906,'AAPT ExDa'!$B$2:$U$99, 7,FALSE), IFERROR(VLOOKUP($A906,'ABB ExDa'!$A$2:$N$184, 2,FALSE), IFERROR(VLOOKUP($A906,'Vocus SIT ExDa'!$B$2:$J$173, 0,FALSE), IFERROR(VLOOKUP($A906,'Telstra ExDa'!$B$2:$K$310, 7,FALSE), IFERROR(VLOOKUP($A906,'Vocus RVC ExDa'!$C$2:$R$155, 2,FALSE), IFERROR(VLOOKUP($A906,'Fusion ExDa'!$B$2:$D$16, 3,FALSE), IFERROR(VLOOKUP($A906,'Exetel ExDa'!$C$2:$N$14, 0,FALSE), IFERROR(VLOOKUP($A906,'Infinet ExDa'!$B$2:$E$14, 0,FALSE), "Not Found"))))))))</f>
        <v>Not Found</v>
      </c>
      <c r="K906" t="str">
        <f>IFERROR(VLOOKUP($A906,'AAPT ExDa'!$B$2:$U$99, 12,FALSE), IFERROR(VLOOKUP($A906,'ABB ExDa'!$A$2:$N$184, 0,FALSE), IFERROR(VLOOKUP($A906,'Vocus SIT ExDa'!$B$2:$J$173, 0,FALSE), IFERROR(VLOOKUP($A906,'Telstra ExDa'!$B$2:$K$310, 0,FALSE), IFERROR(VLOOKUP($A906,'Vocus RVC ExDa'!$C$2:$R$155, 0,FALSE), IFERROR(VLOOKUP($A906,'Fusion ExDa'!$B$2:$D$16, 0,FALSE), IFERROR(VLOOKUP($A906,'Exetel ExDa'!$C$2:$N$14, 12,FALSE), IFERROR(VLOOKUP($A906,'Infinet ExDa'!$B$2:$E$14, 0,FALSE), "Not Found"))))))))</f>
        <v>36 Months</v>
      </c>
      <c r="L906" s="235" t="str">
        <f>IFERROR(VLOOKUP($A906,'AAPT ExDa'!$B$2:$U$99, 11,FALSE), IFERROR(VLOOKUP($A906,'ABB ExDa'!$A$2:$N$184, 9,FALSE), IFERROR(VLOOKUP($A906,'Vocus SIT ExDa'!$B$2:$J$173, 8,FALSE), IFERROR(VLOOKUP($A906,'Telstra ExDa'!$B$2:$K$310, 0,FALSE), IFERROR(VLOOKUP($A906,'Vocus RVC ExDa'!$C$2:$R$155, 0,FALSE), IFERROR(VLOOKUP($A906,'Fusion ExDa'!$B$2:$D$16, 0,FALSE), IFERROR(VLOOKUP($A906,'Exetel ExDa'!$C$2:$N$14, 9,FALSE), IFERROR(VLOOKUP($A906,'Infinet ExDa'!$B$2:$E$14, 0,FALSE), "Not Found"))))))))</f>
        <v>23 Jan 2018</v>
      </c>
      <c r="M906" s="234" t="str">
        <f>IFERROR(VLOOKUP($A906,'AAPT ExDa'!$B$2:$U$99, 0,FALSE), IFERROR(VLOOKUP($A906,'ABB ExDa'!$A$2:$N$184, 0,FALSE), IFERROR(VLOOKUP($A906,'Vocus SIT ExDa'!$B$2:$J$173, 0,FALSE), IFERROR(VLOOKUP($A906,'Telstra ExDa'!$B$2:$K$310, 0,FALSE), IFERROR(VLOOKUP($A906,'Vocus RVC ExDa'!$C$2:$R$155, 0,FALSE), IFERROR(VLOOKUP($A906,'Fusion ExDa'!$B$2:$D$16, 0,FALSE), IFERROR(VLOOKUP($A906,'Exetel ExDa'!$C$2:$N$14, 11,FALSE), IFERROR(VLOOKUP($A906,'Infinet ExDa'!$B$2:$E$14, 0,FALSE), "Not Found"))))))))</f>
        <v>15 Feb 2024</v>
      </c>
      <c r="N906" t="str">
        <f>IFERROR(VLOOKUP($A906,'AAPT ExDa'!$B$2:$U$99, 0,FALSE), IFERROR(VLOOKUP($A906,'ABB ExDa'!$A$2:$N$184, 13,FALSE), IFERROR(VLOOKUP($A906,'Vocus SIT ExDa'!$B$2:$J$173, 0,FALSE), IFERROR(VLOOKUP($A906,'Telstra ExDa'!$B$2:$K$310, 0,FALSE), IFERROR(VLOOKUP($A906,'Vocus RVC ExDa'!$C$2:$R$155, 0,FALSE), IFERROR(VLOOKUP($A906,'Fusion ExDa'!$B$2:$D$16, 0,FALSE), IFERROR(VLOOKUP($A906,'Exetel ExDa'!$C$2:$N$14, 0,FALSE), IFERROR(VLOOKUP($A906,'Infinet ExDa'!$B$2:$E$14, 0,FALSE), "Not Found"))))))))</f>
        <v>Not Found</v>
      </c>
    </row>
    <row r="907" spans="1:14">
      <c r="A907" t="str">
        <v>Middlemount Coal Mine</v>
      </c>
      <c r="B907" t="str">
        <f>IFERROR(VLOOKUP(A907,'Exetel ExDa'!$C$2:$N$14,4,FALSE),"No Data")</f>
        <v>0749850000</v>
      </c>
      <c r="C907" t="str">
        <f>IFERROR(VLOOKUP(A907,'AAPT ExDa'!$B$2:$U$99, 2,FALSE), IFERROR(VLOOKUP(A907,'ABB ExDa'!$A$2:$N$184, 2,FALSE), IFERROR(VLOOKUP(A907,'Vocus SIT ExDa'!$B$2:$J$173, 7,FALSE), IFERROR(VLOOKUP(A907,'Telstra ExDa'!$B$2:$K$310, 2,FALSE), IFERROR(VLOOKUP(A907,'Vocus RVC ExDa'!$C$2:$R$155, 3,FALSE), IFERROR(VLOOKUP(A907,'Fusion ExDa'!$B$2:$D$16, 2,FALSE), IFERROR(VLOOKUP(A907,'Exetel ExDa'!$C$2:$N$14, 2,FALSE), IFERROR(VLOOKUP(A907,'Infinet ExDa'!$B$2:$E$14, 2,FALSE), "Not Found"))))))))</f>
        <v>5961 DYSART-MIDDLEMOUNT ROAD, MIDDLEMOUNT, QLD, 4746</v>
      </c>
      <c r="D907" t="str">
        <f>IFERROR(VLOOKUP($A907,'AAPT ExDa'!$B$2:$U$99, 15,FALSE), IFERROR(VLOOKUP($A907,'ABB ExDa'!$A$2:$N$184, 4,FALSE), IFERROR(VLOOKUP($A907,'Vocus SIT ExDa'!$B$2:$J$173, 5,FALSE), IFERROR(VLOOKUP($A907,'Telstra ExDa'!$B$2:$K$310, 8,FALSE), IFERROR(VLOOKUP($A907,'Vocus RVC ExDa'!$C$2:$R$155, 6,FALSE), IFERROR(VLOOKUP($A907,'Fusion ExDa'!$B$2:$D$16, 4,FALSE), IFERROR(VLOOKUP($A907,'Exetel ExDa'!$C$2:$N$14, 3,FALSE), IFERROR(VLOOKUP($A907,'Infinet ExDa'!$B$2:$E$14, 3,FALSE), "Not Found"))))))))</f>
        <v>Exetel</v>
      </c>
      <c r="E907" t="str">
        <f>IFERROR(VLOOKUP($A907,'AAPT ExDa'!$B$2:$U$99, 3,FALSE), IFERROR(VLOOKUP($A907,'ABB ExDa'!$A$2:$N$184, 5,FALSE), IFERROR(VLOOKUP($A907,'Vocus SIT ExDa'!$B$2:$J$173, 2,FALSE), IFERROR(VLOOKUP($A907,'Telstra ExDa'!$B$2:$K$310, 4,FALSE), IFERROR(VLOOKUP($A907,'Vocus RVC ExDa'!$C$2:$R$155, 8,FALSE), IFERROR(VLOOKUP($A907,'Fusion ExDa'!$B$2:$D$16, 4,FALSE), IFERROR(VLOOKUP($A907,'Exetel ExDa'!$C$2:$N$14, 5,FALSE), IFERROR(VLOOKUP($A907,'Infinet ExDa'!$B$2:$E$14, 3,FALSE), "Not Found"))))))))</f>
        <v>Plan TFS500R1 Unlimited 1300</v>
      </c>
      <c r="F907" t="str">
        <f>IFERROR(VLOOKUP($A907,'AAPT ExDa'!$B$2:$U$99, 4,FALSE), IFERROR(VLOOKUP($A907,'ABB ExDa'!$A$2:$N$184, 6,FALSE), IFERROR(VLOOKUP($A907,'Vocus SIT ExDa'!$B$2:$J$173, 3,FALSE), IFERROR(VLOOKUP($A907,'Telstra ExDa'!$B$2:$K$310, 5,FALSE), IFERROR(VLOOKUP($A907,'Vocus RVC ExDa'!$C$2:$R$155, 9,FALSE), IFERROR(VLOOKUP($A907,'Fusion ExDa'!$B$2:$D$16, 0,FALSE), IFERROR(VLOOKUP($A907,'Exetel ExDa'!$C$2:$N$14, 6,FALSE), IFERROR(VLOOKUP($A907,'Infinet ExDa'!$B$2:$E$14, 0,FALSE), "Not Found"))))))))</f>
        <v>500/500Mbps</v>
      </c>
      <c r="G907" t="str">
        <f>IFERROR(VLOOKUP($A907,'AAPT ExDa'!$B$2:$U$99, 5,FALSE), IFERROR(VLOOKUP($A907,'ABB ExDa'!$A$2:$N$184, 8,FALSE), IFERROR(VLOOKUP($A907,'Vocus SIT ExDa'!$B$2:$J$173, 6,FALSE), IFERROR(VLOOKUP($A907,'Telstra ExDa'!$B$2:$K$310, 0,FALSE), IFERROR(VLOOKUP($A907,'Vocus RVC ExDa'!$C$2:$R$155, 15,FALSE), IFERROR(VLOOKUP($A907,'Fusion ExDa'!$B$2:$D$16, 0,FALSE), IFERROR(VLOOKUP($A907,'Exetel ExDa'!$C$2:$N$14, 7,FALSE), IFERROR(VLOOKUP($A907,'Infinet ExDa'!$B$2:$E$14, 0,FALSE), "Not Found"))))))))</f>
        <v>Fibre</v>
      </c>
      <c r="H907" t="str">
        <f>IFERROR(VLOOKUP($A907,'AAPT ExDa'!$B$2:$U$99, 6,FALSE), IFERROR(VLOOKUP($A907,'ABB ExDa'!$A$2:$N$184, 0,FALSE), IFERROR(VLOOKUP($A907,'Vocus SIT ExDa'!$B$2:$J$173, 0,FALSE), IFERROR(VLOOKUP($A907,'Telstra ExDa'!$B$2:$K$310, 0,FALSE), IFERROR(VLOOKUP($A907,'Vocus RVC ExDa'!$C$2:$R$155, 16,FALSE), IFERROR(VLOOKUP($A907,'Fusion ExDa'!$B$2:$D$16, 0,FALSE), IFERROR(VLOOKUP($A907,'Exetel ExDa'!$C$2:$N$14, 0,FALSE), IFERROR(VLOOKUP($A907,'Infinet ExDa'!$B$2:$E$14, 0,FALSE), "Not Found"))))))))</f>
        <v>Not Found</v>
      </c>
      <c r="I907" t="str">
        <f>IFERROR(VLOOKUP($A907,'AAPT ExDa'!$B$2:$U$99, 0,FALSE), IFERROR(VLOOKUP($A907,'ABB ExDa'!$A$2:$N$184, 0,FALSE), IFERROR(VLOOKUP($A907,'Vocus SIT ExDa'!$B$2:$J$173, 0,FALSE), IFERROR(VLOOKUP($A907,'Telstra ExDa'!$B$2:$K$310, 0,FALSE), IFERROR(VLOOKUP($A907,'Vocus RVC ExDa'!$C$2:$R$155, 0,FALSE), IFERROR(VLOOKUP($A907,'Fusion ExDa'!$B$2:$D$16, 0,FALSE), IFERROR(VLOOKUP($A907,'Exetel ExDa'!$C$2:$N$14, 8,FALSE), IFERROR(VLOOKUP($A907,'Infinet ExDa'!$B$2:$E$14, 0,FALSE), "Not Found"))))))))</f>
        <v>115.70.172.197</v>
      </c>
      <c r="J907" t="str">
        <f>IFERROR(VLOOKUP($A907,'AAPT ExDa'!$B$2:$U$99, 7,FALSE), IFERROR(VLOOKUP($A907,'ABB ExDa'!$A$2:$N$184, 2,FALSE), IFERROR(VLOOKUP($A907,'Vocus SIT ExDa'!$B$2:$J$173, 0,FALSE), IFERROR(VLOOKUP($A907,'Telstra ExDa'!$B$2:$K$310, 7,FALSE), IFERROR(VLOOKUP($A907,'Vocus RVC ExDa'!$C$2:$R$155, 2,FALSE), IFERROR(VLOOKUP($A907,'Fusion ExDa'!$B$2:$D$16, 3,FALSE), IFERROR(VLOOKUP($A907,'Exetel ExDa'!$C$2:$N$14, 0,FALSE), IFERROR(VLOOKUP($A907,'Infinet ExDa'!$B$2:$E$14, 0,FALSE), "Not Found"))))))))</f>
        <v>Not Found</v>
      </c>
      <c r="K907" t="str">
        <f>IFERROR(VLOOKUP($A907,'AAPT ExDa'!$B$2:$U$99, 12,FALSE), IFERROR(VLOOKUP($A907,'ABB ExDa'!$A$2:$N$184, 0,FALSE), IFERROR(VLOOKUP($A907,'Vocus SIT ExDa'!$B$2:$J$173, 0,FALSE), IFERROR(VLOOKUP($A907,'Telstra ExDa'!$B$2:$K$310, 0,FALSE), IFERROR(VLOOKUP($A907,'Vocus RVC ExDa'!$C$2:$R$155, 0,FALSE), IFERROR(VLOOKUP($A907,'Fusion ExDa'!$B$2:$D$16, 0,FALSE), IFERROR(VLOOKUP($A907,'Exetel ExDa'!$C$2:$N$14, 12,FALSE), IFERROR(VLOOKUP($A907,'Infinet ExDa'!$B$2:$E$14, 0,FALSE), "Not Found"))))))))</f>
        <v>36 Months</v>
      </c>
      <c r="L907" s="235" t="str">
        <f>IFERROR(VLOOKUP($A907,'AAPT ExDa'!$B$2:$U$99, 11,FALSE), IFERROR(VLOOKUP($A907,'ABB ExDa'!$A$2:$N$184, 9,FALSE), IFERROR(VLOOKUP($A907,'Vocus SIT ExDa'!$B$2:$J$173, 8,FALSE), IFERROR(VLOOKUP($A907,'Telstra ExDa'!$B$2:$K$310, 0,FALSE), IFERROR(VLOOKUP($A907,'Vocus RVC ExDa'!$C$2:$R$155, 0,FALSE), IFERROR(VLOOKUP($A907,'Fusion ExDa'!$B$2:$D$16, 0,FALSE), IFERROR(VLOOKUP($A907,'Exetel ExDa'!$C$2:$N$14, 9,FALSE), IFERROR(VLOOKUP($A907,'Infinet ExDa'!$B$2:$E$14, 0,FALSE), "Not Found"))))))))</f>
        <v>6 Dec 2018</v>
      </c>
      <c r="M907" s="234" t="str">
        <f>IFERROR(VLOOKUP($A907,'AAPT ExDa'!$B$2:$U$99, 0,FALSE), IFERROR(VLOOKUP($A907,'ABB ExDa'!$A$2:$N$184, 0,FALSE), IFERROR(VLOOKUP($A907,'Vocus SIT ExDa'!$B$2:$J$173, 0,FALSE), IFERROR(VLOOKUP($A907,'Telstra ExDa'!$B$2:$K$310, 0,FALSE), IFERROR(VLOOKUP($A907,'Vocus RVC ExDa'!$C$2:$R$155, 0,FALSE), IFERROR(VLOOKUP($A907,'Fusion ExDa'!$B$2:$D$16, 0,FALSE), IFERROR(VLOOKUP($A907,'Exetel ExDa'!$C$2:$N$14, 11,FALSE), IFERROR(VLOOKUP($A907,'Infinet ExDa'!$B$2:$E$14, 0,FALSE), "Not Found"))))))))</f>
        <v>24 Mar 2025</v>
      </c>
      <c r="N907" t="str">
        <f>IFERROR(VLOOKUP($A907,'AAPT ExDa'!$B$2:$U$99, 0,FALSE), IFERROR(VLOOKUP($A907,'ABB ExDa'!$A$2:$N$184, 13,FALSE), IFERROR(VLOOKUP($A907,'Vocus SIT ExDa'!$B$2:$J$173, 0,FALSE), IFERROR(VLOOKUP($A907,'Telstra ExDa'!$B$2:$K$310, 0,FALSE), IFERROR(VLOOKUP($A907,'Vocus RVC ExDa'!$C$2:$R$155, 0,FALSE), IFERROR(VLOOKUP($A907,'Fusion ExDa'!$B$2:$D$16, 0,FALSE), IFERROR(VLOOKUP($A907,'Exetel ExDa'!$C$2:$N$14, 0,FALSE), IFERROR(VLOOKUP($A907,'Infinet ExDa'!$B$2:$E$14, 0,FALSE), "Not Found"))))))))</f>
        <v>Not Found</v>
      </c>
    </row>
    <row r="908" spans="1:14">
      <c r="A908" t="str">
        <v xml:space="preserve">	Air Restore</v>
      </c>
      <c r="B908" t="str">
        <f>IFERROR(VLOOKUP(A908,'Exetel ExDa'!$C$2:$N$14,4,FALSE),"No Data")</f>
        <v>0734334112</v>
      </c>
      <c r="C908" t="str">
        <f>IFERROR(VLOOKUP(A908,'AAPT ExDa'!$B$2:$U$99, 2,FALSE), IFERROR(VLOOKUP(A908,'ABB ExDa'!$A$2:$N$184, 2,FALSE), IFERROR(VLOOKUP(A908,'Vocus SIT ExDa'!$B$2:$J$173, 7,FALSE), IFERROR(VLOOKUP(A908,'Telstra ExDa'!$B$2:$K$310, 2,FALSE), IFERROR(VLOOKUP(A908,'Vocus RVC ExDa'!$C$2:$R$155, 3,FALSE), IFERROR(VLOOKUP(A908,'Fusion ExDa'!$B$2:$D$16, 2,FALSE), IFERROR(VLOOKUP(A908,'Exetel ExDa'!$C$2:$N$14, 2,FALSE), IFERROR(VLOOKUP(A908,'Infinet ExDa'!$B$2:$E$14, 2,FALSE), "Not Found"))))))))</f>
        <v>32 DIVIDEND STREET, MANSFIELD, QLD, 4122</v>
      </c>
      <c r="D908" t="str">
        <f>IFERROR(VLOOKUP($A908,'AAPT ExDa'!$B$2:$U$99, 15,FALSE), IFERROR(VLOOKUP($A908,'ABB ExDa'!$A$2:$N$184, 4,FALSE), IFERROR(VLOOKUP($A908,'Vocus SIT ExDa'!$B$2:$J$173, 5,FALSE), IFERROR(VLOOKUP($A908,'Telstra ExDa'!$B$2:$K$310, 8,FALSE), IFERROR(VLOOKUP($A908,'Vocus RVC ExDa'!$C$2:$R$155, 6,FALSE), IFERROR(VLOOKUP($A908,'Fusion ExDa'!$B$2:$D$16, 4,FALSE), IFERROR(VLOOKUP($A908,'Exetel ExDa'!$C$2:$N$14, 3,FALSE), IFERROR(VLOOKUP($A908,'Infinet ExDa'!$B$2:$E$14, 3,FALSE), "Not Found"))))))))</f>
        <v>Exetel</v>
      </c>
      <c r="E908" t="str">
        <f>IFERROR(VLOOKUP($A908,'AAPT ExDa'!$B$2:$U$99, 3,FALSE), IFERROR(VLOOKUP($A908,'ABB ExDa'!$A$2:$N$184, 5,FALSE), IFERROR(VLOOKUP($A908,'Vocus SIT ExDa'!$B$2:$J$173, 2,FALSE), IFERROR(VLOOKUP($A908,'Telstra ExDa'!$B$2:$K$310, 4,FALSE), IFERROR(VLOOKUP($A908,'Vocus RVC ExDa'!$C$2:$R$155, 8,FALSE), IFERROR(VLOOKUP($A908,'Fusion ExDa'!$B$2:$D$16, 4,FALSE), IFERROR(VLOOKUP($A908,'Exetel ExDa'!$C$2:$N$14, 5,FALSE), IFERROR(VLOOKUP($A908,'Infinet ExDa'!$B$2:$E$14, 3,FALSE), "Not Found"))))))))</f>
        <v>NBNEE100 CBD Unlimited 350</v>
      </c>
      <c r="F908" t="str">
        <f>IFERROR(VLOOKUP($A908,'AAPT ExDa'!$B$2:$U$99, 4,FALSE), IFERROR(VLOOKUP($A908,'ABB ExDa'!$A$2:$N$184, 6,FALSE), IFERROR(VLOOKUP($A908,'Vocus SIT ExDa'!$B$2:$J$173, 3,FALSE), IFERROR(VLOOKUP($A908,'Telstra ExDa'!$B$2:$K$310, 5,FALSE), IFERROR(VLOOKUP($A908,'Vocus RVC ExDa'!$C$2:$R$155, 9,FALSE), IFERROR(VLOOKUP($A908,'Fusion ExDa'!$B$2:$D$16, 0,FALSE), IFERROR(VLOOKUP($A908,'Exetel ExDa'!$C$2:$N$14, 6,FALSE), IFERROR(VLOOKUP($A908,'Infinet ExDa'!$B$2:$E$14, 0,FALSE), "Not Found"))))))))</f>
        <v>100/100Mbps</v>
      </c>
      <c r="G908" t="str">
        <f>IFERROR(VLOOKUP($A908,'AAPT ExDa'!$B$2:$U$99, 5,FALSE), IFERROR(VLOOKUP($A908,'ABB ExDa'!$A$2:$N$184, 8,FALSE), IFERROR(VLOOKUP($A908,'Vocus SIT ExDa'!$B$2:$J$173, 6,FALSE), IFERROR(VLOOKUP($A908,'Telstra ExDa'!$B$2:$K$310, 0,FALSE), IFERROR(VLOOKUP($A908,'Vocus RVC ExDa'!$C$2:$R$155, 15,FALSE), IFERROR(VLOOKUP($A908,'Fusion ExDa'!$B$2:$D$16, 0,FALSE), IFERROR(VLOOKUP($A908,'Exetel ExDa'!$C$2:$N$14, 7,FALSE), IFERROR(VLOOKUP($A908,'Infinet ExDa'!$B$2:$E$14, 0,FALSE), "Not Found"))))))))</f>
        <v>Fibre</v>
      </c>
      <c r="H908" t="str">
        <f>IFERROR(VLOOKUP($A908,'AAPT ExDa'!$B$2:$U$99, 6,FALSE), IFERROR(VLOOKUP($A908,'ABB ExDa'!$A$2:$N$184, 0,FALSE), IFERROR(VLOOKUP($A908,'Vocus SIT ExDa'!$B$2:$J$173, 0,FALSE), IFERROR(VLOOKUP($A908,'Telstra ExDa'!$B$2:$K$310, 0,FALSE), IFERROR(VLOOKUP($A908,'Vocus RVC ExDa'!$C$2:$R$155, 16,FALSE), IFERROR(VLOOKUP($A908,'Fusion ExDa'!$B$2:$D$16, 0,FALSE), IFERROR(VLOOKUP($A908,'Exetel ExDa'!$C$2:$N$14, 0,FALSE), IFERROR(VLOOKUP($A908,'Infinet ExDa'!$B$2:$E$14, 0,FALSE), "Not Found"))))))))</f>
        <v>Not Found</v>
      </c>
      <c r="I908" t="str">
        <f>IFERROR(VLOOKUP($A908,'AAPT ExDa'!$B$2:$U$99, 0,FALSE), IFERROR(VLOOKUP($A908,'ABB ExDa'!$A$2:$N$184, 0,FALSE), IFERROR(VLOOKUP($A908,'Vocus SIT ExDa'!$B$2:$J$173, 0,FALSE), IFERROR(VLOOKUP($A908,'Telstra ExDa'!$B$2:$K$310, 0,FALSE), IFERROR(VLOOKUP($A908,'Vocus RVC ExDa'!$C$2:$R$155, 0,FALSE), IFERROR(VLOOKUP($A908,'Fusion ExDa'!$B$2:$D$16, 0,FALSE), IFERROR(VLOOKUP($A908,'Exetel ExDa'!$C$2:$N$14, 8,FALSE), IFERROR(VLOOKUP($A908,'Infinet ExDa'!$B$2:$E$14, 0,FALSE), "Not Found"))))))))</f>
        <v>220.233.220.51</v>
      </c>
      <c r="J908" t="str">
        <f>IFERROR(VLOOKUP($A908,'AAPT ExDa'!$B$2:$U$99, 7,FALSE), IFERROR(VLOOKUP($A908,'ABB ExDa'!$A$2:$N$184, 2,FALSE), IFERROR(VLOOKUP($A908,'Vocus SIT ExDa'!$B$2:$J$173, 0,FALSE), IFERROR(VLOOKUP($A908,'Telstra ExDa'!$B$2:$K$310, 7,FALSE), IFERROR(VLOOKUP($A908,'Vocus RVC ExDa'!$C$2:$R$155, 2,FALSE), IFERROR(VLOOKUP($A908,'Fusion ExDa'!$B$2:$D$16, 3,FALSE), IFERROR(VLOOKUP($A908,'Exetel ExDa'!$C$2:$N$14, 0,FALSE), IFERROR(VLOOKUP($A908,'Infinet ExDa'!$B$2:$E$14, 0,FALSE), "Not Found"))))))))</f>
        <v>Not Found</v>
      </c>
      <c r="K908" t="str">
        <f>IFERROR(VLOOKUP($A908,'AAPT ExDa'!$B$2:$U$99, 12,FALSE), IFERROR(VLOOKUP($A908,'ABB ExDa'!$A$2:$N$184, 0,FALSE), IFERROR(VLOOKUP($A908,'Vocus SIT ExDa'!$B$2:$J$173, 0,FALSE), IFERROR(VLOOKUP($A908,'Telstra ExDa'!$B$2:$K$310, 0,FALSE), IFERROR(VLOOKUP($A908,'Vocus RVC ExDa'!$C$2:$R$155, 0,FALSE), IFERROR(VLOOKUP($A908,'Fusion ExDa'!$B$2:$D$16, 0,FALSE), IFERROR(VLOOKUP($A908,'Exetel ExDa'!$C$2:$N$14, 12,FALSE), IFERROR(VLOOKUP($A908,'Infinet ExDa'!$B$2:$E$14, 0,FALSE), "Not Found"))))))))</f>
        <v>36 Months</v>
      </c>
      <c r="L908" s="235" t="str">
        <f>IFERROR(VLOOKUP($A908,'AAPT ExDa'!$B$2:$U$99, 11,FALSE), IFERROR(VLOOKUP($A908,'ABB ExDa'!$A$2:$N$184, 9,FALSE), IFERROR(VLOOKUP($A908,'Vocus SIT ExDa'!$B$2:$J$173, 8,FALSE), IFERROR(VLOOKUP($A908,'Telstra ExDa'!$B$2:$K$310, 0,FALSE), IFERROR(VLOOKUP($A908,'Vocus RVC ExDa'!$C$2:$R$155, 0,FALSE), IFERROR(VLOOKUP($A908,'Fusion ExDa'!$B$2:$D$16, 0,FALSE), IFERROR(VLOOKUP($A908,'Exetel ExDa'!$C$2:$N$14, 9,FALSE), IFERROR(VLOOKUP($A908,'Infinet ExDa'!$B$2:$E$14, 0,FALSE), "Not Found"))))))))</f>
        <v>10 May 2021</v>
      </c>
      <c r="M908" s="234" t="str">
        <f>IFERROR(VLOOKUP($A908,'AAPT ExDa'!$B$2:$U$99, 0,FALSE), IFERROR(VLOOKUP($A908,'ABB ExDa'!$A$2:$N$184, 0,FALSE), IFERROR(VLOOKUP($A908,'Vocus SIT ExDa'!$B$2:$J$173, 0,FALSE), IFERROR(VLOOKUP($A908,'Telstra ExDa'!$B$2:$K$310, 0,FALSE), IFERROR(VLOOKUP($A908,'Vocus RVC ExDa'!$C$2:$R$155, 0,FALSE), IFERROR(VLOOKUP($A908,'Fusion ExDa'!$B$2:$D$16, 0,FALSE), IFERROR(VLOOKUP($A908,'Exetel ExDa'!$C$2:$N$14, 11,FALSE), IFERROR(VLOOKUP($A908,'Infinet ExDa'!$B$2:$E$14, 0,FALSE), "Not Found"))))))))</f>
        <v>10 May 2024</v>
      </c>
      <c r="N908" t="str">
        <f>IFERROR(VLOOKUP($A908,'AAPT ExDa'!$B$2:$U$99, 0,FALSE), IFERROR(VLOOKUP($A908,'ABB ExDa'!$A$2:$N$184, 13,FALSE), IFERROR(VLOOKUP($A908,'Vocus SIT ExDa'!$B$2:$J$173, 0,FALSE), IFERROR(VLOOKUP($A908,'Telstra ExDa'!$B$2:$K$310, 0,FALSE), IFERROR(VLOOKUP($A908,'Vocus RVC ExDa'!$C$2:$R$155, 0,FALSE), IFERROR(VLOOKUP($A908,'Fusion ExDa'!$B$2:$D$16, 0,FALSE), IFERROR(VLOOKUP($A908,'Exetel ExDa'!$C$2:$N$14, 0,FALSE), IFERROR(VLOOKUP($A908,'Infinet ExDa'!$B$2:$E$14, 0,FALSE), "Not Found"))))))))</f>
        <v>Not Found</v>
      </c>
    </row>
    <row r="909" spans="1:14">
      <c r="A909" t="str">
        <v>MONTVILLE (Spicers Clovelly)</v>
      </c>
      <c r="B909" t="str">
        <f>IFERROR(VLOOKUP(A909,'Exetel ExDa'!$C$2:$N$14,4,FALSE),"No Data")</f>
        <v>0734334114</v>
      </c>
      <c r="C909" t="str">
        <f>IFERROR(VLOOKUP(A909,'AAPT ExDa'!$B$2:$U$99, 2,FALSE), IFERROR(VLOOKUP(A909,'ABB ExDa'!$A$2:$N$184, 2,FALSE), IFERROR(VLOOKUP(A909,'Vocus SIT ExDa'!$B$2:$J$173, 7,FALSE), IFERROR(VLOOKUP(A909,'Telstra ExDa'!$B$2:$K$310, 2,FALSE), IFERROR(VLOOKUP(A909,'Vocus RVC ExDa'!$C$2:$R$155, 3,FALSE), IFERROR(VLOOKUP(A909,'Fusion ExDa'!$B$2:$D$16, 2,FALSE), IFERROR(VLOOKUP(A909,'Exetel ExDa'!$C$2:$N$14, 2,FALSE), IFERROR(VLOOKUP(A909,'Infinet ExDa'!$B$2:$E$14, 2,FALSE), "Not Found"))))))))</f>
        <v>38-68 BALMORAL ROAD, MONTVILLE, QLD, 4560</v>
      </c>
      <c r="D909" t="str">
        <f>IFERROR(VLOOKUP($A909,'AAPT ExDa'!$B$2:$U$99, 15,FALSE), IFERROR(VLOOKUP($A909,'ABB ExDa'!$A$2:$N$184, 4,FALSE), IFERROR(VLOOKUP($A909,'Vocus SIT ExDa'!$B$2:$J$173, 5,FALSE), IFERROR(VLOOKUP($A909,'Telstra ExDa'!$B$2:$K$310, 8,FALSE), IFERROR(VLOOKUP($A909,'Vocus RVC ExDa'!$C$2:$R$155, 6,FALSE), IFERROR(VLOOKUP($A909,'Fusion ExDa'!$B$2:$D$16, 4,FALSE), IFERROR(VLOOKUP($A909,'Exetel ExDa'!$C$2:$N$14, 3,FALSE), IFERROR(VLOOKUP($A909,'Infinet ExDa'!$B$2:$E$14, 3,FALSE), "Not Found"))))))))</f>
        <v>Exetel</v>
      </c>
      <c r="E909" t="str">
        <f>IFERROR(VLOOKUP($A909,'AAPT ExDa'!$B$2:$U$99, 3,FALSE), IFERROR(VLOOKUP($A909,'ABB ExDa'!$A$2:$N$184, 5,FALSE), IFERROR(VLOOKUP($A909,'Vocus SIT ExDa'!$B$2:$J$173, 2,FALSE), IFERROR(VLOOKUP($A909,'Telstra ExDa'!$B$2:$K$310, 4,FALSE), IFERROR(VLOOKUP($A909,'Vocus RVC ExDa'!$C$2:$R$155, 8,FALSE), IFERROR(VLOOKUP($A909,'Fusion ExDa'!$B$2:$D$16, 4,FALSE), IFERROR(VLOOKUP($A909,'Exetel ExDa'!$C$2:$N$14, 5,FALSE), IFERROR(VLOOKUP($A909,'Infinet ExDa'!$B$2:$E$14, 3,FALSE), "Not Found"))))))))</f>
        <v>Plan TMLL100 R1 Unlimited 800</v>
      </c>
      <c r="F909" t="str">
        <f>IFERROR(VLOOKUP($A909,'AAPT ExDa'!$B$2:$U$99, 4,FALSE), IFERROR(VLOOKUP($A909,'ABB ExDa'!$A$2:$N$184, 6,FALSE), IFERROR(VLOOKUP($A909,'Vocus SIT ExDa'!$B$2:$J$173, 3,FALSE), IFERROR(VLOOKUP($A909,'Telstra ExDa'!$B$2:$K$310, 5,FALSE), IFERROR(VLOOKUP($A909,'Vocus RVC ExDa'!$C$2:$R$155, 9,FALSE), IFERROR(VLOOKUP($A909,'Fusion ExDa'!$B$2:$D$16, 0,FALSE), IFERROR(VLOOKUP($A909,'Exetel ExDa'!$C$2:$N$14, 6,FALSE), IFERROR(VLOOKUP($A909,'Infinet ExDa'!$B$2:$E$14, 0,FALSE), "Not Found"))))))))</f>
        <v>100/100Mbps</v>
      </c>
      <c r="G909" t="str">
        <f>IFERROR(VLOOKUP($A909,'AAPT ExDa'!$B$2:$U$99, 5,FALSE), IFERROR(VLOOKUP($A909,'ABB ExDa'!$A$2:$N$184, 8,FALSE), IFERROR(VLOOKUP($A909,'Vocus SIT ExDa'!$B$2:$J$173, 6,FALSE), IFERROR(VLOOKUP($A909,'Telstra ExDa'!$B$2:$K$310, 0,FALSE), IFERROR(VLOOKUP($A909,'Vocus RVC ExDa'!$C$2:$R$155, 15,FALSE), IFERROR(VLOOKUP($A909,'Fusion ExDa'!$B$2:$D$16, 0,FALSE), IFERROR(VLOOKUP($A909,'Exetel ExDa'!$C$2:$N$14, 7,FALSE), IFERROR(VLOOKUP($A909,'Infinet ExDa'!$B$2:$E$14, 0,FALSE), "Not Found"))))))))</f>
        <v>Fibre</v>
      </c>
      <c r="H909" t="str">
        <f>IFERROR(VLOOKUP($A909,'AAPT ExDa'!$B$2:$U$99, 6,FALSE), IFERROR(VLOOKUP($A909,'ABB ExDa'!$A$2:$N$184, 0,FALSE), IFERROR(VLOOKUP($A909,'Vocus SIT ExDa'!$B$2:$J$173, 0,FALSE), IFERROR(VLOOKUP($A909,'Telstra ExDa'!$B$2:$K$310, 0,FALSE), IFERROR(VLOOKUP($A909,'Vocus RVC ExDa'!$C$2:$R$155, 16,FALSE), IFERROR(VLOOKUP($A909,'Fusion ExDa'!$B$2:$D$16, 0,FALSE), IFERROR(VLOOKUP($A909,'Exetel ExDa'!$C$2:$N$14, 0,FALSE), IFERROR(VLOOKUP($A909,'Infinet ExDa'!$B$2:$E$14, 0,FALSE), "Not Found"))))))))</f>
        <v>Not Found</v>
      </c>
      <c r="I909" t="str">
        <f>IFERROR(VLOOKUP($A909,'AAPT ExDa'!$B$2:$U$99, 0,FALSE), IFERROR(VLOOKUP($A909,'ABB ExDa'!$A$2:$N$184, 0,FALSE), IFERROR(VLOOKUP($A909,'Vocus SIT ExDa'!$B$2:$J$173, 0,FALSE), IFERROR(VLOOKUP($A909,'Telstra ExDa'!$B$2:$K$310, 0,FALSE), IFERROR(VLOOKUP($A909,'Vocus RVC ExDa'!$C$2:$R$155, 0,FALSE), IFERROR(VLOOKUP($A909,'Fusion ExDa'!$B$2:$D$16, 0,FALSE), IFERROR(VLOOKUP($A909,'Exetel ExDa'!$C$2:$N$14, 8,FALSE), IFERROR(VLOOKUP($A909,'Infinet ExDa'!$B$2:$E$14, 0,FALSE), "Not Found"))))))))</f>
        <v>220.233.219.233</v>
      </c>
      <c r="J909" t="str">
        <f>IFERROR(VLOOKUP($A909,'AAPT ExDa'!$B$2:$U$99, 7,FALSE), IFERROR(VLOOKUP($A909,'ABB ExDa'!$A$2:$N$184, 2,FALSE), IFERROR(VLOOKUP($A909,'Vocus SIT ExDa'!$B$2:$J$173, 0,FALSE), IFERROR(VLOOKUP($A909,'Telstra ExDa'!$B$2:$K$310, 7,FALSE), IFERROR(VLOOKUP($A909,'Vocus RVC ExDa'!$C$2:$R$155, 2,FALSE), IFERROR(VLOOKUP($A909,'Fusion ExDa'!$B$2:$D$16, 3,FALSE), IFERROR(VLOOKUP($A909,'Exetel ExDa'!$C$2:$N$14, 0,FALSE), IFERROR(VLOOKUP($A909,'Infinet ExDa'!$B$2:$E$14, 0,FALSE), "Not Found"))))))))</f>
        <v>Not Found</v>
      </c>
      <c r="K909" t="str">
        <f>IFERROR(VLOOKUP($A909,'AAPT ExDa'!$B$2:$U$99, 12,FALSE), IFERROR(VLOOKUP($A909,'ABB ExDa'!$A$2:$N$184, 0,FALSE), IFERROR(VLOOKUP($A909,'Vocus SIT ExDa'!$B$2:$J$173, 0,FALSE), IFERROR(VLOOKUP($A909,'Telstra ExDa'!$B$2:$K$310, 0,FALSE), IFERROR(VLOOKUP($A909,'Vocus RVC ExDa'!$C$2:$R$155, 0,FALSE), IFERROR(VLOOKUP($A909,'Fusion ExDa'!$B$2:$D$16, 0,FALSE), IFERROR(VLOOKUP($A909,'Exetel ExDa'!$C$2:$N$14, 12,FALSE), IFERROR(VLOOKUP($A909,'Infinet ExDa'!$B$2:$E$14, 0,FALSE), "Not Found"))))))))</f>
        <v>36 Months</v>
      </c>
      <c r="L909" s="235" t="str">
        <f>IFERROR(VLOOKUP($A909,'AAPT ExDa'!$B$2:$U$99, 11,FALSE), IFERROR(VLOOKUP($A909,'ABB ExDa'!$A$2:$N$184, 9,FALSE), IFERROR(VLOOKUP($A909,'Vocus SIT ExDa'!$B$2:$J$173, 8,FALSE), IFERROR(VLOOKUP($A909,'Telstra ExDa'!$B$2:$K$310, 0,FALSE), IFERROR(VLOOKUP($A909,'Vocus RVC ExDa'!$C$2:$R$155, 0,FALSE), IFERROR(VLOOKUP($A909,'Fusion ExDa'!$B$2:$D$16, 0,FALSE), IFERROR(VLOOKUP($A909,'Exetel ExDa'!$C$2:$N$14, 9,FALSE), IFERROR(VLOOKUP($A909,'Infinet ExDa'!$B$2:$E$14, 0,FALSE), "Not Found"))))))))</f>
        <v>23 Aug 2021</v>
      </c>
      <c r="M909" s="234" t="str">
        <f>IFERROR(VLOOKUP($A909,'AAPT ExDa'!$B$2:$U$99, 0,FALSE), IFERROR(VLOOKUP($A909,'ABB ExDa'!$A$2:$N$184, 0,FALSE), IFERROR(VLOOKUP($A909,'Vocus SIT ExDa'!$B$2:$J$173, 0,FALSE), IFERROR(VLOOKUP($A909,'Telstra ExDa'!$B$2:$K$310, 0,FALSE), IFERROR(VLOOKUP($A909,'Vocus RVC ExDa'!$C$2:$R$155, 0,FALSE), IFERROR(VLOOKUP($A909,'Fusion ExDa'!$B$2:$D$16, 0,FALSE), IFERROR(VLOOKUP($A909,'Exetel ExDa'!$C$2:$N$14, 11,FALSE), IFERROR(VLOOKUP($A909,'Infinet ExDa'!$B$2:$E$14, 0,FALSE), "Not Found"))))))))</f>
        <v>23 Aug 2024</v>
      </c>
      <c r="N909" t="str">
        <f>IFERROR(VLOOKUP($A909,'AAPT ExDa'!$B$2:$U$99, 0,FALSE), IFERROR(VLOOKUP($A909,'ABB ExDa'!$A$2:$N$184, 13,FALSE), IFERROR(VLOOKUP($A909,'Vocus SIT ExDa'!$B$2:$J$173, 0,FALSE), IFERROR(VLOOKUP($A909,'Telstra ExDa'!$B$2:$K$310, 0,FALSE), IFERROR(VLOOKUP($A909,'Vocus RVC ExDa'!$C$2:$R$155, 0,FALSE), IFERROR(VLOOKUP($A909,'Fusion ExDa'!$B$2:$D$16, 0,FALSE), IFERROR(VLOOKUP($A909,'Exetel ExDa'!$C$2:$N$14, 0,FALSE), IFERROR(VLOOKUP($A909,'Infinet ExDa'!$B$2:$E$14, 0,FALSE), "Not Found"))))))))</f>
        <v>Not Found</v>
      </c>
    </row>
    <row r="910" spans="1:14">
      <c r="A910" t="str">
        <v>Makris Group | Broadbeach</v>
      </c>
      <c r="B910" t="str">
        <f>IFERROR(VLOOKUP(A910,'Exetel ExDa'!$C$2:$N$14,4,FALSE),"No Data")</f>
        <v>0755045018</v>
      </c>
      <c r="C910" t="str">
        <f>IFERROR(VLOOKUP(A910,'AAPT ExDa'!$B$2:$U$99, 2,FALSE), IFERROR(VLOOKUP(A910,'ABB ExDa'!$A$2:$N$184, 2,FALSE), IFERROR(VLOOKUP(A910,'Vocus SIT ExDa'!$B$2:$J$173, 7,FALSE), IFERROR(VLOOKUP(A910,'Telstra ExDa'!$B$2:$K$310, 2,FALSE), IFERROR(VLOOKUP(A910,'Vocus RVC ExDa'!$C$2:$R$155, 3,FALSE), IFERROR(VLOOKUP(A910,'Fusion ExDa'!$B$2:$D$16, 2,FALSE), IFERROR(VLOOKUP(A910,'Exetel ExDa'!$C$2:$N$14, 2,FALSE), IFERROR(VLOOKUP(A910,'Infinet ExDa'!$B$2:$E$14, 2,FALSE), "Not Found"))))))))</f>
        <v>SUITE 221 17 ELIZABETH AVENUE, BROADBEACH, QLD, 4218</v>
      </c>
      <c r="D910" t="str">
        <f>IFERROR(VLOOKUP($A910,'AAPT ExDa'!$B$2:$U$99, 15,FALSE), IFERROR(VLOOKUP($A910,'ABB ExDa'!$A$2:$N$184, 4,FALSE), IFERROR(VLOOKUP($A910,'Vocus SIT ExDa'!$B$2:$J$173, 5,FALSE), IFERROR(VLOOKUP($A910,'Telstra ExDa'!$B$2:$K$310, 8,FALSE), IFERROR(VLOOKUP($A910,'Vocus RVC ExDa'!$C$2:$R$155, 6,FALSE), IFERROR(VLOOKUP($A910,'Fusion ExDa'!$B$2:$D$16, 4,FALSE), IFERROR(VLOOKUP($A910,'Exetel ExDa'!$C$2:$N$14, 3,FALSE), IFERROR(VLOOKUP($A910,'Infinet ExDa'!$B$2:$E$14, 3,FALSE), "Not Found"))))))))</f>
        <v>Exetel</v>
      </c>
      <c r="E910" t="str">
        <f>IFERROR(VLOOKUP($A910,'AAPT ExDa'!$B$2:$U$99, 3,FALSE), IFERROR(VLOOKUP($A910,'ABB ExDa'!$A$2:$N$184, 5,FALSE), IFERROR(VLOOKUP($A910,'Vocus SIT ExDa'!$B$2:$J$173, 2,FALSE), IFERROR(VLOOKUP($A910,'Telstra ExDa'!$B$2:$K$310, 4,FALSE), IFERROR(VLOOKUP($A910,'Vocus RVC ExDa'!$C$2:$R$155, 8,FALSE), IFERROR(VLOOKUP($A910,'Fusion ExDa'!$B$2:$D$16, 4,FALSE), IFERROR(VLOOKUP($A910,'Exetel ExDa'!$C$2:$N$14, 5,FALSE), IFERROR(VLOOKUP($A910,'Infinet ExDa'!$B$2:$E$14, 3,FALSE), "Not Found"))))))))</f>
        <v>NBNEE100 CBD Unlimited 350</v>
      </c>
      <c r="F910" t="str">
        <f>IFERROR(VLOOKUP($A910,'AAPT ExDa'!$B$2:$U$99, 4,FALSE), IFERROR(VLOOKUP($A910,'ABB ExDa'!$A$2:$N$184, 6,FALSE), IFERROR(VLOOKUP($A910,'Vocus SIT ExDa'!$B$2:$J$173, 3,FALSE), IFERROR(VLOOKUP($A910,'Telstra ExDa'!$B$2:$K$310, 5,FALSE), IFERROR(VLOOKUP($A910,'Vocus RVC ExDa'!$C$2:$R$155, 9,FALSE), IFERROR(VLOOKUP($A910,'Fusion ExDa'!$B$2:$D$16, 0,FALSE), IFERROR(VLOOKUP($A910,'Exetel ExDa'!$C$2:$N$14, 6,FALSE), IFERROR(VLOOKUP($A910,'Infinet ExDa'!$B$2:$E$14, 0,FALSE), "Not Found"))))))))</f>
        <v>100/100Mbps</v>
      </c>
      <c r="G910" t="str">
        <f>IFERROR(VLOOKUP($A910,'AAPT ExDa'!$B$2:$U$99, 5,FALSE), IFERROR(VLOOKUP($A910,'ABB ExDa'!$A$2:$N$184, 8,FALSE), IFERROR(VLOOKUP($A910,'Vocus SIT ExDa'!$B$2:$J$173, 6,FALSE), IFERROR(VLOOKUP($A910,'Telstra ExDa'!$B$2:$K$310, 0,FALSE), IFERROR(VLOOKUP($A910,'Vocus RVC ExDa'!$C$2:$R$155, 15,FALSE), IFERROR(VLOOKUP($A910,'Fusion ExDa'!$B$2:$D$16, 0,FALSE), IFERROR(VLOOKUP($A910,'Exetel ExDa'!$C$2:$N$14, 7,FALSE), IFERROR(VLOOKUP($A910,'Infinet ExDa'!$B$2:$E$14, 0,FALSE), "Not Found"))))))))</f>
        <v>Fibre</v>
      </c>
      <c r="H910" t="str">
        <f>IFERROR(VLOOKUP($A910,'AAPT ExDa'!$B$2:$U$99, 6,FALSE), IFERROR(VLOOKUP($A910,'ABB ExDa'!$A$2:$N$184, 0,FALSE), IFERROR(VLOOKUP($A910,'Vocus SIT ExDa'!$B$2:$J$173, 0,FALSE), IFERROR(VLOOKUP($A910,'Telstra ExDa'!$B$2:$K$310, 0,FALSE), IFERROR(VLOOKUP($A910,'Vocus RVC ExDa'!$C$2:$R$155, 16,FALSE), IFERROR(VLOOKUP($A910,'Fusion ExDa'!$B$2:$D$16, 0,FALSE), IFERROR(VLOOKUP($A910,'Exetel ExDa'!$C$2:$N$14, 0,FALSE), IFERROR(VLOOKUP($A910,'Infinet ExDa'!$B$2:$E$14, 0,FALSE), "Not Found"))))))))</f>
        <v>Not Found</v>
      </c>
      <c r="I910" t="str">
        <f>IFERROR(VLOOKUP($A910,'AAPT ExDa'!$B$2:$U$99, 0,FALSE), IFERROR(VLOOKUP($A910,'ABB ExDa'!$A$2:$N$184, 0,FALSE), IFERROR(VLOOKUP($A910,'Vocus SIT ExDa'!$B$2:$J$173, 0,FALSE), IFERROR(VLOOKUP($A910,'Telstra ExDa'!$B$2:$K$310, 0,FALSE), IFERROR(VLOOKUP($A910,'Vocus RVC ExDa'!$C$2:$R$155, 0,FALSE), IFERROR(VLOOKUP($A910,'Fusion ExDa'!$B$2:$D$16, 0,FALSE), IFERROR(VLOOKUP($A910,'Exetel ExDa'!$C$2:$N$14, 8,FALSE), IFERROR(VLOOKUP($A910,'Infinet ExDa'!$B$2:$E$14, 0,FALSE), "Not Found"))))))))</f>
        <v>58.96.61.181</v>
      </c>
      <c r="J910" t="str">
        <f>IFERROR(VLOOKUP($A910,'AAPT ExDa'!$B$2:$U$99, 7,FALSE), IFERROR(VLOOKUP($A910,'ABB ExDa'!$A$2:$N$184, 2,FALSE), IFERROR(VLOOKUP($A910,'Vocus SIT ExDa'!$B$2:$J$173, 0,FALSE), IFERROR(VLOOKUP($A910,'Telstra ExDa'!$B$2:$K$310, 7,FALSE), IFERROR(VLOOKUP($A910,'Vocus RVC ExDa'!$C$2:$R$155, 2,FALSE), IFERROR(VLOOKUP($A910,'Fusion ExDa'!$B$2:$D$16, 3,FALSE), IFERROR(VLOOKUP($A910,'Exetel ExDa'!$C$2:$N$14, 0,FALSE), IFERROR(VLOOKUP($A910,'Infinet ExDa'!$B$2:$E$14, 0,FALSE), "Not Found"))))))))</f>
        <v>Not Found</v>
      </c>
      <c r="K910" t="str">
        <f>IFERROR(VLOOKUP($A910,'AAPT ExDa'!$B$2:$U$99, 12,FALSE), IFERROR(VLOOKUP($A910,'ABB ExDa'!$A$2:$N$184, 0,FALSE), IFERROR(VLOOKUP($A910,'Vocus SIT ExDa'!$B$2:$J$173, 0,FALSE), IFERROR(VLOOKUP($A910,'Telstra ExDa'!$B$2:$K$310, 0,FALSE), IFERROR(VLOOKUP($A910,'Vocus RVC ExDa'!$C$2:$R$155, 0,FALSE), IFERROR(VLOOKUP($A910,'Fusion ExDa'!$B$2:$D$16, 0,FALSE), IFERROR(VLOOKUP($A910,'Exetel ExDa'!$C$2:$N$14, 12,FALSE), IFERROR(VLOOKUP($A910,'Infinet ExDa'!$B$2:$E$14, 0,FALSE), "Not Found"))))))))</f>
        <v>36 Months</v>
      </c>
      <c r="L910" s="235" t="str">
        <f>IFERROR(VLOOKUP($A910,'AAPT ExDa'!$B$2:$U$99, 11,FALSE), IFERROR(VLOOKUP($A910,'ABB ExDa'!$A$2:$N$184, 9,FALSE), IFERROR(VLOOKUP($A910,'Vocus SIT ExDa'!$B$2:$J$173, 8,FALSE), IFERROR(VLOOKUP($A910,'Telstra ExDa'!$B$2:$K$310, 0,FALSE), IFERROR(VLOOKUP($A910,'Vocus RVC ExDa'!$C$2:$R$155, 0,FALSE), IFERROR(VLOOKUP($A910,'Fusion ExDa'!$B$2:$D$16, 0,FALSE), IFERROR(VLOOKUP($A910,'Exetel ExDa'!$C$2:$N$14, 9,FALSE), IFERROR(VLOOKUP($A910,'Infinet ExDa'!$B$2:$E$14, 0,FALSE), "Not Found"))))))))</f>
        <v>20 Oct 2021</v>
      </c>
      <c r="M910" s="234" t="str">
        <f>IFERROR(VLOOKUP($A910,'AAPT ExDa'!$B$2:$U$99, 0,FALSE), IFERROR(VLOOKUP($A910,'ABB ExDa'!$A$2:$N$184, 0,FALSE), IFERROR(VLOOKUP($A910,'Vocus SIT ExDa'!$B$2:$J$173, 0,FALSE), IFERROR(VLOOKUP($A910,'Telstra ExDa'!$B$2:$K$310, 0,FALSE), IFERROR(VLOOKUP($A910,'Vocus RVC ExDa'!$C$2:$R$155, 0,FALSE), IFERROR(VLOOKUP($A910,'Fusion ExDa'!$B$2:$D$16, 0,FALSE), IFERROR(VLOOKUP($A910,'Exetel ExDa'!$C$2:$N$14, 11,FALSE), IFERROR(VLOOKUP($A910,'Infinet ExDa'!$B$2:$E$14, 0,FALSE), "Not Found"))))))))</f>
        <v>20 Oct 2024</v>
      </c>
      <c r="N910" t="str">
        <f>IFERROR(VLOOKUP($A910,'AAPT ExDa'!$B$2:$U$99, 0,FALSE), IFERROR(VLOOKUP($A910,'ABB ExDa'!$A$2:$N$184, 13,FALSE), IFERROR(VLOOKUP($A910,'Vocus SIT ExDa'!$B$2:$J$173, 0,FALSE), IFERROR(VLOOKUP($A910,'Telstra ExDa'!$B$2:$K$310, 0,FALSE), IFERROR(VLOOKUP($A910,'Vocus RVC ExDa'!$C$2:$R$155, 0,FALSE), IFERROR(VLOOKUP($A910,'Fusion ExDa'!$B$2:$D$16, 0,FALSE), IFERROR(VLOOKUP($A910,'Exetel ExDa'!$C$2:$N$14, 0,FALSE), IFERROR(VLOOKUP($A910,'Infinet ExDa'!$B$2:$E$14, 0,FALSE), "Not Found"))))))))</f>
        <v>Not Found</v>
      </c>
    </row>
    <row r="911" spans="1:14">
      <c r="A911" t="str">
        <v>Pokolbin | TMLL50 (Spicers Vineyards)</v>
      </c>
      <c r="B911" t="str">
        <f>IFERROR(VLOOKUP(A911,'Exetel ExDa'!$C$2:$N$14,4,FALSE),"No Data")</f>
        <v>0755045019</v>
      </c>
      <c r="C911" t="str">
        <f>IFERROR(VLOOKUP(A911,'AAPT ExDa'!$B$2:$U$99, 2,FALSE), IFERROR(VLOOKUP(A911,'ABB ExDa'!$A$2:$N$184, 2,FALSE), IFERROR(VLOOKUP(A911,'Vocus SIT ExDa'!$B$2:$J$173, 7,FALSE), IFERROR(VLOOKUP(A911,'Telstra ExDa'!$B$2:$K$310, 2,FALSE), IFERROR(VLOOKUP(A911,'Vocus RVC ExDa'!$C$2:$R$155, 3,FALSE), IFERROR(VLOOKUP(A911,'Fusion ExDa'!$B$2:$D$16, 2,FALSE), IFERROR(VLOOKUP(A911,'Exetel ExDa'!$C$2:$N$14, 2,FALSE), IFERROR(VLOOKUP(A911,'Infinet ExDa'!$B$2:$E$14, 2,FALSE), "Not Found"))))))))</f>
        <v>555 HERMITAGE ROAD, POKOLBIN, NSW, 2320</v>
      </c>
      <c r="D911" t="str">
        <f>IFERROR(VLOOKUP($A911,'AAPT ExDa'!$B$2:$U$99, 15,FALSE), IFERROR(VLOOKUP($A911,'ABB ExDa'!$A$2:$N$184, 4,FALSE), IFERROR(VLOOKUP($A911,'Vocus SIT ExDa'!$B$2:$J$173, 5,FALSE), IFERROR(VLOOKUP($A911,'Telstra ExDa'!$B$2:$K$310, 8,FALSE), IFERROR(VLOOKUP($A911,'Vocus RVC ExDa'!$C$2:$R$155, 6,FALSE), IFERROR(VLOOKUP($A911,'Fusion ExDa'!$B$2:$D$16, 4,FALSE), IFERROR(VLOOKUP($A911,'Exetel ExDa'!$C$2:$N$14, 3,FALSE), IFERROR(VLOOKUP($A911,'Infinet ExDa'!$B$2:$E$14, 3,FALSE), "Not Found"))))))))</f>
        <v>Exetel</v>
      </c>
      <c r="E911" t="str">
        <f>IFERROR(VLOOKUP($A911,'AAPT ExDa'!$B$2:$U$99, 3,FALSE), IFERROR(VLOOKUP($A911,'ABB ExDa'!$A$2:$N$184, 5,FALSE), IFERROR(VLOOKUP($A911,'Vocus SIT ExDa'!$B$2:$J$173, 2,FALSE), IFERROR(VLOOKUP($A911,'Telstra ExDa'!$B$2:$K$310, 4,FALSE), IFERROR(VLOOKUP($A911,'Vocus RVC ExDa'!$C$2:$R$155, 8,FALSE), IFERROR(VLOOKUP($A911,'Fusion ExDa'!$B$2:$D$16, 4,FALSE), IFERROR(VLOOKUP($A911,'Exetel ExDa'!$C$2:$N$14, 5,FALSE), IFERROR(VLOOKUP($A911,'Infinet ExDa'!$B$2:$E$14, 3,FALSE), "Not Found"))))))))</f>
        <v>Plan TMLL50 R1 Unlimited 825</v>
      </c>
      <c r="F911" t="str">
        <f>IFERROR(VLOOKUP($A911,'AAPT ExDa'!$B$2:$U$99, 4,FALSE), IFERROR(VLOOKUP($A911,'ABB ExDa'!$A$2:$N$184, 6,FALSE), IFERROR(VLOOKUP($A911,'Vocus SIT ExDa'!$B$2:$J$173, 3,FALSE), IFERROR(VLOOKUP($A911,'Telstra ExDa'!$B$2:$K$310, 5,FALSE), IFERROR(VLOOKUP($A911,'Vocus RVC ExDa'!$C$2:$R$155, 9,FALSE), IFERROR(VLOOKUP($A911,'Fusion ExDa'!$B$2:$D$16, 0,FALSE), IFERROR(VLOOKUP($A911,'Exetel ExDa'!$C$2:$N$14, 6,FALSE), IFERROR(VLOOKUP($A911,'Infinet ExDa'!$B$2:$E$14, 0,FALSE), "Not Found"))))))))</f>
        <v>50/50Mbps</v>
      </c>
      <c r="G911" t="str">
        <f>IFERROR(VLOOKUP($A911,'AAPT ExDa'!$B$2:$U$99, 5,FALSE), IFERROR(VLOOKUP($A911,'ABB ExDa'!$A$2:$N$184, 8,FALSE), IFERROR(VLOOKUP($A911,'Vocus SIT ExDa'!$B$2:$J$173, 6,FALSE), IFERROR(VLOOKUP($A911,'Telstra ExDa'!$B$2:$K$310, 0,FALSE), IFERROR(VLOOKUP($A911,'Vocus RVC ExDa'!$C$2:$R$155, 15,FALSE), IFERROR(VLOOKUP($A911,'Fusion ExDa'!$B$2:$D$16, 0,FALSE), IFERROR(VLOOKUP($A911,'Exetel ExDa'!$C$2:$N$14, 7,FALSE), IFERROR(VLOOKUP($A911,'Infinet ExDa'!$B$2:$E$14, 0,FALSE), "Not Found"))))))))</f>
        <v>Fibre</v>
      </c>
      <c r="H911" t="str">
        <f>IFERROR(VLOOKUP($A911,'AAPT ExDa'!$B$2:$U$99, 6,FALSE), IFERROR(VLOOKUP($A911,'ABB ExDa'!$A$2:$N$184, 0,FALSE), IFERROR(VLOOKUP($A911,'Vocus SIT ExDa'!$B$2:$J$173, 0,FALSE), IFERROR(VLOOKUP($A911,'Telstra ExDa'!$B$2:$K$310, 0,FALSE), IFERROR(VLOOKUP($A911,'Vocus RVC ExDa'!$C$2:$R$155, 16,FALSE), IFERROR(VLOOKUP($A911,'Fusion ExDa'!$B$2:$D$16, 0,FALSE), IFERROR(VLOOKUP($A911,'Exetel ExDa'!$C$2:$N$14, 0,FALSE), IFERROR(VLOOKUP($A911,'Infinet ExDa'!$B$2:$E$14, 0,FALSE), "Not Found"))))))))</f>
        <v>Not Found</v>
      </c>
      <c r="I911" t="str">
        <f>IFERROR(VLOOKUP($A911,'AAPT ExDa'!$B$2:$U$99, 0,FALSE), IFERROR(VLOOKUP($A911,'ABB ExDa'!$A$2:$N$184, 0,FALSE), IFERROR(VLOOKUP($A911,'Vocus SIT ExDa'!$B$2:$J$173, 0,FALSE), IFERROR(VLOOKUP($A911,'Telstra ExDa'!$B$2:$K$310, 0,FALSE), IFERROR(VLOOKUP($A911,'Vocus RVC ExDa'!$C$2:$R$155, 0,FALSE), IFERROR(VLOOKUP($A911,'Fusion ExDa'!$B$2:$D$16, 0,FALSE), IFERROR(VLOOKUP($A911,'Exetel ExDa'!$C$2:$N$14, 8,FALSE), IFERROR(VLOOKUP($A911,'Infinet ExDa'!$B$2:$E$14, 0,FALSE), "Not Found"))))))))</f>
        <v>220.233.145.19</v>
      </c>
      <c r="J911" t="str">
        <f>IFERROR(VLOOKUP($A911,'AAPT ExDa'!$B$2:$U$99, 7,FALSE), IFERROR(VLOOKUP($A911,'ABB ExDa'!$A$2:$N$184, 2,FALSE), IFERROR(VLOOKUP($A911,'Vocus SIT ExDa'!$B$2:$J$173, 0,FALSE), IFERROR(VLOOKUP($A911,'Telstra ExDa'!$B$2:$K$310, 7,FALSE), IFERROR(VLOOKUP($A911,'Vocus RVC ExDa'!$C$2:$R$155, 2,FALSE), IFERROR(VLOOKUP($A911,'Fusion ExDa'!$B$2:$D$16, 3,FALSE), IFERROR(VLOOKUP($A911,'Exetel ExDa'!$C$2:$N$14, 0,FALSE), IFERROR(VLOOKUP($A911,'Infinet ExDa'!$B$2:$E$14, 0,FALSE), "Not Found"))))))))</f>
        <v>Not Found</v>
      </c>
      <c r="K911" t="str">
        <f>IFERROR(VLOOKUP($A911,'AAPT ExDa'!$B$2:$U$99, 12,FALSE), IFERROR(VLOOKUP($A911,'ABB ExDa'!$A$2:$N$184, 0,FALSE), IFERROR(VLOOKUP($A911,'Vocus SIT ExDa'!$B$2:$J$173, 0,FALSE), IFERROR(VLOOKUP($A911,'Telstra ExDa'!$B$2:$K$310, 0,FALSE), IFERROR(VLOOKUP($A911,'Vocus RVC ExDa'!$C$2:$R$155, 0,FALSE), IFERROR(VLOOKUP($A911,'Fusion ExDa'!$B$2:$D$16, 0,FALSE), IFERROR(VLOOKUP($A911,'Exetel ExDa'!$C$2:$N$14, 12,FALSE), IFERROR(VLOOKUP($A911,'Infinet ExDa'!$B$2:$E$14, 0,FALSE), "Not Found"))))))))</f>
        <v>36 Months</v>
      </c>
      <c r="L911" s="235" t="str">
        <f>IFERROR(VLOOKUP($A911,'AAPT ExDa'!$B$2:$U$99, 11,FALSE), IFERROR(VLOOKUP($A911,'ABB ExDa'!$A$2:$N$184, 9,FALSE), IFERROR(VLOOKUP($A911,'Vocus SIT ExDa'!$B$2:$J$173, 8,FALSE), IFERROR(VLOOKUP($A911,'Telstra ExDa'!$B$2:$K$310, 0,FALSE), IFERROR(VLOOKUP($A911,'Vocus RVC ExDa'!$C$2:$R$155, 0,FALSE), IFERROR(VLOOKUP($A911,'Fusion ExDa'!$B$2:$D$16, 0,FALSE), IFERROR(VLOOKUP($A911,'Exetel ExDa'!$C$2:$N$14, 9,FALSE), IFERROR(VLOOKUP($A911,'Infinet ExDa'!$B$2:$E$14, 0,FALSE), "Not Found"))))))))</f>
        <v>24 Feb 2022</v>
      </c>
      <c r="M911" s="234" t="str">
        <f>IFERROR(VLOOKUP($A911,'AAPT ExDa'!$B$2:$U$99, 0,FALSE), IFERROR(VLOOKUP($A911,'ABB ExDa'!$A$2:$N$184, 0,FALSE), IFERROR(VLOOKUP($A911,'Vocus SIT ExDa'!$B$2:$J$173, 0,FALSE), IFERROR(VLOOKUP($A911,'Telstra ExDa'!$B$2:$K$310, 0,FALSE), IFERROR(VLOOKUP($A911,'Vocus RVC ExDa'!$C$2:$R$155, 0,FALSE), IFERROR(VLOOKUP($A911,'Fusion ExDa'!$B$2:$D$16, 0,FALSE), IFERROR(VLOOKUP($A911,'Exetel ExDa'!$C$2:$N$14, 11,FALSE), IFERROR(VLOOKUP($A911,'Infinet ExDa'!$B$2:$E$14, 0,FALSE), "Not Found"))))))))</f>
        <v>24 Feb 2025</v>
      </c>
      <c r="N911" t="str">
        <f>IFERROR(VLOOKUP($A911,'AAPT ExDa'!$B$2:$U$99, 0,FALSE), IFERROR(VLOOKUP($A911,'ABB ExDa'!$A$2:$N$184, 13,FALSE), IFERROR(VLOOKUP($A911,'Vocus SIT ExDa'!$B$2:$J$173, 0,FALSE), IFERROR(VLOOKUP($A911,'Telstra ExDa'!$B$2:$K$310, 0,FALSE), IFERROR(VLOOKUP($A911,'Vocus RVC ExDa'!$C$2:$R$155, 0,FALSE), IFERROR(VLOOKUP($A911,'Fusion ExDa'!$B$2:$D$16, 0,FALSE), IFERROR(VLOOKUP($A911,'Exetel ExDa'!$C$2:$N$14, 0,FALSE), IFERROR(VLOOKUP($A911,'Infinet ExDa'!$B$2:$E$14, 0,FALSE), "Not Found"))))))))</f>
        <v>Not Found</v>
      </c>
    </row>
    <row r="912" spans="1:14">
      <c r="A912" t="str">
        <v>Tingalpa | NBNEE500</v>
      </c>
      <c r="B912" t="str">
        <f>IFERROR(VLOOKUP(A912,'Exetel ExDa'!$C$2:$N$14,4,FALSE),"No Data")</f>
        <v>0755045020</v>
      </c>
      <c r="C912" t="str">
        <f>IFERROR(VLOOKUP(A912,'AAPT ExDa'!$B$2:$U$99, 2,FALSE), IFERROR(VLOOKUP(A912,'ABB ExDa'!$A$2:$N$184, 2,FALSE), IFERROR(VLOOKUP(A912,'Vocus SIT ExDa'!$B$2:$J$173, 7,FALSE), IFERROR(VLOOKUP(A912,'Telstra ExDa'!$B$2:$K$310, 2,FALSE), IFERROR(VLOOKUP(A912,'Vocus RVC ExDa'!$C$2:$R$155, 3,FALSE), IFERROR(VLOOKUP(A912,'Fusion ExDa'!$B$2:$D$16, 2,FALSE), IFERROR(VLOOKUP(A912,'Exetel ExDa'!$C$2:$N$14, 2,FALSE), IFERROR(VLOOKUP(A912,'Infinet ExDa'!$B$2:$E$14, 2,FALSE), "Not Found"))))))))</f>
        <v>UNIT 1A 60 ENTERPRISE PLACE, TINGALPA, QLD, 4173</v>
      </c>
      <c r="D912" t="str">
        <f>IFERROR(VLOOKUP($A912,'AAPT ExDa'!$B$2:$U$99, 15,FALSE), IFERROR(VLOOKUP($A912,'ABB ExDa'!$A$2:$N$184, 4,FALSE), IFERROR(VLOOKUP($A912,'Vocus SIT ExDa'!$B$2:$J$173, 5,FALSE), IFERROR(VLOOKUP($A912,'Telstra ExDa'!$B$2:$K$310, 8,FALSE), IFERROR(VLOOKUP($A912,'Vocus RVC ExDa'!$C$2:$R$155, 6,FALSE), IFERROR(VLOOKUP($A912,'Fusion ExDa'!$B$2:$D$16, 4,FALSE), IFERROR(VLOOKUP($A912,'Exetel ExDa'!$C$2:$N$14, 3,FALSE), IFERROR(VLOOKUP($A912,'Infinet ExDa'!$B$2:$E$14, 3,FALSE), "Not Found"))))))))</f>
        <v>Exetel</v>
      </c>
      <c r="E912" t="str">
        <f>IFERROR(VLOOKUP($A912,'AAPT ExDa'!$B$2:$U$99, 3,FALSE), IFERROR(VLOOKUP($A912,'ABB ExDa'!$A$2:$N$184, 5,FALSE), IFERROR(VLOOKUP($A912,'Vocus SIT ExDa'!$B$2:$J$173, 2,FALSE), IFERROR(VLOOKUP($A912,'Telstra ExDa'!$B$2:$K$310, 4,FALSE), IFERROR(VLOOKUP($A912,'Vocus RVC ExDa'!$C$2:$R$155, 8,FALSE), IFERROR(VLOOKUP($A912,'Fusion ExDa'!$B$2:$D$16, 4,FALSE), IFERROR(VLOOKUP($A912,'Exetel ExDa'!$C$2:$N$14, 5,FALSE), IFERROR(VLOOKUP($A912,'Infinet ExDa'!$B$2:$E$14, 3,FALSE), "Not Found"))))))))</f>
        <v>Plan NBNEE1000 CBD Unlimited 935</v>
      </c>
      <c r="F912" t="str">
        <f>IFERROR(VLOOKUP($A912,'AAPT ExDa'!$B$2:$U$99, 4,FALSE), IFERROR(VLOOKUP($A912,'ABB ExDa'!$A$2:$N$184, 6,FALSE), IFERROR(VLOOKUP($A912,'Vocus SIT ExDa'!$B$2:$J$173, 3,FALSE), IFERROR(VLOOKUP($A912,'Telstra ExDa'!$B$2:$K$310, 5,FALSE), IFERROR(VLOOKUP($A912,'Vocus RVC ExDa'!$C$2:$R$155, 9,FALSE), IFERROR(VLOOKUP($A912,'Fusion ExDa'!$B$2:$D$16, 0,FALSE), IFERROR(VLOOKUP($A912,'Exetel ExDa'!$C$2:$N$14, 6,FALSE), IFERROR(VLOOKUP($A912,'Infinet ExDa'!$B$2:$E$14, 0,FALSE), "Not Found"))))))))</f>
        <v>100/100Mbps</v>
      </c>
      <c r="G912" t="str">
        <f>IFERROR(VLOOKUP($A912,'AAPT ExDa'!$B$2:$U$99, 5,FALSE), IFERROR(VLOOKUP($A912,'ABB ExDa'!$A$2:$N$184, 8,FALSE), IFERROR(VLOOKUP($A912,'Vocus SIT ExDa'!$B$2:$J$173, 6,FALSE), IFERROR(VLOOKUP($A912,'Telstra ExDa'!$B$2:$K$310, 0,FALSE), IFERROR(VLOOKUP($A912,'Vocus RVC ExDa'!$C$2:$R$155, 15,FALSE), IFERROR(VLOOKUP($A912,'Fusion ExDa'!$B$2:$D$16, 0,FALSE), IFERROR(VLOOKUP($A912,'Exetel ExDa'!$C$2:$N$14, 7,FALSE), IFERROR(VLOOKUP($A912,'Infinet ExDa'!$B$2:$E$14, 0,FALSE), "Not Found"))))))))</f>
        <v>Fibre</v>
      </c>
      <c r="H912" t="str">
        <f>IFERROR(VLOOKUP($A912,'AAPT ExDa'!$B$2:$U$99, 6,FALSE), IFERROR(VLOOKUP($A912,'ABB ExDa'!$A$2:$N$184, 0,FALSE), IFERROR(VLOOKUP($A912,'Vocus SIT ExDa'!$B$2:$J$173, 0,FALSE), IFERROR(VLOOKUP($A912,'Telstra ExDa'!$B$2:$K$310, 0,FALSE), IFERROR(VLOOKUP($A912,'Vocus RVC ExDa'!$C$2:$R$155, 16,FALSE), IFERROR(VLOOKUP($A912,'Fusion ExDa'!$B$2:$D$16, 0,FALSE), IFERROR(VLOOKUP($A912,'Exetel ExDa'!$C$2:$N$14, 0,FALSE), IFERROR(VLOOKUP($A912,'Infinet ExDa'!$B$2:$E$14, 0,FALSE), "Not Found"))))))))</f>
        <v>Not Found</v>
      </c>
      <c r="I912" t="str">
        <f>IFERROR(VLOOKUP($A912,'AAPT ExDa'!$B$2:$U$99, 0,FALSE), IFERROR(VLOOKUP($A912,'ABB ExDa'!$A$2:$N$184, 0,FALSE), IFERROR(VLOOKUP($A912,'Vocus SIT ExDa'!$B$2:$J$173, 0,FALSE), IFERROR(VLOOKUP($A912,'Telstra ExDa'!$B$2:$K$310, 0,FALSE), IFERROR(VLOOKUP($A912,'Vocus RVC ExDa'!$C$2:$R$155, 0,FALSE), IFERROR(VLOOKUP($A912,'Fusion ExDa'!$B$2:$D$16, 0,FALSE), IFERROR(VLOOKUP($A912,'Exetel ExDa'!$C$2:$N$14, 8,FALSE), IFERROR(VLOOKUP($A912,'Infinet ExDa'!$B$2:$E$14, 0,FALSE), "Not Found"))))))))</f>
        <v>115.70.173.239</v>
      </c>
      <c r="J912" t="str">
        <f>IFERROR(VLOOKUP($A912,'AAPT ExDa'!$B$2:$U$99, 7,FALSE), IFERROR(VLOOKUP($A912,'ABB ExDa'!$A$2:$N$184, 2,FALSE), IFERROR(VLOOKUP($A912,'Vocus SIT ExDa'!$B$2:$J$173, 0,FALSE), IFERROR(VLOOKUP($A912,'Telstra ExDa'!$B$2:$K$310, 7,FALSE), IFERROR(VLOOKUP($A912,'Vocus RVC ExDa'!$C$2:$R$155, 2,FALSE), IFERROR(VLOOKUP($A912,'Fusion ExDa'!$B$2:$D$16, 3,FALSE), IFERROR(VLOOKUP($A912,'Exetel ExDa'!$C$2:$N$14, 0,FALSE), IFERROR(VLOOKUP($A912,'Infinet ExDa'!$B$2:$E$14, 0,FALSE), "Not Found"))))))))</f>
        <v>Not Found</v>
      </c>
      <c r="K912" t="str">
        <f>IFERROR(VLOOKUP($A912,'AAPT ExDa'!$B$2:$U$99, 12,FALSE), IFERROR(VLOOKUP($A912,'ABB ExDa'!$A$2:$N$184, 0,FALSE), IFERROR(VLOOKUP($A912,'Vocus SIT ExDa'!$B$2:$J$173, 0,FALSE), IFERROR(VLOOKUP($A912,'Telstra ExDa'!$B$2:$K$310, 0,FALSE), IFERROR(VLOOKUP($A912,'Vocus RVC ExDa'!$C$2:$R$155, 0,FALSE), IFERROR(VLOOKUP($A912,'Fusion ExDa'!$B$2:$D$16, 0,FALSE), IFERROR(VLOOKUP($A912,'Exetel ExDa'!$C$2:$N$14, 12,FALSE), IFERROR(VLOOKUP($A912,'Infinet ExDa'!$B$2:$E$14, 0,FALSE), "Not Found"))))))))</f>
        <v>36 Months</v>
      </c>
      <c r="L912" s="235" t="str">
        <f>IFERROR(VLOOKUP($A912,'AAPT ExDa'!$B$2:$U$99, 11,FALSE), IFERROR(VLOOKUP($A912,'ABB ExDa'!$A$2:$N$184, 9,FALSE), IFERROR(VLOOKUP($A912,'Vocus SIT ExDa'!$B$2:$J$173, 8,FALSE), IFERROR(VLOOKUP($A912,'Telstra ExDa'!$B$2:$K$310, 0,FALSE), IFERROR(VLOOKUP($A912,'Vocus RVC ExDa'!$C$2:$R$155, 0,FALSE), IFERROR(VLOOKUP($A912,'Fusion ExDa'!$B$2:$D$16, 0,FALSE), IFERROR(VLOOKUP($A912,'Exetel ExDa'!$C$2:$N$14, 9,FALSE), IFERROR(VLOOKUP($A912,'Infinet ExDa'!$B$2:$E$14, 0,FALSE), "Not Found"))))))))</f>
        <v>14 Feb 2022</v>
      </c>
      <c r="M912" s="234" t="str">
        <f>IFERROR(VLOOKUP($A912,'AAPT ExDa'!$B$2:$U$99, 0,FALSE), IFERROR(VLOOKUP($A912,'ABB ExDa'!$A$2:$N$184, 0,FALSE), IFERROR(VLOOKUP($A912,'Vocus SIT ExDa'!$B$2:$J$173, 0,FALSE), IFERROR(VLOOKUP($A912,'Telstra ExDa'!$B$2:$K$310, 0,FALSE), IFERROR(VLOOKUP($A912,'Vocus RVC ExDa'!$C$2:$R$155, 0,FALSE), IFERROR(VLOOKUP($A912,'Fusion ExDa'!$B$2:$D$16, 0,FALSE), IFERROR(VLOOKUP($A912,'Exetel ExDa'!$C$2:$N$14, 11,FALSE), IFERROR(VLOOKUP($A912,'Infinet ExDa'!$B$2:$E$14, 0,FALSE), "Not Found"))))))))</f>
        <v>22 Feb 2026</v>
      </c>
      <c r="N912" t="str">
        <f>IFERROR(VLOOKUP($A912,'AAPT ExDa'!$B$2:$U$99, 0,FALSE), IFERROR(VLOOKUP($A912,'ABB ExDa'!$A$2:$N$184, 13,FALSE), IFERROR(VLOOKUP($A912,'Vocus SIT ExDa'!$B$2:$J$173, 0,FALSE), IFERROR(VLOOKUP($A912,'Telstra ExDa'!$B$2:$K$310, 0,FALSE), IFERROR(VLOOKUP($A912,'Vocus RVC ExDa'!$C$2:$R$155, 0,FALSE), IFERROR(VLOOKUP($A912,'Fusion ExDa'!$B$2:$D$16, 0,FALSE), IFERROR(VLOOKUP($A912,'Exetel ExDa'!$C$2:$N$14, 0,FALSE), IFERROR(VLOOKUP($A912,'Infinet ExDa'!$B$2:$E$14, 0,FALSE), "Not Found"))))))))</f>
        <v>Not Found</v>
      </c>
    </row>
    <row r="913" spans="1:14">
      <c r="A913" t="str">
        <v>Elizabeth Hodge - Empire Accountants</v>
      </c>
      <c r="B913" t="str">
        <f>IFERROR(VLOOKUP(A913,'Exetel ExDa'!$C$2:$N$14,4,FALSE),"No Data")</f>
        <v>0730541945</v>
      </c>
      <c r="C913" t="str">
        <f>IFERROR(VLOOKUP(A913,'AAPT ExDa'!$B$2:$U$99, 2,FALSE), IFERROR(VLOOKUP(A913,'ABB ExDa'!$A$2:$N$184, 2,FALSE), IFERROR(VLOOKUP(A913,'Vocus SIT ExDa'!$B$2:$J$173, 7,FALSE), IFERROR(VLOOKUP(A913,'Telstra ExDa'!$B$2:$K$310, 2,FALSE), IFERROR(VLOOKUP(A913,'Vocus RVC ExDa'!$C$2:$R$155, 3,FALSE), IFERROR(VLOOKUP(A913,'Fusion ExDa'!$B$2:$D$16, 2,FALSE), IFERROR(VLOOKUP(A913,'Exetel ExDa'!$C$2:$N$14, 2,FALSE), IFERROR(VLOOKUP(A913,'Infinet ExDa'!$B$2:$E$14, 2,FALSE), "Not Found"))))))))</f>
        <v>5B 57 MILLER STREET, MURARRIE, QLD, 4172</v>
      </c>
      <c r="D913" t="str">
        <f>IFERROR(VLOOKUP($A913,'AAPT ExDa'!$B$2:$U$99, 15,FALSE), IFERROR(VLOOKUP($A913,'ABB ExDa'!$A$2:$N$184, 4,FALSE), IFERROR(VLOOKUP($A913,'Vocus SIT ExDa'!$B$2:$J$173, 5,FALSE), IFERROR(VLOOKUP($A913,'Telstra ExDa'!$B$2:$K$310, 8,FALSE), IFERROR(VLOOKUP($A913,'Vocus RVC ExDa'!$C$2:$R$155, 6,FALSE), IFERROR(VLOOKUP($A913,'Fusion ExDa'!$B$2:$D$16, 4,FALSE), IFERROR(VLOOKUP($A913,'Exetel ExDa'!$C$2:$N$14, 3,FALSE), IFERROR(VLOOKUP($A913,'Infinet ExDa'!$B$2:$E$14, 3,FALSE), "Not Found"))))))))</f>
        <v>Exetel</v>
      </c>
      <c r="E913" t="str">
        <f>IFERROR(VLOOKUP($A913,'AAPT ExDa'!$B$2:$U$99, 3,FALSE), IFERROR(VLOOKUP($A913,'ABB ExDa'!$A$2:$N$184, 5,FALSE), IFERROR(VLOOKUP($A913,'Vocus SIT ExDa'!$B$2:$J$173, 2,FALSE), IFERROR(VLOOKUP($A913,'Telstra ExDa'!$B$2:$K$310, 4,FALSE), IFERROR(VLOOKUP($A913,'Vocus RVC ExDa'!$C$2:$R$155, 8,FALSE), IFERROR(VLOOKUP($A913,'Fusion ExDa'!$B$2:$D$16, 4,FALSE), IFERROR(VLOOKUP($A913,'Exetel ExDa'!$C$2:$N$14, 5,FALSE), IFERROR(VLOOKUP($A913,'Infinet ExDa'!$B$2:$E$14, 3,FALSE), "Not Found"))))))))</f>
        <v>Plan TFS200R1 Unlimited 387</v>
      </c>
      <c r="F913" t="str">
        <f>IFERROR(VLOOKUP($A913,'AAPT ExDa'!$B$2:$U$99, 4,FALSE), IFERROR(VLOOKUP($A913,'ABB ExDa'!$A$2:$N$184, 6,FALSE), IFERROR(VLOOKUP($A913,'Vocus SIT ExDa'!$B$2:$J$173, 3,FALSE), IFERROR(VLOOKUP($A913,'Telstra ExDa'!$B$2:$K$310, 5,FALSE), IFERROR(VLOOKUP($A913,'Vocus RVC ExDa'!$C$2:$R$155, 9,FALSE), IFERROR(VLOOKUP($A913,'Fusion ExDa'!$B$2:$D$16, 0,FALSE), IFERROR(VLOOKUP($A913,'Exetel ExDa'!$C$2:$N$14, 6,FALSE), IFERROR(VLOOKUP($A913,'Infinet ExDa'!$B$2:$E$14, 0,FALSE), "Not Found"))))))))</f>
        <v>200/200Mbps</v>
      </c>
      <c r="G913" t="str">
        <f>IFERROR(VLOOKUP($A913,'AAPT ExDa'!$B$2:$U$99, 5,FALSE), IFERROR(VLOOKUP($A913,'ABB ExDa'!$A$2:$N$184, 8,FALSE), IFERROR(VLOOKUP($A913,'Vocus SIT ExDa'!$B$2:$J$173, 6,FALSE), IFERROR(VLOOKUP($A913,'Telstra ExDa'!$B$2:$K$310, 0,FALSE), IFERROR(VLOOKUP($A913,'Vocus RVC ExDa'!$C$2:$R$155, 15,FALSE), IFERROR(VLOOKUP($A913,'Fusion ExDa'!$B$2:$D$16, 0,FALSE), IFERROR(VLOOKUP($A913,'Exetel ExDa'!$C$2:$N$14, 7,FALSE), IFERROR(VLOOKUP($A913,'Infinet ExDa'!$B$2:$E$14, 0,FALSE), "Not Found"))))))))</f>
        <v>Fibre</v>
      </c>
      <c r="H913" t="str">
        <f>IFERROR(VLOOKUP($A913,'AAPT ExDa'!$B$2:$U$99, 6,FALSE), IFERROR(VLOOKUP($A913,'ABB ExDa'!$A$2:$N$184, 0,FALSE), IFERROR(VLOOKUP($A913,'Vocus SIT ExDa'!$B$2:$J$173, 0,FALSE), IFERROR(VLOOKUP($A913,'Telstra ExDa'!$B$2:$K$310, 0,FALSE), IFERROR(VLOOKUP($A913,'Vocus RVC ExDa'!$C$2:$R$155, 16,FALSE), IFERROR(VLOOKUP($A913,'Fusion ExDa'!$B$2:$D$16, 0,FALSE), IFERROR(VLOOKUP($A913,'Exetel ExDa'!$C$2:$N$14, 0,FALSE), IFERROR(VLOOKUP($A913,'Infinet ExDa'!$B$2:$E$14, 0,FALSE), "Not Found"))))))))</f>
        <v>Not Found</v>
      </c>
      <c r="I913" t="str">
        <f>IFERROR(VLOOKUP($A913,'AAPT ExDa'!$B$2:$U$99, 0,FALSE), IFERROR(VLOOKUP($A913,'ABB ExDa'!$A$2:$N$184, 0,FALSE), IFERROR(VLOOKUP($A913,'Vocus SIT ExDa'!$B$2:$J$173, 0,FALSE), IFERROR(VLOOKUP($A913,'Telstra ExDa'!$B$2:$K$310, 0,FALSE), IFERROR(VLOOKUP($A913,'Vocus RVC ExDa'!$C$2:$R$155, 0,FALSE), IFERROR(VLOOKUP($A913,'Fusion ExDa'!$B$2:$D$16, 0,FALSE), IFERROR(VLOOKUP($A913,'Exetel ExDa'!$C$2:$N$14, 8,FALSE), IFERROR(VLOOKUP($A913,'Infinet ExDa'!$B$2:$E$14, 0,FALSE), "Not Found"))))))))</f>
        <v>58.96.61.138</v>
      </c>
      <c r="J913" t="str">
        <f>IFERROR(VLOOKUP($A913,'AAPT ExDa'!$B$2:$U$99, 7,FALSE), IFERROR(VLOOKUP($A913,'ABB ExDa'!$A$2:$N$184, 2,FALSE), IFERROR(VLOOKUP($A913,'Vocus SIT ExDa'!$B$2:$J$173, 0,FALSE), IFERROR(VLOOKUP($A913,'Telstra ExDa'!$B$2:$K$310, 7,FALSE), IFERROR(VLOOKUP($A913,'Vocus RVC ExDa'!$C$2:$R$155, 2,FALSE), IFERROR(VLOOKUP($A913,'Fusion ExDa'!$B$2:$D$16, 3,FALSE), IFERROR(VLOOKUP($A913,'Exetel ExDa'!$C$2:$N$14, 0,FALSE), IFERROR(VLOOKUP($A913,'Infinet ExDa'!$B$2:$E$14, 0,FALSE), "Not Found"))))))))</f>
        <v>Not Found</v>
      </c>
      <c r="K913" t="str">
        <f>IFERROR(VLOOKUP($A913,'AAPT ExDa'!$B$2:$U$99, 12,FALSE), IFERROR(VLOOKUP($A913,'ABB ExDa'!$A$2:$N$184, 0,FALSE), IFERROR(VLOOKUP($A913,'Vocus SIT ExDa'!$B$2:$J$173, 0,FALSE), IFERROR(VLOOKUP($A913,'Telstra ExDa'!$B$2:$K$310, 0,FALSE), IFERROR(VLOOKUP($A913,'Vocus RVC ExDa'!$C$2:$R$155, 0,FALSE), IFERROR(VLOOKUP($A913,'Fusion ExDa'!$B$2:$D$16, 0,FALSE), IFERROR(VLOOKUP($A913,'Exetel ExDa'!$C$2:$N$14, 12,FALSE), IFERROR(VLOOKUP($A913,'Infinet ExDa'!$B$2:$E$14, 0,FALSE), "Not Found"))))))))</f>
        <v>36 Months</v>
      </c>
      <c r="L913" s="235" t="str">
        <f>IFERROR(VLOOKUP($A913,'AAPT ExDa'!$B$2:$U$99, 11,FALSE), IFERROR(VLOOKUP($A913,'ABB ExDa'!$A$2:$N$184, 9,FALSE), IFERROR(VLOOKUP($A913,'Vocus SIT ExDa'!$B$2:$J$173, 8,FALSE), IFERROR(VLOOKUP($A913,'Telstra ExDa'!$B$2:$K$310, 0,FALSE), IFERROR(VLOOKUP($A913,'Vocus RVC ExDa'!$C$2:$R$155, 0,FALSE), IFERROR(VLOOKUP($A913,'Fusion ExDa'!$B$2:$D$16, 0,FALSE), IFERROR(VLOOKUP($A913,'Exetel ExDa'!$C$2:$N$14, 9,FALSE), IFERROR(VLOOKUP($A913,'Infinet ExDa'!$B$2:$E$14, 0,FALSE), "Not Found"))))))))</f>
        <v>1 Dec 2022</v>
      </c>
      <c r="M913" s="234" t="str">
        <f>IFERROR(VLOOKUP($A913,'AAPT ExDa'!$B$2:$U$99, 0,FALSE), IFERROR(VLOOKUP($A913,'ABB ExDa'!$A$2:$N$184, 0,FALSE), IFERROR(VLOOKUP($A913,'Vocus SIT ExDa'!$B$2:$J$173, 0,FALSE), IFERROR(VLOOKUP($A913,'Telstra ExDa'!$B$2:$K$310, 0,FALSE), IFERROR(VLOOKUP($A913,'Vocus RVC ExDa'!$C$2:$R$155, 0,FALSE), IFERROR(VLOOKUP($A913,'Fusion ExDa'!$B$2:$D$16, 0,FALSE), IFERROR(VLOOKUP($A913,'Exetel ExDa'!$C$2:$N$14, 11,FALSE), IFERROR(VLOOKUP($A913,'Infinet ExDa'!$B$2:$E$14, 0,FALSE), "Not Found"))))))))</f>
        <v>5 Jun 2027</v>
      </c>
      <c r="N913" t="str">
        <f>IFERROR(VLOOKUP($A913,'AAPT ExDa'!$B$2:$U$99, 0,FALSE), IFERROR(VLOOKUP($A913,'ABB ExDa'!$A$2:$N$184, 13,FALSE), IFERROR(VLOOKUP($A913,'Vocus SIT ExDa'!$B$2:$J$173, 0,FALSE), IFERROR(VLOOKUP($A913,'Telstra ExDa'!$B$2:$K$310, 0,FALSE), IFERROR(VLOOKUP($A913,'Vocus RVC ExDa'!$C$2:$R$155, 0,FALSE), IFERROR(VLOOKUP($A913,'Fusion ExDa'!$B$2:$D$16, 0,FALSE), IFERROR(VLOOKUP($A913,'Exetel ExDa'!$C$2:$N$14, 0,FALSE), IFERROR(VLOOKUP($A913,'Infinet ExDa'!$B$2:$E$14, 0,FALSE), "Not Found"))))))))</f>
        <v>Not Found</v>
      </c>
    </row>
    <row r="914" spans="1:14">
      <c r="A914" t="str">
        <v>Gateway Containers</v>
      </c>
      <c r="B914" t="str">
        <f>IFERROR(VLOOKUP(A914,'Exetel ExDa'!$C$2:$N$14,4,FALSE),"No Data")</f>
        <v>0755045021</v>
      </c>
      <c r="C914" t="str">
        <f>IFERROR(VLOOKUP(A914,'AAPT ExDa'!$B$2:$U$99, 2,FALSE), IFERROR(VLOOKUP(A914,'ABB ExDa'!$A$2:$N$184, 2,FALSE), IFERROR(VLOOKUP(A914,'Vocus SIT ExDa'!$B$2:$J$173, 7,FALSE), IFERROR(VLOOKUP(A914,'Telstra ExDa'!$B$2:$K$310, 2,FALSE), IFERROR(VLOOKUP(A914,'Vocus RVC ExDa'!$C$2:$R$155, 3,FALSE), IFERROR(VLOOKUP(A914,'Fusion ExDa'!$B$2:$D$16, 2,FALSE), IFERROR(VLOOKUP(A914,'Exetel ExDa'!$C$2:$N$14, 2,FALSE), IFERROR(VLOOKUP(A914,'Infinet ExDa'!$B$2:$E$14, 2,FALSE), "Not Found"))))))))</f>
        <v>Unit 1, 49 Miller Street, Murarrie QLD 4173</v>
      </c>
      <c r="D914" t="str">
        <f>IFERROR(VLOOKUP($A914,'AAPT ExDa'!$B$2:$U$99, 15,FALSE), IFERROR(VLOOKUP($A914,'ABB ExDa'!$A$2:$N$184, 4,FALSE), IFERROR(VLOOKUP($A914,'Vocus SIT ExDa'!$B$2:$J$173, 5,FALSE), IFERROR(VLOOKUP($A914,'Telstra ExDa'!$B$2:$K$310, 8,FALSE), IFERROR(VLOOKUP($A914,'Vocus RVC ExDa'!$C$2:$R$155, 6,FALSE), IFERROR(VLOOKUP($A914,'Fusion ExDa'!$B$2:$D$16, 4,FALSE), IFERROR(VLOOKUP($A914,'Exetel ExDa'!$C$2:$N$14, 3,FALSE), IFERROR(VLOOKUP($A914,'Infinet ExDa'!$B$2:$E$14, 3,FALSE), "Not Found"))))))))</f>
        <v>Vocus SIT</v>
      </c>
      <c r="E914" t="str">
        <f>IFERROR(VLOOKUP($A914,'AAPT ExDa'!$B$2:$U$99, 3,FALSE), IFERROR(VLOOKUP($A914,'ABB ExDa'!$A$2:$N$184, 5,FALSE), IFERROR(VLOOKUP($A914,'Vocus SIT ExDa'!$B$2:$J$173, 2,FALSE), IFERROR(VLOOKUP($A914,'Telstra ExDa'!$B$2:$K$310, 4,FALSE), IFERROR(VLOOKUP($A914,'Vocus RVC ExDa'!$C$2:$R$155, 8,FALSE), IFERROR(VLOOKUP($A914,'Fusion ExDa'!$B$2:$D$16, 4,FALSE), IFERROR(VLOOKUP($A914,'Exetel ExDa'!$C$2:$N$14, 5,FALSE), IFERROR(VLOOKUP($A914,'Infinet ExDa'!$B$2:$E$14, 3,FALSE), "Not Found"))))))))</f>
        <v>Voice Service</v>
      </c>
      <c r="F914" t="str">
        <f>IFERROR(VLOOKUP($A914,'AAPT ExDa'!$B$2:$U$99, 4,FALSE), IFERROR(VLOOKUP($A914,'ABB ExDa'!$A$2:$N$184, 6,FALSE), IFERROR(VLOOKUP($A914,'Vocus SIT ExDa'!$B$2:$J$173, 3,FALSE), IFERROR(VLOOKUP($A914,'Telstra ExDa'!$B$2:$K$310, 5,FALSE), IFERROR(VLOOKUP($A914,'Vocus RVC ExDa'!$C$2:$R$155, 9,FALSE), IFERROR(VLOOKUP($A914,'Fusion ExDa'!$B$2:$D$16, 0,FALSE), IFERROR(VLOOKUP($A914,'Exetel ExDa'!$C$2:$N$14, 6,FALSE), IFERROR(VLOOKUP($A914,'Infinet ExDa'!$B$2:$E$14, 0,FALSE), "Not Found"))))))))</f>
        <v>0733482107
0733486129
0733485468</v>
      </c>
      <c r="G914" t="str">
        <f>IFERROR(VLOOKUP($A914,'AAPT ExDa'!$B$2:$U$99, 5,FALSE), IFERROR(VLOOKUP($A914,'ABB ExDa'!$A$2:$N$184, 8,FALSE), IFERROR(VLOOKUP($A914,'Vocus SIT ExDa'!$B$2:$J$173, 6,FALSE), IFERROR(VLOOKUP($A914,'Telstra ExDa'!$B$2:$K$310, 0,FALSE), IFERROR(VLOOKUP($A914,'Vocus RVC ExDa'!$C$2:$R$155, 15,FALSE), IFERROR(VLOOKUP($A914,'Fusion ExDa'!$B$2:$D$16, 0,FALSE), IFERROR(VLOOKUP($A914,'Exetel ExDa'!$C$2:$N$14, 7,FALSE), IFERROR(VLOOKUP($A914,'Infinet ExDa'!$B$2:$E$14, 0,FALSE), "Not Found"))))))))</f>
        <v>Gateway number porting [BN-002035 V2]
Voice (5 Mbps) - Unit 1, 49 Miller Street, Murarrie QLD 4172</v>
      </c>
      <c r="H914" t="str">
        <f>IFERROR(VLOOKUP($A914,'AAPT ExDa'!$B$2:$U$99, 6,FALSE), IFERROR(VLOOKUP($A914,'ABB ExDa'!$A$2:$N$184, 0,FALSE), IFERROR(VLOOKUP($A914,'Vocus SIT ExDa'!$B$2:$J$173, 0,FALSE), IFERROR(VLOOKUP($A914,'Telstra ExDa'!$B$2:$K$310, 0,FALSE), IFERROR(VLOOKUP($A914,'Vocus RVC ExDa'!$C$2:$R$155, 16,FALSE), IFERROR(VLOOKUP($A914,'Fusion ExDa'!$B$2:$D$16, 0,FALSE), IFERROR(VLOOKUP($A914,'Exetel ExDa'!$C$2:$N$14, 0,FALSE), IFERROR(VLOOKUP($A914,'Infinet ExDa'!$B$2:$E$14, 0,FALSE), "Not Found"))))))))</f>
        <v>Not Found</v>
      </c>
      <c r="I914" t="str">
        <f>IFERROR(VLOOKUP($A914,'AAPT ExDa'!$B$2:$U$99, 0,FALSE), IFERROR(VLOOKUP($A914,'ABB ExDa'!$A$2:$N$184, 0,FALSE), IFERROR(VLOOKUP($A914,'Vocus SIT ExDa'!$B$2:$J$173, 0,FALSE), IFERROR(VLOOKUP($A914,'Telstra ExDa'!$B$2:$K$310, 0,FALSE), IFERROR(VLOOKUP($A914,'Vocus RVC ExDa'!$C$2:$R$155, 0,FALSE), IFERROR(VLOOKUP($A914,'Fusion ExDa'!$B$2:$D$16, 0,FALSE), IFERROR(VLOOKUP($A914,'Exetel ExDa'!$C$2:$N$14, 8,FALSE), IFERROR(VLOOKUP($A914,'Infinet ExDa'!$B$2:$E$14, 0,FALSE), "Not Found"))))))))</f>
        <v>58.96.63.19</v>
      </c>
      <c r="J914" t="str">
        <f>IFERROR(VLOOKUP($A914,'AAPT ExDa'!$B$2:$U$99, 7,FALSE), IFERROR(VLOOKUP($A914,'ABB ExDa'!$A$2:$N$184, 2,FALSE), IFERROR(VLOOKUP($A914,'Vocus SIT ExDa'!$B$2:$J$173, 0,FALSE), IFERROR(VLOOKUP($A914,'Telstra ExDa'!$B$2:$K$310, 7,FALSE), IFERROR(VLOOKUP($A914,'Vocus RVC ExDa'!$C$2:$R$155, 2,FALSE), IFERROR(VLOOKUP($A914,'Fusion ExDa'!$B$2:$D$16, 3,FALSE), IFERROR(VLOOKUP($A914,'Exetel ExDa'!$C$2:$N$14, 0,FALSE), IFERROR(VLOOKUP($A914,'Infinet ExDa'!$B$2:$E$14, 0,FALSE), "Not Found"))))))))</f>
        <v>Not Found</v>
      </c>
      <c r="K914" t="str">
        <f>IFERROR(VLOOKUP($A914,'AAPT ExDa'!$B$2:$U$99, 12,FALSE), IFERROR(VLOOKUP($A914,'ABB ExDa'!$A$2:$N$184, 0,FALSE), IFERROR(VLOOKUP($A914,'Vocus SIT ExDa'!$B$2:$J$173, 0,FALSE), IFERROR(VLOOKUP($A914,'Telstra ExDa'!$B$2:$K$310, 0,FALSE), IFERROR(VLOOKUP($A914,'Vocus RVC ExDa'!$C$2:$R$155, 0,FALSE), IFERROR(VLOOKUP($A914,'Fusion ExDa'!$B$2:$D$16, 0,FALSE), IFERROR(VLOOKUP($A914,'Exetel ExDa'!$C$2:$N$14, 12,FALSE), IFERROR(VLOOKUP($A914,'Infinet ExDa'!$B$2:$E$14, 0,FALSE), "Not Found"))))))))</f>
        <v>36 Months</v>
      </c>
      <c r="L914" s="235">
        <f>IFERROR(VLOOKUP($A914,'AAPT ExDa'!$B$2:$U$99, 11,FALSE), IFERROR(VLOOKUP($A914,'ABB ExDa'!$A$2:$N$184, 9,FALSE), IFERROR(VLOOKUP($A914,'Vocus SIT ExDa'!$B$2:$J$173, 8,FALSE), IFERROR(VLOOKUP($A914,'Telstra ExDa'!$B$2:$K$310, 0,FALSE), IFERROR(VLOOKUP($A914,'Vocus RVC ExDa'!$C$2:$R$155, 0,FALSE), IFERROR(VLOOKUP($A914,'Fusion ExDa'!$B$2:$D$16, 0,FALSE), IFERROR(VLOOKUP($A914,'Exetel ExDa'!$C$2:$N$14, 9,FALSE), IFERROR(VLOOKUP($A914,'Infinet ExDa'!$B$2:$E$14, 0,FALSE), "Not Found"))))))))</f>
        <v>45607</v>
      </c>
      <c r="M914" s="234" t="str">
        <f>IFERROR(VLOOKUP($A914,'AAPT ExDa'!$B$2:$U$99, 0,FALSE), IFERROR(VLOOKUP($A914,'ABB ExDa'!$A$2:$N$184, 0,FALSE), IFERROR(VLOOKUP($A914,'Vocus SIT ExDa'!$B$2:$J$173, 0,FALSE), IFERROR(VLOOKUP($A914,'Telstra ExDa'!$B$2:$K$310, 0,FALSE), IFERROR(VLOOKUP($A914,'Vocus RVC ExDa'!$C$2:$R$155, 0,FALSE), IFERROR(VLOOKUP($A914,'Fusion ExDa'!$B$2:$D$16, 0,FALSE), IFERROR(VLOOKUP($A914,'Exetel ExDa'!$C$2:$N$14, 11,FALSE), IFERROR(VLOOKUP($A914,'Infinet ExDa'!$B$2:$E$14, 0,FALSE), "Not Found"))))))))</f>
        <v xml:space="preserve">2 June 2026 </v>
      </c>
      <c r="N914" t="str">
        <f>IFERROR(VLOOKUP($A914,'AAPT ExDa'!$B$2:$U$99, 0,FALSE), IFERROR(VLOOKUP($A914,'ABB ExDa'!$A$2:$N$184, 13,FALSE), IFERROR(VLOOKUP($A914,'Vocus SIT ExDa'!$B$2:$J$173, 0,FALSE), IFERROR(VLOOKUP($A914,'Telstra ExDa'!$B$2:$K$310, 0,FALSE), IFERROR(VLOOKUP($A914,'Vocus RVC ExDa'!$C$2:$R$155, 0,FALSE), IFERROR(VLOOKUP($A914,'Fusion ExDa'!$B$2:$D$16, 0,FALSE), IFERROR(VLOOKUP($A914,'Exetel ExDa'!$C$2:$N$14, 0,FALSE), IFERROR(VLOOKUP($A914,'Infinet ExDa'!$B$2:$E$14, 0,FALSE), "Not Found"))))))))</f>
        <v>Not Found</v>
      </c>
    </row>
    <row r="915" spans="1:14">
      <c r="A915" t="str">
        <v>BGC Engineering</v>
      </c>
      <c r="B915" t="str">
        <f>IFERROR(VLOOKUP(A915,'Exetel ExDa'!$C$2:$N$14,4,FALSE),"No Data")</f>
        <v>0755045022</v>
      </c>
      <c r="C915" t="str">
        <f>IFERROR(VLOOKUP(A915,'AAPT ExDa'!$B$2:$U$99, 2,FALSE), IFERROR(VLOOKUP(A915,'ABB ExDa'!$A$2:$N$184, 2,FALSE), IFERROR(VLOOKUP(A915,'Vocus SIT ExDa'!$B$2:$J$173, 7,FALSE), IFERROR(VLOOKUP(A915,'Telstra ExDa'!$B$2:$K$310, 2,FALSE), IFERROR(VLOOKUP(A915,'Vocus RVC ExDa'!$C$2:$R$155, 3,FALSE), IFERROR(VLOOKUP(A915,'Fusion ExDa'!$B$2:$D$16, 2,FALSE), IFERROR(VLOOKUP(A915,'Exetel ExDa'!$C$2:$N$14, 2,FALSE), IFERROR(VLOOKUP(A915,'Infinet ExDa'!$B$2:$E$14, 2,FALSE), "Not Found"))))))))</f>
        <v>LEVEL 3 31 MERIVALE STREET, SOUTH BRISBANE, QLD, 4101</v>
      </c>
      <c r="D915" t="str">
        <f>IFERROR(VLOOKUP($A915,'AAPT ExDa'!$B$2:$U$99, 15,FALSE), IFERROR(VLOOKUP($A915,'ABB ExDa'!$A$2:$N$184, 4,FALSE), IFERROR(VLOOKUP($A915,'Vocus SIT ExDa'!$B$2:$J$173, 5,FALSE), IFERROR(VLOOKUP($A915,'Telstra ExDa'!$B$2:$K$310, 8,FALSE), IFERROR(VLOOKUP($A915,'Vocus RVC ExDa'!$C$2:$R$155, 6,FALSE), IFERROR(VLOOKUP($A915,'Fusion ExDa'!$B$2:$D$16, 4,FALSE), IFERROR(VLOOKUP($A915,'Exetel ExDa'!$C$2:$N$14, 3,FALSE), IFERROR(VLOOKUP($A915,'Infinet ExDa'!$B$2:$E$14, 3,FALSE), "Not Found"))))))))</f>
        <v>Exetel</v>
      </c>
      <c r="E915" t="str">
        <f>IFERROR(VLOOKUP($A915,'AAPT ExDa'!$B$2:$U$99, 3,FALSE), IFERROR(VLOOKUP($A915,'ABB ExDa'!$A$2:$N$184, 5,FALSE), IFERROR(VLOOKUP($A915,'Vocus SIT ExDa'!$B$2:$J$173, 2,FALSE), IFERROR(VLOOKUP($A915,'Telstra ExDa'!$B$2:$K$310, 4,FALSE), IFERROR(VLOOKUP($A915,'Vocus RVC ExDa'!$C$2:$R$155, 8,FALSE), IFERROR(VLOOKUP($A915,'Fusion ExDa'!$B$2:$D$16, 4,FALSE), IFERROR(VLOOKUP($A915,'Exetel ExDa'!$C$2:$N$14, 5,FALSE), IFERROR(VLOOKUP($A915,'Infinet ExDa'!$B$2:$E$14, 3,FALSE), "Not Found"))))))))</f>
        <v>Plan TFS1000R1 Unlimited 805</v>
      </c>
      <c r="F915" t="str">
        <f>IFERROR(VLOOKUP($A915,'AAPT ExDa'!$B$2:$U$99, 4,FALSE), IFERROR(VLOOKUP($A915,'ABB ExDa'!$A$2:$N$184, 6,FALSE), IFERROR(VLOOKUP($A915,'Vocus SIT ExDa'!$B$2:$J$173, 3,FALSE), IFERROR(VLOOKUP($A915,'Telstra ExDa'!$B$2:$K$310, 5,FALSE), IFERROR(VLOOKUP($A915,'Vocus RVC ExDa'!$C$2:$R$155, 9,FALSE), IFERROR(VLOOKUP($A915,'Fusion ExDa'!$B$2:$D$16, 0,FALSE), IFERROR(VLOOKUP($A915,'Exetel ExDa'!$C$2:$N$14, 6,FALSE), IFERROR(VLOOKUP($A915,'Infinet ExDa'!$B$2:$E$14, 0,FALSE), "Not Found"))))))))</f>
        <v>1000/1000Mbps</v>
      </c>
      <c r="G915" t="str">
        <f>IFERROR(VLOOKUP($A915,'AAPT ExDa'!$B$2:$U$99, 5,FALSE), IFERROR(VLOOKUP($A915,'ABB ExDa'!$A$2:$N$184, 8,FALSE), IFERROR(VLOOKUP($A915,'Vocus SIT ExDa'!$B$2:$J$173, 6,FALSE), IFERROR(VLOOKUP($A915,'Telstra ExDa'!$B$2:$K$310, 0,FALSE), IFERROR(VLOOKUP($A915,'Vocus RVC ExDa'!$C$2:$R$155, 15,FALSE), IFERROR(VLOOKUP($A915,'Fusion ExDa'!$B$2:$D$16, 0,FALSE), IFERROR(VLOOKUP($A915,'Exetel ExDa'!$C$2:$N$14, 7,FALSE), IFERROR(VLOOKUP($A915,'Infinet ExDa'!$B$2:$E$14, 0,FALSE), "Not Found"))))))))</f>
        <v>Fibre</v>
      </c>
      <c r="H915" t="str">
        <f>IFERROR(VLOOKUP($A915,'AAPT ExDa'!$B$2:$U$99, 6,FALSE), IFERROR(VLOOKUP($A915,'ABB ExDa'!$A$2:$N$184, 0,FALSE), IFERROR(VLOOKUP($A915,'Vocus SIT ExDa'!$B$2:$J$173, 0,FALSE), IFERROR(VLOOKUP($A915,'Telstra ExDa'!$B$2:$K$310, 0,FALSE), IFERROR(VLOOKUP($A915,'Vocus RVC ExDa'!$C$2:$R$155, 16,FALSE), IFERROR(VLOOKUP($A915,'Fusion ExDa'!$B$2:$D$16, 0,FALSE), IFERROR(VLOOKUP($A915,'Exetel ExDa'!$C$2:$N$14, 0,FALSE), IFERROR(VLOOKUP($A915,'Infinet ExDa'!$B$2:$E$14, 0,FALSE), "Not Found"))))))))</f>
        <v>Not Found</v>
      </c>
      <c r="I915" t="str">
        <f>IFERROR(VLOOKUP($A915,'AAPT ExDa'!$B$2:$U$99, 0,FALSE), IFERROR(VLOOKUP($A915,'ABB ExDa'!$A$2:$N$184, 0,FALSE), IFERROR(VLOOKUP($A915,'Vocus SIT ExDa'!$B$2:$J$173, 0,FALSE), IFERROR(VLOOKUP($A915,'Telstra ExDa'!$B$2:$K$310, 0,FALSE), IFERROR(VLOOKUP($A915,'Vocus RVC ExDa'!$C$2:$R$155, 0,FALSE), IFERROR(VLOOKUP($A915,'Fusion ExDa'!$B$2:$D$16, 0,FALSE), IFERROR(VLOOKUP($A915,'Exetel ExDa'!$C$2:$N$14, 8,FALSE), IFERROR(VLOOKUP($A915,'Infinet ExDa'!$B$2:$E$14, 0,FALSE), "Not Found"))))))))</f>
        <v>220.233.219.13</v>
      </c>
      <c r="J915" t="str">
        <f>IFERROR(VLOOKUP($A915,'AAPT ExDa'!$B$2:$U$99, 7,FALSE), IFERROR(VLOOKUP($A915,'ABB ExDa'!$A$2:$N$184, 2,FALSE), IFERROR(VLOOKUP($A915,'Vocus SIT ExDa'!$B$2:$J$173, 0,FALSE), IFERROR(VLOOKUP($A915,'Telstra ExDa'!$B$2:$K$310, 7,FALSE), IFERROR(VLOOKUP($A915,'Vocus RVC ExDa'!$C$2:$R$155, 2,FALSE), IFERROR(VLOOKUP($A915,'Fusion ExDa'!$B$2:$D$16, 3,FALSE), IFERROR(VLOOKUP($A915,'Exetel ExDa'!$C$2:$N$14, 0,FALSE), IFERROR(VLOOKUP($A915,'Infinet ExDa'!$B$2:$E$14, 0,FALSE), "Not Found"))))))))</f>
        <v>Not Found</v>
      </c>
      <c r="K915" t="str">
        <f>IFERROR(VLOOKUP($A915,'AAPT ExDa'!$B$2:$U$99, 12,FALSE), IFERROR(VLOOKUP($A915,'ABB ExDa'!$A$2:$N$184, 0,FALSE), IFERROR(VLOOKUP($A915,'Vocus SIT ExDa'!$B$2:$J$173, 0,FALSE), IFERROR(VLOOKUP($A915,'Telstra ExDa'!$B$2:$K$310, 0,FALSE), IFERROR(VLOOKUP($A915,'Vocus RVC ExDa'!$C$2:$R$155, 0,FALSE), IFERROR(VLOOKUP($A915,'Fusion ExDa'!$B$2:$D$16, 0,FALSE), IFERROR(VLOOKUP($A915,'Exetel ExDa'!$C$2:$N$14, 12,FALSE), IFERROR(VLOOKUP($A915,'Infinet ExDa'!$B$2:$E$14, 0,FALSE), "Not Found"))))))))</f>
        <v>36 Months</v>
      </c>
      <c r="L915" s="235" t="str">
        <f>IFERROR(VLOOKUP($A915,'AAPT ExDa'!$B$2:$U$99, 11,FALSE), IFERROR(VLOOKUP($A915,'ABB ExDa'!$A$2:$N$184, 9,FALSE), IFERROR(VLOOKUP($A915,'Vocus SIT ExDa'!$B$2:$J$173, 8,FALSE), IFERROR(VLOOKUP($A915,'Telstra ExDa'!$B$2:$K$310, 0,FALSE), IFERROR(VLOOKUP($A915,'Vocus RVC ExDa'!$C$2:$R$155, 0,FALSE), IFERROR(VLOOKUP($A915,'Fusion ExDa'!$B$2:$D$16, 0,FALSE), IFERROR(VLOOKUP($A915,'Exetel ExDa'!$C$2:$N$14, 9,FALSE), IFERROR(VLOOKUP($A915,'Infinet ExDa'!$B$2:$E$14, 0,FALSE), "Not Found"))))))))</f>
        <v>14 Nov 2023</v>
      </c>
      <c r="M915" s="234" t="str">
        <f>IFERROR(VLOOKUP($A915,'AAPT ExDa'!$B$2:$U$99, 0,FALSE), IFERROR(VLOOKUP($A915,'ABB ExDa'!$A$2:$N$184, 0,FALSE), IFERROR(VLOOKUP($A915,'Vocus SIT ExDa'!$B$2:$J$173, 0,FALSE), IFERROR(VLOOKUP($A915,'Telstra ExDa'!$B$2:$K$310, 0,FALSE), IFERROR(VLOOKUP($A915,'Vocus RVC ExDa'!$C$2:$R$155, 0,FALSE), IFERROR(VLOOKUP($A915,'Fusion ExDa'!$B$2:$D$16, 0,FALSE), IFERROR(VLOOKUP($A915,'Exetel ExDa'!$C$2:$N$14, 11,FALSE), IFERROR(VLOOKUP($A915,'Infinet ExDa'!$B$2:$E$14, 0,FALSE), "Not Found"))))))))</f>
        <v>14 Nov 2026</v>
      </c>
      <c r="N915" t="str">
        <f>IFERROR(VLOOKUP($A915,'AAPT ExDa'!$B$2:$U$99, 0,FALSE), IFERROR(VLOOKUP($A915,'ABB ExDa'!$A$2:$N$184, 13,FALSE), IFERROR(VLOOKUP($A915,'Vocus SIT ExDa'!$B$2:$J$173, 0,FALSE), IFERROR(VLOOKUP($A915,'Telstra ExDa'!$B$2:$K$310, 0,FALSE), IFERROR(VLOOKUP($A915,'Vocus RVC ExDa'!$C$2:$R$155, 0,FALSE), IFERROR(VLOOKUP($A915,'Fusion ExDa'!$B$2:$D$16, 0,FALSE), IFERROR(VLOOKUP($A915,'Exetel ExDa'!$C$2:$N$14, 0,FALSE), IFERROR(VLOOKUP($A915,'Infinet ExDa'!$B$2:$E$14, 0,FALSE), "Not Found"))))))))</f>
        <v>Not Found</v>
      </c>
    </row>
    <row r="916" spans="1:14">
      <c r="A916" t="str">
        <v>BGC Engineering - 4G Backup site</v>
      </c>
      <c r="B916" t="str">
        <f>IFERROR(VLOOKUP(A916,'Exetel ExDa'!$C$2:$N$14,4,FALSE),"No Data")</f>
        <v>0755045023</v>
      </c>
      <c r="C916" t="str">
        <f>IFERROR(VLOOKUP(A916,'AAPT ExDa'!$B$2:$U$99, 2,FALSE), IFERROR(VLOOKUP(A916,'ABB ExDa'!$A$2:$N$184, 2,FALSE), IFERROR(VLOOKUP(A916,'Vocus SIT ExDa'!$B$2:$J$173, 7,FALSE), IFERROR(VLOOKUP(A916,'Telstra ExDa'!$B$2:$K$310, 2,FALSE), IFERROR(VLOOKUP(A916,'Vocus RVC ExDa'!$C$2:$R$155, 3,FALSE), IFERROR(VLOOKUP(A916,'Fusion ExDa'!$B$2:$D$16, 2,FALSE), IFERROR(VLOOKUP(A916,'Exetel ExDa'!$C$2:$N$14, 2,FALSE), IFERROR(VLOOKUP(A916,'Infinet ExDa'!$B$2:$E$14, 2,FALSE), "Not Found"))))))))</f>
        <v>LEVEL 3 31 MERIVALE STREET, SOUTH BRISBANE, QLD, 4101</v>
      </c>
      <c r="D916" t="str">
        <f>IFERROR(VLOOKUP($A916,'AAPT ExDa'!$B$2:$U$99, 15,FALSE), IFERROR(VLOOKUP($A916,'ABB ExDa'!$A$2:$N$184, 4,FALSE), IFERROR(VLOOKUP($A916,'Vocus SIT ExDa'!$B$2:$J$173, 5,FALSE), IFERROR(VLOOKUP($A916,'Telstra ExDa'!$B$2:$K$310, 8,FALSE), IFERROR(VLOOKUP($A916,'Vocus RVC ExDa'!$C$2:$R$155, 6,FALSE), IFERROR(VLOOKUP($A916,'Fusion ExDa'!$B$2:$D$16, 4,FALSE), IFERROR(VLOOKUP($A916,'Exetel ExDa'!$C$2:$N$14, 3,FALSE), IFERROR(VLOOKUP($A916,'Infinet ExDa'!$B$2:$E$14, 3,FALSE), "Not Found"))))))))</f>
        <v>Exetel</v>
      </c>
      <c r="E916" t="str">
        <f>IFERROR(VLOOKUP($A916,'AAPT ExDa'!$B$2:$U$99, 3,FALSE), IFERROR(VLOOKUP($A916,'ABB ExDa'!$A$2:$N$184, 5,FALSE), IFERROR(VLOOKUP($A916,'Vocus SIT ExDa'!$B$2:$J$173, 2,FALSE), IFERROR(VLOOKUP($A916,'Telstra ExDa'!$B$2:$K$310, 4,FALSE), IFERROR(VLOOKUP($A916,'Vocus RVC ExDa'!$C$2:$R$155, 8,FALSE), IFERROR(VLOOKUP($A916,'Fusion ExDa'!$B$2:$D$16, 4,FALSE), IFERROR(VLOOKUP($A916,'Exetel ExDa'!$C$2:$N$14, 5,FALSE), IFERROR(VLOOKUP($A916,'Infinet ExDa'!$B$2:$E$14, 3,FALSE), "Not Found"))))))))</f>
        <v>Plan TWBackup40 - $0.00</v>
      </c>
      <c r="F916" t="str">
        <f>IFERROR(VLOOKUP($A916,'AAPT ExDa'!$B$2:$U$99, 4,FALSE), IFERROR(VLOOKUP($A916,'ABB ExDa'!$A$2:$N$184, 6,FALSE), IFERROR(VLOOKUP($A916,'Vocus SIT ExDa'!$B$2:$J$173, 3,FALSE), IFERROR(VLOOKUP($A916,'Telstra ExDa'!$B$2:$K$310, 5,FALSE), IFERROR(VLOOKUP($A916,'Vocus RVC ExDa'!$C$2:$R$155, 9,FALSE), IFERROR(VLOOKUP($A916,'Fusion ExDa'!$B$2:$D$16, 0,FALSE), IFERROR(VLOOKUP($A916,'Exetel ExDa'!$C$2:$N$14, 6,FALSE), IFERROR(VLOOKUP($A916,'Infinet ExDa'!$B$2:$E$14, 0,FALSE), "Not Found"))))))))</f>
        <v>N/A</v>
      </c>
      <c r="G916" t="str">
        <f>IFERROR(VLOOKUP($A916,'AAPT ExDa'!$B$2:$U$99, 5,FALSE), IFERROR(VLOOKUP($A916,'ABB ExDa'!$A$2:$N$184, 8,FALSE), IFERROR(VLOOKUP($A916,'Vocus SIT ExDa'!$B$2:$J$173, 6,FALSE), IFERROR(VLOOKUP($A916,'Telstra ExDa'!$B$2:$K$310, 0,FALSE), IFERROR(VLOOKUP($A916,'Vocus RVC ExDa'!$C$2:$R$155, 15,FALSE), IFERROR(VLOOKUP($A916,'Fusion ExDa'!$B$2:$D$16, 0,FALSE), IFERROR(VLOOKUP($A916,'Exetel ExDa'!$C$2:$N$14, 7,FALSE), IFERROR(VLOOKUP($A916,'Infinet ExDa'!$B$2:$E$14, 0,FALSE), "Not Found"))))))))</f>
        <v>Wireless</v>
      </c>
      <c r="H916" t="str">
        <f>IFERROR(VLOOKUP($A916,'AAPT ExDa'!$B$2:$U$99, 6,FALSE), IFERROR(VLOOKUP($A916,'ABB ExDa'!$A$2:$N$184, 0,FALSE), IFERROR(VLOOKUP($A916,'Vocus SIT ExDa'!$B$2:$J$173, 0,FALSE), IFERROR(VLOOKUP($A916,'Telstra ExDa'!$B$2:$K$310, 0,FALSE), IFERROR(VLOOKUP($A916,'Vocus RVC ExDa'!$C$2:$R$155, 16,FALSE), IFERROR(VLOOKUP($A916,'Fusion ExDa'!$B$2:$D$16, 0,FALSE), IFERROR(VLOOKUP($A916,'Exetel ExDa'!$C$2:$N$14, 0,FALSE), IFERROR(VLOOKUP($A916,'Infinet ExDa'!$B$2:$E$14, 0,FALSE), "Not Found"))))))))</f>
        <v>Not Found</v>
      </c>
      <c r="I916" t="str">
        <f>IFERROR(VLOOKUP($A916,'AAPT ExDa'!$B$2:$U$99, 0,FALSE), IFERROR(VLOOKUP($A916,'ABB ExDa'!$A$2:$N$184, 0,FALSE), IFERROR(VLOOKUP($A916,'Vocus SIT ExDa'!$B$2:$J$173, 0,FALSE), IFERROR(VLOOKUP($A916,'Telstra ExDa'!$B$2:$K$310, 0,FALSE), IFERROR(VLOOKUP($A916,'Vocus RVC ExDa'!$C$2:$R$155, 0,FALSE), IFERROR(VLOOKUP($A916,'Fusion ExDa'!$B$2:$D$16, 0,FALSE), IFERROR(VLOOKUP($A916,'Exetel ExDa'!$C$2:$N$14, 8,FALSE), IFERROR(VLOOKUP($A916,'Infinet ExDa'!$B$2:$E$14, 0,FALSE), "Not Found"))))))))</f>
        <v>N/A</v>
      </c>
      <c r="J916" t="str">
        <f>IFERROR(VLOOKUP($A916,'AAPT ExDa'!$B$2:$U$99, 7,FALSE), IFERROR(VLOOKUP($A916,'ABB ExDa'!$A$2:$N$184, 2,FALSE), IFERROR(VLOOKUP($A916,'Vocus SIT ExDa'!$B$2:$J$173, 0,FALSE), IFERROR(VLOOKUP($A916,'Telstra ExDa'!$B$2:$K$310, 7,FALSE), IFERROR(VLOOKUP($A916,'Vocus RVC ExDa'!$C$2:$R$155, 2,FALSE), IFERROR(VLOOKUP($A916,'Fusion ExDa'!$B$2:$D$16, 3,FALSE), IFERROR(VLOOKUP($A916,'Exetel ExDa'!$C$2:$N$14, 0,FALSE), IFERROR(VLOOKUP($A916,'Infinet ExDa'!$B$2:$E$14, 0,FALSE), "Not Found"))))))))</f>
        <v>Not Found</v>
      </c>
      <c r="K916" t="str">
        <f>IFERROR(VLOOKUP($A916,'AAPT ExDa'!$B$2:$U$99, 12,FALSE), IFERROR(VLOOKUP($A916,'ABB ExDa'!$A$2:$N$184, 0,FALSE), IFERROR(VLOOKUP($A916,'Vocus SIT ExDa'!$B$2:$J$173, 0,FALSE), IFERROR(VLOOKUP($A916,'Telstra ExDa'!$B$2:$K$310, 0,FALSE), IFERROR(VLOOKUP($A916,'Vocus RVC ExDa'!$C$2:$R$155, 0,FALSE), IFERROR(VLOOKUP($A916,'Fusion ExDa'!$B$2:$D$16, 0,FALSE), IFERROR(VLOOKUP($A916,'Exetel ExDa'!$C$2:$N$14, 12,FALSE), IFERROR(VLOOKUP($A916,'Infinet ExDa'!$B$2:$E$14, 0,FALSE), "Not Found"))))))))</f>
        <v>36 Months</v>
      </c>
      <c r="L916" s="235" t="str">
        <f>IFERROR(VLOOKUP($A916,'AAPT ExDa'!$B$2:$U$99, 11,FALSE), IFERROR(VLOOKUP($A916,'ABB ExDa'!$A$2:$N$184, 9,FALSE), IFERROR(VLOOKUP($A916,'Vocus SIT ExDa'!$B$2:$J$173, 8,FALSE), IFERROR(VLOOKUP($A916,'Telstra ExDa'!$B$2:$K$310, 0,FALSE), IFERROR(VLOOKUP($A916,'Vocus RVC ExDa'!$C$2:$R$155, 0,FALSE), IFERROR(VLOOKUP($A916,'Fusion ExDa'!$B$2:$D$16, 0,FALSE), IFERROR(VLOOKUP($A916,'Exetel ExDa'!$C$2:$N$14, 9,FALSE), IFERROR(VLOOKUP($A916,'Infinet ExDa'!$B$2:$E$14, 0,FALSE), "Not Found"))))))))</f>
        <v>14 Nov 2023</v>
      </c>
      <c r="M916" s="234" t="str">
        <f>IFERROR(VLOOKUP($A916,'AAPT ExDa'!$B$2:$U$99, 0,FALSE), IFERROR(VLOOKUP($A916,'ABB ExDa'!$A$2:$N$184, 0,FALSE), IFERROR(VLOOKUP($A916,'Vocus SIT ExDa'!$B$2:$J$173, 0,FALSE), IFERROR(VLOOKUP($A916,'Telstra ExDa'!$B$2:$K$310, 0,FALSE), IFERROR(VLOOKUP($A916,'Vocus RVC ExDa'!$C$2:$R$155, 0,FALSE), IFERROR(VLOOKUP($A916,'Fusion ExDa'!$B$2:$D$16, 0,FALSE), IFERROR(VLOOKUP($A916,'Exetel ExDa'!$C$2:$N$14, 11,FALSE), IFERROR(VLOOKUP($A916,'Infinet ExDa'!$B$2:$E$14, 0,FALSE), "Not Found"))))))))</f>
        <v>14 Nov 2026</v>
      </c>
      <c r="N916" t="str">
        <f>IFERROR(VLOOKUP($A916,'AAPT ExDa'!$B$2:$U$99, 0,FALSE), IFERROR(VLOOKUP($A916,'ABB ExDa'!$A$2:$N$184, 13,FALSE), IFERROR(VLOOKUP($A916,'Vocus SIT ExDa'!$B$2:$J$173, 0,FALSE), IFERROR(VLOOKUP($A916,'Telstra ExDa'!$B$2:$K$310, 0,FALSE), IFERROR(VLOOKUP($A916,'Vocus RVC ExDa'!$C$2:$R$155, 0,FALSE), IFERROR(VLOOKUP($A916,'Fusion ExDa'!$B$2:$D$16, 0,FALSE), IFERROR(VLOOKUP($A916,'Exetel ExDa'!$C$2:$N$14, 0,FALSE), IFERROR(VLOOKUP($A916,'Infinet ExDa'!$B$2:$E$14, 0,FALSE), "Not Found"))))))))</f>
        <v>Not Found</v>
      </c>
    </row>
    <row r="917" spans="1:14">
      <c r="A917">
        <v>0</v>
      </c>
      <c r="B917" t="str">
        <f>IFERROR(VLOOKUP(A917,'Exetel ExDa'!$C$2:$N$14,4,FALSE),"No Data")</f>
        <v>No Data</v>
      </c>
      <c r="C917" t="str">
        <f>IFERROR(VLOOKUP(A917,'AAPT ExDa'!$B$2:$U$99, 2,FALSE), IFERROR(VLOOKUP(A917,'ABB ExDa'!$A$2:$N$184, 2,FALSE), IFERROR(VLOOKUP(A917,'Vocus SIT ExDa'!$B$2:$J$173, 7,FALSE), IFERROR(VLOOKUP(A917,'Telstra ExDa'!$B$2:$K$310, 2,FALSE), IFERROR(VLOOKUP(A917,'Vocus RVC ExDa'!$C$2:$R$155, 3,FALSE), IFERROR(VLOOKUP(A917,'Fusion ExDa'!$B$2:$D$16, 2,FALSE), IFERROR(VLOOKUP(A917,'Exetel ExDa'!$C$2:$N$14, 2,FALSE), IFERROR(VLOOKUP(A917,'Infinet ExDa'!$B$2:$E$14, 2,FALSE), "Not Found"))))))))</f>
        <v>Not Found</v>
      </c>
      <c r="D917" t="str">
        <f>IFERROR(VLOOKUP($A917,'AAPT ExDa'!$B$2:$U$99, 15,FALSE), IFERROR(VLOOKUP($A917,'ABB ExDa'!$A$2:$N$184, 4,FALSE), IFERROR(VLOOKUP($A917,'Vocus SIT ExDa'!$B$2:$J$173, 5,FALSE), IFERROR(VLOOKUP($A917,'Telstra ExDa'!$B$2:$K$310, 8,FALSE), IFERROR(VLOOKUP($A917,'Vocus RVC ExDa'!$C$2:$R$155, 6,FALSE), IFERROR(VLOOKUP($A917,'Fusion ExDa'!$B$2:$D$16, 4,FALSE), IFERROR(VLOOKUP($A917,'Exetel ExDa'!$C$2:$N$14, 3,FALSE), IFERROR(VLOOKUP($A917,'Infinet ExDa'!$B$2:$E$14, 3,FALSE), "Not Found"))))))))</f>
        <v>Not Found</v>
      </c>
      <c r="E917" t="str">
        <f>IFERROR(VLOOKUP($A917,'AAPT ExDa'!$B$2:$U$99, 3,FALSE), IFERROR(VLOOKUP($A917,'ABB ExDa'!$A$2:$N$184, 5,FALSE), IFERROR(VLOOKUP($A917,'Vocus SIT ExDa'!$B$2:$J$173, 2,FALSE), IFERROR(VLOOKUP($A917,'Telstra ExDa'!$B$2:$K$310, 4,FALSE), IFERROR(VLOOKUP($A917,'Vocus RVC ExDa'!$C$2:$R$155, 8,FALSE), IFERROR(VLOOKUP($A917,'Fusion ExDa'!$B$2:$D$16, 4,FALSE), IFERROR(VLOOKUP($A917,'Exetel ExDa'!$C$2:$N$14, 5,FALSE), IFERROR(VLOOKUP($A917,'Infinet ExDa'!$B$2:$E$14, 3,FALSE), "Not Found"))))))))</f>
        <v>Not Found</v>
      </c>
      <c r="F917" t="str">
        <f>IFERROR(VLOOKUP($A917,'AAPT ExDa'!$B$2:$U$99, 4,FALSE), IFERROR(VLOOKUP($A917,'ABB ExDa'!$A$2:$N$184, 6,FALSE), IFERROR(VLOOKUP($A917,'Vocus SIT ExDa'!$B$2:$J$173, 3,FALSE), IFERROR(VLOOKUP($A917,'Telstra ExDa'!$B$2:$K$310, 5,FALSE), IFERROR(VLOOKUP($A917,'Vocus RVC ExDa'!$C$2:$R$155, 9,FALSE), IFERROR(VLOOKUP($A917,'Fusion ExDa'!$B$2:$D$16, 0,FALSE), IFERROR(VLOOKUP($A917,'Exetel ExDa'!$C$2:$N$14, 6,FALSE), IFERROR(VLOOKUP($A917,'Infinet ExDa'!$B$2:$E$14, 0,FALSE), "Not Found"))))))))</f>
        <v>Not Found</v>
      </c>
      <c r="G917" t="str">
        <f>IFERROR(VLOOKUP($A917,'AAPT ExDa'!$B$2:$U$99, 5,FALSE), IFERROR(VLOOKUP($A917,'ABB ExDa'!$A$2:$N$184, 8,FALSE), IFERROR(VLOOKUP($A917,'Vocus SIT ExDa'!$B$2:$J$173, 6,FALSE), IFERROR(VLOOKUP($A917,'Telstra ExDa'!$B$2:$K$310, 0,FALSE), IFERROR(VLOOKUP($A917,'Vocus RVC ExDa'!$C$2:$R$155, 15,FALSE), IFERROR(VLOOKUP($A917,'Fusion ExDa'!$B$2:$D$16, 0,FALSE), IFERROR(VLOOKUP($A917,'Exetel ExDa'!$C$2:$N$14, 7,FALSE), IFERROR(VLOOKUP($A917,'Infinet ExDa'!$B$2:$E$14, 0,FALSE), "Not Found"))))))))</f>
        <v>Not Found</v>
      </c>
      <c r="H917" t="str">
        <f>IFERROR(VLOOKUP($A917,'AAPT ExDa'!$B$2:$U$99, 6,FALSE), IFERROR(VLOOKUP($A917,'ABB ExDa'!$A$2:$N$184, 0,FALSE), IFERROR(VLOOKUP($A917,'Vocus SIT ExDa'!$B$2:$J$173, 0,FALSE), IFERROR(VLOOKUP($A917,'Telstra ExDa'!$B$2:$K$310, 0,FALSE), IFERROR(VLOOKUP($A917,'Vocus RVC ExDa'!$C$2:$R$155, 16,FALSE), IFERROR(VLOOKUP($A917,'Fusion ExDa'!$B$2:$D$16, 0,FALSE), IFERROR(VLOOKUP($A917,'Exetel ExDa'!$C$2:$N$14, 0,FALSE), IFERROR(VLOOKUP($A917,'Infinet ExDa'!$B$2:$E$14, 0,FALSE), "Not Found"))))))))</f>
        <v>Not Found</v>
      </c>
      <c r="I917" t="str">
        <f>IFERROR(VLOOKUP($A917,'AAPT ExDa'!$B$2:$U$99, 0,FALSE), IFERROR(VLOOKUP($A917,'ABB ExDa'!$A$2:$N$184, 0,FALSE), IFERROR(VLOOKUP($A917,'Vocus SIT ExDa'!$B$2:$J$173, 0,FALSE), IFERROR(VLOOKUP($A917,'Telstra ExDa'!$B$2:$K$310, 0,FALSE), IFERROR(VLOOKUP($A917,'Vocus RVC ExDa'!$C$2:$R$155, 0,FALSE), IFERROR(VLOOKUP($A917,'Fusion ExDa'!$B$2:$D$16, 0,FALSE), IFERROR(VLOOKUP($A917,'Exetel ExDa'!$C$2:$N$14, 8,FALSE), IFERROR(VLOOKUP($A917,'Infinet ExDa'!$B$2:$E$14, 0,FALSE), "Not Found"))))))))</f>
        <v>Not Found</v>
      </c>
      <c r="J917" t="str">
        <f>IFERROR(VLOOKUP($A917,'AAPT ExDa'!$B$2:$U$99, 7,FALSE), IFERROR(VLOOKUP($A917,'ABB ExDa'!$A$2:$N$184, 2,FALSE), IFERROR(VLOOKUP($A917,'Vocus SIT ExDa'!$B$2:$J$173, 0,FALSE), IFERROR(VLOOKUP($A917,'Telstra ExDa'!$B$2:$K$310, 7,FALSE), IFERROR(VLOOKUP($A917,'Vocus RVC ExDa'!$C$2:$R$155, 2,FALSE), IFERROR(VLOOKUP($A917,'Fusion ExDa'!$B$2:$D$16, 3,FALSE), IFERROR(VLOOKUP($A917,'Exetel ExDa'!$C$2:$N$14, 0,FALSE), IFERROR(VLOOKUP($A917,'Infinet ExDa'!$B$2:$E$14, 0,FALSE), "Not Found"))))))))</f>
        <v>Not Found</v>
      </c>
      <c r="K917" t="str">
        <f>IFERROR(VLOOKUP($A917,'AAPT ExDa'!$B$2:$U$99, 12,FALSE), IFERROR(VLOOKUP($A917,'ABB ExDa'!$A$2:$N$184, 0,FALSE), IFERROR(VLOOKUP($A917,'Vocus SIT ExDa'!$B$2:$J$173, 0,FALSE), IFERROR(VLOOKUP($A917,'Telstra ExDa'!$B$2:$K$310, 0,FALSE), IFERROR(VLOOKUP($A917,'Vocus RVC ExDa'!$C$2:$R$155, 0,FALSE), IFERROR(VLOOKUP($A917,'Fusion ExDa'!$B$2:$D$16, 0,FALSE), IFERROR(VLOOKUP($A917,'Exetel ExDa'!$C$2:$N$14, 12,FALSE), IFERROR(VLOOKUP($A917,'Infinet ExDa'!$B$2:$E$14, 0,FALSE), "Not Found"))))))))</f>
        <v>Not Found</v>
      </c>
      <c r="L917" s="235" t="str">
        <f>IFERROR(VLOOKUP($A917,'AAPT ExDa'!$B$2:$U$99, 11,FALSE), IFERROR(VLOOKUP($A917,'ABB ExDa'!$A$2:$N$184, 9,FALSE), IFERROR(VLOOKUP($A917,'Vocus SIT ExDa'!$B$2:$J$173, 8,FALSE), IFERROR(VLOOKUP($A917,'Telstra ExDa'!$B$2:$K$310, 0,FALSE), IFERROR(VLOOKUP($A917,'Vocus RVC ExDa'!$C$2:$R$155, 0,FALSE), IFERROR(VLOOKUP($A917,'Fusion ExDa'!$B$2:$D$16, 0,FALSE), IFERROR(VLOOKUP($A917,'Exetel ExDa'!$C$2:$N$14, 9,FALSE), IFERROR(VLOOKUP($A917,'Infinet ExDa'!$B$2:$E$14, 0,FALSE), "Not Found"))))))))</f>
        <v>Not Found</v>
      </c>
      <c r="M917" s="234" t="str">
        <f>IFERROR(VLOOKUP($A917,'AAPT ExDa'!$B$2:$U$99, 0,FALSE), IFERROR(VLOOKUP($A917,'ABB ExDa'!$A$2:$N$184, 0,FALSE), IFERROR(VLOOKUP($A917,'Vocus SIT ExDa'!$B$2:$J$173, 0,FALSE), IFERROR(VLOOKUP($A917,'Telstra ExDa'!$B$2:$K$310, 0,FALSE), IFERROR(VLOOKUP($A917,'Vocus RVC ExDa'!$C$2:$R$155, 0,FALSE), IFERROR(VLOOKUP($A917,'Fusion ExDa'!$B$2:$D$16, 0,FALSE), IFERROR(VLOOKUP($A917,'Exetel ExDa'!$C$2:$N$14, 11,FALSE), IFERROR(VLOOKUP($A917,'Infinet ExDa'!$B$2:$E$14, 0,FALSE), "Not Found"))))))))</f>
        <v>Not Found</v>
      </c>
      <c r="N917" t="str">
        <f>IFERROR(VLOOKUP($A917,'AAPT ExDa'!$B$2:$U$99, 0,FALSE), IFERROR(VLOOKUP($A917,'ABB ExDa'!$A$2:$N$184, 13,FALSE), IFERROR(VLOOKUP($A917,'Vocus SIT ExDa'!$B$2:$J$173, 0,FALSE), IFERROR(VLOOKUP($A917,'Telstra ExDa'!$B$2:$K$310, 0,FALSE), IFERROR(VLOOKUP($A917,'Vocus RVC ExDa'!$C$2:$R$155, 0,FALSE), IFERROR(VLOOKUP($A917,'Fusion ExDa'!$B$2:$D$16, 0,FALSE), IFERROR(VLOOKUP($A917,'Exetel ExDa'!$C$2:$N$14, 0,FALSE), IFERROR(VLOOKUP($A917,'Infinet ExDa'!$B$2:$E$14, 0,FALSE), "Not Found"))))))))</f>
        <v>Not Found</v>
      </c>
    </row>
    <row r="918" spans="1:14">
      <c r="A918">
        <v>0</v>
      </c>
      <c r="B918" t="str">
        <f>IFERROR(VLOOKUP(A918,'Exetel ExDa'!$C$2:$N$14,4,FALSE),"No Data")</f>
        <v>No Data</v>
      </c>
      <c r="C918" t="str">
        <f>IFERROR(VLOOKUP(A918,'AAPT ExDa'!$B$2:$U$99, 2,FALSE), IFERROR(VLOOKUP(A918,'ABB ExDa'!$A$2:$N$184, 2,FALSE), IFERROR(VLOOKUP(A918,'Vocus SIT ExDa'!$B$2:$J$173, 7,FALSE), IFERROR(VLOOKUP(A918,'Telstra ExDa'!$B$2:$K$310, 2,FALSE), IFERROR(VLOOKUP(A918,'Vocus RVC ExDa'!$C$2:$R$155, 3,FALSE), IFERROR(VLOOKUP(A918,'Fusion ExDa'!$B$2:$D$16, 2,FALSE), IFERROR(VLOOKUP(A918,'Exetel ExDa'!$C$2:$N$14, 2,FALSE), IFERROR(VLOOKUP(A918,'Infinet ExDa'!$B$2:$E$14, 2,FALSE), "Not Found"))))))))</f>
        <v>Not Found</v>
      </c>
      <c r="D918" t="str">
        <f>IFERROR(VLOOKUP($A918,'AAPT ExDa'!$B$2:$U$99, 15,FALSE), IFERROR(VLOOKUP($A918,'ABB ExDa'!$A$2:$N$184, 4,FALSE), IFERROR(VLOOKUP($A918,'Vocus SIT ExDa'!$B$2:$J$173, 5,FALSE), IFERROR(VLOOKUP($A918,'Telstra ExDa'!$B$2:$K$310, 8,FALSE), IFERROR(VLOOKUP($A918,'Vocus RVC ExDa'!$C$2:$R$155, 6,FALSE), IFERROR(VLOOKUP($A918,'Fusion ExDa'!$B$2:$D$16, 4,FALSE), IFERROR(VLOOKUP($A918,'Exetel ExDa'!$C$2:$N$14, 3,FALSE), IFERROR(VLOOKUP($A918,'Infinet ExDa'!$B$2:$E$14, 3,FALSE), "Not Found"))))))))</f>
        <v>Not Found</v>
      </c>
      <c r="E918" t="str">
        <f>IFERROR(VLOOKUP($A918,'AAPT ExDa'!$B$2:$U$99, 3,FALSE), IFERROR(VLOOKUP($A918,'ABB ExDa'!$A$2:$N$184, 5,FALSE), IFERROR(VLOOKUP($A918,'Vocus SIT ExDa'!$B$2:$J$173, 2,FALSE), IFERROR(VLOOKUP($A918,'Telstra ExDa'!$B$2:$K$310, 4,FALSE), IFERROR(VLOOKUP($A918,'Vocus RVC ExDa'!$C$2:$R$155, 8,FALSE), IFERROR(VLOOKUP($A918,'Fusion ExDa'!$B$2:$D$16, 4,FALSE), IFERROR(VLOOKUP($A918,'Exetel ExDa'!$C$2:$N$14, 5,FALSE), IFERROR(VLOOKUP($A918,'Infinet ExDa'!$B$2:$E$14, 3,FALSE), "Not Found"))))))))</f>
        <v>Not Found</v>
      </c>
      <c r="F918" t="str">
        <f>IFERROR(VLOOKUP($A918,'AAPT ExDa'!$B$2:$U$99, 4,FALSE), IFERROR(VLOOKUP($A918,'ABB ExDa'!$A$2:$N$184, 6,FALSE), IFERROR(VLOOKUP($A918,'Vocus SIT ExDa'!$B$2:$J$173, 3,FALSE), IFERROR(VLOOKUP($A918,'Telstra ExDa'!$B$2:$K$310, 5,FALSE), IFERROR(VLOOKUP($A918,'Vocus RVC ExDa'!$C$2:$R$155, 9,FALSE), IFERROR(VLOOKUP($A918,'Fusion ExDa'!$B$2:$D$16, 0,FALSE), IFERROR(VLOOKUP($A918,'Exetel ExDa'!$C$2:$N$14, 6,FALSE), IFERROR(VLOOKUP($A918,'Infinet ExDa'!$B$2:$E$14, 0,FALSE), "Not Found"))))))))</f>
        <v>Not Found</v>
      </c>
      <c r="G918" t="str">
        <f>IFERROR(VLOOKUP($A918,'AAPT ExDa'!$B$2:$U$99, 5,FALSE), IFERROR(VLOOKUP($A918,'ABB ExDa'!$A$2:$N$184, 8,FALSE), IFERROR(VLOOKUP($A918,'Vocus SIT ExDa'!$B$2:$J$173, 6,FALSE), IFERROR(VLOOKUP($A918,'Telstra ExDa'!$B$2:$K$310, 0,FALSE), IFERROR(VLOOKUP($A918,'Vocus RVC ExDa'!$C$2:$R$155, 15,FALSE), IFERROR(VLOOKUP($A918,'Fusion ExDa'!$B$2:$D$16, 0,FALSE), IFERROR(VLOOKUP($A918,'Exetel ExDa'!$C$2:$N$14, 7,FALSE), IFERROR(VLOOKUP($A918,'Infinet ExDa'!$B$2:$E$14, 0,FALSE), "Not Found"))))))))</f>
        <v>Not Found</v>
      </c>
      <c r="H918" t="str">
        <f>IFERROR(VLOOKUP($A918,'AAPT ExDa'!$B$2:$U$99, 6,FALSE), IFERROR(VLOOKUP($A918,'ABB ExDa'!$A$2:$N$184, 0,FALSE), IFERROR(VLOOKUP($A918,'Vocus SIT ExDa'!$B$2:$J$173, 0,FALSE), IFERROR(VLOOKUP($A918,'Telstra ExDa'!$B$2:$K$310, 0,FALSE), IFERROR(VLOOKUP($A918,'Vocus RVC ExDa'!$C$2:$R$155, 16,FALSE), IFERROR(VLOOKUP($A918,'Fusion ExDa'!$B$2:$D$16, 0,FALSE), IFERROR(VLOOKUP($A918,'Exetel ExDa'!$C$2:$N$14, 0,FALSE), IFERROR(VLOOKUP($A918,'Infinet ExDa'!$B$2:$E$14, 0,FALSE), "Not Found"))))))))</f>
        <v>Not Found</v>
      </c>
      <c r="I918" t="str">
        <f>IFERROR(VLOOKUP($A918,'AAPT ExDa'!$B$2:$U$99, 0,FALSE), IFERROR(VLOOKUP($A918,'ABB ExDa'!$A$2:$N$184, 0,FALSE), IFERROR(VLOOKUP($A918,'Vocus SIT ExDa'!$B$2:$J$173, 0,FALSE), IFERROR(VLOOKUP($A918,'Telstra ExDa'!$B$2:$K$310, 0,FALSE), IFERROR(VLOOKUP($A918,'Vocus RVC ExDa'!$C$2:$R$155, 0,FALSE), IFERROR(VLOOKUP($A918,'Fusion ExDa'!$B$2:$D$16, 0,FALSE), IFERROR(VLOOKUP($A918,'Exetel ExDa'!$C$2:$N$14, 8,FALSE), IFERROR(VLOOKUP($A918,'Infinet ExDa'!$B$2:$E$14, 0,FALSE), "Not Found"))))))))</f>
        <v>Not Found</v>
      </c>
      <c r="J918" t="str">
        <f>IFERROR(VLOOKUP($A918,'AAPT ExDa'!$B$2:$U$99, 7,FALSE), IFERROR(VLOOKUP($A918,'ABB ExDa'!$A$2:$N$184, 2,FALSE), IFERROR(VLOOKUP($A918,'Vocus SIT ExDa'!$B$2:$J$173, 0,FALSE), IFERROR(VLOOKUP($A918,'Telstra ExDa'!$B$2:$K$310, 7,FALSE), IFERROR(VLOOKUP($A918,'Vocus RVC ExDa'!$C$2:$R$155, 2,FALSE), IFERROR(VLOOKUP($A918,'Fusion ExDa'!$B$2:$D$16, 3,FALSE), IFERROR(VLOOKUP($A918,'Exetel ExDa'!$C$2:$N$14, 0,FALSE), IFERROR(VLOOKUP($A918,'Infinet ExDa'!$B$2:$E$14, 0,FALSE), "Not Found"))))))))</f>
        <v>Not Found</v>
      </c>
      <c r="K918" t="str">
        <f>IFERROR(VLOOKUP($A918,'AAPT ExDa'!$B$2:$U$99, 12,FALSE), IFERROR(VLOOKUP($A918,'ABB ExDa'!$A$2:$N$184, 0,FALSE), IFERROR(VLOOKUP($A918,'Vocus SIT ExDa'!$B$2:$J$173, 0,FALSE), IFERROR(VLOOKUP($A918,'Telstra ExDa'!$B$2:$K$310, 0,FALSE), IFERROR(VLOOKUP($A918,'Vocus RVC ExDa'!$C$2:$R$155, 0,FALSE), IFERROR(VLOOKUP($A918,'Fusion ExDa'!$B$2:$D$16, 0,FALSE), IFERROR(VLOOKUP($A918,'Exetel ExDa'!$C$2:$N$14, 12,FALSE), IFERROR(VLOOKUP($A918,'Infinet ExDa'!$B$2:$E$14, 0,FALSE), "Not Found"))))))))</f>
        <v>Not Found</v>
      </c>
      <c r="L918" s="235" t="str">
        <f>IFERROR(VLOOKUP($A918,'AAPT ExDa'!$B$2:$U$99, 11,FALSE), IFERROR(VLOOKUP($A918,'ABB ExDa'!$A$2:$N$184, 9,FALSE), IFERROR(VLOOKUP($A918,'Vocus SIT ExDa'!$B$2:$J$173, 8,FALSE), IFERROR(VLOOKUP($A918,'Telstra ExDa'!$B$2:$K$310, 0,FALSE), IFERROR(VLOOKUP($A918,'Vocus RVC ExDa'!$C$2:$R$155, 0,FALSE), IFERROR(VLOOKUP($A918,'Fusion ExDa'!$B$2:$D$16, 0,FALSE), IFERROR(VLOOKUP($A918,'Exetel ExDa'!$C$2:$N$14, 9,FALSE), IFERROR(VLOOKUP($A918,'Infinet ExDa'!$B$2:$E$14, 0,FALSE), "Not Found"))))))))</f>
        <v>Not Found</v>
      </c>
      <c r="M918" s="234" t="str">
        <f>IFERROR(VLOOKUP($A918,'AAPT ExDa'!$B$2:$U$99, 0,FALSE), IFERROR(VLOOKUP($A918,'ABB ExDa'!$A$2:$N$184, 0,FALSE), IFERROR(VLOOKUP($A918,'Vocus SIT ExDa'!$B$2:$J$173, 0,FALSE), IFERROR(VLOOKUP($A918,'Telstra ExDa'!$B$2:$K$310, 0,FALSE), IFERROR(VLOOKUP($A918,'Vocus RVC ExDa'!$C$2:$R$155, 0,FALSE), IFERROR(VLOOKUP($A918,'Fusion ExDa'!$B$2:$D$16, 0,FALSE), IFERROR(VLOOKUP($A918,'Exetel ExDa'!$C$2:$N$14, 11,FALSE), IFERROR(VLOOKUP($A918,'Infinet ExDa'!$B$2:$E$14, 0,FALSE), "Not Found"))))))))</f>
        <v>Not Found</v>
      </c>
      <c r="N918" t="str">
        <f>IFERROR(VLOOKUP($A918,'AAPT ExDa'!$B$2:$U$99, 0,FALSE), IFERROR(VLOOKUP($A918,'ABB ExDa'!$A$2:$N$184, 13,FALSE), IFERROR(VLOOKUP($A918,'Vocus SIT ExDa'!$B$2:$J$173, 0,FALSE), IFERROR(VLOOKUP($A918,'Telstra ExDa'!$B$2:$K$310, 0,FALSE), IFERROR(VLOOKUP($A918,'Vocus RVC ExDa'!$C$2:$R$155, 0,FALSE), IFERROR(VLOOKUP($A918,'Fusion ExDa'!$B$2:$D$16, 0,FALSE), IFERROR(VLOOKUP($A918,'Exetel ExDa'!$C$2:$N$14, 0,FALSE), IFERROR(VLOOKUP($A918,'Infinet ExDa'!$B$2:$E$14, 0,FALSE), "Not Found"))))))))</f>
        <v>Not Found</v>
      </c>
    </row>
    <row r="919" spans="1:14">
      <c r="A919" t="str">
        <v>City Care Doctors Wintergarden</v>
      </c>
      <c r="B919" t="str">
        <f>IFERROR(VLOOKUP(A919,'Exetel ExDa'!$C$2:$N$14,4,FALSE),"No Data")</f>
        <v>No Data</v>
      </c>
      <c r="C919" t="str">
        <f>IFERROR(VLOOKUP(A919,'AAPT ExDa'!$B$2:$U$99, 2,FALSE), IFERROR(VLOOKUP(A919,'ABB ExDa'!$A$2:$N$184, 2,FALSE), IFERROR(VLOOKUP(A919,'Vocus SIT ExDa'!$B$2:$J$173, 7,FALSE), IFERROR(VLOOKUP(A919,'Telstra ExDa'!$B$2:$K$310, 2,FALSE), IFERROR(VLOOKUP(A919,'Vocus RVC ExDa'!$C$2:$R$155, 3,FALSE), IFERROR(VLOOKUP(A919,'Fusion ExDa'!$B$2:$D$16, 2,FALSE), IFERROR(VLOOKUP(A919,'Exetel ExDa'!$C$2:$N$14, 2,FALSE), IFERROR(VLOOKUP(A919,'Infinet ExDa'!$B$2:$E$14, 2,FALSE), "Not Found"))))))))</f>
        <v>LOT 1 SHOP G02 L G 171-209 QUEEN ST BRISBANE CITY QLD 4000</v>
      </c>
      <c r="D919" t="str">
        <f>IFERROR(VLOOKUP($A919,'AAPT ExDa'!$B$2:$U$99, 15,FALSE), IFERROR(VLOOKUP($A919,'ABB ExDa'!$A$2:$N$184, 4,FALSE), IFERROR(VLOOKUP($A919,'Vocus SIT ExDa'!$B$2:$J$173, 5,FALSE), IFERROR(VLOOKUP($A919,'Telstra ExDa'!$B$2:$K$310, 8,FALSE), IFERROR(VLOOKUP($A919,'Vocus RVC ExDa'!$C$2:$R$155, 6,FALSE), IFERROR(VLOOKUP($A919,'Fusion ExDa'!$B$2:$D$16, 4,FALSE), IFERROR(VLOOKUP($A919,'Exetel ExDa'!$C$2:$N$14, 3,FALSE), IFERROR(VLOOKUP($A919,'Infinet ExDa'!$B$2:$E$14, 3,FALSE), "Not Found"))))))))</f>
        <v>Not Found</v>
      </c>
      <c r="E919" t="str">
        <f>IFERROR(VLOOKUP($A919,'AAPT ExDa'!$B$2:$U$99, 3,FALSE), IFERROR(VLOOKUP($A919,'ABB ExDa'!$A$2:$N$184, 5,FALSE), IFERROR(VLOOKUP($A919,'Vocus SIT ExDa'!$B$2:$J$173, 2,FALSE), IFERROR(VLOOKUP($A919,'Telstra ExDa'!$B$2:$K$310, 4,FALSE), IFERROR(VLOOKUP($A919,'Vocus RVC ExDa'!$C$2:$R$155, 8,FALSE), IFERROR(VLOOKUP($A919,'Fusion ExDa'!$B$2:$D$16, 4,FALSE), IFERROR(VLOOKUP($A919,'Exetel ExDa'!$C$2:$N$14, 5,FALSE), IFERROR(VLOOKUP($A919,'Infinet ExDa'!$B$2:$E$14, 3,FALSE), "Not Found"))))))))</f>
        <v>Not Found</v>
      </c>
      <c r="F919" t="str">
        <f>IFERROR(VLOOKUP($A919,'AAPT ExDa'!$B$2:$U$99, 4,FALSE), IFERROR(VLOOKUP($A919,'ABB ExDa'!$A$2:$N$184, 6,FALSE), IFERROR(VLOOKUP($A919,'Vocus SIT ExDa'!$B$2:$J$173, 3,FALSE), IFERROR(VLOOKUP($A919,'Telstra ExDa'!$B$2:$K$310, 5,FALSE), IFERROR(VLOOKUP($A919,'Vocus RVC ExDa'!$C$2:$R$155, 9,FALSE), IFERROR(VLOOKUP($A919,'Fusion ExDa'!$B$2:$D$16, 0,FALSE), IFERROR(VLOOKUP($A919,'Exetel ExDa'!$C$2:$N$14, 6,FALSE), IFERROR(VLOOKUP($A919,'Infinet ExDa'!$B$2:$E$14, 0,FALSE), "Not Found"))))))))</f>
        <v>Not Found</v>
      </c>
      <c r="G919" t="str">
        <f>IFERROR(VLOOKUP($A919,'AAPT ExDa'!$B$2:$U$99, 5,FALSE), IFERROR(VLOOKUP($A919,'ABB ExDa'!$A$2:$N$184, 8,FALSE), IFERROR(VLOOKUP($A919,'Vocus SIT ExDa'!$B$2:$J$173, 6,FALSE), IFERROR(VLOOKUP($A919,'Telstra ExDa'!$B$2:$K$310, 0,FALSE), IFERROR(VLOOKUP($A919,'Vocus RVC ExDa'!$C$2:$R$155, 15,FALSE), IFERROR(VLOOKUP($A919,'Fusion ExDa'!$B$2:$D$16, 0,FALSE), IFERROR(VLOOKUP($A919,'Exetel ExDa'!$C$2:$N$14, 7,FALSE), IFERROR(VLOOKUP($A919,'Infinet ExDa'!$B$2:$E$14, 0,FALSE), "Not Found"))))))))</f>
        <v>Not Found</v>
      </c>
      <c r="H919" t="str">
        <f>IFERROR(VLOOKUP($A919,'AAPT ExDa'!$B$2:$U$99, 6,FALSE), IFERROR(VLOOKUP($A919,'ABB ExDa'!$A$2:$N$184, 0,FALSE), IFERROR(VLOOKUP($A919,'Vocus SIT ExDa'!$B$2:$J$173, 0,FALSE), IFERROR(VLOOKUP($A919,'Telstra ExDa'!$B$2:$K$310, 0,FALSE), IFERROR(VLOOKUP($A919,'Vocus RVC ExDa'!$C$2:$R$155, 16,FALSE), IFERROR(VLOOKUP($A919,'Fusion ExDa'!$B$2:$D$16, 0,FALSE), IFERROR(VLOOKUP($A919,'Exetel ExDa'!$C$2:$N$14, 0,FALSE), IFERROR(VLOOKUP($A919,'Infinet ExDa'!$B$2:$E$14, 0,FALSE), "Not Found"))))))))</f>
        <v>Not Found</v>
      </c>
      <c r="I919" t="str">
        <f>IFERROR(VLOOKUP($A919,'AAPT ExDa'!$B$2:$U$99, 0,FALSE), IFERROR(VLOOKUP($A919,'ABB ExDa'!$A$2:$N$184, 0,FALSE), IFERROR(VLOOKUP($A919,'Vocus SIT ExDa'!$B$2:$J$173, 0,FALSE), IFERROR(VLOOKUP($A919,'Telstra ExDa'!$B$2:$K$310, 0,FALSE), IFERROR(VLOOKUP($A919,'Vocus RVC ExDa'!$C$2:$R$155, 0,FALSE), IFERROR(VLOOKUP($A919,'Fusion ExDa'!$B$2:$D$16, 0,FALSE), IFERROR(VLOOKUP($A919,'Exetel ExDa'!$C$2:$N$14, 8,FALSE), IFERROR(VLOOKUP($A919,'Infinet ExDa'!$B$2:$E$14, 0,FALSE), "Not Found"))))))))</f>
        <v>Not Found</v>
      </c>
      <c r="J919" t="str">
        <f>IFERROR(VLOOKUP($A919,'AAPT ExDa'!$B$2:$U$99, 7,FALSE), IFERROR(VLOOKUP($A919,'ABB ExDa'!$A$2:$N$184, 2,FALSE), IFERROR(VLOOKUP($A919,'Vocus SIT ExDa'!$B$2:$J$173, 0,FALSE), IFERROR(VLOOKUP($A919,'Telstra ExDa'!$B$2:$K$310, 7,FALSE), IFERROR(VLOOKUP($A919,'Vocus RVC ExDa'!$C$2:$R$155, 2,FALSE), IFERROR(VLOOKUP($A919,'Fusion ExDa'!$B$2:$D$16, 3,FALSE), IFERROR(VLOOKUP($A919,'Exetel ExDa'!$C$2:$N$14, 0,FALSE), IFERROR(VLOOKUP($A919,'Infinet ExDa'!$B$2:$E$14, 0,FALSE), "Not Found"))))))))</f>
        <v>AVC000111672697</v>
      </c>
      <c r="K919" t="str">
        <f>IFERROR(VLOOKUP($A919,'AAPT ExDa'!$B$2:$U$99, 12,FALSE), IFERROR(VLOOKUP($A919,'ABB ExDa'!$A$2:$N$184, 0,FALSE), IFERROR(VLOOKUP($A919,'Vocus SIT ExDa'!$B$2:$J$173, 0,FALSE), IFERROR(VLOOKUP($A919,'Telstra ExDa'!$B$2:$K$310, 0,FALSE), IFERROR(VLOOKUP($A919,'Vocus RVC ExDa'!$C$2:$R$155, 0,FALSE), IFERROR(VLOOKUP($A919,'Fusion ExDa'!$B$2:$D$16, 0,FALSE), IFERROR(VLOOKUP($A919,'Exetel ExDa'!$C$2:$N$14, 12,FALSE), IFERROR(VLOOKUP($A919,'Infinet ExDa'!$B$2:$E$14, 0,FALSE), "Not Found"))))))))</f>
        <v>Not Found</v>
      </c>
      <c r="L919" s="235" t="str">
        <f>IFERROR(VLOOKUP($A919,'AAPT ExDa'!$B$2:$U$99, 11,FALSE), IFERROR(VLOOKUP($A919,'ABB ExDa'!$A$2:$N$184, 9,FALSE), IFERROR(VLOOKUP($A919,'Vocus SIT ExDa'!$B$2:$J$173, 8,FALSE), IFERROR(VLOOKUP($A919,'Telstra ExDa'!$B$2:$K$310, 0,FALSE), IFERROR(VLOOKUP($A919,'Vocus RVC ExDa'!$C$2:$R$155, 0,FALSE), IFERROR(VLOOKUP($A919,'Fusion ExDa'!$B$2:$D$16, 0,FALSE), IFERROR(VLOOKUP($A919,'Exetel ExDa'!$C$2:$N$14, 9,FALSE), IFERROR(VLOOKUP($A919,'Infinet ExDa'!$B$2:$E$14, 0,FALSE), "Not Found"))))))))</f>
        <v>Not Found</v>
      </c>
      <c r="M919" s="234" t="str">
        <f>IFERROR(VLOOKUP($A919,'AAPT ExDa'!$B$2:$U$99, 0,FALSE), IFERROR(VLOOKUP($A919,'ABB ExDa'!$A$2:$N$184, 0,FALSE), IFERROR(VLOOKUP($A919,'Vocus SIT ExDa'!$B$2:$J$173, 0,FALSE), IFERROR(VLOOKUP($A919,'Telstra ExDa'!$B$2:$K$310, 0,FALSE), IFERROR(VLOOKUP($A919,'Vocus RVC ExDa'!$C$2:$R$155, 0,FALSE), IFERROR(VLOOKUP($A919,'Fusion ExDa'!$B$2:$D$16, 0,FALSE), IFERROR(VLOOKUP($A919,'Exetel ExDa'!$C$2:$N$14, 11,FALSE), IFERROR(VLOOKUP($A919,'Infinet ExDa'!$B$2:$E$14, 0,FALSE), "Not Found"))))))))</f>
        <v>Not Found</v>
      </c>
      <c r="N919" t="str">
        <f>IFERROR(VLOOKUP($A919,'AAPT ExDa'!$B$2:$U$99, 0,FALSE), IFERROR(VLOOKUP($A919,'ABB ExDa'!$A$2:$N$184, 13,FALSE), IFERROR(VLOOKUP($A919,'Vocus SIT ExDa'!$B$2:$J$173, 0,FALSE), IFERROR(VLOOKUP($A919,'Telstra ExDa'!$B$2:$K$310, 0,FALSE), IFERROR(VLOOKUP($A919,'Vocus RVC ExDa'!$C$2:$R$155, 0,FALSE), IFERROR(VLOOKUP($A919,'Fusion ExDa'!$B$2:$D$16, 0,FALSE), IFERROR(VLOOKUP($A919,'Exetel ExDa'!$C$2:$N$14, 0,FALSE), IFERROR(VLOOKUP($A919,'Infinet ExDa'!$B$2:$E$14, 0,FALSE), "Not Found"))))))))</f>
        <v>Not Found</v>
      </c>
    </row>
    <row r="920" spans="1:14">
      <c r="A920" t="str">
        <v>UMC Caboolture</v>
      </c>
      <c r="B920" t="str">
        <f>IFERROR(VLOOKUP(A920,'Exetel ExDa'!$C$2:$N$14,4,FALSE),"No Data")</f>
        <v>No Data</v>
      </c>
      <c r="C920" t="str">
        <f>IFERROR(VLOOKUP(A920,'AAPT ExDa'!$B$2:$U$99, 2,FALSE), IFERROR(VLOOKUP(A920,'ABB ExDa'!$A$2:$N$184, 2,FALSE), IFERROR(VLOOKUP(A920,'Vocus SIT ExDa'!$B$2:$J$173, 7,FALSE), IFERROR(VLOOKUP(A920,'Telstra ExDa'!$B$2:$K$310, 2,FALSE), IFERROR(VLOOKUP(A920,'Vocus RVC ExDa'!$C$2:$R$155, 3,FALSE), IFERROR(VLOOKUP(A920,'Fusion ExDa'!$B$2:$D$16, 2,FALSE), IFERROR(VLOOKUP(A920,'Exetel ExDa'!$C$2:$N$14, 2,FALSE), IFERROR(VLOOKUP(A920,'Infinet ExDa'!$B$2:$E$14, 2,FALSE), "Not Found"))))))))</f>
        <v>SHOP 14 1-21 PETTIGREW ST CABOOLTURE QLD 4510 Australia</v>
      </c>
      <c r="D920" t="str">
        <f>IFERROR(VLOOKUP($A920,'AAPT ExDa'!$B$2:$U$99, 15,FALSE), IFERROR(VLOOKUP($A920,'ABB ExDa'!$A$2:$N$184, 4,FALSE), IFERROR(VLOOKUP($A920,'Vocus SIT ExDa'!$B$2:$J$173, 5,FALSE), IFERROR(VLOOKUP($A920,'Telstra ExDa'!$B$2:$K$310, 8,FALSE), IFERROR(VLOOKUP($A920,'Vocus RVC ExDa'!$C$2:$R$155, 6,FALSE), IFERROR(VLOOKUP($A920,'Fusion ExDa'!$B$2:$D$16, 4,FALSE), IFERROR(VLOOKUP($A920,'Exetel ExDa'!$C$2:$N$14, 3,FALSE), IFERROR(VLOOKUP($A920,'Infinet ExDa'!$B$2:$E$14, 3,FALSE), "Not Found"))))))))</f>
        <v>Not Found</v>
      </c>
      <c r="E920" t="str">
        <f>IFERROR(VLOOKUP($A920,'AAPT ExDa'!$B$2:$U$99, 3,FALSE), IFERROR(VLOOKUP($A920,'ABB ExDa'!$A$2:$N$184, 5,FALSE), IFERROR(VLOOKUP($A920,'Vocus SIT ExDa'!$B$2:$J$173, 2,FALSE), IFERROR(VLOOKUP($A920,'Telstra ExDa'!$B$2:$K$310, 4,FALSE), IFERROR(VLOOKUP($A920,'Vocus RVC ExDa'!$C$2:$R$155, 8,FALSE), IFERROR(VLOOKUP($A920,'Fusion ExDa'!$B$2:$D$16, 4,FALSE), IFERROR(VLOOKUP($A920,'Exetel ExDa'!$C$2:$N$14, 5,FALSE), IFERROR(VLOOKUP($A920,'Infinet ExDa'!$B$2:$E$14, 3,FALSE), "Not Found"))))))))</f>
        <v>Not Found</v>
      </c>
      <c r="F920" t="str">
        <f>IFERROR(VLOOKUP($A920,'AAPT ExDa'!$B$2:$U$99, 4,FALSE), IFERROR(VLOOKUP($A920,'ABB ExDa'!$A$2:$N$184, 6,FALSE), IFERROR(VLOOKUP($A920,'Vocus SIT ExDa'!$B$2:$J$173, 3,FALSE), IFERROR(VLOOKUP($A920,'Telstra ExDa'!$B$2:$K$310, 5,FALSE), IFERROR(VLOOKUP($A920,'Vocus RVC ExDa'!$C$2:$R$155, 9,FALSE), IFERROR(VLOOKUP($A920,'Fusion ExDa'!$B$2:$D$16, 0,FALSE), IFERROR(VLOOKUP($A920,'Exetel ExDa'!$C$2:$N$14, 6,FALSE), IFERROR(VLOOKUP($A920,'Infinet ExDa'!$B$2:$E$14, 0,FALSE), "Not Found"))))))))</f>
        <v>Not Found</v>
      </c>
      <c r="G920" t="str">
        <f>IFERROR(VLOOKUP($A920,'AAPT ExDa'!$B$2:$U$99, 5,FALSE), IFERROR(VLOOKUP($A920,'ABB ExDa'!$A$2:$N$184, 8,FALSE), IFERROR(VLOOKUP($A920,'Vocus SIT ExDa'!$B$2:$J$173, 6,FALSE), IFERROR(VLOOKUP($A920,'Telstra ExDa'!$B$2:$K$310, 0,FALSE), IFERROR(VLOOKUP($A920,'Vocus RVC ExDa'!$C$2:$R$155, 15,FALSE), IFERROR(VLOOKUP($A920,'Fusion ExDa'!$B$2:$D$16, 0,FALSE), IFERROR(VLOOKUP($A920,'Exetel ExDa'!$C$2:$N$14, 7,FALSE), IFERROR(VLOOKUP($A920,'Infinet ExDa'!$B$2:$E$14, 0,FALSE), "Not Found"))))))))</f>
        <v>Not Found</v>
      </c>
      <c r="H920" t="str">
        <f>IFERROR(VLOOKUP($A920,'AAPT ExDa'!$B$2:$U$99, 6,FALSE), IFERROR(VLOOKUP($A920,'ABB ExDa'!$A$2:$N$184, 0,FALSE), IFERROR(VLOOKUP($A920,'Vocus SIT ExDa'!$B$2:$J$173, 0,FALSE), IFERROR(VLOOKUP($A920,'Telstra ExDa'!$B$2:$K$310, 0,FALSE), IFERROR(VLOOKUP($A920,'Vocus RVC ExDa'!$C$2:$R$155, 16,FALSE), IFERROR(VLOOKUP($A920,'Fusion ExDa'!$B$2:$D$16, 0,FALSE), IFERROR(VLOOKUP($A920,'Exetel ExDa'!$C$2:$N$14, 0,FALSE), IFERROR(VLOOKUP($A920,'Infinet ExDa'!$B$2:$E$14, 0,FALSE), "Not Found"))))))))</f>
        <v>Not Found</v>
      </c>
      <c r="I920" t="str">
        <f>IFERROR(VLOOKUP($A920,'AAPT ExDa'!$B$2:$U$99, 0,FALSE), IFERROR(VLOOKUP($A920,'ABB ExDa'!$A$2:$N$184, 0,FALSE), IFERROR(VLOOKUP($A920,'Vocus SIT ExDa'!$B$2:$J$173, 0,FALSE), IFERROR(VLOOKUP($A920,'Telstra ExDa'!$B$2:$K$310, 0,FALSE), IFERROR(VLOOKUP($A920,'Vocus RVC ExDa'!$C$2:$R$155, 0,FALSE), IFERROR(VLOOKUP($A920,'Fusion ExDa'!$B$2:$D$16, 0,FALSE), IFERROR(VLOOKUP($A920,'Exetel ExDa'!$C$2:$N$14, 8,FALSE), IFERROR(VLOOKUP($A920,'Infinet ExDa'!$B$2:$E$14, 0,FALSE), "Not Found"))))))))</f>
        <v>Not Found</v>
      </c>
      <c r="J920" t="str">
        <f>IFERROR(VLOOKUP($A920,'AAPT ExDa'!$B$2:$U$99, 7,FALSE), IFERROR(VLOOKUP($A920,'ABB ExDa'!$A$2:$N$184, 2,FALSE), IFERROR(VLOOKUP($A920,'Vocus SIT ExDa'!$B$2:$J$173, 0,FALSE), IFERROR(VLOOKUP($A920,'Telstra ExDa'!$B$2:$K$310, 7,FALSE), IFERROR(VLOOKUP($A920,'Vocus RVC ExDa'!$C$2:$R$155, 2,FALSE), IFERROR(VLOOKUP($A920,'Fusion ExDa'!$B$2:$D$16, 3,FALSE), IFERROR(VLOOKUP($A920,'Exetel ExDa'!$C$2:$N$14, 0,FALSE), IFERROR(VLOOKUP($A920,'Infinet ExDa'!$B$2:$E$14, 0,FALSE), "Not Found"))))))))</f>
        <v>AVC000109984866</v>
      </c>
      <c r="K920" t="str">
        <f>IFERROR(VLOOKUP($A920,'AAPT ExDa'!$B$2:$U$99, 12,FALSE), IFERROR(VLOOKUP($A920,'ABB ExDa'!$A$2:$N$184, 0,FALSE), IFERROR(VLOOKUP($A920,'Vocus SIT ExDa'!$B$2:$J$173, 0,FALSE), IFERROR(VLOOKUP($A920,'Telstra ExDa'!$B$2:$K$310, 0,FALSE), IFERROR(VLOOKUP($A920,'Vocus RVC ExDa'!$C$2:$R$155, 0,FALSE), IFERROR(VLOOKUP($A920,'Fusion ExDa'!$B$2:$D$16, 0,FALSE), IFERROR(VLOOKUP($A920,'Exetel ExDa'!$C$2:$N$14, 12,FALSE), IFERROR(VLOOKUP($A920,'Infinet ExDa'!$B$2:$E$14, 0,FALSE), "Not Found"))))))))</f>
        <v>Not Found</v>
      </c>
      <c r="L920" s="235" t="str">
        <f>IFERROR(VLOOKUP($A920,'AAPT ExDa'!$B$2:$U$99, 11,FALSE), IFERROR(VLOOKUP($A920,'ABB ExDa'!$A$2:$N$184, 9,FALSE), IFERROR(VLOOKUP($A920,'Vocus SIT ExDa'!$B$2:$J$173, 8,FALSE), IFERROR(VLOOKUP($A920,'Telstra ExDa'!$B$2:$K$310, 0,FALSE), IFERROR(VLOOKUP($A920,'Vocus RVC ExDa'!$C$2:$R$155, 0,FALSE), IFERROR(VLOOKUP($A920,'Fusion ExDa'!$B$2:$D$16, 0,FALSE), IFERROR(VLOOKUP($A920,'Exetel ExDa'!$C$2:$N$14, 9,FALSE), IFERROR(VLOOKUP($A920,'Infinet ExDa'!$B$2:$E$14, 0,FALSE), "Not Found"))))))))</f>
        <v>Not Found</v>
      </c>
      <c r="M920" s="234" t="str">
        <f>IFERROR(VLOOKUP($A920,'AAPT ExDa'!$B$2:$U$99, 0,FALSE), IFERROR(VLOOKUP($A920,'ABB ExDa'!$A$2:$N$184, 0,FALSE), IFERROR(VLOOKUP($A920,'Vocus SIT ExDa'!$B$2:$J$173, 0,FALSE), IFERROR(VLOOKUP($A920,'Telstra ExDa'!$B$2:$K$310, 0,FALSE), IFERROR(VLOOKUP($A920,'Vocus RVC ExDa'!$C$2:$R$155, 0,FALSE), IFERROR(VLOOKUP($A920,'Fusion ExDa'!$B$2:$D$16, 0,FALSE), IFERROR(VLOOKUP($A920,'Exetel ExDa'!$C$2:$N$14, 11,FALSE), IFERROR(VLOOKUP($A920,'Infinet ExDa'!$B$2:$E$14, 0,FALSE), "Not Found"))))))))</f>
        <v>Not Found</v>
      </c>
      <c r="N920" t="str">
        <f>IFERROR(VLOOKUP($A920,'AAPT ExDa'!$B$2:$U$99, 0,FALSE), IFERROR(VLOOKUP($A920,'ABB ExDa'!$A$2:$N$184, 13,FALSE), IFERROR(VLOOKUP($A920,'Vocus SIT ExDa'!$B$2:$J$173, 0,FALSE), IFERROR(VLOOKUP($A920,'Telstra ExDa'!$B$2:$K$310, 0,FALSE), IFERROR(VLOOKUP($A920,'Vocus RVC ExDa'!$C$2:$R$155, 0,FALSE), IFERROR(VLOOKUP($A920,'Fusion ExDa'!$B$2:$D$16, 0,FALSE), IFERROR(VLOOKUP($A920,'Exetel ExDa'!$C$2:$N$14, 0,FALSE), IFERROR(VLOOKUP($A920,'Infinet ExDa'!$B$2:$E$14, 0,FALSE), "Not Found"))))))))</f>
        <v>Not Found</v>
      </c>
    </row>
    <row r="921" spans="1:14">
      <c r="A921" t="str">
        <v>Geebung Medical Clinic</v>
      </c>
      <c r="B921" t="str">
        <f>IFERROR(VLOOKUP(A921,'Exetel ExDa'!$C$2:$N$14,4,FALSE),"No Data")</f>
        <v>No Data</v>
      </c>
      <c r="C921" t="str">
        <f>IFERROR(VLOOKUP(A921,'AAPT ExDa'!$B$2:$U$99, 2,FALSE), IFERROR(VLOOKUP(A921,'ABB ExDa'!$A$2:$N$184, 2,FALSE), IFERROR(VLOOKUP(A921,'Vocus SIT ExDa'!$B$2:$J$173, 7,FALSE), IFERROR(VLOOKUP(A921,'Telstra ExDa'!$B$2:$K$310, 2,FALSE), IFERROR(VLOOKUP(A921,'Vocus RVC ExDa'!$C$2:$R$155, 3,FALSE), IFERROR(VLOOKUP(A921,'Fusion ExDa'!$B$2:$D$16, 2,FALSE), IFERROR(VLOOKUP(A921,'Exetel ExDa'!$C$2:$N$14, 2,FALSE), IFERROR(VLOOKUP(A921,'Infinet ExDa'!$B$2:$E$14, 2,FALSE), "Not Found"))))))))</f>
        <v>Unit 2, 328 Newman Road Geebung, QLD 4034</v>
      </c>
      <c r="D921" t="str">
        <f>IFERROR(VLOOKUP($A921,'AAPT ExDa'!$B$2:$U$99, 15,FALSE), IFERROR(VLOOKUP($A921,'ABB ExDa'!$A$2:$N$184, 4,FALSE), IFERROR(VLOOKUP($A921,'Vocus SIT ExDa'!$B$2:$J$173, 5,FALSE), IFERROR(VLOOKUP($A921,'Telstra ExDa'!$B$2:$K$310, 8,FALSE), IFERROR(VLOOKUP($A921,'Vocus RVC ExDa'!$C$2:$R$155, 6,FALSE), IFERROR(VLOOKUP($A921,'Fusion ExDa'!$B$2:$D$16, 4,FALSE), IFERROR(VLOOKUP($A921,'Exetel ExDa'!$C$2:$N$14, 3,FALSE), IFERROR(VLOOKUP($A921,'Infinet ExDa'!$B$2:$E$14, 3,FALSE), "Not Found"))))))))</f>
        <v>Not Found</v>
      </c>
      <c r="E921" t="str">
        <f>IFERROR(VLOOKUP($A921,'AAPT ExDa'!$B$2:$U$99, 3,FALSE), IFERROR(VLOOKUP($A921,'ABB ExDa'!$A$2:$N$184, 5,FALSE), IFERROR(VLOOKUP($A921,'Vocus SIT ExDa'!$B$2:$J$173, 2,FALSE), IFERROR(VLOOKUP($A921,'Telstra ExDa'!$B$2:$K$310, 4,FALSE), IFERROR(VLOOKUP($A921,'Vocus RVC ExDa'!$C$2:$R$155, 8,FALSE), IFERROR(VLOOKUP($A921,'Fusion ExDa'!$B$2:$D$16, 4,FALSE), IFERROR(VLOOKUP($A921,'Exetel ExDa'!$C$2:$N$14, 5,FALSE), IFERROR(VLOOKUP($A921,'Infinet ExDa'!$B$2:$E$14, 3,FALSE), "Not Found"))))))))</f>
        <v>Not Found</v>
      </c>
      <c r="F921" t="str">
        <f>IFERROR(VLOOKUP($A921,'AAPT ExDa'!$B$2:$U$99, 4,FALSE), IFERROR(VLOOKUP($A921,'ABB ExDa'!$A$2:$N$184, 6,FALSE), IFERROR(VLOOKUP($A921,'Vocus SIT ExDa'!$B$2:$J$173, 3,FALSE), IFERROR(VLOOKUP($A921,'Telstra ExDa'!$B$2:$K$310, 5,FALSE), IFERROR(VLOOKUP($A921,'Vocus RVC ExDa'!$C$2:$R$155, 9,FALSE), IFERROR(VLOOKUP($A921,'Fusion ExDa'!$B$2:$D$16, 0,FALSE), IFERROR(VLOOKUP($A921,'Exetel ExDa'!$C$2:$N$14, 6,FALSE), IFERROR(VLOOKUP($A921,'Infinet ExDa'!$B$2:$E$14, 0,FALSE), "Not Found"))))))))</f>
        <v>Not Found</v>
      </c>
      <c r="G921" t="str">
        <f>IFERROR(VLOOKUP($A921,'AAPT ExDa'!$B$2:$U$99, 5,FALSE), IFERROR(VLOOKUP($A921,'ABB ExDa'!$A$2:$N$184, 8,FALSE), IFERROR(VLOOKUP($A921,'Vocus SIT ExDa'!$B$2:$J$173, 6,FALSE), IFERROR(VLOOKUP($A921,'Telstra ExDa'!$B$2:$K$310, 0,FALSE), IFERROR(VLOOKUP($A921,'Vocus RVC ExDa'!$C$2:$R$155, 15,FALSE), IFERROR(VLOOKUP($A921,'Fusion ExDa'!$B$2:$D$16, 0,FALSE), IFERROR(VLOOKUP($A921,'Exetel ExDa'!$C$2:$N$14, 7,FALSE), IFERROR(VLOOKUP($A921,'Infinet ExDa'!$B$2:$E$14, 0,FALSE), "Not Found"))))))))</f>
        <v>Not Found</v>
      </c>
      <c r="H921" t="str">
        <f>IFERROR(VLOOKUP($A921,'AAPT ExDa'!$B$2:$U$99, 6,FALSE), IFERROR(VLOOKUP($A921,'ABB ExDa'!$A$2:$N$184, 0,FALSE), IFERROR(VLOOKUP($A921,'Vocus SIT ExDa'!$B$2:$J$173, 0,FALSE), IFERROR(VLOOKUP($A921,'Telstra ExDa'!$B$2:$K$310, 0,FALSE), IFERROR(VLOOKUP($A921,'Vocus RVC ExDa'!$C$2:$R$155, 16,FALSE), IFERROR(VLOOKUP($A921,'Fusion ExDa'!$B$2:$D$16, 0,FALSE), IFERROR(VLOOKUP($A921,'Exetel ExDa'!$C$2:$N$14, 0,FALSE), IFERROR(VLOOKUP($A921,'Infinet ExDa'!$B$2:$E$14, 0,FALSE), "Not Found"))))))))</f>
        <v>Not Found</v>
      </c>
      <c r="I921" t="str">
        <f>IFERROR(VLOOKUP($A921,'AAPT ExDa'!$B$2:$U$99, 0,FALSE), IFERROR(VLOOKUP($A921,'ABB ExDa'!$A$2:$N$184, 0,FALSE), IFERROR(VLOOKUP($A921,'Vocus SIT ExDa'!$B$2:$J$173, 0,FALSE), IFERROR(VLOOKUP($A921,'Telstra ExDa'!$B$2:$K$310, 0,FALSE), IFERROR(VLOOKUP($A921,'Vocus RVC ExDa'!$C$2:$R$155, 0,FALSE), IFERROR(VLOOKUP($A921,'Fusion ExDa'!$B$2:$D$16, 0,FALSE), IFERROR(VLOOKUP($A921,'Exetel ExDa'!$C$2:$N$14, 8,FALSE), IFERROR(VLOOKUP($A921,'Infinet ExDa'!$B$2:$E$14, 0,FALSE), "Not Found"))))))))</f>
        <v>Not Found</v>
      </c>
      <c r="J921" t="str">
        <f>IFERROR(VLOOKUP($A921,'AAPT ExDa'!$B$2:$U$99, 7,FALSE), IFERROR(VLOOKUP($A921,'ABB ExDa'!$A$2:$N$184, 2,FALSE), IFERROR(VLOOKUP($A921,'Vocus SIT ExDa'!$B$2:$J$173, 0,FALSE), IFERROR(VLOOKUP($A921,'Telstra ExDa'!$B$2:$K$310, 7,FALSE), IFERROR(VLOOKUP($A921,'Vocus RVC ExDa'!$C$2:$R$155, 2,FALSE), IFERROR(VLOOKUP($A921,'Fusion ExDa'!$B$2:$D$16, 3,FALSE), IFERROR(VLOOKUP($A921,'Exetel ExDa'!$C$2:$N$14, 0,FALSE), IFERROR(VLOOKUP($A921,'Infinet ExDa'!$B$2:$E$14, 0,FALSE), "Not Found"))))))))</f>
        <v>AVC000100016749</v>
      </c>
      <c r="K921" t="str">
        <f>IFERROR(VLOOKUP($A921,'AAPT ExDa'!$B$2:$U$99, 12,FALSE), IFERROR(VLOOKUP($A921,'ABB ExDa'!$A$2:$N$184, 0,FALSE), IFERROR(VLOOKUP($A921,'Vocus SIT ExDa'!$B$2:$J$173, 0,FALSE), IFERROR(VLOOKUP($A921,'Telstra ExDa'!$B$2:$K$310, 0,FALSE), IFERROR(VLOOKUP($A921,'Vocus RVC ExDa'!$C$2:$R$155, 0,FALSE), IFERROR(VLOOKUP($A921,'Fusion ExDa'!$B$2:$D$16, 0,FALSE), IFERROR(VLOOKUP($A921,'Exetel ExDa'!$C$2:$N$14, 12,FALSE), IFERROR(VLOOKUP($A921,'Infinet ExDa'!$B$2:$E$14, 0,FALSE), "Not Found"))))))))</f>
        <v>Not Found</v>
      </c>
      <c r="L921" s="235" t="str">
        <f>IFERROR(VLOOKUP($A921,'AAPT ExDa'!$B$2:$U$99, 11,FALSE), IFERROR(VLOOKUP($A921,'ABB ExDa'!$A$2:$N$184, 9,FALSE), IFERROR(VLOOKUP($A921,'Vocus SIT ExDa'!$B$2:$J$173, 8,FALSE), IFERROR(VLOOKUP($A921,'Telstra ExDa'!$B$2:$K$310, 0,FALSE), IFERROR(VLOOKUP($A921,'Vocus RVC ExDa'!$C$2:$R$155, 0,FALSE), IFERROR(VLOOKUP($A921,'Fusion ExDa'!$B$2:$D$16, 0,FALSE), IFERROR(VLOOKUP($A921,'Exetel ExDa'!$C$2:$N$14, 9,FALSE), IFERROR(VLOOKUP($A921,'Infinet ExDa'!$B$2:$E$14, 0,FALSE), "Not Found"))))))))</f>
        <v>Not Found</v>
      </c>
      <c r="M921" s="234" t="str">
        <f>IFERROR(VLOOKUP($A921,'AAPT ExDa'!$B$2:$U$99, 0,FALSE), IFERROR(VLOOKUP($A921,'ABB ExDa'!$A$2:$N$184, 0,FALSE), IFERROR(VLOOKUP($A921,'Vocus SIT ExDa'!$B$2:$J$173, 0,FALSE), IFERROR(VLOOKUP($A921,'Telstra ExDa'!$B$2:$K$310, 0,FALSE), IFERROR(VLOOKUP($A921,'Vocus RVC ExDa'!$C$2:$R$155, 0,FALSE), IFERROR(VLOOKUP($A921,'Fusion ExDa'!$B$2:$D$16, 0,FALSE), IFERROR(VLOOKUP($A921,'Exetel ExDa'!$C$2:$N$14, 11,FALSE), IFERROR(VLOOKUP($A921,'Infinet ExDa'!$B$2:$E$14, 0,FALSE), "Not Found"))))))))</f>
        <v>Not Found</v>
      </c>
      <c r="N921" t="str">
        <f>IFERROR(VLOOKUP($A921,'AAPT ExDa'!$B$2:$U$99, 0,FALSE), IFERROR(VLOOKUP($A921,'ABB ExDa'!$A$2:$N$184, 13,FALSE), IFERROR(VLOOKUP($A921,'Vocus SIT ExDa'!$B$2:$J$173, 0,FALSE), IFERROR(VLOOKUP($A921,'Telstra ExDa'!$B$2:$K$310, 0,FALSE), IFERROR(VLOOKUP($A921,'Vocus RVC ExDa'!$C$2:$R$155, 0,FALSE), IFERROR(VLOOKUP($A921,'Fusion ExDa'!$B$2:$D$16, 0,FALSE), IFERROR(VLOOKUP($A921,'Exetel ExDa'!$C$2:$N$14, 0,FALSE), IFERROR(VLOOKUP($A921,'Infinet ExDa'!$B$2:$E$14, 0,FALSE), "Not Found"))))))))</f>
        <v>Not Found</v>
      </c>
    </row>
    <row r="922" spans="1:14">
      <c r="A922" t="str">
        <v>Gumdale Medical Centre</v>
      </c>
      <c r="B922" t="str">
        <f>IFERROR(VLOOKUP(A922,'Exetel ExDa'!$C$2:$N$14,4,FALSE),"No Data")</f>
        <v>No Data</v>
      </c>
      <c r="C922" t="str">
        <f>IFERROR(VLOOKUP(A922,'AAPT ExDa'!$B$2:$U$99, 2,FALSE), IFERROR(VLOOKUP(A922,'ABB ExDa'!$A$2:$N$184, 2,FALSE), IFERROR(VLOOKUP(A922,'Vocus SIT ExDa'!$B$2:$J$173, 7,FALSE), IFERROR(VLOOKUP(A922,'Telstra ExDa'!$B$2:$K$310, 2,FALSE), IFERROR(VLOOKUP(A922,'Vocus RVC ExDa'!$C$2:$R$155, 3,FALSE), IFERROR(VLOOKUP(A922,'Fusion ExDa'!$B$2:$D$16, 2,FALSE), IFERROR(VLOOKUP(A922,'Exetel ExDa'!$C$2:$N$14, 2,FALSE), IFERROR(VLOOKUP(A922,'Infinet ExDa'!$B$2:$E$14, 2,FALSE), "Not Found"))))))))</f>
        <v>Lot: 0 Shop 21 696 New Cleveland Rd GUMDALE QLD 4154 SHOP 21 696 NEW CLEVELAND ROAD GUMDALE QLD</v>
      </c>
      <c r="D922" t="str">
        <f>IFERROR(VLOOKUP($A922,'AAPT ExDa'!$B$2:$U$99, 15,FALSE), IFERROR(VLOOKUP($A922,'ABB ExDa'!$A$2:$N$184, 4,FALSE), IFERROR(VLOOKUP($A922,'Vocus SIT ExDa'!$B$2:$J$173, 5,FALSE), IFERROR(VLOOKUP($A922,'Telstra ExDa'!$B$2:$K$310, 8,FALSE), IFERROR(VLOOKUP($A922,'Vocus RVC ExDa'!$C$2:$R$155, 6,FALSE), IFERROR(VLOOKUP($A922,'Fusion ExDa'!$B$2:$D$16, 4,FALSE), IFERROR(VLOOKUP($A922,'Exetel ExDa'!$C$2:$N$14, 3,FALSE), IFERROR(VLOOKUP($A922,'Infinet ExDa'!$B$2:$E$14, 3,FALSE), "Not Found"))))))))</f>
        <v>Not Found</v>
      </c>
      <c r="E922" t="str">
        <f>IFERROR(VLOOKUP($A922,'AAPT ExDa'!$B$2:$U$99, 3,FALSE), IFERROR(VLOOKUP($A922,'ABB ExDa'!$A$2:$N$184, 5,FALSE), IFERROR(VLOOKUP($A922,'Vocus SIT ExDa'!$B$2:$J$173, 2,FALSE), IFERROR(VLOOKUP($A922,'Telstra ExDa'!$B$2:$K$310, 4,FALSE), IFERROR(VLOOKUP($A922,'Vocus RVC ExDa'!$C$2:$R$155, 8,FALSE), IFERROR(VLOOKUP($A922,'Fusion ExDa'!$B$2:$D$16, 4,FALSE), IFERROR(VLOOKUP($A922,'Exetel ExDa'!$C$2:$N$14, 5,FALSE), IFERROR(VLOOKUP($A922,'Infinet ExDa'!$B$2:$E$14, 3,FALSE), "Not Found"))))))))</f>
        <v>Not Found</v>
      </c>
      <c r="F922" t="str">
        <f>IFERROR(VLOOKUP($A922,'AAPT ExDa'!$B$2:$U$99, 4,FALSE), IFERROR(VLOOKUP($A922,'ABB ExDa'!$A$2:$N$184, 6,FALSE), IFERROR(VLOOKUP($A922,'Vocus SIT ExDa'!$B$2:$J$173, 3,FALSE), IFERROR(VLOOKUP($A922,'Telstra ExDa'!$B$2:$K$310, 5,FALSE), IFERROR(VLOOKUP($A922,'Vocus RVC ExDa'!$C$2:$R$155, 9,FALSE), IFERROR(VLOOKUP($A922,'Fusion ExDa'!$B$2:$D$16, 0,FALSE), IFERROR(VLOOKUP($A922,'Exetel ExDa'!$C$2:$N$14, 6,FALSE), IFERROR(VLOOKUP($A922,'Infinet ExDa'!$B$2:$E$14, 0,FALSE), "Not Found"))))))))</f>
        <v>Not Found</v>
      </c>
      <c r="G922" t="str">
        <f>IFERROR(VLOOKUP($A922,'AAPT ExDa'!$B$2:$U$99, 5,FALSE), IFERROR(VLOOKUP($A922,'ABB ExDa'!$A$2:$N$184, 8,FALSE), IFERROR(VLOOKUP($A922,'Vocus SIT ExDa'!$B$2:$J$173, 6,FALSE), IFERROR(VLOOKUP($A922,'Telstra ExDa'!$B$2:$K$310, 0,FALSE), IFERROR(VLOOKUP($A922,'Vocus RVC ExDa'!$C$2:$R$155, 15,FALSE), IFERROR(VLOOKUP($A922,'Fusion ExDa'!$B$2:$D$16, 0,FALSE), IFERROR(VLOOKUP($A922,'Exetel ExDa'!$C$2:$N$14, 7,FALSE), IFERROR(VLOOKUP($A922,'Infinet ExDa'!$B$2:$E$14, 0,FALSE), "Not Found"))))))))</f>
        <v>Not Found</v>
      </c>
      <c r="H922" t="str">
        <f>IFERROR(VLOOKUP($A922,'AAPT ExDa'!$B$2:$U$99, 6,FALSE), IFERROR(VLOOKUP($A922,'ABB ExDa'!$A$2:$N$184, 0,FALSE), IFERROR(VLOOKUP($A922,'Vocus SIT ExDa'!$B$2:$J$173, 0,FALSE), IFERROR(VLOOKUP($A922,'Telstra ExDa'!$B$2:$K$310, 0,FALSE), IFERROR(VLOOKUP($A922,'Vocus RVC ExDa'!$C$2:$R$155, 16,FALSE), IFERROR(VLOOKUP($A922,'Fusion ExDa'!$B$2:$D$16, 0,FALSE), IFERROR(VLOOKUP($A922,'Exetel ExDa'!$C$2:$N$14, 0,FALSE), IFERROR(VLOOKUP($A922,'Infinet ExDa'!$B$2:$E$14, 0,FALSE), "Not Found"))))))))</f>
        <v>Not Found</v>
      </c>
      <c r="I922" t="str">
        <f>IFERROR(VLOOKUP($A922,'AAPT ExDa'!$B$2:$U$99, 0,FALSE), IFERROR(VLOOKUP($A922,'ABB ExDa'!$A$2:$N$184, 0,FALSE), IFERROR(VLOOKUP($A922,'Vocus SIT ExDa'!$B$2:$J$173, 0,FALSE), IFERROR(VLOOKUP($A922,'Telstra ExDa'!$B$2:$K$310, 0,FALSE), IFERROR(VLOOKUP($A922,'Vocus RVC ExDa'!$C$2:$R$155, 0,FALSE), IFERROR(VLOOKUP($A922,'Fusion ExDa'!$B$2:$D$16, 0,FALSE), IFERROR(VLOOKUP($A922,'Exetel ExDa'!$C$2:$N$14, 8,FALSE), IFERROR(VLOOKUP($A922,'Infinet ExDa'!$B$2:$E$14, 0,FALSE), "Not Found"))))))))</f>
        <v>Not Found</v>
      </c>
      <c r="J922" t="str">
        <f>IFERROR(VLOOKUP($A922,'AAPT ExDa'!$B$2:$U$99, 7,FALSE), IFERROR(VLOOKUP($A922,'ABB ExDa'!$A$2:$N$184, 2,FALSE), IFERROR(VLOOKUP($A922,'Vocus SIT ExDa'!$B$2:$J$173, 0,FALSE), IFERROR(VLOOKUP($A922,'Telstra ExDa'!$B$2:$K$310, 7,FALSE), IFERROR(VLOOKUP($A922,'Vocus RVC ExDa'!$C$2:$R$155, 2,FALSE), IFERROR(VLOOKUP($A922,'Fusion ExDa'!$B$2:$D$16, 3,FALSE), IFERROR(VLOOKUP($A922,'Exetel ExDa'!$C$2:$N$14, 0,FALSE), IFERROR(VLOOKUP($A922,'Infinet ExDa'!$B$2:$E$14, 0,FALSE), "Not Found"))))))))</f>
        <v>AVC000104837161</v>
      </c>
      <c r="K922" t="str">
        <f>IFERROR(VLOOKUP($A922,'AAPT ExDa'!$B$2:$U$99, 12,FALSE), IFERROR(VLOOKUP($A922,'ABB ExDa'!$A$2:$N$184, 0,FALSE), IFERROR(VLOOKUP($A922,'Vocus SIT ExDa'!$B$2:$J$173, 0,FALSE), IFERROR(VLOOKUP($A922,'Telstra ExDa'!$B$2:$K$310, 0,FALSE), IFERROR(VLOOKUP($A922,'Vocus RVC ExDa'!$C$2:$R$155, 0,FALSE), IFERROR(VLOOKUP($A922,'Fusion ExDa'!$B$2:$D$16, 0,FALSE), IFERROR(VLOOKUP($A922,'Exetel ExDa'!$C$2:$N$14, 12,FALSE), IFERROR(VLOOKUP($A922,'Infinet ExDa'!$B$2:$E$14, 0,FALSE), "Not Found"))))))))</f>
        <v>Not Found</v>
      </c>
      <c r="L922" s="235" t="str">
        <f>IFERROR(VLOOKUP($A922,'AAPT ExDa'!$B$2:$U$99, 11,FALSE), IFERROR(VLOOKUP($A922,'ABB ExDa'!$A$2:$N$184, 9,FALSE), IFERROR(VLOOKUP($A922,'Vocus SIT ExDa'!$B$2:$J$173, 8,FALSE), IFERROR(VLOOKUP($A922,'Telstra ExDa'!$B$2:$K$310, 0,FALSE), IFERROR(VLOOKUP($A922,'Vocus RVC ExDa'!$C$2:$R$155, 0,FALSE), IFERROR(VLOOKUP($A922,'Fusion ExDa'!$B$2:$D$16, 0,FALSE), IFERROR(VLOOKUP($A922,'Exetel ExDa'!$C$2:$N$14, 9,FALSE), IFERROR(VLOOKUP($A922,'Infinet ExDa'!$B$2:$E$14, 0,FALSE), "Not Found"))))))))</f>
        <v>Not Found</v>
      </c>
      <c r="M922" s="234" t="str">
        <f>IFERROR(VLOOKUP($A922,'AAPT ExDa'!$B$2:$U$99, 0,FALSE), IFERROR(VLOOKUP($A922,'ABB ExDa'!$A$2:$N$184, 0,FALSE), IFERROR(VLOOKUP($A922,'Vocus SIT ExDa'!$B$2:$J$173, 0,FALSE), IFERROR(VLOOKUP($A922,'Telstra ExDa'!$B$2:$K$310, 0,FALSE), IFERROR(VLOOKUP($A922,'Vocus RVC ExDa'!$C$2:$R$155, 0,FALSE), IFERROR(VLOOKUP($A922,'Fusion ExDa'!$B$2:$D$16, 0,FALSE), IFERROR(VLOOKUP($A922,'Exetel ExDa'!$C$2:$N$14, 11,FALSE), IFERROR(VLOOKUP($A922,'Infinet ExDa'!$B$2:$E$14, 0,FALSE), "Not Found"))))))))</f>
        <v>Not Found</v>
      </c>
      <c r="N922" t="str">
        <f>IFERROR(VLOOKUP($A922,'AAPT ExDa'!$B$2:$U$99, 0,FALSE), IFERROR(VLOOKUP($A922,'ABB ExDa'!$A$2:$N$184, 13,FALSE), IFERROR(VLOOKUP($A922,'Vocus SIT ExDa'!$B$2:$J$173, 0,FALSE), IFERROR(VLOOKUP($A922,'Telstra ExDa'!$B$2:$K$310, 0,FALSE), IFERROR(VLOOKUP($A922,'Vocus RVC ExDa'!$C$2:$R$155, 0,FALSE), IFERROR(VLOOKUP($A922,'Fusion ExDa'!$B$2:$D$16, 0,FALSE), IFERROR(VLOOKUP($A922,'Exetel ExDa'!$C$2:$N$14, 0,FALSE), IFERROR(VLOOKUP($A922,'Infinet ExDa'!$B$2:$E$14, 0,FALSE), "Not Found"))))))))</f>
        <v>Not Found</v>
      </c>
    </row>
    <row r="923" spans="1:14">
      <c r="A923" t="str">
        <v>Banyo Village Medical Centre</v>
      </c>
      <c r="B923" t="str">
        <f>IFERROR(VLOOKUP(A923,'Exetel ExDa'!$C$2:$N$14,4,FALSE),"No Data")</f>
        <v>No Data</v>
      </c>
      <c r="C923" t="str">
        <f>IFERROR(VLOOKUP(A923,'AAPT ExDa'!$B$2:$U$99, 2,FALSE), IFERROR(VLOOKUP(A923,'ABB ExDa'!$A$2:$N$184, 2,FALSE), IFERROR(VLOOKUP(A923,'Vocus SIT ExDa'!$B$2:$J$173, 7,FALSE), IFERROR(VLOOKUP(A923,'Telstra ExDa'!$B$2:$K$310, 2,FALSE), IFERROR(VLOOKUP(A923,'Vocus RVC ExDa'!$C$2:$R$155, 3,FALSE), IFERROR(VLOOKUP(A923,'Fusion ExDa'!$B$2:$D$16, 2,FALSE), IFERROR(VLOOKUP(A923,'Exetel ExDa'!$C$2:$N$14, 2,FALSE), IFERROR(VLOOKUP(A923,'Infinet ExDa'!$B$2:$E$14, 2,FALSE), "Not Found"))))))))</f>
        <v>Shop 1, 299 St Vincents Road Banyo, QLD 4500</v>
      </c>
      <c r="D923" t="str">
        <f>IFERROR(VLOOKUP($A923,'AAPT ExDa'!$B$2:$U$99, 15,FALSE), IFERROR(VLOOKUP($A923,'ABB ExDa'!$A$2:$N$184, 4,FALSE), IFERROR(VLOOKUP($A923,'Vocus SIT ExDa'!$B$2:$J$173, 5,FALSE), IFERROR(VLOOKUP($A923,'Telstra ExDa'!$B$2:$K$310, 8,FALSE), IFERROR(VLOOKUP($A923,'Vocus RVC ExDa'!$C$2:$R$155, 6,FALSE), IFERROR(VLOOKUP($A923,'Fusion ExDa'!$B$2:$D$16, 4,FALSE), IFERROR(VLOOKUP($A923,'Exetel ExDa'!$C$2:$N$14, 3,FALSE), IFERROR(VLOOKUP($A923,'Infinet ExDa'!$B$2:$E$14, 3,FALSE), "Not Found"))))))))</f>
        <v>Not Found</v>
      </c>
      <c r="E923" t="str">
        <f>IFERROR(VLOOKUP($A923,'AAPT ExDa'!$B$2:$U$99, 3,FALSE), IFERROR(VLOOKUP($A923,'ABB ExDa'!$A$2:$N$184, 5,FALSE), IFERROR(VLOOKUP($A923,'Vocus SIT ExDa'!$B$2:$J$173, 2,FALSE), IFERROR(VLOOKUP($A923,'Telstra ExDa'!$B$2:$K$310, 4,FALSE), IFERROR(VLOOKUP($A923,'Vocus RVC ExDa'!$C$2:$R$155, 8,FALSE), IFERROR(VLOOKUP($A923,'Fusion ExDa'!$B$2:$D$16, 4,FALSE), IFERROR(VLOOKUP($A923,'Exetel ExDa'!$C$2:$N$14, 5,FALSE), IFERROR(VLOOKUP($A923,'Infinet ExDa'!$B$2:$E$14, 3,FALSE), "Not Found"))))))))</f>
        <v>Not Found</v>
      </c>
      <c r="F923" t="str">
        <f>IFERROR(VLOOKUP($A923,'AAPT ExDa'!$B$2:$U$99, 4,FALSE), IFERROR(VLOOKUP($A923,'ABB ExDa'!$A$2:$N$184, 6,FALSE), IFERROR(VLOOKUP($A923,'Vocus SIT ExDa'!$B$2:$J$173, 3,FALSE), IFERROR(VLOOKUP($A923,'Telstra ExDa'!$B$2:$K$310, 5,FALSE), IFERROR(VLOOKUP($A923,'Vocus RVC ExDa'!$C$2:$R$155, 9,FALSE), IFERROR(VLOOKUP($A923,'Fusion ExDa'!$B$2:$D$16, 0,FALSE), IFERROR(VLOOKUP($A923,'Exetel ExDa'!$C$2:$N$14, 6,FALSE), IFERROR(VLOOKUP($A923,'Infinet ExDa'!$B$2:$E$14, 0,FALSE), "Not Found"))))))))</f>
        <v>Not Found</v>
      </c>
      <c r="G923" t="str">
        <f>IFERROR(VLOOKUP($A923,'AAPT ExDa'!$B$2:$U$99, 5,FALSE), IFERROR(VLOOKUP($A923,'ABB ExDa'!$A$2:$N$184, 8,FALSE), IFERROR(VLOOKUP($A923,'Vocus SIT ExDa'!$B$2:$J$173, 6,FALSE), IFERROR(VLOOKUP($A923,'Telstra ExDa'!$B$2:$K$310, 0,FALSE), IFERROR(VLOOKUP($A923,'Vocus RVC ExDa'!$C$2:$R$155, 15,FALSE), IFERROR(VLOOKUP($A923,'Fusion ExDa'!$B$2:$D$16, 0,FALSE), IFERROR(VLOOKUP($A923,'Exetel ExDa'!$C$2:$N$14, 7,FALSE), IFERROR(VLOOKUP($A923,'Infinet ExDa'!$B$2:$E$14, 0,FALSE), "Not Found"))))))))</f>
        <v>Not Found</v>
      </c>
      <c r="H923" t="str">
        <f>IFERROR(VLOOKUP($A923,'AAPT ExDa'!$B$2:$U$99, 6,FALSE), IFERROR(VLOOKUP($A923,'ABB ExDa'!$A$2:$N$184, 0,FALSE), IFERROR(VLOOKUP($A923,'Vocus SIT ExDa'!$B$2:$J$173, 0,FALSE), IFERROR(VLOOKUP($A923,'Telstra ExDa'!$B$2:$K$310, 0,FALSE), IFERROR(VLOOKUP($A923,'Vocus RVC ExDa'!$C$2:$R$155, 16,FALSE), IFERROR(VLOOKUP($A923,'Fusion ExDa'!$B$2:$D$16, 0,FALSE), IFERROR(VLOOKUP($A923,'Exetel ExDa'!$C$2:$N$14, 0,FALSE), IFERROR(VLOOKUP($A923,'Infinet ExDa'!$B$2:$E$14, 0,FALSE), "Not Found"))))))))</f>
        <v>Not Found</v>
      </c>
      <c r="I923" t="str">
        <f>IFERROR(VLOOKUP($A923,'AAPT ExDa'!$B$2:$U$99, 0,FALSE), IFERROR(VLOOKUP($A923,'ABB ExDa'!$A$2:$N$184, 0,FALSE), IFERROR(VLOOKUP($A923,'Vocus SIT ExDa'!$B$2:$J$173, 0,FALSE), IFERROR(VLOOKUP($A923,'Telstra ExDa'!$B$2:$K$310, 0,FALSE), IFERROR(VLOOKUP($A923,'Vocus RVC ExDa'!$C$2:$R$155, 0,FALSE), IFERROR(VLOOKUP($A923,'Fusion ExDa'!$B$2:$D$16, 0,FALSE), IFERROR(VLOOKUP($A923,'Exetel ExDa'!$C$2:$N$14, 8,FALSE), IFERROR(VLOOKUP($A923,'Infinet ExDa'!$B$2:$E$14, 0,FALSE), "Not Found"))))))))</f>
        <v>Not Found</v>
      </c>
      <c r="J923" t="str">
        <f>IFERROR(VLOOKUP($A923,'AAPT ExDa'!$B$2:$U$99, 7,FALSE), IFERROR(VLOOKUP($A923,'ABB ExDa'!$A$2:$N$184, 2,FALSE), IFERROR(VLOOKUP($A923,'Vocus SIT ExDa'!$B$2:$J$173, 0,FALSE), IFERROR(VLOOKUP($A923,'Telstra ExDa'!$B$2:$K$310, 7,FALSE), IFERROR(VLOOKUP($A923,'Vocus RVC ExDa'!$C$2:$R$155, 2,FALSE), IFERROR(VLOOKUP($A923,'Fusion ExDa'!$B$2:$D$16, 3,FALSE), IFERROR(VLOOKUP($A923,'Exetel ExDa'!$C$2:$N$14, 0,FALSE), IFERROR(VLOOKUP($A923,'Infinet ExDa'!$B$2:$E$14, 0,FALSE), "Not Found"))))))))</f>
        <v>AVC000088571579</v>
      </c>
      <c r="K923" t="str">
        <f>IFERROR(VLOOKUP($A923,'AAPT ExDa'!$B$2:$U$99, 12,FALSE), IFERROR(VLOOKUP($A923,'ABB ExDa'!$A$2:$N$184, 0,FALSE), IFERROR(VLOOKUP($A923,'Vocus SIT ExDa'!$B$2:$J$173, 0,FALSE), IFERROR(VLOOKUP($A923,'Telstra ExDa'!$B$2:$K$310, 0,FALSE), IFERROR(VLOOKUP($A923,'Vocus RVC ExDa'!$C$2:$R$155, 0,FALSE), IFERROR(VLOOKUP($A923,'Fusion ExDa'!$B$2:$D$16, 0,FALSE), IFERROR(VLOOKUP($A923,'Exetel ExDa'!$C$2:$N$14, 12,FALSE), IFERROR(VLOOKUP($A923,'Infinet ExDa'!$B$2:$E$14, 0,FALSE), "Not Found"))))))))</f>
        <v>Not Found</v>
      </c>
      <c r="L923" s="235" t="str">
        <f>IFERROR(VLOOKUP($A923,'AAPT ExDa'!$B$2:$U$99, 11,FALSE), IFERROR(VLOOKUP($A923,'ABB ExDa'!$A$2:$N$184, 9,FALSE), IFERROR(VLOOKUP($A923,'Vocus SIT ExDa'!$B$2:$J$173, 8,FALSE), IFERROR(VLOOKUP($A923,'Telstra ExDa'!$B$2:$K$310, 0,FALSE), IFERROR(VLOOKUP($A923,'Vocus RVC ExDa'!$C$2:$R$155, 0,FALSE), IFERROR(VLOOKUP($A923,'Fusion ExDa'!$B$2:$D$16, 0,FALSE), IFERROR(VLOOKUP($A923,'Exetel ExDa'!$C$2:$N$14, 9,FALSE), IFERROR(VLOOKUP($A923,'Infinet ExDa'!$B$2:$E$14, 0,FALSE), "Not Found"))))))))</f>
        <v>Not Found</v>
      </c>
      <c r="M923" s="234" t="str">
        <f>IFERROR(VLOOKUP($A923,'AAPT ExDa'!$B$2:$U$99, 0,FALSE), IFERROR(VLOOKUP($A923,'ABB ExDa'!$A$2:$N$184, 0,FALSE), IFERROR(VLOOKUP($A923,'Vocus SIT ExDa'!$B$2:$J$173, 0,FALSE), IFERROR(VLOOKUP($A923,'Telstra ExDa'!$B$2:$K$310, 0,FALSE), IFERROR(VLOOKUP($A923,'Vocus RVC ExDa'!$C$2:$R$155, 0,FALSE), IFERROR(VLOOKUP($A923,'Fusion ExDa'!$B$2:$D$16, 0,FALSE), IFERROR(VLOOKUP($A923,'Exetel ExDa'!$C$2:$N$14, 11,FALSE), IFERROR(VLOOKUP($A923,'Infinet ExDa'!$B$2:$E$14, 0,FALSE), "Not Found"))))))))</f>
        <v>Not Found</v>
      </c>
      <c r="N923" t="str">
        <f>IFERROR(VLOOKUP($A923,'AAPT ExDa'!$B$2:$U$99, 0,FALSE), IFERROR(VLOOKUP($A923,'ABB ExDa'!$A$2:$N$184, 13,FALSE), IFERROR(VLOOKUP($A923,'Vocus SIT ExDa'!$B$2:$J$173, 0,FALSE), IFERROR(VLOOKUP($A923,'Telstra ExDa'!$B$2:$K$310, 0,FALSE), IFERROR(VLOOKUP($A923,'Vocus RVC ExDa'!$C$2:$R$155, 0,FALSE), IFERROR(VLOOKUP($A923,'Fusion ExDa'!$B$2:$D$16, 0,FALSE), IFERROR(VLOOKUP($A923,'Exetel ExDa'!$C$2:$N$14, 0,FALSE), IFERROR(VLOOKUP($A923,'Infinet ExDa'!$B$2:$E$14, 0,FALSE), "Not Found"))))))))</f>
        <v>Not Found</v>
      </c>
    </row>
    <row r="924" spans="1:14">
      <c r="A924" t="str">
        <v>Rode Medical Clinic</v>
      </c>
      <c r="B924" t="str">
        <f>IFERROR(VLOOKUP(A924,'Exetel ExDa'!$C$2:$N$14,4,FALSE),"No Data")</f>
        <v>No Data</v>
      </c>
      <c r="C924" t="str">
        <f>IFERROR(VLOOKUP(A924,'AAPT ExDa'!$B$2:$U$99, 2,FALSE), IFERROR(VLOOKUP(A924,'ABB ExDa'!$A$2:$N$184, 2,FALSE), IFERROR(VLOOKUP(A924,'Vocus SIT ExDa'!$B$2:$J$173, 7,FALSE), IFERROR(VLOOKUP(A924,'Telstra ExDa'!$B$2:$K$310, 2,FALSE), IFERROR(VLOOKUP(A924,'Vocus RVC ExDa'!$C$2:$R$155, 3,FALSE), IFERROR(VLOOKUP(A924,'Fusion ExDa'!$B$2:$D$16, 2,FALSE), IFERROR(VLOOKUP(A924,'Exetel ExDa'!$C$2:$N$14, 2,FALSE), IFERROR(VLOOKUP(A924,'Infinet ExDa'!$B$2:$E$14, 2,FALSE), "Not Found"))))))))</f>
        <v>Unit 17-19, 734 Rode Road Stafford Heights QLD 4053 (Lot: 2 Shop 17 734 Rode Rd STAFFORD HEIGHTS QLD 4053)</v>
      </c>
      <c r="D924" t="str">
        <f>IFERROR(VLOOKUP($A924,'AAPT ExDa'!$B$2:$U$99, 15,FALSE), IFERROR(VLOOKUP($A924,'ABB ExDa'!$A$2:$N$184, 4,FALSE), IFERROR(VLOOKUP($A924,'Vocus SIT ExDa'!$B$2:$J$173, 5,FALSE), IFERROR(VLOOKUP($A924,'Telstra ExDa'!$B$2:$K$310, 8,FALSE), IFERROR(VLOOKUP($A924,'Vocus RVC ExDa'!$C$2:$R$155, 6,FALSE), IFERROR(VLOOKUP($A924,'Fusion ExDa'!$B$2:$D$16, 4,FALSE), IFERROR(VLOOKUP($A924,'Exetel ExDa'!$C$2:$N$14, 3,FALSE), IFERROR(VLOOKUP($A924,'Infinet ExDa'!$B$2:$E$14, 3,FALSE), "Not Found"))))))))</f>
        <v>Not Found</v>
      </c>
      <c r="E924" t="str">
        <f>IFERROR(VLOOKUP($A924,'AAPT ExDa'!$B$2:$U$99, 3,FALSE), IFERROR(VLOOKUP($A924,'ABB ExDa'!$A$2:$N$184, 5,FALSE), IFERROR(VLOOKUP($A924,'Vocus SIT ExDa'!$B$2:$J$173, 2,FALSE), IFERROR(VLOOKUP($A924,'Telstra ExDa'!$B$2:$K$310, 4,FALSE), IFERROR(VLOOKUP($A924,'Vocus RVC ExDa'!$C$2:$R$155, 8,FALSE), IFERROR(VLOOKUP($A924,'Fusion ExDa'!$B$2:$D$16, 4,FALSE), IFERROR(VLOOKUP($A924,'Exetel ExDa'!$C$2:$N$14, 5,FALSE), IFERROR(VLOOKUP($A924,'Infinet ExDa'!$B$2:$E$14, 3,FALSE), "Not Found"))))))))</f>
        <v>Not Found</v>
      </c>
      <c r="F924" t="str">
        <f>IFERROR(VLOOKUP($A924,'AAPT ExDa'!$B$2:$U$99, 4,FALSE), IFERROR(VLOOKUP($A924,'ABB ExDa'!$A$2:$N$184, 6,FALSE), IFERROR(VLOOKUP($A924,'Vocus SIT ExDa'!$B$2:$J$173, 3,FALSE), IFERROR(VLOOKUP($A924,'Telstra ExDa'!$B$2:$K$310, 5,FALSE), IFERROR(VLOOKUP($A924,'Vocus RVC ExDa'!$C$2:$R$155, 9,FALSE), IFERROR(VLOOKUP($A924,'Fusion ExDa'!$B$2:$D$16, 0,FALSE), IFERROR(VLOOKUP($A924,'Exetel ExDa'!$C$2:$N$14, 6,FALSE), IFERROR(VLOOKUP($A924,'Infinet ExDa'!$B$2:$E$14, 0,FALSE), "Not Found"))))))))</f>
        <v>Not Found</v>
      </c>
      <c r="G924" t="str">
        <f>IFERROR(VLOOKUP($A924,'AAPT ExDa'!$B$2:$U$99, 5,FALSE), IFERROR(VLOOKUP($A924,'ABB ExDa'!$A$2:$N$184, 8,FALSE), IFERROR(VLOOKUP($A924,'Vocus SIT ExDa'!$B$2:$J$173, 6,FALSE), IFERROR(VLOOKUP($A924,'Telstra ExDa'!$B$2:$K$310, 0,FALSE), IFERROR(VLOOKUP($A924,'Vocus RVC ExDa'!$C$2:$R$155, 15,FALSE), IFERROR(VLOOKUP($A924,'Fusion ExDa'!$B$2:$D$16, 0,FALSE), IFERROR(VLOOKUP($A924,'Exetel ExDa'!$C$2:$N$14, 7,FALSE), IFERROR(VLOOKUP($A924,'Infinet ExDa'!$B$2:$E$14, 0,FALSE), "Not Found"))))))))</f>
        <v>Not Found</v>
      </c>
      <c r="H924" t="str">
        <f>IFERROR(VLOOKUP($A924,'AAPT ExDa'!$B$2:$U$99, 6,FALSE), IFERROR(VLOOKUP($A924,'ABB ExDa'!$A$2:$N$184, 0,FALSE), IFERROR(VLOOKUP($A924,'Vocus SIT ExDa'!$B$2:$J$173, 0,FALSE), IFERROR(VLOOKUP($A924,'Telstra ExDa'!$B$2:$K$310, 0,FALSE), IFERROR(VLOOKUP($A924,'Vocus RVC ExDa'!$C$2:$R$155, 16,FALSE), IFERROR(VLOOKUP($A924,'Fusion ExDa'!$B$2:$D$16, 0,FALSE), IFERROR(VLOOKUP($A924,'Exetel ExDa'!$C$2:$N$14, 0,FALSE), IFERROR(VLOOKUP($A924,'Infinet ExDa'!$B$2:$E$14, 0,FALSE), "Not Found"))))))))</f>
        <v>Not Found</v>
      </c>
      <c r="I924" t="str">
        <f>IFERROR(VLOOKUP($A924,'AAPT ExDa'!$B$2:$U$99, 0,FALSE), IFERROR(VLOOKUP($A924,'ABB ExDa'!$A$2:$N$184, 0,FALSE), IFERROR(VLOOKUP($A924,'Vocus SIT ExDa'!$B$2:$J$173, 0,FALSE), IFERROR(VLOOKUP($A924,'Telstra ExDa'!$B$2:$K$310, 0,FALSE), IFERROR(VLOOKUP($A924,'Vocus RVC ExDa'!$C$2:$R$155, 0,FALSE), IFERROR(VLOOKUP($A924,'Fusion ExDa'!$B$2:$D$16, 0,FALSE), IFERROR(VLOOKUP($A924,'Exetel ExDa'!$C$2:$N$14, 8,FALSE), IFERROR(VLOOKUP($A924,'Infinet ExDa'!$B$2:$E$14, 0,FALSE), "Not Found"))))))))</f>
        <v>Not Found</v>
      </c>
      <c r="J924" t="str">
        <f>IFERROR(VLOOKUP($A924,'AAPT ExDa'!$B$2:$U$99, 7,FALSE), IFERROR(VLOOKUP($A924,'ABB ExDa'!$A$2:$N$184, 2,FALSE), IFERROR(VLOOKUP($A924,'Vocus SIT ExDa'!$B$2:$J$173, 0,FALSE), IFERROR(VLOOKUP($A924,'Telstra ExDa'!$B$2:$K$310, 7,FALSE), IFERROR(VLOOKUP($A924,'Vocus RVC ExDa'!$C$2:$R$155, 2,FALSE), IFERROR(VLOOKUP($A924,'Fusion ExDa'!$B$2:$D$16, 3,FALSE), IFERROR(VLOOKUP($A924,'Exetel ExDa'!$C$2:$N$14, 0,FALSE), IFERROR(VLOOKUP($A924,'Infinet ExDa'!$B$2:$E$14, 0,FALSE), "Not Found"))))))))</f>
        <v>AVC000105258581</v>
      </c>
      <c r="K924" t="str">
        <f>IFERROR(VLOOKUP($A924,'AAPT ExDa'!$B$2:$U$99, 12,FALSE), IFERROR(VLOOKUP($A924,'ABB ExDa'!$A$2:$N$184, 0,FALSE), IFERROR(VLOOKUP($A924,'Vocus SIT ExDa'!$B$2:$J$173, 0,FALSE), IFERROR(VLOOKUP($A924,'Telstra ExDa'!$B$2:$K$310, 0,FALSE), IFERROR(VLOOKUP($A924,'Vocus RVC ExDa'!$C$2:$R$155, 0,FALSE), IFERROR(VLOOKUP($A924,'Fusion ExDa'!$B$2:$D$16, 0,FALSE), IFERROR(VLOOKUP($A924,'Exetel ExDa'!$C$2:$N$14, 12,FALSE), IFERROR(VLOOKUP($A924,'Infinet ExDa'!$B$2:$E$14, 0,FALSE), "Not Found"))))))))</f>
        <v>Not Found</v>
      </c>
      <c r="L924" s="235" t="str">
        <f>IFERROR(VLOOKUP($A924,'AAPT ExDa'!$B$2:$U$99, 11,FALSE), IFERROR(VLOOKUP($A924,'ABB ExDa'!$A$2:$N$184, 9,FALSE), IFERROR(VLOOKUP($A924,'Vocus SIT ExDa'!$B$2:$J$173, 8,FALSE), IFERROR(VLOOKUP($A924,'Telstra ExDa'!$B$2:$K$310, 0,FALSE), IFERROR(VLOOKUP($A924,'Vocus RVC ExDa'!$C$2:$R$155, 0,FALSE), IFERROR(VLOOKUP($A924,'Fusion ExDa'!$B$2:$D$16, 0,FALSE), IFERROR(VLOOKUP($A924,'Exetel ExDa'!$C$2:$N$14, 9,FALSE), IFERROR(VLOOKUP($A924,'Infinet ExDa'!$B$2:$E$14, 0,FALSE), "Not Found"))))))))</f>
        <v>Not Found</v>
      </c>
      <c r="M924" s="234" t="str">
        <f>IFERROR(VLOOKUP($A924,'AAPT ExDa'!$B$2:$U$99, 0,FALSE), IFERROR(VLOOKUP($A924,'ABB ExDa'!$A$2:$N$184, 0,FALSE), IFERROR(VLOOKUP($A924,'Vocus SIT ExDa'!$B$2:$J$173, 0,FALSE), IFERROR(VLOOKUP($A924,'Telstra ExDa'!$B$2:$K$310, 0,FALSE), IFERROR(VLOOKUP($A924,'Vocus RVC ExDa'!$C$2:$R$155, 0,FALSE), IFERROR(VLOOKUP($A924,'Fusion ExDa'!$B$2:$D$16, 0,FALSE), IFERROR(VLOOKUP($A924,'Exetel ExDa'!$C$2:$N$14, 11,FALSE), IFERROR(VLOOKUP($A924,'Infinet ExDa'!$B$2:$E$14, 0,FALSE), "Not Found"))))))))</f>
        <v>Not Found</v>
      </c>
      <c r="N924" t="str">
        <f>IFERROR(VLOOKUP($A924,'AAPT ExDa'!$B$2:$U$99, 0,FALSE), IFERROR(VLOOKUP($A924,'ABB ExDa'!$A$2:$N$184, 13,FALSE), IFERROR(VLOOKUP($A924,'Vocus SIT ExDa'!$B$2:$J$173, 0,FALSE), IFERROR(VLOOKUP($A924,'Telstra ExDa'!$B$2:$K$310, 0,FALSE), IFERROR(VLOOKUP($A924,'Vocus RVC ExDa'!$C$2:$R$155, 0,FALSE), IFERROR(VLOOKUP($A924,'Fusion ExDa'!$B$2:$D$16, 0,FALSE), IFERROR(VLOOKUP($A924,'Exetel ExDa'!$C$2:$N$14, 0,FALSE), IFERROR(VLOOKUP($A924,'Infinet ExDa'!$B$2:$E$14, 0,FALSE), "Not Found"))))))))</f>
        <v>Not Found</v>
      </c>
    </row>
    <row r="925" spans="1:14">
      <c r="A925" t="str">
        <v xml:space="preserve"> Stafford Dental Studio</v>
      </c>
      <c r="B925" t="str">
        <f>IFERROR(VLOOKUP(A925,'Exetel ExDa'!$C$2:$N$14,4,FALSE),"No Data")</f>
        <v>No Data</v>
      </c>
      <c r="C925" t="str">
        <f>IFERROR(VLOOKUP(A925,'AAPT ExDa'!$B$2:$U$99, 2,FALSE), IFERROR(VLOOKUP(A925,'ABB ExDa'!$A$2:$N$184, 2,FALSE), IFERROR(VLOOKUP(A925,'Vocus SIT ExDa'!$B$2:$J$173, 7,FALSE), IFERROR(VLOOKUP(A925,'Telstra ExDa'!$B$2:$K$310, 2,FALSE), IFERROR(VLOOKUP(A925,'Vocus RVC ExDa'!$C$2:$R$155, 3,FALSE), IFERROR(VLOOKUP(A925,'Fusion ExDa'!$B$2:$D$16, 2,FALSE), IFERROR(VLOOKUP(A925,'Exetel ExDa'!$C$2:$N$14, 2,FALSE), IFERROR(VLOOKUP(A925,'Infinet ExDa'!$B$2:$E$14, 2,FALSE), "Not Found"))))))))</f>
        <v>3/285 Stafford Road, Stafford QLD 4053</v>
      </c>
      <c r="D925" t="str">
        <f>IFERROR(VLOOKUP($A925,'AAPT ExDa'!$B$2:$U$99, 15,FALSE), IFERROR(VLOOKUP($A925,'ABB ExDa'!$A$2:$N$184, 4,FALSE), IFERROR(VLOOKUP($A925,'Vocus SIT ExDa'!$B$2:$J$173, 5,FALSE), IFERROR(VLOOKUP($A925,'Telstra ExDa'!$B$2:$K$310, 8,FALSE), IFERROR(VLOOKUP($A925,'Vocus RVC ExDa'!$C$2:$R$155, 6,FALSE), IFERROR(VLOOKUP($A925,'Fusion ExDa'!$B$2:$D$16, 4,FALSE), IFERROR(VLOOKUP($A925,'Exetel ExDa'!$C$2:$N$14, 3,FALSE), IFERROR(VLOOKUP($A925,'Infinet ExDa'!$B$2:$E$14, 3,FALSE), "Not Found"))))))))</f>
        <v>Not Found</v>
      </c>
      <c r="E925" t="str">
        <f>IFERROR(VLOOKUP($A925,'AAPT ExDa'!$B$2:$U$99, 3,FALSE), IFERROR(VLOOKUP($A925,'ABB ExDa'!$A$2:$N$184, 5,FALSE), IFERROR(VLOOKUP($A925,'Vocus SIT ExDa'!$B$2:$J$173, 2,FALSE), IFERROR(VLOOKUP($A925,'Telstra ExDa'!$B$2:$K$310, 4,FALSE), IFERROR(VLOOKUP($A925,'Vocus RVC ExDa'!$C$2:$R$155, 8,FALSE), IFERROR(VLOOKUP($A925,'Fusion ExDa'!$B$2:$D$16, 4,FALSE), IFERROR(VLOOKUP($A925,'Exetel ExDa'!$C$2:$N$14, 5,FALSE), IFERROR(VLOOKUP($A925,'Infinet ExDa'!$B$2:$E$14, 3,FALSE), "Not Found"))))))))</f>
        <v>Not Found</v>
      </c>
      <c r="F925" t="str">
        <f>IFERROR(VLOOKUP($A925,'AAPT ExDa'!$B$2:$U$99, 4,FALSE), IFERROR(VLOOKUP($A925,'ABB ExDa'!$A$2:$N$184, 6,FALSE), IFERROR(VLOOKUP($A925,'Vocus SIT ExDa'!$B$2:$J$173, 3,FALSE), IFERROR(VLOOKUP($A925,'Telstra ExDa'!$B$2:$K$310, 5,FALSE), IFERROR(VLOOKUP($A925,'Vocus RVC ExDa'!$C$2:$R$155, 9,FALSE), IFERROR(VLOOKUP($A925,'Fusion ExDa'!$B$2:$D$16, 0,FALSE), IFERROR(VLOOKUP($A925,'Exetel ExDa'!$C$2:$N$14, 6,FALSE), IFERROR(VLOOKUP($A925,'Infinet ExDa'!$B$2:$E$14, 0,FALSE), "Not Found"))))))))</f>
        <v>Not Found</v>
      </c>
      <c r="G925" t="str">
        <f>IFERROR(VLOOKUP($A925,'AAPT ExDa'!$B$2:$U$99, 5,FALSE), IFERROR(VLOOKUP($A925,'ABB ExDa'!$A$2:$N$184, 8,FALSE), IFERROR(VLOOKUP($A925,'Vocus SIT ExDa'!$B$2:$J$173, 6,FALSE), IFERROR(VLOOKUP($A925,'Telstra ExDa'!$B$2:$K$310, 0,FALSE), IFERROR(VLOOKUP($A925,'Vocus RVC ExDa'!$C$2:$R$155, 15,FALSE), IFERROR(VLOOKUP($A925,'Fusion ExDa'!$B$2:$D$16, 0,FALSE), IFERROR(VLOOKUP($A925,'Exetel ExDa'!$C$2:$N$14, 7,FALSE), IFERROR(VLOOKUP($A925,'Infinet ExDa'!$B$2:$E$14, 0,FALSE), "Not Found"))))))))</f>
        <v>Not Found</v>
      </c>
      <c r="H925" t="str">
        <f>IFERROR(VLOOKUP($A925,'AAPT ExDa'!$B$2:$U$99, 6,FALSE), IFERROR(VLOOKUP($A925,'ABB ExDa'!$A$2:$N$184, 0,FALSE), IFERROR(VLOOKUP($A925,'Vocus SIT ExDa'!$B$2:$J$173, 0,FALSE), IFERROR(VLOOKUP($A925,'Telstra ExDa'!$B$2:$K$310, 0,FALSE), IFERROR(VLOOKUP($A925,'Vocus RVC ExDa'!$C$2:$R$155, 16,FALSE), IFERROR(VLOOKUP($A925,'Fusion ExDa'!$B$2:$D$16, 0,FALSE), IFERROR(VLOOKUP($A925,'Exetel ExDa'!$C$2:$N$14, 0,FALSE), IFERROR(VLOOKUP($A925,'Infinet ExDa'!$B$2:$E$14, 0,FALSE), "Not Found"))))))))</f>
        <v>Not Found</v>
      </c>
      <c r="I925" t="str">
        <f>IFERROR(VLOOKUP($A925,'AAPT ExDa'!$B$2:$U$99, 0,FALSE), IFERROR(VLOOKUP($A925,'ABB ExDa'!$A$2:$N$184, 0,FALSE), IFERROR(VLOOKUP($A925,'Vocus SIT ExDa'!$B$2:$J$173, 0,FALSE), IFERROR(VLOOKUP($A925,'Telstra ExDa'!$B$2:$K$310, 0,FALSE), IFERROR(VLOOKUP($A925,'Vocus RVC ExDa'!$C$2:$R$155, 0,FALSE), IFERROR(VLOOKUP($A925,'Fusion ExDa'!$B$2:$D$16, 0,FALSE), IFERROR(VLOOKUP($A925,'Exetel ExDa'!$C$2:$N$14, 8,FALSE), IFERROR(VLOOKUP($A925,'Infinet ExDa'!$B$2:$E$14, 0,FALSE), "Not Found"))))))))</f>
        <v>Not Found</v>
      </c>
      <c r="J925" t="str">
        <f>IFERROR(VLOOKUP($A925,'AAPT ExDa'!$B$2:$U$99, 7,FALSE), IFERROR(VLOOKUP($A925,'ABB ExDa'!$A$2:$N$184, 2,FALSE), IFERROR(VLOOKUP($A925,'Vocus SIT ExDa'!$B$2:$J$173, 0,FALSE), IFERROR(VLOOKUP($A925,'Telstra ExDa'!$B$2:$K$310, 7,FALSE), IFERROR(VLOOKUP($A925,'Vocus RVC ExDa'!$C$2:$R$155, 2,FALSE), IFERROR(VLOOKUP($A925,'Fusion ExDa'!$B$2:$D$16, 3,FALSE), IFERROR(VLOOKUP($A925,'Exetel ExDa'!$C$2:$N$14, 0,FALSE), IFERROR(VLOOKUP($A925,'Infinet ExDa'!$B$2:$E$14, 0,FALSE), "Not Found"))))))))</f>
        <v>AVC000111679247</v>
      </c>
      <c r="K925" t="str">
        <f>IFERROR(VLOOKUP($A925,'AAPT ExDa'!$B$2:$U$99, 12,FALSE), IFERROR(VLOOKUP($A925,'ABB ExDa'!$A$2:$N$184, 0,FALSE), IFERROR(VLOOKUP($A925,'Vocus SIT ExDa'!$B$2:$J$173, 0,FALSE), IFERROR(VLOOKUP($A925,'Telstra ExDa'!$B$2:$K$310, 0,FALSE), IFERROR(VLOOKUP($A925,'Vocus RVC ExDa'!$C$2:$R$155, 0,FALSE), IFERROR(VLOOKUP($A925,'Fusion ExDa'!$B$2:$D$16, 0,FALSE), IFERROR(VLOOKUP($A925,'Exetel ExDa'!$C$2:$N$14, 12,FALSE), IFERROR(VLOOKUP($A925,'Infinet ExDa'!$B$2:$E$14, 0,FALSE), "Not Found"))))))))</f>
        <v>Not Found</v>
      </c>
      <c r="L925" s="235" t="str">
        <f>IFERROR(VLOOKUP($A925,'AAPT ExDa'!$B$2:$U$99, 11,FALSE), IFERROR(VLOOKUP($A925,'ABB ExDa'!$A$2:$N$184, 9,FALSE), IFERROR(VLOOKUP($A925,'Vocus SIT ExDa'!$B$2:$J$173, 8,FALSE), IFERROR(VLOOKUP($A925,'Telstra ExDa'!$B$2:$K$310, 0,FALSE), IFERROR(VLOOKUP($A925,'Vocus RVC ExDa'!$C$2:$R$155, 0,FALSE), IFERROR(VLOOKUP($A925,'Fusion ExDa'!$B$2:$D$16, 0,FALSE), IFERROR(VLOOKUP($A925,'Exetel ExDa'!$C$2:$N$14, 9,FALSE), IFERROR(VLOOKUP($A925,'Infinet ExDa'!$B$2:$E$14, 0,FALSE), "Not Found"))))))))</f>
        <v>Not Found</v>
      </c>
      <c r="M925" s="234" t="str">
        <f>IFERROR(VLOOKUP($A925,'AAPT ExDa'!$B$2:$U$99, 0,FALSE), IFERROR(VLOOKUP($A925,'ABB ExDa'!$A$2:$N$184, 0,FALSE), IFERROR(VLOOKUP($A925,'Vocus SIT ExDa'!$B$2:$J$173, 0,FALSE), IFERROR(VLOOKUP($A925,'Telstra ExDa'!$B$2:$K$310, 0,FALSE), IFERROR(VLOOKUP($A925,'Vocus RVC ExDa'!$C$2:$R$155, 0,FALSE), IFERROR(VLOOKUP($A925,'Fusion ExDa'!$B$2:$D$16, 0,FALSE), IFERROR(VLOOKUP($A925,'Exetel ExDa'!$C$2:$N$14, 11,FALSE), IFERROR(VLOOKUP($A925,'Infinet ExDa'!$B$2:$E$14, 0,FALSE), "Not Found"))))))))</f>
        <v>Not Found</v>
      </c>
      <c r="N925" t="str">
        <f>IFERROR(VLOOKUP($A925,'AAPT ExDa'!$B$2:$U$99, 0,FALSE), IFERROR(VLOOKUP($A925,'ABB ExDa'!$A$2:$N$184, 13,FALSE), IFERROR(VLOOKUP($A925,'Vocus SIT ExDa'!$B$2:$J$173, 0,FALSE), IFERROR(VLOOKUP($A925,'Telstra ExDa'!$B$2:$K$310, 0,FALSE), IFERROR(VLOOKUP($A925,'Vocus RVC ExDa'!$C$2:$R$155, 0,FALSE), IFERROR(VLOOKUP($A925,'Fusion ExDa'!$B$2:$D$16, 0,FALSE), IFERROR(VLOOKUP($A925,'Exetel ExDa'!$C$2:$N$14, 0,FALSE), IFERROR(VLOOKUP($A925,'Infinet ExDa'!$B$2:$E$14, 0,FALSE), "Not Found"))))))))</f>
        <v>Not Found</v>
      </c>
    </row>
    <row r="926" spans="1:14">
      <c r="A926" t="str">
        <v>Mount Gravatt NBN</v>
      </c>
      <c r="B926" t="str">
        <f>IFERROR(VLOOKUP(A926,'Exetel ExDa'!$C$2:$N$14,4,FALSE),"No Data")</f>
        <v>No Data</v>
      </c>
      <c r="C926" t="str">
        <f>IFERROR(VLOOKUP(A926,'AAPT ExDa'!$B$2:$U$99, 2,FALSE), IFERROR(VLOOKUP(A926,'ABB ExDa'!$A$2:$N$184, 2,FALSE), IFERROR(VLOOKUP(A926,'Vocus SIT ExDa'!$B$2:$J$173, 7,FALSE), IFERROR(VLOOKUP(A926,'Telstra ExDa'!$B$2:$K$310, 2,FALSE), IFERROR(VLOOKUP(A926,'Vocus RVC ExDa'!$C$2:$R$155, 3,FALSE), IFERROR(VLOOKUP(A926,'Fusion ExDa'!$B$2:$D$16, 2,FALSE), IFERROR(VLOOKUP(A926,'Exetel ExDa'!$C$2:$N$14, 2,FALSE), IFERROR(VLOOKUP(A926,'Infinet ExDa'!$B$2:$E$14, 2,FALSE), "Not Found"))))))))</f>
        <v>Shop 111 55 Creek Rd MOUNT GRAVATT EAST QLD 4122</v>
      </c>
      <c r="D926" t="str">
        <f>IFERROR(VLOOKUP($A926,'AAPT ExDa'!$B$2:$U$99, 15,FALSE), IFERROR(VLOOKUP($A926,'ABB ExDa'!$A$2:$N$184, 4,FALSE), IFERROR(VLOOKUP($A926,'Vocus SIT ExDa'!$B$2:$J$173, 5,FALSE), IFERROR(VLOOKUP($A926,'Telstra ExDa'!$B$2:$K$310, 8,FALSE), IFERROR(VLOOKUP($A926,'Vocus RVC ExDa'!$C$2:$R$155, 6,FALSE), IFERROR(VLOOKUP($A926,'Fusion ExDa'!$B$2:$D$16, 4,FALSE), IFERROR(VLOOKUP($A926,'Exetel ExDa'!$C$2:$N$14, 3,FALSE), IFERROR(VLOOKUP($A926,'Infinet ExDa'!$B$2:$E$14, 3,FALSE), "Not Found"))))))))</f>
        <v>Not Found</v>
      </c>
      <c r="E926" t="str">
        <f>IFERROR(VLOOKUP($A926,'AAPT ExDa'!$B$2:$U$99, 3,FALSE), IFERROR(VLOOKUP($A926,'ABB ExDa'!$A$2:$N$184, 5,FALSE), IFERROR(VLOOKUP($A926,'Vocus SIT ExDa'!$B$2:$J$173, 2,FALSE), IFERROR(VLOOKUP($A926,'Telstra ExDa'!$B$2:$K$310, 4,FALSE), IFERROR(VLOOKUP($A926,'Vocus RVC ExDa'!$C$2:$R$155, 8,FALSE), IFERROR(VLOOKUP($A926,'Fusion ExDa'!$B$2:$D$16, 4,FALSE), IFERROR(VLOOKUP($A926,'Exetel ExDa'!$C$2:$N$14, 5,FALSE), IFERROR(VLOOKUP($A926,'Infinet ExDa'!$B$2:$E$14, 3,FALSE), "Not Found"))))))))</f>
        <v>Not Found</v>
      </c>
      <c r="F926" t="str">
        <f>IFERROR(VLOOKUP($A926,'AAPT ExDa'!$B$2:$U$99, 4,FALSE), IFERROR(VLOOKUP($A926,'ABB ExDa'!$A$2:$N$184, 6,FALSE), IFERROR(VLOOKUP($A926,'Vocus SIT ExDa'!$B$2:$J$173, 3,FALSE), IFERROR(VLOOKUP($A926,'Telstra ExDa'!$B$2:$K$310, 5,FALSE), IFERROR(VLOOKUP($A926,'Vocus RVC ExDa'!$C$2:$R$155, 9,FALSE), IFERROR(VLOOKUP($A926,'Fusion ExDa'!$B$2:$D$16, 0,FALSE), IFERROR(VLOOKUP($A926,'Exetel ExDa'!$C$2:$N$14, 6,FALSE), IFERROR(VLOOKUP($A926,'Infinet ExDa'!$B$2:$E$14, 0,FALSE), "Not Found"))))))))</f>
        <v>Not Found</v>
      </c>
      <c r="G926" t="str">
        <f>IFERROR(VLOOKUP($A926,'AAPT ExDa'!$B$2:$U$99, 5,FALSE), IFERROR(VLOOKUP($A926,'ABB ExDa'!$A$2:$N$184, 8,FALSE), IFERROR(VLOOKUP($A926,'Vocus SIT ExDa'!$B$2:$J$173, 6,FALSE), IFERROR(VLOOKUP($A926,'Telstra ExDa'!$B$2:$K$310, 0,FALSE), IFERROR(VLOOKUP($A926,'Vocus RVC ExDa'!$C$2:$R$155, 15,FALSE), IFERROR(VLOOKUP($A926,'Fusion ExDa'!$B$2:$D$16, 0,FALSE), IFERROR(VLOOKUP($A926,'Exetel ExDa'!$C$2:$N$14, 7,FALSE), IFERROR(VLOOKUP($A926,'Infinet ExDa'!$B$2:$E$14, 0,FALSE), "Not Found"))))))))</f>
        <v>Not Found</v>
      </c>
      <c r="H926" t="str">
        <f>IFERROR(VLOOKUP($A926,'AAPT ExDa'!$B$2:$U$99, 6,FALSE), IFERROR(VLOOKUP($A926,'ABB ExDa'!$A$2:$N$184, 0,FALSE), IFERROR(VLOOKUP($A926,'Vocus SIT ExDa'!$B$2:$J$173, 0,FALSE), IFERROR(VLOOKUP($A926,'Telstra ExDa'!$B$2:$K$310, 0,FALSE), IFERROR(VLOOKUP($A926,'Vocus RVC ExDa'!$C$2:$R$155, 16,FALSE), IFERROR(VLOOKUP($A926,'Fusion ExDa'!$B$2:$D$16, 0,FALSE), IFERROR(VLOOKUP($A926,'Exetel ExDa'!$C$2:$N$14, 0,FALSE), IFERROR(VLOOKUP($A926,'Infinet ExDa'!$B$2:$E$14, 0,FALSE), "Not Found"))))))))</f>
        <v>Not Found</v>
      </c>
      <c r="I926" t="str">
        <f>IFERROR(VLOOKUP($A926,'AAPT ExDa'!$B$2:$U$99, 0,FALSE), IFERROR(VLOOKUP($A926,'ABB ExDa'!$A$2:$N$184, 0,FALSE), IFERROR(VLOOKUP($A926,'Vocus SIT ExDa'!$B$2:$J$173, 0,FALSE), IFERROR(VLOOKUP($A926,'Telstra ExDa'!$B$2:$K$310, 0,FALSE), IFERROR(VLOOKUP($A926,'Vocus RVC ExDa'!$C$2:$R$155, 0,FALSE), IFERROR(VLOOKUP($A926,'Fusion ExDa'!$B$2:$D$16, 0,FALSE), IFERROR(VLOOKUP($A926,'Exetel ExDa'!$C$2:$N$14, 8,FALSE), IFERROR(VLOOKUP($A926,'Infinet ExDa'!$B$2:$E$14, 0,FALSE), "Not Found"))))))))</f>
        <v>Not Found</v>
      </c>
      <c r="J926" t="str">
        <f>IFERROR(VLOOKUP($A926,'AAPT ExDa'!$B$2:$U$99, 7,FALSE), IFERROR(VLOOKUP($A926,'ABB ExDa'!$A$2:$N$184, 2,FALSE), IFERROR(VLOOKUP($A926,'Vocus SIT ExDa'!$B$2:$J$173, 0,FALSE), IFERROR(VLOOKUP($A926,'Telstra ExDa'!$B$2:$K$310, 7,FALSE), IFERROR(VLOOKUP($A926,'Vocus RVC ExDa'!$C$2:$R$155, 2,FALSE), IFERROR(VLOOKUP($A926,'Fusion ExDa'!$B$2:$D$16, 3,FALSE), IFERROR(VLOOKUP($A926,'Exetel ExDa'!$C$2:$N$14, 0,FALSE), IFERROR(VLOOKUP($A926,'Infinet ExDa'!$B$2:$E$14, 0,FALSE), "Not Found"))))))))</f>
        <v>AVC000106130456</v>
      </c>
      <c r="K926" t="str">
        <f>IFERROR(VLOOKUP($A926,'AAPT ExDa'!$B$2:$U$99, 12,FALSE), IFERROR(VLOOKUP($A926,'ABB ExDa'!$A$2:$N$184, 0,FALSE), IFERROR(VLOOKUP($A926,'Vocus SIT ExDa'!$B$2:$J$173, 0,FALSE), IFERROR(VLOOKUP($A926,'Telstra ExDa'!$B$2:$K$310, 0,FALSE), IFERROR(VLOOKUP($A926,'Vocus RVC ExDa'!$C$2:$R$155, 0,FALSE), IFERROR(VLOOKUP($A926,'Fusion ExDa'!$B$2:$D$16, 0,FALSE), IFERROR(VLOOKUP($A926,'Exetel ExDa'!$C$2:$N$14, 12,FALSE), IFERROR(VLOOKUP($A926,'Infinet ExDa'!$B$2:$E$14, 0,FALSE), "Not Found"))))))))</f>
        <v>Not Found</v>
      </c>
      <c r="L926" s="235" t="str">
        <f>IFERROR(VLOOKUP($A926,'AAPT ExDa'!$B$2:$U$99, 11,FALSE), IFERROR(VLOOKUP($A926,'ABB ExDa'!$A$2:$N$184, 9,FALSE), IFERROR(VLOOKUP($A926,'Vocus SIT ExDa'!$B$2:$J$173, 8,FALSE), IFERROR(VLOOKUP($A926,'Telstra ExDa'!$B$2:$K$310, 0,FALSE), IFERROR(VLOOKUP($A926,'Vocus RVC ExDa'!$C$2:$R$155, 0,FALSE), IFERROR(VLOOKUP($A926,'Fusion ExDa'!$B$2:$D$16, 0,FALSE), IFERROR(VLOOKUP($A926,'Exetel ExDa'!$C$2:$N$14, 9,FALSE), IFERROR(VLOOKUP($A926,'Infinet ExDa'!$B$2:$E$14, 0,FALSE), "Not Found"))))))))</f>
        <v>Not Found</v>
      </c>
      <c r="M926" s="234" t="str">
        <f>IFERROR(VLOOKUP($A926,'AAPT ExDa'!$B$2:$U$99, 0,FALSE), IFERROR(VLOOKUP($A926,'ABB ExDa'!$A$2:$N$184, 0,FALSE), IFERROR(VLOOKUP($A926,'Vocus SIT ExDa'!$B$2:$J$173, 0,FALSE), IFERROR(VLOOKUP($A926,'Telstra ExDa'!$B$2:$K$310, 0,FALSE), IFERROR(VLOOKUP($A926,'Vocus RVC ExDa'!$C$2:$R$155, 0,FALSE), IFERROR(VLOOKUP($A926,'Fusion ExDa'!$B$2:$D$16, 0,FALSE), IFERROR(VLOOKUP($A926,'Exetel ExDa'!$C$2:$N$14, 11,FALSE), IFERROR(VLOOKUP($A926,'Infinet ExDa'!$B$2:$E$14, 0,FALSE), "Not Found"))))))))</f>
        <v>Not Found</v>
      </c>
      <c r="N926" t="str">
        <f>IFERROR(VLOOKUP($A926,'AAPT ExDa'!$B$2:$U$99, 0,FALSE), IFERROR(VLOOKUP($A926,'ABB ExDa'!$A$2:$N$184, 13,FALSE), IFERROR(VLOOKUP($A926,'Vocus SIT ExDa'!$B$2:$J$173, 0,FALSE), IFERROR(VLOOKUP($A926,'Telstra ExDa'!$B$2:$K$310, 0,FALSE), IFERROR(VLOOKUP($A926,'Vocus RVC ExDa'!$C$2:$R$155, 0,FALSE), IFERROR(VLOOKUP($A926,'Fusion ExDa'!$B$2:$D$16, 0,FALSE), IFERROR(VLOOKUP($A926,'Exetel ExDa'!$C$2:$N$14, 0,FALSE), IFERROR(VLOOKUP($A926,'Infinet ExDa'!$B$2:$E$14, 0,FALSE), "Not Found"))))))))</f>
        <v>Not Found</v>
      </c>
    </row>
    <row r="927" spans="1:14">
      <c r="A927" t="str">
        <v>Sunnybank NBN</v>
      </c>
      <c r="B927" t="str">
        <f>IFERROR(VLOOKUP(A927,'Exetel ExDa'!$C$2:$N$14,4,FALSE),"No Data")</f>
        <v>No Data</v>
      </c>
      <c r="C927" t="str">
        <f>IFERROR(VLOOKUP(A927,'AAPT ExDa'!$B$2:$U$99, 2,FALSE), IFERROR(VLOOKUP(A927,'ABB ExDa'!$A$2:$N$184, 2,FALSE), IFERROR(VLOOKUP(A927,'Vocus SIT ExDa'!$B$2:$J$173, 7,FALSE), IFERROR(VLOOKUP(A927,'Telstra ExDa'!$B$2:$K$310, 2,FALSE), IFERROR(VLOOKUP(A927,'Vocus RVC ExDa'!$C$2:$R$155, 3,FALSE), IFERROR(VLOOKUP(A927,'Fusion ExDa'!$B$2:$D$16, 2,FALSE), IFERROR(VLOOKUP(A927,'Exetel ExDa'!$C$2:$N$14, 2,FALSE), IFERROR(VLOOKUP(A927,'Infinet ExDa'!$B$2:$E$14, 2,FALSE), "Not Found"))))))))</f>
        <v>Lot: 2 Shop 1 565 Beenleigh Rd SUNNYBANK HILLS QLD 4109</v>
      </c>
      <c r="D927" t="str">
        <f>IFERROR(VLOOKUP($A927,'AAPT ExDa'!$B$2:$U$99, 15,FALSE), IFERROR(VLOOKUP($A927,'ABB ExDa'!$A$2:$N$184, 4,FALSE), IFERROR(VLOOKUP($A927,'Vocus SIT ExDa'!$B$2:$J$173, 5,FALSE), IFERROR(VLOOKUP($A927,'Telstra ExDa'!$B$2:$K$310, 8,FALSE), IFERROR(VLOOKUP($A927,'Vocus RVC ExDa'!$C$2:$R$155, 6,FALSE), IFERROR(VLOOKUP($A927,'Fusion ExDa'!$B$2:$D$16, 4,FALSE), IFERROR(VLOOKUP($A927,'Exetel ExDa'!$C$2:$N$14, 3,FALSE), IFERROR(VLOOKUP($A927,'Infinet ExDa'!$B$2:$E$14, 3,FALSE), "Not Found"))))))))</f>
        <v>Not Found</v>
      </c>
      <c r="E927" t="str">
        <f>IFERROR(VLOOKUP($A927,'AAPT ExDa'!$B$2:$U$99, 3,FALSE), IFERROR(VLOOKUP($A927,'ABB ExDa'!$A$2:$N$184, 5,FALSE), IFERROR(VLOOKUP($A927,'Vocus SIT ExDa'!$B$2:$J$173, 2,FALSE), IFERROR(VLOOKUP($A927,'Telstra ExDa'!$B$2:$K$310, 4,FALSE), IFERROR(VLOOKUP($A927,'Vocus RVC ExDa'!$C$2:$R$155, 8,FALSE), IFERROR(VLOOKUP($A927,'Fusion ExDa'!$B$2:$D$16, 4,FALSE), IFERROR(VLOOKUP($A927,'Exetel ExDa'!$C$2:$N$14, 5,FALSE), IFERROR(VLOOKUP($A927,'Infinet ExDa'!$B$2:$E$14, 3,FALSE), "Not Found"))))))))</f>
        <v>Not Found</v>
      </c>
      <c r="F927" t="str">
        <f>IFERROR(VLOOKUP($A927,'AAPT ExDa'!$B$2:$U$99, 4,FALSE), IFERROR(VLOOKUP($A927,'ABB ExDa'!$A$2:$N$184, 6,FALSE), IFERROR(VLOOKUP($A927,'Vocus SIT ExDa'!$B$2:$J$173, 3,FALSE), IFERROR(VLOOKUP($A927,'Telstra ExDa'!$B$2:$K$310, 5,FALSE), IFERROR(VLOOKUP($A927,'Vocus RVC ExDa'!$C$2:$R$155, 9,FALSE), IFERROR(VLOOKUP($A927,'Fusion ExDa'!$B$2:$D$16, 0,FALSE), IFERROR(VLOOKUP($A927,'Exetel ExDa'!$C$2:$N$14, 6,FALSE), IFERROR(VLOOKUP($A927,'Infinet ExDa'!$B$2:$E$14, 0,FALSE), "Not Found"))))))))</f>
        <v>Not Found</v>
      </c>
      <c r="G927" t="str">
        <f>IFERROR(VLOOKUP($A927,'AAPT ExDa'!$B$2:$U$99, 5,FALSE), IFERROR(VLOOKUP($A927,'ABB ExDa'!$A$2:$N$184, 8,FALSE), IFERROR(VLOOKUP($A927,'Vocus SIT ExDa'!$B$2:$J$173, 6,FALSE), IFERROR(VLOOKUP($A927,'Telstra ExDa'!$B$2:$K$310, 0,FALSE), IFERROR(VLOOKUP($A927,'Vocus RVC ExDa'!$C$2:$R$155, 15,FALSE), IFERROR(VLOOKUP($A927,'Fusion ExDa'!$B$2:$D$16, 0,FALSE), IFERROR(VLOOKUP($A927,'Exetel ExDa'!$C$2:$N$14, 7,FALSE), IFERROR(VLOOKUP($A927,'Infinet ExDa'!$B$2:$E$14, 0,FALSE), "Not Found"))))))))</f>
        <v>Not Found</v>
      </c>
      <c r="H927" t="str">
        <f>IFERROR(VLOOKUP($A927,'AAPT ExDa'!$B$2:$U$99, 6,FALSE), IFERROR(VLOOKUP($A927,'ABB ExDa'!$A$2:$N$184, 0,FALSE), IFERROR(VLOOKUP($A927,'Vocus SIT ExDa'!$B$2:$J$173, 0,FALSE), IFERROR(VLOOKUP($A927,'Telstra ExDa'!$B$2:$K$310, 0,FALSE), IFERROR(VLOOKUP($A927,'Vocus RVC ExDa'!$C$2:$R$155, 16,FALSE), IFERROR(VLOOKUP($A927,'Fusion ExDa'!$B$2:$D$16, 0,FALSE), IFERROR(VLOOKUP($A927,'Exetel ExDa'!$C$2:$N$14, 0,FALSE), IFERROR(VLOOKUP($A927,'Infinet ExDa'!$B$2:$E$14, 0,FALSE), "Not Found"))))))))</f>
        <v>Not Found</v>
      </c>
      <c r="I927" t="str">
        <f>IFERROR(VLOOKUP($A927,'AAPT ExDa'!$B$2:$U$99, 0,FALSE), IFERROR(VLOOKUP($A927,'ABB ExDa'!$A$2:$N$184, 0,FALSE), IFERROR(VLOOKUP($A927,'Vocus SIT ExDa'!$B$2:$J$173, 0,FALSE), IFERROR(VLOOKUP($A927,'Telstra ExDa'!$B$2:$K$310, 0,FALSE), IFERROR(VLOOKUP($A927,'Vocus RVC ExDa'!$C$2:$R$155, 0,FALSE), IFERROR(VLOOKUP($A927,'Fusion ExDa'!$B$2:$D$16, 0,FALSE), IFERROR(VLOOKUP($A927,'Exetel ExDa'!$C$2:$N$14, 8,FALSE), IFERROR(VLOOKUP($A927,'Infinet ExDa'!$B$2:$E$14, 0,FALSE), "Not Found"))))))))</f>
        <v>Not Found</v>
      </c>
      <c r="J927" t="str">
        <f>IFERROR(VLOOKUP($A927,'AAPT ExDa'!$B$2:$U$99, 7,FALSE), IFERROR(VLOOKUP($A927,'ABB ExDa'!$A$2:$N$184, 2,FALSE), IFERROR(VLOOKUP($A927,'Vocus SIT ExDa'!$B$2:$J$173, 0,FALSE), IFERROR(VLOOKUP($A927,'Telstra ExDa'!$B$2:$K$310, 7,FALSE), IFERROR(VLOOKUP($A927,'Vocus RVC ExDa'!$C$2:$R$155, 2,FALSE), IFERROR(VLOOKUP($A927,'Fusion ExDa'!$B$2:$D$16, 3,FALSE), IFERROR(VLOOKUP($A927,'Exetel ExDa'!$C$2:$N$14, 0,FALSE), IFERROR(VLOOKUP($A927,'Infinet ExDa'!$B$2:$E$14, 0,FALSE), "Not Found"))))))))</f>
        <v>AVC400024813694</v>
      </c>
      <c r="K927" t="str">
        <f>IFERROR(VLOOKUP($A927,'AAPT ExDa'!$B$2:$U$99, 12,FALSE), IFERROR(VLOOKUP($A927,'ABB ExDa'!$A$2:$N$184, 0,FALSE), IFERROR(VLOOKUP($A927,'Vocus SIT ExDa'!$B$2:$J$173, 0,FALSE), IFERROR(VLOOKUP($A927,'Telstra ExDa'!$B$2:$K$310, 0,FALSE), IFERROR(VLOOKUP($A927,'Vocus RVC ExDa'!$C$2:$R$155, 0,FALSE), IFERROR(VLOOKUP($A927,'Fusion ExDa'!$B$2:$D$16, 0,FALSE), IFERROR(VLOOKUP($A927,'Exetel ExDa'!$C$2:$N$14, 12,FALSE), IFERROR(VLOOKUP($A927,'Infinet ExDa'!$B$2:$E$14, 0,FALSE), "Not Found"))))))))</f>
        <v>Not Found</v>
      </c>
      <c r="L927" s="235" t="str">
        <f>IFERROR(VLOOKUP($A927,'AAPT ExDa'!$B$2:$U$99, 11,FALSE), IFERROR(VLOOKUP($A927,'ABB ExDa'!$A$2:$N$184, 9,FALSE), IFERROR(VLOOKUP($A927,'Vocus SIT ExDa'!$B$2:$J$173, 8,FALSE), IFERROR(VLOOKUP($A927,'Telstra ExDa'!$B$2:$K$310, 0,FALSE), IFERROR(VLOOKUP($A927,'Vocus RVC ExDa'!$C$2:$R$155, 0,FALSE), IFERROR(VLOOKUP($A927,'Fusion ExDa'!$B$2:$D$16, 0,FALSE), IFERROR(VLOOKUP($A927,'Exetel ExDa'!$C$2:$N$14, 9,FALSE), IFERROR(VLOOKUP($A927,'Infinet ExDa'!$B$2:$E$14, 0,FALSE), "Not Found"))))))))</f>
        <v>Not Found</v>
      </c>
      <c r="M927" s="234" t="str">
        <f>IFERROR(VLOOKUP($A927,'AAPT ExDa'!$B$2:$U$99, 0,FALSE), IFERROR(VLOOKUP($A927,'ABB ExDa'!$A$2:$N$184, 0,FALSE), IFERROR(VLOOKUP($A927,'Vocus SIT ExDa'!$B$2:$J$173, 0,FALSE), IFERROR(VLOOKUP($A927,'Telstra ExDa'!$B$2:$K$310, 0,FALSE), IFERROR(VLOOKUP($A927,'Vocus RVC ExDa'!$C$2:$R$155, 0,FALSE), IFERROR(VLOOKUP($A927,'Fusion ExDa'!$B$2:$D$16, 0,FALSE), IFERROR(VLOOKUP($A927,'Exetel ExDa'!$C$2:$N$14, 11,FALSE), IFERROR(VLOOKUP($A927,'Infinet ExDa'!$B$2:$E$14, 0,FALSE), "Not Found"))))))))</f>
        <v>Not Found</v>
      </c>
      <c r="N927" t="str">
        <f>IFERROR(VLOOKUP($A927,'AAPT ExDa'!$B$2:$U$99, 0,FALSE), IFERROR(VLOOKUP($A927,'ABB ExDa'!$A$2:$N$184, 13,FALSE), IFERROR(VLOOKUP($A927,'Vocus SIT ExDa'!$B$2:$J$173, 0,FALSE), IFERROR(VLOOKUP($A927,'Telstra ExDa'!$B$2:$K$310, 0,FALSE), IFERROR(VLOOKUP($A927,'Vocus RVC ExDa'!$C$2:$R$155, 0,FALSE), IFERROR(VLOOKUP($A927,'Fusion ExDa'!$B$2:$D$16, 0,FALSE), IFERROR(VLOOKUP($A927,'Exetel ExDa'!$C$2:$N$14, 0,FALSE), IFERROR(VLOOKUP($A927,'Infinet ExDa'!$B$2:$E$14, 0,FALSE), "Not Found"))))))))</f>
        <v>Not Found</v>
      </c>
    </row>
    <row r="928" spans="1:14">
      <c r="A928" t="str">
        <v>Waterford Medical</v>
      </c>
      <c r="B928" t="str">
        <f>IFERROR(VLOOKUP(A928,'Exetel ExDa'!$C$2:$N$14,4,FALSE),"No Data")</f>
        <v>No Data</v>
      </c>
      <c r="C928">
        <f>IFERROR(VLOOKUP(A928,'AAPT ExDa'!$B$2:$U$99, 2,FALSE), IFERROR(VLOOKUP(A928,'ABB ExDa'!$A$2:$N$184, 2,FALSE), IFERROR(VLOOKUP(A928,'Vocus SIT ExDa'!$B$2:$J$173, 7,FALSE), IFERROR(VLOOKUP(A928,'Telstra ExDa'!$B$2:$K$310, 2,FALSE), IFERROR(VLOOKUP(A928,'Vocus RVC ExDa'!$C$2:$R$155, 3,FALSE), IFERROR(VLOOKUP(A928,'Fusion ExDa'!$B$2:$D$16, 2,FALSE), IFERROR(VLOOKUP(A928,'Exetel ExDa'!$C$2:$N$14, 2,FALSE), IFERROR(VLOOKUP(A928,'Infinet ExDa'!$B$2:$E$14, 2,FALSE), "Not Found"))))))))</f>
        <v>0</v>
      </c>
      <c r="D928" t="str">
        <f>IFERROR(VLOOKUP($A928,'AAPT ExDa'!$B$2:$U$99, 15,FALSE), IFERROR(VLOOKUP($A928,'ABB ExDa'!$A$2:$N$184, 4,FALSE), IFERROR(VLOOKUP($A928,'Vocus SIT ExDa'!$B$2:$J$173, 5,FALSE), IFERROR(VLOOKUP($A928,'Telstra ExDa'!$B$2:$K$310, 8,FALSE), IFERROR(VLOOKUP($A928,'Vocus RVC ExDa'!$C$2:$R$155, 6,FALSE), IFERROR(VLOOKUP($A928,'Fusion ExDa'!$B$2:$D$16, 4,FALSE), IFERROR(VLOOKUP($A928,'Exetel ExDa'!$C$2:$N$14, 3,FALSE), IFERROR(VLOOKUP($A928,'Infinet ExDa'!$B$2:$E$14, 3,FALSE), "Not Found"))))))))</f>
        <v>Not Found</v>
      </c>
      <c r="E928" t="str">
        <f>IFERROR(VLOOKUP($A928,'AAPT ExDa'!$B$2:$U$99, 3,FALSE), IFERROR(VLOOKUP($A928,'ABB ExDa'!$A$2:$N$184, 5,FALSE), IFERROR(VLOOKUP($A928,'Vocus SIT ExDa'!$B$2:$J$173, 2,FALSE), IFERROR(VLOOKUP($A928,'Telstra ExDa'!$B$2:$K$310, 4,FALSE), IFERROR(VLOOKUP($A928,'Vocus RVC ExDa'!$C$2:$R$155, 8,FALSE), IFERROR(VLOOKUP($A928,'Fusion ExDa'!$B$2:$D$16, 4,FALSE), IFERROR(VLOOKUP($A928,'Exetel ExDa'!$C$2:$N$14, 5,FALSE), IFERROR(VLOOKUP($A928,'Infinet ExDa'!$B$2:$E$14, 3,FALSE), "Not Found"))))))))</f>
        <v>Not Found</v>
      </c>
      <c r="F928" t="str">
        <f>IFERROR(VLOOKUP($A928,'AAPT ExDa'!$B$2:$U$99, 4,FALSE), IFERROR(VLOOKUP($A928,'ABB ExDa'!$A$2:$N$184, 6,FALSE), IFERROR(VLOOKUP($A928,'Vocus SIT ExDa'!$B$2:$J$173, 3,FALSE), IFERROR(VLOOKUP($A928,'Telstra ExDa'!$B$2:$K$310, 5,FALSE), IFERROR(VLOOKUP($A928,'Vocus RVC ExDa'!$C$2:$R$155, 9,FALSE), IFERROR(VLOOKUP($A928,'Fusion ExDa'!$B$2:$D$16, 0,FALSE), IFERROR(VLOOKUP($A928,'Exetel ExDa'!$C$2:$N$14, 6,FALSE), IFERROR(VLOOKUP($A928,'Infinet ExDa'!$B$2:$E$14, 0,FALSE), "Not Found"))))))))</f>
        <v>Not Found</v>
      </c>
      <c r="G928" t="str">
        <f>IFERROR(VLOOKUP($A928,'AAPT ExDa'!$B$2:$U$99, 5,FALSE), IFERROR(VLOOKUP($A928,'ABB ExDa'!$A$2:$N$184, 8,FALSE), IFERROR(VLOOKUP($A928,'Vocus SIT ExDa'!$B$2:$J$173, 6,FALSE), IFERROR(VLOOKUP($A928,'Telstra ExDa'!$B$2:$K$310, 0,FALSE), IFERROR(VLOOKUP($A928,'Vocus RVC ExDa'!$C$2:$R$155, 15,FALSE), IFERROR(VLOOKUP($A928,'Fusion ExDa'!$B$2:$D$16, 0,FALSE), IFERROR(VLOOKUP($A928,'Exetel ExDa'!$C$2:$N$14, 7,FALSE), IFERROR(VLOOKUP($A928,'Infinet ExDa'!$B$2:$E$14, 0,FALSE), "Not Found"))))))))</f>
        <v>Not Found</v>
      </c>
      <c r="H928" t="str">
        <f>IFERROR(VLOOKUP($A928,'AAPT ExDa'!$B$2:$U$99, 6,FALSE), IFERROR(VLOOKUP($A928,'ABB ExDa'!$A$2:$N$184, 0,FALSE), IFERROR(VLOOKUP($A928,'Vocus SIT ExDa'!$B$2:$J$173, 0,FALSE), IFERROR(VLOOKUP($A928,'Telstra ExDa'!$B$2:$K$310, 0,FALSE), IFERROR(VLOOKUP($A928,'Vocus RVC ExDa'!$C$2:$R$155, 16,FALSE), IFERROR(VLOOKUP($A928,'Fusion ExDa'!$B$2:$D$16, 0,FALSE), IFERROR(VLOOKUP($A928,'Exetel ExDa'!$C$2:$N$14, 0,FALSE), IFERROR(VLOOKUP($A928,'Infinet ExDa'!$B$2:$E$14, 0,FALSE), "Not Found"))))))))</f>
        <v>Not Found</v>
      </c>
      <c r="I928" t="str">
        <f>IFERROR(VLOOKUP($A928,'AAPT ExDa'!$B$2:$U$99, 0,FALSE), IFERROR(VLOOKUP($A928,'ABB ExDa'!$A$2:$N$184, 0,FALSE), IFERROR(VLOOKUP($A928,'Vocus SIT ExDa'!$B$2:$J$173, 0,FALSE), IFERROR(VLOOKUP($A928,'Telstra ExDa'!$B$2:$K$310, 0,FALSE), IFERROR(VLOOKUP($A928,'Vocus RVC ExDa'!$C$2:$R$155, 0,FALSE), IFERROR(VLOOKUP($A928,'Fusion ExDa'!$B$2:$D$16, 0,FALSE), IFERROR(VLOOKUP($A928,'Exetel ExDa'!$C$2:$N$14, 8,FALSE), IFERROR(VLOOKUP($A928,'Infinet ExDa'!$B$2:$E$14, 0,FALSE), "Not Found"))))))))</f>
        <v>Not Found</v>
      </c>
      <c r="J928" t="str">
        <f>IFERROR(VLOOKUP($A928,'AAPT ExDa'!$B$2:$U$99, 7,FALSE), IFERROR(VLOOKUP($A928,'ABB ExDa'!$A$2:$N$184, 2,FALSE), IFERROR(VLOOKUP($A928,'Vocus SIT ExDa'!$B$2:$J$173, 0,FALSE), IFERROR(VLOOKUP($A928,'Telstra ExDa'!$B$2:$K$310, 7,FALSE), IFERROR(VLOOKUP($A928,'Vocus RVC ExDa'!$C$2:$R$155, 2,FALSE), IFERROR(VLOOKUP($A928,'Fusion ExDa'!$B$2:$D$16, 3,FALSE), IFERROR(VLOOKUP($A928,'Exetel ExDa'!$C$2:$N$14, 0,FALSE), IFERROR(VLOOKUP($A928,'Infinet ExDa'!$B$2:$E$14, 0,FALSE), "Not Found"))))))))</f>
        <v>AVC400021251022</v>
      </c>
      <c r="K928" t="str">
        <f>IFERROR(VLOOKUP($A928,'AAPT ExDa'!$B$2:$U$99, 12,FALSE), IFERROR(VLOOKUP($A928,'ABB ExDa'!$A$2:$N$184, 0,FALSE), IFERROR(VLOOKUP($A928,'Vocus SIT ExDa'!$B$2:$J$173, 0,FALSE), IFERROR(VLOOKUP($A928,'Telstra ExDa'!$B$2:$K$310, 0,FALSE), IFERROR(VLOOKUP($A928,'Vocus RVC ExDa'!$C$2:$R$155, 0,FALSE), IFERROR(VLOOKUP($A928,'Fusion ExDa'!$B$2:$D$16, 0,FALSE), IFERROR(VLOOKUP($A928,'Exetel ExDa'!$C$2:$N$14, 12,FALSE), IFERROR(VLOOKUP($A928,'Infinet ExDa'!$B$2:$E$14, 0,FALSE), "Not Found"))))))))</f>
        <v>Not Found</v>
      </c>
      <c r="L928" s="235" t="str">
        <f>IFERROR(VLOOKUP($A928,'AAPT ExDa'!$B$2:$U$99, 11,FALSE), IFERROR(VLOOKUP($A928,'ABB ExDa'!$A$2:$N$184, 9,FALSE), IFERROR(VLOOKUP($A928,'Vocus SIT ExDa'!$B$2:$J$173, 8,FALSE), IFERROR(VLOOKUP($A928,'Telstra ExDa'!$B$2:$K$310, 0,FALSE), IFERROR(VLOOKUP($A928,'Vocus RVC ExDa'!$C$2:$R$155, 0,FALSE), IFERROR(VLOOKUP($A928,'Fusion ExDa'!$B$2:$D$16, 0,FALSE), IFERROR(VLOOKUP($A928,'Exetel ExDa'!$C$2:$N$14, 9,FALSE), IFERROR(VLOOKUP($A928,'Infinet ExDa'!$B$2:$E$14, 0,FALSE), "Not Found"))))))))</f>
        <v>Not Found</v>
      </c>
      <c r="M928" s="234" t="str">
        <f>IFERROR(VLOOKUP($A928,'AAPT ExDa'!$B$2:$U$99, 0,FALSE), IFERROR(VLOOKUP($A928,'ABB ExDa'!$A$2:$N$184, 0,FALSE), IFERROR(VLOOKUP($A928,'Vocus SIT ExDa'!$B$2:$J$173, 0,FALSE), IFERROR(VLOOKUP($A928,'Telstra ExDa'!$B$2:$K$310, 0,FALSE), IFERROR(VLOOKUP($A928,'Vocus RVC ExDa'!$C$2:$R$155, 0,FALSE), IFERROR(VLOOKUP($A928,'Fusion ExDa'!$B$2:$D$16, 0,FALSE), IFERROR(VLOOKUP($A928,'Exetel ExDa'!$C$2:$N$14, 11,FALSE), IFERROR(VLOOKUP($A928,'Infinet ExDa'!$B$2:$E$14, 0,FALSE), "Not Found"))))))))</f>
        <v>Not Found</v>
      </c>
      <c r="N928" t="str">
        <f>IFERROR(VLOOKUP($A928,'AAPT ExDa'!$B$2:$U$99, 0,FALSE), IFERROR(VLOOKUP($A928,'ABB ExDa'!$A$2:$N$184, 13,FALSE), IFERROR(VLOOKUP($A928,'Vocus SIT ExDa'!$B$2:$J$173, 0,FALSE), IFERROR(VLOOKUP($A928,'Telstra ExDa'!$B$2:$K$310, 0,FALSE), IFERROR(VLOOKUP($A928,'Vocus RVC ExDa'!$C$2:$R$155, 0,FALSE), IFERROR(VLOOKUP($A928,'Fusion ExDa'!$B$2:$D$16, 0,FALSE), IFERROR(VLOOKUP($A928,'Exetel ExDa'!$C$2:$N$14, 0,FALSE), IFERROR(VLOOKUP($A928,'Infinet ExDa'!$B$2:$E$14, 0,FALSE), "Not Found"))))))))</f>
        <v>Not Found</v>
      </c>
    </row>
    <row r="929" spans="1:14">
      <c r="A929" t="str">
        <v>Aromas Noosa Heads</v>
      </c>
      <c r="B929" t="str">
        <f>IFERROR(VLOOKUP(A929,'Exetel ExDa'!$C$2:$N$14,4,FALSE),"No Data")</f>
        <v>No Data</v>
      </c>
      <c r="C929">
        <f>IFERROR(VLOOKUP(A929,'AAPT ExDa'!$B$2:$U$99, 2,FALSE), IFERROR(VLOOKUP(A929,'ABB ExDa'!$A$2:$N$184, 2,FALSE), IFERROR(VLOOKUP(A929,'Vocus SIT ExDa'!$B$2:$J$173, 7,FALSE), IFERROR(VLOOKUP(A929,'Telstra ExDa'!$B$2:$K$310, 2,FALSE), IFERROR(VLOOKUP(A929,'Vocus RVC ExDa'!$C$2:$R$155, 3,FALSE), IFERROR(VLOOKUP(A929,'Fusion ExDa'!$B$2:$D$16, 2,FALSE), IFERROR(VLOOKUP(A929,'Exetel ExDa'!$C$2:$N$14, 2,FALSE), IFERROR(VLOOKUP(A929,'Infinet ExDa'!$B$2:$E$14, 2,FALSE), "Not Found"))))))))</f>
        <v>0</v>
      </c>
      <c r="D929" t="str">
        <f>IFERROR(VLOOKUP($A929,'AAPT ExDa'!$B$2:$U$99, 15,FALSE), IFERROR(VLOOKUP($A929,'ABB ExDa'!$A$2:$N$184, 4,FALSE), IFERROR(VLOOKUP($A929,'Vocus SIT ExDa'!$B$2:$J$173, 5,FALSE), IFERROR(VLOOKUP($A929,'Telstra ExDa'!$B$2:$K$310, 8,FALSE), IFERROR(VLOOKUP($A929,'Vocus RVC ExDa'!$C$2:$R$155, 6,FALSE), IFERROR(VLOOKUP($A929,'Fusion ExDa'!$B$2:$D$16, 4,FALSE), IFERROR(VLOOKUP($A929,'Exetel ExDa'!$C$2:$N$14, 3,FALSE), IFERROR(VLOOKUP($A929,'Infinet ExDa'!$B$2:$E$14, 3,FALSE), "Not Found"))))))))</f>
        <v>Not Found</v>
      </c>
      <c r="E929" t="str">
        <f>IFERROR(VLOOKUP($A929,'AAPT ExDa'!$B$2:$U$99, 3,FALSE), IFERROR(VLOOKUP($A929,'ABB ExDa'!$A$2:$N$184, 5,FALSE), IFERROR(VLOOKUP($A929,'Vocus SIT ExDa'!$B$2:$J$173, 2,FALSE), IFERROR(VLOOKUP($A929,'Telstra ExDa'!$B$2:$K$310, 4,FALSE), IFERROR(VLOOKUP($A929,'Vocus RVC ExDa'!$C$2:$R$155, 8,FALSE), IFERROR(VLOOKUP($A929,'Fusion ExDa'!$B$2:$D$16, 4,FALSE), IFERROR(VLOOKUP($A929,'Exetel ExDa'!$C$2:$N$14, 5,FALSE), IFERROR(VLOOKUP($A929,'Infinet ExDa'!$B$2:$E$14, 3,FALSE), "Not Found"))))))))</f>
        <v>Not Found</v>
      </c>
      <c r="F929" t="str">
        <f>IFERROR(VLOOKUP($A929,'AAPT ExDa'!$B$2:$U$99, 4,FALSE), IFERROR(VLOOKUP($A929,'ABB ExDa'!$A$2:$N$184, 6,FALSE), IFERROR(VLOOKUP($A929,'Vocus SIT ExDa'!$B$2:$J$173, 3,FALSE), IFERROR(VLOOKUP($A929,'Telstra ExDa'!$B$2:$K$310, 5,FALSE), IFERROR(VLOOKUP($A929,'Vocus RVC ExDa'!$C$2:$R$155, 9,FALSE), IFERROR(VLOOKUP($A929,'Fusion ExDa'!$B$2:$D$16, 0,FALSE), IFERROR(VLOOKUP($A929,'Exetel ExDa'!$C$2:$N$14, 6,FALSE), IFERROR(VLOOKUP($A929,'Infinet ExDa'!$B$2:$E$14, 0,FALSE), "Not Found"))))))))</f>
        <v>Not Found</v>
      </c>
      <c r="G929" t="str">
        <f>IFERROR(VLOOKUP($A929,'AAPT ExDa'!$B$2:$U$99, 5,FALSE), IFERROR(VLOOKUP($A929,'ABB ExDa'!$A$2:$N$184, 8,FALSE), IFERROR(VLOOKUP($A929,'Vocus SIT ExDa'!$B$2:$J$173, 6,FALSE), IFERROR(VLOOKUP($A929,'Telstra ExDa'!$B$2:$K$310, 0,FALSE), IFERROR(VLOOKUP($A929,'Vocus RVC ExDa'!$C$2:$R$155, 15,FALSE), IFERROR(VLOOKUP($A929,'Fusion ExDa'!$B$2:$D$16, 0,FALSE), IFERROR(VLOOKUP($A929,'Exetel ExDa'!$C$2:$N$14, 7,FALSE), IFERROR(VLOOKUP($A929,'Infinet ExDa'!$B$2:$E$14, 0,FALSE), "Not Found"))))))))</f>
        <v>Not Found</v>
      </c>
      <c r="H929" t="str">
        <f>IFERROR(VLOOKUP($A929,'AAPT ExDa'!$B$2:$U$99, 6,FALSE), IFERROR(VLOOKUP($A929,'ABB ExDa'!$A$2:$N$184, 0,FALSE), IFERROR(VLOOKUP($A929,'Vocus SIT ExDa'!$B$2:$J$173, 0,FALSE), IFERROR(VLOOKUP($A929,'Telstra ExDa'!$B$2:$K$310, 0,FALSE), IFERROR(VLOOKUP($A929,'Vocus RVC ExDa'!$C$2:$R$155, 16,FALSE), IFERROR(VLOOKUP($A929,'Fusion ExDa'!$B$2:$D$16, 0,FALSE), IFERROR(VLOOKUP($A929,'Exetel ExDa'!$C$2:$N$14, 0,FALSE), IFERROR(VLOOKUP($A929,'Infinet ExDa'!$B$2:$E$14, 0,FALSE), "Not Found"))))))))</f>
        <v>Not Found</v>
      </c>
      <c r="I929" t="str">
        <f>IFERROR(VLOOKUP($A929,'AAPT ExDa'!$B$2:$U$99, 0,FALSE), IFERROR(VLOOKUP($A929,'ABB ExDa'!$A$2:$N$184, 0,FALSE), IFERROR(VLOOKUP($A929,'Vocus SIT ExDa'!$B$2:$J$173, 0,FALSE), IFERROR(VLOOKUP($A929,'Telstra ExDa'!$B$2:$K$310, 0,FALSE), IFERROR(VLOOKUP($A929,'Vocus RVC ExDa'!$C$2:$R$155, 0,FALSE), IFERROR(VLOOKUP($A929,'Fusion ExDa'!$B$2:$D$16, 0,FALSE), IFERROR(VLOOKUP($A929,'Exetel ExDa'!$C$2:$N$14, 8,FALSE), IFERROR(VLOOKUP($A929,'Infinet ExDa'!$B$2:$E$14, 0,FALSE), "Not Found"))))))))</f>
        <v>Not Found</v>
      </c>
      <c r="J929">
        <f>IFERROR(VLOOKUP($A929,'AAPT ExDa'!$B$2:$U$99, 7,FALSE), IFERROR(VLOOKUP($A929,'ABB ExDa'!$A$2:$N$184, 2,FALSE), IFERROR(VLOOKUP($A929,'Vocus SIT ExDa'!$B$2:$J$173, 0,FALSE), IFERROR(VLOOKUP($A929,'Telstra ExDa'!$B$2:$K$310, 7,FALSE), IFERROR(VLOOKUP($A929,'Vocus RVC ExDa'!$C$2:$R$155, 2,FALSE), IFERROR(VLOOKUP($A929,'Fusion ExDa'!$B$2:$D$16, 3,FALSE), IFERROR(VLOOKUP($A929,'Exetel ExDa'!$C$2:$N$14, 0,FALSE), IFERROR(VLOOKUP($A929,'Infinet ExDa'!$B$2:$E$14, 0,FALSE), "Not Found"))))))))</f>
        <v>0</v>
      </c>
      <c r="K929" t="str">
        <f>IFERROR(VLOOKUP($A929,'AAPT ExDa'!$B$2:$U$99, 12,FALSE), IFERROR(VLOOKUP($A929,'ABB ExDa'!$A$2:$N$184, 0,FALSE), IFERROR(VLOOKUP($A929,'Vocus SIT ExDa'!$B$2:$J$173, 0,FALSE), IFERROR(VLOOKUP($A929,'Telstra ExDa'!$B$2:$K$310, 0,FALSE), IFERROR(VLOOKUP($A929,'Vocus RVC ExDa'!$C$2:$R$155, 0,FALSE), IFERROR(VLOOKUP($A929,'Fusion ExDa'!$B$2:$D$16, 0,FALSE), IFERROR(VLOOKUP($A929,'Exetel ExDa'!$C$2:$N$14, 12,FALSE), IFERROR(VLOOKUP($A929,'Infinet ExDa'!$B$2:$E$14, 0,FALSE), "Not Found"))))))))</f>
        <v>Not Found</v>
      </c>
      <c r="L929" s="235" t="str">
        <f>IFERROR(VLOOKUP($A929,'AAPT ExDa'!$B$2:$U$99, 11,FALSE), IFERROR(VLOOKUP($A929,'ABB ExDa'!$A$2:$N$184, 9,FALSE), IFERROR(VLOOKUP($A929,'Vocus SIT ExDa'!$B$2:$J$173, 8,FALSE), IFERROR(VLOOKUP($A929,'Telstra ExDa'!$B$2:$K$310, 0,FALSE), IFERROR(VLOOKUP($A929,'Vocus RVC ExDa'!$C$2:$R$155, 0,FALSE), IFERROR(VLOOKUP($A929,'Fusion ExDa'!$B$2:$D$16, 0,FALSE), IFERROR(VLOOKUP($A929,'Exetel ExDa'!$C$2:$N$14, 9,FALSE), IFERROR(VLOOKUP($A929,'Infinet ExDa'!$B$2:$E$14, 0,FALSE), "Not Found"))))))))</f>
        <v>Not Found</v>
      </c>
      <c r="M929" s="234" t="str">
        <f>IFERROR(VLOOKUP($A929,'AAPT ExDa'!$B$2:$U$99, 0,FALSE), IFERROR(VLOOKUP($A929,'ABB ExDa'!$A$2:$N$184, 0,FALSE), IFERROR(VLOOKUP($A929,'Vocus SIT ExDa'!$B$2:$J$173, 0,FALSE), IFERROR(VLOOKUP($A929,'Telstra ExDa'!$B$2:$K$310, 0,FALSE), IFERROR(VLOOKUP($A929,'Vocus RVC ExDa'!$C$2:$R$155, 0,FALSE), IFERROR(VLOOKUP($A929,'Fusion ExDa'!$B$2:$D$16, 0,FALSE), IFERROR(VLOOKUP($A929,'Exetel ExDa'!$C$2:$N$14, 11,FALSE), IFERROR(VLOOKUP($A929,'Infinet ExDa'!$B$2:$E$14, 0,FALSE), "Not Found"))))))))</f>
        <v>Not Found</v>
      </c>
      <c r="N929" t="str">
        <f>IFERROR(VLOOKUP($A929,'AAPT ExDa'!$B$2:$U$99, 0,FALSE), IFERROR(VLOOKUP($A929,'ABB ExDa'!$A$2:$N$184, 13,FALSE), IFERROR(VLOOKUP($A929,'Vocus SIT ExDa'!$B$2:$J$173, 0,FALSE), IFERROR(VLOOKUP($A929,'Telstra ExDa'!$B$2:$K$310, 0,FALSE), IFERROR(VLOOKUP($A929,'Vocus RVC ExDa'!$C$2:$R$155, 0,FALSE), IFERROR(VLOOKUP($A929,'Fusion ExDa'!$B$2:$D$16, 0,FALSE), IFERROR(VLOOKUP($A929,'Exetel ExDa'!$C$2:$N$14, 0,FALSE), IFERROR(VLOOKUP($A929,'Infinet ExDa'!$B$2:$E$14, 0,FALSE), "Not Found"))))))))</f>
        <v>Not Found</v>
      </c>
    </row>
    <row r="930" spans="1:14">
      <c r="A930" t="str">
        <v>DJ Steel</v>
      </c>
      <c r="B930" t="str">
        <f>IFERROR(VLOOKUP(A930,'Exetel ExDa'!$C$2:$N$14,4,FALSE),"No Data")</f>
        <v>No Data</v>
      </c>
      <c r="C930">
        <f>IFERROR(VLOOKUP(A930,'AAPT ExDa'!$B$2:$U$99, 2,FALSE), IFERROR(VLOOKUP(A930,'ABB ExDa'!$A$2:$N$184, 2,FALSE), IFERROR(VLOOKUP(A930,'Vocus SIT ExDa'!$B$2:$J$173, 7,FALSE), IFERROR(VLOOKUP(A930,'Telstra ExDa'!$B$2:$K$310, 2,FALSE), IFERROR(VLOOKUP(A930,'Vocus RVC ExDa'!$C$2:$R$155, 3,FALSE), IFERROR(VLOOKUP(A930,'Fusion ExDa'!$B$2:$D$16, 2,FALSE), IFERROR(VLOOKUP(A930,'Exetel ExDa'!$C$2:$N$14, 2,FALSE), IFERROR(VLOOKUP(A930,'Infinet ExDa'!$B$2:$E$14, 2,FALSE), "Not Found"))))))))</f>
        <v>0</v>
      </c>
      <c r="D930" t="str">
        <f>IFERROR(VLOOKUP($A930,'AAPT ExDa'!$B$2:$U$99, 15,FALSE), IFERROR(VLOOKUP($A930,'ABB ExDa'!$A$2:$N$184, 4,FALSE), IFERROR(VLOOKUP($A930,'Vocus SIT ExDa'!$B$2:$J$173, 5,FALSE), IFERROR(VLOOKUP($A930,'Telstra ExDa'!$B$2:$K$310, 8,FALSE), IFERROR(VLOOKUP($A930,'Vocus RVC ExDa'!$C$2:$R$155, 6,FALSE), IFERROR(VLOOKUP($A930,'Fusion ExDa'!$B$2:$D$16, 4,FALSE), IFERROR(VLOOKUP($A930,'Exetel ExDa'!$C$2:$N$14, 3,FALSE), IFERROR(VLOOKUP($A930,'Infinet ExDa'!$B$2:$E$14, 3,FALSE), "Not Found"))))))))</f>
        <v>Not Found</v>
      </c>
      <c r="E930" t="str">
        <f>IFERROR(VLOOKUP($A930,'AAPT ExDa'!$B$2:$U$99, 3,FALSE), IFERROR(VLOOKUP($A930,'ABB ExDa'!$A$2:$N$184, 5,FALSE), IFERROR(VLOOKUP($A930,'Vocus SIT ExDa'!$B$2:$J$173, 2,FALSE), IFERROR(VLOOKUP($A930,'Telstra ExDa'!$B$2:$K$310, 4,FALSE), IFERROR(VLOOKUP($A930,'Vocus RVC ExDa'!$C$2:$R$155, 8,FALSE), IFERROR(VLOOKUP($A930,'Fusion ExDa'!$B$2:$D$16, 4,FALSE), IFERROR(VLOOKUP($A930,'Exetel ExDa'!$C$2:$N$14, 5,FALSE), IFERROR(VLOOKUP($A930,'Infinet ExDa'!$B$2:$E$14, 3,FALSE), "Not Found"))))))))</f>
        <v>Not Found</v>
      </c>
      <c r="F930" t="str">
        <f>IFERROR(VLOOKUP($A930,'AAPT ExDa'!$B$2:$U$99, 4,FALSE), IFERROR(VLOOKUP($A930,'ABB ExDa'!$A$2:$N$184, 6,FALSE), IFERROR(VLOOKUP($A930,'Vocus SIT ExDa'!$B$2:$J$173, 3,FALSE), IFERROR(VLOOKUP($A930,'Telstra ExDa'!$B$2:$K$310, 5,FALSE), IFERROR(VLOOKUP($A930,'Vocus RVC ExDa'!$C$2:$R$155, 9,FALSE), IFERROR(VLOOKUP($A930,'Fusion ExDa'!$B$2:$D$16, 0,FALSE), IFERROR(VLOOKUP($A930,'Exetel ExDa'!$C$2:$N$14, 6,FALSE), IFERROR(VLOOKUP($A930,'Infinet ExDa'!$B$2:$E$14, 0,FALSE), "Not Found"))))))))</f>
        <v>Not Found</v>
      </c>
      <c r="G930" t="str">
        <f>IFERROR(VLOOKUP($A930,'AAPT ExDa'!$B$2:$U$99, 5,FALSE), IFERROR(VLOOKUP($A930,'ABB ExDa'!$A$2:$N$184, 8,FALSE), IFERROR(VLOOKUP($A930,'Vocus SIT ExDa'!$B$2:$J$173, 6,FALSE), IFERROR(VLOOKUP($A930,'Telstra ExDa'!$B$2:$K$310, 0,FALSE), IFERROR(VLOOKUP($A930,'Vocus RVC ExDa'!$C$2:$R$155, 15,FALSE), IFERROR(VLOOKUP($A930,'Fusion ExDa'!$B$2:$D$16, 0,FALSE), IFERROR(VLOOKUP($A930,'Exetel ExDa'!$C$2:$N$14, 7,FALSE), IFERROR(VLOOKUP($A930,'Infinet ExDa'!$B$2:$E$14, 0,FALSE), "Not Found"))))))))</f>
        <v>Not Found</v>
      </c>
      <c r="H930" t="str">
        <f>IFERROR(VLOOKUP($A930,'AAPT ExDa'!$B$2:$U$99, 6,FALSE), IFERROR(VLOOKUP($A930,'ABB ExDa'!$A$2:$N$184, 0,FALSE), IFERROR(VLOOKUP($A930,'Vocus SIT ExDa'!$B$2:$J$173, 0,FALSE), IFERROR(VLOOKUP($A930,'Telstra ExDa'!$B$2:$K$310, 0,FALSE), IFERROR(VLOOKUP($A930,'Vocus RVC ExDa'!$C$2:$R$155, 16,FALSE), IFERROR(VLOOKUP($A930,'Fusion ExDa'!$B$2:$D$16, 0,FALSE), IFERROR(VLOOKUP($A930,'Exetel ExDa'!$C$2:$N$14, 0,FALSE), IFERROR(VLOOKUP($A930,'Infinet ExDa'!$B$2:$E$14, 0,FALSE), "Not Found"))))))))</f>
        <v>Not Found</v>
      </c>
      <c r="I930" t="str">
        <f>IFERROR(VLOOKUP($A930,'AAPT ExDa'!$B$2:$U$99, 0,FALSE), IFERROR(VLOOKUP($A930,'ABB ExDa'!$A$2:$N$184, 0,FALSE), IFERROR(VLOOKUP($A930,'Vocus SIT ExDa'!$B$2:$J$173, 0,FALSE), IFERROR(VLOOKUP($A930,'Telstra ExDa'!$B$2:$K$310, 0,FALSE), IFERROR(VLOOKUP($A930,'Vocus RVC ExDa'!$C$2:$R$155, 0,FALSE), IFERROR(VLOOKUP($A930,'Fusion ExDa'!$B$2:$D$16, 0,FALSE), IFERROR(VLOOKUP($A930,'Exetel ExDa'!$C$2:$N$14, 8,FALSE), IFERROR(VLOOKUP($A930,'Infinet ExDa'!$B$2:$E$14, 0,FALSE), "Not Found"))))))))</f>
        <v>Not Found</v>
      </c>
      <c r="J930">
        <f>IFERROR(VLOOKUP($A930,'AAPT ExDa'!$B$2:$U$99, 7,FALSE), IFERROR(VLOOKUP($A930,'ABB ExDa'!$A$2:$N$184, 2,FALSE), IFERROR(VLOOKUP($A930,'Vocus SIT ExDa'!$B$2:$J$173, 0,FALSE), IFERROR(VLOOKUP($A930,'Telstra ExDa'!$B$2:$K$310, 7,FALSE), IFERROR(VLOOKUP($A930,'Vocus RVC ExDa'!$C$2:$R$155, 2,FALSE), IFERROR(VLOOKUP($A930,'Fusion ExDa'!$B$2:$D$16, 3,FALSE), IFERROR(VLOOKUP($A930,'Exetel ExDa'!$C$2:$N$14, 0,FALSE), IFERROR(VLOOKUP($A930,'Infinet ExDa'!$B$2:$E$14, 0,FALSE), "Not Found"))))))))</f>
        <v>0</v>
      </c>
      <c r="K930" t="str">
        <f>IFERROR(VLOOKUP($A930,'AAPT ExDa'!$B$2:$U$99, 12,FALSE), IFERROR(VLOOKUP($A930,'ABB ExDa'!$A$2:$N$184, 0,FALSE), IFERROR(VLOOKUP($A930,'Vocus SIT ExDa'!$B$2:$J$173, 0,FALSE), IFERROR(VLOOKUP($A930,'Telstra ExDa'!$B$2:$K$310, 0,FALSE), IFERROR(VLOOKUP($A930,'Vocus RVC ExDa'!$C$2:$R$155, 0,FALSE), IFERROR(VLOOKUP($A930,'Fusion ExDa'!$B$2:$D$16, 0,FALSE), IFERROR(VLOOKUP($A930,'Exetel ExDa'!$C$2:$N$14, 12,FALSE), IFERROR(VLOOKUP($A930,'Infinet ExDa'!$B$2:$E$14, 0,FALSE), "Not Found"))))))))</f>
        <v>Not Found</v>
      </c>
      <c r="L930" s="235" t="str">
        <f>IFERROR(VLOOKUP($A930,'AAPT ExDa'!$B$2:$U$99, 11,FALSE), IFERROR(VLOOKUP($A930,'ABB ExDa'!$A$2:$N$184, 9,FALSE), IFERROR(VLOOKUP($A930,'Vocus SIT ExDa'!$B$2:$J$173, 8,FALSE), IFERROR(VLOOKUP($A930,'Telstra ExDa'!$B$2:$K$310, 0,FALSE), IFERROR(VLOOKUP($A930,'Vocus RVC ExDa'!$C$2:$R$155, 0,FALSE), IFERROR(VLOOKUP($A930,'Fusion ExDa'!$B$2:$D$16, 0,FALSE), IFERROR(VLOOKUP($A930,'Exetel ExDa'!$C$2:$N$14, 9,FALSE), IFERROR(VLOOKUP($A930,'Infinet ExDa'!$B$2:$E$14, 0,FALSE), "Not Found"))))))))</f>
        <v>Not Found</v>
      </c>
      <c r="M930" s="234" t="str">
        <f>IFERROR(VLOOKUP($A930,'AAPT ExDa'!$B$2:$U$99, 0,FALSE), IFERROR(VLOOKUP($A930,'ABB ExDa'!$A$2:$N$184, 0,FALSE), IFERROR(VLOOKUP($A930,'Vocus SIT ExDa'!$B$2:$J$173, 0,FALSE), IFERROR(VLOOKUP($A930,'Telstra ExDa'!$B$2:$K$310, 0,FALSE), IFERROR(VLOOKUP($A930,'Vocus RVC ExDa'!$C$2:$R$155, 0,FALSE), IFERROR(VLOOKUP($A930,'Fusion ExDa'!$B$2:$D$16, 0,FALSE), IFERROR(VLOOKUP($A930,'Exetel ExDa'!$C$2:$N$14, 11,FALSE), IFERROR(VLOOKUP($A930,'Infinet ExDa'!$B$2:$E$14, 0,FALSE), "Not Found"))))))))</f>
        <v>Not Found</v>
      </c>
      <c r="N930" t="str">
        <f>IFERROR(VLOOKUP($A930,'AAPT ExDa'!$B$2:$U$99, 0,FALSE), IFERROR(VLOOKUP($A930,'ABB ExDa'!$A$2:$N$184, 13,FALSE), IFERROR(VLOOKUP($A930,'Vocus SIT ExDa'!$B$2:$J$173, 0,FALSE), IFERROR(VLOOKUP($A930,'Telstra ExDa'!$B$2:$K$310, 0,FALSE), IFERROR(VLOOKUP($A930,'Vocus RVC ExDa'!$C$2:$R$155, 0,FALSE), IFERROR(VLOOKUP($A930,'Fusion ExDa'!$B$2:$D$16, 0,FALSE), IFERROR(VLOOKUP($A930,'Exetel ExDa'!$C$2:$N$14, 0,FALSE), IFERROR(VLOOKUP($A930,'Infinet ExDa'!$B$2:$E$14, 0,FALSE), "Not Found"))))))))</f>
        <v>Not Found</v>
      </c>
    </row>
    <row r="931" spans="1:14">
      <c r="A931" t="str">
        <v>Osprey</v>
      </c>
      <c r="B931" t="str">
        <f>IFERROR(VLOOKUP(A931,'Exetel ExDa'!$C$2:$N$14,4,FALSE),"No Data")</f>
        <v>No Data</v>
      </c>
      <c r="C931">
        <f>IFERROR(VLOOKUP(A931,'AAPT ExDa'!$B$2:$U$99, 2,FALSE), IFERROR(VLOOKUP(A931,'ABB ExDa'!$A$2:$N$184, 2,FALSE), IFERROR(VLOOKUP(A931,'Vocus SIT ExDa'!$B$2:$J$173, 7,FALSE), IFERROR(VLOOKUP(A931,'Telstra ExDa'!$B$2:$K$310, 2,FALSE), IFERROR(VLOOKUP(A931,'Vocus RVC ExDa'!$C$2:$R$155, 3,FALSE), IFERROR(VLOOKUP(A931,'Fusion ExDa'!$B$2:$D$16, 2,FALSE), IFERROR(VLOOKUP(A931,'Exetel ExDa'!$C$2:$N$14, 2,FALSE), IFERROR(VLOOKUP(A931,'Infinet ExDa'!$B$2:$E$14, 2,FALSE), "Not Found"))))))))</f>
        <v>0</v>
      </c>
      <c r="D931" t="str">
        <f>IFERROR(VLOOKUP($A931,'AAPT ExDa'!$B$2:$U$99, 15,FALSE), IFERROR(VLOOKUP($A931,'ABB ExDa'!$A$2:$N$184, 4,FALSE), IFERROR(VLOOKUP($A931,'Vocus SIT ExDa'!$B$2:$J$173, 5,FALSE), IFERROR(VLOOKUP($A931,'Telstra ExDa'!$B$2:$K$310, 8,FALSE), IFERROR(VLOOKUP($A931,'Vocus RVC ExDa'!$C$2:$R$155, 6,FALSE), IFERROR(VLOOKUP($A931,'Fusion ExDa'!$B$2:$D$16, 4,FALSE), IFERROR(VLOOKUP($A931,'Exetel ExDa'!$C$2:$N$14, 3,FALSE), IFERROR(VLOOKUP($A931,'Infinet ExDa'!$B$2:$E$14, 3,FALSE), "Not Found"))))))))</f>
        <v>Not Found</v>
      </c>
      <c r="E931" t="str">
        <f>IFERROR(VLOOKUP($A931,'AAPT ExDa'!$B$2:$U$99, 3,FALSE), IFERROR(VLOOKUP($A931,'ABB ExDa'!$A$2:$N$184, 5,FALSE), IFERROR(VLOOKUP($A931,'Vocus SIT ExDa'!$B$2:$J$173, 2,FALSE), IFERROR(VLOOKUP($A931,'Telstra ExDa'!$B$2:$K$310, 4,FALSE), IFERROR(VLOOKUP($A931,'Vocus RVC ExDa'!$C$2:$R$155, 8,FALSE), IFERROR(VLOOKUP($A931,'Fusion ExDa'!$B$2:$D$16, 4,FALSE), IFERROR(VLOOKUP($A931,'Exetel ExDa'!$C$2:$N$14, 5,FALSE), IFERROR(VLOOKUP($A931,'Infinet ExDa'!$B$2:$E$14, 3,FALSE), "Not Found"))))))))</f>
        <v>Not Found</v>
      </c>
      <c r="F931" t="str">
        <f>IFERROR(VLOOKUP($A931,'AAPT ExDa'!$B$2:$U$99, 4,FALSE), IFERROR(VLOOKUP($A931,'ABB ExDa'!$A$2:$N$184, 6,FALSE), IFERROR(VLOOKUP($A931,'Vocus SIT ExDa'!$B$2:$J$173, 3,FALSE), IFERROR(VLOOKUP($A931,'Telstra ExDa'!$B$2:$K$310, 5,FALSE), IFERROR(VLOOKUP($A931,'Vocus RVC ExDa'!$C$2:$R$155, 9,FALSE), IFERROR(VLOOKUP($A931,'Fusion ExDa'!$B$2:$D$16, 0,FALSE), IFERROR(VLOOKUP($A931,'Exetel ExDa'!$C$2:$N$14, 6,FALSE), IFERROR(VLOOKUP($A931,'Infinet ExDa'!$B$2:$E$14, 0,FALSE), "Not Found"))))))))</f>
        <v>Not Found</v>
      </c>
      <c r="G931" t="str">
        <f>IFERROR(VLOOKUP($A931,'AAPT ExDa'!$B$2:$U$99, 5,FALSE), IFERROR(VLOOKUP($A931,'ABB ExDa'!$A$2:$N$184, 8,FALSE), IFERROR(VLOOKUP($A931,'Vocus SIT ExDa'!$B$2:$J$173, 6,FALSE), IFERROR(VLOOKUP($A931,'Telstra ExDa'!$B$2:$K$310, 0,FALSE), IFERROR(VLOOKUP($A931,'Vocus RVC ExDa'!$C$2:$R$155, 15,FALSE), IFERROR(VLOOKUP($A931,'Fusion ExDa'!$B$2:$D$16, 0,FALSE), IFERROR(VLOOKUP($A931,'Exetel ExDa'!$C$2:$N$14, 7,FALSE), IFERROR(VLOOKUP($A931,'Infinet ExDa'!$B$2:$E$14, 0,FALSE), "Not Found"))))))))</f>
        <v>Not Found</v>
      </c>
      <c r="H931" t="str">
        <f>IFERROR(VLOOKUP($A931,'AAPT ExDa'!$B$2:$U$99, 6,FALSE), IFERROR(VLOOKUP($A931,'ABB ExDa'!$A$2:$N$184, 0,FALSE), IFERROR(VLOOKUP($A931,'Vocus SIT ExDa'!$B$2:$J$173, 0,FALSE), IFERROR(VLOOKUP($A931,'Telstra ExDa'!$B$2:$K$310, 0,FALSE), IFERROR(VLOOKUP($A931,'Vocus RVC ExDa'!$C$2:$R$155, 16,FALSE), IFERROR(VLOOKUP($A931,'Fusion ExDa'!$B$2:$D$16, 0,FALSE), IFERROR(VLOOKUP($A931,'Exetel ExDa'!$C$2:$N$14, 0,FALSE), IFERROR(VLOOKUP($A931,'Infinet ExDa'!$B$2:$E$14, 0,FALSE), "Not Found"))))))))</f>
        <v>Not Found</v>
      </c>
      <c r="I931" t="str">
        <f>IFERROR(VLOOKUP($A931,'AAPT ExDa'!$B$2:$U$99, 0,FALSE), IFERROR(VLOOKUP($A931,'ABB ExDa'!$A$2:$N$184, 0,FALSE), IFERROR(VLOOKUP($A931,'Vocus SIT ExDa'!$B$2:$J$173, 0,FALSE), IFERROR(VLOOKUP($A931,'Telstra ExDa'!$B$2:$K$310, 0,FALSE), IFERROR(VLOOKUP($A931,'Vocus RVC ExDa'!$C$2:$R$155, 0,FALSE), IFERROR(VLOOKUP($A931,'Fusion ExDa'!$B$2:$D$16, 0,FALSE), IFERROR(VLOOKUP($A931,'Exetel ExDa'!$C$2:$N$14, 8,FALSE), IFERROR(VLOOKUP($A931,'Infinet ExDa'!$B$2:$E$14, 0,FALSE), "Not Found"))))))))</f>
        <v>Not Found</v>
      </c>
      <c r="J931">
        <f>IFERROR(VLOOKUP($A931,'AAPT ExDa'!$B$2:$U$99, 7,FALSE), IFERROR(VLOOKUP($A931,'ABB ExDa'!$A$2:$N$184, 2,FALSE), IFERROR(VLOOKUP($A931,'Vocus SIT ExDa'!$B$2:$J$173, 0,FALSE), IFERROR(VLOOKUP($A931,'Telstra ExDa'!$B$2:$K$310, 7,FALSE), IFERROR(VLOOKUP($A931,'Vocus RVC ExDa'!$C$2:$R$155, 2,FALSE), IFERROR(VLOOKUP($A931,'Fusion ExDa'!$B$2:$D$16, 3,FALSE), IFERROR(VLOOKUP($A931,'Exetel ExDa'!$C$2:$N$14, 0,FALSE), IFERROR(VLOOKUP($A931,'Infinet ExDa'!$B$2:$E$14, 0,FALSE), "Not Found"))))))))</f>
        <v>0</v>
      </c>
      <c r="K931" t="str">
        <f>IFERROR(VLOOKUP($A931,'AAPT ExDa'!$B$2:$U$99, 12,FALSE), IFERROR(VLOOKUP($A931,'ABB ExDa'!$A$2:$N$184, 0,FALSE), IFERROR(VLOOKUP($A931,'Vocus SIT ExDa'!$B$2:$J$173, 0,FALSE), IFERROR(VLOOKUP($A931,'Telstra ExDa'!$B$2:$K$310, 0,FALSE), IFERROR(VLOOKUP($A931,'Vocus RVC ExDa'!$C$2:$R$155, 0,FALSE), IFERROR(VLOOKUP($A931,'Fusion ExDa'!$B$2:$D$16, 0,FALSE), IFERROR(VLOOKUP($A931,'Exetel ExDa'!$C$2:$N$14, 12,FALSE), IFERROR(VLOOKUP($A931,'Infinet ExDa'!$B$2:$E$14, 0,FALSE), "Not Found"))))))))</f>
        <v>Not Found</v>
      </c>
      <c r="L931" s="235" t="str">
        <f>IFERROR(VLOOKUP($A931,'AAPT ExDa'!$B$2:$U$99, 11,FALSE), IFERROR(VLOOKUP($A931,'ABB ExDa'!$A$2:$N$184, 9,FALSE), IFERROR(VLOOKUP($A931,'Vocus SIT ExDa'!$B$2:$J$173, 8,FALSE), IFERROR(VLOOKUP($A931,'Telstra ExDa'!$B$2:$K$310, 0,FALSE), IFERROR(VLOOKUP($A931,'Vocus RVC ExDa'!$C$2:$R$155, 0,FALSE), IFERROR(VLOOKUP($A931,'Fusion ExDa'!$B$2:$D$16, 0,FALSE), IFERROR(VLOOKUP($A931,'Exetel ExDa'!$C$2:$N$14, 9,FALSE), IFERROR(VLOOKUP($A931,'Infinet ExDa'!$B$2:$E$14, 0,FALSE), "Not Found"))))))))</f>
        <v>Not Found</v>
      </c>
      <c r="M931" s="234" t="str">
        <f>IFERROR(VLOOKUP($A931,'AAPT ExDa'!$B$2:$U$99, 0,FALSE), IFERROR(VLOOKUP($A931,'ABB ExDa'!$A$2:$N$184, 0,FALSE), IFERROR(VLOOKUP($A931,'Vocus SIT ExDa'!$B$2:$J$173, 0,FALSE), IFERROR(VLOOKUP($A931,'Telstra ExDa'!$B$2:$K$310, 0,FALSE), IFERROR(VLOOKUP($A931,'Vocus RVC ExDa'!$C$2:$R$155, 0,FALSE), IFERROR(VLOOKUP($A931,'Fusion ExDa'!$B$2:$D$16, 0,FALSE), IFERROR(VLOOKUP($A931,'Exetel ExDa'!$C$2:$N$14, 11,FALSE), IFERROR(VLOOKUP($A931,'Infinet ExDa'!$B$2:$E$14, 0,FALSE), "Not Found"))))))))</f>
        <v>Not Found</v>
      </c>
      <c r="N931" t="str">
        <f>IFERROR(VLOOKUP($A931,'AAPT ExDa'!$B$2:$U$99, 0,FALSE), IFERROR(VLOOKUP($A931,'ABB ExDa'!$A$2:$N$184, 13,FALSE), IFERROR(VLOOKUP($A931,'Vocus SIT ExDa'!$B$2:$J$173, 0,FALSE), IFERROR(VLOOKUP($A931,'Telstra ExDa'!$B$2:$K$310, 0,FALSE), IFERROR(VLOOKUP($A931,'Vocus RVC ExDa'!$C$2:$R$155, 0,FALSE), IFERROR(VLOOKUP($A931,'Fusion ExDa'!$B$2:$D$16, 0,FALSE), IFERROR(VLOOKUP($A931,'Exetel ExDa'!$C$2:$N$14, 0,FALSE), IFERROR(VLOOKUP($A931,'Infinet ExDa'!$B$2:$E$14, 0,FALSE), "Not Found"))))))))</f>
        <v>Not Found</v>
      </c>
    </row>
    <row r="932" spans="1:14">
      <c r="A932" t="str">
        <v>Woodland</v>
      </c>
      <c r="B932" t="str">
        <f>IFERROR(VLOOKUP(A932,'Exetel ExDa'!$C$2:$N$14,4,FALSE),"No Data")</f>
        <v>No Data</v>
      </c>
      <c r="C932">
        <f>IFERROR(VLOOKUP(A932,'AAPT ExDa'!$B$2:$U$99, 2,FALSE), IFERROR(VLOOKUP(A932,'ABB ExDa'!$A$2:$N$184, 2,FALSE), IFERROR(VLOOKUP(A932,'Vocus SIT ExDa'!$B$2:$J$173, 7,FALSE), IFERROR(VLOOKUP(A932,'Telstra ExDa'!$B$2:$K$310, 2,FALSE), IFERROR(VLOOKUP(A932,'Vocus RVC ExDa'!$C$2:$R$155, 3,FALSE), IFERROR(VLOOKUP(A932,'Fusion ExDa'!$B$2:$D$16, 2,FALSE), IFERROR(VLOOKUP(A932,'Exetel ExDa'!$C$2:$N$14, 2,FALSE), IFERROR(VLOOKUP(A932,'Infinet ExDa'!$B$2:$E$14, 2,FALSE), "Not Found"))))))))</f>
        <v>0</v>
      </c>
      <c r="D932" t="str">
        <f>IFERROR(VLOOKUP($A932,'AAPT ExDa'!$B$2:$U$99, 15,FALSE), IFERROR(VLOOKUP($A932,'ABB ExDa'!$A$2:$N$184, 4,FALSE), IFERROR(VLOOKUP($A932,'Vocus SIT ExDa'!$B$2:$J$173, 5,FALSE), IFERROR(VLOOKUP($A932,'Telstra ExDa'!$B$2:$K$310, 8,FALSE), IFERROR(VLOOKUP($A932,'Vocus RVC ExDa'!$C$2:$R$155, 6,FALSE), IFERROR(VLOOKUP($A932,'Fusion ExDa'!$B$2:$D$16, 4,FALSE), IFERROR(VLOOKUP($A932,'Exetel ExDa'!$C$2:$N$14, 3,FALSE), IFERROR(VLOOKUP($A932,'Infinet ExDa'!$B$2:$E$14, 3,FALSE), "Not Found"))))))))</f>
        <v>Not Found</v>
      </c>
      <c r="E932" t="str">
        <f>IFERROR(VLOOKUP($A932,'AAPT ExDa'!$B$2:$U$99, 3,FALSE), IFERROR(VLOOKUP($A932,'ABB ExDa'!$A$2:$N$184, 5,FALSE), IFERROR(VLOOKUP($A932,'Vocus SIT ExDa'!$B$2:$J$173, 2,FALSE), IFERROR(VLOOKUP($A932,'Telstra ExDa'!$B$2:$K$310, 4,FALSE), IFERROR(VLOOKUP($A932,'Vocus RVC ExDa'!$C$2:$R$155, 8,FALSE), IFERROR(VLOOKUP($A932,'Fusion ExDa'!$B$2:$D$16, 4,FALSE), IFERROR(VLOOKUP($A932,'Exetel ExDa'!$C$2:$N$14, 5,FALSE), IFERROR(VLOOKUP($A932,'Infinet ExDa'!$B$2:$E$14, 3,FALSE), "Not Found"))))))))</f>
        <v>Not Found</v>
      </c>
      <c r="F932" t="str">
        <f>IFERROR(VLOOKUP($A932,'AAPT ExDa'!$B$2:$U$99, 4,FALSE), IFERROR(VLOOKUP($A932,'ABB ExDa'!$A$2:$N$184, 6,FALSE), IFERROR(VLOOKUP($A932,'Vocus SIT ExDa'!$B$2:$J$173, 3,FALSE), IFERROR(VLOOKUP($A932,'Telstra ExDa'!$B$2:$K$310, 5,FALSE), IFERROR(VLOOKUP($A932,'Vocus RVC ExDa'!$C$2:$R$155, 9,FALSE), IFERROR(VLOOKUP($A932,'Fusion ExDa'!$B$2:$D$16, 0,FALSE), IFERROR(VLOOKUP($A932,'Exetel ExDa'!$C$2:$N$14, 6,FALSE), IFERROR(VLOOKUP($A932,'Infinet ExDa'!$B$2:$E$14, 0,FALSE), "Not Found"))))))))</f>
        <v>Not Found</v>
      </c>
      <c r="G932" t="str">
        <f>IFERROR(VLOOKUP($A932,'AAPT ExDa'!$B$2:$U$99, 5,FALSE), IFERROR(VLOOKUP($A932,'ABB ExDa'!$A$2:$N$184, 8,FALSE), IFERROR(VLOOKUP($A932,'Vocus SIT ExDa'!$B$2:$J$173, 6,FALSE), IFERROR(VLOOKUP($A932,'Telstra ExDa'!$B$2:$K$310, 0,FALSE), IFERROR(VLOOKUP($A932,'Vocus RVC ExDa'!$C$2:$R$155, 15,FALSE), IFERROR(VLOOKUP($A932,'Fusion ExDa'!$B$2:$D$16, 0,FALSE), IFERROR(VLOOKUP($A932,'Exetel ExDa'!$C$2:$N$14, 7,FALSE), IFERROR(VLOOKUP($A932,'Infinet ExDa'!$B$2:$E$14, 0,FALSE), "Not Found"))))))))</f>
        <v>Not Found</v>
      </c>
      <c r="H932" t="str">
        <f>IFERROR(VLOOKUP($A932,'AAPT ExDa'!$B$2:$U$99, 6,FALSE), IFERROR(VLOOKUP($A932,'ABB ExDa'!$A$2:$N$184, 0,FALSE), IFERROR(VLOOKUP($A932,'Vocus SIT ExDa'!$B$2:$J$173, 0,FALSE), IFERROR(VLOOKUP($A932,'Telstra ExDa'!$B$2:$K$310, 0,FALSE), IFERROR(VLOOKUP($A932,'Vocus RVC ExDa'!$C$2:$R$155, 16,FALSE), IFERROR(VLOOKUP($A932,'Fusion ExDa'!$B$2:$D$16, 0,FALSE), IFERROR(VLOOKUP($A932,'Exetel ExDa'!$C$2:$N$14, 0,FALSE), IFERROR(VLOOKUP($A932,'Infinet ExDa'!$B$2:$E$14, 0,FALSE), "Not Found"))))))))</f>
        <v>Not Found</v>
      </c>
      <c r="I932" t="str">
        <f>IFERROR(VLOOKUP($A932,'AAPT ExDa'!$B$2:$U$99, 0,FALSE), IFERROR(VLOOKUP($A932,'ABB ExDa'!$A$2:$N$184, 0,FALSE), IFERROR(VLOOKUP($A932,'Vocus SIT ExDa'!$B$2:$J$173, 0,FALSE), IFERROR(VLOOKUP($A932,'Telstra ExDa'!$B$2:$K$310, 0,FALSE), IFERROR(VLOOKUP($A932,'Vocus RVC ExDa'!$C$2:$R$155, 0,FALSE), IFERROR(VLOOKUP($A932,'Fusion ExDa'!$B$2:$D$16, 0,FALSE), IFERROR(VLOOKUP($A932,'Exetel ExDa'!$C$2:$N$14, 8,FALSE), IFERROR(VLOOKUP($A932,'Infinet ExDa'!$B$2:$E$14, 0,FALSE), "Not Found"))))))))</f>
        <v>Not Found</v>
      </c>
      <c r="J932">
        <f>IFERROR(VLOOKUP($A932,'AAPT ExDa'!$B$2:$U$99, 7,FALSE), IFERROR(VLOOKUP($A932,'ABB ExDa'!$A$2:$N$184, 2,FALSE), IFERROR(VLOOKUP($A932,'Vocus SIT ExDa'!$B$2:$J$173, 0,FALSE), IFERROR(VLOOKUP($A932,'Telstra ExDa'!$B$2:$K$310, 7,FALSE), IFERROR(VLOOKUP($A932,'Vocus RVC ExDa'!$C$2:$R$155, 2,FALSE), IFERROR(VLOOKUP($A932,'Fusion ExDa'!$B$2:$D$16, 3,FALSE), IFERROR(VLOOKUP($A932,'Exetel ExDa'!$C$2:$N$14, 0,FALSE), IFERROR(VLOOKUP($A932,'Infinet ExDa'!$B$2:$E$14, 0,FALSE), "Not Found"))))))))</f>
        <v>0</v>
      </c>
      <c r="K932" t="str">
        <f>IFERROR(VLOOKUP($A932,'AAPT ExDa'!$B$2:$U$99, 12,FALSE), IFERROR(VLOOKUP($A932,'ABB ExDa'!$A$2:$N$184, 0,FALSE), IFERROR(VLOOKUP($A932,'Vocus SIT ExDa'!$B$2:$J$173, 0,FALSE), IFERROR(VLOOKUP($A932,'Telstra ExDa'!$B$2:$K$310, 0,FALSE), IFERROR(VLOOKUP($A932,'Vocus RVC ExDa'!$C$2:$R$155, 0,FALSE), IFERROR(VLOOKUP($A932,'Fusion ExDa'!$B$2:$D$16, 0,FALSE), IFERROR(VLOOKUP($A932,'Exetel ExDa'!$C$2:$N$14, 12,FALSE), IFERROR(VLOOKUP($A932,'Infinet ExDa'!$B$2:$E$14, 0,FALSE), "Not Found"))))))))</f>
        <v>Not Found</v>
      </c>
      <c r="L932" s="235" t="str">
        <f>IFERROR(VLOOKUP($A932,'AAPT ExDa'!$B$2:$U$99, 11,FALSE), IFERROR(VLOOKUP($A932,'ABB ExDa'!$A$2:$N$184, 9,FALSE), IFERROR(VLOOKUP($A932,'Vocus SIT ExDa'!$B$2:$J$173, 8,FALSE), IFERROR(VLOOKUP($A932,'Telstra ExDa'!$B$2:$K$310, 0,FALSE), IFERROR(VLOOKUP($A932,'Vocus RVC ExDa'!$C$2:$R$155, 0,FALSE), IFERROR(VLOOKUP($A932,'Fusion ExDa'!$B$2:$D$16, 0,FALSE), IFERROR(VLOOKUP($A932,'Exetel ExDa'!$C$2:$N$14, 9,FALSE), IFERROR(VLOOKUP($A932,'Infinet ExDa'!$B$2:$E$14, 0,FALSE), "Not Found"))))))))</f>
        <v>Not Found</v>
      </c>
      <c r="M932" s="234" t="str">
        <f>IFERROR(VLOOKUP($A932,'AAPT ExDa'!$B$2:$U$99, 0,FALSE), IFERROR(VLOOKUP($A932,'ABB ExDa'!$A$2:$N$184, 0,FALSE), IFERROR(VLOOKUP($A932,'Vocus SIT ExDa'!$B$2:$J$173, 0,FALSE), IFERROR(VLOOKUP($A932,'Telstra ExDa'!$B$2:$K$310, 0,FALSE), IFERROR(VLOOKUP($A932,'Vocus RVC ExDa'!$C$2:$R$155, 0,FALSE), IFERROR(VLOOKUP($A932,'Fusion ExDa'!$B$2:$D$16, 0,FALSE), IFERROR(VLOOKUP($A932,'Exetel ExDa'!$C$2:$N$14, 11,FALSE), IFERROR(VLOOKUP($A932,'Infinet ExDa'!$B$2:$E$14, 0,FALSE), "Not Found"))))))))</f>
        <v>Not Found</v>
      </c>
      <c r="N932" t="str">
        <f>IFERROR(VLOOKUP($A932,'AAPT ExDa'!$B$2:$U$99, 0,FALSE), IFERROR(VLOOKUP($A932,'ABB ExDa'!$A$2:$N$184, 13,FALSE), IFERROR(VLOOKUP($A932,'Vocus SIT ExDa'!$B$2:$J$173, 0,FALSE), IFERROR(VLOOKUP($A932,'Telstra ExDa'!$B$2:$K$310, 0,FALSE), IFERROR(VLOOKUP($A932,'Vocus RVC ExDa'!$C$2:$R$155, 0,FALSE), IFERROR(VLOOKUP($A932,'Fusion ExDa'!$B$2:$D$16, 0,FALSE), IFERROR(VLOOKUP($A932,'Exetel ExDa'!$C$2:$N$14, 0,FALSE), IFERROR(VLOOKUP($A932,'Infinet ExDa'!$B$2:$E$14, 0,FALSE), "Not Found"))))))))</f>
        <v>Not Found</v>
      </c>
    </row>
    <row r="933" spans="1:14">
      <c r="A933" t="str">
        <v>GBA Barcaldine</v>
      </c>
      <c r="B933" t="str">
        <f>IFERROR(VLOOKUP(A933,'Exetel ExDa'!$C$2:$N$14,4,FALSE),"No Data")</f>
        <v>No Data</v>
      </c>
      <c r="C933" t="str">
        <f>IFERROR(VLOOKUP(A933,'AAPT ExDa'!$B$2:$U$99, 2,FALSE), IFERROR(VLOOKUP(A933,'ABB ExDa'!$A$2:$N$184, 2,FALSE), IFERROR(VLOOKUP(A933,'Vocus SIT ExDa'!$B$2:$J$173, 7,FALSE), IFERROR(VLOOKUP(A933,'Telstra ExDa'!$B$2:$K$310, 2,FALSE), IFERROR(VLOOKUP(A933,'Vocus RVC ExDa'!$C$2:$R$155, 3,FALSE), IFERROR(VLOOKUP(A933,'Fusion ExDa'!$B$2:$D$16, 2,FALSE), IFERROR(VLOOKUP(A933,'Exetel ExDa'!$C$2:$N$14, 2,FALSE), IFERROR(VLOOKUP(A933,'Infinet ExDa'!$B$2:$E$14, 2,FALSE), "Not Found"))))))))</f>
        <v>73 ELM ST, BARCALDINE QLD</v>
      </c>
      <c r="D933" t="str">
        <f>IFERROR(VLOOKUP($A933,'AAPT ExDa'!$B$2:$U$99, 15,FALSE), IFERROR(VLOOKUP($A933,'ABB ExDa'!$A$2:$N$184, 4,FALSE), IFERROR(VLOOKUP($A933,'Vocus SIT ExDa'!$B$2:$J$173, 5,FALSE), IFERROR(VLOOKUP($A933,'Telstra ExDa'!$B$2:$K$310, 8,FALSE), IFERROR(VLOOKUP($A933,'Vocus RVC ExDa'!$C$2:$R$155, 6,FALSE), IFERROR(VLOOKUP($A933,'Fusion ExDa'!$B$2:$D$16, 4,FALSE), IFERROR(VLOOKUP($A933,'Exetel ExDa'!$C$2:$N$14, 3,FALSE), IFERROR(VLOOKUP($A933,'Infinet ExDa'!$B$2:$E$14, 3,FALSE), "Not Found"))))))))</f>
        <v>ABB</v>
      </c>
      <c r="E933" t="str">
        <f>IFERROR(VLOOKUP($A933,'AAPT ExDa'!$B$2:$U$99, 3,FALSE), IFERROR(VLOOKUP($A933,'ABB ExDa'!$A$2:$N$184, 5,FALSE), IFERROR(VLOOKUP($A933,'Vocus SIT ExDa'!$B$2:$J$173, 2,FALSE), IFERROR(VLOOKUP($A933,'Telstra ExDa'!$B$2:$K$310, 4,FALSE), IFERROR(VLOOKUP($A933,'Vocus RVC ExDa'!$C$2:$R$155, 8,FALSE), IFERROR(VLOOKUP($A933,'Fusion ExDa'!$B$2:$D$16, 4,FALSE), IFERROR(VLOOKUP($A933,'Exetel ExDa'!$C$2:$N$14, 5,FALSE), IFERROR(VLOOKUP($A933,'Infinet ExDa'!$B$2:$E$14, 3,FALSE), "Not Found"))))))))</f>
        <v>NBN 100/40</v>
      </c>
      <c r="F933" t="str">
        <f>IFERROR(VLOOKUP($A933,'AAPT ExDa'!$B$2:$U$99, 4,FALSE), IFERROR(VLOOKUP($A933,'ABB ExDa'!$A$2:$N$184, 6,FALSE), IFERROR(VLOOKUP($A933,'Vocus SIT ExDa'!$B$2:$J$173, 3,FALSE), IFERROR(VLOOKUP($A933,'Telstra ExDa'!$B$2:$K$310, 5,FALSE), IFERROR(VLOOKUP($A933,'Vocus RVC ExDa'!$C$2:$R$155, 9,FALSE), IFERROR(VLOOKUP($A933,'Fusion ExDa'!$B$2:$D$16, 0,FALSE), IFERROR(VLOOKUP($A933,'Exetel ExDa'!$C$2:$N$14, 6,FALSE), IFERROR(VLOOKUP($A933,'Infinet ExDa'!$B$2:$E$14, 0,FALSE), "Not Found"))))))))</f>
        <v xml:space="preserve">FTTN </v>
      </c>
      <c r="G933" t="str">
        <f>IFERROR(VLOOKUP($A933,'AAPT ExDa'!$B$2:$U$99, 5,FALSE), IFERROR(VLOOKUP($A933,'ABB ExDa'!$A$2:$N$184, 8,FALSE), IFERROR(VLOOKUP($A933,'Vocus SIT ExDa'!$B$2:$J$173, 6,FALSE), IFERROR(VLOOKUP($A933,'Telstra ExDa'!$B$2:$K$310, 0,FALSE), IFERROR(VLOOKUP($A933,'Vocus RVC ExDa'!$C$2:$R$155, 15,FALSE), IFERROR(VLOOKUP($A933,'Fusion ExDa'!$B$2:$D$16, 0,FALSE), IFERROR(VLOOKUP($A933,'Exetel ExDa'!$C$2:$N$14, 7,FALSE), IFERROR(VLOOKUP($A933,'Infinet ExDa'!$B$2:$E$14, 0,FALSE), "Not Found"))))))))</f>
        <v>144.6.127.34</v>
      </c>
      <c r="H933" t="str">
        <f>IFERROR(VLOOKUP($A933,'AAPT ExDa'!$B$2:$U$99, 6,FALSE), IFERROR(VLOOKUP($A933,'ABB ExDa'!$A$2:$N$184, 0,FALSE), IFERROR(VLOOKUP($A933,'Vocus SIT ExDa'!$B$2:$J$173, 0,FALSE), IFERROR(VLOOKUP($A933,'Telstra ExDa'!$B$2:$K$310, 0,FALSE), IFERROR(VLOOKUP($A933,'Vocus RVC ExDa'!$C$2:$R$155, 16,FALSE), IFERROR(VLOOKUP($A933,'Fusion ExDa'!$B$2:$D$16, 0,FALSE), IFERROR(VLOOKUP($A933,'Exetel ExDa'!$C$2:$N$14, 0,FALSE), IFERROR(VLOOKUP($A933,'Infinet ExDa'!$B$2:$E$14, 0,FALSE), "Not Found"))))))))</f>
        <v>Not Found</v>
      </c>
      <c r="I933" t="str">
        <f>IFERROR(VLOOKUP($A933,'AAPT ExDa'!$B$2:$U$99, 0,FALSE), IFERROR(VLOOKUP($A933,'ABB ExDa'!$A$2:$N$184, 0,FALSE), IFERROR(VLOOKUP($A933,'Vocus SIT ExDa'!$B$2:$J$173, 0,FALSE), IFERROR(VLOOKUP($A933,'Telstra ExDa'!$B$2:$K$310, 0,FALSE), IFERROR(VLOOKUP($A933,'Vocus RVC ExDa'!$C$2:$R$155, 0,FALSE), IFERROR(VLOOKUP($A933,'Fusion ExDa'!$B$2:$D$16, 0,FALSE), IFERROR(VLOOKUP($A933,'Exetel ExDa'!$C$2:$N$14, 8,FALSE), IFERROR(VLOOKUP($A933,'Infinet ExDa'!$B$2:$E$14, 0,FALSE), "Not Found"))))))))</f>
        <v>Not Found</v>
      </c>
      <c r="J933" t="str">
        <f>IFERROR(VLOOKUP($A933,'AAPT ExDa'!$B$2:$U$99, 7,FALSE), IFERROR(VLOOKUP($A933,'ABB ExDa'!$A$2:$N$184, 2,FALSE), IFERROR(VLOOKUP($A933,'Vocus SIT ExDa'!$B$2:$J$173, 0,FALSE), IFERROR(VLOOKUP($A933,'Telstra ExDa'!$B$2:$K$310, 7,FALSE), IFERROR(VLOOKUP($A933,'Vocus RVC ExDa'!$C$2:$R$155, 2,FALSE), IFERROR(VLOOKUP($A933,'Fusion ExDa'!$B$2:$D$16, 3,FALSE), IFERROR(VLOOKUP($A933,'Exetel ExDa'!$C$2:$N$14, 0,FALSE), IFERROR(VLOOKUP($A933,'Infinet ExDa'!$B$2:$E$14, 0,FALSE), "Not Found"))))))))</f>
        <v>73 ELM ST, BARCALDINE QLD</v>
      </c>
      <c r="K933" t="str">
        <f>IFERROR(VLOOKUP($A933,'AAPT ExDa'!$B$2:$U$99, 12,FALSE), IFERROR(VLOOKUP($A933,'ABB ExDa'!$A$2:$N$184, 0,FALSE), IFERROR(VLOOKUP($A933,'Vocus SIT ExDa'!$B$2:$J$173, 0,FALSE), IFERROR(VLOOKUP($A933,'Telstra ExDa'!$B$2:$K$310, 0,FALSE), IFERROR(VLOOKUP($A933,'Vocus RVC ExDa'!$C$2:$R$155, 0,FALSE), IFERROR(VLOOKUP($A933,'Fusion ExDa'!$B$2:$D$16, 0,FALSE), IFERROR(VLOOKUP($A933,'Exetel ExDa'!$C$2:$N$14, 12,FALSE), IFERROR(VLOOKUP($A933,'Infinet ExDa'!$B$2:$E$14, 0,FALSE), "Not Found"))))))))</f>
        <v>Not Found</v>
      </c>
      <c r="L933" s="235" t="str">
        <f>IFERROR(VLOOKUP($A933,'AAPT ExDa'!$B$2:$U$99, 11,FALSE), IFERROR(VLOOKUP($A933,'ABB ExDa'!$A$2:$N$184, 9,FALSE), IFERROR(VLOOKUP($A933,'Vocus SIT ExDa'!$B$2:$J$173, 8,FALSE), IFERROR(VLOOKUP($A933,'Telstra ExDa'!$B$2:$K$310, 0,FALSE), IFERROR(VLOOKUP($A933,'Vocus RVC ExDa'!$C$2:$R$155, 0,FALSE), IFERROR(VLOOKUP($A933,'Fusion ExDa'!$B$2:$D$16, 0,FALSE), IFERROR(VLOOKUP($A933,'Exetel ExDa'!$C$2:$N$14, 9,FALSE), IFERROR(VLOOKUP($A933,'Infinet ExDa'!$B$2:$E$14, 0,FALSE), "Not Found"))))))))</f>
        <v>05 Aug 2024</v>
      </c>
      <c r="M933" s="234" t="str">
        <f>IFERROR(VLOOKUP($A933,'AAPT ExDa'!$B$2:$U$99, 0,FALSE), IFERROR(VLOOKUP($A933,'ABB ExDa'!$A$2:$N$184, 0,FALSE), IFERROR(VLOOKUP($A933,'Vocus SIT ExDa'!$B$2:$J$173, 0,FALSE), IFERROR(VLOOKUP($A933,'Telstra ExDa'!$B$2:$K$310, 0,FALSE), IFERROR(VLOOKUP($A933,'Vocus RVC ExDa'!$C$2:$R$155, 0,FALSE), IFERROR(VLOOKUP($A933,'Fusion ExDa'!$B$2:$D$16, 0,FALSE), IFERROR(VLOOKUP($A933,'Exetel ExDa'!$C$2:$N$14, 11,FALSE), IFERROR(VLOOKUP($A933,'Infinet ExDa'!$B$2:$E$14, 0,FALSE), "Not Found"))))))))</f>
        <v>Not Found</v>
      </c>
      <c r="N933" t="str">
        <f>IFERROR(VLOOKUP($A933,'AAPT ExDa'!$B$2:$U$99, 0,FALSE), IFERROR(VLOOKUP($A933,'ABB ExDa'!$A$2:$N$184, 13,FALSE), IFERROR(VLOOKUP($A933,'Vocus SIT ExDa'!$B$2:$J$173, 0,FALSE), IFERROR(VLOOKUP($A933,'Telstra ExDa'!$B$2:$K$310, 0,FALSE), IFERROR(VLOOKUP($A933,'Vocus RVC ExDa'!$C$2:$R$155, 0,FALSE), IFERROR(VLOOKUP($A933,'Fusion ExDa'!$B$2:$D$16, 0,FALSE), IFERROR(VLOOKUP($A933,'Exetel ExDa'!$C$2:$N$14, 0,FALSE), IFERROR(VLOOKUP($A933,'Infinet ExDa'!$B$2:$E$14, 0,FALSE), "Not Found"))))))))</f>
        <v>Sasboss</v>
      </c>
    </row>
    <row r="934" spans="1:14">
      <c r="A934" t="str">
        <v>Nodo Newstead/1 Ella St, Newstead, 4006</v>
      </c>
      <c r="B934" t="str">
        <f>IFERROR(VLOOKUP(A934,'Exetel ExDa'!$C$2:$N$14,4,FALSE),"No Data")</f>
        <v>No Data</v>
      </c>
      <c r="C934" t="str">
        <f>IFERROR(VLOOKUP(A934,'AAPT ExDa'!$B$2:$U$99, 2,FALSE), IFERROR(VLOOKUP(A934,'ABB ExDa'!$A$2:$N$184, 2,FALSE), IFERROR(VLOOKUP(A934,'Vocus SIT ExDa'!$B$2:$J$173, 7,FALSE), IFERROR(VLOOKUP(A934,'Telstra ExDa'!$B$2:$K$310, 2,FALSE), IFERROR(VLOOKUP(A934,'Vocus RVC ExDa'!$C$2:$R$155, 3,FALSE), IFERROR(VLOOKUP(A934,'Fusion ExDa'!$B$2:$D$16, 2,FALSE), IFERROR(VLOOKUP(A934,'Exetel ExDa'!$C$2:$N$14, 2,FALSE), IFERROR(VLOOKUP(A934,'Infinet ExDa'!$B$2:$E$14, 2,FALSE), "Not Found"))))))))</f>
        <v>Not Found</v>
      </c>
      <c r="D934" t="str">
        <f>IFERROR(VLOOKUP($A934,'AAPT ExDa'!$B$2:$U$99, 15,FALSE), IFERROR(VLOOKUP($A934,'ABB ExDa'!$A$2:$N$184, 4,FALSE), IFERROR(VLOOKUP($A934,'Vocus SIT ExDa'!$B$2:$J$173, 5,FALSE), IFERROR(VLOOKUP($A934,'Telstra ExDa'!$B$2:$K$310, 8,FALSE), IFERROR(VLOOKUP($A934,'Vocus RVC ExDa'!$C$2:$R$155, 6,FALSE), IFERROR(VLOOKUP($A934,'Fusion ExDa'!$B$2:$D$16, 4,FALSE), IFERROR(VLOOKUP($A934,'Exetel ExDa'!$C$2:$N$14, 3,FALSE), IFERROR(VLOOKUP($A934,'Infinet ExDa'!$B$2:$E$14, 3,FALSE), "Not Found"))))))))</f>
        <v>Not Found</v>
      </c>
      <c r="E934" t="str">
        <f>IFERROR(VLOOKUP($A934,'AAPT ExDa'!$B$2:$U$99, 3,FALSE), IFERROR(VLOOKUP($A934,'ABB ExDa'!$A$2:$N$184, 5,FALSE), IFERROR(VLOOKUP($A934,'Vocus SIT ExDa'!$B$2:$J$173, 2,FALSE), IFERROR(VLOOKUP($A934,'Telstra ExDa'!$B$2:$K$310, 4,FALSE), IFERROR(VLOOKUP($A934,'Vocus RVC ExDa'!$C$2:$R$155, 8,FALSE), IFERROR(VLOOKUP($A934,'Fusion ExDa'!$B$2:$D$16, 4,FALSE), IFERROR(VLOOKUP($A934,'Exetel ExDa'!$C$2:$N$14, 5,FALSE), IFERROR(VLOOKUP($A934,'Infinet ExDa'!$B$2:$E$14, 3,FALSE), "Not Found"))))))))</f>
        <v>Not Found</v>
      </c>
      <c r="F934" t="str">
        <f>IFERROR(VLOOKUP($A934,'AAPT ExDa'!$B$2:$U$99, 4,FALSE), IFERROR(VLOOKUP($A934,'ABB ExDa'!$A$2:$N$184, 6,FALSE), IFERROR(VLOOKUP($A934,'Vocus SIT ExDa'!$B$2:$J$173, 3,FALSE), IFERROR(VLOOKUP($A934,'Telstra ExDa'!$B$2:$K$310, 5,FALSE), IFERROR(VLOOKUP($A934,'Vocus RVC ExDa'!$C$2:$R$155, 9,FALSE), IFERROR(VLOOKUP($A934,'Fusion ExDa'!$B$2:$D$16, 0,FALSE), IFERROR(VLOOKUP($A934,'Exetel ExDa'!$C$2:$N$14, 6,FALSE), IFERROR(VLOOKUP($A934,'Infinet ExDa'!$B$2:$E$14, 0,FALSE), "Not Found"))))))))</f>
        <v>Not Found</v>
      </c>
      <c r="G934" t="str">
        <f>IFERROR(VLOOKUP($A934,'AAPT ExDa'!$B$2:$U$99, 5,FALSE), IFERROR(VLOOKUP($A934,'ABB ExDa'!$A$2:$N$184, 8,FALSE), IFERROR(VLOOKUP($A934,'Vocus SIT ExDa'!$B$2:$J$173, 6,FALSE), IFERROR(VLOOKUP($A934,'Telstra ExDa'!$B$2:$K$310, 0,FALSE), IFERROR(VLOOKUP($A934,'Vocus RVC ExDa'!$C$2:$R$155, 15,FALSE), IFERROR(VLOOKUP($A934,'Fusion ExDa'!$B$2:$D$16, 0,FALSE), IFERROR(VLOOKUP($A934,'Exetel ExDa'!$C$2:$N$14, 7,FALSE), IFERROR(VLOOKUP($A934,'Infinet ExDa'!$B$2:$E$14, 0,FALSE), "Not Found"))))))))</f>
        <v>Not Found</v>
      </c>
      <c r="H934" t="str">
        <f>IFERROR(VLOOKUP($A934,'AAPT ExDa'!$B$2:$U$99, 6,FALSE), IFERROR(VLOOKUP($A934,'ABB ExDa'!$A$2:$N$184, 0,FALSE), IFERROR(VLOOKUP($A934,'Vocus SIT ExDa'!$B$2:$J$173, 0,FALSE), IFERROR(VLOOKUP($A934,'Telstra ExDa'!$B$2:$K$310, 0,FALSE), IFERROR(VLOOKUP($A934,'Vocus RVC ExDa'!$C$2:$R$155, 16,FALSE), IFERROR(VLOOKUP($A934,'Fusion ExDa'!$B$2:$D$16, 0,FALSE), IFERROR(VLOOKUP($A934,'Exetel ExDa'!$C$2:$N$14, 0,FALSE), IFERROR(VLOOKUP($A934,'Infinet ExDa'!$B$2:$E$14, 0,FALSE), "Not Found"))))))))</f>
        <v>Not Found</v>
      </c>
      <c r="I934" t="str">
        <f>IFERROR(VLOOKUP($A934,'AAPT ExDa'!$B$2:$U$99, 0,FALSE), IFERROR(VLOOKUP($A934,'ABB ExDa'!$A$2:$N$184, 0,FALSE), IFERROR(VLOOKUP($A934,'Vocus SIT ExDa'!$B$2:$J$173, 0,FALSE), IFERROR(VLOOKUP($A934,'Telstra ExDa'!$B$2:$K$310, 0,FALSE), IFERROR(VLOOKUP($A934,'Vocus RVC ExDa'!$C$2:$R$155, 0,FALSE), IFERROR(VLOOKUP($A934,'Fusion ExDa'!$B$2:$D$16, 0,FALSE), IFERROR(VLOOKUP($A934,'Exetel ExDa'!$C$2:$N$14, 8,FALSE), IFERROR(VLOOKUP($A934,'Infinet ExDa'!$B$2:$E$14, 0,FALSE), "Not Found"))))))))</f>
        <v>Not Found</v>
      </c>
      <c r="J934" t="str">
        <f>IFERROR(VLOOKUP($A934,'AAPT ExDa'!$B$2:$U$99, 7,FALSE), IFERROR(VLOOKUP($A934,'ABB ExDa'!$A$2:$N$184, 2,FALSE), IFERROR(VLOOKUP($A934,'Vocus SIT ExDa'!$B$2:$J$173, 0,FALSE), IFERROR(VLOOKUP($A934,'Telstra ExDa'!$B$2:$K$310, 7,FALSE), IFERROR(VLOOKUP($A934,'Vocus RVC ExDa'!$C$2:$R$155, 2,FALSE), IFERROR(VLOOKUP($A934,'Fusion ExDa'!$B$2:$D$16, 3,FALSE), IFERROR(VLOOKUP($A934,'Exetel ExDa'!$C$2:$N$14, 0,FALSE), IFERROR(VLOOKUP($A934,'Infinet ExDa'!$B$2:$E$14, 0,FALSE), "Not Found"))))))))</f>
        <v>Not Found</v>
      </c>
      <c r="K934" t="str">
        <f>IFERROR(VLOOKUP($A934,'AAPT ExDa'!$B$2:$U$99, 12,FALSE), IFERROR(VLOOKUP($A934,'ABB ExDa'!$A$2:$N$184, 0,FALSE), IFERROR(VLOOKUP($A934,'Vocus SIT ExDa'!$B$2:$J$173, 0,FALSE), IFERROR(VLOOKUP($A934,'Telstra ExDa'!$B$2:$K$310, 0,FALSE), IFERROR(VLOOKUP($A934,'Vocus RVC ExDa'!$C$2:$R$155, 0,FALSE), IFERROR(VLOOKUP($A934,'Fusion ExDa'!$B$2:$D$16, 0,FALSE), IFERROR(VLOOKUP($A934,'Exetel ExDa'!$C$2:$N$14, 12,FALSE), IFERROR(VLOOKUP($A934,'Infinet ExDa'!$B$2:$E$14, 0,FALSE), "Not Found"))))))))</f>
        <v>Not Found</v>
      </c>
      <c r="L934" s="235" t="str">
        <f>IFERROR(VLOOKUP($A934,'AAPT ExDa'!$B$2:$U$99, 11,FALSE), IFERROR(VLOOKUP($A934,'ABB ExDa'!$A$2:$N$184, 9,FALSE), IFERROR(VLOOKUP($A934,'Vocus SIT ExDa'!$B$2:$J$173, 8,FALSE), IFERROR(VLOOKUP($A934,'Telstra ExDa'!$B$2:$K$310, 0,FALSE), IFERROR(VLOOKUP($A934,'Vocus RVC ExDa'!$C$2:$R$155, 0,FALSE), IFERROR(VLOOKUP($A934,'Fusion ExDa'!$B$2:$D$16, 0,FALSE), IFERROR(VLOOKUP($A934,'Exetel ExDa'!$C$2:$N$14, 9,FALSE), IFERROR(VLOOKUP($A934,'Infinet ExDa'!$B$2:$E$14, 0,FALSE), "Not Found"))))))))</f>
        <v>Not Found</v>
      </c>
      <c r="M934" s="234" t="str">
        <f>IFERROR(VLOOKUP($A934,'AAPT ExDa'!$B$2:$U$99, 0,FALSE), IFERROR(VLOOKUP($A934,'ABB ExDa'!$A$2:$N$184, 0,FALSE), IFERROR(VLOOKUP($A934,'Vocus SIT ExDa'!$B$2:$J$173, 0,FALSE), IFERROR(VLOOKUP($A934,'Telstra ExDa'!$B$2:$K$310, 0,FALSE), IFERROR(VLOOKUP($A934,'Vocus RVC ExDa'!$C$2:$R$155, 0,FALSE), IFERROR(VLOOKUP($A934,'Fusion ExDa'!$B$2:$D$16, 0,FALSE), IFERROR(VLOOKUP($A934,'Exetel ExDa'!$C$2:$N$14, 11,FALSE), IFERROR(VLOOKUP($A934,'Infinet ExDa'!$B$2:$E$14, 0,FALSE), "Not Found"))))))))</f>
        <v>Not Found</v>
      </c>
      <c r="N934" t="str">
        <f>IFERROR(VLOOKUP($A934,'AAPT ExDa'!$B$2:$U$99, 0,FALSE), IFERROR(VLOOKUP($A934,'ABB ExDa'!$A$2:$N$184, 13,FALSE), IFERROR(VLOOKUP($A934,'Vocus SIT ExDa'!$B$2:$J$173, 0,FALSE), IFERROR(VLOOKUP($A934,'Telstra ExDa'!$B$2:$K$310, 0,FALSE), IFERROR(VLOOKUP($A934,'Vocus RVC ExDa'!$C$2:$R$155, 0,FALSE), IFERROR(VLOOKUP($A934,'Fusion ExDa'!$B$2:$D$16, 0,FALSE), IFERROR(VLOOKUP($A934,'Exetel ExDa'!$C$2:$N$14, 0,FALSE), IFERROR(VLOOKUP($A934,'Infinet ExDa'!$B$2:$E$14, 0,FALSE), "Not Found"))))))))</f>
        <v>Not Found</v>
      </c>
    </row>
    <row r="935" spans="1:14">
      <c r="A935">
        <v>0</v>
      </c>
      <c r="B935" t="str">
        <f>IFERROR(VLOOKUP(A935,'Exetel ExDa'!$C$2:$N$14,4,FALSE),"No Data")</f>
        <v>No Data</v>
      </c>
      <c r="C935" t="str">
        <f>IFERROR(VLOOKUP(A935,'AAPT ExDa'!$B$2:$U$99, 2,FALSE), IFERROR(VLOOKUP(A935,'ABB ExDa'!$A$2:$N$184, 2,FALSE), IFERROR(VLOOKUP(A935,'Vocus SIT ExDa'!$B$2:$J$173, 7,FALSE), IFERROR(VLOOKUP(A935,'Telstra ExDa'!$B$2:$K$310, 2,FALSE), IFERROR(VLOOKUP(A935,'Vocus RVC ExDa'!$C$2:$R$155, 3,FALSE), IFERROR(VLOOKUP(A935,'Fusion ExDa'!$B$2:$D$16, 2,FALSE), IFERROR(VLOOKUP(A935,'Exetel ExDa'!$C$2:$N$14, 2,FALSE), IFERROR(VLOOKUP(A935,'Infinet ExDa'!$B$2:$E$14, 2,FALSE), "Not Found"))))))))</f>
        <v>Not Found</v>
      </c>
      <c r="D935" t="str">
        <f>IFERROR(VLOOKUP($A935,'AAPT ExDa'!$B$2:$U$99, 15,FALSE), IFERROR(VLOOKUP($A935,'ABB ExDa'!$A$2:$N$184, 4,FALSE), IFERROR(VLOOKUP($A935,'Vocus SIT ExDa'!$B$2:$J$173, 5,FALSE), IFERROR(VLOOKUP($A935,'Telstra ExDa'!$B$2:$K$310, 8,FALSE), IFERROR(VLOOKUP($A935,'Vocus RVC ExDa'!$C$2:$R$155, 6,FALSE), IFERROR(VLOOKUP($A935,'Fusion ExDa'!$B$2:$D$16, 4,FALSE), IFERROR(VLOOKUP($A935,'Exetel ExDa'!$C$2:$N$14, 3,FALSE), IFERROR(VLOOKUP($A935,'Infinet ExDa'!$B$2:$E$14, 3,FALSE), "Not Found"))))))))</f>
        <v>Not Found</v>
      </c>
      <c r="E935" t="str">
        <f>IFERROR(VLOOKUP($A935,'AAPT ExDa'!$B$2:$U$99, 3,FALSE), IFERROR(VLOOKUP($A935,'ABB ExDa'!$A$2:$N$184, 5,FALSE), IFERROR(VLOOKUP($A935,'Vocus SIT ExDa'!$B$2:$J$173, 2,FALSE), IFERROR(VLOOKUP($A935,'Telstra ExDa'!$B$2:$K$310, 4,FALSE), IFERROR(VLOOKUP($A935,'Vocus RVC ExDa'!$C$2:$R$155, 8,FALSE), IFERROR(VLOOKUP($A935,'Fusion ExDa'!$B$2:$D$16, 4,FALSE), IFERROR(VLOOKUP($A935,'Exetel ExDa'!$C$2:$N$14, 5,FALSE), IFERROR(VLOOKUP($A935,'Infinet ExDa'!$B$2:$E$14, 3,FALSE), "Not Found"))))))))</f>
        <v>Not Found</v>
      </c>
      <c r="F935" t="str">
        <f>IFERROR(VLOOKUP($A935,'AAPT ExDa'!$B$2:$U$99, 4,FALSE), IFERROR(VLOOKUP($A935,'ABB ExDa'!$A$2:$N$184, 6,FALSE), IFERROR(VLOOKUP($A935,'Vocus SIT ExDa'!$B$2:$J$173, 3,FALSE), IFERROR(VLOOKUP($A935,'Telstra ExDa'!$B$2:$K$310, 5,FALSE), IFERROR(VLOOKUP($A935,'Vocus RVC ExDa'!$C$2:$R$155, 9,FALSE), IFERROR(VLOOKUP($A935,'Fusion ExDa'!$B$2:$D$16, 0,FALSE), IFERROR(VLOOKUP($A935,'Exetel ExDa'!$C$2:$N$14, 6,FALSE), IFERROR(VLOOKUP($A935,'Infinet ExDa'!$B$2:$E$14, 0,FALSE), "Not Found"))))))))</f>
        <v>Not Found</v>
      </c>
      <c r="G935" t="str">
        <f>IFERROR(VLOOKUP($A935,'AAPT ExDa'!$B$2:$U$99, 5,FALSE), IFERROR(VLOOKUP($A935,'ABB ExDa'!$A$2:$N$184, 8,FALSE), IFERROR(VLOOKUP($A935,'Vocus SIT ExDa'!$B$2:$J$173, 6,FALSE), IFERROR(VLOOKUP($A935,'Telstra ExDa'!$B$2:$K$310, 0,FALSE), IFERROR(VLOOKUP($A935,'Vocus RVC ExDa'!$C$2:$R$155, 15,FALSE), IFERROR(VLOOKUP($A935,'Fusion ExDa'!$B$2:$D$16, 0,FALSE), IFERROR(VLOOKUP($A935,'Exetel ExDa'!$C$2:$N$14, 7,FALSE), IFERROR(VLOOKUP($A935,'Infinet ExDa'!$B$2:$E$14, 0,FALSE), "Not Found"))))))))</f>
        <v>Not Found</v>
      </c>
      <c r="H935" t="str">
        <f>IFERROR(VLOOKUP($A935,'AAPT ExDa'!$B$2:$U$99, 6,FALSE), IFERROR(VLOOKUP($A935,'ABB ExDa'!$A$2:$N$184, 0,FALSE), IFERROR(VLOOKUP($A935,'Vocus SIT ExDa'!$B$2:$J$173, 0,FALSE), IFERROR(VLOOKUP($A935,'Telstra ExDa'!$B$2:$K$310, 0,FALSE), IFERROR(VLOOKUP($A935,'Vocus RVC ExDa'!$C$2:$R$155, 16,FALSE), IFERROR(VLOOKUP($A935,'Fusion ExDa'!$B$2:$D$16, 0,FALSE), IFERROR(VLOOKUP($A935,'Exetel ExDa'!$C$2:$N$14, 0,FALSE), IFERROR(VLOOKUP($A935,'Infinet ExDa'!$B$2:$E$14, 0,FALSE), "Not Found"))))))))</f>
        <v>Not Found</v>
      </c>
      <c r="I935" t="str">
        <f>IFERROR(VLOOKUP($A935,'AAPT ExDa'!$B$2:$U$99, 0,FALSE), IFERROR(VLOOKUP($A935,'ABB ExDa'!$A$2:$N$184, 0,FALSE), IFERROR(VLOOKUP($A935,'Vocus SIT ExDa'!$B$2:$J$173, 0,FALSE), IFERROR(VLOOKUP($A935,'Telstra ExDa'!$B$2:$K$310, 0,FALSE), IFERROR(VLOOKUP($A935,'Vocus RVC ExDa'!$C$2:$R$155, 0,FALSE), IFERROR(VLOOKUP($A935,'Fusion ExDa'!$B$2:$D$16, 0,FALSE), IFERROR(VLOOKUP($A935,'Exetel ExDa'!$C$2:$N$14, 8,FALSE), IFERROR(VLOOKUP($A935,'Infinet ExDa'!$B$2:$E$14, 0,FALSE), "Not Found"))))))))</f>
        <v>Not Found</v>
      </c>
      <c r="J935" t="str">
        <f>IFERROR(VLOOKUP($A935,'AAPT ExDa'!$B$2:$U$99, 7,FALSE), IFERROR(VLOOKUP($A935,'ABB ExDa'!$A$2:$N$184, 2,FALSE), IFERROR(VLOOKUP($A935,'Vocus SIT ExDa'!$B$2:$J$173, 0,FALSE), IFERROR(VLOOKUP($A935,'Telstra ExDa'!$B$2:$K$310, 7,FALSE), IFERROR(VLOOKUP($A935,'Vocus RVC ExDa'!$C$2:$R$155, 2,FALSE), IFERROR(VLOOKUP($A935,'Fusion ExDa'!$B$2:$D$16, 3,FALSE), IFERROR(VLOOKUP($A935,'Exetel ExDa'!$C$2:$N$14, 0,FALSE), IFERROR(VLOOKUP($A935,'Infinet ExDa'!$B$2:$E$14, 0,FALSE), "Not Found"))))))))</f>
        <v>Not Found</v>
      </c>
      <c r="K935" t="str">
        <f>IFERROR(VLOOKUP($A935,'AAPT ExDa'!$B$2:$U$99, 12,FALSE), IFERROR(VLOOKUP($A935,'ABB ExDa'!$A$2:$N$184, 0,FALSE), IFERROR(VLOOKUP($A935,'Vocus SIT ExDa'!$B$2:$J$173, 0,FALSE), IFERROR(VLOOKUP($A935,'Telstra ExDa'!$B$2:$K$310, 0,FALSE), IFERROR(VLOOKUP($A935,'Vocus RVC ExDa'!$C$2:$R$155, 0,FALSE), IFERROR(VLOOKUP($A935,'Fusion ExDa'!$B$2:$D$16, 0,FALSE), IFERROR(VLOOKUP($A935,'Exetel ExDa'!$C$2:$N$14, 12,FALSE), IFERROR(VLOOKUP($A935,'Infinet ExDa'!$B$2:$E$14, 0,FALSE), "Not Found"))))))))</f>
        <v>Not Found</v>
      </c>
      <c r="L935" s="235" t="str">
        <f>IFERROR(VLOOKUP($A935,'AAPT ExDa'!$B$2:$U$99, 11,FALSE), IFERROR(VLOOKUP($A935,'ABB ExDa'!$A$2:$N$184, 9,FALSE), IFERROR(VLOOKUP($A935,'Vocus SIT ExDa'!$B$2:$J$173, 8,FALSE), IFERROR(VLOOKUP($A935,'Telstra ExDa'!$B$2:$K$310, 0,FALSE), IFERROR(VLOOKUP($A935,'Vocus RVC ExDa'!$C$2:$R$155, 0,FALSE), IFERROR(VLOOKUP($A935,'Fusion ExDa'!$B$2:$D$16, 0,FALSE), IFERROR(VLOOKUP($A935,'Exetel ExDa'!$C$2:$N$14, 9,FALSE), IFERROR(VLOOKUP($A935,'Infinet ExDa'!$B$2:$E$14, 0,FALSE), "Not Found"))))))))</f>
        <v>Not Found</v>
      </c>
      <c r="M935" s="234" t="str">
        <f>IFERROR(VLOOKUP($A935,'AAPT ExDa'!$B$2:$U$99, 0,FALSE), IFERROR(VLOOKUP($A935,'ABB ExDa'!$A$2:$N$184, 0,FALSE), IFERROR(VLOOKUP($A935,'Vocus SIT ExDa'!$B$2:$J$173, 0,FALSE), IFERROR(VLOOKUP($A935,'Telstra ExDa'!$B$2:$K$310, 0,FALSE), IFERROR(VLOOKUP($A935,'Vocus RVC ExDa'!$C$2:$R$155, 0,FALSE), IFERROR(VLOOKUP($A935,'Fusion ExDa'!$B$2:$D$16, 0,FALSE), IFERROR(VLOOKUP($A935,'Exetel ExDa'!$C$2:$N$14, 11,FALSE), IFERROR(VLOOKUP($A935,'Infinet ExDa'!$B$2:$E$14, 0,FALSE), "Not Found"))))))))</f>
        <v>Not Found</v>
      </c>
      <c r="N935" t="str">
        <f>IFERROR(VLOOKUP($A935,'AAPT ExDa'!$B$2:$U$99, 0,FALSE), IFERROR(VLOOKUP($A935,'ABB ExDa'!$A$2:$N$184, 13,FALSE), IFERROR(VLOOKUP($A935,'Vocus SIT ExDa'!$B$2:$J$173, 0,FALSE), IFERROR(VLOOKUP($A935,'Telstra ExDa'!$B$2:$K$310, 0,FALSE), IFERROR(VLOOKUP($A935,'Vocus RVC ExDa'!$C$2:$R$155, 0,FALSE), IFERROR(VLOOKUP($A935,'Fusion ExDa'!$B$2:$D$16, 0,FALSE), IFERROR(VLOOKUP($A935,'Exetel ExDa'!$C$2:$N$14, 0,FALSE), IFERROR(VLOOKUP($A935,'Infinet ExDa'!$B$2:$E$14, 0,FALSE), "Not Found"))))))))</f>
        <v>Not Found</v>
      </c>
    </row>
    <row r="936" spans="1:14">
      <c r="A936" t="str">
        <v>Zambrero Shop 4E/171 Morayfield Road,
Morayfield, 4506</v>
      </c>
      <c r="B936" t="str">
        <f>IFERROR(VLOOKUP(A936,'Exetel ExDa'!$C$2:$N$14,4,FALSE),"No Data")</f>
        <v>No Data</v>
      </c>
      <c r="C936" t="str">
        <f>IFERROR(VLOOKUP(A936,'AAPT ExDa'!$B$2:$U$99, 2,FALSE), IFERROR(VLOOKUP(A936,'ABB ExDa'!$A$2:$N$184, 2,FALSE), IFERROR(VLOOKUP(A936,'Vocus SIT ExDa'!$B$2:$J$173, 7,FALSE), IFERROR(VLOOKUP(A936,'Telstra ExDa'!$B$2:$K$310, 2,FALSE), IFERROR(VLOOKUP(A936,'Vocus RVC ExDa'!$C$2:$R$155, 3,FALSE), IFERROR(VLOOKUP(A936,'Fusion ExDa'!$B$2:$D$16, 2,FALSE), IFERROR(VLOOKUP(A936,'Exetel ExDa'!$C$2:$N$14, 2,FALSE), IFERROR(VLOOKUP(A936,'Infinet ExDa'!$B$2:$E$14, 2,FALSE), "Not Found"))))))))</f>
        <v>Not Found</v>
      </c>
      <c r="D936" t="str">
        <f>IFERROR(VLOOKUP($A936,'AAPT ExDa'!$B$2:$U$99, 15,FALSE), IFERROR(VLOOKUP($A936,'ABB ExDa'!$A$2:$N$184, 4,FALSE), IFERROR(VLOOKUP($A936,'Vocus SIT ExDa'!$B$2:$J$173, 5,FALSE), IFERROR(VLOOKUP($A936,'Telstra ExDa'!$B$2:$K$310, 8,FALSE), IFERROR(VLOOKUP($A936,'Vocus RVC ExDa'!$C$2:$R$155, 6,FALSE), IFERROR(VLOOKUP($A936,'Fusion ExDa'!$B$2:$D$16, 4,FALSE), IFERROR(VLOOKUP($A936,'Exetel ExDa'!$C$2:$N$14, 3,FALSE), IFERROR(VLOOKUP($A936,'Infinet ExDa'!$B$2:$E$14, 3,FALSE), "Not Found"))))))))</f>
        <v>Not Found</v>
      </c>
      <c r="E936" t="str">
        <f>IFERROR(VLOOKUP($A936,'AAPT ExDa'!$B$2:$U$99, 3,FALSE), IFERROR(VLOOKUP($A936,'ABB ExDa'!$A$2:$N$184, 5,FALSE), IFERROR(VLOOKUP($A936,'Vocus SIT ExDa'!$B$2:$J$173, 2,FALSE), IFERROR(VLOOKUP($A936,'Telstra ExDa'!$B$2:$K$310, 4,FALSE), IFERROR(VLOOKUP($A936,'Vocus RVC ExDa'!$C$2:$R$155, 8,FALSE), IFERROR(VLOOKUP($A936,'Fusion ExDa'!$B$2:$D$16, 4,FALSE), IFERROR(VLOOKUP($A936,'Exetel ExDa'!$C$2:$N$14, 5,FALSE), IFERROR(VLOOKUP($A936,'Infinet ExDa'!$B$2:$E$14, 3,FALSE), "Not Found"))))))))</f>
        <v>Not Found</v>
      </c>
      <c r="F936" t="str">
        <f>IFERROR(VLOOKUP($A936,'AAPT ExDa'!$B$2:$U$99, 4,FALSE), IFERROR(VLOOKUP($A936,'ABB ExDa'!$A$2:$N$184, 6,FALSE), IFERROR(VLOOKUP($A936,'Vocus SIT ExDa'!$B$2:$J$173, 3,FALSE), IFERROR(VLOOKUP($A936,'Telstra ExDa'!$B$2:$K$310, 5,FALSE), IFERROR(VLOOKUP($A936,'Vocus RVC ExDa'!$C$2:$R$155, 9,FALSE), IFERROR(VLOOKUP($A936,'Fusion ExDa'!$B$2:$D$16, 0,FALSE), IFERROR(VLOOKUP($A936,'Exetel ExDa'!$C$2:$N$14, 6,FALSE), IFERROR(VLOOKUP($A936,'Infinet ExDa'!$B$2:$E$14, 0,FALSE), "Not Found"))))))))</f>
        <v>Not Found</v>
      </c>
      <c r="G936" t="str">
        <f>IFERROR(VLOOKUP($A936,'AAPT ExDa'!$B$2:$U$99, 5,FALSE), IFERROR(VLOOKUP($A936,'ABB ExDa'!$A$2:$N$184, 8,FALSE), IFERROR(VLOOKUP($A936,'Vocus SIT ExDa'!$B$2:$J$173, 6,FALSE), IFERROR(VLOOKUP($A936,'Telstra ExDa'!$B$2:$K$310, 0,FALSE), IFERROR(VLOOKUP($A936,'Vocus RVC ExDa'!$C$2:$R$155, 15,FALSE), IFERROR(VLOOKUP($A936,'Fusion ExDa'!$B$2:$D$16, 0,FALSE), IFERROR(VLOOKUP($A936,'Exetel ExDa'!$C$2:$N$14, 7,FALSE), IFERROR(VLOOKUP($A936,'Infinet ExDa'!$B$2:$E$14, 0,FALSE), "Not Found"))))))))</f>
        <v>Not Found</v>
      </c>
      <c r="H936" t="str">
        <f>IFERROR(VLOOKUP($A936,'AAPT ExDa'!$B$2:$U$99, 6,FALSE), IFERROR(VLOOKUP($A936,'ABB ExDa'!$A$2:$N$184, 0,FALSE), IFERROR(VLOOKUP($A936,'Vocus SIT ExDa'!$B$2:$J$173, 0,FALSE), IFERROR(VLOOKUP($A936,'Telstra ExDa'!$B$2:$K$310, 0,FALSE), IFERROR(VLOOKUP($A936,'Vocus RVC ExDa'!$C$2:$R$155, 16,FALSE), IFERROR(VLOOKUP($A936,'Fusion ExDa'!$B$2:$D$16, 0,FALSE), IFERROR(VLOOKUP($A936,'Exetel ExDa'!$C$2:$N$14, 0,FALSE), IFERROR(VLOOKUP($A936,'Infinet ExDa'!$B$2:$E$14, 0,FALSE), "Not Found"))))))))</f>
        <v>Not Found</v>
      </c>
      <c r="I936" t="str">
        <f>IFERROR(VLOOKUP($A936,'AAPT ExDa'!$B$2:$U$99, 0,FALSE), IFERROR(VLOOKUP($A936,'ABB ExDa'!$A$2:$N$184, 0,FALSE), IFERROR(VLOOKUP($A936,'Vocus SIT ExDa'!$B$2:$J$173, 0,FALSE), IFERROR(VLOOKUP($A936,'Telstra ExDa'!$B$2:$K$310, 0,FALSE), IFERROR(VLOOKUP($A936,'Vocus RVC ExDa'!$C$2:$R$155, 0,FALSE), IFERROR(VLOOKUP($A936,'Fusion ExDa'!$B$2:$D$16, 0,FALSE), IFERROR(VLOOKUP($A936,'Exetel ExDa'!$C$2:$N$14, 8,FALSE), IFERROR(VLOOKUP($A936,'Infinet ExDa'!$B$2:$E$14, 0,FALSE), "Not Found"))))))))</f>
        <v>Not Found</v>
      </c>
      <c r="J936" t="str">
        <f>IFERROR(VLOOKUP($A936,'AAPT ExDa'!$B$2:$U$99, 7,FALSE), IFERROR(VLOOKUP($A936,'ABB ExDa'!$A$2:$N$184, 2,FALSE), IFERROR(VLOOKUP($A936,'Vocus SIT ExDa'!$B$2:$J$173, 0,FALSE), IFERROR(VLOOKUP($A936,'Telstra ExDa'!$B$2:$K$310, 7,FALSE), IFERROR(VLOOKUP($A936,'Vocus RVC ExDa'!$C$2:$R$155, 2,FALSE), IFERROR(VLOOKUP($A936,'Fusion ExDa'!$B$2:$D$16, 3,FALSE), IFERROR(VLOOKUP($A936,'Exetel ExDa'!$C$2:$N$14, 0,FALSE), IFERROR(VLOOKUP($A936,'Infinet ExDa'!$B$2:$E$14, 0,FALSE), "Not Found"))))))))</f>
        <v>Not Found</v>
      </c>
      <c r="K936" t="str">
        <f>IFERROR(VLOOKUP($A936,'AAPT ExDa'!$B$2:$U$99, 12,FALSE), IFERROR(VLOOKUP($A936,'ABB ExDa'!$A$2:$N$184, 0,FALSE), IFERROR(VLOOKUP($A936,'Vocus SIT ExDa'!$B$2:$J$173, 0,FALSE), IFERROR(VLOOKUP($A936,'Telstra ExDa'!$B$2:$K$310, 0,FALSE), IFERROR(VLOOKUP($A936,'Vocus RVC ExDa'!$C$2:$R$155, 0,FALSE), IFERROR(VLOOKUP($A936,'Fusion ExDa'!$B$2:$D$16, 0,FALSE), IFERROR(VLOOKUP($A936,'Exetel ExDa'!$C$2:$N$14, 12,FALSE), IFERROR(VLOOKUP($A936,'Infinet ExDa'!$B$2:$E$14, 0,FALSE), "Not Found"))))))))</f>
        <v>Not Found</v>
      </c>
      <c r="L936" s="235" t="str">
        <f>IFERROR(VLOOKUP($A936,'AAPT ExDa'!$B$2:$U$99, 11,FALSE), IFERROR(VLOOKUP($A936,'ABB ExDa'!$A$2:$N$184, 9,FALSE), IFERROR(VLOOKUP($A936,'Vocus SIT ExDa'!$B$2:$J$173, 8,FALSE), IFERROR(VLOOKUP($A936,'Telstra ExDa'!$B$2:$K$310, 0,FALSE), IFERROR(VLOOKUP($A936,'Vocus RVC ExDa'!$C$2:$R$155, 0,FALSE), IFERROR(VLOOKUP($A936,'Fusion ExDa'!$B$2:$D$16, 0,FALSE), IFERROR(VLOOKUP($A936,'Exetel ExDa'!$C$2:$N$14, 9,FALSE), IFERROR(VLOOKUP($A936,'Infinet ExDa'!$B$2:$E$14, 0,FALSE), "Not Found"))))))))</f>
        <v>Not Found</v>
      </c>
      <c r="M936" s="234" t="str">
        <f>IFERROR(VLOOKUP($A936,'AAPT ExDa'!$B$2:$U$99, 0,FALSE), IFERROR(VLOOKUP($A936,'ABB ExDa'!$A$2:$N$184, 0,FALSE), IFERROR(VLOOKUP($A936,'Vocus SIT ExDa'!$B$2:$J$173, 0,FALSE), IFERROR(VLOOKUP($A936,'Telstra ExDa'!$B$2:$K$310, 0,FALSE), IFERROR(VLOOKUP($A936,'Vocus RVC ExDa'!$C$2:$R$155, 0,FALSE), IFERROR(VLOOKUP($A936,'Fusion ExDa'!$B$2:$D$16, 0,FALSE), IFERROR(VLOOKUP($A936,'Exetel ExDa'!$C$2:$N$14, 11,FALSE), IFERROR(VLOOKUP($A936,'Infinet ExDa'!$B$2:$E$14, 0,FALSE), "Not Found"))))))))</f>
        <v>Not Found</v>
      </c>
      <c r="N936" t="str">
        <f>IFERROR(VLOOKUP($A936,'AAPT ExDa'!$B$2:$U$99, 0,FALSE), IFERROR(VLOOKUP($A936,'ABB ExDa'!$A$2:$N$184, 13,FALSE), IFERROR(VLOOKUP($A936,'Vocus SIT ExDa'!$B$2:$J$173, 0,FALSE), IFERROR(VLOOKUP($A936,'Telstra ExDa'!$B$2:$K$310, 0,FALSE), IFERROR(VLOOKUP($A936,'Vocus RVC ExDa'!$C$2:$R$155, 0,FALSE), IFERROR(VLOOKUP($A936,'Fusion ExDa'!$B$2:$D$16, 0,FALSE), IFERROR(VLOOKUP($A936,'Exetel ExDa'!$C$2:$N$14, 0,FALSE), IFERROR(VLOOKUP($A936,'Infinet ExDa'!$B$2:$E$14, 0,FALSE), "Not Found"))))))))</f>
        <v>Not Found</v>
      </c>
    </row>
    <row r="937" spans="1:14">
      <c r="A937">
        <v>0</v>
      </c>
      <c r="B937" t="str">
        <f>IFERROR(VLOOKUP(A937,'Exetel ExDa'!$C$2:$N$14,4,FALSE),"No Data")</f>
        <v>No Data</v>
      </c>
      <c r="C937" t="str">
        <f>IFERROR(VLOOKUP(A937,'AAPT ExDa'!$B$2:$U$99, 2,FALSE), IFERROR(VLOOKUP(A937,'ABB ExDa'!$A$2:$N$184, 2,FALSE), IFERROR(VLOOKUP(A937,'Vocus SIT ExDa'!$B$2:$J$173, 7,FALSE), IFERROR(VLOOKUP(A937,'Telstra ExDa'!$B$2:$K$310, 2,FALSE), IFERROR(VLOOKUP(A937,'Vocus RVC ExDa'!$C$2:$R$155, 3,FALSE), IFERROR(VLOOKUP(A937,'Fusion ExDa'!$B$2:$D$16, 2,FALSE), IFERROR(VLOOKUP(A937,'Exetel ExDa'!$C$2:$N$14, 2,FALSE), IFERROR(VLOOKUP(A937,'Infinet ExDa'!$B$2:$E$14, 2,FALSE), "Not Found"))))))))</f>
        <v>Not Found</v>
      </c>
      <c r="D937" t="str">
        <f>IFERROR(VLOOKUP($A937,'AAPT ExDa'!$B$2:$U$99, 15,FALSE), IFERROR(VLOOKUP($A937,'ABB ExDa'!$A$2:$N$184, 4,FALSE), IFERROR(VLOOKUP($A937,'Vocus SIT ExDa'!$B$2:$J$173, 5,FALSE), IFERROR(VLOOKUP($A937,'Telstra ExDa'!$B$2:$K$310, 8,FALSE), IFERROR(VLOOKUP($A937,'Vocus RVC ExDa'!$C$2:$R$155, 6,FALSE), IFERROR(VLOOKUP($A937,'Fusion ExDa'!$B$2:$D$16, 4,FALSE), IFERROR(VLOOKUP($A937,'Exetel ExDa'!$C$2:$N$14, 3,FALSE), IFERROR(VLOOKUP($A937,'Infinet ExDa'!$B$2:$E$14, 3,FALSE), "Not Found"))))))))</f>
        <v>Not Found</v>
      </c>
      <c r="E937" t="str">
        <f>IFERROR(VLOOKUP($A937,'AAPT ExDa'!$B$2:$U$99, 3,FALSE), IFERROR(VLOOKUP($A937,'ABB ExDa'!$A$2:$N$184, 5,FALSE), IFERROR(VLOOKUP($A937,'Vocus SIT ExDa'!$B$2:$J$173, 2,FALSE), IFERROR(VLOOKUP($A937,'Telstra ExDa'!$B$2:$K$310, 4,FALSE), IFERROR(VLOOKUP($A937,'Vocus RVC ExDa'!$C$2:$R$155, 8,FALSE), IFERROR(VLOOKUP($A937,'Fusion ExDa'!$B$2:$D$16, 4,FALSE), IFERROR(VLOOKUP($A937,'Exetel ExDa'!$C$2:$N$14, 5,FALSE), IFERROR(VLOOKUP($A937,'Infinet ExDa'!$B$2:$E$14, 3,FALSE), "Not Found"))))))))</f>
        <v>Not Found</v>
      </c>
      <c r="F937" t="str">
        <f>IFERROR(VLOOKUP($A937,'AAPT ExDa'!$B$2:$U$99, 4,FALSE), IFERROR(VLOOKUP($A937,'ABB ExDa'!$A$2:$N$184, 6,FALSE), IFERROR(VLOOKUP($A937,'Vocus SIT ExDa'!$B$2:$J$173, 3,FALSE), IFERROR(VLOOKUP($A937,'Telstra ExDa'!$B$2:$K$310, 5,FALSE), IFERROR(VLOOKUP($A937,'Vocus RVC ExDa'!$C$2:$R$155, 9,FALSE), IFERROR(VLOOKUP($A937,'Fusion ExDa'!$B$2:$D$16, 0,FALSE), IFERROR(VLOOKUP($A937,'Exetel ExDa'!$C$2:$N$14, 6,FALSE), IFERROR(VLOOKUP($A937,'Infinet ExDa'!$B$2:$E$14, 0,FALSE), "Not Found"))))))))</f>
        <v>Not Found</v>
      </c>
      <c r="G937" t="str">
        <f>IFERROR(VLOOKUP($A937,'AAPT ExDa'!$B$2:$U$99, 5,FALSE), IFERROR(VLOOKUP($A937,'ABB ExDa'!$A$2:$N$184, 8,FALSE), IFERROR(VLOOKUP($A937,'Vocus SIT ExDa'!$B$2:$J$173, 6,FALSE), IFERROR(VLOOKUP($A937,'Telstra ExDa'!$B$2:$K$310, 0,FALSE), IFERROR(VLOOKUP($A937,'Vocus RVC ExDa'!$C$2:$R$155, 15,FALSE), IFERROR(VLOOKUP($A937,'Fusion ExDa'!$B$2:$D$16, 0,FALSE), IFERROR(VLOOKUP($A937,'Exetel ExDa'!$C$2:$N$14, 7,FALSE), IFERROR(VLOOKUP($A937,'Infinet ExDa'!$B$2:$E$14, 0,FALSE), "Not Found"))))))))</f>
        <v>Not Found</v>
      </c>
      <c r="H937" t="str">
        <f>IFERROR(VLOOKUP($A937,'AAPT ExDa'!$B$2:$U$99, 6,FALSE), IFERROR(VLOOKUP($A937,'ABB ExDa'!$A$2:$N$184, 0,FALSE), IFERROR(VLOOKUP($A937,'Vocus SIT ExDa'!$B$2:$J$173, 0,FALSE), IFERROR(VLOOKUP($A937,'Telstra ExDa'!$B$2:$K$310, 0,FALSE), IFERROR(VLOOKUP($A937,'Vocus RVC ExDa'!$C$2:$R$155, 16,FALSE), IFERROR(VLOOKUP($A937,'Fusion ExDa'!$B$2:$D$16, 0,FALSE), IFERROR(VLOOKUP($A937,'Exetel ExDa'!$C$2:$N$14, 0,FALSE), IFERROR(VLOOKUP($A937,'Infinet ExDa'!$B$2:$E$14, 0,FALSE), "Not Found"))))))))</f>
        <v>Not Found</v>
      </c>
      <c r="I937" t="str">
        <f>IFERROR(VLOOKUP($A937,'AAPT ExDa'!$B$2:$U$99, 0,FALSE), IFERROR(VLOOKUP($A937,'ABB ExDa'!$A$2:$N$184, 0,FALSE), IFERROR(VLOOKUP($A937,'Vocus SIT ExDa'!$B$2:$J$173, 0,FALSE), IFERROR(VLOOKUP($A937,'Telstra ExDa'!$B$2:$K$310, 0,FALSE), IFERROR(VLOOKUP($A937,'Vocus RVC ExDa'!$C$2:$R$155, 0,FALSE), IFERROR(VLOOKUP($A937,'Fusion ExDa'!$B$2:$D$16, 0,FALSE), IFERROR(VLOOKUP($A937,'Exetel ExDa'!$C$2:$N$14, 8,FALSE), IFERROR(VLOOKUP($A937,'Infinet ExDa'!$B$2:$E$14, 0,FALSE), "Not Found"))))))))</f>
        <v>Not Found</v>
      </c>
      <c r="J937" t="str">
        <f>IFERROR(VLOOKUP($A937,'AAPT ExDa'!$B$2:$U$99, 7,FALSE), IFERROR(VLOOKUP($A937,'ABB ExDa'!$A$2:$N$184, 2,FALSE), IFERROR(VLOOKUP($A937,'Vocus SIT ExDa'!$B$2:$J$173, 0,FALSE), IFERROR(VLOOKUP($A937,'Telstra ExDa'!$B$2:$K$310, 7,FALSE), IFERROR(VLOOKUP($A937,'Vocus RVC ExDa'!$C$2:$R$155, 2,FALSE), IFERROR(VLOOKUP($A937,'Fusion ExDa'!$B$2:$D$16, 3,FALSE), IFERROR(VLOOKUP($A937,'Exetel ExDa'!$C$2:$N$14, 0,FALSE), IFERROR(VLOOKUP($A937,'Infinet ExDa'!$B$2:$E$14, 0,FALSE), "Not Found"))))))))</f>
        <v>Not Found</v>
      </c>
      <c r="K937" t="str">
        <f>IFERROR(VLOOKUP($A937,'AAPT ExDa'!$B$2:$U$99, 12,FALSE), IFERROR(VLOOKUP($A937,'ABB ExDa'!$A$2:$N$184, 0,FALSE), IFERROR(VLOOKUP($A937,'Vocus SIT ExDa'!$B$2:$J$173, 0,FALSE), IFERROR(VLOOKUP($A937,'Telstra ExDa'!$B$2:$K$310, 0,FALSE), IFERROR(VLOOKUP($A937,'Vocus RVC ExDa'!$C$2:$R$155, 0,FALSE), IFERROR(VLOOKUP($A937,'Fusion ExDa'!$B$2:$D$16, 0,FALSE), IFERROR(VLOOKUP($A937,'Exetel ExDa'!$C$2:$N$14, 12,FALSE), IFERROR(VLOOKUP($A937,'Infinet ExDa'!$B$2:$E$14, 0,FALSE), "Not Found"))))))))</f>
        <v>Not Found</v>
      </c>
      <c r="L937" s="235" t="str">
        <f>IFERROR(VLOOKUP($A937,'AAPT ExDa'!$B$2:$U$99, 11,FALSE), IFERROR(VLOOKUP($A937,'ABB ExDa'!$A$2:$N$184, 9,FALSE), IFERROR(VLOOKUP($A937,'Vocus SIT ExDa'!$B$2:$J$173, 8,FALSE), IFERROR(VLOOKUP($A937,'Telstra ExDa'!$B$2:$K$310, 0,FALSE), IFERROR(VLOOKUP($A937,'Vocus RVC ExDa'!$C$2:$R$155, 0,FALSE), IFERROR(VLOOKUP($A937,'Fusion ExDa'!$B$2:$D$16, 0,FALSE), IFERROR(VLOOKUP($A937,'Exetel ExDa'!$C$2:$N$14, 9,FALSE), IFERROR(VLOOKUP($A937,'Infinet ExDa'!$B$2:$E$14, 0,FALSE), "Not Found"))))))))</f>
        <v>Not Found</v>
      </c>
      <c r="M937" s="234" t="str">
        <f>IFERROR(VLOOKUP($A937,'AAPT ExDa'!$B$2:$U$99, 0,FALSE), IFERROR(VLOOKUP($A937,'ABB ExDa'!$A$2:$N$184, 0,FALSE), IFERROR(VLOOKUP($A937,'Vocus SIT ExDa'!$B$2:$J$173, 0,FALSE), IFERROR(VLOOKUP($A937,'Telstra ExDa'!$B$2:$K$310, 0,FALSE), IFERROR(VLOOKUP($A937,'Vocus RVC ExDa'!$C$2:$R$155, 0,FALSE), IFERROR(VLOOKUP($A937,'Fusion ExDa'!$B$2:$D$16, 0,FALSE), IFERROR(VLOOKUP($A937,'Exetel ExDa'!$C$2:$N$14, 11,FALSE), IFERROR(VLOOKUP($A937,'Infinet ExDa'!$B$2:$E$14, 0,FALSE), "Not Found"))))))))</f>
        <v>Not Found</v>
      </c>
      <c r="N937" t="str">
        <f>IFERROR(VLOOKUP($A937,'AAPT ExDa'!$B$2:$U$99, 0,FALSE), IFERROR(VLOOKUP($A937,'ABB ExDa'!$A$2:$N$184, 13,FALSE), IFERROR(VLOOKUP($A937,'Vocus SIT ExDa'!$B$2:$J$173, 0,FALSE), IFERROR(VLOOKUP($A937,'Telstra ExDa'!$B$2:$K$310, 0,FALSE), IFERROR(VLOOKUP($A937,'Vocus RVC ExDa'!$C$2:$R$155, 0,FALSE), IFERROR(VLOOKUP($A937,'Fusion ExDa'!$B$2:$D$16, 0,FALSE), IFERROR(VLOOKUP($A937,'Exetel ExDa'!$C$2:$N$14, 0,FALSE), IFERROR(VLOOKUP($A937,'Infinet ExDa'!$B$2:$E$14, 0,FALSE), "Not Found"))))))))</f>
        <v>Not Found</v>
      </c>
    </row>
    <row r="938" spans="1:14">
      <c r="A938">
        <v>0</v>
      </c>
      <c r="B938" t="str">
        <f>IFERROR(VLOOKUP(A938,'Exetel ExDa'!$C$2:$N$14,4,FALSE),"No Data")</f>
        <v>No Data</v>
      </c>
      <c r="C938" t="str">
        <f>IFERROR(VLOOKUP(A938,'AAPT ExDa'!$B$2:$U$99, 2,FALSE), IFERROR(VLOOKUP(A938,'ABB ExDa'!$A$2:$N$184, 2,FALSE), IFERROR(VLOOKUP(A938,'Vocus SIT ExDa'!$B$2:$J$173, 7,FALSE), IFERROR(VLOOKUP(A938,'Telstra ExDa'!$B$2:$K$310, 2,FALSE), IFERROR(VLOOKUP(A938,'Vocus RVC ExDa'!$C$2:$R$155, 3,FALSE), IFERROR(VLOOKUP(A938,'Fusion ExDa'!$B$2:$D$16, 2,FALSE), IFERROR(VLOOKUP(A938,'Exetel ExDa'!$C$2:$N$14, 2,FALSE), IFERROR(VLOOKUP(A938,'Infinet ExDa'!$B$2:$E$14, 2,FALSE), "Not Found"))))))))</f>
        <v>Not Found</v>
      </c>
      <c r="D938" t="str">
        <f>IFERROR(VLOOKUP($A938,'AAPT ExDa'!$B$2:$U$99, 15,FALSE), IFERROR(VLOOKUP($A938,'ABB ExDa'!$A$2:$N$184, 4,FALSE), IFERROR(VLOOKUP($A938,'Vocus SIT ExDa'!$B$2:$J$173, 5,FALSE), IFERROR(VLOOKUP($A938,'Telstra ExDa'!$B$2:$K$310, 8,FALSE), IFERROR(VLOOKUP($A938,'Vocus RVC ExDa'!$C$2:$R$155, 6,FALSE), IFERROR(VLOOKUP($A938,'Fusion ExDa'!$B$2:$D$16, 4,FALSE), IFERROR(VLOOKUP($A938,'Exetel ExDa'!$C$2:$N$14, 3,FALSE), IFERROR(VLOOKUP($A938,'Infinet ExDa'!$B$2:$E$14, 3,FALSE), "Not Found"))))))))</f>
        <v>Not Found</v>
      </c>
      <c r="E938" t="str">
        <f>IFERROR(VLOOKUP($A938,'AAPT ExDa'!$B$2:$U$99, 3,FALSE), IFERROR(VLOOKUP($A938,'ABB ExDa'!$A$2:$N$184, 5,FALSE), IFERROR(VLOOKUP($A938,'Vocus SIT ExDa'!$B$2:$J$173, 2,FALSE), IFERROR(VLOOKUP($A938,'Telstra ExDa'!$B$2:$K$310, 4,FALSE), IFERROR(VLOOKUP($A938,'Vocus RVC ExDa'!$C$2:$R$155, 8,FALSE), IFERROR(VLOOKUP($A938,'Fusion ExDa'!$B$2:$D$16, 4,FALSE), IFERROR(VLOOKUP($A938,'Exetel ExDa'!$C$2:$N$14, 5,FALSE), IFERROR(VLOOKUP($A938,'Infinet ExDa'!$B$2:$E$14, 3,FALSE), "Not Found"))))))))</f>
        <v>Not Found</v>
      </c>
      <c r="F938" t="str">
        <f>IFERROR(VLOOKUP($A938,'AAPT ExDa'!$B$2:$U$99, 4,FALSE), IFERROR(VLOOKUP($A938,'ABB ExDa'!$A$2:$N$184, 6,FALSE), IFERROR(VLOOKUP($A938,'Vocus SIT ExDa'!$B$2:$J$173, 3,FALSE), IFERROR(VLOOKUP($A938,'Telstra ExDa'!$B$2:$K$310, 5,FALSE), IFERROR(VLOOKUP($A938,'Vocus RVC ExDa'!$C$2:$R$155, 9,FALSE), IFERROR(VLOOKUP($A938,'Fusion ExDa'!$B$2:$D$16, 0,FALSE), IFERROR(VLOOKUP($A938,'Exetel ExDa'!$C$2:$N$14, 6,FALSE), IFERROR(VLOOKUP($A938,'Infinet ExDa'!$B$2:$E$14, 0,FALSE), "Not Found"))))))))</f>
        <v>Not Found</v>
      </c>
      <c r="G938" t="str">
        <f>IFERROR(VLOOKUP($A938,'AAPT ExDa'!$B$2:$U$99, 5,FALSE), IFERROR(VLOOKUP($A938,'ABB ExDa'!$A$2:$N$184, 8,FALSE), IFERROR(VLOOKUP($A938,'Vocus SIT ExDa'!$B$2:$J$173, 6,FALSE), IFERROR(VLOOKUP($A938,'Telstra ExDa'!$B$2:$K$310, 0,FALSE), IFERROR(VLOOKUP($A938,'Vocus RVC ExDa'!$C$2:$R$155, 15,FALSE), IFERROR(VLOOKUP($A938,'Fusion ExDa'!$B$2:$D$16, 0,FALSE), IFERROR(VLOOKUP($A938,'Exetel ExDa'!$C$2:$N$14, 7,FALSE), IFERROR(VLOOKUP($A938,'Infinet ExDa'!$B$2:$E$14, 0,FALSE), "Not Found"))))))))</f>
        <v>Not Found</v>
      </c>
      <c r="H938" t="str">
        <f>IFERROR(VLOOKUP($A938,'AAPT ExDa'!$B$2:$U$99, 6,FALSE), IFERROR(VLOOKUP($A938,'ABB ExDa'!$A$2:$N$184, 0,FALSE), IFERROR(VLOOKUP($A938,'Vocus SIT ExDa'!$B$2:$J$173, 0,FALSE), IFERROR(VLOOKUP($A938,'Telstra ExDa'!$B$2:$K$310, 0,FALSE), IFERROR(VLOOKUP($A938,'Vocus RVC ExDa'!$C$2:$R$155, 16,FALSE), IFERROR(VLOOKUP($A938,'Fusion ExDa'!$B$2:$D$16, 0,FALSE), IFERROR(VLOOKUP($A938,'Exetel ExDa'!$C$2:$N$14, 0,FALSE), IFERROR(VLOOKUP($A938,'Infinet ExDa'!$B$2:$E$14, 0,FALSE), "Not Found"))))))))</f>
        <v>Not Found</v>
      </c>
      <c r="I938" t="str">
        <f>IFERROR(VLOOKUP($A938,'AAPT ExDa'!$B$2:$U$99, 0,FALSE), IFERROR(VLOOKUP($A938,'ABB ExDa'!$A$2:$N$184, 0,FALSE), IFERROR(VLOOKUP($A938,'Vocus SIT ExDa'!$B$2:$J$173, 0,FALSE), IFERROR(VLOOKUP($A938,'Telstra ExDa'!$B$2:$K$310, 0,FALSE), IFERROR(VLOOKUP($A938,'Vocus RVC ExDa'!$C$2:$R$155, 0,FALSE), IFERROR(VLOOKUP($A938,'Fusion ExDa'!$B$2:$D$16, 0,FALSE), IFERROR(VLOOKUP($A938,'Exetel ExDa'!$C$2:$N$14, 8,FALSE), IFERROR(VLOOKUP($A938,'Infinet ExDa'!$B$2:$E$14, 0,FALSE), "Not Found"))))))))</f>
        <v>Not Found</v>
      </c>
      <c r="J938" t="str">
        <f>IFERROR(VLOOKUP($A938,'AAPT ExDa'!$B$2:$U$99, 7,FALSE), IFERROR(VLOOKUP($A938,'ABB ExDa'!$A$2:$N$184, 2,FALSE), IFERROR(VLOOKUP($A938,'Vocus SIT ExDa'!$B$2:$J$173, 0,FALSE), IFERROR(VLOOKUP($A938,'Telstra ExDa'!$B$2:$K$310, 7,FALSE), IFERROR(VLOOKUP($A938,'Vocus RVC ExDa'!$C$2:$R$155, 2,FALSE), IFERROR(VLOOKUP($A938,'Fusion ExDa'!$B$2:$D$16, 3,FALSE), IFERROR(VLOOKUP($A938,'Exetel ExDa'!$C$2:$N$14, 0,FALSE), IFERROR(VLOOKUP($A938,'Infinet ExDa'!$B$2:$E$14, 0,FALSE), "Not Found"))))))))</f>
        <v>Not Found</v>
      </c>
      <c r="K938" t="str">
        <f>IFERROR(VLOOKUP($A938,'AAPT ExDa'!$B$2:$U$99, 12,FALSE), IFERROR(VLOOKUP($A938,'ABB ExDa'!$A$2:$N$184, 0,FALSE), IFERROR(VLOOKUP($A938,'Vocus SIT ExDa'!$B$2:$J$173, 0,FALSE), IFERROR(VLOOKUP($A938,'Telstra ExDa'!$B$2:$K$310, 0,FALSE), IFERROR(VLOOKUP($A938,'Vocus RVC ExDa'!$C$2:$R$155, 0,FALSE), IFERROR(VLOOKUP($A938,'Fusion ExDa'!$B$2:$D$16, 0,FALSE), IFERROR(VLOOKUP($A938,'Exetel ExDa'!$C$2:$N$14, 12,FALSE), IFERROR(VLOOKUP($A938,'Infinet ExDa'!$B$2:$E$14, 0,FALSE), "Not Found"))))))))</f>
        <v>Not Found</v>
      </c>
      <c r="L938" s="235" t="str">
        <f>IFERROR(VLOOKUP($A938,'AAPT ExDa'!$B$2:$U$99, 11,FALSE), IFERROR(VLOOKUP($A938,'ABB ExDa'!$A$2:$N$184, 9,FALSE), IFERROR(VLOOKUP($A938,'Vocus SIT ExDa'!$B$2:$J$173, 8,FALSE), IFERROR(VLOOKUP($A938,'Telstra ExDa'!$B$2:$K$310, 0,FALSE), IFERROR(VLOOKUP($A938,'Vocus RVC ExDa'!$C$2:$R$155, 0,FALSE), IFERROR(VLOOKUP($A938,'Fusion ExDa'!$B$2:$D$16, 0,FALSE), IFERROR(VLOOKUP($A938,'Exetel ExDa'!$C$2:$N$14, 9,FALSE), IFERROR(VLOOKUP($A938,'Infinet ExDa'!$B$2:$E$14, 0,FALSE), "Not Found"))))))))</f>
        <v>Not Found</v>
      </c>
      <c r="M938" s="234" t="str">
        <f>IFERROR(VLOOKUP($A938,'AAPT ExDa'!$B$2:$U$99, 0,FALSE), IFERROR(VLOOKUP($A938,'ABB ExDa'!$A$2:$N$184, 0,FALSE), IFERROR(VLOOKUP($A938,'Vocus SIT ExDa'!$B$2:$J$173, 0,FALSE), IFERROR(VLOOKUP($A938,'Telstra ExDa'!$B$2:$K$310, 0,FALSE), IFERROR(VLOOKUP($A938,'Vocus RVC ExDa'!$C$2:$R$155, 0,FALSE), IFERROR(VLOOKUP($A938,'Fusion ExDa'!$B$2:$D$16, 0,FALSE), IFERROR(VLOOKUP($A938,'Exetel ExDa'!$C$2:$N$14, 11,FALSE), IFERROR(VLOOKUP($A938,'Infinet ExDa'!$B$2:$E$14, 0,FALSE), "Not Found"))))))))</f>
        <v>Not Found</v>
      </c>
      <c r="N938" t="str">
        <f>IFERROR(VLOOKUP($A938,'AAPT ExDa'!$B$2:$U$99, 0,FALSE), IFERROR(VLOOKUP($A938,'ABB ExDa'!$A$2:$N$184, 13,FALSE), IFERROR(VLOOKUP($A938,'Vocus SIT ExDa'!$B$2:$J$173, 0,FALSE), IFERROR(VLOOKUP($A938,'Telstra ExDa'!$B$2:$K$310, 0,FALSE), IFERROR(VLOOKUP($A938,'Vocus RVC ExDa'!$C$2:$R$155, 0,FALSE), IFERROR(VLOOKUP($A938,'Fusion ExDa'!$B$2:$D$16, 0,FALSE), IFERROR(VLOOKUP($A938,'Exetel ExDa'!$C$2:$N$14, 0,FALSE), IFERROR(VLOOKUP($A938,'Infinet ExDa'!$B$2:$E$14, 0,FALSE), "Not Found"))))))))</f>
        <v>Not Found</v>
      </c>
    </row>
    <row r="939" spans="1:14">
      <c r="A939" t="str">
        <v>Zambrero Forrestfield Shop 23M/20 Strelitzia
Avenue, Forrestfield, 6058</v>
      </c>
      <c r="B939" t="str">
        <f>IFERROR(VLOOKUP(A939,'Exetel ExDa'!$C$2:$N$14,4,FALSE),"No Data")</f>
        <v>No Data</v>
      </c>
      <c r="C939" t="str">
        <f>IFERROR(VLOOKUP(A939,'AAPT ExDa'!$B$2:$U$99, 2,FALSE), IFERROR(VLOOKUP(A939,'ABB ExDa'!$A$2:$N$184, 2,FALSE), IFERROR(VLOOKUP(A939,'Vocus SIT ExDa'!$B$2:$J$173, 7,FALSE), IFERROR(VLOOKUP(A939,'Telstra ExDa'!$B$2:$K$310, 2,FALSE), IFERROR(VLOOKUP(A939,'Vocus RVC ExDa'!$C$2:$R$155, 3,FALSE), IFERROR(VLOOKUP(A939,'Fusion ExDa'!$B$2:$D$16, 2,FALSE), IFERROR(VLOOKUP(A939,'Exetel ExDa'!$C$2:$N$14, 2,FALSE), IFERROR(VLOOKUP(A939,'Infinet ExDa'!$B$2:$E$14, 2,FALSE), "Not Found"))))))))</f>
        <v>Not Found</v>
      </c>
      <c r="D939" t="str">
        <f>IFERROR(VLOOKUP($A939,'AAPT ExDa'!$B$2:$U$99, 15,FALSE), IFERROR(VLOOKUP($A939,'ABB ExDa'!$A$2:$N$184, 4,FALSE), IFERROR(VLOOKUP($A939,'Vocus SIT ExDa'!$B$2:$J$173, 5,FALSE), IFERROR(VLOOKUP($A939,'Telstra ExDa'!$B$2:$K$310, 8,FALSE), IFERROR(VLOOKUP($A939,'Vocus RVC ExDa'!$C$2:$R$155, 6,FALSE), IFERROR(VLOOKUP($A939,'Fusion ExDa'!$B$2:$D$16, 4,FALSE), IFERROR(VLOOKUP($A939,'Exetel ExDa'!$C$2:$N$14, 3,FALSE), IFERROR(VLOOKUP($A939,'Infinet ExDa'!$B$2:$E$14, 3,FALSE), "Not Found"))))))))</f>
        <v>Not Found</v>
      </c>
      <c r="E939" t="str">
        <f>IFERROR(VLOOKUP($A939,'AAPT ExDa'!$B$2:$U$99, 3,FALSE), IFERROR(VLOOKUP($A939,'ABB ExDa'!$A$2:$N$184, 5,FALSE), IFERROR(VLOOKUP($A939,'Vocus SIT ExDa'!$B$2:$J$173, 2,FALSE), IFERROR(VLOOKUP($A939,'Telstra ExDa'!$B$2:$K$310, 4,FALSE), IFERROR(VLOOKUP($A939,'Vocus RVC ExDa'!$C$2:$R$155, 8,FALSE), IFERROR(VLOOKUP($A939,'Fusion ExDa'!$B$2:$D$16, 4,FALSE), IFERROR(VLOOKUP($A939,'Exetel ExDa'!$C$2:$N$14, 5,FALSE), IFERROR(VLOOKUP($A939,'Infinet ExDa'!$B$2:$E$14, 3,FALSE), "Not Found"))))))))</f>
        <v>Not Found</v>
      </c>
      <c r="F939" t="str">
        <f>IFERROR(VLOOKUP($A939,'AAPT ExDa'!$B$2:$U$99, 4,FALSE), IFERROR(VLOOKUP($A939,'ABB ExDa'!$A$2:$N$184, 6,FALSE), IFERROR(VLOOKUP($A939,'Vocus SIT ExDa'!$B$2:$J$173, 3,FALSE), IFERROR(VLOOKUP($A939,'Telstra ExDa'!$B$2:$K$310, 5,FALSE), IFERROR(VLOOKUP($A939,'Vocus RVC ExDa'!$C$2:$R$155, 9,FALSE), IFERROR(VLOOKUP($A939,'Fusion ExDa'!$B$2:$D$16, 0,FALSE), IFERROR(VLOOKUP($A939,'Exetel ExDa'!$C$2:$N$14, 6,FALSE), IFERROR(VLOOKUP($A939,'Infinet ExDa'!$B$2:$E$14, 0,FALSE), "Not Found"))))))))</f>
        <v>Not Found</v>
      </c>
      <c r="G939" t="str">
        <f>IFERROR(VLOOKUP($A939,'AAPT ExDa'!$B$2:$U$99, 5,FALSE), IFERROR(VLOOKUP($A939,'ABB ExDa'!$A$2:$N$184, 8,FALSE), IFERROR(VLOOKUP($A939,'Vocus SIT ExDa'!$B$2:$J$173, 6,FALSE), IFERROR(VLOOKUP($A939,'Telstra ExDa'!$B$2:$K$310, 0,FALSE), IFERROR(VLOOKUP($A939,'Vocus RVC ExDa'!$C$2:$R$155, 15,FALSE), IFERROR(VLOOKUP($A939,'Fusion ExDa'!$B$2:$D$16, 0,FALSE), IFERROR(VLOOKUP($A939,'Exetel ExDa'!$C$2:$N$14, 7,FALSE), IFERROR(VLOOKUP($A939,'Infinet ExDa'!$B$2:$E$14, 0,FALSE), "Not Found"))))))))</f>
        <v>Not Found</v>
      </c>
      <c r="H939" t="str">
        <f>IFERROR(VLOOKUP($A939,'AAPT ExDa'!$B$2:$U$99, 6,FALSE), IFERROR(VLOOKUP($A939,'ABB ExDa'!$A$2:$N$184, 0,FALSE), IFERROR(VLOOKUP($A939,'Vocus SIT ExDa'!$B$2:$J$173, 0,FALSE), IFERROR(VLOOKUP($A939,'Telstra ExDa'!$B$2:$K$310, 0,FALSE), IFERROR(VLOOKUP($A939,'Vocus RVC ExDa'!$C$2:$R$155, 16,FALSE), IFERROR(VLOOKUP($A939,'Fusion ExDa'!$B$2:$D$16, 0,FALSE), IFERROR(VLOOKUP($A939,'Exetel ExDa'!$C$2:$N$14, 0,FALSE), IFERROR(VLOOKUP($A939,'Infinet ExDa'!$B$2:$E$14, 0,FALSE), "Not Found"))))))))</f>
        <v>Not Found</v>
      </c>
      <c r="I939" t="str">
        <f>IFERROR(VLOOKUP($A939,'AAPT ExDa'!$B$2:$U$99, 0,FALSE), IFERROR(VLOOKUP($A939,'ABB ExDa'!$A$2:$N$184, 0,FALSE), IFERROR(VLOOKUP($A939,'Vocus SIT ExDa'!$B$2:$J$173, 0,FALSE), IFERROR(VLOOKUP($A939,'Telstra ExDa'!$B$2:$K$310, 0,FALSE), IFERROR(VLOOKUP($A939,'Vocus RVC ExDa'!$C$2:$R$155, 0,FALSE), IFERROR(VLOOKUP($A939,'Fusion ExDa'!$B$2:$D$16, 0,FALSE), IFERROR(VLOOKUP($A939,'Exetel ExDa'!$C$2:$N$14, 8,FALSE), IFERROR(VLOOKUP($A939,'Infinet ExDa'!$B$2:$E$14, 0,FALSE), "Not Found"))))))))</f>
        <v>Not Found</v>
      </c>
      <c r="J939" t="str">
        <f>IFERROR(VLOOKUP($A939,'AAPT ExDa'!$B$2:$U$99, 7,FALSE), IFERROR(VLOOKUP($A939,'ABB ExDa'!$A$2:$N$184, 2,FALSE), IFERROR(VLOOKUP($A939,'Vocus SIT ExDa'!$B$2:$J$173, 0,FALSE), IFERROR(VLOOKUP($A939,'Telstra ExDa'!$B$2:$K$310, 7,FALSE), IFERROR(VLOOKUP($A939,'Vocus RVC ExDa'!$C$2:$R$155, 2,FALSE), IFERROR(VLOOKUP($A939,'Fusion ExDa'!$B$2:$D$16, 3,FALSE), IFERROR(VLOOKUP($A939,'Exetel ExDa'!$C$2:$N$14, 0,FALSE), IFERROR(VLOOKUP($A939,'Infinet ExDa'!$B$2:$E$14, 0,FALSE), "Not Found"))))))))</f>
        <v>Not Found</v>
      </c>
      <c r="K939" t="str">
        <f>IFERROR(VLOOKUP($A939,'AAPT ExDa'!$B$2:$U$99, 12,FALSE), IFERROR(VLOOKUP($A939,'ABB ExDa'!$A$2:$N$184, 0,FALSE), IFERROR(VLOOKUP($A939,'Vocus SIT ExDa'!$B$2:$J$173, 0,FALSE), IFERROR(VLOOKUP($A939,'Telstra ExDa'!$B$2:$K$310, 0,FALSE), IFERROR(VLOOKUP($A939,'Vocus RVC ExDa'!$C$2:$R$155, 0,FALSE), IFERROR(VLOOKUP($A939,'Fusion ExDa'!$B$2:$D$16, 0,FALSE), IFERROR(VLOOKUP($A939,'Exetel ExDa'!$C$2:$N$14, 12,FALSE), IFERROR(VLOOKUP($A939,'Infinet ExDa'!$B$2:$E$14, 0,FALSE), "Not Found"))))))))</f>
        <v>Not Found</v>
      </c>
      <c r="L939" s="235" t="str">
        <f>IFERROR(VLOOKUP($A939,'AAPT ExDa'!$B$2:$U$99, 11,FALSE), IFERROR(VLOOKUP($A939,'ABB ExDa'!$A$2:$N$184, 9,FALSE), IFERROR(VLOOKUP($A939,'Vocus SIT ExDa'!$B$2:$J$173, 8,FALSE), IFERROR(VLOOKUP($A939,'Telstra ExDa'!$B$2:$K$310, 0,FALSE), IFERROR(VLOOKUP($A939,'Vocus RVC ExDa'!$C$2:$R$155, 0,FALSE), IFERROR(VLOOKUP($A939,'Fusion ExDa'!$B$2:$D$16, 0,FALSE), IFERROR(VLOOKUP($A939,'Exetel ExDa'!$C$2:$N$14, 9,FALSE), IFERROR(VLOOKUP($A939,'Infinet ExDa'!$B$2:$E$14, 0,FALSE), "Not Found"))))))))</f>
        <v>Not Found</v>
      </c>
      <c r="M939" s="234" t="str">
        <f>IFERROR(VLOOKUP($A939,'AAPT ExDa'!$B$2:$U$99, 0,FALSE), IFERROR(VLOOKUP($A939,'ABB ExDa'!$A$2:$N$184, 0,FALSE), IFERROR(VLOOKUP($A939,'Vocus SIT ExDa'!$B$2:$J$173, 0,FALSE), IFERROR(VLOOKUP($A939,'Telstra ExDa'!$B$2:$K$310, 0,FALSE), IFERROR(VLOOKUP($A939,'Vocus RVC ExDa'!$C$2:$R$155, 0,FALSE), IFERROR(VLOOKUP($A939,'Fusion ExDa'!$B$2:$D$16, 0,FALSE), IFERROR(VLOOKUP($A939,'Exetel ExDa'!$C$2:$N$14, 11,FALSE), IFERROR(VLOOKUP($A939,'Infinet ExDa'!$B$2:$E$14, 0,FALSE), "Not Found"))))))))</f>
        <v>Not Found</v>
      </c>
      <c r="N939" t="str">
        <f>IFERROR(VLOOKUP($A939,'AAPT ExDa'!$B$2:$U$99, 0,FALSE), IFERROR(VLOOKUP($A939,'ABB ExDa'!$A$2:$N$184, 13,FALSE), IFERROR(VLOOKUP($A939,'Vocus SIT ExDa'!$B$2:$J$173, 0,FALSE), IFERROR(VLOOKUP($A939,'Telstra ExDa'!$B$2:$K$310, 0,FALSE), IFERROR(VLOOKUP($A939,'Vocus RVC ExDa'!$C$2:$R$155, 0,FALSE), IFERROR(VLOOKUP($A939,'Fusion ExDa'!$B$2:$D$16, 0,FALSE), IFERROR(VLOOKUP($A939,'Exetel ExDa'!$C$2:$N$14, 0,FALSE), IFERROR(VLOOKUP($A939,'Infinet ExDa'!$B$2:$E$14, 0,FALSE), "Not Found"))))))))</f>
        <v>Not Found</v>
      </c>
    </row>
    <row r="940" spans="1:14">
      <c r="A940">
        <v>0</v>
      </c>
      <c r="B940" t="str">
        <f>IFERROR(VLOOKUP(A940,'Exetel ExDa'!$C$2:$N$14,4,FALSE),"No Data")</f>
        <v>No Data</v>
      </c>
      <c r="C940" t="str">
        <f>IFERROR(VLOOKUP(A940,'AAPT ExDa'!$B$2:$U$99, 2,FALSE), IFERROR(VLOOKUP(A940,'ABB ExDa'!$A$2:$N$184, 2,FALSE), IFERROR(VLOOKUP(A940,'Vocus SIT ExDa'!$B$2:$J$173, 7,FALSE), IFERROR(VLOOKUP(A940,'Telstra ExDa'!$B$2:$K$310, 2,FALSE), IFERROR(VLOOKUP(A940,'Vocus RVC ExDa'!$C$2:$R$155, 3,FALSE), IFERROR(VLOOKUP(A940,'Fusion ExDa'!$B$2:$D$16, 2,FALSE), IFERROR(VLOOKUP(A940,'Exetel ExDa'!$C$2:$N$14, 2,FALSE), IFERROR(VLOOKUP(A940,'Infinet ExDa'!$B$2:$E$14, 2,FALSE), "Not Found"))))))))</f>
        <v>Not Found</v>
      </c>
      <c r="D940" t="str">
        <f>IFERROR(VLOOKUP($A940,'AAPT ExDa'!$B$2:$U$99, 15,FALSE), IFERROR(VLOOKUP($A940,'ABB ExDa'!$A$2:$N$184, 4,FALSE), IFERROR(VLOOKUP($A940,'Vocus SIT ExDa'!$B$2:$J$173, 5,FALSE), IFERROR(VLOOKUP($A940,'Telstra ExDa'!$B$2:$K$310, 8,FALSE), IFERROR(VLOOKUP($A940,'Vocus RVC ExDa'!$C$2:$R$155, 6,FALSE), IFERROR(VLOOKUP($A940,'Fusion ExDa'!$B$2:$D$16, 4,FALSE), IFERROR(VLOOKUP($A940,'Exetel ExDa'!$C$2:$N$14, 3,FALSE), IFERROR(VLOOKUP($A940,'Infinet ExDa'!$B$2:$E$14, 3,FALSE), "Not Found"))))))))</f>
        <v>Not Found</v>
      </c>
      <c r="E940" t="str">
        <f>IFERROR(VLOOKUP($A940,'AAPT ExDa'!$B$2:$U$99, 3,FALSE), IFERROR(VLOOKUP($A940,'ABB ExDa'!$A$2:$N$184, 5,FALSE), IFERROR(VLOOKUP($A940,'Vocus SIT ExDa'!$B$2:$J$173, 2,FALSE), IFERROR(VLOOKUP($A940,'Telstra ExDa'!$B$2:$K$310, 4,FALSE), IFERROR(VLOOKUP($A940,'Vocus RVC ExDa'!$C$2:$R$155, 8,FALSE), IFERROR(VLOOKUP($A940,'Fusion ExDa'!$B$2:$D$16, 4,FALSE), IFERROR(VLOOKUP($A940,'Exetel ExDa'!$C$2:$N$14, 5,FALSE), IFERROR(VLOOKUP($A940,'Infinet ExDa'!$B$2:$E$14, 3,FALSE), "Not Found"))))))))</f>
        <v>Not Found</v>
      </c>
      <c r="F940" t="str">
        <f>IFERROR(VLOOKUP($A940,'AAPT ExDa'!$B$2:$U$99, 4,FALSE), IFERROR(VLOOKUP($A940,'ABB ExDa'!$A$2:$N$184, 6,FALSE), IFERROR(VLOOKUP($A940,'Vocus SIT ExDa'!$B$2:$J$173, 3,FALSE), IFERROR(VLOOKUP($A940,'Telstra ExDa'!$B$2:$K$310, 5,FALSE), IFERROR(VLOOKUP($A940,'Vocus RVC ExDa'!$C$2:$R$155, 9,FALSE), IFERROR(VLOOKUP($A940,'Fusion ExDa'!$B$2:$D$16, 0,FALSE), IFERROR(VLOOKUP($A940,'Exetel ExDa'!$C$2:$N$14, 6,FALSE), IFERROR(VLOOKUP($A940,'Infinet ExDa'!$B$2:$E$14, 0,FALSE), "Not Found"))))))))</f>
        <v>Not Found</v>
      </c>
      <c r="G940" t="str">
        <f>IFERROR(VLOOKUP($A940,'AAPT ExDa'!$B$2:$U$99, 5,FALSE), IFERROR(VLOOKUP($A940,'ABB ExDa'!$A$2:$N$184, 8,FALSE), IFERROR(VLOOKUP($A940,'Vocus SIT ExDa'!$B$2:$J$173, 6,FALSE), IFERROR(VLOOKUP($A940,'Telstra ExDa'!$B$2:$K$310, 0,FALSE), IFERROR(VLOOKUP($A940,'Vocus RVC ExDa'!$C$2:$R$155, 15,FALSE), IFERROR(VLOOKUP($A940,'Fusion ExDa'!$B$2:$D$16, 0,FALSE), IFERROR(VLOOKUP($A940,'Exetel ExDa'!$C$2:$N$14, 7,FALSE), IFERROR(VLOOKUP($A940,'Infinet ExDa'!$B$2:$E$14, 0,FALSE), "Not Found"))))))))</f>
        <v>Not Found</v>
      </c>
      <c r="H940" t="str">
        <f>IFERROR(VLOOKUP($A940,'AAPT ExDa'!$B$2:$U$99, 6,FALSE), IFERROR(VLOOKUP($A940,'ABB ExDa'!$A$2:$N$184, 0,FALSE), IFERROR(VLOOKUP($A940,'Vocus SIT ExDa'!$B$2:$J$173, 0,FALSE), IFERROR(VLOOKUP($A940,'Telstra ExDa'!$B$2:$K$310, 0,FALSE), IFERROR(VLOOKUP($A940,'Vocus RVC ExDa'!$C$2:$R$155, 16,FALSE), IFERROR(VLOOKUP($A940,'Fusion ExDa'!$B$2:$D$16, 0,FALSE), IFERROR(VLOOKUP($A940,'Exetel ExDa'!$C$2:$N$14, 0,FALSE), IFERROR(VLOOKUP($A940,'Infinet ExDa'!$B$2:$E$14, 0,FALSE), "Not Found"))))))))</f>
        <v>Not Found</v>
      </c>
      <c r="I940" t="str">
        <f>IFERROR(VLOOKUP($A940,'AAPT ExDa'!$B$2:$U$99, 0,FALSE), IFERROR(VLOOKUP($A940,'ABB ExDa'!$A$2:$N$184, 0,FALSE), IFERROR(VLOOKUP($A940,'Vocus SIT ExDa'!$B$2:$J$173, 0,FALSE), IFERROR(VLOOKUP($A940,'Telstra ExDa'!$B$2:$K$310, 0,FALSE), IFERROR(VLOOKUP($A940,'Vocus RVC ExDa'!$C$2:$R$155, 0,FALSE), IFERROR(VLOOKUP($A940,'Fusion ExDa'!$B$2:$D$16, 0,FALSE), IFERROR(VLOOKUP($A940,'Exetel ExDa'!$C$2:$N$14, 8,FALSE), IFERROR(VLOOKUP($A940,'Infinet ExDa'!$B$2:$E$14, 0,FALSE), "Not Found"))))))))</f>
        <v>Not Found</v>
      </c>
      <c r="J940" t="str">
        <f>IFERROR(VLOOKUP($A940,'AAPT ExDa'!$B$2:$U$99, 7,FALSE), IFERROR(VLOOKUP($A940,'ABB ExDa'!$A$2:$N$184, 2,FALSE), IFERROR(VLOOKUP($A940,'Vocus SIT ExDa'!$B$2:$J$173, 0,FALSE), IFERROR(VLOOKUP($A940,'Telstra ExDa'!$B$2:$K$310, 7,FALSE), IFERROR(VLOOKUP($A940,'Vocus RVC ExDa'!$C$2:$R$155, 2,FALSE), IFERROR(VLOOKUP($A940,'Fusion ExDa'!$B$2:$D$16, 3,FALSE), IFERROR(VLOOKUP($A940,'Exetel ExDa'!$C$2:$N$14, 0,FALSE), IFERROR(VLOOKUP($A940,'Infinet ExDa'!$B$2:$E$14, 0,FALSE), "Not Found"))))))))</f>
        <v>Not Found</v>
      </c>
      <c r="K940" t="str">
        <f>IFERROR(VLOOKUP($A940,'AAPT ExDa'!$B$2:$U$99, 12,FALSE), IFERROR(VLOOKUP($A940,'ABB ExDa'!$A$2:$N$184, 0,FALSE), IFERROR(VLOOKUP($A940,'Vocus SIT ExDa'!$B$2:$J$173, 0,FALSE), IFERROR(VLOOKUP($A940,'Telstra ExDa'!$B$2:$K$310, 0,FALSE), IFERROR(VLOOKUP($A940,'Vocus RVC ExDa'!$C$2:$R$155, 0,FALSE), IFERROR(VLOOKUP($A940,'Fusion ExDa'!$B$2:$D$16, 0,FALSE), IFERROR(VLOOKUP($A940,'Exetel ExDa'!$C$2:$N$14, 12,FALSE), IFERROR(VLOOKUP($A940,'Infinet ExDa'!$B$2:$E$14, 0,FALSE), "Not Found"))))))))</f>
        <v>Not Found</v>
      </c>
      <c r="L940" s="235" t="str">
        <f>IFERROR(VLOOKUP($A940,'AAPT ExDa'!$B$2:$U$99, 11,FALSE), IFERROR(VLOOKUP($A940,'ABB ExDa'!$A$2:$N$184, 9,FALSE), IFERROR(VLOOKUP($A940,'Vocus SIT ExDa'!$B$2:$J$173, 8,FALSE), IFERROR(VLOOKUP($A940,'Telstra ExDa'!$B$2:$K$310, 0,FALSE), IFERROR(VLOOKUP($A940,'Vocus RVC ExDa'!$C$2:$R$155, 0,FALSE), IFERROR(VLOOKUP($A940,'Fusion ExDa'!$B$2:$D$16, 0,FALSE), IFERROR(VLOOKUP($A940,'Exetel ExDa'!$C$2:$N$14, 9,FALSE), IFERROR(VLOOKUP($A940,'Infinet ExDa'!$B$2:$E$14, 0,FALSE), "Not Found"))))))))</f>
        <v>Not Found</v>
      </c>
      <c r="M940" s="234" t="str">
        <f>IFERROR(VLOOKUP($A940,'AAPT ExDa'!$B$2:$U$99, 0,FALSE), IFERROR(VLOOKUP($A940,'ABB ExDa'!$A$2:$N$184, 0,FALSE), IFERROR(VLOOKUP($A940,'Vocus SIT ExDa'!$B$2:$J$173, 0,FALSE), IFERROR(VLOOKUP($A940,'Telstra ExDa'!$B$2:$K$310, 0,FALSE), IFERROR(VLOOKUP($A940,'Vocus RVC ExDa'!$C$2:$R$155, 0,FALSE), IFERROR(VLOOKUP($A940,'Fusion ExDa'!$B$2:$D$16, 0,FALSE), IFERROR(VLOOKUP($A940,'Exetel ExDa'!$C$2:$N$14, 11,FALSE), IFERROR(VLOOKUP($A940,'Infinet ExDa'!$B$2:$E$14, 0,FALSE), "Not Found"))))))))</f>
        <v>Not Found</v>
      </c>
      <c r="N940" t="str">
        <f>IFERROR(VLOOKUP($A940,'AAPT ExDa'!$B$2:$U$99, 0,FALSE), IFERROR(VLOOKUP($A940,'ABB ExDa'!$A$2:$N$184, 13,FALSE), IFERROR(VLOOKUP($A940,'Vocus SIT ExDa'!$B$2:$J$173, 0,FALSE), IFERROR(VLOOKUP($A940,'Telstra ExDa'!$B$2:$K$310, 0,FALSE), IFERROR(VLOOKUP($A940,'Vocus RVC ExDa'!$C$2:$R$155, 0,FALSE), IFERROR(VLOOKUP($A940,'Fusion ExDa'!$B$2:$D$16, 0,FALSE), IFERROR(VLOOKUP($A940,'Exetel ExDa'!$C$2:$N$14, 0,FALSE), IFERROR(VLOOKUP($A940,'Infinet ExDa'!$B$2:$E$14, 0,FALSE), "Not Found"))))))))</f>
        <v>Not Found</v>
      </c>
    </row>
    <row r="941" spans="1:14">
      <c r="A941">
        <v>0</v>
      </c>
      <c r="B941" t="str">
        <f>IFERROR(VLOOKUP(A941,'Exetel ExDa'!$C$2:$N$14,4,FALSE),"No Data")</f>
        <v>No Data</v>
      </c>
      <c r="C941" t="str">
        <f>IFERROR(VLOOKUP(A941,'AAPT ExDa'!$B$2:$U$99, 2,FALSE), IFERROR(VLOOKUP(A941,'ABB ExDa'!$A$2:$N$184, 2,FALSE), IFERROR(VLOOKUP(A941,'Vocus SIT ExDa'!$B$2:$J$173, 7,FALSE), IFERROR(VLOOKUP(A941,'Telstra ExDa'!$B$2:$K$310, 2,FALSE), IFERROR(VLOOKUP(A941,'Vocus RVC ExDa'!$C$2:$R$155, 3,FALSE), IFERROR(VLOOKUP(A941,'Fusion ExDa'!$B$2:$D$16, 2,FALSE), IFERROR(VLOOKUP(A941,'Exetel ExDa'!$C$2:$N$14, 2,FALSE), IFERROR(VLOOKUP(A941,'Infinet ExDa'!$B$2:$E$14, 2,FALSE), "Not Found"))))))))</f>
        <v>Not Found</v>
      </c>
      <c r="D941" t="str">
        <f>IFERROR(VLOOKUP($A941,'AAPT ExDa'!$B$2:$U$99, 15,FALSE), IFERROR(VLOOKUP($A941,'ABB ExDa'!$A$2:$N$184, 4,FALSE), IFERROR(VLOOKUP($A941,'Vocus SIT ExDa'!$B$2:$J$173, 5,FALSE), IFERROR(VLOOKUP($A941,'Telstra ExDa'!$B$2:$K$310, 8,FALSE), IFERROR(VLOOKUP($A941,'Vocus RVC ExDa'!$C$2:$R$155, 6,FALSE), IFERROR(VLOOKUP($A941,'Fusion ExDa'!$B$2:$D$16, 4,FALSE), IFERROR(VLOOKUP($A941,'Exetel ExDa'!$C$2:$N$14, 3,FALSE), IFERROR(VLOOKUP($A941,'Infinet ExDa'!$B$2:$E$14, 3,FALSE), "Not Found"))))))))</f>
        <v>Not Found</v>
      </c>
      <c r="E941" t="str">
        <f>IFERROR(VLOOKUP($A941,'AAPT ExDa'!$B$2:$U$99, 3,FALSE), IFERROR(VLOOKUP($A941,'ABB ExDa'!$A$2:$N$184, 5,FALSE), IFERROR(VLOOKUP($A941,'Vocus SIT ExDa'!$B$2:$J$173, 2,FALSE), IFERROR(VLOOKUP($A941,'Telstra ExDa'!$B$2:$K$310, 4,FALSE), IFERROR(VLOOKUP($A941,'Vocus RVC ExDa'!$C$2:$R$155, 8,FALSE), IFERROR(VLOOKUP($A941,'Fusion ExDa'!$B$2:$D$16, 4,FALSE), IFERROR(VLOOKUP($A941,'Exetel ExDa'!$C$2:$N$14, 5,FALSE), IFERROR(VLOOKUP($A941,'Infinet ExDa'!$B$2:$E$14, 3,FALSE), "Not Found"))))))))</f>
        <v>Not Found</v>
      </c>
      <c r="F941" t="str">
        <f>IFERROR(VLOOKUP($A941,'AAPT ExDa'!$B$2:$U$99, 4,FALSE), IFERROR(VLOOKUP($A941,'ABB ExDa'!$A$2:$N$184, 6,FALSE), IFERROR(VLOOKUP($A941,'Vocus SIT ExDa'!$B$2:$J$173, 3,FALSE), IFERROR(VLOOKUP($A941,'Telstra ExDa'!$B$2:$K$310, 5,FALSE), IFERROR(VLOOKUP($A941,'Vocus RVC ExDa'!$C$2:$R$155, 9,FALSE), IFERROR(VLOOKUP($A941,'Fusion ExDa'!$B$2:$D$16, 0,FALSE), IFERROR(VLOOKUP($A941,'Exetel ExDa'!$C$2:$N$14, 6,FALSE), IFERROR(VLOOKUP($A941,'Infinet ExDa'!$B$2:$E$14, 0,FALSE), "Not Found"))))))))</f>
        <v>Not Found</v>
      </c>
      <c r="G941" t="str">
        <f>IFERROR(VLOOKUP($A941,'AAPT ExDa'!$B$2:$U$99, 5,FALSE), IFERROR(VLOOKUP($A941,'ABB ExDa'!$A$2:$N$184, 8,FALSE), IFERROR(VLOOKUP($A941,'Vocus SIT ExDa'!$B$2:$J$173, 6,FALSE), IFERROR(VLOOKUP($A941,'Telstra ExDa'!$B$2:$K$310, 0,FALSE), IFERROR(VLOOKUP($A941,'Vocus RVC ExDa'!$C$2:$R$155, 15,FALSE), IFERROR(VLOOKUP($A941,'Fusion ExDa'!$B$2:$D$16, 0,FALSE), IFERROR(VLOOKUP($A941,'Exetel ExDa'!$C$2:$N$14, 7,FALSE), IFERROR(VLOOKUP($A941,'Infinet ExDa'!$B$2:$E$14, 0,FALSE), "Not Found"))))))))</f>
        <v>Not Found</v>
      </c>
      <c r="H941" t="str">
        <f>IFERROR(VLOOKUP($A941,'AAPT ExDa'!$B$2:$U$99, 6,FALSE), IFERROR(VLOOKUP($A941,'ABB ExDa'!$A$2:$N$184, 0,FALSE), IFERROR(VLOOKUP($A941,'Vocus SIT ExDa'!$B$2:$J$173, 0,FALSE), IFERROR(VLOOKUP($A941,'Telstra ExDa'!$B$2:$K$310, 0,FALSE), IFERROR(VLOOKUP($A941,'Vocus RVC ExDa'!$C$2:$R$155, 16,FALSE), IFERROR(VLOOKUP($A941,'Fusion ExDa'!$B$2:$D$16, 0,FALSE), IFERROR(VLOOKUP($A941,'Exetel ExDa'!$C$2:$N$14, 0,FALSE), IFERROR(VLOOKUP($A941,'Infinet ExDa'!$B$2:$E$14, 0,FALSE), "Not Found"))))))))</f>
        <v>Not Found</v>
      </c>
      <c r="I941" t="str">
        <f>IFERROR(VLOOKUP($A941,'AAPT ExDa'!$B$2:$U$99, 0,FALSE), IFERROR(VLOOKUP($A941,'ABB ExDa'!$A$2:$N$184, 0,FALSE), IFERROR(VLOOKUP($A941,'Vocus SIT ExDa'!$B$2:$J$173, 0,FALSE), IFERROR(VLOOKUP($A941,'Telstra ExDa'!$B$2:$K$310, 0,FALSE), IFERROR(VLOOKUP($A941,'Vocus RVC ExDa'!$C$2:$R$155, 0,FALSE), IFERROR(VLOOKUP($A941,'Fusion ExDa'!$B$2:$D$16, 0,FALSE), IFERROR(VLOOKUP($A941,'Exetel ExDa'!$C$2:$N$14, 8,FALSE), IFERROR(VLOOKUP($A941,'Infinet ExDa'!$B$2:$E$14, 0,FALSE), "Not Found"))))))))</f>
        <v>Not Found</v>
      </c>
      <c r="J941" t="str">
        <f>IFERROR(VLOOKUP($A941,'AAPT ExDa'!$B$2:$U$99, 7,FALSE), IFERROR(VLOOKUP($A941,'ABB ExDa'!$A$2:$N$184, 2,FALSE), IFERROR(VLOOKUP($A941,'Vocus SIT ExDa'!$B$2:$J$173, 0,FALSE), IFERROR(VLOOKUP($A941,'Telstra ExDa'!$B$2:$K$310, 7,FALSE), IFERROR(VLOOKUP($A941,'Vocus RVC ExDa'!$C$2:$R$155, 2,FALSE), IFERROR(VLOOKUP($A941,'Fusion ExDa'!$B$2:$D$16, 3,FALSE), IFERROR(VLOOKUP($A941,'Exetel ExDa'!$C$2:$N$14, 0,FALSE), IFERROR(VLOOKUP($A941,'Infinet ExDa'!$B$2:$E$14, 0,FALSE), "Not Found"))))))))</f>
        <v>Not Found</v>
      </c>
      <c r="K941" t="str">
        <f>IFERROR(VLOOKUP($A941,'AAPT ExDa'!$B$2:$U$99, 12,FALSE), IFERROR(VLOOKUP($A941,'ABB ExDa'!$A$2:$N$184, 0,FALSE), IFERROR(VLOOKUP($A941,'Vocus SIT ExDa'!$B$2:$J$173, 0,FALSE), IFERROR(VLOOKUP($A941,'Telstra ExDa'!$B$2:$K$310, 0,FALSE), IFERROR(VLOOKUP($A941,'Vocus RVC ExDa'!$C$2:$R$155, 0,FALSE), IFERROR(VLOOKUP($A941,'Fusion ExDa'!$B$2:$D$16, 0,FALSE), IFERROR(VLOOKUP($A941,'Exetel ExDa'!$C$2:$N$14, 12,FALSE), IFERROR(VLOOKUP($A941,'Infinet ExDa'!$B$2:$E$14, 0,FALSE), "Not Found"))))))))</f>
        <v>Not Found</v>
      </c>
      <c r="L941" s="235" t="str">
        <f>IFERROR(VLOOKUP($A941,'AAPT ExDa'!$B$2:$U$99, 11,FALSE), IFERROR(VLOOKUP($A941,'ABB ExDa'!$A$2:$N$184, 9,FALSE), IFERROR(VLOOKUP($A941,'Vocus SIT ExDa'!$B$2:$J$173, 8,FALSE), IFERROR(VLOOKUP($A941,'Telstra ExDa'!$B$2:$K$310, 0,FALSE), IFERROR(VLOOKUP($A941,'Vocus RVC ExDa'!$C$2:$R$155, 0,FALSE), IFERROR(VLOOKUP($A941,'Fusion ExDa'!$B$2:$D$16, 0,FALSE), IFERROR(VLOOKUP($A941,'Exetel ExDa'!$C$2:$N$14, 9,FALSE), IFERROR(VLOOKUP($A941,'Infinet ExDa'!$B$2:$E$14, 0,FALSE), "Not Found"))))))))</f>
        <v>Not Found</v>
      </c>
      <c r="M941" s="234" t="str">
        <f>IFERROR(VLOOKUP($A941,'AAPT ExDa'!$B$2:$U$99, 0,FALSE), IFERROR(VLOOKUP($A941,'ABB ExDa'!$A$2:$N$184, 0,FALSE), IFERROR(VLOOKUP($A941,'Vocus SIT ExDa'!$B$2:$J$173, 0,FALSE), IFERROR(VLOOKUP($A941,'Telstra ExDa'!$B$2:$K$310, 0,FALSE), IFERROR(VLOOKUP($A941,'Vocus RVC ExDa'!$C$2:$R$155, 0,FALSE), IFERROR(VLOOKUP($A941,'Fusion ExDa'!$B$2:$D$16, 0,FALSE), IFERROR(VLOOKUP($A941,'Exetel ExDa'!$C$2:$N$14, 11,FALSE), IFERROR(VLOOKUP($A941,'Infinet ExDa'!$B$2:$E$14, 0,FALSE), "Not Found"))))))))</f>
        <v>Not Found</v>
      </c>
      <c r="N941" t="str">
        <f>IFERROR(VLOOKUP($A941,'AAPT ExDa'!$B$2:$U$99, 0,FALSE), IFERROR(VLOOKUP($A941,'ABB ExDa'!$A$2:$N$184, 13,FALSE), IFERROR(VLOOKUP($A941,'Vocus SIT ExDa'!$B$2:$J$173, 0,FALSE), IFERROR(VLOOKUP($A941,'Telstra ExDa'!$B$2:$K$310, 0,FALSE), IFERROR(VLOOKUP($A941,'Vocus RVC ExDa'!$C$2:$R$155, 0,FALSE), IFERROR(VLOOKUP($A941,'Fusion ExDa'!$B$2:$D$16, 0,FALSE), IFERROR(VLOOKUP($A941,'Exetel ExDa'!$C$2:$N$14, 0,FALSE), IFERROR(VLOOKUP($A941,'Infinet ExDa'!$B$2:$E$14, 0,FALSE), "Not Found"))))))))</f>
        <v>Not Found</v>
      </c>
    </row>
    <row r="942" spans="1:14">
      <c r="A942" t="str">
        <v>Zambrero Echuca Tenancy 3/456 High Street,
Echuca, 3564</v>
      </c>
      <c r="B942" t="str">
        <f>IFERROR(VLOOKUP(A942,'Exetel ExDa'!$C$2:$N$14,4,FALSE),"No Data")</f>
        <v>No Data</v>
      </c>
      <c r="C942" t="str">
        <f>IFERROR(VLOOKUP(A942,'AAPT ExDa'!$B$2:$U$99, 2,FALSE), IFERROR(VLOOKUP(A942,'ABB ExDa'!$A$2:$N$184, 2,FALSE), IFERROR(VLOOKUP(A942,'Vocus SIT ExDa'!$B$2:$J$173, 7,FALSE), IFERROR(VLOOKUP(A942,'Telstra ExDa'!$B$2:$K$310, 2,FALSE), IFERROR(VLOOKUP(A942,'Vocus RVC ExDa'!$C$2:$R$155, 3,FALSE), IFERROR(VLOOKUP(A942,'Fusion ExDa'!$B$2:$D$16, 2,FALSE), IFERROR(VLOOKUP(A942,'Exetel ExDa'!$C$2:$N$14, 2,FALSE), IFERROR(VLOOKUP(A942,'Infinet ExDa'!$B$2:$E$14, 2,FALSE), "Not Found"))))))))</f>
        <v>Not Found</v>
      </c>
      <c r="D942" t="str">
        <f>IFERROR(VLOOKUP($A942,'AAPT ExDa'!$B$2:$U$99, 15,FALSE), IFERROR(VLOOKUP($A942,'ABB ExDa'!$A$2:$N$184, 4,FALSE), IFERROR(VLOOKUP($A942,'Vocus SIT ExDa'!$B$2:$J$173, 5,FALSE), IFERROR(VLOOKUP($A942,'Telstra ExDa'!$B$2:$K$310, 8,FALSE), IFERROR(VLOOKUP($A942,'Vocus RVC ExDa'!$C$2:$R$155, 6,FALSE), IFERROR(VLOOKUP($A942,'Fusion ExDa'!$B$2:$D$16, 4,FALSE), IFERROR(VLOOKUP($A942,'Exetel ExDa'!$C$2:$N$14, 3,FALSE), IFERROR(VLOOKUP($A942,'Infinet ExDa'!$B$2:$E$14, 3,FALSE), "Not Found"))))))))</f>
        <v>Not Found</v>
      </c>
      <c r="E942" t="str">
        <f>IFERROR(VLOOKUP($A942,'AAPT ExDa'!$B$2:$U$99, 3,FALSE), IFERROR(VLOOKUP($A942,'ABB ExDa'!$A$2:$N$184, 5,FALSE), IFERROR(VLOOKUP($A942,'Vocus SIT ExDa'!$B$2:$J$173, 2,FALSE), IFERROR(VLOOKUP($A942,'Telstra ExDa'!$B$2:$K$310, 4,FALSE), IFERROR(VLOOKUP($A942,'Vocus RVC ExDa'!$C$2:$R$155, 8,FALSE), IFERROR(VLOOKUP($A942,'Fusion ExDa'!$B$2:$D$16, 4,FALSE), IFERROR(VLOOKUP($A942,'Exetel ExDa'!$C$2:$N$14, 5,FALSE), IFERROR(VLOOKUP($A942,'Infinet ExDa'!$B$2:$E$14, 3,FALSE), "Not Found"))))))))</f>
        <v>Not Found</v>
      </c>
      <c r="F942" t="str">
        <f>IFERROR(VLOOKUP($A942,'AAPT ExDa'!$B$2:$U$99, 4,FALSE), IFERROR(VLOOKUP($A942,'ABB ExDa'!$A$2:$N$184, 6,FALSE), IFERROR(VLOOKUP($A942,'Vocus SIT ExDa'!$B$2:$J$173, 3,FALSE), IFERROR(VLOOKUP($A942,'Telstra ExDa'!$B$2:$K$310, 5,FALSE), IFERROR(VLOOKUP($A942,'Vocus RVC ExDa'!$C$2:$R$155, 9,FALSE), IFERROR(VLOOKUP($A942,'Fusion ExDa'!$B$2:$D$16, 0,FALSE), IFERROR(VLOOKUP($A942,'Exetel ExDa'!$C$2:$N$14, 6,FALSE), IFERROR(VLOOKUP($A942,'Infinet ExDa'!$B$2:$E$14, 0,FALSE), "Not Found"))))))))</f>
        <v>Not Found</v>
      </c>
      <c r="G942" t="str">
        <f>IFERROR(VLOOKUP($A942,'AAPT ExDa'!$B$2:$U$99, 5,FALSE), IFERROR(VLOOKUP($A942,'ABB ExDa'!$A$2:$N$184, 8,FALSE), IFERROR(VLOOKUP($A942,'Vocus SIT ExDa'!$B$2:$J$173, 6,FALSE), IFERROR(VLOOKUP($A942,'Telstra ExDa'!$B$2:$K$310, 0,FALSE), IFERROR(VLOOKUP($A942,'Vocus RVC ExDa'!$C$2:$R$155, 15,FALSE), IFERROR(VLOOKUP($A942,'Fusion ExDa'!$B$2:$D$16, 0,FALSE), IFERROR(VLOOKUP($A942,'Exetel ExDa'!$C$2:$N$14, 7,FALSE), IFERROR(VLOOKUP($A942,'Infinet ExDa'!$B$2:$E$14, 0,FALSE), "Not Found"))))))))</f>
        <v>Not Found</v>
      </c>
      <c r="H942" t="str">
        <f>IFERROR(VLOOKUP($A942,'AAPT ExDa'!$B$2:$U$99, 6,FALSE), IFERROR(VLOOKUP($A942,'ABB ExDa'!$A$2:$N$184, 0,FALSE), IFERROR(VLOOKUP($A942,'Vocus SIT ExDa'!$B$2:$J$173, 0,FALSE), IFERROR(VLOOKUP($A942,'Telstra ExDa'!$B$2:$K$310, 0,FALSE), IFERROR(VLOOKUP($A942,'Vocus RVC ExDa'!$C$2:$R$155, 16,FALSE), IFERROR(VLOOKUP($A942,'Fusion ExDa'!$B$2:$D$16, 0,FALSE), IFERROR(VLOOKUP($A942,'Exetel ExDa'!$C$2:$N$14, 0,FALSE), IFERROR(VLOOKUP($A942,'Infinet ExDa'!$B$2:$E$14, 0,FALSE), "Not Found"))))))))</f>
        <v>Not Found</v>
      </c>
      <c r="I942" t="str">
        <f>IFERROR(VLOOKUP($A942,'AAPT ExDa'!$B$2:$U$99, 0,FALSE), IFERROR(VLOOKUP($A942,'ABB ExDa'!$A$2:$N$184, 0,FALSE), IFERROR(VLOOKUP($A942,'Vocus SIT ExDa'!$B$2:$J$173, 0,FALSE), IFERROR(VLOOKUP($A942,'Telstra ExDa'!$B$2:$K$310, 0,FALSE), IFERROR(VLOOKUP($A942,'Vocus RVC ExDa'!$C$2:$R$155, 0,FALSE), IFERROR(VLOOKUP($A942,'Fusion ExDa'!$B$2:$D$16, 0,FALSE), IFERROR(VLOOKUP($A942,'Exetel ExDa'!$C$2:$N$14, 8,FALSE), IFERROR(VLOOKUP($A942,'Infinet ExDa'!$B$2:$E$14, 0,FALSE), "Not Found"))))))))</f>
        <v>Not Found</v>
      </c>
      <c r="J942" t="str">
        <f>IFERROR(VLOOKUP($A942,'AAPT ExDa'!$B$2:$U$99, 7,FALSE), IFERROR(VLOOKUP($A942,'ABB ExDa'!$A$2:$N$184, 2,FALSE), IFERROR(VLOOKUP($A942,'Vocus SIT ExDa'!$B$2:$J$173, 0,FALSE), IFERROR(VLOOKUP($A942,'Telstra ExDa'!$B$2:$K$310, 7,FALSE), IFERROR(VLOOKUP($A942,'Vocus RVC ExDa'!$C$2:$R$155, 2,FALSE), IFERROR(VLOOKUP($A942,'Fusion ExDa'!$B$2:$D$16, 3,FALSE), IFERROR(VLOOKUP($A942,'Exetel ExDa'!$C$2:$N$14, 0,FALSE), IFERROR(VLOOKUP($A942,'Infinet ExDa'!$B$2:$E$14, 0,FALSE), "Not Found"))))))))</f>
        <v>Not Found</v>
      </c>
      <c r="K942" t="str">
        <f>IFERROR(VLOOKUP($A942,'AAPT ExDa'!$B$2:$U$99, 12,FALSE), IFERROR(VLOOKUP($A942,'ABB ExDa'!$A$2:$N$184, 0,FALSE), IFERROR(VLOOKUP($A942,'Vocus SIT ExDa'!$B$2:$J$173, 0,FALSE), IFERROR(VLOOKUP($A942,'Telstra ExDa'!$B$2:$K$310, 0,FALSE), IFERROR(VLOOKUP($A942,'Vocus RVC ExDa'!$C$2:$R$155, 0,FALSE), IFERROR(VLOOKUP($A942,'Fusion ExDa'!$B$2:$D$16, 0,FALSE), IFERROR(VLOOKUP($A942,'Exetel ExDa'!$C$2:$N$14, 12,FALSE), IFERROR(VLOOKUP($A942,'Infinet ExDa'!$B$2:$E$14, 0,FALSE), "Not Found"))))))))</f>
        <v>Not Found</v>
      </c>
      <c r="L942" s="235" t="str">
        <f>IFERROR(VLOOKUP($A942,'AAPT ExDa'!$B$2:$U$99, 11,FALSE), IFERROR(VLOOKUP($A942,'ABB ExDa'!$A$2:$N$184, 9,FALSE), IFERROR(VLOOKUP($A942,'Vocus SIT ExDa'!$B$2:$J$173, 8,FALSE), IFERROR(VLOOKUP($A942,'Telstra ExDa'!$B$2:$K$310, 0,FALSE), IFERROR(VLOOKUP($A942,'Vocus RVC ExDa'!$C$2:$R$155, 0,FALSE), IFERROR(VLOOKUP($A942,'Fusion ExDa'!$B$2:$D$16, 0,FALSE), IFERROR(VLOOKUP($A942,'Exetel ExDa'!$C$2:$N$14, 9,FALSE), IFERROR(VLOOKUP($A942,'Infinet ExDa'!$B$2:$E$14, 0,FALSE), "Not Found"))))))))</f>
        <v>Not Found</v>
      </c>
      <c r="M942" s="234" t="str">
        <f>IFERROR(VLOOKUP($A942,'AAPT ExDa'!$B$2:$U$99, 0,FALSE), IFERROR(VLOOKUP($A942,'ABB ExDa'!$A$2:$N$184, 0,FALSE), IFERROR(VLOOKUP($A942,'Vocus SIT ExDa'!$B$2:$J$173, 0,FALSE), IFERROR(VLOOKUP($A942,'Telstra ExDa'!$B$2:$K$310, 0,FALSE), IFERROR(VLOOKUP($A942,'Vocus RVC ExDa'!$C$2:$R$155, 0,FALSE), IFERROR(VLOOKUP($A942,'Fusion ExDa'!$B$2:$D$16, 0,FALSE), IFERROR(VLOOKUP($A942,'Exetel ExDa'!$C$2:$N$14, 11,FALSE), IFERROR(VLOOKUP($A942,'Infinet ExDa'!$B$2:$E$14, 0,FALSE), "Not Found"))))))))</f>
        <v>Not Found</v>
      </c>
      <c r="N942" t="str">
        <f>IFERROR(VLOOKUP($A942,'AAPT ExDa'!$B$2:$U$99, 0,FALSE), IFERROR(VLOOKUP($A942,'ABB ExDa'!$A$2:$N$184, 13,FALSE), IFERROR(VLOOKUP($A942,'Vocus SIT ExDa'!$B$2:$J$173, 0,FALSE), IFERROR(VLOOKUP($A942,'Telstra ExDa'!$B$2:$K$310, 0,FALSE), IFERROR(VLOOKUP($A942,'Vocus RVC ExDa'!$C$2:$R$155, 0,FALSE), IFERROR(VLOOKUP($A942,'Fusion ExDa'!$B$2:$D$16, 0,FALSE), IFERROR(VLOOKUP($A942,'Exetel ExDa'!$C$2:$N$14, 0,FALSE), IFERROR(VLOOKUP($A942,'Infinet ExDa'!$B$2:$E$14, 0,FALSE), "Not Found"))))))))</f>
        <v>Not Found</v>
      </c>
    </row>
    <row r="943" spans="1:14">
      <c r="A943" t="str">
        <v>Zambrero Ocean Grove Tenancy 24/12-22
Coastal Boulevard, Ocean Grove, 3226</v>
      </c>
      <c r="B943" t="str">
        <f>IFERROR(VLOOKUP(A943,'Exetel ExDa'!$C$2:$N$14,4,FALSE),"No Data")</f>
        <v>No Data</v>
      </c>
      <c r="C943" t="str">
        <f>IFERROR(VLOOKUP(A943,'AAPT ExDa'!$B$2:$U$99, 2,FALSE), IFERROR(VLOOKUP(A943,'ABB ExDa'!$A$2:$N$184, 2,FALSE), IFERROR(VLOOKUP(A943,'Vocus SIT ExDa'!$B$2:$J$173, 7,FALSE), IFERROR(VLOOKUP(A943,'Telstra ExDa'!$B$2:$K$310, 2,FALSE), IFERROR(VLOOKUP(A943,'Vocus RVC ExDa'!$C$2:$R$155, 3,FALSE), IFERROR(VLOOKUP(A943,'Fusion ExDa'!$B$2:$D$16, 2,FALSE), IFERROR(VLOOKUP(A943,'Exetel ExDa'!$C$2:$N$14, 2,FALSE), IFERROR(VLOOKUP(A943,'Infinet ExDa'!$B$2:$E$14, 2,FALSE), "Not Found"))))))))</f>
        <v>Not Found</v>
      </c>
      <c r="D943" t="str">
        <f>IFERROR(VLOOKUP($A943,'AAPT ExDa'!$B$2:$U$99, 15,FALSE), IFERROR(VLOOKUP($A943,'ABB ExDa'!$A$2:$N$184, 4,FALSE), IFERROR(VLOOKUP($A943,'Vocus SIT ExDa'!$B$2:$J$173, 5,FALSE), IFERROR(VLOOKUP($A943,'Telstra ExDa'!$B$2:$K$310, 8,FALSE), IFERROR(VLOOKUP($A943,'Vocus RVC ExDa'!$C$2:$R$155, 6,FALSE), IFERROR(VLOOKUP($A943,'Fusion ExDa'!$B$2:$D$16, 4,FALSE), IFERROR(VLOOKUP($A943,'Exetel ExDa'!$C$2:$N$14, 3,FALSE), IFERROR(VLOOKUP($A943,'Infinet ExDa'!$B$2:$E$14, 3,FALSE), "Not Found"))))))))</f>
        <v>Not Found</v>
      </c>
      <c r="E943" t="str">
        <f>IFERROR(VLOOKUP($A943,'AAPT ExDa'!$B$2:$U$99, 3,FALSE), IFERROR(VLOOKUP($A943,'ABB ExDa'!$A$2:$N$184, 5,FALSE), IFERROR(VLOOKUP($A943,'Vocus SIT ExDa'!$B$2:$J$173, 2,FALSE), IFERROR(VLOOKUP($A943,'Telstra ExDa'!$B$2:$K$310, 4,FALSE), IFERROR(VLOOKUP($A943,'Vocus RVC ExDa'!$C$2:$R$155, 8,FALSE), IFERROR(VLOOKUP($A943,'Fusion ExDa'!$B$2:$D$16, 4,FALSE), IFERROR(VLOOKUP($A943,'Exetel ExDa'!$C$2:$N$14, 5,FALSE), IFERROR(VLOOKUP($A943,'Infinet ExDa'!$B$2:$E$14, 3,FALSE), "Not Found"))))))))</f>
        <v>Not Found</v>
      </c>
      <c r="F943" t="str">
        <f>IFERROR(VLOOKUP($A943,'AAPT ExDa'!$B$2:$U$99, 4,FALSE), IFERROR(VLOOKUP($A943,'ABB ExDa'!$A$2:$N$184, 6,FALSE), IFERROR(VLOOKUP($A943,'Vocus SIT ExDa'!$B$2:$J$173, 3,FALSE), IFERROR(VLOOKUP($A943,'Telstra ExDa'!$B$2:$K$310, 5,FALSE), IFERROR(VLOOKUP($A943,'Vocus RVC ExDa'!$C$2:$R$155, 9,FALSE), IFERROR(VLOOKUP($A943,'Fusion ExDa'!$B$2:$D$16, 0,FALSE), IFERROR(VLOOKUP($A943,'Exetel ExDa'!$C$2:$N$14, 6,FALSE), IFERROR(VLOOKUP($A943,'Infinet ExDa'!$B$2:$E$14, 0,FALSE), "Not Found"))))))))</f>
        <v>Not Found</v>
      </c>
      <c r="G943" t="str">
        <f>IFERROR(VLOOKUP($A943,'AAPT ExDa'!$B$2:$U$99, 5,FALSE), IFERROR(VLOOKUP($A943,'ABB ExDa'!$A$2:$N$184, 8,FALSE), IFERROR(VLOOKUP($A943,'Vocus SIT ExDa'!$B$2:$J$173, 6,FALSE), IFERROR(VLOOKUP($A943,'Telstra ExDa'!$B$2:$K$310, 0,FALSE), IFERROR(VLOOKUP($A943,'Vocus RVC ExDa'!$C$2:$R$155, 15,FALSE), IFERROR(VLOOKUP($A943,'Fusion ExDa'!$B$2:$D$16, 0,FALSE), IFERROR(VLOOKUP($A943,'Exetel ExDa'!$C$2:$N$14, 7,FALSE), IFERROR(VLOOKUP($A943,'Infinet ExDa'!$B$2:$E$14, 0,FALSE), "Not Found"))))))))</f>
        <v>Not Found</v>
      </c>
      <c r="H943" t="str">
        <f>IFERROR(VLOOKUP($A943,'AAPT ExDa'!$B$2:$U$99, 6,FALSE), IFERROR(VLOOKUP($A943,'ABB ExDa'!$A$2:$N$184, 0,FALSE), IFERROR(VLOOKUP($A943,'Vocus SIT ExDa'!$B$2:$J$173, 0,FALSE), IFERROR(VLOOKUP($A943,'Telstra ExDa'!$B$2:$K$310, 0,FALSE), IFERROR(VLOOKUP($A943,'Vocus RVC ExDa'!$C$2:$R$155, 16,FALSE), IFERROR(VLOOKUP($A943,'Fusion ExDa'!$B$2:$D$16, 0,FALSE), IFERROR(VLOOKUP($A943,'Exetel ExDa'!$C$2:$N$14, 0,FALSE), IFERROR(VLOOKUP($A943,'Infinet ExDa'!$B$2:$E$14, 0,FALSE), "Not Found"))))))))</f>
        <v>Not Found</v>
      </c>
      <c r="I943" t="str">
        <f>IFERROR(VLOOKUP($A943,'AAPT ExDa'!$B$2:$U$99, 0,FALSE), IFERROR(VLOOKUP($A943,'ABB ExDa'!$A$2:$N$184, 0,FALSE), IFERROR(VLOOKUP($A943,'Vocus SIT ExDa'!$B$2:$J$173, 0,FALSE), IFERROR(VLOOKUP($A943,'Telstra ExDa'!$B$2:$K$310, 0,FALSE), IFERROR(VLOOKUP($A943,'Vocus RVC ExDa'!$C$2:$R$155, 0,FALSE), IFERROR(VLOOKUP($A943,'Fusion ExDa'!$B$2:$D$16, 0,FALSE), IFERROR(VLOOKUP($A943,'Exetel ExDa'!$C$2:$N$14, 8,FALSE), IFERROR(VLOOKUP($A943,'Infinet ExDa'!$B$2:$E$14, 0,FALSE), "Not Found"))))))))</f>
        <v>Not Found</v>
      </c>
      <c r="J943" t="str">
        <f>IFERROR(VLOOKUP($A943,'AAPT ExDa'!$B$2:$U$99, 7,FALSE), IFERROR(VLOOKUP($A943,'ABB ExDa'!$A$2:$N$184, 2,FALSE), IFERROR(VLOOKUP($A943,'Vocus SIT ExDa'!$B$2:$J$173, 0,FALSE), IFERROR(VLOOKUP($A943,'Telstra ExDa'!$B$2:$K$310, 7,FALSE), IFERROR(VLOOKUP($A943,'Vocus RVC ExDa'!$C$2:$R$155, 2,FALSE), IFERROR(VLOOKUP($A943,'Fusion ExDa'!$B$2:$D$16, 3,FALSE), IFERROR(VLOOKUP($A943,'Exetel ExDa'!$C$2:$N$14, 0,FALSE), IFERROR(VLOOKUP($A943,'Infinet ExDa'!$B$2:$E$14, 0,FALSE), "Not Found"))))))))</f>
        <v>Not Found</v>
      </c>
      <c r="K943" t="str">
        <f>IFERROR(VLOOKUP($A943,'AAPT ExDa'!$B$2:$U$99, 12,FALSE), IFERROR(VLOOKUP($A943,'ABB ExDa'!$A$2:$N$184, 0,FALSE), IFERROR(VLOOKUP($A943,'Vocus SIT ExDa'!$B$2:$J$173, 0,FALSE), IFERROR(VLOOKUP($A943,'Telstra ExDa'!$B$2:$K$310, 0,FALSE), IFERROR(VLOOKUP($A943,'Vocus RVC ExDa'!$C$2:$R$155, 0,FALSE), IFERROR(VLOOKUP($A943,'Fusion ExDa'!$B$2:$D$16, 0,FALSE), IFERROR(VLOOKUP($A943,'Exetel ExDa'!$C$2:$N$14, 12,FALSE), IFERROR(VLOOKUP($A943,'Infinet ExDa'!$B$2:$E$14, 0,FALSE), "Not Found"))))))))</f>
        <v>Not Found</v>
      </c>
      <c r="L943" s="235" t="str">
        <f>IFERROR(VLOOKUP($A943,'AAPT ExDa'!$B$2:$U$99, 11,FALSE), IFERROR(VLOOKUP($A943,'ABB ExDa'!$A$2:$N$184, 9,FALSE), IFERROR(VLOOKUP($A943,'Vocus SIT ExDa'!$B$2:$J$173, 8,FALSE), IFERROR(VLOOKUP($A943,'Telstra ExDa'!$B$2:$K$310, 0,FALSE), IFERROR(VLOOKUP($A943,'Vocus RVC ExDa'!$C$2:$R$155, 0,FALSE), IFERROR(VLOOKUP($A943,'Fusion ExDa'!$B$2:$D$16, 0,FALSE), IFERROR(VLOOKUP($A943,'Exetel ExDa'!$C$2:$N$14, 9,FALSE), IFERROR(VLOOKUP($A943,'Infinet ExDa'!$B$2:$E$14, 0,FALSE), "Not Found"))))))))</f>
        <v>Not Found</v>
      </c>
      <c r="M943" s="234" t="str">
        <f>IFERROR(VLOOKUP($A943,'AAPT ExDa'!$B$2:$U$99, 0,FALSE), IFERROR(VLOOKUP($A943,'ABB ExDa'!$A$2:$N$184, 0,FALSE), IFERROR(VLOOKUP($A943,'Vocus SIT ExDa'!$B$2:$J$173, 0,FALSE), IFERROR(VLOOKUP($A943,'Telstra ExDa'!$B$2:$K$310, 0,FALSE), IFERROR(VLOOKUP($A943,'Vocus RVC ExDa'!$C$2:$R$155, 0,FALSE), IFERROR(VLOOKUP($A943,'Fusion ExDa'!$B$2:$D$16, 0,FALSE), IFERROR(VLOOKUP($A943,'Exetel ExDa'!$C$2:$N$14, 11,FALSE), IFERROR(VLOOKUP($A943,'Infinet ExDa'!$B$2:$E$14, 0,FALSE), "Not Found"))))))))</f>
        <v>Not Found</v>
      </c>
      <c r="N943" t="str">
        <f>IFERROR(VLOOKUP($A943,'AAPT ExDa'!$B$2:$U$99, 0,FALSE), IFERROR(VLOOKUP($A943,'ABB ExDa'!$A$2:$N$184, 13,FALSE), IFERROR(VLOOKUP($A943,'Vocus SIT ExDa'!$B$2:$J$173, 0,FALSE), IFERROR(VLOOKUP($A943,'Telstra ExDa'!$B$2:$K$310, 0,FALSE), IFERROR(VLOOKUP($A943,'Vocus RVC ExDa'!$C$2:$R$155, 0,FALSE), IFERROR(VLOOKUP($A943,'Fusion ExDa'!$B$2:$D$16, 0,FALSE), IFERROR(VLOOKUP($A943,'Exetel ExDa'!$C$2:$N$14, 0,FALSE), IFERROR(VLOOKUP($A943,'Infinet ExDa'!$B$2:$E$14, 0,FALSE), "Not Found"))))))))</f>
        <v>Not Found</v>
      </c>
    </row>
    <row r="944" spans="1:14">
      <c r="A944" t="str">
        <v>Zambrero Inglewood Shop 2/900-902
Beaufort Street, Inglewood, 6052</v>
      </c>
      <c r="B944" t="str">
        <f>IFERROR(VLOOKUP(A944,'Exetel ExDa'!$C$2:$N$14,4,FALSE),"No Data")</f>
        <v>No Data</v>
      </c>
      <c r="C944" t="str">
        <f>IFERROR(VLOOKUP(A944,'AAPT ExDa'!$B$2:$U$99, 2,FALSE), IFERROR(VLOOKUP(A944,'ABB ExDa'!$A$2:$N$184, 2,FALSE), IFERROR(VLOOKUP(A944,'Vocus SIT ExDa'!$B$2:$J$173, 7,FALSE), IFERROR(VLOOKUP(A944,'Telstra ExDa'!$B$2:$K$310, 2,FALSE), IFERROR(VLOOKUP(A944,'Vocus RVC ExDa'!$C$2:$R$155, 3,FALSE), IFERROR(VLOOKUP(A944,'Fusion ExDa'!$B$2:$D$16, 2,FALSE), IFERROR(VLOOKUP(A944,'Exetel ExDa'!$C$2:$N$14, 2,FALSE), IFERROR(VLOOKUP(A944,'Infinet ExDa'!$B$2:$E$14, 2,FALSE), "Not Found"))))))))</f>
        <v>Not Found</v>
      </c>
      <c r="D944" t="str">
        <f>IFERROR(VLOOKUP($A944,'AAPT ExDa'!$B$2:$U$99, 15,FALSE), IFERROR(VLOOKUP($A944,'ABB ExDa'!$A$2:$N$184, 4,FALSE), IFERROR(VLOOKUP($A944,'Vocus SIT ExDa'!$B$2:$J$173, 5,FALSE), IFERROR(VLOOKUP($A944,'Telstra ExDa'!$B$2:$K$310, 8,FALSE), IFERROR(VLOOKUP($A944,'Vocus RVC ExDa'!$C$2:$R$155, 6,FALSE), IFERROR(VLOOKUP($A944,'Fusion ExDa'!$B$2:$D$16, 4,FALSE), IFERROR(VLOOKUP($A944,'Exetel ExDa'!$C$2:$N$14, 3,FALSE), IFERROR(VLOOKUP($A944,'Infinet ExDa'!$B$2:$E$14, 3,FALSE), "Not Found"))))))))</f>
        <v>Not Found</v>
      </c>
      <c r="E944" t="str">
        <f>IFERROR(VLOOKUP($A944,'AAPT ExDa'!$B$2:$U$99, 3,FALSE), IFERROR(VLOOKUP($A944,'ABB ExDa'!$A$2:$N$184, 5,FALSE), IFERROR(VLOOKUP($A944,'Vocus SIT ExDa'!$B$2:$J$173, 2,FALSE), IFERROR(VLOOKUP($A944,'Telstra ExDa'!$B$2:$K$310, 4,FALSE), IFERROR(VLOOKUP($A944,'Vocus RVC ExDa'!$C$2:$R$155, 8,FALSE), IFERROR(VLOOKUP($A944,'Fusion ExDa'!$B$2:$D$16, 4,FALSE), IFERROR(VLOOKUP($A944,'Exetel ExDa'!$C$2:$N$14, 5,FALSE), IFERROR(VLOOKUP($A944,'Infinet ExDa'!$B$2:$E$14, 3,FALSE), "Not Found"))))))))</f>
        <v>Not Found</v>
      </c>
      <c r="F944" t="str">
        <f>IFERROR(VLOOKUP($A944,'AAPT ExDa'!$B$2:$U$99, 4,FALSE), IFERROR(VLOOKUP($A944,'ABB ExDa'!$A$2:$N$184, 6,FALSE), IFERROR(VLOOKUP($A944,'Vocus SIT ExDa'!$B$2:$J$173, 3,FALSE), IFERROR(VLOOKUP($A944,'Telstra ExDa'!$B$2:$K$310, 5,FALSE), IFERROR(VLOOKUP($A944,'Vocus RVC ExDa'!$C$2:$R$155, 9,FALSE), IFERROR(VLOOKUP($A944,'Fusion ExDa'!$B$2:$D$16, 0,FALSE), IFERROR(VLOOKUP($A944,'Exetel ExDa'!$C$2:$N$14, 6,FALSE), IFERROR(VLOOKUP($A944,'Infinet ExDa'!$B$2:$E$14, 0,FALSE), "Not Found"))))))))</f>
        <v>Not Found</v>
      </c>
      <c r="G944" t="str">
        <f>IFERROR(VLOOKUP($A944,'AAPT ExDa'!$B$2:$U$99, 5,FALSE), IFERROR(VLOOKUP($A944,'ABB ExDa'!$A$2:$N$184, 8,FALSE), IFERROR(VLOOKUP($A944,'Vocus SIT ExDa'!$B$2:$J$173, 6,FALSE), IFERROR(VLOOKUP($A944,'Telstra ExDa'!$B$2:$K$310, 0,FALSE), IFERROR(VLOOKUP($A944,'Vocus RVC ExDa'!$C$2:$R$155, 15,FALSE), IFERROR(VLOOKUP($A944,'Fusion ExDa'!$B$2:$D$16, 0,FALSE), IFERROR(VLOOKUP($A944,'Exetel ExDa'!$C$2:$N$14, 7,FALSE), IFERROR(VLOOKUP($A944,'Infinet ExDa'!$B$2:$E$14, 0,FALSE), "Not Found"))))))))</f>
        <v>Not Found</v>
      </c>
      <c r="H944" t="str">
        <f>IFERROR(VLOOKUP($A944,'AAPT ExDa'!$B$2:$U$99, 6,FALSE), IFERROR(VLOOKUP($A944,'ABB ExDa'!$A$2:$N$184, 0,FALSE), IFERROR(VLOOKUP($A944,'Vocus SIT ExDa'!$B$2:$J$173, 0,FALSE), IFERROR(VLOOKUP($A944,'Telstra ExDa'!$B$2:$K$310, 0,FALSE), IFERROR(VLOOKUP($A944,'Vocus RVC ExDa'!$C$2:$R$155, 16,FALSE), IFERROR(VLOOKUP($A944,'Fusion ExDa'!$B$2:$D$16, 0,FALSE), IFERROR(VLOOKUP($A944,'Exetel ExDa'!$C$2:$N$14, 0,FALSE), IFERROR(VLOOKUP($A944,'Infinet ExDa'!$B$2:$E$14, 0,FALSE), "Not Found"))))))))</f>
        <v>Not Found</v>
      </c>
      <c r="I944" t="str">
        <f>IFERROR(VLOOKUP($A944,'AAPT ExDa'!$B$2:$U$99, 0,FALSE), IFERROR(VLOOKUP($A944,'ABB ExDa'!$A$2:$N$184, 0,FALSE), IFERROR(VLOOKUP($A944,'Vocus SIT ExDa'!$B$2:$J$173, 0,FALSE), IFERROR(VLOOKUP($A944,'Telstra ExDa'!$B$2:$K$310, 0,FALSE), IFERROR(VLOOKUP($A944,'Vocus RVC ExDa'!$C$2:$R$155, 0,FALSE), IFERROR(VLOOKUP($A944,'Fusion ExDa'!$B$2:$D$16, 0,FALSE), IFERROR(VLOOKUP($A944,'Exetel ExDa'!$C$2:$N$14, 8,FALSE), IFERROR(VLOOKUP($A944,'Infinet ExDa'!$B$2:$E$14, 0,FALSE), "Not Found"))))))))</f>
        <v>Not Found</v>
      </c>
      <c r="J944" t="str">
        <f>IFERROR(VLOOKUP($A944,'AAPT ExDa'!$B$2:$U$99, 7,FALSE), IFERROR(VLOOKUP($A944,'ABB ExDa'!$A$2:$N$184, 2,FALSE), IFERROR(VLOOKUP($A944,'Vocus SIT ExDa'!$B$2:$J$173, 0,FALSE), IFERROR(VLOOKUP($A944,'Telstra ExDa'!$B$2:$K$310, 7,FALSE), IFERROR(VLOOKUP($A944,'Vocus RVC ExDa'!$C$2:$R$155, 2,FALSE), IFERROR(VLOOKUP($A944,'Fusion ExDa'!$B$2:$D$16, 3,FALSE), IFERROR(VLOOKUP($A944,'Exetel ExDa'!$C$2:$N$14, 0,FALSE), IFERROR(VLOOKUP($A944,'Infinet ExDa'!$B$2:$E$14, 0,FALSE), "Not Found"))))))))</f>
        <v>Not Found</v>
      </c>
      <c r="K944" t="str">
        <f>IFERROR(VLOOKUP($A944,'AAPT ExDa'!$B$2:$U$99, 12,FALSE), IFERROR(VLOOKUP($A944,'ABB ExDa'!$A$2:$N$184, 0,FALSE), IFERROR(VLOOKUP($A944,'Vocus SIT ExDa'!$B$2:$J$173, 0,FALSE), IFERROR(VLOOKUP($A944,'Telstra ExDa'!$B$2:$K$310, 0,FALSE), IFERROR(VLOOKUP($A944,'Vocus RVC ExDa'!$C$2:$R$155, 0,FALSE), IFERROR(VLOOKUP($A944,'Fusion ExDa'!$B$2:$D$16, 0,FALSE), IFERROR(VLOOKUP($A944,'Exetel ExDa'!$C$2:$N$14, 12,FALSE), IFERROR(VLOOKUP($A944,'Infinet ExDa'!$B$2:$E$14, 0,FALSE), "Not Found"))))))))</f>
        <v>Not Found</v>
      </c>
      <c r="L944" s="235" t="str">
        <f>IFERROR(VLOOKUP($A944,'AAPT ExDa'!$B$2:$U$99, 11,FALSE), IFERROR(VLOOKUP($A944,'ABB ExDa'!$A$2:$N$184, 9,FALSE), IFERROR(VLOOKUP($A944,'Vocus SIT ExDa'!$B$2:$J$173, 8,FALSE), IFERROR(VLOOKUP($A944,'Telstra ExDa'!$B$2:$K$310, 0,FALSE), IFERROR(VLOOKUP($A944,'Vocus RVC ExDa'!$C$2:$R$155, 0,FALSE), IFERROR(VLOOKUP($A944,'Fusion ExDa'!$B$2:$D$16, 0,FALSE), IFERROR(VLOOKUP($A944,'Exetel ExDa'!$C$2:$N$14, 9,FALSE), IFERROR(VLOOKUP($A944,'Infinet ExDa'!$B$2:$E$14, 0,FALSE), "Not Found"))))))))</f>
        <v>Not Found</v>
      </c>
      <c r="M944" s="234" t="str">
        <f>IFERROR(VLOOKUP($A944,'AAPT ExDa'!$B$2:$U$99, 0,FALSE), IFERROR(VLOOKUP($A944,'ABB ExDa'!$A$2:$N$184, 0,FALSE), IFERROR(VLOOKUP($A944,'Vocus SIT ExDa'!$B$2:$J$173, 0,FALSE), IFERROR(VLOOKUP($A944,'Telstra ExDa'!$B$2:$K$310, 0,FALSE), IFERROR(VLOOKUP($A944,'Vocus RVC ExDa'!$C$2:$R$155, 0,FALSE), IFERROR(VLOOKUP($A944,'Fusion ExDa'!$B$2:$D$16, 0,FALSE), IFERROR(VLOOKUP($A944,'Exetel ExDa'!$C$2:$N$14, 11,FALSE), IFERROR(VLOOKUP($A944,'Infinet ExDa'!$B$2:$E$14, 0,FALSE), "Not Found"))))))))</f>
        <v>Not Found</v>
      </c>
      <c r="N944" t="str">
        <f>IFERROR(VLOOKUP($A944,'AAPT ExDa'!$B$2:$U$99, 0,FALSE), IFERROR(VLOOKUP($A944,'ABB ExDa'!$A$2:$N$184, 13,FALSE), IFERROR(VLOOKUP($A944,'Vocus SIT ExDa'!$B$2:$J$173, 0,FALSE), IFERROR(VLOOKUP($A944,'Telstra ExDa'!$B$2:$K$310, 0,FALSE), IFERROR(VLOOKUP($A944,'Vocus RVC ExDa'!$C$2:$R$155, 0,FALSE), IFERROR(VLOOKUP($A944,'Fusion ExDa'!$B$2:$D$16, 0,FALSE), IFERROR(VLOOKUP($A944,'Exetel ExDa'!$C$2:$N$14, 0,FALSE), IFERROR(VLOOKUP($A944,'Infinet ExDa'!$B$2:$E$14, 0,FALSE), "Not Found"))))))))</f>
        <v>Not Found</v>
      </c>
    </row>
    <row r="945" spans="1:14">
      <c r="A945" t="str">
        <v>Zambrero West End Unit 3/217-219 Ingham
Road, West End, 4810</v>
      </c>
      <c r="B945" t="str">
        <f>IFERROR(VLOOKUP(A945,'Exetel ExDa'!$C$2:$N$14,4,FALSE),"No Data")</f>
        <v>No Data</v>
      </c>
      <c r="C945" t="str">
        <f>IFERROR(VLOOKUP(A945,'AAPT ExDa'!$B$2:$U$99, 2,FALSE), IFERROR(VLOOKUP(A945,'ABB ExDa'!$A$2:$N$184, 2,FALSE), IFERROR(VLOOKUP(A945,'Vocus SIT ExDa'!$B$2:$J$173, 7,FALSE), IFERROR(VLOOKUP(A945,'Telstra ExDa'!$B$2:$K$310, 2,FALSE), IFERROR(VLOOKUP(A945,'Vocus RVC ExDa'!$C$2:$R$155, 3,FALSE), IFERROR(VLOOKUP(A945,'Fusion ExDa'!$B$2:$D$16, 2,FALSE), IFERROR(VLOOKUP(A945,'Exetel ExDa'!$C$2:$N$14, 2,FALSE), IFERROR(VLOOKUP(A945,'Infinet ExDa'!$B$2:$E$14, 2,FALSE), "Not Found"))))))))</f>
        <v>Not Found</v>
      </c>
      <c r="D945" t="str">
        <f>IFERROR(VLOOKUP($A945,'AAPT ExDa'!$B$2:$U$99, 15,FALSE), IFERROR(VLOOKUP($A945,'ABB ExDa'!$A$2:$N$184, 4,FALSE), IFERROR(VLOOKUP($A945,'Vocus SIT ExDa'!$B$2:$J$173, 5,FALSE), IFERROR(VLOOKUP($A945,'Telstra ExDa'!$B$2:$K$310, 8,FALSE), IFERROR(VLOOKUP($A945,'Vocus RVC ExDa'!$C$2:$R$155, 6,FALSE), IFERROR(VLOOKUP($A945,'Fusion ExDa'!$B$2:$D$16, 4,FALSE), IFERROR(VLOOKUP($A945,'Exetel ExDa'!$C$2:$N$14, 3,FALSE), IFERROR(VLOOKUP($A945,'Infinet ExDa'!$B$2:$E$14, 3,FALSE), "Not Found"))))))))</f>
        <v>Not Found</v>
      </c>
      <c r="E945" t="str">
        <f>IFERROR(VLOOKUP($A945,'AAPT ExDa'!$B$2:$U$99, 3,FALSE), IFERROR(VLOOKUP($A945,'ABB ExDa'!$A$2:$N$184, 5,FALSE), IFERROR(VLOOKUP($A945,'Vocus SIT ExDa'!$B$2:$J$173, 2,FALSE), IFERROR(VLOOKUP($A945,'Telstra ExDa'!$B$2:$K$310, 4,FALSE), IFERROR(VLOOKUP($A945,'Vocus RVC ExDa'!$C$2:$R$155, 8,FALSE), IFERROR(VLOOKUP($A945,'Fusion ExDa'!$B$2:$D$16, 4,FALSE), IFERROR(VLOOKUP($A945,'Exetel ExDa'!$C$2:$N$14, 5,FALSE), IFERROR(VLOOKUP($A945,'Infinet ExDa'!$B$2:$E$14, 3,FALSE), "Not Found"))))))))</f>
        <v>Not Found</v>
      </c>
      <c r="F945" t="str">
        <f>IFERROR(VLOOKUP($A945,'AAPT ExDa'!$B$2:$U$99, 4,FALSE), IFERROR(VLOOKUP($A945,'ABB ExDa'!$A$2:$N$184, 6,FALSE), IFERROR(VLOOKUP($A945,'Vocus SIT ExDa'!$B$2:$J$173, 3,FALSE), IFERROR(VLOOKUP($A945,'Telstra ExDa'!$B$2:$K$310, 5,FALSE), IFERROR(VLOOKUP($A945,'Vocus RVC ExDa'!$C$2:$R$155, 9,FALSE), IFERROR(VLOOKUP($A945,'Fusion ExDa'!$B$2:$D$16, 0,FALSE), IFERROR(VLOOKUP($A945,'Exetel ExDa'!$C$2:$N$14, 6,FALSE), IFERROR(VLOOKUP($A945,'Infinet ExDa'!$B$2:$E$14, 0,FALSE), "Not Found"))))))))</f>
        <v>Not Found</v>
      </c>
      <c r="G945" t="str">
        <f>IFERROR(VLOOKUP($A945,'AAPT ExDa'!$B$2:$U$99, 5,FALSE), IFERROR(VLOOKUP($A945,'ABB ExDa'!$A$2:$N$184, 8,FALSE), IFERROR(VLOOKUP($A945,'Vocus SIT ExDa'!$B$2:$J$173, 6,FALSE), IFERROR(VLOOKUP($A945,'Telstra ExDa'!$B$2:$K$310, 0,FALSE), IFERROR(VLOOKUP($A945,'Vocus RVC ExDa'!$C$2:$R$155, 15,FALSE), IFERROR(VLOOKUP($A945,'Fusion ExDa'!$B$2:$D$16, 0,FALSE), IFERROR(VLOOKUP($A945,'Exetel ExDa'!$C$2:$N$14, 7,FALSE), IFERROR(VLOOKUP($A945,'Infinet ExDa'!$B$2:$E$14, 0,FALSE), "Not Found"))))))))</f>
        <v>Not Found</v>
      </c>
      <c r="H945" t="str">
        <f>IFERROR(VLOOKUP($A945,'AAPT ExDa'!$B$2:$U$99, 6,FALSE), IFERROR(VLOOKUP($A945,'ABB ExDa'!$A$2:$N$184, 0,FALSE), IFERROR(VLOOKUP($A945,'Vocus SIT ExDa'!$B$2:$J$173, 0,FALSE), IFERROR(VLOOKUP($A945,'Telstra ExDa'!$B$2:$K$310, 0,FALSE), IFERROR(VLOOKUP($A945,'Vocus RVC ExDa'!$C$2:$R$155, 16,FALSE), IFERROR(VLOOKUP($A945,'Fusion ExDa'!$B$2:$D$16, 0,FALSE), IFERROR(VLOOKUP($A945,'Exetel ExDa'!$C$2:$N$14, 0,FALSE), IFERROR(VLOOKUP($A945,'Infinet ExDa'!$B$2:$E$14, 0,FALSE), "Not Found"))))))))</f>
        <v>Not Found</v>
      </c>
      <c r="I945" t="str">
        <f>IFERROR(VLOOKUP($A945,'AAPT ExDa'!$B$2:$U$99, 0,FALSE), IFERROR(VLOOKUP($A945,'ABB ExDa'!$A$2:$N$184, 0,FALSE), IFERROR(VLOOKUP($A945,'Vocus SIT ExDa'!$B$2:$J$173, 0,FALSE), IFERROR(VLOOKUP($A945,'Telstra ExDa'!$B$2:$K$310, 0,FALSE), IFERROR(VLOOKUP($A945,'Vocus RVC ExDa'!$C$2:$R$155, 0,FALSE), IFERROR(VLOOKUP($A945,'Fusion ExDa'!$B$2:$D$16, 0,FALSE), IFERROR(VLOOKUP($A945,'Exetel ExDa'!$C$2:$N$14, 8,FALSE), IFERROR(VLOOKUP($A945,'Infinet ExDa'!$B$2:$E$14, 0,FALSE), "Not Found"))))))))</f>
        <v>Not Found</v>
      </c>
      <c r="J945" t="str">
        <f>IFERROR(VLOOKUP($A945,'AAPT ExDa'!$B$2:$U$99, 7,FALSE), IFERROR(VLOOKUP($A945,'ABB ExDa'!$A$2:$N$184, 2,FALSE), IFERROR(VLOOKUP($A945,'Vocus SIT ExDa'!$B$2:$J$173, 0,FALSE), IFERROR(VLOOKUP($A945,'Telstra ExDa'!$B$2:$K$310, 7,FALSE), IFERROR(VLOOKUP($A945,'Vocus RVC ExDa'!$C$2:$R$155, 2,FALSE), IFERROR(VLOOKUP($A945,'Fusion ExDa'!$B$2:$D$16, 3,FALSE), IFERROR(VLOOKUP($A945,'Exetel ExDa'!$C$2:$N$14, 0,FALSE), IFERROR(VLOOKUP($A945,'Infinet ExDa'!$B$2:$E$14, 0,FALSE), "Not Found"))))))))</f>
        <v>Not Found</v>
      </c>
      <c r="K945" t="str">
        <f>IFERROR(VLOOKUP($A945,'AAPT ExDa'!$B$2:$U$99, 12,FALSE), IFERROR(VLOOKUP($A945,'ABB ExDa'!$A$2:$N$184, 0,FALSE), IFERROR(VLOOKUP($A945,'Vocus SIT ExDa'!$B$2:$J$173, 0,FALSE), IFERROR(VLOOKUP($A945,'Telstra ExDa'!$B$2:$K$310, 0,FALSE), IFERROR(VLOOKUP($A945,'Vocus RVC ExDa'!$C$2:$R$155, 0,FALSE), IFERROR(VLOOKUP($A945,'Fusion ExDa'!$B$2:$D$16, 0,FALSE), IFERROR(VLOOKUP($A945,'Exetel ExDa'!$C$2:$N$14, 12,FALSE), IFERROR(VLOOKUP($A945,'Infinet ExDa'!$B$2:$E$14, 0,FALSE), "Not Found"))))))))</f>
        <v>Not Found</v>
      </c>
      <c r="L945" s="235" t="str">
        <f>IFERROR(VLOOKUP($A945,'AAPT ExDa'!$B$2:$U$99, 11,FALSE), IFERROR(VLOOKUP($A945,'ABB ExDa'!$A$2:$N$184, 9,FALSE), IFERROR(VLOOKUP($A945,'Vocus SIT ExDa'!$B$2:$J$173, 8,FALSE), IFERROR(VLOOKUP($A945,'Telstra ExDa'!$B$2:$K$310, 0,FALSE), IFERROR(VLOOKUP($A945,'Vocus RVC ExDa'!$C$2:$R$155, 0,FALSE), IFERROR(VLOOKUP($A945,'Fusion ExDa'!$B$2:$D$16, 0,FALSE), IFERROR(VLOOKUP($A945,'Exetel ExDa'!$C$2:$N$14, 9,FALSE), IFERROR(VLOOKUP($A945,'Infinet ExDa'!$B$2:$E$14, 0,FALSE), "Not Found"))))))))</f>
        <v>Not Found</v>
      </c>
      <c r="M945" s="234" t="str">
        <f>IFERROR(VLOOKUP($A945,'AAPT ExDa'!$B$2:$U$99, 0,FALSE), IFERROR(VLOOKUP($A945,'ABB ExDa'!$A$2:$N$184, 0,FALSE), IFERROR(VLOOKUP($A945,'Vocus SIT ExDa'!$B$2:$J$173, 0,FALSE), IFERROR(VLOOKUP($A945,'Telstra ExDa'!$B$2:$K$310, 0,FALSE), IFERROR(VLOOKUP($A945,'Vocus RVC ExDa'!$C$2:$R$155, 0,FALSE), IFERROR(VLOOKUP($A945,'Fusion ExDa'!$B$2:$D$16, 0,FALSE), IFERROR(VLOOKUP($A945,'Exetel ExDa'!$C$2:$N$14, 11,FALSE), IFERROR(VLOOKUP($A945,'Infinet ExDa'!$B$2:$E$14, 0,FALSE), "Not Found"))))))))</f>
        <v>Not Found</v>
      </c>
      <c r="N945" t="str">
        <f>IFERROR(VLOOKUP($A945,'AAPT ExDa'!$B$2:$U$99, 0,FALSE), IFERROR(VLOOKUP($A945,'ABB ExDa'!$A$2:$N$184, 13,FALSE), IFERROR(VLOOKUP($A945,'Vocus SIT ExDa'!$B$2:$J$173, 0,FALSE), IFERROR(VLOOKUP($A945,'Telstra ExDa'!$B$2:$K$310, 0,FALSE), IFERROR(VLOOKUP($A945,'Vocus RVC ExDa'!$C$2:$R$155, 0,FALSE), IFERROR(VLOOKUP($A945,'Fusion ExDa'!$B$2:$D$16, 0,FALSE), IFERROR(VLOOKUP($A945,'Exetel ExDa'!$C$2:$N$14, 0,FALSE), IFERROR(VLOOKUP($A945,'Infinet ExDa'!$B$2:$E$14, 0,FALSE), "Not Found"))))))))</f>
        <v>Not Found</v>
      </c>
    </row>
    <row r="946" spans="1:14">
      <c r="A946" t="str">
        <v>Little Cha Charlestown Kiosk K803
Charlestown Square, Pearson Street, Charlestown, 2290</v>
      </c>
      <c r="B946" t="str">
        <f>IFERROR(VLOOKUP(A946,'Exetel ExDa'!$C$2:$N$14,4,FALSE),"No Data")</f>
        <v>No Data</v>
      </c>
      <c r="C946" t="str">
        <f>IFERROR(VLOOKUP(A946,'AAPT ExDa'!$B$2:$U$99, 2,FALSE), IFERROR(VLOOKUP(A946,'ABB ExDa'!$A$2:$N$184, 2,FALSE), IFERROR(VLOOKUP(A946,'Vocus SIT ExDa'!$B$2:$J$173, 7,FALSE), IFERROR(VLOOKUP(A946,'Telstra ExDa'!$B$2:$K$310, 2,FALSE), IFERROR(VLOOKUP(A946,'Vocus RVC ExDa'!$C$2:$R$155, 3,FALSE), IFERROR(VLOOKUP(A946,'Fusion ExDa'!$B$2:$D$16, 2,FALSE), IFERROR(VLOOKUP(A946,'Exetel ExDa'!$C$2:$N$14, 2,FALSE), IFERROR(VLOOKUP(A946,'Infinet ExDa'!$B$2:$E$14, 2,FALSE), "Not Found"))))))))</f>
        <v>Not Found</v>
      </c>
      <c r="D946" t="str">
        <f>IFERROR(VLOOKUP($A946,'AAPT ExDa'!$B$2:$U$99, 15,FALSE), IFERROR(VLOOKUP($A946,'ABB ExDa'!$A$2:$N$184, 4,FALSE), IFERROR(VLOOKUP($A946,'Vocus SIT ExDa'!$B$2:$J$173, 5,FALSE), IFERROR(VLOOKUP($A946,'Telstra ExDa'!$B$2:$K$310, 8,FALSE), IFERROR(VLOOKUP($A946,'Vocus RVC ExDa'!$C$2:$R$155, 6,FALSE), IFERROR(VLOOKUP($A946,'Fusion ExDa'!$B$2:$D$16, 4,FALSE), IFERROR(VLOOKUP($A946,'Exetel ExDa'!$C$2:$N$14, 3,FALSE), IFERROR(VLOOKUP($A946,'Infinet ExDa'!$B$2:$E$14, 3,FALSE), "Not Found"))))))))</f>
        <v>Not Found</v>
      </c>
      <c r="E946" t="str">
        <f>IFERROR(VLOOKUP($A946,'AAPT ExDa'!$B$2:$U$99, 3,FALSE), IFERROR(VLOOKUP($A946,'ABB ExDa'!$A$2:$N$184, 5,FALSE), IFERROR(VLOOKUP($A946,'Vocus SIT ExDa'!$B$2:$J$173, 2,FALSE), IFERROR(VLOOKUP($A946,'Telstra ExDa'!$B$2:$K$310, 4,FALSE), IFERROR(VLOOKUP($A946,'Vocus RVC ExDa'!$C$2:$R$155, 8,FALSE), IFERROR(VLOOKUP($A946,'Fusion ExDa'!$B$2:$D$16, 4,FALSE), IFERROR(VLOOKUP($A946,'Exetel ExDa'!$C$2:$N$14, 5,FALSE), IFERROR(VLOOKUP($A946,'Infinet ExDa'!$B$2:$E$14, 3,FALSE), "Not Found"))))))))</f>
        <v>Not Found</v>
      </c>
      <c r="F946" t="str">
        <f>IFERROR(VLOOKUP($A946,'AAPT ExDa'!$B$2:$U$99, 4,FALSE), IFERROR(VLOOKUP($A946,'ABB ExDa'!$A$2:$N$184, 6,FALSE), IFERROR(VLOOKUP($A946,'Vocus SIT ExDa'!$B$2:$J$173, 3,FALSE), IFERROR(VLOOKUP($A946,'Telstra ExDa'!$B$2:$K$310, 5,FALSE), IFERROR(VLOOKUP($A946,'Vocus RVC ExDa'!$C$2:$R$155, 9,FALSE), IFERROR(VLOOKUP($A946,'Fusion ExDa'!$B$2:$D$16, 0,FALSE), IFERROR(VLOOKUP($A946,'Exetel ExDa'!$C$2:$N$14, 6,FALSE), IFERROR(VLOOKUP($A946,'Infinet ExDa'!$B$2:$E$14, 0,FALSE), "Not Found"))))))))</f>
        <v>Not Found</v>
      </c>
      <c r="G946" t="str">
        <f>IFERROR(VLOOKUP($A946,'AAPT ExDa'!$B$2:$U$99, 5,FALSE), IFERROR(VLOOKUP($A946,'ABB ExDa'!$A$2:$N$184, 8,FALSE), IFERROR(VLOOKUP($A946,'Vocus SIT ExDa'!$B$2:$J$173, 6,FALSE), IFERROR(VLOOKUP($A946,'Telstra ExDa'!$B$2:$K$310, 0,FALSE), IFERROR(VLOOKUP($A946,'Vocus RVC ExDa'!$C$2:$R$155, 15,FALSE), IFERROR(VLOOKUP($A946,'Fusion ExDa'!$B$2:$D$16, 0,FALSE), IFERROR(VLOOKUP($A946,'Exetel ExDa'!$C$2:$N$14, 7,FALSE), IFERROR(VLOOKUP($A946,'Infinet ExDa'!$B$2:$E$14, 0,FALSE), "Not Found"))))))))</f>
        <v>Not Found</v>
      </c>
      <c r="H946" t="str">
        <f>IFERROR(VLOOKUP($A946,'AAPT ExDa'!$B$2:$U$99, 6,FALSE), IFERROR(VLOOKUP($A946,'ABB ExDa'!$A$2:$N$184, 0,FALSE), IFERROR(VLOOKUP($A946,'Vocus SIT ExDa'!$B$2:$J$173, 0,FALSE), IFERROR(VLOOKUP($A946,'Telstra ExDa'!$B$2:$K$310, 0,FALSE), IFERROR(VLOOKUP($A946,'Vocus RVC ExDa'!$C$2:$R$155, 16,FALSE), IFERROR(VLOOKUP($A946,'Fusion ExDa'!$B$2:$D$16, 0,FALSE), IFERROR(VLOOKUP($A946,'Exetel ExDa'!$C$2:$N$14, 0,FALSE), IFERROR(VLOOKUP($A946,'Infinet ExDa'!$B$2:$E$14, 0,FALSE), "Not Found"))))))))</f>
        <v>Not Found</v>
      </c>
      <c r="I946" t="str">
        <f>IFERROR(VLOOKUP($A946,'AAPT ExDa'!$B$2:$U$99, 0,FALSE), IFERROR(VLOOKUP($A946,'ABB ExDa'!$A$2:$N$184, 0,FALSE), IFERROR(VLOOKUP($A946,'Vocus SIT ExDa'!$B$2:$J$173, 0,FALSE), IFERROR(VLOOKUP($A946,'Telstra ExDa'!$B$2:$K$310, 0,FALSE), IFERROR(VLOOKUP($A946,'Vocus RVC ExDa'!$C$2:$R$155, 0,FALSE), IFERROR(VLOOKUP($A946,'Fusion ExDa'!$B$2:$D$16, 0,FALSE), IFERROR(VLOOKUP($A946,'Exetel ExDa'!$C$2:$N$14, 8,FALSE), IFERROR(VLOOKUP($A946,'Infinet ExDa'!$B$2:$E$14, 0,FALSE), "Not Found"))))))))</f>
        <v>Not Found</v>
      </c>
      <c r="J946" t="str">
        <f>IFERROR(VLOOKUP($A946,'AAPT ExDa'!$B$2:$U$99, 7,FALSE), IFERROR(VLOOKUP($A946,'ABB ExDa'!$A$2:$N$184, 2,FALSE), IFERROR(VLOOKUP($A946,'Vocus SIT ExDa'!$B$2:$J$173, 0,FALSE), IFERROR(VLOOKUP($A946,'Telstra ExDa'!$B$2:$K$310, 7,FALSE), IFERROR(VLOOKUP($A946,'Vocus RVC ExDa'!$C$2:$R$155, 2,FALSE), IFERROR(VLOOKUP($A946,'Fusion ExDa'!$B$2:$D$16, 3,FALSE), IFERROR(VLOOKUP($A946,'Exetel ExDa'!$C$2:$N$14, 0,FALSE), IFERROR(VLOOKUP($A946,'Infinet ExDa'!$B$2:$E$14, 0,FALSE), "Not Found"))))))))</f>
        <v>Not Found</v>
      </c>
      <c r="K946" t="str">
        <f>IFERROR(VLOOKUP($A946,'AAPT ExDa'!$B$2:$U$99, 12,FALSE), IFERROR(VLOOKUP($A946,'ABB ExDa'!$A$2:$N$184, 0,FALSE), IFERROR(VLOOKUP($A946,'Vocus SIT ExDa'!$B$2:$J$173, 0,FALSE), IFERROR(VLOOKUP($A946,'Telstra ExDa'!$B$2:$K$310, 0,FALSE), IFERROR(VLOOKUP($A946,'Vocus RVC ExDa'!$C$2:$R$155, 0,FALSE), IFERROR(VLOOKUP($A946,'Fusion ExDa'!$B$2:$D$16, 0,FALSE), IFERROR(VLOOKUP($A946,'Exetel ExDa'!$C$2:$N$14, 12,FALSE), IFERROR(VLOOKUP($A946,'Infinet ExDa'!$B$2:$E$14, 0,FALSE), "Not Found"))))))))</f>
        <v>Not Found</v>
      </c>
      <c r="L946" s="235" t="str">
        <f>IFERROR(VLOOKUP($A946,'AAPT ExDa'!$B$2:$U$99, 11,FALSE), IFERROR(VLOOKUP($A946,'ABB ExDa'!$A$2:$N$184, 9,FALSE), IFERROR(VLOOKUP($A946,'Vocus SIT ExDa'!$B$2:$J$173, 8,FALSE), IFERROR(VLOOKUP($A946,'Telstra ExDa'!$B$2:$K$310, 0,FALSE), IFERROR(VLOOKUP($A946,'Vocus RVC ExDa'!$C$2:$R$155, 0,FALSE), IFERROR(VLOOKUP($A946,'Fusion ExDa'!$B$2:$D$16, 0,FALSE), IFERROR(VLOOKUP($A946,'Exetel ExDa'!$C$2:$N$14, 9,FALSE), IFERROR(VLOOKUP($A946,'Infinet ExDa'!$B$2:$E$14, 0,FALSE), "Not Found"))))))))</f>
        <v>Not Found</v>
      </c>
      <c r="M946" s="234" t="str">
        <f>IFERROR(VLOOKUP($A946,'AAPT ExDa'!$B$2:$U$99, 0,FALSE), IFERROR(VLOOKUP($A946,'ABB ExDa'!$A$2:$N$184, 0,FALSE), IFERROR(VLOOKUP($A946,'Vocus SIT ExDa'!$B$2:$J$173, 0,FALSE), IFERROR(VLOOKUP($A946,'Telstra ExDa'!$B$2:$K$310, 0,FALSE), IFERROR(VLOOKUP($A946,'Vocus RVC ExDa'!$C$2:$R$155, 0,FALSE), IFERROR(VLOOKUP($A946,'Fusion ExDa'!$B$2:$D$16, 0,FALSE), IFERROR(VLOOKUP($A946,'Exetel ExDa'!$C$2:$N$14, 11,FALSE), IFERROR(VLOOKUP($A946,'Infinet ExDa'!$B$2:$E$14, 0,FALSE), "Not Found"))))))))</f>
        <v>Not Found</v>
      </c>
      <c r="N946" t="str">
        <f>IFERROR(VLOOKUP($A946,'AAPT ExDa'!$B$2:$U$99, 0,FALSE), IFERROR(VLOOKUP($A946,'ABB ExDa'!$A$2:$N$184, 13,FALSE), IFERROR(VLOOKUP($A946,'Vocus SIT ExDa'!$B$2:$J$173, 0,FALSE), IFERROR(VLOOKUP($A946,'Telstra ExDa'!$B$2:$K$310, 0,FALSE), IFERROR(VLOOKUP($A946,'Vocus RVC ExDa'!$C$2:$R$155, 0,FALSE), IFERROR(VLOOKUP($A946,'Fusion ExDa'!$B$2:$D$16, 0,FALSE), IFERROR(VLOOKUP($A946,'Exetel ExDa'!$C$2:$N$14, 0,FALSE), IFERROR(VLOOKUP($A946,'Infinet ExDa'!$B$2:$E$14, 0,FALSE), "Not Found"))))))))</f>
        <v>Not Found</v>
      </c>
    </row>
    <row r="947" spans="1:14">
      <c r="A947">
        <v>0</v>
      </c>
      <c r="B947" t="str">
        <f>IFERROR(VLOOKUP(A947,'Exetel ExDa'!$C$2:$N$14,4,FALSE),"No Data")</f>
        <v>No Data</v>
      </c>
      <c r="C947" t="str">
        <f>IFERROR(VLOOKUP(A947,'AAPT ExDa'!$B$2:$U$99, 2,FALSE), IFERROR(VLOOKUP(A947,'ABB ExDa'!$A$2:$N$184, 2,FALSE), IFERROR(VLOOKUP(A947,'Vocus SIT ExDa'!$B$2:$J$173, 7,FALSE), IFERROR(VLOOKUP(A947,'Telstra ExDa'!$B$2:$K$310, 2,FALSE), IFERROR(VLOOKUP(A947,'Vocus RVC ExDa'!$C$2:$R$155, 3,FALSE), IFERROR(VLOOKUP(A947,'Fusion ExDa'!$B$2:$D$16, 2,FALSE), IFERROR(VLOOKUP(A947,'Exetel ExDa'!$C$2:$N$14, 2,FALSE), IFERROR(VLOOKUP(A947,'Infinet ExDa'!$B$2:$E$14, 2,FALSE), "Not Found"))))))))</f>
        <v>Not Found</v>
      </c>
      <c r="D947" t="str">
        <f>IFERROR(VLOOKUP($A947,'AAPT ExDa'!$B$2:$U$99, 15,FALSE), IFERROR(VLOOKUP($A947,'ABB ExDa'!$A$2:$N$184, 4,FALSE), IFERROR(VLOOKUP($A947,'Vocus SIT ExDa'!$B$2:$J$173, 5,FALSE), IFERROR(VLOOKUP($A947,'Telstra ExDa'!$B$2:$K$310, 8,FALSE), IFERROR(VLOOKUP($A947,'Vocus RVC ExDa'!$C$2:$R$155, 6,FALSE), IFERROR(VLOOKUP($A947,'Fusion ExDa'!$B$2:$D$16, 4,FALSE), IFERROR(VLOOKUP($A947,'Exetel ExDa'!$C$2:$N$14, 3,FALSE), IFERROR(VLOOKUP($A947,'Infinet ExDa'!$B$2:$E$14, 3,FALSE), "Not Found"))))))))</f>
        <v>Not Found</v>
      </c>
      <c r="E947" t="str">
        <f>IFERROR(VLOOKUP($A947,'AAPT ExDa'!$B$2:$U$99, 3,FALSE), IFERROR(VLOOKUP($A947,'ABB ExDa'!$A$2:$N$184, 5,FALSE), IFERROR(VLOOKUP($A947,'Vocus SIT ExDa'!$B$2:$J$173, 2,FALSE), IFERROR(VLOOKUP($A947,'Telstra ExDa'!$B$2:$K$310, 4,FALSE), IFERROR(VLOOKUP($A947,'Vocus RVC ExDa'!$C$2:$R$155, 8,FALSE), IFERROR(VLOOKUP($A947,'Fusion ExDa'!$B$2:$D$16, 4,FALSE), IFERROR(VLOOKUP($A947,'Exetel ExDa'!$C$2:$N$14, 5,FALSE), IFERROR(VLOOKUP($A947,'Infinet ExDa'!$B$2:$E$14, 3,FALSE), "Not Found"))))))))</f>
        <v>Not Found</v>
      </c>
      <c r="F947" t="str">
        <f>IFERROR(VLOOKUP($A947,'AAPT ExDa'!$B$2:$U$99, 4,FALSE), IFERROR(VLOOKUP($A947,'ABB ExDa'!$A$2:$N$184, 6,FALSE), IFERROR(VLOOKUP($A947,'Vocus SIT ExDa'!$B$2:$J$173, 3,FALSE), IFERROR(VLOOKUP($A947,'Telstra ExDa'!$B$2:$K$310, 5,FALSE), IFERROR(VLOOKUP($A947,'Vocus RVC ExDa'!$C$2:$R$155, 9,FALSE), IFERROR(VLOOKUP($A947,'Fusion ExDa'!$B$2:$D$16, 0,FALSE), IFERROR(VLOOKUP($A947,'Exetel ExDa'!$C$2:$N$14, 6,FALSE), IFERROR(VLOOKUP($A947,'Infinet ExDa'!$B$2:$E$14, 0,FALSE), "Not Found"))))))))</f>
        <v>Not Found</v>
      </c>
      <c r="G947" t="str">
        <f>IFERROR(VLOOKUP($A947,'AAPT ExDa'!$B$2:$U$99, 5,FALSE), IFERROR(VLOOKUP($A947,'ABB ExDa'!$A$2:$N$184, 8,FALSE), IFERROR(VLOOKUP($A947,'Vocus SIT ExDa'!$B$2:$J$173, 6,FALSE), IFERROR(VLOOKUP($A947,'Telstra ExDa'!$B$2:$K$310, 0,FALSE), IFERROR(VLOOKUP($A947,'Vocus RVC ExDa'!$C$2:$R$155, 15,FALSE), IFERROR(VLOOKUP($A947,'Fusion ExDa'!$B$2:$D$16, 0,FALSE), IFERROR(VLOOKUP($A947,'Exetel ExDa'!$C$2:$N$14, 7,FALSE), IFERROR(VLOOKUP($A947,'Infinet ExDa'!$B$2:$E$14, 0,FALSE), "Not Found"))))))))</f>
        <v>Not Found</v>
      </c>
      <c r="H947" t="str">
        <f>IFERROR(VLOOKUP($A947,'AAPT ExDa'!$B$2:$U$99, 6,FALSE), IFERROR(VLOOKUP($A947,'ABB ExDa'!$A$2:$N$184, 0,FALSE), IFERROR(VLOOKUP($A947,'Vocus SIT ExDa'!$B$2:$J$173, 0,FALSE), IFERROR(VLOOKUP($A947,'Telstra ExDa'!$B$2:$K$310, 0,FALSE), IFERROR(VLOOKUP($A947,'Vocus RVC ExDa'!$C$2:$R$155, 16,FALSE), IFERROR(VLOOKUP($A947,'Fusion ExDa'!$B$2:$D$16, 0,FALSE), IFERROR(VLOOKUP($A947,'Exetel ExDa'!$C$2:$N$14, 0,FALSE), IFERROR(VLOOKUP($A947,'Infinet ExDa'!$B$2:$E$14, 0,FALSE), "Not Found"))))))))</f>
        <v>Not Found</v>
      </c>
      <c r="I947" t="str">
        <f>IFERROR(VLOOKUP($A947,'AAPT ExDa'!$B$2:$U$99, 0,FALSE), IFERROR(VLOOKUP($A947,'ABB ExDa'!$A$2:$N$184, 0,FALSE), IFERROR(VLOOKUP($A947,'Vocus SIT ExDa'!$B$2:$J$173, 0,FALSE), IFERROR(VLOOKUP($A947,'Telstra ExDa'!$B$2:$K$310, 0,FALSE), IFERROR(VLOOKUP($A947,'Vocus RVC ExDa'!$C$2:$R$155, 0,FALSE), IFERROR(VLOOKUP($A947,'Fusion ExDa'!$B$2:$D$16, 0,FALSE), IFERROR(VLOOKUP($A947,'Exetel ExDa'!$C$2:$N$14, 8,FALSE), IFERROR(VLOOKUP($A947,'Infinet ExDa'!$B$2:$E$14, 0,FALSE), "Not Found"))))))))</f>
        <v>Not Found</v>
      </c>
      <c r="J947" t="str">
        <f>IFERROR(VLOOKUP($A947,'AAPT ExDa'!$B$2:$U$99, 7,FALSE), IFERROR(VLOOKUP($A947,'ABB ExDa'!$A$2:$N$184, 2,FALSE), IFERROR(VLOOKUP($A947,'Vocus SIT ExDa'!$B$2:$J$173, 0,FALSE), IFERROR(VLOOKUP($A947,'Telstra ExDa'!$B$2:$K$310, 7,FALSE), IFERROR(VLOOKUP($A947,'Vocus RVC ExDa'!$C$2:$R$155, 2,FALSE), IFERROR(VLOOKUP($A947,'Fusion ExDa'!$B$2:$D$16, 3,FALSE), IFERROR(VLOOKUP($A947,'Exetel ExDa'!$C$2:$N$14, 0,FALSE), IFERROR(VLOOKUP($A947,'Infinet ExDa'!$B$2:$E$14, 0,FALSE), "Not Found"))))))))</f>
        <v>Not Found</v>
      </c>
      <c r="K947" t="str">
        <f>IFERROR(VLOOKUP($A947,'AAPT ExDa'!$B$2:$U$99, 12,FALSE), IFERROR(VLOOKUP($A947,'ABB ExDa'!$A$2:$N$184, 0,FALSE), IFERROR(VLOOKUP($A947,'Vocus SIT ExDa'!$B$2:$J$173, 0,FALSE), IFERROR(VLOOKUP($A947,'Telstra ExDa'!$B$2:$K$310, 0,FALSE), IFERROR(VLOOKUP($A947,'Vocus RVC ExDa'!$C$2:$R$155, 0,FALSE), IFERROR(VLOOKUP($A947,'Fusion ExDa'!$B$2:$D$16, 0,FALSE), IFERROR(VLOOKUP($A947,'Exetel ExDa'!$C$2:$N$14, 12,FALSE), IFERROR(VLOOKUP($A947,'Infinet ExDa'!$B$2:$E$14, 0,FALSE), "Not Found"))))))))</f>
        <v>Not Found</v>
      </c>
      <c r="L947" s="235" t="str">
        <f>IFERROR(VLOOKUP($A947,'AAPT ExDa'!$B$2:$U$99, 11,FALSE), IFERROR(VLOOKUP($A947,'ABB ExDa'!$A$2:$N$184, 9,FALSE), IFERROR(VLOOKUP($A947,'Vocus SIT ExDa'!$B$2:$J$173, 8,FALSE), IFERROR(VLOOKUP($A947,'Telstra ExDa'!$B$2:$K$310, 0,FALSE), IFERROR(VLOOKUP($A947,'Vocus RVC ExDa'!$C$2:$R$155, 0,FALSE), IFERROR(VLOOKUP($A947,'Fusion ExDa'!$B$2:$D$16, 0,FALSE), IFERROR(VLOOKUP($A947,'Exetel ExDa'!$C$2:$N$14, 9,FALSE), IFERROR(VLOOKUP($A947,'Infinet ExDa'!$B$2:$E$14, 0,FALSE), "Not Found"))))))))</f>
        <v>Not Found</v>
      </c>
      <c r="M947" s="234" t="str">
        <f>IFERROR(VLOOKUP($A947,'AAPT ExDa'!$B$2:$U$99, 0,FALSE), IFERROR(VLOOKUP($A947,'ABB ExDa'!$A$2:$N$184, 0,FALSE), IFERROR(VLOOKUP($A947,'Vocus SIT ExDa'!$B$2:$J$173, 0,FALSE), IFERROR(VLOOKUP($A947,'Telstra ExDa'!$B$2:$K$310, 0,FALSE), IFERROR(VLOOKUP($A947,'Vocus RVC ExDa'!$C$2:$R$155, 0,FALSE), IFERROR(VLOOKUP($A947,'Fusion ExDa'!$B$2:$D$16, 0,FALSE), IFERROR(VLOOKUP($A947,'Exetel ExDa'!$C$2:$N$14, 11,FALSE), IFERROR(VLOOKUP($A947,'Infinet ExDa'!$B$2:$E$14, 0,FALSE), "Not Found"))))))))</f>
        <v>Not Found</v>
      </c>
      <c r="N947" t="str">
        <f>IFERROR(VLOOKUP($A947,'AAPT ExDa'!$B$2:$U$99, 0,FALSE), IFERROR(VLOOKUP($A947,'ABB ExDa'!$A$2:$N$184, 13,FALSE), IFERROR(VLOOKUP($A947,'Vocus SIT ExDa'!$B$2:$J$173, 0,FALSE), IFERROR(VLOOKUP($A947,'Telstra ExDa'!$B$2:$K$310, 0,FALSE), IFERROR(VLOOKUP($A947,'Vocus RVC ExDa'!$C$2:$R$155, 0,FALSE), IFERROR(VLOOKUP($A947,'Fusion ExDa'!$B$2:$D$16, 0,FALSE), IFERROR(VLOOKUP($A947,'Exetel ExDa'!$C$2:$N$14, 0,FALSE), IFERROR(VLOOKUP($A947,'Infinet ExDa'!$B$2:$E$14, 0,FALSE), "Not Found"))))))))</f>
        <v>Not Found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CB43-1207-4070-AC44-0105D120FCB3}">
  <sheetPr>
    <tabColor theme="8" tint="0.59999389629810485"/>
  </sheetPr>
  <dimension ref="A1:V99"/>
  <sheetViews>
    <sheetView zoomScale="70" zoomScaleNormal="70" workbookViewId="0">
      <pane ySplit="1" topLeftCell="A42" activePane="bottomLeft" state="frozen"/>
      <selection pane="bottomLeft" activeCell="B54" sqref="B54"/>
      <selection activeCell="D18" sqref="D18"/>
    </sheetView>
  </sheetViews>
  <sheetFormatPr defaultRowHeight="30" customHeight="1"/>
  <cols>
    <col min="1" max="1" width="23.28515625" style="20" bestFit="1" customWidth="1"/>
    <col min="2" max="2" width="30.5703125" style="20" bestFit="1" customWidth="1"/>
    <col min="3" max="3" width="30.5703125" style="20" customWidth="1"/>
    <col min="4" max="4" width="27.85546875" style="20" customWidth="1"/>
    <col min="5" max="5" width="26.28515625" style="20" bestFit="1" customWidth="1"/>
    <col min="6" max="7" width="36.5703125" style="20" bestFit="1" customWidth="1"/>
    <col min="8" max="8" width="24.42578125" style="20" bestFit="1" customWidth="1"/>
    <col min="9" max="9" width="36.5703125" style="20" bestFit="1" customWidth="1"/>
    <col min="10" max="10" width="21.42578125" style="20" bestFit="1" customWidth="1"/>
    <col min="11" max="11" width="23.42578125" style="20" bestFit="1" customWidth="1"/>
    <col min="12" max="12" width="17.28515625" style="20" bestFit="1" customWidth="1"/>
    <col min="13" max="13" width="19.85546875" style="20" bestFit="1" customWidth="1"/>
    <col min="14" max="14" width="15.28515625" style="20" bestFit="1" customWidth="1"/>
    <col min="15" max="15" width="54.7109375" style="20" bestFit="1" customWidth="1"/>
    <col min="16" max="16" width="9.140625" style="20"/>
    <col min="17" max="17" width="30.42578125" style="20" customWidth="1"/>
    <col min="18" max="18" width="17.7109375" style="20" customWidth="1"/>
    <col min="19" max="19" width="10.5703125" style="20" customWidth="1"/>
    <col min="20" max="20" width="14.140625" style="20" customWidth="1"/>
    <col min="21" max="21" width="9.140625" style="20" customWidth="1"/>
    <col min="22" max="16384" width="9.140625" style="20"/>
  </cols>
  <sheetData>
    <row r="1" spans="1:20" s="17" customFormat="1" ht="30" customHeight="1">
      <c r="A1" s="215" t="s">
        <v>1732</v>
      </c>
      <c r="B1" s="215" t="s">
        <v>1731</v>
      </c>
      <c r="C1" s="215" t="s">
        <v>1</v>
      </c>
      <c r="D1" s="215" t="s">
        <v>3</v>
      </c>
      <c r="E1" s="215" t="s">
        <v>4</v>
      </c>
      <c r="F1" s="216" t="s">
        <v>5</v>
      </c>
      <c r="G1" s="216" t="s">
        <v>6</v>
      </c>
      <c r="H1" s="215" t="s">
        <v>8</v>
      </c>
      <c r="I1" s="216" t="s">
        <v>1733</v>
      </c>
      <c r="J1" s="215" t="s">
        <v>1734</v>
      </c>
      <c r="K1" s="215" t="s">
        <v>1735</v>
      </c>
      <c r="L1" s="215" t="s">
        <v>10</v>
      </c>
      <c r="M1" s="215" t="s">
        <v>1736</v>
      </c>
      <c r="N1" s="215" t="s">
        <v>1737</v>
      </c>
      <c r="O1" s="215" t="s">
        <v>1</v>
      </c>
      <c r="P1" s="17" t="s">
        <v>2</v>
      </c>
      <c r="Q1" s="215" t="s">
        <v>1738</v>
      </c>
      <c r="R1" s="215" t="s">
        <v>1739</v>
      </c>
      <c r="S1" s="215" t="s">
        <v>1740</v>
      </c>
      <c r="T1" s="215" t="s">
        <v>1741</v>
      </c>
    </row>
    <row r="2" spans="1:20" s="217" customFormat="1" ht="30" customHeight="1">
      <c r="A2" s="218">
        <v>5757806</v>
      </c>
      <c r="B2" s="218" t="s">
        <v>167</v>
      </c>
      <c r="C2" s="219" t="s">
        <v>168</v>
      </c>
      <c r="D2" s="218" t="s">
        <v>169</v>
      </c>
      <c r="E2" s="218" t="s">
        <v>170</v>
      </c>
      <c r="F2" s="219" t="s">
        <v>171</v>
      </c>
      <c r="G2" s="219" t="s">
        <v>172</v>
      </c>
      <c r="H2" s="218" t="s">
        <v>173</v>
      </c>
      <c r="I2" s="219" t="s">
        <v>168</v>
      </c>
      <c r="J2" s="218">
        <v>45047</v>
      </c>
      <c r="K2" s="218"/>
      <c r="L2" s="218">
        <v>45047</v>
      </c>
      <c r="M2" s="218" t="s">
        <v>174</v>
      </c>
      <c r="N2" s="218">
        <v>2000026054</v>
      </c>
      <c r="O2" s="218" t="str">
        <f>_xlfn.CONCAT(Q2,",",R2,",",S2," ",T2)</f>
        <v xml:space="preserve">,, </v>
      </c>
      <c r="P2" s="217" t="s">
        <v>16</v>
      </c>
      <c r="Q2" s="18"/>
      <c r="R2" s="18"/>
      <c r="S2" s="18"/>
      <c r="T2" s="18"/>
    </row>
    <row r="3" spans="1:20" s="217" customFormat="1" ht="30" customHeight="1">
      <c r="A3" s="218">
        <v>5608160</v>
      </c>
      <c r="B3" s="218" t="s">
        <v>167</v>
      </c>
      <c r="C3" s="219" t="s">
        <v>1742</v>
      </c>
      <c r="D3" s="218" t="s">
        <v>169</v>
      </c>
      <c r="E3" s="218" t="s">
        <v>170</v>
      </c>
      <c r="F3" s="219" t="s">
        <v>1743</v>
      </c>
      <c r="G3" s="219" t="s">
        <v>1744</v>
      </c>
      <c r="H3" s="218" t="s">
        <v>1745</v>
      </c>
      <c r="I3" s="219" t="s">
        <v>1742</v>
      </c>
      <c r="J3" s="218" t="s">
        <v>1746</v>
      </c>
      <c r="K3" s="218"/>
      <c r="L3" s="218" t="s">
        <v>1746</v>
      </c>
      <c r="M3" s="218" t="s">
        <v>473</v>
      </c>
      <c r="N3" s="218">
        <v>2000026054</v>
      </c>
      <c r="O3" s="218" t="str">
        <f>_xlfn.CONCAT(Q3,",",R3,",",S3," ",T3)</f>
        <v xml:space="preserve">,, </v>
      </c>
      <c r="P3" s="217" t="s">
        <v>16</v>
      </c>
      <c r="Q3" s="18"/>
      <c r="R3" s="18"/>
      <c r="S3" s="18"/>
      <c r="T3" s="18"/>
    </row>
    <row r="4" spans="1:20" ht="30" customHeight="1">
      <c r="A4" s="218">
        <v>5663976</v>
      </c>
      <c r="B4" s="218" t="s">
        <v>167</v>
      </c>
      <c r="C4" s="219" t="s">
        <v>1747</v>
      </c>
      <c r="D4" s="218" t="s">
        <v>169</v>
      </c>
      <c r="E4" s="218" t="s">
        <v>170</v>
      </c>
      <c r="F4" s="219" t="s">
        <v>1748</v>
      </c>
      <c r="G4" s="219" t="s">
        <v>1749</v>
      </c>
      <c r="H4" s="218" t="s">
        <v>1750</v>
      </c>
      <c r="I4" s="219" t="s">
        <v>1747</v>
      </c>
      <c r="J4" s="218">
        <v>43867</v>
      </c>
      <c r="K4" s="218"/>
      <c r="L4" s="218">
        <v>43867</v>
      </c>
      <c r="M4" s="218" t="s">
        <v>91</v>
      </c>
      <c r="N4" s="218">
        <v>2000026054</v>
      </c>
      <c r="O4" s="218" t="str">
        <f>_xlfn.CONCAT(Q4,",",R4,",",S4," ",T4)</f>
        <v xml:space="preserve">,, </v>
      </c>
      <c r="P4" s="217" t="s">
        <v>16</v>
      </c>
      <c r="Q4" s="18"/>
      <c r="R4" s="18"/>
      <c r="S4" s="18"/>
      <c r="T4" s="18"/>
    </row>
    <row r="5" spans="1:20" s="217" customFormat="1" ht="30" customHeight="1">
      <c r="A5" s="218">
        <v>5517870</v>
      </c>
      <c r="B5" s="218" t="s">
        <v>167</v>
      </c>
      <c r="C5" s="219" t="s">
        <v>1751</v>
      </c>
      <c r="D5" s="218" t="s">
        <v>169</v>
      </c>
      <c r="E5" s="218" t="s">
        <v>170</v>
      </c>
      <c r="F5" s="219" t="s">
        <v>1752</v>
      </c>
      <c r="G5" s="219" t="s">
        <v>1753</v>
      </c>
      <c r="H5" s="218" t="s">
        <v>1754</v>
      </c>
      <c r="I5" s="219" t="s">
        <v>1751</v>
      </c>
      <c r="J5" s="218" t="s">
        <v>1755</v>
      </c>
      <c r="K5" s="218"/>
      <c r="L5" s="218" t="s">
        <v>1755</v>
      </c>
      <c r="M5" s="218" t="s">
        <v>174</v>
      </c>
      <c r="N5" s="218">
        <v>2000026054</v>
      </c>
      <c r="O5" s="218" t="str">
        <f>_xlfn.CONCAT(Q5,",",R5,",",S5," ",T5)</f>
        <v xml:space="preserve">,, </v>
      </c>
      <c r="P5" s="217" t="s">
        <v>16</v>
      </c>
      <c r="Q5" s="18"/>
      <c r="R5" s="18"/>
      <c r="S5" s="18"/>
      <c r="T5" s="18"/>
    </row>
    <row r="6" spans="1:20" s="217" customFormat="1" ht="30" customHeight="1">
      <c r="A6" s="18">
        <v>100790595</v>
      </c>
      <c r="B6" s="18" t="s">
        <v>203</v>
      </c>
      <c r="C6" s="18" t="s">
        <v>204</v>
      </c>
      <c r="D6" s="18" t="s">
        <v>205</v>
      </c>
      <c r="E6" s="18" t="s">
        <v>206</v>
      </c>
      <c r="F6" s="19"/>
      <c r="G6" s="19" t="s">
        <v>207</v>
      </c>
      <c r="H6" s="18"/>
      <c r="I6" s="19" t="s">
        <v>1756</v>
      </c>
      <c r="J6" s="18">
        <v>45658</v>
      </c>
      <c r="K6" s="18"/>
      <c r="L6" s="18" t="s">
        <v>208</v>
      </c>
      <c r="M6" s="18" t="s">
        <v>91</v>
      </c>
      <c r="N6" s="18">
        <v>2000026054</v>
      </c>
      <c r="O6" s="18" t="str">
        <f>_xlfn.CONCAT(Q6,",",R6,",",S6," ",T6)</f>
        <v>SUITE 2, 14 ARGYLE STREET,ALBION,QLD 4010</v>
      </c>
      <c r="P6" s="217" t="s">
        <v>16</v>
      </c>
      <c r="Q6" s="18" t="s">
        <v>1757</v>
      </c>
      <c r="R6" s="18" t="s">
        <v>1758</v>
      </c>
      <c r="S6" s="18" t="s">
        <v>1759</v>
      </c>
      <c r="T6" s="18">
        <v>4010</v>
      </c>
    </row>
    <row r="7" spans="1:20" s="217" customFormat="1" ht="30" customHeight="1">
      <c r="A7" s="18">
        <v>6347779</v>
      </c>
      <c r="B7" s="18" t="s">
        <v>203</v>
      </c>
      <c r="C7" s="18" t="s">
        <v>204</v>
      </c>
      <c r="D7" s="18" t="s">
        <v>169</v>
      </c>
      <c r="E7" s="18" t="s">
        <v>169</v>
      </c>
      <c r="F7" s="19"/>
      <c r="G7" s="19"/>
      <c r="H7" s="18"/>
      <c r="I7" s="19" t="s">
        <v>1756</v>
      </c>
      <c r="J7" s="18">
        <v>45658</v>
      </c>
      <c r="K7" s="18"/>
      <c r="L7" s="18" t="s">
        <v>1760</v>
      </c>
      <c r="M7" s="18" t="s">
        <v>91</v>
      </c>
      <c r="N7" s="18">
        <v>2000026054</v>
      </c>
      <c r="O7" s="18"/>
      <c r="P7" s="217" t="s">
        <v>16</v>
      </c>
      <c r="Q7" s="18" t="s">
        <v>1761</v>
      </c>
      <c r="R7" s="18" t="s">
        <v>1762</v>
      </c>
      <c r="S7" s="18" t="s">
        <v>1759</v>
      </c>
      <c r="T7" s="18">
        <v>4066</v>
      </c>
    </row>
    <row r="8" spans="1:20" s="217" customFormat="1" ht="30" customHeight="1">
      <c r="A8" s="18">
        <v>6384216</v>
      </c>
      <c r="B8" s="18" t="s">
        <v>203</v>
      </c>
      <c r="C8" s="18" t="s">
        <v>1763</v>
      </c>
      <c r="D8" s="18" t="s">
        <v>169</v>
      </c>
      <c r="E8" s="18" t="s">
        <v>169</v>
      </c>
      <c r="F8" s="19"/>
      <c r="G8" s="19"/>
      <c r="H8" s="18"/>
      <c r="I8" s="19" t="s">
        <v>1764</v>
      </c>
      <c r="J8" s="18">
        <v>45658</v>
      </c>
      <c r="K8" s="18"/>
      <c r="L8" s="18" t="s">
        <v>872</v>
      </c>
      <c r="M8" s="18" t="s">
        <v>91</v>
      </c>
      <c r="N8" s="18">
        <v>2000026054</v>
      </c>
      <c r="O8" s="18"/>
      <c r="P8" s="217" t="s">
        <v>16</v>
      </c>
      <c r="Q8" s="18" t="s">
        <v>1761</v>
      </c>
      <c r="R8" s="18" t="s">
        <v>1762</v>
      </c>
      <c r="S8" s="18" t="s">
        <v>1759</v>
      </c>
      <c r="T8" s="18">
        <v>4066</v>
      </c>
    </row>
    <row r="9" spans="1:20" ht="30" customHeight="1">
      <c r="A9" s="18">
        <v>5733400</v>
      </c>
      <c r="B9" s="18" t="s">
        <v>203</v>
      </c>
      <c r="C9" s="18" t="s">
        <v>204</v>
      </c>
      <c r="D9" s="18" t="s">
        <v>169</v>
      </c>
      <c r="E9" s="18" t="s">
        <v>170</v>
      </c>
      <c r="F9" s="19" t="s">
        <v>1765</v>
      </c>
      <c r="G9" s="19"/>
      <c r="H9" s="18"/>
      <c r="I9" s="19" t="s">
        <v>1756</v>
      </c>
      <c r="J9" s="18">
        <v>45658</v>
      </c>
      <c r="K9" s="18"/>
      <c r="L9" s="18" t="s">
        <v>1760</v>
      </c>
      <c r="M9" s="18" t="s">
        <v>91</v>
      </c>
      <c r="N9" s="18">
        <v>2000026054</v>
      </c>
      <c r="O9" s="18"/>
      <c r="P9" s="217" t="s">
        <v>16</v>
      </c>
      <c r="Q9" s="18" t="s">
        <v>1761</v>
      </c>
      <c r="R9" s="18" t="s">
        <v>1762</v>
      </c>
      <c r="S9" s="18" t="s">
        <v>1759</v>
      </c>
      <c r="T9" s="18">
        <v>4066</v>
      </c>
    </row>
    <row r="10" spans="1:20" s="217" customFormat="1" ht="30" customHeight="1">
      <c r="A10" s="18">
        <v>5794462</v>
      </c>
      <c r="B10" s="18" t="s">
        <v>203</v>
      </c>
      <c r="C10" s="18" t="s">
        <v>1763</v>
      </c>
      <c r="D10" s="18" t="s">
        <v>169</v>
      </c>
      <c r="E10" s="18" t="s">
        <v>170</v>
      </c>
      <c r="F10" s="19" t="s">
        <v>1766</v>
      </c>
      <c r="G10" s="19" t="s">
        <v>1767</v>
      </c>
      <c r="H10" s="18"/>
      <c r="I10" s="19" t="s">
        <v>1764</v>
      </c>
      <c r="J10" s="18">
        <v>45658</v>
      </c>
      <c r="K10" s="18"/>
      <c r="L10" s="18" t="s">
        <v>872</v>
      </c>
      <c r="M10" s="18" t="s">
        <v>91</v>
      </c>
      <c r="N10" s="18">
        <v>2000026054</v>
      </c>
      <c r="O10" s="18"/>
      <c r="P10" s="217" t="s">
        <v>16</v>
      </c>
      <c r="Q10" s="18" t="s">
        <v>1761</v>
      </c>
      <c r="R10" s="18" t="s">
        <v>1762</v>
      </c>
      <c r="S10" s="18" t="s">
        <v>1759</v>
      </c>
      <c r="T10" s="18">
        <v>4066</v>
      </c>
    </row>
    <row r="11" spans="1:20" s="217" customFormat="1" ht="30" customHeight="1">
      <c r="A11" s="18">
        <v>100879002</v>
      </c>
      <c r="B11" s="18" t="s">
        <v>203</v>
      </c>
      <c r="C11" s="18" t="s">
        <v>1768</v>
      </c>
      <c r="D11" s="18" t="s">
        <v>205</v>
      </c>
      <c r="E11" s="18" t="s">
        <v>281</v>
      </c>
      <c r="F11" s="19"/>
      <c r="G11" s="19"/>
      <c r="H11" s="18"/>
      <c r="I11" s="19" t="s">
        <v>1764</v>
      </c>
      <c r="J11" s="18">
        <v>45658</v>
      </c>
      <c r="K11" s="18"/>
      <c r="L11" s="18" t="s">
        <v>872</v>
      </c>
      <c r="M11" s="18" t="s">
        <v>91</v>
      </c>
      <c r="N11" s="18">
        <v>2000026054</v>
      </c>
      <c r="O11" s="18" t="str">
        <f>_xlfn.CONCAT(Q11,",",R11,",",S11," ",T11)</f>
        <v>SHOP 1A, 4 WHARF STREET EAST,QUEENSCLIFF,VIC 3225</v>
      </c>
      <c r="P11" s="217" t="s">
        <v>16</v>
      </c>
      <c r="Q11" s="18" t="s">
        <v>1769</v>
      </c>
      <c r="R11" s="18" t="s">
        <v>1770</v>
      </c>
      <c r="S11" s="18" t="s">
        <v>1771</v>
      </c>
      <c r="T11" s="18">
        <v>3225</v>
      </c>
    </row>
    <row r="12" spans="1:20" ht="30" customHeight="1">
      <c r="A12" s="218">
        <v>5401906</v>
      </c>
      <c r="B12" s="218" t="s">
        <v>241</v>
      </c>
      <c r="C12" s="218"/>
      <c r="D12" s="218" t="s">
        <v>169</v>
      </c>
      <c r="E12" s="218" t="s">
        <v>170</v>
      </c>
      <c r="F12" s="219" t="s">
        <v>242</v>
      </c>
      <c r="G12" s="219" t="s">
        <v>243</v>
      </c>
      <c r="H12" s="218" t="s">
        <v>244</v>
      </c>
      <c r="I12" s="219" t="s">
        <v>1772</v>
      </c>
      <c r="J12" s="218">
        <v>42744</v>
      </c>
      <c r="K12" s="218"/>
      <c r="L12" s="218">
        <v>42744</v>
      </c>
      <c r="M12" s="218" t="s">
        <v>174</v>
      </c>
      <c r="N12" s="218">
        <v>2000026054</v>
      </c>
      <c r="O12" s="218" t="str">
        <f>_xlfn.CONCAT(Q12,",",R12,",",S12," ",T12)</f>
        <v xml:space="preserve">,, </v>
      </c>
      <c r="P12" s="217" t="s">
        <v>16</v>
      </c>
      <c r="Q12" s="18"/>
      <c r="R12" s="18"/>
      <c r="S12" s="18"/>
      <c r="T12" s="18"/>
    </row>
    <row r="13" spans="1:20" s="217" customFormat="1" ht="30" customHeight="1">
      <c r="A13" s="218">
        <v>6354007</v>
      </c>
      <c r="B13" s="218" t="s">
        <v>278</v>
      </c>
      <c r="C13" s="218" t="s">
        <v>279</v>
      </c>
      <c r="D13" s="218" t="s">
        <v>169</v>
      </c>
      <c r="E13" s="218" t="s">
        <v>169</v>
      </c>
      <c r="F13" s="219"/>
      <c r="G13" s="219"/>
      <c r="H13" s="218"/>
      <c r="I13" s="223" t="s">
        <v>1773</v>
      </c>
      <c r="J13" s="218">
        <v>45658</v>
      </c>
      <c r="K13" s="218"/>
      <c r="L13" s="218">
        <v>44904</v>
      </c>
      <c r="M13" s="218" t="s">
        <v>91</v>
      </c>
      <c r="N13" s="218">
        <v>2000026054</v>
      </c>
      <c r="O13" s="218"/>
      <c r="P13" s="217" t="s">
        <v>16</v>
      </c>
      <c r="Q13" s="18" t="s">
        <v>1761</v>
      </c>
      <c r="R13" s="18" t="s">
        <v>1762</v>
      </c>
      <c r="S13" s="18" t="s">
        <v>1759</v>
      </c>
      <c r="T13" s="18">
        <v>4066</v>
      </c>
    </row>
    <row r="14" spans="1:20" s="217" customFormat="1" ht="30" customHeight="1">
      <c r="A14" s="218">
        <v>5742761</v>
      </c>
      <c r="B14" s="218" t="s">
        <v>278</v>
      </c>
      <c r="C14" s="218" t="s">
        <v>279</v>
      </c>
      <c r="D14" s="218" t="s">
        <v>169</v>
      </c>
      <c r="E14" s="218" t="s">
        <v>170</v>
      </c>
      <c r="F14" s="219" t="s">
        <v>1774</v>
      </c>
      <c r="G14" s="219" t="s">
        <v>1767</v>
      </c>
      <c r="H14" s="218"/>
      <c r="I14" s="223" t="s">
        <v>1773</v>
      </c>
      <c r="J14" s="218">
        <v>45658</v>
      </c>
      <c r="K14" s="218"/>
      <c r="L14" s="218">
        <v>44904</v>
      </c>
      <c r="M14" s="218" t="s">
        <v>91</v>
      </c>
      <c r="N14" s="218">
        <v>2000026054</v>
      </c>
      <c r="O14" s="218"/>
      <c r="P14" s="217" t="s">
        <v>16</v>
      </c>
      <c r="Q14" s="18" t="s">
        <v>1761</v>
      </c>
      <c r="R14" s="18" t="s">
        <v>1762</v>
      </c>
      <c r="S14" s="18" t="s">
        <v>1759</v>
      </c>
      <c r="T14" s="18">
        <v>4066</v>
      </c>
    </row>
    <row r="15" spans="1:20" s="217" customFormat="1" ht="30" customHeight="1">
      <c r="A15" s="218">
        <v>100806882</v>
      </c>
      <c r="B15" s="218" t="s">
        <v>278</v>
      </c>
      <c r="C15" s="218" t="s">
        <v>279</v>
      </c>
      <c r="D15" s="218" t="s">
        <v>205</v>
      </c>
      <c r="E15" s="218" t="s">
        <v>281</v>
      </c>
      <c r="F15" s="219"/>
      <c r="G15" s="219"/>
      <c r="H15" s="218"/>
      <c r="I15" s="223" t="s">
        <v>1773</v>
      </c>
      <c r="J15" s="218">
        <v>45658</v>
      </c>
      <c r="K15" s="218"/>
      <c r="L15" s="218" t="s">
        <v>282</v>
      </c>
      <c r="M15" s="218" t="s">
        <v>91</v>
      </c>
      <c r="N15" s="218">
        <v>2000026054</v>
      </c>
      <c r="O15" s="218"/>
      <c r="P15" s="217" t="s">
        <v>16</v>
      </c>
      <c r="Q15" s="18" t="s">
        <v>1775</v>
      </c>
      <c r="R15" s="18" t="s">
        <v>1776</v>
      </c>
      <c r="S15" s="18" t="s">
        <v>1759</v>
      </c>
      <c r="T15" s="18">
        <v>4170</v>
      </c>
    </row>
    <row r="16" spans="1:20" s="217" customFormat="1" ht="30" customHeight="1">
      <c r="A16" s="218">
        <v>5722503</v>
      </c>
      <c r="B16" s="218" t="s">
        <v>315</v>
      </c>
      <c r="C16" s="218"/>
      <c r="D16" s="218" t="s">
        <v>169</v>
      </c>
      <c r="E16" s="218" t="s">
        <v>170</v>
      </c>
      <c r="F16" s="219" t="s">
        <v>316</v>
      </c>
      <c r="G16" s="219" t="s">
        <v>317</v>
      </c>
      <c r="H16" s="218" t="s">
        <v>318</v>
      </c>
      <c r="I16" s="219" t="s">
        <v>1777</v>
      </c>
      <c r="J16" s="218" t="s">
        <v>1778</v>
      </c>
      <c r="K16" s="218"/>
      <c r="L16" s="218" t="s">
        <v>319</v>
      </c>
      <c r="M16" s="218" t="s">
        <v>91</v>
      </c>
      <c r="N16" s="218">
        <v>2000026054</v>
      </c>
      <c r="O16" s="218" t="str">
        <f>_xlfn.CONCAT(Q16,",",R16,",",S16," ",T16)</f>
        <v xml:space="preserve">,, </v>
      </c>
      <c r="P16" s="217" t="s">
        <v>16</v>
      </c>
      <c r="Q16" s="18"/>
      <c r="R16" s="18"/>
      <c r="S16" s="18"/>
      <c r="T16" s="18"/>
    </row>
    <row r="17" spans="1:20" ht="30" customHeight="1">
      <c r="A17" s="218">
        <v>5663110</v>
      </c>
      <c r="B17" s="218" t="s">
        <v>328</v>
      </c>
      <c r="C17" s="218"/>
      <c r="D17" s="218" t="s">
        <v>169</v>
      </c>
      <c r="E17" s="218" t="s">
        <v>170</v>
      </c>
      <c r="F17" s="219" t="s">
        <v>329</v>
      </c>
      <c r="G17" s="219" t="s">
        <v>330</v>
      </c>
      <c r="H17" s="218" t="s">
        <v>331</v>
      </c>
      <c r="I17" s="219" t="s">
        <v>1779</v>
      </c>
      <c r="J17" s="218" t="s">
        <v>1780</v>
      </c>
      <c r="K17" s="218"/>
      <c r="L17" s="218" t="s">
        <v>332</v>
      </c>
      <c r="M17" s="218" t="s">
        <v>174</v>
      </c>
      <c r="N17" s="218">
        <v>2000026054</v>
      </c>
      <c r="O17" s="218" t="str">
        <f>_xlfn.CONCAT(Q17,",",R17,",",S17," ",T17)</f>
        <v xml:space="preserve">,, </v>
      </c>
      <c r="P17" s="217" t="s">
        <v>16</v>
      </c>
      <c r="Q17" s="18"/>
      <c r="R17" s="18"/>
      <c r="S17" s="18"/>
      <c r="T17" s="18"/>
    </row>
    <row r="18" spans="1:20" s="217" customFormat="1" ht="30" customHeight="1">
      <c r="A18" s="218">
        <v>5655776</v>
      </c>
      <c r="B18" s="218" t="s">
        <v>337</v>
      </c>
      <c r="C18" s="218"/>
      <c r="D18" s="218" t="s">
        <v>169</v>
      </c>
      <c r="E18" s="218" t="s">
        <v>170</v>
      </c>
      <c r="F18" s="219" t="s">
        <v>338</v>
      </c>
      <c r="G18" s="219" t="s">
        <v>339</v>
      </c>
      <c r="H18" s="218" t="s">
        <v>340</v>
      </c>
      <c r="I18" s="219" t="s">
        <v>337</v>
      </c>
      <c r="J18" s="218">
        <v>43954</v>
      </c>
      <c r="K18" s="218"/>
      <c r="L18" s="218">
        <v>43954</v>
      </c>
      <c r="M18" s="218" t="s">
        <v>174</v>
      </c>
      <c r="N18" s="218">
        <v>2000026054</v>
      </c>
      <c r="O18" s="218" t="str">
        <f>_xlfn.CONCAT(Q18,",",R18,",",S18," ",T18)</f>
        <v xml:space="preserve">,, </v>
      </c>
      <c r="P18" s="217" t="s">
        <v>16</v>
      </c>
      <c r="Q18" s="18"/>
      <c r="R18" s="18"/>
      <c r="S18" s="18"/>
      <c r="T18" s="18"/>
    </row>
    <row r="19" spans="1:20" s="217" customFormat="1" ht="30" customHeight="1">
      <c r="A19" s="218">
        <v>5580059</v>
      </c>
      <c r="B19" s="218" t="s">
        <v>375</v>
      </c>
      <c r="C19" s="218"/>
      <c r="D19" s="218" t="s">
        <v>169</v>
      </c>
      <c r="E19" s="218" t="s">
        <v>170</v>
      </c>
      <c r="F19" s="219" t="s">
        <v>376</v>
      </c>
      <c r="G19" s="219" t="s">
        <v>377</v>
      </c>
      <c r="H19" s="218" t="s">
        <v>378</v>
      </c>
      <c r="I19" s="219" t="s">
        <v>375</v>
      </c>
      <c r="J19" s="218" t="s">
        <v>379</v>
      </c>
      <c r="K19" s="218"/>
      <c r="L19" s="218" t="s">
        <v>379</v>
      </c>
      <c r="M19" s="218" t="s">
        <v>91</v>
      </c>
      <c r="N19" s="218">
        <v>2000026054</v>
      </c>
      <c r="O19" s="218" t="str">
        <f>_xlfn.CONCAT(Q19,",",R19,",",S19," ",T19)</f>
        <v xml:space="preserve">,, </v>
      </c>
      <c r="P19" s="217" t="s">
        <v>16</v>
      </c>
      <c r="Q19" s="18"/>
      <c r="R19" s="18"/>
      <c r="S19" s="18"/>
      <c r="T19" s="18"/>
    </row>
    <row r="20" spans="1:20" ht="30" customHeight="1">
      <c r="A20" s="218">
        <v>100750081</v>
      </c>
      <c r="B20" s="218" t="s">
        <v>406</v>
      </c>
      <c r="C20" s="218" t="s">
        <v>407</v>
      </c>
      <c r="D20" s="218" t="s">
        <v>205</v>
      </c>
      <c r="E20" s="218" t="s">
        <v>206</v>
      </c>
      <c r="F20" s="219"/>
      <c r="G20" s="219" t="s">
        <v>408</v>
      </c>
      <c r="H20" s="218"/>
      <c r="I20" s="220" t="s">
        <v>1781</v>
      </c>
      <c r="J20" s="218">
        <v>45658</v>
      </c>
      <c r="K20" s="218"/>
      <c r="L20" s="218">
        <v>44203</v>
      </c>
      <c r="M20" s="218" t="s">
        <v>409</v>
      </c>
      <c r="N20" s="218">
        <v>2000026054</v>
      </c>
      <c r="O20" s="218" t="str">
        <f>_xlfn.CONCAT(Q20,",",R20,",",S20," ",T20)</f>
        <v>300 QUEEN STREET,BRISBANE CITY,QLD 4000</v>
      </c>
      <c r="P20" s="217" t="s">
        <v>16</v>
      </c>
      <c r="Q20" s="18" t="s">
        <v>1782</v>
      </c>
      <c r="R20" s="18" t="s">
        <v>1783</v>
      </c>
      <c r="S20" s="18" t="s">
        <v>1759</v>
      </c>
      <c r="T20" s="18">
        <v>4000</v>
      </c>
    </row>
    <row r="21" spans="1:20" s="217" customFormat="1" ht="30" customHeight="1">
      <c r="A21" s="218">
        <v>6330744</v>
      </c>
      <c r="B21" s="218" t="s">
        <v>406</v>
      </c>
      <c r="C21" s="218" t="s">
        <v>407</v>
      </c>
      <c r="D21" s="218" t="s">
        <v>169</v>
      </c>
      <c r="E21" s="218" t="s">
        <v>169</v>
      </c>
      <c r="F21" s="219"/>
      <c r="G21" s="219"/>
      <c r="H21" s="218"/>
      <c r="I21" s="220" t="s">
        <v>1781</v>
      </c>
      <c r="J21" s="218">
        <v>45658</v>
      </c>
      <c r="K21" s="218"/>
      <c r="L21" s="218">
        <v>44203</v>
      </c>
      <c r="M21" s="218" t="s">
        <v>409</v>
      </c>
      <c r="N21" s="218">
        <v>2000026054</v>
      </c>
      <c r="O21" s="218"/>
      <c r="P21" s="217" t="s">
        <v>16</v>
      </c>
      <c r="Q21" s="18" t="s">
        <v>1761</v>
      </c>
      <c r="R21" s="18" t="s">
        <v>1762</v>
      </c>
      <c r="S21" s="18" t="s">
        <v>1759</v>
      </c>
      <c r="T21" s="18">
        <v>4066</v>
      </c>
    </row>
    <row r="22" spans="1:20" s="217" customFormat="1" ht="30" customHeight="1">
      <c r="A22" s="218">
        <v>5707190</v>
      </c>
      <c r="B22" s="218" t="s">
        <v>406</v>
      </c>
      <c r="C22" s="218" t="s">
        <v>407</v>
      </c>
      <c r="D22" s="218" t="s">
        <v>169</v>
      </c>
      <c r="E22" s="218" t="s">
        <v>170</v>
      </c>
      <c r="F22" s="219" t="s">
        <v>1784</v>
      </c>
      <c r="G22" s="219"/>
      <c r="H22" s="218"/>
      <c r="I22" s="220" t="s">
        <v>1781</v>
      </c>
      <c r="J22" s="218">
        <v>45658</v>
      </c>
      <c r="K22" s="218"/>
      <c r="L22" s="218">
        <v>44203</v>
      </c>
      <c r="M22" s="218" t="s">
        <v>409</v>
      </c>
      <c r="N22" s="218">
        <v>2000026054</v>
      </c>
      <c r="O22" s="218"/>
      <c r="P22" s="217" t="s">
        <v>16</v>
      </c>
      <c r="Q22" s="18" t="s">
        <v>1782</v>
      </c>
      <c r="R22" s="18" t="s">
        <v>1783</v>
      </c>
      <c r="S22" s="18" t="s">
        <v>1759</v>
      </c>
      <c r="T22" s="18">
        <v>4000</v>
      </c>
    </row>
    <row r="23" spans="1:20" s="217" customFormat="1" ht="30" customHeight="1">
      <c r="A23" s="218">
        <v>5760350</v>
      </c>
      <c r="B23" s="218" t="s">
        <v>421</v>
      </c>
      <c r="C23" s="218"/>
      <c r="D23" s="218" t="s">
        <v>169</v>
      </c>
      <c r="E23" s="218" t="s">
        <v>170</v>
      </c>
      <c r="F23" s="219" t="s">
        <v>422</v>
      </c>
      <c r="G23" s="219" t="s">
        <v>423</v>
      </c>
      <c r="H23" s="218" t="s">
        <v>424</v>
      </c>
      <c r="I23" s="219" t="s">
        <v>1785</v>
      </c>
      <c r="J23" s="218">
        <v>45140</v>
      </c>
      <c r="K23" s="218"/>
      <c r="L23" s="218">
        <v>45140</v>
      </c>
      <c r="M23" s="218" t="s">
        <v>174</v>
      </c>
      <c r="N23" s="218">
        <v>2000026054</v>
      </c>
      <c r="O23" s="218" t="str">
        <f t="shared" ref="O23:O51" si="0">_xlfn.CONCAT(Q23,",",R23,",",S23," ",T23)</f>
        <v xml:space="preserve">,, </v>
      </c>
      <c r="P23" s="217" t="s">
        <v>16</v>
      </c>
      <c r="Q23" s="18"/>
      <c r="R23" s="18"/>
      <c r="S23" s="18"/>
      <c r="T23" s="18"/>
    </row>
    <row r="24" spans="1:20" s="217" customFormat="1" ht="30" customHeight="1">
      <c r="A24" s="218">
        <v>5721419</v>
      </c>
      <c r="B24" s="218" t="s">
        <v>421</v>
      </c>
      <c r="C24" s="218"/>
      <c r="D24" s="218" t="s">
        <v>169</v>
      </c>
      <c r="E24" s="218" t="s">
        <v>170</v>
      </c>
      <c r="F24" s="219" t="s">
        <v>470</v>
      </c>
      <c r="G24" s="219" t="s">
        <v>471</v>
      </c>
      <c r="H24" s="218" t="s">
        <v>472</v>
      </c>
      <c r="I24" s="219" t="s">
        <v>1786</v>
      </c>
      <c r="J24" s="218" t="s">
        <v>474</v>
      </c>
      <c r="K24" s="218"/>
      <c r="L24" s="218" t="s">
        <v>474</v>
      </c>
      <c r="M24" s="218" t="s">
        <v>473</v>
      </c>
      <c r="N24" s="218">
        <v>2000026054</v>
      </c>
      <c r="O24" s="218" t="str">
        <f t="shared" si="0"/>
        <v xml:space="preserve">,, </v>
      </c>
      <c r="P24" s="217" t="s">
        <v>16</v>
      </c>
      <c r="Q24" s="18"/>
      <c r="R24" s="18"/>
      <c r="S24" s="18"/>
      <c r="T24" s="18"/>
    </row>
    <row r="25" spans="1:20" ht="30" customHeight="1">
      <c r="A25" s="218">
        <v>5510491</v>
      </c>
      <c r="B25" s="218" t="s">
        <v>480</v>
      </c>
      <c r="C25" s="218"/>
      <c r="D25" s="218" t="s">
        <v>169</v>
      </c>
      <c r="E25" s="218" t="s">
        <v>170</v>
      </c>
      <c r="F25" s="219" t="s">
        <v>481</v>
      </c>
      <c r="G25" s="219" t="s">
        <v>482</v>
      </c>
      <c r="H25" s="218" t="s">
        <v>483</v>
      </c>
      <c r="I25" s="219" t="s">
        <v>1787</v>
      </c>
      <c r="J25" s="218" t="s">
        <v>484</v>
      </c>
      <c r="K25" s="218"/>
      <c r="L25" s="218" t="s">
        <v>484</v>
      </c>
      <c r="M25" s="218" t="s">
        <v>174</v>
      </c>
      <c r="N25" s="218">
        <v>2000026054</v>
      </c>
      <c r="O25" s="218" t="str">
        <f t="shared" si="0"/>
        <v xml:space="preserve">,, </v>
      </c>
      <c r="P25" s="217" t="s">
        <v>16</v>
      </c>
      <c r="Q25" s="18"/>
      <c r="R25" s="18"/>
      <c r="S25" s="18"/>
      <c r="T25" s="18"/>
    </row>
    <row r="26" spans="1:20" s="217" customFormat="1" ht="30" customHeight="1">
      <c r="A26" s="218">
        <v>5758811</v>
      </c>
      <c r="B26" s="218" t="s">
        <v>515</v>
      </c>
      <c r="C26" s="218"/>
      <c r="D26" s="218" t="s">
        <v>169</v>
      </c>
      <c r="E26" s="218" t="s">
        <v>170</v>
      </c>
      <c r="F26" s="219" t="s">
        <v>516</v>
      </c>
      <c r="G26" s="219" t="s">
        <v>517</v>
      </c>
      <c r="H26" s="218" t="s">
        <v>518</v>
      </c>
      <c r="I26" s="219" t="s">
        <v>1788</v>
      </c>
      <c r="J26" s="218">
        <v>44604</v>
      </c>
      <c r="K26" s="218"/>
      <c r="L26" s="218">
        <v>44604</v>
      </c>
      <c r="M26" s="218" t="s">
        <v>473</v>
      </c>
      <c r="N26" s="218">
        <v>2000026054</v>
      </c>
      <c r="O26" s="218" t="str">
        <f t="shared" si="0"/>
        <v xml:space="preserve">,, </v>
      </c>
      <c r="P26" s="217" t="s">
        <v>16</v>
      </c>
      <c r="Q26" s="18"/>
      <c r="R26" s="18"/>
      <c r="S26" s="18"/>
      <c r="T26" s="18"/>
    </row>
    <row r="27" spans="1:20" s="217" customFormat="1" ht="30" customHeight="1">
      <c r="A27" s="218">
        <v>5784340</v>
      </c>
      <c r="B27" s="218" t="s">
        <v>570</v>
      </c>
      <c r="C27" s="218" t="s">
        <v>571</v>
      </c>
      <c r="D27" s="218" t="s">
        <v>169</v>
      </c>
      <c r="E27" s="218" t="s">
        <v>170</v>
      </c>
      <c r="F27" s="219" t="s">
        <v>572</v>
      </c>
      <c r="G27" s="219" t="s">
        <v>573</v>
      </c>
      <c r="H27" s="218" t="s">
        <v>574</v>
      </c>
      <c r="I27" s="219" t="s">
        <v>1789</v>
      </c>
      <c r="J27" s="218" t="s">
        <v>575</v>
      </c>
      <c r="K27" s="218"/>
      <c r="L27" s="218" t="s">
        <v>575</v>
      </c>
      <c r="M27" s="218" t="s">
        <v>174</v>
      </c>
      <c r="N27" s="218">
        <v>2000026054</v>
      </c>
      <c r="O27" s="218" t="str">
        <f t="shared" si="0"/>
        <v>44 BORTHWICK AVENUE,MURARRIE,QLD 4172</v>
      </c>
      <c r="P27" s="217" t="s">
        <v>16</v>
      </c>
      <c r="Q27" s="18" t="s">
        <v>1790</v>
      </c>
      <c r="R27" s="18" t="s">
        <v>1791</v>
      </c>
      <c r="S27" s="18" t="s">
        <v>1759</v>
      </c>
      <c r="T27" s="18">
        <v>4172</v>
      </c>
    </row>
    <row r="28" spans="1:20" ht="30" customHeight="1">
      <c r="A28" s="218">
        <v>5751962</v>
      </c>
      <c r="B28" s="218" t="s">
        <v>580</v>
      </c>
      <c r="C28" s="218"/>
      <c r="D28" s="218" t="s">
        <v>169</v>
      </c>
      <c r="E28" s="218" t="s">
        <v>170</v>
      </c>
      <c r="F28" s="219" t="s">
        <v>581</v>
      </c>
      <c r="G28" s="219" t="s">
        <v>582</v>
      </c>
      <c r="H28" s="218" t="s">
        <v>583</v>
      </c>
      <c r="I28" s="219" t="s">
        <v>1792</v>
      </c>
      <c r="J28" s="218" t="s">
        <v>584</v>
      </c>
      <c r="K28" s="218"/>
      <c r="L28" s="218" t="s">
        <v>584</v>
      </c>
      <c r="M28" s="218" t="s">
        <v>91</v>
      </c>
      <c r="N28" s="218">
        <v>2000026054</v>
      </c>
      <c r="O28" s="218" t="str">
        <f t="shared" si="0"/>
        <v xml:space="preserve">,, </v>
      </c>
      <c r="P28" s="217" t="s">
        <v>16</v>
      </c>
      <c r="Q28" s="18"/>
      <c r="R28" s="18"/>
      <c r="S28" s="18"/>
      <c r="T28" s="18"/>
    </row>
    <row r="29" spans="1:20" ht="30" customHeight="1">
      <c r="A29" s="218">
        <v>100551024</v>
      </c>
      <c r="B29" s="218" t="s">
        <v>605</v>
      </c>
      <c r="C29" s="218" t="s">
        <v>606</v>
      </c>
      <c r="D29" s="218" t="s">
        <v>205</v>
      </c>
      <c r="E29" s="218" t="s">
        <v>206</v>
      </c>
      <c r="F29" s="219"/>
      <c r="G29" s="219" t="s">
        <v>408</v>
      </c>
      <c r="H29" s="218"/>
      <c r="I29" s="219" t="s">
        <v>1793</v>
      </c>
      <c r="J29" s="218" t="s">
        <v>607</v>
      </c>
      <c r="K29" s="218"/>
      <c r="L29" s="218" t="s">
        <v>607</v>
      </c>
      <c r="M29" s="218" t="s">
        <v>409</v>
      </c>
      <c r="N29" s="218">
        <v>2000026054</v>
      </c>
      <c r="O29" s="218" t="str">
        <f t="shared" si="0"/>
        <v>LEVEL 12, 256 ADELAIDE TERRACE,PERTH,WA 6000</v>
      </c>
      <c r="P29" s="217" t="s">
        <v>16</v>
      </c>
      <c r="Q29" s="18" t="s">
        <v>1794</v>
      </c>
      <c r="R29" s="18" t="s">
        <v>1795</v>
      </c>
      <c r="S29" s="18" t="s">
        <v>1796</v>
      </c>
      <c r="T29" s="18">
        <v>6000</v>
      </c>
    </row>
    <row r="30" spans="1:20" ht="30" customHeight="1">
      <c r="A30" s="218">
        <v>6309915</v>
      </c>
      <c r="B30" s="218" t="s">
        <v>605</v>
      </c>
      <c r="C30" s="218"/>
      <c r="D30" s="218" t="s">
        <v>169</v>
      </c>
      <c r="E30" s="218" t="s">
        <v>169</v>
      </c>
      <c r="F30" s="219"/>
      <c r="G30" s="219"/>
      <c r="H30" s="218"/>
      <c r="I30" s="220" t="s">
        <v>605</v>
      </c>
      <c r="J30" s="218" t="s">
        <v>607</v>
      </c>
      <c r="K30" s="218"/>
      <c r="L30" s="218" t="s">
        <v>1797</v>
      </c>
      <c r="M30" s="218" t="s">
        <v>409</v>
      </c>
      <c r="N30" s="218">
        <v>2000026054</v>
      </c>
      <c r="O30" s="218" t="str">
        <f t="shared" si="0"/>
        <v xml:space="preserve">,, </v>
      </c>
      <c r="P30" s="217" t="s">
        <v>16</v>
      </c>
      <c r="Q30" s="18"/>
      <c r="R30" s="18"/>
      <c r="S30" s="18"/>
      <c r="T30" s="18"/>
    </row>
    <row r="31" spans="1:20" ht="30" customHeight="1">
      <c r="A31" s="218">
        <v>5669057</v>
      </c>
      <c r="B31" s="218" t="s">
        <v>605</v>
      </c>
      <c r="C31" s="218"/>
      <c r="D31" s="218" t="s">
        <v>169</v>
      </c>
      <c r="E31" s="218" t="s">
        <v>170</v>
      </c>
      <c r="F31" s="219" t="s">
        <v>1798</v>
      </c>
      <c r="G31" s="219"/>
      <c r="H31" s="218"/>
      <c r="I31" s="219" t="s">
        <v>1793</v>
      </c>
      <c r="J31" s="218" t="s">
        <v>607</v>
      </c>
      <c r="K31" s="218"/>
      <c r="L31" s="218" t="s">
        <v>1797</v>
      </c>
      <c r="M31" s="218" t="s">
        <v>409</v>
      </c>
      <c r="N31" s="218">
        <v>2000026054</v>
      </c>
      <c r="O31" s="218" t="str">
        <f t="shared" si="0"/>
        <v xml:space="preserve">,, </v>
      </c>
      <c r="P31" s="217" t="s">
        <v>16</v>
      </c>
      <c r="Q31" s="18"/>
      <c r="R31" s="18"/>
      <c r="S31" s="18"/>
      <c r="T31" s="18"/>
    </row>
    <row r="32" spans="1:20" s="217" customFormat="1" ht="30" customHeight="1">
      <c r="A32" s="218">
        <v>5645251</v>
      </c>
      <c r="B32" s="218" t="s">
        <v>605</v>
      </c>
      <c r="C32" s="218"/>
      <c r="D32" s="218" t="s">
        <v>169</v>
      </c>
      <c r="E32" s="218" t="s">
        <v>170</v>
      </c>
      <c r="F32" s="219" t="s">
        <v>1799</v>
      </c>
      <c r="G32" s="219" t="s">
        <v>1800</v>
      </c>
      <c r="H32" s="218" t="s">
        <v>1801</v>
      </c>
      <c r="I32" s="219" t="s">
        <v>1802</v>
      </c>
      <c r="J32" s="218" t="s">
        <v>1803</v>
      </c>
      <c r="K32" s="218"/>
      <c r="L32" s="218" t="s">
        <v>1803</v>
      </c>
      <c r="M32" s="218" t="s">
        <v>174</v>
      </c>
      <c r="N32" s="218">
        <v>2000026054</v>
      </c>
      <c r="O32" s="218" t="str">
        <f t="shared" si="0"/>
        <v xml:space="preserve">,, </v>
      </c>
      <c r="P32" s="217" t="s">
        <v>16</v>
      </c>
      <c r="Q32" s="18"/>
      <c r="R32" s="18"/>
      <c r="S32" s="18"/>
      <c r="T32" s="18"/>
    </row>
    <row r="33" spans="1:20" s="217" customFormat="1" ht="30" customHeight="1">
      <c r="A33" s="218">
        <v>5728046</v>
      </c>
      <c r="B33" s="218" t="s">
        <v>621</v>
      </c>
      <c r="C33" s="218"/>
      <c r="D33" s="218" t="s">
        <v>169</v>
      </c>
      <c r="E33" s="218" t="s">
        <v>170</v>
      </c>
      <c r="F33" s="219" t="s">
        <v>622</v>
      </c>
      <c r="G33" s="219" t="s">
        <v>623</v>
      </c>
      <c r="H33" s="218" t="s">
        <v>624</v>
      </c>
      <c r="I33" s="219" t="s">
        <v>1804</v>
      </c>
      <c r="J33" s="218" t="s">
        <v>625</v>
      </c>
      <c r="K33" s="218"/>
      <c r="L33" s="218" t="s">
        <v>625</v>
      </c>
      <c r="M33" s="218" t="s">
        <v>91</v>
      </c>
      <c r="N33" s="218">
        <v>2000026054</v>
      </c>
      <c r="O33" s="218" t="str">
        <f t="shared" si="0"/>
        <v xml:space="preserve">,, </v>
      </c>
      <c r="P33" s="217" t="s">
        <v>16</v>
      </c>
      <c r="Q33" s="18"/>
      <c r="R33" s="18"/>
      <c r="S33" s="18"/>
      <c r="T33" s="18"/>
    </row>
    <row r="34" spans="1:20" ht="30" customHeight="1">
      <c r="A34" s="218">
        <v>5672018</v>
      </c>
      <c r="B34" s="218" t="s">
        <v>621</v>
      </c>
      <c r="C34" s="218"/>
      <c r="D34" s="218" t="s">
        <v>169</v>
      </c>
      <c r="E34" s="218" t="s">
        <v>170</v>
      </c>
      <c r="F34" s="219" t="s">
        <v>1805</v>
      </c>
      <c r="G34" s="219" t="s">
        <v>1806</v>
      </c>
      <c r="H34" s="218" t="s">
        <v>1807</v>
      </c>
      <c r="I34" s="219" t="s">
        <v>1808</v>
      </c>
      <c r="J34" s="218" t="s">
        <v>1809</v>
      </c>
      <c r="K34" s="218"/>
      <c r="L34" s="218" t="s">
        <v>1809</v>
      </c>
      <c r="M34" s="218" t="s">
        <v>473</v>
      </c>
      <c r="N34" s="218">
        <v>2000026054</v>
      </c>
      <c r="O34" s="218" t="str">
        <f t="shared" si="0"/>
        <v xml:space="preserve">,, </v>
      </c>
      <c r="P34" s="217" t="s">
        <v>16</v>
      </c>
      <c r="Q34" s="18"/>
      <c r="R34" s="18"/>
      <c r="S34" s="18"/>
      <c r="T34" s="18"/>
    </row>
    <row r="35" spans="1:20" ht="30" customHeight="1">
      <c r="A35" s="218">
        <v>100845801</v>
      </c>
      <c r="B35" s="218" t="s">
        <v>634</v>
      </c>
      <c r="C35" s="218" t="s">
        <v>635</v>
      </c>
      <c r="D35" s="218" t="s">
        <v>205</v>
      </c>
      <c r="E35" s="218" t="s">
        <v>206</v>
      </c>
      <c r="F35" s="219"/>
      <c r="G35" s="219" t="s">
        <v>636</v>
      </c>
      <c r="H35" s="218"/>
      <c r="I35" s="219" t="s">
        <v>1810</v>
      </c>
      <c r="J35" s="218">
        <v>45021</v>
      </c>
      <c r="K35" s="218"/>
      <c r="L35" s="218">
        <v>45021</v>
      </c>
      <c r="M35" s="218" t="s">
        <v>91</v>
      </c>
      <c r="N35" s="218">
        <v>2000026054</v>
      </c>
      <c r="O35" s="218" t="str">
        <f t="shared" si="0"/>
        <v>SUITE 9A, 39 SHERWOOD ROAD,TOOWONG,QLD 4066</v>
      </c>
      <c r="P35" s="217" t="s">
        <v>16</v>
      </c>
      <c r="Q35" s="18" t="s">
        <v>1811</v>
      </c>
      <c r="R35" s="18" t="s">
        <v>1812</v>
      </c>
      <c r="S35" s="18" t="s">
        <v>1759</v>
      </c>
      <c r="T35" s="18">
        <v>4066</v>
      </c>
    </row>
    <row r="36" spans="1:20" ht="30" customHeight="1">
      <c r="A36" s="218">
        <v>6368648</v>
      </c>
      <c r="B36" s="218" t="s">
        <v>634</v>
      </c>
      <c r="C36" s="218" t="s">
        <v>635</v>
      </c>
      <c r="D36" s="218" t="s">
        <v>169</v>
      </c>
      <c r="E36" s="218" t="s">
        <v>169</v>
      </c>
      <c r="F36" s="219"/>
      <c r="G36" s="219"/>
      <c r="H36" s="218"/>
      <c r="I36" s="220" t="s">
        <v>1813</v>
      </c>
      <c r="J36" s="218">
        <v>45021</v>
      </c>
      <c r="K36" s="218"/>
      <c r="L36" s="218">
        <v>44990</v>
      </c>
      <c r="M36" s="218" t="s">
        <v>91</v>
      </c>
      <c r="N36" s="218">
        <v>2000026054</v>
      </c>
      <c r="O36" s="218" t="str">
        <f t="shared" si="0"/>
        <v>SUITE 9A, 39 SHERWOOD ROAD,TOOWONG,QLD 4066</v>
      </c>
      <c r="P36" s="217" t="s">
        <v>16</v>
      </c>
      <c r="Q36" s="18" t="s">
        <v>1811</v>
      </c>
      <c r="R36" s="18" t="s">
        <v>1812</v>
      </c>
      <c r="S36" s="18" t="s">
        <v>1759</v>
      </c>
      <c r="T36" s="18">
        <v>4066</v>
      </c>
    </row>
    <row r="37" spans="1:20" ht="30" customHeight="1">
      <c r="A37" s="218">
        <v>5770265</v>
      </c>
      <c r="B37" s="218" t="s">
        <v>634</v>
      </c>
      <c r="C37" s="218" t="s">
        <v>635</v>
      </c>
      <c r="D37" s="218" t="s">
        <v>169</v>
      </c>
      <c r="E37" s="218" t="s">
        <v>170</v>
      </c>
      <c r="F37" s="219" t="s">
        <v>1814</v>
      </c>
      <c r="G37" s="219"/>
      <c r="H37" s="218"/>
      <c r="I37" s="220" t="s">
        <v>1813</v>
      </c>
      <c r="J37" s="218">
        <v>45021</v>
      </c>
      <c r="K37" s="218"/>
      <c r="L37" s="218">
        <v>45021</v>
      </c>
      <c r="M37" s="218" t="s">
        <v>91</v>
      </c>
      <c r="N37" s="218">
        <v>2000026054</v>
      </c>
      <c r="O37" s="218" t="str">
        <f t="shared" si="0"/>
        <v>SUITE 9A, 39 SHERWOOD ROAD,TOOWONG,QLD 4066</v>
      </c>
      <c r="P37" s="217" t="s">
        <v>16</v>
      </c>
      <c r="Q37" s="18" t="s">
        <v>1811</v>
      </c>
      <c r="R37" s="18" t="s">
        <v>1812</v>
      </c>
      <c r="S37" s="18" t="s">
        <v>1759</v>
      </c>
      <c r="T37" s="18">
        <v>4066</v>
      </c>
    </row>
    <row r="38" spans="1:20" ht="30" customHeight="1">
      <c r="A38" s="218">
        <v>1824269</v>
      </c>
      <c r="B38" s="218" t="s">
        <v>656</v>
      </c>
      <c r="C38" s="218" t="s">
        <v>657</v>
      </c>
      <c r="D38" s="218" t="s">
        <v>658</v>
      </c>
      <c r="E38" s="218" t="s">
        <v>659</v>
      </c>
      <c r="F38" s="219"/>
      <c r="G38" s="219" t="s">
        <v>660</v>
      </c>
      <c r="H38" s="218"/>
      <c r="I38" s="219" t="s">
        <v>1815</v>
      </c>
      <c r="J38" s="218">
        <v>43990</v>
      </c>
      <c r="K38" s="218"/>
      <c r="L38" s="218">
        <v>43990</v>
      </c>
      <c r="M38" s="218" t="s">
        <v>91</v>
      </c>
      <c r="N38" s="218">
        <v>2000026054</v>
      </c>
      <c r="O38" s="218" t="str">
        <f t="shared" si="0"/>
        <v>120 BRUNSWICK STREET,Fortitude Valley,QLD 4006</v>
      </c>
      <c r="P38" s="217" t="s">
        <v>16</v>
      </c>
      <c r="Q38" s="18" t="s">
        <v>1816</v>
      </c>
      <c r="R38" s="18" t="s">
        <v>657</v>
      </c>
      <c r="S38" s="18" t="s">
        <v>1759</v>
      </c>
      <c r="T38" s="18">
        <v>4006</v>
      </c>
    </row>
    <row r="39" spans="1:20" ht="30" customHeight="1">
      <c r="A39" s="18">
        <v>6311389</v>
      </c>
      <c r="B39" s="218" t="s">
        <v>656</v>
      </c>
      <c r="C39" s="218"/>
      <c r="D39" s="18" t="s">
        <v>169</v>
      </c>
      <c r="E39" s="18" t="s">
        <v>169</v>
      </c>
      <c r="F39" s="19"/>
      <c r="G39" s="19" t="s">
        <v>660</v>
      </c>
      <c r="H39" s="18"/>
      <c r="I39" s="19" t="s">
        <v>1817</v>
      </c>
      <c r="J39" s="18">
        <v>43990</v>
      </c>
      <c r="K39" s="18"/>
      <c r="L39" s="18">
        <v>43959</v>
      </c>
      <c r="M39" s="18" t="s">
        <v>91</v>
      </c>
      <c r="N39" s="18">
        <v>2000026054</v>
      </c>
      <c r="O39" s="18" t="str">
        <f t="shared" si="0"/>
        <v xml:space="preserve">,, </v>
      </c>
      <c r="P39" s="217" t="s">
        <v>16</v>
      </c>
      <c r="Q39" s="18"/>
      <c r="R39" s="18"/>
      <c r="S39" s="18"/>
      <c r="T39" s="18"/>
    </row>
    <row r="40" spans="1:20" ht="30" customHeight="1">
      <c r="A40" s="18">
        <v>5671786</v>
      </c>
      <c r="B40" s="218" t="s">
        <v>656</v>
      </c>
      <c r="C40" s="218"/>
      <c r="D40" s="18" t="s">
        <v>169</v>
      </c>
      <c r="E40" s="18" t="s">
        <v>170</v>
      </c>
      <c r="F40" s="19" t="s">
        <v>1818</v>
      </c>
      <c r="G40" s="19" t="s">
        <v>660</v>
      </c>
      <c r="H40" s="18"/>
      <c r="I40" s="19" t="s">
        <v>1817</v>
      </c>
      <c r="J40" s="18">
        <v>43990</v>
      </c>
      <c r="K40" s="18"/>
      <c r="L40" s="18">
        <v>43959</v>
      </c>
      <c r="M40" s="18" t="s">
        <v>91</v>
      </c>
      <c r="N40" s="18">
        <v>2000026054</v>
      </c>
      <c r="O40" s="18" t="str">
        <f t="shared" si="0"/>
        <v xml:space="preserve">,, </v>
      </c>
      <c r="P40" s="217" t="s">
        <v>16</v>
      </c>
      <c r="Q40" s="18"/>
      <c r="R40" s="18"/>
      <c r="S40" s="18"/>
      <c r="T40" s="18"/>
    </row>
    <row r="41" spans="1:20" ht="30" customHeight="1">
      <c r="A41" s="218">
        <v>5665141</v>
      </c>
      <c r="B41" s="218" t="s">
        <v>666</v>
      </c>
      <c r="C41" s="218"/>
      <c r="D41" s="218" t="s">
        <v>169</v>
      </c>
      <c r="E41" s="218" t="s">
        <v>170</v>
      </c>
      <c r="F41" s="219" t="s">
        <v>667</v>
      </c>
      <c r="G41" s="219" t="s">
        <v>668</v>
      </c>
      <c r="H41" s="218" t="s">
        <v>669</v>
      </c>
      <c r="I41" s="219" t="s">
        <v>666</v>
      </c>
      <c r="J41" s="218" t="s">
        <v>670</v>
      </c>
      <c r="K41" s="218"/>
      <c r="L41" s="218" t="s">
        <v>670</v>
      </c>
      <c r="M41" s="218" t="s">
        <v>174</v>
      </c>
      <c r="N41" s="218">
        <v>2000026054</v>
      </c>
      <c r="O41" s="218" t="str">
        <f t="shared" si="0"/>
        <v xml:space="preserve">,, </v>
      </c>
      <c r="P41" s="217" t="s">
        <v>16</v>
      </c>
      <c r="Q41" s="18"/>
      <c r="R41" s="18"/>
      <c r="S41" s="18"/>
      <c r="T41" s="18"/>
    </row>
    <row r="42" spans="1:20" s="217" customFormat="1" ht="30" customHeight="1">
      <c r="A42" s="218">
        <v>5570851</v>
      </c>
      <c r="B42" s="218" t="s">
        <v>671</v>
      </c>
      <c r="C42" s="218"/>
      <c r="D42" s="218" t="s">
        <v>169</v>
      </c>
      <c r="E42" s="218" t="s">
        <v>170</v>
      </c>
      <c r="F42" s="219" t="s">
        <v>672</v>
      </c>
      <c r="G42" s="219" t="s">
        <v>673</v>
      </c>
      <c r="H42" s="218" t="s">
        <v>674</v>
      </c>
      <c r="I42" s="219" t="s">
        <v>1819</v>
      </c>
      <c r="J42" s="218">
        <v>43652</v>
      </c>
      <c r="K42" s="218"/>
      <c r="L42" s="218">
        <v>43652</v>
      </c>
      <c r="M42" s="218" t="s">
        <v>91</v>
      </c>
      <c r="N42" s="218">
        <v>2000026054</v>
      </c>
      <c r="O42" s="218" t="str">
        <f t="shared" si="0"/>
        <v xml:space="preserve">,, </v>
      </c>
      <c r="P42" s="217" t="s">
        <v>16</v>
      </c>
      <c r="Q42" s="18"/>
      <c r="R42" s="18"/>
      <c r="S42" s="18"/>
      <c r="T42" s="18"/>
    </row>
    <row r="43" spans="1:20" ht="30" customHeight="1">
      <c r="A43" s="218">
        <v>5770720</v>
      </c>
      <c r="B43" s="218" t="s">
        <v>733</v>
      </c>
      <c r="C43" s="218"/>
      <c r="D43" s="218" t="s">
        <v>169</v>
      </c>
      <c r="E43" s="218" t="s">
        <v>170</v>
      </c>
      <c r="F43" s="219" t="s">
        <v>734</v>
      </c>
      <c r="G43" s="219" t="s">
        <v>735</v>
      </c>
      <c r="H43" s="218" t="s">
        <v>736</v>
      </c>
      <c r="I43" s="219" t="s">
        <v>1820</v>
      </c>
      <c r="J43" s="218" t="s">
        <v>737</v>
      </c>
      <c r="K43" s="218"/>
      <c r="L43" s="218" t="s">
        <v>737</v>
      </c>
      <c r="M43" s="218" t="s">
        <v>473</v>
      </c>
      <c r="N43" s="218">
        <v>2000026054</v>
      </c>
      <c r="O43" s="218" t="str">
        <f t="shared" si="0"/>
        <v xml:space="preserve">,, </v>
      </c>
      <c r="P43" s="217" t="s">
        <v>16</v>
      </c>
      <c r="Q43" s="18"/>
      <c r="R43" s="18"/>
      <c r="S43" s="18"/>
      <c r="T43" s="18"/>
    </row>
    <row r="44" spans="1:20" ht="30" customHeight="1">
      <c r="A44" s="218">
        <v>5669987</v>
      </c>
      <c r="B44" s="218" t="s">
        <v>733</v>
      </c>
      <c r="C44" s="218"/>
      <c r="D44" s="218" t="s">
        <v>169</v>
      </c>
      <c r="E44" s="218" t="s">
        <v>170</v>
      </c>
      <c r="F44" s="219" t="s">
        <v>1821</v>
      </c>
      <c r="G44" s="219" t="s">
        <v>1822</v>
      </c>
      <c r="H44" s="218" t="s">
        <v>1823</v>
      </c>
      <c r="I44" s="219" t="s">
        <v>1824</v>
      </c>
      <c r="J44" s="218">
        <v>43989</v>
      </c>
      <c r="K44" s="218"/>
      <c r="L44" s="218">
        <v>43989</v>
      </c>
      <c r="M44" s="218" t="s">
        <v>91</v>
      </c>
      <c r="N44" s="218">
        <v>2000026054</v>
      </c>
      <c r="O44" s="218" t="str">
        <f t="shared" si="0"/>
        <v xml:space="preserve">,, </v>
      </c>
      <c r="P44" s="217" t="s">
        <v>16</v>
      </c>
      <c r="Q44" s="18"/>
      <c r="R44" s="18"/>
      <c r="S44" s="18"/>
      <c r="T44" s="18"/>
    </row>
    <row r="45" spans="1:20" ht="30" customHeight="1">
      <c r="A45" s="218">
        <v>100773118</v>
      </c>
      <c r="B45" s="218" t="s">
        <v>787</v>
      </c>
      <c r="C45" s="218" t="s">
        <v>788</v>
      </c>
      <c r="D45" s="218" t="s">
        <v>205</v>
      </c>
      <c r="E45" s="218" t="s">
        <v>206</v>
      </c>
      <c r="F45" s="219"/>
      <c r="G45" s="219" t="s">
        <v>207</v>
      </c>
      <c r="H45" s="218"/>
      <c r="I45" s="219" t="s">
        <v>1825</v>
      </c>
      <c r="J45" s="218" t="s">
        <v>1826</v>
      </c>
      <c r="K45" s="218"/>
      <c r="L45" s="218" t="s">
        <v>789</v>
      </c>
      <c r="M45" s="218" t="s">
        <v>91</v>
      </c>
      <c r="N45" s="218">
        <v>2000026054</v>
      </c>
      <c r="O45" s="218" t="str">
        <f t="shared" si="0"/>
        <v>SUITE 4, 17 ELIZABETH AVENUE,BROADBEACH,QLD 4218</v>
      </c>
      <c r="P45" s="217" t="s">
        <v>16</v>
      </c>
      <c r="Q45" s="18" t="s">
        <v>1827</v>
      </c>
      <c r="R45" s="18" t="s">
        <v>1828</v>
      </c>
      <c r="S45" s="18" t="s">
        <v>1759</v>
      </c>
      <c r="T45" s="18">
        <v>4218</v>
      </c>
    </row>
    <row r="46" spans="1:20" ht="30" customHeight="1">
      <c r="A46" s="18">
        <v>6341260</v>
      </c>
      <c r="B46" s="218" t="s">
        <v>787</v>
      </c>
      <c r="C46" s="218"/>
      <c r="D46" s="18" t="s">
        <v>169</v>
      </c>
      <c r="E46" s="18" t="s">
        <v>169</v>
      </c>
      <c r="F46" s="19"/>
      <c r="G46" s="19"/>
      <c r="H46" s="18"/>
      <c r="I46" s="19" t="s">
        <v>1825</v>
      </c>
      <c r="J46" s="18" t="s">
        <v>1826</v>
      </c>
      <c r="K46" s="18"/>
      <c r="L46" s="18" t="s">
        <v>789</v>
      </c>
      <c r="M46" s="18" t="s">
        <v>91</v>
      </c>
      <c r="N46" s="18">
        <v>2000026054</v>
      </c>
      <c r="O46" s="18" t="str">
        <f t="shared" si="0"/>
        <v xml:space="preserve">,, </v>
      </c>
      <c r="P46" s="217" t="s">
        <v>16</v>
      </c>
      <c r="Q46" s="18"/>
      <c r="R46" s="18"/>
      <c r="S46" s="18"/>
      <c r="T46" s="18"/>
    </row>
    <row r="47" spans="1:20" ht="30" customHeight="1">
      <c r="A47" s="218">
        <v>5723130</v>
      </c>
      <c r="B47" s="218" t="s">
        <v>787</v>
      </c>
      <c r="C47" s="218"/>
      <c r="D47" s="218" t="s">
        <v>169</v>
      </c>
      <c r="E47" s="218" t="s">
        <v>170</v>
      </c>
      <c r="F47" s="219" t="s">
        <v>1829</v>
      </c>
      <c r="G47" s="219"/>
      <c r="H47" s="218"/>
      <c r="I47" s="219" t="s">
        <v>1825</v>
      </c>
      <c r="J47" s="218" t="s">
        <v>1826</v>
      </c>
      <c r="K47" s="218"/>
      <c r="L47" s="218" t="s">
        <v>789</v>
      </c>
      <c r="M47" s="218" t="s">
        <v>91</v>
      </c>
      <c r="N47" s="218">
        <v>2000026054</v>
      </c>
      <c r="O47" s="218" t="str">
        <f t="shared" si="0"/>
        <v xml:space="preserve">,, </v>
      </c>
      <c r="P47" s="217" t="s">
        <v>16</v>
      </c>
      <c r="Q47" s="18"/>
      <c r="R47" s="18"/>
      <c r="S47" s="18"/>
      <c r="T47" s="18"/>
    </row>
    <row r="48" spans="1:20" ht="30" customHeight="1">
      <c r="A48" s="218">
        <v>100805666</v>
      </c>
      <c r="B48" s="218" t="s">
        <v>851</v>
      </c>
      <c r="C48" s="218" t="s">
        <v>852</v>
      </c>
      <c r="D48" s="218" t="s">
        <v>205</v>
      </c>
      <c r="E48" s="218" t="s">
        <v>206</v>
      </c>
      <c r="F48" s="219"/>
      <c r="G48" s="219" t="s">
        <v>853</v>
      </c>
      <c r="H48" s="218"/>
      <c r="I48" s="219" t="s">
        <v>1830</v>
      </c>
      <c r="J48" s="218">
        <v>44903</v>
      </c>
      <c r="K48" s="218"/>
      <c r="L48" s="218">
        <v>44903</v>
      </c>
      <c r="M48" s="218" t="s">
        <v>91</v>
      </c>
      <c r="N48" s="218">
        <v>2000026054</v>
      </c>
      <c r="O48" s="218" t="str">
        <f t="shared" si="0"/>
        <v>UNIT 32, 20 PARK ROAD,MILTON,QLD 4064</v>
      </c>
      <c r="P48" s="217" t="s">
        <v>16</v>
      </c>
      <c r="Q48" s="18" t="s">
        <v>1831</v>
      </c>
      <c r="R48" s="18" t="s">
        <v>1832</v>
      </c>
      <c r="S48" s="18" t="s">
        <v>1759</v>
      </c>
      <c r="T48" s="18">
        <v>4064</v>
      </c>
    </row>
    <row r="49" spans="1:22" ht="30" customHeight="1">
      <c r="A49" s="218">
        <v>6353735</v>
      </c>
      <c r="B49" s="218" t="s">
        <v>851</v>
      </c>
      <c r="C49" s="218"/>
      <c r="D49" s="218" t="s">
        <v>169</v>
      </c>
      <c r="E49" s="218" t="s">
        <v>169</v>
      </c>
      <c r="F49" s="219"/>
      <c r="G49" s="219"/>
      <c r="H49" s="218"/>
      <c r="I49" s="220" t="s">
        <v>1833</v>
      </c>
      <c r="J49" s="218">
        <v>44903</v>
      </c>
      <c r="K49" s="218"/>
      <c r="L49" s="218">
        <v>44903</v>
      </c>
      <c r="M49" s="218" t="s">
        <v>91</v>
      </c>
      <c r="N49" s="218">
        <v>2000026054</v>
      </c>
      <c r="O49" s="218" t="str">
        <f t="shared" si="0"/>
        <v xml:space="preserve">,, </v>
      </c>
      <c r="P49" s="217" t="s">
        <v>16</v>
      </c>
      <c r="Q49" s="18"/>
      <c r="R49" s="18"/>
      <c r="S49" s="18"/>
      <c r="T49" s="18"/>
    </row>
    <row r="50" spans="1:22" ht="30" customHeight="1">
      <c r="A50" s="218">
        <v>5742103</v>
      </c>
      <c r="B50" s="218" t="s">
        <v>851</v>
      </c>
      <c r="C50" s="218"/>
      <c r="D50" s="218" t="s">
        <v>169</v>
      </c>
      <c r="E50" s="218" t="s">
        <v>170</v>
      </c>
      <c r="F50" s="219" t="s">
        <v>1834</v>
      </c>
      <c r="G50" s="219"/>
      <c r="H50" s="218"/>
      <c r="I50" s="219" t="s">
        <v>1830</v>
      </c>
      <c r="J50" s="218">
        <v>44903</v>
      </c>
      <c r="K50" s="218"/>
      <c r="L50" s="218">
        <v>44903</v>
      </c>
      <c r="M50" s="218" t="s">
        <v>91</v>
      </c>
      <c r="N50" s="218">
        <v>2000026054</v>
      </c>
      <c r="O50" s="218" t="str">
        <f t="shared" si="0"/>
        <v xml:space="preserve">,, </v>
      </c>
      <c r="P50" s="217" t="s">
        <v>16</v>
      </c>
      <c r="Q50" s="18"/>
      <c r="R50" s="18"/>
      <c r="S50" s="18"/>
      <c r="T50" s="18"/>
    </row>
    <row r="51" spans="1:22" ht="30" customHeight="1">
      <c r="A51" s="218">
        <v>100716020</v>
      </c>
      <c r="B51" s="218" t="s">
        <v>865</v>
      </c>
      <c r="C51" s="218" t="s">
        <v>866</v>
      </c>
      <c r="D51" s="218" t="s">
        <v>205</v>
      </c>
      <c r="E51" s="218" t="s">
        <v>206</v>
      </c>
      <c r="F51" s="219"/>
      <c r="G51" s="219" t="s">
        <v>207</v>
      </c>
      <c r="H51" s="218"/>
      <c r="I51" s="223" t="s">
        <v>1835</v>
      </c>
      <c r="J51" s="218">
        <v>45658</v>
      </c>
      <c r="K51" s="218"/>
      <c r="L51" s="218" t="s">
        <v>867</v>
      </c>
      <c r="M51" s="218" t="s">
        <v>91</v>
      </c>
      <c r="N51" s="218">
        <v>2000026054</v>
      </c>
      <c r="O51" s="218" t="str">
        <f t="shared" si="0"/>
        <v>175 BRIENS ROAD,NORTHMEAD,NSW 2152</v>
      </c>
      <c r="P51" s="217" t="s">
        <v>16</v>
      </c>
      <c r="Q51" s="18" t="s">
        <v>1836</v>
      </c>
      <c r="R51" s="18" t="s">
        <v>1837</v>
      </c>
      <c r="S51" s="18" t="s">
        <v>1838</v>
      </c>
      <c r="T51" s="18">
        <v>2152</v>
      </c>
    </row>
    <row r="52" spans="1:22" ht="30" customHeight="1">
      <c r="A52" s="218">
        <v>6325238</v>
      </c>
      <c r="B52" s="218" t="s">
        <v>865</v>
      </c>
      <c r="C52" s="218" t="s">
        <v>866</v>
      </c>
      <c r="D52" s="218" t="s">
        <v>169</v>
      </c>
      <c r="E52" s="218" t="s">
        <v>169</v>
      </c>
      <c r="F52" s="219"/>
      <c r="G52" s="219"/>
      <c r="H52" s="218"/>
      <c r="I52" s="223" t="s">
        <v>1835</v>
      </c>
      <c r="J52" s="218">
        <v>45658</v>
      </c>
      <c r="K52" s="218"/>
      <c r="L52" s="218" t="s">
        <v>867</v>
      </c>
      <c r="M52" s="218" t="s">
        <v>91</v>
      </c>
      <c r="N52" s="218">
        <v>2000026054</v>
      </c>
      <c r="O52" s="218"/>
      <c r="P52" s="217" t="s">
        <v>16</v>
      </c>
      <c r="Q52" s="18" t="s">
        <v>1761</v>
      </c>
      <c r="R52" s="18" t="s">
        <v>1762</v>
      </c>
      <c r="S52" s="18" t="s">
        <v>1759</v>
      </c>
      <c r="T52" s="18">
        <v>4066</v>
      </c>
    </row>
    <row r="53" spans="1:22" ht="30" customHeight="1">
      <c r="A53" s="218">
        <v>5697742</v>
      </c>
      <c r="B53" s="218" t="s">
        <v>865</v>
      </c>
      <c r="C53" s="218" t="s">
        <v>866</v>
      </c>
      <c r="D53" s="218" t="s">
        <v>169</v>
      </c>
      <c r="E53" s="218" t="s">
        <v>170</v>
      </c>
      <c r="F53" s="219" t="s">
        <v>1839</v>
      </c>
      <c r="G53" s="219"/>
      <c r="H53" s="218"/>
      <c r="I53" s="223" t="s">
        <v>1835</v>
      </c>
      <c r="J53" s="218">
        <v>45658</v>
      </c>
      <c r="K53" s="218"/>
      <c r="L53" s="218" t="s">
        <v>867</v>
      </c>
      <c r="M53" s="218" t="s">
        <v>91</v>
      </c>
      <c r="N53" s="218">
        <v>2000026054</v>
      </c>
      <c r="O53" s="218"/>
      <c r="P53" s="217" t="s">
        <v>16</v>
      </c>
      <c r="Q53" s="18" t="s">
        <v>1761</v>
      </c>
      <c r="R53" s="18" t="s">
        <v>1762</v>
      </c>
      <c r="S53" s="18" t="s">
        <v>1759</v>
      </c>
      <c r="T53" s="18">
        <v>4066</v>
      </c>
    </row>
    <row r="54" spans="1:22" ht="30" customHeight="1">
      <c r="A54" s="134">
        <v>6330916</v>
      </c>
      <c r="B54" s="218" t="s">
        <v>868</v>
      </c>
      <c r="C54" s="218"/>
      <c r="D54" s="134" t="s">
        <v>169</v>
      </c>
      <c r="E54" s="134" t="s">
        <v>169</v>
      </c>
      <c r="F54" s="221"/>
      <c r="G54" s="221"/>
      <c r="H54" s="134"/>
      <c r="I54" s="221" t="s">
        <v>1840</v>
      </c>
      <c r="J54" s="134" t="s">
        <v>1841</v>
      </c>
      <c r="K54" s="134"/>
      <c r="L54" s="134" t="s">
        <v>869</v>
      </c>
      <c r="M54" s="134" t="s">
        <v>473</v>
      </c>
      <c r="N54" s="134">
        <v>2000026054</v>
      </c>
      <c r="O54" s="134" t="str">
        <f t="shared" ref="O54:O72" si="1">_xlfn.CONCAT(Q54,",",R54,",",S54," ",T54)</f>
        <v xml:space="preserve">,, </v>
      </c>
      <c r="P54" s="217" t="s">
        <v>16</v>
      </c>
      <c r="Q54" s="134"/>
      <c r="R54" s="134"/>
      <c r="S54" s="134"/>
      <c r="T54" s="134"/>
    </row>
    <row r="55" spans="1:22" ht="30" customHeight="1">
      <c r="A55" s="134">
        <v>5707504</v>
      </c>
      <c r="B55" s="218" t="s">
        <v>868</v>
      </c>
      <c r="C55" s="218"/>
      <c r="D55" s="134" t="s">
        <v>169</v>
      </c>
      <c r="E55" s="134" t="s">
        <v>170</v>
      </c>
      <c r="F55" s="221" t="s">
        <v>1842</v>
      </c>
      <c r="G55" s="221" t="s">
        <v>1767</v>
      </c>
      <c r="H55" s="134"/>
      <c r="I55" s="221" t="s">
        <v>1840</v>
      </c>
      <c r="J55" s="134" t="s">
        <v>1841</v>
      </c>
      <c r="K55" s="134"/>
      <c r="L55" s="134" t="s">
        <v>869</v>
      </c>
      <c r="M55" s="134" t="s">
        <v>473</v>
      </c>
      <c r="N55" s="134">
        <v>2000026054</v>
      </c>
      <c r="O55" s="134" t="str">
        <f t="shared" si="1"/>
        <v xml:space="preserve">,, </v>
      </c>
      <c r="P55" s="217" t="s">
        <v>16</v>
      </c>
      <c r="Q55" s="134"/>
      <c r="R55" s="134"/>
      <c r="S55" s="134"/>
      <c r="T55" s="134"/>
    </row>
    <row r="56" spans="1:22" ht="30" customHeight="1">
      <c r="A56" s="134">
        <v>100751347</v>
      </c>
      <c r="B56" s="218" t="s">
        <v>868</v>
      </c>
      <c r="C56" s="218" t="s">
        <v>1843</v>
      </c>
      <c r="D56" s="134" t="s">
        <v>205</v>
      </c>
      <c r="E56" s="134" t="s">
        <v>1844</v>
      </c>
      <c r="F56" s="221"/>
      <c r="G56" s="221" t="s">
        <v>1845</v>
      </c>
      <c r="H56" s="134" t="s">
        <v>1846</v>
      </c>
      <c r="I56" s="221" t="s">
        <v>1840</v>
      </c>
      <c r="J56" s="134" t="s">
        <v>1841</v>
      </c>
      <c r="K56" s="134"/>
      <c r="L56" s="134" t="s">
        <v>869</v>
      </c>
      <c r="M56" s="134" t="s">
        <v>473</v>
      </c>
      <c r="N56" s="134">
        <v>2000026054</v>
      </c>
      <c r="O56" s="134" t="str">
        <f t="shared" si="1"/>
        <v>LOT 51, 779 STANLEY STREET,WOOLLOONGABBA,QLD 4102</v>
      </c>
      <c r="P56" s="217" t="s">
        <v>16</v>
      </c>
      <c r="Q56" s="134" t="s">
        <v>1847</v>
      </c>
      <c r="R56" s="134" t="s">
        <v>1848</v>
      </c>
      <c r="S56" s="134" t="s">
        <v>1759</v>
      </c>
      <c r="T56" s="134">
        <v>4102</v>
      </c>
    </row>
    <row r="57" spans="1:22" s="217" customFormat="1" ht="30" customHeight="1">
      <c r="A57" s="218">
        <v>100896987</v>
      </c>
      <c r="B57" s="218" t="s">
        <v>870</v>
      </c>
      <c r="C57" s="218" t="s">
        <v>871</v>
      </c>
      <c r="D57" s="218" t="s">
        <v>205</v>
      </c>
      <c r="E57" s="218" t="s">
        <v>206</v>
      </c>
      <c r="F57" s="219"/>
      <c r="G57" s="219" t="s">
        <v>636</v>
      </c>
      <c r="H57" s="218"/>
      <c r="I57" s="219" t="s">
        <v>1537</v>
      </c>
      <c r="J57" s="218">
        <v>45658</v>
      </c>
      <c r="K57" s="218"/>
      <c r="L57" s="218" t="s">
        <v>872</v>
      </c>
      <c r="M57" s="218" t="s">
        <v>91</v>
      </c>
      <c r="N57" s="218">
        <v>2000026054</v>
      </c>
      <c r="O57" s="218" t="str">
        <f t="shared" si="1"/>
        <v>LEVEL 14, 24 CHASELY STREET,AUCHENFLOWER,QLD 4066</v>
      </c>
      <c r="P57" s="217" t="s">
        <v>16</v>
      </c>
      <c r="Q57" s="18" t="s">
        <v>1761</v>
      </c>
      <c r="R57" s="18" t="s">
        <v>1762</v>
      </c>
      <c r="S57" s="18" t="s">
        <v>1759</v>
      </c>
      <c r="T57" s="18">
        <v>4066</v>
      </c>
    </row>
    <row r="58" spans="1:22" ht="30" customHeight="1">
      <c r="A58" s="218">
        <v>6392080</v>
      </c>
      <c r="B58" s="218" t="s">
        <v>870</v>
      </c>
      <c r="C58" s="218" t="s">
        <v>1849</v>
      </c>
      <c r="D58" s="218" t="s">
        <v>169</v>
      </c>
      <c r="E58" s="218" t="s">
        <v>169</v>
      </c>
      <c r="F58" s="219"/>
      <c r="G58" s="219"/>
      <c r="H58" s="218"/>
      <c r="I58" s="219" t="s">
        <v>1537</v>
      </c>
      <c r="J58" s="218">
        <v>45658</v>
      </c>
      <c r="K58" s="218"/>
      <c r="L58" s="218" t="s">
        <v>1850</v>
      </c>
      <c r="M58" s="218" t="s">
        <v>91</v>
      </c>
      <c r="N58" s="218">
        <v>2000026054</v>
      </c>
      <c r="O58" s="218" t="str">
        <f t="shared" si="1"/>
        <v>LEVEL 14, 24 CHASELY STREET,AUCHENFLOWER,QLD 4066</v>
      </c>
      <c r="P58" s="217" t="s">
        <v>16</v>
      </c>
      <c r="Q58" s="18" t="s">
        <v>1761</v>
      </c>
      <c r="R58" s="18" t="s">
        <v>1762</v>
      </c>
      <c r="S58" s="18" t="s">
        <v>1759</v>
      </c>
      <c r="T58" s="18">
        <v>4066</v>
      </c>
    </row>
    <row r="59" spans="1:22" s="222" customFormat="1" ht="30" customHeight="1">
      <c r="A59" s="218">
        <v>5806884</v>
      </c>
      <c r="B59" s="218" t="s">
        <v>870</v>
      </c>
      <c r="C59" s="218" t="s">
        <v>1849</v>
      </c>
      <c r="D59" s="218" t="s">
        <v>169</v>
      </c>
      <c r="E59" s="218" t="s">
        <v>170</v>
      </c>
      <c r="F59" s="219" t="s">
        <v>1851</v>
      </c>
      <c r="G59" s="219"/>
      <c r="H59" s="218"/>
      <c r="I59" s="219" t="s">
        <v>1537</v>
      </c>
      <c r="J59" s="218">
        <v>45658</v>
      </c>
      <c r="K59" s="218"/>
      <c r="L59" s="218" t="s">
        <v>872</v>
      </c>
      <c r="M59" s="218" t="s">
        <v>91</v>
      </c>
      <c r="N59" s="218">
        <v>2000026054</v>
      </c>
      <c r="O59" s="218" t="str">
        <f t="shared" si="1"/>
        <v>LEVEL 14, 24 CHASELY STREET,AUCHENFLOWER,QLD 4066</v>
      </c>
      <c r="P59" s="217" t="s">
        <v>16</v>
      </c>
      <c r="Q59" s="18" t="s">
        <v>1761</v>
      </c>
      <c r="R59" s="18" t="s">
        <v>1762</v>
      </c>
      <c r="S59" s="18" t="s">
        <v>1759</v>
      </c>
      <c r="T59" s="18">
        <v>4066</v>
      </c>
      <c r="V59" s="222" t="s">
        <v>1852</v>
      </c>
    </row>
    <row r="60" spans="1:22" s="222" customFormat="1" ht="30" customHeight="1">
      <c r="A60" s="218">
        <v>5672030</v>
      </c>
      <c r="B60" s="218" t="s">
        <v>884</v>
      </c>
      <c r="C60" s="218"/>
      <c r="D60" s="218" t="s">
        <v>169</v>
      </c>
      <c r="E60" s="218" t="s">
        <v>170</v>
      </c>
      <c r="F60" s="219" t="s">
        <v>885</v>
      </c>
      <c r="G60" s="219" t="s">
        <v>886</v>
      </c>
      <c r="H60" s="218" t="s">
        <v>887</v>
      </c>
      <c r="I60" s="219" t="s">
        <v>1853</v>
      </c>
      <c r="J60" s="218" t="s">
        <v>888</v>
      </c>
      <c r="K60" s="218"/>
      <c r="L60" s="218" t="s">
        <v>888</v>
      </c>
      <c r="M60" s="218" t="s">
        <v>473</v>
      </c>
      <c r="N60" s="218">
        <v>2000026054</v>
      </c>
      <c r="O60" s="218" t="str">
        <f t="shared" si="1"/>
        <v xml:space="preserve">,, </v>
      </c>
      <c r="P60" s="217" t="s">
        <v>16</v>
      </c>
      <c r="Q60" s="18"/>
      <c r="R60" s="18"/>
      <c r="S60" s="18"/>
      <c r="T60" s="18"/>
    </row>
    <row r="61" spans="1:22" s="222" customFormat="1" ht="30" customHeight="1">
      <c r="A61" s="218">
        <v>5669050</v>
      </c>
      <c r="B61" s="218" t="s">
        <v>897</v>
      </c>
      <c r="C61" s="218"/>
      <c r="D61" s="218" t="s">
        <v>169</v>
      </c>
      <c r="E61" s="218" t="s">
        <v>170</v>
      </c>
      <c r="F61" s="219" t="s">
        <v>898</v>
      </c>
      <c r="G61" s="219" t="s">
        <v>899</v>
      </c>
      <c r="H61" s="218" t="s">
        <v>900</v>
      </c>
      <c r="I61" s="218" t="s">
        <v>897</v>
      </c>
      <c r="J61" s="218">
        <v>43989</v>
      </c>
      <c r="K61" s="218"/>
      <c r="L61" s="218">
        <v>43989</v>
      </c>
      <c r="M61" s="218" t="s">
        <v>473</v>
      </c>
      <c r="N61" s="218">
        <v>2000026054</v>
      </c>
      <c r="O61" s="218" t="str">
        <f t="shared" si="1"/>
        <v xml:space="preserve">,, </v>
      </c>
      <c r="P61" s="217" t="s">
        <v>16</v>
      </c>
      <c r="Q61" s="18"/>
      <c r="R61" s="18"/>
      <c r="S61" s="18"/>
      <c r="T61" s="18"/>
    </row>
    <row r="62" spans="1:22" ht="30" customHeight="1">
      <c r="A62" s="218">
        <v>6023265</v>
      </c>
      <c r="B62" s="218" t="s">
        <v>897</v>
      </c>
      <c r="C62" s="218"/>
      <c r="D62" s="218" t="s">
        <v>169</v>
      </c>
      <c r="E62" s="218" t="s">
        <v>169</v>
      </c>
      <c r="F62" s="219"/>
      <c r="G62" s="219" t="s">
        <v>1854</v>
      </c>
      <c r="H62" s="218"/>
      <c r="I62" s="218" t="s">
        <v>897</v>
      </c>
      <c r="J62" s="218" t="s">
        <v>1855</v>
      </c>
      <c r="K62" s="218"/>
      <c r="L62" s="218" t="s">
        <v>1855</v>
      </c>
      <c r="M62" s="218" t="s">
        <v>174</v>
      </c>
      <c r="N62" s="218">
        <v>2000026054</v>
      </c>
      <c r="O62" s="218" t="str">
        <f t="shared" si="1"/>
        <v xml:space="preserve">,, </v>
      </c>
      <c r="P62" s="217" t="s">
        <v>16</v>
      </c>
      <c r="Q62" s="18"/>
      <c r="R62" s="18"/>
      <c r="S62" s="18"/>
      <c r="T62" s="18"/>
    </row>
    <row r="63" spans="1:22" ht="30" customHeight="1">
      <c r="A63" s="18" t="s">
        <v>1856</v>
      </c>
      <c r="B63" s="18" t="s">
        <v>14</v>
      </c>
      <c r="C63" s="18" t="s">
        <v>15</v>
      </c>
      <c r="D63" s="18" t="s">
        <v>17</v>
      </c>
      <c r="E63" s="18" t="s">
        <v>18</v>
      </c>
      <c r="F63" s="19" t="s">
        <v>19</v>
      </c>
      <c r="G63" s="19"/>
      <c r="H63" s="18"/>
      <c r="I63" s="19" t="s">
        <v>1857</v>
      </c>
      <c r="J63" s="18" t="s">
        <v>1858</v>
      </c>
      <c r="K63" s="18"/>
      <c r="L63" s="18"/>
      <c r="M63" s="18"/>
      <c r="N63" s="18">
        <v>2000026054</v>
      </c>
      <c r="O63" s="18" t="str">
        <f t="shared" si="1"/>
        <v>37 BALFOUR STREET,NEW FARM,QLD 4005</v>
      </c>
      <c r="P63" s="217" t="s">
        <v>16</v>
      </c>
      <c r="Q63" s="18" t="s">
        <v>1859</v>
      </c>
      <c r="R63" s="18" t="s">
        <v>1860</v>
      </c>
      <c r="S63" s="18" t="s">
        <v>1759</v>
      </c>
      <c r="T63" s="18">
        <v>4005</v>
      </c>
    </row>
    <row r="64" spans="1:22" ht="30" customHeight="1">
      <c r="A64" s="18" t="s">
        <v>1861</v>
      </c>
      <c r="B64" s="18" t="s">
        <v>14</v>
      </c>
      <c r="C64" s="18"/>
      <c r="D64" s="18" t="s">
        <v>17</v>
      </c>
      <c r="E64" s="18" t="s">
        <v>18</v>
      </c>
      <c r="F64" s="19" t="s">
        <v>19</v>
      </c>
      <c r="G64" s="19"/>
      <c r="H64" s="18"/>
      <c r="I64" s="19"/>
      <c r="J64" s="18">
        <v>42009</v>
      </c>
      <c r="K64" s="18"/>
      <c r="L64" s="18"/>
      <c r="M64" s="18"/>
      <c r="N64" s="18">
        <v>2000026054</v>
      </c>
      <c r="O64" s="18" t="str">
        <f t="shared" si="1"/>
        <v xml:space="preserve">,, </v>
      </c>
      <c r="P64" s="217" t="s">
        <v>16</v>
      </c>
      <c r="Q64" s="18"/>
      <c r="R64" s="18"/>
      <c r="S64" s="18"/>
      <c r="T64" s="18"/>
    </row>
    <row r="65" spans="1:20" ht="30" customHeight="1">
      <c r="A65" s="18" t="s">
        <v>1862</v>
      </c>
      <c r="B65" s="18" t="s">
        <v>14</v>
      </c>
      <c r="C65" s="18"/>
      <c r="D65" s="18" t="s">
        <v>17</v>
      </c>
      <c r="E65" s="18" t="s">
        <v>18</v>
      </c>
      <c r="F65" s="19" t="s">
        <v>19</v>
      </c>
      <c r="G65" s="19"/>
      <c r="H65" s="18"/>
      <c r="I65" s="19"/>
      <c r="J65" s="18" t="s">
        <v>1863</v>
      </c>
      <c r="K65" s="18"/>
      <c r="L65" s="18"/>
      <c r="M65" s="18"/>
      <c r="N65" s="18">
        <v>2000026054</v>
      </c>
      <c r="O65" s="18" t="str">
        <f t="shared" si="1"/>
        <v xml:space="preserve">,, </v>
      </c>
      <c r="P65" s="217" t="s">
        <v>16</v>
      </c>
      <c r="Q65" s="18"/>
      <c r="R65" s="18"/>
      <c r="S65" s="18"/>
      <c r="T65" s="18"/>
    </row>
    <row r="66" spans="1:20" ht="30" customHeight="1">
      <c r="A66" s="18" t="s">
        <v>1864</v>
      </c>
      <c r="B66" s="18" t="s">
        <v>14</v>
      </c>
      <c r="C66" s="18"/>
      <c r="D66" s="18" t="s">
        <v>17</v>
      </c>
      <c r="E66" s="18" t="s">
        <v>18</v>
      </c>
      <c r="F66" s="19" t="s">
        <v>19</v>
      </c>
      <c r="G66" s="19"/>
      <c r="H66" s="18"/>
      <c r="I66" s="19"/>
      <c r="J66" s="18" t="s">
        <v>1865</v>
      </c>
      <c r="K66" s="18"/>
      <c r="L66" s="18"/>
      <c r="M66" s="18"/>
      <c r="N66" s="18">
        <v>2000026054</v>
      </c>
      <c r="O66" s="18" t="str">
        <f t="shared" si="1"/>
        <v xml:space="preserve">,, </v>
      </c>
      <c r="P66" s="217" t="s">
        <v>16</v>
      </c>
      <c r="Q66" s="18"/>
      <c r="R66" s="18"/>
      <c r="S66" s="18"/>
      <c r="T66" s="18"/>
    </row>
    <row r="67" spans="1:20" ht="30" customHeight="1">
      <c r="A67" s="218">
        <v>5711249</v>
      </c>
      <c r="B67" s="218" t="s">
        <v>929</v>
      </c>
      <c r="C67" s="218"/>
      <c r="D67" s="218" t="s">
        <v>169</v>
      </c>
      <c r="E67" s="218" t="s">
        <v>170</v>
      </c>
      <c r="F67" s="219" t="s">
        <v>930</v>
      </c>
      <c r="G67" s="219" t="s">
        <v>931</v>
      </c>
      <c r="H67" s="218" t="s">
        <v>932</v>
      </c>
      <c r="I67" s="219" t="s">
        <v>1866</v>
      </c>
      <c r="J67" s="218">
        <v>44234</v>
      </c>
      <c r="K67" s="218"/>
      <c r="L67" s="218">
        <v>44203</v>
      </c>
      <c r="M67" s="218" t="s">
        <v>174</v>
      </c>
      <c r="N67" s="218">
        <v>2000026054</v>
      </c>
      <c r="O67" s="218" t="str">
        <f t="shared" si="1"/>
        <v xml:space="preserve">,, </v>
      </c>
      <c r="P67" s="217" t="s">
        <v>16</v>
      </c>
      <c r="Q67" s="18"/>
      <c r="R67" s="18"/>
      <c r="S67" s="18"/>
      <c r="T67" s="18"/>
    </row>
    <row r="68" spans="1:20" ht="30" customHeight="1">
      <c r="A68" s="218">
        <v>5539100</v>
      </c>
      <c r="B68" s="218" t="s">
        <v>933</v>
      </c>
      <c r="C68" s="218"/>
      <c r="D68" s="218" t="s">
        <v>169</v>
      </c>
      <c r="E68" s="218" t="s">
        <v>170</v>
      </c>
      <c r="F68" s="219" t="s">
        <v>934</v>
      </c>
      <c r="G68" s="219" t="s">
        <v>935</v>
      </c>
      <c r="H68" s="218" t="s">
        <v>936</v>
      </c>
      <c r="I68" s="220" t="s">
        <v>1867</v>
      </c>
      <c r="J68" s="218">
        <v>43745</v>
      </c>
      <c r="K68" s="218"/>
      <c r="L68" s="218">
        <v>43745</v>
      </c>
      <c r="M68" s="218" t="s">
        <v>174</v>
      </c>
      <c r="N68" s="218">
        <v>2000026054</v>
      </c>
      <c r="O68" s="218" t="str">
        <f t="shared" si="1"/>
        <v xml:space="preserve">,, </v>
      </c>
      <c r="P68" s="217" t="s">
        <v>16</v>
      </c>
      <c r="Q68" s="18"/>
      <c r="R68" s="18"/>
      <c r="S68" s="18"/>
      <c r="T68" s="18"/>
    </row>
    <row r="69" spans="1:20" ht="30" customHeight="1">
      <c r="A69" s="218">
        <v>6333325</v>
      </c>
      <c r="B69" s="218" t="s">
        <v>937</v>
      </c>
      <c r="C69" s="218"/>
      <c r="D69" s="218" t="s">
        <v>169</v>
      </c>
      <c r="E69" s="218" t="s">
        <v>169</v>
      </c>
      <c r="F69" s="219"/>
      <c r="G69" s="219"/>
      <c r="H69" s="218"/>
      <c r="I69" s="220" t="s">
        <v>1868</v>
      </c>
      <c r="J69" s="218">
        <v>44234</v>
      </c>
      <c r="K69" s="218"/>
      <c r="L69" s="218">
        <v>44203</v>
      </c>
      <c r="M69" s="218" t="s">
        <v>174</v>
      </c>
      <c r="N69" s="218">
        <v>2000026054</v>
      </c>
      <c r="O69" s="218" t="str">
        <f t="shared" si="1"/>
        <v xml:space="preserve">,, </v>
      </c>
      <c r="P69" s="217" t="s">
        <v>16</v>
      </c>
      <c r="Q69" s="18"/>
      <c r="R69" s="18"/>
      <c r="S69" s="18"/>
      <c r="T69" s="18"/>
    </row>
    <row r="70" spans="1:20" ht="30" customHeight="1">
      <c r="A70" s="218">
        <v>5723353</v>
      </c>
      <c r="B70" s="218" t="s">
        <v>938</v>
      </c>
      <c r="C70" s="218"/>
      <c r="D70" s="218" t="s">
        <v>169</v>
      </c>
      <c r="E70" s="218" t="s">
        <v>170</v>
      </c>
      <c r="F70" s="219" t="s">
        <v>939</v>
      </c>
      <c r="G70" s="219" t="s">
        <v>940</v>
      </c>
      <c r="H70" s="218" t="s">
        <v>941</v>
      </c>
      <c r="I70" s="219" t="s">
        <v>1869</v>
      </c>
      <c r="J70" s="218">
        <v>44327</v>
      </c>
      <c r="K70" s="218"/>
      <c r="L70" s="218">
        <v>44297</v>
      </c>
      <c r="M70" s="218" t="s">
        <v>473</v>
      </c>
      <c r="N70" s="218">
        <v>2000026054</v>
      </c>
      <c r="O70" s="218" t="str">
        <f t="shared" si="1"/>
        <v xml:space="preserve">,, </v>
      </c>
      <c r="P70" s="217" t="s">
        <v>16</v>
      </c>
      <c r="Q70" s="18"/>
      <c r="R70" s="18"/>
      <c r="S70" s="18"/>
      <c r="T70" s="18"/>
    </row>
    <row r="71" spans="1:20" s="217" customFormat="1" ht="30" customHeight="1">
      <c r="A71" s="18" t="s">
        <v>1870</v>
      </c>
      <c r="B71" s="18" t="s">
        <v>20</v>
      </c>
      <c r="C71" s="18" t="s">
        <v>21</v>
      </c>
      <c r="D71" s="18" t="s">
        <v>17</v>
      </c>
      <c r="E71" s="18" t="s">
        <v>18</v>
      </c>
      <c r="F71" s="19"/>
      <c r="G71" s="19"/>
      <c r="H71" s="18"/>
      <c r="I71" s="19" t="s">
        <v>1871</v>
      </c>
      <c r="J71" s="18" t="s">
        <v>1872</v>
      </c>
      <c r="K71" s="18"/>
      <c r="L71" s="18"/>
      <c r="M71" s="18"/>
      <c r="N71" s="18">
        <v>2000026054</v>
      </c>
      <c r="O71" s="18" t="str">
        <f t="shared" si="1"/>
        <v>UNIT 2, 6 GRAVEL PIT ROAD,DARRA,QLD 4076</v>
      </c>
      <c r="P71" s="217" t="s">
        <v>16</v>
      </c>
      <c r="Q71" s="18" t="s">
        <v>1873</v>
      </c>
      <c r="R71" s="18" t="s">
        <v>1874</v>
      </c>
      <c r="S71" s="18" t="s">
        <v>1759</v>
      </c>
      <c r="T71" s="18">
        <v>4076</v>
      </c>
    </row>
    <row r="72" spans="1:20" ht="30" customHeight="1">
      <c r="A72" s="218">
        <v>5462846</v>
      </c>
      <c r="B72" s="218" t="s">
        <v>947</v>
      </c>
      <c r="C72" s="218"/>
      <c r="D72" s="218" t="s">
        <v>169</v>
      </c>
      <c r="E72" s="218" t="s">
        <v>170</v>
      </c>
      <c r="F72" s="219" t="s">
        <v>948</v>
      </c>
      <c r="G72" s="219" t="s">
        <v>949</v>
      </c>
      <c r="H72" s="218" t="s">
        <v>950</v>
      </c>
      <c r="I72" s="219" t="s">
        <v>947</v>
      </c>
      <c r="J72" s="218">
        <v>43314</v>
      </c>
      <c r="K72" s="218"/>
      <c r="L72" s="218">
        <v>43314</v>
      </c>
      <c r="M72" s="218" t="s">
        <v>473</v>
      </c>
      <c r="N72" s="218">
        <v>2000026054</v>
      </c>
      <c r="O72" s="218" t="str">
        <f t="shared" si="1"/>
        <v xml:space="preserve">,, </v>
      </c>
      <c r="P72" s="217" t="s">
        <v>16</v>
      </c>
      <c r="Q72" s="18"/>
      <c r="R72" s="18"/>
      <c r="S72" s="18"/>
      <c r="T72" s="18"/>
    </row>
    <row r="73" spans="1:20" ht="30" customHeight="1">
      <c r="A73" s="218">
        <v>6398061</v>
      </c>
      <c r="B73" s="218" t="s">
        <v>963</v>
      </c>
      <c r="C73" s="218" t="s">
        <v>571</v>
      </c>
      <c r="D73" s="218" t="s">
        <v>169</v>
      </c>
      <c r="E73" s="218" t="s">
        <v>169</v>
      </c>
      <c r="F73" s="219"/>
      <c r="G73" s="219"/>
      <c r="H73" s="218"/>
      <c r="I73" s="220" t="s">
        <v>1875</v>
      </c>
      <c r="J73" s="218">
        <v>45658</v>
      </c>
      <c r="K73" s="218"/>
      <c r="L73" s="218" t="s">
        <v>964</v>
      </c>
      <c r="M73" s="218" t="s">
        <v>91</v>
      </c>
      <c r="N73" s="218">
        <v>2000026054</v>
      </c>
      <c r="O73" s="218"/>
      <c r="P73" s="217" t="s">
        <v>16</v>
      </c>
      <c r="Q73" s="18" t="s">
        <v>1761</v>
      </c>
      <c r="R73" s="18" t="s">
        <v>1762</v>
      </c>
      <c r="S73" s="18" t="s">
        <v>1759</v>
      </c>
      <c r="T73" s="18">
        <v>4066</v>
      </c>
    </row>
    <row r="74" spans="1:20" s="217" customFormat="1" ht="30" customHeight="1">
      <c r="A74" s="218">
        <v>5815127</v>
      </c>
      <c r="B74" s="218" t="s">
        <v>963</v>
      </c>
      <c r="C74" s="218" t="s">
        <v>571</v>
      </c>
      <c r="D74" s="218" t="s">
        <v>169</v>
      </c>
      <c r="E74" s="218" t="s">
        <v>170</v>
      </c>
      <c r="F74" s="219" t="s">
        <v>1876</v>
      </c>
      <c r="G74" s="219" t="s">
        <v>1877</v>
      </c>
      <c r="H74" s="218"/>
      <c r="I74" s="220" t="s">
        <v>1875</v>
      </c>
      <c r="J74" s="218">
        <v>45658</v>
      </c>
      <c r="K74" s="218"/>
      <c r="L74" s="218" t="s">
        <v>1878</v>
      </c>
      <c r="M74" s="218" t="s">
        <v>1879</v>
      </c>
      <c r="N74" s="218">
        <v>2000026054</v>
      </c>
      <c r="O74" s="218"/>
      <c r="P74" s="217" t="s">
        <v>16</v>
      </c>
      <c r="Q74" s="18" t="s">
        <v>1761</v>
      </c>
      <c r="R74" s="18" t="s">
        <v>1762</v>
      </c>
      <c r="S74" s="18" t="s">
        <v>1759</v>
      </c>
      <c r="T74" s="18">
        <v>4066</v>
      </c>
    </row>
    <row r="75" spans="1:20" ht="30" customHeight="1">
      <c r="A75" s="218">
        <v>5815128</v>
      </c>
      <c r="B75" s="218" t="s">
        <v>963</v>
      </c>
      <c r="C75" s="218" t="s">
        <v>571</v>
      </c>
      <c r="D75" s="218" t="s">
        <v>169</v>
      </c>
      <c r="E75" s="218" t="s">
        <v>170</v>
      </c>
      <c r="F75" s="219" t="s">
        <v>1880</v>
      </c>
      <c r="G75" s="219" t="s">
        <v>1767</v>
      </c>
      <c r="H75" s="218"/>
      <c r="I75" s="220" t="s">
        <v>1875</v>
      </c>
      <c r="J75" s="218">
        <v>45658</v>
      </c>
      <c r="K75" s="218"/>
      <c r="L75" s="218" t="s">
        <v>1881</v>
      </c>
      <c r="M75" s="218" t="s">
        <v>91</v>
      </c>
      <c r="N75" s="218">
        <v>2000026054</v>
      </c>
      <c r="O75" s="218"/>
      <c r="P75" s="217" t="s">
        <v>16</v>
      </c>
      <c r="Q75" s="18" t="s">
        <v>1761</v>
      </c>
      <c r="R75" s="18" t="s">
        <v>1762</v>
      </c>
      <c r="S75" s="18" t="s">
        <v>1759</v>
      </c>
      <c r="T75" s="18">
        <v>4066</v>
      </c>
    </row>
    <row r="76" spans="1:20" ht="30" customHeight="1">
      <c r="A76" s="218">
        <v>100907679</v>
      </c>
      <c r="B76" s="218" t="s">
        <v>963</v>
      </c>
      <c r="C76" s="218" t="s">
        <v>571</v>
      </c>
      <c r="D76" s="218" t="s">
        <v>205</v>
      </c>
      <c r="E76" s="218" t="s">
        <v>1882</v>
      </c>
      <c r="F76" s="219"/>
      <c r="G76" s="219"/>
      <c r="H76" s="218"/>
      <c r="I76" s="220" t="s">
        <v>1875</v>
      </c>
      <c r="J76" s="218">
        <v>45658</v>
      </c>
      <c r="K76" s="218"/>
      <c r="L76" s="218" t="s">
        <v>1878</v>
      </c>
      <c r="M76" s="218" t="s">
        <v>91</v>
      </c>
      <c r="N76" s="218">
        <v>2000026054</v>
      </c>
      <c r="O76" s="218" t="str">
        <f t="shared" ref="O76:O85" si="2">_xlfn.CONCAT(Q76,",",R76,",",S76," ",T76)</f>
        <v>44 BORTHWICK AVENUE,MURARRIE,QLD 4172</v>
      </c>
      <c r="P76" s="217" t="s">
        <v>16</v>
      </c>
      <c r="Q76" s="18" t="s">
        <v>1790</v>
      </c>
      <c r="R76" s="18" t="s">
        <v>1791</v>
      </c>
      <c r="S76" s="18" t="s">
        <v>1759</v>
      </c>
      <c r="T76" s="18">
        <v>4172</v>
      </c>
    </row>
    <row r="77" spans="1:20" ht="30" customHeight="1">
      <c r="A77" s="218">
        <v>100907680</v>
      </c>
      <c r="B77" s="218" t="s">
        <v>963</v>
      </c>
      <c r="C77" s="218" t="s">
        <v>571</v>
      </c>
      <c r="D77" s="218" t="s">
        <v>1883</v>
      </c>
      <c r="E77" s="218" t="s">
        <v>1883</v>
      </c>
      <c r="F77" s="219"/>
      <c r="G77" s="219"/>
      <c r="H77" s="218"/>
      <c r="I77" s="220" t="s">
        <v>1875</v>
      </c>
      <c r="J77" s="218">
        <v>45658</v>
      </c>
      <c r="K77" s="218"/>
      <c r="L77" s="218" t="s">
        <v>1878</v>
      </c>
      <c r="M77" s="218" t="s">
        <v>1879</v>
      </c>
      <c r="N77" s="218">
        <v>2000026054</v>
      </c>
      <c r="O77" s="218" t="str">
        <f t="shared" si="2"/>
        <v>44 BORTHWICK AVENUE,MURARRIE,QLD 4172</v>
      </c>
      <c r="P77" s="217" t="s">
        <v>16</v>
      </c>
      <c r="Q77" s="18" t="s">
        <v>1790</v>
      </c>
      <c r="R77" s="18" t="s">
        <v>1791</v>
      </c>
      <c r="S77" s="18" t="s">
        <v>1759</v>
      </c>
      <c r="T77" s="18">
        <v>4172</v>
      </c>
    </row>
    <row r="78" spans="1:20" ht="30" customHeight="1">
      <c r="A78" s="218">
        <v>5628729</v>
      </c>
      <c r="B78" s="218" t="s">
        <v>965</v>
      </c>
      <c r="C78" s="218"/>
      <c r="D78" s="218" t="s">
        <v>169</v>
      </c>
      <c r="E78" s="218" t="s">
        <v>170</v>
      </c>
      <c r="F78" s="219" t="s">
        <v>966</v>
      </c>
      <c r="G78" s="219" t="s">
        <v>967</v>
      </c>
      <c r="H78" s="218" t="s">
        <v>968</v>
      </c>
      <c r="I78" s="219" t="s">
        <v>965</v>
      </c>
      <c r="J78" s="218">
        <v>43688</v>
      </c>
      <c r="K78" s="218"/>
      <c r="L78" s="218">
        <v>43688</v>
      </c>
      <c r="M78" s="218" t="s">
        <v>91</v>
      </c>
      <c r="N78" s="218">
        <v>2000026054</v>
      </c>
      <c r="O78" s="218" t="str">
        <f t="shared" si="2"/>
        <v xml:space="preserve">,, </v>
      </c>
      <c r="P78" s="217" t="s">
        <v>16</v>
      </c>
      <c r="Q78" s="18"/>
      <c r="R78" s="18"/>
      <c r="S78" s="18"/>
      <c r="T78" s="18"/>
    </row>
    <row r="79" spans="1:20" ht="30" customHeight="1">
      <c r="A79" s="218">
        <v>5693957</v>
      </c>
      <c r="B79" s="218" t="s">
        <v>969</v>
      </c>
      <c r="C79" s="218"/>
      <c r="D79" s="218" t="s">
        <v>169</v>
      </c>
      <c r="E79" s="218" t="s">
        <v>170</v>
      </c>
      <c r="F79" s="219" t="s">
        <v>970</v>
      </c>
      <c r="G79" s="219" t="s">
        <v>971</v>
      </c>
      <c r="H79" s="218" t="s">
        <v>972</v>
      </c>
      <c r="I79" s="219" t="s">
        <v>969</v>
      </c>
      <c r="J79" s="218">
        <v>44321</v>
      </c>
      <c r="K79" s="218"/>
      <c r="L79" s="218">
        <v>44321</v>
      </c>
      <c r="M79" s="218" t="s">
        <v>174</v>
      </c>
      <c r="N79" s="218">
        <v>2000026054</v>
      </c>
      <c r="O79" s="218" t="str">
        <f t="shared" si="2"/>
        <v xml:space="preserve">,, </v>
      </c>
      <c r="P79" s="217" t="s">
        <v>16</v>
      </c>
      <c r="Q79" s="18"/>
      <c r="R79" s="18"/>
      <c r="S79" s="18"/>
      <c r="T79" s="18"/>
    </row>
    <row r="80" spans="1:20" ht="30" customHeight="1">
      <c r="A80" s="18">
        <v>5756200</v>
      </c>
      <c r="B80" s="18" t="s">
        <v>987</v>
      </c>
      <c r="C80" s="18"/>
      <c r="D80" s="18" t="s">
        <v>169</v>
      </c>
      <c r="E80" s="18" t="s">
        <v>170</v>
      </c>
      <c r="F80" s="19" t="s">
        <v>988</v>
      </c>
      <c r="G80" s="19" t="s">
        <v>989</v>
      </c>
      <c r="H80" s="18" t="s">
        <v>990</v>
      </c>
      <c r="I80" s="19" t="s">
        <v>1884</v>
      </c>
      <c r="J80" s="18">
        <v>44845</v>
      </c>
      <c r="K80" s="18"/>
      <c r="L80" s="18">
        <v>44845</v>
      </c>
      <c r="M80" s="18" t="s">
        <v>174</v>
      </c>
      <c r="N80" s="18">
        <v>2000026054</v>
      </c>
      <c r="O80" s="18" t="str">
        <f t="shared" si="2"/>
        <v xml:space="preserve">25 Church Street, Lower Fortitude Valley QLD 4206,, </v>
      </c>
      <c r="P80" s="217" t="s">
        <v>16</v>
      </c>
      <c r="Q80" s="18" t="s">
        <v>1885</v>
      </c>
      <c r="R80" s="18"/>
      <c r="S80" s="18"/>
      <c r="T80" s="18"/>
    </row>
    <row r="81" spans="1:20" ht="30" customHeight="1">
      <c r="A81" s="218">
        <v>100550968</v>
      </c>
      <c r="B81" s="218" t="s">
        <v>991</v>
      </c>
      <c r="C81" s="218" t="s">
        <v>992</v>
      </c>
      <c r="D81" s="218" t="s">
        <v>205</v>
      </c>
      <c r="E81" s="218" t="s">
        <v>206</v>
      </c>
      <c r="F81" s="219"/>
      <c r="G81" s="219" t="s">
        <v>408</v>
      </c>
      <c r="H81" s="218"/>
      <c r="I81" s="219" t="s">
        <v>1886</v>
      </c>
      <c r="J81" s="218">
        <v>43992</v>
      </c>
      <c r="K81" s="218"/>
      <c r="L81" s="218">
        <v>43961</v>
      </c>
      <c r="M81" s="218" t="s">
        <v>409</v>
      </c>
      <c r="N81" s="218">
        <v>2000026054</v>
      </c>
      <c r="O81" s="218" t="str">
        <f t="shared" si="2"/>
        <v>BUILDING 3, 2728 LOGAN ROAD,EIGHT MILE PLAINS,QLD 4113</v>
      </c>
      <c r="P81" s="217" t="s">
        <v>16</v>
      </c>
      <c r="Q81" s="18" t="s">
        <v>1887</v>
      </c>
      <c r="R81" s="18" t="s">
        <v>1888</v>
      </c>
      <c r="S81" s="18" t="s">
        <v>1759</v>
      </c>
      <c r="T81" s="18">
        <v>4113</v>
      </c>
    </row>
    <row r="82" spans="1:20" ht="30" customHeight="1">
      <c r="A82" s="18">
        <v>6309908</v>
      </c>
      <c r="B82" s="218" t="s">
        <v>991</v>
      </c>
      <c r="C82" s="218"/>
      <c r="D82" s="18" t="s">
        <v>169</v>
      </c>
      <c r="E82" s="18" t="s">
        <v>169</v>
      </c>
      <c r="F82" s="19"/>
      <c r="G82" s="19"/>
      <c r="H82" s="18"/>
      <c r="I82" s="19" t="s">
        <v>1886</v>
      </c>
      <c r="J82" s="18">
        <v>43992</v>
      </c>
      <c r="K82" s="18"/>
      <c r="L82" s="18">
        <v>43961</v>
      </c>
      <c r="M82" s="18" t="s">
        <v>409</v>
      </c>
      <c r="N82" s="18">
        <v>2000026054</v>
      </c>
      <c r="O82" s="18" t="str">
        <f t="shared" si="2"/>
        <v xml:space="preserve">,, </v>
      </c>
      <c r="P82" s="217" t="s">
        <v>16</v>
      </c>
      <c r="Q82" s="18"/>
      <c r="R82" s="18"/>
      <c r="S82" s="18"/>
      <c r="T82" s="18"/>
    </row>
    <row r="83" spans="1:20" ht="30" customHeight="1">
      <c r="A83" s="218">
        <v>5669041</v>
      </c>
      <c r="B83" s="218" t="s">
        <v>991</v>
      </c>
      <c r="C83" s="218"/>
      <c r="D83" s="218" t="s">
        <v>169</v>
      </c>
      <c r="E83" s="218" t="s">
        <v>170</v>
      </c>
      <c r="F83" s="219" t="s">
        <v>1889</v>
      </c>
      <c r="G83" s="219"/>
      <c r="H83" s="218"/>
      <c r="I83" s="219" t="s">
        <v>1890</v>
      </c>
      <c r="J83" s="218">
        <v>43992</v>
      </c>
      <c r="K83" s="218"/>
      <c r="L83" s="218">
        <v>43961</v>
      </c>
      <c r="M83" s="218" t="s">
        <v>409</v>
      </c>
      <c r="N83" s="218">
        <v>2000026054</v>
      </c>
      <c r="O83" s="218" t="str">
        <f t="shared" si="2"/>
        <v xml:space="preserve">,, </v>
      </c>
      <c r="P83" s="217" t="s">
        <v>16</v>
      </c>
      <c r="Q83" s="18"/>
      <c r="R83" s="18"/>
      <c r="S83" s="18"/>
      <c r="T83" s="18"/>
    </row>
    <row r="84" spans="1:20" ht="30" customHeight="1">
      <c r="A84" s="218">
        <v>5628471</v>
      </c>
      <c r="B84" s="218" t="s">
        <v>991</v>
      </c>
      <c r="C84" s="218"/>
      <c r="D84" s="218" t="s">
        <v>169</v>
      </c>
      <c r="E84" s="218" t="s">
        <v>170</v>
      </c>
      <c r="F84" s="219" t="s">
        <v>1891</v>
      </c>
      <c r="G84" s="219" t="s">
        <v>1892</v>
      </c>
      <c r="H84" s="218" t="s">
        <v>1893</v>
      </c>
      <c r="I84" s="219" t="s">
        <v>1894</v>
      </c>
      <c r="J84" s="218">
        <v>43688</v>
      </c>
      <c r="K84" s="218"/>
      <c r="L84" s="218">
        <v>43688</v>
      </c>
      <c r="M84" s="218" t="s">
        <v>473</v>
      </c>
      <c r="N84" s="218">
        <v>2000026054</v>
      </c>
      <c r="O84" s="218" t="str">
        <f t="shared" si="2"/>
        <v xml:space="preserve">,, </v>
      </c>
      <c r="P84" s="217" t="s">
        <v>16</v>
      </c>
      <c r="Q84" s="18"/>
      <c r="R84" s="18"/>
      <c r="S84" s="18"/>
      <c r="T84" s="18"/>
    </row>
    <row r="85" spans="1:20" ht="30" customHeight="1">
      <c r="A85" s="218">
        <v>100878697</v>
      </c>
      <c r="B85" s="218" t="s">
        <v>1005</v>
      </c>
      <c r="C85" s="218" t="s">
        <v>1006</v>
      </c>
      <c r="D85" s="218" t="s">
        <v>205</v>
      </c>
      <c r="E85" s="218" t="s">
        <v>206</v>
      </c>
      <c r="F85" s="219"/>
      <c r="G85" s="219" t="s">
        <v>207</v>
      </c>
      <c r="H85" s="218"/>
      <c r="I85" s="220" t="s">
        <v>1895</v>
      </c>
      <c r="J85" s="218">
        <v>45658</v>
      </c>
      <c r="K85" s="218"/>
      <c r="L85" s="218">
        <v>45446</v>
      </c>
      <c r="M85" s="218" t="s">
        <v>91</v>
      </c>
      <c r="N85" s="218">
        <v>2000026054</v>
      </c>
      <c r="O85" s="218" t="str">
        <f t="shared" si="2"/>
        <v>56 SCARBOROUGH STREET,SOUTHPORT,QLD 4215</v>
      </c>
      <c r="P85" s="217" t="s">
        <v>16</v>
      </c>
      <c r="Q85" s="18" t="s">
        <v>1896</v>
      </c>
      <c r="R85" s="18" t="s">
        <v>1897</v>
      </c>
      <c r="S85" s="18" t="s">
        <v>1759</v>
      </c>
      <c r="T85" s="18">
        <v>4215</v>
      </c>
    </row>
    <row r="86" spans="1:20" s="217" customFormat="1" ht="30" customHeight="1">
      <c r="A86" s="218">
        <v>6384100</v>
      </c>
      <c r="B86" s="218" t="s">
        <v>1005</v>
      </c>
      <c r="C86" s="218" t="s">
        <v>407</v>
      </c>
      <c r="D86" s="218" t="s">
        <v>169</v>
      </c>
      <c r="E86" s="218" t="s">
        <v>169</v>
      </c>
      <c r="F86" s="219"/>
      <c r="G86" s="219"/>
      <c r="H86" s="218"/>
      <c r="I86" s="220" t="s">
        <v>1898</v>
      </c>
      <c r="J86" s="218">
        <v>45658</v>
      </c>
      <c r="K86" s="218"/>
      <c r="L86" s="218">
        <v>45415</v>
      </c>
      <c r="M86" s="218" t="s">
        <v>91</v>
      </c>
      <c r="N86" s="218">
        <v>2000026054</v>
      </c>
      <c r="O86" s="218"/>
      <c r="P86" s="217" t="s">
        <v>16</v>
      </c>
      <c r="Q86" s="18" t="s">
        <v>1761</v>
      </c>
      <c r="R86" s="18" t="s">
        <v>1762</v>
      </c>
      <c r="S86" s="18" t="s">
        <v>1759</v>
      </c>
      <c r="T86" s="18">
        <v>4066</v>
      </c>
    </row>
    <row r="87" spans="1:20" ht="30" customHeight="1">
      <c r="A87" s="218">
        <v>5794258</v>
      </c>
      <c r="B87" s="218" t="s">
        <v>1005</v>
      </c>
      <c r="C87" s="218" t="s">
        <v>407</v>
      </c>
      <c r="D87" s="218" t="s">
        <v>169</v>
      </c>
      <c r="E87" s="218" t="s">
        <v>170</v>
      </c>
      <c r="F87" s="219" t="s">
        <v>1899</v>
      </c>
      <c r="G87" s="219"/>
      <c r="H87" s="218"/>
      <c r="I87" s="220" t="s">
        <v>1898</v>
      </c>
      <c r="J87" s="218">
        <v>45658</v>
      </c>
      <c r="K87" s="218"/>
      <c r="L87" s="218">
        <v>45446</v>
      </c>
      <c r="M87" s="218" t="s">
        <v>91</v>
      </c>
      <c r="N87" s="218">
        <v>2000026054</v>
      </c>
      <c r="O87" s="219" t="s">
        <v>1900</v>
      </c>
      <c r="P87" s="217" t="s">
        <v>16</v>
      </c>
      <c r="Q87" s="18" t="s">
        <v>1761</v>
      </c>
      <c r="R87" s="18" t="s">
        <v>1762</v>
      </c>
      <c r="S87" s="18" t="s">
        <v>1759</v>
      </c>
      <c r="T87" s="18">
        <v>4066</v>
      </c>
    </row>
    <row r="88" spans="1:20" ht="30" customHeight="1">
      <c r="A88" s="218">
        <v>5768654</v>
      </c>
      <c r="B88" s="218" t="s">
        <v>1007</v>
      </c>
      <c r="C88" s="218" t="s">
        <v>571</v>
      </c>
      <c r="D88" s="218" t="s">
        <v>169</v>
      </c>
      <c r="E88" s="218" t="s">
        <v>170</v>
      </c>
      <c r="F88" s="219" t="s">
        <v>1008</v>
      </c>
      <c r="G88" s="219" t="s">
        <v>1009</v>
      </c>
      <c r="H88" s="218" t="s">
        <v>1010</v>
      </c>
      <c r="I88" s="219" t="s">
        <v>1901</v>
      </c>
      <c r="J88" s="218">
        <v>45051</v>
      </c>
      <c r="K88" s="218"/>
      <c r="L88" s="218">
        <v>45051</v>
      </c>
      <c r="M88" s="218" t="s">
        <v>174</v>
      </c>
      <c r="N88" s="218">
        <v>2000026054</v>
      </c>
      <c r="O88" s="218" t="str">
        <f t="shared" ref="O88:O99" si="3">_xlfn.CONCAT(Q88,",",R88,",",S88," ",T88)</f>
        <v>44 BORTHWICK AVENUE,MURARRIE,QLD 4172</v>
      </c>
      <c r="P88" s="217" t="s">
        <v>16</v>
      </c>
      <c r="Q88" s="18" t="s">
        <v>1790</v>
      </c>
      <c r="R88" s="18" t="s">
        <v>1791</v>
      </c>
      <c r="S88" s="18" t="s">
        <v>1759</v>
      </c>
      <c r="T88" s="18">
        <v>4172</v>
      </c>
    </row>
    <row r="89" spans="1:20" ht="30" customHeight="1">
      <c r="A89" s="218">
        <v>5358446</v>
      </c>
      <c r="B89" s="218" t="s">
        <v>1011</v>
      </c>
      <c r="C89" s="218"/>
      <c r="D89" s="218" t="s">
        <v>169</v>
      </c>
      <c r="E89" s="218" t="s">
        <v>170</v>
      </c>
      <c r="F89" s="219" t="s">
        <v>1012</v>
      </c>
      <c r="G89" s="219" t="s">
        <v>1013</v>
      </c>
      <c r="H89" s="218" t="s">
        <v>1014</v>
      </c>
      <c r="I89" s="219" t="s">
        <v>1902</v>
      </c>
      <c r="J89" s="218" t="s">
        <v>1015</v>
      </c>
      <c r="K89" s="218"/>
      <c r="L89" s="218" t="s">
        <v>1015</v>
      </c>
      <c r="M89" s="218" t="s">
        <v>174</v>
      </c>
      <c r="N89" s="218">
        <v>2000026054</v>
      </c>
      <c r="O89" s="218" t="str">
        <f t="shared" si="3"/>
        <v xml:space="preserve">,, </v>
      </c>
      <c r="P89" s="217" t="s">
        <v>16</v>
      </c>
      <c r="Q89" s="18"/>
      <c r="R89" s="18"/>
      <c r="S89" s="18"/>
      <c r="T89" s="18"/>
    </row>
    <row r="90" spans="1:20" ht="30" customHeight="1">
      <c r="A90" s="218">
        <v>5724743</v>
      </c>
      <c r="B90" s="218" t="s">
        <v>1028</v>
      </c>
      <c r="C90" s="218"/>
      <c r="D90" s="218" t="s">
        <v>169</v>
      </c>
      <c r="E90" s="218" t="s">
        <v>170</v>
      </c>
      <c r="F90" s="219" t="s">
        <v>1029</v>
      </c>
      <c r="G90" s="219" t="s">
        <v>1030</v>
      </c>
      <c r="H90" s="218" t="s">
        <v>1031</v>
      </c>
      <c r="I90" s="219" t="s">
        <v>1903</v>
      </c>
      <c r="J90" s="218" t="s">
        <v>1904</v>
      </c>
      <c r="K90" s="218"/>
      <c r="L90" s="218" t="s">
        <v>1032</v>
      </c>
      <c r="M90" s="218" t="s">
        <v>91</v>
      </c>
      <c r="N90" s="218">
        <v>2000026054</v>
      </c>
      <c r="O90" s="218" t="str">
        <f t="shared" si="3"/>
        <v xml:space="preserve">,, </v>
      </c>
      <c r="P90" s="217" t="s">
        <v>16</v>
      </c>
      <c r="Q90" s="18"/>
      <c r="R90" s="18"/>
      <c r="S90" s="18"/>
      <c r="T90" s="18"/>
    </row>
    <row r="91" spans="1:20" ht="30" customHeight="1">
      <c r="A91" s="218">
        <v>5657035</v>
      </c>
      <c r="B91" s="218" t="s">
        <v>1033</v>
      </c>
      <c r="C91" s="218"/>
      <c r="D91" s="218" t="s">
        <v>169</v>
      </c>
      <c r="E91" s="218" t="s">
        <v>170</v>
      </c>
      <c r="F91" s="219" t="s">
        <v>1034</v>
      </c>
      <c r="G91" s="219" t="s">
        <v>1035</v>
      </c>
      <c r="H91" s="218" t="s">
        <v>1036</v>
      </c>
      <c r="I91" s="219" t="s">
        <v>1905</v>
      </c>
      <c r="J91" s="218" t="s">
        <v>1037</v>
      </c>
      <c r="K91" s="218"/>
      <c r="L91" s="218" t="s">
        <v>1037</v>
      </c>
      <c r="M91" s="218" t="s">
        <v>174</v>
      </c>
      <c r="N91" s="218">
        <v>2000026054</v>
      </c>
      <c r="O91" s="218" t="str">
        <f t="shared" si="3"/>
        <v xml:space="preserve">,, </v>
      </c>
      <c r="P91" s="217" t="s">
        <v>16</v>
      </c>
      <c r="Q91" s="18"/>
      <c r="R91" s="18"/>
      <c r="S91" s="18"/>
      <c r="T91" s="18"/>
    </row>
    <row r="92" spans="1:20" ht="30" customHeight="1">
      <c r="A92" s="18">
        <v>5741901</v>
      </c>
      <c r="B92" s="18" t="s">
        <v>1051</v>
      </c>
      <c r="C92" s="18"/>
      <c r="D92" s="18" t="s">
        <v>169</v>
      </c>
      <c r="E92" s="18" t="s">
        <v>170</v>
      </c>
      <c r="F92" s="19" t="s">
        <v>1052</v>
      </c>
      <c r="G92" s="19" t="s">
        <v>1053</v>
      </c>
      <c r="H92" s="18" t="s">
        <v>1054</v>
      </c>
      <c r="I92" s="19" t="s">
        <v>1906</v>
      </c>
      <c r="J92" s="18" t="s">
        <v>1907</v>
      </c>
      <c r="K92" s="18"/>
      <c r="L92" s="18" t="s">
        <v>1055</v>
      </c>
      <c r="M92" s="18" t="s">
        <v>174</v>
      </c>
      <c r="N92" s="18">
        <v>2000026054</v>
      </c>
      <c r="O92" s="18" t="str">
        <f t="shared" si="3"/>
        <v xml:space="preserve">,, </v>
      </c>
      <c r="P92" s="217" t="s">
        <v>16</v>
      </c>
      <c r="Q92" s="18"/>
      <c r="R92" s="18"/>
      <c r="S92" s="18"/>
      <c r="T92" s="18"/>
    </row>
    <row r="93" spans="1:20" ht="30" customHeight="1">
      <c r="A93" s="218">
        <v>5744590</v>
      </c>
      <c r="B93" s="218" t="s">
        <v>1056</v>
      </c>
      <c r="C93" s="218"/>
      <c r="D93" s="218" t="s">
        <v>169</v>
      </c>
      <c r="E93" s="218" t="s">
        <v>170</v>
      </c>
      <c r="F93" s="219" t="s">
        <v>1057</v>
      </c>
      <c r="G93" s="219" t="s">
        <v>1058</v>
      </c>
      <c r="H93" s="218" t="s">
        <v>1059</v>
      </c>
      <c r="I93" s="219" t="s">
        <v>1908</v>
      </c>
      <c r="J93" s="218" t="s">
        <v>1060</v>
      </c>
      <c r="K93" s="218"/>
      <c r="L93" s="218" t="s">
        <v>1060</v>
      </c>
      <c r="M93" s="218" t="s">
        <v>91</v>
      </c>
      <c r="N93" s="218">
        <v>2000026054</v>
      </c>
      <c r="O93" s="218" t="str">
        <f t="shared" si="3"/>
        <v xml:space="preserve">,, </v>
      </c>
      <c r="P93" s="217" t="s">
        <v>16</v>
      </c>
      <c r="Q93" s="18"/>
      <c r="R93" s="18"/>
      <c r="S93" s="18"/>
      <c r="T93" s="18"/>
    </row>
    <row r="94" spans="1:20" ht="30" customHeight="1">
      <c r="A94" s="218">
        <v>5800969</v>
      </c>
      <c r="B94" s="218" t="s">
        <v>1082</v>
      </c>
      <c r="C94" s="218" t="s">
        <v>571</v>
      </c>
      <c r="D94" s="218" t="s">
        <v>169</v>
      </c>
      <c r="E94" s="218" t="s">
        <v>170</v>
      </c>
      <c r="F94" s="219" t="s">
        <v>1083</v>
      </c>
      <c r="G94" s="219" t="s">
        <v>1084</v>
      </c>
      <c r="H94" s="218" t="s">
        <v>1085</v>
      </c>
      <c r="I94" s="219" t="s">
        <v>1909</v>
      </c>
      <c r="J94" s="218" t="s">
        <v>1086</v>
      </c>
      <c r="K94" s="218"/>
      <c r="L94" s="218" t="s">
        <v>1086</v>
      </c>
      <c r="M94" s="218" t="s">
        <v>91</v>
      </c>
      <c r="N94" s="218">
        <v>2000026054</v>
      </c>
      <c r="O94" s="218" t="str">
        <f t="shared" si="3"/>
        <v>44 BORTHWICK AVENUE,MURARRIE,QLD 4172</v>
      </c>
      <c r="P94" s="217" t="s">
        <v>16</v>
      </c>
      <c r="Q94" s="18" t="s">
        <v>1790</v>
      </c>
      <c r="R94" s="18" t="s">
        <v>1791</v>
      </c>
      <c r="S94" s="18" t="s">
        <v>1759</v>
      </c>
      <c r="T94" s="18">
        <v>4172</v>
      </c>
    </row>
    <row r="95" spans="1:20" s="217" customFormat="1" ht="30" customHeight="1">
      <c r="A95" s="218">
        <v>5748314</v>
      </c>
      <c r="B95" s="218" t="s">
        <v>1091</v>
      </c>
      <c r="C95" s="218"/>
      <c r="D95" s="218" t="s">
        <v>169</v>
      </c>
      <c r="E95" s="218" t="s">
        <v>170</v>
      </c>
      <c r="F95" s="219" t="s">
        <v>1092</v>
      </c>
      <c r="G95" s="219" t="s">
        <v>1093</v>
      </c>
      <c r="H95" s="218" t="s">
        <v>1094</v>
      </c>
      <c r="I95" s="219" t="s">
        <v>1910</v>
      </c>
      <c r="J95" s="218" t="s">
        <v>1095</v>
      </c>
      <c r="K95" s="218"/>
      <c r="L95" s="218" t="s">
        <v>1095</v>
      </c>
      <c r="M95" s="218" t="s">
        <v>174</v>
      </c>
      <c r="N95" s="218">
        <v>2000026054</v>
      </c>
      <c r="O95" s="218" t="str">
        <f t="shared" si="3"/>
        <v xml:space="preserve">,, </v>
      </c>
      <c r="P95" s="217" t="s">
        <v>16</v>
      </c>
      <c r="Q95" s="18"/>
      <c r="R95" s="18"/>
      <c r="S95" s="18"/>
      <c r="T95" s="18"/>
    </row>
    <row r="96" spans="1:20" ht="30" customHeight="1">
      <c r="A96" s="218">
        <v>5289554</v>
      </c>
      <c r="B96" s="218" t="s">
        <v>1179</v>
      </c>
      <c r="C96" s="218"/>
      <c r="D96" s="218" t="s">
        <v>169</v>
      </c>
      <c r="E96" s="218" t="s">
        <v>170</v>
      </c>
      <c r="F96" s="219" t="s">
        <v>1180</v>
      </c>
      <c r="G96" s="219" t="s">
        <v>1181</v>
      </c>
      <c r="H96" s="218" t="s">
        <v>1182</v>
      </c>
      <c r="I96" s="219" t="s">
        <v>1179</v>
      </c>
      <c r="J96" s="218" t="s">
        <v>1183</v>
      </c>
      <c r="K96" s="218"/>
      <c r="L96" s="218" t="s">
        <v>1183</v>
      </c>
      <c r="M96" s="218" t="s">
        <v>91</v>
      </c>
      <c r="N96" s="218">
        <v>2000026054</v>
      </c>
      <c r="O96" s="218" t="str">
        <f t="shared" si="3"/>
        <v xml:space="preserve">,, </v>
      </c>
      <c r="P96" s="217" t="s">
        <v>16</v>
      </c>
      <c r="Q96" s="18"/>
      <c r="R96" s="18"/>
      <c r="S96" s="18"/>
      <c r="T96" s="18"/>
    </row>
    <row r="97" spans="1:20" ht="30" customHeight="1">
      <c r="A97" s="218">
        <v>5724741</v>
      </c>
      <c r="B97" s="218" t="s">
        <v>1202</v>
      </c>
      <c r="C97" s="218"/>
      <c r="D97" s="218" t="s">
        <v>169</v>
      </c>
      <c r="E97" s="218" t="s">
        <v>170</v>
      </c>
      <c r="F97" s="219" t="s">
        <v>1203</v>
      </c>
      <c r="G97" s="219" t="s">
        <v>1204</v>
      </c>
      <c r="H97" s="218" t="s">
        <v>1205</v>
      </c>
      <c r="I97" s="219" t="s">
        <v>1202</v>
      </c>
      <c r="J97" s="218">
        <v>44419</v>
      </c>
      <c r="K97" s="218"/>
      <c r="L97" s="218">
        <v>44419</v>
      </c>
      <c r="M97" s="218" t="s">
        <v>91</v>
      </c>
      <c r="N97" s="218">
        <v>2000026054</v>
      </c>
      <c r="O97" s="218" t="str">
        <f t="shared" si="3"/>
        <v xml:space="preserve">,, </v>
      </c>
      <c r="P97" s="217" t="s">
        <v>16</v>
      </c>
      <c r="Q97" s="18"/>
      <c r="R97" s="18"/>
      <c r="S97" s="18"/>
      <c r="T97" s="18"/>
    </row>
    <row r="98" spans="1:20" ht="30" customHeight="1">
      <c r="A98" s="218">
        <v>5730382</v>
      </c>
      <c r="B98" s="218" t="s">
        <v>1206</v>
      </c>
      <c r="C98" s="218"/>
      <c r="D98" s="218" t="s">
        <v>169</v>
      </c>
      <c r="E98" s="218" t="s">
        <v>170</v>
      </c>
      <c r="F98" s="219" t="s">
        <v>1207</v>
      </c>
      <c r="G98" s="219" t="s">
        <v>1208</v>
      </c>
      <c r="H98" s="218" t="s">
        <v>1209</v>
      </c>
      <c r="I98" s="219" t="s">
        <v>1206</v>
      </c>
      <c r="J98" s="218">
        <v>44563</v>
      </c>
      <c r="K98" s="218"/>
      <c r="L98" s="218">
        <v>44563</v>
      </c>
      <c r="M98" s="218" t="s">
        <v>174</v>
      </c>
      <c r="N98" s="218">
        <v>2000026054</v>
      </c>
      <c r="O98" s="218" t="str">
        <f t="shared" si="3"/>
        <v xml:space="preserve">,, </v>
      </c>
      <c r="P98" s="217" t="s">
        <v>16</v>
      </c>
      <c r="Q98" s="18"/>
      <c r="R98" s="18"/>
      <c r="S98" s="18"/>
      <c r="T98" s="18"/>
    </row>
    <row r="99" spans="1:20" ht="30" customHeight="1">
      <c r="A99" s="218">
        <v>5730365</v>
      </c>
      <c r="B99" s="218" t="s">
        <v>1210</v>
      </c>
      <c r="C99" s="218"/>
      <c r="D99" s="218" t="s">
        <v>169</v>
      </c>
      <c r="E99" s="218" t="s">
        <v>170</v>
      </c>
      <c r="F99" s="219" t="s">
        <v>1211</v>
      </c>
      <c r="G99" s="219" t="s">
        <v>1212</v>
      </c>
      <c r="H99" s="218" t="s">
        <v>1213</v>
      </c>
      <c r="I99" s="219" t="s">
        <v>1210</v>
      </c>
      <c r="J99" s="218">
        <v>44653</v>
      </c>
      <c r="K99" s="218"/>
      <c r="L99" s="218">
        <v>44653</v>
      </c>
      <c r="M99" s="218" t="s">
        <v>174</v>
      </c>
      <c r="N99" s="218">
        <v>2000026054</v>
      </c>
      <c r="O99" s="218" t="str">
        <f t="shared" si="3"/>
        <v xml:space="preserve">,, </v>
      </c>
      <c r="P99" s="217" t="s">
        <v>16</v>
      </c>
      <c r="Q99" s="18"/>
      <c r="R99" s="18"/>
      <c r="S99" s="18"/>
      <c r="T99" s="18"/>
    </row>
  </sheetData>
  <autoFilter ref="A1:T99" xr:uid="{D78ECB43-1207-4070-AC44-0105D120FCB3}">
    <sortState xmlns:xlrd2="http://schemas.microsoft.com/office/spreadsheetml/2017/richdata2" ref="A2:T99">
      <sortCondition ref="B1:B9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A2E6-7FE8-41A3-B6F9-31341C3EA30F}">
  <sheetPr>
    <tabColor theme="8" tint="0.59999389629810485"/>
  </sheetPr>
  <dimension ref="A1:N184"/>
  <sheetViews>
    <sheetView topLeftCell="A141" workbookViewId="0">
      <selection activeCell="C159" sqref="C159"/>
    </sheetView>
  </sheetViews>
  <sheetFormatPr defaultRowHeight="15"/>
  <cols>
    <col min="1" max="1" width="36.5703125" style="27" bestFit="1" customWidth="1"/>
    <col min="2" max="2" width="61.85546875" style="27" customWidth="1"/>
    <col min="3" max="3" width="17.85546875" style="27" customWidth="1"/>
    <col min="4" max="4" width="18.140625" style="26" bestFit="1" customWidth="1"/>
    <col min="5" max="5" width="20" style="27" customWidth="1"/>
    <col min="6" max="6" width="22.28515625" style="28" customWidth="1"/>
    <col min="7" max="7" width="24.42578125" style="34" customWidth="1"/>
    <col min="8" max="8" width="17.85546875" style="27" customWidth="1"/>
    <col min="9" max="9" width="17.85546875" style="30" customWidth="1"/>
    <col min="10" max="10" width="19.42578125" style="31" customWidth="1"/>
    <col min="11" max="11" width="10.85546875" style="43" customWidth="1"/>
    <col min="12" max="12" width="11.42578125" style="31" customWidth="1"/>
    <col min="13" max="13" width="23.28515625" style="31" bestFit="1" customWidth="1"/>
    <col min="14" max="14" width="19.5703125" style="31" bestFit="1" customWidth="1"/>
    <col min="15" max="16384" width="9.140625" style="31"/>
  </cols>
  <sheetData>
    <row r="1" spans="1:14" s="17" customFormat="1">
      <c r="A1" s="17" t="s">
        <v>1731</v>
      </c>
      <c r="B1" s="17" t="s">
        <v>1</v>
      </c>
      <c r="C1" s="17" t="s">
        <v>1911</v>
      </c>
      <c r="D1" s="21" t="s">
        <v>2</v>
      </c>
      <c r="E1" s="22" t="s">
        <v>3</v>
      </c>
      <c r="F1" s="23" t="s">
        <v>4</v>
      </c>
      <c r="G1" s="17" t="s">
        <v>1912</v>
      </c>
      <c r="H1" s="17" t="s">
        <v>5</v>
      </c>
      <c r="I1" s="24" t="s">
        <v>10</v>
      </c>
      <c r="J1" s="17" t="s">
        <v>1913</v>
      </c>
      <c r="K1" s="25" t="s">
        <v>1914</v>
      </c>
      <c r="L1" s="17" t="s">
        <v>1915</v>
      </c>
      <c r="M1" s="17" t="s">
        <v>12</v>
      </c>
      <c r="N1" s="17" t="s">
        <v>1916</v>
      </c>
    </row>
    <row r="2" spans="1:14" s="17" customFormat="1">
      <c r="A2" s="207" t="s">
        <v>121</v>
      </c>
      <c r="B2" s="207" t="s">
        <v>122</v>
      </c>
      <c r="C2" s="207" t="s">
        <v>1917</v>
      </c>
      <c r="D2" s="248" t="s">
        <v>123</v>
      </c>
      <c r="E2" s="206" t="s">
        <v>124</v>
      </c>
      <c r="F2" s="249" t="s">
        <v>125</v>
      </c>
      <c r="G2" s="29" t="s">
        <v>1918</v>
      </c>
      <c r="H2" s="29" t="s">
        <v>126</v>
      </c>
      <c r="I2" s="203" t="s">
        <v>127</v>
      </c>
      <c r="J2" s="213"/>
      <c r="K2" s="32">
        <v>95.01</v>
      </c>
      <c r="M2" s="20" t="s">
        <v>128</v>
      </c>
    </row>
    <row r="3" spans="1:14" s="17" customFormat="1">
      <c r="A3" s="206" t="s">
        <v>129</v>
      </c>
      <c r="B3" s="207" t="s">
        <v>130</v>
      </c>
      <c r="C3" s="207" t="s">
        <v>1919</v>
      </c>
      <c r="D3" s="248" t="s">
        <v>123</v>
      </c>
      <c r="E3" s="206" t="s">
        <v>131</v>
      </c>
      <c r="F3" s="249" t="s">
        <v>132</v>
      </c>
      <c r="G3" s="29" t="s">
        <v>1920</v>
      </c>
      <c r="H3" s="206" t="s">
        <v>133</v>
      </c>
      <c r="I3" s="203" t="s">
        <v>134</v>
      </c>
      <c r="J3" s="213"/>
      <c r="K3" s="198">
        <v>66.989999999999995</v>
      </c>
      <c r="M3" s="20" t="s">
        <v>128</v>
      </c>
    </row>
    <row r="4" spans="1:14" s="33" customFormat="1">
      <c r="A4" s="206" t="s">
        <v>163</v>
      </c>
      <c r="B4" s="207" t="s">
        <v>164</v>
      </c>
      <c r="C4" s="207" t="s">
        <v>1921</v>
      </c>
      <c r="D4" s="248" t="s">
        <v>123</v>
      </c>
      <c r="E4" s="206" t="s">
        <v>131</v>
      </c>
      <c r="F4" s="249" t="s">
        <v>132</v>
      </c>
      <c r="G4" s="29" t="s">
        <v>1922</v>
      </c>
      <c r="H4" s="206" t="s">
        <v>165</v>
      </c>
      <c r="I4" s="203" t="s">
        <v>134</v>
      </c>
      <c r="J4" s="213"/>
      <c r="K4" s="32">
        <v>66.989999999999995</v>
      </c>
      <c r="L4" s="17"/>
      <c r="M4" s="20" t="s">
        <v>128</v>
      </c>
      <c r="N4" s="17"/>
    </row>
    <row r="5" spans="1:14" s="33" customFormat="1">
      <c r="A5" s="206" t="s">
        <v>175</v>
      </c>
      <c r="B5" s="206" t="s">
        <v>176</v>
      </c>
      <c r="C5" s="207" t="s">
        <v>1923</v>
      </c>
      <c r="D5" s="248" t="s">
        <v>123</v>
      </c>
      <c r="E5" s="206" t="s">
        <v>177</v>
      </c>
      <c r="F5" s="249" t="s">
        <v>178</v>
      </c>
      <c r="G5" s="29" t="s">
        <v>1924</v>
      </c>
      <c r="H5" s="206" t="s">
        <v>179</v>
      </c>
      <c r="I5" s="203" t="s">
        <v>180</v>
      </c>
      <c r="J5" s="213"/>
      <c r="K5" s="32">
        <v>95.01</v>
      </c>
      <c r="L5" s="17"/>
      <c r="M5" s="213" t="s">
        <v>181</v>
      </c>
      <c r="N5" s="17"/>
    </row>
    <row r="6" spans="1:14" s="33" customFormat="1">
      <c r="A6" s="206" t="s">
        <v>188</v>
      </c>
      <c r="B6" s="206" t="s">
        <v>189</v>
      </c>
      <c r="C6" s="207" t="s">
        <v>1925</v>
      </c>
      <c r="D6" s="248" t="s">
        <v>123</v>
      </c>
      <c r="E6" s="206" t="s">
        <v>131</v>
      </c>
      <c r="F6" s="249" t="s">
        <v>132</v>
      </c>
      <c r="G6" s="29" t="s">
        <v>1926</v>
      </c>
      <c r="H6" s="206" t="s">
        <v>190</v>
      </c>
      <c r="I6" s="203" t="s">
        <v>191</v>
      </c>
      <c r="J6" s="213"/>
      <c r="K6" s="32">
        <v>66.989999999999995</v>
      </c>
      <c r="L6" s="17"/>
      <c r="M6" s="20" t="s">
        <v>128</v>
      </c>
      <c r="N6" s="17"/>
    </row>
    <row r="7" spans="1:14" s="33" customFormat="1">
      <c r="A7" s="206" t="s">
        <v>192</v>
      </c>
      <c r="B7" s="207" t="s">
        <v>193</v>
      </c>
      <c r="C7" s="207" t="s">
        <v>1927</v>
      </c>
      <c r="D7" s="248" t="s">
        <v>123</v>
      </c>
      <c r="E7" s="206" t="s">
        <v>194</v>
      </c>
      <c r="F7" s="249" t="s">
        <v>195</v>
      </c>
      <c r="G7" s="29" t="s">
        <v>1928</v>
      </c>
      <c r="H7" s="206" t="s">
        <v>196</v>
      </c>
      <c r="I7" s="203" t="s">
        <v>197</v>
      </c>
      <c r="J7" s="213"/>
      <c r="K7" s="32">
        <v>47.01</v>
      </c>
      <c r="L7" s="17"/>
      <c r="M7" s="213" t="s">
        <v>198</v>
      </c>
      <c r="N7" s="17"/>
    </row>
    <row r="8" spans="1:14" s="33" customFormat="1">
      <c r="A8" s="206" t="s">
        <v>233</v>
      </c>
      <c r="B8" s="206" t="s">
        <v>234</v>
      </c>
      <c r="C8" s="207" t="s">
        <v>1929</v>
      </c>
      <c r="D8" s="248" t="s">
        <v>123</v>
      </c>
      <c r="E8" s="206" t="s">
        <v>177</v>
      </c>
      <c r="F8" s="249" t="s">
        <v>195</v>
      </c>
      <c r="G8" s="29" t="s">
        <v>1930</v>
      </c>
      <c r="H8" s="206" t="s">
        <v>235</v>
      </c>
      <c r="I8" s="203" t="s">
        <v>236</v>
      </c>
      <c r="J8" s="213" t="s">
        <v>1931</v>
      </c>
      <c r="K8" s="32">
        <v>66.989999999999995</v>
      </c>
      <c r="L8" s="17" t="s">
        <v>1932</v>
      </c>
      <c r="M8" s="213" t="s">
        <v>181</v>
      </c>
      <c r="N8" s="17"/>
    </row>
    <row r="9" spans="1:14" s="33" customFormat="1">
      <c r="A9" s="206" t="s">
        <v>283</v>
      </c>
      <c r="B9" s="206" t="s">
        <v>284</v>
      </c>
      <c r="C9" s="207" t="s">
        <v>1933</v>
      </c>
      <c r="D9" s="248" t="s">
        <v>123</v>
      </c>
      <c r="E9" s="206" t="s">
        <v>177</v>
      </c>
      <c r="F9" s="249" t="s">
        <v>285</v>
      </c>
      <c r="G9" s="29" t="s">
        <v>1934</v>
      </c>
      <c r="H9" s="206" t="s">
        <v>286</v>
      </c>
      <c r="I9" s="203" t="s">
        <v>287</v>
      </c>
      <c r="J9" s="213"/>
      <c r="K9" s="32">
        <v>47.01</v>
      </c>
      <c r="L9" s="17"/>
      <c r="M9" s="213" t="s">
        <v>288</v>
      </c>
      <c r="N9" s="17"/>
    </row>
    <row r="10" spans="1:14" s="33" customFormat="1" ht="33.75" customHeight="1">
      <c r="A10" s="207" t="s">
        <v>302</v>
      </c>
      <c r="B10" s="207" t="s">
        <v>303</v>
      </c>
      <c r="C10" s="207" t="s">
        <v>1935</v>
      </c>
      <c r="D10" s="248" t="s">
        <v>123</v>
      </c>
      <c r="E10" s="206" t="s">
        <v>131</v>
      </c>
      <c r="F10" s="249" t="s">
        <v>132</v>
      </c>
      <c r="G10" s="29" t="s">
        <v>1936</v>
      </c>
      <c r="H10" s="206" t="s">
        <v>304</v>
      </c>
      <c r="I10" s="203" t="s">
        <v>305</v>
      </c>
      <c r="J10" s="213"/>
      <c r="K10" s="32">
        <v>66.989999999999995</v>
      </c>
      <c r="L10" s="17"/>
      <c r="M10" s="213" t="s">
        <v>306</v>
      </c>
      <c r="N10" s="17"/>
    </row>
    <row r="11" spans="1:14" s="33" customFormat="1">
      <c r="A11" s="199" t="s">
        <v>311</v>
      </c>
      <c r="B11" s="200" t="s">
        <v>312</v>
      </c>
      <c r="C11" s="201" t="s">
        <v>1937</v>
      </c>
      <c r="D11" s="21" t="s">
        <v>123</v>
      </c>
      <c r="E11" s="22" t="s">
        <v>131</v>
      </c>
      <c r="F11" s="202" t="s">
        <v>132</v>
      </c>
      <c r="G11" s="200" t="s">
        <v>1938</v>
      </c>
      <c r="H11" s="200" t="s">
        <v>313</v>
      </c>
      <c r="I11" s="203" t="s">
        <v>314</v>
      </c>
      <c r="J11" s="17"/>
      <c r="K11" s="32">
        <v>66.989999999999995</v>
      </c>
      <c r="L11" s="17"/>
      <c r="M11" s="213" t="s">
        <v>198</v>
      </c>
      <c r="N11" s="17"/>
    </row>
    <row r="12" spans="1:14" s="33" customFormat="1">
      <c r="A12" s="207" t="s">
        <v>320</v>
      </c>
      <c r="B12" s="207" t="s">
        <v>321</v>
      </c>
      <c r="C12" s="207" t="s">
        <v>1939</v>
      </c>
      <c r="D12" s="248" t="s">
        <v>123</v>
      </c>
      <c r="E12" s="206" t="s">
        <v>177</v>
      </c>
      <c r="F12" s="249" t="s">
        <v>89</v>
      </c>
      <c r="G12" s="29" t="s">
        <v>1940</v>
      </c>
      <c r="H12" s="206" t="s">
        <v>322</v>
      </c>
      <c r="I12" s="203" t="s">
        <v>323</v>
      </c>
      <c r="J12" s="213"/>
      <c r="K12" s="32">
        <v>47.01</v>
      </c>
      <c r="L12" s="17"/>
      <c r="M12" s="20" t="s">
        <v>128</v>
      </c>
      <c r="N12" s="17"/>
    </row>
    <row r="13" spans="1:14" s="33" customFormat="1">
      <c r="A13" s="206" t="s">
        <v>371</v>
      </c>
      <c r="B13" s="207" t="s">
        <v>372</v>
      </c>
      <c r="C13" s="207" t="s">
        <v>1941</v>
      </c>
      <c r="D13" s="248" t="s">
        <v>123</v>
      </c>
      <c r="E13" s="206" t="s">
        <v>373</v>
      </c>
      <c r="F13" s="249" t="s">
        <v>89</v>
      </c>
      <c r="G13" s="29" t="s">
        <v>1942</v>
      </c>
      <c r="H13" s="206" t="s">
        <v>374</v>
      </c>
      <c r="I13" s="203" t="s">
        <v>127</v>
      </c>
      <c r="J13" s="213"/>
      <c r="K13" s="32">
        <v>77</v>
      </c>
      <c r="L13" s="17"/>
      <c r="M13" s="20" t="s">
        <v>128</v>
      </c>
      <c r="N13" s="17"/>
    </row>
    <row r="14" spans="1:14" s="33" customFormat="1">
      <c r="A14" s="206" t="s">
        <v>385</v>
      </c>
      <c r="B14" s="206" t="s">
        <v>386</v>
      </c>
      <c r="C14" s="207" t="s">
        <v>1943</v>
      </c>
      <c r="D14" s="248" t="s">
        <v>123</v>
      </c>
      <c r="E14" s="206" t="s">
        <v>177</v>
      </c>
      <c r="F14" s="249" t="s">
        <v>132</v>
      </c>
      <c r="G14" s="29" t="s">
        <v>1944</v>
      </c>
      <c r="H14" s="206" t="s">
        <v>387</v>
      </c>
      <c r="I14" s="203" t="s">
        <v>388</v>
      </c>
      <c r="J14" s="213"/>
      <c r="K14" s="32">
        <v>66.989999999999995</v>
      </c>
      <c r="L14" s="17"/>
      <c r="M14" s="213" t="s">
        <v>198</v>
      </c>
      <c r="N14" s="17"/>
    </row>
    <row r="15" spans="1:14" s="33" customFormat="1">
      <c r="A15" s="207" t="s">
        <v>447</v>
      </c>
      <c r="B15" s="207" t="s">
        <v>448</v>
      </c>
      <c r="C15" s="207" t="s">
        <v>1945</v>
      </c>
      <c r="D15" s="248" t="s">
        <v>123</v>
      </c>
      <c r="E15" s="206" t="s">
        <v>124</v>
      </c>
      <c r="F15" s="249" t="s">
        <v>89</v>
      </c>
      <c r="G15" s="29" t="s">
        <v>1946</v>
      </c>
      <c r="H15" s="206" t="s">
        <v>449</v>
      </c>
      <c r="I15" s="203" t="s">
        <v>450</v>
      </c>
      <c r="J15" s="213"/>
      <c r="K15" s="32">
        <v>78</v>
      </c>
      <c r="L15" s="17"/>
      <c r="M15" s="213"/>
      <c r="N15" s="17"/>
    </row>
    <row r="16" spans="1:14" s="33" customFormat="1">
      <c r="A16" s="206" t="s">
        <v>456</v>
      </c>
      <c r="B16" s="206" t="s">
        <v>457</v>
      </c>
      <c r="C16" s="207" t="s">
        <v>1947</v>
      </c>
      <c r="D16" s="248" t="s">
        <v>123</v>
      </c>
      <c r="E16" s="206" t="s">
        <v>177</v>
      </c>
      <c r="F16" s="249" t="s">
        <v>458</v>
      </c>
      <c r="G16" s="29" t="s">
        <v>1948</v>
      </c>
      <c r="H16" s="206" t="s">
        <v>459</v>
      </c>
      <c r="I16" s="203" t="s">
        <v>460</v>
      </c>
      <c r="J16" s="213"/>
      <c r="K16" s="32">
        <v>77</v>
      </c>
      <c r="L16" s="17"/>
      <c r="M16" s="20" t="s">
        <v>128</v>
      </c>
      <c r="N16" s="17"/>
    </row>
    <row r="17" spans="1:13" s="33" customFormat="1">
      <c r="A17" s="206" t="s">
        <v>475</v>
      </c>
      <c r="B17" s="206" t="s">
        <v>476</v>
      </c>
      <c r="C17" s="207" t="s">
        <v>1949</v>
      </c>
      <c r="D17" s="248" t="s">
        <v>123</v>
      </c>
      <c r="E17" s="206" t="s">
        <v>177</v>
      </c>
      <c r="F17" s="249" t="s">
        <v>125</v>
      </c>
      <c r="G17" s="29" t="s">
        <v>1950</v>
      </c>
      <c r="H17" s="206" t="s">
        <v>477</v>
      </c>
      <c r="I17" s="203" t="s">
        <v>478</v>
      </c>
      <c r="J17" s="213"/>
      <c r="K17" s="32">
        <v>47.01</v>
      </c>
      <c r="L17" s="17"/>
      <c r="M17" s="20" t="s">
        <v>479</v>
      </c>
    </row>
    <row r="18" spans="1:13" ht="16.5" customHeight="1">
      <c r="A18" s="206" t="s">
        <v>511</v>
      </c>
      <c r="B18" s="207" t="s">
        <v>512</v>
      </c>
      <c r="C18" s="207" t="s">
        <v>1951</v>
      </c>
      <c r="D18" s="248" t="s">
        <v>123</v>
      </c>
      <c r="E18" s="206" t="s">
        <v>177</v>
      </c>
      <c r="F18" s="249" t="s">
        <v>195</v>
      </c>
      <c r="G18" s="29" t="s">
        <v>1952</v>
      </c>
      <c r="H18" s="206" t="s">
        <v>513</v>
      </c>
      <c r="I18" s="203" t="s">
        <v>514</v>
      </c>
      <c r="J18" s="213"/>
      <c r="K18" s="32">
        <v>47.01</v>
      </c>
      <c r="L18" s="213"/>
      <c r="M18" s="20" t="s">
        <v>479</v>
      </c>
    </row>
    <row r="19" spans="1:13">
      <c r="A19" s="206" t="s">
        <v>519</v>
      </c>
      <c r="B19" s="207" t="s">
        <v>520</v>
      </c>
      <c r="C19" s="207" t="s">
        <v>1953</v>
      </c>
      <c r="D19" s="248" t="s">
        <v>123</v>
      </c>
      <c r="E19" s="206" t="s">
        <v>131</v>
      </c>
      <c r="F19" s="249" t="s">
        <v>285</v>
      </c>
      <c r="G19" s="29" t="s">
        <v>1954</v>
      </c>
      <c r="H19" s="206" t="s">
        <v>521</v>
      </c>
      <c r="I19" s="203" t="s">
        <v>522</v>
      </c>
      <c r="J19" s="213"/>
      <c r="K19" s="32">
        <v>77</v>
      </c>
      <c r="L19" s="213"/>
      <c r="M19" s="20" t="s">
        <v>479</v>
      </c>
    </row>
    <row r="20" spans="1:13">
      <c r="A20" s="206" t="s">
        <v>523</v>
      </c>
      <c r="B20" s="206" t="s">
        <v>524</v>
      </c>
      <c r="C20" s="207" t="s">
        <v>1955</v>
      </c>
      <c r="D20" s="248" t="s">
        <v>123</v>
      </c>
      <c r="E20" s="206" t="s">
        <v>373</v>
      </c>
      <c r="F20" s="249" t="s">
        <v>458</v>
      </c>
      <c r="G20" s="29" t="s">
        <v>1956</v>
      </c>
      <c r="H20" s="206" t="s">
        <v>525</v>
      </c>
      <c r="I20" s="203" t="s">
        <v>526</v>
      </c>
      <c r="J20" s="213"/>
      <c r="K20" s="32">
        <v>47.01</v>
      </c>
      <c r="L20" s="213"/>
      <c r="M20" s="20" t="s">
        <v>198</v>
      </c>
    </row>
    <row r="21" spans="1:13">
      <c r="A21" s="206" t="s">
        <v>531</v>
      </c>
      <c r="B21" s="206" t="s">
        <v>532</v>
      </c>
      <c r="C21" s="207" t="s">
        <v>1957</v>
      </c>
      <c r="D21" s="248" t="s">
        <v>123</v>
      </c>
      <c r="E21" s="206" t="s">
        <v>177</v>
      </c>
      <c r="F21" s="249" t="s">
        <v>195</v>
      </c>
      <c r="G21" s="29" t="s">
        <v>1958</v>
      </c>
      <c r="H21" s="206" t="s">
        <v>533</v>
      </c>
      <c r="I21" s="203" t="s">
        <v>534</v>
      </c>
      <c r="J21" s="213" t="s">
        <v>1931</v>
      </c>
      <c r="K21" s="32">
        <v>47.01</v>
      </c>
      <c r="L21" s="213"/>
      <c r="M21" s="20" t="s">
        <v>128</v>
      </c>
    </row>
    <row r="22" spans="1:13">
      <c r="A22" s="206" t="s">
        <v>551</v>
      </c>
      <c r="B22" s="206" t="s">
        <v>552</v>
      </c>
      <c r="C22" s="207" t="s">
        <v>1959</v>
      </c>
      <c r="D22" s="248" t="s">
        <v>123</v>
      </c>
      <c r="E22" s="206" t="s">
        <v>177</v>
      </c>
      <c r="F22" s="249" t="s">
        <v>178</v>
      </c>
      <c r="G22" s="29" t="s">
        <v>1960</v>
      </c>
      <c r="H22" s="206" t="s">
        <v>553</v>
      </c>
      <c r="I22" s="203" t="s">
        <v>554</v>
      </c>
      <c r="J22" s="213" t="s">
        <v>1931</v>
      </c>
      <c r="K22" s="32">
        <v>66.989999999999995</v>
      </c>
      <c r="L22" s="213"/>
      <c r="M22" s="20" t="s">
        <v>128</v>
      </c>
    </row>
    <row r="23" spans="1:13">
      <c r="A23" s="206" t="s">
        <v>559</v>
      </c>
      <c r="B23" s="207" t="s">
        <v>560</v>
      </c>
      <c r="C23" s="207" t="s">
        <v>1961</v>
      </c>
      <c r="D23" s="248" t="s">
        <v>123</v>
      </c>
      <c r="E23" s="206" t="s">
        <v>177</v>
      </c>
      <c r="F23" s="249" t="s">
        <v>178</v>
      </c>
      <c r="G23" s="29" t="s">
        <v>1962</v>
      </c>
      <c r="H23" s="206" t="s">
        <v>561</v>
      </c>
      <c r="I23" s="203" t="s">
        <v>562</v>
      </c>
      <c r="J23" s="213"/>
      <c r="K23" s="32">
        <v>77</v>
      </c>
      <c r="L23" s="213"/>
      <c r="M23" s="20" t="s">
        <v>128</v>
      </c>
    </row>
    <row r="24" spans="1:13">
      <c r="A24" s="206" t="s">
        <v>589</v>
      </c>
      <c r="B24" s="207" t="s">
        <v>590</v>
      </c>
      <c r="C24" s="207" t="s">
        <v>1963</v>
      </c>
      <c r="D24" s="248" t="s">
        <v>123</v>
      </c>
      <c r="E24" s="206" t="s">
        <v>177</v>
      </c>
      <c r="F24" s="249" t="s">
        <v>178</v>
      </c>
      <c r="G24" s="29" t="s">
        <v>1964</v>
      </c>
      <c r="H24" s="206" t="s">
        <v>591</v>
      </c>
      <c r="I24" s="203" t="s">
        <v>592</v>
      </c>
      <c r="J24" s="213" t="s">
        <v>1931</v>
      </c>
      <c r="K24" s="32">
        <v>47.01</v>
      </c>
      <c r="L24" s="213"/>
      <c r="M24" s="20" t="s">
        <v>128</v>
      </c>
    </row>
    <row r="25" spans="1:13">
      <c r="A25" s="206" t="s">
        <v>612</v>
      </c>
      <c r="B25" s="206" t="s">
        <v>613</v>
      </c>
      <c r="C25" s="207" t="s">
        <v>1965</v>
      </c>
      <c r="D25" s="248" t="s">
        <v>123</v>
      </c>
      <c r="E25" s="206" t="s">
        <v>177</v>
      </c>
      <c r="F25" s="249" t="s">
        <v>132</v>
      </c>
      <c r="G25" s="29" t="s">
        <v>1966</v>
      </c>
      <c r="H25" s="206" t="s">
        <v>614</v>
      </c>
      <c r="I25" s="203" t="s">
        <v>615</v>
      </c>
      <c r="J25" s="213"/>
      <c r="K25" s="32">
        <v>71</v>
      </c>
      <c r="L25" s="213"/>
      <c r="M25" s="20"/>
    </row>
    <row r="26" spans="1:13">
      <c r="A26" s="206" t="s">
        <v>616</v>
      </c>
      <c r="B26" s="206" t="s">
        <v>617</v>
      </c>
      <c r="C26" s="207" t="s">
        <v>1967</v>
      </c>
      <c r="D26" s="248" t="s">
        <v>123</v>
      </c>
      <c r="E26" s="206" t="s">
        <v>131</v>
      </c>
      <c r="F26" s="249" t="s">
        <v>89</v>
      </c>
      <c r="G26" s="29" t="s">
        <v>1968</v>
      </c>
      <c r="H26" s="206" t="s">
        <v>618</v>
      </c>
      <c r="I26" s="203" t="s">
        <v>619</v>
      </c>
      <c r="J26" s="213" t="s">
        <v>1969</v>
      </c>
      <c r="K26" s="32">
        <v>47.01</v>
      </c>
      <c r="L26" s="213"/>
      <c r="M26" s="20" t="s">
        <v>620</v>
      </c>
    </row>
    <row r="27" spans="1:13">
      <c r="A27" s="206" t="s">
        <v>626</v>
      </c>
      <c r="B27" s="207" t="s">
        <v>627</v>
      </c>
      <c r="C27" s="207" t="s">
        <v>1970</v>
      </c>
      <c r="D27" s="248" t="s">
        <v>123</v>
      </c>
      <c r="E27" s="206" t="s">
        <v>177</v>
      </c>
      <c r="F27" s="249" t="s">
        <v>125</v>
      </c>
      <c r="G27" s="29" t="s">
        <v>1971</v>
      </c>
      <c r="H27" s="206" t="s">
        <v>628</v>
      </c>
      <c r="I27" s="203" t="s">
        <v>629</v>
      </c>
      <c r="J27" s="213"/>
      <c r="K27" s="32">
        <v>47.01</v>
      </c>
      <c r="L27" s="213"/>
      <c r="M27" s="213" t="s">
        <v>288</v>
      </c>
    </row>
    <row r="28" spans="1:13">
      <c r="A28" s="206" t="s">
        <v>637</v>
      </c>
      <c r="B28" s="207" t="s">
        <v>638</v>
      </c>
      <c r="C28" s="206" t="s">
        <v>1972</v>
      </c>
      <c r="D28" s="248" t="s">
        <v>123</v>
      </c>
      <c r="E28" s="206" t="s">
        <v>373</v>
      </c>
      <c r="F28" s="249" t="s">
        <v>89</v>
      </c>
      <c r="G28" s="29" t="s">
        <v>1973</v>
      </c>
      <c r="H28" s="206" t="s">
        <v>639</v>
      </c>
      <c r="I28" s="203" t="s">
        <v>640</v>
      </c>
      <c r="J28" s="213"/>
      <c r="K28" s="32">
        <v>48</v>
      </c>
      <c r="L28" s="213"/>
      <c r="M28" s="20" t="s">
        <v>641</v>
      </c>
    </row>
    <row r="29" spans="1:13">
      <c r="A29" s="206" t="s">
        <v>649</v>
      </c>
      <c r="B29" s="206" t="s">
        <v>650</v>
      </c>
      <c r="C29" s="207" t="s">
        <v>1974</v>
      </c>
      <c r="D29" s="248" t="s">
        <v>123</v>
      </c>
      <c r="E29" s="206" t="s">
        <v>177</v>
      </c>
      <c r="F29" s="249" t="s">
        <v>458</v>
      </c>
      <c r="G29" s="29" t="s">
        <v>1975</v>
      </c>
      <c r="H29" s="206" t="s">
        <v>651</v>
      </c>
      <c r="I29" s="203" t="s">
        <v>652</v>
      </c>
      <c r="J29" s="213"/>
      <c r="K29" s="32">
        <v>66.989999999999995</v>
      </c>
      <c r="L29" s="213"/>
      <c r="M29" s="20" t="s">
        <v>641</v>
      </c>
    </row>
    <row r="30" spans="1:13">
      <c r="A30" s="206" t="s">
        <v>711</v>
      </c>
      <c r="B30" s="206" t="s">
        <v>712</v>
      </c>
      <c r="C30" s="207" t="s">
        <v>1976</v>
      </c>
      <c r="D30" s="248" t="s">
        <v>123</v>
      </c>
      <c r="E30" s="206" t="s">
        <v>177</v>
      </c>
      <c r="F30" s="249" t="s">
        <v>195</v>
      </c>
      <c r="G30" s="29" t="s">
        <v>1977</v>
      </c>
      <c r="H30" s="206" t="s">
        <v>713</v>
      </c>
      <c r="I30" s="203" t="s">
        <v>714</v>
      </c>
      <c r="J30" s="213"/>
      <c r="K30" s="32">
        <v>66.989999999999995</v>
      </c>
      <c r="L30" s="213"/>
      <c r="M30" s="20" t="s">
        <v>128</v>
      </c>
    </row>
    <row r="31" spans="1:13">
      <c r="A31" s="206" t="s">
        <v>715</v>
      </c>
      <c r="B31" s="207" t="s">
        <v>716</v>
      </c>
      <c r="C31" s="207" t="s">
        <v>1978</v>
      </c>
      <c r="D31" s="248" t="s">
        <v>123</v>
      </c>
      <c r="E31" s="206" t="s">
        <v>177</v>
      </c>
      <c r="F31" s="249" t="s">
        <v>458</v>
      </c>
      <c r="G31" s="29" t="s">
        <v>1979</v>
      </c>
      <c r="H31" s="206" t="s">
        <v>717</v>
      </c>
      <c r="I31" s="203" t="s">
        <v>718</v>
      </c>
      <c r="J31" s="213"/>
      <c r="K31" s="32">
        <v>77</v>
      </c>
      <c r="L31" s="213"/>
      <c r="M31" s="20" t="s">
        <v>719</v>
      </c>
    </row>
    <row r="32" spans="1:13">
      <c r="A32" s="206" t="s">
        <v>738</v>
      </c>
      <c r="B32" s="207" t="s">
        <v>739</v>
      </c>
      <c r="C32" s="207" t="s">
        <v>1980</v>
      </c>
      <c r="D32" s="248" t="s">
        <v>123</v>
      </c>
      <c r="E32" s="206" t="s">
        <v>177</v>
      </c>
      <c r="F32" s="249" t="s">
        <v>178</v>
      </c>
      <c r="G32" s="34" t="s">
        <v>1981</v>
      </c>
      <c r="H32" s="206" t="s">
        <v>740</v>
      </c>
      <c r="I32" s="203" t="s">
        <v>741</v>
      </c>
      <c r="J32" s="213"/>
      <c r="K32" s="32">
        <v>66</v>
      </c>
      <c r="L32" s="213"/>
      <c r="M32" s="20" t="s">
        <v>742</v>
      </c>
    </row>
    <row r="33" spans="1:13">
      <c r="A33" s="206" t="s">
        <v>743</v>
      </c>
      <c r="B33" s="206" t="s">
        <v>744</v>
      </c>
      <c r="C33" s="207" t="s">
        <v>1982</v>
      </c>
      <c r="D33" s="248" t="s">
        <v>123</v>
      </c>
      <c r="E33" s="206" t="s">
        <v>177</v>
      </c>
      <c r="F33" s="249" t="s">
        <v>125</v>
      </c>
      <c r="G33" s="29" t="s">
        <v>1983</v>
      </c>
      <c r="H33" s="206" t="s">
        <v>745</v>
      </c>
      <c r="I33" s="203" t="s">
        <v>746</v>
      </c>
      <c r="J33" s="213"/>
      <c r="K33" s="32">
        <v>77</v>
      </c>
      <c r="L33" s="213"/>
      <c r="M33" s="20" t="s">
        <v>742</v>
      </c>
    </row>
    <row r="34" spans="1:13">
      <c r="A34" s="206" t="s">
        <v>747</v>
      </c>
      <c r="B34" s="207" t="s">
        <v>748</v>
      </c>
      <c r="C34" s="207" t="s">
        <v>1984</v>
      </c>
      <c r="D34" s="248" t="s">
        <v>123</v>
      </c>
      <c r="E34" s="206" t="s">
        <v>177</v>
      </c>
      <c r="F34" s="249" t="s">
        <v>89</v>
      </c>
      <c r="G34" s="29" t="s">
        <v>1985</v>
      </c>
      <c r="H34" s="206" t="s">
        <v>749</v>
      </c>
      <c r="I34" s="203" t="s">
        <v>750</v>
      </c>
      <c r="J34" s="213"/>
      <c r="K34" s="32">
        <v>80</v>
      </c>
      <c r="L34" s="213"/>
      <c r="M34" s="213" t="s">
        <v>288</v>
      </c>
    </row>
    <row r="35" spans="1:13">
      <c r="A35" s="206" t="s">
        <v>776</v>
      </c>
      <c r="B35" s="207" t="s">
        <v>777</v>
      </c>
      <c r="C35" s="207" t="s">
        <v>1986</v>
      </c>
      <c r="D35" s="248" t="s">
        <v>123</v>
      </c>
      <c r="E35" s="206" t="s">
        <v>177</v>
      </c>
      <c r="F35" s="249" t="s">
        <v>125</v>
      </c>
      <c r="G35" s="29" t="s">
        <v>1987</v>
      </c>
      <c r="H35" s="206" t="s">
        <v>778</v>
      </c>
      <c r="I35" s="203" t="s">
        <v>779</v>
      </c>
      <c r="J35" s="213"/>
      <c r="K35" s="32">
        <v>91</v>
      </c>
      <c r="L35" s="213"/>
      <c r="M35" s="20" t="s">
        <v>198</v>
      </c>
    </row>
    <row r="36" spans="1:13">
      <c r="A36" s="250" t="s">
        <v>942</v>
      </c>
      <c r="B36" s="206" t="s">
        <v>943</v>
      </c>
      <c r="C36" s="207" t="s">
        <v>1988</v>
      </c>
      <c r="D36" s="248" t="s">
        <v>123</v>
      </c>
      <c r="E36" s="206" t="s">
        <v>124</v>
      </c>
      <c r="F36" s="249" t="s">
        <v>458</v>
      </c>
      <c r="H36" s="206" t="s">
        <v>944</v>
      </c>
      <c r="I36" s="203" t="s">
        <v>945</v>
      </c>
      <c r="J36" s="213"/>
      <c r="K36" s="32">
        <v>77</v>
      </c>
      <c r="L36" s="213"/>
      <c r="M36" s="20" t="s">
        <v>946</v>
      </c>
    </row>
    <row r="37" spans="1:13">
      <c r="A37" s="250" t="s">
        <v>1221</v>
      </c>
      <c r="B37" s="206" t="s">
        <v>1222</v>
      </c>
      <c r="C37" s="207" t="s">
        <v>1989</v>
      </c>
      <c r="D37" s="248" t="s">
        <v>123</v>
      </c>
      <c r="E37" s="206" t="s">
        <v>131</v>
      </c>
      <c r="F37" s="249" t="s">
        <v>178</v>
      </c>
      <c r="G37" s="29" t="s">
        <v>1990</v>
      </c>
      <c r="H37" s="206" t="s">
        <v>1223</v>
      </c>
      <c r="I37" s="203" t="s">
        <v>1224</v>
      </c>
      <c r="J37" s="213"/>
      <c r="K37" s="32">
        <v>47.01</v>
      </c>
      <c r="L37" s="213"/>
      <c r="M37" s="20" t="s">
        <v>128</v>
      </c>
    </row>
    <row r="38" spans="1:13">
      <c r="A38" s="250" t="s">
        <v>901</v>
      </c>
      <c r="B38" s="206" t="s">
        <v>902</v>
      </c>
      <c r="C38" s="207" t="s">
        <v>1991</v>
      </c>
      <c r="D38" s="248" t="s">
        <v>123</v>
      </c>
      <c r="E38" s="206" t="s">
        <v>177</v>
      </c>
      <c r="F38" s="249" t="s">
        <v>195</v>
      </c>
      <c r="G38" s="29" t="s">
        <v>1992</v>
      </c>
      <c r="H38" s="206" t="s">
        <v>903</v>
      </c>
      <c r="I38" s="203" t="s">
        <v>619</v>
      </c>
      <c r="J38" s="213"/>
      <c r="K38" s="32">
        <v>71</v>
      </c>
      <c r="L38" s="213"/>
      <c r="M38" s="20"/>
    </row>
    <row r="39" spans="1:13" ht="30">
      <c r="A39" s="206" t="s">
        <v>794</v>
      </c>
      <c r="B39" s="207" t="s">
        <v>795</v>
      </c>
      <c r="C39" s="207" t="s">
        <v>1993</v>
      </c>
      <c r="D39" s="248" t="s">
        <v>123</v>
      </c>
      <c r="E39" s="206" t="s">
        <v>796</v>
      </c>
      <c r="F39" s="249" t="s">
        <v>132</v>
      </c>
      <c r="G39" s="29" t="s">
        <v>1994</v>
      </c>
      <c r="H39" s="29" t="s">
        <v>797</v>
      </c>
      <c r="I39" s="35" t="s">
        <v>798</v>
      </c>
      <c r="J39" s="213"/>
      <c r="K39" s="32">
        <v>77</v>
      </c>
      <c r="L39" s="213"/>
      <c r="M39" s="20" t="s">
        <v>198</v>
      </c>
    </row>
    <row r="40" spans="1:13" ht="30">
      <c r="A40" s="36" t="s">
        <v>799</v>
      </c>
      <c r="B40" s="206" t="s">
        <v>800</v>
      </c>
      <c r="C40" s="37" t="s">
        <v>1995</v>
      </c>
      <c r="D40" s="248" t="s">
        <v>123</v>
      </c>
      <c r="E40" s="213"/>
      <c r="F40" s="202" t="s">
        <v>285</v>
      </c>
      <c r="G40" s="38" t="s">
        <v>1996</v>
      </c>
      <c r="H40" s="39"/>
      <c r="I40" s="203" t="s">
        <v>801</v>
      </c>
      <c r="J40" s="213"/>
      <c r="K40" s="32">
        <v>47.01</v>
      </c>
      <c r="L40" s="213"/>
      <c r="M40" s="20" t="s">
        <v>198</v>
      </c>
    </row>
    <row r="41" spans="1:13">
      <c r="A41" s="206" t="s">
        <v>808</v>
      </c>
      <c r="B41" s="207" t="s">
        <v>809</v>
      </c>
      <c r="C41" s="207" t="s">
        <v>1997</v>
      </c>
      <c r="D41" s="248" t="s">
        <v>123</v>
      </c>
      <c r="E41" s="206" t="s">
        <v>796</v>
      </c>
      <c r="F41" s="249" t="s">
        <v>285</v>
      </c>
      <c r="G41" s="29" t="s">
        <v>1998</v>
      </c>
      <c r="H41" s="206" t="s">
        <v>810</v>
      </c>
      <c r="I41" s="203" t="s">
        <v>811</v>
      </c>
      <c r="J41" s="213"/>
      <c r="K41" s="32">
        <v>47.01</v>
      </c>
      <c r="L41" s="213"/>
      <c r="M41" s="20" t="s">
        <v>198</v>
      </c>
    </row>
    <row r="42" spans="1:13">
      <c r="A42" s="207" t="s">
        <v>812</v>
      </c>
      <c r="B42" s="206" t="s">
        <v>813</v>
      </c>
      <c r="C42" s="207" t="s">
        <v>1999</v>
      </c>
      <c r="D42" s="248" t="s">
        <v>123</v>
      </c>
      <c r="E42" s="206" t="s">
        <v>814</v>
      </c>
      <c r="F42" s="202" t="s">
        <v>815</v>
      </c>
      <c r="G42" s="29" t="s">
        <v>2000</v>
      </c>
      <c r="H42" s="206" t="s">
        <v>816</v>
      </c>
      <c r="I42" s="203" t="s">
        <v>817</v>
      </c>
      <c r="J42" s="213"/>
      <c r="K42" s="32">
        <v>77</v>
      </c>
      <c r="L42" s="213"/>
      <c r="M42" s="20" t="s">
        <v>198</v>
      </c>
    </row>
    <row r="43" spans="1:13" ht="30">
      <c r="A43" s="201" t="s">
        <v>818</v>
      </c>
      <c r="B43" s="200" t="s">
        <v>819</v>
      </c>
      <c r="C43" s="201" t="s">
        <v>2001</v>
      </c>
      <c r="D43" s="21" t="s">
        <v>123</v>
      </c>
      <c r="E43" s="22" t="s">
        <v>373</v>
      </c>
      <c r="F43" s="204" t="s">
        <v>820</v>
      </c>
      <c r="G43" s="200" t="s">
        <v>2002</v>
      </c>
      <c r="H43" s="200" t="s">
        <v>821</v>
      </c>
      <c r="I43" s="203" t="s">
        <v>822</v>
      </c>
      <c r="J43" s="17"/>
      <c r="K43" s="32">
        <v>47.01</v>
      </c>
      <c r="L43" s="213"/>
      <c r="M43" s="20" t="s">
        <v>198</v>
      </c>
    </row>
    <row r="44" spans="1:13">
      <c r="A44" s="206" t="s">
        <v>843</v>
      </c>
      <c r="B44" s="207" t="s">
        <v>844</v>
      </c>
      <c r="C44" s="207" t="s">
        <v>2003</v>
      </c>
      <c r="D44" s="248" t="s">
        <v>123</v>
      </c>
      <c r="E44" s="206" t="s">
        <v>177</v>
      </c>
      <c r="F44" s="249" t="s">
        <v>125</v>
      </c>
      <c r="G44" s="29" t="s">
        <v>2004</v>
      </c>
      <c r="H44" s="206" t="s">
        <v>845</v>
      </c>
      <c r="I44" s="203" t="s">
        <v>846</v>
      </c>
      <c r="J44" s="213"/>
      <c r="K44" s="32">
        <v>80</v>
      </c>
      <c r="L44" s="213"/>
      <c r="M44" s="20" t="s">
        <v>198</v>
      </c>
    </row>
    <row r="45" spans="1:13">
      <c r="A45" s="206" t="s">
        <v>847</v>
      </c>
      <c r="B45" s="239" t="s">
        <v>848</v>
      </c>
      <c r="C45" s="239" t="s">
        <v>2005</v>
      </c>
      <c r="D45" s="248" t="s">
        <v>123</v>
      </c>
      <c r="E45" s="206" t="s">
        <v>177</v>
      </c>
      <c r="F45" s="249" t="s">
        <v>285</v>
      </c>
      <c r="G45" s="29" t="s">
        <v>2006</v>
      </c>
      <c r="H45" s="206" t="s">
        <v>849</v>
      </c>
      <c r="I45" s="203" t="s">
        <v>850</v>
      </c>
      <c r="J45" s="213"/>
      <c r="K45" s="32">
        <v>77</v>
      </c>
      <c r="L45" s="213"/>
      <c r="M45" s="20" t="s">
        <v>128</v>
      </c>
    </row>
    <row r="46" spans="1:13">
      <c r="A46" s="206" t="s">
        <v>868</v>
      </c>
      <c r="B46" s="206" t="s">
        <v>2007</v>
      </c>
      <c r="C46" s="207" t="s">
        <v>2008</v>
      </c>
      <c r="D46" s="248" t="s">
        <v>123</v>
      </c>
      <c r="E46" s="206" t="s">
        <v>177</v>
      </c>
      <c r="F46" s="249" t="s">
        <v>458</v>
      </c>
      <c r="G46" s="29" t="s">
        <v>2009</v>
      </c>
      <c r="H46" s="206" t="s">
        <v>2010</v>
      </c>
      <c r="I46" s="203" t="s">
        <v>2011</v>
      </c>
      <c r="J46" s="213"/>
      <c r="K46" s="32">
        <v>47.01</v>
      </c>
      <c r="L46" s="213"/>
      <c r="M46" s="20" t="s">
        <v>479</v>
      </c>
    </row>
    <row r="47" spans="1:13">
      <c r="A47" s="206" t="s">
        <v>877</v>
      </c>
      <c r="B47" s="206" t="s">
        <v>878</v>
      </c>
      <c r="C47" s="207" t="s">
        <v>2012</v>
      </c>
      <c r="D47" s="248" t="s">
        <v>123</v>
      </c>
      <c r="E47" s="206" t="s">
        <v>131</v>
      </c>
      <c r="F47" s="249" t="s">
        <v>178</v>
      </c>
      <c r="G47" s="29" t="s">
        <v>2013</v>
      </c>
      <c r="H47" s="206" t="s">
        <v>879</v>
      </c>
      <c r="I47" s="203" t="s">
        <v>880</v>
      </c>
      <c r="J47" s="213"/>
      <c r="K47" s="32">
        <v>73.680000000000007</v>
      </c>
      <c r="L47" s="213"/>
      <c r="M47" s="213" t="s">
        <v>288</v>
      </c>
    </row>
    <row r="48" spans="1:13">
      <c r="A48" s="206" t="s">
        <v>889</v>
      </c>
      <c r="B48" s="206" t="s">
        <v>890</v>
      </c>
      <c r="C48" s="207" t="s">
        <v>2014</v>
      </c>
      <c r="D48" s="248" t="s">
        <v>123</v>
      </c>
      <c r="E48" s="206" t="s">
        <v>124</v>
      </c>
      <c r="F48" s="249" t="s">
        <v>458</v>
      </c>
      <c r="G48" s="29" t="s">
        <v>2015</v>
      </c>
      <c r="H48" s="206" t="s">
        <v>891</v>
      </c>
      <c r="I48" s="203" t="s">
        <v>892</v>
      </c>
      <c r="J48" s="213"/>
      <c r="K48" s="32">
        <v>78</v>
      </c>
      <c r="L48" s="213"/>
      <c r="M48" s="20" t="s">
        <v>198</v>
      </c>
    </row>
    <row r="49" spans="1:13">
      <c r="A49" s="206" t="s">
        <v>904</v>
      </c>
      <c r="B49" s="207" t="s">
        <v>905</v>
      </c>
      <c r="C49" s="207" t="s">
        <v>2016</v>
      </c>
      <c r="D49" s="248" t="s">
        <v>123</v>
      </c>
      <c r="E49" s="206" t="s">
        <v>131</v>
      </c>
      <c r="F49" s="249" t="s">
        <v>132</v>
      </c>
      <c r="G49" s="29" t="s">
        <v>2017</v>
      </c>
      <c r="H49" s="206" t="s">
        <v>906</v>
      </c>
      <c r="I49" s="203" t="s">
        <v>907</v>
      </c>
      <c r="J49" s="213" t="s">
        <v>1931</v>
      </c>
      <c r="K49" s="32">
        <v>47.01</v>
      </c>
      <c r="L49" s="213"/>
      <c r="M49" s="213" t="s">
        <v>288</v>
      </c>
    </row>
    <row r="50" spans="1:13">
      <c r="A50" s="206" t="s">
        <v>916</v>
      </c>
      <c r="B50" s="206" t="s">
        <v>917</v>
      </c>
      <c r="C50" s="207" t="s">
        <v>2018</v>
      </c>
      <c r="D50" s="248" t="s">
        <v>123</v>
      </c>
      <c r="E50" s="206" t="s">
        <v>177</v>
      </c>
      <c r="F50" s="249" t="s">
        <v>458</v>
      </c>
      <c r="G50" s="29" t="s">
        <v>2019</v>
      </c>
      <c r="H50" s="206" t="s">
        <v>918</v>
      </c>
      <c r="I50" s="203" t="s">
        <v>305</v>
      </c>
      <c r="J50" s="213"/>
      <c r="K50" s="32">
        <v>77</v>
      </c>
      <c r="L50" s="213"/>
      <c r="M50" s="20" t="s">
        <v>641</v>
      </c>
    </row>
    <row r="51" spans="1:13">
      <c r="A51" s="206" t="s">
        <v>969</v>
      </c>
      <c r="B51" s="207" t="s">
        <v>2020</v>
      </c>
      <c r="C51" s="207" t="s">
        <v>2021</v>
      </c>
      <c r="D51" s="248" t="s">
        <v>123</v>
      </c>
      <c r="E51" s="206" t="s">
        <v>373</v>
      </c>
      <c r="F51" s="249" t="s">
        <v>458</v>
      </c>
      <c r="H51" s="206" t="s">
        <v>2022</v>
      </c>
      <c r="I51" s="203" t="s">
        <v>2023</v>
      </c>
      <c r="J51" s="213"/>
      <c r="K51" s="32">
        <v>66.989999999999995</v>
      </c>
      <c r="L51" s="213"/>
      <c r="M51" s="20" t="s">
        <v>198</v>
      </c>
    </row>
    <row r="52" spans="1:13">
      <c r="A52" s="206" t="s">
        <v>973</v>
      </c>
      <c r="B52" s="206" t="s">
        <v>974</v>
      </c>
      <c r="C52" s="207" t="s">
        <v>2024</v>
      </c>
      <c r="D52" s="248" t="s">
        <v>123</v>
      </c>
      <c r="E52" s="206" t="s">
        <v>373</v>
      </c>
      <c r="F52" s="249" t="s">
        <v>458</v>
      </c>
      <c r="G52" s="29" t="s">
        <v>2025</v>
      </c>
      <c r="H52" s="206" t="s">
        <v>975</v>
      </c>
      <c r="I52" s="203" t="s">
        <v>976</v>
      </c>
      <c r="J52" s="213"/>
      <c r="K52" s="32">
        <v>77</v>
      </c>
      <c r="L52" s="213"/>
      <c r="M52" s="20" t="s">
        <v>181</v>
      </c>
    </row>
    <row r="53" spans="1:13">
      <c r="A53" s="206" t="s">
        <v>983</v>
      </c>
      <c r="B53" s="206" t="s">
        <v>984</v>
      </c>
      <c r="C53" s="207" t="s">
        <v>2026</v>
      </c>
      <c r="D53" s="248" t="s">
        <v>123</v>
      </c>
      <c r="E53" s="206" t="s">
        <v>814</v>
      </c>
      <c r="F53" s="40" t="s">
        <v>815</v>
      </c>
      <c r="G53" s="29" t="s">
        <v>2027</v>
      </c>
      <c r="H53" s="206" t="s">
        <v>985</v>
      </c>
      <c r="I53" s="203" t="s">
        <v>986</v>
      </c>
      <c r="J53" s="213"/>
      <c r="K53" s="32">
        <v>77</v>
      </c>
      <c r="L53" s="213"/>
      <c r="M53" s="20" t="s">
        <v>198</v>
      </c>
    </row>
    <row r="54" spans="1:13">
      <c r="A54" s="206" t="s">
        <v>997</v>
      </c>
      <c r="B54" s="206" t="s">
        <v>998</v>
      </c>
      <c r="C54" s="207" t="s">
        <v>2028</v>
      </c>
      <c r="D54" s="248" t="s">
        <v>123</v>
      </c>
      <c r="E54" s="206" t="s">
        <v>177</v>
      </c>
      <c r="F54" s="249" t="s">
        <v>195</v>
      </c>
      <c r="G54" s="29" t="s">
        <v>2029</v>
      </c>
      <c r="H54" s="206" t="s">
        <v>999</v>
      </c>
      <c r="I54" s="203" t="s">
        <v>1000</v>
      </c>
      <c r="J54" s="213" t="s">
        <v>1931</v>
      </c>
      <c r="K54" s="32">
        <v>77</v>
      </c>
      <c r="L54" s="213"/>
      <c r="M54" s="20" t="s">
        <v>198</v>
      </c>
    </row>
    <row r="55" spans="1:13">
      <c r="A55" s="206" t="s">
        <v>1001</v>
      </c>
      <c r="B55" s="207" t="s">
        <v>1002</v>
      </c>
      <c r="C55" s="207" t="s">
        <v>2030</v>
      </c>
      <c r="D55" s="248" t="s">
        <v>123</v>
      </c>
      <c r="E55" s="206" t="s">
        <v>373</v>
      </c>
      <c r="F55" s="249" t="s">
        <v>458</v>
      </c>
      <c r="G55" s="29" t="s">
        <v>2031</v>
      </c>
      <c r="H55" s="206" t="s">
        <v>1003</v>
      </c>
      <c r="I55" s="203" t="s">
        <v>1004</v>
      </c>
      <c r="J55" s="213"/>
      <c r="K55" s="32">
        <v>77</v>
      </c>
      <c r="L55" s="213"/>
      <c r="M55" s="213" t="s">
        <v>288</v>
      </c>
    </row>
    <row r="56" spans="1:13">
      <c r="A56" s="206" t="s">
        <v>1038</v>
      </c>
      <c r="B56" s="206" t="s">
        <v>1039</v>
      </c>
      <c r="C56" s="207" t="s">
        <v>2032</v>
      </c>
      <c r="D56" s="248" t="s">
        <v>123</v>
      </c>
      <c r="E56" s="206" t="s">
        <v>1040</v>
      </c>
      <c r="F56" s="249" t="s">
        <v>458</v>
      </c>
      <c r="G56" s="41" t="s">
        <v>2033</v>
      </c>
      <c r="H56" s="206" t="s">
        <v>1041</v>
      </c>
      <c r="I56" s="203" t="s">
        <v>1042</v>
      </c>
      <c r="J56" s="213"/>
      <c r="K56" s="32">
        <v>77</v>
      </c>
      <c r="L56" s="213"/>
      <c r="M56" s="20" t="s">
        <v>742</v>
      </c>
    </row>
    <row r="57" spans="1:13">
      <c r="A57" s="206" t="s">
        <v>1043</v>
      </c>
      <c r="B57" s="206" t="s">
        <v>1044</v>
      </c>
      <c r="C57" s="207" t="s">
        <v>2034</v>
      </c>
      <c r="D57" s="248" t="s">
        <v>123</v>
      </c>
      <c r="E57" s="206" t="s">
        <v>131</v>
      </c>
      <c r="F57" s="249" t="s">
        <v>125</v>
      </c>
      <c r="G57" s="29" t="s">
        <v>2035</v>
      </c>
      <c r="H57" s="206" t="s">
        <v>1045</v>
      </c>
      <c r="I57" s="203" t="s">
        <v>1046</v>
      </c>
      <c r="J57" s="213"/>
      <c r="K57" s="32">
        <v>71</v>
      </c>
      <c r="L57" s="213"/>
      <c r="M57" s="20" t="s">
        <v>742</v>
      </c>
    </row>
    <row r="58" spans="1:13">
      <c r="A58" s="206" t="s">
        <v>1047</v>
      </c>
      <c r="B58" s="207" t="s">
        <v>1048</v>
      </c>
      <c r="C58" s="207" t="s">
        <v>2036</v>
      </c>
      <c r="D58" s="248" t="s">
        <v>123</v>
      </c>
      <c r="E58" s="206" t="s">
        <v>177</v>
      </c>
      <c r="F58" s="249" t="s">
        <v>285</v>
      </c>
      <c r="G58" s="29" t="s">
        <v>2037</v>
      </c>
      <c r="H58" s="206" t="s">
        <v>1049</v>
      </c>
      <c r="I58" s="203" t="s">
        <v>1050</v>
      </c>
      <c r="J58" s="213"/>
      <c r="K58" s="32">
        <v>47.01</v>
      </c>
      <c r="L58" s="213"/>
      <c r="M58" s="20" t="s">
        <v>479</v>
      </c>
    </row>
    <row r="59" spans="1:13">
      <c r="A59" s="206" t="s">
        <v>1078</v>
      </c>
      <c r="B59" s="207" t="s">
        <v>1079</v>
      </c>
      <c r="C59" s="207" t="s">
        <v>2038</v>
      </c>
      <c r="D59" s="248" t="s">
        <v>123</v>
      </c>
      <c r="E59" s="206" t="s">
        <v>796</v>
      </c>
      <c r="F59" s="249" t="s">
        <v>458</v>
      </c>
      <c r="H59" s="206" t="s">
        <v>1080</v>
      </c>
      <c r="I59" s="203" t="s">
        <v>1081</v>
      </c>
      <c r="J59" s="213"/>
      <c r="K59" s="32">
        <v>77</v>
      </c>
      <c r="L59" s="213"/>
      <c r="M59" s="213" t="s">
        <v>288</v>
      </c>
    </row>
    <row r="60" spans="1:13">
      <c r="A60" s="206" t="s">
        <v>1087</v>
      </c>
      <c r="B60" s="207" t="s">
        <v>1088</v>
      </c>
      <c r="C60" s="42" t="s">
        <v>2039</v>
      </c>
      <c r="D60" s="248" t="s">
        <v>123</v>
      </c>
      <c r="E60" s="206" t="s">
        <v>177</v>
      </c>
      <c r="F60" s="249" t="s">
        <v>458</v>
      </c>
      <c r="G60" s="29" t="s">
        <v>2040</v>
      </c>
      <c r="H60" s="206" t="s">
        <v>1089</v>
      </c>
      <c r="I60" s="203" t="s">
        <v>1090</v>
      </c>
      <c r="J60" s="213"/>
      <c r="K60" s="32">
        <v>66.989999999999995</v>
      </c>
      <c r="L60" s="213"/>
      <c r="M60" s="213" t="s">
        <v>288</v>
      </c>
    </row>
    <row r="61" spans="1:13">
      <c r="A61" s="206" t="s">
        <v>1099</v>
      </c>
      <c r="B61" s="206" t="s">
        <v>1100</v>
      </c>
      <c r="C61" s="207" t="s">
        <v>2041</v>
      </c>
      <c r="D61" s="248" t="s">
        <v>123</v>
      </c>
      <c r="E61" s="206" t="s">
        <v>131</v>
      </c>
      <c r="F61" s="249" t="s">
        <v>89</v>
      </c>
      <c r="G61" s="34" t="s">
        <v>2042</v>
      </c>
      <c r="H61" s="29" t="s">
        <v>1101</v>
      </c>
      <c r="I61" s="35" t="s">
        <v>1102</v>
      </c>
      <c r="J61" s="213" t="s">
        <v>2043</v>
      </c>
      <c r="K61" s="32">
        <v>66.989999999999995</v>
      </c>
      <c r="L61" s="213"/>
      <c r="M61" s="20" t="s">
        <v>288</v>
      </c>
    </row>
    <row r="62" spans="1:13">
      <c r="A62" s="206" t="s">
        <v>1103</v>
      </c>
      <c r="B62" s="206" t="s">
        <v>1104</v>
      </c>
      <c r="C62" s="207" t="s">
        <v>2044</v>
      </c>
      <c r="D62" s="248" t="s">
        <v>123</v>
      </c>
      <c r="E62" s="206" t="s">
        <v>796</v>
      </c>
      <c r="F62" s="249" t="s">
        <v>195</v>
      </c>
      <c r="G62" s="29" t="s">
        <v>2045</v>
      </c>
      <c r="H62" s="206" t="s">
        <v>1105</v>
      </c>
      <c r="I62" s="203" t="s">
        <v>1106</v>
      </c>
      <c r="J62" s="213" t="s">
        <v>1931</v>
      </c>
      <c r="K62" s="32">
        <v>80</v>
      </c>
      <c r="L62" s="213"/>
      <c r="M62" s="213" t="s">
        <v>288</v>
      </c>
    </row>
    <row r="63" spans="1:13">
      <c r="A63" s="206" t="s">
        <v>1107</v>
      </c>
      <c r="B63" s="207" t="s">
        <v>1108</v>
      </c>
      <c r="C63" s="207" t="s">
        <v>2046</v>
      </c>
      <c r="D63" s="248" t="s">
        <v>123</v>
      </c>
      <c r="E63" s="206" t="s">
        <v>796</v>
      </c>
      <c r="F63" s="249" t="s">
        <v>458</v>
      </c>
      <c r="H63" s="206" t="s">
        <v>1109</v>
      </c>
      <c r="I63" s="203" t="s">
        <v>1110</v>
      </c>
      <c r="J63" s="213"/>
      <c r="K63" s="32">
        <v>77</v>
      </c>
      <c r="L63" s="213"/>
      <c r="M63" s="213" t="s">
        <v>288</v>
      </c>
    </row>
    <row r="64" spans="1:13">
      <c r="A64" s="201" t="s">
        <v>1111</v>
      </c>
      <c r="B64" s="200" t="s">
        <v>1112</v>
      </c>
      <c r="C64" s="201" t="s">
        <v>2047</v>
      </c>
      <c r="D64" s="21" t="s">
        <v>123</v>
      </c>
      <c r="E64" s="22" t="s">
        <v>177</v>
      </c>
      <c r="F64" s="204" t="s">
        <v>125</v>
      </c>
      <c r="G64" s="200" t="s">
        <v>2048</v>
      </c>
      <c r="H64" s="200" t="s">
        <v>1113</v>
      </c>
      <c r="I64" s="203" t="s">
        <v>1114</v>
      </c>
      <c r="J64" s="17"/>
      <c r="K64" s="32">
        <v>47.01</v>
      </c>
      <c r="L64" s="213"/>
      <c r="M64" s="213" t="s">
        <v>288</v>
      </c>
    </row>
    <row r="65" spans="1:13">
      <c r="A65" s="207" t="s">
        <v>1115</v>
      </c>
      <c r="B65" s="207" t="s">
        <v>1116</v>
      </c>
      <c r="C65" s="207" t="s">
        <v>2049</v>
      </c>
      <c r="D65" s="248" t="s">
        <v>123</v>
      </c>
      <c r="E65" s="206" t="s">
        <v>131</v>
      </c>
      <c r="F65" s="249" t="s">
        <v>132</v>
      </c>
      <c r="G65" s="29" t="s">
        <v>2050</v>
      </c>
      <c r="H65" s="29" t="s">
        <v>1117</v>
      </c>
      <c r="I65" s="203" t="s">
        <v>1118</v>
      </c>
      <c r="J65" s="213"/>
      <c r="K65" s="32">
        <v>47.01</v>
      </c>
      <c r="L65" s="213"/>
      <c r="M65" s="213" t="s">
        <v>288</v>
      </c>
    </row>
    <row r="66" spans="1:13">
      <c r="A66" s="206" t="s">
        <v>1119</v>
      </c>
      <c r="B66" s="207" t="s">
        <v>1120</v>
      </c>
      <c r="C66" s="207" t="s">
        <v>2051</v>
      </c>
      <c r="D66" s="248" t="s">
        <v>123</v>
      </c>
      <c r="E66" s="206" t="s">
        <v>177</v>
      </c>
      <c r="F66" s="249" t="s">
        <v>89</v>
      </c>
      <c r="G66" s="34" t="s">
        <v>2052</v>
      </c>
      <c r="H66" s="29" t="s">
        <v>1121</v>
      </c>
      <c r="I66" s="35" t="s">
        <v>1122</v>
      </c>
      <c r="J66" s="213"/>
      <c r="K66" s="32">
        <v>47.01</v>
      </c>
      <c r="L66" s="213"/>
      <c r="M66" s="213" t="s">
        <v>288</v>
      </c>
    </row>
    <row r="67" spans="1:13" ht="30">
      <c r="A67" s="206" t="s">
        <v>1123</v>
      </c>
      <c r="B67" s="207" t="s">
        <v>1124</v>
      </c>
      <c r="C67" s="207" t="s">
        <v>2053</v>
      </c>
      <c r="D67" s="248" t="s">
        <v>123</v>
      </c>
      <c r="E67" s="206" t="s">
        <v>131</v>
      </c>
      <c r="F67" s="249" t="s">
        <v>285</v>
      </c>
      <c r="G67" s="29" t="s">
        <v>2054</v>
      </c>
      <c r="H67" s="206" t="s">
        <v>1125</v>
      </c>
      <c r="I67" s="203" t="s">
        <v>1126</v>
      </c>
      <c r="J67" s="213"/>
      <c r="K67" s="32">
        <v>47.01</v>
      </c>
      <c r="L67" s="213"/>
      <c r="M67" s="213" t="s">
        <v>288</v>
      </c>
    </row>
    <row r="68" spans="1:13">
      <c r="A68" s="206" t="s">
        <v>1127</v>
      </c>
      <c r="B68" s="207" t="s">
        <v>1128</v>
      </c>
      <c r="C68" s="207" t="s">
        <v>2055</v>
      </c>
      <c r="D68" s="248" t="s">
        <v>123</v>
      </c>
      <c r="E68" s="206" t="s">
        <v>177</v>
      </c>
      <c r="F68" s="249" t="s">
        <v>195</v>
      </c>
      <c r="G68" s="29" t="s">
        <v>2056</v>
      </c>
      <c r="H68" s="29" t="s">
        <v>1129</v>
      </c>
      <c r="I68" s="206" t="s">
        <v>1130</v>
      </c>
      <c r="J68" s="213"/>
      <c r="K68" s="32">
        <v>47.01</v>
      </c>
      <c r="L68" s="213"/>
      <c r="M68" s="213" t="s">
        <v>288</v>
      </c>
    </row>
    <row r="69" spans="1:13">
      <c r="A69" s="206" t="s">
        <v>1135</v>
      </c>
      <c r="B69" s="206" t="s">
        <v>1136</v>
      </c>
      <c r="C69" s="207" t="s">
        <v>2057</v>
      </c>
      <c r="D69" s="248" t="s">
        <v>123</v>
      </c>
      <c r="E69" s="206" t="s">
        <v>796</v>
      </c>
      <c r="F69" s="249" t="s">
        <v>132</v>
      </c>
      <c r="G69" s="29" t="s">
        <v>2058</v>
      </c>
      <c r="H69" s="206" t="s">
        <v>1137</v>
      </c>
      <c r="I69" s="203" t="s">
        <v>1138</v>
      </c>
      <c r="J69" s="213"/>
      <c r="K69" s="32">
        <v>66.989999999999995</v>
      </c>
      <c r="L69" s="213"/>
      <c r="M69" s="213" t="s">
        <v>288</v>
      </c>
    </row>
    <row r="70" spans="1:13">
      <c r="A70" s="206" t="s">
        <v>1143</v>
      </c>
      <c r="B70" s="207" t="s">
        <v>1144</v>
      </c>
      <c r="C70" s="207" t="s">
        <v>2059</v>
      </c>
      <c r="D70" s="248" t="s">
        <v>123</v>
      </c>
      <c r="E70" s="206" t="s">
        <v>131</v>
      </c>
      <c r="F70" s="249" t="s">
        <v>132</v>
      </c>
      <c r="G70" s="29" t="s">
        <v>2060</v>
      </c>
      <c r="H70" s="206" t="s">
        <v>1145</v>
      </c>
      <c r="I70" s="203" t="s">
        <v>1146</v>
      </c>
      <c r="J70" s="213"/>
      <c r="K70" s="32">
        <v>66.989999999999995</v>
      </c>
      <c r="L70" s="213"/>
      <c r="M70" s="213" t="s">
        <v>288</v>
      </c>
    </row>
    <row r="71" spans="1:13">
      <c r="A71" s="199" t="s">
        <v>1147</v>
      </c>
      <c r="B71" s="200" t="s">
        <v>1148</v>
      </c>
      <c r="C71" s="199" t="s">
        <v>2061</v>
      </c>
      <c r="D71" s="21"/>
      <c r="E71" s="22" t="s">
        <v>131</v>
      </c>
      <c r="F71" s="204" t="s">
        <v>285</v>
      </c>
      <c r="G71" s="200" t="s">
        <v>2062</v>
      </c>
      <c r="H71" s="200" t="s">
        <v>1149</v>
      </c>
      <c r="I71" s="203" t="s">
        <v>1150</v>
      </c>
      <c r="J71" s="17"/>
      <c r="K71" s="32">
        <v>66.989999999999995</v>
      </c>
      <c r="L71" s="213"/>
      <c r="M71" s="213" t="s">
        <v>288</v>
      </c>
    </row>
    <row r="72" spans="1:13">
      <c r="A72" s="206" t="s">
        <v>1151</v>
      </c>
      <c r="B72" s="206" t="s">
        <v>1152</v>
      </c>
      <c r="C72" s="207" t="s">
        <v>2063</v>
      </c>
      <c r="D72" s="248" t="s">
        <v>123</v>
      </c>
      <c r="E72" s="206" t="s">
        <v>177</v>
      </c>
      <c r="F72" s="249" t="s">
        <v>132</v>
      </c>
      <c r="G72" s="29" t="s">
        <v>2064</v>
      </c>
      <c r="H72" s="206" t="s">
        <v>1153</v>
      </c>
      <c r="I72" s="203" t="s">
        <v>1154</v>
      </c>
      <c r="J72" s="213" t="s">
        <v>1931</v>
      </c>
      <c r="K72" s="32">
        <v>77</v>
      </c>
      <c r="L72" s="213"/>
      <c r="M72" s="213" t="s">
        <v>288</v>
      </c>
    </row>
    <row r="73" spans="1:13">
      <c r="A73" s="206" t="s">
        <v>1155</v>
      </c>
      <c r="B73" s="207" t="s">
        <v>1132</v>
      </c>
      <c r="C73" s="207" t="s">
        <v>2065</v>
      </c>
      <c r="D73" s="248" t="s">
        <v>123</v>
      </c>
      <c r="E73" s="206" t="s">
        <v>177</v>
      </c>
      <c r="F73" s="249" t="s">
        <v>458</v>
      </c>
      <c r="H73" s="206" t="s">
        <v>1156</v>
      </c>
      <c r="I73" s="203" t="s">
        <v>1157</v>
      </c>
      <c r="J73" s="213"/>
      <c r="K73" s="32">
        <v>66.989999999999995</v>
      </c>
      <c r="L73" s="213"/>
      <c r="M73" s="213" t="s">
        <v>288</v>
      </c>
    </row>
    <row r="74" spans="1:13">
      <c r="A74" s="206" t="s">
        <v>1158</v>
      </c>
      <c r="B74" s="207" t="s">
        <v>1159</v>
      </c>
      <c r="C74" s="207" t="s">
        <v>2066</v>
      </c>
      <c r="D74" s="248" t="s">
        <v>123</v>
      </c>
      <c r="E74" s="206" t="s">
        <v>796</v>
      </c>
      <c r="F74" s="249" t="s">
        <v>458</v>
      </c>
      <c r="G74" s="34" t="s">
        <v>2067</v>
      </c>
      <c r="H74" s="206" t="s">
        <v>1160</v>
      </c>
      <c r="I74" s="203" t="s">
        <v>1161</v>
      </c>
      <c r="J74" s="213"/>
      <c r="K74" s="32">
        <v>77</v>
      </c>
      <c r="L74" s="213"/>
      <c r="M74" s="213" t="s">
        <v>288</v>
      </c>
    </row>
    <row r="75" spans="1:13">
      <c r="A75" s="199" t="s">
        <v>1162</v>
      </c>
      <c r="B75" s="200" t="s">
        <v>1163</v>
      </c>
      <c r="C75" s="201" t="s">
        <v>2068</v>
      </c>
      <c r="D75" s="21" t="s">
        <v>123</v>
      </c>
      <c r="E75" s="22" t="s">
        <v>131</v>
      </c>
      <c r="F75" s="202" t="s">
        <v>125</v>
      </c>
      <c r="G75" s="200" t="s">
        <v>2069</v>
      </c>
      <c r="H75" s="200" t="s">
        <v>1164</v>
      </c>
      <c r="I75" s="203" t="s">
        <v>1165</v>
      </c>
      <c r="J75" s="17"/>
      <c r="K75" s="32">
        <v>47.01</v>
      </c>
      <c r="L75" s="213"/>
      <c r="M75" s="213" t="s">
        <v>288</v>
      </c>
    </row>
    <row r="76" spans="1:13">
      <c r="A76" s="199" t="s">
        <v>1166</v>
      </c>
      <c r="B76" s="205" t="s">
        <v>1167</v>
      </c>
      <c r="C76" s="201" t="s">
        <v>2070</v>
      </c>
      <c r="D76" s="21" t="s">
        <v>123</v>
      </c>
      <c r="E76" s="22" t="s">
        <v>131</v>
      </c>
      <c r="F76" s="202" t="s">
        <v>285</v>
      </c>
      <c r="G76" s="200" t="s">
        <v>2071</v>
      </c>
      <c r="H76" s="200" t="s">
        <v>1168</v>
      </c>
      <c r="I76" s="203" t="s">
        <v>1165</v>
      </c>
      <c r="J76" s="17"/>
      <c r="K76" s="32">
        <v>47.01</v>
      </c>
      <c r="L76" s="213"/>
      <c r="M76" s="213" t="s">
        <v>288</v>
      </c>
    </row>
    <row r="77" spans="1:13">
      <c r="A77" s="201" t="s">
        <v>1184</v>
      </c>
      <c r="B77" s="200" t="s">
        <v>1185</v>
      </c>
      <c r="C77" s="201" t="s">
        <v>2072</v>
      </c>
      <c r="D77" s="21" t="s">
        <v>123</v>
      </c>
      <c r="E77" s="22" t="s">
        <v>1186</v>
      </c>
      <c r="F77" s="202" t="s">
        <v>820</v>
      </c>
      <c r="G77" s="200" t="s">
        <v>2073</v>
      </c>
      <c r="H77" s="200" t="s">
        <v>1187</v>
      </c>
      <c r="I77" s="203" t="s">
        <v>1188</v>
      </c>
      <c r="J77" s="17"/>
      <c r="K77" s="32">
        <v>77</v>
      </c>
      <c r="L77" s="213"/>
      <c r="M77" s="213"/>
    </row>
    <row r="78" spans="1:13">
      <c r="A78" s="206" t="s">
        <v>1189</v>
      </c>
      <c r="B78" s="207" t="s">
        <v>1190</v>
      </c>
      <c r="C78" s="207" t="s">
        <v>2074</v>
      </c>
      <c r="D78" s="248" t="s">
        <v>123</v>
      </c>
      <c r="E78" s="206" t="s">
        <v>177</v>
      </c>
      <c r="F78" s="249" t="s">
        <v>285</v>
      </c>
      <c r="G78" s="29" t="s">
        <v>2075</v>
      </c>
      <c r="H78" s="206" t="s">
        <v>1191</v>
      </c>
      <c r="I78" s="203" t="s">
        <v>1192</v>
      </c>
      <c r="J78" s="213"/>
      <c r="K78" s="198" t="s">
        <v>268</v>
      </c>
      <c r="L78" s="213"/>
      <c r="M78" s="213"/>
    </row>
    <row r="79" spans="1:13">
      <c r="A79" s="206" t="s">
        <v>1234</v>
      </c>
      <c r="B79" s="207" t="s">
        <v>1235</v>
      </c>
      <c r="C79" s="207" t="s">
        <v>2076</v>
      </c>
      <c r="D79" s="248" t="s">
        <v>123</v>
      </c>
      <c r="E79" s="206" t="s">
        <v>177</v>
      </c>
      <c r="F79" s="249" t="s">
        <v>178</v>
      </c>
      <c r="G79" s="29" t="s">
        <v>2077</v>
      </c>
      <c r="H79" s="206" t="s">
        <v>1236</v>
      </c>
      <c r="I79" s="203" t="s">
        <v>1237</v>
      </c>
      <c r="J79" s="213"/>
      <c r="K79" s="32">
        <v>47.01</v>
      </c>
      <c r="L79" s="213"/>
      <c r="M79" s="213"/>
    </row>
    <row r="80" spans="1:13">
      <c r="A80" s="206" t="s">
        <v>1238</v>
      </c>
      <c r="B80" s="207" t="s">
        <v>1239</v>
      </c>
      <c r="C80" s="207" t="s">
        <v>2078</v>
      </c>
      <c r="D80" s="248" t="s">
        <v>123</v>
      </c>
      <c r="E80" s="206" t="s">
        <v>131</v>
      </c>
      <c r="F80" s="249" t="s">
        <v>195</v>
      </c>
      <c r="G80" s="29" t="s">
        <v>2079</v>
      </c>
      <c r="H80" s="206" t="s">
        <v>1240</v>
      </c>
      <c r="I80" s="203" t="s">
        <v>1241</v>
      </c>
      <c r="J80" s="213"/>
      <c r="K80" s="32">
        <v>66.989999999999995</v>
      </c>
      <c r="L80" s="213"/>
      <c r="M80" s="213"/>
    </row>
    <row r="81" spans="1:13">
      <c r="A81" s="207" t="s">
        <v>1243</v>
      </c>
      <c r="B81" s="206" t="s">
        <v>1244</v>
      </c>
      <c r="C81" s="207" t="s">
        <v>2080</v>
      </c>
      <c r="D81" s="248" t="s">
        <v>123</v>
      </c>
      <c r="E81" s="206" t="s">
        <v>1245</v>
      </c>
      <c r="F81" s="202" t="s">
        <v>815</v>
      </c>
      <c r="G81" s="29" t="s">
        <v>2081</v>
      </c>
      <c r="H81" s="206" t="s">
        <v>1246</v>
      </c>
      <c r="I81" s="203" t="s">
        <v>1247</v>
      </c>
      <c r="J81" s="213"/>
      <c r="K81" s="32">
        <v>47.01</v>
      </c>
      <c r="L81" s="213"/>
      <c r="M81" s="213"/>
    </row>
    <row r="82" spans="1:13">
      <c r="A82" s="206" t="s">
        <v>1248</v>
      </c>
      <c r="B82" s="206" t="s">
        <v>1244</v>
      </c>
      <c r="C82" s="207" t="s">
        <v>2082</v>
      </c>
      <c r="D82" s="248" t="s">
        <v>123</v>
      </c>
      <c r="E82" s="206" t="s">
        <v>1245</v>
      </c>
      <c r="F82" s="202" t="s">
        <v>815</v>
      </c>
      <c r="G82" s="29" t="s">
        <v>2081</v>
      </c>
      <c r="H82" s="206" t="s">
        <v>1249</v>
      </c>
      <c r="I82" s="203" t="s">
        <v>1250</v>
      </c>
      <c r="J82" s="213"/>
      <c r="K82" s="32">
        <v>47.01</v>
      </c>
      <c r="L82" s="213"/>
      <c r="M82" s="213"/>
    </row>
    <row r="83" spans="1:13">
      <c r="A83" s="206" t="s">
        <v>1254</v>
      </c>
      <c r="B83" s="206" t="s">
        <v>1255</v>
      </c>
      <c r="C83" s="207" t="s">
        <v>2083</v>
      </c>
      <c r="D83" s="248" t="s">
        <v>123</v>
      </c>
      <c r="E83" s="206" t="s">
        <v>373</v>
      </c>
      <c r="F83" s="249" t="s">
        <v>458</v>
      </c>
      <c r="G83" s="29" t="s">
        <v>2084</v>
      </c>
      <c r="H83" s="206" t="s">
        <v>1256</v>
      </c>
      <c r="I83" s="203" t="s">
        <v>1257</v>
      </c>
      <c r="J83" s="213"/>
      <c r="K83" s="32">
        <v>91</v>
      </c>
      <c r="L83" s="213"/>
      <c r="M83" s="213"/>
    </row>
    <row r="84" spans="1:13">
      <c r="A84" s="199" t="s">
        <v>1258</v>
      </c>
      <c r="B84" s="200" t="s">
        <v>1259</v>
      </c>
      <c r="C84" s="201" t="s">
        <v>2085</v>
      </c>
      <c r="D84" s="21" t="s">
        <v>123</v>
      </c>
      <c r="E84" s="22" t="s">
        <v>1186</v>
      </c>
      <c r="F84" s="202" t="s">
        <v>820</v>
      </c>
      <c r="G84" s="200" t="s">
        <v>2086</v>
      </c>
      <c r="H84" s="200" t="s">
        <v>1260</v>
      </c>
      <c r="I84" s="203" t="s">
        <v>1261</v>
      </c>
      <c r="J84" s="17"/>
      <c r="K84" s="32">
        <v>47.01</v>
      </c>
      <c r="L84" s="213"/>
      <c r="M84" s="213"/>
    </row>
    <row r="85" spans="1:13">
      <c r="A85" s="199" t="s">
        <v>1262</v>
      </c>
      <c r="B85" s="200" t="s">
        <v>1263</v>
      </c>
      <c r="C85" s="201" t="s">
        <v>2087</v>
      </c>
      <c r="D85" s="21" t="s">
        <v>123</v>
      </c>
      <c r="E85" s="22" t="s">
        <v>1264</v>
      </c>
      <c r="F85" s="202" t="s">
        <v>132</v>
      </c>
      <c r="G85" s="200" t="s">
        <v>2088</v>
      </c>
      <c r="H85" s="200" t="s">
        <v>1265</v>
      </c>
      <c r="I85" s="203" t="s">
        <v>1165</v>
      </c>
      <c r="J85" s="17"/>
      <c r="K85" s="32">
        <v>47.01</v>
      </c>
      <c r="L85" s="213"/>
      <c r="M85" s="213" t="s">
        <v>288</v>
      </c>
    </row>
    <row r="86" spans="1:13">
      <c r="A86" s="206" t="s">
        <v>1270</v>
      </c>
      <c r="B86" s="206" t="s">
        <v>1271</v>
      </c>
      <c r="C86" s="207" t="s">
        <v>2089</v>
      </c>
      <c r="D86" s="248" t="s">
        <v>123</v>
      </c>
      <c r="E86" s="206" t="s">
        <v>796</v>
      </c>
      <c r="F86" s="249" t="s">
        <v>125</v>
      </c>
      <c r="G86" s="29" t="s">
        <v>2090</v>
      </c>
      <c r="H86" s="206" t="s">
        <v>1272</v>
      </c>
      <c r="I86" s="203" t="s">
        <v>1273</v>
      </c>
      <c r="J86" s="213"/>
      <c r="K86" s="32">
        <v>47.01</v>
      </c>
      <c r="L86" s="213"/>
      <c r="M86" s="213" t="s">
        <v>288</v>
      </c>
    </row>
    <row r="87" spans="1:13">
      <c r="A87" s="206" t="s">
        <v>1276</v>
      </c>
      <c r="B87" s="207" t="s">
        <v>1277</v>
      </c>
      <c r="C87" s="207" t="s">
        <v>2091</v>
      </c>
      <c r="D87" s="248" t="s">
        <v>123</v>
      </c>
      <c r="E87" s="206" t="s">
        <v>796</v>
      </c>
      <c r="F87" s="249" t="s">
        <v>178</v>
      </c>
      <c r="H87" s="206" t="s">
        <v>1278</v>
      </c>
      <c r="I87" s="203" t="s">
        <v>1279</v>
      </c>
      <c r="J87" s="213"/>
      <c r="K87" s="32">
        <v>77</v>
      </c>
      <c r="L87" s="213"/>
      <c r="M87" s="213" t="s">
        <v>288</v>
      </c>
    </row>
    <row r="88" spans="1:13" ht="30">
      <c r="A88" s="199" t="s">
        <v>1280</v>
      </c>
      <c r="B88" s="205" t="s">
        <v>1281</v>
      </c>
      <c r="C88" s="201" t="s">
        <v>2092</v>
      </c>
      <c r="D88" s="21" t="s">
        <v>123</v>
      </c>
      <c r="E88" s="22" t="s">
        <v>177</v>
      </c>
      <c r="F88" s="204" t="s">
        <v>285</v>
      </c>
      <c r="G88" s="200" t="s">
        <v>2093</v>
      </c>
      <c r="H88" s="200" t="s">
        <v>1282</v>
      </c>
      <c r="I88" s="203" t="s">
        <v>1150</v>
      </c>
      <c r="J88" s="17"/>
      <c r="K88" s="198" t="s">
        <v>268</v>
      </c>
      <c r="L88" s="213"/>
      <c r="M88" s="213" t="s">
        <v>288</v>
      </c>
    </row>
    <row r="89" spans="1:13" ht="30">
      <c r="A89" s="206" t="s">
        <v>1289</v>
      </c>
      <c r="B89" s="207" t="s">
        <v>1290</v>
      </c>
      <c r="C89" s="207" t="s">
        <v>2094</v>
      </c>
      <c r="D89" s="248" t="s">
        <v>123</v>
      </c>
      <c r="E89" s="206" t="s">
        <v>814</v>
      </c>
      <c r="F89" s="249" t="s">
        <v>125</v>
      </c>
      <c r="G89" s="29" t="s">
        <v>2095</v>
      </c>
      <c r="H89" s="29" t="s">
        <v>1291</v>
      </c>
      <c r="I89" s="35" t="s">
        <v>1292</v>
      </c>
      <c r="J89" s="213"/>
      <c r="K89" s="32">
        <v>47.01</v>
      </c>
      <c r="L89" s="213"/>
      <c r="M89" s="213" t="s">
        <v>288</v>
      </c>
    </row>
    <row r="90" spans="1:13">
      <c r="A90" s="206" t="s">
        <v>1293</v>
      </c>
      <c r="B90" s="206" t="s">
        <v>1294</v>
      </c>
      <c r="C90" s="207" t="s">
        <v>2096</v>
      </c>
      <c r="D90" s="248" t="s">
        <v>123</v>
      </c>
      <c r="E90" s="206" t="s">
        <v>177</v>
      </c>
      <c r="F90" s="249" t="s">
        <v>458</v>
      </c>
      <c r="G90" s="34" t="s">
        <v>2097</v>
      </c>
      <c r="H90" s="206" t="s">
        <v>1295</v>
      </c>
      <c r="I90" s="203" t="s">
        <v>534</v>
      </c>
      <c r="J90" s="213"/>
      <c r="K90" s="32">
        <v>77</v>
      </c>
      <c r="L90" s="213"/>
      <c r="M90" s="213" t="s">
        <v>288</v>
      </c>
    </row>
    <row r="91" spans="1:13">
      <c r="A91" s="206" t="s">
        <v>1293</v>
      </c>
      <c r="B91" s="206" t="s">
        <v>1294</v>
      </c>
      <c r="C91" s="207" t="s">
        <v>2098</v>
      </c>
      <c r="D91" s="248" t="s">
        <v>123</v>
      </c>
      <c r="E91" s="206" t="s">
        <v>177</v>
      </c>
      <c r="F91" s="249" t="s">
        <v>195</v>
      </c>
      <c r="G91" s="29" t="s">
        <v>2099</v>
      </c>
      <c r="H91" s="206" t="s">
        <v>2100</v>
      </c>
      <c r="I91" s="203" t="s">
        <v>2101</v>
      </c>
      <c r="J91" s="213"/>
      <c r="K91" s="32">
        <v>77</v>
      </c>
      <c r="L91" s="213"/>
      <c r="M91" s="213" t="s">
        <v>288</v>
      </c>
    </row>
    <row r="92" spans="1:13">
      <c r="A92" s="206" t="s">
        <v>1311</v>
      </c>
      <c r="B92" s="207" t="s">
        <v>1312</v>
      </c>
      <c r="C92" s="207" t="s">
        <v>2102</v>
      </c>
      <c r="D92" s="248" t="s">
        <v>123</v>
      </c>
      <c r="E92" s="206" t="s">
        <v>796</v>
      </c>
      <c r="F92" s="249" t="s">
        <v>285</v>
      </c>
      <c r="G92" s="34" t="s">
        <v>2103</v>
      </c>
      <c r="H92" s="29" t="s">
        <v>1313</v>
      </c>
      <c r="I92" s="203" t="s">
        <v>1314</v>
      </c>
      <c r="J92" s="213"/>
      <c r="K92" s="32">
        <v>47.01</v>
      </c>
      <c r="L92" s="213"/>
      <c r="M92" s="213" t="s">
        <v>288</v>
      </c>
    </row>
    <row r="93" spans="1:13">
      <c r="A93" s="201" t="s">
        <v>1315</v>
      </c>
      <c r="B93" s="200" t="s">
        <v>1316</v>
      </c>
      <c r="C93" s="199" t="s">
        <v>2104</v>
      </c>
      <c r="D93" s="21" t="s">
        <v>123</v>
      </c>
      <c r="E93" s="22" t="s">
        <v>796</v>
      </c>
      <c r="F93" s="204" t="s">
        <v>285</v>
      </c>
      <c r="G93" s="200" t="s">
        <v>2104</v>
      </c>
      <c r="H93" s="200" t="s">
        <v>1317</v>
      </c>
      <c r="I93" s="203" t="s">
        <v>1114</v>
      </c>
      <c r="J93" s="17"/>
      <c r="K93" s="32">
        <v>80</v>
      </c>
      <c r="L93" s="213"/>
      <c r="M93" s="213" t="s">
        <v>288</v>
      </c>
    </row>
    <row r="94" spans="1:13">
      <c r="A94" s="206" t="s">
        <v>1318</v>
      </c>
      <c r="B94" s="206" t="s">
        <v>1319</v>
      </c>
      <c r="C94" s="207" t="s">
        <v>2105</v>
      </c>
      <c r="D94" s="248" t="s">
        <v>123</v>
      </c>
      <c r="E94" s="206" t="s">
        <v>796</v>
      </c>
      <c r="F94" s="249" t="s">
        <v>125</v>
      </c>
      <c r="G94" s="29" t="s">
        <v>2106</v>
      </c>
      <c r="H94" s="206" t="s">
        <v>1320</v>
      </c>
      <c r="I94" s="203" t="s">
        <v>1321</v>
      </c>
      <c r="J94" s="213"/>
      <c r="K94" s="32">
        <v>47.01</v>
      </c>
      <c r="L94" s="213"/>
      <c r="M94" s="213" t="s">
        <v>288</v>
      </c>
    </row>
    <row r="95" spans="1:13">
      <c r="A95" s="206" t="s">
        <v>1322</v>
      </c>
      <c r="B95" s="206" t="s">
        <v>1323</v>
      </c>
      <c r="C95" s="207" t="s">
        <v>2107</v>
      </c>
      <c r="D95" s="248" t="s">
        <v>123</v>
      </c>
      <c r="E95" s="206" t="s">
        <v>796</v>
      </c>
      <c r="F95" s="249" t="s">
        <v>132</v>
      </c>
      <c r="G95" s="29" t="s">
        <v>2108</v>
      </c>
      <c r="H95" s="206" t="s">
        <v>1324</v>
      </c>
      <c r="I95" s="203" t="s">
        <v>1325</v>
      </c>
      <c r="J95" s="213"/>
      <c r="K95" s="32">
        <v>77</v>
      </c>
      <c r="L95" s="213"/>
      <c r="M95" s="213" t="s">
        <v>288</v>
      </c>
    </row>
    <row r="96" spans="1:13">
      <c r="A96" s="206" t="s">
        <v>1336</v>
      </c>
      <c r="B96" s="207" t="s">
        <v>1337</v>
      </c>
      <c r="C96" s="207" t="s">
        <v>2109</v>
      </c>
      <c r="D96" s="248" t="s">
        <v>123</v>
      </c>
      <c r="E96" s="206" t="s">
        <v>796</v>
      </c>
      <c r="F96" s="249" t="s">
        <v>132</v>
      </c>
      <c r="G96" s="29" t="s">
        <v>2110</v>
      </c>
      <c r="H96" s="206" t="s">
        <v>1338</v>
      </c>
      <c r="I96" s="203" t="s">
        <v>1339</v>
      </c>
      <c r="J96" s="213"/>
      <c r="K96" s="32">
        <v>77</v>
      </c>
      <c r="L96" s="213"/>
      <c r="M96" s="213" t="s">
        <v>288</v>
      </c>
    </row>
    <row r="97" spans="1:13">
      <c r="A97" s="206" t="s">
        <v>1340</v>
      </c>
      <c r="B97" s="207" t="s">
        <v>1341</v>
      </c>
      <c r="C97" s="207" t="s">
        <v>2111</v>
      </c>
      <c r="D97" s="248" t="s">
        <v>123</v>
      </c>
      <c r="E97" s="206" t="s">
        <v>796</v>
      </c>
      <c r="F97" s="249" t="s">
        <v>132</v>
      </c>
      <c r="G97" s="34" t="s">
        <v>2112</v>
      </c>
      <c r="H97" s="206" t="s">
        <v>1342</v>
      </c>
      <c r="I97" s="203" t="s">
        <v>1343</v>
      </c>
      <c r="J97" s="213"/>
      <c r="K97" s="32">
        <v>47.01</v>
      </c>
      <c r="L97" s="213"/>
      <c r="M97" s="213" t="s">
        <v>288</v>
      </c>
    </row>
    <row r="98" spans="1:13">
      <c r="A98" s="206" t="s">
        <v>1353</v>
      </c>
      <c r="B98" s="207" t="s">
        <v>1354</v>
      </c>
      <c r="C98" s="207" t="s">
        <v>2113</v>
      </c>
      <c r="D98" s="248" t="s">
        <v>123</v>
      </c>
      <c r="E98" s="206" t="s">
        <v>131</v>
      </c>
      <c r="F98" s="249" t="s">
        <v>178</v>
      </c>
      <c r="H98" s="206" t="s">
        <v>1355</v>
      </c>
      <c r="I98" s="203" t="s">
        <v>1356</v>
      </c>
      <c r="J98" s="213"/>
      <c r="K98" s="32">
        <v>47.01</v>
      </c>
      <c r="L98" s="213"/>
      <c r="M98" s="213" t="s">
        <v>288</v>
      </c>
    </row>
    <row r="99" spans="1:13">
      <c r="A99" s="206" t="s">
        <v>1357</v>
      </c>
      <c r="B99" s="207" t="s">
        <v>1358</v>
      </c>
      <c r="C99" s="207" t="s">
        <v>2114</v>
      </c>
      <c r="D99" s="248" t="s">
        <v>123</v>
      </c>
      <c r="E99" s="206" t="s">
        <v>131</v>
      </c>
      <c r="F99" s="249" t="s">
        <v>178</v>
      </c>
      <c r="G99" s="29" t="s">
        <v>2115</v>
      </c>
      <c r="H99" s="206" t="s">
        <v>1359</v>
      </c>
      <c r="I99" s="203" t="s">
        <v>1224</v>
      </c>
      <c r="J99" s="213"/>
      <c r="K99" s="32">
        <v>73.680000000000007</v>
      </c>
      <c r="L99" s="213"/>
      <c r="M99" s="213" t="s">
        <v>288</v>
      </c>
    </row>
    <row r="100" spans="1:13">
      <c r="A100" s="206" t="s">
        <v>1364</v>
      </c>
      <c r="B100" s="206" t="s">
        <v>1365</v>
      </c>
      <c r="C100" s="207" t="s">
        <v>2116</v>
      </c>
      <c r="D100" s="248" t="s">
        <v>123</v>
      </c>
      <c r="E100" s="206" t="s">
        <v>796</v>
      </c>
      <c r="F100" s="249" t="s">
        <v>132</v>
      </c>
      <c r="G100" s="29" t="s">
        <v>2117</v>
      </c>
      <c r="H100" s="206" t="s">
        <v>1366</v>
      </c>
      <c r="I100" s="203" t="s">
        <v>1367</v>
      </c>
      <c r="J100" s="213" t="s">
        <v>1931</v>
      </c>
      <c r="K100" s="32">
        <v>73.680000000000007</v>
      </c>
      <c r="L100" s="213"/>
      <c r="M100" s="213" t="s">
        <v>288</v>
      </c>
    </row>
    <row r="101" spans="1:13" ht="30">
      <c r="A101" s="206" t="s">
        <v>1372</v>
      </c>
      <c r="B101" s="207" t="s">
        <v>1373</v>
      </c>
      <c r="C101" s="207" t="s">
        <v>2118</v>
      </c>
      <c r="D101" s="248" t="s">
        <v>123</v>
      </c>
      <c r="E101" s="206" t="s">
        <v>177</v>
      </c>
      <c r="F101" s="249" t="s">
        <v>178</v>
      </c>
      <c r="G101" s="29" t="s">
        <v>2119</v>
      </c>
      <c r="H101" s="206" t="s">
        <v>1374</v>
      </c>
      <c r="I101" s="203" t="s">
        <v>1375</v>
      </c>
      <c r="J101" s="213"/>
      <c r="K101" s="32">
        <v>47.01</v>
      </c>
      <c r="L101" s="213"/>
      <c r="M101" s="213" t="s">
        <v>288</v>
      </c>
    </row>
    <row r="102" spans="1:13">
      <c r="A102" s="206" t="s">
        <v>1376</v>
      </c>
      <c r="B102" s="207" t="s">
        <v>1377</v>
      </c>
      <c r="C102" s="207" t="s">
        <v>2120</v>
      </c>
      <c r="D102" s="248" t="s">
        <v>123</v>
      </c>
      <c r="E102" s="206" t="s">
        <v>796</v>
      </c>
      <c r="F102" s="249" t="s">
        <v>458</v>
      </c>
      <c r="H102" s="206" t="s">
        <v>1378</v>
      </c>
      <c r="I102" s="203" t="s">
        <v>1379</v>
      </c>
      <c r="J102" s="213"/>
      <c r="K102" s="198" t="s">
        <v>268</v>
      </c>
      <c r="L102" s="213"/>
      <c r="M102" s="213" t="s">
        <v>288</v>
      </c>
    </row>
    <row r="103" spans="1:13">
      <c r="A103" s="206" t="s">
        <v>1380</v>
      </c>
      <c r="B103" s="207" t="s">
        <v>1381</v>
      </c>
      <c r="C103" s="207" t="s">
        <v>2121</v>
      </c>
      <c r="D103" s="248" t="s">
        <v>123</v>
      </c>
      <c r="E103" s="206" t="s">
        <v>796</v>
      </c>
      <c r="F103" s="249" t="s">
        <v>195</v>
      </c>
      <c r="G103" s="34" t="s">
        <v>2122</v>
      </c>
      <c r="H103" s="206" t="s">
        <v>1382</v>
      </c>
      <c r="I103" s="203" t="s">
        <v>1383</v>
      </c>
      <c r="J103" s="213" t="s">
        <v>1931</v>
      </c>
      <c r="K103" s="32">
        <v>73.680000000000007</v>
      </c>
      <c r="L103" s="213"/>
      <c r="M103" s="213" t="s">
        <v>288</v>
      </c>
    </row>
    <row r="104" spans="1:13">
      <c r="A104" s="206" t="s">
        <v>1384</v>
      </c>
      <c r="B104" s="207" t="s">
        <v>1385</v>
      </c>
      <c r="C104" s="207" t="s">
        <v>2123</v>
      </c>
      <c r="D104" s="248" t="s">
        <v>123</v>
      </c>
      <c r="E104" s="206" t="s">
        <v>796</v>
      </c>
      <c r="F104" s="249" t="s">
        <v>285</v>
      </c>
      <c r="G104" s="29" t="s">
        <v>2124</v>
      </c>
      <c r="H104" s="206" t="s">
        <v>1386</v>
      </c>
      <c r="I104" s="203" t="s">
        <v>1387</v>
      </c>
      <c r="J104" s="213"/>
      <c r="K104" s="32">
        <v>77</v>
      </c>
      <c r="L104" s="213"/>
      <c r="M104" s="213" t="s">
        <v>288</v>
      </c>
    </row>
    <row r="105" spans="1:13">
      <c r="A105" s="206" t="s">
        <v>1393</v>
      </c>
      <c r="B105" s="207" t="s">
        <v>1394</v>
      </c>
      <c r="C105" s="207" t="s">
        <v>2125</v>
      </c>
      <c r="D105" s="248" t="s">
        <v>123</v>
      </c>
      <c r="E105" s="206" t="s">
        <v>796</v>
      </c>
      <c r="F105" s="249" t="s">
        <v>285</v>
      </c>
      <c r="H105" s="206" t="s">
        <v>1395</v>
      </c>
      <c r="I105" s="203" t="s">
        <v>1396</v>
      </c>
      <c r="J105" s="213"/>
      <c r="K105" s="32">
        <v>77</v>
      </c>
      <c r="L105" s="213"/>
      <c r="M105" s="213" t="s">
        <v>288</v>
      </c>
    </row>
    <row r="106" spans="1:13">
      <c r="A106" s="206" t="s">
        <v>1400</v>
      </c>
      <c r="B106" s="207" t="s">
        <v>1401</v>
      </c>
      <c r="C106" s="207" t="s">
        <v>2126</v>
      </c>
      <c r="D106" s="248" t="s">
        <v>123</v>
      </c>
      <c r="E106" s="206" t="s">
        <v>796</v>
      </c>
      <c r="F106" s="249" t="s">
        <v>132</v>
      </c>
      <c r="G106" s="29" t="s">
        <v>2127</v>
      </c>
      <c r="H106" s="29" t="s">
        <v>1402</v>
      </c>
      <c r="I106" s="35" t="s">
        <v>1292</v>
      </c>
      <c r="J106" s="213"/>
      <c r="K106" s="32">
        <v>47.01</v>
      </c>
      <c r="L106" s="213"/>
      <c r="M106" s="213" t="s">
        <v>288</v>
      </c>
    </row>
    <row r="107" spans="1:13">
      <c r="A107" s="206" t="s">
        <v>1403</v>
      </c>
      <c r="B107" s="206" t="s">
        <v>1404</v>
      </c>
      <c r="C107" s="207" t="s">
        <v>2128</v>
      </c>
      <c r="D107" s="248" t="s">
        <v>123</v>
      </c>
      <c r="E107" s="206" t="s">
        <v>131</v>
      </c>
      <c r="F107" s="249" t="s">
        <v>125</v>
      </c>
      <c r="G107" s="29" t="s">
        <v>2129</v>
      </c>
      <c r="H107" s="206" t="s">
        <v>1405</v>
      </c>
      <c r="I107" s="203" t="s">
        <v>592</v>
      </c>
      <c r="J107" s="213"/>
      <c r="K107" s="32">
        <v>47.01</v>
      </c>
      <c r="L107" s="213"/>
      <c r="M107" s="213" t="s">
        <v>288</v>
      </c>
    </row>
    <row r="108" spans="1:13" ht="30">
      <c r="A108" s="206" t="s">
        <v>1406</v>
      </c>
      <c r="B108" s="205" t="s">
        <v>1407</v>
      </c>
      <c r="C108" s="17" t="s">
        <v>2130</v>
      </c>
      <c r="D108" s="21" t="s">
        <v>123</v>
      </c>
      <c r="E108" s="22" t="s">
        <v>796</v>
      </c>
      <c r="F108" s="202" t="s">
        <v>132</v>
      </c>
      <c r="G108" s="207" t="s">
        <v>2131</v>
      </c>
      <c r="H108" s="206" t="s">
        <v>1408</v>
      </c>
      <c r="I108" s="203" t="s">
        <v>1409</v>
      </c>
      <c r="J108" s="17"/>
      <c r="K108" s="32">
        <v>66.989999999999995</v>
      </c>
      <c r="L108" s="213"/>
      <c r="M108" s="213" t="s">
        <v>288</v>
      </c>
    </row>
    <row r="109" spans="1:13">
      <c r="A109" s="206" t="s">
        <v>1423</v>
      </c>
      <c r="B109" s="207" t="s">
        <v>1424</v>
      </c>
      <c r="C109" s="207" t="s">
        <v>2132</v>
      </c>
      <c r="D109" s="248" t="s">
        <v>123</v>
      </c>
      <c r="E109" s="206" t="s">
        <v>796</v>
      </c>
      <c r="F109" s="249" t="s">
        <v>285</v>
      </c>
      <c r="G109" s="29" t="s">
        <v>2133</v>
      </c>
      <c r="H109" s="206" t="s">
        <v>1425</v>
      </c>
      <c r="I109" s="203" t="s">
        <v>1426</v>
      </c>
      <c r="J109" s="213"/>
      <c r="K109" s="32">
        <v>47.01</v>
      </c>
      <c r="L109" s="213"/>
      <c r="M109" s="213" t="s">
        <v>288</v>
      </c>
    </row>
    <row r="110" spans="1:13">
      <c r="A110" s="206" t="s">
        <v>1430</v>
      </c>
      <c r="B110" s="207" t="s">
        <v>1431</v>
      </c>
      <c r="C110" s="207" t="s">
        <v>2134</v>
      </c>
      <c r="D110" s="248" t="s">
        <v>123</v>
      </c>
      <c r="E110" s="206" t="s">
        <v>796</v>
      </c>
      <c r="F110" s="249" t="s">
        <v>195</v>
      </c>
      <c r="G110" s="29" t="s">
        <v>2135</v>
      </c>
      <c r="H110" s="206" t="s">
        <v>1432</v>
      </c>
      <c r="I110" s="203" t="s">
        <v>1433</v>
      </c>
      <c r="J110" s="213"/>
      <c r="K110" s="32">
        <v>47.01</v>
      </c>
      <c r="L110" s="213"/>
      <c r="M110" s="213" t="s">
        <v>288</v>
      </c>
    </row>
    <row r="111" spans="1:13" ht="30">
      <c r="A111" s="199" t="s">
        <v>1449</v>
      </c>
      <c r="B111" s="205" t="s">
        <v>1450</v>
      </c>
      <c r="C111" s="201" t="s">
        <v>2136</v>
      </c>
      <c r="D111" s="21" t="s">
        <v>123</v>
      </c>
      <c r="E111" s="22" t="s">
        <v>796</v>
      </c>
      <c r="F111" s="204" t="s">
        <v>132</v>
      </c>
      <c r="G111" s="200" t="s">
        <v>2137</v>
      </c>
      <c r="H111" s="205" t="s">
        <v>1451</v>
      </c>
      <c r="I111" s="203" t="s">
        <v>1452</v>
      </c>
      <c r="J111" s="17"/>
      <c r="K111" s="32">
        <v>47.01</v>
      </c>
      <c r="L111" s="213"/>
      <c r="M111" s="213" t="s">
        <v>288</v>
      </c>
    </row>
    <row r="112" spans="1:13">
      <c r="A112" s="206" t="s">
        <v>1453</v>
      </c>
      <c r="B112" s="207" t="s">
        <v>1454</v>
      </c>
      <c r="C112" s="207" t="s">
        <v>2138</v>
      </c>
      <c r="D112" s="248" t="s">
        <v>123</v>
      </c>
      <c r="E112" s="206" t="s">
        <v>796</v>
      </c>
      <c r="F112" s="249" t="s">
        <v>285</v>
      </c>
      <c r="G112" s="29" t="s">
        <v>2139</v>
      </c>
      <c r="H112" s="206" t="s">
        <v>1455</v>
      </c>
      <c r="I112" s="203" t="s">
        <v>1456</v>
      </c>
      <c r="J112" s="213"/>
      <c r="K112" s="32">
        <v>47.01</v>
      </c>
      <c r="L112" s="213"/>
      <c r="M112" s="213" t="s">
        <v>288</v>
      </c>
    </row>
    <row r="113" spans="1:13">
      <c r="A113" s="206" t="s">
        <v>1476</v>
      </c>
      <c r="B113" s="206" t="s">
        <v>1477</v>
      </c>
      <c r="C113" s="207" t="s">
        <v>2140</v>
      </c>
      <c r="D113" s="248" t="s">
        <v>123</v>
      </c>
      <c r="E113" s="206" t="s">
        <v>796</v>
      </c>
      <c r="F113" s="249" t="s">
        <v>125</v>
      </c>
      <c r="H113" s="29" t="s">
        <v>1478</v>
      </c>
      <c r="I113" s="203" t="s">
        <v>1479</v>
      </c>
      <c r="J113" s="213"/>
      <c r="K113" s="32">
        <v>77</v>
      </c>
      <c r="L113" s="213"/>
      <c r="M113" s="213" t="s">
        <v>288</v>
      </c>
    </row>
    <row r="114" spans="1:13">
      <c r="A114" s="206" t="s">
        <v>1517</v>
      </c>
      <c r="B114" s="206" t="s">
        <v>1518</v>
      </c>
      <c r="C114" s="207" t="s">
        <v>2141</v>
      </c>
      <c r="D114" s="248" t="s">
        <v>123</v>
      </c>
      <c r="E114" s="206" t="s">
        <v>177</v>
      </c>
      <c r="F114" s="249" t="s">
        <v>178</v>
      </c>
      <c r="H114" s="29" t="s">
        <v>1519</v>
      </c>
      <c r="I114" s="203" t="s">
        <v>1520</v>
      </c>
      <c r="J114" s="213"/>
      <c r="K114" s="32">
        <v>66.989999999999995</v>
      </c>
      <c r="L114" s="213"/>
      <c r="M114" s="213" t="s">
        <v>288</v>
      </c>
    </row>
    <row r="115" spans="1:13">
      <c r="A115" s="206" t="s">
        <v>1525</v>
      </c>
      <c r="B115" s="207" t="s">
        <v>1526</v>
      </c>
      <c r="C115" s="207" t="s">
        <v>2142</v>
      </c>
      <c r="D115" s="248" t="s">
        <v>123</v>
      </c>
      <c r="E115" s="206" t="s">
        <v>796</v>
      </c>
      <c r="F115" s="249" t="s">
        <v>458</v>
      </c>
      <c r="H115" s="29" t="s">
        <v>1527</v>
      </c>
      <c r="I115" s="203" t="s">
        <v>1528</v>
      </c>
      <c r="J115" s="213"/>
      <c r="K115" s="32">
        <v>77</v>
      </c>
      <c r="L115" s="213"/>
      <c r="M115" s="213" t="s">
        <v>288</v>
      </c>
    </row>
    <row r="116" spans="1:13">
      <c r="A116" s="206" t="s">
        <v>1530</v>
      </c>
      <c r="B116" s="206" t="s">
        <v>1531</v>
      </c>
      <c r="C116" s="207" t="s">
        <v>2143</v>
      </c>
      <c r="D116" s="248" t="s">
        <v>123</v>
      </c>
      <c r="E116" s="206" t="s">
        <v>177</v>
      </c>
      <c r="F116" s="249" t="s">
        <v>178</v>
      </c>
      <c r="H116" s="29" t="s">
        <v>1532</v>
      </c>
      <c r="I116" s="203" t="s">
        <v>1520</v>
      </c>
      <c r="J116" s="213"/>
      <c r="K116" s="198">
        <v>77</v>
      </c>
      <c r="L116" s="213"/>
      <c r="M116" s="213" t="s">
        <v>288</v>
      </c>
    </row>
    <row r="117" spans="1:13">
      <c r="A117" s="206" t="s">
        <v>1533</v>
      </c>
      <c r="B117" s="207" t="s">
        <v>1534</v>
      </c>
      <c r="C117" s="207" t="s">
        <v>2144</v>
      </c>
      <c r="D117" s="248" t="s">
        <v>123</v>
      </c>
      <c r="E117" s="206" t="s">
        <v>796</v>
      </c>
      <c r="F117" s="249" t="s">
        <v>132</v>
      </c>
      <c r="G117" s="29" t="s">
        <v>2145</v>
      </c>
      <c r="H117" s="206" t="s">
        <v>1535</v>
      </c>
      <c r="I117" s="203" t="s">
        <v>1536</v>
      </c>
      <c r="J117" s="213"/>
      <c r="K117" s="32">
        <v>77</v>
      </c>
      <c r="L117" s="213"/>
      <c r="M117" s="213" t="s">
        <v>288</v>
      </c>
    </row>
    <row r="118" spans="1:13">
      <c r="A118" s="206" t="s">
        <v>1545</v>
      </c>
      <c r="B118" s="205" t="s">
        <v>1546</v>
      </c>
      <c r="C118" s="17" t="s">
        <v>2146</v>
      </c>
      <c r="D118" s="21" t="s">
        <v>123</v>
      </c>
      <c r="E118" s="22" t="s">
        <v>796</v>
      </c>
      <c r="F118" s="202" t="s">
        <v>132</v>
      </c>
      <c r="G118" s="207" t="s">
        <v>2147</v>
      </c>
      <c r="H118" s="206" t="s">
        <v>1547</v>
      </c>
      <c r="I118" s="203" t="s">
        <v>1548</v>
      </c>
      <c r="J118" s="17"/>
      <c r="K118" s="32">
        <v>47.01</v>
      </c>
      <c r="L118" s="213"/>
      <c r="M118" s="213" t="s">
        <v>288</v>
      </c>
    </row>
    <row r="119" spans="1:13">
      <c r="A119" s="206" t="s">
        <v>1566</v>
      </c>
      <c r="B119" s="207" t="s">
        <v>1567</v>
      </c>
      <c r="C119" s="207" t="s">
        <v>2148</v>
      </c>
      <c r="D119" s="248" t="s">
        <v>123</v>
      </c>
      <c r="E119" s="206" t="s">
        <v>796</v>
      </c>
      <c r="F119" s="249" t="s">
        <v>458</v>
      </c>
      <c r="G119" s="29" t="s">
        <v>2149</v>
      </c>
      <c r="H119" s="206" t="s">
        <v>1568</v>
      </c>
      <c r="I119" s="203" t="s">
        <v>1387</v>
      </c>
      <c r="J119" s="213"/>
      <c r="K119" s="32">
        <v>66.989999999999995</v>
      </c>
      <c r="L119" s="213"/>
      <c r="M119" s="213" t="s">
        <v>288</v>
      </c>
    </row>
    <row r="120" spans="1:13">
      <c r="A120" s="206" t="s">
        <v>1575</v>
      </c>
      <c r="B120" s="206" t="s">
        <v>1576</v>
      </c>
      <c r="C120" s="207" t="s">
        <v>2150</v>
      </c>
      <c r="D120" s="248" t="s">
        <v>123</v>
      </c>
      <c r="E120" s="206" t="s">
        <v>131</v>
      </c>
      <c r="F120" s="249" t="s">
        <v>125</v>
      </c>
      <c r="H120" s="206" t="s">
        <v>1577</v>
      </c>
      <c r="I120" s="203" t="s">
        <v>1578</v>
      </c>
      <c r="J120" s="213"/>
      <c r="K120" s="32">
        <v>66.989999999999995</v>
      </c>
      <c r="L120" s="213"/>
      <c r="M120" s="213" t="s">
        <v>288</v>
      </c>
    </row>
    <row r="121" spans="1:13">
      <c r="A121" s="206" t="s">
        <v>1595</v>
      </c>
      <c r="B121" s="207" t="s">
        <v>1596</v>
      </c>
      <c r="C121" s="207" t="s">
        <v>2151</v>
      </c>
      <c r="D121" s="248" t="s">
        <v>123</v>
      </c>
      <c r="E121" s="206" t="s">
        <v>131</v>
      </c>
      <c r="F121" s="249" t="s">
        <v>195</v>
      </c>
      <c r="H121" s="29" t="s">
        <v>1597</v>
      </c>
      <c r="I121" s="203" t="s">
        <v>1598</v>
      </c>
      <c r="J121" s="213"/>
      <c r="K121" s="32">
        <v>47.01</v>
      </c>
      <c r="L121" s="213"/>
      <c r="M121" s="213" t="s">
        <v>288</v>
      </c>
    </row>
    <row r="122" spans="1:13">
      <c r="A122" s="206" t="s">
        <v>1608</v>
      </c>
      <c r="B122" s="207" t="s">
        <v>1609</v>
      </c>
      <c r="C122" s="207" t="s">
        <v>2152</v>
      </c>
      <c r="D122" s="248" t="s">
        <v>123</v>
      </c>
      <c r="E122" s="206" t="s">
        <v>1610</v>
      </c>
      <c r="F122" s="249" t="s">
        <v>458</v>
      </c>
      <c r="G122" s="29" t="s">
        <v>2153</v>
      </c>
      <c r="H122" s="206" t="s">
        <v>1611</v>
      </c>
      <c r="I122" s="203" t="s">
        <v>1090</v>
      </c>
      <c r="J122" s="213"/>
      <c r="K122" s="32">
        <v>47.01</v>
      </c>
      <c r="L122" s="213"/>
      <c r="M122" s="213" t="s">
        <v>288</v>
      </c>
    </row>
    <row r="123" spans="1:13" ht="28.5">
      <c r="A123" s="206" t="s">
        <v>1613</v>
      </c>
      <c r="B123" s="207" t="s">
        <v>1614</v>
      </c>
      <c r="C123" s="44" t="s">
        <v>1963</v>
      </c>
      <c r="D123" s="248" t="s">
        <v>123</v>
      </c>
      <c r="E123" s="206"/>
      <c r="F123" s="249" t="s">
        <v>178</v>
      </c>
      <c r="G123" s="45" t="s">
        <v>1964</v>
      </c>
      <c r="H123" s="45" t="s">
        <v>591</v>
      </c>
      <c r="I123" s="203" t="s">
        <v>592</v>
      </c>
      <c r="J123" s="213"/>
      <c r="K123" s="32">
        <v>91</v>
      </c>
      <c r="L123" s="213"/>
      <c r="M123" s="213" t="s">
        <v>288</v>
      </c>
    </row>
    <row r="124" spans="1:13">
      <c r="A124" s="206" t="s">
        <v>1615</v>
      </c>
      <c r="B124" s="206" t="s">
        <v>1616</v>
      </c>
      <c r="C124" s="207" t="s">
        <v>2154</v>
      </c>
      <c r="D124" s="248" t="s">
        <v>123</v>
      </c>
      <c r="E124" s="206" t="s">
        <v>796</v>
      </c>
      <c r="F124" s="249" t="s">
        <v>178</v>
      </c>
      <c r="H124" s="29" t="s">
        <v>1617</v>
      </c>
      <c r="I124" s="203" t="s">
        <v>1618</v>
      </c>
      <c r="J124" s="213"/>
      <c r="K124" s="32">
        <v>77</v>
      </c>
      <c r="L124" s="213"/>
      <c r="M124" s="213" t="s">
        <v>288</v>
      </c>
    </row>
    <row r="125" spans="1:13">
      <c r="A125" s="206" t="s">
        <v>1619</v>
      </c>
      <c r="B125" s="206" t="s">
        <v>1620</v>
      </c>
      <c r="C125" s="207" t="s">
        <v>2155</v>
      </c>
      <c r="D125" s="248" t="s">
        <v>123</v>
      </c>
      <c r="E125" s="206" t="s">
        <v>796</v>
      </c>
      <c r="F125" s="249" t="s">
        <v>195</v>
      </c>
      <c r="G125" s="29" t="s">
        <v>2156</v>
      </c>
      <c r="H125" s="206" t="s">
        <v>1621</v>
      </c>
      <c r="I125" s="203" t="s">
        <v>450</v>
      </c>
      <c r="J125" s="213"/>
      <c r="K125" s="32">
        <v>77</v>
      </c>
      <c r="L125" s="213"/>
      <c r="M125" s="213" t="s">
        <v>288</v>
      </c>
    </row>
    <row r="126" spans="1:13">
      <c r="A126" s="206" t="s">
        <v>1625</v>
      </c>
      <c r="B126" s="207" t="s">
        <v>1626</v>
      </c>
      <c r="C126" s="207" t="s">
        <v>2157</v>
      </c>
      <c r="D126" s="248" t="s">
        <v>123</v>
      </c>
      <c r="E126" s="206" t="s">
        <v>796</v>
      </c>
      <c r="F126" s="249" t="s">
        <v>285</v>
      </c>
      <c r="G126" s="29" t="s">
        <v>2158</v>
      </c>
      <c r="H126" s="206" t="s">
        <v>1627</v>
      </c>
      <c r="I126" s="203" t="s">
        <v>1321</v>
      </c>
      <c r="J126" s="213" t="s">
        <v>2159</v>
      </c>
      <c r="K126" s="32">
        <v>47.01</v>
      </c>
      <c r="L126" s="213"/>
      <c r="M126" s="213" t="s">
        <v>288</v>
      </c>
    </row>
    <row r="127" spans="1:13">
      <c r="A127" s="206" t="s">
        <v>1628</v>
      </c>
      <c r="B127" s="207" t="s">
        <v>1629</v>
      </c>
      <c r="C127" s="207" t="s">
        <v>2160</v>
      </c>
      <c r="D127" s="248" t="s">
        <v>123</v>
      </c>
      <c r="E127" s="206" t="s">
        <v>796</v>
      </c>
      <c r="F127" s="249" t="s">
        <v>178</v>
      </c>
      <c r="G127" s="29" t="s">
        <v>2161</v>
      </c>
      <c r="H127" s="206" t="s">
        <v>1630</v>
      </c>
      <c r="I127" s="203" t="s">
        <v>1631</v>
      </c>
      <c r="J127" s="213"/>
      <c r="K127" s="32">
        <v>66.989999999999995</v>
      </c>
      <c r="L127" s="213"/>
      <c r="M127" s="213" t="s">
        <v>288</v>
      </c>
    </row>
    <row r="128" spans="1:13">
      <c r="A128" s="206" t="s">
        <v>1633</v>
      </c>
      <c r="B128" s="207" t="s">
        <v>1634</v>
      </c>
      <c r="C128" s="207" t="s">
        <v>2162</v>
      </c>
      <c r="D128" s="248" t="s">
        <v>123</v>
      </c>
      <c r="E128" s="206" t="s">
        <v>796</v>
      </c>
      <c r="F128" s="249" t="s">
        <v>178</v>
      </c>
      <c r="H128" s="206" t="s">
        <v>1635</v>
      </c>
      <c r="I128" s="203" t="s">
        <v>1636</v>
      </c>
      <c r="J128" s="213"/>
      <c r="K128" s="32">
        <v>47.01</v>
      </c>
      <c r="L128" s="213"/>
      <c r="M128" s="213" t="s">
        <v>288</v>
      </c>
    </row>
    <row r="129" spans="1:13">
      <c r="A129" s="206" t="s">
        <v>1637</v>
      </c>
      <c r="B129" s="207" t="s">
        <v>1638</v>
      </c>
      <c r="C129" s="207" t="s">
        <v>2163</v>
      </c>
      <c r="D129" s="248" t="s">
        <v>123</v>
      </c>
      <c r="E129" s="206" t="s">
        <v>796</v>
      </c>
      <c r="F129" s="249" t="s">
        <v>458</v>
      </c>
      <c r="G129" s="29" t="s">
        <v>2164</v>
      </c>
      <c r="H129" s="206" t="s">
        <v>1639</v>
      </c>
      <c r="I129" s="203" t="s">
        <v>1161</v>
      </c>
      <c r="J129" s="213"/>
      <c r="K129" s="32">
        <v>91</v>
      </c>
      <c r="L129" s="213"/>
      <c r="M129" s="213" t="s">
        <v>288</v>
      </c>
    </row>
    <row r="130" spans="1:13">
      <c r="A130" s="206" t="s">
        <v>1650</v>
      </c>
      <c r="B130" s="206" t="s">
        <v>1651</v>
      </c>
      <c r="C130" s="207" t="s">
        <v>2165</v>
      </c>
      <c r="D130" s="248" t="s">
        <v>123</v>
      </c>
      <c r="E130" s="206" t="s">
        <v>796</v>
      </c>
      <c r="F130" s="249" t="s">
        <v>89</v>
      </c>
      <c r="G130" s="29" t="s">
        <v>2166</v>
      </c>
      <c r="H130" s="29" t="s">
        <v>1652</v>
      </c>
      <c r="I130" s="35" t="s">
        <v>1653</v>
      </c>
      <c r="J130" s="213"/>
      <c r="K130" s="32">
        <v>77</v>
      </c>
      <c r="L130" s="213"/>
      <c r="M130" s="213" t="s">
        <v>288</v>
      </c>
    </row>
    <row r="131" spans="1:13">
      <c r="A131" s="206" t="s">
        <v>1654</v>
      </c>
      <c r="B131" s="207" t="s">
        <v>1655</v>
      </c>
      <c r="C131" s="207" t="s">
        <v>2167</v>
      </c>
      <c r="D131" s="248" t="s">
        <v>123</v>
      </c>
      <c r="E131" s="206" t="s">
        <v>177</v>
      </c>
      <c r="F131" s="249" t="s">
        <v>132</v>
      </c>
      <c r="G131" s="29" t="s">
        <v>2168</v>
      </c>
      <c r="H131" s="206" t="s">
        <v>1656</v>
      </c>
      <c r="I131" s="203" t="s">
        <v>1657</v>
      </c>
      <c r="J131" s="213"/>
      <c r="K131" s="32">
        <v>47.01</v>
      </c>
      <c r="L131" s="213"/>
      <c r="M131" s="213" t="s">
        <v>288</v>
      </c>
    </row>
    <row r="132" spans="1:13">
      <c r="A132" s="206" t="s">
        <v>1658</v>
      </c>
      <c r="B132" s="206" t="s">
        <v>1659</v>
      </c>
      <c r="C132" s="207" t="s">
        <v>2169</v>
      </c>
      <c r="D132" s="248" t="s">
        <v>123</v>
      </c>
      <c r="E132" s="206" t="s">
        <v>796</v>
      </c>
      <c r="F132" s="249" t="s">
        <v>178</v>
      </c>
      <c r="G132" s="29" t="s">
        <v>2170</v>
      </c>
      <c r="H132" s="206" t="s">
        <v>1660</v>
      </c>
      <c r="I132" s="203" t="s">
        <v>1661</v>
      </c>
      <c r="J132" s="213"/>
      <c r="K132" s="32">
        <v>77</v>
      </c>
      <c r="L132" s="213"/>
      <c r="M132" s="213" t="s">
        <v>288</v>
      </c>
    </row>
    <row r="133" spans="1:13" ht="30">
      <c r="A133" s="206" t="s">
        <v>1662</v>
      </c>
      <c r="B133" s="207" t="s">
        <v>1663</v>
      </c>
      <c r="C133" s="207" t="s">
        <v>2171</v>
      </c>
      <c r="D133" s="248" t="s">
        <v>123</v>
      </c>
      <c r="E133" s="206" t="s">
        <v>796</v>
      </c>
      <c r="F133" s="249" t="s">
        <v>285</v>
      </c>
      <c r="H133" s="29" t="s">
        <v>1664</v>
      </c>
      <c r="I133" s="203" t="s">
        <v>1665</v>
      </c>
      <c r="J133" s="213"/>
      <c r="K133" s="32">
        <v>113.01</v>
      </c>
      <c r="L133" s="213"/>
      <c r="M133" s="213" t="s">
        <v>288</v>
      </c>
    </row>
    <row r="134" spans="1:13">
      <c r="A134" s="199" t="s">
        <v>1666</v>
      </c>
      <c r="B134" s="200" t="s">
        <v>1667</v>
      </c>
      <c r="C134" s="201" t="s">
        <v>2172</v>
      </c>
      <c r="D134" s="21" t="s">
        <v>123</v>
      </c>
      <c r="E134" s="22" t="s">
        <v>796</v>
      </c>
      <c r="F134" s="202" t="s">
        <v>195</v>
      </c>
      <c r="G134" s="206" t="s">
        <v>37</v>
      </c>
      <c r="H134" s="200" t="s">
        <v>1668</v>
      </c>
      <c r="I134" s="203" t="s">
        <v>1165</v>
      </c>
      <c r="J134" s="17"/>
      <c r="K134" s="32">
        <v>77</v>
      </c>
      <c r="L134" s="213"/>
      <c r="M134" s="213" t="s">
        <v>288</v>
      </c>
    </row>
    <row r="135" spans="1:13" ht="30">
      <c r="A135" s="206" t="s">
        <v>1669</v>
      </c>
      <c r="B135" s="207" t="s">
        <v>1670</v>
      </c>
      <c r="C135" s="207" t="s">
        <v>2173</v>
      </c>
      <c r="D135" s="248" t="s">
        <v>123</v>
      </c>
      <c r="E135" s="206" t="s">
        <v>177</v>
      </c>
      <c r="F135" s="249" t="s">
        <v>195</v>
      </c>
      <c r="H135" s="206" t="s">
        <v>1671</v>
      </c>
      <c r="I135" s="203" t="s">
        <v>1672</v>
      </c>
      <c r="J135" s="213"/>
      <c r="K135" s="32">
        <v>66.989999999999995</v>
      </c>
      <c r="L135" s="213"/>
      <c r="M135" s="213" t="s">
        <v>288</v>
      </c>
    </row>
    <row r="136" spans="1:13" ht="30">
      <c r="A136" s="206" t="s">
        <v>1690</v>
      </c>
      <c r="B136" s="207" t="s">
        <v>1691</v>
      </c>
      <c r="C136" s="207" t="s">
        <v>2174</v>
      </c>
      <c r="D136" s="248" t="s">
        <v>123</v>
      </c>
      <c r="E136" s="206" t="s">
        <v>177</v>
      </c>
      <c r="F136" s="249" t="s">
        <v>285</v>
      </c>
      <c r="H136" s="206" t="s">
        <v>1692</v>
      </c>
      <c r="I136" s="203" t="s">
        <v>1693</v>
      </c>
      <c r="J136" s="213"/>
      <c r="K136" s="32">
        <v>91</v>
      </c>
      <c r="L136" s="213"/>
      <c r="M136" s="213" t="s">
        <v>288</v>
      </c>
    </row>
    <row r="137" spans="1:13">
      <c r="A137" s="206" t="s">
        <v>1694</v>
      </c>
      <c r="B137" s="207" t="s">
        <v>1695</v>
      </c>
      <c r="C137" s="207" t="s">
        <v>2175</v>
      </c>
      <c r="D137" s="248" t="s">
        <v>123</v>
      </c>
      <c r="E137" s="206" t="s">
        <v>796</v>
      </c>
      <c r="F137" s="249" t="s">
        <v>458</v>
      </c>
      <c r="G137" s="29" t="s">
        <v>2176</v>
      </c>
      <c r="H137" s="206" t="s">
        <v>1696</v>
      </c>
      <c r="I137" s="203" t="s">
        <v>1697</v>
      </c>
      <c r="J137" s="213"/>
      <c r="K137" s="32">
        <v>73.680000000000007</v>
      </c>
      <c r="L137" s="213"/>
      <c r="M137" s="213" t="s">
        <v>288</v>
      </c>
    </row>
    <row r="138" spans="1:13">
      <c r="A138" s="199" t="s">
        <v>1701</v>
      </c>
      <c r="B138" s="200" t="s">
        <v>1702</v>
      </c>
      <c r="C138" s="201" t="s">
        <v>2177</v>
      </c>
      <c r="D138" s="21" t="s">
        <v>123</v>
      </c>
      <c r="E138" s="22" t="s">
        <v>131</v>
      </c>
      <c r="F138" s="204" t="s">
        <v>125</v>
      </c>
      <c r="G138" s="200" t="s">
        <v>2178</v>
      </c>
      <c r="H138" s="200" t="s">
        <v>1703</v>
      </c>
      <c r="I138" s="203" t="s">
        <v>1704</v>
      </c>
      <c r="J138" s="17"/>
      <c r="K138" s="32">
        <v>73.680000000000007</v>
      </c>
      <c r="L138" s="213"/>
      <c r="M138" s="213" t="s">
        <v>288</v>
      </c>
    </row>
    <row r="139" spans="1:13">
      <c r="A139" s="206" t="s">
        <v>1705</v>
      </c>
      <c r="B139" s="206" t="s">
        <v>1706</v>
      </c>
      <c r="C139" s="207" t="s">
        <v>2179</v>
      </c>
      <c r="D139" s="248" t="s">
        <v>123</v>
      </c>
      <c r="E139" s="206" t="s">
        <v>1610</v>
      </c>
      <c r="F139" s="249" t="s">
        <v>178</v>
      </c>
      <c r="G139" s="29" t="s">
        <v>2180</v>
      </c>
      <c r="H139" s="206" t="s">
        <v>1707</v>
      </c>
      <c r="I139" s="203" t="s">
        <v>562</v>
      </c>
      <c r="J139" s="213" t="s">
        <v>1931</v>
      </c>
      <c r="K139" s="32">
        <v>73.680000000000007</v>
      </c>
      <c r="L139" s="213"/>
      <c r="M139" s="213" t="s">
        <v>288</v>
      </c>
    </row>
    <row r="140" spans="1:13">
      <c r="A140" s="206" t="s">
        <v>1708</v>
      </c>
      <c r="B140" s="207" t="s">
        <v>1709</v>
      </c>
      <c r="C140" s="207" t="s">
        <v>2181</v>
      </c>
      <c r="D140" s="248" t="s">
        <v>123</v>
      </c>
      <c r="E140" s="206" t="s">
        <v>796</v>
      </c>
      <c r="F140" s="249" t="s">
        <v>458</v>
      </c>
      <c r="G140" s="29" t="s">
        <v>2182</v>
      </c>
      <c r="H140" s="206" t="s">
        <v>1710</v>
      </c>
      <c r="I140" s="203" t="s">
        <v>1711</v>
      </c>
      <c r="J140" s="213"/>
      <c r="K140" s="32">
        <v>73.680000000000007</v>
      </c>
      <c r="L140" s="213"/>
      <c r="M140" s="213" t="s">
        <v>288</v>
      </c>
    </row>
    <row r="141" spans="1:13">
      <c r="A141" s="206" t="s">
        <v>1715</v>
      </c>
      <c r="B141" s="206" t="s">
        <v>1716</v>
      </c>
      <c r="C141" s="207" t="s">
        <v>2183</v>
      </c>
      <c r="D141" s="248" t="s">
        <v>123</v>
      </c>
      <c r="E141" s="206" t="s">
        <v>796</v>
      </c>
      <c r="F141" s="249" t="s">
        <v>458</v>
      </c>
      <c r="G141" s="29" t="s">
        <v>2184</v>
      </c>
      <c r="H141" s="206" t="s">
        <v>1717</v>
      </c>
      <c r="I141" s="203" t="s">
        <v>1718</v>
      </c>
      <c r="J141" s="213"/>
      <c r="K141" s="32">
        <v>64.64</v>
      </c>
      <c r="L141" s="213"/>
      <c r="M141" s="213" t="s">
        <v>288</v>
      </c>
    </row>
    <row r="142" spans="1:13">
      <c r="A142" s="206" t="s">
        <v>1723</v>
      </c>
      <c r="B142" s="206" t="s">
        <v>1724</v>
      </c>
      <c r="C142" s="207" t="s">
        <v>2185</v>
      </c>
      <c r="D142" s="248" t="s">
        <v>123</v>
      </c>
      <c r="E142" s="206" t="s">
        <v>177</v>
      </c>
      <c r="F142" s="249" t="s">
        <v>458</v>
      </c>
      <c r="H142" s="206" t="s">
        <v>1725</v>
      </c>
      <c r="I142" s="203" t="s">
        <v>1726</v>
      </c>
      <c r="J142" s="213"/>
      <c r="K142" s="32">
        <v>77</v>
      </c>
      <c r="L142" s="213"/>
      <c r="M142" s="213" t="s">
        <v>288</v>
      </c>
    </row>
    <row r="143" spans="1:13">
      <c r="A143" s="206" t="s">
        <v>1727</v>
      </c>
      <c r="B143" s="206" t="s">
        <v>1728</v>
      </c>
      <c r="C143" s="207" t="s">
        <v>2186</v>
      </c>
      <c r="D143" s="248" t="s">
        <v>123</v>
      </c>
      <c r="E143" s="206" t="s">
        <v>796</v>
      </c>
      <c r="F143" s="249" t="s">
        <v>458</v>
      </c>
      <c r="G143" s="29" t="s">
        <v>2187</v>
      </c>
      <c r="H143" s="206" t="s">
        <v>1729</v>
      </c>
      <c r="I143" s="203" t="s">
        <v>1730</v>
      </c>
      <c r="J143" s="213"/>
      <c r="K143" s="32">
        <v>66.989999999999995</v>
      </c>
      <c r="L143" s="213"/>
      <c r="M143" s="213" t="s">
        <v>288</v>
      </c>
    </row>
    <row r="145" spans="1:13">
      <c r="A145" s="206" t="s">
        <v>959</v>
      </c>
      <c r="B145" s="206" t="s">
        <v>960</v>
      </c>
      <c r="C145" s="206" t="s">
        <v>2188</v>
      </c>
      <c r="D145" s="248" t="s">
        <v>123</v>
      </c>
      <c r="E145" s="206" t="s">
        <v>177</v>
      </c>
      <c r="F145" s="249" t="s">
        <v>458</v>
      </c>
      <c r="G145" s="34" t="s">
        <v>2189</v>
      </c>
      <c r="H145" s="206" t="s">
        <v>961</v>
      </c>
      <c r="I145" s="203" t="s">
        <v>962</v>
      </c>
      <c r="J145" s="213"/>
      <c r="K145" s="32">
        <v>77</v>
      </c>
      <c r="L145" s="213"/>
      <c r="M145" s="213"/>
    </row>
    <row r="146" spans="1:13">
      <c r="A146" s="206" t="s">
        <v>1139</v>
      </c>
      <c r="B146" s="206" t="s">
        <v>1140</v>
      </c>
      <c r="C146" s="206" t="s">
        <v>2190</v>
      </c>
      <c r="D146" s="248" t="s">
        <v>123</v>
      </c>
      <c r="E146" s="206" t="s">
        <v>177</v>
      </c>
      <c r="F146" s="249" t="s">
        <v>458</v>
      </c>
      <c r="G146" s="34" t="s">
        <v>2191</v>
      </c>
      <c r="H146" s="206" t="s">
        <v>1141</v>
      </c>
      <c r="I146" s="203" t="s">
        <v>1142</v>
      </c>
      <c r="J146" s="213"/>
      <c r="K146" s="32">
        <v>77</v>
      </c>
      <c r="L146" s="213"/>
      <c r="M146" s="213" t="s">
        <v>288</v>
      </c>
    </row>
    <row r="147" spans="1:13">
      <c r="A147" s="206" t="s">
        <v>1307</v>
      </c>
      <c r="B147" s="206" t="s">
        <v>1308</v>
      </c>
      <c r="C147" s="206" t="s">
        <v>2192</v>
      </c>
      <c r="D147" s="248" t="s">
        <v>123</v>
      </c>
      <c r="E147" s="206" t="s">
        <v>796</v>
      </c>
      <c r="F147" s="249" t="s">
        <v>458</v>
      </c>
      <c r="G147" s="34" t="s">
        <v>2193</v>
      </c>
      <c r="H147" s="206" t="s">
        <v>1309</v>
      </c>
      <c r="I147" s="203" t="s">
        <v>1310</v>
      </c>
      <c r="J147" s="213"/>
      <c r="K147" s="198">
        <v>47.01</v>
      </c>
      <c r="L147" s="213"/>
      <c r="M147" s="213" t="s">
        <v>288</v>
      </c>
    </row>
    <row r="148" spans="1:13">
      <c r="A148" s="206" t="s">
        <v>955</v>
      </c>
      <c r="B148" s="36" t="s">
        <v>956</v>
      </c>
      <c r="C148" s="206" t="s">
        <v>2194</v>
      </c>
      <c r="D148" s="248" t="s">
        <v>123</v>
      </c>
      <c r="E148" s="206" t="s">
        <v>957</v>
      </c>
      <c r="F148" s="46" t="s">
        <v>958</v>
      </c>
      <c r="G148" s="47" t="s">
        <v>2195</v>
      </c>
      <c r="H148" s="206"/>
      <c r="I148" s="203"/>
      <c r="J148" s="213"/>
      <c r="K148" s="198"/>
      <c r="L148" s="213"/>
      <c r="M148" s="213"/>
    </row>
    <row r="149" spans="1:13">
      <c r="A149" s="206" t="s">
        <v>608</v>
      </c>
      <c r="B149" s="206" t="s">
        <v>609</v>
      </c>
      <c r="C149" s="206" t="s">
        <v>2196</v>
      </c>
      <c r="D149" s="248" t="s">
        <v>123</v>
      </c>
      <c r="E149" s="206" t="s">
        <v>610</v>
      </c>
      <c r="F149" s="213" t="s">
        <v>611</v>
      </c>
      <c r="G149" s="47" t="s">
        <v>1697</v>
      </c>
      <c r="H149" s="206"/>
      <c r="I149" s="203"/>
      <c r="J149" s="213"/>
      <c r="K149" s="198"/>
      <c r="L149" s="213"/>
      <c r="M149" s="213"/>
    </row>
    <row r="150" spans="1:13" ht="14.25" customHeight="1">
      <c r="A150" s="206" t="s">
        <v>803</v>
      </c>
      <c r="B150" s="206" t="s">
        <v>804</v>
      </c>
      <c r="C150" s="206" t="s">
        <v>2197</v>
      </c>
      <c r="D150" s="248" t="s">
        <v>123</v>
      </c>
      <c r="E150" s="206" t="s">
        <v>805</v>
      </c>
      <c r="F150" s="213" t="s">
        <v>806</v>
      </c>
      <c r="G150" s="47" t="s">
        <v>287</v>
      </c>
      <c r="H150" s="206" t="s">
        <v>807</v>
      </c>
      <c r="I150" s="203"/>
      <c r="J150" s="213"/>
      <c r="K150" s="198"/>
      <c r="L150" s="213"/>
      <c r="M150" s="213" t="s">
        <v>288</v>
      </c>
    </row>
    <row r="151" spans="1:13">
      <c r="A151" s="206" t="s">
        <v>1513</v>
      </c>
      <c r="B151" s="206" t="s">
        <v>1514</v>
      </c>
      <c r="C151" s="206" t="s">
        <v>2198</v>
      </c>
      <c r="D151" s="248" t="s">
        <v>123</v>
      </c>
      <c r="E151" s="206" t="s">
        <v>1515</v>
      </c>
      <c r="F151" s="249" t="s">
        <v>1516</v>
      </c>
      <c r="G151" s="48">
        <v>45954</v>
      </c>
      <c r="H151" s="206"/>
      <c r="I151" s="203"/>
      <c r="J151" s="213"/>
      <c r="K151" s="198"/>
      <c r="L151" s="213"/>
      <c r="M151" s="213" t="s">
        <v>288</v>
      </c>
    </row>
    <row r="152" spans="1:13">
      <c r="A152" s="206" t="s">
        <v>881</v>
      </c>
      <c r="B152" s="206" t="s">
        <v>882</v>
      </c>
      <c r="C152" s="206" t="s">
        <v>2199</v>
      </c>
      <c r="D152" s="248" t="s">
        <v>123</v>
      </c>
      <c r="E152" s="206" t="s">
        <v>299</v>
      </c>
      <c r="F152" s="249" t="s">
        <v>883</v>
      </c>
      <c r="G152" s="47" t="s">
        <v>2200</v>
      </c>
      <c r="H152" s="206"/>
      <c r="I152" s="203"/>
      <c r="J152" s="213"/>
      <c r="K152" s="32">
        <v>639.1</v>
      </c>
      <c r="L152" s="213"/>
      <c r="M152" s="213"/>
    </row>
    <row r="153" spans="1:13">
      <c r="A153" s="206" t="s">
        <v>559</v>
      </c>
      <c r="B153" s="206" t="s">
        <v>2201</v>
      </c>
      <c r="C153" s="206" t="s">
        <v>2202</v>
      </c>
      <c r="D153" s="248" t="s">
        <v>123</v>
      </c>
      <c r="E153" s="206" t="s">
        <v>299</v>
      </c>
      <c r="F153" s="249" t="s">
        <v>2203</v>
      </c>
      <c r="G153" s="47" t="s">
        <v>2204</v>
      </c>
      <c r="H153" s="206" t="s">
        <v>473</v>
      </c>
      <c r="I153" s="203" t="s">
        <v>2205</v>
      </c>
      <c r="J153" s="213"/>
      <c r="K153" s="32">
        <v>639.1</v>
      </c>
      <c r="L153" s="213"/>
      <c r="M153" s="213"/>
    </row>
    <row r="154" spans="1:13">
      <c r="A154" s="206" t="s">
        <v>555</v>
      </c>
      <c r="B154" s="206" t="s">
        <v>556</v>
      </c>
      <c r="C154" s="206" t="s">
        <v>2206</v>
      </c>
      <c r="D154" s="248" t="s">
        <v>123</v>
      </c>
      <c r="E154" s="206" t="s">
        <v>299</v>
      </c>
      <c r="F154" s="249" t="s">
        <v>557</v>
      </c>
      <c r="G154" s="47" t="s">
        <v>2207</v>
      </c>
      <c r="H154" s="206" t="s">
        <v>473</v>
      </c>
      <c r="I154" s="203" t="s">
        <v>558</v>
      </c>
      <c r="J154" s="213"/>
      <c r="K154" s="32">
        <v>639.1</v>
      </c>
      <c r="L154" s="213"/>
      <c r="M154" s="213"/>
    </row>
    <row r="155" spans="1:13">
      <c r="A155" s="206" t="s">
        <v>248</v>
      </c>
      <c r="B155" s="206" t="s">
        <v>249</v>
      </c>
      <c r="C155" s="206" t="s">
        <v>2208</v>
      </c>
      <c r="D155" s="248" t="s">
        <v>123</v>
      </c>
      <c r="E155" s="206" t="s">
        <v>216</v>
      </c>
      <c r="F155" s="249" t="s">
        <v>250</v>
      </c>
      <c r="G155" s="47" t="s">
        <v>2209</v>
      </c>
      <c r="H155" s="206" t="s">
        <v>91</v>
      </c>
      <c r="I155" s="203" t="s">
        <v>251</v>
      </c>
      <c r="J155" s="213"/>
      <c r="K155" s="32">
        <v>369.1</v>
      </c>
      <c r="L155" s="213"/>
      <c r="M155" s="213"/>
    </row>
    <row r="156" spans="1:13">
      <c r="A156" s="206" t="s">
        <v>551</v>
      </c>
      <c r="B156" s="206" t="s">
        <v>552</v>
      </c>
      <c r="C156" s="206" t="s">
        <v>2210</v>
      </c>
      <c r="D156" s="248" t="s">
        <v>123</v>
      </c>
      <c r="E156" s="206" t="s">
        <v>299</v>
      </c>
      <c r="F156" s="249" t="s">
        <v>2211</v>
      </c>
      <c r="G156" s="47" t="s">
        <v>2212</v>
      </c>
      <c r="H156" s="206" t="s">
        <v>473</v>
      </c>
      <c r="I156" s="203" t="s">
        <v>2213</v>
      </c>
      <c r="J156" s="213"/>
      <c r="K156" s="32">
        <v>739.1</v>
      </c>
      <c r="L156" s="213"/>
      <c r="M156" s="213"/>
    </row>
    <row r="157" spans="1:13">
      <c r="A157" s="206" t="s">
        <v>363</v>
      </c>
      <c r="B157" s="206" t="s">
        <v>364</v>
      </c>
      <c r="C157" s="206" t="s">
        <v>2214</v>
      </c>
      <c r="D157" s="248" t="s">
        <v>123</v>
      </c>
      <c r="E157" s="206" t="s">
        <v>365</v>
      </c>
      <c r="F157" s="249" t="s">
        <v>366</v>
      </c>
      <c r="G157" s="47" t="s">
        <v>2215</v>
      </c>
      <c r="H157" s="206" t="s">
        <v>91</v>
      </c>
      <c r="I157" s="203" t="s">
        <v>367</v>
      </c>
      <c r="J157" s="213"/>
      <c r="K157" s="32">
        <v>459.1</v>
      </c>
      <c r="L157" s="213"/>
      <c r="M157" s="213"/>
    </row>
    <row r="158" spans="1:13">
      <c r="A158" s="206" t="s">
        <v>661</v>
      </c>
      <c r="B158" s="206" t="s">
        <v>662</v>
      </c>
      <c r="C158" s="206" t="s">
        <v>2216</v>
      </c>
      <c r="D158" s="248" t="s">
        <v>123</v>
      </c>
      <c r="E158" s="207" t="s">
        <v>663</v>
      </c>
      <c r="F158" s="249" t="s">
        <v>664</v>
      </c>
      <c r="G158" s="47" t="s">
        <v>2217</v>
      </c>
      <c r="H158" s="206" t="s">
        <v>91</v>
      </c>
      <c r="I158" s="203" t="s">
        <v>665</v>
      </c>
      <c r="J158" s="213"/>
      <c r="K158" s="32">
        <v>459.1</v>
      </c>
      <c r="L158" s="213"/>
      <c r="M158" s="213"/>
    </row>
    <row r="159" spans="1:13">
      <c r="A159" s="206" t="s">
        <v>829</v>
      </c>
      <c r="B159" s="206" t="s">
        <v>830</v>
      </c>
      <c r="C159" s="34" t="s">
        <v>2218</v>
      </c>
      <c r="D159" s="248" t="s">
        <v>123</v>
      </c>
      <c r="E159" s="206" t="s">
        <v>365</v>
      </c>
      <c r="F159" s="249" t="s">
        <v>831</v>
      </c>
      <c r="G159" s="47" t="s">
        <v>2219</v>
      </c>
      <c r="H159" s="206" t="s">
        <v>91</v>
      </c>
      <c r="I159" s="203" t="s">
        <v>832</v>
      </c>
      <c r="J159" s="213"/>
      <c r="K159" s="32">
        <v>527.04</v>
      </c>
      <c r="L159" s="213"/>
      <c r="M159" s="213"/>
    </row>
    <row r="160" spans="1:13">
      <c r="A160" s="206" t="s">
        <v>547</v>
      </c>
      <c r="B160" s="206" t="s">
        <v>548</v>
      </c>
      <c r="C160" s="206" t="s">
        <v>2220</v>
      </c>
      <c r="D160" s="248" t="s">
        <v>123</v>
      </c>
      <c r="E160" s="206" t="s">
        <v>365</v>
      </c>
      <c r="F160" s="249" t="s">
        <v>549</v>
      </c>
      <c r="G160" s="47" t="s">
        <v>2221</v>
      </c>
      <c r="H160" s="206" t="s">
        <v>91</v>
      </c>
      <c r="I160" s="203" t="s">
        <v>550</v>
      </c>
      <c r="J160" s="213"/>
      <c r="K160" s="32">
        <v>527.04</v>
      </c>
      <c r="L160" s="213"/>
      <c r="M160" s="213"/>
    </row>
    <row r="161" spans="1:13">
      <c r="A161" s="206" t="s">
        <v>297</v>
      </c>
      <c r="B161" s="206" t="s">
        <v>298</v>
      </c>
      <c r="C161" s="206" t="s">
        <v>2222</v>
      </c>
      <c r="D161" s="248" t="s">
        <v>123</v>
      </c>
      <c r="E161" s="206" t="s">
        <v>299</v>
      </c>
      <c r="F161" s="249" t="s">
        <v>300</v>
      </c>
      <c r="G161" s="47" t="s">
        <v>2223</v>
      </c>
      <c r="H161" s="206" t="s">
        <v>91</v>
      </c>
      <c r="I161" s="203" t="s">
        <v>301</v>
      </c>
      <c r="J161" s="213"/>
      <c r="K161" s="32">
        <v>671.04</v>
      </c>
      <c r="L161" s="213"/>
      <c r="M161" s="213"/>
    </row>
    <row r="162" spans="1:13">
      <c r="A162" s="206" t="s">
        <v>214</v>
      </c>
      <c r="B162" s="206" t="s">
        <v>215</v>
      </c>
      <c r="C162" s="206" t="s">
        <v>2224</v>
      </c>
      <c r="D162" s="248" t="s">
        <v>123</v>
      </c>
      <c r="E162" s="206" t="s">
        <v>216</v>
      </c>
      <c r="F162" s="249" t="s">
        <v>217</v>
      </c>
      <c r="G162" s="47" t="s">
        <v>2225</v>
      </c>
      <c r="H162" s="206" t="s">
        <v>91</v>
      </c>
      <c r="I162" s="203" t="s">
        <v>218</v>
      </c>
      <c r="J162" s="213"/>
      <c r="K162" s="32">
        <v>383.04</v>
      </c>
      <c r="L162" s="213"/>
      <c r="M162" s="213"/>
    </row>
    <row r="163" spans="1:13">
      <c r="A163" s="206" t="s">
        <v>222</v>
      </c>
      <c r="B163" s="206" t="s">
        <v>223</v>
      </c>
      <c r="C163" s="206" t="s">
        <v>2226</v>
      </c>
      <c r="D163" s="248" t="s">
        <v>123</v>
      </c>
      <c r="E163" s="206" t="s">
        <v>216</v>
      </c>
      <c r="F163" s="249" t="s">
        <v>224</v>
      </c>
      <c r="G163" s="47" t="s">
        <v>2227</v>
      </c>
      <c r="H163" s="206" t="s">
        <v>91</v>
      </c>
      <c r="I163" s="203" t="s">
        <v>225</v>
      </c>
      <c r="J163" s="213"/>
      <c r="K163" s="32">
        <v>383.04</v>
      </c>
      <c r="L163" s="213"/>
      <c r="M163" s="213"/>
    </row>
    <row r="164" spans="1:13">
      <c r="A164" s="206" t="s">
        <v>1072</v>
      </c>
      <c r="B164" s="206" t="s">
        <v>1073</v>
      </c>
      <c r="C164" s="206" t="s">
        <v>37</v>
      </c>
      <c r="D164" s="248" t="s">
        <v>123</v>
      </c>
      <c r="E164" s="206" t="s">
        <v>1074</v>
      </c>
      <c r="F164" s="249" t="s">
        <v>1075</v>
      </c>
      <c r="G164" s="47" t="s">
        <v>2228</v>
      </c>
      <c r="H164" s="206" t="s">
        <v>1076</v>
      </c>
      <c r="I164" s="203" t="s">
        <v>1077</v>
      </c>
      <c r="J164" s="213"/>
      <c r="K164" s="198"/>
      <c r="L164" s="213"/>
      <c r="M164" s="213"/>
    </row>
    <row r="165" spans="1:13" s="17" customFormat="1">
      <c r="A165" s="36" t="s">
        <v>1193</v>
      </c>
      <c r="B165" s="36" t="s">
        <v>1194</v>
      </c>
      <c r="C165" s="36" t="s">
        <v>2229</v>
      </c>
      <c r="D165" s="49" t="s">
        <v>123</v>
      </c>
      <c r="E165" s="206" t="s">
        <v>1195</v>
      </c>
      <c r="F165" s="251" t="s">
        <v>1196</v>
      </c>
      <c r="G165" s="47" t="s">
        <v>2230</v>
      </c>
      <c r="H165" s="34" t="s">
        <v>432</v>
      </c>
      <c r="I165" s="47" t="s">
        <v>1197</v>
      </c>
      <c r="K165" s="25"/>
    </row>
    <row r="166" spans="1:13">
      <c r="A166" s="206" t="s">
        <v>1047</v>
      </c>
      <c r="B166" s="206" t="s">
        <v>2231</v>
      </c>
      <c r="C166" s="206" t="s">
        <v>2232</v>
      </c>
      <c r="D166" s="248" t="s">
        <v>123</v>
      </c>
      <c r="E166" s="206" t="s">
        <v>1195</v>
      </c>
      <c r="F166" s="249" t="s">
        <v>2233</v>
      </c>
      <c r="G166" s="47" t="s">
        <v>1004</v>
      </c>
      <c r="H166" s="206" t="s">
        <v>432</v>
      </c>
      <c r="I166" s="203" t="s">
        <v>2234</v>
      </c>
      <c r="J166" s="213"/>
      <c r="K166" s="198"/>
      <c r="L166" s="213"/>
      <c r="M166" s="213"/>
    </row>
    <row r="167" spans="1:13" ht="35.25" customHeight="1">
      <c r="A167" s="206" t="s">
        <v>428</v>
      </c>
      <c r="B167" s="206" t="s">
        <v>429</v>
      </c>
      <c r="C167" s="206" t="s">
        <v>2235</v>
      </c>
      <c r="D167" s="248" t="s">
        <v>123</v>
      </c>
      <c r="E167" s="206" t="s">
        <v>430</v>
      </c>
      <c r="F167" s="202" t="s">
        <v>431</v>
      </c>
      <c r="G167" s="47" t="s">
        <v>2236</v>
      </c>
      <c r="H167" s="206" t="s">
        <v>432</v>
      </c>
      <c r="I167" s="203" t="s">
        <v>433</v>
      </c>
      <c r="J167" s="213"/>
      <c r="K167" s="198"/>
      <c r="L167" s="213"/>
      <c r="M167" s="213"/>
    </row>
    <row r="168" spans="1:13">
      <c r="A168" s="206" t="s">
        <v>1529</v>
      </c>
      <c r="B168" s="206" t="s">
        <v>1526</v>
      </c>
      <c r="C168" s="252" t="s">
        <v>2237</v>
      </c>
      <c r="D168" s="248" t="s">
        <v>123</v>
      </c>
      <c r="E168" s="206" t="s">
        <v>1133</v>
      </c>
      <c r="F168" s="249" t="s">
        <v>554</v>
      </c>
      <c r="H168" s="206"/>
      <c r="I168" s="203"/>
      <c r="J168" s="213"/>
      <c r="K168" s="198"/>
      <c r="L168" s="213"/>
      <c r="M168" s="213" t="s">
        <v>288</v>
      </c>
    </row>
    <row r="169" spans="1:13">
      <c r="A169" s="206" t="s">
        <v>1476</v>
      </c>
      <c r="B169" s="206" t="s">
        <v>1477</v>
      </c>
      <c r="C169" s="252" t="s">
        <v>2238</v>
      </c>
      <c r="D169" s="248" t="s">
        <v>123</v>
      </c>
      <c r="E169" s="206" t="s">
        <v>1133</v>
      </c>
      <c r="F169" s="249" t="s">
        <v>2239</v>
      </c>
      <c r="H169" s="206"/>
      <c r="I169" s="203"/>
      <c r="J169" s="213"/>
      <c r="K169" s="198"/>
      <c r="L169" s="213"/>
      <c r="M169" s="213" t="s">
        <v>288</v>
      </c>
    </row>
    <row r="170" spans="1:13">
      <c r="A170" s="206" t="s">
        <v>1592</v>
      </c>
      <c r="B170" s="206" t="s">
        <v>1593</v>
      </c>
      <c r="C170" s="252" t="s">
        <v>2240</v>
      </c>
      <c r="D170" s="248" t="s">
        <v>123</v>
      </c>
      <c r="E170" s="206" t="s">
        <v>1133</v>
      </c>
      <c r="F170" s="249" t="s">
        <v>1594</v>
      </c>
      <c r="H170" s="206"/>
      <c r="I170" s="203"/>
      <c r="J170" s="213"/>
      <c r="K170" s="198"/>
      <c r="L170" s="213"/>
      <c r="M170" s="213" t="s">
        <v>288</v>
      </c>
    </row>
    <row r="171" spans="1:13">
      <c r="A171" s="206" t="s">
        <v>1662</v>
      </c>
      <c r="B171" s="206" t="s">
        <v>2241</v>
      </c>
      <c r="C171" s="252" t="s">
        <v>2242</v>
      </c>
      <c r="D171" s="248" t="s">
        <v>123</v>
      </c>
      <c r="E171" s="206" t="s">
        <v>1133</v>
      </c>
      <c r="F171" s="249" t="s">
        <v>2243</v>
      </c>
      <c r="H171" s="206"/>
      <c r="I171" s="203"/>
      <c r="J171" s="213"/>
      <c r="K171" s="198"/>
      <c r="L171" s="213"/>
      <c r="M171" s="213" t="s">
        <v>288</v>
      </c>
    </row>
    <row r="172" spans="1:13">
      <c r="A172" s="206" t="s">
        <v>1615</v>
      </c>
      <c r="B172" s="206" t="s">
        <v>1616</v>
      </c>
      <c r="C172" s="252" t="s">
        <v>2244</v>
      </c>
      <c r="D172" s="248" t="s">
        <v>123</v>
      </c>
      <c r="E172" s="206" t="s">
        <v>1133</v>
      </c>
      <c r="F172" s="249" t="s">
        <v>2245</v>
      </c>
      <c r="H172" s="206"/>
      <c r="I172" s="203"/>
      <c r="J172" s="213"/>
      <c r="K172" s="198"/>
      <c r="L172" s="213"/>
      <c r="M172" s="213" t="s">
        <v>288</v>
      </c>
    </row>
    <row r="173" spans="1:13">
      <c r="A173" s="206" t="s">
        <v>1517</v>
      </c>
      <c r="B173" s="206" t="s">
        <v>2246</v>
      </c>
      <c r="C173" s="252" t="s">
        <v>2247</v>
      </c>
      <c r="D173" s="248" t="s">
        <v>123</v>
      </c>
      <c r="E173" s="206" t="s">
        <v>1133</v>
      </c>
      <c r="F173" s="249" t="s">
        <v>2248</v>
      </c>
      <c r="H173" s="206"/>
      <c r="I173" s="203"/>
      <c r="J173" s="213"/>
      <c r="K173" s="198"/>
      <c r="L173" s="213"/>
      <c r="M173" s="213" t="s">
        <v>288</v>
      </c>
    </row>
    <row r="174" spans="1:13">
      <c r="A174" s="206" t="s">
        <v>1530</v>
      </c>
      <c r="B174" s="206" t="s">
        <v>1531</v>
      </c>
      <c r="C174" s="252" t="s">
        <v>2249</v>
      </c>
      <c r="D174" s="248" t="s">
        <v>123</v>
      </c>
      <c r="E174" s="206" t="s">
        <v>1133</v>
      </c>
      <c r="F174" s="249" t="s">
        <v>2248</v>
      </c>
      <c r="H174" s="206"/>
      <c r="I174" s="203"/>
      <c r="J174" s="213"/>
      <c r="K174" s="198"/>
      <c r="L174" s="213"/>
      <c r="M174" s="213" t="s">
        <v>288</v>
      </c>
    </row>
    <row r="175" spans="1:13">
      <c r="A175" s="206" t="s">
        <v>1575</v>
      </c>
      <c r="B175" s="206" t="s">
        <v>1576</v>
      </c>
      <c r="C175" s="252" t="s">
        <v>2250</v>
      </c>
      <c r="D175" s="248" t="s">
        <v>123</v>
      </c>
      <c r="E175" s="206" t="s">
        <v>1133</v>
      </c>
      <c r="F175" s="249" t="s">
        <v>522</v>
      </c>
      <c r="H175" s="206"/>
      <c r="I175" s="203"/>
      <c r="J175" s="213"/>
      <c r="K175" s="198"/>
      <c r="L175" s="213"/>
      <c r="M175" s="213" t="s">
        <v>288</v>
      </c>
    </row>
    <row r="176" spans="1:13">
      <c r="A176" s="206" t="s">
        <v>1507</v>
      </c>
      <c r="B176" s="206" t="s">
        <v>1477</v>
      </c>
      <c r="C176" s="252" t="s">
        <v>2251</v>
      </c>
      <c r="D176" s="248" t="s">
        <v>123</v>
      </c>
      <c r="E176" s="206" t="s">
        <v>1133</v>
      </c>
      <c r="F176" s="249" t="s">
        <v>1508</v>
      </c>
      <c r="G176" s="34" t="s">
        <v>2252</v>
      </c>
      <c r="H176" s="206"/>
      <c r="I176" s="203"/>
      <c r="J176" s="213"/>
      <c r="K176" s="198"/>
      <c r="L176" s="213"/>
      <c r="M176" s="213" t="s">
        <v>288</v>
      </c>
    </row>
    <row r="177" spans="1:13">
      <c r="A177" s="206" t="s">
        <v>1633</v>
      </c>
      <c r="B177" s="206" t="s">
        <v>1634</v>
      </c>
      <c r="C177" s="252" t="s">
        <v>2253</v>
      </c>
      <c r="D177" s="248" t="s">
        <v>123</v>
      </c>
      <c r="E177" s="206" t="s">
        <v>1133</v>
      </c>
      <c r="F177" s="249" t="s">
        <v>2254</v>
      </c>
      <c r="H177" s="206"/>
      <c r="I177" s="203"/>
      <c r="J177" s="213"/>
      <c r="K177" s="198"/>
      <c r="L177" s="213"/>
      <c r="M177" s="213" t="s">
        <v>288</v>
      </c>
    </row>
    <row r="178" spans="1:13">
      <c r="A178" s="206" t="s">
        <v>1376</v>
      </c>
      <c r="B178" s="206" t="s">
        <v>2255</v>
      </c>
      <c r="C178" s="252" t="s">
        <v>2256</v>
      </c>
      <c r="D178" s="248" t="s">
        <v>123</v>
      </c>
      <c r="E178" s="206" t="s">
        <v>1133</v>
      </c>
      <c r="F178" s="249" t="s">
        <v>2257</v>
      </c>
      <c r="H178" s="206"/>
      <c r="I178" s="203"/>
      <c r="J178" s="213"/>
      <c r="K178" s="198"/>
      <c r="L178" s="213"/>
      <c r="M178" s="213" t="s">
        <v>288</v>
      </c>
    </row>
    <row r="179" spans="1:13">
      <c r="A179" s="206" t="s">
        <v>803</v>
      </c>
      <c r="B179" s="206" t="s">
        <v>804</v>
      </c>
      <c r="C179" s="252" t="s">
        <v>2258</v>
      </c>
      <c r="D179" s="248" t="s">
        <v>123</v>
      </c>
      <c r="E179" s="206" t="s">
        <v>1133</v>
      </c>
      <c r="F179" s="249" t="s">
        <v>2257</v>
      </c>
      <c r="H179" s="206"/>
      <c r="I179" s="203"/>
      <c r="J179" s="213"/>
      <c r="K179" s="198"/>
      <c r="L179" s="213"/>
      <c r="M179" s="213" t="s">
        <v>288</v>
      </c>
    </row>
    <row r="180" spans="1:13">
      <c r="A180" s="206" t="s">
        <v>1107</v>
      </c>
      <c r="B180" s="206" t="s">
        <v>2259</v>
      </c>
      <c r="C180" s="252" t="s">
        <v>2260</v>
      </c>
      <c r="D180" s="248" t="s">
        <v>123</v>
      </c>
      <c r="E180" s="206" t="s">
        <v>1133</v>
      </c>
      <c r="F180" s="249" t="s">
        <v>2257</v>
      </c>
      <c r="H180" s="206"/>
      <c r="I180" s="203"/>
      <c r="J180" s="213"/>
      <c r="K180" s="198"/>
      <c r="L180" s="213"/>
      <c r="M180" s="213" t="s">
        <v>288</v>
      </c>
    </row>
    <row r="181" spans="1:13">
      <c r="A181" s="206" t="s">
        <v>1276</v>
      </c>
      <c r="B181" s="206" t="s">
        <v>1277</v>
      </c>
      <c r="C181" s="252" t="s">
        <v>2261</v>
      </c>
      <c r="D181" s="248" t="s">
        <v>123</v>
      </c>
      <c r="E181" s="206" t="s">
        <v>1133</v>
      </c>
      <c r="F181" s="249" t="s">
        <v>2262</v>
      </c>
      <c r="H181" s="206"/>
      <c r="I181" s="203"/>
      <c r="J181" s="213"/>
      <c r="K181" s="198"/>
      <c r="L181" s="213"/>
      <c r="M181" s="213" t="s">
        <v>288</v>
      </c>
    </row>
    <row r="182" spans="1:13">
      <c r="A182" s="206" t="s">
        <v>1353</v>
      </c>
      <c r="B182" s="206" t="s">
        <v>2263</v>
      </c>
      <c r="C182" s="252" t="s">
        <v>2264</v>
      </c>
      <c r="D182" s="248" t="s">
        <v>123</v>
      </c>
      <c r="E182" s="206" t="s">
        <v>1133</v>
      </c>
      <c r="F182" s="249" t="s">
        <v>2265</v>
      </c>
      <c r="H182" s="206"/>
      <c r="I182" s="203"/>
      <c r="J182" s="213"/>
      <c r="K182" s="198"/>
      <c r="L182" s="213"/>
      <c r="M182" s="213" t="s">
        <v>288</v>
      </c>
    </row>
    <row r="183" spans="1:13">
      <c r="A183" s="206" t="s">
        <v>1690</v>
      </c>
      <c r="B183" s="206" t="s">
        <v>2266</v>
      </c>
      <c r="C183" s="252" t="s">
        <v>2267</v>
      </c>
      <c r="D183" s="248" t="s">
        <v>123</v>
      </c>
      <c r="E183" s="206" t="s">
        <v>1133</v>
      </c>
      <c r="F183" s="249" t="s">
        <v>2268</v>
      </c>
      <c r="H183" s="206"/>
      <c r="I183" s="203"/>
      <c r="J183" s="213"/>
      <c r="K183" s="198"/>
      <c r="L183" s="213"/>
      <c r="M183" s="213" t="s">
        <v>288</v>
      </c>
    </row>
    <row r="184" spans="1:13">
      <c r="A184" s="206" t="s">
        <v>1131</v>
      </c>
      <c r="B184" s="206" t="s">
        <v>1132</v>
      </c>
      <c r="C184" s="252" t="s">
        <v>2269</v>
      </c>
      <c r="D184" s="248" t="s">
        <v>123</v>
      </c>
      <c r="E184" s="206" t="s">
        <v>1133</v>
      </c>
      <c r="F184" s="249" t="s">
        <v>1134</v>
      </c>
      <c r="H184" s="206"/>
      <c r="I184" s="203"/>
      <c r="J184" s="213"/>
      <c r="K184" s="198"/>
      <c r="L184" s="213"/>
      <c r="M184" s="213" t="s">
        <v>288</v>
      </c>
    </row>
  </sheetData>
  <autoFilter ref="A1:J143" xr:uid="{00000000-0001-0000-0000-000000000000}">
    <sortState xmlns:xlrd2="http://schemas.microsoft.com/office/spreadsheetml/2017/richdata2" ref="A2:J143">
      <sortCondition ref="A1:A143"/>
    </sortState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E59F-DE26-4AD6-A0F7-21B5197C6933}">
  <sheetPr>
    <tabColor theme="8" tint="0.59999389629810485"/>
  </sheetPr>
  <dimension ref="A1:R169"/>
  <sheetViews>
    <sheetView topLeftCell="A113" zoomScale="85" zoomScaleNormal="85" workbookViewId="0">
      <selection activeCell="F155" sqref="F155"/>
    </sheetView>
  </sheetViews>
  <sheetFormatPr defaultRowHeight="15"/>
  <cols>
    <col min="1" max="1" width="14.85546875" style="20" bestFit="1" customWidth="1"/>
    <col min="2" max="2" width="39" style="20" customWidth="1"/>
    <col min="3" max="3" width="36.5703125" style="20" bestFit="1" customWidth="1"/>
    <col min="4" max="4" width="36.5703125" style="20" customWidth="1"/>
    <col min="5" max="5" width="36.5703125" style="20" bestFit="1" customWidth="1"/>
    <col min="6" max="6" width="21" style="20" bestFit="1" customWidth="1"/>
    <col min="7" max="7" width="9.140625" style="20"/>
    <col min="8" max="8" width="9.5703125" style="20" bestFit="1" customWidth="1"/>
    <col min="9" max="9" width="17.28515625" bestFit="1" customWidth="1"/>
    <col min="10" max="10" width="31" style="20" bestFit="1" customWidth="1"/>
    <col min="11" max="11" width="19.85546875" style="164" bestFit="1" customWidth="1"/>
    <col min="12" max="12" width="14.7109375" style="164" bestFit="1" customWidth="1"/>
    <col min="13" max="13" width="19.85546875" style="164" bestFit="1" customWidth="1"/>
    <col min="14" max="14" width="12.28515625" bestFit="1" customWidth="1"/>
    <col min="15" max="15" width="16.7109375" bestFit="1" customWidth="1"/>
    <col min="16" max="16" width="11.5703125" bestFit="1" customWidth="1"/>
    <col min="17" max="17" width="15.5703125" bestFit="1" customWidth="1"/>
    <col min="18" max="18" width="17.7109375" bestFit="1" customWidth="1"/>
  </cols>
  <sheetData>
    <row r="1" spans="1:18">
      <c r="A1" s="18" t="s">
        <v>2270</v>
      </c>
      <c r="B1" s="19" t="s">
        <v>2271</v>
      </c>
      <c r="C1" s="18" t="s">
        <v>1731</v>
      </c>
      <c r="D1" s="18" t="s">
        <v>8</v>
      </c>
      <c r="E1" s="19" t="s">
        <v>2272</v>
      </c>
      <c r="F1" s="18" t="s">
        <v>2273</v>
      </c>
      <c r="G1" s="18" t="s">
        <v>2274</v>
      </c>
      <c r="H1" s="18" t="s">
        <v>2275</v>
      </c>
      <c r="I1" t="s">
        <v>2</v>
      </c>
      <c r="J1" s="18" t="s">
        <v>3</v>
      </c>
      <c r="K1" s="122" t="s">
        <v>4</v>
      </c>
      <c r="L1" s="122" t="s">
        <v>2276</v>
      </c>
      <c r="M1" s="122" t="s">
        <v>2277</v>
      </c>
      <c r="N1" s="123" t="s">
        <v>2278</v>
      </c>
      <c r="O1" s="123" t="s">
        <v>1912</v>
      </c>
      <c r="P1" s="123" t="s">
        <v>2279</v>
      </c>
      <c r="Q1" s="123" t="s">
        <v>5</v>
      </c>
      <c r="R1" s="123" t="s">
        <v>6</v>
      </c>
    </row>
    <row r="2" spans="1:18">
      <c r="A2" s="18">
        <v>12777454</v>
      </c>
      <c r="B2" s="19" t="s">
        <v>2280</v>
      </c>
      <c r="C2" s="18" t="s">
        <v>1023</v>
      </c>
      <c r="D2" s="18" t="s">
        <v>1027</v>
      </c>
      <c r="E2" s="19" t="s">
        <v>1024</v>
      </c>
      <c r="F2" s="18" t="s">
        <v>2281</v>
      </c>
      <c r="G2" s="18" t="s">
        <v>1759</v>
      </c>
      <c r="H2" s="18">
        <v>4573</v>
      </c>
      <c r="I2" t="s">
        <v>2282</v>
      </c>
      <c r="J2" s="18" t="s">
        <v>1025</v>
      </c>
      <c r="K2" s="122" t="s">
        <v>826</v>
      </c>
      <c r="L2" s="124">
        <v>3.125E-2</v>
      </c>
      <c r="M2" s="122" t="s">
        <v>2283</v>
      </c>
      <c r="N2" s="123">
        <v>3</v>
      </c>
      <c r="O2" s="123" t="s">
        <v>2284</v>
      </c>
      <c r="P2" s="123" t="s">
        <v>2285</v>
      </c>
      <c r="Q2" s="123" t="s">
        <v>1026</v>
      </c>
      <c r="R2" s="123" t="s">
        <v>110</v>
      </c>
    </row>
    <row r="3" spans="1:18">
      <c r="A3" s="18">
        <v>12781447</v>
      </c>
      <c r="B3" s="19" t="s">
        <v>2286</v>
      </c>
      <c r="C3" s="18" t="s">
        <v>543</v>
      </c>
      <c r="D3" s="18" t="s">
        <v>546</v>
      </c>
      <c r="E3" s="19" t="s">
        <v>544</v>
      </c>
      <c r="F3" s="18" t="s">
        <v>2287</v>
      </c>
      <c r="G3" s="18" t="s">
        <v>1759</v>
      </c>
      <c r="H3" s="18">
        <v>4035</v>
      </c>
      <c r="I3" t="s">
        <v>2282</v>
      </c>
      <c r="J3" s="18" t="s">
        <v>143</v>
      </c>
      <c r="K3" s="122" t="s">
        <v>382</v>
      </c>
      <c r="L3" s="124">
        <v>3.1944444444444442E-2</v>
      </c>
      <c r="M3" s="122" t="s">
        <v>2288</v>
      </c>
      <c r="N3" s="123">
        <v>3</v>
      </c>
      <c r="O3" s="123" t="s">
        <v>2289</v>
      </c>
      <c r="P3" s="123" t="s">
        <v>2285</v>
      </c>
      <c r="Q3" s="123" t="s">
        <v>545</v>
      </c>
      <c r="R3" s="123" t="s">
        <v>110</v>
      </c>
    </row>
    <row r="4" spans="1:18">
      <c r="A4" s="18">
        <v>12793239</v>
      </c>
      <c r="B4" s="19" t="s">
        <v>2290</v>
      </c>
      <c r="C4" s="20" t="s">
        <v>105</v>
      </c>
      <c r="D4" s="18" t="s">
        <v>111</v>
      </c>
      <c r="E4" s="19" t="s">
        <v>106</v>
      </c>
      <c r="F4" s="18" t="s">
        <v>2291</v>
      </c>
      <c r="G4" s="18" t="s">
        <v>1759</v>
      </c>
      <c r="H4" s="18">
        <v>4670</v>
      </c>
      <c r="I4" t="s">
        <v>2282</v>
      </c>
      <c r="J4" s="18" t="s">
        <v>107</v>
      </c>
      <c r="K4" s="122" t="s">
        <v>108</v>
      </c>
      <c r="L4" s="124">
        <v>3.125E-2</v>
      </c>
      <c r="M4" s="122" t="s">
        <v>2292</v>
      </c>
      <c r="N4" s="123">
        <v>6</v>
      </c>
      <c r="O4" s="123" t="s">
        <v>2293</v>
      </c>
      <c r="P4" s="123" t="s">
        <v>2285</v>
      </c>
      <c r="Q4" s="123" t="s">
        <v>109</v>
      </c>
      <c r="R4" s="123" t="s">
        <v>110</v>
      </c>
    </row>
    <row r="5" spans="1:18">
      <c r="A5" s="18">
        <v>12796473</v>
      </c>
      <c r="B5" s="19" t="s">
        <v>2294</v>
      </c>
      <c r="C5" s="18" t="s">
        <v>1228</v>
      </c>
      <c r="D5" s="18" t="s">
        <v>1231</v>
      </c>
      <c r="E5" s="19" t="s">
        <v>1229</v>
      </c>
      <c r="F5" s="18" t="s">
        <v>2295</v>
      </c>
      <c r="G5" s="18" t="s">
        <v>1759</v>
      </c>
      <c r="H5" s="18">
        <v>4650</v>
      </c>
      <c r="I5" t="s">
        <v>2282</v>
      </c>
      <c r="J5" s="18" t="s">
        <v>107</v>
      </c>
      <c r="K5" s="122" t="s">
        <v>108</v>
      </c>
      <c r="L5" s="124">
        <v>2.0833333333333332E-2</v>
      </c>
      <c r="M5" s="122" t="s">
        <v>2296</v>
      </c>
      <c r="N5" s="123">
        <v>6</v>
      </c>
      <c r="O5" s="123" t="s">
        <v>2297</v>
      </c>
      <c r="P5" s="123" t="s">
        <v>2285</v>
      </c>
      <c r="Q5" s="123" t="s">
        <v>1230</v>
      </c>
      <c r="R5" s="123" t="s">
        <v>110</v>
      </c>
    </row>
    <row r="6" spans="1:18">
      <c r="A6" s="18">
        <v>12846107</v>
      </c>
      <c r="B6" s="19" t="s">
        <v>2298</v>
      </c>
      <c r="C6" s="18" t="s">
        <v>527</v>
      </c>
      <c r="D6" s="204" t="s">
        <v>530</v>
      </c>
      <c r="E6" s="19" t="s">
        <v>528</v>
      </c>
      <c r="F6" s="18" t="s">
        <v>2299</v>
      </c>
      <c r="G6" s="18" t="s">
        <v>1759</v>
      </c>
      <c r="H6" s="18">
        <v>4500</v>
      </c>
      <c r="I6" t="s">
        <v>2282</v>
      </c>
      <c r="J6" s="18" t="s">
        <v>143</v>
      </c>
      <c r="K6" s="122" t="s">
        <v>272</v>
      </c>
      <c r="L6" s="124">
        <v>2.2916666666666665E-2</v>
      </c>
      <c r="M6" s="122" t="s">
        <v>2300</v>
      </c>
      <c r="N6" s="123">
        <v>13</v>
      </c>
      <c r="O6" s="123" t="s">
        <v>2301</v>
      </c>
      <c r="P6" s="123" t="s">
        <v>2285</v>
      </c>
      <c r="Q6" s="123" t="s">
        <v>529</v>
      </c>
      <c r="R6" s="123" t="s">
        <v>110</v>
      </c>
    </row>
    <row r="7" spans="1:18">
      <c r="A7" s="18">
        <v>12852129</v>
      </c>
      <c r="B7" s="19" t="s">
        <v>2302</v>
      </c>
      <c r="C7" s="125" t="s">
        <v>645</v>
      </c>
      <c r="D7" s="18" t="s">
        <v>648</v>
      </c>
      <c r="E7" s="19" t="s">
        <v>646</v>
      </c>
      <c r="F7" s="18" t="s">
        <v>2303</v>
      </c>
      <c r="G7" s="18" t="s">
        <v>1759</v>
      </c>
      <c r="H7" s="18">
        <v>4575</v>
      </c>
      <c r="I7" t="s">
        <v>2282</v>
      </c>
      <c r="J7" s="18" t="s">
        <v>137</v>
      </c>
      <c r="K7" s="122" t="s">
        <v>272</v>
      </c>
      <c r="L7" s="124">
        <v>2.0833333333333332E-2</v>
      </c>
      <c r="M7" s="122" t="s">
        <v>2304</v>
      </c>
      <c r="N7" s="123">
        <v>13</v>
      </c>
      <c r="O7" s="123" t="s">
        <v>2305</v>
      </c>
      <c r="P7" s="123" t="s">
        <v>2285</v>
      </c>
      <c r="Q7" s="123" t="s">
        <v>647</v>
      </c>
      <c r="R7" s="123" t="s">
        <v>110</v>
      </c>
    </row>
    <row r="8" spans="1:18">
      <c r="A8" s="18">
        <v>12853040</v>
      </c>
      <c r="B8" s="19" t="s">
        <v>2306</v>
      </c>
      <c r="C8" s="126" t="s">
        <v>359</v>
      </c>
      <c r="D8" s="18" t="s">
        <v>362</v>
      </c>
      <c r="E8" s="19" t="s">
        <v>360</v>
      </c>
      <c r="F8" s="18" t="s">
        <v>2307</v>
      </c>
      <c r="G8" s="18" t="s">
        <v>1759</v>
      </c>
      <c r="H8" s="18">
        <v>4500</v>
      </c>
      <c r="I8" t="s">
        <v>2282</v>
      </c>
      <c r="J8" s="18" t="s">
        <v>143</v>
      </c>
      <c r="K8" s="122" t="s">
        <v>211</v>
      </c>
      <c r="L8" s="124">
        <v>2.0833333333333332E-2</v>
      </c>
      <c r="M8" s="122" t="s">
        <v>2308</v>
      </c>
      <c r="N8" s="123">
        <v>13</v>
      </c>
      <c r="O8" s="123" t="s">
        <v>2309</v>
      </c>
      <c r="P8" s="123" t="s">
        <v>2285</v>
      </c>
      <c r="Q8" s="123" t="s">
        <v>361</v>
      </c>
      <c r="R8" s="123" t="s">
        <v>110</v>
      </c>
    </row>
    <row r="9" spans="1:18">
      <c r="A9" s="18">
        <v>12853154</v>
      </c>
      <c r="B9" s="19" t="s">
        <v>2310</v>
      </c>
      <c r="C9" s="126" t="s">
        <v>616</v>
      </c>
      <c r="D9" s="18" t="s">
        <v>2311</v>
      </c>
      <c r="E9" s="19" t="s">
        <v>2312</v>
      </c>
      <c r="F9" s="18" t="s">
        <v>2313</v>
      </c>
      <c r="G9" s="18" t="s">
        <v>1759</v>
      </c>
      <c r="H9" s="18">
        <v>4655</v>
      </c>
      <c r="I9" t="s">
        <v>2282</v>
      </c>
      <c r="J9" s="18" t="s">
        <v>137</v>
      </c>
      <c r="K9" s="122" t="s">
        <v>272</v>
      </c>
      <c r="L9" s="124">
        <v>6.9444444444444447E-4</v>
      </c>
      <c r="M9" s="122" t="s">
        <v>2314</v>
      </c>
      <c r="N9" s="123">
        <v>13</v>
      </c>
      <c r="O9" s="123" t="s">
        <v>2315</v>
      </c>
      <c r="P9" s="123" t="s">
        <v>2285</v>
      </c>
      <c r="Q9" s="123" t="s">
        <v>2316</v>
      </c>
      <c r="R9" s="123" t="s">
        <v>110</v>
      </c>
    </row>
    <row r="10" spans="1:18" s="132" customFormat="1">
      <c r="A10" s="127">
        <v>12853156</v>
      </c>
      <c r="B10" s="128" t="s">
        <v>2317</v>
      </c>
      <c r="C10" s="127"/>
      <c r="D10" s="127" t="s">
        <v>2318</v>
      </c>
      <c r="E10" s="128" t="s">
        <v>2319</v>
      </c>
      <c r="F10" s="127" t="s">
        <v>2320</v>
      </c>
      <c r="G10" s="127" t="s">
        <v>1759</v>
      </c>
      <c r="H10" s="127">
        <v>4715</v>
      </c>
      <c r="I10" t="s">
        <v>2282</v>
      </c>
      <c r="J10" s="127" t="s">
        <v>137</v>
      </c>
      <c r="K10" s="129" t="s">
        <v>272</v>
      </c>
      <c r="L10" s="130">
        <v>6.9444444444444447E-4</v>
      </c>
      <c r="M10" s="129" t="s">
        <v>2321</v>
      </c>
      <c r="N10" s="131">
        <v>13</v>
      </c>
      <c r="O10" s="131" t="s">
        <v>2322</v>
      </c>
      <c r="P10" s="131" t="s">
        <v>2285</v>
      </c>
      <c r="Q10" s="131" t="s">
        <v>2323</v>
      </c>
      <c r="R10" s="131" t="s">
        <v>110</v>
      </c>
    </row>
    <row r="11" spans="1:18">
      <c r="A11" s="18">
        <v>12855904</v>
      </c>
      <c r="B11" s="19" t="s">
        <v>2324</v>
      </c>
      <c r="C11" s="126" t="s">
        <v>393</v>
      </c>
      <c r="D11" s="18" t="s">
        <v>396</v>
      </c>
      <c r="E11" s="19" t="s">
        <v>394</v>
      </c>
      <c r="F11" s="18" t="s">
        <v>2325</v>
      </c>
      <c r="G11" s="18" t="s">
        <v>1759</v>
      </c>
      <c r="H11" s="18">
        <v>4009</v>
      </c>
      <c r="I11" t="s">
        <v>2282</v>
      </c>
      <c r="J11" s="18" t="s">
        <v>143</v>
      </c>
      <c r="K11" s="122" t="s">
        <v>382</v>
      </c>
      <c r="L11" s="124">
        <v>3.125E-2</v>
      </c>
      <c r="M11" s="122" t="s">
        <v>2326</v>
      </c>
      <c r="N11" s="123">
        <v>3</v>
      </c>
      <c r="O11" s="123" t="s">
        <v>2327</v>
      </c>
      <c r="P11" s="123" t="s">
        <v>2285</v>
      </c>
      <c r="Q11" s="123" t="s">
        <v>395</v>
      </c>
      <c r="R11" s="123" t="s">
        <v>110</v>
      </c>
    </row>
    <row r="12" spans="1:18">
      <c r="A12" s="18">
        <v>12856641</v>
      </c>
      <c r="B12" s="19" t="s">
        <v>2328</v>
      </c>
      <c r="C12" s="126" t="s">
        <v>576</v>
      </c>
      <c r="D12" s="18" t="s">
        <v>579</v>
      </c>
      <c r="E12" s="19" t="s">
        <v>577</v>
      </c>
      <c r="F12" s="18" t="s">
        <v>2329</v>
      </c>
      <c r="G12" s="18" t="s">
        <v>1759</v>
      </c>
      <c r="H12" s="18">
        <v>4670</v>
      </c>
      <c r="I12" t="s">
        <v>2282</v>
      </c>
      <c r="J12" s="18" t="s">
        <v>107</v>
      </c>
      <c r="K12" s="122" t="s">
        <v>108</v>
      </c>
      <c r="L12" s="124">
        <v>1.0416666666666666E-2</v>
      </c>
      <c r="M12" s="122" t="s">
        <v>2330</v>
      </c>
      <c r="N12" s="123">
        <v>6</v>
      </c>
      <c r="O12" s="123" t="s">
        <v>2331</v>
      </c>
      <c r="P12" s="123" t="s">
        <v>2285</v>
      </c>
      <c r="Q12" s="123" t="s">
        <v>578</v>
      </c>
      <c r="R12" s="123" t="s">
        <v>110</v>
      </c>
    </row>
    <row r="13" spans="1:18">
      <c r="A13" s="18">
        <v>12857849</v>
      </c>
      <c r="B13" s="19" t="s">
        <v>2332</v>
      </c>
      <c r="C13" s="126" t="s">
        <v>452</v>
      </c>
      <c r="D13" s="18" t="s">
        <v>455</v>
      </c>
      <c r="E13" s="19" t="s">
        <v>453</v>
      </c>
      <c r="F13" s="18" t="s">
        <v>2333</v>
      </c>
      <c r="G13" s="18" t="s">
        <v>1759</v>
      </c>
      <c r="H13" s="18">
        <v>4630</v>
      </c>
      <c r="I13" t="s">
        <v>2282</v>
      </c>
      <c r="J13" s="18" t="s">
        <v>137</v>
      </c>
      <c r="K13" s="122" t="s">
        <v>152</v>
      </c>
      <c r="L13" s="124">
        <v>3.1944444444444442E-2</v>
      </c>
      <c r="M13" s="122" t="s">
        <v>2334</v>
      </c>
      <c r="N13" s="123">
        <v>34</v>
      </c>
      <c r="O13" s="123" t="s">
        <v>2335</v>
      </c>
      <c r="P13" s="123" t="s">
        <v>2285</v>
      </c>
      <c r="Q13" s="123" t="s">
        <v>454</v>
      </c>
      <c r="R13" s="123" t="s">
        <v>110</v>
      </c>
    </row>
    <row r="14" spans="1:18" ht="30">
      <c r="A14" s="18">
        <v>12864339</v>
      </c>
      <c r="B14" s="19" t="s">
        <v>2336</v>
      </c>
      <c r="C14" s="126" t="s">
        <v>908</v>
      </c>
      <c r="D14" s="18" t="s">
        <v>911</v>
      </c>
      <c r="E14" s="19" t="s">
        <v>909</v>
      </c>
      <c r="F14" s="18" t="s">
        <v>2337</v>
      </c>
      <c r="G14" s="18" t="s">
        <v>1759</v>
      </c>
      <c r="H14" s="18">
        <v>4123</v>
      </c>
      <c r="I14" t="s">
        <v>2282</v>
      </c>
      <c r="J14" s="18" t="s">
        <v>143</v>
      </c>
      <c r="K14" s="122" t="s">
        <v>382</v>
      </c>
      <c r="L14" s="124">
        <v>1.0416666666666666E-2</v>
      </c>
      <c r="M14" s="122" t="s">
        <v>2338</v>
      </c>
      <c r="N14" s="123">
        <v>3</v>
      </c>
      <c r="O14" s="123" t="s">
        <v>2339</v>
      </c>
      <c r="P14" s="123" t="s">
        <v>2285</v>
      </c>
      <c r="Q14" s="123" t="s">
        <v>910</v>
      </c>
      <c r="R14" s="123" t="s">
        <v>110</v>
      </c>
    </row>
    <row r="15" spans="1:18">
      <c r="A15" s="18">
        <v>12864340</v>
      </c>
      <c r="B15" s="19" t="s">
        <v>2340</v>
      </c>
      <c r="C15" s="126" t="s">
        <v>912</v>
      </c>
      <c r="D15" s="18" t="s">
        <v>915</v>
      </c>
      <c r="E15" s="19" t="s">
        <v>913</v>
      </c>
      <c r="F15" s="18" t="s">
        <v>2337</v>
      </c>
      <c r="G15" s="18" t="s">
        <v>1759</v>
      </c>
      <c r="H15" s="18">
        <v>4123</v>
      </c>
      <c r="I15" t="s">
        <v>2282</v>
      </c>
      <c r="J15" s="18" t="s">
        <v>143</v>
      </c>
      <c r="K15" s="122" t="s">
        <v>382</v>
      </c>
      <c r="L15" s="124">
        <v>1.0416666666666666E-2</v>
      </c>
      <c r="M15" s="122" t="s">
        <v>2341</v>
      </c>
      <c r="N15" s="123">
        <v>3</v>
      </c>
      <c r="O15" s="123" t="s">
        <v>2342</v>
      </c>
      <c r="P15" s="123" t="s">
        <v>2285</v>
      </c>
      <c r="Q15" s="123" t="s">
        <v>914</v>
      </c>
      <c r="R15" s="123" t="s">
        <v>110</v>
      </c>
    </row>
    <row r="16" spans="1:18">
      <c r="A16" s="18">
        <v>12866076</v>
      </c>
      <c r="B16" s="19" t="s">
        <v>2343</v>
      </c>
      <c r="C16" s="126" t="s">
        <v>1061</v>
      </c>
      <c r="D16" s="18" t="s">
        <v>1064</v>
      </c>
      <c r="E16" s="19" t="s">
        <v>1062</v>
      </c>
      <c r="F16" s="18" t="s">
        <v>2344</v>
      </c>
      <c r="G16" s="18" t="s">
        <v>1759</v>
      </c>
      <c r="H16" s="18">
        <v>4510</v>
      </c>
      <c r="I16" t="s">
        <v>2282</v>
      </c>
      <c r="J16" s="18" t="s">
        <v>137</v>
      </c>
      <c r="K16" s="122" t="s">
        <v>272</v>
      </c>
      <c r="L16" s="124">
        <v>2.5000000000000001E-2</v>
      </c>
      <c r="M16" s="122" t="s">
        <v>2345</v>
      </c>
      <c r="N16" s="123">
        <v>13</v>
      </c>
      <c r="O16" s="123" t="s">
        <v>2346</v>
      </c>
      <c r="P16" s="123" t="s">
        <v>2285</v>
      </c>
      <c r="Q16" s="123" t="s">
        <v>1063</v>
      </c>
      <c r="R16" s="123" t="s">
        <v>110</v>
      </c>
    </row>
    <row r="17" spans="1:18">
      <c r="A17" s="18">
        <v>12867108</v>
      </c>
      <c r="B17" s="19" t="s">
        <v>2347</v>
      </c>
      <c r="C17" s="126" t="s">
        <v>1061</v>
      </c>
      <c r="D17" s="18" t="s">
        <v>2348</v>
      </c>
      <c r="E17" s="19" t="s">
        <v>381</v>
      </c>
      <c r="F17" s="18" t="s">
        <v>2344</v>
      </c>
      <c r="G17" s="18" t="s">
        <v>1759</v>
      </c>
      <c r="H17" s="18">
        <v>4510</v>
      </c>
      <c r="I17" t="s">
        <v>2282</v>
      </c>
      <c r="J17" s="18" t="s">
        <v>137</v>
      </c>
      <c r="K17" s="122" t="s">
        <v>272</v>
      </c>
      <c r="L17" s="124">
        <v>1.0416666666666666E-2</v>
      </c>
      <c r="M17" s="122" t="s">
        <v>2349</v>
      </c>
      <c r="N17" s="123">
        <v>13</v>
      </c>
      <c r="O17" s="123" t="s">
        <v>2350</v>
      </c>
      <c r="P17" s="123" t="s">
        <v>2285</v>
      </c>
      <c r="Q17" s="123" t="s">
        <v>2351</v>
      </c>
      <c r="R17" s="123" t="s">
        <v>110</v>
      </c>
    </row>
    <row r="18" spans="1:18">
      <c r="A18" s="18">
        <v>12867121</v>
      </c>
      <c r="B18" s="19" t="s">
        <v>2352</v>
      </c>
      <c r="C18" s="126" t="s">
        <v>707</v>
      </c>
      <c r="D18" s="18" t="s">
        <v>710</v>
      </c>
      <c r="E18" s="19" t="s">
        <v>708</v>
      </c>
      <c r="F18" s="18" t="s">
        <v>2353</v>
      </c>
      <c r="G18" s="18" t="s">
        <v>1759</v>
      </c>
      <c r="H18" s="18">
        <v>4567</v>
      </c>
      <c r="I18" t="s">
        <v>2282</v>
      </c>
      <c r="J18" s="18" t="s">
        <v>137</v>
      </c>
      <c r="K18" s="122" t="s">
        <v>272</v>
      </c>
      <c r="L18" s="124">
        <v>3.125E-2</v>
      </c>
      <c r="M18" s="122" t="s">
        <v>2354</v>
      </c>
      <c r="N18" s="123">
        <v>13</v>
      </c>
      <c r="O18" s="123" t="s">
        <v>2355</v>
      </c>
      <c r="P18" s="123" t="s">
        <v>2285</v>
      </c>
      <c r="Q18" s="123" t="s">
        <v>709</v>
      </c>
      <c r="R18" s="123" t="s">
        <v>110</v>
      </c>
    </row>
    <row r="19" spans="1:18">
      <c r="A19" s="18">
        <v>12871411</v>
      </c>
      <c r="B19" s="19" t="s">
        <v>2356</v>
      </c>
      <c r="C19" s="126" t="s">
        <v>1065</v>
      </c>
      <c r="D19" s="18" t="s">
        <v>1068</v>
      </c>
      <c r="E19" s="19" t="s">
        <v>1066</v>
      </c>
      <c r="F19" s="18" t="s">
        <v>2357</v>
      </c>
      <c r="G19" s="18" t="s">
        <v>1759</v>
      </c>
      <c r="H19" s="18">
        <v>4210</v>
      </c>
      <c r="I19" t="s">
        <v>2282</v>
      </c>
      <c r="J19" s="18" t="s">
        <v>143</v>
      </c>
      <c r="K19" s="122" t="s">
        <v>147</v>
      </c>
      <c r="L19" s="124">
        <v>3.6805555555555557E-2</v>
      </c>
      <c r="M19" s="122" t="s">
        <v>2358</v>
      </c>
      <c r="N19" s="123">
        <v>24</v>
      </c>
      <c r="O19" s="123" t="s">
        <v>2359</v>
      </c>
      <c r="P19" s="123" t="s">
        <v>2285</v>
      </c>
      <c r="Q19" s="123" t="s">
        <v>1067</v>
      </c>
      <c r="R19" s="123" t="s">
        <v>110</v>
      </c>
    </row>
    <row r="20" spans="1:18" s="132" customFormat="1">
      <c r="A20" s="127">
        <v>12878846</v>
      </c>
      <c r="B20" s="128" t="s">
        <v>2360</v>
      </c>
      <c r="C20" s="127"/>
      <c r="D20" s="127" t="s">
        <v>2361</v>
      </c>
      <c r="E20" s="128" t="s">
        <v>2362</v>
      </c>
      <c r="F20" s="127" t="s">
        <v>2363</v>
      </c>
      <c r="G20" s="127" t="s">
        <v>1759</v>
      </c>
      <c r="H20" s="127">
        <v>4507</v>
      </c>
      <c r="I20" t="s">
        <v>2282</v>
      </c>
      <c r="J20" s="127" t="s">
        <v>137</v>
      </c>
      <c r="K20" s="129" t="s">
        <v>272</v>
      </c>
      <c r="L20" s="130">
        <v>0</v>
      </c>
      <c r="M20" s="129" t="s">
        <v>2364</v>
      </c>
      <c r="N20" s="131">
        <v>13</v>
      </c>
      <c r="O20" s="131" t="s">
        <v>2365</v>
      </c>
      <c r="P20" s="131" t="s">
        <v>2285</v>
      </c>
      <c r="Q20" s="131" t="s">
        <v>2366</v>
      </c>
      <c r="R20" s="131" t="s">
        <v>110</v>
      </c>
    </row>
    <row r="21" spans="1:18">
      <c r="A21" s="18">
        <v>12888064</v>
      </c>
      <c r="B21" s="19" t="s">
        <v>2367</v>
      </c>
      <c r="C21" s="126" t="s">
        <v>539</v>
      </c>
      <c r="D21" s="18" t="s">
        <v>542</v>
      </c>
      <c r="E21" s="19" t="s">
        <v>540</v>
      </c>
      <c r="F21" s="18" t="s">
        <v>1783</v>
      </c>
      <c r="G21" s="18" t="s">
        <v>1759</v>
      </c>
      <c r="H21" s="18">
        <v>4000</v>
      </c>
      <c r="I21" t="s">
        <v>2282</v>
      </c>
      <c r="J21" s="18" t="s">
        <v>137</v>
      </c>
      <c r="K21" s="122" t="s">
        <v>152</v>
      </c>
      <c r="L21" s="124">
        <v>2.7083333333333334E-2</v>
      </c>
      <c r="M21" s="122" t="s">
        <v>2368</v>
      </c>
      <c r="N21" s="123">
        <v>32</v>
      </c>
      <c r="O21" s="123" t="s">
        <v>2369</v>
      </c>
      <c r="P21" s="123" t="s">
        <v>2285</v>
      </c>
      <c r="Q21" s="123" t="s">
        <v>541</v>
      </c>
      <c r="R21" s="123" t="s">
        <v>110</v>
      </c>
    </row>
    <row r="22" spans="1:18">
      <c r="A22" s="18">
        <v>12888300</v>
      </c>
      <c r="B22" s="19" t="s">
        <v>2370</v>
      </c>
      <c r="C22" s="126" t="s">
        <v>1251</v>
      </c>
      <c r="D22" s="18" t="s">
        <v>1253</v>
      </c>
      <c r="E22" s="19" t="s">
        <v>540</v>
      </c>
      <c r="F22" s="18" t="s">
        <v>1783</v>
      </c>
      <c r="G22" s="18" t="s">
        <v>1759</v>
      </c>
      <c r="H22" s="18">
        <v>4000</v>
      </c>
      <c r="I22" t="s">
        <v>2282</v>
      </c>
      <c r="J22" s="18" t="s">
        <v>137</v>
      </c>
      <c r="K22" s="122" t="s">
        <v>152</v>
      </c>
      <c r="L22" s="124">
        <v>9.7222222222222224E-3</v>
      </c>
      <c r="M22" s="122" t="s">
        <v>2371</v>
      </c>
      <c r="N22" s="123">
        <v>32</v>
      </c>
      <c r="O22" s="123" t="s">
        <v>2372</v>
      </c>
      <c r="P22" s="123" t="s">
        <v>2285</v>
      </c>
      <c r="Q22" s="123" t="s">
        <v>1252</v>
      </c>
      <c r="R22" s="123" t="s">
        <v>110</v>
      </c>
    </row>
    <row r="23" spans="1:18">
      <c r="A23" s="18">
        <v>12902124</v>
      </c>
      <c r="B23" s="19" t="s">
        <v>2373</v>
      </c>
      <c r="C23" s="18" t="s">
        <v>380</v>
      </c>
      <c r="D23" s="18" t="s">
        <v>384</v>
      </c>
      <c r="E23" s="19" t="s">
        <v>381</v>
      </c>
      <c r="F23" s="18" t="s">
        <v>2374</v>
      </c>
      <c r="G23" s="18" t="s">
        <v>1759</v>
      </c>
      <c r="H23" s="18">
        <v>4575</v>
      </c>
      <c r="I23" t="s">
        <v>2282</v>
      </c>
      <c r="J23" s="18" t="s">
        <v>143</v>
      </c>
      <c r="K23" s="122" t="s">
        <v>382</v>
      </c>
      <c r="L23" s="124">
        <v>2.2222222222222223E-2</v>
      </c>
      <c r="M23" s="122" t="s">
        <v>2375</v>
      </c>
      <c r="N23" s="123">
        <v>3</v>
      </c>
      <c r="O23" s="123" t="s">
        <v>2376</v>
      </c>
      <c r="P23" s="123" t="s">
        <v>2285</v>
      </c>
      <c r="Q23" s="123" t="s">
        <v>383</v>
      </c>
      <c r="R23" s="123" t="s">
        <v>110</v>
      </c>
    </row>
    <row r="24" spans="1:18">
      <c r="A24" s="18">
        <v>12902317</v>
      </c>
      <c r="B24" s="19" t="s">
        <v>2377</v>
      </c>
      <c r="C24" s="18" t="s">
        <v>725</v>
      </c>
      <c r="D24" s="18" t="s">
        <v>728</v>
      </c>
      <c r="E24" s="19" t="s">
        <v>726</v>
      </c>
      <c r="F24" s="18" t="s">
        <v>2378</v>
      </c>
      <c r="G24" s="18" t="s">
        <v>1759</v>
      </c>
      <c r="H24" s="18">
        <v>4558</v>
      </c>
      <c r="I24" t="s">
        <v>2282</v>
      </c>
      <c r="J24" s="18" t="s">
        <v>143</v>
      </c>
      <c r="K24" s="122" t="s">
        <v>211</v>
      </c>
      <c r="L24" s="124">
        <v>2.2916666666666665E-2</v>
      </c>
      <c r="M24" s="122" t="s">
        <v>2379</v>
      </c>
      <c r="N24" s="123">
        <v>13</v>
      </c>
      <c r="O24" s="123" t="s">
        <v>2380</v>
      </c>
      <c r="P24" s="123" t="s">
        <v>2285</v>
      </c>
      <c r="Q24" s="123" t="s">
        <v>727</v>
      </c>
      <c r="R24" s="123" t="s">
        <v>110</v>
      </c>
    </row>
    <row r="25" spans="1:18" ht="30">
      <c r="A25" s="18">
        <v>12925075</v>
      </c>
      <c r="B25" s="19" t="s">
        <v>2381</v>
      </c>
      <c r="C25" s="19" t="s">
        <v>951</v>
      </c>
      <c r="D25" s="18" t="s">
        <v>954</v>
      </c>
      <c r="E25" s="19" t="s">
        <v>952</v>
      </c>
      <c r="F25" s="18" t="s">
        <v>2382</v>
      </c>
      <c r="G25" s="18" t="s">
        <v>1759</v>
      </c>
      <c r="H25" s="18">
        <v>4300</v>
      </c>
      <c r="I25" t="s">
        <v>2282</v>
      </c>
      <c r="J25" s="18" t="s">
        <v>143</v>
      </c>
      <c r="K25" s="122" t="s">
        <v>382</v>
      </c>
      <c r="L25" s="124">
        <v>2.0833333333333332E-2</v>
      </c>
      <c r="M25" s="122" t="s">
        <v>2383</v>
      </c>
      <c r="N25" s="123">
        <v>3</v>
      </c>
      <c r="O25" s="123" t="s">
        <v>2384</v>
      </c>
      <c r="P25" s="123" t="s">
        <v>2285</v>
      </c>
      <c r="Q25" s="123" t="s">
        <v>953</v>
      </c>
      <c r="R25" s="123" t="s">
        <v>110</v>
      </c>
    </row>
    <row r="26" spans="1:18">
      <c r="A26" s="18">
        <v>12937523</v>
      </c>
      <c r="B26" s="19" t="s">
        <v>2385</v>
      </c>
      <c r="C26" s="18" t="s">
        <v>780</v>
      </c>
      <c r="D26" s="18" t="s">
        <v>783</v>
      </c>
      <c r="E26" s="19" t="s">
        <v>781</v>
      </c>
      <c r="F26" s="18" t="s">
        <v>2386</v>
      </c>
      <c r="G26" s="18" t="s">
        <v>1759</v>
      </c>
      <c r="H26" s="18">
        <v>4051</v>
      </c>
      <c r="I26" t="s">
        <v>2282</v>
      </c>
      <c r="J26" s="18" t="s">
        <v>137</v>
      </c>
      <c r="K26" s="122" t="s">
        <v>147</v>
      </c>
      <c r="L26" s="124">
        <v>1.3888888888888889E-3</v>
      </c>
      <c r="M26" s="122" t="s">
        <v>2387</v>
      </c>
      <c r="N26" s="123">
        <v>24</v>
      </c>
      <c r="O26" s="123" t="s">
        <v>2388</v>
      </c>
      <c r="P26" s="123" t="s">
        <v>2285</v>
      </c>
      <c r="Q26" s="123" t="s">
        <v>782</v>
      </c>
      <c r="R26" s="123" t="s">
        <v>110</v>
      </c>
    </row>
    <row r="27" spans="1:18">
      <c r="A27" s="18">
        <v>12972968</v>
      </c>
      <c r="B27" s="19" t="s">
        <v>2389</v>
      </c>
      <c r="C27" s="133" t="s">
        <v>729</v>
      </c>
      <c r="D27" s="18" t="s">
        <v>732</v>
      </c>
      <c r="E27" s="19" t="s">
        <v>730</v>
      </c>
      <c r="F27" s="18" t="s">
        <v>2390</v>
      </c>
      <c r="G27" s="18" t="s">
        <v>1771</v>
      </c>
      <c r="H27" s="18">
        <v>3754</v>
      </c>
      <c r="I27" t="s">
        <v>2282</v>
      </c>
      <c r="J27" s="18" t="s">
        <v>143</v>
      </c>
      <c r="K27" s="122" t="s">
        <v>382</v>
      </c>
      <c r="L27" s="124">
        <v>2.2916666666666665E-2</v>
      </c>
      <c r="M27" s="122" t="s">
        <v>2391</v>
      </c>
      <c r="N27" s="123">
        <v>3</v>
      </c>
      <c r="O27" s="123" t="s">
        <v>2392</v>
      </c>
      <c r="P27" s="123" t="s">
        <v>2285</v>
      </c>
      <c r="Q27" s="123" t="s">
        <v>731</v>
      </c>
      <c r="R27" s="123" t="s">
        <v>110</v>
      </c>
    </row>
    <row r="28" spans="1:18">
      <c r="A28" s="18">
        <v>12980462</v>
      </c>
      <c r="B28" s="19" t="s">
        <v>2393</v>
      </c>
      <c r="C28" s="18" t="s">
        <v>1217</v>
      </c>
      <c r="D28" s="18" t="s">
        <v>1220</v>
      </c>
      <c r="E28" s="19" t="s">
        <v>1218</v>
      </c>
      <c r="F28" s="18" t="s">
        <v>2394</v>
      </c>
      <c r="G28" s="18" t="s">
        <v>1759</v>
      </c>
      <c r="H28" s="18">
        <v>4509</v>
      </c>
      <c r="I28" t="s">
        <v>2282</v>
      </c>
      <c r="J28" s="18" t="s">
        <v>143</v>
      </c>
      <c r="K28" s="122" t="s">
        <v>382</v>
      </c>
      <c r="L28" s="124">
        <v>2.2222222222222223E-2</v>
      </c>
      <c r="M28" s="122" t="s">
        <v>2395</v>
      </c>
      <c r="N28" s="123">
        <v>3</v>
      </c>
      <c r="O28" s="123" t="s">
        <v>2396</v>
      </c>
      <c r="P28" s="123" t="s">
        <v>2285</v>
      </c>
      <c r="Q28" s="123" t="s">
        <v>1219</v>
      </c>
      <c r="R28" s="123" t="s">
        <v>110</v>
      </c>
    </row>
    <row r="29" spans="1:18">
      <c r="A29" s="18">
        <v>12981103</v>
      </c>
      <c r="B29" s="19" t="s">
        <v>2397</v>
      </c>
      <c r="C29" s="133"/>
      <c r="D29" s="18" t="s">
        <v>2398</v>
      </c>
      <c r="E29" s="19" t="s">
        <v>2399</v>
      </c>
      <c r="F29" s="18" t="s">
        <v>2400</v>
      </c>
      <c r="G29" s="18" t="s">
        <v>1759</v>
      </c>
      <c r="H29" s="18">
        <v>4575</v>
      </c>
      <c r="I29" t="s">
        <v>2282</v>
      </c>
      <c r="J29" s="18" t="s">
        <v>143</v>
      </c>
      <c r="K29" s="122" t="s">
        <v>211</v>
      </c>
      <c r="L29" s="124">
        <v>2.0833333333333333E-3</v>
      </c>
      <c r="M29" s="122" t="s">
        <v>2401</v>
      </c>
      <c r="N29" s="123">
        <v>13</v>
      </c>
      <c r="O29" s="123" t="s">
        <v>2402</v>
      </c>
      <c r="P29" s="123" t="s">
        <v>2285</v>
      </c>
      <c r="Q29" s="123" t="s">
        <v>2403</v>
      </c>
      <c r="R29" s="123" t="s">
        <v>110</v>
      </c>
    </row>
    <row r="30" spans="1:18">
      <c r="A30" s="18">
        <v>12988924</v>
      </c>
      <c r="B30" s="19" t="s">
        <v>2404</v>
      </c>
      <c r="C30" s="133"/>
      <c r="D30" s="18" t="s">
        <v>2405</v>
      </c>
      <c r="E30" s="19" t="s">
        <v>2406</v>
      </c>
      <c r="F30" s="18" t="s">
        <v>2407</v>
      </c>
      <c r="G30" s="18" t="s">
        <v>1759</v>
      </c>
      <c r="H30" s="18">
        <v>4034</v>
      </c>
      <c r="I30" t="s">
        <v>2282</v>
      </c>
      <c r="J30" s="18" t="s">
        <v>143</v>
      </c>
      <c r="K30" s="122" t="s">
        <v>382</v>
      </c>
      <c r="L30" s="124">
        <v>3.125E-2</v>
      </c>
      <c r="M30" s="122" t="s">
        <v>2408</v>
      </c>
      <c r="N30" s="123">
        <v>3</v>
      </c>
      <c r="O30" s="123" t="s">
        <v>2409</v>
      </c>
      <c r="P30" s="123" t="s">
        <v>2285</v>
      </c>
      <c r="Q30" s="123" t="s">
        <v>2410</v>
      </c>
      <c r="R30" s="123" t="s">
        <v>110</v>
      </c>
    </row>
    <row r="31" spans="1:18">
      <c r="A31" s="18">
        <v>12994107</v>
      </c>
      <c r="B31" s="19" t="s">
        <v>2411</v>
      </c>
      <c r="C31" s="133"/>
      <c r="D31" s="18" t="s">
        <v>2412</v>
      </c>
      <c r="E31" s="19" t="s">
        <v>2413</v>
      </c>
      <c r="F31" s="18" t="s">
        <v>2414</v>
      </c>
      <c r="G31" s="18" t="s">
        <v>1759</v>
      </c>
      <c r="H31" s="18">
        <v>4671</v>
      </c>
      <c r="I31" t="s">
        <v>2282</v>
      </c>
      <c r="J31" s="18" t="s">
        <v>107</v>
      </c>
      <c r="K31" s="122" t="s">
        <v>108</v>
      </c>
      <c r="L31" s="124">
        <v>2.0833333333333332E-2</v>
      </c>
      <c r="M31" s="122" t="s">
        <v>2415</v>
      </c>
      <c r="N31" s="123">
        <v>6</v>
      </c>
      <c r="O31" s="123" t="s">
        <v>2416</v>
      </c>
      <c r="P31" s="123" t="s">
        <v>2285</v>
      </c>
      <c r="Q31" s="123" t="s">
        <v>2417</v>
      </c>
      <c r="R31" s="123" t="s">
        <v>110</v>
      </c>
    </row>
    <row r="32" spans="1:18" ht="30">
      <c r="A32" s="18">
        <v>13014291</v>
      </c>
      <c r="B32" s="19" t="s">
        <v>2418</v>
      </c>
      <c r="C32" s="18" t="s">
        <v>492</v>
      </c>
      <c r="D32" s="18" t="s">
        <v>495</v>
      </c>
      <c r="E32" s="19" t="s">
        <v>493</v>
      </c>
      <c r="F32" s="18" t="s">
        <v>2419</v>
      </c>
      <c r="G32" s="18" t="s">
        <v>1759</v>
      </c>
      <c r="H32" s="18">
        <v>4207</v>
      </c>
      <c r="I32" t="s">
        <v>2282</v>
      </c>
      <c r="J32" s="18" t="s">
        <v>143</v>
      </c>
      <c r="K32" s="122" t="s">
        <v>147</v>
      </c>
      <c r="L32" s="124">
        <v>3.6111111111111108E-2</v>
      </c>
      <c r="M32" s="122" t="s">
        <v>2420</v>
      </c>
      <c r="N32" s="123">
        <v>24</v>
      </c>
      <c r="O32" s="123" t="s">
        <v>2421</v>
      </c>
      <c r="P32" s="123" t="s">
        <v>2285</v>
      </c>
      <c r="Q32" s="123" t="s">
        <v>494</v>
      </c>
      <c r="R32" s="123" t="s">
        <v>110</v>
      </c>
    </row>
    <row r="33" spans="1:18">
      <c r="A33" s="18">
        <v>13015790</v>
      </c>
      <c r="B33" s="19" t="s">
        <v>2422</v>
      </c>
      <c r="C33" s="134" t="s">
        <v>1198</v>
      </c>
      <c r="D33" s="18" t="s">
        <v>1201</v>
      </c>
      <c r="E33" s="19" t="s">
        <v>1199</v>
      </c>
      <c r="F33" s="18" t="s">
        <v>2423</v>
      </c>
      <c r="G33" s="18" t="s">
        <v>1759</v>
      </c>
      <c r="H33" s="18">
        <v>4504</v>
      </c>
      <c r="I33" t="s">
        <v>2282</v>
      </c>
      <c r="J33" s="18" t="s">
        <v>143</v>
      </c>
      <c r="K33" s="122" t="s">
        <v>272</v>
      </c>
      <c r="L33" s="124">
        <v>3.125E-2</v>
      </c>
      <c r="M33" s="122" t="s">
        <v>2424</v>
      </c>
      <c r="N33" s="123">
        <v>13</v>
      </c>
      <c r="O33" s="123" t="s">
        <v>2425</v>
      </c>
      <c r="P33" s="123" t="s">
        <v>2285</v>
      </c>
      <c r="Q33" s="123" t="s">
        <v>1200</v>
      </c>
      <c r="R33" s="123" t="s">
        <v>110</v>
      </c>
    </row>
    <row r="34" spans="1:18">
      <c r="A34" s="18">
        <v>13034176</v>
      </c>
      <c r="B34" s="19" t="s">
        <v>2426</v>
      </c>
      <c r="C34" s="18" t="s">
        <v>993</v>
      </c>
      <c r="D34" s="18" t="s">
        <v>996</v>
      </c>
      <c r="E34" s="19" t="s">
        <v>994</v>
      </c>
      <c r="F34" s="18" t="s">
        <v>2427</v>
      </c>
      <c r="G34" s="18" t="s">
        <v>1759</v>
      </c>
      <c r="H34" s="18">
        <v>4053</v>
      </c>
      <c r="I34" t="s">
        <v>2282</v>
      </c>
      <c r="J34" s="18" t="s">
        <v>143</v>
      </c>
      <c r="K34" s="122" t="s">
        <v>211</v>
      </c>
      <c r="L34" s="124">
        <v>3.125E-2</v>
      </c>
      <c r="M34" s="122" t="s">
        <v>2428</v>
      </c>
      <c r="N34" s="123">
        <v>13</v>
      </c>
      <c r="O34" s="123" t="s">
        <v>2429</v>
      </c>
      <c r="P34" s="123" t="s">
        <v>2285</v>
      </c>
      <c r="Q34" s="123" t="s">
        <v>995</v>
      </c>
      <c r="R34" s="123" t="s">
        <v>110</v>
      </c>
    </row>
    <row r="35" spans="1:18">
      <c r="A35" s="18">
        <v>13040423</v>
      </c>
      <c r="B35" s="19" t="s">
        <v>2430</v>
      </c>
      <c r="C35" s="18" t="s">
        <v>873</v>
      </c>
      <c r="D35" s="18" t="s">
        <v>876</v>
      </c>
      <c r="E35" s="19" t="s">
        <v>874</v>
      </c>
      <c r="F35" s="18" t="s">
        <v>2431</v>
      </c>
      <c r="G35" s="18" t="s">
        <v>1759</v>
      </c>
      <c r="H35" s="18">
        <v>4670</v>
      </c>
      <c r="I35" t="s">
        <v>2282</v>
      </c>
      <c r="J35" s="18" t="s">
        <v>107</v>
      </c>
      <c r="K35" s="122" t="s">
        <v>108</v>
      </c>
      <c r="L35" s="124">
        <v>8.3333333333333332E-3</v>
      </c>
      <c r="M35" s="122" t="s">
        <v>2432</v>
      </c>
      <c r="N35" s="123">
        <v>6</v>
      </c>
      <c r="O35" s="123" t="s">
        <v>2433</v>
      </c>
      <c r="P35" s="123" t="s">
        <v>2285</v>
      </c>
      <c r="Q35" s="123" t="s">
        <v>875</v>
      </c>
      <c r="R35" s="123" t="s">
        <v>110</v>
      </c>
    </row>
    <row r="36" spans="1:18">
      <c r="A36" s="18">
        <v>13040427</v>
      </c>
      <c r="B36" s="19" t="s">
        <v>2434</v>
      </c>
      <c r="C36" s="18" t="s">
        <v>873</v>
      </c>
      <c r="D36" s="18" t="s">
        <v>2435</v>
      </c>
      <c r="E36" s="19" t="s">
        <v>2436</v>
      </c>
      <c r="F36" s="18" t="s">
        <v>2437</v>
      </c>
      <c r="G36" s="18" t="s">
        <v>1759</v>
      </c>
      <c r="H36" s="18">
        <v>4670</v>
      </c>
      <c r="I36" t="s">
        <v>2282</v>
      </c>
      <c r="J36" s="18" t="s">
        <v>107</v>
      </c>
      <c r="K36" s="122" t="s">
        <v>108</v>
      </c>
      <c r="L36" s="124">
        <v>1.3194444444444444E-2</v>
      </c>
      <c r="M36" s="122" t="s">
        <v>2438</v>
      </c>
      <c r="N36" s="123">
        <v>6</v>
      </c>
      <c r="O36" s="123" t="s">
        <v>2439</v>
      </c>
      <c r="P36" s="123" t="s">
        <v>2285</v>
      </c>
      <c r="Q36" s="123" t="s">
        <v>2440</v>
      </c>
      <c r="R36" s="123" t="s">
        <v>110</v>
      </c>
    </row>
    <row r="37" spans="1:18">
      <c r="A37" s="18">
        <v>13061244</v>
      </c>
      <c r="B37" s="19" t="s">
        <v>2441</v>
      </c>
      <c r="C37" s="18" t="s">
        <v>642</v>
      </c>
      <c r="D37" s="18" t="s">
        <v>644</v>
      </c>
      <c r="E37" s="19" t="s">
        <v>643</v>
      </c>
      <c r="F37" s="18" t="s">
        <v>2442</v>
      </c>
      <c r="G37" s="18" t="s">
        <v>1759</v>
      </c>
      <c r="H37" s="18">
        <v>4558</v>
      </c>
      <c r="I37" t="s">
        <v>2282</v>
      </c>
      <c r="J37" s="18" t="s">
        <v>143</v>
      </c>
      <c r="K37" s="122" t="s">
        <v>138</v>
      </c>
      <c r="L37" s="124">
        <v>2.4305555555555556E-2</v>
      </c>
      <c r="M37" s="122" t="s">
        <v>2443</v>
      </c>
      <c r="N37" s="123">
        <v>3</v>
      </c>
      <c r="O37" s="123" t="s">
        <v>2444</v>
      </c>
      <c r="P37" s="123" t="s">
        <v>2285</v>
      </c>
      <c r="Q37" s="123"/>
      <c r="R37" s="123" t="s">
        <v>110</v>
      </c>
    </row>
    <row r="38" spans="1:18">
      <c r="A38" s="18">
        <v>13067136</v>
      </c>
      <c r="B38" s="19" t="s">
        <v>2445</v>
      </c>
      <c r="C38" s="134" t="s">
        <v>507</v>
      </c>
      <c r="D38" s="18" t="s">
        <v>510</v>
      </c>
      <c r="E38" s="19" t="s">
        <v>508</v>
      </c>
      <c r="F38" s="18" t="s">
        <v>2431</v>
      </c>
      <c r="G38" s="18" t="s">
        <v>1759</v>
      </c>
      <c r="H38" s="18">
        <v>4670</v>
      </c>
      <c r="I38" t="s">
        <v>2282</v>
      </c>
      <c r="J38" s="18" t="s">
        <v>107</v>
      </c>
      <c r="K38" s="122" t="s">
        <v>108</v>
      </c>
      <c r="L38" s="124">
        <v>1.1111111111111112E-2</v>
      </c>
      <c r="M38" s="122" t="s">
        <v>2446</v>
      </c>
      <c r="N38" s="123">
        <v>6</v>
      </c>
      <c r="O38" s="123" t="s">
        <v>2447</v>
      </c>
      <c r="P38" s="123" t="s">
        <v>2285</v>
      </c>
      <c r="Q38" s="123" t="s">
        <v>509</v>
      </c>
      <c r="R38" s="123" t="s">
        <v>110</v>
      </c>
    </row>
    <row r="39" spans="1:18">
      <c r="A39" s="18">
        <v>13072517</v>
      </c>
      <c r="B39" s="19" t="s">
        <v>2448</v>
      </c>
      <c r="C39" s="18" t="s">
        <v>833</v>
      </c>
      <c r="D39" s="18" t="s">
        <v>837</v>
      </c>
      <c r="E39" s="19" t="s">
        <v>834</v>
      </c>
      <c r="F39" s="18" t="s">
        <v>2449</v>
      </c>
      <c r="G39" s="18" t="s">
        <v>1759</v>
      </c>
      <c r="H39" s="18">
        <v>4650</v>
      </c>
      <c r="I39" t="s">
        <v>2282</v>
      </c>
      <c r="J39" s="18" t="s">
        <v>835</v>
      </c>
      <c r="K39" s="122" t="s">
        <v>108</v>
      </c>
      <c r="L39" s="124">
        <v>1.1111111111111112E-2</v>
      </c>
      <c r="M39" s="122" t="s">
        <v>2450</v>
      </c>
      <c r="N39" s="123">
        <v>6</v>
      </c>
      <c r="O39" s="123" t="s">
        <v>2451</v>
      </c>
      <c r="P39" s="123" t="s">
        <v>2285</v>
      </c>
      <c r="Q39" s="123" t="s">
        <v>836</v>
      </c>
      <c r="R39" s="123" t="s">
        <v>110</v>
      </c>
    </row>
    <row r="40" spans="1:18">
      <c r="A40" s="18">
        <v>13073719</v>
      </c>
      <c r="B40" s="19" t="s">
        <v>2452</v>
      </c>
      <c r="C40" s="133" t="s">
        <v>150</v>
      </c>
      <c r="D40" s="18" t="s">
        <v>154</v>
      </c>
      <c r="E40" s="19" t="s">
        <v>151</v>
      </c>
      <c r="F40" s="18" t="s">
        <v>2453</v>
      </c>
      <c r="G40" s="18" t="s">
        <v>1759</v>
      </c>
      <c r="H40" s="18">
        <v>4660</v>
      </c>
      <c r="I40" t="s">
        <v>2282</v>
      </c>
      <c r="J40" s="18" t="s">
        <v>143</v>
      </c>
      <c r="K40" s="122" t="s">
        <v>152</v>
      </c>
      <c r="L40" s="124">
        <v>1.1111111111111112E-2</v>
      </c>
      <c r="M40" s="122" t="s">
        <v>2454</v>
      </c>
      <c r="N40" s="123">
        <v>34</v>
      </c>
      <c r="O40" s="123" t="s">
        <v>2455</v>
      </c>
      <c r="P40" s="123" t="s">
        <v>2285</v>
      </c>
      <c r="Q40" s="123" t="s">
        <v>153</v>
      </c>
      <c r="R40" s="123" t="s">
        <v>110</v>
      </c>
    </row>
    <row r="41" spans="1:18">
      <c r="A41" s="18">
        <v>13078321</v>
      </c>
      <c r="B41" s="19" t="s">
        <v>2456</v>
      </c>
      <c r="C41" s="20" t="s">
        <v>593</v>
      </c>
      <c r="D41" s="18" t="s">
        <v>596</v>
      </c>
      <c r="E41" s="19" t="s">
        <v>594</v>
      </c>
      <c r="F41" s="18" t="s">
        <v>2457</v>
      </c>
      <c r="G41" s="18" t="s">
        <v>1759</v>
      </c>
      <c r="H41" s="18">
        <v>4154</v>
      </c>
      <c r="I41" t="s">
        <v>2282</v>
      </c>
      <c r="J41" s="18" t="s">
        <v>143</v>
      </c>
      <c r="K41" s="122" t="s">
        <v>211</v>
      </c>
      <c r="L41" s="124">
        <v>4.8611111111111112E-3</v>
      </c>
      <c r="M41" s="122" t="s">
        <v>2458</v>
      </c>
      <c r="N41" s="123">
        <v>13</v>
      </c>
      <c r="O41" s="123" t="s">
        <v>2459</v>
      </c>
      <c r="P41" s="123" t="s">
        <v>2285</v>
      </c>
      <c r="Q41" s="123" t="s">
        <v>595</v>
      </c>
      <c r="R41" s="123" t="s">
        <v>110</v>
      </c>
    </row>
    <row r="42" spans="1:18">
      <c r="A42" s="18">
        <v>13081361</v>
      </c>
      <c r="B42" s="19" t="s">
        <v>2460</v>
      </c>
      <c r="C42" s="18" t="s">
        <v>535</v>
      </c>
      <c r="D42" s="18" t="s">
        <v>538</v>
      </c>
      <c r="E42" s="19" t="s">
        <v>536</v>
      </c>
      <c r="F42" s="18" t="s">
        <v>2453</v>
      </c>
      <c r="G42" s="18" t="s">
        <v>1759</v>
      </c>
      <c r="H42" s="18">
        <v>4660</v>
      </c>
      <c r="I42" t="s">
        <v>2282</v>
      </c>
      <c r="J42" s="18" t="s">
        <v>143</v>
      </c>
      <c r="K42" s="122" t="s">
        <v>152</v>
      </c>
      <c r="L42" s="124">
        <v>2.7777777777777779E-3</v>
      </c>
      <c r="M42" s="122" t="s">
        <v>2461</v>
      </c>
      <c r="N42" s="123">
        <v>34</v>
      </c>
      <c r="O42" s="123" t="s">
        <v>2462</v>
      </c>
      <c r="P42" s="123" t="s">
        <v>2285</v>
      </c>
      <c r="Q42" s="123" t="s">
        <v>537</v>
      </c>
      <c r="R42" s="123" t="s">
        <v>110</v>
      </c>
    </row>
    <row r="43" spans="1:18">
      <c r="A43" s="18">
        <v>13081901</v>
      </c>
      <c r="B43" s="19" t="s">
        <v>2463</v>
      </c>
      <c r="C43" s="18" t="s">
        <v>823</v>
      </c>
      <c r="D43" s="18" t="s">
        <v>828</v>
      </c>
      <c r="E43" s="19" t="s">
        <v>824</v>
      </c>
      <c r="F43" s="18" t="s">
        <v>2464</v>
      </c>
      <c r="G43" s="18" t="s">
        <v>1759</v>
      </c>
      <c r="H43" s="18">
        <v>4564</v>
      </c>
      <c r="I43" t="s">
        <v>2282</v>
      </c>
      <c r="J43" s="18" t="s">
        <v>825</v>
      </c>
      <c r="K43" s="122" t="s">
        <v>826</v>
      </c>
      <c r="L43" s="124">
        <v>6.9444444444444447E-4</v>
      </c>
      <c r="M43" s="122" t="s">
        <v>2465</v>
      </c>
      <c r="N43" s="123">
        <v>3</v>
      </c>
      <c r="O43" s="123" t="s">
        <v>2466</v>
      </c>
      <c r="P43" s="123" t="s">
        <v>2285</v>
      </c>
      <c r="Q43" s="123" t="s">
        <v>827</v>
      </c>
      <c r="R43" s="123" t="s">
        <v>110</v>
      </c>
    </row>
    <row r="44" spans="1:18">
      <c r="A44" s="18">
        <v>13083495</v>
      </c>
      <c r="B44" s="19" t="s">
        <v>2467</v>
      </c>
      <c r="C44" s="133"/>
      <c r="D44" s="18" t="s">
        <v>2468</v>
      </c>
      <c r="E44" s="19" t="s">
        <v>2469</v>
      </c>
      <c r="F44" s="18" t="s">
        <v>2470</v>
      </c>
      <c r="G44" s="18" t="s">
        <v>1759</v>
      </c>
      <c r="H44" s="18">
        <v>4671</v>
      </c>
      <c r="I44" t="s">
        <v>2282</v>
      </c>
      <c r="J44" s="18" t="s">
        <v>107</v>
      </c>
      <c r="K44" s="122" t="s">
        <v>108</v>
      </c>
      <c r="L44" s="124">
        <v>1.3888888888888889E-3</v>
      </c>
      <c r="M44" s="122" t="s">
        <v>2471</v>
      </c>
      <c r="N44" s="123">
        <v>6</v>
      </c>
      <c r="O44" s="123" t="s">
        <v>2472</v>
      </c>
      <c r="P44" s="123" t="s">
        <v>2285</v>
      </c>
      <c r="Q44" s="123" t="s">
        <v>2473</v>
      </c>
      <c r="R44" s="123" t="s">
        <v>110</v>
      </c>
    </row>
    <row r="45" spans="1:18">
      <c r="A45" s="18">
        <v>13091679</v>
      </c>
      <c r="B45" s="19" t="s">
        <v>2474</v>
      </c>
      <c r="C45" s="18" t="s">
        <v>585</v>
      </c>
      <c r="D45" s="18" t="s">
        <v>588</v>
      </c>
      <c r="E45" s="19" t="s">
        <v>586</v>
      </c>
      <c r="F45" s="18" t="s">
        <v>2475</v>
      </c>
      <c r="G45" s="18" t="s">
        <v>1759</v>
      </c>
      <c r="H45" s="18">
        <v>4572</v>
      </c>
      <c r="I45" t="s">
        <v>2282</v>
      </c>
      <c r="J45" s="18" t="s">
        <v>143</v>
      </c>
      <c r="K45" s="122" t="s">
        <v>138</v>
      </c>
      <c r="L45" s="124">
        <v>2.0833333333333332E-2</v>
      </c>
      <c r="M45" s="122" t="s">
        <v>2476</v>
      </c>
      <c r="N45" s="123">
        <v>13</v>
      </c>
      <c r="O45" s="123" t="s">
        <v>2477</v>
      </c>
      <c r="P45" s="123" t="s">
        <v>2285</v>
      </c>
      <c r="Q45" s="123" t="s">
        <v>587</v>
      </c>
      <c r="R45" s="123" t="s">
        <v>110</v>
      </c>
    </row>
    <row r="46" spans="1:18" ht="30">
      <c r="A46" s="18">
        <v>13105841</v>
      </c>
      <c r="B46" s="19" t="s">
        <v>2478</v>
      </c>
      <c r="C46" s="18" t="s">
        <v>209</v>
      </c>
      <c r="D46" s="18" t="s">
        <v>213</v>
      </c>
      <c r="E46" s="19" t="s">
        <v>210</v>
      </c>
      <c r="F46" s="18" t="s">
        <v>2479</v>
      </c>
      <c r="G46" s="18" t="s">
        <v>1759</v>
      </c>
      <c r="H46" s="18">
        <v>4152</v>
      </c>
      <c r="I46" t="s">
        <v>2282</v>
      </c>
      <c r="J46" s="18" t="s">
        <v>143</v>
      </c>
      <c r="K46" s="122" t="s">
        <v>211</v>
      </c>
      <c r="L46" s="124">
        <v>6.9444444444444441E-3</v>
      </c>
      <c r="M46" s="122" t="s">
        <v>2480</v>
      </c>
      <c r="N46" s="123">
        <v>13</v>
      </c>
      <c r="O46" s="123" t="s">
        <v>2481</v>
      </c>
      <c r="P46" s="123" t="s">
        <v>2285</v>
      </c>
      <c r="Q46" s="123" t="s">
        <v>212</v>
      </c>
      <c r="R46" s="123" t="s">
        <v>110</v>
      </c>
    </row>
    <row r="47" spans="1:18">
      <c r="A47" s="18">
        <v>13146454</v>
      </c>
      <c r="B47" s="19" t="s">
        <v>2482</v>
      </c>
      <c r="C47" s="134" t="s">
        <v>704</v>
      </c>
      <c r="D47" s="18" t="s">
        <v>706</v>
      </c>
      <c r="E47" s="19" t="s">
        <v>705</v>
      </c>
      <c r="F47" s="18" t="s">
        <v>2483</v>
      </c>
      <c r="G47" s="18" t="s">
        <v>1759</v>
      </c>
      <c r="H47" s="18">
        <v>4670</v>
      </c>
      <c r="I47" t="s">
        <v>2282</v>
      </c>
      <c r="J47" s="18" t="s">
        <v>137</v>
      </c>
      <c r="K47" s="122" t="s">
        <v>272</v>
      </c>
      <c r="L47" s="124">
        <v>2.4305555555555556E-2</v>
      </c>
      <c r="M47" s="122" t="s">
        <v>2484</v>
      </c>
      <c r="N47" s="123">
        <v>13</v>
      </c>
      <c r="O47" s="123" t="s">
        <v>2485</v>
      </c>
      <c r="P47" s="123" t="s">
        <v>2285</v>
      </c>
      <c r="Q47" s="123"/>
      <c r="R47" s="123" t="s">
        <v>110</v>
      </c>
    </row>
    <row r="48" spans="1:18" ht="30">
      <c r="A48" s="18">
        <v>13146570</v>
      </c>
      <c r="B48" s="19" t="s">
        <v>2486</v>
      </c>
      <c r="C48" s="18" t="s">
        <v>465</v>
      </c>
      <c r="D48" s="18" t="s">
        <v>468</v>
      </c>
      <c r="E48" s="19" t="s">
        <v>466</v>
      </c>
      <c r="F48" s="18" t="s">
        <v>2487</v>
      </c>
      <c r="G48" s="18" t="s">
        <v>1759</v>
      </c>
      <c r="H48" s="18">
        <v>4520</v>
      </c>
      <c r="I48" t="s">
        <v>2282</v>
      </c>
      <c r="J48" s="18" t="s">
        <v>143</v>
      </c>
      <c r="K48" s="122" t="s">
        <v>152</v>
      </c>
      <c r="L48" s="124">
        <v>2.5000000000000001E-2</v>
      </c>
      <c r="M48" s="122" t="s">
        <v>2488</v>
      </c>
      <c r="N48" s="123">
        <v>34</v>
      </c>
      <c r="O48" s="123" t="s">
        <v>2489</v>
      </c>
      <c r="P48" s="123" t="s">
        <v>2285</v>
      </c>
      <c r="Q48" s="123" t="s">
        <v>467</v>
      </c>
      <c r="R48" s="123" t="s">
        <v>110</v>
      </c>
    </row>
    <row r="49" spans="1:18">
      <c r="A49" s="18">
        <v>13147300</v>
      </c>
      <c r="B49" s="19" t="s">
        <v>2490</v>
      </c>
      <c r="C49" s="134" t="s">
        <v>764</v>
      </c>
      <c r="D49" s="18" t="s">
        <v>767</v>
      </c>
      <c r="E49" s="19" t="s">
        <v>765</v>
      </c>
      <c r="F49" s="18" t="s">
        <v>2491</v>
      </c>
      <c r="G49" s="18" t="s">
        <v>1759</v>
      </c>
      <c r="H49" s="18">
        <v>4557</v>
      </c>
      <c r="I49" t="s">
        <v>2282</v>
      </c>
      <c r="J49" s="18" t="s">
        <v>143</v>
      </c>
      <c r="K49" s="122" t="s">
        <v>272</v>
      </c>
      <c r="L49" s="124">
        <v>1.0416666666666666E-2</v>
      </c>
      <c r="M49" s="122" t="s">
        <v>2492</v>
      </c>
      <c r="N49" s="123">
        <v>13</v>
      </c>
      <c r="O49" s="123" t="s">
        <v>2493</v>
      </c>
      <c r="P49" s="123" t="s">
        <v>2285</v>
      </c>
      <c r="Q49" s="123" t="s">
        <v>766</v>
      </c>
      <c r="R49" s="123" t="s">
        <v>110</v>
      </c>
    </row>
    <row r="50" spans="1:18">
      <c r="A50" s="18">
        <v>13153500</v>
      </c>
      <c r="B50" s="19" t="s">
        <v>2494</v>
      </c>
      <c r="C50" s="18" t="s">
        <v>434</v>
      </c>
      <c r="D50" s="18" t="s">
        <v>437</v>
      </c>
      <c r="E50" s="19" t="s">
        <v>435</v>
      </c>
      <c r="F50" s="18" t="s">
        <v>407</v>
      </c>
      <c r="G50" s="18" t="s">
        <v>1759</v>
      </c>
      <c r="H50" s="18">
        <v>4000</v>
      </c>
      <c r="I50" t="s">
        <v>2282</v>
      </c>
      <c r="J50" s="18" t="s">
        <v>143</v>
      </c>
      <c r="K50" s="122" t="s">
        <v>211</v>
      </c>
      <c r="L50" s="124">
        <v>3.2638888888888891E-2</v>
      </c>
      <c r="M50" s="122" t="s">
        <v>2495</v>
      </c>
      <c r="N50" s="123">
        <v>13</v>
      </c>
      <c r="O50" s="123" t="s">
        <v>2496</v>
      </c>
      <c r="P50" s="123" t="s">
        <v>2285</v>
      </c>
      <c r="Q50" s="123" t="s">
        <v>436</v>
      </c>
      <c r="R50" s="123" t="s">
        <v>110</v>
      </c>
    </row>
    <row r="51" spans="1:18">
      <c r="A51" s="18">
        <v>13165768</v>
      </c>
      <c r="B51" s="19" t="s">
        <v>2497</v>
      </c>
      <c r="C51" s="20" t="s">
        <v>566</v>
      </c>
      <c r="D51" s="18" t="s">
        <v>569</v>
      </c>
      <c r="E51" s="19" t="s">
        <v>567</v>
      </c>
      <c r="F51" s="18" t="s">
        <v>2498</v>
      </c>
      <c r="G51" s="18" t="s">
        <v>1759</v>
      </c>
      <c r="H51" s="18">
        <v>4680</v>
      </c>
      <c r="I51" t="s">
        <v>2282</v>
      </c>
      <c r="J51" s="18" t="s">
        <v>143</v>
      </c>
      <c r="K51" s="122" t="s">
        <v>272</v>
      </c>
      <c r="L51" s="124">
        <v>0</v>
      </c>
      <c r="M51" s="122" t="s">
        <v>2499</v>
      </c>
      <c r="N51" s="123">
        <v>13</v>
      </c>
      <c r="O51" s="123" t="s">
        <v>2500</v>
      </c>
      <c r="P51" s="123" t="s">
        <v>2285</v>
      </c>
      <c r="Q51" s="123" t="s">
        <v>568</v>
      </c>
      <c r="R51" s="123" t="s">
        <v>110</v>
      </c>
    </row>
    <row r="52" spans="1:18">
      <c r="A52" s="18">
        <v>13168568</v>
      </c>
      <c r="B52" s="19" t="s">
        <v>2501</v>
      </c>
      <c r="C52" s="18" t="s">
        <v>838</v>
      </c>
      <c r="D52" s="18" t="s">
        <v>841</v>
      </c>
      <c r="E52" s="19" t="s">
        <v>839</v>
      </c>
      <c r="F52" s="18" t="s">
        <v>2502</v>
      </c>
      <c r="G52" s="18" t="s">
        <v>1759</v>
      </c>
      <c r="H52" s="18">
        <v>4212</v>
      </c>
      <c r="I52" t="s">
        <v>2282</v>
      </c>
      <c r="J52" s="18" t="s">
        <v>825</v>
      </c>
      <c r="K52" s="122" t="s">
        <v>826</v>
      </c>
      <c r="L52" s="124">
        <v>2.0833333333333332E-2</v>
      </c>
      <c r="M52" s="122" t="s">
        <v>2503</v>
      </c>
      <c r="N52" s="123">
        <v>13</v>
      </c>
      <c r="O52" s="123" t="s">
        <v>2504</v>
      </c>
      <c r="P52" s="123" t="s">
        <v>2285</v>
      </c>
      <c r="Q52" s="123" t="s">
        <v>840</v>
      </c>
      <c r="R52" s="123" t="s">
        <v>110</v>
      </c>
    </row>
    <row r="53" spans="1:18">
      <c r="A53" s="18">
        <v>13197601</v>
      </c>
      <c r="B53" s="19" t="s">
        <v>2505</v>
      </c>
      <c r="C53" s="18" t="s">
        <v>145</v>
      </c>
      <c r="D53" s="18" t="s">
        <v>149</v>
      </c>
      <c r="E53" s="19" t="s">
        <v>146</v>
      </c>
      <c r="F53" s="18" t="s">
        <v>2506</v>
      </c>
      <c r="G53" s="18" t="s">
        <v>1759</v>
      </c>
      <c r="H53" s="18">
        <v>4035</v>
      </c>
      <c r="I53" t="s">
        <v>2282</v>
      </c>
      <c r="J53" s="18" t="s">
        <v>143</v>
      </c>
      <c r="K53" s="122" t="s">
        <v>147</v>
      </c>
      <c r="L53" s="124">
        <v>3.3333333333333333E-2</v>
      </c>
      <c r="M53" s="122" t="s">
        <v>2507</v>
      </c>
      <c r="N53" s="123">
        <v>24</v>
      </c>
      <c r="O53" s="123" t="s">
        <v>2508</v>
      </c>
      <c r="P53" s="123" t="s">
        <v>2285</v>
      </c>
      <c r="Q53" s="123" t="s">
        <v>148</v>
      </c>
      <c r="R53" s="123" t="s">
        <v>110</v>
      </c>
    </row>
    <row r="54" spans="1:18">
      <c r="A54" s="18">
        <v>13203944</v>
      </c>
      <c r="B54" s="19" t="s">
        <v>2509</v>
      </c>
      <c r="C54" s="133"/>
      <c r="D54" s="18" t="s">
        <v>2510</v>
      </c>
      <c r="E54" s="19" t="s">
        <v>2511</v>
      </c>
      <c r="F54" s="18" t="s">
        <v>2512</v>
      </c>
      <c r="G54" s="18" t="s">
        <v>1759</v>
      </c>
      <c r="H54" s="18">
        <v>4510</v>
      </c>
      <c r="I54" t="s">
        <v>2282</v>
      </c>
      <c r="J54" s="18" t="s">
        <v>143</v>
      </c>
      <c r="K54" s="122" t="s">
        <v>138</v>
      </c>
      <c r="L54" s="124">
        <v>0</v>
      </c>
      <c r="M54" s="122" t="s">
        <v>2513</v>
      </c>
      <c r="N54" s="123">
        <v>13</v>
      </c>
      <c r="O54" s="123" t="s">
        <v>2514</v>
      </c>
      <c r="P54" s="123" t="s">
        <v>2285</v>
      </c>
      <c r="Q54" s="123" t="s">
        <v>2515</v>
      </c>
      <c r="R54" s="123" t="s">
        <v>110</v>
      </c>
    </row>
    <row r="55" spans="1:18">
      <c r="A55" s="18">
        <v>13207099</v>
      </c>
      <c r="B55" s="19" t="s">
        <v>2516</v>
      </c>
      <c r="C55" s="133"/>
      <c r="D55" s="18" t="s">
        <v>2517</v>
      </c>
      <c r="E55" s="19" t="s">
        <v>2518</v>
      </c>
      <c r="F55" s="18" t="s">
        <v>2519</v>
      </c>
      <c r="G55" s="18" t="s">
        <v>1759</v>
      </c>
      <c r="H55" s="18">
        <v>4054</v>
      </c>
      <c r="I55" t="s">
        <v>2282</v>
      </c>
      <c r="J55" s="18" t="s">
        <v>137</v>
      </c>
      <c r="K55" s="122" t="s">
        <v>147</v>
      </c>
      <c r="L55" s="124">
        <v>1.0416666666666666E-2</v>
      </c>
      <c r="M55" s="122" t="s">
        <v>2520</v>
      </c>
      <c r="N55" s="123">
        <v>24</v>
      </c>
      <c r="O55" s="123" t="s">
        <v>2521</v>
      </c>
      <c r="P55" s="123" t="s">
        <v>2285</v>
      </c>
      <c r="Q55" s="123" t="s">
        <v>2522</v>
      </c>
      <c r="R55" s="123" t="s">
        <v>110</v>
      </c>
    </row>
    <row r="56" spans="1:18">
      <c r="A56" s="18">
        <v>13212270</v>
      </c>
      <c r="B56" s="19" t="s">
        <v>2523</v>
      </c>
      <c r="C56" s="134" t="s">
        <v>1016</v>
      </c>
      <c r="D56" s="18" t="s">
        <v>1019</v>
      </c>
      <c r="E56" s="19" t="s">
        <v>1017</v>
      </c>
      <c r="F56" s="18" t="s">
        <v>2442</v>
      </c>
      <c r="G56" s="18" t="s">
        <v>1759</v>
      </c>
      <c r="H56" s="18">
        <v>4558</v>
      </c>
      <c r="I56" t="s">
        <v>2282</v>
      </c>
      <c r="J56" s="18" t="s">
        <v>143</v>
      </c>
      <c r="K56" s="122" t="s">
        <v>272</v>
      </c>
      <c r="L56" s="124">
        <v>2.8472222222222222E-2</v>
      </c>
      <c r="M56" s="122" t="s">
        <v>2524</v>
      </c>
      <c r="N56" s="123">
        <v>13</v>
      </c>
      <c r="O56" s="123" t="s">
        <v>2525</v>
      </c>
      <c r="P56" s="123" t="s">
        <v>2285</v>
      </c>
      <c r="Q56" s="123" t="s">
        <v>1018</v>
      </c>
      <c r="R56" s="123" t="s">
        <v>110</v>
      </c>
    </row>
    <row r="57" spans="1:18">
      <c r="A57" s="18">
        <v>13223831</v>
      </c>
      <c r="B57" s="19" t="s">
        <v>2526</v>
      </c>
      <c r="C57" s="18" t="s">
        <v>772</v>
      </c>
      <c r="D57" s="18" t="s">
        <v>775</v>
      </c>
      <c r="E57" s="19" t="s">
        <v>773</v>
      </c>
      <c r="F57" s="18" t="s">
        <v>2527</v>
      </c>
      <c r="G57" s="18" t="s">
        <v>1759</v>
      </c>
      <c r="H57" s="18">
        <v>4017</v>
      </c>
      <c r="I57" t="s">
        <v>2282</v>
      </c>
      <c r="J57" s="18" t="s">
        <v>143</v>
      </c>
      <c r="K57" s="122" t="s">
        <v>138</v>
      </c>
      <c r="L57" s="124">
        <v>2.0833333333333332E-2</v>
      </c>
      <c r="M57" s="122" t="s">
        <v>2528</v>
      </c>
      <c r="N57" s="123">
        <v>13</v>
      </c>
      <c r="O57" s="123" t="s">
        <v>2529</v>
      </c>
      <c r="P57" s="123" t="s">
        <v>2285</v>
      </c>
      <c r="Q57" s="123" t="s">
        <v>774</v>
      </c>
      <c r="R57" s="123" t="s">
        <v>110</v>
      </c>
    </row>
    <row r="58" spans="1:18" s="140" customFormat="1">
      <c r="A58" s="135">
        <v>13229924</v>
      </c>
      <c r="B58" s="136" t="s">
        <v>2530</v>
      </c>
      <c r="C58" s="135" t="s">
        <v>307</v>
      </c>
      <c r="D58" s="135" t="s">
        <v>310</v>
      </c>
      <c r="E58" s="136" t="s">
        <v>308</v>
      </c>
      <c r="F58" s="135" t="s">
        <v>2531</v>
      </c>
      <c r="G58" s="135" t="s">
        <v>1759</v>
      </c>
      <c r="H58" s="135">
        <v>4670</v>
      </c>
      <c r="I58" t="s">
        <v>2282</v>
      </c>
      <c r="J58" s="135" t="s">
        <v>137</v>
      </c>
      <c r="K58" s="137" t="s">
        <v>272</v>
      </c>
      <c r="L58" s="138">
        <v>2.1527777777777778E-2</v>
      </c>
      <c r="M58" s="137" t="s">
        <v>2532</v>
      </c>
      <c r="N58" s="139">
        <v>13</v>
      </c>
      <c r="O58" s="139" t="s">
        <v>2533</v>
      </c>
      <c r="P58" s="139" t="s">
        <v>2285</v>
      </c>
      <c r="Q58" s="139" t="s">
        <v>309</v>
      </c>
      <c r="R58" s="139" t="s">
        <v>110</v>
      </c>
    </row>
    <row r="59" spans="1:18">
      <c r="A59" s="18">
        <v>13230590</v>
      </c>
      <c r="B59" s="19" t="s">
        <v>2534</v>
      </c>
      <c r="C59" s="133" t="s">
        <v>141</v>
      </c>
      <c r="D59" s="18" t="s">
        <v>144</v>
      </c>
      <c r="E59" s="19" t="s">
        <v>142</v>
      </c>
      <c r="F59" s="18" t="s">
        <v>2535</v>
      </c>
      <c r="G59" s="18" t="s">
        <v>1759</v>
      </c>
      <c r="H59" s="18">
        <v>4677</v>
      </c>
      <c r="I59" t="s">
        <v>2282</v>
      </c>
      <c r="J59" s="18" t="s">
        <v>143</v>
      </c>
      <c r="K59" s="122" t="s">
        <v>138</v>
      </c>
      <c r="L59" s="124">
        <v>3.3333333333333333E-2</v>
      </c>
      <c r="M59" s="122" t="s">
        <v>2536</v>
      </c>
      <c r="N59" s="123">
        <v>3</v>
      </c>
      <c r="O59" s="123" t="s">
        <v>2537</v>
      </c>
      <c r="P59" s="123" t="s">
        <v>2285</v>
      </c>
      <c r="Q59" s="123"/>
      <c r="R59" s="123" t="s">
        <v>110</v>
      </c>
    </row>
    <row r="60" spans="1:18">
      <c r="A60" s="18">
        <v>13246962</v>
      </c>
      <c r="B60" s="19" t="s">
        <v>2538</v>
      </c>
      <c r="C60" s="18" t="s">
        <v>461</v>
      </c>
      <c r="D60" s="18" t="s">
        <v>464</v>
      </c>
      <c r="E60" s="19" t="s">
        <v>462</v>
      </c>
      <c r="F60" s="18" t="s">
        <v>2539</v>
      </c>
      <c r="G60" s="18" t="s">
        <v>1759</v>
      </c>
      <c r="H60" s="18">
        <v>4627</v>
      </c>
      <c r="I60" t="s">
        <v>2282</v>
      </c>
      <c r="J60" s="18" t="s">
        <v>107</v>
      </c>
      <c r="K60" s="122" t="s">
        <v>108</v>
      </c>
      <c r="L60" s="124">
        <v>1.2500000000000001E-2</v>
      </c>
      <c r="M60" s="122" t="s">
        <v>2540</v>
      </c>
      <c r="N60" s="123">
        <v>6</v>
      </c>
      <c r="O60" s="123" t="s">
        <v>2541</v>
      </c>
      <c r="P60" s="123" t="s">
        <v>2285</v>
      </c>
      <c r="Q60" s="123" t="s">
        <v>463</v>
      </c>
      <c r="R60" s="123" t="s">
        <v>110</v>
      </c>
    </row>
    <row r="61" spans="1:18" s="14" customFormat="1">
      <c r="A61" s="141">
        <v>13248424</v>
      </c>
      <c r="B61" s="142" t="s">
        <v>2542</v>
      </c>
      <c r="C61" s="141" t="s">
        <v>160</v>
      </c>
      <c r="D61" s="141" t="s">
        <v>162</v>
      </c>
      <c r="E61" s="142" t="s">
        <v>161</v>
      </c>
      <c r="F61" s="141" t="s">
        <v>2543</v>
      </c>
      <c r="G61" s="141" t="s">
        <v>1759</v>
      </c>
      <c r="H61" s="141">
        <v>4677</v>
      </c>
      <c r="I61" t="s">
        <v>2282</v>
      </c>
      <c r="J61" s="141" t="s">
        <v>137</v>
      </c>
      <c r="K61" s="143" t="s">
        <v>138</v>
      </c>
      <c r="L61" s="144">
        <v>1.1111111111111112E-2</v>
      </c>
      <c r="M61" s="143" t="s">
        <v>2544</v>
      </c>
      <c r="N61" s="145">
        <v>3</v>
      </c>
      <c r="O61" s="145" t="s">
        <v>2545</v>
      </c>
      <c r="P61" s="145" t="s">
        <v>2285</v>
      </c>
      <c r="Q61" s="145"/>
      <c r="R61" s="145" t="s">
        <v>110</v>
      </c>
    </row>
    <row r="62" spans="1:18">
      <c r="A62" s="18">
        <v>13251072</v>
      </c>
      <c r="B62" s="19" t="s">
        <v>2546</v>
      </c>
      <c r="C62" s="134" t="s">
        <v>893</v>
      </c>
      <c r="D62" s="18" t="s">
        <v>896</v>
      </c>
      <c r="E62" s="19" t="s">
        <v>894</v>
      </c>
      <c r="F62" s="18" t="s">
        <v>2547</v>
      </c>
      <c r="G62" s="18" t="s">
        <v>1759</v>
      </c>
      <c r="H62" s="18">
        <v>4562</v>
      </c>
      <c r="I62" t="s">
        <v>2282</v>
      </c>
      <c r="J62" s="18" t="s">
        <v>143</v>
      </c>
      <c r="K62" s="122" t="s">
        <v>272</v>
      </c>
      <c r="L62" s="124">
        <v>3.125E-2</v>
      </c>
      <c r="M62" s="122" t="s">
        <v>2548</v>
      </c>
      <c r="N62" s="123">
        <v>13</v>
      </c>
      <c r="O62" s="123" t="s">
        <v>2549</v>
      </c>
      <c r="P62" s="123" t="s">
        <v>2285</v>
      </c>
      <c r="Q62" s="123" t="s">
        <v>895</v>
      </c>
      <c r="R62" s="123" t="s">
        <v>110</v>
      </c>
    </row>
    <row r="63" spans="1:18" s="151" customFormat="1">
      <c r="A63" s="146">
        <v>13256452</v>
      </c>
      <c r="B63" s="147" t="s">
        <v>2550</v>
      </c>
      <c r="C63" s="146" t="s">
        <v>496</v>
      </c>
      <c r="D63" s="146" t="s">
        <v>499</v>
      </c>
      <c r="E63" s="147" t="s">
        <v>497</v>
      </c>
      <c r="F63" s="146" t="s">
        <v>2551</v>
      </c>
      <c r="G63" s="146" t="s">
        <v>1838</v>
      </c>
      <c r="H63" s="146">
        <v>2101</v>
      </c>
      <c r="I63" t="s">
        <v>2282</v>
      </c>
      <c r="J63" s="146" t="s">
        <v>143</v>
      </c>
      <c r="K63" s="148" t="s">
        <v>211</v>
      </c>
      <c r="L63" s="149">
        <v>2.2222222222222223E-2</v>
      </c>
      <c r="M63" s="148" t="s">
        <v>2552</v>
      </c>
      <c r="N63" s="150">
        <v>13</v>
      </c>
      <c r="O63" s="150" t="s">
        <v>2553</v>
      </c>
      <c r="P63" s="150" t="s">
        <v>2285</v>
      </c>
      <c r="Q63" s="150" t="s">
        <v>498</v>
      </c>
      <c r="R63" s="150" t="s">
        <v>110</v>
      </c>
    </row>
    <row r="64" spans="1:18">
      <c r="A64" s="18">
        <v>13259229</v>
      </c>
      <c r="B64" s="19" t="s">
        <v>2554</v>
      </c>
      <c r="C64" s="18" t="s">
        <v>270</v>
      </c>
      <c r="D64" s="18" t="s">
        <v>274</v>
      </c>
      <c r="E64" s="19" t="s">
        <v>271</v>
      </c>
      <c r="F64" s="18" t="s">
        <v>2491</v>
      </c>
      <c r="G64" s="18" t="s">
        <v>1759</v>
      </c>
      <c r="H64" s="18">
        <v>4557</v>
      </c>
      <c r="I64" t="s">
        <v>2282</v>
      </c>
      <c r="J64" s="18" t="s">
        <v>143</v>
      </c>
      <c r="K64" s="122" t="s">
        <v>272</v>
      </c>
      <c r="L64" s="124">
        <v>2.0833333333333332E-2</v>
      </c>
      <c r="M64" s="122" t="s">
        <v>2555</v>
      </c>
      <c r="N64" s="123">
        <v>13</v>
      </c>
      <c r="O64" s="123" t="s">
        <v>2556</v>
      </c>
      <c r="P64" s="123" t="s">
        <v>2285</v>
      </c>
      <c r="Q64" s="123" t="s">
        <v>273</v>
      </c>
      <c r="R64" s="123" t="s">
        <v>110</v>
      </c>
    </row>
    <row r="65" spans="1:18">
      <c r="A65" s="18">
        <v>13259230</v>
      </c>
      <c r="B65" s="19" t="s">
        <v>2557</v>
      </c>
      <c r="C65" s="18" t="s">
        <v>270</v>
      </c>
      <c r="D65" s="18" t="s">
        <v>2558</v>
      </c>
      <c r="E65" s="19" t="s">
        <v>271</v>
      </c>
      <c r="F65" s="18" t="s">
        <v>2491</v>
      </c>
      <c r="G65" s="18" t="s">
        <v>1759</v>
      </c>
      <c r="H65" s="18">
        <v>4557</v>
      </c>
      <c r="I65" t="s">
        <v>2282</v>
      </c>
      <c r="J65" s="18" t="s">
        <v>143</v>
      </c>
      <c r="K65" s="122" t="s">
        <v>272</v>
      </c>
      <c r="L65" s="124">
        <v>2.0833333333333332E-2</v>
      </c>
      <c r="M65" s="122" t="s">
        <v>2559</v>
      </c>
      <c r="N65" s="123">
        <v>13</v>
      </c>
      <c r="O65" s="123" t="s">
        <v>2560</v>
      </c>
      <c r="P65" s="123" t="s">
        <v>2285</v>
      </c>
      <c r="Q65" s="123" t="s">
        <v>2561</v>
      </c>
      <c r="R65" s="123" t="s">
        <v>110</v>
      </c>
    </row>
    <row r="66" spans="1:18">
      <c r="A66" s="18">
        <v>13264277</v>
      </c>
      <c r="B66" s="19" t="s">
        <v>2562</v>
      </c>
      <c r="C66" s="18" t="s">
        <v>289</v>
      </c>
      <c r="D66" s="18" t="s">
        <v>292</v>
      </c>
      <c r="E66" s="19" t="s">
        <v>290</v>
      </c>
      <c r="F66" s="18" t="s">
        <v>2563</v>
      </c>
      <c r="G66" s="18" t="s">
        <v>1759</v>
      </c>
      <c r="H66" s="18">
        <v>4004</v>
      </c>
      <c r="I66" t="s">
        <v>2282</v>
      </c>
      <c r="J66" s="18" t="s">
        <v>143</v>
      </c>
      <c r="K66" s="122" t="s">
        <v>211</v>
      </c>
      <c r="L66" s="124">
        <v>2.0833333333333332E-2</v>
      </c>
      <c r="M66" s="122" t="s">
        <v>2564</v>
      </c>
      <c r="N66" s="123">
        <v>13</v>
      </c>
      <c r="O66" s="123" t="s">
        <v>2565</v>
      </c>
      <c r="P66" s="123" t="s">
        <v>2285</v>
      </c>
      <c r="Q66" s="123" t="s">
        <v>291</v>
      </c>
      <c r="R66" s="123" t="s">
        <v>110</v>
      </c>
    </row>
    <row r="67" spans="1:18" ht="30">
      <c r="A67" s="18">
        <v>13264619</v>
      </c>
      <c r="B67" s="19" t="s">
        <v>2566</v>
      </c>
      <c r="C67" s="18" t="s">
        <v>324</v>
      </c>
      <c r="D67" s="18" t="s">
        <v>327</v>
      </c>
      <c r="E67" s="19" t="s">
        <v>325</v>
      </c>
      <c r="F67" s="18" t="s">
        <v>2567</v>
      </c>
      <c r="G67" s="18" t="s">
        <v>1759</v>
      </c>
      <c r="H67" s="18">
        <v>4075</v>
      </c>
      <c r="I67" t="s">
        <v>2282</v>
      </c>
      <c r="J67" s="18" t="s">
        <v>143</v>
      </c>
      <c r="K67" s="122" t="s">
        <v>272</v>
      </c>
      <c r="L67" s="124">
        <v>0</v>
      </c>
      <c r="M67" s="122" t="s">
        <v>2568</v>
      </c>
      <c r="N67" s="123">
        <v>13</v>
      </c>
      <c r="O67" s="123" t="s">
        <v>2569</v>
      </c>
      <c r="P67" s="123" t="s">
        <v>2285</v>
      </c>
      <c r="Q67" s="123" t="s">
        <v>326</v>
      </c>
      <c r="R67" s="123" t="s">
        <v>110</v>
      </c>
    </row>
    <row r="68" spans="1:18">
      <c r="A68" s="18">
        <v>13270902</v>
      </c>
      <c r="B68" s="19" t="s">
        <v>2570</v>
      </c>
      <c r="C68" s="18" t="s">
        <v>135</v>
      </c>
      <c r="D68" s="18" t="s">
        <v>140</v>
      </c>
      <c r="E68" s="19" t="s">
        <v>136</v>
      </c>
      <c r="F68" s="18" t="s">
        <v>2543</v>
      </c>
      <c r="G68" s="18" t="s">
        <v>1759</v>
      </c>
      <c r="H68" s="18">
        <v>4677</v>
      </c>
      <c r="I68" t="s">
        <v>2282</v>
      </c>
      <c r="J68" s="18" t="s">
        <v>137</v>
      </c>
      <c r="K68" s="122" t="s">
        <v>138</v>
      </c>
      <c r="L68" s="124">
        <v>3.125E-2</v>
      </c>
      <c r="M68" s="122" t="s">
        <v>2571</v>
      </c>
      <c r="N68" s="123">
        <v>3</v>
      </c>
      <c r="O68" s="123" t="s">
        <v>2572</v>
      </c>
      <c r="P68" s="123" t="s">
        <v>2285</v>
      </c>
      <c r="Q68" s="123" t="s">
        <v>139</v>
      </c>
      <c r="R68" s="123" t="s">
        <v>110</v>
      </c>
    </row>
    <row r="69" spans="1:18" s="157" customFormat="1">
      <c r="A69" s="152">
        <v>13273219</v>
      </c>
      <c r="B69" s="153" t="s">
        <v>2573</v>
      </c>
      <c r="C69" s="152" t="s">
        <v>237</v>
      </c>
      <c r="D69" s="152" t="s">
        <v>240</v>
      </c>
      <c r="E69" s="153" t="s">
        <v>238</v>
      </c>
      <c r="F69" s="152" t="s">
        <v>2574</v>
      </c>
      <c r="G69" s="152" t="s">
        <v>1759</v>
      </c>
      <c r="H69" s="152">
        <v>4000</v>
      </c>
      <c r="I69" t="s">
        <v>2282</v>
      </c>
      <c r="J69" s="152" t="s">
        <v>143</v>
      </c>
      <c r="K69" s="154" t="s">
        <v>211</v>
      </c>
      <c r="L69" s="155">
        <v>1.1111111111111112E-2</v>
      </c>
      <c r="M69" s="154" t="s">
        <v>2575</v>
      </c>
      <c r="N69" s="156">
        <v>13</v>
      </c>
      <c r="O69" s="156" t="s">
        <v>2576</v>
      </c>
      <c r="P69" s="156" t="s">
        <v>2285</v>
      </c>
      <c r="Q69" s="156" t="s">
        <v>239</v>
      </c>
      <c r="R69" s="156" t="s">
        <v>110</v>
      </c>
    </row>
    <row r="70" spans="1:18">
      <c r="A70" s="18">
        <v>13300275</v>
      </c>
      <c r="B70" s="19" t="s">
        <v>2577</v>
      </c>
      <c r="C70" s="18" t="s">
        <v>925</v>
      </c>
      <c r="D70" s="18" t="s">
        <v>928</v>
      </c>
      <c r="E70" s="19" t="s">
        <v>926</v>
      </c>
      <c r="F70" s="18" t="s">
        <v>2578</v>
      </c>
      <c r="G70" s="18" t="s">
        <v>1759</v>
      </c>
      <c r="H70" s="18">
        <v>4509</v>
      </c>
      <c r="I70" t="s">
        <v>2282</v>
      </c>
      <c r="J70" s="18" t="s">
        <v>143</v>
      </c>
      <c r="K70" s="122" t="s">
        <v>138</v>
      </c>
      <c r="L70" s="124">
        <v>2.0833333333333332E-2</v>
      </c>
      <c r="M70" s="122" t="s">
        <v>2579</v>
      </c>
      <c r="N70" s="123">
        <v>3</v>
      </c>
      <c r="O70" s="123" t="s">
        <v>2580</v>
      </c>
      <c r="P70" s="123" t="s">
        <v>2285</v>
      </c>
      <c r="Q70" s="123" t="s">
        <v>927</v>
      </c>
      <c r="R70" s="123" t="s">
        <v>110</v>
      </c>
    </row>
    <row r="71" spans="1:18">
      <c r="A71" s="18">
        <v>13317997</v>
      </c>
      <c r="B71" s="19" t="s">
        <v>2581</v>
      </c>
      <c r="C71" s="18" t="s">
        <v>653</v>
      </c>
      <c r="D71" s="18" t="s">
        <v>655</v>
      </c>
      <c r="E71" s="19" t="s">
        <v>654</v>
      </c>
      <c r="F71" s="18" t="s">
        <v>2582</v>
      </c>
      <c r="G71" s="18" t="s">
        <v>1759</v>
      </c>
      <c r="H71" s="18">
        <v>4077</v>
      </c>
      <c r="I71" t="s">
        <v>2282</v>
      </c>
      <c r="J71" s="18" t="s">
        <v>137</v>
      </c>
      <c r="K71" s="122" t="s">
        <v>138</v>
      </c>
      <c r="L71" s="124">
        <v>0</v>
      </c>
      <c r="M71" s="122" t="s">
        <v>2583</v>
      </c>
      <c r="N71" s="123">
        <v>3</v>
      </c>
      <c r="O71" s="123" t="s">
        <v>2584</v>
      </c>
      <c r="P71" s="123" t="s">
        <v>2285</v>
      </c>
      <c r="Q71" s="123"/>
      <c r="R71" s="123" t="s">
        <v>110</v>
      </c>
    </row>
    <row r="72" spans="1:18">
      <c r="A72" s="18">
        <v>13335564</v>
      </c>
      <c r="B72" s="19" t="s">
        <v>2585</v>
      </c>
      <c r="C72" s="18" t="s">
        <v>488</v>
      </c>
      <c r="D72" s="18" t="s">
        <v>491</v>
      </c>
      <c r="E72" s="19" t="s">
        <v>489</v>
      </c>
      <c r="F72" s="18" t="s">
        <v>2586</v>
      </c>
      <c r="G72" s="18" t="s">
        <v>1838</v>
      </c>
      <c r="H72" s="18">
        <v>2153</v>
      </c>
      <c r="I72" t="s">
        <v>2282</v>
      </c>
      <c r="J72" s="18" t="s">
        <v>137</v>
      </c>
      <c r="K72" s="122" t="s">
        <v>138</v>
      </c>
      <c r="L72" s="124">
        <v>3.2638888888888891E-2</v>
      </c>
      <c r="M72" s="122" t="s">
        <v>2587</v>
      </c>
      <c r="N72" s="123">
        <v>3</v>
      </c>
      <c r="O72" s="123" t="s">
        <v>2588</v>
      </c>
      <c r="P72" s="123" t="s">
        <v>2285</v>
      </c>
      <c r="Q72" s="123" t="s">
        <v>490</v>
      </c>
      <c r="R72" s="123" t="s">
        <v>110</v>
      </c>
    </row>
    <row r="73" spans="1:18">
      <c r="A73" s="18">
        <v>13353950</v>
      </c>
      <c r="B73" s="19" t="s">
        <v>2589</v>
      </c>
      <c r="C73" s="134" t="s">
        <v>1175</v>
      </c>
      <c r="D73" s="18" t="s">
        <v>1178</v>
      </c>
      <c r="E73" s="19" t="s">
        <v>1176</v>
      </c>
      <c r="F73" s="18" t="s">
        <v>2590</v>
      </c>
      <c r="G73" s="18" t="s">
        <v>1759</v>
      </c>
      <c r="H73" s="18">
        <v>4350</v>
      </c>
      <c r="I73" t="s">
        <v>2282</v>
      </c>
      <c r="J73" s="18" t="s">
        <v>143</v>
      </c>
      <c r="K73" s="122" t="s">
        <v>138</v>
      </c>
      <c r="L73" s="124">
        <v>2.1527777777777778E-2</v>
      </c>
      <c r="M73" s="122" t="s">
        <v>2591</v>
      </c>
      <c r="N73" s="123">
        <v>3</v>
      </c>
      <c r="O73" s="123" t="s">
        <v>2592</v>
      </c>
      <c r="P73" s="123" t="s">
        <v>2285</v>
      </c>
      <c r="Q73" s="123" t="s">
        <v>1177</v>
      </c>
      <c r="R73" s="123" t="s">
        <v>110</v>
      </c>
    </row>
    <row r="74" spans="1:18" ht="30">
      <c r="A74" s="18">
        <v>13360383</v>
      </c>
      <c r="B74" s="19" t="s">
        <v>2593</v>
      </c>
      <c r="C74" s="18" t="s">
        <v>768</v>
      </c>
      <c r="D74" s="18" t="s">
        <v>771</v>
      </c>
      <c r="E74" s="19" t="s">
        <v>769</v>
      </c>
      <c r="F74" s="18" t="s">
        <v>2594</v>
      </c>
      <c r="G74" s="18" t="s">
        <v>1759</v>
      </c>
      <c r="H74" s="18">
        <v>4070</v>
      </c>
      <c r="I74" t="s">
        <v>2282</v>
      </c>
      <c r="J74" s="18" t="s">
        <v>143</v>
      </c>
      <c r="K74" s="122" t="s">
        <v>138</v>
      </c>
      <c r="L74" s="124">
        <v>2.013888888888889E-2</v>
      </c>
      <c r="M74" s="122" t="s">
        <v>2595</v>
      </c>
      <c r="N74" s="123">
        <v>3</v>
      </c>
      <c r="O74" s="123" t="s">
        <v>2596</v>
      </c>
      <c r="P74" s="123" t="s">
        <v>2285</v>
      </c>
      <c r="Q74" s="123" t="s">
        <v>770</v>
      </c>
      <c r="R74" s="123" t="s">
        <v>110</v>
      </c>
    </row>
    <row r="75" spans="1:18">
      <c r="A75" s="18">
        <v>13513923</v>
      </c>
      <c r="B75" s="158">
        <v>4622403610106</v>
      </c>
      <c r="C75" s="18" t="s">
        <v>938</v>
      </c>
      <c r="D75" s="18"/>
      <c r="E75" s="18" t="s">
        <v>2597</v>
      </c>
      <c r="F75" s="18" t="s">
        <v>2598</v>
      </c>
      <c r="G75" s="18" t="s">
        <v>1759</v>
      </c>
      <c r="H75" s="18">
        <v>4173</v>
      </c>
      <c r="I75" t="s">
        <v>2282</v>
      </c>
      <c r="J75" s="18" t="s">
        <v>1472</v>
      </c>
      <c r="K75" s="159">
        <v>45593</v>
      </c>
      <c r="L75" s="18">
        <v>61478492162</v>
      </c>
      <c r="M75" s="18" t="s">
        <v>2599</v>
      </c>
    </row>
    <row r="76" spans="1:18">
      <c r="A76" s="18">
        <v>13528591</v>
      </c>
      <c r="B76" s="158">
        <v>4622403605155</v>
      </c>
      <c r="C76" s="18" t="s">
        <v>1628</v>
      </c>
      <c r="D76" s="18"/>
      <c r="E76" s="18" t="s">
        <v>2600</v>
      </c>
      <c r="F76" s="18" t="s">
        <v>2601</v>
      </c>
      <c r="G76" s="18" t="s">
        <v>1796</v>
      </c>
      <c r="H76" s="18">
        <v>6019</v>
      </c>
      <c r="I76" t="s">
        <v>2282</v>
      </c>
      <c r="J76" s="18" t="s">
        <v>1472</v>
      </c>
      <c r="K76" s="159">
        <v>45614</v>
      </c>
      <c r="L76" s="18">
        <v>61478488950</v>
      </c>
      <c r="M76" s="18" t="s">
        <v>2599</v>
      </c>
    </row>
    <row r="77" spans="1:18">
      <c r="A77" s="18">
        <v>13528594</v>
      </c>
      <c r="B77" s="158">
        <v>4622403605122</v>
      </c>
      <c r="C77" s="18" t="s">
        <v>1470</v>
      </c>
      <c r="D77" s="18"/>
      <c r="E77" s="18" t="s">
        <v>1471</v>
      </c>
      <c r="F77" s="18" t="s">
        <v>2602</v>
      </c>
      <c r="G77" s="18" t="s">
        <v>1771</v>
      </c>
      <c r="H77" s="18">
        <v>3690</v>
      </c>
      <c r="I77" t="s">
        <v>2282</v>
      </c>
      <c r="J77" s="18" t="s">
        <v>1472</v>
      </c>
      <c r="K77" s="159">
        <v>45614</v>
      </c>
      <c r="L77" s="18">
        <v>61478488960</v>
      </c>
      <c r="M77" s="18" t="s">
        <v>2599</v>
      </c>
    </row>
    <row r="78" spans="1:18">
      <c r="A78" s="18">
        <v>13528596</v>
      </c>
      <c r="B78" s="158">
        <v>4622403605148</v>
      </c>
      <c r="C78" s="18" t="s">
        <v>1430</v>
      </c>
      <c r="D78" s="18"/>
      <c r="E78" s="18" t="s">
        <v>2603</v>
      </c>
      <c r="F78" s="18" t="s">
        <v>2604</v>
      </c>
      <c r="G78" s="18" t="s">
        <v>1771</v>
      </c>
      <c r="H78" s="18">
        <v>3122</v>
      </c>
      <c r="I78" t="s">
        <v>2282</v>
      </c>
      <c r="J78" s="18" t="s">
        <v>1472</v>
      </c>
      <c r="K78" s="159">
        <v>45614</v>
      </c>
      <c r="L78" s="18">
        <v>61478488995</v>
      </c>
      <c r="M78" s="18" t="s">
        <v>2599</v>
      </c>
    </row>
    <row r="79" spans="1:18">
      <c r="A79" s="18">
        <v>13528598</v>
      </c>
      <c r="B79" s="158">
        <v>4622403605130</v>
      </c>
      <c r="C79" s="18" t="s">
        <v>1708</v>
      </c>
      <c r="D79" s="18"/>
      <c r="E79" s="18" t="s">
        <v>2605</v>
      </c>
      <c r="F79" s="18" t="s">
        <v>2602</v>
      </c>
      <c r="G79" s="18" t="s">
        <v>1771</v>
      </c>
      <c r="H79" s="18">
        <v>3690</v>
      </c>
      <c r="I79" t="s">
        <v>2282</v>
      </c>
      <c r="J79" s="18" t="s">
        <v>1472</v>
      </c>
      <c r="K79" s="159">
        <v>45614</v>
      </c>
      <c r="L79" s="18">
        <v>61478488997</v>
      </c>
      <c r="M79" s="18" t="s">
        <v>2599</v>
      </c>
    </row>
    <row r="80" spans="1:18">
      <c r="A80" s="18">
        <v>13529385</v>
      </c>
      <c r="B80" s="158">
        <v>4622403605163</v>
      </c>
      <c r="C80" s="18" t="s">
        <v>649</v>
      </c>
      <c r="D80" s="18"/>
      <c r="E80" s="18" t="s">
        <v>2606</v>
      </c>
      <c r="F80" s="18" t="s">
        <v>2607</v>
      </c>
      <c r="G80" s="18" t="s">
        <v>1759</v>
      </c>
      <c r="H80" s="18">
        <v>4054</v>
      </c>
      <c r="I80" t="s">
        <v>2282</v>
      </c>
      <c r="J80" s="18" t="s">
        <v>1472</v>
      </c>
      <c r="K80" s="159">
        <v>45615</v>
      </c>
      <c r="L80" s="18">
        <v>61478489006</v>
      </c>
      <c r="M80" s="18" t="s">
        <v>2599</v>
      </c>
    </row>
    <row r="81" spans="1:13">
      <c r="A81" s="18">
        <v>13529650</v>
      </c>
      <c r="B81" s="158">
        <v>4622403605171</v>
      </c>
      <c r="C81" s="18" t="s">
        <v>799</v>
      </c>
      <c r="D81" s="18"/>
      <c r="E81" s="18" t="s">
        <v>2608</v>
      </c>
      <c r="F81" s="18" t="s">
        <v>2609</v>
      </c>
      <c r="G81" s="18" t="s">
        <v>1759</v>
      </c>
      <c r="H81" s="18">
        <v>4006</v>
      </c>
      <c r="I81" t="s">
        <v>2282</v>
      </c>
      <c r="J81" s="18" t="s">
        <v>1472</v>
      </c>
      <c r="K81" s="159">
        <v>45616</v>
      </c>
      <c r="L81" s="18">
        <v>61478489011</v>
      </c>
      <c r="M81" s="18" t="s">
        <v>2599</v>
      </c>
    </row>
    <row r="82" spans="1:13" s="66" customFormat="1">
      <c r="A82" s="134">
        <v>13530680</v>
      </c>
      <c r="B82" s="160">
        <v>4622403605114</v>
      </c>
      <c r="C82" s="134" t="s">
        <v>268</v>
      </c>
      <c r="D82" s="134"/>
      <c r="E82" s="134" t="s">
        <v>1480</v>
      </c>
      <c r="F82" s="134" t="s">
        <v>2610</v>
      </c>
      <c r="G82" s="134" t="s">
        <v>1838</v>
      </c>
      <c r="H82" s="134">
        <v>2018</v>
      </c>
      <c r="I82" t="s">
        <v>2282</v>
      </c>
      <c r="J82" s="134" t="s">
        <v>1472</v>
      </c>
      <c r="K82" s="161">
        <v>45617</v>
      </c>
      <c r="L82" s="134">
        <v>61478489019</v>
      </c>
      <c r="M82" s="134" t="s">
        <v>2599</v>
      </c>
    </row>
    <row r="83" spans="1:13">
      <c r="A83" s="18">
        <v>13532686</v>
      </c>
      <c r="B83" s="158">
        <v>4622403605189</v>
      </c>
      <c r="C83" s="18" t="s">
        <v>1481</v>
      </c>
      <c r="D83" s="18"/>
      <c r="E83" s="18" t="s">
        <v>1482</v>
      </c>
      <c r="F83" s="18" t="s">
        <v>2611</v>
      </c>
      <c r="G83" s="18" t="s">
        <v>1771</v>
      </c>
      <c r="H83" s="18">
        <v>3228</v>
      </c>
      <c r="I83" t="s">
        <v>2282</v>
      </c>
      <c r="J83" s="18" t="s">
        <v>1472</v>
      </c>
      <c r="K83" s="159">
        <v>45621</v>
      </c>
      <c r="L83" s="18">
        <v>61478489034</v>
      </c>
      <c r="M83" s="18" t="s">
        <v>2599</v>
      </c>
    </row>
    <row r="84" spans="1:13">
      <c r="A84" s="18">
        <v>13533060</v>
      </c>
      <c r="B84" s="158">
        <v>4622403605197</v>
      </c>
      <c r="C84" s="18" t="s">
        <v>1483</v>
      </c>
      <c r="D84" s="18"/>
      <c r="E84" s="18" t="s">
        <v>1484</v>
      </c>
      <c r="F84" s="18" t="s">
        <v>2612</v>
      </c>
      <c r="G84" s="18" t="s">
        <v>1759</v>
      </c>
      <c r="H84" s="18">
        <v>4034</v>
      </c>
      <c r="I84" t="s">
        <v>2282</v>
      </c>
      <c r="J84" s="18" t="s">
        <v>1472</v>
      </c>
      <c r="K84" s="159">
        <v>45621</v>
      </c>
      <c r="L84" s="18">
        <v>61478489036</v>
      </c>
      <c r="M84" s="18" t="s">
        <v>2599</v>
      </c>
    </row>
    <row r="85" spans="1:13">
      <c r="A85" s="18">
        <v>13538420</v>
      </c>
      <c r="B85" s="158">
        <v>4622403605205</v>
      </c>
      <c r="C85" s="18" t="s">
        <v>1485</v>
      </c>
      <c r="D85" s="18"/>
      <c r="E85" s="18" t="s">
        <v>1486</v>
      </c>
      <c r="F85" s="18" t="s">
        <v>2613</v>
      </c>
      <c r="G85" s="18" t="s">
        <v>1759</v>
      </c>
      <c r="H85" s="18">
        <v>4207</v>
      </c>
      <c r="I85" t="s">
        <v>2282</v>
      </c>
      <c r="J85" s="18" t="s">
        <v>1472</v>
      </c>
      <c r="K85" s="159">
        <v>45628</v>
      </c>
      <c r="L85" s="18">
        <v>61478493105</v>
      </c>
      <c r="M85" s="18" t="s">
        <v>2599</v>
      </c>
    </row>
    <row r="86" spans="1:13">
      <c r="A86" s="18">
        <v>13539733</v>
      </c>
      <c r="B86" s="158">
        <v>4622403605213</v>
      </c>
      <c r="C86" s="18" t="s">
        <v>1487</v>
      </c>
      <c r="D86" s="18"/>
      <c r="E86" s="18" t="s">
        <v>1488</v>
      </c>
      <c r="F86" s="18" t="s">
        <v>2614</v>
      </c>
      <c r="G86" s="18" t="s">
        <v>1771</v>
      </c>
      <c r="H86" s="18">
        <v>3023</v>
      </c>
      <c r="I86" t="s">
        <v>2282</v>
      </c>
      <c r="J86" s="18" t="s">
        <v>1472</v>
      </c>
      <c r="K86" s="159">
        <v>45630</v>
      </c>
      <c r="L86" s="18">
        <v>61478489048</v>
      </c>
      <c r="M86" s="18" t="s">
        <v>2599</v>
      </c>
    </row>
    <row r="87" spans="1:13">
      <c r="A87" s="18">
        <v>13541468</v>
      </c>
      <c r="B87" s="158">
        <v>4622403605221</v>
      </c>
      <c r="C87" s="18" t="s">
        <v>1489</v>
      </c>
      <c r="D87" s="18"/>
      <c r="E87" s="18" t="s">
        <v>1490</v>
      </c>
      <c r="F87" s="18" t="s">
        <v>657</v>
      </c>
      <c r="G87" s="18" t="s">
        <v>1759</v>
      </c>
      <c r="H87" s="18">
        <v>4006</v>
      </c>
      <c r="I87" t="s">
        <v>2282</v>
      </c>
      <c r="J87" s="18" t="s">
        <v>1472</v>
      </c>
      <c r="K87" s="159">
        <v>45631</v>
      </c>
      <c r="L87" s="18">
        <v>61478490541</v>
      </c>
      <c r="M87" s="18" t="s">
        <v>2599</v>
      </c>
    </row>
    <row r="88" spans="1:13" ht="30">
      <c r="A88" s="18">
        <v>13544784</v>
      </c>
      <c r="B88" s="158">
        <v>4622403605239</v>
      </c>
      <c r="C88" s="19" t="s">
        <v>1491</v>
      </c>
      <c r="D88" s="19"/>
      <c r="E88" s="18" t="s">
        <v>1492</v>
      </c>
      <c r="F88" s="18" t="s">
        <v>1006</v>
      </c>
      <c r="G88" s="18" t="s">
        <v>1759</v>
      </c>
      <c r="H88" s="18">
        <v>4215</v>
      </c>
      <c r="I88" t="s">
        <v>2282</v>
      </c>
      <c r="J88" s="18" t="s">
        <v>1472</v>
      </c>
      <c r="K88" s="159">
        <v>45637</v>
      </c>
      <c r="L88" s="18">
        <v>61478489053</v>
      </c>
      <c r="M88" s="18" t="s">
        <v>2599</v>
      </c>
    </row>
    <row r="89" spans="1:13">
      <c r="A89" s="18">
        <v>13545006</v>
      </c>
      <c r="B89" s="158">
        <v>4622403605247</v>
      </c>
      <c r="C89" s="18" t="s">
        <v>1493</v>
      </c>
      <c r="D89" s="18"/>
      <c r="E89" s="18" t="s">
        <v>1494</v>
      </c>
      <c r="F89" s="18" t="s">
        <v>2615</v>
      </c>
      <c r="G89" s="18" t="s">
        <v>1771</v>
      </c>
      <c r="H89" s="18">
        <v>3030</v>
      </c>
      <c r="I89" t="s">
        <v>2282</v>
      </c>
      <c r="J89" s="18" t="s">
        <v>1472</v>
      </c>
      <c r="K89" s="159">
        <v>45637</v>
      </c>
      <c r="L89" s="18">
        <v>61478489092</v>
      </c>
      <c r="M89" s="18" t="s">
        <v>2599</v>
      </c>
    </row>
    <row r="90" spans="1:13">
      <c r="A90" s="18">
        <v>13545725</v>
      </c>
      <c r="B90" s="158">
        <v>4622403605254</v>
      </c>
      <c r="C90" s="18" t="s">
        <v>1495</v>
      </c>
      <c r="D90" s="18"/>
      <c r="E90" s="18" t="s">
        <v>1496</v>
      </c>
      <c r="F90" s="18" t="s">
        <v>2616</v>
      </c>
      <c r="G90" s="18" t="s">
        <v>1759</v>
      </c>
      <c r="H90" s="18">
        <v>4220</v>
      </c>
      <c r="I90" t="s">
        <v>2282</v>
      </c>
      <c r="J90" s="18" t="s">
        <v>1472</v>
      </c>
      <c r="K90" s="159">
        <v>45638</v>
      </c>
      <c r="L90" s="18">
        <v>61478489100</v>
      </c>
      <c r="M90" s="18" t="s">
        <v>2599</v>
      </c>
    </row>
    <row r="91" spans="1:13">
      <c r="A91" s="18">
        <v>13547662</v>
      </c>
      <c r="B91" s="158">
        <v>4622403605288</v>
      </c>
      <c r="C91" s="18" t="s">
        <v>1497</v>
      </c>
      <c r="D91" s="18"/>
      <c r="E91" s="18" t="s">
        <v>1498</v>
      </c>
      <c r="F91" s="18" t="s">
        <v>2617</v>
      </c>
      <c r="G91" s="18" t="s">
        <v>1759</v>
      </c>
      <c r="H91" s="18">
        <v>4000</v>
      </c>
      <c r="I91" t="s">
        <v>2282</v>
      </c>
      <c r="J91" s="18" t="s">
        <v>1472</v>
      </c>
      <c r="K91" s="159">
        <v>45642</v>
      </c>
      <c r="L91" s="18">
        <v>61478489102</v>
      </c>
      <c r="M91" s="18" t="s">
        <v>2599</v>
      </c>
    </row>
    <row r="92" spans="1:13">
      <c r="A92" s="18">
        <v>13548862</v>
      </c>
      <c r="B92" s="158">
        <v>4622403605262</v>
      </c>
      <c r="C92" s="18" t="s">
        <v>1499</v>
      </c>
      <c r="D92" s="18"/>
      <c r="E92" s="18" t="s">
        <v>1500</v>
      </c>
      <c r="F92" s="18" t="s">
        <v>2618</v>
      </c>
      <c r="G92" s="18" t="s">
        <v>1838</v>
      </c>
      <c r="H92" s="18">
        <v>2250</v>
      </c>
      <c r="I92" t="s">
        <v>2282</v>
      </c>
      <c r="J92" s="18" t="s">
        <v>1472</v>
      </c>
      <c r="K92" s="159">
        <v>45644</v>
      </c>
      <c r="L92" s="18">
        <v>61478489112</v>
      </c>
      <c r="M92" s="18" t="s">
        <v>2599</v>
      </c>
    </row>
    <row r="93" spans="1:13">
      <c r="A93" s="18">
        <v>13550793</v>
      </c>
      <c r="B93" s="158">
        <v>4622403605270</v>
      </c>
      <c r="C93" s="18" t="s">
        <v>1501</v>
      </c>
      <c r="D93" s="18"/>
      <c r="E93" s="18" t="s">
        <v>1502</v>
      </c>
      <c r="F93" s="18" t="s">
        <v>1006</v>
      </c>
      <c r="G93" s="18" t="s">
        <v>1759</v>
      </c>
      <c r="H93" s="18">
        <v>4215</v>
      </c>
      <c r="I93" t="s">
        <v>2282</v>
      </c>
      <c r="J93" s="18" t="s">
        <v>1472</v>
      </c>
      <c r="K93" s="159">
        <v>45646</v>
      </c>
      <c r="L93" s="18">
        <v>61478489124</v>
      </c>
      <c r="M93" s="18" t="s">
        <v>2599</v>
      </c>
    </row>
    <row r="94" spans="1:13">
      <c r="A94" s="18">
        <v>13562705</v>
      </c>
      <c r="B94" s="158">
        <v>4622403605296</v>
      </c>
      <c r="C94" s="18" t="s">
        <v>1503</v>
      </c>
      <c r="D94" s="18"/>
      <c r="E94" s="18" t="s">
        <v>1504</v>
      </c>
      <c r="F94" s="18" t="s">
        <v>2619</v>
      </c>
      <c r="G94" s="18" t="s">
        <v>1759</v>
      </c>
      <c r="H94" s="18">
        <v>4225</v>
      </c>
      <c r="I94" t="s">
        <v>2282</v>
      </c>
      <c r="J94" s="18" t="s">
        <v>1472</v>
      </c>
      <c r="K94" s="159">
        <v>45670</v>
      </c>
      <c r="L94" s="18">
        <v>61478489137</v>
      </c>
      <c r="M94" s="18" t="s">
        <v>2599</v>
      </c>
    </row>
    <row r="95" spans="1:13">
      <c r="A95" s="18">
        <v>13571827</v>
      </c>
      <c r="B95" s="158">
        <v>4622403605312</v>
      </c>
      <c r="C95" s="18" t="s">
        <v>1505</v>
      </c>
      <c r="D95" s="18"/>
      <c r="E95" s="18" t="s">
        <v>1506</v>
      </c>
      <c r="F95" s="18" t="s">
        <v>2620</v>
      </c>
      <c r="G95" s="18" t="s">
        <v>1759</v>
      </c>
      <c r="H95" s="18">
        <v>4101</v>
      </c>
      <c r="I95" t="s">
        <v>2282</v>
      </c>
      <c r="J95" s="18" t="s">
        <v>1472</v>
      </c>
      <c r="K95" s="159">
        <v>45680</v>
      </c>
      <c r="L95" s="18">
        <v>61478489163</v>
      </c>
      <c r="M95" s="18" t="s">
        <v>2599</v>
      </c>
    </row>
    <row r="96" spans="1:13">
      <c r="A96" s="18">
        <v>13582756</v>
      </c>
      <c r="B96" s="158">
        <v>4622403605320</v>
      </c>
      <c r="C96" s="18" t="s">
        <v>1143</v>
      </c>
      <c r="D96" s="18"/>
      <c r="E96" s="18" t="s">
        <v>2621</v>
      </c>
      <c r="F96" s="18" t="s">
        <v>2622</v>
      </c>
      <c r="G96" s="18" t="s">
        <v>1759</v>
      </c>
      <c r="H96" s="18">
        <v>4506</v>
      </c>
      <c r="I96" t="s">
        <v>2282</v>
      </c>
      <c r="J96" s="18" t="s">
        <v>1472</v>
      </c>
      <c r="K96" s="159">
        <v>45693</v>
      </c>
      <c r="L96" s="18">
        <v>61478489192</v>
      </c>
      <c r="M96" s="18" t="s">
        <v>2599</v>
      </c>
    </row>
    <row r="97" spans="1:13">
      <c r="A97" s="18">
        <v>13586747</v>
      </c>
      <c r="B97" s="158">
        <v>4622403605338</v>
      </c>
      <c r="C97" s="18" t="s">
        <v>1694</v>
      </c>
      <c r="D97" s="18"/>
      <c r="E97" s="18" t="s">
        <v>2623</v>
      </c>
      <c r="F97" s="18" t="s">
        <v>2624</v>
      </c>
      <c r="G97" s="18" t="s">
        <v>1838</v>
      </c>
      <c r="H97" s="18">
        <v>2017</v>
      </c>
      <c r="I97" t="s">
        <v>2282</v>
      </c>
      <c r="J97" s="18" t="s">
        <v>1472</v>
      </c>
      <c r="K97" s="159">
        <v>45699</v>
      </c>
      <c r="L97" s="18">
        <v>61478489211</v>
      </c>
      <c r="M97" s="18" t="s">
        <v>2599</v>
      </c>
    </row>
    <row r="98" spans="1:13">
      <c r="A98" s="18">
        <v>13586766</v>
      </c>
      <c r="B98" s="158">
        <v>4622403605346</v>
      </c>
      <c r="C98" s="18" t="s">
        <v>1509</v>
      </c>
      <c r="D98" s="18"/>
      <c r="E98" s="18" t="s">
        <v>1510</v>
      </c>
      <c r="F98" s="18" t="s">
        <v>2625</v>
      </c>
      <c r="G98" s="18" t="s">
        <v>1759</v>
      </c>
      <c r="H98" s="18">
        <v>4000</v>
      </c>
      <c r="I98" t="s">
        <v>2282</v>
      </c>
      <c r="J98" s="18" t="s">
        <v>1472</v>
      </c>
      <c r="K98" s="159">
        <v>45699</v>
      </c>
      <c r="L98" s="18">
        <v>61478489213</v>
      </c>
      <c r="M98" s="18" t="s">
        <v>2599</v>
      </c>
    </row>
    <row r="99" spans="1:13">
      <c r="A99" s="18">
        <v>13587200</v>
      </c>
      <c r="B99" s="158">
        <v>4622403605353</v>
      </c>
      <c r="C99" s="18" t="s">
        <v>1511</v>
      </c>
      <c r="D99" s="18"/>
      <c r="E99" s="18" t="s">
        <v>1512</v>
      </c>
      <c r="F99" s="18" t="s">
        <v>2626</v>
      </c>
      <c r="G99" s="18" t="s">
        <v>1759</v>
      </c>
      <c r="H99" s="18">
        <v>4014</v>
      </c>
      <c r="I99" t="s">
        <v>2282</v>
      </c>
      <c r="J99" s="18" t="s">
        <v>1472</v>
      </c>
      <c r="K99" s="159">
        <v>45699</v>
      </c>
      <c r="L99" s="18">
        <v>61478489215</v>
      </c>
      <c r="M99" s="18" t="s">
        <v>2599</v>
      </c>
    </row>
    <row r="100" spans="1:13">
      <c r="A100" s="18">
        <v>13596446</v>
      </c>
      <c r="B100" s="158">
        <v>4622403605387</v>
      </c>
      <c r="C100" s="18" t="s">
        <v>1476</v>
      </c>
      <c r="D100" s="18"/>
      <c r="E100" s="18" t="s">
        <v>2627</v>
      </c>
      <c r="F100" s="18" t="s">
        <v>2628</v>
      </c>
      <c r="G100" s="18" t="s">
        <v>1771</v>
      </c>
      <c r="H100" s="18">
        <v>3144</v>
      </c>
      <c r="I100" t="s">
        <v>2282</v>
      </c>
      <c r="J100" s="18" t="s">
        <v>1472</v>
      </c>
      <c r="K100" s="159">
        <v>45712</v>
      </c>
      <c r="L100" s="18">
        <v>61478489299</v>
      </c>
      <c r="M100" s="18" t="s">
        <v>2599</v>
      </c>
    </row>
    <row r="101" spans="1:13">
      <c r="A101" s="18">
        <v>13596454</v>
      </c>
      <c r="B101" s="158">
        <v>4622403605379</v>
      </c>
      <c r="C101" s="18" t="s">
        <v>1393</v>
      </c>
      <c r="D101" s="18"/>
      <c r="E101" s="18" t="s">
        <v>2629</v>
      </c>
      <c r="F101" s="18" t="s">
        <v>2630</v>
      </c>
      <c r="G101" s="18" t="s">
        <v>1771</v>
      </c>
      <c r="H101" s="18">
        <v>3000</v>
      </c>
      <c r="I101" t="s">
        <v>2282</v>
      </c>
      <c r="J101" s="18" t="s">
        <v>1472</v>
      </c>
      <c r="K101" s="159">
        <v>45712</v>
      </c>
      <c r="L101" s="18">
        <v>61478489235</v>
      </c>
      <c r="M101" s="18" t="s">
        <v>2599</v>
      </c>
    </row>
    <row r="102" spans="1:13">
      <c r="A102" s="18">
        <v>13596468</v>
      </c>
      <c r="B102" s="158">
        <v>4622403605361</v>
      </c>
      <c r="C102" s="18" t="s">
        <v>1521</v>
      </c>
      <c r="D102" s="18"/>
      <c r="E102" s="18" t="s">
        <v>1522</v>
      </c>
      <c r="F102" s="18" t="s">
        <v>2631</v>
      </c>
      <c r="G102" s="18" t="s">
        <v>1771</v>
      </c>
      <c r="H102" s="18">
        <v>3121</v>
      </c>
      <c r="I102" t="s">
        <v>2282</v>
      </c>
      <c r="J102" s="18" t="s">
        <v>1472</v>
      </c>
      <c r="K102" s="159">
        <v>45712</v>
      </c>
      <c r="L102" s="18">
        <v>61478489314</v>
      </c>
      <c r="M102" s="18" t="s">
        <v>2599</v>
      </c>
    </row>
    <row r="103" spans="1:13">
      <c r="A103" s="18">
        <v>13597441</v>
      </c>
      <c r="B103" s="158">
        <v>4622403605395</v>
      </c>
      <c r="C103" s="18" t="s">
        <v>1293</v>
      </c>
      <c r="D103" s="18"/>
      <c r="E103" s="18" t="s">
        <v>2632</v>
      </c>
      <c r="F103" s="18" t="s">
        <v>2633</v>
      </c>
      <c r="G103" s="18" t="s">
        <v>1771</v>
      </c>
      <c r="H103" s="18">
        <v>3204</v>
      </c>
      <c r="I103" t="s">
        <v>2282</v>
      </c>
      <c r="J103" s="18" t="s">
        <v>1472</v>
      </c>
      <c r="K103" s="159">
        <v>45713</v>
      </c>
      <c r="L103" s="18">
        <v>61478489325</v>
      </c>
      <c r="M103" s="18" t="s">
        <v>2599</v>
      </c>
    </row>
    <row r="104" spans="1:13">
      <c r="A104" s="18">
        <v>13599000</v>
      </c>
      <c r="B104" s="158">
        <v>4622403605411</v>
      </c>
      <c r="C104" s="18" t="s">
        <v>1523</v>
      </c>
      <c r="D104" s="18"/>
      <c r="E104" s="18" t="s">
        <v>1524</v>
      </c>
      <c r="F104" s="18" t="s">
        <v>2634</v>
      </c>
      <c r="G104" s="18" t="s">
        <v>1771</v>
      </c>
      <c r="H104" s="18">
        <v>3038</v>
      </c>
      <c r="I104" t="s">
        <v>2282</v>
      </c>
      <c r="J104" s="18" t="s">
        <v>1472</v>
      </c>
      <c r="K104" s="159">
        <v>45715</v>
      </c>
      <c r="L104" s="18">
        <v>61478489339</v>
      </c>
      <c r="M104" s="18" t="s">
        <v>2599</v>
      </c>
    </row>
    <row r="105" spans="1:13">
      <c r="A105" s="18">
        <v>13600115</v>
      </c>
      <c r="B105" s="158">
        <v>4622403605429</v>
      </c>
      <c r="C105" s="18" t="s">
        <v>938</v>
      </c>
      <c r="D105" s="18"/>
      <c r="E105" s="18" t="s">
        <v>2635</v>
      </c>
      <c r="F105" s="18" t="s">
        <v>2598</v>
      </c>
      <c r="G105" s="18" t="s">
        <v>1759</v>
      </c>
      <c r="H105" s="18">
        <v>4173</v>
      </c>
      <c r="I105" t="s">
        <v>2282</v>
      </c>
      <c r="J105" s="18" t="s">
        <v>1472</v>
      </c>
      <c r="K105" s="159">
        <v>45716</v>
      </c>
      <c r="L105" s="18">
        <v>61478489340</v>
      </c>
      <c r="M105" s="18" t="s">
        <v>2599</v>
      </c>
    </row>
    <row r="106" spans="1:13">
      <c r="A106" s="18">
        <v>13603700</v>
      </c>
      <c r="B106" s="158">
        <v>4622403605437</v>
      </c>
      <c r="C106" s="18" t="s">
        <v>1533</v>
      </c>
      <c r="D106" s="18"/>
      <c r="E106" s="18" t="s">
        <v>2636</v>
      </c>
      <c r="F106" s="18" t="s">
        <v>2491</v>
      </c>
      <c r="G106" s="18" t="s">
        <v>1759</v>
      </c>
      <c r="H106" s="18">
        <v>4557</v>
      </c>
      <c r="I106" t="s">
        <v>2282</v>
      </c>
      <c r="J106" s="18" t="s">
        <v>1472</v>
      </c>
      <c r="K106" s="159">
        <v>45721</v>
      </c>
      <c r="L106" s="18">
        <v>61478489342</v>
      </c>
      <c r="M106" s="18" t="s">
        <v>2599</v>
      </c>
    </row>
    <row r="107" spans="1:13">
      <c r="A107" s="18">
        <v>13611790</v>
      </c>
      <c r="B107" s="158">
        <v>4622403605452</v>
      </c>
      <c r="C107" s="18" t="s">
        <v>711</v>
      </c>
      <c r="D107" s="18"/>
      <c r="E107" s="18" t="s">
        <v>2637</v>
      </c>
      <c r="F107" s="18" t="s">
        <v>2638</v>
      </c>
      <c r="G107" s="18" t="s">
        <v>1759</v>
      </c>
      <c r="H107" s="18">
        <v>4169</v>
      </c>
      <c r="I107" t="s">
        <v>2282</v>
      </c>
      <c r="J107" s="18" t="s">
        <v>1472</v>
      </c>
      <c r="K107" s="159">
        <v>45733</v>
      </c>
      <c r="L107" s="18">
        <v>61478489347</v>
      </c>
      <c r="M107" s="18" t="s">
        <v>2599</v>
      </c>
    </row>
    <row r="108" spans="1:13">
      <c r="A108" s="18">
        <v>13615558</v>
      </c>
      <c r="B108" s="158">
        <v>4622403605445</v>
      </c>
      <c r="C108" s="18" t="s">
        <v>1151</v>
      </c>
      <c r="D108" s="18"/>
      <c r="E108" s="18" t="s">
        <v>2639</v>
      </c>
      <c r="F108" s="18" t="s">
        <v>2578</v>
      </c>
      <c r="G108" s="18" t="s">
        <v>1759</v>
      </c>
      <c r="H108" s="18">
        <v>4509</v>
      </c>
      <c r="I108" t="s">
        <v>2282</v>
      </c>
      <c r="J108" s="18" t="s">
        <v>1472</v>
      </c>
      <c r="K108" s="159">
        <v>45736</v>
      </c>
      <c r="L108" s="18">
        <v>61478489359</v>
      </c>
      <c r="M108" s="18" t="s">
        <v>2599</v>
      </c>
    </row>
    <row r="109" spans="1:13">
      <c r="A109" s="18">
        <v>13619752</v>
      </c>
      <c r="B109" s="158">
        <v>4622403605460</v>
      </c>
      <c r="C109" s="18" t="s">
        <v>1523</v>
      </c>
      <c r="D109" s="18"/>
      <c r="E109" s="18" t="s">
        <v>2640</v>
      </c>
      <c r="F109" s="18" t="s">
        <v>2641</v>
      </c>
      <c r="G109" s="18" t="s">
        <v>1838</v>
      </c>
      <c r="H109" s="18">
        <v>2204</v>
      </c>
      <c r="I109" t="s">
        <v>2282</v>
      </c>
      <c r="J109" s="18" t="s">
        <v>1472</v>
      </c>
      <c r="K109" s="159">
        <v>45741</v>
      </c>
      <c r="L109" s="18">
        <v>61478489375</v>
      </c>
      <c r="M109" s="18" t="s">
        <v>2599</v>
      </c>
    </row>
    <row r="110" spans="1:13">
      <c r="A110" s="18">
        <v>13622390</v>
      </c>
      <c r="B110" s="158">
        <v>4622403605478</v>
      </c>
      <c r="C110" s="18" t="s">
        <v>1270</v>
      </c>
      <c r="D110" s="18"/>
      <c r="E110" s="18" t="s">
        <v>2642</v>
      </c>
      <c r="F110" s="18" t="s">
        <v>2643</v>
      </c>
      <c r="G110" s="18" t="s">
        <v>1771</v>
      </c>
      <c r="H110" s="18">
        <v>3183</v>
      </c>
      <c r="I110" t="s">
        <v>2282</v>
      </c>
      <c r="J110" s="18" t="s">
        <v>1472</v>
      </c>
      <c r="K110" s="159">
        <v>45743</v>
      </c>
      <c r="L110" s="18">
        <v>61478489381</v>
      </c>
      <c r="M110" s="18" t="s">
        <v>2599</v>
      </c>
    </row>
    <row r="111" spans="1:13">
      <c r="A111" s="18">
        <v>13629940</v>
      </c>
      <c r="B111" s="158">
        <v>4622403605486</v>
      </c>
      <c r="C111" s="18" t="s">
        <v>1489</v>
      </c>
      <c r="D111" s="18"/>
      <c r="E111" s="18" t="s">
        <v>1506</v>
      </c>
      <c r="F111" s="18" t="s">
        <v>2644</v>
      </c>
      <c r="G111" s="18" t="s">
        <v>1759</v>
      </c>
      <c r="H111" s="18">
        <v>4101</v>
      </c>
      <c r="I111" t="s">
        <v>2282</v>
      </c>
      <c r="J111" s="18" t="s">
        <v>1472</v>
      </c>
      <c r="K111" s="159">
        <v>45756</v>
      </c>
      <c r="L111" s="18">
        <v>61478489382</v>
      </c>
      <c r="M111" s="18" t="s">
        <v>2599</v>
      </c>
    </row>
    <row r="112" spans="1:13">
      <c r="A112" s="18">
        <v>13630639</v>
      </c>
      <c r="B112" s="158">
        <v>4622403605494</v>
      </c>
      <c r="C112" s="18" t="s">
        <v>1537</v>
      </c>
      <c r="D112" s="18"/>
      <c r="E112" s="18" t="s">
        <v>1538</v>
      </c>
      <c r="F112" s="18" t="s">
        <v>1849</v>
      </c>
      <c r="G112" s="18" t="s">
        <v>1759</v>
      </c>
      <c r="H112" s="18">
        <v>4066</v>
      </c>
      <c r="I112" t="s">
        <v>2282</v>
      </c>
      <c r="J112" s="18" t="s">
        <v>1472</v>
      </c>
      <c r="K112" s="159">
        <v>45757</v>
      </c>
      <c r="L112" s="18">
        <v>61478489384</v>
      </c>
      <c r="M112" s="18" t="s">
        <v>2599</v>
      </c>
    </row>
    <row r="113" spans="1:13">
      <c r="A113" s="18">
        <v>13631263</v>
      </c>
      <c r="B113" s="158">
        <v>4622403605502</v>
      </c>
      <c r="C113" s="18" t="s">
        <v>1539</v>
      </c>
      <c r="D113" s="18"/>
      <c r="E113" s="18" t="s">
        <v>1540</v>
      </c>
      <c r="F113" s="18" t="s">
        <v>2625</v>
      </c>
      <c r="G113" s="18" t="s">
        <v>1759</v>
      </c>
      <c r="H113" s="18">
        <v>4000</v>
      </c>
      <c r="I113" t="s">
        <v>2282</v>
      </c>
      <c r="J113" s="18" t="s">
        <v>1472</v>
      </c>
      <c r="K113" s="159">
        <v>45758</v>
      </c>
      <c r="L113" s="18">
        <v>61478489411</v>
      </c>
      <c r="M113" s="18" t="s">
        <v>2599</v>
      </c>
    </row>
    <row r="114" spans="1:13">
      <c r="A114" s="18">
        <v>13632423</v>
      </c>
      <c r="B114" s="158">
        <v>4622403605510</v>
      </c>
      <c r="C114" s="18" t="s">
        <v>1541</v>
      </c>
      <c r="D114" s="18"/>
      <c r="E114" s="18" t="s">
        <v>1542</v>
      </c>
      <c r="F114" s="18" t="s">
        <v>571</v>
      </c>
      <c r="G114" s="18" t="s">
        <v>1759</v>
      </c>
      <c r="H114" s="18">
        <v>4172</v>
      </c>
      <c r="I114" t="s">
        <v>2282</v>
      </c>
      <c r="J114" s="18" t="s">
        <v>1472</v>
      </c>
      <c r="K114" s="159">
        <v>45762</v>
      </c>
      <c r="L114" s="18">
        <v>61478489448</v>
      </c>
      <c r="M114" s="18" t="s">
        <v>2599</v>
      </c>
    </row>
    <row r="115" spans="1:13">
      <c r="A115" s="18">
        <v>13633217</v>
      </c>
      <c r="B115" s="158">
        <v>4622403605536</v>
      </c>
      <c r="C115" s="18" t="s">
        <v>1654</v>
      </c>
      <c r="D115" s="18"/>
      <c r="E115" s="18" t="s">
        <v>2645</v>
      </c>
      <c r="F115" s="18" t="s">
        <v>2646</v>
      </c>
      <c r="G115" s="18" t="s">
        <v>1796</v>
      </c>
      <c r="H115" s="18">
        <v>6008</v>
      </c>
      <c r="I115" t="s">
        <v>2282</v>
      </c>
      <c r="J115" s="18" t="s">
        <v>1472</v>
      </c>
      <c r="K115" s="159">
        <v>45763</v>
      </c>
      <c r="L115" s="18">
        <v>61478489461</v>
      </c>
      <c r="M115" s="18" t="s">
        <v>2599</v>
      </c>
    </row>
    <row r="116" spans="1:13">
      <c r="A116" s="18">
        <v>13633830</v>
      </c>
      <c r="B116" s="158">
        <v>4622403605528</v>
      </c>
      <c r="C116" s="18" t="s">
        <v>1497</v>
      </c>
      <c r="D116" s="18"/>
      <c r="E116" s="18" t="s">
        <v>1506</v>
      </c>
      <c r="F116" s="18" t="s">
        <v>2620</v>
      </c>
      <c r="G116" s="18" t="s">
        <v>1759</v>
      </c>
      <c r="H116" s="18">
        <v>4101</v>
      </c>
      <c r="I116" t="s">
        <v>2282</v>
      </c>
      <c r="J116" s="18" t="s">
        <v>1472</v>
      </c>
      <c r="K116" s="159">
        <v>45764</v>
      </c>
      <c r="L116" s="18">
        <v>61478489481</v>
      </c>
      <c r="M116" s="18" t="s">
        <v>2599</v>
      </c>
    </row>
    <row r="117" spans="1:13">
      <c r="A117" s="18">
        <v>13635300</v>
      </c>
      <c r="B117" s="158">
        <v>4622403605551</v>
      </c>
      <c r="C117" s="18" t="s">
        <v>1543</v>
      </c>
      <c r="D117" s="18"/>
      <c r="E117" s="18" t="s">
        <v>1544</v>
      </c>
      <c r="F117" s="18" t="s">
        <v>2647</v>
      </c>
      <c r="G117" s="18" t="s">
        <v>1838</v>
      </c>
      <c r="H117" s="18">
        <v>2230</v>
      </c>
      <c r="I117" t="s">
        <v>2282</v>
      </c>
      <c r="J117" s="18" t="s">
        <v>1472</v>
      </c>
      <c r="K117" s="159">
        <v>45769</v>
      </c>
      <c r="L117" s="18">
        <v>61478489482</v>
      </c>
      <c r="M117" s="18" t="s">
        <v>2599</v>
      </c>
    </row>
    <row r="118" spans="1:13">
      <c r="A118" s="18">
        <v>13635366</v>
      </c>
      <c r="B118" s="158">
        <v>4622403605544</v>
      </c>
      <c r="C118" s="18" t="s">
        <v>1453</v>
      </c>
      <c r="D118" s="18"/>
      <c r="E118" s="18" t="s">
        <v>2648</v>
      </c>
      <c r="F118" s="18" t="s">
        <v>2634</v>
      </c>
      <c r="G118" s="18" t="s">
        <v>1771</v>
      </c>
      <c r="H118" s="18">
        <v>3038</v>
      </c>
      <c r="I118" t="s">
        <v>2282</v>
      </c>
      <c r="J118" s="18" t="s">
        <v>1472</v>
      </c>
      <c r="K118" s="159">
        <v>45769</v>
      </c>
      <c r="L118" s="18">
        <v>61478489484</v>
      </c>
      <c r="M118" s="18" t="s">
        <v>2599</v>
      </c>
    </row>
    <row r="119" spans="1:13">
      <c r="A119" s="18">
        <v>13636411</v>
      </c>
      <c r="B119" s="158">
        <v>4622403605569</v>
      </c>
      <c r="C119" s="18" t="s">
        <v>1549</v>
      </c>
      <c r="D119" s="18"/>
      <c r="E119" s="18" t="s">
        <v>1550</v>
      </c>
      <c r="F119" s="18" t="s">
        <v>2649</v>
      </c>
      <c r="G119" s="18" t="s">
        <v>1838</v>
      </c>
      <c r="H119" s="18">
        <v>2640</v>
      </c>
      <c r="I119" t="s">
        <v>2282</v>
      </c>
      <c r="J119" s="18" t="s">
        <v>1472</v>
      </c>
      <c r="K119" s="159">
        <v>45771</v>
      </c>
      <c r="L119" s="18">
        <v>61478489486</v>
      </c>
      <c r="M119" s="18" t="s">
        <v>2599</v>
      </c>
    </row>
    <row r="120" spans="1:13">
      <c r="A120" s="18">
        <v>13637789</v>
      </c>
      <c r="B120" s="158">
        <v>4622403605577</v>
      </c>
      <c r="C120" s="18" t="s">
        <v>1608</v>
      </c>
      <c r="D120" s="18"/>
      <c r="E120" s="18" t="s">
        <v>2650</v>
      </c>
      <c r="F120" s="18" t="s">
        <v>2651</v>
      </c>
      <c r="G120" s="18" t="s">
        <v>1771</v>
      </c>
      <c r="H120" s="18">
        <v>3226</v>
      </c>
      <c r="I120" t="s">
        <v>2282</v>
      </c>
      <c r="J120" s="18" t="s">
        <v>1472</v>
      </c>
      <c r="K120" s="159">
        <v>45775</v>
      </c>
      <c r="L120" s="18">
        <v>61478489487</v>
      </c>
      <c r="M120" s="18" t="s">
        <v>2599</v>
      </c>
    </row>
    <row r="121" spans="1:13">
      <c r="A121" s="18">
        <v>13638779</v>
      </c>
      <c r="B121" s="158">
        <v>4622403605585</v>
      </c>
      <c r="C121" s="18" t="s">
        <v>1555</v>
      </c>
      <c r="D121" s="18"/>
      <c r="E121" s="18" t="s">
        <v>1556</v>
      </c>
      <c r="F121" s="18" t="s">
        <v>2652</v>
      </c>
      <c r="G121" s="18" t="s">
        <v>1771</v>
      </c>
      <c r="H121" s="18">
        <v>3021</v>
      </c>
      <c r="I121" t="s">
        <v>2282</v>
      </c>
      <c r="J121" s="18" t="s">
        <v>1472</v>
      </c>
      <c r="K121" s="159">
        <v>45777</v>
      </c>
      <c r="L121" s="18">
        <v>61478489490</v>
      </c>
      <c r="M121" s="18" t="s">
        <v>2599</v>
      </c>
    </row>
    <row r="122" spans="1:13">
      <c r="A122" s="18">
        <v>13641540</v>
      </c>
      <c r="B122" s="158">
        <v>4622403605593</v>
      </c>
      <c r="C122" s="18" t="s">
        <v>1135</v>
      </c>
      <c r="D122" s="18"/>
      <c r="E122" s="18" t="s">
        <v>2653</v>
      </c>
      <c r="F122" s="18" t="s">
        <v>2654</v>
      </c>
      <c r="G122" s="18" t="s">
        <v>1759</v>
      </c>
      <c r="H122" s="18">
        <v>4074</v>
      </c>
      <c r="I122" t="s">
        <v>2282</v>
      </c>
      <c r="J122" s="18" t="s">
        <v>1472</v>
      </c>
      <c r="K122" s="159">
        <v>45783</v>
      </c>
      <c r="L122" s="18">
        <v>61478489493</v>
      </c>
      <c r="M122" s="18" t="s">
        <v>2599</v>
      </c>
    </row>
    <row r="123" spans="1:13">
      <c r="A123" s="18">
        <v>13642082</v>
      </c>
      <c r="B123" s="158">
        <v>4622403605601</v>
      </c>
      <c r="C123" s="18" t="s">
        <v>1561</v>
      </c>
      <c r="D123" s="18"/>
      <c r="E123" s="18" t="s">
        <v>1562</v>
      </c>
      <c r="F123" s="18" t="s">
        <v>1843</v>
      </c>
      <c r="G123" s="18" t="s">
        <v>1759</v>
      </c>
      <c r="H123" s="18">
        <v>4102</v>
      </c>
      <c r="I123" t="s">
        <v>2282</v>
      </c>
      <c r="J123" s="18" t="s">
        <v>1472</v>
      </c>
      <c r="K123" s="159">
        <v>45784</v>
      </c>
      <c r="L123" s="18">
        <v>61478489498</v>
      </c>
      <c r="M123" s="18" t="s">
        <v>2599</v>
      </c>
    </row>
    <row r="124" spans="1:13">
      <c r="A124" s="18">
        <v>13642698</v>
      </c>
      <c r="B124" s="158">
        <v>4622403605627</v>
      </c>
      <c r="C124" s="18" t="s">
        <v>938</v>
      </c>
      <c r="D124" s="18"/>
      <c r="E124" s="18" t="s">
        <v>2655</v>
      </c>
      <c r="F124" s="18" t="s">
        <v>2598</v>
      </c>
      <c r="G124" s="18" t="s">
        <v>1759</v>
      </c>
      <c r="H124" s="18">
        <v>4173</v>
      </c>
      <c r="I124" t="s">
        <v>2282</v>
      </c>
      <c r="J124" s="18" t="s">
        <v>1472</v>
      </c>
      <c r="K124" s="159">
        <v>45785</v>
      </c>
      <c r="L124" s="18">
        <v>61478489593</v>
      </c>
      <c r="M124" s="18" t="s">
        <v>2599</v>
      </c>
    </row>
    <row r="125" spans="1:13">
      <c r="A125" s="18">
        <v>13642701</v>
      </c>
      <c r="B125" s="158">
        <v>4622403605619</v>
      </c>
      <c r="C125" s="18" t="s">
        <v>938</v>
      </c>
      <c r="D125" s="18"/>
      <c r="E125" s="18" t="s">
        <v>2655</v>
      </c>
      <c r="F125" s="18" t="s">
        <v>2598</v>
      </c>
      <c r="G125" s="18" t="s">
        <v>1759</v>
      </c>
      <c r="H125" s="18">
        <v>4173</v>
      </c>
      <c r="I125" t="s">
        <v>2282</v>
      </c>
      <c r="J125" s="18" t="s">
        <v>1472</v>
      </c>
      <c r="K125" s="159">
        <v>45785</v>
      </c>
      <c r="L125" s="18">
        <v>61478489606</v>
      </c>
      <c r="M125" s="18" t="s">
        <v>2599</v>
      </c>
    </row>
    <row r="126" spans="1:13">
      <c r="A126" s="18">
        <v>13645217</v>
      </c>
      <c r="B126" s="158">
        <v>4622403605635</v>
      </c>
      <c r="C126" s="18" t="s">
        <v>1569</v>
      </c>
      <c r="D126" s="18"/>
      <c r="E126" s="18" t="s">
        <v>1570</v>
      </c>
      <c r="F126" s="18" t="s">
        <v>2656</v>
      </c>
      <c r="G126" s="18" t="s">
        <v>1759</v>
      </c>
      <c r="H126" s="18">
        <v>4032</v>
      </c>
      <c r="I126" t="s">
        <v>2282</v>
      </c>
      <c r="J126" s="18" t="s">
        <v>1472</v>
      </c>
      <c r="K126" s="159">
        <v>45791</v>
      </c>
      <c r="L126" s="18">
        <v>61478489608</v>
      </c>
      <c r="M126" s="18" t="s">
        <v>2599</v>
      </c>
    </row>
    <row r="127" spans="1:13">
      <c r="A127" s="18">
        <v>13649289</v>
      </c>
      <c r="B127" s="158">
        <v>4622403605643</v>
      </c>
      <c r="C127" s="18" t="s">
        <v>1571</v>
      </c>
      <c r="D127" s="18"/>
      <c r="E127" s="18" t="s">
        <v>1572</v>
      </c>
      <c r="F127" s="18" t="s">
        <v>2657</v>
      </c>
      <c r="G127" s="18" t="s">
        <v>1759</v>
      </c>
      <c r="H127" s="18">
        <v>4170</v>
      </c>
      <c r="I127" t="s">
        <v>2282</v>
      </c>
      <c r="J127" s="18" t="s">
        <v>1472</v>
      </c>
      <c r="K127" s="159">
        <v>45800</v>
      </c>
      <c r="L127" s="18">
        <v>61478489609</v>
      </c>
      <c r="M127" s="18" t="s">
        <v>2599</v>
      </c>
    </row>
    <row r="128" spans="1:13">
      <c r="A128" s="18">
        <v>13650650</v>
      </c>
      <c r="B128" s="158">
        <v>4622403605650</v>
      </c>
      <c r="C128" s="18" t="s">
        <v>1573</v>
      </c>
      <c r="D128" s="18"/>
      <c r="E128" s="18" t="s">
        <v>1574</v>
      </c>
      <c r="F128" s="18" t="s">
        <v>2658</v>
      </c>
      <c r="G128" s="18" t="s">
        <v>1771</v>
      </c>
      <c r="H128" s="18">
        <v>3977</v>
      </c>
      <c r="I128" t="s">
        <v>2282</v>
      </c>
      <c r="J128" s="18" t="s">
        <v>1472</v>
      </c>
      <c r="K128" s="159">
        <v>45804</v>
      </c>
      <c r="L128" s="18">
        <v>61478489630</v>
      </c>
      <c r="M128" s="18" t="s">
        <v>2599</v>
      </c>
    </row>
    <row r="129" spans="1:13">
      <c r="A129" s="18">
        <v>13660672</v>
      </c>
      <c r="B129" s="158">
        <v>4622403605700</v>
      </c>
      <c r="C129" s="20" t="s">
        <v>1296</v>
      </c>
      <c r="E129" s="18" t="s">
        <v>2659</v>
      </c>
      <c r="F129" s="18" t="s">
        <v>788</v>
      </c>
      <c r="G129" s="18" t="s">
        <v>1759</v>
      </c>
      <c r="H129" s="18">
        <v>4218</v>
      </c>
      <c r="I129" t="s">
        <v>2282</v>
      </c>
      <c r="J129" s="18" t="s">
        <v>1472</v>
      </c>
      <c r="K129" s="159">
        <v>45826</v>
      </c>
      <c r="L129" s="18">
        <v>61478489643</v>
      </c>
      <c r="M129" s="18" t="s">
        <v>2599</v>
      </c>
    </row>
    <row r="130" spans="1:13">
      <c r="A130" s="18">
        <v>13660676</v>
      </c>
      <c r="B130" s="158">
        <v>4622403605718</v>
      </c>
      <c r="C130" s="18" t="s">
        <v>1340</v>
      </c>
      <c r="D130" s="18"/>
      <c r="E130" s="18" t="s">
        <v>2660</v>
      </c>
      <c r="F130" s="18" t="s">
        <v>2661</v>
      </c>
      <c r="G130" s="18" t="s">
        <v>1771</v>
      </c>
      <c r="H130" s="18">
        <v>3805</v>
      </c>
      <c r="I130" t="s">
        <v>2282</v>
      </c>
      <c r="J130" s="18" t="s">
        <v>1472</v>
      </c>
      <c r="K130" s="159">
        <v>45826</v>
      </c>
      <c r="L130" s="18">
        <v>61478489644</v>
      </c>
      <c r="M130" s="18" t="s">
        <v>2599</v>
      </c>
    </row>
    <row r="131" spans="1:13">
      <c r="A131" s="18">
        <v>13660683</v>
      </c>
      <c r="B131" s="158">
        <v>4622403605668</v>
      </c>
      <c r="C131" s="18" t="s">
        <v>1350</v>
      </c>
      <c r="D131" s="18"/>
      <c r="E131" s="18" t="s">
        <v>2662</v>
      </c>
      <c r="F131" s="18" t="s">
        <v>2619</v>
      </c>
      <c r="G131" s="18" t="s">
        <v>1759</v>
      </c>
      <c r="H131" s="18">
        <v>4225</v>
      </c>
      <c r="I131" t="s">
        <v>2282</v>
      </c>
      <c r="J131" s="18" t="s">
        <v>1472</v>
      </c>
      <c r="K131" s="159">
        <v>45826</v>
      </c>
      <c r="L131" s="18">
        <v>61478489646</v>
      </c>
      <c r="M131" s="18" t="s">
        <v>2599</v>
      </c>
    </row>
    <row r="132" spans="1:13">
      <c r="A132" s="18">
        <v>13660684</v>
      </c>
      <c r="B132" s="158">
        <v>4622403605676</v>
      </c>
      <c r="C132" s="18" t="s">
        <v>1582</v>
      </c>
      <c r="D132" s="18"/>
      <c r="E132" s="18" t="s">
        <v>1583</v>
      </c>
      <c r="F132" s="18" t="s">
        <v>788</v>
      </c>
      <c r="G132" s="18" t="s">
        <v>1759</v>
      </c>
      <c r="H132" s="18">
        <v>4218</v>
      </c>
      <c r="I132" t="s">
        <v>2282</v>
      </c>
      <c r="J132" s="18" t="s">
        <v>1472</v>
      </c>
      <c r="K132" s="159">
        <v>45826</v>
      </c>
      <c r="L132" s="18">
        <v>61478489660</v>
      </c>
      <c r="M132" s="18" t="s">
        <v>2599</v>
      </c>
    </row>
    <row r="133" spans="1:13">
      <c r="A133" s="18">
        <v>13660685</v>
      </c>
      <c r="B133" s="158">
        <v>4622403605684</v>
      </c>
      <c r="C133" s="18" t="s">
        <v>1380</v>
      </c>
      <c r="D133" s="18"/>
      <c r="E133" s="18" t="s">
        <v>2663</v>
      </c>
      <c r="F133" s="18" t="s">
        <v>2664</v>
      </c>
      <c r="G133" s="18" t="s">
        <v>1759</v>
      </c>
      <c r="H133" s="18">
        <v>4508</v>
      </c>
      <c r="I133" t="s">
        <v>2282</v>
      </c>
      <c r="J133" s="18" t="s">
        <v>1472</v>
      </c>
      <c r="K133" s="159">
        <v>45826</v>
      </c>
      <c r="L133" s="18">
        <v>61478489662</v>
      </c>
      <c r="M133" s="18" t="s">
        <v>2599</v>
      </c>
    </row>
    <row r="134" spans="1:13">
      <c r="A134" s="18">
        <v>13660687</v>
      </c>
      <c r="B134" s="158">
        <v>4622403605692</v>
      </c>
      <c r="C134" s="18" t="s">
        <v>1400</v>
      </c>
      <c r="D134" s="18"/>
      <c r="E134" s="18" t="s">
        <v>2665</v>
      </c>
      <c r="F134" s="18" t="s">
        <v>2666</v>
      </c>
      <c r="G134" s="18" t="s">
        <v>1759</v>
      </c>
      <c r="H134" s="18">
        <v>4053</v>
      </c>
      <c r="I134" t="s">
        <v>2282</v>
      </c>
      <c r="J134" s="18" t="s">
        <v>1472</v>
      </c>
      <c r="K134" s="159">
        <v>45826</v>
      </c>
      <c r="L134" s="18">
        <v>61478489656</v>
      </c>
      <c r="M134" s="18" t="s">
        <v>2599</v>
      </c>
    </row>
    <row r="135" spans="1:13">
      <c r="A135" s="18">
        <v>13662194</v>
      </c>
      <c r="B135" s="158">
        <v>4622403605726</v>
      </c>
      <c r="C135" s="18" t="s">
        <v>1584</v>
      </c>
      <c r="D135" s="18"/>
      <c r="E135" s="18" t="s">
        <v>1585</v>
      </c>
      <c r="F135" s="18" t="s">
        <v>571</v>
      </c>
      <c r="G135" s="18" t="s">
        <v>1759</v>
      </c>
      <c r="H135" s="18">
        <v>4172</v>
      </c>
      <c r="I135" t="s">
        <v>2282</v>
      </c>
      <c r="J135" s="18" t="s">
        <v>1472</v>
      </c>
      <c r="K135" s="159">
        <v>45831</v>
      </c>
      <c r="L135" s="18">
        <v>61478489672</v>
      </c>
      <c r="M135" s="18" t="s">
        <v>2599</v>
      </c>
    </row>
    <row r="136" spans="1:13">
      <c r="A136" s="18">
        <v>13662287</v>
      </c>
      <c r="B136" s="158">
        <v>4622403605734</v>
      </c>
      <c r="C136" s="18" t="s">
        <v>938</v>
      </c>
      <c r="D136" s="18"/>
      <c r="E136" s="18" t="s">
        <v>2667</v>
      </c>
      <c r="F136" s="18" t="s">
        <v>2598</v>
      </c>
      <c r="G136" s="18" t="s">
        <v>1759</v>
      </c>
      <c r="H136" s="18">
        <v>4173</v>
      </c>
      <c r="I136" t="s">
        <v>2282</v>
      </c>
      <c r="J136" s="18" t="s">
        <v>1472</v>
      </c>
      <c r="K136" s="159">
        <v>45831</v>
      </c>
      <c r="L136" s="18">
        <v>61478489676</v>
      </c>
      <c r="M136" s="18" t="s">
        <v>2599</v>
      </c>
    </row>
    <row r="137" spans="1:13">
      <c r="A137" s="18">
        <v>13663774</v>
      </c>
      <c r="B137" s="158">
        <v>4622403605767</v>
      </c>
      <c r="C137" s="18" t="s">
        <v>790</v>
      </c>
      <c r="D137" s="18"/>
      <c r="E137" s="18" t="s">
        <v>2668</v>
      </c>
      <c r="F137" s="18" t="s">
        <v>2669</v>
      </c>
      <c r="G137" s="18" t="s">
        <v>1759</v>
      </c>
      <c r="H137" s="18">
        <v>4152</v>
      </c>
      <c r="I137" t="s">
        <v>2282</v>
      </c>
      <c r="J137" s="18" t="s">
        <v>1472</v>
      </c>
      <c r="K137" s="159">
        <v>45834</v>
      </c>
      <c r="L137" s="18">
        <v>61478489677</v>
      </c>
      <c r="M137" s="18" t="s">
        <v>2599</v>
      </c>
    </row>
    <row r="138" spans="1:13">
      <c r="A138" s="18">
        <v>13663779</v>
      </c>
      <c r="B138" s="158">
        <v>4622403605759</v>
      </c>
      <c r="C138" s="18" t="s">
        <v>794</v>
      </c>
      <c r="D138" s="18"/>
      <c r="E138" s="18" t="s">
        <v>2670</v>
      </c>
      <c r="F138" s="18" t="s">
        <v>2666</v>
      </c>
      <c r="G138" s="18" t="s">
        <v>1759</v>
      </c>
      <c r="H138" s="18">
        <v>4053</v>
      </c>
      <c r="I138" t="s">
        <v>2282</v>
      </c>
      <c r="J138" s="18" t="s">
        <v>1472</v>
      </c>
      <c r="K138" s="159">
        <v>45834</v>
      </c>
      <c r="L138" s="18">
        <v>61478489678</v>
      </c>
      <c r="M138" s="18" t="s">
        <v>2599</v>
      </c>
    </row>
    <row r="139" spans="1:13">
      <c r="A139" s="18">
        <v>13663784</v>
      </c>
      <c r="B139" s="158">
        <v>4622403605775</v>
      </c>
      <c r="C139" s="18" t="s">
        <v>1489</v>
      </c>
      <c r="D139" s="18"/>
      <c r="E139" s="18" t="s">
        <v>2671</v>
      </c>
      <c r="F139" s="18" t="s">
        <v>657</v>
      </c>
      <c r="G139" s="18" t="s">
        <v>1759</v>
      </c>
      <c r="H139" s="18">
        <v>4006</v>
      </c>
      <c r="I139" t="s">
        <v>2282</v>
      </c>
      <c r="J139" s="18" t="s">
        <v>1472</v>
      </c>
      <c r="K139" s="159">
        <v>45834</v>
      </c>
      <c r="L139" s="18">
        <v>61478489682</v>
      </c>
      <c r="M139" s="18" t="s">
        <v>2599</v>
      </c>
    </row>
    <row r="140" spans="1:13">
      <c r="A140" s="18">
        <v>13663791</v>
      </c>
      <c r="B140" s="158">
        <v>4622403605742</v>
      </c>
      <c r="C140" s="18" t="s">
        <v>1589</v>
      </c>
      <c r="D140" s="18"/>
      <c r="E140" s="18" t="s">
        <v>1590</v>
      </c>
      <c r="F140" s="18" t="s">
        <v>2672</v>
      </c>
      <c r="G140" s="18" t="s">
        <v>1759</v>
      </c>
      <c r="H140" s="18">
        <v>4101</v>
      </c>
      <c r="I140" t="s">
        <v>2282</v>
      </c>
      <c r="J140" s="18" t="s">
        <v>1472</v>
      </c>
      <c r="K140" s="159">
        <v>45834</v>
      </c>
      <c r="L140" s="18">
        <v>61478489683</v>
      </c>
      <c r="M140" s="18" t="s">
        <v>2599</v>
      </c>
    </row>
    <row r="141" spans="1:13">
      <c r="A141" s="18">
        <v>13663796</v>
      </c>
      <c r="B141" s="158">
        <v>4622403605783</v>
      </c>
      <c r="C141" s="18" t="s">
        <v>1591</v>
      </c>
      <c r="D141" s="18"/>
      <c r="E141" s="18" t="s">
        <v>1506</v>
      </c>
      <c r="F141" s="18" t="s">
        <v>2620</v>
      </c>
      <c r="G141" s="18" t="s">
        <v>1759</v>
      </c>
      <c r="H141" s="18">
        <v>4101</v>
      </c>
      <c r="I141" t="s">
        <v>2282</v>
      </c>
      <c r="J141" s="18" t="s">
        <v>1472</v>
      </c>
      <c r="K141" s="159">
        <v>45834</v>
      </c>
      <c r="L141" s="18">
        <v>61478489684</v>
      </c>
      <c r="M141" s="18" t="s">
        <v>2599</v>
      </c>
    </row>
    <row r="142" spans="1:13">
      <c r="A142" s="18">
        <v>13671201</v>
      </c>
      <c r="B142" s="158">
        <v>4622403605791</v>
      </c>
      <c r="C142" s="18" t="s">
        <v>1289</v>
      </c>
      <c r="D142" s="18"/>
      <c r="E142" s="18" t="s">
        <v>2673</v>
      </c>
      <c r="F142" s="18" t="s">
        <v>2674</v>
      </c>
      <c r="G142" s="18" t="s">
        <v>1796</v>
      </c>
      <c r="H142" s="18">
        <v>6027</v>
      </c>
      <c r="I142" t="s">
        <v>2282</v>
      </c>
      <c r="J142" s="18" t="s">
        <v>1472</v>
      </c>
      <c r="K142" s="159">
        <v>45853</v>
      </c>
      <c r="L142" s="18">
        <v>61478489685</v>
      </c>
      <c r="M142" s="18" t="s">
        <v>2599</v>
      </c>
    </row>
    <row r="143" spans="1:13">
      <c r="A143" s="18">
        <v>13671277</v>
      </c>
      <c r="B143" s="158">
        <v>4622403605809</v>
      </c>
      <c r="C143" s="18" t="s">
        <v>1280</v>
      </c>
      <c r="D143" s="18"/>
      <c r="E143" s="18" t="s">
        <v>2675</v>
      </c>
      <c r="F143" s="18" t="s">
        <v>2676</v>
      </c>
      <c r="G143" s="18" t="s">
        <v>1796</v>
      </c>
      <c r="H143" s="18">
        <v>6031</v>
      </c>
      <c r="I143" t="s">
        <v>2282</v>
      </c>
      <c r="J143" s="18" t="s">
        <v>1472</v>
      </c>
      <c r="K143" s="159">
        <v>45853</v>
      </c>
      <c r="L143" s="18">
        <v>61478489687</v>
      </c>
      <c r="M143" s="18" t="s">
        <v>2599</v>
      </c>
    </row>
    <row r="144" spans="1:13">
      <c r="A144" s="18">
        <v>13672873</v>
      </c>
      <c r="B144" s="158">
        <v>4622403605817</v>
      </c>
      <c r="C144" s="18" t="s">
        <v>1380</v>
      </c>
      <c r="D144" s="18"/>
      <c r="E144" s="18" t="s">
        <v>2663</v>
      </c>
      <c r="F144" s="18" t="s">
        <v>2664</v>
      </c>
      <c r="G144" s="18" t="s">
        <v>1759</v>
      </c>
      <c r="H144" s="18">
        <v>4508</v>
      </c>
      <c r="I144" t="s">
        <v>2282</v>
      </c>
      <c r="J144" s="18" t="s">
        <v>1472</v>
      </c>
      <c r="K144" s="159">
        <v>45856</v>
      </c>
      <c r="L144" s="18">
        <v>61478489690</v>
      </c>
      <c r="M144" s="18" t="s">
        <v>2599</v>
      </c>
    </row>
    <row r="145" spans="1:13">
      <c r="A145" s="18">
        <v>13674103</v>
      </c>
      <c r="B145" s="158">
        <v>4622403605833</v>
      </c>
      <c r="C145" s="18" t="s">
        <v>1602</v>
      </c>
      <c r="D145" s="18"/>
      <c r="E145" s="18" t="s">
        <v>1603</v>
      </c>
      <c r="F145" s="18" t="s">
        <v>2677</v>
      </c>
      <c r="G145" s="18" t="s">
        <v>1759</v>
      </c>
      <c r="H145" s="18">
        <v>4006</v>
      </c>
      <c r="I145" t="s">
        <v>2282</v>
      </c>
      <c r="J145" s="18" t="s">
        <v>1472</v>
      </c>
      <c r="K145" s="159">
        <v>45860</v>
      </c>
      <c r="L145" s="18">
        <v>61478489691</v>
      </c>
      <c r="M145" s="18" t="s">
        <v>2599</v>
      </c>
    </row>
    <row r="146" spans="1:13">
      <c r="A146" s="18">
        <v>13674110</v>
      </c>
      <c r="B146" s="158">
        <v>4622403605825</v>
      </c>
      <c r="C146" s="18" t="s">
        <v>1119</v>
      </c>
      <c r="D146" s="18"/>
      <c r="E146" s="18" t="s">
        <v>2678</v>
      </c>
      <c r="F146" s="18" t="s">
        <v>2679</v>
      </c>
      <c r="G146" s="18" t="s">
        <v>1759</v>
      </c>
      <c r="H146" s="18">
        <v>4157</v>
      </c>
      <c r="I146" t="s">
        <v>2282</v>
      </c>
      <c r="J146" s="18" t="s">
        <v>1472</v>
      </c>
      <c r="K146" s="159">
        <v>45860</v>
      </c>
      <c r="L146" s="18">
        <v>61478489692</v>
      </c>
      <c r="M146" s="18" t="s">
        <v>2599</v>
      </c>
    </row>
    <row r="147" spans="1:13">
      <c r="A147" s="18">
        <v>13676164</v>
      </c>
      <c r="B147" s="158">
        <v>4622403605858</v>
      </c>
      <c r="C147" s="18" t="s">
        <v>1701</v>
      </c>
      <c r="D147" s="18"/>
      <c r="E147" s="18" t="s">
        <v>2680</v>
      </c>
      <c r="F147" s="18" t="s">
        <v>2681</v>
      </c>
      <c r="G147" s="18" t="s">
        <v>1796</v>
      </c>
      <c r="H147" s="18">
        <v>6155</v>
      </c>
      <c r="I147" t="s">
        <v>2282</v>
      </c>
      <c r="J147" s="18" t="s">
        <v>1472</v>
      </c>
      <c r="K147" s="159">
        <v>45863</v>
      </c>
      <c r="L147" s="18">
        <v>61478489693</v>
      </c>
      <c r="M147" s="18" t="s">
        <v>2599</v>
      </c>
    </row>
    <row r="148" spans="1:13">
      <c r="A148" s="18">
        <v>13679722</v>
      </c>
      <c r="B148" s="158">
        <v>4622403605866</v>
      </c>
      <c r="C148" s="18" t="s">
        <v>1666</v>
      </c>
      <c r="D148" s="18"/>
      <c r="E148" s="18" t="s">
        <v>2682</v>
      </c>
      <c r="F148" s="18" t="s">
        <v>2683</v>
      </c>
      <c r="G148" s="18" t="s">
        <v>1838</v>
      </c>
      <c r="H148" s="18">
        <v>2232</v>
      </c>
      <c r="I148" t="s">
        <v>2282</v>
      </c>
      <c r="J148" s="18" t="s">
        <v>1472</v>
      </c>
      <c r="K148" s="159">
        <v>45870</v>
      </c>
      <c r="L148" s="18">
        <v>61478489694</v>
      </c>
      <c r="M148" s="18" t="s">
        <v>2599</v>
      </c>
    </row>
    <row r="149" spans="1:13">
      <c r="A149" s="18">
        <v>13679895</v>
      </c>
      <c r="B149" s="158">
        <v>4622403605882</v>
      </c>
      <c r="C149" s="18" t="s">
        <v>1099</v>
      </c>
      <c r="D149" s="18"/>
      <c r="E149" s="18" t="s">
        <v>2684</v>
      </c>
      <c r="F149" s="18" t="s">
        <v>204</v>
      </c>
      <c r="G149" s="18" t="s">
        <v>1759</v>
      </c>
      <c r="H149" s="18">
        <v>4010</v>
      </c>
      <c r="I149" t="s">
        <v>2282</v>
      </c>
      <c r="J149" s="18" t="s">
        <v>1472</v>
      </c>
      <c r="K149" s="159">
        <v>45870</v>
      </c>
      <c r="L149" s="18">
        <v>61478489697</v>
      </c>
      <c r="M149" s="18" t="s">
        <v>2599</v>
      </c>
    </row>
    <row r="150" spans="1:13">
      <c r="A150" s="20">
        <v>13691697</v>
      </c>
      <c r="B150" s="162">
        <v>4622403605890</v>
      </c>
      <c r="C150" s="20" t="s">
        <v>1449</v>
      </c>
      <c r="E150" s="20" t="s">
        <v>2685</v>
      </c>
      <c r="F150" s="20" t="s">
        <v>2686</v>
      </c>
      <c r="G150" s="20" t="s">
        <v>1796</v>
      </c>
      <c r="H150" s="20">
        <v>6714</v>
      </c>
      <c r="I150" t="s">
        <v>2282</v>
      </c>
      <c r="J150" s="20" t="s">
        <v>102</v>
      </c>
      <c r="K150" s="163">
        <v>45891</v>
      </c>
      <c r="L150" s="20">
        <v>61478489702</v>
      </c>
      <c r="M150" s="20"/>
    </row>
    <row r="151" spans="1:13">
      <c r="A151" s="20">
        <v>13691698</v>
      </c>
      <c r="B151" s="162">
        <v>4622403605908</v>
      </c>
      <c r="C151" s="20" t="s">
        <v>1305</v>
      </c>
      <c r="E151" s="20" t="s">
        <v>2687</v>
      </c>
      <c r="F151" s="20" t="s">
        <v>2688</v>
      </c>
      <c r="G151" s="20" t="s">
        <v>1796</v>
      </c>
      <c r="H151" s="20">
        <v>6055</v>
      </c>
      <c r="I151" t="s">
        <v>2282</v>
      </c>
      <c r="J151" s="20" t="s">
        <v>102</v>
      </c>
      <c r="K151" s="163">
        <v>45891</v>
      </c>
      <c r="L151" s="20">
        <v>61478489709</v>
      </c>
      <c r="M151" s="20"/>
    </row>
    <row r="152" spans="1:13">
      <c r="A152" s="20">
        <v>13691700</v>
      </c>
      <c r="B152" s="162">
        <v>4622403605916</v>
      </c>
      <c r="C152" s="20" t="s">
        <v>1147</v>
      </c>
      <c r="E152" s="20" t="s">
        <v>2689</v>
      </c>
      <c r="F152" s="20" t="s">
        <v>2690</v>
      </c>
      <c r="G152" s="20" t="s">
        <v>2691</v>
      </c>
      <c r="H152" s="20">
        <v>4051</v>
      </c>
      <c r="I152" t="s">
        <v>2282</v>
      </c>
      <c r="J152" s="20" t="s">
        <v>102</v>
      </c>
      <c r="K152" s="163">
        <v>45891</v>
      </c>
      <c r="L152" s="20">
        <v>61478489713</v>
      </c>
      <c r="M152" s="20"/>
    </row>
    <row r="153" spans="1:13">
      <c r="A153" s="20">
        <v>13691701</v>
      </c>
      <c r="B153" s="162">
        <v>4622403605924</v>
      </c>
      <c r="C153" s="20" t="s">
        <v>100</v>
      </c>
      <c r="E153" s="20" t="s">
        <v>101</v>
      </c>
      <c r="F153" s="20" t="s">
        <v>2620</v>
      </c>
      <c r="G153" s="20" t="s">
        <v>2691</v>
      </c>
      <c r="H153" s="20">
        <v>4101</v>
      </c>
      <c r="I153" t="s">
        <v>2282</v>
      </c>
      <c r="J153" s="20" t="s">
        <v>102</v>
      </c>
      <c r="K153" s="163">
        <v>45891</v>
      </c>
      <c r="L153" s="164">
        <v>61478489711</v>
      </c>
    </row>
    <row r="154" spans="1:13">
      <c r="A154" s="20">
        <v>13693302</v>
      </c>
      <c r="B154" s="162">
        <v>4622403605957</v>
      </c>
      <c r="C154" s="20" t="s">
        <v>1357</v>
      </c>
      <c r="E154" s="20" t="s">
        <v>2692</v>
      </c>
      <c r="F154" s="20" t="s">
        <v>2693</v>
      </c>
      <c r="G154" s="20" t="s">
        <v>1759</v>
      </c>
      <c r="H154" s="20">
        <v>4209</v>
      </c>
      <c r="I154" t="s">
        <v>2282</v>
      </c>
      <c r="J154" s="20" t="s">
        <v>102</v>
      </c>
      <c r="K154" s="163">
        <v>45895</v>
      </c>
      <c r="L154" s="164">
        <v>61478489714</v>
      </c>
    </row>
    <row r="155" spans="1:13">
      <c r="A155" s="20">
        <v>13694082</v>
      </c>
      <c r="B155" s="162">
        <v>4622403605940</v>
      </c>
      <c r="C155" s="20" t="s">
        <v>103</v>
      </c>
      <c r="E155" s="20" t="s">
        <v>104</v>
      </c>
      <c r="F155" s="20" t="s">
        <v>2694</v>
      </c>
      <c r="G155" s="20" t="s">
        <v>1838</v>
      </c>
      <c r="H155" s="20">
        <v>2011</v>
      </c>
      <c r="I155" t="s">
        <v>2282</v>
      </c>
      <c r="J155" s="20" t="s">
        <v>102</v>
      </c>
      <c r="K155" s="163">
        <v>45896</v>
      </c>
      <c r="L155" s="164">
        <v>61478489715</v>
      </c>
    </row>
    <row r="159" spans="1:13">
      <c r="C159" s="165" t="s">
        <v>2695</v>
      </c>
      <c r="D159" s="165" t="s">
        <v>2696</v>
      </c>
      <c r="E159" s="165" t="s">
        <v>2697</v>
      </c>
      <c r="F159" s="165" t="s">
        <v>2698</v>
      </c>
    </row>
    <row r="160" spans="1:13">
      <c r="C160" s="10" t="s">
        <v>2699</v>
      </c>
      <c r="D160" s="10">
        <v>478489011</v>
      </c>
      <c r="E160" s="10" t="s">
        <v>2700</v>
      </c>
      <c r="F160" s="10" t="s">
        <v>2701</v>
      </c>
    </row>
    <row r="161" spans="3:6">
      <c r="C161" s="10" t="s">
        <v>2702</v>
      </c>
      <c r="D161" s="10">
        <v>478489493</v>
      </c>
      <c r="E161" s="10" t="s">
        <v>2703</v>
      </c>
      <c r="F161" s="10" t="s">
        <v>2704</v>
      </c>
    </row>
    <row r="162" spans="3:6">
      <c r="C162" s="10" t="s">
        <v>2705</v>
      </c>
      <c r="D162" s="10">
        <v>478489215</v>
      </c>
      <c r="E162" s="10" t="s">
        <v>2706</v>
      </c>
      <c r="F162" s="10" t="s">
        <v>2707</v>
      </c>
    </row>
    <row r="163" spans="3:6">
      <c r="C163" s="10" t="s">
        <v>2708</v>
      </c>
      <c r="D163" s="166">
        <v>478489102</v>
      </c>
      <c r="E163" s="10" t="s">
        <v>2709</v>
      </c>
      <c r="F163" s="10" t="s">
        <v>2710</v>
      </c>
    </row>
    <row r="164" spans="3:6">
      <c r="C164" s="10" t="s">
        <v>2711</v>
      </c>
      <c r="D164" s="166">
        <v>478489092</v>
      </c>
      <c r="E164" s="10" t="s">
        <v>2712</v>
      </c>
      <c r="F164" s="10" t="s">
        <v>2713</v>
      </c>
    </row>
    <row r="165" spans="3:6">
      <c r="C165" s="10" t="s">
        <v>2714</v>
      </c>
      <c r="D165" s="166">
        <v>478489490</v>
      </c>
      <c r="E165" s="10" t="s">
        <v>2715</v>
      </c>
      <c r="F165" s="10" t="s">
        <v>2716</v>
      </c>
    </row>
    <row r="166" spans="3:6">
      <c r="C166" s="10" t="s">
        <v>2717</v>
      </c>
      <c r="D166" s="10">
        <v>478489644</v>
      </c>
      <c r="E166" s="10" t="s">
        <v>2718</v>
      </c>
      <c r="F166" s="10" t="s">
        <v>2719</v>
      </c>
    </row>
    <row r="167" spans="3:6">
      <c r="C167" s="10" t="s">
        <v>2720</v>
      </c>
      <c r="D167" s="10">
        <v>478489487</v>
      </c>
      <c r="E167" s="10" t="s">
        <v>2721</v>
      </c>
      <c r="F167" s="10" t="s">
        <v>2722</v>
      </c>
    </row>
    <row r="168" spans="3:6">
      <c r="C168" s="10" t="s">
        <v>2723</v>
      </c>
      <c r="D168" s="10">
        <v>478489482</v>
      </c>
      <c r="E168" s="10" t="s">
        <v>2724</v>
      </c>
      <c r="F168" s="10" t="s">
        <v>2725</v>
      </c>
    </row>
    <row r="169" spans="3:6">
      <c r="C169" s="10" t="s">
        <v>2726</v>
      </c>
      <c r="D169" s="10">
        <v>478489630</v>
      </c>
      <c r="E169" s="10" t="s">
        <v>2727</v>
      </c>
      <c r="F169" s="10" t="s">
        <v>2728</v>
      </c>
    </row>
  </sheetData>
  <autoFilter ref="A1:R1" xr:uid="{FB6AE59F-DE26-4AD6-A0F7-21B5197C6933}"/>
  <hyperlinks>
    <hyperlink ref="C7" r:id="rId1" xr:uid="{20B94963-FAAD-462D-99BA-B5E499E90DD4}"/>
    <hyperlink ref="C8" r:id="rId2" xr:uid="{98C1F162-2B54-48F2-8136-FDC8F4957D55}"/>
    <hyperlink ref="C9" r:id="rId3" xr:uid="{474FA12A-F385-4C71-BD01-3F886B631752}"/>
    <hyperlink ref="C11" r:id="rId4" xr:uid="{C7A75D21-36DB-43EA-A96A-112D5471D176}"/>
    <hyperlink ref="C12" r:id="rId5" xr:uid="{04DD5D21-988B-43D9-8C56-49A6521E8148}"/>
    <hyperlink ref="C13" r:id="rId6" xr:uid="{17F56AA9-7443-4EFB-916E-02910F72B491}"/>
    <hyperlink ref="C14" r:id="rId7" xr:uid="{AF1B7649-775F-461C-B6B4-49710E7F5C81}"/>
    <hyperlink ref="C15" r:id="rId8" xr:uid="{A0392C02-9BE2-4B67-A71B-531BA49B5E8F}"/>
    <hyperlink ref="C16" r:id="rId9" xr:uid="{AFC045D7-D0FE-41F9-AD6C-8B15972C26DE}"/>
    <hyperlink ref="C17" r:id="rId10" xr:uid="{48659DCA-54F5-493D-ABF7-09D827E2FADA}"/>
    <hyperlink ref="C18" r:id="rId11" xr:uid="{90BEAC8F-E180-4F51-A9A6-45C65C0C2EEC}"/>
    <hyperlink ref="C19" r:id="rId12" xr:uid="{66EA7A66-ADFD-4579-A8F7-F5DEB2FE1E68}"/>
    <hyperlink ref="C21" r:id="rId13" xr:uid="{041924C4-31AD-4603-AD4B-6B601087A406}"/>
    <hyperlink ref="C22" r:id="rId14" xr:uid="{82607C08-F253-4DA1-877A-B69EDE1E3A5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DA42-A9DC-495B-9944-5EB6407AB9A4}">
  <sheetPr>
    <tabColor theme="8" tint="0.59999389629810485"/>
  </sheetPr>
  <dimension ref="A1:N173"/>
  <sheetViews>
    <sheetView topLeftCell="A107" workbookViewId="0">
      <selection activeCell="C107" sqref="C107"/>
    </sheetView>
  </sheetViews>
  <sheetFormatPr defaultRowHeight="15"/>
  <cols>
    <col min="1" max="1" width="14.28515625" bestFit="1" customWidth="1"/>
    <col min="2" max="2" width="23" customWidth="1"/>
    <col min="3" max="5" width="28.5703125" customWidth="1"/>
    <col min="6" max="6" width="15.85546875" bestFit="1" customWidth="1"/>
    <col min="7" max="8" width="48" customWidth="1"/>
    <col min="9" max="9" width="19.7109375" style="39" bestFit="1" customWidth="1"/>
    <col min="10" max="10" width="11.42578125" bestFit="1" customWidth="1"/>
    <col min="14" max="14" width="45.140625" bestFit="1" customWidth="1"/>
  </cols>
  <sheetData>
    <row r="1" spans="1:14" s="54" customFormat="1">
      <c r="A1" s="167" t="s">
        <v>2270</v>
      </c>
      <c r="B1" s="168" t="s">
        <v>1731</v>
      </c>
      <c r="C1" s="167" t="s">
        <v>3</v>
      </c>
      <c r="D1" s="167" t="s">
        <v>4</v>
      </c>
      <c r="E1" s="167" t="s">
        <v>2729</v>
      </c>
      <c r="F1" s="167" t="s">
        <v>2</v>
      </c>
      <c r="G1" s="168" t="s">
        <v>5</v>
      </c>
      <c r="H1" s="168" t="s">
        <v>1</v>
      </c>
      <c r="I1" s="230" t="s">
        <v>10</v>
      </c>
      <c r="J1" s="167" t="s">
        <v>2730</v>
      </c>
      <c r="K1" s="167" t="s">
        <v>2731</v>
      </c>
      <c r="L1" s="167" t="s">
        <v>2732</v>
      </c>
    </row>
    <row r="2" spans="1:14" ht="45">
      <c r="A2" s="123" t="s">
        <v>2733</v>
      </c>
      <c r="B2" s="1" t="s">
        <v>22</v>
      </c>
      <c r="C2" s="123" t="s">
        <v>25</v>
      </c>
      <c r="D2" s="169" t="s">
        <v>26</v>
      </c>
      <c r="E2" s="170" t="s">
        <v>2734</v>
      </c>
      <c r="F2" s="123" t="s">
        <v>24</v>
      </c>
      <c r="G2" s="1" t="s">
        <v>27</v>
      </c>
      <c r="H2" s="1" t="s">
        <v>23</v>
      </c>
      <c r="I2" s="231">
        <v>45603</v>
      </c>
      <c r="J2" s="123">
        <v>1</v>
      </c>
      <c r="K2" s="123" t="s">
        <v>2735</v>
      </c>
      <c r="L2" s="123" t="s">
        <v>2736</v>
      </c>
    </row>
    <row r="3" spans="1:14" ht="45">
      <c r="A3" s="123" t="s">
        <v>2737</v>
      </c>
      <c r="B3" s="171"/>
      <c r="C3" s="123" t="s">
        <v>2738</v>
      </c>
      <c r="D3" s="123"/>
      <c r="E3" s="123"/>
      <c r="F3" s="123" t="s">
        <v>24</v>
      </c>
      <c r="G3" s="1" t="s">
        <v>2739</v>
      </c>
      <c r="H3" s="1" t="s">
        <v>2740</v>
      </c>
      <c r="I3" s="231">
        <v>45357</v>
      </c>
      <c r="J3" s="123">
        <v>349</v>
      </c>
      <c r="K3" s="123" t="s">
        <v>2735</v>
      </c>
      <c r="L3" s="123" t="s">
        <v>2736</v>
      </c>
      <c r="N3" t="s">
        <v>2741</v>
      </c>
    </row>
    <row r="4" spans="1:14" ht="60">
      <c r="A4" s="123" t="s">
        <v>2742</v>
      </c>
      <c r="B4" s="123" t="s">
        <v>28</v>
      </c>
      <c r="C4" s="123" t="s">
        <v>25</v>
      </c>
      <c r="D4" s="172" t="s">
        <v>30</v>
      </c>
      <c r="E4" s="173" t="s">
        <v>2743</v>
      </c>
      <c r="F4" s="123" t="s">
        <v>24</v>
      </c>
      <c r="G4" s="1" t="s">
        <v>31</v>
      </c>
      <c r="H4" s="1" t="s">
        <v>29</v>
      </c>
      <c r="I4" s="232" t="s">
        <v>32</v>
      </c>
      <c r="J4" s="123">
        <v>4</v>
      </c>
      <c r="K4" s="123" t="s">
        <v>2735</v>
      </c>
      <c r="L4" s="123" t="s">
        <v>2736</v>
      </c>
    </row>
    <row r="5" spans="1:14" ht="60">
      <c r="A5" s="123" t="s">
        <v>2744</v>
      </c>
      <c r="B5" s="123" t="s">
        <v>33</v>
      </c>
      <c r="C5" s="123" t="s">
        <v>25</v>
      </c>
      <c r="D5" s="172" t="s">
        <v>34</v>
      </c>
      <c r="E5" s="173" t="s">
        <v>2743</v>
      </c>
      <c r="F5" s="123" t="s">
        <v>24</v>
      </c>
      <c r="G5" s="1" t="s">
        <v>35</v>
      </c>
      <c r="H5" s="1" t="s">
        <v>29</v>
      </c>
      <c r="I5" s="231">
        <v>45329</v>
      </c>
      <c r="J5" s="123">
        <v>3</v>
      </c>
      <c r="K5" s="123" t="s">
        <v>2735</v>
      </c>
      <c r="L5" s="123" t="s">
        <v>2736</v>
      </c>
    </row>
    <row r="6" spans="1:14" ht="60">
      <c r="A6" s="123" t="s">
        <v>2745</v>
      </c>
      <c r="B6" s="123" t="s">
        <v>36</v>
      </c>
      <c r="C6" s="123" t="s">
        <v>25</v>
      </c>
      <c r="D6" s="123" t="s">
        <v>37</v>
      </c>
      <c r="E6" s="123"/>
      <c r="F6" s="123" t="s">
        <v>24</v>
      </c>
      <c r="G6" s="1" t="s">
        <v>38</v>
      </c>
      <c r="H6" s="1" t="s">
        <v>29</v>
      </c>
      <c r="I6" s="231">
        <v>45386</v>
      </c>
      <c r="J6" s="123">
        <v>19.8</v>
      </c>
      <c r="K6" s="123" t="s">
        <v>2735</v>
      </c>
      <c r="L6" s="123" t="s">
        <v>2736</v>
      </c>
    </row>
    <row r="7" spans="1:14" ht="75">
      <c r="A7" s="123" t="s">
        <v>2746</v>
      </c>
      <c r="B7" s="123" t="s">
        <v>28</v>
      </c>
      <c r="C7" s="123" t="s">
        <v>25</v>
      </c>
      <c r="D7" s="123"/>
      <c r="E7" s="123"/>
      <c r="F7" s="123" t="s">
        <v>24</v>
      </c>
      <c r="G7" s="1" t="s">
        <v>2747</v>
      </c>
      <c r="H7" s="1" t="s">
        <v>29</v>
      </c>
      <c r="I7" s="232" t="s">
        <v>2748</v>
      </c>
      <c r="J7" s="123">
        <v>49.34</v>
      </c>
      <c r="K7" s="123" t="s">
        <v>2735</v>
      </c>
      <c r="L7" s="123" t="s">
        <v>2736</v>
      </c>
    </row>
    <row r="8" spans="1:14" ht="75">
      <c r="A8" s="123" t="s">
        <v>2749</v>
      </c>
      <c r="B8" s="123" t="s">
        <v>28</v>
      </c>
      <c r="C8" s="123" t="s">
        <v>25</v>
      </c>
      <c r="D8" s="123"/>
      <c r="E8" s="123"/>
      <c r="F8" s="123" t="s">
        <v>24</v>
      </c>
      <c r="G8" s="1" t="s">
        <v>2750</v>
      </c>
      <c r="H8" s="1" t="s">
        <v>29</v>
      </c>
      <c r="I8" s="232" t="s">
        <v>2748</v>
      </c>
      <c r="J8" s="123">
        <v>44.28</v>
      </c>
      <c r="K8" s="123" t="s">
        <v>2735</v>
      </c>
      <c r="L8" s="123" t="s">
        <v>2736</v>
      </c>
    </row>
    <row r="9" spans="1:14" ht="75">
      <c r="A9" s="123" t="s">
        <v>2751</v>
      </c>
      <c r="B9" s="123" t="s">
        <v>33</v>
      </c>
      <c r="C9" s="123" t="s">
        <v>25</v>
      </c>
      <c r="D9" s="123"/>
      <c r="E9" s="123"/>
      <c r="F9" s="123" t="s">
        <v>24</v>
      </c>
      <c r="G9" s="1" t="s">
        <v>2752</v>
      </c>
      <c r="H9" s="1" t="s">
        <v>29</v>
      </c>
      <c r="I9" s="232" t="s">
        <v>2748</v>
      </c>
      <c r="J9" s="123">
        <v>33.65</v>
      </c>
      <c r="K9" s="123" t="s">
        <v>2735</v>
      </c>
      <c r="L9" s="123" t="s">
        <v>2736</v>
      </c>
    </row>
    <row r="10" spans="1:14" ht="45">
      <c r="A10" s="123" t="s">
        <v>2753</v>
      </c>
      <c r="B10" s="171" t="s">
        <v>1225</v>
      </c>
      <c r="C10" s="123" t="s">
        <v>157</v>
      </c>
      <c r="D10" s="123"/>
      <c r="E10" s="123"/>
      <c r="F10" s="123" t="s">
        <v>24</v>
      </c>
      <c r="G10" s="1" t="s">
        <v>1227</v>
      </c>
      <c r="H10" s="1" t="s">
        <v>1226</v>
      </c>
      <c r="I10" s="231">
        <v>45386</v>
      </c>
      <c r="J10" s="123">
        <v>847</v>
      </c>
      <c r="K10" s="123" t="s">
        <v>2735</v>
      </c>
      <c r="L10" s="123" t="s">
        <v>2736</v>
      </c>
    </row>
    <row r="11" spans="1:14" ht="60">
      <c r="A11" s="123" t="s">
        <v>2754</v>
      </c>
      <c r="B11" s="123" t="s">
        <v>39</v>
      </c>
      <c r="C11" s="123" t="s">
        <v>25</v>
      </c>
      <c r="F11" s="123" t="s">
        <v>24</v>
      </c>
      <c r="G11" s="1" t="s">
        <v>40</v>
      </c>
      <c r="H11" s="1" t="s">
        <v>23</v>
      </c>
      <c r="I11" s="232" t="s">
        <v>41</v>
      </c>
      <c r="J11" s="123">
        <v>1</v>
      </c>
      <c r="K11" s="123" t="s">
        <v>2735</v>
      </c>
      <c r="L11" s="123" t="s">
        <v>2736</v>
      </c>
    </row>
    <row r="12" spans="1:14" ht="45">
      <c r="A12" s="123" t="s">
        <v>2755</v>
      </c>
      <c r="B12" s="171"/>
      <c r="C12" s="123" t="s">
        <v>25</v>
      </c>
      <c r="D12" s="123"/>
      <c r="E12" s="123"/>
      <c r="F12" s="123" t="s">
        <v>24</v>
      </c>
      <c r="G12" s="1" t="s">
        <v>2756</v>
      </c>
      <c r="H12" s="1" t="s">
        <v>2757</v>
      </c>
      <c r="I12" s="232" t="s">
        <v>2758</v>
      </c>
      <c r="J12" s="123">
        <v>1</v>
      </c>
      <c r="K12" s="123" t="s">
        <v>2735</v>
      </c>
      <c r="L12" s="123" t="s">
        <v>2736</v>
      </c>
      <c r="N12" t="s">
        <v>2741</v>
      </c>
    </row>
    <row r="13" spans="1:14" ht="75">
      <c r="A13" s="123" t="s">
        <v>2759</v>
      </c>
      <c r="B13" s="123" t="s">
        <v>42</v>
      </c>
      <c r="C13" s="123" t="s">
        <v>25</v>
      </c>
      <c r="D13" s="123"/>
      <c r="E13" s="123"/>
      <c r="F13" s="123" t="s">
        <v>24</v>
      </c>
      <c r="G13" s="1" t="s">
        <v>43</v>
      </c>
      <c r="H13" s="1" t="s">
        <v>29</v>
      </c>
      <c r="I13" s="232" t="s">
        <v>44</v>
      </c>
      <c r="J13" s="123">
        <v>24.2</v>
      </c>
      <c r="K13" s="123" t="s">
        <v>2735</v>
      </c>
      <c r="L13" s="123" t="s">
        <v>2736</v>
      </c>
    </row>
    <row r="14" spans="1:14" ht="75">
      <c r="A14" s="123" t="s">
        <v>2760</v>
      </c>
      <c r="B14" s="123" t="s">
        <v>45</v>
      </c>
      <c r="C14" s="123" t="s">
        <v>25</v>
      </c>
      <c r="D14" s="123"/>
      <c r="E14" s="123"/>
      <c r="F14" s="123" t="s">
        <v>24</v>
      </c>
      <c r="G14" s="1" t="s">
        <v>46</v>
      </c>
      <c r="H14" s="1" t="s">
        <v>29</v>
      </c>
      <c r="I14" s="232" t="s">
        <v>44</v>
      </c>
      <c r="J14" s="123">
        <v>54.45</v>
      </c>
      <c r="K14" s="123" t="s">
        <v>2735</v>
      </c>
      <c r="L14" s="123" t="s">
        <v>2736</v>
      </c>
    </row>
    <row r="15" spans="1:14" ht="60">
      <c r="A15" s="123" t="s">
        <v>2761</v>
      </c>
      <c r="B15" s="123" t="s">
        <v>47</v>
      </c>
      <c r="C15" s="123" t="s">
        <v>25</v>
      </c>
      <c r="D15" s="123"/>
      <c r="E15" s="123"/>
      <c r="F15" s="123" t="s">
        <v>24</v>
      </c>
      <c r="G15" s="1" t="s">
        <v>48</v>
      </c>
      <c r="H15" s="1" t="s">
        <v>29</v>
      </c>
      <c r="I15" s="232" t="s">
        <v>49</v>
      </c>
      <c r="J15" s="123">
        <v>22.77</v>
      </c>
      <c r="K15" s="123" t="s">
        <v>2735</v>
      </c>
      <c r="L15" s="123" t="s">
        <v>2736</v>
      </c>
    </row>
    <row r="16" spans="1:14" ht="60">
      <c r="A16" s="123" t="s">
        <v>2762</v>
      </c>
      <c r="B16" s="171" t="s">
        <v>938</v>
      </c>
      <c r="C16" s="123" t="s">
        <v>25</v>
      </c>
      <c r="D16" s="123"/>
      <c r="E16" s="123"/>
      <c r="F16" s="123" t="s">
        <v>24</v>
      </c>
      <c r="G16" s="1" t="s">
        <v>2763</v>
      </c>
      <c r="H16" s="1" t="s">
        <v>29</v>
      </c>
      <c r="I16" s="232" t="s">
        <v>2764</v>
      </c>
      <c r="J16" s="123">
        <v>14.49</v>
      </c>
      <c r="K16" s="123" t="s">
        <v>2735</v>
      </c>
      <c r="L16" s="123" t="s">
        <v>2736</v>
      </c>
    </row>
    <row r="17" spans="1:14" ht="45">
      <c r="A17" s="123" t="s">
        <v>2765</v>
      </c>
      <c r="B17" s="171" t="s">
        <v>938</v>
      </c>
      <c r="C17" s="123" t="s">
        <v>25</v>
      </c>
      <c r="D17" s="123"/>
      <c r="E17" s="123"/>
      <c r="F17" s="123" t="s">
        <v>24</v>
      </c>
      <c r="G17" s="1" t="s">
        <v>2766</v>
      </c>
      <c r="H17" s="1" t="s">
        <v>29</v>
      </c>
      <c r="I17" s="232" t="s">
        <v>2767</v>
      </c>
      <c r="J17" s="123">
        <v>1</v>
      </c>
      <c r="K17" s="123" t="s">
        <v>2735</v>
      </c>
      <c r="L17" s="123" t="s">
        <v>2736</v>
      </c>
    </row>
    <row r="18" spans="1:14" ht="60">
      <c r="A18" s="123" t="s">
        <v>2768</v>
      </c>
      <c r="B18" s="171" t="s">
        <v>938</v>
      </c>
      <c r="C18" s="123" t="s">
        <v>25</v>
      </c>
      <c r="D18" s="123"/>
      <c r="E18" s="123"/>
      <c r="F18" s="123" t="s">
        <v>24</v>
      </c>
      <c r="G18" s="1" t="s">
        <v>2769</v>
      </c>
      <c r="H18" s="1" t="s">
        <v>29</v>
      </c>
      <c r="I18" s="232" t="s">
        <v>2770</v>
      </c>
      <c r="J18" s="123">
        <v>28.98</v>
      </c>
      <c r="K18" s="123" t="s">
        <v>2735</v>
      </c>
      <c r="L18" s="123" t="s">
        <v>2736</v>
      </c>
    </row>
    <row r="19" spans="1:14" ht="45">
      <c r="A19" s="123" t="s">
        <v>2771</v>
      </c>
      <c r="B19" s="123" t="s">
        <v>50</v>
      </c>
      <c r="C19" s="123" t="s">
        <v>25</v>
      </c>
      <c r="D19" s="123"/>
      <c r="E19" s="123"/>
      <c r="F19" s="123" t="s">
        <v>24</v>
      </c>
      <c r="G19" s="1" t="s">
        <v>52</v>
      </c>
      <c r="H19" s="1" t="s">
        <v>51</v>
      </c>
      <c r="I19" s="232" t="s">
        <v>53</v>
      </c>
      <c r="J19" s="123">
        <v>4</v>
      </c>
      <c r="K19" s="123" t="s">
        <v>2735</v>
      </c>
      <c r="L19" s="123" t="s">
        <v>2736</v>
      </c>
    </row>
    <row r="20" spans="1:14" ht="60">
      <c r="A20" s="123" t="s">
        <v>2772</v>
      </c>
      <c r="B20" s="1" t="s">
        <v>54</v>
      </c>
      <c r="C20" s="123" t="s">
        <v>25</v>
      </c>
      <c r="D20" s="123"/>
      <c r="E20" s="123"/>
      <c r="F20" s="123" t="s">
        <v>24</v>
      </c>
      <c r="G20" s="1" t="s">
        <v>56</v>
      </c>
      <c r="H20" s="1" t="s">
        <v>55</v>
      </c>
      <c r="I20" s="232" t="s">
        <v>57</v>
      </c>
      <c r="J20" s="123">
        <v>1</v>
      </c>
      <c r="K20" s="123" t="s">
        <v>2735</v>
      </c>
      <c r="L20" s="123" t="s">
        <v>2736</v>
      </c>
    </row>
    <row r="21" spans="1:14" ht="45">
      <c r="A21" s="123" t="s">
        <v>2773</v>
      </c>
      <c r="B21" s="171" t="s">
        <v>938</v>
      </c>
      <c r="C21" s="123" t="s">
        <v>25</v>
      </c>
      <c r="D21" s="123"/>
      <c r="E21" s="123"/>
      <c r="F21" s="123" t="s">
        <v>24</v>
      </c>
      <c r="G21" s="1" t="s">
        <v>2766</v>
      </c>
      <c r="H21" s="1" t="s">
        <v>29</v>
      </c>
      <c r="I21" s="232" t="s">
        <v>61</v>
      </c>
      <c r="J21" s="123">
        <v>1</v>
      </c>
      <c r="K21" s="123" t="s">
        <v>2735</v>
      </c>
      <c r="L21" s="123" t="s">
        <v>2736</v>
      </c>
    </row>
    <row r="22" spans="1:14" ht="45">
      <c r="A22" s="123" t="s">
        <v>2774</v>
      </c>
      <c r="B22" s="171" t="s">
        <v>938</v>
      </c>
      <c r="C22" s="123" t="s">
        <v>25</v>
      </c>
      <c r="D22" s="123"/>
      <c r="E22" s="123"/>
      <c r="F22" s="123" t="s">
        <v>24</v>
      </c>
      <c r="G22" s="1" t="s">
        <v>2775</v>
      </c>
      <c r="H22" s="1" t="s">
        <v>73</v>
      </c>
      <c r="I22" s="232" t="s">
        <v>61</v>
      </c>
      <c r="J22" s="123">
        <v>1</v>
      </c>
      <c r="K22" s="123" t="s">
        <v>2735</v>
      </c>
      <c r="L22" s="123" t="s">
        <v>2736</v>
      </c>
    </row>
    <row r="23" spans="1:14" ht="45">
      <c r="A23" s="123" t="s">
        <v>2776</v>
      </c>
      <c r="B23" s="171" t="s">
        <v>58</v>
      </c>
      <c r="C23" s="123" t="s">
        <v>25</v>
      </c>
      <c r="D23" s="123"/>
      <c r="E23" s="123"/>
      <c r="F23" s="123" t="s">
        <v>24</v>
      </c>
      <c r="G23" s="1" t="s">
        <v>60</v>
      </c>
      <c r="H23" s="1" t="s">
        <v>59</v>
      </c>
      <c r="I23" s="232" t="s">
        <v>61</v>
      </c>
      <c r="J23" s="123">
        <v>1</v>
      </c>
      <c r="K23" s="123" t="s">
        <v>2735</v>
      </c>
      <c r="L23" s="123" t="s">
        <v>2736</v>
      </c>
    </row>
    <row r="24" spans="1:14" ht="60">
      <c r="A24" s="123" t="s">
        <v>2777</v>
      </c>
      <c r="B24" s="1" t="s">
        <v>54</v>
      </c>
      <c r="C24" s="123" t="s">
        <v>25</v>
      </c>
      <c r="D24" s="123"/>
      <c r="E24" s="123"/>
      <c r="F24" s="123" t="s">
        <v>24</v>
      </c>
      <c r="G24" s="1" t="s">
        <v>2778</v>
      </c>
      <c r="H24" s="1" t="s">
        <v>2779</v>
      </c>
      <c r="I24" s="232" t="s">
        <v>53</v>
      </c>
      <c r="J24" s="123">
        <v>1</v>
      </c>
      <c r="K24" s="123" t="s">
        <v>2735</v>
      </c>
      <c r="L24" s="123" t="s">
        <v>2736</v>
      </c>
    </row>
    <row r="25" spans="1:14" ht="45">
      <c r="A25" s="123" t="s">
        <v>2780</v>
      </c>
      <c r="B25" s="171" t="s">
        <v>938</v>
      </c>
      <c r="C25" s="123" t="s">
        <v>25</v>
      </c>
      <c r="D25" s="123"/>
      <c r="E25" s="123"/>
      <c r="F25" s="123" t="s">
        <v>24</v>
      </c>
      <c r="G25" s="1" t="s">
        <v>2766</v>
      </c>
      <c r="H25" s="1" t="s">
        <v>29</v>
      </c>
      <c r="I25" s="232" t="s">
        <v>2781</v>
      </c>
      <c r="J25" s="123">
        <v>1</v>
      </c>
      <c r="K25" s="123" t="s">
        <v>2735</v>
      </c>
      <c r="L25" s="123" t="s">
        <v>2736</v>
      </c>
    </row>
    <row r="26" spans="1:14" ht="30">
      <c r="A26" s="123" t="s">
        <v>2782</v>
      </c>
      <c r="B26" s="171"/>
      <c r="C26" s="123" t="s">
        <v>25</v>
      </c>
      <c r="D26" s="123"/>
      <c r="E26" s="123"/>
      <c r="F26" s="123" t="s">
        <v>24</v>
      </c>
      <c r="G26" s="1" t="s">
        <v>2783</v>
      </c>
      <c r="H26" s="1" t="s">
        <v>69</v>
      </c>
      <c r="I26" s="232" t="s">
        <v>2781</v>
      </c>
      <c r="J26" s="123">
        <v>1</v>
      </c>
      <c r="K26" s="123" t="s">
        <v>2735</v>
      </c>
      <c r="L26" s="123" t="s">
        <v>2736</v>
      </c>
      <c r="N26" t="s">
        <v>2741</v>
      </c>
    </row>
    <row r="27" spans="1:14" ht="30">
      <c r="A27" s="123" t="s">
        <v>2784</v>
      </c>
      <c r="B27" s="171" t="s">
        <v>62</v>
      </c>
      <c r="C27" s="123" t="s">
        <v>25</v>
      </c>
      <c r="D27" s="123"/>
      <c r="E27" s="123"/>
      <c r="F27" s="123" t="s">
        <v>24</v>
      </c>
      <c r="G27" s="1" t="s">
        <v>63</v>
      </c>
      <c r="H27" s="1" t="s">
        <v>51</v>
      </c>
      <c r="I27" s="231">
        <v>45175</v>
      </c>
      <c r="J27" s="123">
        <v>1</v>
      </c>
      <c r="K27" s="123" t="s">
        <v>2735</v>
      </c>
      <c r="L27" s="123" t="s">
        <v>2736</v>
      </c>
    </row>
    <row r="28" spans="1:14" ht="60">
      <c r="A28" s="123" t="s">
        <v>2785</v>
      </c>
      <c r="B28" s="171" t="s">
        <v>938</v>
      </c>
      <c r="C28" s="123" t="s">
        <v>25</v>
      </c>
      <c r="D28" s="123"/>
      <c r="E28" s="123"/>
      <c r="F28" s="123" t="s">
        <v>24</v>
      </c>
      <c r="G28" s="1" t="s">
        <v>2786</v>
      </c>
      <c r="H28" s="1" t="s">
        <v>29</v>
      </c>
      <c r="I28" s="232" t="s">
        <v>2781</v>
      </c>
      <c r="J28" s="123">
        <v>4</v>
      </c>
      <c r="K28" s="123" t="s">
        <v>2735</v>
      </c>
      <c r="L28" s="123" t="s">
        <v>2736</v>
      </c>
    </row>
    <row r="29" spans="1:14" ht="30">
      <c r="A29" s="123" t="s">
        <v>2787</v>
      </c>
      <c r="B29" s="171"/>
      <c r="C29" s="123" t="s">
        <v>25</v>
      </c>
      <c r="D29" s="123"/>
      <c r="E29" s="123"/>
      <c r="F29" s="123" t="s">
        <v>24</v>
      </c>
      <c r="G29" s="1" t="s">
        <v>2783</v>
      </c>
      <c r="H29" s="1" t="s">
        <v>69</v>
      </c>
      <c r="I29" s="232" t="s">
        <v>2781</v>
      </c>
      <c r="J29" s="123">
        <v>1</v>
      </c>
      <c r="K29" s="123" t="s">
        <v>2735</v>
      </c>
      <c r="L29" s="123" t="s">
        <v>2736</v>
      </c>
      <c r="N29" t="s">
        <v>2741</v>
      </c>
    </row>
    <row r="30" spans="1:14" ht="60">
      <c r="A30" s="123" t="s">
        <v>2788</v>
      </c>
      <c r="B30" s="123" t="s">
        <v>50</v>
      </c>
      <c r="C30" s="123" t="s">
        <v>25</v>
      </c>
      <c r="D30" s="123"/>
      <c r="E30" s="123"/>
      <c r="F30" s="123" t="s">
        <v>24</v>
      </c>
      <c r="G30" s="1" t="s">
        <v>2789</v>
      </c>
      <c r="H30" s="1" t="s">
        <v>2790</v>
      </c>
      <c r="I30" s="231">
        <v>45021</v>
      </c>
      <c r="J30" s="123">
        <v>1</v>
      </c>
      <c r="K30" s="123" t="s">
        <v>2735</v>
      </c>
      <c r="L30" s="123" t="s">
        <v>2736</v>
      </c>
    </row>
    <row r="31" spans="1:14" ht="45">
      <c r="A31" s="123" t="s">
        <v>2791</v>
      </c>
      <c r="B31" s="1" t="s">
        <v>64</v>
      </c>
      <c r="C31" s="123" t="s">
        <v>25</v>
      </c>
      <c r="D31" s="123"/>
      <c r="E31" s="123"/>
      <c r="F31" s="123" t="s">
        <v>24</v>
      </c>
      <c r="G31" s="1" t="s">
        <v>66</v>
      </c>
      <c r="H31" s="1" t="s">
        <v>65</v>
      </c>
      <c r="I31" s="232" t="s">
        <v>67</v>
      </c>
      <c r="J31" s="123">
        <v>1</v>
      </c>
      <c r="K31" s="123" t="s">
        <v>2735</v>
      </c>
      <c r="L31" s="123" t="s">
        <v>2736</v>
      </c>
    </row>
    <row r="32" spans="1:14" ht="45">
      <c r="A32" s="123" t="s">
        <v>2792</v>
      </c>
      <c r="B32" s="123"/>
      <c r="C32" s="123" t="s">
        <v>25</v>
      </c>
      <c r="D32" s="123"/>
      <c r="E32" s="123"/>
      <c r="F32" s="123" t="s">
        <v>24</v>
      </c>
      <c r="G32" s="1" t="s">
        <v>2766</v>
      </c>
      <c r="H32" s="1" t="s">
        <v>29</v>
      </c>
      <c r="I32" s="232" t="s">
        <v>2793</v>
      </c>
      <c r="J32" s="123">
        <v>2</v>
      </c>
      <c r="K32" s="123" t="s">
        <v>2735</v>
      </c>
      <c r="L32" s="123" t="s">
        <v>2736</v>
      </c>
    </row>
    <row r="33" spans="1:14" ht="45">
      <c r="A33" s="123" t="s">
        <v>2794</v>
      </c>
      <c r="B33" s="123" t="s">
        <v>68</v>
      </c>
      <c r="C33" s="123" t="s">
        <v>25</v>
      </c>
      <c r="D33" s="123"/>
      <c r="E33" s="123"/>
      <c r="F33" s="123" t="s">
        <v>24</v>
      </c>
      <c r="G33" s="1" t="s">
        <v>70</v>
      </c>
      <c r="H33" s="1" t="s">
        <v>69</v>
      </c>
      <c r="I33" s="232" t="s">
        <v>71</v>
      </c>
      <c r="J33" s="123">
        <v>8.33</v>
      </c>
      <c r="K33" s="123" t="s">
        <v>2735</v>
      </c>
      <c r="L33" s="123" t="s">
        <v>2736</v>
      </c>
    </row>
    <row r="34" spans="1:14" ht="30">
      <c r="A34" s="123" t="s">
        <v>2795</v>
      </c>
      <c r="B34" s="171" t="s">
        <v>389</v>
      </c>
      <c r="C34" s="123" t="s">
        <v>157</v>
      </c>
      <c r="D34" s="123"/>
      <c r="E34" s="123"/>
      <c r="F34" s="123" t="s">
        <v>24</v>
      </c>
      <c r="G34" s="1" t="s">
        <v>391</v>
      </c>
      <c r="H34" s="1" t="s">
        <v>390</v>
      </c>
      <c r="I34" s="232" t="s">
        <v>392</v>
      </c>
      <c r="J34" s="123">
        <v>847</v>
      </c>
      <c r="K34" s="123" t="s">
        <v>2735</v>
      </c>
      <c r="L34" s="123" t="s">
        <v>2736</v>
      </c>
      <c r="N34" s="123"/>
    </row>
    <row r="35" spans="1:14" ht="75">
      <c r="A35" s="123" t="s">
        <v>2796</v>
      </c>
      <c r="B35" s="123" t="s">
        <v>68</v>
      </c>
      <c r="C35" s="123" t="s">
        <v>25</v>
      </c>
      <c r="D35" s="123"/>
      <c r="E35" s="123"/>
      <c r="F35" s="123" t="s">
        <v>24</v>
      </c>
      <c r="G35" s="1" t="s">
        <v>2797</v>
      </c>
      <c r="H35" s="1" t="s">
        <v>29</v>
      </c>
      <c r="I35" s="232" t="s">
        <v>2798</v>
      </c>
      <c r="J35" s="123">
        <v>8.0500000000000007</v>
      </c>
      <c r="K35" s="123" t="s">
        <v>2735</v>
      </c>
      <c r="L35" s="123" t="s">
        <v>2736</v>
      </c>
    </row>
    <row r="36" spans="1:14" ht="75">
      <c r="A36" s="123" t="s">
        <v>2799</v>
      </c>
      <c r="B36" s="123" t="s">
        <v>72</v>
      </c>
      <c r="C36" s="123" t="s">
        <v>25</v>
      </c>
      <c r="D36" s="123"/>
      <c r="E36" s="123"/>
      <c r="F36" s="123" t="s">
        <v>24</v>
      </c>
      <c r="G36" s="1" t="s">
        <v>74</v>
      </c>
      <c r="H36" s="1" t="s">
        <v>73</v>
      </c>
      <c r="I36" s="232" t="s">
        <v>75</v>
      </c>
      <c r="J36" s="123">
        <v>31.05</v>
      </c>
      <c r="K36" s="123" t="s">
        <v>2735</v>
      </c>
      <c r="L36" s="123" t="s">
        <v>2736</v>
      </c>
    </row>
    <row r="37" spans="1:14" ht="75">
      <c r="A37" s="123" t="s">
        <v>2800</v>
      </c>
      <c r="B37" s="123" t="s">
        <v>76</v>
      </c>
      <c r="C37" s="123" t="s">
        <v>25</v>
      </c>
      <c r="D37" s="123"/>
      <c r="E37" s="123"/>
      <c r="F37" s="123" t="s">
        <v>24</v>
      </c>
      <c r="G37" s="1" t="s">
        <v>77</v>
      </c>
      <c r="H37" s="1" t="s">
        <v>29</v>
      </c>
      <c r="I37" s="232" t="s">
        <v>78</v>
      </c>
      <c r="J37" s="123">
        <v>32.200000000000003</v>
      </c>
      <c r="K37" s="123" t="s">
        <v>2735</v>
      </c>
      <c r="L37" s="123" t="s">
        <v>2736</v>
      </c>
    </row>
    <row r="38" spans="1:14" ht="75">
      <c r="A38" s="123" t="s">
        <v>2801</v>
      </c>
      <c r="B38" s="123" t="s">
        <v>79</v>
      </c>
      <c r="C38" s="123" t="s">
        <v>25</v>
      </c>
      <c r="D38" s="123"/>
      <c r="E38" s="123"/>
      <c r="F38" s="123" t="s">
        <v>24</v>
      </c>
      <c r="G38" s="1" t="s">
        <v>80</v>
      </c>
      <c r="H38" s="1" t="s">
        <v>29</v>
      </c>
      <c r="I38" s="231">
        <v>45110</v>
      </c>
      <c r="J38" s="123">
        <v>1.1499999999999999</v>
      </c>
      <c r="K38" s="123" t="s">
        <v>2735</v>
      </c>
      <c r="L38" s="123" t="s">
        <v>2736</v>
      </c>
    </row>
    <row r="39" spans="1:14" ht="60">
      <c r="A39" s="123" t="s">
        <v>2802</v>
      </c>
      <c r="B39" s="171" t="s">
        <v>938</v>
      </c>
      <c r="C39" s="123" t="s">
        <v>25</v>
      </c>
      <c r="D39" s="123"/>
      <c r="E39" s="123"/>
      <c r="F39" s="123" t="s">
        <v>24</v>
      </c>
      <c r="G39" s="1" t="s">
        <v>2803</v>
      </c>
      <c r="H39" s="1" t="s">
        <v>29</v>
      </c>
      <c r="I39" s="232" t="s">
        <v>2804</v>
      </c>
      <c r="J39" s="123">
        <v>22.5</v>
      </c>
      <c r="K39" s="123" t="s">
        <v>2735</v>
      </c>
      <c r="L39" s="123" t="s">
        <v>2736</v>
      </c>
    </row>
    <row r="40" spans="1:14" ht="45">
      <c r="A40" s="123" t="s">
        <v>2805</v>
      </c>
      <c r="B40" s="171" t="s">
        <v>328</v>
      </c>
      <c r="C40" s="123" t="s">
        <v>25</v>
      </c>
      <c r="D40" s="123"/>
      <c r="E40" s="123"/>
      <c r="F40" s="123" t="s">
        <v>24</v>
      </c>
      <c r="G40" s="1" t="s">
        <v>2806</v>
      </c>
      <c r="H40" s="1" t="s">
        <v>2807</v>
      </c>
      <c r="I40" s="232" t="s">
        <v>2808</v>
      </c>
      <c r="J40" s="123">
        <v>1</v>
      </c>
      <c r="K40" s="123" t="s">
        <v>2735</v>
      </c>
      <c r="L40" s="123" t="s">
        <v>2736</v>
      </c>
    </row>
    <row r="41" spans="1:14" ht="45">
      <c r="A41" s="123" t="s">
        <v>2809</v>
      </c>
      <c r="B41" s="171" t="s">
        <v>938</v>
      </c>
      <c r="C41" s="123" t="s">
        <v>25</v>
      </c>
      <c r="D41" s="123"/>
      <c r="E41" s="123"/>
      <c r="F41" s="123" t="s">
        <v>24</v>
      </c>
      <c r="G41" s="1" t="s">
        <v>2810</v>
      </c>
      <c r="H41" s="1" t="s">
        <v>29</v>
      </c>
      <c r="I41" s="232" t="s">
        <v>2808</v>
      </c>
      <c r="J41" s="123">
        <v>1</v>
      </c>
      <c r="K41" s="123" t="s">
        <v>2735</v>
      </c>
      <c r="L41" s="123" t="s">
        <v>2736</v>
      </c>
    </row>
    <row r="42" spans="1:14" ht="45">
      <c r="A42" s="123" t="s">
        <v>2811</v>
      </c>
      <c r="B42" s="171" t="s">
        <v>938</v>
      </c>
      <c r="C42" s="123" t="s">
        <v>25</v>
      </c>
      <c r="D42" s="123"/>
      <c r="E42" s="123"/>
      <c r="F42" s="123" t="s">
        <v>24</v>
      </c>
      <c r="G42" s="1" t="s">
        <v>2766</v>
      </c>
      <c r="H42" s="1" t="s">
        <v>29</v>
      </c>
      <c r="I42" s="232" t="s">
        <v>2808</v>
      </c>
      <c r="J42" s="123">
        <v>1</v>
      </c>
      <c r="K42" s="123" t="s">
        <v>2735</v>
      </c>
      <c r="L42" s="123" t="s">
        <v>2736</v>
      </c>
    </row>
    <row r="43" spans="1:14" ht="45">
      <c r="A43" s="123" t="s">
        <v>2812</v>
      </c>
      <c r="B43" s="131" t="s">
        <v>94</v>
      </c>
      <c r="C43" s="123" t="s">
        <v>25</v>
      </c>
      <c r="D43" s="169" t="s">
        <v>95</v>
      </c>
      <c r="E43" s="169" t="s">
        <v>2743</v>
      </c>
      <c r="F43" s="123" t="s">
        <v>24</v>
      </c>
      <c r="G43" s="1" t="s">
        <v>96</v>
      </c>
      <c r="H43" s="1" t="s">
        <v>29</v>
      </c>
      <c r="I43" s="231">
        <v>45201</v>
      </c>
      <c r="J43" s="123">
        <v>1</v>
      </c>
      <c r="K43" s="123" t="s">
        <v>2735</v>
      </c>
      <c r="L43" s="123" t="s">
        <v>2736</v>
      </c>
      <c r="N43" t="s">
        <v>2813</v>
      </c>
    </row>
    <row r="44" spans="1:14" ht="74.25" customHeight="1">
      <c r="A44" s="123" t="s">
        <v>2814</v>
      </c>
      <c r="B44" s="131" t="s">
        <v>97</v>
      </c>
      <c r="C44" s="123" t="s">
        <v>25</v>
      </c>
      <c r="D44" s="172" t="s">
        <v>98</v>
      </c>
      <c r="E44" s="169" t="s">
        <v>2743</v>
      </c>
      <c r="F44" s="123" t="s">
        <v>24</v>
      </c>
      <c r="G44" s="1" t="s">
        <v>96</v>
      </c>
      <c r="H44" s="1" t="s">
        <v>29</v>
      </c>
      <c r="I44" s="232" t="s">
        <v>99</v>
      </c>
      <c r="J44" s="123">
        <v>4</v>
      </c>
      <c r="K44" s="123" t="s">
        <v>2735</v>
      </c>
      <c r="L44" s="123" t="s">
        <v>2736</v>
      </c>
      <c r="N44" t="s">
        <v>2813</v>
      </c>
    </row>
    <row r="45" spans="1:14" ht="30">
      <c r="A45" s="123" t="s">
        <v>2815</v>
      </c>
      <c r="B45" s="171" t="s">
        <v>485</v>
      </c>
      <c r="C45" s="123" t="s">
        <v>157</v>
      </c>
      <c r="D45" s="123"/>
      <c r="E45" s="123"/>
      <c r="F45" s="123" t="s">
        <v>24</v>
      </c>
      <c r="G45" s="1" t="s">
        <v>487</v>
      </c>
      <c r="H45" s="1" t="s">
        <v>486</v>
      </c>
      <c r="I45" s="231">
        <v>44988</v>
      </c>
      <c r="J45" s="123">
        <v>270</v>
      </c>
      <c r="K45" s="123" t="s">
        <v>2735</v>
      </c>
      <c r="L45" s="123" t="s">
        <v>2736</v>
      </c>
    </row>
    <row r="46" spans="1:14" ht="45">
      <c r="A46" s="123" t="s">
        <v>2816</v>
      </c>
      <c r="B46" s="171" t="s">
        <v>155</v>
      </c>
      <c r="C46" s="123" t="s">
        <v>157</v>
      </c>
      <c r="D46" s="123"/>
      <c r="E46" s="123"/>
      <c r="F46" s="123" t="s">
        <v>24</v>
      </c>
      <c r="G46" s="1" t="s">
        <v>158</v>
      </c>
      <c r="H46" s="1" t="s">
        <v>156</v>
      </c>
      <c r="I46" s="232" t="s">
        <v>159</v>
      </c>
      <c r="J46" s="123">
        <v>384</v>
      </c>
      <c r="K46" s="123" t="s">
        <v>2735</v>
      </c>
      <c r="L46" s="123" t="s">
        <v>2736</v>
      </c>
    </row>
    <row r="47" spans="1:14" ht="75">
      <c r="A47" s="123" t="s">
        <v>2817</v>
      </c>
      <c r="B47" s="171" t="s">
        <v>938</v>
      </c>
      <c r="C47" s="123" t="s">
        <v>25</v>
      </c>
      <c r="D47" s="123" t="s">
        <v>37</v>
      </c>
      <c r="E47" s="123"/>
      <c r="F47" s="123" t="s">
        <v>24</v>
      </c>
      <c r="G47" s="1" t="s">
        <v>2818</v>
      </c>
      <c r="H47" s="1" t="s">
        <v>29</v>
      </c>
      <c r="I47" s="232" t="s">
        <v>2819</v>
      </c>
      <c r="J47" s="123">
        <v>379.5</v>
      </c>
      <c r="K47" s="123" t="s">
        <v>2735</v>
      </c>
      <c r="L47" s="123" t="s">
        <v>2736</v>
      </c>
    </row>
    <row r="48" spans="1:14" ht="45">
      <c r="A48" s="123" t="s">
        <v>2820</v>
      </c>
      <c r="B48" s="123" t="s">
        <v>112</v>
      </c>
      <c r="C48" s="123" t="s">
        <v>25</v>
      </c>
      <c r="D48" s="169" t="s">
        <v>114</v>
      </c>
      <c r="E48" s="169" t="s">
        <v>2743</v>
      </c>
      <c r="F48" s="123" t="s">
        <v>24</v>
      </c>
      <c r="G48" s="1" t="s">
        <v>115</v>
      </c>
      <c r="H48" s="1" t="s">
        <v>113</v>
      </c>
      <c r="I48" s="232" t="s">
        <v>116</v>
      </c>
      <c r="J48" s="123">
        <v>1</v>
      </c>
      <c r="K48" s="123" t="s">
        <v>2735</v>
      </c>
      <c r="L48" s="123" t="s">
        <v>2736</v>
      </c>
    </row>
    <row r="49" spans="1:14" ht="60">
      <c r="A49" s="123" t="s">
        <v>2821</v>
      </c>
      <c r="B49" s="123" t="s">
        <v>112</v>
      </c>
      <c r="C49" s="123" t="s">
        <v>25</v>
      </c>
      <c r="D49" s="123" t="s">
        <v>37</v>
      </c>
      <c r="E49" s="123"/>
      <c r="F49" s="123" t="s">
        <v>24</v>
      </c>
      <c r="G49" s="1" t="s">
        <v>2822</v>
      </c>
      <c r="H49" s="1" t="s">
        <v>113</v>
      </c>
      <c r="I49" s="231">
        <v>44815</v>
      </c>
      <c r="J49" s="123">
        <v>9</v>
      </c>
      <c r="K49" s="123" t="s">
        <v>2735</v>
      </c>
      <c r="L49" s="123" t="s">
        <v>2736</v>
      </c>
    </row>
    <row r="50" spans="1:14" ht="60">
      <c r="A50" s="123" t="s">
        <v>2823</v>
      </c>
      <c r="B50" s="123" t="s">
        <v>112</v>
      </c>
      <c r="C50" s="123" t="s">
        <v>25</v>
      </c>
      <c r="D50" s="123" t="s">
        <v>37</v>
      </c>
      <c r="E50" s="123"/>
      <c r="F50" s="123" t="s">
        <v>24</v>
      </c>
      <c r="G50" s="1" t="s">
        <v>2824</v>
      </c>
      <c r="H50" s="1" t="s">
        <v>113</v>
      </c>
      <c r="I50" s="232" t="s">
        <v>2825</v>
      </c>
      <c r="J50" s="123">
        <v>14</v>
      </c>
      <c r="K50" s="123" t="s">
        <v>2735</v>
      </c>
      <c r="L50" s="123" t="s">
        <v>2736</v>
      </c>
    </row>
    <row r="51" spans="1:14" ht="30">
      <c r="A51" s="123" t="s">
        <v>2826</v>
      </c>
      <c r="B51" s="131" t="s">
        <v>112</v>
      </c>
      <c r="C51" s="123" t="s">
        <v>25</v>
      </c>
      <c r="D51" s="123" t="s">
        <v>37</v>
      </c>
      <c r="E51" s="123"/>
      <c r="F51" s="123" t="s">
        <v>24</v>
      </c>
      <c r="G51" s="1" t="s">
        <v>2827</v>
      </c>
      <c r="H51" s="1"/>
      <c r="I51" s="232" t="s">
        <v>2828</v>
      </c>
      <c r="J51" s="123">
        <v>7</v>
      </c>
      <c r="K51" s="123" t="s">
        <v>2735</v>
      </c>
      <c r="L51" s="123" t="s">
        <v>2736</v>
      </c>
      <c r="N51" s="123" t="s">
        <v>2829</v>
      </c>
    </row>
    <row r="52" spans="1:14" ht="45">
      <c r="A52" s="123" t="s">
        <v>2830</v>
      </c>
      <c r="B52" s="123" t="s">
        <v>112</v>
      </c>
      <c r="C52" s="123" t="s">
        <v>25</v>
      </c>
      <c r="D52" s="123" t="s">
        <v>37</v>
      </c>
      <c r="E52" s="123"/>
      <c r="F52" s="123" t="s">
        <v>24</v>
      </c>
      <c r="G52" s="1" t="s">
        <v>2831</v>
      </c>
      <c r="H52" s="1" t="s">
        <v>113</v>
      </c>
      <c r="I52" s="232" t="s">
        <v>2832</v>
      </c>
      <c r="J52" s="123">
        <v>4</v>
      </c>
      <c r="K52" s="123" t="s">
        <v>2735</v>
      </c>
      <c r="L52" s="123" t="s">
        <v>2736</v>
      </c>
    </row>
    <row r="53" spans="1:14" ht="60">
      <c r="A53" s="123" t="s">
        <v>2833</v>
      </c>
      <c r="B53" s="123" t="s">
        <v>112</v>
      </c>
      <c r="C53" s="123" t="s">
        <v>25</v>
      </c>
      <c r="D53" s="123" t="s">
        <v>37</v>
      </c>
      <c r="E53" s="123"/>
      <c r="F53" s="123" t="s">
        <v>24</v>
      </c>
      <c r="G53" s="1" t="s">
        <v>2834</v>
      </c>
      <c r="H53" s="1" t="s">
        <v>113</v>
      </c>
      <c r="I53" s="232" t="s">
        <v>2832</v>
      </c>
      <c r="J53" s="123">
        <v>54</v>
      </c>
      <c r="K53" s="123" t="s">
        <v>2735</v>
      </c>
      <c r="L53" s="123" t="s">
        <v>2736</v>
      </c>
    </row>
    <row r="54" spans="1:14" s="49" customFormat="1" ht="183.75" customHeight="1">
      <c r="A54" s="174" t="s">
        <v>2835</v>
      </c>
      <c r="B54" s="224" t="s">
        <v>117</v>
      </c>
      <c r="C54" s="174" t="s">
        <v>25</v>
      </c>
      <c r="D54" s="176" t="s">
        <v>118</v>
      </c>
      <c r="E54" s="169" t="s">
        <v>2743</v>
      </c>
      <c r="F54" s="123" t="s">
        <v>24</v>
      </c>
      <c r="G54" s="175" t="s">
        <v>119</v>
      </c>
      <c r="H54" s="1" t="s">
        <v>113</v>
      </c>
      <c r="I54" s="233" t="s">
        <v>120</v>
      </c>
      <c r="J54" s="174">
        <v>12</v>
      </c>
      <c r="K54" s="174" t="s">
        <v>2735</v>
      </c>
      <c r="L54" s="174" t="s">
        <v>2736</v>
      </c>
      <c r="N54" s="49" t="s">
        <v>2836</v>
      </c>
    </row>
    <row r="55" spans="1:14" ht="60">
      <c r="A55" s="123" t="s">
        <v>2837</v>
      </c>
      <c r="B55" s="171" t="s">
        <v>112</v>
      </c>
      <c r="C55" s="123" t="s">
        <v>25</v>
      </c>
      <c r="D55" s="123" t="s">
        <v>37</v>
      </c>
      <c r="E55" s="123"/>
      <c r="F55" s="123" t="s">
        <v>24</v>
      </c>
      <c r="G55" s="1" t="s">
        <v>2838</v>
      </c>
      <c r="H55" s="1" t="s">
        <v>113</v>
      </c>
      <c r="I55" s="232" t="s">
        <v>2839</v>
      </c>
      <c r="J55" s="123">
        <v>12</v>
      </c>
      <c r="K55" s="123" t="s">
        <v>2735</v>
      </c>
      <c r="L55" s="123" t="s">
        <v>2736</v>
      </c>
    </row>
    <row r="56" spans="1:14" ht="30">
      <c r="A56" s="123" t="s">
        <v>2840</v>
      </c>
      <c r="B56" s="171" t="s">
        <v>1069</v>
      </c>
      <c r="C56" s="123" t="s">
        <v>157</v>
      </c>
      <c r="D56" s="123"/>
      <c r="E56" s="123"/>
      <c r="F56" s="123" t="s">
        <v>24</v>
      </c>
      <c r="G56" s="1" t="s">
        <v>1071</v>
      </c>
      <c r="H56" s="1" t="s">
        <v>1070</v>
      </c>
      <c r="I56" s="231">
        <v>44988</v>
      </c>
      <c r="J56" s="123">
        <v>405</v>
      </c>
      <c r="K56" s="123" t="s">
        <v>2735</v>
      </c>
      <c r="L56" s="123" t="s">
        <v>2736</v>
      </c>
    </row>
    <row r="57" spans="1:14" ht="66.75" customHeight="1">
      <c r="A57" s="123" t="s">
        <v>2841</v>
      </c>
      <c r="B57" s="171"/>
      <c r="C57" s="123" t="s">
        <v>25</v>
      </c>
      <c r="D57" s="172" t="s">
        <v>2842</v>
      </c>
      <c r="E57" s="169" t="s">
        <v>2743</v>
      </c>
      <c r="F57" s="123" t="s">
        <v>24</v>
      </c>
      <c r="G57" s="1" t="s">
        <v>2843</v>
      </c>
      <c r="H57" s="1"/>
      <c r="I57" s="232" t="s">
        <v>2844</v>
      </c>
      <c r="J57" s="123">
        <v>4</v>
      </c>
      <c r="K57" s="123" t="s">
        <v>2735</v>
      </c>
      <c r="L57" s="123" t="s">
        <v>2736</v>
      </c>
    </row>
    <row r="58" spans="1:14">
      <c r="A58" s="123" t="s">
        <v>2845</v>
      </c>
      <c r="B58" s="171"/>
      <c r="C58" s="123" t="s">
        <v>25</v>
      </c>
      <c r="D58" s="123" t="s">
        <v>37</v>
      </c>
      <c r="E58" s="123"/>
      <c r="F58" s="123" t="s">
        <v>24</v>
      </c>
      <c r="G58" s="1" t="s">
        <v>2846</v>
      </c>
      <c r="H58" s="1"/>
      <c r="I58" s="232" t="s">
        <v>2847</v>
      </c>
      <c r="J58" s="123">
        <v>63</v>
      </c>
      <c r="K58" s="123" t="s">
        <v>2735</v>
      </c>
      <c r="L58" s="123" t="s">
        <v>2736</v>
      </c>
    </row>
    <row r="59" spans="1:14">
      <c r="A59" s="123" t="s">
        <v>2848</v>
      </c>
      <c r="B59" s="171"/>
      <c r="C59" s="123" t="s">
        <v>25</v>
      </c>
      <c r="D59" s="123" t="s">
        <v>37</v>
      </c>
      <c r="E59" s="123"/>
      <c r="F59" s="123" t="s">
        <v>24</v>
      </c>
      <c r="G59" s="1" t="s">
        <v>2849</v>
      </c>
      <c r="H59" s="1"/>
      <c r="I59" s="232" t="s">
        <v>2850</v>
      </c>
      <c r="J59" s="123">
        <v>7</v>
      </c>
      <c r="K59" s="123" t="s">
        <v>2735</v>
      </c>
      <c r="L59" s="123" t="s">
        <v>2736</v>
      </c>
    </row>
    <row r="60" spans="1:14">
      <c r="A60" s="123" t="s">
        <v>2851</v>
      </c>
      <c r="B60" s="171"/>
      <c r="C60" s="123" t="s">
        <v>25</v>
      </c>
      <c r="D60" s="123" t="s">
        <v>37</v>
      </c>
      <c r="E60" s="123"/>
      <c r="F60" s="123" t="s">
        <v>24</v>
      </c>
      <c r="G60" s="1" t="s">
        <v>2852</v>
      </c>
      <c r="H60" s="1"/>
      <c r="I60" s="231">
        <v>44567</v>
      </c>
      <c r="J60" s="123">
        <v>9</v>
      </c>
      <c r="K60" s="123" t="s">
        <v>2735</v>
      </c>
      <c r="L60" s="123" t="s">
        <v>2736</v>
      </c>
    </row>
    <row r="61" spans="1:14">
      <c r="A61" s="123" t="s">
        <v>2853</v>
      </c>
      <c r="B61" s="171"/>
      <c r="C61" s="123" t="s">
        <v>25</v>
      </c>
      <c r="D61" s="123" t="s">
        <v>37</v>
      </c>
      <c r="E61" s="123"/>
      <c r="F61" s="123" t="s">
        <v>24</v>
      </c>
      <c r="G61" s="1" t="s">
        <v>2854</v>
      </c>
      <c r="H61" s="1"/>
      <c r="I61" s="232" t="s">
        <v>2855</v>
      </c>
      <c r="J61" s="123">
        <v>9</v>
      </c>
      <c r="K61" s="123" t="s">
        <v>2735</v>
      </c>
      <c r="L61" s="123" t="s">
        <v>2736</v>
      </c>
    </row>
    <row r="62" spans="1:14">
      <c r="A62" s="123" t="s">
        <v>2856</v>
      </c>
      <c r="B62" s="171"/>
      <c r="C62" s="123" t="s">
        <v>25</v>
      </c>
      <c r="D62" s="123" t="s">
        <v>37</v>
      </c>
      <c r="E62" s="123"/>
      <c r="F62" s="123" t="s">
        <v>24</v>
      </c>
      <c r="G62" s="1" t="s">
        <v>2857</v>
      </c>
      <c r="H62" s="1"/>
      <c r="I62" s="232" t="s">
        <v>2858</v>
      </c>
      <c r="J62" s="123">
        <v>22.5</v>
      </c>
      <c r="K62" s="123" t="s">
        <v>2735</v>
      </c>
      <c r="L62" s="123" t="s">
        <v>2736</v>
      </c>
    </row>
    <row r="63" spans="1:14">
      <c r="A63" s="123" t="s">
        <v>2859</v>
      </c>
      <c r="B63" s="171"/>
      <c r="C63" s="123" t="s">
        <v>25</v>
      </c>
      <c r="D63" s="123" t="s">
        <v>37</v>
      </c>
      <c r="E63" s="123"/>
      <c r="F63" s="123" t="s">
        <v>24</v>
      </c>
      <c r="G63" s="1" t="s">
        <v>2860</v>
      </c>
      <c r="H63" s="1"/>
      <c r="I63" s="232" t="s">
        <v>2858</v>
      </c>
      <c r="J63" s="123">
        <v>7</v>
      </c>
      <c r="K63" s="123" t="s">
        <v>2735</v>
      </c>
      <c r="L63" s="123" t="s">
        <v>2736</v>
      </c>
    </row>
    <row r="64" spans="1:14">
      <c r="A64" s="123" t="s">
        <v>2861</v>
      </c>
      <c r="B64" s="171"/>
      <c r="C64" s="123" t="s">
        <v>157</v>
      </c>
      <c r="D64" s="123"/>
      <c r="E64" s="123"/>
      <c r="F64" s="123" t="s">
        <v>24</v>
      </c>
      <c r="G64" s="1" t="s">
        <v>2862</v>
      </c>
      <c r="H64" s="1" t="s">
        <v>2863</v>
      </c>
      <c r="I64" s="231">
        <v>44689</v>
      </c>
      <c r="J64" s="123">
        <v>270</v>
      </c>
      <c r="K64" s="123" t="s">
        <v>2735</v>
      </c>
      <c r="L64" s="123" t="s">
        <v>2736</v>
      </c>
    </row>
    <row r="65" spans="1:12" ht="99.75" customHeight="1">
      <c r="A65" s="123" t="s">
        <v>2864</v>
      </c>
      <c r="B65" s="123" t="s">
        <v>897</v>
      </c>
      <c r="C65" s="123" t="s">
        <v>25</v>
      </c>
      <c r="D65" s="172" t="s">
        <v>2865</v>
      </c>
      <c r="E65" s="169" t="s">
        <v>2743</v>
      </c>
      <c r="F65" s="123" t="s">
        <v>24</v>
      </c>
      <c r="G65" s="1" t="s">
        <v>2866</v>
      </c>
      <c r="H65" s="1"/>
      <c r="I65" s="231">
        <v>44871</v>
      </c>
      <c r="J65" s="123">
        <v>6</v>
      </c>
      <c r="K65" s="123" t="s">
        <v>2735</v>
      </c>
      <c r="L65" s="123" t="s">
        <v>2736</v>
      </c>
    </row>
    <row r="66" spans="1:12">
      <c r="A66" s="123" t="s">
        <v>2867</v>
      </c>
      <c r="B66" s="171"/>
      <c r="C66" s="123" t="s">
        <v>157</v>
      </c>
      <c r="D66" s="123"/>
      <c r="E66" s="123"/>
      <c r="F66" s="123" t="s">
        <v>24</v>
      </c>
      <c r="G66" s="1" t="s">
        <v>2868</v>
      </c>
      <c r="H66" s="1" t="s">
        <v>2869</v>
      </c>
      <c r="I66" s="231">
        <v>45207</v>
      </c>
      <c r="J66" s="123">
        <v>386</v>
      </c>
      <c r="K66" s="123" t="s">
        <v>2735</v>
      </c>
      <c r="L66" s="123" t="s">
        <v>2736</v>
      </c>
    </row>
    <row r="67" spans="1:12">
      <c r="A67" s="123" t="s">
        <v>2870</v>
      </c>
      <c r="B67" s="171"/>
      <c r="C67" s="123" t="s">
        <v>25</v>
      </c>
      <c r="D67" s="123" t="s">
        <v>37</v>
      </c>
      <c r="E67" s="123"/>
      <c r="F67" s="123" t="s">
        <v>24</v>
      </c>
      <c r="G67" s="1" t="s">
        <v>2871</v>
      </c>
      <c r="H67" s="1"/>
      <c r="I67" s="231">
        <v>44745</v>
      </c>
      <c r="J67" s="123">
        <v>8.0500000000000007</v>
      </c>
      <c r="K67" s="123" t="s">
        <v>2735</v>
      </c>
      <c r="L67" s="123" t="s">
        <v>2736</v>
      </c>
    </row>
    <row r="68" spans="1:12">
      <c r="A68" s="123" t="s">
        <v>2872</v>
      </c>
      <c r="B68" s="171" t="s">
        <v>2873</v>
      </c>
      <c r="C68" s="123" t="s">
        <v>157</v>
      </c>
      <c r="D68" s="123"/>
      <c r="E68" s="123"/>
      <c r="F68" s="123" t="s">
        <v>24</v>
      </c>
      <c r="G68" s="1" t="s">
        <v>2874</v>
      </c>
      <c r="H68" s="1" t="s">
        <v>2875</v>
      </c>
      <c r="I68" s="232" t="s">
        <v>2876</v>
      </c>
      <c r="J68" s="123">
        <v>270</v>
      </c>
      <c r="K68" s="123" t="s">
        <v>2735</v>
      </c>
      <c r="L68" s="123" t="s">
        <v>2736</v>
      </c>
    </row>
    <row r="69" spans="1:12">
      <c r="A69" s="123" t="s">
        <v>2877</v>
      </c>
      <c r="B69" s="171"/>
      <c r="C69" s="123" t="s">
        <v>25</v>
      </c>
      <c r="D69" s="123" t="s">
        <v>37</v>
      </c>
      <c r="E69" s="123"/>
      <c r="F69" s="123" t="s">
        <v>24</v>
      </c>
      <c r="G69" s="1" t="s">
        <v>2878</v>
      </c>
      <c r="H69" s="1"/>
      <c r="I69" s="232" t="s">
        <v>789</v>
      </c>
      <c r="J69" s="123">
        <v>128.80000000000001</v>
      </c>
      <c r="K69" s="123" t="s">
        <v>2735</v>
      </c>
      <c r="L69" s="123" t="s">
        <v>2736</v>
      </c>
    </row>
    <row r="70" spans="1:12">
      <c r="A70" s="123" t="s">
        <v>2879</v>
      </c>
      <c r="B70" s="123" t="s">
        <v>868</v>
      </c>
      <c r="C70" s="123" t="s">
        <v>25</v>
      </c>
      <c r="D70" s="123" t="s">
        <v>37</v>
      </c>
      <c r="E70" s="123"/>
      <c r="F70" s="123" t="s">
        <v>24</v>
      </c>
      <c r="G70" s="1" t="s">
        <v>2880</v>
      </c>
      <c r="H70" s="1"/>
      <c r="I70" s="232" t="s">
        <v>789</v>
      </c>
      <c r="J70" s="123">
        <v>16.100000000000001</v>
      </c>
      <c r="K70" s="123" t="s">
        <v>2735</v>
      </c>
      <c r="L70" s="123" t="s">
        <v>2736</v>
      </c>
    </row>
    <row r="71" spans="1:12">
      <c r="A71" s="123" t="s">
        <v>2881</v>
      </c>
      <c r="B71" s="171"/>
      <c r="C71" s="123" t="s">
        <v>25</v>
      </c>
      <c r="D71" s="123" t="s">
        <v>37</v>
      </c>
      <c r="E71" s="123"/>
      <c r="F71" s="123" t="s">
        <v>24</v>
      </c>
      <c r="G71" s="1" t="s">
        <v>2882</v>
      </c>
      <c r="H71" s="1"/>
      <c r="I71" s="232" t="s">
        <v>2883</v>
      </c>
      <c r="J71" s="123">
        <v>8.0500000000000007</v>
      </c>
      <c r="K71" s="123" t="s">
        <v>2735</v>
      </c>
      <c r="L71" s="123" t="s">
        <v>2736</v>
      </c>
    </row>
    <row r="72" spans="1:12">
      <c r="A72" s="123" t="s">
        <v>2884</v>
      </c>
      <c r="B72" s="171"/>
      <c r="C72" s="123" t="s">
        <v>25</v>
      </c>
      <c r="D72" s="123" t="s">
        <v>37</v>
      </c>
      <c r="E72" s="123"/>
      <c r="F72" s="123" t="s">
        <v>24</v>
      </c>
      <c r="G72" s="1" t="s">
        <v>2885</v>
      </c>
      <c r="H72" s="1"/>
      <c r="I72" s="231">
        <v>44866</v>
      </c>
      <c r="J72" s="123">
        <v>8.0500000000000007</v>
      </c>
      <c r="K72" s="123" t="s">
        <v>2735</v>
      </c>
      <c r="L72" s="123" t="s">
        <v>2736</v>
      </c>
    </row>
    <row r="73" spans="1:12">
      <c r="A73" s="123" t="s">
        <v>2886</v>
      </c>
      <c r="B73" s="171"/>
      <c r="C73" s="123" t="s">
        <v>25</v>
      </c>
      <c r="D73" s="123" t="s">
        <v>37</v>
      </c>
      <c r="E73" s="123"/>
      <c r="F73" s="123" t="s">
        <v>24</v>
      </c>
      <c r="G73" s="1" t="s">
        <v>2887</v>
      </c>
      <c r="H73" s="1"/>
      <c r="I73" s="231">
        <v>44652</v>
      </c>
      <c r="J73" s="123">
        <v>1.1499999999999999</v>
      </c>
      <c r="K73" s="123" t="s">
        <v>2735</v>
      </c>
      <c r="L73" s="123" t="s">
        <v>2736</v>
      </c>
    </row>
    <row r="74" spans="1:12">
      <c r="A74" s="123" t="s">
        <v>2888</v>
      </c>
      <c r="B74" s="123" t="s">
        <v>199</v>
      </c>
      <c r="C74" s="123" t="s">
        <v>25</v>
      </c>
      <c r="D74" s="169" t="s">
        <v>200</v>
      </c>
      <c r="E74" s="169" t="s">
        <v>2743</v>
      </c>
      <c r="F74" s="123" t="s">
        <v>24</v>
      </c>
      <c r="G74" s="1" t="s">
        <v>201</v>
      </c>
      <c r="H74" s="1"/>
      <c r="I74" s="232" t="s">
        <v>202</v>
      </c>
      <c r="J74" s="123">
        <v>18.25</v>
      </c>
      <c r="K74" s="123" t="s">
        <v>2735</v>
      </c>
      <c r="L74" s="123" t="s">
        <v>2736</v>
      </c>
    </row>
    <row r="75" spans="1:12">
      <c r="A75" s="123" t="s">
        <v>2889</v>
      </c>
      <c r="B75" s="123" t="s">
        <v>97</v>
      </c>
      <c r="C75" s="123" t="s">
        <v>25</v>
      </c>
      <c r="D75" s="169" t="s">
        <v>2890</v>
      </c>
      <c r="E75" s="169" t="s">
        <v>2743</v>
      </c>
      <c r="F75" s="123" t="s">
        <v>24</v>
      </c>
      <c r="G75" s="1" t="s">
        <v>2891</v>
      </c>
      <c r="H75" s="1"/>
      <c r="I75" s="231">
        <v>44359</v>
      </c>
      <c r="J75" s="123">
        <v>1</v>
      </c>
      <c r="K75" s="123" t="s">
        <v>2735</v>
      </c>
      <c r="L75" s="123" t="s">
        <v>2736</v>
      </c>
    </row>
    <row r="76" spans="1:12">
      <c r="A76" s="123" t="s">
        <v>2892</v>
      </c>
      <c r="B76" s="171"/>
      <c r="C76" s="123" t="s">
        <v>25</v>
      </c>
      <c r="D76" s="123" t="s">
        <v>37</v>
      </c>
      <c r="E76" s="123"/>
      <c r="F76" s="123" t="s">
        <v>24</v>
      </c>
      <c r="G76" s="1" t="s">
        <v>2893</v>
      </c>
      <c r="H76" s="1"/>
      <c r="I76" s="231">
        <v>44359</v>
      </c>
      <c r="J76" s="123">
        <v>8.0500000000000007</v>
      </c>
      <c r="K76" s="123" t="s">
        <v>2735</v>
      </c>
      <c r="L76" s="123" t="s">
        <v>2736</v>
      </c>
    </row>
    <row r="77" spans="1:12">
      <c r="A77" s="123" t="s">
        <v>2894</v>
      </c>
      <c r="B77" s="123" t="s">
        <v>97</v>
      </c>
      <c r="C77" s="123" t="s">
        <v>25</v>
      </c>
      <c r="D77" s="169" t="s">
        <v>2895</v>
      </c>
      <c r="E77" s="169" t="s">
        <v>2743</v>
      </c>
      <c r="F77" s="123" t="s">
        <v>24</v>
      </c>
      <c r="G77" s="1" t="s">
        <v>2896</v>
      </c>
      <c r="H77" s="1"/>
      <c r="I77" s="232" t="s">
        <v>2897</v>
      </c>
      <c r="J77" s="123">
        <v>42.4</v>
      </c>
      <c r="K77" s="123" t="s">
        <v>2735</v>
      </c>
      <c r="L77" s="123" t="s">
        <v>2736</v>
      </c>
    </row>
    <row r="78" spans="1:12">
      <c r="A78" s="123" t="s">
        <v>2898</v>
      </c>
      <c r="B78" s="171"/>
      <c r="C78" s="123" t="s">
        <v>25</v>
      </c>
      <c r="D78" s="123" t="s">
        <v>37</v>
      </c>
      <c r="E78" s="123"/>
      <c r="F78" s="123" t="s">
        <v>24</v>
      </c>
      <c r="G78" s="1" t="s">
        <v>2896</v>
      </c>
      <c r="H78" s="1"/>
      <c r="I78" s="232" t="s">
        <v>2897</v>
      </c>
      <c r="J78" s="123">
        <v>17.25</v>
      </c>
      <c r="K78" s="123" t="s">
        <v>2735</v>
      </c>
      <c r="L78" s="123" t="s">
        <v>2736</v>
      </c>
    </row>
    <row r="79" spans="1:12">
      <c r="A79" s="123" t="s">
        <v>2899</v>
      </c>
      <c r="B79" s="171"/>
      <c r="C79" s="123" t="s">
        <v>25</v>
      </c>
      <c r="D79" s="123" t="s">
        <v>37</v>
      </c>
      <c r="E79" s="123"/>
      <c r="F79" s="123" t="s">
        <v>24</v>
      </c>
      <c r="G79" s="1" t="s">
        <v>2900</v>
      </c>
      <c r="H79" s="1"/>
      <c r="I79" s="232" t="s">
        <v>2901</v>
      </c>
      <c r="J79" s="123">
        <v>155.25</v>
      </c>
      <c r="K79" s="123" t="s">
        <v>2735</v>
      </c>
      <c r="L79" s="123" t="s">
        <v>2736</v>
      </c>
    </row>
    <row r="80" spans="1:12">
      <c r="A80" s="123" t="s">
        <v>2902</v>
      </c>
      <c r="B80" s="171"/>
      <c r="C80" s="123" t="s">
        <v>25</v>
      </c>
      <c r="D80" s="123" t="s">
        <v>37</v>
      </c>
      <c r="E80" s="123"/>
      <c r="F80" s="123" t="s">
        <v>24</v>
      </c>
      <c r="G80" s="1" t="s">
        <v>2903</v>
      </c>
      <c r="H80" s="1"/>
      <c r="I80" s="232" t="s">
        <v>2904</v>
      </c>
      <c r="J80" s="123">
        <v>72.45</v>
      </c>
      <c r="K80" s="123" t="s">
        <v>2735</v>
      </c>
      <c r="L80" s="123" t="s">
        <v>2736</v>
      </c>
    </row>
    <row r="81" spans="1:12">
      <c r="A81" s="123" t="s">
        <v>2905</v>
      </c>
      <c r="B81" s="171"/>
      <c r="C81" s="123" t="s">
        <v>157</v>
      </c>
      <c r="D81" s="123"/>
      <c r="E81" s="123"/>
      <c r="F81" s="123" t="s">
        <v>24</v>
      </c>
      <c r="G81" s="1" t="s">
        <v>2906</v>
      </c>
      <c r="H81" s="1" t="s">
        <v>2907</v>
      </c>
      <c r="I81" s="231">
        <v>44748</v>
      </c>
      <c r="J81" s="123">
        <v>270</v>
      </c>
      <c r="K81" s="123" t="s">
        <v>2735</v>
      </c>
      <c r="L81" s="123" t="s">
        <v>2736</v>
      </c>
    </row>
    <row r="82" spans="1:12">
      <c r="A82" s="123" t="s">
        <v>2908</v>
      </c>
      <c r="B82" s="171"/>
      <c r="C82" s="123" t="s">
        <v>25</v>
      </c>
      <c r="D82" s="123"/>
      <c r="E82" s="123"/>
      <c r="F82" s="123" t="s">
        <v>24</v>
      </c>
      <c r="G82" s="1" t="s">
        <v>2909</v>
      </c>
      <c r="H82" s="1"/>
      <c r="I82" s="232" t="s">
        <v>2901</v>
      </c>
      <c r="J82" s="123">
        <v>16.100000000000001</v>
      </c>
      <c r="K82" s="123" t="s">
        <v>2735</v>
      </c>
      <c r="L82" s="123" t="s">
        <v>2736</v>
      </c>
    </row>
    <row r="83" spans="1:12">
      <c r="A83" s="123" t="s">
        <v>2910</v>
      </c>
      <c r="B83" s="171"/>
      <c r="C83" s="123" t="s">
        <v>157</v>
      </c>
      <c r="D83" s="123"/>
      <c r="E83" s="123"/>
      <c r="F83" s="123" t="s">
        <v>24</v>
      </c>
      <c r="G83" s="1" t="s">
        <v>2911</v>
      </c>
      <c r="H83" s="1" t="s">
        <v>2912</v>
      </c>
      <c r="I83" s="232" t="s">
        <v>2913</v>
      </c>
      <c r="J83" s="123">
        <v>386</v>
      </c>
      <c r="K83" s="123" t="s">
        <v>2735</v>
      </c>
      <c r="L83" s="123" t="s">
        <v>2736</v>
      </c>
    </row>
    <row r="84" spans="1:12">
      <c r="A84" s="123" t="s">
        <v>2914</v>
      </c>
      <c r="B84" s="171"/>
      <c r="C84" s="123" t="s">
        <v>157</v>
      </c>
      <c r="D84" s="123"/>
      <c r="E84" s="123"/>
      <c r="F84" s="123" t="s">
        <v>24</v>
      </c>
      <c r="G84" s="1" t="s">
        <v>2915</v>
      </c>
      <c r="H84" s="1" t="s">
        <v>2916</v>
      </c>
      <c r="I84" s="232" t="s">
        <v>2917</v>
      </c>
      <c r="J84" s="123">
        <v>762</v>
      </c>
      <c r="K84" s="123" t="s">
        <v>2735</v>
      </c>
      <c r="L84" s="123" t="s">
        <v>2736</v>
      </c>
    </row>
    <row r="85" spans="1:12">
      <c r="A85" s="123" t="s">
        <v>2918</v>
      </c>
      <c r="B85" s="123" t="s">
        <v>219</v>
      </c>
      <c r="C85" s="123" t="s">
        <v>25</v>
      </c>
      <c r="D85" s="123" t="s">
        <v>37</v>
      </c>
      <c r="E85" s="123"/>
      <c r="F85" s="123" t="s">
        <v>24</v>
      </c>
      <c r="G85" s="1" t="s">
        <v>220</v>
      </c>
      <c r="H85" s="1"/>
      <c r="I85" s="232" t="s">
        <v>221</v>
      </c>
      <c r="J85" s="123">
        <v>64.400000000000006</v>
      </c>
      <c r="K85" s="123" t="s">
        <v>2735</v>
      </c>
      <c r="L85" s="123" t="s">
        <v>2736</v>
      </c>
    </row>
    <row r="86" spans="1:12">
      <c r="A86" s="123" t="s">
        <v>2919</v>
      </c>
      <c r="B86" s="171"/>
      <c r="C86" s="123" t="s">
        <v>25</v>
      </c>
      <c r="D86" s="123" t="s">
        <v>37</v>
      </c>
      <c r="E86" s="123"/>
      <c r="F86" s="123" t="s">
        <v>24</v>
      </c>
      <c r="G86" s="1" t="s">
        <v>2920</v>
      </c>
      <c r="H86" s="1"/>
      <c r="I86" s="231">
        <v>44264</v>
      </c>
      <c r="J86" s="123">
        <v>2.2999999999999998</v>
      </c>
      <c r="K86" s="123" t="s">
        <v>2735</v>
      </c>
      <c r="L86" s="123" t="s">
        <v>2736</v>
      </c>
    </row>
    <row r="87" spans="1:12">
      <c r="A87" s="123" t="s">
        <v>2921</v>
      </c>
      <c r="B87" s="123" t="s">
        <v>226</v>
      </c>
      <c r="C87" s="123" t="s">
        <v>25</v>
      </c>
      <c r="D87" s="169" t="s">
        <v>227</v>
      </c>
      <c r="E87" s="169" t="s">
        <v>2743</v>
      </c>
      <c r="F87" s="123" t="s">
        <v>24</v>
      </c>
      <c r="G87" s="1" t="s">
        <v>228</v>
      </c>
      <c r="H87" s="1"/>
      <c r="I87" s="232" t="s">
        <v>229</v>
      </c>
      <c r="J87" s="123">
        <v>1</v>
      </c>
      <c r="K87" s="123" t="s">
        <v>2735</v>
      </c>
      <c r="L87" s="123" t="s">
        <v>2736</v>
      </c>
    </row>
    <row r="88" spans="1:12">
      <c r="A88" s="123" t="s">
        <v>2922</v>
      </c>
      <c r="B88" s="123" t="s">
        <v>97</v>
      </c>
      <c r="C88" s="123" t="s">
        <v>25</v>
      </c>
      <c r="D88" s="169" t="s">
        <v>2923</v>
      </c>
      <c r="E88" s="169" t="s">
        <v>2743</v>
      </c>
      <c r="F88" s="123" t="s">
        <v>24</v>
      </c>
      <c r="G88" s="1" t="s">
        <v>228</v>
      </c>
      <c r="H88" s="1"/>
      <c r="I88" s="232" t="s">
        <v>229</v>
      </c>
      <c r="J88" s="123">
        <v>1</v>
      </c>
      <c r="K88" s="123" t="s">
        <v>2735</v>
      </c>
      <c r="L88" s="123" t="s">
        <v>2736</v>
      </c>
    </row>
    <row r="89" spans="1:12">
      <c r="A89" s="123" t="s">
        <v>2924</v>
      </c>
      <c r="B89" s="171"/>
      <c r="C89" s="123" t="s">
        <v>25</v>
      </c>
      <c r="D89" s="123" t="s">
        <v>37</v>
      </c>
      <c r="E89" s="123"/>
      <c r="F89" s="123" t="s">
        <v>24</v>
      </c>
      <c r="G89" s="1" t="s">
        <v>2925</v>
      </c>
      <c r="H89" s="1"/>
      <c r="I89" s="232" t="s">
        <v>2926</v>
      </c>
      <c r="J89" s="123">
        <v>80.5</v>
      </c>
      <c r="K89" s="123" t="s">
        <v>2735</v>
      </c>
      <c r="L89" s="123" t="s">
        <v>2736</v>
      </c>
    </row>
    <row r="90" spans="1:12">
      <c r="A90" s="123" t="s">
        <v>2927</v>
      </c>
      <c r="B90" s="171"/>
      <c r="C90" s="123" t="s">
        <v>25</v>
      </c>
      <c r="D90" s="123" t="s">
        <v>37</v>
      </c>
      <c r="E90" s="123"/>
      <c r="F90" s="123" t="s">
        <v>24</v>
      </c>
      <c r="G90" s="1" t="s">
        <v>2928</v>
      </c>
      <c r="H90" s="1"/>
      <c r="I90" s="232" t="s">
        <v>2929</v>
      </c>
      <c r="J90" s="123">
        <v>258.75</v>
      </c>
      <c r="K90" s="123" t="s">
        <v>2735</v>
      </c>
      <c r="L90" s="123" t="s">
        <v>2736</v>
      </c>
    </row>
    <row r="91" spans="1:12">
      <c r="A91" s="123" t="s">
        <v>2930</v>
      </c>
      <c r="B91" s="171"/>
      <c r="C91" s="123" t="s">
        <v>25</v>
      </c>
      <c r="D91" s="123" t="s">
        <v>37</v>
      </c>
      <c r="E91" s="123"/>
      <c r="F91" s="123" t="s">
        <v>24</v>
      </c>
      <c r="G91" s="1" t="s">
        <v>2931</v>
      </c>
      <c r="H91" s="1"/>
      <c r="I91" s="232" t="s">
        <v>2932</v>
      </c>
      <c r="J91" s="123">
        <v>10.35</v>
      </c>
      <c r="K91" s="123" t="s">
        <v>2735</v>
      </c>
      <c r="L91" s="123" t="s">
        <v>2736</v>
      </c>
    </row>
    <row r="92" spans="1:12">
      <c r="A92" s="123" t="s">
        <v>2933</v>
      </c>
      <c r="B92" s="123" t="s">
        <v>1033</v>
      </c>
      <c r="C92" s="123" t="s">
        <v>25</v>
      </c>
      <c r="D92" s="169" t="s">
        <v>2934</v>
      </c>
      <c r="E92" s="169" t="s">
        <v>2743</v>
      </c>
      <c r="F92" s="123" t="s">
        <v>24</v>
      </c>
      <c r="G92" s="1" t="s">
        <v>2935</v>
      </c>
      <c r="H92" s="1"/>
      <c r="I92" s="231">
        <v>44263</v>
      </c>
      <c r="J92" s="123">
        <v>1</v>
      </c>
      <c r="K92" s="123" t="s">
        <v>2735</v>
      </c>
      <c r="L92" s="123" t="s">
        <v>2736</v>
      </c>
    </row>
    <row r="93" spans="1:12" ht="170.25" customHeight="1">
      <c r="A93" s="123" t="s">
        <v>2936</v>
      </c>
      <c r="B93" s="1" t="s">
        <v>245</v>
      </c>
      <c r="C93" s="123" t="s">
        <v>25</v>
      </c>
      <c r="D93" s="172" t="s">
        <v>246</v>
      </c>
      <c r="E93" s="169" t="s">
        <v>2743</v>
      </c>
      <c r="F93" s="123" t="s">
        <v>24</v>
      </c>
      <c r="G93" s="1" t="s">
        <v>247</v>
      </c>
      <c r="H93" s="1"/>
      <c r="I93" s="231">
        <v>44264</v>
      </c>
      <c r="J93" s="123">
        <v>11</v>
      </c>
      <c r="K93" s="123" t="s">
        <v>2735</v>
      </c>
      <c r="L93" s="123" t="s">
        <v>2736</v>
      </c>
    </row>
    <row r="94" spans="1:12">
      <c r="A94" s="123" t="s">
        <v>2937</v>
      </c>
      <c r="B94" s="171"/>
      <c r="C94" s="123" t="s">
        <v>25</v>
      </c>
      <c r="D94" s="123" t="s">
        <v>37</v>
      </c>
      <c r="E94" s="123"/>
      <c r="F94" s="123" t="s">
        <v>24</v>
      </c>
      <c r="G94" s="1" t="s">
        <v>247</v>
      </c>
      <c r="H94" s="1"/>
      <c r="I94" s="231">
        <v>45605</v>
      </c>
      <c r="J94" s="123">
        <v>80</v>
      </c>
      <c r="K94" s="123" t="s">
        <v>2735</v>
      </c>
      <c r="L94" s="123" t="s">
        <v>2736</v>
      </c>
    </row>
    <row r="95" spans="1:12">
      <c r="A95" s="123" t="s">
        <v>2938</v>
      </c>
      <c r="B95" s="171"/>
      <c r="C95" s="123" t="s">
        <v>25</v>
      </c>
      <c r="D95" s="123" t="s">
        <v>37</v>
      </c>
      <c r="E95" s="123"/>
      <c r="F95" s="123" t="s">
        <v>24</v>
      </c>
      <c r="G95" s="1" t="s">
        <v>2939</v>
      </c>
      <c r="H95" s="1"/>
      <c r="I95" s="232" t="s">
        <v>2940</v>
      </c>
      <c r="J95" s="123">
        <v>270</v>
      </c>
      <c r="K95" s="123" t="s">
        <v>2735</v>
      </c>
      <c r="L95" s="123" t="s">
        <v>2736</v>
      </c>
    </row>
    <row r="96" spans="1:12">
      <c r="A96" s="123" t="s">
        <v>2941</v>
      </c>
      <c r="B96" s="123" t="s">
        <v>259</v>
      </c>
      <c r="C96" s="123" t="s">
        <v>25</v>
      </c>
      <c r="D96" s="169" t="s">
        <v>260</v>
      </c>
      <c r="E96" s="169" t="s">
        <v>2743</v>
      </c>
      <c r="F96" s="123" t="s">
        <v>24</v>
      </c>
      <c r="G96" s="1" t="s">
        <v>261</v>
      </c>
      <c r="H96" s="1"/>
      <c r="I96" s="231">
        <v>44261</v>
      </c>
      <c r="J96" s="123">
        <v>1</v>
      </c>
      <c r="K96" s="123" t="s">
        <v>2735</v>
      </c>
      <c r="L96" s="123" t="s">
        <v>2736</v>
      </c>
    </row>
    <row r="97" spans="1:12" ht="30">
      <c r="A97" s="123" t="s">
        <v>2942</v>
      </c>
      <c r="B97" s="1" t="s">
        <v>262</v>
      </c>
      <c r="C97" s="123" t="s">
        <v>25</v>
      </c>
      <c r="D97" s="169" t="s">
        <v>263</v>
      </c>
      <c r="E97" s="169" t="s">
        <v>2743</v>
      </c>
      <c r="F97" s="123" t="s">
        <v>24</v>
      </c>
      <c r="G97" s="1" t="s">
        <v>264</v>
      </c>
      <c r="H97" s="1"/>
      <c r="I97" s="232" t="s">
        <v>265</v>
      </c>
      <c r="J97" s="123">
        <v>1</v>
      </c>
      <c r="K97" s="123" t="s">
        <v>2735</v>
      </c>
      <c r="L97" s="123" t="s">
        <v>2736</v>
      </c>
    </row>
    <row r="98" spans="1:12">
      <c r="A98" s="123" t="s">
        <v>2943</v>
      </c>
      <c r="B98" s="171"/>
      <c r="C98" s="123" t="s">
        <v>25</v>
      </c>
      <c r="D98" s="123" t="s">
        <v>37</v>
      </c>
      <c r="E98" s="123"/>
      <c r="F98" s="123" t="s">
        <v>24</v>
      </c>
      <c r="G98" s="1" t="s">
        <v>2944</v>
      </c>
      <c r="H98" s="1"/>
      <c r="I98" s="232" t="s">
        <v>2945</v>
      </c>
      <c r="J98" s="123">
        <v>10.35</v>
      </c>
      <c r="K98" s="123" t="s">
        <v>2735</v>
      </c>
      <c r="L98" s="123" t="s">
        <v>2736</v>
      </c>
    </row>
    <row r="99" spans="1:12">
      <c r="A99" s="123" t="s">
        <v>2946</v>
      </c>
      <c r="B99" s="171"/>
      <c r="C99" s="123" t="s">
        <v>25</v>
      </c>
      <c r="D99" s="123" t="s">
        <v>37</v>
      </c>
      <c r="E99" s="123"/>
      <c r="F99" s="123" t="s">
        <v>24</v>
      </c>
      <c r="G99" s="1" t="s">
        <v>2947</v>
      </c>
      <c r="H99" s="1"/>
      <c r="I99" s="232" t="s">
        <v>2948</v>
      </c>
      <c r="J99" s="123">
        <v>10.35</v>
      </c>
      <c r="K99" s="123" t="s">
        <v>2735</v>
      </c>
      <c r="L99" s="123" t="s">
        <v>2736</v>
      </c>
    </row>
    <row r="100" spans="1:12">
      <c r="A100" s="123" t="s">
        <v>2949</v>
      </c>
      <c r="B100" s="123" t="s">
        <v>275</v>
      </c>
      <c r="C100" s="123" t="s">
        <v>25</v>
      </c>
      <c r="D100" s="169" t="s">
        <v>276</v>
      </c>
      <c r="E100" s="173" t="s">
        <v>2950</v>
      </c>
      <c r="F100" s="123" t="s">
        <v>24</v>
      </c>
      <c r="G100" s="1" t="s">
        <v>277</v>
      </c>
      <c r="H100" s="1"/>
      <c r="I100" s="231">
        <v>44321</v>
      </c>
      <c r="J100" s="123">
        <v>30</v>
      </c>
      <c r="K100" s="123" t="s">
        <v>2735</v>
      </c>
      <c r="L100" s="123" t="s">
        <v>2736</v>
      </c>
    </row>
    <row r="101" spans="1:12">
      <c r="A101" s="123" t="s">
        <v>2951</v>
      </c>
      <c r="B101" s="171"/>
      <c r="C101" s="123" t="s">
        <v>25</v>
      </c>
      <c r="D101" s="123" t="s">
        <v>37</v>
      </c>
      <c r="E101" s="123"/>
      <c r="F101" s="123" t="s">
        <v>24</v>
      </c>
      <c r="G101" s="1" t="s">
        <v>2952</v>
      </c>
      <c r="H101" s="1"/>
      <c r="I101" s="231">
        <v>44287</v>
      </c>
      <c r="J101" s="123">
        <v>5.18</v>
      </c>
      <c r="K101" s="123" t="s">
        <v>2735</v>
      </c>
      <c r="L101" s="123" t="s">
        <v>2736</v>
      </c>
    </row>
    <row r="102" spans="1:12">
      <c r="A102" s="123" t="s">
        <v>2953</v>
      </c>
      <c r="B102" s="171"/>
      <c r="C102" s="123" t="s">
        <v>25</v>
      </c>
      <c r="D102" s="123" t="s">
        <v>37</v>
      </c>
      <c r="E102" s="123"/>
      <c r="F102" s="123" t="s">
        <v>24</v>
      </c>
      <c r="G102" s="1" t="s">
        <v>2954</v>
      </c>
      <c r="H102" s="1"/>
      <c r="I102" s="231">
        <v>44287</v>
      </c>
      <c r="J102" s="123">
        <v>39.68</v>
      </c>
      <c r="K102" s="123" t="s">
        <v>2735</v>
      </c>
      <c r="L102" s="123" t="s">
        <v>2736</v>
      </c>
    </row>
    <row r="103" spans="1:12">
      <c r="A103" s="123" t="s">
        <v>2955</v>
      </c>
      <c r="B103" s="171"/>
      <c r="C103" s="123" t="s">
        <v>25</v>
      </c>
      <c r="D103" s="123" t="s">
        <v>37</v>
      </c>
      <c r="E103" s="123"/>
      <c r="F103" s="123" t="s">
        <v>24</v>
      </c>
      <c r="G103" s="1" t="s">
        <v>2956</v>
      </c>
      <c r="H103" s="1"/>
      <c r="I103" s="232" t="s">
        <v>2957</v>
      </c>
      <c r="J103" s="123">
        <v>184</v>
      </c>
      <c r="K103" s="123" t="s">
        <v>2735</v>
      </c>
      <c r="L103" s="123" t="s">
        <v>2736</v>
      </c>
    </row>
    <row r="104" spans="1:12">
      <c r="A104" s="123" t="s">
        <v>2958</v>
      </c>
      <c r="B104" s="171"/>
      <c r="C104" s="123" t="s">
        <v>25</v>
      </c>
      <c r="D104" s="123" t="s">
        <v>37</v>
      </c>
      <c r="E104" s="123"/>
      <c r="F104" s="123" t="s">
        <v>24</v>
      </c>
      <c r="G104" s="1" t="s">
        <v>2959</v>
      </c>
      <c r="H104" s="1"/>
      <c r="I104" s="231">
        <v>43902</v>
      </c>
      <c r="J104" s="123">
        <v>31.05</v>
      </c>
      <c r="K104" s="123" t="s">
        <v>2735</v>
      </c>
      <c r="L104" s="123" t="s">
        <v>2736</v>
      </c>
    </row>
    <row r="105" spans="1:12">
      <c r="A105" s="123" t="s">
        <v>2960</v>
      </c>
      <c r="B105" s="171"/>
      <c r="C105" s="123" t="s">
        <v>25</v>
      </c>
      <c r="D105" s="123" t="s">
        <v>37</v>
      </c>
      <c r="E105" s="123"/>
      <c r="F105" s="123" t="s">
        <v>24</v>
      </c>
      <c r="G105" s="1" t="s">
        <v>2959</v>
      </c>
      <c r="H105" s="1"/>
      <c r="I105" s="231">
        <v>43902</v>
      </c>
      <c r="J105" s="123">
        <v>15.53</v>
      </c>
      <c r="K105" s="123" t="s">
        <v>2735</v>
      </c>
      <c r="L105" s="123" t="s">
        <v>2736</v>
      </c>
    </row>
    <row r="106" spans="1:12">
      <c r="A106" s="123" t="s">
        <v>2961</v>
      </c>
      <c r="B106" s="171"/>
      <c r="C106" s="123" t="s">
        <v>25</v>
      </c>
      <c r="D106" s="123" t="s">
        <v>37</v>
      </c>
      <c r="E106" s="123"/>
      <c r="F106" s="123" t="s">
        <v>24</v>
      </c>
      <c r="G106" s="1" t="s">
        <v>2962</v>
      </c>
      <c r="H106" s="1"/>
      <c r="I106" s="231">
        <v>43902</v>
      </c>
      <c r="J106" s="123">
        <v>20.7</v>
      </c>
      <c r="K106" s="123" t="s">
        <v>2735</v>
      </c>
      <c r="L106" s="123" t="s">
        <v>2736</v>
      </c>
    </row>
    <row r="107" spans="1:12" ht="409.5">
      <c r="A107" s="123" t="s">
        <v>2963</v>
      </c>
      <c r="B107" s="123" t="s">
        <v>293</v>
      </c>
      <c r="C107" s="123" t="s">
        <v>25</v>
      </c>
      <c r="D107" s="172" t="s">
        <v>294</v>
      </c>
      <c r="E107" s="172" t="s">
        <v>2743</v>
      </c>
      <c r="F107" s="123" t="s">
        <v>24</v>
      </c>
      <c r="G107" s="1" t="s">
        <v>295</v>
      </c>
      <c r="H107" s="1"/>
      <c r="I107" s="232" t="s">
        <v>296</v>
      </c>
      <c r="J107" s="123">
        <v>77</v>
      </c>
      <c r="K107" s="123" t="s">
        <v>2735</v>
      </c>
      <c r="L107" s="123" t="s">
        <v>2736</v>
      </c>
    </row>
    <row r="108" spans="1:12">
      <c r="A108" s="123" t="s">
        <v>2964</v>
      </c>
      <c r="B108" s="171"/>
      <c r="C108" s="123" t="s">
        <v>25</v>
      </c>
      <c r="D108" s="123" t="s">
        <v>37</v>
      </c>
      <c r="E108" s="123"/>
      <c r="F108" s="123" t="s">
        <v>24</v>
      </c>
      <c r="G108" s="1" t="s">
        <v>2965</v>
      </c>
      <c r="H108" s="1"/>
      <c r="I108" s="232" t="s">
        <v>2966</v>
      </c>
      <c r="J108" s="123">
        <v>15.53</v>
      </c>
      <c r="K108" s="123" t="s">
        <v>2735</v>
      </c>
      <c r="L108" s="123" t="s">
        <v>2736</v>
      </c>
    </row>
    <row r="109" spans="1:12">
      <c r="A109" s="123" t="s">
        <v>2967</v>
      </c>
      <c r="B109" s="171"/>
      <c r="C109" s="123" t="s">
        <v>25</v>
      </c>
      <c r="D109" s="123" t="s">
        <v>37</v>
      </c>
      <c r="E109" s="123"/>
      <c r="F109" s="123" t="s">
        <v>24</v>
      </c>
      <c r="G109" s="1" t="s">
        <v>2965</v>
      </c>
      <c r="H109" s="1"/>
      <c r="I109" s="232" t="s">
        <v>2968</v>
      </c>
      <c r="J109" s="123">
        <v>40.25</v>
      </c>
      <c r="K109" s="123" t="s">
        <v>2735</v>
      </c>
      <c r="L109" s="123" t="s">
        <v>2736</v>
      </c>
    </row>
    <row r="110" spans="1:12">
      <c r="A110" s="123" t="s">
        <v>2969</v>
      </c>
      <c r="B110" s="171"/>
      <c r="C110" s="123" t="s">
        <v>25</v>
      </c>
      <c r="D110" s="123" t="s">
        <v>37</v>
      </c>
      <c r="E110" s="123"/>
      <c r="F110" s="123" t="s">
        <v>24</v>
      </c>
      <c r="G110" s="1" t="s">
        <v>2970</v>
      </c>
      <c r="H110" s="1"/>
      <c r="I110" s="232" t="s">
        <v>2971</v>
      </c>
      <c r="J110" s="123">
        <v>5.18</v>
      </c>
      <c r="K110" s="123" t="s">
        <v>2735</v>
      </c>
      <c r="L110" s="123" t="s">
        <v>2736</v>
      </c>
    </row>
    <row r="111" spans="1:12">
      <c r="A111" s="123" t="s">
        <v>2972</v>
      </c>
      <c r="B111" s="171"/>
      <c r="C111" s="123" t="s">
        <v>25</v>
      </c>
      <c r="D111" s="123" t="s">
        <v>37</v>
      </c>
      <c r="E111" s="123"/>
      <c r="F111" s="123" t="s">
        <v>24</v>
      </c>
      <c r="G111" s="1" t="s">
        <v>2970</v>
      </c>
      <c r="H111" s="1"/>
      <c r="I111" s="232" t="s">
        <v>2971</v>
      </c>
      <c r="J111" s="123">
        <v>20.7</v>
      </c>
      <c r="K111" s="123" t="s">
        <v>2735</v>
      </c>
      <c r="L111" s="123" t="s">
        <v>2736</v>
      </c>
    </row>
    <row r="112" spans="1:12">
      <c r="A112" s="123" t="s">
        <v>2973</v>
      </c>
      <c r="B112" s="123" t="s">
        <v>1033</v>
      </c>
      <c r="C112" s="123" t="s">
        <v>25</v>
      </c>
      <c r="D112" s="169" t="s">
        <v>2974</v>
      </c>
      <c r="E112" s="172" t="s">
        <v>2743</v>
      </c>
      <c r="F112" s="123" t="s">
        <v>24</v>
      </c>
      <c r="G112" s="1" t="s">
        <v>2975</v>
      </c>
      <c r="H112" s="1"/>
      <c r="I112" s="231">
        <v>43902</v>
      </c>
      <c r="J112" s="123">
        <v>1</v>
      </c>
      <c r="K112" s="123" t="s">
        <v>2735</v>
      </c>
      <c r="L112" s="123" t="s">
        <v>2736</v>
      </c>
    </row>
    <row r="113" spans="1:12">
      <c r="A113" s="123" t="s">
        <v>2976</v>
      </c>
      <c r="B113" s="123" t="s">
        <v>1033</v>
      </c>
      <c r="C113" s="123" t="s">
        <v>25</v>
      </c>
      <c r="D113" s="169" t="s">
        <v>2977</v>
      </c>
      <c r="E113" s="172" t="s">
        <v>2743</v>
      </c>
      <c r="F113" s="123" t="s">
        <v>24</v>
      </c>
      <c r="G113" s="1" t="s">
        <v>2975</v>
      </c>
      <c r="H113" s="1"/>
      <c r="I113" s="232" t="s">
        <v>2978</v>
      </c>
      <c r="J113" s="123">
        <v>1</v>
      </c>
      <c r="K113" s="123" t="s">
        <v>2735</v>
      </c>
      <c r="L113" s="123" t="s">
        <v>2736</v>
      </c>
    </row>
    <row r="114" spans="1:12">
      <c r="A114" s="123" t="s">
        <v>2979</v>
      </c>
      <c r="B114" s="123" t="s">
        <v>293</v>
      </c>
      <c r="C114" s="123" t="s">
        <v>25</v>
      </c>
      <c r="D114" s="169" t="s">
        <v>2980</v>
      </c>
      <c r="E114" s="172" t="s">
        <v>2743</v>
      </c>
      <c r="F114" s="123" t="s">
        <v>24</v>
      </c>
      <c r="G114" s="1" t="s">
        <v>2981</v>
      </c>
      <c r="H114" s="1"/>
      <c r="I114" s="231">
        <v>43901</v>
      </c>
      <c r="J114" s="123">
        <v>1</v>
      </c>
      <c r="K114" s="123" t="s">
        <v>2735</v>
      </c>
      <c r="L114" s="123" t="s">
        <v>2736</v>
      </c>
    </row>
    <row r="115" spans="1:12">
      <c r="A115" s="123" t="s">
        <v>2982</v>
      </c>
      <c r="B115" s="171"/>
      <c r="C115" s="123" t="s">
        <v>25</v>
      </c>
      <c r="D115" s="123" t="s">
        <v>37</v>
      </c>
      <c r="E115" s="123"/>
      <c r="F115" s="123" t="s">
        <v>24</v>
      </c>
      <c r="G115" s="1" t="s">
        <v>2981</v>
      </c>
      <c r="H115" s="1"/>
      <c r="I115" s="231">
        <v>43872</v>
      </c>
      <c r="J115" s="123">
        <v>8.86</v>
      </c>
      <c r="K115" s="123" t="s">
        <v>2735</v>
      </c>
      <c r="L115" s="123" t="s">
        <v>2736</v>
      </c>
    </row>
    <row r="116" spans="1:12" ht="60">
      <c r="A116" s="123" t="s">
        <v>2983</v>
      </c>
      <c r="B116" s="171"/>
      <c r="C116" s="123" t="s">
        <v>25</v>
      </c>
      <c r="D116" s="123" t="s">
        <v>37</v>
      </c>
      <c r="E116" s="123"/>
      <c r="F116" s="123" t="s">
        <v>24</v>
      </c>
      <c r="G116" s="1" t="s">
        <v>2984</v>
      </c>
      <c r="H116" s="1" t="s">
        <v>113</v>
      </c>
      <c r="I116" s="232" t="s">
        <v>2985</v>
      </c>
      <c r="J116" s="123">
        <v>75.900000000000006</v>
      </c>
      <c r="K116" s="123" t="s">
        <v>2735</v>
      </c>
      <c r="L116" s="123" t="s">
        <v>2736</v>
      </c>
    </row>
    <row r="117" spans="1:12" ht="45">
      <c r="A117" s="123" t="s">
        <v>2986</v>
      </c>
      <c r="B117" s="1" t="s">
        <v>333</v>
      </c>
      <c r="C117" s="123" t="s">
        <v>25</v>
      </c>
      <c r="D117" s="169" t="s">
        <v>334</v>
      </c>
      <c r="E117" s="172" t="s">
        <v>2743</v>
      </c>
      <c r="F117" s="123" t="s">
        <v>24</v>
      </c>
      <c r="G117" s="1" t="s">
        <v>335</v>
      </c>
      <c r="H117" s="1" t="s">
        <v>113</v>
      </c>
      <c r="I117" s="232" t="s">
        <v>336</v>
      </c>
      <c r="J117" s="123">
        <v>1</v>
      </c>
      <c r="K117" s="123" t="s">
        <v>2735</v>
      </c>
      <c r="L117" s="123" t="s">
        <v>2736</v>
      </c>
    </row>
    <row r="118" spans="1:12" ht="60">
      <c r="A118" s="123" t="s">
        <v>2987</v>
      </c>
      <c r="B118" s="171"/>
      <c r="C118" s="123" t="s">
        <v>2738</v>
      </c>
      <c r="D118" s="123"/>
      <c r="E118" s="123"/>
      <c r="F118" s="123" t="s">
        <v>24</v>
      </c>
      <c r="G118" s="1" t="s">
        <v>2988</v>
      </c>
      <c r="H118" s="1" t="s">
        <v>2989</v>
      </c>
      <c r="I118" s="231">
        <v>44084</v>
      </c>
      <c r="J118" s="123">
        <v>399</v>
      </c>
      <c r="K118" s="123" t="s">
        <v>2735</v>
      </c>
      <c r="L118" s="123" t="s">
        <v>2736</v>
      </c>
    </row>
    <row r="119" spans="1:12" ht="45">
      <c r="A119" s="123" t="s">
        <v>2990</v>
      </c>
      <c r="B119" s="123" t="s">
        <v>868</v>
      </c>
      <c r="C119" s="123" t="s">
        <v>25</v>
      </c>
      <c r="D119" s="169" t="s">
        <v>2991</v>
      </c>
      <c r="E119" s="172" t="s">
        <v>2743</v>
      </c>
      <c r="F119" s="123" t="s">
        <v>24</v>
      </c>
      <c r="G119" s="1" t="s">
        <v>2992</v>
      </c>
      <c r="H119" s="1" t="s">
        <v>113</v>
      </c>
      <c r="I119" s="232" t="s">
        <v>2993</v>
      </c>
      <c r="J119" s="123">
        <v>1</v>
      </c>
      <c r="K119" s="123" t="s">
        <v>2735</v>
      </c>
      <c r="L119" s="123" t="s">
        <v>2736</v>
      </c>
    </row>
    <row r="120" spans="1:12" ht="45">
      <c r="A120" s="123" t="s">
        <v>2994</v>
      </c>
      <c r="B120" s="123" t="s">
        <v>341</v>
      </c>
      <c r="C120" s="123" t="s">
        <v>25</v>
      </c>
      <c r="D120" s="172" t="s">
        <v>342</v>
      </c>
      <c r="E120" s="172" t="s">
        <v>2743</v>
      </c>
      <c r="F120" s="123" t="s">
        <v>24</v>
      </c>
      <c r="G120" s="1" t="s">
        <v>343</v>
      </c>
      <c r="H120" s="1" t="s">
        <v>113</v>
      </c>
      <c r="I120" s="231">
        <v>43868</v>
      </c>
      <c r="J120" s="123">
        <v>2</v>
      </c>
      <c r="K120" s="123" t="s">
        <v>2735</v>
      </c>
      <c r="L120" s="123" t="s">
        <v>2736</v>
      </c>
    </row>
    <row r="121" spans="1:12" ht="45">
      <c r="A121" s="123" t="s">
        <v>2995</v>
      </c>
      <c r="B121" s="123" t="s">
        <v>293</v>
      </c>
      <c r="C121" s="123" t="s">
        <v>25</v>
      </c>
      <c r="D121" s="169" t="s">
        <v>2996</v>
      </c>
      <c r="E121" s="172" t="s">
        <v>2743</v>
      </c>
      <c r="F121" s="123" t="s">
        <v>24</v>
      </c>
      <c r="G121" s="1" t="s">
        <v>2997</v>
      </c>
      <c r="H121" s="1" t="s">
        <v>113</v>
      </c>
      <c r="I121" s="232" t="s">
        <v>2998</v>
      </c>
      <c r="J121" s="123">
        <v>1</v>
      </c>
      <c r="K121" s="123" t="s">
        <v>2735</v>
      </c>
      <c r="L121" s="123" t="s">
        <v>2736</v>
      </c>
    </row>
    <row r="122" spans="1:12" ht="45">
      <c r="A122" s="123" t="s">
        <v>2999</v>
      </c>
      <c r="B122" s="123" t="s">
        <v>97</v>
      </c>
      <c r="C122" s="123" t="s">
        <v>25</v>
      </c>
      <c r="D122" s="169" t="s">
        <v>3000</v>
      </c>
      <c r="E122" s="169" t="s">
        <v>2743</v>
      </c>
      <c r="F122" s="123" t="s">
        <v>24</v>
      </c>
      <c r="G122" s="1" t="s">
        <v>3001</v>
      </c>
      <c r="H122" s="1" t="s">
        <v>113</v>
      </c>
      <c r="I122" s="231">
        <v>45329</v>
      </c>
      <c r="J122" s="123">
        <v>1</v>
      </c>
      <c r="K122" s="123" t="s">
        <v>2735</v>
      </c>
      <c r="L122" s="123" t="s">
        <v>2736</v>
      </c>
    </row>
    <row r="123" spans="1:12" ht="45">
      <c r="A123" s="123" t="s">
        <v>3002</v>
      </c>
      <c r="B123" s="123" t="s">
        <v>344</v>
      </c>
      <c r="C123" s="123" t="s">
        <v>25</v>
      </c>
      <c r="D123" s="169" t="s">
        <v>345</v>
      </c>
      <c r="E123" s="173" t="s">
        <v>2950</v>
      </c>
      <c r="F123" s="123" t="s">
        <v>24</v>
      </c>
      <c r="G123" s="1" t="s">
        <v>346</v>
      </c>
      <c r="H123" s="1" t="s">
        <v>113</v>
      </c>
      <c r="I123" s="232" t="s">
        <v>347</v>
      </c>
      <c r="J123" s="123">
        <v>30</v>
      </c>
      <c r="K123" s="123" t="s">
        <v>2735</v>
      </c>
      <c r="L123" s="123" t="s">
        <v>2736</v>
      </c>
    </row>
    <row r="124" spans="1:12" ht="60">
      <c r="A124" s="123" t="s">
        <v>3003</v>
      </c>
      <c r="B124" s="1" t="s">
        <v>348</v>
      </c>
      <c r="C124" s="123" t="s">
        <v>25</v>
      </c>
      <c r="D124" s="172" t="s">
        <v>3004</v>
      </c>
      <c r="E124" s="169" t="s">
        <v>2743</v>
      </c>
      <c r="F124" s="123" t="s">
        <v>24</v>
      </c>
      <c r="G124" s="1" t="s">
        <v>350</v>
      </c>
      <c r="H124" s="1" t="s">
        <v>113</v>
      </c>
      <c r="I124" s="231">
        <v>43834</v>
      </c>
      <c r="J124" s="123">
        <v>2</v>
      </c>
      <c r="K124" s="123" t="s">
        <v>2735</v>
      </c>
      <c r="L124" s="123" t="s">
        <v>2736</v>
      </c>
    </row>
    <row r="125" spans="1:12" ht="60">
      <c r="A125" s="123" t="s">
        <v>3005</v>
      </c>
      <c r="B125" s="123" t="s">
        <v>351</v>
      </c>
      <c r="C125" s="123" t="s">
        <v>25</v>
      </c>
      <c r="D125" s="172" t="s">
        <v>353</v>
      </c>
      <c r="E125" s="169" t="s">
        <v>2743</v>
      </c>
      <c r="F125" s="123" t="s">
        <v>24</v>
      </c>
      <c r="G125" s="1" t="s">
        <v>354</v>
      </c>
      <c r="H125" s="1" t="s">
        <v>352</v>
      </c>
      <c r="I125" s="231">
        <v>43892</v>
      </c>
      <c r="J125" s="123">
        <v>2</v>
      </c>
      <c r="K125" s="123" t="s">
        <v>2735</v>
      </c>
      <c r="L125" s="123" t="s">
        <v>2736</v>
      </c>
    </row>
    <row r="126" spans="1:12" ht="60">
      <c r="A126" s="123" t="s">
        <v>3006</v>
      </c>
      <c r="B126" s="123" t="s">
        <v>355</v>
      </c>
      <c r="C126" s="123" t="s">
        <v>25</v>
      </c>
      <c r="D126" s="169" t="s">
        <v>356</v>
      </c>
      <c r="E126" s="169" t="s">
        <v>2743</v>
      </c>
      <c r="F126" s="123" t="s">
        <v>24</v>
      </c>
      <c r="G126" s="1" t="s">
        <v>357</v>
      </c>
      <c r="H126" s="1" t="s">
        <v>352</v>
      </c>
      <c r="I126" s="232" t="s">
        <v>358</v>
      </c>
      <c r="J126" s="123">
        <v>1</v>
      </c>
      <c r="K126" s="123" t="s">
        <v>2735</v>
      </c>
      <c r="L126" s="123" t="s">
        <v>2736</v>
      </c>
    </row>
    <row r="127" spans="1:12" ht="60">
      <c r="A127" s="123" t="s">
        <v>3007</v>
      </c>
      <c r="B127" s="123" t="s">
        <v>991</v>
      </c>
      <c r="C127" s="123" t="s">
        <v>25</v>
      </c>
      <c r="D127" s="123" t="s">
        <v>37</v>
      </c>
      <c r="E127" s="123"/>
      <c r="F127" s="123" t="s">
        <v>24</v>
      </c>
      <c r="G127" s="1" t="s">
        <v>3008</v>
      </c>
      <c r="H127" s="1" t="s">
        <v>352</v>
      </c>
      <c r="I127" s="231">
        <v>43591</v>
      </c>
      <c r="J127" s="123">
        <v>46</v>
      </c>
      <c r="K127" s="123" t="s">
        <v>2735</v>
      </c>
      <c r="L127" s="123" t="s">
        <v>2736</v>
      </c>
    </row>
    <row r="128" spans="1:12" ht="300">
      <c r="A128" s="123" t="s">
        <v>3009</v>
      </c>
      <c r="B128" s="123" t="s">
        <v>991</v>
      </c>
      <c r="C128" s="123" t="s">
        <v>25</v>
      </c>
      <c r="D128" s="172" t="s">
        <v>3010</v>
      </c>
      <c r="E128" s="169" t="s">
        <v>2743</v>
      </c>
      <c r="F128" s="123" t="s">
        <v>24</v>
      </c>
      <c r="G128" s="1" t="s">
        <v>3011</v>
      </c>
      <c r="H128" s="1" t="s">
        <v>352</v>
      </c>
      <c r="I128" s="232" t="s">
        <v>3012</v>
      </c>
      <c r="J128" s="123">
        <v>20</v>
      </c>
      <c r="K128" s="123" t="s">
        <v>2735</v>
      </c>
      <c r="L128" s="123" t="s">
        <v>2736</v>
      </c>
    </row>
    <row r="129" spans="1:12" ht="45">
      <c r="A129" s="123" t="s">
        <v>3013</v>
      </c>
      <c r="B129" s="123" t="s">
        <v>991</v>
      </c>
      <c r="C129" s="123" t="s">
        <v>25</v>
      </c>
      <c r="D129" s="169" t="s">
        <v>3014</v>
      </c>
      <c r="E129" s="169" t="s">
        <v>2743</v>
      </c>
      <c r="F129" s="123" t="s">
        <v>24</v>
      </c>
      <c r="G129" s="1" t="s">
        <v>3015</v>
      </c>
      <c r="H129" s="1" t="s">
        <v>352</v>
      </c>
      <c r="I129" s="232" t="s">
        <v>3012</v>
      </c>
      <c r="J129" s="123">
        <v>1</v>
      </c>
      <c r="K129" s="123" t="s">
        <v>2735</v>
      </c>
      <c r="L129" s="123" t="s">
        <v>2736</v>
      </c>
    </row>
    <row r="130" spans="1:12" ht="152.25" customHeight="1">
      <c r="A130" s="123" t="s">
        <v>3016</v>
      </c>
      <c r="B130" s="123" t="s">
        <v>991</v>
      </c>
      <c r="C130" s="123" t="s">
        <v>25</v>
      </c>
      <c r="D130" s="177" t="s">
        <v>3017</v>
      </c>
      <c r="E130" s="169" t="s">
        <v>2743</v>
      </c>
      <c r="F130" s="123" t="s">
        <v>24</v>
      </c>
      <c r="G130" s="1" t="s">
        <v>3018</v>
      </c>
      <c r="H130" s="1" t="s">
        <v>352</v>
      </c>
      <c r="I130" s="232" t="s">
        <v>3012</v>
      </c>
      <c r="J130" s="123">
        <v>10</v>
      </c>
      <c r="K130" s="123" t="s">
        <v>2735</v>
      </c>
      <c r="L130" s="123" t="s">
        <v>2736</v>
      </c>
    </row>
    <row r="131" spans="1:12" ht="60">
      <c r="A131" s="123" t="s">
        <v>3019</v>
      </c>
      <c r="B131" s="123" t="s">
        <v>733</v>
      </c>
      <c r="C131" s="123" t="s">
        <v>25</v>
      </c>
      <c r="D131" s="172" t="s">
        <v>3020</v>
      </c>
      <c r="E131" s="169" t="s">
        <v>2743</v>
      </c>
      <c r="F131" s="123" t="s">
        <v>24</v>
      </c>
      <c r="G131" s="1" t="s">
        <v>3021</v>
      </c>
      <c r="H131" s="1" t="s">
        <v>352</v>
      </c>
      <c r="I131" s="232" t="s">
        <v>400</v>
      </c>
      <c r="J131" s="123">
        <v>4</v>
      </c>
      <c r="K131" s="123" t="s">
        <v>2735</v>
      </c>
      <c r="L131" s="123" t="s">
        <v>2736</v>
      </c>
    </row>
    <row r="132" spans="1:12" ht="45">
      <c r="A132" s="123" t="s">
        <v>3022</v>
      </c>
      <c r="B132" s="123" t="s">
        <v>991</v>
      </c>
      <c r="C132" s="123" t="s">
        <v>25</v>
      </c>
      <c r="D132" s="169" t="s">
        <v>3023</v>
      </c>
      <c r="E132" s="169" t="s">
        <v>2743</v>
      </c>
      <c r="F132" s="123" t="s">
        <v>24</v>
      </c>
      <c r="G132" s="1" t="s">
        <v>3024</v>
      </c>
      <c r="H132" s="1" t="s">
        <v>352</v>
      </c>
      <c r="I132" s="232" t="s">
        <v>3012</v>
      </c>
      <c r="J132" s="123">
        <v>1</v>
      </c>
      <c r="K132" s="123" t="s">
        <v>2735</v>
      </c>
      <c r="L132" s="123" t="s">
        <v>2736</v>
      </c>
    </row>
    <row r="133" spans="1:12" ht="45">
      <c r="A133" s="123" t="s">
        <v>3025</v>
      </c>
      <c r="B133" s="123" t="s">
        <v>991</v>
      </c>
      <c r="C133" s="123" t="s">
        <v>25</v>
      </c>
      <c r="D133" s="169" t="s">
        <v>3026</v>
      </c>
      <c r="E133" s="169" t="s">
        <v>2743</v>
      </c>
      <c r="F133" s="123" t="s">
        <v>24</v>
      </c>
      <c r="G133" s="1" t="s">
        <v>3027</v>
      </c>
      <c r="H133" s="1" t="s">
        <v>352</v>
      </c>
      <c r="I133" s="232" t="s">
        <v>3012</v>
      </c>
      <c r="J133" s="123">
        <v>1</v>
      </c>
      <c r="K133" s="123" t="s">
        <v>2735</v>
      </c>
      <c r="L133" s="123" t="s">
        <v>2736</v>
      </c>
    </row>
    <row r="134" spans="1:12" ht="45">
      <c r="A134" s="123" t="s">
        <v>3028</v>
      </c>
      <c r="B134" s="123" t="s">
        <v>991</v>
      </c>
      <c r="C134" s="123" t="s">
        <v>25</v>
      </c>
      <c r="D134" s="172" t="s">
        <v>3029</v>
      </c>
      <c r="E134" s="169" t="s">
        <v>2743</v>
      </c>
      <c r="F134" s="123" t="s">
        <v>24</v>
      </c>
      <c r="G134" s="1" t="s">
        <v>3030</v>
      </c>
      <c r="H134" s="1" t="s">
        <v>352</v>
      </c>
      <c r="I134" s="232" t="s">
        <v>3012</v>
      </c>
      <c r="J134" s="123">
        <v>2</v>
      </c>
      <c r="K134" s="123" t="s">
        <v>2735</v>
      </c>
      <c r="L134" s="123" t="s">
        <v>2736</v>
      </c>
    </row>
    <row r="135" spans="1:12" ht="162" customHeight="1">
      <c r="A135" s="123" t="s">
        <v>3031</v>
      </c>
      <c r="B135" s="171"/>
      <c r="C135" s="123" t="s">
        <v>25</v>
      </c>
      <c r="D135" s="123" t="s">
        <v>37</v>
      </c>
      <c r="E135" s="123"/>
      <c r="F135" s="123" t="s">
        <v>24</v>
      </c>
      <c r="G135" s="1" t="s">
        <v>3032</v>
      </c>
      <c r="H135" s="1" t="s">
        <v>113</v>
      </c>
      <c r="I135" s="232" t="s">
        <v>3033</v>
      </c>
      <c r="J135" s="178">
        <v>1567.58</v>
      </c>
      <c r="K135" s="123" t="s">
        <v>2735</v>
      </c>
      <c r="L135" s="123" t="s">
        <v>2736</v>
      </c>
    </row>
    <row r="136" spans="1:12" ht="45">
      <c r="A136" s="123" t="s">
        <v>3034</v>
      </c>
      <c r="B136" s="123" t="s">
        <v>397</v>
      </c>
      <c r="C136" s="123" t="s">
        <v>25</v>
      </c>
      <c r="D136" s="172" t="s">
        <v>398</v>
      </c>
      <c r="E136" s="169" t="s">
        <v>2743</v>
      </c>
      <c r="F136" s="123" t="s">
        <v>24</v>
      </c>
      <c r="G136" s="1" t="s">
        <v>399</v>
      </c>
      <c r="H136" s="1" t="s">
        <v>352</v>
      </c>
      <c r="I136" s="232" t="s">
        <v>400</v>
      </c>
      <c r="J136" s="123">
        <v>3</v>
      </c>
      <c r="K136" s="123" t="s">
        <v>2735</v>
      </c>
      <c r="L136" s="123" t="s">
        <v>2736</v>
      </c>
    </row>
    <row r="137" spans="1:12" ht="60">
      <c r="A137" s="123" t="s">
        <v>3035</v>
      </c>
      <c r="B137" s="123" t="s">
        <v>401</v>
      </c>
      <c r="C137" s="123" t="s">
        <v>25</v>
      </c>
      <c r="D137" s="123" t="s">
        <v>37</v>
      </c>
      <c r="E137" s="123"/>
      <c r="F137" s="123" t="s">
        <v>24</v>
      </c>
      <c r="G137" s="1" t="s">
        <v>402</v>
      </c>
      <c r="H137" s="1" t="s">
        <v>352</v>
      </c>
      <c r="I137" s="231">
        <v>43619</v>
      </c>
      <c r="J137" s="123">
        <v>31.63</v>
      </c>
      <c r="K137" s="123" t="s">
        <v>2735</v>
      </c>
      <c r="L137" s="123" t="s">
        <v>2736</v>
      </c>
    </row>
    <row r="138" spans="1:12" ht="45">
      <c r="A138" s="123" t="s">
        <v>3036</v>
      </c>
      <c r="B138" s="123" t="s">
        <v>403</v>
      </c>
      <c r="C138" s="123" t="s">
        <v>25</v>
      </c>
      <c r="D138" s="169" t="s">
        <v>404</v>
      </c>
      <c r="E138" s="172" t="s">
        <v>3037</v>
      </c>
      <c r="F138" s="123" t="s">
        <v>24</v>
      </c>
      <c r="G138" s="1" t="s">
        <v>405</v>
      </c>
      <c r="H138" s="1" t="s">
        <v>352</v>
      </c>
      <c r="I138" s="231">
        <v>43619</v>
      </c>
      <c r="J138" s="123">
        <v>30</v>
      </c>
      <c r="K138" s="123" t="s">
        <v>2735</v>
      </c>
      <c r="L138" s="123" t="s">
        <v>2736</v>
      </c>
    </row>
    <row r="139" spans="1:12" ht="60">
      <c r="A139" s="123" t="s">
        <v>3038</v>
      </c>
      <c r="B139" s="171"/>
      <c r="C139" s="123" t="s">
        <v>25</v>
      </c>
      <c r="D139" s="123" t="s">
        <v>37</v>
      </c>
      <c r="E139" s="123"/>
      <c r="F139" s="123" t="s">
        <v>24</v>
      </c>
      <c r="G139" s="1" t="s">
        <v>3039</v>
      </c>
      <c r="H139" s="1" t="s">
        <v>352</v>
      </c>
      <c r="I139" s="231">
        <v>43232</v>
      </c>
      <c r="J139" s="123">
        <v>189.75</v>
      </c>
      <c r="K139" s="123" t="s">
        <v>2735</v>
      </c>
      <c r="L139" s="123" t="s">
        <v>2736</v>
      </c>
    </row>
    <row r="140" spans="1:12" ht="45">
      <c r="A140" s="123" t="s">
        <v>3040</v>
      </c>
      <c r="B140" s="123" t="s">
        <v>410</v>
      </c>
      <c r="C140" s="123" t="s">
        <v>25</v>
      </c>
      <c r="D140" s="172" t="s">
        <v>411</v>
      </c>
      <c r="E140" s="169" t="s">
        <v>2743</v>
      </c>
      <c r="F140" s="123" t="s">
        <v>24</v>
      </c>
      <c r="G140" s="1" t="s">
        <v>412</v>
      </c>
      <c r="H140" s="1" t="s">
        <v>352</v>
      </c>
      <c r="I140" s="232" t="s">
        <v>413</v>
      </c>
      <c r="J140" s="123">
        <v>3</v>
      </c>
      <c r="K140" s="123" t="s">
        <v>2735</v>
      </c>
      <c r="L140" s="123" t="s">
        <v>2736</v>
      </c>
    </row>
    <row r="141" spans="1:12" ht="60">
      <c r="A141" s="123" t="s">
        <v>3041</v>
      </c>
      <c r="B141" s="123" t="s">
        <v>414</v>
      </c>
      <c r="C141" s="123" t="s">
        <v>25</v>
      </c>
      <c r="D141" s="123" t="s">
        <v>37</v>
      </c>
      <c r="E141" s="123"/>
      <c r="F141" s="123" t="s">
        <v>24</v>
      </c>
      <c r="G141" s="1" t="s">
        <v>415</v>
      </c>
      <c r="H141" s="1" t="s">
        <v>113</v>
      </c>
      <c r="I141" s="232" t="s">
        <v>296</v>
      </c>
      <c r="J141" s="123">
        <v>66.41</v>
      </c>
      <c r="K141" s="123" t="s">
        <v>2735</v>
      </c>
      <c r="L141" s="123" t="s">
        <v>2736</v>
      </c>
    </row>
    <row r="142" spans="1:12" ht="60">
      <c r="A142" s="123" t="s">
        <v>3042</v>
      </c>
      <c r="B142" s="123" t="s">
        <v>416</v>
      </c>
      <c r="C142" s="123" t="s">
        <v>25</v>
      </c>
      <c r="D142" s="123" t="s">
        <v>37</v>
      </c>
      <c r="E142" s="123"/>
      <c r="F142" s="123" t="s">
        <v>24</v>
      </c>
      <c r="G142" s="1" t="s">
        <v>417</v>
      </c>
      <c r="H142" s="1" t="s">
        <v>113</v>
      </c>
      <c r="I142" s="231">
        <v>45363</v>
      </c>
      <c r="J142" s="123">
        <v>59.78</v>
      </c>
      <c r="K142" s="123" t="s">
        <v>2735</v>
      </c>
      <c r="L142" s="123" t="s">
        <v>2736</v>
      </c>
    </row>
    <row r="143" spans="1:12" ht="45">
      <c r="A143" s="123" t="s">
        <v>3043</v>
      </c>
      <c r="B143" s="171"/>
      <c r="C143" s="123" t="s">
        <v>25</v>
      </c>
      <c r="D143" s="172" t="s">
        <v>3044</v>
      </c>
      <c r="E143" s="169" t="s">
        <v>2743</v>
      </c>
      <c r="F143" s="123" t="s">
        <v>24</v>
      </c>
      <c r="G143" s="1" t="s">
        <v>3045</v>
      </c>
      <c r="H143" s="1" t="s">
        <v>113</v>
      </c>
      <c r="I143" s="232" t="s">
        <v>3046</v>
      </c>
      <c r="J143" s="123">
        <v>2</v>
      </c>
      <c r="K143" s="123" t="s">
        <v>2735</v>
      </c>
      <c r="L143" s="123" t="s">
        <v>2736</v>
      </c>
    </row>
    <row r="144" spans="1:12" ht="204.75" customHeight="1">
      <c r="A144" s="123" t="s">
        <v>3047</v>
      </c>
      <c r="B144" s="171"/>
      <c r="C144" s="123" t="s">
        <v>25</v>
      </c>
      <c r="D144" s="172" t="s">
        <v>3048</v>
      </c>
      <c r="E144" s="172" t="s">
        <v>3049</v>
      </c>
      <c r="F144" s="123" t="s">
        <v>24</v>
      </c>
      <c r="G144" s="1" t="s">
        <v>3050</v>
      </c>
      <c r="H144" s="1" t="s">
        <v>352</v>
      </c>
      <c r="I144" s="231">
        <v>43232</v>
      </c>
      <c r="J144" s="123">
        <v>100</v>
      </c>
      <c r="K144" s="123" t="s">
        <v>2735</v>
      </c>
      <c r="L144" s="123" t="s">
        <v>2736</v>
      </c>
    </row>
    <row r="145" spans="1:12" ht="60">
      <c r="A145" s="123" t="s">
        <v>3051</v>
      </c>
      <c r="B145" s="1" t="s">
        <v>418</v>
      </c>
      <c r="C145" s="123" t="s">
        <v>25</v>
      </c>
      <c r="D145" s="123" t="s">
        <v>419</v>
      </c>
      <c r="E145" s="123" t="s">
        <v>3052</v>
      </c>
      <c r="F145" s="123" t="s">
        <v>24</v>
      </c>
      <c r="G145" s="1" t="s">
        <v>420</v>
      </c>
      <c r="H145" s="1" t="s">
        <v>352</v>
      </c>
      <c r="I145" s="231">
        <v>43171</v>
      </c>
      <c r="J145" s="123">
        <v>10</v>
      </c>
      <c r="K145" s="123" t="s">
        <v>2735</v>
      </c>
      <c r="L145" s="123" t="s">
        <v>2736</v>
      </c>
    </row>
    <row r="146" spans="1:12" ht="60">
      <c r="A146" s="123" t="s">
        <v>3053</v>
      </c>
      <c r="B146" s="123" t="s">
        <v>275</v>
      </c>
      <c r="C146" s="123" t="s">
        <v>25</v>
      </c>
      <c r="D146" s="172" t="s">
        <v>3054</v>
      </c>
      <c r="E146" s="172" t="s">
        <v>3052</v>
      </c>
      <c r="F146" s="123" t="s">
        <v>24</v>
      </c>
      <c r="G146" s="1" t="s">
        <v>3055</v>
      </c>
      <c r="H146" s="1" t="s">
        <v>352</v>
      </c>
      <c r="I146" s="232" t="s">
        <v>3056</v>
      </c>
      <c r="J146" s="123">
        <v>20</v>
      </c>
      <c r="K146" s="123" t="s">
        <v>2735</v>
      </c>
      <c r="L146" s="123" t="s">
        <v>2736</v>
      </c>
    </row>
    <row r="147" spans="1:12" ht="75">
      <c r="A147" s="123" t="s">
        <v>3057</v>
      </c>
      <c r="B147" s="171"/>
      <c r="C147" s="123" t="s">
        <v>25</v>
      </c>
      <c r="D147" s="123" t="s">
        <v>37</v>
      </c>
      <c r="E147" s="123"/>
      <c r="F147" s="123" t="s">
        <v>24</v>
      </c>
      <c r="G147" s="1" t="s">
        <v>3058</v>
      </c>
      <c r="H147" s="1" t="s">
        <v>113</v>
      </c>
      <c r="I147" s="232" t="s">
        <v>3033</v>
      </c>
      <c r="J147" s="123">
        <v>103.5</v>
      </c>
      <c r="K147" s="123" t="s">
        <v>2735</v>
      </c>
      <c r="L147" s="123" t="s">
        <v>2736</v>
      </c>
    </row>
    <row r="148" spans="1:12" ht="45">
      <c r="A148" s="123" t="s">
        <v>3059</v>
      </c>
      <c r="B148" s="123" t="s">
        <v>425</v>
      </c>
      <c r="C148" s="123" t="s">
        <v>25</v>
      </c>
      <c r="D148" s="172" t="s">
        <v>426</v>
      </c>
      <c r="E148" s="172" t="s">
        <v>3060</v>
      </c>
      <c r="F148" s="123" t="s">
        <v>24</v>
      </c>
      <c r="G148" s="1" t="s">
        <v>427</v>
      </c>
      <c r="H148" s="1" t="s">
        <v>352</v>
      </c>
      <c r="I148" s="231">
        <v>43260</v>
      </c>
      <c r="J148" s="123">
        <v>12</v>
      </c>
      <c r="K148" s="123" t="s">
        <v>2735</v>
      </c>
      <c r="L148" s="123" t="s">
        <v>2736</v>
      </c>
    </row>
    <row r="149" spans="1:12" ht="60">
      <c r="A149" s="123" t="s">
        <v>3061</v>
      </c>
      <c r="B149" s="123" t="s">
        <v>275</v>
      </c>
      <c r="C149" s="123" t="s">
        <v>25</v>
      </c>
      <c r="D149" s="1" t="s">
        <v>3062</v>
      </c>
      <c r="E149" s="1" t="s">
        <v>3052</v>
      </c>
      <c r="F149" s="123" t="s">
        <v>24</v>
      </c>
      <c r="G149" s="1" t="s">
        <v>3063</v>
      </c>
      <c r="H149" s="1" t="s">
        <v>352</v>
      </c>
      <c r="I149" s="231">
        <v>43260</v>
      </c>
      <c r="J149" s="123">
        <v>20</v>
      </c>
      <c r="K149" s="123" t="s">
        <v>2735</v>
      </c>
      <c r="L149" s="123" t="s">
        <v>2736</v>
      </c>
    </row>
    <row r="150" spans="1:12" ht="60">
      <c r="A150" s="123" t="s">
        <v>3064</v>
      </c>
      <c r="B150" s="123" t="s">
        <v>973</v>
      </c>
      <c r="C150" s="123" t="s">
        <v>25</v>
      </c>
      <c r="D150" s="169" t="s">
        <v>3065</v>
      </c>
      <c r="E150" s="169" t="s">
        <v>2950</v>
      </c>
      <c r="F150" s="123" t="s">
        <v>24</v>
      </c>
      <c r="G150" s="1" t="s">
        <v>3066</v>
      </c>
      <c r="H150" s="1" t="s">
        <v>352</v>
      </c>
      <c r="I150" s="232" t="s">
        <v>3056</v>
      </c>
      <c r="J150" s="123">
        <v>30</v>
      </c>
      <c r="K150" s="123" t="s">
        <v>2735</v>
      </c>
      <c r="L150" s="123" t="s">
        <v>2736</v>
      </c>
    </row>
    <row r="151" spans="1:12" ht="60">
      <c r="A151" s="123" t="s">
        <v>3067</v>
      </c>
      <c r="B151" s="171"/>
      <c r="C151" s="123" t="s">
        <v>25</v>
      </c>
      <c r="D151" s="123" t="s">
        <v>37</v>
      </c>
      <c r="E151" s="123"/>
      <c r="F151" s="123" t="s">
        <v>24</v>
      </c>
      <c r="G151" s="1" t="s">
        <v>3068</v>
      </c>
      <c r="H151" s="1" t="s">
        <v>352</v>
      </c>
      <c r="I151" s="232" t="s">
        <v>441</v>
      </c>
      <c r="J151" s="123">
        <v>5.6</v>
      </c>
      <c r="K151" s="123" t="s">
        <v>2735</v>
      </c>
      <c r="L151" s="123" t="s">
        <v>2736</v>
      </c>
    </row>
    <row r="152" spans="1:12" ht="45">
      <c r="A152" s="123" t="s">
        <v>3069</v>
      </c>
      <c r="B152" s="123" t="s">
        <v>438</v>
      </c>
      <c r="C152" s="123" t="s">
        <v>25</v>
      </c>
      <c r="D152" s="172" t="s">
        <v>439</v>
      </c>
      <c r="E152" s="172" t="s">
        <v>2743</v>
      </c>
      <c r="F152" s="123" t="s">
        <v>24</v>
      </c>
      <c r="G152" s="1" t="s">
        <v>440</v>
      </c>
      <c r="H152" s="1" t="s">
        <v>352</v>
      </c>
      <c r="I152" s="232" t="s">
        <v>441</v>
      </c>
      <c r="J152" s="123">
        <v>3</v>
      </c>
      <c r="K152" s="123" t="s">
        <v>2735</v>
      </c>
      <c r="L152" s="123" t="s">
        <v>2736</v>
      </c>
    </row>
    <row r="153" spans="1:12" ht="60">
      <c r="A153" s="123" t="s">
        <v>3070</v>
      </c>
      <c r="B153" s="123" t="s">
        <v>442</v>
      </c>
      <c r="C153" s="123" t="s">
        <v>25</v>
      </c>
      <c r="D153" s="123" t="s">
        <v>37</v>
      </c>
      <c r="E153" s="123"/>
      <c r="F153" s="123" t="s">
        <v>24</v>
      </c>
      <c r="G153" s="1" t="s">
        <v>443</v>
      </c>
      <c r="H153" s="1" t="s">
        <v>352</v>
      </c>
      <c r="I153" s="232" t="s">
        <v>441</v>
      </c>
      <c r="J153" s="123">
        <v>39.22</v>
      </c>
      <c r="K153" s="123" t="s">
        <v>2735</v>
      </c>
      <c r="L153" s="123" t="s">
        <v>2736</v>
      </c>
    </row>
    <row r="154" spans="1:12" ht="60">
      <c r="A154" s="123" t="s">
        <v>3071</v>
      </c>
      <c r="B154" s="123" t="s">
        <v>442</v>
      </c>
      <c r="C154" s="123" t="s">
        <v>25</v>
      </c>
      <c r="D154" s="123" t="s">
        <v>37</v>
      </c>
      <c r="E154" s="123"/>
      <c r="F154" s="123" t="s">
        <v>24</v>
      </c>
      <c r="G154" s="1" t="s">
        <v>3072</v>
      </c>
      <c r="H154" s="1" t="s">
        <v>352</v>
      </c>
      <c r="I154" s="232" t="s">
        <v>441</v>
      </c>
      <c r="J154" s="123">
        <v>126.5</v>
      </c>
      <c r="K154" s="123" t="s">
        <v>2735</v>
      </c>
      <c r="L154" s="123" t="s">
        <v>2736</v>
      </c>
    </row>
    <row r="155" spans="1:12" ht="60">
      <c r="A155" s="123" t="s">
        <v>3073</v>
      </c>
      <c r="B155" s="1" t="s">
        <v>444</v>
      </c>
      <c r="C155" s="123" t="s">
        <v>25</v>
      </c>
      <c r="D155" s="169" t="s">
        <v>445</v>
      </c>
      <c r="E155" s="123" t="s">
        <v>2743</v>
      </c>
      <c r="F155" s="123" t="s">
        <v>24</v>
      </c>
      <c r="G155" s="1" t="s">
        <v>446</v>
      </c>
      <c r="H155" s="1" t="s">
        <v>352</v>
      </c>
      <c r="I155" s="232" t="s">
        <v>441</v>
      </c>
      <c r="J155" s="123">
        <v>1</v>
      </c>
      <c r="K155" s="123" t="s">
        <v>2735</v>
      </c>
      <c r="L155" s="123" t="s">
        <v>2736</v>
      </c>
    </row>
    <row r="156" spans="1:12" ht="30">
      <c r="A156" s="123" t="s">
        <v>3074</v>
      </c>
      <c r="B156" s="123" t="s">
        <v>97</v>
      </c>
      <c r="C156" s="123" t="s">
        <v>25</v>
      </c>
      <c r="D156" s="123" t="s">
        <v>3075</v>
      </c>
      <c r="E156" s="123" t="s">
        <v>3052</v>
      </c>
      <c r="F156" s="123" t="s">
        <v>24</v>
      </c>
      <c r="G156" s="1" t="s">
        <v>3076</v>
      </c>
      <c r="H156" s="1" t="s">
        <v>3077</v>
      </c>
      <c r="I156" s="231">
        <v>42837</v>
      </c>
      <c r="J156" s="123">
        <v>10</v>
      </c>
      <c r="K156" s="123" t="s">
        <v>2735</v>
      </c>
      <c r="L156" s="123" t="s">
        <v>2736</v>
      </c>
    </row>
    <row r="157" spans="1:12" ht="45">
      <c r="A157" s="123" t="s">
        <v>3078</v>
      </c>
      <c r="B157" s="123" t="s">
        <v>3079</v>
      </c>
      <c r="C157" s="123" t="s">
        <v>25</v>
      </c>
      <c r="D157" s="123" t="s">
        <v>3080</v>
      </c>
      <c r="E157" s="1" t="s">
        <v>3037</v>
      </c>
      <c r="F157" s="123" t="s">
        <v>24</v>
      </c>
      <c r="G157" s="1" t="s">
        <v>3081</v>
      </c>
      <c r="H157" s="1" t="s">
        <v>3077</v>
      </c>
      <c r="I157" s="232" t="s">
        <v>3082</v>
      </c>
      <c r="J157" s="123">
        <v>30</v>
      </c>
      <c r="K157" s="123" t="s">
        <v>2735</v>
      </c>
      <c r="L157" s="123" t="s">
        <v>2736</v>
      </c>
    </row>
    <row r="158" spans="1:12" ht="30">
      <c r="A158" s="123" t="s">
        <v>3083</v>
      </c>
      <c r="B158" s="123" t="s">
        <v>97</v>
      </c>
      <c r="C158" s="123" t="s">
        <v>25</v>
      </c>
      <c r="D158" s="172" t="s">
        <v>3084</v>
      </c>
      <c r="E158" s="172" t="s">
        <v>2743</v>
      </c>
      <c r="F158" s="123" t="s">
        <v>24</v>
      </c>
      <c r="G158" s="1" t="s">
        <v>3085</v>
      </c>
      <c r="H158" s="1" t="s">
        <v>3077</v>
      </c>
      <c r="I158" s="231">
        <v>42898</v>
      </c>
      <c r="J158" s="123">
        <v>2</v>
      </c>
      <c r="K158" s="123" t="s">
        <v>2735</v>
      </c>
      <c r="L158" s="123" t="s">
        <v>2736</v>
      </c>
    </row>
    <row r="159" spans="1:12" ht="30">
      <c r="A159" s="123" t="s">
        <v>3086</v>
      </c>
      <c r="B159" s="123" t="s">
        <v>97</v>
      </c>
      <c r="C159" s="123" t="s">
        <v>25</v>
      </c>
      <c r="D159" s="123" t="s">
        <v>3087</v>
      </c>
      <c r="E159" s="123" t="s">
        <v>3052</v>
      </c>
      <c r="F159" s="123" t="s">
        <v>24</v>
      </c>
      <c r="G159" s="1" t="s">
        <v>3088</v>
      </c>
      <c r="H159" s="1" t="s">
        <v>3077</v>
      </c>
      <c r="I159" s="232" t="s">
        <v>3082</v>
      </c>
      <c r="J159" s="123">
        <v>10</v>
      </c>
      <c r="K159" s="123" t="s">
        <v>2735</v>
      </c>
      <c r="L159" s="123" t="s">
        <v>2736</v>
      </c>
    </row>
    <row r="160" spans="1:12" ht="30">
      <c r="A160" s="123" t="s">
        <v>3089</v>
      </c>
      <c r="B160" s="171"/>
      <c r="C160" s="123" t="s">
        <v>25</v>
      </c>
      <c r="D160" s="123" t="s">
        <v>3090</v>
      </c>
      <c r="E160" s="1" t="s">
        <v>3037</v>
      </c>
      <c r="F160" s="123" t="s">
        <v>24</v>
      </c>
      <c r="G160" s="1" t="s">
        <v>3091</v>
      </c>
      <c r="H160" s="1" t="s">
        <v>3077</v>
      </c>
      <c r="I160" s="231">
        <v>42898</v>
      </c>
      <c r="J160" s="123">
        <v>30</v>
      </c>
      <c r="K160" s="123" t="s">
        <v>2735</v>
      </c>
      <c r="L160" s="123" t="s">
        <v>2736</v>
      </c>
    </row>
    <row r="161" spans="1:14" ht="30">
      <c r="A161" s="123" t="s">
        <v>3092</v>
      </c>
      <c r="B161" s="123" t="s">
        <v>3079</v>
      </c>
      <c r="C161" s="123" t="s">
        <v>25</v>
      </c>
      <c r="D161" s="123" t="s">
        <v>3093</v>
      </c>
      <c r="E161" s="123" t="s">
        <v>2950</v>
      </c>
      <c r="F161" s="123" t="s">
        <v>24</v>
      </c>
      <c r="G161" s="1" t="s">
        <v>3094</v>
      </c>
      <c r="H161" s="1" t="s">
        <v>3077</v>
      </c>
      <c r="I161" s="231">
        <v>42898</v>
      </c>
      <c r="J161" s="123">
        <v>30</v>
      </c>
      <c r="K161" s="123" t="s">
        <v>2735</v>
      </c>
      <c r="L161" s="123" t="s">
        <v>2736</v>
      </c>
    </row>
    <row r="162" spans="1:14" ht="45">
      <c r="A162" s="123" t="s">
        <v>3095</v>
      </c>
      <c r="B162" s="123" t="s">
        <v>1645</v>
      </c>
      <c r="C162" s="123" t="s">
        <v>25</v>
      </c>
      <c r="D162" s="172" t="s">
        <v>1646</v>
      </c>
      <c r="E162" s="123" t="s">
        <v>3096</v>
      </c>
      <c r="F162" s="123" t="s">
        <v>24</v>
      </c>
      <c r="G162" s="1" t="s">
        <v>1647</v>
      </c>
      <c r="H162" s="1" t="s">
        <v>113</v>
      </c>
      <c r="I162" s="231">
        <v>45607</v>
      </c>
      <c r="J162" s="123">
        <v>3</v>
      </c>
      <c r="K162" s="123" t="s">
        <v>2735</v>
      </c>
      <c r="L162" s="123" t="s">
        <v>2736</v>
      </c>
    </row>
    <row r="163" spans="1:14" ht="45">
      <c r="A163" s="123" t="s">
        <v>3097</v>
      </c>
      <c r="B163" s="123" t="s">
        <v>733</v>
      </c>
      <c r="C163" s="123" t="s">
        <v>25</v>
      </c>
      <c r="D163" s="169" t="s">
        <v>3098</v>
      </c>
      <c r="E163" s="123" t="s">
        <v>3096</v>
      </c>
      <c r="F163" s="123" t="s">
        <v>24</v>
      </c>
      <c r="G163" s="1" t="s">
        <v>3099</v>
      </c>
      <c r="H163" s="1" t="s">
        <v>3077</v>
      </c>
      <c r="I163" s="231">
        <v>42893</v>
      </c>
      <c r="J163" s="123">
        <v>1</v>
      </c>
      <c r="K163" s="123" t="s">
        <v>2735</v>
      </c>
      <c r="L163" s="123" t="s">
        <v>2736</v>
      </c>
    </row>
    <row r="164" spans="1:14" ht="30">
      <c r="A164" s="123" t="s">
        <v>3100</v>
      </c>
      <c r="B164" s="123" t="s">
        <v>3101</v>
      </c>
      <c r="C164" s="123" t="s">
        <v>25</v>
      </c>
      <c r="D164" s="169" t="s">
        <v>3102</v>
      </c>
      <c r="E164" s="123" t="s">
        <v>3096</v>
      </c>
      <c r="F164" s="123" t="s">
        <v>24</v>
      </c>
      <c r="G164" s="1" t="s">
        <v>3103</v>
      </c>
      <c r="H164" s="1" t="s">
        <v>3077</v>
      </c>
      <c r="I164" s="232" t="s">
        <v>3104</v>
      </c>
      <c r="J164" s="123">
        <v>1</v>
      </c>
      <c r="K164" s="123" t="s">
        <v>2735</v>
      </c>
      <c r="L164" s="123" t="s">
        <v>2736</v>
      </c>
    </row>
    <row r="165" spans="1:14" ht="30">
      <c r="A165" s="123" t="s">
        <v>3105</v>
      </c>
      <c r="B165" s="123" t="s">
        <v>3106</v>
      </c>
      <c r="C165" s="123" t="s">
        <v>25</v>
      </c>
      <c r="D165" s="123" t="s">
        <v>3107</v>
      </c>
      <c r="E165" s="123" t="s">
        <v>2950</v>
      </c>
      <c r="F165" s="123" t="s">
        <v>24</v>
      </c>
      <c r="G165" s="1" t="s">
        <v>3108</v>
      </c>
      <c r="H165" s="1" t="s">
        <v>3077</v>
      </c>
      <c r="I165" s="232" t="s">
        <v>3109</v>
      </c>
      <c r="J165" s="123">
        <v>30</v>
      </c>
      <c r="K165" s="123" t="s">
        <v>2735</v>
      </c>
      <c r="L165" s="123" t="s">
        <v>2736</v>
      </c>
    </row>
    <row r="166" spans="1:14" ht="105">
      <c r="A166" s="123" t="s">
        <v>3110</v>
      </c>
      <c r="B166" s="1" t="s">
        <v>3111</v>
      </c>
      <c r="C166" s="123" t="s">
        <v>25</v>
      </c>
      <c r="D166" s="172" t="s">
        <v>3112</v>
      </c>
      <c r="E166" s="123" t="s">
        <v>2743</v>
      </c>
      <c r="F166" s="123" t="s">
        <v>24</v>
      </c>
      <c r="G166" s="1" t="s">
        <v>3113</v>
      </c>
      <c r="H166" s="1" t="s">
        <v>113</v>
      </c>
      <c r="I166" s="232" t="s">
        <v>3114</v>
      </c>
      <c r="J166" s="123">
        <v>7</v>
      </c>
      <c r="K166" s="123" t="s">
        <v>2735</v>
      </c>
      <c r="L166" s="123" t="s">
        <v>2736</v>
      </c>
    </row>
    <row r="167" spans="1:14" ht="45">
      <c r="A167" s="123" t="s">
        <v>3115</v>
      </c>
      <c r="B167" s="123" t="s">
        <v>3116</v>
      </c>
      <c r="C167" s="123" t="s">
        <v>25</v>
      </c>
      <c r="D167" s="123" t="s">
        <v>3117</v>
      </c>
      <c r="E167" s="123" t="s">
        <v>3052</v>
      </c>
      <c r="F167" s="123" t="s">
        <v>24</v>
      </c>
      <c r="G167" s="1" t="s">
        <v>3118</v>
      </c>
      <c r="H167" s="1" t="s">
        <v>3077</v>
      </c>
      <c r="I167" s="232" t="s">
        <v>3109</v>
      </c>
      <c r="J167" s="123">
        <v>10</v>
      </c>
      <c r="K167" s="123" t="s">
        <v>2735</v>
      </c>
      <c r="L167" s="123" t="s">
        <v>2736</v>
      </c>
    </row>
    <row r="168" spans="1:14" ht="30">
      <c r="A168" s="123" t="s">
        <v>3119</v>
      </c>
      <c r="B168" s="123" t="s">
        <v>3120</v>
      </c>
      <c r="C168" s="123" t="s">
        <v>25</v>
      </c>
      <c r="D168" s="123" t="s">
        <v>3121</v>
      </c>
      <c r="E168" s="123" t="s">
        <v>3052</v>
      </c>
      <c r="F168" s="123" t="s">
        <v>24</v>
      </c>
      <c r="G168" s="1" t="s">
        <v>3122</v>
      </c>
      <c r="H168" s="1" t="s">
        <v>3077</v>
      </c>
      <c r="I168" s="232" t="s">
        <v>3123</v>
      </c>
      <c r="J168" s="123">
        <v>10</v>
      </c>
      <c r="K168" s="123" t="s">
        <v>2735</v>
      </c>
      <c r="L168" s="123" t="s">
        <v>2736</v>
      </c>
      <c r="N168" s="123" t="s">
        <v>3124</v>
      </c>
    </row>
    <row r="169" spans="1:14" ht="30">
      <c r="A169" s="123" t="s">
        <v>3125</v>
      </c>
      <c r="B169" s="171"/>
      <c r="C169" s="123" t="s">
        <v>2738</v>
      </c>
      <c r="D169" s="123"/>
      <c r="E169" s="123"/>
      <c r="F169" s="123" t="s">
        <v>24</v>
      </c>
      <c r="G169" s="1" t="s">
        <v>3126</v>
      </c>
      <c r="H169" s="1" t="s">
        <v>3127</v>
      </c>
      <c r="I169" s="232" t="s">
        <v>3128</v>
      </c>
      <c r="J169" s="123">
        <v>425</v>
      </c>
      <c r="K169" s="123" t="s">
        <v>2735</v>
      </c>
      <c r="L169" s="123" t="s">
        <v>2736</v>
      </c>
      <c r="N169" s="123" t="s">
        <v>3129</v>
      </c>
    </row>
    <row r="170" spans="1:14" ht="30">
      <c r="A170" s="123" t="s">
        <v>3130</v>
      </c>
      <c r="B170" s="123" t="s">
        <v>3131</v>
      </c>
      <c r="C170" s="123" t="s">
        <v>25</v>
      </c>
      <c r="D170" s="169" t="s">
        <v>3132</v>
      </c>
      <c r="E170" s="123" t="s">
        <v>2743</v>
      </c>
      <c r="F170" s="123" t="s">
        <v>24</v>
      </c>
      <c r="G170" s="1" t="s">
        <v>3133</v>
      </c>
      <c r="H170" s="1" t="s">
        <v>3077</v>
      </c>
      <c r="I170" s="232" t="s">
        <v>3123</v>
      </c>
      <c r="J170" s="123">
        <v>1</v>
      </c>
      <c r="K170" s="123" t="s">
        <v>2735</v>
      </c>
      <c r="L170" s="123" t="s">
        <v>2736</v>
      </c>
      <c r="N170" s="123" t="s">
        <v>3124</v>
      </c>
    </row>
    <row r="171" spans="1:14" ht="60">
      <c r="A171" s="123" t="s">
        <v>3134</v>
      </c>
      <c r="B171" s="171"/>
      <c r="C171" s="123" t="s">
        <v>25</v>
      </c>
      <c r="D171" s="123" t="s">
        <v>37</v>
      </c>
      <c r="E171" s="123"/>
      <c r="F171" s="123" t="s">
        <v>24</v>
      </c>
      <c r="G171" s="1" t="s">
        <v>3135</v>
      </c>
      <c r="H171" s="1" t="s">
        <v>3077</v>
      </c>
      <c r="I171" s="231">
        <v>42832</v>
      </c>
      <c r="J171" s="123">
        <v>32.79</v>
      </c>
      <c r="K171" s="123" t="s">
        <v>2735</v>
      </c>
      <c r="L171" s="123" t="s">
        <v>2736</v>
      </c>
      <c r="N171" s="123" t="s">
        <v>3124</v>
      </c>
    </row>
    <row r="172" spans="1:14" ht="60">
      <c r="A172" s="123" t="s">
        <v>3136</v>
      </c>
      <c r="B172" s="123" t="s">
        <v>3120</v>
      </c>
      <c r="C172" s="123" t="s">
        <v>25</v>
      </c>
      <c r="D172" s="169" t="s">
        <v>3137</v>
      </c>
      <c r="E172" s="123" t="s">
        <v>2743</v>
      </c>
      <c r="F172" s="123" t="s">
        <v>24</v>
      </c>
      <c r="G172" s="1" t="s">
        <v>3138</v>
      </c>
      <c r="H172" s="1" t="s">
        <v>3077</v>
      </c>
      <c r="I172" s="232" t="s">
        <v>3139</v>
      </c>
      <c r="J172" s="123">
        <v>1</v>
      </c>
      <c r="K172" s="123" t="s">
        <v>2735</v>
      </c>
      <c r="L172" s="123" t="s">
        <v>2736</v>
      </c>
      <c r="N172" s="123" t="s">
        <v>3124</v>
      </c>
    </row>
    <row r="173" spans="1:14" ht="180">
      <c r="A173" s="123" t="s">
        <v>3140</v>
      </c>
      <c r="B173" s="171" t="s">
        <v>112</v>
      </c>
      <c r="C173" s="123" t="s">
        <v>25</v>
      </c>
      <c r="D173" s="123" t="s">
        <v>37</v>
      </c>
      <c r="E173" s="123"/>
      <c r="F173" s="123" t="s">
        <v>24</v>
      </c>
      <c r="G173" s="1" t="s">
        <v>3141</v>
      </c>
      <c r="H173" s="1" t="s">
        <v>113</v>
      </c>
      <c r="I173" s="231">
        <v>45363</v>
      </c>
      <c r="J173" s="178">
        <v>1838.84</v>
      </c>
      <c r="K173" s="123" t="s">
        <v>2735</v>
      </c>
      <c r="L173" s="123" t="s">
        <v>2736</v>
      </c>
    </row>
  </sheetData>
  <phoneticPr fontId="2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4EAC-DE98-4FF5-A134-96C2A522CB6A}">
  <sheetPr>
    <tabColor theme="8" tint="0.59999389629810485"/>
  </sheetPr>
  <dimension ref="A1:K309"/>
  <sheetViews>
    <sheetView zoomScale="70" zoomScaleNormal="70" workbookViewId="0">
      <selection activeCell="I1" sqref="I1:I1048576"/>
    </sheetView>
  </sheetViews>
  <sheetFormatPr defaultRowHeight="15"/>
  <cols>
    <col min="1" max="1" width="17.7109375" style="121" bestFit="1" customWidth="1"/>
    <col min="2" max="2" width="28" bestFit="1" customWidth="1"/>
    <col min="3" max="3" width="140" bestFit="1" customWidth="1"/>
    <col min="4" max="4" width="23.7109375" bestFit="1" customWidth="1"/>
    <col min="5" max="5" width="40.5703125" style="34" bestFit="1" customWidth="1"/>
    <col min="6" max="6" width="36.5703125" bestFit="1" customWidth="1"/>
    <col min="7" max="7" width="34.42578125" style="109" bestFit="1" customWidth="1"/>
    <col min="8" max="8" width="21" bestFit="1" customWidth="1"/>
    <col min="9" max="9" width="22.85546875" style="121" customWidth="1"/>
    <col min="10" max="10" width="11.7109375" bestFit="1" customWidth="1"/>
    <col min="11" max="11" width="10.28515625" bestFit="1" customWidth="1"/>
  </cols>
  <sheetData>
    <row r="1" spans="1:11" s="54" customFormat="1">
      <c r="A1" s="50" t="s">
        <v>2270</v>
      </c>
      <c r="B1" s="51" t="s">
        <v>1731</v>
      </c>
      <c r="C1" s="51" t="s">
        <v>1</v>
      </c>
      <c r="D1" s="51" t="s">
        <v>3142</v>
      </c>
      <c r="E1" s="52" t="s">
        <v>3</v>
      </c>
      <c r="F1" s="51" t="s">
        <v>3143</v>
      </c>
      <c r="G1" s="53" t="s">
        <v>3144</v>
      </c>
      <c r="H1" s="51" t="s">
        <v>8</v>
      </c>
      <c r="I1" s="50" t="s">
        <v>2</v>
      </c>
      <c r="J1" s="51" t="s">
        <v>3145</v>
      </c>
      <c r="K1" s="51" t="s">
        <v>3146</v>
      </c>
    </row>
    <row r="2" spans="1:11" s="59" customFormat="1">
      <c r="A2" s="55">
        <v>2000719405571</v>
      </c>
      <c r="B2" s="56" t="s">
        <v>1300</v>
      </c>
      <c r="C2" s="57" t="s">
        <v>1301</v>
      </c>
      <c r="D2" s="56" t="s">
        <v>3147</v>
      </c>
      <c r="E2" s="58" t="s">
        <v>1302</v>
      </c>
      <c r="F2" s="56" t="s">
        <v>604</v>
      </c>
      <c r="G2" s="56" t="s">
        <v>3148</v>
      </c>
      <c r="H2" s="56"/>
      <c r="I2" s="55" t="s">
        <v>602</v>
      </c>
      <c r="J2" s="56"/>
      <c r="K2" s="56"/>
    </row>
    <row r="3" spans="1:11" s="59" customFormat="1">
      <c r="A3" s="55">
        <v>2000719405571</v>
      </c>
      <c r="B3" s="56" t="s">
        <v>681</v>
      </c>
      <c r="C3" s="56" t="s">
        <v>682</v>
      </c>
      <c r="D3" s="56" t="s">
        <v>3149</v>
      </c>
      <c r="E3" s="58" t="s">
        <v>677</v>
      </c>
      <c r="F3" s="56" t="s">
        <v>683</v>
      </c>
      <c r="G3" s="60" t="s">
        <v>3150</v>
      </c>
      <c r="H3" s="56"/>
      <c r="I3" s="55" t="s">
        <v>602</v>
      </c>
      <c r="J3" s="56"/>
      <c r="K3" s="56"/>
    </row>
    <row r="4" spans="1:11" s="66" customFormat="1">
      <c r="A4" s="61">
        <v>2000719405571</v>
      </c>
      <c r="B4" s="62"/>
      <c r="C4" s="62" t="s">
        <v>3151</v>
      </c>
      <c r="D4" s="62" t="s">
        <v>3152</v>
      </c>
      <c r="E4" s="63" t="s">
        <v>1559</v>
      </c>
      <c r="F4" s="64" t="s">
        <v>1565</v>
      </c>
      <c r="G4" s="65" t="s">
        <v>3153</v>
      </c>
      <c r="H4" s="62"/>
      <c r="I4" s="55" t="s">
        <v>602</v>
      </c>
      <c r="J4" s="62"/>
      <c r="K4" s="62"/>
    </row>
    <row r="5" spans="1:11" s="59" customFormat="1">
      <c r="A5" s="55">
        <v>2000719405571</v>
      </c>
      <c r="B5" s="56" t="s">
        <v>1563</v>
      </c>
      <c r="C5" s="56" t="s">
        <v>1564</v>
      </c>
      <c r="D5" s="56" t="s">
        <v>3154</v>
      </c>
      <c r="E5" s="58" t="s">
        <v>1559</v>
      </c>
      <c r="F5" s="57" t="s">
        <v>1565</v>
      </c>
      <c r="G5" s="60" t="s">
        <v>3155</v>
      </c>
      <c r="H5" s="56"/>
      <c r="I5" s="55" t="s">
        <v>602</v>
      </c>
      <c r="J5" s="56"/>
      <c r="K5" s="56"/>
    </row>
    <row r="6" spans="1:11" s="59" customFormat="1">
      <c r="A6" s="55">
        <v>2000719405571</v>
      </c>
      <c r="B6" s="56" t="s">
        <v>1673</v>
      </c>
      <c r="C6" s="56" t="s">
        <v>1674</v>
      </c>
      <c r="D6" s="56" t="s">
        <v>3156</v>
      </c>
      <c r="E6" s="58" t="s">
        <v>677</v>
      </c>
      <c r="F6" s="56" t="s">
        <v>683</v>
      </c>
      <c r="G6" s="60" t="s">
        <v>3157</v>
      </c>
      <c r="H6" s="56"/>
      <c r="I6" s="55" t="s">
        <v>602</v>
      </c>
      <c r="J6" s="56"/>
      <c r="K6" s="56"/>
    </row>
    <row r="7" spans="1:11" s="59" customFormat="1">
      <c r="A7" s="55">
        <v>2000719405571</v>
      </c>
      <c r="B7" s="56" t="s">
        <v>600</v>
      </c>
      <c r="C7" s="56" t="s">
        <v>601</v>
      </c>
      <c r="D7" s="56" t="s">
        <v>3158</v>
      </c>
      <c r="E7" s="58" t="s">
        <v>603</v>
      </c>
      <c r="F7" s="56" t="s">
        <v>604</v>
      </c>
      <c r="G7" s="60" t="s">
        <v>3159</v>
      </c>
      <c r="H7" s="56"/>
      <c r="I7" s="55" t="s">
        <v>602</v>
      </c>
      <c r="J7" s="56"/>
      <c r="K7" s="56"/>
    </row>
    <row r="8" spans="1:11" s="59" customFormat="1">
      <c r="A8" s="55">
        <v>2000719405571</v>
      </c>
      <c r="B8" s="56" t="s">
        <v>1344</v>
      </c>
      <c r="C8" s="56" t="s">
        <v>1345</v>
      </c>
      <c r="D8" s="56" t="s">
        <v>3160</v>
      </c>
      <c r="E8" s="58" t="s">
        <v>677</v>
      </c>
      <c r="F8" s="56" t="s">
        <v>683</v>
      </c>
      <c r="G8" s="60" t="s">
        <v>3161</v>
      </c>
      <c r="H8" s="56"/>
      <c r="I8" s="55" t="s">
        <v>602</v>
      </c>
      <c r="J8" s="56"/>
      <c r="K8" s="56"/>
    </row>
    <row r="9" spans="1:11" s="59" customFormat="1">
      <c r="A9" s="55">
        <v>2000719405571</v>
      </c>
      <c r="B9" s="56" t="s">
        <v>1699</v>
      </c>
      <c r="C9" s="56" t="s">
        <v>1700</v>
      </c>
      <c r="D9" s="56" t="s">
        <v>3162</v>
      </c>
      <c r="E9" s="58" t="s">
        <v>677</v>
      </c>
      <c r="F9" s="56" t="s">
        <v>683</v>
      </c>
      <c r="G9" s="60" t="s">
        <v>3163</v>
      </c>
      <c r="H9" s="56"/>
      <c r="I9" s="55" t="s">
        <v>602</v>
      </c>
      <c r="J9" s="56"/>
      <c r="K9" s="56"/>
    </row>
    <row r="10" spans="1:11" s="59" customFormat="1">
      <c r="A10" s="55">
        <v>2000719405571</v>
      </c>
      <c r="B10" s="56" t="s">
        <v>1642</v>
      </c>
      <c r="C10" s="56" t="s">
        <v>1643</v>
      </c>
      <c r="D10" s="56" t="s">
        <v>3164</v>
      </c>
      <c r="E10" s="58" t="s">
        <v>792</v>
      </c>
      <c r="F10" s="56" t="s">
        <v>1644</v>
      </c>
      <c r="G10" s="60" t="s">
        <v>3165</v>
      </c>
      <c r="H10" s="56"/>
      <c r="I10" s="55" t="s">
        <v>602</v>
      </c>
      <c r="J10" s="56"/>
      <c r="K10" s="56"/>
    </row>
    <row r="11" spans="1:11" s="59" customFormat="1">
      <c r="A11" s="55">
        <v>2000719405571</v>
      </c>
      <c r="B11" s="56" t="s">
        <v>1557</v>
      </c>
      <c r="C11" s="56" t="s">
        <v>1558</v>
      </c>
      <c r="D11" s="56" t="s">
        <v>3166</v>
      </c>
      <c r="E11" s="58" t="s">
        <v>1559</v>
      </c>
      <c r="F11" s="56" t="s">
        <v>1560</v>
      </c>
      <c r="G11" s="60" t="s">
        <v>3167</v>
      </c>
      <c r="H11" s="56"/>
      <c r="I11" s="55" t="s">
        <v>602</v>
      </c>
      <c r="J11" s="56"/>
      <c r="K11" s="56"/>
    </row>
    <row r="12" spans="1:11" s="59" customFormat="1">
      <c r="A12" s="55">
        <v>2000719405571</v>
      </c>
      <c r="B12" s="56" t="s">
        <v>1303</v>
      </c>
      <c r="C12" s="56" t="s">
        <v>1304</v>
      </c>
      <c r="D12" s="56" t="s">
        <v>3168</v>
      </c>
      <c r="E12" s="58" t="s">
        <v>677</v>
      </c>
      <c r="F12" s="56" t="s">
        <v>683</v>
      </c>
      <c r="G12" s="60" t="s">
        <v>3169</v>
      </c>
      <c r="H12" s="56"/>
      <c r="I12" s="55" t="s">
        <v>602</v>
      </c>
      <c r="J12" s="56"/>
      <c r="K12" s="56"/>
    </row>
    <row r="13" spans="1:11" s="59" customFormat="1">
      <c r="A13" s="55">
        <v>2000719405571</v>
      </c>
      <c r="B13" s="56" t="s">
        <v>1688</v>
      </c>
      <c r="C13" s="56" t="s">
        <v>1689</v>
      </c>
      <c r="D13" s="56" t="s">
        <v>3170</v>
      </c>
      <c r="E13" s="58" t="s">
        <v>677</v>
      </c>
      <c r="F13" s="56" t="s">
        <v>683</v>
      </c>
      <c r="G13" s="60" t="s">
        <v>3171</v>
      </c>
      <c r="H13" s="56"/>
      <c r="I13" s="55" t="s">
        <v>602</v>
      </c>
      <c r="J13" s="56"/>
      <c r="K13" s="56"/>
    </row>
    <row r="14" spans="1:11" s="59" customFormat="1">
      <c r="A14" s="55">
        <v>2000719405571</v>
      </c>
      <c r="B14" s="56" t="s">
        <v>1274</v>
      </c>
      <c r="C14" s="56" t="s">
        <v>1275</v>
      </c>
      <c r="D14" s="56" t="s">
        <v>3172</v>
      </c>
      <c r="E14" s="58" t="s">
        <v>677</v>
      </c>
      <c r="F14" s="56" t="s">
        <v>683</v>
      </c>
      <c r="G14" s="60" t="s">
        <v>3173</v>
      </c>
      <c r="H14" s="56"/>
      <c r="I14" s="55" t="s">
        <v>602</v>
      </c>
      <c r="J14" s="56"/>
      <c r="K14" s="56"/>
    </row>
    <row r="15" spans="1:11" s="59" customFormat="1">
      <c r="A15" s="55">
        <v>2000719405571</v>
      </c>
      <c r="B15" s="56" t="s">
        <v>1682</v>
      </c>
      <c r="C15" s="56" t="s">
        <v>1683</v>
      </c>
      <c r="D15" s="56" t="s">
        <v>3174</v>
      </c>
      <c r="E15" s="58" t="s">
        <v>677</v>
      </c>
      <c r="F15" s="56" t="s">
        <v>683</v>
      </c>
      <c r="G15" s="60" t="s">
        <v>3175</v>
      </c>
      <c r="H15" s="56"/>
      <c r="I15" s="55" t="s">
        <v>602</v>
      </c>
      <c r="J15" s="56"/>
      <c r="K15" s="56"/>
    </row>
    <row r="16" spans="1:11" s="59" customFormat="1">
      <c r="A16" s="55">
        <v>2000719405571</v>
      </c>
      <c r="B16" s="56" t="s">
        <v>1640</v>
      </c>
      <c r="C16" s="56" t="s">
        <v>1641</v>
      </c>
      <c r="D16" s="56" t="s">
        <v>3176</v>
      </c>
      <c r="E16" s="58" t="s">
        <v>677</v>
      </c>
      <c r="F16" s="56" t="s">
        <v>683</v>
      </c>
      <c r="G16" s="60" t="s">
        <v>3177</v>
      </c>
      <c r="H16" s="56"/>
      <c r="I16" s="55" t="s">
        <v>602</v>
      </c>
      <c r="J16" s="56"/>
      <c r="K16" s="56"/>
    </row>
    <row r="17" spans="1:11" s="59" customFormat="1">
      <c r="A17" s="55">
        <v>2000719405571</v>
      </c>
      <c r="B17" s="56" t="s">
        <v>1305</v>
      </c>
      <c r="C17" s="56" t="s">
        <v>1306</v>
      </c>
      <c r="D17" s="56" t="s">
        <v>3178</v>
      </c>
      <c r="E17" s="58" t="s">
        <v>792</v>
      </c>
      <c r="F17" s="56" t="s">
        <v>793</v>
      </c>
      <c r="G17" s="60" t="s">
        <v>3179</v>
      </c>
      <c r="H17" s="56"/>
      <c r="I17" s="55" t="s">
        <v>602</v>
      </c>
      <c r="J17" s="56"/>
      <c r="K17" s="56"/>
    </row>
    <row r="18" spans="1:11" s="59" customFormat="1">
      <c r="A18" s="55">
        <v>2000719405571</v>
      </c>
      <c r="B18" s="56" t="s">
        <v>790</v>
      </c>
      <c r="C18" s="56" t="s">
        <v>791</v>
      </c>
      <c r="D18" s="56" t="s">
        <v>3180</v>
      </c>
      <c r="E18" s="58" t="s">
        <v>792</v>
      </c>
      <c r="F18" s="56" t="s">
        <v>793</v>
      </c>
      <c r="G18" s="60" t="s">
        <v>3181</v>
      </c>
      <c r="H18" s="56"/>
      <c r="I18" s="55" t="s">
        <v>602</v>
      </c>
      <c r="J18" s="56"/>
      <c r="K18" s="56"/>
    </row>
    <row r="19" spans="1:11" s="59" customFormat="1">
      <c r="A19" s="55">
        <v>2000719405571</v>
      </c>
      <c r="B19" s="56" t="s">
        <v>1334</v>
      </c>
      <c r="C19" s="56" t="s">
        <v>1335</v>
      </c>
      <c r="D19" s="56" t="s">
        <v>3182</v>
      </c>
      <c r="E19" s="58" t="s">
        <v>677</v>
      </c>
      <c r="F19" s="56" t="s">
        <v>683</v>
      </c>
      <c r="G19" s="60" t="s">
        <v>3183</v>
      </c>
      <c r="H19" s="56"/>
      <c r="I19" s="55" t="s">
        <v>602</v>
      </c>
      <c r="J19" s="56"/>
      <c r="K19" s="56"/>
    </row>
    <row r="20" spans="1:11" s="59" customFormat="1">
      <c r="A20" s="55">
        <v>2000719405571</v>
      </c>
      <c r="B20" s="56" t="s">
        <v>1468</v>
      </c>
      <c r="C20" s="56" t="s">
        <v>1469</v>
      </c>
      <c r="D20" s="56" t="s">
        <v>3184</v>
      </c>
      <c r="E20" s="67" t="s">
        <v>677</v>
      </c>
      <c r="F20" s="56" t="s">
        <v>683</v>
      </c>
      <c r="G20" s="68" t="s">
        <v>268</v>
      </c>
      <c r="H20" s="56"/>
      <c r="I20" s="55" t="s">
        <v>602</v>
      </c>
      <c r="J20" s="56"/>
      <c r="K20" s="56"/>
    </row>
    <row r="21" spans="1:11" s="66" customFormat="1">
      <c r="A21" s="61">
        <v>2000719405571</v>
      </c>
      <c r="B21" s="62"/>
      <c r="C21" s="62"/>
      <c r="D21" s="62"/>
      <c r="E21" s="63"/>
      <c r="F21" s="62" t="s">
        <v>683</v>
      </c>
      <c r="G21" s="69" t="s">
        <v>3185</v>
      </c>
      <c r="H21" s="62"/>
      <c r="I21" s="55" t="s">
        <v>602</v>
      </c>
      <c r="J21" s="62"/>
      <c r="K21" s="62"/>
    </row>
    <row r="22" spans="1:11" s="66" customFormat="1">
      <c r="A22" s="61">
        <v>2000719405571</v>
      </c>
      <c r="B22" s="62"/>
      <c r="C22" s="62"/>
      <c r="D22" s="62"/>
      <c r="E22" s="63"/>
      <c r="F22" s="62" t="s">
        <v>683</v>
      </c>
      <c r="G22" s="69" t="s">
        <v>3186</v>
      </c>
      <c r="H22" s="62"/>
      <c r="I22" s="55" t="s">
        <v>602</v>
      </c>
      <c r="J22" s="62"/>
      <c r="K22" s="62"/>
    </row>
    <row r="23" spans="1:11" s="66" customFormat="1">
      <c r="A23" s="61">
        <v>2000719405571</v>
      </c>
      <c r="B23" s="62"/>
      <c r="C23" s="62"/>
      <c r="D23" s="62"/>
      <c r="E23" s="63"/>
      <c r="F23" s="62" t="s">
        <v>3187</v>
      </c>
      <c r="G23" s="65" t="s">
        <v>3188</v>
      </c>
      <c r="H23" s="62"/>
      <c r="I23" s="55" t="s">
        <v>602</v>
      </c>
      <c r="J23" s="62"/>
      <c r="K23" s="62"/>
    </row>
    <row r="24" spans="1:11" s="66" customFormat="1">
      <c r="A24" s="61">
        <v>2000719405571</v>
      </c>
      <c r="B24" s="62"/>
      <c r="C24" s="62"/>
      <c r="D24" s="62"/>
      <c r="E24" s="63"/>
      <c r="F24" s="62" t="s">
        <v>683</v>
      </c>
      <c r="G24" s="65" t="s">
        <v>3189</v>
      </c>
      <c r="H24" s="62"/>
      <c r="I24" s="55" t="s">
        <v>602</v>
      </c>
      <c r="J24" s="62"/>
      <c r="K24" s="62"/>
    </row>
    <row r="25" spans="1:11" s="74" customFormat="1">
      <c r="A25" s="70"/>
      <c r="B25" s="71"/>
      <c r="C25" s="71"/>
      <c r="D25" s="71" t="s">
        <v>3190</v>
      </c>
      <c r="E25" s="72"/>
      <c r="F25" s="71" t="s">
        <v>3191</v>
      </c>
      <c r="G25" s="73"/>
      <c r="H25" s="71" t="s">
        <v>3192</v>
      </c>
      <c r="I25" s="55" t="s">
        <v>602</v>
      </c>
      <c r="J25" s="71"/>
      <c r="K25" s="71"/>
    </row>
    <row r="26" spans="1:11" s="74" customFormat="1">
      <c r="A26" s="70"/>
      <c r="B26" s="71"/>
      <c r="C26" s="71"/>
      <c r="D26" s="71" t="s">
        <v>3193</v>
      </c>
      <c r="E26" s="72"/>
      <c r="F26" s="71" t="s">
        <v>3191</v>
      </c>
      <c r="G26" s="73"/>
      <c r="H26" s="71" t="s">
        <v>3194</v>
      </c>
      <c r="I26" s="55" t="s">
        <v>602</v>
      </c>
      <c r="J26" s="71"/>
      <c r="K26" s="71"/>
    </row>
    <row r="27" spans="1:11" s="74" customFormat="1">
      <c r="A27" s="70"/>
      <c r="B27" s="71"/>
      <c r="C27" s="71"/>
      <c r="D27" s="71" t="s">
        <v>3195</v>
      </c>
      <c r="E27" s="72"/>
      <c r="F27" s="71" t="s">
        <v>3191</v>
      </c>
      <c r="G27" s="73"/>
      <c r="H27" s="71" t="s">
        <v>3196</v>
      </c>
      <c r="I27" s="55" t="s">
        <v>602</v>
      </c>
      <c r="J27" s="71"/>
      <c r="K27" s="71"/>
    </row>
    <row r="28" spans="1:11" s="59" customFormat="1" ht="15.75" customHeight="1">
      <c r="A28" s="55"/>
      <c r="B28" s="56" t="s">
        <v>675</v>
      </c>
      <c r="C28" s="56" t="s">
        <v>676</v>
      </c>
      <c r="D28" s="56" t="s">
        <v>3197</v>
      </c>
      <c r="E28" s="58" t="s">
        <v>677</v>
      </c>
      <c r="F28" s="56" t="s">
        <v>678</v>
      </c>
      <c r="G28" s="68" t="s">
        <v>3198</v>
      </c>
      <c r="H28" s="56" t="s">
        <v>679</v>
      </c>
      <c r="I28" s="55" t="s">
        <v>602</v>
      </c>
      <c r="J28" s="56"/>
      <c r="K28" s="56"/>
    </row>
    <row r="29" spans="1:11" s="66" customFormat="1">
      <c r="A29" s="61"/>
      <c r="B29" s="62"/>
      <c r="C29" s="62"/>
      <c r="D29" s="62" t="s">
        <v>3199</v>
      </c>
      <c r="E29" s="63"/>
      <c r="F29" s="62" t="s">
        <v>678</v>
      </c>
      <c r="G29" s="69"/>
      <c r="H29" s="62" t="s">
        <v>3200</v>
      </c>
      <c r="I29" s="55" t="s">
        <v>602</v>
      </c>
      <c r="J29" s="62"/>
      <c r="K29" s="62"/>
    </row>
    <row r="30" spans="1:11" s="59" customFormat="1">
      <c r="A30" s="55"/>
      <c r="B30" s="56" t="s">
        <v>1286</v>
      </c>
      <c r="C30" s="56" t="s">
        <v>1287</v>
      </c>
      <c r="D30" s="56" t="s">
        <v>3201</v>
      </c>
      <c r="E30" s="58" t="s">
        <v>677</v>
      </c>
      <c r="F30" s="56" t="s">
        <v>678</v>
      </c>
      <c r="G30" s="68" t="s">
        <v>3202</v>
      </c>
      <c r="H30" s="56" t="s">
        <v>1288</v>
      </c>
      <c r="I30" s="55" t="s">
        <v>602</v>
      </c>
      <c r="J30" s="56"/>
      <c r="K30" s="56"/>
    </row>
    <row r="31" spans="1:11" s="59" customFormat="1">
      <c r="A31" s="55"/>
      <c r="B31" s="56" t="s">
        <v>1457</v>
      </c>
      <c r="C31" s="56" t="s">
        <v>1458</v>
      </c>
      <c r="D31" s="56" t="s">
        <v>3203</v>
      </c>
      <c r="E31" s="58" t="s">
        <v>1459</v>
      </c>
      <c r="F31" s="56" t="s">
        <v>678</v>
      </c>
      <c r="G31" s="68" t="s">
        <v>3204</v>
      </c>
      <c r="H31" s="56" t="s">
        <v>1460</v>
      </c>
      <c r="I31" s="55" t="s">
        <v>602</v>
      </c>
      <c r="J31" s="56"/>
      <c r="K31" s="56"/>
    </row>
    <row r="32" spans="1:11" s="59" customFormat="1">
      <c r="A32" s="75"/>
      <c r="B32" s="76" t="s">
        <v>922</v>
      </c>
      <c r="C32" s="76" t="s">
        <v>923</v>
      </c>
      <c r="D32" s="76" t="s">
        <v>3205</v>
      </c>
      <c r="E32" s="77" t="s">
        <v>677</v>
      </c>
      <c r="F32" s="76" t="s">
        <v>678</v>
      </c>
      <c r="G32" s="78" t="s">
        <v>3206</v>
      </c>
      <c r="H32" s="76" t="s">
        <v>924</v>
      </c>
      <c r="I32" s="55" t="s">
        <v>602</v>
      </c>
      <c r="J32" s="76"/>
      <c r="K32" s="76"/>
    </row>
    <row r="33" spans="1:11" s="59" customFormat="1">
      <c r="A33" s="55">
        <v>192549800</v>
      </c>
      <c r="B33" s="56"/>
      <c r="C33" s="56"/>
      <c r="D33" s="56" t="s">
        <v>3207</v>
      </c>
      <c r="E33" s="58" t="s">
        <v>3208</v>
      </c>
      <c r="F33" s="56" t="s">
        <v>3209</v>
      </c>
      <c r="G33" s="68"/>
      <c r="H33" s="56"/>
      <c r="I33" s="55" t="s">
        <v>602</v>
      </c>
      <c r="J33" s="79"/>
      <c r="K33" s="56"/>
    </row>
    <row r="34" spans="1:11" s="59" customFormat="1">
      <c r="A34" s="55">
        <v>192549800</v>
      </c>
      <c r="B34" s="56"/>
      <c r="C34" s="56"/>
      <c r="D34" s="56" t="s">
        <v>3210</v>
      </c>
      <c r="E34" s="58" t="s">
        <v>3211</v>
      </c>
      <c r="F34" s="56" t="s">
        <v>3209</v>
      </c>
      <c r="G34" s="68"/>
      <c r="H34" s="56"/>
      <c r="I34" s="55" t="s">
        <v>602</v>
      </c>
      <c r="J34" s="79"/>
      <c r="K34" s="56"/>
    </row>
    <row r="35" spans="1:11" s="59" customFormat="1">
      <c r="A35" s="55">
        <v>192549800</v>
      </c>
      <c r="B35" s="56"/>
      <c r="C35" s="56"/>
      <c r="D35" s="56" t="s">
        <v>3212</v>
      </c>
      <c r="E35" s="58" t="s">
        <v>3213</v>
      </c>
      <c r="F35" s="56" t="s">
        <v>3209</v>
      </c>
      <c r="G35" s="68"/>
      <c r="H35" s="56"/>
      <c r="I35" s="55" t="s">
        <v>602</v>
      </c>
      <c r="J35" s="79"/>
      <c r="K35" s="56"/>
    </row>
    <row r="36" spans="1:11" s="59" customFormat="1">
      <c r="A36" s="55">
        <v>192549800</v>
      </c>
      <c r="B36" s="56"/>
      <c r="C36" s="56"/>
      <c r="D36" s="56" t="s">
        <v>3214</v>
      </c>
      <c r="E36" s="58" t="s">
        <v>3215</v>
      </c>
      <c r="F36" s="56" t="s">
        <v>3209</v>
      </c>
      <c r="G36" s="68"/>
      <c r="H36" s="56"/>
      <c r="I36" s="55" t="s">
        <v>602</v>
      </c>
      <c r="J36" s="79"/>
      <c r="K36" s="56"/>
    </row>
    <row r="37" spans="1:11" s="59" customFormat="1">
      <c r="A37" s="55">
        <v>192549800</v>
      </c>
      <c r="B37" s="56"/>
      <c r="C37" s="56"/>
      <c r="D37" s="56" t="s">
        <v>3216</v>
      </c>
      <c r="E37" s="58" t="s">
        <v>3217</v>
      </c>
      <c r="F37" s="56" t="s">
        <v>3209</v>
      </c>
      <c r="G37" s="68"/>
      <c r="H37" s="56"/>
      <c r="I37" s="55" t="s">
        <v>602</v>
      </c>
      <c r="J37" s="79"/>
      <c r="K37" s="56"/>
    </row>
    <row r="38" spans="1:11" s="59" customFormat="1">
      <c r="A38" s="55">
        <v>192549800</v>
      </c>
      <c r="B38" s="56"/>
      <c r="C38" s="56"/>
      <c r="D38" s="56" t="s">
        <v>3218</v>
      </c>
      <c r="E38" s="58" t="s">
        <v>3219</v>
      </c>
      <c r="F38" s="56" t="s">
        <v>3209</v>
      </c>
      <c r="G38" s="68"/>
      <c r="H38" s="56"/>
      <c r="I38" s="55" t="s">
        <v>602</v>
      </c>
      <c r="J38" s="79"/>
      <c r="K38" s="56"/>
    </row>
    <row r="39" spans="1:11" s="59" customFormat="1">
      <c r="A39" s="55">
        <v>192549800</v>
      </c>
      <c r="B39" s="56"/>
      <c r="C39" s="56"/>
      <c r="D39" s="56" t="s">
        <v>3220</v>
      </c>
      <c r="E39" s="58" t="s">
        <v>3221</v>
      </c>
      <c r="F39" s="56" t="s">
        <v>3209</v>
      </c>
      <c r="G39" s="68"/>
      <c r="H39" s="56"/>
      <c r="I39" s="55" t="s">
        <v>602</v>
      </c>
      <c r="J39" s="79"/>
      <c r="K39" s="56"/>
    </row>
    <row r="40" spans="1:11" s="59" customFormat="1">
      <c r="A40" s="55">
        <v>192549800</v>
      </c>
      <c r="B40" s="56"/>
      <c r="C40" s="56"/>
      <c r="D40" s="56" t="s">
        <v>3222</v>
      </c>
      <c r="E40" s="58" t="s">
        <v>3223</v>
      </c>
      <c r="F40" s="56" t="s">
        <v>3209</v>
      </c>
      <c r="G40" s="68"/>
      <c r="H40" s="56"/>
      <c r="I40" s="55" t="s">
        <v>602</v>
      </c>
      <c r="J40" s="79"/>
      <c r="K40" s="56"/>
    </row>
    <row r="41" spans="1:11" s="59" customFormat="1">
      <c r="A41" s="55">
        <v>192549800</v>
      </c>
      <c r="B41" s="56"/>
      <c r="C41" s="56"/>
      <c r="D41" s="56" t="s">
        <v>3224</v>
      </c>
      <c r="E41" s="58" t="s">
        <v>3225</v>
      </c>
      <c r="F41" s="56" t="s">
        <v>3209</v>
      </c>
      <c r="G41" s="68"/>
      <c r="H41" s="56"/>
      <c r="I41" s="55" t="s">
        <v>602</v>
      </c>
      <c r="J41" s="79"/>
      <c r="K41" s="56"/>
    </row>
    <row r="42" spans="1:11" s="59" customFormat="1">
      <c r="A42" s="55">
        <v>192549800</v>
      </c>
      <c r="B42" s="56"/>
      <c r="C42" s="56"/>
      <c r="D42" s="56" t="s">
        <v>3226</v>
      </c>
      <c r="E42" s="58" t="s">
        <v>3227</v>
      </c>
      <c r="F42" s="56" t="s">
        <v>3209</v>
      </c>
      <c r="G42" s="68"/>
      <c r="H42" s="56"/>
      <c r="I42" s="55" t="s">
        <v>602</v>
      </c>
      <c r="J42" s="79"/>
      <c r="K42" s="56"/>
    </row>
    <row r="43" spans="1:11" s="59" customFormat="1">
      <c r="A43" s="55">
        <v>192549800</v>
      </c>
      <c r="B43" s="56"/>
      <c r="C43" s="56"/>
      <c r="D43" s="56" t="s">
        <v>3228</v>
      </c>
      <c r="E43" s="58" t="s">
        <v>3229</v>
      </c>
      <c r="F43" s="56" t="s">
        <v>3209</v>
      </c>
      <c r="G43" s="68"/>
      <c r="H43" s="56"/>
      <c r="I43" s="55" t="s">
        <v>602</v>
      </c>
      <c r="J43" s="79"/>
      <c r="K43" s="56"/>
    </row>
    <row r="44" spans="1:11" s="59" customFormat="1">
      <c r="A44" s="55">
        <v>192549800</v>
      </c>
      <c r="B44" s="56"/>
      <c r="C44" s="56"/>
      <c r="D44" s="56" t="s">
        <v>3230</v>
      </c>
      <c r="E44" s="58" t="s">
        <v>3231</v>
      </c>
      <c r="F44" s="56" t="s">
        <v>3209</v>
      </c>
      <c r="G44" s="68"/>
      <c r="H44" s="56"/>
      <c r="I44" s="55" t="s">
        <v>602</v>
      </c>
      <c r="J44" s="79"/>
      <c r="K44" s="56"/>
    </row>
    <row r="45" spans="1:11" s="59" customFormat="1">
      <c r="A45" s="55">
        <v>192549800</v>
      </c>
      <c r="B45" s="56"/>
      <c r="C45" s="56"/>
      <c r="D45" s="56" t="s">
        <v>3232</v>
      </c>
      <c r="E45" s="58" t="s">
        <v>3233</v>
      </c>
      <c r="F45" s="56" t="s">
        <v>3209</v>
      </c>
      <c r="G45" s="68"/>
      <c r="H45" s="56"/>
      <c r="I45" s="55" t="s">
        <v>602</v>
      </c>
      <c r="J45" s="79"/>
      <c r="K45" s="56"/>
    </row>
    <row r="46" spans="1:11" s="59" customFormat="1">
      <c r="A46" s="55">
        <v>192549800</v>
      </c>
      <c r="B46" s="56"/>
      <c r="C46" s="56"/>
      <c r="D46" s="56" t="s">
        <v>3234</v>
      </c>
      <c r="E46" s="58" t="s">
        <v>3235</v>
      </c>
      <c r="F46" s="56" t="s">
        <v>3209</v>
      </c>
      <c r="G46" s="68"/>
      <c r="H46" s="56"/>
      <c r="I46" s="55" t="s">
        <v>602</v>
      </c>
      <c r="J46" s="79"/>
      <c r="K46" s="56"/>
    </row>
    <row r="47" spans="1:11" s="59" customFormat="1">
      <c r="A47" s="55">
        <v>192549800</v>
      </c>
      <c r="B47" s="56"/>
      <c r="C47" s="56"/>
      <c r="D47" s="56" t="s">
        <v>3236</v>
      </c>
      <c r="E47" s="58" t="s">
        <v>3237</v>
      </c>
      <c r="F47" s="56" t="s">
        <v>3209</v>
      </c>
      <c r="G47" s="68"/>
      <c r="H47" s="56"/>
      <c r="I47" s="55" t="s">
        <v>602</v>
      </c>
      <c r="J47" s="79"/>
      <c r="K47" s="56"/>
    </row>
    <row r="48" spans="1:11" s="59" customFormat="1">
      <c r="A48" s="55">
        <v>192549800</v>
      </c>
      <c r="B48" s="56"/>
      <c r="C48" s="56"/>
      <c r="D48" s="56" t="s">
        <v>3238</v>
      </c>
      <c r="E48" s="58" t="s">
        <v>3239</v>
      </c>
      <c r="F48" s="56" t="s">
        <v>3209</v>
      </c>
      <c r="G48" s="68"/>
      <c r="H48" s="56"/>
      <c r="I48" s="55" t="s">
        <v>602</v>
      </c>
      <c r="J48" s="79"/>
      <c r="K48" s="56"/>
    </row>
    <row r="49" spans="1:11" s="59" customFormat="1">
      <c r="A49" s="55">
        <v>192549800</v>
      </c>
      <c r="B49" s="56"/>
      <c r="C49" s="56"/>
      <c r="D49" s="56" t="s">
        <v>3240</v>
      </c>
      <c r="E49" s="58" t="s">
        <v>3241</v>
      </c>
      <c r="F49" s="56" t="s">
        <v>3209</v>
      </c>
      <c r="G49" s="68"/>
      <c r="H49" s="56"/>
      <c r="I49" s="55" t="s">
        <v>602</v>
      </c>
      <c r="J49" s="79"/>
      <c r="K49" s="56"/>
    </row>
    <row r="50" spans="1:11" s="59" customFormat="1">
      <c r="A50" s="55">
        <v>192549800</v>
      </c>
      <c r="B50" s="56"/>
      <c r="C50" s="56"/>
      <c r="D50" s="56" t="s">
        <v>3242</v>
      </c>
      <c r="E50" s="58" t="s">
        <v>3243</v>
      </c>
      <c r="F50" s="56" t="s">
        <v>3209</v>
      </c>
      <c r="G50" s="68"/>
      <c r="H50" s="56"/>
      <c r="I50" s="55" t="s">
        <v>602</v>
      </c>
      <c r="J50" s="79"/>
      <c r="K50" s="56"/>
    </row>
    <row r="51" spans="1:11" s="59" customFormat="1">
      <c r="A51" s="55">
        <v>192549800</v>
      </c>
      <c r="B51" s="56"/>
      <c r="C51" s="56"/>
      <c r="D51" s="56" t="s">
        <v>3244</v>
      </c>
      <c r="E51" s="58" t="s">
        <v>3245</v>
      </c>
      <c r="F51" s="56" t="s">
        <v>3209</v>
      </c>
      <c r="G51" s="68"/>
      <c r="H51" s="56"/>
      <c r="I51" s="55" t="s">
        <v>602</v>
      </c>
      <c r="J51" s="79"/>
      <c r="K51" s="56"/>
    </row>
    <row r="52" spans="1:11" s="59" customFormat="1">
      <c r="A52" s="55">
        <v>192549800</v>
      </c>
      <c r="B52" s="56"/>
      <c r="C52" s="56"/>
      <c r="D52" s="56" t="s">
        <v>3246</v>
      </c>
      <c r="E52" s="58" t="s">
        <v>3247</v>
      </c>
      <c r="F52" s="56" t="s">
        <v>3209</v>
      </c>
      <c r="G52" s="68"/>
      <c r="H52" s="56"/>
      <c r="I52" s="55" t="s">
        <v>602</v>
      </c>
      <c r="J52" s="79"/>
      <c r="K52" s="56"/>
    </row>
    <row r="53" spans="1:11" s="59" customFormat="1">
      <c r="A53" s="55">
        <v>192549800</v>
      </c>
      <c r="B53" s="56"/>
      <c r="C53" s="56"/>
      <c r="D53" s="56" t="s">
        <v>3248</v>
      </c>
      <c r="E53" s="58" t="s">
        <v>3249</v>
      </c>
      <c r="F53" s="56" t="s">
        <v>3209</v>
      </c>
      <c r="G53" s="68"/>
      <c r="H53" s="56"/>
      <c r="I53" s="55" t="s">
        <v>602</v>
      </c>
      <c r="J53" s="79"/>
      <c r="K53" s="56"/>
    </row>
    <row r="54" spans="1:11" s="59" customFormat="1">
      <c r="A54" s="55">
        <v>192549800</v>
      </c>
      <c r="B54" s="56"/>
      <c r="C54" s="56"/>
      <c r="D54" s="56" t="s">
        <v>3250</v>
      </c>
      <c r="E54" s="58" t="s">
        <v>3251</v>
      </c>
      <c r="F54" s="56" t="s">
        <v>3209</v>
      </c>
      <c r="G54" s="68"/>
      <c r="H54" s="56"/>
      <c r="I54" s="55" t="s">
        <v>602</v>
      </c>
      <c r="J54" s="79"/>
      <c r="K54" s="56"/>
    </row>
    <row r="55" spans="1:11" s="59" customFormat="1">
      <c r="A55" s="55">
        <v>192549800</v>
      </c>
      <c r="B55" s="56"/>
      <c r="C55" s="56"/>
      <c r="D55" s="56" t="s">
        <v>3252</v>
      </c>
      <c r="E55" s="58" t="s">
        <v>3253</v>
      </c>
      <c r="F55" s="56" t="s">
        <v>3209</v>
      </c>
      <c r="G55" s="68"/>
      <c r="H55" s="56"/>
      <c r="I55" s="55" t="s">
        <v>602</v>
      </c>
      <c r="J55" s="79"/>
      <c r="K55" s="56"/>
    </row>
    <row r="56" spans="1:11" s="59" customFormat="1">
      <c r="A56" s="55">
        <v>192549800</v>
      </c>
      <c r="B56" s="56"/>
      <c r="C56" s="56"/>
      <c r="D56" s="56" t="s">
        <v>3254</v>
      </c>
      <c r="E56" s="58" t="s">
        <v>3255</v>
      </c>
      <c r="F56" s="56" t="s">
        <v>3209</v>
      </c>
      <c r="G56" s="68"/>
      <c r="H56" s="56"/>
      <c r="I56" s="55" t="s">
        <v>602</v>
      </c>
      <c r="J56" s="79"/>
      <c r="K56" s="56"/>
    </row>
    <row r="57" spans="1:11" s="59" customFormat="1">
      <c r="A57" s="55">
        <v>192549800</v>
      </c>
      <c r="B57" s="56"/>
      <c r="C57" s="56"/>
      <c r="D57" s="56" t="s">
        <v>3256</v>
      </c>
      <c r="E57" s="58" t="s">
        <v>3257</v>
      </c>
      <c r="F57" s="56" t="s">
        <v>3209</v>
      </c>
      <c r="G57" s="68"/>
      <c r="H57" s="56"/>
      <c r="I57" s="55" t="s">
        <v>602</v>
      </c>
      <c r="J57" s="79"/>
      <c r="K57" s="56"/>
    </row>
    <row r="58" spans="1:11" s="59" customFormat="1">
      <c r="A58" s="55">
        <v>192549800</v>
      </c>
      <c r="B58" s="56"/>
      <c r="C58" s="56"/>
      <c r="D58" s="56" t="s">
        <v>3258</v>
      </c>
      <c r="E58" s="58" t="s">
        <v>3259</v>
      </c>
      <c r="F58" s="56" t="s">
        <v>3209</v>
      </c>
      <c r="G58" s="68"/>
      <c r="H58" s="56"/>
      <c r="I58" s="55" t="s">
        <v>602</v>
      </c>
      <c r="J58" s="79"/>
      <c r="K58" s="56"/>
    </row>
    <row r="59" spans="1:11" s="59" customFormat="1">
      <c r="A59" s="55">
        <v>192549800</v>
      </c>
      <c r="B59" s="56"/>
      <c r="C59" s="56"/>
      <c r="D59" s="56" t="s">
        <v>3260</v>
      </c>
      <c r="E59" s="58" t="s">
        <v>3261</v>
      </c>
      <c r="F59" s="56" t="s">
        <v>3209</v>
      </c>
      <c r="G59" s="68"/>
      <c r="H59" s="56"/>
      <c r="I59" s="55" t="s">
        <v>602</v>
      </c>
      <c r="J59" s="79"/>
      <c r="K59" s="56"/>
    </row>
    <row r="60" spans="1:11" s="59" customFormat="1">
      <c r="A60" s="55">
        <v>192549800</v>
      </c>
      <c r="B60" s="56"/>
      <c r="C60" s="56"/>
      <c r="D60" s="56" t="s">
        <v>3262</v>
      </c>
      <c r="E60" s="58" t="s">
        <v>3263</v>
      </c>
      <c r="F60" s="56" t="s">
        <v>3209</v>
      </c>
      <c r="G60" s="68"/>
      <c r="H60" s="56"/>
      <c r="I60" s="55" t="s">
        <v>602</v>
      </c>
      <c r="J60" s="79"/>
      <c r="K60" s="56"/>
    </row>
    <row r="61" spans="1:11" s="59" customFormat="1">
      <c r="A61" s="55">
        <v>192549800</v>
      </c>
      <c r="B61" s="56"/>
      <c r="C61" s="56"/>
      <c r="D61" s="56" t="s">
        <v>3264</v>
      </c>
      <c r="E61" s="58" t="s">
        <v>3265</v>
      </c>
      <c r="F61" s="56" t="s">
        <v>3209</v>
      </c>
      <c r="G61" s="68"/>
      <c r="H61" s="56"/>
      <c r="I61" s="55" t="s">
        <v>602</v>
      </c>
      <c r="J61" s="79"/>
      <c r="K61" s="56"/>
    </row>
    <row r="62" spans="1:11" s="59" customFormat="1">
      <c r="A62" s="55">
        <v>192549800</v>
      </c>
      <c r="B62" s="56"/>
      <c r="C62" s="56"/>
      <c r="D62" s="56" t="s">
        <v>3266</v>
      </c>
      <c r="E62" s="58" t="s">
        <v>3267</v>
      </c>
      <c r="F62" s="56" t="s">
        <v>3209</v>
      </c>
      <c r="G62" s="68"/>
      <c r="H62" s="56"/>
      <c r="I62" s="55" t="s">
        <v>602</v>
      </c>
      <c r="J62" s="79"/>
      <c r="K62" s="56"/>
    </row>
    <row r="63" spans="1:11" s="59" customFormat="1">
      <c r="A63" s="55">
        <v>192549800</v>
      </c>
      <c r="B63" s="56" t="s">
        <v>1262</v>
      </c>
      <c r="C63" s="56" t="s">
        <v>3268</v>
      </c>
      <c r="D63" s="56" t="s">
        <v>3269</v>
      </c>
      <c r="E63" s="58"/>
      <c r="F63" s="56" t="s">
        <v>1268</v>
      </c>
      <c r="G63" s="68"/>
      <c r="H63" s="56" t="s">
        <v>3270</v>
      </c>
      <c r="I63" s="55" t="s">
        <v>602</v>
      </c>
      <c r="J63" s="79"/>
      <c r="K63" s="56"/>
    </row>
    <row r="64" spans="1:11" s="59" customFormat="1">
      <c r="A64" s="55">
        <v>192549800</v>
      </c>
      <c r="B64" s="56" t="s">
        <v>1473</v>
      </c>
      <c r="C64" s="57" t="s">
        <v>1474</v>
      </c>
      <c r="D64" s="56" t="s">
        <v>3271</v>
      </c>
      <c r="E64" s="58"/>
      <c r="F64" s="56" t="s">
        <v>1417</v>
      </c>
      <c r="G64" s="68"/>
      <c r="H64" s="56" t="s">
        <v>1475</v>
      </c>
      <c r="I64" s="55" t="s">
        <v>602</v>
      </c>
      <c r="J64" s="79"/>
      <c r="K64" s="56"/>
    </row>
    <row r="65" spans="1:11" s="59" customFormat="1">
      <c r="A65" s="55">
        <v>192549800</v>
      </c>
      <c r="B65" s="56" t="s">
        <v>1473</v>
      </c>
      <c r="C65" s="56" t="s">
        <v>1474</v>
      </c>
      <c r="D65" s="56" t="s">
        <v>3272</v>
      </c>
      <c r="E65" s="58"/>
      <c r="F65" s="56" t="s">
        <v>1268</v>
      </c>
      <c r="G65" s="68"/>
      <c r="H65" s="56" t="s">
        <v>3273</v>
      </c>
      <c r="I65" s="55" t="s">
        <v>602</v>
      </c>
      <c r="J65" s="79"/>
      <c r="K65" s="56"/>
    </row>
    <row r="66" spans="1:11" s="59" customFormat="1">
      <c r="A66" s="55">
        <v>192549800</v>
      </c>
      <c r="B66" s="56" t="s">
        <v>1427</v>
      </c>
      <c r="C66" s="56" t="s">
        <v>1428</v>
      </c>
      <c r="D66" s="56" t="s">
        <v>3274</v>
      </c>
      <c r="E66" s="58"/>
      <c r="F66" s="56" t="s">
        <v>1417</v>
      </c>
      <c r="G66" s="68"/>
      <c r="H66" s="56" t="s">
        <v>1429</v>
      </c>
      <c r="I66" s="55" t="s">
        <v>602</v>
      </c>
      <c r="J66" s="79"/>
      <c r="K66" s="56"/>
    </row>
    <row r="67" spans="1:11" s="59" customFormat="1">
      <c r="A67" s="55">
        <v>192549800</v>
      </c>
      <c r="B67" s="56" t="s">
        <v>1427</v>
      </c>
      <c r="C67" s="56" t="s">
        <v>1428</v>
      </c>
      <c r="D67" s="56" t="s">
        <v>3275</v>
      </c>
      <c r="E67" s="58"/>
      <c r="F67" s="56" t="s">
        <v>1268</v>
      </c>
      <c r="G67" s="68"/>
      <c r="H67" s="56" t="s">
        <v>1429</v>
      </c>
      <c r="I67" s="55" t="s">
        <v>602</v>
      </c>
      <c r="J67" s="79"/>
      <c r="K67" s="56"/>
    </row>
    <row r="68" spans="1:11" s="59" customFormat="1">
      <c r="A68" s="55">
        <v>192549800</v>
      </c>
      <c r="B68" s="56" t="s">
        <v>1586</v>
      </c>
      <c r="C68" s="56" t="s">
        <v>1587</v>
      </c>
      <c r="D68" s="56" t="s">
        <v>3276</v>
      </c>
      <c r="E68" s="58"/>
      <c r="F68" s="56" t="s">
        <v>1268</v>
      </c>
      <c r="G68" s="68"/>
      <c r="H68" s="56" t="s">
        <v>1588</v>
      </c>
      <c r="I68" s="55" t="s">
        <v>602</v>
      </c>
      <c r="J68" s="79"/>
      <c r="K68" s="56"/>
    </row>
    <row r="69" spans="1:11" s="59" customFormat="1">
      <c r="A69" s="55">
        <v>192549800</v>
      </c>
      <c r="B69" s="56" t="s">
        <v>1586</v>
      </c>
      <c r="C69" s="56" t="s">
        <v>1587</v>
      </c>
      <c r="D69" s="56" t="s">
        <v>3277</v>
      </c>
      <c r="E69" s="58"/>
      <c r="F69" s="56" t="s">
        <v>1417</v>
      </c>
      <c r="G69" s="68"/>
      <c r="H69" s="56" t="s">
        <v>1588</v>
      </c>
      <c r="I69" s="55" t="s">
        <v>602</v>
      </c>
      <c r="J69" s="79"/>
      <c r="K69" s="56"/>
    </row>
    <row r="70" spans="1:11" s="59" customFormat="1">
      <c r="A70" s="55">
        <v>192549800</v>
      </c>
      <c r="B70" s="56" t="s">
        <v>1415</v>
      </c>
      <c r="C70" s="56" t="s">
        <v>1416</v>
      </c>
      <c r="D70" s="56" t="s">
        <v>3278</v>
      </c>
      <c r="E70" s="58"/>
      <c r="F70" s="56" t="s">
        <v>1417</v>
      </c>
      <c r="G70" s="68"/>
      <c r="H70" s="56" t="s">
        <v>1418</v>
      </c>
      <c r="I70" s="55" t="s">
        <v>602</v>
      </c>
      <c r="J70" s="79"/>
      <c r="K70" s="56"/>
    </row>
    <row r="71" spans="1:11" s="59" customFormat="1">
      <c r="A71" s="55">
        <v>192549800</v>
      </c>
      <c r="B71" s="56" t="s">
        <v>1350</v>
      </c>
      <c r="C71" s="56" t="s">
        <v>1351</v>
      </c>
      <c r="D71" s="56" t="s">
        <v>3279</v>
      </c>
      <c r="E71" s="58"/>
      <c r="F71" s="56" t="s">
        <v>1268</v>
      </c>
      <c r="G71" s="68"/>
      <c r="H71" s="56" t="s">
        <v>1352</v>
      </c>
      <c r="I71" s="55" t="s">
        <v>602</v>
      </c>
      <c r="J71" s="79"/>
      <c r="K71" s="56"/>
    </row>
    <row r="72" spans="1:11" s="59" customFormat="1">
      <c r="A72" s="55">
        <v>192549800</v>
      </c>
      <c r="B72" s="56" t="s">
        <v>1579</v>
      </c>
      <c r="C72" s="56" t="s">
        <v>1580</v>
      </c>
      <c r="D72" s="56" t="s">
        <v>3280</v>
      </c>
      <c r="E72" s="58"/>
      <c r="F72" s="56" t="s">
        <v>1417</v>
      </c>
      <c r="G72" s="68"/>
      <c r="H72" s="56" t="s">
        <v>1581</v>
      </c>
      <c r="I72" s="55" t="s">
        <v>602</v>
      </c>
      <c r="J72" s="79"/>
      <c r="K72" s="56"/>
    </row>
    <row r="73" spans="1:11" s="59" customFormat="1">
      <c r="A73" s="55">
        <v>192549800</v>
      </c>
      <c r="B73" s="56" t="s">
        <v>1579</v>
      </c>
      <c r="C73" s="56" t="s">
        <v>1580</v>
      </c>
      <c r="D73" s="56" t="s">
        <v>3281</v>
      </c>
      <c r="E73" s="58"/>
      <c r="F73" s="56" t="s">
        <v>1268</v>
      </c>
      <c r="G73" s="68"/>
      <c r="H73" s="56" t="s">
        <v>1581</v>
      </c>
      <c r="I73" s="55" t="s">
        <v>602</v>
      </c>
      <c r="J73" s="79"/>
      <c r="K73" s="56"/>
    </row>
    <row r="74" spans="1:11" s="59" customFormat="1">
      <c r="A74" s="55">
        <v>192549800</v>
      </c>
      <c r="B74" s="56" t="s">
        <v>1350</v>
      </c>
      <c r="C74" s="56" t="s">
        <v>1351</v>
      </c>
      <c r="D74" s="56" t="s">
        <v>3282</v>
      </c>
      <c r="E74" s="58"/>
      <c r="F74" s="56" t="s">
        <v>1417</v>
      </c>
      <c r="G74" s="68"/>
      <c r="H74" s="56" t="s">
        <v>3283</v>
      </c>
      <c r="I74" s="55" t="s">
        <v>602</v>
      </c>
      <c r="J74" s="79"/>
      <c r="K74" s="56"/>
    </row>
    <row r="75" spans="1:11" s="59" customFormat="1">
      <c r="A75" s="55">
        <v>192549800</v>
      </c>
      <c r="B75" s="56" t="s">
        <v>1640</v>
      </c>
      <c r="C75" s="56" t="s">
        <v>3284</v>
      </c>
      <c r="D75" s="56" t="s">
        <v>3285</v>
      </c>
      <c r="E75" s="58"/>
      <c r="F75" s="56" t="s">
        <v>1417</v>
      </c>
      <c r="G75" s="68"/>
      <c r="H75" s="56" t="s">
        <v>3286</v>
      </c>
      <c r="I75" s="55" t="s">
        <v>602</v>
      </c>
      <c r="J75" s="79"/>
      <c r="K75" s="56"/>
    </row>
    <row r="76" spans="1:11" s="59" customFormat="1">
      <c r="A76" s="55">
        <v>192549800</v>
      </c>
      <c r="B76" s="56" t="s">
        <v>1640</v>
      </c>
      <c r="C76" s="56" t="s">
        <v>3284</v>
      </c>
      <c r="D76" s="56" t="s">
        <v>3287</v>
      </c>
      <c r="E76" s="58"/>
      <c r="F76" s="56" t="s">
        <v>1268</v>
      </c>
      <c r="G76" s="68"/>
      <c r="H76" s="56" t="s">
        <v>3286</v>
      </c>
      <c r="I76" s="55" t="s">
        <v>602</v>
      </c>
      <c r="J76" s="79"/>
      <c r="K76" s="56"/>
    </row>
    <row r="77" spans="1:11" s="59" customFormat="1">
      <c r="A77" s="80">
        <v>192549800</v>
      </c>
      <c r="B77" s="81" t="s">
        <v>1679</v>
      </c>
      <c r="C77" s="81" t="s">
        <v>1680</v>
      </c>
      <c r="D77" s="81" t="s">
        <v>3288</v>
      </c>
      <c r="E77" s="82"/>
      <c r="F77" s="81" t="s">
        <v>1268</v>
      </c>
      <c r="G77" s="83"/>
      <c r="H77" s="81" t="s">
        <v>1681</v>
      </c>
      <c r="I77" s="55" t="s">
        <v>602</v>
      </c>
      <c r="J77" s="84"/>
      <c r="K77" s="56"/>
    </row>
    <row r="78" spans="1:11" s="59" customFormat="1">
      <c r="A78" s="55">
        <v>192549800</v>
      </c>
      <c r="B78" s="56" t="s">
        <v>1266</v>
      </c>
      <c r="C78" s="56" t="s">
        <v>1267</v>
      </c>
      <c r="D78" s="56" t="s">
        <v>3289</v>
      </c>
      <c r="E78" s="58"/>
      <c r="F78" s="56" t="s">
        <v>1268</v>
      </c>
      <c r="G78" s="68"/>
      <c r="H78" s="56" t="s">
        <v>1269</v>
      </c>
      <c r="I78" s="55" t="s">
        <v>602</v>
      </c>
      <c r="J78" s="79"/>
      <c r="K78" s="56"/>
    </row>
    <row r="79" spans="1:11" s="59" customFormat="1">
      <c r="A79" s="55">
        <v>192549800</v>
      </c>
      <c r="B79" s="56" t="s">
        <v>1266</v>
      </c>
      <c r="C79" s="56" t="s">
        <v>1267</v>
      </c>
      <c r="D79" s="56" t="s">
        <v>3290</v>
      </c>
      <c r="E79" s="58"/>
      <c r="F79" s="56" t="s">
        <v>1417</v>
      </c>
      <c r="G79" s="68"/>
      <c r="H79" s="56" t="s">
        <v>1269</v>
      </c>
      <c r="I79" s="55" t="s">
        <v>602</v>
      </c>
      <c r="J79" s="79"/>
      <c r="K79" s="56"/>
    </row>
    <row r="80" spans="1:11" s="59" customFormat="1">
      <c r="A80" s="55">
        <v>192549800</v>
      </c>
      <c r="B80" s="56" t="s">
        <v>1442</v>
      </c>
      <c r="C80" s="56" t="s">
        <v>1443</v>
      </c>
      <c r="D80" s="56" t="s">
        <v>3291</v>
      </c>
      <c r="E80" s="58"/>
      <c r="F80" s="56" t="s">
        <v>1268</v>
      </c>
      <c r="G80" s="68"/>
      <c r="H80" s="56" t="s">
        <v>1444</v>
      </c>
      <c r="I80" s="55" t="s">
        <v>602</v>
      </c>
      <c r="J80" s="79"/>
      <c r="K80" s="56"/>
    </row>
    <row r="81" spans="1:11" s="59" customFormat="1">
      <c r="A81" s="55">
        <v>192549800</v>
      </c>
      <c r="B81" s="56" t="s">
        <v>1442</v>
      </c>
      <c r="C81" s="56" t="s">
        <v>1443</v>
      </c>
      <c r="D81" s="56" t="s">
        <v>3292</v>
      </c>
      <c r="E81" s="58"/>
      <c r="F81" s="56" t="s">
        <v>1417</v>
      </c>
      <c r="G81" s="68"/>
      <c r="H81" s="56" t="s">
        <v>1444</v>
      </c>
      <c r="I81" s="55" t="s">
        <v>602</v>
      </c>
      <c r="J81" s="79"/>
      <c r="K81" s="56"/>
    </row>
    <row r="82" spans="1:11" s="59" customFormat="1" ht="30">
      <c r="A82" s="55">
        <v>192549800</v>
      </c>
      <c r="B82" s="56" t="s">
        <v>1411</v>
      </c>
      <c r="C82" s="56" t="s">
        <v>1412</v>
      </c>
      <c r="D82" s="56" t="s">
        <v>3293</v>
      </c>
      <c r="E82" s="58"/>
      <c r="F82" s="57" t="s">
        <v>1413</v>
      </c>
      <c r="G82" s="68"/>
      <c r="H82" s="56" t="s">
        <v>1414</v>
      </c>
      <c r="I82" s="55" t="s">
        <v>602</v>
      </c>
      <c r="J82" s="79"/>
      <c r="K82" s="56"/>
    </row>
    <row r="83" spans="1:11" s="59" customFormat="1">
      <c r="A83" s="80">
        <v>192549800</v>
      </c>
      <c r="B83" s="81" t="s">
        <v>1679</v>
      </c>
      <c r="C83" s="81" t="s">
        <v>1680</v>
      </c>
      <c r="D83" s="81" t="s">
        <v>3294</v>
      </c>
      <c r="E83" s="82"/>
      <c r="F83" s="81" t="s">
        <v>1417</v>
      </c>
      <c r="G83" s="83"/>
      <c r="H83" s="81" t="s">
        <v>1681</v>
      </c>
      <c r="I83" s="55" t="s">
        <v>602</v>
      </c>
      <c r="J83" s="84"/>
      <c r="K83" s="56"/>
    </row>
    <row r="84" spans="1:11" s="59" customFormat="1">
      <c r="A84" s="75">
        <v>192549800</v>
      </c>
      <c r="B84" s="56" t="s">
        <v>1411</v>
      </c>
      <c r="C84" s="76" t="s">
        <v>1412</v>
      </c>
      <c r="D84" s="76" t="s">
        <v>3295</v>
      </c>
      <c r="E84" s="77"/>
      <c r="F84" s="76" t="s">
        <v>1268</v>
      </c>
      <c r="G84" s="78"/>
      <c r="H84" s="76" t="s">
        <v>1414</v>
      </c>
      <c r="I84" s="55" t="s">
        <v>602</v>
      </c>
      <c r="J84" s="85"/>
      <c r="K84" s="76"/>
    </row>
    <row r="85" spans="1:11" s="59" customFormat="1">
      <c r="A85" s="75">
        <v>192549800</v>
      </c>
      <c r="B85" s="76" t="s">
        <v>1266</v>
      </c>
      <c r="C85" s="76" t="s">
        <v>3296</v>
      </c>
      <c r="D85" s="59" t="s">
        <v>3297</v>
      </c>
      <c r="E85" s="86"/>
      <c r="F85" s="76" t="s">
        <v>3298</v>
      </c>
      <c r="G85" s="78"/>
      <c r="H85" s="76"/>
      <c r="I85" s="55" t="s">
        <v>602</v>
      </c>
      <c r="J85" s="85"/>
      <c r="K85" s="76"/>
    </row>
    <row r="86" spans="1:11" s="59" customFormat="1">
      <c r="A86" s="75">
        <v>192549800</v>
      </c>
      <c r="B86" s="87"/>
      <c r="C86" s="76" t="s">
        <v>3299</v>
      </c>
      <c r="D86" s="76" t="s">
        <v>3300</v>
      </c>
      <c r="E86" s="77"/>
      <c r="F86" s="76" t="s">
        <v>3298</v>
      </c>
      <c r="G86" s="78"/>
      <c r="H86" s="76"/>
      <c r="I86" s="55" t="s">
        <v>602</v>
      </c>
      <c r="J86" s="85"/>
      <c r="K86" s="76"/>
    </row>
    <row r="87" spans="1:11" s="59" customFormat="1">
      <c r="A87" s="75">
        <v>192549800</v>
      </c>
      <c r="B87" s="76" t="s">
        <v>1262</v>
      </c>
      <c r="C87" s="76" t="s">
        <v>3301</v>
      </c>
      <c r="D87" s="76" t="s">
        <v>3302</v>
      </c>
      <c r="E87" s="77"/>
      <c r="F87" s="76" t="s">
        <v>3298</v>
      </c>
      <c r="G87" s="78"/>
      <c r="H87" s="76"/>
      <c r="I87" s="55" t="s">
        <v>602</v>
      </c>
      <c r="J87" s="85"/>
      <c r="K87" s="76"/>
    </row>
    <row r="88" spans="1:11" s="59" customFormat="1">
      <c r="A88" s="75">
        <v>192549800</v>
      </c>
      <c r="B88" s="76" t="s">
        <v>1427</v>
      </c>
      <c r="C88" s="76" t="s">
        <v>3303</v>
      </c>
      <c r="D88" s="76" t="s">
        <v>3304</v>
      </c>
      <c r="E88" s="77"/>
      <c r="F88" s="76" t="s">
        <v>3298</v>
      </c>
      <c r="G88" s="78"/>
      <c r="H88" s="76"/>
      <c r="I88" s="55" t="s">
        <v>602</v>
      </c>
      <c r="J88" s="85"/>
      <c r="K88" s="76"/>
    </row>
    <row r="89" spans="1:11" s="59" customFormat="1">
      <c r="A89" s="75">
        <v>192549800</v>
      </c>
      <c r="B89" s="76" t="s">
        <v>1586</v>
      </c>
      <c r="C89" s="76" t="s">
        <v>1587</v>
      </c>
      <c r="D89" s="76" t="s">
        <v>3305</v>
      </c>
      <c r="E89" s="77"/>
      <c r="F89" s="76" t="s">
        <v>3298</v>
      </c>
      <c r="G89" s="78"/>
      <c r="H89" s="76"/>
      <c r="I89" s="55" t="s">
        <v>602</v>
      </c>
      <c r="J89" s="85"/>
      <c r="K89" s="76"/>
    </row>
    <row r="90" spans="1:11" s="59" customFormat="1">
      <c r="A90" s="75">
        <v>192549800</v>
      </c>
      <c r="B90" s="76" t="s">
        <v>1415</v>
      </c>
      <c r="C90" s="76" t="s">
        <v>1416</v>
      </c>
      <c r="D90" s="76" t="s">
        <v>3306</v>
      </c>
      <c r="E90" s="77"/>
      <c r="F90" s="76" t="s">
        <v>3298</v>
      </c>
      <c r="G90" s="78"/>
      <c r="H90" s="76"/>
      <c r="I90" s="55" t="s">
        <v>602</v>
      </c>
      <c r="J90" s="85"/>
      <c r="K90" s="76"/>
    </row>
    <row r="91" spans="1:11" s="59" customFormat="1">
      <c r="A91" s="75">
        <v>192549800</v>
      </c>
      <c r="B91" s="76" t="s">
        <v>1350</v>
      </c>
      <c r="C91" s="76" t="s">
        <v>1351</v>
      </c>
      <c r="D91" s="76" t="s">
        <v>3307</v>
      </c>
      <c r="E91" s="77"/>
      <c r="F91" s="76" t="s">
        <v>3298</v>
      </c>
      <c r="G91" s="78"/>
      <c r="H91" s="76"/>
      <c r="I91" s="55" t="s">
        <v>602</v>
      </c>
      <c r="J91" s="85"/>
      <c r="K91" s="76"/>
    </row>
    <row r="92" spans="1:11" s="59" customFormat="1">
      <c r="A92" s="75">
        <v>192549800</v>
      </c>
      <c r="B92" s="76" t="s">
        <v>1579</v>
      </c>
      <c r="C92" s="76" t="s">
        <v>1580</v>
      </c>
      <c r="D92" s="76" t="s">
        <v>3308</v>
      </c>
      <c r="E92" s="77"/>
      <c r="F92" s="76" t="s">
        <v>3298</v>
      </c>
      <c r="G92" s="78"/>
      <c r="H92" s="76"/>
      <c r="I92" s="55" t="s">
        <v>602</v>
      </c>
      <c r="J92" s="85"/>
      <c r="K92" s="76"/>
    </row>
    <row r="93" spans="1:11" s="59" customFormat="1">
      <c r="A93" s="75">
        <v>192549800</v>
      </c>
      <c r="B93" s="76" t="s">
        <v>1640</v>
      </c>
      <c r="C93" s="76" t="s">
        <v>3284</v>
      </c>
      <c r="D93" s="76" t="s">
        <v>3309</v>
      </c>
      <c r="E93" s="77"/>
      <c r="F93" s="76" t="s">
        <v>3298</v>
      </c>
      <c r="G93" s="78"/>
      <c r="H93" s="76"/>
      <c r="I93" s="55" t="s">
        <v>602</v>
      </c>
      <c r="J93" s="85"/>
      <c r="K93" s="76"/>
    </row>
    <row r="94" spans="1:11" s="59" customFormat="1">
      <c r="A94" s="88">
        <v>192549800</v>
      </c>
      <c r="B94" s="81" t="s">
        <v>1679</v>
      </c>
      <c r="C94" s="89" t="s">
        <v>1680</v>
      </c>
      <c r="D94" s="89" t="s">
        <v>3310</v>
      </c>
      <c r="E94" s="90"/>
      <c r="F94" s="89" t="s">
        <v>3298</v>
      </c>
      <c r="G94" s="91"/>
      <c r="H94" s="89"/>
      <c r="I94" s="55" t="s">
        <v>602</v>
      </c>
      <c r="J94" s="92"/>
      <c r="K94" s="76"/>
    </row>
    <row r="95" spans="1:11" s="59" customFormat="1">
      <c r="A95" s="75">
        <v>192549800</v>
      </c>
      <c r="B95" s="76" t="s">
        <v>1442</v>
      </c>
      <c r="C95" s="76" t="s">
        <v>1443</v>
      </c>
      <c r="D95" s="76" t="s">
        <v>3311</v>
      </c>
      <c r="E95" s="77"/>
      <c r="F95" s="76" t="s">
        <v>3298</v>
      </c>
      <c r="G95" s="78"/>
      <c r="H95" s="76"/>
      <c r="I95" s="55" t="s">
        <v>602</v>
      </c>
      <c r="J95" s="85"/>
      <c r="K95" s="76"/>
    </row>
    <row r="96" spans="1:11" s="59" customFormat="1">
      <c r="A96" s="75">
        <v>192549800</v>
      </c>
      <c r="B96" s="76" t="s">
        <v>1411</v>
      </c>
      <c r="C96" s="59" t="s">
        <v>1412</v>
      </c>
      <c r="D96" s="76" t="s">
        <v>3312</v>
      </c>
      <c r="E96" s="77"/>
      <c r="F96" s="76" t="s">
        <v>3298</v>
      </c>
      <c r="G96" s="78"/>
      <c r="H96" s="76"/>
      <c r="I96" s="55" t="s">
        <v>602</v>
      </c>
      <c r="J96" s="85"/>
      <c r="K96" s="76"/>
    </row>
    <row r="97" spans="1:11">
      <c r="A97" s="93">
        <v>586992900</v>
      </c>
      <c r="B97" s="7"/>
      <c r="C97" s="7"/>
      <c r="D97" s="94" t="s">
        <v>3313</v>
      </c>
      <c r="E97" s="95" t="s">
        <v>3314</v>
      </c>
      <c r="F97" s="96" t="s">
        <v>3315</v>
      </c>
      <c r="G97" s="97"/>
      <c r="H97" s="7"/>
      <c r="I97" s="55" t="s">
        <v>602</v>
      </c>
      <c r="J97" s="7"/>
      <c r="K97" s="7"/>
    </row>
    <row r="98" spans="1:11">
      <c r="A98" s="98">
        <v>586992900</v>
      </c>
      <c r="B98" s="96"/>
      <c r="C98" s="7"/>
      <c r="D98" s="94" t="s">
        <v>3316</v>
      </c>
      <c r="E98" s="99" t="s">
        <v>3317</v>
      </c>
      <c r="F98" s="96" t="s">
        <v>3318</v>
      </c>
      <c r="G98" s="97"/>
      <c r="H98" s="7"/>
      <c r="I98" s="55" t="s">
        <v>602</v>
      </c>
      <c r="J98" s="7"/>
      <c r="K98" s="7"/>
    </row>
    <row r="99" spans="1:11">
      <c r="A99" s="98">
        <v>586992900</v>
      </c>
      <c r="B99" s="96"/>
      <c r="C99" s="7"/>
      <c r="D99" s="94" t="s">
        <v>3319</v>
      </c>
      <c r="E99" s="99" t="s">
        <v>3320</v>
      </c>
      <c r="F99" s="96" t="s">
        <v>3318</v>
      </c>
      <c r="G99" s="97"/>
      <c r="H99" s="7"/>
      <c r="I99" s="55" t="s">
        <v>602</v>
      </c>
      <c r="J99" s="7"/>
      <c r="K99" s="7"/>
    </row>
    <row r="100" spans="1:11">
      <c r="A100" s="98">
        <v>586992900</v>
      </c>
      <c r="B100" s="96"/>
      <c r="C100" s="7"/>
      <c r="D100" s="7" t="s">
        <v>3321</v>
      </c>
      <c r="E100" s="100" t="s">
        <v>3322</v>
      </c>
      <c r="F100" s="7" t="s">
        <v>3323</v>
      </c>
      <c r="G100" s="97"/>
      <c r="H100" s="7"/>
      <c r="I100" s="55" t="s">
        <v>602</v>
      </c>
      <c r="J100" s="7"/>
      <c r="K100" s="7"/>
    </row>
    <row r="101" spans="1:11">
      <c r="A101" s="98">
        <v>586992900</v>
      </c>
      <c r="B101" s="96"/>
      <c r="C101" s="7"/>
      <c r="D101" s="7" t="s">
        <v>3324</v>
      </c>
      <c r="E101" s="101"/>
      <c r="F101" s="7" t="s">
        <v>3325</v>
      </c>
      <c r="G101" s="97"/>
      <c r="H101" s="7"/>
      <c r="I101" s="55" t="s">
        <v>602</v>
      </c>
      <c r="J101" s="7"/>
      <c r="K101" s="7"/>
    </row>
    <row r="102" spans="1:11">
      <c r="A102" s="98">
        <v>586992900</v>
      </c>
      <c r="B102" s="96"/>
      <c r="C102" s="7"/>
      <c r="D102" s="7" t="s">
        <v>3326</v>
      </c>
      <c r="E102" s="101" t="s">
        <v>3327</v>
      </c>
      <c r="F102" s="7" t="s">
        <v>3315</v>
      </c>
      <c r="G102" s="97"/>
      <c r="H102" s="7"/>
      <c r="I102" s="55" t="s">
        <v>602</v>
      </c>
      <c r="J102" s="7"/>
      <c r="K102" s="7"/>
    </row>
    <row r="103" spans="1:11">
      <c r="A103" s="98">
        <v>586992900</v>
      </c>
      <c r="B103" s="96"/>
      <c r="C103" s="7"/>
      <c r="D103" s="7" t="s">
        <v>3328</v>
      </c>
      <c r="E103" s="102"/>
      <c r="F103" s="7" t="s">
        <v>3325</v>
      </c>
      <c r="G103" s="97"/>
      <c r="H103" s="7"/>
      <c r="I103" s="55" t="s">
        <v>602</v>
      </c>
      <c r="J103" s="7"/>
      <c r="K103" s="7"/>
    </row>
    <row r="104" spans="1:11">
      <c r="A104" s="98">
        <v>586992900</v>
      </c>
      <c r="B104" s="96"/>
      <c r="C104" s="7"/>
      <c r="D104" s="94" t="s">
        <v>3329</v>
      </c>
      <c r="E104" s="103" t="s">
        <v>3330</v>
      </c>
      <c r="F104" s="96" t="s">
        <v>3209</v>
      </c>
      <c r="G104" s="97"/>
      <c r="H104" s="7"/>
      <c r="I104" s="55" t="s">
        <v>602</v>
      </c>
      <c r="J104" s="7"/>
      <c r="K104" s="7"/>
    </row>
    <row r="105" spans="1:11">
      <c r="A105" s="98">
        <v>586992900</v>
      </c>
      <c r="B105" s="96"/>
      <c r="C105" s="7"/>
      <c r="D105" s="7" t="s">
        <v>3331</v>
      </c>
      <c r="E105" s="104" t="s">
        <v>3332</v>
      </c>
      <c r="F105" s="7" t="s">
        <v>3325</v>
      </c>
      <c r="G105" s="97"/>
      <c r="H105" s="7"/>
      <c r="I105" s="55" t="s">
        <v>602</v>
      </c>
      <c r="J105" s="7"/>
      <c r="K105" s="7"/>
    </row>
    <row r="106" spans="1:11">
      <c r="A106" s="98">
        <v>586992900</v>
      </c>
      <c r="B106" s="96"/>
      <c r="C106" s="7"/>
      <c r="D106" s="94" t="s">
        <v>3333</v>
      </c>
      <c r="E106" s="95" t="s">
        <v>3334</v>
      </c>
      <c r="F106" s="96" t="s">
        <v>3318</v>
      </c>
      <c r="G106" s="97"/>
      <c r="H106" s="7"/>
      <c r="I106" s="55" t="s">
        <v>602</v>
      </c>
      <c r="J106" s="7"/>
      <c r="K106" s="7"/>
    </row>
    <row r="107" spans="1:11">
      <c r="A107" s="98">
        <v>586992900</v>
      </c>
      <c r="B107" s="96"/>
      <c r="C107" s="7"/>
      <c r="D107" s="7" t="s">
        <v>3335</v>
      </c>
      <c r="E107" s="104" t="s">
        <v>3336</v>
      </c>
      <c r="F107" s="7" t="s">
        <v>3318</v>
      </c>
      <c r="G107" s="97"/>
      <c r="H107" s="7"/>
      <c r="I107" s="55" t="s">
        <v>602</v>
      </c>
      <c r="J107" s="7"/>
      <c r="K107" s="7"/>
    </row>
    <row r="108" spans="1:11">
      <c r="A108" s="98">
        <v>586992900</v>
      </c>
      <c r="B108" s="96"/>
      <c r="C108" s="7"/>
      <c r="D108" s="94" t="s">
        <v>3337</v>
      </c>
      <c r="E108" s="99" t="s">
        <v>3338</v>
      </c>
      <c r="F108" s="96" t="s">
        <v>3315</v>
      </c>
      <c r="G108" s="97"/>
      <c r="H108" s="7"/>
      <c r="I108" s="55" t="s">
        <v>602</v>
      </c>
      <c r="J108" s="7"/>
      <c r="K108" s="7"/>
    </row>
    <row r="109" spans="1:11">
      <c r="A109" s="98">
        <v>586992900</v>
      </c>
      <c r="B109" s="96"/>
      <c r="C109" s="7"/>
      <c r="D109" s="7" t="s">
        <v>3339</v>
      </c>
      <c r="E109" s="100"/>
      <c r="F109" s="7" t="s">
        <v>3340</v>
      </c>
      <c r="G109" s="97"/>
      <c r="H109" s="7"/>
      <c r="I109" s="55" t="s">
        <v>602</v>
      </c>
      <c r="J109" s="7"/>
      <c r="K109" s="7"/>
    </row>
    <row r="110" spans="1:11">
      <c r="A110" s="98">
        <v>586992900</v>
      </c>
      <c r="B110" s="96"/>
      <c r="C110" s="7"/>
      <c r="D110" s="7" t="s">
        <v>3341</v>
      </c>
      <c r="E110" s="101" t="s">
        <v>3342</v>
      </c>
      <c r="F110" s="7" t="s">
        <v>3318</v>
      </c>
      <c r="G110" s="97"/>
      <c r="H110" s="7"/>
      <c r="I110" s="55" t="s">
        <v>602</v>
      </c>
      <c r="J110" s="7"/>
      <c r="K110" s="7"/>
    </row>
    <row r="111" spans="1:11">
      <c r="A111" s="98">
        <v>586992900</v>
      </c>
      <c r="B111" s="96"/>
      <c r="C111" s="7"/>
      <c r="D111" s="7" t="s">
        <v>3343</v>
      </c>
      <c r="E111" s="102" t="s">
        <v>3344</v>
      </c>
      <c r="F111" s="7" t="s">
        <v>3323</v>
      </c>
      <c r="G111" s="97"/>
      <c r="H111" s="7"/>
      <c r="I111" s="55" t="s">
        <v>602</v>
      </c>
      <c r="J111" s="7"/>
      <c r="K111" s="7"/>
    </row>
    <row r="112" spans="1:11">
      <c r="A112" s="98">
        <v>586992900</v>
      </c>
      <c r="B112" s="96"/>
      <c r="C112" s="7"/>
      <c r="D112" s="94" t="s">
        <v>3345</v>
      </c>
      <c r="E112" s="99" t="s">
        <v>3346</v>
      </c>
      <c r="F112" t="s">
        <v>3315</v>
      </c>
      <c r="G112" s="97"/>
      <c r="H112" s="7"/>
      <c r="I112" s="55" t="s">
        <v>602</v>
      </c>
      <c r="J112" s="7"/>
      <c r="K112" s="7"/>
    </row>
    <row r="113" spans="1:11">
      <c r="A113" s="98">
        <v>586992900</v>
      </c>
      <c r="B113" s="96"/>
      <c r="C113" s="7"/>
      <c r="D113" t="s">
        <v>3347</v>
      </c>
      <c r="E113" s="99" t="s">
        <v>3348</v>
      </c>
      <c r="F113" s="96" t="s">
        <v>3318</v>
      </c>
      <c r="G113" s="97"/>
      <c r="H113" s="7"/>
      <c r="I113" s="55" t="s">
        <v>602</v>
      </c>
      <c r="J113" s="7"/>
      <c r="K113" s="7"/>
    </row>
    <row r="114" spans="1:11">
      <c r="A114" s="98">
        <v>586992900</v>
      </c>
      <c r="B114" s="96"/>
      <c r="C114" s="7"/>
      <c r="D114" s="94" t="s">
        <v>3349</v>
      </c>
      <c r="E114" s="95" t="s">
        <v>3350</v>
      </c>
      <c r="F114" s="96" t="s">
        <v>3318</v>
      </c>
      <c r="G114" s="97"/>
      <c r="H114" s="7"/>
      <c r="I114" s="55" t="s">
        <v>602</v>
      </c>
      <c r="J114" s="7"/>
      <c r="K114" s="7"/>
    </row>
    <row r="115" spans="1:11">
      <c r="A115" s="98">
        <v>586992900</v>
      </c>
      <c r="B115" s="96"/>
      <c r="C115" s="7"/>
      <c r="D115" s="94" t="s">
        <v>3351</v>
      </c>
      <c r="E115" s="99" t="s">
        <v>3352</v>
      </c>
      <c r="F115" t="s">
        <v>3318</v>
      </c>
      <c r="G115" s="97"/>
      <c r="H115" s="7"/>
      <c r="I115" s="55" t="s">
        <v>602</v>
      </c>
      <c r="J115" s="7"/>
      <c r="K115" s="7"/>
    </row>
    <row r="116" spans="1:11">
      <c r="A116" s="98">
        <v>586992900</v>
      </c>
      <c r="B116" s="96"/>
      <c r="C116" s="7"/>
      <c r="D116" s="7" t="s">
        <v>3353</v>
      </c>
      <c r="E116" s="100" t="s">
        <v>3354</v>
      </c>
      <c r="F116" s="7" t="s">
        <v>3355</v>
      </c>
      <c r="G116" s="97"/>
      <c r="H116" s="7"/>
      <c r="I116" s="55" t="s">
        <v>602</v>
      </c>
      <c r="J116" s="7"/>
      <c r="K116" s="7"/>
    </row>
    <row r="117" spans="1:11">
      <c r="A117" s="98">
        <v>586992900</v>
      </c>
      <c r="B117" s="96"/>
      <c r="C117" s="7"/>
      <c r="D117" s="7" t="s">
        <v>3356</v>
      </c>
      <c r="E117" s="34" t="s">
        <v>3357</v>
      </c>
      <c r="F117" t="s">
        <v>3318</v>
      </c>
      <c r="G117" s="97"/>
      <c r="H117" s="7"/>
      <c r="I117" s="55" t="s">
        <v>602</v>
      </c>
      <c r="J117" s="7"/>
      <c r="K117" s="7"/>
    </row>
    <row r="118" spans="1:11">
      <c r="A118" s="98">
        <v>586992900</v>
      </c>
      <c r="B118" s="96"/>
      <c r="C118" s="7"/>
      <c r="D118" s="7" t="s">
        <v>3358</v>
      </c>
      <c r="E118" s="102" t="s">
        <v>3359</v>
      </c>
      <c r="F118" s="7" t="s">
        <v>3355</v>
      </c>
      <c r="G118" s="97"/>
      <c r="H118" s="7"/>
      <c r="I118" s="55" t="s">
        <v>602</v>
      </c>
      <c r="J118" s="7"/>
      <c r="K118" s="7"/>
    </row>
    <row r="119" spans="1:11">
      <c r="A119" s="98">
        <v>586992900</v>
      </c>
      <c r="B119" s="96"/>
      <c r="C119" s="7"/>
      <c r="D119" s="94" t="s">
        <v>3360</v>
      </c>
      <c r="E119" s="99" t="s">
        <v>3361</v>
      </c>
      <c r="F119" s="96" t="s">
        <v>3323</v>
      </c>
      <c r="G119" s="97"/>
      <c r="H119" s="7"/>
      <c r="I119" s="55" t="s">
        <v>602</v>
      </c>
      <c r="J119" s="7"/>
      <c r="K119" s="7"/>
    </row>
    <row r="120" spans="1:11">
      <c r="A120" s="98">
        <v>586992900</v>
      </c>
      <c r="B120" s="96"/>
      <c r="C120" s="7"/>
      <c r="D120" s="7" t="s">
        <v>3362</v>
      </c>
      <c r="E120" s="100" t="s">
        <v>3363</v>
      </c>
      <c r="F120" s="7" t="s">
        <v>3318</v>
      </c>
      <c r="G120" s="97"/>
      <c r="H120" s="7"/>
      <c r="I120" s="55" t="s">
        <v>602</v>
      </c>
      <c r="J120" s="7"/>
      <c r="K120" s="7"/>
    </row>
    <row r="121" spans="1:11">
      <c r="A121" s="98">
        <v>586992900</v>
      </c>
      <c r="B121" s="96"/>
      <c r="C121" s="7"/>
      <c r="D121" s="7" t="s">
        <v>3364</v>
      </c>
      <c r="E121" s="101" t="s">
        <v>3365</v>
      </c>
      <c r="F121" s="7" t="s">
        <v>3318</v>
      </c>
      <c r="G121" s="97"/>
      <c r="H121" s="7"/>
      <c r="I121" s="55" t="s">
        <v>602</v>
      </c>
      <c r="J121" s="7"/>
      <c r="K121" s="7"/>
    </row>
    <row r="122" spans="1:11">
      <c r="A122" s="98">
        <v>586992900</v>
      </c>
      <c r="B122" s="96"/>
      <c r="C122" s="7"/>
      <c r="D122" s="7" t="s">
        <v>3366</v>
      </c>
      <c r="E122" s="101" t="s">
        <v>3367</v>
      </c>
      <c r="F122" s="7" t="s">
        <v>3315</v>
      </c>
      <c r="G122" s="97"/>
      <c r="H122" s="7"/>
      <c r="I122" s="55" t="s">
        <v>602</v>
      </c>
      <c r="J122" s="7"/>
      <c r="K122" s="7"/>
    </row>
    <row r="123" spans="1:11">
      <c r="A123" s="98">
        <v>586992900</v>
      </c>
      <c r="B123" s="96"/>
      <c r="C123" s="7"/>
      <c r="D123" s="7" t="s">
        <v>3368</v>
      </c>
      <c r="E123" s="101" t="s">
        <v>3369</v>
      </c>
      <c r="F123" s="7" t="s">
        <v>3318</v>
      </c>
      <c r="G123" s="97"/>
      <c r="H123" s="7"/>
      <c r="I123" s="55" t="s">
        <v>602</v>
      </c>
      <c r="J123" s="7"/>
      <c r="K123" s="7"/>
    </row>
    <row r="124" spans="1:11">
      <c r="A124" s="98">
        <v>586992900</v>
      </c>
      <c r="B124" s="96"/>
      <c r="C124" s="7"/>
      <c r="D124" s="7" t="s">
        <v>3370</v>
      </c>
      <c r="E124" s="101" t="s">
        <v>3371</v>
      </c>
      <c r="F124" s="7" t="s">
        <v>3318</v>
      </c>
      <c r="G124" s="97"/>
      <c r="H124" s="7"/>
      <c r="I124" s="55" t="s">
        <v>602</v>
      </c>
      <c r="J124" s="7"/>
      <c r="K124" s="7"/>
    </row>
    <row r="125" spans="1:11">
      <c r="A125" s="98">
        <v>586992900</v>
      </c>
      <c r="B125" s="96"/>
      <c r="C125" s="7"/>
      <c r="D125" s="7" t="s">
        <v>3372</v>
      </c>
      <c r="E125" s="102" t="s">
        <v>3373</v>
      </c>
      <c r="F125" s="7" t="s">
        <v>3318</v>
      </c>
      <c r="G125" s="97"/>
      <c r="H125" s="7"/>
      <c r="I125" s="55" t="s">
        <v>602</v>
      </c>
      <c r="J125" s="7"/>
      <c r="K125" s="7"/>
    </row>
    <row r="126" spans="1:11">
      <c r="A126" s="98">
        <v>586992900</v>
      </c>
      <c r="B126" s="96"/>
      <c r="C126" s="7"/>
      <c r="D126" s="94" t="s">
        <v>3374</v>
      </c>
      <c r="E126" s="99" t="s">
        <v>3375</v>
      </c>
      <c r="F126" s="96" t="s">
        <v>3376</v>
      </c>
      <c r="G126" s="97"/>
      <c r="H126" s="7"/>
      <c r="I126" s="55" t="s">
        <v>602</v>
      </c>
      <c r="J126" s="7"/>
      <c r="K126" s="7"/>
    </row>
    <row r="127" spans="1:11">
      <c r="A127" s="98">
        <v>586992900</v>
      </c>
      <c r="B127" s="96"/>
      <c r="C127" s="7"/>
      <c r="D127" s="94" t="s">
        <v>3377</v>
      </c>
      <c r="E127" s="95" t="s">
        <v>3378</v>
      </c>
      <c r="F127" s="96" t="s">
        <v>3355</v>
      </c>
      <c r="G127" s="97"/>
      <c r="H127" s="7"/>
      <c r="I127" s="55" t="s">
        <v>602</v>
      </c>
      <c r="J127" s="7"/>
      <c r="K127" s="7"/>
    </row>
    <row r="128" spans="1:11">
      <c r="A128" s="98">
        <v>586992900</v>
      </c>
      <c r="B128" s="96"/>
      <c r="C128" s="7"/>
      <c r="D128" s="94" t="s">
        <v>3379</v>
      </c>
      <c r="E128" s="99" t="s">
        <v>3380</v>
      </c>
      <c r="F128" s="96" t="s">
        <v>3315</v>
      </c>
      <c r="G128" s="97"/>
      <c r="H128" s="7"/>
      <c r="I128" s="55" t="s">
        <v>602</v>
      </c>
      <c r="J128" s="7"/>
      <c r="K128" s="7"/>
    </row>
    <row r="129" spans="1:11">
      <c r="A129" s="98">
        <v>586992900</v>
      </c>
      <c r="B129" s="96"/>
      <c r="C129" s="7"/>
      <c r="D129" s="94" t="s">
        <v>3381</v>
      </c>
      <c r="E129" s="95" t="s">
        <v>3382</v>
      </c>
      <c r="F129" s="105" t="s">
        <v>3355</v>
      </c>
      <c r="G129" s="97"/>
      <c r="H129" s="7"/>
      <c r="I129" s="55" t="s">
        <v>602</v>
      </c>
      <c r="J129" s="7"/>
      <c r="K129" s="7"/>
    </row>
    <row r="130" spans="1:11">
      <c r="A130" s="98">
        <v>586992900</v>
      </c>
      <c r="B130" s="96"/>
      <c r="C130" s="7"/>
      <c r="D130" s="94" t="s">
        <v>3383</v>
      </c>
      <c r="E130" s="99" t="s">
        <v>3384</v>
      </c>
      <c r="F130" s="96" t="s">
        <v>3318</v>
      </c>
      <c r="G130" s="106"/>
      <c r="H130" s="7"/>
      <c r="I130" s="55" t="s">
        <v>602</v>
      </c>
      <c r="J130" s="7"/>
      <c r="K130" s="7"/>
    </row>
    <row r="131" spans="1:11">
      <c r="A131" s="98">
        <v>586992900</v>
      </c>
      <c r="B131" s="96"/>
      <c r="C131" s="7"/>
      <c r="D131" s="94" t="s">
        <v>3385</v>
      </c>
      <c r="E131" s="99" t="s">
        <v>3386</v>
      </c>
      <c r="F131" s="96" t="s">
        <v>3315</v>
      </c>
      <c r="G131" s="106"/>
      <c r="H131" s="7"/>
      <c r="I131" s="55" t="s">
        <v>602</v>
      </c>
      <c r="J131" s="7"/>
      <c r="K131" s="7"/>
    </row>
    <row r="132" spans="1:11">
      <c r="A132" s="98">
        <v>586992900</v>
      </c>
      <c r="B132" s="96"/>
      <c r="C132" s="7"/>
      <c r="D132" s="7" t="s">
        <v>3387</v>
      </c>
      <c r="E132" s="104" t="s">
        <v>3388</v>
      </c>
      <c r="F132" s="107" t="s">
        <v>3318</v>
      </c>
      <c r="G132" s="97"/>
      <c r="H132" s="7"/>
      <c r="I132" s="55" t="s">
        <v>602</v>
      </c>
      <c r="J132" s="7"/>
      <c r="K132" s="7"/>
    </row>
    <row r="133" spans="1:11">
      <c r="A133" s="98">
        <v>586992900</v>
      </c>
      <c r="B133" s="96"/>
      <c r="C133" s="7"/>
      <c r="D133" t="s">
        <v>3389</v>
      </c>
      <c r="E133" s="95" t="s">
        <v>3390</v>
      </c>
      <c r="F133" s="96" t="s">
        <v>3318</v>
      </c>
      <c r="G133" s="97"/>
      <c r="H133" s="7"/>
      <c r="I133" s="55" t="s">
        <v>602</v>
      </c>
      <c r="J133" s="7"/>
      <c r="K133" s="7"/>
    </row>
    <row r="134" spans="1:11">
      <c r="A134" s="98">
        <v>586992900</v>
      </c>
      <c r="B134" s="96"/>
      <c r="C134" s="7"/>
      <c r="D134" s="94" t="s">
        <v>3391</v>
      </c>
      <c r="E134" s="99" t="s">
        <v>3392</v>
      </c>
      <c r="F134" s="96" t="s">
        <v>3318</v>
      </c>
      <c r="G134" s="97"/>
      <c r="H134" s="7"/>
      <c r="I134" s="55" t="s">
        <v>602</v>
      </c>
      <c r="J134" s="7"/>
      <c r="K134" s="7"/>
    </row>
    <row r="135" spans="1:11">
      <c r="A135" s="98">
        <v>586992900</v>
      </c>
      <c r="B135" s="96"/>
      <c r="C135" s="7"/>
      <c r="D135" s="7" t="s">
        <v>3393</v>
      </c>
      <c r="E135" s="104" t="s">
        <v>3394</v>
      </c>
      <c r="F135" s="7" t="s">
        <v>3318</v>
      </c>
      <c r="G135" s="97"/>
      <c r="H135" s="7"/>
      <c r="I135" s="55" t="s">
        <v>602</v>
      </c>
      <c r="J135" s="7"/>
      <c r="K135" s="7"/>
    </row>
    <row r="136" spans="1:11">
      <c r="A136" s="98">
        <v>586992900</v>
      </c>
      <c r="B136" s="96"/>
      <c r="C136" s="7"/>
      <c r="D136" s="94" t="s">
        <v>3395</v>
      </c>
      <c r="E136" s="95" t="s">
        <v>3396</v>
      </c>
      <c r="F136" s="96" t="s">
        <v>3318</v>
      </c>
      <c r="G136" s="97"/>
      <c r="H136" s="7"/>
      <c r="I136" s="55" t="s">
        <v>602</v>
      </c>
      <c r="J136" s="7"/>
      <c r="K136" s="7"/>
    </row>
    <row r="137" spans="1:11">
      <c r="A137" s="98">
        <v>586992900</v>
      </c>
      <c r="B137" s="96"/>
      <c r="C137" s="7"/>
      <c r="D137" s="94" t="s">
        <v>3397</v>
      </c>
      <c r="E137" s="99" t="s">
        <v>3398</v>
      </c>
      <c r="F137" s="96" t="s">
        <v>3318</v>
      </c>
      <c r="G137" s="97"/>
      <c r="H137" s="7"/>
      <c r="I137" s="55" t="s">
        <v>602</v>
      </c>
      <c r="J137" s="7"/>
      <c r="K137" s="7"/>
    </row>
    <row r="138" spans="1:11">
      <c r="A138" s="98">
        <v>586992900</v>
      </c>
      <c r="B138" s="96"/>
      <c r="C138" s="7"/>
      <c r="D138" s="7" t="s">
        <v>3399</v>
      </c>
      <c r="E138" s="34" t="s">
        <v>3400</v>
      </c>
      <c r="F138" t="s">
        <v>3318</v>
      </c>
      <c r="G138" s="97"/>
      <c r="H138" s="7"/>
      <c r="I138" s="55" t="s">
        <v>602</v>
      </c>
      <c r="J138" s="7"/>
      <c r="K138" s="7"/>
    </row>
    <row r="139" spans="1:11">
      <c r="A139" s="98">
        <v>586992900</v>
      </c>
      <c r="B139" s="105"/>
      <c r="C139" s="108"/>
      <c r="D139" s="108" t="s">
        <v>3401</v>
      </c>
      <c r="E139" s="102" t="s">
        <v>3402</v>
      </c>
      <c r="F139" s="108" t="s">
        <v>3318</v>
      </c>
      <c r="G139" s="97"/>
      <c r="H139" s="7"/>
      <c r="I139" s="55" t="s">
        <v>602</v>
      </c>
      <c r="J139" s="7"/>
      <c r="K139" s="7"/>
    </row>
    <row r="140" spans="1:11">
      <c r="A140" s="98">
        <v>586992900</v>
      </c>
      <c r="B140" s="96"/>
      <c r="C140" s="7"/>
      <c r="D140" s="94" t="s">
        <v>3403</v>
      </c>
      <c r="E140" s="95" t="s">
        <v>3404</v>
      </c>
      <c r="F140" s="96" t="s">
        <v>3355</v>
      </c>
      <c r="G140" s="106"/>
      <c r="H140" s="7"/>
      <c r="I140" s="55" t="s">
        <v>602</v>
      </c>
      <c r="J140" s="7"/>
      <c r="K140" s="7"/>
    </row>
    <row r="141" spans="1:11">
      <c r="A141" s="98">
        <v>586992900</v>
      </c>
      <c r="B141" s="96"/>
      <c r="C141" s="7"/>
      <c r="D141" s="94" t="s">
        <v>3405</v>
      </c>
      <c r="E141" s="99" t="s">
        <v>3406</v>
      </c>
      <c r="F141" s="96" t="s">
        <v>3318</v>
      </c>
      <c r="G141" s="106"/>
      <c r="H141" s="7"/>
      <c r="I141" s="55" t="s">
        <v>602</v>
      </c>
      <c r="J141" s="7"/>
      <c r="K141" s="7"/>
    </row>
    <row r="142" spans="1:11">
      <c r="A142" s="98">
        <v>586992900</v>
      </c>
      <c r="B142" s="96"/>
      <c r="C142" s="7"/>
      <c r="D142" s="94" t="s">
        <v>3407</v>
      </c>
      <c r="E142" s="95" t="s">
        <v>3408</v>
      </c>
      <c r="F142" s="96" t="s">
        <v>3318</v>
      </c>
      <c r="G142" s="106"/>
      <c r="H142" s="7"/>
      <c r="I142" s="55" t="s">
        <v>602</v>
      </c>
      <c r="J142" s="7"/>
      <c r="K142" s="7"/>
    </row>
    <row r="143" spans="1:11">
      <c r="A143" s="98">
        <v>586992900</v>
      </c>
      <c r="B143" s="96"/>
      <c r="C143" s="7"/>
      <c r="D143" s="7" t="s">
        <v>3409</v>
      </c>
      <c r="E143" s="104" t="s">
        <v>3410</v>
      </c>
      <c r="F143" s="7" t="s">
        <v>3318</v>
      </c>
      <c r="G143" s="106"/>
      <c r="H143" s="7"/>
      <c r="I143" s="55" t="s">
        <v>602</v>
      </c>
      <c r="J143" s="7"/>
      <c r="K143" s="7"/>
    </row>
    <row r="144" spans="1:11">
      <c r="A144" s="98">
        <v>586992900</v>
      </c>
      <c r="B144" s="96"/>
      <c r="C144" s="7"/>
      <c r="D144" s="94" t="s">
        <v>3411</v>
      </c>
      <c r="E144" s="99" t="s">
        <v>3412</v>
      </c>
      <c r="F144" s="96" t="s">
        <v>3323</v>
      </c>
      <c r="G144" s="106"/>
      <c r="H144" s="7"/>
      <c r="I144" s="55" t="s">
        <v>602</v>
      </c>
      <c r="J144" s="7"/>
      <c r="K144" s="7"/>
    </row>
    <row r="145" spans="1:11">
      <c r="A145" s="98">
        <v>586992900</v>
      </c>
      <c r="B145" s="96"/>
      <c r="C145" s="7"/>
      <c r="D145" s="7" t="s">
        <v>3413</v>
      </c>
      <c r="E145" s="104" t="s">
        <v>3414</v>
      </c>
      <c r="F145" s="7" t="s">
        <v>3318</v>
      </c>
      <c r="G145" s="106"/>
      <c r="H145" s="7"/>
      <c r="I145" s="55" t="s">
        <v>602</v>
      </c>
      <c r="J145" s="7"/>
      <c r="K145" s="7"/>
    </row>
    <row r="146" spans="1:11">
      <c r="A146" s="98">
        <v>586992900</v>
      </c>
      <c r="B146" s="96"/>
      <c r="C146" s="7"/>
      <c r="D146" s="94" t="s">
        <v>3415</v>
      </c>
      <c r="E146" s="95" t="s">
        <v>3416</v>
      </c>
      <c r="F146" s="96" t="s">
        <v>3318</v>
      </c>
      <c r="G146" s="106"/>
      <c r="H146" s="7"/>
      <c r="I146" s="55" t="s">
        <v>602</v>
      </c>
      <c r="J146" s="7"/>
      <c r="K146" s="7"/>
    </row>
    <row r="147" spans="1:11">
      <c r="A147" s="98">
        <v>586992900</v>
      </c>
      <c r="B147" s="96"/>
      <c r="C147" s="7"/>
      <c r="D147" s="94" t="s">
        <v>3417</v>
      </c>
      <c r="E147" s="95" t="s">
        <v>3418</v>
      </c>
      <c r="F147" s="96" t="s">
        <v>3318</v>
      </c>
      <c r="G147" s="106"/>
      <c r="H147" s="7"/>
      <c r="I147" s="55" t="s">
        <v>602</v>
      </c>
      <c r="J147" s="7"/>
      <c r="K147" s="7"/>
    </row>
    <row r="148" spans="1:11">
      <c r="A148" s="98">
        <v>586992900</v>
      </c>
      <c r="B148" s="96"/>
      <c r="C148" s="7"/>
      <c r="D148" s="94" t="s">
        <v>3419</v>
      </c>
      <c r="E148" s="99" t="s">
        <v>3420</v>
      </c>
      <c r="F148" s="96" t="s">
        <v>3355</v>
      </c>
      <c r="G148" s="106"/>
      <c r="H148" s="7"/>
      <c r="I148" s="55" t="s">
        <v>602</v>
      </c>
      <c r="J148" s="7"/>
      <c r="K148" s="7"/>
    </row>
    <row r="149" spans="1:11">
      <c r="A149" s="98">
        <v>586992900</v>
      </c>
      <c r="B149" s="96"/>
      <c r="C149" s="7"/>
      <c r="D149" s="94" t="s">
        <v>3421</v>
      </c>
      <c r="E149" s="99" t="s">
        <v>3422</v>
      </c>
      <c r="F149" s="96" t="s">
        <v>3318</v>
      </c>
      <c r="G149" s="106"/>
      <c r="H149" s="7"/>
      <c r="I149" s="55" t="s">
        <v>602</v>
      </c>
      <c r="J149" s="7"/>
      <c r="K149" s="7"/>
    </row>
    <row r="150" spans="1:11">
      <c r="A150" s="98">
        <v>586992900</v>
      </c>
      <c r="B150" s="96"/>
      <c r="C150" s="7"/>
      <c r="D150" s="94" t="s">
        <v>3423</v>
      </c>
      <c r="E150" s="99" t="s">
        <v>3424</v>
      </c>
      <c r="F150" s="96" t="s">
        <v>3318</v>
      </c>
      <c r="G150" s="106"/>
      <c r="H150" s="7"/>
      <c r="I150" s="55" t="s">
        <v>602</v>
      </c>
      <c r="J150" s="7"/>
      <c r="K150" s="7"/>
    </row>
    <row r="151" spans="1:11">
      <c r="A151" s="98">
        <v>586992900</v>
      </c>
      <c r="B151" s="96"/>
      <c r="C151" s="7"/>
      <c r="D151" s="7" t="s">
        <v>3425</v>
      </c>
      <c r="E151" s="100" t="s">
        <v>3426</v>
      </c>
      <c r="F151" s="7" t="s">
        <v>3355</v>
      </c>
      <c r="G151" s="106"/>
      <c r="H151" s="7"/>
      <c r="I151" s="55" t="s">
        <v>602</v>
      </c>
      <c r="J151" s="7"/>
      <c r="K151" s="7"/>
    </row>
    <row r="152" spans="1:11">
      <c r="A152" s="98">
        <v>586992900</v>
      </c>
      <c r="B152" s="96"/>
      <c r="C152" s="7"/>
      <c r="D152" s="7" t="s">
        <v>3427</v>
      </c>
      <c r="E152" s="101" t="s">
        <v>3428</v>
      </c>
      <c r="F152" s="7" t="s">
        <v>3318</v>
      </c>
      <c r="G152" s="106"/>
      <c r="H152" s="7"/>
      <c r="I152" s="55" t="s">
        <v>602</v>
      </c>
      <c r="J152" s="7"/>
      <c r="K152" s="7"/>
    </row>
    <row r="153" spans="1:11">
      <c r="A153" s="98">
        <v>586992900</v>
      </c>
      <c r="B153" s="96"/>
      <c r="C153" s="7"/>
      <c r="D153" s="7" t="s">
        <v>3429</v>
      </c>
      <c r="E153" s="102" t="s">
        <v>3430</v>
      </c>
      <c r="F153" s="7" t="s">
        <v>3355</v>
      </c>
      <c r="G153" s="106"/>
      <c r="H153" s="7"/>
      <c r="I153" s="55" t="s">
        <v>602</v>
      </c>
      <c r="J153" s="7"/>
      <c r="K153" s="7"/>
    </row>
    <row r="154" spans="1:11">
      <c r="A154" s="98">
        <v>586992900</v>
      </c>
      <c r="B154" s="96"/>
      <c r="C154" s="7"/>
      <c r="D154" s="94" t="s">
        <v>3431</v>
      </c>
      <c r="E154" s="95" t="s">
        <v>3432</v>
      </c>
      <c r="F154" s="96" t="s">
        <v>3318</v>
      </c>
      <c r="G154" s="106"/>
      <c r="H154" s="7"/>
      <c r="I154" s="55" t="s">
        <v>602</v>
      </c>
      <c r="J154" s="7"/>
      <c r="K154" s="7"/>
    </row>
    <row r="155" spans="1:11">
      <c r="A155" s="98">
        <v>586992900</v>
      </c>
      <c r="B155" s="96"/>
      <c r="C155" s="7"/>
      <c r="D155" s="94" t="s">
        <v>3433</v>
      </c>
      <c r="E155" s="99" t="s">
        <v>3434</v>
      </c>
      <c r="F155" s="96" t="s">
        <v>3318</v>
      </c>
      <c r="G155" s="106"/>
      <c r="H155" s="7"/>
      <c r="I155" s="55" t="s">
        <v>602</v>
      </c>
      <c r="J155" s="7"/>
      <c r="K155" s="7"/>
    </row>
    <row r="156" spans="1:11">
      <c r="A156" s="98">
        <v>586992900</v>
      </c>
      <c r="B156" s="96"/>
      <c r="C156" s="7"/>
      <c r="D156" s="94" t="s">
        <v>3435</v>
      </c>
      <c r="E156" s="99" t="s">
        <v>3436</v>
      </c>
      <c r="F156" s="96" t="s">
        <v>3318</v>
      </c>
      <c r="G156" s="106"/>
      <c r="H156" s="7"/>
      <c r="I156" s="55" t="s">
        <v>602</v>
      </c>
      <c r="J156" s="7"/>
      <c r="K156" s="7"/>
    </row>
    <row r="157" spans="1:11">
      <c r="A157" s="98">
        <v>586992900</v>
      </c>
      <c r="B157" s="96"/>
      <c r="C157" s="7"/>
      <c r="D157" s="94" t="s">
        <v>3437</v>
      </c>
      <c r="E157" s="99" t="s">
        <v>3438</v>
      </c>
      <c r="F157" s="96" t="s">
        <v>3355</v>
      </c>
      <c r="G157" s="106"/>
      <c r="H157" s="7"/>
      <c r="I157" s="55" t="s">
        <v>602</v>
      </c>
      <c r="J157" s="7"/>
      <c r="K157" s="7"/>
    </row>
    <row r="158" spans="1:11">
      <c r="A158" s="98">
        <v>586992900</v>
      </c>
      <c r="B158" s="96"/>
      <c r="C158" s="7"/>
      <c r="D158" s="94" t="s">
        <v>3439</v>
      </c>
      <c r="E158" s="99" t="s">
        <v>3440</v>
      </c>
      <c r="F158" s="96" t="s">
        <v>3355</v>
      </c>
      <c r="G158" s="106"/>
      <c r="H158" s="7"/>
      <c r="I158" s="55" t="s">
        <v>602</v>
      </c>
      <c r="J158" s="7"/>
      <c r="K158" s="7"/>
    </row>
    <row r="159" spans="1:11">
      <c r="A159" s="98">
        <v>586992900</v>
      </c>
      <c r="B159" s="96"/>
      <c r="C159" s="7"/>
      <c r="D159" s="7" t="s">
        <v>3441</v>
      </c>
      <c r="E159" s="104" t="s">
        <v>3442</v>
      </c>
      <c r="F159" s="7" t="s">
        <v>3318</v>
      </c>
      <c r="G159" s="106"/>
      <c r="H159" s="7"/>
      <c r="I159" s="55" t="s">
        <v>602</v>
      </c>
      <c r="J159" s="7"/>
      <c r="K159" s="7"/>
    </row>
    <row r="160" spans="1:11">
      <c r="A160" s="98">
        <v>586992900</v>
      </c>
      <c r="B160" s="96"/>
      <c r="C160" s="7"/>
      <c r="D160" s="94" t="s">
        <v>3443</v>
      </c>
      <c r="E160" s="95" t="s">
        <v>3444</v>
      </c>
      <c r="F160" s="96" t="s">
        <v>3318</v>
      </c>
      <c r="G160" s="106"/>
      <c r="H160" s="7"/>
      <c r="I160" s="55" t="s">
        <v>602</v>
      </c>
      <c r="J160" s="7"/>
      <c r="K160" s="7"/>
    </row>
    <row r="161" spans="1:11">
      <c r="A161" s="98">
        <v>586992900</v>
      </c>
      <c r="B161" s="96"/>
      <c r="C161" s="7"/>
      <c r="D161" s="94" t="s">
        <v>3445</v>
      </c>
      <c r="E161" s="95" t="s">
        <v>3446</v>
      </c>
      <c r="F161" s="96" t="s">
        <v>3355</v>
      </c>
      <c r="G161" s="106"/>
      <c r="H161" s="7"/>
      <c r="I161" s="55" t="s">
        <v>602</v>
      </c>
      <c r="J161" s="7"/>
      <c r="K161" s="7"/>
    </row>
    <row r="162" spans="1:11">
      <c r="A162" s="98">
        <v>586992900</v>
      </c>
      <c r="B162" s="96"/>
      <c r="C162" s="7"/>
      <c r="D162" s="94" t="s">
        <v>3447</v>
      </c>
      <c r="E162" s="99" t="s">
        <v>3448</v>
      </c>
      <c r="F162" s="96" t="s">
        <v>3318</v>
      </c>
      <c r="G162" s="106"/>
      <c r="H162" s="7"/>
      <c r="I162" s="55" t="s">
        <v>602</v>
      </c>
      <c r="J162" s="7"/>
      <c r="K162" s="7"/>
    </row>
    <row r="163" spans="1:11">
      <c r="A163" s="98">
        <v>586992900</v>
      </c>
      <c r="B163" s="96"/>
      <c r="C163" s="7"/>
      <c r="D163" s="7" t="s">
        <v>3449</v>
      </c>
      <c r="E163" s="100" t="s">
        <v>3450</v>
      </c>
      <c r="F163" s="7" t="s">
        <v>3318</v>
      </c>
      <c r="G163" s="106"/>
      <c r="H163" s="7"/>
      <c r="I163" s="55" t="s">
        <v>602</v>
      </c>
      <c r="J163" s="7"/>
      <c r="K163" s="7"/>
    </row>
    <row r="164" spans="1:11">
      <c r="A164" s="98">
        <v>586992900</v>
      </c>
      <c r="B164" s="96"/>
      <c r="C164" s="7"/>
      <c r="D164" s="7" t="s">
        <v>3451</v>
      </c>
      <c r="E164" s="102" t="s">
        <v>3452</v>
      </c>
      <c r="F164" s="7" t="s">
        <v>3318</v>
      </c>
      <c r="G164" s="106"/>
      <c r="H164" s="7"/>
      <c r="I164" s="55" t="s">
        <v>602</v>
      </c>
      <c r="J164" s="7"/>
      <c r="K164" s="7"/>
    </row>
    <row r="165" spans="1:11">
      <c r="A165" s="98">
        <v>586992900</v>
      </c>
      <c r="B165" s="96"/>
      <c r="C165" s="7"/>
      <c r="D165" s="94" t="s">
        <v>3453</v>
      </c>
      <c r="E165" s="99" t="s">
        <v>3454</v>
      </c>
      <c r="F165" s="96" t="s">
        <v>3318</v>
      </c>
      <c r="G165" s="106"/>
      <c r="H165" s="7"/>
      <c r="I165" s="55" t="s">
        <v>602</v>
      </c>
      <c r="J165" s="7"/>
      <c r="K165" s="7"/>
    </row>
    <row r="166" spans="1:11">
      <c r="A166" s="98">
        <v>586992900</v>
      </c>
      <c r="B166" s="96"/>
      <c r="C166" s="7"/>
      <c r="D166" s="94" t="s">
        <v>3455</v>
      </c>
      <c r="E166" s="95" t="s">
        <v>3456</v>
      </c>
      <c r="F166" s="96" t="s">
        <v>3318</v>
      </c>
      <c r="G166" s="106"/>
      <c r="H166" s="7"/>
      <c r="I166" s="55" t="s">
        <v>602</v>
      </c>
      <c r="J166" s="7"/>
      <c r="K166" s="7"/>
    </row>
    <row r="167" spans="1:11">
      <c r="A167" s="98">
        <v>586992900</v>
      </c>
      <c r="B167" s="96"/>
      <c r="C167" s="7"/>
      <c r="D167" s="7" t="s">
        <v>3457</v>
      </c>
      <c r="E167" s="100"/>
      <c r="F167" s="7" t="s">
        <v>3318</v>
      </c>
      <c r="G167" s="106"/>
      <c r="H167" s="7"/>
      <c r="I167" s="55" t="s">
        <v>602</v>
      </c>
      <c r="J167" s="7"/>
      <c r="K167" s="7"/>
    </row>
    <row r="168" spans="1:11">
      <c r="A168" s="98">
        <v>586992900</v>
      </c>
      <c r="B168" s="96"/>
      <c r="C168" s="7"/>
      <c r="D168" s="7" t="s">
        <v>3458</v>
      </c>
      <c r="E168" s="101"/>
      <c r="F168" s="7" t="s">
        <v>3318</v>
      </c>
      <c r="G168" s="106"/>
      <c r="H168" s="7"/>
      <c r="I168" s="55" t="s">
        <v>602</v>
      </c>
      <c r="J168" s="7"/>
      <c r="K168" s="7"/>
    </row>
    <row r="169" spans="1:11">
      <c r="A169" s="98">
        <v>586992900</v>
      </c>
      <c r="B169" s="96"/>
      <c r="C169" s="7"/>
      <c r="D169" s="7" t="s">
        <v>3459</v>
      </c>
      <c r="E169" s="101"/>
      <c r="F169" s="7" t="s">
        <v>3318</v>
      </c>
      <c r="G169" s="106"/>
      <c r="H169" s="7"/>
      <c r="I169" s="55" t="s">
        <v>602</v>
      </c>
      <c r="J169" s="7"/>
      <c r="K169" s="7"/>
    </row>
    <row r="170" spans="1:11">
      <c r="A170" s="98">
        <v>586992900</v>
      </c>
      <c r="B170" s="96"/>
      <c r="C170" s="7"/>
      <c r="D170" s="7" t="s">
        <v>3460</v>
      </c>
      <c r="E170" s="102"/>
      <c r="F170" s="7" t="s">
        <v>3318</v>
      </c>
      <c r="G170" s="106"/>
      <c r="H170" s="7"/>
      <c r="I170" s="55" t="s">
        <v>602</v>
      </c>
      <c r="J170" s="7"/>
      <c r="K170" s="7"/>
    </row>
    <row r="171" spans="1:11">
      <c r="A171" s="98">
        <v>586992900</v>
      </c>
      <c r="B171" s="96"/>
      <c r="C171" s="7"/>
      <c r="D171" s="94" t="s">
        <v>3461</v>
      </c>
      <c r="E171" s="95" t="s">
        <v>3462</v>
      </c>
      <c r="F171" s="96" t="s">
        <v>3318</v>
      </c>
      <c r="I171" s="55" t="s">
        <v>602</v>
      </c>
    </row>
    <row r="172" spans="1:11">
      <c r="A172" s="98">
        <v>586992900</v>
      </c>
      <c r="B172" s="96"/>
      <c r="C172" s="7"/>
      <c r="D172" s="7" t="s">
        <v>3463</v>
      </c>
      <c r="E172" s="104"/>
      <c r="F172" s="7" t="s">
        <v>3318</v>
      </c>
      <c r="I172" s="55" t="s">
        <v>602</v>
      </c>
    </row>
    <row r="173" spans="1:11">
      <c r="A173" s="98">
        <v>586992900</v>
      </c>
      <c r="B173" s="96"/>
      <c r="C173" s="7"/>
      <c r="D173" s="94" t="s">
        <v>3464</v>
      </c>
      <c r="E173" s="95" t="s">
        <v>3465</v>
      </c>
      <c r="F173" s="96" t="s">
        <v>3318</v>
      </c>
      <c r="I173" s="55" t="s">
        <v>602</v>
      </c>
    </row>
    <row r="174" spans="1:11">
      <c r="A174" s="98">
        <v>586992900</v>
      </c>
      <c r="B174" s="96"/>
      <c r="C174" s="7"/>
      <c r="D174" s="7" t="s">
        <v>3466</v>
      </c>
      <c r="E174" s="104"/>
      <c r="F174" s="7" t="s">
        <v>3318</v>
      </c>
      <c r="I174" s="55" t="s">
        <v>602</v>
      </c>
    </row>
    <row r="175" spans="1:11">
      <c r="A175" s="98">
        <v>586992900</v>
      </c>
      <c r="B175" s="96"/>
      <c r="C175" s="7"/>
      <c r="D175" s="94" t="s">
        <v>3467</v>
      </c>
      <c r="E175" s="99" t="s">
        <v>3468</v>
      </c>
      <c r="F175" s="96" t="s">
        <v>3318</v>
      </c>
      <c r="I175" s="55" t="s">
        <v>602</v>
      </c>
    </row>
    <row r="176" spans="1:11">
      <c r="A176" s="98">
        <v>586992900</v>
      </c>
      <c r="B176" s="96"/>
      <c r="C176" s="7"/>
      <c r="D176" s="94" t="s">
        <v>3469</v>
      </c>
      <c r="E176" s="95" t="s">
        <v>3470</v>
      </c>
      <c r="F176" s="96" t="s">
        <v>3471</v>
      </c>
      <c r="I176" s="55" t="s">
        <v>602</v>
      </c>
    </row>
    <row r="177" spans="1:9">
      <c r="A177" s="98">
        <v>586992900</v>
      </c>
      <c r="B177" s="96"/>
      <c r="C177" s="7"/>
      <c r="D177" s="94" t="s">
        <v>3472</v>
      </c>
      <c r="E177" s="95" t="s">
        <v>3473</v>
      </c>
      <c r="F177" s="96" t="s">
        <v>3318</v>
      </c>
      <c r="I177" s="55" t="s">
        <v>602</v>
      </c>
    </row>
    <row r="178" spans="1:9">
      <c r="A178" s="98">
        <v>586992900</v>
      </c>
      <c r="B178" s="96"/>
      <c r="C178" s="7"/>
      <c r="D178" s="94" t="s">
        <v>3474</v>
      </c>
      <c r="E178" s="95" t="s">
        <v>3475</v>
      </c>
      <c r="F178" s="96" t="s">
        <v>3315</v>
      </c>
      <c r="I178" s="55" t="s">
        <v>602</v>
      </c>
    </row>
    <row r="179" spans="1:9">
      <c r="A179" s="98">
        <v>586992900</v>
      </c>
      <c r="B179" s="96"/>
      <c r="C179" s="7"/>
      <c r="D179" s="94" t="s">
        <v>3476</v>
      </c>
      <c r="E179" s="95" t="s">
        <v>3477</v>
      </c>
      <c r="F179" s="96" t="s">
        <v>3318</v>
      </c>
      <c r="I179" s="55" t="s">
        <v>602</v>
      </c>
    </row>
    <row r="180" spans="1:9">
      <c r="A180" s="98">
        <v>586992900</v>
      </c>
      <c r="B180" s="96"/>
      <c r="C180" s="7"/>
      <c r="D180" s="7" t="s">
        <v>3478</v>
      </c>
      <c r="E180" s="100"/>
      <c r="F180" s="7" t="s">
        <v>3315</v>
      </c>
      <c r="I180" s="55" t="s">
        <v>602</v>
      </c>
    </row>
    <row r="181" spans="1:9">
      <c r="A181" s="98">
        <v>586992900</v>
      </c>
      <c r="B181" s="96"/>
      <c r="C181" s="7"/>
      <c r="D181" s="7" t="s">
        <v>3479</v>
      </c>
      <c r="E181" s="102"/>
      <c r="F181" s="7" t="s">
        <v>3318</v>
      </c>
      <c r="I181" s="55" t="s">
        <v>602</v>
      </c>
    </row>
    <row r="182" spans="1:9">
      <c r="A182" s="98">
        <v>586992900</v>
      </c>
      <c r="B182" s="96"/>
      <c r="C182" s="7"/>
      <c r="D182" s="94" t="s">
        <v>3480</v>
      </c>
      <c r="E182" s="95" t="s">
        <v>3481</v>
      </c>
      <c r="F182" s="96" t="s">
        <v>3318</v>
      </c>
      <c r="I182" s="55" t="s">
        <v>602</v>
      </c>
    </row>
    <row r="183" spans="1:9">
      <c r="A183" s="98">
        <v>586992900</v>
      </c>
      <c r="B183" s="96"/>
      <c r="C183" s="7"/>
      <c r="D183" s="94" t="s">
        <v>3482</v>
      </c>
      <c r="E183" s="99" t="s">
        <v>3483</v>
      </c>
      <c r="F183" s="96" t="s">
        <v>3318</v>
      </c>
      <c r="I183" s="55" t="s">
        <v>602</v>
      </c>
    </row>
    <row r="184" spans="1:9">
      <c r="A184" s="98">
        <v>586992900</v>
      </c>
      <c r="B184" s="96"/>
      <c r="C184" s="7"/>
      <c r="D184" s="7" t="s">
        <v>3484</v>
      </c>
      <c r="E184" s="104"/>
      <c r="F184" s="7" t="s">
        <v>3355</v>
      </c>
      <c r="I184" s="55" t="s">
        <v>602</v>
      </c>
    </row>
    <row r="185" spans="1:9">
      <c r="A185" s="98">
        <v>586992900</v>
      </c>
      <c r="B185" s="96"/>
      <c r="C185" s="7"/>
      <c r="D185" s="94" t="s">
        <v>3485</v>
      </c>
      <c r="E185" s="95" t="s">
        <v>3486</v>
      </c>
      <c r="F185" s="96" t="s">
        <v>3315</v>
      </c>
      <c r="I185" s="55" t="s">
        <v>602</v>
      </c>
    </row>
    <row r="186" spans="1:9">
      <c r="A186" s="98">
        <v>586992900</v>
      </c>
      <c r="B186" s="96"/>
      <c r="C186" s="7"/>
      <c r="D186" s="94" t="s">
        <v>3487</v>
      </c>
      <c r="E186" s="99" t="s">
        <v>3488</v>
      </c>
      <c r="F186" s="96" t="s">
        <v>3318</v>
      </c>
      <c r="I186" s="55" t="s">
        <v>602</v>
      </c>
    </row>
    <row r="187" spans="1:9">
      <c r="A187" s="98">
        <v>586992900</v>
      </c>
      <c r="B187" s="96"/>
      <c r="C187" s="7"/>
      <c r="D187" s="94" t="s">
        <v>3489</v>
      </c>
      <c r="E187" s="95" t="s">
        <v>3490</v>
      </c>
      <c r="F187" s="96" t="s">
        <v>3318</v>
      </c>
      <c r="I187" s="55" t="s">
        <v>602</v>
      </c>
    </row>
    <row r="188" spans="1:9">
      <c r="A188" s="98">
        <v>586992900</v>
      </c>
      <c r="B188" s="96"/>
      <c r="C188" s="7"/>
      <c r="D188" s="7" t="s">
        <v>3491</v>
      </c>
      <c r="E188" s="100"/>
      <c r="F188" s="7" t="s">
        <v>3318</v>
      </c>
      <c r="I188" s="55" t="s">
        <v>602</v>
      </c>
    </row>
    <row r="189" spans="1:9">
      <c r="A189" s="98">
        <v>586992900</v>
      </c>
      <c r="B189" s="96"/>
      <c r="C189" s="7"/>
      <c r="D189" s="7" t="s">
        <v>3492</v>
      </c>
      <c r="E189" s="102"/>
      <c r="F189" s="7" t="s">
        <v>3471</v>
      </c>
      <c r="I189" s="55" t="s">
        <v>602</v>
      </c>
    </row>
    <row r="190" spans="1:9">
      <c r="A190" s="98">
        <v>586992900</v>
      </c>
      <c r="B190" s="96"/>
      <c r="C190" s="7"/>
      <c r="D190" s="94" t="s">
        <v>3493</v>
      </c>
      <c r="E190" s="95" t="s">
        <v>3494</v>
      </c>
      <c r="F190" s="96" t="s">
        <v>3318</v>
      </c>
      <c r="I190" s="55" t="s">
        <v>602</v>
      </c>
    </row>
    <row r="191" spans="1:9">
      <c r="A191" s="98">
        <v>586992900</v>
      </c>
      <c r="B191" s="96"/>
      <c r="C191" s="7"/>
      <c r="D191" s="7" t="s">
        <v>3495</v>
      </c>
      <c r="E191" s="104"/>
      <c r="F191" s="7" t="s">
        <v>3323</v>
      </c>
      <c r="I191" s="55" t="s">
        <v>602</v>
      </c>
    </row>
    <row r="192" spans="1:9">
      <c r="A192" s="98">
        <v>586992900</v>
      </c>
      <c r="B192" s="96"/>
      <c r="C192" s="7"/>
      <c r="D192" s="94" t="s">
        <v>3496</v>
      </c>
      <c r="E192" s="95" t="s">
        <v>3497</v>
      </c>
      <c r="F192" s="96" t="s">
        <v>3318</v>
      </c>
      <c r="I192" s="55" t="s">
        <v>602</v>
      </c>
    </row>
    <row r="193" spans="1:9">
      <c r="A193" s="98">
        <v>586992900</v>
      </c>
      <c r="B193" s="96"/>
      <c r="C193" s="7"/>
      <c r="D193" s="94" t="s">
        <v>3498</v>
      </c>
      <c r="E193" s="99" t="s">
        <v>3499</v>
      </c>
      <c r="F193" s="96" t="s">
        <v>3318</v>
      </c>
      <c r="I193" s="55" t="s">
        <v>602</v>
      </c>
    </row>
    <row r="194" spans="1:9">
      <c r="A194" s="98">
        <v>586992900</v>
      </c>
      <c r="B194" s="96"/>
      <c r="C194" s="7"/>
      <c r="D194" s="94" t="s">
        <v>3500</v>
      </c>
      <c r="E194" s="95" t="s">
        <v>3501</v>
      </c>
      <c r="F194" s="96" t="s">
        <v>3340</v>
      </c>
      <c r="I194" s="55" t="s">
        <v>602</v>
      </c>
    </row>
    <row r="195" spans="1:9">
      <c r="A195" s="98">
        <v>586992900</v>
      </c>
      <c r="B195" s="96"/>
      <c r="C195" s="7"/>
      <c r="D195" s="94" t="s">
        <v>3502</v>
      </c>
      <c r="E195" s="95" t="s">
        <v>3503</v>
      </c>
      <c r="F195" s="96" t="s">
        <v>3318</v>
      </c>
      <c r="I195" s="55" t="s">
        <v>602</v>
      </c>
    </row>
    <row r="196" spans="1:9">
      <c r="A196" s="98">
        <v>586992900</v>
      </c>
      <c r="B196" s="96"/>
      <c r="C196" s="7"/>
      <c r="D196" s="94" t="s">
        <v>3504</v>
      </c>
      <c r="E196" s="99" t="s">
        <v>3505</v>
      </c>
      <c r="F196" s="96" t="s">
        <v>3340</v>
      </c>
      <c r="I196" s="55" t="s">
        <v>602</v>
      </c>
    </row>
    <row r="197" spans="1:9">
      <c r="A197" s="98">
        <v>586992900</v>
      </c>
      <c r="B197" s="96"/>
      <c r="C197" s="7"/>
      <c r="D197" s="7" t="s">
        <v>3506</v>
      </c>
      <c r="E197" s="104"/>
      <c r="F197" s="7" t="s">
        <v>3507</v>
      </c>
      <c r="I197" s="55" t="s">
        <v>602</v>
      </c>
    </row>
    <row r="198" spans="1:9">
      <c r="A198" s="98">
        <v>586992900</v>
      </c>
      <c r="B198" s="96"/>
      <c r="C198" s="7"/>
      <c r="D198" s="94" t="s">
        <v>3508</v>
      </c>
      <c r="E198" s="99" t="s">
        <v>3509</v>
      </c>
      <c r="F198" s="96" t="s">
        <v>3355</v>
      </c>
      <c r="I198" s="55" t="s">
        <v>602</v>
      </c>
    </row>
    <row r="199" spans="1:9">
      <c r="A199" s="98">
        <v>586992900</v>
      </c>
      <c r="B199" s="96"/>
      <c r="C199" s="7"/>
      <c r="D199" s="94" t="s">
        <v>3510</v>
      </c>
      <c r="E199" s="95" t="s">
        <v>3511</v>
      </c>
      <c r="F199" s="96" t="s">
        <v>3318</v>
      </c>
      <c r="I199" s="55" t="s">
        <v>602</v>
      </c>
    </row>
    <row r="200" spans="1:9">
      <c r="A200" s="98">
        <v>586992900</v>
      </c>
      <c r="B200" s="96"/>
      <c r="C200" s="7"/>
      <c r="D200" s="7" t="s">
        <v>3512</v>
      </c>
      <c r="E200" s="104"/>
      <c r="F200" s="7" t="s">
        <v>3471</v>
      </c>
      <c r="I200" s="55" t="s">
        <v>602</v>
      </c>
    </row>
    <row r="201" spans="1:9">
      <c r="A201" s="98">
        <v>586992900</v>
      </c>
      <c r="B201" s="96"/>
      <c r="C201" s="7"/>
      <c r="D201" s="94" t="s">
        <v>3513</v>
      </c>
      <c r="E201" s="99" t="s">
        <v>3514</v>
      </c>
      <c r="F201" s="96" t="s">
        <v>3471</v>
      </c>
      <c r="I201" s="55" t="s">
        <v>602</v>
      </c>
    </row>
    <row r="202" spans="1:9">
      <c r="A202" s="98">
        <v>586992900</v>
      </c>
      <c r="B202" s="96"/>
      <c r="C202" s="7"/>
      <c r="D202" s="94" t="s">
        <v>3515</v>
      </c>
      <c r="E202" s="99" t="s">
        <v>3516</v>
      </c>
      <c r="F202" s="96" t="s">
        <v>3318</v>
      </c>
      <c r="I202" s="55" t="s">
        <v>602</v>
      </c>
    </row>
    <row r="203" spans="1:9">
      <c r="A203" s="98">
        <v>586992900</v>
      </c>
      <c r="B203" s="96"/>
      <c r="C203" s="7"/>
      <c r="D203" s="94" t="s">
        <v>3517</v>
      </c>
      <c r="E203" s="99" t="s">
        <v>3518</v>
      </c>
      <c r="F203" s="96" t="s">
        <v>3318</v>
      </c>
      <c r="I203" s="55" t="s">
        <v>602</v>
      </c>
    </row>
    <row r="204" spans="1:9">
      <c r="A204" s="98">
        <v>586992900</v>
      </c>
      <c r="B204" s="96"/>
      <c r="C204" s="7"/>
      <c r="D204" s="94" t="s">
        <v>3519</v>
      </c>
      <c r="E204" s="99" t="s">
        <v>3520</v>
      </c>
      <c r="F204" s="96" t="s">
        <v>3315</v>
      </c>
      <c r="I204" s="55" t="s">
        <v>602</v>
      </c>
    </row>
    <row r="205" spans="1:9">
      <c r="A205" s="98">
        <v>586992900</v>
      </c>
      <c r="B205" s="96"/>
      <c r="C205" s="7"/>
      <c r="D205" s="94" t="s">
        <v>3521</v>
      </c>
      <c r="E205" s="95" t="s">
        <v>3522</v>
      </c>
      <c r="F205" s="96" t="s">
        <v>3355</v>
      </c>
      <c r="I205" s="55" t="s">
        <v>602</v>
      </c>
    </row>
    <row r="206" spans="1:9">
      <c r="A206" s="98">
        <v>586992900</v>
      </c>
      <c r="B206" s="96"/>
      <c r="C206" s="7"/>
      <c r="D206" s="7" t="s">
        <v>3523</v>
      </c>
      <c r="E206" s="104"/>
      <c r="F206" s="7" t="s">
        <v>3318</v>
      </c>
      <c r="I206" s="55" t="s">
        <v>602</v>
      </c>
    </row>
    <row r="207" spans="1:9">
      <c r="A207" s="98">
        <v>586992900</v>
      </c>
      <c r="B207" s="96"/>
      <c r="C207" s="7"/>
      <c r="D207" s="94" t="s">
        <v>3524</v>
      </c>
      <c r="E207" s="95" t="s">
        <v>3525</v>
      </c>
      <c r="F207" s="96" t="s">
        <v>3318</v>
      </c>
      <c r="I207" s="55" t="s">
        <v>602</v>
      </c>
    </row>
    <row r="208" spans="1:9">
      <c r="A208" s="98">
        <v>586992900</v>
      </c>
      <c r="B208" s="96"/>
      <c r="C208" s="7"/>
      <c r="D208" s="7" t="s">
        <v>3526</v>
      </c>
      <c r="E208" s="104"/>
      <c r="F208" s="7" t="s">
        <v>3318</v>
      </c>
      <c r="I208" s="55" t="s">
        <v>602</v>
      </c>
    </row>
    <row r="209" spans="1:9">
      <c r="A209" s="98">
        <v>586992900</v>
      </c>
      <c r="B209" s="96"/>
      <c r="C209" s="7"/>
      <c r="D209" s="94" t="s">
        <v>3527</v>
      </c>
      <c r="E209" s="95" t="s">
        <v>3528</v>
      </c>
      <c r="F209" s="96" t="s">
        <v>3315</v>
      </c>
      <c r="I209" s="55" t="s">
        <v>602</v>
      </c>
    </row>
    <row r="210" spans="1:9">
      <c r="A210" s="98">
        <v>586992900</v>
      </c>
      <c r="B210" s="96"/>
      <c r="C210" s="7"/>
      <c r="D210" s="94" t="s">
        <v>3529</v>
      </c>
      <c r="E210" s="99" t="s">
        <v>3530</v>
      </c>
      <c r="F210" s="96" t="s">
        <v>3531</v>
      </c>
      <c r="I210" s="55" t="s">
        <v>602</v>
      </c>
    </row>
    <row r="211" spans="1:9">
      <c r="A211" s="98">
        <v>586992900</v>
      </c>
      <c r="B211" s="96"/>
      <c r="C211" s="7"/>
      <c r="D211" s="94" t="s">
        <v>3532</v>
      </c>
      <c r="E211" s="99" t="s">
        <v>3533</v>
      </c>
      <c r="F211" s="96" t="s">
        <v>3318</v>
      </c>
      <c r="I211" s="55" t="s">
        <v>602</v>
      </c>
    </row>
    <row r="212" spans="1:9">
      <c r="A212" s="98">
        <v>586992900</v>
      </c>
      <c r="B212" s="96"/>
      <c r="C212" s="7"/>
      <c r="D212" s="7" t="s">
        <v>3534</v>
      </c>
      <c r="E212" s="104"/>
      <c r="F212" s="7" t="s">
        <v>3318</v>
      </c>
      <c r="I212" s="55" t="s">
        <v>602</v>
      </c>
    </row>
    <row r="213" spans="1:9">
      <c r="A213" s="98">
        <v>586992900</v>
      </c>
      <c r="B213" s="96"/>
      <c r="C213" s="7"/>
      <c r="D213" s="94" t="s">
        <v>3535</v>
      </c>
      <c r="E213" s="99" t="s">
        <v>3536</v>
      </c>
      <c r="F213" s="96" t="s">
        <v>3318</v>
      </c>
      <c r="I213" s="55" t="s">
        <v>602</v>
      </c>
    </row>
    <row r="214" spans="1:9">
      <c r="A214" s="98">
        <v>586992900</v>
      </c>
      <c r="B214" s="96"/>
      <c r="C214" s="7"/>
      <c r="D214" s="94" t="s">
        <v>3537</v>
      </c>
      <c r="E214" s="95" t="s">
        <v>3538</v>
      </c>
      <c r="F214" s="96" t="s">
        <v>3318</v>
      </c>
      <c r="I214" s="55" t="s">
        <v>602</v>
      </c>
    </row>
    <row r="215" spans="1:9">
      <c r="A215" s="98">
        <v>586992900</v>
      </c>
      <c r="B215" s="96"/>
      <c r="C215" s="7"/>
      <c r="D215" s="7" t="s">
        <v>3539</v>
      </c>
      <c r="E215" s="104"/>
      <c r="F215" s="7" t="s">
        <v>3315</v>
      </c>
      <c r="I215" s="55" t="s">
        <v>602</v>
      </c>
    </row>
    <row r="216" spans="1:9">
      <c r="A216" s="98">
        <v>586992900</v>
      </c>
      <c r="B216" s="96"/>
      <c r="C216" s="7"/>
      <c r="D216" s="94" t="s">
        <v>3540</v>
      </c>
      <c r="E216" s="95" t="s">
        <v>3541</v>
      </c>
      <c r="F216" s="96" t="s">
        <v>3318</v>
      </c>
      <c r="I216" s="55" t="s">
        <v>602</v>
      </c>
    </row>
    <row r="217" spans="1:9">
      <c r="A217" s="98">
        <v>586992900</v>
      </c>
      <c r="B217" s="96"/>
      <c r="C217" s="7"/>
      <c r="D217" s="7" t="s">
        <v>3542</v>
      </c>
      <c r="E217" s="104"/>
      <c r="F217" s="7" t="s">
        <v>3315</v>
      </c>
      <c r="I217" s="55" t="s">
        <v>602</v>
      </c>
    </row>
    <row r="218" spans="1:9">
      <c r="A218" s="98">
        <v>586992900</v>
      </c>
      <c r="B218" s="96"/>
      <c r="C218" s="7"/>
      <c r="D218" s="94" t="s">
        <v>3543</v>
      </c>
      <c r="E218" s="99" t="s">
        <v>3544</v>
      </c>
      <c r="F218" s="96" t="s">
        <v>3323</v>
      </c>
      <c r="I218" s="55" t="s">
        <v>602</v>
      </c>
    </row>
    <row r="219" spans="1:9">
      <c r="A219" s="98">
        <v>586992900</v>
      </c>
      <c r="B219" s="96"/>
      <c r="C219" s="7"/>
      <c r="D219" s="94" t="s">
        <v>3545</v>
      </c>
      <c r="E219" s="95" t="s">
        <v>3546</v>
      </c>
      <c r="F219" s="96" t="s">
        <v>3318</v>
      </c>
      <c r="I219" s="55" t="s">
        <v>602</v>
      </c>
    </row>
    <row r="220" spans="1:9">
      <c r="A220" s="98">
        <v>586992900</v>
      </c>
      <c r="B220" s="96"/>
      <c r="C220" s="7"/>
      <c r="D220" s="7" t="s">
        <v>3547</v>
      </c>
      <c r="E220" s="104"/>
      <c r="F220" s="7" t="s">
        <v>3318</v>
      </c>
      <c r="I220" s="55" t="s">
        <v>602</v>
      </c>
    </row>
    <row r="221" spans="1:9">
      <c r="A221" s="98">
        <v>586992900</v>
      </c>
      <c r="B221" s="96"/>
      <c r="C221" s="7"/>
      <c r="D221" s="94" t="s">
        <v>3548</v>
      </c>
      <c r="E221" s="95" t="s">
        <v>3549</v>
      </c>
      <c r="F221" s="96" t="s">
        <v>3355</v>
      </c>
      <c r="I221" s="55" t="s">
        <v>602</v>
      </c>
    </row>
    <row r="222" spans="1:9">
      <c r="A222" s="98">
        <v>586992900</v>
      </c>
      <c r="B222" s="96"/>
      <c r="C222" s="7"/>
      <c r="D222" s="94" t="s">
        <v>3550</v>
      </c>
      <c r="E222" s="110"/>
      <c r="F222" s="96" t="s">
        <v>3318</v>
      </c>
      <c r="I222" s="55" t="s">
        <v>602</v>
      </c>
    </row>
    <row r="223" spans="1:9">
      <c r="A223" s="98">
        <v>586992900</v>
      </c>
      <c r="B223" s="96"/>
      <c r="C223" s="7"/>
      <c r="D223" s="94" t="s">
        <v>3551</v>
      </c>
      <c r="E223" s="111" t="s">
        <v>3552</v>
      </c>
      <c r="F223" s="96" t="s">
        <v>3318</v>
      </c>
      <c r="I223" s="55" t="s">
        <v>602</v>
      </c>
    </row>
    <row r="224" spans="1:9">
      <c r="A224" s="98">
        <v>586992900</v>
      </c>
      <c r="B224" s="96"/>
      <c r="C224" s="7"/>
      <c r="D224" s="94" t="s">
        <v>3553</v>
      </c>
      <c r="E224" s="95" t="s">
        <v>3554</v>
      </c>
      <c r="F224" s="96" t="s">
        <v>3318</v>
      </c>
      <c r="I224" s="55" t="s">
        <v>602</v>
      </c>
    </row>
    <row r="225" spans="1:9">
      <c r="A225" s="98">
        <v>586992900</v>
      </c>
      <c r="B225" s="96"/>
      <c r="C225" s="7"/>
      <c r="D225" s="94" t="s">
        <v>3555</v>
      </c>
      <c r="E225" s="95" t="s">
        <v>3556</v>
      </c>
      <c r="F225" s="96" t="s">
        <v>3318</v>
      </c>
      <c r="I225" s="55" t="s">
        <v>602</v>
      </c>
    </row>
    <row r="226" spans="1:9">
      <c r="A226" s="98">
        <v>586992900</v>
      </c>
      <c r="B226" s="96"/>
      <c r="C226" s="7"/>
      <c r="D226" s="94" t="s">
        <v>3557</v>
      </c>
      <c r="E226" s="95" t="s">
        <v>3558</v>
      </c>
      <c r="F226" s="96" t="s">
        <v>3318</v>
      </c>
      <c r="I226" s="55" t="s">
        <v>602</v>
      </c>
    </row>
    <row r="227" spans="1:9">
      <c r="A227" s="98">
        <v>586992900</v>
      </c>
      <c r="B227" s="96"/>
      <c r="C227" s="7"/>
      <c r="D227" s="94" t="s">
        <v>3559</v>
      </c>
      <c r="E227" s="95" t="s">
        <v>3560</v>
      </c>
      <c r="F227" s="96" t="s">
        <v>3325</v>
      </c>
      <c r="I227" s="55" t="s">
        <v>602</v>
      </c>
    </row>
    <row r="228" spans="1:9">
      <c r="A228" s="98">
        <v>586992900</v>
      </c>
      <c r="B228" s="96"/>
      <c r="C228" s="7"/>
      <c r="D228" s="94" t="s">
        <v>3561</v>
      </c>
      <c r="E228" s="99" t="s">
        <v>3562</v>
      </c>
      <c r="F228" s="96" t="s">
        <v>3318</v>
      </c>
      <c r="I228" s="55" t="s">
        <v>602</v>
      </c>
    </row>
    <row r="229" spans="1:9">
      <c r="A229" s="98">
        <v>586992900</v>
      </c>
      <c r="B229" s="96"/>
      <c r="C229" s="7"/>
      <c r="D229" s="7" t="s">
        <v>3563</v>
      </c>
      <c r="E229" s="104"/>
      <c r="F229" s="7" t="s">
        <v>3318</v>
      </c>
      <c r="I229" s="55" t="s">
        <v>602</v>
      </c>
    </row>
    <row r="230" spans="1:9">
      <c r="A230" s="98">
        <v>586992900</v>
      </c>
      <c r="B230" s="96"/>
      <c r="C230" s="7"/>
      <c r="D230" s="94" t="s">
        <v>3564</v>
      </c>
      <c r="E230" s="95" t="s">
        <v>3565</v>
      </c>
      <c r="F230" s="96" t="s">
        <v>3318</v>
      </c>
      <c r="I230" s="55" t="s">
        <v>602</v>
      </c>
    </row>
    <row r="231" spans="1:9">
      <c r="A231" s="98">
        <v>586992900</v>
      </c>
      <c r="B231" s="96"/>
      <c r="C231" s="7"/>
      <c r="D231" s="7" t="s">
        <v>3566</v>
      </c>
      <c r="E231" s="100"/>
      <c r="F231" s="7" t="s">
        <v>3318</v>
      </c>
      <c r="I231" s="55" t="s">
        <v>602</v>
      </c>
    </row>
    <row r="232" spans="1:9">
      <c r="A232" s="98">
        <v>586992900</v>
      </c>
      <c r="B232" s="96"/>
      <c r="C232" s="7"/>
      <c r="D232" s="7" t="s">
        <v>3567</v>
      </c>
      <c r="E232" s="102"/>
      <c r="F232" s="7" t="s">
        <v>3318</v>
      </c>
      <c r="I232" s="55" t="s">
        <v>602</v>
      </c>
    </row>
    <row r="233" spans="1:9">
      <c r="A233" s="98">
        <v>586992900</v>
      </c>
      <c r="B233" s="96"/>
      <c r="C233" s="7"/>
      <c r="D233" s="94" t="s">
        <v>3568</v>
      </c>
      <c r="E233" s="99" t="s">
        <v>3569</v>
      </c>
      <c r="F233" s="96" t="s">
        <v>3318</v>
      </c>
      <c r="I233" s="55" t="s">
        <v>602</v>
      </c>
    </row>
    <row r="234" spans="1:9">
      <c r="A234" s="98">
        <v>586992900</v>
      </c>
      <c r="B234" s="96"/>
      <c r="C234" s="7"/>
      <c r="D234" s="94" t="s">
        <v>3570</v>
      </c>
      <c r="E234" s="99" t="s">
        <v>3571</v>
      </c>
      <c r="F234" s="96" t="s">
        <v>3318</v>
      </c>
      <c r="I234" s="55" t="s">
        <v>602</v>
      </c>
    </row>
    <row r="235" spans="1:9">
      <c r="A235" s="98">
        <v>586992900</v>
      </c>
      <c r="B235" s="96"/>
      <c r="C235" s="7"/>
      <c r="D235" s="94" t="s">
        <v>3572</v>
      </c>
      <c r="E235" s="95" t="s">
        <v>3573</v>
      </c>
      <c r="F235" s="96" t="s">
        <v>3315</v>
      </c>
      <c r="I235" s="55" t="s">
        <v>602</v>
      </c>
    </row>
    <row r="236" spans="1:9">
      <c r="A236" s="98">
        <v>586992900</v>
      </c>
      <c r="B236" s="96"/>
      <c r="C236" s="7"/>
      <c r="D236" s="94" t="s">
        <v>3574</v>
      </c>
      <c r="E236" s="99" t="s">
        <v>3575</v>
      </c>
      <c r="F236" s="96" t="s">
        <v>3355</v>
      </c>
      <c r="I236" s="55" t="s">
        <v>602</v>
      </c>
    </row>
    <row r="237" spans="1:9">
      <c r="A237" s="98">
        <v>586992900</v>
      </c>
      <c r="B237" s="96"/>
      <c r="C237" s="7"/>
      <c r="D237" s="94" t="s">
        <v>3576</v>
      </c>
      <c r="E237" s="99" t="s">
        <v>3577</v>
      </c>
      <c r="F237" s="96" t="s">
        <v>3318</v>
      </c>
      <c r="I237" s="55" t="s">
        <v>602</v>
      </c>
    </row>
    <row r="238" spans="1:9">
      <c r="A238" s="98">
        <v>586992900</v>
      </c>
      <c r="B238" s="96"/>
      <c r="C238" s="7"/>
      <c r="D238" s="94" t="s">
        <v>3578</v>
      </c>
      <c r="E238" s="95" t="s">
        <v>3579</v>
      </c>
      <c r="F238" s="96" t="s">
        <v>3318</v>
      </c>
      <c r="I238" s="55" t="s">
        <v>602</v>
      </c>
    </row>
    <row r="239" spans="1:9">
      <c r="A239" s="98">
        <v>586992900</v>
      </c>
      <c r="B239" s="96"/>
      <c r="C239" s="7"/>
      <c r="D239" s="94" t="s">
        <v>3580</v>
      </c>
      <c r="E239" s="99" t="s">
        <v>3581</v>
      </c>
      <c r="F239" s="96" t="s">
        <v>3318</v>
      </c>
      <c r="I239" s="55" t="s">
        <v>602</v>
      </c>
    </row>
    <row r="240" spans="1:9">
      <c r="A240" s="98">
        <v>586992900</v>
      </c>
      <c r="B240" s="96"/>
      <c r="C240" s="7"/>
      <c r="D240" s="94" t="s">
        <v>3582</v>
      </c>
      <c r="E240" s="99" t="s">
        <v>3583</v>
      </c>
      <c r="F240" s="96" t="s">
        <v>3318</v>
      </c>
      <c r="I240" s="55" t="s">
        <v>602</v>
      </c>
    </row>
    <row r="241" spans="1:9">
      <c r="A241" s="98">
        <v>586992900</v>
      </c>
      <c r="B241" s="96"/>
      <c r="C241" s="7"/>
      <c r="D241" s="94" t="s">
        <v>3584</v>
      </c>
      <c r="E241" s="99" t="s">
        <v>3585</v>
      </c>
      <c r="F241" s="96" t="s">
        <v>3507</v>
      </c>
      <c r="I241" s="55" t="s">
        <v>602</v>
      </c>
    </row>
    <row r="242" spans="1:9">
      <c r="A242" s="98">
        <v>586992900</v>
      </c>
      <c r="B242" s="96"/>
      <c r="C242" s="7"/>
      <c r="D242" s="7" t="s">
        <v>3586</v>
      </c>
      <c r="E242" s="104"/>
      <c r="F242" s="7" t="s">
        <v>3318</v>
      </c>
      <c r="I242" s="55" t="s">
        <v>602</v>
      </c>
    </row>
    <row r="243" spans="1:9">
      <c r="A243" s="98">
        <v>586992900</v>
      </c>
      <c r="B243" s="96"/>
      <c r="C243" s="7"/>
      <c r="D243" s="94" t="s">
        <v>3587</v>
      </c>
      <c r="E243" s="99" t="s">
        <v>3588</v>
      </c>
      <c r="F243" s="96" t="s">
        <v>3325</v>
      </c>
      <c r="I243" s="55" t="s">
        <v>602</v>
      </c>
    </row>
    <row r="244" spans="1:9">
      <c r="A244" s="98">
        <v>586992900</v>
      </c>
      <c r="B244" s="96"/>
      <c r="C244" s="7"/>
      <c r="D244" s="94" t="s">
        <v>3589</v>
      </c>
      <c r="E244" s="99" t="s">
        <v>3590</v>
      </c>
      <c r="F244" s="96" t="s">
        <v>3318</v>
      </c>
      <c r="I244" s="55" t="s">
        <v>602</v>
      </c>
    </row>
    <row r="245" spans="1:9">
      <c r="A245" s="98">
        <v>586992900</v>
      </c>
      <c r="B245" s="96"/>
      <c r="C245" s="7"/>
      <c r="D245" s="94" t="s">
        <v>3591</v>
      </c>
      <c r="E245" s="99" t="s">
        <v>3592</v>
      </c>
      <c r="F245" s="96" t="s">
        <v>3318</v>
      </c>
      <c r="I245" s="55" t="s">
        <v>602</v>
      </c>
    </row>
    <row r="246" spans="1:9">
      <c r="A246" s="98">
        <v>586992900</v>
      </c>
      <c r="B246" s="96"/>
      <c r="C246" s="7"/>
      <c r="D246" s="94" t="s">
        <v>3593</v>
      </c>
      <c r="E246" s="95" t="s">
        <v>3594</v>
      </c>
      <c r="F246" s="96" t="s">
        <v>3318</v>
      </c>
      <c r="I246" s="55" t="s">
        <v>602</v>
      </c>
    </row>
    <row r="247" spans="1:9">
      <c r="A247" s="98">
        <v>586992900</v>
      </c>
      <c r="B247" s="96"/>
      <c r="C247" s="7"/>
      <c r="D247" s="7" t="s">
        <v>3595</v>
      </c>
      <c r="E247" s="104"/>
      <c r="F247" s="7" t="s">
        <v>3318</v>
      </c>
      <c r="I247" s="55" t="s">
        <v>602</v>
      </c>
    </row>
    <row r="248" spans="1:9">
      <c r="A248" s="98">
        <v>586992900</v>
      </c>
      <c r="B248" s="96"/>
      <c r="C248" s="7"/>
      <c r="D248" s="94" t="s">
        <v>3596</v>
      </c>
      <c r="E248" s="95" t="s">
        <v>3597</v>
      </c>
      <c r="F248" s="96" t="s">
        <v>3318</v>
      </c>
      <c r="I248" s="55" t="s">
        <v>602</v>
      </c>
    </row>
    <row r="249" spans="1:9">
      <c r="A249" s="98">
        <v>586992900</v>
      </c>
      <c r="B249" s="96"/>
      <c r="C249" s="7"/>
      <c r="D249" s="94" t="s">
        <v>3598</v>
      </c>
      <c r="E249" s="95" t="s">
        <v>3599</v>
      </c>
      <c r="F249" s="96" t="s">
        <v>3355</v>
      </c>
      <c r="I249" s="55" t="s">
        <v>602</v>
      </c>
    </row>
    <row r="250" spans="1:9">
      <c r="A250" s="98">
        <v>586992900</v>
      </c>
      <c r="B250" s="96"/>
      <c r="C250" s="7"/>
      <c r="D250" s="94" t="s">
        <v>3600</v>
      </c>
      <c r="E250" s="95" t="s">
        <v>3601</v>
      </c>
      <c r="F250" s="96" t="s">
        <v>3325</v>
      </c>
      <c r="I250" s="55" t="s">
        <v>602</v>
      </c>
    </row>
    <row r="251" spans="1:9">
      <c r="A251" s="98">
        <v>586992900</v>
      </c>
      <c r="B251" s="96"/>
      <c r="C251" s="7"/>
      <c r="D251" s="94" t="s">
        <v>3602</v>
      </c>
      <c r="E251" s="99" t="s">
        <v>3603</v>
      </c>
      <c r="F251" s="96" t="s">
        <v>3355</v>
      </c>
      <c r="I251" s="55" t="s">
        <v>602</v>
      </c>
    </row>
    <row r="252" spans="1:9">
      <c r="A252" s="98">
        <v>586992900</v>
      </c>
      <c r="B252" s="96"/>
      <c r="C252" s="7"/>
      <c r="D252" s="94" t="s">
        <v>3604</v>
      </c>
      <c r="E252" s="95" t="s">
        <v>3605</v>
      </c>
      <c r="F252" s="96" t="s">
        <v>3318</v>
      </c>
      <c r="I252" s="55" t="s">
        <v>602</v>
      </c>
    </row>
    <row r="253" spans="1:9">
      <c r="A253" s="98">
        <v>586992900</v>
      </c>
      <c r="B253" s="96"/>
      <c r="C253" s="7"/>
      <c r="D253" s="7" t="s">
        <v>3606</v>
      </c>
      <c r="E253" s="100"/>
      <c r="F253" s="7" t="s">
        <v>3318</v>
      </c>
      <c r="I253" s="55" t="s">
        <v>602</v>
      </c>
    </row>
    <row r="254" spans="1:9">
      <c r="A254" s="98">
        <v>586992900</v>
      </c>
      <c r="B254" s="96"/>
      <c r="C254" s="7"/>
      <c r="D254" s="7" t="s">
        <v>3607</v>
      </c>
      <c r="E254" s="102"/>
      <c r="F254" s="7" t="s">
        <v>3318</v>
      </c>
      <c r="I254" s="55" t="s">
        <v>602</v>
      </c>
    </row>
    <row r="255" spans="1:9">
      <c r="A255" s="98">
        <v>586992900</v>
      </c>
      <c r="B255" s="96"/>
      <c r="C255" s="7"/>
      <c r="D255" s="94" t="s">
        <v>3608</v>
      </c>
      <c r="E255" s="99" t="s">
        <v>3609</v>
      </c>
      <c r="F255" s="96" t="s">
        <v>3318</v>
      </c>
      <c r="I255" s="55" t="s">
        <v>602</v>
      </c>
    </row>
    <row r="256" spans="1:9">
      <c r="A256" s="98">
        <v>586992900</v>
      </c>
      <c r="B256" s="96"/>
      <c r="C256" s="7"/>
      <c r="D256" s="7" t="s">
        <v>3610</v>
      </c>
      <c r="E256" s="100"/>
      <c r="F256" s="7" t="s">
        <v>3355</v>
      </c>
      <c r="I256" s="55" t="s">
        <v>602</v>
      </c>
    </row>
    <row r="257" spans="1:9">
      <c r="A257" s="98">
        <v>586992900</v>
      </c>
      <c r="B257" s="96"/>
      <c r="C257" s="7"/>
      <c r="D257" s="7" t="s">
        <v>3611</v>
      </c>
      <c r="E257" s="101"/>
      <c r="F257" s="7" t="s">
        <v>3315</v>
      </c>
      <c r="I257" s="55" t="s">
        <v>602</v>
      </c>
    </row>
    <row r="258" spans="1:9">
      <c r="A258" s="98">
        <v>586992900</v>
      </c>
      <c r="B258" s="96"/>
      <c r="C258" s="7"/>
      <c r="D258" s="7" t="s">
        <v>3612</v>
      </c>
      <c r="E258" s="102"/>
      <c r="F258" s="7" t="s">
        <v>3376</v>
      </c>
      <c r="I258" s="55" t="s">
        <v>602</v>
      </c>
    </row>
    <row r="259" spans="1:9">
      <c r="A259" s="98">
        <v>586992900</v>
      </c>
      <c r="B259" s="96"/>
      <c r="C259" s="7"/>
      <c r="D259" s="94" t="s">
        <v>3613</v>
      </c>
      <c r="E259" s="99" t="s">
        <v>3614</v>
      </c>
      <c r="F259" s="96" t="s">
        <v>3318</v>
      </c>
      <c r="I259" s="55" t="s">
        <v>602</v>
      </c>
    </row>
    <row r="260" spans="1:9">
      <c r="A260" s="98">
        <v>586992900</v>
      </c>
      <c r="B260" s="96"/>
      <c r="C260" s="7"/>
      <c r="D260" s="94" t="s">
        <v>3615</v>
      </c>
      <c r="E260" s="95" t="s">
        <v>3616</v>
      </c>
      <c r="F260" s="96" t="s">
        <v>3315</v>
      </c>
      <c r="I260" s="55" t="s">
        <v>602</v>
      </c>
    </row>
    <row r="261" spans="1:9">
      <c r="A261" s="98">
        <v>586992900</v>
      </c>
      <c r="B261" s="96"/>
      <c r="C261" s="7"/>
      <c r="D261" s="94" t="s">
        <v>3617</v>
      </c>
      <c r="E261" s="95" t="s">
        <v>3618</v>
      </c>
      <c r="F261" s="96" t="s">
        <v>3507</v>
      </c>
      <c r="I261" s="55" t="s">
        <v>602</v>
      </c>
    </row>
    <row r="262" spans="1:9">
      <c r="A262" s="98">
        <v>586992900</v>
      </c>
      <c r="B262" s="96"/>
      <c r="C262" s="7"/>
      <c r="D262" s="7" t="s">
        <v>3619</v>
      </c>
      <c r="E262" s="104"/>
      <c r="F262" s="7" t="s">
        <v>3318</v>
      </c>
      <c r="I262" s="55" t="s">
        <v>602</v>
      </c>
    </row>
    <row r="263" spans="1:9">
      <c r="A263" s="98">
        <v>586992900</v>
      </c>
      <c r="B263" s="96"/>
      <c r="C263" s="7"/>
      <c r="D263" s="94" t="s">
        <v>3620</v>
      </c>
      <c r="E263" s="99" t="s">
        <v>3621</v>
      </c>
      <c r="F263" s="96" t="s">
        <v>3318</v>
      </c>
      <c r="I263" s="55" t="s">
        <v>602</v>
      </c>
    </row>
    <row r="264" spans="1:9">
      <c r="A264" s="98">
        <v>586992900</v>
      </c>
      <c r="B264" s="96"/>
      <c r="C264" s="7"/>
      <c r="D264" s="94" t="s">
        <v>3622</v>
      </c>
      <c r="E264" s="95" t="s">
        <v>3623</v>
      </c>
      <c r="F264" s="96" t="s">
        <v>3318</v>
      </c>
      <c r="I264" s="55" t="s">
        <v>602</v>
      </c>
    </row>
    <row r="265" spans="1:9">
      <c r="A265" s="98">
        <v>586992900</v>
      </c>
      <c r="B265" s="96"/>
      <c r="C265" s="7"/>
      <c r="D265" s="94" t="s">
        <v>3624</v>
      </c>
      <c r="E265" s="95" t="s">
        <v>3625</v>
      </c>
      <c r="F265" s="96" t="s">
        <v>3318</v>
      </c>
      <c r="I265" s="55" t="s">
        <v>602</v>
      </c>
    </row>
    <row r="266" spans="1:9">
      <c r="A266" s="98">
        <v>586992900</v>
      </c>
      <c r="B266" s="96"/>
      <c r="C266" s="7"/>
      <c r="D266" s="7" t="s">
        <v>3626</v>
      </c>
      <c r="E266" s="100"/>
      <c r="F266" s="7" t="s">
        <v>3318</v>
      </c>
      <c r="I266" s="55" t="s">
        <v>602</v>
      </c>
    </row>
    <row r="267" spans="1:9" s="59" customFormat="1">
      <c r="A267" s="55">
        <v>9466986800</v>
      </c>
      <c r="B267" s="56" t="s">
        <v>1599</v>
      </c>
      <c r="C267" s="56" t="s">
        <v>1600</v>
      </c>
      <c r="D267" s="56" t="s">
        <v>3627</v>
      </c>
      <c r="E267" s="58" t="s">
        <v>1601</v>
      </c>
      <c r="F267" s="56"/>
      <c r="G267" s="112"/>
      <c r="I267" s="55" t="s">
        <v>602</v>
      </c>
    </row>
    <row r="268" spans="1:9" s="59" customFormat="1">
      <c r="A268" s="55">
        <v>9466986800</v>
      </c>
      <c r="B268" s="56" t="s">
        <v>1439</v>
      </c>
      <c r="C268" s="56" t="s">
        <v>1440</v>
      </c>
      <c r="D268" s="56" t="s">
        <v>3628</v>
      </c>
      <c r="E268" s="58" t="s">
        <v>1441</v>
      </c>
      <c r="F268" s="56"/>
      <c r="G268" s="112"/>
      <c r="I268" s="55" t="s">
        <v>602</v>
      </c>
    </row>
    <row r="269" spans="1:9" s="59" customFormat="1">
      <c r="A269" s="55">
        <v>9466986800</v>
      </c>
      <c r="B269" s="56" t="s">
        <v>684</v>
      </c>
      <c r="C269" s="56" t="s">
        <v>685</v>
      </c>
      <c r="D269" s="56" t="s">
        <v>3629</v>
      </c>
      <c r="E269" s="58" t="s">
        <v>686</v>
      </c>
      <c r="F269" s="56" t="s">
        <v>687</v>
      </c>
      <c r="G269" s="112"/>
      <c r="I269" s="55" t="s">
        <v>602</v>
      </c>
    </row>
    <row r="270" spans="1:9" s="59" customFormat="1">
      <c r="A270" s="55">
        <v>9466986800</v>
      </c>
      <c r="B270" s="56" t="s">
        <v>692</v>
      </c>
      <c r="C270" s="56" t="s">
        <v>693</v>
      </c>
      <c r="D270" s="56" t="s">
        <v>3630</v>
      </c>
      <c r="E270" s="58" t="s">
        <v>694</v>
      </c>
      <c r="F270" s="56" t="s">
        <v>695</v>
      </c>
      <c r="G270" s="112"/>
      <c r="I270" s="55" t="s">
        <v>602</v>
      </c>
    </row>
    <row r="271" spans="1:9" s="59" customFormat="1">
      <c r="A271" s="55">
        <v>9466986800</v>
      </c>
      <c r="B271" s="56" t="s">
        <v>1464</v>
      </c>
      <c r="C271" s="56" t="s">
        <v>1465</v>
      </c>
      <c r="D271" s="56" t="s">
        <v>3631</v>
      </c>
      <c r="E271" s="58" t="s">
        <v>1466</v>
      </c>
      <c r="F271" s="56" t="s">
        <v>1467</v>
      </c>
      <c r="G271" s="112"/>
      <c r="I271" s="55" t="s">
        <v>602</v>
      </c>
    </row>
    <row r="272" spans="1:9" s="59" customFormat="1">
      <c r="A272" s="55">
        <v>9466986800</v>
      </c>
      <c r="B272" s="56" t="s">
        <v>1296</v>
      </c>
      <c r="C272" s="56" t="s">
        <v>1297</v>
      </c>
      <c r="D272" s="56" t="s">
        <v>3632</v>
      </c>
      <c r="E272" s="58" t="s">
        <v>1298</v>
      </c>
      <c r="F272" s="56" t="s">
        <v>1299</v>
      </c>
      <c r="G272" s="112"/>
      <c r="I272" s="55" t="s">
        <v>602</v>
      </c>
    </row>
    <row r="273" spans="1:9" s="59" customFormat="1">
      <c r="A273" s="55">
        <v>9466986800</v>
      </c>
      <c r="B273" s="56" t="s">
        <v>1346</v>
      </c>
      <c r="C273" s="56" t="s">
        <v>1347</v>
      </c>
      <c r="D273" s="56" t="s">
        <v>3633</v>
      </c>
      <c r="E273" s="58" t="s">
        <v>1348</v>
      </c>
      <c r="F273" s="56" t="s">
        <v>1349</v>
      </c>
      <c r="G273" s="112"/>
      <c r="I273" s="55" t="s">
        <v>602</v>
      </c>
    </row>
    <row r="274" spans="1:9" s="59" customFormat="1">
      <c r="A274" s="55">
        <v>9466986800</v>
      </c>
      <c r="B274" s="56" t="s">
        <v>1719</v>
      </c>
      <c r="C274" s="56" t="s">
        <v>1720</v>
      </c>
      <c r="D274" s="56" t="s">
        <v>3634</v>
      </c>
      <c r="E274" s="58" t="s">
        <v>1721</v>
      </c>
      <c r="F274" s="56" t="s">
        <v>1722</v>
      </c>
      <c r="G274" s="112"/>
      <c r="I274" s="55" t="s">
        <v>602</v>
      </c>
    </row>
    <row r="275" spans="1:9" s="59" customFormat="1">
      <c r="A275" s="55">
        <v>9466986800</v>
      </c>
      <c r="B275" s="56" t="s">
        <v>1330</v>
      </c>
      <c r="C275" s="56" t="s">
        <v>1331</v>
      </c>
      <c r="D275" s="56" t="s">
        <v>3635</v>
      </c>
      <c r="E275" s="58" t="s">
        <v>1332</v>
      </c>
      <c r="F275" s="56" t="s">
        <v>1333</v>
      </c>
      <c r="G275" s="112"/>
      <c r="I275" s="55" t="s">
        <v>602</v>
      </c>
    </row>
    <row r="276" spans="1:9" s="59" customFormat="1">
      <c r="A276" s="55">
        <v>9466986800</v>
      </c>
      <c r="B276" s="56" t="s">
        <v>1326</v>
      </c>
      <c r="C276" s="56" t="s">
        <v>1327</v>
      </c>
      <c r="D276" s="56" t="s">
        <v>3636</v>
      </c>
      <c r="E276" s="58" t="s">
        <v>1328</v>
      </c>
      <c r="F276" s="56" t="s">
        <v>1329</v>
      </c>
      <c r="G276" s="112"/>
      <c r="I276" s="55" t="s">
        <v>602</v>
      </c>
    </row>
    <row r="277" spans="1:9" s="59" customFormat="1">
      <c r="A277" s="55">
        <v>9466986800</v>
      </c>
      <c r="B277" s="56" t="s">
        <v>1551</v>
      </c>
      <c r="C277" s="56" t="s">
        <v>1552</v>
      </c>
      <c r="D277" s="56" t="s">
        <v>3637</v>
      </c>
      <c r="E277" s="58" t="s">
        <v>1553</v>
      </c>
      <c r="F277" s="56" t="s">
        <v>1554</v>
      </c>
      <c r="G277" s="112"/>
      <c r="I277" s="55" t="s">
        <v>602</v>
      </c>
    </row>
    <row r="278" spans="1:9" s="59" customFormat="1">
      <c r="A278" s="55">
        <v>9466986800</v>
      </c>
      <c r="B278" s="56" t="s">
        <v>1604</v>
      </c>
      <c r="C278" s="56" t="s">
        <v>1605</v>
      </c>
      <c r="D278" s="56" t="s">
        <v>3638</v>
      </c>
      <c r="E278" s="58" t="s">
        <v>1606</v>
      </c>
      <c r="F278" s="56" t="s">
        <v>1607</v>
      </c>
      <c r="G278" s="112"/>
      <c r="I278" s="55" t="s">
        <v>602</v>
      </c>
    </row>
    <row r="279" spans="1:9" s="59" customFormat="1">
      <c r="A279" s="55">
        <v>9466986800</v>
      </c>
      <c r="B279" s="56" t="s">
        <v>700</v>
      </c>
      <c r="C279" s="56" t="s">
        <v>701</v>
      </c>
      <c r="D279" s="56" t="s">
        <v>3639</v>
      </c>
      <c r="E279" s="58" t="s">
        <v>702</v>
      </c>
      <c r="F279" s="56" t="s">
        <v>703</v>
      </c>
      <c r="G279" s="112"/>
      <c r="I279" s="55" t="s">
        <v>602</v>
      </c>
    </row>
    <row r="280" spans="1:9" s="59" customFormat="1">
      <c r="A280" s="55">
        <v>9466986800</v>
      </c>
      <c r="B280" s="56" t="s">
        <v>688</v>
      </c>
      <c r="C280" s="56" t="s">
        <v>689</v>
      </c>
      <c r="D280" s="56" t="s">
        <v>3640</v>
      </c>
      <c r="E280" s="58" t="s">
        <v>690</v>
      </c>
      <c r="F280" s="56" t="s">
        <v>691</v>
      </c>
      <c r="G280" s="112"/>
      <c r="I280" s="55" t="s">
        <v>602</v>
      </c>
    </row>
    <row r="281" spans="1:9" s="59" customFormat="1">
      <c r="A281" s="55">
        <v>9466986800</v>
      </c>
      <c r="B281" s="56" t="s">
        <v>681</v>
      </c>
      <c r="C281" s="56" t="s">
        <v>3641</v>
      </c>
      <c r="D281" s="56" t="s">
        <v>3642</v>
      </c>
      <c r="E281" s="58" t="s">
        <v>3643</v>
      </c>
      <c r="F281" s="56" t="s">
        <v>3644</v>
      </c>
      <c r="G281" s="112"/>
      <c r="I281" s="55" t="s">
        <v>602</v>
      </c>
    </row>
    <row r="282" spans="1:9" s="59" customFormat="1">
      <c r="A282" s="55">
        <v>9466986800</v>
      </c>
      <c r="B282" s="56" t="s">
        <v>1445</v>
      </c>
      <c r="C282" s="56" t="s">
        <v>1446</v>
      </c>
      <c r="D282" s="56" t="s">
        <v>3645</v>
      </c>
      <c r="E282" s="58" t="s">
        <v>1447</v>
      </c>
      <c r="F282" s="56" t="s">
        <v>1448</v>
      </c>
      <c r="G282" s="112"/>
      <c r="I282" s="55" t="s">
        <v>602</v>
      </c>
    </row>
    <row r="283" spans="1:9">
      <c r="A283" s="98">
        <v>9466986800</v>
      </c>
      <c r="B283" s="62"/>
      <c r="C283" s="62"/>
      <c r="D283" s="62" t="s">
        <v>3646</v>
      </c>
      <c r="E283" s="63" t="s">
        <v>3647</v>
      </c>
      <c r="F283" s="62" t="s">
        <v>3648</v>
      </c>
      <c r="G283" s="109" t="s">
        <v>2252</v>
      </c>
      <c r="I283" s="55" t="s">
        <v>602</v>
      </c>
    </row>
    <row r="284" spans="1:9">
      <c r="A284" s="98">
        <v>9466986800</v>
      </c>
      <c r="B284" s="62"/>
      <c r="C284" s="62"/>
      <c r="D284" s="62" t="s">
        <v>3649</v>
      </c>
      <c r="E284" s="63" t="s">
        <v>3650</v>
      </c>
      <c r="F284" s="62" t="s">
        <v>3651</v>
      </c>
      <c r="G284" s="109" t="s">
        <v>2252</v>
      </c>
      <c r="I284" s="55" t="s">
        <v>602</v>
      </c>
    </row>
    <row r="285" spans="1:9">
      <c r="A285" s="98">
        <v>9466986800</v>
      </c>
      <c r="B285" s="62"/>
      <c r="C285" s="62"/>
      <c r="D285" s="62" t="s">
        <v>3652</v>
      </c>
      <c r="E285" s="63" t="s">
        <v>3653</v>
      </c>
      <c r="F285" s="62" t="s">
        <v>3654</v>
      </c>
      <c r="G285" s="109" t="s">
        <v>2252</v>
      </c>
      <c r="I285" s="55" t="s">
        <v>602</v>
      </c>
    </row>
    <row r="286" spans="1:9">
      <c r="A286" s="98">
        <v>9466986800</v>
      </c>
      <c r="B286" s="62"/>
      <c r="C286" s="62"/>
      <c r="D286" s="62" t="s">
        <v>3655</v>
      </c>
      <c r="E286" s="63" t="s">
        <v>3656</v>
      </c>
      <c r="F286" s="62" t="s">
        <v>3657</v>
      </c>
      <c r="G286" s="109" t="s">
        <v>2252</v>
      </c>
      <c r="I286" s="55" t="s">
        <v>602</v>
      </c>
    </row>
    <row r="287" spans="1:9">
      <c r="A287" s="98">
        <v>9466986800</v>
      </c>
      <c r="B287" s="62"/>
      <c r="C287" s="62"/>
      <c r="D287" s="62" t="s">
        <v>3658</v>
      </c>
      <c r="E287" s="63" t="s">
        <v>3659</v>
      </c>
      <c r="F287" s="62" t="s">
        <v>3660</v>
      </c>
      <c r="G287" s="109" t="s">
        <v>2252</v>
      </c>
      <c r="I287" s="55" t="s">
        <v>602</v>
      </c>
    </row>
    <row r="288" spans="1:9">
      <c r="A288" s="98">
        <v>9466986800</v>
      </c>
      <c r="B288" s="62"/>
      <c r="C288" s="62"/>
      <c r="D288" s="62" t="s">
        <v>3661</v>
      </c>
      <c r="E288" s="63" t="s">
        <v>3662</v>
      </c>
      <c r="F288" s="62" t="s">
        <v>3663</v>
      </c>
      <c r="G288" s="109" t="s">
        <v>2252</v>
      </c>
      <c r="I288" s="55" t="s">
        <v>602</v>
      </c>
    </row>
    <row r="289" spans="1:9" s="59" customFormat="1">
      <c r="A289" s="55">
        <v>9466986800</v>
      </c>
      <c r="B289" s="56" t="s">
        <v>688</v>
      </c>
      <c r="C289" s="56" t="s">
        <v>689</v>
      </c>
      <c r="D289" s="56" t="s">
        <v>3640</v>
      </c>
      <c r="E289" s="58" t="s">
        <v>690</v>
      </c>
      <c r="F289" s="56" t="s">
        <v>691</v>
      </c>
      <c r="G289" s="112"/>
      <c r="I289" s="55" t="s">
        <v>602</v>
      </c>
    </row>
    <row r="290" spans="1:9" s="59" customFormat="1">
      <c r="A290" s="55">
        <v>9466986800</v>
      </c>
      <c r="B290" s="56" t="s">
        <v>681</v>
      </c>
      <c r="C290" s="56" t="s">
        <v>3641</v>
      </c>
      <c r="D290" s="56" t="s">
        <v>3642</v>
      </c>
      <c r="E290" s="58" t="s">
        <v>3643</v>
      </c>
      <c r="F290" s="56" t="s">
        <v>3644</v>
      </c>
      <c r="G290" s="112"/>
      <c r="I290" s="55" t="s">
        <v>602</v>
      </c>
    </row>
    <row r="291" spans="1:9" s="59" customFormat="1">
      <c r="A291" s="55">
        <v>9466986800</v>
      </c>
      <c r="B291" s="56" t="s">
        <v>1445</v>
      </c>
      <c r="C291" s="56" t="s">
        <v>1446</v>
      </c>
      <c r="D291" s="56" t="s">
        <v>3645</v>
      </c>
      <c r="E291" s="58" t="s">
        <v>1447</v>
      </c>
      <c r="F291" s="56" t="s">
        <v>1448</v>
      </c>
      <c r="G291" s="112"/>
      <c r="I291" s="55" t="s">
        <v>602</v>
      </c>
    </row>
    <row r="292" spans="1:9" s="59" customFormat="1">
      <c r="A292" s="55">
        <v>9466986800</v>
      </c>
      <c r="B292" s="56" t="s">
        <v>1435</v>
      </c>
      <c r="C292" s="56" t="s">
        <v>1436</v>
      </c>
      <c r="D292" s="56" t="s">
        <v>3664</v>
      </c>
      <c r="E292" s="58" t="s">
        <v>1437</v>
      </c>
      <c r="F292" s="56" t="s">
        <v>1438</v>
      </c>
      <c r="G292" s="112"/>
      <c r="I292" s="55" t="s">
        <v>602</v>
      </c>
    </row>
    <row r="293" spans="1:9" s="59" customFormat="1">
      <c r="A293" s="55">
        <v>9466986800</v>
      </c>
      <c r="B293" s="56" t="s">
        <v>1360</v>
      </c>
      <c r="C293" s="56" t="s">
        <v>1361</v>
      </c>
      <c r="D293" s="56" t="s">
        <v>3665</v>
      </c>
      <c r="E293" s="58" t="s">
        <v>1362</v>
      </c>
      <c r="F293" s="56" t="s">
        <v>1363</v>
      </c>
      <c r="G293" s="112"/>
      <c r="I293" s="55" t="s">
        <v>602</v>
      </c>
    </row>
    <row r="294" spans="1:9" s="59" customFormat="1">
      <c r="A294" s="55">
        <v>9466986800</v>
      </c>
      <c r="B294" s="56" t="s">
        <v>1419</v>
      </c>
      <c r="C294" s="56" t="s">
        <v>1420</v>
      </c>
      <c r="D294" s="56" t="s">
        <v>3666</v>
      </c>
      <c r="E294" s="58" t="s">
        <v>1421</v>
      </c>
      <c r="F294" s="56" t="s">
        <v>1422</v>
      </c>
      <c r="G294" s="112"/>
      <c r="I294" s="55" t="s">
        <v>602</v>
      </c>
    </row>
    <row r="295" spans="1:9" s="59" customFormat="1">
      <c r="A295" s="55">
        <v>9466986800</v>
      </c>
      <c r="B295" s="56" t="s">
        <v>1675</v>
      </c>
      <c r="C295" s="56" t="s">
        <v>1676</v>
      </c>
      <c r="D295" s="56" t="s">
        <v>3667</v>
      </c>
      <c r="E295" s="58" t="s">
        <v>1677</v>
      </c>
      <c r="F295" s="56" t="s">
        <v>1678</v>
      </c>
      <c r="G295" s="112"/>
      <c r="I295" s="55" t="s">
        <v>602</v>
      </c>
    </row>
    <row r="296" spans="1:9" s="59" customFormat="1">
      <c r="A296" s="55">
        <v>9466986800</v>
      </c>
      <c r="B296" s="56" t="s">
        <v>861</v>
      </c>
      <c r="C296" s="56" t="s">
        <v>862</v>
      </c>
      <c r="D296" s="56" t="s">
        <v>3668</v>
      </c>
      <c r="E296" s="58" t="s">
        <v>863</v>
      </c>
      <c r="F296" s="56" t="s">
        <v>864</v>
      </c>
      <c r="G296" s="112"/>
      <c r="I296" s="55" t="s">
        <v>602</v>
      </c>
    </row>
    <row r="297" spans="1:9" s="117" customFormat="1">
      <c r="A297" s="113">
        <v>9466986800</v>
      </c>
      <c r="B297" s="114" t="s">
        <v>1135</v>
      </c>
      <c r="C297" s="114" t="s">
        <v>3669</v>
      </c>
      <c r="D297" s="114" t="s">
        <v>3670</v>
      </c>
      <c r="E297" s="115" t="s">
        <v>3671</v>
      </c>
      <c r="F297" s="114" t="s">
        <v>3672</v>
      </c>
      <c r="G297" s="116" t="s">
        <v>3673</v>
      </c>
      <c r="I297" s="55" t="s">
        <v>602</v>
      </c>
    </row>
    <row r="298" spans="1:9" s="59" customFormat="1">
      <c r="A298" s="55">
        <v>9466986800</v>
      </c>
      <c r="B298" s="56" t="s">
        <v>1388</v>
      </c>
      <c r="C298" s="56" t="s">
        <v>1389</v>
      </c>
      <c r="D298" s="56" t="s">
        <v>3674</v>
      </c>
      <c r="E298" s="58" t="s">
        <v>1390</v>
      </c>
      <c r="F298" s="56" t="s">
        <v>1391</v>
      </c>
      <c r="G298" s="112"/>
      <c r="I298" s="55" t="s">
        <v>602</v>
      </c>
    </row>
    <row r="299" spans="1:9" s="59" customFormat="1">
      <c r="A299" s="55">
        <v>9466986800</v>
      </c>
      <c r="B299" s="56" t="s">
        <v>1368</v>
      </c>
      <c r="C299" s="56" t="s">
        <v>1369</v>
      </c>
      <c r="D299" s="56" t="s">
        <v>3675</v>
      </c>
      <c r="E299" s="58" t="s">
        <v>1370</v>
      </c>
      <c r="F299" s="56" t="s">
        <v>1371</v>
      </c>
      <c r="G299" s="112"/>
      <c r="I299" s="55" t="s">
        <v>602</v>
      </c>
    </row>
    <row r="300" spans="1:9" s="66" customFormat="1">
      <c r="A300" s="61">
        <v>9466986800</v>
      </c>
      <c r="B300" s="62" t="s">
        <v>1096</v>
      </c>
      <c r="C300" s="62"/>
      <c r="D300" s="62"/>
      <c r="E300" s="63" t="s">
        <v>1097</v>
      </c>
      <c r="F300" s="62" t="s">
        <v>1098</v>
      </c>
      <c r="G300" s="118" t="s">
        <v>2252</v>
      </c>
      <c r="I300" s="55" t="s">
        <v>602</v>
      </c>
    </row>
    <row r="301" spans="1:9" s="59" customFormat="1">
      <c r="A301" s="55">
        <v>9466986800</v>
      </c>
      <c r="B301" s="56" t="s">
        <v>696</v>
      </c>
      <c r="C301" s="56" t="s">
        <v>697</v>
      </c>
      <c r="D301" s="56" t="s">
        <v>3630</v>
      </c>
      <c r="E301" s="58" t="s">
        <v>698</v>
      </c>
      <c r="F301" s="56" t="s">
        <v>699</v>
      </c>
      <c r="G301" s="112"/>
      <c r="I301" s="55" t="s">
        <v>602</v>
      </c>
    </row>
    <row r="302" spans="1:9" s="66" customFormat="1">
      <c r="A302" s="61">
        <v>9466986800</v>
      </c>
      <c r="B302" s="62" t="s">
        <v>1684</v>
      </c>
      <c r="C302" s="62" t="s">
        <v>1685</v>
      </c>
      <c r="D302" s="62"/>
      <c r="E302" s="63" t="s">
        <v>1686</v>
      </c>
      <c r="F302" s="62" t="s">
        <v>1687</v>
      </c>
      <c r="G302" s="118" t="s">
        <v>2252</v>
      </c>
      <c r="I302" s="55" t="s">
        <v>602</v>
      </c>
    </row>
    <row r="303" spans="1:9" s="59" customFormat="1">
      <c r="A303" s="55">
        <v>9466986800</v>
      </c>
      <c r="B303" s="119" t="s">
        <v>630</v>
      </c>
      <c r="C303" s="120" t="s">
        <v>631</v>
      </c>
      <c r="D303" s="56"/>
      <c r="E303" s="58" t="s">
        <v>632</v>
      </c>
      <c r="F303" s="120" t="s">
        <v>633</v>
      </c>
      <c r="G303" s="112"/>
      <c r="I303" s="55" t="s">
        <v>602</v>
      </c>
    </row>
    <row r="304" spans="1:9" s="59" customFormat="1">
      <c r="A304" s="55">
        <v>2000703186948</v>
      </c>
      <c r="B304" s="56" t="s">
        <v>1461</v>
      </c>
      <c r="C304" s="56" t="s">
        <v>1462</v>
      </c>
      <c r="D304" s="56" t="s">
        <v>3676</v>
      </c>
      <c r="E304" s="58" t="s">
        <v>1459</v>
      </c>
      <c r="F304" s="56" t="s">
        <v>1463</v>
      </c>
      <c r="G304" s="112"/>
      <c r="I304" s="55" t="s">
        <v>602</v>
      </c>
    </row>
    <row r="305" spans="1:9" s="59" customFormat="1">
      <c r="A305" s="55">
        <v>2000703186948</v>
      </c>
      <c r="B305" s="56" t="s">
        <v>1283</v>
      </c>
      <c r="C305" s="56" t="s">
        <v>1284</v>
      </c>
      <c r="D305" s="56" t="s">
        <v>3677</v>
      </c>
      <c r="E305" s="58" t="s">
        <v>677</v>
      </c>
      <c r="F305" s="56" t="s">
        <v>1285</v>
      </c>
      <c r="G305" s="112"/>
      <c r="I305" s="55" t="s">
        <v>602</v>
      </c>
    </row>
    <row r="306" spans="1:9" s="59" customFormat="1">
      <c r="A306" s="55">
        <v>2000703186948</v>
      </c>
      <c r="B306" s="56" t="s">
        <v>1397</v>
      </c>
      <c r="C306" s="56" t="s">
        <v>1398</v>
      </c>
      <c r="D306" s="56" t="s">
        <v>3678</v>
      </c>
      <c r="E306" s="58" t="s">
        <v>677</v>
      </c>
      <c r="F306" s="56" t="s">
        <v>1399</v>
      </c>
      <c r="G306" s="112"/>
      <c r="I306" s="55" t="s">
        <v>602</v>
      </c>
    </row>
    <row r="307" spans="1:9" s="66" customFormat="1">
      <c r="A307" s="61">
        <v>2000703916450</v>
      </c>
      <c r="B307" s="62"/>
      <c r="C307" s="62" t="s">
        <v>3679</v>
      </c>
      <c r="D307" s="62" t="s">
        <v>3680</v>
      </c>
      <c r="E307" s="63" t="s">
        <v>677</v>
      </c>
      <c r="F307" s="62" t="s">
        <v>3681</v>
      </c>
      <c r="G307" s="118"/>
      <c r="I307" s="55" t="s">
        <v>602</v>
      </c>
    </row>
    <row r="308" spans="1:9" s="59" customFormat="1">
      <c r="A308" s="55">
        <v>2000719405639</v>
      </c>
      <c r="B308" s="56" t="s">
        <v>1622</v>
      </c>
      <c r="C308" s="56" t="s">
        <v>1623</v>
      </c>
      <c r="D308" s="56" t="s">
        <v>3682</v>
      </c>
      <c r="E308" s="58" t="s">
        <v>677</v>
      </c>
      <c r="F308" s="56" t="s">
        <v>1624</v>
      </c>
      <c r="G308" s="112"/>
      <c r="I308" s="55" t="s">
        <v>602</v>
      </c>
    </row>
    <row r="309" spans="1:9" s="59" customFormat="1">
      <c r="A309" s="55">
        <v>2000719405639</v>
      </c>
      <c r="B309" s="56" t="s">
        <v>1712</v>
      </c>
      <c r="C309" s="56" t="s">
        <v>1713</v>
      </c>
      <c r="D309" s="56" t="s">
        <v>3683</v>
      </c>
      <c r="E309" s="58" t="s">
        <v>677</v>
      </c>
      <c r="F309" s="56" t="s">
        <v>1714</v>
      </c>
      <c r="G309" s="112"/>
      <c r="I309" s="55" t="s">
        <v>602</v>
      </c>
    </row>
  </sheetData>
  <hyperlinks>
    <hyperlink ref="G3" r:id="rId1" xr:uid="{AD948A94-B67D-412D-95E1-B15C387237E2}"/>
    <hyperlink ref="G4" r:id="rId2" xr:uid="{477E0A64-1F08-4885-9924-D72E120E7A0C}"/>
    <hyperlink ref="G5" r:id="rId3" xr:uid="{B0E03D27-4B62-4B68-A066-99A30F9D79A9}"/>
    <hyperlink ref="G6" r:id="rId4" xr:uid="{1961FB6B-8093-41A8-B686-D8F4ED4FA158}"/>
    <hyperlink ref="G7" r:id="rId5" xr:uid="{523D81CF-87B2-4E3D-82D8-0BB2B29E9B59}"/>
    <hyperlink ref="G8" r:id="rId6" xr:uid="{E4920EAF-AF54-4680-BF00-C981F783953C}"/>
    <hyperlink ref="G9" r:id="rId7" xr:uid="{50749E6F-1834-4D17-ABB3-EF957DB417EA}"/>
    <hyperlink ref="G10" r:id="rId8" xr:uid="{85442E4D-5135-458E-84DC-7A1DBD3C05DA}"/>
    <hyperlink ref="G11" r:id="rId9" xr:uid="{12B8928E-53A7-4802-BAC3-C3FDE921E3F8}"/>
    <hyperlink ref="G12" r:id="rId10" xr:uid="{EE2296A0-578E-47DF-BE8E-C635C522FFD2}"/>
    <hyperlink ref="G13" r:id="rId11" xr:uid="{78CBFFEB-A8FD-41DD-9DB6-D3A78C1F9A2E}"/>
    <hyperlink ref="G14" r:id="rId12" xr:uid="{F7F0BFEA-DA28-4228-B111-00447409D51F}"/>
    <hyperlink ref="G15" r:id="rId13" xr:uid="{954FA10E-BCC4-41F1-B09B-1B498071C12A}"/>
    <hyperlink ref="G16" r:id="rId14" xr:uid="{7E64CA85-B193-457F-9440-FD9B745C9115}"/>
    <hyperlink ref="G17" r:id="rId15" xr:uid="{DF1E1D2D-30F7-42E7-9A73-054DD53605DA}"/>
    <hyperlink ref="G18" r:id="rId16" xr:uid="{AA4BDA11-2681-4498-AE23-11D476BA1D77}"/>
    <hyperlink ref="G19" r:id="rId17" xr:uid="{EED2C691-2EC4-49C6-BFE4-9F536EE2C360}"/>
    <hyperlink ref="G23" r:id="rId18" xr:uid="{FEDF21DB-3878-461B-AEF0-B9CF05532C51}"/>
    <hyperlink ref="G24" r:id="rId19" xr:uid="{7FC9CC83-4ED7-408E-90D0-05016F4CC35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255C-4302-4576-9F09-03514F833B58}">
  <sheetPr>
    <tabColor theme="8" tint="0.59999389629810485"/>
  </sheetPr>
  <dimension ref="A1:G16"/>
  <sheetViews>
    <sheetView workbookViewId="0">
      <selection activeCell="G17" sqref="G17"/>
    </sheetView>
  </sheetViews>
  <sheetFormatPr defaultRowHeight="13.5"/>
  <cols>
    <col min="1" max="1" width="11.28515625" style="226" customWidth="1"/>
    <col min="2" max="2" width="19.28515625" style="226" customWidth="1"/>
    <col min="3" max="3" width="36.5703125" style="226" bestFit="1" customWidth="1"/>
    <col min="4" max="4" width="17.5703125" style="226" bestFit="1" customWidth="1"/>
    <col min="5" max="5" width="25.7109375" style="226" customWidth="1"/>
    <col min="6" max="6" width="13.5703125" style="226" bestFit="1" customWidth="1"/>
    <col min="7" max="8" width="15.5703125" style="226" customWidth="1"/>
    <col min="9" max="16384" width="9.140625" style="226"/>
  </cols>
  <sheetData>
    <row r="1" spans="1:7" s="225" customFormat="1">
      <c r="A1" s="225" t="s">
        <v>2270</v>
      </c>
      <c r="B1" s="225" t="s">
        <v>1731</v>
      </c>
      <c r="C1" s="225" t="s">
        <v>1</v>
      </c>
      <c r="D1" s="225" t="s">
        <v>8</v>
      </c>
      <c r="E1" s="225" t="s">
        <v>3</v>
      </c>
      <c r="F1" s="225" t="s">
        <v>2</v>
      </c>
      <c r="G1" s="225" t="s">
        <v>1914</v>
      </c>
    </row>
    <row r="2" spans="1:7" ht="27">
      <c r="A2" s="226">
        <v>12677808</v>
      </c>
      <c r="B2" s="227" t="s">
        <v>368</v>
      </c>
      <c r="C2" s="227" t="s">
        <v>369</v>
      </c>
      <c r="D2" s="179" t="s">
        <v>370</v>
      </c>
      <c r="E2" s="226" t="s">
        <v>131</v>
      </c>
      <c r="F2" s="226" t="s">
        <v>3684</v>
      </c>
      <c r="G2" s="228">
        <v>83.25</v>
      </c>
    </row>
    <row r="3" spans="1:7" ht="27">
      <c r="A3" s="226">
        <v>12668168</v>
      </c>
      <c r="B3" s="179" t="s">
        <v>1214</v>
      </c>
      <c r="C3" s="180" t="s">
        <v>1215</v>
      </c>
      <c r="D3" s="179" t="s">
        <v>1216</v>
      </c>
      <c r="E3" s="226" t="s">
        <v>131</v>
      </c>
      <c r="F3" s="226" t="s">
        <v>3684</v>
      </c>
      <c r="G3" s="228">
        <v>83.25</v>
      </c>
    </row>
    <row r="4" spans="1:7">
      <c r="A4" s="226">
        <v>12606452</v>
      </c>
      <c r="B4" s="180" t="s">
        <v>563</v>
      </c>
      <c r="C4" s="180" t="s">
        <v>564</v>
      </c>
      <c r="D4" s="226" t="s">
        <v>565</v>
      </c>
      <c r="E4" s="226" t="s">
        <v>131</v>
      </c>
      <c r="F4" s="226" t="s">
        <v>3684</v>
      </c>
      <c r="G4" s="228">
        <v>83.25</v>
      </c>
    </row>
    <row r="5" spans="1:7" ht="40.5">
      <c r="A5" s="226">
        <v>12633787</v>
      </c>
      <c r="B5" s="227" t="s">
        <v>597</v>
      </c>
      <c r="C5" s="227" t="s">
        <v>598</v>
      </c>
      <c r="D5" s="179" t="s">
        <v>599</v>
      </c>
      <c r="E5" s="226" t="s">
        <v>131</v>
      </c>
      <c r="F5" s="226" t="s">
        <v>3684</v>
      </c>
      <c r="G5" s="228">
        <v>83.25</v>
      </c>
    </row>
    <row r="6" spans="1:7" ht="27">
      <c r="A6" s="226">
        <v>12553681</v>
      </c>
      <c r="B6" s="180" t="s">
        <v>230</v>
      </c>
      <c r="C6" s="180" t="s">
        <v>231</v>
      </c>
      <c r="D6" s="179" t="s">
        <v>232</v>
      </c>
      <c r="E6" s="226" t="s">
        <v>177</v>
      </c>
      <c r="F6" s="226" t="s">
        <v>3684</v>
      </c>
      <c r="G6" s="229">
        <v>101.75</v>
      </c>
    </row>
    <row r="7" spans="1:7" ht="40.5">
      <c r="A7" s="226">
        <v>12637049</v>
      </c>
      <c r="B7" s="179" t="s">
        <v>919</v>
      </c>
      <c r="C7" s="180" t="s">
        <v>920</v>
      </c>
      <c r="D7" s="179" t="s">
        <v>921</v>
      </c>
      <c r="E7" s="226" t="s">
        <v>131</v>
      </c>
      <c r="F7" s="226" t="s">
        <v>3684</v>
      </c>
      <c r="G7" s="228">
        <v>83.25</v>
      </c>
    </row>
    <row r="8" spans="1:7">
      <c r="A8" s="226">
        <v>12677805</v>
      </c>
      <c r="B8" s="227" t="s">
        <v>81</v>
      </c>
      <c r="C8" s="226" t="s">
        <v>82</v>
      </c>
      <c r="D8" s="179" t="s">
        <v>83</v>
      </c>
      <c r="E8" s="226" t="s">
        <v>131</v>
      </c>
      <c r="F8" s="226" t="s">
        <v>3684</v>
      </c>
      <c r="G8" s="228">
        <v>83.25</v>
      </c>
    </row>
    <row r="9" spans="1:7" ht="27">
      <c r="A9" s="226">
        <v>12643330</v>
      </c>
      <c r="B9" s="226" t="s">
        <v>784</v>
      </c>
      <c r="C9" s="180" t="s">
        <v>785</v>
      </c>
      <c r="D9" s="179" t="s">
        <v>786</v>
      </c>
      <c r="E9" s="226" t="s">
        <v>131</v>
      </c>
      <c r="F9" s="226" t="s">
        <v>3684</v>
      </c>
      <c r="G9" s="228">
        <v>92.5</v>
      </c>
    </row>
    <row r="10" spans="1:7" ht="27">
      <c r="A10" s="226">
        <v>12628640</v>
      </c>
      <c r="B10" s="226" t="s">
        <v>1020</v>
      </c>
      <c r="C10" s="180" t="s">
        <v>1021</v>
      </c>
      <c r="D10" s="179" t="s">
        <v>1022</v>
      </c>
      <c r="E10" s="226" t="s">
        <v>131</v>
      </c>
      <c r="F10" s="226" t="s">
        <v>3684</v>
      </c>
      <c r="G10" s="228">
        <v>92.5</v>
      </c>
    </row>
    <row r="11" spans="1:7">
      <c r="A11" s="226">
        <v>12590780</v>
      </c>
      <c r="B11" s="179" t="s">
        <v>1232</v>
      </c>
      <c r="D11" s="179" t="s">
        <v>1233</v>
      </c>
      <c r="E11" s="226" t="s">
        <v>131</v>
      </c>
      <c r="F11" s="226" t="s">
        <v>3684</v>
      </c>
      <c r="G11" s="228">
        <v>92.5</v>
      </c>
    </row>
    <row r="12" spans="1:7" ht="27">
      <c r="B12" s="226" t="s">
        <v>166</v>
      </c>
      <c r="E12" s="227" t="s">
        <v>3685</v>
      </c>
      <c r="F12" s="226" t="s">
        <v>3684</v>
      </c>
      <c r="G12" s="228">
        <v>90</v>
      </c>
    </row>
    <row r="13" spans="1:7" ht="27">
      <c r="B13" s="226" t="s">
        <v>451</v>
      </c>
      <c r="E13" s="227" t="s">
        <v>3685</v>
      </c>
      <c r="F13" s="226" t="s">
        <v>3684</v>
      </c>
      <c r="G13" s="228">
        <v>90</v>
      </c>
    </row>
    <row r="14" spans="1:7" ht="27">
      <c r="B14" s="226" t="s">
        <v>842</v>
      </c>
      <c r="E14" s="227" t="s">
        <v>3686</v>
      </c>
      <c r="F14" s="226" t="s">
        <v>3684</v>
      </c>
      <c r="G14" s="228">
        <v>60</v>
      </c>
    </row>
    <row r="15" spans="1:7" ht="27">
      <c r="B15" s="226" t="s">
        <v>1242</v>
      </c>
      <c r="E15" s="227" t="s">
        <v>3686</v>
      </c>
      <c r="F15" s="226" t="s">
        <v>3684</v>
      </c>
      <c r="G15" s="228">
        <v>60</v>
      </c>
    </row>
    <row r="16" spans="1:7" ht="27">
      <c r="B16" s="226" t="s">
        <v>551</v>
      </c>
      <c r="E16" s="227" t="s">
        <v>3687</v>
      </c>
      <c r="F16" s="226" t="s">
        <v>3684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4D8D-89A3-43E5-908A-AC4F91DBC9AA}">
  <sheetPr>
    <tabColor theme="8" tint="0.59999389629810485"/>
  </sheetPr>
  <dimension ref="A1:N25"/>
  <sheetViews>
    <sheetView workbookViewId="0">
      <selection activeCell="D9" sqref="D9"/>
    </sheetView>
  </sheetViews>
  <sheetFormatPr defaultRowHeight="15"/>
  <cols>
    <col min="1" max="1" width="12.28515625" style="181" bestFit="1" customWidth="1"/>
    <col min="2" max="2" width="12.7109375" style="20" bestFit="1" customWidth="1"/>
    <col min="3" max="3" width="36.5703125" bestFit="1" customWidth="1"/>
    <col min="4" max="4" width="61.140625" customWidth="1"/>
    <col min="5" max="5" width="14.5703125" bestFit="1" customWidth="1"/>
    <col min="6" max="6" width="14.5703125" customWidth="1"/>
    <col min="7" max="7" width="33.85546875" bestFit="1" customWidth="1"/>
    <col min="8" max="8" width="29.42578125" bestFit="1" customWidth="1"/>
    <col min="9" max="9" width="17" customWidth="1"/>
    <col min="10" max="10" width="18" customWidth="1"/>
    <col min="11" max="11" width="16" style="109" bestFit="1" customWidth="1"/>
    <col min="12" max="12" width="26.85546875" style="109" customWidth="1"/>
    <col min="13" max="13" width="23.42578125" style="234" bestFit="1" customWidth="1"/>
    <col min="14" max="14" width="14.5703125" bestFit="1" customWidth="1"/>
  </cols>
  <sheetData>
    <row r="1" spans="1:14">
      <c r="A1" s="181" t="s">
        <v>3688</v>
      </c>
      <c r="B1" s="20" t="s">
        <v>3689</v>
      </c>
      <c r="C1" t="s">
        <v>1731</v>
      </c>
      <c r="D1" t="s">
        <v>1</v>
      </c>
      <c r="E1" t="s">
        <v>2</v>
      </c>
      <c r="F1" t="s">
        <v>6</v>
      </c>
      <c r="G1" t="s">
        <v>3</v>
      </c>
      <c r="H1" t="s">
        <v>4</v>
      </c>
      <c r="I1" s="182" t="s">
        <v>5</v>
      </c>
      <c r="J1" t="s">
        <v>7</v>
      </c>
      <c r="K1" s="109" t="s">
        <v>10</v>
      </c>
      <c r="L1" s="183" t="s">
        <v>3690</v>
      </c>
      <c r="M1" s="234" t="s">
        <v>11</v>
      </c>
      <c r="N1" t="s">
        <v>9</v>
      </c>
    </row>
    <row r="2" spans="1:14" ht="16.5" customHeight="1">
      <c r="A2" s="181">
        <v>109</v>
      </c>
      <c r="C2" t="s">
        <v>938</v>
      </c>
      <c r="D2" t="s">
        <v>3691</v>
      </c>
      <c r="E2" t="s">
        <v>86</v>
      </c>
      <c r="F2" s="184" t="s">
        <v>3692</v>
      </c>
      <c r="G2" t="s">
        <v>3693</v>
      </c>
      <c r="H2" t="s">
        <v>3694</v>
      </c>
      <c r="I2" s="182" t="s">
        <v>3695</v>
      </c>
      <c r="L2" s="183"/>
    </row>
    <row r="3" spans="1:14">
      <c r="A3" s="181">
        <v>374</v>
      </c>
      <c r="B3" s="20">
        <v>12915</v>
      </c>
      <c r="C3" t="s">
        <v>182</v>
      </c>
      <c r="D3" s="182" t="s">
        <v>183</v>
      </c>
      <c r="E3" t="s">
        <v>86</v>
      </c>
      <c r="F3" s="185" t="s">
        <v>3696</v>
      </c>
      <c r="G3" t="s">
        <v>184</v>
      </c>
      <c r="H3" t="s">
        <v>88</v>
      </c>
      <c r="I3" t="s">
        <v>89</v>
      </c>
      <c r="J3" s="199" t="s">
        <v>185</v>
      </c>
      <c r="K3" s="253" t="s">
        <v>186</v>
      </c>
      <c r="L3" s="253" t="s">
        <v>3697</v>
      </c>
      <c r="M3" s="234" t="s">
        <v>187</v>
      </c>
      <c r="N3" t="s">
        <v>91</v>
      </c>
    </row>
    <row r="4" spans="1:14">
      <c r="A4" s="181">
        <v>675</v>
      </c>
      <c r="B4" s="20">
        <v>13222</v>
      </c>
      <c r="C4" t="s">
        <v>977</v>
      </c>
      <c r="D4" s="182" t="s">
        <v>978</v>
      </c>
      <c r="E4" t="s">
        <v>86</v>
      </c>
      <c r="F4" s="184" t="s">
        <v>3698</v>
      </c>
      <c r="G4" t="s">
        <v>979</v>
      </c>
      <c r="H4" t="s">
        <v>88</v>
      </c>
      <c r="I4" t="s">
        <v>89</v>
      </c>
      <c r="J4" t="s">
        <v>980</v>
      </c>
      <c r="K4" s="109" t="s">
        <v>981</v>
      </c>
      <c r="L4" s="109" t="s">
        <v>3699</v>
      </c>
      <c r="M4" s="234" t="s">
        <v>982</v>
      </c>
      <c r="N4" t="s">
        <v>91</v>
      </c>
    </row>
    <row r="5" spans="1:14">
      <c r="A5" s="181">
        <v>1300</v>
      </c>
      <c r="B5" s="20">
        <v>13968</v>
      </c>
      <c r="C5" t="s">
        <v>751</v>
      </c>
      <c r="D5" s="182" t="s">
        <v>752</v>
      </c>
      <c r="E5" t="s">
        <v>86</v>
      </c>
      <c r="F5" s="184" t="s">
        <v>3700</v>
      </c>
      <c r="G5" t="s">
        <v>753</v>
      </c>
      <c r="H5" t="s">
        <v>754</v>
      </c>
      <c r="I5" t="s">
        <v>89</v>
      </c>
      <c r="J5" t="s">
        <v>755</v>
      </c>
      <c r="K5" s="109" t="s">
        <v>756</v>
      </c>
      <c r="L5" s="109" t="s">
        <v>3701</v>
      </c>
      <c r="M5" s="234" t="s">
        <v>757</v>
      </c>
      <c r="N5" t="s">
        <v>91</v>
      </c>
    </row>
    <row r="6" spans="1:14">
      <c r="A6" s="181">
        <v>350</v>
      </c>
      <c r="B6" s="20">
        <v>17932</v>
      </c>
      <c r="C6" t="s">
        <v>84</v>
      </c>
      <c r="D6" t="s">
        <v>85</v>
      </c>
      <c r="E6" t="s">
        <v>86</v>
      </c>
      <c r="F6" s="184" t="s">
        <v>3702</v>
      </c>
      <c r="G6" t="s">
        <v>87</v>
      </c>
      <c r="H6" t="s">
        <v>88</v>
      </c>
      <c r="I6" t="s">
        <v>89</v>
      </c>
      <c r="J6" t="s">
        <v>90</v>
      </c>
      <c r="K6" s="109" t="s">
        <v>92</v>
      </c>
      <c r="L6" s="109" t="s">
        <v>1077</v>
      </c>
      <c r="M6" s="234" t="s">
        <v>93</v>
      </c>
      <c r="N6" t="s">
        <v>91</v>
      </c>
    </row>
    <row r="7" spans="1:14">
      <c r="A7" s="181">
        <v>800</v>
      </c>
      <c r="B7" s="20">
        <v>18410</v>
      </c>
      <c r="C7" t="s">
        <v>758</v>
      </c>
      <c r="D7" s="182" t="s">
        <v>759</v>
      </c>
      <c r="E7" t="s">
        <v>86</v>
      </c>
      <c r="F7" s="184" t="s">
        <v>3703</v>
      </c>
      <c r="G7" t="s">
        <v>760</v>
      </c>
      <c r="H7" t="s">
        <v>88</v>
      </c>
      <c r="I7" t="s">
        <v>89</v>
      </c>
      <c r="J7" s="182" t="s">
        <v>761</v>
      </c>
      <c r="K7" s="109" t="s">
        <v>762</v>
      </c>
      <c r="M7" s="234" t="s">
        <v>763</v>
      </c>
      <c r="N7" t="s">
        <v>91</v>
      </c>
    </row>
    <row r="8" spans="1:14">
      <c r="A8" s="181">
        <v>350</v>
      </c>
      <c r="B8" s="20">
        <v>19233</v>
      </c>
      <c r="C8" t="s">
        <v>720</v>
      </c>
      <c r="D8" s="182" t="s">
        <v>721</v>
      </c>
      <c r="E8" t="s">
        <v>86</v>
      </c>
      <c r="F8" s="184" t="s">
        <v>3704</v>
      </c>
      <c r="G8" t="s">
        <v>87</v>
      </c>
      <c r="H8" t="s">
        <v>88</v>
      </c>
      <c r="I8" t="s">
        <v>89</v>
      </c>
      <c r="J8" t="s">
        <v>722</v>
      </c>
      <c r="K8" s="109" t="s">
        <v>723</v>
      </c>
      <c r="M8" s="234" t="s">
        <v>724</v>
      </c>
      <c r="N8" t="s">
        <v>91</v>
      </c>
    </row>
    <row r="9" spans="1:14">
      <c r="A9" s="181">
        <v>825</v>
      </c>
      <c r="B9" s="20">
        <v>19396</v>
      </c>
      <c r="C9" t="s">
        <v>854</v>
      </c>
      <c r="D9" t="s">
        <v>855</v>
      </c>
      <c r="E9" t="s">
        <v>86</v>
      </c>
      <c r="F9" s="184" t="s">
        <v>3705</v>
      </c>
      <c r="G9" t="s">
        <v>856</v>
      </c>
      <c r="H9" t="s">
        <v>857</v>
      </c>
      <c r="I9" t="s">
        <v>89</v>
      </c>
      <c r="J9" t="s">
        <v>858</v>
      </c>
      <c r="K9" s="109" t="s">
        <v>859</v>
      </c>
      <c r="M9" s="234" t="s">
        <v>860</v>
      </c>
      <c r="N9" t="s">
        <v>91</v>
      </c>
    </row>
    <row r="10" spans="1:14">
      <c r="A10" s="181">
        <v>935</v>
      </c>
      <c r="B10" s="20">
        <v>19577</v>
      </c>
      <c r="C10" t="s">
        <v>1169</v>
      </c>
      <c r="D10" s="182" t="s">
        <v>1170</v>
      </c>
      <c r="E10" t="s">
        <v>86</v>
      </c>
      <c r="F10" s="184" t="s">
        <v>3706</v>
      </c>
      <c r="G10" t="s">
        <v>1171</v>
      </c>
      <c r="H10" t="s">
        <v>88</v>
      </c>
      <c r="I10" t="s">
        <v>89</v>
      </c>
      <c r="J10" t="s">
        <v>1172</v>
      </c>
      <c r="K10" s="109" t="s">
        <v>1173</v>
      </c>
      <c r="L10" s="109" t="s">
        <v>846</v>
      </c>
      <c r="M10" s="234" t="s">
        <v>1174</v>
      </c>
      <c r="N10" t="s">
        <v>91</v>
      </c>
    </row>
    <row r="11" spans="1:14">
      <c r="A11" s="181">
        <v>387</v>
      </c>
      <c r="B11" s="20">
        <v>21044</v>
      </c>
      <c r="C11" s="140" t="s">
        <v>500</v>
      </c>
      <c r="D11" t="s">
        <v>501</v>
      </c>
      <c r="E11" t="s">
        <v>86</v>
      </c>
      <c r="F11" s="184" t="s">
        <v>3707</v>
      </c>
      <c r="G11" t="s">
        <v>502</v>
      </c>
      <c r="H11" t="s">
        <v>503</v>
      </c>
      <c r="I11" t="s">
        <v>89</v>
      </c>
      <c r="J11" t="s">
        <v>504</v>
      </c>
      <c r="K11" s="109" t="s">
        <v>505</v>
      </c>
      <c r="L11" s="109" t="s">
        <v>3708</v>
      </c>
      <c r="M11" s="234" t="s">
        <v>506</v>
      </c>
      <c r="N11" t="s">
        <v>91</v>
      </c>
    </row>
    <row r="12" spans="1:14">
      <c r="A12" s="186">
        <v>313.5</v>
      </c>
      <c r="B12" s="20">
        <v>21400</v>
      </c>
      <c r="C12" t="s">
        <v>1645</v>
      </c>
      <c r="D12" t="s">
        <v>3709</v>
      </c>
      <c r="E12" t="s">
        <v>86</v>
      </c>
      <c r="F12" s="184" t="s">
        <v>3710</v>
      </c>
      <c r="G12" t="s">
        <v>3711</v>
      </c>
      <c r="H12" t="s">
        <v>88</v>
      </c>
      <c r="I12" t="s">
        <v>89</v>
      </c>
      <c r="J12" t="s">
        <v>1648</v>
      </c>
      <c r="K12" s="109" t="s">
        <v>3712</v>
      </c>
      <c r="M12" s="234" t="s">
        <v>1649</v>
      </c>
      <c r="N12" t="s">
        <v>91</v>
      </c>
    </row>
    <row r="13" spans="1:14">
      <c r="A13" s="181">
        <v>805</v>
      </c>
      <c r="B13" s="20">
        <v>22363</v>
      </c>
      <c r="C13" t="s">
        <v>252</v>
      </c>
      <c r="D13" t="s">
        <v>253</v>
      </c>
      <c r="E13" t="s">
        <v>86</v>
      </c>
      <c r="F13" s="184" t="s">
        <v>3713</v>
      </c>
      <c r="G13" t="s">
        <v>254</v>
      </c>
      <c r="H13" t="s">
        <v>255</v>
      </c>
      <c r="I13" t="s">
        <v>89</v>
      </c>
      <c r="J13" t="s">
        <v>256</v>
      </c>
      <c r="K13" s="109" t="s">
        <v>257</v>
      </c>
      <c r="M13" s="234" t="s">
        <v>258</v>
      </c>
      <c r="N13" t="s">
        <v>91</v>
      </c>
    </row>
    <row r="14" spans="1:14">
      <c r="A14" s="181">
        <v>0</v>
      </c>
      <c r="B14" s="20">
        <v>22364</v>
      </c>
      <c r="C14" t="s">
        <v>266</v>
      </c>
      <c r="D14" t="s">
        <v>253</v>
      </c>
      <c r="E14" t="s">
        <v>86</v>
      </c>
      <c r="F14" s="184" t="s">
        <v>3714</v>
      </c>
      <c r="G14" t="s">
        <v>267</v>
      </c>
      <c r="H14" t="s">
        <v>268</v>
      </c>
      <c r="I14" t="s">
        <v>269</v>
      </c>
      <c r="J14" t="s">
        <v>268</v>
      </c>
      <c r="K14" s="109" t="s">
        <v>257</v>
      </c>
      <c r="M14" s="234" t="s">
        <v>258</v>
      </c>
      <c r="N14" t="s">
        <v>91</v>
      </c>
    </row>
    <row r="24" spans="3:6">
      <c r="C24" s="182"/>
      <c r="D24" s="182"/>
      <c r="F24" s="182"/>
    </row>
    <row r="25" spans="3:6">
      <c r="F25" s="17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784D-A267-4A3A-9D47-843FF6D36ECD}">
  <sheetPr>
    <tabColor theme="8" tint="0.59999389629810485"/>
  </sheetPr>
  <dimension ref="A1:H14"/>
  <sheetViews>
    <sheetView workbookViewId="0">
      <selection activeCell="F39" sqref="F39"/>
    </sheetView>
  </sheetViews>
  <sheetFormatPr defaultRowHeight="15"/>
  <cols>
    <col min="1" max="1" width="15.28515625" bestFit="1" customWidth="1"/>
    <col min="2" max="2" width="24.42578125" style="20" customWidth="1"/>
    <col min="3" max="3" width="45.85546875" style="34" customWidth="1"/>
    <col min="4" max="4" width="12.28515625" style="20" customWidth="1"/>
    <col min="5" max="5" width="35.28515625" style="34" customWidth="1"/>
    <col min="6" max="6" width="14.5703125" style="20" customWidth="1"/>
    <col min="7" max="7" width="6.28515625" style="20" customWidth="1"/>
    <col min="8" max="8" width="28" bestFit="1" customWidth="1"/>
  </cols>
  <sheetData>
    <row r="1" spans="1:8" s="17" customFormat="1" ht="30">
      <c r="A1" s="187" t="s">
        <v>3715</v>
      </c>
      <c r="B1" s="189" t="s">
        <v>1731</v>
      </c>
      <c r="C1" s="189" t="s">
        <v>2272</v>
      </c>
      <c r="D1" s="188" t="s">
        <v>2</v>
      </c>
      <c r="E1" s="189" t="s">
        <v>3</v>
      </c>
      <c r="F1" s="189" t="s">
        <v>3716</v>
      </c>
      <c r="G1" s="189" t="s">
        <v>3717</v>
      </c>
    </row>
    <row r="2" spans="1:8">
      <c r="A2" s="240">
        <v>134</v>
      </c>
      <c r="B2" s="190" t="s">
        <v>799</v>
      </c>
      <c r="C2" s="241" t="s">
        <v>802</v>
      </c>
      <c r="D2" s="190" t="s">
        <v>3718</v>
      </c>
      <c r="E2" s="191" t="s">
        <v>3719</v>
      </c>
      <c r="F2" s="192">
        <v>79</v>
      </c>
      <c r="G2" s="243">
        <v>89</v>
      </c>
    </row>
    <row r="3" spans="1:8">
      <c r="A3" s="240"/>
      <c r="B3" s="190" t="s">
        <v>799</v>
      </c>
      <c r="C3" s="241"/>
      <c r="D3" s="190" t="s">
        <v>3718</v>
      </c>
      <c r="E3" s="191" t="s">
        <v>3720</v>
      </c>
      <c r="F3" s="192">
        <v>10</v>
      </c>
      <c r="G3" s="243"/>
    </row>
    <row r="4" spans="1:8">
      <c r="A4" s="240"/>
      <c r="B4" s="190" t="s">
        <v>1545</v>
      </c>
      <c r="C4" s="244" t="s">
        <v>1632</v>
      </c>
      <c r="D4" s="190" t="s">
        <v>3718</v>
      </c>
      <c r="E4" s="191" t="s">
        <v>3719</v>
      </c>
      <c r="F4" s="192">
        <v>79</v>
      </c>
      <c r="G4" s="243">
        <v>104</v>
      </c>
    </row>
    <row r="5" spans="1:8">
      <c r="A5" s="240"/>
      <c r="B5" s="190" t="s">
        <v>1545</v>
      </c>
      <c r="C5" s="244"/>
      <c r="D5" s="190" t="s">
        <v>3718</v>
      </c>
      <c r="E5" s="191" t="s">
        <v>3720</v>
      </c>
      <c r="F5" s="192">
        <v>10</v>
      </c>
      <c r="G5" s="243"/>
    </row>
    <row r="6" spans="1:8">
      <c r="A6" s="240"/>
      <c r="B6" s="190" t="s">
        <v>1545</v>
      </c>
      <c r="C6" s="244"/>
      <c r="D6" s="190" t="s">
        <v>3718</v>
      </c>
      <c r="E6" s="191" t="s">
        <v>3721</v>
      </c>
      <c r="F6" s="192">
        <v>15</v>
      </c>
      <c r="G6" s="243"/>
    </row>
    <row r="7" spans="1:8">
      <c r="A7" s="240"/>
      <c r="B7" s="214" t="s">
        <v>1406</v>
      </c>
      <c r="C7" s="242" t="s">
        <v>1410</v>
      </c>
      <c r="D7" s="190" t="s">
        <v>3718</v>
      </c>
      <c r="E7" s="194" t="s">
        <v>3719</v>
      </c>
      <c r="F7" s="195">
        <v>79</v>
      </c>
      <c r="G7" s="245">
        <v>104</v>
      </c>
      <c r="H7" t="s">
        <v>3722</v>
      </c>
    </row>
    <row r="8" spans="1:8">
      <c r="A8" s="240"/>
      <c r="B8" s="214" t="s">
        <v>1406</v>
      </c>
      <c r="C8" s="242"/>
      <c r="D8" s="190" t="s">
        <v>3718</v>
      </c>
      <c r="E8" s="194" t="s">
        <v>3720</v>
      </c>
      <c r="F8" s="195">
        <v>10</v>
      </c>
      <c r="G8" s="245"/>
    </row>
    <row r="9" spans="1:8">
      <c r="A9" s="240"/>
      <c r="B9" s="214" t="s">
        <v>1406</v>
      </c>
      <c r="C9" s="242"/>
      <c r="D9" s="190" t="s">
        <v>3718</v>
      </c>
      <c r="E9" s="194" t="s">
        <v>3723</v>
      </c>
      <c r="F9" s="195">
        <v>15</v>
      </c>
      <c r="G9" s="245"/>
    </row>
    <row r="10" spans="1:8" ht="30">
      <c r="A10" s="240"/>
      <c r="B10" s="190" t="s">
        <v>3724</v>
      </c>
      <c r="C10" s="193" t="s">
        <v>1392</v>
      </c>
      <c r="D10" s="190" t="s">
        <v>3718</v>
      </c>
      <c r="E10" s="191" t="s">
        <v>3725</v>
      </c>
      <c r="F10" s="192">
        <v>15</v>
      </c>
      <c r="G10" s="192">
        <v>15</v>
      </c>
    </row>
    <row r="11" spans="1:8" ht="30">
      <c r="A11" s="240"/>
      <c r="B11" s="190" t="s">
        <v>1608</v>
      </c>
      <c r="C11" s="193" t="s">
        <v>1612</v>
      </c>
      <c r="D11" s="190" t="s">
        <v>3718</v>
      </c>
      <c r="E11" s="191" t="s">
        <v>3726</v>
      </c>
      <c r="F11" s="192">
        <v>15</v>
      </c>
      <c r="G11" s="192">
        <v>15</v>
      </c>
    </row>
    <row r="12" spans="1:8" ht="30">
      <c r="A12" s="240"/>
      <c r="B12" s="190" t="s">
        <v>3727</v>
      </c>
      <c r="C12" s="193" t="s">
        <v>1434</v>
      </c>
      <c r="D12" s="190" t="s">
        <v>3718</v>
      </c>
      <c r="E12" s="191" t="s">
        <v>3728</v>
      </c>
      <c r="F12" s="192">
        <v>15</v>
      </c>
      <c r="G12" s="192">
        <v>15</v>
      </c>
    </row>
    <row r="13" spans="1:8" ht="30">
      <c r="A13" s="240"/>
      <c r="B13" s="190" t="s">
        <v>1673</v>
      </c>
      <c r="C13" s="193" t="s">
        <v>1698</v>
      </c>
      <c r="D13" s="190" t="s">
        <v>3718</v>
      </c>
      <c r="E13" s="191" t="s">
        <v>3729</v>
      </c>
      <c r="F13" s="192">
        <v>15</v>
      </c>
      <c r="G13" s="192">
        <v>15</v>
      </c>
    </row>
    <row r="14" spans="1:8" ht="45">
      <c r="A14" s="240"/>
      <c r="B14" s="190" t="s">
        <v>3730</v>
      </c>
      <c r="C14" s="193" t="s">
        <v>680</v>
      </c>
      <c r="D14" s="190" t="s">
        <v>3718</v>
      </c>
      <c r="E14" s="191" t="s">
        <v>3731</v>
      </c>
      <c r="F14" s="192">
        <v>15</v>
      </c>
      <c r="G14" s="192">
        <v>15</v>
      </c>
    </row>
  </sheetData>
  <mergeCells count="7">
    <mergeCell ref="A2:A14"/>
    <mergeCell ref="C2:C3"/>
    <mergeCell ref="C7:C9"/>
    <mergeCell ref="G2:G3"/>
    <mergeCell ref="C4:C6"/>
    <mergeCell ref="G4:G6"/>
    <mergeCell ref="G7:G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8D15-A469-4436-A67F-BBB673ED60DF}">
  <dimension ref="A1:C123"/>
  <sheetViews>
    <sheetView topLeftCell="A26" workbookViewId="0">
      <selection activeCell="A26" sqref="A26"/>
    </sheetView>
  </sheetViews>
  <sheetFormatPr defaultRowHeight="15"/>
  <cols>
    <col min="1" max="1" width="36.5703125" bestFit="1" customWidth="1"/>
  </cols>
  <sheetData>
    <row r="1" spans="1:3">
      <c r="A1" s="1" t="s">
        <v>3732</v>
      </c>
    </row>
    <row r="2" spans="1:3">
      <c r="A2" s="1" t="s">
        <v>3733</v>
      </c>
      <c r="B2" t="s">
        <v>181</v>
      </c>
      <c r="C2" t="s">
        <v>3734</v>
      </c>
    </row>
    <row r="3" spans="1:3">
      <c r="A3" s="1" t="s">
        <v>3735</v>
      </c>
      <c r="B3" t="s">
        <v>181</v>
      </c>
      <c r="C3" t="s">
        <v>3734</v>
      </c>
    </row>
    <row r="4" spans="1:3">
      <c r="A4" s="1" t="s">
        <v>3736</v>
      </c>
      <c r="B4" t="s">
        <v>181</v>
      </c>
      <c r="C4" t="s">
        <v>3734</v>
      </c>
    </row>
    <row r="5" spans="1:3">
      <c r="A5" s="1" t="s">
        <v>3737</v>
      </c>
      <c r="B5" t="s">
        <v>181</v>
      </c>
      <c r="C5" t="s">
        <v>3734</v>
      </c>
    </row>
    <row r="6" spans="1:3">
      <c r="A6" s="1" t="s">
        <v>3738</v>
      </c>
      <c r="B6" t="s">
        <v>181</v>
      </c>
      <c r="C6" t="s">
        <v>3734</v>
      </c>
    </row>
    <row r="7" spans="1:3">
      <c r="A7" s="1" t="s">
        <v>3739</v>
      </c>
      <c r="B7" t="s">
        <v>181</v>
      </c>
      <c r="C7" t="s">
        <v>3734</v>
      </c>
    </row>
    <row r="8" spans="1:3">
      <c r="A8" s="1" t="s">
        <v>425</v>
      </c>
      <c r="B8" t="s">
        <v>181</v>
      </c>
      <c r="C8" t="s">
        <v>3734</v>
      </c>
    </row>
    <row r="9" spans="1:3">
      <c r="A9" s="1" t="s">
        <v>444</v>
      </c>
      <c r="B9" t="s">
        <v>181</v>
      </c>
      <c r="C9" t="s">
        <v>3734</v>
      </c>
    </row>
    <row r="10" spans="1:3" ht="30">
      <c r="A10" s="1" t="s">
        <v>3740</v>
      </c>
      <c r="B10" t="s">
        <v>181</v>
      </c>
      <c r="C10" t="s">
        <v>3734</v>
      </c>
    </row>
    <row r="11" spans="1:3">
      <c r="A11" s="1" t="s">
        <v>233</v>
      </c>
      <c r="B11" t="s">
        <v>181</v>
      </c>
      <c r="C11" t="s">
        <v>3734</v>
      </c>
    </row>
    <row r="12" spans="1:3">
      <c r="A12" s="1" t="s">
        <v>3741</v>
      </c>
      <c r="B12" t="s">
        <v>181</v>
      </c>
      <c r="C12" t="s">
        <v>3734</v>
      </c>
    </row>
    <row r="13" spans="1:3">
      <c r="A13" s="1" t="s">
        <v>3741</v>
      </c>
      <c r="B13" t="s">
        <v>181</v>
      </c>
      <c r="C13" t="s">
        <v>3734</v>
      </c>
    </row>
    <row r="14" spans="1:3">
      <c r="A14" s="1" t="s">
        <v>3742</v>
      </c>
      <c r="B14" t="s">
        <v>181</v>
      </c>
      <c r="C14" t="s">
        <v>3734</v>
      </c>
    </row>
    <row r="15" spans="1:3">
      <c r="A15" s="1" t="s">
        <v>64</v>
      </c>
      <c r="B15" t="s">
        <v>181</v>
      </c>
      <c r="C15" t="s">
        <v>3734</v>
      </c>
    </row>
    <row r="16" spans="1:3">
      <c r="A16" s="1" t="s">
        <v>3743</v>
      </c>
      <c r="B16" t="s">
        <v>181</v>
      </c>
      <c r="C16" t="s">
        <v>3734</v>
      </c>
    </row>
    <row r="17" spans="1:3">
      <c r="A17" s="1" t="s">
        <v>3744</v>
      </c>
      <c r="B17" t="s">
        <v>181</v>
      </c>
      <c r="C17" t="s">
        <v>3734</v>
      </c>
    </row>
    <row r="18" spans="1:3">
      <c r="A18" s="1" t="s">
        <v>3745</v>
      </c>
      <c r="B18" t="s">
        <v>181</v>
      </c>
      <c r="C18" t="s">
        <v>3734</v>
      </c>
    </row>
    <row r="19" spans="1:3">
      <c r="A19" s="1" t="s">
        <v>3746</v>
      </c>
      <c r="B19" t="s">
        <v>181</v>
      </c>
      <c r="C19" t="s">
        <v>3734</v>
      </c>
    </row>
    <row r="20" spans="1:3">
      <c r="A20" s="1" t="s">
        <v>3747</v>
      </c>
      <c r="B20" t="s">
        <v>181</v>
      </c>
      <c r="C20" t="s">
        <v>3734</v>
      </c>
    </row>
    <row r="21" spans="1:3">
      <c r="A21" s="1" t="s">
        <v>117</v>
      </c>
      <c r="B21" t="s">
        <v>181</v>
      </c>
      <c r="C21" t="s">
        <v>3734</v>
      </c>
    </row>
    <row r="22" spans="1:3">
      <c r="A22" s="1" t="s">
        <v>3748</v>
      </c>
      <c r="B22" t="s">
        <v>181</v>
      </c>
      <c r="C22" t="s">
        <v>3734</v>
      </c>
    </row>
    <row r="23" spans="1:3">
      <c r="A23" s="1" t="s">
        <v>1779</v>
      </c>
      <c r="B23" t="s">
        <v>181</v>
      </c>
      <c r="C23" t="s">
        <v>3734</v>
      </c>
    </row>
    <row r="24" spans="1:3">
      <c r="A24" s="1" t="s">
        <v>3749</v>
      </c>
      <c r="B24" t="s">
        <v>181</v>
      </c>
      <c r="C24" t="s">
        <v>3734</v>
      </c>
    </row>
    <row r="25" spans="1:3">
      <c r="A25" s="1" t="s">
        <v>3750</v>
      </c>
      <c r="B25" t="s">
        <v>181</v>
      </c>
      <c r="C25" t="s">
        <v>3734</v>
      </c>
    </row>
    <row r="26" spans="1:3">
      <c r="A26" s="1" t="s">
        <v>3751</v>
      </c>
      <c r="B26" t="s">
        <v>181</v>
      </c>
      <c r="C26" t="s">
        <v>3734</v>
      </c>
    </row>
    <row r="27" spans="1:3">
      <c r="A27" s="1" t="s">
        <v>181</v>
      </c>
      <c r="B27" t="s">
        <v>181</v>
      </c>
      <c r="C27" t="s">
        <v>3734</v>
      </c>
    </row>
    <row r="28" spans="1:3">
      <c r="A28" s="1" t="s">
        <v>3752</v>
      </c>
      <c r="B28" t="s">
        <v>181</v>
      </c>
      <c r="C28" t="s">
        <v>3734</v>
      </c>
    </row>
    <row r="29" spans="1:3">
      <c r="A29" s="1" t="s">
        <v>3753</v>
      </c>
      <c r="B29" t="s">
        <v>181</v>
      </c>
      <c r="C29" t="s">
        <v>3734</v>
      </c>
    </row>
    <row r="30" spans="1:3">
      <c r="A30" s="1" t="s">
        <v>3753</v>
      </c>
      <c r="B30" t="s">
        <v>181</v>
      </c>
      <c r="C30" t="s">
        <v>3734</v>
      </c>
    </row>
    <row r="31" spans="1:3">
      <c r="A31" s="1" t="s">
        <v>3753</v>
      </c>
      <c r="B31" t="s">
        <v>181</v>
      </c>
      <c r="C31" t="s">
        <v>3734</v>
      </c>
    </row>
    <row r="32" spans="1:3">
      <c r="A32" s="1" t="s">
        <v>3753</v>
      </c>
      <c r="B32" t="s">
        <v>181</v>
      </c>
      <c r="C32" t="s">
        <v>3734</v>
      </c>
    </row>
    <row r="33" spans="1:3">
      <c r="A33" s="1" t="s">
        <v>3753</v>
      </c>
      <c r="B33" t="s">
        <v>181</v>
      </c>
      <c r="C33" t="s">
        <v>3734</v>
      </c>
    </row>
    <row r="34" spans="1:3">
      <c r="A34" s="1" t="s">
        <v>3753</v>
      </c>
      <c r="B34" t="s">
        <v>181</v>
      </c>
      <c r="C34" t="s">
        <v>3734</v>
      </c>
    </row>
    <row r="35" spans="1:3">
      <c r="A35" s="1" t="s">
        <v>3753</v>
      </c>
      <c r="B35" t="s">
        <v>181</v>
      </c>
      <c r="C35" t="s">
        <v>3734</v>
      </c>
    </row>
    <row r="36" spans="1:3">
      <c r="A36" s="1" t="s">
        <v>3754</v>
      </c>
      <c r="B36" t="s">
        <v>181</v>
      </c>
      <c r="C36" t="s">
        <v>3734</v>
      </c>
    </row>
    <row r="37" spans="1:3">
      <c r="A37" s="1" t="s">
        <v>22</v>
      </c>
      <c r="B37" t="s">
        <v>181</v>
      </c>
      <c r="C37" t="s">
        <v>3734</v>
      </c>
    </row>
    <row r="38" spans="1:3">
      <c r="A38" s="1" t="s">
        <v>72</v>
      </c>
      <c r="B38" t="s">
        <v>181</v>
      </c>
      <c r="C38" t="s">
        <v>3734</v>
      </c>
    </row>
    <row r="39" spans="1:3">
      <c r="A39" s="1" t="s">
        <v>3755</v>
      </c>
      <c r="B39" t="s">
        <v>181</v>
      </c>
      <c r="C39" t="s">
        <v>3734</v>
      </c>
    </row>
    <row r="40" spans="1:3" ht="30">
      <c r="A40" s="1" t="s">
        <v>3756</v>
      </c>
      <c r="B40" t="s">
        <v>181</v>
      </c>
      <c r="C40" t="s">
        <v>3734</v>
      </c>
    </row>
    <row r="41" spans="1:3" ht="30">
      <c r="A41" s="1" t="s">
        <v>3757</v>
      </c>
      <c r="B41" t="s">
        <v>181</v>
      </c>
      <c r="C41" t="s">
        <v>3734</v>
      </c>
    </row>
    <row r="42" spans="1:3">
      <c r="A42" s="1" t="s">
        <v>1645</v>
      </c>
      <c r="B42" t="s">
        <v>181</v>
      </c>
      <c r="C42" t="s">
        <v>3734</v>
      </c>
    </row>
    <row r="43" spans="1:3">
      <c r="A43" s="1" t="s">
        <v>3758</v>
      </c>
      <c r="B43" t="s">
        <v>181</v>
      </c>
      <c r="C43" t="s">
        <v>3734</v>
      </c>
    </row>
    <row r="44" spans="1:3" ht="16.5" customHeight="1">
      <c r="A44" s="1" t="s">
        <v>1541</v>
      </c>
      <c r="B44" t="s">
        <v>181</v>
      </c>
      <c r="C44" t="s">
        <v>3734</v>
      </c>
    </row>
    <row r="45" spans="1:3">
      <c r="A45" s="1" t="s">
        <v>605</v>
      </c>
      <c r="B45" t="s">
        <v>181</v>
      </c>
      <c r="C45" t="s">
        <v>3734</v>
      </c>
    </row>
    <row r="46" spans="1:3">
      <c r="A46" s="1" t="s">
        <v>3759</v>
      </c>
      <c r="B46" t="s">
        <v>181</v>
      </c>
      <c r="C46" t="s">
        <v>3734</v>
      </c>
    </row>
    <row r="47" spans="1:3">
      <c r="A47" s="1" t="s">
        <v>3760</v>
      </c>
      <c r="B47" t="s">
        <v>181</v>
      </c>
      <c r="C47" t="s">
        <v>3734</v>
      </c>
    </row>
    <row r="48" spans="1:3">
      <c r="A48" s="1" t="s">
        <v>3761</v>
      </c>
      <c r="B48" t="s">
        <v>181</v>
      </c>
      <c r="C48" t="s">
        <v>3734</v>
      </c>
    </row>
    <row r="49" spans="1:3">
      <c r="A49" s="1" t="s">
        <v>3762</v>
      </c>
      <c r="B49" t="s">
        <v>181</v>
      </c>
      <c r="C49" t="s">
        <v>3734</v>
      </c>
    </row>
    <row r="50" spans="1:3">
      <c r="A50" s="1" t="s">
        <v>3763</v>
      </c>
      <c r="B50" t="s">
        <v>181</v>
      </c>
      <c r="C50" t="s">
        <v>3734</v>
      </c>
    </row>
    <row r="51" spans="1:3">
      <c r="A51" s="1" t="s">
        <v>3764</v>
      </c>
      <c r="B51" t="s">
        <v>181</v>
      </c>
      <c r="C51" t="s">
        <v>3734</v>
      </c>
    </row>
    <row r="52" spans="1:3">
      <c r="A52" s="1" t="s">
        <v>3765</v>
      </c>
      <c r="B52" t="s">
        <v>181</v>
      </c>
      <c r="C52" t="s">
        <v>3734</v>
      </c>
    </row>
    <row r="53" spans="1:3">
      <c r="A53" s="1" t="s">
        <v>3766</v>
      </c>
      <c r="B53" t="s">
        <v>181</v>
      </c>
      <c r="C53" t="s">
        <v>3734</v>
      </c>
    </row>
    <row r="54" spans="1:3">
      <c r="A54" s="1" t="s">
        <v>3767</v>
      </c>
      <c r="B54" t="s">
        <v>181</v>
      </c>
      <c r="C54" t="s">
        <v>3734</v>
      </c>
    </row>
    <row r="55" spans="1:3">
      <c r="A55" s="1" t="s">
        <v>94</v>
      </c>
      <c r="B55" t="s">
        <v>181</v>
      </c>
      <c r="C55" t="s">
        <v>3734</v>
      </c>
    </row>
    <row r="56" spans="1:3">
      <c r="A56" s="1" t="s">
        <v>3768</v>
      </c>
      <c r="B56" t="s">
        <v>181</v>
      </c>
      <c r="C56" t="s">
        <v>3734</v>
      </c>
    </row>
    <row r="57" spans="1:3">
      <c r="A57" s="1" t="s">
        <v>351</v>
      </c>
      <c r="B57" t="s">
        <v>181</v>
      </c>
      <c r="C57" t="s">
        <v>3734</v>
      </c>
    </row>
    <row r="58" spans="1:3">
      <c r="A58" s="1" t="s">
        <v>3769</v>
      </c>
      <c r="B58" t="s">
        <v>181</v>
      </c>
      <c r="C58" t="s">
        <v>3734</v>
      </c>
    </row>
    <row r="59" spans="1:3">
      <c r="A59" s="1" t="s">
        <v>671</v>
      </c>
      <c r="B59" t="s">
        <v>181</v>
      </c>
      <c r="C59" t="s">
        <v>3734</v>
      </c>
    </row>
    <row r="60" spans="1:3">
      <c r="A60" s="1" t="s">
        <v>3770</v>
      </c>
      <c r="B60" t="s">
        <v>181</v>
      </c>
      <c r="C60" t="s">
        <v>3734</v>
      </c>
    </row>
    <row r="61" spans="1:3">
      <c r="A61" s="1" t="s">
        <v>733</v>
      </c>
      <c r="B61" t="s">
        <v>181</v>
      </c>
      <c r="C61" t="s">
        <v>3734</v>
      </c>
    </row>
    <row r="62" spans="1:3">
      <c r="A62" s="1" t="s">
        <v>3771</v>
      </c>
      <c r="B62" t="s">
        <v>181</v>
      </c>
      <c r="C62" t="s">
        <v>3734</v>
      </c>
    </row>
    <row r="63" spans="1:3">
      <c r="A63" s="1" t="s">
        <v>3772</v>
      </c>
      <c r="B63" t="s">
        <v>181</v>
      </c>
      <c r="C63" t="s">
        <v>3734</v>
      </c>
    </row>
    <row r="64" spans="1:3">
      <c r="A64" s="1" t="s">
        <v>3773</v>
      </c>
      <c r="B64" t="s">
        <v>181</v>
      </c>
      <c r="C64" t="s">
        <v>3734</v>
      </c>
    </row>
    <row r="65" spans="1:3">
      <c r="A65" s="1" t="s">
        <v>355</v>
      </c>
      <c r="B65" t="s">
        <v>181</v>
      </c>
      <c r="C65" t="s">
        <v>3734</v>
      </c>
    </row>
    <row r="66" spans="1:3">
      <c r="A66" s="1" t="s">
        <v>1833</v>
      </c>
      <c r="B66" t="s">
        <v>181</v>
      </c>
      <c r="C66" t="s">
        <v>3734</v>
      </c>
    </row>
    <row r="67" spans="1:3">
      <c r="A67" s="1" t="s">
        <v>3774</v>
      </c>
      <c r="B67" t="s">
        <v>181</v>
      </c>
      <c r="C67" t="s">
        <v>3734</v>
      </c>
    </row>
    <row r="68" spans="1:3">
      <c r="A68" s="1" t="s">
        <v>3775</v>
      </c>
      <c r="B68" t="s">
        <v>181</v>
      </c>
      <c r="C68" t="s">
        <v>3734</v>
      </c>
    </row>
    <row r="69" spans="1:3">
      <c r="A69" s="1" t="s">
        <v>3776</v>
      </c>
      <c r="B69" t="s">
        <v>181</v>
      </c>
      <c r="C69" t="s">
        <v>3734</v>
      </c>
    </row>
    <row r="70" spans="1:3">
      <c r="A70" s="1" t="s">
        <v>868</v>
      </c>
      <c r="B70" t="s">
        <v>181</v>
      </c>
      <c r="C70" t="s">
        <v>3734</v>
      </c>
    </row>
    <row r="71" spans="1:3" ht="30">
      <c r="A71" s="1" t="s">
        <v>54</v>
      </c>
      <c r="B71" t="s">
        <v>181</v>
      </c>
      <c r="C71" t="s">
        <v>3734</v>
      </c>
    </row>
    <row r="72" spans="1:3">
      <c r="A72" s="1" t="s">
        <v>3777</v>
      </c>
      <c r="B72" t="s">
        <v>181</v>
      </c>
      <c r="C72" t="s">
        <v>3734</v>
      </c>
    </row>
    <row r="73" spans="1:3">
      <c r="A73" s="1" t="s">
        <v>3778</v>
      </c>
      <c r="B73" t="s">
        <v>181</v>
      </c>
      <c r="C73" t="s">
        <v>3734</v>
      </c>
    </row>
    <row r="74" spans="1:3">
      <c r="A74" s="1" t="s">
        <v>3779</v>
      </c>
      <c r="B74" t="s">
        <v>181</v>
      </c>
      <c r="C74" t="s">
        <v>3734</v>
      </c>
    </row>
    <row r="75" spans="1:3">
      <c r="A75" s="1" t="s">
        <v>897</v>
      </c>
      <c r="B75" t="s">
        <v>181</v>
      </c>
      <c r="C75" t="s">
        <v>3734</v>
      </c>
    </row>
    <row r="76" spans="1:3" ht="30">
      <c r="A76" s="1" t="s">
        <v>3780</v>
      </c>
      <c r="B76" t="s">
        <v>181</v>
      </c>
      <c r="C76" t="s">
        <v>3734</v>
      </c>
    </row>
    <row r="77" spans="1:3">
      <c r="A77" s="1" t="s">
        <v>3781</v>
      </c>
      <c r="B77" t="s">
        <v>181</v>
      </c>
      <c r="C77" t="s">
        <v>3734</v>
      </c>
    </row>
    <row r="78" spans="1:3">
      <c r="A78" s="1" t="s">
        <v>1868</v>
      </c>
      <c r="B78" t="s">
        <v>181</v>
      </c>
      <c r="C78" t="s">
        <v>3734</v>
      </c>
    </row>
    <row r="79" spans="1:3">
      <c r="A79" s="1" t="s">
        <v>3782</v>
      </c>
      <c r="B79" t="s">
        <v>181</v>
      </c>
      <c r="C79" t="s">
        <v>3734</v>
      </c>
    </row>
    <row r="80" spans="1:3">
      <c r="A80" s="1" t="s">
        <v>3783</v>
      </c>
      <c r="B80" t="s">
        <v>181</v>
      </c>
      <c r="C80" t="s">
        <v>3734</v>
      </c>
    </row>
    <row r="81" spans="1:3">
      <c r="A81" s="1" t="s">
        <v>3784</v>
      </c>
      <c r="B81" t="s">
        <v>181</v>
      </c>
      <c r="C81" t="s">
        <v>3734</v>
      </c>
    </row>
    <row r="82" spans="1:3">
      <c r="A82" s="1" t="s">
        <v>3785</v>
      </c>
      <c r="B82" t="s">
        <v>181</v>
      </c>
      <c r="C82" t="s">
        <v>3734</v>
      </c>
    </row>
    <row r="83" spans="1:3">
      <c r="A83" s="1" t="s">
        <v>3786</v>
      </c>
      <c r="B83" t="s">
        <v>181</v>
      </c>
      <c r="C83" t="s">
        <v>3734</v>
      </c>
    </row>
    <row r="84" spans="1:3" ht="30">
      <c r="A84" s="1" t="s">
        <v>3787</v>
      </c>
      <c r="B84" t="s">
        <v>181</v>
      </c>
      <c r="C84" t="s">
        <v>3734</v>
      </c>
    </row>
    <row r="85" spans="1:3" ht="30">
      <c r="A85" s="1" t="s">
        <v>3788</v>
      </c>
      <c r="B85" t="s">
        <v>181</v>
      </c>
      <c r="C85" t="s">
        <v>3734</v>
      </c>
    </row>
    <row r="86" spans="1:3" ht="30">
      <c r="A86" s="1" t="s">
        <v>3789</v>
      </c>
      <c r="B86" t="s">
        <v>181</v>
      </c>
      <c r="C86" t="s">
        <v>3734</v>
      </c>
    </row>
    <row r="87" spans="1:3" ht="30">
      <c r="A87" s="1" t="s">
        <v>1867</v>
      </c>
      <c r="B87" t="s">
        <v>181</v>
      </c>
      <c r="C87" t="s">
        <v>3734</v>
      </c>
    </row>
    <row r="88" spans="1:3">
      <c r="A88" s="1" t="s">
        <v>938</v>
      </c>
      <c r="B88" t="s">
        <v>181</v>
      </c>
      <c r="C88" t="s">
        <v>3734</v>
      </c>
    </row>
    <row r="89" spans="1:3">
      <c r="A89" s="1" t="s">
        <v>20</v>
      </c>
      <c r="B89" t="s">
        <v>181</v>
      </c>
      <c r="C89" t="s">
        <v>3734</v>
      </c>
    </row>
    <row r="90" spans="1:3">
      <c r="A90" s="1" t="s">
        <v>3790</v>
      </c>
      <c r="B90" t="s">
        <v>181</v>
      </c>
      <c r="C90" t="s">
        <v>3734</v>
      </c>
    </row>
    <row r="91" spans="1:3">
      <c r="A91" s="1" t="s">
        <v>3791</v>
      </c>
      <c r="B91" t="s">
        <v>181</v>
      </c>
      <c r="C91" t="s">
        <v>3734</v>
      </c>
    </row>
    <row r="92" spans="1:3">
      <c r="A92" s="1" t="s">
        <v>3792</v>
      </c>
      <c r="B92" t="s">
        <v>181</v>
      </c>
      <c r="C92" t="s">
        <v>3734</v>
      </c>
    </row>
    <row r="93" spans="1:3">
      <c r="A93" s="1" t="s">
        <v>3793</v>
      </c>
      <c r="B93" t="s">
        <v>181</v>
      </c>
      <c r="C93" t="s">
        <v>3734</v>
      </c>
    </row>
    <row r="94" spans="1:3">
      <c r="A94" s="1" t="s">
        <v>969</v>
      </c>
      <c r="B94" t="s">
        <v>181</v>
      </c>
      <c r="C94" t="s">
        <v>3734</v>
      </c>
    </row>
    <row r="95" spans="1:3">
      <c r="A95" s="1" t="s">
        <v>973</v>
      </c>
      <c r="B95" t="s">
        <v>181</v>
      </c>
      <c r="C95" t="s">
        <v>3734</v>
      </c>
    </row>
    <row r="96" spans="1:3">
      <c r="A96" s="1" t="s">
        <v>983</v>
      </c>
      <c r="B96" t="s">
        <v>181</v>
      </c>
      <c r="C96" t="s">
        <v>3734</v>
      </c>
    </row>
    <row r="97" spans="1:3">
      <c r="A97" s="1" t="s">
        <v>3794</v>
      </c>
      <c r="B97" t="s">
        <v>181</v>
      </c>
      <c r="C97" t="s">
        <v>3734</v>
      </c>
    </row>
    <row r="98" spans="1:3">
      <c r="A98" s="1" t="s">
        <v>76</v>
      </c>
      <c r="B98" t="s">
        <v>181</v>
      </c>
      <c r="C98" t="s">
        <v>3734</v>
      </c>
    </row>
    <row r="99" spans="1:3">
      <c r="A99" s="1" t="s">
        <v>3795</v>
      </c>
      <c r="B99" t="s">
        <v>181</v>
      </c>
      <c r="C99" t="s">
        <v>3734</v>
      </c>
    </row>
    <row r="100" spans="1:3">
      <c r="A100" s="1" t="s">
        <v>3796</v>
      </c>
      <c r="B100" t="s">
        <v>181</v>
      </c>
      <c r="C100" t="s">
        <v>3734</v>
      </c>
    </row>
    <row r="101" spans="1:3">
      <c r="A101" s="1" t="s">
        <v>3797</v>
      </c>
      <c r="B101" t="s">
        <v>181</v>
      </c>
      <c r="C101" t="s">
        <v>3734</v>
      </c>
    </row>
    <row r="102" spans="1:3">
      <c r="A102" s="1" t="s">
        <v>1884</v>
      </c>
      <c r="B102" t="s">
        <v>181</v>
      </c>
      <c r="C102" t="s">
        <v>3734</v>
      </c>
    </row>
    <row r="103" spans="1:3">
      <c r="A103" s="1" t="s">
        <v>3798</v>
      </c>
      <c r="B103" t="s">
        <v>181</v>
      </c>
      <c r="C103" t="s">
        <v>3734</v>
      </c>
    </row>
    <row r="104" spans="1:3">
      <c r="A104" s="1" t="s">
        <v>3799</v>
      </c>
      <c r="B104" t="s">
        <v>181</v>
      </c>
      <c r="C104" t="s">
        <v>3734</v>
      </c>
    </row>
    <row r="105" spans="1:3">
      <c r="A105" s="1" t="s">
        <v>3799</v>
      </c>
      <c r="B105" t="s">
        <v>181</v>
      </c>
      <c r="C105" t="s">
        <v>3734</v>
      </c>
    </row>
    <row r="106" spans="1:3">
      <c r="A106" s="1" t="s">
        <v>33</v>
      </c>
      <c r="B106" t="s">
        <v>181</v>
      </c>
      <c r="C106" t="s">
        <v>3734</v>
      </c>
    </row>
    <row r="107" spans="1:3">
      <c r="A107" s="1" t="s">
        <v>3800</v>
      </c>
      <c r="B107" t="s">
        <v>181</v>
      </c>
      <c r="C107" t="s">
        <v>3734</v>
      </c>
    </row>
    <row r="108" spans="1:3">
      <c r="A108" s="1" t="s">
        <v>3801</v>
      </c>
      <c r="B108" t="s">
        <v>181</v>
      </c>
      <c r="C108" t="s">
        <v>3734</v>
      </c>
    </row>
    <row r="109" spans="1:3">
      <c r="A109" s="1" t="s">
        <v>199</v>
      </c>
      <c r="B109" t="s">
        <v>181</v>
      </c>
      <c r="C109" t="s">
        <v>3734</v>
      </c>
    </row>
    <row r="110" spans="1:3">
      <c r="A110" s="1" t="s">
        <v>3802</v>
      </c>
      <c r="B110" t="s">
        <v>181</v>
      </c>
      <c r="C110" t="s">
        <v>3734</v>
      </c>
    </row>
    <row r="111" spans="1:3">
      <c r="A111" s="1" t="s">
        <v>79</v>
      </c>
      <c r="B111" t="s">
        <v>181</v>
      </c>
      <c r="C111" t="s">
        <v>3734</v>
      </c>
    </row>
    <row r="112" spans="1:3">
      <c r="A112" s="1" t="s">
        <v>79</v>
      </c>
      <c r="B112" t="s">
        <v>181</v>
      </c>
      <c r="C112" t="s">
        <v>3734</v>
      </c>
    </row>
    <row r="113" spans="1:3">
      <c r="A113" s="1" t="s">
        <v>1082</v>
      </c>
      <c r="B113" t="s">
        <v>181</v>
      </c>
      <c r="C113" t="s">
        <v>3734</v>
      </c>
    </row>
    <row r="114" spans="1:3">
      <c r="A114" s="1" t="s">
        <v>1091</v>
      </c>
      <c r="B114" t="s">
        <v>181</v>
      </c>
      <c r="C114" t="s">
        <v>3734</v>
      </c>
    </row>
    <row r="115" spans="1:3">
      <c r="A115" s="1" t="s">
        <v>226</v>
      </c>
      <c r="B115" t="s">
        <v>181</v>
      </c>
      <c r="C115" t="s">
        <v>3734</v>
      </c>
    </row>
    <row r="116" spans="1:3">
      <c r="A116" s="1" t="s">
        <v>3803</v>
      </c>
      <c r="B116" t="s">
        <v>181</v>
      </c>
      <c r="C116" t="s">
        <v>3734</v>
      </c>
    </row>
    <row r="117" spans="1:3">
      <c r="A117" s="1" t="s">
        <v>3804</v>
      </c>
      <c r="B117" t="s">
        <v>181</v>
      </c>
      <c r="C117" t="s">
        <v>3734</v>
      </c>
    </row>
    <row r="118" spans="1:3">
      <c r="A118" s="1" t="s">
        <v>3805</v>
      </c>
      <c r="B118" t="s">
        <v>181</v>
      </c>
      <c r="C118" t="s">
        <v>3734</v>
      </c>
    </row>
    <row r="119" spans="1:3">
      <c r="A119" s="1" t="s">
        <v>3806</v>
      </c>
      <c r="B119" t="s">
        <v>181</v>
      </c>
      <c r="C119" t="s">
        <v>3734</v>
      </c>
    </row>
    <row r="120" spans="1:3">
      <c r="A120" s="1" t="s">
        <v>68</v>
      </c>
      <c r="B120" t="s">
        <v>181</v>
      </c>
      <c r="C120" t="s">
        <v>3734</v>
      </c>
    </row>
    <row r="121" spans="1:3">
      <c r="A121" s="1" t="s">
        <v>1238</v>
      </c>
      <c r="B121" t="s">
        <v>181</v>
      </c>
      <c r="C121" t="s">
        <v>3734</v>
      </c>
    </row>
    <row r="122" spans="1:3">
      <c r="A122" s="1" t="s">
        <v>3807</v>
      </c>
      <c r="B122" t="s">
        <v>181</v>
      </c>
      <c r="C122" t="s">
        <v>3734</v>
      </c>
    </row>
    <row r="123" spans="1:3">
      <c r="A123" s="1" t="s">
        <v>262</v>
      </c>
      <c r="B123" t="s">
        <v>181</v>
      </c>
      <c r="C123" t="s">
        <v>3734</v>
      </c>
    </row>
  </sheetData>
  <dataValidations count="1">
    <dataValidation allowBlank="1" showInputMessage="1" showErrorMessage="1" sqref="B1:B1048576" xr:uid="{88D7E0B5-3D91-4996-883A-22FCD22C5B67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43A9-AC64-4982-B45F-5945394BC247}">
  <dimension ref="A1:C72"/>
  <sheetViews>
    <sheetView workbookViewId="0">
      <selection activeCell="A17" sqref="A17"/>
    </sheetView>
  </sheetViews>
  <sheetFormatPr defaultRowHeight="15"/>
  <cols>
    <col min="1" max="1" width="41.85546875" customWidth="1"/>
  </cols>
  <sheetData>
    <row r="1" spans="1:3" ht="15.75">
      <c r="A1" s="2" t="s">
        <v>3808</v>
      </c>
      <c r="B1" s="5"/>
    </row>
    <row r="2" spans="1:3">
      <c r="A2" s="3" t="s">
        <v>105</v>
      </c>
      <c r="B2" s="6" t="s">
        <v>3809</v>
      </c>
      <c r="C2" t="s">
        <v>3734</v>
      </c>
    </row>
    <row r="3" spans="1:3">
      <c r="A3" s="3" t="s">
        <v>135</v>
      </c>
      <c r="B3" s="6" t="s">
        <v>3809</v>
      </c>
      <c r="C3" t="s">
        <v>3734</v>
      </c>
    </row>
    <row r="4" spans="1:3">
      <c r="A4" s="3" t="s">
        <v>141</v>
      </c>
      <c r="B4" s="6" t="s">
        <v>3809</v>
      </c>
      <c r="C4" t="s">
        <v>3734</v>
      </c>
    </row>
    <row r="5" spans="1:3">
      <c r="A5" s="3" t="s">
        <v>145</v>
      </c>
      <c r="B5" s="6" t="s">
        <v>3809</v>
      </c>
      <c r="C5" t="s">
        <v>3734</v>
      </c>
    </row>
    <row r="6" spans="1:3">
      <c r="A6" s="3" t="s">
        <v>3810</v>
      </c>
      <c r="B6" s="6" t="s">
        <v>3809</v>
      </c>
      <c r="C6" t="s">
        <v>3734</v>
      </c>
    </row>
    <row r="7" spans="1:3">
      <c r="A7" s="3" t="s">
        <v>3811</v>
      </c>
      <c r="B7" s="6" t="s">
        <v>3809</v>
      </c>
      <c r="C7" t="s">
        <v>3734</v>
      </c>
    </row>
    <row r="8" spans="1:3">
      <c r="A8" s="3" t="s">
        <v>3812</v>
      </c>
      <c r="B8" s="6" t="s">
        <v>3809</v>
      </c>
      <c r="C8" t="s">
        <v>3734</v>
      </c>
    </row>
    <row r="9" spans="1:3">
      <c r="A9" s="3" t="s">
        <v>3813</v>
      </c>
      <c r="B9" s="6" t="s">
        <v>3809</v>
      </c>
      <c r="C9" t="s">
        <v>3734</v>
      </c>
    </row>
    <row r="10" spans="1:3">
      <c r="A10" s="3" t="s">
        <v>209</v>
      </c>
      <c r="B10" s="6" t="s">
        <v>3809</v>
      </c>
      <c r="C10" t="s">
        <v>3734</v>
      </c>
    </row>
    <row r="11" spans="1:3" ht="30">
      <c r="A11" s="3" t="s">
        <v>3814</v>
      </c>
      <c r="B11" s="6" t="s">
        <v>3809</v>
      </c>
      <c r="C11" t="s">
        <v>3734</v>
      </c>
    </row>
    <row r="12" spans="1:3">
      <c r="A12" s="3" t="s">
        <v>230</v>
      </c>
      <c r="B12" s="6" t="s">
        <v>3809</v>
      </c>
      <c r="C12" t="s">
        <v>3734</v>
      </c>
    </row>
    <row r="13" spans="1:3">
      <c r="A13" s="3" t="s">
        <v>3815</v>
      </c>
      <c r="B13" s="6" t="s">
        <v>3809</v>
      </c>
      <c r="C13" t="s">
        <v>3734</v>
      </c>
    </row>
    <row r="14" spans="1:3" ht="30">
      <c r="A14" s="3" t="s">
        <v>3816</v>
      </c>
      <c r="B14" s="6" t="s">
        <v>3809</v>
      </c>
      <c r="C14" t="s">
        <v>3734</v>
      </c>
    </row>
    <row r="15" spans="1:3">
      <c r="A15" s="3" t="s">
        <v>3817</v>
      </c>
      <c r="B15" s="6" t="s">
        <v>3809</v>
      </c>
      <c r="C15" t="s">
        <v>3734</v>
      </c>
    </row>
    <row r="16" spans="1:3">
      <c r="A16" s="3" t="s">
        <v>324</v>
      </c>
      <c r="B16" s="6" t="s">
        <v>3809</v>
      </c>
      <c r="C16" t="s">
        <v>3734</v>
      </c>
    </row>
    <row r="17" spans="1:3">
      <c r="A17" s="3" t="s">
        <v>3818</v>
      </c>
      <c r="B17" s="6" t="s">
        <v>3809</v>
      </c>
      <c r="C17" t="s">
        <v>3734</v>
      </c>
    </row>
    <row r="18" spans="1:3">
      <c r="A18" s="3" t="s">
        <v>380</v>
      </c>
      <c r="B18" s="6" t="s">
        <v>3809</v>
      </c>
      <c r="C18" t="s">
        <v>3734</v>
      </c>
    </row>
    <row r="19" spans="1:3">
      <c r="A19" s="3" t="s">
        <v>3819</v>
      </c>
      <c r="B19" s="6" t="s">
        <v>3809</v>
      </c>
      <c r="C19" t="s">
        <v>3734</v>
      </c>
    </row>
    <row r="20" spans="1:3">
      <c r="A20" s="3" t="s">
        <v>3820</v>
      </c>
      <c r="B20" s="6" t="s">
        <v>3809</v>
      </c>
      <c r="C20" t="s">
        <v>3734</v>
      </c>
    </row>
    <row r="21" spans="1:3">
      <c r="A21" s="3" t="s">
        <v>393</v>
      </c>
      <c r="B21" s="6" t="s">
        <v>3809</v>
      </c>
      <c r="C21" t="s">
        <v>3734</v>
      </c>
    </row>
    <row r="22" spans="1:3">
      <c r="A22" s="3" t="s">
        <v>434</v>
      </c>
      <c r="B22" s="6" t="s">
        <v>3809</v>
      </c>
      <c r="C22" t="s">
        <v>3734</v>
      </c>
    </row>
    <row r="23" spans="1:3">
      <c r="A23" s="3" t="s">
        <v>452</v>
      </c>
      <c r="B23" s="6" t="s">
        <v>3809</v>
      </c>
      <c r="C23" t="s">
        <v>3734</v>
      </c>
    </row>
    <row r="24" spans="1:3">
      <c r="A24" s="3" t="s">
        <v>3821</v>
      </c>
      <c r="B24" s="6" t="s">
        <v>3809</v>
      </c>
      <c r="C24" t="s">
        <v>3734</v>
      </c>
    </row>
    <row r="25" spans="1:3">
      <c r="A25" s="3" t="s">
        <v>465</v>
      </c>
      <c r="B25" s="6" t="s">
        <v>3809</v>
      </c>
      <c r="C25" t="s">
        <v>3734</v>
      </c>
    </row>
    <row r="26" spans="1:3">
      <c r="A26" s="3" t="s">
        <v>3822</v>
      </c>
      <c r="B26" s="6" t="s">
        <v>3809</v>
      </c>
      <c r="C26" t="s">
        <v>3734</v>
      </c>
    </row>
    <row r="27" spans="1:3">
      <c r="A27" s="3" t="s">
        <v>485</v>
      </c>
      <c r="B27" s="6" t="s">
        <v>3809</v>
      </c>
      <c r="C27" t="s">
        <v>3734</v>
      </c>
    </row>
    <row r="28" spans="1:3">
      <c r="A28" s="3" t="s">
        <v>492</v>
      </c>
      <c r="B28" s="6" t="s">
        <v>3809</v>
      </c>
      <c r="C28" t="s">
        <v>3734</v>
      </c>
    </row>
    <row r="29" spans="1:3">
      <c r="A29" s="3" t="s">
        <v>539</v>
      </c>
      <c r="B29" s="6" t="s">
        <v>3809</v>
      </c>
      <c r="C29" t="s">
        <v>3734</v>
      </c>
    </row>
    <row r="30" spans="1:3">
      <c r="A30" s="3" t="s">
        <v>3823</v>
      </c>
      <c r="B30" s="6" t="s">
        <v>3809</v>
      </c>
      <c r="C30" t="s">
        <v>3734</v>
      </c>
    </row>
    <row r="31" spans="1:3">
      <c r="A31" s="3" t="s">
        <v>563</v>
      </c>
      <c r="B31" s="6" t="s">
        <v>3809</v>
      </c>
      <c r="C31" t="s">
        <v>3734</v>
      </c>
    </row>
    <row r="32" spans="1:3">
      <c r="A32" s="3" t="s">
        <v>566</v>
      </c>
      <c r="B32" s="6" t="s">
        <v>3809</v>
      </c>
      <c r="C32" t="s">
        <v>3734</v>
      </c>
    </row>
    <row r="33" spans="1:3">
      <c r="A33" s="3" t="s">
        <v>576</v>
      </c>
      <c r="B33" s="6" t="s">
        <v>3809</v>
      </c>
      <c r="C33" t="s">
        <v>3734</v>
      </c>
    </row>
    <row r="34" spans="1:3">
      <c r="A34" s="3" t="s">
        <v>585</v>
      </c>
      <c r="B34" s="6" t="s">
        <v>3809</v>
      </c>
      <c r="C34" t="s">
        <v>3734</v>
      </c>
    </row>
    <row r="35" spans="1:3">
      <c r="A35" s="3" t="s">
        <v>593</v>
      </c>
      <c r="B35" s="6" t="s">
        <v>3809</v>
      </c>
      <c r="C35" t="s">
        <v>3734</v>
      </c>
    </row>
    <row r="36" spans="1:3">
      <c r="A36" s="3" t="s">
        <v>3824</v>
      </c>
      <c r="B36" s="6" t="s">
        <v>3809</v>
      </c>
      <c r="C36" t="s">
        <v>3734</v>
      </c>
    </row>
    <row r="37" spans="1:3">
      <c r="A37" s="3" t="s">
        <v>3825</v>
      </c>
      <c r="B37" s="6" t="s">
        <v>3809</v>
      </c>
      <c r="C37" t="s">
        <v>3734</v>
      </c>
    </row>
    <row r="38" spans="1:3">
      <c r="A38" s="3" t="s">
        <v>616</v>
      </c>
      <c r="B38" s="6" t="s">
        <v>3809</v>
      </c>
      <c r="C38" t="s">
        <v>3734</v>
      </c>
    </row>
    <row r="39" spans="1:3">
      <c r="A39" s="3" t="s">
        <v>645</v>
      </c>
      <c r="B39" s="6" t="s">
        <v>3809</v>
      </c>
      <c r="C39" t="s">
        <v>3734</v>
      </c>
    </row>
    <row r="40" spans="1:3">
      <c r="A40" s="3" t="s">
        <v>3826</v>
      </c>
      <c r="B40" s="6" t="s">
        <v>3809</v>
      </c>
      <c r="C40" t="s">
        <v>3734</v>
      </c>
    </row>
    <row r="41" spans="1:3">
      <c r="A41" s="3" t="s">
        <v>3827</v>
      </c>
      <c r="B41" s="6" t="s">
        <v>3809</v>
      </c>
      <c r="C41" t="s">
        <v>3734</v>
      </c>
    </row>
    <row r="42" spans="1:3">
      <c r="A42" s="3" t="s">
        <v>707</v>
      </c>
      <c r="B42" s="6" t="s">
        <v>3809</v>
      </c>
      <c r="C42" t="s">
        <v>3734</v>
      </c>
    </row>
    <row r="43" spans="1:3">
      <c r="A43" s="3" t="s">
        <v>3828</v>
      </c>
      <c r="B43" s="6" t="s">
        <v>3809</v>
      </c>
      <c r="C43" t="s">
        <v>3734</v>
      </c>
    </row>
    <row r="44" spans="1:3">
      <c r="A44" s="3" t="s">
        <v>725</v>
      </c>
      <c r="B44" s="6" t="s">
        <v>3809</v>
      </c>
      <c r="C44" t="s">
        <v>3734</v>
      </c>
    </row>
    <row r="45" spans="1:3">
      <c r="A45" s="3" t="s">
        <v>3829</v>
      </c>
      <c r="B45" s="6" t="s">
        <v>3809</v>
      </c>
      <c r="C45" t="s">
        <v>3734</v>
      </c>
    </row>
    <row r="46" spans="1:3">
      <c r="A46" s="3" t="s">
        <v>780</v>
      </c>
      <c r="B46" s="6" t="s">
        <v>3809</v>
      </c>
      <c r="C46" t="s">
        <v>3734</v>
      </c>
    </row>
    <row r="47" spans="1:3">
      <c r="A47" s="3" t="s">
        <v>3830</v>
      </c>
      <c r="B47" s="6" t="s">
        <v>3809</v>
      </c>
      <c r="C47" t="s">
        <v>3734</v>
      </c>
    </row>
    <row r="48" spans="1:3">
      <c r="A48" s="3" t="s">
        <v>3831</v>
      </c>
      <c r="B48" s="6" t="s">
        <v>3809</v>
      </c>
      <c r="C48" t="s">
        <v>3734</v>
      </c>
    </row>
    <row r="49" spans="1:3">
      <c r="A49" s="3" t="s">
        <v>3832</v>
      </c>
      <c r="B49" s="6" t="s">
        <v>3809</v>
      </c>
      <c r="C49" t="s">
        <v>3734</v>
      </c>
    </row>
    <row r="50" spans="1:3">
      <c r="A50" s="3" t="s">
        <v>833</v>
      </c>
      <c r="B50" s="6" t="s">
        <v>3809</v>
      </c>
      <c r="C50" t="s">
        <v>3734</v>
      </c>
    </row>
    <row r="51" spans="1:3">
      <c r="A51" s="3" t="s">
        <v>838</v>
      </c>
      <c r="B51" s="6" t="s">
        <v>3809</v>
      </c>
      <c r="C51" t="s">
        <v>3734</v>
      </c>
    </row>
    <row r="52" spans="1:3">
      <c r="A52" s="3" t="s">
        <v>873</v>
      </c>
      <c r="B52" s="6" t="s">
        <v>3809</v>
      </c>
      <c r="C52" t="s">
        <v>3734</v>
      </c>
    </row>
    <row r="53" spans="1:3">
      <c r="A53" s="3" t="s">
        <v>3833</v>
      </c>
      <c r="B53" s="6" t="s">
        <v>3809</v>
      </c>
      <c r="C53" t="s">
        <v>3734</v>
      </c>
    </row>
    <row r="54" spans="1:3">
      <c r="A54" s="3" t="s">
        <v>908</v>
      </c>
      <c r="B54" s="6" t="s">
        <v>3809</v>
      </c>
      <c r="C54" t="s">
        <v>3734</v>
      </c>
    </row>
    <row r="55" spans="1:3">
      <c r="A55" s="3" t="s">
        <v>912</v>
      </c>
      <c r="B55" s="6" t="s">
        <v>3809</v>
      </c>
      <c r="C55" t="s">
        <v>3734</v>
      </c>
    </row>
    <row r="56" spans="1:3">
      <c r="A56" s="3" t="s">
        <v>919</v>
      </c>
      <c r="B56" s="6" t="s">
        <v>3809</v>
      </c>
      <c r="C56" t="s">
        <v>3734</v>
      </c>
    </row>
    <row r="57" spans="1:3">
      <c r="A57" s="3" t="s">
        <v>3834</v>
      </c>
      <c r="B57" s="6" t="s">
        <v>3809</v>
      </c>
      <c r="C57" t="s">
        <v>3734</v>
      </c>
    </row>
    <row r="58" spans="1:3">
      <c r="A58" s="3" t="s">
        <v>3835</v>
      </c>
      <c r="B58" s="6" t="s">
        <v>3809</v>
      </c>
      <c r="C58" t="s">
        <v>3734</v>
      </c>
    </row>
    <row r="59" spans="1:3" ht="30">
      <c r="A59" s="3" t="s">
        <v>951</v>
      </c>
      <c r="B59" s="6" t="s">
        <v>3809</v>
      </c>
      <c r="C59" t="s">
        <v>3734</v>
      </c>
    </row>
    <row r="60" spans="1:3">
      <c r="A60" s="3" t="s">
        <v>993</v>
      </c>
      <c r="B60" s="6" t="s">
        <v>3809</v>
      </c>
      <c r="C60" t="s">
        <v>3734</v>
      </c>
    </row>
    <row r="61" spans="1:3">
      <c r="A61" s="3" t="s">
        <v>3836</v>
      </c>
      <c r="B61" s="6" t="s">
        <v>3809</v>
      </c>
      <c r="C61" t="s">
        <v>3734</v>
      </c>
    </row>
    <row r="62" spans="1:3">
      <c r="A62" s="3" t="s">
        <v>3837</v>
      </c>
      <c r="B62" s="6" t="s">
        <v>3809</v>
      </c>
      <c r="C62" t="s">
        <v>3734</v>
      </c>
    </row>
    <row r="63" spans="1:3">
      <c r="A63" s="3" t="s">
        <v>1061</v>
      </c>
      <c r="B63" s="6" t="s">
        <v>3809</v>
      </c>
      <c r="C63" t="s">
        <v>3734</v>
      </c>
    </row>
    <row r="64" spans="1:3">
      <c r="A64" s="3" t="s">
        <v>1065</v>
      </c>
      <c r="B64" s="6" t="s">
        <v>3809</v>
      </c>
      <c r="C64" t="s">
        <v>3734</v>
      </c>
    </row>
    <row r="65" spans="1:3">
      <c r="A65" s="3" t="s">
        <v>3838</v>
      </c>
      <c r="B65" s="6" t="s">
        <v>3809</v>
      </c>
      <c r="C65" t="s">
        <v>3734</v>
      </c>
    </row>
    <row r="66" spans="1:3">
      <c r="A66" s="3" t="s">
        <v>3839</v>
      </c>
      <c r="B66" s="6" t="s">
        <v>3809</v>
      </c>
      <c r="C66" t="s">
        <v>3734</v>
      </c>
    </row>
    <row r="67" spans="1:3">
      <c r="A67" s="3" t="s">
        <v>3840</v>
      </c>
      <c r="B67" s="6" t="s">
        <v>3809</v>
      </c>
      <c r="C67" t="s">
        <v>3734</v>
      </c>
    </row>
    <row r="68" spans="1:3">
      <c r="A68" s="3" t="s">
        <v>1228</v>
      </c>
      <c r="B68" s="6" t="s">
        <v>3809</v>
      </c>
      <c r="C68" t="s">
        <v>3734</v>
      </c>
    </row>
    <row r="69" spans="1:3">
      <c r="A69" s="3" t="s">
        <v>3841</v>
      </c>
      <c r="B69" s="6" t="s">
        <v>3809</v>
      </c>
      <c r="C69" t="s">
        <v>3734</v>
      </c>
    </row>
    <row r="70" spans="1:3">
      <c r="A70" s="3" t="s">
        <v>3842</v>
      </c>
      <c r="B70" s="6" t="s">
        <v>3809</v>
      </c>
      <c r="C70" t="s">
        <v>3734</v>
      </c>
    </row>
    <row r="71" spans="1:3">
      <c r="A71" s="3" t="s">
        <v>3843</v>
      </c>
      <c r="B71" s="6" t="s">
        <v>3809</v>
      </c>
      <c r="C71" t="s">
        <v>3734</v>
      </c>
    </row>
    <row r="72" spans="1:3">
      <c r="A72" s="4" t="s">
        <v>1251</v>
      </c>
      <c r="B72" s="6" t="s">
        <v>3809</v>
      </c>
      <c r="C72" t="s">
        <v>3734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56DF-94F8-4ECE-A255-B71ABE86B4F3}">
  <dimension ref="A1:C316"/>
  <sheetViews>
    <sheetView workbookViewId="0">
      <selection activeCell="F33" sqref="F33"/>
    </sheetView>
  </sheetViews>
  <sheetFormatPr defaultRowHeight="15"/>
  <cols>
    <col min="1" max="1" width="36.5703125" bestFit="1" customWidth="1"/>
  </cols>
  <sheetData>
    <row r="1" spans="1:3">
      <c r="A1" s="1" t="s">
        <v>3844</v>
      </c>
    </row>
    <row r="2" spans="1:3" ht="30">
      <c r="A2" s="1" t="s">
        <v>3845</v>
      </c>
      <c r="B2" t="s">
        <v>3734</v>
      </c>
      <c r="C2" t="s">
        <v>3734</v>
      </c>
    </row>
    <row r="3" spans="1:3" ht="30">
      <c r="A3" s="1" t="s">
        <v>3846</v>
      </c>
      <c r="B3" t="s">
        <v>3734</v>
      </c>
      <c r="C3" t="s">
        <v>3734</v>
      </c>
    </row>
    <row r="4" spans="1:3" ht="30">
      <c r="A4" s="1" t="s">
        <v>3847</v>
      </c>
      <c r="B4" t="s">
        <v>3734</v>
      </c>
      <c r="C4" t="s">
        <v>3734</v>
      </c>
    </row>
    <row r="5" spans="1:3" ht="30">
      <c r="A5" s="1" t="s">
        <v>3848</v>
      </c>
      <c r="B5" t="s">
        <v>3734</v>
      </c>
      <c r="C5" t="s">
        <v>3734</v>
      </c>
    </row>
    <row r="6" spans="1:3">
      <c r="A6" s="1" t="s">
        <v>3849</v>
      </c>
      <c r="B6" t="s">
        <v>3734</v>
      </c>
      <c r="C6" t="s">
        <v>3734</v>
      </c>
    </row>
    <row r="7" spans="1:3" ht="30">
      <c r="A7" s="1" t="s">
        <v>3850</v>
      </c>
      <c r="B7" t="s">
        <v>3734</v>
      </c>
      <c r="C7" t="s">
        <v>3734</v>
      </c>
    </row>
    <row r="8" spans="1:3">
      <c r="A8" s="1" t="s">
        <v>1099</v>
      </c>
      <c r="B8" t="s">
        <v>3734</v>
      </c>
      <c r="C8" t="s">
        <v>3734</v>
      </c>
    </row>
    <row r="9" spans="1:3" ht="30">
      <c r="A9" s="1" t="s">
        <v>3851</v>
      </c>
      <c r="B9" t="s">
        <v>3734</v>
      </c>
      <c r="C9" t="s">
        <v>3734</v>
      </c>
    </row>
    <row r="10" spans="1:3" ht="30">
      <c r="A10" s="1" t="s">
        <v>3852</v>
      </c>
      <c r="B10" t="s">
        <v>3734</v>
      </c>
      <c r="C10" t="s">
        <v>3734</v>
      </c>
    </row>
    <row r="11" spans="1:3">
      <c r="A11" s="1" t="s">
        <v>1380</v>
      </c>
      <c r="B11" t="s">
        <v>3734</v>
      </c>
      <c r="C11" t="s">
        <v>3734</v>
      </c>
    </row>
    <row r="12" spans="1:3">
      <c r="A12" s="1" t="s">
        <v>1311</v>
      </c>
      <c r="B12" t="s">
        <v>3734</v>
      </c>
      <c r="C12" t="s">
        <v>3734</v>
      </c>
    </row>
    <row r="13" spans="1:3">
      <c r="A13" s="1" t="s">
        <v>3853</v>
      </c>
      <c r="B13" t="s">
        <v>3734</v>
      </c>
      <c r="C13" t="s">
        <v>3734</v>
      </c>
    </row>
    <row r="14" spans="1:3">
      <c r="A14" s="1" t="s">
        <v>3854</v>
      </c>
      <c r="B14" t="s">
        <v>3734</v>
      </c>
      <c r="C14" t="s">
        <v>3734</v>
      </c>
    </row>
    <row r="15" spans="1:3">
      <c r="A15" s="1" t="s">
        <v>1123</v>
      </c>
      <c r="B15" t="s">
        <v>3734</v>
      </c>
      <c r="C15" t="s">
        <v>3734</v>
      </c>
    </row>
    <row r="16" spans="1:3">
      <c r="A16" s="1" t="s">
        <v>3855</v>
      </c>
      <c r="B16" t="s">
        <v>3734</v>
      </c>
      <c r="C16" t="s">
        <v>3734</v>
      </c>
    </row>
    <row r="17" spans="1:3" ht="30">
      <c r="A17" s="1" t="s">
        <v>3856</v>
      </c>
      <c r="B17" t="s">
        <v>3734</v>
      </c>
      <c r="C17" t="s">
        <v>3734</v>
      </c>
    </row>
    <row r="18" spans="1:3">
      <c r="A18" s="1" t="s">
        <v>3857</v>
      </c>
      <c r="B18" t="s">
        <v>3734</v>
      </c>
      <c r="C18" t="s">
        <v>3734</v>
      </c>
    </row>
    <row r="19" spans="1:3">
      <c r="A19" s="1" t="s">
        <v>3858</v>
      </c>
      <c r="B19" t="s">
        <v>3734</v>
      </c>
      <c r="C19" t="s">
        <v>3734</v>
      </c>
    </row>
    <row r="20" spans="1:3">
      <c r="A20" s="1" t="s">
        <v>3859</v>
      </c>
      <c r="B20" t="s">
        <v>3734</v>
      </c>
      <c r="C20" t="s">
        <v>3734</v>
      </c>
    </row>
    <row r="21" spans="1:3">
      <c r="A21" s="1" t="s">
        <v>3860</v>
      </c>
      <c r="B21" t="s">
        <v>3734</v>
      </c>
      <c r="C21" t="s">
        <v>3734</v>
      </c>
    </row>
    <row r="22" spans="1:3">
      <c r="A22" s="1" t="s">
        <v>3861</v>
      </c>
      <c r="B22" t="s">
        <v>3734</v>
      </c>
      <c r="C22" t="s">
        <v>3734</v>
      </c>
    </row>
    <row r="23" spans="1:3">
      <c r="A23" s="1" t="s">
        <v>626</v>
      </c>
      <c r="B23" t="s">
        <v>3734</v>
      </c>
      <c r="C23" t="s">
        <v>3734</v>
      </c>
    </row>
    <row r="24" spans="1:3">
      <c r="A24" s="1" t="s">
        <v>283</v>
      </c>
      <c r="B24" t="s">
        <v>3734</v>
      </c>
      <c r="C24" t="s">
        <v>3734</v>
      </c>
    </row>
    <row r="25" spans="1:3">
      <c r="A25" s="1" t="s">
        <v>3862</v>
      </c>
      <c r="B25" t="s">
        <v>3734</v>
      </c>
      <c r="C25" t="s">
        <v>3734</v>
      </c>
    </row>
    <row r="26" spans="1:3">
      <c r="A26" s="1" t="s">
        <v>3863</v>
      </c>
      <c r="B26" t="s">
        <v>3734</v>
      </c>
      <c r="C26" t="s">
        <v>3734</v>
      </c>
    </row>
    <row r="27" spans="1:3">
      <c r="A27" s="1" t="s">
        <v>3864</v>
      </c>
      <c r="B27" t="s">
        <v>3734</v>
      </c>
      <c r="C27" t="s">
        <v>3734</v>
      </c>
    </row>
    <row r="28" spans="1:3">
      <c r="A28" s="1" t="s">
        <v>904</v>
      </c>
      <c r="B28" t="s">
        <v>3734</v>
      </c>
      <c r="C28" t="s">
        <v>3734</v>
      </c>
    </row>
    <row r="29" spans="1:3">
      <c r="A29" s="1" t="s">
        <v>3865</v>
      </c>
      <c r="B29" t="s">
        <v>3734</v>
      </c>
      <c r="C29" t="s">
        <v>3734</v>
      </c>
    </row>
    <row r="30" spans="1:3">
      <c r="A30" s="1" t="s">
        <v>3866</v>
      </c>
      <c r="B30" t="s">
        <v>3734</v>
      </c>
      <c r="C30" t="s">
        <v>3734</v>
      </c>
    </row>
    <row r="31" spans="1:3">
      <c r="A31" s="1" t="s">
        <v>58</v>
      </c>
      <c r="B31" t="s">
        <v>3734</v>
      </c>
      <c r="C31" t="s">
        <v>3734</v>
      </c>
    </row>
    <row r="32" spans="1:3">
      <c r="A32" s="1" t="s">
        <v>3867</v>
      </c>
      <c r="B32" t="s">
        <v>3734</v>
      </c>
      <c r="C32" t="s">
        <v>3734</v>
      </c>
    </row>
    <row r="33" spans="1:3">
      <c r="A33" s="1" t="s">
        <v>3868</v>
      </c>
      <c r="B33" t="s">
        <v>3734</v>
      </c>
      <c r="C33" t="s">
        <v>3734</v>
      </c>
    </row>
    <row r="34" spans="1:3">
      <c r="A34" s="1" t="s">
        <v>3869</v>
      </c>
      <c r="B34" t="s">
        <v>3734</v>
      </c>
      <c r="C34" t="s">
        <v>3734</v>
      </c>
    </row>
    <row r="35" spans="1:3">
      <c r="A35" s="1" t="s">
        <v>3870</v>
      </c>
      <c r="B35" t="s">
        <v>3734</v>
      </c>
      <c r="C35" t="s">
        <v>3734</v>
      </c>
    </row>
    <row r="36" spans="1:3">
      <c r="A36" s="1" t="s">
        <v>1258</v>
      </c>
      <c r="B36" t="s">
        <v>3734</v>
      </c>
      <c r="C36" t="s">
        <v>3734</v>
      </c>
    </row>
    <row r="37" spans="1:3">
      <c r="A37" s="1" t="s">
        <v>456</v>
      </c>
      <c r="B37" t="s">
        <v>3734</v>
      </c>
      <c r="C37" t="s">
        <v>3734</v>
      </c>
    </row>
    <row r="38" spans="1:3">
      <c r="A38" s="1" t="s">
        <v>3871</v>
      </c>
      <c r="B38" t="s">
        <v>3734</v>
      </c>
      <c r="C38" t="s">
        <v>3734</v>
      </c>
    </row>
    <row r="39" spans="1:3">
      <c r="A39" s="1" t="s">
        <v>3872</v>
      </c>
      <c r="B39" t="s">
        <v>3734</v>
      </c>
      <c r="C39" t="s">
        <v>3734</v>
      </c>
    </row>
    <row r="40" spans="1:3">
      <c r="A40" s="1" t="s">
        <v>3873</v>
      </c>
      <c r="B40" t="s">
        <v>3734</v>
      </c>
      <c r="C40" t="s">
        <v>3734</v>
      </c>
    </row>
    <row r="41" spans="1:3">
      <c r="A41" s="1" t="s">
        <v>3874</v>
      </c>
      <c r="B41" t="s">
        <v>3734</v>
      </c>
      <c r="C41" t="s">
        <v>3734</v>
      </c>
    </row>
    <row r="42" spans="1:3">
      <c r="A42" s="1" t="s">
        <v>3875</v>
      </c>
      <c r="B42" t="s">
        <v>3734</v>
      </c>
      <c r="C42" t="s">
        <v>3734</v>
      </c>
    </row>
    <row r="43" spans="1:3">
      <c r="A43" s="1" t="s">
        <v>3876</v>
      </c>
      <c r="B43" t="s">
        <v>3734</v>
      </c>
      <c r="C43" t="s">
        <v>3734</v>
      </c>
    </row>
    <row r="44" spans="1:3">
      <c r="A44" s="1" t="s">
        <v>3877</v>
      </c>
      <c r="B44" t="s">
        <v>3734</v>
      </c>
      <c r="C44" t="s">
        <v>3734</v>
      </c>
    </row>
    <row r="45" spans="1:3" ht="30">
      <c r="A45" s="1" t="s">
        <v>3878</v>
      </c>
      <c r="B45" t="s">
        <v>3734</v>
      </c>
      <c r="C45" t="s">
        <v>3734</v>
      </c>
    </row>
    <row r="46" spans="1:3">
      <c r="A46" s="1" t="s">
        <v>3879</v>
      </c>
      <c r="B46" t="s">
        <v>3734</v>
      </c>
      <c r="C46" t="s">
        <v>3734</v>
      </c>
    </row>
    <row r="47" spans="1:3">
      <c r="A47" s="1" t="s">
        <v>380</v>
      </c>
      <c r="B47" t="s">
        <v>3734</v>
      </c>
      <c r="C47" t="s">
        <v>3734</v>
      </c>
    </row>
    <row r="48" spans="1:3">
      <c r="A48" s="1" t="s">
        <v>3880</v>
      </c>
      <c r="B48" t="s">
        <v>3734</v>
      </c>
      <c r="C48" t="s">
        <v>3734</v>
      </c>
    </row>
    <row r="49" spans="1:3">
      <c r="A49" s="1" t="s">
        <v>3881</v>
      </c>
      <c r="B49" t="s">
        <v>3734</v>
      </c>
      <c r="C49" t="s">
        <v>3734</v>
      </c>
    </row>
    <row r="50" spans="1:3" ht="30">
      <c r="A50" s="1" t="s">
        <v>3882</v>
      </c>
      <c r="B50" t="s">
        <v>3734</v>
      </c>
      <c r="C50" t="s">
        <v>3734</v>
      </c>
    </row>
    <row r="51" spans="1:3">
      <c r="A51" s="1" t="s">
        <v>704</v>
      </c>
      <c r="B51" t="s">
        <v>3734</v>
      </c>
      <c r="C51" t="s">
        <v>3734</v>
      </c>
    </row>
    <row r="52" spans="1:3">
      <c r="A52" s="1" t="s">
        <v>507</v>
      </c>
      <c r="B52" t="s">
        <v>3734</v>
      </c>
      <c r="C52" t="s">
        <v>3734</v>
      </c>
    </row>
    <row r="53" spans="1:3">
      <c r="A53" s="1" t="s">
        <v>3883</v>
      </c>
      <c r="B53" t="s">
        <v>3734</v>
      </c>
      <c r="C53" t="s">
        <v>3734</v>
      </c>
    </row>
    <row r="54" spans="1:3">
      <c r="A54" s="1" t="s">
        <v>535</v>
      </c>
      <c r="B54" t="s">
        <v>3734</v>
      </c>
      <c r="C54" t="s">
        <v>3734</v>
      </c>
    </row>
    <row r="55" spans="1:3" ht="30">
      <c r="A55" s="1" t="s">
        <v>3884</v>
      </c>
      <c r="B55" t="s">
        <v>3734</v>
      </c>
      <c r="C55" t="s">
        <v>3734</v>
      </c>
    </row>
    <row r="56" spans="1:3">
      <c r="A56" s="1" t="s">
        <v>1198</v>
      </c>
      <c r="B56" t="s">
        <v>3734</v>
      </c>
      <c r="C56" t="s">
        <v>3734</v>
      </c>
    </row>
    <row r="57" spans="1:3">
      <c r="A57" s="1" t="s">
        <v>1175</v>
      </c>
      <c r="B57" t="s">
        <v>3734</v>
      </c>
      <c r="C57" t="s">
        <v>3734</v>
      </c>
    </row>
    <row r="58" spans="1:3">
      <c r="A58" s="1" t="s">
        <v>3885</v>
      </c>
      <c r="B58" t="s">
        <v>3734</v>
      </c>
      <c r="C58" t="s">
        <v>3734</v>
      </c>
    </row>
    <row r="59" spans="1:3">
      <c r="A59" s="1" t="s">
        <v>3886</v>
      </c>
      <c r="B59" t="s">
        <v>3734</v>
      </c>
      <c r="C59" t="s">
        <v>3734</v>
      </c>
    </row>
    <row r="60" spans="1:3">
      <c r="A60" s="1" t="s">
        <v>3887</v>
      </c>
      <c r="B60" t="s">
        <v>3734</v>
      </c>
      <c r="C60" t="s">
        <v>3734</v>
      </c>
    </row>
    <row r="61" spans="1:3">
      <c r="A61" s="1" t="s">
        <v>3888</v>
      </c>
      <c r="B61" t="s">
        <v>3734</v>
      </c>
      <c r="C61" t="s">
        <v>3734</v>
      </c>
    </row>
    <row r="62" spans="1:3">
      <c r="A62" s="1" t="s">
        <v>3889</v>
      </c>
      <c r="B62" t="s">
        <v>3734</v>
      </c>
      <c r="C62" t="s">
        <v>3734</v>
      </c>
    </row>
    <row r="63" spans="1:3">
      <c r="A63" s="1" t="s">
        <v>764</v>
      </c>
      <c r="B63" t="s">
        <v>3734</v>
      </c>
      <c r="C63" t="s">
        <v>3734</v>
      </c>
    </row>
    <row r="64" spans="1:3">
      <c r="A64" s="1" t="s">
        <v>188</v>
      </c>
      <c r="B64" t="s">
        <v>3734</v>
      </c>
      <c r="C64" t="s">
        <v>3734</v>
      </c>
    </row>
    <row r="65" spans="1:3">
      <c r="A65" s="1" t="s">
        <v>163</v>
      </c>
      <c r="B65" t="s">
        <v>3734</v>
      </c>
      <c r="C65" t="s">
        <v>3734</v>
      </c>
    </row>
    <row r="66" spans="1:3" ht="30">
      <c r="A66" s="1" t="s">
        <v>3890</v>
      </c>
      <c r="B66" t="s">
        <v>3734</v>
      </c>
      <c r="C66" t="s">
        <v>3734</v>
      </c>
    </row>
    <row r="67" spans="1:3">
      <c r="A67" s="1" t="s">
        <v>3891</v>
      </c>
      <c r="B67" t="s">
        <v>3734</v>
      </c>
      <c r="C67" t="s">
        <v>3734</v>
      </c>
    </row>
    <row r="68" spans="1:3">
      <c r="A68" s="1" t="s">
        <v>1551</v>
      </c>
      <c r="B68" t="s">
        <v>3734</v>
      </c>
      <c r="C68" t="s">
        <v>3734</v>
      </c>
    </row>
    <row r="69" spans="1:3">
      <c r="A69" s="1" t="s">
        <v>3892</v>
      </c>
      <c r="B69" t="s">
        <v>3734</v>
      </c>
      <c r="C69" t="s">
        <v>3734</v>
      </c>
    </row>
    <row r="70" spans="1:3">
      <c r="A70" s="1" t="s">
        <v>1715</v>
      </c>
      <c r="B70" t="s">
        <v>3734</v>
      </c>
      <c r="C70" t="s">
        <v>3734</v>
      </c>
    </row>
    <row r="71" spans="1:3">
      <c r="A71" s="1" t="s">
        <v>1625</v>
      </c>
      <c r="B71" t="s">
        <v>3734</v>
      </c>
      <c r="C71" t="s">
        <v>3734</v>
      </c>
    </row>
    <row r="72" spans="1:3">
      <c r="A72" s="1" t="s">
        <v>1016</v>
      </c>
      <c r="B72" t="s">
        <v>3734</v>
      </c>
      <c r="C72" t="s">
        <v>3734</v>
      </c>
    </row>
    <row r="73" spans="1:3">
      <c r="A73" s="1" t="s">
        <v>1318</v>
      </c>
      <c r="B73" t="s">
        <v>3734</v>
      </c>
      <c r="C73" t="s">
        <v>3734</v>
      </c>
    </row>
    <row r="74" spans="1:3" ht="30">
      <c r="A74" s="1" t="s">
        <v>1423</v>
      </c>
      <c r="B74" t="s">
        <v>3734</v>
      </c>
      <c r="C74" t="s">
        <v>3734</v>
      </c>
    </row>
    <row r="75" spans="1:3">
      <c r="A75" s="1" t="s">
        <v>1453</v>
      </c>
      <c r="B75" t="s">
        <v>3734</v>
      </c>
      <c r="C75" t="s">
        <v>3734</v>
      </c>
    </row>
    <row r="76" spans="1:3">
      <c r="A76" s="1" t="s">
        <v>1485</v>
      </c>
      <c r="B76" t="s">
        <v>3734</v>
      </c>
      <c r="C76" t="s">
        <v>3734</v>
      </c>
    </row>
    <row r="77" spans="1:3">
      <c r="A77" s="1" t="s">
        <v>3893</v>
      </c>
      <c r="B77" t="s">
        <v>3734</v>
      </c>
      <c r="C77" t="s">
        <v>3734</v>
      </c>
    </row>
    <row r="78" spans="1:3">
      <c r="A78" s="1" t="s">
        <v>3894</v>
      </c>
      <c r="B78" t="s">
        <v>3734</v>
      </c>
      <c r="C78" t="s">
        <v>3734</v>
      </c>
    </row>
    <row r="79" spans="1:3">
      <c r="A79" s="1" t="s">
        <v>3895</v>
      </c>
      <c r="B79" t="s">
        <v>3734</v>
      </c>
      <c r="C79" t="s">
        <v>3734</v>
      </c>
    </row>
    <row r="80" spans="1:3" ht="30">
      <c r="A80" s="1" t="s">
        <v>3896</v>
      </c>
      <c r="B80" t="s">
        <v>3734</v>
      </c>
      <c r="C80" t="s">
        <v>3734</v>
      </c>
    </row>
    <row r="81" spans="1:3">
      <c r="A81" s="1" t="s">
        <v>3897</v>
      </c>
      <c r="B81" t="s">
        <v>3734</v>
      </c>
      <c r="C81" t="s">
        <v>3734</v>
      </c>
    </row>
    <row r="82" spans="1:3">
      <c r="A82" s="1" t="s">
        <v>3898</v>
      </c>
      <c r="B82" t="s">
        <v>3734</v>
      </c>
      <c r="C82" t="s">
        <v>3734</v>
      </c>
    </row>
    <row r="83" spans="1:3">
      <c r="A83" s="1" t="s">
        <v>1258</v>
      </c>
      <c r="B83" t="s">
        <v>3734</v>
      </c>
      <c r="C83" t="s">
        <v>3734</v>
      </c>
    </row>
    <row r="84" spans="1:3">
      <c r="A84" s="1" t="s">
        <v>3800</v>
      </c>
      <c r="B84" t="s">
        <v>3734</v>
      </c>
      <c r="C84" t="s">
        <v>3734</v>
      </c>
    </row>
    <row r="85" spans="1:3">
      <c r="A85" s="1" t="s">
        <v>1566</v>
      </c>
      <c r="B85" t="s">
        <v>3734</v>
      </c>
      <c r="C85" t="s">
        <v>3734</v>
      </c>
    </row>
    <row r="86" spans="1:3" ht="30">
      <c r="A86" s="1" t="s">
        <v>3899</v>
      </c>
      <c r="B86" t="s">
        <v>3734</v>
      </c>
      <c r="C86" t="s">
        <v>3734</v>
      </c>
    </row>
    <row r="87" spans="1:3">
      <c r="A87" s="1" t="s">
        <v>3900</v>
      </c>
      <c r="B87" t="s">
        <v>3734</v>
      </c>
      <c r="C87" t="s">
        <v>3734</v>
      </c>
    </row>
    <row r="88" spans="1:3">
      <c r="A88" s="1" t="s">
        <v>987</v>
      </c>
      <c r="B88" t="s">
        <v>3734</v>
      </c>
      <c r="C88" t="s">
        <v>3734</v>
      </c>
    </row>
    <row r="89" spans="1:3">
      <c r="A89" s="1" t="s">
        <v>1001</v>
      </c>
      <c r="B89" t="s">
        <v>3734</v>
      </c>
      <c r="C89" t="s">
        <v>3734</v>
      </c>
    </row>
    <row r="90" spans="1:3" ht="30">
      <c r="A90" s="1" t="s">
        <v>1813</v>
      </c>
      <c r="B90" t="s">
        <v>3734</v>
      </c>
      <c r="C90" t="s">
        <v>3734</v>
      </c>
    </row>
    <row r="91" spans="1:3">
      <c r="A91" s="1" t="s">
        <v>1184</v>
      </c>
      <c r="B91" t="s">
        <v>3734</v>
      </c>
      <c r="C91" t="s">
        <v>3734</v>
      </c>
    </row>
    <row r="92" spans="1:3">
      <c r="A92" s="1" t="s">
        <v>68</v>
      </c>
      <c r="B92" t="s">
        <v>3734</v>
      </c>
      <c r="C92" t="s">
        <v>3734</v>
      </c>
    </row>
    <row r="93" spans="1:3">
      <c r="A93" s="1" t="s">
        <v>1628</v>
      </c>
      <c r="B93" t="s">
        <v>3734</v>
      </c>
      <c r="C93" t="s">
        <v>3734</v>
      </c>
    </row>
    <row r="94" spans="1:3">
      <c r="A94" s="1" t="s">
        <v>3901</v>
      </c>
      <c r="B94" t="s">
        <v>3734</v>
      </c>
      <c r="C94" t="s">
        <v>3734</v>
      </c>
    </row>
    <row r="95" spans="1:3">
      <c r="A95" s="1" t="s">
        <v>1628</v>
      </c>
      <c r="B95" t="s">
        <v>3734</v>
      </c>
      <c r="C95" t="s">
        <v>3734</v>
      </c>
    </row>
    <row r="96" spans="1:3">
      <c r="A96" s="1" t="s">
        <v>3902</v>
      </c>
      <c r="B96" t="s">
        <v>3734</v>
      </c>
      <c r="C96" t="s">
        <v>3734</v>
      </c>
    </row>
    <row r="97" spans="1:3">
      <c r="A97" s="1" t="s">
        <v>1637</v>
      </c>
      <c r="B97" t="s">
        <v>3734</v>
      </c>
      <c r="C97" t="s">
        <v>3734</v>
      </c>
    </row>
    <row r="98" spans="1:3">
      <c r="A98" s="1" t="s">
        <v>877</v>
      </c>
      <c r="B98" t="s">
        <v>3734</v>
      </c>
      <c r="C98" t="s">
        <v>3734</v>
      </c>
    </row>
    <row r="99" spans="1:3">
      <c r="A99" s="1" t="s">
        <v>1334</v>
      </c>
      <c r="B99" t="s">
        <v>3734</v>
      </c>
      <c r="C99" t="s">
        <v>3734</v>
      </c>
    </row>
    <row r="100" spans="1:3">
      <c r="A100" s="1" t="s">
        <v>3823</v>
      </c>
      <c r="B100" t="s">
        <v>3734</v>
      </c>
      <c r="C100" t="s">
        <v>3734</v>
      </c>
    </row>
    <row r="101" spans="1:3">
      <c r="A101" s="1" t="s">
        <v>1360</v>
      </c>
      <c r="B101" t="s">
        <v>3734</v>
      </c>
      <c r="C101" t="s">
        <v>3734</v>
      </c>
    </row>
    <row r="102" spans="1:3">
      <c r="A102" s="1" t="s">
        <v>3903</v>
      </c>
      <c r="B102" t="s">
        <v>3734</v>
      </c>
      <c r="C102" t="s">
        <v>3734</v>
      </c>
    </row>
    <row r="103" spans="1:3">
      <c r="A103" s="1" t="s">
        <v>649</v>
      </c>
      <c r="B103" t="s">
        <v>3734</v>
      </c>
      <c r="C103" t="s">
        <v>3734</v>
      </c>
    </row>
    <row r="104" spans="1:3">
      <c r="A104" s="1" t="s">
        <v>1708</v>
      </c>
      <c r="B104" t="s">
        <v>3734</v>
      </c>
      <c r="C104" t="s">
        <v>3734</v>
      </c>
    </row>
    <row r="105" spans="1:3">
      <c r="A105" s="1" t="s">
        <v>1430</v>
      </c>
      <c r="B105" t="s">
        <v>3734</v>
      </c>
      <c r="C105" t="s">
        <v>3734</v>
      </c>
    </row>
    <row r="106" spans="1:3">
      <c r="A106" s="1" t="s">
        <v>733</v>
      </c>
      <c r="B106" t="s">
        <v>3734</v>
      </c>
      <c r="C106" t="s">
        <v>3734</v>
      </c>
    </row>
    <row r="107" spans="1:3">
      <c r="A107" s="1" t="s">
        <v>3904</v>
      </c>
      <c r="B107" t="s">
        <v>3734</v>
      </c>
      <c r="C107" t="s">
        <v>3734</v>
      </c>
    </row>
    <row r="108" spans="1:3">
      <c r="A108" s="1" t="s">
        <v>3905</v>
      </c>
      <c r="B108" t="s">
        <v>3734</v>
      </c>
      <c r="C108" t="s">
        <v>3734</v>
      </c>
    </row>
    <row r="109" spans="1:3" ht="30">
      <c r="A109" s="1" t="s">
        <v>3906</v>
      </c>
      <c r="B109" t="s">
        <v>3734</v>
      </c>
      <c r="C109" t="s">
        <v>3734</v>
      </c>
    </row>
    <row r="110" spans="1:3">
      <c r="A110" s="1" t="s">
        <v>3764</v>
      </c>
      <c r="B110" t="s">
        <v>3734</v>
      </c>
      <c r="C110" t="s">
        <v>3734</v>
      </c>
    </row>
    <row r="111" spans="1:3">
      <c r="A111" s="1" t="s">
        <v>1293</v>
      </c>
      <c r="B111" t="s">
        <v>3734</v>
      </c>
      <c r="C111" t="s">
        <v>3734</v>
      </c>
    </row>
    <row r="112" spans="1:3">
      <c r="A112" s="1" t="s">
        <v>3907</v>
      </c>
      <c r="B112" t="s">
        <v>3734</v>
      </c>
      <c r="C112" t="s">
        <v>3734</v>
      </c>
    </row>
    <row r="113" spans="1:3">
      <c r="A113" s="1" t="s">
        <v>3908</v>
      </c>
      <c r="B113" t="s">
        <v>3734</v>
      </c>
      <c r="C113" t="s">
        <v>3734</v>
      </c>
    </row>
    <row r="114" spans="1:3">
      <c r="A114" s="1" t="s">
        <v>1384</v>
      </c>
      <c r="B114" t="s">
        <v>3734</v>
      </c>
      <c r="C114" t="s">
        <v>3734</v>
      </c>
    </row>
    <row r="115" spans="1:3">
      <c r="A115" s="1" t="s">
        <v>3909</v>
      </c>
      <c r="B115" t="s">
        <v>3734</v>
      </c>
      <c r="C115" t="s">
        <v>3734</v>
      </c>
    </row>
    <row r="116" spans="1:3">
      <c r="A116" s="1" t="s">
        <v>3910</v>
      </c>
      <c r="B116" t="s">
        <v>3734</v>
      </c>
      <c r="C116" t="s">
        <v>3734</v>
      </c>
    </row>
    <row r="117" spans="1:3" ht="30">
      <c r="A117" s="1" t="s">
        <v>3911</v>
      </c>
      <c r="B117" t="s">
        <v>3734</v>
      </c>
      <c r="C117" t="s">
        <v>3734</v>
      </c>
    </row>
    <row r="118" spans="1:3">
      <c r="A118" s="1" t="s">
        <v>1403</v>
      </c>
      <c r="B118" t="s">
        <v>3734</v>
      </c>
      <c r="C118" t="s">
        <v>3734</v>
      </c>
    </row>
    <row r="119" spans="1:3">
      <c r="A119" s="1" t="s">
        <v>1357</v>
      </c>
      <c r="B119" t="s">
        <v>3734</v>
      </c>
      <c r="C119" t="s">
        <v>3734</v>
      </c>
    </row>
    <row r="120" spans="1:3">
      <c r="A120" s="1" t="s">
        <v>3912</v>
      </c>
      <c r="B120" t="s">
        <v>3734</v>
      </c>
      <c r="C120" t="s">
        <v>3734</v>
      </c>
    </row>
    <row r="121" spans="1:3">
      <c r="A121" s="1" t="s">
        <v>1658</v>
      </c>
      <c r="B121" t="s">
        <v>3734</v>
      </c>
      <c r="C121" t="s">
        <v>3734</v>
      </c>
    </row>
    <row r="122" spans="1:3">
      <c r="A122" s="1" t="s">
        <v>1372</v>
      </c>
      <c r="B122" t="s">
        <v>3734</v>
      </c>
      <c r="C122" t="s">
        <v>3734</v>
      </c>
    </row>
    <row r="123" spans="1:3">
      <c r="A123" s="1" t="s">
        <v>1669</v>
      </c>
      <c r="B123" t="s">
        <v>3734</v>
      </c>
      <c r="C123" t="s">
        <v>3734</v>
      </c>
    </row>
    <row r="124" spans="1:3">
      <c r="A124" s="1" t="s">
        <v>3913</v>
      </c>
      <c r="B124" t="s">
        <v>3734</v>
      </c>
      <c r="C124" t="s">
        <v>3734</v>
      </c>
    </row>
    <row r="125" spans="1:3">
      <c r="A125" s="1" t="s">
        <v>1654</v>
      </c>
      <c r="B125" t="s">
        <v>3734</v>
      </c>
      <c r="C125" t="s">
        <v>3734</v>
      </c>
    </row>
    <row r="126" spans="1:3">
      <c r="A126" s="1" t="s">
        <v>1131</v>
      </c>
      <c r="B126" t="s">
        <v>3734</v>
      </c>
      <c r="C126" t="s">
        <v>3734</v>
      </c>
    </row>
    <row r="127" spans="1:3">
      <c r="A127" s="1" t="s">
        <v>3914</v>
      </c>
      <c r="B127" t="s">
        <v>3734</v>
      </c>
      <c r="C127" t="s">
        <v>3734</v>
      </c>
    </row>
    <row r="128" spans="1:3">
      <c r="A128" s="1" t="s">
        <v>3915</v>
      </c>
      <c r="B128" t="s">
        <v>3734</v>
      </c>
      <c r="C128" t="s">
        <v>3734</v>
      </c>
    </row>
    <row r="129" spans="1:3">
      <c r="A129" s="1" t="s">
        <v>3916</v>
      </c>
      <c r="B129" t="s">
        <v>3734</v>
      </c>
      <c r="C129" t="s">
        <v>3734</v>
      </c>
    </row>
    <row r="130" spans="1:3">
      <c r="A130" s="1" t="s">
        <v>3917</v>
      </c>
      <c r="B130" t="s">
        <v>3734</v>
      </c>
      <c r="C130" t="s">
        <v>3734</v>
      </c>
    </row>
    <row r="131" spans="1:3">
      <c r="A131" s="1" t="s">
        <v>3918</v>
      </c>
      <c r="B131" t="s">
        <v>3734</v>
      </c>
      <c r="C131" t="s">
        <v>3734</v>
      </c>
    </row>
    <row r="132" spans="1:3">
      <c r="A132" s="1" t="s">
        <v>3919</v>
      </c>
      <c r="B132" t="s">
        <v>3734</v>
      </c>
      <c r="C132" t="s">
        <v>3734</v>
      </c>
    </row>
    <row r="133" spans="1:3">
      <c r="A133" s="1" t="s">
        <v>3920</v>
      </c>
      <c r="B133" t="s">
        <v>3734</v>
      </c>
      <c r="C133" t="s">
        <v>3734</v>
      </c>
    </row>
    <row r="134" spans="1:3">
      <c r="A134" s="1" t="s">
        <v>3921</v>
      </c>
      <c r="B134" t="s">
        <v>3734</v>
      </c>
      <c r="C134" t="s">
        <v>3734</v>
      </c>
    </row>
    <row r="135" spans="1:3">
      <c r="A135" s="1" t="s">
        <v>3922</v>
      </c>
      <c r="B135" t="s">
        <v>3734</v>
      </c>
      <c r="C135" t="s">
        <v>3734</v>
      </c>
    </row>
    <row r="136" spans="1:3">
      <c r="A136" s="1" t="s">
        <v>3923</v>
      </c>
      <c r="B136" t="s">
        <v>3734</v>
      </c>
      <c r="C136" t="s">
        <v>3734</v>
      </c>
    </row>
    <row r="137" spans="1:3">
      <c r="A137" s="1" t="s">
        <v>3924</v>
      </c>
      <c r="B137" t="s">
        <v>3734</v>
      </c>
      <c r="C137" t="s">
        <v>3734</v>
      </c>
    </row>
    <row r="138" spans="1:3">
      <c r="A138" s="1" t="s">
        <v>3925</v>
      </c>
      <c r="B138" t="s">
        <v>3734</v>
      </c>
      <c r="C138" t="s">
        <v>3734</v>
      </c>
    </row>
    <row r="139" spans="1:3">
      <c r="A139" s="1" t="s">
        <v>3926</v>
      </c>
      <c r="B139" t="s">
        <v>3734</v>
      </c>
      <c r="C139" t="s">
        <v>3734</v>
      </c>
    </row>
    <row r="140" spans="1:3">
      <c r="A140" s="1" t="s">
        <v>3927</v>
      </c>
      <c r="B140" t="s">
        <v>3734</v>
      </c>
      <c r="C140" t="s">
        <v>3734</v>
      </c>
    </row>
    <row r="141" spans="1:3">
      <c r="A141" s="1" t="s">
        <v>3928</v>
      </c>
      <c r="B141" t="s">
        <v>3734</v>
      </c>
      <c r="C141" t="s">
        <v>3734</v>
      </c>
    </row>
    <row r="142" spans="1:3">
      <c r="A142" s="1" t="s">
        <v>1158</v>
      </c>
      <c r="B142" t="s">
        <v>3734</v>
      </c>
      <c r="C142" t="s">
        <v>3734</v>
      </c>
    </row>
    <row r="143" spans="1:3">
      <c r="A143" s="1" t="s">
        <v>3929</v>
      </c>
      <c r="B143" t="s">
        <v>3734</v>
      </c>
      <c r="C143" t="s">
        <v>3734</v>
      </c>
    </row>
    <row r="144" spans="1:3">
      <c r="A144" s="1" t="s">
        <v>1107</v>
      </c>
      <c r="B144" t="s">
        <v>3734</v>
      </c>
      <c r="C144" t="s">
        <v>3734</v>
      </c>
    </row>
    <row r="145" spans="1:3">
      <c r="A145" s="1" t="s">
        <v>3930</v>
      </c>
      <c r="B145" t="s">
        <v>3734</v>
      </c>
      <c r="C145" t="s">
        <v>3734</v>
      </c>
    </row>
    <row r="146" spans="1:3">
      <c r="A146" s="1" t="s">
        <v>1727</v>
      </c>
      <c r="B146" t="s">
        <v>3734</v>
      </c>
      <c r="C146" t="s">
        <v>3734</v>
      </c>
    </row>
    <row r="147" spans="1:3">
      <c r="A147" s="1" t="s">
        <v>3931</v>
      </c>
      <c r="B147" t="s">
        <v>3734</v>
      </c>
      <c r="C147" t="s">
        <v>3734</v>
      </c>
    </row>
    <row r="148" spans="1:3">
      <c r="A148" s="1" t="s">
        <v>1723</v>
      </c>
      <c r="B148" t="s">
        <v>3734</v>
      </c>
      <c r="C148" t="s">
        <v>3734</v>
      </c>
    </row>
    <row r="149" spans="1:3">
      <c r="A149" s="1" t="s">
        <v>1719</v>
      </c>
      <c r="B149" t="s">
        <v>3734</v>
      </c>
      <c r="C149" t="s">
        <v>3734</v>
      </c>
    </row>
    <row r="150" spans="1:3">
      <c r="A150" s="1" t="s">
        <v>1705</v>
      </c>
      <c r="B150" t="s">
        <v>3734</v>
      </c>
      <c r="C150" t="s">
        <v>3734</v>
      </c>
    </row>
    <row r="151" spans="1:3">
      <c r="A151" s="1" t="s">
        <v>1699</v>
      </c>
      <c r="B151" t="s">
        <v>3734</v>
      </c>
      <c r="C151" t="s">
        <v>3734</v>
      </c>
    </row>
    <row r="152" spans="1:3">
      <c r="A152" s="1" t="s">
        <v>3932</v>
      </c>
      <c r="B152" t="s">
        <v>3734</v>
      </c>
      <c r="C152" t="s">
        <v>3734</v>
      </c>
    </row>
    <row r="153" spans="1:3">
      <c r="A153" s="1" t="s">
        <v>1690</v>
      </c>
      <c r="B153" t="s">
        <v>3734</v>
      </c>
      <c r="C153" t="s">
        <v>3734</v>
      </c>
    </row>
    <row r="154" spans="1:3">
      <c r="A154" s="1" t="s">
        <v>1688</v>
      </c>
      <c r="B154" t="s">
        <v>3734</v>
      </c>
      <c r="C154" t="s">
        <v>3734</v>
      </c>
    </row>
    <row r="155" spans="1:3">
      <c r="A155" s="1" t="s">
        <v>1682</v>
      </c>
      <c r="B155" t="s">
        <v>3734</v>
      </c>
      <c r="C155" t="s">
        <v>3734</v>
      </c>
    </row>
    <row r="156" spans="1:3">
      <c r="A156" s="1" t="s">
        <v>1673</v>
      </c>
      <c r="B156" t="s">
        <v>3734</v>
      </c>
      <c r="C156" t="s">
        <v>3734</v>
      </c>
    </row>
    <row r="157" spans="1:3">
      <c r="A157" s="1" t="s">
        <v>1662</v>
      </c>
      <c r="B157" t="s">
        <v>3734</v>
      </c>
      <c r="C157" t="s">
        <v>3734</v>
      </c>
    </row>
    <row r="158" spans="1:3">
      <c r="A158" s="1" t="s">
        <v>1642</v>
      </c>
      <c r="B158" t="s">
        <v>3734</v>
      </c>
      <c r="C158" t="s">
        <v>3734</v>
      </c>
    </row>
    <row r="159" spans="1:3">
      <c r="A159" s="1" t="s">
        <v>1640</v>
      </c>
      <c r="B159" t="s">
        <v>3734</v>
      </c>
      <c r="C159" t="s">
        <v>3734</v>
      </c>
    </row>
    <row r="160" spans="1:3">
      <c r="A160" s="1" t="s">
        <v>1633</v>
      </c>
      <c r="B160" t="s">
        <v>3734</v>
      </c>
      <c r="C160" t="s">
        <v>3734</v>
      </c>
    </row>
    <row r="161" spans="1:3">
      <c r="A161" s="1" t="s">
        <v>1622</v>
      </c>
      <c r="B161" t="s">
        <v>3734</v>
      </c>
      <c r="C161" t="s">
        <v>3734</v>
      </c>
    </row>
    <row r="162" spans="1:3">
      <c r="A162" s="1" t="s">
        <v>1619</v>
      </c>
      <c r="B162" t="s">
        <v>3734</v>
      </c>
      <c r="C162" t="s">
        <v>3734</v>
      </c>
    </row>
    <row r="163" spans="1:3">
      <c r="A163" s="1" t="s">
        <v>1615</v>
      </c>
      <c r="B163" t="s">
        <v>3734</v>
      </c>
      <c r="C163" t="s">
        <v>3734</v>
      </c>
    </row>
    <row r="164" spans="1:3">
      <c r="A164" s="1" t="s">
        <v>3933</v>
      </c>
      <c r="B164" t="s">
        <v>3734</v>
      </c>
      <c r="C164" t="s">
        <v>3734</v>
      </c>
    </row>
    <row r="165" spans="1:3">
      <c r="A165" s="1" t="s">
        <v>1613</v>
      </c>
      <c r="B165" t="s">
        <v>3734</v>
      </c>
      <c r="C165" t="s">
        <v>3734</v>
      </c>
    </row>
    <row r="166" spans="1:3">
      <c r="A166" s="1" t="s">
        <v>1604</v>
      </c>
      <c r="B166" t="s">
        <v>3734</v>
      </c>
      <c r="C166" t="s">
        <v>3734</v>
      </c>
    </row>
    <row r="167" spans="1:3">
      <c r="A167" s="1" t="s">
        <v>1599</v>
      </c>
      <c r="B167" t="s">
        <v>3734</v>
      </c>
      <c r="C167" t="s">
        <v>3734</v>
      </c>
    </row>
    <row r="168" spans="1:3">
      <c r="A168" s="1" t="s">
        <v>1592</v>
      </c>
      <c r="B168" t="s">
        <v>3734</v>
      </c>
      <c r="C168" t="s">
        <v>3734</v>
      </c>
    </row>
    <row r="169" spans="1:3">
      <c r="A169" s="1" t="s">
        <v>3934</v>
      </c>
      <c r="B169" t="s">
        <v>3734</v>
      </c>
      <c r="C169" t="s">
        <v>3734</v>
      </c>
    </row>
    <row r="170" spans="1:3">
      <c r="A170" s="1" t="s">
        <v>1586</v>
      </c>
      <c r="B170" t="s">
        <v>3734</v>
      </c>
      <c r="C170" t="s">
        <v>3734</v>
      </c>
    </row>
    <row r="171" spans="1:3">
      <c r="A171" s="1" t="s">
        <v>1579</v>
      </c>
      <c r="B171" t="s">
        <v>3734</v>
      </c>
      <c r="C171" t="s">
        <v>3734</v>
      </c>
    </row>
    <row r="172" spans="1:3">
      <c r="A172" s="1" t="s">
        <v>1575</v>
      </c>
      <c r="B172" t="s">
        <v>3734</v>
      </c>
      <c r="C172" t="s">
        <v>3734</v>
      </c>
    </row>
    <row r="173" spans="1:3">
      <c r="A173" s="1" t="s">
        <v>3935</v>
      </c>
      <c r="B173" t="s">
        <v>3734</v>
      </c>
      <c r="C173" t="s">
        <v>3734</v>
      </c>
    </row>
    <row r="174" spans="1:3">
      <c r="A174" s="1" t="s">
        <v>3936</v>
      </c>
      <c r="B174" t="s">
        <v>3734</v>
      </c>
      <c r="C174" t="s">
        <v>3734</v>
      </c>
    </row>
    <row r="175" spans="1:3">
      <c r="A175" s="1" t="s">
        <v>1545</v>
      </c>
      <c r="B175" t="s">
        <v>3734</v>
      </c>
      <c r="C175" t="s">
        <v>3734</v>
      </c>
    </row>
    <row r="176" spans="1:3">
      <c r="A176" s="1" t="s">
        <v>3937</v>
      </c>
      <c r="B176" t="s">
        <v>3734</v>
      </c>
      <c r="C176" t="s">
        <v>3734</v>
      </c>
    </row>
    <row r="177" spans="1:3">
      <c r="A177" s="1" t="s">
        <v>3938</v>
      </c>
      <c r="B177" t="s">
        <v>3734</v>
      </c>
      <c r="C177" t="s">
        <v>3734</v>
      </c>
    </row>
    <row r="178" spans="1:3">
      <c r="A178" s="1" t="s">
        <v>1530</v>
      </c>
      <c r="B178" t="s">
        <v>3734</v>
      </c>
      <c r="C178" t="s">
        <v>3734</v>
      </c>
    </row>
    <row r="179" spans="1:3">
      <c r="A179" s="1" t="s">
        <v>1529</v>
      </c>
      <c r="B179" t="s">
        <v>3734</v>
      </c>
      <c r="C179" t="s">
        <v>3734</v>
      </c>
    </row>
    <row r="180" spans="1:3">
      <c r="A180" s="1" t="s">
        <v>1517</v>
      </c>
      <c r="B180" t="s">
        <v>3734</v>
      </c>
      <c r="C180" t="s">
        <v>3734</v>
      </c>
    </row>
    <row r="181" spans="1:3">
      <c r="A181" s="1" t="s">
        <v>3939</v>
      </c>
      <c r="B181" t="s">
        <v>3734</v>
      </c>
      <c r="C181" t="s">
        <v>3734</v>
      </c>
    </row>
    <row r="182" spans="1:3">
      <c r="A182" s="1" t="s">
        <v>3940</v>
      </c>
      <c r="B182" t="s">
        <v>3734</v>
      </c>
      <c r="C182" t="s">
        <v>3734</v>
      </c>
    </row>
    <row r="183" spans="1:3">
      <c r="A183" s="1" t="s">
        <v>1476</v>
      </c>
      <c r="B183" t="s">
        <v>3734</v>
      </c>
      <c r="C183" t="s">
        <v>3734</v>
      </c>
    </row>
    <row r="184" spans="1:3">
      <c r="A184" s="1" t="s">
        <v>1473</v>
      </c>
      <c r="B184" t="s">
        <v>3734</v>
      </c>
      <c r="C184" t="s">
        <v>3734</v>
      </c>
    </row>
    <row r="185" spans="1:3">
      <c r="A185" s="1" t="s">
        <v>1468</v>
      </c>
      <c r="B185" t="s">
        <v>3734</v>
      </c>
      <c r="C185" t="s">
        <v>3734</v>
      </c>
    </row>
    <row r="186" spans="1:3">
      <c r="A186" s="1" t="s">
        <v>1464</v>
      </c>
      <c r="B186" t="s">
        <v>3734</v>
      </c>
      <c r="C186" t="s">
        <v>3734</v>
      </c>
    </row>
    <row r="187" spans="1:3">
      <c r="A187" s="1" t="s">
        <v>1461</v>
      </c>
      <c r="B187" t="s">
        <v>3734</v>
      </c>
      <c r="C187" t="s">
        <v>3734</v>
      </c>
    </row>
    <row r="188" spans="1:3">
      <c r="A188" s="1" t="s">
        <v>3941</v>
      </c>
      <c r="B188" t="s">
        <v>3734</v>
      </c>
      <c r="C188" t="s">
        <v>3734</v>
      </c>
    </row>
    <row r="189" spans="1:3">
      <c r="A189" s="1" t="s">
        <v>3942</v>
      </c>
      <c r="B189" t="s">
        <v>3734</v>
      </c>
      <c r="C189" t="s">
        <v>3734</v>
      </c>
    </row>
    <row r="190" spans="1:3">
      <c r="A190" s="1" t="s">
        <v>3943</v>
      </c>
      <c r="B190" t="s">
        <v>3734</v>
      </c>
      <c r="C190" t="s">
        <v>3734</v>
      </c>
    </row>
    <row r="191" spans="1:3">
      <c r="A191" s="1" t="s">
        <v>3944</v>
      </c>
      <c r="B191" t="s">
        <v>3734</v>
      </c>
      <c r="C191" t="s">
        <v>3734</v>
      </c>
    </row>
    <row r="192" spans="1:3">
      <c r="A192" s="1" t="s">
        <v>1457</v>
      </c>
      <c r="B192" t="s">
        <v>3734</v>
      </c>
      <c r="C192" t="s">
        <v>3734</v>
      </c>
    </row>
    <row r="193" spans="1:3">
      <c r="A193" s="1" t="s">
        <v>3945</v>
      </c>
      <c r="B193" t="s">
        <v>3734</v>
      </c>
      <c r="C193" t="s">
        <v>3734</v>
      </c>
    </row>
    <row r="194" spans="1:3">
      <c r="A194" s="1" t="s">
        <v>1445</v>
      </c>
      <c r="B194" t="s">
        <v>3734</v>
      </c>
      <c r="C194" t="s">
        <v>3734</v>
      </c>
    </row>
    <row r="195" spans="1:3">
      <c r="A195" s="1" t="s">
        <v>1442</v>
      </c>
      <c r="B195" t="s">
        <v>3734</v>
      </c>
      <c r="C195" t="s">
        <v>3734</v>
      </c>
    </row>
    <row r="196" spans="1:3">
      <c r="A196" s="1" t="s">
        <v>1439</v>
      </c>
      <c r="B196" t="s">
        <v>3734</v>
      </c>
      <c r="C196" t="s">
        <v>3734</v>
      </c>
    </row>
    <row r="197" spans="1:3">
      <c r="A197" s="1" t="s">
        <v>3946</v>
      </c>
      <c r="B197" t="s">
        <v>3734</v>
      </c>
      <c r="C197" t="s">
        <v>3734</v>
      </c>
    </row>
    <row r="198" spans="1:3">
      <c r="A198" s="1" t="s">
        <v>1435</v>
      </c>
      <c r="B198" t="s">
        <v>3734</v>
      </c>
      <c r="C198" t="s">
        <v>3734</v>
      </c>
    </row>
    <row r="199" spans="1:3">
      <c r="A199" s="1" t="s">
        <v>3947</v>
      </c>
      <c r="B199" t="s">
        <v>3734</v>
      </c>
      <c r="C199" t="s">
        <v>3734</v>
      </c>
    </row>
    <row r="200" spans="1:3">
      <c r="A200" s="1" t="s">
        <v>1427</v>
      </c>
      <c r="B200" t="s">
        <v>3734</v>
      </c>
      <c r="C200" t="s">
        <v>3734</v>
      </c>
    </row>
    <row r="201" spans="1:3">
      <c r="A201" s="1" t="s">
        <v>1419</v>
      </c>
      <c r="B201" t="s">
        <v>3734</v>
      </c>
      <c r="C201" t="s">
        <v>3734</v>
      </c>
    </row>
    <row r="202" spans="1:3">
      <c r="A202" s="1" t="s">
        <v>1415</v>
      </c>
      <c r="B202" t="s">
        <v>3734</v>
      </c>
      <c r="C202" t="s">
        <v>3734</v>
      </c>
    </row>
    <row r="203" spans="1:3">
      <c r="A203" s="1" t="s">
        <v>1411</v>
      </c>
      <c r="B203" t="s">
        <v>3734</v>
      </c>
      <c r="C203" t="s">
        <v>3734</v>
      </c>
    </row>
    <row r="204" spans="1:3">
      <c r="A204" s="1" t="s">
        <v>1397</v>
      </c>
      <c r="B204" t="s">
        <v>3734</v>
      </c>
      <c r="C204" t="s">
        <v>3734</v>
      </c>
    </row>
    <row r="205" spans="1:3">
      <c r="A205" s="1" t="s">
        <v>1406</v>
      </c>
      <c r="B205" t="s">
        <v>3734</v>
      </c>
      <c r="C205" t="s">
        <v>3734</v>
      </c>
    </row>
    <row r="206" spans="1:3">
      <c r="A206" s="1" t="s">
        <v>1393</v>
      </c>
      <c r="B206" t="s">
        <v>3734</v>
      </c>
      <c r="C206" t="s">
        <v>3734</v>
      </c>
    </row>
    <row r="207" spans="1:3">
      <c r="A207" s="1" t="s">
        <v>1388</v>
      </c>
      <c r="B207" t="s">
        <v>3734</v>
      </c>
      <c r="C207" t="s">
        <v>3734</v>
      </c>
    </row>
    <row r="208" spans="1:3">
      <c r="A208" s="1" t="s">
        <v>3948</v>
      </c>
      <c r="B208" t="s">
        <v>3734</v>
      </c>
      <c r="C208" t="s">
        <v>3734</v>
      </c>
    </row>
    <row r="209" spans="1:3">
      <c r="A209" s="1" t="s">
        <v>1376</v>
      </c>
      <c r="B209" t="s">
        <v>3734</v>
      </c>
      <c r="C209" t="s">
        <v>3734</v>
      </c>
    </row>
    <row r="210" spans="1:3">
      <c r="A210" s="1" t="s">
        <v>1368</v>
      </c>
      <c r="B210" t="s">
        <v>3734</v>
      </c>
      <c r="C210" t="s">
        <v>3734</v>
      </c>
    </row>
    <row r="211" spans="1:3">
      <c r="A211" s="1" t="s">
        <v>1364</v>
      </c>
      <c r="B211" t="s">
        <v>3734</v>
      </c>
      <c r="C211" t="s">
        <v>3734</v>
      </c>
    </row>
    <row r="212" spans="1:3">
      <c r="A212" s="1" t="s">
        <v>3949</v>
      </c>
      <c r="B212" t="s">
        <v>3734</v>
      </c>
      <c r="C212" t="s">
        <v>3734</v>
      </c>
    </row>
    <row r="213" spans="1:3">
      <c r="A213" s="1" t="s">
        <v>3892</v>
      </c>
      <c r="B213" t="s">
        <v>3734</v>
      </c>
      <c r="C213" t="s">
        <v>3734</v>
      </c>
    </row>
    <row r="214" spans="1:3">
      <c r="A214" s="1" t="s">
        <v>1353</v>
      </c>
      <c r="B214" t="s">
        <v>3734</v>
      </c>
      <c r="C214" t="s">
        <v>3734</v>
      </c>
    </row>
    <row r="215" spans="1:3">
      <c r="A215" s="1" t="s">
        <v>1350</v>
      </c>
      <c r="B215" t="s">
        <v>3734</v>
      </c>
      <c r="C215" t="s">
        <v>3734</v>
      </c>
    </row>
    <row r="216" spans="1:3">
      <c r="A216" s="1" t="s">
        <v>1346</v>
      </c>
      <c r="B216" t="s">
        <v>3734</v>
      </c>
      <c r="C216" t="s">
        <v>3734</v>
      </c>
    </row>
    <row r="217" spans="1:3">
      <c r="A217" s="1" t="s">
        <v>1344</v>
      </c>
      <c r="B217" t="s">
        <v>3734</v>
      </c>
      <c r="C217" t="s">
        <v>3734</v>
      </c>
    </row>
    <row r="218" spans="1:3">
      <c r="A218" s="1" t="s">
        <v>3950</v>
      </c>
      <c r="B218" t="s">
        <v>3734</v>
      </c>
      <c r="C218" t="s">
        <v>3734</v>
      </c>
    </row>
    <row r="219" spans="1:3">
      <c r="A219" s="1" t="s">
        <v>1336</v>
      </c>
      <c r="B219" t="s">
        <v>3734</v>
      </c>
      <c r="C219" t="s">
        <v>3734</v>
      </c>
    </row>
    <row r="220" spans="1:3">
      <c r="A220" s="1" t="s">
        <v>3951</v>
      </c>
      <c r="B220" t="s">
        <v>3734</v>
      </c>
      <c r="C220" t="s">
        <v>3734</v>
      </c>
    </row>
    <row r="221" spans="1:3">
      <c r="A221" s="1" t="s">
        <v>1330</v>
      </c>
      <c r="B221" t="s">
        <v>3734</v>
      </c>
      <c r="C221" t="s">
        <v>3734</v>
      </c>
    </row>
    <row r="222" spans="1:3">
      <c r="A222" s="1" t="s">
        <v>1326</v>
      </c>
      <c r="B222" t="s">
        <v>3734</v>
      </c>
      <c r="C222" t="s">
        <v>3734</v>
      </c>
    </row>
    <row r="223" spans="1:3">
      <c r="A223" s="1" t="s">
        <v>1322</v>
      </c>
      <c r="B223" t="s">
        <v>3734</v>
      </c>
      <c r="C223" t="s">
        <v>3734</v>
      </c>
    </row>
    <row r="224" spans="1:3">
      <c r="A224" s="1" t="s">
        <v>1315</v>
      </c>
      <c r="B224" t="s">
        <v>3734</v>
      </c>
      <c r="C224" t="s">
        <v>3734</v>
      </c>
    </row>
    <row r="225" spans="1:3">
      <c r="A225" s="1" t="s">
        <v>3952</v>
      </c>
      <c r="B225" t="s">
        <v>3734</v>
      </c>
      <c r="C225" t="s">
        <v>3734</v>
      </c>
    </row>
    <row r="226" spans="1:3">
      <c r="A226" s="1" t="s">
        <v>3953</v>
      </c>
      <c r="B226" t="s">
        <v>3734</v>
      </c>
      <c r="C226" t="s">
        <v>3734</v>
      </c>
    </row>
    <row r="227" spans="1:3" ht="30">
      <c r="A227" s="1" t="s">
        <v>3954</v>
      </c>
      <c r="B227" t="s">
        <v>3734</v>
      </c>
      <c r="C227" t="s">
        <v>3734</v>
      </c>
    </row>
    <row r="228" spans="1:3">
      <c r="A228" s="1" t="s">
        <v>1303</v>
      </c>
      <c r="B228" t="s">
        <v>3734</v>
      </c>
      <c r="C228" t="s">
        <v>3734</v>
      </c>
    </row>
    <row r="229" spans="1:3">
      <c r="A229" s="1" t="s">
        <v>1300</v>
      </c>
      <c r="B229" t="s">
        <v>3734</v>
      </c>
      <c r="C229" t="s">
        <v>3734</v>
      </c>
    </row>
    <row r="230" spans="1:3">
      <c r="A230" s="1" t="s">
        <v>3955</v>
      </c>
      <c r="B230" t="s">
        <v>3734</v>
      </c>
      <c r="C230" t="s">
        <v>3734</v>
      </c>
    </row>
    <row r="231" spans="1:3">
      <c r="A231" s="1" t="s">
        <v>1289</v>
      </c>
      <c r="B231" t="s">
        <v>3734</v>
      </c>
      <c r="C231" t="s">
        <v>3734</v>
      </c>
    </row>
    <row r="232" spans="1:3">
      <c r="A232" s="1" t="s">
        <v>3956</v>
      </c>
      <c r="B232" t="s">
        <v>3734</v>
      </c>
      <c r="C232" t="s">
        <v>3734</v>
      </c>
    </row>
    <row r="233" spans="1:3">
      <c r="A233" s="1" t="s">
        <v>1286</v>
      </c>
      <c r="B233" t="s">
        <v>3734</v>
      </c>
      <c r="C233" t="s">
        <v>3734</v>
      </c>
    </row>
    <row r="234" spans="1:3">
      <c r="A234" s="1" t="s">
        <v>1283</v>
      </c>
      <c r="B234" t="s">
        <v>3734</v>
      </c>
      <c r="C234" t="s">
        <v>3734</v>
      </c>
    </row>
    <row r="235" spans="1:3">
      <c r="A235" s="1" t="s">
        <v>1280</v>
      </c>
      <c r="B235" t="s">
        <v>3734</v>
      </c>
      <c r="C235" t="s">
        <v>3734</v>
      </c>
    </row>
    <row r="236" spans="1:3">
      <c r="A236" s="1" t="s">
        <v>1276</v>
      </c>
      <c r="B236" t="s">
        <v>3734</v>
      </c>
      <c r="C236" t="s">
        <v>3734</v>
      </c>
    </row>
    <row r="237" spans="1:3">
      <c r="A237" s="1" t="s">
        <v>1274</v>
      </c>
      <c r="B237" t="s">
        <v>3734</v>
      </c>
      <c r="C237" t="s">
        <v>3734</v>
      </c>
    </row>
    <row r="238" spans="1:3">
      <c r="A238" s="1" t="s">
        <v>1270</v>
      </c>
      <c r="B238" t="s">
        <v>3734</v>
      </c>
      <c r="C238" t="s">
        <v>3734</v>
      </c>
    </row>
    <row r="239" spans="1:3">
      <c r="A239" s="1" t="s">
        <v>3873</v>
      </c>
      <c r="B239" t="s">
        <v>3734</v>
      </c>
      <c r="C239" t="s">
        <v>3734</v>
      </c>
    </row>
    <row r="240" spans="1:3">
      <c r="A240" s="1" t="s">
        <v>1266</v>
      </c>
      <c r="B240" t="s">
        <v>3734</v>
      </c>
      <c r="C240" t="s">
        <v>3734</v>
      </c>
    </row>
    <row r="241" spans="1:3">
      <c r="A241" s="1" t="s">
        <v>1262</v>
      </c>
      <c r="B241" t="s">
        <v>3734</v>
      </c>
      <c r="C241" t="s">
        <v>3734</v>
      </c>
    </row>
    <row r="242" spans="1:3">
      <c r="A242" s="1" t="s">
        <v>3957</v>
      </c>
      <c r="B242" t="s">
        <v>3734</v>
      </c>
      <c r="C242" t="s">
        <v>3734</v>
      </c>
    </row>
    <row r="243" spans="1:3">
      <c r="A243" s="1" t="s">
        <v>3958</v>
      </c>
      <c r="B243" t="s">
        <v>3734</v>
      </c>
      <c r="C243" t="s">
        <v>3734</v>
      </c>
    </row>
    <row r="244" spans="1:3">
      <c r="A244" s="1" t="s">
        <v>3959</v>
      </c>
      <c r="B244" t="s">
        <v>3734</v>
      </c>
      <c r="C244" t="s">
        <v>3734</v>
      </c>
    </row>
    <row r="245" spans="1:3">
      <c r="A245" s="1" t="s">
        <v>3960</v>
      </c>
      <c r="B245" t="s">
        <v>3734</v>
      </c>
      <c r="C245" t="s">
        <v>3734</v>
      </c>
    </row>
    <row r="246" spans="1:3">
      <c r="A246" s="1" t="s">
        <v>1166</v>
      </c>
      <c r="B246" t="s">
        <v>3734</v>
      </c>
      <c r="C246" t="s">
        <v>3734</v>
      </c>
    </row>
    <row r="247" spans="1:3">
      <c r="A247" s="1" t="s">
        <v>1162</v>
      </c>
      <c r="B247" t="s">
        <v>3734</v>
      </c>
      <c r="C247" t="s">
        <v>3734</v>
      </c>
    </row>
    <row r="248" spans="1:3">
      <c r="A248" s="1" t="s">
        <v>3961</v>
      </c>
      <c r="B248" t="s">
        <v>3734</v>
      </c>
      <c r="C248" t="s">
        <v>3734</v>
      </c>
    </row>
    <row r="249" spans="1:3">
      <c r="A249" s="1" t="s">
        <v>1151</v>
      </c>
      <c r="B249" t="s">
        <v>3734</v>
      </c>
      <c r="C249" t="s">
        <v>3734</v>
      </c>
    </row>
    <row r="250" spans="1:3">
      <c r="A250" s="1" t="s">
        <v>1147</v>
      </c>
      <c r="B250" t="s">
        <v>3734</v>
      </c>
      <c r="C250" t="s">
        <v>3734</v>
      </c>
    </row>
    <row r="251" spans="1:3">
      <c r="A251" s="1" t="s">
        <v>1143</v>
      </c>
      <c r="B251" t="s">
        <v>3734</v>
      </c>
      <c r="C251" t="s">
        <v>3734</v>
      </c>
    </row>
    <row r="252" spans="1:3">
      <c r="A252" s="1" t="s">
        <v>1135</v>
      </c>
      <c r="B252" t="s">
        <v>3734</v>
      </c>
      <c r="C252" t="s">
        <v>3734</v>
      </c>
    </row>
    <row r="253" spans="1:3">
      <c r="A253" s="1" t="s">
        <v>1119</v>
      </c>
      <c r="B253" t="s">
        <v>3734</v>
      </c>
      <c r="C253" t="s">
        <v>3734</v>
      </c>
    </row>
    <row r="254" spans="1:3">
      <c r="A254" s="1" t="s">
        <v>1111</v>
      </c>
      <c r="B254" t="s">
        <v>3734</v>
      </c>
      <c r="C254" t="s">
        <v>3734</v>
      </c>
    </row>
    <row r="255" spans="1:3">
      <c r="A255" s="1" t="s">
        <v>1103</v>
      </c>
      <c r="B255" t="s">
        <v>3734</v>
      </c>
      <c r="C255" t="s">
        <v>3734</v>
      </c>
    </row>
    <row r="256" spans="1:3">
      <c r="A256" s="1" t="s">
        <v>1099</v>
      </c>
      <c r="B256" t="s">
        <v>3734</v>
      </c>
      <c r="C256" t="s">
        <v>3734</v>
      </c>
    </row>
    <row r="257" spans="1:3">
      <c r="A257" s="1" t="s">
        <v>3962</v>
      </c>
      <c r="B257" t="s">
        <v>3734</v>
      </c>
      <c r="C257" t="s">
        <v>3734</v>
      </c>
    </row>
    <row r="258" spans="1:3">
      <c r="A258" s="1" t="s">
        <v>1078</v>
      </c>
      <c r="B258" t="s">
        <v>3734</v>
      </c>
      <c r="C258" t="s">
        <v>3734</v>
      </c>
    </row>
    <row r="259" spans="1:3">
      <c r="A259" s="1" t="s">
        <v>3963</v>
      </c>
      <c r="B259" t="s">
        <v>3734</v>
      </c>
      <c r="C259" t="s">
        <v>3734</v>
      </c>
    </row>
    <row r="260" spans="1:3">
      <c r="A260" s="1" t="s">
        <v>3964</v>
      </c>
      <c r="B260" t="s">
        <v>3734</v>
      </c>
      <c r="C260" t="s">
        <v>3734</v>
      </c>
    </row>
    <row r="261" spans="1:3">
      <c r="A261" s="1" t="s">
        <v>3965</v>
      </c>
      <c r="B261" t="s">
        <v>3734</v>
      </c>
      <c r="C261" t="s">
        <v>3734</v>
      </c>
    </row>
    <row r="262" spans="1:3">
      <c r="A262" s="1" t="s">
        <v>3966</v>
      </c>
      <c r="B262" t="s">
        <v>3734</v>
      </c>
      <c r="C262" t="s">
        <v>3734</v>
      </c>
    </row>
    <row r="263" spans="1:3">
      <c r="A263" s="1" t="s">
        <v>799</v>
      </c>
      <c r="B263" t="s">
        <v>3734</v>
      </c>
      <c r="C263" t="s">
        <v>3734</v>
      </c>
    </row>
    <row r="264" spans="1:3">
      <c r="A264" s="1" t="s">
        <v>1489</v>
      </c>
      <c r="B264" t="s">
        <v>3734</v>
      </c>
      <c r="C264" t="s">
        <v>3734</v>
      </c>
    </row>
    <row r="265" spans="1:3">
      <c r="A265" s="1" t="s">
        <v>3967</v>
      </c>
      <c r="B265" t="s">
        <v>3734</v>
      </c>
      <c r="C265" t="s">
        <v>3734</v>
      </c>
    </row>
    <row r="266" spans="1:3">
      <c r="A266" s="1" t="s">
        <v>700</v>
      </c>
      <c r="B266" t="s">
        <v>3734</v>
      </c>
      <c r="C266" t="s">
        <v>3734</v>
      </c>
    </row>
    <row r="267" spans="1:3">
      <c r="A267" s="1" t="s">
        <v>3968</v>
      </c>
      <c r="B267" t="s">
        <v>3734</v>
      </c>
      <c r="C267" t="s">
        <v>3734</v>
      </c>
    </row>
    <row r="268" spans="1:3">
      <c r="A268" s="1" t="s">
        <v>3969</v>
      </c>
      <c r="B268" t="s">
        <v>3734</v>
      </c>
      <c r="C268" t="s">
        <v>3734</v>
      </c>
    </row>
    <row r="269" spans="1:3">
      <c r="A269" s="1" t="s">
        <v>3970</v>
      </c>
      <c r="B269" t="s">
        <v>3734</v>
      </c>
      <c r="C269" t="s">
        <v>3734</v>
      </c>
    </row>
    <row r="270" spans="1:3">
      <c r="A270" s="1" t="s">
        <v>688</v>
      </c>
      <c r="B270" t="s">
        <v>3734</v>
      </c>
      <c r="C270" t="s">
        <v>3734</v>
      </c>
    </row>
    <row r="271" spans="1:3">
      <c r="A271" s="1" t="s">
        <v>681</v>
      </c>
      <c r="B271" t="s">
        <v>3734</v>
      </c>
      <c r="C271" t="s">
        <v>3734</v>
      </c>
    </row>
    <row r="272" spans="1:3">
      <c r="A272" s="1" t="s">
        <v>684</v>
      </c>
      <c r="B272" t="s">
        <v>3734</v>
      </c>
      <c r="C272" t="s">
        <v>3734</v>
      </c>
    </row>
    <row r="273" spans="1:3">
      <c r="A273" s="1" t="s">
        <v>3730</v>
      </c>
      <c r="B273" t="s">
        <v>3734</v>
      </c>
      <c r="C273" t="s">
        <v>3734</v>
      </c>
    </row>
    <row r="274" spans="1:3">
      <c r="A274" s="1" t="s">
        <v>3971</v>
      </c>
      <c r="B274" t="s">
        <v>3734</v>
      </c>
      <c r="C274" t="s">
        <v>3734</v>
      </c>
    </row>
    <row r="275" spans="1:3">
      <c r="A275" s="1" t="s">
        <v>675</v>
      </c>
      <c r="B275" t="s">
        <v>3734</v>
      </c>
      <c r="C275" t="s">
        <v>3734</v>
      </c>
    </row>
    <row r="276" spans="1:3">
      <c r="A276" s="1" t="s">
        <v>3972</v>
      </c>
      <c r="B276" t="s">
        <v>3734</v>
      </c>
      <c r="C276" t="s">
        <v>3734</v>
      </c>
    </row>
    <row r="277" spans="1:3">
      <c r="A277" s="1" t="s">
        <v>630</v>
      </c>
      <c r="B277" t="s">
        <v>3734</v>
      </c>
      <c r="C277" t="s">
        <v>3734</v>
      </c>
    </row>
    <row r="278" spans="1:3">
      <c r="A278" s="1" t="s">
        <v>600</v>
      </c>
      <c r="B278" t="s">
        <v>3734</v>
      </c>
      <c r="C278" t="s">
        <v>3734</v>
      </c>
    </row>
    <row r="279" spans="1:3">
      <c r="A279" s="1" t="s">
        <v>3973</v>
      </c>
      <c r="B279" t="s">
        <v>3734</v>
      </c>
      <c r="C279" t="s">
        <v>3734</v>
      </c>
    </row>
    <row r="280" spans="1:3">
      <c r="A280" s="1" t="s">
        <v>1608</v>
      </c>
      <c r="B280" t="s">
        <v>3734</v>
      </c>
      <c r="C280" t="s">
        <v>3734</v>
      </c>
    </row>
    <row r="281" spans="1:3">
      <c r="A281" s="1" t="s">
        <v>3727</v>
      </c>
      <c r="B281" t="s">
        <v>3734</v>
      </c>
      <c r="C281" t="s">
        <v>3734</v>
      </c>
    </row>
    <row r="282" spans="1:3">
      <c r="A282" s="1" t="s">
        <v>1513</v>
      </c>
      <c r="B282" t="s">
        <v>3734</v>
      </c>
      <c r="C282" t="s">
        <v>3734</v>
      </c>
    </row>
    <row r="283" spans="1:3">
      <c r="A283" s="1" t="s">
        <v>3724</v>
      </c>
      <c r="B283" t="s">
        <v>3734</v>
      </c>
      <c r="C283" t="s">
        <v>3734</v>
      </c>
    </row>
    <row r="284" spans="1:3">
      <c r="A284" s="1" t="s">
        <v>3974</v>
      </c>
      <c r="B284" t="s">
        <v>3734</v>
      </c>
      <c r="C284" t="s">
        <v>3734</v>
      </c>
    </row>
    <row r="285" spans="1:3">
      <c r="A285" s="1" t="s">
        <v>3975</v>
      </c>
      <c r="B285" t="s">
        <v>3734</v>
      </c>
      <c r="C285" t="s">
        <v>3734</v>
      </c>
    </row>
    <row r="286" spans="1:3">
      <c r="A286" s="1" t="s">
        <v>3976</v>
      </c>
      <c r="B286" t="s">
        <v>3734</v>
      </c>
      <c r="C286" t="s">
        <v>3734</v>
      </c>
    </row>
    <row r="287" spans="1:3">
      <c r="A287" s="1" t="s">
        <v>1115</v>
      </c>
      <c r="B287" t="s">
        <v>3734</v>
      </c>
      <c r="C287" t="s">
        <v>3734</v>
      </c>
    </row>
    <row r="288" spans="1:3">
      <c r="A288" s="1" t="s">
        <v>3977</v>
      </c>
      <c r="B288" t="s">
        <v>3734</v>
      </c>
      <c r="C288" t="s">
        <v>3734</v>
      </c>
    </row>
    <row r="289" spans="1:3" ht="30">
      <c r="A289" s="1" t="s">
        <v>3978</v>
      </c>
      <c r="B289" t="s">
        <v>3734</v>
      </c>
      <c r="C289" t="s">
        <v>3734</v>
      </c>
    </row>
    <row r="290" spans="1:3">
      <c r="A290" s="1" t="s">
        <v>3979</v>
      </c>
      <c r="B290" t="s">
        <v>3734</v>
      </c>
      <c r="C290" t="s">
        <v>3734</v>
      </c>
    </row>
    <row r="291" spans="1:3">
      <c r="A291" s="1" t="s">
        <v>922</v>
      </c>
      <c r="B291" t="s">
        <v>3734</v>
      </c>
      <c r="C291" t="s">
        <v>3734</v>
      </c>
    </row>
    <row r="292" spans="1:3">
      <c r="A292" s="1" t="s">
        <v>3980</v>
      </c>
      <c r="B292" t="s">
        <v>3734</v>
      </c>
      <c r="C292" t="s">
        <v>3734</v>
      </c>
    </row>
    <row r="293" spans="1:3">
      <c r="A293" s="1" t="s">
        <v>808</v>
      </c>
      <c r="B293" t="s">
        <v>3734</v>
      </c>
      <c r="C293" t="s">
        <v>3734</v>
      </c>
    </row>
    <row r="294" spans="1:3">
      <c r="A294" s="1" t="s">
        <v>1589</v>
      </c>
      <c r="B294" t="s">
        <v>3734</v>
      </c>
      <c r="C294" t="s">
        <v>3734</v>
      </c>
    </row>
    <row r="295" spans="1:3">
      <c r="A295" s="1" t="s">
        <v>3981</v>
      </c>
      <c r="B295" t="s">
        <v>3734</v>
      </c>
      <c r="C295" t="s">
        <v>3734</v>
      </c>
    </row>
    <row r="296" spans="1:3">
      <c r="A296" s="1" t="s">
        <v>3982</v>
      </c>
      <c r="B296" t="s">
        <v>3734</v>
      </c>
      <c r="C296" t="s">
        <v>3734</v>
      </c>
    </row>
    <row r="297" spans="1:3">
      <c r="A297" s="1" t="s">
        <v>3983</v>
      </c>
      <c r="B297" t="s">
        <v>3734</v>
      </c>
      <c r="C297" t="s">
        <v>3734</v>
      </c>
    </row>
    <row r="298" spans="1:3">
      <c r="A298" s="1" t="s">
        <v>3984</v>
      </c>
      <c r="B298" t="s">
        <v>3734</v>
      </c>
      <c r="C298" t="s">
        <v>3734</v>
      </c>
    </row>
    <row r="299" spans="1:3">
      <c r="A299" s="1" t="s">
        <v>790</v>
      </c>
      <c r="B299" t="s">
        <v>3734</v>
      </c>
      <c r="C299" t="s">
        <v>3734</v>
      </c>
    </row>
    <row r="300" spans="1:3">
      <c r="A300" s="1" t="s">
        <v>3985</v>
      </c>
      <c r="B300" t="s">
        <v>3734</v>
      </c>
      <c r="C300" t="s">
        <v>3734</v>
      </c>
    </row>
    <row r="301" spans="1:3">
      <c r="A301" s="1" t="s">
        <v>3986</v>
      </c>
      <c r="B301" t="s">
        <v>3734</v>
      </c>
      <c r="C301" t="s">
        <v>3734</v>
      </c>
    </row>
    <row r="302" spans="1:3">
      <c r="A302" s="1" t="s">
        <v>3987</v>
      </c>
      <c r="B302" t="s">
        <v>3734</v>
      </c>
      <c r="C302" t="s">
        <v>3734</v>
      </c>
    </row>
    <row r="303" spans="1:3">
      <c r="A303" s="1" t="s">
        <v>3988</v>
      </c>
      <c r="B303" t="s">
        <v>3734</v>
      </c>
      <c r="C303" t="s">
        <v>3734</v>
      </c>
    </row>
    <row r="304" spans="1:3">
      <c r="A304" s="1" t="s">
        <v>3989</v>
      </c>
      <c r="B304" t="s">
        <v>3734</v>
      </c>
      <c r="C304" t="s">
        <v>3734</v>
      </c>
    </row>
    <row r="305" spans="1:3">
      <c r="A305" s="1" t="s">
        <v>3990</v>
      </c>
      <c r="B305" t="s">
        <v>3734</v>
      </c>
      <c r="C305" t="s">
        <v>3734</v>
      </c>
    </row>
    <row r="306" spans="1:3">
      <c r="A306" s="1" t="s">
        <v>3991</v>
      </c>
      <c r="B306" t="s">
        <v>3734</v>
      </c>
      <c r="C306" t="s">
        <v>3734</v>
      </c>
    </row>
    <row r="307" spans="1:3">
      <c r="A307" s="1" t="s">
        <v>3992</v>
      </c>
      <c r="B307" t="s">
        <v>3734</v>
      </c>
      <c r="C307" t="s">
        <v>3734</v>
      </c>
    </row>
    <row r="308" spans="1:3">
      <c r="A308" s="1" t="s">
        <v>3993</v>
      </c>
      <c r="B308" t="s">
        <v>3734</v>
      </c>
      <c r="C308" t="s">
        <v>3734</v>
      </c>
    </row>
    <row r="309" spans="1:3">
      <c r="A309" s="1" t="s">
        <v>3994</v>
      </c>
      <c r="B309" t="s">
        <v>3734</v>
      </c>
      <c r="C309" t="s">
        <v>3734</v>
      </c>
    </row>
    <row r="310" spans="1:3">
      <c r="A310" s="1" t="s">
        <v>3995</v>
      </c>
      <c r="B310" t="s">
        <v>3734</v>
      </c>
      <c r="C310" t="s">
        <v>3734</v>
      </c>
    </row>
    <row r="311" spans="1:3">
      <c r="A311" s="1" t="s">
        <v>3996</v>
      </c>
      <c r="B311" t="s">
        <v>3734</v>
      </c>
      <c r="C311" t="s">
        <v>3734</v>
      </c>
    </row>
    <row r="312" spans="1:3">
      <c r="A312" s="1" t="s">
        <v>3997</v>
      </c>
      <c r="B312" t="s">
        <v>3734</v>
      </c>
      <c r="C312" t="s">
        <v>3734</v>
      </c>
    </row>
    <row r="313" spans="1:3">
      <c r="A313" s="1" t="s">
        <v>3998</v>
      </c>
      <c r="B313" t="s">
        <v>3734</v>
      </c>
      <c r="C313" t="s">
        <v>3734</v>
      </c>
    </row>
    <row r="314" spans="1:3">
      <c r="A314" s="1" t="s">
        <v>3999</v>
      </c>
      <c r="B314" t="s">
        <v>3734</v>
      </c>
      <c r="C314" t="s">
        <v>3734</v>
      </c>
    </row>
    <row r="315" spans="1:3">
      <c r="A315" s="1" t="s">
        <v>4000</v>
      </c>
      <c r="B315" t="s">
        <v>3734</v>
      </c>
      <c r="C315" t="s">
        <v>3734</v>
      </c>
    </row>
    <row r="316" spans="1:3">
      <c r="A316" s="1" t="s">
        <v>1712</v>
      </c>
      <c r="B316" t="s">
        <v>3734</v>
      </c>
      <c r="C316" t="s">
        <v>3734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F120-5F4A-456C-819D-2372FC00CA70}">
  <dimension ref="A1:C111"/>
  <sheetViews>
    <sheetView workbookViewId="0">
      <selection activeCell="B36" sqref="B36"/>
    </sheetView>
  </sheetViews>
  <sheetFormatPr defaultRowHeight="15"/>
  <cols>
    <col min="1" max="1" width="44" customWidth="1"/>
  </cols>
  <sheetData>
    <row r="1" spans="1:3">
      <c r="A1" s="1" t="s">
        <v>4001</v>
      </c>
      <c r="B1" t="s">
        <v>4002</v>
      </c>
      <c r="C1" t="s">
        <v>4003</v>
      </c>
    </row>
    <row r="2" spans="1:3">
      <c r="A2" s="1" t="s">
        <v>4004</v>
      </c>
      <c r="B2" t="s">
        <v>128</v>
      </c>
      <c r="C2" t="s">
        <v>3734</v>
      </c>
    </row>
    <row r="3" spans="1:3">
      <c r="A3" s="1" t="s">
        <v>4005</v>
      </c>
      <c r="B3" t="s">
        <v>128</v>
      </c>
      <c r="C3" t="s">
        <v>3734</v>
      </c>
    </row>
    <row r="4" spans="1:3">
      <c r="A4" s="1" t="s">
        <v>3865</v>
      </c>
      <c r="B4" t="s">
        <v>128</v>
      </c>
      <c r="C4" t="s">
        <v>3734</v>
      </c>
    </row>
    <row r="5" spans="1:3">
      <c r="A5" s="1" t="s">
        <v>4006</v>
      </c>
      <c r="B5" t="s">
        <v>128</v>
      </c>
      <c r="C5" t="s">
        <v>3734</v>
      </c>
    </row>
    <row r="6" spans="1:3">
      <c r="A6" s="1" t="s">
        <v>135</v>
      </c>
      <c r="B6" t="s">
        <v>128</v>
      </c>
      <c r="C6" t="s">
        <v>3734</v>
      </c>
    </row>
    <row r="7" spans="1:3">
      <c r="A7" s="1" t="s">
        <v>141</v>
      </c>
      <c r="B7" t="s">
        <v>128</v>
      </c>
      <c r="C7" t="s">
        <v>3734</v>
      </c>
    </row>
    <row r="8" spans="1:3">
      <c r="A8" s="1" t="s">
        <v>438</v>
      </c>
      <c r="B8" t="s">
        <v>128</v>
      </c>
      <c r="C8" t="s">
        <v>3734</v>
      </c>
    </row>
    <row r="9" spans="1:3">
      <c r="A9" s="1" t="s">
        <v>3810</v>
      </c>
      <c r="B9" t="s">
        <v>128</v>
      </c>
      <c r="C9" t="s">
        <v>3734</v>
      </c>
    </row>
    <row r="10" spans="1:3">
      <c r="A10" s="1" t="s">
        <v>4007</v>
      </c>
      <c r="B10" t="s">
        <v>128</v>
      </c>
      <c r="C10" t="s">
        <v>3734</v>
      </c>
    </row>
    <row r="11" spans="1:3">
      <c r="A11" s="1" t="s">
        <v>3890</v>
      </c>
      <c r="B11" t="s">
        <v>128</v>
      </c>
      <c r="C11" t="s">
        <v>3734</v>
      </c>
    </row>
    <row r="12" spans="1:3">
      <c r="A12" s="1" t="s">
        <v>163</v>
      </c>
      <c r="B12" t="s">
        <v>128</v>
      </c>
      <c r="C12" t="s">
        <v>3734</v>
      </c>
    </row>
    <row r="13" spans="1:3">
      <c r="A13" s="1" t="s">
        <v>3733</v>
      </c>
      <c r="B13" t="s">
        <v>128</v>
      </c>
      <c r="C13" t="s">
        <v>3734</v>
      </c>
    </row>
    <row r="14" spans="1:3">
      <c r="A14" s="1" t="s">
        <v>188</v>
      </c>
      <c r="B14" t="s">
        <v>128</v>
      </c>
      <c r="C14" t="s">
        <v>3734</v>
      </c>
    </row>
    <row r="15" spans="1:3">
      <c r="A15" s="1" t="s">
        <v>3813</v>
      </c>
      <c r="B15" t="s">
        <v>128</v>
      </c>
      <c r="C15" t="s">
        <v>3734</v>
      </c>
    </row>
    <row r="16" spans="1:3">
      <c r="A16" s="1" t="s">
        <v>3738</v>
      </c>
      <c r="B16" t="s">
        <v>128</v>
      </c>
      <c r="C16" t="s">
        <v>3734</v>
      </c>
    </row>
    <row r="17" spans="1:3">
      <c r="A17" s="1" t="s">
        <v>4008</v>
      </c>
      <c r="B17" t="s">
        <v>128</v>
      </c>
      <c r="C17" t="s">
        <v>3734</v>
      </c>
    </row>
    <row r="18" spans="1:3">
      <c r="A18" s="1" t="s">
        <v>425</v>
      </c>
      <c r="B18" t="s">
        <v>128</v>
      </c>
      <c r="C18" t="s">
        <v>3734</v>
      </c>
    </row>
    <row r="19" spans="1:3">
      <c r="A19" s="1" t="s">
        <v>444</v>
      </c>
      <c r="B19" t="s">
        <v>128</v>
      </c>
      <c r="C19" t="s">
        <v>3734</v>
      </c>
    </row>
    <row r="20" spans="1:3">
      <c r="A20" s="1" t="s">
        <v>4009</v>
      </c>
      <c r="B20" t="s">
        <v>128</v>
      </c>
      <c r="C20" t="s">
        <v>3734</v>
      </c>
    </row>
    <row r="21" spans="1:3">
      <c r="A21" s="1" t="s">
        <v>4010</v>
      </c>
      <c r="B21" t="s">
        <v>128</v>
      </c>
      <c r="C21" t="s">
        <v>3734</v>
      </c>
    </row>
    <row r="22" spans="1:3">
      <c r="A22" s="1" t="s">
        <v>3817</v>
      </c>
      <c r="B22" t="s">
        <v>128</v>
      </c>
      <c r="C22" t="s">
        <v>3734</v>
      </c>
    </row>
    <row r="23" spans="1:3">
      <c r="A23" s="1" t="s">
        <v>64</v>
      </c>
      <c r="B23" t="s">
        <v>128</v>
      </c>
      <c r="C23" t="s">
        <v>3734</v>
      </c>
    </row>
    <row r="24" spans="1:3">
      <c r="A24" s="1" t="s">
        <v>307</v>
      </c>
      <c r="B24" t="s">
        <v>128</v>
      </c>
      <c r="C24" t="s">
        <v>3734</v>
      </c>
    </row>
    <row r="25" spans="1:3">
      <c r="A25" s="1" t="s">
        <v>4011</v>
      </c>
      <c r="B25" t="s">
        <v>128</v>
      </c>
      <c r="C25" t="s">
        <v>3734</v>
      </c>
    </row>
    <row r="26" spans="1:3">
      <c r="A26" s="1" t="s">
        <v>4012</v>
      </c>
      <c r="B26" t="s">
        <v>128</v>
      </c>
      <c r="C26" t="s">
        <v>3734</v>
      </c>
    </row>
    <row r="27" spans="1:3">
      <c r="A27" s="1" t="s">
        <v>4013</v>
      </c>
      <c r="B27" t="s">
        <v>128</v>
      </c>
      <c r="C27" t="s">
        <v>3734</v>
      </c>
    </row>
    <row r="28" spans="1:3">
      <c r="A28" s="1" t="s">
        <v>320</v>
      </c>
      <c r="B28" t="s">
        <v>128</v>
      </c>
      <c r="C28" t="s">
        <v>3734</v>
      </c>
    </row>
    <row r="29" spans="1:3">
      <c r="A29" s="1" t="s">
        <v>324</v>
      </c>
      <c r="B29" t="s">
        <v>128</v>
      </c>
      <c r="C29" t="s">
        <v>3734</v>
      </c>
    </row>
    <row r="30" spans="1:3">
      <c r="A30" s="1" t="s">
        <v>4014</v>
      </c>
      <c r="B30" t="s">
        <v>128</v>
      </c>
      <c r="C30" t="s">
        <v>3734</v>
      </c>
    </row>
    <row r="31" spans="1:3">
      <c r="A31" s="1" t="s">
        <v>371</v>
      </c>
      <c r="B31" t="s">
        <v>128</v>
      </c>
      <c r="C31" t="s">
        <v>3734</v>
      </c>
    </row>
    <row r="32" spans="1:3">
      <c r="A32" s="1" t="s">
        <v>3747</v>
      </c>
      <c r="B32" t="s">
        <v>128</v>
      </c>
      <c r="C32" t="s">
        <v>3734</v>
      </c>
    </row>
    <row r="33" spans="1:3">
      <c r="A33" s="1" t="s">
        <v>3819</v>
      </c>
      <c r="B33" t="s">
        <v>128</v>
      </c>
      <c r="C33" t="s">
        <v>3734</v>
      </c>
    </row>
    <row r="34" spans="1:3">
      <c r="A34" s="1" t="s">
        <v>4015</v>
      </c>
      <c r="B34" t="s">
        <v>128</v>
      </c>
      <c r="C34" t="s">
        <v>3734</v>
      </c>
    </row>
    <row r="35" spans="1:3">
      <c r="A35" s="1" t="s">
        <v>117</v>
      </c>
      <c r="B35" t="s">
        <v>128</v>
      </c>
      <c r="C35" t="s">
        <v>3734</v>
      </c>
    </row>
    <row r="36" spans="1:3">
      <c r="A36" s="1" t="s">
        <v>4016</v>
      </c>
      <c r="B36" t="s">
        <v>128</v>
      </c>
      <c r="C36" t="s">
        <v>3734</v>
      </c>
    </row>
    <row r="37" spans="1:3">
      <c r="A37" s="1" t="s">
        <v>434</v>
      </c>
      <c r="B37" t="s">
        <v>128</v>
      </c>
      <c r="C37" t="s">
        <v>3734</v>
      </c>
    </row>
    <row r="38" spans="1:3">
      <c r="A38" s="1" t="s">
        <v>4017</v>
      </c>
      <c r="B38" t="s">
        <v>128</v>
      </c>
      <c r="C38" t="s">
        <v>3734</v>
      </c>
    </row>
    <row r="39" spans="1:3">
      <c r="A39" s="1" t="s">
        <v>3881</v>
      </c>
      <c r="B39" t="s">
        <v>128</v>
      </c>
      <c r="C39" t="s">
        <v>3734</v>
      </c>
    </row>
    <row r="40" spans="1:3">
      <c r="A40" s="1" t="s">
        <v>4018</v>
      </c>
      <c r="B40" t="s">
        <v>128</v>
      </c>
      <c r="C40" t="s">
        <v>3734</v>
      </c>
    </row>
    <row r="41" spans="1:3">
      <c r="A41" s="1" t="s">
        <v>3753</v>
      </c>
      <c r="B41" t="s">
        <v>128</v>
      </c>
      <c r="C41" t="s">
        <v>3734</v>
      </c>
    </row>
    <row r="42" spans="1:3">
      <c r="A42" s="1" t="s">
        <v>492</v>
      </c>
      <c r="B42" t="s">
        <v>128</v>
      </c>
      <c r="C42" t="s">
        <v>3734</v>
      </c>
    </row>
    <row r="43" spans="1:3">
      <c r="A43" s="1" t="s">
        <v>22</v>
      </c>
      <c r="B43" t="s">
        <v>128</v>
      </c>
      <c r="C43" t="s">
        <v>3734</v>
      </c>
    </row>
    <row r="44" spans="1:3">
      <c r="A44" s="1" t="s">
        <v>72</v>
      </c>
      <c r="B44" t="s">
        <v>128</v>
      </c>
      <c r="C44" t="s">
        <v>3734</v>
      </c>
    </row>
    <row r="45" spans="1:3">
      <c r="A45" s="1" t="s">
        <v>4019</v>
      </c>
      <c r="B45" t="s">
        <v>128</v>
      </c>
      <c r="C45" t="s">
        <v>3734</v>
      </c>
    </row>
    <row r="46" spans="1:3">
      <c r="A46" s="1" t="s">
        <v>535</v>
      </c>
      <c r="B46" t="s">
        <v>128</v>
      </c>
      <c r="C46" t="s">
        <v>3734</v>
      </c>
    </row>
    <row r="47" spans="1:3">
      <c r="A47" s="1" t="s">
        <v>3883</v>
      </c>
      <c r="B47" t="s">
        <v>128</v>
      </c>
      <c r="C47" t="s">
        <v>3734</v>
      </c>
    </row>
    <row r="48" spans="1:3">
      <c r="A48" s="1" t="s">
        <v>4020</v>
      </c>
      <c r="B48" t="s">
        <v>128</v>
      </c>
      <c r="C48" t="s">
        <v>3734</v>
      </c>
    </row>
    <row r="49" spans="1:3">
      <c r="A49" s="1" t="s">
        <v>576</v>
      </c>
      <c r="B49" t="s">
        <v>128</v>
      </c>
      <c r="C49" t="s">
        <v>3734</v>
      </c>
    </row>
    <row r="50" spans="1:3">
      <c r="A50" s="1" t="s">
        <v>1541</v>
      </c>
      <c r="B50" t="s">
        <v>128</v>
      </c>
      <c r="C50" t="s">
        <v>3734</v>
      </c>
    </row>
    <row r="51" spans="1:3">
      <c r="A51" s="1" t="s">
        <v>585</v>
      </c>
      <c r="B51" t="s">
        <v>128</v>
      </c>
      <c r="C51" t="s">
        <v>3734</v>
      </c>
    </row>
    <row r="52" spans="1:3">
      <c r="A52" s="1" t="s">
        <v>4021</v>
      </c>
      <c r="B52" t="s">
        <v>128</v>
      </c>
      <c r="C52" t="s">
        <v>3734</v>
      </c>
    </row>
    <row r="53" spans="1:3">
      <c r="A53" s="1" t="s">
        <v>4022</v>
      </c>
      <c r="B53" t="s">
        <v>128</v>
      </c>
      <c r="C53" t="s">
        <v>3734</v>
      </c>
    </row>
    <row r="54" spans="1:3">
      <c r="A54" s="1" t="s">
        <v>4023</v>
      </c>
      <c r="B54" t="s">
        <v>128</v>
      </c>
      <c r="C54" t="s">
        <v>3734</v>
      </c>
    </row>
    <row r="55" spans="1:3">
      <c r="A55" s="1" t="s">
        <v>616</v>
      </c>
      <c r="B55" t="s">
        <v>128</v>
      </c>
      <c r="C55" t="s">
        <v>3734</v>
      </c>
    </row>
    <row r="56" spans="1:3">
      <c r="A56" s="1" t="s">
        <v>1813</v>
      </c>
      <c r="B56" t="s">
        <v>128</v>
      </c>
      <c r="C56" t="s">
        <v>3734</v>
      </c>
    </row>
    <row r="57" spans="1:3">
      <c r="A57" s="1" t="s">
        <v>3884</v>
      </c>
      <c r="B57" t="s">
        <v>128</v>
      </c>
      <c r="C57" t="s">
        <v>3734</v>
      </c>
    </row>
    <row r="58" spans="1:3">
      <c r="A58" s="1" t="s">
        <v>642</v>
      </c>
      <c r="B58" t="s">
        <v>128</v>
      </c>
      <c r="C58" t="s">
        <v>3734</v>
      </c>
    </row>
    <row r="59" spans="1:3">
      <c r="A59" s="1" t="s">
        <v>4024</v>
      </c>
      <c r="B59" t="s">
        <v>128</v>
      </c>
      <c r="C59" t="s">
        <v>3734</v>
      </c>
    </row>
    <row r="60" spans="1:3">
      <c r="A60" s="1" t="s">
        <v>649</v>
      </c>
      <c r="B60" t="s">
        <v>128</v>
      </c>
      <c r="C60" t="s">
        <v>3734</v>
      </c>
    </row>
    <row r="61" spans="1:3">
      <c r="A61" s="1" t="s">
        <v>653</v>
      </c>
      <c r="B61" t="s">
        <v>128</v>
      </c>
      <c r="C61" t="s">
        <v>3734</v>
      </c>
    </row>
    <row r="62" spans="1:3">
      <c r="A62" s="1" t="s">
        <v>4025</v>
      </c>
      <c r="B62" t="s">
        <v>128</v>
      </c>
      <c r="C62" t="s">
        <v>3734</v>
      </c>
    </row>
    <row r="63" spans="1:3">
      <c r="A63" s="1" t="s">
        <v>94</v>
      </c>
      <c r="B63" t="s">
        <v>128</v>
      </c>
      <c r="C63" t="s">
        <v>3734</v>
      </c>
    </row>
    <row r="64" spans="1:3">
      <c r="A64" s="1" t="s">
        <v>704</v>
      </c>
      <c r="B64" t="s">
        <v>128</v>
      </c>
      <c r="C64" t="s">
        <v>3734</v>
      </c>
    </row>
    <row r="65" spans="1:3">
      <c r="A65" s="1" t="s">
        <v>711</v>
      </c>
      <c r="B65" t="s">
        <v>128</v>
      </c>
      <c r="C65" t="s">
        <v>3734</v>
      </c>
    </row>
    <row r="66" spans="1:3">
      <c r="A66" s="1" t="s">
        <v>4026</v>
      </c>
      <c r="B66" t="s">
        <v>128</v>
      </c>
      <c r="C66" t="s">
        <v>3734</v>
      </c>
    </row>
    <row r="67" spans="1:3">
      <c r="A67" s="1" t="s">
        <v>4027</v>
      </c>
      <c r="B67" t="s">
        <v>128</v>
      </c>
      <c r="C67" t="s">
        <v>3734</v>
      </c>
    </row>
    <row r="68" spans="1:3">
      <c r="A68" s="1" t="s">
        <v>733</v>
      </c>
      <c r="B68" t="s">
        <v>128</v>
      </c>
      <c r="C68" t="s">
        <v>3734</v>
      </c>
    </row>
    <row r="69" spans="1:3">
      <c r="A69" s="1" t="s">
        <v>3079</v>
      </c>
      <c r="B69" t="s">
        <v>128</v>
      </c>
      <c r="C69" t="s">
        <v>3734</v>
      </c>
    </row>
    <row r="70" spans="1:3">
      <c r="A70" s="1" t="s">
        <v>768</v>
      </c>
      <c r="B70" t="s">
        <v>128</v>
      </c>
      <c r="C70" t="s">
        <v>3734</v>
      </c>
    </row>
    <row r="71" spans="1:3">
      <c r="A71" s="1" t="s">
        <v>776</v>
      </c>
      <c r="B71" t="s">
        <v>128</v>
      </c>
      <c r="C71" t="s">
        <v>3734</v>
      </c>
    </row>
    <row r="72" spans="1:3">
      <c r="A72" s="1" t="s">
        <v>3773</v>
      </c>
      <c r="B72" t="s">
        <v>128</v>
      </c>
      <c r="C72" t="s">
        <v>3734</v>
      </c>
    </row>
    <row r="73" spans="1:3">
      <c r="A73" s="1" t="s">
        <v>4028</v>
      </c>
      <c r="B73" t="s">
        <v>128</v>
      </c>
      <c r="C73" t="s">
        <v>3734</v>
      </c>
    </row>
    <row r="74" spans="1:3">
      <c r="A74" s="1" t="s">
        <v>4029</v>
      </c>
      <c r="B74" t="s">
        <v>128</v>
      </c>
      <c r="C74" t="s">
        <v>3734</v>
      </c>
    </row>
    <row r="75" spans="1:3">
      <c r="A75" s="1" t="s">
        <v>355</v>
      </c>
      <c r="B75" t="s">
        <v>128</v>
      </c>
      <c r="C75" t="s">
        <v>3734</v>
      </c>
    </row>
    <row r="76" spans="1:3">
      <c r="A76" s="1" t="s">
        <v>833</v>
      </c>
      <c r="B76" t="s">
        <v>128</v>
      </c>
      <c r="C76" t="s">
        <v>3734</v>
      </c>
    </row>
    <row r="77" spans="1:3">
      <c r="A77" s="1" t="s">
        <v>3774</v>
      </c>
      <c r="B77" t="s">
        <v>128</v>
      </c>
      <c r="C77" t="s">
        <v>3734</v>
      </c>
    </row>
    <row r="78" spans="1:3">
      <c r="A78" s="1" t="s">
        <v>847</v>
      </c>
      <c r="B78" t="s">
        <v>128</v>
      </c>
      <c r="C78" t="s">
        <v>3734</v>
      </c>
    </row>
    <row r="79" spans="1:3">
      <c r="A79" s="1" t="s">
        <v>868</v>
      </c>
      <c r="B79" t="s">
        <v>128</v>
      </c>
      <c r="C79" t="s">
        <v>3734</v>
      </c>
    </row>
    <row r="80" spans="1:3">
      <c r="A80" s="1" t="s">
        <v>54</v>
      </c>
      <c r="B80" t="s">
        <v>128</v>
      </c>
      <c r="C80" t="s">
        <v>3734</v>
      </c>
    </row>
    <row r="81" spans="1:3">
      <c r="A81" s="1" t="s">
        <v>873</v>
      </c>
      <c r="B81" t="s">
        <v>128</v>
      </c>
      <c r="C81" t="s">
        <v>3734</v>
      </c>
    </row>
    <row r="82" spans="1:3">
      <c r="A82" s="1" t="s">
        <v>28</v>
      </c>
      <c r="B82" t="s">
        <v>128</v>
      </c>
      <c r="C82" t="s">
        <v>3734</v>
      </c>
    </row>
    <row r="83" spans="1:3">
      <c r="A83" s="1" t="s">
        <v>4030</v>
      </c>
      <c r="B83" t="s">
        <v>128</v>
      </c>
      <c r="C83" t="s">
        <v>3734</v>
      </c>
    </row>
    <row r="84" spans="1:3">
      <c r="A84" s="1" t="s">
        <v>4031</v>
      </c>
      <c r="B84" t="s">
        <v>128</v>
      </c>
      <c r="C84" t="s">
        <v>3734</v>
      </c>
    </row>
    <row r="85" spans="1:3">
      <c r="A85" s="1" t="s">
        <v>897</v>
      </c>
      <c r="B85" t="s">
        <v>128</v>
      </c>
      <c r="C85" t="s">
        <v>3734</v>
      </c>
    </row>
    <row r="86" spans="1:3">
      <c r="A86" s="1" t="s">
        <v>4032</v>
      </c>
      <c r="B86" t="s">
        <v>128</v>
      </c>
      <c r="C86" t="s">
        <v>3734</v>
      </c>
    </row>
    <row r="87" spans="1:3">
      <c r="A87" s="1" t="s">
        <v>3893</v>
      </c>
      <c r="B87" t="s">
        <v>128</v>
      </c>
      <c r="C87" t="s">
        <v>3734</v>
      </c>
    </row>
    <row r="88" spans="1:3">
      <c r="A88" s="1" t="s">
        <v>4033</v>
      </c>
      <c r="B88" t="s">
        <v>128</v>
      </c>
      <c r="C88" t="s">
        <v>3734</v>
      </c>
    </row>
    <row r="89" spans="1:3">
      <c r="A89" s="1" t="s">
        <v>4034</v>
      </c>
      <c r="B89" t="s">
        <v>128</v>
      </c>
      <c r="C89" t="s">
        <v>3734</v>
      </c>
    </row>
    <row r="90" spans="1:3">
      <c r="A90" s="1" t="s">
        <v>1875</v>
      </c>
      <c r="B90" t="s">
        <v>128</v>
      </c>
      <c r="C90" t="s">
        <v>3734</v>
      </c>
    </row>
    <row r="91" spans="1:3">
      <c r="A91" s="1" t="s">
        <v>991</v>
      </c>
      <c r="B91" t="s">
        <v>128</v>
      </c>
      <c r="C91" t="s">
        <v>3734</v>
      </c>
    </row>
    <row r="92" spans="1:3">
      <c r="A92" s="1" t="s">
        <v>1016</v>
      </c>
      <c r="B92" t="s">
        <v>128</v>
      </c>
      <c r="C92" t="s">
        <v>3734</v>
      </c>
    </row>
    <row r="93" spans="1:3">
      <c r="A93" s="1" t="s">
        <v>33</v>
      </c>
      <c r="B93" t="s">
        <v>128</v>
      </c>
      <c r="C93" t="s">
        <v>3734</v>
      </c>
    </row>
    <row r="94" spans="1:3">
      <c r="A94" s="1" t="s">
        <v>3800</v>
      </c>
      <c r="B94" t="s">
        <v>128</v>
      </c>
      <c r="C94" t="s">
        <v>3734</v>
      </c>
    </row>
    <row r="95" spans="1:3">
      <c r="A95" s="1" t="s">
        <v>199</v>
      </c>
      <c r="B95" t="s">
        <v>128</v>
      </c>
      <c r="C95" t="s">
        <v>3734</v>
      </c>
    </row>
    <row r="96" spans="1:3">
      <c r="A96" s="1" t="s">
        <v>226</v>
      </c>
      <c r="B96" t="s">
        <v>128</v>
      </c>
      <c r="C96" t="s">
        <v>3734</v>
      </c>
    </row>
    <row r="97" spans="1:3">
      <c r="A97" s="1" t="s">
        <v>4035</v>
      </c>
      <c r="B97" t="s">
        <v>128</v>
      </c>
      <c r="C97" t="s">
        <v>3734</v>
      </c>
    </row>
    <row r="98" spans="1:3">
      <c r="A98" s="1" t="s">
        <v>1184</v>
      </c>
      <c r="B98" t="s">
        <v>128</v>
      </c>
      <c r="C98" t="s">
        <v>3734</v>
      </c>
    </row>
    <row r="99" spans="1:3">
      <c r="A99" s="1" t="s">
        <v>1193</v>
      </c>
      <c r="B99" t="s">
        <v>128</v>
      </c>
      <c r="C99" t="s">
        <v>3734</v>
      </c>
    </row>
    <row r="100" spans="1:3">
      <c r="A100" s="1" t="s">
        <v>1198</v>
      </c>
      <c r="B100" t="s">
        <v>128</v>
      </c>
      <c r="C100" t="s">
        <v>3734</v>
      </c>
    </row>
    <row r="101" spans="1:3">
      <c r="A101" s="1" t="s">
        <v>1217</v>
      </c>
      <c r="B101" t="s">
        <v>128</v>
      </c>
      <c r="C101" t="s">
        <v>3734</v>
      </c>
    </row>
    <row r="102" spans="1:3">
      <c r="A102" s="1" t="s">
        <v>3840</v>
      </c>
      <c r="B102" t="s">
        <v>128</v>
      </c>
      <c r="C102" t="s">
        <v>3734</v>
      </c>
    </row>
    <row r="103" spans="1:3">
      <c r="A103" s="1" t="s">
        <v>3885</v>
      </c>
      <c r="B103" t="s">
        <v>128</v>
      </c>
      <c r="C103" t="s">
        <v>3734</v>
      </c>
    </row>
    <row r="104" spans="1:3">
      <c r="A104" s="1" t="s">
        <v>4036</v>
      </c>
      <c r="B104" t="s">
        <v>128</v>
      </c>
      <c r="C104" t="s">
        <v>3734</v>
      </c>
    </row>
    <row r="105" spans="1:3">
      <c r="A105" s="1" t="s">
        <v>1228</v>
      </c>
      <c r="B105" t="s">
        <v>128</v>
      </c>
      <c r="C105" t="s">
        <v>3734</v>
      </c>
    </row>
    <row r="106" spans="1:3">
      <c r="A106" s="1" t="s">
        <v>3887</v>
      </c>
      <c r="B106" t="s">
        <v>128</v>
      </c>
      <c r="C106" t="s">
        <v>3734</v>
      </c>
    </row>
    <row r="107" spans="1:3">
      <c r="A107" s="1" t="s">
        <v>68</v>
      </c>
      <c r="B107" t="s">
        <v>128</v>
      </c>
      <c r="C107" t="s">
        <v>3734</v>
      </c>
    </row>
    <row r="108" spans="1:3">
      <c r="A108" s="1" t="s">
        <v>1238</v>
      </c>
      <c r="B108" t="s">
        <v>128</v>
      </c>
      <c r="C108" t="s">
        <v>3734</v>
      </c>
    </row>
    <row r="109" spans="1:3">
      <c r="A109" s="1" t="s">
        <v>3888</v>
      </c>
      <c r="B109" t="s">
        <v>128</v>
      </c>
      <c r="C109" t="s">
        <v>3734</v>
      </c>
    </row>
    <row r="110" spans="1:3">
      <c r="A110" s="1" t="s">
        <v>1258</v>
      </c>
      <c r="B110" t="s">
        <v>128</v>
      </c>
      <c r="C110" t="s">
        <v>3734</v>
      </c>
    </row>
    <row r="111" spans="1:3">
      <c r="A111" s="1" t="s">
        <v>4037</v>
      </c>
      <c r="B111" t="s">
        <v>128</v>
      </c>
      <c r="C111" t="s">
        <v>3734</v>
      </c>
    </row>
  </sheetData>
  <autoFilter ref="A1:C1" xr:uid="{5A83F120-5F4A-456C-819D-2372FC00CA70}">
    <sortState xmlns:xlrd2="http://schemas.microsoft.com/office/spreadsheetml/2017/richdata2" ref="A2:C111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9"/>
  <sheetViews>
    <sheetView workbookViewId="0">
      <pane ySplit="1" topLeftCell="A72" activePane="bottomLeft" state="frozen"/>
      <selection pane="bottomLeft" activeCell="H72" sqref="H72"/>
    </sheetView>
  </sheetViews>
  <sheetFormatPr defaultColWidth="9.140625" defaultRowHeight="15" outlineLevelCol="1"/>
  <cols>
    <col min="1" max="1" width="61.140625" style="7" bestFit="1" customWidth="1"/>
    <col min="2" max="2" width="8.28515625" style="8" customWidth="1" outlineLevel="1"/>
    <col min="3" max="5" width="9.140625" style="8" bestFit="1" customWidth="1" outlineLevel="1"/>
    <col min="6" max="6" width="9.140625" style="16" bestFit="1" customWidth="1" outlineLevel="1"/>
    <col min="7" max="7" width="17.85546875" style="7" bestFit="1" customWidth="1"/>
    <col min="8" max="8" width="42" style="164" customWidth="1" outlineLevel="1"/>
    <col min="9" max="9" width="12.28515625" style="164" customWidth="1" outlineLevel="1"/>
    <col min="10" max="10" width="87.28515625" style="164" bestFit="1" customWidth="1"/>
    <col min="11" max="11" width="19" customWidth="1" outlineLevel="1"/>
    <col min="12" max="12" width="17.140625" customWidth="1" outlineLevel="1"/>
    <col min="13" max="13" width="53.28515625" style="164" bestFit="1" customWidth="1"/>
  </cols>
  <sheetData>
    <row r="1" spans="1:14" ht="45">
      <c r="A1" s="7" t="s">
        <v>4038</v>
      </c>
      <c r="B1" s="8" t="s">
        <v>4039</v>
      </c>
      <c r="C1" s="8" t="s">
        <v>3809</v>
      </c>
      <c r="D1" s="8" t="s">
        <v>181</v>
      </c>
      <c r="E1" s="8" t="s">
        <v>288</v>
      </c>
      <c r="F1" s="8" t="s">
        <v>128</v>
      </c>
      <c r="G1" s="7" t="s">
        <v>2</v>
      </c>
      <c r="H1" s="8" t="s">
        <v>4040</v>
      </c>
      <c r="I1" s="8" t="s">
        <v>4041</v>
      </c>
      <c r="J1" s="8" t="s">
        <v>4042</v>
      </c>
      <c r="K1" s="208" t="s">
        <v>4043</v>
      </c>
      <c r="L1" s="211" t="s">
        <v>4044</v>
      </c>
      <c r="M1" s="8" t="s">
        <v>4045</v>
      </c>
      <c r="N1" s="8" t="s">
        <v>4046</v>
      </c>
    </row>
    <row r="2" spans="1:14">
      <c r="A2" s="9" t="s">
        <v>3877</v>
      </c>
      <c r="B2" s="10"/>
      <c r="F2" s="8" t="s">
        <v>3734</v>
      </c>
      <c r="H2" s="8" t="s">
        <v>268</v>
      </c>
      <c r="I2" s="8" t="s">
        <v>198</v>
      </c>
      <c r="J2" s="8" t="s">
        <v>198</v>
      </c>
      <c r="K2" s="8">
        <v>57</v>
      </c>
      <c r="L2" s="16">
        <v>62.7</v>
      </c>
      <c r="M2" s="8" t="s">
        <v>268</v>
      </c>
      <c r="N2" s="8" t="s">
        <v>268</v>
      </c>
    </row>
    <row r="3" spans="1:14">
      <c r="A3" s="9" t="s">
        <v>105</v>
      </c>
      <c r="B3" s="10"/>
      <c r="F3" s="8" t="s">
        <v>3734</v>
      </c>
      <c r="H3" s="8" t="s">
        <v>268</v>
      </c>
      <c r="I3" s="8"/>
      <c r="J3" s="8" t="s">
        <v>4047</v>
      </c>
      <c r="K3" s="8">
        <v>98</v>
      </c>
      <c r="L3" s="16">
        <v>107.8</v>
      </c>
      <c r="M3" s="8" t="s">
        <v>268</v>
      </c>
      <c r="N3" s="196" t="s">
        <v>268</v>
      </c>
    </row>
    <row r="4" spans="1:14">
      <c r="A4" s="9" t="s">
        <v>4005</v>
      </c>
      <c r="B4" s="10"/>
      <c r="F4" s="8" t="s">
        <v>3734</v>
      </c>
      <c r="H4" s="8" t="s">
        <v>268</v>
      </c>
      <c r="I4" s="8"/>
      <c r="J4" s="8" t="s">
        <v>4048</v>
      </c>
      <c r="K4" s="8">
        <v>88</v>
      </c>
      <c r="L4" s="16">
        <v>96.8</v>
      </c>
      <c r="M4" s="8" t="s">
        <v>268</v>
      </c>
      <c r="N4" s="8" t="s">
        <v>268</v>
      </c>
    </row>
    <row r="5" spans="1:14">
      <c r="A5" s="9" t="s">
        <v>3889</v>
      </c>
      <c r="B5" s="10"/>
      <c r="E5" s="8" t="s">
        <v>3734</v>
      </c>
      <c r="F5" s="8"/>
      <c r="H5" s="8" t="s">
        <v>268</v>
      </c>
      <c r="I5" s="8"/>
      <c r="J5" s="8" t="s">
        <v>268</v>
      </c>
      <c r="K5" s="8" t="s">
        <v>268</v>
      </c>
      <c r="L5" s="16" t="s">
        <v>268</v>
      </c>
      <c r="M5" s="8" t="s">
        <v>177</v>
      </c>
      <c r="N5" s="8">
        <v>114</v>
      </c>
    </row>
    <row r="6" spans="1:14">
      <c r="A6" s="9" t="s">
        <v>3865</v>
      </c>
      <c r="B6" s="10"/>
      <c r="F6" s="8" t="s">
        <v>4049</v>
      </c>
      <c r="H6" s="8" t="s">
        <v>268</v>
      </c>
      <c r="I6" s="8"/>
      <c r="J6" s="212" t="s">
        <v>4050</v>
      </c>
      <c r="K6" s="8" t="s">
        <v>268</v>
      </c>
      <c r="L6" s="16" t="s">
        <v>268</v>
      </c>
      <c r="M6" s="8" t="s">
        <v>268</v>
      </c>
      <c r="N6" s="8" t="s">
        <v>268</v>
      </c>
    </row>
    <row r="7" spans="1:14">
      <c r="A7" s="9" t="s">
        <v>135</v>
      </c>
      <c r="B7" s="10"/>
      <c r="F7" s="8" t="s">
        <v>3734</v>
      </c>
      <c r="H7" s="8" t="s">
        <v>268</v>
      </c>
      <c r="I7" s="8"/>
      <c r="J7" s="8" t="s">
        <v>4051</v>
      </c>
      <c r="K7" s="8">
        <v>100</v>
      </c>
      <c r="L7" s="16">
        <v>110</v>
      </c>
      <c r="M7" s="8" t="s">
        <v>268</v>
      </c>
      <c r="N7" s="8" t="s">
        <v>268</v>
      </c>
    </row>
    <row r="8" spans="1:14">
      <c r="A8" s="9" t="s">
        <v>141</v>
      </c>
      <c r="B8" s="10"/>
      <c r="F8" s="8" t="s">
        <v>3734</v>
      </c>
      <c r="H8" s="8" t="s">
        <v>268</v>
      </c>
      <c r="I8" s="8"/>
      <c r="J8" s="8" t="s">
        <v>4052</v>
      </c>
      <c r="K8" s="8">
        <v>114</v>
      </c>
      <c r="L8" s="16">
        <v>125.4</v>
      </c>
      <c r="M8" s="8" t="s">
        <v>268</v>
      </c>
      <c r="N8" s="8" t="s">
        <v>268</v>
      </c>
    </row>
    <row r="9" spans="1:14">
      <c r="A9" s="9" t="s">
        <v>3866</v>
      </c>
      <c r="B9" s="10"/>
      <c r="E9" s="8" t="s">
        <v>3734</v>
      </c>
      <c r="F9" s="8"/>
      <c r="H9" s="8" t="s">
        <v>268</v>
      </c>
      <c r="I9" s="8"/>
      <c r="J9" s="8" t="s">
        <v>268</v>
      </c>
      <c r="K9" s="8" t="s">
        <v>268</v>
      </c>
      <c r="L9" s="16" t="s">
        <v>268</v>
      </c>
      <c r="M9" s="8" t="s">
        <v>4053</v>
      </c>
      <c r="N9" s="8">
        <v>90</v>
      </c>
    </row>
    <row r="10" spans="1:14">
      <c r="A10" s="9" t="s">
        <v>145</v>
      </c>
      <c r="B10" s="10"/>
      <c r="C10" s="8" t="s">
        <v>3734</v>
      </c>
      <c r="F10" s="8"/>
      <c r="H10" s="8" t="s">
        <v>268</v>
      </c>
      <c r="I10" s="8"/>
      <c r="J10" s="8" t="s">
        <v>268</v>
      </c>
      <c r="K10" s="8" t="s">
        <v>268</v>
      </c>
      <c r="L10" s="16" t="s">
        <v>268</v>
      </c>
      <c r="M10" s="8" t="s">
        <v>268</v>
      </c>
      <c r="N10" s="8" t="s">
        <v>268</v>
      </c>
    </row>
    <row r="11" spans="1:14">
      <c r="A11" s="9" t="s">
        <v>3810</v>
      </c>
      <c r="B11" s="10"/>
      <c r="F11" s="8" t="s">
        <v>3734</v>
      </c>
      <c r="H11" s="8" t="s">
        <v>268</v>
      </c>
      <c r="I11" s="8"/>
      <c r="J11" s="8" t="s">
        <v>4054</v>
      </c>
      <c r="K11" s="8">
        <v>114</v>
      </c>
      <c r="L11" s="16">
        <v>125.4</v>
      </c>
      <c r="M11" s="8" t="s">
        <v>268</v>
      </c>
      <c r="N11" s="8" t="s">
        <v>268</v>
      </c>
    </row>
    <row r="12" spans="1:14">
      <c r="A12" s="9" t="s">
        <v>3811</v>
      </c>
      <c r="B12" s="10"/>
      <c r="C12" s="8" t="s">
        <v>3734</v>
      </c>
      <c r="F12" s="8"/>
      <c r="H12" s="8" t="s">
        <v>268</v>
      </c>
      <c r="I12" s="8"/>
      <c r="J12" s="8" t="s">
        <v>268</v>
      </c>
      <c r="K12" s="8" t="s">
        <v>268</v>
      </c>
      <c r="L12" s="16" t="s">
        <v>268</v>
      </c>
      <c r="M12" s="8" t="s">
        <v>268</v>
      </c>
      <c r="N12" s="8" t="s">
        <v>268</v>
      </c>
    </row>
    <row r="13" spans="1:14">
      <c r="A13" s="9" t="s">
        <v>3890</v>
      </c>
      <c r="B13" s="10"/>
      <c r="F13" s="8" t="s">
        <v>3734</v>
      </c>
      <c r="H13" s="8" t="s">
        <v>268</v>
      </c>
      <c r="I13" s="8"/>
      <c r="J13" s="8" t="s">
        <v>4055</v>
      </c>
      <c r="K13" s="8">
        <v>1065.5</v>
      </c>
      <c r="L13" s="16">
        <v>1172.05</v>
      </c>
      <c r="M13" s="8" t="s">
        <v>268</v>
      </c>
      <c r="N13" s="8" t="s">
        <v>268</v>
      </c>
    </row>
    <row r="14" spans="1:14">
      <c r="A14" s="9" t="s">
        <v>160</v>
      </c>
      <c r="B14" s="10"/>
      <c r="F14" s="8"/>
      <c r="H14" s="8" t="s">
        <v>268</v>
      </c>
      <c r="I14" s="8"/>
      <c r="J14" s="8" t="s">
        <v>268</v>
      </c>
      <c r="K14" s="8" t="s">
        <v>268</v>
      </c>
      <c r="L14" s="16" t="s">
        <v>268</v>
      </c>
      <c r="M14" s="8" t="s">
        <v>268</v>
      </c>
      <c r="N14" s="8" t="s">
        <v>268</v>
      </c>
    </row>
    <row r="15" spans="1:14">
      <c r="A15" s="9" t="s">
        <v>163</v>
      </c>
      <c r="B15" s="10"/>
      <c r="F15" s="8" t="s">
        <v>3734</v>
      </c>
      <c r="H15" s="8" t="s">
        <v>268</v>
      </c>
      <c r="I15" s="8"/>
      <c r="J15" s="8" t="s">
        <v>4056</v>
      </c>
      <c r="K15" s="8">
        <v>104.5</v>
      </c>
      <c r="L15" s="16">
        <v>114.95</v>
      </c>
      <c r="M15" s="8" t="s">
        <v>268</v>
      </c>
      <c r="N15" s="8" t="s">
        <v>268</v>
      </c>
    </row>
    <row r="16" spans="1:14">
      <c r="A16" s="9" t="s">
        <v>3733</v>
      </c>
      <c r="B16" s="10"/>
      <c r="D16" s="8" t="s">
        <v>3734</v>
      </c>
      <c r="F16" s="8"/>
      <c r="G16" s="7" t="s">
        <v>16</v>
      </c>
      <c r="H16" s="8" t="s">
        <v>169</v>
      </c>
      <c r="I16" s="8"/>
      <c r="J16" s="8" t="s">
        <v>268</v>
      </c>
      <c r="K16" s="8" t="s">
        <v>268</v>
      </c>
      <c r="L16" s="16" t="s">
        <v>268</v>
      </c>
      <c r="M16" s="8" t="s">
        <v>268</v>
      </c>
      <c r="N16" s="8" t="s">
        <v>268</v>
      </c>
    </row>
    <row r="17" spans="1:14">
      <c r="A17" s="9" t="s">
        <v>3812</v>
      </c>
      <c r="B17" s="10"/>
      <c r="C17" s="8" t="s">
        <v>3734</v>
      </c>
      <c r="F17" s="8"/>
      <c r="H17" s="8" t="s">
        <v>268</v>
      </c>
      <c r="I17" s="8"/>
      <c r="J17" s="8" t="s">
        <v>268</v>
      </c>
      <c r="K17" s="8" t="s">
        <v>268</v>
      </c>
      <c r="L17" s="16" t="s">
        <v>268</v>
      </c>
      <c r="M17" s="8" t="s">
        <v>268</v>
      </c>
      <c r="N17" s="8" t="s">
        <v>268</v>
      </c>
    </row>
    <row r="18" spans="1:14">
      <c r="A18" s="9" t="s">
        <v>4057</v>
      </c>
      <c r="B18" s="10"/>
      <c r="F18" s="8"/>
      <c r="H18" s="8" t="s">
        <v>268</v>
      </c>
      <c r="I18" s="8"/>
      <c r="J18" s="8" t="s">
        <v>268</v>
      </c>
      <c r="K18" s="8" t="s">
        <v>268</v>
      </c>
      <c r="L18" s="16" t="s">
        <v>268</v>
      </c>
      <c r="M18" s="8" t="s">
        <v>268</v>
      </c>
      <c r="N18" s="8" t="s">
        <v>268</v>
      </c>
    </row>
    <row r="19" spans="1:14">
      <c r="A19" s="9" t="s">
        <v>188</v>
      </c>
      <c r="B19" s="10"/>
      <c r="F19" s="8" t="s">
        <v>3734</v>
      </c>
      <c r="H19" s="8" t="s">
        <v>268</v>
      </c>
      <c r="I19" s="8"/>
      <c r="J19" s="8" t="s">
        <v>4058</v>
      </c>
      <c r="K19" s="8">
        <v>98</v>
      </c>
      <c r="L19" s="16">
        <v>107.8</v>
      </c>
      <c r="M19" s="8" t="s">
        <v>268</v>
      </c>
      <c r="N19" s="8" t="s">
        <v>268</v>
      </c>
    </row>
    <row r="20" spans="1:14">
      <c r="A20" s="9" t="s">
        <v>192</v>
      </c>
      <c r="B20" s="10"/>
      <c r="F20" s="8"/>
      <c r="H20" s="8" t="s">
        <v>268</v>
      </c>
      <c r="I20" s="8"/>
      <c r="J20" s="8" t="s">
        <v>268</v>
      </c>
      <c r="K20" s="8" t="s">
        <v>268</v>
      </c>
      <c r="L20" s="16" t="s">
        <v>268</v>
      </c>
      <c r="M20" s="8" t="s">
        <v>268</v>
      </c>
      <c r="N20" s="8" t="s">
        <v>268</v>
      </c>
    </row>
    <row r="21" spans="1:14">
      <c r="A21" s="9" t="s">
        <v>4059</v>
      </c>
      <c r="F21" s="8"/>
      <c r="H21" s="8" t="s">
        <v>268</v>
      </c>
      <c r="I21" s="8"/>
      <c r="J21" s="8" t="s">
        <v>268</v>
      </c>
      <c r="K21" s="8" t="s">
        <v>268</v>
      </c>
      <c r="L21" s="16" t="s">
        <v>268</v>
      </c>
      <c r="M21" s="8" t="s">
        <v>268</v>
      </c>
      <c r="N21" s="8" t="s">
        <v>268</v>
      </c>
    </row>
    <row r="22" spans="1:14">
      <c r="A22" s="9" t="s">
        <v>3813</v>
      </c>
      <c r="B22" s="10"/>
      <c r="F22" s="8" t="s">
        <v>3734</v>
      </c>
      <c r="H22" s="8" t="s">
        <v>268</v>
      </c>
      <c r="I22" s="8"/>
      <c r="J22" s="8" t="s">
        <v>4060</v>
      </c>
      <c r="K22" s="8">
        <v>98</v>
      </c>
      <c r="L22" s="16">
        <v>107.8</v>
      </c>
      <c r="M22" s="8" t="s">
        <v>268</v>
      </c>
      <c r="N22" s="8" t="s">
        <v>268</v>
      </c>
    </row>
    <row r="23" spans="1:14">
      <c r="A23" s="9" t="s">
        <v>209</v>
      </c>
      <c r="B23" s="10"/>
      <c r="C23" s="8" t="s">
        <v>3734</v>
      </c>
      <c r="F23" s="8"/>
      <c r="H23" s="8" t="s">
        <v>268</v>
      </c>
      <c r="I23" s="8"/>
      <c r="J23" s="8" t="s">
        <v>268</v>
      </c>
      <c r="K23" s="8" t="s">
        <v>268</v>
      </c>
      <c r="L23" s="16" t="s">
        <v>268</v>
      </c>
      <c r="M23" s="8" t="s">
        <v>268</v>
      </c>
      <c r="N23" s="8" t="s">
        <v>268</v>
      </c>
    </row>
    <row r="24" spans="1:14">
      <c r="A24" s="9" t="s">
        <v>3814</v>
      </c>
      <c r="B24" s="10"/>
      <c r="C24" s="8" t="s">
        <v>3734</v>
      </c>
      <c r="F24" s="8"/>
      <c r="H24" s="8" t="s">
        <v>268</v>
      </c>
      <c r="I24" s="8"/>
      <c r="J24" s="8" t="s">
        <v>268</v>
      </c>
      <c r="K24" s="8" t="s">
        <v>268</v>
      </c>
      <c r="L24" s="16" t="s">
        <v>268</v>
      </c>
      <c r="M24" s="8" t="s">
        <v>268</v>
      </c>
      <c r="N24" s="8" t="s">
        <v>268</v>
      </c>
    </row>
    <row r="25" spans="1:14">
      <c r="A25" s="9" t="s">
        <v>4061</v>
      </c>
      <c r="B25" s="10"/>
      <c r="F25" s="8"/>
      <c r="H25" s="8" t="s">
        <v>268</v>
      </c>
      <c r="I25" s="8"/>
      <c r="J25" s="8" t="s">
        <v>268</v>
      </c>
      <c r="K25" s="8" t="s">
        <v>268</v>
      </c>
      <c r="L25" s="16" t="s">
        <v>268</v>
      </c>
      <c r="M25" s="8" t="s">
        <v>268</v>
      </c>
      <c r="N25" s="8" t="s">
        <v>268</v>
      </c>
    </row>
    <row r="26" spans="1:14">
      <c r="A26" s="9" t="s">
        <v>3737</v>
      </c>
      <c r="B26" s="10"/>
      <c r="D26" s="8" t="s">
        <v>3734</v>
      </c>
      <c r="F26" s="8"/>
      <c r="H26" s="8" t="s">
        <v>268</v>
      </c>
      <c r="I26" s="8"/>
      <c r="J26" s="8" t="s">
        <v>268</v>
      </c>
      <c r="K26" s="8" t="s">
        <v>268</v>
      </c>
      <c r="L26" s="16" t="s">
        <v>268</v>
      </c>
      <c r="M26" s="8" t="s">
        <v>268</v>
      </c>
      <c r="N26" s="8" t="s">
        <v>268</v>
      </c>
    </row>
    <row r="27" spans="1:14">
      <c r="A27" s="9" t="s">
        <v>3738</v>
      </c>
      <c r="B27" s="10"/>
      <c r="D27" s="8" t="s">
        <v>3734</v>
      </c>
      <c r="F27" s="8"/>
      <c r="H27" s="8" t="s">
        <v>268</v>
      </c>
      <c r="I27" s="8"/>
      <c r="J27" s="8" t="s">
        <v>268</v>
      </c>
      <c r="K27" s="8" t="s">
        <v>268</v>
      </c>
      <c r="L27" s="16" t="s">
        <v>268</v>
      </c>
      <c r="M27" s="8" t="s">
        <v>268</v>
      </c>
      <c r="N27" s="8" t="s">
        <v>268</v>
      </c>
    </row>
    <row r="28" spans="1:14">
      <c r="A28" s="9" t="s">
        <v>4008</v>
      </c>
      <c r="B28" s="10"/>
      <c r="F28" s="8" t="s">
        <v>3734</v>
      </c>
      <c r="H28" s="8" t="s">
        <v>268</v>
      </c>
      <c r="I28" s="8"/>
      <c r="J28" s="212" t="s">
        <v>4050</v>
      </c>
      <c r="K28" s="8" t="s">
        <v>268</v>
      </c>
      <c r="L28" s="16" t="s">
        <v>268</v>
      </c>
      <c r="M28" s="8" t="s">
        <v>268</v>
      </c>
      <c r="N28" s="8" t="s">
        <v>268</v>
      </c>
    </row>
    <row r="29" spans="1:14">
      <c r="A29" s="9" t="s">
        <v>4062</v>
      </c>
      <c r="B29" s="10"/>
      <c r="F29" s="8"/>
      <c r="H29" s="8" t="s">
        <v>268</v>
      </c>
      <c r="I29" s="8"/>
      <c r="J29" s="8" t="s">
        <v>268</v>
      </c>
      <c r="K29" s="8" t="s">
        <v>268</v>
      </c>
      <c r="L29" s="16" t="s">
        <v>268</v>
      </c>
      <c r="M29" s="8" t="s">
        <v>268</v>
      </c>
      <c r="N29" s="8" t="s">
        <v>268</v>
      </c>
    </row>
    <row r="30" spans="1:14">
      <c r="A30" s="9" t="s">
        <v>425</v>
      </c>
      <c r="B30" s="10"/>
      <c r="F30" s="8" t="s">
        <v>3734</v>
      </c>
      <c r="H30" s="8" t="s">
        <v>268</v>
      </c>
      <c r="I30" s="8"/>
      <c r="J30" s="8" t="s">
        <v>4063</v>
      </c>
      <c r="K30" s="8">
        <v>150</v>
      </c>
      <c r="L30" s="16">
        <v>165</v>
      </c>
      <c r="M30" s="8" t="s">
        <v>268</v>
      </c>
      <c r="N30" s="8" t="s">
        <v>268</v>
      </c>
    </row>
    <row r="31" spans="1:14">
      <c r="A31" s="9" t="s">
        <v>444</v>
      </c>
      <c r="B31" s="10"/>
      <c r="F31" s="8" t="s">
        <v>3734</v>
      </c>
      <c r="G31" s="7" t="s">
        <v>16</v>
      </c>
      <c r="H31" s="8" t="s">
        <v>169</v>
      </c>
      <c r="I31" s="8"/>
      <c r="J31" s="8" t="s">
        <v>4064</v>
      </c>
      <c r="K31" s="8">
        <v>99.72</v>
      </c>
      <c r="L31" s="16">
        <v>109.69</v>
      </c>
      <c r="M31" s="8" t="s">
        <v>268</v>
      </c>
      <c r="N31" s="8" t="s">
        <v>268</v>
      </c>
    </row>
    <row r="32" spans="1:14">
      <c r="A32" s="9" t="s">
        <v>3740</v>
      </c>
      <c r="B32" s="10"/>
      <c r="D32" s="8" t="s">
        <v>3734</v>
      </c>
      <c r="F32" s="8"/>
      <c r="H32" s="8" t="s">
        <v>268</v>
      </c>
      <c r="I32" s="8"/>
      <c r="J32" s="8" t="s">
        <v>268</v>
      </c>
      <c r="K32" s="8" t="s">
        <v>268</v>
      </c>
      <c r="L32" s="16" t="s">
        <v>268</v>
      </c>
      <c r="M32" s="8" t="s">
        <v>268</v>
      </c>
      <c r="N32" s="8" t="s">
        <v>268</v>
      </c>
    </row>
    <row r="33" spans="1:14">
      <c r="A33" s="9" t="s">
        <v>3848</v>
      </c>
      <c r="B33" s="10"/>
      <c r="E33" s="8" t="s">
        <v>3734</v>
      </c>
      <c r="F33" s="8"/>
      <c r="H33" s="8" t="s">
        <v>268</v>
      </c>
      <c r="I33" s="8"/>
      <c r="J33" s="8" t="s">
        <v>268</v>
      </c>
      <c r="K33" s="8" t="s">
        <v>268</v>
      </c>
      <c r="L33" s="16" t="s">
        <v>268</v>
      </c>
      <c r="M33" s="8" t="s">
        <v>268</v>
      </c>
      <c r="N33" s="8" t="s">
        <v>268</v>
      </c>
    </row>
    <row r="34" spans="1:14">
      <c r="A34" s="9" t="s">
        <v>230</v>
      </c>
      <c r="B34" s="10"/>
      <c r="C34" s="8" t="s">
        <v>3734</v>
      </c>
      <c r="F34" s="8"/>
      <c r="H34" s="8" t="s">
        <v>268</v>
      </c>
      <c r="I34" s="8"/>
      <c r="J34" s="8" t="s">
        <v>268</v>
      </c>
      <c r="K34" s="8" t="s">
        <v>268</v>
      </c>
      <c r="L34" s="16" t="s">
        <v>268</v>
      </c>
      <c r="M34" s="8" t="s">
        <v>268</v>
      </c>
      <c r="N34" s="8" t="s">
        <v>268</v>
      </c>
    </row>
    <row r="35" spans="1:14">
      <c r="A35" s="9" t="s">
        <v>233</v>
      </c>
      <c r="B35" s="10"/>
      <c r="D35" s="8" t="s">
        <v>3734</v>
      </c>
      <c r="F35" s="8"/>
      <c r="H35" s="8" t="s">
        <v>268</v>
      </c>
      <c r="I35" s="8"/>
      <c r="J35" s="8" t="s">
        <v>268</v>
      </c>
      <c r="K35" s="8" t="s">
        <v>268</v>
      </c>
      <c r="L35" s="16" t="s">
        <v>268</v>
      </c>
      <c r="M35" s="8" t="s">
        <v>268</v>
      </c>
      <c r="N35" s="8" t="s">
        <v>268</v>
      </c>
    </row>
    <row r="36" spans="1:14">
      <c r="A36" s="9" t="s">
        <v>3815</v>
      </c>
      <c r="B36" s="10"/>
      <c r="C36" s="8" t="s">
        <v>3734</v>
      </c>
      <c r="F36" s="8"/>
      <c r="H36" s="8" t="s">
        <v>268</v>
      </c>
      <c r="I36" s="8"/>
      <c r="J36" s="8" t="s">
        <v>268</v>
      </c>
      <c r="K36" s="8" t="s">
        <v>268</v>
      </c>
      <c r="L36" s="16" t="s">
        <v>268</v>
      </c>
      <c r="M36" s="8" t="s">
        <v>268</v>
      </c>
      <c r="N36" s="8" t="s">
        <v>268</v>
      </c>
    </row>
    <row r="37" spans="1:14">
      <c r="A37" s="9" t="s">
        <v>4065</v>
      </c>
      <c r="B37" s="10"/>
      <c r="F37" s="8" t="s">
        <v>3734</v>
      </c>
      <c r="H37" s="8" t="s">
        <v>268</v>
      </c>
      <c r="I37" s="8"/>
      <c r="J37" s="8" t="s">
        <v>4066</v>
      </c>
      <c r="K37" s="8">
        <v>449</v>
      </c>
      <c r="L37" s="16">
        <v>493.9</v>
      </c>
      <c r="M37" s="8" t="s">
        <v>268</v>
      </c>
      <c r="N37" s="8" t="s">
        <v>268</v>
      </c>
    </row>
    <row r="38" spans="1:14">
      <c r="A38" s="9" t="s">
        <v>252</v>
      </c>
      <c r="B38" s="10"/>
      <c r="F38" s="8"/>
      <c r="H38" s="8" t="s">
        <v>268</v>
      </c>
      <c r="I38" s="8"/>
      <c r="J38" s="8" t="s">
        <v>268</v>
      </c>
      <c r="K38" s="8" t="s">
        <v>268</v>
      </c>
      <c r="L38" s="16" t="s">
        <v>268</v>
      </c>
      <c r="M38" s="8" t="s">
        <v>268</v>
      </c>
      <c r="N38" s="8" t="s">
        <v>268</v>
      </c>
    </row>
    <row r="39" spans="1:14">
      <c r="A39" s="9" t="s">
        <v>3816</v>
      </c>
      <c r="B39" s="10"/>
      <c r="C39" s="8" t="s">
        <v>3734</v>
      </c>
      <c r="F39" s="8"/>
      <c r="H39" s="8" t="s">
        <v>268</v>
      </c>
      <c r="I39" s="8"/>
      <c r="J39" s="8" t="s">
        <v>268</v>
      </c>
      <c r="K39" s="8" t="s">
        <v>268</v>
      </c>
      <c r="L39" s="16" t="s">
        <v>268</v>
      </c>
      <c r="M39" s="8" t="s">
        <v>268</v>
      </c>
      <c r="N39" s="8" t="s">
        <v>268</v>
      </c>
    </row>
    <row r="40" spans="1:14">
      <c r="A40" s="246" t="s">
        <v>1773</v>
      </c>
      <c r="B40" s="240"/>
      <c r="C40" s="247"/>
      <c r="D40" s="247"/>
      <c r="E40" s="247"/>
      <c r="F40" s="247"/>
      <c r="G40" s="240" t="s">
        <v>16</v>
      </c>
      <c r="H40" s="8" t="s">
        <v>169</v>
      </c>
      <c r="I40" s="8" t="s">
        <v>4067</v>
      </c>
      <c r="J40" s="8" t="s">
        <v>268</v>
      </c>
      <c r="K40" s="8" t="s">
        <v>268</v>
      </c>
      <c r="L40" s="16" t="s">
        <v>268</v>
      </c>
      <c r="M40" s="8" t="s">
        <v>268</v>
      </c>
      <c r="N40" s="8" t="s">
        <v>268</v>
      </c>
    </row>
    <row r="41" spans="1:14">
      <c r="A41" s="246"/>
      <c r="B41" s="240"/>
      <c r="C41" s="247"/>
      <c r="D41" s="247"/>
      <c r="E41" s="247"/>
      <c r="F41" s="247"/>
      <c r="G41" s="240"/>
      <c r="H41" s="8" t="s">
        <v>170</v>
      </c>
      <c r="I41" s="8" t="s">
        <v>4067</v>
      </c>
      <c r="J41" s="8" t="s">
        <v>268</v>
      </c>
      <c r="K41" s="8" t="s">
        <v>268</v>
      </c>
      <c r="L41" s="16" t="s">
        <v>268</v>
      </c>
      <c r="M41" s="8" t="s">
        <v>268</v>
      </c>
      <c r="N41" s="8" t="s">
        <v>268</v>
      </c>
    </row>
    <row r="42" spans="1:14">
      <c r="A42" s="246"/>
      <c r="B42" s="240"/>
      <c r="C42" s="247"/>
      <c r="D42" s="247"/>
      <c r="E42" s="247"/>
      <c r="F42" s="247"/>
      <c r="G42" s="240"/>
      <c r="H42" s="8" t="s">
        <v>281</v>
      </c>
      <c r="I42" s="8" t="s">
        <v>4067</v>
      </c>
      <c r="J42" s="8" t="s">
        <v>268</v>
      </c>
      <c r="K42" s="8" t="s">
        <v>268</v>
      </c>
      <c r="L42" s="16" t="s">
        <v>268</v>
      </c>
      <c r="M42" s="8" t="s">
        <v>268</v>
      </c>
      <c r="N42" s="8" t="s">
        <v>268</v>
      </c>
    </row>
    <row r="43" spans="1:14">
      <c r="A43" s="9" t="s">
        <v>3997</v>
      </c>
      <c r="B43" s="10"/>
      <c r="E43" s="8" t="s">
        <v>3734</v>
      </c>
      <c r="F43" s="8"/>
      <c r="H43" s="8" t="s">
        <v>268</v>
      </c>
      <c r="I43" s="8"/>
      <c r="J43" s="8" t="s">
        <v>268</v>
      </c>
      <c r="K43" s="8" t="s">
        <v>268</v>
      </c>
      <c r="L43" s="16" t="s">
        <v>268</v>
      </c>
      <c r="M43" s="8" t="s">
        <v>4068</v>
      </c>
      <c r="N43" s="8">
        <v>127.27</v>
      </c>
    </row>
    <row r="44" spans="1:14">
      <c r="A44" s="9" t="s">
        <v>283</v>
      </c>
      <c r="B44" s="10"/>
      <c r="E44" s="8" t="s">
        <v>3734</v>
      </c>
      <c r="F44" s="8"/>
      <c r="H44" s="8" t="s">
        <v>268</v>
      </c>
      <c r="I44" s="8"/>
      <c r="J44" s="8" t="s">
        <v>268</v>
      </c>
      <c r="K44" s="8" t="s">
        <v>268</v>
      </c>
      <c r="L44" s="16" t="s">
        <v>268</v>
      </c>
      <c r="M44" s="8" t="s">
        <v>4069</v>
      </c>
      <c r="N44" s="8">
        <v>140</v>
      </c>
    </row>
    <row r="45" spans="1:14">
      <c r="A45" s="9" t="s">
        <v>3817</v>
      </c>
      <c r="B45" s="10"/>
      <c r="F45" s="8" t="s">
        <v>3734</v>
      </c>
      <c r="H45" s="8" t="s">
        <v>268</v>
      </c>
      <c r="I45" s="8"/>
      <c r="J45" s="212" t="s">
        <v>4050</v>
      </c>
      <c r="K45" s="8" t="s">
        <v>268</v>
      </c>
      <c r="L45" s="16" t="s">
        <v>268</v>
      </c>
      <c r="M45" s="8" t="s">
        <v>268</v>
      </c>
      <c r="N45" s="8" t="s">
        <v>268</v>
      </c>
    </row>
    <row r="46" spans="1:14">
      <c r="A46" s="9" t="s">
        <v>64</v>
      </c>
      <c r="B46" s="10"/>
      <c r="F46" s="8" t="s">
        <v>3734</v>
      </c>
      <c r="H46" s="8" t="s">
        <v>268</v>
      </c>
      <c r="I46" s="8"/>
      <c r="J46" s="212" t="s">
        <v>4050</v>
      </c>
      <c r="K46" s="8" t="s">
        <v>268</v>
      </c>
      <c r="L46" s="16" t="s">
        <v>268</v>
      </c>
      <c r="M46" s="8" t="s">
        <v>268</v>
      </c>
      <c r="N46" s="8" t="s">
        <v>268</v>
      </c>
    </row>
    <row r="47" spans="1:14">
      <c r="A47" s="9" t="s">
        <v>4070</v>
      </c>
      <c r="B47" s="10"/>
      <c r="F47" s="8"/>
      <c r="H47" s="8" t="s">
        <v>268</v>
      </c>
      <c r="I47" s="8"/>
      <c r="J47" s="8" t="s">
        <v>268</v>
      </c>
      <c r="K47" s="8" t="s">
        <v>268</v>
      </c>
      <c r="L47" s="16" t="s">
        <v>268</v>
      </c>
      <c r="M47" s="8" t="s">
        <v>268</v>
      </c>
      <c r="N47" s="8" t="s">
        <v>268</v>
      </c>
    </row>
    <row r="48" spans="1:14">
      <c r="A48" s="9" t="s">
        <v>3743</v>
      </c>
      <c r="B48" s="10"/>
      <c r="D48" s="8" t="s">
        <v>3734</v>
      </c>
      <c r="F48" s="8"/>
      <c r="H48" s="8" t="s">
        <v>268</v>
      </c>
      <c r="I48" s="8"/>
      <c r="J48" s="8" t="s">
        <v>268</v>
      </c>
      <c r="K48" s="8" t="s">
        <v>268</v>
      </c>
      <c r="L48" s="16" t="s">
        <v>268</v>
      </c>
      <c r="M48" s="8" t="s">
        <v>268</v>
      </c>
      <c r="N48" s="8" t="s">
        <v>268</v>
      </c>
    </row>
    <row r="49" spans="1:14">
      <c r="A49" s="11" t="s">
        <v>307</v>
      </c>
      <c r="B49" s="12"/>
      <c r="C49" s="13"/>
      <c r="D49" s="13"/>
      <c r="E49" s="13"/>
      <c r="F49" s="13" t="s">
        <v>3734</v>
      </c>
      <c r="G49" s="15" t="s">
        <v>4071</v>
      </c>
      <c r="H49" s="8" t="s">
        <v>268</v>
      </c>
      <c r="I49" s="8"/>
      <c r="J49" s="8" t="s">
        <v>268</v>
      </c>
      <c r="K49" s="8" t="s">
        <v>268</v>
      </c>
      <c r="L49" s="16" t="s">
        <v>268</v>
      </c>
      <c r="M49" s="8" t="s">
        <v>268</v>
      </c>
      <c r="N49" s="8" t="s">
        <v>268</v>
      </c>
    </row>
    <row r="50" spans="1:14">
      <c r="A50" s="9" t="s">
        <v>3891</v>
      </c>
      <c r="B50" s="10"/>
      <c r="E50" s="8" t="s">
        <v>3734</v>
      </c>
      <c r="F50" s="8"/>
      <c r="H50" s="8" t="s">
        <v>268</v>
      </c>
      <c r="I50" s="8"/>
      <c r="J50" s="8" t="s">
        <v>268</v>
      </c>
      <c r="K50" s="8" t="s">
        <v>268</v>
      </c>
      <c r="L50" s="16" t="s">
        <v>268</v>
      </c>
      <c r="M50" s="8" t="s">
        <v>268</v>
      </c>
      <c r="N50" s="8" t="s">
        <v>268</v>
      </c>
    </row>
    <row r="51" spans="1:14">
      <c r="A51" s="9" t="s">
        <v>3744</v>
      </c>
      <c r="B51" s="10"/>
      <c r="D51" s="8" t="s">
        <v>3734</v>
      </c>
      <c r="F51" s="8"/>
      <c r="G51" s="7" t="s">
        <v>16</v>
      </c>
      <c r="H51" s="8" t="s">
        <v>169</v>
      </c>
      <c r="I51" s="8"/>
      <c r="J51" s="8" t="s">
        <v>268</v>
      </c>
      <c r="K51" s="8" t="s">
        <v>268</v>
      </c>
      <c r="L51" s="16" t="s">
        <v>268</v>
      </c>
      <c r="M51" s="8" t="s">
        <v>268</v>
      </c>
      <c r="N51" s="8" t="s">
        <v>268</v>
      </c>
    </row>
    <row r="52" spans="1:14">
      <c r="A52" s="9" t="s">
        <v>4013</v>
      </c>
      <c r="B52" s="10"/>
      <c r="F52" s="8" t="s">
        <v>3734</v>
      </c>
      <c r="H52" s="8" t="s">
        <v>268</v>
      </c>
      <c r="I52" s="8"/>
      <c r="J52" s="8" t="s">
        <v>4072</v>
      </c>
      <c r="K52" s="8">
        <v>115.45</v>
      </c>
      <c r="L52" s="16">
        <v>127</v>
      </c>
      <c r="M52" s="8" t="s">
        <v>268</v>
      </c>
      <c r="N52" s="8" t="s">
        <v>268</v>
      </c>
    </row>
    <row r="53" spans="1:14">
      <c r="A53" s="9" t="s">
        <v>320</v>
      </c>
      <c r="B53" s="10"/>
      <c r="F53" s="8" t="s">
        <v>3734</v>
      </c>
      <c r="H53" s="8" t="s">
        <v>268</v>
      </c>
      <c r="I53" s="8"/>
      <c r="J53" s="8" t="s">
        <v>4073</v>
      </c>
      <c r="K53" s="8">
        <v>82.73</v>
      </c>
      <c r="L53" s="16">
        <v>91</v>
      </c>
      <c r="M53" s="8" t="s">
        <v>268</v>
      </c>
      <c r="N53" s="8" t="s">
        <v>268</v>
      </c>
    </row>
    <row r="54" spans="1:14">
      <c r="A54" s="9" t="s">
        <v>324</v>
      </c>
      <c r="B54" s="10"/>
      <c r="F54" s="8" t="s">
        <v>3734</v>
      </c>
      <c r="H54" s="8" t="s">
        <v>268</v>
      </c>
      <c r="I54" s="8"/>
      <c r="J54" s="8" t="s">
        <v>4074</v>
      </c>
      <c r="K54" s="8">
        <v>114</v>
      </c>
      <c r="L54" s="16">
        <v>125.4</v>
      </c>
      <c r="M54" s="8" t="s">
        <v>268</v>
      </c>
      <c r="N54" s="8" t="s">
        <v>268</v>
      </c>
    </row>
    <row r="55" spans="1:14">
      <c r="A55" s="9" t="s">
        <v>1779</v>
      </c>
      <c r="B55" s="10"/>
      <c r="D55" s="8" t="s">
        <v>3734</v>
      </c>
      <c r="F55" s="8"/>
      <c r="G55" s="7" t="s">
        <v>16</v>
      </c>
      <c r="H55" s="8" t="s">
        <v>169</v>
      </c>
      <c r="I55" s="8"/>
      <c r="J55" s="8" t="s">
        <v>268</v>
      </c>
      <c r="K55" s="8" t="s">
        <v>268</v>
      </c>
      <c r="L55" s="16" t="s">
        <v>268</v>
      </c>
      <c r="M55" s="8" t="s">
        <v>268</v>
      </c>
      <c r="N55" s="8" t="s">
        <v>268</v>
      </c>
    </row>
    <row r="56" spans="1:14">
      <c r="A56" s="9" t="s">
        <v>4014</v>
      </c>
      <c r="B56" s="10"/>
      <c r="F56" s="8" t="s">
        <v>3734</v>
      </c>
      <c r="H56" s="8" t="s">
        <v>268</v>
      </c>
      <c r="I56" s="8"/>
      <c r="J56" s="8" t="s">
        <v>4075</v>
      </c>
      <c r="K56" s="8">
        <v>116.66</v>
      </c>
      <c r="L56" s="16">
        <v>128.33000000000001</v>
      </c>
      <c r="M56" s="8" t="s">
        <v>268</v>
      </c>
      <c r="N56" s="8" t="s">
        <v>268</v>
      </c>
    </row>
    <row r="57" spans="1:14">
      <c r="A57" s="9" t="s">
        <v>3745</v>
      </c>
      <c r="B57" s="10"/>
      <c r="D57" s="8" t="s">
        <v>3734</v>
      </c>
      <c r="F57" s="8"/>
      <c r="H57" s="8" t="s">
        <v>268</v>
      </c>
      <c r="I57" s="8"/>
      <c r="J57" s="8" t="s">
        <v>268</v>
      </c>
      <c r="K57" s="8" t="s">
        <v>268</v>
      </c>
      <c r="L57" s="16" t="s">
        <v>268</v>
      </c>
      <c r="M57" s="8" t="s">
        <v>268</v>
      </c>
      <c r="N57" s="8" t="s">
        <v>268</v>
      </c>
    </row>
    <row r="58" spans="1:14">
      <c r="A58" s="9" t="s">
        <v>4076</v>
      </c>
      <c r="B58" s="10"/>
      <c r="F58" s="8"/>
      <c r="H58" s="8" t="s">
        <v>268</v>
      </c>
      <c r="I58" s="8"/>
      <c r="J58" s="8" t="s">
        <v>268</v>
      </c>
      <c r="K58" s="8" t="s">
        <v>268</v>
      </c>
      <c r="L58" s="16" t="s">
        <v>268</v>
      </c>
      <c r="M58" s="8" t="s">
        <v>268</v>
      </c>
      <c r="N58" s="8" t="s">
        <v>268</v>
      </c>
    </row>
    <row r="59" spans="1:14">
      <c r="A59" s="9" t="s">
        <v>3746</v>
      </c>
      <c r="B59" s="10"/>
      <c r="D59" s="8" t="s">
        <v>3734</v>
      </c>
      <c r="F59" s="8"/>
      <c r="G59" s="7" t="s">
        <v>16</v>
      </c>
      <c r="H59" s="8" t="s">
        <v>169</v>
      </c>
      <c r="I59" s="8"/>
      <c r="J59" s="8" t="s">
        <v>268</v>
      </c>
      <c r="K59" s="8" t="s">
        <v>268</v>
      </c>
      <c r="L59" s="16" t="s">
        <v>268</v>
      </c>
      <c r="M59" s="8" t="s">
        <v>268</v>
      </c>
      <c r="N59" s="8" t="s">
        <v>268</v>
      </c>
    </row>
    <row r="60" spans="1:14">
      <c r="A60" s="9" t="s">
        <v>3896</v>
      </c>
      <c r="B60" s="10"/>
      <c r="E60" s="8" t="s">
        <v>3734</v>
      </c>
      <c r="F60" s="8"/>
      <c r="H60" s="8" t="s">
        <v>268</v>
      </c>
      <c r="I60" s="8"/>
      <c r="J60" s="8" t="s">
        <v>268</v>
      </c>
      <c r="K60" s="8" t="s">
        <v>268</v>
      </c>
      <c r="L60" s="16" t="s">
        <v>268</v>
      </c>
      <c r="M60" s="8" t="s">
        <v>4077</v>
      </c>
      <c r="N60" s="8">
        <v>499</v>
      </c>
    </row>
    <row r="61" spans="1:14">
      <c r="A61" s="9" t="s">
        <v>371</v>
      </c>
      <c r="B61" s="10"/>
      <c r="F61" s="8" t="s">
        <v>3734</v>
      </c>
      <c r="H61" s="8" t="s">
        <v>268</v>
      </c>
      <c r="I61" s="8"/>
      <c r="J61" s="8" t="s">
        <v>4078</v>
      </c>
      <c r="K61" s="8">
        <v>149</v>
      </c>
      <c r="L61" s="16">
        <v>163.9</v>
      </c>
      <c r="M61" s="8" t="s">
        <v>268</v>
      </c>
      <c r="N61" s="8" t="s">
        <v>268</v>
      </c>
    </row>
    <row r="62" spans="1:14">
      <c r="A62" s="9" t="s">
        <v>3818</v>
      </c>
      <c r="B62" s="10"/>
      <c r="C62" s="8" t="s">
        <v>3734</v>
      </c>
      <c r="F62" s="8"/>
      <c r="H62" s="8" t="s">
        <v>268</v>
      </c>
      <c r="I62" s="8"/>
      <c r="J62" s="8" t="s">
        <v>268</v>
      </c>
      <c r="K62" s="8" t="s">
        <v>268</v>
      </c>
      <c r="L62" s="16" t="s">
        <v>268</v>
      </c>
      <c r="M62" s="8" t="s">
        <v>268</v>
      </c>
      <c r="N62" s="8" t="s">
        <v>268</v>
      </c>
    </row>
    <row r="63" spans="1:14">
      <c r="A63" s="9" t="s">
        <v>3747</v>
      </c>
      <c r="B63" s="10"/>
      <c r="F63" s="8" t="s">
        <v>3734</v>
      </c>
      <c r="G63" s="7" t="s">
        <v>16</v>
      </c>
      <c r="H63" s="8" t="s">
        <v>169</v>
      </c>
      <c r="I63" s="8"/>
      <c r="J63" s="8" t="s">
        <v>4079</v>
      </c>
      <c r="K63" s="8">
        <v>100</v>
      </c>
      <c r="L63" s="16">
        <v>110</v>
      </c>
      <c r="M63" s="8" t="s">
        <v>268</v>
      </c>
      <c r="N63" s="8" t="s">
        <v>268</v>
      </c>
    </row>
    <row r="64" spans="1:14">
      <c r="A64" s="9" t="s">
        <v>380</v>
      </c>
      <c r="B64" s="10"/>
      <c r="C64" s="8" t="s">
        <v>3734</v>
      </c>
      <c r="F64" s="8"/>
      <c r="H64" s="8" t="s">
        <v>268</v>
      </c>
      <c r="I64" s="8"/>
      <c r="J64" s="8" t="s">
        <v>268</v>
      </c>
      <c r="K64" s="8" t="s">
        <v>268</v>
      </c>
      <c r="L64" s="16" t="s">
        <v>268</v>
      </c>
      <c r="M64" s="8" t="s">
        <v>268</v>
      </c>
      <c r="N64" s="8" t="s">
        <v>268</v>
      </c>
    </row>
    <row r="65" spans="1:14">
      <c r="A65" s="9" t="s">
        <v>3819</v>
      </c>
      <c r="B65" s="10"/>
      <c r="F65" s="8" t="s">
        <v>3734</v>
      </c>
      <c r="H65" s="8" t="s">
        <v>268</v>
      </c>
      <c r="I65" s="8"/>
      <c r="J65" s="8" t="s">
        <v>4080</v>
      </c>
      <c r="K65" s="8">
        <v>515</v>
      </c>
      <c r="L65" s="16">
        <v>566.5</v>
      </c>
      <c r="M65" s="8" t="s">
        <v>268</v>
      </c>
      <c r="N65" s="8" t="s">
        <v>268</v>
      </c>
    </row>
    <row r="66" spans="1:14">
      <c r="A66" s="9" t="s">
        <v>3750</v>
      </c>
      <c r="B66" s="10"/>
      <c r="D66" s="8" t="s">
        <v>3734</v>
      </c>
      <c r="F66" s="8"/>
      <c r="H66" s="8" t="s">
        <v>268</v>
      </c>
      <c r="I66" s="8"/>
      <c r="J66" s="8" t="s">
        <v>268</v>
      </c>
      <c r="K66" s="8" t="s">
        <v>268</v>
      </c>
      <c r="L66" s="16" t="s">
        <v>268</v>
      </c>
      <c r="M66" s="8" t="s">
        <v>268</v>
      </c>
      <c r="N66" s="8" t="s">
        <v>268</v>
      </c>
    </row>
    <row r="67" spans="1:14">
      <c r="A67" s="9" t="s">
        <v>4081</v>
      </c>
      <c r="B67" s="10"/>
      <c r="F67" s="8"/>
      <c r="H67" s="8" t="s">
        <v>268</v>
      </c>
      <c r="I67" s="8"/>
      <c r="J67" s="8" t="s">
        <v>268</v>
      </c>
      <c r="K67" s="8" t="s">
        <v>268</v>
      </c>
      <c r="L67" s="16" t="s">
        <v>268</v>
      </c>
      <c r="M67" s="8" t="s">
        <v>268</v>
      </c>
      <c r="N67" s="8" t="s">
        <v>268</v>
      </c>
    </row>
    <row r="68" spans="1:14">
      <c r="A68" s="9" t="s">
        <v>3820</v>
      </c>
      <c r="B68" s="10"/>
      <c r="C68" s="8" t="s">
        <v>3734</v>
      </c>
      <c r="F68" s="8"/>
      <c r="H68" s="8" t="s">
        <v>268</v>
      </c>
      <c r="I68" s="8"/>
      <c r="J68" s="8" t="s">
        <v>268</v>
      </c>
      <c r="K68" s="8" t="s">
        <v>268</v>
      </c>
      <c r="L68" s="16" t="s">
        <v>268</v>
      </c>
      <c r="M68" s="8" t="s">
        <v>268</v>
      </c>
      <c r="N68" s="8" t="s">
        <v>268</v>
      </c>
    </row>
    <row r="69" spans="1:14">
      <c r="A69" s="9" t="s">
        <v>393</v>
      </c>
      <c r="B69" s="10"/>
      <c r="C69" s="8" t="s">
        <v>3734</v>
      </c>
      <c r="F69" s="8"/>
      <c r="H69" s="8" t="s">
        <v>268</v>
      </c>
      <c r="I69" s="8"/>
      <c r="J69" s="8" t="s">
        <v>268</v>
      </c>
      <c r="K69" s="8" t="s">
        <v>268</v>
      </c>
      <c r="L69" s="16" t="s">
        <v>268</v>
      </c>
      <c r="M69" s="8" t="s">
        <v>268</v>
      </c>
      <c r="N69" s="8" t="s">
        <v>268</v>
      </c>
    </row>
    <row r="70" spans="1:14">
      <c r="A70" s="9" t="s">
        <v>1781</v>
      </c>
      <c r="B70" s="10"/>
      <c r="F70" s="8"/>
      <c r="G70" s="7" t="s">
        <v>16</v>
      </c>
      <c r="H70" s="8" t="s">
        <v>4082</v>
      </c>
      <c r="I70" s="8"/>
      <c r="J70" s="8" t="s">
        <v>268</v>
      </c>
      <c r="K70" s="8" t="s">
        <v>268</v>
      </c>
      <c r="L70" s="16" t="s">
        <v>268</v>
      </c>
      <c r="M70" s="8" t="s">
        <v>268</v>
      </c>
      <c r="N70" s="8" t="s">
        <v>268</v>
      </c>
    </row>
    <row r="71" spans="1:14">
      <c r="A71" s="9" t="s">
        <v>117</v>
      </c>
      <c r="B71" s="10"/>
      <c r="F71" s="8" t="s">
        <v>3734</v>
      </c>
      <c r="G71" s="7" t="s">
        <v>16</v>
      </c>
      <c r="H71" s="8" t="s">
        <v>169</v>
      </c>
      <c r="I71" s="8"/>
      <c r="J71" s="212" t="s">
        <v>4050</v>
      </c>
      <c r="K71" s="8" t="s">
        <v>268</v>
      </c>
      <c r="L71" s="16" t="s">
        <v>268</v>
      </c>
      <c r="M71" s="8" t="s">
        <v>268</v>
      </c>
      <c r="N71" s="8" t="s">
        <v>268</v>
      </c>
    </row>
    <row r="72" spans="1:14">
      <c r="A72" s="9" t="s">
        <v>3751</v>
      </c>
      <c r="B72" s="10"/>
      <c r="D72" s="8" t="s">
        <v>3734</v>
      </c>
      <c r="F72" s="8"/>
      <c r="H72" s="8" t="s">
        <v>268</v>
      </c>
      <c r="I72" s="8"/>
      <c r="J72" s="8" t="s">
        <v>268</v>
      </c>
      <c r="K72" s="8" t="s">
        <v>268</v>
      </c>
      <c r="L72" s="16" t="s">
        <v>268</v>
      </c>
      <c r="M72" s="8" t="s">
        <v>268</v>
      </c>
      <c r="N72" s="8" t="s">
        <v>268</v>
      </c>
    </row>
    <row r="73" spans="1:14">
      <c r="A73" s="9" t="s">
        <v>434</v>
      </c>
      <c r="B73" s="10"/>
      <c r="F73" s="8" t="s">
        <v>3734</v>
      </c>
      <c r="H73" s="8" t="s">
        <v>268</v>
      </c>
      <c r="I73" s="8"/>
      <c r="J73" s="8" t="s">
        <v>4083</v>
      </c>
      <c r="K73" s="8">
        <v>114</v>
      </c>
      <c r="L73" s="16">
        <v>125.4</v>
      </c>
      <c r="M73" s="8" t="s">
        <v>268</v>
      </c>
      <c r="N73" s="8" t="s">
        <v>268</v>
      </c>
    </row>
    <row r="74" spans="1:14">
      <c r="A74" s="9" t="s">
        <v>447</v>
      </c>
      <c r="B74" s="10"/>
      <c r="F74" s="8"/>
      <c r="H74" s="8" t="s">
        <v>268</v>
      </c>
      <c r="I74" s="8"/>
      <c r="J74" s="8" t="s">
        <v>268</v>
      </c>
      <c r="K74" s="8" t="s">
        <v>268</v>
      </c>
      <c r="L74" s="16" t="s">
        <v>268</v>
      </c>
      <c r="M74" s="8" t="s">
        <v>268</v>
      </c>
      <c r="N74" s="8" t="s">
        <v>268</v>
      </c>
    </row>
    <row r="75" spans="1:14">
      <c r="A75" s="9" t="s">
        <v>4084</v>
      </c>
      <c r="B75" s="10"/>
      <c r="F75" s="8"/>
      <c r="H75" s="8" t="s">
        <v>268</v>
      </c>
      <c r="I75" s="8"/>
      <c r="J75" s="8" t="s">
        <v>268</v>
      </c>
      <c r="K75" s="8" t="s">
        <v>268</v>
      </c>
      <c r="L75" s="16" t="s">
        <v>268</v>
      </c>
      <c r="M75" s="8" t="s">
        <v>268</v>
      </c>
      <c r="N75" s="8" t="s">
        <v>268</v>
      </c>
    </row>
    <row r="76" spans="1:14">
      <c r="A76" s="9" t="s">
        <v>3881</v>
      </c>
      <c r="B76" s="10"/>
      <c r="E76" s="8" t="s">
        <v>3734</v>
      </c>
      <c r="F76" s="8" t="s">
        <v>3734</v>
      </c>
      <c r="H76" s="8" t="s">
        <v>268</v>
      </c>
      <c r="I76" s="8"/>
      <c r="J76" s="212" t="s">
        <v>4050</v>
      </c>
      <c r="K76" s="8" t="s">
        <v>268</v>
      </c>
      <c r="L76" s="16" t="s">
        <v>268</v>
      </c>
      <c r="M76" s="8" t="s">
        <v>268</v>
      </c>
      <c r="N76" s="8" t="s">
        <v>268</v>
      </c>
    </row>
    <row r="77" spans="1:14">
      <c r="A77" s="9" t="s">
        <v>3995</v>
      </c>
      <c r="B77" s="10"/>
      <c r="E77" s="8" t="s">
        <v>3734</v>
      </c>
      <c r="F77" s="8"/>
      <c r="H77" s="8" t="s">
        <v>268</v>
      </c>
      <c r="I77" s="8"/>
      <c r="J77" s="8" t="s">
        <v>268</v>
      </c>
      <c r="K77" s="8" t="s">
        <v>268</v>
      </c>
      <c r="L77" s="16" t="s">
        <v>268</v>
      </c>
      <c r="M77" s="8" t="s">
        <v>4068</v>
      </c>
      <c r="N77" s="8">
        <v>104.09</v>
      </c>
    </row>
    <row r="78" spans="1:14">
      <c r="A78" s="9" t="s">
        <v>452</v>
      </c>
      <c r="B78" s="10"/>
      <c r="C78" s="8" t="s">
        <v>3734</v>
      </c>
      <c r="F78" s="8"/>
      <c r="H78" s="8" t="s">
        <v>268</v>
      </c>
      <c r="I78" s="8"/>
      <c r="J78" s="8" t="s">
        <v>268</v>
      </c>
      <c r="K78" s="8" t="s">
        <v>268</v>
      </c>
      <c r="L78" s="16" t="s">
        <v>268</v>
      </c>
      <c r="M78" s="8" t="s">
        <v>268</v>
      </c>
      <c r="N78" s="8" t="s">
        <v>268</v>
      </c>
    </row>
    <row r="79" spans="1:14">
      <c r="A79" s="9" t="s">
        <v>4018</v>
      </c>
      <c r="B79" s="10"/>
      <c r="F79" s="8" t="s">
        <v>3734</v>
      </c>
      <c r="H79" s="8" t="s">
        <v>268</v>
      </c>
      <c r="I79" s="8"/>
      <c r="J79" s="8" t="s">
        <v>4085</v>
      </c>
      <c r="K79" s="8">
        <v>95.45</v>
      </c>
      <c r="L79" s="16">
        <v>105</v>
      </c>
      <c r="M79" s="8" t="s">
        <v>268</v>
      </c>
      <c r="N79" s="8" t="s">
        <v>268</v>
      </c>
    </row>
    <row r="80" spans="1:14">
      <c r="A80" s="9" t="s">
        <v>3821</v>
      </c>
      <c r="B80" s="10"/>
      <c r="C80" s="8" t="s">
        <v>3734</v>
      </c>
      <c r="F80" s="8"/>
      <c r="H80" s="8" t="s">
        <v>268</v>
      </c>
      <c r="I80" s="8"/>
      <c r="J80" s="8" t="s">
        <v>268</v>
      </c>
      <c r="K80" s="8" t="s">
        <v>268</v>
      </c>
      <c r="L80" s="16" t="s">
        <v>268</v>
      </c>
      <c r="M80" s="8" t="s">
        <v>268</v>
      </c>
      <c r="N80" s="8" t="s">
        <v>268</v>
      </c>
    </row>
    <row r="81" spans="1:14">
      <c r="A81" s="9" t="s">
        <v>465</v>
      </c>
      <c r="B81" s="10"/>
      <c r="C81" s="8" t="s">
        <v>3734</v>
      </c>
      <c r="F81" s="8"/>
      <c r="H81" s="8" t="s">
        <v>268</v>
      </c>
      <c r="I81" s="8"/>
      <c r="J81" s="8" t="s">
        <v>268</v>
      </c>
      <c r="K81" s="8" t="s">
        <v>268</v>
      </c>
      <c r="L81" s="16" t="s">
        <v>268</v>
      </c>
      <c r="M81" s="8" t="s">
        <v>268</v>
      </c>
      <c r="N81" s="8" t="s">
        <v>268</v>
      </c>
    </row>
    <row r="82" spans="1:14">
      <c r="A82" s="9" t="s">
        <v>3752</v>
      </c>
      <c r="B82" s="10"/>
      <c r="D82" s="8" t="s">
        <v>3734</v>
      </c>
      <c r="F82" s="8"/>
      <c r="H82" s="8" t="s">
        <v>268</v>
      </c>
      <c r="I82" s="8"/>
      <c r="J82" s="8" t="s">
        <v>268</v>
      </c>
      <c r="K82" s="8" t="s">
        <v>268</v>
      </c>
      <c r="L82" s="16" t="s">
        <v>268</v>
      </c>
      <c r="M82" s="8" t="s">
        <v>268</v>
      </c>
      <c r="N82" s="8" t="s">
        <v>268</v>
      </c>
    </row>
    <row r="83" spans="1:14">
      <c r="A83" s="9" t="s">
        <v>3753</v>
      </c>
      <c r="B83" s="10"/>
      <c r="D83" s="8" t="s">
        <v>3734</v>
      </c>
      <c r="F83" s="8" t="s">
        <v>3734</v>
      </c>
      <c r="H83" s="8" t="s">
        <v>268</v>
      </c>
      <c r="I83" s="8"/>
      <c r="J83" s="8" t="s">
        <v>4086</v>
      </c>
      <c r="K83" s="8">
        <v>120</v>
      </c>
      <c r="L83" s="16">
        <v>132</v>
      </c>
      <c r="M83" s="8" t="s">
        <v>268</v>
      </c>
      <c r="N83" s="8" t="s">
        <v>268</v>
      </c>
    </row>
    <row r="84" spans="1:14">
      <c r="A84" s="9" t="s">
        <v>3822</v>
      </c>
      <c r="B84" s="10"/>
      <c r="C84" s="8" t="s">
        <v>3734</v>
      </c>
      <c r="F84" s="8"/>
      <c r="H84" s="8" t="s">
        <v>268</v>
      </c>
      <c r="I84" s="8"/>
      <c r="J84" s="8" t="s">
        <v>268</v>
      </c>
      <c r="K84" s="8" t="s">
        <v>268</v>
      </c>
      <c r="L84" s="16" t="s">
        <v>268</v>
      </c>
      <c r="M84" s="8" t="s">
        <v>268</v>
      </c>
      <c r="N84" s="8" t="s">
        <v>268</v>
      </c>
    </row>
    <row r="85" spans="1:14">
      <c r="A85" s="9" t="s">
        <v>485</v>
      </c>
      <c r="B85" s="10"/>
      <c r="C85" s="8" t="s">
        <v>3734</v>
      </c>
      <c r="F85" s="8"/>
      <c r="H85" s="8" t="s">
        <v>268</v>
      </c>
      <c r="I85" s="8"/>
      <c r="J85" s="8" t="s">
        <v>268</v>
      </c>
      <c r="K85" s="8" t="s">
        <v>268</v>
      </c>
      <c r="L85" s="16" t="s">
        <v>268</v>
      </c>
      <c r="M85" s="8" t="s">
        <v>268</v>
      </c>
      <c r="N85" s="8" t="s">
        <v>268</v>
      </c>
    </row>
    <row r="86" spans="1:14">
      <c r="A86" s="9" t="s">
        <v>492</v>
      </c>
      <c r="B86" s="10"/>
      <c r="C86" s="8" t="s">
        <v>3734</v>
      </c>
      <c r="F86" s="8" t="s">
        <v>3734</v>
      </c>
      <c r="H86" s="8" t="s">
        <v>268</v>
      </c>
      <c r="I86" s="8"/>
      <c r="J86" s="8" t="s">
        <v>4087</v>
      </c>
      <c r="K86" s="8">
        <v>114</v>
      </c>
      <c r="L86" s="16">
        <v>125.4</v>
      </c>
      <c r="M86" s="8" t="s">
        <v>268</v>
      </c>
      <c r="N86" s="8" t="s">
        <v>268</v>
      </c>
    </row>
    <row r="87" spans="1:14">
      <c r="A87" s="9" t="s">
        <v>3754</v>
      </c>
      <c r="B87" s="10"/>
      <c r="D87" s="8" t="s">
        <v>3734</v>
      </c>
      <c r="F87" s="8"/>
      <c r="H87" s="8" t="s">
        <v>268</v>
      </c>
      <c r="I87" s="8"/>
      <c r="J87" s="8" t="s">
        <v>268</v>
      </c>
      <c r="K87" s="8" t="s">
        <v>268</v>
      </c>
      <c r="L87" s="16" t="s">
        <v>268</v>
      </c>
      <c r="M87" s="8" t="s">
        <v>268</v>
      </c>
      <c r="N87" s="8" t="s">
        <v>268</v>
      </c>
    </row>
    <row r="88" spans="1:14">
      <c r="A88" s="9" t="s">
        <v>22</v>
      </c>
      <c r="B88" s="10"/>
      <c r="D88" s="8" t="s">
        <v>3734</v>
      </c>
      <c r="F88" s="8" t="s">
        <v>3734</v>
      </c>
      <c r="H88" s="8" t="s">
        <v>268</v>
      </c>
      <c r="I88" s="8"/>
      <c r="J88" s="212" t="s">
        <v>4050</v>
      </c>
      <c r="K88" s="8" t="s">
        <v>268</v>
      </c>
      <c r="L88" s="16" t="s">
        <v>268</v>
      </c>
      <c r="M88" s="8" t="s">
        <v>268</v>
      </c>
      <c r="N88" s="8" t="s">
        <v>268</v>
      </c>
    </row>
    <row r="89" spans="1:14">
      <c r="A89" s="9" t="s">
        <v>4088</v>
      </c>
      <c r="B89" s="10"/>
      <c r="F89" s="8"/>
      <c r="H89" s="8" t="s">
        <v>268</v>
      </c>
      <c r="I89" s="8"/>
      <c r="J89" s="8" t="s">
        <v>268</v>
      </c>
      <c r="K89" s="8" t="s">
        <v>268</v>
      </c>
      <c r="L89" s="16" t="s">
        <v>268</v>
      </c>
      <c r="M89" s="8" t="s">
        <v>268</v>
      </c>
      <c r="N89" s="8" t="s">
        <v>268</v>
      </c>
    </row>
    <row r="90" spans="1:14">
      <c r="A90" s="9" t="s">
        <v>72</v>
      </c>
      <c r="B90" s="10"/>
      <c r="D90" s="8" t="s">
        <v>3734</v>
      </c>
      <c r="F90" s="8" t="s">
        <v>3734</v>
      </c>
      <c r="H90" s="8" t="s">
        <v>268</v>
      </c>
      <c r="I90" s="8"/>
      <c r="J90" s="212" t="s">
        <v>4050</v>
      </c>
      <c r="K90" s="8" t="s">
        <v>268</v>
      </c>
      <c r="L90" s="16" t="s">
        <v>268</v>
      </c>
      <c r="M90" s="8" t="s">
        <v>268</v>
      </c>
      <c r="N90" s="8" t="s">
        <v>268</v>
      </c>
    </row>
    <row r="91" spans="1:14">
      <c r="A91" s="9" t="s">
        <v>523</v>
      </c>
      <c r="B91" s="10"/>
      <c r="F91" s="8"/>
      <c r="H91" s="8" t="s">
        <v>268</v>
      </c>
      <c r="I91" s="8"/>
      <c r="J91" s="8" t="s">
        <v>268</v>
      </c>
      <c r="K91" s="8" t="s">
        <v>268</v>
      </c>
      <c r="L91" s="16" t="s">
        <v>268</v>
      </c>
      <c r="M91" s="8" t="s">
        <v>268</v>
      </c>
      <c r="N91" s="8" t="s">
        <v>268</v>
      </c>
    </row>
    <row r="92" spans="1:14">
      <c r="A92" s="9" t="s">
        <v>4019</v>
      </c>
      <c r="B92" s="10"/>
      <c r="F92" s="8" t="s">
        <v>3734</v>
      </c>
      <c r="H92" s="8" t="s">
        <v>268</v>
      </c>
      <c r="I92" s="8"/>
      <c r="J92" s="8" t="s">
        <v>4089</v>
      </c>
      <c r="K92" s="8">
        <v>95.45</v>
      </c>
      <c r="L92" s="16">
        <v>105</v>
      </c>
      <c r="M92" s="8" t="s">
        <v>268</v>
      </c>
      <c r="N92" s="8" t="s">
        <v>268</v>
      </c>
    </row>
    <row r="93" spans="1:14">
      <c r="A93" s="9" t="s">
        <v>535</v>
      </c>
      <c r="B93" s="10"/>
      <c r="E93" s="8" t="s">
        <v>3734</v>
      </c>
      <c r="F93" s="8" t="s">
        <v>3734</v>
      </c>
      <c r="H93" s="8" t="s">
        <v>268</v>
      </c>
      <c r="I93" s="8"/>
      <c r="J93" s="8" t="s">
        <v>4090</v>
      </c>
      <c r="K93" s="8">
        <v>116.66</v>
      </c>
      <c r="L93" s="16">
        <v>128.33000000000001</v>
      </c>
      <c r="M93" s="8" t="s">
        <v>268</v>
      </c>
      <c r="N93" s="8" t="s">
        <v>268</v>
      </c>
    </row>
    <row r="94" spans="1:14">
      <c r="A94" s="9" t="s">
        <v>539</v>
      </c>
      <c r="B94" s="10"/>
      <c r="C94" s="8" t="s">
        <v>3734</v>
      </c>
      <c r="F94" s="8"/>
      <c r="H94" s="8" t="s">
        <v>268</v>
      </c>
      <c r="I94" s="8"/>
      <c r="J94" s="8" t="s">
        <v>268</v>
      </c>
      <c r="K94" s="8" t="s">
        <v>268</v>
      </c>
      <c r="L94" s="16" t="s">
        <v>268</v>
      </c>
      <c r="M94" s="8" t="s">
        <v>268</v>
      </c>
      <c r="N94" s="8" t="s">
        <v>268</v>
      </c>
    </row>
    <row r="95" spans="1:14">
      <c r="A95" s="9" t="s">
        <v>4091</v>
      </c>
      <c r="B95" s="10"/>
      <c r="F95" s="8"/>
      <c r="H95" s="8" t="s">
        <v>268</v>
      </c>
      <c r="I95" s="8"/>
      <c r="J95" s="8" t="s">
        <v>268</v>
      </c>
      <c r="K95" s="8" t="s">
        <v>268</v>
      </c>
      <c r="L95" s="16" t="s">
        <v>268</v>
      </c>
      <c r="M95" s="8" t="s">
        <v>268</v>
      </c>
      <c r="N95" s="8" t="s">
        <v>268</v>
      </c>
    </row>
    <row r="96" spans="1:14">
      <c r="A96" s="9" t="s">
        <v>3883</v>
      </c>
      <c r="B96" s="10"/>
      <c r="E96" s="8" t="s">
        <v>3734</v>
      </c>
      <c r="F96" s="8" t="s">
        <v>3734</v>
      </c>
      <c r="H96" s="8" t="s">
        <v>268</v>
      </c>
      <c r="I96" s="8"/>
      <c r="J96" s="8" t="s">
        <v>4090</v>
      </c>
      <c r="K96" s="8">
        <v>116.66</v>
      </c>
      <c r="L96" s="16">
        <v>128.33000000000001</v>
      </c>
      <c r="M96" s="8" t="s">
        <v>268</v>
      </c>
      <c r="N96" s="8" t="s">
        <v>268</v>
      </c>
    </row>
    <row r="97" spans="1:14">
      <c r="A97" s="9" t="s">
        <v>4092</v>
      </c>
      <c r="B97" s="10"/>
      <c r="F97" s="8"/>
      <c r="H97" s="8" t="s">
        <v>268</v>
      </c>
      <c r="I97" s="8"/>
      <c r="J97" s="8" t="s">
        <v>268</v>
      </c>
      <c r="K97" s="8" t="s">
        <v>268</v>
      </c>
      <c r="L97" s="16" t="s">
        <v>268</v>
      </c>
      <c r="M97" s="8" t="s">
        <v>268</v>
      </c>
      <c r="N97" s="8" t="s">
        <v>268</v>
      </c>
    </row>
    <row r="98" spans="1:14">
      <c r="A98" s="9" t="s">
        <v>3991</v>
      </c>
      <c r="B98" s="10"/>
      <c r="E98" s="8" t="s">
        <v>3734</v>
      </c>
      <c r="F98" s="8"/>
      <c r="H98" s="8" t="s">
        <v>268</v>
      </c>
      <c r="I98" s="8"/>
      <c r="J98" s="8" t="s">
        <v>268</v>
      </c>
      <c r="K98" s="8" t="s">
        <v>268</v>
      </c>
      <c r="L98" s="16" t="s">
        <v>268</v>
      </c>
      <c r="M98" s="8" t="s">
        <v>4068</v>
      </c>
      <c r="N98" s="8">
        <v>181.09</v>
      </c>
    </row>
    <row r="99" spans="1:14">
      <c r="A99" s="9" t="s">
        <v>3981</v>
      </c>
      <c r="B99" s="10"/>
      <c r="E99" s="8" t="s">
        <v>3734</v>
      </c>
      <c r="F99" s="8"/>
      <c r="H99" s="8" t="s">
        <v>268</v>
      </c>
      <c r="I99" s="8"/>
      <c r="J99" s="8" t="s">
        <v>268</v>
      </c>
      <c r="K99" s="8" t="s">
        <v>268</v>
      </c>
      <c r="L99" s="16" t="s">
        <v>268</v>
      </c>
      <c r="M99" s="8" t="s">
        <v>4068</v>
      </c>
      <c r="N99" s="8">
        <v>109.09</v>
      </c>
    </row>
    <row r="100" spans="1:14">
      <c r="A100" s="9" t="s">
        <v>3757</v>
      </c>
      <c r="B100" s="10"/>
      <c r="D100" s="8" t="s">
        <v>3734</v>
      </c>
      <c r="F100" s="8"/>
      <c r="G100" s="7" t="s">
        <v>16</v>
      </c>
      <c r="H100" s="8" t="s">
        <v>169</v>
      </c>
      <c r="I100" s="8"/>
      <c r="J100" s="8" t="s">
        <v>268</v>
      </c>
      <c r="K100" s="8" t="s">
        <v>268</v>
      </c>
      <c r="L100" s="16" t="s">
        <v>268</v>
      </c>
      <c r="M100" s="8" t="s">
        <v>268</v>
      </c>
      <c r="N100" s="8" t="s">
        <v>268</v>
      </c>
    </row>
    <row r="101" spans="1:14">
      <c r="A101" s="9" t="s">
        <v>1645</v>
      </c>
      <c r="B101" s="10"/>
      <c r="D101" s="8" t="s">
        <v>3734</v>
      </c>
      <c r="F101" s="8"/>
      <c r="H101" s="8" t="s">
        <v>268</v>
      </c>
      <c r="I101" s="8"/>
      <c r="J101" s="8" t="s">
        <v>268</v>
      </c>
      <c r="K101" s="8" t="s">
        <v>268</v>
      </c>
      <c r="L101" s="16" t="s">
        <v>268</v>
      </c>
      <c r="M101" s="8" t="s">
        <v>268</v>
      </c>
      <c r="N101" s="8" t="s">
        <v>268</v>
      </c>
    </row>
    <row r="102" spans="1:14">
      <c r="A102" s="9" t="s">
        <v>3823</v>
      </c>
      <c r="B102" s="10"/>
      <c r="C102" s="8" t="s">
        <v>3734</v>
      </c>
      <c r="E102" s="8" t="s">
        <v>3734</v>
      </c>
      <c r="F102" s="8"/>
      <c r="H102" s="8" t="s">
        <v>268</v>
      </c>
      <c r="I102" s="8"/>
      <c r="J102" s="8" t="s">
        <v>268</v>
      </c>
      <c r="K102" s="8" t="s">
        <v>268</v>
      </c>
      <c r="L102" s="16" t="s">
        <v>268</v>
      </c>
      <c r="M102" s="8" t="s">
        <v>268</v>
      </c>
      <c r="N102" s="8" t="s">
        <v>268</v>
      </c>
    </row>
    <row r="103" spans="1:14">
      <c r="A103" s="9" t="s">
        <v>563</v>
      </c>
      <c r="B103" s="10"/>
      <c r="C103" s="8" t="s">
        <v>3734</v>
      </c>
      <c r="F103" s="8"/>
      <c r="H103" s="8" t="s">
        <v>268</v>
      </c>
      <c r="I103" s="8"/>
      <c r="J103" s="8" t="s">
        <v>268</v>
      </c>
      <c r="K103" s="8" t="s">
        <v>268</v>
      </c>
      <c r="L103" s="16" t="s">
        <v>268</v>
      </c>
      <c r="M103" s="8" t="s">
        <v>268</v>
      </c>
      <c r="N103" s="8" t="s">
        <v>268</v>
      </c>
    </row>
    <row r="104" spans="1:14">
      <c r="A104" s="9" t="s">
        <v>566</v>
      </c>
      <c r="B104" s="10"/>
      <c r="C104" s="8" t="s">
        <v>3734</v>
      </c>
      <c r="F104" s="8"/>
      <c r="H104" s="8" t="s">
        <v>268</v>
      </c>
      <c r="I104" s="8"/>
      <c r="J104" s="8" t="s">
        <v>268</v>
      </c>
      <c r="K104" s="8" t="s">
        <v>268</v>
      </c>
      <c r="L104" s="16" t="s">
        <v>268</v>
      </c>
      <c r="M104" s="8" t="s">
        <v>268</v>
      </c>
      <c r="N104" s="8" t="s">
        <v>268</v>
      </c>
    </row>
    <row r="105" spans="1:14" s="49" customFormat="1" ht="37.5" customHeight="1">
      <c r="A105" s="9" t="s">
        <v>576</v>
      </c>
      <c r="B105" s="10"/>
      <c r="C105" s="8" t="s">
        <v>3734</v>
      </c>
      <c r="D105" s="8"/>
      <c r="E105" s="8"/>
      <c r="F105" s="8" t="s">
        <v>3734</v>
      </c>
      <c r="G105" s="7"/>
      <c r="H105" s="8" t="s">
        <v>268</v>
      </c>
      <c r="I105" s="8"/>
      <c r="J105" s="8" t="s">
        <v>4093</v>
      </c>
      <c r="K105" s="8">
        <v>98</v>
      </c>
      <c r="L105" s="16">
        <v>107.8</v>
      </c>
      <c r="M105" s="8" t="s">
        <v>268</v>
      </c>
      <c r="N105" s="8" t="s">
        <v>268</v>
      </c>
    </row>
    <row r="106" spans="1:14">
      <c r="A106" s="9" t="s">
        <v>3973</v>
      </c>
      <c r="B106" s="10"/>
      <c r="E106" s="8" t="s">
        <v>3734</v>
      </c>
      <c r="F106" s="8"/>
      <c r="H106" s="8" t="s">
        <v>268</v>
      </c>
      <c r="I106" s="8"/>
      <c r="J106" s="8" t="s">
        <v>268</v>
      </c>
      <c r="K106" s="8" t="s">
        <v>268</v>
      </c>
      <c r="L106" s="16" t="s">
        <v>268</v>
      </c>
      <c r="M106" s="8" t="s">
        <v>4094</v>
      </c>
      <c r="N106" s="8">
        <v>131.82</v>
      </c>
    </row>
    <row r="107" spans="1:14">
      <c r="A107" s="9" t="s">
        <v>1541</v>
      </c>
      <c r="B107" s="9"/>
      <c r="C107" s="7"/>
      <c r="D107" s="7" t="s">
        <v>3734</v>
      </c>
      <c r="E107" s="7"/>
      <c r="F107" s="7" t="s">
        <v>3734</v>
      </c>
      <c r="H107" s="7" t="s">
        <v>268</v>
      </c>
      <c r="I107" s="7"/>
      <c r="J107" s="212" t="s">
        <v>4050</v>
      </c>
      <c r="K107" s="10" t="s">
        <v>268</v>
      </c>
      <c r="L107" s="210" t="s">
        <v>268</v>
      </c>
      <c r="M107" s="8" t="s">
        <v>268</v>
      </c>
      <c r="N107" s="8" t="s">
        <v>268</v>
      </c>
    </row>
    <row r="108" spans="1:14">
      <c r="A108" s="240" t="s">
        <v>4095</v>
      </c>
      <c r="B108" s="240"/>
      <c r="C108" s="247"/>
      <c r="D108" s="247"/>
      <c r="E108" s="247"/>
      <c r="F108" s="247" t="s">
        <v>4096</v>
      </c>
      <c r="G108" s="247"/>
      <c r="H108" s="247" t="s">
        <v>268</v>
      </c>
      <c r="I108" s="247"/>
      <c r="J108" s="8" t="s">
        <v>4097</v>
      </c>
      <c r="K108" s="8">
        <v>140</v>
      </c>
      <c r="L108" s="16">
        <v>154</v>
      </c>
      <c r="M108" s="8" t="s">
        <v>268</v>
      </c>
      <c r="N108" s="8" t="s">
        <v>268</v>
      </c>
    </row>
    <row r="109" spans="1:14">
      <c r="A109" s="240"/>
      <c r="B109" s="240"/>
      <c r="C109" s="247"/>
      <c r="D109" s="247"/>
      <c r="E109" s="247"/>
      <c r="F109" s="247"/>
      <c r="G109" s="247"/>
      <c r="H109" s="247"/>
      <c r="I109" s="247"/>
      <c r="J109" s="8" t="s">
        <v>4098</v>
      </c>
      <c r="K109" s="8">
        <v>120</v>
      </c>
      <c r="L109" s="16">
        <v>132</v>
      </c>
      <c r="M109" s="8" t="s">
        <v>268</v>
      </c>
      <c r="N109" s="8" t="s">
        <v>268</v>
      </c>
    </row>
    <row r="110" spans="1:14">
      <c r="A110" s="240"/>
      <c r="B110" s="240"/>
      <c r="C110" s="247"/>
      <c r="D110" s="247"/>
      <c r="E110" s="247"/>
      <c r="F110" s="247"/>
      <c r="G110" s="247"/>
      <c r="H110" s="247"/>
      <c r="I110" s="247"/>
      <c r="J110" s="8" t="s">
        <v>4099</v>
      </c>
      <c r="K110" s="8">
        <v>130</v>
      </c>
      <c r="L110" s="16">
        <v>143</v>
      </c>
      <c r="M110" s="8" t="s">
        <v>268</v>
      </c>
      <c r="N110" s="8" t="s">
        <v>268</v>
      </c>
    </row>
    <row r="111" spans="1:14">
      <c r="A111" s="9" t="s">
        <v>585</v>
      </c>
      <c r="B111" s="10"/>
      <c r="C111" s="8" t="s">
        <v>3734</v>
      </c>
      <c r="F111" s="8" t="s">
        <v>3734</v>
      </c>
      <c r="H111" s="8" t="s">
        <v>268</v>
      </c>
      <c r="I111" s="8"/>
      <c r="J111" s="8" t="s">
        <v>4100</v>
      </c>
      <c r="K111" s="8">
        <v>114</v>
      </c>
      <c r="L111" s="16">
        <v>125.4</v>
      </c>
      <c r="M111" s="8" t="s">
        <v>268</v>
      </c>
      <c r="N111" s="8" t="s">
        <v>268</v>
      </c>
    </row>
    <row r="112" spans="1:14">
      <c r="A112" s="9" t="s">
        <v>4021</v>
      </c>
      <c r="B112" s="10"/>
      <c r="F112" s="8" t="s">
        <v>3734</v>
      </c>
      <c r="H112" s="8" t="s">
        <v>268</v>
      </c>
      <c r="I112" s="8"/>
      <c r="J112" s="212" t="s">
        <v>4050</v>
      </c>
      <c r="K112" s="8" t="s">
        <v>268</v>
      </c>
      <c r="L112" s="16" t="s">
        <v>268</v>
      </c>
      <c r="M112" s="8" t="s">
        <v>268</v>
      </c>
      <c r="N112" s="8" t="s">
        <v>268</v>
      </c>
    </row>
    <row r="113" spans="1:14">
      <c r="A113" s="9" t="s">
        <v>4101</v>
      </c>
      <c r="B113" s="10"/>
      <c r="F113" s="8" t="s">
        <v>3734</v>
      </c>
      <c r="H113" s="8" t="s">
        <v>268</v>
      </c>
      <c r="I113" s="8"/>
      <c r="J113" s="8" t="s">
        <v>4102</v>
      </c>
      <c r="K113" s="8">
        <v>114.2</v>
      </c>
      <c r="L113" s="16">
        <v>125.62</v>
      </c>
      <c r="M113" s="8" t="s">
        <v>268</v>
      </c>
      <c r="N113" s="8" t="s">
        <v>268</v>
      </c>
    </row>
    <row r="114" spans="1:14">
      <c r="A114" s="9" t="s">
        <v>593</v>
      </c>
      <c r="B114" s="10"/>
      <c r="C114" s="8" t="s">
        <v>3734</v>
      </c>
      <c r="F114" s="8"/>
      <c r="H114" s="8" t="s">
        <v>268</v>
      </c>
      <c r="I114" s="8"/>
      <c r="J114" s="8" t="s">
        <v>268</v>
      </c>
      <c r="K114" s="8" t="s">
        <v>268</v>
      </c>
      <c r="L114" s="16" t="s">
        <v>268</v>
      </c>
      <c r="M114" s="8" t="s">
        <v>268</v>
      </c>
      <c r="N114" s="8" t="s">
        <v>268</v>
      </c>
    </row>
    <row r="115" spans="1:14">
      <c r="A115" s="9" t="s">
        <v>3824</v>
      </c>
      <c r="B115" s="10"/>
      <c r="C115" s="8" t="s">
        <v>3734</v>
      </c>
      <c r="F115" s="8"/>
      <c r="H115" s="8" t="s">
        <v>268</v>
      </c>
      <c r="I115" s="8"/>
      <c r="J115" s="8" t="s">
        <v>268</v>
      </c>
      <c r="K115" s="8" t="s">
        <v>268</v>
      </c>
      <c r="L115" s="16" t="s">
        <v>268</v>
      </c>
      <c r="M115" s="8" t="s">
        <v>268</v>
      </c>
      <c r="N115" s="8" t="s">
        <v>268</v>
      </c>
    </row>
    <row r="116" spans="1:14">
      <c r="A116" s="9" t="s">
        <v>600</v>
      </c>
      <c r="B116" s="10"/>
      <c r="E116" s="8" t="s">
        <v>3734</v>
      </c>
      <c r="F116" s="8"/>
      <c r="H116" s="8" t="s">
        <v>268</v>
      </c>
      <c r="I116" s="8"/>
      <c r="J116" s="8" t="s">
        <v>268</v>
      </c>
      <c r="K116" s="8" t="s">
        <v>268</v>
      </c>
      <c r="L116" s="16" t="s">
        <v>268</v>
      </c>
      <c r="M116" s="8" t="s">
        <v>4094</v>
      </c>
      <c r="N116" s="8">
        <v>140.91</v>
      </c>
    </row>
    <row r="117" spans="1:14">
      <c r="A117" s="9" t="s">
        <v>605</v>
      </c>
      <c r="B117" s="10"/>
      <c r="D117" s="8" t="s">
        <v>3734</v>
      </c>
      <c r="F117" s="8"/>
      <c r="G117" s="7" t="s">
        <v>16</v>
      </c>
      <c r="H117" s="8" t="s">
        <v>4103</v>
      </c>
      <c r="I117" s="8"/>
      <c r="J117" s="8" t="s">
        <v>268</v>
      </c>
      <c r="K117" s="8" t="s">
        <v>268</v>
      </c>
      <c r="L117" s="16" t="s">
        <v>268</v>
      </c>
      <c r="M117" s="8" t="s">
        <v>268</v>
      </c>
      <c r="N117" s="8" t="s">
        <v>268</v>
      </c>
    </row>
    <row r="118" spans="1:14">
      <c r="A118" s="9" t="s">
        <v>3989</v>
      </c>
      <c r="B118" s="10"/>
      <c r="E118" s="8" t="s">
        <v>3734</v>
      </c>
      <c r="F118" s="8"/>
      <c r="H118" s="8" t="s">
        <v>268</v>
      </c>
      <c r="I118" s="8"/>
      <c r="J118" s="8" t="s">
        <v>268</v>
      </c>
      <c r="K118" s="8" t="s">
        <v>268</v>
      </c>
      <c r="L118" s="16" t="s">
        <v>268</v>
      </c>
      <c r="M118" s="8" t="s">
        <v>4068</v>
      </c>
      <c r="N118" s="8">
        <v>136.36000000000001</v>
      </c>
    </row>
    <row r="119" spans="1:14">
      <c r="A119" s="9" t="s">
        <v>3825</v>
      </c>
      <c r="B119" s="10"/>
      <c r="C119" s="8" t="s">
        <v>3734</v>
      </c>
      <c r="F119" s="8"/>
      <c r="H119" s="8" t="s">
        <v>268</v>
      </c>
      <c r="I119" s="8"/>
      <c r="J119" s="8" t="s">
        <v>268</v>
      </c>
      <c r="K119" s="8" t="s">
        <v>268</v>
      </c>
      <c r="L119" s="16" t="s">
        <v>268</v>
      </c>
      <c r="M119" s="8" t="s">
        <v>268</v>
      </c>
      <c r="N119" s="8" t="s">
        <v>268</v>
      </c>
    </row>
    <row r="120" spans="1:14">
      <c r="A120" s="9" t="s">
        <v>616</v>
      </c>
      <c r="B120" s="10"/>
      <c r="C120" s="8" t="s">
        <v>3734</v>
      </c>
      <c r="F120" s="8" t="s">
        <v>3734</v>
      </c>
      <c r="H120" s="8" t="s">
        <v>268</v>
      </c>
      <c r="I120" s="8"/>
      <c r="J120" s="212" t="s">
        <v>4050</v>
      </c>
      <c r="K120" s="8" t="s">
        <v>268</v>
      </c>
      <c r="L120" s="16" t="s">
        <v>268</v>
      </c>
      <c r="M120" s="8" t="s">
        <v>268</v>
      </c>
      <c r="N120" s="8" t="s">
        <v>268</v>
      </c>
    </row>
    <row r="121" spans="1:14">
      <c r="A121" s="9" t="s">
        <v>3760</v>
      </c>
      <c r="B121" s="10"/>
      <c r="D121" s="8" t="s">
        <v>3734</v>
      </c>
      <c r="F121" s="8"/>
      <c r="G121" s="7" t="s">
        <v>16</v>
      </c>
      <c r="H121" s="8" t="s">
        <v>169</v>
      </c>
      <c r="I121" s="8"/>
      <c r="J121" s="8" t="s">
        <v>268</v>
      </c>
      <c r="K121" s="8" t="s">
        <v>268</v>
      </c>
      <c r="L121" s="16" t="s">
        <v>268</v>
      </c>
      <c r="M121" s="8" t="s">
        <v>268</v>
      </c>
      <c r="N121" s="8" t="s">
        <v>268</v>
      </c>
    </row>
    <row r="122" spans="1:14">
      <c r="A122" s="9" t="s">
        <v>626</v>
      </c>
      <c r="B122" s="10"/>
      <c r="E122" s="8" t="s">
        <v>3734</v>
      </c>
      <c r="F122" s="8"/>
      <c r="H122" s="8" t="s">
        <v>268</v>
      </c>
      <c r="I122" s="8"/>
      <c r="J122" s="8" t="s">
        <v>268</v>
      </c>
      <c r="K122" s="8" t="s">
        <v>268</v>
      </c>
      <c r="L122" s="16" t="s">
        <v>268</v>
      </c>
      <c r="M122" s="8" t="s">
        <v>4104</v>
      </c>
      <c r="N122" s="8">
        <v>115.5</v>
      </c>
    </row>
    <row r="123" spans="1:14">
      <c r="A123" s="9" t="s">
        <v>630</v>
      </c>
      <c r="B123" s="10"/>
      <c r="E123" s="8" t="s">
        <v>3734</v>
      </c>
      <c r="F123" s="8"/>
      <c r="H123" s="8" t="s">
        <v>268</v>
      </c>
      <c r="I123" s="8"/>
      <c r="J123" s="8" t="s">
        <v>268</v>
      </c>
      <c r="K123" s="8" t="s">
        <v>268</v>
      </c>
      <c r="L123" s="16" t="s">
        <v>268</v>
      </c>
      <c r="M123" s="8" t="s">
        <v>4094</v>
      </c>
      <c r="N123" s="8">
        <v>138.18</v>
      </c>
    </row>
    <row r="124" spans="1:14">
      <c r="A124" s="9" t="s">
        <v>1813</v>
      </c>
      <c r="B124" s="10"/>
      <c r="E124" s="8" t="s">
        <v>3734</v>
      </c>
      <c r="F124" s="8" t="s">
        <v>3734</v>
      </c>
      <c r="G124" s="7" t="s">
        <v>16</v>
      </c>
      <c r="H124" s="8" t="s">
        <v>4105</v>
      </c>
      <c r="I124" s="8"/>
      <c r="J124" s="212" t="s">
        <v>4050</v>
      </c>
      <c r="K124" s="8" t="s">
        <v>268</v>
      </c>
      <c r="L124" s="16" t="s">
        <v>268</v>
      </c>
      <c r="M124" s="8" t="s">
        <v>268</v>
      </c>
      <c r="N124" s="8" t="s">
        <v>268</v>
      </c>
    </row>
    <row r="125" spans="1:14">
      <c r="A125" s="9" t="s">
        <v>3884</v>
      </c>
      <c r="B125" s="10"/>
      <c r="E125" s="8" t="s">
        <v>3734</v>
      </c>
      <c r="F125" s="8" t="s">
        <v>3734</v>
      </c>
      <c r="H125" s="8" t="s">
        <v>268</v>
      </c>
      <c r="I125" s="8"/>
      <c r="J125" s="8" t="s">
        <v>373</v>
      </c>
      <c r="K125" s="8">
        <v>158.34</v>
      </c>
      <c r="L125" s="16">
        <v>174.17</v>
      </c>
      <c r="M125" s="8" t="s">
        <v>268</v>
      </c>
      <c r="N125" s="8" t="s">
        <v>268</v>
      </c>
    </row>
    <row r="126" spans="1:14">
      <c r="A126" s="9" t="s">
        <v>642</v>
      </c>
      <c r="B126" s="10"/>
      <c r="F126" s="8" t="s">
        <v>3734</v>
      </c>
      <c r="H126" s="8" t="s">
        <v>268</v>
      </c>
      <c r="I126" s="8"/>
      <c r="J126" s="212" t="s">
        <v>4050</v>
      </c>
      <c r="K126" s="8" t="s">
        <v>268</v>
      </c>
      <c r="L126" s="16" t="s">
        <v>268</v>
      </c>
      <c r="M126" s="8" t="s">
        <v>268</v>
      </c>
      <c r="N126" s="8" t="s">
        <v>268</v>
      </c>
    </row>
    <row r="127" spans="1:14">
      <c r="A127" s="9" t="s">
        <v>645</v>
      </c>
      <c r="B127" s="10"/>
      <c r="C127" s="8" t="s">
        <v>3734</v>
      </c>
      <c r="F127" s="8"/>
      <c r="H127" s="8" t="s">
        <v>268</v>
      </c>
      <c r="I127" s="8"/>
      <c r="J127" s="8" t="s">
        <v>268</v>
      </c>
      <c r="K127" s="8" t="s">
        <v>268</v>
      </c>
      <c r="L127" s="16" t="s">
        <v>268</v>
      </c>
      <c r="M127" s="8" t="s">
        <v>268</v>
      </c>
      <c r="N127" s="8" t="s">
        <v>268</v>
      </c>
    </row>
    <row r="128" spans="1:14">
      <c r="A128" s="9" t="s">
        <v>3826</v>
      </c>
      <c r="B128" s="10"/>
      <c r="C128" s="8" t="s">
        <v>3734</v>
      </c>
      <c r="F128" s="8"/>
      <c r="H128" s="8" t="s">
        <v>268</v>
      </c>
      <c r="I128" s="8"/>
      <c r="J128" s="8" t="s">
        <v>268</v>
      </c>
      <c r="K128" s="8" t="s">
        <v>268</v>
      </c>
      <c r="L128" s="16" t="s">
        <v>268</v>
      </c>
      <c r="M128" s="8" t="s">
        <v>268</v>
      </c>
      <c r="N128" s="8" t="s">
        <v>268</v>
      </c>
    </row>
    <row r="129" spans="1:14">
      <c r="A129" s="9" t="s">
        <v>3762</v>
      </c>
      <c r="B129" s="10"/>
      <c r="D129" s="8" t="s">
        <v>3734</v>
      </c>
      <c r="F129" s="8"/>
      <c r="G129" s="7" t="s">
        <v>16</v>
      </c>
      <c r="H129" s="8" t="s">
        <v>169</v>
      </c>
      <c r="I129" s="8"/>
      <c r="J129" s="8" t="s">
        <v>268</v>
      </c>
      <c r="K129" s="8" t="s">
        <v>268</v>
      </c>
      <c r="L129" s="16" t="s">
        <v>268</v>
      </c>
      <c r="M129" s="8" t="s">
        <v>268</v>
      </c>
      <c r="N129" s="8" t="s">
        <v>268</v>
      </c>
    </row>
    <row r="130" spans="1:14">
      <c r="A130" s="9" t="s">
        <v>3763</v>
      </c>
      <c r="B130" s="10"/>
      <c r="D130" s="8" t="s">
        <v>3734</v>
      </c>
      <c r="F130" s="8"/>
      <c r="G130" s="7" t="s">
        <v>16</v>
      </c>
      <c r="H130" s="8" t="s">
        <v>169</v>
      </c>
      <c r="I130" s="8"/>
      <c r="J130" s="8" t="s">
        <v>268</v>
      </c>
      <c r="K130" s="8" t="s">
        <v>268</v>
      </c>
      <c r="L130" s="16" t="s">
        <v>268</v>
      </c>
      <c r="M130" s="8" t="s">
        <v>268</v>
      </c>
      <c r="N130" s="8" t="s">
        <v>268</v>
      </c>
    </row>
    <row r="131" spans="1:14">
      <c r="A131" s="9" t="s">
        <v>649</v>
      </c>
      <c r="B131" s="10"/>
      <c r="E131" s="8" t="s">
        <v>3734</v>
      </c>
      <c r="F131" s="8" t="s">
        <v>3734</v>
      </c>
      <c r="H131" s="8" t="s">
        <v>268</v>
      </c>
      <c r="I131" s="8"/>
      <c r="J131" s="8" t="s">
        <v>4106</v>
      </c>
      <c r="K131" s="8">
        <v>122.8</v>
      </c>
      <c r="L131" s="16">
        <v>135.08000000000001</v>
      </c>
      <c r="M131" s="8" t="s">
        <v>268</v>
      </c>
      <c r="N131" s="8" t="s">
        <v>268</v>
      </c>
    </row>
    <row r="132" spans="1:14">
      <c r="A132" s="9" t="s">
        <v>653</v>
      </c>
      <c r="B132" s="10"/>
      <c r="F132" s="8" t="s">
        <v>3734</v>
      </c>
      <c r="H132" s="8" t="s">
        <v>268</v>
      </c>
      <c r="I132" s="8"/>
      <c r="J132" s="8" t="s">
        <v>4107</v>
      </c>
      <c r="K132" s="8">
        <v>89</v>
      </c>
      <c r="L132" s="16">
        <v>97.9</v>
      </c>
      <c r="M132" s="8" t="s">
        <v>268</v>
      </c>
      <c r="N132" s="8" t="s">
        <v>268</v>
      </c>
    </row>
    <row r="133" spans="1:14">
      <c r="A133" s="9" t="s">
        <v>3827</v>
      </c>
      <c r="B133" s="10"/>
      <c r="C133" s="8" t="s">
        <v>3734</v>
      </c>
      <c r="F133" s="8"/>
      <c r="H133" s="8" t="s">
        <v>268</v>
      </c>
      <c r="I133" s="8"/>
      <c r="J133" s="8" t="s">
        <v>268</v>
      </c>
      <c r="K133" s="8" t="s">
        <v>268</v>
      </c>
      <c r="L133" s="16" t="s">
        <v>268</v>
      </c>
      <c r="M133" s="8" t="s">
        <v>268</v>
      </c>
      <c r="N133" s="8" t="s">
        <v>268</v>
      </c>
    </row>
    <row r="134" spans="1:14">
      <c r="A134" s="9" t="s">
        <v>3972</v>
      </c>
      <c r="B134" s="10"/>
      <c r="E134" s="8" t="s">
        <v>3734</v>
      </c>
      <c r="F134" s="8"/>
      <c r="H134" s="8" t="s">
        <v>268</v>
      </c>
      <c r="I134" s="8"/>
      <c r="J134" s="8" t="s">
        <v>268</v>
      </c>
      <c r="K134" s="8" t="s">
        <v>268</v>
      </c>
      <c r="L134" s="16" t="s">
        <v>268</v>
      </c>
      <c r="M134" s="8" t="s">
        <v>4094</v>
      </c>
      <c r="N134" s="8">
        <v>118.18</v>
      </c>
    </row>
    <row r="135" spans="1:14">
      <c r="A135" s="9" t="s">
        <v>3767</v>
      </c>
      <c r="B135" s="10"/>
      <c r="D135" s="8" t="s">
        <v>3734</v>
      </c>
      <c r="F135" s="8"/>
      <c r="H135" s="8" t="s">
        <v>268</v>
      </c>
      <c r="I135" s="8"/>
      <c r="J135" s="8" t="s">
        <v>268</v>
      </c>
      <c r="K135" s="8" t="s">
        <v>268</v>
      </c>
      <c r="L135" s="16" t="s">
        <v>268</v>
      </c>
      <c r="M135" s="8" t="s">
        <v>268</v>
      </c>
      <c r="N135" s="8" t="s">
        <v>268</v>
      </c>
    </row>
    <row r="136" spans="1:14">
      <c r="A136" s="9" t="s">
        <v>4108</v>
      </c>
      <c r="B136" s="10"/>
      <c r="F136" s="8"/>
      <c r="H136" s="8" t="s">
        <v>268</v>
      </c>
      <c r="I136" s="8"/>
      <c r="J136" s="8" t="s">
        <v>268</v>
      </c>
      <c r="K136" s="8" t="s">
        <v>268</v>
      </c>
      <c r="L136" s="16" t="s">
        <v>268</v>
      </c>
      <c r="M136" s="8" t="s">
        <v>268</v>
      </c>
      <c r="N136" s="8" t="s">
        <v>268</v>
      </c>
    </row>
    <row r="137" spans="1:14">
      <c r="A137" s="9" t="s">
        <v>94</v>
      </c>
      <c r="B137" s="10"/>
      <c r="D137" s="8" t="s">
        <v>3734</v>
      </c>
      <c r="F137" s="8" t="s">
        <v>3734</v>
      </c>
      <c r="H137" s="8" t="s">
        <v>268</v>
      </c>
      <c r="I137" s="8"/>
      <c r="J137" s="212" t="s">
        <v>4050</v>
      </c>
      <c r="K137" s="8" t="s">
        <v>268</v>
      </c>
      <c r="L137" s="16" t="s">
        <v>268</v>
      </c>
      <c r="M137" s="8" t="s">
        <v>268</v>
      </c>
      <c r="N137" s="8" t="s">
        <v>268</v>
      </c>
    </row>
    <row r="138" spans="1:14">
      <c r="A138" s="9" t="s">
        <v>3768</v>
      </c>
      <c r="B138" s="10"/>
      <c r="D138" s="8" t="s">
        <v>3734</v>
      </c>
      <c r="F138" s="8"/>
      <c r="H138" s="8" t="s">
        <v>268</v>
      </c>
      <c r="I138" s="8"/>
      <c r="J138" s="8" t="s">
        <v>268</v>
      </c>
      <c r="K138" s="8" t="s">
        <v>268</v>
      </c>
      <c r="L138" s="16" t="s">
        <v>268</v>
      </c>
      <c r="M138" s="8" t="s">
        <v>268</v>
      </c>
      <c r="N138" s="8" t="s">
        <v>268</v>
      </c>
    </row>
    <row r="139" spans="1:14">
      <c r="A139" s="9" t="s">
        <v>3764</v>
      </c>
      <c r="B139" s="10"/>
      <c r="D139" s="8" t="s">
        <v>3734</v>
      </c>
      <c r="E139" s="8" t="s">
        <v>3734</v>
      </c>
      <c r="F139" s="8"/>
      <c r="H139" s="8" t="s">
        <v>268</v>
      </c>
      <c r="I139" s="8"/>
      <c r="J139" s="8" t="s">
        <v>268</v>
      </c>
      <c r="K139" s="8" t="s">
        <v>268</v>
      </c>
      <c r="L139" s="16" t="s">
        <v>268</v>
      </c>
      <c r="M139" s="8" t="s">
        <v>4109</v>
      </c>
      <c r="N139" s="8">
        <v>599.1</v>
      </c>
    </row>
    <row r="140" spans="1:14">
      <c r="A140" s="9" t="s">
        <v>4110</v>
      </c>
      <c r="B140" s="10"/>
      <c r="D140" s="8" t="s">
        <v>3734</v>
      </c>
      <c r="F140" s="8"/>
      <c r="G140" s="7" t="s">
        <v>16</v>
      </c>
      <c r="H140" s="8" t="s">
        <v>169</v>
      </c>
      <c r="I140" s="8"/>
      <c r="J140" s="8" t="s">
        <v>268</v>
      </c>
      <c r="K140" s="8" t="s">
        <v>268</v>
      </c>
      <c r="L140" s="16" t="s">
        <v>268</v>
      </c>
      <c r="M140" s="8" t="s">
        <v>268</v>
      </c>
      <c r="N140" s="8" t="s">
        <v>268</v>
      </c>
    </row>
    <row r="141" spans="1:14">
      <c r="A141" s="9" t="s">
        <v>675</v>
      </c>
      <c r="B141" s="10"/>
      <c r="E141" s="8" t="s">
        <v>3734</v>
      </c>
      <c r="F141" s="8"/>
      <c r="H141" s="8" t="s">
        <v>268</v>
      </c>
      <c r="I141" s="8"/>
      <c r="J141" s="8" t="s">
        <v>268</v>
      </c>
      <c r="K141" s="8" t="s">
        <v>268</v>
      </c>
      <c r="L141" s="16" t="s">
        <v>268</v>
      </c>
      <c r="M141" s="8" t="s">
        <v>4111</v>
      </c>
      <c r="N141" s="8">
        <v>140.91</v>
      </c>
    </row>
    <row r="142" spans="1:14">
      <c r="A142" s="9" t="s">
        <v>3730</v>
      </c>
      <c r="B142" s="10"/>
      <c r="E142" s="8" t="s">
        <v>3734</v>
      </c>
      <c r="F142" s="8"/>
      <c r="H142" s="8" t="s">
        <v>268</v>
      </c>
      <c r="I142" s="8"/>
      <c r="J142" s="8" t="s">
        <v>268</v>
      </c>
      <c r="K142" s="8" t="s">
        <v>268</v>
      </c>
      <c r="L142" s="16" t="s">
        <v>268</v>
      </c>
      <c r="M142" s="8" t="s">
        <v>4112</v>
      </c>
      <c r="N142" s="8">
        <v>127.27</v>
      </c>
    </row>
    <row r="143" spans="1:14">
      <c r="A143" s="9" t="s">
        <v>681</v>
      </c>
      <c r="B143" s="10"/>
      <c r="E143" s="8" t="s">
        <v>3734</v>
      </c>
      <c r="F143" s="8"/>
      <c r="H143" s="8" t="s">
        <v>268</v>
      </c>
      <c r="I143" s="8"/>
      <c r="J143" s="8" t="s">
        <v>268</v>
      </c>
      <c r="K143" s="8" t="s">
        <v>268</v>
      </c>
      <c r="L143" s="16" t="s">
        <v>268</v>
      </c>
      <c r="M143" s="8" t="s">
        <v>4111</v>
      </c>
      <c r="N143" s="8">
        <v>140.91</v>
      </c>
    </row>
    <row r="144" spans="1:14">
      <c r="A144" s="9" t="s">
        <v>3987</v>
      </c>
      <c r="B144" s="10"/>
      <c r="E144" s="8" t="s">
        <v>3734</v>
      </c>
      <c r="F144" s="8"/>
      <c r="H144" s="8" t="s">
        <v>268</v>
      </c>
      <c r="I144" s="8"/>
      <c r="J144" s="8" t="s">
        <v>268</v>
      </c>
      <c r="K144" s="8" t="s">
        <v>268</v>
      </c>
      <c r="L144" s="16" t="s">
        <v>268</v>
      </c>
      <c r="M144" s="8" t="s">
        <v>4068</v>
      </c>
      <c r="N144" s="8">
        <v>122.27</v>
      </c>
    </row>
    <row r="145" spans="1:14">
      <c r="A145" s="9" t="s">
        <v>684</v>
      </c>
      <c r="B145" s="10"/>
      <c r="E145" s="8" t="s">
        <v>3734</v>
      </c>
      <c r="F145" s="8"/>
      <c r="H145" s="8" t="s">
        <v>268</v>
      </c>
      <c r="I145" s="8"/>
      <c r="J145" s="8" t="s">
        <v>268</v>
      </c>
      <c r="K145" s="8" t="s">
        <v>268</v>
      </c>
      <c r="L145" s="16" t="s">
        <v>268</v>
      </c>
      <c r="M145" s="8" t="s">
        <v>4112</v>
      </c>
      <c r="N145" s="8">
        <v>127.27</v>
      </c>
    </row>
    <row r="146" spans="1:14">
      <c r="A146" s="9" t="s">
        <v>688</v>
      </c>
      <c r="B146" s="10"/>
      <c r="E146" s="8" t="s">
        <v>3734</v>
      </c>
      <c r="F146" s="8"/>
      <c r="H146" s="8" t="s">
        <v>268</v>
      </c>
      <c r="I146" s="8"/>
      <c r="J146" s="8" t="s">
        <v>268</v>
      </c>
      <c r="K146" s="8" t="s">
        <v>268</v>
      </c>
      <c r="L146" s="16" t="s">
        <v>268</v>
      </c>
      <c r="M146" s="8" t="s">
        <v>4111</v>
      </c>
      <c r="N146" s="8">
        <v>140.91</v>
      </c>
    </row>
    <row r="147" spans="1:14">
      <c r="A147" s="9" t="s">
        <v>3970</v>
      </c>
      <c r="B147" s="10"/>
      <c r="E147" s="8" t="s">
        <v>3734</v>
      </c>
      <c r="F147" s="8"/>
      <c r="H147" s="8" t="s">
        <v>268</v>
      </c>
      <c r="I147" s="8"/>
      <c r="J147" s="8" t="s">
        <v>268</v>
      </c>
      <c r="K147" s="8" t="s">
        <v>268</v>
      </c>
      <c r="L147" s="16" t="s">
        <v>268</v>
      </c>
      <c r="M147" s="8" t="s">
        <v>4111</v>
      </c>
      <c r="N147" s="8">
        <v>140.91</v>
      </c>
    </row>
    <row r="148" spans="1:14">
      <c r="A148" s="9" t="s">
        <v>3969</v>
      </c>
      <c r="B148" s="10"/>
      <c r="E148" s="8" t="s">
        <v>3734</v>
      </c>
      <c r="F148" s="8"/>
      <c r="H148" s="8" t="s">
        <v>268</v>
      </c>
      <c r="I148" s="8"/>
      <c r="J148" s="8" t="s">
        <v>268</v>
      </c>
      <c r="K148" s="8" t="s">
        <v>268</v>
      </c>
      <c r="L148" s="16" t="s">
        <v>268</v>
      </c>
      <c r="M148" s="8" t="s">
        <v>4112</v>
      </c>
      <c r="N148" s="8">
        <v>127.27</v>
      </c>
    </row>
    <row r="149" spans="1:14">
      <c r="A149" s="9" t="s">
        <v>700</v>
      </c>
      <c r="B149" s="10"/>
      <c r="E149" s="8" t="s">
        <v>3734</v>
      </c>
      <c r="F149" s="8"/>
      <c r="H149" s="8" t="s">
        <v>268</v>
      </c>
      <c r="I149" s="8"/>
      <c r="J149" s="8" t="s">
        <v>268</v>
      </c>
      <c r="K149" s="8" t="s">
        <v>268</v>
      </c>
      <c r="L149" s="16" t="s">
        <v>268</v>
      </c>
      <c r="M149" s="8" t="s">
        <v>4111</v>
      </c>
      <c r="N149" s="8">
        <v>140.91</v>
      </c>
    </row>
    <row r="150" spans="1:14">
      <c r="A150" s="9" t="s">
        <v>4113</v>
      </c>
      <c r="B150" s="10"/>
      <c r="F150" s="8"/>
      <c r="H150" s="8" t="s">
        <v>268</v>
      </c>
      <c r="I150" s="8"/>
      <c r="J150" s="8" t="s">
        <v>268</v>
      </c>
      <c r="K150" s="8" t="s">
        <v>268</v>
      </c>
      <c r="L150" s="16" t="s">
        <v>268</v>
      </c>
      <c r="M150" s="8" t="s">
        <v>268</v>
      </c>
      <c r="N150" s="8" t="s">
        <v>268</v>
      </c>
    </row>
    <row r="151" spans="1:14">
      <c r="A151" s="9" t="s">
        <v>707</v>
      </c>
      <c r="B151" s="10"/>
      <c r="C151" s="8" t="s">
        <v>3734</v>
      </c>
      <c r="F151" s="8"/>
      <c r="H151" s="8" t="s">
        <v>268</v>
      </c>
      <c r="I151" s="8"/>
      <c r="J151" s="8" t="s">
        <v>268</v>
      </c>
      <c r="K151" s="8" t="s">
        <v>268</v>
      </c>
      <c r="L151" s="16" t="s">
        <v>268</v>
      </c>
      <c r="M151" s="8" t="s">
        <v>268</v>
      </c>
      <c r="N151" s="8" t="s">
        <v>268</v>
      </c>
    </row>
    <row r="152" spans="1:14">
      <c r="A152" s="9" t="s">
        <v>3828</v>
      </c>
      <c r="B152" s="10"/>
      <c r="C152" s="8" t="s">
        <v>3734</v>
      </c>
      <c r="F152" s="8"/>
      <c r="H152" s="8" t="s">
        <v>268</v>
      </c>
      <c r="I152" s="8"/>
      <c r="J152" s="8" t="s">
        <v>268</v>
      </c>
      <c r="K152" s="8" t="s">
        <v>268</v>
      </c>
      <c r="L152" s="16" t="s">
        <v>268</v>
      </c>
      <c r="M152" s="8" t="s">
        <v>268</v>
      </c>
      <c r="N152" s="8" t="s">
        <v>268</v>
      </c>
    </row>
    <row r="153" spans="1:14">
      <c r="A153" s="9" t="s">
        <v>4114</v>
      </c>
      <c r="B153" s="10"/>
      <c r="F153" s="8" t="s">
        <v>3734</v>
      </c>
      <c r="H153" s="8" t="s">
        <v>268</v>
      </c>
      <c r="I153" s="8"/>
      <c r="J153" s="8" t="s">
        <v>4115</v>
      </c>
      <c r="K153" s="8">
        <v>120</v>
      </c>
      <c r="L153" s="16">
        <v>132</v>
      </c>
      <c r="M153" s="8" t="s">
        <v>268</v>
      </c>
      <c r="N153" s="8" t="s">
        <v>268</v>
      </c>
    </row>
    <row r="154" spans="1:14">
      <c r="A154" s="9" t="s">
        <v>4116</v>
      </c>
      <c r="B154" s="10"/>
      <c r="F154" s="8"/>
      <c r="H154" s="8" t="s">
        <v>268</v>
      </c>
      <c r="I154" s="8"/>
      <c r="J154" s="8" t="s">
        <v>268</v>
      </c>
      <c r="K154" s="8" t="s">
        <v>268</v>
      </c>
      <c r="L154" s="16" t="s">
        <v>268</v>
      </c>
      <c r="M154" s="8" t="s">
        <v>268</v>
      </c>
      <c r="N154" s="8" t="s">
        <v>268</v>
      </c>
    </row>
    <row r="155" spans="1:14">
      <c r="A155" s="9" t="s">
        <v>4026</v>
      </c>
      <c r="B155" s="10"/>
      <c r="F155" s="8" t="s">
        <v>3734</v>
      </c>
      <c r="H155" s="8" t="s">
        <v>268</v>
      </c>
      <c r="I155" s="8"/>
      <c r="J155" s="212" t="s">
        <v>4050</v>
      </c>
      <c r="K155" s="8" t="s">
        <v>268</v>
      </c>
      <c r="L155" s="16" t="s">
        <v>268</v>
      </c>
      <c r="M155" s="8" t="s">
        <v>268</v>
      </c>
      <c r="N155" s="8" t="s">
        <v>268</v>
      </c>
    </row>
    <row r="156" spans="1:14">
      <c r="A156" s="9" t="s">
        <v>3986</v>
      </c>
      <c r="B156" s="10"/>
      <c r="E156" s="8" t="s">
        <v>3734</v>
      </c>
      <c r="F156" s="8"/>
      <c r="H156" s="8" t="s">
        <v>268</v>
      </c>
      <c r="I156" s="8"/>
      <c r="J156" s="8" t="s">
        <v>268</v>
      </c>
      <c r="K156" s="8" t="s">
        <v>268</v>
      </c>
      <c r="L156" s="16" t="s">
        <v>268</v>
      </c>
      <c r="M156" s="8" t="s">
        <v>4068</v>
      </c>
      <c r="N156" s="8">
        <v>131.36000000000001</v>
      </c>
    </row>
    <row r="157" spans="1:14">
      <c r="A157" s="9" t="s">
        <v>4117</v>
      </c>
      <c r="B157" s="10"/>
      <c r="F157" s="8"/>
      <c r="H157" s="8" t="s">
        <v>268</v>
      </c>
      <c r="I157" s="8"/>
      <c r="J157" s="8" t="s">
        <v>268</v>
      </c>
      <c r="K157" s="8" t="s">
        <v>268</v>
      </c>
      <c r="L157" s="16" t="s">
        <v>268</v>
      </c>
      <c r="M157" s="8" t="s">
        <v>268</v>
      </c>
      <c r="N157" s="8" t="s">
        <v>268</v>
      </c>
    </row>
    <row r="158" spans="1:14">
      <c r="A158" s="9" t="s">
        <v>4118</v>
      </c>
      <c r="B158" s="10"/>
      <c r="F158" s="8"/>
      <c r="H158" s="8" t="s">
        <v>268</v>
      </c>
      <c r="I158" s="8"/>
      <c r="J158" s="8" t="s">
        <v>268</v>
      </c>
      <c r="K158" s="8" t="s">
        <v>268</v>
      </c>
      <c r="L158" s="16" t="s">
        <v>268</v>
      </c>
      <c r="M158" s="8" t="s">
        <v>268</v>
      </c>
      <c r="N158" s="8" t="s">
        <v>268</v>
      </c>
    </row>
    <row r="159" spans="1:14">
      <c r="A159" s="9" t="s">
        <v>725</v>
      </c>
      <c r="B159" s="10"/>
      <c r="C159" s="8" t="s">
        <v>3734</v>
      </c>
      <c r="F159" s="8"/>
      <c r="H159" s="8" t="s">
        <v>268</v>
      </c>
      <c r="I159" s="8"/>
      <c r="J159" s="8" t="s">
        <v>268</v>
      </c>
      <c r="K159" s="8" t="s">
        <v>268</v>
      </c>
      <c r="L159" s="16" t="s">
        <v>268</v>
      </c>
      <c r="M159" s="8" t="s">
        <v>268</v>
      </c>
      <c r="N159" s="8" t="s">
        <v>268</v>
      </c>
    </row>
    <row r="160" spans="1:14">
      <c r="A160" s="9" t="s">
        <v>733</v>
      </c>
      <c r="B160" s="10"/>
      <c r="D160" s="8" t="s">
        <v>3734</v>
      </c>
      <c r="E160" s="8" t="s">
        <v>3734</v>
      </c>
      <c r="F160" s="8" t="s">
        <v>3734</v>
      </c>
      <c r="G160" s="7" t="s">
        <v>16</v>
      </c>
      <c r="H160" s="8" t="s">
        <v>169</v>
      </c>
      <c r="I160" s="8"/>
      <c r="J160" s="212" t="s">
        <v>4050</v>
      </c>
      <c r="K160" s="8" t="s">
        <v>268</v>
      </c>
      <c r="L160" s="16" t="s">
        <v>268</v>
      </c>
      <c r="M160" s="8" t="s">
        <v>4119</v>
      </c>
      <c r="N160" s="8">
        <v>120</v>
      </c>
    </row>
    <row r="161" spans="1:14">
      <c r="A161" s="9" t="s">
        <v>3903</v>
      </c>
      <c r="B161" s="10"/>
      <c r="E161" s="8" t="s">
        <v>3734</v>
      </c>
      <c r="F161" s="8"/>
      <c r="H161" s="8" t="s">
        <v>268</v>
      </c>
      <c r="I161" s="8"/>
      <c r="J161" s="8" t="s">
        <v>268</v>
      </c>
      <c r="K161" s="8" t="s">
        <v>268</v>
      </c>
      <c r="L161" s="16" t="s">
        <v>268</v>
      </c>
      <c r="M161" s="8" t="s">
        <v>4104</v>
      </c>
      <c r="N161" s="8">
        <v>95.45</v>
      </c>
    </row>
    <row r="162" spans="1:14">
      <c r="A162" s="9" t="s">
        <v>3771</v>
      </c>
      <c r="B162" s="10"/>
      <c r="D162" s="8" t="s">
        <v>3734</v>
      </c>
      <c r="F162" s="8"/>
      <c r="H162" s="8" t="s">
        <v>268</v>
      </c>
      <c r="I162" s="8"/>
      <c r="J162" s="8" t="s">
        <v>268</v>
      </c>
      <c r="K162" s="8" t="s">
        <v>268</v>
      </c>
      <c r="L162" s="16" t="s">
        <v>268</v>
      </c>
      <c r="M162" s="8" t="s">
        <v>268</v>
      </c>
      <c r="N162" s="8" t="s">
        <v>268</v>
      </c>
    </row>
    <row r="163" spans="1:14">
      <c r="A163" s="9" t="s">
        <v>4120</v>
      </c>
      <c r="B163" s="10"/>
      <c r="F163" s="8"/>
      <c r="H163" s="8" t="s">
        <v>268</v>
      </c>
      <c r="I163" s="8"/>
      <c r="J163" s="8" t="s">
        <v>268</v>
      </c>
      <c r="K163" s="8" t="s">
        <v>268</v>
      </c>
      <c r="L163" s="16" t="s">
        <v>268</v>
      </c>
      <c r="M163" s="8" t="s">
        <v>268</v>
      </c>
      <c r="N163" s="8" t="s">
        <v>268</v>
      </c>
    </row>
    <row r="164" spans="1:14">
      <c r="A164" s="9" t="s">
        <v>4121</v>
      </c>
      <c r="B164" s="10"/>
      <c r="F164" s="8"/>
      <c r="H164" s="8" t="s">
        <v>268</v>
      </c>
      <c r="I164" s="8"/>
      <c r="J164" s="8" t="s">
        <v>268</v>
      </c>
      <c r="K164" s="8" t="s">
        <v>268</v>
      </c>
      <c r="L164" s="16" t="s">
        <v>268</v>
      </c>
      <c r="M164" s="8" t="s">
        <v>268</v>
      </c>
      <c r="N164" s="8" t="s">
        <v>268</v>
      </c>
    </row>
    <row r="165" spans="1:14">
      <c r="A165" s="9" t="s">
        <v>3829</v>
      </c>
      <c r="B165" s="10"/>
      <c r="C165" s="8" t="s">
        <v>3734</v>
      </c>
      <c r="F165" s="8"/>
      <c r="H165" s="8" t="s">
        <v>268</v>
      </c>
      <c r="I165" s="8"/>
      <c r="J165" s="8" t="s">
        <v>268</v>
      </c>
      <c r="K165" s="8" t="s">
        <v>268</v>
      </c>
      <c r="L165" s="16" t="s">
        <v>268</v>
      </c>
      <c r="M165" s="8" t="s">
        <v>268</v>
      </c>
      <c r="N165" s="8" t="s">
        <v>268</v>
      </c>
    </row>
    <row r="166" spans="1:14">
      <c r="A166" s="9" t="s">
        <v>780</v>
      </c>
      <c r="B166" s="10"/>
      <c r="C166" s="8" t="s">
        <v>3734</v>
      </c>
      <c r="F166" s="8"/>
      <c r="H166" s="8" t="s">
        <v>268</v>
      </c>
      <c r="I166" s="8"/>
      <c r="J166" s="8" t="s">
        <v>268</v>
      </c>
      <c r="K166" s="8" t="s">
        <v>268</v>
      </c>
      <c r="L166" s="16" t="s">
        <v>268</v>
      </c>
      <c r="M166" s="8" t="s">
        <v>268</v>
      </c>
      <c r="N166" s="8" t="s">
        <v>268</v>
      </c>
    </row>
    <row r="167" spans="1:14">
      <c r="A167" s="9" t="s">
        <v>3830</v>
      </c>
      <c r="B167" s="10"/>
      <c r="C167" s="8" t="s">
        <v>3734</v>
      </c>
      <c r="F167" s="8"/>
      <c r="H167" s="8" t="s">
        <v>268</v>
      </c>
      <c r="I167" s="8"/>
      <c r="J167" s="8" t="s">
        <v>268</v>
      </c>
      <c r="K167" s="8" t="s">
        <v>268</v>
      </c>
      <c r="L167" s="16" t="s">
        <v>268</v>
      </c>
      <c r="M167" s="8" t="s">
        <v>268</v>
      </c>
      <c r="N167" s="8" t="s">
        <v>268</v>
      </c>
    </row>
    <row r="168" spans="1:14">
      <c r="A168" s="9" t="s">
        <v>4122</v>
      </c>
      <c r="B168" s="10"/>
      <c r="F168" s="8"/>
      <c r="H168" s="8" t="s">
        <v>268</v>
      </c>
      <c r="I168" s="8"/>
      <c r="J168" s="8" t="s">
        <v>268</v>
      </c>
      <c r="K168" s="8" t="s">
        <v>268</v>
      </c>
      <c r="L168" s="16" t="s">
        <v>268</v>
      </c>
      <c r="M168" s="8" t="s">
        <v>268</v>
      </c>
      <c r="N168" s="8" t="s">
        <v>268</v>
      </c>
    </row>
    <row r="169" spans="1:14">
      <c r="A169" s="9" t="s">
        <v>4123</v>
      </c>
      <c r="B169" s="10"/>
      <c r="F169" s="8"/>
      <c r="H169" s="8" t="s">
        <v>268</v>
      </c>
      <c r="I169" s="8"/>
      <c r="J169" s="8" t="s">
        <v>268</v>
      </c>
      <c r="K169" s="8" t="s">
        <v>268</v>
      </c>
      <c r="L169" s="16" t="s">
        <v>268</v>
      </c>
      <c r="M169" s="8" t="s">
        <v>268</v>
      </c>
      <c r="N169" s="8" t="s">
        <v>268</v>
      </c>
    </row>
    <row r="170" spans="1:14">
      <c r="A170" s="9" t="s">
        <v>3773</v>
      </c>
      <c r="B170" s="10"/>
      <c r="D170" s="8" t="s">
        <v>3734</v>
      </c>
      <c r="F170" s="8" t="s">
        <v>3734</v>
      </c>
      <c r="H170" s="8" t="s">
        <v>268</v>
      </c>
      <c r="I170" s="8"/>
      <c r="J170" s="212" t="s">
        <v>4050</v>
      </c>
      <c r="K170" s="8" t="s">
        <v>268</v>
      </c>
      <c r="L170" s="16" t="s">
        <v>268</v>
      </c>
      <c r="M170" s="8" t="s">
        <v>268</v>
      </c>
      <c r="N170" s="8" t="s">
        <v>268</v>
      </c>
    </row>
    <row r="171" spans="1:14">
      <c r="A171" s="9" t="s">
        <v>3985</v>
      </c>
      <c r="B171" s="10"/>
      <c r="E171" s="8" t="s">
        <v>3734</v>
      </c>
      <c r="F171" s="8"/>
      <c r="H171" s="8" t="s">
        <v>268</v>
      </c>
      <c r="I171" s="8"/>
      <c r="J171" s="8" t="s">
        <v>268</v>
      </c>
      <c r="K171" s="8" t="s">
        <v>268</v>
      </c>
      <c r="L171" s="16" t="s">
        <v>268</v>
      </c>
      <c r="M171" s="8" t="s">
        <v>268</v>
      </c>
      <c r="N171" s="8" t="s">
        <v>268</v>
      </c>
    </row>
    <row r="172" spans="1:14">
      <c r="A172" s="9" t="s">
        <v>3915</v>
      </c>
      <c r="B172" s="10"/>
      <c r="E172" s="8" t="s">
        <v>3734</v>
      </c>
      <c r="F172" s="8"/>
      <c r="H172" s="8" t="s">
        <v>268</v>
      </c>
      <c r="I172" s="8"/>
      <c r="J172" s="8" t="s">
        <v>268</v>
      </c>
      <c r="K172" s="8" t="s">
        <v>268</v>
      </c>
      <c r="L172" s="16" t="s">
        <v>268</v>
      </c>
      <c r="M172" s="8" t="s">
        <v>268</v>
      </c>
      <c r="N172" s="8" t="s">
        <v>268</v>
      </c>
    </row>
    <row r="173" spans="1:14">
      <c r="A173" s="9" t="s">
        <v>4028</v>
      </c>
      <c r="B173" s="10"/>
      <c r="F173" s="8" t="s">
        <v>3734</v>
      </c>
      <c r="H173" s="8" t="s">
        <v>268</v>
      </c>
      <c r="I173" s="8"/>
      <c r="J173" s="8" t="s">
        <v>4124</v>
      </c>
      <c r="K173" s="8">
        <v>82.73</v>
      </c>
      <c r="L173" s="16">
        <v>91</v>
      </c>
      <c r="M173" s="8" t="s">
        <v>268</v>
      </c>
      <c r="N173" s="8" t="s">
        <v>268</v>
      </c>
    </row>
    <row r="174" spans="1:14">
      <c r="A174" s="9" t="s">
        <v>3831</v>
      </c>
      <c r="B174" s="10"/>
      <c r="C174" s="8" t="s">
        <v>3734</v>
      </c>
      <c r="F174" s="8"/>
      <c r="H174" s="8" t="s">
        <v>268</v>
      </c>
      <c r="I174" s="8"/>
      <c r="J174" s="8" t="s">
        <v>268</v>
      </c>
      <c r="K174" s="8" t="s">
        <v>268</v>
      </c>
      <c r="L174" s="16" t="s">
        <v>268</v>
      </c>
      <c r="M174" s="8" t="s">
        <v>268</v>
      </c>
      <c r="N174" s="8" t="s">
        <v>268</v>
      </c>
    </row>
    <row r="175" spans="1:14">
      <c r="A175" s="9" t="s">
        <v>3832</v>
      </c>
      <c r="B175" s="10"/>
      <c r="C175" s="8" t="s">
        <v>3734</v>
      </c>
      <c r="F175" s="8"/>
      <c r="H175" s="8" t="s">
        <v>268</v>
      </c>
      <c r="I175" s="8"/>
      <c r="J175" s="8" t="s">
        <v>268</v>
      </c>
      <c r="K175" s="8" t="s">
        <v>268</v>
      </c>
      <c r="L175" s="16" t="s">
        <v>268</v>
      </c>
      <c r="M175" s="8" t="s">
        <v>268</v>
      </c>
      <c r="N175" s="8" t="s">
        <v>268</v>
      </c>
    </row>
    <row r="176" spans="1:14">
      <c r="A176" s="9" t="s">
        <v>4125</v>
      </c>
      <c r="B176" s="10"/>
      <c r="F176" s="8"/>
      <c r="H176" s="8" t="s">
        <v>268</v>
      </c>
      <c r="I176" s="8"/>
      <c r="J176" s="8" t="s">
        <v>268</v>
      </c>
      <c r="K176" s="8" t="s">
        <v>268</v>
      </c>
      <c r="L176" s="16" t="s">
        <v>268</v>
      </c>
      <c r="M176" s="8" t="s">
        <v>268</v>
      </c>
      <c r="N176" s="8" t="s">
        <v>268</v>
      </c>
    </row>
    <row r="177" spans="1:14">
      <c r="A177" s="9" t="s">
        <v>4126</v>
      </c>
      <c r="B177" s="10"/>
      <c r="F177" s="8"/>
      <c r="H177" s="8" t="s">
        <v>268</v>
      </c>
      <c r="I177" s="8"/>
      <c r="J177" s="8" t="s">
        <v>268</v>
      </c>
      <c r="K177" s="8" t="s">
        <v>268</v>
      </c>
      <c r="L177" s="16" t="s">
        <v>268</v>
      </c>
      <c r="M177" s="8" t="s">
        <v>268</v>
      </c>
      <c r="N177" s="8" t="s">
        <v>268</v>
      </c>
    </row>
    <row r="178" spans="1:14">
      <c r="A178" s="9" t="s">
        <v>355</v>
      </c>
      <c r="B178" s="10"/>
      <c r="D178" s="8" t="s">
        <v>3734</v>
      </c>
      <c r="F178" s="8" t="s">
        <v>3734</v>
      </c>
      <c r="H178" s="8" t="s">
        <v>268</v>
      </c>
      <c r="I178" s="8"/>
      <c r="J178" s="212" t="s">
        <v>4050</v>
      </c>
      <c r="K178" s="8" t="s">
        <v>268</v>
      </c>
      <c r="L178" s="16" t="s">
        <v>268</v>
      </c>
      <c r="M178" s="8" t="s">
        <v>268</v>
      </c>
      <c r="N178" s="8" t="s">
        <v>268</v>
      </c>
    </row>
    <row r="179" spans="1:14">
      <c r="A179" s="9" t="s">
        <v>833</v>
      </c>
      <c r="B179" s="10"/>
      <c r="C179" s="8" t="s">
        <v>3734</v>
      </c>
      <c r="F179" s="8" t="s">
        <v>3734</v>
      </c>
      <c r="H179" s="8" t="s">
        <v>268</v>
      </c>
      <c r="I179" s="8"/>
      <c r="J179" s="8" t="s">
        <v>4127</v>
      </c>
      <c r="K179" s="8">
        <v>98</v>
      </c>
      <c r="L179" s="16">
        <v>107.8</v>
      </c>
      <c r="M179" s="8" t="s">
        <v>268</v>
      </c>
      <c r="N179" s="8" t="s">
        <v>268</v>
      </c>
    </row>
    <row r="180" spans="1:14">
      <c r="A180" s="9" t="s">
        <v>838</v>
      </c>
      <c r="B180" s="10"/>
      <c r="C180" s="8" t="s">
        <v>3734</v>
      </c>
      <c r="F180" s="8"/>
      <c r="H180" s="8" t="s">
        <v>268</v>
      </c>
      <c r="I180" s="8"/>
      <c r="J180" s="8" t="s">
        <v>268</v>
      </c>
      <c r="K180" s="8" t="s">
        <v>268</v>
      </c>
      <c r="L180" s="16" t="s">
        <v>268</v>
      </c>
      <c r="M180" s="8" t="s">
        <v>268</v>
      </c>
      <c r="N180" s="8" t="s">
        <v>268</v>
      </c>
    </row>
    <row r="181" spans="1:14">
      <c r="A181" s="9" t="s">
        <v>4128</v>
      </c>
      <c r="B181" s="10"/>
      <c r="F181" s="8"/>
      <c r="H181" s="8" t="s">
        <v>268</v>
      </c>
      <c r="I181" s="8"/>
      <c r="J181" s="8" t="s">
        <v>268</v>
      </c>
      <c r="K181" s="8" t="s">
        <v>268</v>
      </c>
      <c r="L181" s="16" t="s">
        <v>268</v>
      </c>
      <c r="M181" s="8" t="s">
        <v>268</v>
      </c>
      <c r="N181" s="8" t="s">
        <v>268</v>
      </c>
    </row>
    <row r="182" spans="1:14">
      <c r="A182" s="9" t="s">
        <v>3774</v>
      </c>
      <c r="B182" s="10"/>
      <c r="D182" s="8" t="s">
        <v>3734</v>
      </c>
      <c r="F182" s="8" t="s">
        <v>3734</v>
      </c>
      <c r="H182" s="8" t="s">
        <v>268</v>
      </c>
      <c r="I182" s="8"/>
      <c r="J182" s="212" t="s">
        <v>4050</v>
      </c>
      <c r="K182" s="8" t="s">
        <v>268</v>
      </c>
      <c r="L182" s="16" t="s">
        <v>268</v>
      </c>
      <c r="M182" s="8" t="s">
        <v>268</v>
      </c>
      <c r="N182" s="8" t="s">
        <v>268</v>
      </c>
    </row>
    <row r="183" spans="1:14">
      <c r="A183" s="9" t="s">
        <v>4129</v>
      </c>
      <c r="B183" s="10"/>
      <c r="F183" s="8"/>
      <c r="H183" s="8" t="s">
        <v>268</v>
      </c>
      <c r="I183" s="8"/>
      <c r="J183" s="8" t="s">
        <v>268</v>
      </c>
      <c r="K183" s="8" t="s">
        <v>268</v>
      </c>
      <c r="L183" s="16" t="s">
        <v>268</v>
      </c>
      <c r="M183" s="8" t="s">
        <v>268</v>
      </c>
      <c r="N183" s="8" t="s">
        <v>268</v>
      </c>
    </row>
    <row r="184" spans="1:14">
      <c r="A184" s="9" t="s">
        <v>847</v>
      </c>
      <c r="B184" s="10"/>
      <c r="F184" s="8" t="s">
        <v>3734</v>
      </c>
      <c r="H184" s="8" t="s">
        <v>268</v>
      </c>
      <c r="I184" s="8"/>
      <c r="J184" s="212" t="s">
        <v>4050</v>
      </c>
      <c r="K184" s="8" t="s">
        <v>268</v>
      </c>
      <c r="L184" s="16" t="s">
        <v>268</v>
      </c>
      <c r="M184" s="8" t="s">
        <v>268</v>
      </c>
      <c r="N184" s="8" t="s">
        <v>268</v>
      </c>
    </row>
    <row r="185" spans="1:14">
      <c r="A185" s="9" t="s">
        <v>4130</v>
      </c>
      <c r="B185" s="10"/>
      <c r="E185" s="8" t="s">
        <v>3734</v>
      </c>
      <c r="F185" s="8"/>
      <c r="H185" s="8" t="s">
        <v>268</v>
      </c>
      <c r="I185" s="8"/>
      <c r="J185" s="8" t="s">
        <v>268</v>
      </c>
      <c r="K185" s="8" t="s">
        <v>268</v>
      </c>
      <c r="L185" s="16" t="s">
        <v>268</v>
      </c>
      <c r="M185" s="8" t="s">
        <v>268</v>
      </c>
      <c r="N185" s="8" t="s">
        <v>268</v>
      </c>
    </row>
    <row r="186" spans="1:14">
      <c r="A186" s="9" t="s">
        <v>1833</v>
      </c>
      <c r="B186" s="10"/>
      <c r="D186" s="8" t="s">
        <v>3734</v>
      </c>
      <c r="F186" s="8"/>
      <c r="G186" s="7" t="s">
        <v>16</v>
      </c>
      <c r="H186" s="8" t="s">
        <v>4103</v>
      </c>
      <c r="I186" s="8"/>
      <c r="J186" s="8" t="s">
        <v>268</v>
      </c>
      <c r="K186" s="8" t="s">
        <v>268</v>
      </c>
      <c r="L186" s="16" t="s">
        <v>268</v>
      </c>
      <c r="M186" s="8" t="s">
        <v>268</v>
      </c>
      <c r="N186" s="8" t="s">
        <v>268</v>
      </c>
    </row>
    <row r="187" spans="1:14">
      <c r="A187" s="9" t="s">
        <v>3964</v>
      </c>
      <c r="B187" s="10"/>
      <c r="E187" s="8" t="s">
        <v>3734</v>
      </c>
      <c r="F187" s="8"/>
      <c r="H187" s="8" t="s">
        <v>268</v>
      </c>
      <c r="I187" s="8"/>
      <c r="J187" s="8" t="s">
        <v>268</v>
      </c>
      <c r="K187" s="8" t="s">
        <v>268</v>
      </c>
      <c r="L187" s="16" t="s">
        <v>268</v>
      </c>
      <c r="M187" s="8" t="s">
        <v>4094</v>
      </c>
      <c r="N187" s="8">
        <v>140.91</v>
      </c>
    </row>
    <row r="188" spans="1:14">
      <c r="A188" s="9" t="s">
        <v>868</v>
      </c>
      <c r="B188" s="10"/>
      <c r="D188" s="8" t="s">
        <v>3734</v>
      </c>
      <c r="F188" s="8" t="s">
        <v>3734</v>
      </c>
      <c r="G188" s="7" t="s">
        <v>16</v>
      </c>
      <c r="H188" s="8" t="s">
        <v>4131</v>
      </c>
      <c r="I188" s="8"/>
      <c r="J188" s="212" t="s">
        <v>4050</v>
      </c>
      <c r="K188" s="8" t="s">
        <v>268</v>
      </c>
      <c r="L188" s="16" t="s">
        <v>268</v>
      </c>
      <c r="M188" s="8" t="s">
        <v>268</v>
      </c>
      <c r="N188" s="8" t="s">
        <v>268</v>
      </c>
    </row>
    <row r="189" spans="1:14">
      <c r="A189" s="9" t="s">
        <v>1537</v>
      </c>
      <c r="B189" s="10"/>
      <c r="F189" s="8"/>
      <c r="G189" s="7" t="s">
        <v>16</v>
      </c>
      <c r="H189" s="8" t="s">
        <v>4082</v>
      </c>
      <c r="I189" s="8"/>
      <c r="J189" s="8" t="s">
        <v>268</v>
      </c>
      <c r="K189" s="8" t="s">
        <v>268</v>
      </c>
      <c r="L189" s="16" t="s">
        <v>268</v>
      </c>
      <c r="M189" s="8" t="s">
        <v>268</v>
      </c>
      <c r="N189" s="8" t="s">
        <v>268</v>
      </c>
    </row>
    <row r="190" spans="1:14">
      <c r="A190" s="9" t="s">
        <v>54</v>
      </c>
      <c r="B190" s="10"/>
      <c r="D190" s="8" t="s">
        <v>3734</v>
      </c>
      <c r="F190" s="8" t="s">
        <v>3734</v>
      </c>
      <c r="H190" s="8" t="s">
        <v>268</v>
      </c>
      <c r="I190" s="8"/>
      <c r="J190" s="212" t="s">
        <v>4050</v>
      </c>
      <c r="K190" s="8" t="s">
        <v>268</v>
      </c>
      <c r="L190" s="16" t="s">
        <v>268</v>
      </c>
      <c r="M190" s="8" t="s">
        <v>268</v>
      </c>
      <c r="N190" s="8" t="s">
        <v>268</v>
      </c>
    </row>
    <row r="191" spans="1:14">
      <c r="A191" s="9" t="s">
        <v>873</v>
      </c>
      <c r="B191" s="10"/>
      <c r="C191" s="8" t="s">
        <v>3734</v>
      </c>
      <c r="F191" s="8" t="s">
        <v>3734</v>
      </c>
      <c r="H191" s="8" t="s">
        <v>268</v>
      </c>
      <c r="I191" s="8"/>
      <c r="J191" s="8" t="s">
        <v>4132</v>
      </c>
      <c r="K191" s="8">
        <v>98</v>
      </c>
      <c r="L191" s="16">
        <v>107.8</v>
      </c>
      <c r="M191" s="8" t="s">
        <v>268</v>
      </c>
      <c r="N191" s="8" t="s">
        <v>268</v>
      </c>
    </row>
    <row r="192" spans="1:14">
      <c r="A192" s="9" t="s">
        <v>3777</v>
      </c>
      <c r="B192" s="10"/>
      <c r="D192" s="8" t="s">
        <v>3734</v>
      </c>
      <c r="F192" s="8"/>
      <c r="H192" s="8" t="s">
        <v>268</v>
      </c>
      <c r="I192" s="8"/>
      <c r="J192" s="8" t="s">
        <v>268</v>
      </c>
      <c r="K192" s="8" t="s">
        <v>268</v>
      </c>
      <c r="L192" s="16" t="s">
        <v>268</v>
      </c>
      <c r="M192" s="8" t="s">
        <v>268</v>
      </c>
      <c r="N192" s="8" t="s">
        <v>268</v>
      </c>
    </row>
    <row r="193" spans="1:14">
      <c r="A193" s="9" t="s">
        <v>877</v>
      </c>
      <c r="B193" s="10"/>
      <c r="E193" s="8" t="s">
        <v>3734</v>
      </c>
      <c r="F193" s="8"/>
      <c r="H193" s="8" t="s">
        <v>268</v>
      </c>
      <c r="I193" s="8"/>
      <c r="J193" s="8" t="s">
        <v>268</v>
      </c>
      <c r="K193" s="8" t="s">
        <v>268</v>
      </c>
      <c r="L193" s="16" t="s">
        <v>268</v>
      </c>
      <c r="M193" s="8" t="s">
        <v>4133</v>
      </c>
      <c r="N193" s="8">
        <v>90</v>
      </c>
    </row>
    <row r="194" spans="1:14">
      <c r="A194" s="9" t="s">
        <v>3778</v>
      </c>
      <c r="B194" s="10"/>
      <c r="D194" s="8" t="s">
        <v>3734</v>
      </c>
      <c r="F194" s="8"/>
      <c r="H194" s="8" t="s">
        <v>268</v>
      </c>
      <c r="I194" s="8"/>
      <c r="J194" s="8" t="s">
        <v>268</v>
      </c>
      <c r="K194" s="8" t="s">
        <v>268</v>
      </c>
      <c r="L194" s="16" t="s">
        <v>268</v>
      </c>
      <c r="M194" s="8" t="s">
        <v>268</v>
      </c>
      <c r="N194" s="8" t="s">
        <v>268</v>
      </c>
    </row>
    <row r="195" spans="1:14">
      <c r="A195" s="9" t="s">
        <v>3779</v>
      </c>
      <c r="B195" s="10"/>
      <c r="D195" s="8" t="s">
        <v>3734</v>
      </c>
      <c r="F195" s="8"/>
      <c r="H195" s="8" t="s">
        <v>169</v>
      </c>
      <c r="I195" s="8"/>
      <c r="J195" s="8" t="s">
        <v>268</v>
      </c>
      <c r="K195" s="8" t="s">
        <v>268</v>
      </c>
      <c r="L195" s="16" t="s">
        <v>268</v>
      </c>
      <c r="M195" s="8" t="s">
        <v>268</v>
      </c>
      <c r="N195" s="8" t="s">
        <v>268</v>
      </c>
    </row>
    <row r="196" spans="1:14">
      <c r="A196" s="9" t="s">
        <v>3833</v>
      </c>
      <c r="B196" s="10"/>
      <c r="C196" s="8" t="s">
        <v>3734</v>
      </c>
      <c r="F196" s="8"/>
      <c r="H196" s="8" t="s">
        <v>268</v>
      </c>
      <c r="I196" s="8"/>
      <c r="J196" s="8" t="s">
        <v>268</v>
      </c>
      <c r="K196" s="8" t="s">
        <v>268</v>
      </c>
      <c r="L196" s="16" t="s">
        <v>268</v>
      </c>
      <c r="M196" s="8" t="s">
        <v>268</v>
      </c>
      <c r="N196" s="8" t="s">
        <v>268</v>
      </c>
    </row>
    <row r="197" spans="1:14">
      <c r="A197" s="9" t="s">
        <v>893</v>
      </c>
      <c r="B197" s="10"/>
      <c r="F197" s="8"/>
      <c r="H197" s="8" t="s">
        <v>268</v>
      </c>
      <c r="I197" s="8"/>
      <c r="J197" s="8" t="s">
        <v>268</v>
      </c>
      <c r="K197" s="8" t="s">
        <v>268</v>
      </c>
      <c r="L197" s="16" t="s">
        <v>268</v>
      </c>
      <c r="M197" s="8" t="s">
        <v>268</v>
      </c>
      <c r="N197" s="8" t="s">
        <v>268</v>
      </c>
    </row>
    <row r="198" spans="1:14" ht="30">
      <c r="A198" s="9" t="s">
        <v>897</v>
      </c>
      <c r="B198" s="10"/>
      <c r="C198" s="10"/>
      <c r="D198" s="10" t="s">
        <v>3734</v>
      </c>
      <c r="E198" s="10"/>
      <c r="F198" s="10" t="s">
        <v>3734</v>
      </c>
      <c r="G198" s="9" t="s">
        <v>16</v>
      </c>
      <c r="H198" s="209" t="s">
        <v>4134</v>
      </c>
      <c r="I198" s="10"/>
      <c r="J198" s="8" t="s">
        <v>4135</v>
      </c>
      <c r="K198" s="8">
        <v>240</v>
      </c>
      <c r="L198" s="16">
        <v>264</v>
      </c>
      <c r="M198" s="8" t="s">
        <v>268</v>
      </c>
      <c r="N198" s="8" t="s">
        <v>268</v>
      </c>
    </row>
    <row r="199" spans="1:14">
      <c r="A199" s="9" t="s">
        <v>4136</v>
      </c>
      <c r="B199" s="10"/>
      <c r="F199" s="8"/>
      <c r="H199" s="8" t="s">
        <v>268</v>
      </c>
      <c r="I199" s="8"/>
      <c r="J199" s="8" t="s">
        <v>268</v>
      </c>
      <c r="K199" s="8" t="s">
        <v>268</v>
      </c>
      <c r="L199" s="16" t="s">
        <v>268</v>
      </c>
      <c r="M199" s="8" t="s">
        <v>268</v>
      </c>
      <c r="N199" s="8" t="s">
        <v>268</v>
      </c>
    </row>
    <row r="200" spans="1:14">
      <c r="A200" s="9" t="s">
        <v>4032</v>
      </c>
      <c r="B200" s="10"/>
      <c r="F200" s="8" t="s">
        <v>3734</v>
      </c>
      <c r="H200" s="8" t="s">
        <v>268</v>
      </c>
      <c r="I200" s="8"/>
      <c r="J200" s="8" t="s">
        <v>4137</v>
      </c>
      <c r="K200" s="8">
        <v>116.66</v>
      </c>
      <c r="L200" s="16">
        <v>128.33000000000001</v>
      </c>
      <c r="M200" s="8" t="s">
        <v>268</v>
      </c>
      <c r="N200" s="8" t="s">
        <v>268</v>
      </c>
    </row>
    <row r="201" spans="1:14">
      <c r="A201" s="9" t="s">
        <v>904</v>
      </c>
      <c r="B201" s="10"/>
      <c r="E201" s="8" t="s">
        <v>3734</v>
      </c>
      <c r="F201" s="8"/>
      <c r="H201" s="8" t="s">
        <v>268</v>
      </c>
      <c r="I201" s="8"/>
      <c r="J201" s="8" t="s">
        <v>268</v>
      </c>
      <c r="K201" s="8" t="s">
        <v>268</v>
      </c>
      <c r="L201" s="16" t="s">
        <v>268</v>
      </c>
      <c r="M201" s="8" t="s">
        <v>4138</v>
      </c>
      <c r="N201" s="8">
        <v>88</v>
      </c>
    </row>
    <row r="202" spans="1:14">
      <c r="A202" s="9" t="s">
        <v>908</v>
      </c>
      <c r="B202" s="10"/>
      <c r="C202" s="8" t="s">
        <v>3734</v>
      </c>
      <c r="F202" s="8"/>
      <c r="H202" s="8" t="s">
        <v>268</v>
      </c>
      <c r="I202" s="8"/>
      <c r="J202" s="8" t="s">
        <v>268</v>
      </c>
      <c r="K202" s="8" t="s">
        <v>268</v>
      </c>
      <c r="L202" s="16" t="s">
        <v>268</v>
      </c>
      <c r="M202" s="8" t="s">
        <v>268</v>
      </c>
      <c r="N202" s="8" t="s">
        <v>268</v>
      </c>
    </row>
    <row r="203" spans="1:14">
      <c r="A203" s="9" t="s">
        <v>912</v>
      </c>
      <c r="B203" s="10"/>
      <c r="C203" s="8" t="s">
        <v>3734</v>
      </c>
      <c r="F203" s="8"/>
      <c r="H203" s="8" t="s">
        <v>268</v>
      </c>
      <c r="I203" s="8"/>
      <c r="J203" s="8" t="s">
        <v>268</v>
      </c>
      <c r="K203" s="8" t="s">
        <v>268</v>
      </c>
      <c r="L203" s="16" t="s">
        <v>268</v>
      </c>
      <c r="M203" s="8" t="s">
        <v>268</v>
      </c>
      <c r="N203" s="8" t="s">
        <v>268</v>
      </c>
    </row>
    <row r="204" spans="1:14">
      <c r="A204" s="9" t="s">
        <v>3893</v>
      </c>
      <c r="B204" s="10"/>
      <c r="E204" s="8" t="s">
        <v>3734</v>
      </c>
      <c r="F204" s="8" t="s">
        <v>3734</v>
      </c>
      <c r="H204" s="8" t="s">
        <v>268</v>
      </c>
      <c r="I204" s="8"/>
      <c r="J204" s="8" t="s">
        <v>4085</v>
      </c>
      <c r="K204" s="8">
        <v>95.45</v>
      </c>
      <c r="L204" s="16">
        <v>105</v>
      </c>
      <c r="M204" s="8" t="s">
        <v>268</v>
      </c>
      <c r="N204" s="8" t="s">
        <v>268</v>
      </c>
    </row>
    <row r="205" spans="1:14">
      <c r="A205" s="9" t="s">
        <v>919</v>
      </c>
      <c r="B205" s="10"/>
      <c r="C205" s="8" t="s">
        <v>3734</v>
      </c>
      <c r="F205" s="8"/>
      <c r="H205" s="8" t="s">
        <v>268</v>
      </c>
      <c r="I205" s="8"/>
      <c r="J205" s="8" t="s">
        <v>268</v>
      </c>
      <c r="K205" s="8" t="s">
        <v>268</v>
      </c>
      <c r="L205" s="16" t="s">
        <v>268</v>
      </c>
      <c r="M205" s="8" t="s">
        <v>268</v>
      </c>
      <c r="N205" s="8" t="s">
        <v>268</v>
      </c>
    </row>
    <row r="206" spans="1:14">
      <c r="A206" s="9" t="s">
        <v>3856</v>
      </c>
      <c r="B206" s="10"/>
      <c r="E206" s="8" t="s">
        <v>3734</v>
      </c>
      <c r="F206" s="8"/>
      <c r="H206" s="8" t="s">
        <v>268</v>
      </c>
      <c r="I206" s="8"/>
      <c r="J206" s="8" t="s">
        <v>268</v>
      </c>
      <c r="K206" s="8" t="s">
        <v>268</v>
      </c>
      <c r="L206" s="16" t="s">
        <v>268</v>
      </c>
      <c r="M206" s="8" t="s">
        <v>4139</v>
      </c>
      <c r="N206" s="8">
        <v>165.45</v>
      </c>
    </row>
    <row r="207" spans="1:14">
      <c r="A207" s="9" t="s">
        <v>922</v>
      </c>
      <c r="B207" s="10"/>
      <c r="E207" s="8" t="s">
        <v>3734</v>
      </c>
      <c r="F207" s="8"/>
      <c r="H207" s="8" t="s">
        <v>268</v>
      </c>
      <c r="I207" s="8"/>
      <c r="J207" s="8" t="s">
        <v>268</v>
      </c>
      <c r="K207" s="8" t="s">
        <v>268</v>
      </c>
      <c r="L207" s="16" t="s">
        <v>268</v>
      </c>
      <c r="M207" s="8" t="s">
        <v>4068</v>
      </c>
      <c r="N207" s="8">
        <v>140</v>
      </c>
    </row>
    <row r="208" spans="1:14">
      <c r="A208" s="9" t="s">
        <v>4140</v>
      </c>
      <c r="B208" s="10"/>
      <c r="F208" s="8"/>
      <c r="H208" s="8" t="s">
        <v>268</v>
      </c>
      <c r="I208" s="8"/>
      <c r="J208" s="8" t="s">
        <v>268</v>
      </c>
      <c r="K208" s="8" t="s">
        <v>268</v>
      </c>
      <c r="L208" s="16" t="s">
        <v>268</v>
      </c>
      <c r="M208" s="8" t="s">
        <v>268</v>
      </c>
      <c r="N208" s="8" t="s">
        <v>268</v>
      </c>
    </row>
    <row r="209" spans="1:14">
      <c r="A209" s="9" t="s">
        <v>1868</v>
      </c>
      <c r="B209" s="10"/>
      <c r="D209" s="8" t="s">
        <v>3734</v>
      </c>
      <c r="F209" s="8"/>
      <c r="G209" s="7" t="s">
        <v>16</v>
      </c>
      <c r="H209" s="8" t="s">
        <v>169</v>
      </c>
      <c r="I209" s="8"/>
      <c r="J209" s="8" t="s">
        <v>268</v>
      </c>
      <c r="K209" s="8" t="s">
        <v>268</v>
      </c>
      <c r="L209" s="16" t="s">
        <v>268</v>
      </c>
      <c r="M209" s="8" t="s">
        <v>268</v>
      </c>
      <c r="N209" s="8" t="s">
        <v>268</v>
      </c>
    </row>
    <row r="210" spans="1:14">
      <c r="A210" s="9" t="s">
        <v>3782</v>
      </c>
      <c r="B210" s="10"/>
      <c r="D210" s="8" t="s">
        <v>3734</v>
      </c>
      <c r="F210" s="8"/>
      <c r="H210" s="8" t="s">
        <v>268</v>
      </c>
      <c r="I210" s="8"/>
      <c r="J210" s="8" t="s">
        <v>268</v>
      </c>
      <c r="K210" s="8" t="s">
        <v>268</v>
      </c>
      <c r="L210" s="16" t="s">
        <v>268</v>
      </c>
      <c r="M210" s="8" t="s">
        <v>268</v>
      </c>
      <c r="N210" s="8" t="s">
        <v>268</v>
      </c>
    </row>
    <row r="211" spans="1:14">
      <c r="A211" s="9" t="s">
        <v>3783</v>
      </c>
      <c r="B211" s="10"/>
      <c r="D211" s="8" t="s">
        <v>3734</v>
      </c>
      <c r="F211" s="8"/>
      <c r="H211" s="8" t="s">
        <v>268</v>
      </c>
      <c r="I211" s="8"/>
      <c r="J211" s="8" t="s">
        <v>268</v>
      </c>
      <c r="K211" s="8" t="s">
        <v>268</v>
      </c>
      <c r="L211" s="16" t="s">
        <v>268</v>
      </c>
      <c r="M211" s="8" t="s">
        <v>268</v>
      </c>
      <c r="N211" s="8" t="s">
        <v>268</v>
      </c>
    </row>
    <row r="212" spans="1:14">
      <c r="A212" s="9" t="s">
        <v>3784</v>
      </c>
      <c r="B212" s="10"/>
      <c r="D212" s="8" t="s">
        <v>3734</v>
      </c>
      <c r="F212" s="8"/>
      <c r="H212" s="8" t="s">
        <v>268</v>
      </c>
      <c r="I212" s="8"/>
      <c r="J212" s="8" t="s">
        <v>268</v>
      </c>
      <c r="K212" s="8" t="s">
        <v>268</v>
      </c>
      <c r="L212" s="16" t="s">
        <v>268</v>
      </c>
      <c r="M212" s="8" t="s">
        <v>268</v>
      </c>
      <c r="N212" s="8" t="s">
        <v>268</v>
      </c>
    </row>
    <row r="213" spans="1:14">
      <c r="A213" s="9" t="s">
        <v>3785</v>
      </c>
      <c r="B213" s="10"/>
      <c r="D213" s="8" t="s">
        <v>3734</v>
      </c>
      <c r="F213" s="8"/>
      <c r="H213" s="8" t="s">
        <v>268</v>
      </c>
      <c r="I213" s="8"/>
      <c r="J213" s="8" t="s">
        <v>268</v>
      </c>
      <c r="K213" s="8" t="s">
        <v>268</v>
      </c>
      <c r="L213" s="16" t="s">
        <v>268</v>
      </c>
      <c r="M213" s="8" t="s">
        <v>268</v>
      </c>
      <c r="N213" s="8" t="s">
        <v>268</v>
      </c>
    </row>
    <row r="214" spans="1:14">
      <c r="A214" s="9" t="s">
        <v>3786</v>
      </c>
      <c r="B214" s="10"/>
      <c r="D214" s="8" t="s">
        <v>3734</v>
      </c>
      <c r="F214" s="8"/>
      <c r="H214" s="8" t="s">
        <v>268</v>
      </c>
      <c r="I214" s="8"/>
      <c r="J214" s="8" t="s">
        <v>268</v>
      </c>
      <c r="K214" s="8" t="s">
        <v>268</v>
      </c>
      <c r="L214" s="16" t="s">
        <v>268</v>
      </c>
      <c r="M214" s="8" t="s">
        <v>268</v>
      </c>
      <c r="N214" s="8" t="s">
        <v>268</v>
      </c>
    </row>
    <row r="215" spans="1:14">
      <c r="A215" s="9" t="s">
        <v>3788</v>
      </c>
      <c r="B215" s="10"/>
      <c r="D215" s="8" t="s">
        <v>3734</v>
      </c>
      <c r="F215" s="8"/>
      <c r="H215" s="8" t="s">
        <v>268</v>
      </c>
      <c r="I215" s="8"/>
      <c r="J215" s="8" t="s">
        <v>268</v>
      </c>
      <c r="K215" s="8" t="s">
        <v>268</v>
      </c>
      <c r="L215" s="16" t="s">
        <v>268</v>
      </c>
      <c r="M215" s="8" t="s">
        <v>268</v>
      </c>
      <c r="N215" s="8" t="s">
        <v>268</v>
      </c>
    </row>
    <row r="216" spans="1:14">
      <c r="A216" s="9" t="s">
        <v>3789</v>
      </c>
      <c r="B216" s="10"/>
      <c r="D216" s="8" t="s">
        <v>3734</v>
      </c>
      <c r="F216" s="8"/>
      <c r="G216" s="7" t="s">
        <v>16</v>
      </c>
      <c r="H216" s="8" t="s">
        <v>169</v>
      </c>
      <c r="I216" s="8"/>
      <c r="J216" s="8" t="s">
        <v>268</v>
      </c>
      <c r="K216" s="8" t="s">
        <v>268</v>
      </c>
      <c r="L216" s="16" t="s">
        <v>268</v>
      </c>
      <c r="M216" s="8" t="s">
        <v>268</v>
      </c>
      <c r="N216" s="8" t="s">
        <v>268</v>
      </c>
    </row>
    <row r="217" spans="1:14">
      <c r="A217" s="9" t="s">
        <v>1867</v>
      </c>
      <c r="B217" s="10"/>
      <c r="D217" s="8" t="s">
        <v>3734</v>
      </c>
      <c r="F217" s="8"/>
      <c r="G217" s="7" t="s">
        <v>16</v>
      </c>
      <c r="H217" s="8" t="s">
        <v>170</v>
      </c>
      <c r="I217" s="8"/>
      <c r="J217" s="8" t="s">
        <v>268</v>
      </c>
      <c r="K217" s="8" t="s">
        <v>268</v>
      </c>
      <c r="L217" s="16" t="s">
        <v>268</v>
      </c>
      <c r="M217" s="8" t="s">
        <v>268</v>
      </c>
      <c r="N217" s="8" t="s">
        <v>268</v>
      </c>
    </row>
    <row r="218" spans="1:14">
      <c r="A218" s="9" t="s">
        <v>4141</v>
      </c>
      <c r="B218" s="10"/>
      <c r="F218" s="8"/>
      <c r="H218" s="8" t="s">
        <v>268</v>
      </c>
      <c r="I218" s="8"/>
      <c r="J218" s="8" t="s">
        <v>268</v>
      </c>
      <c r="K218" s="8" t="s">
        <v>268</v>
      </c>
      <c r="L218" s="16" t="s">
        <v>268</v>
      </c>
      <c r="M218" s="8" t="s">
        <v>268</v>
      </c>
      <c r="N218" s="8" t="s">
        <v>268</v>
      </c>
    </row>
    <row r="219" spans="1:14">
      <c r="A219" s="9" t="s">
        <v>3834</v>
      </c>
      <c r="B219" s="10"/>
      <c r="C219" s="8" t="s">
        <v>3734</v>
      </c>
      <c r="F219" s="8"/>
      <c r="H219" s="8" t="s">
        <v>268</v>
      </c>
      <c r="I219" s="8"/>
      <c r="J219" s="8" t="s">
        <v>268</v>
      </c>
      <c r="K219" s="8" t="s">
        <v>268</v>
      </c>
      <c r="L219" s="16" t="s">
        <v>268</v>
      </c>
      <c r="M219" s="8" t="s">
        <v>268</v>
      </c>
      <c r="N219" s="8" t="s">
        <v>268</v>
      </c>
    </row>
    <row r="220" spans="1:14">
      <c r="A220" s="9" t="s">
        <v>3835</v>
      </c>
      <c r="B220" s="10"/>
      <c r="C220" s="8" t="s">
        <v>3734</v>
      </c>
      <c r="F220" s="8"/>
      <c r="H220" s="8" t="s">
        <v>268</v>
      </c>
      <c r="I220" s="8"/>
      <c r="J220" s="8" t="s">
        <v>268</v>
      </c>
      <c r="K220" s="8" t="s">
        <v>268</v>
      </c>
      <c r="L220" s="16" t="s">
        <v>268</v>
      </c>
      <c r="M220" s="8" t="s">
        <v>268</v>
      </c>
      <c r="N220" s="8" t="s">
        <v>268</v>
      </c>
    </row>
    <row r="221" spans="1:14">
      <c r="A221" s="9" t="s">
        <v>20</v>
      </c>
      <c r="B221" s="10"/>
      <c r="D221" s="8" t="s">
        <v>3734</v>
      </c>
      <c r="F221" s="8"/>
      <c r="H221" s="8" t="s">
        <v>268</v>
      </c>
      <c r="I221" s="8"/>
      <c r="J221" s="8" t="s">
        <v>268</v>
      </c>
      <c r="K221" s="8" t="s">
        <v>268</v>
      </c>
      <c r="L221" s="16" t="s">
        <v>268</v>
      </c>
      <c r="M221" s="8" t="s">
        <v>268</v>
      </c>
      <c r="N221" s="8" t="s">
        <v>268</v>
      </c>
    </row>
    <row r="222" spans="1:14">
      <c r="A222" s="9" t="s">
        <v>951</v>
      </c>
      <c r="B222" s="10"/>
      <c r="C222" s="8" t="s">
        <v>3734</v>
      </c>
      <c r="F222" s="8"/>
      <c r="H222" s="8" t="s">
        <v>268</v>
      </c>
      <c r="I222" s="8"/>
      <c r="J222" s="8" t="s">
        <v>268</v>
      </c>
      <c r="K222" s="8" t="s">
        <v>268</v>
      </c>
      <c r="L222" s="16" t="s">
        <v>268</v>
      </c>
      <c r="M222" s="8" t="s">
        <v>268</v>
      </c>
      <c r="N222" s="8" t="s">
        <v>268</v>
      </c>
    </row>
    <row r="223" spans="1:14">
      <c r="A223" s="9" t="s">
        <v>1875</v>
      </c>
      <c r="B223" s="10"/>
      <c r="F223" s="8" t="s">
        <v>3734</v>
      </c>
      <c r="G223" s="7" t="s">
        <v>16</v>
      </c>
      <c r="H223" s="8" t="s">
        <v>4142</v>
      </c>
      <c r="I223" s="8"/>
      <c r="J223" s="212" t="s">
        <v>4050</v>
      </c>
      <c r="K223" s="8" t="s">
        <v>268</v>
      </c>
      <c r="L223" s="16" t="s">
        <v>268</v>
      </c>
      <c r="M223" s="8" t="s">
        <v>268</v>
      </c>
      <c r="N223" s="8" t="s">
        <v>268</v>
      </c>
    </row>
    <row r="224" spans="1:14">
      <c r="A224" s="9" t="s">
        <v>3792</v>
      </c>
      <c r="B224" s="10"/>
      <c r="D224" s="8" t="s">
        <v>3734</v>
      </c>
      <c r="F224" s="8"/>
      <c r="H224" s="8" t="s">
        <v>268</v>
      </c>
      <c r="I224" s="8"/>
      <c r="J224" s="8" t="s">
        <v>268</v>
      </c>
      <c r="K224" s="8" t="s">
        <v>268</v>
      </c>
      <c r="L224" s="16" t="s">
        <v>268</v>
      </c>
      <c r="M224" s="8" t="s">
        <v>268</v>
      </c>
      <c r="N224" s="8" t="s">
        <v>268</v>
      </c>
    </row>
    <row r="225" spans="1:14">
      <c r="A225" s="9" t="s">
        <v>973</v>
      </c>
      <c r="B225" s="10"/>
      <c r="D225" s="8" t="s">
        <v>3734</v>
      </c>
      <c r="F225" s="8"/>
      <c r="H225" s="8" t="s">
        <v>268</v>
      </c>
      <c r="I225" s="8"/>
      <c r="J225" s="8" t="s">
        <v>268</v>
      </c>
      <c r="K225" s="8" t="s">
        <v>268</v>
      </c>
      <c r="L225" s="16" t="s">
        <v>268</v>
      </c>
      <c r="M225" s="8" t="s">
        <v>268</v>
      </c>
      <c r="N225" s="8" t="s">
        <v>268</v>
      </c>
    </row>
    <row r="226" spans="1:14">
      <c r="A226" s="9" t="s">
        <v>3795</v>
      </c>
      <c r="B226" s="10"/>
      <c r="D226" s="8" t="s">
        <v>3734</v>
      </c>
      <c r="F226" s="8"/>
      <c r="H226" s="8" t="s">
        <v>268</v>
      </c>
      <c r="I226" s="8"/>
      <c r="J226" s="8" t="s">
        <v>268</v>
      </c>
      <c r="K226" s="8" t="s">
        <v>268</v>
      </c>
      <c r="L226" s="16" t="s">
        <v>268</v>
      </c>
      <c r="M226" s="8" t="s">
        <v>268</v>
      </c>
      <c r="N226" s="8" t="s">
        <v>268</v>
      </c>
    </row>
    <row r="227" spans="1:14">
      <c r="A227" s="9" t="s">
        <v>3798</v>
      </c>
      <c r="B227" s="10"/>
      <c r="D227" s="8" t="s">
        <v>3734</v>
      </c>
      <c r="F227" s="8" t="s">
        <v>3734</v>
      </c>
      <c r="H227" s="8" t="s">
        <v>268</v>
      </c>
      <c r="I227" s="8"/>
      <c r="J227" s="212" t="s">
        <v>4050</v>
      </c>
      <c r="K227" s="8" t="s">
        <v>268</v>
      </c>
      <c r="L227" s="16" t="s">
        <v>268</v>
      </c>
      <c r="M227" s="8" t="s">
        <v>268</v>
      </c>
      <c r="N227" s="8" t="s">
        <v>268</v>
      </c>
    </row>
    <row r="228" spans="1:14">
      <c r="A228" s="9" t="s">
        <v>993</v>
      </c>
      <c r="B228" s="10"/>
      <c r="C228" s="8" t="s">
        <v>3734</v>
      </c>
      <c r="F228" s="8"/>
      <c r="H228" s="8" t="s">
        <v>268</v>
      </c>
      <c r="I228" s="8"/>
      <c r="J228" s="8" t="s">
        <v>268</v>
      </c>
      <c r="K228" s="8" t="s">
        <v>268</v>
      </c>
      <c r="L228" s="16" t="s">
        <v>268</v>
      </c>
      <c r="M228" s="8" t="s">
        <v>268</v>
      </c>
      <c r="N228" s="8" t="s">
        <v>268</v>
      </c>
    </row>
    <row r="229" spans="1:14">
      <c r="A229" s="9" t="s">
        <v>3836</v>
      </c>
      <c r="B229" s="10"/>
      <c r="C229" s="8" t="s">
        <v>3734</v>
      </c>
      <c r="F229" s="8"/>
      <c r="H229" s="8" t="s">
        <v>268</v>
      </c>
      <c r="I229" s="8"/>
      <c r="J229" s="8" t="s">
        <v>268</v>
      </c>
      <c r="K229" s="8" t="s">
        <v>268</v>
      </c>
      <c r="L229" s="16" t="s">
        <v>268</v>
      </c>
      <c r="M229" s="8" t="s">
        <v>268</v>
      </c>
      <c r="N229" s="8" t="s">
        <v>268</v>
      </c>
    </row>
    <row r="230" spans="1:14">
      <c r="A230" s="9" t="s">
        <v>3837</v>
      </c>
      <c r="B230" s="10"/>
      <c r="C230" s="8" t="s">
        <v>3734</v>
      </c>
      <c r="F230" s="8"/>
      <c r="H230" s="8" t="s">
        <v>268</v>
      </c>
      <c r="I230" s="8"/>
      <c r="J230" s="8" t="s">
        <v>268</v>
      </c>
      <c r="K230" s="8" t="s">
        <v>268</v>
      </c>
      <c r="L230" s="16" t="s">
        <v>268</v>
      </c>
      <c r="M230" s="8" t="s">
        <v>268</v>
      </c>
      <c r="N230" s="8" t="s">
        <v>268</v>
      </c>
    </row>
    <row r="231" spans="1:14">
      <c r="A231" s="9" t="s">
        <v>1001</v>
      </c>
      <c r="B231" s="10"/>
      <c r="E231" s="8" t="s">
        <v>3734</v>
      </c>
      <c r="F231" s="8"/>
      <c r="H231" s="8" t="s">
        <v>268</v>
      </c>
      <c r="I231" s="8"/>
      <c r="J231" s="8" t="s">
        <v>268</v>
      </c>
      <c r="K231" s="8" t="s">
        <v>268</v>
      </c>
      <c r="L231" s="16" t="s">
        <v>268</v>
      </c>
      <c r="M231" s="8" t="s">
        <v>4143</v>
      </c>
      <c r="N231" s="8">
        <v>144.55000000000001</v>
      </c>
    </row>
    <row r="232" spans="1:14">
      <c r="A232" s="9" t="s">
        <v>1898</v>
      </c>
      <c r="B232" s="10"/>
      <c r="F232" s="8"/>
      <c r="G232" s="7" t="s">
        <v>16</v>
      </c>
      <c r="H232" s="8" t="s">
        <v>4082</v>
      </c>
      <c r="I232" s="8"/>
      <c r="J232" s="8" t="s">
        <v>268</v>
      </c>
      <c r="K232" s="8" t="s">
        <v>268</v>
      </c>
      <c r="L232" s="16" t="s">
        <v>268</v>
      </c>
      <c r="M232" s="8" t="s">
        <v>268</v>
      </c>
      <c r="N232" s="8" t="s">
        <v>268</v>
      </c>
    </row>
    <row r="233" spans="1:14">
      <c r="A233" s="9" t="s">
        <v>1016</v>
      </c>
      <c r="B233" s="10"/>
      <c r="E233" s="8" t="s">
        <v>3734</v>
      </c>
      <c r="F233" s="8" t="s">
        <v>3734</v>
      </c>
      <c r="H233" s="8" t="s">
        <v>268</v>
      </c>
      <c r="I233" s="8"/>
      <c r="J233" s="212" t="s">
        <v>4050</v>
      </c>
      <c r="K233" s="8" t="s">
        <v>268</v>
      </c>
      <c r="L233" s="16" t="s">
        <v>268</v>
      </c>
      <c r="M233" s="8" t="s">
        <v>268</v>
      </c>
      <c r="N233" s="8" t="s">
        <v>268</v>
      </c>
    </row>
    <row r="234" spans="1:14">
      <c r="A234" s="9" t="s">
        <v>3999</v>
      </c>
      <c r="B234" s="10"/>
      <c r="E234" s="8" t="s">
        <v>3734</v>
      </c>
      <c r="F234" s="8"/>
      <c r="H234" s="8" t="s">
        <v>268</v>
      </c>
      <c r="I234" s="8"/>
      <c r="J234" s="8" t="s">
        <v>268</v>
      </c>
      <c r="K234" s="8" t="s">
        <v>268</v>
      </c>
      <c r="L234" s="16" t="s">
        <v>268</v>
      </c>
      <c r="M234" s="8" t="s">
        <v>4068</v>
      </c>
      <c r="N234" s="8">
        <v>131.36000000000001</v>
      </c>
    </row>
    <row r="235" spans="1:14">
      <c r="A235" s="9" t="s">
        <v>3781</v>
      </c>
      <c r="B235" s="10"/>
      <c r="D235" s="8" t="s">
        <v>3734</v>
      </c>
      <c r="F235" s="8"/>
      <c r="G235" s="7" t="s">
        <v>16</v>
      </c>
      <c r="H235" s="8" t="s">
        <v>169</v>
      </c>
      <c r="I235" s="8"/>
      <c r="J235" s="8" t="s">
        <v>268</v>
      </c>
      <c r="K235" s="8" t="s">
        <v>268</v>
      </c>
      <c r="L235" s="16" t="s">
        <v>268</v>
      </c>
      <c r="M235" s="8" t="s">
        <v>268</v>
      </c>
      <c r="N235" s="8" t="s">
        <v>268</v>
      </c>
    </row>
    <row r="236" spans="1:14">
      <c r="A236" s="9" t="s">
        <v>33</v>
      </c>
      <c r="B236" s="10"/>
      <c r="D236" s="8" t="s">
        <v>3734</v>
      </c>
      <c r="F236" s="8" t="s">
        <v>3734</v>
      </c>
      <c r="H236" s="8" t="s">
        <v>268</v>
      </c>
      <c r="I236" s="8"/>
      <c r="J236" s="212" t="s">
        <v>4050</v>
      </c>
      <c r="K236" s="8" t="s">
        <v>268</v>
      </c>
      <c r="L236" s="16" t="s">
        <v>268</v>
      </c>
      <c r="M236" s="8" t="s">
        <v>268</v>
      </c>
      <c r="N236" s="8" t="s">
        <v>268</v>
      </c>
    </row>
    <row r="237" spans="1:14">
      <c r="A237" s="9" t="s">
        <v>3800</v>
      </c>
      <c r="B237" s="10"/>
      <c r="D237" s="8" t="s">
        <v>3734</v>
      </c>
      <c r="E237" s="8" t="s">
        <v>3734</v>
      </c>
      <c r="F237" s="8" t="s">
        <v>3734</v>
      </c>
      <c r="G237" s="7" t="s">
        <v>16</v>
      </c>
      <c r="H237" s="8" t="s">
        <v>169</v>
      </c>
      <c r="I237" s="8"/>
      <c r="J237" s="212" t="s">
        <v>4050</v>
      </c>
      <c r="K237" s="8" t="s">
        <v>268</v>
      </c>
      <c r="L237" s="16" t="s">
        <v>268</v>
      </c>
      <c r="M237" s="8" t="s">
        <v>4144</v>
      </c>
      <c r="N237" s="8">
        <v>225</v>
      </c>
    </row>
    <row r="238" spans="1:14">
      <c r="A238" s="9" t="s">
        <v>199</v>
      </c>
      <c r="B238" s="10"/>
      <c r="D238" s="8" t="s">
        <v>3734</v>
      </c>
      <c r="F238" s="8" t="s">
        <v>3734</v>
      </c>
      <c r="H238" s="8" t="s">
        <v>268</v>
      </c>
      <c r="I238" s="8"/>
      <c r="J238" s="8" t="s">
        <v>4145</v>
      </c>
      <c r="K238" s="8">
        <v>130</v>
      </c>
      <c r="L238" s="16">
        <v>143</v>
      </c>
      <c r="M238" s="8" t="s">
        <v>268</v>
      </c>
      <c r="N238" s="8" t="s">
        <v>268</v>
      </c>
    </row>
    <row r="239" spans="1:14">
      <c r="A239" s="9" t="s">
        <v>3802</v>
      </c>
      <c r="B239" s="10"/>
      <c r="D239" s="8" t="s">
        <v>3734</v>
      </c>
      <c r="F239" s="8"/>
      <c r="G239" s="7" t="s">
        <v>16</v>
      </c>
      <c r="H239" s="8" t="s">
        <v>169</v>
      </c>
      <c r="I239" s="8"/>
      <c r="J239" s="8" t="s">
        <v>268</v>
      </c>
      <c r="K239" s="8" t="s">
        <v>268</v>
      </c>
      <c r="L239" s="16" t="s">
        <v>268</v>
      </c>
      <c r="M239" s="8" t="s">
        <v>268</v>
      </c>
      <c r="N239" s="8" t="s">
        <v>268</v>
      </c>
    </row>
    <row r="240" spans="1:14">
      <c r="A240" s="9" t="s">
        <v>1061</v>
      </c>
      <c r="B240" s="10"/>
      <c r="C240" s="8" t="s">
        <v>3734</v>
      </c>
      <c r="F240" s="8"/>
      <c r="H240" s="8" t="s">
        <v>268</v>
      </c>
      <c r="I240" s="8"/>
      <c r="J240" s="8" t="s">
        <v>268</v>
      </c>
      <c r="K240" s="8" t="s">
        <v>268</v>
      </c>
      <c r="L240" s="16" t="s">
        <v>268</v>
      </c>
      <c r="M240" s="8" t="s">
        <v>268</v>
      </c>
      <c r="N240" s="8" t="s">
        <v>268</v>
      </c>
    </row>
    <row r="241" spans="1:14">
      <c r="A241" s="9" t="s">
        <v>1065</v>
      </c>
      <c r="B241" s="10"/>
      <c r="C241" s="8" t="s">
        <v>3734</v>
      </c>
      <c r="F241" s="8"/>
      <c r="H241" s="8" t="s">
        <v>268</v>
      </c>
      <c r="I241" s="8"/>
      <c r="J241" s="8" t="s">
        <v>268</v>
      </c>
      <c r="K241" s="8" t="s">
        <v>268</v>
      </c>
      <c r="L241" s="16" t="s">
        <v>268</v>
      </c>
      <c r="M241" s="8" t="s">
        <v>268</v>
      </c>
      <c r="N241" s="8" t="s">
        <v>268</v>
      </c>
    </row>
    <row r="242" spans="1:14">
      <c r="A242" s="9" t="s">
        <v>3838</v>
      </c>
      <c r="B242" s="10"/>
      <c r="C242" s="8" t="s">
        <v>3734</v>
      </c>
      <c r="F242" s="8"/>
      <c r="H242" s="8" t="s">
        <v>268</v>
      </c>
      <c r="I242" s="8"/>
      <c r="J242" s="8" t="s">
        <v>268</v>
      </c>
      <c r="K242" s="8" t="s">
        <v>268</v>
      </c>
      <c r="L242" s="16" t="s">
        <v>268</v>
      </c>
      <c r="M242" s="8" t="s">
        <v>268</v>
      </c>
      <c r="N242" s="8" t="s">
        <v>268</v>
      </c>
    </row>
    <row r="243" spans="1:14">
      <c r="A243" s="9" t="s">
        <v>1078</v>
      </c>
      <c r="B243" s="10"/>
      <c r="E243" s="8" t="s">
        <v>3734</v>
      </c>
      <c r="F243" s="8"/>
      <c r="H243" s="8" t="s">
        <v>268</v>
      </c>
      <c r="I243" s="8"/>
      <c r="J243" s="8" t="s">
        <v>268</v>
      </c>
      <c r="K243" s="8" t="s">
        <v>268</v>
      </c>
      <c r="L243" s="16" t="s">
        <v>268</v>
      </c>
      <c r="M243" s="8" t="s">
        <v>4094</v>
      </c>
      <c r="N243" s="8">
        <v>140.91</v>
      </c>
    </row>
    <row r="244" spans="1:14">
      <c r="A244" s="9" t="s">
        <v>1082</v>
      </c>
      <c r="B244" s="10"/>
      <c r="D244" s="8" t="s">
        <v>3734</v>
      </c>
      <c r="F244" s="8"/>
      <c r="G244" s="7" t="s">
        <v>16</v>
      </c>
      <c r="H244" s="8" t="s">
        <v>169</v>
      </c>
      <c r="I244" s="8"/>
      <c r="J244" s="8" t="s">
        <v>268</v>
      </c>
      <c r="K244" s="8" t="s">
        <v>268</v>
      </c>
      <c r="L244" s="16" t="s">
        <v>268</v>
      </c>
      <c r="M244" s="8" t="s">
        <v>268</v>
      </c>
      <c r="N244" s="8" t="s">
        <v>268</v>
      </c>
    </row>
    <row r="245" spans="1:14">
      <c r="A245" s="9" t="s">
        <v>3901</v>
      </c>
      <c r="B245" s="10"/>
      <c r="E245" s="8" t="s">
        <v>3734</v>
      </c>
      <c r="F245" s="8"/>
      <c r="H245" s="8" t="s">
        <v>268</v>
      </c>
      <c r="I245" s="8"/>
      <c r="J245" s="8" t="s">
        <v>268</v>
      </c>
      <c r="K245" s="8" t="s">
        <v>268</v>
      </c>
      <c r="L245" s="16" t="s">
        <v>268</v>
      </c>
      <c r="M245" s="8" t="s">
        <v>4146</v>
      </c>
      <c r="N245" s="8">
        <v>130</v>
      </c>
    </row>
    <row r="246" spans="1:14">
      <c r="A246" s="9" t="s">
        <v>1091</v>
      </c>
      <c r="B246" s="10"/>
      <c r="D246" s="8" t="s">
        <v>3734</v>
      </c>
      <c r="F246" s="8"/>
      <c r="G246" s="7" t="s">
        <v>16</v>
      </c>
      <c r="H246" s="8" t="s">
        <v>169</v>
      </c>
      <c r="I246" s="8"/>
      <c r="J246" s="8" t="s">
        <v>268</v>
      </c>
      <c r="K246" s="8" t="s">
        <v>268</v>
      </c>
      <c r="L246" s="16" t="s">
        <v>268</v>
      </c>
      <c r="M246" s="8" t="s">
        <v>268</v>
      </c>
      <c r="N246" s="8" t="s">
        <v>268</v>
      </c>
    </row>
    <row r="247" spans="1:14">
      <c r="A247" s="9" t="s">
        <v>3962</v>
      </c>
      <c r="B247" s="10"/>
      <c r="E247" s="8" t="s">
        <v>3734</v>
      </c>
      <c r="F247" s="8"/>
      <c r="H247" s="8" t="s">
        <v>268</v>
      </c>
      <c r="I247" s="8"/>
      <c r="J247" s="8" t="s">
        <v>268</v>
      </c>
      <c r="K247" s="8" t="s">
        <v>268</v>
      </c>
      <c r="L247" s="16" t="s">
        <v>268</v>
      </c>
      <c r="M247" s="8" t="s">
        <v>4094</v>
      </c>
      <c r="N247" s="8">
        <v>140.91</v>
      </c>
    </row>
    <row r="248" spans="1:14">
      <c r="A248" s="9" t="s">
        <v>226</v>
      </c>
      <c r="B248" s="10"/>
      <c r="D248" s="8" t="s">
        <v>3734</v>
      </c>
      <c r="F248" s="8" t="s">
        <v>3734</v>
      </c>
      <c r="H248" s="8" t="s">
        <v>268</v>
      </c>
      <c r="I248" s="8"/>
      <c r="J248" s="212" t="s">
        <v>4050</v>
      </c>
      <c r="K248" s="8" t="s">
        <v>268</v>
      </c>
      <c r="L248" s="16" t="s">
        <v>268</v>
      </c>
      <c r="M248" s="8" t="s">
        <v>268</v>
      </c>
      <c r="N248" s="8" t="s">
        <v>268</v>
      </c>
    </row>
    <row r="249" spans="1:14">
      <c r="A249" s="9" t="s">
        <v>3876</v>
      </c>
      <c r="B249" s="10"/>
      <c r="E249" s="8" t="s">
        <v>3734</v>
      </c>
      <c r="F249" s="8"/>
      <c r="H249" s="8" t="s">
        <v>268</v>
      </c>
      <c r="I249" s="8"/>
      <c r="J249" s="8" t="s">
        <v>268</v>
      </c>
      <c r="K249" s="8" t="s">
        <v>268</v>
      </c>
      <c r="L249" s="16" t="s">
        <v>268</v>
      </c>
      <c r="M249" s="8" t="s">
        <v>268</v>
      </c>
      <c r="N249" s="8" t="s">
        <v>268</v>
      </c>
    </row>
    <row r="250" spans="1:14">
      <c r="A250" s="9" t="s">
        <v>3863</v>
      </c>
      <c r="B250" s="10"/>
      <c r="E250" s="8" t="s">
        <v>3734</v>
      </c>
      <c r="F250" s="8"/>
      <c r="H250" s="8" t="s">
        <v>268</v>
      </c>
      <c r="I250" s="8"/>
      <c r="J250" s="8" t="s">
        <v>268</v>
      </c>
      <c r="K250" s="8" t="s">
        <v>268</v>
      </c>
      <c r="L250" s="16" t="s">
        <v>268</v>
      </c>
      <c r="M250" s="8" t="s">
        <v>4147</v>
      </c>
      <c r="N250" s="8">
        <v>173.64</v>
      </c>
    </row>
    <row r="251" spans="1:14">
      <c r="A251" s="9" t="s">
        <v>1099</v>
      </c>
      <c r="B251" s="10"/>
      <c r="E251" s="8" t="s">
        <v>3734</v>
      </c>
      <c r="F251" s="8"/>
      <c r="H251" s="8" t="s">
        <v>268</v>
      </c>
      <c r="I251" s="8"/>
      <c r="J251" s="8" t="s">
        <v>268</v>
      </c>
      <c r="K251" s="8" t="s">
        <v>268</v>
      </c>
      <c r="L251" s="16" t="s">
        <v>268</v>
      </c>
      <c r="M251" s="8" t="s">
        <v>4148</v>
      </c>
      <c r="N251" s="8">
        <v>174.55</v>
      </c>
    </row>
    <row r="252" spans="1:14">
      <c r="A252" s="9" t="s">
        <v>1103</v>
      </c>
      <c r="B252" s="10"/>
      <c r="E252" s="8" t="s">
        <v>3734</v>
      </c>
      <c r="F252" s="8"/>
      <c r="H252" s="8" t="s">
        <v>268</v>
      </c>
      <c r="I252" s="8"/>
      <c r="J252" s="8" t="s">
        <v>268</v>
      </c>
      <c r="K252" s="8" t="s">
        <v>268</v>
      </c>
      <c r="L252" s="16" t="s">
        <v>268</v>
      </c>
      <c r="M252" s="8" t="s">
        <v>4148</v>
      </c>
      <c r="N252" s="8">
        <v>174.55</v>
      </c>
    </row>
    <row r="253" spans="1:14">
      <c r="A253" s="9" t="s">
        <v>1107</v>
      </c>
      <c r="B253" s="10"/>
      <c r="E253" s="8" t="s">
        <v>3734</v>
      </c>
      <c r="F253" s="8"/>
      <c r="H253" s="8" t="s">
        <v>268</v>
      </c>
      <c r="I253" s="8"/>
      <c r="J253" s="8" t="s">
        <v>268</v>
      </c>
      <c r="K253" s="8" t="s">
        <v>268</v>
      </c>
      <c r="L253" s="16" t="s">
        <v>268</v>
      </c>
      <c r="M253" s="8" t="s">
        <v>4148</v>
      </c>
      <c r="N253" s="8">
        <v>174.55</v>
      </c>
    </row>
    <row r="254" spans="1:14">
      <c r="A254" s="9" t="s">
        <v>1111</v>
      </c>
      <c r="B254" s="10"/>
      <c r="E254" s="8" t="s">
        <v>3734</v>
      </c>
      <c r="F254" s="8"/>
      <c r="H254" s="8" t="s">
        <v>268</v>
      </c>
      <c r="I254" s="8"/>
      <c r="J254" s="8" t="s">
        <v>268</v>
      </c>
      <c r="K254" s="8" t="s">
        <v>268</v>
      </c>
      <c r="L254" s="16" t="s">
        <v>268</v>
      </c>
      <c r="M254" s="8" t="s">
        <v>4149</v>
      </c>
      <c r="N254" s="8">
        <v>200.91</v>
      </c>
    </row>
    <row r="255" spans="1:14">
      <c r="A255" s="9" t="s">
        <v>1115</v>
      </c>
      <c r="B255" s="10"/>
      <c r="E255" s="8" t="s">
        <v>3734</v>
      </c>
      <c r="F255" s="8"/>
      <c r="H255" s="8" t="s">
        <v>268</v>
      </c>
      <c r="I255" s="8"/>
      <c r="J255" s="8" t="s">
        <v>268</v>
      </c>
      <c r="K255" s="8" t="s">
        <v>268</v>
      </c>
      <c r="L255" s="16" t="s">
        <v>268</v>
      </c>
      <c r="M255" s="8" t="s">
        <v>4150</v>
      </c>
      <c r="N255" s="8">
        <v>187.27</v>
      </c>
    </row>
    <row r="256" spans="1:14">
      <c r="A256" s="9" t="s">
        <v>1119</v>
      </c>
      <c r="B256" s="10"/>
      <c r="E256" s="8" t="s">
        <v>3734</v>
      </c>
      <c r="F256" s="8"/>
      <c r="H256" s="8" t="s">
        <v>268</v>
      </c>
      <c r="I256" s="8"/>
      <c r="J256" s="8" t="s">
        <v>268</v>
      </c>
      <c r="K256" s="8" t="s">
        <v>268</v>
      </c>
      <c r="L256" s="16" t="s">
        <v>268</v>
      </c>
      <c r="M256" s="8" t="s">
        <v>4149</v>
      </c>
      <c r="N256" s="8">
        <v>200.91</v>
      </c>
    </row>
    <row r="257" spans="1:14">
      <c r="A257" s="9" t="s">
        <v>1123</v>
      </c>
      <c r="B257" s="10"/>
      <c r="E257" s="8" t="s">
        <v>3734</v>
      </c>
      <c r="F257" s="8"/>
      <c r="H257" s="8" t="s">
        <v>268</v>
      </c>
      <c r="I257" s="8"/>
      <c r="J257" s="8" t="s">
        <v>268</v>
      </c>
      <c r="K257" s="8" t="s">
        <v>268</v>
      </c>
      <c r="L257" s="16" t="s">
        <v>268</v>
      </c>
      <c r="M257" s="8" t="s">
        <v>4150</v>
      </c>
      <c r="N257" s="8">
        <v>187.27</v>
      </c>
    </row>
    <row r="258" spans="1:14">
      <c r="A258" s="9" t="s">
        <v>3924</v>
      </c>
      <c r="B258" s="10"/>
      <c r="E258" s="8" t="s">
        <v>3734</v>
      </c>
      <c r="F258" s="8"/>
      <c r="H258" s="8" t="s">
        <v>268</v>
      </c>
      <c r="I258" s="8"/>
      <c r="J258" s="8" t="s">
        <v>268</v>
      </c>
      <c r="K258" s="8" t="s">
        <v>268</v>
      </c>
      <c r="L258" s="16" t="s">
        <v>268</v>
      </c>
      <c r="M258" s="8" t="s">
        <v>4151</v>
      </c>
      <c r="N258" s="8">
        <v>200.91</v>
      </c>
    </row>
    <row r="259" spans="1:14">
      <c r="A259" s="9" t="s">
        <v>1131</v>
      </c>
      <c r="B259" s="10"/>
      <c r="E259" s="8" t="s">
        <v>3734</v>
      </c>
      <c r="F259" s="8"/>
      <c r="H259" s="8" t="s">
        <v>268</v>
      </c>
      <c r="I259" s="8"/>
      <c r="J259" s="8" t="s">
        <v>268</v>
      </c>
      <c r="K259" s="8" t="s">
        <v>268</v>
      </c>
      <c r="L259" s="16" t="s">
        <v>268</v>
      </c>
      <c r="M259" s="8" t="s">
        <v>4094</v>
      </c>
      <c r="N259" s="8">
        <v>174.55</v>
      </c>
    </row>
    <row r="260" spans="1:14">
      <c r="A260" s="9" t="s">
        <v>1135</v>
      </c>
      <c r="B260" s="10"/>
      <c r="E260" s="8" t="s">
        <v>3734</v>
      </c>
      <c r="F260" s="8"/>
      <c r="H260" s="8" t="s">
        <v>268</v>
      </c>
      <c r="I260" s="8"/>
      <c r="J260" s="8" t="s">
        <v>268</v>
      </c>
      <c r="K260" s="8" t="s">
        <v>268</v>
      </c>
      <c r="L260" s="16" t="s">
        <v>268</v>
      </c>
      <c r="M260" s="8" t="s">
        <v>4148</v>
      </c>
      <c r="N260" s="8">
        <v>174.55</v>
      </c>
    </row>
    <row r="261" spans="1:14">
      <c r="A261" s="9" t="s">
        <v>1143</v>
      </c>
      <c r="B261" s="10"/>
      <c r="E261" s="8" t="s">
        <v>3734</v>
      </c>
      <c r="F261" s="8"/>
      <c r="H261" s="8" t="s">
        <v>268</v>
      </c>
      <c r="I261" s="8"/>
      <c r="J261" s="8" t="s">
        <v>268</v>
      </c>
      <c r="K261" s="8" t="s">
        <v>268</v>
      </c>
      <c r="L261" s="16" t="s">
        <v>268</v>
      </c>
      <c r="M261" s="8" t="s">
        <v>4152</v>
      </c>
      <c r="N261" s="8">
        <v>177.55</v>
      </c>
    </row>
    <row r="262" spans="1:14">
      <c r="A262" s="9" t="s">
        <v>1147</v>
      </c>
      <c r="B262" s="10"/>
      <c r="E262" s="8" t="s">
        <v>3734</v>
      </c>
      <c r="F262" s="8"/>
      <c r="H262" s="8" t="s">
        <v>268</v>
      </c>
      <c r="I262" s="8"/>
      <c r="J262" s="8" t="s">
        <v>268</v>
      </c>
      <c r="K262" s="8" t="s">
        <v>268</v>
      </c>
      <c r="L262" s="16" t="s">
        <v>268</v>
      </c>
      <c r="M262" s="8" t="s">
        <v>4150</v>
      </c>
      <c r="N262" s="8">
        <v>187.27</v>
      </c>
    </row>
    <row r="263" spans="1:14">
      <c r="A263" s="9" t="s">
        <v>1151</v>
      </c>
      <c r="B263" s="10"/>
      <c r="E263" s="8" t="s">
        <v>3734</v>
      </c>
      <c r="F263" s="8"/>
      <c r="H263" s="8" t="s">
        <v>268</v>
      </c>
      <c r="I263" s="8"/>
      <c r="J263" s="8" t="s">
        <v>268</v>
      </c>
      <c r="K263" s="8" t="s">
        <v>268</v>
      </c>
      <c r="L263" s="16" t="s">
        <v>268</v>
      </c>
      <c r="M263" s="8" t="s">
        <v>4149</v>
      </c>
      <c r="N263" s="8">
        <v>184.09</v>
      </c>
    </row>
    <row r="264" spans="1:14">
      <c r="A264" s="9" t="s">
        <v>3976</v>
      </c>
      <c r="B264" s="10"/>
      <c r="E264" s="8" t="s">
        <v>3734</v>
      </c>
      <c r="F264" s="8"/>
      <c r="H264" s="8" t="s">
        <v>268</v>
      </c>
      <c r="I264" s="8"/>
      <c r="J264" s="8" t="s">
        <v>268</v>
      </c>
      <c r="K264" s="8" t="s">
        <v>268</v>
      </c>
      <c r="L264" s="16" t="s">
        <v>268</v>
      </c>
      <c r="M264" s="8" t="s">
        <v>4149</v>
      </c>
      <c r="N264" s="8">
        <v>200.91</v>
      </c>
    </row>
    <row r="265" spans="1:14">
      <c r="A265" s="9" t="s">
        <v>1158</v>
      </c>
      <c r="B265" s="10"/>
      <c r="E265" s="8" t="s">
        <v>3734</v>
      </c>
      <c r="F265" s="8"/>
      <c r="H265" s="8" t="s">
        <v>268</v>
      </c>
      <c r="I265" s="8"/>
      <c r="J265" s="8" t="s">
        <v>268</v>
      </c>
      <c r="K265" s="8" t="s">
        <v>268</v>
      </c>
      <c r="L265" s="16" t="s">
        <v>268</v>
      </c>
      <c r="M265" s="8" t="s">
        <v>4153</v>
      </c>
      <c r="N265" s="8">
        <v>160.36000000000001</v>
      </c>
    </row>
    <row r="266" spans="1:14">
      <c r="A266" s="9" t="s">
        <v>1162</v>
      </c>
      <c r="B266" s="10"/>
      <c r="E266" s="8" t="s">
        <v>3734</v>
      </c>
      <c r="F266" s="8"/>
      <c r="H266" s="8" t="s">
        <v>268</v>
      </c>
      <c r="I266" s="8"/>
      <c r="J266" s="8" t="s">
        <v>268</v>
      </c>
      <c r="K266" s="8" t="s">
        <v>268</v>
      </c>
      <c r="L266" s="16" t="s">
        <v>268</v>
      </c>
      <c r="M266" s="8" t="s">
        <v>4150</v>
      </c>
      <c r="N266" s="8">
        <v>187.27</v>
      </c>
    </row>
    <row r="267" spans="1:14">
      <c r="A267" s="9" t="s">
        <v>1166</v>
      </c>
      <c r="B267" s="10"/>
      <c r="E267" s="8" t="s">
        <v>3734</v>
      </c>
      <c r="F267" s="8"/>
      <c r="H267" s="8" t="s">
        <v>268</v>
      </c>
      <c r="I267" s="8"/>
      <c r="J267" s="8" t="s">
        <v>268</v>
      </c>
      <c r="K267" s="8" t="s">
        <v>268</v>
      </c>
      <c r="L267" s="16" t="s">
        <v>268</v>
      </c>
      <c r="M267" s="8" t="s">
        <v>4150</v>
      </c>
      <c r="N267" s="8">
        <v>187.27</v>
      </c>
    </row>
    <row r="268" spans="1:14">
      <c r="A268" s="9" t="s">
        <v>1175</v>
      </c>
      <c r="B268" s="10"/>
      <c r="E268" s="8" t="s">
        <v>3734</v>
      </c>
      <c r="F268" s="8"/>
      <c r="H268" s="8" t="s">
        <v>268</v>
      </c>
      <c r="I268" s="8"/>
      <c r="J268" s="8" t="s">
        <v>268</v>
      </c>
      <c r="K268" s="8" t="s">
        <v>268</v>
      </c>
      <c r="L268" s="16" t="s">
        <v>268</v>
      </c>
      <c r="M268" s="8" t="s">
        <v>268</v>
      </c>
      <c r="N268" s="8" t="s">
        <v>268</v>
      </c>
    </row>
    <row r="269" spans="1:14">
      <c r="A269" s="9" t="s">
        <v>3801</v>
      </c>
      <c r="B269" s="10"/>
      <c r="D269" s="8" t="s">
        <v>3734</v>
      </c>
      <c r="F269" s="8"/>
      <c r="G269" s="7" t="s">
        <v>16</v>
      </c>
      <c r="H269" s="8" t="s">
        <v>169</v>
      </c>
      <c r="I269" s="8"/>
      <c r="J269" s="8" t="s">
        <v>268</v>
      </c>
      <c r="K269" s="8" t="s">
        <v>268</v>
      </c>
      <c r="L269" s="16" t="s">
        <v>268</v>
      </c>
      <c r="M269" s="8" t="s">
        <v>268</v>
      </c>
      <c r="N269" s="8" t="s">
        <v>268</v>
      </c>
    </row>
    <row r="270" spans="1:14">
      <c r="A270" s="9" t="s">
        <v>1184</v>
      </c>
      <c r="B270" s="10"/>
      <c r="E270" s="8" t="s">
        <v>3734</v>
      </c>
      <c r="F270" s="8" t="s">
        <v>3734</v>
      </c>
      <c r="H270" s="8" t="s">
        <v>268</v>
      </c>
      <c r="I270" s="8"/>
      <c r="J270" s="212" t="s">
        <v>4050</v>
      </c>
      <c r="K270" s="8" t="s">
        <v>268</v>
      </c>
      <c r="L270" s="16" t="s">
        <v>268</v>
      </c>
      <c r="M270" s="8" t="s">
        <v>268</v>
      </c>
      <c r="N270" s="8" t="s">
        <v>268</v>
      </c>
    </row>
    <row r="271" spans="1:14">
      <c r="A271" s="9" t="s">
        <v>1193</v>
      </c>
      <c r="B271" s="10"/>
      <c r="F271" s="8" t="s">
        <v>3734</v>
      </c>
      <c r="H271" s="8" t="s">
        <v>268</v>
      </c>
      <c r="I271" s="8"/>
      <c r="J271" s="212" t="s">
        <v>4050</v>
      </c>
      <c r="K271" s="8" t="s">
        <v>268</v>
      </c>
      <c r="L271" s="16" t="s">
        <v>268</v>
      </c>
      <c r="M271" s="8" t="s">
        <v>268</v>
      </c>
      <c r="N271" s="8" t="s">
        <v>268</v>
      </c>
    </row>
    <row r="272" spans="1:14">
      <c r="A272" s="9" t="s">
        <v>1198</v>
      </c>
      <c r="B272" s="10"/>
      <c r="E272" s="8" t="s">
        <v>3734</v>
      </c>
      <c r="F272" s="8" t="s">
        <v>3734</v>
      </c>
      <c r="H272" s="8" t="s">
        <v>268</v>
      </c>
      <c r="I272" s="8"/>
      <c r="J272" s="8" t="s">
        <v>4154</v>
      </c>
      <c r="K272" s="8">
        <v>116.66</v>
      </c>
      <c r="L272" s="16">
        <v>128.33000000000001</v>
      </c>
      <c r="M272" s="8" t="s">
        <v>268</v>
      </c>
      <c r="N272" s="8" t="s">
        <v>268</v>
      </c>
    </row>
    <row r="273" spans="1:14">
      <c r="A273" s="9" t="s">
        <v>4155</v>
      </c>
      <c r="B273" s="10"/>
      <c r="F273" s="8"/>
      <c r="H273" s="8" t="s">
        <v>268</v>
      </c>
      <c r="I273" s="8"/>
      <c r="J273" s="8" t="s">
        <v>268</v>
      </c>
      <c r="K273" s="8" t="s">
        <v>268</v>
      </c>
      <c r="L273" s="16" t="s">
        <v>268</v>
      </c>
      <c r="M273" s="8" t="s">
        <v>268</v>
      </c>
      <c r="N273" s="8" t="s">
        <v>268</v>
      </c>
    </row>
    <row r="274" spans="1:14">
      <c r="A274" s="9" t="s">
        <v>3805</v>
      </c>
      <c r="B274" s="10"/>
      <c r="D274" s="8" t="s">
        <v>3734</v>
      </c>
      <c r="F274" s="8"/>
      <c r="H274" s="8" t="s">
        <v>268</v>
      </c>
      <c r="I274" s="8"/>
      <c r="J274" s="8" t="s">
        <v>268</v>
      </c>
      <c r="K274" s="8" t="s">
        <v>268</v>
      </c>
      <c r="L274" s="16" t="s">
        <v>268</v>
      </c>
      <c r="M274" s="8" t="s">
        <v>268</v>
      </c>
      <c r="N274" s="8" t="s">
        <v>268</v>
      </c>
    </row>
    <row r="275" spans="1:14">
      <c r="A275" s="9" t="s">
        <v>3975</v>
      </c>
      <c r="B275" s="10"/>
      <c r="E275" s="8" t="s">
        <v>3734</v>
      </c>
      <c r="F275" s="8"/>
      <c r="H275" s="8" t="s">
        <v>268</v>
      </c>
      <c r="I275" s="8"/>
      <c r="J275" s="8" t="s">
        <v>268</v>
      </c>
      <c r="K275" s="8" t="s">
        <v>268</v>
      </c>
      <c r="L275" s="16" t="s">
        <v>268</v>
      </c>
      <c r="M275" s="8" t="s">
        <v>4068</v>
      </c>
      <c r="N275" s="8">
        <v>131.36000000000001</v>
      </c>
    </row>
    <row r="276" spans="1:14">
      <c r="A276" s="9" t="s">
        <v>3839</v>
      </c>
      <c r="B276" s="10"/>
      <c r="C276" s="8" t="s">
        <v>3734</v>
      </c>
      <c r="F276" s="8"/>
      <c r="H276" s="8" t="s">
        <v>268</v>
      </c>
      <c r="I276" s="8"/>
      <c r="J276" s="8" t="s">
        <v>268</v>
      </c>
      <c r="K276" s="8" t="s">
        <v>268</v>
      </c>
      <c r="L276" s="16" t="s">
        <v>268</v>
      </c>
      <c r="M276" s="8" t="s">
        <v>268</v>
      </c>
      <c r="N276" s="8" t="s">
        <v>268</v>
      </c>
    </row>
    <row r="277" spans="1:14">
      <c r="A277" s="9" t="s">
        <v>1217</v>
      </c>
      <c r="B277" s="10"/>
      <c r="F277" s="8" t="s">
        <v>3734</v>
      </c>
      <c r="H277" s="8" t="s">
        <v>268</v>
      </c>
      <c r="I277" s="8"/>
      <c r="J277" s="8" t="s">
        <v>4156</v>
      </c>
      <c r="K277" s="8">
        <v>114</v>
      </c>
      <c r="L277" s="16">
        <v>125.4</v>
      </c>
      <c r="M277" s="8" t="s">
        <v>268</v>
      </c>
      <c r="N277" s="8" t="s">
        <v>268</v>
      </c>
    </row>
    <row r="278" spans="1:14">
      <c r="A278" s="9" t="s">
        <v>3840</v>
      </c>
      <c r="B278" s="10"/>
      <c r="C278" s="8" t="s">
        <v>3734</v>
      </c>
      <c r="F278" s="8" t="s">
        <v>3734</v>
      </c>
      <c r="H278" s="8" t="s">
        <v>268</v>
      </c>
      <c r="I278" s="8"/>
      <c r="J278" s="8" t="s">
        <v>4157</v>
      </c>
      <c r="K278" s="8">
        <v>86.36</v>
      </c>
      <c r="L278" s="16">
        <v>95</v>
      </c>
      <c r="M278" s="8" t="s">
        <v>268</v>
      </c>
      <c r="N278" s="8" t="s">
        <v>268</v>
      </c>
    </row>
    <row r="279" spans="1:14">
      <c r="A279" s="9" t="s">
        <v>3860</v>
      </c>
      <c r="B279" s="10"/>
      <c r="E279" s="8" t="s">
        <v>3734</v>
      </c>
      <c r="F279" s="8"/>
      <c r="H279" s="8" t="s">
        <v>268</v>
      </c>
      <c r="I279" s="8"/>
      <c r="J279" s="8" t="s">
        <v>268</v>
      </c>
      <c r="K279" s="8" t="s">
        <v>268</v>
      </c>
      <c r="L279" s="16" t="s">
        <v>268</v>
      </c>
      <c r="M279" s="8" t="s">
        <v>268</v>
      </c>
      <c r="N279" s="8" t="s">
        <v>268</v>
      </c>
    </row>
    <row r="280" spans="1:14">
      <c r="A280" s="9" t="s">
        <v>4158</v>
      </c>
      <c r="B280" s="10"/>
      <c r="F280" s="8"/>
      <c r="H280" s="8" t="s">
        <v>268</v>
      </c>
      <c r="I280" s="8"/>
      <c r="J280" s="8" t="s">
        <v>268</v>
      </c>
      <c r="K280" s="8" t="s">
        <v>268</v>
      </c>
      <c r="L280" s="16" t="s">
        <v>268</v>
      </c>
      <c r="M280" s="8" t="s">
        <v>268</v>
      </c>
      <c r="N280" s="8" t="s">
        <v>268</v>
      </c>
    </row>
    <row r="281" spans="1:14">
      <c r="A281" s="9" t="s">
        <v>3885</v>
      </c>
      <c r="B281" s="10"/>
      <c r="E281" s="8" t="s">
        <v>3734</v>
      </c>
      <c r="F281" s="8" t="s">
        <v>3734</v>
      </c>
      <c r="H281" s="8" t="s">
        <v>268</v>
      </c>
      <c r="I281" s="8"/>
      <c r="J281" s="8" t="s">
        <v>4159</v>
      </c>
      <c r="K281" s="8">
        <v>451</v>
      </c>
      <c r="L281" s="16">
        <v>496.1</v>
      </c>
      <c r="M281" s="8" t="s">
        <v>268</v>
      </c>
      <c r="N281" s="8" t="s">
        <v>268</v>
      </c>
    </row>
    <row r="282" spans="1:14">
      <c r="A282" s="9" t="s">
        <v>4036</v>
      </c>
      <c r="B282" s="10"/>
      <c r="F282" s="8" t="s">
        <v>3734</v>
      </c>
      <c r="H282" s="8" t="s">
        <v>268</v>
      </c>
      <c r="I282" s="8"/>
      <c r="J282" s="212" t="s">
        <v>4050</v>
      </c>
      <c r="K282" s="8" t="s">
        <v>268</v>
      </c>
      <c r="L282" s="16" t="s">
        <v>268</v>
      </c>
      <c r="M282" s="8" t="s">
        <v>268</v>
      </c>
      <c r="N282" s="8" t="s">
        <v>268</v>
      </c>
    </row>
    <row r="283" spans="1:14">
      <c r="A283" s="9" t="s">
        <v>4160</v>
      </c>
      <c r="B283" s="10"/>
      <c r="F283" s="8"/>
      <c r="H283" s="8" t="s">
        <v>268</v>
      </c>
      <c r="I283" s="8"/>
      <c r="J283" s="8" t="s">
        <v>268</v>
      </c>
      <c r="K283" s="8" t="s">
        <v>268</v>
      </c>
      <c r="L283" s="16" t="s">
        <v>268</v>
      </c>
      <c r="M283" s="8" t="s">
        <v>268</v>
      </c>
      <c r="N283" s="8" t="s">
        <v>268</v>
      </c>
    </row>
    <row r="284" spans="1:14">
      <c r="A284" s="9" t="s">
        <v>1228</v>
      </c>
      <c r="B284" s="10"/>
      <c r="C284" s="8" t="s">
        <v>3734</v>
      </c>
      <c r="F284" s="8" t="s">
        <v>3734</v>
      </c>
      <c r="H284" s="8" t="s">
        <v>268</v>
      </c>
      <c r="I284" s="8"/>
      <c r="J284" s="8" t="s">
        <v>4161</v>
      </c>
      <c r="K284" s="8">
        <v>98</v>
      </c>
      <c r="L284" s="16">
        <v>107.8</v>
      </c>
      <c r="M284" s="8" t="s">
        <v>268</v>
      </c>
      <c r="N284" s="8" t="s">
        <v>268</v>
      </c>
    </row>
    <row r="285" spans="1:14">
      <c r="A285" s="9" t="s">
        <v>3841</v>
      </c>
      <c r="B285" s="10"/>
      <c r="C285" s="8" t="s">
        <v>3734</v>
      </c>
      <c r="F285" s="8"/>
      <c r="H285" s="8" t="s">
        <v>268</v>
      </c>
      <c r="I285" s="8"/>
      <c r="J285" s="8" t="s">
        <v>268</v>
      </c>
      <c r="K285" s="8" t="s">
        <v>268</v>
      </c>
      <c r="L285" s="16" t="s">
        <v>268</v>
      </c>
      <c r="M285" s="8" t="s">
        <v>268</v>
      </c>
      <c r="N285" s="8" t="s">
        <v>268</v>
      </c>
    </row>
    <row r="286" spans="1:14">
      <c r="A286" s="9" t="s">
        <v>3842</v>
      </c>
      <c r="B286" s="10"/>
      <c r="C286" s="8" t="s">
        <v>3734</v>
      </c>
      <c r="F286" s="8"/>
      <c r="H286" s="8" t="s">
        <v>268</v>
      </c>
      <c r="I286" s="8"/>
      <c r="J286" s="8" t="s">
        <v>268</v>
      </c>
      <c r="K286" s="8" t="s">
        <v>268</v>
      </c>
      <c r="L286" s="16" t="s">
        <v>268</v>
      </c>
      <c r="M286" s="8" t="s">
        <v>268</v>
      </c>
      <c r="N286" s="8" t="s">
        <v>268</v>
      </c>
    </row>
    <row r="287" spans="1:14">
      <c r="A287" s="9" t="s">
        <v>3887</v>
      </c>
      <c r="B287" s="10"/>
      <c r="E287" s="8" t="s">
        <v>3734</v>
      </c>
      <c r="F287" s="8" t="s">
        <v>3734</v>
      </c>
      <c r="H287" s="8" t="s">
        <v>268</v>
      </c>
      <c r="I287" s="8"/>
      <c r="J287" s="8" t="s">
        <v>4162</v>
      </c>
      <c r="K287" s="8">
        <v>116.66</v>
      </c>
      <c r="L287" s="16">
        <v>128.33000000000001</v>
      </c>
      <c r="M287" s="8" t="s">
        <v>268</v>
      </c>
      <c r="N287" s="8" t="s">
        <v>268</v>
      </c>
    </row>
    <row r="288" spans="1:14">
      <c r="A288" s="9" t="s">
        <v>68</v>
      </c>
      <c r="B288" s="10"/>
      <c r="D288" s="8" t="s">
        <v>3734</v>
      </c>
      <c r="E288" s="8" t="s">
        <v>3734</v>
      </c>
      <c r="F288" s="8" t="s">
        <v>3734</v>
      </c>
      <c r="H288" s="8" t="s">
        <v>268</v>
      </c>
      <c r="I288" s="8"/>
      <c r="J288" s="212" t="s">
        <v>4050</v>
      </c>
      <c r="K288" s="8" t="s">
        <v>268</v>
      </c>
      <c r="L288" s="16" t="s">
        <v>268</v>
      </c>
      <c r="M288" s="8" t="s">
        <v>268</v>
      </c>
      <c r="N288" s="8" t="s">
        <v>268</v>
      </c>
    </row>
    <row r="289" spans="1:14">
      <c r="A289" s="9" t="s">
        <v>3843</v>
      </c>
      <c r="B289" s="10"/>
      <c r="C289" s="8" t="s">
        <v>3734</v>
      </c>
      <c r="F289" s="8"/>
      <c r="H289" s="8" t="s">
        <v>268</v>
      </c>
      <c r="I289" s="8"/>
      <c r="J289" s="8" t="s">
        <v>268</v>
      </c>
      <c r="K289" s="8" t="s">
        <v>268</v>
      </c>
      <c r="L289" s="16" t="s">
        <v>268</v>
      </c>
      <c r="M289" s="8" t="s">
        <v>268</v>
      </c>
      <c r="N289" s="8" t="s">
        <v>268</v>
      </c>
    </row>
    <row r="290" spans="1:14">
      <c r="A290" s="9" t="s">
        <v>3852</v>
      </c>
      <c r="B290" s="10"/>
      <c r="E290" s="8" t="s">
        <v>3734</v>
      </c>
      <c r="F290" s="8"/>
      <c r="H290" s="8" t="s">
        <v>268</v>
      </c>
      <c r="I290" s="8"/>
      <c r="J290" s="8" t="s">
        <v>268</v>
      </c>
      <c r="K290" s="8" t="s">
        <v>268</v>
      </c>
      <c r="L290" s="16" t="s">
        <v>268</v>
      </c>
      <c r="M290" s="8" t="s">
        <v>4139</v>
      </c>
      <c r="N290" s="8">
        <v>165.43</v>
      </c>
    </row>
    <row r="291" spans="1:14">
      <c r="A291" s="9" t="s">
        <v>1238</v>
      </c>
      <c r="B291" s="10"/>
      <c r="D291" s="8" t="s">
        <v>3734</v>
      </c>
      <c r="F291" s="8" t="s">
        <v>3734</v>
      </c>
      <c r="H291" s="8" t="s">
        <v>268</v>
      </c>
      <c r="I291" s="8"/>
      <c r="J291" s="212" t="s">
        <v>4050</v>
      </c>
      <c r="K291" s="8" t="s">
        <v>268</v>
      </c>
      <c r="L291" s="16" t="s">
        <v>268</v>
      </c>
      <c r="M291" s="8" t="s">
        <v>268</v>
      </c>
      <c r="N291" s="8" t="s">
        <v>268</v>
      </c>
    </row>
    <row r="292" spans="1:14">
      <c r="A292" s="9" t="s">
        <v>3888</v>
      </c>
      <c r="B292" s="10"/>
      <c r="E292" s="8" t="s">
        <v>3734</v>
      </c>
      <c r="F292" s="8" t="s">
        <v>3734</v>
      </c>
      <c r="H292" s="8" t="s">
        <v>268</v>
      </c>
      <c r="I292" s="8"/>
      <c r="J292" s="212" t="s">
        <v>4050</v>
      </c>
      <c r="K292" s="8" t="s">
        <v>268</v>
      </c>
      <c r="L292" s="16" t="s">
        <v>268</v>
      </c>
      <c r="M292" s="8" t="s">
        <v>268</v>
      </c>
      <c r="N292" s="8" t="s">
        <v>268</v>
      </c>
    </row>
    <row r="293" spans="1:14">
      <c r="A293" s="9" t="s">
        <v>1251</v>
      </c>
      <c r="B293" s="10"/>
      <c r="C293" s="8" t="s">
        <v>3734</v>
      </c>
      <c r="F293" s="8"/>
      <c r="H293" s="8" t="s">
        <v>268</v>
      </c>
      <c r="I293" s="8"/>
      <c r="J293" s="8" t="s">
        <v>268</v>
      </c>
      <c r="K293" s="8" t="s">
        <v>268</v>
      </c>
      <c r="L293" s="16" t="s">
        <v>268</v>
      </c>
      <c r="M293" s="8" t="s">
        <v>268</v>
      </c>
      <c r="N293" s="8" t="s">
        <v>268</v>
      </c>
    </row>
    <row r="294" spans="1:14">
      <c r="A294" s="9" t="s">
        <v>3872</v>
      </c>
      <c r="B294" s="10"/>
      <c r="E294" s="8" t="s">
        <v>3734</v>
      </c>
      <c r="F294" s="8"/>
      <c r="H294" s="8" t="s">
        <v>268</v>
      </c>
      <c r="I294" s="8"/>
      <c r="J294" s="8" t="s">
        <v>268</v>
      </c>
      <c r="K294" s="8" t="s">
        <v>268</v>
      </c>
      <c r="L294" s="16" t="s">
        <v>268</v>
      </c>
      <c r="M294" s="8" t="s">
        <v>268</v>
      </c>
      <c r="N294" s="8" t="s">
        <v>268</v>
      </c>
    </row>
    <row r="295" spans="1:14">
      <c r="A295" s="9" t="s">
        <v>4163</v>
      </c>
      <c r="B295" s="10"/>
      <c r="F295" s="8"/>
      <c r="H295" s="8" t="s">
        <v>268</v>
      </c>
      <c r="I295" s="8"/>
      <c r="J295" s="8" t="s">
        <v>268</v>
      </c>
      <c r="K295" s="8" t="s">
        <v>268</v>
      </c>
      <c r="L295" s="16" t="s">
        <v>268</v>
      </c>
      <c r="M295" s="8" t="s">
        <v>268</v>
      </c>
      <c r="N295" s="8" t="s">
        <v>268</v>
      </c>
    </row>
    <row r="296" spans="1:14">
      <c r="A296" s="9" t="s">
        <v>3861</v>
      </c>
      <c r="B296" s="10"/>
      <c r="E296" s="8" t="s">
        <v>3734</v>
      </c>
      <c r="F296" s="8"/>
      <c r="H296" s="8" t="s">
        <v>268</v>
      </c>
      <c r="I296" s="8"/>
      <c r="J296" s="8" t="s">
        <v>268</v>
      </c>
      <c r="K296" s="8" t="s">
        <v>268</v>
      </c>
      <c r="L296" s="16" t="s">
        <v>268</v>
      </c>
      <c r="M296" s="8" t="s">
        <v>4164</v>
      </c>
      <c r="N296" s="8">
        <v>164.27</v>
      </c>
    </row>
    <row r="297" spans="1:14">
      <c r="A297" s="9" t="s">
        <v>3957</v>
      </c>
      <c r="B297" s="10"/>
      <c r="E297" s="8" t="s">
        <v>3734</v>
      </c>
      <c r="F297" s="8"/>
      <c r="H297" s="8" t="s">
        <v>268</v>
      </c>
      <c r="I297" s="8"/>
      <c r="J297" s="8" t="s">
        <v>268</v>
      </c>
      <c r="K297" s="8" t="s">
        <v>268</v>
      </c>
      <c r="L297" s="16" t="s">
        <v>268</v>
      </c>
      <c r="M297" s="8" t="s">
        <v>4165</v>
      </c>
      <c r="N297" s="8">
        <v>136.36000000000001</v>
      </c>
    </row>
    <row r="298" spans="1:14">
      <c r="A298" s="9" t="s">
        <v>1262</v>
      </c>
      <c r="B298" s="10"/>
      <c r="E298" s="8" t="s">
        <v>3734</v>
      </c>
      <c r="F298" s="8"/>
      <c r="H298" s="8" t="s">
        <v>268</v>
      </c>
      <c r="I298" s="8"/>
      <c r="J298" s="8" t="s">
        <v>268</v>
      </c>
      <c r="K298" s="8" t="s">
        <v>268</v>
      </c>
      <c r="L298" s="16" t="s">
        <v>268</v>
      </c>
      <c r="M298" s="8" t="s">
        <v>4165</v>
      </c>
      <c r="N298" s="8">
        <v>139.09</v>
      </c>
    </row>
    <row r="299" spans="1:14">
      <c r="A299" s="9" t="s">
        <v>1266</v>
      </c>
      <c r="B299" s="10"/>
      <c r="E299" s="8" t="s">
        <v>3734</v>
      </c>
      <c r="F299" s="8"/>
      <c r="H299" s="8" t="s">
        <v>268</v>
      </c>
      <c r="I299" s="8"/>
      <c r="J299" s="8" t="s">
        <v>268</v>
      </c>
      <c r="K299" s="8" t="s">
        <v>268</v>
      </c>
      <c r="L299" s="16" t="s">
        <v>268</v>
      </c>
      <c r="M299" s="8" t="s">
        <v>4165</v>
      </c>
      <c r="N299" s="8">
        <v>136.36000000000001</v>
      </c>
    </row>
    <row r="300" spans="1:14">
      <c r="A300" s="9" t="s">
        <v>1270</v>
      </c>
      <c r="B300" s="10"/>
      <c r="E300" s="8" t="s">
        <v>3734</v>
      </c>
      <c r="F300" s="8"/>
      <c r="H300" s="8" t="s">
        <v>268</v>
      </c>
      <c r="I300" s="8"/>
      <c r="J300" s="8" t="s">
        <v>268</v>
      </c>
      <c r="K300" s="8" t="s">
        <v>268</v>
      </c>
      <c r="L300" s="16" t="s">
        <v>268</v>
      </c>
      <c r="M300" s="8" t="s">
        <v>4166</v>
      </c>
      <c r="N300" s="8">
        <v>142.71</v>
      </c>
    </row>
    <row r="301" spans="1:14">
      <c r="A301" s="9" t="s">
        <v>1274</v>
      </c>
      <c r="B301" s="10"/>
      <c r="E301" s="8" t="s">
        <v>3734</v>
      </c>
      <c r="F301" s="8"/>
      <c r="H301" s="8" t="s">
        <v>268</v>
      </c>
      <c r="I301" s="8"/>
      <c r="J301" s="8" t="s">
        <v>268</v>
      </c>
      <c r="K301" s="8" t="s">
        <v>268</v>
      </c>
      <c r="L301" s="16" t="s">
        <v>268</v>
      </c>
      <c r="M301" s="8" t="s">
        <v>4165</v>
      </c>
      <c r="N301" s="8">
        <v>136.36000000000001</v>
      </c>
    </row>
    <row r="302" spans="1:14">
      <c r="A302" s="9" t="s">
        <v>1276</v>
      </c>
      <c r="B302" s="10"/>
      <c r="E302" s="8" t="s">
        <v>3734</v>
      </c>
      <c r="F302" s="8"/>
      <c r="H302" s="8" t="s">
        <v>268</v>
      </c>
      <c r="I302" s="8"/>
      <c r="J302" s="8" t="s">
        <v>268</v>
      </c>
      <c r="K302" s="8" t="s">
        <v>268</v>
      </c>
      <c r="L302" s="16" t="s">
        <v>268</v>
      </c>
      <c r="M302" s="8" t="s">
        <v>4165</v>
      </c>
      <c r="N302" s="8">
        <v>136.36000000000001</v>
      </c>
    </row>
    <row r="303" spans="1:14">
      <c r="A303" s="9" t="s">
        <v>1280</v>
      </c>
      <c r="B303" s="10"/>
      <c r="E303" s="8" t="s">
        <v>3734</v>
      </c>
      <c r="F303" s="8"/>
      <c r="H303" s="8" t="s">
        <v>268</v>
      </c>
      <c r="I303" s="8"/>
      <c r="J303" s="8" t="s">
        <v>268</v>
      </c>
      <c r="K303" s="8" t="s">
        <v>268</v>
      </c>
      <c r="L303" s="16" t="s">
        <v>268</v>
      </c>
      <c r="M303" s="8" t="s">
        <v>4165</v>
      </c>
      <c r="N303" s="8">
        <v>127.27</v>
      </c>
    </row>
    <row r="304" spans="1:14">
      <c r="A304" s="9" t="s">
        <v>1283</v>
      </c>
      <c r="B304" s="10"/>
      <c r="E304" s="8" t="s">
        <v>3734</v>
      </c>
      <c r="F304" s="8"/>
      <c r="H304" s="8" t="s">
        <v>268</v>
      </c>
      <c r="I304" s="8"/>
      <c r="J304" s="8" t="s">
        <v>268</v>
      </c>
      <c r="K304" s="8" t="s">
        <v>268</v>
      </c>
      <c r="L304" s="16" t="s">
        <v>268</v>
      </c>
      <c r="M304" s="8" t="s">
        <v>4165</v>
      </c>
      <c r="N304" s="8">
        <v>127.27</v>
      </c>
    </row>
    <row r="305" spans="1:14">
      <c r="A305" s="9" t="s">
        <v>1286</v>
      </c>
      <c r="B305" s="10"/>
      <c r="E305" s="8" t="s">
        <v>3734</v>
      </c>
      <c r="F305" s="8"/>
      <c r="H305" s="8" t="s">
        <v>268</v>
      </c>
      <c r="I305" s="8"/>
      <c r="J305" s="8" t="s">
        <v>268</v>
      </c>
      <c r="K305" s="8" t="s">
        <v>268</v>
      </c>
      <c r="L305" s="16" t="s">
        <v>268</v>
      </c>
      <c r="M305" s="8" t="s">
        <v>4165</v>
      </c>
      <c r="N305" s="8">
        <v>136.36000000000001</v>
      </c>
    </row>
    <row r="306" spans="1:14">
      <c r="A306" s="9" t="s">
        <v>3956</v>
      </c>
      <c r="B306" s="10"/>
      <c r="E306" s="8" t="s">
        <v>3734</v>
      </c>
      <c r="F306" s="8"/>
      <c r="H306" s="8" t="s">
        <v>268</v>
      </c>
      <c r="I306" s="8"/>
      <c r="J306" s="8" t="s">
        <v>268</v>
      </c>
      <c r="K306" s="8" t="s">
        <v>268</v>
      </c>
      <c r="L306" s="16" t="s">
        <v>268</v>
      </c>
      <c r="M306" s="8" t="s">
        <v>268</v>
      </c>
      <c r="N306" s="8" t="s">
        <v>268</v>
      </c>
    </row>
    <row r="307" spans="1:14">
      <c r="A307" s="9" t="s">
        <v>1289</v>
      </c>
      <c r="B307" s="10"/>
      <c r="E307" s="8" t="s">
        <v>3734</v>
      </c>
      <c r="F307" s="8"/>
      <c r="H307" s="8" t="s">
        <v>268</v>
      </c>
      <c r="I307" s="8"/>
      <c r="J307" s="8" t="s">
        <v>268</v>
      </c>
      <c r="K307" s="8" t="s">
        <v>268</v>
      </c>
      <c r="L307" s="16" t="s">
        <v>268</v>
      </c>
      <c r="M307" s="8" t="s">
        <v>4165</v>
      </c>
      <c r="N307" s="8">
        <v>127.27</v>
      </c>
    </row>
    <row r="308" spans="1:14">
      <c r="A308" s="9" t="s">
        <v>1293</v>
      </c>
      <c r="B308" s="10"/>
      <c r="E308" s="8" t="s">
        <v>3734</v>
      </c>
      <c r="F308" s="8"/>
      <c r="H308" s="8" t="s">
        <v>268</v>
      </c>
      <c r="I308" s="8"/>
      <c r="J308" s="8" t="s">
        <v>268</v>
      </c>
      <c r="K308" s="8" t="s">
        <v>268</v>
      </c>
      <c r="L308" s="16" t="s">
        <v>268</v>
      </c>
      <c r="M308" s="8" t="s">
        <v>4167</v>
      </c>
      <c r="N308" s="8">
        <v>167.27</v>
      </c>
    </row>
    <row r="309" spans="1:14">
      <c r="A309" s="9" t="s">
        <v>3955</v>
      </c>
      <c r="B309" s="10"/>
      <c r="E309" s="8" t="s">
        <v>3734</v>
      </c>
      <c r="F309" s="8"/>
      <c r="H309" s="8" t="s">
        <v>268</v>
      </c>
      <c r="I309" s="8"/>
      <c r="J309" s="8" t="s">
        <v>268</v>
      </c>
      <c r="K309" s="8" t="s">
        <v>268</v>
      </c>
      <c r="L309" s="16" t="s">
        <v>268</v>
      </c>
      <c r="M309" s="8" t="s">
        <v>4165</v>
      </c>
      <c r="N309" s="8">
        <v>136.36000000000001</v>
      </c>
    </row>
    <row r="310" spans="1:14">
      <c r="A310" s="9" t="s">
        <v>1300</v>
      </c>
      <c r="B310" s="10"/>
      <c r="E310" s="8" t="s">
        <v>3734</v>
      </c>
      <c r="F310" s="8"/>
      <c r="H310" s="8" t="s">
        <v>268</v>
      </c>
      <c r="I310" s="8"/>
      <c r="J310" s="8" t="s">
        <v>268</v>
      </c>
      <c r="K310" s="8" t="s">
        <v>268</v>
      </c>
      <c r="L310" s="16" t="s">
        <v>268</v>
      </c>
      <c r="M310" s="8" t="s">
        <v>4165</v>
      </c>
      <c r="N310" s="8">
        <v>136.36000000000001</v>
      </c>
    </row>
    <row r="311" spans="1:14">
      <c r="A311" s="9" t="s">
        <v>1303</v>
      </c>
      <c r="B311" s="10"/>
      <c r="E311" s="8" t="s">
        <v>3734</v>
      </c>
      <c r="F311" s="8"/>
      <c r="H311" s="8" t="s">
        <v>268</v>
      </c>
      <c r="I311" s="8"/>
      <c r="J311" s="8" t="s">
        <v>268</v>
      </c>
      <c r="K311" s="8" t="s">
        <v>268</v>
      </c>
      <c r="L311" s="16" t="s">
        <v>268</v>
      </c>
      <c r="M311" s="8" t="s">
        <v>4165</v>
      </c>
      <c r="N311" s="8">
        <v>136.36000000000001</v>
      </c>
    </row>
    <row r="312" spans="1:14">
      <c r="A312" s="9" t="s">
        <v>1311</v>
      </c>
      <c r="B312" s="10"/>
      <c r="E312" s="8" t="s">
        <v>3734</v>
      </c>
      <c r="F312" s="8"/>
      <c r="H312" s="8" t="s">
        <v>268</v>
      </c>
      <c r="I312" s="8"/>
      <c r="J312" s="8" t="s">
        <v>268</v>
      </c>
      <c r="K312" s="8" t="s">
        <v>268</v>
      </c>
      <c r="L312" s="16" t="s">
        <v>268</v>
      </c>
      <c r="M312" s="8" t="s">
        <v>4166</v>
      </c>
      <c r="N312" s="8">
        <v>127.27</v>
      </c>
    </row>
    <row r="313" spans="1:14">
      <c r="A313" s="9" t="s">
        <v>1315</v>
      </c>
      <c r="B313" s="10"/>
      <c r="E313" s="8" t="s">
        <v>3734</v>
      </c>
      <c r="F313" s="8"/>
      <c r="H313" s="8" t="s">
        <v>268</v>
      </c>
      <c r="I313" s="8"/>
      <c r="J313" s="8" t="s">
        <v>268</v>
      </c>
      <c r="K313" s="8" t="s">
        <v>268</v>
      </c>
      <c r="L313" s="16" t="s">
        <v>268</v>
      </c>
      <c r="M313" s="8" t="s">
        <v>4165</v>
      </c>
      <c r="N313" s="8">
        <v>136.36000000000001</v>
      </c>
    </row>
    <row r="314" spans="1:14">
      <c r="A314" s="9" t="s">
        <v>1318</v>
      </c>
      <c r="B314" s="10"/>
      <c r="E314" s="8" t="s">
        <v>3734</v>
      </c>
      <c r="F314" s="8"/>
      <c r="H314" s="8" t="s">
        <v>268</v>
      </c>
      <c r="I314" s="8"/>
      <c r="J314" s="8" t="s">
        <v>268</v>
      </c>
      <c r="K314" s="8" t="s">
        <v>268</v>
      </c>
      <c r="L314" s="16" t="s">
        <v>268</v>
      </c>
      <c r="M314" s="8" t="s">
        <v>4166</v>
      </c>
      <c r="N314" s="8">
        <v>122.73</v>
      </c>
    </row>
    <row r="315" spans="1:14">
      <c r="A315" s="9" t="s">
        <v>1322</v>
      </c>
      <c r="B315" s="10"/>
      <c r="E315" s="8" t="s">
        <v>3734</v>
      </c>
      <c r="F315" s="8"/>
      <c r="H315" s="8" t="s">
        <v>268</v>
      </c>
      <c r="I315" s="8"/>
      <c r="J315" s="8" t="s">
        <v>268</v>
      </c>
      <c r="K315" s="8" t="s">
        <v>268</v>
      </c>
      <c r="L315" s="16" t="s">
        <v>268</v>
      </c>
      <c r="M315" s="8" t="s">
        <v>4165</v>
      </c>
      <c r="N315" s="8">
        <v>136.36000000000001</v>
      </c>
    </row>
    <row r="316" spans="1:14">
      <c r="A316" s="9" t="s">
        <v>1326</v>
      </c>
      <c r="B316" s="10"/>
      <c r="E316" s="8" t="s">
        <v>3734</v>
      </c>
      <c r="F316" s="8"/>
      <c r="H316" s="8" t="s">
        <v>268</v>
      </c>
      <c r="I316" s="8"/>
      <c r="J316" s="8" t="s">
        <v>268</v>
      </c>
      <c r="K316" s="8" t="s">
        <v>268</v>
      </c>
      <c r="L316" s="16" t="s">
        <v>268</v>
      </c>
      <c r="M316" s="8" t="s">
        <v>4165</v>
      </c>
      <c r="N316" s="8">
        <v>136.36000000000001</v>
      </c>
    </row>
    <row r="317" spans="1:14">
      <c r="A317" s="9" t="s">
        <v>1330</v>
      </c>
      <c r="B317" s="10"/>
      <c r="E317" s="8" t="s">
        <v>3734</v>
      </c>
      <c r="F317" s="8"/>
      <c r="H317" s="8" t="s">
        <v>268</v>
      </c>
      <c r="I317" s="8"/>
      <c r="J317" s="8" t="s">
        <v>268</v>
      </c>
      <c r="K317" s="8" t="s">
        <v>268</v>
      </c>
      <c r="L317" s="16" t="s">
        <v>268</v>
      </c>
      <c r="M317" s="8" t="s">
        <v>4165</v>
      </c>
      <c r="N317" s="8">
        <v>136.36000000000001</v>
      </c>
    </row>
    <row r="318" spans="1:14">
      <c r="A318" s="9" t="s">
        <v>1334</v>
      </c>
      <c r="B318" s="10"/>
      <c r="E318" s="8" t="s">
        <v>3734</v>
      </c>
      <c r="F318" s="8"/>
      <c r="H318" s="8" t="s">
        <v>268</v>
      </c>
      <c r="I318" s="8"/>
      <c r="J318" s="8" t="s">
        <v>268</v>
      </c>
      <c r="K318" s="8" t="s">
        <v>268</v>
      </c>
      <c r="L318" s="16" t="s">
        <v>268</v>
      </c>
      <c r="M318" s="8" t="s">
        <v>4165</v>
      </c>
      <c r="N318" s="8">
        <v>136.36000000000001</v>
      </c>
    </row>
    <row r="319" spans="1:14">
      <c r="A319" s="9" t="s">
        <v>1336</v>
      </c>
      <c r="B319" s="10"/>
      <c r="E319" s="8" t="s">
        <v>3734</v>
      </c>
      <c r="F319" s="8"/>
      <c r="H319" s="8" t="s">
        <v>268</v>
      </c>
      <c r="I319" s="8"/>
      <c r="J319" s="8" t="s">
        <v>268</v>
      </c>
      <c r="K319" s="8" t="s">
        <v>268</v>
      </c>
      <c r="L319" s="16" t="s">
        <v>268</v>
      </c>
      <c r="M319" s="8" t="s">
        <v>4165</v>
      </c>
      <c r="N319" s="8">
        <v>136.36000000000001</v>
      </c>
    </row>
    <row r="320" spans="1:14">
      <c r="A320" s="9" t="s">
        <v>3853</v>
      </c>
      <c r="B320" s="10"/>
      <c r="E320" s="8" t="s">
        <v>3734</v>
      </c>
      <c r="F320" s="8"/>
      <c r="H320" s="8" t="s">
        <v>268</v>
      </c>
      <c r="I320" s="8"/>
      <c r="J320" s="8" t="s">
        <v>268</v>
      </c>
      <c r="K320" s="8" t="s">
        <v>268</v>
      </c>
      <c r="L320" s="16" t="s">
        <v>268</v>
      </c>
      <c r="M320" s="8" t="s">
        <v>4166</v>
      </c>
      <c r="N320" s="8">
        <v>139.09</v>
      </c>
    </row>
    <row r="321" spans="1:14">
      <c r="A321" s="9" t="s">
        <v>3950</v>
      </c>
      <c r="B321" s="10"/>
      <c r="E321" s="8" t="s">
        <v>3734</v>
      </c>
      <c r="F321" s="8"/>
      <c r="H321" s="8" t="s">
        <v>268</v>
      </c>
      <c r="I321" s="8"/>
      <c r="J321" s="8" t="s">
        <v>268</v>
      </c>
      <c r="K321" s="8" t="s">
        <v>268</v>
      </c>
      <c r="L321" s="16" t="s">
        <v>268</v>
      </c>
      <c r="M321" s="8" t="s">
        <v>4165</v>
      </c>
      <c r="N321" s="8">
        <v>136.36000000000001</v>
      </c>
    </row>
    <row r="322" spans="1:14">
      <c r="A322" s="9" t="s">
        <v>1344</v>
      </c>
      <c r="B322" s="10"/>
      <c r="E322" s="8" t="s">
        <v>3734</v>
      </c>
      <c r="F322" s="8"/>
      <c r="H322" s="8" t="s">
        <v>268</v>
      </c>
      <c r="I322" s="8"/>
      <c r="J322" s="8" t="s">
        <v>268</v>
      </c>
      <c r="K322" s="8" t="s">
        <v>268</v>
      </c>
      <c r="L322" s="16" t="s">
        <v>268</v>
      </c>
      <c r="M322" s="8" t="s">
        <v>4165</v>
      </c>
      <c r="N322" s="8">
        <v>136.36000000000001</v>
      </c>
    </row>
    <row r="323" spans="1:14">
      <c r="A323" s="9" t="s">
        <v>1346</v>
      </c>
      <c r="B323" s="10"/>
      <c r="E323" s="8" t="s">
        <v>3734</v>
      </c>
      <c r="F323" s="8"/>
      <c r="H323" s="8" t="s">
        <v>268</v>
      </c>
      <c r="I323" s="8"/>
      <c r="J323" s="8" t="s">
        <v>268</v>
      </c>
      <c r="K323" s="8" t="s">
        <v>268</v>
      </c>
      <c r="L323" s="16" t="s">
        <v>268</v>
      </c>
      <c r="M323" s="8" t="s">
        <v>4165</v>
      </c>
      <c r="N323" s="8">
        <v>136.36000000000001</v>
      </c>
    </row>
    <row r="324" spans="1:14">
      <c r="A324" s="9" t="s">
        <v>1350</v>
      </c>
      <c r="B324" s="10"/>
      <c r="E324" s="8" t="s">
        <v>3734</v>
      </c>
      <c r="F324" s="8"/>
      <c r="H324" s="8" t="s">
        <v>268</v>
      </c>
      <c r="I324" s="8"/>
      <c r="J324" s="8" t="s">
        <v>268</v>
      </c>
      <c r="K324" s="8" t="s">
        <v>268</v>
      </c>
      <c r="L324" s="16" t="s">
        <v>268</v>
      </c>
      <c r="M324" s="8" t="s">
        <v>4166</v>
      </c>
      <c r="N324" s="8">
        <v>122.73</v>
      </c>
    </row>
    <row r="325" spans="1:14">
      <c r="A325" s="9" t="s">
        <v>1353</v>
      </c>
      <c r="B325" s="10"/>
      <c r="E325" s="8" t="s">
        <v>3734</v>
      </c>
      <c r="F325" s="8"/>
      <c r="H325" s="8" t="s">
        <v>268</v>
      </c>
      <c r="I325" s="8"/>
      <c r="J325" s="8" t="s">
        <v>268</v>
      </c>
      <c r="K325" s="8" t="s">
        <v>268</v>
      </c>
      <c r="L325" s="16" t="s">
        <v>268</v>
      </c>
      <c r="M325" s="8" t="s">
        <v>4166</v>
      </c>
      <c r="N325" s="8">
        <v>122.73</v>
      </c>
    </row>
    <row r="326" spans="1:14">
      <c r="A326" s="9" t="s">
        <v>1357</v>
      </c>
      <c r="B326" s="10"/>
      <c r="E326" s="8" t="s">
        <v>3734</v>
      </c>
      <c r="F326" s="8"/>
      <c r="H326" s="8" t="s">
        <v>268</v>
      </c>
      <c r="I326" s="8"/>
      <c r="J326" s="8" t="s">
        <v>268</v>
      </c>
      <c r="K326" s="8" t="s">
        <v>268</v>
      </c>
      <c r="L326" s="16" t="s">
        <v>268</v>
      </c>
      <c r="M326" s="8" t="s">
        <v>1932</v>
      </c>
      <c r="N326" s="8">
        <v>0</v>
      </c>
    </row>
    <row r="327" spans="1:14">
      <c r="A327" s="9" t="s">
        <v>1360</v>
      </c>
      <c r="B327" s="10"/>
      <c r="E327" s="8" t="s">
        <v>3734</v>
      </c>
      <c r="F327" s="8"/>
      <c r="H327" s="8" t="s">
        <v>268</v>
      </c>
      <c r="I327" s="8"/>
      <c r="J327" s="8" t="s">
        <v>268</v>
      </c>
      <c r="K327" s="8" t="s">
        <v>268</v>
      </c>
      <c r="L327" s="16" t="s">
        <v>268</v>
      </c>
      <c r="M327" s="8" t="s">
        <v>4165</v>
      </c>
      <c r="N327" s="8">
        <v>136.36000000000001</v>
      </c>
    </row>
    <row r="328" spans="1:14">
      <c r="A328" s="9" t="s">
        <v>1368</v>
      </c>
      <c r="B328" s="10"/>
      <c r="E328" s="8" t="s">
        <v>3734</v>
      </c>
      <c r="F328" s="8"/>
      <c r="H328" s="8" t="s">
        <v>268</v>
      </c>
      <c r="I328" s="8"/>
      <c r="J328" s="8" t="s">
        <v>268</v>
      </c>
      <c r="K328" s="8" t="s">
        <v>268</v>
      </c>
      <c r="L328" s="16" t="s">
        <v>268</v>
      </c>
      <c r="M328" s="8" t="s">
        <v>4165</v>
      </c>
      <c r="N328" s="8">
        <v>136.36000000000001</v>
      </c>
    </row>
    <row r="329" spans="1:14">
      <c r="A329" s="9" t="s">
        <v>1372</v>
      </c>
      <c r="B329" s="10"/>
      <c r="E329" s="8" t="s">
        <v>3734</v>
      </c>
      <c r="F329" s="8"/>
      <c r="H329" s="8" t="s">
        <v>268</v>
      </c>
      <c r="I329" s="8"/>
      <c r="J329" s="8" t="s">
        <v>268</v>
      </c>
      <c r="K329" s="8" t="s">
        <v>268</v>
      </c>
      <c r="L329" s="16" t="s">
        <v>268</v>
      </c>
      <c r="M329" s="8" t="s">
        <v>4165</v>
      </c>
      <c r="N329" s="8">
        <v>136.36000000000001</v>
      </c>
    </row>
    <row r="330" spans="1:14">
      <c r="A330" s="9" t="s">
        <v>1376</v>
      </c>
      <c r="B330" s="10"/>
      <c r="E330" s="8" t="s">
        <v>3734</v>
      </c>
      <c r="F330" s="8"/>
      <c r="H330" s="8" t="s">
        <v>268</v>
      </c>
      <c r="I330" s="8"/>
      <c r="J330" s="8" t="s">
        <v>268</v>
      </c>
      <c r="K330" s="8" t="s">
        <v>268</v>
      </c>
      <c r="L330" s="16" t="s">
        <v>268</v>
      </c>
      <c r="M330" s="8" t="s">
        <v>4166</v>
      </c>
      <c r="N330" s="8">
        <v>122.73</v>
      </c>
    </row>
    <row r="331" spans="1:14">
      <c r="A331" s="9" t="s">
        <v>1380</v>
      </c>
      <c r="B331" s="10"/>
      <c r="E331" s="8" t="s">
        <v>3734</v>
      </c>
      <c r="F331" s="8"/>
      <c r="H331" s="8" t="s">
        <v>268</v>
      </c>
      <c r="I331" s="8"/>
      <c r="J331" s="8" t="s">
        <v>268</v>
      </c>
      <c r="K331" s="8" t="s">
        <v>268</v>
      </c>
      <c r="L331" s="16" t="s">
        <v>268</v>
      </c>
      <c r="M331" s="8" t="s">
        <v>4166</v>
      </c>
      <c r="N331" s="8">
        <v>139.09</v>
      </c>
    </row>
    <row r="332" spans="1:14">
      <c r="A332" s="9" t="s">
        <v>3948</v>
      </c>
      <c r="B332" s="10"/>
      <c r="E332" s="8" t="s">
        <v>3734</v>
      </c>
      <c r="F332" s="8"/>
      <c r="H332" s="8" t="s">
        <v>268</v>
      </c>
      <c r="I332" s="8"/>
      <c r="J332" s="8" t="s">
        <v>268</v>
      </c>
      <c r="K332" s="8" t="s">
        <v>268</v>
      </c>
      <c r="L332" s="16" t="s">
        <v>268</v>
      </c>
      <c r="M332" s="8" t="s">
        <v>268</v>
      </c>
      <c r="N332" s="8" t="s">
        <v>268</v>
      </c>
    </row>
    <row r="333" spans="1:14">
      <c r="A333" s="9" t="s">
        <v>1384</v>
      </c>
      <c r="B333" s="10"/>
      <c r="E333" s="8" t="s">
        <v>3734</v>
      </c>
      <c r="F333" s="8"/>
      <c r="H333" s="8" t="s">
        <v>268</v>
      </c>
      <c r="I333" s="8"/>
      <c r="J333" s="8" t="s">
        <v>268</v>
      </c>
      <c r="K333" s="8" t="s">
        <v>268</v>
      </c>
      <c r="L333" s="16" t="s">
        <v>268</v>
      </c>
      <c r="M333" s="8" t="s">
        <v>4166</v>
      </c>
      <c r="N333" s="8">
        <v>122.73</v>
      </c>
    </row>
    <row r="334" spans="1:14">
      <c r="A334" s="9" t="s">
        <v>1388</v>
      </c>
      <c r="B334" s="10"/>
      <c r="E334" s="8" t="s">
        <v>3734</v>
      </c>
      <c r="F334" s="8"/>
      <c r="H334" s="8" t="s">
        <v>268</v>
      </c>
      <c r="I334" s="8"/>
      <c r="J334" s="8" t="s">
        <v>268</v>
      </c>
      <c r="K334" s="8" t="s">
        <v>268</v>
      </c>
      <c r="L334" s="16" t="s">
        <v>268</v>
      </c>
      <c r="M334" s="8" t="s">
        <v>4165</v>
      </c>
      <c r="N334" s="8">
        <v>136.36000000000001</v>
      </c>
    </row>
    <row r="335" spans="1:14">
      <c r="A335" s="9" t="s">
        <v>3724</v>
      </c>
      <c r="B335" s="10"/>
      <c r="E335" s="8" t="s">
        <v>3734</v>
      </c>
      <c r="F335" s="8"/>
      <c r="H335" s="8" t="s">
        <v>268</v>
      </c>
      <c r="I335" s="8"/>
      <c r="J335" s="8" t="s">
        <v>268</v>
      </c>
      <c r="K335" s="8" t="s">
        <v>268</v>
      </c>
      <c r="L335" s="16" t="s">
        <v>268</v>
      </c>
      <c r="M335" s="8" t="s">
        <v>4168</v>
      </c>
      <c r="N335" s="8">
        <v>140.44999999999999</v>
      </c>
    </row>
    <row r="336" spans="1:14">
      <c r="A336" s="9" t="s">
        <v>1393</v>
      </c>
      <c r="B336" s="10"/>
      <c r="E336" s="8" t="s">
        <v>3734</v>
      </c>
      <c r="F336" s="8"/>
      <c r="H336" s="8" t="s">
        <v>268</v>
      </c>
      <c r="I336" s="8"/>
      <c r="J336" s="8" t="s">
        <v>268</v>
      </c>
      <c r="K336" s="8" t="s">
        <v>268</v>
      </c>
      <c r="L336" s="16" t="s">
        <v>268</v>
      </c>
      <c r="M336" s="8" t="s">
        <v>4165</v>
      </c>
      <c r="N336" s="8">
        <v>136.36000000000001</v>
      </c>
    </row>
    <row r="337" spans="1:14">
      <c r="A337" s="9" t="s">
        <v>1397</v>
      </c>
      <c r="B337" s="10"/>
      <c r="E337" s="8" t="s">
        <v>3734</v>
      </c>
      <c r="F337" s="8"/>
      <c r="H337" s="8" t="s">
        <v>268</v>
      </c>
      <c r="I337" s="8"/>
      <c r="J337" s="8" t="s">
        <v>268</v>
      </c>
      <c r="K337" s="8" t="s">
        <v>268</v>
      </c>
      <c r="L337" s="16" t="s">
        <v>268</v>
      </c>
      <c r="M337" s="8" t="s">
        <v>4165</v>
      </c>
      <c r="N337" s="8">
        <v>136.36000000000001</v>
      </c>
    </row>
    <row r="338" spans="1:14">
      <c r="A338" s="9" t="s">
        <v>3854</v>
      </c>
      <c r="B338" s="10"/>
      <c r="E338" s="8" t="s">
        <v>3734</v>
      </c>
      <c r="F338" s="8"/>
      <c r="H338" s="8" t="s">
        <v>268</v>
      </c>
      <c r="I338" s="8"/>
      <c r="J338" s="8" t="s">
        <v>268</v>
      </c>
      <c r="K338" s="8" t="s">
        <v>268</v>
      </c>
      <c r="L338" s="16" t="s">
        <v>268</v>
      </c>
      <c r="M338" s="8" t="s">
        <v>4164</v>
      </c>
      <c r="N338" s="8">
        <v>139.09</v>
      </c>
    </row>
    <row r="339" spans="1:14">
      <c r="A339" s="9" t="s">
        <v>1403</v>
      </c>
      <c r="B339" s="10"/>
      <c r="E339" s="8" t="s">
        <v>3734</v>
      </c>
      <c r="F339" s="8"/>
      <c r="H339" s="8" t="s">
        <v>268</v>
      </c>
      <c r="I339" s="8"/>
      <c r="J339" s="8" t="s">
        <v>268</v>
      </c>
      <c r="K339" s="8" t="s">
        <v>268</v>
      </c>
      <c r="L339" s="16" t="s">
        <v>268</v>
      </c>
      <c r="M339" s="8" t="s">
        <v>268</v>
      </c>
      <c r="N339" s="8" t="s">
        <v>268</v>
      </c>
    </row>
    <row r="340" spans="1:14">
      <c r="A340" s="9" t="s">
        <v>1406</v>
      </c>
      <c r="B340" s="10"/>
      <c r="E340" s="8" t="s">
        <v>3734</v>
      </c>
      <c r="F340" s="8"/>
      <c r="H340" s="8" t="s">
        <v>268</v>
      </c>
      <c r="I340" s="8"/>
      <c r="J340" s="8" t="s">
        <v>268</v>
      </c>
      <c r="K340" s="8" t="s">
        <v>268</v>
      </c>
      <c r="L340" s="16" t="s">
        <v>268</v>
      </c>
      <c r="M340" s="8" t="s">
        <v>4165</v>
      </c>
      <c r="N340" s="8">
        <v>136.36000000000001</v>
      </c>
    </row>
    <row r="341" spans="1:14">
      <c r="A341" s="9" t="s">
        <v>1411</v>
      </c>
      <c r="B341" s="10"/>
      <c r="E341" s="8" t="s">
        <v>3734</v>
      </c>
      <c r="F341" s="8"/>
      <c r="H341" s="8" t="s">
        <v>268</v>
      </c>
      <c r="I341" s="8"/>
      <c r="J341" s="8" t="s">
        <v>268</v>
      </c>
      <c r="K341" s="8" t="s">
        <v>268</v>
      </c>
      <c r="L341" s="16" t="s">
        <v>268</v>
      </c>
      <c r="M341" s="8" t="s">
        <v>4165</v>
      </c>
      <c r="N341" s="8">
        <v>136.36000000000001</v>
      </c>
    </row>
    <row r="342" spans="1:14">
      <c r="A342" s="9" t="s">
        <v>1415</v>
      </c>
      <c r="B342" s="10"/>
      <c r="E342" s="8" t="s">
        <v>3734</v>
      </c>
      <c r="F342" s="8"/>
      <c r="H342" s="8" t="s">
        <v>268</v>
      </c>
      <c r="I342" s="8"/>
      <c r="J342" s="8" t="s">
        <v>268</v>
      </c>
      <c r="K342" s="8" t="s">
        <v>268</v>
      </c>
      <c r="L342" s="16" t="s">
        <v>268</v>
      </c>
      <c r="M342" s="8" t="s">
        <v>4165</v>
      </c>
      <c r="N342" s="8">
        <v>136.36000000000001</v>
      </c>
    </row>
    <row r="343" spans="1:14">
      <c r="A343" s="9" t="s">
        <v>1419</v>
      </c>
      <c r="B343" s="10"/>
      <c r="E343" s="8" t="s">
        <v>3734</v>
      </c>
      <c r="F343" s="8"/>
      <c r="H343" s="8" t="s">
        <v>268</v>
      </c>
      <c r="I343" s="8"/>
      <c r="J343" s="8" t="s">
        <v>268</v>
      </c>
      <c r="K343" s="8" t="s">
        <v>268</v>
      </c>
      <c r="L343" s="16" t="s">
        <v>268</v>
      </c>
      <c r="M343" s="8" t="s">
        <v>4165</v>
      </c>
      <c r="N343" s="8">
        <v>136.36000000000001</v>
      </c>
    </row>
    <row r="344" spans="1:14">
      <c r="A344" s="9" t="s">
        <v>1423</v>
      </c>
      <c r="B344" s="10"/>
      <c r="E344" s="8" t="s">
        <v>3734</v>
      </c>
      <c r="F344" s="8"/>
      <c r="H344" s="8" t="s">
        <v>268</v>
      </c>
      <c r="I344" s="8"/>
      <c r="J344" s="8" t="s">
        <v>268</v>
      </c>
      <c r="K344" s="8" t="s">
        <v>268</v>
      </c>
      <c r="L344" s="16" t="s">
        <v>268</v>
      </c>
      <c r="M344" s="8" t="s">
        <v>4166</v>
      </c>
      <c r="N344" s="8">
        <v>122.73</v>
      </c>
    </row>
    <row r="345" spans="1:14">
      <c r="A345" s="9" t="s">
        <v>1427</v>
      </c>
      <c r="B345" s="10"/>
      <c r="E345" s="8" t="s">
        <v>3734</v>
      </c>
      <c r="F345" s="8"/>
      <c r="H345" s="8" t="s">
        <v>268</v>
      </c>
      <c r="I345" s="8"/>
      <c r="J345" s="8" t="s">
        <v>268</v>
      </c>
      <c r="K345" s="8" t="s">
        <v>268</v>
      </c>
      <c r="L345" s="16" t="s">
        <v>268</v>
      </c>
      <c r="M345" s="8" t="s">
        <v>4165</v>
      </c>
      <c r="N345" s="8">
        <v>136.36000000000001</v>
      </c>
    </row>
    <row r="346" spans="1:14">
      <c r="A346" s="9" t="s">
        <v>1430</v>
      </c>
      <c r="B346" s="10"/>
      <c r="E346" s="8" t="s">
        <v>3734</v>
      </c>
      <c r="F346" s="8"/>
      <c r="H346" s="8" t="s">
        <v>268</v>
      </c>
      <c r="I346" s="8"/>
      <c r="J346" s="8" t="s">
        <v>268</v>
      </c>
      <c r="K346" s="8" t="s">
        <v>268</v>
      </c>
      <c r="L346" s="16" t="s">
        <v>268</v>
      </c>
      <c r="M346" s="8" t="s">
        <v>4165</v>
      </c>
      <c r="N346" s="8">
        <v>136.36000000000001</v>
      </c>
    </row>
    <row r="347" spans="1:14">
      <c r="A347" s="9" t="s">
        <v>3727</v>
      </c>
      <c r="B347" s="10"/>
      <c r="E347" s="8" t="s">
        <v>3734</v>
      </c>
      <c r="F347" s="8"/>
      <c r="H347" s="8" t="s">
        <v>268</v>
      </c>
      <c r="I347" s="8"/>
      <c r="J347" s="8" t="s">
        <v>268</v>
      </c>
      <c r="K347" s="8" t="s">
        <v>268</v>
      </c>
      <c r="L347" s="16" t="s">
        <v>268</v>
      </c>
      <c r="M347" s="8" t="s">
        <v>4168</v>
      </c>
      <c r="N347" s="8">
        <v>140.44999999999999</v>
      </c>
    </row>
    <row r="348" spans="1:14">
      <c r="A348" s="9" t="s">
        <v>1435</v>
      </c>
      <c r="B348" s="10"/>
      <c r="E348" s="8" t="s">
        <v>3734</v>
      </c>
      <c r="F348" s="8"/>
      <c r="H348" s="8" t="s">
        <v>268</v>
      </c>
      <c r="I348" s="8"/>
      <c r="J348" s="8" t="s">
        <v>268</v>
      </c>
      <c r="K348" s="8" t="s">
        <v>268</v>
      </c>
      <c r="L348" s="16" t="s">
        <v>268</v>
      </c>
      <c r="M348" s="8" t="s">
        <v>4165</v>
      </c>
      <c r="N348" s="8">
        <v>136.36000000000001</v>
      </c>
    </row>
    <row r="349" spans="1:14">
      <c r="A349" s="9" t="s">
        <v>1439</v>
      </c>
      <c r="B349" s="10"/>
      <c r="E349" s="8" t="s">
        <v>3734</v>
      </c>
      <c r="F349" s="8"/>
      <c r="H349" s="8" t="s">
        <v>268</v>
      </c>
      <c r="I349" s="8"/>
      <c r="J349" s="8" t="s">
        <v>268</v>
      </c>
      <c r="K349" s="8" t="s">
        <v>268</v>
      </c>
      <c r="L349" s="16" t="s">
        <v>268</v>
      </c>
      <c r="M349" s="8" t="s">
        <v>4165</v>
      </c>
      <c r="N349" s="8">
        <v>136.36000000000001</v>
      </c>
    </row>
    <row r="350" spans="1:14">
      <c r="A350" s="9" t="s">
        <v>1442</v>
      </c>
      <c r="B350" s="10"/>
      <c r="E350" s="8" t="s">
        <v>3734</v>
      </c>
      <c r="F350" s="8"/>
      <c r="H350" s="8" t="s">
        <v>268</v>
      </c>
      <c r="I350" s="8"/>
      <c r="J350" s="8" t="s">
        <v>268</v>
      </c>
      <c r="K350" s="8" t="s">
        <v>268</v>
      </c>
      <c r="L350" s="16" t="s">
        <v>268</v>
      </c>
      <c r="M350" s="8" t="s">
        <v>4165</v>
      </c>
      <c r="N350" s="8">
        <v>136.36000000000001</v>
      </c>
    </row>
    <row r="351" spans="1:14">
      <c r="A351" s="9" t="s">
        <v>1445</v>
      </c>
      <c r="B351" s="10"/>
      <c r="E351" s="8" t="s">
        <v>3734</v>
      </c>
      <c r="F351" s="8"/>
      <c r="H351" s="8" t="s">
        <v>268</v>
      </c>
      <c r="I351" s="8"/>
      <c r="J351" s="8" t="s">
        <v>268</v>
      </c>
      <c r="K351" s="8" t="s">
        <v>268</v>
      </c>
      <c r="L351" s="16" t="s">
        <v>268</v>
      </c>
      <c r="M351" s="8" t="s">
        <v>4165</v>
      </c>
      <c r="N351" s="8">
        <v>136.36000000000001</v>
      </c>
    </row>
    <row r="352" spans="1:14">
      <c r="A352" s="9" t="s">
        <v>1453</v>
      </c>
      <c r="B352" s="10"/>
      <c r="E352" s="8" t="s">
        <v>3734</v>
      </c>
      <c r="F352" s="8"/>
      <c r="H352" s="8" t="s">
        <v>268</v>
      </c>
      <c r="I352" s="8"/>
      <c r="J352" s="8" t="s">
        <v>268</v>
      </c>
      <c r="K352" s="8" t="s">
        <v>268</v>
      </c>
      <c r="L352" s="16" t="s">
        <v>268</v>
      </c>
      <c r="M352" s="8" t="s">
        <v>4166</v>
      </c>
      <c r="N352" s="8">
        <v>139.09</v>
      </c>
    </row>
    <row r="353" spans="1:14">
      <c r="A353" s="9" t="s">
        <v>1457</v>
      </c>
      <c r="B353" s="10"/>
      <c r="E353" s="8" t="s">
        <v>3734</v>
      </c>
      <c r="F353" s="8"/>
      <c r="H353" s="8" t="s">
        <v>268</v>
      </c>
      <c r="I353" s="8"/>
      <c r="J353" s="8" t="s">
        <v>268</v>
      </c>
      <c r="K353" s="8" t="s">
        <v>268</v>
      </c>
      <c r="L353" s="16" t="s">
        <v>268</v>
      </c>
      <c r="M353" s="8" t="s">
        <v>4165</v>
      </c>
      <c r="N353" s="8">
        <v>136.36000000000001</v>
      </c>
    </row>
    <row r="354" spans="1:14">
      <c r="A354" s="9" t="s">
        <v>3944</v>
      </c>
      <c r="B354" s="10"/>
      <c r="E354" s="8" t="s">
        <v>3734</v>
      </c>
      <c r="F354" s="8"/>
      <c r="H354" s="8" t="s">
        <v>268</v>
      </c>
      <c r="I354" s="8"/>
      <c r="J354" s="8" t="s">
        <v>268</v>
      </c>
      <c r="K354" s="8" t="s">
        <v>268</v>
      </c>
      <c r="L354" s="16" t="s">
        <v>268</v>
      </c>
      <c r="M354" s="8" t="s">
        <v>4165</v>
      </c>
      <c r="N354" s="8">
        <v>139.30000000000001</v>
      </c>
    </row>
    <row r="355" spans="1:14">
      <c r="A355" s="9" t="s">
        <v>1461</v>
      </c>
      <c r="B355" s="10"/>
      <c r="E355" s="8" t="s">
        <v>3734</v>
      </c>
      <c r="F355" s="8"/>
      <c r="H355" s="8" t="s">
        <v>268</v>
      </c>
      <c r="I355" s="8"/>
      <c r="J355" s="8" t="s">
        <v>268</v>
      </c>
      <c r="K355" s="8" t="s">
        <v>268</v>
      </c>
      <c r="L355" s="16" t="s">
        <v>268</v>
      </c>
      <c r="M355" s="8" t="s">
        <v>4165</v>
      </c>
      <c r="N355" s="8">
        <v>136.36000000000001</v>
      </c>
    </row>
    <row r="356" spans="1:14">
      <c r="A356" s="9" t="s">
        <v>1464</v>
      </c>
      <c r="B356" s="10"/>
      <c r="E356" s="8" t="s">
        <v>3734</v>
      </c>
      <c r="F356" s="8"/>
      <c r="H356" s="8" t="s">
        <v>268</v>
      </c>
      <c r="I356" s="8"/>
      <c r="J356" s="8" t="s">
        <v>268</v>
      </c>
      <c r="K356" s="8" t="s">
        <v>268</v>
      </c>
      <c r="L356" s="16" t="s">
        <v>268</v>
      </c>
      <c r="M356" s="8" t="s">
        <v>4165</v>
      </c>
      <c r="N356" s="8">
        <v>136.36000000000001</v>
      </c>
    </row>
    <row r="357" spans="1:14">
      <c r="A357" s="9" t="s">
        <v>1468</v>
      </c>
      <c r="B357" s="10"/>
      <c r="E357" s="8" t="s">
        <v>3734</v>
      </c>
      <c r="F357" s="8"/>
      <c r="H357" s="8" t="s">
        <v>268</v>
      </c>
      <c r="I357" s="8"/>
      <c r="J357" s="8" t="s">
        <v>268</v>
      </c>
      <c r="K357" s="8" t="s">
        <v>268</v>
      </c>
      <c r="L357" s="16" t="s">
        <v>268</v>
      </c>
      <c r="M357" s="8" t="s">
        <v>4165</v>
      </c>
      <c r="N357" s="8">
        <v>136.36000000000001</v>
      </c>
    </row>
    <row r="358" spans="1:14">
      <c r="A358" s="9" t="s">
        <v>1473</v>
      </c>
      <c r="B358" s="10"/>
      <c r="E358" s="8" t="s">
        <v>3734</v>
      </c>
      <c r="F358" s="8"/>
      <c r="H358" s="8" t="s">
        <v>268</v>
      </c>
      <c r="I358" s="8"/>
      <c r="J358" s="8" t="s">
        <v>268</v>
      </c>
      <c r="K358" s="8" t="s">
        <v>268</v>
      </c>
      <c r="L358" s="16" t="s">
        <v>268</v>
      </c>
      <c r="M358" s="8" t="s">
        <v>4166</v>
      </c>
      <c r="N358" s="8">
        <v>122.73</v>
      </c>
    </row>
    <row r="359" spans="1:14">
      <c r="A359" s="9" t="s">
        <v>1476</v>
      </c>
      <c r="B359" s="10"/>
      <c r="E359" s="8" t="s">
        <v>3734</v>
      </c>
      <c r="F359" s="8"/>
      <c r="H359" s="8" t="s">
        <v>268</v>
      </c>
      <c r="I359" s="8"/>
      <c r="J359" s="8" t="s">
        <v>268</v>
      </c>
      <c r="K359" s="8" t="s">
        <v>268</v>
      </c>
      <c r="L359" s="16" t="s">
        <v>268</v>
      </c>
      <c r="M359" s="8" t="s">
        <v>4165</v>
      </c>
      <c r="N359" s="8">
        <v>136.36000000000001</v>
      </c>
    </row>
    <row r="360" spans="1:14">
      <c r="A360" s="9" t="s">
        <v>1513</v>
      </c>
      <c r="B360" s="10"/>
      <c r="E360" s="8" t="s">
        <v>3734</v>
      </c>
      <c r="F360" s="8"/>
      <c r="H360" s="8" t="s">
        <v>268</v>
      </c>
      <c r="I360" s="8"/>
      <c r="J360" s="8" t="s">
        <v>268</v>
      </c>
      <c r="K360" s="8" t="s">
        <v>268</v>
      </c>
      <c r="L360" s="16" t="s">
        <v>268</v>
      </c>
      <c r="M360" s="8" t="s">
        <v>4168</v>
      </c>
      <c r="N360" s="8">
        <v>140.44999999999999</v>
      </c>
    </row>
    <row r="361" spans="1:14">
      <c r="A361" s="9" t="s">
        <v>1517</v>
      </c>
      <c r="B361" s="10"/>
      <c r="E361" s="8" t="s">
        <v>3734</v>
      </c>
      <c r="F361" s="8"/>
      <c r="H361" s="8" t="s">
        <v>268</v>
      </c>
      <c r="I361" s="8"/>
      <c r="J361" s="8" t="s">
        <v>268</v>
      </c>
      <c r="K361" s="8" t="s">
        <v>268</v>
      </c>
      <c r="L361" s="16" t="s">
        <v>268</v>
      </c>
      <c r="M361" s="8" t="s">
        <v>4165</v>
      </c>
      <c r="N361" s="8">
        <v>127.27</v>
      </c>
    </row>
    <row r="362" spans="1:14">
      <c r="A362" s="9" t="s">
        <v>1529</v>
      </c>
      <c r="B362" s="10"/>
      <c r="E362" s="8" t="s">
        <v>3734</v>
      </c>
      <c r="F362" s="8"/>
      <c r="H362" s="8" t="s">
        <v>268</v>
      </c>
      <c r="I362" s="8"/>
      <c r="J362" s="8" t="s">
        <v>268</v>
      </c>
      <c r="K362" s="8" t="s">
        <v>268</v>
      </c>
      <c r="L362" s="16" t="s">
        <v>268</v>
      </c>
      <c r="M362" s="8" t="s">
        <v>4165</v>
      </c>
      <c r="N362" s="8">
        <v>136.36000000000001</v>
      </c>
    </row>
    <row r="363" spans="1:14">
      <c r="A363" s="9" t="s">
        <v>1530</v>
      </c>
      <c r="B363" s="10"/>
      <c r="E363" s="8" t="s">
        <v>3734</v>
      </c>
      <c r="F363" s="8"/>
      <c r="H363" s="8" t="s">
        <v>268</v>
      </c>
      <c r="I363" s="8"/>
      <c r="J363" s="8" t="s">
        <v>268</v>
      </c>
      <c r="K363" s="8" t="s">
        <v>268</v>
      </c>
      <c r="L363" s="16" t="s">
        <v>268</v>
      </c>
      <c r="M363" s="8" t="s">
        <v>4165</v>
      </c>
      <c r="N363" s="8">
        <v>127.27</v>
      </c>
    </row>
    <row r="364" spans="1:14">
      <c r="A364" s="9" t="s">
        <v>3864</v>
      </c>
      <c r="B364" s="10"/>
      <c r="E364" s="8" t="s">
        <v>3734</v>
      </c>
      <c r="F364" s="8"/>
      <c r="H364" s="8" t="s">
        <v>268</v>
      </c>
      <c r="I364" s="8"/>
      <c r="J364" s="8" t="s">
        <v>268</v>
      </c>
      <c r="K364" s="8" t="s">
        <v>268</v>
      </c>
      <c r="L364" s="16" t="s">
        <v>268</v>
      </c>
      <c r="M364" s="8" t="s">
        <v>4166</v>
      </c>
      <c r="N364" s="8">
        <v>137.53</v>
      </c>
    </row>
    <row r="365" spans="1:14">
      <c r="A365" s="9" t="s">
        <v>1545</v>
      </c>
      <c r="B365" s="10"/>
      <c r="E365" s="8" t="s">
        <v>3734</v>
      </c>
      <c r="F365" s="8"/>
      <c r="H365" s="8" t="s">
        <v>268</v>
      </c>
      <c r="I365" s="8"/>
      <c r="J365" s="8" t="s">
        <v>268</v>
      </c>
      <c r="K365" s="8" t="s">
        <v>268</v>
      </c>
      <c r="L365" s="16" t="s">
        <v>268</v>
      </c>
      <c r="M365" s="8" t="s">
        <v>268</v>
      </c>
      <c r="N365" s="8" t="s">
        <v>268</v>
      </c>
    </row>
    <row r="366" spans="1:14">
      <c r="A366" s="9" t="s">
        <v>1551</v>
      </c>
      <c r="B366" s="10"/>
      <c r="E366" s="8" t="s">
        <v>3734</v>
      </c>
      <c r="F366" s="8"/>
      <c r="H366" s="8" t="s">
        <v>268</v>
      </c>
      <c r="I366" s="8"/>
      <c r="J366" s="8" t="s">
        <v>268</v>
      </c>
      <c r="K366" s="8" t="s">
        <v>268</v>
      </c>
      <c r="L366" s="16" t="s">
        <v>268</v>
      </c>
      <c r="M366" s="8" t="s">
        <v>4169</v>
      </c>
      <c r="N366" s="8">
        <v>129.55000000000001</v>
      </c>
    </row>
    <row r="367" spans="1:14">
      <c r="A367" s="9" t="s">
        <v>3936</v>
      </c>
      <c r="B367" s="10"/>
      <c r="E367" s="8" t="s">
        <v>3734</v>
      </c>
      <c r="F367" s="8"/>
      <c r="H367" s="8" t="s">
        <v>268</v>
      </c>
      <c r="I367" s="8"/>
      <c r="J367" s="8" t="s">
        <v>268</v>
      </c>
      <c r="K367" s="8" t="s">
        <v>268</v>
      </c>
      <c r="L367" s="16" t="s">
        <v>268</v>
      </c>
      <c r="M367" s="8" t="s">
        <v>4165</v>
      </c>
      <c r="N367" s="8">
        <v>136.36000000000001</v>
      </c>
    </row>
    <row r="368" spans="1:14">
      <c r="A368" s="9" t="s">
        <v>1566</v>
      </c>
      <c r="B368" s="10"/>
      <c r="E368" s="8" t="s">
        <v>3734</v>
      </c>
      <c r="F368" s="8"/>
      <c r="H368" s="8" t="s">
        <v>268</v>
      </c>
      <c r="I368" s="8"/>
      <c r="J368" s="8" t="s">
        <v>268</v>
      </c>
      <c r="K368" s="8" t="s">
        <v>268</v>
      </c>
      <c r="L368" s="16" t="s">
        <v>268</v>
      </c>
      <c r="M368" s="8" t="s">
        <v>1932</v>
      </c>
      <c r="N368" s="8">
        <v>0</v>
      </c>
    </row>
    <row r="369" spans="1:14">
      <c r="A369" s="9" t="s">
        <v>1575</v>
      </c>
      <c r="B369" s="10"/>
      <c r="E369" s="8" t="s">
        <v>3734</v>
      </c>
      <c r="F369" s="8"/>
      <c r="H369" s="8" t="s">
        <v>268</v>
      </c>
      <c r="I369" s="8"/>
      <c r="J369" s="8" t="s">
        <v>268</v>
      </c>
      <c r="K369" s="8" t="s">
        <v>268</v>
      </c>
      <c r="L369" s="16" t="s">
        <v>268</v>
      </c>
      <c r="M369" s="8" t="s">
        <v>4165</v>
      </c>
      <c r="N369" s="8">
        <v>136.36000000000001</v>
      </c>
    </row>
    <row r="370" spans="1:14">
      <c r="A370" s="9" t="s">
        <v>1579</v>
      </c>
      <c r="B370" s="10"/>
      <c r="E370" s="8" t="s">
        <v>3734</v>
      </c>
      <c r="F370" s="8"/>
      <c r="H370" s="8" t="s">
        <v>268</v>
      </c>
      <c r="I370" s="8"/>
      <c r="J370" s="8" t="s">
        <v>268</v>
      </c>
      <c r="K370" s="8" t="s">
        <v>268</v>
      </c>
      <c r="L370" s="16" t="s">
        <v>268</v>
      </c>
      <c r="M370" s="8" t="s">
        <v>4165</v>
      </c>
      <c r="N370" s="8">
        <v>136.36000000000001</v>
      </c>
    </row>
    <row r="371" spans="1:14">
      <c r="A371" s="9" t="s">
        <v>1586</v>
      </c>
      <c r="B371" s="10"/>
      <c r="E371" s="8" t="s">
        <v>3734</v>
      </c>
      <c r="F371" s="8"/>
      <c r="H371" s="8" t="s">
        <v>268</v>
      </c>
      <c r="I371" s="8"/>
      <c r="J371" s="8" t="s">
        <v>268</v>
      </c>
      <c r="K371" s="8" t="s">
        <v>268</v>
      </c>
      <c r="L371" s="16" t="s">
        <v>268</v>
      </c>
      <c r="M371" s="8" t="s">
        <v>4165</v>
      </c>
      <c r="N371" s="8">
        <v>136.36000000000001</v>
      </c>
    </row>
    <row r="372" spans="1:14">
      <c r="A372" s="9" t="s">
        <v>3897</v>
      </c>
      <c r="B372" s="10"/>
      <c r="E372" s="8" t="s">
        <v>3734</v>
      </c>
      <c r="F372" s="8"/>
      <c r="H372" s="8" t="s">
        <v>268</v>
      </c>
      <c r="I372" s="8"/>
      <c r="J372" s="8" t="s">
        <v>268</v>
      </c>
      <c r="K372" s="8" t="s">
        <v>268</v>
      </c>
      <c r="L372" s="16" t="s">
        <v>268</v>
      </c>
      <c r="M372" s="8" t="s">
        <v>4169</v>
      </c>
      <c r="N372" s="8">
        <v>129.55000000000001</v>
      </c>
    </row>
    <row r="373" spans="1:14">
      <c r="A373" s="9" t="s">
        <v>1592</v>
      </c>
      <c r="B373" s="10"/>
      <c r="E373" s="8" t="s">
        <v>3734</v>
      </c>
      <c r="F373" s="8"/>
      <c r="H373" s="8" t="s">
        <v>268</v>
      </c>
      <c r="I373" s="8"/>
      <c r="J373" s="8" t="s">
        <v>268</v>
      </c>
      <c r="K373" s="8" t="s">
        <v>268</v>
      </c>
      <c r="L373" s="16" t="s">
        <v>268</v>
      </c>
      <c r="M373" s="8" t="s">
        <v>4165</v>
      </c>
      <c r="N373" s="8">
        <v>136.36000000000001</v>
      </c>
    </row>
    <row r="374" spans="1:14">
      <c r="A374" s="9" t="s">
        <v>1599</v>
      </c>
      <c r="B374" s="10"/>
      <c r="E374" s="8" t="s">
        <v>3734</v>
      </c>
      <c r="F374" s="8"/>
      <c r="H374" s="8" t="s">
        <v>268</v>
      </c>
      <c r="I374" s="8"/>
      <c r="J374" s="8" t="s">
        <v>268</v>
      </c>
      <c r="K374" s="8" t="s">
        <v>268</v>
      </c>
      <c r="L374" s="16" t="s">
        <v>268</v>
      </c>
      <c r="M374" s="8" t="s">
        <v>4165</v>
      </c>
      <c r="N374" s="8">
        <v>136.36000000000001</v>
      </c>
    </row>
    <row r="375" spans="1:14">
      <c r="A375" s="9" t="s">
        <v>1604</v>
      </c>
      <c r="B375" s="10"/>
      <c r="E375" s="8" t="s">
        <v>3734</v>
      </c>
      <c r="F375" s="8"/>
      <c r="H375" s="8" t="s">
        <v>268</v>
      </c>
      <c r="I375" s="8"/>
      <c r="J375" s="8" t="s">
        <v>268</v>
      </c>
      <c r="K375" s="8" t="s">
        <v>268</v>
      </c>
      <c r="L375" s="16" t="s">
        <v>268</v>
      </c>
      <c r="M375" s="8" t="s">
        <v>4165</v>
      </c>
      <c r="N375" s="8">
        <v>136.36000000000001</v>
      </c>
    </row>
    <row r="376" spans="1:14">
      <c r="A376" s="9" t="s">
        <v>1608</v>
      </c>
      <c r="B376" s="10"/>
      <c r="E376" s="8" t="s">
        <v>3734</v>
      </c>
      <c r="F376" s="8"/>
      <c r="H376" s="8" t="s">
        <v>268</v>
      </c>
      <c r="I376" s="8"/>
      <c r="J376" s="8" t="s">
        <v>268</v>
      </c>
      <c r="K376" s="8" t="s">
        <v>268</v>
      </c>
      <c r="L376" s="16" t="s">
        <v>268</v>
      </c>
      <c r="M376" s="8" t="s">
        <v>4168</v>
      </c>
      <c r="N376" s="8">
        <v>140.44999999999999</v>
      </c>
    </row>
    <row r="377" spans="1:14">
      <c r="A377" s="9" t="s">
        <v>1613</v>
      </c>
      <c r="B377" s="10"/>
      <c r="E377" s="8" t="s">
        <v>3734</v>
      </c>
      <c r="F377" s="8"/>
      <c r="H377" s="8" t="s">
        <v>268</v>
      </c>
      <c r="I377" s="8"/>
      <c r="J377" s="8" t="s">
        <v>268</v>
      </c>
      <c r="K377" s="8" t="s">
        <v>268</v>
      </c>
      <c r="L377" s="16" t="s">
        <v>268</v>
      </c>
      <c r="M377" s="8" t="s">
        <v>268</v>
      </c>
      <c r="N377" s="8" t="s">
        <v>268</v>
      </c>
    </row>
    <row r="378" spans="1:14">
      <c r="A378" s="9" t="s">
        <v>1615</v>
      </c>
      <c r="B378" s="10"/>
      <c r="E378" s="8" t="s">
        <v>3734</v>
      </c>
      <c r="F378" s="8"/>
      <c r="H378" s="8" t="s">
        <v>268</v>
      </c>
      <c r="I378" s="8"/>
      <c r="J378" s="8" t="s">
        <v>268</v>
      </c>
      <c r="K378" s="8" t="s">
        <v>268</v>
      </c>
      <c r="L378" s="16" t="s">
        <v>268</v>
      </c>
      <c r="M378" s="8" t="s">
        <v>4165</v>
      </c>
      <c r="N378" s="8">
        <v>136.36000000000001</v>
      </c>
    </row>
    <row r="379" spans="1:14">
      <c r="A379" s="9" t="s">
        <v>3912</v>
      </c>
      <c r="B379" s="10"/>
      <c r="E379" s="8" t="s">
        <v>3734</v>
      </c>
      <c r="F379" s="8"/>
      <c r="H379" s="8" t="s">
        <v>268</v>
      </c>
      <c r="I379" s="8"/>
      <c r="J379" s="8" t="s">
        <v>268</v>
      </c>
      <c r="K379" s="8" t="s">
        <v>268</v>
      </c>
      <c r="L379" s="16" t="s">
        <v>268</v>
      </c>
      <c r="M379" s="8" t="s">
        <v>4165</v>
      </c>
      <c r="N379" s="8">
        <v>136.36000000000001</v>
      </c>
    </row>
    <row r="380" spans="1:14">
      <c r="A380" s="9" t="s">
        <v>1619</v>
      </c>
      <c r="B380" s="10"/>
      <c r="E380" s="8" t="s">
        <v>3734</v>
      </c>
      <c r="F380" s="8"/>
      <c r="H380" s="8" t="s">
        <v>268</v>
      </c>
      <c r="I380" s="8"/>
      <c r="J380" s="8" t="s">
        <v>268</v>
      </c>
      <c r="K380" s="8" t="s">
        <v>268</v>
      </c>
      <c r="L380" s="16" t="s">
        <v>268</v>
      </c>
      <c r="M380" s="8" t="s">
        <v>4165</v>
      </c>
      <c r="N380" s="8">
        <v>136.36000000000001</v>
      </c>
    </row>
    <row r="381" spans="1:14">
      <c r="A381" s="9" t="s">
        <v>1622</v>
      </c>
      <c r="B381" s="10"/>
      <c r="E381" s="8" t="s">
        <v>3734</v>
      </c>
      <c r="F381" s="8"/>
      <c r="H381" s="8" t="s">
        <v>268</v>
      </c>
      <c r="I381" s="8"/>
      <c r="J381" s="8" t="s">
        <v>268</v>
      </c>
      <c r="K381" s="8" t="s">
        <v>268</v>
      </c>
      <c r="L381" s="16" t="s">
        <v>268</v>
      </c>
      <c r="M381" s="8" t="s">
        <v>4165</v>
      </c>
      <c r="N381" s="8">
        <v>136.36000000000001</v>
      </c>
    </row>
    <row r="382" spans="1:14">
      <c r="A382" s="9" t="s">
        <v>1625</v>
      </c>
      <c r="B382" s="10"/>
      <c r="E382" s="8" t="s">
        <v>3734</v>
      </c>
      <c r="F382" s="8"/>
      <c r="H382" s="8" t="s">
        <v>268</v>
      </c>
      <c r="I382" s="8"/>
      <c r="J382" s="8" t="s">
        <v>268</v>
      </c>
      <c r="K382" s="8" t="s">
        <v>268</v>
      </c>
      <c r="L382" s="16" t="s">
        <v>268</v>
      </c>
      <c r="M382" s="8" t="s">
        <v>4168</v>
      </c>
      <c r="N382" s="8">
        <v>126.82</v>
      </c>
    </row>
    <row r="383" spans="1:14">
      <c r="A383" s="9" t="s">
        <v>1628</v>
      </c>
      <c r="B383" s="10"/>
      <c r="E383" s="8" t="s">
        <v>3734</v>
      </c>
      <c r="F383" s="8"/>
      <c r="H383" s="8" t="s">
        <v>268</v>
      </c>
      <c r="I383" s="8"/>
      <c r="J383" s="8" t="s">
        <v>268</v>
      </c>
      <c r="K383" s="8" t="s">
        <v>268</v>
      </c>
      <c r="L383" s="16" t="s">
        <v>268</v>
      </c>
      <c r="M383" s="8" t="s">
        <v>4168</v>
      </c>
      <c r="N383" s="8">
        <v>129.55000000000001</v>
      </c>
    </row>
    <row r="384" spans="1:14">
      <c r="A384" s="9" t="s">
        <v>1633</v>
      </c>
      <c r="B384" s="10"/>
      <c r="E384" s="8" t="s">
        <v>3734</v>
      </c>
      <c r="F384" s="8"/>
      <c r="H384" s="8" t="s">
        <v>268</v>
      </c>
      <c r="I384" s="8"/>
      <c r="J384" s="8" t="s">
        <v>268</v>
      </c>
      <c r="K384" s="8" t="s">
        <v>268</v>
      </c>
      <c r="L384" s="16" t="s">
        <v>268</v>
      </c>
      <c r="M384" s="8" t="s">
        <v>4165</v>
      </c>
      <c r="N384" s="8">
        <v>136.36000000000001</v>
      </c>
    </row>
    <row r="385" spans="1:14">
      <c r="A385" s="9" t="s">
        <v>1637</v>
      </c>
      <c r="B385" s="10"/>
      <c r="E385" s="8" t="s">
        <v>3734</v>
      </c>
      <c r="F385" s="8"/>
      <c r="H385" s="8" t="s">
        <v>268</v>
      </c>
      <c r="I385" s="8"/>
      <c r="J385" s="8" t="s">
        <v>268</v>
      </c>
      <c r="K385" s="8" t="s">
        <v>268</v>
      </c>
      <c r="L385" s="16" t="s">
        <v>268</v>
      </c>
      <c r="M385" s="8" t="s">
        <v>1932</v>
      </c>
      <c r="N385" s="8">
        <v>0</v>
      </c>
    </row>
    <row r="386" spans="1:14">
      <c r="A386" s="9" t="s">
        <v>1640</v>
      </c>
      <c r="B386" s="10"/>
      <c r="E386" s="8" t="s">
        <v>3734</v>
      </c>
      <c r="F386" s="8"/>
      <c r="H386" s="8" t="s">
        <v>268</v>
      </c>
      <c r="I386" s="8"/>
      <c r="J386" s="8" t="s">
        <v>268</v>
      </c>
      <c r="K386" s="8" t="s">
        <v>268</v>
      </c>
      <c r="L386" s="16" t="s">
        <v>268</v>
      </c>
      <c r="M386" s="8" t="s">
        <v>4165</v>
      </c>
      <c r="N386" s="8">
        <v>136.36000000000001</v>
      </c>
    </row>
    <row r="387" spans="1:14">
      <c r="A387" s="9" t="s">
        <v>1642</v>
      </c>
      <c r="B387" s="10"/>
      <c r="E387" s="8" t="s">
        <v>3734</v>
      </c>
      <c r="F387" s="8"/>
      <c r="H387" s="8" t="s">
        <v>268</v>
      </c>
      <c r="I387" s="8"/>
      <c r="J387" s="8" t="s">
        <v>268</v>
      </c>
      <c r="K387" s="8" t="s">
        <v>268</v>
      </c>
      <c r="L387" s="16" t="s">
        <v>268</v>
      </c>
      <c r="M387" s="8" t="s">
        <v>268</v>
      </c>
      <c r="N387" s="8" t="s">
        <v>268</v>
      </c>
    </row>
    <row r="388" spans="1:14">
      <c r="A388" s="9" t="s">
        <v>3857</v>
      </c>
      <c r="B388" s="10"/>
      <c r="E388" s="8" t="s">
        <v>3734</v>
      </c>
      <c r="F388" s="8"/>
      <c r="H388" s="8" t="s">
        <v>268</v>
      </c>
      <c r="I388" s="8"/>
      <c r="J388" s="8" t="s">
        <v>268</v>
      </c>
      <c r="K388" s="8" t="s">
        <v>268</v>
      </c>
      <c r="L388" s="16" t="s">
        <v>268</v>
      </c>
      <c r="M388" s="8" t="s">
        <v>4169</v>
      </c>
      <c r="N388" s="8">
        <v>157.27000000000001</v>
      </c>
    </row>
    <row r="389" spans="1:14">
      <c r="A389" s="9" t="s">
        <v>1654</v>
      </c>
      <c r="B389" s="10"/>
      <c r="E389" s="8" t="s">
        <v>3734</v>
      </c>
      <c r="F389" s="8"/>
      <c r="H389" s="8" t="s">
        <v>268</v>
      </c>
      <c r="I389" s="8"/>
      <c r="J389" s="8" t="s">
        <v>268</v>
      </c>
      <c r="K389" s="8" t="s">
        <v>268</v>
      </c>
      <c r="L389" s="16" t="s">
        <v>268</v>
      </c>
      <c r="M389" s="8" t="s">
        <v>4167</v>
      </c>
      <c r="N389" s="8">
        <v>184</v>
      </c>
    </row>
    <row r="390" spans="1:14">
      <c r="A390" s="9" t="s">
        <v>1658</v>
      </c>
      <c r="B390" s="10"/>
      <c r="E390" s="8" t="s">
        <v>3734</v>
      </c>
      <c r="F390" s="8"/>
      <c r="H390" s="8" t="s">
        <v>268</v>
      </c>
      <c r="I390" s="8"/>
      <c r="J390" s="8" t="s">
        <v>268</v>
      </c>
      <c r="K390" s="8" t="s">
        <v>268</v>
      </c>
      <c r="L390" s="16" t="s">
        <v>268</v>
      </c>
      <c r="M390" s="8" t="s">
        <v>4165</v>
      </c>
      <c r="N390" s="8">
        <v>136.36000000000001</v>
      </c>
    </row>
    <row r="391" spans="1:14">
      <c r="A391" s="9" t="s">
        <v>1662</v>
      </c>
      <c r="B391" s="10"/>
      <c r="E391" s="8" t="s">
        <v>3734</v>
      </c>
      <c r="F391" s="8"/>
      <c r="H391" s="8" t="s">
        <v>268</v>
      </c>
      <c r="I391" s="8"/>
      <c r="J391" s="8" t="s">
        <v>268</v>
      </c>
      <c r="K391" s="8" t="s">
        <v>268</v>
      </c>
      <c r="L391" s="16" t="s">
        <v>268</v>
      </c>
      <c r="M391" s="8" t="s">
        <v>4165</v>
      </c>
      <c r="N391" s="8">
        <v>136.36000000000001</v>
      </c>
    </row>
    <row r="392" spans="1:14">
      <c r="A392" s="9" t="s">
        <v>1669</v>
      </c>
      <c r="B392" s="10"/>
      <c r="E392" s="8" t="s">
        <v>3734</v>
      </c>
      <c r="F392" s="8"/>
      <c r="H392" s="8" t="s">
        <v>268</v>
      </c>
      <c r="I392" s="8"/>
      <c r="J392" s="8" t="s">
        <v>268</v>
      </c>
      <c r="K392" s="8" t="s">
        <v>268</v>
      </c>
      <c r="L392" s="16" t="s">
        <v>268</v>
      </c>
      <c r="M392" s="8" t="s">
        <v>268</v>
      </c>
      <c r="N392" s="8" t="s">
        <v>268</v>
      </c>
    </row>
    <row r="393" spans="1:14">
      <c r="A393" s="9" t="s">
        <v>3902</v>
      </c>
      <c r="B393" s="10"/>
      <c r="E393" s="8" t="s">
        <v>3734</v>
      </c>
      <c r="F393" s="8"/>
      <c r="H393" s="8" t="s">
        <v>268</v>
      </c>
      <c r="I393" s="8"/>
      <c r="J393" s="8" t="s">
        <v>268</v>
      </c>
      <c r="K393" s="8" t="s">
        <v>268</v>
      </c>
      <c r="L393" s="16" t="s">
        <v>268</v>
      </c>
      <c r="M393" s="8" t="s">
        <v>4168</v>
      </c>
      <c r="N393" s="8">
        <v>140.44999999999999</v>
      </c>
    </row>
    <row r="394" spans="1:14">
      <c r="A394" s="9" t="s">
        <v>1673</v>
      </c>
      <c r="B394" s="10"/>
      <c r="E394" s="8" t="s">
        <v>3734</v>
      </c>
      <c r="F394" s="8"/>
      <c r="H394" s="8" t="s">
        <v>268</v>
      </c>
      <c r="I394" s="8"/>
      <c r="J394" s="8" t="s">
        <v>268</v>
      </c>
      <c r="K394" s="8" t="s">
        <v>268</v>
      </c>
      <c r="L394" s="16" t="s">
        <v>268</v>
      </c>
      <c r="M394" s="8" t="s">
        <v>4165</v>
      </c>
      <c r="N394" s="8">
        <v>136.36000000000001</v>
      </c>
    </row>
    <row r="395" spans="1:14">
      <c r="A395" s="9" t="s">
        <v>3928</v>
      </c>
      <c r="B395" s="10"/>
      <c r="E395" s="8" t="s">
        <v>3734</v>
      </c>
      <c r="F395" s="8"/>
      <c r="H395" s="8" t="s">
        <v>268</v>
      </c>
      <c r="I395" s="8"/>
      <c r="J395" s="8" t="s">
        <v>268</v>
      </c>
      <c r="K395" s="8" t="s">
        <v>268</v>
      </c>
      <c r="L395" s="16" t="s">
        <v>268</v>
      </c>
      <c r="M395" s="8" t="s">
        <v>4165</v>
      </c>
      <c r="N395" s="8">
        <v>136.36000000000001</v>
      </c>
    </row>
    <row r="396" spans="1:14">
      <c r="A396" s="9" t="s">
        <v>1682</v>
      </c>
      <c r="B396" s="10"/>
      <c r="E396" s="8" t="s">
        <v>3734</v>
      </c>
      <c r="F396" s="8"/>
      <c r="H396" s="8" t="s">
        <v>268</v>
      </c>
      <c r="I396" s="8"/>
      <c r="J396" s="8" t="s">
        <v>268</v>
      </c>
      <c r="K396" s="8" t="s">
        <v>268</v>
      </c>
      <c r="L396" s="16" t="s">
        <v>268</v>
      </c>
      <c r="M396" s="8" t="s">
        <v>4165</v>
      </c>
      <c r="N396" s="8">
        <v>136.36000000000001</v>
      </c>
    </row>
    <row r="397" spans="1:14">
      <c r="A397" s="9" t="s">
        <v>1688</v>
      </c>
      <c r="B397" s="10"/>
      <c r="E397" s="8" t="s">
        <v>3734</v>
      </c>
      <c r="F397" s="8"/>
      <c r="H397" s="8" t="s">
        <v>268</v>
      </c>
      <c r="I397" s="8"/>
      <c r="J397" s="8" t="s">
        <v>268</v>
      </c>
      <c r="K397" s="8" t="s">
        <v>268</v>
      </c>
      <c r="L397" s="16" t="s">
        <v>268</v>
      </c>
      <c r="M397" s="8" t="s">
        <v>4165</v>
      </c>
      <c r="N397" s="8">
        <v>136.36000000000001</v>
      </c>
    </row>
    <row r="398" spans="1:14">
      <c r="A398" s="9" t="s">
        <v>1690</v>
      </c>
      <c r="B398" s="10"/>
      <c r="E398" s="8" t="s">
        <v>3734</v>
      </c>
      <c r="F398" s="8"/>
      <c r="H398" s="8" t="s">
        <v>268</v>
      </c>
      <c r="I398" s="8"/>
      <c r="J398" s="8" t="s">
        <v>268</v>
      </c>
      <c r="K398" s="8" t="s">
        <v>268</v>
      </c>
      <c r="L398" s="16" t="s">
        <v>268</v>
      </c>
      <c r="M398" s="8" t="s">
        <v>4165</v>
      </c>
      <c r="N398" s="8">
        <v>127.27</v>
      </c>
    </row>
    <row r="399" spans="1:14">
      <c r="A399" s="9" t="s">
        <v>3932</v>
      </c>
      <c r="B399" s="10"/>
      <c r="E399" s="8" t="s">
        <v>3734</v>
      </c>
      <c r="F399" s="8"/>
      <c r="H399" s="8" t="s">
        <v>268</v>
      </c>
      <c r="I399" s="8"/>
      <c r="J399" s="8" t="s">
        <v>268</v>
      </c>
      <c r="K399" s="8" t="s">
        <v>268</v>
      </c>
      <c r="L399" s="16" t="s">
        <v>268</v>
      </c>
      <c r="M399" s="8" t="s">
        <v>4165</v>
      </c>
      <c r="N399" s="8">
        <v>136.36000000000001</v>
      </c>
    </row>
    <row r="400" spans="1:14">
      <c r="A400" s="9" t="s">
        <v>1699</v>
      </c>
      <c r="B400" s="10"/>
      <c r="E400" s="8" t="s">
        <v>3734</v>
      </c>
      <c r="F400" s="8"/>
      <c r="H400" s="8" t="s">
        <v>268</v>
      </c>
      <c r="I400" s="8"/>
      <c r="J400" s="8" t="s">
        <v>268</v>
      </c>
      <c r="K400" s="8" t="s">
        <v>268</v>
      </c>
      <c r="L400" s="16" t="s">
        <v>268</v>
      </c>
      <c r="M400" s="8" t="s">
        <v>4165</v>
      </c>
      <c r="N400" s="8">
        <v>136.36000000000001</v>
      </c>
    </row>
    <row r="401" spans="1:14">
      <c r="A401" s="9" t="s">
        <v>1705</v>
      </c>
      <c r="B401" s="10"/>
      <c r="E401" s="8" t="s">
        <v>3734</v>
      </c>
      <c r="F401" s="8"/>
      <c r="H401" s="8" t="s">
        <v>268</v>
      </c>
      <c r="I401" s="8"/>
      <c r="J401" s="8" t="s">
        <v>268</v>
      </c>
      <c r="K401" s="8" t="s">
        <v>268</v>
      </c>
      <c r="L401" s="16" t="s">
        <v>268</v>
      </c>
      <c r="M401" s="8" t="s">
        <v>4165</v>
      </c>
      <c r="N401" s="8">
        <v>136.36000000000001</v>
      </c>
    </row>
    <row r="402" spans="1:14">
      <c r="A402" s="9" t="s">
        <v>1708</v>
      </c>
      <c r="B402" s="10"/>
      <c r="E402" s="8" t="s">
        <v>3734</v>
      </c>
      <c r="F402" s="8"/>
      <c r="H402" s="8" t="s">
        <v>268</v>
      </c>
      <c r="I402" s="8"/>
      <c r="J402" s="8" t="s">
        <v>268</v>
      </c>
      <c r="K402" s="8" t="s">
        <v>268</v>
      </c>
      <c r="L402" s="16" t="s">
        <v>268</v>
      </c>
      <c r="M402" s="8" t="s">
        <v>4165</v>
      </c>
      <c r="N402" s="8">
        <v>136.36000000000001</v>
      </c>
    </row>
    <row r="403" spans="1:14">
      <c r="A403" s="9" t="s">
        <v>1712</v>
      </c>
      <c r="B403" s="10"/>
      <c r="E403" s="8" t="s">
        <v>3734</v>
      </c>
      <c r="F403" s="8"/>
      <c r="H403" s="8" t="s">
        <v>268</v>
      </c>
      <c r="I403" s="8"/>
      <c r="J403" s="8" t="s">
        <v>268</v>
      </c>
      <c r="K403" s="8" t="s">
        <v>268</v>
      </c>
      <c r="L403" s="16" t="s">
        <v>268</v>
      </c>
      <c r="M403" s="8" t="s">
        <v>4165</v>
      </c>
      <c r="N403" s="8">
        <v>136.36000000000001</v>
      </c>
    </row>
    <row r="404" spans="1:14">
      <c r="A404" s="9" t="s">
        <v>1715</v>
      </c>
      <c r="B404" s="10"/>
      <c r="E404" s="8" t="s">
        <v>3734</v>
      </c>
      <c r="F404" s="8"/>
      <c r="H404" s="8" t="s">
        <v>268</v>
      </c>
      <c r="I404" s="8"/>
      <c r="J404" s="8" t="s">
        <v>268</v>
      </c>
      <c r="K404" s="8" t="s">
        <v>268</v>
      </c>
      <c r="L404" s="16" t="s">
        <v>268</v>
      </c>
      <c r="M404" s="8" t="s">
        <v>4165</v>
      </c>
      <c r="N404" s="8">
        <v>136.36000000000001</v>
      </c>
    </row>
    <row r="405" spans="1:14">
      <c r="A405" s="9" t="s">
        <v>1719</v>
      </c>
      <c r="B405" s="10"/>
      <c r="E405" s="8" t="s">
        <v>3734</v>
      </c>
      <c r="F405" s="8"/>
      <c r="H405" s="8" t="s">
        <v>268</v>
      </c>
      <c r="I405" s="8"/>
      <c r="J405" s="8" t="s">
        <v>268</v>
      </c>
      <c r="K405" s="8" t="s">
        <v>268</v>
      </c>
      <c r="L405" s="16" t="s">
        <v>268</v>
      </c>
      <c r="M405" s="8" t="s">
        <v>4165</v>
      </c>
      <c r="N405" s="8">
        <v>136.36000000000001</v>
      </c>
    </row>
    <row r="406" spans="1:14">
      <c r="A406" s="9" t="s">
        <v>1723</v>
      </c>
      <c r="B406" s="10"/>
      <c r="E406" s="8" t="s">
        <v>3734</v>
      </c>
      <c r="F406" s="8"/>
      <c r="H406" s="8" t="s">
        <v>268</v>
      </c>
      <c r="I406" s="8"/>
      <c r="J406" s="8" t="s">
        <v>268</v>
      </c>
      <c r="K406" s="8" t="s">
        <v>268</v>
      </c>
      <c r="L406" s="16" t="s">
        <v>268</v>
      </c>
      <c r="M406" s="8" t="s">
        <v>4165</v>
      </c>
      <c r="N406" s="8">
        <v>127.27</v>
      </c>
    </row>
    <row r="407" spans="1:14">
      <c r="A407" s="9" t="s">
        <v>1727</v>
      </c>
      <c r="B407" s="10"/>
      <c r="E407" s="8" t="s">
        <v>3734</v>
      </c>
      <c r="F407" s="8"/>
      <c r="H407" s="8" t="s">
        <v>268</v>
      </c>
      <c r="I407" s="8"/>
      <c r="J407" s="8" t="s">
        <v>268</v>
      </c>
      <c r="K407" s="8" t="s">
        <v>268</v>
      </c>
      <c r="L407" s="16" t="s">
        <v>268</v>
      </c>
      <c r="M407" s="8" t="s">
        <v>4165</v>
      </c>
      <c r="N407" s="8">
        <v>136.36000000000001</v>
      </c>
    </row>
    <row r="408" spans="1:14">
      <c r="A408" s="9" t="s">
        <v>3930</v>
      </c>
      <c r="B408" s="10"/>
      <c r="E408" s="8" t="s">
        <v>3734</v>
      </c>
      <c r="F408" s="8"/>
      <c r="H408" s="8" t="s">
        <v>268</v>
      </c>
      <c r="I408" s="8"/>
      <c r="J408" s="8" t="s">
        <v>268</v>
      </c>
      <c r="K408" s="8" t="s">
        <v>268</v>
      </c>
      <c r="L408" s="16" t="s">
        <v>268</v>
      </c>
      <c r="M408" s="8" t="s">
        <v>4165</v>
      </c>
      <c r="N408" s="8">
        <v>136.36000000000001</v>
      </c>
    </row>
    <row r="409" spans="1:14">
      <c r="A409" s="107"/>
      <c r="B409" s="196"/>
      <c r="C409" s="196"/>
      <c r="D409" s="196"/>
      <c r="E409" s="196"/>
      <c r="F409" s="197"/>
      <c r="G409" s="107"/>
    </row>
  </sheetData>
  <autoFilter ref="A1:N408" xr:uid="{00000000-0001-0000-0000-000000000000}"/>
  <mergeCells count="16">
    <mergeCell ref="I108:I110"/>
    <mergeCell ref="A108:A110"/>
    <mergeCell ref="B108:B110"/>
    <mergeCell ref="C108:C110"/>
    <mergeCell ref="D108:D110"/>
    <mergeCell ref="E108:E110"/>
    <mergeCell ref="F108:F110"/>
    <mergeCell ref="G108:G110"/>
    <mergeCell ref="H108:H110"/>
    <mergeCell ref="G40:G42"/>
    <mergeCell ref="A40:A42"/>
    <mergeCell ref="C40:C42"/>
    <mergeCell ref="D40:D42"/>
    <mergeCell ref="F40:F42"/>
    <mergeCell ref="E40:E42"/>
    <mergeCell ref="B40:B42"/>
  </mergeCells>
  <dataValidations count="1">
    <dataValidation allowBlank="1" showInputMessage="1" showErrorMessage="1" sqref="C1599:C1048576 C1" xr:uid="{E84C2614-C006-4B74-AFD3-C3E899AFB98C}"/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B748-768B-430C-9D85-915694964B75}">
  <dimension ref="B3:H34"/>
  <sheetViews>
    <sheetView topLeftCell="A2" workbookViewId="0">
      <selection activeCell="H21" sqref="H21"/>
    </sheetView>
  </sheetViews>
  <sheetFormatPr defaultRowHeight="15"/>
  <cols>
    <col min="3" max="3" width="17.85546875" bestFit="1" customWidth="1"/>
    <col min="4" max="4" width="33.28515625" bestFit="1" customWidth="1"/>
    <col min="5" max="5" width="15.5703125" bestFit="1" customWidth="1"/>
    <col min="7" max="7" width="22.42578125" customWidth="1"/>
    <col min="8" max="8" width="26.85546875" bestFit="1" customWidth="1"/>
  </cols>
  <sheetData>
    <row r="3" spans="2:8">
      <c r="B3" s="54" t="s">
        <v>4170</v>
      </c>
      <c r="C3" s="54" t="s">
        <v>4171</v>
      </c>
      <c r="D3" s="54" t="s">
        <v>4172</v>
      </c>
      <c r="E3" s="54" t="s">
        <v>4173</v>
      </c>
      <c r="F3" s="54" t="s">
        <v>4174</v>
      </c>
      <c r="G3" s="54" t="s">
        <v>4175</v>
      </c>
      <c r="H3" t="s">
        <v>4176</v>
      </c>
    </row>
    <row r="4" spans="2:8">
      <c r="B4" t="s">
        <v>16</v>
      </c>
      <c r="C4" t="s">
        <v>518</v>
      </c>
      <c r="D4" t="s">
        <v>4177</v>
      </c>
      <c r="E4" t="s">
        <v>169</v>
      </c>
      <c r="F4" t="s">
        <v>4178</v>
      </c>
      <c r="G4" t="s">
        <v>4179</v>
      </c>
      <c r="H4" t="s">
        <v>4180</v>
      </c>
    </row>
    <row r="5" spans="2:8">
      <c r="B5" t="s">
        <v>123</v>
      </c>
      <c r="C5" t="s">
        <v>1933</v>
      </c>
      <c r="D5" t="s">
        <v>283</v>
      </c>
      <c r="E5" t="s">
        <v>285</v>
      </c>
      <c r="F5">
        <v>47.01</v>
      </c>
      <c r="G5" t="s">
        <v>4179</v>
      </c>
      <c r="H5" t="s">
        <v>4181</v>
      </c>
    </row>
    <row r="6" spans="2:8">
      <c r="B6" t="s">
        <v>123</v>
      </c>
      <c r="C6" t="s">
        <v>1935</v>
      </c>
      <c r="D6" t="s">
        <v>302</v>
      </c>
      <c r="E6" t="s">
        <v>132</v>
      </c>
      <c r="F6">
        <v>66.989999999999995</v>
      </c>
      <c r="G6" t="s">
        <v>4179</v>
      </c>
      <c r="H6" t="s">
        <v>4182</v>
      </c>
    </row>
    <row r="7" spans="2:8">
      <c r="B7" t="s">
        <v>123</v>
      </c>
      <c r="C7" t="s">
        <v>1937</v>
      </c>
      <c r="D7" t="s">
        <v>311</v>
      </c>
      <c r="E7" t="s">
        <v>132</v>
      </c>
      <c r="F7">
        <v>66.989999999999995</v>
      </c>
      <c r="G7" t="s">
        <v>4179</v>
      </c>
      <c r="H7" t="s">
        <v>4183</v>
      </c>
    </row>
    <row r="8" spans="2:8">
      <c r="B8" t="s">
        <v>123</v>
      </c>
      <c r="C8" t="s">
        <v>2214</v>
      </c>
      <c r="D8" t="s">
        <v>363</v>
      </c>
      <c r="E8" t="s">
        <v>366</v>
      </c>
      <c r="F8">
        <v>459.1</v>
      </c>
      <c r="G8" t="s">
        <v>4179</v>
      </c>
      <c r="H8" t="s">
        <v>4184</v>
      </c>
    </row>
    <row r="9" spans="2:8">
      <c r="B9" t="s">
        <v>123</v>
      </c>
      <c r="C9" t="s">
        <v>1943</v>
      </c>
      <c r="D9" t="s">
        <v>385</v>
      </c>
      <c r="E9" t="s">
        <v>132</v>
      </c>
      <c r="F9">
        <v>66.989999999999995</v>
      </c>
      <c r="G9" t="s">
        <v>4179</v>
      </c>
      <c r="H9" t="s">
        <v>3880</v>
      </c>
    </row>
    <row r="10" spans="2:8">
      <c r="B10" t="s">
        <v>123</v>
      </c>
      <c r="C10" t="s">
        <v>1953</v>
      </c>
      <c r="D10" t="s">
        <v>4185</v>
      </c>
      <c r="E10" t="s">
        <v>285</v>
      </c>
      <c r="F10">
        <v>77</v>
      </c>
      <c r="G10" t="s">
        <v>4179</v>
      </c>
      <c r="H10" t="s">
        <v>72</v>
      </c>
    </row>
    <row r="11" spans="2:8">
      <c r="B11" t="s">
        <v>123</v>
      </c>
      <c r="C11" t="s">
        <v>2196</v>
      </c>
      <c r="D11" t="s">
        <v>4186</v>
      </c>
      <c r="E11" t="s">
        <v>611</v>
      </c>
      <c r="F11">
        <v>0</v>
      </c>
      <c r="G11" t="s">
        <v>4179</v>
      </c>
    </row>
    <row r="12" spans="2:8">
      <c r="B12" t="s">
        <v>123</v>
      </c>
      <c r="C12" t="s">
        <v>1965</v>
      </c>
      <c r="D12" t="s">
        <v>612</v>
      </c>
      <c r="E12" t="s">
        <v>132</v>
      </c>
      <c r="F12">
        <v>71</v>
      </c>
      <c r="G12" t="s">
        <v>4179</v>
      </c>
      <c r="H12" t="s">
        <v>4023</v>
      </c>
    </row>
    <row r="13" spans="2:8">
      <c r="B13" t="s">
        <v>123</v>
      </c>
      <c r="C13" t="s">
        <v>1984</v>
      </c>
      <c r="D13" t="s">
        <v>3903</v>
      </c>
      <c r="E13" t="s">
        <v>89</v>
      </c>
      <c r="F13">
        <v>80</v>
      </c>
      <c r="G13" t="s">
        <v>4179</v>
      </c>
      <c r="H13" t="s">
        <v>4187</v>
      </c>
    </row>
    <row r="14" spans="2:8">
      <c r="B14" t="s">
        <v>16</v>
      </c>
      <c r="C14" t="s">
        <v>4178</v>
      </c>
      <c r="D14" t="s">
        <v>787</v>
      </c>
      <c r="E14" t="s">
        <v>205</v>
      </c>
      <c r="F14" t="s">
        <v>4178</v>
      </c>
      <c r="G14" t="s">
        <v>4179</v>
      </c>
    </row>
    <row r="15" spans="2:8">
      <c r="B15" t="s">
        <v>16</v>
      </c>
      <c r="C15" t="s">
        <v>4178</v>
      </c>
      <c r="D15" t="s">
        <v>787</v>
      </c>
      <c r="E15" t="s">
        <v>169</v>
      </c>
      <c r="F15" t="s">
        <v>4178</v>
      </c>
      <c r="G15" t="s">
        <v>4179</v>
      </c>
    </row>
    <row r="16" spans="2:8">
      <c r="B16" t="s">
        <v>16</v>
      </c>
      <c r="C16" t="s">
        <v>4178</v>
      </c>
      <c r="D16" t="s">
        <v>787</v>
      </c>
      <c r="E16" t="s">
        <v>169</v>
      </c>
      <c r="F16" t="s">
        <v>4178</v>
      </c>
      <c r="G16" t="s">
        <v>4179</v>
      </c>
    </row>
    <row r="17" spans="2:8">
      <c r="B17" t="s">
        <v>123</v>
      </c>
      <c r="C17" t="s">
        <v>1993</v>
      </c>
      <c r="D17" t="s">
        <v>794</v>
      </c>
      <c r="E17" t="s">
        <v>132</v>
      </c>
      <c r="F17">
        <v>77</v>
      </c>
      <c r="G17" t="s">
        <v>4179</v>
      </c>
      <c r="H17" t="s">
        <v>4188</v>
      </c>
    </row>
    <row r="18" spans="2:8">
      <c r="B18" t="s">
        <v>123</v>
      </c>
      <c r="C18" t="s">
        <v>1995</v>
      </c>
      <c r="D18" t="s">
        <v>799</v>
      </c>
      <c r="E18" t="s">
        <v>285</v>
      </c>
      <c r="F18">
        <v>47.01</v>
      </c>
      <c r="G18" t="s">
        <v>4179</v>
      </c>
      <c r="H18" t="s">
        <v>4188</v>
      </c>
    </row>
    <row r="19" spans="2:8">
      <c r="B19" t="s">
        <v>123</v>
      </c>
      <c r="C19" t="s">
        <v>2197</v>
      </c>
      <c r="D19" t="s">
        <v>803</v>
      </c>
      <c r="E19" t="s">
        <v>806</v>
      </c>
      <c r="F19">
        <v>0</v>
      </c>
      <c r="G19" t="s">
        <v>4179</v>
      </c>
      <c r="H19" t="s">
        <v>4188</v>
      </c>
    </row>
    <row r="20" spans="2:8">
      <c r="B20" t="s">
        <v>123</v>
      </c>
      <c r="C20" t="s">
        <v>1997</v>
      </c>
      <c r="D20" t="s">
        <v>808</v>
      </c>
      <c r="E20" t="s">
        <v>285</v>
      </c>
      <c r="F20">
        <v>47.01</v>
      </c>
      <c r="G20" t="s">
        <v>4179</v>
      </c>
      <c r="H20" t="s">
        <v>4188</v>
      </c>
    </row>
    <row r="21" spans="2:8">
      <c r="B21" t="s">
        <v>16</v>
      </c>
      <c r="C21" t="s">
        <v>4178</v>
      </c>
      <c r="D21" t="s">
        <v>1835</v>
      </c>
      <c r="E21" t="s">
        <v>205</v>
      </c>
      <c r="F21" t="s">
        <v>4178</v>
      </c>
      <c r="G21" t="s">
        <v>4179</v>
      </c>
    </row>
    <row r="22" spans="2:8">
      <c r="B22" t="s">
        <v>16</v>
      </c>
      <c r="C22" t="s">
        <v>4178</v>
      </c>
      <c r="D22" t="s">
        <v>1835</v>
      </c>
      <c r="E22" t="s">
        <v>169</v>
      </c>
      <c r="F22" t="s">
        <v>4178</v>
      </c>
      <c r="G22" t="s">
        <v>4179</v>
      </c>
    </row>
    <row r="23" spans="2:8">
      <c r="B23" t="s">
        <v>16</v>
      </c>
      <c r="C23" t="s">
        <v>4178</v>
      </c>
      <c r="D23" t="s">
        <v>1835</v>
      </c>
      <c r="E23" t="s">
        <v>169</v>
      </c>
      <c r="F23" t="s">
        <v>4178</v>
      </c>
      <c r="G23" t="s">
        <v>4179</v>
      </c>
    </row>
    <row r="24" spans="2:8">
      <c r="B24" t="s">
        <v>16</v>
      </c>
      <c r="C24" t="s">
        <v>4178</v>
      </c>
      <c r="D24" t="s">
        <v>4189</v>
      </c>
      <c r="E24" t="s">
        <v>169</v>
      </c>
      <c r="F24" t="s">
        <v>4178</v>
      </c>
      <c r="G24" t="s">
        <v>4179</v>
      </c>
    </row>
    <row r="25" spans="2:8">
      <c r="B25" t="s">
        <v>16</v>
      </c>
      <c r="C25" t="s">
        <v>4178</v>
      </c>
      <c r="D25" t="s">
        <v>4189</v>
      </c>
      <c r="E25" t="s">
        <v>169</v>
      </c>
      <c r="F25" t="s">
        <v>4178</v>
      </c>
      <c r="G25" t="s">
        <v>4179</v>
      </c>
    </row>
    <row r="26" spans="2:8">
      <c r="B26" t="s">
        <v>16</v>
      </c>
      <c r="C26" t="s">
        <v>4178</v>
      </c>
      <c r="D26" t="s">
        <v>4189</v>
      </c>
      <c r="E26" t="s">
        <v>205</v>
      </c>
      <c r="F26" t="s">
        <v>4178</v>
      </c>
      <c r="G26" t="s">
        <v>4179</v>
      </c>
    </row>
    <row r="27" spans="2:8">
      <c r="B27" t="s">
        <v>16</v>
      </c>
      <c r="C27" t="s">
        <v>4178</v>
      </c>
      <c r="D27" t="s">
        <v>1884</v>
      </c>
      <c r="E27" t="s">
        <v>205</v>
      </c>
      <c r="F27" t="s">
        <v>4178</v>
      </c>
      <c r="G27" t="s">
        <v>4179</v>
      </c>
      <c r="H27" t="s">
        <v>4183</v>
      </c>
    </row>
    <row r="28" spans="2:8">
      <c r="B28" t="s">
        <v>16</v>
      </c>
      <c r="C28" t="s">
        <v>4178</v>
      </c>
      <c r="D28" t="s">
        <v>1884</v>
      </c>
      <c r="E28" t="s">
        <v>169</v>
      </c>
      <c r="F28" t="s">
        <v>4178</v>
      </c>
      <c r="G28" t="s">
        <v>4179</v>
      </c>
      <c r="H28" t="s">
        <v>4183</v>
      </c>
    </row>
    <row r="29" spans="2:8">
      <c r="B29" t="s">
        <v>16</v>
      </c>
      <c r="C29" t="s">
        <v>4178</v>
      </c>
      <c r="D29" t="s">
        <v>1884</v>
      </c>
      <c r="E29" t="s">
        <v>169</v>
      </c>
      <c r="F29" t="s">
        <v>4178</v>
      </c>
      <c r="G29" t="s">
        <v>4179</v>
      </c>
      <c r="H29" t="s">
        <v>4183</v>
      </c>
    </row>
    <row r="30" spans="2:8">
      <c r="B30" t="s">
        <v>16</v>
      </c>
      <c r="C30" t="s">
        <v>990</v>
      </c>
      <c r="D30" t="s">
        <v>1884</v>
      </c>
      <c r="E30" t="s">
        <v>169</v>
      </c>
      <c r="F30" t="s">
        <v>4178</v>
      </c>
      <c r="G30" t="s">
        <v>4179</v>
      </c>
      <c r="H30" t="s">
        <v>4183</v>
      </c>
    </row>
    <row r="34" spans="8:8">
      <c r="H34" t="s">
        <v>1932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2B0C-5734-47E3-B1B1-97D8D5D6AF3F}">
  <dimension ref="A1:C55"/>
  <sheetViews>
    <sheetView workbookViewId="0">
      <selection activeCell="C26" sqref="C26"/>
    </sheetView>
  </sheetViews>
  <sheetFormatPr defaultColWidth="60.5703125" defaultRowHeight="15"/>
  <cols>
    <col min="1" max="1" width="15" bestFit="1" customWidth="1"/>
    <col min="2" max="2" width="3.85546875" bestFit="1" customWidth="1"/>
  </cols>
  <sheetData>
    <row r="1" spans="1:3">
      <c r="A1" s="215" t="s">
        <v>4190</v>
      </c>
      <c r="B1" s="215"/>
      <c r="C1" s="216" t="s">
        <v>1733</v>
      </c>
    </row>
    <row r="2" spans="1:3">
      <c r="A2" s="18">
        <v>6328801</v>
      </c>
      <c r="B2" s="18" t="s">
        <v>3734</v>
      </c>
      <c r="C2" s="19" t="s">
        <v>4191</v>
      </c>
    </row>
    <row r="3" spans="1:3">
      <c r="A3" s="18">
        <v>5800969</v>
      </c>
      <c r="B3" s="18" t="s">
        <v>3734</v>
      </c>
      <c r="C3" s="19" t="s">
        <v>1909</v>
      </c>
    </row>
    <row r="4" spans="1:3">
      <c r="A4" s="18">
        <v>5784340</v>
      </c>
      <c r="B4" s="18" t="s">
        <v>3734</v>
      </c>
      <c r="C4" s="19" t="s">
        <v>1789</v>
      </c>
    </row>
    <row r="5" spans="1:3">
      <c r="A5" s="18">
        <v>5768654</v>
      </c>
      <c r="B5" s="18" t="s">
        <v>3734</v>
      </c>
      <c r="C5" s="19" t="s">
        <v>1901</v>
      </c>
    </row>
    <row r="6" spans="1:3">
      <c r="A6" s="18">
        <v>100845801</v>
      </c>
      <c r="B6" s="18" t="s">
        <v>3734</v>
      </c>
      <c r="C6" s="19" t="s">
        <v>1810</v>
      </c>
    </row>
    <row r="7" spans="1:3">
      <c r="A7" s="18">
        <v>5770720</v>
      </c>
      <c r="B7" s="18" t="s">
        <v>3734</v>
      </c>
      <c r="C7" s="19" t="s">
        <v>1820</v>
      </c>
    </row>
    <row r="8" spans="1:3">
      <c r="A8" s="18">
        <v>5760350</v>
      </c>
      <c r="B8" s="18" t="s">
        <v>3734</v>
      </c>
      <c r="C8" s="19" t="s">
        <v>1785</v>
      </c>
    </row>
    <row r="9" spans="1:3">
      <c r="A9" s="18">
        <v>5757806</v>
      </c>
      <c r="B9" s="18" t="s">
        <v>3734</v>
      </c>
      <c r="C9" s="19" t="s">
        <v>168</v>
      </c>
    </row>
    <row r="10" spans="1:3">
      <c r="A10" s="18">
        <v>5758811</v>
      </c>
      <c r="B10" s="18" t="s">
        <v>3734</v>
      </c>
      <c r="C10" s="19" t="s">
        <v>1788</v>
      </c>
    </row>
    <row r="11" spans="1:3">
      <c r="A11" s="18">
        <v>5751962</v>
      </c>
      <c r="B11" s="18" t="s">
        <v>3734</v>
      </c>
      <c r="C11" s="19" t="s">
        <v>1792</v>
      </c>
    </row>
    <row r="12" spans="1:3">
      <c r="A12" s="18">
        <v>5748314</v>
      </c>
      <c r="B12" s="18" t="s">
        <v>3734</v>
      </c>
      <c r="C12" s="19" t="s">
        <v>1910</v>
      </c>
    </row>
    <row r="13" spans="1:3">
      <c r="A13" s="18">
        <v>100805666</v>
      </c>
      <c r="B13" s="18" t="s">
        <v>3734</v>
      </c>
      <c r="C13" s="19" t="s">
        <v>1830</v>
      </c>
    </row>
    <row r="14" spans="1:3">
      <c r="A14" s="18">
        <v>5742103</v>
      </c>
      <c r="B14" s="18" t="s">
        <v>3734</v>
      </c>
      <c r="C14" s="19" t="s">
        <v>1830</v>
      </c>
    </row>
    <row r="15" spans="1:3">
      <c r="A15" s="18">
        <v>5744590</v>
      </c>
      <c r="B15" s="18" t="s">
        <v>3734</v>
      </c>
      <c r="C15" s="19" t="s">
        <v>1908</v>
      </c>
    </row>
    <row r="16" spans="1:3">
      <c r="A16" s="18">
        <v>5728046</v>
      </c>
      <c r="B16" s="18" t="s">
        <v>3734</v>
      </c>
      <c r="C16" s="19" t="s">
        <v>1804</v>
      </c>
    </row>
    <row r="17" spans="1:3">
      <c r="A17" s="18">
        <v>100773118</v>
      </c>
      <c r="B17" s="18" t="s">
        <v>3734</v>
      </c>
      <c r="C17" s="19" t="s">
        <v>1825</v>
      </c>
    </row>
    <row r="18" spans="1:3">
      <c r="A18" s="18">
        <v>5723130</v>
      </c>
      <c r="B18" s="18" t="s">
        <v>3734</v>
      </c>
      <c r="C18" s="19" t="s">
        <v>1825</v>
      </c>
    </row>
    <row r="19" spans="1:3">
      <c r="A19" s="18">
        <v>5730365</v>
      </c>
      <c r="B19" s="18" t="s">
        <v>3734</v>
      </c>
      <c r="C19" s="19" t="s">
        <v>1210</v>
      </c>
    </row>
    <row r="20" spans="1:3">
      <c r="A20" s="18">
        <v>5730382</v>
      </c>
      <c r="B20" s="18" t="s">
        <v>3734</v>
      </c>
      <c r="C20" s="19" t="s">
        <v>1206</v>
      </c>
    </row>
    <row r="21" spans="1:3">
      <c r="A21" s="18">
        <v>5724743</v>
      </c>
      <c r="B21" s="18" t="s">
        <v>3734</v>
      </c>
      <c r="C21" s="19" t="s">
        <v>1903</v>
      </c>
    </row>
    <row r="22" spans="1:3">
      <c r="A22" s="18">
        <v>5724741</v>
      </c>
      <c r="B22" s="18" t="s">
        <v>3734</v>
      </c>
      <c r="C22" s="19" t="s">
        <v>1202</v>
      </c>
    </row>
    <row r="23" spans="1:3">
      <c r="A23" s="18">
        <v>5723353</v>
      </c>
      <c r="B23" s="18" t="s">
        <v>3734</v>
      </c>
      <c r="C23" s="19" t="s">
        <v>1869</v>
      </c>
    </row>
    <row r="24" spans="1:3">
      <c r="A24" s="18">
        <v>5722503</v>
      </c>
      <c r="B24" s="18" t="s">
        <v>3734</v>
      </c>
      <c r="C24" s="19" t="s">
        <v>1777</v>
      </c>
    </row>
    <row r="25" spans="1:3">
      <c r="A25" s="18">
        <v>5721419</v>
      </c>
      <c r="B25" s="18" t="s">
        <v>3734</v>
      </c>
      <c r="C25" s="19" t="s">
        <v>1786</v>
      </c>
    </row>
    <row r="26" spans="1:3">
      <c r="A26" s="18">
        <v>5711249</v>
      </c>
      <c r="B26" s="18" t="s">
        <v>3734</v>
      </c>
      <c r="C26" s="19" t="s">
        <v>1866</v>
      </c>
    </row>
    <row r="27" spans="1:3">
      <c r="A27" s="18">
        <v>6330916</v>
      </c>
      <c r="B27" s="18" t="s">
        <v>3734</v>
      </c>
      <c r="C27" s="19" t="s">
        <v>1840</v>
      </c>
    </row>
    <row r="28" spans="1:3">
      <c r="A28" s="18">
        <v>5707504</v>
      </c>
      <c r="B28" s="18" t="s">
        <v>3734</v>
      </c>
      <c r="C28" s="19" t="s">
        <v>1840</v>
      </c>
    </row>
    <row r="29" spans="1:3">
      <c r="A29" s="18">
        <v>100751347</v>
      </c>
      <c r="B29" s="18" t="s">
        <v>3734</v>
      </c>
      <c r="C29" s="19" t="s">
        <v>1840</v>
      </c>
    </row>
    <row r="30" spans="1:3">
      <c r="A30" s="18">
        <v>5693957</v>
      </c>
      <c r="B30" s="18" t="s">
        <v>3734</v>
      </c>
      <c r="C30" s="19" t="s">
        <v>969</v>
      </c>
    </row>
    <row r="31" spans="1:3">
      <c r="A31" s="18">
        <v>100550968</v>
      </c>
      <c r="B31" s="18" t="s">
        <v>3734</v>
      </c>
      <c r="C31" s="19" t="s">
        <v>1886</v>
      </c>
    </row>
    <row r="32" spans="1:3">
      <c r="A32" s="18">
        <v>5669041</v>
      </c>
      <c r="B32" s="18" t="s">
        <v>3734</v>
      </c>
      <c r="C32" s="19" t="s">
        <v>1890</v>
      </c>
    </row>
    <row r="33" spans="1:3">
      <c r="A33" s="18">
        <v>1824269</v>
      </c>
      <c r="B33" s="18" t="s">
        <v>3734</v>
      </c>
      <c r="C33" s="19" t="s">
        <v>1815</v>
      </c>
    </row>
    <row r="34" spans="1:3">
      <c r="A34" s="18">
        <v>5672030</v>
      </c>
      <c r="B34" s="18" t="s">
        <v>3734</v>
      </c>
      <c r="C34" s="19" t="s">
        <v>1853</v>
      </c>
    </row>
    <row r="35" spans="1:3">
      <c r="A35" s="18">
        <v>100551024</v>
      </c>
      <c r="B35" s="18" t="s">
        <v>3734</v>
      </c>
      <c r="C35" s="19" t="s">
        <v>1793</v>
      </c>
    </row>
    <row r="36" spans="1:3">
      <c r="A36" s="18">
        <v>5669057</v>
      </c>
      <c r="B36" s="18" t="s">
        <v>3734</v>
      </c>
      <c r="C36" s="19" t="s">
        <v>1793</v>
      </c>
    </row>
    <row r="37" spans="1:3">
      <c r="A37" s="18">
        <v>5672018</v>
      </c>
      <c r="B37" s="18" t="s">
        <v>3734</v>
      </c>
      <c r="C37" s="19" t="s">
        <v>1808</v>
      </c>
    </row>
    <row r="38" spans="1:3">
      <c r="A38" s="18">
        <v>5669987</v>
      </c>
      <c r="B38" s="18" t="s">
        <v>3734</v>
      </c>
      <c r="C38" s="19" t="s">
        <v>1824</v>
      </c>
    </row>
    <row r="39" spans="1:3">
      <c r="A39" s="18">
        <v>5663976</v>
      </c>
      <c r="B39" s="18" t="s">
        <v>3734</v>
      </c>
      <c r="C39" s="19" t="s">
        <v>1747</v>
      </c>
    </row>
    <row r="40" spans="1:3">
      <c r="A40" s="18">
        <v>5665141</v>
      </c>
      <c r="B40" s="18" t="s">
        <v>3734</v>
      </c>
      <c r="C40" s="19" t="s">
        <v>666</v>
      </c>
    </row>
    <row r="41" spans="1:3">
      <c r="A41" s="18">
        <v>5663110</v>
      </c>
      <c r="B41" s="18" t="s">
        <v>3734</v>
      </c>
      <c r="C41" s="19" t="s">
        <v>1779</v>
      </c>
    </row>
    <row r="42" spans="1:3">
      <c r="A42" s="18">
        <v>5657035</v>
      </c>
      <c r="B42" s="18" t="s">
        <v>3734</v>
      </c>
      <c r="C42" s="19" t="s">
        <v>1905</v>
      </c>
    </row>
    <row r="43" spans="1:3">
      <c r="A43" s="18">
        <v>5655776</v>
      </c>
      <c r="B43" s="18" t="s">
        <v>3734</v>
      </c>
      <c r="C43" s="19" t="s">
        <v>337</v>
      </c>
    </row>
    <row r="44" spans="1:3">
      <c r="A44" s="18">
        <v>5645251</v>
      </c>
      <c r="B44" s="18" t="s">
        <v>3734</v>
      </c>
      <c r="C44" s="19" t="s">
        <v>1802</v>
      </c>
    </row>
    <row r="45" spans="1:3">
      <c r="A45" s="18">
        <v>5628471</v>
      </c>
      <c r="B45" s="18" t="s">
        <v>3734</v>
      </c>
      <c r="C45" s="19" t="s">
        <v>1894</v>
      </c>
    </row>
    <row r="46" spans="1:3">
      <c r="A46" s="18">
        <v>5628729</v>
      </c>
      <c r="B46" s="18" t="s">
        <v>3734</v>
      </c>
      <c r="C46" s="19" t="s">
        <v>965</v>
      </c>
    </row>
    <row r="47" spans="1:3">
      <c r="A47" s="18">
        <v>5608160</v>
      </c>
      <c r="B47" s="18" t="s">
        <v>3734</v>
      </c>
      <c r="C47" s="19" t="s">
        <v>1742</v>
      </c>
    </row>
    <row r="48" spans="1:3">
      <c r="A48" s="18">
        <v>5580059</v>
      </c>
      <c r="B48" s="18" t="s">
        <v>3734</v>
      </c>
      <c r="C48" s="19" t="s">
        <v>375</v>
      </c>
    </row>
    <row r="49" spans="1:3">
      <c r="A49" s="18">
        <v>5570851</v>
      </c>
      <c r="B49" s="18" t="s">
        <v>3734</v>
      </c>
      <c r="C49" s="19" t="s">
        <v>1819</v>
      </c>
    </row>
    <row r="50" spans="1:3">
      <c r="A50" s="18">
        <v>5517870</v>
      </c>
      <c r="B50" s="18" t="s">
        <v>3734</v>
      </c>
      <c r="C50" s="19" t="s">
        <v>1751</v>
      </c>
    </row>
    <row r="51" spans="1:3">
      <c r="A51" s="18">
        <v>5510491</v>
      </c>
      <c r="B51" s="18" t="s">
        <v>3734</v>
      </c>
      <c r="C51" s="19" t="s">
        <v>1787</v>
      </c>
    </row>
    <row r="52" spans="1:3">
      <c r="A52" s="18">
        <v>5462846</v>
      </c>
      <c r="B52" s="18" t="s">
        <v>3734</v>
      </c>
      <c r="C52" s="19" t="s">
        <v>947</v>
      </c>
    </row>
    <row r="53" spans="1:3">
      <c r="A53" s="18">
        <v>5401906</v>
      </c>
      <c r="B53" s="18" t="s">
        <v>3734</v>
      </c>
      <c r="C53" s="19" t="s">
        <v>1772</v>
      </c>
    </row>
    <row r="54" spans="1:3">
      <c r="A54" s="18">
        <v>5358446</v>
      </c>
      <c r="B54" s="18" t="s">
        <v>3734</v>
      </c>
      <c r="C54" s="19" t="s">
        <v>1902</v>
      </c>
    </row>
    <row r="55" spans="1:3">
      <c r="A55" s="18">
        <v>5289554</v>
      </c>
      <c r="B55" s="18" t="s">
        <v>3734</v>
      </c>
      <c r="C55" s="19" t="s">
        <v>1179</v>
      </c>
    </row>
  </sheetData>
  <autoFilter ref="A1:C55" xr:uid="{99F72B0C-5734-47E3-B1B1-97D8D5D6AF3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26f7b6-a02a-446e-b0f4-4ee2a52005ad">
      <Terms xmlns="http://schemas.microsoft.com/office/infopath/2007/PartnerControls"/>
    </lcf76f155ced4ddcb4097134ff3c332f>
    <TaxCatchAll xmlns="85e829d6-bab4-4c25-b255-c4b0c80957c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F5B1C133FF4041944DDD6E6FE2B698" ma:contentTypeVersion="18" ma:contentTypeDescription="Create a new document." ma:contentTypeScope="" ma:versionID="53be457f21e22dadccde30c145204956">
  <xsd:schema xmlns:xsd="http://www.w3.org/2001/XMLSchema" xmlns:xs="http://www.w3.org/2001/XMLSchema" xmlns:p="http://schemas.microsoft.com/office/2006/metadata/properties" xmlns:ns2="85e829d6-bab4-4c25-b255-c4b0c80957ca" xmlns:ns3="f526f7b6-a02a-446e-b0f4-4ee2a52005ad" targetNamespace="http://schemas.microsoft.com/office/2006/metadata/properties" ma:root="true" ma:fieldsID="f0a72fdc966bf1f5bc04ace0d26ee916" ns2:_="" ns3:_="">
    <xsd:import namespace="85e829d6-bab4-4c25-b255-c4b0c80957ca"/>
    <xsd:import namespace="f526f7b6-a02a-446e-b0f4-4ee2a52005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829d6-bab4-4c25-b255-c4b0c80957c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d70c769-21d9-4621-84c0-4686ae7a18e4}" ma:internalName="TaxCatchAll" ma:showField="CatchAllData" ma:web="85e829d6-bab4-4c25-b255-c4b0c80957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6f7b6-a02a-446e-b0f4-4ee2a52005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6e5b968-8cdf-4644-8bb9-30cb45e0de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4878AA-C5F1-4CAB-A758-4F989754EDC3}"/>
</file>

<file path=customXml/itemProps2.xml><?xml version="1.0" encoding="utf-8"?>
<ds:datastoreItem xmlns:ds="http://schemas.openxmlformats.org/officeDocument/2006/customXml" ds:itemID="{59B922FE-8E6F-4EE6-BB4D-91A98453AEAB}"/>
</file>

<file path=customXml/itemProps3.xml><?xml version="1.0" encoding="utf-8"?>
<ds:datastoreItem xmlns:ds="http://schemas.openxmlformats.org/officeDocument/2006/customXml" ds:itemID="{3C81E044-B7FC-4A8B-B4E6-06EDC82951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Ronnie Spark</dc:creator>
  <cp:keywords/>
  <dc:description/>
  <cp:lastModifiedBy/>
  <cp:revision/>
  <dcterms:created xsi:type="dcterms:W3CDTF">2026-01-05T00:51:28Z</dcterms:created>
  <dcterms:modified xsi:type="dcterms:W3CDTF">2026-03-09T22:56:43Z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0x01010012F5B1C133FF4041944DDD6E6FE2B698</vt:lpwstr>
  </property>
  <property fmtid="{D5CDD505-2E9C-101B-9397-08002B2CF9AE}" pid="3" name="MediaServiceImageTags">
    <vt:lpwstr/>
  </property>
</Properties>
</file>